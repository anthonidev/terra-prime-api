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nmobiliaria-Huertas\Sistema-SMART\terra-prime-api\"/>
    </mc:Choice>
  </mc:AlternateContent>
  <xr:revisionPtr revIDLastSave="0" documentId="13_ncr:1_{246FF7FA-B57E-4693-97F6-296032047263}" xr6:coauthVersionLast="47" xr6:coauthVersionMax="47" xr10:uidLastSave="{00000000-0000-0000-0000-000000000000}"/>
  <bookViews>
    <workbookView xWindow="-120" yWindow="-120" windowWidth="29040" windowHeight="15720" xr2:uid="{6CF7DBC6-A45D-40B3-A487-970CC0E802FF}"/>
  </bookViews>
  <sheets>
    <sheet name="Hoja1" sheetId="6" r:id="rId1"/>
  </sheets>
  <definedNames>
    <definedName name="_xlnm._FilterDatabase" localSheetId="0" hidden="1">Hoja1!$A$1:$CY$3801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U78" i="6" l="1"/>
  <c r="CS23" i="6"/>
  <c r="CT23" i="6"/>
  <c r="CV23" i="6"/>
  <c r="CS24" i="6"/>
  <c r="CT24" i="6"/>
  <c r="CV24" i="6"/>
  <c r="CS25" i="6"/>
  <c r="CT25" i="6"/>
  <c r="CV25" i="6"/>
  <c r="CS26" i="6"/>
  <c r="CT26" i="6"/>
  <c r="CU26" i="6" s="1"/>
  <c r="CV26" i="6"/>
  <c r="CS27" i="6"/>
  <c r="CT27" i="6"/>
  <c r="CV27" i="6"/>
  <c r="CU25" i="6" l="1"/>
  <c r="CU23" i="6"/>
  <c r="CU24" i="6"/>
  <c r="CU27" i="6"/>
  <c r="CS2540" i="6"/>
  <c r="CT2540" i="6"/>
  <c r="CS2541" i="6"/>
  <c r="CT2541" i="6"/>
  <c r="CS2542" i="6"/>
  <c r="CT2542" i="6"/>
  <c r="CS2543" i="6"/>
  <c r="CT2543" i="6"/>
  <c r="CS2544" i="6"/>
  <c r="CT2544" i="6"/>
  <c r="CS2545" i="6"/>
  <c r="CT2545" i="6"/>
  <c r="CS2546" i="6"/>
  <c r="CT2546" i="6"/>
  <c r="CS2547" i="6"/>
  <c r="CT2547" i="6"/>
  <c r="CS2548" i="6"/>
  <c r="CT2548" i="6"/>
  <c r="CS2549" i="6"/>
  <c r="CT2549" i="6"/>
  <c r="CS2550" i="6"/>
  <c r="CT2550" i="6"/>
  <c r="CS2551" i="6"/>
  <c r="CT2551" i="6"/>
  <c r="CS2552" i="6"/>
  <c r="CT2552" i="6"/>
  <c r="CS2553" i="6"/>
  <c r="CT2553" i="6"/>
  <c r="CS2554" i="6"/>
  <c r="CT2554" i="6"/>
  <c r="CS2555" i="6"/>
  <c r="CT2555" i="6"/>
  <c r="CS2556" i="6"/>
  <c r="CT2556" i="6"/>
  <c r="CS2557" i="6"/>
  <c r="CT2557" i="6"/>
  <c r="CS2558" i="6"/>
  <c r="CT2558" i="6"/>
  <c r="CS2559" i="6"/>
  <c r="CT2559" i="6"/>
  <c r="CS2560" i="6"/>
  <c r="CT2560" i="6"/>
  <c r="CS2561" i="6"/>
  <c r="CT2561" i="6"/>
  <c r="CS2562" i="6"/>
  <c r="CT2562" i="6"/>
  <c r="CS2563" i="6"/>
  <c r="CT2563" i="6"/>
  <c r="CS2564" i="6"/>
  <c r="CT2564" i="6"/>
  <c r="CS2565" i="6"/>
  <c r="CT2565" i="6"/>
  <c r="CS2566" i="6"/>
  <c r="CT2566" i="6"/>
  <c r="CS2567" i="6"/>
  <c r="CT2567" i="6"/>
  <c r="CS2568" i="6"/>
  <c r="CT2568" i="6"/>
  <c r="CS1761" i="6"/>
  <c r="CT1761" i="6"/>
  <c r="CV1761" i="6"/>
  <c r="CS1762" i="6"/>
  <c r="CT1762" i="6"/>
  <c r="CV1762" i="6"/>
  <c r="CS1763" i="6"/>
  <c r="CV1763" i="6"/>
  <c r="CS1764" i="6"/>
  <c r="CV1764" i="6"/>
  <c r="CS1765" i="6"/>
  <c r="CT1765" i="6"/>
  <c r="CV1765" i="6"/>
  <c r="CS1766" i="6"/>
  <c r="CT1766" i="6"/>
  <c r="CV1766" i="6"/>
  <c r="CS1767" i="6"/>
  <c r="CT1767" i="6"/>
  <c r="CV1767" i="6"/>
  <c r="CS1768" i="6"/>
  <c r="CT1768" i="6"/>
  <c r="CV1768" i="6"/>
  <c r="CS1769" i="6"/>
  <c r="CT1769" i="6"/>
  <c r="CV1769" i="6"/>
  <c r="CS1770" i="6"/>
  <c r="CT1770" i="6"/>
  <c r="CV1770" i="6"/>
  <c r="CS1771" i="6"/>
  <c r="CT1771" i="6"/>
  <c r="CV1771" i="6"/>
  <c r="CS1772" i="6"/>
  <c r="CT1772" i="6"/>
  <c r="CV1772" i="6"/>
  <c r="CS1773" i="6"/>
  <c r="CT1773" i="6"/>
  <c r="CV1773" i="6"/>
  <c r="CS1774" i="6"/>
  <c r="CT1774" i="6"/>
  <c r="CV1774" i="6"/>
  <c r="CS1775" i="6"/>
  <c r="CT1775" i="6"/>
  <c r="CV1775" i="6"/>
  <c r="CS1776" i="6"/>
  <c r="CT1776" i="6"/>
  <c r="CV1776" i="6"/>
  <c r="CS1777" i="6"/>
  <c r="CT1777" i="6"/>
  <c r="CV1777" i="6"/>
  <c r="CS1778" i="6"/>
  <c r="CT1778" i="6"/>
  <c r="CV1778" i="6"/>
  <c r="CS1779" i="6"/>
  <c r="CT1779" i="6"/>
  <c r="CV1779" i="6"/>
  <c r="CS1780" i="6"/>
  <c r="CT1780" i="6"/>
  <c r="CV1780" i="6"/>
  <c r="CS1781" i="6"/>
  <c r="CT1781" i="6"/>
  <c r="CV1781" i="6"/>
  <c r="CS1782" i="6"/>
  <c r="CT1782" i="6"/>
  <c r="CV1782" i="6"/>
  <c r="CS1783" i="6"/>
  <c r="CT1783" i="6"/>
  <c r="CV1783" i="6"/>
  <c r="CS1784" i="6"/>
  <c r="CT1784" i="6"/>
  <c r="CV1784" i="6"/>
  <c r="CS1785" i="6"/>
  <c r="CT1785" i="6"/>
  <c r="CV1785" i="6"/>
  <c r="CS1786" i="6"/>
  <c r="CT1786" i="6"/>
  <c r="CV1786" i="6"/>
  <c r="CS1787" i="6"/>
  <c r="CT1787" i="6"/>
  <c r="CV1787" i="6"/>
  <c r="CS1788" i="6"/>
  <c r="CT1788" i="6"/>
  <c r="CV1788" i="6"/>
  <c r="CS1789" i="6"/>
  <c r="CT1789" i="6"/>
  <c r="CV1789" i="6"/>
  <c r="CS1790" i="6"/>
  <c r="CT1790" i="6"/>
  <c r="CV1790" i="6"/>
  <c r="CS1791" i="6"/>
  <c r="CT1791" i="6"/>
  <c r="CV1791" i="6"/>
  <c r="CS1792" i="6"/>
  <c r="CT1792" i="6"/>
  <c r="CV1792" i="6"/>
  <c r="CS1793" i="6"/>
  <c r="CT1793" i="6"/>
  <c r="CV1793" i="6"/>
  <c r="CS1794" i="6"/>
  <c r="CT1794" i="6"/>
  <c r="CV1794" i="6"/>
  <c r="CS1795" i="6"/>
  <c r="CT1795" i="6"/>
  <c r="CV1795" i="6"/>
  <c r="CS1796" i="6"/>
  <c r="CT1796" i="6"/>
  <c r="CV1796" i="6"/>
  <c r="CS1797" i="6"/>
  <c r="CT1797" i="6"/>
  <c r="CV1797" i="6"/>
  <c r="CS1798" i="6"/>
  <c r="CT1798" i="6"/>
  <c r="CV1798" i="6"/>
  <c r="CS1799" i="6"/>
  <c r="CT1799" i="6"/>
  <c r="CV1799" i="6"/>
  <c r="CS1800" i="6"/>
  <c r="CT1800" i="6"/>
  <c r="CV1800" i="6"/>
  <c r="CS1801" i="6"/>
  <c r="CT1801" i="6"/>
  <c r="CV1801" i="6"/>
  <c r="CS1802" i="6"/>
  <c r="CT1802" i="6"/>
  <c r="CV1802" i="6"/>
  <c r="CS1803" i="6"/>
  <c r="CT1803" i="6"/>
  <c r="CV1803" i="6"/>
  <c r="CS1804" i="6"/>
  <c r="CT1804" i="6"/>
  <c r="CV1804" i="6"/>
  <c r="CS1805" i="6"/>
  <c r="CT1805" i="6"/>
  <c r="CV1805" i="6"/>
  <c r="CS1806" i="6"/>
  <c r="CT1806" i="6"/>
  <c r="CV1806" i="6"/>
  <c r="CS1807" i="6"/>
  <c r="CT1807" i="6"/>
  <c r="CV1807" i="6"/>
  <c r="CS1808" i="6"/>
  <c r="CT1808" i="6"/>
  <c r="CV1808" i="6"/>
  <c r="CS1809" i="6"/>
  <c r="CT1809" i="6"/>
  <c r="CV1809" i="6"/>
  <c r="CS1810" i="6"/>
  <c r="CT1810" i="6"/>
  <c r="CV1810" i="6"/>
  <c r="CS1811" i="6"/>
  <c r="CT1811" i="6"/>
  <c r="CV1811" i="6"/>
  <c r="CS1812" i="6"/>
  <c r="CT1812" i="6"/>
  <c r="CV1812" i="6"/>
  <c r="CS1813" i="6"/>
  <c r="CT1813" i="6"/>
  <c r="CV1813" i="6"/>
  <c r="CS1814" i="6"/>
  <c r="CT1814" i="6"/>
  <c r="CV1814" i="6"/>
  <c r="CS1815" i="6"/>
  <c r="CT1815" i="6"/>
  <c r="CV1815" i="6"/>
  <c r="CS1816" i="6"/>
  <c r="CT1816" i="6"/>
  <c r="CV1816" i="6"/>
  <c r="CS1817" i="6"/>
  <c r="CT1817" i="6"/>
  <c r="CV1817" i="6"/>
  <c r="CS1818" i="6"/>
  <c r="CT1818" i="6"/>
  <c r="CV1818" i="6"/>
  <c r="CS1819" i="6"/>
  <c r="CT1819" i="6"/>
  <c r="CV1819" i="6"/>
  <c r="CS1820" i="6"/>
  <c r="CT1820" i="6"/>
  <c r="CV1820" i="6"/>
  <c r="CS1821" i="6"/>
  <c r="CT1821" i="6"/>
  <c r="CV1821" i="6"/>
  <c r="CS1822" i="6"/>
  <c r="CT1822" i="6"/>
  <c r="CV1822" i="6"/>
  <c r="CS1823" i="6"/>
  <c r="CT1823" i="6"/>
  <c r="CV1823" i="6"/>
  <c r="CS1824" i="6"/>
  <c r="CT1824" i="6"/>
  <c r="CV1824" i="6"/>
  <c r="CS1825" i="6"/>
  <c r="CT1825" i="6"/>
  <c r="CV1825" i="6"/>
  <c r="CS1826" i="6"/>
  <c r="CT1826" i="6"/>
  <c r="CV1826" i="6"/>
  <c r="CS1827" i="6"/>
  <c r="CT1827" i="6"/>
  <c r="CV1827" i="6"/>
  <c r="CS1828" i="6"/>
  <c r="CT1828" i="6"/>
  <c r="CV1828" i="6"/>
  <c r="CS1829" i="6"/>
  <c r="CT1829" i="6"/>
  <c r="CV1829" i="6"/>
  <c r="CS1830" i="6"/>
  <c r="CT1830" i="6"/>
  <c r="CV1830" i="6"/>
  <c r="CS1831" i="6"/>
  <c r="CT1831" i="6"/>
  <c r="CV1831" i="6"/>
  <c r="CS1832" i="6"/>
  <c r="CT1832" i="6"/>
  <c r="CV1832" i="6"/>
  <c r="CS1833" i="6"/>
  <c r="CT1833" i="6"/>
  <c r="CV1833" i="6"/>
  <c r="CS1834" i="6"/>
  <c r="CT1834" i="6"/>
  <c r="CV1834" i="6"/>
  <c r="CS1835" i="6"/>
  <c r="CT1835" i="6"/>
  <c r="CV1835" i="6"/>
  <c r="CS1836" i="6"/>
  <c r="CT1836" i="6"/>
  <c r="CV1836" i="6"/>
  <c r="CS1837" i="6"/>
  <c r="CT1837" i="6"/>
  <c r="CV1837" i="6"/>
  <c r="CS1838" i="6"/>
  <c r="CT1838" i="6"/>
  <c r="CV1838" i="6"/>
  <c r="CS1839" i="6"/>
  <c r="CT1839" i="6"/>
  <c r="CV1839" i="6"/>
  <c r="CS1840" i="6"/>
  <c r="CT1840" i="6"/>
  <c r="CV1840" i="6"/>
  <c r="CS1841" i="6"/>
  <c r="CT1841" i="6"/>
  <c r="CV1841" i="6"/>
  <c r="CS1842" i="6"/>
  <c r="CT1842" i="6"/>
  <c r="CV1842" i="6"/>
  <c r="CS1843" i="6"/>
  <c r="CT1843" i="6"/>
  <c r="CV1843" i="6"/>
  <c r="CS1844" i="6"/>
  <c r="CT1844" i="6"/>
  <c r="CV1844" i="6"/>
  <c r="CS1845" i="6"/>
  <c r="CT1845" i="6"/>
  <c r="CV1845" i="6"/>
  <c r="CS1846" i="6"/>
  <c r="CT1846" i="6"/>
  <c r="CV1846" i="6"/>
  <c r="CS1847" i="6"/>
  <c r="CT1847" i="6"/>
  <c r="CV1847" i="6"/>
  <c r="CS1848" i="6"/>
  <c r="CT1848" i="6"/>
  <c r="CV1848" i="6"/>
  <c r="CS1849" i="6"/>
  <c r="CT1849" i="6"/>
  <c r="CV1849" i="6"/>
  <c r="CS1850" i="6"/>
  <c r="CT1850" i="6"/>
  <c r="CV1850" i="6"/>
  <c r="CT365" i="6"/>
  <c r="CS365" i="6"/>
  <c r="CV3623" i="6"/>
  <c r="CV3622" i="6"/>
  <c r="CV3621" i="6"/>
  <c r="CV3620" i="6"/>
  <c r="CV3619" i="6"/>
  <c r="CV3618" i="6"/>
  <c r="CV3617" i="6"/>
  <c r="CV3616" i="6"/>
  <c r="CV3615" i="6"/>
  <c r="CV3614" i="6"/>
  <c r="CV3613" i="6"/>
  <c r="CV3612" i="6"/>
  <c r="CV3611" i="6"/>
  <c r="CV3610" i="6"/>
  <c r="CV3609" i="6"/>
  <c r="CV3608" i="6"/>
  <c r="CV3607" i="6"/>
  <c r="CV3606" i="6"/>
  <c r="CV3605" i="6"/>
  <c r="CV440" i="6"/>
  <c r="CT3623" i="6"/>
  <c r="CS3623" i="6"/>
  <c r="CT3622" i="6"/>
  <c r="CS3622" i="6"/>
  <c r="CT3621" i="6"/>
  <c r="CS3621" i="6"/>
  <c r="CT3620" i="6"/>
  <c r="CS3620" i="6"/>
  <c r="CT3619" i="6"/>
  <c r="CS3619" i="6"/>
  <c r="CT3618" i="6"/>
  <c r="CS3618" i="6"/>
  <c r="CT3617" i="6"/>
  <c r="CS3617" i="6"/>
  <c r="CT3616" i="6"/>
  <c r="CS3616" i="6"/>
  <c r="CT3615" i="6"/>
  <c r="CS3615" i="6"/>
  <c r="CT3614" i="6"/>
  <c r="CS3614" i="6"/>
  <c r="CT3613" i="6"/>
  <c r="CS3613" i="6"/>
  <c r="CT3612" i="6"/>
  <c r="CS3612" i="6"/>
  <c r="CT3611" i="6"/>
  <c r="CS3611" i="6"/>
  <c r="CT3610" i="6"/>
  <c r="CS3610" i="6"/>
  <c r="CT3609" i="6"/>
  <c r="CS3609" i="6"/>
  <c r="CT3608" i="6"/>
  <c r="CS3608" i="6"/>
  <c r="CT3607" i="6"/>
  <c r="CS3607" i="6"/>
  <c r="CT3606" i="6"/>
  <c r="CS3606" i="6"/>
  <c r="CT3605" i="6"/>
  <c r="CS3605" i="6"/>
  <c r="CS440" i="6"/>
  <c r="CT440" i="6"/>
  <c r="CS82" i="6"/>
  <c r="CT82" i="6"/>
  <c r="CV82" i="6"/>
  <c r="CS83" i="6"/>
  <c r="CT83" i="6"/>
  <c r="CV83" i="6"/>
  <c r="CS84" i="6"/>
  <c r="CT84" i="6"/>
  <c r="CV84" i="6"/>
  <c r="CS85" i="6"/>
  <c r="CT85" i="6"/>
  <c r="CV85" i="6"/>
  <c r="CS86" i="6"/>
  <c r="CT86" i="6"/>
  <c r="CV86" i="6"/>
  <c r="CS87" i="6"/>
  <c r="CT87" i="6"/>
  <c r="CV87" i="6"/>
  <c r="CS88" i="6"/>
  <c r="CT88" i="6"/>
  <c r="CV88" i="6"/>
  <c r="CS89" i="6"/>
  <c r="CT89" i="6"/>
  <c r="CV89" i="6"/>
  <c r="CS90" i="6"/>
  <c r="CT90" i="6"/>
  <c r="CV90" i="6"/>
  <c r="CS91" i="6"/>
  <c r="CT91" i="6"/>
  <c r="CV91" i="6"/>
  <c r="CS92" i="6"/>
  <c r="CT92" i="6"/>
  <c r="CV92" i="6"/>
  <c r="CS93" i="6"/>
  <c r="CT93" i="6"/>
  <c r="CV93" i="6"/>
  <c r="CV1205" i="6"/>
  <c r="CV1079" i="6"/>
  <c r="AL1924" i="6"/>
  <c r="CS1924" i="6" s="1"/>
  <c r="CV222" i="6"/>
  <c r="CT222" i="6"/>
  <c r="CS222" i="6"/>
  <c r="CV221" i="6"/>
  <c r="CT221" i="6"/>
  <c r="CS221" i="6"/>
  <c r="CV220" i="6"/>
  <c r="CT220" i="6"/>
  <c r="CS220" i="6"/>
  <c r="CV219" i="6"/>
  <c r="CT219" i="6"/>
  <c r="CS219" i="6"/>
  <c r="CV218" i="6"/>
  <c r="CT218" i="6"/>
  <c r="CS218" i="6"/>
  <c r="CV217" i="6"/>
  <c r="CT217" i="6"/>
  <c r="CS217" i="6"/>
  <c r="CV216" i="6"/>
  <c r="CT216" i="6"/>
  <c r="CS216" i="6"/>
  <c r="CV215" i="6"/>
  <c r="CT215" i="6"/>
  <c r="CS215" i="6"/>
  <c r="CV214" i="6"/>
  <c r="CT214" i="6"/>
  <c r="CS214" i="6"/>
  <c r="CV213" i="6"/>
  <c r="CT213" i="6"/>
  <c r="CS213" i="6"/>
  <c r="CV212" i="6"/>
  <c r="CT212" i="6"/>
  <c r="CS212" i="6"/>
  <c r="CV211" i="6"/>
  <c r="CT211" i="6"/>
  <c r="CS211" i="6"/>
  <c r="CV210" i="6"/>
  <c r="CT210" i="6"/>
  <c r="CS210" i="6"/>
  <c r="CV209" i="6"/>
  <c r="CT209" i="6"/>
  <c r="CS209" i="6"/>
  <c r="CV208" i="6"/>
  <c r="CT208" i="6"/>
  <c r="CS208" i="6"/>
  <c r="CV207" i="6"/>
  <c r="CT207" i="6"/>
  <c r="CS207" i="6"/>
  <c r="CV206" i="6"/>
  <c r="CT206" i="6"/>
  <c r="CS206" i="6"/>
  <c r="CV205" i="6"/>
  <c r="CT205" i="6"/>
  <c r="CS205" i="6"/>
  <c r="CV204" i="6"/>
  <c r="CT204" i="6"/>
  <c r="CS204" i="6"/>
  <c r="CV203" i="6"/>
  <c r="CT203" i="6"/>
  <c r="CS203" i="6"/>
  <c r="CV202" i="6"/>
  <c r="CT202" i="6"/>
  <c r="CS202" i="6"/>
  <c r="CV201" i="6"/>
  <c r="CT201" i="6"/>
  <c r="CS201" i="6"/>
  <c r="CV200" i="6"/>
  <c r="CT200" i="6"/>
  <c r="CS200" i="6"/>
  <c r="CV199" i="6"/>
  <c r="CT199" i="6"/>
  <c r="CS199" i="6"/>
  <c r="CV198" i="6"/>
  <c r="CT198" i="6"/>
  <c r="CS198" i="6"/>
  <c r="CV197" i="6"/>
  <c r="CT197" i="6"/>
  <c r="CS197" i="6"/>
  <c r="CV196" i="6"/>
  <c r="CT196" i="6"/>
  <c r="CS196" i="6"/>
  <c r="CV195" i="6"/>
  <c r="CT195" i="6"/>
  <c r="CS195" i="6"/>
  <c r="CV194" i="6"/>
  <c r="CT194" i="6"/>
  <c r="CS194" i="6"/>
  <c r="CV193" i="6"/>
  <c r="CT193" i="6"/>
  <c r="CS193" i="6"/>
  <c r="CV192" i="6"/>
  <c r="CT192" i="6"/>
  <c r="CS192" i="6"/>
  <c r="CV191" i="6"/>
  <c r="CT191" i="6"/>
  <c r="CS191" i="6"/>
  <c r="CV190" i="6"/>
  <c r="CT190" i="6"/>
  <c r="CS190" i="6"/>
  <c r="CV189" i="6"/>
  <c r="CT189" i="6"/>
  <c r="CS189" i="6"/>
  <c r="CV188" i="6"/>
  <c r="CT188" i="6"/>
  <c r="CS188" i="6"/>
  <c r="CV187" i="6"/>
  <c r="CT187" i="6"/>
  <c r="CS187" i="6"/>
  <c r="CV186" i="6"/>
  <c r="CT186" i="6"/>
  <c r="CS186" i="6"/>
  <c r="CV185" i="6"/>
  <c r="CT185" i="6"/>
  <c r="CS185" i="6"/>
  <c r="CV184" i="6"/>
  <c r="CT184" i="6"/>
  <c r="CS184" i="6"/>
  <c r="CV183" i="6"/>
  <c r="CT183" i="6"/>
  <c r="CS183" i="6"/>
  <c r="CV182" i="6"/>
  <c r="CT182" i="6"/>
  <c r="CS182" i="6"/>
  <c r="CV181" i="6"/>
  <c r="CT181" i="6"/>
  <c r="CS181" i="6"/>
  <c r="CV180" i="6"/>
  <c r="CT180" i="6"/>
  <c r="CS180" i="6"/>
  <c r="CV179" i="6"/>
  <c r="CT179" i="6"/>
  <c r="CS179" i="6"/>
  <c r="CV178" i="6"/>
  <c r="CT178" i="6"/>
  <c r="CS178" i="6"/>
  <c r="CV177" i="6"/>
  <c r="CT177" i="6"/>
  <c r="CS177" i="6"/>
  <c r="CV176" i="6"/>
  <c r="CT176" i="6"/>
  <c r="CS176" i="6"/>
  <c r="CV175" i="6"/>
  <c r="CT175" i="6"/>
  <c r="CS175" i="6"/>
  <c r="CV174" i="6"/>
  <c r="CT174" i="6"/>
  <c r="CS174" i="6"/>
  <c r="CV173" i="6"/>
  <c r="CT173" i="6"/>
  <c r="CS173" i="6"/>
  <c r="CV172" i="6"/>
  <c r="CT172" i="6"/>
  <c r="CS172" i="6"/>
  <c r="CV171" i="6"/>
  <c r="CT171" i="6"/>
  <c r="CS171" i="6"/>
  <c r="CV170" i="6"/>
  <c r="CT170" i="6"/>
  <c r="CS170" i="6"/>
  <c r="CV169" i="6"/>
  <c r="CS169" i="6"/>
  <c r="CV168" i="6"/>
  <c r="CS168" i="6"/>
  <c r="CV107" i="6"/>
  <c r="CT107" i="6"/>
  <c r="CS107" i="6"/>
  <c r="CV106" i="6"/>
  <c r="CT106" i="6"/>
  <c r="CS106" i="6"/>
  <c r="CV105" i="6"/>
  <c r="CT105" i="6"/>
  <c r="CS105" i="6"/>
  <c r="CV104" i="6"/>
  <c r="CT104" i="6"/>
  <c r="CS104" i="6"/>
  <c r="CV103" i="6"/>
  <c r="CT103" i="6"/>
  <c r="CS103" i="6"/>
  <c r="CV102" i="6"/>
  <c r="CT102" i="6"/>
  <c r="CS102" i="6"/>
  <c r="CV101" i="6"/>
  <c r="CT101" i="6"/>
  <c r="CS101" i="6"/>
  <c r="CV100" i="6"/>
  <c r="CT100" i="6"/>
  <c r="CS100" i="6"/>
  <c r="CV99" i="6"/>
  <c r="CT99" i="6"/>
  <c r="CS99" i="6"/>
  <c r="CV98" i="6"/>
  <c r="CT98" i="6"/>
  <c r="CS98" i="6"/>
  <c r="CV97" i="6"/>
  <c r="CT97" i="6"/>
  <c r="CS97" i="6"/>
  <c r="CV96" i="6"/>
  <c r="CT96" i="6"/>
  <c r="CS96" i="6"/>
  <c r="CV95" i="6"/>
  <c r="CT95" i="6"/>
  <c r="CS95" i="6"/>
  <c r="CV94" i="6"/>
  <c r="CT94" i="6"/>
  <c r="CS94" i="6"/>
  <c r="CV81" i="6"/>
  <c r="CT81" i="6"/>
  <c r="CS81" i="6"/>
  <c r="CV167" i="6"/>
  <c r="CT167" i="6"/>
  <c r="CS167" i="6"/>
  <c r="CV166" i="6"/>
  <c r="CT166" i="6"/>
  <c r="CS166" i="6"/>
  <c r="CV165" i="6"/>
  <c r="CT165" i="6"/>
  <c r="CS165" i="6"/>
  <c r="CV164" i="6"/>
  <c r="CT164" i="6"/>
  <c r="CS164" i="6"/>
  <c r="CT163" i="6"/>
  <c r="CV162" i="6"/>
  <c r="CT162" i="6"/>
  <c r="CS162" i="6"/>
  <c r="CV80" i="6"/>
  <c r="CS80" i="6"/>
  <c r="CV79" i="6"/>
  <c r="CT79" i="6"/>
  <c r="CS79" i="6"/>
  <c r="CV78" i="6"/>
  <c r="CS78" i="6"/>
  <c r="CV77" i="6"/>
  <c r="CT77" i="6"/>
  <c r="CS77" i="6"/>
  <c r="CV76" i="6"/>
  <c r="CT76" i="6"/>
  <c r="CS76" i="6"/>
  <c r="CV75" i="6"/>
  <c r="CT75" i="6"/>
  <c r="CS75" i="6"/>
  <c r="CV74" i="6"/>
  <c r="CT74" i="6"/>
  <c r="CS74" i="6"/>
  <c r="CV73" i="6"/>
  <c r="CT73" i="6"/>
  <c r="CS73" i="6"/>
  <c r="CV72" i="6"/>
  <c r="CT72" i="6"/>
  <c r="CS72" i="6"/>
  <c r="CV71" i="6"/>
  <c r="CT71" i="6"/>
  <c r="CS71" i="6"/>
  <c r="CV70" i="6"/>
  <c r="CT70" i="6"/>
  <c r="CS70" i="6"/>
  <c r="CV69" i="6"/>
  <c r="CT69" i="6"/>
  <c r="CS69" i="6"/>
  <c r="CV68" i="6"/>
  <c r="CT68" i="6"/>
  <c r="CS68" i="6"/>
  <c r="CV67" i="6"/>
  <c r="CT67" i="6"/>
  <c r="CS67" i="6"/>
  <c r="CV66" i="6"/>
  <c r="CT66" i="6"/>
  <c r="CS66" i="6"/>
  <c r="CV65" i="6"/>
  <c r="CT65" i="6"/>
  <c r="CS65" i="6"/>
  <c r="CV64" i="6"/>
  <c r="CT64" i="6"/>
  <c r="CS64" i="6"/>
  <c r="CV63" i="6"/>
  <c r="CT63" i="6"/>
  <c r="CS63" i="6"/>
  <c r="CV62" i="6"/>
  <c r="CT62" i="6"/>
  <c r="CS62" i="6"/>
  <c r="CV61" i="6"/>
  <c r="CT61" i="6"/>
  <c r="CS61" i="6"/>
  <c r="CV60" i="6"/>
  <c r="CT60" i="6"/>
  <c r="CS60" i="6"/>
  <c r="CV59" i="6"/>
  <c r="CT59" i="6"/>
  <c r="CS59" i="6"/>
  <c r="CV58" i="6"/>
  <c r="CT58" i="6"/>
  <c r="CS58" i="6"/>
  <c r="CV57" i="6"/>
  <c r="CT57" i="6"/>
  <c r="CS57" i="6"/>
  <c r="CV56" i="6"/>
  <c r="CT56" i="6"/>
  <c r="CS56" i="6"/>
  <c r="CV55" i="6"/>
  <c r="CT55" i="6"/>
  <c r="CS55" i="6"/>
  <c r="CV54" i="6"/>
  <c r="CT54" i="6"/>
  <c r="CS54" i="6"/>
  <c r="CV53" i="6"/>
  <c r="CT53" i="6"/>
  <c r="CS53" i="6"/>
  <c r="CV52" i="6"/>
  <c r="CT52" i="6"/>
  <c r="CS52" i="6"/>
  <c r="CV51" i="6"/>
  <c r="CT51" i="6"/>
  <c r="CS51" i="6"/>
  <c r="CV50" i="6"/>
  <c r="CT50" i="6"/>
  <c r="CS50" i="6"/>
  <c r="CV49" i="6"/>
  <c r="CT49" i="6"/>
  <c r="CS49" i="6"/>
  <c r="CV48" i="6"/>
  <c r="CT48" i="6"/>
  <c r="CS48" i="6"/>
  <c r="CV47" i="6"/>
  <c r="CT47" i="6"/>
  <c r="CS47" i="6"/>
  <c r="CV46" i="6"/>
  <c r="CT46" i="6"/>
  <c r="CS46" i="6"/>
  <c r="CV45" i="6"/>
  <c r="CT45" i="6"/>
  <c r="CS45" i="6"/>
  <c r="CV44" i="6"/>
  <c r="CT44" i="6"/>
  <c r="CS44" i="6"/>
  <c r="CV43" i="6"/>
  <c r="CT43" i="6"/>
  <c r="CS43" i="6"/>
  <c r="CV42" i="6"/>
  <c r="CT42" i="6"/>
  <c r="CS42" i="6"/>
  <c r="CV41" i="6"/>
  <c r="CT41" i="6"/>
  <c r="CS41" i="6"/>
  <c r="CV40" i="6"/>
  <c r="CT40" i="6"/>
  <c r="CS40" i="6"/>
  <c r="CV39" i="6"/>
  <c r="CT39" i="6"/>
  <c r="CS39" i="6"/>
  <c r="CV38" i="6"/>
  <c r="CT38" i="6"/>
  <c r="CS38" i="6"/>
  <c r="CV37" i="6"/>
  <c r="CT37" i="6"/>
  <c r="CS37" i="6"/>
  <c r="CV36" i="6"/>
  <c r="CT36" i="6"/>
  <c r="CS36" i="6"/>
  <c r="CV35" i="6"/>
  <c r="CT35" i="6"/>
  <c r="CS35" i="6"/>
  <c r="CV34" i="6"/>
  <c r="CT34" i="6"/>
  <c r="CS34" i="6"/>
  <c r="CV33" i="6"/>
  <c r="CT33" i="6"/>
  <c r="CS33" i="6"/>
  <c r="CV32" i="6"/>
  <c r="CT32" i="6"/>
  <c r="CS32" i="6"/>
  <c r="CV31" i="6"/>
  <c r="CT31" i="6"/>
  <c r="CS31" i="6"/>
  <c r="CV30" i="6"/>
  <c r="CT30" i="6"/>
  <c r="CS30" i="6"/>
  <c r="CV29" i="6"/>
  <c r="CT29" i="6"/>
  <c r="CS29" i="6"/>
  <c r="CV28" i="6"/>
  <c r="CS28" i="6"/>
  <c r="CV161" i="6"/>
  <c r="CT161" i="6"/>
  <c r="CS161" i="6"/>
  <c r="CV160" i="6"/>
  <c r="CT160" i="6"/>
  <c r="CS160" i="6"/>
  <c r="CV159" i="6"/>
  <c r="CT159" i="6"/>
  <c r="CS159" i="6"/>
  <c r="CV158" i="6"/>
  <c r="CT158" i="6"/>
  <c r="CS158" i="6"/>
  <c r="CV157" i="6"/>
  <c r="CT157" i="6"/>
  <c r="CS157" i="6"/>
  <c r="CV156" i="6"/>
  <c r="CT156" i="6"/>
  <c r="CS156" i="6"/>
  <c r="CV155" i="6"/>
  <c r="CT155" i="6"/>
  <c r="CS155" i="6"/>
  <c r="CV154" i="6"/>
  <c r="CT154" i="6"/>
  <c r="CS154" i="6"/>
  <c r="CV153" i="6"/>
  <c r="CT153" i="6"/>
  <c r="CS153" i="6"/>
  <c r="CV152" i="6"/>
  <c r="CT152" i="6"/>
  <c r="CS152" i="6"/>
  <c r="CV151" i="6"/>
  <c r="CT151" i="6"/>
  <c r="CS151" i="6"/>
  <c r="CV150" i="6"/>
  <c r="CT150" i="6"/>
  <c r="CS150" i="6"/>
  <c r="CV149" i="6"/>
  <c r="CT149" i="6"/>
  <c r="CS149" i="6"/>
  <c r="CV148" i="6"/>
  <c r="CT148" i="6"/>
  <c r="CS148" i="6"/>
  <c r="CV147" i="6"/>
  <c r="CT147" i="6"/>
  <c r="CS147" i="6"/>
  <c r="CV146" i="6"/>
  <c r="CT146" i="6"/>
  <c r="CS146" i="6"/>
  <c r="CV145" i="6"/>
  <c r="CT145" i="6"/>
  <c r="CS145" i="6"/>
  <c r="CV144" i="6"/>
  <c r="CT144" i="6"/>
  <c r="CS144" i="6"/>
  <c r="CV143" i="6"/>
  <c r="CT143" i="6"/>
  <c r="CS143" i="6"/>
  <c r="CV142" i="6"/>
  <c r="CT142" i="6"/>
  <c r="CS142" i="6"/>
  <c r="CV141" i="6"/>
  <c r="CT141" i="6"/>
  <c r="CS141" i="6"/>
  <c r="CV140" i="6"/>
  <c r="CT140" i="6"/>
  <c r="CS140" i="6"/>
  <c r="CV139" i="6"/>
  <c r="CT139" i="6"/>
  <c r="CS139" i="6"/>
  <c r="CV138" i="6"/>
  <c r="CT138" i="6"/>
  <c r="CS138" i="6"/>
  <c r="CV137" i="6"/>
  <c r="CT137" i="6"/>
  <c r="CS137" i="6"/>
  <c r="CV136" i="6"/>
  <c r="CT136" i="6"/>
  <c r="CS136" i="6"/>
  <c r="CV135" i="6"/>
  <c r="CT135" i="6"/>
  <c r="CS135" i="6"/>
  <c r="CV134" i="6"/>
  <c r="CT134" i="6"/>
  <c r="CS134" i="6"/>
  <c r="CV133" i="6"/>
  <c r="CT133" i="6"/>
  <c r="CS133" i="6"/>
  <c r="CV132" i="6"/>
  <c r="CT132" i="6"/>
  <c r="CS132" i="6"/>
  <c r="CV131" i="6"/>
  <c r="CT131" i="6"/>
  <c r="CS131" i="6"/>
  <c r="CV130" i="6"/>
  <c r="CT130" i="6"/>
  <c r="CS130" i="6"/>
  <c r="CV129" i="6"/>
  <c r="CT129" i="6"/>
  <c r="CS129" i="6"/>
  <c r="CV128" i="6"/>
  <c r="CT128" i="6"/>
  <c r="CS128" i="6"/>
  <c r="CV127" i="6"/>
  <c r="CT127" i="6"/>
  <c r="CS127" i="6"/>
  <c r="CV126" i="6"/>
  <c r="CT126" i="6"/>
  <c r="CS126" i="6"/>
  <c r="CV125" i="6"/>
  <c r="CT125" i="6"/>
  <c r="CS125" i="6"/>
  <c r="CV124" i="6"/>
  <c r="CT124" i="6"/>
  <c r="CS124" i="6"/>
  <c r="CV123" i="6"/>
  <c r="CT123" i="6"/>
  <c r="CS123" i="6"/>
  <c r="CV122" i="6"/>
  <c r="CT122" i="6"/>
  <c r="CS122" i="6"/>
  <c r="CV121" i="6"/>
  <c r="CT121" i="6"/>
  <c r="CS121" i="6"/>
  <c r="CV120" i="6"/>
  <c r="CT120" i="6"/>
  <c r="CS120" i="6"/>
  <c r="CT119" i="6"/>
  <c r="CS119" i="6"/>
  <c r="CT118" i="6"/>
  <c r="CS118" i="6"/>
  <c r="CT117" i="6"/>
  <c r="CS117" i="6"/>
  <c r="CV116" i="6"/>
  <c r="CT116" i="6"/>
  <c r="CS116" i="6"/>
  <c r="CV115" i="6"/>
  <c r="CT115" i="6"/>
  <c r="CS115" i="6"/>
  <c r="CV114" i="6"/>
  <c r="CT114" i="6"/>
  <c r="CS114" i="6"/>
  <c r="CV113" i="6"/>
  <c r="CT113" i="6"/>
  <c r="CS113" i="6"/>
  <c r="CV112" i="6"/>
  <c r="CT112" i="6"/>
  <c r="CS112" i="6"/>
  <c r="CV111" i="6"/>
  <c r="CT111" i="6"/>
  <c r="CS111" i="6"/>
  <c r="CV110" i="6"/>
  <c r="CT110" i="6"/>
  <c r="CS110" i="6"/>
  <c r="CV109" i="6"/>
  <c r="CT109" i="6"/>
  <c r="CS109" i="6"/>
  <c r="CV108" i="6"/>
  <c r="CT108" i="6"/>
  <c r="CS108" i="6"/>
  <c r="CV3698" i="6"/>
  <c r="CT3698" i="6"/>
  <c r="CS3698" i="6"/>
  <c r="CV3697" i="6"/>
  <c r="CT3697" i="6"/>
  <c r="CS3697" i="6"/>
  <c r="CV3696" i="6"/>
  <c r="CT3696" i="6"/>
  <c r="CS3696" i="6"/>
  <c r="CV3695" i="6"/>
  <c r="CT3695" i="6"/>
  <c r="CS3695" i="6"/>
  <c r="CV3694" i="6"/>
  <c r="CT3694" i="6"/>
  <c r="CS3694" i="6"/>
  <c r="CV3693" i="6"/>
  <c r="CT3693" i="6"/>
  <c r="CS3693" i="6"/>
  <c r="CV3692" i="6"/>
  <c r="CT3692" i="6"/>
  <c r="CS3692" i="6"/>
  <c r="CV3691" i="6"/>
  <c r="CT3691" i="6"/>
  <c r="CS3691" i="6"/>
  <c r="CV3690" i="6"/>
  <c r="CT3690" i="6"/>
  <c r="CS3690" i="6"/>
  <c r="CV3689" i="6"/>
  <c r="CT3689" i="6"/>
  <c r="CS3689" i="6"/>
  <c r="CV3688" i="6"/>
  <c r="CT3688" i="6"/>
  <c r="CS3688" i="6"/>
  <c r="CV3687" i="6"/>
  <c r="CT3687" i="6"/>
  <c r="CS3687" i="6"/>
  <c r="CV3686" i="6"/>
  <c r="CT3686" i="6"/>
  <c r="CS3686" i="6"/>
  <c r="CV3685" i="6"/>
  <c r="CT3685" i="6"/>
  <c r="CS3685" i="6"/>
  <c r="CV3684" i="6"/>
  <c r="CT3684" i="6"/>
  <c r="CS3684" i="6"/>
  <c r="CV3683" i="6"/>
  <c r="CT3683" i="6"/>
  <c r="CS3683" i="6"/>
  <c r="CV3682" i="6"/>
  <c r="CT3682" i="6"/>
  <c r="CS3682" i="6"/>
  <c r="CV3681" i="6"/>
  <c r="CT3681" i="6"/>
  <c r="CS3681" i="6"/>
  <c r="CV3680" i="6"/>
  <c r="CT3680" i="6"/>
  <c r="CS3680" i="6"/>
  <c r="CV3679" i="6"/>
  <c r="CT3679" i="6"/>
  <c r="CS3679" i="6"/>
  <c r="CV3678" i="6"/>
  <c r="CT3678" i="6"/>
  <c r="CS3678" i="6"/>
  <c r="CV3677" i="6"/>
  <c r="CT3677" i="6"/>
  <c r="CS3677" i="6"/>
  <c r="CV3676" i="6"/>
  <c r="CT3676" i="6"/>
  <c r="CS3676" i="6"/>
  <c r="CV3675" i="6"/>
  <c r="CT3675" i="6"/>
  <c r="CS3675" i="6"/>
  <c r="CV3674" i="6"/>
  <c r="CT3674" i="6"/>
  <c r="CS3674" i="6"/>
  <c r="CV3673" i="6"/>
  <c r="CT3673" i="6"/>
  <c r="CS3673" i="6"/>
  <c r="CV3672" i="6"/>
  <c r="CT3672" i="6"/>
  <c r="CS3672" i="6"/>
  <c r="CV3671" i="6"/>
  <c r="CT3671" i="6"/>
  <c r="CS3671" i="6"/>
  <c r="CV3670" i="6"/>
  <c r="CT3670" i="6"/>
  <c r="CS3670" i="6"/>
  <c r="CV3669" i="6"/>
  <c r="CT3669" i="6"/>
  <c r="CS3669" i="6"/>
  <c r="CV3668" i="6"/>
  <c r="CT3668" i="6"/>
  <c r="CS3668" i="6"/>
  <c r="CV3667" i="6"/>
  <c r="CT3667" i="6"/>
  <c r="CS3667" i="6"/>
  <c r="CV3666" i="6"/>
  <c r="CT3666" i="6"/>
  <c r="CS3666" i="6"/>
  <c r="CV3665" i="6"/>
  <c r="CT3665" i="6"/>
  <c r="CS3665" i="6"/>
  <c r="CV3664" i="6"/>
  <c r="CT3664" i="6"/>
  <c r="CS3664" i="6"/>
  <c r="CV3663" i="6"/>
  <c r="CT3663" i="6"/>
  <c r="CS3663" i="6"/>
  <c r="CV3662" i="6"/>
  <c r="CT3662" i="6"/>
  <c r="CS3662" i="6"/>
  <c r="CV3661" i="6"/>
  <c r="CT3661" i="6"/>
  <c r="CS3661" i="6"/>
  <c r="CV3660" i="6"/>
  <c r="CT3660" i="6"/>
  <c r="CS3660" i="6"/>
  <c r="CV3659" i="6"/>
  <c r="CT3659" i="6"/>
  <c r="CS3659" i="6"/>
  <c r="CV3658" i="6"/>
  <c r="CT3658" i="6"/>
  <c r="CS3658" i="6"/>
  <c r="CV3657" i="6"/>
  <c r="CT3657" i="6"/>
  <c r="CS3657" i="6"/>
  <c r="CV3656" i="6"/>
  <c r="CT3656" i="6"/>
  <c r="CS3656" i="6"/>
  <c r="CV3655" i="6"/>
  <c r="CT3655" i="6"/>
  <c r="CS3655" i="6"/>
  <c r="CV3654" i="6"/>
  <c r="CT3654" i="6"/>
  <c r="CS3654" i="6"/>
  <c r="CV3653" i="6"/>
  <c r="CT3653" i="6"/>
  <c r="CS3653" i="6"/>
  <c r="CV3652" i="6"/>
  <c r="CT3652" i="6"/>
  <c r="CS3652" i="6"/>
  <c r="CV3651" i="6"/>
  <c r="CT3651" i="6"/>
  <c r="CS3651" i="6"/>
  <c r="CV3650" i="6"/>
  <c r="CS3650" i="6"/>
  <c r="CV3649" i="6"/>
  <c r="CT3649" i="6"/>
  <c r="CS3649" i="6"/>
  <c r="CV3648" i="6"/>
  <c r="CT3648" i="6"/>
  <c r="CS3648" i="6"/>
  <c r="CV3647" i="6"/>
  <c r="CT3647" i="6"/>
  <c r="CS3647" i="6"/>
  <c r="CV3646" i="6"/>
  <c r="CT3646" i="6"/>
  <c r="CS3646" i="6"/>
  <c r="CV3645" i="6"/>
  <c r="CT3645" i="6"/>
  <c r="CS3645" i="6"/>
  <c r="CV3644" i="6"/>
  <c r="CT3644" i="6"/>
  <c r="CS3644" i="6"/>
  <c r="CV3643" i="6"/>
  <c r="CT3643" i="6"/>
  <c r="CS3643" i="6"/>
  <c r="CV3642" i="6"/>
  <c r="CT3642" i="6"/>
  <c r="CS3642" i="6"/>
  <c r="CV3641" i="6"/>
  <c r="CT3641" i="6"/>
  <c r="CS3641" i="6"/>
  <c r="CV3640" i="6"/>
  <c r="CT3640" i="6"/>
  <c r="CS3640" i="6"/>
  <c r="CV3639" i="6"/>
  <c r="CT3639" i="6"/>
  <c r="CS3639" i="6"/>
  <c r="CV3638" i="6"/>
  <c r="CT3638" i="6"/>
  <c r="CS3638" i="6"/>
  <c r="CV3637" i="6"/>
  <c r="CT3637" i="6"/>
  <c r="CS3637" i="6"/>
  <c r="CV3636" i="6"/>
  <c r="CT3636" i="6"/>
  <c r="CS3636" i="6"/>
  <c r="CV3635" i="6"/>
  <c r="CT3635" i="6"/>
  <c r="CS3635" i="6"/>
  <c r="CV3634" i="6"/>
  <c r="CT3634" i="6"/>
  <c r="CS3634" i="6"/>
  <c r="CV3633" i="6"/>
  <c r="CT3633" i="6"/>
  <c r="CS3633" i="6"/>
  <c r="CV3632" i="6"/>
  <c r="CT3632" i="6"/>
  <c r="CS3632" i="6"/>
  <c r="CV3631" i="6"/>
  <c r="CT3631" i="6"/>
  <c r="CS3631" i="6"/>
  <c r="CV3630" i="6"/>
  <c r="CT3630" i="6"/>
  <c r="CS3630" i="6"/>
  <c r="CV3629" i="6"/>
  <c r="CT3629" i="6"/>
  <c r="CS3629" i="6"/>
  <c r="CV3628" i="6"/>
  <c r="CT3628" i="6"/>
  <c r="CS3628" i="6"/>
  <c r="CV3627" i="6"/>
  <c r="CT3627" i="6"/>
  <c r="CS3627" i="6"/>
  <c r="CV3626" i="6"/>
  <c r="CT3626" i="6"/>
  <c r="CS3626" i="6"/>
  <c r="CV3625" i="6"/>
  <c r="CT3625" i="6"/>
  <c r="CS3625" i="6"/>
  <c r="CV3624" i="6"/>
  <c r="CT3624" i="6"/>
  <c r="CS3624" i="6"/>
  <c r="CV3604" i="6"/>
  <c r="CT3604" i="6"/>
  <c r="CS3604" i="6"/>
  <c r="CV3603" i="6"/>
  <c r="CT3603" i="6"/>
  <c r="CS3603" i="6"/>
  <c r="CV3602" i="6"/>
  <c r="CT3602" i="6"/>
  <c r="CS3602" i="6"/>
  <c r="CV3601" i="6"/>
  <c r="CT3601" i="6"/>
  <c r="CS3601" i="6"/>
  <c r="CV3600" i="6"/>
  <c r="CT3600" i="6"/>
  <c r="CS3600" i="6"/>
  <c r="CV3599" i="6"/>
  <c r="CT3599" i="6"/>
  <c r="CS3599" i="6"/>
  <c r="CV3598" i="6"/>
  <c r="CT3598" i="6"/>
  <c r="CS3598" i="6"/>
  <c r="CV3597" i="6"/>
  <c r="CT3597" i="6"/>
  <c r="CS3597" i="6"/>
  <c r="CV3596" i="6"/>
  <c r="CT3596" i="6"/>
  <c r="CS3596" i="6"/>
  <c r="CV3595" i="6"/>
  <c r="CT3595" i="6"/>
  <c r="CS3595" i="6"/>
  <c r="CV3594" i="6"/>
  <c r="CT3594" i="6"/>
  <c r="CS3594" i="6"/>
  <c r="CV3593" i="6"/>
  <c r="CT3593" i="6"/>
  <c r="CS3593" i="6"/>
  <c r="CV3592" i="6"/>
  <c r="CT3592" i="6"/>
  <c r="CS3592" i="6"/>
  <c r="CV3591" i="6"/>
  <c r="CT3591" i="6"/>
  <c r="CS3591" i="6"/>
  <c r="CV3590" i="6"/>
  <c r="CT3590" i="6"/>
  <c r="CS3590" i="6"/>
  <c r="CV3589" i="6"/>
  <c r="CT3589" i="6"/>
  <c r="CS3589" i="6"/>
  <c r="CV3588" i="6"/>
  <c r="CT3588" i="6"/>
  <c r="CS3588" i="6"/>
  <c r="CV3587" i="6"/>
  <c r="CT3587" i="6"/>
  <c r="CS3587" i="6"/>
  <c r="CV3586" i="6"/>
  <c r="CT3586" i="6"/>
  <c r="CS3586" i="6"/>
  <c r="CV3585" i="6"/>
  <c r="CT3585" i="6"/>
  <c r="CS3585" i="6"/>
  <c r="CV3584" i="6"/>
  <c r="CT3584" i="6"/>
  <c r="CS3584" i="6"/>
  <c r="CV3583" i="6"/>
  <c r="CT3583" i="6"/>
  <c r="CS3583" i="6"/>
  <c r="CV3582" i="6"/>
  <c r="CT3582" i="6"/>
  <c r="CS3582" i="6"/>
  <c r="CV3581" i="6"/>
  <c r="CT3581" i="6"/>
  <c r="CS3581" i="6"/>
  <c r="CV3580" i="6"/>
  <c r="CT3580" i="6"/>
  <c r="CS3580" i="6"/>
  <c r="CV3579" i="6"/>
  <c r="CT3579" i="6"/>
  <c r="CS3579" i="6"/>
  <c r="CV3578" i="6"/>
  <c r="CT3578" i="6"/>
  <c r="CS3578" i="6"/>
  <c r="CV3577" i="6"/>
  <c r="CT3577" i="6"/>
  <c r="CS3577" i="6"/>
  <c r="CV3576" i="6"/>
  <c r="CT3576" i="6"/>
  <c r="CS3576" i="6"/>
  <c r="CV3575" i="6"/>
  <c r="CT3575" i="6"/>
  <c r="CS3575" i="6"/>
  <c r="CV3574" i="6"/>
  <c r="CT3574" i="6"/>
  <c r="CS3574" i="6"/>
  <c r="CV3573" i="6"/>
  <c r="CT3573" i="6"/>
  <c r="CS3573" i="6"/>
  <c r="CV3572" i="6"/>
  <c r="CT3572" i="6"/>
  <c r="CS3572" i="6"/>
  <c r="CV3571" i="6"/>
  <c r="CT3571" i="6"/>
  <c r="CS3571" i="6"/>
  <c r="CV3570" i="6"/>
  <c r="CT3570" i="6"/>
  <c r="CS3570" i="6"/>
  <c r="CV3569" i="6"/>
  <c r="CT3569" i="6"/>
  <c r="CS3569" i="6"/>
  <c r="CV3568" i="6"/>
  <c r="CT3568" i="6"/>
  <c r="CS3568" i="6"/>
  <c r="CV3567" i="6"/>
  <c r="CT3567" i="6"/>
  <c r="CS3567" i="6"/>
  <c r="CV3566" i="6"/>
  <c r="CT3566" i="6"/>
  <c r="CS3566" i="6"/>
  <c r="CV3565" i="6"/>
  <c r="CT3565" i="6"/>
  <c r="CS3565" i="6"/>
  <c r="CV3564" i="6"/>
  <c r="CT3564" i="6"/>
  <c r="CS3564" i="6"/>
  <c r="CV3563" i="6"/>
  <c r="CT3563" i="6"/>
  <c r="CS3563" i="6"/>
  <c r="CV3562" i="6"/>
  <c r="CT3562" i="6"/>
  <c r="CS3562" i="6"/>
  <c r="CV3561" i="6"/>
  <c r="CT3561" i="6"/>
  <c r="CS3561" i="6"/>
  <c r="CV3560" i="6"/>
  <c r="CT3560" i="6"/>
  <c r="CS3560" i="6"/>
  <c r="CV3559" i="6"/>
  <c r="CT3559" i="6"/>
  <c r="CS3559" i="6"/>
  <c r="CV3558" i="6"/>
  <c r="CT3558" i="6"/>
  <c r="CS3558" i="6"/>
  <c r="CV3557" i="6"/>
  <c r="CT3557" i="6"/>
  <c r="CS3557" i="6"/>
  <c r="CV3556" i="6"/>
  <c r="CT3556" i="6"/>
  <c r="CS3556" i="6"/>
  <c r="CV3555" i="6"/>
  <c r="CT3555" i="6"/>
  <c r="CS3555" i="6"/>
  <c r="CV3554" i="6"/>
  <c r="CT3554" i="6"/>
  <c r="CS3554" i="6"/>
  <c r="CV3553" i="6"/>
  <c r="CT3553" i="6"/>
  <c r="CS3553" i="6"/>
  <c r="CV3552" i="6"/>
  <c r="CT3552" i="6"/>
  <c r="CS3552" i="6"/>
  <c r="CV3551" i="6"/>
  <c r="CT3551" i="6"/>
  <c r="CS3551" i="6"/>
  <c r="CV3550" i="6"/>
  <c r="CT3550" i="6"/>
  <c r="CS3550" i="6"/>
  <c r="CV3549" i="6"/>
  <c r="CT3549" i="6"/>
  <c r="CS3549" i="6"/>
  <c r="CV3548" i="6"/>
  <c r="CT3548" i="6"/>
  <c r="CS3548" i="6"/>
  <c r="CV3547" i="6"/>
  <c r="CT3547" i="6"/>
  <c r="CS3547" i="6"/>
  <c r="CV3546" i="6"/>
  <c r="CT3546" i="6"/>
  <c r="CS3546" i="6"/>
  <c r="CV3545" i="6"/>
  <c r="CT3545" i="6"/>
  <c r="CS3545" i="6"/>
  <c r="CV3544" i="6"/>
  <c r="CT3544" i="6"/>
  <c r="CS3544" i="6"/>
  <c r="CV3543" i="6"/>
  <c r="CT3543" i="6"/>
  <c r="CS3543" i="6"/>
  <c r="CV3542" i="6"/>
  <c r="CS3542" i="6"/>
  <c r="CV3541" i="6"/>
  <c r="CT3541" i="6"/>
  <c r="CS3541" i="6"/>
  <c r="CV3540" i="6"/>
  <c r="CT3540" i="6"/>
  <c r="CS3540" i="6"/>
  <c r="CV3539" i="6"/>
  <c r="CT3539" i="6"/>
  <c r="CS3539" i="6"/>
  <c r="CV3538" i="6"/>
  <c r="CT3538" i="6"/>
  <c r="CS3538" i="6"/>
  <c r="CV3537" i="6"/>
  <c r="CT3537" i="6"/>
  <c r="CS3537" i="6"/>
  <c r="CV3536" i="6"/>
  <c r="CT3536" i="6"/>
  <c r="CS3536" i="6"/>
  <c r="CV3535" i="6"/>
  <c r="CT3535" i="6"/>
  <c r="CS3535" i="6"/>
  <c r="CV3534" i="6"/>
  <c r="CT3534" i="6"/>
  <c r="CS3534" i="6"/>
  <c r="CV3533" i="6"/>
  <c r="CT3533" i="6"/>
  <c r="CS3533" i="6"/>
  <c r="CV3532" i="6"/>
  <c r="CT3532" i="6"/>
  <c r="CS3532" i="6"/>
  <c r="CV3531" i="6"/>
  <c r="CT3531" i="6"/>
  <c r="CS3531" i="6"/>
  <c r="CV3530" i="6"/>
  <c r="CT3530" i="6"/>
  <c r="CS3530" i="6"/>
  <c r="CV3529" i="6"/>
  <c r="CT3529" i="6"/>
  <c r="CS3529" i="6"/>
  <c r="CV3528" i="6"/>
  <c r="CT3528" i="6"/>
  <c r="CS3528" i="6"/>
  <c r="CV3527" i="6"/>
  <c r="CT3527" i="6"/>
  <c r="CS3527" i="6"/>
  <c r="CV3526" i="6"/>
  <c r="CT3526" i="6"/>
  <c r="CS3526" i="6"/>
  <c r="CV3525" i="6"/>
  <c r="CT3525" i="6"/>
  <c r="CS3525" i="6"/>
  <c r="CV3524" i="6"/>
  <c r="CT3524" i="6"/>
  <c r="CS3524" i="6"/>
  <c r="CV3523" i="6"/>
  <c r="CT3523" i="6"/>
  <c r="CS3523" i="6"/>
  <c r="CV3522" i="6"/>
  <c r="CT3522" i="6"/>
  <c r="CS3522" i="6"/>
  <c r="CV3521" i="6"/>
  <c r="CT3521" i="6"/>
  <c r="CS3521" i="6"/>
  <c r="CV3520" i="6"/>
  <c r="CT3520" i="6"/>
  <c r="CS3520" i="6"/>
  <c r="CV3519" i="6"/>
  <c r="CT3519" i="6"/>
  <c r="CS3519" i="6"/>
  <c r="CV3518" i="6"/>
  <c r="CT3518" i="6"/>
  <c r="CS3518" i="6"/>
  <c r="CV3517" i="6"/>
  <c r="CT3517" i="6"/>
  <c r="CS3517" i="6"/>
  <c r="CV3516" i="6"/>
  <c r="CT3516" i="6"/>
  <c r="CS3516" i="6"/>
  <c r="CV3515" i="6"/>
  <c r="CT3515" i="6"/>
  <c r="CS3515" i="6"/>
  <c r="CV3514" i="6"/>
  <c r="CT3514" i="6"/>
  <c r="CS3514" i="6"/>
  <c r="CV3513" i="6"/>
  <c r="CT3513" i="6"/>
  <c r="CS3513" i="6"/>
  <c r="CV3512" i="6"/>
  <c r="CT3512" i="6"/>
  <c r="CS3512" i="6"/>
  <c r="CV3511" i="6"/>
  <c r="CT3511" i="6"/>
  <c r="CS3511" i="6"/>
  <c r="CV3510" i="6"/>
  <c r="CT3510" i="6"/>
  <c r="CS3510" i="6"/>
  <c r="CV3509" i="6"/>
  <c r="CT3509" i="6"/>
  <c r="CS3509" i="6"/>
  <c r="CV3508" i="6"/>
  <c r="CT3508" i="6"/>
  <c r="CS3508" i="6"/>
  <c r="CV3507" i="6"/>
  <c r="CT3507" i="6"/>
  <c r="CS3507" i="6"/>
  <c r="CV3506" i="6"/>
  <c r="CT3506" i="6"/>
  <c r="CS3506" i="6"/>
  <c r="CV3505" i="6"/>
  <c r="CT3505" i="6"/>
  <c r="CS3505" i="6"/>
  <c r="CV3504" i="6"/>
  <c r="CT3504" i="6"/>
  <c r="CS3504" i="6"/>
  <c r="CV3503" i="6"/>
  <c r="CT3503" i="6"/>
  <c r="CS3503" i="6"/>
  <c r="CV3502" i="6"/>
  <c r="CT3502" i="6"/>
  <c r="CS3502" i="6"/>
  <c r="CV3501" i="6"/>
  <c r="CT3501" i="6"/>
  <c r="CS3501" i="6"/>
  <c r="CV3500" i="6"/>
  <c r="CT3500" i="6"/>
  <c r="CS3500" i="6"/>
  <c r="CV3499" i="6"/>
  <c r="CT3499" i="6"/>
  <c r="CS3499" i="6"/>
  <c r="CV3498" i="6"/>
  <c r="CT3498" i="6"/>
  <c r="CS3498" i="6"/>
  <c r="CV3497" i="6"/>
  <c r="CT3497" i="6"/>
  <c r="CS3497" i="6"/>
  <c r="CV3496" i="6"/>
  <c r="CT3496" i="6"/>
  <c r="CS3496" i="6"/>
  <c r="CV3495" i="6"/>
  <c r="CS3495" i="6"/>
  <c r="CV3494" i="6"/>
  <c r="CS3494" i="6"/>
  <c r="CV3493" i="6"/>
  <c r="CS3493" i="6"/>
  <c r="CV3492" i="6"/>
  <c r="CS3492" i="6"/>
  <c r="CV3491" i="6"/>
  <c r="CT3491" i="6"/>
  <c r="CS3491" i="6"/>
  <c r="CV3490" i="6"/>
  <c r="CT3490" i="6"/>
  <c r="CS3490" i="6"/>
  <c r="CV3489" i="6"/>
  <c r="CT3489" i="6"/>
  <c r="CS3489" i="6"/>
  <c r="CV3488" i="6"/>
  <c r="CT3488" i="6"/>
  <c r="CS3488" i="6"/>
  <c r="CV3487" i="6"/>
  <c r="CT3487" i="6"/>
  <c r="CS3487" i="6"/>
  <c r="CV3486" i="6"/>
  <c r="CT3486" i="6"/>
  <c r="CS3486" i="6"/>
  <c r="CV3485" i="6"/>
  <c r="CT3485" i="6"/>
  <c r="CS3485" i="6"/>
  <c r="CV3484" i="6"/>
  <c r="CT3484" i="6"/>
  <c r="CS3484" i="6"/>
  <c r="CV3483" i="6"/>
  <c r="CT3483" i="6"/>
  <c r="CS3483" i="6"/>
  <c r="CV3482" i="6"/>
  <c r="CT3482" i="6"/>
  <c r="CS3482" i="6"/>
  <c r="CV3481" i="6"/>
  <c r="CT3481" i="6"/>
  <c r="CS3481" i="6"/>
  <c r="CV3480" i="6"/>
  <c r="CT3480" i="6"/>
  <c r="CS3480" i="6"/>
  <c r="CV3479" i="6"/>
  <c r="CT3479" i="6"/>
  <c r="CS3479" i="6"/>
  <c r="CV3478" i="6"/>
  <c r="CT3478" i="6"/>
  <c r="CS3478" i="6"/>
  <c r="CV3477" i="6"/>
  <c r="CT3477" i="6"/>
  <c r="CS3477" i="6"/>
  <c r="CV3476" i="6"/>
  <c r="CT3476" i="6"/>
  <c r="CS3476" i="6"/>
  <c r="CV3475" i="6"/>
  <c r="CT3475" i="6"/>
  <c r="CS3475" i="6"/>
  <c r="CV3474" i="6"/>
  <c r="CT3474" i="6"/>
  <c r="CS3474" i="6"/>
  <c r="CV3473" i="6"/>
  <c r="CT3473" i="6"/>
  <c r="CS3473" i="6"/>
  <c r="CV3472" i="6"/>
  <c r="CT3472" i="6"/>
  <c r="CS3472" i="6"/>
  <c r="CV3471" i="6"/>
  <c r="CT3471" i="6"/>
  <c r="CS3471" i="6"/>
  <c r="CV3470" i="6"/>
  <c r="CT3470" i="6"/>
  <c r="CS3470" i="6"/>
  <c r="CV3469" i="6"/>
  <c r="CT3469" i="6"/>
  <c r="CS3469" i="6"/>
  <c r="CV3468" i="6"/>
  <c r="CT3468" i="6"/>
  <c r="CS3468" i="6"/>
  <c r="CV3467" i="6"/>
  <c r="CT3467" i="6"/>
  <c r="CS3467" i="6"/>
  <c r="CV3466" i="6"/>
  <c r="CT3466" i="6"/>
  <c r="CS3466" i="6"/>
  <c r="CV3465" i="6"/>
  <c r="CT3465" i="6"/>
  <c r="CS3465" i="6"/>
  <c r="CV3464" i="6"/>
  <c r="CT3464" i="6"/>
  <c r="CS3464" i="6"/>
  <c r="CV3463" i="6"/>
  <c r="CT3463" i="6"/>
  <c r="CS3463" i="6"/>
  <c r="CV3462" i="6"/>
  <c r="CT3462" i="6"/>
  <c r="CS3462" i="6"/>
  <c r="CV3461" i="6"/>
  <c r="CT3461" i="6"/>
  <c r="CS3461" i="6"/>
  <c r="CV3460" i="6"/>
  <c r="CT3460" i="6"/>
  <c r="CS3460" i="6"/>
  <c r="CV3459" i="6"/>
  <c r="CT3459" i="6"/>
  <c r="CS3459" i="6"/>
  <c r="CV3458" i="6"/>
  <c r="CT3458" i="6"/>
  <c r="CS3458" i="6"/>
  <c r="CV3457" i="6"/>
  <c r="CT3457" i="6"/>
  <c r="CS3457" i="6"/>
  <c r="CV3456" i="6"/>
  <c r="CT3456" i="6"/>
  <c r="CS3456" i="6"/>
  <c r="CV3455" i="6"/>
  <c r="CT3455" i="6"/>
  <c r="CS3455" i="6"/>
  <c r="CV3454" i="6"/>
  <c r="CT3454" i="6"/>
  <c r="CS3454" i="6"/>
  <c r="CV3453" i="6"/>
  <c r="CT3453" i="6"/>
  <c r="CS3453" i="6"/>
  <c r="CV3452" i="6"/>
  <c r="CT3452" i="6"/>
  <c r="CS3452" i="6"/>
  <c r="CV3451" i="6"/>
  <c r="CT3451" i="6"/>
  <c r="CS3451" i="6"/>
  <c r="CV3450" i="6"/>
  <c r="CT3450" i="6"/>
  <c r="CS3450" i="6"/>
  <c r="CV3449" i="6"/>
  <c r="CT3449" i="6"/>
  <c r="CS3449" i="6"/>
  <c r="CV3448" i="6"/>
  <c r="CT3448" i="6"/>
  <c r="CS3448" i="6"/>
  <c r="CV3447" i="6"/>
  <c r="CT3447" i="6"/>
  <c r="CS3447" i="6"/>
  <c r="CV3446" i="6"/>
  <c r="CT3446" i="6"/>
  <c r="CS3446" i="6"/>
  <c r="CV3445" i="6"/>
  <c r="CS3445" i="6"/>
  <c r="CV3444" i="6"/>
  <c r="CS3444" i="6"/>
  <c r="CV3443" i="6"/>
  <c r="CS3443" i="6"/>
  <c r="CV3442" i="6"/>
  <c r="CS3442" i="6"/>
  <c r="CV3441" i="6"/>
  <c r="CS3441" i="6"/>
  <c r="CV3440" i="6"/>
  <c r="CT3440" i="6"/>
  <c r="CS3440" i="6"/>
  <c r="CV3439" i="6"/>
  <c r="CT3439" i="6"/>
  <c r="CS3439" i="6"/>
  <c r="CV3438" i="6"/>
  <c r="CT3438" i="6"/>
  <c r="CS3438" i="6"/>
  <c r="CV3437" i="6"/>
  <c r="CT3437" i="6"/>
  <c r="CS3437" i="6"/>
  <c r="CV3436" i="6"/>
  <c r="CT3436" i="6"/>
  <c r="CS3436" i="6"/>
  <c r="CV3435" i="6"/>
  <c r="CT3435" i="6"/>
  <c r="CS3435" i="6"/>
  <c r="CV3434" i="6"/>
  <c r="CT3434" i="6"/>
  <c r="CS3434" i="6"/>
  <c r="CV3433" i="6"/>
  <c r="CT3433" i="6"/>
  <c r="CS3433" i="6"/>
  <c r="CV3432" i="6"/>
  <c r="CT3432" i="6"/>
  <c r="CS3432" i="6"/>
  <c r="CV3431" i="6"/>
  <c r="CT3431" i="6"/>
  <c r="CS3431" i="6"/>
  <c r="CV3430" i="6"/>
  <c r="CT3430" i="6"/>
  <c r="CS3430" i="6"/>
  <c r="CV3429" i="6"/>
  <c r="CT3429" i="6"/>
  <c r="CS3429" i="6"/>
  <c r="CV3428" i="6"/>
  <c r="CT3428" i="6"/>
  <c r="CS3428" i="6"/>
  <c r="CV3427" i="6"/>
  <c r="CT3427" i="6"/>
  <c r="CS3427" i="6"/>
  <c r="CV3426" i="6"/>
  <c r="CT3426" i="6"/>
  <c r="CS3426" i="6"/>
  <c r="CV3425" i="6"/>
  <c r="CT3425" i="6"/>
  <c r="CS3425" i="6"/>
  <c r="CV3424" i="6"/>
  <c r="CT3424" i="6"/>
  <c r="CS3424" i="6"/>
  <c r="CV3423" i="6"/>
  <c r="CT3423" i="6"/>
  <c r="CS3423" i="6"/>
  <c r="CV3422" i="6"/>
  <c r="CT3422" i="6"/>
  <c r="CS3422" i="6"/>
  <c r="CV3421" i="6"/>
  <c r="CT3421" i="6"/>
  <c r="CS3421" i="6"/>
  <c r="CV3420" i="6"/>
  <c r="CT3420" i="6"/>
  <c r="CS3420" i="6"/>
  <c r="CV3419" i="6"/>
  <c r="CT3419" i="6"/>
  <c r="CS3419" i="6"/>
  <c r="CV3418" i="6"/>
  <c r="CT3418" i="6"/>
  <c r="CS3418" i="6"/>
  <c r="CV3417" i="6"/>
  <c r="CT3417" i="6"/>
  <c r="CS3417" i="6"/>
  <c r="CV3416" i="6"/>
  <c r="CT3416" i="6"/>
  <c r="CS3416" i="6"/>
  <c r="CV3415" i="6"/>
  <c r="CT3415" i="6"/>
  <c r="CS3415" i="6"/>
  <c r="CV3414" i="6"/>
  <c r="CT3414" i="6"/>
  <c r="CS3414" i="6"/>
  <c r="CV3413" i="6"/>
  <c r="CT3413" i="6"/>
  <c r="CS3413" i="6"/>
  <c r="CV3412" i="6"/>
  <c r="CT3412" i="6"/>
  <c r="CS3412" i="6"/>
  <c r="CV3411" i="6"/>
  <c r="CT3411" i="6"/>
  <c r="CS3411" i="6"/>
  <c r="CV3410" i="6"/>
  <c r="CT3410" i="6"/>
  <c r="CS3410" i="6"/>
  <c r="CV3409" i="6"/>
  <c r="CT3409" i="6"/>
  <c r="CS3409" i="6"/>
  <c r="CV3408" i="6"/>
  <c r="CT3408" i="6"/>
  <c r="CS3408" i="6"/>
  <c r="CV3407" i="6"/>
  <c r="CT3407" i="6"/>
  <c r="CS3407" i="6"/>
  <c r="CV3406" i="6"/>
  <c r="CT3406" i="6"/>
  <c r="CS3406" i="6"/>
  <c r="CV3405" i="6"/>
  <c r="CT3405" i="6"/>
  <c r="CS3405" i="6"/>
  <c r="CV3404" i="6"/>
  <c r="CT3404" i="6"/>
  <c r="CS3404" i="6"/>
  <c r="CV3403" i="6"/>
  <c r="CS3403" i="6"/>
  <c r="CV3402" i="6"/>
  <c r="CS3402" i="6"/>
  <c r="CV3401" i="6"/>
  <c r="CT3401" i="6"/>
  <c r="CS3401" i="6"/>
  <c r="CV3400" i="6"/>
  <c r="CT3400" i="6"/>
  <c r="CS3400" i="6"/>
  <c r="CV3399" i="6"/>
  <c r="CT3399" i="6"/>
  <c r="CS3399" i="6"/>
  <c r="CV3398" i="6"/>
  <c r="CT3398" i="6"/>
  <c r="CS3398" i="6"/>
  <c r="CV3397" i="6"/>
  <c r="CT3397" i="6"/>
  <c r="CS3397" i="6"/>
  <c r="CV3396" i="6"/>
  <c r="CT3396" i="6"/>
  <c r="CS3396" i="6"/>
  <c r="CV3395" i="6"/>
  <c r="CT3395" i="6"/>
  <c r="CS3395" i="6"/>
  <c r="CV3394" i="6"/>
  <c r="CT3394" i="6"/>
  <c r="CS3394" i="6"/>
  <c r="CV3393" i="6"/>
  <c r="CT3393" i="6"/>
  <c r="CS3393" i="6"/>
  <c r="CV3392" i="6"/>
  <c r="CT3392" i="6"/>
  <c r="CS3392" i="6"/>
  <c r="CV3391" i="6"/>
  <c r="CT3391" i="6"/>
  <c r="CS3391" i="6"/>
  <c r="CV3390" i="6"/>
  <c r="CT3390" i="6"/>
  <c r="CS3390" i="6"/>
  <c r="CV3389" i="6"/>
  <c r="CT3389" i="6"/>
  <c r="CS3389" i="6"/>
  <c r="CV3388" i="6"/>
  <c r="CT3388" i="6"/>
  <c r="CS3388" i="6"/>
  <c r="CV3387" i="6"/>
  <c r="CT3387" i="6"/>
  <c r="CS3387" i="6"/>
  <c r="CV3386" i="6"/>
  <c r="CT3386" i="6"/>
  <c r="CS3386" i="6"/>
  <c r="CV3385" i="6"/>
  <c r="CT3385" i="6"/>
  <c r="CS3385" i="6"/>
  <c r="CV3384" i="6"/>
  <c r="CT3384" i="6"/>
  <c r="CS3384" i="6"/>
  <c r="CV3383" i="6"/>
  <c r="CT3383" i="6"/>
  <c r="CS3383" i="6"/>
  <c r="CV3382" i="6"/>
  <c r="CT3382" i="6"/>
  <c r="CS3382" i="6"/>
  <c r="CV3381" i="6"/>
  <c r="CT3381" i="6"/>
  <c r="CS3381" i="6"/>
  <c r="CV3380" i="6"/>
  <c r="CT3380" i="6"/>
  <c r="CS3380" i="6"/>
  <c r="CV3379" i="6"/>
  <c r="CT3379" i="6"/>
  <c r="CS3379" i="6"/>
  <c r="CV3378" i="6"/>
  <c r="CT3378" i="6"/>
  <c r="CS3378" i="6"/>
  <c r="CV3377" i="6"/>
  <c r="CT3377" i="6"/>
  <c r="CS3377" i="6"/>
  <c r="CV3376" i="6"/>
  <c r="CT3376" i="6"/>
  <c r="CS3376" i="6"/>
  <c r="CV3375" i="6"/>
  <c r="CT3375" i="6"/>
  <c r="CS3375" i="6"/>
  <c r="CV3374" i="6"/>
  <c r="CT3374" i="6"/>
  <c r="CS3374" i="6"/>
  <c r="CV3373" i="6"/>
  <c r="CT3373" i="6"/>
  <c r="CS3373" i="6"/>
  <c r="CV3372" i="6"/>
  <c r="CT3372" i="6"/>
  <c r="CS3372" i="6"/>
  <c r="CV3371" i="6"/>
  <c r="CT3371" i="6"/>
  <c r="CS3371" i="6"/>
  <c r="CV3370" i="6"/>
  <c r="CT3370" i="6"/>
  <c r="CS3370" i="6"/>
  <c r="CV3369" i="6"/>
  <c r="CT3369" i="6"/>
  <c r="CS3369" i="6"/>
  <c r="CV3368" i="6"/>
  <c r="CT3368" i="6"/>
  <c r="CS3368" i="6"/>
  <c r="CV3367" i="6"/>
  <c r="CT3367" i="6"/>
  <c r="CS3367" i="6"/>
  <c r="CV3366" i="6"/>
  <c r="CT3366" i="6"/>
  <c r="CS3366" i="6"/>
  <c r="CV3365" i="6"/>
  <c r="CT3365" i="6"/>
  <c r="CS3365" i="6"/>
  <c r="CV3364" i="6"/>
  <c r="CT3364" i="6"/>
  <c r="CS3364" i="6"/>
  <c r="CV3363" i="6"/>
  <c r="CT3363" i="6"/>
  <c r="CS3363" i="6"/>
  <c r="CV3362" i="6"/>
  <c r="CT3362" i="6"/>
  <c r="CS3362" i="6"/>
  <c r="CV3361" i="6"/>
  <c r="CT3361" i="6"/>
  <c r="CS3361" i="6"/>
  <c r="CV3360" i="6"/>
  <c r="CT3360" i="6"/>
  <c r="CS3360" i="6"/>
  <c r="CV3359" i="6"/>
  <c r="CT3359" i="6"/>
  <c r="CS3359" i="6"/>
  <c r="CV3358" i="6"/>
  <c r="CT3358" i="6"/>
  <c r="CS3358" i="6"/>
  <c r="CV3357" i="6"/>
  <c r="CT3357" i="6"/>
  <c r="CS3357" i="6"/>
  <c r="CV3356" i="6"/>
  <c r="CS3356" i="6"/>
  <c r="CV3355" i="6"/>
  <c r="CS3355" i="6"/>
  <c r="CV3354" i="6"/>
  <c r="CS3354" i="6"/>
  <c r="CV3353" i="6"/>
  <c r="CT3353" i="6"/>
  <c r="CS3353" i="6"/>
  <c r="CV3352" i="6"/>
  <c r="CT3352" i="6"/>
  <c r="CS3352" i="6"/>
  <c r="CV3351" i="6"/>
  <c r="CS3351" i="6"/>
  <c r="CV3350" i="6"/>
  <c r="CT3350" i="6"/>
  <c r="CS3350" i="6"/>
  <c r="CV3349" i="6"/>
  <c r="CT3349" i="6"/>
  <c r="CS3349" i="6"/>
  <c r="CV3348" i="6"/>
  <c r="CT3348" i="6"/>
  <c r="CS3348" i="6"/>
  <c r="CV3347" i="6"/>
  <c r="CS3347" i="6"/>
  <c r="CV3346" i="6"/>
  <c r="CT3346" i="6"/>
  <c r="CS3346" i="6"/>
  <c r="CV3345" i="6"/>
  <c r="CT3345" i="6"/>
  <c r="CS3345" i="6"/>
  <c r="CV3344" i="6"/>
  <c r="CT3344" i="6"/>
  <c r="CS3344" i="6"/>
  <c r="CV3343" i="6"/>
  <c r="CT3343" i="6"/>
  <c r="CS3343" i="6"/>
  <c r="CV3342" i="6"/>
  <c r="CT3342" i="6"/>
  <c r="CS3342" i="6"/>
  <c r="CV3341" i="6"/>
  <c r="CT3341" i="6"/>
  <c r="CS3341" i="6"/>
  <c r="CV3340" i="6"/>
  <c r="CT3340" i="6"/>
  <c r="CS3340" i="6"/>
  <c r="CV3339" i="6"/>
  <c r="CT3339" i="6"/>
  <c r="CS3339" i="6"/>
  <c r="CV3338" i="6"/>
  <c r="CT3338" i="6"/>
  <c r="CS3338" i="6"/>
  <c r="CV3337" i="6"/>
  <c r="CT3337" i="6"/>
  <c r="CS3337" i="6"/>
  <c r="CV3336" i="6"/>
  <c r="CT3336" i="6"/>
  <c r="CS3336" i="6"/>
  <c r="CV3335" i="6"/>
  <c r="CT3335" i="6"/>
  <c r="CS3335" i="6"/>
  <c r="CV3334" i="6"/>
  <c r="CT3334" i="6"/>
  <c r="CS3334" i="6"/>
  <c r="CV3333" i="6"/>
  <c r="CT3333" i="6"/>
  <c r="CS3333" i="6"/>
  <c r="CV3332" i="6"/>
  <c r="CT3332" i="6"/>
  <c r="CS3332" i="6"/>
  <c r="CV3331" i="6"/>
  <c r="CT3331" i="6"/>
  <c r="CS3331" i="6"/>
  <c r="CV3330" i="6"/>
  <c r="CT3330" i="6"/>
  <c r="CS3330" i="6"/>
  <c r="CV3329" i="6"/>
  <c r="CT3329" i="6"/>
  <c r="CS3329" i="6"/>
  <c r="CV3328" i="6"/>
  <c r="CT3328" i="6"/>
  <c r="CS3328" i="6"/>
  <c r="CV3327" i="6"/>
  <c r="CT3327" i="6"/>
  <c r="CS3327" i="6"/>
  <c r="CV3326" i="6"/>
  <c r="CT3326" i="6"/>
  <c r="CS3326" i="6"/>
  <c r="CV3325" i="6"/>
  <c r="CT3325" i="6"/>
  <c r="CS3325" i="6"/>
  <c r="CV3324" i="6"/>
  <c r="CT3324" i="6"/>
  <c r="CS3324" i="6"/>
  <c r="CV3323" i="6"/>
  <c r="CT3323" i="6"/>
  <c r="CS3323" i="6"/>
  <c r="CV3322" i="6"/>
  <c r="CT3322" i="6"/>
  <c r="CS3322" i="6"/>
  <c r="CV3321" i="6"/>
  <c r="CT3321" i="6"/>
  <c r="CS3321" i="6"/>
  <c r="CV3320" i="6"/>
  <c r="CT3320" i="6"/>
  <c r="CS3320" i="6"/>
  <c r="CV3319" i="6"/>
  <c r="CT3319" i="6"/>
  <c r="CS3319" i="6"/>
  <c r="CV3318" i="6"/>
  <c r="CT3318" i="6"/>
  <c r="CS3318" i="6"/>
  <c r="CV3317" i="6"/>
  <c r="CT3317" i="6"/>
  <c r="CS3317" i="6"/>
  <c r="CV3316" i="6"/>
  <c r="CT3316" i="6"/>
  <c r="CS3316" i="6"/>
  <c r="CV3315" i="6"/>
  <c r="CT3315" i="6"/>
  <c r="CS3315" i="6"/>
  <c r="CV3314" i="6"/>
  <c r="CT3314" i="6"/>
  <c r="CS3314" i="6"/>
  <c r="CV3313" i="6"/>
  <c r="CT3313" i="6"/>
  <c r="CS3313" i="6"/>
  <c r="CV3312" i="6"/>
  <c r="CT3312" i="6"/>
  <c r="CS3312" i="6"/>
  <c r="CV3311" i="6"/>
  <c r="CT3311" i="6"/>
  <c r="CS3311" i="6"/>
  <c r="CV3310" i="6"/>
  <c r="CT3310" i="6"/>
  <c r="CS3310" i="6"/>
  <c r="CV3309" i="6"/>
  <c r="CT3309" i="6"/>
  <c r="CS3309" i="6"/>
  <c r="CV3308" i="6"/>
  <c r="CT3308" i="6"/>
  <c r="CS3308" i="6"/>
  <c r="CV3307" i="6"/>
  <c r="CT3307" i="6"/>
  <c r="CS3307" i="6"/>
  <c r="CV3306" i="6"/>
  <c r="CT3306" i="6"/>
  <c r="CS3306" i="6"/>
  <c r="CV3305" i="6"/>
  <c r="CT3305" i="6"/>
  <c r="CS3305" i="6"/>
  <c r="CV3304" i="6"/>
  <c r="CT3304" i="6"/>
  <c r="CS3304" i="6"/>
  <c r="CV3303" i="6"/>
  <c r="CT3303" i="6"/>
  <c r="CS3303" i="6"/>
  <c r="CV3302" i="6"/>
  <c r="CS3302" i="6"/>
  <c r="CV3301" i="6"/>
  <c r="CT3301" i="6"/>
  <c r="CS3301" i="6"/>
  <c r="CV3300" i="6"/>
  <c r="CT3300" i="6"/>
  <c r="CS3300" i="6"/>
  <c r="CV3299" i="6"/>
  <c r="CT3299" i="6"/>
  <c r="CS3299" i="6"/>
  <c r="CV3298" i="6"/>
  <c r="CT3298" i="6"/>
  <c r="CS3298" i="6"/>
  <c r="CV3297" i="6"/>
  <c r="CT3297" i="6"/>
  <c r="CS3297" i="6"/>
  <c r="CV3296" i="6"/>
  <c r="CT3296" i="6"/>
  <c r="CS3296" i="6"/>
  <c r="CV3295" i="6"/>
  <c r="CT3295" i="6"/>
  <c r="CS3295" i="6"/>
  <c r="CV3294" i="6"/>
  <c r="CT3294" i="6"/>
  <c r="CS3294" i="6"/>
  <c r="CV3293" i="6"/>
  <c r="CT3293" i="6"/>
  <c r="CS3293" i="6"/>
  <c r="CV3292" i="6"/>
  <c r="CT3292" i="6"/>
  <c r="CS3292" i="6"/>
  <c r="CV3291" i="6"/>
  <c r="CT3291" i="6"/>
  <c r="CS3291" i="6"/>
  <c r="CV3290" i="6"/>
  <c r="CT3290" i="6"/>
  <c r="CS3290" i="6"/>
  <c r="CV3289" i="6"/>
  <c r="CT3289" i="6"/>
  <c r="CS3289" i="6"/>
  <c r="CV3288" i="6"/>
  <c r="CT3288" i="6"/>
  <c r="CS3288" i="6"/>
  <c r="CV3287" i="6"/>
  <c r="CT3287" i="6"/>
  <c r="CS3287" i="6"/>
  <c r="CV3286" i="6"/>
  <c r="CT3286" i="6"/>
  <c r="CS3286" i="6"/>
  <c r="CV3285" i="6"/>
  <c r="CT3285" i="6"/>
  <c r="CS3285" i="6"/>
  <c r="CV3284" i="6"/>
  <c r="CT3284" i="6"/>
  <c r="CS3284" i="6"/>
  <c r="CV3283" i="6"/>
  <c r="CT3283" i="6"/>
  <c r="CS3283" i="6"/>
  <c r="CV3282" i="6"/>
  <c r="CT3282" i="6"/>
  <c r="CS3282" i="6"/>
  <c r="CV3281" i="6"/>
  <c r="CT3281" i="6"/>
  <c r="CS3281" i="6"/>
  <c r="CV3280" i="6"/>
  <c r="CT3280" i="6"/>
  <c r="CS3280" i="6"/>
  <c r="CV3279" i="6"/>
  <c r="CT3279" i="6"/>
  <c r="CS3279" i="6"/>
  <c r="CV3278" i="6"/>
  <c r="CT3278" i="6"/>
  <c r="CS3278" i="6"/>
  <c r="CV3277" i="6"/>
  <c r="CT3277" i="6"/>
  <c r="CS3277" i="6"/>
  <c r="CV3276" i="6"/>
  <c r="CT3276" i="6"/>
  <c r="CS3276" i="6"/>
  <c r="CV3275" i="6"/>
  <c r="CT3275" i="6"/>
  <c r="CS3275" i="6"/>
  <c r="CV3274" i="6"/>
  <c r="CT3274" i="6"/>
  <c r="CS3274" i="6"/>
  <c r="CV3273" i="6"/>
  <c r="CT3273" i="6"/>
  <c r="CS3273" i="6"/>
  <c r="CV3272" i="6"/>
  <c r="CT3272" i="6"/>
  <c r="CS3272" i="6"/>
  <c r="CV3271" i="6"/>
  <c r="CT3271" i="6"/>
  <c r="CS3271" i="6"/>
  <c r="CV3270" i="6"/>
  <c r="CT3270" i="6"/>
  <c r="CS3270" i="6"/>
  <c r="CV3269" i="6"/>
  <c r="CT3269" i="6"/>
  <c r="CS3269" i="6"/>
  <c r="CV3268" i="6"/>
  <c r="CT3268" i="6"/>
  <c r="CS3268" i="6"/>
  <c r="CV3267" i="6"/>
  <c r="CT3267" i="6"/>
  <c r="CS3267" i="6"/>
  <c r="CV3266" i="6"/>
  <c r="CT3266" i="6"/>
  <c r="CS3266" i="6"/>
  <c r="CV3265" i="6"/>
  <c r="CT3265" i="6"/>
  <c r="CS3265" i="6"/>
  <c r="CV3264" i="6"/>
  <c r="CT3264" i="6"/>
  <c r="CS3264" i="6"/>
  <c r="CV3263" i="6"/>
  <c r="CT3263" i="6"/>
  <c r="CS3263" i="6"/>
  <c r="CV3262" i="6"/>
  <c r="CT3262" i="6"/>
  <c r="CS3262" i="6"/>
  <c r="CV3261" i="6"/>
  <c r="CT3261" i="6"/>
  <c r="CS3261" i="6"/>
  <c r="CV3260" i="6"/>
  <c r="CT3260" i="6"/>
  <c r="CS3260" i="6"/>
  <c r="CV3259" i="6"/>
  <c r="CT3259" i="6"/>
  <c r="CS3259" i="6"/>
  <c r="CV3258" i="6"/>
  <c r="CT3258" i="6"/>
  <c r="CS3258" i="6"/>
  <c r="CV3257" i="6"/>
  <c r="CT3257" i="6"/>
  <c r="CS3257" i="6"/>
  <c r="CV3256" i="6"/>
  <c r="CT3256" i="6"/>
  <c r="CS3256" i="6"/>
  <c r="CV3255" i="6"/>
  <c r="CS3255" i="6"/>
  <c r="CV3254" i="6"/>
  <c r="CT3254" i="6"/>
  <c r="CS3254" i="6"/>
  <c r="CV3253" i="6"/>
  <c r="CS3253" i="6"/>
  <c r="CV3252" i="6"/>
  <c r="CS3252" i="6"/>
  <c r="CV3201" i="6"/>
  <c r="CT3201" i="6"/>
  <c r="CS3201" i="6"/>
  <c r="CV3200" i="6"/>
  <c r="CT3200" i="6"/>
  <c r="CS3200" i="6"/>
  <c r="CV3199" i="6"/>
  <c r="CT3199" i="6"/>
  <c r="CS3199" i="6"/>
  <c r="CV3198" i="6"/>
  <c r="CT3198" i="6"/>
  <c r="CS3198" i="6"/>
  <c r="CV3197" i="6"/>
  <c r="CT3197" i="6"/>
  <c r="CS3197" i="6"/>
  <c r="CV3196" i="6"/>
  <c r="CT3196" i="6"/>
  <c r="CS3196" i="6"/>
  <c r="CV3195" i="6"/>
  <c r="CT3195" i="6"/>
  <c r="CS3195" i="6"/>
  <c r="CV3194" i="6"/>
  <c r="CT3194" i="6"/>
  <c r="CS3194" i="6"/>
  <c r="CV3193" i="6"/>
  <c r="CT3193" i="6"/>
  <c r="CS3193" i="6"/>
  <c r="CV3192" i="6"/>
  <c r="CT3192" i="6"/>
  <c r="CS3192" i="6"/>
  <c r="CV3191" i="6"/>
  <c r="CT3191" i="6"/>
  <c r="CS3191" i="6"/>
  <c r="CV3190" i="6"/>
  <c r="CT3190" i="6"/>
  <c r="CS3190" i="6"/>
  <c r="CV3189" i="6"/>
  <c r="CT3189" i="6"/>
  <c r="CS3189" i="6"/>
  <c r="CV3188" i="6"/>
  <c r="CT3188" i="6"/>
  <c r="CS3188" i="6"/>
  <c r="CV3187" i="6"/>
  <c r="CT3187" i="6"/>
  <c r="CS3187" i="6"/>
  <c r="CV3186" i="6"/>
  <c r="CT3186" i="6"/>
  <c r="CS3186" i="6"/>
  <c r="CV3185" i="6"/>
  <c r="CT3185" i="6"/>
  <c r="CS3185" i="6"/>
  <c r="CV3184" i="6"/>
  <c r="CT3184" i="6"/>
  <c r="CS3184" i="6"/>
  <c r="CV3183" i="6"/>
  <c r="CT3183" i="6"/>
  <c r="CS3183" i="6"/>
  <c r="CV3182" i="6"/>
  <c r="CT3182" i="6"/>
  <c r="CS3182" i="6"/>
  <c r="CV3181" i="6"/>
  <c r="CT3181" i="6"/>
  <c r="CS3181" i="6"/>
  <c r="CV3180" i="6"/>
  <c r="CT3180" i="6"/>
  <c r="CS3180" i="6"/>
  <c r="CV3179" i="6"/>
  <c r="CT3179" i="6"/>
  <c r="CS3179" i="6"/>
  <c r="CV3178" i="6"/>
  <c r="CT3178" i="6"/>
  <c r="CS3178" i="6"/>
  <c r="CV3177" i="6"/>
  <c r="CT3177" i="6"/>
  <c r="CS3177" i="6"/>
  <c r="CV3176" i="6"/>
  <c r="CT3176" i="6"/>
  <c r="CS3176" i="6"/>
  <c r="CV3175" i="6"/>
  <c r="CT3175" i="6"/>
  <c r="CS3175" i="6"/>
  <c r="CV3174" i="6"/>
  <c r="CT3174" i="6"/>
  <c r="CS3174" i="6"/>
  <c r="CV3173" i="6"/>
  <c r="CT3173" i="6"/>
  <c r="CS3173" i="6"/>
  <c r="CV3172" i="6"/>
  <c r="CT3172" i="6"/>
  <c r="CS3172" i="6"/>
  <c r="CV3171" i="6"/>
  <c r="CT3171" i="6"/>
  <c r="CS3171" i="6"/>
  <c r="CV3170" i="6"/>
  <c r="CT3170" i="6"/>
  <c r="CS3170" i="6"/>
  <c r="CV3169" i="6"/>
  <c r="CT3169" i="6"/>
  <c r="CS3169" i="6"/>
  <c r="CV3168" i="6"/>
  <c r="CT3168" i="6"/>
  <c r="CS3168" i="6"/>
  <c r="CV3167" i="6"/>
  <c r="CT3167" i="6"/>
  <c r="CS3167" i="6"/>
  <c r="CV3166" i="6"/>
  <c r="CT3166" i="6"/>
  <c r="CS3166" i="6"/>
  <c r="CV3165" i="6"/>
  <c r="CT3165" i="6"/>
  <c r="CS3165" i="6"/>
  <c r="CV3164" i="6"/>
  <c r="CT3164" i="6"/>
  <c r="CS3164" i="6"/>
  <c r="CV3163" i="6"/>
  <c r="CT3163" i="6"/>
  <c r="CS3163" i="6"/>
  <c r="CV3162" i="6"/>
  <c r="CT3162" i="6"/>
  <c r="CS3162" i="6"/>
  <c r="CV3161" i="6"/>
  <c r="CT3161" i="6"/>
  <c r="CS3161" i="6"/>
  <c r="CV3160" i="6"/>
  <c r="CT3160" i="6"/>
  <c r="CS3160" i="6"/>
  <c r="CV3159" i="6"/>
  <c r="CT3159" i="6"/>
  <c r="CS3159" i="6"/>
  <c r="CV3158" i="6"/>
  <c r="CT3158" i="6"/>
  <c r="CS3158" i="6"/>
  <c r="CV3157" i="6"/>
  <c r="CT3157" i="6"/>
  <c r="CS3157" i="6"/>
  <c r="CV3156" i="6"/>
  <c r="CT3156" i="6"/>
  <c r="CS3156" i="6"/>
  <c r="CV3155" i="6"/>
  <c r="CT3155" i="6"/>
  <c r="CS3155" i="6"/>
  <c r="CV3154" i="6"/>
  <c r="CT3154" i="6"/>
  <c r="CS3154" i="6"/>
  <c r="CV3153" i="6"/>
  <c r="CT3153" i="6"/>
  <c r="CS3153" i="6"/>
  <c r="CV3152" i="6"/>
  <c r="CT3152" i="6"/>
  <c r="CS3152" i="6"/>
  <c r="CV3151" i="6"/>
  <c r="CT3151" i="6"/>
  <c r="CS3151" i="6"/>
  <c r="CV3150" i="6"/>
  <c r="CT3150" i="6"/>
  <c r="CS3150" i="6"/>
  <c r="CV3149" i="6"/>
  <c r="CT3149" i="6"/>
  <c r="CS3149" i="6"/>
  <c r="CV3148" i="6"/>
  <c r="CT3148" i="6"/>
  <c r="CS3148" i="6"/>
  <c r="CV3147" i="6"/>
  <c r="CT3147" i="6"/>
  <c r="CS3147" i="6"/>
  <c r="CV3146" i="6"/>
  <c r="CT3146" i="6"/>
  <c r="CS3146" i="6"/>
  <c r="CV3145" i="6"/>
  <c r="CT3145" i="6"/>
  <c r="CS3145" i="6"/>
  <c r="CV3144" i="6"/>
  <c r="CT3144" i="6"/>
  <c r="CS3144" i="6"/>
  <c r="CV3143" i="6"/>
  <c r="CT3143" i="6"/>
  <c r="CS3143" i="6"/>
  <c r="CV3142" i="6"/>
  <c r="CT3142" i="6"/>
  <c r="CS3142" i="6"/>
  <c r="CV3141" i="6"/>
  <c r="CT3141" i="6"/>
  <c r="CS3141" i="6"/>
  <c r="CV3140" i="6"/>
  <c r="CT3140" i="6"/>
  <c r="CS3140" i="6"/>
  <c r="CV3139" i="6"/>
  <c r="CT3139" i="6"/>
  <c r="CS3139" i="6"/>
  <c r="CV3138" i="6"/>
  <c r="CT3138" i="6"/>
  <c r="CS3138" i="6"/>
  <c r="CV3137" i="6"/>
  <c r="CT3137" i="6"/>
  <c r="CS3137" i="6"/>
  <c r="CV3136" i="6"/>
  <c r="CT3136" i="6"/>
  <c r="CS3136" i="6"/>
  <c r="CV3135" i="6"/>
  <c r="CT3135" i="6"/>
  <c r="CS3135" i="6"/>
  <c r="CV3134" i="6"/>
  <c r="CT3134" i="6"/>
  <c r="CS3134" i="6"/>
  <c r="CV3133" i="6"/>
  <c r="CT3133" i="6"/>
  <c r="CS3133" i="6"/>
  <c r="CV3132" i="6"/>
  <c r="CT3132" i="6"/>
  <c r="CS3132" i="6"/>
  <c r="CV3131" i="6"/>
  <c r="CT3131" i="6"/>
  <c r="CS3131" i="6"/>
  <c r="CV3130" i="6"/>
  <c r="CT3130" i="6"/>
  <c r="CS3130" i="6"/>
  <c r="CV3129" i="6"/>
  <c r="CT3129" i="6"/>
  <c r="CS3129" i="6"/>
  <c r="CV3128" i="6"/>
  <c r="CT3128" i="6"/>
  <c r="CS3128" i="6"/>
  <c r="CV3127" i="6"/>
  <c r="CT3127" i="6"/>
  <c r="CS3127" i="6"/>
  <c r="CV3126" i="6"/>
  <c r="CT3126" i="6"/>
  <c r="CS3126" i="6"/>
  <c r="CV3125" i="6"/>
  <c r="CT3125" i="6"/>
  <c r="CS3125" i="6"/>
  <c r="CV3124" i="6"/>
  <c r="CT3124" i="6"/>
  <c r="CS3124" i="6"/>
  <c r="CV3123" i="6"/>
  <c r="CT3123" i="6"/>
  <c r="CS3123" i="6"/>
  <c r="CV3122" i="6"/>
  <c r="CS3122" i="6"/>
  <c r="CV3121" i="6"/>
  <c r="CS3121" i="6"/>
  <c r="CV3120" i="6"/>
  <c r="CS3120" i="6"/>
  <c r="CV3119" i="6"/>
  <c r="CS3119" i="6"/>
  <c r="CV3118" i="6"/>
  <c r="CS3118" i="6"/>
  <c r="CV3117" i="6"/>
  <c r="CS3117" i="6"/>
  <c r="CV3116" i="6"/>
  <c r="CT3116" i="6"/>
  <c r="CS3116" i="6"/>
  <c r="CV3115" i="6"/>
  <c r="CT3115" i="6"/>
  <c r="CS3115" i="6"/>
  <c r="CV3114" i="6"/>
  <c r="CT3114" i="6"/>
  <c r="CS3114" i="6"/>
  <c r="CV3113" i="6"/>
  <c r="CT3113" i="6"/>
  <c r="CS3113" i="6"/>
  <c r="CV3112" i="6"/>
  <c r="CT3112" i="6"/>
  <c r="CS3112" i="6"/>
  <c r="CV3111" i="6"/>
  <c r="CT3111" i="6"/>
  <c r="CS3111" i="6"/>
  <c r="CV3110" i="6"/>
  <c r="CT3110" i="6"/>
  <c r="CS3110" i="6"/>
  <c r="CV3109" i="6"/>
  <c r="CT3109" i="6"/>
  <c r="CS3109" i="6"/>
  <c r="CV3108" i="6"/>
  <c r="CT3108" i="6"/>
  <c r="CS3108" i="6"/>
  <c r="CV3107" i="6"/>
  <c r="CT3107" i="6"/>
  <c r="CS3107" i="6"/>
  <c r="CV3106" i="6"/>
  <c r="CT3106" i="6"/>
  <c r="CS3106" i="6"/>
  <c r="CV3105" i="6"/>
  <c r="CT3105" i="6"/>
  <c r="CS3105" i="6"/>
  <c r="CV3104" i="6"/>
  <c r="CT3104" i="6"/>
  <c r="CS3104" i="6"/>
  <c r="CV3103" i="6"/>
  <c r="CT3103" i="6"/>
  <c r="CS3103" i="6"/>
  <c r="CV3102" i="6"/>
  <c r="CT3102" i="6"/>
  <c r="CS3102" i="6"/>
  <c r="CV3101" i="6"/>
  <c r="CT3101" i="6"/>
  <c r="CS3101" i="6"/>
  <c r="CV3100" i="6"/>
  <c r="CT3100" i="6"/>
  <c r="CS3100" i="6"/>
  <c r="CV3099" i="6"/>
  <c r="CT3099" i="6"/>
  <c r="CS3099" i="6"/>
  <c r="CV3098" i="6"/>
  <c r="CT3098" i="6"/>
  <c r="CS3098" i="6"/>
  <c r="CV3097" i="6"/>
  <c r="CT3097" i="6"/>
  <c r="CS3097" i="6"/>
  <c r="CV3096" i="6"/>
  <c r="CT3096" i="6"/>
  <c r="CS3096" i="6"/>
  <c r="CV3095" i="6"/>
  <c r="CT3095" i="6"/>
  <c r="CS3095" i="6"/>
  <c r="CV3094" i="6"/>
  <c r="CT3094" i="6"/>
  <c r="CS3094" i="6"/>
  <c r="CV3093" i="6"/>
  <c r="CT3093" i="6"/>
  <c r="CS3093" i="6"/>
  <c r="CV3092" i="6"/>
  <c r="CT3092" i="6"/>
  <c r="CS3092" i="6"/>
  <c r="CV3091" i="6"/>
  <c r="CT3091" i="6"/>
  <c r="CS3091" i="6"/>
  <c r="CV3090" i="6"/>
  <c r="CT3090" i="6"/>
  <c r="CS3090" i="6"/>
  <c r="CV3089" i="6"/>
  <c r="CT3089" i="6"/>
  <c r="CS3089" i="6"/>
  <c r="CV3088" i="6"/>
  <c r="CT3088" i="6"/>
  <c r="CS3088" i="6"/>
  <c r="CV3087" i="6"/>
  <c r="CT3087" i="6"/>
  <c r="CS3087" i="6"/>
  <c r="CV3086" i="6"/>
  <c r="CT3086" i="6"/>
  <c r="CS3086" i="6"/>
  <c r="CV3085" i="6"/>
  <c r="CS3085" i="6"/>
  <c r="CV3084" i="6"/>
  <c r="CS3084" i="6"/>
  <c r="CV3083" i="6"/>
  <c r="CS3083" i="6"/>
  <c r="CV3082" i="6"/>
  <c r="CS3082" i="6"/>
  <c r="CV3081" i="6"/>
  <c r="CS3081" i="6"/>
  <c r="CV3080" i="6"/>
  <c r="CS3080" i="6"/>
  <c r="CV3079" i="6"/>
  <c r="CS3079" i="6"/>
  <c r="CV3078" i="6"/>
  <c r="CS3078" i="6"/>
  <c r="CV3077" i="6"/>
  <c r="CT3077" i="6"/>
  <c r="CS3077" i="6"/>
  <c r="CV3076" i="6"/>
  <c r="CT3076" i="6"/>
  <c r="CS3076" i="6"/>
  <c r="CV3075" i="6"/>
  <c r="CT3075" i="6"/>
  <c r="CS3075" i="6"/>
  <c r="CV3074" i="6"/>
  <c r="CT3074" i="6"/>
  <c r="CS3074" i="6"/>
  <c r="CV3073" i="6"/>
  <c r="CT3073" i="6"/>
  <c r="CS3073" i="6"/>
  <c r="CV3072" i="6"/>
  <c r="CT3072" i="6"/>
  <c r="CS3072" i="6"/>
  <c r="CV3071" i="6"/>
  <c r="CT3071" i="6"/>
  <c r="CS3071" i="6"/>
  <c r="CV3070" i="6"/>
  <c r="CT3070" i="6"/>
  <c r="CS3070" i="6"/>
  <c r="CV3069" i="6"/>
  <c r="CT3069" i="6"/>
  <c r="CS3069" i="6"/>
  <c r="CV3068" i="6"/>
  <c r="CT3068" i="6"/>
  <c r="CS3068" i="6"/>
  <c r="CV3067" i="6"/>
  <c r="CT3067" i="6"/>
  <c r="CS3067" i="6"/>
  <c r="CV3066" i="6"/>
  <c r="CT3066" i="6"/>
  <c r="CS3066" i="6"/>
  <c r="CV3065" i="6"/>
  <c r="CT3065" i="6"/>
  <c r="CS3065" i="6"/>
  <c r="CV3064" i="6"/>
  <c r="CT3064" i="6"/>
  <c r="CS3064" i="6"/>
  <c r="CV3063" i="6"/>
  <c r="CT3063" i="6"/>
  <c r="CS3063" i="6"/>
  <c r="CV3062" i="6"/>
  <c r="CT3062" i="6"/>
  <c r="CS3062" i="6"/>
  <c r="CV3061" i="6"/>
  <c r="CT3061" i="6"/>
  <c r="CS3061" i="6"/>
  <c r="CV3060" i="6"/>
  <c r="CT3060" i="6"/>
  <c r="CS3060" i="6"/>
  <c r="CV3059" i="6"/>
  <c r="CT3059" i="6"/>
  <c r="CS3059" i="6"/>
  <c r="CV3058" i="6"/>
  <c r="CT3058" i="6"/>
  <c r="CS3058" i="6"/>
  <c r="CV3057" i="6"/>
  <c r="CT3057" i="6"/>
  <c r="CS3057" i="6"/>
  <c r="CV3056" i="6"/>
  <c r="CT3056" i="6"/>
  <c r="CS3056" i="6"/>
  <c r="CV3055" i="6"/>
  <c r="CT3055" i="6"/>
  <c r="CS3055" i="6"/>
  <c r="CV3054" i="6"/>
  <c r="CT3054" i="6"/>
  <c r="CS3054" i="6"/>
  <c r="CV3053" i="6"/>
  <c r="CT3053" i="6"/>
  <c r="CS3053" i="6"/>
  <c r="CV3052" i="6"/>
  <c r="CT3052" i="6"/>
  <c r="CS3052" i="6"/>
  <c r="CV3051" i="6"/>
  <c r="CT3051" i="6"/>
  <c r="CS3051" i="6"/>
  <c r="CV3050" i="6"/>
  <c r="CT3050" i="6"/>
  <c r="CS3050" i="6"/>
  <c r="CV3049" i="6"/>
  <c r="CT3049" i="6"/>
  <c r="CS3049" i="6"/>
  <c r="CV3048" i="6"/>
  <c r="CT3048" i="6"/>
  <c r="CS3048" i="6"/>
  <c r="CV3047" i="6"/>
  <c r="CT3047" i="6"/>
  <c r="CS3047" i="6"/>
  <c r="CV3046" i="6"/>
  <c r="CT3046" i="6"/>
  <c r="CS3046" i="6"/>
  <c r="CV3045" i="6"/>
  <c r="CT3045" i="6"/>
  <c r="CS3045" i="6"/>
  <c r="CV3044" i="6"/>
  <c r="CT3044" i="6"/>
  <c r="CS3044" i="6"/>
  <c r="CV3043" i="6"/>
  <c r="CT3043" i="6"/>
  <c r="CS3043" i="6"/>
  <c r="CV3042" i="6"/>
  <c r="CT3042" i="6"/>
  <c r="CS3042" i="6"/>
  <c r="CV3041" i="6"/>
  <c r="CT3041" i="6"/>
  <c r="CS3041" i="6"/>
  <c r="CV3040" i="6"/>
  <c r="CT3040" i="6"/>
  <c r="CS3040" i="6"/>
  <c r="CV3039" i="6"/>
  <c r="CT3039" i="6"/>
  <c r="CS3039" i="6"/>
  <c r="CV3038" i="6"/>
  <c r="CT3038" i="6"/>
  <c r="CS3038" i="6"/>
  <c r="CV3037" i="6"/>
  <c r="CT3037" i="6"/>
  <c r="CS3037" i="6"/>
  <c r="CV3036" i="6"/>
  <c r="CT3036" i="6"/>
  <c r="CS3036" i="6"/>
  <c r="CV3035" i="6"/>
  <c r="CT3035" i="6"/>
  <c r="CS3035" i="6"/>
  <c r="CV3034" i="6"/>
  <c r="CT3034" i="6"/>
  <c r="CS3034" i="6"/>
  <c r="CV3033" i="6"/>
  <c r="CT3033" i="6"/>
  <c r="CS3033" i="6"/>
  <c r="CV3032" i="6"/>
  <c r="CT3032" i="6"/>
  <c r="CS3032" i="6"/>
  <c r="CV3031" i="6"/>
  <c r="CT3031" i="6"/>
  <c r="CS3031" i="6"/>
  <c r="CV3030" i="6"/>
  <c r="CT3030" i="6"/>
  <c r="CS3030" i="6"/>
  <c r="CV3029" i="6"/>
  <c r="CS3029" i="6"/>
  <c r="CV3028" i="6"/>
  <c r="CT3028" i="6"/>
  <c r="CS3028" i="6"/>
  <c r="CS3027" i="6"/>
  <c r="CV3026" i="6"/>
  <c r="CT3026" i="6"/>
  <c r="CS3026" i="6"/>
  <c r="CV3025" i="6"/>
  <c r="CS3025" i="6"/>
  <c r="CV3024" i="6"/>
  <c r="CS3024" i="6"/>
  <c r="CV3023" i="6"/>
  <c r="CS3023" i="6"/>
  <c r="CV3022" i="6"/>
  <c r="CT3022" i="6"/>
  <c r="CS3022" i="6"/>
  <c r="CV3021" i="6"/>
  <c r="CT3021" i="6"/>
  <c r="CS3021" i="6"/>
  <c r="CV3020" i="6"/>
  <c r="CT3020" i="6"/>
  <c r="CS3020" i="6"/>
  <c r="CV3019" i="6"/>
  <c r="CT3019" i="6"/>
  <c r="CS3019" i="6"/>
  <c r="CV3018" i="6"/>
  <c r="CT3018" i="6"/>
  <c r="CS3018" i="6"/>
  <c r="CV3017" i="6"/>
  <c r="CT3017" i="6"/>
  <c r="CS3017" i="6"/>
  <c r="CV3016" i="6"/>
  <c r="CT3016" i="6"/>
  <c r="CS3016" i="6"/>
  <c r="CV3015" i="6"/>
  <c r="CT3015" i="6"/>
  <c r="CS3015" i="6"/>
  <c r="CV3014" i="6"/>
  <c r="CT3014" i="6"/>
  <c r="CS3014" i="6"/>
  <c r="CV3013" i="6"/>
  <c r="CT3013" i="6"/>
  <c r="CS3013" i="6"/>
  <c r="CV3012" i="6"/>
  <c r="CT3012" i="6"/>
  <c r="CS3012" i="6"/>
  <c r="CV3011" i="6"/>
  <c r="CT3011" i="6"/>
  <c r="CS3011" i="6"/>
  <c r="CV3010" i="6"/>
  <c r="CT3010" i="6"/>
  <c r="CS3010" i="6"/>
  <c r="CV3009" i="6"/>
  <c r="CT3009" i="6"/>
  <c r="CS3009" i="6"/>
  <c r="CV3008" i="6"/>
  <c r="CT3008" i="6"/>
  <c r="CS3008" i="6"/>
  <c r="CV3007" i="6"/>
  <c r="CT3007" i="6"/>
  <c r="CS3007" i="6"/>
  <c r="CV3006" i="6"/>
  <c r="CT3006" i="6"/>
  <c r="CS3006" i="6"/>
  <c r="CV3005" i="6"/>
  <c r="CT3005" i="6"/>
  <c r="CS3005" i="6"/>
  <c r="CV3004" i="6"/>
  <c r="CT3004" i="6"/>
  <c r="CS3004" i="6"/>
  <c r="CV3003" i="6"/>
  <c r="CT3003" i="6"/>
  <c r="CS3003" i="6"/>
  <c r="CV3002" i="6"/>
  <c r="CT3002" i="6"/>
  <c r="CS3002" i="6"/>
  <c r="CV3001" i="6"/>
  <c r="CT3001" i="6"/>
  <c r="CS3001" i="6"/>
  <c r="CV3000" i="6"/>
  <c r="CT3000" i="6"/>
  <c r="CS3000" i="6"/>
  <c r="CV2999" i="6"/>
  <c r="CT2999" i="6"/>
  <c r="CS2999" i="6"/>
  <c r="CV2998" i="6"/>
  <c r="CT2998" i="6"/>
  <c r="CS2998" i="6"/>
  <c r="CV2997" i="6"/>
  <c r="CT2997" i="6"/>
  <c r="CS2997" i="6"/>
  <c r="CV2996" i="6"/>
  <c r="CT2996" i="6"/>
  <c r="CS2996" i="6"/>
  <c r="CV2995" i="6"/>
  <c r="CT2995" i="6"/>
  <c r="CS2995" i="6"/>
  <c r="CV2994" i="6"/>
  <c r="CT2994" i="6"/>
  <c r="CS2994" i="6"/>
  <c r="CV2993" i="6"/>
  <c r="CT2993" i="6"/>
  <c r="CS2993" i="6"/>
  <c r="CV2992" i="6"/>
  <c r="CT2992" i="6"/>
  <c r="CS2992" i="6"/>
  <c r="CV2991" i="6"/>
  <c r="CT2991" i="6"/>
  <c r="CS2991" i="6"/>
  <c r="CV2990" i="6"/>
  <c r="CT2990" i="6"/>
  <c r="CS2990" i="6"/>
  <c r="CV2989" i="6"/>
  <c r="CT2989" i="6"/>
  <c r="CS2989" i="6"/>
  <c r="CV2988" i="6"/>
  <c r="CT2988" i="6"/>
  <c r="CS2988" i="6"/>
  <c r="CV2987" i="6"/>
  <c r="CT2987" i="6"/>
  <c r="CS2987" i="6"/>
  <c r="CV2986" i="6"/>
  <c r="CT2986" i="6"/>
  <c r="CS2986" i="6"/>
  <c r="CV2985" i="6"/>
  <c r="CT2985" i="6"/>
  <c r="CS2985" i="6"/>
  <c r="CV2984" i="6"/>
  <c r="CT2984" i="6"/>
  <c r="CS2984" i="6"/>
  <c r="CV2983" i="6"/>
  <c r="CT2983" i="6"/>
  <c r="CS2983" i="6"/>
  <c r="CV2982" i="6"/>
  <c r="CT2982" i="6"/>
  <c r="CS2982" i="6"/>
  <c r="CV2981" i="6"/>
  <c r="CT2981" i="6"/>
  <c r="CS2981" i="6"/>
  <c r="CV2980" i="6"/>
  <c r="CT2980" i="6"/>
  <c r="CS2980" i="6"/>
  <c r="CV2979" i="6"/>
  <c r="CT2979" i="6"/>
  <c r="CS2979" i="6"/>
  <c r="CV2978" i="6"/>
  <c r="CT2978" i="6"/>
  <c r="CS2978" i="6"/>
  <c r="CV2977" i="6"/>
  <c r="CT2977" i="6"/>
  <c r="CS2977" i="6"/>
  <c r="CV2976" i="6"/>
  <c r="CT2976" i="6"/>
  <c r="CS2976" i="6"/>
  <c r="CV2975" i="6"/>
  <c r="CT2975" i="6"/>
  <c r="CS2975" i="6"/>
  <c r="CV2974" i="6"/>
  <c r="CT2974" i="6"/>
  <c r="CS2974" i="6"/>
  <c r="CV2973" i="6"/>
  <c r="CT2973" i="6"/>
  <c r="CS2973" i="6"/>
  <c r="CV2972" i="6"/>
  <c r="CS2972" i="6"/>
  <c r="CV2970" i="6"/>
  <c r="CT2970" i="6"/>
  <c r="CS2970" i="6"/>
  <c r="CV2969" i="6"/>
  <c r="CT2969" i="6"/>
  <c r="CS2969" i="6"/>
  <c r="CV2968" i="6"/>
  <c r="CT2968" i="6"/>
  <c r="CS2968" i="6"/>
  <c r="CV2967" i="6"/>
  <c r="CT2967" i="6"/>
  <c r="CS2967" i="6"/>
  <c r="CV2966" i="6"/>
  <c r="CT2966" i="6"/>
  <c r="CS2966" i="6"/>
  <c r="CV2965" i="6"/>
  <c r="CT2965" i="6"/>
  <c r="CS2965" i="6"/>
  <c r="CV2964" i="6"/>
  <c r="CT2964" i="6"/>
  <c r="CS2964" i="6"/>
  <c r="CV2963" i="6"/>
  <c r="CT2963" i="6"/>
  <c r="CS2963" i="6"/>
  <c r="CV2962" i="6"/>
  <c r="CT2962" i="6"/>
  <c r="CS2962" i="6"/>
  <c r="CV2961" i="6"/>
  <c r="CT2961" i="6"/>
  <c r="CS2961" i="6"/>
  <c r="CV2960" i="6"/>
  <c r="CT2960" i="6"/>
  <c r="CS2960" i="6"/>
  <c r="CV2959" i="6"/>
  <c r="CT2959" i="6"/>
  <c r="CS2959" i="6"/>
  <c r="CV2958" i="6"/>
  <c r="CT2958" i="6"/>
  <c r="CS2958" i="6"/>
  <c r="CV2957" i="6"/>
  <c r="CT2957" i="6"/>
  <c r="CS2957" i="6"/>
  <c r="CV2956" i="6"/>
  <c r="CT2956" i="6"/>
  <c r="CS2956" i="6"/>
  <c r="CV2955" i="6"/>
  <c r="CT2955" i="6"/>
  <c r="CS2955" i="6"/>
  <c r="CV2954" i="6"/>
  <c r="CT2954" i="6"/>
  <c r="CS2954" i="6"/>
  <c r="CV2953" i="6"/>
  <c r="CT2953" i="6"/>
  <c r="CS2953" i="6"/>
  <c r="CV2952" i="6"/>
  <c r="CT2952" i="6"/>
  <c r="CS2952" i="6"/>
  <c r="CV2951" i="6"/>
  <c r="CT2951" i="6"/>
  <c r="CS2951" i="6"/>
  <c r="CV2950" i="6"/>
  <c r="CT2950" i="6"/>
  <c r="CS2950" i="6"/>
  <c r="CV2949" i="6"/>
  <c r="CT2949" i="6"/>
  <c r="CS2949" i="6"/>
  <c r="CV2948" i="6"/>
  <c r="CT2948" i="6"/>
  <c r="CS2948" i="6"/>
  <c r="CV2947" i="6"/>
  <c r="CT2947" i="6"/>
  <c r="CS2947" i="6"/>
  <c r="CV2946" i="6"/>
  <c r="CT2946" i="6"/>
  <c r="CS2946" i="6"/>
  <c r="CV2945" i="6"/>
  <c r="CT2945" i="6"/>
  <c r="CS2945" i="6"/>
  <c r="CV2944" i="6"/>
  <c r="CT2944" i="6"/>
  <c r="CS2944" i="6"/>
  <c r="CV2943" i="6"/>
  <c r="CT2943" i="6"/>
  <c r="CS2943" i="6"/>
  <c r="CV2942" i="6"/>
  <c r="CT2942" i="6"/>
  <c r="CS2942" i="6"/>
  <c r="CV2941" i="6"/>
  <c r="CT2941" i="6"/>
  <c r="CS2941" i="6"/>
  <c r="CV2940" i="6"/>
  <c r="CT2940" i="6"/>
  <c r="CS2940" i="6"/>
  <c r="CV2939" i="6"/>
  <c r="CT2939" i="6"/>
  <c r="CS2939" i="6"/>
  <c r="CV2938" i="6"/>
  <c r="CT2938" i="6"/>
  <c r="CS2938" i="6"/>
  <c r="CV2937" i="6"/>
  <c r="CT2937" i="6"/>
  <c r="CS2937" i="6"/>
  <c r="CV2936" i="6"/>
  <c r="CT2936" i="6"/>
  <c r="CS2936" i="6"/>
  <c r="CV2935" i="6"/>
  <c r="CT2935" i="6"/>
  <c r="CS2935" i="6"/>
  <c r="CV2934" i="6"/>
  <c r="CT2934" i="6"/>
  <c r="CS2934" i="6"/>
  <c r="CV2933" i="6"/>
  <c r="CT2933" i="6"/>
  <c r="CS2933" i="6"/>
  <c r="CV2932" i="6"/>
  <c r="CT2932" i="6"/>
  <c r="CS2932" i="6"/>
  <c r="CV2931" i="6"/>
  <c r="CT2931" i="6"/>
  <c r="CS2931" i="6"/>
  <c r="CV2930" i="6"/>
  <c r="CT2930" i="6"/>
  <c r="CS2930" i="6"/>
  <c r="CV2929" i="6"/>
  <c r="CT2929" i="6"/>
  <c r="CS2929" i="6"/>
  <c r="CV2928" i="6"/>
  <c r="CT2928" i="6"/>
  <c r="CS2928" i="6"/>
  <c r="CV2927" i="6"/>
  <c r="CT2927" i="6"/>
  <c r="CS2927" i="6"/>
  <c r="CV2926" i="6"/>
  <c r="CT2926" i="6"/>
  <c r="CS2926" i="6"/>
  <c r="CV2925" i="6"/>
  <c r="CT2925" i="6"/>
  <c r="CS2925" i="6"/>
  <c r="CV2924" i="6"/>
  <c r="CT2924" i="6"/>
  <c r="CS2924" i="6"/>
  <c r="CV2923" i="6"/>
  <c r="CS2923" i="6"/>
  <c r="CV2922" i="6"/>
  <c r="CS2922" i="6"/>
  <c r="CV2921" i="6"/>
  <c r="CS2921" i="6"/>
  <c r="CV2920" i="6"/>
  <c r="CS2920" i="6"/>
  <c r="CV2919" i="6"/>
  <c r="CS2919" i="6"/>
  <c r="CV2918" i="6"/>
  <c r="CT2918" i="6"/>
  <c r="CS2918" i="6"/>
  <c r="CV2917" i="6"/>
  <c r="CT2917" i="6"/>
  <c r="CS2917" i="6"/>
  <c r="CV2916" i="6"/>
  <c r="CT2916" i="6"/>
  <c r="CS2916" i="6"/>
  <c r="CV2915" i="6"/>
  <c r="CT2915" i="6"/>
  <c r="CS2915" i="6"/>
  <c r="CV2914" i="6"/>
  <c r="CT2914" i="6"/>
  <c r="CS2914" i="6"/>
  <c r="CV2913" i="6"/>
  <c r="CT2913" i="6"/>
  <c r="CS2913" i="6"/>
  <c r="CV2912" i="6"/>
  <c r="CT2912" i="6"/>
  <c r="CS2912" i="6"/>
  <c r="CV2911" i="6"/>
  <c r="CT2911" i="6"/>
  <c r="CS2911" i="6"/>
  <c r="CV2910" i="6"/>
  <c r="CT2910" i="6"/>
  <c r="CS2910" i="6"/>
  <c r="CV2909" i="6"/>
  <c r="CT2909" i="6"/>
  <c r="CS2909" i="6"/>
  <c r="CV2908" i="6"/>
  <c r="CT2908" i="6"/>
  <c r="CS2908" i="6"/>
  <c r="CV2907" i="6"/>
  <c r="CT2907" i="6"/>
  <c r="CS2907" i="6"/>
  <c r="CV2906" i="6"/>
  <c r="CT2906" i="6"/>
  <c r="CS2906" i="6"/>
  <c r="CV2905" i="6"/>
  <c r="CT2905" i="6"/>
  <c r="CS2905" i="6"/>
  <c r="CV2904" i="6"/>
  <c r="CT2904" i="6"/>
  <c r="CS2904" i="6"/>
  <c r="CV2903" i="6"/>
  <c r="CT2903" i="6"/>
  <c r="CS2903" i="6"/>
  <c r="CV2902" i="6"/>
  <c r="CT2902" i="6"/>
  <c r="CS2902" i="6"/>
  <c r="CV2901" i="6"/>
  <c r="CT2901" i="6"/>
  <c r="CS2901" i="6"/>
  <c r="CV2900" i="6"/>
  <c r="CT2900" i="6"/>
  <c r="CS2900" i="6"/>
  <c r="CV2899" i="6"/>
  <c r="CT2899" i="6"/>
  <c r="CS2899" i="6"/>
  <c r="CV2898" i="6"/>
  <c r="CT2898" i="6"/>
  <c r="CS2898" i="6"/>
  <c r="CV2897" i="6"/>
  <c r="CT2897" i="6"/>
  <c r="CS2897" i="6"/>
  <c r="CV2896" i="6"/>
  <c r="CT2896" i="6"/>
  <c r="CS2896" i="6"/>
  <c r="CV2895" i="6"/>
  <c r="CT2895" i="6"/>
  <c r="CS2895" i="6"/>
  <c r="CV2894" i="6"/>
  <c r="CT2894" i="6"/>
  <c r="CS2894" i="6"/>
  <c r="CV2893" i="6"/>
  <c r="CT2893" i="6"/>
  <c r="CS2893" i="6"/>
  <c r="CV2892" i="6"/>
  <c r="CT2892" i="6"/>
  <c r="CS2892" i="6"/>
  <c r="CV2891" i="6"/>
  <c r="CT2891" i="6"/>
  <c r="CS2891" i="6"/>
  <c r="CV2890" i="6"/>
  <c r="CT2890" i="6"/>
  <c r="CS2890" i="6"/>
  <c r="CV2889" i="6"/>
  <c r="CT2889" i="6"/>
  <c r="CS2889" i="6"/>
  <c r="CV2888" i="6"/>
  <c r="CT2888" i="6"/>
  <c r="CS2888" i="6"/>
  <c r="CV2887" i="6"/>
  <c r="CT2887" i="6"/>
  <c r="CS2887" i="6"/>
  <c r="CV2886" i="6"/>
  <c r="CT2886" i="6"/>
  <c r="CS2886" i="6"/>
  <c r="CV2885" i="6"/>
  <c r="CT2885" i="6"/>
  <c r="CS2885" i="6"/>
  <c r="CV2884" i="6"/>
  <c r="CT2884" i="6"/>
  <c r="CS2884" i="6"/>
  <c r="CV2883" i="6"/>
  <c r="CT2883" i="6"/>
  <c r="CS2883" i="6"/>
  <c r="CV2882" i="6"/>
  <c r="CT2882" i="6"/>
  <c r="CS2882" i="6"/>
  <c r="CV2881" i="6"/>
  <c r="CT2881" i="6"/>
  <c r="CS2881" i="6"/>
  <c r="CV2880" i="6"/>
  <c r="CT2880" i="6"/>
  <c r="CS2880" i="6"/>
  <c r="CV2879" i="6"/>
  <c r="CS2879" i="6"/>
  <c r="CV2878" i="6"/>
  <c r="CS2878" i="6"/>
  <c r="CV2877" i="6"/>
  <c r="CT2877" i="6"/>
  <c r="CS2877" i="6"/>
  <c r="CV2876" i="6"/>
  <c r="CT2876" i="6"/>
  <c r="CS2876" i="6"/>
  <c r="CV2875" i="6"/>
  <c r="CT2875" i="6"/>
  <c r="CS2875" i="6"/>
  <c r="CV2874" i="6"/>
  <c r="CT2874" i="6"/>
  <c r="CS2874" i="6"/>
  <c r="CV2873" i="6"/>
  <c r="CT2873" i="6"/>
  <c r="CS2873" i="6"/>
  <c r="CV2872" i="6"/>
  <c r="CT2872" i="6"/>
  <c r="CS2872" i="6"/>
  <c r="CV2871" i="6"/>
  <c r="CT2871" i="6"/>
  <c r="CS2871" i="6"/>
  <c r="CV2870" i="6"/>
  <c r="CS2870" i="6"/>
  <c r="CV2869" i="6"/>
  <c r="CS2869" i="6"/>
  <c r="CV2868" i="6"/>
  <c r="CS2868" i="6"/>
  <c r="CV2867" i="6"/>
  <c r="CT2867" i="6"/>
  <c r="CS2867" i="6"/>
  <c r="CV2866" i="6"/>
  <c r="CT2866" i="6"/>
  <c r="CS2866" i="6"/>
  <c r="CV2865" i="6"/>
  <c r="CT2865" i="6"/>
  <c r="CS2865" i="6"/>
  <c r="CV2864" i="6"/>
  <c r="CT2864" i="6"/>
  <c r="CS2864" i="6"/>
  <c r="CV2863" i="6"/>
  <c r="CT2863" i="6"/>
  <c r="CS2863" i="6"/>
  <c r="CV2862" i="6"/>
  <c r="CT2862" i="6"/>
  <c r="CS2862" i="6"/>
  <c r="CV2861" i="6"/>
  <c r="CT2861" i="6"/>
  <c r="CS2861" i="6"/>
  <c r="CV2860" i="6"/>
  <c r="CT2860" i="6"/>
  <c r="CS2860" i="6"/>
  <c r="CV2859" i="6"/>
  <c r="CT2859" i="6"/>
  <c r="CS2859" i="6"/>
  <c r="CV2858" i="6"/>
  <c r="CT2858" i="6"/>
  <c r="CS2858" i="6"/>
  <c r="CV2857" i="6"/>
  <c r="CT2857" i="6"/>
  <c r="CS2857" i="6"/>
  <c r="CV2856" i="6"/>
  <c r="CT2856" i="6"/>
  <c r="CS2856" i="6"/>
  <c r="CV2855" i="6"/>
  <c r="CT2855" i="6"/>
  <c r="CS2855" i="6"/>
  <c r="CV2854" i="6"/>
  <c r="CT2854" i="6"/>
  <c r="CS2854" i="6"/>
  <c r="CV2853" i="6"/>
  <c r="CT2853" i="6"/>
  <c r="CS2853" i="6"/>
  <c r="CV2852" i="6"/>
  <c r="CT2852" i="6"/>
  <c r="CS2852" i="6"/>
  <c r="CV2851" i="6"/>
  <c r="CT2851" i="6"/>
  <c r="CS2851" i="6"/>
  <c r="CV2850" i="6"/>
  <c r="CT2850" i="6"/>
  <c r="CS2850" i="6"/>
  <c r="CV2849" i="6"/>
  <c r="CT2849" i="6"/>
  <c r="CS2849" i="6"/>
  <c r="CV2848" i="6"/>
  <c r="CT2848" i="6"/>
  <c r="CS2848" i="6"/>
  <c r="CV2847" i="6"/>
  <c r="CT2847" i="6"/>
  <c r="CS2847" i="6"/>
  <c r="CV2846" i="6"/>
  <c r="CT2846" i="6"/>
  <c r="CS2846" i="6"/>
  <c r="CV2845" i="6"/>
  <c r="CT2845" i="6"/>
  <c r="CS2845" i="6"/>
  <c r="CV2844" i="6"/>
  <c r="CT2844" i="6"/>
  <c r="CS2844" i="6"/>
  <c r="CV2843" i="6"/>
  <c r="CT2843" i="6"/>
  <c r="CS2843" i="6"/>
  <c r="CV2842" i="6"/>
  <c r="CT2842" i="6"/>
  <c r="CS2842" i="6"/>
  <c r="CV2841" i="6"/>
  <c r="CT2841" i="6"/>
  <c r="CS2841" i="6"/>
  <c r="CV2840" i="6"/>
  <c r="CT2840" i="6"/>
  <c r="CS2840" i="6"/>
  <c r="CV2839" i="6"/>
  <c r="CT2839" i="6"/>
  <c r="CS2839" i="6"/>
  <c r="CV2838" i="6"/>
  <c r="CT2838" i="6"/>
  <c r="CS2838" i="6"/>
  <c r="CV2837" i="6"/>
  <c r="CT2837" i="6"/>
  <c r="CS2837" i="6"/>
  <c r="CV2836" i="6"/>
  <c r="CT2836" i="6"/>
  <c r="CS2836" i="6"/>
  <c r="CV2835" i="6"/>
  <c r="CT2835" i="6"/>
  <c r="CS2835" i="6"/>
  <c r="CV2834" i="6"/>
  <c r="CT2834" i="6"/>
  <c r="CS2834" i="6"/>
  <c r="CV2833" i="6"/>
  <c r="CT2833" i="6"/>
  <c r="CS2833" i="6"/>
  <c r="CV2832" i="6"/>
  <c r="CT2832" i="6"/>
  <c r="CS2832" i="6"/>
  <c r="CV2831" i="6"/>
  <c r="CT2831" i="6"/>
  <c r="CS2831" i="6"/>
  <c r="CV2830" i="6"/>
  <c r="CT2830" i="6"/>
  <c r="CS2830" i="6"/>
  <c r="CV2829" i="6"/>
  <c r="CS2829" i="6"/>
  <c r="CV2828" i="6"/>
  <c r="CT2828" i="6"/>
  <c r="CS2828" i="6"/>
  <c r="CV2827" i="6"/>
  <c r="CT2827" i="6"/>
  <c r="CS2827" i="6"/>
  <c r="CV2826" i="6"/>
  <c r="CT2826" i="6"/>
  <c r="CS2826" i="6"/>
  <c r="CV2825" i="6"/>
  <c r="CT2825" i="6"/>
  <c r="CS2825" i="6"/>
  <c r="CV2824" i="6"/>
  <c r="CT2824" i="6"/>
  <c r="CS2824" i="6"/>
  <c r="CV2823" i="6"/>
  <c r="CT2823" i="6"/>
  <c r="CS2823" i="6"/>
  <c r="CV2822" i="6"/>
  <c r="CT2822" i="6"/>
  <c r="CS2822" i="6"/>
  <c r="CV2821" i="6"/>
  <c r="CT2821" i="6"/>
  <c r="CS2821" i="6"/>
  <c r="CV2820" i="6"/>
  <c r="CT2820" i="6"/>
  <c r="CS2820" i="6"/>
  <c r="CV2819" i="6"/>
  <c r="CT2819" i="6"/>
  <c r="CS2819" i="6"/>
  <c r="CV2818" i="6"/>
  <c r="CT2818" i="6"/>
  <c r="CS2818" i="6"/>
  <c r="CV2817" i="6"/>
  <c r="CT2817" i="6"/>
  <c r="CS2817" i="6"/>
  <c r="CV2816" i="6"/>
  <c r="CT2816" i="6"/>
  <c r="CS2816" i="6"/>
  <c r="CV2815" i="6"/>
  <c r="CT2815" i="6"/>
  <c r="CS2815" i="6"/>
  <c r="CV2814" i="6"/>
  <c r="CT2814" i="6"/>
  <c r="CS2814" i="6"/>
  <c r="CV2813" i="6"/>
  <c r="CT2813" i="6"/>
  <c r="CS2813" i="6"/>
  <c r="CV2812" i="6"/>
  <c r="CT2812" i="6"/>
  <c r="CS2812" i="6"/>
  <c r="CV2811" i="6"/>
  <c r="CT2811" i="6"/>
  <c r="CS2811" i="6"/>
  <c r="CV2810" i="6"/>
  <c r="CT2810" i="6"/>
  <c r="CS2810" i="6"/>
  <c r="CV2809" i="6"/>
  <c r="CT2809" i="6"/>
  <c r="CS2809" i="6"/>
  <c r="CV2808" i="6"/>
  <c r="CT2808" i="6"/>
  <c r="CS2808" i="6"/>
  <c r="CV2807" i="6"/>
  <c r="CT2807" i="6"/>
  <c r="CS2807" i="6"/>
  <c r="CV2806" i="6"/>
  <c r="CT2806" i="6"/>
  <c r="CS2806" i="6"/>
  <c r="CV2805" i="6"/>
  <c r="CT2805" i="6"/>
  <c r="CS2805" i="6"/>
  <c r="CV2804" i="6"/>
  <c r="CT2804" i="6"/>
  <c r="CS2804" i="6"/>
  <c r="CV2803" i="6"/>
  <c r="CT2803" i="6"/>
  <c r="CS2803" i="6"/>
  <c r="CV2802" i="6"/>
  <c r="CT2802" i="6"/>
  <c r="CS2802" i="6"/>
  <c r="CV2801" i="6"/>
  <c r="CT2801" i="6"/>
  <c r="CS2801" i="6"/>
  <c r="CV2800" i="6"/>
  <c r="CT2800" i="6"/>
  <c r="CS2800" i="6"/>
  <c r="CV2799" i="6"/>
  <c r="CT2799" i="6"/>
  <c r="CS2799" i="6"/>
  <c r="CV2798" i="6"/>
  <c r="CT2798" i="6"/>
  <c r="CS2798" i="6"/>
  <c r="CV2797" i="6"/>
  <c r="CT2797" i="6"/>
  <c r="CS2797" i="6"/>
  <c r="CV2796" i="6"/>
  <c r="CT2796" i="6"/>
  <c r="CS2796" i="6"/>
  <c r="CV2795" i="6"/>
  <c r="CT2795" i="6"/>
  <c r="CS2795" i="6"/>
  <c r="CV2794" i="6"/>
  <c r="CT2794" i="6"/>
  <c r="CS2794" i="6"/>
  <c r="CV2793" i="6"/>
  <c r="CT2793" i="6"/>
  <c r="CS2793" i="6"/>
  <c r="CV2792" i="6"/>
  <c r="CT2792" i="6"/>
  <c r="CS2792" i="6"/>
  <c r="CV2791" i="6"/>
  <c r="CT2791" i="6"/>
  <c r="CS2791" i="6"/>
  <c r="CV2790" i="6"/>
  <c r="CT2790" i="6"/>
  <c r="CS2790" i="6"/>
  <c r="CV2789" i="6"/>
  <c r="CT2789" i="6"/>
  <c r="CS2789" i="6"/>
  <c r="CV2788" i="6"/>
  <c r="CT2788" i="6"/>
  <c r="CS2788" i="6"/>
  <c r="CV2787" i="6"/>
  <c r="CT2787" i="6"/>
  <c r="CS2787" i="6"/>
  <c r="CV2786" i="6"/>
  <c r="CT2786" i="6"/>
  <c r="CS2786" i="6"/>
  <c r="CV2785" i="6"/>
  <c r="CT2785" i="6"/>
  <c r="CS2785" i="6"/>
  <c r="CV2784" i="6"/>
  <c r="CT2784" i="6"/>
  <c r="CS2784" i="6"/>
  <c r="CV2783" i="6"/>
  <c r="CT2783" i="6"/>
  <c r="CS2783" i="6"/>
  <c r="CV2782" i="6"/>
  <c r="CT2782" i="6"/>
  <c r="CS2782" i="6"/>
  <c r="CV2781" i="6"/>
  <c r="CT2781" i="6"/>
  <c r="CS2781" i="6"/>
  <c r="CV2780" i="6"/>
  <c r="CT2780" i="6"/>
  <c r="CS2780" i="6"/>
  <c r="CV2779" i="6"/>
  <c r="CT2779" i="6"/>
  <c r="CS2779" i="6"/>
  <c r="CV2778" i="6"/>
  <c r="CT2778" i="6"/>
  <c r="CS2778" i="6"/>
  <c r="CV2777" i="6"/>
  <c r="CT2777" i="6"/>
  <c r="CS2777" i="6"/>
  <c r="CV2776" i="6"/>
  <c r="CT2776" i="6"/>
  <c r="CS2776" i="6"/>
  <c r="CV2775" i="6"/>
  <c r="CT2775" i="6"/>
  <c r="CS2775" i="6"/>
  <c r="CV2774" i="6"/>
  <c r="CT2774" i="6"/>
  <c r="CS2774" i="6"/>
  <c r="CV2773" i="6"/>
  <c r="CT2773" i="6"/>
  <c r="CS2773" i="6"/>
  <c r="CV2772" i="6"/>
  <c r="CT2772" i="6"/>
  <c r="CS2772" i="6"/>
  <c r="CV2771" i="6"/>
  <c r="CT2771" i="6"/>
  <c r="CS2771" i="6"/>
  <c r="CV2770" i="6"/>
  <c r="CT2770" i="6"/>
  <c r="CS2770" i="6"/>
  <c r="CV2769" i="6"/>
  <c r="CT2769" i="6"/>
  <c r="CS2769" i="6"/>
  <c r="CV2768" i="6"/>
  <c r="CT2768" i="6"/>
  <c r="CS2768" i="6"/>
  <c r="CV2767" i="6"/>
  <c r="CT2767" i="6"/>
  <c r="CS2767" i="6"/>
  <c r="CV2766" i="6"/>
  <c r="CT2766" i="6"/>
  <c r="CS2766" i="6"/>
  <c r="CV2765" i="6"/>
  <c r="CT2765" i="6"/>
  <c r="CS2765" i="6"/>
  <c r="CV2764" i="6"/>
  <c r="CT2764" i="6"/>
  <c r="CS2764" i="6"/>
  <c r="CV2763" i="6"/>
  <c r="CT2763" i="6"/>
  <c r="CS2763" i="6"/>
  <c r="CV2762" i="6"/>
  <c r="CT2762" i="6"/>
  <c r="CS2762" i="6"/>
  <c r="CV2761" i="6"/>
  <c r="CT2761" i="6"/>
  <c r="CS2761" i="6"/>
  <c r="CV2760" i="6"/>
  <c r="CT2760" i="6"/>
  <c r="CS2760" i="6"/>
  <c r="CV2759" i="6"/>
  <c r="CT2759" i="6"/>
  <c r="CS2759" i="6"/>
  <c r="CV2758" i="6"/>
  <c r="CT2758" i="6"/>
  <c r="CS2758" i="6"/>
  <c r="CV2757" i="6"/>
  <c r="CT2757" i="6"/>
  <c r="CS2757" i="6"/>
  <c r="CV2756" i="6"/>
  <c r="CT2756" i="6"/>
  <c r="CS2756" i="6"/>
  <c r="CV2755" i="6"/>
  <c r="CT2755" i="6"/>
  <c r="CS2755" i="6"/>
  <c r="CV2754" i="6"/>
  <c r="CT2754" i="6"/>
  <c r="CS2754" i="6"/>
  <c r="CV2753" i="6"/>
  <c r="CT2753" i="6"/>
  <c r="CS2753" i="6"/>
  <c r="CV2752" i="6"/>
  <c r="CT2752" i="6"/>
  <c r="CS2752" i="6"/>
  <c r="CV2751" i="6"/>
  <c r="CT2751" i="6"/>
  <c r="CS2751" i="6"/>
  <c r="CV2750" i="6"/>
  <c r="CT2750" i="6"/>
  <c r="CS2750" i="6"/>
  <c r="CV2749" i="6"/>
  <c r="CT2749" i="6"/>
  <c r="CS2749" i="6"/>
  <c r="CV2748" i="6"/>
  <c r="CT2748" i="6"/>
  <c r="CS2748" i="6"/>
  <c r="CV2747" i="6"/>
  <c r="CT2747" i="6"/>
  <c r="CS2747" i="6"/>
  <c r="CV2746" i="6"/>
  <c r="CT2746" i="6"/>
  <c r="CS2746" i="6"/>
  <c r="CV2745" i="6"/>
  <c r="CT2745" i="6"/>
  <c r="CS2745" i="6"/>
  <c r="CV2744" i="6"/>
  <c r="CT2744" i="6"/>
  <c r="CS2744" i="6"/>
  <c r="CV2743" i="6"/>
  <c r="CT2743" i="6"/>
  <c r="CS2743" i="6"/>
  <c r="CV2742" i="6"/>
  <c r="CT2742" i="6"/>
  <c r="CS2742" i="6"/>
  <c r="CV2741" i="6"/>
  <c r="CT2741" i="6"/>
  <c r="CS2741" i="6"/>
  <c r="CV2740" i="6"/>
  <c r="CT2740" i="6"/>
  <c r="CS2740" i="6"/>
  <c r="CV2739" i="6"/>
  <c r="CT2739" i="6"/>
  <c r="CS2739" i="6"/>
  <c r="CV2738" i="6"/>
  <c r="CT2738" i="6"/>
  <c r="CS2738" i="6"/>
  <c r="CV2737" i="6"/>
  <c r="CT2737" i="6"/>
  <c r="CS2737" i="6"/>
  <c r="CV2736" i="6"/>
  <c r="CS2736" i="6"/>
  <c r="CV2735" i="6"/>
  <c r="CT2735" i="6"/>
  <c r="CS2735" i="6"/>
  <c r="CV2734" i="6"/>
  <c r="CT2734" i="6"/>
  <c r="CS2734" i="6"/>
  <c r="CV2733" i="6"/>
  <c r="CT2733" i="6"/>
  <c r="CS2733" i="6"/>
  <c r="CV2732" i="6"/>
  <c r="CT2732" i="6"/>
  <c r="CS2732" i="6"/>
  <c r="CV2731" i="6"/>
  <c r="CT2731" i="6"/>
  <c r="CS2731" i="6"/>
  <c r="CV2730" i="6"/>
  <c r="CT2730" i="6"/>
  <c r="CS2730" i="6"/>
  <c r="CV2729" i="6"/>
  <c r="CT2729" i="6"/>
  <c r="CS2729" i="6"/>
  <c r="CV2728" i="6"/>
  <c r="CT2728" i="6"/>
  <c r="CS2728" i="6"/>
  <c r="CV2727" i="6"/>
  <c r="CT2727" i="6"/>
  <c r="CS2727" i="6"/>
  <c r="CV2726" i="6"/>
  <c r="CT2726" i="6"/>
  <c r="CS2726" i="6"/>
  <c r="CV2725" i="6"/>
  <c r="CT2725" i="6"/>
  <c r="CS2725" i="6"/>
  <c r="CV2724" i="6"/>
  <c r="CT2724" i="6"/>
  <c r="CS2724" i="6"/>
  <c r="CV2723" i="6"/>
  <c r="CT2723" i="6"/>
  <c r="CS2723" i="6"/>
  <c r="CV2722" i="6"/>
  <c r="CT2722" i="6"/>
  <c r="CS2722" i="6"/>
  <c r="CV2721" i="6"/>
  <c r="CT2721" i="6"/>
  <c r="CS2721" i="6"/>
  <c r="CV2720" i="6"/>
  <c r="CT2720" i="6"/>
  <c r="CS2720" i="6"/>
  <c r="CV2719" i="6"/>
  <c r="CT2719" i="6"/>
  <c r="CS2719" i="6"/>
  <c r="CV2718" i="6"/>
  <c r="CT2718" i="6"/>
  <c r="CS2718" i="6"/>
  <c r="CV2717" i="6"/>
  <c r="CT2717" i="6"/>
  <c r="CS2717" i="6"/>
  <c r="CV2716" i="6"/>
  <c r="CT2716" i="6"/>
  <c r="CS2716" i="6"/>
  <c r="CV2715" i="6"/>
  <c r="CT2715" i="6"/>
  <c r="CS2715" i="6"/>
  <c r="CV2714" i="6"/>
  <c r="CT2714" i="6"/>
  <c r="CS2714" i="6"/>
  <c r="CV2713" i="6"/>
  <c r="CT2713" i="6"/>
  <c r="CS2713" i="6"/>
  <c r="CV2712" i="6"/>
  <c r="CT2712" i="6"/>
  <c r="CS2712" i="6"/>
  <c r="CV2711" i="6"/>
  <c r="CT2711" i="6"/>
  <c r="CS2711" i="6"/>
  <c r="CV2710" i="6"/>
  <c r="CT2710" i="6"/>
  <c r="CS2710" i="6"/>
  <c r="CV2709" i="6"/>
  <c r="CT2709" i="6"/>
  <c r="CS2709" i="6"/>
  <c r="CV2708" i="6"/>
  <c r="CT2708" i="6"/>
  <c r="CS2708" i="6"/>
  <c r="CV2707" i="6"/>
  <c r="CT2707" i="6"/>
  <c r="CS2707" i="6"/>
  <c r="CV2706" i="6"/>
  <c r="CT2706" i="6"/>
  <c r="CS2706" i="6"/>
  <c r="CV2705" i="6"/>
  <c r="CT2705" i="6"/>
  <c r="CS2705" i="6"/>
  <c r="CV2704" i="6"/>
  <c r="CT2704" i="6"/>
  <c r="CS2704" i="6"/>
  <c r="CV2703" i="6"/>
  <c r="CT2703" i="6"/>
  <c r="CS2703" i="6"/>
  <c r="CV2702" i="6"/>
  <c r="CT2702" i="6"/>
  <c r="CS2702" i="6"/>
  <c r="CV2701" i="6"/>
  <c r="CT2701" i="6"/>
  <c r="CS2701" i="6"/>
  <c r="CV2700" i="6"/>
  <c r="CT2700" i="6"/>
  <c r="CS2700" i="6"/>
  <c r="CV2699" i="6"/>
  <c r="CT2699" i="6"/>
  <c r="CS2699" i="6"/>
  <c r="CV2698" i="6"/>
  <c r="CT2698" i="6"/>
  <c r="CS2698" i="6"/>
  <c r="CV2697" i="6"/>
  <c r="CT2697" i="6"/>
  <c r="CS2697" i="6"/>
  <c r="CV2696" i="6"/>
  <c r="CT2696" i="6"/>
  <c r="CS2696" i="6"/>
  <c r="CV2695" i="6"/>
  <c r="CT2695" i="6"/>
  <c r="CS2695" i="6"/>
  <c r="CV2694" i="6"/>
  <c r="CT2694" i="6"/>
  <c r="CS2694" i="6"/>
  <c r="CV2693" i="6"/>
  <c r="CT2693" i="6"/>
  <c r="CS2693" i="6"/>
  <c r="CV2692" i="6"/>
  <c r="CT2692" i="6"/>
  <c r="CS2692" i="6"/>
  <c r="CV2691" i="6"/>
  <c r="CT2691" i="6"/>
  <c r="CS2691" i="6"/>
  <c r="CV2690" i="6"/>
  <c r="CT2690" i="6"/>
  <c r="CS2690" i="6"/>
  <c r="CV2689" i="6"/>
  <c r="CT2689" i="6"/>
  <c r="CS2689" i="6"/>
  <c r="CV2688" i="6"/>
  <c r="CT2688" i="6"/>
  <c r="CS2688" i="6"/>
  <c r="CV2687" i="6"/>
  <c r="CT2687" i="6"/>
  <c r="CS2687" i="6"/>
  <c r="CV2686" i="6"/>
  <c r="CT2686" i="6"/>
  <c r="CS2686" i="6"/>
  <c r="CV2685" i="6"/>
  <c r="CT2685" i="6"/>
  <c r="CS2685" i="6"/>
  <c r="CT2684" i="6"/>
  <c r="CS2684" i="6"/>
  <c r="CV2683" i="6"/>
  <c r="CT2683" i="6"/>
  <c r="CS2683" i="6"/>
  <c r="CV2682" i="6"/>
  <c r="CT2682" i="6"/>
  <c r="CS2682" i="6"/>
  <c r="CV2681" i="6"/>
  <c r="CT2681" i="6"/>
  <c r="CS2681" i="6"/>
  <c r="CT2680" i="6"/>
  <c r="CS2680" i="6"/>
  <c r="CT2679" i="6"/>
  <c r="CS2679" i="6"/>
  <c r="CV2678" i="6"/>
  <c r="CT2678" i="6"/>
  <c r="CS2678" i="6"/>
  <c r="CV2677" i="6"/>
  <c r="CT2677" i="6"/>
  <c r="CS2677" i="6"/>
  <c r="CV2676" i="6"/>
  <c r="CT2676" i="6"/>
  <c r="CS2676" i="6"/>
  <c r="CV2675" i="6"/>
  <c r="CS2675" i="6"/>
  <c r="CV2674" i="6"/>
  <c r="CT2674" i="6"/>
  <c r="CS2674" i="6"/>
  <c r="CV2673" i="6"/>
  <c r="CT2673" i="6"/>
  <c r="CS2673" i="6"/>
  <c r="CV2672" i="6"/>
  <c r="CT2672" i="6"/>
  <c r="CS2672" i="6"/>
  <c r="CV2671" i="6"/>
  <c r="CT2671" i="6"/>
  <c r="CS2671" i="6"/>
  <c r="CV2670" i="6"/>
  <c r="CT2670" i="6"/>
  <c r="CS2670" i="6"/>
  <c r="CV2669" i="6"/>
  <c r="CT2669" i="6"/>
  <c r="CS2669" i="6"/>
  <c r="CV2668" i="6"/>
  <c r="CT2668" i="6"/>
  <c r="CS2668" i="6"/>
  <c r="CV2667" i="6"/>
  <c r="CT2667" i="6"/>
  <c r="CS2667" i="6"/>
  <c r="CV2666" i="6"/>
  <c r="CT2666" i="6"/>
  <c r="CS2666" i="6"/>
  <c r="CV2665" i="6"/>
  <c r="CT2665" i="6"/>
  <c r="CS2665" i="6"/>
  <c r="CV2664" i="6"/>
  <c r="CT2664" i="6"/>
  <c r="CS2664" i="6"/>
  <c r="CV2663" i="6"/>
  <c r="CT2663" i="6"/>
  <c r="CS2663" i="6"/>
  <c r="CV2662" i="6"/>
  <c r="CT2662" i="6"/>
  <c r="CS2662" i="6"/>
  <c r="CV2661" i="6"/>
  <c r="CT2661" i="6"/>
  <c r="CS2661" i="6"/>
  <c r="CV2660" i="6"/>
  <c r="CT2660" i="6"/>
  <c r="CS2660" i="6"/>
  <c r="CV2659" i="6"/>
  <c r="CT2659" i="6"/>
  <c r="CS2659" i="6"/>
  <c r="CV2658" i="6"/>
  <c r="CT2658" i="6"/>
  <c r="CS2658" i="6"/>
  <c r="CV2657" i="6"/>
  <c r="CT2657" i="6"/>
  <c r="CS2657" i="6"/>
  <c r="CV2656" i="6"/>
  <c r="CT2656" i="6"/>
  <c r="CS2656" i="6"/>
  <c r="CV2655" i="6"/>
  <c r="CT2655" i="6"/>
  <c r="CS2655" i="6"/>
  <c r="CV2654" i="6"/>
  <c r="CT2654" i="6"/>
  <c r="CS2654" i="6"/>
  <c r="CV2653" i="6"/>
  <c r="CT2653" i="6"/>
  <c r="CS2653" i="6"/>
  <c r="CV2652" i="6"/>
  <c r="CT2652" i="6"/>
  <c r="CS2652" i="6"/>
  <c r="CV2651" i="6"/>
  <c r="CT2651" i="6"/>
  <c r="CS2651" i="6"/>
  <c r="CV2650" i="6"/>
  <c r="CT2650" i="6"/>
  <c r="CS2650" i="6"/>
  <c r="CV2649" i="6"/>
  <c r="CT2649" i="6"/>
  <c r="CS2649" i="6"/>
  <c r="CV2648" i="6"/>
  <c r="CT2648" i="6"/>
  <c r="CS2648" i="6"/>
  <c r="CV2647" i="6"/>
  <c r="CT2647" i="6"/>
  <c r="CS2647" i="6"/>
  <c r="CV2646" i="6"/>
  <c r="CT2646" i="6"/>
  <c r="CS2646" i="6"/>
  <c r="CV2645" i="6"/>
  <c r="CT2645" i="6"/>
  <c r="CS2645" i="6"/>
  <c r="CV2644" i="6"/>
  <c r="CT2644" i="6"/>
  <c r="CS2644" i="6"/>
  <c r="CV2643" i="6"/>
  <c r="CS2643" i="6"/>
  <c r="CV2642" i="6"/>
  <c r="CT2642" i="6"/>
  <c r="CS2642" i="6"/>
  <c r="CV2641" i="6"/>
  <c r="CT2641" i="6"/>
  <c r="CS2641" i="6"/>
  <c r="CV2640" i="6"/>
  <c r="CT2640" i="6"/>
  <c r="CS2640" i="6"/>
  <c r="CV2639" i="6"/>
  <c r="CT2639" i="6"/>
  <c r="CS2639" i="6"/>
  <c r="CV2638" i="6"/>
  <c r="CT2638" i="6"/>
  <c r="CS2638" i="6"/>
  <c r="CV2637" i="6"/>
  <c r="CT2637" i="6"/>
  <c r="CS2637" i="6"/>
  <c r="CV2636" i="6"/>
  <c r="CT2636" i="6"/>
  <c r="CS2636" i="6"/>
  <c r="CV2635" i="6"/>
  <c r="CT2635" i="6"/>
  <c r="CS2635" i="6"/>
  <c r="CV2634" i="6"/>
  <c r="CT2634" i="6"/>
  <c r="CS2634" i="6"/>
  <c r="CV2633" i="6"/>
  <c r="CT2633" i="6"/>
  <c r="CS2633" i="6"/>
  <c r="CV2632" i="6"/>
  <c r="CT2632" i="6"/>
  <c r="CS2632" i="6"/>
  <c r="CV2631" i="6"/>
  <c r="CT2631" i="6"/>
  <c r="CS2631" i="6"/>
  <c r="CV2630" i="6"/>
  <c r="CT2630" i="6"/>
  <c r="CS2630" i="6"/>
  <c r="CV2629" i="6"/>
  <c r="CT2629" i="6"/>
  <c r="CS2629" i="6"/>
  <c r="CV2628" i="6"/>
  <c r="CT2628" i="6"/>
  <c r="CS2628" i="6"/>
  <c r="CV2627" i="6"/>
  <c r="CT2627" i="6"/>
  <c r="CS2627" i="6"/>
  <c r="CV2626" i="6"/>
  <c r="CT2626" i="6"/>
  <c r="CS2626" i="6"/>
  <c r="CV2625" i="6"/>
  <c r="CT2625" i="6"/>
  <c r="CS2625" i="6"/>
  <c r="CV2624" i="6"/>
  <c r="CT2624" i="6"/>
  <c r="CS2624" i="6"/>
  <c r="CV2623" i="6"/>
  <c r="CT2623" i="6"/>
  <c r="CS2623" i="6"/>
  <c r="CV2622" i="6"/>
  <c r="CT2622" i="6"/>
  <c r="CS2622" i="6"/>
  <c r="CV2621" i="6"/>
  <c r="CT2621" i="6"/>
  <c r="CS2621" i="6"/>
  <c r="CV2620" i="6"/>
  <c r="CT2620" i="6"/>
  <c r="CS2620" i="6"/>
  <c r="CV2619" i="6"/>
  <c r="CT2619" i="6"/>
  <c r="CS2619" i="6"/>
  <c r="CV2618" i="6"/>
  <c r="CT2618" i="6"/>
  <c r="CS2618" i="6"/>
  <c r="CV2617" i="6"/>
  <c r="CT2617" i="6"/>
  <c r="CS2617" i="6"/>
  <c r="CV2616" i="6"/>
  <c r="CT2616" i="6"/>
  <c r="CS2616" i="6"/>
  <c r="CV2615" i="6"/>
  <c r="CT2615" i="6"/>
  <c r="CS2615" i="6"/>
  <c r="CV2614" i="6"/>
  <c r="CT2614" i="6"/>
  <c r="CS2614" i="6"/>
  <c r="CV2613" i="6"/>
  <c r="CT2613" i="6"/>
  <c r="CS2613" i="6"/>
  <c r="CV2612" i="6"/>
  <c r="CT2612" i="6"/>
  <c r="CS2612" i="6"/>
  <c r="CV2611" i="6"/>
  <c r="CT2611" i="6"/>
  <c r="CS2611" i="6"/>
  <c r="CV2610" i="6"/>
  <c r="CT2610" i="6"/>
  <c r="CS2610" i="6"/>
  <c r="CV2609" i="6"/>
  <c r="CT2609" i="6"/>
  <c r="CS2609" i="6"/>
  <c r="CV2608" i="6"/>
  <c r="CT2608" i="6"/>
  <c r="CS2608" i="6"/>
  <c r="CV2607" i="6"/>
  <c r="CT2607" i="6"/>
  <c r="CS2607" i="6"/>
  <c r="CV2606" i="6"/>
  <c r="CT2606" i="6"/>
  <c r="CS2606" i="6"/>
  <c r="CV2605" i="6"/>
  <c r="CT2605" i="6"/>
  <c r="CS2605" i="6"/>
  <c r="CV2604" i="6"/>
  <c r="CT2604" i="6"/>
  <c r="CS2604" i="6"/>
  <c r="CV2603" i="6"/>
  <c r="CT2603" i="6"/>
  <c r="CS2603" i="6"/>
  <c r="CV2602" i="6"/>
  <c r="CT2602" i="6"/>
  <c r="CS2602" i="6"/>
  <c r="CV2601" i="6"/>
  <c r="CT2601" i="6"/>
  <c r="CS2601" i="6"/>
  <c r="CV2600" i="6"/>
  <c r="CT2600" i="6"/>
  <c r="CS2600" i="6"/>
  <c r="CV2599" i="6"/>
  <c r="CT2599" i="6"/>
  <c r="CS2599" i="6"/>
  <c r="CV2598" i="6"/>
  <c r="CT2598" i="6"/>
  <c r="CS2598" i="6"/>
  <c r="CV2597" i="6"/>
  <c r="CT2597" i="6"/>
  <c r="CS2597" i="6"/>
  <c r="CV2596" i="6"/>
  <c r="CT2596" i="6"/>
  <c r="CS2596" i="6"/>
  <c r="CV2595" i="6"/>
  <c r="CT2595" i="6"/>
  <c r="CS2595" i="6"/>
  <c r="CV2594" i="6"/>
  <c r="CS2594" i="6"/>
  <c r="CV2593" i="6"/>
  <c r="CT2593" i="6"/>
  <c r="CS2593" i="6"/>
  <c r="CV2592" i="6"/>
  <c r="CT2592" i="6"/>
  <c r="CS2592" i="6"/>
  <c r="CV2591" i="6"/>
  <c r="CT2591" i="6"/>
  <c r="CS2591" i="6"/>
  <c r="CV2590" i="6"/>
  <c r="CT2590" i="6"/>
  <c r="CS2590" i="6"/>
  <c r="CV2589" i="6"/>
  <c r="CT2589" i="6"/>
  <c r="CS2589" i="6"/>
  <c r="CV2588" i="6"/>
  <c r="CT2588" i="6"/>
  <c r="CS2588" i="6"/>
  <c r="CV2587" i="6"/>
  <c r="CT2587" i="6"/>
  <c r="CS2587" i="6"/>
  <c r="CV2586" i="6"/>
  <c r="CT2586" i="6"/>
  <c r="CS2586" i="6"/>
  <c r="CV2585" i="6"/>
  <c r="CT2585" i="6"/>
  <c r="CS2585" i="6"/>
  <c r="CV2584" i="6"/>
  <c r="CT2584" i="6"/>
  <c r="CS2584" i="6"/>
  <c r="CV2583" i="6"/>
  <c r="CT2583" i="6"/>
  <c r="CS2583" i="6"/>
  <c r="CV2582" i="6"/>
  <c r="CT2582" i="6"/>
  <c r="CS2582" i="6"/>
  <c r="CV2581" i="6"/>
  <c r="CT2581" i="6"/>
  <c r="CS2581" i="6"/>
  <c r="CV2580" i="6"/>
  <c r="CT2580" i="6"/>
  <c r="CS2580" i="6"/>
  <c r="CV2579" i="6"/>
  <c r="CT2579" i="6"/>
  <c r="CS2579" i="6"/>
  <c r="CV2578" i="6"/>
  <c r="CT2578" i="6"/>
  <c r="CS2578" i="6"/>
  <c r="CV2577" i="6"/>
  <c r="CT2577" i="6"/>
  <c r="CS2577" i="6"/>
  <c r="CV2576" i="6"/>
  <c r="CT2576" i="6"/>
  <c r="CS2576" i="6"/>
  <c r="CV2575" i="6"/>
  <c r="CT2575" i="6"/>
  <c r="CS2575" i="6"/>
  <c r="CV2574" i="6"/>
  <c r="CT2574" i="6"/>
  <c r="CS2574" i="6"/>
  <c r="CV2573" i="6"/>
  <c r="CT2573" i="6"/>
  <c r="CS2573" i="6"/>
  <c r="CV2572" i="6"/>
  <c r="CT2572" i="6"/>
  <c r="CS2572" i="6"/>
  <c r="CV2571" i="6"/>
  <c r="CT2571" i="6"/>
  <c r="CS2571" i="6"/>
  <c r="CV2570" i="6"/>
  <c r="CT2570" i="6"/>
  <c r="CS2570" i="6"/>
  <c r="CV2569" i="6"/>
  <c r="CT2569" i="6"/>
  <c r="CS2569" i="6"/>
  <c r="CV2568" i="6"/>
  <c r="CV2567" i="6"/>
  <c r="CV2566" i="6"/>
  <c r="CV2565" i="6"/>
  <c r="CV2564" i="6"/>
  <c r="CV2563" i="6"/>
  <c r="CV2562" i="6"/>
  <c r="CV2561" i="6"/>
  <c r="CV2560" i="6"/>
  <c r="CV2559" i="6"/>
  <c r="CV2558" i="6"/>
  <c r="CV2557" i="6"/>
  <c r="CV2556" i="6"/>
  <c r="CV2555" i="6"/>
  <c r="CV2554" i="6"/>
  <c r="CV2553" i="6"/>
  <c r="CV2552" i="6"/>
  <c r="CV2551" i="6"/>
  <c r="CV2550" i="6"/>
  <c r="CV2549" i="6"/>
  <c r="CV2548" i="6"/>
  <c r="CV2547" i="6"/>
  <c r="CV2546" i="6"/>
  <c r="CV2545" i="6"/>
  <c r="CV2544" i="6"/>
  <c r="CV2543" i="6"/>
  <c r="CV2542" i="6"/>
  <c r="CV2541" i="6"/>
  <c r="CV2540" i="6"/>
  <c r="CV2539" i="6"/>
  <c r="CT2539" i="6"/>
  <c r="CS2539" i="6"/>
  <c r="CV2538" i="6"/>
  <c r="CT2538" i="6"/>
  <c r="CS2538" i="6"/>
  <c r="CV2537" i="6"/>
  <c r="CT2537" i="6"/>
  <c r="CS2537" i="6"/>
  <c r="CV2536" i="6"/>
  <c r="CT2536" i="6"/>
  <c r="CS2536" i="6"/>
  <c r="CV2535" i="6"/>
  <c r="CT2535" i="6"/>
  <c r="CS2535" i="6"/>
  <c r="CV2534" i="6"/>
  <c r="CT2534" i="6"/>
  <c r="CS2534" i="6"/>
  <c r="CV2533" i="6"/>
  <c r="CT2533" i="6"/>
  <c r="CS2533" i="6"/>
  <c r="CV2532" i="6"/>
  <c r="CT2532" i="6"/>
  <c r="CS2532" i="6"/>
  <c r="CV2531" i="6"/>
  <c r="CT2531" i="6"/>
  <c r="CS2531" i="6"/>
  <c r="CV2530" i="6"/>
  <c r="CT2530" i="6"/>
  <c r="CS2530" i="6"/>
  <c r="CV2529" i="6"/>
  <c r="CT2529" i="6"/>
  <c r="CS2529" i="6"/>
  <c r="CV2528" i="6"/>
  <c r="CT2528" i="6"/>
  <c r="CS2528" i="6"/>
  <c r="CV2527" i="6"/>
  <c r="CT2527" i="6"/>
  <c r="CS2527" i="6"/>
  <c r="CV2526" i="6"/>
  <c r="CT2526" i="6"/>
  <c r="CS2526" i="6"/>
  <c r="CV2525" i="6"/>
  <c r="CT2525" i="6"/>
  <c r="CS2525" i="6"/>
  <c r="CV2524" i="6"/>
  <c r="CT2524" i="6"/>
  <c r="CS2524" i="6"/>
  <c r="CV2523" i="6"/>
  <c r="CT2523" i="6"/>
  <c r="CS2523" i="6"/>
  <c r="CV2522" i="6"/>
  <c r="CT2522" i="6"/>
  <c r="CS2522" i="6"/>
  <c r="CV2521" i="6"/>
  <c r="CT2521" i="6"/>
  <c r="CS2521" i="6"/>
  <c r="CV2520" i="6"/>
  <c r="CT2520" i="6"/>
  <c r="CS2520" i="6"/>
  <c r="CV2519" i="6"/>
  <c r="CT2519" i="6"/>
  <c r="CS2519" i="6"/>
  <c r="CV2518" i="6"/>
  <c r="CT2518" i="6"/>
  <c r="CS2518" i="6"/>
  <c r="CV2517" i="6"/>
  <c r="CT2517" i="6"/>
  <c r="CS2517" i="6"/>
  <c r="CV2516" i="6"/>
  <c r="CT2516" i="6"/>
  <c r="CS2516" i="6"/>
  <c r="CV2515" i="6"/>
  <c r="CT2515" i="6"/>
  <c r="CS2515" i="6"/>
  <c r="CV2514" i="6"/>
  <c r="CT2514" i="6"/>
  <c r="CS2514" i="6"/>
  <c r="CV2513" i="6"/>
  <c r="CT2513" i="6"/>
  <c r="CS2513" i="6"/>
  <c r="CV2512" i="6"/>
  <c r="CT2512" i="6"/>
  <c r="CS2512" i="6"/>
  <c r="CV2511" i="6"/>
  <c r="CT2511" i="6"/>
  <c r="CS2511" i="6"/>
  <c r="CV2510" i="6"/>
  <c r="CT2510" i="6"/>
  <c r="CS2510" i="6"/>
  <c r="CV2509" i="6"/>
  <c r="CT2509" i="6"/>
  <c r="CS2509" i="6"/>
  <c r="CV2508" i="6"/>
  <c r="CT2508" i="6"/>
  <c r="CS2508" i="6"/>
  <c r="CV2507" i="6"/>
  <c r="CT2507" i="6"/>
  <c r="CS2507" i="6"/>
  <c r="CV2506" i="6"/>
  <c r="CT2506" i="6"/>
  <c r="CS2506" i="6"/>
  <c r="CV2505" i="6"/>
  <c r="CT2505" i="6"/>
  <c r="CS2505" i="6"/>
  <c r="CV2504" i="6"/>
  <c r="CT2504" i="6"/>
  <c r="CS2504" i="6"/>
  <c r="CV2503" i="6"/>
  <c r="CT2503" i="6"/>
  <c r="CS2503" i="6"/>
  <c r="CV2502" i="6"/>
  <c r="CT2502" i="6"/>
  <c r="CS2502" i="6"/>
  <c r="CV2501" i="6"/>
  <c r="CT2501" i="6"/>
  <c r="CS2501" i="6"/>
  <c r="CV2500" i="6"/>
  <c r="CT2500" i="6"/>
  <c r="CS2500" i="6"/>
  <c r="CV2499" i="6"/>
  <c r="CT2499" i="6"/>
  <c r="CS2499" i="6"/>
  <c r="CV2498" i="6"/>
  <c r="CT2498" i="6"/>
  <c r="CS2498" i="6"/>
  <c r="CV2497" i="6"/>
  <c r="CT2497" i="6"/>
  <c r="CS2497" i="6"/>
  <c r="CV2496" i="6"/>
  <c r="CT2496" i="6"/>
  <c r="CS2496" i="6"/>
  <c r="CV2495" i="6"/>
  <c r="CT2495" i="6"/>
  <c r="CS2495" i="6"/>
  <c r="CV2494" i="6"/>
  <c r="CT2494" i="6"/>
  <c r="CS2494" i="6"/>
  <c r="CV2493" i="6"/>
  <c r="CT2493" i="6"/>
  <c r="CS2493" i="6"/>
  <c r="CV2492" i="6"/>
  <c r="CT2492" i="6"/>
  <c r="CS2492" i="6"/>
  <c r="CV2491" i="6"/>
  <c r="CT2491" i="6"/>
  <c r="CS2491" i="6"/>
  <c r="CV2490" i="6"/>
  <c r="CT2490" i="6"/>
  <c r="CS2490" i="6"/>
  <c r="CV2489" i="6"/>
  <c r="CT2489" i="6"/>
  <c r="CS2489" i="6"/>
  <c r="CV2488" i="6"/>
  <c r="CT2488" i="6"/>
  <c r="CS2488" i="6"/>
  <c r="CV2487" i="6"/>
  <c r="CT2487" i="6"/>
  <c r="CS2487" i="6"/>
  <c r="CV2486" i="6"/>
  <c r="CT2486" i="6"/>
  <c r="CS2486" i="6"/>
  <c r="CV2485" i="6"/>
  <c r="CT2485" i="6"/>
  <c r="CS2485" i="6"/>
  <c r="CV2484" i="6"/>
  <c r="CT2484" i="6"/>
  <c r="CS2484" i="6"/>
  <c r="CV2483" i="6"/>
  <c r="CT2483" i="6"/>
  <c r="CS2483" i="6"/>
  <c r="CV2482" i="6"/>
  <c r="CT2482" i="6"/>
  <c r="CS2482" i="6"/>
  <c r="CV2481" i="6"/>
  <c r="CT2481" i="6"/>
  <c r="CS2481" i="6"/>
  <c r="CV2480" i="6"/>
  <c r="CT2480" i="6"/>
  <c r="CS2480" i="6"/>
  <c r="CV2479" i="6"/>
  <c r="CT2479" i="6"/>
  <c r="CS2479" i="6"/>
  <c r="CV2478" i="6"/>
  <c r="CT2478" i="6"/>
  <c r="CS2478" i="6"/>
  <c r="CV2477" i="6"/>
  <c r="CT2477" i="6"/>
  <c r="CS2477" i="6"/>
  <c r="CV2476" i="6"/>
  <c r="CT2476" i="6"/>
  <c r="CS2476" i="6"/>
  <c r="CV2475" i="6"/>
  <c r="CT2475" i="6"/>
  <c r="CS2475" i="6"/>
  <c r="CV2474" i="6"/>
  <c r="CT2474" i="6"/>
  <c r="CS2474" i="6"/>
  <c r="CV2473" i="6"/>
  <c r="CT2473" i="6"/>
  <c r="CS2473" i="6"/>
  <c r="CV2472" i="6"/>
  <c r="CT2472" i="6"/>
  <c r="CS2472" i="6"/>
  <c r="CV2471" i="6"/>
  <c r="CT2471" i="6"/>
  <c r="CS2471" i="6"/>
  <c r="CV2470" i="6"/>
  <c r="CT2470" i="6"/>
  <c r="CS2470" i="6"/>
  <c r="CV2469" i="6"/>
  <c r="CT2469" i="6"/>
  <c r="CS2469" i="6"/>
  <c r="CV2468" i="6"/>
  <c r="CT2468" i="6"/>
  <c r="CS2468" i="6"/>
  <c r="CV2467" i="6"/>
  <c r="CT2467" i="6"/>
  <c r="CS2467" i="6"/>
  <c r="CV2466" i="6"/>
  <c r="CT2466" i="6"/>
  <c r="CS2466" i="6"/>
  <c r="CV2465" i="6"/>
  <c r="CT2465" i="6"/>
  <c r="CS2465" i="6"/>
  <c r="CV2464" i="6"/>
  <c r="CT2464" i="6"/>
  <c r="CS2464" i="6"/>
  <c r="CV2463" i="6"/>
  <c r="CT2463" i="6"/>
  <c r="CS2463" i="6"/>
  <c r="CV2462" i="6"/>
  <c r="CT2462" i="6"/>
  <c r="CS2462" i="6"/>
  <c r="CV2461" i="6"/>
  <c r="CT2461" i="6"/>
  <c r="CS2461" i="6"/>
  <c r="CV2460" i="6"/>
  <c r="CT2460" i="6"/>
  <c r="CS2460" i="6"/>
  <c r="CV2459" i="6"/>
  <c r="CT2459" i="6"/>
  <c r="CS2459" i="6"/>
  <c r="CV2458" i="6"/>
  <c r="CT2458" i="6"/>
  <c r="CS2458" i="6"/>
  <c r="CV2457" i="6"/>
  <c r="CT2457" i="6"/>
  <c r="CS2457" i="6"/>
  <c r="CV2456" i="6"/>
  <c r="CT2456" i="6"/>
  <c r="CS2456" i="6"/>
  <c r="CV2455" i="6"/>
  <c r="CT2455" i="6"/>
  <c r="CS2455" i="6"/>
  <c r="CV2454" i="6"/>
  <c r="CT2454" i="6"/>
  <c r="CS2454" i="6"/>
  <c r="CV2453" i="6"/>
  <c r="CT2453" i="6"/>
  <c r="CS2453" i="6"/>
  <c r="CV2452" i="6"/>
  <c r="CT2452" i="6"/>
  <c r="CS2452" i="6"/>
  <c r="CV2451" i="6"/>
  <c r="CT2451" i="6"/>
  <c r="CS2451" i="6"/>
  <c r="CV2450" i="6"/>
  <c r="CT2450" i="6"/>
  <c r="CS2450" i="6"/>
  <c r="CV2449" i="6"/>
  <c r="CT2449" i="6"/>
  <c r="CS2449" i="6"/>
  <c r="CV2448" i="6"/>
  <c r="CT2448" i="6"/>
  <c r="CS2448" i="6"/>
  <c r="CV2447" i="6"/>
  <c r="CT2447" i="6"/>
  <c r="CS2447" i="6"/>
  <c r="CV2446" i="6"/>
  <c r="CT2446" i="6"/>
  <c r="CS2446" i="6"/>
  <c r="CV2445" i="6"/>
  <c r="CT2445" i="6"/>
  <c r="CS2445" i="6"/>
  <c r="CV2444" i="6"/>
  <c r="CT2444" i="6"/>
  <c r="CS2444" i="6"/>
  <c r="CV2443" i="6"/>
  <c r="CT2443" i="6"/>
  <c r="CS2443" i="6"/>
  <c r="CV2442" i="6"/>
  <c r="CT2442" i="6"/>
  <c r="CS2442" i="6"/>
  <c r="CV2441" i="6"/>
  <c r="CT2441" i="6"/>
  <c r="CS2441" i="6"/>
  <c r="CV2440" i="6"/>
  <c r="CT2440" i="6"/>
  <c r="CS2440" i="6"/>
  <c r="CV2439" i="6"/>
  <c r="CT2439" i="6"/>
  <c r="CS2439" i="6"/>
  <c r="CV2438" i="6"/>
  <c r="CT2438" i="6"/>
  <c r="CS2438" i="6"/>
  <c r="CV2437" i="6"/>
  <c r="CT2437" i="6"/>
  <c r="CS2437" i="6"/>
  <c r="CV2436" i="6"/>
  <c r="CT2436" i="6"/>
  <c r="CS2436" i="6"/>
  <c r="CV2435" i="6"/>
  <c r="CT2435" i="6"/>
  <c r="CS2435" i="6"/>
  <c r="CV2434" i="6"/>
  <c r="CT2434" i="6"/>
  <c r="CS2434" i="6"/>
  <c r="CV2433" i="6"/>
  <c r="CT2433" i="6"/>
  <c r="CS2433" i="6"/>
  <c r="CV2432" i="6"/>
  <c r="CT2432" i="6"/>
  <c r="CS2432" i="6"/>
  <c r="CV2431" i="6"/>
  <c r="CT2431" i="6"/>
  <c r="CS2431" i="6"/>
  <c r="CV2430" i="6"/>
  <c r="CT2430" i="6"/>
  <c r="CS2430" i="6"/>
  <c r="CV2429" i="6"/>
  <c r="CT2429" i="6"/>
  <c r="CS2429" i="6"/>
  <c r="CV2428" i="6"/>
  <c r="CT2428" i="6"/>
  <c r="CS2428" i="6"/>
  <c r="CV2427" i="6"/>
  <c r="CT2427" i="6"/>
  <c r="CS2427" i="6"/>
  <c r="CV2426" i="6"/>
  <c r="CT2426" i="6"/>
  <c r="CS2426" i="6"/>
  <c r="CV2425" i="6"/>
  <c r="CT2425" i="6"/>
  <c r="CS2425" i="6"/>
  <c r="CV2424" i="6"/>
  <c r="CT2424" i="6"/>
  <c r="CS2424" i="6"/>
  <c r="CV2423" i="6"/>
  <c r="CT2423" i="6"/>
  <c r="CS2423" i="6"/>
  <c r="CV2422" i="6"/>
  <c r="CT2422" i="6"/>
  <c r="CS2422" i="6"/>
  <c r="CV2421" i="6"/>
  <c r="CT2421" i="6"/>
  <c r="CS2421" i="6"/>
  <c r="CV2420" i="6"/>
  <c r="CT2420" i="6"/>
  <c r="CS2420" i="6"/>
  <c r="CV2419" i="6"/>
  <c r="CT2419" i="6"/>
  <c r="CS2419" i="6"/>
  <c r="CV2418" i="6"/>
  <c r="CT2418" i="6"/>
  <c r="CS2418" i="6"/>
  <c r="CV2417" i="6"/>
  <c r="CT2417" i="6"/>
  <c r="CS2417" i="6"/>
  <c r="CV2416" i="6"/>
  <c r="CT2416" i="6"/>
  <c r="CS2416" i="6"/>
  <c r="CV2415" i="6"/>
  <c r="CT2415" i="6"/>
  <c r="CS2415" i="6"/>
  <c r="CV2414" i="6"/>
  <c r="CT2414" i="6"/>
  <c r="CS2414" i="6"/>
  <c r="CV2413" i="6"/>
  <c r="CT2413" i="6"/>
  <c r="CS2413" i="6"/>
  <c r="CV2412" i="6"/>
  <c r="CT2412" i="6"/>
  <c r="CS2412" i="6"/>
  <c r="CV2411" i="6"/>
  <c r="CT2411" i="6"/>
  <c r="CS2411" i="6"/>
  <c r="CV2410" i="6"/>
  <c r="CT2410" i="6"/>
  <c r="CS2410" i="6"/>
  <c r="CV2409" i="6"/>
  <c r="CT2409" i="6"/>
  <c r="CS2409" i="6"/>
  <c r="CV2408" i="6"/>
  <c r="CT2408" i="6"/>
  <c r="CS2408" i="6"/>
  <c r="CV2407" i="6"/>
  <c r="CT2407" i="6"/>
  <c r="CS2407" i="6"/>
  <c r="CV2406" i="6"/>
  <c r="CT2406" i="6"/>
  <c r="CS2406" i="6"/>
  <c r="CV2405" i="6"/>
  <c r="CT2405" i="6"/>
  <c r="CS2405" i="6"/>
  <c r="CV2404" i="6"/>
  <c r="CT2404" i="6"/>
  <c r="CS2404" i="6"/>
  <c r="CV2403" i="6"/>
  <c r="CT2403" i="6"/>
  <c r="CS2403" i="6"/>
  <c r="CV2402" i="6"/>
  <c r="CT2402" i="6"/>
  <c r="CS2402" i="6"/>
  <c r="CV2401" i="6"/>
  <c r="CT2401" i="6"/>
  <c r="CS2401" i="6"/>
  <c r="CV2400" i="6"/>
  <c r="CT2400" i="6"/>
  <c r="CS2400" i="6"/>
  <c r="CV2399" i="6"/>
  <c r="CT2399" i="6"/>
  <c r="CS2399" i="6"/>
  <c r="CV2398" i="6"/>
  <c r="CT2398" i="6"/>
  <c r="CS2398" i="6"/>
  <c r="CV2397" i="6"/>
  <c r="CT2397" i="6"/>
  <c r="CS2397" i="6"/>
  <c r="CV2396" i="6"/>
  <c r="CT2396" i="6"/>
  <c r="CS2396" i="6"/>
  <c r="CV2395" i="6"/>
  <c r="CT2395" i="6"/>
  <c r="CS2395" i="6"/>
  <c r="CV2394" i="6"/>
  <c r="CT2394" i="6"/>
  <c r="CS2394" i="6"/>
  <c r="CV2393" i="6"/>
  <c r="CT2393" i="6"/>
  <c r="CS2393" i="6"/>
  <c r="CV2392" i="6"/>
  <c r="CT2392" i="6"/>
  <c r="CS2392" i="6"/>
  <c r="CV2391" i="6"/>
  <c r="CT2391" i="6"/>
  <c r="CS2391" i="6"/>
  <c r="CV2390" i="6"/>
  <c r="CT2390" i="6"/>
  <c r="CS2390" i="6"/>
  <c r="CV2389" i="6"/>
  <c r="CT2389" i="6"/>
  <c r="CS2389" i="6"/>
  <c r="CV2388" i="6"/>
  <c r="CT2388" i="6"/>
  <c r="CS2388" i="6"/>
  <c r="CV2387" i="6"/>
  <c r="CT2387" i="6"/>
  <c r="CS2387" i="6"/>
  <c r="CV2386" i="6"/>
  <c r="CT2386" i="6"/>
  <c r="CS2386" i="6"/>
  <c r="CV2385" i="6"/>
  <c r="CT2385" i="6"/>
  <c r="CS2385" i="6"/>
  <c r="CV2384" i="6"/>
  <c r="CT2384" i="6"/>
  <c r="CS2384" i="6"/>
  <c r="CV2383" i="6"/>
  <c r="CT2383" i="6"/>
  <c r="CS2383" i="6"/>
  <c r="CV2382" i="6"/>
  <c r="CT2382" i="6"/>
  <c r="CS2382" i="6"/>
  <c r="CV2381" i="6"/>
  <c r="CT2381" i="6"/>
  <c r="CS2381" i="6"/>
  <c r="CV2380" i="6"/>
  <c r="CT2380" i="6"/>
  <c r="CS2380" i="6"/>
  <c r="CV2379" i="6"/>
  <c r="CT2379" i="6"/>
  <c r="CS2379" i="6"/>
  <c r="CV2378" i="6"/>
  <c r="CT2378" i="6"/>
  <c r="CS2378" i="6"/>
  <c r="CV2377" i="6"/>
  <c r="CT2377" i="6"/>
  <c r="CS2377" i="6"/>
  <c r="CV2376" i="6"/>
  <c r="CT2376" i="6"/>
  <c r="CS2376" i="6"/>
  <c r="CV2375" i="6"/>
  <c r="CT2375" i="6"/>
  <c r="CS2375" i="6"/>
  <c r="CV2374" i="6"/>
  <c r="CT2374" i="6"/>
  <c r="CS2374" i="6"/>
  <c r="CV2373" i="6"/>
  <c r="CT2373" i="6"/>
  <c r="CS2373" i="6"/>
  <c r="CV2372" i="6"/>
  <c r="CT2372" i="6"/>
  <c r="CS2372" i="6"/>
  <c r="CV2371" i="6"/>
  <c r="CT2371" i="6"/>
  <c r="CS2371" i="6"/>
  <c r="CV2370" i="6"/>
  <c r="CS2370" i="6"/>
  <c r="CV2369" i="6"/>
  <c r="CS2369" i="6"/>
  <c r="CV2368" i="6"/>
  <c r="CS2368" i="6"/>
  <c r="CV2367" i="6"/>
  <c r="CS2367" i="6"/>
  <c r="CV2366" i="6"/>
  <c r="CS2366" i="6"/>
  <c r="CV2365" i="6"/>
  <c r="CT2365" i="6"/>
  <c r="CS2365" i="6"/>
  <c r="CV2364" i="6"/>
  <c r="CS2364" i="6"/>
  <c r="CV2363" i="6"/>
  <c r="CT2363" i="6"/>
  <c r="CS2363" i="6"/>
  <c r="CV2362" i="6"/>
  <c r="CT2362" i="6"/>
  <c r="CS2362" i="6"/>
  <c r="CV2361" i="6"/>
  <c r="CT2361" i="6"/>
  <c r="CS2361" i="6"/>
  <c r="CV2360" i="6"/>
  <c r="CT2360" i="6"/>
  <c r="CS2360" i="6"/>
  <c r="CV2359" i="6"/>
  <c r="CT2359" i="6"/>
  <c r="CS2359" i="6"/>
  <c r="CV2358" i="6"/>
  <c r="CT2358" i="6"/>
  <c r="CS2358" i="6"/>
  <c r="CV2357" i="6"/>
  <c r="CT2357" i="6"/>
  <c r="CS2357" i="6"/>
  <c r="CV2356" i="6"/>
  <c r="CT2356" i="6"/>
  <c r="CS2356" i="6"/>
  <c r="CV2355" i="6"/>
  <c r="CT2355" i="6"/>
  <c r="CS2355" i="6"/>
  <c r="CV2354" i="6"/>
  <c r="CT2354" i="6"/>
  <c r="CS2354" i="6"/>
  <c r="CV2353" i="6"/>
  <c r="CT2353" i="6"/>
  <c r="CS2353" i="6"/>
  <c r="CV2352" i="6"/>
  <c r="CT2352" i="6"/>
  <c r="CS2352" i="6"/>
  <c r="CV2351" i="6"/>
  <c r="CT2351" i="6"/>
  <c r="CS2351" i="6"/>
  <c r="CV2350" i="6"/>
  <c r="CT2350" i="6"/>
  <c r="CS2350" i="6"/>
  <c r="CV2349" i="6"/>
  <c r="CT2349" i="6"/>
  <c r="CS2349" i="6"/>
  <c r="CV2348" i="6"/>
  <c r="CT2348" i="6"/>
  <c r="CS2348" i="6"/>
  <c r="CV2347" i="6"/>
  <c r="CT2347" i="6"/>
  <c r="CS2347" i="6"/>
  <c r="CV2346" i="6"/>
  <c r="CT2346" i="6"/>
  <c r="CS2346" i="6"/>
  <c r="CV2345" i="6"/>
  <c r="CT2345" i="6"/>
  <c r="CS2345" i="6"/>
  <c r="CV2344" i="6"/>
  <c r="CT2344" i="6"/>
  <c r="CS2344" i="6"/>
  <c r="CV2343" i="6"/>
  <c r="CT2343" i="6"/>
  <c r="CS2343" i="6"/>
  <c r="CV2342" i="6"/>
  <c r="CT2342" i="6"/>
  <c r="CS2342" i="6"/>
  <c r="CV2341" i="6"/>
  <c r="CT2341" i="6"/>
  <c r="CS2341" i="6"/>
  <c r="CV2340" i="6"/>
  <c r="CT2340" i="6"/>
  <c r="CS2340" i="6"/>
  <c r="CV2339" i="6"/>
  <c r="CT2339" i="6"/>
  <c r="CS2339" i="6"/>
  <c r="CV2338" i="6"/>
  <c r="CT2338" i="6"/>
  <c r="CS2338" i="6"/>
  <c r="CV2337" i="6"/>
  <c r="CT2337" i="6"/>
  <c r="CS2337" i="6"/>
  <c r="CV2336" i="6"/>
  <c r="CT2336" i="6"/>
  <c r="CS2336" i="6"/>
  <c r="CV2335" i="6"/>
  <c r="CT2335" i="6"/>
  <c r="CS2335" i="6"/>
  <c r="CV2334" i="6"/>
  <c r="CT2334" i="6"/>
  <c r="CS2334" i="6"/>
  <c r="CV2333" i="6"/>
  <c r="CT2333" i="6"/>
  <c r="CS2333" i="6"/>
  <c r="CV2332" i="6"/>
  <c r="CT2332" i="6"/>
  <c r="CS2332" i="6"/>
  <c r="CV2331" i="6"/>
  <c r="CT2331" i="6"/>
  <c r="CS2331" i="6"/>
  <c r="CV2330" i="6"/>
  <c r="CT2330" i="6"/>
  <c r="CS2330" i="6"/>
  <c r="CV2329" i="6"/>
  <c r="CT2329" i="6"/>
  <c r="CS2329" i="6"/>
  <c r="CV2328" i="6"/>
  <c r="CT2328" i="6"/>
  <c r="CS2328" i="6"/>
  <c r="CV2327" i="6"/>
  <c r="CT2327" i="6"/>
  <c r="CS2327" i="6"/>
  <c r="CV2326" i="6"/>
  <c r="CT2326" i="6"/>
  <c r="CS2326" i="6"/>
  <c r="CV2325" i="6"/>
  <c r="CT2325" i="6"/>
  <c r="CS2325" i="6"/>
  <c r="CV2324" i="6"/>
  <c r="CT2324" i="6"/>
  <c r="CS2324" i="6"/>
  <c r="CV2323" i="6"/>
  <c r="CT2323" i="6"/>
  <c r="CS2323" i="6"/>
  <c r="CV2322" i="6"/>
  <c r="CT2322" i="6"/>
  <c r="CS2322" i="6"/>
  <c r="CV2321" i="6"/>
  <c r="CT2321" i="6"/>
  <c r="CS2321" i="6"/>
  <c r="CV2320" i="6"/>
  <c r="CT2320" i="6"/>
  <c r="CS2320" i="6"/>
  <c r="CV2319" i="6"/>
  <c r="CT2319" i="6"/>
  <c r="CS2319" i="6"/>
  <c r="CV2318" i="6"/>
  <c r="CT2318" i="6"/>
  <c r="CS2318" i="6"/>
  <c r="CV2317" i="6"/>
  <c r="CT2317" i="6"/>
  <c r="CS2317" i="6"/>
  <c r="CV2316" i="6"/>
  <c r="CT2316" i="6"/>
  <c r="CS2316" i="6"/>
  <c r="CV2315" i="6"/>
  <c r="CT2315" i="6"/>
  <c r="CS2315" i="6"/>
  <c r="CV2314" i="6"/>
  <c r="CT2314" i="6"/>
  <c r="CS2314" i="6"/>
  <c r="CV2313" i="6"/>
  <c r="CT2313" i="6"/>
  <c r="CS2313" i="6"/>
  <c r="CV2312" i="6"/>
  <c r="CT2312" i="6"/>
  <c r="CS2312" i="6"/>
  <c r="CV2311" i="6"/>
  <c r="CT2311" i="6"/>
  <c r="CS2311" i="6"/>
  <c r="CV2310" i="6"/>
  <c r="CT2310" i="6"/>
  <c r="CS2310" i="6"/>
  <c r="CV2309" i="6"/>
  <c r="CT2309" i="6"/>
  <c r="CS2309" i="6"/>
  <c r="CV2308" i="6"/>
  <c r="CT2308" i="6"/>
  <c r="CS2308" i="6"/>
  <c r="CV2307" i="6"/>
  <c r="CT2307" i="6"/>
  <c r="CS2307" i="6"/>
  <c r="CV2306" i="6"/>
  <c r="CT2306" i="6"/>
  <c r="CS2306" i="6"/>
  <c r="CV2305" i="6"/>
  <c r="CT2305" i="6"/>
  <c r="CS2305" i="6"/>
  <c r="CV2304" i="6"/>
  <c r="CT2304" i="6"/>
  <c r="CS2304" i="6"/>
  <c r="CV2303" i="6"/>
  <c r="CT2303" i="6"/>
  <c r="CS2303" i="6"/>
  <c r="CV2302" i="6"/>
  <c r="CT2302" i="6"/>
  <c r="CS2302" i="6"/>
  <c r="CV2301" i="6"/>
  <c r="CT2301" i="6"/>
  <c r="CS2301" i="6"/>
  <c r="CV2300" i="6"/>
  <c r="CT2300" i="6"/>
  <c r="CS2300" i="6"/>
  <c r="CV2299" i="6"/>
  <c r="CT2299" i="6"/>
  <c r="CS2299" i="6"/>
  <c r="CV2298" i="6"/>
  <c r="CT2298" i="6"/>
  <c r="CS2298" i="6"/>
  <c r="CV2297" i="6"/>
  <c r="CT2297" i="6"/>
  <c r="CS2297" i="6"/>
  <c r="CV2296" i="6"/>
  <c r="CT2296" i="6"/>
  <c r="CS2296" i="6"/>
  <c r="CV2295" i="6"/>
  <c r="CT2295" i="6"/>
  <c r="CS2295" i="6"/>
  <c r="CV2294" i="6"/>
  <c r="CT2294" i="6"/>
  <c r="CS2294" i="6"/>
  <c r="CV2293" i="6"/>
  <c r="CT2293" i="6"/>
  <c r="CS2293" i="6"/>
  <c r="CV2292" i="6"/>
  <c r="CT2292" i="6"/>
  <c r="CS2292" i="6"/>
  <c r="CV2291" i="6"/>
  <c r="CT2291" i="6"/>
  <c r="CS2291" i="6"/>
  <c r="CV2290" i="6"/>
  <c r="CT2290" i="6"/>
  <c r="CS2290" i="6"/>
  <c r="CV2289" i="6"/>
  <c r="CT2289" i="6"/>
  <c r="CS2289" i="6"/>
  <c r="CV2288" i="6"/>
  <c r="CT2288" i="6"/>
  <c r="CS2288" i="6"/>
  <c r="CV2287" i="6"/>
  <c r="CT2287" i="6"/>
  <c r="CS2287" i="6"/>
  <c r="CV2286" i="6"/>
  <c r="CT2286" i="6"/>
  <c r="CS2286" i="6"/>
  <c r="CV2285" i="6"/>
  <c r="CT2285" i="6"/>
  <c r="CS2285" i="6"/>
  <c r="CV2284" i="6"/>
  <c r="CT2284" i="6"/>
  <c r="CS2284" i="6"/>
  <c r="CV2283" i="6"/>
  <c r="CT2283" i="6"/>
  <c r="CS2283" i="6"/>
  <c r="CV2282" i="6"/>
  <c r="CT2282" i="6"/>
  <c r="CS2282" i="6"/>
  <c r="CV2281" i="6"/>
  <c r="CT2281" i="6"/>
  <c r="CS2281" i="6"/>
  <c r="CV2280" i="6"/>
  <c r="CT2280" i="6"/>
  <c r="CS2280" i="6"/>
  <c r="CV2279" i="6"/>
  <c r="CT2279" i="6"/>
  <c r="CS2279" i="6"/>
  <c r="CV2278" i="6"/>
  <c r="CS2278" i="6"/>
  <c r="CV2277" i="6"/>
  <c r="CT2277" i="6"/>
  <c r="CS2277" i="6"/>
  <c r="CV2276" i="6"/>
  <c r="CT2276" i="6"/>
  <c r="CS2276" i="6"/>
  <c r="CV2275" i="6"/>
  <c r="CT2275" i="6"/>
  <c r="CS2275" i="6"/>
  <c r="CV2274" i="6"/>
  <c r="CT2274" i="6"/>
  <c r="CS2274" i="6"/>
  <c r="CV2273" i="6"/>
  <c r="CT2273" i="6"/>
  <c r="CS2273" i="6"/>
  <c r="CV2272" i="6"/>
  <c r="CT2272" i="6"/>
  <c r="CS2272" i="6"/>
  <c r="CV2271" i="6"/>
  <c r="CT2271" i="6"/>
  <c r="CS2271" i="6"/>
  <c r="CV2270" i="6"/>
  <c r="CT2270" i="6"/>
  <c r="CS2270" i="6"/>
  <c r="CV2269" i="6"/>
  <c r="CT2269" i="6"/>
  <c r="CS2269" i="6"/>
  <c r="CV2268" i="6"/>
  <c r="CT2268" i="6"/>
  <c r="CS2268" i="6"/>
  <c r="CV2267" i="6"/>
  <c r="CT2267" i="6"/>
  <c r="CS2267" i="6"/>
  <c r="CV2266" i="6"/>
  <c r="CT2266" i="6"/>
  <c r="CS2266" i="6"/>
  <c r="CV2265" i="6"/>
  <c r="CT2265" i="6"/>
  <c r="CS2265" i="6"/>
  <c r="CV2264" i="6"/>
  <c r="CT2264" i="6"/>
  <c r="CS2264" i="6"/>
  <c r="CV2263" i="6"/>
  <c r="CT2263" i="6"/>
  <c r="CS2263" i="6"/>
  <c r="CV2262" i="6"/>
  <c r="CT2262" i="6"/>
  <c r="CS2262" i="6"/>
  <c r="CV2261" i="6"/>
  <c r="CT2261" i="6"/>
  <c r="CS2261" i="6"/>
  <c r="CV2260" i="6"/>
  <c r="CT2260" i="6"/>
  <c r="CS2260" i="6"/>
  <c r="CV2259" i="6"/>
  <c r="CT2259" i="6"/>
  <c r="CS2259" i="6"/>
  <c r="CV2258" i="6"/>
  <c r="CT2258" i="6"/>
  <c r="CS2258" i="6"/>
  <c r="CV2257" i="6"/>
  <c r="CT2257" i="6"/>
  <c r="CS2257" i="6"/>
  <c r="CV2256" i="6"/>
  <c r="CT2256" i="6"/>
  <c r="CS2256" i="6"/>
  <c r="CV2255" i="6"/>
  <c r="CT2255" i="6"/>
  <c r="CS2255" i="6"/>
  <c r="CV2254" i="6"/>
  <c r="CT2254" i="6"/>
  <c r="CS2254" i="6"/>
  <c r="CV2253" i="6"/>
  <c r="CT2253" i="6"/>
  <c r="CS2253" i="6"/>
  <c r="CV2252" i="6"/>
  <c r="CT2252" i="6"/>
  <c r="CS2252" i="6"/>
  <c r="CV2251" i="6"/>
  <c r="CT2251" i="6"/>
  <c r="CS2251" i="6"/>
  <c r="CV2250" i="6"/>
  <c r="CT2250" i="6"/>
  <c r="CS2250" i="6"/>
  <c r="CV2249" i="6"/>
  <c r="CT2249" i="6"/>
  <c r="CS2249" i="6"/>
  <c r="CV2248" i="6"/>
  <c r="CT2248" i="6"/>
  <c r="CS2248" i="6"/>
  <c r="CV2247" i="6"/>
  <c r="CS2247" i="6"/>
  <c r="CV2246" i="6"/>
  <c r="CT2246" i="6"/>
  <c r="CS2246" i="6"/>
  <c r="CV2245" i="6"/>
  <c r="CT2245" i="6"/>
  <c r="CS2245" i="6"/>
  <c r="CV2244" i="6"/>
  <c r="CT2244" i="6"/>
  <c r="CS2244" i="6"/>
  <c r="CV2243" i="6"/>
  <c r="CT2243" i="6"/>
  <c r="CS2243" i="6"/>
  <c r="CV2242" i="6"/>
  <c r="CT2242" i="6"/>
  <c r="CS2242" i="6"/>
  <c r="CV2241" i="6"/>
  <c r="CT2241" i="6"/>
  <c r="CS2241" i="6"/>
  <c r="CV2240" i="6"/>
  <c r="CT2240" i="6"/>
  <c r="CS2240" i="6"/>
  <c r="CV2239" i="6"/>
  <c r="CT2239" i="6"/>
  <c r="CS2239" i="6"/>
  <c r="CV2238" i="6"/>
  <c r="CT2238" i="6"/>
  <c r="CS2238" i="6"/>
  <c r="CV2237" i="6"/>
  <c r="CT2237" i="6"/>
  <c r="CS2237" i="6"/>
  <c r="CV2236" i="6"/>
  <c r="CT2236" i="6"/>
  <c r="CS2236" i="6"/>
  <c r="CV2235" i="6"/>
  <c r="CT2235" i="6"/>
  <c r="CS2235" i="6"/>
  <c r="CV2234" i="6"/>
  <c r="CT2234" i="6"/>
  <c r="CS2234" i="6"/>
  <c r="CV2233" i="6"/>
  <c r="CT2233" i="6"/>
  <c r="CS2233" i="6"/>
  <c r="CV2232" i="6"/>
  <c r="CT2232" i="6"/>
  <c r="CS2232" i="6"/>
  <c r="CV2231" i="6"/>
  <c r="CT2231" i="6"/>
  <c r="CS2231" i="6"/>
  <c r="CV2230" i="6"/>
  <c r="CT2230" i="6"/>
  <c r="CS2230" i="6"/>
  <c r="CV2229" i="6"/>
  <c r="CT2229" i="6"/>
  <c r="CS2229" i="6"/>
  <c r="CV2228" i="6"/>
  <c r="CT2228" i="6"/>
  <c r="CS2228" i="6"/>
  <c r="CV2227" i="6"/>
  <c r="CT2227" i="6"/>
  <c r="CS2227" i="6"/>
  <c r="CV2226" i="6"/>
  <c r="CT2226" i="6"/>
  <c r="CS2226" i="6"/>
  <c r="CV2225" i="6"/>
  <c r="CT2225" i="6"/>
  <c r="CS2225" i="6"/>
  <c r="CV2224" i="6"/>
  <c r="CT2224" i="6"/>
  <c r="CS2224" i="6"/>
  <c r="CV2223" i="6"/>
  <c r="CT2223" i="6"/>
  <c r="CS2223" i="6"/>
  <c r="CV2222" i="6"/>
  <c r="CT2222" i="6"/>
  <c r="CS2222" i="6"/>
  <c r="CV2221" i="6"/>
  <c r="CT2221" i="6"/>
  <c r="CS2221" i="6"/>
  <c r="CV2220" i="6"/>
  <c r="CT2220" i="6"/>
  <c r="CS2220" i="6"/>
  <c r="CV2219" i="6"/>
  <c r="CT2219" i="6"/>
  <c r="CS2219" i="6"/>
  <c r="CV2218" i="6"/>
  <c r="CT2218" i="6"/>
  <c r="CS2218" i="6"/>
  <c r="CV2217" i="6"/>
  <c r="CT2217" i="6"/>
  <c r="CS2217" i="6"/>
  <c r="CV2216" i="6"/>
  <c r="CT2216" i="6"/>
  <c r="CS2216" i="6"/>
  <c r="CV2215" i="6"/>
  <c r="CT2215" i="6"/>
  <c r="CS2215" i="6"/>
  <c r="CV2214" i="6"/>
  <c r="CT2214" i="6"/>
  <c r="CS2214" i="6"/>
  <c r="CV2213" i="6"/>
  <c r="CT2213" i="6"/>
  <c r="CS2213" i="6"/>
  <c r="CV2212" i="6"/>
  <c r="CT2212" i="6"/>
  <c r="CS2212" i="6"/>
  <c r="CV2211" i="6"/>
  <c r="CT2211" i="6"/>
  <c r="CS2211" i="6"/>
  <c r="CV2210" i="6"/>
  <c r="CT2210" i="6"/>
  <c r="CS2210" i="6"/>
  <c r="CV2209" i="6"/>
  <c r="CT2209" i="6"/>
  <c r="CS2209" i="6"/>
  <c r="CV2208" i="6"/>
  <c r="CT2208" i="6"/>
  <c r="CS2208" i="6"/>
  <c r="CV2207" i="6"/>
  <c r="CT2207" i="6"/>
  <c r="CS2207" i="6"/>
  <c r="CV2206" i="6"/>
  <c r="CS2206" i="6"/>
  <c r="CV2205" i="6"/>
  <c r="CT2205" i="6"/>
  <c r="CS2205" i="6"/>
  <c r="CV2204" i="6"/>
  <c r="CT2204" i="6"/>
  <c r="CS2204" i="6"/>
  <c r="CV2203" i="6"/>
  <c r="CT2203" i="6"/>
  <c r="CS2203" i="6"/>
  <c r="CV2202" i="6"/>
  <c r="CT2202" i="6"/>
  <c r="CS2202" i="6"/>
  <c r="CV2201" i="6"/>
  <c r="CT2201" i="6"/>
  <c r="CS2201" i="6"/>
  <c r="CV2200" i="6"/>
  <c r="CT2200" i="6"/>
  <c r="CS2200" i="6"/>
  <c r="CV2199" i="6"/>
  <c r="CT2199" i="6"/>
  <c r="CS2199" i="6"/>
  <c r="CV2198" i="6"/>
  <c r="CT2198" i="6"/>
  <c r="CS2198" i="6"/>
  <c r="CV2197" i="6"/>
  <c r="CT2197" i="6"/>
  <c r="CS2197" i="6"/>
  <c r="CV2196" i="6"/>
  <c r="CT2196" i="6"/>
  <c r="CS2196" i="6"/>
  <c r="CV2195" i="6"/>
  <c r="CT2195" i="6"/>
  <c r="CS2195" i="6"/>
  <c r="CV2194" i="6"/>
  <c r="CT2194" i="6"/>
  <c r="CS2194" i="6"/>
  <c r="CV2193" i="6"/>
  <c r="CT2193" i="6"/>
  <c r="CS2193" i="6"/>
  <c r="CV2192" i="6"/>
  <c r="CT2192" i="6"/>
  <c r="CS2192" i="6"/>
  <c r="CV2191" i="6"/>
  <c r="CT2191" i="6"/>
  <c r="CS2191" i="6"/>
  <c r="CV2190" i="6"/>
  <c r="CT2190" i="6"/>
  <c r="CS2190" i="6"/>
  <c r="CV2189" i="6"/>
  <c r="CT2189" i="6"/>
  <c r="CS2189" i="6"/>
  <c r="CV2188" i="6"/>
  <c r="CT2188" i="6"/>
  <c r="CS2188" i="6"/>
  <c r="CV2187" i="6"/>
  <c r="CT2187" i="6"/>
  <c r="CS2187" i="6"/>
  <c r="CV2186" i="6"/>
  <c r="CT2186" i="6"/>
  <c r="CS2186" i="6"/>
  <c r="CV2185" i="6"/>
  <c r="CT2185" i="6"/>
  <c r="CS2185" i="6"/>
  <c r="CV2184" i="6"/>
  <c r="CS2184" i="6"/>
  <c r="CV2183" i="6"/>
  <c r="CT2183" i="6"/>
  <c r="CS2183" i="6"/>
  <c r="CV2182" i="6"/>
  <c r="CT2182" i="6"/>
  <c r="CS2182" i="6"/>
  <c r="CV2181" i="6"/>
  <c r="CT2181" i="6"/>
  <c r="CS2181" i="6"/>
  <c r="CV2180" i="6"/>
  <c r="CT2180" i="6"/>
  <c r="CS2180" i="6"/>
  <c r="CV2179" i="6"/>
  <c r="CT2179" i="6"/>
  <c r="CS2179" i="6"/>
  <c r="CV2178" i="6"/>
  <c r="CT2178" i="6"/>
  <c r="CS2178" i="6"/>
  <c r="CV2177" i="6"/>
  <c r="CT2177" i="6"/>
  <c r="CS2177" i="6"/>
  <c r="CV2176" i="6"/>
  <c r="CT2176" i="6"/>
  <c r="CS2176" i="6"/>
  <c r="CV2175" i="6"/>
  <c r="CT2175" i="6"/>
  <c r="CS2175" i="6"/>
  <c r="CV2174" i="6"/>
  <c r="CT2174" i="6"/>
  <c r="CS2174" i="6"/>
  <c r="CV2173" i="6"/>
  <c r="CT2173" i="6"/>
  <c r="CS2173" i="6"/>
  <c r="CV2172" i="6"/>
  <c r="CS2172" i="6"/>
  <c r="CV2171" i="6"/>
  <c r="CT2171" i="6"/>
  <c r="CS2171" i="6"/>
  <c r="CV2170" i="6"/>
  <c r="CT2170" i="6"/>
  <c r="CS2170" i="6"/>
  <c r="CV2169" i="6"/>
  <c r="CS2169" i="6"/>
  <c r="CV2168" i="6"/>
  <c r="CT2168" i="6"/>
  <c r="CS2168" i="6"/>
  <c r="CV2167" i="6"/>
  <c r="CT2167" i="6"/>
  <c r="CS2167" i="6"/>
  <c r="CV2166" i="6"/>
  <c r="CT2166" i="6"/>
  <c r="CS2166" i="6"/>
  <c r="CV2165" i="6"/>
  <c r="CT2165" i="6"/>
  <c r="CS2165" i="6"/>
  <c r="CV2164" i="6"/>
  <c r="CT2164" i="6"/>
  <c r="CS2164" i="6"/>
  <c r="CV2163" i="6"/>
  <c r="CT2163" i="6"/>
  <c r="CS2163" i="6"/>
  <c r="CV2162" i="6"/>
  <c r="CT2162" i="6"/>
  <c r="CS2162" i="6"/>
  <c r="CV2161" i="6"/>
  <c r="CT2161" i="6"/>
  <c r="CS2161" i="6"/>
  <c r="CV2160" i="6"/>
  <c r="CT2160" i="6"/>
  <c r="CS2160" i="6"/>
  <c r="CV2159" i="6"/>
  <c r="CT2159" i="6"/>
  <c r="CS2159" i="6"/>
  <c r="CV2158" i="6"/>
  <c r="CT2158" i="6"/>
  <c r="CS2158" i="6"/>
  <c r="CV2157" i="6"/>
  <c r="CT2157" i="6"/>
  <c r="CS2157" i="6"/>
  <c r="CV2156" i="6"/>
  <c r="CT2156" i="6"/>
  <c r="CS2156" i="6"/>
  <c r="CV2155" i="6"/>
  <c r="CT2155" i="6"/>
  <c r="CS2155" i="6"/>
  <c r="CV2154" i="6"/>
  <c r="CT2154" i="6"/>
  <c r="CS2154" i="6"/>
  <c r="CV2153" i="6"/>
  <c r="CT2153" i="6"/>
  <c r="CS2153" i="6"/>
  <c r="CV2152" i="6"/>
  <c r="CT2152" i="6"/>
  <c r="CS2152" i="6"/>
  <c r="CV2151" i="6"/>
  <c r="CT2151" i="6"/>
  <c r="CS2151" i="6"/>
  <c r="CV2150" i="6"/>
  <c r="CT2150" i="6"/>
  <c r="CS2150" i="6"/>
  <c r="CV2149" i="6"/>
  <c r="CT2149" i="6"/>
  <c r="CS2149" i="6"/>
  <c r="CV2148" i="6"/>
  <c r="CT2148" i="6"/>
  <c r="CS2148" i="6"/>
  <c r="CV2147" i="6"/>
  <c r="CT2147" i="6"/>
  <c r="CS2147" i="6"/>
  <c r="CV2146" i="6"/>
  <c r="CT2146" i="6"/>
  <c r="CS2146" i="6"/>
  <c r="CV2145" i="6"/>
  <c r="CT2145" i="6"/>
  <c r="CS2145" i="6"/>
  <c r="CV2144" i="6"/>
  <c r="CT2144" i="6"/>
  <c r="CS2144" i="6"/>
  <c r="CV2143" i="6"/>
  <c r="CT2143" i="6"/>
  <c r="CS2143" i="6"/>
  <c r="CV2142" i="6"/>
  <c r="CT2142" i="6"/>
  <c r="CS2142" i="6"/>
  <c r="CV2141" i="6"/>
  <c r="CT2141" i="6"/>
  <c r="CS2141" i="6"/>
  <c r="CV2140" i="6"/>
  <c r="CT2140" i="6"/>
  <c r="CS2140" i="6"/>
  <c r="CV2139" i="6"/>
  <c r="CT2139" i="6"/>
  <c r="CS2139" i="6"/>
  <c r="CV2138" i="6"/>
  <c r="CT2138" i="6"/>
  <c r="CS2138" i="6"/>
  <c r="CV2137" i="6"/>
  <c r="CT2137" i="6"/>
  <c r="CS2137" i="6"/>
  <c r="CV2136" i="6"/>
  <c r="CT2136" i="6"/>
  <c r="CS2136" i="6"/>
  <c r="CV2135" i="6"/>
  <c r="CT2135" i="6"/>
  <c r="CS2135" i="6"/>
  <c r="CV2134" i="6"/>
  <c r="CT2134" i="6"/>
  <c r="CS2134" i="6"/>
  <c r="CV2133" i="6"/>
  <c r="CT2133" i="6"/>
  <c r="CS2133" i="6"/>
  <c r="CV2132" i="6"/>
  <c r="CT2132" i="6"/>
  <c r="CS2132" i="6"/>
  <c r="CV2131" i="6"/>
  <c r="CT2131" i="6"/>
  <c r="CS2131" i="6"/>
  <c r="CV2130" i="6"/>
  <c r="CT2130" i="6"/>
  <c r="CS2130" i="6"/>
  <c r="CV2129" i="6"/>
  <c r="CT2129" i="6"/>
  <c r="CS2129" i="6"/>
  <c r="CV2128" i="6"/>
  <c r="CT2128" i="6"/>
  <c r="CS2128" i="6"/>
  <c r="CV2127" i="6"/>
  <c r="CT2127" i="6"/>
  <c r="CS2127" i="6"/>
  <c r="CV2126" i="6"/>
  <c r="CT2126" i="6"/>
  <c r="CS2126" i="6"/>
  <c r="CV2125" i="6"/>
  <c r="CT2125" i="6"/>
  <c r="CS2125" i="6"/>
  <c r="CV2124" i="6"/>
  <c r="CT2124" i="6"/>
  <c r="CS2124" i="6"/>
  <c r="CV2123" i="6"/>
  <c r="CT2123" i="6"/>
  <c r="CS2123" i="6"/>
  <c r="CV2122" i="6"/>
  <c r="CT2122" i="6"/>
  <c r="CS2122" i="6"/>
  <c r="CV2121" i="6"/>
  <c r="CT2121" i="6"/>
  <c r="CS2121" i="6"/>
  <c r="CV2120" i="6"/>
  <c r="CT2120" i="6"/>
  <c r="CS2120" i="6"/>
  <c r="CV2119" i="6"/>
  <c r="CT2119" i="6"/>
  <c r="CS2119" i="6"/>
  <c r="CV2118" i="6"/>
  <c r="CT2118" i="6"/>
  <c r="CS2118" i="6"/>
  <c r="CV2117" i="6"/>
  <c r="CT2117" i="6"/>
  <c r="CS2117" i="6"/>
  <c r="CV2116" i="6"/>
  <c r="CT2116" i="6"/>
  <c r="CS2116" i="6"/>
  <c r="CV2115" i="6"/>
  <c r="CT2115" i="6"/>
  <c r="CS2115" i="6"/>
  <c r="CV2114" i="6"/>
  <c r="CT2114" i="6"/>
  <c r="CS2114" i="6"/>
  <c r="CV2113" i="6"/>
  <c r="CT2113" i="6"/>
  <c r="CS2113" i="6"/>
  <c r="CV2112" i="6"/>
  <c r="CT2112" i="6"/>
  <c r="CS2112" i="6"/>
  <c r="CV2111" i="6"/>
  <c r="CT2111" i="6"/>
  <c r="CS2111" i="6"/>
  <c r="CV2110" i="6"/>
  <c r="CT2110" i="6"/>
  <c r="CS2110" i="6"/>
  <c r="CV2109" i="6"/>
  <c r="CT2109" i="6"/>
  <c r="CS2109" i="6"/>
  <c r="CV2108" i="6"/>
  <c r="CT2108" i="6"/>
  <c r="CS2108" i="6"/>
  <c r="CV2107" i="6"/>
  <c r="CT2107" i="6"/>
  <c r="CS2107" i="6"/>
  <c r="CV2106" i="6"/>
  <c r="CT2106" i="6"/>
  <c r="CS2106" i="6"/>
  <c r="CV2105" i="6"/>
  <c r="CT2105" i="6"/>
  <c r="CS2105" i="6"/>
  <c r="CV2104" i="6"/>
  <c r="CT2104" i="6"/>
  <c r="CS2104" i="6"/>
  <c r="CV2103" i="6"/>
  <c r="CT2103" i="6"/>
  <c r="CS2103" i="6"/>
  <c r="CV2102" i="6"/>
  <c r="CT2102" i="6"/>
  <c r="CS2102" i="6"/>
  <c r="CV2101" i="6"/>
  <c r="CT2101" i="6"/>
  <c r="CS2101" i="6"/>
  <c r="CV2100" i="6"/>
  <c r="CT2100" i="6"/>
  <c r="CS2100" i="6"/>
  <c r="CV2099" i="6"/>
  <c r="CT2099" i="6"/>
  <c r="CS2099" i="6"/>
  <c r="CV2098" i="6"/>
  <c r="CT2098" i="6"/>
  <c r="CS2098" i="6"/>
  <c r="CV2097" i="6"/>
  <c r="CT2097" i="6"/>
  <c r="CS2097" i="6"/>
  <c r="CV2096" i="6"/>
  <c r="CT2096" i="6"/>
  <c r="CS2096" i="6"/>
  <c r="CV2095" i="6"/>
  <c r="CT2095" i="6"/>
  <c r="CS2095" i="6"/>
  <c r="CV2094" i="6"/>
  <c r="CT2094" i="6"/>
  <c r="CS2094" i="6"/>
  <c r="CV2093" i="6"/>
  <c r="CT2093" i="6"/>
  <c r="CS2093" i="6"/>
  <c r="CV2092" i="6"/>
  <c r="CT2092" i="6"/>
  <c r="CS2092" i="6"/>
  <c r="CV2091" i="6"/>
  <c r="CT2091" i="6"/>
  <c r="CS2091" i="6"/>
  <c r="CV2090" i="6"/>
  <c r="CT2090" i="6"/>
  <c r="CS2090" i="6"/>
  <c r="CV2089" i="6"/>
  <c r="CT2089" i="6"/>
  <c r="CS2089" i="6"/>
  <c r="CV2088" i="6"/>
  <c r="CS2088" i="6"/>
  <c r="CV2087" i="6"/>
  <c r="CT2087" i="6"/>
  <c r="CS2087" i="6"/>
  <c r="CV2086" i="6"/>
  <c r="CT2086" i="6"/>
  <c r="CS2086" i="6"/>
  <c r="CV2085" i="6"/>
  <c r="CT2085" i="6"/>
  <c r="CS2085" i="6"/>
  <c r="CV2084" i="6"/>
  <c r="CT2084" i="6"/>
  <c r="CS2084" i="6"/>
  <c r="CV2083" i="6"/>
  <c r="CT2083" i="6"/>
  <c r="CS2083" i="6"/>
  <c r="CV2082" i="6"/>
  <c r="CT2082" i="6"/>
  <c r="CS2082" i="6"/>
  <c r="CV2081" i="6"/>
  <c r="CT2081" i="6"/>
  <c r="CS2081" i="6"/>
  <c r="CV2080" i="6"/>
  <c r="CT2080" i="6"/>
  <c r="CS2080" i="6"/>
  <c r="CV2079" i="6"/>
  <c r="CT2079" i="6"/>
  <c r="CS2079" i="6"/>
  <c r="CV2078" i="6"/>
  <c r="CT2078" i="6"/>
  <c r="CS2078" i="6"/>
  <c r="CV2077" i="6"/>
  <c r="CT2077" i="6"/>
  <c r="CS2077" i="6"/>
  <c r="CV2076" i="6"/>
  <c r="CT2076" i="6"/>
  <c r="CS2076" i="6"/>
  <c r="CV2075" i="6"/>
  <c r="CT2075" i="6"/>
  <c r="CS2075" i="6"/>
  <c r="CV2074" i="6"/>
  <c r="CT2074" i="6"/>
  <c r="CS2074" i="6"/>
  <c r="CV2073" i="6"/>
  <c r="CT2073" i="6"/>
  <c r="CS2073" i="6"/>
  <c r="CV2072" i="6"/>
  <c r="CT2072" i="6"/>
  <c r="CS2072" i="6"/>
  <c r="CV2071" i="6"/>
  <c r="CT2071" i="6"/>
  <c r="CS2071" i="6"/>
  <c r="CV2070" i="6"/>
  <c r="CT2070" i="6"/>
  <c r="CS2070" i="6"/>
  <c r="CV2069" i="6"/>
  <c r="CT2069" i="6"/>
  <c r="CS2069" i="6"/>
  <c r="CV2068" i="6"/>
  <c r="CT2068" i="6"/>
  <c r="CS2068" i="6"/>
  <c r="CV2067" i="6"/>
  <c r="CT2067" i="6"/>
  <c r="CS2067" i="6"/>
  <c r="CV2066" i="6"/>
  <c r="CT2066" i="6"/>
  <c r="CS2066" i="6"/>
  <c r="CV2065" i="6"/>
  <c r="CT2065" i="6"/>
  <c r="CS2065" i="6"/>
  <c r="CV2064" i="6"/>
  <c r="CT2064" i="6"/>
  <c r="CS2064" i="6"/>
  <c r="CV2063" i="6"/>
  <c r="CT2063" i="6"/>
  <c r="CS2063" i="6"/>
  <c r="CV2062" i="6"/>
  <c r="CT2062" i="6"/>
  <c r="CS2062" i="6"/>
  <c r="CV2061" i="6"/>
  <c r="CT2061" i="6"/>
  <c r="CS2061" i="6"/>
  <c r="CV2060" i="6"/>
  <c r="CT2060" i="6"/>
  <c r="CS2060" i="6"/>
  <c r="CV2059" i="6"/>
  <c r="CT2059" i="6"/>
  <c r="CS2059" i="6"/>
  <c r="CV2058" i="6"/>
  <c r="CS2058" i="6"/>
  <c r="CV2057" i="6"/>
  <c r="CS2057" i="6"/>
  <c r="CV2056" i="6"/>
  <c r="CT2056" i="6"/>
  <c r="CS2056" i="6"/>
  <c r="CV2055" i="6"/>
  <c r="CT2055" i="6"/>
  <c r="CS2055" i="6"/>
  <c r="CV2054" i="6"/>
  <c r="CT2054" i="6"/>
  <c r="CS2054" i="6"/>
  <c r="CV2053" i="6"/>
  <c r="CT2053" i="6"/>
  <c r="CS2053" i="6"/>
  <c r="CV2052" i="6"/>
  <c r="CT2052" i="6"/>
  <c r="CS2052" i="6"/>
  <c r="CV2051" i="6"/>
  <c r="CT2051" i="6"/>
  <c r="CS2051" i="6"/>
  <c r="CV2050" i="6"/>
  <c r="CT2050" i="6"/>
  <c r="CS2050" i="6"/>
  <c r="CV2049" i="6"/>
  <c r="CT2049" i="6"/>
  <c r="CS2049" i="6"/>
  <c r="CV2048" i="6"/>
  <c r="CT2048" i="6"/>
  <c r="CS2048" i="6"/>
  <c r="CV2047" i="6"/>
  <c r="CT2047" i="6"/>
  <c r="CS2047" i="6"/>
  <c r="CV2046" i="6"/>
  <c r="CT2046" i="6"/>
  <c r="CS2046" i="6"/>
  <c r="CV2045" i="6"/>
  <c r="CT2045" i="6"/>
  <c r="CS2045" i="6"/>
  <c r="CV2044" i="6"/>
  <c r="CT2044" i="6"/>
  <c r="CS2044" i="6"/>
  <c r="CV2043" i="6"/>
  <c r="CT2043" i="6"/>
  <c r="CS2043" i="6"/>
  <c r="CV2042" i="6"/>
  <c r="CT2042" i="6"/>
  <c r="CS2042" i="6"/>
  <c r="CV2041" i="6"/>
  <c r="CS2041" i="6"/>
  <c r="CV2040" i="6"/>
  <c r="CT2040" i="6"/>
  <c r="CS2040" i="6"/>
  <c r="CV2039" i="6"/>
  <c r="CT2039" i="6"/>
  <c r="CS2039" i="6"/>
  <c r="CV2038" i="6"/>
  <c r="CT2038" i="6"/>
  <c r="CS2038" i="6"/>
  <c r="CV2037" i="6"/>
  <c r="CT2037" i="6"/>
  <c r="CS2037" i="6"/>
  <c r="CV2036" i="6"/>
  <c r="CT2036" i="6"/>
  <c r="CS2036" i="6"/>
  <c r="CV2035" i="6"/>
  <c r="CT2035" i="6"/>
  <c r="CS2035" i="6"/>
  <c r="CV2034" i="6"/>
  <c r="CT2034" i="6"/>
  <c r="CS2034" i="6"/>
  <c r="CV2033" i="6"/>
  <c r="CS2033" i="6"/>
  <c r="CV2032" i="6"/>
  <c r="CT2032" i="6"/>
  <c r="CS2032" i="6"/>
  <c r="CV2031" i="6"/>
  <c r="CS2031" i="6"/>
  <c r="CV2030" i="6"/>
  <c r="CT2030" i="6"/>
  <c r="CS2030" i="6"/>
  <c r="CV2029" i="6"/>
  <c r="CT2029" i="6"/>
  <c r="CS2029" i="6"/>
  <c r="CV2028" i="6"/>
  <c r="CS2028" i="6"/>
  <c r="CV2027" i="6"/>
  <c r="CT2027" i="6"/>
  <c r="CS2027" i="6"/>
  <c r="CV2026" i="6"/>
  <c r="CT2026" i="6"/>
  <c r="CS2026" i="6"/>
  <c r="CV2025" i="6"/>
  <c r="CS2025" i="6"/>
  <c r="CV2024" i="6"/>
  <c r="CS2024" i="6"/>
  <c r="CV2023" i="6"/>
  <c r="CT2023" i="6"/>
  <c r="CS2023" i="6"/>
  <c r="CV2022" i="6"/>
  <c r="CT2022" i="6"/>
  <c r="CS2022" i="6"/>
  <c r="CV2021" i="6"/>
  <c r="CT2021" i="6"/>
  <c r="CS2021" i="6"/>
  <c r="CV2020" i="6"/>
  <c r="CT2020" i="6"/>
  <c r="CS2020" i="6"/>
  <c r="CV2019" i="6"/>
  <c r="CT2019" i="6"/>
  <c r="CS2019" i="6"/>
  <c r="CV2018" i="6"/>
  <c r="CT2018" i="6"/>
  <c r="CS2018" i="6"/>
  <c r="CV2017" i="6"/>
  <c r="CT2017" i="6"/>
  <c r="CS2017" i="6"/>
  <c r="CV2016" i="6"/>
  <c r="CT2016" i="6"/>
  <c r="CS2016" i="6"/>
  <c r="CV2015" i="6"/>
  <c r="CT2015" i="6"/>
  <c r="CS2015" i="6"/>
  <c r="CV2014" i="6"/>
  <c r="CT2014" i="6"/>
  <c r="CS2014" i="6"/>
  <c r="CV2013" i="6"/>
  <c r="CT2013" i="6"/>
  <c r="CS2013" i="6"/>
  <c r="CV2012" i="6"/>
  <c r="CT2012" i="6"/>
  <c r="CS2012" i="6"/>
  <c r="CV2011" i="6"/>
  <c r="CT2011" i="6"/>
  <c r="CS2011" i="6"/>
  <c r="CV2010" i="6"/>
  <c r="CT2010" i="6"/>
  <c r="CS2010" i="6"/>
  <c r="CV2009" i="6"/>
  <c r="CT2009" i="6"/>
  <c r="CS2009" i="6"/>
  <c r="CV2008" i="6"/>
  <c r="CT2008" i="6"/>
  <c r="CS2008" i="6"/>
  <c r="CV2007" i="6"/>
  <c r="CT2007" i="6"/>
  <c r="CS2007" i="6"/>
  <c r="CV2006" i="6"/>
  <c r="CT2006" i="6"/>
  <c r="CS2006" i="6"/>
  <c r="CV2005" i="6"/>
  <c r="CT2005" i="6"/>
  <c r="CS2005" i="6"/>
  <c r="CV2004" i="6"/>
  <c r="CT2004" i="6"/>
  <c r="CS2004" i="6"/>
  <c r="CV2003" i="6"/>
  <c r="CT2003" i="6"/>
  <c r="CS2003" i="6"/>
  <c r="CV2002" i="6"/>
  <c r="CT2002" i="6"/>
  <c r="CS2002" i="6"/>
  <c r="CV2001" i="6"/>
  <c r="CT2001" i="6"/>
  <c r="CS2001" i="6"/>
  <c r="CV2000" i="6"/>
  <c r="CT2000" i="6"/>
  <c r="CS2000" i="6"/>
  <c r="CV1999" i="6"/>
  <c r="CS1999" i="6"/>
  <c r="CV1998" i="6"/>
  <c r="CS1998" i="6"/>
  <c r="CV1997" i="6"/>
  <c r="CS1997" i="6"/>
  <c r="CV1996" i="6"/>
  <c r="CT1996" i="6"/>
  <c r="CS1996" i="6"/>
  <c r="CV1995" i="6"/>
  <c r="CT1995" i="6"/>
  <c r="CS1995" i="6"/>
  <c r="CV1994" i="6"/>
  <c r="CT1994" i="6"/>
  <c r="CS1994" i="6"/>
  <c r="CV1993" i="6"/>
  <c r="CT1993" i="6"/>
  <c r="CS1993" i="6"/>
  <c r="CV1992" i="6"/>
  <c r="CT1992" i="6"/>
  <c r="CS1992" i="6"/>
  <c r="CV1991" i="6"/>
  <c r="CT1991" i="6"/>
  <c r="CS1991" i="6"/>
  <c r="CV1990" i="6"/>
  <c r="CT1990" i="6"/>
  <c r="CS1990" i="6"/>
  <c r="CV1989" i="6"/>
  <c r="CT1989" i="6"/>
  <c r="CS1989" i="6"/>
  <c r="CV1988" i="6"/>
  <c r="CT1988" i="6"/>
  <c r="CS1988" i="6"/>
  <c r="CV1987" i="6"/>
  <c r="CT1987" i="6"/>
  <c r="CS1987" i="6"/>
  <c r="CV1986" i="6"/>
  <c r="CT1986" i="6"/>
  <c r="CS1986" i="6"/>
  <c r="CV1985" i="6"/>
  <c r="CT1985" i="6"/>
  <c r="CS1985" i="6"/>
  <c r="CV1984" i="6"/>
  <c r="CT1984" i="6"/>
  <c r="CS1984" i="6"/>
  <c r="CV1983" i="6"/>
  <c r="CT1983" i="6"/>
  <c r="CS1983" i="6"/>
  <c r="CV1982" i="6"/>
  <c r="CT1982" i="6"/>
  <c r="CS1982" i="6"/>
  <c r="CV1981" i="6"/>
  <c r="CT1981" i="6"/>
  <c r="CS1981" i="6"/>
  <c r="CV1980" i="6"/>
  <c r="CT1980" i="6"/>
  <c r="CS1980" i="6"/>
  <c r="CV1979" i="6"/>
  <c r="CT1979" i="6"/>
  <c r="CS1979" i="6"/>
  <c r="CV1978" i="6"/>
  <c r="CT1978" i="6"/>
  <c r="CS1978" i="6"/>
  <c r="CV1977" i="6"/>
  <c r="CT1977" i="6"/>
  <c r="CS1977" i="6"/>
  <c r="CV1976" i="6"/>
  <c r="CT1976" i="6"/>
  <c r="CS1976" i="6"/>
  <c r="CV1975" i="6"/>
  <c r="CT1975" i="6"/>
  <c r="CS1975" i="6"/>
  <c r="CV1974" i="6"/>
  <c r="CT1974" i="6"/>
  <c r="CS1974" i="6"/>
  <c r="CV1973" i="6"/>
  <c r="CT1973" i="6"/>
  <c r="CS1973" i="6"/>
  <c r="CV1972" i="6"/>
  <c r="CT1972" i="6"/>
  <c r="CS1972" i="6"/>
  <c r="CT1971" i="6"/>
  <c r="CS1971" i="6"/>
  <c r="CV1970" i="6"/>
  <c r="CT1970" i="6"/>
  <c r="CS1970" i="6"/>
  <c r="CV1969" i="6"/>
  <c r="CT1969" i="6"/>
  <c r="CS1969" i="6"/>
  <c r="CV1968" i="6"/>
  <c r="CT1968" i="6"/>
  <c r="CS1968" i="6"/>
  <c r="CV1967" i="6"/>
  <c r="CT1967" i="6"/>
  <c r="CS1967" i="6"/>
  <c r="CV1966" i="6"/>
  <c r="CT1966" i="6"/>
  <c r="CS1966" i="6"/>
  <c r="CV1965" i="6"/>
  <c r="CT1965" i="6"/>
  <c r="CS1965" i="6"/>
  <c r="CV1964" i="6"/>
  <c r="CT1964" i="6"/>
  <c r="CS1964" i="6"/>
  <c r="CV1963" i="6"/>
  <c r="CT1963" i="6"/>
  <c r="CS1963" i="6"/>
  <c r="CV1962" i="6"/>
  <c r="CT1962" i="6"/>
  <c r="CS1962" i="6"/>
  <c r="CV1961" i="6"/>
  <c r="CT1961" i="6"/>
  <c r="CS1961" i="6"/>
  <c r="CV1960" i="6"/>
  <c r="CT1960" i="6"/>
  <c r="CS1960" i="6"/>
  <c r="CV1959" i="6"/>
  <c r="CT1959" i="6"/>
  <c r="CS1959" i="6"/>
  <c r="CV1958" i="6"/>
  <c r="CT1958" i="6"/>
  <c r="CS1958" i="6"/>
  <c r="CV1957" i="6"/>
  <c r="CT1957" i="6"/>
  <c r="CS1957" i="6"/>
  <c r="CV1956" i="6"/>
  <c r="CT1956" i="6"/>
  <c r="CS1956" i="6"/>
  <c r="CV1955" i="6"/>
  <c r="CT1955" i="6"/>
  <c r="CS1955" i="6"/>
  <c r="CV1954" i="6"/>
  <c r="CT1954" i="6"/>
  <c r="CS1954" i="6"/>
  <c r="CV1953" i="6"/>
  <c r="CT1953" i="6"/>
  <c r="CS1953" i="6"/>
  <c r="CV1952" i="6"/>
  <c r="CT1952" i="6"/>
  <c r="CS1952" i="6"/>
  <c r="CV1951" i="6"/>
  <c r="CT1951" i="6"/>
  <c r="CS1951" i="6"/>
  <c r="CV1950" i="6"/>
  <c r="CT1950" i="6"/>
  <c r="CS1950" i="6"/>
  <c r="CV1949" i="6"/>
  <c r="CT1949" i="6"/>
  <c r="CS1949" i="6"/>
  <c r="CV1948" i="6"/>
  <c r="CT1948" i="6"/>
  <c r="CS1948" i="6"/>
  <c r="CV1947" i="6"/>
  <c r="CT1947" i="6"/>
  <c r="CS1947" i="6"/>
  <c r="CV1946" i="6"/>
  <c r="CT1946" i="6"/>
  <c r="CS1946" i="6"/>
  <c r="CV1945" i="6"/>
  <c r="CT1945" i="6"/>
  <c r="CS1945" i="6"/>
  <c r="CV1944" i="6"/>
  <c r="CT1944" i="6"/>
  <c r="CS1944" i="6"/>
  <c r="CV1943" i="6"/>
  <c r="CT1943" i="6"/>
  <c r="CS1943" i="6"/>
  <c r="CV1942" i="6"/>
  <c r="CT1942" i="6"/>
  <c r="CS1942" i="6"/>
  <c r="CV1941" i="6"/>
  <c r="CT1941" i="6"/>
  <c r="CS1941" i="6"/>
  <c r="CV1940" i="6"/>
  <c r="CT1940" i="6"/>
  <c r="CS1940" i="6"/>
  <c r="CV1939" i="6"/>
  <c r="CT1939" i="6"/>
  <c r="CS1939" i="6"/>
  <c r="CV1938" i="6"/>
  <c r="CT1938" i="6"/>
  <c r="CS1938" i="6"/>
  <c r="CV1937" i="6"/>
  <c r="CT1937" i="6"/>
  <c r="CS1937" i="6"/>
  <c r="CV1936" i="6"/>
  <c r="CT1936" i="6"/>
  <c r="CS1936" i="6"/>
  <c r="CV1935" i="6"/>
  <c r="CT1935" i="6"/>
  <c r="CS1935" i="6"/>
  <c r="CV1934" i="6"/>
  <c r="CT1934" i="6"/>
  <c r="CS1934" i="6"/>
  <c r="CV1933" i="6"/>
  <c r="CT1933" i="6"/>
  <c r="CS1933" i="6"/>
  <c r="CV1932" i="6"/>
  <c r="CT1932" i="6"/>
  <c r="CS1932" i="6"/>
  <c r="CV1931" i="6"/>
  <c r="CT1931" i="6"/>
  <c r="CS1931" i="6"/>
  <c r="CV1930" i="6"/>
  <c r="CT1930" i="6"/>
  <c r="CS1930" i="6"/>
  <c r="CV1929" i="6"/>
  <c r="CT1929" i="6"/>
  <c r="CS1929" i="6"/>
  <c r="CV1928" i="6"/>
  <c r="CT1928" i="6"/>
  <c r="CS1928" i="6"/>
  <c r="CV1927" i="6"/>
  <c r="CT1927" i="6"/>
  <c r="CS1927" i="6"/>
  <c r="CV1926" i="6"/>
  <c r="CT1926" i="6"/>
  <c r="CS1926" i="6"/>
  <c r="CV1925" i="6"/>
  <c r="CT1925" i="6"/>
  <c r="CS1925" i="6"/>
  <c r="CV1924" i="6"/>
  <c r="CT1924" i="6"/>
  <c r="CV1923" i="6"/>
  <c r="CT1923" i="6"/>
  <c r="CS1923" i="6"/>
  <c r="CV1922" i="6"/>
  <c r="CT1922" i="6"/>
  <c r="CS1922" i="6"/>
  <c r="CV1921" i="6"/>
  <c r="CT1921" i="6"/>
  <c r="CS1921" i="6"/>
  <c r="CV1920" i="6"/>
  <c r="CT1920" i="6"/>
  <c r="CS1920" i="6"/>
  <c r="CV1919" i="6"/>
  <c r="CT1919" i="6"/>
  <c r="CS1919" i="6"/>
  <c r="CV1918" i="6"/>
  <c r="CT1918" i="6"/>
  <c r="CS1918" i="6"/>
  <c r="CV1917" i="6"/>
  <c r="CT1917" i="6"/>
  <c r="CS1917" i="6"/>
  <c r="CV1916" i="6"/>
  <c r="CT1916" i="6"/>
  <c r="CS1916" i="6"/>
  <c r="CV1915" i="6"/>
  <c r="CT1915" i="6"/>
  <c r="CS1915" i="6"/>
  <c r="CV1914" i="6"/>
  <c r="CT1914" i="6"/>
  <c r="CS1914" i="6"/>
  <c r="CV1913" i="6"/>
  <c r="CT1913" i="6"/>
  <c r="CS1913" i="6"/>
  <c r="CV1912" i="6"/>
  <c r="CT1912" i="6"/>
  <c r="CS1912" i="6"/>
  <c r="CV1911" i="6"/>
  <c r="CT1911" i="6"/>
  <c r="CS1911" i="6"/>
  <c r="CV1910" i="6"/>
  <c r="CT1910" i="6"/>
  <c r="CS1910" i="6"/>
  <c r="CV1909" i="6"/>
  <c r="CT1909" i="6"/>
  <c r="CS1909" i="6"/>
  <c r="CV1908" i="6"/>
  <c r="CT1908" i="6"/>
  <c r="CS1908" i="6"/>
  <c r="CV1907" i="6"/>
  <c r="CT1907" i="6"/>
  <c r="CS1907" i="6"/>
  <c r="CV1906" i="6"/>
  <c r="CT1906" i="6"/>
  <c r="CS1906" i="6"/>
  <c r="CV1905" i="6"/>
  <c r="CT1905" i="6"/>
  <c r="CS1905" i="6"/>
  <c r="CV1904" i="6"/>
  <c r="CT1904" i="6"/>
  <c r="CS1904" i="6"/>
  <c r="CV1903" i="6"/>
  <c r="CT1903" i="6"/>
  <c r="CS1903" i="6"/>
  <c r="CV1902" i="6"/>
  <c r="CT1902" i="6"/>
  <c r="CS1902" i="6"/>
  <c r="CV1901" i="6"/>
  <c r="CT1901" i="6"/>
  <c r="CS1901" i="6"/>
  <c r="CV1900" i="6"/>
  <c r="CT1900" i="6"/>
  <c r="CS1900" i="6"/>
  <c r="CV1899" i="6"/>
  <c r="CT1899" i="6"/>
  <c r="CS1899" i="6"/>
  <c r="CV1898" i="6"/>
  <c r="CT1898" i="6"/>
  <c r="CS1898" i="6"/>
  <c r="CV1897" i="6"/>
  <c r="CT1897" i="6"/>
  <c r="CS1897" i="6"/>
  <c r="CV1896" i="6"/>
  <c r="CT1896" i="6"/>
  <c r="CS1896" i="6"/>
  <c r="CV1895" i="6"/>
  <c r="CT1895" i="6"/>
  <c r="CS1895" i="6"/>
  <c r="CV1894" i="6"/>
  <c r="CT1894" i="6"/>
  <c r="CS1894" i="6"/>
  <c r="CV1893" i="6"/>
  <c r="CT1893" i="6"/>
  <c r="CS1893" i="6"/>
  <c r="CV1892" i="6"/>
  <c r="CT1892" i="6"/>
  <c r="CS1892" i="6"/>
  <c r="CV1891" i="6"/>
  <c r="CT1891" i="6"/>
  <c r="CS1891" i="6"/>
  <c r="CV1890" i="6"/>
  <c r="CT1890" i="6"/>
  <c r="CS1890" i="6"/>
  <c r="CV1889" i="6"/>
  <c r="CT1889" i="6"/>
  <c r="CS1889" i="6"/>
  <c r="CV1888" i="6"/>
  <c r="CT1888" i="6"/>
  <c r="CS1888" i="6"/>
  <c r="CV1887" i="6"/>
  <c r="CT1887" i="6"/>
  <c r="CS1887" i="6"/>
  <c r="CV1886" i="6"/>
  <c r="CT1886" i="6"/>
  <c r="CS1886" i="6"/>
  <c r="CV1885" i="6"/>
  <c r="CT1885" i="6"/>
  <c r="CS1885" i="6"/>
  <c r="CV1884" i="6"/>
  <c r="CT1884" i="6"/>
  <c r="CS1884" i="6"/>
  <c r="CV1883" i="6"/>
  <c r="CT1883" i="6"/>
  <c r="CS1883" i="6"/>
  <c r="CV1882" i="6"/>
  <c r="CT1882" i="6"/>
  <c r="CS1882" i="6"/>
  <c r="CV1881" i="6"/>
  <c r="CT1881" i="6"/>
  <c r="CS1881" i="6"/>
  <c r="CV1880" i="6"/>
  <c r="CT1880" i="6"/>
  <c r="CS1880" i="6"/>
  <c r="CV1879" i="6"/>
  <c r="CT1879" i="6"/>
  <c r="CS1879" i="6"/>
  <c r="CV1878" i="6"/>
  <c r="CT1878" i="6"/>
  <c r="CS1878" i="6"/>
  <c r="CV1877" i="6"/>
  <c r="CT1877" i="6"/>
  <c r="CS1877" i="6"/>
  <c r="CV1876" i="6"/>
  <c r="CT1876" i="6"/>
  <c r="CS1876" i="6"/>
  <c r="CV1875" i="6"/>
  <c r="CT1875" i="6"/>
  <c r="CS1875" i="6"/>
  <c r="CV1874" i="6"/>
  <c r="CT1874" i="6"/>
  <c r="CS1874" i="6"/>
  <c r="CV1873" i="6"/>
  <c r="CT1873" i="6"/>
  <c r="CS1873" i="6"/>
  <c r="CV1872" i="6"/>
  <c r="CT1872" i="6"/>
  <c r="CS1872" i="6"/>
  <c r="CV1871" i="6"/>
  <c r="CT1871" i="6"/>
  <c r="CS1871" i="6"/>
  <c r="CV1870" i="6"/>
  <c r="CT1870" i="6"/>
  <c r="CS1870" i="6"/>
  <c r="CV1869" i="6"/>
  <c r="CT1869" i="6"/>
  <c r="CS1869" i="6"/>
  <c r="CV1868" i="6"/>
  <c r="CT1868" i="6"/>
  <c r="CS1868" i="6"/>
  <c r="CV1867" i="6"/>
  <c r="CT1867" i="6"/>
  <c r="CS1867" i="6"/>
  <c r="CV1866" i="6"/>
  <c r="CT1866" i="6"/>
  <c r="CS1866" i="6"/>
  <c r="CV1865" i="6"/>
  <c r="CT1865" i="6"/>
  <c r="CS1865" i="6"/>
  <c r="CV1864" i="6"/>
  <c r="CT1864" i="6"/>
  <c r="CS1864" i="6"/>
  <c r="CV1863" i="6"/>
  <c r="CT1863" i="6"/>
  <c r="CS1863" i="6"/>
  <c r="CV1862" i="6"/>
  <c r="CT1862" i="6"/>
  <c r="CS1862" i="6"/>
  <c r="CV1861" i="6"/>
  <c r="CT1861" i="6"/>
  <c r="CS1861" i="6"/>
  <c r="CV1860" i="6"/>
  <c r="CT1860" i="6"/>
  <c r="CS1860" i="6"/>
  <c r="CV1859" i="6"/>
  <c r="CT1859" i="6"/>
  <c r="CS1859" i="6"/>
  <c r="CV1858" i="6"/>
  <c r="CT1858" i="6"/>
  <c r="CS1858" i="6"/>
  <c r="CV1857" i="6"/>
  <c r="CT1857" i="6"/>
  <c r="CS1857" i="6"/>
  <c r="CV1856" i="6"/>
  <c r="CT1856" i="6"/>
  <c r="CS1856" i="6"/>
  <c r="CV1855" i="6"/>
  <c r="CT1855" i="6"/>
  <c r="CS1855" i="6"/>
  <c r="CV1854" i="6"/>
  <c r="CT1854" i="6"/>
  <c r="CS1854" i="6"/>
  <c r="CV1853" i="6"/>
  <c r="CT1853" i="6"/>
  <c r="CS1853" i="6"/>
  <c r="CV1852" i="6"/>
  <c r="CT1852" i="6"/>
  <c r="CS1852" i="6"/>
  <c r="CV1851" i="6"/>
  <c r="CT1851" i="6"/>
  <c r="CS1851" i="6"/>
  <c r="CV1760" i="6"/>
  <c r="CT1760" i="6"/>
  <c r="CS1760" i="6"/>
  <c r="CV1759" i="6"/>
  <c r="CT1759" i="6"/>
  <c r="CS1759" i="6"/>
  <c r="CV1758" i="6"/>
  <c r="CT1758" i="6"/>
  <c r="CS1758" i="6"/>
  <c r="CV1757" i="6"/>
  <c r="CT1757" i="6"/>
  <c r="CS1757" i="6"/>
  <c r="CV1756" i="6"/>
  <c r="CT1756" i="6"/>
  <c r="CS1756" i="6"/>
  <c r="CV1755" i="6"/>
  <c r="CT1755" i="6"/>
  <c r="CS1755" i="6"/>
  <c r="CV1754" i="6"/>
  <c r="CS1754" i="6"/>
  <c r="CV1753" i="6"/>
  <c r="CS1753" i="6"/>
  <c r="CV1752" i="6"/>
  <c r="CS1752" i="6"/>
  <c r="CV1751" i="6"/>
  <c r="CS1751" i="6"/>
  <c r="CV1750" i="6"/>
  <c r="CS1750" i="6"/>
  <c r="CV1749" i="6"/>
  <c r="CT1749" i="6"/>
  <c r="CS1749" i="6"/>
  <c r="CV1748" i="6"/>
  <c r="CT1748" i="6"/>
  <c r="CS1748" i="6"/>
  <c r="CV1747" i="6"/>
  <c r="CT1747" i="6"/>
  <c r="CS1747" i="6"/>
  <c r="CV1746" i="6"/>
  <c r="CT1746" i="6"/>
  <c r="CS1746" i="6"/>
  <c r="CV1745" i="6"/>
  <c r="CT1745" i="6"/>
  <c r="CS1745" i="6"/>
  <c r="CV1744" i="6"/>
  <c r="CT1744" i="6"/>
  <c r="CS1744" i="6"/>
  <c r="CV1743" i="6"/>
  <c r="CT1743" i="6"/>
  <c r="CS1743" i="6"/>
  <c r="CV1742" i="6"/>
  <c r="CT1742" i="6"/>
  <c r="CS1742" i="6"/>
  <c r="CV1741" i="6"/>
  <c r="CT1741" i="6"/>
  <c r="CS1741" i="6"/>
  <c r="CV1740" i="6"/>
  <c r="CT1740" i="6"/>
  <c r="CS1740" i="6"/>
  <c r="CV1739" i="6"/>
  <c r="CT1739" i="6"/>
  <c r="CS1739" i="6"/>
  <c r="CV1738" i="6"/>
  <c r="CT1738" i="6"/>
  <c r="CS1738" i="6"/>
  <c r="CV1737" i="6"/>
  <c r="CT1737" i="6"/>
  <c r="CS1737" i="6"/>
  <c r="CV1736" i="6"/>
  <c r="CT1736" i="6"/>
  <c r="CS1736" i="6"/>
  <c r="CV1735" i="6"/>
  <c r="CT1735" i="6"/>
  <c r="CS1735" i="6"/>
  <c r="CV1734" i="6"/>
  <c r="CT1734" i="6"/>
  <c r="CS1734" i="6"/>
  <c r="CV1733" i="6"/>
  <c r="CT1733" i="6"/>
  <c r="CS1733" i="6"/>
  <c r="CV1732" i="6"/>
  <c r="CT1732" i="6"/>
  <c r="CS1732" i="6"/>
  <c r="CV1731" i="6"/>
  <c r="CT1731" i="6"/>
  <c r="CS1731" i="6"/>
  <c r="CV1730" i="6"/>
  <c r="CT1730" i="6"/>
  <c r="CS1730" i="6"/>
  <c r="CV1729" i="6"/>
  <c r="CT1729" i="6"/>
  <c r="CS1729" i="6"/>
  <c r="CV1728" i="6"/>
  <c r="CT1728" i="6"/>
  <c r="CS1728" i="6"/>
  <c r="CV1727" i="6"/>
  <c r="CT1727" i="6"/>
  <c r="CS1727" i="6"/>
  <c r="CV1726" i="6"/>
  <c r="CT1726" i="6"/>
  <c r="CS1726" i="6"/>
  <c r="CV1725" i="6"/>
  <c r="CT1725" i="6"/>
  <c r="CS1725" i="6"/>
  <c r="CV1724" i="6"/>
  <c r="CT1724" i="6"/>
  <c r="CS1724" i="6"/>
  <c r="CV1723" i="6"/>
  <c r="CT1723" i="6"/>
  <c r="CS1723" i="6"/>
  <c r="CV1722" i="6"/>
  <c r="CT1722" i="6"/>
  <c r="CS1722" i="6"/>
  <c r="CV1721" i="6"/>
  <c r="CT1721" i="6"/>
  <c r="CS1721" i="6"/>
  <c r="CV1720" i="6"/>
  <c r="CT1720" i="6"/>
  <c r="CS1720" i="6"/>
  <c r="CV1719" i="6"/>
  <c r="CT1719" i="6"/>
  <c r="CS1719" i="6"/>
  <c r="CV1718" i="6"/>
  <c r="CT1718" i="6"/>
  <c r="CS1718" i="6"/>
  <c r="CV1717" i="6"/>
  <c r="CT1717" i="6"/>
  <c r="CS1717" i="6"/>
  <c r="CV1716" i="6"/>
  <c r="CT1716" i="6"/>
  <c r="CS1716" i="6"/>
  <c r="CV1715" i="6"/>
  <c r="CT1715" i="6"/>
  <c r="CS1715" i="6"/>
  <c r="CV1714" i="6"/>
  <c r="CT1714" i="6"/>
  <c r="CS1714" i="6"/>
  <c r="CV1713" i="6"/>
  <c r="CT1713" i="6"/>
  <c r="CS1713" i="6"/>
  <c r="CV1712" i="6"/>
  <c r="CT1712" i="6"/>
  <c r="CS1712" i="6"/>
  <c r="CV1711" i="6"/>
  <c r="CT1711" i="6"/>
  <c r="CS1711" i="6"/>
  <c r="CV1710" i="6"/>
  <c r="CT1710" i="6"/>
  <c r="CS1710" i="6"/>
  <c r="CV1709" i="6"/>
  <c r="CT1709" i="6"/>
  <c r="CS1709" i="6"/>
  <c r="CV1708" i="6"/>
  <c r="CT1708" i="6"/>
  <c r="CS1708" i="6"/>
  <c r="CV1707" i="6"/>
  <c r="CT1707" i="6"/>
  <c r="CS1707" i="6"/>
  <c r="CV1706" i="6"/>
  <c r="CT1706" i="6"/>
  <c r="CS1706" i="6"/>
  <c r="CV1705" i="6"/>
  <c r="CT1705" i="6"/>
  <c r="CS1705" i="6"/>
  <c r="CV1704" i="6"/>
  <c r="CT1704" i="6"/>
  <c r="CS1704" i="6"/>
  <c r="CV1703" i="6"/>
  <c r="CT1703" i="6"/>
  <c r="CS1703" i="6"/>
  <c r="CV1702" i="6"/>
  <c r="CT1702" i="6"/>
  <c r="CS1702" i="6"/>
  <c r="CV1701" i="6"/>
  <c r="CT1701" i="6"/>
  <c r="CS1701" i="6"/>
  <c r="CV1700" i="6"/>
  <c r="CT1700" i="6"/>
  <c r="CS1700" i="6"/>
  <c r="CV1699" i="6"/>
  <c r="CT1699" i="6"/>
  <c r="CS1699" i="6"/>
  <c r="CV1698" i="6"/>
  <c r="CT1698" i="6"/>
  <c r="CS1698" i="6"/>
  <c r="CV1697" i="6"/>
  <c r="CT1697" i="6"/>
  <c r="CS1697" i="6"/>
  <c r="CV1696" i="6"/>
  <c r="CT1696" i="6"/>
  <c r="CS1696" i="6"/>
  <c r="CV1695" i="6"/>
  <c r="CT1695" i="6"/>
  <c r="CS1695" i="6"/>
  <c r="CV1694" i="6"/>
  <c r="CT1694" i="6"/>
  <c r="CS1694" i="6"/>
  <c r="CV1693" i="6"/>
  <c r="CT1693" i="6"/>
  <c r="CS1693" i="6"/>
  <c r="CV1692" i="6"/>
  <c r="CT1692" i="6"/>
  <c r="CS1692" i="6"/>
  <c r="CV1691" i="6"/>
  <c r="CT1691" i="6"/>
  <c r="CS1691" i="6"/>
  <c r="CV1690" i="6"/>
  <c r="CT1690" i="6"/>
  <c r="CS1690" i="6"/>
  <c r="CV1689" i="6"/>
  <c r="CT1689" i="6"/>
  <c r="CS1689" i="6"/>
  <c r="CV1688" i="6"/>
  <c r="CT1688" i="6"/>
  <c r="CS1688" i="6"/>
  <c r="CV1687" i="6"/>
  <c r="CT1687" i="6"/>
  <c r="CS1687" i="6"/>
  <c r="CV1686" i="6"/>
  <c r="CT1686" i="6"/>
  <c r="CS1686" i="6"/>
  <c r="CV1685" i="6"/>
  <c r="CT1685" i="6"/>
  <c r="CS1685" i="6"/>
  <c r="CV1684" i="6"/>
  <c r="CT1684" i="6"/>
  <c r="CS1684" i="6"/>
  <c r="CV1683" i="6"/>
  <c r="CT1683" i="6"/>
  <c r="CS1683" i="6"/>
  <c r="CV1682" i="6"/>
  <c r="CT1682" i="6"/>
  <c r="CS1682" i="6"/>
  <c r="CV1681" i="6"/>
  <c r="CT1681" i="6"/>
  <c r="CS1681" i="6"/>
  <c r="CV1680" i="6"/>
  <c r="CT1680" i="6"/>
  <c r="CS1680" i="6"/>
  <c r="CV1679" i="6"/>
  <c r="CT1679" i="6"/>
  <c r="CS1679" i="6"/>
  <c r="CV1678" i="6"/>
  <c r="CT1678" i="6"/>
  <c r="CS1678" i="6"/>
  <c r="CV1677" i="6"/>
  <c r="CT1677" i="6"/>
  <c r="CS1677" i="6"/>
  <c r="CV1676" i="6"/>
  <c r="CT1676" i="6"/>
  <c r="CS1676" i="6"/>
  <c r="CV1675" i="6"/>
  <c r="CT1675" i="6"/>
  <c r="CS1675" i="6"/>
  <c r="CV1674" i="6"/>
  <c r="CT1674" i="6"/>
  <c r="CS1674" i="6"/>
  <c r="CV1673" i="6"/>
  <c r="CT1673" i="6"/>
  <c r="CS1673" i="6"/>
  <c r="CV1672" i="6"/>
  <c r="CT1672" i="6"/>
  <c r="CS1672" i="6"/>
  <c r="CV1671" i="6"/>
  <c r="CT1671" i="6"/>
  <c r="CS1671" i="6"/>
  <c r="CV1670" i="6"/>
  <c r="CT1670" i="6"/>
  <c r="CS1670" i="6"/>
  <c r="CV1669" i="6"/>
  <c r="CT1669" i="6"/>
  <c r="CS1669" i="6"/>
  <c r="CV1668" i="6"/>
  <c r="CT1668" i="6"/>
  <c r="CS1668" i="6"/>
  <c r="CV1667" i="6"/>
  <c r="CT1667" i="6"/>
  <c r="CS1667" i="6"/>
  <c r="CV1666" i="6"/>
  <c r="CT1666" i="6"/>
  <c r="CS1666" i="6"/>
  <c r="CV1665" i="6"/>
  <c r="CT1665" i="6"/>
  <c r="CS1665" i="6"/>
  <c r="CV1664" i="6"/>
  <c r="CT1664" i="6"/>
  <c r="CS1664" i="6"/>
  <c r="CV1663" i="6"/>
  <c r="CT1663" i="6"/>
  <c r="CS1663" i="6"/>
  <c r="CV1662" i="6"/>
  <c r="CT1662" i="6"/>
  <c r="CS1662" i="6"/>
  <c r="CV1661" i="6"/>
  <c r="CT1661" i="6"/>
  <c r="CS1661" i="6"/>
  <c r="CV1660" i="6"/>
  <c r="CT1660" i="6"/>
  <c r="CS1660" i="6"/>
  <c r="CV1659" i="6"/>
  <c r="CT1659" i="6"/>
  <c r="CS1659" i="6"/>
  <c r="CV1658" i="6"/>
  <c r="CT1658" i="6"/>
  <c r="CS1658" i="6"/>
  <c r="CV1657" i="6"/>
  <c r="CT1657" i="6"/>
  <c r="CS1657" i="6"/>
  <c r="CV1656" i="6"/>
  <c r="CT1656" i="6"/>
  <c r="CS1656" i="6"/>
  <c r="CV1655" i="6"/>
  <c r="CT1655" i="6"/>
  <c r="CS1655" i="6"/>
  <c r="CV1654" i="6"/>
  <c r="CT1654" i="6"/>
  <c r="CS1654" i="6"/>
  <c r="CV1653" i="6"/>
  <c r="CT1653" i="6"/>
  <c r="CS1653" i="6"/>
  <c r="CV1652" i="6"/>
  <c r="CT1652" i="6"/>
  <c r="CS1652" i="6"/>
  <c r="CV1651" i="6"/>
  <c r="CT1651" i="6"/>
  <c r="CS1651" i="6"/>
  <c r="CV1650" i="6"/>
  <c r="CT1650" i="6"/>
  <c r="CS1650" i="6"/>
  <c r="CV1649" i="6"/>
  <c r="CT1649" i="6"/>
  <c r="CS1649" i="6"/>
  <c r="CV1648" i="6"/>
  <c r="CT1648" i="6"/>
  <c r="CS1648" i="6"/>
  <c r="CV1647" i="6"/>
  <c r="CT1647" i="6"/>
  <c r="CS1647" i="6"/>
  <c r="CV1646" i="6"/>
  <c r="CT1646" i="6"/>
  <c r="CS1646" i="6"/>
  <c r="CV1645" i="6"/>
  <c r="CT1645" i="6"/>
  <c r="CS1645" i="6"/>
  <c r="CV1644" i="6"/>
  <c r="CT1644" i="6"/>
  <c r="CS1644" i="6"/>
  <c r="CV1643" i="6"/>
  <c r="CT1643" i="6"/>
  <c r="CS1643" i="6"/>
  <c r="CV1642" i="6"/>
  <c r="CT1642" i="6"/>
  <c r="CS1642" i="6"/>
  <c r="CV1641" i="6"/>
  <c r="CS1641" i="6"/>
  <c r="CV1640" i="6"/>
  <c r="CS1640" i="6"/>
  <c r="CV1639" i="6"/>
  <c r="CT1639" i="6"/>
  <c r="CS1639" i="6"/>
  <c r="CV1638" i="6"/>
  <c r="CT1638" i="6"/>
  <c r="CS1638" i="6"/>
  <c r="CV1637" i="6"/>
  <c r="CT1637" i="6"/>
  <c r="CS1637" i="6"/>
  <c r="CV1636" i="6"/>
  <c r="CT1636" i="6"/>
  <c r="CS1636" i="6"/>
  <c r="CV1635" i="6"/>
  <c r="CT1635" i="6"/>
  <c r="CS1635" i="6"/>
  <c r="CV1634" i="6"/>
  <c r="CT1634" i="6"/>
  <c r="CS1634" i="6"/>
  <c r="CV1633" i="6"/>
  <c r="CS1633" i="6"/>
  <c r="CV1632" i="6"/>
  <c r="CT1632" i="6"/>
  <c r="CS1632" i="6"/>
  <c r="CV1631" i="6"/>
  <c r="CT1631" i="6"/>
  <c r="CS1631" i="6"/>
  <c r="CV1630" i="6"/>
  <c r="CT1630" i="6"/>
  <c r="CS1630" i="6"/>
  <c r="CV1629" i="6"/>
  <c r="CT1629" i="6"/>
  <c r="CS1629" i="6"/>
  <c r="CV1628" i="6"/>
  <c r="CS1628" i="6"/>
  <c r="CV1627" i="6"/>
  <c r="CS1627" i="6"/>
  <c r="CV1626" i="6"/>
  <c r="CT1626" i="6"/>
  <c r="CS1626" i="6"/>
  <c r="CV1625" i="6"/>
  <c r="CS1625" i="6"/>
  <c r="CV1624" i="6"/>
  <c r="CS1624" i="6"/>
  <c r="CV1623" i="6"/>
  <c r="CS1623" i="6"/>
  <c r="CV1622" i="6"/>
  <c r="CS1622" i="6"/>
  <c r="CV1621" i="6"/>
  <c r="CT1621" i="6"/>
  <c r="CS1621" i="6"/>
  <c r="CV1620" i="6"/>
  <c r="CS1620" i="6"/>
  <c r="CV1619" i="6"/>
  <c r="CS1619" i="6"/>
  <c r="CV1618" i="6"/>
  <c r="CS1618" i="6"/>
  <c r="CV1617" i="6"/>
  <c r="CS1617" i="6"/>
  <c r="CV1616" i="6"/>
  <c r="CS1616" i="6"/>
  <c r="CV1615" i="6"/>
  <c r="CS1615" i="6"/>
  <c r="CV1614" i="6"/>
  <c r="CS1614" i="6"/>
  <c r="CV1613" i="6"/>
  <c r="CS1613" i="6"/>
  <c r="CV1612" i="6"/>
  <c r="CT1612" i="6"/>
  <c r="CS1612" i="6"/>
  <c r="CV1611" i="6"/>
  <c r="CT1611" i="6"/>
  <c r="CS1611" i="6"/>
  <c r="CV1610" i="6"/>
  <c r="CT1610" i="6"/>
  <c r="CS1610" i="6"/>
  <c r="CV1609" i="6"/>
  <c r="CT1609" i="6"/>
  <c r="CS1609" i="6"/>
  <c r="CV1608" i="6"/>
  <c r="CT1608" i="6"/>
  <c r="CS1608" i="6"/>
  <c r="CV1607" i="6"/>
  <c r="CT1607" i="6"/>
  <c r="CS1607" i="6"/>
  <c r="CV1606" i="6"/>
  <c r="CT1606" i="6"/>
  <c r="CS1606" i="6"/>
  <c r="CV1605" i="6"/>
  <c r="CT1605" i="6"/>
  <c r="CS1605" i="6"/>
  <c r="CV1604" i="6"/>
  <c r="CT1604" i="6"/>
  <c r="CS1604" i="6"/>
  <c r="CV1603" i="6"/>
  <c r="CT1603" i="6"/>
  <c r="CS1603" i="6"/>
  <c r="CV1602" i="6"/>
  <c r="CS1602" i="6"/>
  <c r="CV1601" i="6"/>
  <c r="CS1601" i="6"/>
  <c r="CV1600" i="6"/>
  <c r="CT1600" i="6"/>
  <c r="CS1600" i="6"/>
  <c r="CV1599" i="6"/>
  <c r="CS1599" i="6"/>
  <c r="CV1598" i="6"/>
  <c r="CT1598" i="6"/>
  <c r="CS1598" i="6"/>
  <c r="CV1597" i="6"/>
  <c r="CT1597" i="6"/>
  <c r="CS1597" i="6"/>
  <c r="CV1596" i="6"/>
  <c r="CT1596" i="6"/>
  <c r="CS1596" i="6"/>
  <c r="CV1595" i="6"/>
  <c r="CS1595" i="6"/>
  <c r="CV1594" i="6"/>
  <c r="CT1594" i="6"/>
  <c r="CS1594" i="6"/>
  <c r="CV1593" i="6"/>
  <c r="CT1593" i="6"/>
  <c r="CS1593" i="6"/>
  <c r="CV1592" i="6"/>
  <c r="CT1592" i="6"/>
  <c r="CS1592" i="6"/>
  <c r="CV1591" i="6"/>
  <c r="CT1591" i="6"/>
  <c r="CS1591" i="6"/>
  <c r="CV1590" i="6"/>
  <c r="CT1590" i="6"/>
  <c r="CS1590" i="6"/>
  <c r="CV1589" i="6"/>
  <c r="CS1589" i="6"/>
  <c r="CV1588" i="6"/>
  <c r="CT1588" i="6"/>
  <c r="CS1588" i="6"/>
  <c r="CV1587" i="6"/>
  <c r="CT1587" i="6"/>
  <c r="CS1587" i="6"/>
  <c r="CV1586" i="6"/>
  <c r="CS1586" i="6"/>
  <c r="CV1585" i="6"/>
  <c r="CT1585" i="6"/>
  <c r="CS1585" i="6"/>
  <c r="CV1584" i="6"/>
  <c r="CT1584" i="6"/>
  <c r="CS1584" i="6"/>
  <c r="CV1583" i="6"/>
  <c r="CS1583" i="6"/>
  <c r="CV1582" i="6"/>
  <c r="CT1582" i="6"/>
  <c r="CS1582" i="6"/>
  <c r="CV1581" i="6"/>
  <c r="CS1581" i="6"/>
  <c r="CV1580" i="6"/>
  <c r="CS1580" i="6"/>
  <c r="CV1579" i="6"/>
  <c r="CT1579" i="6"/>
  <c r="CS1579" i="6"/>
  <c r="CV1578" i="6"/>
  <c r="CT1578" i="6"/>
  <c r="CS1578" i="6"/>
  <c r="CV1577" i="6"/>
  <c r="CT1577" i="6"/>
  <c r="CS1577" i="6"/>
  <c r="CV1576" i="6"/>
  <c r="CT1576" i="6"/>
  <c r="CS1576" i="6"/>
  <c r="CV1575" i="6"/>
  <c r="CT1575" i="6"/>
  <c r="CS1575" i="6"/>
  <c r="CV1574" i="6"/>
  <c r="CT1574" i="6"/>
  <c r="CS1574" i="6"/>
  <c r="CV1573" i="6"/>
  <c r="CT1573" i="6"/>
  <c r="CS1573" i="6"/>
  <c r="CV1572" i="6"/>
  <c r="CT1572" i="6"/>
  <c r="CS1572" i="6"/>
  <c r="CV1571" i="6"/>
  <c r="CS1571" i="6"/>
  <c r="CV1570" i="6"/>
  <c r="CS1570" i="6"/>
  <c r="CV1569" i="6"/>
  <c r="CT1569" i="6"/>
  <c r="CS1569" i="6"/>
  <c r="CV1568" i="6"/>
  <c r="CT1568" i="6"/>
  <c r="CS1568" i="6"/>
  <c r="CV1567" i="6"/>
  <c r="CT1567" i="6"/>
  <c r="CS1567" i="6"/>
  <c r="CV1566" i="6"/>
  <c r="CT1566" i="6"/>
  <c r="CS1566" i="6"/>
  <c r="CV1565" i="6"/>
  <c r="CT1565" i="6"/>
  <c r="CS1565" i="6"/>
  <c r="CV1564" i="6"/>
  <c r="CS1564" i="6"/>
  <c r="CV1563" i="6"/>
  <c r="CT1563" i="6"/>
  <c r="CS1563" i="6"/>
  <c r="CV1562" i="6"/>
  <c r="CT1562" i="6"/>
  <c r="CS1562" i="6"/>
  <c r="CV1561" i="6"/>
  <c r="CT1561" i="6"/>
  <c r="CS1561" i="6"/>
  <c r="CV1560" i="6"/>
  <c r="CT1560" i="6"/>
  <c r="CS1560" i="6"/>
  <c r="CV1559" i="6"/>
  <c r="CT1559" i="6"/>
  <c r="CS1559" i="6"/>
  <c r="CV1558" i="6"/>
  <c r="CT1558" i="6"/>
  <c r="CS1558" i="6"/>
  <c r="CV1557" i="6"/>
  <c r="CT1557" i="6"/>
  <c r="CS1557" i="6"/>
  <c r="CV1556" i="6"/>
  <c r="CT1556" i="6"/>
  <c r="CS1556" i="6"/>
  <c r="CV1555" i="6"/>
  <c r="CT1555" i="6"/>
  <c r="CS1555" i="6"/>
  <c r="CV1554" i="6"/>
  <c r="CT1554" i="6"/>
  <c r="CS1554" i="6"/>
  <c r="CV1553" i="6"/>
  <c r="CT1553" i="6"/>
  <c r="CS1553" i="6"/>
  <c r="CV1552" i="6"/>
  <c r="CT1552" i="6"/>
  <c r="CS1552" i="6"/>
  <c r="CV1551" i="6"/>
  <c r="CT1551" i="6"/>
  <c r="CS1551" i="6"/>
  <c r="CV1550" i="6"/>
  <c r="CT1550" i="6"/>
  <c r="CS1550" i="6"/>
  <c r="CV1549" i="6"/>
  <c r="CT1549" i="6"/>
  <c r="CS1549" i="6"/>
  <c r="CV1548" i="6"/>
  <c r="CT1548" i="6"/>
  <c r="CS1548" i="6"/>
  <c r="CV1547" i="6"/>
  <c r="CS1547" i="6"/>
  <c r="CV1546" i="6"/>
  <c r="CT1546" i="6"/>
  <c r="CS1546" i="6"/>
  <c r="CV1545" i="6"/>
  <c r="CT1545" i="6"/>
  <c r="CS1545" i="6"/>
  <c r="CV1544" i="6"/>
  <c r="CT1544" i="6"/>
  <c r="CS1544" i="6"/>
  <c r="CV1543" i="6"/>
  <c r="CT1543" i="6"/>
  <c r="CS1543" i="6"/>
  <c r="CV1542" i="6"/>
  <c r="CT1542" i="6"/>
  <c r="CS1542" i="6"/>
  <c r="CV1541" i="6"/>
  <c r="CT1541" i="6"/>
  <c r="CS1541" i="6"/>
  <c r="CV1540" i="6"/>
  <c r="CT1540" i="6"/>
  <c r="CS1540" i="6"/>
  <c r="CV1539" i="6"/>
  <c r="CT1539" i="6"/>
  <c r="CS1539" i="6"/>
  <c r="CV1538" i="6"/>
  <c r="CT1538" i="6"/>
  <c r="CS1538" i="6"/>
  <c r="CV1537" i="6"/>
  <c r="CT1537" i="6"/>
  <c r="CS1537" i="6"/>
  <c r="CV1536" i="6"/>
  <c r="CT1536" i="6"/>
  <c r="CS1536" i="6"/>
  <c r="CV1535" i="6"/>
  <c r="CT1535" i="6"/>
  <c r="CS1535" i="6"/>
  <c r="CV1534" i="6"/>
  <c r="CT1534" i="6"/>
  <c r="CS1534" i="6"/>
  <c r="CV1533" i="6"/>
  <c r="CT1533" i="6"/>
  <c r="CS1533" i="6"/>
  <c r="CV1430" i="6"/>
  <c r="CT1430" i="6"/>
  <c r="CS1430" i="6"/>
  <c r="CV1429" i="6"/>
  <c r="CT1429" i="6"/>
  <c r="CS1429" i="6"/>
  <c r="CV1428" i="6"/>
  <c r="CT1428" i="6"/>
  <c r="CS1428" i="6"/>
  <c r="CV1427" i="6"/>
  <c r="CT1427" i="6"/>
  <c r="CS1427" i="6"/>
  <c r="CV1426" i="6"/>
  <c r="CT1426" i="6"/>
  <c r="CS1426" i="6"/>
  <c r="CV1425" i="6"/>
  <c r="CT1425" i="6"/>
  <c r="CS1425" i="6"/>
  <c r="CV1424" i="6"/>
  <c r="CT1424" i="6"/>
  <c r="CS1424" i="6"/>
  <c r="CV1423" i="6"/>
  <c r="CT1423" i="6"/>
  <c r="CS1423" i="6"/>
  <c r="CV1422" i="6"/>
  <c r="CT1422" i="6"/>
  <c r="CS1422" i="6"/>
  <c r="CV1421" i="6"/>
  <c r="CT1421" i="6"/>
  <c r="CS1421" i="6"/>
  <c r="CV1420" i="6"/>
  <c r="CT1420" i="6"/>
  <c r="CS1420" i="6"/>
  <c r="CV1419" i="6"/>
  <c r="CT1419" i="6"/>
  <c r="CS1419" i="6"/>
  <c r="CV1418" i="6"/>
  <c r="CT1418" i="6"/>
  <c r="CS1418" i="6"/>
  <c r="CV1417" i="6"/>
  <c r="CT1417" i="6"/>
  <c r="CS1417" i="6"/>
  <c r="CV1416" i="6"/>
  <c r="CT1416" i="6"/>
  <c r="CS1416" i="6"/>
  <c r="CV1415" i="6"/>
  <c r="CT1415" i="6"/>
  <c r="CS1415" i="6"/>
  <c r="CV1414" i="6"/>
  <c r="CT1414" i="6"/>
  <c r="CS1414" i="6"/>
  <c r="CV1413" i="6"/>
  <c r="CT1413" i="6"/>
  <c r="CS1413" i="6"/>
  <c r="CV1412" i="6"/>
  <c r="CT1412" i="6"/>
  <c r="CS1412" i="6"/>
  <c r="CV1411" i="6"/>
  <c r="CT1411" i="6"/>
  <c r="CS1411" i="6"/>
  <c r="CV1410" i="6"/>
  <c r="CT1410" i="6"/>
  <c r="CS1410" i="6"/>
  <c r="CV1409" i="6"/>
  <c r="CT1409" i="6"/>
  <c r="CS1409" i="6"/>
  <c r="CV1408" i="6"/>
  <c r="CT1408" i="6"/>
  <c r="CS1408" i="6"/>
  <c r="CV1407" i="6"/>
  <c r="CT1407" i="6"/>
  <c r="CS1407" i="6"/>
  <c r="CV1406" i="6"/>
  <c r="CT1406" i="6"/>
  <c r="CS1406" i="6"/>
  <c r="CV1405" i="6"/>
  <c r="CT1405" i="6"/>
  <c r="CS1405" i="6"/>
  <c r="CV1404" i="6"/>
  <c r="CT1404" i="6"/>
  <c r="CS1404" i="6"/>
  <c r="CV1403" i="6"/>
  <c r="CT1403" i="6"/>
  <c r="CS1403" i="6"/>
  <c r="CV1402" i="6"/>
  <c r="CT1402" i="6"/>
  <c r="CS1402" i="6"/>
  <c r="CV1401" i="6"/>
  <c r="CT1401" i="6"/>
  <c r="CS1401" i="6"/>
  <c r="CV1400" i="6"/>
  <c r="CT1400" i="6"/>
  <c r="CS1400" i="6"/>
  <c r="CV1399" i="6"/>
  <c r="CT1399" i="6"/>
  <c r="CS1399" i="6"/>
  <c r="CV1398" i="6"/>
  <c r="CT1398" i="6"/>
  <c r="CS1398" i="6"/>
  <c r="CV1397" i="6"/>
  <c r="CT1397" i="6"/>
  <c r="CS1397" i="6"/>
  <c r="CV1396" i="6"/>
  <c r="CT1396" i="6"/>
  <c r="CS1396" i="6"/>
  <c r="CV1395" i="6"/>
  <c r="CT1395" i="6"/>
  <c r="CS1395" i="6"/>
  <c r="CV1394" i="6"/>
  <c r="CT1394" i="6"/>
  <c r="CS1394" i="6"/>
  <c r="CV1393" i="6"/>
  <c r="CT1393" i="6"/>
  <c r="CS1393" i="6"/>
  <c r="CV1392" i="6"/>
  <c r="CT1392" i="6"/>
  <c r="CS1392" i="6"/>
  <c r="CV1391" i="6"/>
  <c r="CT1391" i="6"/>
  <c r="CS1391" i="6"/>
  <c r="CV1390" i="6"/>
  <c r="CT1390" i="6"/>
  <c r="CS1390" i="6"/>
  <c r="CV1389" i="6"/>
  <c r="CT1389" i="6"/>
  <c r="CS1389" i="6"/>
  <c r="CV1388" i="6"/>
  <c r="CT1388" i="6"/>
  <c r="CS1388" i="6"/>
  <c r="CV1387" i="6"/>
  <c r="CT1387" i="6"/>
  <c r="CS1387" i="6"/>
  <c r="CV1386" i="6"/>
  <c r="CT1386" i="6"/>
  <c r="CS1386" i="6"/>
  <c r="CV1385" i="6"/>
  <c r="CT1385" i="6"/>
  <c r="CS1385" i="6"/>
  <c r="CV1384" i="6"/>
  <c r="CT1384" i="6"/>
  <c r="CS1384" i="6"/>
  <c r="CV1383" i="6"/>
  <c r="CT1383" i="6"/>
  <c r="CS1383" i="6"/>
  <c r="CV1382" i="6"/>
  <c r="CT1382" i="6"/>
  <c r="CS1382" i="6"/>
  <c r="CV1381" i="6"/>
  <c r="CT1381" i="6"/>
  <c r="CS1381" i="6"/>
  <c r="CV1380" i="6"/>
  <c r="CT1380" i="6"/>
  <c r="CS1380" i="6"/>
  <c r="CV1379" i="6"/>
  <c r="CT1379" i="6"/>
  <c r="CS1379" i="6"/>
  <c r="CV1378" i="6"/>
  <c r="CT1378" i="6"/>
  <c r="CS1378" i="6"/>
  <c r="CV1377" i="6"/>
  <c r="CT1377" i="6"/>
  <c r="CS1377" i="6"/>
  <c r="CV1376" i="6"/>
  <c r="CT1376" i="6"/>
  <c r="CS1376" i="6"/>
  <c r="CV1375" i="6"/>
  <c r="CT1375" i="6"/>
  <c r="CS1375" i="6"/>
  <c r="CV1374" i="6"/>
  <c r="CT1374" i="6"/>
  <c r="CS1374" i="6"/>
  <c r="CV1373" i="6"/>
  <c r="CT1373" i="6"/>
  <c r="CS1373" i="6"/>
  <c r="CV1372" i="6"/>
  <c r="CT1372" i="6"/>
  <c r="CS1372" i="6"/>
  <c r="CV1371" i="6"/>
  <c r="CT1371" i="6"/>
  <c r="CS1371" i="6"/>
  <c r="CV1370" i="6"/>
  <c r="CT1370" i="6"/>
  <c r="CS1370" i="6"/>
  <c r="CV1369" i="6"/>
  <c r="CT1369" i="6"/>
  <c r="CS1369" i="6"/>
  <c r="CV1368" i="6"/>
  <c r="CT1368" i="6"/>
  <c r="CS1368" i="6"/>
  <c r="CV1367" i="6"/>
  <c r="CT1367" i="6"/>
  <c r="CS1367" i="6"/>
  <c r="CV1366" i="6"/>
  <c r="CT1366" i="6"/>
  <c r="CS1366" i="6"/>
  <c r="CV1365" i="6"/>
  <c r="CT1365" i="6"/>
  <c r="CS1365" i="6"/>
  <c r="CV1364" i="6"/>
  <c r="CT1364" i="6"/>
  <c r="CS1364" i="6"/>
  <c r="CV1363" i="6"/>
  <c r="CT1363" i="6"/>
  <c r="CS1363" i="6"/>
  <c r="CV1362" i="6"/>
  <c r="CT1362" i="6"/>
  <c r="CS1362" i="6"/>
  <c r="CV1361" i="6"/>
  <c r="CT1361" i="6"/>
  <c r="CS1361" i="6"/>
  <c r="CV1360" i="6"/>
  <c r="CT1360" i="6"/>
  <c r="CS1360" i="6"/>
  <c r="CV1359" i="6"/>
  <c r="CT1359" i="6"/>
  <c r="CS1359" i="6"/>
  <c r="CV1358" i="6"/>
  <c r="CT1358" i="6"/>
  <c r="CS1358" i="6"/>
  <c r="CV1357" i="6"/>
  <c r="CT1357" i="6"/>
  <c r="CS1357" i="6"/>
  <c r="CV1356" i="6"/>
  <c r="CT1356" i="6"/>
  <c r="CS1356" i="6"/>
  <c r="CV1355" i="6"/>
  <c r="CT1355" i="6"/>
  <c r="CS1355" i="6"/>
  <c r="CV1354" i="6"/>
  <c r="CT1354" i="6"/>
  <c r="CS1354" i="6"/>
  <c r="CV1353" i="6"/>
  <c r="CT1353" i="6"/>
  <c r="CS1353" i="6"/>
  <c r="CV1352" i="6"/>
  <c r="CT1352" i="6"/>
  <c r="CS1352" i="6"/>
  <c r="CV1351" i="6"/>
  <c r="CT1351" i="6"/>
  <c r="CS1351" i="6"/>
  <c r="CV1350" i="6"/>
  <c r="CT1350" i="6"/>
  <c r="CS1350" i="6"/>
  <c r="CV1349" i="6"/>
  <c r="CT1349" i="6"/>
  <c r="CS1349" i="6"/>
  <c r="CV1348" i="6"/>
  <c r="CT1348" i="6"/>
  <c r="CS1348" i="6"/>
  <c r="CV1347" i="6"/>
  <c r="CT1347" i="6"/>
  <c r="CS1347" i="6"/>
  <c r="CV1346" i="6"/>
  <c r="CT1346" i="6"/>
  <c r="CS1346" i="6"/>
  <c r="CV1345" i="6"/>
  <c r="CT1345" i="6"/>
  <c r="CS1345" i="6"/>
  <c r="CV1344" i="6"/>
  <c r="CT1344" i="6"/>
  <c r="CS1344" i="6"/>
  <c r="CV1343" i="6"/>
  <c r="CT1343" i="6"/>
  <c r="CS1343" i="6"/>
  <c r="CV1342" i="6"/>
  <c r="CT1342" i="6"/>
  <c r="CS1342" i="6"/>
  <c r="CV1341" i="6"/>
  <c r="CT1341" i="6"/>
  <c r="CS1341" i="6"/>
  <c r="CV1340" i="6"/>
  <c r="CT1340" i="6"/>
  <c r="CS1340" i="6"/>
  <c r="CV1339" i="6"/>
  <c r="CT1339" i="6"/>
  <c r="CS1339" i="6"/>
  <c r="CV1338" i="6"/>
  <c r="CT1338" i="6"/>
  <c r="CS1338" i="6"/>
  <c r="CV1337" i="6"/>
  <c r="CT1337" i="6"/>
  <c r="CS1337" i="6"/>
  <c r="CV1336" i="6"/>
  <c r="CT1336" i="6"/>
  <c r="CS1336" i="6"/>
  <c r="CV1335" i="6"/>
  <c r="CT1335" i="6"/>
  <c r="CS1335" i="6"/>
  <c r="CV1334" i="6"/>
  <c r="CT1334" i="6"/>
  <c r="CS1334" i="6"/>
  <c r="CV1333" i="6"/>
  <c r="CT1333" i="6"/>
  <c r="CS1333" i="6"/>
  <c r="CV1332" i="6"/>
  <c r="CT1332" i="6"/>
  <c r="CS1332" i="6"/>
  <c r="CV1331" i="6"/>
  <c r="CT1331" i="6"/>
  <c r="CS1331" i="6"/>
  <c r="CV1330" i="6"/>
  <c r="CT1330" i="6"/>
  <c r="CS1330" i="6"/>
  <c r="CV1329" i="6"/>
  <c r="CT1329" i="6"/>
  <c r="CS1329" i="6"/>
  <c r="CV1328" i="6"/>
  <c r="CT1328" i="6"/>
  <c r="CS1328" i="6"/>
  <c r="CV1327" i="6"/>
  <c r="CT1327" i="6"/>
  <c r="CS1327" i="6"/>
  <c r="CV1326" i="6"/>
  <c r="CT1326" i="6"/>
  <c r="CS1326" i="6"/>
  <c r="CV1325" i="6"/>
  <c r="CT1325" i="6"/>
  <c r="CS1325" i="6"/>
  <c r="CV1324" i="6"/>
  <c r="CT1324" i="6"/>
  <c r="CS1324" i="6"/>
  <c r="CV1323" i="6"/>
  <c r="CT1323" i="6"/>
  <c r="CS1323" i="6"/>
  <c r="CV1322" i="6"/>
  <c r="CT1322" i="6"/>
  <c r="CS1322" i="6"/>
  <c r="CV1321" i="6"/>
  <c r="CT1321" i="6"/>
  <c r="CS1321" i="6"/>
  <c r="CV1320" i="6"/>
  <c r="CT1320" i="6"/>
  <c r="CS1320" i="6"/>
  <c r="CV1319" i="6"/>
  <c r="CT1319" i="6"/>
  <c r="CS1319" i="6"/>
  <c r="CV1318" i="6"/>
  <c r="CT1318" i="6"/>
  <c r="CS1318" i="6"/>
  <c r="CV1317" i="6"/>
  <c r="CT1317" i="6"/>
  <c r="CS1317" i="6"/>
  <c r="CV1316" i="6"/>
  <c r="CT1316" i="6"/>
  <c r="CS1316" i="6"/>
  <c r="CV1315" i="6"/>
  <c r="CT1315" i="6"/>
  <c r="CS1315" i="6"/>
  <c r="CV1314" i="6"/>
  <c r="CT1314" i="6"/>
  <c r="CS1314" i="6"/>
  <c r="CV1313" i="6"/>
  <c r="CT1313" i="6"/>
  <c r="CS1313" i="6"/>
  <c r="CV1312" i="6"/>
  <c r="CT1312" i="6"/>
  <c r="CS1312" i="6"/>
  <c r="CV1311" i="6"/>
  <c r="CT1311" i="6"/>
  <c r="CS1311" i="6"/>
  <c r="CV1310" i="6"/>
  <c r="CT1310" i="6"/>
  <c r="CS1310" i="6"/>
  <c r="CV1309" i="6"/>
  <c r="CT1309" i="6"/>
  <c r="CS1309" i="6"/>
  <c r="CV1308" i="6"/>
  <c r="CT1308" i="6"/>
  <c r="CS1308" i="6"/>
  <c r="CV1307" i="6"/>
  <c r="CT1307" i="6"/>
  <c r="CS1307" i="6"/>
  <c r="CV1306" i="6"/>
  <c r="CT1306" i="6"/>
  <c r="CS1306" i="6"/>
  <c r="CV1305" i="6"/>
  <c r="CT1305" i="6"/>
  <c r="CS1305" i="6"/>
  <c r="CV1304" i="6"/>
  <c r="CT1304" i="6"/>
  <c r="CS1304" i="6"/>
  <c r="CV1303" i="6"/>
  <c r="CT1303" i="6"/>
  <c r="CS1303" i="6"/>
  <c r="CV1302" i="6"/>
  <c r="CT1302" i="6"/>
  <c r="CS1302" i="6"/>
  <c r="CV1301" i="6"/>
  <c r="CT1301" i="6"/>
  <c r="CS1301" i="6"/>
  <c r="CV1300" i="6"/>
  <c r="CT1300" i="6"/>
  <c r="CS1300" i="6"/>
  <c r="CV1299" i="6"/>
  <c r="CT1299" i="6"/>
  <c r="CS1299" i="6"/>
  <c r="CV1298" i="6"/>
  <c r="CS1298" i="6"/>
  <c r="CV1297" i="6"/>
  <c r="CS1297" i="6"/>
  <c r="CV1296" i="6"/>
  <c r="CT1296" i="6"/>
  <c r="CS1296" i="6"/>
  <c r="CV1295" i="6"/>
  <c r="CT1295" i="6"/>
  <c r="CS1295" i="6"/>
  <c r="CV1294" i="6"/>
  <c r="CT1294" i="6"/>
  <c r="CS1294" i="6"/>
  <c r="CV1293" i="6"/>
  <c r="CT1293" i="6"/>
  <c r="CS1293" i="6"/>
  <c r="CV1292" i="6"/>
  <c r="CT1292" i="6"/>
  <c r="CS1292" i="6"/>
  <c r="CV1291" i="6"/>
  <c r="CT1291" i="6"/>
  <c r="CS1291" i="6"/>
  <c r="CV1290" i="6"/>
  <c r="CT1290" i="6"/>
  <c r="CS1290" i="6"/>
  <c r="CV1289" i="6"/>
  <c r="CT1289" i="6"/>
  <c r="CS1289" i="6"/>
  <c r="CV1288" i="6"/>
  <c r="CT1288" i="6"/>
  <c r="CS1288" i="6"/>
  <c r="CV1287" i="6"/>
  <c r="CT1287" i="6"/>
  <c r="CS1287" i="6"/>
  <c r="CV1286" i="6"/>
  <c r="CT1286" i="6"/>
  <c r="CS1286" i="6"/>
  <c r="CV1285" i="6"/>
  <c r="CT1285" i="6"/>
  <c r="CS1285" i="6"/>
  <c r="CV1284" i="6"/>
  <c r="CT1284" i="6"/>
  <c r="CS1284" i="6"/>
  <c r="CV1283" i="6"/>
  <c r="CT1283" i="6"/>
  <c r="CS1283" i="6"/>
  <c r="CV1282" i="6"/>
  <c r="CT1282" i="6"/>
  <c r="CS1282" i="6"/>
  <c r="CV1281" i="6"/>
  <c r="CT1281" i="6"/>
  <c r="CS1281" i="6"/>
  <c r="CV1280" i="6"/>
  <c r="CT1280" i="6"/>
  <c r="CS1280" i="6"/>
  <c r="CV1279" i="6"/>
  <c r="CT1279" i="6"/>
  <c r="CS1279" i="6"/>
  <c r="CV1278" i="6"/>
  <c r="CT1278" i="6"/>
  <c r="CS1278" i="6"/>
  <c r="CV1277" i="6"/>
  <c r="CT1277" i="6"/>
  <c r="CS1277" i="6"/>
  <c r="CV1276" i="6"/>
  <c r="CT1276" i="6"/>
  <c r="CS1276" i="6"/>
  <c r="CV1275" i="6"/>
  <c r="CT1275" i="6"/>
  <c r="CS1275" i="6"/>
  <c r="CV1274" i="6"/>
  <c r="CT1274" i="6"/>
  <c r="CS1274" i="6"/>
  <c r="CV1273" i="6"/>
  <c r="CT1273" i="6"/>
  <c r="CS1273" i="6"/>
  <c r="CV1272" i="6"/>
  <c r="CT1272" i="6"/>
  <c r="CS1272" i="6"/>
  <c r="CV1271" i="6"/>
  <c r="CT1271" i="6"/>
  <c r="CS1271" i="6"/>
  <c r="CV1270" i="6"/>
  <c r="CT1270" i="6"/>
  <c r="CS1270" i="6"/>
  <c r="CV1269" i="6"/>
  <c r="CT1269" i="6"/>
  <c r="CS1269" i="6"/>
  <c r="CV1268" i="6"/>
  <c r="CT1268" i="6"/>
  <c r="CS1268" i="6"/>
  <c r="CV1267" i="6"/>
  <c r="CT1267" i="6"/>
  <c r="CS1267" i="6"/>
  <c r="CV1266" i="6"/>
  <c r="CT1266" i="6"/>
  <c r="CS1266" i="6"/>
  <c r="CV1265" i="6"/>
  <c r="CT1265" i="6"/>
  <c r="CS1265" i="6"/>
  <c r="CV1264" i="6"/>
  <c r="CT1264" i="6"/>
  <c r="CS1264" i="6"/>
  <c r="CV1263" i="6"/>
  <c r="CT1263" i="6"/>
  <c r="CS1263" i="6"/>
  <c r="CV1262" i="6"/>
  <c r="CT1262" i="6"/>
  <c r="CS1262" i="6"/>
  <c r="CV1261" i="6"/>
  <c r="CT1261" i="6"/>
  <c r="CS1261" i="6"/>
  <c r="CV1260" i="6"/>
  <c r="CT1260" i="6"/>
  <c r="CS1260" i="6"/>
  <c r="CV1259" i="6"/>
  <c r="CT1259" i="6"/>
  <c r="CS1259" i="6"/>
  <c r="CV1258" i="6"/>
  <c r="CT1258" i="6"/>
  <c r="CS1258" i="6"/>
  <c r="CV1257" i="6"/>
  <c r="CT1257" i="6"/>
  <c r="CS1257" i="6"/>
  <c r="CV1256" i="6"/>
  <c r="CT1256" i="6"/>
  <c r="CS1256" i="6"/>
  <c r="CV1255" i="6"/>
  <c r="CT1255" i="6"/>
  <c r="CS1255" i="6"/>
  <c r="CV1254" i="6"/>
  <c r="CT1254" i="6"/>
  <c r="CS1254" i="6"/>
  <c r="CV1253" i="6"/>
  <c r="CT1253" i="6"/>
  <c r="CS1253" i="6"/>
  <c r="CV1252" i="6"/>
  <c r="CT1252" i="6"/>
  <c r="CS1252" i="6"/>
  <c r="CV1251" i="6"/>
  <c r="CT1251" i="6"/>
  <c r="CS1251" i="6"/>
  <c r="CV1250" i="6"/>
  <c r="CT1250" i="6"/>
  <c r="CS1250" i="6"/>
  <c r="CV1249" i="6"/>
  <c r="CT1249" i="6"/>
  <c r="CS1249" i="6"/>
  <c r="CV1248" i="6"/>
  <c r="CT1248" i="6"/>
  <c r="CS1248" i="6"/>
  <c r="CV1247" i="6"/>
  <c r="CT1247" i="6"/>
  <c r="CS1247" i="6"/>
  <c r="CV1246" i="6"/>
  <c r="CT1246" i="6"/>
  <c r="CS1246" i="6"/>
  <c r="CV1245" i="6"/>
  <c r="CT1245" i="6"/>
  <c r="CS1245" i="6"/>
  <c r="CV1244" i="6"/>
  <c r="CT1244" i="6"/>
  <c r="CS1244" i="6"/>
  <c r="CV1243" i="6"/>
  <c r="CT1243" i="6"/>
  <c r="CS1243" i="6"/>
  <c r="CV1242" i="6"/>
  <c r="CT1242" i="6"/>
  <c r="CS1242" i="6"/>
  <c r="CV1241" i="6"/>
  <c r="CT1241" i="6"/>
  <c r="CS1241" i="6"/>
  <c r="CV1240" i="6"/>
  <c r="CT1240" i="6"/>
  <c r="CS1240" i="6"/>
  <c r="CV1239" i="6"/>
  <c r="CT1239" i="6"/>
  <c r="CS1239" i="6"/>
  <c r="CV1238" i="6"/>
  <c r="CT1238" i="6"/>
  <c r="CS1238" i="6"/>
  <c r="CV1237" i="6"/>
  <c r="CT1237" i="6"/>
  <c r="CS1237" i="6"/>
  <c r="CV1236" i="6"/>
  <c r="CT1236" i="6"/>
  <c r="CS1236" i="6"/>
  <c r="CV1235" i="6"/>
  <c r="CT1235" i="6"/>
  <c r="CS1235" i="6"/>
  <c r="CV1234" i="6"/>
  <c r="CT1234" i="6"/>
  <c r="CS1234" i="6"/>
  <c r="CV1233" i="6"/>
  <c r="CT1233" i="6"/>
  <c r="CS1233" i="6"/>
  <c r="CV1232" i="6"/>
  <c r="CT1232" i="6"/>
  <c r="CS1232" i="6"/>
  <c r="CV1231" i="6"/>
  <c r="CT1231" i="6"/>
  <c r="CS1231" i="6"/>
  <c r="CV1230" i="6"/>
  <c r="CT1230" i="6"/>
  <c r="CS1230" i="6"/>
  <c r="CV1229" i="6"/>
  <c r="CT1229" i="6"/>
  <c r="CS1229" i="6"/>
  <c r="CV1228" i="6"/>
  <c r="CT1228" i="6"/>
  <c r="CS1228" i="6"/>
  <c r="CV1227" i="6"/>
  <c r="CT1227" i="6"/>
  <c r="CS1227" i="6"/>
  <c r="CV1226" i="6"/>
  <c r="CT1226" i="6"/>
  <c r="CS1226" i="6"/>
  <c r="CV1225" i="6"/>
  <c r="CT1225" i="6"/>
  <c r="CS1225" i="6"/>
  <c r="CV1224" i="6"/>
  <c r="CT1224" i="6"/>
  <c r="CS1224" i="6"/>
  <c r="CV1223" i="6"/>
  <c r="CT1223" i="6"/>
  <c r="CS1223" i="6"/>
  <c r="CV1222" i="6"/>
  <c r="CT1222" i="6"/>
  <c r="CS1222" i="6"/>
  <c r="CV1221" i="6"/>
  <c r="CT1221" i="6"/>
  <c r="CS1221" i="6"/>
  <c r="CV1220" i="6"/>
  <c r="CT1220" i="6"/>
  <c r="CS1220" i="6"/>
  <c r="CV1219" i="6"/>
  <c r="CT1219" i="6"/>
  <c r="CS1219" i="6"/>
  <c r="CV1218" i="6"/>
  <c r="CT1218" i="6"/>
  <c r="CS1218" i="6"/>
  <c r="CV1217" i="6"/>
  <c r="CT1217" i="6"/>
  <c r="CS1217" i="6"/>
  <c r="CV1216" i="6"/>
  <c r="CT1216" i="6"/>
  <c r="CS1216" i="6"/>
  <c r="CV1215" i="6"/>
  <c r="CT1215" i="6"/>
  <c r="CS1215" i="6"/>
  <c r="CV1214" i="6"/>
  <c r="CT1214" i="6"/>
  <c r="CS1214" i="6"/>
  <c r="CV1213" i="6"/>
  <c r="CT1213" i="6"/>
  <c r="CS1213" i="6"/>
  <c r="CV1212" i="6"/>
  <c r="CT1212" i="6"/>
  <c r="CS1212" i="6"/>
  <c r="CV1211" i="6"/>
  <c r="CT1211" i="6"/>
  <c r="CS1211" i="6"/>
  <c r="CV1210" i="6"/>
  <c r="CT1210" i="6"/>
  <c r="CS1210" i="6"/>
  <c r="CV1209" i="6"/>
  <c r="CT1209" i="6"/>
  <c r="CS1209" i="6"/>
  <c r="CV1208" i="6"/>
  <c r="CT1208" i="6"/>
  <c r="CS1208" i="6"/>
  <c r="CV1207" i="6"/>
  <c r="CT1207" i="6"/>
  <c r="CS1207" i="6"/>
  <c r="CV1206" i="6"/>
  <c r="CT1206" i="6"/>
  <c r="CS1206" i="6"/>
  <c r="CT1205" i="6"/>
  <c r="CS1205" i="6"/>
  <c r="CS1204" i="6"/>
  <c r="CV1203" i="6"/>
  <c r="CT1203" i="6"/>
  <c r="CS1203" i="6"/>
  <c r="CV1202" i="6"/>
  <c r="CT1202" i="6"/>
  <c r="CS1202" i="6"/>
  <c r="CV1201" i="6"/>
  <c r="CT1201" i="6"/>
  <c r="CS1201" i="6"/>
  <c r="CV1200" i="6"/>
  <c r="CT1200" i="6"/>
  <c r="CS1200" i="6"/>
  <c r="CV1199" i="6"/>
  <c r="CT1199" i="6"/>
  <c r="CS1199" i="6"/>
  <c r="CV1198" i="6"/>
  <c r="CT1198" i="6"/>
  <c r="CS1198" i="6"/>
  <c r="CV1197" i="6"/>
  <c r="CT1197" i="6"/>
  <c r="CS1197" i="6"/>
  <c r="CV1196" i="6"/>
  <c r="CT1196" i="6"/>
  <c r="CS1196" i="6"/>
  <c r="CV1195" i="6"/>
  <c r="CT1195" i="6"/>
  <c r="CS1195" i="6"/>
  <c r="CV1194" i="6"/>
  <c r="CT1194" i="6"/>
  <c r="CS1194" i="6"/>
  <c r="CV1193" i="6"/>
  <c r="CT1193" i="6"/>
  <c r="CS1193" i="6"/>
  <c r="CV1192" i="6"/>
  <c r="CT1192" i="6"/>
  <c r="CS1192" i="6"/>
  <c r="CV1191" i="6"/>
  <c r="CT1191" i="6"/>
  <c r="CS1191" i="6"/>
  <c r="CV1190" i="6"/>
  <c r="CT1190" i="6"/>
  <c r="CS1190" i="6"/>
  <c r="CV1189" i="6"/>
  <c r="CT1189" i="6"/>
  <c r="CS1189" i="6"/>
  <c r="CV1188" i="6"/>
  <c r="CT1188" i="6"/>
  <c r="CS1188" i="6"/>
  <c r="CV1187" i="6"/>
  <c r="CT1187" i="6"/>
  <c r="CS1187" i="6"/>
  <c r="CV1186" i="6"/>
  <c r="CT1186" i="6"/>
  <c r="CS1186" i="6"/>
  <c r="CV1185" i="6"/>
  <c r="CT1185" i="6"/>
  <c r="CS1185" i="6"/>
  <c r="CV1184" i="6"/>
  <c r="CT1184" i="6"/>
  <c r="CS1184" i="6"/>
  <c r="CV1183" i="6"/>
  <c r="CT1183" i="6"/>
  <c r="CS1183" i="6"/>
  <c r="CV1182" i="6"/>
  <c r="CT1182" i="6"/>
  <c r="CS1182" i="6"/>
  <c r="CV1181" i="6"/>
  <c r="CT1181" i="6"/>
  <c r="CS1181" i="6"/>
  <c r="CV1180" i="6"/>
  <c r="CT1180" i="6"/>
  <c r="CS1180" i="6"/>
  <c r="CV1179" i="6"/>
  <c r="CT1179" i="6"/>
  <c r="CS1179" i="6"/>
  <c r="CV1178" i="6"/>
  <c r="CT1178" i="6"/>
  <c r="CS1178" i="6"/>
  <c r="CV1177" i="6"/>
  <c r="CT1177" i="6"/>
  <c r="CS1177" i="6"/>
  <c r="CV1176" i="6"/>
  <c r="CT1176" i="6"/>
  <c r="CS1176" i="6"/>
  <c r="CV1175" i="6"/>
  <c r="CT1175" i="6"/>
  <c r="CS1175" i="6"/>
  <c r="CV1174" i="6"/>
  <c r="CT1174" i="6"/>
  <c r="CS1174" i="6"/>
  <c r="CV1173" i="6"/>
  <c r="CT1173" i="6"/>
  <c r="CS1173" i="6"/>
  <c r="CV1172" i="6"/>
  <c r="CT1172" i="6"/>
  <c r="CS1172" i="6"/>
  <c r="CV1171" i="6"/>
  <c r="CT1171" i="6"/>
  <c r="CS1171" i="6"/>
  <c r="CV1170" i="6"/>
  <c r="CT1170" i="6"/>
  <c r="CS1170" i="6"/>
  <c r="CV1169" i="6"/>
  <c r="CT1169" i="6"/>
  <c r="CS1169" i="6"/>
  <c r="CV1168" i="6"/>
  <c r="CT1168" i="6"/>
  <c r="CS1168" i="6"/>
  <c r="CV1167" i="6"/>
  <c r="CT1167" i="6"/>
  <c r="CS1167" i="6"/>
  <c r="CV1166" i="6"/>
  <c r="CT1166" i="6"/>
  <c r="CS1166" i="6"/>
  <c r="CV1165" i="6"/>
  <c r="CT1165" i="6"/>
  <c r="CS1165" i="6"/>
  <c r="CV1164" i="6"/>
  <c r="CT1164" i="6"/>
  <c r="CS1164" i="6"/>
  <c r="CV1163" i="6"/>
  <c r="CT1163" i="6"/>
  <c r="CS1163" i="6"/>
  <c r="CV1162" i="6"/>
  <c r="CT1162" i="6"/>
  <c r="CS1162" i="6"/>
  <c r="CV1161" i="6"/>
  <c r="CT1161" i="6"/>
  <c r="CS1161" i="6"/>
  <c r="CV1160" i="6"/>
  <c r="CT1160" i="6"/>
  <c r="CS1160" i="6"/>
  <c r="CV1159" i="6"/>
  <c r="CT1159" i="6"/>
  <c r="CS1159" i="6"/>
  <c r="CV1158" i="6"/>
  <c r="CT1158" i="6"/>
  <c r="CS1158" i="6"/>
  <c r="CV1157" i="6"/>
  <c r="CT1157" i="6"/>
  <c r="CS1157" i="6"/>
  <c r="CV1156" i="6"/>
  <c r="CT1156" i="6"/>
  <c r="CS1156" i="6"/>
  <c r="CV1155" i="6"/>
  <c r="CT1155" i="6"/>
  <c r="CS1155" i="6"/>
  <c r="CV1154" i="6"/>
  <c r="CT1154" i="6"/>
  <c r="CS1154" i="6"/>
  <c r="CV1153" i="6"/>
  <c r="CT1153" i="6"/>
  <c r="CS1153" i="6"/>
  <c r="CV1152" i="6"/>
  <c r="CT1152" i="6"/>
  <c r="CS1152" i="6"/>
  <c r="CV1151" i="6"/>
  <c r="CT1151" i="6"/>
  <c r="CS1151" i="6"/>
  <c r="CV1150" i="6"/>
  <c r="CT1150" i="6"/>
  <c r="CS1150" i="6"/>
  <c r="CV1149" i="6"/>
  <c r="CT1149" i="6"/>
  <c r="CS1149" i="6"/>
  <c r="CV1148" i="6"/>
  <c r="CT1148" i="6"/>
  <c r="CS1148" i="6"/>
  <c r="CV1147" i="6"/>
  <c r="CT1147" i="6"/>
  <c r="CS1147" i="6"/>
  <c r="CV1146" i="6"/>
  <c r="CT1146" i="6"/>
  <c r="CS1146" i="6"/>
  <c r="CV1145" i="6"/>
  <c r="CT1145" i="6"/>
  <c r="CS1145" i="6"/>
  <c r="CV1144" i="6"/>
  <c r="CT1144" i="6"/>
  <c r="CS1144" i="6"/>
  <c r="CV1143" i="6"/>
  <c r="CT1143" i="6"/>
  <c r="CS1143" i="6"/>
  <c r="CV1142" i="6"/>
  <c r="CT1142" i="6"/>
  <c r="CS1142" i="6"/>
  <c r="CV1141" i="6"/>
  <c r="CT1141" i="6"/>
  <c r="CS1141" i="6"/>
  <c r="CV1140" i="6"/>
  <c r="CT1140" i="6"/>
  <c r="CS1140" i="6"/>
  <c r="CV1139" i="6"/>
  <c r="CT1139" i="6"/>
  <c r="CS1139" i="6"/>
  <c r="CV1138" i="6"/>
  <c r="CT1138" i="6"/>
  <c r="CS1138" i="6"/>
  <c r="CV1137" i="6"/>
  <c r="CT1137" i="6"/>
  <c r="CS1137" i="6"/>
  <c r="CV1136" i="6"/>
  <c r="CT1136" i="6"/>
  <c r="CS1136" i="6"/>
  <c r="CV1135" i="6"/>
  <c r="CT1135" i="6"/>
  <c r="CS1135" i="6"/>
  <c r="CV1134" i="6"/>
  <c r="CT1134" i="6"/>
  <c r="CS1134" i="6"/>
  <c r="CV1133" i="6"/>
  <c r="CT1133" i="6"/>
  <c r="CS1133" i="6"/>
  <c r="CV1132" i="6"/>
  <c r="CT1132" i="6"/>
  <c r="CS1132" i="6"/>
  <c r="CV1131" i="6"/>
  <c r="CT1131" i="6"/>
  <c r="CS1131" i="6"/>
  <c r="CV1130" i="6"/>
  <c r="CT1130" i="6"/>
  <c r="CS1130" i="6"/>
  <c r="CV1129" i="6"/>
  <c r="CT1129" i="6"/>
  <c r="CS1129" i="6"/>
  <c r="CV1128" i="6"/>
  <c r="CT1128" i="6"/>
  <c r="CS1128" i="6"/>
  <c r="CV1127" i="6"/>
  <c r="CT1127" i="6"/>
  <c r="CS1127" i="6"/>
  <c r="CV1126" i="6"/>
  <c r="CT1126" i="6"/>
  <c r="CS1126" i="6"/>
  <c r="CV1125" i="6"/>
  <c r="CT1125" i="6"/>
  <c r="CS1125" i="6"/>
  <c r="CV1124" i="6"/>
  <c r="CT1124" i="6"/>
  <c r="CS1124" i="6"/>
  <c r="CV1123" i="6"/>
  <c r="CT1123" i="6"/>
  <c r="CS1123" i="6"/>
  <c r="CV1122" i="6"/>
  <c r="CT1122" i="6"/>
  <c r="CS1122" i="6"/>
  <c r="CV1121" i="6"/>
  <c r="CT1121" i="6"/>
  <c r="CS1121" i="6"/>
  <c r="CV1120" i="6"/>
  <c r="CT1120" i="6"/>
  <c r="CS1120" i="6"/>
  <c r="CV1119" i="6"/>
  <c r="CT1119" i="6"/>
  <c r="CS1119" i="6"/>
  <c r="CV1118" i="6"/>
  <c r="CT1118" i="6"/>
  <c r="CS1118" i="6"/>
  <c r="CV1117" i="6"/>
  <c r="CT1117" i="6"/>
  <c r="CS1117" i="6"/>
  <c r="CV1116" i="6"/>
  <c r="CT1116" i="6"/>
  <c r="CS1116" i="6"/>
  <c r="CV1115" i="6"/>
  <c r="CT1115" i="6"/>
  <c r="CS1115" i="6"/>
  <c r="CV1114" i="6"/>
  <c r="CT1114" i="6"/>
  <c r="CS1114" i="6"/>
  <c r="CV1113" i="6"/>
  <c r="CT1113" i="6"/>
  <c r="CS1113" i="6"/>
  <c r="CV1112" i="6"/>
  <c r="CT1112" i="6"/>
  <c r="CS1112" i="6"/>
  <c r="CV1111" i="6"/>
  <c r="CT1111" i="6"/>
  <c r="CS1111" i="6"/>
  <c r="CV1110" i="6"/>
  <c r="CT1110" i="6"/>
  <c r="CS1110" i="6"/>
  <c r="CV1109" i="6"/>
  <c r="CT1109" i="6"/>
  <c r="CS1109" i="6"/>
  <c r="CV1108" i="6"/>
  <c r="CT1108" i="6"/>
  <c r="CS1108" i="6"/>
  <c r="CV1107" i="6"/>
  <c r="CT1107" i="6"/>
  <c r="CS1107" i="6"/>
  <c r="CV1106" i="6"/>
  <c r="CT1106" i="6"/>
  <c r="CS1106" i="6"/>
  <c r="CV1105" i="6"/>
  <c r="CT1105" i="6"/>
  <c r="CS1105" i="6"/>
  <c r="CV1104" i="6"/>
  <c r="CT1104" i="6"/>
  <c r="CS1104" i="6"/>
  <c r="CV1103" i="6"/>
  <c r="CT1103" i="6"/>
  <c r="CS1103" i="6"/>
  <c r="CV1102" i="6"/>
  <c r="CT1102" i="6"/>
  <c r="CS1102" i="6"/>
  <c r="CV1101" i="6"/>
  <c r="CT1101" i="6"/>
  <c r="CS1101" i="6"/>
  <c r="CV1100" i="6"/>
  <c r="CT1100" i="6"/>
  <c r="CS1100" i="6"/>
  <c r="CV1099" i="6"/>
  <c r="CT1099" i="6"/>
  <c r="CS1099" i="6"/>
  <c r="CV1098" i="6"/>
  <c r="CT1098" i="6"/>
  <c r="CS1098" i="6"/>
  <c r="CV1097" i="6"/>
  <c r="CT1097" i="6"/>
  <c r="CS1097" i="6"/>
  <c r="CV1096" i="6"/>
  <c r="CT1096" i="6"/>
  <c r="CS1096" i="6"/>
  <c r="CV1095" i="6"/>
  <c r="CS1095" i="6"/>
  <c r="CV1094" i="6"/>
  <c r="CS1094" i="6"/>
  <c r="CV1093" i="6"/>
  <c r="CS1093" i="6"/>
  <c r="CV1092" i="6"/>
  <c r="CS1092" i="6"/>
  <c r="CV1091" i="6"/>
  <c r="CS1091" i="6"/>
  <c r="CV1090" i="6"/>
  <c r="CT1090" i="6"/>
  <c r="CS1090" i="6"/>
  <c r="CV1089" i="6"/>
  <c r="CS1089" i="6"/>
  <c r="CV1088" i="6"/>
  <c r="CS1088" i="6"/>
  <c r="CV1087" i="6"/>
  <c r="CS1087" i="6"/>
  <c r="CV1086" i="6"/>
  <c r="CT1086" i="6"/>
  <c r="CS1086" i="6"/>
  <c r="CV1085" i="6"/>
  <c r="CS1085" i="6"/>
  <c r="CV1084" i="6"/>
  <c r="CS1084" i="6"/>
  <c r="CV1083" i="6"/>
  <c r="CS1083" i="6"/>
  <c r="CV1082" i="6"/>
  <c r="CT1082" i="6"/>
  <c r="CS1082" i="6"/>
  <c r="CV1081" i="6"/>
  <c r="CS1081" i="6"/>
  <c r="CS1080" i="6"/>
  <c r="CV1078" i="6"/>
  <c r="CT1078" i="6"/>
  <c r="CS1078" i="6"/>
  <c r="CV1077" i="6"/>
  <c r="CT1077" i="6"/>
  <c r="CS1077" i="6"/>
  <c r="CV1076" i="6"/>
  <c r="CT1076" i="6"/>
  <c r="CS1076" i="6"/>
  <c r="CV1075" i="6"/>
  <c r="CT1075" i="6"/>
  <c r="CS1075" i="6"/>
  <c r="CV1074" i="6"/>
  <c r="CT1074" i="6"/>
  <c r="CS1074" i="6"/>
  <c r="CV1073" i="6"/>
  <c r="CT1073" i="6"/>
  <c r="CS1073" i="6"/>
  <c r="CV1072" i="6"/>
  <c r="CT1072" i="6"/>
  <c r="CS1072" i="6"/>
  <c r="CV1071" i="6"/>
  <c r="CT1071" i="6"/>
  <c r="CS1071" i="6"/>
  <c r="CV1070" i="6"/>
  <c r="CT1070" i="6"/>
  <c r="CS1070" i="6"/>
  <c r="CV1069" i="6"/>
  <c r="CT1069" i="6"/>
  <c r="CS1069" i="6"/>
  <c r="CV1068" i="6"/>
  <c r="CT1068" i="6"/>
  <c r="CS1068" i="6"/>
  <c r="CV1067" i="6"/>
  <c r="CT1067" i="6"/>
  <c r="CS1067" i="6"/>
  <c r="CV1066" i="6"/>
  <c r="CT1066" i="6"/>
  <c r="CS1066" i="6"/>
  <c r="CV1065" i="6"/>
  <c r="CT1065" i="6"/>
  <c r="CS1065" i="6"/>
  <c r="CV1064" i="6"/>
  <c r="CT1064" i="6"/>
  <c r="CS1064" i="6"/>
  <c r="CV1063" i="6"/>
  <c r="CT1063" i="6"/>
  <c r="CS1063" i="6"/>
  <c r="CV1062" i="6"/>
  <c r="CT1062" i="6"/>
  <c r="CS1062" i="6"/>
  <c r="CV1061" i="6"/>
  <c r="CT1061" i="6"/>
  <c r="CS1061" i="6"/>
  <c r="CV1060" i="6"/>
  <c r="CT1060" i="6"/>
  <c r="CS1060" i="6"/>
  <c r="CV1059" i="6"/>
  <c r="CT1059" i="6"/>
  <c r="CS1059" i="6"/>
  <c r="CV1058" i="6"/>
  <c r="CT1058" i="6"/>
  <c r="CS1058" i="6"/>
  <c r="CV1057" i="6"/>
  <c r="CT1057" i="6"/>
  <c r="CS1057" i="6"/>
  <c r="CV1056" i="6"/>
  <c r="CT1056" i="6"/>
  <c r="CS1056" i="6"/>
  <c r="CV1055" i="6"/>
  <c r="CT1055" i="6"/>
  <c r="CS1055" i="6"/>
  <c r="CV1054" i="6"/>
  <c r="CT1054" i="6"/>
  <c r="CS1054" i="6"/>
  <c r="CV1053" i="6"/>
  <c r="CT1053" i="6"/>
  <c r="CS1053" i="6"/>
  <c r="CV1052" i="6"/>
  <c r="CT1052" i="6"/>
  <c r="CS1052" i="6"/>
  <c r="CV1051" i="6"/>
  <c r="CT1051" i="6"/>
  <c r="CS1051" i="6"/>
  <c r="CV1050" i="6"/>
  <c r="CT1050" i="6"/>
  <c r="CS1050" i="6"/>
  <c r="CV1049" i="6"/>
  <c r="CT1049" i="6"/>
  <c r="CS1049" i="6"/>
  <c r="CV1048" i="6"/>
  <c r="CT1048" i="6"/>
  <c r="CS1048" i="6"/>
  <c r="CV1047" i="6"/>
  <c r="CT1047" i="6"/>
  <c r="CS1047" i="6"/>
  <c r="CV1046" i="6"/>
  <c r="CT1046" i="6"/>
  <c r="CS1046" i="6"/>
  <c r="CV1045" i="6"/>
  <c r="CT1045" i="6"/>
  <c r="CS1045" i="6"/>
  <c r="CV1044" i="6"/>
  <c r="CT1044" i="6"/>
  <c r="CS1044" i="6"/>
  <c r="CV1043" i="6"/>
  <c r="CT1043" i="6"/>
  <c r="CS1043" i="6"/>
  <c r="CV1042" i="6"/>
  <c r="CT1042" i="6"/>
  <c r="CS1042" i="6"/>
  <c r="CV1041" i="6"/>
  <c r="CT1041" i="6"/>
  <c r="CS1041" i="6"/>
  <c r="CV1040" i="6"/>
  <c r="CT1040" i="6"/>
  <c r="CS1040" i="6"/>
  <c r="CV1039" i="6"/>
  <c r="CT1039" i="6"/>
  <c r="CS1039" i="6"/>
  <c r="CV1038" i="6"/>
  <c r="CT1038" i="6"/>
  <c r="CS1038" i="6"/>
  <c r="CV1037" i="6"/>
  <c r="CT1037" i="6"/>
  <c r="CS1037" i="6"/>
  <c r="CV1036" i="6"/>
  <c r="CT1036" i="6"/>
  <c r="CS1036" i="6"/>
  <c r="CV1035" i="6"/>
  <c r="CT1035" i="6"/>
  <c r="CS1035" i="6"/>
  <c r="CV1034" i="6"/>
  <c r="CT1034" i="6"/>
  <c r="CS1034" i="6"/>
  <c r="CV1033" i="6"/>
  <c r="CT1033" i="6"/>
  <c r="CS1033" i="6"/>
  <c r="CV1032" i="6"/>
  <c r="CT1032" i="6"/>
  <c r="CS1032" i="6"/>
  <c r="CV1031" i="6"/>
  <c r="CT1031" i="6"/>
  <c r="CS1031" i="6"/>
  <c r="CV1030" i="6"/>
  <c r="CT1030" i="6"/>
  <c r="CS1030" i="6"/>
  <c r="CV1029" i="6"/>
  <c r="CT1029" i="6"/>
  <c r="CS1029" i="6"/>
  <c r="CV1028" i="6"/>
  <c r="CT1028" i="6"/>
  <c r="CS1028" i="6"/>
  <c r="CV1027" i="6"/>
  <c r="CT1027" i="6"/>
  <c r="CS1027" i="6"/>
  <c r="CV1026" i="6"/>
  <c r="CT1026" i="6"/>
  <c r="CS1026" i="6"/>
  <c r="CV1025" i="6"/>
  <c r="CT1025" i="6"/>
  <c r="CS1025" i="6"/>
  <c r="CV1024" i="6"/>
  <c r="CT1024" i="6"/>
  <c r="CS1024" i="6"/>
  <c r="CV1023" i="6"/>
  <c r="CT1023" i="6"/>
  <c r="CS1023" i="6"/>
  <c r="CV1022" i="6"/>
  <c r="CT1022" i="6"/>
  <c r="CS1022" i="6"/>
  <c r="CV1021" i="6"/>
  <c r="CT1021" i="6"/>
  <c r="CS1021" i="6"/>
  <c r="CV1020" i="6"/>
  <c r="CT1020" i="6"/>
  <c r="CS1020" i="6"/>
  <c r="CV1019" i="6"/>
  <c r="CT1019" i="6"/>
  <c r="CS1019" i="6"/>
  <c r="CV1018" i="6"/>
  <c r="CT1018" i="6"/>
  <c r="CS1018" i="6"/>
  <c r="CV1017" i="6"/>
  <c r="CT1017" i="6"/>
  <c r="CS1017" i="6"/>
  <c r="CV1016" i="6"/>
  <c r="CT1016" i="6"/>
  <c r="CS1016" i="6"/>
  <c r="CV1015" i="6"/>
  <c r="CT1015" i="6"/>
  <c r="CS1015" i="6"/>
  <c r="CV1014" i="6"/>
  <c r="CT1014" i="6"/>
  <c r="CS1014" i="6"/>
  <c r="CV1013" i="6"/>
  <c r="CT1013" i="6"/>
  <c r="CS1013" i="6"/>
  <c r="CV1012" i="6"/>
  <c r="CT1012" i="6"/>
  <c r="CS1012" i="6"/>
  <c r="CV1011" i="6"/>
  <c r="CT1011" i="6"/>
  <c r="CS1011" i="6"/>
  <c r="CV1010" i="6"/>
  <c r="CT1010" i="6"/>
  <c r="CS1010" i="6"/>
  <c r="CV1009" i="6"/>
  <c r="CT1009" i="6"/>
  <c r="CS1009" i="6"/>
  <c r="CV1008" i="6"/>
  <c r="CT1008" i="6"/>
  <c r="CS1008" i="6"/>
  <c r="CV1007" i="6"/>
  <c r="CT1007" i="6"/>
  <c r="CS1007" i="6"/>
  <c r="CV1006" i="6"/>
  <c r="CT1006" i="6"/>
  <c r="CS1006" i="6"/>
  <c r="CV1005" i="6"/>
  <c r="CT1005" i="6"/>
  <c r="CS1005" i="6"/>
  <c r="CV1004" i="6"/>
  <c r="CT1004" i="6"/>
  <c r="CS1004" i="6"/>
  <c r="CV1003" i="6"/>
  <c r="CT1003" i="6"/>
  <c r="CS1003" i="6"/>
  <c r="CV1002" i="6"/>
  <c r="CT1002" i="6"/>
  <c r="CS1002" i="6"/>
  <c r="CV1001" i="6"/>
  <c r="CT1001" i="6"/>
  <c r="CS1001" i="6"/>
  <c r="CV1000" i="6"/>
  <c r="CT1000" i="6"/>
  <c r="CS1000" i="6"/>
  <c r="CV999" i="6"/>
  <c r="CT999" i="6"/>
  <c r="CS999" i="6"/>
  <c r="CV998" i="6"/>
  <c r="CT998" i="6"/>
  <c r="CS998" i="6"/>
  <c r="CV997" i="6"/>
  <c r="CT997" i="6"/>
  <c r="CS997" i="6"/>
  <c r="CV996" i="6"/>
  <c r="CT996" i="6"/>
  <c r="CS996" i="6"/>
  <c r="CV995" i="6"/>
  <c r="CT995" i="6"/>
  <c r="CS995" i="6"/>
  <c r="CV994" i="6"/>
  <c r="CT994" i="6"/>
  <c r="CS994" i="6"/>
  <c r="CV993" i="6"/>
  <c r="CT993" i="6"/>
  <c r="CS993" i="6"/>
  <c r="CV992" i="6"/>
  <c r="CT992" i="6"/>
  <c r="CS992" i="6"/>
  <c r="CV991" i="6"/>
  <c r="CT991" i="6"/>
  <c r="CS991" i="6"/>
  <c r="CV990" i="6"/>
  <c r="CT990" i="6"/>
  <c r="CS990" i="6"/>
  <c r="CV989" i="6"/>
  <c r="CT989" i="6"/>
  <c r="CS989" i="6"/>
  <c r="CV988" i="6"/>
  <c r="CT988" i="6"/>
  <c r="CS988" i="6"/>
  <c r="CV987" i="6"/>
  <c r="CT987" i="6"/>
  <c r="CS987" i="6"/>
  <c r="CV986" i="6"/>
  <c r="CT986" i="6"/>
  <c r="CS986" i="6"/>
  <c r="CV985" i="6"/>
  <c r="CT985" i="6"/>
  <c r="CS985" i="6"/>
  <c r="CV984" i="6"/>
  <c r="CT984" i="6"/>
  <c r="CS984" i="6"/>
  <c r="CV983" i="6"/>
  <c r="CT983" i="6"/>
  <c r="CS983" i="6"/>
  <c r="CV982" i="6"/>
  <c r="CT982" i="6"/>
  <c r="CS982" i="6"/>
  <c r="CV981" i="6"/>
  <c r="CT981" i="6"/>
  <c r="CS981" i="6"/>
  <c r="CV980" i="6"/>
  <c r="CS980" i="6"/>
  <c r="CV979" i="6"/>
  <c r="CS979" i="6"/>
  <c r="CV978" i="6"/>
  <c r="CT978" i="6"/>
  <c r="CS978" i="6"/>
  <c r="CV977" i="6"/>
  <c r="CT977" i="6"/>
  <c r="CS977" i="6"/>
  <c r="CV976" i="6"/>
  <c r="CT976" i="6"/>
  <c r="CS976" i="6"/>
  <c r="CV975" i="6"/>
  <c r="CT975" i="6"/>
  <c r="CS975" i="6"/>
  <c r="CV974" i="6"/>
  <c r="CT974" i="6"/>
  <c r="CS974" i="6"/>
  <c r="CV973" i="6"/>
  <c r="CT973" i="6"/>
  <c r="CS973" i="6"/>
  <c r="CV972" i="6"/>
  <c r="CT972" i="6"/>
  <c r="CS972" i="6"/>
  <c r="CV971" i="6"/>
  <c r="CT971" i="6"/>
  <c r="CS971" i="6"/>
  <c r="CV970" i="6"/>
  <c r="CT970" i="6"/>
  <c r="CS970" i="6"/>
  <c r="CV969" i="6"/>
  <c r="CT969" i="6"/>
  <c r="CS969" i="6"/>
  <c r="CV968" i="6"/>
  <c r="CT968" i="6"/>
  <c r="CS968" i="6"/>
  <c r="CV967" i="6"/>
  <c r="CT967" i="6"/>
  <c r="CS967" i="6"/>
  <c r="CV966" i="6"/>
  <c r="CT966" i="6"/>
  <c r="CS966" i="6"/>
  <c r="CV965" i="6"/>
  <c r="CT965" i="6"/>
  <c r="CS965" i="6"/>
  <c r="CV964" i="6"/>
  <c r="CT964" i="6"/>
  <c r="CS964" i="6"/>
  <c r="CV963" i="6"/>
  <c r="CT963" i="6"/>
  <c r="CS963" i="6"/>
  <c r="CV962" i="6"/>
  <c r="CT962" i="6"/>
  <c r="CS962" i="6"/>
  <c r="CV961" i="6"/>
  <c r="CT961" i="6"/>
  <c r="CS961" i="6"/>
  <c r="CV960" i="6"/>
  <c r="CT960" i="6"/>
  <c r="CS960" i="6"/>
  <c r="CV959" i="6"/>
  <c r="CT959" i="6"/>
  <c r="CS959" i="6"/>
  <c r="CV958" i="6"/>
  <c r="CT958" i="6"/>
  <c r="CS958" i="6"/>
  <c r="CV957" i="6"/>
  <c r="CT957" i="6"/>
  <c r="CS957" i="6"/>
  <c r="CV956" i="6"/>
  <c r="CT956" i="6"/>
  <c r="CS956" i="6"/>
  <c r="CV955" i="6"/>
  <c r="CT955" i="6"/>
  <c r="CS955" i="6"/>
  <c r="CV954" i="6"/>
  <c r="CT954" i="6"/>
  <c r="CS954" i="6"/>
  <c r="CV953" i="6"/>
  <c r="CT953" i="6"/>
  <c r="CS953" i="6"/>
  <c r="CV952" i="6"/>
  <c r="CT952" i="6"/>
  <c r="CS952" i="6"/>
  <c r="CV951" i="6"/>
  <c r="CT951" i="6"/>
  <c r="CS951" i="6"/>
  <c r="CV950" i="6"/>
  <c r="CT950" i="6"/>
  <c r="CS950" i="6"/>
  <c r="CV949" i="6"/>
  <c r="CT949" i="6"/>
  <c r="CS949" i="6"/>
  <c r="CV948" i="6"/>
  <c r="CT948" i="6"/>
  <c r="CS948" i="6"/>
  <c r="CV947" i="6"/>
  <c r="CT947" i="6"/>
  <c r="CS947" i="6"/>
  <c r="CV946" i="6"/>
  <c r="CT946" i="6"/>
  <c r="CS946" i="6"/>
  <c r="CV945" i="6"/>
  <c r="CT945" i="6"/>
  <c r="CS945" i="6"/>
  <c r="CV944" i="6"/>
  <c r="CT944" i="6"/>
  <c r="CS944" i="6"/>
  <c r="CV943" i="6"/>
  <c r="CT943" i="6"/>
  <c r="CS943" i="6"/>
  <c r="CV942" i="6"/>
  <c r="CT942" i="6"/>
  <c r="CS942" i="6"/>
  <c r="CV941" i="6"/>
  <c r="CT941" i="6"/>
  <c r="CS941" i="6"/>
  <c r="CV940" i="6"/>
  <c r="CT940" i="6"/>
  <c r="CS940" i="6"/>
  <c r="CV939" i="6"/>
  <c r="CT939" i="6"/>
  <c r="CS939" i="6"/>
  <c r="CV938" i="6"/>
  <c r="CT938" i="6"/>
  <c r="CS938" i="6"/>
  <c r="CV937" i="6"/>
  <c r="CT937" i="6"/>
  <c r="CS937" i="6"/>
  <c r="CV936" i="6"/>
  <c r="CT936" i="6"/>
  <c r="CS936" i="6"/>
  <c r="CV935" i="6"/>
  <c r="CT935" i="6"/>
  <c r="CS935" i="6"/>
  <c r="CV934" i="6"/>
  <c r="CT934" i="6"/>
  <c r="CS934" i="6"/>
  <c r="CV933" i="6"/>
  <c r="CT933" i="6"/>
  <c r="CS933" i="6"/>
  <c r="CV932" i="6"/>
  <c r="CT932" i="6"/>
  <c r="CS932" i="6"/>
  <c r="CV931" i="6"/>
  <c r="CT931" i="6"/>
  <c r="CS931" i="6"/>
  <c r="CV930" i="6"/>
  <c r="CT930" i="6"/>
  <c r="CS930" i="6"/>
  <c r="CV929" i="6"/>
  <c r="CT929" i="6"/>
  <c r="CS929" i="6"/>
  <c r="CV928" i="6"/>
  <c r="CT928" i="6"/>
  <c r="CS928" i="6"/>
  <c r="CV927" i="6"/>
  <c r="CT927" i="6"/>
  <c r="CS927" i="6"/>
  <c r="CV926" i="6"/>
  <c r="CT926" i="6"/>
  <c r="CS926" i="6"/>
  <c r="CV925" i="6"/>
  <c r="CT925" i="6"/>
  <c r="CS925" i="6"/>
  <c r="CV924" i="6"/>
  <c r="CT924" i="6"/>
  <c r="CS924" i="6"/>
  <c r="CV923" i="6"/>
  <c r="CT923" i="6"/>
  <c r="CS923" i="6"/>
  <c r="CV922" i="6"/>
  <c r="CT922" i="6"/>
  <c r="CS922" i="6"/>
  <c r="CV921" i="6"/>
  <c r="CT921" i="6"/>
  <c r="CS921" i="6"/>
  <c r="CV920" i="6"/>
  <c r="CT920" i="6"/>
  <c r="CS920" i="6"/>
  <c r="CV919" i="6"/>
  <c r="CT919" i="6"/>
  <c r="CS919" i="6"/>
  <c r="CV918" i="6"/>
  <c r="CT918" i="6"/>
  <c r="CS918" i="6"/>
  <c r="CV917" i="6"/>
  <c r="CT917" i="6"/>
  <c r="CS917" i="6"/>
  <c r="CV916" i="6"/>
  <c r="CT916" i="6"/>
  <c r="CS916" i="6"/>
  <c r="CV915" i="6"/>
  <c r="CT915" i="6"/>
  <c r="CS915" i="6"/>
  <c r="CV914" i="6"/>
  <c r="CT914" i="6"/>
  <c r="CS914" i="6"/>
  <c r="CV913" i="6"/>
  <c r="CT913" i="6"/>
  <c r="CS913" i="6"/>
  <c r="CV912" i="6"/>
  <c r="CT912" i="6"/>
  <c r="CS912" i="6"/>
  <c r="CV911" i="6"/>
  <c r="CT911" i="6"/>
  <c r="CS911" i="6"/>
  <c r="CV910" i="6"/>
  <c r="CT910" i="6"/>
  <c r="CS910" i="6"/>
  <c r="CV909" i="6"/>
  <c r="CT909" i="6"/>
  <c r="CS909" i="6"/>
  <c r="CV908" i="6"/>
  <c r="CT908" i="6"/>
  <c r="CS908" i="6"/>
  <c r="CV907" i="6"/>
  <c r="CT907" i="6"/>
  <c r="CS907" i="6"/>
  <c r="CV906" i="6"/>
  <c r="CT906" i="6"/>
  <c r="CS906" i="6"/>
  <c r="CV905" i="6"/>
  <c r="CT905" i="6"/>
  <c r="CS905" i="6"/>
  <c r="CV904" i="6"/>
  <c r="CT904" i="6"/>
  <c r="CS904" i="6"/>
  <c r="CV903" i="6"/>
  <c r="CT903" i="6"/>
  <c r="CS903" i="6"/>
  <c r="CV902" i="6"/>
  <c r="CT902" i="6"/>
  <c r="CS902" i="6"/>
  <c r="CV901" i="6"/>
  <c r="CT901" i="6"/>
  <c r="CS901" i="6"/>
  <c r="CV900" i="6"/>
  <c r="CT900" i="6"/>
  <c r="CS900" i="6"/>
  <c r="CV899" i="6"/>
  <c r="CT899" i="6"/>
  <c r="CS899" i="6"/>
  <c r="CV898" i="6"/>
  <c r="CT898" i="6"/>
  <c r="CS898" i="6"/>
  <c r="CV897" i="6"/>
  <c r="CT897" i="6"/>
  <c r="CS897" i="6"/>
  <c r="CV896" i="6"/>
  <c r="CT896" i="6"/>
  <c r="CS896" i="6"/>
  <c r="CV895" i="6"/>
  <c r="CT895" i="6"/>
  <c r="CS895" i="6"/>
  <c r="CV894" i="6"/>
  <c r="CT894" i="6"/>
  <c r="CS894" i="6"/>
  <c r="CV893" i="6"/>
  <c r="CT893" i="6"/>
  <c r="CS893" i="6"/>
  <c r="CV892" i="6"/>
  <c r="CT892" i="6"/>
  <c r="CS892" i="6"/>
  <c r="CV891" i="6"/>
  <c r="CT891" i="6"/>
  <c r="CS891" i="6"/>
  <c r="CV890" i="6"/>
  <c r="CT890" i="6"/>
  <c r="CS890" i="6"/>
  <c r="CV889" i="6"/>
  <c r="CT889" i="6"/>
  <c r="CS889" i="6"/>
  <c r="CV888" i="6"/>
  <c r="CT888" i="6"/>
  <c r="CS888" i="6"/>
  <c r="CV887" i="6"/>
  <c r="CT887" i="6"/>
  <c r="CS887" i="6"/>
  <c r="CV886" i="6"/>
  <c r="CT886" i="6"/>
  <c r="CS886" i="6"/>
  <c r="CV885" i="6"/>
  <c r="CT885" i="6"/>
  <c r="CS885" i="6"/>
  <c r="CV884" i="6"/>
  <c r="CT884" i="6"/>
  <c r="CS884" i="6"/>
  <c r="CV883" i="6"/>
  <c r="CT883" i="6"/>
  <c r="CS883" i="6"/>
  <c r="CV882" i="6"/>
  <c r="CT882" i="6"/>
  <c r="CS882" i="6"/>
  <c r="CV881" i="6"/>
  <c r="CT881" i="6"/>
  <c r="CS881" i="6"/>
  <c r="CV880" i="6"/>
  <c r="CT880" i="6"/>
  <c r="CS880" i="6"/>
  <c r="CV879" i="6"/>
  <c r="CT879" i="6"/>
  <c r="CS879" i="6"/>
  <c r="CV878" i="6"/>
  <c r="CT878" i="6"/>
  <c r="CS878" i="6"/>
  <c r="CV877" i="6"/>
  <c r="CT877" i="6"/>
  <c r="CS877" i="6"/>
  <c r="CV876" i="6"/>
  <c r="CT876" i="6"/>
  <c r="CS876" i="6"/>
  <c r="CV875" i="6"/>
  <c r="CT875" i="6"/>
  <c r="CS875" i="6"/>
  <c r="CV874" i="6"/>
  <c r="CT874" i="6"/>
  <c r="CS874" i="6"/>
  <c r="CV873" i="6"/>
  <c r="CT873" i="6"/>
  <c r="CS873" i="6"/>
  <c r="CV872" i="6"/>
  <c r="CT872" i="6"/>
  <c r="CS872" i="6"/>
  <c r="CV871" i="6"/>
  <c r="CT871" i="6"/>
  <c r="CS871" i="6"/>
  <c r="CV870" i="6"/>
  <c r="CT870" i="6"/>
  <c r="CS870" i="6"/>
  <c r="CV869" i="6"/>
  <c r="CT869" i="6"/>
  <c r="CS869" i="6"/>
  <c r="CV868" i="6"/>
  <c r="CT868" i="6"/>
  <c r="CS868" i="6"/>
  <c r="CV867" i="6"/>
  <c r="CT867" i="6"/>
  <c r="CS867" i="6"/>
  <c r="CV866" i="6"/>
  <c r="CT866" i="6"/>
  <c r="CS866" i="6"/>
  <c r="CV865" i="6"/>
  <c r="CT865" i="6"/>
  <c r="CS865" i="6"/>
  <c r="CV864" i="6"/>
  <c r="CT864" i="6"/>
  <c r="CS864" i="6"/>
  <c r="CV863" i="6"/>
  <c r="CT863" i="6"/>
  <c r="CS863" i="6"/>
  <c r="CV862" i="6"/>
  <c r="CT862" i="6"/>
  <c r="CS862" i="6"/>
  <c r="CV861" i="6"/>
  <c r="CT861" i="6"/>
  <c r="CS861" i="6"/>
  <c r="CV860" i="6"/>
  <c r="CT860" i="6"/>
  <c r="CS860" i="6"/>
  <c r="CV859" i="6"/>
  <c r="CT859" i="6"/>
  <c r="CS859" i="6"/>
  <c r="CV858" i="6"/>
  <c r="CT858" i="6"/>
  <c r="CS858" i="6"/>
  <c r="CV857" i="6"/>
  <c r="CT857" i="6"/>
  <c r="CS857" i="6"/>
  <c r="CV856" i="6"/>
  <c r="CT856" i="6"/>
  <c r="CS856" i="6"/>
  <c r="CV855" i="6"/>
  <c r="CT855" i="6"/>
  <c r="CS855" i="6"/>
  <c r="CV854" i="6"/>
  <c r="CT854" i="6"/>
  <c r="CS854" i="6"/>
  <c r="CV853" i="6"/>
  <c r="CT853" i="6"/>
  <c r="CS853" i="6"/>
  <c r="CV852" i="6"/>
  <c r="CT852" i="6"/>
  <c r="CS852" i="6"/>
  <c r="CV851" i="6"/>
  <c r="CT851" i="6"/>
  <c r="CS851" i="6"/>
  <c r="CV850" i="6"/>
  <c r="CT850" i="6"/>
  <c r="CS850" i="6"/>
  <c r="CV849" i="6"/>
  <c r="CT849" i="6"/>
  <c r="CS849" i="6"/>
  <c r="CV848" i="6"/>
  <c r="CT848" i="6"/>
  <c r="CS848" i="6"/>
  <c r="CV847" i="6"/>
  <c r="CT847" i="6"/>
  <c r="CS847" i="6"/>
  <c r="CV846" i="6"/>
  <c r="CT846" i="6"/>
  <c r="CS846" i="6"/>
  <c r="CV845" i="6"/>
  <c r="CT845" i="6"/>
  <c r="CS845" i="6"/>
  <c r="CV844" i="6"/>
  <c r="CT844" i="6"/>
  <c r="CS844" i="6"/>
  <c r="CV843" i="6"/>
  <c r="CT843" i="6"/>
  <c r="CS843" i="6"/>
  <c r="CV842" i="6"/>
  <c r="CT842" i="6"/>
  <c r="CS842" i="6"/>
  <c r="CV841" i="6"/>
  <c r="CT841" i="6"/>
  <c r="CS841" i="6"/>
  <c r="CV840" i="6"/>
  <c r="CT840" i="6"/>
  <c r="CS840" i="6"/>
  <c r="CT839" i="6"/>
  <c r="CS839" i="6"/>
  <c r="CT838" i="6"/>
  <c r="CS838" i="6"/>
  <c r="CV837" i="6"/>
  <c r="CT837" i="6"/>
  <c r="CS837" i="6"/>
  <c r="CV836" i="6"/>
  <c r="CT836" i="6"/>
  <c r="CS836" i="6"/>
  <c r="CV835" i="6"/>
  <c r="CT835" i="6"/>
  <c r="CS835" i="6"/>
  <c r="CV834" i="6"/>
  <c r="CT834" i="6"/>
  <c r="CS834" i="6"/>
  <c r="CV833" i="6"/>
  <c r="CT833" i="6"/>
  <c r="CS833" i="6"/>
  <c r="CV832" i="6"/>
  <c r="CT832" i="6"/>
  <c r="CS832" i="6"/>
  <c r="CV831" i="6"/>
  <c r="CT831" i="6"/>
  <c r="CS831" i="6"/>
  <c r="CV830" i="6"/>
  <c r="CT830" i="6"/>
  <c r="CS830" i="6"/>
  <c r="CV829" i="6"/>
  <c r="CT829" i="6"/>
  <c r="CS829" i="6"/>
  <c r="CV828" i="6"/>
  <c r="CT828" i="6"/>
  <c r="CS828" i="6"/>
  <c r="CV827" i="6"/>
  <c r="CT827" i="6"/>
  <c r="CS827" i="6"/>
  <c r="CV826" i="6"/>
  <c r="CS826" i="6"/>
  <c r="CV825" i="6"/>
  <c r="CT825" i="6"/>
  <c r="CS825" i="6"/>
  <c r="CV824" i="6"/>
  <c r="CT824" i="6"/>
  <c r="CS824" i="6"/>
  <c r="CV823" i="6"/>
  <c r="CT823" i="6"/>
  <c r="CS823" i="6"/>
  <c r="CV822" i="6"/>
  <c r="CT822" i="6"/>
  <c r="CS822" i="6"/>
  <c r="CV821" i="6"/>
  <c r="CT821" i="6"/>
  <c r="CS821" i="6"/>
  <c r="CV820" i="6"/>
  <c r="CT820" i="6"/>
  <c r="CS820" i="6"/>
  <c r="CV819" i="6"/>
  <c r="CS819" i="6"/>
  <c r="CV818" i="6"/>
  <c r="CT818" i="6"/>
  <c r="CS818" i="6"/>
  <c r="CV817" i="6"/>
  <c r="CT817" i="6"/>
  <c r="CS817" i="6"/>
  <c r="CV816" i="6"/>
  <c r="CT816" i="6"/>
  <c r="CS816" i="6"/>
  <c r="CV815" i="6"/>
  <c r="CS815" i="6"/>
  <c r="CV814" i="6"/>
  <c r="CT814" i="6"/>
  <c r="CS814" i="6"/>
  <c r="CV813" i="6"/>
  <c r="CT813" i="6"/>
  <c r="CS813" i="6"/>
  <c r="CV812" i="6"/>
  <c r="CT812" i="6"/>
  <c r="CS812" i="6"/>
  <c r="CV811" i="6"/>
  <c r="CT811" i="6"/>
  <c r="CS811" i="6"/>
  <c r="CV810" i="6"/>
  <c r="CT810" i="6"/>
  <c r="CS810" i="6"/>
  <c r="CV809" i="6"/>
  <c r="CT809" i="6"/>
  <c r="CS809" i="6"/>
  <c r="CV808" i="6"/>
  <c r="CT808" i="6"/>
  <c r="CS808" i="6"/>
  <c r="CV807" i="6"/>
  <c r="CT807" i="6"/>
  <c r="CS807" i="6"/>
  <c r="CV806" i="6"/>
  <c r="CT806" i="6"/>
  <c r="CS806" i="6"/>
  <c r="CV805" i="6"/>
  <c r="CT805" i="6"/>
  <c r="CS805" i="6"/>
  <c r="CV804" i="6"/>
  <c r="CT804" i="6"/>
  <c r="CS804" i="6"/>
  <c r="CV803" i="6"/>
  <c r="CT803" i="6"/>
  <c r="CS803" i="6"/>
  <c r="CV802" i="6"/>
  <c r="CT802" i="6"/>
  <c r="CS802" i="6"/>
  <c r="CV801" i="6"/>
  <c r="CT801" i="6"/>
  <c r="CS801" i="6"/>
  <c r="CV800" i="6"/>
  <c r="CT800" i="6"/>
  <c r="CS800" i="6"/>
  <c r="CV799" i="6"/>
  <c r="CT799" i="6"/>
  <c r="CS799" i="6"/>
  <c r="CV798" i="6"/>
  <c r="CT798" i="6"/>
  <c r="CS798" i="6"/>
  <c r="CV797" i="6"/>
  <c r="CT797" i="6"/>
  <c r="CS797" i="6"/>
  <c r="CV796" i="6"/>
  <c r="CT796" i="6"/>
  <c r="CS796" i="6"/>
  <c r="CV795" i="6"/>
  <c r="CT795" i="6"/>
  <c r="CS795" i="6"/>
  <c r="CV794" i="6"/>
  <c r="CT794" i="6"/>
  <c r="CS794" i="6"/>
  <c r="CV793" i="6"/>
  <c r="CT793" i="6"/>
  <c r="CS793" i="6"/>
  <c r="CV792" i="6"/>
  <c r="CT792" i="6"/>
  <c r="CS792" i="6"/>
  <c r="CV791" i="6"/>
  <c r="CT791" i="6"/>
  <c r="CS791" i="6"/>
  <c r="CV790" i="6"/>
  <c r="CT790" i="6"/>
  <c r="CS790" i="6"/>
  <c r="CV789" i="6"/>
  <c r="CT789" i="6"/>
  <c r="CS789" i="6"/>
  <c r="CV788" i="6"/>
  <c r="CT788" i="6"/>
  <c r="CS788" i="6"/>
  <c r="CV787" i="6"/>
  <c r="CT787" i="6"/>
  <c r="CS787" i="6"/>
  <c r="CV786" i="6"/>
  <c r="CT786" i="6"/>
  <c r="CS786" i="6"/>
  <c r="CV785" i="6"/>
  <c r="CT785" i="6"/>
  <c r="CS785" i="6"/>
  <c r="CV784" i="6"/>
  <c r="CT784" i="6"/>
  <c r="CS784" i="6"/>
  <c r="CV783" i="6"/>
  <c r="CT783" i="6"/>
  <c r="CS783" i="6"/>
  <c r="CV782" i="6"/>
  <c r="CT782" i="6"/>
  <c r="CS782" i="6"/>
  <c r="CV781" i="6"/>
  <c r="CT781" i="6"/>
  <c r="CS781" i="6"/>
  <c r="CV780" i="6"/>
  <c r="CT780" i="6"/>
  <c r="CS780" i="6"/>
  <c r="CV779" i="6"/>
  <c r="CT779" i="6"/>
  <c r="CS779" i="6"/>
  <c r="CV778" i="6"/>
  <c r="CT778" i="6"/>
  <c r="CS778" i="6"/>
  <c r="CV777" i="6"/>
  <c r="CT777" i="6"/>
  <c r="CS777" i="6"/>
  <c r="CV776" i="6"/>
  <c r="CT776" i="6"/>
  <c r="CS776" i="6"/>
  <c r="CV775" i="6"/>
  <c r="CT775" i="6"/>
  <c r="CS775" i="6"/>
  <c r="CV774" i="6"/>
  <c r="CT774" i="6"/>
  <c r="CS774" i="6"/>
  <c r="CV773" i="6"/>
  <c r="CT773" i="6"/>
  <c r="CS773" i="6"/>
  <c r="CV772" i="6"/>
  <c r="CT772" i="6"/>
  <c r="CS772" i="6"/>
  <c r="CV771" i="6"/>
  <c r="CT771" i="6"/>
  <c r="CS771" i="6"/>
  <c r="CV770" i="6"/>
  <c r="CS770" i="6"/>
  <c r="CV769" i="6"/>
  <c r="CS769" i="6"/>
  <c r="CV768" i="6"/>
  <c r="CT768" i="6"/>
  <c r="CS768" i="6"/>
  <c r="CV767" i="6"/>
  <c r="CT767" i="6"/>
  <c r="CS767" i="6"/>
  <c r="CV766" i="6"/>
  <c r="CT766" i="6"/>
  <c r="CS766" i="6"/>
  <c r="CV765" i="6"/>
  <c r="CT765" i="6"/>
  <c r="CS765" i="6"/>
  <c r="CV764" i="6"/>
  <c r="CT764" i="6"/>
  <c r="CS764" i="6"/>
  <c r="CV763" i="6"/>
  <c r="CT763" i="6"/>
  <c r="CS763" i="6"/>
  <c r="CV762" i="6"/>
  <c r="CT762" i="6"/>
  <c r="CS762" i="6"/>
  <c r="CV761" i="6"/>
  <c r="CT761" i="6"/>
  <c r="CS761" i="6"/>
  <c r="CV760" i="6"/>
  <c r="CT760" i="6"/>
  <c r="CS760" i="6"/>
  <c r="CV759" i="6"/>
  <c r="CT759" i="6"/>
  <c r="CS759" i="6"/>
  <c r="CV758" i="6"/>
  <c r="CT758" i="6"/>
  <c r="CS758" i="6"/>
  <c r="CV757" i="6"/>
  <c r="CT757" i="6"/>
  <c r="CS757" i="6"/>
  <c r="CV756" i="6"/>
  <c r="CT756" i="6"/>
  <c r="CS756" i="6"/>
  <c r="CV755" i="6"/>
  <c r="CT755" i="6"/>
  <c r="CS755" i="6"/>
  <c r="CV754" i="6"/>
  <c r="CT754" i="6"/>
  <c r="CS754" i="6"/>
  <c r="CV753" i="6"/>
  <c r="CT753" i="6"/>
  <c r="CS753" i="6"/>
  <c r="CV752" i="6"/>
  <c r="CT752" i="6"/>
  <c r="CS752" i="6"/>
  <c r="CV751" i="6"/>
  <c r="CT751" i="6"/>
  <c r="CS751" i="6"/>
  <c r="CV750" i="6"/>
  <c r="CT750" i="6"/>
  <c r="CS750" i="6"/>
  <c r="CV749" i="6"/>
  <c r="CT749" i="6"/>
  <c r="CS749" i="6"/>
  <c r="CV748" i="6"/>
  <c r="CT748" i="6"/>
  <c r="CS748" i="6"/>
  <c r="CV747" i="6"/>
  <c r="CT747" i="6"/>
  <c r="CS747" i="6"/>
  <c r="CV746" i="6"/>
  <c r="CS746" i="6"/>
  <c r="CV745" i="6"/>
  <c r="CS745" i="6"/>
  <c r="CV744" i="6"/>
  <c r="CT744" i="6"/>
  <c r="CS744" i="6"/>
  <c r="CV743" i="6"/>
  <c r="CT743" i="6"/>
  <c r="CS743" i="6"/>
  <c r="CV742" i="6"/>
  <c r="CS742" i="6"/>
  <c r="CV741" i="6"/>
  <c r="CT741" i="6"/>
  <c r="CS741" i="6"/>
  <c r="CV740" i="6"/>
  <c r="CT740" i="6"/>
  <c r="CS740" i="6"/>
  <c r="CV739" i="6"/>
  <c r="CT739" i="6"/>
  <c r="CS739" i="6"/>
  <c r="CV738" i="6"/>
  <c r="CT738" i="6"/>
  <c r="CS738" i="6"/>
  <c r="CV737" i="6"/>
  <c r="CT737" i="6"/>
  <c r="CS737" i="6"/>
  <c r="CV736" i="6"/>
  <c r="CT736" i="6"/>
  <c r="CS736" i="6"/>
  <c r="CV735" i="6"/>
  <c r="CT735" i="6"/>
  <c r="CS735" i="6"/>
  <c r="CV734" i="6"/>
  <c r="CT734" i="6"/>
  <c r="CS734" i="6"/>
  <c r="CV733" i="6"/>
  <c r="CT733" i="6"/>
  <c r="CS733" i="6"/>
  <c r="CV732" i="6"/>
  <c r="CT732" i="6"/>
  <c r="CS732" i="6"/>
  <c r="CV731" i="6"/>
  <c r="CT731" i="6"/>
  <c r="CS731" i="6"/>
  <c r="CV730" i="6"/>
  <c r="CT730" i="6"/>
  <c r="CS730" i="6"/>
  <c r="CV729" i="6"/>
  <c r="CT729" i="6"/>
  <c r="CS729" i="6"/>
  <c r="CV728" i="6"/>
  <c r="CT728" i="6"/>
  <c r="CS728" i="6"/>
  <c r="CV727" i="6"/>
  <c r="CT727" i="6"/>
  <c r="CS727" i="6"/>
  <c r="CV726" i="6"/>
  <c r="CT726" i="6"/>
  <c r="CS726" i="6"/>
  <c r="CV725" i="6"/>
  <c r="CT725" i="6"/>
  <c r="CS725" i="6"/>
  <c r="CV724" i="6"/>
  <c r="CT724" i="6"/>
  <c r="CS724" i="6"/>
  <c r="CV723" i="6"/>
  <c r="CT723" i="6"/>
  <c r="CS723" i="6"/>
  <c r="CV722" i="6"/>
  <c r="CT722" i="6"/>
  <c r="CS722" i="6"/>
  <c r="CV721" i="6"/>
  <c r="CT721" i="6"/>
  <c r="CS721" i="6"/>
  <c r="CV720" i="6"/>
  <c r="CT720" i="6"/>
  <c r="CS720" i="6"/>
  <c r="CV719" i="6"/>
  <c r="CT719" i="6"/>
  <c r="CS719" i="6"/>
  <c r="CV718" i="6"/>
  <c r="CT718" i="6"/>
  <c r="CS718" i="6"/>
  <c r="CV717" i="6"/>
  <c r="CT717" i="6"/>
  <c r="CS717" i="6"/>
  <c r="CV716" i="6"/>
  <c r="CT716" i="6"/>
  <c r="CS716" i="6"/>
  <c r="CV715" i="6"/>
  <c r="CT715" i="6"/>
  <c r="CS715" i="6"/>
  <c r="CV714" i="6"/>
  <c r="CT714" i="6"/>
  <c r="CS714" i="6"/>
  <c r="CV713" i="6"/>
  <c r="CT713" i="6"/>
  <c r="CS713" i="6"/>
  <c r="CV712" i="6"/>
  <c r="CT712" i="6"/>
  <c r="CS712" i="6"/>
  <c r="CV711" i="6"/>
  <c r="CT711" i="6"/>
  <c r="CS711" i="6"/>
  <c r="CV710" i="6"/>
  <c r="CT710" i="6"/>
  <c r="CS710" i="6"/>
  <c r="CV709" i="6"/>
  <c r="CT709" i="6"/>
  <c r="CS709" i="6"/>
  <c r="CV708" i="6"/>
  <c r="CT708" i="6"/>
  <c r="CS708" i="6"/>
  <c r="CV707" i="6"/>
  <c r="CT707" i="6"/>
  <c r="CS707" i="6"/>
  <c r="CV706" i="6"/>
  <c r="CT706" i="6"/>
  <c r="CS706" i="6"/>
  <c r="CV705" i="6"/>
  <c r="CS705" i="6"/>
  <c r="CV704" i="6"/>
  <c r="CT704" i="6"/>
  <c r="CS704" i="6"/>
  <c r="CV703" i="6"/>
  <c r="CT703" i="6"/>
  <c r="CS703" i="6"/>
  <c r="CV702" i="6"/>
  <c r="CT702" i="6"/>
  <c r="CS702" i="6"/>
  <c r="CV701" i="6"/>
  <c r="CT701" i="6"/>
  <c r="CS701" i="6"/>
  <c r="CV700" i="6"/>
  <c r="CT700" i="6"/>
  <c r="CS700" i="6"/>
  <c r="CV699" i="6"/>
  <c r="CT699" i="6"/>
  <c r="CS699" i="6"/>
  <c r="CV698" i="6"/>
  <c r="CT698" i="6"/>
  <c r="CS698" i="6"/>
  <c r="CV697" i="6"/>
  <c r="CT697" i="6"/>
  <c r="CS697" i="6"/>
  <c r="CV696" i="6"/>
  <c r="CT696" i="6"/>
  <c r="CS696" i="6"/>
  <c r="CV695" i="6"/>
  <c r="CT695" i="6"/>
  <c r="CS695" i="6"/>
  <c r="CV694" i="6"/>
  <c r="CT694" i="6"/>
  <c r="CS694" i="6"/>
  <c r="CV693" i="6"/>
  <c r="CT693" i="6"/>
  <c r="CS693" i="6"/>
  <c r="CV692" i="6"/>
  <c r="CT692" i="6"/>
  <c r="CS692" i="6"/>
  <c r="CV691" i="6"/>
  <c r="CT691" i="6"/>
  <c r="CS691" i="6"/>
  <c r="CV690" i="6"/>
  <c r="CT690" i="6"/>
  <c r="CS690" i="6"/>
  <c r="CV689" i="6"/>
  <c r="CT689" i="6"/>
  <c r="CS689" i="6"/>
  <c r="CV688" i="6"/>
  <c r="CT688" i="6"/>
  <c r="CS688" i="6"/>
  <c r="CV687" i="6"/>
  <c r="CT687" i="6"/>
  <c r="CS687" i="6"/>
  <c r="CV686" i="6"/>
  <c r="CT686" i="6"/>
  <c r="CS686" i="6"/>
  <c r="CV685" i="6"/>
  <c r="CT685" i="6"/>
  <c r="CS685" i="6"/>
  <c r="CV684" i="6"/>
  <c r="CT684" i="6"/>
  <c r="CS684" i="6"/>
  <c r="CV683" i="6"/>
  <c r="CT683" i="6"/>
  <c r="CS683" i="6"/>
  <c r="CV682" i="6"/>
  <c r="CT682" i="6"/>
  <c r="CS682" i="6"/>
  <c r="CV681" i="6"/>
  <c r="CT681" i="6"/>
  <c r="CS681" i="6"/>
  <c r="CV680" i="6"/>
  <c r="CT680" i="6"/>
  <c r="CS680" i="6"/>
  <c r="CV679" i="6"/>
  <c r="CT679" i="6"/>
  <c r="CS679" i="6"/>
  <c r="CV678" i="6"/>
  <c r="CT678" i="6"/>
  <c r="CS678" i="6"/>
  <c r="CV677" i="6"/>
  <c r="CT677" i="6"/>
  <c r="CS677" i="6"/>
  <c r="CV676" i="6"/>
  <c r="CT676" i="6"/>
  <c r="CS676" i="6"/>
  <c r="CV675" i="6"/>
  <c r="CT675" i="6"/>
  <c r="CS675" i="6"/>
  <c r="CV674" i="6"/>
  <c r="CT674" i="6"/>
  <c r="CS674" i="6"/>
  <c r="CV673" i="6"/>
  <c r="CT673" i="6"/>
  <c r="CS673" i="6"/>
  <c r="CV672" i="6"/>
  <c r="CT672" i="6"/>
  <c r="CS672" i="6"/>
  <c r="CV671" i="6"/>
  <c r="CT671" i="6"/>
  <c r="CS671" i="6"/>
  <c r="CV670" i="6"/>
  <c r="CT670" i="6"/>
  <c r="CS670" i="6"/>
  <c r="CV669" i="6"/>
  <c r="CT669" i="6"/>
  <c r="CS669" i="6"/>
  <c r="CV668" i="6"/>
  <c r="CT668" i="6"/>
  <c r="CS668" i="6"/>
  <c r="CV667" i="6"/>
  <c r="CT667" i="6"/>
  <c r="CS667" i="6"/>
  <c r="CV666" i="6"/>
  <c r="CT666" i="6"/>
  <c r="CS666" i="6"/>
  <c r="CV665" i="6"/>
  <c r="CT665" i="6"/>
  <c r="CS665" i="6"/>
  <c r="CV664" i="6"/>
  <c r="CT664" i="6"/>
  <c r="CS664" i="6"/>
  <c r="CV663" i="6"/>
  <c r="CT663" i="6"/>
  <c r="CS663" i="6"/>
  <c r="CV662" i="6"/>
  <c r="CT662" i="6"/>
  <c r="CS662" i="6"/>
  <c r="CV661" i="6"/>
  <c r="CT661" i="6"/>
  <c r="CS661" i="6"/>
  <c r="CV660" i="6"/>
  <c r="CT660" i="6"/>
  <c r="CS660" i="6"/>
  <c r="CV659" i="6"/>
  <c r="CT659" i="6"/>
  <c r="CS659" i="6"/>
  <c r="CV658" i="6"/>
  <c r="CS658" i="6"/>
  <c r="CV657" i="6"/>
  <c r="CS657" i="6"/>
  <c r="CV656" i="6"/>
  <c r="CT656" i="6"/>
  <c r="CS656" i="6"/>
  <c r="CV655" i="6"/>
  <c r="CS655" i="6"/>
  <c r="CV654" i="6"/>
  <c r="CS654" i="6"/>
  <c r="CV653" i="6"/>
  <c r="CT653" i="6"/>
  <c r="CS653" i="6"/>
  <c r="CV652" i="6"/>
  <c r="CT652" i="6"/>
  <c r="CS652" i="6"/>
  <c r="CV651" i="6"/>
  <c r="CT651" i="6"/>
  <c r="CS651" i="6"/>
  <c r="CV650" i="6"/>
  <c r="CT650" i="6"/>
  <c r="CS650" i="6"/>
  <c r="CV649" i="6"/>
  <c r="CS649" i="6"/>
  <c r="CV648" i="6"/>
  <c r="CS648" i="6"/>
  <c r="CV647" i="6"/>
  <c r="CS647" i="6"/>
  <c r="CV646" i="6"/>
  <c r="CS646" i="6"/>
  <c r="CV645" i="6"/>
  <c r="CT645" i="6"/>
  <c r="CS645" i="6"/>
  <c r="CV644" i="6"/>
  <c r="CS644" i="6"/>
  <c r="CV643" i="6"/>
  <c r="CT643" i="6"/>
  <c r="CS643" i="6"/>
  <c r="CV642" i="6"/>
  <c r="CT642" i="6"/>
  <c r="CS642" i="6"/>
  <c r="CV641" i="6"/>
  <c r="CT641" i="6"/>
  <c r="CS641" i="6"/>
  <c r="CV640" i="6"/>
  <c r="CT640" i="6"/>
  <c r="CS640" i="6"/>
  <c r="CV639" i="6"/>
  <c r="CT639" i="6"/>
  <c r="CS639" i="6"/>
  <c r="CV638" i="6"/>
  <c r="CT638" i="6"/>
  <c r="CS638" i="6"/>
  <c r="CV637" i="6"/>
  <c r="CT637" i="6"/>
  <c r="CS637" i="6"/>
  <c r="CV636" i="6"/>
  <c r="CT636" i="6"/>
  <c r="CS636" i="6"/>
  <c r="CV635" i="6"/>
  <c r="CT635" i="6"/>
  <c r="CS635" i="6"/>
  <c r="CV634" i="6"/>
  <c r="CT634" i="6"/>
  <c r="CS634" i="6"/>
  <c r="CV633" i="6"/>
  <c r="CT633" i="6"/>
  <c r="CS633" i="6"/>
  <c r="CV632" i="6"/>
  <c r="CT632" i="6"/>
  <c r="CS632" i="6"/>
  <c r="CV631" i="6"/>
  <c r="CT631" i="6"/>
  <c r="CS631" i="6"/>
  <c r="CV630" i="6"/>
  <c r="CT630" i="6"/>
  <c r="CS630" i="6"/>
  <c r="CV629" i="6"/>
  <c r="CT629" i="6"/>
  <c r="CS629" i="6"/>
  <c r="CV628" i="6"/>
  <c r="CT628" i="6"/>
  <c r="CS628" i="6"/>
  <c r="CV627" i="6"/>
  <c r="CT627" i="6"/>
  <c r="CS627" i="6"/>
  <c r="CV626" i="6"/>
  <c r="CT626" i="6"/>
  <c r="CS626" i="6"/>
  <c r="CV625" i="6"/>
  <c r="CT625" i="6"/>
  <c r="CS625" i="6"/>
  <c r="CV624" i="6"/>
  <c r="CT624" i="6"/>
  <c r="CS624" i="6"/>
  <c r="CV623" i="6"/>
  <c r="CT623" i="6"/>
  <c r="CS623" i="6"/>
  <c r="CV622" i="6"/>
  <c r="CT622" i="6"/>
  <c r="CS622" i="6"/>
  <c r="CV621" i="6"/>
  <c r="CT621" i="6"/>
  <c r="CS621" i="6"/>
  <c r="CV620" i="6"/>
  <c r="CT620" i="6"/>
  <c r="CS620" i="6"/>
  <c r="CV619" i="6"/>
  <c r="CT619" i="6"/>
  <c r="CS619" i="6"/>
  <c r="CV618" i="6"/>
  <c r="CT618" i="6"/>
  <c r="CS618" i="6"/>
  <c r="CV617" i="6"/>
  <c r="CT617" i="6"/>
  <c r="CS617" i="6"/>
  <c r="CV616" i="6"/>
  <c r="CT616" i="6"/>
  <c r="CS616" i="6"/>
  <c r="CV615" i="6"/>
  <c r="CT615" i="6"/>
  <c r="CS615" i="6"/>
  <c r="CV614" i="6"/>
  <c r="CT614" i="6"/>
  <c r="CS614" i="6"/>
  <c r="CV613" i="6"/>
  <c r="CT613" i="6"/>
  <c r="CS613" i="6"/>
  <c r="CV612" i="6"/>
  <c r="CT612" i="6"/>
  <c r="CS612" i="6"/>
  <c r="CV611" i="6"/>
  <c r="CT611" i="6"/>
  <c r="CS611" i="6"/>
  <c r="CV610" i="6"/>
  <c r="CT610" i="6"/>
  <c r="CS610" i="6"/>
  <c r="CV609" i="6"/>
  <c r="CT609" i="6"/>
  <c r="CS609" i="6"/>
  <c r="CV608" i="6"/>
  <c r="CT608" i="6"/>
  <c r="CS608" i="6"/>
  <c r="CV607" i="6"/>
  <c r="CT607" i="6"/>
  <c r="CS607" i="6"/>
  <c r="CV606" i="6"/>
  <c r="CT606" i="6"/>
  <c r="CS606" i="6"/>
  <c r="CV605" i="6"/>
  <c r="CT605" i="6"/>
  <c r="CS605" i="6"/>
  <c r="CV604" i="6"/>
  <c r="CT604" i="6"/>
  <c r="CS604" i="6"/>
  <c r="CV603" i="6"/>
  <c r="CT603" i="6"/>
  <c r="CS603" i="6"/>
  <c r="CV602" i="6"/>
  <c r="CT602" i="6"/>
  <c r="CS602" i="6"/>
  <c r="CV601" i="6"/>
  <c r="CT601" i="6"/>
  <c r="CS601" i="6"/>
  <c r="CV600" i="6"/>
  <c r="CT600" i="6"/>
  <c r="CS600" i="6"/>
  <c r="CV599" i="6"/>
  <c r="CT599" i="6"/>
  <c r="CS599" i="6"/>
  <c r="CV598" i="6"/>
  <c r="CT598" i="6"/>
  <c r="CS598" i="6"/>
  <c r="CV597" i="6"/>
  <c r="CT597" i="6"/>
  <c r="CS597" i="6"/>
  <c r="CV596" i="6"/>
  <c r="CT596" i="6"/>
  <c r="CS596" i="6"/>
  <c r="CV595" i="6"/>
  <c r="CT595" i="6"/>
  <c r="CS595" i="6"/>
  <c r="CV594" i="6"/>
  <c r="CT594" i="6"/>
  <c r="CS594" i="6"/>
  <c r="CV593" i="6"/>
  <c r="CT593" i="6"/>
  <c r="CS593" i="6"/>
  <c r="CV592" i="6"/>
  <c r="CT592" i="6"/>
  <c r="CS592" i="6"/>
  <c r="CV591" i="6"/>
  <c r="CT591" i="6"/>
  <c r="CS591" i="6"/>
  <c r="CV590" i="6"/>
  <c r="CT590" i="6"/>
  <c r="CS590" i="6"/>
  <c r="CV589" i="6"/>
  <c r="CT589" i="6"/>
  <c r="CS589" i="6"/>
  <c r="CV588" i="6"/>
  <c r="CT588" i="6"/>
  <c r="CS588" i="6"/>
  <c r="CV587" i="6"/>
  <c r="CT587" i="6"/>
  <c r="CS587" i="6"/>
  <c r="CV586" i="6"/>
  <c r="CT586" i="6"/>
  <c r="CS586" i="6"/>
  <c r="CV585" i="6"/>
  <c r="CT585" i="6"/>
  <c r="CS585" i="6"/>
  <c r="CV584" i="6"/>
  <c r="CT584" i="6"/>
  <c r="CS584" i="6"/>
  <c r="CV583" i="6"/>
  <c r="CT583" i="6"/>
  <c r="CS583" i="6"/>
  <c r="CV582" i="6"/>
  <c r="CT582" i="6"/>
  <c r="CS582" i="6"/>
  <c r="CV581" i="6"/>
  <c r="CT581" i="6"/>
  <c r="CS581" i="6"/>
  <c r="CV580" i="6"/>
  <c r="CT580" i="6"/>
  <c r="CS580" i="6"/>
  <c r="CV579" i="6"/>
  <c r="CT579" i="6"/>
  <c r="CS579" i="6"/>
  <c r="CV578" i="6"/>
  <c r="CT578" i="6"/>
  <c r="CS578" i="6"/>
  <c r="CV577" i="6"/>
  <c r="CT577" i="6"/>
  <c r="CS577" i="6"/>
  <c r="CV576" i="6"/>
  <c r="CT576" i="6"/>
  <c r="CS576" i="6"/>
  <c r="CV575" i="6"/>
  <c r="CT575" i="6"/>
  <c r="CS575" i="6"/>
  <c r="CV574" i="6"/>
  <c r="CT574" i="6"/>
  <c r="CS574" i="6"/>
  <c r="CV573" i="6"/>
  <c r="CT573" i="6"/>
  <c r="CS573" i="6"/>
  <c r="CV572" i="6"/>
  <c r="CT572" i="6"/>
  <c r="CS572" i="6"/>
  <c r="CV571" i="6"/>
  <c r="CT571" i="6"/>
  <c r="CS571" i="6"/>
  <c r="CV570" i="6"/>
  <c r="CT570" i="6"/>
  <c r="CS570" i="6"/>
  <c r="CV569" i="6"/>
  <c r="CT569" i="6"/>
  <c r="CS569" i="6"/>
  <c r="CV568" i="6"/>
  <c r="CT568" i="6"/>
  <c r="CS568" i="6"/>
  <c r="CV567" i="6"/>
  <c r="CT567" i="6"/>
  <c r="CS567" i="6"/>
  <c r="CV566" i="6"/>
  <c r="CT566" i="6"/>
  <c r="CS566" i="6"/>
  <c r="CV565" i="6"/>
  <c r="CT565" i="6"/>
  <c r="CS565" i="6"/>
  <c r="CV564" i="6"/>
  <c r="CT564" i="6"/>
  <c r="CS564" i="6"/>
  <c r="CV563" i="6"/>
  <c r="CT563" i="6"/>
  <c r="CS563" i="6"/>
  <c r="CV562" i="6"/>
  <c r="CT562" i="6"/>
  <c r="CS562" i="6"/>
  <c r="CV561" i="6"/>
  <c r="CT561" i="6"/>
  <c r="CS561" i="6"/>
  <c r="CV560" i="6"/>
  <c r="CT560" i="6"/>
  <c r="CS560" i="6"/>
  <c r="CV559" i="6"/>
  <c r="CT559" i="6"/>
  <c r="CS559" i="6"/>
  <c r="CV558" i="6"/>
  <c r="CT558" i="6"/>
  <c r="CS558" i="6"/>
  <c r="CV557" i="6"/>
  <c r="CT557" i="6"/>
  <c r="CS557" i="6"/>
  <c r="CV556" i="6"/>
  <c r="CT556" i="6"/>
  <c r="CS556" i="6"/>
  <c r="CV555" i="6"/>
  <c r="CT555" i="6"/>
  <c r="CS555" i="6"/>
  <c r="CV554" i="6"/>
  <c r="CT554" i="6"/>
  <c r="CS554" i="6"/>
  <c r="CV553" i="6"/>
  <c r="CT553" i="6"/>
  <c r="CS553" i="6"/>
  <c r="CV552" i="6"/>
  <c r="CT552" i="6"/>
  <c r="CS552" i="6"/>
  <c r="CV551" i="6"/>
  <c r="CT551" i="6"/>
  <c r="CS551" i="6"/>
  <c r="CV550" i="6"/>
  <c r="CT550" i="6"/>
  <c r="CS550" i="6"/>
  <c r="CV549" i="6"/>
  <c r="CT549" i="6"/>
  <c r="CS549" i="6"/>
  <c r="CV548" i="6"/>
  <c r="CT548" i="6"/>
  <c r="CS548" i="6"/>
  <c r="CV547" i="6"/>
  <c r="CT547" i="6"/>
  <c r="CS547" i="6"/>
  <c r="CV546" i="6"/>
  <c r="CT546" i="6"/>
  <c r="CS546" i="6"/>
  <c r="CV545" i="6"/>
  <c r="CT545" i="6"/>
  <c r="CS545" i="6"/>
  <c r="CV544" i="6"/>
  <c r="CT544" i="6"/>
  <c r="CS544" i="6"/>
  <c r="CV543" i="6"/>
  <c r="CT543" i="6"/>
  <c r="CS543" i="6"/>
  <c r="CV542" i="6"/>
  <c r="CT542" i="6"/>
  <c r="CS542" i="6"/>
  <c r="CV541" i="6"/>
  <c r="CT541" i="6"/>
  <c r="CS541" i="6"/>
  <c r="CV540" i="6"/>
  <c r="CT540" i="6"/>
  <c r="CS540" i="6"/>
  <c r="CV539" i="6"/>
  <c r="CT539" i="6"/>
  <c r="CS539" i="6"/>
  <c r="CV538" i="6"/>
  <c r="CT538" i="6"/>
  <c r="CS538" i="6"/>
  <c r="CV537" i="6"/>
  <c r="CT537" i="6"/>
  <c r="CS537" i="6"/>
  <c r="CV536" i="6"/>
  <c r="CT536" i="6"/>
  <c r="CS536" i="6"/>
  <c r="CV535" i="6"/>
  <c r="CT535" i="6"/>
  <c r="CS535" i="6"/>
  <c r="CV534" i="6"/>
  <c r="CT534" i="6"/>
  <c r="CS534" i="6"/>
  <c r="CV533" i="6"/>
  <c r="CT533" i="6"/>
  <c r="CS533" i="6"/>
  <c r="CV532" i="6"/>
  <c r="CT532" i="6"/>
  <c r="CS532" i="6"/>
  <c r="CV531" i="6"/>
  <c r="CT531" i="6"/>
  <c r="CS531" i="6"/>
  <c r="CV530" i="6"/>
  <c r="CT530" i="6"/>
  <c r="CS530" i="6"/>
  <c r="CV529" i="6"/>
  <c r="CT529" i="6"/>
  <c r="CS529" i="6"/>
  <c r="CV528" i="6"/>
  <c r="CT528" i="6"/>
  <c r="CS528" i="6"/>
  <c r="CV527" i="6"/>
  <c r="CT527" i="6"/>
  <c r="CS527" i="6"/>
  <c r="CV526" i="6"/>
  <c r="CT526" i="6"/>
  <c r="CS526" i="6"/>
  <c r="CV525" i="6"/>
  <c r="CT525" i="6"/>
  <c r="CS525" i="6"/>
  <c r="CV524" i="6"/>
  <c r="CT524" i="6"/>
  <c r="CS524" i="6"/>
  <c r="CV523" i="6"/>
  <c r="CT523" i="6"/>
  <c r="CS523" i="6"/>
  <c r="CV522" i="6"/>
  <c r="CT522" i="6"/>
  <c r="CS522" i="6"/>
  <c r="CV521" i="6"/>
  <c r="CT521" i="6"/>
  <c r="CS521" i="6"/>
  <c r="CV520" i="6"/>
  <c r="CT520" i="6"/>
  <c r="CS520" i="6"/>
  <c r="CV519" i="6"/>
  <c r="CT519" i="6"/>
  <c r="CS519" i="6"/>
  <c r="CV518" i="6"/>
  <c r="CT518" i="6"/>
  <c r="CS518" i="6"/>
  <c r="CV517" i="6"/>
  <c r="CT517" i="6"/>
  <c r="CS517" i="6"/>
  <c r="CV516" i="6"/>
  <c r="CT516" i="6"/>
  <c r="CS516" i="6"/>
  <c r="CV515" i="6"/>
  <c r="CT515" i="6"/>
  <c r="CS515" i="6"/>
  <c r="CV514" i="6"/>
  <c r="CT514" i="6"/>
  <c r="CS514" i="6"/>
  <c r="CV513" i="6"/>
  <c r="CT513" i="6"/>
  <c r="CS513" i="6"/>
  <c r="CV512" i="6"/>
  <c r="CT512" i="6"/>
  <c r="CS512" i="6"/>
  <c r="CV511" i="6"/>
  <c r="CT511" i="6"/>
  <c r="CS511" i="6"/>
  <c r="CV510" i="6"/>
  <c r="CT510" i="6"/>
  <c r="CS510" i="6"/>
  <c r="CV509" i="6"/>
  <c r="CT509" i="6"/>
  <c r="CS509" i="6"/>
  <c r="CV508" i="6"/>
  <c r="CT508" i="6"/>
  <c r="CS508" i="6"/>
  <c r="CV507" i="6"/>
  <c r="CT507" i="6"/>
  <c r="CS507" i="6"/>
  <c r="CV506" i="6"/>
  <c r="CT506" i="6"/>
  <c r="CS506" i="6"/>
  <c r="CV505" i="6"/>
  <c r="CT505" i="6"/>
  <c r="CS505" i="6"/>
  <c r="CV504" i="6"/>
  <c r="CT504" i="6"/>
  <c r="CS504" i="6"/>
  <c r="CV503" i="6"/>
  <c r="CT503" i="6"/>
  <c r="CS503" i="6"/>
  <c r="CV502" i="6"/>
  <c r="CT502" i="6"/>
  <c r="CS502" i="6"/>
  <c r="CV501" i="6"/>
  <c r="CT501" i="6"/>
  <c r="CS501" i="6"/>
  <c r="CV500" i="6"/>
  <c r="CT500" i="6"/>
  <c r="CS500" i="6"/>
  <c r="CV499" i="6"/>
  <c r="CT499" i="6"/>
  <c r="CS499" i="6"/>
  <c r="CV498" i="6"/>
  <c r="CT498" i="6"/>
  <c r="CS498" i="6"/>
  <c r="CV497" i="6"/>
  <c r="CT497" i="6"/>
  <c r="CS497" i="6"/>
  <c r="CV496" i="6"/>
  <c r="CS496" i="6"/>
  <c r="CV495" i="6"/>
  <c r="CT495" i="6"/>
  <c r="CS495" i="6"/>
  <c r="CV494" i="6"/>
  <c r="CT494" i="6"/>
  <c r="CS494" i="6"/>
  <c r="CV493" i="6"/>
  <c r="CT493" i="6"/>
  <c r="CS493" i="6"/>
  <c r="CV492" i="6"/>
  <c r="CT492" i="6"/>
  <c r="CS492" i="6"/>
  <c r="CV491" i="6"/>
  <c r="CT491" i="6"/>
  <c r="CS491" i="6"/>
  <c r="CV490" i="6"/>
  <c r="CT490" i="6"/>
  <c r="CS490" i="6"/>
  <c r="CV489" i="6"/>
  <c r="CT489" i="6"/>
  <c r="CS489" i="6"/>
  <c r="CV488" i="6"/>
  <c r="CT488" i="6"/>
  <c r="CS488" i="6"/>
  <c r="CV487" i="6"/>
  <c r="CT487" i="6"/>
  <c r="CS487" i="6"/>
  <c r="CV486" i="6"/>
  <c r="CT486" i="6"/>
  <c r="CS486" i="6"/>
  <c r="CV485" i="6"/>
  <c r="CT485" i="6"/>
  <c r="CS485" i="6"/>
  <c r="CV484" i="6"/>
  <c r="CT484" i="6"/>
  <c r="CS484" i="6"/>
  <c r="CV483" i="6"/>
  <c r="CT483" i="6"/>
  <c r="CS483" i="6"/>
  <c r="CV482" i="6"/>
  <c r="CT482" i="6"/>
  <c r="CS482" i="6"/>
  <c r="CV481" i="6"/>
  <c r="CT481" i="6"/>
  <c r="CS481" i="6"/>
  <c r="CV480" i="6"/>
  <c r="CT480" i="6"/>
  <c r="CS480" i="6"/>
  <c r="CV479" i="6"/>
  <c r="CT479" i="6"/>
  <c r="CS479" i="6"/>
  <c r="CV478" i="6"/>
  <c r="CT478" i="6"/>
  <c r="CS478" i="6"/>
  <c r="CV477" i="6"/>
  <c r="CT477" i="6"/>
  <c r="CS477" i="6"/>
  <c r="CV476" i="6"/>
  <c r="CT476" i="6"/>
  <c r="CS476" i="6"/>
  <c r="CV475" i="6"/>
  <c r="CT475" i="6"/>
  <c r="CS475" i="6"/>
  <c r="CV474" i="6"/>
  <c r="CT474" i="6"/>
  <c r="CS474" i="6"/>
  <c r="CV473" i="6"/>
  <c r="CT473" i="6"/>
  <c r="CS473" i="6"/>
  <c r="CV472" i="6"/>
  <c r="CT472" i="6"/>
  <c r="CS472" i="6"/>
  <c r="CV471" i="6"/>
  <c r="CT471" i="6"/>
  <c r="CS471" i="6"/>
  <c r="CV470" i="6"/>
  <c r="CT470" i="6"/>
  <c r="CS470" i="6"/>
  <c r="CV469" i="6"/>
  <c r="CT469" i="6"/>
  <c r="CS469" i="6"/>
  <c r="CV468" i="6"/>
  <c r="CT468" i="6"/>
  <c r="CS468" i="6"/>
  <c r="CV467" i="6"/>
  <c r="CT467" i="6"/>
  <c r="CS467" i="6"/>
  <c r="CV466" i="6"/>
  <c r="CT466" i="6"/>
  <c r="CS466" i="6"/>
  <c r="CV465" i="6"/>
  <c r="CT465" i="6"/>
  <c r="CS465" i="6"/>
  <c r="CV464" i="6"/>
  <c r="CT464" i="6"/>
  <c r="CS464" i="6"/>
  <c r="CV463" i="6"/>
  <c r="CT463" i="6"/>
  <c r="CS463" i="6"/>
  <c r="CV462" i="6"/>
  <c r="CT462" i="6"/>
  <c r="CS462" i="6"/>
  <c r="CV461" i="6"/>
  <c r="CT461" i="6"/>
  <c r="CS461" i="6"/>
  <c r="CV460" i="6"/>
  <c r="CT460" i="6"/>
  <c r="CS460" i="6"/>
  <c r="CV459" i="6"/>
  <c r="CT459" i="6"/>
  <c r="CS459" i="6"/>
  <c r="CV458" i="6"/>
  <c r="CT458" i="6"/>
  <c r="CS458" i="6"/>
  <c r="CV457" i="6"/>
  <c r="CT457" i="6"/>
  <c r="CS457" i="6"/>
  <c r="CV456" i="6"/>
  <c r="CT456" i="6"/>
  <c r="CS456" i="6"/>
  <c r="CV455" i="6"/>
  <c r="CT455" i="6"/>
  <c r="CS455" i="6"/>
  <c r="CV454" i="6"/>
  <c r="CT454" i="6"/>
  <c r="CS454" i="6"/>
  <c r="CV453" i="6"/>
  <c r="CT453" i="6"/>
  <c r="CS453" i="6"/>
  <c r="CV452" i="6"/>
  <c r="CT452" i="6"/>
  <c r="CS452" i="6"/>
  <c r="CV451" i="6"/>
  <c r="CT451" i="6"/>
  <c r="CS451" i="6"/>
  <c r="CV450" i="6"/>
  <c r="CT450" i="6"/>
  <c r="CS450" i="6"/>
  <c r="CV449" i="6"/>
  <c r="CT449" i="6"/>
  <c r="CS449" i="6"/>
  <c r="CV448" i="6"/>
  <c r="CT448" i="6"/>
  <c r="CS448" i="6"/>
  <c r="CV447" i="6"/>
  <c r="CT447" i="6"/>
  <c r="CS447" i="6"/>
  <c r="CV446" i="6"/>
  <c r="CT446" i="6"/>
  <c r="CS446" i="6"/>
  <c r="CV445" i="6"/>
  <c r="CT445" i="6"/>
  <c r="CS445" i="6"/>
  <c r="CV444" i="6"/>
  <c r="CT444" i="6"/>
  <c r="CS444" i="6"/>
  <c r="CV443" i="6"/>
  <c r="CT443" i="6"/>
  <c r="CS443" i="6"/>
  <c r="CV442" i="6"/>
  <c r="CT442" i="6"/>
  <c r="CS442" i="6"/>
  <c r="CT441" i="6"/>
  <c r="CS441" i="6"/>
  <c r="CV439" i="6"/>
  <c r="CT439" i="6"/>
  <c r="CS439" i="6"/>
  <c r="CV438" i="6"/>
  <c r="CT438" i="6"/>
  <c r="CS438" i="6"/>
  <c r="CV437" i="6"/>
  <c r="CT437" i="6"/>
  <c r="CS437" i="6"/>
  <c r="CV436" i="6"/>
  <c r="CT436" i="6"/>
  <c r="CS436" i="6"/>
  <c r="CV435" i="6"/>
  <c r="CT435" i="6"/>
  <c r="CS435" i="6"/>
  <c r="CV434" i="6"/>
  <c r="CT434" i="6"/>
  <c r="CS434" i="6"/>
  <c r="CV433" i="6"/>
  <c r="CT433" i="6"/>
  <c r="CS433" i="6"/>
  <c r="CV432" i="6"/>
  <c r="CT432" i="6"/>
  <c r="CS432" i="6"/>
  <c r="CV431" i="6"/>
  <c r="CT431" i="6"/>
  <c r="CS431" i="6"/>
  <c r="CV430" i="6"/>
  <c r="CT430" i="6"/>
  <c r="CS430" i="6"/>
  <c r="CV429" i="6"/>
  <c r="CT429" i="6"/>
  <c r="CS429" i="6"/>
  <c r="CV428" i="6"/>
  <c r="CT428" i="6"/>
  <c r="CS428" i="6"/>
  <c r="CV427" i="6"/>
  <c r="CT427" i="6"/>
  <c r="CS427" i="6"/>
  <c r="CV426" i="6"/>
  <c r="CT426" i="6"/>
  <c r="CS426" i="6"/>
  <c r="CV425" i="6"/>
  <c r="CT425" i="6"/>
  <c r="CS425" i="6"/>
  <c r="CV424" i="6"/>
  <c r="CT424" i="6"/>
  <c r="CS424" i="6"/>
  <c r="CV423" i="6"/>
  <c r="CT423" i="6"/>
  <c r="CS423" i="6"/>
  <c r="CV422" i="6"/>
  <c r="CT422" i="6"/>
  <c r="CS422" i="6"/>
  <c r="CV421" i="6"/>
  <c r="CT421" i="6"/>
  <c r="CS421" i="6"/>
  <c r="CV420" i="6"/>
  <c r="CT420" i="6"/>
  <c r="CS420" i="6"/>
  <c r="CV419" i="6"/>
  <c r="CT419" i="6"/>
  <c r="CS419" i="6"/>
  <c r="CV418" i="6"/>
  <c r="CT418" i="6"/>
  <c r="CS418" i="6"/>
  <c r="CV417" i="6"/>
  <c r="CT417" i="6"/>
  <c r="CS417" i="6"/>
  <c r="CV416" i="6"/>
  <c r="CT416" i="6"/>
  <c r="CS416" i="6"/>
  <c r="CV415" i="6"/>
  <c r="CT415" i="6"/>
  <c r="CS415" i="6"/>
  <c r="CV414" i="6"/>
  <c r="CT414" i="6"/>
  <c r="CS414" i="6"/>
  <c r="CV413" i="6"/>
  <c r="CT413" i="6"/>
  <c r="CS413" i="6"/>
  <c r="CV412" i="6"/>
  <c r="CT412" i="6"/>
  <c r="CS412" i="6"/>
  <c r="CV411" i="6"/>
  <c r="CT411" i="6"/>
  <c r="CS411" i="6"/>
  <c r="CV410" i="6"/>
  <c r="CT410" i="6"/>
  <c r="CS410" i="6"/>
  <c r="CV409" i="6"/>
  <c r="CT409" i="6"/>
  <c r="CS409" i="6"/>
  <c r="CV408" i="6"/>
  <c r="CT408" i="6"/>
  <c r="CS408" i="6"/>
  <c r="CV407" i="6"/>
  <c r="CT407" i="6"/>
  <c r="CS407" i="6"/>
  <c r="CV406" i="6"/>
  <c r="CT406" i="6"/>
  <c r="CS406" i="6"/>
  <c r="CV405" i="6"/>
  <c r="CT405" i="6"/>
  <c r="CS405" i="6"/>
  <c r="CV404" i="6"/>
  <c r="CT404" i="6"/>
  <c r="CS404" i="6"/>
  <c r="CV403" i="6"/>
  <c r="CT403" i="6"/>
  <c r="CS403" i="6"/>
  <c r="CV402" i="6"/>
  <c r="CT402" i="6"/>
  <c r="CS402" i="6"/>
  <c r="CV401" i="6"/>
  <c r="CT401" i="6"/>
  <c r="CS401" i="6"/>
  <c r="CV400" i="6"/>
  <c r="CT400" i="6"/>
  <c r="CS400" i="6"/>
  <c r="CV399" i="6"/>
  <c r="CT399" i="6"/>
  <c r="CS399" i="6"/>
  <c r="CV398" i="6"/>
  <c r="CT398" i="6"/>
  <c r="CS398" i="6"/>
  <c r="CV397" i="6"/>
  <c r="CT397" i="6"/>
  <c r="CS397" i="6"/>
  <c r="CV396" i="6"/>
  <c r="CT396" i="6"/>
  <c r="CS396" i="6"/>
  <c r="CV395" i="6"/>
  <c r="CT395" i="6"/>
  <c r="CS395" i="6"/>
  <c r="CV394" i="6"/>
  <c r="CT394" i="6"/>
  <c r="CS394" i="6"/>
  <c r="CV393" i="6"/>
  <c r="CT393" i="6"/>
  <c r="CS393" i="6"/>
  <c r="CV392" i="6"/>
  <c r="CT392" i="6"/>
  <c r="CS392" i="6"/>
  <c r="CV391" i="6"/>
  <c r="CT391" i="6"/>
  <c r="CS391" i="6"/>
  <c r="CV390" i="6"/>
  <c r="CT390" i="6"/>
  <c r="CS390" i="6"/>
  <c r="CV389" i="6"/>
  <c r="CT389" i="6"/>
  <c r="CS389" i="6"/>
  <c r="CV388" i="6"/>
  <c r="CT388" i="6"/>
  <c r="CS388" i="6"/>
  <c r="CV387" i="6"/>
  <c r="CT387" i="6"/>
  <c r="CS387" i="6"/>
  <c r="CV386" i="6"/>
  <c r="CT386" i="6"/>
  <c r="CS386" i="6"/>
  <c r="CV385" i="6"/>
  <c r="CT385" i="6"/>
  <c r="CS385" i="6"/>
  <c r="CV384" i="6"/>
  <c r="CT384" i="6"/>
  <c r="CS384" i="6"/>
  <c r="CV383" i="6"/>
  <c r="CT383" i="6"/>
  <c r="CS383" i="6"/>
  <c r="CV382" i="6"/>
  <c r="CT382" i="6"/>
  <c r="CS382" i="6"/>
  <c r="CV381" i="6"/>
  <c r="CT381" i="6"/>
  <c r="CS381" i="6"/>
  <c r="CV380" i="6"/>
  <c r="CT380" i="6"/>
  <c r="CS380" i="6"/>
  <c r="CV379" i="6"/>
  <c r="CT379" i="6"/>
  <c r="CS379" i="6"/>
  <c r="CV378" i="6"/>
  <c r="CT378" i="6"/>
  <c r="CS378" i="6"/>
  <c r="CV377" i="6"/>
  <c r="CT377" i="6"/>
  <c r="CS377" i="6"/>
  <c r="CV376" i="6"/>
  <c r="CT376" i="6"/>
  <c r="CS376" i="6"/>
  <c r="CV375" i="6"/>
  <c r="CT375" i="6"/>
  <c r="CS375" i="6"/>
  <c r="CV374" i="6"/>
  <c r="CT374" i="6"/>
  <c r="CS374" i="6"/>
  <c r="CV373" i="6"/>
  <c r="CT373" i="6"/>
  <c r="CS373" i="6"/>
  <c r="CV372" i="6"/>
  <c r="CT372" i="6"/>
  <c r="CS372" i="6"/>
  <c r="CV371" i="6"/>
  <c r="CT371" i="6"/>
  <c r="CS371" i="6"/>
  <c r="CV370" i="6"/>
  <c r="CT370" i="6"/>
  <c r="CS370" i="6"/>
  <c r="CV369" i="6"/>
  <c r="CT369" i="6"/>
  <c r="CS369" i="6"/>
  <c r="CV368" i="6"/>
  <c r="CT368" i="6"/>
  <c r="CS368" i="6"/>
  <c r="CV367" i="6"/>
  <c r="CT367" i="6"/>
  <c r="CS367" i="6"/>
  <c r="CV366" i="6"/>
  <c r="CT366" i="6"/>
  <c r="CS366" i="6"/>
  <c r="CV365" i="6"/>
  <c r="CV364" i="6"/>
  <c r="CT364" i="6"/>
  <c r="CS364" i="6"/>
  <c r="CV363" i="6"/>
  <c r="CT363" i="6"/>
  <c r="CS363" i="6"/>
  <c r="CV362" i="6"/>
  <c r="CT362" i="6"/>
  <c r="CS362" i="6"/>
  <c r="CV361" i="6"/>
  <c r="CT361" i="6"/>
  <c r="CS361" i="6"/>
  <c r="CV360" i="6"/>
  <c r="CT360" i="6"/>
  <c r="CS360" i="6"/>
  <c r="CV359" i="6"/>
  <c r="CT359" i="6"/>
  <c r="CS359" i="6"/>
  <c r="CV358" i="6"/>
  <c r="CT358" i="6"/>
  <c r="CS358" i="6"/>
  <c r="CV357" i="6"/>
  <c r="CT357" i="6"/>
  <c r="CS357" i="6"/>
  <c r="CV356" i="6"/>
  <c r="CT356" i="6"/>
  <c r="CS356" i="6"/>
  <c r="CV355" i="6"/>
  <c r="CT355" i="6"/>
  <c r="CS355" i="6"/>
  <c r="CV354" i="6"/>
  <c r="CT354" i="6"/>
  <c r="CS354" i="6"/>
  <c r="CV353" i="6"/>
  <c r="CT353" i="6"/>
  <c r="CS353" i="6"/>
  <c r="CV352" i="6"/>
  <c r="CT352" i="6"/>
  <c r="CS352" i="6"/>
  <c r="CV351" i="6"/>
  <c r="CT351" i="6"/>
  <c r="CS351" i="6"/>
  <c r="CV350" i="6"/>
  <c r="CT350" i="6"/>
  <c r="CS350" i="6"/>
  <c r="CV349" i="6"/>
  <c r="CT349" i="6"/>
  <c r="CS349" i="6"/>
  <c r="CV348" i="6"/>
  <c r="CT348" i="6"/>
  <c r="CS348" i="6"/>
  <c r="CV347" i="6"/>
  <c r="CT347" i="6"/>
  <c r="CS347" i="6"/>
  <c r="CV346" i="6"/>
  <c r="CT346" i="6"/>
  <c r="CS346" i="6"/>
  <c r="CV345" i="6"/>
  <c r="CT345" i="6"/>
  <c r="CS345" i="6"/>
  <c r="CV344" i="6"/>
  <c r="CT344" i="6"/>
  <c r="CS344" i="6"/>
  <c r="CV343" i="6"/>
  <c r="CT343" i="6"/>
  <c r="CS343" i="6"/>
  <c r="CV342" i="6"/>
  <c r="CT342" i="6"/>
  <c r="CS342" i="6"/>
  <c r="CV341" i="6"/>
  <c r="CT341" i="6"/>
  <c r="CS341" i="6"/>
  <c r="CV340" i="6"/>
  <c r="CT340" i="6"/>
  <c r="CS340" i="6"/>
  <c r="CV339" i="6"/>
  <c r="CS339" i="6"/>
  <c r="CV338" i="6"/>
  <c r="CT338" i="6"/>
  <c r="CS338" i="6"/>
  <c r="CV337" i="6"/>
  <c r="CT337" i="6"/>
  <c r="CS337" i="6"/>
  <c r="CV336" i="6"/>
  <c r="CT336" i="6"/>
  <c r="CS336" i="6"/>
  <c r="CV335" i="6"/>
  <c r="CT335" i="6"/>
  <c r="CS335" i="6"/>
  <c r="CV334" i="6"/>
  <c r="CT334" i="6"/>
  <c r="CS334" i="6"/>
  <c r="CV333" i="6"/>
  <c r="CT333" i="6"/>
  <c r="CS333" i="6"/>
  <c r="CV332" i="6"/>
  <c r="CT332" i="6"/>
  <c r="CS332" i="6"/>
  <c r="CV331" i="6"/>
  <c r="CT331" i="6"/>
  <c r="CS331" i="6"/>
  <c r="CV330" i="6"/>
  <c r="CT330" i="6"/>
  <c r="CS330" i="6"/>
  <c r="CV329" i="6"/>
  <c r="CT329" i="6"/>
  <c r="CS329" i="6"/>
  <c r="CV328" i="6"/>
  <c r="CT328" i="6"/>
  <c r="CS328" i="6"/>
  <c r="CV327" i="6"/>
  <c r="CT327" i="6"/>
  <c r="CS327" i="6"/>
  <c r="CV326" i="6"/>
  <c r="CT326" i="6"/>
  <c r="CS326" i="6"/>
  <c r="CV325" i="6"/>
  <c r="CT325" i="6"/>
  <c r="CS325" i="6"/>
  <c r="CV324" i="6"/>
  <c r="CT324" i="6"/>
  <c r="CS324" i="6"/>
  <c r="CV323" i="6"/>
  <c r="CT323" i="6"/>
  <c r="CS323" i="6"/>
  <c r="CV322" i="6"/>
  <c r="CT322" i="6"/>
  <c r="CS322" i="6"/>
  <c r="CV321" i="6"/>
  <c r="CT321" i="6"/>
  <c r="CS321" i="6"/>
  <c r="CV320" i="6"/>
  <c r="CT320" i="6"/>
  <c r="CS320" i="6"/>
  <c r="CV319" i="6"/>
  <c r="CT319" i="6"/>
  <c r="CS319" i="6"/>
  <c r="CV318" i="6"/>
  <c r="CT318" i="6"/>
  <c r="CS318" i="6"/>
  <c r="CV317" i="6"/>
  <c r="CT317" i="6"/>
  <c r="CS317" i="6"/>
  <c r="CV316" i="6"/>
  <c r="CT316" i="6"/>
  <c r="CS316" i="6"/>
  <c r="CV315" i="6"/>
  <c r="CT315" i="6"/>
  <c r="CS315" i="6"/>
  <c r="CV314" i="6"/>
  <c r="CT314" i="6"/>
  <c r="CS314" i="6"/>
  <c r="CV313" i="6"/>
  <c r="CS313" i="6"/>
  <c r="CV312" i="6"/>
  <c r="CT312" i="6"/>
  <c r="CS312" i="6"/>
  <c r="CV311" i="6"/>
  <c r="CT311" i="6"/>
  <c r="CS311" i="6"/>
  <c r="CV310" i="6"/>
  <c r="CT310" i="6"/>
  <c r="CS310" i="6"/>
  <c r="CV309" i="6"/>
  <c r="CT309" i="6"/>
  <c r="CS309" i="6"/>
  <c r="CV308" i="6"/>
  <c r="CT308" i="6"/>
  <c r="CS308" i="6"/>
  <c r="CV307" i="6"/>
  <c r="CT307" i="6"/>
  <c r="CS307" i="6"/>
  <c r="CV306" i="6"/>
  <c r="CT306" i="6"/>
  <c r="CS306" i="6"/>
  <c r="CV305" i="6"/>
  <c r="CT305" i="6"/>
  <c r="CS305" i="6"/>
  <c r="CV304" i="6"/>
  <c r="CT304" i="6"/>
  <c r="CS304" i="6"/>
  <c r="CV303" i="6"/>
  <c r="CT303" i="6"/>
  <c r="CS303" i="6"/>
  <c r="CV302" i="6"/>
  <c r="CT302" i="6"/>
  <c r="CS302" i="6"/>
  <c r="CV301" i="6"/>
  <c r="CS301" i="6"/>
  <c r="CV300" i="6"/>
  <c r="CT300" i="6"/>
  <c r="CS300" i="6"/>
  <c r="CV299" i="6"/>
  <c r="CT299" i="6"/>
  <c r="CS299" i="6"/>
  <c r="CV298" i="6"/>
  <c r="CT298" i="6"/>
  <c r="CS298" i="6"/>
  <c r="CV297" i="6"/>
  <c r="CT297" i="6"/>
  <c r="CS297" i="6"/>
  <c r="CV296" i="6"/>
  <c r="CT296" i="6"/>
  <c r="CS296" i="6"/>
  <c r="CV295" i="6"/>
  <c r="CT295" i="6"/>
  <c r="CS295" i="6"/>
  <c r="CV294" i="6"/>
  <c r="CT294" i="6"/>
  <c r="CS294" i="6"/>
  <c r="CV293" i="6"/>
  <c r="CT293" i="6"/>
  <c r="CS293" i="6"/>
  <c r="CV292" i="6"/>
  <c r="CT292" i="6"/>
  <c r="CS292" i="6"/>
  <c r="CV291" i="6"/>
  <c r="CT291" i="6"/>
  <c r="CS291" i="6"/>
  <c r="CV290" i="6"/>
  <c r="CT290" i="6"/>
  <c r="CS290" i="6"/>
  <c r="CV289" i="6"/>
  <c r="CT289" i="6"/>
  <c r="CS289" i="6"/>
  <c r="CV288" i="6"/>
  <c r="CT288" i="6"/>
  <c r="CS288" i="6"/>
  <c r="CV287" i="6"/>
  <c r="CS287" i="6"/>
  <c r="CV286" i="6"/>
  <c r="CS286" i="6"/>
  <c r="CV285" i="6"/>
  <c r="CS285" i="6"/>
  <c r="CV284" i="6"/>
  <c r="CS284" i="6"/>
  <c r="CV283" i="6"/>
  <c r="CS283" i="6"/>
  <c r="CV282" i="6"/>
  <c r="CS282" i="6"/>
  <c r="CV281" i="6"/>
  <c r="CS281" i="6"/>
  <c r="CV280" i="6"/>
  <c r="CT280" i="6"/>
  <c r="CS280" i="6"/>
  <c r="CV279" i="6"/>
  <c r="CS279" i="6"/>
  <c r="CV278" i="6"/>
  <c r="CS278" i="6"/>
  <c r="CV277" i="6"/>
  <c r="CS277" i="6"/>
  <c r="CV276" i="6"/>
  <c r="CT276" i="6"/>
  <c r="CS276" i="6"/>
  <c r="CV275" i="6"/>
  <c r="CT275" i="6"/>
  <c r="CS275" i="6"/>
  <c r="CV274" i="6"/>
  <c r="CT274" i="6"/>
  <c r="CS274" i="6"/>
  <c r="CV273" i="6"/>
  <c r="CT273" i="6"/>
  <c r="CS273" i="6"/>
  <c r="CV272" i="6"/>
  <c r="CT272" i="6"/>
  <c r="CS272" i="6"/>
  <c r="CV271" i="6"/>
  <c r="CT271" i="6"/>
  <c r="CS271" i="6"/>
  <c r="CV270" i="6"/>
  <c r="CT270" i="6"/>
  <c r="CS270" i="6"/>
  <c r="CV269" i="6"/>
  <c r="CT269" i="6"/>
  <c r="CS269" i="6"/>
  <c r="CV268" i="6"/>
  <c r="CT268" i="6"/>
  <c r="CS268" i="6"/>
  <c r="CV267" i="6"/>
  <c r="CT267" i="6"/>
  <c r="CS267" i="6"/>
  <c r="CV266" i="6"/>
  <c r="CT266" i="6"/>
  <c r="CS266" i="6"/>
  <c r="CV265" i="6"/>
  <c r="CT265" i="6"/>
  <c r="CS265" i="6"/>
  <c r="CV264" i="6"/>
  <c r="CT264" i="6"/>
  <c r="CS264" i="6"/>
  <c r="CV263" i="6"/>
  <c r="CT263" i="6"/>
  <c r="CS263" i="6"/>
  <c r="CV262" i="6"/>
  <c r="CT262" i="6"/>
  <c r="CS262" i="6"/>
  <c r="CV261" i="6"/>
  <c r="CT261" i="6"/>
  <c r="CS261" i="6"/>
  <c r="CV260" i="6"/>
  <c r="CT260" i="6"/>
  <c r="CS260" i="6"/>
  <c r="CV259" i="6"/>
  <c r="CT259" i="6"/>
  <c r="CS259" i="6"/>
  <c r="CV258" i="6"/>
  <c r="CT258" i="6"/>
  <c r="CS258" i="6"/>
  <c r="CV257" i="6"/>
  <c r="CT257" i="6"/>
  <c r="CS257" i="6"/>
  <c r="CV256" i="6"/>
  <c r="CT256" i="6"/>
  <c r="CS256" i="6"/>
  <c r="CV255" i="6"/>
  <c r="CT255" i="6"/>
  <c r="CS255" i="6"/>
  <c r="CV254" i="6"/>
  <c r="CT254" i="6"/>
  <c r="CS254" i="6"/>
  <c r="CV253" i="6"/>
  <c r="CT253" i="6"/>
  <c r="CS253" i="6"/>
  <c r="CV252" i="6"/>
  <c r="CT252" i="6"/>
  <c r="CS252" i="6"/>
  <c r="CV251" i="6"/>
  <c r="CT251" i="6"/>
  <c r="CS251" i="6"/>
  <c r="CV250" i="6"/>
  <c r="CT250" i="6"/>
  <c r="CS250" i="6"/>
  <c r="CV249" i="6"/>
  <c r="CT249" i="6"/>
  <c r="CS249" i="6"/>
  <c r="CV248" i="6"/>
  <c r="CT248" i="6"/>
  <c r="CS248" i="6"/>
  <c r="CV247" i="6"/>
  <c r="CT247" i="6"/>
  <c r="CS247" i="6"/>
  <c r="CV246" i="6"/>
  <c r="CT246" i="6"/>
  <c r="CS246" i="6"/>
  <c r="CV245" i="6"/>
  <c r="CT245" i="6"/>
  <c r="CS245" i="6"/>
  <c r="CV244" i="6"/>
  <c r="CT244" i="6"/>
  <c r="CS244" i="6"/>
  <c r="CV243" i="6"/>
  <c r="CT243" i="6"/>
  <c r="CS243" i="6"/>
  <c r="CV242" i="6"/>
  <c r="CT242" i="6"/>
  <c r="CS242" i="6"/>
  <c r="CV241" i="6"/>
  <c r="CT241" i="6"/>
  <c r="CS241" i="6"/>
  <c r="CV240" i="6"/>
  <c r="CT240" i="6"/>
  <c r="CS240" i="6"/>
  <c r="CV239" i="6"/>
  <c r="CT239" i="6"/>
  <c r="CS239" i="6"/>
  <c r="CV238" i="6"/>
  <c r="CT238" i="6"/>
  <c r="CS238" i="6"/>
  <c r="CV237" i="6"/>
  <c r="CT237" i="6"/>
  <c r="CS237" i="6"/>
  <c r="CV236" i="6"/>
  <c r="CT236" i="6"/>
  <c r="CS236" i="6"/>
  <c r="CV235" i="6"/>
  <c r="CT235" i="6"/>
  <c r="CS235" i="6"/>
  <c r="CV234" i="6"/>
  <c r="CT234" i="6"/>
  <c r="CS234" i="6"/>
  <c r="CV233" i="6"/>
  <c r="CT233" i="6"/>
  <c r="CS233" i="6"/>
  <c r="CV232" i="6"/>
  <c r="CT232" i="6"/>
  <c r="CS232" i="6"/>
  <c r="CV231" i="6"/>
  <c r="CT231" i="6"/>
  <c r="CS231" i="6"/>
  <c r="CV230" i="6"/>
  <c r="CT230" i="6"/>
  <c r="CS230" i="6"/>
  <c r="CV229" i="6"/>
  <c r="CT229" i="6"/>
  <c r="CS229" i="6"/>
  <c r="CV228" i="6"/>
  <c r="CT228" i="6"/>
  <c r="CS228" i="6"/>
  <c r="CV227" i="6"/>
  <c r="CT227" i="6"/>
  <c r="CS227" i="6"/>
  <c r="CV226" i="6"/>
  <c r="CT226" i="6"/>
  <c r="CS226" i="6"/>
  <c r="CV225" i="6"/>
  <c r="CT225" i="6"/>
  <c r="CS225" i="6"/>
  <c r="CV224" i="6"/>
  <c r="CT224" i="6"/>
  <c r="CS224" i="6"/>
  <c r="CV223" i="6"/>
  <c r="CT223" i="6"/>
  <c r="CS223" i="6"/>
  <c r="CV22" i="6"/>
  <c r="CT22" i="6"/>
  <c r="CS22" i="6"/>
  <c r="CV21" i="6"/>
  <c r="CT21" i="6"/>
  <c r="CS21" i="6"/>
  <c r="CV20" i="6"/>
  <c r="CT20" i="6"/>
  <c r="CS20" i="6"/>
  <c r="CV19" i="6"/>
  <c r="CT19" i="6"/>
  <c r="CS19" i="6"/>
  <c r="CV18" i="6"/>
  <c r="CT18" i="6"/>
  <c r="CS18" i="6"/>
  <c r="CV17" i="6"/>
  <c r="CT17" i="6"/>
  <c r="CS17" i="6"/>
  <c r="CV16" i="6"/>
  <c r="CT16" i="6"/>
  <c r="CS16" i="6"/>
  <c r="CV15" i="6"/>
  <c r="CT15" i="6"/>
  <c r="CS15" i="6"/>
  <c r="CV14" i="6"/>
  <c r="CT14" i="6"/>
  <c r="CS14" i="6"/>
  <c r="CV13" i="6"/>
  <c r="CT13" i="6"/>
  <c r="CS13" i="6"/>
  <c r="CV12" i="6"/>
  <c r="CT12" i="6"/>
  <c r="CS12" i="6"/>
  <c r="CV11" i="6"/>
  <c r="CT11" i="6"/>
  <c r="CS11" i="6"/>
  <c r="CV10" i="6"/>
  <c r="CT10" i="6"/>
  <c r="CS10" i="6"/>
  <c r="CV9" i="6"/>
  <c r="CT9" i="6"/>
  <c r="CS9" i="6"/>
  <c r="CV8" i="6"/>
  <c r="CT8" i="6"/>
  <c r="CS8" i="6"/>
  <c r="CV7" i="6"/>
  <c r="CT7" i="6"/>
  <c r="CS7" i="6"/>
  <c r="CV6" i="6"/>
  <c r="CT6" i="6"/>
  <c r="CS6" i="6"/>
  <c r="CV5" i="6"/>
  <c r="CT5" i="6"/>
  <c r="CS5" i="6"/>
  <c r="CV4" i="6"/>
  <c r="CT4" i="6"/>
  <c r="CS4" i="6"/>
  <c r="CT3" i="6"/>
  <c r="CS3" i="6"/>
  <c r="CV2" i="6"/>
  <c r="CS2" i="6"/>
  <c r="CT2" i="6"/>
  <c r="CU2556" i="6" l="1"/>
  <c r="CU2546" i="6"/>
  <c r="CU2563" i="6"/>
  <c r="CU2540" i="6"/>
  <c r="CU2565" i="6"/>
  <c r="CU2549" i="6"/>
  <c r="CU2543" i="6"/>
  <c r="CU2559" i="6"/>
  <c r="CU2564" i="6"/>
  <c r="CU2551" i="6"/>
  <c r="CU2547" i="6"/>
  <c r="CU2566" i="6"/>
  <c r="CU2561" i="6"/>
  <c r="CU2550" i="6"/>
  <c r="CU2555" i="6"/>
  <c r="CU2560" i="6"/>
  <c r="CU2554" i="6"/>
  <c r="CU2542" i="6"/>
  <c r="CU2552" i="6"/>
  <c r="CU2544" i="6"/>
  <c r="CU1765" i="6"/>
  <c r="CU2568" i="6"/>
  <c r="CU2558" i="6"/>
  <c r="CU2553" i="6"/>
  <c r="CU2548" i="6"/>
  <c r="CU2567" i="6"/>
  <c r="CU2562" i="6"/>
  <c r="CU2557" i="6"/>
  <c r="CU2541" i="6"/>
  <c r="CU2545" i="6"/>
  <c r="CU1762" i="6"/>
  <c r="CU1849" i="6"/>
  <c r="CU1845" i="6"/>
  <c r="CU1837" i="6"/>
  <c r="CU1833" i="6"/>
  <c r="CU1825" i="6"/>
  <c r="CU1821" i="6"/>
  <c r="CU1813" i="6"/>
  <c r="CU1809" i="6"/>
  <c r="CU1801" i="6"/>
  <c r="CU1797" i="6"/>
  <c r="CU1785" i="6"/>
  <c r="CU1773" i="6"/>
  <c r="CU1769" i="6"/>
  <c r="CU1844" i="6"/>
  <c r="CU1832" i="6"/>
  <c r="CU1820" i="6"/>
  <c r="CU1808" i="6"/>
  <c r="CU1796" i="6"/>
  <c r="CU1792" i="6"/>
  <c r="CU1784" i="6"/>
  <c r="CU1775" i="6"/>
  <c r="CU1771" i="6"/>
  <c r="CU3614" i="6"/>
  <c r="CU1782" i="6"/>
  <c r="CU1766" i="6"/>
  <c r="CU1761" i="6"/>
  <c r="CU1776" i="6"/>
  <c r="CU1772" i="6"/>
  <c r="CU1843" i="6"/>
  <c r="CU1839" i="6"/>
  <c r="CU1831" i="6"/>
  <c r="CU1827" i="6"/>
  <c r="CU1819" i="6"/>
  <c r="CU1815" i="6"/>
  <c r="CU1807" i="6"/>
  <c r="CU1803" i="6"/>
  <c r="CU1795" i="6"/>
  <c r="CU1791" i="6"/>
  <c r="CU1779" i="6"/>
  <c r="CU1850" i="6"/>
  <c r="CU1838" i="6"/>
  <c r="CU1826" i="6"/>
  <c r="CU1814" i="6"/>
  <c r="CU1802" i="6"/>
  <c r="CU1790" i="6"/>
  <c r="CU1786" i="6"/>
  <c r="CU1774" i="6"/>
  <c r="CU1781" i="6"/>
  <c r="CU1777" i="6"/>
  <c r="CU1767" i="6"/>
  <c r="CU1770" i="6"/>
  <c r="CU1846" i="6"/>
  <c r="CU1842" i="6"/>
  <c r="CU1834" i="6"/>
  <c r="CU1830" i="6"/>
  <c r="CU1822" i="6"/>
  <c r="CU1818" i="6"/>
  <c r="CU1810" i="6"/>
  <c r="CU1806" i="6"/>
  <c r="CU1798" i="6"/>
  <c r="CU1794" i="6"/>
  <c r="CU1778" i="6"/>
  <c r="CU1841" i="6"/>
  <c r="CU1829" i="6"/>
  <c r="CU1817" i="6"/>
  <c r="CU1805" i="6"/>
  <c r="CU1793" i="6"/>
  <c r="CU1789" i="6"/>
  <c r="CU1848" i="6"/>
  <c r="CU1840" i="6"/>
  <c r="CU1836" i="6"/>
  <c r="CU1828" i="6"/>
  <c r="CU1824" i="6"/>
  <c r="CU1816" i="6"/>
  <c r="CU1812" i="6"/>
  <c r="CU1804" i="6"/>
  <c r="CU1800" i="6"/>
  <c r="CU1788" i="6"/>
  <c r="CU1780" i="6"/>
  <c r="CU1847" i="6"/>
  <c r="CU1835" i="6"/>
  <c r="CU1823" i="6"/>
  <c r="CU1811" i="6"/>
  <c r="CU1799" i="6"/>
  <c r="CU1787" i="6"/>
  <c r="CU1783" i="6"/>
  <c r="CU1768" i="6"/>
  <c r="CU3611" i="6"/>
  <c r="CU3617" i="6"/>
  <c r="CU3623" i="6"/>
  <c r="CU3612" i="6"/>
  <c r="CU440" i="6"/>
  <c r="CU3616" i="6"/>
  <c r="CU3622" i="6"/>
  <c r="CU3610" i="6"/>
  <c r="CU3613" i="6"/>
  <c r="CU3606" i="6"/>
  <c r="CU3618" i="6"/>
  <c r="CU3607" i="6"/>
  <c r="CU3619" i="6"/>
  <c r="CU3608" i="6"/>
  <c r="CU3620" i="6"/>
  <c r="CU3609" i="6"/>
  <c r="CU3615" i="6"/>
  <c r="CU3621" i="6"/>
  <c r="CU3605" i="6"/>
  <c r="CU2596" i="6"/>
  <c r="CU83" i="6"/>
  <c r="CU82" i="6"/>
  <c r="CU89" i="6"/>
  <c r="CU92" i="6"/>
  <c r="CU88" i="6"/>
  <c r="CU84" i="6"/>
  <c r="CU90" i="6"/>
  <c r="CU85" i="6"/>
  <c r="CU87" i="6"/>
  <c r="CU86" i="6"/>
  <c r="CU93" i="6"/>
  <c r="CS1079" i="6"/>
  <c r="CU91" i="6"/>
  <c r="CU2738" i="6"/>
  <c r="CU2063" i="6"/>
  <c r="CU2087" i="6"/>
  <c r="CU2273" i="6"/>
  <c r="CU2762" i="6"/>
  <c r="CU2200" i="6"/>
  <c r="CU2281" i="6"/>
  <c r="CU2289" i="6"/>
  <c r="CU2724" i="6"/>
  <c r="CU2032" i="6"/>
  <c r="CU2215" i="6"/>
  <c r="CU2219" i="6"/>
  <c r="CU2223" i="6"/>
  <c r="CU2227" i="6"/>
  <c r="CU2239" i="6"/>
  <c r="CU3548" i="6"/>
  <c r="CU2832" i="6"/>
  <c r="CU2840" i="6"/>
  <c r="CU2997" i="6"/>
  <c r="CU3001" i="6"/>
  <c r="CU3540" i="6"/>
  <c r="CU3564" i="6"/>
  <c r="CU40" i="6"/>
  <c r="CU44" i="6"/>
  <c r="CU52" i="6"/>
  <c r="CU56" i="6"/>
  <c r="CU64" i="6"/>
  <c r="CU68" i="6"/>
  <c r="CU76" i="6"/>
  <c r="CU208" i="6"/>
  <c r="CU212" i="6"/>
  <c r="CU220" i="6"/>
  <c r="CU2801" i="6"/>
  <c r="CU2813" i="6"/>
  <c r="CU2084" i="6"/>
  <c r="CU2673" i="6"/>
  <c r="CU2682" i="6"/>
  <c r="CU2608" i="6"/>
  <c r="CU100" i="6"/>
  <c r="CU104" i="6"/>
  <c r="CU546" i="6"/>
  <c r="CU550" i="6"/>
  <c r="CU558" i="6"/>
  <c r="CU570" i="6"/>
  <c r="CU574" i="6"/>
  <c r="CU582" i="6"/>
  <c r="CU681" i="6"/>
  <c r="CU685" i="6"/>
  <c r="CU292" i="6"/>
  <c r="CU2684" i="6"/>
  <c r="CU2589" i="6"/>
  <c r="CU1654" i="6"/>
  <c r="CU1690" i="6"/>
  <c r="CU1694" i="6"/>
  <c r="CU1710" i="6"/>
  <c r="CU2240" i="6"/>
  <c r="CU1282" i="6"/>
  <c r="CU2664" i="6"/>
  <c r="CU3637" i="6"/>
  <c r="CU3645" i="6"/>
  <c r="CU3649" i="6"/>
  <c r="CU119" i="6"/>
  <c r="CU2913" i="6"/>
  <c r="CU3139" i="6"/>
  <c r="CU3181" i="6"/>
  <c r="CU729" i="6"/>
  <c r="CU750" i="6"/>
  <c r="CU754" i="6"/>
  <c r="CU762" i="6"/>
  <c r="CU2822" i="6"/>
  <c r="CU693" i="6"/>
  <c r="CU3486" i="6"/>
  <c r="CU43" i="6"/>
  <c r="CU55" i="6"/>
  <c r="CU71" i="6"/>
  <c r="CU3151" i="6"/>
  <c r="CU3195" i="6"/>
  <c r="CU3258" i="6"/>
  <c r="CU3274" i="6"/>
  <c r="CU3376" i="6"/>
  <c r="CU3659" i="6"/>
  <c r="CU1291" i="6"/>
  <c r="CU1283" i="6"/>
  <c r="CU2872" i="6"/>
  <c r="CU2581" i="6"/>
  <c r="CU1985" i="6"/>
  <c r="CU1989" i="6"/>
  <c r="CU2022" i="6"/>
  <c r="CU858" i="6"/>
  <c r="CU862" i="6"/>
  <c r="CU886" i="6"/>
  <c r="CU1003" i="6"/>
  <c r="CU2037" i="6"/>
  <c r="CU2066" i="6"/>
  <c r="CU2070" i="6"/>
  <c r="CU2082" i="6"/>
  <c r="CU2183" i="6"/>
  <c r="CU1326" i="6"/>
  <c r="CU1334" i="6"/>
  <c r="CU217" i="6"/>
  <c r="CU221" i="6"/>
  <c r="CU753" i="6"/>
  <c r="CU761" i="6"/>
  <c r="CU1651" i="6"/>
  <c r="CU1683" i="6"/>
  <c r="CU1687" i="6"/>
  <c r="CU1719" i="6"/>
  <c r="CU1098" i="6"/>
  <c r="CU1102" i="6"/>
  <c r="CU1142" i="6"/>
  <c r="CU1150" i="6"/>
  <c r="CU1154" i="6"/>
  <c r="CU1166" i="6"/>
  <c r="CU1170" i="6"/>
  <c r="CU1976" i="6"/>
  <c r="CU1380" i="6"/>
  <c r="CU2242" i="6"/>
  <c r="CU3020" i="6"/>
  <c r="CU759" i="6"/>
  <c r="CU763" i="6"/>
  <c r="CU1070" i="6"/>
  <c r="CU1078" i="6"/>
  <c r="CU1123" i="6"/>
  <c r="CU1131" i="6"/>
  <c r="CU1135" i="6"/>
  <c r="CU2316" i="6"/>
  <c r="CU2324" i="6"/>
  <c r="CU2360" i="6"/>
  <c r="CU2688" i="6"/>
  <c r="CU2692" i="6"/>
  <c r="CU2696" i="6"/>
  <c r="CU2700" i="6"/>
  <c r="CU2964" i="6"/>
  <c r="CU3680" i="6"/>
  <c r="CU3684" i="6"/>
  <c r="CU3692" i="6"/>
  <c r="CU3696" i="6"/>
  <c r="CU238" i="6"/>
  <c r="CU302" i="6"/>
  <c r="CU306" i="6"/>
  <c r="CU310" i="6"/>
  <c r="CU1007" i="6"/>
  <c r="CU1011" i="6"/>
  <c r="CU1051" i="6"/>
  <c r="CU1059" i="6"/>
  <c r="CU1063" i="6"/>
  <c r="CU1104" i="6"/>
  <c r="CU1112" i="6"/>
  <c r="CU1116" i="6"/>
  <c r="CU1120" i="6"/>
  <c r="CU1132" i="6"/>
  <c r="CU1136" i="6"/>
  <c r="CU1205" i="6"/>
  <c r="CU1273" i="6"/>
  <c r="CU1277" i="6"/>
  <c r="CU323" i="6"/>
  <c r="CU1072" i="6"/>
  <c r="CU1569" i="6"/>
  <c r="CU2717" i="6"/>
  <c r="CU2721" i="6"/>
  <c r="CU2961" i="6"/>
  <c r="CU3032" i="6"/>
  <c r="CU3468" i="6"/>
  <c r="CU110" i="6"/>
  <c r="CU114" i="6"/>
  <c r="CU159" i="6"/>
  <c r="CU177" i="6"/>
  <c r="CU374" i="6"/>
  <c r="CU1347" i="6"/>
  <c r="CU1355" i="6"/>
  <c r="CU1359" i="6"/>
  <c r="CU1367" i="6"/>
  <c r="CU1371" i="6"/>
  <c r="CU1375" i="6"/>
  <c r="CU1379" i="6"/>
  <c r="CU1399" i="6"/>
  <c r="CU3349" i="6"/>
  <c r="CU324" i="6"/>
  <c r="CU2592" i="6"/>
  <c r="CU2690" i="6"/>
  <c r="CU2694" i="6"/>
  <c r="CU2706" i="6"/>
  <c r="CU2710" i="6"/>
  <c r="CU2926" i="6"/>
  <c r="CU3273" i="6"/>
  <c r="CU1920" i="6"/>
  <c r="CU1940" i="6"/>
  <c r="CU2649" i="6"/>
  <c r="CU3559" i="6"/>
  <c r="CU3595" i="6"/>
  <c r="CU353" i="6"/>
  <c r="CU401" i="6"/>
  <c r="CU405" i="6"/>
  <c r="CU413" i="6"/>
  <c r="CU417" i="6"/>
  <c r="CU1308" i="6"/>
  <c r="CU1344" i="6"/>
  <c r="CU2955" i="6"/>
  <c r="CU2959" i="6"/>
  <c r="CU1677" i="6"/>
  <c r="CU270" i="6"/>
  <c r="CU274" i="6"/>
  <c r="CU314" i="6"/>
  <c r="CU318" i="6"/>
  <c r="CU326" i="6"/>
  <c r="CU1389" i="6"/>
  <c r="CU1393" i="6"/>
  <c r="CU1551" i="6"/>
  <c r="CU1555" i="6"/>
  <c r="CU1572" i="6"/>
  <c r="CU1611" i="6"/>
  <c r="CU2081" i="6"/>
  <c r="CU2658" i="6"/>
  <c r="CU3413" i="6"/>
  <c r="CU2744" i="6"/>
  <c r="CU2882" i="6"/>
  <c r="CU2894" i="6"/>
  <c r="CU3031" i="6"/>
  <c r="CU3303" i="6"/>
  <c r="CU3307" i="6"/>
  <c r="CU3447" i="6"/>
  <c r="CU3483" i="6"/>
  <c r="CU859" i="6"/>
  <c r="CU1974" i="6"/>
  <c r="CU1982" i="6"/>
  <c r="CU1994" i="6"/>
  <c r="CU2304" i="6"/>
  <c r="CU2386" i="6"/>
  <c r="CU2394" i="6"/>
  <c r="CU2398" i="6"/>
  <c r="CU2406" i="6"/>
  <c r="CU2410" i="6"/>
  <c r="CU2422" i="6"/>
  <c r="CU2442" i="6"/>
  <c r="CU2458" i="6"/>
  <c r="CU2494" i="6"/>
  <c r="CU3352" i="6"/>
  <c r="CU3385" i="6"/>
  <c r="CU879" i="6"/>
  <c r="CU621" i="6"/>
  <c r="CU684" i="6"/>
  <c r="CU1097" i="6"/>
  <c r="CU1101" i="6"/>
  <c r="CU1866" i="6"/>
  <c r="CU1874" i="6"/>
  <c r="CU1910" i="6"/>
  <c r="CU1946" i="6"/>
  <c r="CU1970" i="6"/>
  <c r="CU2228" i="6"/>
  <c r="CU2236" i="6"/>
  <c r="CU2825" i="6"/>
  <c r="CU3430" i="6"/>
  <c r="CU3509" i="6"/>
  <c r="CU3525" i="6"/>
  <c r="CU3533" i="6"/>
  <c r="CU3573" i="6"/>
  <c r="CU77" i="6"/>
  <c r="CU248" i="6"/>
  <c r="CU252" i="6"/>
  <c r="CU256" i="6"/>
  <c r="CU260" i="6"/>
  <c r="CU264" i="6"/>
  <c r="CU268" i="6"/>
  <c r="CU514" i="6"/>
  <c r="CU1557" i="6"/>
  <c r="CU1574" i="6"/>
  <c r="CU1605" i="6"/>
  <c r="CU1609" i="6"/>
  <c r="CU1638" i="6"/>
  <c r="CU2685" i="6"/>
  <c r="CU3292" i="6"/>
  <c r="CU3296" i="6"/>
  <c r="CU3300" i="6"/>
  <c r="CU3394" i="6"/>
  <c r="CU3498" i="6"/>
  <c r="CU3534" i="6"/>
  <c r="CU3570" i="6"/>
  <c r="CU3582" i="6"/>
  <c r="CU3594" i="6"/>
  <c r="CU3625" i="6"/>
  <c r="CU2620" i="6"/>
  <c r="CU3033" i="6"/>
  <c r="CU3341" i="6"/>
  <c r="CU3449" i="6"/>
  <c r="CU3473" i="6"/>
  <c r="CU3485" i="6"/>
  <c r="CU967" i="6"/>
  <c r="CU1713" i="6"/>
  <c r="CU462" i="6"/>
  <c r="CU466" i="6"/>
  <c r="CU474" i="6"/>
  <c r="CU1701" i="6"/>
  <c r="CU1183" i="6"/>
  <c r="CU2677" i="6"/>
  <c r="CU2835" i="6"/>
  <c r="CU2847" i="6"/>
  <c r="CU2851" i="6"/>
  <c r="CU867" i="6"/>
  <c r="CU975" i="6"/>
  <c r="CU309" i="6"/>
  <c r="CU825" i="6"/>
  <c r="CU1412" i="6"/>
  <c r="CU1416" i="6"/>
  <c r="CU1732" i="6"/>
  <c r="CU1964" i="6"/>
  <c r="CU2173" i="6"/>
  <c r="CU2230" i="6"/>
  <c r="CU1321" i="6"/>
  <c r="CU1325" i="6"/>
  <c r="CU1329" i="6"/>
  <c r="CU1333" i="6"/>
  <c r="CU2307" i="6"/>
  <c r="CU2347" i="6"/>
  <c r="CU3034" i="6"/>
  <c r="CU3322" i="6"/>
  <c r="CU3326" i="6"/>
  <c r="CU3330" i="6"/>
  <c r="CU3334" i="6"/>
  <c r="CU171" i="6"/>
  <c r="CU183" i="6"/>
  <c r="CU207" i="6"/>
  <c r="CU219" i="6"/>
  <c r="CU376" i="6"/>
  <c r="CU384" i="6"/>
  <c r="CU388" i="6"/>
  <c r="CU392" i="6"/>
  <c r="CU396" i="6"/>
  <c r="CU428" i="6"/>
  <c r="CU432" i="6"/>
  <c r="CU436" i="6"/>
  <c r="CU1236" i="6"/>
  <c r="CU1248" i="6"/>
  <c r="CU1272" i="6"/>
  <c r="CU1276" i="6"/>
  <c r="CU1356" i="6"/>
  <c r="CU2102" i="6"/>
  <c r="CU2106" i="6"/>
  <c r="CU2114" i="6"/>
  <c r="CU2158" i="6"/>
  <c r="CU2191" i="6"/>
  <c r="CU2203" i="6"/>
  <c r="CU2621" i="6"/>
  <c r="CU2629" i="6"/>
  <c r="CU2633" i="6"/>
  <c r="CU2637" i="6"/>
  <c r="CU2665" i="6"/>
  <c r="CU2810" i="6"/>
  <c r="CU3019" i="6"/>
  <c r="CU94" i="6"/>
  <c r="CU992" i="6"/>
  <c r="CU3313" i="6"/>
  <c r="CU3321" i="6"/>
  <c r="CU3325" i="6"/>
  <c r="CU3419" i="6"/>
  <c r="CU3423" i="6"/>
  <c r="CU296" i="6"/>
  <c r="CU300" i="6"/>
  <c r="CU304" i="6"/>
  <c r="CU709" i="6"/>
  <c r="CU811" i="6"/>
  <c r="CU832" i="6"/>
  <c r="CU856" i="6"/>
  <c r="CU928" i="6"/>
  <c r="CU940" i="6"/>
  <c r="CU1851" i="6"/>
  <c r="CU1887" i="6"/>
  <c r="CU1891" i="6"/>
  <c r="CU1911" i="6"/>
  <c r="CU1927" i="6"/>
  <c r="CU1947" i="6"/>
  <c r="CU1951" i="6"/>
  <c r="CU1959" i="6"/>
  <c r="CU1995" i="6"/>
  <c r="CU2016" i="6"/>
  <c r="CU2135" i="6"/>
  <c r="CU2139" i="6"/>
  <c r="CU2147" i="6"/>
  <c r="CU2151" i="6"/>
  <c r="CU2155" i="6"/>
  <c r="CU2188" i="6"/>
  <c r="CU2224" i="6"/>
  <c r="CU2747" i="6"/>
  <c r="CU2751" i="6"/>
  <c r="CU2799" i="6"/>
  <c r="CU2811" i="6"/>
  <c r="CU2909" i="6"/>
  <c r="CU3174" i="6"/>
  <c r="CU3367" i="6"/>
  <c r="CU3391" i="6"/>
  <c r="CU3395" i="6"/>
  <c r="CU138" i="6"/>
  <c r="CU99" i="6"/>
  <c r="CU176" i="6"/>
  <c r="CU184" i="6"/>
  <c r="CU188" i="6"/>
  <c r="CU200" i="6"/>
  <c r="CU984" i="6"/>
  <c r="CU1113" i="6"/>
  <c r="CU1117" i="6"/>
  <c r="CU2570" i="6"/>
  <c r="CU2574" i="6"/>
  <c r="CU2703" i="6"/>
  <c r="CU2711" i="6"/>
  <c r="CU2996" i="6"/>
  <c r="CU652" i="6"/>
  <c r="CU710" i="6"/>
  <c r="CU1210" i="6"/>
  <c r="CU2253" i="6"/>
  <c r="CU2329" i="6"/>
  <c r="CU2651" i="6"/>
  <c r="CU2856" i="6"/>
  <c r="CU2877" i="6"/>
  <c r="CU3123" i="6"/>
  <c r="CU3127" i="6"/>
  <c r="CU3131" i="6"/>
  <c r="CU3436" i="6"/>
  <c r="CU3450" i="6"/>
  <c r="CU3462" i="6"/>
  <c r="CU3686" i="6"/>
  <c r="CU33" i="6"/>
  <c r="CU45" i="6"/>
  <c r="CU57" i="6"/>
  <c r="CU410" i="6"/>
  <c r="CU418" i="6"/>
  <c r="CU447" i="6"/>
  <c r="CU611" i="6"/>
  <c r="CU670" i="6"/>
  <c r="CU674" i="6"/>
  <c r="CU845" i="6"/>
  <c r="CU1378" i="6"/>
  <c r="CU1382" i="6"/>
  <c r="CU1386" i="6"/>
  <c r="CU1390" i="6"/>
  <c r="CU1394" i="6"/>
  <c r="CU1398" i="6"/>
  <c r="CU1573" i="6"/>
  <c r="CU1577" i="6"/>
  <c r="CU1604" i="6"/>
  <c r="CU1608" i="6"/>
  <c r="CU2152" i="6"/>
  <c r="CU2168" i="6"/>
  <c r="CU2245" i="6"/>
  <c r="CU2615" i="6"/>
  <c r="CU2796" i="6"/>
  <c r="CU2906" i="6"/>
  <c r="CU131" i="6"/>
  <c r="CU1722" i="6"/>
  <c r="CU254" i="6"/>
  <c r="CU1174" i="6"/>
  <c r="CU1728" i="6"/>
  <c r="CU2334" i="6"/>
  <c r="CU2338" i="6"/>
  <c r="CU2571" i="6"/>
  <c r="CU2676" i="6"/>
  <c r="CU3051" i="6"/>
  <c r="CU3417" i="6"/>
  <c r="CU3425" i="6"/>
  <c r="CU3437" i="6"/>
  <c r="CU3675" i="6"/>
  <c r="CU34" i="6"/>
  <c r="CU38" i="6"/>
  <c r="CU50" i="6"/>
  <c r="CU58" i="6"/>
  <c r="CU62" i="6"/>
  <c r="CU74" i="6"/>
  <c r="CU707" i="6"/>
  <c r="CU711" i="6"/>
  <c r="CU760" i="6"/>
  <c r="CU1066" i="6"/>
  <c r="CU2039" i="6"/>
  <c r="CU3156" i="6"/>
  <c r="CU3160" i="6"/>
  <c r="CU3176" i="6"/>
  <c r="CU3401" i="6"/>
  <c r="CU3635" i="6"/>
  <c r="CU144" i="6"/>
  <c r="CU156" i="6"/>
  <c r="CU97" i="6"/>
  <c r="CU2569" i="6"/>
  <c r="CU375" i="6"/>
  <c r="CU387" i="6"/>
  <c r="CU391" i="6"/>
  <c r="CU411" i="6"/>
  <c r="CU419" i="6"/>
  <c r="CU427" i="6"/>
  <c r="CU444" i="6"/>
  <c r="CU448" i="6"/>
  <c r="CU472" i="6"/>
  <c r="CU604" i="6"/>
  <c r="CU659" i="6"/>
  <c r="CU789" i="6"/>
  <c r="CU801" i="6"/>
  <c r="CU813" i="6"/>
  <c r="CU838" i="6"/>
  <c r="CU850" i="6"/>
  <c r="CU1227" i="6"/>
  <c r="CU1267" i="6"/>
  <c r="CU1945" i="6"/>
  <c r="CU1953" i="6"/>
  <c r="CU2186" i="6"/>
  <c r="CU2279" i="6"/>
  <c r="CU2883" i="6"/>
  <c r="CU2907" i="6"/>
  <c r="CU247" i="6"/>
  <c r="CU255" i="6"/>
  <c r="CU271" i="6"/>
  <c r="CU1387" i="6"/>
  <c r="CU2580" i="6"/>
  <c r="CU2701" i="6"/>
  <c r="CU2925" i="6"/>
  <c r="CU2998" i="6"/>
  <c r="CU3406" i="6"/>
  <c r="CU3410" i="6"/>
  <c r="CU3414" i="6"/>
  <c r="CU988" i="6"/>
  <c r="CU307" i="6"/>
  <c r="CU708" i="6"/>
  <c r="CU736" i="6"/>
  <c r="CU2830" i="6"/>
  <c r="CU2834" i="6"/>
  <c r="CU2850" i="6"/>
  <c r="CU3133" i="6"/>
  <c r="CU3362" i="6"/>
  <c r="CU3386" i="6"/>
  <c r="CU3390" i="6"/>
  <c r="CU3438" i="6"/>
  <c r="CU1884" i="6"/>
  <c r="CU1892" i="6"/>
  <c r="CU1853" i="6"/>
  <c r="CU1865" i="6"/>
  <c r="CU1877" i="6"/>
  <c r="CU1889" i="6"/>
  <c r="CU1305" i="6"/>
  <c r="CU1392" i="6"/>
  <c r="CU1550" i="6"/>
  <c r="CU1554" i="6"/>
  <c r="CU1558" i="6"/>
  <c r="CU1579" i="6"/>
  <c r="CU1584" i="6"/>
  <c r="CU1597" i="6"/>
  <c r="CU1032" i="6"/>
  <c r="CU1040" i="6"/>
  <c r="CU1044" i="6"/>
  <c r="CU1048" i="6"/>
  <c r="CU1060" i="6"/>
  <c r="CU1064" i="6"/>
  <c r="CU775" i="6"/>
  <c r="CU787" i="6"/>
  <c r="CU852" i="6"/>
  <c r="CU250" i="6"/>
  <c r="CU378" i="6"/>
  <c r="CU451" i="6"/>
  <c r="CU475" i="6"/>
  <c r="CU483" i="6"/>
  <c r="CU487" i="6"/>
  <c r="CU519" i="6"/>
  <c r="CU523" i="6"/>
  <c r="CU535" i="6"/>
  <c r="CU543" i="6"/>
  <c r="CU547" i="6"/>
  <c r="CU555" i="6"/>
  <c r="CU559" i="6"/>
  <c r="CU571" i="6"/>
  <c r="CU579" i="6"/>
  <c r="CU583" i="6"/>
  <c r="CU591" i="6"/>
  <c r="CU595" i="6"/>
  <c r="CU262" i="6"/>
  <c r="CU3" i="6"/>
  <c r="CU7" i="6"/>
  <c r="CU15" i="6"/>
  <c r="CU19" i="6"/>
  <c r="CU1755" i="6"/>
  <c r="CU1941" i="6"/>
  <c r="CU2052" i="6"/>
  <c r="CU2061" i="6"/>
  <c r="CU2097" i="6"/>
  <c r="CU2105" i="6"/>
  <c r="CU2201" i="6"/>
  <c r="CU2205" i="6"/>
  <c r="CU2237" i="6"/>
  <c r="CU2241" i="6"/>
  <c r="CU2502" i="6"/>
  <c r="CU2506" i="6"/>
  <c r="CU2514" i="6"/>
  <c r="CU2518" i="6"/>
  <c r="CU2530" i="6"/>
  <c r="CU2774" i="6"/>
  <c r="CU2794" i="6"/>
  <c r="CU2895" i="6"/>
  <c r="CU3014" i="6"/>
  <c r="CU3047" i="6"/>
  <c r="CU3327" i="6"/>
  <c r="CU3440" i="6"/>
  <c r="CU3453" i="6"/>
  <c r="CU3461" i="6"/>
  <c r="CU3546" i="6"/>
  <c r="CU3653" i="6"/>
  <c r="CU3657" i="6"/>
  <c r="CU3665" i="6"/>
  <c r="CU223" i="6"/>
  <c r="CU235" i="6"/>
  <c r="CU290" i="6"/>
  <c r="CU347" i="6"/>
  <c r="CU371" i="6"/>
  <c r="CU500" i="6"/>
  <c r="CU508" i="6"/>
  <c r="CU678" i="6"/>
  <c r="CU682" i="6"/>
  <c r="CU726" i="6"/>
  <c r="CU747" i="6"/>
  <c r="CU751" i="6"/>
  <c r="CU864" i="6"/>
  <c r="CU876" i="6"/>
  <c r="CU880" i="6"/>
  <c r="CU960" i="6"/>
  <c r="CU964" i="6"/>
  <c r="CU989" i="6"/>
  <c r="CU1165" i="6"/>
  <c r="CU1201" i="6"/>
  <c r="CU1233" i="6"/>
  <c r="CU1257" i="6"/>
  <c r="CU1261" i="6"/>
  <c r="CU1361" i="6"/>
  <c r="CU1365" i="6"/>
  <c r="CU1369" i="6"/>
  <c r="CU1373" i="6"/>
  <c r="CU1408" i="6"/>
  <c r="CU1534" i="6"/>
  <c r="CU1666" i="6"/>
  <c r="CU1678" i="6"/>
  <c r="CU1730" i="6"/>
  <c r="CU1746" i="6"/>
  <c r="CU1759" i="6"/>
  <c r="CU1890" i="6"/>
  <c r="CU1894" i="6"/>
  <c r="CU1926" i="6"/>
  <c r="CU1930" i="6"/>
  <c r="CU1954" i="6"/>
  <c r="CU2019" i="6"/>
  <c r="CU2049" i="6"/>
  <c r="CU2065" i="6"/>
  <c r="CU2170" i="6"/>
  <c r="CU2174" i="6"/>
  <c r="CU2182" i="6"/>
  <c r="CU2218" i="6"/>
  <c r="CU2222" i="6"/>
  <c r="CU2290" i="6"/>
  <c r="CU2298" i="6"/>
  <c r="CU2419" i="6"/>
  <c r="CU2455" i="6"/>
  <c r="CU2527" i="6"/>
  <c r="CU2610" i="6"/>
  <c r="CU2622" i="6"/>
  <c r="CU2630" i="6"/>
  <c r="CU2634" i="6"/>
  <c r="CU2666" i="6"/>
  <c r="CU2722" i="6"/>
  <c r="CU2858" i="6"/>
  <c r="CU2892" i="6"/>
  <c r="CU2941" i="6"/>
  <c r="CU3064" i="6"/>
  <c r="CU3068" i="6"/>
  <c r="CU3076" i="6"/>
  <c r="CU3180" i="6"/>
  <c r="CU3184" i="6"/>
  <c r="CU3275" i="6"/>
  <c r="CU3279" i="6"/>
  <c r="CU3283" i="6"/>
  <c r="CU3287" i="6"/>
  <c r="CU3291" i="6"/>
  <c r="CU3365" i="6"/>
  <c r="CU3381" i="6"/>
  <c r="CU3389" i="6"/>
  <c r="CU3477" i="6"/>
  <c r="CU3481" i="6"/>
  <c r="CU3506" i="6"/>
  <c r="CU3550" i="6"/>
  <c r="CU3689" i="6"/>
  <c r="CU150" i="6"/>
  <c r="CU407" i="6"/>
  <c r="CU456" i="6"/>
  <c r="CU484" i="6"/>
  <c r="CU516" i="6"/>
  <c r="CU520" i="6"/>
  <c r="CU528" i="6"/>
  <c r="CU552" i="6"/>
  <c r="CU556" i="6"/>
  <c r="CU564" i="6"/>
  <c r="CU568" i="6"/>
  <c r="CU600" i="6"/>
  <c r="CU796" i="6"/>
  <c r="CU804" i="6"/>
  <c r="CU808" i="6"/>
  <c r="CU1013" i="6"/>
  <c r="CU1017" i="6"/>
  <c r="CU1025" i="6"/>
  <c r="CU1029" i="6"/>
  <c r="CU1041" i="6"/>
  <c r="CU1045" i="6"/>
  <c r="CU1314" i="6"/>
  <c r="CU1585" i="6"/>
  <c r="CU2775" i="6"/>
  <c r="CU2783" i="6"/>
  <c r="CU2795" i="6"/>
  <c r="CU2912" i="6"/>
  <c r="CU3011" i="6"/>
  <c r="CU3103" i="6"/>
  <c r="CU3169" i="6"/>
  <c r="CU3320" i="6"/>
  <c r="CU3324" i="6"/>
  <c r="CU3340" i="6"/>
  <c r="CU3421" i="6"/>
  <c r="CU3507" i="6"/>
  <c r="CU3519" i="6"/>
  <c r="CU3547" i="6"/>
  <c r="CU3555" i="6"/>
  <c r="CU3579" i="6"/>
  <c r="CU3603" i="6"/>
  <c r="CU3626" i="6"/>
  <c r="CU3634" i="6"/>
  <c r="CU3662" i="6"/>
  <c r="CU3690" i="6"/>
  <c r="CU111" i="6"/>
  <c r="CU115" i="6"/>
  <c r="CU224" i="6"/>
  <c r="CU228" i="6"/>
  <c r="CU232" i="6"/>
  <c r="CU295" i="6"/>
  <c r="CU340" i="6"/>
  <c r="CU348" i="6"/>
  <c r="CU360" i="6"/>
  <c r="CU612" i="6"/>
  <c r="CU624" i="6"/>
  <c r="CU628" i="6"/>
  <c r="CU679" i="6"/>
  <c r="CU687" i="6"/>
  <c r="CU691" i="6"/>
  <c r="CU699" i="6"/>
  <c r="CU961" i="6"/>
  <c r="CU982" i="6"/>
  <c r="CU994" i="6"/>
  <c r="CU1126" i="6"/>
  <c r="CU1138" i="6"/>
  <c r="CU1198" i="6"/>
  <c r="CU1202" i="6"/>
  <c r="CU1242" i="6"/>
  <c r="CU1246" i="6"/>
  <c r="CU1342" i="6"/>
  <c r="CU1346" i="6"/>
  <c r="CU1350" i="6"/>
  <c r="CU1354" i="6"/>
  <c r="CU1358" i="6"/>
  <c r="CU1362" i="6"/>
  <c r="CU1370" i="6"/>
  <c r="CU1374" i="6"/>
  <c r="CU1590" i="6"/>
  <c r="CU1647" i="6"/>
  <c r="CU1695" i="6"/>
  <c r="CU1711" i="6"/>
  <c r="CU2611" i="6"/>
  <c r="CU2647" i="6"/>
  <c r="CU2679" i="6"/>
  <c r="CU2695" i="6"/>
  <c r="CU2859" i="6"/>
  <c r="CU2881" i="6"/>
  <c r="CU2946" i="6"/>
  <c r="CU1863" i="6"/>
  <c r="CU1871" i="6"/>
  <c r="CU1875" i="6"/>
  <c r="CU1931" i="6"/>
  <c r="CU1967" i="6"/>
  <c r="CU1971" i="6"/>
  <c r="CU1979" i="6"/>
  <c r="CU1983" i="6"/>
  <c r="CU2034" i="6"/>
  <c r="CU2038" i="6"/>
  <c r="CU2111" i="6"/>
  <c r="CU2115" i="6"/>
  <c r="CU2123" i="6"/>
  <c r="CU2127" i="6"/>
  <c r="CU2263" i="6"/>
  <c r="CU2388" i="6"/>
  <c r="CU2404" i="6"/>
  <c r="CU2440" i="6"/>
  <c r="CU2448" i="6"/>
  <c r="CU2452" i="6"/>
  <c r="CU2460" i="6"/>
  <c r="CU2464" i="6"/>
  <c r="CU2476" i="6"/>
  <c r="CU2512" i="6"/>
  <c r="CU2635" i="6"/>
  <c r="CU2780" i="6"/>
  <c r="CU2901" i="6"/>
  <c r="CU3366" i="6"/>
  <c r="CU3370" i="6"/>
  <c r="CU3374" i="6"/>
  <c r="CU3378" i="6"/>
  <c r="CU3651" i="6"/>
  <c r="CU155" i="6"/>
  <c r="CU181" i="6"/>
  <c r="CU185" i="6"/>
  <c r="CU197" i="6"/>
  <c r="CU205" i="6"/>
  <c r="CU308" i="6"/>
  <c r="CU408" i="6"/>
  <c r="CU453" i="6"/>
  <c r="CU457" i="6"/>
  <c r="CU493" i="6"/>
  <c r="CU517" i="6"/>
  <c r="CU525" i="6"/>
  <c r="CU529" i="6"/>
  <c r="CU537" i="6"/>
  <c r="CU541" i="6"/>
  <c r="CU565" i="6"/>
  <c r="CU573" i="6"/>
  <c r="CU577" i="6"/>
  <c r="CU585" i="6"/>
  <c r="CU589" i="6"/>
  <c r="CU601" i="6"/>
  <c r="CU645" i="6"/>
  <c r="CU668" i="6"/>
  <c r="CU676" i="6"/>
  <c r="CU712" i="6"/>
  <c r="CU724" i="6"/>
  <c r="CU822" i="6"/>
  <c r="CU910" i="6"/>
  <c r="CU922" i="6"/>
  <c r="CU926" i="6"/>
  <c r="CU1006" i="6"/>
  <c r="CU1010" i="6"/>
  <c r="CU1014" i="6"/>
  <c r="CU1022" i="6"/>
  <c r="CU1026" i="6"/>
  <c r="CU1030" i="6"/>
  <c r="CU1211" i="6"/>
  <c r="CU1219" i="6"/>
  <c r="CU1299" i="6"/>
  <c r="CU1323" i="6"/>
  <c r="CU1331" i="6"/>
  <c r="CU1335" i="6"/>
  <c r="CU1410" i="6"/>
  <c r="CU1582" i="6"/>
  <c r="CU1591" i="6"/>
  <c r="CU1612" i="6"/>
  <c r="CU1644" i="6"/>
  <c r="CU1656" i="6"/>
  <c r="CU1660" i="6"/>
  <c r="CU1692" i="6"/>
  <c r="CU1757" i="6"/>
  <c r="CU2311" i="6"/>
  <c r="CU2323" i="6"/>
  <c r="CU2576" i="6"/>
  <c r="CU3178" i="6"/>
  <c r="CU3471" i="6"/>
  <c r="CU3512" i="6"/>
  <c r="CU3524" i="6"/>
  <c r="CU9" i="6"/>
  <c r="CU13" i="6"/>
  <c r="CU21" i="6"/>
  <c r="CU229" i="6"/>
  <c r="CU237" i="6"/>
  <c r="CU369" i="6"/>
  <c r="CU1147" i="6"/>
  <c r="CU1852" i="6"/>
  <c r="CU1872" i="6"/>
  <c r="CU1888" i="6"/>
  <c r="CU1944" i="6"/>
  <c r="CU1948" i="6"/>
  <c r="CU1984" i="6"/>
  <c r="CU2001" i="6"/>
  <c r="CU2013" i="6"/>
  <c r="CU2017" i="6"/>
  <c r="CU2043" i="6"/>
  <c r="CU2047" i="6"/>
  <c r="CU2176" i="6"/>
  <c r="CU2280" i="6"/>
  <c r="CU2292" i="6"/>
  <c r="CU2296" i="6"/>
  <c r="CU2401" i="6"/>
  <c r="CU2417" i="6"/>
  <c r="CU2473" i="6"/>
  <c r="CU2509" i="6"/>
  <c r="CU2525" i="6"/>
  <c r="CU2704" i="6"/>
  <c r="CU2716" i="6"/>
  <c r="CU2816" i="6"/>
  <c r="CU2886" i="6"/>
  <c r="CU3277" i="6"/>
  <c r="CU3281" i="6"/>
  <c r="CU3285" i="6"/>
  <c r="CU3289" i="6"/>
  <c r="CU3345" i="6"/>
  <c r="CU3592" i="6"/>
  <c r="CU3596" i="6"/>
  <c r="CU3647" i="6"/>
  <c r="CU3687" i="6"/>
  <c r="CU108" i="6"/>
  <c r="CU132" i="6"/>
  <c r="CU253" i="6"/>
  <c r="CU442" i="6"/>
  <c r="CU790" i="6"/>
  <c r="CU798" i="6"/>
  <c r="CU802" i="6"/>
  <c r="CU806" i="6"/>
  <c r="CU827" i="6"/>
  <c r="CU1561" i="6"/>
  <c r="CU2035" i="6"/>
  <c r="CU2096" i="6"/>
  <c r="CU2100" i="6"/>
  <c r="CU2737" i="6"/>
  <c r="CU2910" i="6"/>
  <c r="CU2977" i="6"/>
  <c r="CU3093" i="6"/>
  <c r="CU3097" i="6"/>
  <c r="CU3101" i="6"/>
  <c r="CU3105" i="6"/>
  <c r="CU3109" i="6"/>
  <c r="CU3113" i="6"/>
  <c r="CU3318" i="6"/>
  <c r="CU3383" i="6"/>
  <c r="CU3487" i="6"/>
  <c r="CU170" i="6"/>
  <c r="CU178" i="6"/>
  <c r="CU182" i="6"/>
  <c r="CU190" i="6"/>
  <c r="CU194" i="6"/>
  <c r="CU202" i="6"/>
  <c r="CU206" i="6"/>
  <c r="CU218" i="6"/>
  <c r="CU614" i="6"/>
  <c r="CU622" i="6"/>
  <c r="CU638" i="6"/>
  <c r="CU665" i="6"/>
  <c r="CU717" i="6"/>
  <c r="CU725" i="6"/>
  <c r="CU733" i="6"/>
  <c r="CU899" i="6"/>
  <c r="CU935" i="6"/>
  <c r="CU1075" i="6"/>
  <c r="CU1090" i="6"/>
  <c r="CU1216" i="6"/>
  <c r="CU1411" i="6"/>
  <c r="CU1419" i="6"/>
  <c r="CU1632" i="6"/>
  <c r="CU1657" i="6"/>
  <c r="CU1665" i="6"/>
  <c r="CU2164" i="6"/>
  <c r="CU2597" i="6"/>
  <c r="CU2601" i="6"/>
  <c r="CU2609" i="6"/>
  <c r="CU2613" i="6"/>
  <c r="CU2617" i="6"/>
  <c r="CU2661" i="6"/>
  <c r="CU2789" i="6"/>
  <c r="CU2805" i="6"/>
  <c r="CU2837" i="6"/>
  <c r="CU2841" i="6"/>
  <c r="CU2845" i="6"/>
  <c r="CU2853" i="6"/>
  <c r="CU2861" i="6"/>
  <c r="CU2874" i="6"/>
  <c r="CU2928" i="6"/>
  <c r="CU2940" i="6"/>
  <c r="CU3456" i="6"/>
  <c r="CU3476" i="6"/>
  <c r="CU3480" i="6"/>
  <c r="CU3497" i="6"/>
  <c r="CU3501" i="6"/>
  <c r="CU3513" i="6"/>
  <c r="CU3521" i="6"/>
  <c r="CU3537" i="6"/>
  <c r="CU3561" i="6"/>
  <c r="CU3581" i="6"/>
  <c r="CU3597" i="6"/>
  <c r="CU3601" i="6"/>
  <c r="CU31" i="6"/>
  <c r="CU59" i="6"/>
  <c r="CU18" i="6"/>
  <c r="CU22" i="6"/>
  <c r="CU230" i="6"/>
  <c r="CU289" i="6"/>
  <c r="CU350" i="6"/>
  <c r="CU354" i="6"/>
  <c r="CU362" i="6"/>
  <c r="CU766" i="6"/>
  <c r="CU1000" i="6"/>
  <c r="CU1144" i="6"/>
  <c r="CU1156" i="6"/>
  <c r="CU1180" i="6"/>
  <c r="CU1192" i="6"/>
  <c r="CU1288" i="6"/>
  <c r="CU1292" i="6"/>
  <c r="CU1364" i="6"/>
  <c r="CU1368" i="6"/>
  <c r="CU1566" i="6"/>
  <c r="CU1729" i="6"/>
  <c r="CU1737" i="6"/>
  <c r="CU1741" i="6"/>
  <c r="CU1749" i="6"/>
  <c r="CU1893" i="6"/>
  <c r="CU1905" i="6"/>
  <c r="CU1917" i="6"/>
  <c r="CU1921" i="6"/>
  <c r="CU1929" i="6"/>
  <c r="CU1957" i="6"/>
  <c r="CU1965" i="6"/>
  <c r="CU1969" i="6"/>
  <c r="CU1977" i="6"/>
  <c r="CU2014" i="6"/>
  <c r="CU2044" i="6"/>
  <c r="CU2068" i="6"/>
  <c r="CU2213" i="6"/>
  <c r="CU2221" i="6"/>
  <c r="CU2293" i="6"/>
  <c r="CU2887" i="6"/>
  <c r="CU2891" i="6"/>
  <c r="CU3278" i="6"/>
  <c r="CU3282" i="6"/>
  <c r="CU3286" i="6"/>
  <c r="CU3290" i="6"/>
  <c r="CU3644" i="6"/>
  <c r="CU125" i="6"/>
  <c r="CU129" i="6"/>
  <c r="CU153" i="6"/>
  <c r="CU106" i="6"/>
  <c r="CU356" i="6"/>
  <c r="CU242" i="6"/>
  <c r="CU246" i="6"/>
  <c r="CU273" i="6"/>
  <c r="CU288" i="6"/>
  <c r="CU359" i="6"/>
  <c r="CU409" i="6"/>
  <c r="CU605" i="6"/>
  <c r="CU715" i="6"/>
  <c r="CU723" i="6"/>
  <c r="CU727" i="6"/>
  <c r="CU731" i="6"/>
  <c r="CU735" i="6"/>
  <c r="CU739" i="6"/>
  <c r="CU752" i="6"/>
  <c r="CU772" i="6"/>
  <c r="CU784" i="6"/>
  <c r="CU792" i="6"/>
  <c r="CU892" i="6"/>
  <c r="CU904" i="6"/>
  <c r="CU1322" i="6"/>
  <c r="CU1353" i="6"/>
  <c r="CU1357" i="6"/>
  <c r="CU1384" i="6"/>
  <c r="CU1388" i="6"/>
  <c r="CU1649" i="6"/>
  <c r="CU1723" i="6"/>
  <c r="CU1881" i="6"/>
  <c r="CU1885" i="6"/>
  <c r="CU1912" i="6"/>
  <c r="CU1924" i="6"/>
  <c r="CU2007" i="6"/>
  <c r="CU2055" i="6"/>
  <c r="CU2075" i="6"/>
  <c r="CU2079" i="6"/>
  <c r="CU2099" i="6"/>
  <c r="CU2103" i="6"/>
  <c r="CU2251" i="6"/>
  <c r="CU2271" i="6"/>
  <c r="CU2287" i="6"/>
  <c r="CU266" i="6"/>
  <c r="CU320" i="6"/>
  <c r="CU328" i="6"/>
  <c r="CU332" i="6"/>
  <c r="CU363" i="6"/>
  <c r="CU386" i="6"/>
  <c r="CU390" i="6"/>
  <c r="CU398" i="6"/>
  <c r="CU429" i="6"/>
  <c r="CU454" i="6"/>
  <c r="CU458" i="6"/>
  <c r="CU478" i="6"/>
  <c r="CU482" i="6"/>
  <c r="CU490" i="6"/>
  <c r="CU494" i="6"/>
  <c r="CU498" i="6"/>
  <c r="CU502" i="6"/>
  <c r="CU510" i="6"/>
  <c r="CU526" i="6"/>
  <c r="CU530" i="6"/>
  <c r="CU542" i="6"/>
  <c r="CU562" i="6"/>
  <c r="CU586" i="6"/>
  <c r="CU590" i="6"/>
  <c r="CU598" i="6"/>
  <c r="CU625" i="6"/>
  <c r="CU633" i="6"/>
  <c r="CU637" i="6"/>
  <c r="CU660" i="6"/>
  <c r="CU664" i="6"/>
  <c r="CU672" i="6"/>
  <c r="CU692" i="6"/>
  <c r="CU837" i="6"/>
  <c r="CU853" i="6"/>
  <c r="CU881" i="6"/>
  <c r="CU976" i="6"/>
  <c r="CU1012" i="6"/>
  <c r="CU1036" i="6"/>
  <c r="CU1108" i="6"/>
  <c r="CU1151" i="6"/>
  <c r="CU1155" i="6"/>
  <c r="CU1195" i="6"/>
  <c r="CU1235" i="6"/>
  <c r="CU1247" i="6"/>
  <c r="CU1255" i="6"/>
  <c r="CU1259" i="6"/>
  <c r="CU1271" i="6"/>
  <c r="CU1307" i="6"/>
  <c r="CU1319" i="6"/>
  <c r="CU1338" i="6"/>
  <c r="CU1377" i="6"/>
  <c r="CU1400" i="6"/>
  <c r="CU1404" i="6"/>
  <c r="CU1423" i="6"/>
  <c r="CU1427" i="6"/>
  <c r="CU1533" i="6"/>
  <c r="CU1537" i="6"/>
  <c r="CU1541" i="6"/>
  <c r="CU1549" i="6"/>
  <c r="CU1646" i="6"/>
  <c r="CU1653" i="6"/>
  <c r="CU1669" i="6"/>
  <c r="CU1673" i="6"/>
  <c r="CU1681" i="6"/>
  <c r="CU1696" i="6"/>
  <c r="CU1704" i="6"/>
  <c r="CU1716" i="6"/>
  <c r="CU1731" i="6"/>
  <c r="CU1854" i="6"/>
  <c r="CU1862" i="6"/>
  <c r="CU1870" i="6"/>
  <c r="CU1909" i="6"/>
  <c r="CU1928" i="6"/>
  <c r="CU1955" i="6"/>
  <c r="CU1963" i="6"/>
  <c r="CU1975" i="6"/>
  <c r="CU2015" i="6"/>
  <c r="CU606" i="6"/>
  <c r="CU610" i="6"/>
  <c r="CU618" i="6"/>
  <c r="CU720" i="6"/>
  <c r="CU732" i="6"/>
  <c r="CU757" i="6"/>
  <c r="CU781" i="6"/>
  <c r="CU889" i="6"/>
  <c r="CU1650" i="6"/>
  <c r="CU1886" i="6"/>
  <c r="CU1913" i="6"/>
  <c r="CU1925" i="6"/>
  <c r="CU2000" i="6"/>
  <c r="CU2012" i="6"/>
  <c r="CU2104" i="6"/>
  <c r="CU8" i="6"/>
  <c r="CU20" i="6"/>
  <c r="CU236" i="6"/>
  <c r="CU259" i="6"/>
  <c r="CU321" i="6"/>
  <c r="CU329" i="6"/>
  <c r="CU333" i="6"/>
  <c r="CU368" i="6"/>
  <c r="CU395" i="6"/>
  <c r="CU403" i="6"/>
  <c r="CU434" i="6"/>
  <c r="CU467" i="6"/>
  <c r="CU499" i="6"/>
  <c r="CU507" i="6"/>
  <c r="CU563" i="6"/>
  <c r="CU599" i="6"/>
  <c r="CU630" i="6"/>
  <c r="CU701" i="6"/>
  <c r="CU874" i="6"/>
  <c r="CU913" i="6"/>
  <c r="CU921" i="6"/>
  <c r="CU933" i="6"/>
  <c r="CU937" i="6"/>
  <c r="CU953" i="6"/>
  <c r="CU1021" i="6"/>
  <c r="CU1057" i="6"/>
  <c r="CU1129" i="6"/>
  <c r="CU1164" i="6"/>
  <c r="CU1176" i="6"/>
  <c r="CU1184" i="6"/>
  <c r="CU1200" i="6"/>
  <c r="CU1220" i="6"/>
  <c r="CU1228" i="6"/>
  <c r="CU1232" i="6"/>
  <c r="CU1244" i="6"/>
  <c r="CU1252" i="6"/>
  <c r="CU1256" i="6"/>
  <c r="CU1264" i="6"/>
  <c r="CU1268" i="6"/>
  <c r="CU1300" i="6"/>
  <c r="CU1304" i="6"/>
  <c r="CU1316" i="6"/>
  <c r="CU1320" i="6"/>
  <c r="CU1339" i="6"/>
  <c r="CU1343" i="6"/>
  <c r="CU1401" i="6"/>
  <c r="CU1405" i="6"/>
  <c r="CU1420" i="6"/>
  <c r="CU1428" i="6"/>
  <c r="CU1542" i="6"/>
  <c r="CU1546" i="6"/>
  <c r="CU1578" i="6"/>
  <c r="CU1596" i="6"/>
  <c r="CU1621" i="6"/>
  <c r="CU1674" i="6"/>
  <c r="CU1693" i="6"/>
  <c r="CU1705" i="6"/>
  <c r="CU1709" i="6"/>
  <c r="CU1717" i="6"/>
  <c r="CU1740" i="6"/>
  <c r="CU1747" i="6"/>
  <c r="CU1867" i="6"/>
  <c r="CU1902" i="6"/>
  <c r="CU1906" i="6"/>
  <c r="CU1956" i="6"/>
  <c r="CU1960" i="6"/>
  <c r="CU1980" i="6"/>
  <c r="CU2020" i="6"/>
  <c r="CU2029" i="6"/>
  <c r="CU2069" i="6"/>
  <c r="CU2197" i="6"/>
  <c r="CU2209" i="6"/>
  <c r="CU383" i="6"/>
  <c r="CU1635" i="6"/>
  <c r="CU1744" i="6"/>
  <c r="CU1914" i="6"/>
  <c r="CU1922" i="6"/>
  <c r="CU2077" i="6"/>
  <c r="CU2089" i="6"/>
  <c r="CU2093" i="6"/>
  <c r="CU2113" i="6"/>
  <c r="CU2125" i="6"/>
  <c r="CU460" i="6"/>
  <c r="CU464" i="6"/>
  <c r="CU532" i="6"/>
  <c r="CU536" i="6"/>
  <c r="CU544" i="6"/>
  <c r="CU548" i="6"/>
  <c r="CU560" i="6"/>
  <c r="CU580" i="6"/>
  <c r="CU584" i="6"/>
  <c r="CU596" i="6"/>
  <c r="CU627" i="6"/>
  <c r="CU631" i="6"/>
  <c r="CU639" i="6"/>
  <c r="CU666" i="6"/>
  <c r="CU694" i="6"/>
  <c r="CU706" i="6"/>
  <c r="CU835" i="6"/>
  <c r="CU918" i="6"/>
  <c r="CU930" i="6"/>
  <c r="CU934" i="6"/>
  <c r="CU946" i="6"/>
  <c r="CU958" i="6"/>
  <c r="CU998" i="6"/>
  <c r="CU1018" i="6"/>
  <c r="CU1054" i="6"/>
  <c r="CU1082" i="6"/>
  <c r="CU1157" i="6"/>
  <c r="CU1161" i="6"/>
  <c r="CU1169" i="6"/>
  <c r="CU1173" i="6"/>
  <c r="CU1181" i="6"/>
  <c r="CU1185" i="6"/>
  <c r="CU1189" i="6"/>
  <c r="CU1237" i="6"/>
  <c r="CU1241" i="6"/>
  <c r="CU1265" i="6"/>
  <c r="CU1309" i="6"/>
  <c r="CU1313" i="6"/>
  <c r="CU1317" i="6"/>
  <c r="CU1332" i="6"/>
  <c r="CU1402" i="6"/>
  <c r="CU1425" i="6"/>
  <c r="CU1575" i="6"/>
  <c r="CU1663" i="6"/>
  <c r="CU1895" i="6"/>
  <c r="CU1899" i="6"/>
  <c r="CU1949" i="6"/>
  <c r="CU2046" i="6"/>
  <c r="CU422" i="6"/>
  <c r="CU244" i="6"/>
  <c r="CU423" i="6"/>
  <c r="CU721" i="6"/>
  <c r="CU778" i="6"/>
  <c r="CU906" i="6"/>
  <c r="CU1145" i="6"/>
  <c r="CU1351" i="6"/>
  <c r="CU435" i="6"/>
  <c r="CU241" i="6"/>
  <c r="CU272" i="6"/>
  <c r="CU291" i="6"/>
  <c r="CU330" i="6"/>
  <c r="CU404" i="6"/>
  <c r="CU412" i="6"/>
  <c r="CU420" i="6"/>
  <c r="CU480" i="6"/>
  <c r="CU616" i="6"/>
  <c r="CU620" i="6"/>
  <c r="CU702" i="6"/>
  <c r="CU714" i="6"/>
  <c r="CU755" i="6"/>
  <c r="CU771" i="6"/>
  <c r="CU779" i="6"/>
  <c r="CU783" i="6"/>
  <c r="CU791" i="6"/>
  <c r="CU795" i="6"/>
  <c r="CU799" i="6"/>
  <c r="CU803" i="6"/>
  <c r="CU807" i="6"/>
  <c r="CU883" i="6"/>
  <c r="CU1348" i="6"/>
  <c r="CU1352" i="6"/>
  <c r="CU1383" i="6"/>
  <c r="CU1543" i="6"/>
  <c r="CU1563" i="6"/>
  <c r="CU1606" i="6"/>
  <c r="CU1675" i="6"/>
  <c r="CU1698" i="6"/>
  <c r="CU1702" i="6"/>
  <c r="CU1714" i="6"/>
  <c r="CU1726" i="6"/>
  <c r="CU1856" i="6"/>
  <c r="CU1860" i="6"/>
  <c r="CU1868" i="6"/>
  <c r="CU1876" i="6"/>
  <c r="CU1907" i="6"/>
  <c r="CU1923" i="6"/>
  <c r="CU1938" i="6"/>
  <c r="CU1942" i="6"/>
  <c r="CU1961" i="6"/>
  <c r="CU1973" i="6"/>
  <c r="CU1993" i="6"/>
  <c r="CU2002" i="6"/>
  <c r="CU2030" i="6"/>
  <c r="CU3557" i="6"/>
  <c r="CU357" i="6"/>
  <c r="CU6" i="6"/>
  <c r="CU10" i="6"/>
  <c r="CU640" i="6"/>
  <c r="CU820" i="6"/>
  <c r="CU891" i="6"/>
  <c r="CU907" i="6"/>
  <c r="CU987" i="6"/>
  <c r="CU991" i="6"/>
  <c r="CU1162" i="6"/>
  <c r="CU1391" i="6"/>
  <c r="CU1395" i="6"/>
  <c r="CU1414" i="6"/>
  <c r="CU1548" i="6"/>
  <c r="CU1560" i="6"/>
  <c r="CU1610" i="6"/>
  <c r="CU1648" i="6"/>
  <c r="CU1758" i="6"/>
  <c r="CU2054" i="6"/>
  <c r="CU2074" i="6"/>
  <c r="CU2090" i="6"/>
  <c r="CU2098" i="6"/>
  <c r="CU2302" i="6"/>
  <c r="CU2306" i="6"/>
  <c r="CU2341" i="6"/>
  <c r="CU786" i="6"/>
  <c r="CU280" i="6"/>
  <c r="CU298" i="6"/>
  <c r="CU2" i="6"/>
  <c r="CU226" i="6"/>
  <c r="CU234" i="6"/>
  <c r="CU265" i="6"/>
  <c r="CU335" i="6"/>
  <c r="CU366" i="6"/>
  <c r="CU389" i="6"/>
  <c r="CU445" i="6"/>
  <c r="CU485" i="6"/>
  <c r="CU501" i="6"/>
  <c r="CU505" i="6"/>
  <c r="CU545" i="6"/>
  <c r="CU557" i="6"/>
  <c r="CU593" i="6"/>
  <c r="CU650" i="6"/>
  <c r="CU675" i="6"/>
  <c r="CU703" i="6"/>
  <c r="CU767" i="6"/>
  <c r="CU816" i="6"/>
  <c r="CU868" i="6"/>
  <c r="CU872" i="6"/>
  <c r="CU1039" i="6"/>
  <c r="CU1111" i="6"/>
  <c r="CU1226" i="6"/>
  <c r="CU1234" i="6"/>
  <c r="CU1250" i="6"/>
  <c r="CU1262" i="6"/>
  <c r="CU1270" i="6"/>
  <c r="CU1274" i="6"/>
  <c r="CU1306" i="6"/>
  <c r="CU1337" i="6"/>
  <c r="CU1341" i="6"/>
  <c r="CU1376" i="6"/>
  <c r="CU1407" i="6"/>
  <c r="CU1422" i="6"/>
  <c r="CU1426" i="6"/>
  <c r="CU1536" i="6"/>
  <c r="CU1540" i="6"/>
  <c r="CU1645" i="6"/>
  <c r="CU1668" i="6"/>
  <c r="CU1680" i="6"/>
  <c r="CU1734" i="6"/>
  <c r="CU1869" i="6"/>
  <c r="CU1904" i="6"/>
  <c r="CU1908" i="6"/>
  <c r="CU1935" i="6"/>
  <c r="CU1939" i="6"/>
  <c r="CU1962" i="6"/>
  <c r="CU1978" i="6"/>
  <c r="CU2086" i="6"/>
  <c r="CU2118" i="6"/>
  <c r="CU2126" i="6"/>
  <c r="CU2130" i="6"/>
  <c r="CU2138" i="6"/>
  <c r="CU2142" i="6"/>
  <c r="CU2150" i="6"/>
  <c r="CU2165" i="6"/>
  <c r="CU2177" i="6"/>
  <c r="CU2185" i="6"/>
  <c r="CU2204" i="6"/>
  <c r="CU2212" i="6"/>
  <c r="CU2231" i="6"/>
  <c r="CU2246" i="6"/>
  <c r="CU2317" i="6"/>
  <c r="CU2325" i="6"/>
  <c r="CU2365" i="6"/>
  <c r="CU2374" i="6"/>
  <c r="CU2378" i="6"/>
  <c r="CU2414" i="6"/>
  <c r="CU2446" i="6"/>
  <c r="CU2474" i="6"/>
  <c r="CU2482" i="6"/>
  <c r="CU2486" i="6"/>
  <c r="CU2498" i="6"/>
  <c r="CU2522" i="6"/>
  <c r="CU2572" i="6"/>
  <c r="CU2584" i="6"/>
  <c r="CU2600" i="6"/>
  <c r="CU2604" i="6"/>
  <c r="CU2616" i="6"/>
  <c r="CU2623" i="6"/>
  <c r="CU2709" i="6"/>
  <c r="CU2756" i="6"/>
  <c r="CU2760" i="6"/>
  <c r="CU2764" i="6"/>
  <c r="CU2768" i="6"/>
  <c r="CU2772" i="6"/>
  <c r="CU2807" i="6"/>
  <c r="CU2819" i="6"/>
  <c r="CU2823" i="6"/>
  <c r="CU2827" i="6"/>
  <c r="CU2831" i="6"/>
  <c r="CU2843" i="6"/>
  <c r="CU2855" i="6"/>
  <c r="CU2880" i="6"/>
  <c r="CU3037" i="6"/>
  <c r="CU3157" i="6"/>
  <c r="CU3177" i="6"/>
  <c r="CU3295" i="6"/>
  <c r="CU3299" i="6"/>
  <c r="CU3360" i="6"/>
  <c r="CU3364" i="6"/>
  <c r="CU3368" i="6"/>
  <c r="CU3399" i="6"/>
  <c r="CU3426" i="6"/>
  <c r="CU3434" i="6"/>
  <c r="CU3470" i="6"/>
  <c r="CU3474" i="6"/>
  <c r="CU3489" i="6"/>
  <c r="CU3545" i="6"/>
  <c r="CU3556" i="6"/>
  <c r="CU3560" i="6"/>
  <c r="CU3591" i="6"/>
  <c r="CU3629" i="6"/>
  <c r="CU3636" i="6"/>
  <c r="CU3648" i="6"/>
  <c r="CU3656" i="6"/>
  <c r="CU123" i="6"/>
  <c r="CU48" i="6"/>
  <c r="CU60" i="6"/>
  <c r="CU72" i="6"/>
  <c r="CU175" i="6"/>
  <c r="CU191" i="6"/>
  <c r="CU211" i="6"/>
  <c r="CU2361" i="6"/>
  <c r="CU2573" i="6"/>
  <c r="CU2577" i="6"/>
  <c r="CU2624" i="6"/>
  <c r="CU2628" i="6"/>
  <c r="CU2655" i="6"/>
  <c r="CU2670" i="6"/>
  <c r="CU2674" i="6"/>
  <c r="CU2686" i="6"/>
  <c r="CU2698" i="6"/>
  <c r="CU2713" i="6"/>
  <c r="CU2729" i="6"/>
  <c r="CU2733" i="6"/>
  <c r="CU2784" i="6"/>
  <c r="CU2792" i="6"/>
  <c r="CU2800" i="6"/>
  <c r="CU2808" i="6"/>
  <c r="CU2836" i="6"/>
  <c r="CU2852" i="6"/>
  <c r="CU2867" i="6"/>
  <c r="CU2876" i="6"/>
  <c r="CU2888" i="6"/>
  <c r="CU2903" i="6"/>
  <c r="CU3030" i="6"/>
  <c r="CU3046" i="6"/>
  <c r="CU3050" i="6"/>
  <c r="CU3058" i="6"/>
  <c r="CU3336" i="6"/>
  <c r="CU3384" i="6"/>
  <c r="CU3404" i="6"/>
  <c r="CU3455" i="6"/>
  <c r="CU3478" i="6"/>
  <c r="CU3482" i="6"/>
  <c r="CU3510" i="6"/>
  <c r="CU3522" i="6"/>
  <c r="CU3549" i="6"/>
  <c r="CU3553" i="6"/>
  <c r="CU3576" i="6"/>
  <c r="CU3588" i="6"/>
  <c r="CU37" i="6"/>
  <c r="CU49" i="6"/>
  <c r="CU65" i="6"/>
  <c r="CU103" i="6"/>
  <c r="CU2275" i="6"/>
  <c r="CU2314" i="6"/>
  <c r="CU2326" i="6"/>
  <c r="CU2371" i="6"/>
  <c r="CU2379" i="6"/>
  <c r="CU2383" i="6"/>
  <c r="CU2395" i="6"/>
  <c r="CU2415" i="6"/>
  <c r="CU2431" i="6"/>
  <c r="CU2467" i="6"/>
  <c r="CU2475" i="6"/>
  <c r="CU2479" i="6"/>
  <c r="CU2487" i="6"/>
  <c r="CU2491" i="6"/>
  <c r="CU2503" i="6"/>
  <c r="CU2539" i="6"/>
  <c r="CU2593" i="6"/>
  <c r="CU2605" i="6"/>
  <c r="CU2636" i="6"/>
  <c r="CU2640" i="6"/>
  <c r="CU2644" i="6"/>
  <c r="CU2656" i="6"/>
  <c r="CU2667" i="6"/>
  <c r="CU2671" i="6"/>
  <c r="CU2687" i="6"/>
  <c r="CU2691" i="6"/>
  <c r="CU2714" i="6"/>
  <c r="CU2718" i="6"/>
  <c r="CU2746" i="6"/>
  <c r="CU2757" i="6"/>
  <c r="CU2793" i="6"/>
  <c r="CU2820" i="6"/>
  <c r="CU2828" i="6"/>
  <c r="CU2873" i="6"/>
  <c r="CU2900" i="6"/>
  <c r="CU2904" i="6"/>
  <c r="CU2960" i="6"/>
  <c r="CU3021" i="6"/>
  <c r="CU3026" i="6"/>
  <c r="CU3186" i="6"/>
  <c r="CU3190" i="6"/>
  <c r="CU3198" i="6"/>
  <c r="CU3309" i="6"/>
  <c r="CU3348" i="6"/>
  <c r="CU3369" i="6"/>
  <c r="CU3377" i="6"/>
  <c r="CU3392" i="6"/>
  <c r="CU3396" i="6"/>
  <c r="CU3416" i="6"/>
  <c r="CU3431" i="6"/>
  <c r="CU3452" i="6"/>
  <c r="CU3463" i="6"/>
  <c r="CU3526" i="6"/>
  <c r="CU3569" i="6"/>
  <c r="CU3600" i="6"/>
  <c r="CU3630" i="6"/>
  <c r="CU3677" i="6"/>
  <c r="CU120" i="6"/>
  <c r="CU172" i="6"/>
  <c r="CU180" i="6"/>
  <c r="CU192" i="6"/>
  <c r="CU196" i="6"/>
  <c r="CU216" i="6"/>
  <c r="CU2159" i="6"/>
  <c r="CU2194" i="6"/>
  <c r="CU2248" i="6"/>
  <c r="CU2260" i="6"/>
  <c r="CU2268" i="6"/>
  <c r="CU2284" i="6"/>
  <c r="CU2288" i="6"/>
  <c r="CU2350" i="6"/>
  <c r="CU2809" i="6"/>
  <c r="CU3035" i="6"/>
  <c r="CU3043" i="6"/>
  <c r="CU2108" i="6"/>
  <c r="CU2112" i="6"/>
  <c r="CU2120" i="6"/>
  <c r="CU2124" i="6"/>
  <c r="CU2132" i="6"/>
  <c r="CU2136" i="6"/>
  <c r="CU2144" i="6"/>
  <c r="CU2148" i="6"/>
  <c r="CU2167" i="6"/>
  <c r="CU2179" i="6"/>
  <c r="CU2187" i="6"/>
  <c r="CU2210" i="6"/>
  <c r="CU2233" i="6"/>
  <c r="CU2272" i="6"/>
  <c r="CU2315" i="6"/>
  <c r="CU2392" i="6"/>
  <c r="CU2428" i="6"/>
  <c r="CU2432" i="6"/>
  <c r="CU2468" i="6"/>
  <c r="CU2492" i="6"/>
  <c r="CU2500" i="6"/>
  <c r="CU2528" i="6"/>
  <c r="CU2536" i="6"/>
  <c r="CU2582" i="6"/>
  <c r="CU2586" i="6"/>
  <c r="CU2598" i="6"/>
  <c r="CU2602" i="6"/>
  <c r="CU2606" i="6"/>
  <c r="CU2625" i="6"/>
  <c r="CU2645" i="6"/>
  <c r="CU2726" i="6"/>
  <c r="CU2817" i="6"/>
  <c r="CU2885" i="6"/>
  <c r="CU2889" i="6"/>
  <c r="CU2897" i="6"/>
  <c r="CU2929" i="6"/>
  <c r="CU2937" i="6"/>
  <c r="CU2982" i="6"/>
  <c r="CU2986" i="6"/>
  <c r="CU2990" i="6"/>
  <c r="CU2994" i="6"/>
  <c r="CU3055" i="6"/>
  <c r="CU3067" i="6"/>
  <c r="CU3163" i="6"/>
  <c r="CU3187" i="6"/>
  <c r="CU3337" i="6"/>
  <c r="CU3420" i="6"/>
  <c r="CU3424" i="6"/>
  <c r="CU3504" i="6"/>
  <c r="CU3511" i="6"/>
  <c r="CU3531" i="6"/>
  <c r="CU3543" i="6"/>
  <c r="CU3558" i="6"/>
  <c r="CU3585" i="6"/>
  <c r="CU3604" i="6"/>
  <c r="CU3638" i="6"/>
  <c r="CU3642" i="6"/>
  <c r="CU3646" i="6"/>
  <c r="CU3654" i="6"/>
  <c r="CU3666" i="6"/>
  <c r="CU3674" i="6"/>
  <c r="CU113" i="6"/>
  <c r="CU42" i="6"/>
  <c r="CU46" i="6"/>
  <c r="CU54" i="6"/>
  <c r="CU66" i="6"/>
  <c r="CU70" i="6"/>
  <c r="CU164" i="6"/>
  <c r="CU2653" i="6"/>
  <c r="CU2949" i="6"/>
  <c r="CU3266" i="6"/>
  <c r="CU3270" i="6"/>
  <c r="CU3678" i="6"/>
  <c r="CU213" i="6"/>
  <c r="CU2156" i="6"/>
  <c r="CU2195" i="6"/>
  <c r="CU2249" i="6"/>
  <c r="CU2257" i="6"/>
  <c r="CU2269" i="6"/>
  <c r="CU2331" i="6"/>
  <c r="CU2359" i="6"/>
  <c r="CU2668" i="6"/>
  <c r="CU2680" i="6"/>
  <c r="CU2715" i="6"/>
  <c r="CU2719" i="6"/>
  <c r="CU2739" i="6"/>
  <c r="CU2865" i="6"/>
  <c r="CU3022" i="6"/>
  <c r="CU3044" i="6"/>
  <c r="CU3048" i="6"/>
  <c r="CU3310" i="6"/>
  <c r="CU3314" i="6"/>
  <c r="CU3508" i="6"/>
  <c r="CU3535" i="6"/>
  <c r="CU3566" i="6"/>
  <c r="CU2583" i="6"/>
  <c r="CU2595" i="6"/>
  <c r="CU2599" i="6"/>
  <c r="CU2603" i="6"/>
  <c r="CU2607" i="6"/>
  <c r="CU2626" i="6"/>
  <c r="CU2646" i="6"/>
  <c r="CU2735" i="6"/>
  <c r="CU2763" i="6"/>
  <c r="CU2798" i="6"/>
  <c r="CU2814" i="6"/>
  <c r="CU2826" i="6"/>
  <c r="CU2846" i="6"/>
  <c r="CU2898" i="6"/>
  <c r="CU2930" i="6"/>
  <c r="CU2934" i="6"/>
  <c r="CU2979" i="6"/>
  <c r="CU2999" i="6"/>
  <c r="CU3087" i="6"/>
  <c r="CU3091" i="6"/>
  <c r="CU3095" i="6"/>
  <c r="CU3115" i="6"/>
  <c r="CU3168" i="6"/>
  <c r="CU3342" i="6"/>
  <c r="CU3363" i="6"/>
  <c r="CU3375" i="6"/>
  <c r="CU3465" i="6"/>
  <c r="CU3484" i="6"/>
  <c r="CU3488" i="6"/>
  <c r="CU3516" i="6"/>
  <c r="CU3528" i="6"/>
  <c r="CU3578" i="6"/>
  <c r="CU3590" i="6"/>
  <c r="CU3624" i="6"/>
  <c r="CU3628" i="6"/>
  <c r="CU3632" i="6"/>
  <c r="CU3655" i="6"/>
  <c r="CU3663" i="6"/>
  <c r="CU122" i="6"/>
  <c r="CU39" i="6"/>
  <c r="CU51" i="6"/>
  <c r="CU105" i="6"/>
  <c r="CU2137" i="6"/>
  <c r="CU2149" i="6"/>
  <c r="CU2320" i="6"/>
  <c r="CU2377" i="6"/>
  <c r="CU2413" i="6"/>
  <c r="CU2421" i="6"/>
  <c r="CU2425" i="6"/>
  <c r="CU2433" i="6"/>
  <c r="CU2437" i="6"/>
  <c r="CU2449" i="6"/>
  <c r="CU2485" i="6"/>
  <c r="CU2529" i="6"/>
  <c r="CU2533" i="6"/>
  <c r="CU2619" i="6"/>
  <c r="CU2638" i="6"/>
  <c r="CU2681" i="6"/>
  <c r="CU2689" i="6"/>
  <c r="CU2697" i="6"/>
  <c r="CU2712" i="6"/>
  <c r="CU2787" i="6"/>
  <c r="CU2791" i="6"/>
  <c r="CU2862" i="6"/>
  <c r="CU2871" i="6"/>
  <c r="CU2917" i="6"/>
  <c r="CU2962" i="6"/>
  <c r="CU2966" i="6"/>
  <c r="CU2970" i="6"/>
  <c r="CU3141" i="6"/>
  <c r="CU3145" i="6"/>
  <c r="CU3149" i="6"/>
  <c r="CU3263" i="6"/>
  <c r="CU3267" i="6"/>
  <c r="CU3271" i="6"/>
  <c r="CU3458" i="6"/>
  <c r="CU3552" i="6"/>
  <c r="CU3567" i="6"/>
  <c r="CU3598" i="6"/>
  <c r="CU161" i="6"/>
  <c r="CU174" i="6"/>
  <c r="CU186" i="6"/>
  <c r="CU198" i="6"/>
  <c r="CU210" i="6"/>
  <c r="CU214" i="6"/>
  <c r="CU2161" i="6"/>
  <c r="CU2192" i="6"/>
  <c r="CU2250" i="6"/>
  <c r="CU2262" i="6"/>
  <c r="CU2266" i="6"/>
  <c r="CU2340" i="6"/>
  <c r="CU2344" i="6"/>
  <c r="CU2352" i="6"/>
  <c r="CU2356" i="6"/>
  <c r="CU233" i="6"/>
  <c r="CU251" i="6"/>
  <c r="CU269" i="6"/>
  <c r="CU305" i="6"/>
  <c r="CU316" i="6"/>
  <c r="CU327" i="6"/>
  <c r="CU331" i="6"/>
  <c r="CU342" i="6"/>
  <c r="CU346" i="6"/>
  <c r="CU446" i="6"/>
  <c r="CU626" i="6"/>
  <c r="CU634" i="6"/>
  <c r="CU680" i="6"/>
  <c r="CU688" i="6"/>
  <c r="CU365" i="6"/>
  <c r="CU431" i="6"/>
  <c r="CU450" i="6"/>
  <c r="CU477" i="6"/>
  <c r="CU504" i="6"/>
  <c r="CU469" i="6"/>
  <c r="CU4" i="6"/>
  <c r="CU12" i="6"/>
  <c r="CU16" i="6"/>
  <c r="CU227" i="6"/>
  <c r="CU245" i="6"/>
  <c r="CU263" i="6"/>
  <c r="CU299" i="6"/>
  <c r="CU317" i="6"/>
  <c r="CU373" i="6"/>
  <c r="CU380" i="6"/>
  <c r="CU402" i="6"/>
  <c r="CU424" i="6"/>
  <c r="CU439" i="6"/>
  <c r="CU481" i="6"/>
  <c r="CU489" i="6"/>
  <c r="CU572" i="6"/>
  <c r="CU416" i="6"/>
  <c r="CU438" i="6"/>
  <c r="CU465" i="6"/>
  <c r="CU492" i="6"/>
  <c r="CU231" i="6"/>
  <c r="CU249" i="6"/>
  <c r="CU267" i="6"/>
  <c r="CU303" i="6"/>
  <c r="CU336" i="6"/>
  <c r="CU351" i="6"/>
  <c r="CU355" i="6"/>
  <c r="CU576" i="6"/>
  <c r="CU653" i="6"/>
  <c r="CU11" i="6"/>
  <c r="CU372" i="6"/>
  <c r="CU344" i="6"/>
  <c r="CU377" i="6"/>
  <c r="CU381" i="6"/>
  <c r="CU399" i="6"/>
  <c r="CU459" i="6"/>
  <c r="CU486" i="6"/>
  <c r="CU549" i="6"/>
  <c r="CU603" i="6"/>
  <c r="CU5" i="6"/>
  <c r="CU17" i="6"/>
  <c r="CU239" i="6"/>
  <c r="CU257" i="6"/>
  <c r="CU275" i="6"/>
  <c r="CU293" i="6"/>
  <c r="CU311" i="6"/>
  <c r="CU337" i="6"/>
  <c r="CU352" i="6"/>
  <c r="CU367" i="6"/>
  <c r="CU414" i="6"/>
  <c r="CU425" i="6"/>
  <c r="CU441" i="6"/>
  <c r="CU463" i="6"/>
  <c r="CU471" i="6"/>
  <c r="CU225" i="6"/>
  <c r="CU243" i="6"/>
  <c r="CU261" i="6"/>
  <c r="CU297" i="6"/>
  <c r="CU315" i="6"/>
  <c r="CU319" i="6"/>
  <c r="CU341" i="6"/>
  <c r="CU345" i="6"/>
  <c r="CU382" i="6"/>
  <c r="CU400" i="6"/>
  <c r="CU518" i="6"/>
  <c r="CU522" i="6"/>
  <c r="CU14" i="6"/>
  <c r="CU240" i="6"/>
  <c r="CU258" i="6"/>
  <c r="CU276" i="6"/>
  <c r="CU294" i="6"/>
  <c r="CU312" i="6"/>
  <c r="CU338" i="6"/>
  <c r="CU364" i="6"/>
  <c r="CU393" i="6"/>
  <c r="CU426" i="6"/>
  <c r="CU437" i="6"/>
  <c r="CU449" i="6"/>
  <c r="CU468" i="6"/>
  <c r="CU476" i="6"/>
  <c r="CU495" i="6"/>
  <c r="CU503" i="6"/>
  <c r="CU823" i="6"/>
  <c r="CU834" i="6"/>
  <c r="CU861" i="6"/>
  <c r="CU865" i="6"/>
  <c r="CU888" i="6"/>
  <c r="CU915" i="6"/>
  <c r="CU919" i="6"/>
  <c r="CU942" i="6"/>
  <c r="CU969" i="6"/>
  <c r="CU973" i="6"/>
  <c r="CU996" i="6"/>
  <c r="CU1015" i="6"/>
  <c r="CU1034" i="6"/>
  <c r="CU1049" i="6"/>
  <c r="CU1053" i="6"/>
  <c r="CU1068" i="6"/>
  <c r="CU1106" i="6"/>
  <c r="CU1121" i="6"/>
  <c r="CU1125" i="6"/>
  <c r="CU1140" i="6"/>
  <c r="CU1159" i="6"/>
  <c r="CU1178" i="6"/>
  <c r="CU1193" i="6"/>
  <c r="CU1197" i="6"/>
  <c r="CU1212" i="6"/>
  <c r="CU1231" i="6"/>
  <c r="CU1269" i="6"/>
  <c r="CU1284" i="6"/>
  <c r="CU1303" i="6"/>
  <c r="CU1318" i="6"/>
  <c r="CU1363" i="6"/>
  <c r="CU553" i="6"/>
  <c r="CU561" i="6"/>
  <c r="CU607" i="6"/>
  <c r="CU615" i="6"/>
  <c r="CU661" i="6"/>
  <c r="CU669" i="6"/>
  <c r="CU768" i="6"/>
  <c r="CU846" i="6"/>
  <c r="CU873" i="6"/>
  <c r="CU900" i="6"/>
  <c r="CU927" i="6"/>
  <c r="CU954" i="6"/>
  <c r="CU981" i="6"/>
  <c r="CU1019" i="6"/>
  <c r="CU1038" i="6"/>
  <c r="CU1110" i="6"/>
  <c r="CU1163" i="6"/>
  <c r="CU1182" i="6"/>
  <c r="CU1254" i="6"/>
  <c r="CU511" i="6"/>
  <c r="CU534" i="6"/>
  <c r="CU538" i="6"/>
  <c r="CU569" i="6"/>
  <c r="CU588" i="6"/>
  <c r="CU592" i="6"/>
  <c r="CU619" i="6"/>
  <c r="CU623" i="6"/>
  <c r="CU642" i="6"/>
  <c r="CU673" i="6"/>
  <c r="CU677" i="6"/>
  <c r="CU696" i="6"/>
  <c r="CU700" i="6"/>
  <c r="CU743" i="6"/>
  <c r="CU765" i="6"/>
  <c r="CU780" i="6"/>
  <c r="CU805" i="6"/>
  <c r="CU824" i="6"/>
  <c r="CU831" i="6"/>
  <c r="CU877" i="6"/>
  <c r="CU885" i="6"/>
  <c r="CU931" i="6"/>
  <c r="CU939" i="6"/>
  <c r="CU985" i="6"/>
  <c r="CU993" i="6"/>
  <c r="CU1004" i="6"/>
  <c r="CU1008" i="6"/>
  <c r="CU1023" i="6"/>
  <c r="CU1027" i="6"/>
  <c r="CU1042" i="6"/>
  <c r="CU1046" i="6"/>
  <c r="CU1061" i="6"/>
  <c r="CU1065" i="6"/>
  <c r="CU1076" i="6"/>
  <c r="CU1099" i="6"/>
  <c r="CU1114" i="6"/>
  <c r="CU1118" i="6"/>
  <c r="CU1133" i="6"/>
  <c r="CU1137" i="6"/>
  <c r="CU1148" i="6"/>
  <c r="CU1152" i="6"/>
  <c r="CU1167" i="6"/>
  <c r="CU1171" i="6"/>
  <c r="CU1186" i="6"/>
  <c r="CU1190" i="6"/>
  <c r="CU1209" i="6"/>
  <c r="CU1224" i="6"/>
  <c r="CU1239" i="6"/>
  <c r="CU1243" i="6"/>
  <c r="CU1258" i="6"/>
  <c r="CU1281" i="6"/>
  <c r="CU1296" i="6"/>
  <c r="CU1311" i="6"/>
  <c r="CU1315" i="6"/>
  <c r="CU1336" i="6"/>
  <c r="CU1360" i="6"/>
  <c r="CU1381" i="6"/>
  <c r="CU527" i="6"/>
  <c r="CU554" i="6"/>
  <c r="CU581" i="6"/>
  <c r="CU608" i="6"/>
  <c r="CU635" i="6"/>
  <c r="CU662" i="6"/>
  <c r="CU689" i="6"/>
  <c r="CU704" i="6"/>
  <c r="CU912" i="6"/>
  <c r="CU916" i="6"/>
  <c r="CU943" i="6"/>
  <c r="CU966" i="6"/>
  <c r="CU970" i="6"/>
  <c r="CU997" i="6"/>
  <c r="CU1016" i="6"/>
  <c r="CU1031" i="6"/>
  <c r="CU1035" i="6"/>
  <c r="CU1050" i="6"/>
  <c r="CU1069" i="6"/>
  <c r="CU1103" i="6"/>
  <c r="CU1107" i="6"/>
  <c r="CU1122" i="6"/>
  <c r="CU1141" i="6"/>
  <c r="CU1160" i="6"/>
  <c r="CU1175" i="6"/>
  <c r="CU1179" i="6"/>
  <c r="CU1194" i="6"/>
  <c r="CU1213" i="6"/>
  <c r="CU1217" i="6"/>
  <c r="CU1251" i="6"/>
  <c r="CU1266" i="6"/>
  <c r="CU1285" i="6"/>
  <c r="CU1289" i="6"/>
  <c r="CU1340" i="6"/>
  <c r="CU1385" i="6"/>
  <c r="CU1413" i="6"/>
  <c r="CU1417" i="6"/>
  <c r="CU512" i="6"/>
  <c r="CU531" i="6"/>
  <c r="CU539" i="6"/>
  <c r="CU566" i="6"/>
  <c r="CU817" i="6"/>
  <c r="CU843" i="6"/>
  <c r="CU847" i="6"/>
  <c r="CU870" i="6"/>
  <c r="CU897" i="6"/>
  <c r="CU901" i="6"/>
  <c r="CU924" i="6"/>
  <c r="CU951" i="6"/>
  <c r="CU955" i="6"/>
  <c r="CU978" i="6"/>
  <c r="CU1001" i="6"/>
  <c r="CU1020" i="6"/>
  <c r="CU1073" i="6"/>
  <c r="CU578" i="6"/>
  <c r="CU597" i="6"/>
  <c r="CU632" i="6"/>
  <c r="CU643" i="6"/>
  <c r="CU651" i="6"/>
  <c r="CU686" i="6"/>
  <c r="CU697" i="6"/>
  <c r="CU718" i="6"/>
  <c r="CU722" i="6"/>
  <c r="CU748" i="6"/>
  <c r="CU777" i="6"/>
  <c r="CU788" i="6"/>
  <c r="CU810" i="6"/>
  <c r="CU828" i="6"/>
  <c r="CU855" i="6"/>
  <c r="CU863" i="6"/>
  <c r="CU882" i="6"/>
  <c r="CU909" i="6"/>
  <c r="CU917" i="6"/>
  <c r="CU936" i="6"/>
  <c r="CU963" i="6"/>
  <c r="CU971" i="6"/>
  <c r="CU990" i="6"/>
  <c r="CU1005" i="6"/>
  <c r="CU1009" i="6"/>
  <c r="CU1024" i="6"/>
  <c r="CU1028" i="6"/>
  <c r="CU1043" i="6"/>
  <c r="CU1047" i="6"/>
  <c r="CU1058" i="6"/>
  <c r="CU1062" i="6"/>
  <c r="CU1077" i="6"/>
  <c r="CU1096" i="6"/>
  <c r="CU1100" i="6"/>
  <c r="CU1115" i="6"/>
  <c r="CU1119" i="6"/>
  <c r="CU1130" i="6"/>
  <c r="CU1134" i="6"/>
  <c r="CU1149" i="6"/>
  <c r="CU1153" i="6"/>
  <c r="CU1168" i="6"/>
  <c r="CU1172" i="6"/>
  <c r="CU1187" i="6"/>
  <c r="CU1191" i="6"/>
  <c r="CU1206" i="6"/>
  <c r="CU1214" i="6"/>
  <c r="CU1221" i="6"/>
  <c r="CU1225" i="6"/>
  <c r="CU1229" i="6"/>
  <c r="CU1240" i="6"/>
  <c r="CU1263" i="6"/>
  <c r="CU1278" i="6"/>
  <c r="CU1286" i="6"/>
  <c r="CU1293" i="6"/>
  <c r="CU1301" i="6"/>
  <c r="CU1312" i="6"/>
  <c r="CU1330" i="6"/>
  <c r="CU1403" i="6"/>
  <c r="CU1545" i="6"/>
  <c r="CU551" i="6"/>
  <c r="CU609" i="6"/>
  <c r="CU613" i="6"/>
  <c r="CU617" i="6"/>
  <c r="CU636" i="6"/>
  <c r="CU663" i="6"/>
  <c r="CU667" i="6"/>
  <c r="CU671" i="6"/>
  <c r="CU690" i="6"/>
  <c r="CU698" i="6"/>
  <c r="CU719" i="6"/>
  <c r="CU756" i="6"/>
  <c r="CU774" i="6"/>
  <c r="CU814" i="6"/>
  <c r="CU840" i="6"/>
  <c r="CU844" i="6"/>
  <c r="CU871" i="6"/>
  <c r="CU894" i="6"/>
  <c r="CU898" i="6"/>
  <c r="CU925" i="6"/>
  <c r="CU948" i="6"/>
  <c r="CU952" i="6"/>
  <c r="CU1002" i="6"/>
  <c r="CU1055" i="6"/>
  <c r="CU1074" i="6"/>
  <c r="CU1127" i="6"/>
  <c r="CU1146" i="6"/>
  <c r="CU1199" i="6"/>
  <c r="CU1218" i="6"/>
  <c r="CU1290" i="6"/>
  <c r="CU1327" i="6"/>
  <c r="CU1372" i="6"/>
  <c r="CU1396" i="6"/>
  <c r="CU513" i="6"/>
  <c r="CU521" i="6"/>
  <c r="CU540" i="6"/>
  <c r="CU567" i="6"/>
  <c r="CU575" i="6"/>
  <c r="CU594" i="6"/>
  <c r="CU602" i="6"/>
  <c r="CU629" i="6"/>
  <c r="CU656" i="6"/>
  <c r="CU683" i="6"/>
  <c r="CU741" i="6"/>
  <c r="CU829" i="6"/>
  <c r="CU1188" i="6"/>
  <c r="CU1203" i="6"/>
  <c r="CU1207" i="6"/>
  <c r="CU1222" i="6"/>
  <c r="CU1245" i="6"/>
  <c r="CU1260" i="6"/>
  <c r="CU1275" i="6"/>
  <c r="CU1279" i="6"/>
  <c r="CU1294" i="6"/>
  <c r="CU716" i="6"/>
  <c r="CU730" i="6"/>
  <c r="CU734" i="6"/>
  <c r="CU945" i="6"/>
  <c r="CU972" i="6"/>
  <c r="CU995" i="6"/>
  <c r="CU999" i="6"/>
  <c r="CU1033" i="6"/>
  <c r="CU1052" i="6"/>
  <c r="CU1067" i="6"/>
  <c r="CU1071" i="6"/>
  <c r="CU1086" i="6"/>
  <c r="CU1105" i="6"/>
  <c r="CU1124" i="6"/>
  <c r="CU1139" i="6"/>
  <c r="CU1143" i="6"/>
  <c r="CU1158" i="6"/>
  <c r="CU1177" i="6"/>
  <c r="CU1196" i="6"/>
  <c r="CU1215" i="6"/>
  <c r="CU1230" i="6"/>
  <c r="CU1249" i="6"/>
  <c r="CU1253" i="6"/>
  <c r="CU1287" i="6"/>
  <c r="CU1302" i="6"/>
  <c r="CU1324" i="6"/>
  <c r="CU1328" i="6"/>
  <c r="CU1345" i="6"/>
  <c r="CU533" i="6"/>
  <c r="CU587" i="6"/>
  <c r="CU641" i="6"/>
  <c r="CU695" i="6"/>
  <c r="CU713" i="6"/>
  <c r="CU738" i="6"/>
  <c r="CU793" i="6"/>
  <c r="CU797" i="6"/>
  <c r="CU841" i="6"/>
  <c r="CU849" i="6"/>
  <c r="CU895" i="6"/>
  <c r="CU903" i="6"/>
  <c r="CU949" i="6"/>
  <c r="CU957" i="6"/>
  <c r="CU1037" i="6"/>
  <c r="CU1056" i="6"/>
  <c r="CU1109" i="6"/>
  <c r="CU1128" i="6"/>
  <c r="CU1208" i="6"/>
  <c r="CU1223" i="6"/>
  <c r="CU1238" i="6"/>
  <c r="CU1280" i="6"/>
  <c r="CU1295" i="6"/>
  <c r="CU1310" i="6"/>
  <c r="CU1349" i="6"/>
  <c r="CU1366" i="6"/>
  <c r="CU1430" i="6"/>
  <c r="CU1539" i="6"/>
  <c r="CU1576" i="6"/>
  <c r="CU1626" i="6"/>
  <c r="CU1630" i="6"/>
  <c r="CU1662" i="6"/>
  <c r="CU1745" i="6"/>
  <c r="CU1859" i="6"/>
  <c r="CU1896" i="6"/>
  <c r="CU1900" i="6"/>
  <c r="CU1915" i="6"/>
  <c r="CU1937" i="6"/>
  <c r="CU1952" i="6"/>
  <c r="CU2004" i="6"/>
  <c r="CU2008" i="6"/>
  <c r="CU2023" i="6"/>
  <c r="CU2045" i="6"/>
  <c r="CU2056" i="6"/>
  <c r="CU2060" i="6"/>
  <c r="CU2067" i="6"/>
  <c r="CU2101" i="6"/>
  <c r="CU2116" i="6"/>
  <c r="CU2128" i="6"/>
  <c r="CU2140" i="6"/>
  <c r="CU2264" i="6"/>
  <c r="CU2282" i="6"/>
  <c r="CU2297" i="6"/>
  <c r="CU2322" i="6"/>
  <c r="CU2337" i="6"/>
  <c r="CU2345" i="6"/>
  <c r="CU2372" i="6"/>
  <c r="CU2391" i="6"/>
  <c r="CU2399" i="6"/>
  <c r="CU2418" i="6"/>
  <c r="CU2426" i="6"/>
  <c r="CU2445" i="6"/>
  <c r="CU2453" i="6"/>
  <c r="CU2472" i="6"/>
  <c r="CU2480" i="6"/>
  <c r="CU2499" i="6"/>
  <c r="CU2507" i="6"/>
  <c r="CU2526" i="6"/>
  <c r="CU2534" i="6"/>
  <c r="CU2693" i="6"/>
  <c r="CU2759" i="6"/>
  <c r="CU3631" i="6"/>
  <c r="CU136" i="6"/>
  <c r="CU1587" i="6"/>
  <c r="CU1659" i="6"/>
  <c r="CU1684" i="6"/>
  <c r="CU1688" i="6"/>
  <c r="CU1720" i="6"/>
  <c r="CU1724" i="6"/>
  <c r="CU1738" i="6"/>
  <c r="CU1878" i="6"/>
  <c r="CU1897" i="6"/>
  <c r="CU1919" i="6"/>
  <c r="CU1934" i="6"/>
  <c r="CU1986" i="6"/>
  <c r="CU1990" i="6"/>
  <c r="CU2005" i="6"/>
  <c r="CU2027" i="6"/>
  <c r="CU2042" i="6"/>
  <c r="CU2053" i="6"/>
  <c r="CU2064" i="6"/>
  <c r="CU2071" i="6"/>
  <c r="CU2094" i="6"/>
  <c r="CU2261" i="6"/>
  <c r="CU2286" i="6"/>
  <c r="CU2301" i="6"/>
  <c r="CU2308" i="6"/>
  <c r="CU2319" i="6"/>
  <c r="CU2349" i="6"/>
  <c r="CU2353" i="6"/>
  <c r="CU2376" i="6"/>
  <c r="CU2380" i="6"/>
  <c r="CU2403" i="6"/>
  <c r="CU2407" i="6"/>
  <c r="CU2430" i="6"/>
  <c r="CU2434" i="6"/>
  <c r="CU2457" i="6"/>
  <c r="CU2461" i="6"/>
  <c r="CU2484" i="6"/>
  <c r="CU2488" i="6"/>
  <c r="CU2511" i="6"/>
  <c r="CU2515" i="6"/>
  <c r="CU2538" i="6"/>
  <c r="CU2662" i="6"/>
  <c r="CU3338" i="6"/>
  <c r="CU3475" i="6"/>
  <c r="CU2469" i="6"/>
  <c r="CU2496" i="6"/>
  <c r="CU2523" i="6"/>
  <c r="CU3499" i="6"/>
  <c r="CU3571" i="6"/>
  <c r="CU1552" i="6"/>
  <c r="CU1588" i="6"/>
  <c r="CU1603" i="6"/>
  <c r="CU1642" i="6"/>
  <c r="CU1685" i="6"/>
  <c r="CU1699" i="6"/>
  <c r="CU1721" i="6"/>
  <c r="CU1735" i="6"/>
  <c r="CU1756" i="6"/>
  <c r="CU1901" i="6"/>
  <c r="CU1916" i="6"/>
  <c r="CU1968" i="6"/>
  <c r="CU1972" i="6"/>
  <c r="CU1987" i="6"/>
  <c r="CU2009" i="6"/>
  <c r="CU2050" i="6"/>
  <c r="CU2072" i="6"/>
  <c r="CU2076" i="6"/>
  <c r="CU2083" i="6"/>
  <c r="CU2091" i="6"/>
  <c r="CU2157" i="6"/>
  <c r="CU2175" i="6"/>
  <c r="CU2193" i="6"/>
  <c r="CU2211" i="6"/>
  <c r="CU2229" i="6"/>
  <c r="CU2254" i="6"/>
  <c r="CU2265" i="6"/>
  <c r="CU2283" i="6"/>
  <c r="CU2305" i="6"/>
  <c r="CU2309" i="6"/>
  <c r="CU2346" i="6"/>
  <c r="CU2354" i="6"/>
  <c r="CU2373" i="6"/>
  <c r="CU2381" i="6"/>
  <c r="CU2400" i="6"/>
  <c r="CU2408" i="6"/>
  <c r="CU2427" i="6"/>
  <c r="CU2435" i="6"/>
  <c r="CU2454" i="6"/>
  <c r="CU2462" i="6"/>
  <c r="CU2481" i="6"/>
  <c r="CU2489" i="6"/>
  <c r="CU2508" i="6"/>
  <c r="CU2516" i="6"/>
  <c r="CU2535" i="6"/>
  <c r="CU2652" i="6"/>
  <c r="CU2815" i="6"/>
  <c r="CU2978" i="6"/>
  <c r="CU3311" i="6"/>
  <c r="CU3315" i="6"/>
  <c r="CU3371" i="6"/>
  <c r="CU204" i="6"/>
  <c r="CU3429" i="6"/>
  <c r="CU3530" i="6"/>
  <c r="CU3602" i="6"/>
  <c r="CU3694" i="6"/>
  <c r="CU1600" i="6"/>
  <c r="CU1639" i="6"/>
  <c r="CU1671" i="6"/>
  <c r="CU1682" i="6"/>
  <c r="CU1689" i="6"/>
  <c r="CU1707" i="6"/>
  <c r="CU1718" i="6"/>
  <c r="CU1725" i="6"/>
  <c r="CU1857" i="6"/>
  <c r="CU1883" i="6"/>
  <c r="CU1898" i="6"/>
  <c r="CU1950" i="6"/>
  <c r="CU1991" i="6"/>
  <c r="CU2006" i="6"/>
  <c r="CU2080" i="6"/>
  <c r="CU2095" i="6"/>
  <c r="CU2110" i="6"/>
  <c r="CU2122" i="6"/>
  <c r="CU2134" i="6"/>
  <c r="CU2146" i="6"/>
  <c r="CU2313" i="6"/>
  <c r="CU2335" i="6"/>
  <c r="CU2358" i="6"/>
  <c r="CU2362" i="6"/>
  <c r="CU2385" i="6"/>
  <c r="CU2389" i="6"/>
  <c r="CU2412" i="6"/>
  <c r="CU2416" i="6"/>
  <c r="CU2439" i="6"/>
  <c r="CU2443" i="6"/>
  <c r="CU2466" i="6"/>
  <c r="CU2470" i="6"/>
  <c r="CU2493" i="6"/>
  <c r="CU2497" i="6"/>
  <c r="CU2520" i="6"/>
  <c r="CU2524" i="6"/>
  <c r="CU3260" i="6"/>
  <c r="CU3264" i="6"/>
  <c r="CU3268" i="6"/>
  <c r="CU3272" i="6"/>
  <c r="CU3698" i="6"/>
  <c r="CU1743" i="6"/>
  <c r="CU1943" i="6"/>
  <c r="CU1958" i="6"/>
  <c r="CU2010" i="6"/>
  <c r="CU2021" i="6"/>
  <c r="CU2036" i="6"/>
  <c r="CU2051" i="6"/>
  <c r="CU2062" i="6"/>
  <c r="CU2073" i="6"/>
  <c r="CU2295" i="6"/>
  <c r="CU2328" i="6"/>
  <c r="CU2343" i="6"/>
  <c r="CU2397" i="6"/>
  <c r="CU2424" i="6"/>
  <c r="CU2451" i="6"/>
  <c r="CU2478" i="6"/>
  <c r="CU2505" i="6"/>
  <c r="CU2532" i="6"/>
  <c r="CU1568" i="6"/>
  <c r="CU1593" i="6"/>
  <c r="CU1636" i="6"/>
  <c r="CU1686" i="6"/>
  <c r="CU1880" i="6"/>
  <c r="CU1932" i="6"/>
  <c r="CU1936" i="6"/>
  <c r="CU1988" i="6"/>
  <c r="CU2040" i="6"/>
  <c r="CU2092" i="6"/>
  <c r="CU2259" i="6"/>
  <c r="CU2270" i="6"/>
  <c r="CU2277" i="6"/>
  <c r="CU2299" i="6"/>
  <c r="CU2310" i="6"/>
  <c r="CU2332" i="6"/>
  <c r="CU2336" i="6"/>
  <c r="CU2355" i="6"/>
  <c r="CU2363" i="6"/>
  <c r="CU2382" i="6"/>
  <c r="CU2390" i="6"/>
  <c r="CU2409" i="6"/>
  <c r="CU2436" i="6"/>
  <c r="CU2444" i="6"/>
  <c r="CU2463" i="6"/>
  <c r="CU2471" i="6"/>
  <c r="CU2490" i="6"/>
  <c r="CU2517" i="6"/>
  <c r="CU2575" i="6"/>
  <c r="CU2641" i="6"/>
  <c r="CU3407" i="6"/>
  <c r="CU3411" i="6"/>
  <c r="CU3523" i="6"/>
  <c r="CU1629" i="6"/>
  <c r="CU1672" i="6"/>
  <c r="CU1676" i="6"/>
  <c r="CU1708" i="6"/>
  <c r="CU1712" i="6"/>
  <c r="CU1903" i="6"/>
  <c r="CU1966" i="6"/>
  <c r="CU1981" i="6"/>
  <c r="CU1992" i="6"/>
  <c r="CU1996" i="6"/>
  <c r="CU2003" i="6"/>
  <c r="CU2011" i="6"/>
  <c r="CU2018" i="6"/>
  <c r="CU2048" i="6"/>
  <c r="CU2059" i="6"/>
  <c r="CU2085" i="6"/>
  <c r="CU2107" i="6"/>
  <c r="CU2119" i="6"/>
  <c r="CU2131" i="6"/>
  <c r="CU2143" i="6"/>
  <c r="CU2521" i="6"/>
  <c r="CU2707" i="6"/>
  <c r="CU3554" i="6"/>
  <c r="CU3641" i="6"/>
  <c r="CU36" i="6"/>
  <c r="CU1565" i="6"/>
  <c r="CU1594" i="6"/>
  <c r="CU1637" i="6"/>
  <c r="CU1658" i="6"/>
  <c r="CU1748" i="6"/>
  <c r="CU1918" i="6"/>
  <c r="CU1933" i="6"/>
  <c r="CU2026" i="6"/>
  <c r="CU2078" i="6"/>
  <c r="CU2166" i="6"/>
  <c r="CU2202" i="6"/>
  <c r="CU2220" i="6"/>
  <c r="CU2238" i="6"/>
  <c r="CU2256" i="6"/>
  <c r="CU2274" i="6"/>
  <c r="CU2300" i="6"/>
  <c r="CU2318" i="6"/>
  <c r="CU2333" i="6"/>
  <c r="CU2456" i="6"/>
  <c r="CU2510" i="6"/>
  <c r="CU2782" i="6"/>
  <c r="CU3171" i="6"/>
  <c r="CU3175" i="6"/>
  <c r="CU3353" i="6"/>
  <c r="CU2631" i="6"/>
  <c r="CU2669" i="6"/>
  <c r="CU2947" i="6"/>
  <c r="CU3136" i="6"/>
  <c r="CU3140" i="6"/>
  <c r="CU3400" i="6"/>
  <c r="CU102" i="6"/>
  <c r="CU2579" i="6"/>
  <c r="CU2648" i="6"/>
  <c r="CU2672" i="6"/>
  <c r="CU2755" i="6"/>
  <c r="CU2778" i="6"/>
  <c r="CU2844" i="6"/>
  <c r="CU2899" i="6"/>
  <c r="CU2965" i="6"/>
  <c r="CU2989" i="6"/>
  <c r="CU2993" i="6"/>
  <c r="CU3004" i="6"/>
  <c r="CU3008" i="6"/>
  <c r="CU3012" i="6"/>
  <c r="CU3038" i="6"/>
  <c r="CU3061" i="6"/>
  <c r="CU3065" i="6"/>
  <c r="CU3069" i="6"/>
  <c r="CU3073" i="6"/>
  <c r="CU3077" i="6"/>
  <c r="CU3124" i="6"/>
  <c r="CU3132" i="6"/>
  <c r="CU3167" i="6"/>
  <c r="CU3194" i="6"/>
  <c r="CU3432" i="6"/>
  <c r="CU3439" i="6"/>
  <c r="CU3457" i="6"/>
  <c r="CU3464" i="6"/>
  <c r="CU3502" i="6"/>
  <c r="CU3536" i="6"/>
  <c r="CU3574" i="6"/>
  <c r="CU3627" i="6"/>
  <c r="CU3658" i="6"/>
  <c r="CU3669" i="6"/>
  <c r="CU3683" i="6"/>
  <c r="CU128" i="6"/>
  <c r="CU143" i="6"/>
  <c r="CU147" i="6"/>
  <c r="CU158" i="6"/>
  <c r="CU32" i="6"/>
  <c r="CU47" i="6"/>
  <c r="CU162" i="6"/>
  <c r="CU166" i="6"/>
  <c r="CU98" i="6"/>
  <c r="CU173" i="6"/>
  <c r="CU215" i="6"/>
  <c r="CU2614" i="6"/>
  <c r="CU2683" i="6"/>
  <c r="CU2741" i="6"/>
  <c r="CU2748" i="6"/>
  <c r="CU2771" i="6"/>
  <c r="CU2779" i="6"/>
  <c r="CU2786" i="6"/>
  <c r="CU2804" i="6"/>
  <c r="CU3013" i="6"/>
  <c r="CU3028" i="6"/>
  <c r="CU3039" i="6"/>
  <c r="CU3062" i="6"/>
  <c r="CU3066" i="6"/>
  <c r="CU3070" i="6"/>
  <c r="CU3129" i="6"/>
  <c r="CU3183" i="6"/>
  <c r="CU3191" i="6"/>
  <c r="CU3276" i="6"/>
  <c r="CU3280" i="6"/>
  <c r="CU3284" i="6"/>
  <c r="CU3288" i="6"/>
  <c r="CU3319" i="6"/>
  <c r="CU3323" i="6"/>
  <c r="CU3382" i="6"/>
  <c r="CU3393" i="6"/>
  <c r="CU3418" i="6"/>
  <c r="CU3422" i="6"/>
  <c r="CU3433" i="6"/>
  <c r="CU3454" i="6"/>
  <c r="CU3472" i="6"/>
  <c r="CU3496" i="6"/>
  <c r="CU3503" i="6"/>
  <c r="CU3520" i="6"/>
  <c r="CU3544" i="6"/>
  <c r="CU3568" i="6"/>
  <c r="CU3575" i="6"/>
  <c r="CU3589" i="6"/>
  <c r="CU3599" i="6"/>
  <c r="CU3670" i="6"/>
  <c r="CU3691" i="6"/>
  <c r="CU140" i="6"/>
  <c r="CU148" i="6"/>
  <c r="CU63" i="6"/>
  <c r="CU67" i="6"/>
  <c r="CU167" i="6"/>
  <c r="CU95" i="6"/>
  <c r="CU189" i="6"/>
  <c r="CU193" i="6"/>
  <c r="CU2590" i="6"/>
  <c r="CU2618" i="6"/>
  <c r="CU2642" i="6"/>
  <c r="CU2659" i="6"/>
  <c r="CU2663" i="6"/>
  <c r="CU2708" i="6"/>
  <c r="CU2745" i="6"/>
  <c r="CU2790" i="6"/>
  <c r="CU2890" i="6"/>
  <c r="CU2944" i="6"/>
  <c r="CU2948" i="6"/>
  <c r="CU2975" i="6"/>
  <c r="CU3017" i="6"/>
  <c r="CU3086" i="6"/>
  <c r="CU3199" i="6"/>
  <c r="CU3304" i="6"/>
  <c r="CU3308" i="6"/>
  <c r="CU3331" i="6"/>
  <c r="CU3335" i="6"/>
  <c r="CU3357" i="6"/>
  <c r="CU3361" i="6"/>
  <c r="CU3397" i="6"/>
  <c r="CU3415" i="6"/>
  <c r="CU3451" i="6"/>
  <c r="CU3469" i="6"/>
  <c r="CU3479" i="6"/>
  <c r="CU3527" i="6"/>
  <c r="CU3551" i="6"/>
  <c r="CU2730" i="6"/>
  <c r="CU2952" i="6"/>
  <c r="CU3102" i="6"/>
  <c r="CU3106" i="6"/>
  <c r="CU3114" i="6"/>
  <c r="CU3172" i="6"/>
  <c r="CU3257" i="6"/>
  <c r="CU3261" i="6"/>
  <c r="CU3269" i="6"/>
  <c r="CU3312" i="6"/>
  <c r="CU3316" i="6"/>
  <c r="CU3339" i="6"/>
  <c r="CU3346" i="6"/>
  <c r="CU3350" i="6"/>
  <c r="CU3372" i="6"/>
  <c r="CU3379" i="6"/>
  <c r="CU3408" i="6"/>
  <c r="CU3412" i="6"/>
  <c r="CU3448" i="6"/>
  <c r="CU3500" i="6"/>
  <c r="CU3517" i="6"/>
  <c r="CU3541" i="6"/>
  <c r="CU3565" i="6"/>
  <c r="CU3572" i="6"/>
  <c r="CU3586" i="6"/>
  <c r="CU3593" i="6"/>
  <c r="CU3681" i="6"/>
  <c r="CU3695" i="6"/>
  <c r="CU126" i="6"/>
  <c r="CU130" i="6"/>
  <c r="CU137" i="6"/>
  <c r="CU141" i="6"/>
  <c r="CU152" i="6"/>
  <c r="CU160" i="6"/>
  <c r="CU75" i="6"/>
  <c r="CU79" i="6"/>
  <c r="CU107" i="6"/>
  <c r="CU201" i="6"/>
  <c r="CU209" i="6"/>
  <c r="CU2587" i="6"/>
  <c r="CU2591" i="6"/>
  <c r="CU2632" i="6"/>
  <c r="CU2639" i="6"/>
  <c r="CU2660" i="6"/>
  <c r="CU2705" i="6"/>
  <c r="CU2742" i="6"/>
  <c r="CU2753" i="6"/>
  <c r="CU2838" i="6"/>
  <c r="CU2849" i="6"/>
  <c r="CU2863" i="6"/>
  <c r="CU2967" i="6"/>
  <c r="CU2976" i="6"/>
  <c r="CU2983" i="6"/>
  <c r="CU2995" i="6"/>
  <c r="CU3002" i="6"/>
  <c r="CU3040" i="6"/>
  <c r="CU3059" i="6"/>
  <c r="CU3075" i="6"/>
  <c r="CU3130" i="6"/>
  <c r="CU2612" i="6"/>
  <c r="CU2723" i="6"/>
  <c r="CU2908" i="6"/>
  <c r="CU3138" i="6"/>
  <c r="CU3142" i="6"/>
  <c r="CU3150" i="6"/>
  <c r="CU3165" i="6"/>
  <c r="CU3173" i="6"/>
  <c r="CU3192" i="6"/>
  <c r="CU3196" i="6"/>
  <c r="CU3254" i="6"/>
  <c r="CU3262" i="6"/>
  <c r="CU3293" i="6"/>
  <c r="CU3297" i="6"/>
  <c r="CU3301" i="6"/>
  <c r="CU3305" i="6"/>
  <c r="CU3328" i="6"/>
  <c r="CU3332" i="6"/>
  <c r="CU3343" i="6"/>
  <c r="CU3358" i="6"/>
  <c r="CU3387" i="6"/>
  <c r="CU3398" i="6"/>
  <c r="CU3459" i="6"/>
  <c r="CU3466" i="6"/>
  <c r="CU3490" i="6"/>
  <c r="CU3514" i="6"/>
  <c r="CU3538" i="6"/>
  <c r="CU3562" i="6"/>
  <c r="CU3583" i="6"/>
  <c r="CU3671" i="6"/>
  <c r="CU149" i="6"/>
  <c r="CU30" i="6"/>
  <c r="CU53" i="6"/>
  <c r="CU81" i="6"/>
  <c r="CU96" i="6"/>
  <c r="CU179" i="6"/>
  <c r="CU2588" i="6"/>
  <c r="CU2650" i="6"/>
  <c r="CU2657" i="6"/>
  <c r="CU2702" i="6"/>
  <c r="CU2727" i="6"/>
  <c r="CU2750" i="6"/>
  <c r="CU2765" i="6"/>
  <c r="CU2769" i="6"/>
  <c r="CU2773" i="6"/>
  <c r="CU2802" i="6"/>
  <c r="CU2953" i="6"/>
  <c r="CU2957" i="6"/>
  <c r="CU2984" i="6"/>
  <c r="CU3052" i="6"/>
  <c r="CU3056" i="6"/>
  <c r="CU3111" i="6"/>
  <c r="CU3154" i="6"/>
  <c r="CU3158" i="6"/>
  <c r="CU3185" i="6"/>
  <c r="CU3317" i="6"/>
  <c r="CU3373" i="6"/>
  <c r="CU3380" i="6"/>
  <c r="CU3405" i="6"/>
  <c r="CU3409" i="6"/>
  <c r="CU3427" i="6"/>
  <c r="CU3518" i="6"/>
  <c r="CU3580" i="6"/>
  <c r="CU3587" i="6"/>
  <c r="CU3639" i="6"/>
  <c r="CU3682" i="6"/>
  <c r="CU116" i="6"/>
  <c r="CU127" i="6"/>
  <c r="CU134" i="6"/>
  <c r="CU142" i="6"/>
  <c r="CU61" i="6"/>
  <c r="CU187" i="6"/>
  <c r="CU2654" i="6"/>
  <c r="CU2678" i="6"/>
  <c r="CU2699" i="6"/>
  <c r="CU2720" i="6"/>
  <c r="CU2743" i="6"/>
  <c r="CU2754" i="6"/>
  <c r="CU2777" i="6"/>
  <c r="CU2938" i="6"/>
  <c r="CU3003" i="6"/>
  <c r="CU3007" i="6"/>
  <c r="CU3041" i="6"/>
  <c r="CU2578" i="6"/>
  <c r="CU2585" i="6"/>
  <c r="CU2758" i="6"/>
  <c r="CU2781" i="6"/>
  <c r="CU2854" i="6"/>
  <c r="CU2864" i="6"/>
  <c r="CU2902" i="6"/>
  <c r="CU2916" i="6"/>
  <c r="CU2942" i="6"/>
  <c r="CU3015" i="6"/>
  <c r="CU3049" i="6"/>
  <c r="CU3088" i="6"/>
  <c r="CU3096" i="6"/>
  <c r="CU3147" i="6"/>
  <c r="CU3166" i="6"/>
  <c r="CU3189" i="6"/>
  <c r="CU3193" i="6"/>
  <c r="CU3201" i="6"/>
  <c r="CU3294" i="6"/>
  <c r="CU3298" i="6"/>
  <c r="CU3306" i="6"/>
  <c r="CU3329" i="6"/>
  <c r="CU3333" i="6"/>
  <c r="CU3344" i="6"/>
  <c r="CU3359" i="6"/>
  <c r="CU3388" i="6"/>
  <c r="CU3435" i="6"/>
  <c r="CU3446" i="6"/>
  <c r="CU3460" i="6"/>
  <c r="CU3467" i="6"/>
  <c r="CU3491" i="6"/>
  <c r="CU3505" i="6"/>
  <c r="CU3515" i="6"/>
  <c r="CU3532" i="6"/>
  <c r="CU3539" i="6"/>
  <c r="CU3563" i="6"/>
  <c r="CU3577" i="6"/>
  <c r="CU3584" i="6"/>
  <c r="CU3633" i="6"/>
  <c r="CU3668" i="6"/>
  <c r="CU3693" i="6"/>
  <c r="CU135" i="6"/>
  <c r="CU146" i="6"/>
  <c r="CU154" i="6"/>
  <c r="CU69" i="6"/>
  <c r="CU73" i="6"/>
  <c r="CU165" i="6"/>
  <c r="CU101" i="6"/>
  <c r="CU195" i="6"/>
  <c r="CU199" i="6"/>
  <c r="CU203" i="6"/>
  <c r="CU222" i="6"/>
  <c r="CU2627" i="6"/>
  <c r="CU2728" i="6"/>
  <c r="CU2766" i="6"/>
  <c r="CU2818" i="6"/>
  <c r="CU2924" i="6"/>
  <c r="CU2931" i="6"/>
  <c r="CU2935" i="6"/>
  <c r="CU2939" i="6"/>
  <c r="CU2958" i="6"/>
  <c r="CU2981" i="6"/>
  <c r="CU2985" i="6"/>
  <c r="CU3053" i="6"/>
  <c r="CU3057" i="6"/>
  <c r="CU3100" i="6"/>
  <c r="CU3104" i="6"/>
  <c r="CU3112" i="6"/>
  <c r="CU3155" i="6"/>
  <c r="CU3159" i="6"/>
  <c r="CU3428" i="6"/>
  <c r="CU3529" i="6"/>
  <c r="CU325" i="6"/>
  <c r="CU361" i="6"/>
  <c r="CU397" i="6"/>
  <c r="CU433" i="6"/>
  <c r="CU461" i="6"/>
  <c r="CU479" i="6"/>
  <c r="CU497" i="6"/>
  <c r="CU515" i="6"/>
  <c r="CU854" i="6"/>
  <c r="CU908" i="6"/>
  <c r="CU962" i="6"/>
  <c r="CU322" i="6"/>
  <c r="CU358" i="6"/>
  <c r="CU394" i="6"/>
  <c r="CU430" i="6"/>
  <c r="CU744" i="6"/>
  <c r="CU349" i="6"/>
  <c r="CU385" i="6"/>
  <c r="CU421" i="6"/>
  <c r="CU455" i="6"/>
  <c r="CU473" i="6"/>
  <c r="CU491" i="6"/>
  <c r="CU509" i="6"/>
  <c r="CU836" i="6"/>
  <c r="CU890" i="6"/>
  <c r="CU944" i="6"/>
  <c r="CU343" i="6"/>
  <c r="CU379" i="6"/>
  <c r="CU415" i="6"/>
  <c r="CU452" i="6"/>
  <c r="CU470" i="6"/>
  <c r="CU488" i="6"/>
  <c r="CU506" i="6"/>
  <c r="CU524" i="6"/>
  <c r="CU334" i="6"/>
  <c r="CU370" i="6"/>
  <c r="CU406" i="6"/>
  <c r="CU443" i="6"/>
  <c r="CU737" i="6"/>
  <c r="CU773" i="6"/>
  <c r="CU809" i="6"/>
  <c r="CU1429" i="6"/>
  <c r="CU1567" i="6"/>
  <c r="CU1652" i="6"/>
  <c r="CU1873" i="6"/>
  <c r="CU728" i="6"/>
  <c r="CU764" i="6"/>
  <c r="CU800" i="6"/>
  <c r="CU833" i="6"/>
  <c r="CU851" i="6"/>
  <c r="CU869" i="6"/>
  <c r="CU887" i="6"/>
  <c r="CU905" i="6"/>
  <c r="CU923" i="6"/>
  <c r="CU941" i="6"/>
  <c r="CU959" i="6"/>
  <c r="CU977" i="6"/>
  <c r="CU758" i="6"/>
  <c r="CU794" i="6"/>
  <c r="CU830" i="6"/>
  <c r="CU848" i="6"/>
  <c r="CU866" i="6"/>
  <c r="CU884" i="6"/>
  <c r="CU902" i="6"/>
  <c r="CU920" i="6"/>
  <c r="CU938" i="6"/>
  <c r="CU956" i="6"/>
  <c r="CU974" i="6"/>
  <c r="CU1760" i="6"/>
  <c r="CU749" i="6"/>
  <c r="CU785" i="6"/>
  <c r="CU821" i="6"/>
  <c r="CU1406" i="6"/>
  <c r="CU1544" i="6"/>
  <c r="CU782" i="6"/>
  <c r="CU818" i="6"/>
  <c r="CU842" i="6"/>
  <c r="CU860" i="6"/>
  <c r="CU878" i="6"/>
  <c r="CU896" i="6"/>
  <c r="CU914" i="6"/>
  <c r="CU932" i="6"/>
  <c r="CU950" i="6"/>
  <c r="CU968" i="6"/>
  <c r="CU986" i="6"/>
  <c r="CU740" i="6"/>
  <c r="CU776" i="6"/>
  <c r="CU812" i="6"/>
  <c r="CU839" i="6"/>
  <c r="CU857" i="6"/>
  <c r="CU875" i="6"/>
  <c r="CU893" i="6"/>
  <c r="CU911" i="6"/>
  <c r="CU929" i="6"/>
  <c r="CU947" i="6"/>
  <c r="CU965" i="6"/>
  <c r="CU983" i="6"/>
  <c r="CU1538" i="6"/>
  <c r="CU1397" i="6"/>
  <c r="CU1535" i="6"/>
  <c r="CU1607" i="6"/>
  <c r="CU1643" i="6"/>
  <c r="CU1679" i="6"/>
  <c r="CU1715" i="6"/>
  <c r="CU1424" i="6"/>
  <c r="CU1562" i="6"/>
  <c r="CU1598" i="6"/>
  <c r="CU1634" i="6"/>
  <c r="CU1670" i="6"/>
  <c r="CU1706" i="6"/>
  <c r="CU1742" i="6"/>
  <c r="CU1864" i="6"/>
  <c r="CU1882" i="6"/>
  <c r="CU1421" i="6"/>
  <c r="CU1559" i="6"/>
  <c r="CU1631" i="6"/>
  <c r="CU1667" i="6"/>
  <c r="CU1703" i="6"/>
  <c r="CU1739" i="6"/>
  <c r="CU1861" i="6"/>
  <c r="CU1418" i="6"/>
  <c r="CU1556" i="6"/>
  <c r="CU1592" i="6"/>
  <c r="CU1664" i="6"/>
  <c r="CU1700" i="6"/>
  <c r="CU1736" i="6"/>
  <c r="CU1858" i="6"/>
  <c r="CU1879" i="6"/>
  <c r="CU1415" i="6"/>
  <c r="CU1553" i="6"/>
  <c r="CU1661" i="6"/>
  <c r="CU1697" i="6"/>
  <c r="CU1733" i="6"/>
  <c r="CU1855" i="6"/>
  <c r="CU1409" i="6"/>
  <c r="CU1655" i="6"/>
  <c r="CU1691" i="6"/>
  <c r="CU1727" i="6"/>
  <c r="CU2154" i="6"/>
  <c r="CU2190" i="6"/>
  <c r="CU2208" i="6"/>
  <c r="CU2226" i="6"/>
  <c r="CU2244" i="6"/>
  <c r="CU2162" i="6"/>
  <c r="CU2180" i="6"/>
  <c r="CU2198" i="6"/>
  <c r="CU2216" i="6"/>
  <c r="CU2234" i="6"/>
  <c r="CU2252" i="6"/>
  <c r="CU2342" i="6"/>
  <c r="CU2396" i="6"/>
  <c r="CU2450" i="6"/>
  <c r="CU2504" i="6"/>
  <c r="CU2163" i="6"/>
  <c r="CU2181" i="6"/>
  <c r="CU2199" i="6"/>
  <c r="CU2217" i="6"/>
  <c r="CU2235" i="6"/>
  <c r="CU2109" i="6"/>
  <c r="CU2117" i="6"/>
  <c r="CU2121" i="6"/>
  <c r="CU2129" i="6"/>
  <c r="CU2133" i="6"/>
  <c r="CU2141" i="6"/>
  <c r="CU2145" i="6"/>
  <c r="CU2160" i="6"/>
  <c r="CU2178" i="6"/>
  <c r="CU2196" i="6"/>
  <c r="CU2214" i="6"/>
  <c r="CU2232" i="6"/>
  <c r="CU2153" i="6"/>
  <c r="CU2171" i="6"/>
  <c r="CU2189" i="6"/>
  <c r="CU2207" i="6"/>
  <c r="CU2225" i="6"/>
  <c r="CU2243" i="6"/>
  <c r="CU2276" i="6"/>
  <c r="CU2312" i="6"/>
  <c r="CU2974" i="6"/>
  <c r="CU2267" i="6"/>
  <c r="CU2303" i="6"/>
  <c r="CU2339" i="6"/>
  <c r="CU2357" i="6"/>
  <c r="CU2375" i="6"/>
  <c r="CU2393" i="6"/>
  <c r="CU2411" i="6"/>
  <c r="CU2429" i="6"/>
  <c r="CU2447" i="6"/>
  <c r="CU2465" i="6"/>
  <c r="CU2483" i="6"/>
  <c r="CU2501" i="6"/>
  <c r="CU2519" i="6"/>
  <c r="CU2537" i="6"/>
  <c r="CU2732" i="6"/>
  <c r="CU2866" i="6"/>
  <c r="CU2258" i="6"/>
  <c r="CU2294" i="6"/>
  <c r="CU2330" i="6"/>
  <c r="CU3010" i="6"/>
  <c r="CU2255" i="6"/>
  <c r="CU2291" i="6"/>
  <c r="CU2327" i="6"/>
  <c r="CU2351" i="6"/>
  <c r="CU2387" i="6"/>
  <c r="CU2405" i="6"/>
  <c r="CU2423" i="6"/>
  <c r="CU2441" i="6"/>
  <c r="CU2459" i="6"/>
  <c r="CU2477" i="6"/>
  <c r="CU2495" i="6"/>
  <c r="CU2513" i="6"/>
  <c r="CU2531" i="6"/>
  <c r="CU2285" i="6"/>
  <c r="CU2321" i="6"/>
  <c r="CU2348" i="6"/>
  <c r="CU2384" i="6"/>
  <c r="CU2402" i="6"/>
  <c r="CU2420" i="6"/>
  <c r="CU2438" i="6"/>
  <c r="CU2992" i="6"/>
  <c r="CU2752" i="6"/>
  <c r="CU2788" i="6"/>
  <c r="CU2824" i="6"/>
  <c r="CU2860" i="6"/>
  <c r="CU2896" i="6"/>
  <c r="CU3094" i="6"/>
  <c r="CU3137" i="6"/>
  <c r="CU2749" i="6"/>
  <c r="CU2785" i="6"/>
  <c r="CU2821" i="6"/>
  <c r="CU2857" i="6"/>
  <c r="CU2893" i="6"/>
  <c r="CU2945" i="6"/>
  <c r="CU2956" i="6"/>
  <c r="CU2740" i="6"/>
  <c r="CU2776" i="6"/>
  <c r="CU2812" i="6"/>
  <c r="CU2848" i="6"/>
  <c r="CU2884" i="6"/>
  <c r="CU2734" i="6"/>
  <c r="CU2770" i="6"/>
  <c r="CU2806" i="6"/>
  <c r="CU2842" i="6"/>
  <c r="CU2914" i="6"/>
  <c r="CU2932" i="6"/>
  <c r="CU2950" i="6"/>
  <c r="CU2968" i="6"/>
  <c r="CU2987" i="6"/>
  <c r="CU3005" i="6"/>
  <c r="CU3016" i="6"/>
  <c r="CU3259" i="6"/>
  <c r="CU2731" i="6"/>
  <c r="CU2767" i="6"/>
  <c r="CU2803" i="6"/>
  <c r="CU2839" i="6"/>
  <c r="CU2875" i="6"/>
  <c r="CU2911" i="6"/>
  <c r="CU2943" i="6"/>
  <c r="CU2980" i="6"/>
  <c r="CU3042" i="6"/>
  <c r="CU2725" i="6"/>
  <c r="CU2761" i="6"/>
  <c r="CU2797" i="6"/>
  <c r="CU2833" i="6"/>
  <c r="CU2905" i="6"/>
  <c r="CU2933" i="6"/>
  <c r="CU2969" i="6"/>
  <c r="CU3006" i="6"/>
  <c r="CU3148" i="6"/>
  <c r="CU2936" i="6"/>
  <c r="CU2973" i="6"/>
  <c r="CU3009" i="6"/>
  <c r="CU3045" i="6"/>
  <c r="CU3072" i="6"/>
  <c r="CU3090" i="6"/>
  <c r="CU3108" i="6"/>
  <c r="CU3126" i="6"/>
  <c r="CU3144" i="6"/>
  <c r="CU3162" i="6"/>
  <c r="CU2927" i="6"/>
  <c r="CU2963" i="6"/>
  <c r="CU3000" i="6"/>
  <c r="CU3036" i="6"/>
  <c r="CU3098" i="6"/>
  <c r="CU3116" i="6"/>
  <c r="CU3134" i="6"/>
  <c r="CU3152" i="6"/>
  <c r="CU3170" i="6"/>
  <c r="CU3188" i="6"/>
  <c r="CU3256" i="6"/>
  <c r="CU2918" i="6"/>
  <c r="CU2954" i="6"/>
  <c r="CU2991" i="6"/>
  <c r="CU3063" i="6"/>
  <c r="CU3099" i="6"/>
  <c r="CU3135" i="6"/>
  <c r="CU3153" i="6"/>
  <c r="CU2915" i="6"/>
  <c r="CU2951" i="6"/>
  <c r="CU2988" i="6"/>
  <c r="CU3060" i="6"/>
  <c r="CU3074" i="6"/>
  <c r="CU3092" i="6"/>
  <c r="CU3110" i="6"/>
  <c r="CU3128" i="6"/>
  <c r="CU3146" i="6"/>
  <c r="CU3164" i="6"/>
  <c r="CU3182" i="6"/>
  <c r="CU3200" i="6"/>
  <c r="CU3018" i="6"/>
  <c r="CU3054" i="6"/>
  <c r="CU3071" i="6"/>
  <c r="CU3089" i="6"/>
  <c r="CU3107" i="6"/>
  <c r="CU3125" i="6"/>
  <c r="CU3143" i="6"/>
  <c r="CU3161" i="6"/>
  <c r="CU3179" i="6"/>
  <c r="CU3197" i="6"/>
  <c r="CU3265" i="6"/>
  <c r="CU3660" i="6"/>
  <c r="CU3685" i="6"/>
  <c r="CU3672" i="6"/>
  <c r="CU117" i="6"/>
  <c r="CU3643" i="6"/>
  <c r="CU3679" i="6"/>
  <c r="CU124" i="6"/>
  <c r="CU3640" i="6"/>
  <c r="CU3676" i="6"/>
  <c r="CU121" i="6"/>
  <c r="CU145" i="6"/>
  <c r="CU29" i="6"/>
  <c r="CU3673" i="6"/>
  <c r="CU118" i="6"/>
  <c r="CU3667" i="6"/>
  <c r="CU112" i="6"/>
  <c r="CU3664" i="6"/>
  <c r="CU109" i="6"/>
  <c r="CU139" i="6"/>
  <c r="CU157" i="6"/>
  <c r="CU41" i="6"/>
  <c r="CU3661" i="6"/>
  <c r="CU3697" i="6"/>
  <c r="CU3652" i="6"/>
  <c r="CU3688" i="6"/>
  <c r="CU133" i="6"/>
  <c r="CU151" i="6"/>
  <c r="CU35" i="6"/>
  <c r="AE3027" i="6"/>
  <c r="CV3027" i="6" s="1"/>
  <c r="AE119" i="6"/>
  <c r="CV119" i="6" s="1"/>
  <c r="AE118" i="6"/>
  <c r="CV118" i="6" s="1"/>
  <c r="AE117" i="6"/>
  <c r="CV117" i="6" s="1"/>
  <c r="AY211" i="6" l="1"/>
  <c r="AY172" i="6"/>
  <c r="AY171" i="6"/>
  <c r="BA168" i="6"/>
  <c r="CT168" i="6" s="1"/>
  <c r="CU168" i="6" s="1"/>
  <c r="BM169" i="6"/>
  <c r="BG169" i="6"/>
  <c r="BA169" i="6"/>
  <c r="CT169" i="6" l="1"/>
  <c r="CU169" i="6" s="1"/>
  <c r="BA28" i="6"/>
  <c r="CT28" i="6" s="1"/>
  <c r="CU28" i="6" s="1"/>
  <c r="BA80" i="6"/>
  <c r="CT80" i="6" s="1"/>
  <c r="CU80" i="6" s="1"/>
  <c r="BA78" i="6" l="1"/>
  <c r="CT78" i="6" s="1"/>
  <c r="BA2169" i="6"/>
  <c r="CT2169" i="6" s="1"/>
  <c r="CU2169" i="6" s="1"/>
  <c r="AT163" i="6"/>
  <c r="BG705" i="6"/>
  <c r="BA705" i="6"/>
  <c r="BS657" i="6"/>
  <c r="BM657" i="6"/>
  <c r="BG657" i="6"/>
  <c r="BA657" i="6"/>
  <c r="CT657" i="6" l="1"/>
  <c r="CU657" i="6" s="1"/>
  <c r="CT705" i="6"/>
  <c r="CU705" i="6" s="1"/>
  <c r="CV163" i="6"/>
  <c r="CS163" i="6"/>
  <c r="CU163" i="6" s="1"/>
  <c r="CV1431" i="6"/>
  <c r="CV1432" i="6"/>
  <c r="CV1435" i="6"/>
  <c r="CV1436" i="6"/>
  <c r="CV1437" i="6"/>
  <c r="CV1438" i="6"/>
  <c r="CV1439" i="6"/>
  <c r="CV1440" i="6"/>
  <c r="CV1441" i="6"/>
  <c r="CV1442" i="6"/>
  <c r="CV1443" i="6"/>
  <c r="CV1444" i="6"/>
  <c r="CV1445" i="6"/>
  <c r="CV1446" i="6"/>
  <c r="CV1447" i="6"/>
  <c r="CV1448" i="6"/>
  <c r="CV1449" i="6"/>
  <c r="CV1450" i="6"/>
  <c r="CV1451" i="6"/>
  <c r="CV1452" i="6"/>
  <c r="CV1453" i="6"/>
  <c r="CV1454" i="6"/>
  <c r="CV1455" i="6"/>
  <c r="CV1456" i="6"/>
  <c r="CV1457" i="6"/>
  <c r="CV1458" i="6"/>
  <c r="CV1459" i="6"/>
  <c r="CV1460" i="6"/>
  <c r="CV1461" i="6"/>
  <c r="CV1462" i="6"/>
  <c r="CV1463" i="6"/>
  <c r="CV1464" i="6"/>
  <c r="CV1465" i="6"/>
  <c r="CV1466" i="6"/>
  <c r="CV1467" i="6"/>
  <c r="CV1469" i="6"/>
  <c r="CV1470" i="6"/>
  <c r="CV1471" i="6"/>
  <c r="CV1472" i="6"/>
  <c r="CV1473" i="6"/>
  <c r="CV1474" i="6"/>
  <c r="CV1475" i="6"/>
  <c r="CV1476" i="6"/>
  <c r="CV1477" i="6"/>
  <c r="CV1478" i="6"/>
  <c r="CV1479" i="6"/>
  <c r="CV1480" i="6"/>
  <c r="CV1481" i="6"/>
  <c r="CV1482" i="6"/>
  <c r="CV1483" i="6"/>
  <c r="CV1484" i="6"/>
  <c r="CV1485" i="6"/>
  <c r="CV1486" i="6"/>
  <c r="CV1487" i="6"/>
  <c r="CV1488" i="6"/>
  <c r="CV1489" i="6"/>
  <c r="CV1490" i="6"/>
  <c r="CV1491" i="6"/>
  <c r="CV1492" i="6"/>
  <c r="CV1493" i="6"/>
  <c r="CV1494" i="6"/>
  <c r="CV1495" i="6"/>
  <c r="CV1496" i="6"/>
  <c r="CV1497" i="6"/>
  <c r="CV1498" i="6"/>
  <c r="CV1499" i="6"/>
  <c r="CV1500" i="6"/>
  <c r="CV1501" i="6"/>
  <c r="CV1502" i="6"/>
  <c r="CV1503" i="6"/>
  <c r="CV1504" i="6"/>
  <c r="CV1505" i="6"/>
  <c r="CV1506" i="6"/>
  <c r="CV1507" i="6"/>
  <c r="CV1508" i="6"/>
  <c r="CV1509" i="6"/>
  <c r="CV1510" i="6"/>
  <c r="CV1511" i="6"/>
  <c r="CV1512" i="6"/>
  <c r="CV1513" i="6"/>
  <c r="CV1514" i="6"/>
  <c r="CV1515" i="6"/>
  <c r="CV1516" i="6"/>
  <c r="CV1517" i="6"/>
  <c r="CV1518" i="6"/>
  <c r="CV1519" i="6"/>
  <c r="CV1520" i="6"/>
  <c r="CV1521" i="6"/>
  <c r="CV1522" i="6"/>
  <c r="CV1523" i="6"/>
  <c r="CV1524" i="6"/>
  <c r="CV1525" i="6"/>
  <c r="CV1526" i="6"/>
  <c r="CV1527" i="6"/>
  <c r="CV1528" i="6"/>
  <c r="CV1529" i="6"/>
  <c r="CV1530" i="6"/>
  <c r="CV1531" i="6"/>
  <c r="CV1532" i="6"/>
  <c r="CV2971" i="6"/>
  <c r="CV3202" i="6"/>
  <c r="CV3203" i="6"/>
  <c r="CV3204" i="6"/>
  <c r="CV3205" i="6"/>
  <c r="CV3206" i="6"/>
  <c r="CV3207" i="6"/>
  <c r="CV3208" i="6"/>
  <c r="CV3209" i="6"/>
  <c r="CV3210" i="6"/>
  <c r="CV3211" i="6"/>
  <c r="CV3212" i="6"/>
  <c r="CV3213" i="6"/>
  <c r="CV3214" i="6"/>
  <c r="CV3215" i="6"/>
  <c r="CV3216" i="6"/>
  <c r="CV3217" i="6"/>
  <c r="CV3218" i="6"/>
  <c r="CV3219" i="6"/>
  <c r="CV3220" i="6"/>
  <c r="CV3221" i="6"/>
  <c r="CV3222" i="6"/>
  <c r="CV3223" i="6"/>
  <c r="CV3224" i="6"/>
  <c r="CV3225" i="6"/>
  <c r="CV3226" i="6"/>
  <c r="CV3227" i="6"/>
  <c r="CV3228" i="6"/>
  <c r="CV3229" i="6"/>
  <c r="CV3230" i="6"/>
  <c r="CV3231" i="6"/>
  <c r="CV3232" i="6"/>
  <c r="CV3233" i="6"/>
  <c r="CV3234" i="6"/>
  <c r="CV3235" i="6"/>
  <c r="CV3236" i="6"/>
  <c r="CV3237" i="6"/>
  <c r="CV3238" i="6"/>
  <c r="CV3239" i="6"/>
  <c r="CV3240" i="6"/>
  <c r="CV3241" i="6"/>
  <c r="CV3242" i="6"/>
  <c r="CV3243" i="6"/>
  <c r="CV3244" i="6"/>
  <c r="CV3245" i="6"/>
  <c r="CV3246" i="6"/>
  <c r="CV3247" i="6"/>
  <c r="CV3248" i="6"/>
  <c r="CV3249" i="6"/>
  <c r="CV3250" i="6"/>
  <c r="CV3251" i="6"/>
  <c r="CV3699" i="6"/>
  <c r="CV3700" i="6"/>
  <c r="CV3701" i="6"/>
  <c r="CV3702" i="6"/>
  <c r="CV3703" i="6"/>
  <c r="CV3704" i="6"/>
  <c r="CV3705" i="6"/>
  <c r="CV3706" i="6"/>
  <c r="CV3707" i="6"/>
  <c r="CV3708" i="6"/>
  <c r="CV3709" i="6"/>
  <c r="CV3710" i="6"/>
  <c r="CV3711" i="6"/>
  <c r="CV3712" i="6"/>
  <c r="CV3713" i="6"/>
  <c r="CV3714" i="6"/>
  <c r="CV3715" i="6"/>
  <c r="CV3716" i="6"/>
  <c r="CV3717" i="6"/>
  <c r="CV3718" i="6"/>
  <c r="CV3719" i="6"/>
  <c r="CV3720" i="6"/>
  <c r="CV3721" i="6"/>
  <c r="CV3722" i="6"/>
  <c r="CV3723" i="6"/>
  <c r="CV3724" i="6"/>
  <c r="CV3725" i="6"/>
  <c r="CV3726" i="6"/>
  <c r="CV3727" i="6"/>
  <c r="CV3728" i="6"/>
  <c r="CV3729" i="6"/>
  <c r="CV3730" i="6"/>
  <c r="CV3731" i="6"/>
  <c r="CV3732" i="6"/>
  <c r="CV3733" i="6"/>
  <c r="CV3734" i="6"/>
  <c r="CV3735" i="6"/>
  <c r="CV3736" i="6"/>
  <c r="CV3737" i="6"/>
  <c r="CV3738" i="6"/>
  <c r="CV3739" i="6"/>
  <c r="CV3740" i="6"/>
  <c r="CV3741" i="6"/>
  <c r="CV3742" i="6"/>
  <c r="CV3743" i="6"/>
  <c r="CV3744" i="6"/>
  <c r="CV3745" i="6"/>
  <c r="CV3746" i="6"/>
  <c r="CV3747" i="6"/>
  <c r="CV3748" i="6"/>
  <c r="CV3749" i="6"/>
  <c r="CV3750" i="6"/>
  <c r="CV3751" i="6"/>
  <c r="CV3752" i="6"/>
  <c r="CV3753" i="6"/>
  <c r="CV3754" i="6"/>
  <c r="CV3755" i="6"/>
  <c r="CV3756" i="6"/>
  <c r="CV3757" i="6"/>
  <c r="CV3758" i="6"/>
  <c r="CV3759" i="6"/>
  <c r="CV3760" i="6"/>
  <c r="CV3761" i="6"/>
  <c r="CV3762" i="6"/>
  <c r="CV3763" i="6"/>
  <c r="CV3764" i="6"/>
  <c r="CV3765" i="6"/>
  <c r="CV3766" i="6"/>
  <c r="CV3767" i="6"/>
  <c r="CV3768" i="6"/>
  <c r="CV3769" i="6"/>
  <c r="CV3770" i="6"/>
  <c r="CV3771" i="6"/>
  <c r="CV3772" i="6"/>
  <c r="CV3773" i="6"/>
  <c r="CV3774" i="6"/>
  <c r="CV3775" i="6"/>
  <c r="CV3776" i="6"/>
  <c r="CV3777" i="6"/>
  <c r="CV3778" i="6"/>
  <c r="CV3779" i="6"/>
  <c r="CV3780" i="6"/>
  <c r="CV3781" i="6"/>
  <c r="CV3782" i="6"/>
  <c r="CV3783" i="6"/>
  <c r="CV3784" i="6"/>
  <c r="CV3785" i="6"/>
  <c r="CV3786" i="6"/>
  <c r="CV3787" i="6"/>
  <c r="CV3788" i="6"/>
  <c r="CV3789" i="6"/>
  <c r="CV3790" i="6"/>
  <c r="CV3791" i="6"/>
  <c r="CV3792" i="6"/>
  <c r="CV3793" i="6"/>
  <c r="CV3794" i="6"/>
  <c r="CV3795" i="6"/>
  <c r="CV3796" i="6"/>
  <c r="CV3797" i="6"/>
  <c r="CV3798" i="6"/>
  <c r="CV3799" i="6"/>
  <c r="CV3800" i="6"/>
  <c r="CV3801" i="6"/>
  <c r="CT1431" i="6"/>
  <c r="CU1431" i="6" s="1"/>
  <c r="CT1432" i="6"/>
  <c r="CU1432" i="6" s="1"/>
  <c r="CT1433" i="6"/>
  <c r="CU1433" i="6" s="1"/>
  <c r="CT1434" i="6"/>
  <c r="CU1434" i="6" s="1"/>
  <c r="CT1435" i="6"/>
  <c r="CU1435" i="6" s="1"/>
  <c r="CT1436" i="6"/>
  <c r="CU1436" i="6" s="1"/>
  <c r="CT1437" i="6"/>
  <c r="CU1437" i="6" s="1"/>
  <c r="CT1438" i="6"/>
  <c r="CU1438" i="6" s="1"/>
  <c r="CT1439" i="6"/>
  <c r="CU1439" i="6" s="1"/>
  <c r="CT1440" i="6"/>
  <c r="CU1440" i="6" s="1"/>
  <c r="CT1441" i="6"/>
  <c r="CU1441" i="6" s="1"/>
  <c r="CT1442" i="6"/>
  <c r="CU1442" i="6" s="1"/>
  <c r="CT1443" i="6"/>
  <c r="CU1443" i="6" s="1"/>
  <c r="CT1444" i="6"/>
  <c r="CU1444" i="6" s="1"/>
  <c r="CT1445" i="6"/>
  <c r="CU1445" i="6" s="1"/>
  <c r="CT1446" i="6"/>
  <c r="CU1446" i="6" s="1"/>
  <c r="CT1447" i="6"/>
  <c r="CU1447" i="6" s="1"/>
  <c r="CT1448" i="6"/>
  <c r="CU1448" i="6" s="1"/>
  <c r="CT1449" i="6"/>
  <c r="CU1449" i="6" s="1"/>
  <c r="CT1450" i="6"/>
  <c r="CU1450" i="6" s="1"/>
  <c r="CT1451" i="6"/>
  <c r="CU1451" i="6" s="1"/>
  <c r="CT1452" i="6"/>
  <c r="CU1452" i="6" s="1"/>
  <c r="CT1453" i="6"/>
  <c r="CU1453" i="6" s="1"/>
  <c r="CT1454" i="6"/>
  <c r="CU1454" i="6" s="1"/>
  <c r="CT1455" i="6"/>
  <c r="CU1455" i="6" s="1"/>
  <c r="CT1456" i="6"/>
  <c r="CU1456" i="6" s="1"/>
  <c r="CT1457" i="6"/>
  <c r="CU1457" i="6" s="1"/>
  <c r="CT1458" i="6"/>
  <c r="CU1458" i="6" s="1"/>
  <c r="CT1459" i="6"/>
  <c r="CU1459" i="6" s="1"/>
  <c r="CT1460" i="6"/>
  <c r="CU1460" i="6" s="1"/>
  <c r="CT1461" i="6"/>
  <c r="CU1461" i="6" s="1"/>
  <c r="CT1462" i="6"/>
  <c r="CU1462" i="6" s="1"/>
  <c r="CT1463" i="6"/>
  <c r="CU1463" i="6" s="1"/>
  <c r="CT1464" i="6"/>
  <c r="CU1464" i="6" s="1"/>
  <c r="CT1465" i="6"/>
  <c r="CU1465" i="6" s="1"/>
  <c r="CT1466" i="6"/>
  <c r="CU1466" i="6" s="1"/>
  <c r="CT1467" i="6"/>
  <c r="CU1467" i="6" s="1"/>
  <c r="CT1468" i="6"/>
  <c r="CU1468" i="6" s="1"/>
  <c r="CT1469" i="6"/>
  <c r="CU1469" i="6" s="1"/>
  <c r="CT1470" i="6"/>
  <c r="CU1470" i="6" s="1"/>
  <c r="CT1472" i="6"/>
  <c r="CU1472" i="6" s="1"/>
  <c r="CT1473" i="6"/>
  <c r="CU1473" i="6" s="1"/>
  <c r="CT1474" i="6"/>
  <c r="CU1474" i="6" s="1"/>
  <c r="CT1475" i="6"/>
  <c r="CU1475" i="6" s="1"/>
  <c r="CT1476" i="6"/>
  <c r="CU1476" i="6" s="1"/>
  <c r="CT1477" i="6"/>
  <c r="CU1477" i="6" s="1"/>
  <c r="CT1478" i="6"/>
  <c r="CU1478" i="6" s="1"/>
  <c r="CT1479" i="6"/>
  <c r="CU1479" i="6" s="1"/>
  <c r="CT1480" i="6"/>
  <c r="CU1480" i="6" s="1"/>
  <c r="CT1481" i="6"/>
  <c r="CU1481" i="6" s="1"/>
  <c r="CT1482" i="6"/>
  <c r="CU1482" i="6" s="1"/>
  <c r="CT1483" i="6"/>
  <c r="CU1483" i="6" s="1"/>
  <c r="CT1484" i="6"/>
  <c r="CU1484" i="6" s="1"/>
  <c r="CT1485" i="6"/>
  <c r="CU1485" i="6" s="1"/>
  <c r="CT1486" i="6"/>
  <c r="CU1486" i="6" s="1"/>
  <c r="CT1487" i="6"/>
  <c r="CU1487" i="6" s="1"/>
  <c r="CT1488" i="6"/>
  <c r="CU1488" i="6" s="1"/>
  <c r="CT1489" i="6"/>
  <c r="CU1489" i="6" s="1"/>
  <c r="CT1490" i="6"/>
  <c r="CU1490" i="6" s="1"/>
  <c r="CT1491" i="6"/>
  <c r="CU1491" i="6" s="1"/>
  <c r="CT1492" i="6"/>
  <c r="CU1492" i="6" s="1"/>
  <c r="CT1493" i="6"/>
  <c r="CU1493" i="6" s="1"/>
  <c r="CT1494" i="6"/>
  <c r="CU1494" i="6" s="1"/>
  <c r="CT1495" i="6"/>
  <c r="CU1495" i="6" s="1"/>
  <c r="CT1496" i="6"/>
  <c r="CU1496" i="6" s="1"/>
  <c r="CT1497" i="6"/>
  <c r="CU1497" i="6" s="1"/>
  <c r="CT1498" i="6"/>
  <c r="CU1498" i="6" s="1"/>
  <c r="CT1499" i="6"/>
  <c r="CU1499" i="6" s="1"/>
  <c r="CT1500" i="6"/>
  <c r="CU1500" i="6" s="1"/>
  <c r="CT1501" i="6"/>
  <c r="CU1501" i="6" s="1"/>
  <c r="CT1502" i="6"/>
  <c r="CU1502" i="6" s="1"/>
  <c r="CT1503" i="6"/>
  <c r="CU1503" i="6" s="1"/>
  <c r="CT1504" i="6"/>
  <c r="CU1504" i="6" s="1"/>
  <c r="CT1505" i="6"/>
  <c r="CU1505" i="6" s="1"/>
  <c r="CT1506" i="6"/>
  <c r="CU1506" i="6" s="1"/>
  <c r="CT1507" i="6"/>
  <c r="CU1507" i="6" s="1"/>
  <c r="CT1508" i="6"/>
  <c r="CU1508" i="6" s="1"/>
  <c r="CT1509" i="6"/>
  <c r="CU1509" i="6" s="1"/>
  <c r="CT1510" i="6"/>
  <c r="CU1510" i="6" s="1"/>
  <c r="CT1511" i="6"/>
  <c r="CU1511" i="6" s="1"/>
  <c r="CT1512" i="6"/>
  <c r="CU1512" i="6" s="1"/>
  <c r="CT1513" i="6"/>
  <c r="CU1513" i="6" s="1"/>
  <c r="CT1514" i="6"/>
  <c r="CU1514" i="6" s="1"/>
  <c r="CT1515" i="6"/>
  <c r="CU1515" i="6" s="1"/>
  <c r="CT1516" i="6"/>
  <c r="CU1516" i="6" s="1"/>
  <c r="CT1517" i="6"/>
  <c r="CU1517" i="6" s="1"/>
  <c r="CT1518" i="6"/>
  <c r="CU1518" i="6" s="1"/>
  <c r="CT1519" i="6"/>
  <c r="CU1519" i="6" s="1"/>
  <c r="CT1520" i="6"/>
  <c r="CU1520" i="6" s="1"/>
  <c r="CT1521" i="6"/>
  <c r="CU1521" i="6" s="1"/>
  <c r="CT1522" i="6"/>
  <c r="CU1522" i="6" s="1"/>
  <c r="CT1523" i="6"/>
  <c r="CU1523" i="6" s="1"/>
  <c r="CT1524" i="6"/>
  <c r="CU1524" i="6" s="1"/>
  <c r="CT1525" i="6"/>
  <c r="CU1525" i="6" s="1"/>
  <c r="CT1526" i="6"/>
  <c r="CU1526" i="6" s="1"/>
  <c r="CT1527" i="6"/>
  <c r="CU1527" i="6" s="1"/>
  <c r="CT1528" i="6"/>
  <c r="CU1528" i="6" s="1"/>
  <c r="CT1529" i="6"/>
  <c r="CU1529" i="6" s="1"/>
  <c r="CT1530" i="6"/>
  <c r="CU1530" i="6" s="1"/>
  <c r="CT1531" i="6"/>
  <c r="CU1531" i="6" s="1"/>
  <c r="CT1532" i="6"/>
  <c r="CU1532" i="6" s="1"/>
  <c r="CT2971" i="6"/>
  <c r="CU2971" i="6" s="1"/>
  <c r="CT3204" i="6"/>
  <c r="CU3204" i="6" s="1"/>
  <c r="CT3205" i="6"/>
  <c r="CU3205" i="6" s="1"/>
  <c r="CT3206" i="6"/>
  <c r="CU3206" i="6" s="1"/>
  <c r="CT3207" i="6"/>
  <c r="CU3207" i="6" s="1"/>
  <c r="CT3208" i="6"/>
  <c r="CU3208" i="6" s="1"/>
  <c r="CT3209" i="6"/>
  <c r="CU3209" i="6" s="1"/>
  <c r="CT3210" i="6"/>
  <c r="CU3210" i="6" s="1"/>
  <c r="CT3211" i="6"/>
  <c r="CU3211" i="6" s="1"/>
  <c r="CT3212" i="6"/>
  <c r="CU3212" i="6" s="1"/>
  <c r="CT3213" i="6"/>
  <c r="CU3213" i="6" s="1"/>
  <c r="CT3214" i="6"/>
  <c r="CU3214" i="6" s="1"/>
  <c r="CT3215" i="6"/>
  <c r="CU3215" i="6" s="1"/>
  <c r="CT3216" i="6"/>
  <c r="CU3216" i="6" s="1"/>
  <c r="CT3217" i="6"/>
  <c r="CU3217" i="6" s="1"/>
  <c r="CT3218" i="6"/>
  <c r="CU3218" i="6" s="1"/>
  <c r="CT3219" i="6"/>
  <c r="CU3219" i="6" s="1"/>
  <c r="CT3220" i="6"/>
  <c r="CU3220" i="6" s="1"/>
  <c r="CT3221" i="6"/>
  <c r="CU3221" i="6" s="1"/>
  <c r="CT3222" i="6"/>
  <c r="CU3222" i="6" s="1"/>
  <c r="CT3223" i="6"/>
  <c r="CU3223" i="6" s="1"/>
  <c r="CT3224" i="6"/>
  <c r="CU3224" i="6" s="1"/>
  <c r="CT3225" i="6"/>
  <c r="CU3225" i="6" s="1"/>
  <c r="CT3226" i="6"/>
  <c r="CU3226" i="6" s="1"/>
  <c r="CT3227" i="6"/>
  <c r="CU3227" i="6" s="1"/>
  <c r="CT3228" i="6"/>
  <c r="CU3228" i="6" s="1"/>
  <c r="CT3229" i="6"/>
  <c r="CU3229" i="6" s="1"/>
  <c r="CT3230" i="6"/>
  <c r="CU3230" i="6" s="1"/>
  <c r="CT3231" i="6"/>
  <c r="CU3231" i="6" s="1"/>
  <c r="CT3232" i="6"/>
  <c r="CU3232" i="6" s="1"/>
  <c r="CT3233" i="6"/>
  <c r="CU3233" i="6" s="1"/>
  <c r="CT3234" i="6"/>
  <c r="CU3234" i="6" s="1"/>
  <c r="CT3235" i="6"/>
  <c r="CU3235" i="6" s="1"/>
  <c r="CT3236" i="6"/>
  <c r="CU3236" i="6" s="1"/>
  <c r="CT3237" i="6"/>
  <c r="CU3237" i="6" s="1"/>
  <c r="CT3238" i="6"/>
  <c r="CU3238" i="6" s="1"/>
  <c r="CT3239" i="6"/>
  <c r="CU3239" i="6" s="1"/>
  <c r="CT3240" i="6"/>
  <c r="CU3240" i="6" s="1"/>
  <c r="CT3241" i="6"/>
  <c r="CU3241" i="6" s="1"/>
  <c r="CT3242" i="6"/>
  <c r="CU3242" i="6" s="1"/>
  <c r="CT3243" i="6"/>
  <c r="CU3243" i="6" s="1"/>
  <c r="CT3244" i="6"/>
  <c r="CU3244" i="6" s="1"/>
  <c r="CT3245" i="6"/>
  <c r="CU3245" i="6" s="1"/>
  <c r="CT3246" i="6"/>
  <c r="CU3246" i="6" s="1"/>
  <c r="CT3247" i="6"/>
  <c r="CU3247" i="6" s="1"/>
  <c r="CT3248" i="6"/>
  <c r="CU3248" i="6" s="1"/>
  <c r="CT3249" i="6"/>
  <c r="CU3249" i="6" s="1"/>
  <c r="CT3250" i="6"/>
  <c r="CU3250" i="6" s="1"/>
  <c r="CT3251" i="6"/>
  <c r="CU3251" i="6" s="1"/>
  <c r="CT3699" i="6"/>
  <c r="CU3699" i="6" s="1"/>
  <c r="CT3700" i="6"/>
  <c r="CU3700" i="6" s="1"/>
  <c r="CT3701" i="6"/>
  <c r="CU3701" i="6" s="1"/>
  <c r="CT3702" i="6"/>
  <c r="CU3702" i="6" s="1"/>
  <c r="CT3703" i="6"/>
  <c r="CU3703" i="6" s="1"/>
  <c r="CT3704" i="6"/>
  <c r="CU3704" i="6" s="1"/>
  <c r="CT3705" i="6"/>
  <c r="CU3705" i="6" s="1"/>
  <c r="CT3706" i="6"/>
  <c r="CU3706" i="6" s="1"/>
  <c r="CT3707" i="6"/>
  <c r="CU3707" i="6" s="1"/>
  <c r="CT3708" i="6"/>
  <c r="CU3708" i="6" s="1"/>
  <c r="CT3709" i="6"/>
  <c r="CU3709" i="6" s="1"/>
  <c r="CT3710" i="6"/>
  <c r="CU3710" i="6" s="1"/>
  <c r="CT3711" i="6"/>
  <c r="CU3711" i="6" s="1"/>
  <c r="CT3712" i="6"/>
  <c r="CU3712" i="6" s="1"/>
  <c r="CT3713" i="6"/>
  <c r="CU3713" i="6" s="1"/>
  <c r="CT3714" i="6"/>
  <c r="CU3714" i="6" s="1"/>
  <c r="CT3715" i="6"/>
  <c r="CU3715" i="6" s="1"/>
  <c r="CT3716" i="6"/>
  <c r="CU3716" i="6" s="1"/>
  <c r="CT3717" i="6"/>
  <c r="CU3717" i="6" s="1"/>
  <c r="CT3718" i="6"/>
  <c r="CU3718" i="6" s="1"/>
  <c r="CT3719" i="6"/>
  <c r="CU3719" i="6" s="1"/>
  <c r="CT3720" i="6"/>
  <c r="CU3720" i="6" s="1"/>
  <c r="CT3721" i="6"/>
  <c r="CU3721" i="6" s="1"/>
  <c r="CT3722" i="6"/>
  <c r="CU3722" i="6" s="1"/>
  <c r="CT3723" i="6"/>
  <c r="CU3723" i="6" s="1"/>
  <c r="CT3724" i="6"/>
  <c r="CU3724" i="6" s="1"/>
  <c r="CT3725" i="6"/>
  <c r="CU3725" i="6" s="1"/>
  <c r="CT3726" i="6"/>
  <c r="CU3726" i="6" s="1"/>
  <c r="CT3727" i="6"/>
  <c r="CU3727" i="6" s="1"/>
  <c r="CT3728" i="6"/>
  <c r="CU3728" i="6" s="1"/>
  <c r="CT3729" i="6"/>
  <c r="CU3729" i="6" s="1"/>
  <c r="CT3730" i="6"/>
  <c r="CU3730" i="6" s="1"/>
  <c r="CT3731" i="6"/>
  <c r="CU3731" i="6" s="1"/>
  <c r="CT3732" i="6"/>
  <c r="CU3732" i="6" s="1"/>
  <c r="CT3733" i="6"/>
  <c r="CU3733" i="6" s="1"/>
  <c r="CT3734" i="6"/>
  <c r="CU3734" i="6" s="1"/>
  <c r="CT3735" i="6"/>
  <c r="CU3735" i="6" s="1"/>
  <c r="CT3736" i="6"/>
  <c r="CU3736" i="6" s="1"/>
  <c r="CT3737" i="6"/>
  <c r="CU3737" i="6" s="1"/>
  <c r="CT3738" i="6"/>
  <c r="CU3738" i="6" s="1"/>
  <c r="CT3739" i="6"/>
  <c r="CU3739" i="6" s="1"/>
  <c r="CT3740" i="6"/>
  <c r="CU3740" i="6" s="1"/>
  <c r="CT3741" i="6"/>
  <c r="CU3741" i="6" s="1"/>
  <c r="CT3742" i="6"/>
  <c r="CU3742" i="6" s="1"/>
  <c r="CT3743" i="6"/>
  <c r="CU3743" i="6" s="1"/>
  <c r="CT3744" i="6"/>
  <c r="CU3744" i="6" s="1"/>
  <c r="CT3745" i="6"/>
  <c r="CU3745" i="6" s="1"/>
  <c r="CT3746" i="6"/>
  <c r="CU3746" i="6" s="1"/>
  <c r="CT3747" i="6"/>
  <c r="CU3747" i="6" s="1"/>
  <c r="CT3748" i="6"/>
  <c r="CU3748" i="6" s="1"/>
  <c r="CT3749" i="6"/>
  <c r="CU3749" i="6" s="1"/>
  <c r="CT3750" i="6"/>
  <c r="CU3750" i="6" s="1"/>
  <c r="CT3751" i="6"/>
  <c r="CU3751" i="6" s="1"/>
  <c r="CT3752" i="6"/>
  <c r="CU3752" i="6" s="1"/>
  <c r="CT3753" i="6"/>
  <c r="CU3753" i="6" s="1"/>
  <c r="CT3754" i="6"/>
  <c r="CU3754" i="6" s="1"/>
  <c r="CT3755" i="6"/>
  <c r="CU3755" i="6" s="1"/>
  <c r="CT3756" i="6"/>
  <c r="CU3756" i="6" s="1"/>
  <c r="CT3757" i="6"/>
  <c r="CU3757" i="6" s="1"/>
  <c r="CT3758" i="6"/>
  <c r="CU3758" i="6" s="1"/>
  <c r="CT3759" i="6"/>
  <c r="CU3759" i="6" s="1"/>
  <c r="CT3760" i="6"/>
  <c r="CU3760" i="6" s="1"/>
  <c r="CT3761" i="6"/>
  <c r="CU3761" i="6" s="1"/>
  <c r="CT3762" i="6"/>
  <c r="CU3762" i="6" s="1"/>
  <c r="CT3763" i="6"/>
  <c r="CU3763" i="6" s="1"/>
  <c r="CT3764" i="6"/>
  <c r="CU3764" i="6" s="1"/>
  <c r="CT3765" i="6"/>
  <c r="CU3765" i="6" s="1"/>
  <c r="CT3766" i="6"/>
  <c r="CU3766" i="6" s="1"/>
  <c r="CT3767" i="6"/>
  <c r="CU3767" i="6" s="1"/>
  <c r="CT3768" i="6"/>
  <c r="CU3768" i="6" s="1"/>
  <c r="CT3769" i="6"/>
  <c r="CU3769" i="6" s="1"/>
  <c r="CT3770" i="6"/>
  <c r="CU3770" i="6" s="1"/>
  <c r="CT3771" i="6"/>
  <c r="CU3771" i="6" s="1"/>
  <c r="CT3772" i="6"/>
  <c r="CU3772" i="6" s="1"/>
  <c r="CT3773" i="6"/>
  <c r="CU3773" i="6" s="1"/>
  <c r="CT3774" i="6"/>
  <c r="CU3774" i="6" s="1"/>
  <c r="CT3775" i="6"/>
  <c r="CU3775" i="6" s="1"/>
  <c r="CT3776" i="6"/>
  <c r="CU3776" i="6" s="1"/>
  <c r="CT3777" i="6"/>
  <c r="CU3777" i="6" s="1"/>
  <c r="CT3778" i="6"/>
  <c r="CU3778" i="6" s="1"/>
  <c r="CT3779" i="6"/>
  <c r="CU3779" i="6" s="1"/>
  <c r="CT3780" i="6"/>
  <c r="CU3780" i="6" s="1"/>
  <c r="CT3781" i="6"/>
  <c r="CU3781" i="6" s="1"/>
  <c r="CT3782" i="6"/>
  <c r="CU3782" i="6" s="1"/>
  <c r="CT3783" i="6"/>
  <c r="CU3783" i="6" s="1"/>
  <c r="CT3784" i="6"/>
  <c r="CU3784" i="6" s="1"/>
  <c r="CT3785" i="6"/>
  <c r="CU3785" i="6" s="1"/>
  <c r="CT3786" i="6"/>
  <c r="CU3786" i="6" s="1"/>
  <c r="CT3787" i="6"/>
  <c r="CU3787" i="6" s="1"/>
  <c r="CT3788" i="6"/>
  <c r="CU3788" i="6" s="1"/>
  <c r="CT3789" i="6"/>
  <c r="CU3789" i="6" s="1"/>
  <c r="CT3790" i="6"/>
  <c r="CU3790" i="6" s="1"/>
  <c r="CT3791" i="6"/>
  <c r="CU3791" i="6" s="1"/>
  <c r="CT3792" i="6"/>
  <c r="CU3792" i="6" s="1"/>
  <c r="CT3793" i="6"/>
  <c r="CU3793" i="6" s="1"/>
  <c r="CT3794" i="6"/>
  <c r="CU3794" i="6" s="1"/>
  <c r="CT3795" i="6"/>
  <c r="CU3795" i="6" s="1"/>
  <c r="CT3796" i="6"/>
  <c r="CU3796" i="6" s="1"/>
  <c r="CT3797" i="6"/>
  <c r="CU3797" i="6" s="1"/>
  <c r="CT3798" i="6"/>
  <c r="CU3798" i="6" s="1"/>
  <c r="CT3799" i="6"/>
  <c r="CU3799" i="6" s="1"/>
  <c r="CT3800" i="6"/>
  <c r="CU3800" i="6" s="1"/>
  <c r="CT3801" i="6"/>
  <c r="CU3801" i="6" s="1"/>
  <c r="AE3" i="6"/>
  <c r="CV3" i="6" s="1"/>
  <c r="BA277" i="6"/>
  <c r="CT277" i="6" s="1"/>
  <c r="CU277" i="6" s="1"/>
  <c r="BA287" i="6"/>
  <c r="CT287" i="6" s="1"/>
  <c r="CU287" i="6" s="1"/>
  <c r="BA286" i="6"/>
  <c r="CT286" i="6" s="1"/>
  <c r="CU286" i="6" s="1"/>
  <c r="BG301" i="6"/>
  <c r="BA301" i="6"/>
  <c r="AE441" i="6"/>
  <c r="CV441" i="6" s="1"/>
  <c r="BG496" i="6"/>
  <c r="BA496" i="6"/>
  <c r="CT301" i="6" l="1"/>
  <c r="CU301" i="6" s="1"/>
  <c r="CT496" i="6"/>
  <c r="CU496" i="6" s="1"/>
  <c r="AY618" i="6"/>
  <c r="BA658" i="6"/>
  <c r="CT658" i="6" s="1"/>
  <c r="CU658" i="6" s="1"/>
  <c r="AY656" i="6"/>
  <c r="BA654" i="6"/>
  <c r="CT654" i="6" s="1"/>
  <c r="CU654" i="6" s="1"/>
  <c r="BA655" i="6"/>
  <c r="CT655" i="6" s="1"/>
  <c r="CU655" i="6" s="1"/>
  <c r="AY653" i="6"/>
  <c r="AY652" i="6"/>
  <c r="AY651" i="6"/>
  <c r="AY650" i="6"/>
  <c r="BA649" i="6"/>
  <c r="CT649" i="6" s="1"/>
  <c r="CU649" i="6" s="1"/>
  <c r="AY648" i="6"/>
  <c r="BG648" i="6"/>
  <c r="CT648" i="6" s="1"/>
  <c r="CU648" i="6" s="1"/>
  <c r="BM647" i="6"/>
  <c r="BG647" i="6"/>
  <c r="BA647" i="6"/>
  <c r="BE646" i="6"/>
  <c r="BA646" i="6"/>
  <c r="BM644" i="6"/>
  <c r="BG644" i="6"/>
  <c r="AY770" i="6"/>
  <c r="AY769" i="6"/>
  <c r="BA819" i="6"/>
  <c r="CT819" i="6" s="1"/>
  <c r="CU819" i="6" s="1"/>
  <c r="AE839" i="6"/>
  <c r="CV839" i="6" s="1"/>
  <c r="AE838" i="6"/>
  <c r="CV838" i="6" s="1"/>
  <c r="CT644" i="6" l="1"/>
  <c r="CU644" i="6" s="1"/>
  <c r="CT647" i="6"/>
  <c r="CU647" i="6" s="1"/>
  <c r="BG646" i="6"/>
  <c r="CT646" i="6" s="1"/>
  <c r="CU646" i="6" s="1"/>
  <c r="BA1095" i="6"/>
  <c r="CT1095" i="6" s="1"/>
  <c r="CU1095" i="6" s="1"/>
  <c r="BA1094" i="6"/>
  <c r="CT1094" i="6" s="1"/>
  <c r="CU1094" i="6" s="1"/>
  <c r="BA1093" i="6"/>
  <c r="CT1093" i="6" s="1"/>
  <c r="CU1093" i="6" s="1"/>
  <c r="BA1092" i="6"/>
  <c r="CT1092" i="6" s="1"/>
  <c r="CU1092" i="6" s="1"/>
  <c r="BA1091" i="6"/>
  <c r="CT1091" i="6" s="1"/>
  <c r="CU1091" i="6" s="1"/>
  <c r="BA1089" i="6"/>
  <c r="CT1089" i="6" s="1"/>
  <c r="CU1089" i="6" s="1"/>
  <c r="BA1088" i="6"/>
  <c r="CT1088" i="6" s="1"/>
  <c r="CU1088" i="6" s="1"/>
  <c r="BA1087" i="6"/>
  <c r="CT1087" i="6" s="1"/>
  <c r="CU1087" i="6" s="1"/>
  <c r="BA1085" i="6"/>
  <c r="CT1085" i="6" s="1"/>
  <c r="CU1085" i="6" s="1"/>
  <c r="BA1084" i="6"/>
  <c r="CT1084" i="6" s="1"/>
  <c r="CU1084" i="6" s="1"/>
  <c r="BA1081" i="6"/>
  <c r="CT1081" i="6" s="1"/>
  <c r="CU1081" i="6" s="1"/>
  <c r="BA1083" i="6"/>
  <c r="CT1083" i="6" s="1"/>
  <c r="CU1083" i="6" s="1"/>
  <c r="BA1079" i="6"/>
  <c r="AE1080" i="6"/>
  <c r="CV1080" i="6" s="1"/>
  <c r="BM1204" i="6"/>
  <c r="BG1204" i="6"/>
  <c r="BA1204" i="6"/>
  <c r="AE1204" i="6"/>
  <c r="CV1204" i="6" s="1"/>
  <c r="AE1468" i="6"/>
  <c r="CV1468" i="6" s="1"/>
  <c r="CT1204" i="6" l="1"/>
  <c r="CU1204" i="6" s="1"/>
  <c r="AE1434" i="6"/>
  <c r="CV1434" i="6" s="1"/>
  <c r="AE1433" i="6"/>
  <c r="CV1433" i="6" s="1"/>
  <c r="BG1547" i="6" l="1"/>
  <c r="CT1547" i="6" s="1"/>
  <c r="CU1547" i="6" s="1"/>
  <c r="BG1614" i="6"/>
  <c r="BA1614" i="6"/>
  <c r="BA1615" i="6"/>
  <c r="CT1615" i="6" s="1"/>
  <c r="CU1615" i="6" s="1"/>
  <c r="BA1616" i="6"/>
  <c r="CT1616" i="6" s="1"/>
  <c r="CU1616" i="6" s="1"/>
  <c r="BA1617" i="6"/>
  <c r="CT1617" i="6" s="1"/>
  <c r="CU1617" i="6" s="1"/>
  <c r="BA1618" i="6"/>
  <c r="CT1618" i="6" s="1"/>
  <c r="CU1618" i="6" s="1"/>
  <c r="AY1619" i="6"/>
  <c r="BA1580" i="6"/>
  <c r="CT1580" i="6" s="1"/>
  <c r="CU1580" i="6" s="1"/>
  <c r="BA1581" i="6"/>
  <c r="CT1581" i="6" s="1"/>
  <c r="CU1581" i="6" s="1"/>
  <c r="AY1620" i="6"/>
  <c r="AY1622" i="6"/>
  <c r="BA1583" i="6"/>
  <c r="CT1583" i="6" s="1"/>
  <c r="CU1583" i="6" s="1"/>
  <c r="BA1623" i="6"/>
  <c r="CT1623" i="6" s="1"/>
  <c r="CU1623" i="6" s="1"/>
  <c r="BA1624" i="6"/>
  <c r="CT1624" i="6" s="1"/>
  <c r="CU1624" i="6" s="1"/>
  <c r="AY1625" i="6"/>
  <c r="BA1586" i="6"/>
  <c r="CT1586" i="6" s="1"/>
  <c r="CU1586" i="6" s="1"/>
  <c r="AY1640" i="6"/>
  <c r="BA1602" i="6"/>
  <c r="CT1602" i="6" s="1"/>
  <c r="CU1602" i="6" s="1"/>
  <c r="AY1641" i="6"/>
  <c r="BA1601" i="6"/>
  <c r="CT1601" i="6" s="1"/>
  <c r="CU1601" i="6" s="1"/>
  <c r="BM1599" i="6"/>
  <c r="CT1599" i="6" s="1"/>
  <c r="CU1599" i="6" s="1"/>
  <c r="BG1595" i="6"/>
  <c r="CT1595" i="6" s="1"/>
  <c r="CU1595" i="6" s="1"/>
  <c r="BG1633" i="6"/>
  <c r="CT1633" i="6" s="1"/>
  <c r="CU1633" i="6" s="1"/>
  <c r="AY1628" i="6"/>
  <c r="BA1589" i="6"/>
  <c r="CT1589" i="6" s="1"/>
  <c r="CU1589" i="6" s="1"/>
  <c r="BA1627" i="6"/>
  <c r="BG1627" i="6"/>
  <c r="CT1627" i="6" s="1"/>
  <c r="CU1627" i="6" s="1"/>
  <c r="CT1614" i="6" l="1"/>
  <c r="CU1614" i="6" s="1"/>
  <c r="BA1622" i="6"/>
  <c r="CT1622" i="6" s="1"/>
  <c r="CU1622" i="6" s="1"/>
  <c r="BA1641" i="6"/>
  <c r="CT1641" i="6" s="1"/>
  <c r="CU1641" i="6" s="1"/>
  <c r="BA1620" i="6"/>
  <c r="CT1620" i="6" s="1"/>
  <c r="CU1620" i="6" s="1"/>
  <c r="BA1625" i="6"/>
  <c r="CT1625" i="6" s="1"/>
  <c r="CU1625" i="6" s="1"/>
  <c r="BA1619" i="6"/>
  <c r="CT1619" i="6" s="1"/>
  <c r="CU1619" i="6" s="1"/>
  <c r="BA1640" i="6"/>
  <c r="CT1640" i="6" s="1"/>
  <c r="CU1640" i="6" s="1"/>
  <c r="BA1628" i="6"/>
  <c r="CT1628" i="6" s="1"/>
  <c r="CU1628" i="6" s="1"/>
  <c r="AA1674" i="6"/>
  <c r="AA1675" i="6"/>
  <c r="AA1676" i="6"/>
  <c r="AA1677" i="6"/>
  <c r="AA1678" i="6"/>
  <c r="AA1679" i="6"/>
  <c r="AA1680" i="6"/>
  <c r="AA1681" i="6"/>
  <c r="AA1682" i="6"/>
  <c r="AA1683" i="6"/>
  <c r="AA1684" i="6"/>
  <c r="AA1685" i="6"/>
  <c r="AA1686" i="6"/>
  <c r="AA1687" i="6"/>
  <c r="AA1688" i="6"/>
  <c r="AA1689" i="6"/>
  <c r="AA1690" i="6"/>
  <c r="AA1691" i="6"/>
  <c r="AA1692" i="6"/>
  <c r="AA1693" i="6"/>
  <c r="AA1694" i="6"/>
  <c r="AA1695" i="6"/>
  <c r="AA1696" i="6"/>
  <c r="AA1697" i="6"/>
  <c r="AA1698" i="6"/>
  <c r="AA1699" i="6"/>
  <c r="AA1700" i="6"/>
  <c r="AA1701" i="6"/>
  <c r="AA1702" i="6"/>
  <c r="AA1703" i="6"/>
  <c r="AA1704" i="6"/>
  <c r="AA1705" i="6"/>
  <c r="AA1673" i="6"/>
  <c r="AY1851" i="6"/>
  <c r="BG2033" i="6"/>
  <c r="BA2041" i="6"/>
  <c r="CT2041" i="6" s="1"/>
  <c r="CU2041" i="6" s="1"/>
  <c r="BA2033" i="6"/>
  <c r="BA2031" i="6"/>
  <c r="CT2031" i="6" s="1"/>
  <c r="CU2031" i="6" s="1"/>
  <c r="BA2028" i="6"/>
  <c r="CT2028" i="6" s="1"/>
  <c r="CU2028" i="6" s="1"/>
  <c r="BA2058" i="6"/>
  <c r="CT2058" i="6" s="1"/>
  <c r="CU2058" i="6" s="1"/>
  <c r="BA2057" i="6"/>
  <c r="CT2057" i="6" s="1"/>
  <c r="CU2057" i="6" s="1"/>
  <c r="BA2088" i="6"/>
  <c r="CT2088" i="6" s="1"/>
  <c r="CU2088" i="6" s="1"/>
  <c r="AA2185" i="6"/>
  <c r="AA2186" i="6"/>
  <c r="AA2187" i="6"/>
  <c r="AA2188" i="6"/>
  <c r="AA2189" i="6"/>
  <c r="AA2190" i="6"/>
  <c r="AA2191" i="6"/>
  <c r="AA2192" i="6"/>
  <c r="AA2193" i="6"/>
  <c r="AA2194" i="6"/>
  <c r="AA2184" i="6"/>
  <c r="AA2196" i="6"/>
  <c r="AA2197" i="6"/>
  <c r="AA2198" i="6"/>
  <c r="AA2199" i="6"/>
  <c r="AA2200" i="6"/>
  <c r="AA2201" i="6"/>
  <c r="AA2202" i="6"/>
  <c r="AA2203" i="6"/>
  <c r="AA2204" i="6"/>
  <c r="AA2205" i="6"/>
  <c r="AA2195" i="6"/>
  <c r="AA2173" i="6"/>
  <c r="AA2174" i="6"/>
  <c r="AA2175" i="6"/>
  <c r="AA2176" i="6"/>
  <c r="AA2177" i="6"/>
  <c r="AA2178" i="6"/>
  <c r="AA2179" i="6"/>
  <c r="AA2180" i="6"/>
  <c r="AA2181" i="6"/>
  <c r="AA2182" i="6"/>
  <c r="AA2183" i="6"/>
  <c r="AA2172" i="6"/>
  <c r="CT2033" i="6" l="1"/>
  <c r="CU2033" i="6" s="1"/>
  <c r="BA2364" i="6"/>
  <c r="CT2364" i="6" s="1"/>
  <c r="CU2364" i="6" s="1"/>
  <c r="BA2366" i="6"/>
  <c r="CT2366" i="6" s="1"/>
  <c r="CU2366" i="6" s="1"/>
  <c r="BA2367" i="6"/>
  <c r="CT2367" i="6" s="1"/>
  <c r="CU2367" i="6" s="1"/>
  <c r="BA2369" i="6"/>
  <c r="CT2369" i="6" s="1"/>
  <c r="CU2369" i="6" s="1"/>
  <c r="BA2368" i="6"/>
  <c r="CT2368" i="6" s="1"/>
  <c r="CU2368" i="6" s="1"/>
  <c r="BA2594" i="6"/>
  <c r="CT2594" i="6" s="1"/>
  <c r="CU2594" i="6" s="1"/>
  <c r="AE2679" i="6"/>
  <c r="CV2679" i="6" s="1"/>
  <c r="AE2680" i="6"/>
  <c r="CV2680" i="6" s="1"/>
  <c r="BA2675" i="6"/>
  <c r="CT2675" i="6" s="1"/>
  <c r="CU2675" i="6" s="1"/>
  <c r="AE2684" i="6"/>
  <c r="CV2684" i="6" s="1"/>
  <c r="BG2736" i="6" l="1"/>
  <c r="CT2736" i="6" s="1"/>
  <c r="CU2736" i="6" s="1"/>
  <c r="BA2829" i="6"/>
  <c r="CT2829" i="6" s="1"/>
  <c r="CU2829" i="6" s="1"/>
  <c r="BA2919" i="6"/>
  <c r="CT2919" i="6" s="1"/>
  <c r="CU2919" i="6" s="1"/>
  <c r="BA2879" i="6"/>
  <c r="CT2879" i="6" s="1"/>
  <c r="CU2879" i="6" s="1"/>
  <c r="BA2878" i="6"/>
  <c r="CT2878" i="6" s="1"/>
  <c r="CU2878" i="6" s="1"/>
  <c r="BA3027" i="6" l="1"/>
  <c r="CT3027" i="6" s="1"/>
  <c r="CU3027" i="6" s="1"/>
  <c r="BA3024" i="6"/>
  <c r="CT3024" i="6" s="1"/>
  <c r="CU3024" i="6" s="1"/>
  <c r="BA3025" i="6"/>
  <c r="CT3025" i="6" s="1"/>
  <c r="CU3025" i="6" s="1"/>
  <c r="BA3082" i="6"/>
  <c r="CT3082" i="6" s="1"/>
  <c r="CU3082" i="6" s="1"/>
  <c r="BA3083" i="6"/>
  <c r="CT3083" i="6" s="1"/>
  <c r="CU3083" i="6" s="1"/>
  <c r="BA3084" i="6"/>
  <c r="CT3084" i="6" s="1"/>
  <c r="CU3084" i="6" s="1"/>
  <c r="BA3085" i="6"/>
  <c r="CT3085" i="6" s="1"/>
  <c r="CU3085" i="6" s="1"/>
  <c r="BA3081" i="6"/>
  <c r="CT3081" i="6" s="1"/>
  <c r="CU3081" i="6" s="1"/>
  <c r="BA3118" i="6"/>
  <c r="CT3118" i="6" s="1"/>
  <c r="CU3118" i="6" s="1"/>
  <c r="BA3119" i="6"/>
  <c r="CT3119" i="6" s="1"/>
  <c r="CU3119" i="6" s="1"/>
  <c r="BA3120" i="6"/>
  <c r="CT3120" i="6" s="1"/>
  <c r="CU3120" i="6" s="1"/>
  <c r="BA3121" i="6"/>
  <c r="CT3121" i="6" s="1"/>
  <c r="CU3121" i="6" s="1"/>
  <c r="BA3122" i="6"/>
  <c r="CT3122" i="6" s="1"/>
  <c r="CU3122" i="6" s="1"/>
  <c r="BA3203" i="6"/>
  <c r="CT3203" i="6" s="1"/>
  <c r="CU3203" i="6" s="1"/>
  <c r="BA3255" i="6"/>
  <c r="CT3255" i="6" s="1"/>
  <c r="CU3255" i="6" s="1"/>
  <c r="BA3355" i="6"/>
  <c r="CT3355" i="6" s="1"/>
  <c r="CU3355" i="6" s="1"/>
  <c r="BA3356" i="6"/>
  <c r="CT3356" i="6" s="1"/>
  <c r="CU3356" i="6" s="1"/>
  <c r="BA3354" i="6"/>
  <c r="CT3354" i="6" s="1"/>
  <c r="CU3354" i="6" s="1"/>
  <c r="BA3403" i="6"/>
  <c r="CT3403" i="6" s="1"/>
  <c r="CU3403" i="6" s="1"/>
  <c r="BG3445" i="6"/>
  <c r="AY3445" i="6"/>
  <c r="BA3444" i="6"/>
  <c r="CT3444" i="6" s="1"/>
  <c r="CU3444" i="6" s="1"/>
  <c r="BA3495" i="6"/>
  <c r="CT3495" i="6" s="1"/>
  <c r="CU3495" i="6" s="1"/>
  <c r="BA3494" i="6"/>
  <c r="CT3494" i="6" s="1"/>
  <c r="CU3494" i="6" s="1"/>
  <c r="BA3542" i="6"/>
  <c r="CT3542" i="6" s="1"/>
  <c r="CU3542" i="6" s="1"/>
  <c r="BA3441" i="6"/>
  <c r="CT3441" i="6" s="1"/>
  <c r="CU3441" i="6" s="1"/>
  <c r="BA3443" i="6"/>
  <c r="CT3443" i="6" s="1"/>
  <c r="CU3443" i="6" s="1"/>
  <c r="BA3442" i="6"/>
  <c r="CT3442" i="6" s="1"/>
  <c r="CU3442" i="6" s="1"/>
  <c r="BG3650" i="6"/>
  <c r="BA3650" i="6"/>
  <c r="CT3650" i="6" l="1"/>
  <c r="CU3650" i="6" s="1"/>
  <c r="BA3445" i="6"/>
  <c r="CT3445" i="6" s="1"/>
  <c r="CU3445" i="6" s="1"/>
  <c r="BA3492" i="6"/>
  <c r="CT3492" i="6" s="1"/>
  <c r="CU3492" i="6" s="1"/>
  <c r="BA3493" i="6"/>
  <c r="CT3493" i="6" s="1"/>
  <c r="CU3493" i="6" s="1"/>
  <c r="BA3402" i="6"/>
  <c r="CT3402" i="6" s="1"/>
  <c r="CU3402" i="6" s="1"/>
  <c r="BA3351" i="6"/>
  <c r="CT3351" i="6" s="1"/>
  <c r="CU3351" i="6" s="1"/>
  <c r="BA3347" i="6"/>
  <c r="CT3347" i="6" s="1"/>
  <c r="CU3347" i="6" s="1"/>
  <c r="BG3302" i="6" l="1"/>
  <c r="BA3302" i="6"/>
  <c r="BA3253" i="6"/>
  <c r="CT3253" i="6" s="1"/>
  <c r="CU3253" i="6" s="1"/>
  <c r="BA3252" i="6"/>
  <c r="CT3252" i="6" s="1"/>
  <c r="CU3252" i="6" s="1"/>
  <c r="BA3202" i="6"/>
  <c r="CT3202" i="6" s="1"/>
  <c r="CU3202" i="6" s="1"/>
  <c r="BA3080" i="6"/>
  <c r="CT3080" i="6" s="1"/>
  <c r="CU3080" i="6" s="1"/>
  <c r="BA3079" i="6"/>
  <c r="CT3079" i="6" s="1"/>
  <c r="CU3079" i="6" s="1"/>
  <c r="BA3078" i="6"/>
  <c r="CT3078" i="6" s="1"/>
  <c r="CU3078" i="6" s="1"/>
  <c r="BG3117" i="6"/>
  <c r="BA3117" i="6"/>
  <c r="CK3029" i="6"/>
  <c r="CE3029" i="6"/>
  <c r="BY3029" i="6"/>
  <c r="BS3029" i="6"/>
  <c r="BM3029" i="6"/>
  <c r="BG3029" i="6"/>
  <c r="BA3029" i="6"/>
  <c r="BG3023" i="6"/>
  <c r="BA3023" i="6"/>
  <c r="BA2972" i="6"/>
  <c r="CT2972" i="6" s="1"/>
  <c r="CU2972" i="6" s="1"/>
  <c r="BA2923" i="6"/>
  <c r="CT2923" i="6" s="1"/>
  <c r="CU2923" i="6" s="1"/>
  <c r="BA2922" i="6"/>
  <c r="CT2922" i="6" s="1"/>
  <c r="CU2922" i="6" s="1"/>
  <c r="BA2920" i="6"/>
  <c r="CT2920" i="6" s="1"/>
  <c r="CU2920" i="6" s="1"/>
  <c r="BG2921" i="6"/>
  <c r="BA2921" i="6"/>
  <c r="BA2870" i="6"/>
  <c r="CT2870" i="6" s="1"/>
  <c r="CU2870" i="6" s="1"/>
  <c r="BA2869" i="6"/>
  <c r="CT2869" i="6" s="1"/>
  <c r="CU2869" i="6" s="1"/>
  <c r="BA2868" i="6"/>
  <c r="CT2868" i="6" s="1"/>
  <c r="CU2868" i="6" s="1"/>
  <c r="BA2643" i="6"/>
  <c r="CT2643" i="6" s="1"/>
  <c r="CU2643" i="6" s="1"/>
  <c r="BA2370" i="6"/>
  <c r="CT2370" i="6" s="1"/>
  <c r="CU2370" i="6" s="1"/>
  <c r="BA2278" i="6"/>
  <c r="CT2278" i="6" s="1"/>
  <c r="CU2278" i="6" s="1"/>
  <c r="BA2247" i="6"/>
  <c r="CT2247" i="6" s="1"/>
  <c r="CU2247" i="6" s="1"/>
  <c r="BA2206" i="6"/>
  <c r="CT2206" i="6" s="1"/>
  <c r="CU2206" i="6" s="1"/>
  <c r="BA2184" i="6"/>
  <c r="CT2184" i="6" s="1"/>
  <c r="CU2184" i="6" s="1"/>
  <c r="BA2172" i="6"/>
  <c r="CT2172" i="6" s="1"/>
  <c r="CU2172" i="6" s="1"/>
  <c r="BG2025" i="6"/>
  <c r="BA2025" i="6"/>
  <c r="BA2024" i="6"/>
  <c r="CT2024" i="6" s="1"/>
  <c r="CU2024" i="6" s="1"/>
  <c r="BA1999" i="6"/>
  <c r="CT1999" i="6" s="1"/>
  <c r="CU1999" i="6" s="1"/>
  <c r="BA1998" i="6"/>
  <c r="CT1998" i="6" s="1"/>
  <c r="CU1998" i="6" s="1"/>
  <c r="BA1997" i="6"/>
  <c r="CT1997" i="6" s="1"/>
  <c r="CU1997" i="6" s="1"/>
  <c r="AE1971" i="6"/>
  <c r="CV1971" i="6" s="1"/>
  <c r="BA1764" i="6"/>
  <c r="CT1764" i="6" s="1"/>
  <c r="CU1764" i="6" s="1"/>
  <c r="BA1763" i="6"/>
  <c r="CT1763" i="6" s="1"/>
  <c r="CU1763" i="6" s="1"/>
  <c r="AZ1762" i="6"/>
  <c r="AZ1761" i="6"/>
  <c r="AZ1760" i="6"/>
  <c r="AZ1759" i="6"/>
  <c r="AZ1758" i="6"/>
  <c r="AZ1757" i="6"/>
  <c r="AZ1756" i="6"/>
  <c r="AZ1755" i="6"/>
  <c r="BA1754" i="6"/>
  <c r="CT1754" i="6" s="1"/>
  <c r="CU1754" i="6" s="1"/>
  <c r="BA1753" i="6"/>
  <c r="CT1753" i="6" s="1"/>
  <c r="CU1753" i="6" s="1"/>
  <c r="BA1752" i="6"/>
  <c r="CT1752" i="6" s="1"/>
  <c r="CU1752" i="6" s="1"/>
  <c r="BA1751" i="6"/>
  <c r="CT1751" i="6" s="1"/>
  <c r="CU1751" i="6" s="1"/>
  <c r="BA1750" i="6"/>
  <c r="CT1750" i="6" s="1"/>
  <c r="CU1750" i="6" s="1"/>
  <c r="CT3023" i="6" l="1"/>
  <c r="CU3023" i="6" s="1"/>
  <c r="CT3117" i="6"/>
  <c r="CU3117" i="6" s="1"/>
  <c r="CT3302" i="6"/>
  <c r="CU3302" i="6" s="1"/>
  <c r="CT3029" i="6"/>
  <c r="CU3029" i="6" s="1"/>
  <c r="CT2025" i="6"/>
  <c r="CU2025" i="6" s="1"/>
  <c r="CT2921" i="6"/>
  <c r="CU2921" i="6" s="1"/>
  <c r="BA1613" i="6"/>
  <c r="CT1613" i="6" s="1"/>
  <c r="CU1613" i="6" s="1"/>
  <c r="BA1571" i="6"/>
  <c r="CT1571" i="6" s="1"/>
  <c r="CU1571" i="6" s="1"/>
  <c r="BA1570" i="6"/>
  <c r="CT1570" i="6" s="1"/>
  <c r="CU1570" i="6" s="1"/>
  <c r="AZ1569" i="6"/>
  <c r="BA1564" i="6"/>
  <c r="CT1564" i="6" s="1"/>
  <c r="CU1564" i="6" s="1"/>
  <c r="BA1471" i="6"/>
  <c r="CT1471" i="6" s="1"/>
  <c r="CU1471" i="6" s="1"/>
  <c r="BA1298" i="6"/>
  <c r="CT1298" i="6" s="1"/>
  <c r="CU1298" i="6" s="1"/>
  <c r="BA1297" i="6"/>
  <c r="CT1297" i="6" s="1"/>
  <c r="CU1297" i="6" s="1"/>
  <c r="BA1080" i="6" l="1"/>
  <c r="CT1080" i="6" s="1"/>
  <c r="CU1080" i="6" s="1"/>
  <c r="BG1079" i="6"/>
  <c r="CT1079" i="6" s="1"/>
  <c r="CU1079" i="6" s="1"/>
  <c r="BA980" i="6"/>
  <c r="BG980" i="6"/>
  <c r="BA979" i="6"/>
  <c r="CT979" i="6" s="1"/>
  <c r="CU979" i="6" s="1"/>
  <c r="BM826" i="6"/>
  <c r="BG826" i="6"/>
  <c r="BA826" i="6"/>
  <c r="BA815" i="6"/>
  <c r="CT815" i="6" s="1"/>
  <c r="CU815" i="6" s="1"/>
  <c r="BA745" i="6"/>
  <c r="CT745" i="6" s="1"/>
  <c r="CU745" i="6" s="1"/>
  <c r="BA769" i="6"/>
  <c r="CT769" i="6" s="1"/>
  <c r="CU769" i="6" s="1"/>
  <c r="BA770" i="6"/>
  <c r="CT770" i="6" s="1"/>
  <c r="CU770" i="6" s="1"/>
  <c r="BG742" i="6"/>
  <c r="BA742" i="6"/>
  <c r="BA746" i="6"/>
  <c r="CT746" i="6" s="1"/>
  <c r="CU746" i="6" s="1"/>
  <c r="CT826" i="6" l="1"/>
  <c r="CU826" i="6" s="1"/>
  <c r="CT742" i="6"/>
  <c r="CU742" i="6" s="1"/>
  <c r="CT980" i="6"/>
  <c r="CU980" i="6" s="1"/>
  <c r="BA339" i="6"/>
  <c r="CT339" i="6" s="1"/>
  <c r="CU339" i="6" s="1"/>
  <c r="BA313" i="6" l="1"/>
  <c r="CT313" i="6" s="1"/>
  <c r="CU313" i="6" s="1"/>
  <c r="BA285" i="6"/>
  <c r="CT285" i="6" s="1"/>
  <c r="CU285" i="6" s="1"/>
  <c r="BA284" i="6"/>
  <c r="CT284" i="6" s="1"/>
  <c r="CU284" i="6" s="1"/>
  <c r="BA283" i="6"/>
  <c r="CT283" i="6" s="1"/>
  <c r="CU283" i="6" s="1"/>
  <c r="BA282" i="6"/>
  <c r="CT282" i="6" s="1"/>
  <c r="CU282" i="6" s="1"/>
  <c r="BA281" i="6"/>
  <c r="CT281" i="6" s="1"/>
  <c r="CU281" i="6" s="1"/>
  <c r="BA279" i="6"/>
  <c r="CT279" i="6" s="1"/>
  <c r="CU279" i="6" s="1"/>
  <c r="BA278" i="6"/>
  <c r="CT278" i="6" s="1"/>
  <c r="CU278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Ximena Champi</author>
  </authors>
  <commentList>
    <comment ref="CV163" authorId="0" shapeId="0" xr:uid="{1AED6EAB-33BF-4626-B192-7AFD9C01955C}">
      <text>
        <r>
          <rPr>
            <b/>
            <sz val="9"/>
            <color indexed="81"/>
            <rFont val="Tahoma"/>
            <family val="2"/>
          </rPr>
          <t>TRASPASO</t>
        </r>
      </text>
    </comment>
    <comment ref="BG228" authorId="0" shapeId="0" xr:uid="{0CEA663E-2A72-4CC1-B27C-A56C506D18E6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ESTACIONAMIENTO</t>
        </r>
      </text>
    </comment>
    <comment ref="BG229" authorId="0" shapeId="0" xr:uid="{86AA5F63-6F9F-48B5-BC8D-2AFAA6A5E331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ESTACIONAMIENTO</t>
        </r>
      </text>
    </comment>
    <comment ref="Y277" authorId="0" shapeId="0" xr:uid="{3A55C38F-E41B-49C2-8F50-8253BD09B9F1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FIRMA DE ADENDA 19.09.23</t>
        </r>
      </text>
    </comment>
    <comment ref="AA277" authorId="0" shapeId="0" xr:uid="{FED219AE-535C-46D9-A633-7806047CE2C7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ADENDA</t>
        </r>
      </text>
    </comment>
    <comment ref="AX278" authorId="0" shapeId="0" xr:uid="{5219F373-10BC-43BC-8469-68A996E48E88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AP 027882</t>
        </r>
      </text>
    </comment>
    <comment ref="AD338" authorId="0" shapeId="0" xr:uid="{49ED9D9F-98AA-43D6-AEB9-C8EB2A5C9646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FIRMA DEL CONTRATO DEFINITIOVO</t>
        </r>
      </text>
    </comment>
    <comment ref="AD364" authorId="0" shapeId="0" xr:uid="{11B9086A-54AD-4AEB-A63D-F8DEB7D70DFC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FIRMA DEL CONTRATO DEFINITIOVO</t>
        </r>
      </text>
    </comment>
    <comment ref="AX440" authorId="0" shapeId="0" xr:uid="{12A68364-871C-44FD-A1B3-FA2EA940EC8A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A113953</t>
        </r>
      </text>
    </comment>
    <comment ref="AA441" authorId="0" shapeId="0" xr:uid="{9ECDD24A-E689-4EF4-8342-4127F206DE78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Confirmar adenda - cronogramab no se detlla en contrato</t>
        </r>
      </text>
    </comment>
    <comment ref="AX493" authorId="0" shapeId="0" xr:uid="{C606371F-6892-404F-8AEA-DAA13C6269D6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001736</t>
        </r>
      </text>
    </comment>
    <comment ref="AX561" authorId="0" shapeId="0" xr:uid="{1D6B9002-9112-449D-AB97-307B6DD5D35B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A237986</t>
        </r>
      </text>
    </comment>
    <comment ref="AX910" authorId="0" shapeId="0" xr:uid="{E43D01E3-DFE9-421A-8FC9-DEC46537FB54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A500450</t>
        </r>
      </text>
    </comment>
    <comment ref="AX911" authorId="0" shapeId="0" xr:uid="{B6D03D56-EC9E-4452-BA6A-2ED496330DC8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A055550</t>
        </r>
      </text>
    </comment>
    <comment ref="AX912" authorId="0" shapeId="0" xr:uid="{CF674CF2-F5E8-4ED0-8F58-7D05A85A1916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A362350</t>
        </r>
      </text>
    </comment>
    <comment ref="AX913" authorId="0" shapeId="0" xr:uid="{EAB4360E-9A2D-48E4-B53C-51B06043772C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A325850</t>
        </r>
      </text>
    </comment>
    <comment ref="AX938" authorId="0" shapeId="0" xr:uid="{B9AE675A-EB3B-4920-A3AB-1A82B6DD7BFB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371699</t>
        </r>
      </text>
    </comment>
    <comment ref="AX980" authorId="0" shapeId="0" xr:uid="{C0776162-521C-4A40-9249-6F262B972058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A411694</t>
        </r>
      </text>
    </comment>
    <comment ref="AX1077" authorId="0" shapeId="0" xr:uid="{781FF8A7-C906-4E76-A4A0-382F054CC671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A031792</t>
        </r>
      </text>
    </comment>
    <comment ref="BA1078" authorId="0" shapeId="0" xr:uid="{F04CEF05-EFA9-4ECE-9B1A-B29856DB0486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REEMBOLSO 62.23 AL CLIENTE 10.05.22</t>
        </r>
      </text>
    </comment>
    <comment ref="AY1079" authorId="0" shapeId="0" xr:uid="{02AE9D28-A13E-45B8-9387-772E24B1E805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29400</t>
        </r>
      </text>
    </comment>
    <comment ref="AA1197" authorId="0" shapeId="0" xr:uid="{60726E77-D5F7-46A4-8AAD-77712931EAFA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precio del terreno no cuadra con el cronograma
</t>
        </r>
      </text>
    </comment>
    <comment ref="AY1198" authorId="0" shapeId="0" xr:uid="{BF12A500-D037-4955-AE4B-9F35FD5F0F17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107,700</t>
        </r>
      </text>
    </comment>
    <comment ref="AL1204" authorId="0" shapeId="0" xr:uid="{20EABB49-8377-4177-BE58-5ACDF62FA7D0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21k</t>
        </r>
      </text>
    </comment>
    <comment ref="CV1204" authorId="0" shapeId="0" xr:uid="{0B1879FD-D507-4AF8-BDD6-D1EBAE89F2D5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descuento</t>
        </r>
      </text>
    </comment>
    <comment ref="N1294" authorId="0" shapeId="0" xr:uid="{15EF5A0D-A29B-4A00-8D18-FB7FA2FE9AB7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40971974</t>
        </r>
      </text>
    </comment>
    <comment ref="O1294" authorId="0" shapeId="0" xr:uid="{AD8C6D3A-5EAD-40B1-BE85-78F740F5CAD6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PABLO ZEVALLOS ELVIS RONALD</t>
        </r>
      </text>
    </comment>
    <comment ref="S1369" authorId="0" shapeId="0" xr:uid="{5C04BCDF-AC20-4D27-A40C-C8F2B9A4B310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CONFIRMAR SI TAMBIEN TRASPASO COCHERA</t>
        </r>
      </text>
    </comment>
    <comment ref="BG1433" authorId="0" shapeId="0" xr:uid="{7BE4E88A-4E57-4B33-915E-5012F4F5D80B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500
400 olivar</t>
        </r>
      </text>
    </comment>
    <comment ref="AA1707" authorId="0" shapeId="0" xr:uid="{15B81974-ACBB-4B87-AD1B-B58A0A5F081C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NO CUADFRA CON CRONOGRAMA
</t>
        </r>
      </text>
    </comment>
    <comment ref="AX1750" authorId="0" shapeId="0" xr:uid="{87B795FC-775D-469F-A5B0-F8E663C67A68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A008477/7626</t>
        </r>
      </text>
    </comment>
    <comment ref="AY1750" authorId="0" shapeId="0" xr:uid="{A6E19E2E-E93E-4A36-83AA-9D2A40B42512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57540.00</t>
        </r>
      </text>
    </comment>
    <comment ref="AX1763" authorId="0" shapeId="0" xr:uid="{E59368F7-D7B3-44E5-B4B9-D91CF38118FA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A008477/7626</t>
        </r>
      </text>
    </comment>
    <comment ref="AX1764" authorId="0" shapeId="0" xr:uid="{9AEEB19D-7E2C-407C-B68E-834B8DDF0B26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A008477/7626</t>
        </r>
      </text>
    </comment>
    <comment ref="AY1764" authorId="0" shapeId="0" xr:uid="{2AD923E8-55F4-4768-AFBD-D4814E5EC307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57540</t>
        </r>
      </text>
    </comment>
    <comment ref="AA1826" authorId="0" shapeId="0" xr:uid="{ED3D9189-56FA-457E-8F0E-F905F8F0DA49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EL CRONOGRAMA SUMA 7K</t>
        </r>
      </text>
    </comment>
    <comment ref="BD1851" authorId="0" shapeId="0" xr:uid="{DB8759D5-A07F-41CB-B862-0970D8484D3D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 A008185</t>
        </r>
      </text>
    </comment>
    <comment ref="AY2057" authorId="0" shapeId="0" xr:uid="{82A4BADC-CCAB-4310-8EEB-1F687C21424D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30,020</t>
        </r>
      </text>
    </comment>
    <comment ref="AY2088" authorId="0" shapeId="0" xr:uid="{CCC49460-EFA4-408B-9EB5-36EE9097450E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30,020</t>
        </r>
      </text>
    </comment>
    <comment ref="AA2172" authorId="0" shapeId="0" xr:uid="{CBF5335B-EEB1-4B0B-8FCC-02DB9898DDA0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no cuadra con el cronograma</t>
        </r>
      </text>
    </comment>
    <comment ref="AX2181" authorId="0" shapeId="0" xr:uid="{4B330F98-D89E-4105-9645-63CF2841C423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013875</t>
        </r>
      </text>
    </comment>
    <comment ref="AX2182" authorId="0" shapeId="0" xr:uid="{4F94AB8C-F3C5-4040-A347-8E5A625431E7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IZIPAY: 000009</t>
        </r>
      </text>
    </comment>
    <comment ref="AX2183" authorId="0" shapeId="0" xr:uid="{D74E2B63-751F-480E-8FFD-07815AE4FE54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IZIPAY: 005910</t>
        </r>
      </text>
    </comment>
    <comment ref="AX2193" authorId="0" shapeId="0" xr:uid="{9BD90E29-FFC5-40E9-A0C5-8D6B0E3192BF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021092</t>
        </r>
      </text>
    </comment>
    <comment ref="AX2194" authorId="0" shapeId="0" xr:uid="{42D89E88-B6C5-4C9C-8D4F-97233C22905B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007721</t>
        </r>
      </text>
    </comment>
    <comment ref="AX2204" authorId="0" shapeId="0" xr:uid="{508C03EC-7B22-4DA0-BD77-AAE6550F39AD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021092</t>
        </r>
      </text>
    </comment>
    <comment ref="AX2205" authorId="0" shapeId="0" xr:uid="{FF04B4BB-8700-43DF-88B9-86E707E35A22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007721</t>
        </r>
      </text>
    </comment>
    <comment ref="BA2280" authorId="0" shapeId="0" xr:uid="{22C59CA5-C46F-45C7-83BD-950C33A78165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6372</t>
        </r>
      </text>
    </comment>
    <comment ref="BA2281" authorId="0" shapeId="0" xr:uid="{EB1197DB-3677-4FF7-9907-F5A1498BDEFD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9128</t>
        </r>
      </text>
    </comment>
    <comment ref="AA2539" authorId="0" shapeId="0" xr:uid="{346E3A76-134C-4BD7-B1C5-3CE9030A1DE2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pendiente adenda para confirmar cronograma</t>
        </r>
      </text>
    </comment>
    <comment ref="BA2600" authorId="0" shapeId="0" xr:uid="{E2699FE9-CED1-4D36-9570-C79671F9D974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958.82</t>
        </r>
      </text>
    </comment>
    <comment ref="AX2675" authorId="0" shapeId="0" xr:uid="{47F0A455-1441-4D7F-943A-CA0A59C4CD76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A007502</t>
        </r>
      </text>
    </comment>
    <comment ref="AY2675" authorId="0" shapeId="0" xr:uid="{37734204-DC63-437A-BDA9-1551A0A935D4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17892.96</t>
        </r>
      </text>
    </comment>
    <comment ref="BA2739" authorId="0" shapeId="0" xr:uid="{FCA7A654-8470-44CE-A394-B7A3EB5CE538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475.88</t>
        </r>
      </text>
    </comment>
    <comment ref="BA2740" authorId="0" shapeId="0" xr:uid="{13E41324-326B-46E8-90C0-28480449B8E5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475.88</t>
        </r>
      </text>
    </comment>
    <comment ref="BA2741" authorId="0" shapeId="0" xr:uid="{2FD07303-1BF0-4961-B73A-4D4DD547C34D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1000</t>
        </r>
      </text>
    </comment>
    <comment ref="BA2742" authorId="0" shapeId="0" xr:uid="{28E60EF3-A593-4D22-B380-BFDAD5498E04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479.41
</t>
        </r>
      </text>
    </comment>
    <comment ref="BA2743" authorId="0" shapeId="0" xr:uid="{EB737F5F-140E-4A55-8CCB-2A032B3791E0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479.41
</t>
        </r>
      </text>
    </comment>
    <comment ref="BA2745" authorId="0" shapeId="0" xr:uid="{EEAB3D9F-E6FB-4BF6-BD68-D80EED3CFB02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475.88</t>
        </r>
      </text>
    </comment>
    <comment ref="AX2747" authorId="0" shapeId="0" xr:uid="{2959C83F-9538-4C37-A0A6-54B584C3C07A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05961C</t>
        </r>
      </text>
    </comment>
    <comment ref="AY2870" authorId="0" shapeId="0" xr:uid="{83560734-6296-4CFA-AC7B-571A06FED234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S/ 26,320.00</t>
        </r>
      </text>
    </comment>
    <comment ref="AY2919" authorId="0" shapeId="0" xr:uid="{7E44B3DB-07CA-41E7-99EF-82054F912390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S/ 26,320.00</t>
        </r>
      </text>
    </comment>
    <comment ref="AX3023" authorId="0" shapeId="0" xr:uid="{CFFA3C00-9BAC-4754-8590-14F0FDC35033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A275526</t>
        </r>
      </text>
    </comment>
    <comment ref="BJ3029" authorId="0" shapeId="0" xr:uid="{6B9EE270-CA70-4748-9B4B-1C8E16B0A10B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A098224</t>
        </r>
      </text>
    </comment>
    <comment ref="BP3029" authorId="0" shapeId="0" xr:uid="{D72F0945-4271-4026-91D8-F3ADC37A9BDE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A097340</t>
        </r>
      </text>
    </comment>
    <comment ref="BV3029" authorId="0" shapeId="0" xr:uid="{8E8138A9-A10B-494A-9622-AF76BDA5E115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A068525</t>
        </r>
      </text>
    </comment>
    <comment ref="CB3029" authorId="0" shapeId="0" xr:uid="{7FFADAC2-0A81-4AF0-84BB-713A730A145E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A594353</t>
        </r>
      </text>
    </comment>
    <comment ref="CH3029" authorId="0" shapeId="0" xr:uid="{D7CE10C9-5695-40C0-8D78-5B3308F3C295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A005723</t>
        </r>
      </text>
    </comment>
    <comment ref="AY3084" authorId="0" shapeId="0" xr:uid="{76AFB285-4FB9-4B20-88A7-8055C641975E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S/ 5,444.6</t>
        </r>
      </text>
    </comment>
    <comment ref="AY3085" authorId="0" shapeId="0" xr:uid="{F4090863-289F-4C63-837C-F703D9C56804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S/ 5,444.6</t>
        </r>
      </text>
    </comment>
    <comment ref="AX3117" authorId="0" shapeId="0" xr:uid="{F53E6D41-21E1-4C0F-A3CD-605D7E44A4BC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A008872</t>
        </r>
      </text>
    </comment>
    <comment ref="AX3350" authorId="0" shapeId="0" xr:uid="{BBE278FC-1322-4A2A-BF9D-343486B091A3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A041765</t>
        </r>
      </text>
    </comment>
    <comment ref="AX3441" authorId="0" shapeId="0" xr:uid="{73EEEC93-7CDB-42DD-BCE7-243810045599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A003346</t>
        </r>
      </text>
    </comment>
    <comment ref="AY3444" authorId="0" shapeId="0" xr:uid="{CF2F90EA-E63D-47B1-976C-D45B276E42A9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S/ 2,000.00
BT01-55473 / BT01-55472</t>
        </r>
      </text>
    </comment>
    <comment ref="BD3445" authorId="0" shapeId="0" xr:uid="{E5742423-7092-499C-9E19-163271216A28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A022355</t>
        </r>
      </text>
    </comment>
    <comment ref="AX3492" authorId="0" shapeId="0" xr:uid="{51362511-FC51-4416-B9B7-2A85076322CA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A061093</t>
        </r>
      </text>
    </comment>
    <comment ref="AX3544" authorId="0" shapeId="0" xr:uid="{7B408A2D-2B74-4539-B93A-C78BA64731B0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RESSIDIR</t>
        </r>
      </text>
    </comment>
    <comment ref="AE3605" authorId="0" shapeId="0" xr:uid="{DD72948F-3D68-470C-83D9-DD102D9900E7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S/ 28,416.71</t>
        </r>
      </text>
    </comment>
    <comment ref="AK3605" authorId="0" shapeId="0" xr:uid="{8A53F7C6-34DA-4780-8C37-7342A141906B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S/ 28,146.71</t>
        </r>
      </text>
    </comment>
    <comment ref="BA3625" authorId="0" shapeId="0" xr:uid="{6E5C5D72-0FD0-4050-9128-900611CAC524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$ 2,000</t>
        </r>
      </text>
    </comment>
  </commentList>
</comments>
</file>

<file path=xl/sharedStrings.xml><?xml version="1.0" encoding="utf-8"?>
<sst xmlns="http://schemas.openxmlformats.org/spreadsheetml/2006/main" count="51628" uniqueCount="3516">
  <si>
    <t>DNI</t>
  </si>
  <si>
    <t>Etapa</t>
  </si>
  <si>
    <t>Lote</t>
  </si>
  <si>
    <t>Vendido</t>
  </si>
  <si>
    <t>001171717</t>
  </si>
  <si>
    <t>73176828</t>
  </si>
  <si>
    <t>45086870</t>
  </si>
  <si>
    <t>41687912</t>
  </si>
  <si>
    <t>10228642</t>
  </si>
  <si>
    <t>07837880</t>
  </si>
  <si>
    <t>09499094</t>
  </si>
  <si>
    <t>40813815</t>
  </si>
  <si>
    <t>01332447</t>
  </si>
  <si>
    <t>06034873</t>
  </si>
  <si>
    <t>09200006</t>
  </si>
  <si>
    <t>20610345779</t>
  </si>
  <si>
    <t>47173111</t>
  </si>
  <si>
    <t>06294731</t>
  </si>
  <si>
    <t>40271448</t>
  </si>
  <si>
    <t>44319047</t>
  </si>
  <si>
    <t>10075105725</t>
  </si>
  <si>
    <t>41895174</t>
  </si>
  <si>
    <t>70006062</t>
  </si>
  <si>
    <t>41974515</t>
  </si>
  <si>
    <t>47092282</t>
  </si>
  <si>
    <t>47356469</t>
  </si>
  <si>
    <t>76189427</t>
  </si>
  <si>
    <t>18188938</t>
  </si>
  <si>
    <t>40397060</t>
  </si>
  <si>
    <t>09799602</t>
  </si>
  <si>
    <t>42112442</t>
  </si>
  <si>
    <t>42391011</t>
  </si>
  <si>
    <t>10678356</t>
  </si>
  <si>
    <t>41763200</t>
  </si>
  <si>
    <t>43374114</t>
  </si>
  <si>
    <t>16162783</t>
  </si>
  <si>
    <t>07959885</t>
  </si>
  <si>
    <t>08776738</t>
  </si>
  <si>
    <t>46621851</t>
  </si>
  <si>
    <t>18144141</t>
  </si>
  <si>
    <t>10051157</t>
  </si>
  <si>
    <t>07341253</t>
  </si>
  <si>
    <t>40239774</t>
  </si>
  <si>
    <t>22309550</t>
  </si>
  <si>
    <t>10793568</t>
  </si>
  <si>
    <t>46042218</t>
  </si>
  <si>
    <t>76615938</t>
  </si>
  <si>
    <t>44950479</t>
  </si>
  <si>
    <t>10772074</t>
  </si>
  <si>
    <t>25625875</t>
  </si>
  <si>
    <t>17880348</t>
  </si>
  <si>
    <t>72924793</t>
  </si>
  <si>
    <t>09377679</t>
  </si>
  <si>
    <t>07482966</t>
  </si>
  <si>
    <t>46876706</t>
  </si>
  <si>
    <t>25772230</t>
  </si>
  <si>
    <t>43588983</t>
  </si>
  <si>
    <t>25625876</t>
  </si>
  <si>
    <t>41584741</t>
  </si>
  <si>
    <t>77684541</t>
  </si>
  <si>
    <t>47862059</t>
  </si>
  <si>
    <t>32265381</t>
  </si>
  <si>
    <t>RUC</t>
  </si>
  <si>
    <t>CE</t>
  </si>
  <si>
    <t>QUISPE GARCIA WILLIAM HENRY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</si>
  <si>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</si>
  <si>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</si>
  <si>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</si>
  <si>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</si>
  <si>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</si>
  <si>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</si>
  <si>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</si>
  <si>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</si>
  <si>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</si>
  <si>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</si>
  <si>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</si>
  <si>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k1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</si>
  <si>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</si>
  <si>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</si>
  <si>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</si>
  <si>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</si>
  <si>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</si>
  <si>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</si>
  <si>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</si>
  <si>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</si>
  <si>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</si>
  <si>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</si>
  <si>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</si>
  <si>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#</t>
  </si>
  <si>
    <t>Proyecto</t>
  </si>
  <si>
    <t>Bloque</t>
  </si>
  <si>
    <t>Área</t>
  </si>
  <si>
    <t>Precio del Lote</t>
  </si>
  <si>
    <t>Precio de Urbanización</t>
  </si>
  <si>
    <t>Estado</t>
  </si>
  <si>
    <t>Proyecto Apolo</t>
  </si>
  <si>
    <t>I ETAPA</t>
  </si>
  <si>
    <t>Activo</t>
  </si>
  <si>
    <t>Separado</t>
  </si>
  <si>
    <t>Inactivo</t>
  </si>
  <si>
    <t>NOMBRE</t>
  </si>
  <si>
    <t>NATALIA ANDREA CHAVARRIA VELASQUEZ</t>
  </si>
  <si>
    <t>TIPO DE DOCUMENTO</t>
  </si>
  <si>
    <t>DOCUMENTO</t>
  </si>
  <si>
    <t>AP-001</t>
  </si>
  <si>
    <t>FECHA DE CONTRATO</t>
  </si>
  <si>
    <t>FECHA</t>
  </si>
  <si>
    <t>FECHA HOJA DE RADICACION</t>
  </si>
  <si>
    <t>0</t>
  </si>
  <si>
    <t>PRECIO</t>
  </si>
  <si>
    <t>CUOTA</t>
  </si>
  <si>
    <t>24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</si>
  <si>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</si>
  <si>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</si>
  <si>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</si>
  <si>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</si>
  <si>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</si>
  <si>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</si>
  <si>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</si>
  <si>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</si>
  <si>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</si>
  <si>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</si>
  <si>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</si>
  <si>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</si>
  <si>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</si>
  <si>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</si>
  <si>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</si>
  <si>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</si>
  <si>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</si>
  <si>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</si>
  <si>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</si>
  <si>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</si>
  <si>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NUMERO</t>
  </si>
  <si>
    <t>FECHA DE ABONO</t>
  </si>
  <si>
    <t>BV</t>
  </si>
  <si>
    <t>BT01-15242</t>
  </si>
  <si>
    <t>NUMERO DE OPERACIÓN</t>
  </si>
  <si>
    <t>BT01-15804</t>
  </si>
  <si>
    <t>ESTADO</t>
  </si>
  <si>
    <t>NUMERO DE CUOTAS</t>
  </si>
  <si>
    <t>AP-007</t>
  </si>
  <si>
    <t>GUILLERMO FERNANDO  SERRA SUITO</t>
  </si>
  <si>
    <t>07807304</t>
  </si>
  <si>
    <t>MIRIAM BEATRIZ SANTA MARIA</t>
  </si>
  <si>
    <t>EB01-7577</t>
  </si>
  <si>
    <t>EB01-7765</t>
  </si>
  <si>
    <t>EB01-9582</t>
  </si>
  <si>
    <t>BT01-198</t>
  </si>
  <si>
    <t>BT01-1774</t>
  </si>
  <si>
    <t>BT01-3021</t>
  </si>
  <si>
    <t>BT01-4365</t>
  </si>
  <si>
    <t>BT01-7000</t>
  </si>
  <si>
    <t>BT01-7945</t>
  </si>
  <si>
    <t>BT01-7960</t>
  </si>
  <si>
    <t>BT01-9245</t>
  </si>
  <si>
    <t>BT01-10551</t>
  </si>
  <si>
    <t>BT01-11628</t>
  </si>
  <si>
    <t>BT01-13193</t>
  </si>
  <si>
    <t>TERRENO</t>
  </si>
  <si>
    <t>EB01-7764</t>
  </si>
  <si>
    <t>EB01-9304</t>
  </si>
  <si>
    <t>BT01-197</t>
  </si>
  <si>
    <t>BT01-1778</t>
  </si>
  <si>
    <t>BT01-3020</t>
  </si>
  <si>
    <t>BT01-4362</t>
  </si>
  <si>
    <t>BT01-5622</t>
  </si>
  <si>
    <t>BT01-7002</t>
  </si>
  <si>
    <t>BT01-7962</t>
  </si>
  <si>
    <t>BT01-9157</t>
  </si>
  <si>
    <t>BT01-13190</t>
  </si>
  <si>
    <t>COCHERA ( 78 )</t>
  </si>
  <si>
    <t>COCHERA ( 79 )</t>
  </si>
  <si>
    <t>AP-008</t>
  </si>
  <si>
    <t>EB01-7578</t>
  </si>
  <si>
    <t>EB01-7762</t>
  </si>
  <si>
    <t>EB01-9326</t>
  </si>
  <si>
    <t>BT01-199</t>
  </si>
  <si>
    <t>BT01-1775</t>
  </si>
  <si>
    <t>BT01-3019</t>
  </si>
  <si>
    <t>BT01-4364</t>
  </si>
  <si>
    <t>BT01-5618</t>
  </si>
  <si>
    <t>BT01-6998</t>
  </si>
  <si>
    <t>BT01-7961</t>
  </si>
  <si>
    <t>BT01-9083</t>
  </si>
  <si>
    <t>BT01-10550</t>
  </si>
  <si>
    <t>BT01-11626</t>
  </si>
  <si>
    <t>BT01-13192</t>
  </si>
  <si>
    <t>BT01-4363</t>
  </si>
  <si>
    <t>EB01-9303</t>
  </si>
  <si>
    <t>BT01-7003</t>
  </si>
  <si>
    <t>BT01-7965</t>
  </si>
  <si>
    <t>BT01-9086</t>
  </si>
  <si>
    <t>BT01-1779</t>
  </si>
  <si>
    <t>BT01-196</t>
  </si>
  <si>
    <t>BT01-5620</t>
  </si>
  <si>
    <t>EB01-7763</t>
  </si>
  <si>
    <t>BT01-4614</t>
  </si>
  <si>
    <t>BT01-13195</t>
  </si>
  <si>
    <t>AREA</t>
  </si>
  <si>
    <t>AP-009</t>
  </si>
  <si>
    <t xml:space="preserve"> LUIS ENRIQUE TELLO LEON</t>
  </si>
  <si>
    <t>07463682</t>
  </si>
  <si>
    <t>DELIA AVEGAIL VILCA MORALES</t>
  </si>
  <si>
    <t>FECHA DE VENCIMIENTO</t>
  </si>
  <si>
    <t>IMPORTE DE CUOTA</t>
  </si>
  <si>
    <t>BT01-7530</t>
  </si>
  <si>
    <t>ABONADO $</t>
  </si>
  <si>
    <t>ABONADO S/</t>
  </si>
  <si>
    <t>TIPO DE CAMBIO</t>
  </si>
  <si>
    <t>BT01-7756</t>
  </si>
  <si>
    <t>BT01-11390</t>
  </si>
  <si>
    <t>BT01-12627</t>
  </si>
  <si>
    <t>BT01-15809</t>
  </si>
  <si>
    <t>BT01-16061</t>
  </si>
  <si>
    <t>BT01-17984</t>
  </si>
  <si>
    <t>BT01-12063</t>
  </si>
  <si>
    <t>BT01-931</t>
  </si>
  <si>
    <t>AP-010</t>
  </si>
  <si>
    <t>MARIA ANGELA  LUNA TORRES</t>
  </si>
  <si>
    <t>EB01-5980</t>
  </si>
  <si>
    <t>EB01-7114</t>
  </si>
  <si>
    <t>EB01-8452</t>
  </si>
  <si>
    <t>EB01-9117</t>
  </si>
  <si>
    <t>BT01-479</t>
  </si>
  <si>
    <t>BT01-2042</t>
  </si>
  <si>
    <t>BT01-6433</t>
  </si>
  <si>
    <t>BT01-7851</t>
  </si>
  <si>
    <t>BT01-8816</t>
  </si>
  <si>
    <t>BT01-18176</t>
  </si>
  <si>
    <t>COCHERA ( 212 )</t>
  </si>
  <si>
    <t>AP-011</t>
  </si>
  <si>
    <t>LAURA MENSIA  LUNA TORRES</t>
  </si>
  <si>
    <t>COCHERA ( 198 )</t>
  </si>
  <si>
    <t>EB01-5979</t>
  </si>
  <si>
    <t>EB01-7113</t>
  </si>
  <si>
    <t>EB01-8453</t>
  </si>
  <si>
    <t>EB01-9119</t>
  </si>
  <si>
    <t>BT01-478</t>
  </si>
  <si>
    <t>BT01-2041</t>
  </si>
  <si>
    <t>BT01-8817</t>
  </si>
  <si>
    <t>BT01-18175</t>
  </si>
  <si>
    <t>BT01-18174</t>
  </si>
  <si>
    <t>BT01-378</t>
  </si>
  <si>
    <t>AP-012</t>
  </si>
  <si>
    <t>AP-023</t>
  </si>
  <si>
    <t>MARIA MAGDALENA  MONTERO RODRIGUEZ</t>
  </si>
  <si>
    <t>COCHERA ( 39 )</t>
  </si>
  <si>
    <t>AP-013</t>
  </si>
  <si>
    <t>ALBERTO  LOAYZA YGREDA</t>
  </si>
  <si>
    <t>09321218</t>
  </si>
  <si>
    <t>NICOLASA ISABEL MALCA DIAZ</t>
  </si>
  <si>
    <t>MZ</t>
  </si>
  <si>
    <t>LOTE</t>
  </si>
  <si>
    <t>40932070</t>
  </si>
  <si>
    <t>EFECTIVO</t>
  </si>
  <si>
    <t>AP-014</t>
  </si>
  <si>
    <t>AP-015</t>
  </si>
  <si>
    <t>AP-016</t>
  </si>
  <si>
    <t>AP-017</t>
  </si>
  <si>
    <t xml:space="preserve">CORPORACION AVANZA &amp; ASOCIADOS SAC </t>
  </si>
  <si>
    <t>POS</t>
  </si>
  <si>
    <t xml:space="preserve"> JHUDAN WESLY MEZA CUISANO</t>
  </si>
  <si>
    <t>46090858</t>
  </si>
  <si>
    <t>YESIKA CAROLINA ALCANTARA CRUZALEGUI DE MEZA</t>
  </si>
  <si>
    <t>BT01-15807</t>
  </si>
  <si>
    <t>AP-018</t>
  </si>
  <si>
    <t>AP-019</t>
  </si>
  <si>
    <t xml:space="preserve">ALFREDO JULIAN YUPANQUI DE LA CRUZ </t>
  </si>
  <si>
    <t xml:space="preserve">LUIS RONALD FERNANDEZ CONTRERAS </t>
  </si>
  <si>
    <t>BB01-537</t>
  </si>
  <si>
    <t xml:space="preserve">LADY KAREN PINEDO QUISPE </t>
  </si>
  <si>
    <t>43273126</t>
  </si>
  <si>
    <t>JUAN VICTOR CARDENAS CCANTO</t>
  </si>
  <si>
    <t xml:space="preserve">YZBEL DAGNA LORENA CHAVESTA AYASTA </t>
  </si>
  <si>
    <t>FT01-97</t>
  </si>
  <si>
    <t>FT</t>
  </si>
  <si>
    <t>E001-239</t>
  </si>
  <si>
    <t>COCHERA ( 51 )</t>
  </si>
  <si>
    <t>FT01-96</t>
  </si>
  <si>
    <t>FT01-5</t>
  </si>
  <si>
    <t>FT01-68</t>
  </si>
  <si>
    <t>FB01-7</t>
  </si>
  <si>
    <t>FB01-9</t>
  </si>
  <si>
    <t>FT01-185</t>
  </si>
  <si>
    <t>FT01-176</t>
  </si>
  <si>
    <t>FT01-183</t>
  </si>
  <si>
    <t>FT01-30</t>
  </si>
  <si>
    <t>FT01-67</t>
  </si>
  <si>
    <t>FT01-29</t>
  </si>
  <si>
    <t>FT01-6</t>
  </si>
  <si>
    <t>AP-020</t>
  </si>
  <si>
    <t xml:space="preserve">WONG VICUÑAA ANGIE ANALIE </t>
  </si>
  <si>
    <t>EB01-7132</t>
  </si>
  <si>
    <t>EB01-6957</t>
  </si>
  <si>
    <t>A090106</t>
  </si>
  <si>
    <t>EB01-9075</t>
  </si>
  <si>
    <t>BT01-442</t>
  </si>
  <si>
    <t>BT01-1494</t>
  </si>
  <si>
    <t>BT01-2761</t>
  </si>
  <si>
    <t>BT01-6432</t>
  </si>
  <si>
    <t>BT01-7757</t>
  </si>
  <si>
    <t>AP-021</t>
  </si>
  <si>
    <t xml:space="preserve"> EDUARDO MIGUEL CALLE VELEZMORO</t>
  </si>
  <si>
    <t>COCHERA ( 83 )</t>
  </si>
  <si>
    <t>AP-022</t>
  </si>
  <si>
    <t>JANETH  RAMOS MEDINA</t>
  </si>
  <si>
    <t>COCHERA ( 26 )</t>
  </si>
  <si>
    <t>BT01-8472</t>
  </si>
  <si>
    <t>BT01-9385</t>
  </si>
  <si>
    <t>EB01-5047</t>
  </si>
  <si>
    <t>BT01-9869</t>
  </si>
  <si>
    <t>EB01-5574</t>
  </si>
  <si>
    <t>EB01-5911</t>
  </si>
  <si>
    <t>EB01-6592</t>
  </si>
  <si>
    <t>EB01-7589</t>
  </si>
  <si>
    <t>EB01-8711</t>
  </si>
  <si>
    <t>BT01-318</t>
  </si>
  <si>
    <t>BT01-1221</t>
  </si>
  <si>
    <t>BT01-2201</t>
  </si>
  <si>
    <t>BT01-3572</t>
  </si>
  <si>
    <t>BT01-7050</t>
  </si>
  <si>
    <t>BT01-8471</t>
  </si>
  <si>
    <t>BT01-9384</t>
  </si>
  <si>
    <t xml:space="preserve">LESLIE JOANA SALCEDO CHUMACERO </t>
  </si>
  <si>
    <t>48297434</t>
  </si>
  <si>
    <t>JACKELYN ANDREA SALCEDO CHUMACERO</t>
  </si>
  <si>
    <t>EB01-8497</t>
  </si>
  <si>
    <t>BT01-6318</t>
  </si>
  <si>
    <t>BT01-8544</t>
  </si>
  <si>
    <t>BT01-11287</t>
  </si>
  <si>
    <t>BT01-12605</t>
  </si>
  <si>
    <t>BT01-14061</t>
  </si>
  <si>
    <t>AP-024</t>
  </si>
  <si>
    <t xml:space="preserve">JONATHAN SMITH DELGADO JUAREZ </t>
  </si>
  <si>
    <t>BT01-3485</t>
  </si>
  <si>
    <t>A735587</t>
  </si>
  <si>
    <t>BT01-3540</t>
  </si>
  <si>
    <t>A796229</t>
  </si>
  <si>
    <t>BT01-5517</t>
  </si>
  <si>
    <t>BT01-7993</t>
  </si>
  <si>
    <t>BT01-9053</t>
  </si>
  <si>
    <t>AP-025</t>
  </si>
  <si>
    <t>EB01-5160</t>
  </si>
  <si>
    <t>EB01-5324</t>
  </si>
  <si>
    <t>EB01-7424</t>
  </si>
  <si>
    <t>AP-026</t>
  </si>
  <si>
    <t xml:space="preserve">JEAN KOLBERT IZQUIERDO VILLALOBOS </t>
  </si>
  <si>
    <t>MARIANA CARRANZA ANCAJIMA</t>
  </si>
  <si>
    <t>BT01-985</t>
  </si>
  <si>
    <t>BT01-9246</t>
  </si>
  <si>
    <t>BT01-12769</t>
  </si>
  <si>
    <t>AP-027</t>
  </si>
  <si>
    <t>BT01-8644</t>
  </si>
  <si>
    <t>BT01-8663</t>
  </si>
  <si>
    <t>COCHERA ( 179 )</t>
  </si>
  <si>
    <t>AP-028</t>
  </si>
  <si>
    <t>AP-029</t>
  </si>
  <si>
    <t>OLGA MONICA DIEGO TORIBIO</t>
  </si>
  <si>
    <t>EB01-5985</t>
  </si>
  <si>
    <t>EB01-8439</t>
  </si>
  <si>
    <t>EB01-9419</t>
  </si>
  <si>
    <t>AP-030</t>
  </si>
  <si>
    <t>AP-049</t>
  </si>
  <si>
    <t>42948643</t>
  </si>
  <si>
    <t>CARMEN EUFEMIA ARRIBASPLATA URBINA</t>
  </si>
  <si>
    <t>EB01-9555</t>
  </si>
  <si>
    <t>EB01-9627</t>
  </si>
  <si>
    <t>A004783</t>
  </si>
  <si>
    <t>BT01-7771</t>
  </si>
  <si>
    <t>BT01-8545</t>
  </si>
  <si>
    <t>COCHERA ( 96 )</t>
  </si>
  <si>
    <t>AP-031</t>
  </si>
  <si>
    <t>MERCEDES DEL ROSARIO  BURGOS VALDIVIEZO</t>
  </si>
  <si>
    <t>43786257</t>
  </si>
  <si>
    <t>CARLOS JESUS HUERTADO ARIAS</t>
  </si>
  <si>
    <t>A772589</t>
  </si>
  <si>
    <t>A055623</t>
  </si>
  <si>
    <t>EB01-7207</t>
  </si>
  <si>
    <t>EB01-7261</t>
  </si>
  <si>
    <t>EB01-8837</t>
  </si>
  <si>
    <t>BT01-8198</t>
  </si>
  <si>
    <t>AP-032</t>
  </si>
  <si>
    <t xml:space="preserve">KARLA PAOLA GUTIERREZ CHAGUA </t>
  </si>
  <si>
    <t>COCHERA ( 216 )</t>
  </si>
  <si>
    <t>BT01-4973</t>
  </si>
  <si>
    <t>BT01-5608</t>
  </si>
  <si>
    <t>BB01-409</t>
  </si>
  <si>
    <t>BB01-404</t>
  </si>
  <si>
    <t>BB01-405</t>
  </si>
  <si>
    <t>BB01-406</t>
  </si>
  <si>
    <t>BB01-407</t>
  </si>
  <si>
    <t>BB01-408</t>
  </si>
  <si>
    <t>BB01-410</t>
  </si>
  <si>
    <t>BB01-411</t>
  </si>
  <si>
    <t>BB01-412</t>
  </si>
  <si>
    <t>BB01-413</t>
  </si>
  <si>
    <t>BB01-414</t>
  </si>
  <si>
    <t>BB01-415</t>
  </si>
  <si>
    <t>AP-033</t>
  </si>
  <si>
    <t>EB01-5572</t>
  </si>
  <si>
    <t>EB01-5584</t>
  </si>
  <si>
    <t>COCHERA ( 244 )</t>
  </si>
  <si>
    <t>EB01-5585</t>
  </si>
  <si>
    <t>EB01-5970</t>
  </si>
  <si>
    <t>EB01-6594</t>
  </si>
  <si>
    <t>EB01-7729</t>
  </si>
  <si>
    <t>EB01-8814</t>
  </si>
  <si>
    <t>EB01-8815</t>
  </si>
  <si>
    <t>BT01-194</t>
  </si>
  <si>
    <t>BT01-1201</t>
  </si>
  <si>
    <t>BT01-1432</t>
  </si>
  <si>
    <t>BT01-3620</t>
  </si>
  <si>
    <t>BT01-6167</t>
  </si>
  <si>
    <t>BB01-416</t>
  </si>
  <si>
    <t>BT01-11394</t>
  </si>
  <si>
    <t>BT01-12373</t>
  </si>
  <si>
    <t>BT01-10784</t>
  </si>
  <si>
    <t>BT01-3322</t>
  </si>
  <si>
    <t>EB01-8809</t>
  </si>
  <si>
    <t>BT01-195</t>
  </si>
  <si>
    <t>BT01-1204</t>
  </si>
  <si>
    <t>BT01-6168</t>
  </si>
  <si>
    <t>AP-034</t>
  </si>
  <si>
    <t>ROSARIO  CURTI QUISPE</t>
  </si>
  <si>
    <t>COCHERA ( 25 )</t>
  </si>
  <si>
    <t>EB01-5046</t>
  </si>
  <si>
    <t>A004935 / 9879</t>
  </si>
  <si>
    <t>EB01-5732</t>
  </si>
  <si>
    <t>EB01-6125</t>
  </si>
  <si>
    <t>EB01-7115</t>
  </si>
  <si>
    <t>EB01-8062</t>
  </si>
  <si>
    <t>EB01-9081</t>
  </si>
  <si>
    <t>BT01-439</t>
  </si>
  <si>
    <t>BT01-1460</t>
  </si>
  <si>
    <t>BT01-2577</t>
  </si>
  <si>
    <t>BT01-7576</t>
  </si>
  <si>
    <t>BT01-8543</t>
  </si>
  <si>
    <t>BT01-8542</t>
  </si>
  <si>
    <t>AP-036</t>
  </si>
  <si>
    <t xml:space="preserve">ALAN SAAVEDRA CISABEL PASCUALA </t>
  </si>
  <si>
    <t>COCHERA ( 61 )</t>
  </si>
  <si>
    <t>AP-037</t>
  </si>
  <si>
    <t>OLGA  TRUJILLO CRISTOBAL</t>
  </si>
  <si>
    <t>EB01-5380</t>
  </si>
  <si>
    <t>EB01-8221</t>
  </si>
  <si>
    <t>BT01-1110</t>
  </si>
  <si>
    <t>BT01-1125</t>
  </si>
  <si>
    <t>COCHERA ( 2 )</t>
  </si>
  <si>
    <t>AP-039</t>
  </si>
  <si>
    <t>CRISTHIAN GIANCARLO  DONAYRE RAMIREZ</t>
  </si>
  <si>
    <t>COCHERA ( 226 )</t>
  </si>
  <si>
    <t>AP-038</t>
  </si>
  <si>
    <t>OSWALDO ALBERTO WETZELL  LAZARO DE ORTECHO</t>
  </si>
  <si>
    <t>EB01-3250</t>
  </si>
  <si>
    <t>COCHERA ( 31 )</t>
  </si>
  <si>
    <t>COCHERA ( 32 )</t>
  </si>
  <si>
    <t>EB01-3251</t>
  </si>
  <si>
    <t>EB01-3252</t>
  </si>
  <si>
    <t>EB01-5159</t>
  </si>
  <si>
    <t>A001372</t>
  </si>
  <si>
    <t>EB01-5678</t>
  </si>
  <si>
    <t>EB01-6048</t>
  </si>
  <si>
    <t>EB01-7975</t>
  </si>
  <si>
    <t>EB01-6885</t>
  </si>
  <si>
    <t>A002899</t>
  </si>
  <si>
    <t>EB01-8924</t>
  </si>
  <si>
    <t>A001743</t>
  </si>
  <si>
    <t>BC01-57</t>
  </si>
  <si>
    <t>A005811</t>
  </si>
  <si>
    <t>BT01-1459</t>
  </si>
  <si>
    <t>A002161</t>
  </si>
  <si>
    <t>BT01-2647</t>
  </si>
  <si>
    <t>A004462</t>
  </si>
  <si>
    <t>BT01-3599</t>
  </si>
  <si>
    <t>A005369</t>
  </si>
  <si>
    <t>BT01-5466</t>
  </si>
  <si>
    <t>A009720</t>
  </si>
  <si>
    <t>BT01-5467</t>
  </si>
  <si>
    <t>A009313</t>
  </si>
  <si>
    <t>A004272</t>
  </si>
  <si>
    <t>A000636/1735</t>
  </si>
  <si>
    <t>A000953</t>
  </si>
  <si>
    <t>AP-040</t>
  </si>
  <si>
    <t>JORGE BISMARCK  FERNANDEZ OCAMPO</t>
  </si>
  <si>
    <t>18199288</t>
  </si>
  <si>
    <t>ANGELICA VICTORIA GARCIA CABALLERO</t>
  </si>
  <si>
    <t>A1</t>
  </si>
  <si>
    <t>COCHERA ( 161 )</t>
  </si>
  <si>
    <t>AP-041</t>
  </si>
  <si>
    <t>AP-042</t>
  </si>
  <si>
    <t>AP-043</t>
  </si>
  <si>
    <t>AP-044</t>
  </si>
  <si>
    <t>AP-045</t>
  </si>
  <si>
    <t>EB01-2343</t>
  </si>
  <si>
    <t>EB01-4163</t>
  </si>
  <si>
    <t>EB01-4162</t>
  </si>
  <si>
    <t>EB01-4695</t>
  </si>
  <si>
    <t>EB01-4696</t>
  </si>
  <si>
    <t>EB01-5471</t>
  </si>
  <si>
    <t>EB01-5876</t>
  </si>
  <si>
    <t>EB01-6470</t>
  </si>
  <si>
    <t>EB01-7134</t>
  </si>
  <si>
    <t>EB01-8429</t>
  </si>
  <si>
    <t>EB01-9086</t>
  </si>
  <si>
    <t>BT01-1336</t>
  </si>
  <si>
    <t>BT01-2093</t>
  </si>
  <si>
    <t>BT01-3309</t>
  </si>
  <si>
    <t>BT01-4995</t>
  </si>
  <si>
    <t>BT01-6994</t>
  </si>
  <si>
    <t>BT01-8504</t>
  </si>
  <si>
    <t>BB01-402</t>
  </si>
  <si>
    <t>BT01-8798</t>
  </si>
  <si>
    <t>BT01-10871</t>
  </si>
  <si>
    <t>BT01-11790</t>
  </si>
  <si>
    <t>BT01-12919</t>
  </si>
  <si>
    <t>BB01-418</t>
  </si>
  <si>
    <t>BT01-7349</t>
  </si>
  <si>
    <t>BT01-11031</t>
  </si>
  <si>
    <t>BT01-12920</t>
  </si>
  <si>
    <t>BT01-12921</t>
  </si>
  <si>
    <t>EB01-2342</t>
  </si>
  <si>
    <t>AP-046</t>
  </si>
  <si>
    <t>AP-047</t>
  </si>
  <si>
    <t>AP-048</t>
  </si>
  <si>
    <t>CILBIA  PALOMINO BULEJE</t>
  </si>
  <si>
    <t>BT01-12772</t>
  </si>
  <si>
    <t>BT01-12645</t>
  </si>
  <si>
    <t>BT01-13396</t>
  </si>
  <si>
    <t>3-4</t>
  </si>
  <si>
    <t>LLOVINA ENRRIETA  CRESPO SANDOVAL</t>
  </si>
  <si>
    <t>BT01-21800</t>
  </si>
  <si>
    <t>AP-053</t>
  </si>
  <si>
    <t>JULY ROXANA  VILA LEYVA</t>
  </si>
  <si>
    <t>BT01-26296</t>
  </si>
  <si>
    <t>BT01-26388</t>
  </si>
  <si>
    <t>COCHERA (138 )</t>
  </si>
  <si>
    <t>BT01-26389</t>
  </si>
  <si>
    <t>ZUNILDA  CUSIPUMA MOLINA</t>
  </si>
  <si>
    <t>BT01-27642</t>
  </si>
  <si>
    <t>BT01-28152</t>
  </si>
  <si>
    <t>AP-055</t>
  </si>
  <si>
    <t>DIANA EVA  RIVAS GAMBOA</t>
  </si>
  <si>
    <t>BT01-27646</t>
  </si>
  <si>
    <t>BT01-28149</t>
  </si>
  <si>
    <t>BT01-28150</t>
  </si>
  <si>
    <t>COCHERA (170 )</t>
  </si>
  <si>
    <t>JOSE ANTONIO  ESPIRITU PERA</t>
  </si>
  <si>
    <t>BT01-28063</t>
  </si>
  <si>
    <t>AP-054</t>
  </si>
  <si>
    <t>JORGE LUIS  SOLORZANO IBAÑEZ</t>
  </si>
  <si>
    <t>JUAN CARLOS SOLORZANO ISLA</t>
  </si>
  <si>
    <t>BT01-28484</t>
  </si>
  <si>
    <t>COCHERA (56 )</t>
  </si>
  <si>
    <t>BT01-28486</t>
  </si>
  <si>
    <t>BT01-28679</t>
  </si>
  <si>
    <t>A008998</t>
  </si>
  <si>
    <t>COCHERA (57 )</t>
  </si>
  <si>
    <t>BT01-28680</t>
  </si>
  <si>
    <t>A000274</t>
  </si>
  <si>
    <t>ROXANA VANESSA ESPINOZA MONTES</t>
  </si>
  <si>
    <t>BT01-29736</t>
  </si>
  <si>
    <t>BT01-31463</t>
  </si>
  <si>
    <t>COCHERA (168 )</t>
  </si>
  <si>
    <t>BT01-29737</t>
  </si>
  <si>
    <t>BT01-31464</t>
  </si>
  <si>
    <t>AP-050</t>
  </si>
  <si>
    <t xml:space="preserve">LUIS BALTAZAR GUZMAN YZAGUIRRE </t>
  </si>
  <si>
    <t>BT01-31128</t>
  </si>
  <si>
    <t>BT01-31129</t>
  </si>
  <si>
    <t>BT01-31130</t>
  </si>
  <si>
    <t>COCHERA ( 14  )</t>
  </si>
  <si>
    <t xml:space="preserve">RAY LENNON ARRIARAN RIVERA </t>
  </si>
  <si>
    <t>AP-051</t>
  </si>
  <si>
    <t>COCHERA ( 97 )</t>
  </si>
  <si>
    <t>BT01-32774</t>
  </si>
  <si>
    <t>BT01-33369</t>
  </si>
  <si>
    <t>BT01-32775</t>
  </si>
  <si>
    <t>BT01-33368</t>
  </si>
  <si>
    <t>AP-052</t>
  </si>
  <si>
    <t>MARIA CECILIA  CAMPOS PANDO</t>
  </si>
  <si>
    <t>BT01-35156</t>
  </si>
  <si>
    <t>BT01-34759</t>
  </si>
  <si>
    <t>BT01-35119</t>
  </si>
  <si>
    <t>BT01-35151</t>
  </si>
  <si>
    <t xml:space="preserve"> SANTISTEBAN ISMAEL JUAN GONZALES OTOYA</t>
  </si>
  <si>
    <t>BT01-35748</t>
  </si>
  <si>
    <t>BT01-35997</t>
  </si>
  <si>
    <t>BT01-38038</t>
  </si>
  <si>
    <t>BT01-38102</t>
  </si>
  <si>
    <t>BT01-38164</t>
  </si>
  <si>
    <t>BT01-40585</t>
  </si>
  <si>
    <t>BT01-41209</t>
  </si>
  <si>
    <t>BT01-41771</t>
  </si>
  <si>
    <t>BT01-42159</t>
  </si>
  <si>
    <t xml:space="preserve">GUILLERMO ALEXIS VELASQUEZ PANTA </t>
  </si>
  <si>
    <t>BT01-35500</t>
  </si>
  <si>
    <t>BT01-36371</t>
  </si>
  <si>
    <t xml:space="preserve">ANA CECILIA VERGARA YLLESCAS </t>
  </si>
  <si>
    <t>BT01-36370</t>
  </si>
  <si>
    <t>AP-056</t>
  </si>
  <si>
    <t>AP-066</t>
  </si>
  <si>
    <t>AP-076</t>
  </si>
  <si>
    <t>HELEN  FLORES FLORES</t>
  </si>
  <si>
    <t>BT01-37621</t>
  </si>
  <si>
    <t>COCHERA ( 23 )</t>
  </si>
  <si>
    <t>AP-057</t>
  </si>
  <si>
    <t>SISSILIANA  HUAMAN ESPINOZA</t>
  </si>
  <si>
    <t>BT01-45785</t>
  </si>
  <si>
    <t>AP-058</t>
  </si>
  <si>
    <t>ELVIRA DEL ROSARIO  CARREÃO PANDO</t>
  </si>
  <si>
    <t>19227831</t>
  </si>
  <si>
    <t>JOSE YOVANY CHAVARRY HERNANDEZ</t>
  </si>
  <si>
    <t>BT01-36581</t>
  </si>
  <si>
    <t>BT01-36690</t>
  </si>
  <si>
    <t>AP-059</t>
  </si>
  <si>
    <t xml:space="preserve">LUIS ALBERTO QUISPE MORENO </t>
  </si>
  <si>
    <t>BT01-37695</t>
  </si>
  <si>
    <t>BT01-37311</t>
  </si>
  <si>
    <t>AP-060</t>
  </si>
  <si>
    <t>BT01-37040</t>
  </si>
  <si>
    <t>BT01-37502</t>
  </si>
  <si>
    <t>BT01-38370</t>
  </si>
  <si>
    <t xml:space="preserve">RAED ABEL CHACOLLA JAUREGUI </t>
  </si>
  <si>
    <t>42515615</t>
  </si>
  <si>
    <t>AMANDA VILMA VALLEJOS AGUILA</t>
  </si>
  <si>
    <t>AP-061</t>
  </si>
  <si>
    <t>BT01-42931</t>
  </si>
  <si>
    <t>BT01-42932</t>
  </si>
  <si>
    <t>BT01-43920</t>
  </si>
  <si>
    <t>COCHERA ( 30 )</t>
  </si>
  <si>
    <t>BT01-43922</t>
  </si>
  <si>
    <t>AP-062</t>
  </si>
  <si>
    <t>ALDAIR GUANILO RIOJAS</t>
  </si>
  <si>
    <t>BT01-44944</t>
  </si>
  <si>
    <t>BT01-45527</t>
  </si>
  <si>
    <t>BT01-45157</t>
  </si>
  <si>
    <t>BT01-45529</t>
  </si>
  <si>
    <t>KENNET ALONSO  ROMERO DAVILA</t>
  </si>
  <si>
    <t>AP-063</t>
  </si>
  <si>
    <t>BT01-45855</t>
  </si>
  <si>
    <t>BT01-45860</t>
  </si>
  <si>
    <t>A355166</t>
  </si>
  <si>
    <t>AP-064</t>
  </si>
  <si>
    <t>BEN VICTORIANO  BRAVO ROJAS</t>
  </si>
  <si>
    <t>BT01-46289</t>
  </si>
  <si>
    <t>BT01-46201</t>
  </si>
  <si>
    <t>00326093</t>
  </si>
  <si>
    <t>KARIM TATIANA CABAÑA SALDARRIAGA</t>
  </si>
  <si>
    <t>AP-065</t>
  </si>
  <si>
    <t>RENZO ALEXANDER GARCIA ZAPATA</t>
  </si>
  <si>
    <t>70333484</t>
  </si>
  <si>
    <t>PIERO ALONSO GARCIA ZAPATA</t>
  </si>
  <si>
    <t>BT01-46493</t>
  </si>
  <si>
    <t>AP-067</t>
  </si>
  <si>
    <t>MARIA ELENA HERRERA TARRILLO</t>
  </si>
  <si>
    <t>BT01-47196</t>
  </si>
  <si>
    <t>MONICA LUCIA RUIZ CABELLO</t>
  </si>
  <si>
    <t>BT01-45931</t>
  </si>
  <si>
    <t>BT01-47194</t>
  </si>
  <si>
    <t>BT01-48253</t>
  </si>
  <si>
    <t>AP-068</t>
  </si>
  <si>
    <t>09660141</t>
  </si>
  <si>
    <t>ELIZABETH CARMEN TUFIÑO BLAS</t>
  </si>
  <si>
    <t>BT01-48485</t>
  </si>
  <si>
    <t>BT01-48497</t>
  </si>
  <si>
    <t>AP-069</t>
  </si>
  <si>
    <t>SANDRA DALESHKA GRASSO AGUILAR</t>
  </si>
  <si>
    <t>BT01-46490</t>
  </si>
  <si>
    <t>BT01-48326</t>
  </si>
  <si>
    <t>AP-070</t>
  </si>
  <si>
    <t>MAYRA FERNANDEZ BAZAN</t>
  </si>
  <si>
    <t>BT01-51051</t>
  </si>
  <si>
    <t>AP-071</t>
  </si>
  <si>
    <t>ARIANA YOMAYRA TAPIA GUTIERREZ</t>
  </si>
  <si>
    <t>BT01-51564</t>
  </si>
  <si>
    <t>BT01-51565</t>
  </si>
  <si>
    <t>BT01-51571</t>
  </si>
  <si>
    <t>BT01-51568</t>
  </si>
  <si>
    <t>BT01-51572</t>
  </si>
  <si>
    <t>BT01-51664</t>
  </si>
  <si>
    <t>BT01-51833</t>
  </si>
  <si>
    <t>AP-072</t>
  </si>
  <si>
    <t>LUCIA YANETT GAMERO RODRIGUEZ</t>
  </si>
  <si>
    <t>BT01-51667</t>
  </si>
  <si>
    <t>BT01-52250</t>
  </si>
  <si>
    <t>AP-074</t>
  </si>
  <si>
    <t>NOEMI ANYOSA CACERES</t>
  </si>
  <si>
    <t>BT01-53787</t>
  </si>
  <si>
    <t>BT01-54004</t>
  </si>
  <si>
    <t>A061093</t>
  </si>
  <si>
    <t>AP-075</t>
  </si>
  <si>
    <t>YRIS TATIANA ROSALES CUEVA</t>
  </si>
  <si>
    <t>BT01-53505</t>
  </si>
  <si>
    <t>BT01-53824</t>
  </si>
  <si>
    <t>BT01-54399</t>
  </si>
  <si>
    <t>LUISA DEL ROSARIO NUÑEZ CORDERO</t>
  </si>
  <si>
    <t>YANET ESTEFANY CARRERA VARGAS</t>
  </si>
  <si>
    <t>76869077</t>
  </si>
  <si>
    <t>GREGORIO RAFAEL CALLE YUCRA</t>
  </si>
  <si>
    <t>AP-077</t>
  </si>
  <si>
    <t>BT01-53966</t>
  </si>
  <si>
    <t>BT01-54052</t>
  </si>
  <si>
    <t>AP-078</t>
  </si>
  <si>
    <t>ROSSI ZAMUDIO QUISPE</t>
  </si>
  <si>
    <t>BT01-55385</t>
  </si>
  <si>
    <t>AP-073</t>
  </si>
  <si>
    <t>ROSA MARINA VILLALBA ZAPATA</t>
  </si>
  <si>
    <t>BT01-51202</t>
  </si>
  <si>
    <t>BT01-52603</t>
  </si>
  <si>
    <t>BT01-50106</t>
  </si>
  <si>
    <t>CUADRADO</t>
  </si>
  <si>
    <t>BT01-56798</t>
  </si>
  <si>
    <t>BT01-54870</t>
  </si>
  <si>
    <t>NC BT01-2611</t>
  </si>
  <si>
    <t>NC BT01-2609</t>
  </si>
  <si>
    <t>NC BT01-2610</t>
  </si>
  <si>
    <t>NC BT01-2608</t>
  </si>
  <si>
    <t>NC BT01-2607</t>
  </si>
  <si>
    <t>NC BT01-2606</t>
  </si>
  <si>
    <t>NC BT01-2605</t>
  </si>
  <si>
    <t>NC BT01-2604</t>
  </si>
  <si>
    <t xml:space="preserve">03BT01-55385 CANCELACION DE CUOTA INICIAL POR  COMPRAVENTA DE LA MZ E - LT 10 DE APOLO </t>
  </si>
  <si>
    <t>DETALLE</t>
  </si>
  <si>
    <t xml:space="preserve">03BT01-53966 CANCELACION DE CUOTA INICIAL POR COMPRAVENTA DE LA MZ O - LT 3 DE APOLO </t>
  </si>
  <si>
    <t xml:space="preserve">03BT01-54052 CANCELACION DE CUOTA INICIAL POR COMPRAVENTA DE LA MZ O - LT 3 DE APOLO </t>
  </si>
  <si>
    <t>03BT01-56798 CANCELACIÓN DE LA CUOTA 1 SEPTIEMBRE 2025 POR COMPRAVENTA DE LA MZ O - LT 3 DE APOLO</t>
  </si>
  <si>
    <t xml:space="preserve">03BT01-54870 CUOTA INICIAL TRANSFERENCIA CREDICONTADO POR CONTRATO DE PROMESA DE LA MZ L LOTE 4 - EL APOLO </t>
  </si>
  <si>
    <t>OBS.</t>
  </si>
  <si>
    <t xml:space="preserve">07BT01-2604 TRASPASO // PAGO CUOTA 3 JUNIO 2023. CUOTA 4 JULIO 2023. CUOTA 5 AGOSTO 2023. CUOTA 6 SEPTIEMBRE 2023. CUOTA 7 OCTUBRE 2023. CUOTA 8 NOVIEMBRE 2023. CUOTA 9 DICIEMBRE 2023 PARA LA ADJUDICACION DE LA MZ G LOTE 24 - EL OLIVAR </t>
  </si>
  <si>
    <t xml:space="preserve">07BT01-2605 TRASPASO // PAGO CUOTA 1 ABRIL 2023 PARA LA ADJUDICACION DE LA MZ G LOTE 24 - EL OLIVAR </t>
  </si>
  <si>
    <t xml:space="preserve">07BT01-2606 TRASPASO // PAGO CUOTA 2 MAYO 2023 PARA LA ADJUDICACION DE LA MZ G LOTE 24 - EL OLIVAR </t>
  </si>
  <si>
    <t xml:space="preserve">07BT01-2607 TRASPASO // ADJUDICACION LOTE CANCELADO MZ G LT 24- EL OLIVAR </t>
  </si>
  <si>
    <t xml:space="preserve">07BT01-2608 TRASPASO // PAGO CUOTA 13 ABRIL 2024 PARA LA ADJUDICACION DE LA MZ G LOTE 24 - EL OLIVAR </t>
  </si>
  <si>
    <t xml:space="preserve">07BT01-2609 TRASPASO // PAGO CUOTA 12 MARZO 2024 PARA LA ADJUDICACION DE LA MZ G LOTE 24 - EL OLIVAR </t>
  </si>
  <si>
    <t xml:space="preserve">07BT01-2610 TRASPASO // PAGO CUOTA 11 FEBRERO 2024 PARA LA ADJUDICACION DE LA MZ G LOTE 24 - EL OLIVAR </t>
  </si>
  <si>
    <t xml:space="preserve">07BT01-2611 TRASPASO // PAGO CUOTA 10 ENERO 2024 PARA LA ADJUDICACION DE LA MZ G LOTE 24 - EL OLIVAR </t>
  </si>
  <si>
    <t>MONEDA</t>
  </si>
  <si>
    <t>SOLES</t>
  </si>
  <si>
    <t>BT01-49679</t>
  </si>
  <si>
    <t>BT01-51687</t>
  </si>
  <si>
    <t>BT01-52930</t>
  </si>
  <si>
    <t>BT01-54126</t>
  </si>
  <si>
    <t>BT01-55465</t>
  </si>
  <si>
    <t>BT01-56956</t>
  </si>
  <si>
    <t xml:space="preserve">03BT01-49679 PAGO CUOTA 12 ABRIL 2025 TRANSFERENCIA CREDICONTADO POR CONTRATO DE PROMESA DE LA MZ L LOTE 4 - EL APOLO </t>
  </si>
  <si>
    <t>03BT01-51687 PAGO CUOTA 13 MAYO 2025 TRANSFERENCIA CREDICONTADO POR CONTRATO DE PROMESA DE LA MZ L LOTE 4 - EL APOLO</t>
  </si>
  <si>
    <t>03BT01-52930 PAGO CUOTA 14 JUNIO 2025 TRANSFERENCIA CREDICONTADO POR CONTRATO DE PROMESA DE LA MZ L LOTE 4 - EL APOLO</t>
  </si>
  <si>
    <t>03BT01-54126 PAGO CUOTA 15 JULIO 2025 TRANSFERENCIA CREDICONTADO POR CONTRATO DE PROMESA DE LA MZ L LOTE 4 - EL APOLO</t>
  </si>
  <si>
    <t xml:space="preserve">03BT01-55465 PAGO CUOTA 16 AGOSTO 2025 TRANSFERENCIA CREDICONTADO POR CONTRATO DE PROMESA DE LA MZ L LOTE 4 - EL APOLO </t>
  </si>
  <si>
    <t>03BT01-56956 PAGO CUOTA 17 SEPTIEMBRE 2025 TRANSFERENCIA CREDICONTADO POR CONTRATO DE PROMESA DE LA MZ L LOTE 4 - EL APOLO</t>
  </si>
  <si>
    <t>BT01-31985</t>
  </si>
  <si>
    <t>BT01-31986</t>
  </si>
  <si>
    <t>BT01-31987</t>
  </si>
  <si>
    <t>BT01-31988</t>
  </si>
  <si>
    <t>BT01-31989</t>
  </si>
  <si>
    <t>BT01-31990</t>
  </si>
  <si>
    <t>BT01-31991</t>
  </si>
  <si>
    <t>BT01-31992</t>
  </si>
  <si>
    <t>BT01-31993</t>
  </si>
  <si>
    <t>BT01-31994</t>
  </si>
  <si>
    <t>BT01-31995</t>
  </si>
  <si>
    <t>03BT01-31985PAGO CUOTA 01 MAYO 2024 TRANSFERENCIA CREDICONTADO POR CONTRATO DE PROMESA DE LA MZ L LOTE 4 - EL APOLO</t>
  </si>
  <si>
    <t>03BT01-31986PAGO CUOTA 02 JUNIO 2024 TRANSFERENCIA CREDICONTADO POR CONTRATO DE PROMESA DE LA MZ L LOTE 4 - EL APOLO</t>
  </si>
  <si>
    <t>03BT01-31987PAGO CUOTA 03 JULIO 2024 TRANSFERENCIA CREDICONTADO POR CONTRATO DE PROMESA DE LA MZ L LOTE 4 - EL APOLO</t>
  </si>
  <si>
    <t>03BT01-31988PAGO CUOTA 04 AGOSTO 2024 TRANSFERENCIA CREDICONTADO POR CONTRATO DE PROMESA DE LA MZ L LOTE 4 - EL APOLO</t>
  </si>
  <si>
    <t>03BT01-31989PAGO CUOTA 05 SEPTIEMBRE 2024 TRANSFERENCIA CREDICONTADO POR CONTRATO DE PROMESA DE LA MZ L LOTE 4 - EL APOLO</t>
  </si>
  <si>
    <t>03BT01-31990PAGO CUOTA 06 OCTUBRE 2024 TRANSFERENCIA CREDICONTADO POR CONTRATO DE PROMESA DE LA MZ L LOTE 4 - EL APOLO</t>
  </si>
  <si>
    <t>03BT01-31991PAGO CUOTA 07 NOVIEMBRE 2024 TRANSFERENCIA CREDICONTADO POR CONTRATO DE PROMESA DE LA MZ L LOTE 4 - EL APOLO</t>
  </si>
  <si>
    <t>03BT01-31992PAGO CUOTA 08 DICIEMBRE 2024 TRANSFERENCIA CREDICONTADO POR CONTRATO DE PROMESA DE LA MZ L LOTE 4 - EL APOLO</t>
  </si>
  <si>
    <t>03BT01-31993PAGO CUOTA 09 ENERO 2025 TRANSFERENCIA CREDICONTADO POR CONTRATO DE PROMESA DE LA MZ L LOTE 4 - EL APOLO</t>
  </si>
  <si>
    <t>03BT01-31994PAGO CUOTA 10 FEBRERO 2025 TRANSFERENCIA CREDICONTADO POR CONTRATO DE PROMESA DE LA MZ L LOTE 4 - EL APOLO</t>
  </si>
  <si>
    <t>03BT01-31995PAGO CUOTA 11 MARZO 2025 TRANSFERENCIA CREDICONTADO POR CONTRATO DE PROMESA DE LA MZ L LOTE 4 - EL APOLO</t>
  </si>
  <si>
    <t>DOLAR</t>
  </si>
  <si>
    <t>BT01-22</t>
  </si>
  <si>
    <t>BT01-23</t>
  </si>
  <si>
    <t>BT01-24</t>
  </si>
  <si>
    <t>BT01-25</t>
  </si>
  <si>
    <t>BT01-26</t>
  </si>
  <si>
    <t>DESISTIMIENTO // CANCELA CUOTA 1 ABRIL 2025 PARA LA ADJUDICACION DE LA MZ J LT 8 -AMAREA</t>
  </si>
  <si>
    <t>DESISTIMIENTO//CANCELA CUOTA 2 MAYO 2025 PARA LA ADJUDICACION DE LA MZ J LT 8 -AMAREA</t>
  </si>
  <si>
    <t>DESISTIMIENTO//PAGO A CUENTA DE LA CUOTA 3 JUNIO 2025 PARA LA ADJUDICACION DE LA MZ J LT 8 -AMAREA</t>
  </si>
  <si>
    <t>DESISTIMIENTO//CANCELA CUOTA INICAL PARA LA ADJUDICACION DE LA MZ J LT 8 -AMAREA</t>
  </si>
  <si>
    <t>DESISITIMIENTO//SEPARACION ADJUDICACION LOTE 08 MZ J - PROYECTO AMAREA</t>
  </si>
  <si>
    <t xml:space="preserve">03BT01-53505 SEPARACION POR COMPRAVENTA DE LA MZ - C - LT 3 DE APOLO </t>
  </si>
  <si>
    <t xml:space="preserve">03BT01-53824 CANCELACION DE CUOTA INICIAL POR COMPRAVENTA DE LA MZ C - LT 3 DEL APOLO </t>
  </si>
  <si>
    <t xml:space="preserve">03BT01-54399 COMPRA VENTA DE LA MZ C - LT 3 DEL APOLO </t>
  </si>
  <si>
    <t>BT01-55806</t>
  </si>
  <si>
    <t>BT01-57358</t>
  </si>
  <si>
    <t xml:space="preserve">03BT01-53787 SEPARACION POR COMPRAVENTA DE LA MZ - A - LT 2 DE APOLO </t>
  </si>
  <si>
    <t xml:space="preserve">03BT01-54004 CANCELACION DE CUOTA INICIAL POR COMPRAVENTA DE LA MZ A - LT 2 DEL APOLO </t>
  </si>
  <si>
    <t xml:space="preserve">03BT01-55806 CANCELACION DE CUOTA 1 AGOSTO 2025 POR LA COMPRAVENTA DE LA MZ A - LT 2 DEL APOLO </t>
  </si>
  <si>
    <t>03BT01-57358 CANCELACION DE CUOTA 2 SEPTIEMBRE 2025 POR LA COMPRAVENTA DE LA MZ A - LT 2 DEL APOLO</t>
  </si>
  <si>
    <t>BT01-55472</t>
  </si>
  <si>
    <t>BT01-55473</t>
  </si>
  <si>
    <t>BT01-56813</t>
  </si>
  <si>
    <t xml:space="preserve">03BT01-50106 SEPARACION POR COMPRAVENTA DE LA MZ  L - LT 3 </t>
  </si>
  <si>
    <t>03BT01-51202 SEPARACION POR COMPRAVENTA DE LA MZ L - LT 3 DE APOLO</t>
  </si>
  <si>
    <t>03BT01-52603 CANCELACION POR COMPRAVENTA DE LA MZ L - LT  03 DE APOLO</t>
  </si>
  <si>
    <t xml:space="preserve">03BT01-55472 PAGO A CUENTA DE LA CUOTA 2 SEPTIEMBRE 2025 POR COMPRAVENTA DE LA MZ L - LT 03 DE APOLO </t>
  </si>
  <si>
    <t xml:space="preserve">03BT01-55473 CANCELACION DE LA CUOTA 1 AGOSTO 2025 POR COMPRAVENTA DE LA MZ L - LT 03 DE APOLO </t>
  </si>
  <si>
    <t>03BT01-56813 COMPLETA CUOTA 2 SEPTIEMBRE 2025 POR COMPRAVENTA DE LA MZ L - LT 03 DE APOLO</t>
  </si>
  <si>
    <t>BT01-55088</t>
  </si>
  <si>
    <t>BT01-56228</t>
  </si>
  <si>
    <t>03BT01-51667 SEPARACION POR COMPRAVENTA DE LA MZ  - R - LT  1 DE APOLO</t>
  </si>
  <si>
    <t>03BT01-52250 CANCELACION DE CUOTA INICIAL POR COMPRAVENTA DE LA MZ R - LT 1 DEL APOLO</t>
  </si>
  <si>
    <t xml:space="preserve">03BT01-55088 CANCELACION DE CUOTA 1 AGOSTO 2025 POR COMPRAVENTA DE LA MZ R - LT 1 DEL APOLO </t>
  </si>
  <si>
    <t>03BT01-56228 CANCELACION DE CUOTA 2 SEPTIEMBRE 2025 POR COMPRAVENTA DE LA MZ R - LT 1 DEL APOLO</t>
  </si>
  <si>
    <t>BT01-52655</t>
  </si>
  <si>
    <t>BT01-54524</t>
  </si>
  <si>
    <t>BT01-56012</t>
  </si>
  <si>
    <t>03BT01-51564 CANCELACION DE CUOTA INICIAL POR COMPRAVENTA   DE LA MZ E - LT 8 DE APOLO</t>
  </si>
  <si>
    <t>03BT01-51565 SEPARACION POR COMPRAVENTA DE LA MZ E - LT  8 DE APOLO</t>
  </si>
  <si>
    <t>03BT01-51568 CANCELACION  DE CUOTA INICIAL POR COMPRAVENTA DE LA MZ E - LT 8 DE APOLO</t>
  </si>
  <si>
    <t>03BT01-51571 CANCELACION DE CUOTA INICIAL POR COMPRAVENTA DE LA MZ E - LT  8 DEL APOLO</t>
  </si>
  <si>
    <t>03BT01-51572 CANCELACION POR COMPRAVENTA DE LA MZ  E  - LT  8 DE APOLO</t>
  </si>
  <si>
    <t>03BT01-51664 CANCELACION DE CUOTA INICIAL POR COMPRAVENTA DE LA MZ E - LT 8 DEL APOLO</t>
  </si>
  <si>
    <t>03BT01-51833 CANECALCION DE CUOTA INICIAL POR COMPRAVENTA DE LA MZ  E - LT 8 DE APOLO</t>
  </si>
  <si>
    <t>03BT01-52655 CANCELACION DE CUOTA LA 1 POR CONTRATO DE PROMESA DE LA MZ E - LT 8 DE APOLO</t>
  </si>
  <si>
    <t xml:space="preserve">03BT01-54524 CANCELACION DE CUOTA LA 2 AGOSTO 2025 POR CONTRATO DE PROMESA DE LA MZ E - LT 8 DE APOLO </t>
  </si>
  <si>
    <t>03BT01-56012 CANCELACION DE CUOTA LA 03 SEPTIEMBRE 2025 POR CONTRATO DE PROMESA DE LA MZ E - LT 8 DE APOLO</t>
  </si>
  <si>
    <t xml:space="preserve">PENDIENTE DE ANULACION LT E 7 </t>
  </si>
  <si>
    <t>izipay</t>
  </si>
  <si>
    <t>Confirmar op.</t>
  </si>
  <si>
    <t>03BT01-51051 CANCELACION DE CUOTA INICIAL POR COMPRAVENTA DE LA MZ  A . LT 4 DE APOLO</t>
  </si>
  <si>
    <t>BT01-51840</t>
  </si>
  <si>
    <t>BT01-51841</t>
  </si>
  <si>
    <t>BT01-53450</t>
  </si>
  <si>
    <t>BT01-53451</t>
  </si>
  <si>
    <t>BT01-55200</t>
  </si>
  <si>
    <t>BT01-55201</t>
  </si>
  <si>
    <t>BT01-57160</t>
  </si>
  <si>
    <t>BT01-57161</t>
  </si>
  <si>
    <t>03BT01-46490 SEPARACION POR COMPRAVENTA DE LA MZ D - LT  7 DE APOLO</t>
  </si>
  <si>
    <t>03BT01-48326 CANCELACION DE CUOTA INICIAL POR COMPRAVENTA DE LA MZ D - LT 7 DE APOLO</t>
  </si>
  <si>
    <t>03BT01-51840 CANCELACION DE CUOTA 1 MAYO 2025 TRANSFERENCIA CREDICONTADO POR CONTRATO DE PROMESA DE LA MZ D - LT 7 DE APOLO</t>
  </si>
  <si>
    <t>03BT01-51841 PAGO DE MORA CORRESPONDIENTE A CUOTA 01 MAYO 2025 DE LA MZ D LOTE 7- APOLO</t>
  </si>
  <si>
    <t xml:space="preserve">03BT01-53450 PAGO DE MORA CORRESPONDIENTE A CUOTA 02 JUNIO 2025 DE LA MZ D LOTE 7- APOLO </t>
  </si>
  <si>
    <t xml:space="preserve">03BT01-53451 CANCELACION DE CUOTA 2 JUNIO 2025 TRANSFERENCIA CREDICONTADO POR CONTRATO DE PROMESA DE LA MZ D - LT 7 DE APOLO </t>
  </si>
  <si>
    <t xml:space="preserve">03BT01-55200 CANCELACION DE CUOTA 3 JULIO 2025 TRANSFERENCIA CREDICONTADO POR CONTRATO DE PROMESA DE LA MZ D - LT 7 DE APOLO </t>
  </si>
  <si>
    <t xml:space="preserve">03BT01-55201 PAGO DE MORA CORRESPONDIENTE A CUOTA 03 JULIO 2025 DE LA MZ D LOTE 7- APOLO </t>
  </si>
  <si>
    <t>03BT01-57160 CANCELACION DE CUOTA 4 AGOSTO 2025 TRANSFERENCIA CREDICONTADO POR CONTRATO DE PROMESA DE LA MZ D - LT 7 DE APOLO</t>
  </si>
  <si>
    <t>03BT01-57161 PAGO DE MORA CORRESPONDIENTE A CUOTA 04 AGOSTO 2025 DE LA MZ D LOTE 7- APOLO</t>
  </si>
  <si>
    <t>MORA</t>
  </si>
  <si>
    <t>BT01-51386</t>
  </si>
  <si>
    <t>BT01-52929</t>
  </si>
  <si>
    <t>BT01-54397</t>
  </si>
  <si>
    <t>BT01-55920</t>
  </si>
  <si>
    <t>BT01-57283</t>
  </si>
  <si>
    <t>03BT01-48485 SEPARACION POR COMPRAVENTA DE LA MZ  O - LT  5 DE APOLO</t>
  </si>
  <si>
    <t>03BT01-48497 CANCELACION DE CUOTA INICIAL POR XOMPRAVENTA DE LA MZ  O - LT  5 DE APOLO</t>
  </si>
  <si>
    <t>03BT01-51386 CANCELACION DE LA CUOTA 1 MAYO 2025 TRANSFERENCIA CREDICONTADO POR PROMESA DE CONTRATO  DE LA MZ O - LT 5 DE APOLO</t>
  </si>
  <si>
    <t>03BT01-52929 CANCELACION DE LA CUOTA 2 JUNIO 2025 TRANSFERENCIA CREDICONTADO POR PROMESA DE CONTRATO  DE LA MZ O - LT 5 DE APOLO</t>
  </si>
  <si>
    <t>03BT01-54397 CANCELACION DE LA CUOTA 3 JULIO 2025 TRANSFERENCIA CREDICONTADO POR PROMESA DE CONTRATO DE LA MZ O - LT 5 DE APOLO</t>
  </si>
  <si>
    <t>03BT01-55920 CANCELACION DE LA CUOTA 4 AGOSTO 2025 TRANSFERENCIA CREDICONTADO POR PROMESA DE CONTRATO DE LA MZ O - LT 5 DE APOLO</t>
  </si>
  <si>
    <t>03BT01-57283 CANCELACION DE LA CUOTA 5 SEPTIEMBRE 2025 TRANSFERENCIA CREDICONTADO POR PROMESA DE CONTRATO DE LA MZ O - LT 5 DE APOLO</t>
  </si>
  <si>
    <t>BT01-51730</t>
  </si>
  <si>
    <t>BT01-54338</t>
  </si>
  <si>
    <t>BT01-54339</t>
  </si>
  <si>
    <t>BT01-55921</t>
  </si>
  <si>
    <t>BT01-57356</t>
  </si>
  <si>
    <t>03BT01-47196 CANCELACION DE CUOTA INICIAL POR COMPRAVENTA DE LA MZ  J LT 3 DE APOLO</t>
  </si>
  <si>
    <t>03BT01-51730 CANCELACION DE CUOTA 1 MAYO 2025 TRANSFERENCIA CREDICONTADO POR CONTRATO DE PROMESA DE LA MZ J LT 3 DE APOLO</t>
  </si>
  <si>
    <t xml:space="preserve">03BT01-54338 CANCELACION DE CUOTA 2 JUNIO 2025 TRANSFERENCIA CREDICONTADO POR CONTRATO DE PROMESA DE LA MZ J LT 3 DE APOLO </t>
  </si>
  <si>
    <t xml:space="preserve">03BT01-54339 CANCELACION DE CUOTA 3 JULIO 2025 TRANSFERENCIA CREDICONTADO POR CONTRATO DE PROMESA DE LA MZ J LT 3 DE APOLO </t>
  </si>
  <si>
    <t>03BT01-55921 CANCELACION DE CUOTA 4 AGOSTO 2025 TRANSFERENCIA CREDICONTADO POR CONTRATO DE PROMESA DE LA MZ J LT 3 DE APOLO</t>
  </si>
  <si>
    <t>03BT01-57356 CANCELACION DE CUOTA 5 SEPTIEMBRE 2025 TRANSFERENCIA CREDICONTADO POR CONTRATO DE PROMESA DE LA MZ J LT 3 DE APOLO</t>
  </si>
  <si>
    <t>BT01-52950</t>
  </si>
  <si>
    <t>BT01-54370</t>
  </si>
  <si>
    <t>BT01-55922</t>
  </si>
  <si>
    <t>BT01-57359</t>
  </si>
  <si>
    <t>BT01-57360</t>
  </si>
  <si>
    <t>03BT01-45931 SEPARACION POR COMPRAVENTA DE LA MZ F - LT 6 - DE APOLO</t>
  </si>
  <si>
    <t>03BT01-47194 CANCELACION DE CUOTA INICIAL PARA LA COMPRAVENTA DE LA MZ F - LT 6 DE APOLO</t>
  </si>
  <si>
    <t>03BT01-48253 CANCELACION CUOTA INICIAL PARA LA COMPRAVENTA DE APOLO</t>
  </si>
  <si>
    <t>03BT01-52950 CANCELACION CUOTA 1 JUNIO 2025  TRANSFERENCIA CREDICONTADO POR CONTRATO DE PROMESA DE LA MZ F LOTE 6-APOLO</t>
  </si>
  <si>
    <t>03BT01-54370 CANCELACION CUOTA 2 JULIO 2025 TRANSFERENCIA CREDICONTADO POR CONTRATO DE PROMESA DE LA MZ F LOTE 6-APOLO</t>
  </si>
  <si>
    <t>03BT01-55922 CANCELACION CUOTA 3 AGOSTO 2025 TRANSFERENCIA CREDICONTADO POR CONTRATO DE PROMESA DE LA MZ F LOTE 6-APOLO</t>
  </si>
  <si>
    <t>03BT01-57359 CANCELACION CUOTA 4 SEPTIEMBRE 2025 TRANSFERENCIA CREDICONTADO POR CONTRATO DE PROMESA DE LA MZ F LOTE 6-APOLOOLO</t>
  </si>
  <si>
    <t>03BT01-57360 CANCELACION CUOTA 5 OCTUBRE 2025 TRANSFERENCIA CREDICONTADO POR CONTRATO DE PROMESA DE LA MZ F LOTE 6-APOLO</t>
  </si>
  <si>
    <t>BT01-51388</t>
  </si>
  <si>
    <t>BT01-52927</t>
  </si>
  <si>
    <t>BT01-54345</t>
  </si>
  <si>
    <t>BT01-55716</t>
  </si>
  <si>
    <t>BT01-57278</t>
  </si>
  <si>
    <t>03BT01-46493 CANCELACION DE CUOTA INICIAL  POR COMPRAVENTA DE LA MZ J - LT 4 DE APOLO</t>
  </si>
  <si>
    <t>03BT01-51388 CANCELACION DE CUOTA 1 MAYO 2025 TRANSFERENCIA CREDICONTADO POR PROMESA DE CONTRATO  DE LA MZ J - LT 4 DE APOLO</t>
  </si>
  <si>
    <t>03BT01-52927 CANCELACION DE CUOTA 2 JUNIO 2025 TRANSFERENCIA CREDICONTADO POR PROMESA DE CONTRATO DE LA MZ J - LT 4 DE APOLO</t>
  </si>
  <si>
    <t>03BT01-54345 CANCELACION DE CUOTA 3 JULIO 2025 TRANSFERENCIA CREDICONTADO POR PROMESA DE CONTRATO DE LA MZ J - LT 4 DE APOLO</t>
  </si>
  <si>
    <t xml:space="preserve">03BT01-55716 CANCELACION DE CUOTA 4 AGOSTO 2025 TRANSFERENCIA CREDICONTADO POR PROMESA DE CONTRATO DE LA MZ J - LT 4 DE APOLO </t>
  </si>
  <si>
    <t>03BT01-57278 CANCELACION DE CUOTA 5 SEPTIEMBRE 2025 TRANSFERENCIA CREDICONTADO POR PROMESA DE CONTRATO DE LA MZ J - LT 4 DE APOLO</t>
  </si>
  <si>
    <t>BT01-48223</t>
  </si>
  <si>
    <t>BT01-49620</t>
  </si>
  <si>
    <t>BT01-50344</t>
  </si>
  <si>
    <t>03BT01-46201 SEPARACION POR COMPRAVENTA DE LA MZ  E - LT 04 DE APOLO</t>
  </si>
  <si>
    <t>03BT01-46289 CANCELACION CUOTA INICIAL POR COMPRAVENTA DE LA MZ E LT 4 - APOLO</t>
  </si>
  <si>
    <t>03BT01-48223 PAGO CUOTA 1 MARZO 2025 TRANSFERENCIA CREDICONTADOPOR CONMTRATO DE PROMESA DE LA MZ E LT 4 - APOLO</t>
  </si>
  <si>
    <t xml:space="preserve">03BT01-49620 PAGO CUOTA 2 ABRIL 2025 TRANSFERENCIA CREDICONTADO POR CONTRATO DE PROMESA DE LA MZ E LOTE 4 APOLO </t>
  </si>
  <si>
    <t>03BT01-50344 PAGO DESDE LA CUOTA 3 MAYO 2025 HASTA LA CUOTA 12 FEBRERO  2026 TRANSFERENCIA CREDICONTADO POR CONTRATO DE PROMESA DE LA MZ E LOTE 4 APOLO</t>
  </si>
  <si>
    <t>07BT01-2313 PAGO DESDE LA CUOTA 3 MAYO 2025 HASTA LA CUOTA 12 FEBRERO  2026 TRANSFERENCIA CREDICONTADO POR CONTRATO DE PROMESA DE LA MZ E LOTE 4 APOLO</t>
  </si>
  <si>
    <t>NC</t>
  </si>
  <si>
    <t>BT01-2313</t>
  </si>
  <si>
    <t>BT01-48172</t>
  </si>
  <si>
    <t>BT01-49518</t>
  </si>
  <si>
    <t>BT01-51035</t>
  </si>
  <si>
    <t>BT01-52423</t>
  </si>
  <si>
    <t>BT01-53883</t>
  </si>
  <si>
    <t>BT01-55428</t>
  </si>
  <si>
    <t>BT01-56999</t>
  </si>
  <si>
    <t>03BT01-45855 SEPARACION PARA LA COMPRAVENTA DE LA MAZ - R - LT 4 DE APO</t>
  </si>
  <si>
    <t>03BT01-45860 CANCELACION DE CUOTA INICIAL PARA LA COMPRAVENTA DE LA MZ - R - LT 4 DE APOLO</t>
  </si>
  <si>
    <t>03BT01-48172 CANCELACION CUOTA 1 MARZO 2025 TRANSFERENCIA CREDICONTADO POR CONTRATO DE PROMESA DE LA MZ R LOTE 4 APOLO</t>
  </si>
  <si>
    <t xml:space="preserve">03BT01-49518 CANCELACION CUOTA 2 ABRIL 2025 TRANSFERENCIA CREDICONTADO POR CONTRATO DE PROMESA DE LA MZ R LOTE 4 APOLO </t>
  </si>
  <si>
    <t>03BT01-51035 CANCELACION CUOTA 3 MAYO 2025 TRANSFERENCIA CREDICONTADO POR CONTRATO DE PROMESA DE LA MZ R LOTE 4 APOLO</t>
  </si>
  <si>
    <t>03BT01-52423 CANCELACION CUOTA 4 JUNIO 2025 TRANSFERENCIA CREDICONTADO POR CONTRATO DE PROMESA DE LA MZ R LOTE 4 APOLO</t>
  </si>
  <si>
    <t>03BT01-53883 CANCELACION CUOTA 5 JULIO 2025 TRANSFERENCIA CREDICONTADO POR CONTRATO DE PROMESA DE LA MZ R LOTE 4 APOLO</t>
  </si>
  <si>
    <t xml:space="preserve">03BT01-55428 CANCELACION CUOTA 6 AGOSTO 2025 TRANSFERENCIA CREDICONTADO POR CONTRATO DE PROMESA DE LA MZ R LOTE 4 APOLO </t>
  </si>
  <si>
    <t>03BT01-56999 CANCELACION CUOTA 7 SEPTIEMBRE 2025 TRANSFERENCIA CREDICONTADO POR CONTRATO DE PROMESA DE LA MZ R LOTE 4 APOLO</t>
  </si>
  <si>
    <t>BT01-2359</t>
  </si>
  <si>
    <t>07BT01-2359 ERROR DE EMISION // CANCELACION CUOTA 1 MARZO 2025 TRANSFERENCIA CREDICONTADO POR CONTRATO DE PROMESA DE LA MZ R LOTE 4 APOLO</t>
  </si>
  <si>
    <t>BT01-56759</t>
  </si>
  <si>
    <t>BT01-56760</t>
  </si>
  <si>
    <t>BT01-56761</t>
  </si>
  <si>
    <t>BT01-56762</t>
  </si>
  <si>
    <t>BT01-56763</t>
  </si>
  <si>
    <t>03BT01-44944 SEPARACION POR COMPRAVENTA DE LA MZ O LT 4 - APOLO</t>
  </si>
  <si>
    <t>03BT01-45157 SEPARACION POR COMPRAVENTA DE LA MZ O - LT 4 DE APOLO</t>
  </si>
  <si>
    <t>03BT01-45527 SEPARACION POR COMPRA VENTA  DE LA MZ - O - LT 4</t>
  </si>
  <si>
    <t>03BT01-45529 CANCELACION DE CUOTA INICIAL PARA LA COMPRAVENTA DE LA MZ - LT 4 DE APOLO</t>
  </si>
  <si>
    <t>03BT01-56759 CANCELACION DE LA CUOTA 1 MAYO 2025 PARA LA COMPRAVENTA DE LA MZ -O LT 4 DE APOLO</t>
  </si>
  <si>
    <t>03BT01-56760 CANCELACION DE LA CUOTA 2 JUNIO 2025 PARA LA COMPRAVENTA DE LA MZ -O LT 4 DE APOLO</t>
  </si>
  <si>
    <t>03BT01-56761 CANCELACION DE LA CUOTA 3 JULIO 2025 PARA LA COMPRAVENTA DE LA MZ -O LT 4 DE APOLO</t>
  </si>
  <si>
    <t>03BT01-56762 CANCELACION DE LA CUOTA 4 AGOSTO 2025 PARA LA COMPRAVENTA DE LA  MZ -O LT 4 DE APOLO</t>
  </si>
  <si>
    <t>03BT01-56763 CANCELACION DE LA CUOTA 5 SEPTIEMBRE 2025 PARA LA COMPRAVENTA DE LA  MZ -O LT 4 DE APOLO</t>
  </si>
  <si>
    <t>BT01-45135</t>
  </si>
  <si>
    <t>BT01-46887</t>
  </si>
  <si>
    <t>BT01-48368</t>
  </si>
  <si>
    <t>BT01-49810</t>
  </si>
  <si>
    <t>BT01-51361</t>
  </si>
  <si>
    <t>BT01-52839</t>
  </si>
  <si>
    <t>BT01-54342</t>
  </si>
  <si>
    <t>BT01-55727</t>
  </si>
  <si>
    <t>BT01-57210</t>
  </si>
  <si>
    <t>03BT01-43920 COMPRA VENTA LOTE 02 MZ P - PROYECTO APOLO</t>
  </si>
  <si>
    <t>03BT01-43922 CANCELACION ESTACIONAMIENTO N° 30 - PROYECTO APOLO</t>
  </si>
  <si>
    <t>03BT01-45135 PAGO CUOTA 1 ENERO 2025 TRANSFERENCIA CREDICONTADO POR CONTRATO DE PROMESA DE LA MZ P LOTE 2 APOLO</t>
  </si>
  <si>
    <t>03BT01-46887 PAGO CUOTA 2 FEBRERO 2025 TRANSFERENCIA CREDICONTADO POR CONTRATO DE PROMESA DE LA MZ P LOTE 2 APOLO</t>
  </si>
  <si>
    <t>03BT01-48368 PAGO CUOTA 3 MARZO 2025 TRANSFERENCIA CREDICONTADO POR CONTRATO DE PROMESA DE LA MZ P LOTE 2 APOLO</t>
  </si>
  <si>
    <t xml:space="preserve">03BT01-49810 PAGO CUOTA 4 ABRIL 2025 TRANSFERENCIA CREDICONTADO POR CONTRATO DE PROMESA DE LA MZ P LOTE 2 APOLO </t>
  </si>
  <si>
    <t>03BT01-51361 PAGO CUOTA 5 MAYO 2025 TRANSFERENCIA CREDICONTADO POR CONTRATO DE PROMESA DE LA MZ P LOTE 2 APOLO</t>
  </si>
  <si>
    <t>03BT01-52839 PAGO CUOTA 6 JUNIO 2025 TRANSFERENCIA CREDICONTADO POR CONTRATO DE PROMESA DE LA MZ P LOTE 2 APOLO</t>
  </si>
  <si>
    <t>03BT01-54342 PAGO CUOTA 7 JULIO 2025 TRANSFERENCIA CREDICONTADO POR CONTRATO DE PROMESA DE LA MZ P LOTE 2 APOLO</t>
  </si>
  <si>
    <t xml:space="preserve">03BT01-55727 PAGO CUOTA 8 AGOSTO 2025 TRANSFERENCIA CREDICONTADO POR CONTRATO DE PROMESA DE LA MZ P LOTE 2 APOLO </t>
  </si>
  <si>
    <t>03BT01-57210 PAGO CUOTA 9 SEPTIEMBRE 2025 TRANSFERENCIA CREDICONTADO POR CONTRATO DE PROMESA DE LA MZ P LOTE 2 APOLO</t>
  </si>
  <si>
    <t xml:space="preserve">03BT01-42931 SEPARACION POR COMPRAVENTA DE LA MZ P LT 2-APOLO </t>
  </si>
  <si>
    <t xml:space="preserve">03BT01-42932 SEPARACION POR COMPRAVENTA </t>
  </si>
  <si>
    <t>03BT01-37040SEPARACION POR LA COMPRAVENTA DE LA MZ L LT 1- APOLO</t>
  </si>
  <si>
    <t>03BT01-37502 SEPARACION POR COMPRAVENTA DE LA MZ L LOTE 1 - APOLO</t>
  </si>
  <si>
    <t>03BT01-38370 CANCELACION CUOTA INICIAL POR COMPRA VENTA DE LA MZ L LOTE 1 - APOLO</t>
  </si>
  <si>
    <t>BT01-45414</t>
  </si>
  <si>
    <t>03BT01-45414 PAGO A CUENTA DE LA CUOTA 1 DICIEMBRE 2024 TRANSFERENCIA CREDICONTADO POR CONTRATO DE PROMESA DE LA MZ L  LOTE 1 APOLO</t>
  </si>
  <si>
    <t>BT01-38785</t>
  </si>
  <si>
    <t>BT01-41981</t>
  </si>
  <si>
    <t>BT01-41982</t>
  </si>
  <si>
    <t>BT01-42247</t>
  </si>
  <si>
    <t>BT01-42248</t>
  </si>
  <si>
    <t>BT01-43753</t>
  </si>
  <si>
    <t>BT01-43754</t>
  </si>
  <si>
    <t>BT01-43755</t>
  </si>
  <si>
    <t>BT01-45348</t>
  </si>
  <si>
    <t>BT01-45349</t>
  </si>
  <si>
    <t>BT01-47511</t>
  </si>
  <si>
    <t>BT01-47512</t>
  </si>
  <si>
    <t>BT01-47513</t>
  </si>
  <si>
    <t>BT01-49486</t>
  </si>
  <si>
    <t>BT01-49487</t>
  </si>
  <si>
    <t>BT01-51991</t>
  </si>
  <si>
    <t>BT01-51992</t>
  </si>
  <si>
    <t>BT01-51993</t>
  </si>
  <si>
    <t>BT01-54237</t>
  </si>
  <si>
    <t>BT01-54238</t>
  </si>
  <si>
    <t>BT01-55937</t>
  </si>
  <si>
    <t>BT01-55938</t>
  </si>
  <si>
    <t>BT01-55939</t>
  </si>
  <si>
    <t>03BT01-37695 CANCELACION CUOTA INICIAL POR LA COMPRAVENTA DE LA MZ C  LOTE 02 - APOLO</t>
  </si>
  <si>
    <t>03BT01-38785 CANCELACION CUOTA INICAL POR COMPRAVENTA DE LA MZ C LOTE 2 - APOLO</t>
  </si>
  <si>
    <t>03BT01-41981 PAGO CUOTA 01 OCTUBRE 2024 TRANSFERENCIA CREDICONTADO POR CONTRATO DE PROMESA DE LA MZ C LOTE 2 - EL APOLO</t>
  </si>
  <si>
    <t>03BT01-41982 PAGO A CUENTA DE LA CUOTA 02 NOVIEMBRE 2024 TRANSFERENCIA CREDICONTADO POR CONTRATO DE PROMESA DE LA MZ C LOTE 2 - EL APOLO</t>
  </si>
  <si>
    <t>03BT01-42247 CANCELACION DE LA CUOTA 02 NOVIEMBRE 2024 TRANSFERENCIA CREDICONTADO POR CONTRATO DE PROMESA DE LA MZ C LOTE 2 - EL APOLO</t>
  </si>
  <si>
    <t>03BT01-42248 PAGO A CUENTA DE LA CUOTA 03 DICIEMBRE 2024 TRANSFERENCIA CREDICONTADO POR CONTRATO DE PROMESA DE LA MZ C LOTE 2 - EL APOLO</t>
  </si>
  <si>
    <t xml:space="preserve">03BT01-43753 CANCELACION DE LA CUOTA 03 DICIEMBRE 2024 TRANSFERENCIA CREDICONTADO POR CONTRATO DE PROMESA DE LA MZ C LOTE 2 - EL APOLO </t>
  </si>
  <si>
    <t xml:space="preserve">03BT01-43754 PAGO DE LA CUOTA 04 ENERO 2025 TRANSFERENCIA CREDICONTADO POR CONTRATO DE PROMESA DE LA MZ C LOTE 2 - EL APOLO </t>
  </si>
  <si>
    <t xml:space="preserve">03BT01-43755 PAGO A CUENTA DE LA CUOTA 05 FEBRERO 2025 TRANSFERENCIA CREDICONTADO POR CONTRATO DE PROMESA DE LA MZ C LOTE 2 - EL APOLO </t>
  </si>
  <si>
    <t>03BT01-45348 CANCELACION DE LA CUOTA 05 FEBRERO 2025 TRANSFERENCIA CREDICONTADO POR CONTRATO DE PROMESA DE LA MZ C LOTE 2 - EL APOLO</t>
  </si>
  <si>
    <t>03BT01-45349 PAGO A CUENTA DE LA CUOTA 06 MARZO 2025 TRANSFERENCIA CREDICONTADO POR CONTRATO DE PROMESA DE LA MZ C LOTE 2 - EL APOLO</t>
  </si>
  <si>
    <t>03BT01-47511 CANCELACION DE LA CUOTA 06 MARZO 2025 TRANSFERENCIA CREDICONTADO POR CONTRATO DE PROMESA DE LA MZ C LOTE 2 - EL APOLO</t>
  </si>
  <si>
    <t>03BT01-47512 PAGO CUOTA 07 ABRIL 2025 TRANSFERENCIA CREDICONTADO POR CONTRATO DE PROMESA DE LA MZ C LOTE 2 - EL APOLO</t>
  </si>
  <si>
    <t>03BT01-47513 PAGO A CUENTA DE LA CUOTA 08 MAYO 2025 TRANSFERENCIA CREDICONTADO POR CONTRATO DE PROMESA DE LA MZ C LOTE 2 - EL APOLO</t>
  </si>
  <si>
    <t xml:space="preserve">03BT01-49486 CANCELACION DE LA CUOTA 08 MAYO 2025 TRANSFERENCIA CREDICONTADO POR CONTRATO DE PROMESA DE LA MZ C LOTE 2 - EL APOLO </t>
  </si>
  <si>
    <t xml:space="preserve">03BT01-49487 PAGO A CUENTA DE LA CUOTA 09 JUNIO 2025 TRANSFERENCIA CREDICONTADO POR CONTRATO DE PROMESA DE LA MZ C LOTE 2 - EL APOLO </t>
  </si>
  <si>
    <t>03BT01-51991 COMPLETA EL PAGO DE LA CUOTA 09 JUNIO 2025 TRANSFERENCIA CREDICONTADO POR CONTRATO DE PROMESA DE LA MZ C LOTE 2 - EL APOLO</t>
  </si>
  <si>
    <t>03BT01-51992 PAGO DE LA CUOTA 10 JULIO 2025 TRANSFERENCIA CREDICONTADO POR CONTRATO DE PROMESA DE LA MZ C LOTE 2 - EL APOLO</t>
  </si>
  <si>
    <t>03BT01-51993 PAGO  A CUENTA DE LA CUOTA 11 AGOSTO 2025 TRANSFERENCIA CREDICONTADO POR CONTRATO DE PROMESA DE LA MZ C LOTE 2 - EL APOLO</t>
  </si>
  <si>
    <t xml:space="preserve">03BT01-54237 CANCELACION DE LA CUOTA 11 AGOSTO 2025 TRANSFERENCIA CREDICONTADO POR CONTRATO DE PROMESA DE LA MZ C LOTE 2 - EL APOLO </t>
  </si>
  <si>
    <t xml:space="preserve">03BT01-54238 PAGO A CUENTA DE LA CUOTA 12 SEPTIEMBRE 2025 TRANSFERENCIA CREDICONTADO POR CONTRATO DE PROMESA DE LA MZ C LOTE 2 - EL APOLO </t>
  </si>
  <si>
    <t>03BT01-55937 CANCELACION DE LA CUOTA 12 SEPTIEMBRE 2025 TRANSFERENCIA CREDICONTADO POR CONTRATO DE PROMESA DE LA MZ C LOTE 2 - EL APOLO</t>
  </si>
  <si>
    <t>03BT01-55938 CANCELACION DE LA CUOTA 13 OCTUBRE 2025 TRANSFERENCIA CREDICONTADO POR CONTRATO DE PROMESA DE LA MZ C LOTE 2 - EL APOLO</t>
  </si>
  <si>
    <t>03BT01-55939 PAGO A CUENTA DE LA CUOTA 14 NOVIEMBRE 2025 TRANSFERENCIA CREDICONTADO POR CONTRATO DE PROMESA DE LA MZ C LOTE 2 - EL APOLO</t>
  </si>
  <si>
    <t>03BT01-37311SEPARACION OARA LA ADJUDICACION DE LA MZ C LT 2 APOLO</t>
  </si>
  <si>
    <t>BT01-36691</t>
  </si>
  <si>
    <t>BT01-40267</t>
  </si>
  <si>
    <t>BT01-41285</t>
  </si>
  <si>
    <t>BT01-43286</t>
  </si>
  <si>
    <t>03BT01-36581CANCELACION CUOTA INICIAL POR COMPRAVENTA DE LA MZ J LOTE 8 - APOLO</t>
  </si>
  <si>
    <t>03BT01-36690CANCELACION CUOTA INICIAL POR COMPRAVENTA DE LA MZ J LOTE 8 - APOLO</t>
  </si>
  <si>
    <t>03BT01-36691CANCELACION CUOTA INICIAL POR COMPRAVENTA DE LA MZ J LOTE 8 - APOLO</t>
  </si>
  <si>
    <t>03BT01-40267 PAGO CUOTA 1 OCTUBRE 2025 PARA LA ADJUDICACION DE LA MZ J LOTE 8 EL APOLO</t>
  </si>
  <si>
    <t>03BT01-41285 PAGO CUOTA 2 NOVIEMBRE 2025 PARA LA ADJUDICACION DE LA MZ J LOTE 8 EL APOLO</t>
  </si>
  <si>
    <t xml:space="preserve">03BT01-43286 PAGO CUOTA 3 DICIEMBRE 2025 PARA LA ADJUDICACION DE LA MZ J LOTE 8 EL APOLO </t>
  </si>
  <si>
    <t>BT01-45067</t>
  </si>
  <si>
    <t>BT01-46698</t>
  </si>
  <si>
    <t>BT01-48261</t>
  </si>
  <si>
    <t>BT01-49693</t>
  </si>
  <si>
    <t>BT01-51010</t>
  </si>
  <si>
    <t>BT01-52661</t>
  </si>
  <si>
    <t>BT01-54144</t>
  </si>
  <si>
    <t>BT01-55918</t>
  </si>
  <si>
    <t>BT01-57282</t>
  </si>
  <si>
    <t>03BT01-45067 PAGO CUOTA 4 ENERO 2025 PARA LA ADJUDICACION DE LA MZ J LOTE 8 EL APOLO</t>
  </si>
  <si>
    <t>03BT01-46698 PAGO CUOTA 5 FEBRERO 2025 PARA LA ADJUDICACION DE LA MZ J LOTE 8 EL APOLO</t>
  </si>
  <si>
    <t>03BT01-48261 PAGO CUOTA 6 MARZO 2025 PARA LA ADJUDICACION DE LA MZ J LOTE 8 EL APOLO</t>
  </si>
  <si>
    <t xml:space="preserve">03BT01-49693 PAGO CUOTA 7 ABRIL 2025 PARA LA ADJUDICACION DE LA MZ J LOTE 8 EL APOLO </t>
  </si>
  <si>
    <t>03BT01-51010 PAGO CUOTA 8 MAYO 2025 PARA LA ADJUDICACION DE LA MZ J LOTE 8 EL APOLO</t>
  </si>
  <si>
    <t>03BT01-52661 PAGO CUOTA 9 JUNIO 2025 PARA LA ADJUDICACION DE LA MZ J LOTE 8 EL APOLO</t>
  </si>
  <si>
    <t xml:space="preserve">03BT01-54144 PAGO CUOTA 10 JULIO 2025 PARA LA ADJUDICACION DE LA MZ J LOTE 8 EL APOLO </t>
  </si>
  <si>
    <t>03BT01-55918 PAGO CUOTA 11 AGOSTO 2025 PARA LA ADJUDICACION DE LA MZ J LOTE 8 EL APOLO</t>
  </si>
  <si>
    <t>03BT01-57282 PAGO CUOTA 12 SEPTIEMBRE 2025 PARA LA ADJUDICACION DE LA MZ J LOTE 8 EL APOLO</t>
  </si>
  <si>
    <t xml:space="preserve">03634C </t>
  </si>
  <si>
    <t>BT01-50658</t>
  </si>
  <si>
    <t>BT01-52135</t>
  </si>
  <si>
    <t>BT01-53556</t>
  </si>
  <si>
    <t>BT01-55153</t>
  </si>
  <si>
    <t>BT01-56462</t>
  </si>
  <si>
    <t>03BT01-45785 CANCELACION CUOTA INICIAL PARA LA COMPRA VENTA DE LA MZ  - A LT 3 DE APOLO</t>
  </si>
  <si>
    <t>03BT01-50658 CANCELACION CUOTA 1 ABRIL 2025 TRANSFERENCIA CREDICONTADOPOR CONTRATO DE PROMESA  DE LA MZ - A LT 3 DE  APOLO</t>
  </si>
  <si>
    <t>03BT01-52135 CANCELACION CUOTA 2 MAYO 2025 TRANSFERENCIA CREDICONTADOPOR CONTRATO DE PROMESA DE LA MZ - A LT 3 DE APOLO</t>
  </si>
  <si>
    <t xml:space="preserve">03BT01-53556 CANCELACION CUOTA 3 JUNIO 2025 TRANSFERENCIA CREDICONTADOPOR CONTRATO DE PROMESA DE LA MZ - A LT 3 DE APOLO </t>
  </si>
  <si>
    <t xml:space="preserve">03BT01-55153 CANCELACION CUOTA 4 JULIO 2025 TRANSFERENCIA CREDICONTADOPOR CONTRATO DE PROMESA DE LA MZ - A LT 3 DE APOLO </t>
  </si>
  <si>
    <t>03BT01-56462 CANCELACION CUOTA 5 AGOSTO 2025 TRANSFERENCIA CREDICONTADOPOR CONTRATO DE PROMESA DE LA MZ - A LT 3 DE APOLO</t>
  </si>
  <si>
    <t>BT01-37622</t>
  </si>
  <si>
    <t>03BT01-37621 ADJUDICACION MZ Q LOTE 05 - APOLO</t>
  </si>
  <si>
    <t>03BT01-37622 ADJUDICACION DE COCHERA N° 23 - APOLO</t>
  </si>
  <si>
    <t>1-2</t>
  </si>
  <si>
    <t>BT01-38786</t>
  </si>
  <si>
    <t>BT01-41142</t>
  </si>
  <si>
    <t>BT01-42603</t>
  </si>
  <si>
    <t>03BT01-36370CANCELACION CUOTA INICIAL POR CONTRATO DE COMPRAVENTA DE LA MZ I LOTE 9 - APOLO</t>
  </si>
  <si>
    <t>03BT01-38786 PAGO CUOTA 1 SEPTIEMBRE 2024 TRANSFERENCIA CREDICONTADO POR CONTRATO DE PROMESA DE LA MZ I LOTE 9 - APOLO</t>
  </si>
  <si>
    <t>03BT01-41142 PAGO CUOTA 2 NOVIEMBRE 2024 TRANSFERENCIA CREDICONTADO POR CONTRATO DE PROMESA DE LA MZ I LOTE 9 - APOLO</t>
  </si>
  <si>
    <t xml:space="preserve">03BT01-42603 PAGO CUOTA 3 DICIEMBRE 2024 TRANSFERENCIA CREDICONTADO POR CONTRATO DE PROMESA DE LA MZ I LOTE 9 - APOLO </t>
  </si>
  <si>
    <t>BT01-46841</t>
  </si>
  <si>
    <t>BT01-2152</t>
  </si>
  <si>
    <t>03BT01-46841 PAGO CUOTA 1 ENERO 2025 HASTA LA CUOTA 20 AGOSTO 2026 TRANSFERENCIA CREDICONTADO POR CONTRATO DE PROMESA DE LA MZ I LOTE 9 - APOLO</t>
  </si>
  <si>
    <t>1-18</t>
  </si>
  <si>
    <t>BT01-39661</t>
  </si>
  <si>
    <t>BT01-41238</t>
  </si>
  <si>
    <t>BT01-43585</t>
  </si>
  <si>
    <t>BT01-44908</t>
  </si>
  <si>
    <t>BT01-46017</t>
  </si>
  <si>
    <t>BT01-47169</t>
  </si>
  <si>
    <t>BT01-49026</t>
  </si>
  <si>
    <t>BT01-50539</t>
  </si>
  <si>
    <t>BT01-51994</t>
  </si>
  <si>
    <t>BT01-53483</t>
  </si>
  <si>
    <t>BT01-54915</t>
  </si>
  <si>
    <t>BT01-56227</t>
  </si>
  <si>
    <t>03BT01-35500SEPARACION POR CONTRATO DE COMPRAVENTA DE LA MZ P LT 3- APOLO</t>
  </si>
  <si>
    <t>03BT01-36371CANCELACION CUOTA INICIAL POR LA COMPRAVENTA DE LA MZ P LOTE 3 - APOLO</t>
  </si>
  <si>
    <t>03BT01-39661 PAGO CUOTA 1 OCTUBRE 2024 TRANSFERENCIA CREDICONTADO POR CONTRATO DE COMPRAVENTA DE LA MZ P LOTE 3 - APOLO</t>
  </si>
  <si>
    <t>03BT01-41238 PAGO CUOTA 2 NOVIEMBRE 2024 TRANSFERENCIA CREDICONTADO POR CONTRATO DE COMPRAVENTA DE LA MZ P LOTE 3 - APOLO</t>
  </si>
  <si>
    <t xml:space="preserve">03BT01-43585 PAGO CUOTA 3 DICIEMBRE 2024 TRANSFERENCIA CREDICONTADO POR CONTRATO DE COMPRAVENTA DE LA MZ P LOTE 3 - APOLO </t>
  </si>
  <si>
    <t>03BT01-44908 PAGO CUOTA 4 ENERO 2025 TRANSFERENCIA CREDICONTADO POR CONTRATO DE COMPRAVENTA DE LA MZ P LOTE 3 - APOLO</t>
  </si>
  <si>
    <t>03BT01-46017 PAGO CUOTA 5 FEBRERO 2025 TRANSFERENCIA CREDICONTADO POR CONTRATO DE COMPRAVENTA DE LA MZ P LOTE 3 - APOLO</t>
  </si>
  <si>
    <t>03BT01-47169 PAGO CUOTA 6 MARZO 2025 TRANSFERENCIA CREDICONTADO POR CONTRATO DE COMPRAVENTA DE LA MZ P LOTE 3 - APOLO</t>
  </si>
  <si>
    <t xml:space="preserve">03BT01-49026 PAGO CUOTA 7 ABRIL 2025 TRANSFERENCIA CREDICONTADO POR CONTRATO DE COMPRAVENTA DE LA MZ P LOTE 3 - APOLO </t>
  </si>
  <si>
    <t>03BT01-50539 PAGO CUOTA 8 MAYO 2025 TRANSFERENCIA CREDICONTADO POR CONTRATO DE COMPRAVENTA DE LA MZ P LOTE 3 - APOLO</t>
  </si>
  <si>
    <t>03BT01-51994 PAGO CUOTA 9 JUNIO 2025 TRANSFERENCIA CREDICONTADO POR CONTRATO DE COMPRAVENTA DE LA MZ P LOTE 3 - APOLO</t>
  </si>
  <si>
    <t xml:space="preserve">03BT01-53483 PAGO CUOTA 10 JULIO 2025 TRANSFERENCIA CREDICONTADO POR CONTRATO DE COMPRAVENTA DE LA MZ P LOTE 3 - APOLO </t>
  </si>
  <si>
    <t xml:space="preserve">03BT01-54915 PAGO CUOTA 11 AGOSTO 2025 TRANSFERENCIA CREDICONTADO POR CONTRATO DE COMPRAVENTA DE LA MZ P LOTE 3 - APOLO </t>
  </si>
  <si>
    <t>03BT01-56227 PAGO CUOTA 12 SEPTIEMBRE 2025 TRANSFERENCIA CREDICONTADO POR CONTRATO DE COMPRAVENTA DE LA MZ P LOTE 3 - APOLO</t>
  </si>
  <si>
    <t>03BT01-35748SEPARACION POR COMPRAVENTA DE LA MZ M LOTE 5 - APOLO</t>
  </si>
  <si>
    <t>03BT01-35997CANCELACION CUOTA INICIAL POR COMPRAVENTA DE LA MZ M LOTE 5 - APOLO</t>
  </si>
  <si>
    <t>03BT01-38038 PAGO A CUENTA  POR COMPRAVENTA DE LA MZ M LOTE 5 - APOLO</t>
  </si>
  <si>
    <t>03BT01-38102 2DO PAGO A CUENTA  POR COMPRAVENTA DE LA MZ M LOTE 5 - APOLO</t>
  </si>
  <si>
    <t>03BT01-38164 3 ER PAGO A CUENTA  POR COMPRAVENTA DE LA MZ M LOTE 5 - APOLO</t>
  </si>
  <si>
    <t>03BT01-40585 4 TO PAGO A CUENTA  POR COMPRAVENTA DE LA MZ M LOTE 5 - APOLO</t>
  </si>
  <si>
    <t>03BT01-41209 5TO PAGO A CUENTA  POR COMPRAVENTA DE LA MZ M LOTE 5 - APOLO</t>
  </si>
  <si>
    <t>03BT01-41771 6TO PAGO A CUENTA  POR COMPRAVENTA DE LA MZ M LOTE 5 - APOLO</t>
  </si>
  <si>
    <t>03BT01-42159 CANCELACION DE COMPRAVENTA DE LA MZ M LOTE 5 - APOLO</t>
  </si>
  <si>
    <t>BT01-38700</t>
  </si>
  <si>
    <t>BT01-40154</t>
  </si>
  <si>
    <t>BT01-41798</t>
  </si>
  <si>
    <t>BT01-43584</t>
  </si>
  <si>
    <t>BT01-45300</t>
  </si>
  <si>
    <t>BT01-46712</t>
  </si>
  <si>
    <t>BT01-48248</t>
  </si>
  <si>
    <t>BT01-50050</t>
  </si>
  <si>
    <t>BT01-51498</t>
  </si>
  <si>
    <t>BT01-52838</t>
  </si>
  <si>
    <t>BT01-54085</t>
  </si>
  <si>
    <t>BT01-55807</t>
  </si>
  <si>
    <t>BT01-57220</t>
  </si>
  <si>
    <t>03BT01-45300 PAGO CUOTA 6 ENERO 2025 TRANSFERENCIA CREDICONTADO POR CONTRATO DE PROMESA  DE LA MZ J LT 6 - APOLO</t>
  </si>
  <si>
    <t>03BT01-46712 PAGO CUOTA 7 FEBRERO 2025 TRANSFERENCIA CREDICONTADO POR CONTRATO DE PROMESA  DE LA MZ J LT 6 - APOLO</t>
  </si>
  <si>
    <t>03BT01-48248 PAGO CUOTA 8 MARZO 2025 TRANSFERENCIA CREDICONTADO POR CONTRATO DE PROMESA DE LA MZ J LT 6 - APOLO</t>
  </si>
  <si>
    <t xml:space="preserve">03BT01-50050 PAGO CUOTA 9 ABRIL 2025 TRANSFERENCIA CREDICONTADO POR CONTRATO DE PROMESA DE LA MZ J LT 6 - APOLO </t>
  </si>
  <si>
    <t>03BT01-51498 PAGO CUOTA 10 MAYO 2025 TRANSFERENCIA CREDICONTADO POR CONTRATO DE PROMESA DE LA MZ J LT 6 - APOLO</t>
  </si>
  <si>
    <t>03BT01-52838 PAGO CUOTA 11 JUNIO 2025 TRANSFERENCIA CREDICONTADO POR CONTRATO DE PROMESA DE LA MZ J LT 6 - APOLO</t>
  </si>
  <si>
    <t xml:space="preserve">03BT01-54085 PAGO CUOTA 12 JULIO 2025 TRANSFERENCIA CREDICONTADO POR CONTRATO DE PROMESA DE LA MZ J LT 6 - APOLO </t>
  </si>
  <si>
    <t xml:space="preserve">03BT01-55807 PAGO CUOTA 13 AGOSTO 2025 TRANSFERENCIA CREDICONTADO POR CONTRATO DE PROMESA DE LA MZ J LT 6 - APOLO </t>
  </si>
  <si>
    <t>03BT01-57220 PAGO CUOTA 14 SEPTIEMBRE 2025 TRANSFERENCIA CREDICONTADO POR CONTRATO DE PROMESA DE LA MZ J LT 6 - APOLO</t>
  </si>
  <si>
    <t>03BT01-34759SEPARACION POR COMPRAVENTA DE MZ J LT 6 - APOLO</t>
  </si>
  <si>
    <t>03BT01-35119SEPARACION POR COMPRAVENTA DE MZ J LT 6 - APOLO</t>
  </si>
  <si>
    <t>03BT01-35151CUOTA INICIAL  POR COMPRAVENTA DE MZ J LT 6 - APOLO</t>
  </si>
  <si>
    <t>03BT01-35156SEPARACION POR COMPRAVENTA DE MZ J LT 6 - APOLO</t>
  </si>
  <si>
    <t>03BT01-38700 PAGO CUOTA 2 SEPTIEMBRE 2024 TRANSFERENCIA CREDICONTADO POR CONTRATO DE PROMESA  DE LA MZ J LT 6 - APOLO</t>
  </si>
  <si>
    <t>03BT01-40154 PAGO CUOTA 3 OCTUBRE 2024 TRANSFERENCIA CREDICONTADO POR CONTRATO DE PROMESA  DE LA MZ J LT 6 - APOLO</t>
  </si>
  <si>
    <t>03BT01-41798 PAGO CUOTA 4 NOVIEMRE 2024 TRANSFERENCIA CREDICONTADO POR CONTRATO DE PROMESA  DE LA MZ J LT 6 - APOLO</t>
  </si>
  <si>
    <t xml:space="preserve">03BT01-43584 PAGO CUOTA 5 DICIEMBRE 2024 TRANSFERENCIA CREDICONTADO POR CONTRATO DE PROMESA  DE LA MZ J LT 6 - APOLO </t>
  </si>
  <si>
    <t>BT01-35922</t>
  </si>
  <si>
    <t>BT01-36977</t>
  </si>
  <si>
    <t>BT01-38982</t>
  </si>
  <si>
    <t>BT01-40517</t>
  </si>
  <si>
    <t>BT01-42063</t>
  </si>
  <si>
    <t>BT01-43678</t>
  </si>
  <si>
    <t>03BT01-32775SEPARACIÓN ESTACIONAMIENTO NUMERO 97 PROYECTO APOLO</t>
  </si>
  <si>
    <t>03BT01-33368CUOTA INICIAL ESTACIONAMIENTO NUMERO 97 PROYECTO APOLO</t>
  </si>
  <si>
    <t>03BT01-35922PAGO CUOTA 1 DE ESTACIONAMIENTO NUMERO 97 DE LA MZ J LOTE 2 PROYECTO APOLO</t>
  </si>
  <si>
    <t>03BT01-36977PAGO CUOTA 2 DE ESTACIONAMIENTO NUMERO 97 DE LA MZ J LOTE 2 PROYECTO APOLO</t>
  </si>
  <si>
    <t>03BT01-38982 PAGO CUOTA 3 OCTUBRE 2024 DE  ESTACIONAMIENTO NUMERO 97 DE LA MZ J LOTE 2 PROYECTO APOLO</t>
  </si>
  <si>
    <t>03BT01-40517 PAGO CUOTA 4 NOVIEMBRE 2024 DE  ESTACIONAMIENTO NUMERO 97 DE LA MZ J LOTE 2 PROYECTO APOLO</t>
  </si>
  <si>
    <t>03BT01-42063 PAGO CUOTA 5 DICIEMBRE 2024 DE  ESTACIONAMIENTO NUMERO 97 DE LA MZ J LOTE 2 PROYECTO APOLO</t>
  </si>
  <si>
    <t xml:space="preserve">03BT01-43678 PAGO CUOTA 6 ENERO 2025 DE  ESTACIONAMIENTO NUMERO 97 DE LA MZ J LOTE 2 PROYECTO APOLO </t>
  </si>
  <si>
    <t>BT01-45412</t>
  </si>
  <si>
    <t>BT01-46735</t>
  </si>
  <si>
    <t>BT01-48229</t>
  </si>
  <si>
    <t>BT01-49908</t>
  </si>
  <si>
    <t>BT01-51393</t>
  </si>
  <si>
    <t>BT01-52948</t>
  </si>
  <si>
    <t>BT01-54379</t>
  </si>
  <si>
    <t>03BT01-45412 PAGO CUOTA 7 FEBRERO 2025 DE  ESTACIONAMIENTO NUMERO 97 DE LA MZ J LOTE 2 PROYECTO APOLO</t>
  </si>
  <si>
    <t>03BT01-46735 PAGO CUOTA 8 MARZO 2025 DE  ESTACIONAMIENTO NUMERO 97 DE LA MZ J LOTE 2 PROYECTO APOLO</t>
  </si>
  <si>
    <t>03BT01-48229 PAGO CUOTA 9 ABRIL 2025 DE ESTACIONAMIENTO NUMERO 97 DE LA MZ J LOTE 2 PROYECTO APOLO</t>
  </si>
  <si>
    <t xml:space="preserve">03BT01-49908 PAGO CUOTA 10 MAYO 2025 DE ESTACIONAMIENTO NUMERO 97 DE LA MZ J LOTE 2 PROYECTO APOLO </t>
  </si>
  <si>
    <t>03BT01-51393 PAGO CUOTA 11 JUNIO 2025 DE ESTACIONAMIENTO NUMERO 97 DE LA MZ J LOTE 2 PROYECTO APOLO</t>
  </si>
  <si>
    <t>03BT01-52948 PAGO CUOTA 12 JULIO 2025 DE ESTACIONAMIENTO NUMERO 97 DE LA MZ J LOTE 2 PROYECTO APOLO</t>
  </si>
  <si>
    <t>03BT01-54379 PAGO CUOTA 13 AGOSTO 2025 DE ESTACIONAMIENTO NUMERO 97 DE LA MZ J LOTE 2 PROYECTO APOLO</t>
  </si>
  <si>
    <t>BT01-35921</t>
  </si>
  <si>
    <t>BT01-36976</t>
  </si>
  <si>
    <t>BT01-38981</t>
  </si>
  <si>
    <t>BT01-40516</t>
  </si>
  <si>
    <t>BT01-42064</t>
  </si>
  <si>
    <t>BT01-43679</t>
  </si>
  <si>
    <t>03BT01-32774SEPARACIÓN MZ J LOTE 2 PROYECTO APOLO</t>
  </si>
  <si>
    <t>03BT01-33369CUOTA INICIAL MZ J LOTE 2 PROYECTO APOLO</t>
  </si>
  <si>
    <t>03BT01-35921PAGO CUOTA 1 AGOSTO 2024 PARA LA ADJUDICACION DE LA MZ J LOTE 2 PROYECTO APOLO</t>
  </si>
  <si>
    <t>03BT01-36976PAGO CUOTA 2 SETIEMBRE 2024 PARA LA ADJUDICACION DE LA MZ J LOTE 2 PROYECTO APOLO</t>
  </si>
  <si>
    <t>03BT01-38981 PAGO CUOTA 3 OCTUBRE 2024 PARA LA ADJUDICACION DE LA MZ J LOTE 2 PROYECTO APOLO</t>
  </si>
  <si>
    <t>03BT01-40516 PAGO CUOTA 4 NOVIEMBRE 2024 PARA LA ADJUDICACION DE LA MZ J LOTE 2 PROYECTO APOLO</t>
  </si>
  <si>
    <t>03BT01-42064 PAGO CUOTA 5 DICIEMBRE 2024 PARA LA ADJUDICACION DE LA MZ J LOTE 2 PROYECTO APOLO</t>
  </si>
  <si>
    <t xml:space="preserve">03BT01-43679 PAGO CUOTA6 ENERO 2025 PARA LA ADJUDICACION DE LA MZ J LOTE 2 PROYECTO APOLO </t>
  </si>
  <si>
    <t>BT01-45411</t>
  </si>
  <si>
    <t>BT01-46734</t>
  </si>
  <si>
    <t>BT01-48230</t>
  </si>
  <si>
    <t>BT01-49907</t>
  </si>
  <si>
    <t>BT01-51392</t>
  </si>
  <si>
    <t>BT01-52947</t>
  </si>
  <si>
    <t>BT01-54378</t>
  </si>
  <si>
    <t>BT01-55968</t>
  </si>
  <si>
    <t>03BT01-45411 PAGO CUOTA 7 FEBRERO 2025 PARA LA ADJUDICACION DE LA MZ J LOTE 2 PROYECTO APOLO</t>
  </si>
  <si>
    <t>03BT01-46734 PAGO CUOTA 8 MARZO 2025 PARA LA ADJUDICACION DE LA MZ J LOTE 2 PROYECTO APOLO</t>
  </si>
  <si>
    <t>03BT01-48230 PAGO CUOTA 9 ABRIL 2025 PARA LA ADJUDICACION DE LA MZ J LOTE 2 PROYECTO APOLO</t>
  </si>
  <si>
    <t xml:space="preserve">03BT01-49907 PAGO CUOTA 10 MAYO 2025 PARA LA ADJUDICACION DE LA MZ J LOTE 2 PROYECTO APOLO </t>
  </si>
  <si>
    <t>03BT01-51392 PAGO CUOTA 11 JUNIO 2025 PARA LA ADJUDICACION DE LA MZ J LOTE 2 PROYECTO APOLO</t>
  </si>
  <si>
    <t>03BT01-52947 PAGO CUOTA 12 JULIO 2025 PARA LA ADJUDICACION DE LA MZ J LOTE 2 PROYECTO APOLO</t>
  </si>
  <si>
    <t>03BT01-54378 PAGO CUOTA 13 AGOSTO 2025 PARA LA ADJUDICACION DE LA MZ J LOTE 2 PROYECTO APOLO</t>
  </si>
  <si>
    <t>03BT01-55968 PAGO A CUENTA DE LA MZ J LOTE 2 APOLO Y LA COCHERA N°97 DE APOLO</t>
  </si>
  <si>
    <t xml:space="preserve">IZIPAY: 003084 // 9737 </t>
  </si>
  <si>
    <t>IZIPAY: 000826</t>
  </si>
  <si>
    <t>IZIPAY: 000099</t>
  </si>
  <si>
    <t>PENDIENTE</t>
  </si>
  <si>
    <t>BT01-31158</t>
  </si>
  <si>
    <t>BT01-32632</t>
  </si>
  <si>
    <t>BT01-34313</t>
  </si>
  <si>
    <t>BT01-36102</t>
  </si>
  <si>
    <t>BT01-37798</t>
  </si>
  <si>
    <t>BT01-39576</t>
  </si>
  <si>
    <t>BT01-40894</t>
  </si>
  <si>
    <t>BT01-42574</t>
  </si>
  <si>
    <t>03BT01-31128CUOTA INICIAL MZ R LOTE 2 PROYECTO APOLO</t>
  </si>
  <si>
    <t>03BT01-31129CUOTA INICIAL MZ R LOTE 2 PROYECTO APOLO</t>
  </si>
  <si>
    <t>03BT01-31130SEPARACIÓN MZ R LOTE 2 PROYECTO APOLO</t>
  </si>
  <si>
    <t>03BT01-31158PAGO CUOTA 1 MAYO 2024 TRANSFERENCIA CREDICONTADO POR CONTRATO DE PROMESA DE LA MZ R LOTE 2 - EL APOLO</t>
  </si>
  <si>
    <t>03BT01-32632PAGO CUOTA 2 JUNIO 2024 TRANSFERENCIA CREDICONTADO POR CONTRATO DE PROMESA DE LA MZ R LOTE 2 - EL APOLO</t>
  </si>
  <si>
    <t>03BT01-34313PAGO CUOTA 3 JULIO 2024 TRANSFERENCIA CREDICONTADO POR CONTRATO DE PROMESA DE LA MZ R LOTE 2 - EL APOLO</t>
  </si>
  <si>
    <t>03BT01-36102PAGO CUOTA 4 AGOSTO 2024 TRANSFERENCIA CREDICONTADO POR CONTRATO DE PROMESA DE LA MZ R LOTE 2 - EL APOLO</t>
  </si>
  <si>
    <t>03BT01-37798 PAGO CUOTA 5 SEPTIEMBRE 2024 TRANSFERENCIA CREDICONTADO POR CONTRATO DE PROMESA DE LA MZ R LOTE 2 - EL APOLO</t>
  </si>
  <si>
    <t>03BT01-39576 PAGO CUOTA 6 OCTUBRE 2024 TRANSFERENCIA CREDICONTADO POR CONTRATO DE PROMESA DE LA MZ R LOTE 2 - EL APOLO</t>
  </si>
  <si>
    <t>03BT01-40894 PAGO CUOTA 7 NOVIEMBRE 2024 TRANSFERENCIA CREDICONTADO POR CONTRATO DE PROMESA DE LA MZ R LOTE 2 - EL APOLO</t>
  </si>
  <si>
    <t xml:space="preserve">03BT01-42574 PAGO CUOTA 8 DICIEMBRE 2024 TRANSFERENCIA CREDICONTADO POR CONTRATO DE PROMESA DE LA MZ R LOTE 2 - EL APOLO </t>
  </si>
  <si>
    <t>BT01-44134</t>
  </si>
  <si>
    <t>BT01-45780</t>
  </si>
  <si>
    <t>BT01-47222</t>
  </si>
  <si>
    <t>BT01-49020</t>
  </si>
  <si>
    <t>BT01-50386</t>
  </si>
  <si>
    <t>BT01-51996</t>
  </si>
  <si>
    <t>BT01-53429</t>
  </si>
  <si>
    <t>BT01-54864</t>
  </si>
  <si>
    <t>BT01-56226</t>
  </si>
  <si>
    <t>03BT01-44134 PAGO CUOTA 9 ENERO 2025 TRANSFERENCIA CREDICONTADO POR CONTRATO DE PROMESA DE LA MZ R LOTE 2 - EL APOLO</t>
  </si>
  <si>
    <t>03BT01-45780 PAGO CUOTA 10 FEBRERO 2025 TRANSFERENCIA CREDICONTADO POR CONTRATO DE PROMESA DE LA MZ R LOTE 2 - EL APOLO</t>
  </si>
  <si>
    <t>03BT01-47222 PAGO CUOTA 11 MARZO 2025 TRANSFERENCIA CREDICONTADO POR CONTRATO DE PROMESA DE LA MZ R LOTE 2 - EL APOLO</t>
  </si>
  <si>
    <t xml:space="preserve">03BT01-49020 PAGO CUOTA 12 ABRIL 2025 TRANSFERENCIA CREDICONTADO POR CONTRATO DE PROMESA DE LA MZ R LOTE 2 - EL APOLO </t>
  </si>
  <si>
    <t>03BT01-50386 PAGO CUOTA 13 MAYO 2025 TRANSFERENCIA CREDICONTADO POR CONTRATO DE PROMESA DE LA MZ R LOTE 2 - EL APOLO</t>
  </si>
  <si>
    <t>03BT01-51996 PAGO CUOTA 14 JUNIO 2025 TRANSFERENCIA CREDICONTADO POR CONTRATO DE PROMESA DE LA MZ R LOTE 2 - EL APOLO</t>
  </si>
  <si>
    <t xml:space="preserve">03BT01-53429 PAGO CUOTA 15 JULIO 2025 TRANSFERENCIA CREDICONTADO POR CONTRATO DE PROMESA DE LA MZ R LOTE 2 - EL APOLO </t>
  </si>
  <si>
    <t xml:space="preserve">03BT01-54864 PAGO CUOTA 16 AGOSTO 2025 TRANSFERENCIA CREDICONTADO POR CONTRATO DE PROMESA DE LA MZ R LOTE 2 - EL APOLO </t>
  </si>
  <si>
    <t>03BT01-56226 PAGO CUOTA 17 SEPTIEMBRE 2025 TRANSFERENCIA CREDICONTADO POR CONTRATO DE PROMESA DE LA MZ R LOTE 2 - EL APOLO</t>
  </si>
  <si>
    <t>BT01-44135</t>
  </si>
  <si>
    <t>BT01-45781</t>
  </si>
  <si>
    <t>BT01-47223</t>
  </si>
  <si>
    <t>BT01-49021</t>
  </si>
  <si>
    <t>BT01-50345</t>
  </si>
  <si>
    <t>BT01-51997</t>
  </si>
  <si>
    <t>BT01-53428</t>
  </si>
  <si>
    <t>BT01-54865</t>
  </si>
  <si>
    <t>BT01-56225</t>
  </si>
  <si>
    <t>03BT01-44135 ABONO POR CONCEPTO DE SEPARACION DE COCHERA A CONCRETAR COMPRA N°14 CUOTA 9 ENERO 2025 DE LA MZ R LOTE 2 - EL APOLO</t>
  </si>
  <si>
    <t>03BT01-45781 ABONO POR CONCEPTO DE SEPARACION DE COCHERA A CONCRETAR COMPRA N°14 CUOTA 10 FEBRERO 2025 DE LA MZ R LOTE 2 - EL APOLO</t>
  </si>
  <si>
    <t>03BT01-47223 ABONO POR CONCEPTO DE SEPARACION DE COCHERA A CONCRETAR COMPRA N°14 CUOTA 11 MARZO 2025 DE LA MZ R LOTE 2 - EL APOLO</t>
  </si>
  <si>
    <t xml:space="preserve">03BT01-49021 ABONO POR CONCEPTO DE SEPARACION DE COCHERA A CONCRETAR COMPRA N°14 CUOTA 12 ABRIL 2025 DE LA MZ R LOTE 2 - EL APOLO </t>
  </si>
  <si>
    <t>03BT01-50345 ABONO POR CONCEPTO DE SEPARACION DE COCHERA A CONCRETAR COMPRA N°14 CUOTA 13 MAYO 2025 DE LA MZ R LOTE 2 - EL APOLO</t>
  </si>
  <si>
    <t>03BT01-51997 ABONO POR CONCEPTO DE SEPARACION DE COCHERA A CONCRETAR COMPRA N°14 CUOTA 14 JUNIO 2025 DE LA MZ R LOTE 2 - EL APOLO</t>
  </si>
  <si>
    <t xml:space="preserve">03BT01-53428 ABONO POR CONCEPTO DE SEPARACION DE COCHERA A CONCRETAR COMPRA N°14 CUOTA 15 JULIO 2025 DE LA MZ R LOTE 2 - EL APOLO </t>
  </si>
  <si>
    <t xml:space="preserve">03BT01-54865 ABONO POR CONCEPTO DE SEPARACION DE COCHERA A CONCRETAR COMPRA N°14 CUOTA 16 AGOSTO  2025 DE LA MZ R LOTE 2 - EL APOLO </t>
  </si>
  <si>
    <t>03BT01-56225 ABONO POR CONCEPTO DE SEPARACION DE COCHERA A CONCRETAR COMPRA N°14 CUOTA 17 SEPTIEMBRE 2025 DE LA MZ R LOTE 2 - EL APOLO</t>
  </si>
  <si>
    <t>BT01-31159</t>
  </si>
  <si>
    <t>BT01-32633</t>
  </si>
  <si>
    <t>BT01-34314</t>
  </si>
  <si>
    <t>BT01-36103</t>
  </si>
  <si>
    <t>BT01-37799</t>
  </si>
  <si>
    <t>BT01-39577</t>
  </si>
  <si>
    <t>BT01-40895</t>
  </si>
  <si>
    <t>BT01-42575</t>
  </si>
  <si>
    <t>03BT01-31159ABONO POR CONCEPTO DE SEPARACION DE COCHERA A CONCRETAR COMPRA N°14  CUOTA 1 MAYO 2024 DE LA MZ R LOTE 2 - EL APOLO</t>
  </si>
  <si>
    <t>03BT01-32633ABONO POR CONCEPTO DE SEPARACION DE COCHERA A CONCRETAR COMPRA N°14 CUOTA 2 JUNIO 2024 DE LA MZ R LOTE 2 - EL APOLO</t>
  </si>
  <si>
    <t>03BT01-34314ABONO POR CONCEPTO DE SEPARACION DE COCHERA A CONCRETAR COMPRA N°14 CUOTA 3 JULIO 2024 DE LA MZ R LOTE 2 - EL APOLO</t>
  </si>
  <si>
    <t>03BT01-36103ABONO POR CONCEPTO DE SEPARACION DE COCHERA A CONCRETAR COMPRA N°14 CUOTA 4 AGOSTO 2024 DE LA MZ R LOTE 2 - EL APOLO</t>
  </si>
  <si>
    <t>03BT01-37799 ABONO POR CONCEPTO DE SEPARACION DE COCHERA A CONCRETAR COMPRA N°14 CUOTA 5 SEPTIEMBRE 2024 DE LA MZ R LOTE 2 - EL APOLO</t>
  </si>
  <si>
    <t>03BT01-39577 ABONO POR CONCEPTO DE SEPARACION DE COCHERA A CONCRETAR COMPRA N°14 CUOTA 6 OCTUBRE 2024 DE LA MZ R LOTE 2 - EL APOLO</t>
  </si>
  <si>
    <t>03BT01-40895 ABONO POR CONCEPTO DE SEPARACION DE COCHERA A CONCRETAR COMPRA N°14 CUOTA 7 NOVIEMBRE 2024 DE LA MZ R LOTE 2 - EL APOLO</t>
  </si>
  <si>
    <t xml:space="preserve">03BT01-42575 ABONO POR CONCEPTO DE SEPARACION DE COCHERA A CONCRETAR COMPRA N°14 CUOTA 8 DICIEMBRE 2024 DE LA MZ R LOTE 2 - EL APOLO </t>
  </si>
  <si>
    <t>BT01-39711</t>
  </si>
  <si>
    <t>BT01-39712</t>
  </si>
  <si>
    <t>BT01-39978</t>
  </si>
  <si>
    <t>BT01-39992</t>
  </si>
  <si>
    <t>03BT01-29736SEPARACION DE LOTE PARA ADJUDICACION DE LA MZ D LOTE 7 - APOLO</t>
  </si>
  <si>
    <t>03BT01-29737SEPARACION DE COCHERA N° 168  - APOLO</t>
  </si>
  <si>
    <t>03BT01-31463CUOTA INICIAL MZ D LOTE 6 PROYECTO APOLO</t>
  </si>
  <si>
    <t>03BT01-31464CUOTA INICIAL ESTACIONAMIENTO NUMERO 168 PROYECTO APOLO</t>
  </si>
  <si>
    <t>03BT01-39711 ADELANTO DE CUOTA PARA LA TRANSFERENCIA POR CONTRATO DE PROMESA DE LA MZ D LOTE 6 PROYECTO APOLO</t>
  </si>
  <si>
    <t>03BT01-39712 CUOTA INICIAL ESTACIONAMIENTO NUMERO 168 PROYECTO APOLO</t>
  </si>
  <si>
    <t>03BT01-39978 ADELANTO DE CUOTA PARA LA TRANSFERENCIA POR CONTRATO DE PROMESA DE LA MZ D LOTE 6 PROYECTO APOLO</t>
  </si>
  <si>
    <t>03BT01-39992 CANCELACION TOTAL DEL ESTACIONAMIENTO NUMERO 168 MZ D LOTE 6 EL APOLO</t>
  </si>
  <si>
    <t>BT01-46003</t>
  </si>
  <si>
    <t>BT01-50798</t>
  </si>
  <si>
    <t>BT01-55366</t>
  </si>
  <si>
    <t>03BT01-46003 PAGO CUOTA 1 FEBRERO 2025 TRANSFERENCIA CREDICONTADO POR CONTRATO DE PROMESA DE LA MZ D LOTE 6 PROYECTO EL APOLO</t>
  </si>
  <si>
    <t>03BT01-50798 PAGO CUOTA 2 MAYO 2025 TRANSFERENCIA CREDICONTADO POR CONTRATO DE PROMESA DE LA MZ D LOTE 6 PROYECTO EL APOLO</t>
  </si>
  <si>
    <t xml:space="preserve">03BT01-55366 PAGO A CUENTA DE LA TRANSFERENCIA CREDICONTADO POR CONTRATO DE PROMESA DE LA MZ D LOTE 6 PROYECTO EL APOLO </t>
  </si>
  <si>
    <t>BT01-1945</t>
  </si>
  <si>
    <t>DESCUENTO POR PRONTO PAGO - CANCELACION TOTAL DEL ESTACIONAMIENTO NUMERO 168 MZ D LOTE 6 EL APOLO</t>
  </si>
  <si>
    <t>03BT01-28679CANCELACION CUOTA INICIAL POR CONTRATO DE COMPRAVENTA DE LA MZ O LOTE 2 - APOLO</t>
  </si>
  <si>
    <t>03BT01-28680PAGO INICIAL POR ADQUISICION DE COCHERA NRO 57 - APOLO</t>
  </si>
  <si>
    <t>BT01-41933</t>
  </si>
  <si>
    <t>BT01-41934</t>
  </si>
  <si>
    <t>BT01-41935</t>
  </si>
  <si>
    <t>BT01-42785</t>
  </si>
  <si>
    <t>BT01-42786</t>
  </si>
  <si>
    <t>BT01-42787</t>
  </si>
  <si>
    <t>03BT01-28484CANCELACION CUOTA INICIAL POR CONTRATO DE COMPRAVENTA DE LA MZ O LOTE 1 - APOLO</t>
  </si>
  <si>
    <t>03BT01-28486PAGO INICIAL POR ADQUISICION DE COCHERA NRO 56 - APOLO</t>
  </si>
  <si>
    <t>03BT01-41933 PAGO CUOTA 01 NOVIEMBRE 2024 TRANSFERENCIA CREDICONTADO POR CONTRATO DE PROMESA DE LA MZ O LOTE 1 - EL APOLO</t>
  </si>
  <si>
    <t>03BT01-41934 ABONO POR CONCEPTO DE SEPARACION DE COCHERA A CONCRETAR COMPRA N° 56 CUOTA 01 NOVIEMBRE 2024 DE LA MZ O LOTE 1 - EL APOLO</t>
  </si>
  <si>
    <t>03BT01-41935 ABONO POR CONCEPTO DE SEPARACION DE COCHERA A CONCRETAR COMPRA N° 57 CUOTA 01 NOVIEMBRE 2024 DE LA MZ O LOTE 1 - EL APOLO</t>
  </si>
  <si>
    <t xml:space="preserve">03BT01-42785 PAGO CUOTA 02 DICIEMBRE 2024 TRANSFERENCIA CREDICONTADO POR CONTRATO DE PROMESA DE LA MZ O LOTE 1 - EL APOLO </t>
  </si>
  <si>
    <t xml:space="preserve">03BT01-42786 ABONO POR CONCEPTO DE SEPARACION DE COCHERA A CONCRETAR COMPRA N° 56 CUOTA 02 DICIEMBRE  2024 DE LA MZ O LOTE 1 - EL APOLO </t>
  </si>
  <si>
    <t xml:space="preserve">03BT01-42787 ABONO POR CONCEPTO DE SEPARACION DE COCHERA A CONCRETAR COMPRA N° 57 CUOTA 02 DICIEMBRE  2024 DE LA MZ O LOTE 1 - EL APOLO </t>
  </si>
  <si>
    <t>BT01-44756</t>
  </si>
  <si>
    <t>BT01-44757</t>
  </si>
  <si>
    <t>BT01-45788</t>
  </si>
  <si>
    <t>BT01-45789</t>
  </si>
  <si>
    <t>BT01-45790</t>
  </si>
  <si>
    <t>BT01-47129</t>
  </si>
  <si>
    <t>BT01-47130</t>
  </si>
  <si>
    <t>BT01-47131</t>
  </si>
  <si>
    <t>BT01-49156</t>
  </si>
  <si>
    <t>BT01-49157</t>
  </si>
  <si>
    <t>BT01-49158</t>
  </si>
  <si>
    <t>BT01-50759</t>
  </si>
  <si>
    <t>BT01-50760</t>
  </si>
  <si>
    <t>BT01-50761</t>
  </si>
  <si>
    <t>BT01-52149</t>
  </si>
  <si>
    <t>BT01-52150</t>
  </si>
  <si>
    <t>BT01-52151</t>
  </si>
  <si>
    <t>BT01-53872</t>
  </si>
  <si>
    <t>BT01-53873</t>
  </si>
  <si>
    <t>BT01-53874</t>
  </si>
  <si>
    <t>BT01-54135</t>
  </si>
  <si>
    <t>BT01-54364</t>
  </si>
  <si>
    <t>BT01-54365</t>
  </si>
  <si>
    <t>BT01-54366</t>
  </si>
  <si>
    <t>BT01-44755</t>
  </si>
  <si>
    <t>03BT01-44756 ABONO POR CONCEPTO DE SEPARACION DE COCHERA A CONCRETAR COMPRA N° 56 CUOTA 03 ENERO 2025 DE LA MZ O LOTE 1 - EL APOLO</t>
  </si>
  <si>
    <t>03BT01-44757 ABONO POR CONCEPTO DE SEPARACION DE COCHERA A CONCRETAR COMPRA N° 57 CUOTA 03 ENERO 2025 DE LA MZ O LOTE 1 - EL APOLO</t>
  </si>
  <si>
    <t>03BT01-45788 PAGO CUOTA 04 FEBRERO 2025 TRANSFERENCIA CREDICONTADO POR CONTRATO DE PROMESA DE LA MZ O LOTE 1 - EL APOLO</t>
  </si>
  <si>
    <t>03BT01-45789 ABONO POR CONCEPTO DE SEPARACION DE COCHERA A CONCRETAR COMPRA N° 56 CUOTA 04 FEBRERO 2025 DE LA MZ O LOTE 1 - EL APOLO</t>
  </si>
  <si>
    <t>03BT01-45790 ABONO POR CONCEPTO DE SEPARACION DE COCHERA A CONCRETAR COMPRA N° 57 CUOTA 04 FEBRERO 2025 DE LA MZ O LOTE 1 - EL APOLO</t>
  </si>
  <si>
    <t>03BT01-47129 PAGO CUOTA 05 MARZO 2025 TRANSFERENCIA CREDICONTADO POR CONTRATO DE PROMESA DE LA MZ O LOTE 1 - EL APOLO</t>
  </si>
  <si>
    <t>03BT01-47130 ABONO POR CONCEPTO DE SEPARACION DE COCHERA A CONCRETAR COMPRA N° 56 CUOTA 05 MARZO 2025 DE LA MZ O LOTE 1 - EL APOLO</t>
  </si>
  <si>
    <t>03BT01-47131 ABONO POR CONCEPTO DE SEPARACION DE COCHERA A CONCRETAR COMPRA N° 57 CUOTA 05 MARZO 2025 DE LA MZ O LOTE 1 - EL APOLO</t>
  </si>
  <si>
    <t xml:space="preserve">03BT01-49156 PAGO CUOTA 06 ABRIL 2025 TRANSFERENCIA CREDICONTADO POR CONTRATO DE PROMESA DE LA MZ O LOTE 1 - EL APOLO </t>
  </si>
  <si>
    <t xml:space="preserve">03BT01-49157 ABONO POR CONCEPTO DE SEPARACION DE COCHERA A CONCRETAR COMPRA N° 57 CUOTA 06 ABRIL 2025 DE LA MZ O LOTE 1 - EL APOLO </t>
  </si>
  <si>
    <t xml:space="preserve">03BT01-49158 ABONO POR CONCEPTO DE SEPARACION DE COCHERA A CONCRETAR COMPRA N° 56 CUOTA 06 ABRIL 2025 DE LA MZ O LOTE 1 - EL APOLO </t>
  </si>
  <si>
    <t>03BT01-50759 PAGO CUOTA 07 MAYO 2025 TRANSFERENCIA CREDICONTADO POR CONTRATO DE PROMESA DE LA MZ O LOTE 1 - EL APOLO</t>
  </si>
  <si>
    <t>03BT01-50760 ABONO POR CONCEPTO DE SEPARACION DE COCHERA A CONCRETAR COMPRA N° 56 CUOTA 07 MAYO 2025 DE LA MZ O LOTE 1 - EL APOLO</t>
  </si>
  <si>
    <t>03BT01-50761 ABONO POR CONCEPTO DE SEPARACION DE COCHERA A CONCRETAR COMPRA N° 57 CUOTA 07 MAYO 2025 DE LA MZ O LOTE 1 - EL APOLO</t>
  </si>
  <si>
    <t>03BT01-52149 PAGO CUOTA 08 JUNIO 2025 TRANSFERENCIA CREDICONTADO POR CONTRATO DE PROMESA DE LA MZ O LOTE 1 - EL APOLO</t>
  </si>
  <si>
    <t>03BT01-52150 ABONO POR CONCEPTO DE SEPARACION DE COCHERA A CONCRETAR COMPRA N° 57 CUOTA 08 JUNIO 2025 DE LA MZ O LOTE 1 - EL APOLO</t>
  </si>
  <si>
    <t>03BT01-52151 ABONO POR CONCEPTO DE SEPARACION DE COCHERA A CONCRETAR COMPRA N° 56 CUOTA 08 JUNIO 2025 DE LA MZ O LOTE 1 - EL APOLO</t>
  </si>
  <si>
    <t xml:space="preserve">03BT01-53872 PAGO CUOTA 09  JULIO  2025 TRANSFERENCIA CREDICONTADO POR CONTRATO DE PROMESA DE LA MZ O LOTE 1 - EL APOLO </t>
  </si>
  <si>
    <t xml:space="preserve">03BT01-53873 ABONO POR CONCEPTO DE SEPARACION DE COCHERA A CONCRETAR COMPRA N° 56 CUOTA 09  JULIO  2025 DE LA MZ O LOTE 1 - EL APOLO </t>
  </si>
  <si>
    <t xml:space="preserve">03BT01-53874 ABONO POR CONCEPTO DE SEPARACION DE COCHERA A CONCRETAR COMPRA N° 57 CUOTA 09  JULIO  2025 DE LA MZ O LOTE 1 - EL APOLO </t>
  </si>
  <si>
    <t xml:space="preserve">03BT01-54135 PAGO A CUENTA TRANSFERENCIA CREDICONTADO POR CONTRATO DE PROMESA DE LA MZ O LOTE 1 - EL APOLO </t>
  </si>
  <si>
    <t>03BT01-54364 CANCELACION TOTAL DEL LOTE DE LA MZ O LOTE 1 APOLO</t>
  </si>
  <si>
    <t>03BT01-54365 CANCELACION TOTAL DE LA COCHERA N° 56 DE LA MAZ O LOTE 1 APOLO</t>
  </si>
  <si>
    <t>03BT01-54366 CANCELACION TOTAL DE LA COCHERA N° 57 DE LA MAZ O LOTE 1 APOLO</t>
  </si>
  <si>
    <t>03BT01-44755 PAGO CUOTA 03 ENERO 2025 TRANSFERENCIA CREDICONTADO POR CONTRATO DE PROMESA DE LA MZ O LOTE 1 - EL APOLO</t>
  </si>
  <si>
    <t>pendiente</t>
  </si>
  <si>
    <t>confirmar</t>
  </si>
  <si>
    <t>izi  007721</t>
  </si>
  <si>
    <t xml:space="preserve">03BT01-24630 PAGO CUOTA 2 ENERO 2024 TRANSFERENCIA CREDICONTADO POR CONTRATO DE PROMESA DE LA MZ D LOTE 4 - EL APOLO </t>
  </si>
  <si>
    <t>03BT01-25906 PAGO CUOTA 3 FEBRERO 2024 TRANSFERENCIA CREDICONTADO POR CONTRATO DE PROMESA DE LA MZ D LOTE 4 - EL APOLO</t>
  </si>
  <si>
    <t>03BT01-27790PAGO CUOTA 4 MARZO 2024 TRANSFERENCIA CREDICONTADO POR CONTRATO DE PROMESA DE LA MZ D LOTE 4 - EL APOLO</t>
  </si>
  <si>
    <t>03BT01-28063CANCELACION CUOTA INICIAL POR CONTRATO DE COMPRAVENTA DE LA MZ D LOTE 5 - APOLO</t>
  </si>
  <si>
    <t>03BT01-28398CANCELACION CUOTA INICIAL POR CONTRATO DE COMPRAVENTA DE LA MZ D LOTE 5 - APOLO</t>
  </si>
  <si>
    <t>03BT01-29492PAGO CUOTA 5 ABRIL 2024 TRANSFERENCIA CREDICONTADO POR CONTRATO DE PROMESA DE LA MZ D LOTE 4 - EL APOLO</t>
  </si>
  <si>
    <t>03BT01-31116PAGO CUOTA 6 MAYO 2024 TRANSFERENCIA CREDICONTADO POR CONTRATO DE PROMESA DE LA MZ D LOTE 4 - EL APOLO</t>
  </si>
  <si>
    <t>03BT01-32831PAGO CUOTA 7 JUNIO 2024 TRANSFERENCIA CREDICONTADO POR CONTRATO DE PROMESA DE LA MZ D LOTE 4 - EL APOLO</t>
  </si>
  <si>
    <t>03BT01-32947PAGO CUOTA 1 JUNIO 2024 TRANSFERENCIA CREDICONTADO POR CONTRATO DE PROMESA DE LA MZ D LOTE 5 - EL APOLO</t>
  </si>
  <si>
    <t>03BT01-34357PAGO CUOTA 8 JULIO 2024 TRANSFERENCIA CREDICONTADO POR CONTRATO DE PROMESA DE LA MZ D LOTE 4 - EL APOLO</t>
  </si>
  <si>
    <t>03BT01-34358PAGO CUOTA 2 JULIO 2024 TRANSFERENCIA CREDICONTADO POR CONTRATO DE PROMESA DE LA MZ D LOTE 5 - EL APOLO</t>
  </si>
  <si>
    <t>03BT01-35892PAGO CUOTA 9 AGOSTO 2024 TRANSFERENCIA CREDICONTADO POR CONTRATO DE PROMESA DE LA MZ D LOTE 4 - EL APOLO</t>
  </si>
  <si>
    <t>03BT01-36180PAGO CUOTA 3 AGOSTO 2024 TRANSFERENCIA CREDICONTADO POR CONTRATO DE PROMESA DE LA MZ D LOTE 5 - EL APOLO</t>
  </si>
  <si>
    <t>03BT01-37613 PAGO CUOTA 10 SEPTIEMBRE 2024 TRANSFERENCIA CREDICONTADO POR CONTRATO DE PROMESA DE LA MZ D LOTE 4 - EL APOLO</t>
  </si>
  <si>
    <t>03BT01-37614 PAGO CUOTA 4 SEPTIEMBRE 2024 TRANSFERENCIA CREDICONTADO POR CONTRATO DE PROMESA DE LA MZ D LOTE 5 - EL APOLO</t>
  </si>
  <si>
    <t>03BT01-39202 PAGO CUOTA 11 OCTUBRE 2024 TRANSFERENCIA CREDICONTADO POR CONTRATO DE PROMESA DE LA MZ D LOTE 4 - EL APOLO</t>
  </si>
  <si>
    <t>03BT01-39203 PAGO CUOTA 5 OCTUBRE 2024 TRANSFERENCIA CREDICONTADO POR CONTRATO DE PROMESA DE LA MZ D LOTE 5 - EL APOLO</t>
  </si>
  <si>
    <t>03BT01-41139 PAGO CUOTA 12 NOVIEMBRE 2024 TRANSFERENCIA CREDICONTADO POR CONTRATO DE PROMESA DE LA MZ D LOTE 4 - EL APOLO</t>
  </si>
  <si>
    <t>03BT01-41140 PAGO CUOTA 6 NOVIEMBRE 2024 TRANSFERENCIA CREDICONTADO POR CONTRATO DE PROMESA DE LA MZ D LOTE 5 - EL APOLO</t>
  </si>
  <si>
    <t xml:space="preserve">03BT01-42861 PAGO CUOTA 13 DICIEMBRE 2024 TRANSFERENCIA CREDICONTADO POR CONTRATO DE PROMESA DE LA MZ D LOTE 4 - EL APOLO </t>
  </si>
  <si>
    <t xml:space="preserve">03BT01-43318 PAGO CUOTA 7 DICIEMBRE 2024 TRANSFERENCIA CREDICONTADO POR CONTRATO DE PROMESA DE LA MZ D LOTE 5 - EL APOLO </t>
  </si>
  <si>
    <t>03BT01-44485 PAGO CUOTA 8 ENERO 2025 TRANSFERENCIA CREDICONTADO POR CONTRATO DE PROMESA DE LA MZ D LOTE 5 - EL APOLO</t>
  </si>
  <si>
    <t>03BT01-44486 PAGO CUOTA 14 ENERO 2025 TRANSFERENCIA CREDICONTADO POR CONTRATO DE PROMESA DE LA MZ D LOTE 4 - EL APOLO</t>
  </si>
  <si>
    <t>03BT01-46290 PAGO CUOTA 9 FEBRERO 2025 TRANSFERENCIA CREDICONTADO POR CONTRATO DE PROMESA DE LA MZ D LOTE 5 - EL APOLO</t>
  </si>
  <si>
    <t>03BT01-46620 PAGO CUOTA 15 FEBRERO 2025 TRANSFERENCIA CREDICONTADO POR CONTRATO DE PROMESA DE LA MZ D LOTE 4 - EL APOLO</t>
  </si>
  <si>
    <t>03BT01-47589 PAGO CUOTA 10 MARZO 2025 TRANSFERENCIA CREDICONTADO POR CONTRATO DE PROMESA DE LA MZ D LOTE 5 - EL APOLO</t>
  </si>
  <si>
    <t>03BT01-48096 PAGO CUOTA 16 MARZO 2025 TRANSFERENCIA CREDICONTADO POR CONTRATO DE PROMESA DE LA MZ D LOTE 4 - EL APOLO</t>
  </si>
  <si>
    <t xml:space="preserve">03BT01-49305 PAGO CUOTA 11 ABRIL 2025 TRANSFERENCIA CREDICONTADO POR CONTRATO DE PROMESA DE LA MZ D LOTE 5 - EL APOLO </t>
  </si>
  <si>
    <t xml:space="preserve">03BT01-49692 PAGO CUOTA 17 ABRIL 2025 TRANSFERENCIA CREDICONTADO POR CONTRATO DE PROMESA DE LA MZ D LOTE 4 - EL APOLO </t>
  </si>
  <si>
    <t>03BT01-50796 PAGO CUOTA 12 MAYO 2025 TRANSFERENCIA CREDICONTADO POR CONTRATO DE PROMESA DE LA MZ D LOTE 5 - EL APOLO</t>
  </si>
  <si>
    <t>03BT01-51176 PAGO CUOTA 18 MAYO 2025 TRANSFERENCIA CREDICONTADO POR CONTRATO DE PROMESA DE LA MZ D LOTE 4 - EL APOLO</t>
  </si>
  <si>
    <t>03BT01-52372 PAGO CUOTA 13 JUNIO 2025 TRANSFERENCIA CREDICONTADO POR CONTRATO DE PROMESA DE LA MZ D LOTE 5 - EL APOLO</t>
  </si>
  <si>
    <t>03BT01-52672 PAGO CUOTA 19 JUNIO 2025 TRANSFERENCIA CREDICONTADO POR CONTRATO DE PROMESA DE LA MZ D LOTE 4 - EL APOLO</t>
  </si>
  <si>
    <t>03BT01-53901 PAGO CUOTA 14 JULIO 2025 TRANSFERENCIA CREDICONTADO POR CONTRATO DE PROMESA DE LA MZ D LOTE 5 - EL APOLO</t>
  </si>
  <si>
    <t xml:space="preserve">03BT01-54118 PAGO CUOTA 20 JULIO 2025 TRANSFERENCIA CREDICONTADO POR CONTRATO DE PROMESA DE LA MZ D LOTE 4 - EL APOLO </t>
  </si>
  <si>
    <t xml:space="preserve">03BT01-55262 PAGO CUOTA 15 AGOSTO 2025 TRANSFERENCIA CREDICONTADO POR CONTRATO DE PROMESA DE LA MZ D LOTE 5 - EL APOLO </t>
  </si>
  <si>
    <t xml:space="preserve">03BT01-55653 PAGO CUOTA 21 AGOSTO 2025 TRANSFERENCIA CREDICONTADO POR CONTRATO DE PROMESA DE LA MZ D LOTE 4 - EL APOLO </t>
  </si>
  <si>
    <t>03BT01-56013 PAGO CUOTA 16 SEPTIEMBRE 2025 TRANSFERENCIA CREDICONTADO POR CONTRATO DE PROMESA DE LA MZ D LOTE 5 - EL APOLO</t>
  </si>
  <si>
    <t>03BT01-57039 PAGO CUOTA 22 SEPTIEMBRE 2025 TRANSFERENCIA CREDICONTADO POR CONTRATO DE PROMESA DE LA MZ D LOTE 4 - EL APOLO</t>
  </si>
  <si>
    <t>03BT01-57137 SEPARACION POR COMPRAVENTA DEL ESTACIONAMIENTO N°166 DE APOLO</t>
  </si>
  <si>
    <t>03BT01-57138 SEPARACION POR COMPRAVENTA DEL ESTACIONAMIENTO N°167 DE APOLO</t>
  </si>
  <si>
    <t>BT01-28398</t>
  </si>
  <si>
    <t>BT01-32947</t>
  </si>
  <si>
    <t>BT01-34358</t>
  </si>
  <si>
    <t>BT01-36180</t>
  </si>
  <si>
    <t>BT01-37614</t>
  </si>
  <si>
    <t>BT01-39203</t>
  </si>
  <si>
    <t>BT01-41140</t>
  </si>
  <si>
    <t>BT01-43318</t>
  </si>
  <si>
    <t>BT01-44485</t>
  </si>
  <si>
    <t>BT01-46290</t>
  </si>
  <si>
    <t>BT01-47589</t>
  </si>
  <si>
    <t>BT01-49305</t>
  </si>
  <si>
    <t>BT01-50796</t>
  </si>
  <si>
    <t>BT01-52372</t>
  </si>
  <si>
    <t>BT01-53901</t>
  </si>
  <si>
    <t>BT01-55262</t>
  </si>
  <si>
    <t>BT01-56013</t>
  </si>
  <si>
    <t>03BT01-27646SEPARACIÓN DE LOTE PARA LA ADJUDICACION DE LA MZ C LOTE 6 - APOLO</t>
  </si>
  <si>
    <t>03BT01-28149CANCELACIÓN CUOTA INICIAL PARA LA ADJUDICACIÓN DE LA MZ E LOTE 4 - APOLO</t>
  </si>
  <si>
    <t>03BT01-28150ADJUDICACIÓN DE COCHERA N° 170  DE LA MZ E LOTE 4 - APOLO</t>
  </si>
  <si>
    <t>03BT01-29013CUOTA 1 - ABRIL 2024 TRANSFERENCIA CREDICONTADO POR CONTRATO DE PROMESA DE LA MZ E LT 4 - EL APOLO</t>
  </si>
  <si>
    <t>03BT01-31473CUOTA 2  MAYO 2024 TRANSFERENCIA CREDICONTADO POR CONTRATO DE PROMESA DE LA MZ E LT 4 - EL APOLO</t>
  </si>
  <si>
    <t>03BT01-32763CUOTA 3 JUNIO 2024 TRANSFERENCIA CREDICONTADO POR CONTRATO DE PROMESA DE LA MZ E LT 4 - EL APOLO</t>
  </si>
  <si>
    <t>03BT01-34519CUOTA 4 JULIO 2024 TRANSFERENCIA CREDICONTADO POR CONTRATO DE PROMESA DE LA MZ E LT 4 - EL APOLO</t>
  </si>
  <si>
    <t>03BT01-34520ABONO POR CONCEPTO DE SEPARACION DE COCHERA A CONCRETAR COMPRA N° 170 CUOTA 1 JULIO 2024 DE LA MZ E LOTE 4 EL APOLO</t>
  </si>
  <si>
    <t>03BT01-34521PAGO A CUENTA POR CONCEPTO DE SEPARACION DE COCHERA A CONCRETAR COMPRA N° 170 CUOTA 2 AGOSTO 2024 A CUENTA DE LA MZ E LOTE 4 EL APOLO</t>
  </si>
  <si>
    <t>03BT01-36288CUOTA 5 AGOSTO 2024 TRANSFERENCIA CREDICONTADO POR CONTRATO DE PROMESA DE LA MZ E LT 4 - EL APOLO</t>
  </si>
  <si>
    <t>03BT01-36289ABONO POR CONCEPTO DE SEPARACION DE COCHERA A CONCRETAR COMPRA N° 170 CUOTA 2 AGOSTO 2024 DE LA MZ E LOTE 4 EL APOLO</t>
  </si>
  <si>
    <t>03BT01-37965 CUOTA 6 SEPTIEMBRE 2024 TRANSFERENCIA CREDICONTADO POR CONTRATO DE PROMESA DE LA MZ E LT 4 - EL APOLO</t>
  </si>
  <si>
    <t>03BT01-37966 ABONO POR CONCEPTO DE SEPARACION DE COCHERA A CONCRETAR COMPRA N° 170 CUOTA 3 SEPTIEMBRE 2024 DE LA MZ E LOTE 4 EL APOLO</t>
  </si>
  <si>
    <t>03BT01-39653 CUOTA 7 OCTUBRE 2024 TRANSFERENCIA CREDICONTADO POR CONTRATO DE PROMESA DE LA MZ E LT 4 - EL APOLO</t>
  </si>
  <si>
    <t>03BT01-39654 ABONO POR CONCEPTO DE SEPARACION DE COCHERA A CONCRETAR COMPRA N° 170 CUOTA 4 OCTUBRE 2024 DE LA MZ E LOTE 4 EL APOLO</t>
  </si>
  <si>
    <t>03BT01-41247 CUOTA 8 NOVIEMBRE 2024 TRANSFERENCIA CREDICONTADO POR CONTRATO DE PROMESA DE LA MZ E LT 4 - EL APOLO</t>
  </si>
  <si>
    <t>03BT01-41248 ABONO POR CONCEPTO DE SEPARACION DE COCHERA A CONCRETAR COMPRA N° 170 CUOTA 5 NOVIEMBRE 2024 DE LA MZ E LOTE 4 EL APOLO</t>
  </si>
  <si>
    <t xml:space="preserve">03BT01-42988 CUOTA 9 DICIEMBRE 2024 TRANSFERENCIA CREDICONTADO POR CONTRATO DE PROMESA DE LA MZ E LT 4 - EL APOLO </t>
  </si>
  <si>
    <t xml:space="preserve">03BT01-42989 ABONO POR CONCEPTO DE SEPARACION DE COCHERA A CONCRETAR COMPRA N° 170 CUOTA 6 DICIEMBRE 2024 DE LA MZ E LOTE 4 EL APOLO </t>
  </si>
  <si>
    <t>03BT01-44586 CUOTA 10 ENERO 2025 TRANSFERENCIA CREDICONTADO POR CONTRATO DE PROMESA DE LA MZ E LT 4 - EL APOLO</t>
  </si>
  <si>
    <t>03BT01-44587 ABONO POR CONCEPTO DE SEPARACION DE COCHERA A CONCRETAR COMPRA N° 170 CUOTA 7 ENERO 2025 DE LA MZ E LOTE 4 EL APOLO</t>
  </si>
  <si>
    <t>03BT01-46416 CUOTA 11 FEBRERO 2025 TRANSFERENCIA CREDICONTADO POR CONTRATO DE PROMESA DE LA MZ E LT 4 - EL APOLO</t>
  </si>
  <si>
    <t>03BT01-47920 CUOTA 12 MARZO 2025 TRANSFERENCIA CREDICONTADO POR CONTRATO DE PROMESA DE LA MZ E LT 4 - EL APOLO</t>
  </si>
  <si>
    <t>03BT01-47921 ABONO POR CONCEPTO DE SEPARACION DE COCHERA A CONCRETAR COMPRA N° 170 CUOTA 8 FEBRERO 2025 DE LA MZ E LOTE 4 EL APOLO</t>
  </si>
  <si>
    <t>03BT01-47922 ABONO POR CONCEPTO DE SEPARACION DE COCHERA A CONCRETAR COMPRA N° 170 CUOTA 9 MARZO 2025 DE LA MZ E LOTE 4 EL APOLO</t>
  </si>
  <si>
    <t xml:space="preserve">03BT01-49015 CUOTA 13 ABRIL 2025 TRANSFERENCIA CREDICONTADO POR CONTRATO DE PROMESA DE LA MZ E LT 4 - EL APOLO </t>
  </si>
  <si>
    <t xml:space="preserve">03BT01-49016 ABONO POR CONCEPTO DE SEPARACION DE COCHERA A CONCRETAR COMPRA N° 170 CUOTA 10 ABRIL 2025 DE LA MZ E LOTE 4 EL APOLO </t>
  </si>
  <si>
    <t>03BT01-50754 CUOTA 14 MAYO 2025 TRANSFERENCIA CREDICONTADO POR CONTRATO DE PROMESA DE LA MZ E LT 4 - EL APOLO</t>
  </si>
  <si>
    <t>03BT01-50755 ABONO POR CONCEPTO DE SEPARACION DE COCHERA A CONCRETAR COMPRA N° 170 CUOTA 11 MAYO 2025 DE LA MZ E LOTE 4 EL APOLO</t>
  </si>
  <si>
    <t>03BT01-52096 CUOTA 15 JUNIO 2025 TRANSFERENCIA CREDICONTADO POR CONTRATO DE PROMESA DE LA MZ E LT 4 - EL APOLO</t>
  </si>
  <si>
    <t>03BT01-52097 ABONO POR CONCEPTO DE SEPARACION DE COCHERA A CONCRETAR COMPRA N° 170 CUOTA 12 JUNIO 2025 DE LA MZ E LOTE 4 EL APOLO</t>
  </si>
  <si>
    <t xml:space="preserve">03BT01-53518 CUOTA 16 JULIO 2025 TRANSFERENCIA CREDICONTADO POR CONTRATO DE PROMESA DE LA MZ E LT 4 - EL APOLO </t>
  </si>
  <si>
    <t xml:space="preserve">03BT01-53519 ABONO POR CONCEPTO DE SEPARACION DE COCHERA A CONCRETAR COMPRA N° 170 CUOTA 13 JULIO 2025 DE LA MZ E LOTE 4 EL APOLO </t>
  </si>
  <si>
    <t xml:space="preserve">03BT01-55321 PAGO CUOTA 17 AGOSTO 2025 TRANSFERENCIA CREDICONTADO POR CONTRATO DE PROMESA DE LA MZ E LT 4 - EL APOLO </t>
  </si>
  <si>
    <t xml:space="preserve">03BT01-55322 ABONO POR CONCEPTO DE SEPARACION DE COCHERA A CONCRETAR COMPRA N° 170 CUOTA 14 AGOSTO 2025 DE LA MZ E LOTE 4 - EL APOLO </t>
  </si>
  <si>
    <t>03BT01-56536 ABONO POR CONCEPTO DE SEPARACION DE COCHERA A CONCRETAR COMPRA N° 170 CUOTA 15 SEPTIEMBRE 2025 DE LA MZ E LOTE 4 - EL APOLO</t>
  </si>
  <si>
    <t>03BT01-56537 PAGO CUOTA 18 SEPTIEMBRE 2025 TRANSFERENCIA CREDICONTADO POR CONTRATO DE PROMESA DE LA MZ E LT 4 - EL APOLO</t>
  </si>
  <si>
    <t>BT01-29013</t>
  </si>
  <si>
    <t>BT01-31473</t>
  </si>
  <si>
    <t>BT01-32763</t>
  </si>
  <si>
    <t>BT01-34519</t>
  </si>
  <si>
    <t>BT01-36288</t>
  </si>
  <si>
    <t>BT01-37965</t>
  </si>
  <si>
    <t>BT01-39653</t>
  </si>
  <si>
    <t>BT01-41247</t>
  </si>
  <si>
    <t>BT01-42988</t>
  </si>
  <si>
    <t>BT01-44586</t>
  </si>
  <si>
    <t>BT01-46416</t>
  </si>
  <si>
    <t>BT01-47920</t>
  </si>
  <si>
    <t>BT01-49015</t>
  </si>
  <si>
    <t>BT01-50754</t>
  </si>
  <si>
    <t>BT01-52096</t>
  </si>
  <si>
    <t>BT01-53518</t>
  </si>
  <si>
    <t>BT01-55321</t>
  </si>
  <si>
    <t>BT01-56537</t>
  </si>
  <si>
    <t>BT01-34520</t>
  </si>
  <si>
    <t>BT01-34521</t>
  </si>
  <si>
    <t>BT01-36289</t>
  </si>
  <si>
    <t>BT01-37966</t>
  </si>
  <si>
    <t>BT01-39654</t>
  </si>
  <si>
    <t>BT01-41248</t>
  </si>
  <si>
    <t>BT01-42989</t>
  </si>
  <si>
    <t>BT01-44587</t>
  </si>
  <si>
    <t>BT01-47921</t>
  </si>
  <si>
    <t>BT01-47922</t>
  </si>
  <si>
    <t>BT01-49016</t>
  </si>
  <si>
    <t>BT01-50755</t>
  </si>
  <si>
    <t>BT01-52097</t>
  </si>
  <si>
    <t>BT01-53519</t>
  </si>
  <si>
    <t>BT01-55322</t>
  </si>
  <si>
    <t>BT01-56536</t>
  </si>
  <si>
    <t>BT01-28930</t>
  </si>
  <si>
    <t>BT01-30679</t>
  </si>
  <si>
    <t>BT01-32203</t>
  </si>
  <si>
    <t>BT01-34048</t>
  </si>
  <si>
    <t>BT01-35821</t>
  </si>
  <si>
    <t>BT01-37554</t>
  </si>
  <si>
    <t>BT01-39322</t>
  </si>
  <si>
    <t>BT01-41210</t>
  </si>
  <si>
    <t>BT01-42561</t>
  </si>
  <si>
    <t>BT01-43756</t>
  </si>
  <si>
    <t>03BT01-27642SEPARACIÓN PARA LA ADJUDICACION DE LA MZ C LOTE 5 - APOLO</t>
  </si>
  <si>
    <t>03BT01-28152CANCELACION DE CUOTA INICIAL PARA LA ADJUDICACION DE LA MZ C LOTE 5 - APOLO</t>
  </si>
  <si>
    <t>03BT01-28930CUOTA 1 - ABRIL 2024 TRANSFERENCIA CREDICONTADO POR CONTRATO DE PROMESA DE LA MZ E LT 3 - APOLO</t>
  </si>
  <si>
    <t>03BT01-30679CUOTA 2 - MAYO 2024 TRANSFERENCIA CREDICONTADO POR CONTRATO DE PROMESA DE LA MZ E LT 3 - APOLO</t>
  </si>
  <si>
    <t>03BT01-32203CUOTA 3 - JUNIO 2024 TRANSFERENCIA CREDICONTADO POR CONTRATO DE PROMESA DE LA MZ E LT 3 - APOLO</t>
  </si>
  <si>
    <t>03BT01-34048CUOTA 4 - JULIO 2024 TRANSFERENCIA CREDICONTADO POR CONTRATO DE PROMESA DE LA MZ E LT 3 - APOLO</t>
  </si>
  <si>
    <t>03BT01-35821CUOTA 5 - AGOSTO 2024 TRANSFERENCIA CREDICONTADO POR CONTRATO DE PROMESA DE LA MZ E LT 3 - APOLO</t>
  </si>
  <si>
    <t>03BT01-37554 CUOTA 6 SEPTIEMBRE 2024 TRANSFERENCIA CREDICONTADO POR CONTRATO DE PROMESA DE LA MZ E LT 3 - APOLO</t>
  </si>
  <si>
    <t>03BT01-39322 CUOTA 7 OCTUBRE 2024 TRANSFERENCIA CREDICONTADO POR CONTRATO DE PROMESA DE LA MZ E LT 3 - APOLO</t>
  </si>
  <si>
    <t>03BT01-41210 CUOTA 8 NOVIEMBRE 2024 TRANSFERENCIA CREDICONTADO POR CONTRATO DE PROMESA DE LA MZ E LT 3 - APOLO</t>
  </si>
  <si>
    <t xml:space="preserve">03BT01-42561 CUOTA 9 DICIEMBRE 2024 TRANSFERENCIA CREDICONTADO POR CONTRATO DE PROMESA DE LA MZ E LT 3 - APOLO </t>
  </si>
  <si>
    <t xml:space="preserve">03BT01-43756 CUOTA 10 ENERO 2025 TRANSFERENCIA CREDICONTADO POR CONTRATO DE PROMESA DE LA MZ E LT 3 - APOLO </t>
  </si>
  <si>
    <t>BT01-45214</t>
  </si>
  <si>
    <t>BT01-47553</t>
  </si>
  <si>
    <t>BT01-49356</t>
  </si>
  <si>
    <t>BT01-53584</t>
  </si>
  <si>
    <t>BT01-55069</t>
  </si>
  <si>
    <t>BT01-56394</t>
  </si>
  <si>
    <t>03BT01-45214 CUOTA 11 FEBRERO 2025 TRANSFERENCIA CREDICONTADO POR CONTRATO DE PROMESA DE LA MZ E LT 3 - APOLO</t>
  </si>
  <si>
    <t>03BT01-47553 CUOTA 12 MARZO 2025 TRANSFERENCIA CREDICONTADO POR CONTRATO DE PROMESA DE LA MZ E LT 3 - APOLO</t>
  </si>
  <si>
    <t xml:space="preserve">03BT01-49356 CUOTA 13 ABRIL 2025 TRANSFERENCIA CREDICONTADO POR CONTRATO DE PROMESA DE LA MZ E LT 3 - APOLO </t>
  </si>
  <si>
    <t xml:space="preserve">03BT01-53584 CUOTA 14 MAYO 2025 TRANSFERENCIA CREDICONTADO POR CONTRATO DE PROMESA DE LA MZ E LT 3 - APOLO </t>
  </si>
  <si>
    <t xml:space="preserve">03BT01-55069 CUOTA 15 JUNIO 2025 TRANSFERENCIA CREDICONTADO POR CONTRATO DE PROMESA DE LA MZ E LT 3 - APOLO </t>
  </si>
  <si>
    <t>03BT01-56394 CUOTA 16 JULIO 2025 TRANSFERENCIA CREDICONTADO POR CONTRATO DE PROMESA DE LA MZ E LT 3 - APOLO</t>
  </si>
  <si>
    <t>03BT01-26296 SEPARACION POR ADQUISICION DE LOTE DE LA MZ I LOTE 4 - APOLO</t>
  </si>
  <si>
    <t>03BT01-26388 CANCELACION DEL LOTE DE LA MZ I LOTE 4 - APOLO</t>
  </si>
  <si>
    <t>03BT01-26389 INICIAL PARA LA ADQUISICION DE LA COCHERA NRO. 138 - APOLO</t>
  </si>
  <si>
    <t>000675</t>
  </si>
  <si>
    <t xml:space="preserve">03BT01-21800CANCELACION CUOTA INICIAL POR PROMESA DE COMPRA VENTA DE LA MZ G LT 1 - APOLO </t>
  </si>
  <si>
    <t>BT01-25097</t>
  </si>
  <si>
    <t>BT01-26268</t>
  </si>
  <si>
    <t>BT01-27891</t>
  </si>
  <si>
    <t>BT01-29826</t>
  </si>
  <si>
    <t>BT01-31602</t>
  </si>
  <si>
    <t>BT01-33444</t>
  </si>
  <si>
    <t>BT01-35200</t>
  </si>
  <si>
    <t>BT01-36904</t>
  </si>
  <si>
    <t>BT01-38701</t>
  </si>
  <si>
    <t>BT01-40133</t>
  </si>
  <si>
    <t>BT01-42158</t>
  </si>
  <si>
    <t>BT01-43412</t>
  </si>
  <si>
    <t xml:space="preserve">03BT01-25097 PAGO CUOTA 1 ENERO 2024 TRANSFERENCIA CREDICONTADO POR CONTRATO DE PROMESA DE LA MZ G LOTE 1 - EL APOLO </t>
  </si>
  <si>
    <t>03BT01-26268 PAGO CUOTA 2 FEBRERO 2024 TRANSFERENCIA CREDICONTADO POR CONTRATO DE PROMESA DE LA MZ G LOTE 1 - EL APOLO</t>
  </si>
  <si>
    <t>03BT01-27891PAGO CUOTA 3 MARZO 2024 TRANSFERENCIA CREDICONTADO POR CONTRATO DE PROMESA DE LA MZ G LOTE 1 - EL APOLO</t>
  </si>
  <si>
    <t>03BT01-29826PAGO CUOTA 4 ABRIL 2024 TRANSFERENCIA CREDICONTADO POR CONTRATO DE PROMESA DE LA MZ G LOTE 1 - EL APOLO</t>
  </si>
  <si>
    <t>03BT01-31602PAGO CUOTA 5 MAYO 2024 TRANSFERENCIA CREDICONTADO POR CONTRATO DE PROMESA DE LA MZ G LOTE 1 - EL APOLO</t>
  </si>
  <si>
    <t>03BT01-33444PAGO CUOTA 6 JUNIO 2024 TRANSFERENCIA CREDICONTADO POR CONTRATO DE PROMESA DE LA MZ G LOTE 1 - EL APOLO</t>
  </si>
  <si>
    <t>03BT01-35200PAGO CUOTA 7 JULIO 2024 TRANSFERENCIA CREDICONTADO POR CONTRATO DE PROMESA DE LA MZ G LOTE 1 - EL APOLO</t>
  </si>
  <si>
    <t>03BT01-36904PAGO CUOTA 8 AGOSTO 2024 TRANSFERENCIA CREDICONTADO POR CONTRATO DE PROMESA DE LA MZ G LOTE 1 - EL APOLO</t>
  </si>
  <si>
    <t>03BT01-38701 PAGO CUOTA 9 SEPTIEMBRE 2024 TRANSFERENCIA CREDICONTADO POR CONTRATO DE PROMESA DE LA MZ G LOTE 1 - EL APOLO</t>
  </si>
  <si>
    <t>03BT01-40133 PAGO CUOTA 10 OCTUBRE 2024 TRANSFERENCIA CREDICONTADO POR CONTRATO DE PROMESA DE LA MZ G LOTE 1 - EL APOLO</t>
  </si>
  <si>
    <t>03BT01-42158 PAGO CUOTA 11 NOVIEMBRE 2024 TRANSFERENCIA CREDICONTADO POR CONTRATO DE PROMESA DE LA MZ G LOTE 1 - EL APOLO</t>
  </si>
  <si>
    <t xml:space="preserve">03BT01-43412 PAGO CUOTA 12 DICIEMBRE 2024 TRANSFERENCIA CREDICONTADO POR CONTRATO DE PROMESA DE LA MZ G LOTE 1 - EL APOLO </t>
  </si>
  <si>
    <t>BT01-45060</t>
  </si>
  <si>
    <t>BT01-46593</t>
  </si>
  <si>
    <t>BT01-48110</t>
  </si>
  <si>
    <t>BT01-49483</t>
  </si>
  <si>
    <t>BT01-50990</t>
  </si>
  <si>
    <t>BT01-52616</t>
  </si>
  <si>
    <t>BT01-54200</t>
  </si>
  <si>
    <t>BT01-55715</t>
  </si>
  <si>
    <t>BT01-56907</t>
  </si>
  <si>
    <t>03BT01-45060 PAGO CUOTA 13 ENERO 2025 TRANSFERENCIA CREDICONTADO POR CONTRATO DE PROMESA DE LA MZ G LOTE 1 - EL APOLO</t>
  </si>
  <si>
    <t>03BT01-46593 PAGO CUOTA 14 FEBRERO 2025 TRANSFERENCIA CREDICONTADO POR CONTRATO DE PROMESA DE LA MZ G LOTE 1 - EL APOLO</t>
  </si>
  <si>
    <t>03BT01-48110 PAGO CUOTA 15 MARZO 2025 TRANSFERENCIA CREDICONTADO POR CONTRATO DE PROMESA DE LA MZ G LOTE 1 - EL APOLO</t>
  </si>
  <si>
    <t xml:space="preserve">03BT01-49483 PAGO CUOTA 16 ABRIL 2025 TRANSFERENCIA CREDICONTADO POR CONTRATO DE PROMESA DE LA MZ G LOTE 1 - EL APOLO </t>
  </si>
  <si>
    <t>03BT01-50990 PAGO CUOTA 17 MAYO 2025 TRANSFERENCIA CREDICONTADO POR CONTRATO DE PROMESA DE LA MZ G LOTE 1 - EL APOLO</t>
  </si>
  <si>
    <t>03BT01-52616 PAGO CUOTA 18 JUNIO 2025 TRANSFERENCIA CREDICONTADO POR CONTRATO DE PROMESA DE LA MZ G LOTE 1 - EL APOLO</t>
  </si>
  <si>
    <t xml:space="preserve">03BT01-54200 PAGO CUOTA 19 JULIO 2025 TRANSFERENCIA CREDICONTADO POR CONTRATO DE PROMESA DE LA MZ G LOTE 1 - EL APOLO </t>
  </si>
  <si>
    <t xml:space="preserve">03BT01-55715 PAGO CUOTA 20 AGOSTO 2025 TRANSFERENCIA CREDICONTADO POR CONTRATO DE PROMESA DE LA MZ G LOTE 1 - EL APOLO </t>
  </si>
  <si>
    <t>03BT01-56907 PAGO CUOTA 21 SEPTIEMBRE 2025 TRANSFERENCIA CREDICONTADO POR CONTRATO DE PROMESA DE LA MZ G LOTE 1 - EL APOLO</t>
  </si>
  <si>
    <t xml:space="preserve">03BT01-12645 SEPARACION POR COMPRAVENTA DE LA MZ D LOTE 1 - APOLO </t>
  </si>
  <si>
    <t xml:space="preserve">03BT01-12772 SEPARACION POR CONTRATO DE COMPRAVENTA DE LA MZ D LT 1 - APOLO </t>
  </si>
  <si>
    <t xml:space="preserve">03BT01-13396 CANCELACION TOTAL DE LA MZ D LOTE 1- APOLO </t>
  </si>
  <si>
    <t>03EB01-2342 CUOTA INICIAL POR CONTRATO DE PROMESA DE COMPRA DE ESTACIONAMIENTO NRO 6 CONDOMINIO APOLO</t>
  </si>
  <si>
    <t>03EB01-2343 CANCELACION CUOTA INICIAL POR CONTRATO DE PROMESA DE COMPRA VENTA DEL LT A1 LT 2 CONDOMINIO APOLO</t>
  </si>
  <si>
    <t>03EB01-4162 CUOTA 2 SEP. 2021 TRANSFERENCIA CREDICONTADO POR CONTRATO DE PROMESA MZ A1 LT 2   APOLO</t>
  </si>
  <si>
    <t>03EB01-4163 CUOTA 1 AGT. 2021 TRANSFERENCIA CREDICONTADO POR CONTRATO DE PROMESA MZ A1 LT 2 APOLO</t>
  </si>
  <si>
    <t>03EB01-4695 CUOTA 3 OCTUBRE 2021 TRANSFERENCIA CREDICONTADO POR CONTRATO DE PROMESA MZ A1 LOTE 2 - APOLO</t>
  </si>
  <si>
    <t>03EB01-4696 CUOTA 4 NOVIEMBRE 2021 TRANSFERENCIA CREDICONTADO POR CONTRATO DE PROMESA MZ A1 LOTE 2 - APOLO</t>
  </si>
  <si>
    <t>03EB01-5249 PAGO DE CUOTA 5 DICIEMBRE 2021 POR CONTRATO DE PROMESA DE LA MZ A1 LOTE 2 - APOLO</t>
  </si>
  <si>
    <t>03EB01-5471 CUOTA 6 MZ A1 LT 2-APOLO</t>
  </si>
  <si>
    <t>03EB01-5876 CUOTA 7 MZ A1 LT 2-APOLO</t>
  </si>
  <si>
    <t>03EB01-6470 CUOTA 8 ABRIL 2022 TRANSFERENCIA CREDICONTADO POR CONTRATO DE PROMESA DE LA MZ A1 LOTE 2 EL APOLO</t>
  </si>
  <si>
    <t>03EB01-7134 CUOTA 9 MAYO 2022  POR CONTRATO DE PROMESA DE LA MZ. A1 LOTE 2 - EL APOLO</t>
  </si>
  <si>
    <t>03EB01-8429 CUOTA 10 MZ A1 LT 2 - EL APOLO</t>
  </si>
  <si>
    <t>03EB01-9086 CUOTA 11 MZ A1 LT 2- EL APOLO</t>
  </si>
  <si>
    <t>03BT01-1336 CUOTA 12 MZ A1 LOTE 2 - EL APOLO</t>
  </si>
  <si>
    <t>03BT01-2093 CUOTA 13MZ A1 LOTE 2 - EL APOLO</t>
  </si>
  <si>
    <t>03BT01-3309 CUOTA 14MZ A1 LOTE 2 - EL  APOLO</t>
  </si>
  <si>
    <t>03BT01-4995 CUOTA 15 MZ A1 LOTE 2 - EL APOLO</t>
  </si>
  <si>
    <t>CUOTA 16 MZ P LOTE 2 APOLO</t>
  </si>
  <si>
    <t>SEPAR.COCHERA 161 CTA. 1 MZ N LT.5 APOLO</t>
  </si>
  <si>
    <t>ADJU. CUOTA  1 MZ N LT 5-APOLO</t>
  </si>
  <si>
    <t>CUOTA 18 MZ N LT 5-APOLO</t>
  </si>
  <si>
    <t>03BB01-418CUOTA 2 COCHERA 161 MZ N LT 5-APOLO</t>
  </si>
  <si>
    <t>03BT01-8798 CREDICONTADO PAGO CUOTA 19 MARZO 2023 POR CONTRATO DE PROMESA DE LA MZ N LT 5 - EL APOLO</t>
  </si>
  <si>
    <t>03BT01-8799 SEPARACION DE COCHERA A CONCRETAR COMPRA N° 161 PAGO CUOTA 3 MARZO 2023 MZ N LT 5 - EL APOLO</t>
  </si>
  <si>
    <t>03BT01-10871 03BT01-10871PAGO CUOTA 20 ABRIL 2023 POR CONTRATO DE PROMESA DE LA MZ N LOTE 5 - EL APOLO</t>
  </si>
  <si>
    <t>03BT01-11031 SEPARACION DE COCHERA A CONCRETAR COMPRA N° 161 CUOTA 4 ABRIL 2023 DE LA MZ N LOTE 5 - EL APOLO</t>
  </si>
  <si>
    <t xml:space="preserve">03BT01-11790 PAGO CUOTA 21 MAYO 2023  POR CONTRATO DE PROMESA DE LA MZ N LOTE 5 - EL APOLO </t>
  </si>
  <si>
    <t xml:space="preserve">03BT01-12919 PAGO CUOTA 22 JUNIO 2023  POR CONTRATO DE PROMESA DE LA MZ N LOTE 5 - EL APOLO </t>
  </si>
  <si>
    <t xml:space="preserve">03BT01-12920 SEPARACION DE COCHERA  N° 161 CUOTA 5 MAYO 2023 DE LA MZ N LOTE 5 - EL APOLO </t>
  </si>
  <si>
    <t xml:space="preserve">03BT01-12921  SEPARACION DE COCHERA A CONCRETAR COMPRA N° 161 CUOTA 6 JUNIO 2023 DE LA MZ N LOTE 5 - EL APOLO </t>
  </si>
  <si>
    <t xml:space="preserve">03BT01-15018 SEPARACION DE COCHERA A CONCRETAR COMPRA N° 161 CUOTA 7 JULIO 2023 DE LA MZ N LOTE 5 - EL APOLO </t>
  </si>
  <si>
    <t xml:space="preserve">03BT01-15019 PAGO CUOTA 23 JULIO 2023 POR CONTRATO DE PROMESA DE LA MZ N LOTE 5 - EL APOLO </t>
  </si>
  <si>
    <t xml:space="preserve">03BT01-16064 PAGO CUOTA 24 AGOSTO 2023 POR CONTRATO DE PROMESA DE LA MZ N LOTE 5 - EL APOLO </t>
  </si>
  <si>
    <t xml:space="preserve">03BT01-17458 SEPARACION DE COCHERA A CONCRETAR COMPRA N° 161 CUOTA 8 AGOSTO 2023 DE LA MZ N LOTE 5 - EL APOLO </t>
  </si>
  <si>
    <t xml:space="preserve">03BT01-17459 SEPARACION DE COCHERA A CONCRETAR COMPRA N° 161 CUOTA 9 SEPT 2023 DE LA MZ N LOTE 5 - EL APOLO </t>
  </si>
  <si>
    <t xml:space="preserve">03BT01-17460 CUOTA 25 SEPTIEMBRE 2023 POR CONTRATO DE PROMESA DE LA MZ N LOTE 5 - EL APOLO </t>
  </si>
  <si>
    <t xml:space="preserve">03BT01-20252 CUOTA 26  MZ N LOTE 5 - EL APOLO </t>
  </si>
  <si>
    <t xml:space="preserve">03BT01-20254 SEPARACION DE COCHERA N° 161 CUOTA 10 OCTUBRE 2023 DE LA MZ N LOTE 5 - EL APOLO </t>
  </si>
  <si>
    <t xml:space="preserve">03BT01-21487 SEPARACION DE COCHERA N° 161 CUOTA 11 NOVIEMBRE 2023 DE LA MZ N LOTE 5 - EL APOLO </t>
  </si>
  <si>
    <t xml:space="preserve">03BT01-21488PAGO CUOTA 27 NOVIEMBRE 2023 CONTRATO DE PROMESA DE LA MZ N LOTE 5 - EL APOLO </t>
  </si>
  <si>
    <t xml:space="preserve">03BT01-22450 SEPARACION DE COCHERA  N° 161 CUOTA 12 DICIEMBRE 2023 DE LA MZ N LOTE 5 - EL APOLO </t>
  </si>
  <si>
    <t xml:space="preserve">03BT01-22451PAGO CUOTA 28 DICIEMBRE 2023 CONTRATO DE PROMESA DE LA MZ N LOTE 5 - EL APOLO </t>
  </si>
  <si>
    <t xml:space="preserve">03BT01-24378 PAGO CUOTA 29 ENERO 2024 TRANSFERENCIA CREDICONTADO POR CONTRATO DE PROMESA DE LA MZ N LOTE 5 - EL APOLO </t>
  </si>
  <si>
    <t xml:space="preserve">03BT01-24379 ABONO POR CONCEPTO DE SEPARACION DE COCHERA A CONCRETAR COMPRA N° 161 CUOTA 13 ENERO 2024 DE LA MZ N LOTE 5 - EL APOLO </t>
  </si>
  <si>
    <t>03BT01-26309 PAGO CUOTA 30 FEBRERO 2024 TRANSFERENCIA CREDICONTADO POR CONTRATO DE PROMESA DE LA MZ N LOTE 5 - EL APOLO</t>
  </si>
  <si>
    <t>03BT01-26311 ABONO POR CONCEPTO DE SEPARACION DE COCHERA A CONCRETAR COMPRA N° 161 CUOTA 14 FEBRERO 2024 DE LA MZ N LOTE 5 - EL APOLO</t>
  </si>
  <si>
    <t>03BT01-26839ABONO POR CONCEPTO DE SEPARACION DE COCHERA A CONCRETAR COMPRA N° 161 CUOTA 15 MARZO 2024 DE LA MZ N LOTE 5 - EL APOLO</t>
  </si>
  <si>
    <t>03BT01-27181PAGO CUOTA 31 MARZO 2024 TRANSFERENCIA CREDICONTADO POR CONTRATO DE PROMESA DE LA MZ N LOTE 5 - EL APOLO</t>
  </si>
  <si>
    <t>03BT01-28916ABONO POR CONCEPTO DE SEPARACION DE COCHERA A CONCRETAR COMPRA N° 161 CUOTA 16 ABRIL 2024 DE LA MZ N LOTE 5 - EL APOLO</t>
  </si>
  <si>
    <t>03BT01-31233PAGO CUOTA 32 ABRIL 2024 TRANSFERENCIA CREDICONTADO POR CONTRATO DE PROMESA DE LA MZ N LOTE 5 - EL APOLO</t>
  </si>
  <si>
    <t>03BT01-31253PAGO CUOTA 33 MAYO 2024 TRANSFERENCIA CREDICONTADO POR CONTRATO DE PROMESA DE LA MZ N LOTE 5 - EL APOLO</t>
  </si>
  <si>
    <t>03BT01-31254ABONO POR CONCEPTO DE SEPARACION DE COCHERA A CONCRETAR COMPRA N° 161 CUOTA 17 MAYO 2024 DE LA MZ N LOTE 5 - EL APOLO</t>
  </si>
  <si>
    <t>03BT01-32784PAGO CUOTA 34 JUNIO 2024 TRANSFERENCIA CREDICONTADO POR CONTRATO DE PROMESA DE LA MZ N LOTE 5 - EL APOLO</t>
  </si>
  <si>
    <t>03BT01-32785ABONO POR CONCEPTO DE SEPARACION DE COCHERA A CONCRETAR COMPRA N° 161 CUOTA 18 JUNIO 2024 DE LA MZ N LOTE 5 - EL APOLO</t>
  </si>
  <si>
    <t>03BT01-34820PAGO CUOTA 35 JULIO 2024 TRANSFERENCIA CREDICONTADO POR CONTRATO DE PROMESA DE LA MZ N LOTE 5 - EL APOLO</t>
  </si>
  <si>
    <t>03BT01-35893PAGO CUOTA 36 AGOSTO 2024 TRANSFERENCIA CREDICONTADO POR CONTRATO DE PROMESA DE LA MZ N LOTE 5 - EL APOLO</t>
  </si>
  <si>
    <t>03BT01-35894ABONO POR CONCEPTO DE SEPARACION DE COCHERA A CONCRETAR COMPRA N° 161 CUOTA 19 JULIO 2024 DE LA MZ N LOTE 5 - EL APOLO</t>
  </si>
  <si>
    <t>03BT01-35895ABONO POR CONCEPTO DE SEPARACION DE COCHERA A CONCRETAR COMPRA N° 161 CUOTA 20 AGOSTO 2024 DE LA MZ N LOTE 5 - EL APOLO</t>
  </si>
  <si>
    <t>03BT01-37948 ABONO POR CONCEPTO DE SEPARACION DE COCHERA A CONCRETAR COMPRA N° 161 CUOTA 21 SEPTIEMBRE 2024 DE LA MZ N LOTE 5 - EL APOLO</t>
  </si>
  <si>
    <t>03BT01-37950 PAGO CUOTA 37 SEPTIEMBRE 2024 TRANSFERENCIA CREDICONTADO POR CONTRATO DE PROMESA DE LA MZ N LOTE 5 - EL APOLO</t>
  </si>
  <si>
    <t>03BT01-39165 PAGO CUOTA 38 OCTUBRE 2024 TRANSFERENCIA CREDICONTADO POR CONTRATO DE PROMESA DE LA MZ N LOTE 5 - EL APOLO</t>
  </si>
  <si>
    <t>03BT01-39166 ABONO POR CONCEPTO DE SEPARACION DE COCHERA A CONCRETAR COMPRA N° 161 CUOTA 22 OCTUBRE 2024 DE LA MZ N LOTE 5 - EL APOLO</t>
  </si>
  <si>
    <t>03BT01-40638 PAGO CUOTA 39 NOVIEMBRE 2024 TRANSFERENCIA CREDICONTADO POR CONTRATO DE PROMESA DE LA MZ N LOTE 5 - EL APOLO</t>
  </si>
  <si>
    <t>03BT01-40639 ABONO POR CONCEPTO DE SEPARACION DE COCHERA A CONCRETAR COMPRA N° 161 CUOTA 23 NOVIEMBRE 2024 DE LA MZ N LOTE 5 - EL APOLO</t>
  </si>
  <si>
    <t xml:space="preserve">03BT01-42871 PAGO CUOTA 40 DICIEMBRE 2024 TRANSFERENCIA CREDICONTADO POR CONTRATO DE PROMESA DE LA MZ N LOTE 5 - EL APOLO </t>
  </si>
  <si>
    <t xml:space="preserve">03BT01-42872 ABONO POR CONCEPTO DE SEPARACION DE COCHERA A CONCRETAR COMPRA N° 161 CUOTA 24 DICIEMBRE 2024 DE LA MZ N LOTE 5 - EL APOLO </t>
  </si>
  <si>
    <t>03BT01-44290 PAGO CUOTA 41 ENERO 2025 TRANSFERENCIA CREDICONTADO POR CONTRATO DE PROMESA DE LA MZ N LOTE 5 - EL APOLO</t>
  </si>
  <si>
    <t>03BT01-44291 ABONO POR CONCEPTO DE SEPARACION DE COCHERA A CONCRETAR COMPRA N° 161 CUOTA 25 ENERO 2025 DE LA MZ N LOTE 5 - EL APOLO</t>
  </si>
  <si>
    <t>03BT01-45310 PAGO CUOTA 42 FEBRERO 2025 TRANSFERENCIA CREDICONTADO POR CONTRATO DE PROMESA DE LA MZ N LOTE 5 - EL APOLO</t>
  </si>
  <si>
    <t>03BT01-45328 ABONO POR CONCEPTO DE SEPARACION DE COCHERA A CONCRETAR COMPRA N° 161 CUOTA 26 FEBRERO 2025 DE LA MZ N LOTE 5 - EL APOLO</t>
  </si>
  <si>
    <t>03BT01-47544 PAGO CUOTA 43 MARZO 2025 TRANSFERENCIA CREDICONTADO POR CONTRATO DE PROMESA DE LA MZ N LOTE 5 - EL APOLO</t>
  </si>
  <si>
    <t>03BT01-47545 ABONO POR CONCEPTO DE SEPARACION DE COCHERA A CONCRETAR COMPRA N° 161 CUOTA 27 MARZO 2025 DE LA MZ N LOTE 5 - EL APOLO</t>
  </si>
  <si>
    <t xml:space="preserve">03BT01-49288 PAGO CUOTA 44 ABRIL 2025 TRANSFERENCIA CREDICONTADO POR CONTRATO DE PROMESA DE LA MZ N LOTE 5 - EL APOLO </t>
  </si>
  <si>
    <t xml:space="preserve">03BT01-49289 ABONO POR CONCEPTO DE SEPARACION DE COCHERA A CONCRETAR COMPRA N° 161 CUOTA 28 ABRIL 2025 DE LA MZ N LOTE 5 - EL APOLO </t>
  </si>
  <si>
    <t>03BT01-50287 ABONO POR CONCEPTO DE SEPARACION DE COCHERA A CONCRETAR COMPRA N° 161 CUOTA 29 MAYO 2025 DE LA MZ N LOTE 5 - EL APOLO</t>
  </si>
  <si>
    <t>03BT01-50288 PAGO CUOTA 45 MAYO 2025 TRANSFERENCIA CREDICONTADO POR CONTRATO DE PROMESA DE LA MZ N LOTE 5 - EL APOLO</t>
  </si>
  <si>
    <t>03BT01-52418 PAGO CUOTA 46 JUNIO 2025 TRANSFERENCIA CREDICONTADO POR CONTRATO DE PROMESA DE LA MZ N LOTE 5 - EL APOLO</t>
  </si>
  <si>
    <t>03BT01-52419 ABONO POR CONCEPTO DE SEPARACION DE COCHERA A CONCRETAR COMPRA N° 161 CUOTA 30 JUNIO 2025 DE LA MZ N LOTE 5 - EL APOLO</t>
  </si>
  <si>
    <t xml:space="preserve">03BT01-53481 ABONO POR CONCEPTO DE SEPARACION DE COCHERA A CONCRETAR COMPRA N° 161 CUOTA 31 JULIO 2025 DE LA MZ N LOTE 5 - EL APOLO </t>
  </si>
  <si>
    <t xml:space="preserve">03BT01-53482 PAGO CUOTA 47 JULIO 2025 TRANSFERENCIA CREDICONTADO POR CONTRATO DE PROMESA DE LA MZ N LOTE 5 - EL APOLO </t>
  </si>
  <si>
    <t xml:space="preserve">03BT01-55406 PAGO CUOTA 48 AGOSTO 2025 TRANSFERENCIA CREDICONTADO POR CONTRATO DE PROMESA DE LA MZ N LOTE 5 - EL APOLO </t>
  </si>
  <si>
    <t xml:space="preserve">03BT01-55407 ABONO POR CONCEPTO DE SEPARACION DE COCHERA A CONCRETAR COMPRA N° 161 CUOTA 32 AGOSTO 2025 DE LA MZ N LOTE 5 - EL APOLO </t>
  </si>
  <si>
    <t>03BT01-56774 PAGO CUOTA 49 SEPTIEMBRE 2025 TRANSFERENCIA CREDICONTADO POR CONTRATO DE PROMESA DE LA MZ N LOTE 5 - EL APOLO</t>
  </si>
  <si>
    <t>03BT01-56775 ABONO POR CONCEPTO DE SEPARACION DE COCHERA A CONCRETAR COMPRA N° 161 CUOTA 33 SEPTIEMBRE 2025 DE LA MZ N LOTE 5 - EL APOLO</t>
  </si>
  <si>
    <t>BT01-8799</t>
  </si>
  <si>
    <t>BT01-15018</t>
  </si>
  <si>
    <t>BT01-17458</t>
  </si>
  <si>
    <t>BT01-17459</t>
  </si>
  <si>
    <t>BT01-20254</t>
  </si>
  <si>
    <t>BT01-21487</t>
  </si>
  <si>
    <t>BT01-22450</t>
  </si>
  <si>
    <t>BT01-24379</t>
  </si>
  <si>
    <t>BT01-26311</t>
  </si>
  <si>
    <t>BT01-26839</t>
  </si>
  <si>
    <t>BT01-28916</t>
  </si>
  <si>
    <t>BT01-31254</t>
  </si>
  <si>
    <t>BT01-32785</t>
  </si>
  <si>
    <t>BT01-35894</t>
  </si>
  <si>
    <t>BT01-35895</t>
  </si>
  <si>
    <t>BT01-37948</t>
  </si>
  <si>
    <t>BT01-39166</t>
  </si>
  <si>
    <t>BT01-40639</t>
  </si>
  <si>
    <t>BT01-42872</t>
  </si>
  <si>
    <t>BT01-44291</t>
  </si>
  <si>
    <t>BT01-45328</t>
  </si>
  <si>
    <t>BT01-47545</t>
  </si>
  <si>
    <t>BT01-49289</t>
  </si>
  <si>
    <t>BT01-50287</t>
  </si>
  <si>
    <t>BT01-52419</t>
  </si>
  <si>
    <t>BT01-53481</t>
  </si>
  <si>
    <t>BT01-55407</t>
  </si>
  <si>
    <t>BT01-56775</t>
  </si>
  <si>
    <t>EB01-5249</t>
  </si>
  <si>
    <t>BT01-15019</t>
  </si>
  <si>
    <t>BT01-16064</t>
  </si>
  <si>
    <t>BT01-17460</t>
  </si>
  <si>
    <t>BT01-20252</t>
  </si>
  <si>
    <t>BT01-21488</t>
  </si>
  <si>
    <t>BT01-22451</t>
  </si>
  <si>
    <t>BT01-24378</t>
  </si>
  <si>
    <t>BT01-26309</t>
  </si>
  <si>
    <t>BT01-27181</t>
  </si>
  <si>
    <t>BT01-31233</t>
  </si>
  <si>
    <t>BT01-31253</t>
  </si>
  <si>
    <t>BT01-32784</t>
  </si>
  <si>
    <t>BT01-34820</t>
  </si>
  <si>
    <t>BT01-35893</t>
  </si>
  <si>
    <t>BT01-37950</t>
  </si>
  <si>
    <t>BT01-39165</t>
  </si>
  <si>
    <t>BT01-40638</t>
  </si>
  <si>
    <t>BT01-42871</t>
  </si>
  <si>
    <t>BT01-44290</t>
  </si>
  <si>
    <t>BT01-45310</t>
  </si>
  <si>
    <t>BT01-47544</t>
  </si>
  <si>
    <t>BT01-49288</t>
  </si>
  <si>
    <t>BT01-50288</t>
  </si>
  <si>
    <t>BT01-52418</t>
  </si>
  <si>
    <t>BT01-53482</t>
  </si>
  <si>
    <t>BT01-55406</t>
  </si>
  <si>
    <t>BT01-56774</t>
  </si>
  <si>
    <t xml:space="preserve">
6332</t>
  </si>
  <si>
    <t>Confirmar</t>
  </si>
  <si>
    <t>03EB01-5273 SEPARACION DE CUOTA INICIAL PARA ADJUDICACION MZ H LT 12 APOLO</t>
  </si>
  <si>
    <t>03EB01-5336 CUOTA INICIAL MZ H LT 12-APOLO</t>
  </si>
  <si>
    <t>03EB01-6271 CUOTA 1 MZ. H LOTE 12 - EL APOLO</t>
  </si>
  <si>
    <t>03EB01-7505 CUOTA 2 MAYO 2022 POR CONTRATO DE PROMESA DE LA MZ. H LOTE 12 - EL APOLO</t>
  </si>
  <si>
    <t>03EB01-9267 CUOTA 3 MZ H LT 12-APOLO</t>
  </si>
  <si>
    <t>03BT01-585 CUOTA 3  MZ H LOTE 12 - EL APOLO</t>
  </si>
  <si>
    <t>03BT01-1298 CUOTA 4  MZ H LOTE 12 - EL APOLO</t>
  </si>
  <si>
    <t>EB01-5273</t>
  </si>
  <si>
    <t>EB01-5336</t>
  </si>
  <si>
    <t>EB01-6271</t>
  </si>
  <si>
    <t>EB01-7505</t>
  </si>
  <si>
    <t>EB01-9267</t>
  </si>
  <si>
    <t>BT01-585</t>
  </si>
  <si>
    <t>BT01-1298</t>
  </si>
  <si>
    <t>03EB01-5159 PAGO CUOTA 1 ENERO 2022 MZ I LOTE 14 - APOLO</t>
  </si>
  <si>
    <t>03EB01-5678 CUOTA 2 MZ I LT 14-APOLO</t>
  </si>
  <si>
    <t>03EB01-6048 CUOTA 3 MZ I LT 14-APOLO</t>
  </si>
  <si>
    <t>03EB01-6885 CUOTA 4 CONTRATO DE PROMESA DE LA MZ. I LOTE 14 - EL APOLO</t>
  </si>
  <si>
    <t>03EB01-7975 CUOTA 5 MAYO 2022  POR CONTRATO DE PROMESA DE LA MZ. I LOTE 14 - EL APOLO</t>
  </si>
  <si>
    <t>03EB01-8924 CUOTA 6 MZ I LT 14 - EL APOLO</t>
  </si>
  <si>
    <t>03BC01-57 CUOTA 7  MZ I LOTE 14 - APOLO</t>
  </si>
  <si>
    <t>03BT01-1459 CUOTA 8 MZ I LOTE 14 - EL APOLO</t>
  </si>
  <si>
    <t>03BT01-2647 CUOTA 9  MZ I LOTE 14 - EL APOLO</t>
  </si>
  <si>
    <t>03BT01-3599 CUOTA 10MZ I LOTE 14 - EL APOLO</t>
  </si>
  <si>
    <t>03BT01-5466 CUOTA 11 MZ I LOTE 14 - EL APOLO</t>
  </si>
  <si>
    <t>03BT01-5467 CUOTA 12 MZ I LOTE 14 - EL APOLO</t>
  </si>
  <si>
    <t>IMPORTE $</t>
  </si>
  <si>
    <t>IMPORTE S/</t>
  </si>
  <si>
    <t>EB01-3249</t>
  </si>
  <si>
    <t>03EB01-3249 CANCELACION CUOTA INICIAL MZ I LT 14 APOLO CONDOMINIO</t>
  </si>
  <si>
    <t>03EB01-3250 CANCELACION CUOTA INICIAL POR CONTRATO DE PROMESA MZ I LT 14 APOLO</t>
  </si>
  <si>
    <t>03EB01-3251 CANCELACION DE ESTACIONAMIENTO NRO. 219 APOLO</t>
  </si>
  <si>
    <t>03EB01-3252 CANCELACION ESTACIONAMIENTO NRO 220 APOLO</t>
  </si>
  <si>
    <t>03EB01-5380 CUOTA INICIAL MZ B LT 1-APOLO</t>
  </si>
  <si>
    <t>03EB01-6991 CUOTA 1 ABRIL 2022 TRANSFERENCIA DE CREDICONTADO POR CONTRATO DE PROMESA DE LA MZ. B LOTE 1 - APOLO</t>
  </si>
  <si>
    <t>03EB01-8221 CUOTA 2 MZ B LT 1 - EL APOLO</t>
  </si>
  <si>
    <t>03BT01-1110 CUOTA 3  MZ B LOTE 1 - EL APOLO</t>
  </si>
  <si>
    <t>03BT01-1125 03BT01-1125CUOTA 4  MZ B LOTE 1 - EL APOLO</t>
  </si>
  <si>
    <t>EB01-6991</t>
  </si>
  <si>
    <t>03BT01-9078 CREDICONTADO PAGO CUOTA 5 FEBRERO 2023  POR CONTRATO DE PROMESA DE LA MZ C LT 1  - EL APOLO</t>
  </si>
  <si>
    <t>03BT01-9936 CREDICONTADO PAGO CUOTA 6 MARZO 2023 POR CONTRATO DE PROMESA DE LA MZ C LT 1 - APOLO</t>
  </si>
  <si>
    <t xml:space="preserve">03BT01-11395 PAGO CUOTA 7 ABRIL 2023 POR CONTRATO DE PROMESA DE LA MZ C LOTE 1 - EL APOLO </t>
  </si>
  <si>
    <t xml:space="preserve">03BT01-12773 PAGO CUOTA 8 MAYO 2023 POR CONTRATO DE PROMESA DE LA MZ C LOTE 1 - EL APOLO </t>
  </si>
  <si>
    <t xml:space="preserve">03BT01-14903 PAGO CUOTA 9 JUNIO 2023 POR CONTRATO DE PROMESA DE LA MZ C LOTE 1 - EL APOLO </t>
  </si>
  <si>
    <t xml:space="preserve">03BT01-16053 PAGO CUOTA 11 JULIO 2023 TRANSFERENCIA CREDICONTADO PAGO CUOTA C LOTE 1 - EL APOLO </t>
  </si>
  <si>
    <t xml:space="preserve">03BT01-17878 PAGO CUOTA 11 AGOSTO 2023 POR CONTRATO DE PROMESA DE LA MZ C LOTE 1 - EL APOLO </t>
  </si>
  <si>
    <t xml:space="preserve">03BT01-19145 CUOTA 12 SEPTIEMBRE 2023  MZ C LOTE 1 - EL APOLO </t>
  </si>
  <si>
    <t xml:space="preserve">03BT01-21207PAGO CUOTA 13 NOVIEMBRE 2023 CONTRATO DE PROMESA DE LA MZ C LOTE 1 - EL APOLO </t>
  </si>
  <si>
    <t>BT01-9078</t>
  </si>
  <si>
    <t>BT01-9936</t>
  </si>
  <si>
    <t>BT01-11395</t>
  </si>
  <si>
    <t>BT01-12773</t>
  </si>
  <si>
    <t>BT01-14903</t>
  </si>
  <si>
    <t>BT01-16053</t>
  </si>
  <si>
    <t>BT01-17878</t>
  </si>
  <si>
    <t>BT01-19145</t>
  </si>
  <si>
    <t>BT01-21207</t>
  </si>
  <si>
    <t>BT01-24388</t>
  </si>
  <si>
    <t>BT01-25313</t>
  </si>
  <si>
    <t xml:space="preserve">03BT01-24388 PAGO CUOTA 15 DICIEMBRE 2023 TRANSFERENCIA CREDICONTADO POR CONTRATO DE PROMESA DE LA MZ C LOTE 1 - EL APOLO </t>
  </si>
  <si>
    <t>03BT01-25313 PAGO CUOTA 16 ENERO 2024 TRANSFERENCIA CREDICONTADO POR CONTRATO DE PROMESA DE LA MZ C LOTE 1 - EL APOLO</t>
  </si>
  <si>
    <t>BT01-10904</t>
  </si>
  <si>
    <t>BT01-10905</t>
  </si>
  <si>
    <t>BT01-10906</t>
  </si>
  <si>
    <t>BT01-14780</t>
  </si>
  <si>
    <t>BT01-15908</t>
  </si>
  <si>
    <t>BT01-17936</t>
  </si>
  <si>
    <t>BT01-19772</t>
  </si>
  <si>
    <t>BT01-21080</t>
  </si>
  <si>
    <t>BT01-22447</t>
  </si>
  <si>
    <t>03BT01-10904 CANCELACION CUOTA INICIAL POR COMPRA Y VENTA DE LA MZ G LT 10</t>
  </si>
  <si>
    <t>03BT01-10905 CANCELACION CUOTA 1 ABRIL 2023 POR COMPRA Y VENTA MZ G LOTE 10 - APOLO</t>
  </si>
  <si>
    <t>03BT01-10906 CANCELACION DE TRANSFERENCIA DE POSESION DE LA COCHERA N° 61 - APOLO</t>
  </si>
  <si>
    <t xml:space="preserve">03BT01-14780 PAGO CUOTA 1 JULIO 2023  POR CONTRATO DE PROMESA DE LA MZ G LOTE 10 - EL APOLO </t>
  </si>
  <si>
    <t xml:space="preserve">03BT01-15908 PAGO CUOTA 2 AGOSTO 2023 POR CONTRATO DE PROMESA DE LA MZ G LOTE 10 - EL APOLO </t>
  </si>
  <si>
    <t xml:space="preserve">03BT01-17936 PAGO CUOTA 3 SETIEMBRE 2023 POR CONTRATO DE PROMESA DE LA MZ G LOTE 10 - EL APOLO </t>
  </si>
  <si>
    <t xml:space="preserve">03BT01-19772 CUOTA 4  MZ G LOTE 10 - EL APOLO </t>
  </si>
  <si>
    <t xml:space="preserve">03BT01-21080PAGO CUOTA 5 NOVIEMBRE 2023 CONTRATO DE PROMESA DE LA MZ G LOTE 10 - EL APOLO </t>
  </si>
  <si>
    <t xml:space="preserve">03BT01-22447PAGO CUOTA 6 DICIEMBRE 2023 CONTRATO DE PROMESA DE LA MZ G LOTE 10 - EL APOLO </t>
  </si>
  <si>
    <t>BT01-24389</t>
  </si>
  <si>
    <t>BT01-25912</t>
  </si>
  <si>
    <t>BT01-28153</t>
  </si>
  <si>
    <t>BT01-29621</t>
  </si>
  <si>
    <t>BT01-30794</t>
  </si>
  <si>
    <t>BT01-32555</t>
  </si>
  <si>
    <t>BT01-34297</t>
  </si>
  <si>
    <t>BT01-36171</t>
  </si>
  <si>
    <t>BT01-37796</t>
  </si>
  <si>
    <t>BT01-39589</t>
  </si>
  <si>
    <t>BT01-40896</t>
  </si>
  <si>
    <t>BT01-42508</t>
  </si>
  <si>
    <t xml:space="preserve">03BT01-24389 PAGO CUOTA 7 ENERO 2025 TRANSFERENCIA CREDICONTADO POR CONTRATO DE PROMESA DE LA MZ G LOTE 10 - EL APOLO </t>
  </si>
  <si>
    <t>03BT01-25912 PAGO CUOTA 8 FEBRERO 2024 TRANSFERENCIA CREDICONTADO POR CONTRATO DE PROMESA DE LA MZ G LOTE 10 - EL APOLO</t>
  </si>
  <si>
    <t>03BT01-28153PAGO CUOTA 12 MARZO 2024 PARA LA ADJUDICACION DE LA MZ G LOTE 1 - EL OLIVAR</t>
  </si>
  <si>
    <t>03BT01-29621PAGO CUOTA 10 ABRIL 2025 TRANSFERENCIA CREDICONTADO POR CONTRATO DE PROMESA DE LA MZ G LOTE 10 - EL APOLO</t>
  </si>
  <si>
    <t>03BT01-30794PAGO CUOTA 11 MAYO 2024 TRANSFERENCIA CREDICONTADO POR CONTRATO DE PROMESA DE LA MZ G LOTE 10 - EL APOLO</t>
  </si>
  <si>
    <t>03BT01-32555PAGO CUOTA 12 JUNIO 2024 TRANSFERENCIA CREDICONTADO POR CONTRATO DE PROMESA DE LA MZ G LOTE 10 - EL APOLO</t>
  </si>
  <si>
    <t>03BT01-34297PAGO CUOTA 13 JULIO 2024 TRANSFERENCIA CREDICONTADO POR CONTRATO DE PROMESA DE LA MZ G LOTE 10 - EL APOLO</t>
  </si>
  <si>
    <t>03BT01-36171PAGO CUOTA 14 AGOSTO 2024 TRANSFERENCIA CREDICONTADO POR CONTRATO DE PROMESA DE LA MZ G LOTE 10 - EL APOLO</t>
  </si>
  <si>
    <t>03BT01-37796 PAGO CUOTA 15 SEPTIEMBRE 2024 TRANSFERENCIA CREDICONTADO POR CONTRATO DE PROMESA DE LA MZ G LOTE 10 - EL APOLO</t>
  </si>
  <si>
    <t>03BT01-39589 PAGO CUOTA 16 OCTUBRE 2024 TRANSFERENCIA CREDICONTADO POR CONTRATO DE PROMESA DE LA MZ G LOTE 10 - EL APOLO</t>
  </si>
  <si>
    <t>03BT01-40896 PAGO CUOTA 17 NOVIEMBRE 2024 TRANSFERENCIA CREDICONTADO POR CONTRATO DE PROMESA DE LA MZ G LOTE 10 - EL APOLO</t>
  </si>
  <si>
    <t xml:space="preserve">03BT01-42508 PAGO CUOTA 18 DICIEMBRE 2024 TRANSFERENCIA CREDICONTADO POR CONTRATO DE PROMESA DE LA MZ G LOTE 10 - EL APOLO </t>
  </si>
  <si>
    <t>BT01-44579</t>
  </si>
  <si>
    <t>BT01-45731</t>
  </si>
  <si>
    <t>BT01-47214</t>
  </si>
  <si>
    <t>BT01-49297</t>
  </si>
  <si>
    <t>BT01-50523</t>
  </si>
  <si>
    <t>BT01-51995</t>
  </si>
  <si>
    <t>BT01-52375</t>
  </si>
  <si>
    <t>BT01-54914</t>
  </si>
  <si>
    <t>BT01-56315</t>
  </si>
  <si>
    <t>BT01-56826</t>
  </si>
  <si>
    <t>BT01-56859</t>
  </si>
  <si>
    <t>BT01-56906</t>
  </si>
  <si>
    <t>BT01-56913</t>
  </si>
  <si>
    <t>03BT01-44579 PAGO CUOTA 19 ENERO 2025 TRANSFERENCIA CREDICONTADO POR CONTRATO DE PROMESA DE LA MZ G LOTE 10 - EL APOLO</t>
  </si>
  <si>
    <t>03BT01-45731 PAGO CUOTA 20 FEBRERO 2025 TRANSFERENCIA CREDICONTADO POR CONTRATO DE PROMESA DE LA MZ G LOTE 10 - EL APOLO</t>
  </si>
  <si>
    <t>03BT01-47214 PAGO CUOTA 21 MARZO 2025 TRANSFERENCIA CREDICONTADO POR CONTRATO DE PROMESA DE LA MZ G LOTE 10 - EL APOLO</t>
  </si>
  <si>
    <t xml:space="preserve">03BT01-49297 PAGO CUOTA 22 ABRIL 2025 TRANSFERENCIA CREDICONTADO POR CONTRATO DE PROMESA DE LA MZ G LOTE 10 - EL APOLO </t>
  </si>
  <si>
    <t>03BT01-50523 PAGO CUOTA 23 MAYO 2025 TRANSFERENCIA CREDICONTADO POR CONTRATO DE PROMESA DE LA MZ G LOTE 10 - EL APOLO</t>
  </si>
  <si>
    <t>03BT01-51995 PAGO CUOTA 24 JUNIO 2025 TRANSFERENCIA CREDICONTADO POR CONTRATO DE PROMESA DE LA MZ G LOTE 10 - EL APOLO</t>
  </si>
  <si>
    <t>03BT01-52375 PAGO CUOTA 25 JULIO 2025 TRANSFERENCIA CREDICONTADO POR CONTRATO DE PROMESA DE LA MZ G LOTE 10 - EL APOLO</t>
  </si>
  <si>
    <t xml:space="preserve">03BT01-54914 PAGO CUOTA 26 AGOSTO 2025 TRANSFERENCIA CREDICONTADO POR CONTRATO DE PROMESA DE LA MZ G LOTE 10 - EL APOLO </t>
  </si>
  <si>
    <t>03BT01-56315 PAGO CUOTA 27 SEPTIEMBRE 2025 TRANSFERENCIA CREDICONTADO POR CONTRATO DE PROMESA DE LA MZ G LOTE 10 - EL APOLO</t>
  </si>
  <si>
    <t>03BT01-56826 PAGO CUENTA 27 POR LA TRANSFERENCIA CREDICONTADO POR CONTRATO DE PROMESA DE LA MZ G LOTE 10 - EL APOLO</t>
  </si>
  <si>
    <t>03BT01-56859 PAGO CUENTA  DE LA TRANSFERENCIA CREDICONTADO POR CONTRATO DE PROMESA DE LA MZ G LOTE 10 - EL APOLO</t>
  </si>
  <si>
    <t>03BT01-56906 PAGO CUENTA DE LA TRANSFERENCIA CREDICONTADO POR CONTRATO DE PROMESA DE LA MZ G LOTE 10 - EL APOLO</t>
  </si>
  <si>
    <t>03BT01-56913 CANCELACION TOTAL POR LA TRANSFERENCIA CREDICONTADO POR CONTRATO DE PROMESA DE LA MZ G LOTE 10 - EL APOLO</t>
  </si>
  <si>
    <t>03EB01-5046 CANCELACION CUOTA INICIAL MZ B LOTE 12 - APOLO</t>
  </si>
  <si>
    <t>03EB01-5732 CUOTA 1 MZ B LT 12-APOLO</t>
  </si>
  <si>
    <t>03EB01-6125 CUOTA 2 MZ B LT 12-APOLO</t>
  </si>
  <si>
    <t>03EB01-7115 CUOTA 3 ABRIL 2022 POR CONTRATO DE PROMESA DE LA MZ. B LOTE 12 - EL APOLO</t>
  </si>
  <si>
    <t>03EB01-8062 CUOTA 4 MAYO 2022  POR CONTRATO DE PROMESA DE LA MZ. B LOTE 12 - EL APOLO</t>
  </si>
  <si>
    <t>03EB01-9081 CUOTA 5 MZ B LT 12 - EL APOLO</t>
  </si>
  <si>
    <t>03BT01-439 CUOTA 6  MZ. B LOTE 12 - EL APOLO</t>
  </si>
  <si>
    <t>03BT01-1460 CUOTA 7 MZ B LOTE 12 - EL APOLO</t>
  </si>
  <si>
    <t>03BT01-2577 CUOTA 8 MZ B LOTE 12 - EL APOLO</t>
  </si>
  <si>
    <t>BT01-24158</t>
  </si>
  <si>
    <t>BT01-24159</t>
  </si>
  <si>
    <t>BT01-26011</t>
  </si>
  <si>
    <t>BT01-26012</t>
  </si>
  <si>
    <t>BT01-26833</t>
  </si>
  <si>
    <t>BT01-26834</t>
  </si>
  <si>
    <t>BT01-29490</t>
  </si>
  <si>
    <t>BT01-29491</t>
  </si>
  <si>
    <t>BT01-32360</t>
  </si>
  <si>
    <t>BT01-32361</t>
  </si>
  <si>
    <t>BT01-34701</t>
  </si>
  <si>
    <t>BT01-34702</t>
  </si>
  <si>
    <t>BT01-38720</t>
  </si>
  <si>
    <t>BT01-38721</t>
  </si>
  <si>
    <t>BT01-38722</t>
  </si>
  <si>
    <t>BT01-38723</t>
  </si>
  <si>
    <t>BT01-38724</t>
  </si>
  <si>
    <t>BT01-38725</t>
  </si>
  <si>
    <t>BT01-42410</t>
  </si>
  <si>
    <t>BT01-42411</t>
  </si>
  <si>
    <t>BT01-42412</t>
  </si>
  <si>
    <t>BT01-42413</t>
  </si>
  <si>
    <t>BT01-10050</t>
  </si>
  <si>
    <t>BT01-10053</t>
  </si>
  <si>
    <t>BT01-11423</t>
  </si>
  <si>
    <t>BT01-11424</t>
  </si>
  <si>
    <t>BT01-12880</t>
  </si>
  <si>
    <t>BT01-12881</t>
  </si>
  <si>
    <t>BT01-14277</t>
  </si>
  <si>
    <t>BT01-14278</t>
  </si>
  <si>
    <t>BT01-15907</t>
  </si>
  <si>
    <t>BT01-16059</t>
  </si>
  <si>
    <t>BT01-17284</t>
  </si>
  <si>
    <t>BT01-17285</t>
  </si>
  <si>
    <t>BT01-18892</t>
  </si>
  <si>
    <t>BT01-18893</t>
  </si>
  <si>
    <t>BT01-20632</t>
  </si>
  <si>
    <t>BT01-20633</t>
  </si>
  <si>
    <t>BT01-22448</t>
  </si>
  <si>
    <t>BT01-22449</t>
  </si>
  <si>
    <t>CUOTA 9 MZ D LOTE 2 APOLO</t>
  </si>
  <si>
    <t>03BT01-8542 SEPARACION DE COCHERA A CONCRETAR COMPRA N°25 CUOTA 1 FEBRERO 2023 DE LA MZ D LOTE 2- EL APOLO.</t>
  </si>
  <si>
    <t>03BT01-8543 CUOTA 10 FEBRERO 2023 POR CONTRATO DE PROMESA DE LA MZ D LOTE 2- EL APOLO</t>
  </si>
  <si>
    <t>03BT01-10050 03BT01-10050SEPARACION DE COCHERA  N° 25 CUOTA 2 MARZO 2023 DE LA MZ D LOTE 2 - EL APOLO</t>
  </si>
  <si>
    <t>03BT01-10053 03BT01-10053PAGO CUOTA 11 MARZO 2023 POR CONTRATO DE PROMESA DE LA MZ D LOTE 2 - EL APOLO</t>
  </si>
  <si>
    <t xml:space="preserve">03BT01-11423 SEPARACION DE COCHERA  N° 25 PAGO CUOTA 3 ABRIL 2023 DE LA MZ D LOTE 2 - EL APOLO </t>
  </si>
  <si>
    <t xml:space="preserve">03BT01-11424 PAGO CUOTA 12 ABRIL 2023 POR CONTRATO DE PROMESA DE LA MZ D LOTE 2 - EL APOLO </t>
  </si>
  <si>
    <t xml:space="preserve">03BT01-12880 PAGO CUOTA 13 MAYO 2023  POR CONTRATO DE PROMESA DE LA MZ D LOTE 2 - EL APOLO </t>
  </si>
  <si>
    <t xml:space="preserve">03BT01-12881 CUOTA 4 MAYO 2023 SEPARACION DE COCHERA N° 25 DE LA MZ D LOTE 2 - EL APOLO </t>
  </si>
  <si>
    <t xml:space="preserve">03BT01-14277 PAGO CUOTA 14 JUNIO 2023 POR CONTRATO DE PROMESA DE LA MZ D LOTE 2 - EL APOLO </t>
  </si>
  <si>
    <t xml:space="preserve">03BT01-14278 PAGO CUOTA 5 JUNIO 2023SEPARACION DE COCHERA N° 25 DE LA MZ D LOTE 2 - EL APOLO </t>
  </si>
  <si>
    <t xml:space="preserve">03BT01-15907 PAGO CUOTA 15 JULIO 2023 POR CONTRATO DE PROMESA DE LA MZ D LOTE 2 - EL APOLO </t>
  </si>
  <si>
    <t xml:space="preserve">03BT01-16059 CUOTA 6 JULIO 2023 SEPARACION DE COCHERA A CONCRETAR COMPRA N 25 DE LA MZ D LOTE 2 - EL APOLO </t>
  </si>
  <si>
    <t xml:space="preserve">03BT01-17284 PAGO CUOTA 16 AGOSTO 2023  POR CONTRATO DE PROMESA DE LA MZ D LOTE 2 - EL APOLO </t>
  </si>
  <si>
    <t xml:space="preserve">03BT01-17285 CUOTA 7 AGOSTO 2023 SEPARACION DE COCHERA A CONCRETAR COMPRA N 25 DE LA MZ D LOTE 2 - EL APOLO </t>
  </si>
  <si>
    <t xml:space="preserve">03BT01-18892 SEPARACION DE COCHERA N 25 CUOTA 8 SEPTIEMBRE 2023  DE LA MZ D LOTE 2 - EL APOLO </t>
  </si>
  <si>
    <t xml:space="preserve">03BT01-18893 PAGO CUOTA 17 SEPTIEMBRE 2023  DE LA MZ D LOTE 2 - EL APOLO </t>
  </si>
  <si>
    <t xml:space="preserve">03BT01-20632PAGO CUOTA 18 OCTUBRE 2023  CONTRATO DE PROMESA DE LA MZ D LOTE 2 - EL APOLO </t>
  </si>
  <si>
    <t xml:space="preserve">03BT01-20633 SEPARACION DE COCHERA  N 25 CUOTA 9 OCTUBRE 2023 DE LA MZ D LOTE 2 - EL APOLO </t>
  </si>
  <si>
    <t xml:space="preserve">03BT01-22448PAGO CUOTA 19 NOVIEMBRE 2023 CONTRATO DE PROMESA DE LA MZ D LOTE 2 - EL APOLO </t>
  </si>
  <si>
    <t xml:space="preserve">03BT01-22449 SEPARACION DE COCHERA A CONCRETAR COMPRA N 25 CUOTA 10 MZ D LOTE 2 - EL APOLO </t>
  </si>
  <si>
    <t xml:space="preserve">03BT01-24158 PAGO CUOTA 20 DICIEMBRE 2023 TRANSFERENCIA CREDICONTADO POR CONTRATO DE PROMESA DE LA MZ D LOTE 2 - EL APOLO </t>
  </si>
  <si>
    <t xml:space="preserve">03BT01-24159 ABONO POR CONCEPTO DE SEPARACION DE COCHERA A CONCRETAR COMPRA N 25 CUOTA 11 DICIEMBRE 2023 DE LA MZ D LOTE 2 - EL APOLO </t>
  </si>
  <si>
    <t>03BT01-26011 PAGO CUOTA 21 ENERO 2024 TRANSFERENCIA CREDICONTADO POR CONTRATO DE PROMESA DE LA MZ D LOTE 2 - EL APOLO</t>
  </si>
  <si>
    <t>03BT01-26012 ABONO POR CONCEPTO DE SEPARACION DE COCHERA A CONCRETAR COMPRA N 25 CUOTA 12 ENERO 2024 DE LA MZ D LOTE 2 - EL APOLO</t>
  </si>
  <si>
    <t>03BT01-26833PAGO CUOTA 22 FEBRERO 2024 TRANSFERENCIA CREDICONTADO POR CONTRATO DE PROMESA DE LA MZ D LOTE 2 - EL APOLO</t>
  </si>
  <si>
    <t>03BT01-26834ABONO POR CONCEPTO DE SEPARACION DE COCHERA A CONCRETAR COMPRA N 25 CUOTA 13 FEBRERO 2024 DE LA MZ D LOTE 2 - EL APOLO</t>
  </si>
  <si>
    <t>03BT01-29490PAGO CUOTA 23 MARZO 2024 TRANSFERENCIA CREDICONTADO POR CONTRATO DE PROMESA DE LA MZ D LOTE 2 - EL APOLO</t>
  </si>
  <si>
    <t>03BT01-29491ABONO POR CONCEPTO DE SEPARACION DE COCHERA A CONCRETAR COMPRA N 25 CUOTA 14 MARZO 2024 DE LA MZ D LOTE 2 - EL APOLO</t>
  </si>
  <si>
    <t>03BT01-32360PAGO CUOTA 24 ABRIL 2024 TRANSFERENCIA CREDICONTADO POR CONTRATO DE PROMESA DE LA MZ D LOTE 2 - EL APOLO</t>
  </si>
  <si>
    <t>03BT01-32361ABONO POR CONCEPTO DE SEPARACION DE COCHERA A CONCRETAR COMPRA N 25 CUOTA 15 ABRIL 2024 DE LA MZ D LOTE 2 - EL APOLO</t>
  </si>
  <si>
    <t>03BT01-34701PAGO CUOTA 25 MAYO 2024 TRANSFERENCIA CREDICONTADO POR CONTRATO DE PROMESA DE LA MZ D LOTE 2 - EL APOLO</t>
  </si>
  <si>
    <t>03BT01-34702ABONO POR CONCEPTO DE SEPARACION DE COCHERA A CONCRETAR COMPRA N 25 CUOTA 16 MAYO 2024 DE LA MZ D LOTE 2 - EL APOLO</t>
  </si>
  <si>
    <t>03BT01-38720 PAGO CUOTA 26 JUNIO 2024 TRANSFERENCIA CREDICONTADO POR CONTRATO DE PROMESA DE LA MZ D LOTE 2 - EL APOLO</t>
  </si>
  <si>
    <t>03BT01-38721 PAGO CUOTA 27 JULIO 2024 TRANSFERENCIA CREDICONTADO POR CONTRATO DE PROMESA DE LA MZ D LOTE 2 - EL APOLO</t>
  </si>
  <si>
    <t>03BT01-38722 PAGO CUOTA 28 AGOSTO 2024 TRANSFERENCIA CREDICONTADO POR CONTRATO DE PROMESA DE LA MZ D LOTE 2 - EL APOLO</t>
  </si>
  <si>
    <t>03BT01-38723 ABONO POR CONCEPTO DE SEPARACION DE COCHERA A CONCRETAR COMPRA N 25 CUOTA 17 JUNIO 2024 DE LA MZ D LOTE 2 - EL APOLO</t>
  </si>
  <si>
    <t>03BT01-38724 ABONO POR CONCEPTO DE SEPARACION DE COCHERA A CONCRETAR COMPRA N 25 CUOTA 18 JULIO 2024 DE LA MZ D LOTE 2 - EL APOLO</t>
  </si>
  <si>
    <t>03BT01-38725 ABONO POR CONCEPTO DE SEPARACION DE COCHERA A CONCRETAR COMPRA N 25 CUOTA 19 AGOSTO 2024 DE LA MZ D LOTE 2 - EL APOLO</t>
  </si>
  <si>
    <t xml:space="preserve">03BT01-42410 PAGO CUOTA 29 SEPTIEMBRE 2024 TRANSFERENCIA CREDICONTADO POR CONTRATO DE PROMESA DE LA MZ D LOTE 2 - EL APOLO </t>
  </si>
  <si>
    <t xml:space="preserve">03BT01-42411 PAGO CUOTA 30 OCTUBRE 2024 TRANSFERENCIA CREDICONTADO POR CONTRATO DE PROMESA DE LA MZ D LOTE 2 - EL APOLO </t>
  </si>
  <si>
    <t xml:space="preserve">03BT01-42412 ABONO POR CONCEPTO DE SEPARACION DE COCHERA A CONCRETAR COMPRA N 25 CUOTA 20 SEPTIEMBRE 2024 DE LA MZ D LOTE 2 - EL APOLO </t>
  </si>
  <si>
    <t xml:space="preserve">03BT01-42413 ABONO POR CONCEPTO DE SEPARACION DE COCHERA A CONCRETAR COMPRA N 25 CUOTA 21 OCTUBRE 2024 DE LA MZ D LOTE 2 - EL APOLO </t>
  </si>
  <si>
    <t>BT01-48730</t>
  </si>
  <si>
    <t>BT01-48731</t>
  </si>
  <si>
    <t>BT01-48732</t>
  </si>
  <si>
    <t>BT01-48733</t>
  </si>
  <si>
    <t>BT01-48734</t>
  </si>
  <si>
    <t>BT01-48735</t>
  </si>
  <si>
    <t>BT01-48736</t>
  </si>
  <si>
    <t>BT01-48737</t>
  </si>
  <si>
    <t>BT01-52469</t>
  </si>
  <si>
    <t>BT01-52470</t>
  </si>
  <si>
    <t>BT01-52472</t>
  </si>
  <si>
    <t>BT01-52473</t>
  </si>
  <si>
    <t>BT01-54048</t>
  </si>
  <si>
    <t>BT01-54049</t>
  </si>
  <si>
    <t>BT01-54050</t>
  </si>
  <si>
    <t>BT01-54051</t>
  </si>
  <si>
    <t>BT01-57215</t>
  </si>
  <si>
    <t>BT01-57216</t>
  </si>
  <si>
    <t>BT01-57217</t>
  </si>
  <si>
    <t>BT01-57218</t>
  </si>
  <si>
    <t>BT01-57219</t>
  </si>
  <si>
    <t xml:space="preserve">03BT01-48730 PAGO CUOTA 31 NOVIEMBRE 2024 TRANSFERENCIA CREDICONTADO POR CONTRATO DE PROMESA DE LA MZ D LOTE 2 - EL APOLO </t>
  </si>
  <si>
    <t xml:space="preserve">03BT01-48731 PAGO CUOTA 33 ENERO 2025 TRANSFERENCIA CREDICONTADO POR CONTRATO DE PROMESA DE LA MZ D LOTE 2 - EL APOLO </t>
  </si>
  <si>
    <t xml:space="preserve">03BT01-48732 PAGO CUOTA 34 FEBRERO 2025  TRANSFERENCIA CREDICONTADO POR CONTRATO DE PROMESA DE LA MZ D LOTE 2 - EL APOLO </t>
  </si>
  <si>
    <t xml:space="preserve">03BT01-48733 PAGO CUOTA CUOTA 32 DICIEMBRE 2024 TRANSFERENCIA CREDICONTADO POR CONTRATO DE PROMESA DE LA MZ D LOTE 2 - EL APOLO </t>
  </si>
  <si>
    <t xml:space="preserve">03BT01-48734 ABONO POR CONCEPTO DE SEPARACION DE COCHERA A CONCRETAR COMPRA N 25 CUOTA 22 NOVIEMBRE 2024 DE LA MZ D LOTE 2 - EL APOLO </t>
  </si>
  <si>
    <t xml:space="preserve">03BT01-48735 ABONO POR CONCEPTO DE SEPARACION DE COCHERA A CONCRETAR COMPRA N 25 CUOTA CUOTA 23 DICIEMBRE 2024 DE LA MZ D LOTE 2 - EL APOLO </t>
  </si>
  <si>
    <t xml:space="preserve">03BT01-48736 ABONO POR CONCEPTO DE SEPARACION DE COCHERA A CONCRETAR COMPRA N 25 CUOTA 24 ENERO 2025 DE LA MZ D LOTE 2 - EL APOLO </t>
  </si>
  <si>
    <t xml:space="preserve">03BT01-48737 ABONO POR CONCEPTO DE SEPARACION DE COCHERA A CONCRETAR COMPRA N 25 CUOTA 25 FEBRERO 2025 DE LA MZ D LOTE 2 - EL APOLO </t>
  </si>
  <si>
    <t>03BT01-52469 PAGO CUOTA 35 MARZO 2025 TRANSFERENCIA CREDICONTADO POR CONTRATO DE PROMESA DE LA MZ D LOTE 2 - EL APOLO</t>
  </si>
  <si>
    <t>03BT01-52470 PAGO CUOTA 36 ABRIL 2025 TRANSFERENCIA CREDICONTADO POR CONTRATO DE PROMESA DE LA MZ D LOTE 2 - EL APOLO</t>
  </si>
  <si>
    <t>03BT01-52472 43374114 ABONO POR CONCEPTO DE SEPARACION DE COCHERA A CONCRETAR COMPRA N 25 CUOTA 26 MARZO 2025 DE LA MZ D LOTE 2 - EL APOLO</t>
  </si>
  <si>
    <t>03BT01-52473 ABONO POR CONCEPTO DE SEPARACION DE COCHERA A CONCRETAR COMPRA N 25 CUOTA 27 DE ABRIL 2025 DE LA MZ D LOTE 2 - EL APOLO</t>
  </si>
  <si>
    <t>03BT01-54048 ABONO POR CONCEPTO DE SEPARACION DE COCHERA A CONCRETAR COMPRA N 25 CUOTA 28 DE MAYO  2025 DE LA MZ D LOTE 2 - EL APOLO</t>
  </si>
  <si>
    <t>03BT01-54049 ABONO POR CONCEPTO DE SEPARACION DE COCHERA A CONCRETAR COMPRA N 25 CUOTA 28 DE MAYO  2025 DE LA MZ D LOTE 2 - EL APOLO</t>
  </si>
  <si>
    <t>03BT01-54050 PAGO CUOTA 37 MAYO 2025 TRANSFERENCIA CREDICONTADO POR CONTRATO DE PROMESA DE LA MZ D LOTE 2 - EL APOLO</t>
  </si>
  <si>
    <t>03BT01-54051 PAGO CUOTA 38 JUNIO TRANSFERENCIA CREDICONTADO POR CONTRATO DE PROMESA DE LA MZ D LOTE 2 - EL APOLO</t>
  </si>
  <si>
    <t>03BT01-57215 PAGO CUOTA 39 JULIO TRANSFERENCIA CREDICONTADO POR CONTRATO DE PROMESA DE LA MZ D LOTE 2 - EL APOLO</t>
  </si>
  <si>
    <t>03BT01-57216 PAGO CUOTA 40 AGOSTO TRANSFERENCIA CREDICONTADO POR CONTRATO DE PROMESA DE LA MZ D LOTE 2 - EL APOLO</t>
  </si>
  <si>
    <t>03BT01-57217 PAGO A CUENTA DE LA CUOTA 41 SEPTIEMBRE 2025 TRANSFERENCIA CREDICONTADO POR CONTRATO DE PROMESA DE LA MZ D LOTE 2 - EL APOLO</t>
  </si>
  <si>
    <t>03BT01-57218 ABONO POR CONCEPTO DE SEPARACION DE COCHERA A CONCRETAR COMPRA N 25 CUOTA 30 DE JULIO 2025 DE LA MZ D LOTE 2 - EL APOLO</t>
  </si>
  <si>
    <t>03BT01-57219 ABONO POR CONCEPTO DE SEPARACION DE COCHERA A CONCRETAR COMPRA N 25 CUOTA 31 DE AGOSTO 2025 DE LA MZ D LOTE 2 - EL APOLO</t>
  </si>
  <si>
    <t>074421</t>
  </si>
  <si>
    <t>03EB01-5572 03EB01-5572CUOTA INICIAL MZ A LT 17-APOLO</t>
  </si>
  <si>
    <t>03EB01-5584 03EB01-5584CUOTA INICIAL MZ A LT 17-APOLO</t>
  </si>
  <si>
    <t>03EB01-5585 ADJUDICACION MZ  LT -</t>
  </si>
  <si>
    <t>03EB01-5970 CUOTA 1 MZ A LT 17-APOLO</t>
  </si>
  <si>
    <t>03EB01-6594 CUOTA 2 ABRIL 2022 POR CONTRATO DE PROMRESA DE LA MZ. A LOTE 17 - EL APOLO</t>
  </si>
  <si>
    <t>03EB01-7729 CUOTA 3 MAYO 2022  POR CONTRATO DE PROMESA DE LA MZ. A LOTE 17 - EL APOLO</t>
  </si>
  <si>
    <t>03EB01-7992 03EB01-7992CUOTA 2 ABRIL 2022 PAGO DE LA ADJUDICACION DE LA COCHERA DE LA MZ. A LOTE 17 - EL APOLO</t>
  </si>
  <si>
    <t>03EB01-8809 03EB01-8809ADJUDICACION MZ A LOTE  17 - EL APOLO</t>
  </si>
  <si>
    <t>03EB01-8814 CUOTA 4 MZ A LT 17 - EL APOLO</t>
  </si>
  <si>
    <t>03EB01-8815 03EB01-8815ADJUDICACION MZ A LOTE  17 - EL APOLO</t>
  </si>
  <si>
    <t>03BT01-194 CUOTA 5  MZ A LOTE 17 - APOLO</t>
  </si>
  <si>
    <t>03BT01-195 SEPAR. COCHERA MZ A LOTE 17 -APOLO</t>
  </si>
  <si>
    <t>03BT01-1201 CUOTA 6  MZ A LOTE 17 - EL APOLO</t>
  </si>
  <si>
    <t>03BT01-1204 03BT01-1204ADJUDICACION MZ A LOTE 17 - EL APOLO</t>
  </si>
  <si>
    <t>03BT01-1431 03BT01-1431ADJUDICACION MZ A LOTE 17 - EL APOLO</t>
  </si>
  <si>
    <t>03BT01-1432 CUOTA 7 MZ A LOTE 17 - EL APOLO</t>
  </si>
  <si>
    <t>03BT01-3322 ADJUDICACION MZ. A LOTE 17 - EL APOLO</t>
  </si>
  <si>
    <t>03BT01-3618 SEPAR COCHERA N°254 MZ A LOTE 17 - APOLO</t>
  </si>
  <si>
    <t>03BT01-3620 03BT01-3620CUOTA 8 MZ A LOTE 17 - EL APOLO</t>
  </si>
  <si>
    <t>03BT01-6167 CUOTA 10 MZ B LOTE 1 - EL APOLO</t>
  </si>
  <si>
    <t>03BT01-6168 SEPAR. COCHERA N° 244 MZ B LOTE 1 -APOLO</t>
  </si>
  <si>
    <t>EB01-7992</t>
  </si>
  <si>
    <t>BT01-1431</t>
  </si>
  <si>
    <t>BT01-3618</t>
  </si>
  <si>
    <t>03BT01-7353CUOTA 11 MZ B LOTE 1 APOLO</t>
  </si>
  <si>
    <t>CUOTA 12 COCHERA 244 MZ B LT 1-APOLO</t>
  </si>
  <si>
    <t>03BT01-8865 PAGO CUOTA 13 FEBRERO 2023  POR CONTRATO DE PROMESA DE LA MZ B LOTE 1 - EL APOLO</t>
  </si>
  <si>
    <t>03BT01-11393 03BT01-11393SEPARACION DE COCHERA N° 244 PAGO CUOTA 14 ABRIL 2023 DE LA MZ B LOTE 1 - EL APOLO</t>
  </si>
  <si>
    <t>03BT01-12375 SEPARACION DE COCHERAN° 244 PAGO CUOTA 15 MAYO 2023 DE LA MZ B LT 1 - EL APOLO</t>
  </si>
  <si>
    <t>BT01-7353</t>
  </si>
  <si>
    <t>BB01-417</t>
  </si>
  <si>
    <t>BT01-8865</t>
  </si>
  <si>
    <t>BT01-11393</t>
  </si>
  <si>
    <t>BT01-12375</t>
  </si>
  <si>
    <t>CUOTA 12 MZ B LT 1-APOLO</t>
  </si>
  <si>
    <t>03BT01-8866 SEPARACION DE COCHERA A CONCRETAR COMPRA N° 244 CUOTA 13 MARZO 2023 DE LA MZ B LOTE 1 - EL APOLO</t>
  </si>
  <si>
    <t>03BT01-10784  SEPARACION DE COCHERA A CONCRETAR COMPRA N° 244 CUOTA 11 ENERO 2023  DE LA MZ B LOTE 1 - EL APOLO</t>
  </si>
  <si>
    <t>03BT01-11394 PAGO CUOTA 14 ABRIL 2023POR CONTRATO DE PROMESA DE LA MZ B LOTE 1 - EL APOLO</t>
  </si>
  <si>
    <t>03BT01-12373 ADJU. DE LT CANCELADO MZ B LT 1 - EL APOLO</t>
  </si>
  <si>
    <t>BT01-8866</t>
  </si>
  <si>
    <t>EB01-6593</t>
  </si>
  <si>
    <t>03BT01-4973 03BT01-4973ADJUDICACION MZ H LOTE 14 - EL APOLO</t>
  </si>
  <si>
    <t>03BT01-5608 03BT01-5608ADJUDICACION MZ H LOTE 14 - EL APOLO</t>
  </si>
  <si>
    <t>CUOTA 1 COCHERA 216 MZ H LT 14-APOLO</t>
  </si>
  <si>
    <t>CUOTA 2 COCHERA 216 MZ H LT 14-APOLO</t>
  </si>
  <si>
    <t>CUOTA 3 COCHERA 216 MZ H LT 14-APOLO</t>
  </si>
  <si>
    <t>CUOTA 4 COCHERA 216 MZ H LT 14-APOLO</t>
  </si>
  <si>
    <t>CUOTA 5 COCHERA 216 MZ H LT 14-APOLO</t>
  </si>
  <si>
    <t>CUOTA 6 COCHERA 216 MZ H LT 14-APOLO</t>
  </si>
  <si>
    <t>CUOTA 7 COCHERA 216 MZ H LT 14-APOLO</t>
  </si>
  <si>
    <t>CUOTA 8 COCHERA 216 MZ H LT 14-APOLO</t>
  </si>
  <si>
    <t>CUOTA 9 COCHERA 216 MZ H LT 14-APOLO</t>
  </si>
  <si>
    <t>CUOTA 10 COCHERA 216 MZ H LT 14-APOLO</t>
  </si>
  <si>
    <t>CUOTA 11 COCHERA 216 MZ H LT 14-APOLO</t>
  </si>
  <si>
    <t>CUOTA 12 COCHERA 216 MZ H LT 14-APOLO</t>
  </si>
  <si>
    <t>Pendiente</t>
  </si>
  <si>
    <t>03EB01-7207 03EB01-7207CANCELACION CUOTA INICIAL PARA LA ADJUDICACION MZ D LOTE 12 - APOLO</t>
  </si>
  <si>
    <t>03EB01-7261 03EB01-7261CANCELACION CUOTA INICIAL PARA LA ADJUDICACION MZ D LOTE 12 - APOLO</t>
  </si>
  <si>
    <t>03EB01-8837 CUOTA 2-3 4-2023 MZ D LT 12 - APOLO</t>
  </si>
  <si>
    <t>BT01-9671</t>
  </si>
  <si>
    <t>BT01-9925</t>
  </si>
  <si>
    <t>BT01-14276</t>
  </si>
  <si>
    <t>BT01-15800</t>
  </si>
  <si>
    <t>BT01-16898</t>
  </si>
  <si>
    <t>BT01-21078</t>
  </si>
  <si>
    <t>BT01-21079</t>
  </si>
  <si>
    <t>BT01-22445</t>
  </si>
  <si>
    <t>CUOTA 4 MZ D LT 12-APOLO</t>
  </si>
  <si>
    <t>03BT01-9671 PAGO CUOTA 5 MARZO 2023 POR CONTRATO DE PROMESA DE LA MZ D LOTE 12 - EL APOLO</t>
  </si>
  <si>
    <t>03BT01-9925 PAGO CUOTA 6 ABRIL 2023 TRANSFERENCIA CREDICONTADO POR CONTRATO DE PROMESA DE LA MZ D LT 12 - APOLO</t>
  </si>
  <si>
    <t xml:space="preserve">03BT01-11422 PAGO CUOTA 7 MAYO 2023 POR CONTRATO DE PROMESA DE LA MZ D LOTE 12 - EL APOLO </t>
  </si>
  <si>
    <t xml:space="preserve">03BT01-14275 PAGO CUOTA 9 JULIO 2023  POR CONTRATO DE PROMESA DE LA MZ D LOTE 12 - EL APOLO </t>
  </si>
  <si>
    <t xml:space="preserve">03BT01-14276 PAGO CUOTA 8 JUNIO 2023 POR CONTRATO DE PROMESA DE LA MZ D LOTE 12 - EL APOLO </t>
  </si>
  <si>
    <t xml:space="preserve">03BT01-15800 PAGO CUOTA 10 AGOSTO 2023  POR CONTRATO DE PROMESA DE LA MZ D LOTE 12 - EL APOLO </t>
  </si>
  <si>
    <t xml:space="preserve">03BT01-16898 PAGO CUOTA 11 SETIEMBRE POR CONTRATO DE PROMESA DE LA MZ D LOTE 12 - EL APOLO </t>
  </si>
  <si>
    <t xml:space="preserve">03BT01-21078PAGO CUOTA 12 OCTUBRE 2023 CONTRATO DE PROMESA DE LA MZ D LOTE 12 - EL APOLO </t>
  </si>
  <si>
    <t xml:space="preserve">03BT01-21079PAGO CUOTA 13 NOVIEMBRE CONTRATO DE PROMESA DE LA MZ D LOTE 12 - EL APOLO </t>
  </si>
  <si>
    <t xml:space="preserve">03BT01-22445PAGO CUOTA 14 DICIEMBRE CONTRATO DE PROMESA DE LA MZ D LOTE 12 - EL APOLO </t>
  </si>
  <si>
    <t>BT01-11422</t>
  </si>
  <si>
    <t>BT01-14275</t>
  </si>
  <si>
    <t>BT01-23678</t>
  </si>
  <si>
    <t>BT01-26013</t>
  </si>
  <si>
    <t>BT01-26845</t>
  </si>
  <si>
    <t>BT01-28577</t>
  </si>
  <si>
    <t>BT01-30744</t>
  </si>
  <si>
    <t>BT01-32404</t>
  </si>
  <si>
    <t>BT01-34292</t>
  </si>
  <si>
    <t>BT01-35623</t>
  </si>
  <si>
    <t>BT01-37870</t>
  </si>
  <si>
    <t>BT01-39684</t>
  </si>
  <si>
    <t xml:space="preserve">03BT01-23678PAGO CUOTA 15 ENERO 2024 TRANSFERENCIA CREDICONTADO POR CONTRATO DE PROMESA DE LA MZ D LOTE 12 - EL APOLO </t>
  </si>
  <si>
    <t>03BT01-26013 PAGO CUOTA 16 FEBRERO 2024 TRANSFERENCIA CREDICONTADO POR CONTRATO DE PROMESA DE LA MZ D LOTE 12 - EL APOLO</t>
  </si>
  <si>
    <t>03BT01-26845PAGO CUOTA 17 MARZO 2024 TRANSFERENCIA CREDICONTADO POR CONTRATO DE PROMESA DE LA MZ D LOTE 12 - EL APOLO</t>
  </si>
  <si>
    <t>03BT01-28577PAGO CUOTA 18 ABRIL 2024 TRANSFERENCIA CREDICONTADO POR CONTRATO DE PROMESA DE LA MZ D LOTE 12 - EL APOLO</t>
  </si>
  <si>
    <t>03BT01-30744PAGO CUOTA 19 MAYO 2024 TRANSFERENCIA CREDICONTADO POR CONTRATO DE PROMESA DE LA MZ D LOTE 12 - EL APOLO</t>
  </si>
  <si>
    <t>03BT01-32404PAGO CUOTA 20 JUNIO 2024 TRANSFERENCIA CREDICONTADO POR CONTRATO DE PROMESA DE LA MZ D LOTE 12 - EL APOLO</t>
  </si>
  <si>
    <t>03BT01-34292PAGO CUOTA 21 JULIO 2024 TRANSFERENCIA CREDICONTADO POR CONTRATO DE PROMESA DE LA MZ D LOTE 12 - EL APOLO</t>
  </si>
  <si>
    <t>03BT01-35623PAGO CUOTA 22 AGOSTO 2024 TRANSFERENCIA CREDICONTADO POR CONTRATO DE PROMESA DE LA MZ D LOTE 12 - EL APOLO</t>
  </si>
  <si>
    <t>03BT01-37870 PAGO CUOTA 23 SEPTIEMBRE 2024 TRANSFERENCIA CREDICONTADO POR CONTRATO DE PROMESA DE LA MZ D LOTE 12 - EL APOLO</t>
  </si>
  <si>
    <t>03BT01-39684 PAGO CUOTA 24 OCTUBRE 2024 TRANSFERENCIA CREDICONTADO POR CONTRATO DE PROMESA DE LA MZ D LOTE 12 - EL APOLO</t>
  </si>
  <si>
    <t>BT01-44487</t>
  </si>
  <si>
    <t>BT01-45787</t>
  </si>
  <si>
    <t>BT01-47528</t>
  </si>
  <si>
    <t>BT01-49343</t>
  </si>
  <si>
    <t>BT01-50289</t>
  </si>
  <si>
    <t>BT01-52095</t>
  </si>
  <si>
    <t>BT01-53475</t>
  </si>
  <si>
    <t>BT01-54668</t>
  </si>
  <si>
    <t>BT01-56389</t>
  </si>
  <si>
    <t>03BT01-44487 PAGO CUOTA 27 ENERO 2025 TRANSFERENCIA CREDICONTADO POR CONTRATO DE PROMESA DE LA MZ D LOTE 12 - EL APOLO</t>
  </si>
  <si>
    <t>03BT01-45787 PAGO CUOTA 28 FEBRERO 2025 TRANSFERENCIA CREDICONTADO POR CONTRATO DE PROMESA DE LA MZ D LOTE 12 - EL APOLO</t>
  </si>
  <si>
    <t>03BT01-47528 PAGO CUOTA 29 MARZO 2025 TRANSFERENCIA CREDICONTADO POR CONTRATO DE PROMESA DE LA MZ D LOTE 12 - EL APOLO</t>
  </si>
  <si>
    <t xml:space="preserve">03BT01-49343 PAGO CUOTA 30 ABRIL 2025 TRANSFERENCIA CREDICONTADO POR CONTRATO DE PROMESA DE LA MZ D LOTE 12 - EL APOLO </t>
  </si>
  <si>
    <t>03BT01-50289 PAGO CUOTA 31 MAYO 2025 TRANSFERENCIA CREDICONTADO POR CONTRATO DE PROMESA DE LA MZ D LOTE 12 - EL APOLO</t>
  </si>
  <si>
    <t>03BT01-52095 PAGO CUOTA 32 JUNIO 2025 TRANSFERENCIA CREDICONTADO POR CONTRATO DE PROMESA DE LA MZ D LOTE 12 - EL APOLO</t>
  </si>
  <si>
    <t xml:space="preserve">03BT01-53475 PAGO CUOTA 33 JULIO 2025 TRANSFERENCIA CREDICONTADO POR CONTRATO DE PROMESA DE LA MZ D LOTE 12 - EL APOLO </t>
  </si>
  <si>
    <t xml:space="preserve">03BT01-54668 PAGO CUOTA 34 AGOSTO 2025 TRANSFERENCIA CREDICONTADO POR CONTRATO DE PROMESA DE LA MZ D LOTE 12 - EL APOLO </t>
  </si>
  <si>
    <t>03BT01-56389 PAGO CUOTA 35 SEPTIEMBRE 2025 TRANSFERENCIA CREDICONTADO POR CONTRATO DE PROMESA DE LA MZ D LOTE 12 - EL APOLO</t>
  </si>
  <si>
    <t>2-4</t>
  </si>
  <si>
    <t>ADJU. CUOTA 1 MZ J LT 5-APOLO</t>
  </si>
  <si>
    <t>03BT01-8545 CUOTA 2 FEBRERO 2023 TRANSFERENCIA CREDICONTADO POR CONTRATO DE PROMESA DE LA MZ. J LOTE 5.</t>
  </si>
  <si>
    <t>03BT01-9924 PAGO CUOTA 3 MARZO 2023 TRANSFERENCIA CREDICONTADO POR CONTRATO DE PROMESA DE LA MZ J LT 5 - APOLO</t>
  </si>
  <si>
    <t>03BT01-14041 PAGO CUOTA 6 JUNIO 2023  POR CONTRATO DE PROMESA DE LA MZ J LOTE 5 - EL APOLO</t>
  </si>
  <si>
    <t>03BT01-11431 PAGO CUOTA 4 ABRIL 2023 POR CONTRATO DE PROMESA DE LA MZ J LOTE 5 - EL APOLO</t>
  </si>
  <si>
    <t>03BT01-12775 PAGO CUOTA 5 MAYO 2023  POR CONTRATO DE PROMESA DE LA MZ J LOTE 5 - EL APOLO</t>
  </si>
  <si>
    <t>03BT01-20150 03BT01-20150PAGO CUOTA 9 SEPTIEMBRE 2023 POR CONTRATO DE PROMESA DE LA MZ J LOTE 5 - EL APOLO</t>
  </si>
  <si>
    <t>03BT01-15799 PAGO CUOTA 7 JULIO 2023  POR CONTRATO DE PROMESA DE LA MZ J LOTE 5 - EL APOLO</t>
  </si>
  <si>
    <t>03BT01-17295 PAGO CUOTA 8 AGOSTO 2023 POR CONTRATO DE PROMESA DE LA MZ J LOTE 5 - EL APOLO</t>
  </si>
  <si>
    <t>BT01-9924</t>
  </si>
  <si>
    <t>BT01-14041</t>
  </si>
  <si>
    <t>BT01-11431</t>
  </si>
  <si>
    <t>BT01-12775</t>
  </si>
  <si>
    <t>BT01-20150</t>
  </si>
  <si>
    <t>BT01-15799</t>
  </si>
  <si>
    <t>BT01-17295</t>
  </si>
  <si>
    <t>03EB01-9555 ADJUDICACION MZ D LT 23-APOLO</t>
  </si>
  <si>
    <t>03EB01-9627 ADJUDICACION MZ D LOTE 23 -APOLO</t>
  </si>
  <si>
    <t>03EB01-5985 03EB01-5985CUOTA INICIAL MZ D LT 11-APOLO</t>
  </si>
  <si>
    <t>03EB01-7190 CUOTA 1 MAYO  2022  POR CONTRATO DE PROMESA DE LA MZ. D LOTE 11 - EL APOLO</t>
  </si>
  <si>
    <t>03EB01-8439 CUOTA 2 MZ D LT 11 - EL APOLO</t>
  </si>
  <si>
    <t>03EB01-9419 CUOTA 3 MZ D LT 11 -APOLO</t>
  </si>
  <si>
    <t>EB01-7190</t>
  </si>
  <si>
    <t>BT01-7466</t>
  </si>
  <si>
    <t>CUOTA 4 MZ I LOTE 1 APOLO</t>
  </si>
  <si>
    <t>BT01-11907</t>
  </si>
  <si>
    <t>BT01-11908</t>
  </si>
  <si>
    <t>BT01-15198</t>
  </si>
  <si>
    <t>BT01-16517</t>
  </si>
  <si>
    <t>BT01-18051</t>
  </si>
  <si>
    <t>BT01-19774</t>
  </si>
  <si>
    <t>BT01-21739</t>
  </si>
  <si>
    <t>BT01-23233</t>
  </si>
  <si>
    <t xml:space="preserve">03BT01-11907 CANCELACION CUOTA INCIAL POR CONTRATO DE PROMESA DE LA MZ N LT 7 - APOLO </t>
  </si>
  <si>
    <t xml:space="preserve">03BT01-11908 CANCELACION CUOTA INICIAL PARA LA ADJUDICACION DE LA MZ N LOTE 7 - EL APOLO </t>
  </si>
  <si>
    <t xml:space="preserve">03BT01-15198 PAGO CUOTA 1 JULIO 2023  POR CONTRATO DE PROMESA DE LA MZ N LOTE 7 - EL APOLO </t>
  </si>
  <si>
    <t xml:space="preserve">03BT01-16517 PAGO CUOTA 2 AGOSTO 2023 POR CONTRATO DE PROMESA DE LA MZ N LOTE 7 - APOLO </t>
  </si>
  <si>
    <t xml:space="preserve">03BT01-18051 PAGO CUOTA 3 SETIEMBRE 2023 POR CONTRATO DE PROMESA DE LA MZ N LOTE 7 - APOLO </t>
  </si>
  <si>
    <t xml:space="preserve">03BT01-19774 CUOTA 4  MZ N LOTE 7 - APOLO </t>
  </si>
  <si>
    <t xml:space="preserve">03BT01-21739 CUOTA 5 NOVIEMBRE 2023 CONTRATO DE PROMESA DE LA MZ N LOTE 7 - APOLO </t>
  </si>
  <si>
    <t xml:space="preserve">03BT01-23233PAGO CUOTA 6 DICIEMBRE 2023 TRANSFERENCIA CREDICONTADO POR CONTRATO DE PROMESA DE LA MZ N LOTE 7 - APOLO </t>
  </si>
  <si>
    <t>BT01-24539</t>
  </si>
  <si>
    <t>BT01-26213</t>
  </si>
  <si>
    <t>BT01-27948</t>
  </si>
  <si>
    <t>BT01-29508</t>
  </si>
  <si>
    <t>BT01-31520</t>
  </si>
  <si>
    <t>BT01-33171</t>
  </si>
  <si>
    <t>BT01-34966</t>
  </si>
  <si>
    <t>BT01-36640</t>
  </si>
  <si>
    <t>BT01-38280</t>
  </si>
  <si>
    <t>BT01-39890</t>
  </si>
  <si>
    <t>BT01-41769</t>
  </si>
  <si>
    <t>BT01-43177</t>
  </si>
  <si>
    <t xml:space="preserve">03BT01-24539 PAGO CUOTA 7 ENERO 2024 TRANSFERENCIA CREDICONTADO POR CONTRATO DE PROMESA DE LA MZ N LOTE 7 - APOLO </t>
  </si>
  <si>
    <t>03BT01-26213 PAGO CUOTA 8 FEBRERO 2024 TRANSFERENCIA CREDICONTADO POR CONTRATO DE PROMESA DE LA MZ N LOTE 7 - APOLO</t>
  </si>
  <si>
    <t>03BT01-27948PAGO CUOTA 9 MARZO 2024 TRANSFERENCIA CREDICONTADO POR CONTRATO DE PROMESA DE LA MZ N LOTE 7 - APOLO</t>
  </si>
  <si>
    <t>03BT01-29508PAGO CUOTA 10 ABRIL 2024 TRANSFERENCIA CREDICONTADO POR CONTRATO DE PROMESA DE LA MZ N LOTE 7 - APOLO</t>
  </si>
  <si>
    <t>03BT01-31520PAGO CUOTA 11 MAYO 2024 TRANSFERENCIA CREDICONTADO POR CONTRATO DE PROMESA DE LA MZ N LOTE 7 - APOLO</t>
  </si>
  <si>
    <t>03BT01-33171PAGO CUOTA 12 JUNIO 2024 TRANSFERENCIA CREDICONTADO POR CONTRATO DE PROMESA DE LA MZ N LOTE 7 - APOLO</t>
  </si>
  <si>
    <t>03BT01-34966PAGO CUOTA 13 JULIO 2024 TRANSFERENCIA CREDICONTADO POR CONTRATO DE PROMESA DE LA MZ N LOTE 7 - APOLO</t>
  </si>
  <si>
    <t>03BT01-36640PAGO CUOTA 14 AGOSTO 2024 TRANSFERENCIA CREDICONTADO POR CONTRATO DE PROMESA DE LA MZ N LOTE 7 - APOLO</t>
  </si>
  <si>
    <t>03BT01-38280 PAGO CUOTA 15 SEPTIEMBRE 2024 TRANSFERENCIA CREDICONTADO POR CONTRATO DE PROMESA DE LA MZ N LOTE 7 - APOLO</t>
  </si>
  <si>
    <t>03BT01-39890 PAGO CUOTA 16 OCTUBRE 2024 TRANSFERENCIA CREDICONTADO POR CONTRATO DE PROMESA DE LA MZ N LOTE 7 - APOLO</t>
  </si>
  <si>
    <t>03BT01-41769 PAGO CUOTA 17 NOVIEMBRE 2024 TRANSFERENCIA CREDICONTADO POR CONTRATO DE PROMESA DE LA MZ N LOTE 7 - APOLO</t>
  </si>
  <si>
    <t xml:space="preserve">03BT01-43177 PAGO CUOTA 18 DICIEMBRE 2024 TRANSFERENCIA CREDICONTADO POR CONTRATO DE PROMESA DE LA MZ N LOTE 7 - APOLO </t>
  </si>
  <si>
    <t>BT01-44685</t>
  </si>
  <si>
    <t>BT01-46268</t>
  </si>
  <si>
    <t>BT01-47728</t>
  </si>
  <si>
    <t>BT01-49303</t>
  </si>
  <si>
    <t>BT01-50889</t>
  </si>
  <si>
    <t>BT01-52371</t>
  </si>
  <si>
    <t>03BT01-44685 PAGO CUOTA 19 ENERO 2025 TRANSFERENCIA CREDICONTADO POR CONTRATO DE PROMESA DE LA MZ N LOTE 7 - APOLO</t>
  </si>
  <si>
    <t>03BT01-46268 PAGO CUOTA 20 FEBRERO 2025 TRANSFERENCIA CREDICONTADO POR CONTRATO DE PROMESA DE LA MZ N LOTE 7 - APOLO</t>
  </si>
  <si>
    <t>03BT01-47728 PAGO CUOTA 21 MARZO 2025 TRANSFERENCIA CREDICONTADO POR CONTRATO DE PROMESA DE LA MZ N LOTE 7 - APOLO</t>
  </si>
  <si>
    <t xml:space="preserve">03BT01-49303 PAGO CUOTA 22 ABRIL 2025 TRANSFERENCIA CREDICONTADO POR CONTRATO DE PROMESA DE LA MZ N LOTE 7 - APOLO </t>
  </si>
  <si>
    <t>03BT01-50889 PAGO CUOTA 23 MAYO 2025 TRANSFERENCIA CREDICONTADO POR CONTRATO DE PROMESA DE LA MZ N LOTE 7 - APOLO</t>
  </si>
  <si>
    <t>03BT01-52371 PAGO CUOTA 24 JUNIO 2025 TRANSFERENCIA CREDICONTADO POR CONTRATO DE PROMESA DE LA MZ N LOTE 7 - APOLO</t>
  </si>
  <si>
    <t>BT01-23675</t>
  </si>
  <si>
    <t>BT01-26755</t>
  </si>
  <si>
    <t>BT01-26756</t>
  </si>
  <si>
    <t>BT01-28559</t>
  </si>
  <si>
    <t>BT01-30340</t>
  </si>
  <si>
    <t>BT01-32405</t>
  </si>
  <si>
    <t>BT01-37250</t>
  </si>
  <si>
    <t>BT01-38787</t>
  </si>
  <si>
    <t>BT01-40462</t>
  </si>
  <si>
    <t>BT01-42409</t>
  </si>
  <si>
    <t xml:space="preserve">03BT01-23675PAGO CUOTA 12 DICIEMBRE 2023 TRANSFERENCIA CREDICONTADO POR CONTRATO DE PROMESA DE LA MZ S LOTE 6 - EL APOLO </t>
  </si>
  <si>
    <t>03BT01-26755PAGO CUOTA 14 FEBRERO 2024 TRANSFERENCIA CREDICONTADO POR CONTRATO DE PROMESA DE LA MZ S LOTE 6 - EL APOLO</t>
  </si>
  <si>
    <t>03BT01-26756PAGO CUOTA 13 ENERO 2024 TRANSFERENCIA CREDICONTADO POR CONTRATO DE PROMESA DE LA MZ S LOTE 6 - EL APOLO</t>
  </si>
  <si>
    <t>03BT01-28559PAGO CUOTA 15 MARZO 2024 TRANSFERENCIA CREDICONTADO POR CONTRATO DE PROMESA DE LA MZ S LOTE 6 - EL APOLO</t>
  </si>
  <si>
    <t>03BT01-30340PAGO CUOTA 16 ABRIL 2024 TRANSFERENCIA CREDICONTADO POR CONTRATO DE PROMESA DE LA MZ S LOTE 6 - EL APOLO</t>
  </si>
  <si>
    <t>03BT01-32405PAGO CUOTA 17 MAYO 2024 TRANSFERENCIA CREDICONTADO POR CONTRATO DE PROMESA DE LA MZ S LOTE 6 - EL APOLO</t>
  </si>
  <si>
    <t>03BT01-37250PAGO CUOTA 18 AGOSTO 2024 TRANSFERENCIA CREDICONTADO POR CONTRATO DE PROMESA DE LA MZ S LOTE 6 - EL APOLO</t>
  </si>
  <si>
    <t>03BT01-38787 PAGO CUOTA 19 SEPTIEMBRE 2024 TRANSFERENCIA CREDICONTADO POR CONTRATO DE PROMESA DE LA MZ S LOTE 6 - EL APOLO</t>
  </si>
  <si>
    <t>03BT01-40462 PAGO CUOTA 20 OCTUBRE 2024 TRANSFERENCIA CREDICONTADO POR CONTRATO DE PROMESA DE LA MZ S LOTE 6 - EL APOLO</t>
  </si>
  <si>
    <t xml:space="preserve">03BT01-42409 PAGO CUOTA 21 NOVIEMBRE 2024 TRANSFERENCIA CREDICONTADO POR CONTRATO DE PROMESA DE LA MZ S LOTE 6 - EL APOLO </t>
  </si>
  <si>
    <t>BT01-14020</t>
  </si>
  <si>
    <t>BT01-15579</t>
  </si>
  <si>
    <t>BT01-17132</t>
  </si>
  <si>
    <t>BT01-18894</t>
  </si>
  <si>
    <t>BT01-20662</t>
  </si>
  <si>
    <t>BT01-22108</t>
  </si>
  <si>
    <t>03BT01-9246 CUOTA 1 -4 ABRIL 2023 POR CONTRATO DE PROMESA DE LA MZ S LT 6 - APOLO</t>
  </si>
  <si>
    <t xml:space="preserve">03BT01-12769 PAGO CUOTA 5 MAYO 2023  POR CONTRATO DE PROMESA DE LA MZ S LOTE 6 - EL APOLO </t>
  </si>
  <si>
    <t xml:space="preserve">03BT01-14020 PAGO CUOTA 6 JUNIO 2023 POR CONTRATO DE PROMESA DE LA MZ S LOTE 6 - EL APOLO </t>
  </si>
  <si>
    <t xml:space="preserve">03BT01-15579  POR CONTRATO DE PROMESA PAGO CUOTA 7 JULIO 2023 DE LA MZ S LOTE 6 - EL APOLO </t>
  </si>
  <si>
    <t xml:space="preserve">03BT01-17132 PAGO  CUOTA 8 AGOSTO 2023 POR CONTRATO DE PROMESA DE LA MZ S LOTE 6 - EL APOLO </t>
  </si>
  <si>
    <t xml:space="preserve">03BT01-18894 CUOTA 9 SEPTIEMBRE 2023 MZ S LOTE 6 - EL APOLO </t>
  </si>
  <si>
    <t xml:space="preserve">03BT01-20662PAGO CUOTA 10 OCTUBRE 2023  CONTRATO DE PROMESA DE LA MZ S LOTE 6 - EL APOLO </t>
  </si>
  <si>
    <t xml:space="preserve">03BT01-22108PAGO CUOTA 11 NOVIEMBRE 2023  MZ S LOTE 6 - EL APOLO </t>
  </si>
  <si>
    <t>LANDEO CARCAMO CLAUDIA IVONNE</t>
  </si>
  <si>
    <t>BT01-8662</t>
  </si>
  <si>
    <t>BT01-12924</t>
  </si>
  <si>
    <t>BT01-14425</t>
  </si>
  <si>
    <t>BT01-19288</t>
  </si>
  <si>
    <t>BT01-21538</t>
  </si>
  <si>
    <t>BT01-22452</t>
  </si>
  <si>
    <t>03BT01-8644 SEPARACION POR COMPRA VENTA DE LOTE MZ B LT 9 - EL APOLO</t>
  </si>
  <si>
    <t>03BT01-8662 CUOTA INICIAL POR COMPRA VENTA DE LOTE MZ B LOTE 9 - APOLO</t>
  </si>
  <si>
    <t>03BT01-8663 CANCELACION DE TRANSFERENCIA DE POSESION DE LA COCHERA N°23 - APOLO</t>
  </si>
  <si>
    <t xml:space="preserve">03BT01-12924 PAGO CUOTA 1 JUNIO 2023 POR CONTRATO DE PROMESA DE LA MZ B LOTE 9 - EL APOLO </t>
  </si>
  <si>
    <t xml:space="preserve">03BT01-14425 PAGO CUOTA 2 JULIO 2023  POR CONTRATO DE PROMESA DE LA MZ B LOTE 9 - EL APOLO </t>
  </si>
  <si>
    <t xml:space="preserve">03BT01-19288 CUOTA 3 OCTUBRE 2023 MZ B LOTE 9 - EL APOLO </t>
  </si>
  <si>
    <t xml:space="preserve">03BT01-21538 CUOTA 4 NOVIEMBRE 2023 CONTRATO DE PROMESA DE LA MZ B LOTE 9 - EL APOLO </t>
  </si>
  <si>
    <t xml:space="preserve">03BT01-22452PAGO CUOTA 5 DICIEMBRE 2023 CONTRATO DE PROMESA DE LA MZ B LOTE 9 - EL APOLO </t>
  </si>
  <si>
    <t>BT01-26548</t>
  </si>
  <si>
    <t>03BT01-26548 PAGO POR CANCELACION TOTAL DE LA TRANSFERENCIA CREDICONTADO POR CONTRATO DE PROMESA DE LA MZ B LOTE 9 - EL APOLO</t>
  </si>
  <si>
    <t>6-18</t>
  </si>
  <si>
    <t>20956 </t>
  </si>
  <si>
    <t>20986 </t>
  </si>
  <si>
    <t>BT01-1593</t>
  </si>
  <si>
    <t>03BT01-985 ADJUDICACION MZ H LOTE 16 - APOLO</t>
  </si>
  <si>
    <t>1-4</t>
  </si>
  <si>
    <t>BT01-43887</t>
  </si>
  <si>
    <t>BT01-45347</t>
  </si>
  <si>
    <t>BT01-46888</t>
  </si>
  <si>
    <t>BT01-48501</t>
  </si>
  <si>
    <t>BT01-50049</t>
  </si>
  <si>
    <t>BT01-51723</t>
  </si>
  <si>
    <t>BT01-52953</t>
  </si>
  <si>
    <t>BT01-54369</t>
  </si>
  <si>
    <t>BT01-55762</t>
  </si>
  <si>
    <t>03BT01-43887 PAGO CUOTA 22 DICIEMBRE 2024 TRANSFERENCIA CREDICONTADO POR CONTRATO DE PROMESA DE LA MZ S LOTE 6 - EL APOLO</t>
  </si>
  <si>
    <t>03BT01-45347 PAGO CUOTA 23 ENERO 2025 TRANSFERENCIA CREDICONTADO POR CONTRATO DE PROMESA DE LA MZ S LOTE 6 - EL APOLO</t>
  </si>
  <si>
    <t>03BT01-46888 PAGO CUOTA 24 FEBRERO 2025 TRANSFERENCIA CREDICONTADO POR CONTRATO DE PROMESA DE LA MZ S LOTE 6 - EL APOLO</t>
  </si>
  <si>
    <t>03BT01-48501 PAGO CUOTA 25 MARZO 2025 TRANSFERENCIA CREDICONTADO POR CONTRATO DE PROMESA DE LA MZ S LOTE 6 - EL APOLO</t>
  </si>
  <si>
    <t xml:space="preserve">03BT01-50049 PAGO CUOTA 26 ABRIL 2025 TRANSFERENCIA CREDICONTADO POR CONTRATO DE PROMESA DE LA MZ S LOTE 6 - EL APOLO </t>
  </si>
  <si>
    <t>03BT01-51723 PAGO CUOTA 27 MAYO 2025 TRANSFERENCIA CREDICONTADO POR CONTRATO DE PROMESA DE LA MZ S LOTE 6 - EL APOLO</t>
  </si>
  <si>
    <t xml:space="preserve">03BT01-52953 PAGO CUOTA 28 JUNIO 2025 TRANSFERENCIA CREDICONTADO POR CONTRATO DE PROMESA DE LA MZ S LOTE 6 - EL APOLO </t>
  </si>
  <si>
    <t>03BT01-54369 PAGO CUOTA 29 JULIO 2025 TRANSFERENCIA CREDICONTADO POR CONTRATO DE PROMESA DE LA MZ S LOTE 6 - EL APOLO</t>
  </si>
  <si>
    <t xml:space="preserve">03BT01-55762 PAGO CUOTA 30 AGOSTO 2025 TRANSFERENCIA CREDICONTADO POR CONTRATO DE PROMESA DE LA MZ S LOTE 6 - EL APOLO </t>
  </si>
  <si>
    <t>03EB01-5160 CANCELACION CUOTA INICIAL MZ C LOTE 15 - APOLO</t>
  </si>
  <si>
    <t>03EB01-5324 CUOTA 1 -7 SETIEMBRE 2022 POR CONTRATO DE PROMESA DE LA MZ C LOTE 15- APOLO</t>
  </si>
  <si>
    <t>CAVERO LORA ALMENDRA ALESSANDRA</t>
  </si>
  <si>
    <t>03EB01-7424 03EB01-7424ADJUDICACION LOTE CANCELADO MZ C LOTE 15 - PROYECTO APOLO</t>
  </si>
  <si>
    <t>CAVERO LORA JOAQUIN ANDRE</t>
  </si>
  <si>
    <t>JOAQUIN ANDRE  CAVERO LORA</t>
  </si>
  <si>
    <t>BT01-6284</t>
  </si>
  <si>
    <t>03BT01-3485 ADJUDICACION  MZ H LOTE 15 - EL  APOLO</t>
  </si>
  <si>
    <t>03BT01-3540 ADJUDICACION MZ H LOTE 15 - EL APOLO</t>
  </si>
  <si>
    <t>03BT01-5517 03BT01-5517CUOTA 1 MZ H LOTE 15 - EL APOLO</t>
  </si>
  <si>
    <t>03BT01-6284 CUOTA 2 MZ H LOTE 15 - EL APOLO</t>
  </si>
  <si>
    <t>DELGADO JUAREZ JONATHAN SMITH</t>
  </si>
  <si>
    <t>BT01-10568</t>
  </si>
  <si>
    <t>BT01-12056</t>
  </si>
  <si>
    <t>BT01-15090</t>
  </si>
  <si>
    <t>BT01-15271</t>
  </si>
  <si>
    <t>BT01-16516</t>
  </si>
  <si>
    <t>BT01-18452</t>
  </si>
  <si>
    <t>BT01-20343</t>
  </si>
  <si>
    <t>BT01-21846</t>
  </si>
  <si>
    <t>BT01-23025</t>
  </si>
  <si>
    <t>ADJU. CUOTA 3 MZ H LT 15-APOLO</t>
  </si>
  <si>
    <t>03BT01-9053 PAGO CUOTA 4 MARZO 2023 POR CONTRATO DE PROMESA DE LA MZ H LOTE 15 - EL APOLO</t>
  </si>
  <si>
    <t>03BT01-10568 PAGO CUOTA 5 ABRIL 2023  POR CONTRATO DE PROMESA DE LA MZ H LOTE 15 - EL APOLO</t>
  </si>
  <si>
    <t xml:space="preserve">03BT01-12056 PAGO CUOTA 6 MAYO 2023  POR CONTRATO DE PROMESA DE LA MZ H LOTE 15 - EL APOLO </t>
  </si>
  <si>
    <t xml:space="preserve">03BT01-15090 PAGO CUOTA 8 JULIO 2023  POR CONTRATO DE PROMESA DE LA MZ H LOTE 15 - EL APOLO </t>
  </si>
  <si>
    <t xml:space="preserve">03BT01-15271 PAGO CUOTA 7 JUNIO 2023  POR CONTRATO DE PROMESA DE LA MZ H LOTE 15 - EL APOLO </t>
  </si>
  <si>
    <t xml:space="preserve">03BT01-16516 PAGO CUOTA 9 AGOSTO 2023  POR CONTRATO DE PROMESA DE LA MZ H LOTE 15 - APOLO </t>
  </si>
  <si>
    <t xml:space="preserve">03BT01-18452 PAGO CUOTA 10 SETIEMBRE 2023 POR CONTRATO DE PROMESA DE LA MZ H LOTE 15 - EL APOLO </t>
  </si>
  <si>
    <t xml:space="preserve">03BT01-20343 CUOTA 11  MZ H LOTE 15 - EL APOLO </t>
  </si>
  <si>
    <t xml:space="preserve">03BT01-21846 CUOTA 12 NOVIEMBRE 2023 CONTRATO DE PROMESA DE LA MZ H LOTE 15 - EL APOLO </t>
  </si>
  <si>
    <t xml:space="preserve">03BT01-23025PAGO CUOTA 13 DICIEMBRE 2023 CONTRATO DE PROMESA DE LA MZ H LOTE 15 - EL APOLO </t>
  </si>
  <si>
    <t>BT01-24999</t>
  </si>
  <si>
    <t>BT01-25000</t>
  </si>
  <si>
    <t>BT01-26545</t>
  </si>
  <si>
    <t>BT01-26546</t>
  </si>
  <si>
    <t>BT01-28390</t>
  </si>
  <si>
    <t>BT01-28391</t>
  </si>
  <si>
    <t>BT01-30153</t>
  </si>
  <si>
    <t>BT01-30154</t>
  </si>
  <si>
    <t>BT01-31803</t>
  </si>
  <si>
    <t>BT01-31804</t>
  </si>
  <si>
    <t>BT01-33221</t>
  </si>
  <si>
    <t>BT01-35386</t>
  </si>
  <si>
    <t>BT01-35387</t>
  </si>
  <si>
    <t>BT01-37096</t>
  </si>
  <si>
    <t>BT01-37097</t>
  </si>
  <si>
    <t>BT01-38670</t>
  </si>
  <si>
    <t>BT01-38671</t>
  </si>
  <si>
    <t>BT01-40244</t>
  </si>
  <si>
    <t>BT01-40245</t>
  </si>
  <si>
    <t>BT01-41892</t>
  </si>
  <si>
    <t>BT01-41893</t>
  </si>
  <si>
    <t>BT01-43453</t>
  </si>
  <si>
    <t xml:space="preserve">03BT01-24999 PAGO CUOTA 14 ENERO 2024 TRANSFERENCIA CREDICONTADO POR CONTRATO DE PROMESA DE LA MZ H LOTE 15 - EL APOLO </t>
  </si>
  <si>
    <t xml:space="preserve">03BT01-25000 PAGO MORA E INTERESES ENERO 2024  PARA LA TRANSFERENCIA CREDICONTADO POR CONTRATO DE PROMESA DE LA MZ H LOTE 15 - EL APOLO </t>
  </si>
  <si>
    <t>03BT01-26545 PAGO CUOTA 15 FEBRERO 2024 TRANSFERENCIA CREDICONTADO POR CONTRATO DE PROMESA DE LA MZ H LOTE 15 - EL APOLO</t>
  </si>
  <si>
    <t>03BT01-26546 PAGO MORA E INTERESES FEBRERO 2024  PARA LA TRANSFERENCIA CREDICONTADO POR CONTRATO DE PROMESA DE LA MZ H LOTE 15 - EL APOLO</t>
  </si>
  <si>
    <t>03BT01-28390PAGO CUOTA 16 MARZO 2024 TRANSFERENCIA CREDICONTADO POR CONTRATO DE PROMESA DE LA MZ H LOTE 15 - EL APOLO</t>
  </si>
  <si>
    <t>03BT01-28391PAGO MORA E INTERESES MARZO 2024 PARA LA TRANSFERENCIA CREDICONTADO POR CONTRATO DE PROMESA DE LA MZ H LOTE 15 - EL APOLO</t>
  </si>
  <si>
    <t>03BT01-30153PAGO CUOTA 17 ABRIL 2024 TRANSFERENCIA CREDICONTADO POR CONTRATO DE PROMESA DE LA MZ H LOTE 15 - EL APOLO</t>
  </si>
  <si>
    <t>03BT01-30154PAGO MORA E INTERESES ABRIL 2024 PARA LA TRANSFERENCIA CREDICONTADO POR CONTRATO DE PROMESA DE LA MZ H LOTE 15 - EL APOLO</t>
  </si>
  <si>
    <t>03BT01-31803PAGO CUOTA 18 MAYO 2024 TRANSFERENCIA CREDICONTADO POR CONTRATO DE PROMESA DE LA MZ H LOTE 15 - EL APOLO</t>
  </si>
  <si>
    <t>03BT01-31804PAGO MORA E INTERESES MAYO 2024 PARA LA TRANSFERENCIA CREDICONTADO POR CONTRATO DE PROMESA DE LA MZ H LOTE 15 - EL APOLO</t>
  </si>
  <si>
    <t>03BT01-33221PAGO CUOTA 19 JUNIO 2024 TRANSFERENCIA CREDICONTADO POR CONTRATO DE PROMESA DE LA MZ H LOTE 15 - EL APOLO</t>
  </si>
  <si>
    <t>03BT01-35386PAGO CUOTA 20 JULIO 2024 TRANSFERENCIA CREDICONTADO POR CONTRATO DE PROMESA DE LA MZ H LOTE 15 - EL APOLO</t>
  </si>
  <si>
    <t>03BT01-35387PAGO MORA E INTERESES JULIO 2024 PARA LA TRANSFERENCIA CREDICONTADO POR CONTRATO DE PROMESA DE LA MZ H LOTE 15 - EL APOLO</t>
  </si>
  <si>
    <t>03BT01-37096PAGO CUOTA 21 AGOSTO 2024 TRANSFERENCIA CREDICONTADO POR CONTRATO DE PROMESA DE LA MZ H LOTE 15 - EL APOLO</t>
  </si>
  <si>
    <t>03BT01-37097PAGO MORA E INTERESES AGOSTO 2024 PARA LA TRANSFERENCIA CREDICONTADO POR CONTRATO DE PROMESA DE LA MZ H LOTE 15 - EL APOLO</t>
  </si>
  <si>
    <t>03BT01-38670 PAGO CUOTA 22 SEPTIEMBRE 2024 TRANSFERENCIA CREDICONTADO POR CONTRATO DE PROMESA DE LA MZ H LOTE 15 - EL APOLO</t>
  </si>
  <si>
    <t>03BT01-38671 PAGO MORA E INTERESES SEPTIEMBRE 2024 PARA LA TRANSFERENCIA CREDICONTADO POR CONTRATO DE PROMESA DE LA MZ H LOTE 15 - EL APOLO</t>
  </si>
  <si>
    <t>03BT01-40244 PAGO CUOTA 23 0CTUBRE 2024 TRANSFERENCIA CREDICONTADO POR CONTRATO DE PROMESA DE LA MZ H LOTE 15 - EL APOLO</t>
  </si>
  <si>
    <t>03BT01-40245 PAGO MORA E INTERESES 0CTUBRE 2024 PARA LA TRANSFERENCIA CREDICONTADO POR CONTRATO DE PROMESA DE LA MZ H LOTE 15 - EL APOLO</t>
  </si>
  <si>
    <t>03BT01-41892 PAGO CUOTA 24 NOVIEMBRE 2024 TRANSFERENCIA CREDICONTADO POR CONTRATO DE PROMESA DE LA MZ H LOTE 15 - EL APOLO</t>
  </si>
  <si>
    <t>03BT01-41893 PAGO MORA E INTERESES NOVIEMBRE 2024 PARA LA TRANSFERENCIA CREDICONTADO POR CONTRATO DE PROMESA DE LA MZ H LOTE 15 - EL APOLO</t>
  </si>
  <si>
    <t xml:space="preserve">03BT01-43453 PAGO CUOTA 25 DICIEMBRE 2024 TRANSFERENCIA CREDICONTADO POR CONTRATO DE PROMESA DE LA MZ H LOTE 15 - EL APOLO </t>
  </si>
  <si>
    <t>BT01-44998</t>
  </si>
  <si>
    <t>BT01-47215</t>
  </si>
  <si>
    <t>BT01-48097</t>
  </si>
  <si>
    <t>BT01-50762</t>
  </si>
  <si>
    <t>BT01-51280</t>
  </si>
  <si>
    <t>BT01-53686</t>
  </si>
  <si>
    <t>BT01-54127</t>
  </si>
  <si>
    <t>BT01-55597</t>
  </si>
  <si>
    <t>BT01-57040</t>
  </si>
  <si>
    <t>03BT01-44998 PAGO CUOTA 26 ENERO 2025 TRANSFERENCIA CREDICONTADO POR CONTRATO DE PROMESA DE LA MZ H LOTE 15 - EL APOLO</t>
  </si>
  <si>
    <t>03BT01-47215 PAGO CUOTA 27 FEBRERO 2025 TRANSFERENCIA CREDICONTADO POR CONTRATO DE PROMESA DE LA MZ H LOTE 15 - EL APOLO</t>
  </si>
  <si>
    <t>03BT01-48097 PAGO CUOTA 28 MARZO 2025 TRANSFERENCIA CREDICONTADO POR CONTRATO DE PROMESA DE LA MZ H LOTE 15 - EL APOLO</t>
  </si>
  <si>
    <t>03BT01-50762 PAGO CUOTA 29 ABRIL 2025 TRANSFERENCIA CREDICONTADO POR CONTRATO DE PROMESA DE LA MZ H LOTE 15 - EL APOLO</t>
  </si>
  <si>
    <t>03BT01-51280 PAGO CUOTA 30 MAYO 2025 TRANSFERENCIA CREDICONTADO POR CONTRATO DE PROMESA DE LA MZ H LOTE 15 - EL APOLO</t>
  </si>
  <si>
    <t xml:space="preserve">03BT01-53686 PAGO CUOTA 31 JUNIO 2025 TRANSFERENCIA CREDICONTADO POR CONTRATO DE PROMESA DE LA MZ H LOTE 15 - EL APOLO </t>
  </si>
  <si>
    <t xml:space="preserve">03BT01-54127 PAGO CUOTA 32 JULIO 2025 TRANSFERENCIA CREDICONTADO POR CONTRATO DE PROMESA DE LA MZ H LOTE 15 - EL APOLO </t>
  </si>
  <si>
    <t xml:space="preserve">03BT01-55597 PAGO CUOTA 33 AGOSTO 2025 TRANSFERENCIA CREDICONTADO POR CONTRATO DE PROMESA DE LA MZ H LOTE 15 - EL APOLO </t>
  </si>
  <si>
    <t>03BT01-57040 PAGO CUOTA 34 SEPTIEMBRE 2025 TRANSFERENCIA CREDICONTADO POR CONTRATO DE PROMESA DE LA MZ H LOTE 15 - EL APOLO</t>
  </si>
  <si>
    <t>03EB01-8497 ADJUDICACION MZ E LOTE  1 -  APOLO</t>
  </si>
  <si>
    <t xml:space="preserve">SALCEDO CHUMACERO JACKELYN ANDREA   </t>
  </si>
  <si>
    <t xml:space="preserve">SALCEDO CHUMACERO LESLIE JOANA   </t>
  </si>
  <si>
    <t>03BT01-6318 CUOTA 1  MZ  M LOTE 1 - EL APOLO</t>
  </si>
  <si>
    <t>BT01-7640</t>
  </si>
  <si>
    <t>BT01-9919</t>
  </si>
  <si>
    <t>BT01-15661</t>
  </si>
  <si>
    <t>BT01-17313</t>
  </si>
  <si>
    <t>BT01-18734</t>
  </si>
  <si>
    <t>BT01-20497</t>
  </si>
  <si>
    <t>BT01-22222</t>
  </si>
  <si>
    <t>BT01-23657</t>
  </si>
  <si>
    <t>CUOTA 2 MZ M LOTE 1 APOLO</t>
  </si>
  <si>
    <t>03BT01-8544 CUOTA 3 FEBRERO 2023 POR CONTRATO DE PROMESA DE LA MZ. M LOTE 1- EL APOLO.</t>
  </si>
  <si>
    <t>03BT01-9919 PAGO CUOTA 4 MARZO 2023POR CONTRATO DE PROMESA DE LA MZ M LOTE 1 - EL APOLO</t>
  </si>
  <si>
    <t xml:space="preserve">03BT01-11287 PAGO CUOTA 5 ABRIL 2023 POR CONTRATO DE PROMESA DE LA MZ M LOTE 1 - EL APOLO </t>
  </si>
  <si>
    <t xml:space="preserve">03BT01-12605 PAGO CUOTA 6 MAYO 2023 POR CONTRATO DE PROMESA DE LA MZ M LOTE 1 - EL APOLO </t>
  </si>
  <si>
    <t xml:space="preserve">03BT01-14061 PAGO CUOTA 7 JUNIO 2023 POR CONTRATO DE PROMESA DE LA MZ M LOTE 1 - EL APOLO </t>
  </si>
  <si>
    <t xml:space="preserve">03BT01-15661 PAGO CUOTA 8 JULIO 2023 POR CONTRATO DE PROMESA DE LA MZ M LOTE 1 - EL APOLO </t>
  </si>
  <si>
    <t xml:space="preserve">03BT01-17313 PAGO CUOTA 9 AGOSTO 2023  POR CONTRATO DE PROMESA DE LA MZ M LOTE 1 - EL APOLO </t>
  </si>
  <si>
    <t xml:space="preserve">03BT01-18734 CUOTA 10 SEPTIEMBRE 2023  POR CONTRATO DE PROMESA DE LA MZ M LOTE 1 - EL APOLO </t>
  </si>
  <si>
    <t xml:space="preserve">03BT01-20497 CUOTA 11 MZ M LOTE 1 - EL APOLO </t>
  </si>
  <si>
    <t xml:space="preserve">03BT01-22222PAGO CUOTA 12 NOVIEMBRE 2023CONTRATO DE PROMESA DE LA MZ M LOTE 1 - EL APOLO </t>
  </si>
  <si>
    <t xml:space="preserve">03BT01-23657PAGO CUOTA 13 DICIEMBRE 2023 TRANSFERENCIA CREDICONTADO POR CONTRATO DE PROMESA DE LA MZ M LOTE 1 - EL APOLO </t>
  </si>
  <si>
    <t>BT01-25240</t>
  </si>
  <si>
    <t>BT01-27182</t>
  </si>
  <si>
    <t>BT01-28691</t>
  </si>
  <si>
    <t>BT01-30745</t>
  </si>
  <si>
    <t>BT01-32403</t>
  </si>
  <si>
    <t>BT01-34063</t>
  </si>
  <si>
    <t>BT01-35622</t>
  </si>
  <si>
    <t>BT01-37266</t>
  </si>
  <si>
    <t>BT01-39022</t>
  </si>
  <si>
    <t>BT01-40709</t>
  </si>
  <si>
    <t>BT01-42408</t>
  </si>
  <si>
    <t xml:space="preserve">03BT01-25240 PAGO CUOTA 14 ENERO 2024 TRANSFERENCIA CREDICONTADO POR CONTRATO DE PROMESA DE LA MZ M LOTE 1 - EL APOLO </t>
  </si>
  <si>
    <t>03BT01-27182PAGO CUOTA 15 FEBERO 2024 TRANSFERENCIA CREDICONTADO POR CONTRATO DE PROMESA DE LA MZ M LOTE 1 - EL APOLO</t>
  </si>
  <si>
    <t>03BT01-28691PAGO CUOTA 16 MARZO 2024 TRANSFERENCIA CREDICONTADO POR CONTRATO DE PROMESA DE LA MZ M LOTE 1 - EL APOLO</t>
  </si>
  <si>
    <t>03BT01-30745PAGO CUOTA 17 ABRIL 2024 TRANSFERENCIA CREDICONTADO POR CONTRATO DE PROMESA DE LA MZ M LOTE 1 - EL APOLO</t>
  </si>
  <si>
    <t>03BT01-32403PAGO CUOTA 18 MAYO 2024 TRANSFERENCIA CREDICONTADO POR CONTRATO DE PROMESA DE LA MZ M LOTE 1 - EL APOLO</t>
  </si>
  <si>
    <t>03BT01-34063PAGO CUOTA 19 JUNIO  2024 TRANSFERENCIA CREDICONTADO POR CONTRATO DE PROMESA DE LA MZ M LOTE 1 - EL APOLO</t>
  </si>
  <si>
    <t>03BT01-35622PAGO CUOTA 20 JULIO 2024 TRANSFERENCIA CREDICONTADO POR CONTRATO DE PROMESA DE LA MZ M LOTE 1 - EL APOLO</t>
  </si>
  <si>
    <t>03BT01-37266PAGO CUOTA 21 AGOSTO 2024 TRANSFERENCIA CREDICONTADO POR CONTRATO DE PROMESA DE LA MZ M LOTE 1 - EL APOLO</t>
  </si>
  <si>
    <t>03BT01-39022 PAGO CUOTA 22 SEPTIEMBRE 2024 TRANSFERENCIA CREDICONTADO POR CONTRATO DE PROMESA DE LA MZ M LOTE 1 - EL APOLO</t>
  </si>
  <si>
    <t>03BT01-40709 PAGO CUOTA 23 OCTUBRE 2024 TRANSFERENCIA CREDICONTADO POR CONTRATO DE PROMESA DE LA MZ M LOTE 1 - EL APOLO</t>
  </si>
  <si>
    <t xml:space="preserve">03BT01-42408 PAGO CUOTA 24 NOVIEMBRE 2024 TRANSFERENCIA CREDICONTADO POR CONTRATO DE PROMESA DE LA MZ M LOTE 1 - EL APOLO </t>
  </si>
  <si>
    <t>BT01-43941</t>
  </si>
  <si>
    <t>BT01-45381</t>
  </si>
  <si>
    <t>BT01-47005</t>
  </si>
  <si>
    <t>BT01-48506</t>
  </si>
  <si>
    <t>BT01-50052</t>
  </si>
  <si>
    <t>BT01-51535</t>
  </si>
  <si>
    <t>BT01-52952</t>
  </si>
  <si>
    <t>BT01-54343</t>
  </si>
  <si>
    <t>BT01-55919</t>
  </si>
  <si>
    <t>03BT01-43941 PAGO CUOTA 25 DICIEMBRE 2024 TRANSFERENCIA CREDICONTADO POR CONTRATO DE PROMESA DE LA MZ M LOTE 1 - EL APOLO</t>
  </si>
  <si>
    <t>03BT01-45381 PAGO CUOTA 26 ENERO 2025 TRANSFERENCIA CREDICONTADO POR CONTRATO DE PROMESA DE LA MZ M LOTE 1 - EL APOLO</t>
  </si>
  <si>
    <t>03BT01-47005 PAGO CUOTA 27 FEBRERO 2025 TRANSFERENCIA CREDICONTADO POR CONTRATO DE PROMESA DE LA MZ M LOTE 1 - EL APOLO</t>
  </si>
  <si>
    <t>03BT01-48506 PAGO CUOTA 28 MARZO 2025 TRANSFERENCIA CREDICONTADO POR CONTRATO DE PROMESA DE LA MZ M LOTE 1 - EL APOLO</t>
  </si>
  <si>
    <t xml:space="preserve">03BT01-50052 PAGO CUOTA 29 ABRIL 2025 TRANSFERENCIA CREDICONTADO POR CONTRATO DE PROMESA DE LA MZ M LOTE 1 - EL APOLO </t>
  </si>
  <si>
    <t>03BT01-51535 PAGO CUOTA 30 MAYO 2025 TRANSFERENCIA CREDICONTADO POR CONTRATO DE PROMESA DE LA MZ M LOTE 1 - EL APOLO</t>
  </si>
  <si>
    <t xml:space="preserve">03BT01-52952 PAGO CUOTA 31 JUNIO 2025 TRANSFERENCIA CREDICONTADO POR CONTRATO DE PROMESA DE LA MZ M LOTE 1 - EL APOLO </t>
  </si>
  <si>
    <t>03BT01-54343 PAGO CUOTA 32 JULIO 2025 TRANSFERENCIA CREDICONTADO POR CONTRATO DE PROMESA DE LA MZ M LOTE 1 - EL APOLO</t>
  </si>
  <si>
    <t>03BT01-55919 PAGO CUOTA 33 AGOSTO 2025 TRANSFERENCIA CREDICONTADO POR CONTRATO DE PROMESA DE LA MZ M LOTE 1 - EL APOLO</t>
  </si>
  <si>
    <t>03EB01-5047 CANCELACION CUOTA INICIAL MZ B LOTE 13 - APOLO / INGRESÓ EN EFECTIVO S/10,000</t>
  </si>
  <si>
    <t>03EB01-5574 CUOTA 1 MZ B LT 13-APOLO</t>
  </si>
  <si>
    <t>03EB01-5911 03EB01-5911CUOTA 2 MZ B LT 13-APOLO</t>
  </si>
  <si>
    <t>03EB01-6592 CUOTA 3 ABRIL 2022 POR CONTRATO DE PROMESA DE LA MZ. B LOTE 13 - EL APOLO</t>
  </si>
  <si>
    <t>03EB01-7589 03EB01-7589CUOTA 4 MAYO 2022  POR CONTRATO DE PROMESA DE LA MZ. B LOTE 13 - EL APOLO</t>
  </si>
  <si>
    <t>03EB01-8711 CUOTA 5 MZ B LT 13 - EL APOLO</t>
  </si>
  <si>
    <t>03BT01-318 CUOTA 6  MZ. B LOTE 13 - EL APOLO</t>
  </si>
  <si>
    <t>03BT01-1221 CUOTA 7  MZ B LOTE 13 - EL APOLO</t>
  </si>
  <si>
    <t>03BT01-2201 CUOTA 8 MZ B LOTE 13 - EL APOLO</t>
  </si>
  <si>
    <t>03BT01-3572 CUOTA 9 MZ B LOTE 13 - EL APOLO</t>
  </si>
  <si>
    <t xml:space="preserve">RAMOS MEDINA JANETH  </t>
  </si>
  <si>
    <t>BT01-10655</t>
  </si>
  <si>
    <t>BT01-12175</t>
  </si>
  <si>
    <t>BT01-13752</t>
  </si>
  <si>
    <t>BT01-15140</t>
  </si>
  <si>
    <t>BT01-16570</t>
  </si>
  <si>
    <t>BT01-18173</t>
  </si>
  <si>
    <t>BT01-19934</t>
  </si>
  <si>
    <t>BT01-21489</t>
  </si>
  <si>
    <t>BT01-23026</t>
  </si>
  <si>
    <t>CUOTA 10 MZ D LOTE 3 APOLO</t>
  </si>
  <si>
    <t>ADJU. CUOTA 11 MZ D LT 11-APOLO</t>
  </si>
  <si>
    <t>CUOTA 1 COCHERA 26 MZ D LT 3-APOLO</t>
  </si>
  <si>
    <t>03BT01-9384 CONTRATO DE PROMESA DE LA MZ D LOTE 3 - EL APOLO</t>
  </si>
  <si>
    <t>03BT01-9385 SEPARACION DE COCHERA N° 26 PAGO CUOTA 2 MARZO 2023 DE LA MZ D LOTE 3 - EL APOLO</t>
  </si>
  <si>
    <t>03BT01-9869 TRANSFERENCIA PARA LA ADJUDICACION DE LOTE CANCELADO DE LA MZ D LOTE 3 - EL APOLO</t>
  </si>
  <si>
    <t>03BT01-10655 SEPARACION DE COCHERA N° 26 PAGO CUOTA 3 ABRIL 2023 DE LA MZ D LOTE 3 - EL APOLO</t>
  </si>
  <si>
    <t xml:space="preserve">03BT01-12175 PAGO CUOTA 4 MAYO 2023 ABONO POR CONCEPTO DE SEPARACION DE COCHERA N° 26 DE LA MZ D LT 3 - EL APOLO </t>
  </si>
  <si>
    <t xml:space="preserve">03BT01-13752 ABONO POR CONCEPTO DE SEPARACION DE COCHERA N° 26 CUOTA 6 JUNIO 2023 DE LA MZ D LOTE 3 - EL APOLO </t>
  </si>
  <si>
    <t xml:space="preserve">03BT01-15140 ABONO POR CONCEPTO DE SEPARACION DE COCHERA N° 26 CUOTA 7 JUNIO 2023 DE LA MZ D LOTE 3 - EL APOLO </t>
  </si>
  <si>
    <t xml:space="preserve">03BT01-16570 ABONO POR CONCEPTO DE SEPARACION DE COCHERA N° 26 CUOTA 8 AGOSTO 2023 DE LA MZ D LOTE 3 - APOLO </t>
  </si>
  <si>
    <t xml:space="preserve">03BT01-18173 ABONO POR CONCEPTO DE SEPARACION DE COCHERA N° 26 CUOTA 9 SETIEMBRE 2023 DE LA MZ D LOTE 3 - APOLO </t>
  </si>
  <si>
    <t xml:space="preserve">03BT01-19934 ABONO POR CONCEPTO DE SEPARACION DE COCHERA N° 26 CUOTA 10 OCTUBRE 2023 DE LA MZ D LOTE 3 - APOLO </t>
  </si>
  <si>
    <t xml:space="preserve">03BT01-21489 SEPARACION DE COCHERA N° 26 CUOTA 11 NOVIEMBRE 2023 DE LA MZ D LOTE 3 - APOLO </t>
  </si>
  <si>
    <t xml:space="preserve">03BT01-23026SEPARACION DE COCHERA N° 26 CUOTA 12 DICIEMBRE 2023 DE LA MZ D LOTE 3 - APOLO </t>
  </si>
  <si>
    <t>12-26</t>
  </si>
  <si>
    <t>27-42</t>
  </si>
  <si>
    <t>BT01-24865</t>
  </si>
  <si>
    <t>BT01-26098</t>
  </si>
  <si>
    <t>BT01-28144</t>
  </si>
  <si>
    <t>BT01-29761</t>
  </si>
  <si>
    <t>BT01-31680</t>
  </si>
  <si>
    <t>BT01-33474</t>
  </si>
  <si>
    <t>BT01-36638</t>
  </si>
  <si>
    <t>BT01-38453</t>
  </si>
  <si>
    <t>BT01-38454</t>
  </si>
  <si>
    <t>BT01-39875</t>
  </si>
  <si>
    <t>BT01-41799</t>
  </si>
  <si>
    <t xml:space="preserve">03BT01-24865 ABONO POR CONCEPTO DE SEPARACION DE COCHERA N° 26 CUOTA 13 ENERO 2024 DE LA MZ D LOTE 3 - APOLO </t>
  </si>
  <si>
    <t>03BT01-26098 ABONO POR CONCEPTO DE SEPARACION DE COCHERA N° 26 CUOTA 14 FEBRERO 2024 DE LA MZ D LOTE 3 - APOLO</t>
  </si>
  <si>
    <t>03BT01-28144ABONO POR CONCEPTO DE SEPARACION DE COCHERA N° 26 CUOTA 15 MARZO 2024 DE LA MZ D LOTE 3 - APOLO</t>
  </si>
  <si>
    <t>03BT01-29761ABONO POR CONCEPTO DE SEPARACION DE COCHERA N° 26 CUOTA 16 ABRIL 2024 DE LA MZ D LOTE 3 - APOLO</t>
  </si>
  <si>
    <t>03BT01-31680ABONO POR CONCEPTO DE SEPARACION DE COCHERA N° 26 CUOTA 17 MAYO 2024 DE LA MZ D LOTE 3 - APOLO</t>
  </si>
  <si>
    <t>03BT01-33474ABONO POR CONCEPTO DE SEPARACION DE COCHERA N° 26 CUOTA 18 JUNIO 2024 DE LA MZ D LOTE 3 - APOLO</t>
  </si>
  <si>
    <t>03BT01-36638ABONO POR CONCEPTO DE SEPARACION DE COCHERA N° 26 CUOTA 19 JULIO 2024 DE LA MZ D LOTE 3 - APOLO</t>
  </si>
  <si>
    <t>03BT01-38453 ABONO POR CONCEPTO DE SEPARACION DE COCHERA N° 26 CUOTA 20 AGOSTO 2024 DE LA MZ D LOTE 3 - APOLO</t>
  </si>
  <si>
    <t>03BT01-38454 ABONO POR CONCEPTO DE SEPARACION DE COCHERA N° 26 CUOTA 21 SEPTIEMBRE 2024 DE LA MZ D LOTE 3 - APOLO</t>
  </si>
  <si>
    <t>03BT01-39875 ABONO POR CONCEPTO DE SEPARACION DE COCHERA N° 26 CUOTA 22 OCTUBRE 2024 DE LA MZ D LOTE 3 - APOLO</t>
  </si>
  <si>
    <t>03BT01-41799 ABONO POR CONCEPTO DE SEPARACION DE COCHERA N° 26 CUOTA 23 NOVIEMBRE 2024 DE LA MZ D LOTE 3 - APOLO</t>
  </si>
  <si>
    <t>BT01-48749</t>
  </si>
  <si>
    <t>BT01-48750</t>
  </si>
  <si>
    <t>BT01-48751</t>
  </si>
  <si>
    <t>BT01-48752</t>
  </si>
  <si>
    <t>BT01-52474</t>
  </si>
  <si>
    <t>BT01-52475</t>
  </si>
  <si>
    <t>BT01-52476</t>
  </si>
  <si>
    <t>BT01-52477</t>
  </si>
  <si>
    <t>BT01-55380</t>
  </si>
  <si>
    <t xml:space="preserve">03BT01-48749 ABONO POR CONCEPTO DE SEPARACION DE COCHERA N° 26 CUOTA 24 DICIEMBRE 2024 DE LA MZ D LOTE 3 - APOLO </t>
  </si>
  <si>
    <t xml:space="preserve">03BT01-48750 ABONO POR CONCEPTO DE SEPARACION DE COCHERA N° 26 CUOTA 25 ENERO 2025 DE LA MZ D LOTE 3 - APOLO </t>
  </si>
  <si>
    <t xml:space="preserve">03BT01-48751 ABONO POR CONCEPTO DE SEPARACION DE COCHERA N° 26 CUOTA 26 FEBRERO 2025 DE LA MZ D LOTE 3 - APOLO </t>
  </si>
  <si>
    <t xml:space="preserve">03BT01-48752 ABONO POR CONCEPTO DE SEPARACION DE COCHERA N° 26 CUOTA 27 MARZO 2025 DE LA MZ D LOTE 3 - APOLO </t>
  </si>
  <si>
    <t>03BT01-52474 ABONO POR CONCEPTO DE SEPARACION DE COCHERA N° 26 CUOTA 28 ABRIL 2025 DE LA MZ D LOTE 3 - APOLO</t>
  </si>
  <si>
    <t>03BT01-52475 ABONO POR CONCEPTO DE SEPARACION DE COCHERA N° 26 CUOTA 29 MAYO 2025 DE LA MZ D LOTE 3 - APOLO</t>
  </si>
  <si>
    <t>03BT01-52476 ABONO POR CONCEPTO DE SEPARACION DE COCHERA N° 26 CUOTA 30 JUNIO 2025 DE LA MZ D LOTE 3 - APOLO</t>
  </si>
  <si>
    <t>03BT01-52477 ABONO POR CONCEPTO DE SEPARACION DE COCHERA N° 26 CUOTA 31 JULIO 2025 DE LA MZ D LOTE 3 - APOLO</t>
  </si>
  <si>
    <t xml:space="preserve">03BT01-55380 ABONO POR CONCEPTO DE SEPARACION DE COCHERA N° 26 CUOTA 32 AGOSTO 2025 DE LA MZ D LOTE 3 - APOLO </t>
  </si>
  <si>
    <t>BT01-12041</t>
  </si>
  <si>
    <t>BT01-12266</t>
  </si>
  <si>
    <t>BT01-12703</t>
  </si>
  <si>
    <t>BT01-14373</t>
  </si>
  <si>
    <t>EDUARDO MIGUEL CALLE VELEZMORO</t>
  </si>
  <si>
    <t xml:space="preserve">03BT01-12041 SEPARACION PARA LA ADJUDICACION DE LA MZ I LT 3 -APOLO </t>
  </si>
  <si>
    <t xml:space="preserve">03BT01-12266 ADJU. DE LT CANCELADO DE LA MZ I LT 3 - APOLO </t>
  </si>
  <si>
    <t xml:space="preserve">03BT01-12703 SEPARACION COCHERA N° 120 - APOLO </t>
  </si>
  <si>
    <t xml:space="preserve">03BT01-14373 03BT01-14373CANCELACION COCHERA N° 120 - APOLO </t>
  </si>
  <si>
    <t>DEBE DECIR: SEPARACION A CUENTA DE LA CUOTA INICIAL MZ H LOTE 17 - APOLO</t>
  </si>
  <si>
    <t>03EB01-7132 CANCELACION CUOTA INICIAL PARA LA ADJUDICACION MZ H LOTE 17 - APOLO</t>
  </si>
  <si>
    <t>03EB01-9075 CUOTA 1 MZ H LT 17 - EL APOLO</t>
  </si>
  <si>
    <t>03BT01-442 CUOTA 2  MZ. H LOTE 17 - EL APOLO</t>
  </si>
  <si>
    <t>03BT01-1494 CUOTA 3 MZ H LOTE 17 - EL APOLO</t>
  </si>
  <si>
    <t>03BT01-2761 CUOTA 4 MZ H LOTE 17 - EL APOLO</t>
  </si>
  <si>
    <t>03BT01-6432 CUOTA 5  MZ S LOTE 7 - EL APOLO</t>
  </si>
  <si>
    <t xml:space="preserve">WONG ACUÑA ANGIE ANALIE   </t>
  </si>
  <si>
    <t>CANC.TOTAL MZ H LOTE 17 APOLO</t>
  </si>
  <si>
    <t>01E001-239 CANCELACION CUOTA INICIAL PARA ADJUDICACION MZ C LT 2 APOLO</t>
  </si>
  <si>
    <t>01FT01-5 ADJUDICA. COCHERA MZ C LT 2-APOLO</t>
  </si>
  <si>
    <t>01FT01-6 CUOTA 1 MZ C LT 2-APOLO</t>
  </si>
  <si>
    <t>01FT01-29 CUOTA 2  MZ C LOTE 2 - EL APOLO</t>
  </si>
  <si>
    <t>01FT01-30 ADJUDICACION MZ C LOTE 2 - EL APOLO</t>
  </si>
  <si>
    <t>01FT01-67 CUOTA 3 MZ C LOTE 2 - EL APOLO</t>
  </si>
  <si>
    <t>01FT01-68 SEPAR COCHERA N 64 - CUOTA 3 - EL APOLO</t>
  </si>
  <si>
    <t>01FT01-96 SEPAR COCHERA N°64 MZ C LOTE 2 - APOLO</t>
  </si>
  <si>
    <t>01FT01-97 PROMESA MZ C LOTE 2 - EL APOLO</t>
  </si>
  <si>
    <t>YZBEL DAGNA LORENA CHAVESTA AYASTA</t>
  </si>
  <si>
    <t>FT01-175</t>
  </si>
  <si>
    <t>FT01-230</t>
  </si>
  <si>
    <t>FT01-231</t>
  </si>
  <si>
    <t>FT01-272</t>
  </si>
  <si>
    <t>FT01-273</t>
  </si>
  <si>
    <t>FT01-284</t>
  </si>
  <si>
    <t>FT01-285</t>
  </si>
  <si>
    <t>FT01-358</t>
  </si>
  <si>
    <t>FT01-359</t>
  </si>
  <si>
    <t>FT01-448</t>
  </si>
  <si>
    <t>FT01-449</t>
  </si>
  <si>
    <t>FT01-450</t>
  </si>
  <si>
    <t>FT01-451</t>
  </si>
  <si>
    <t>FT01-507</t>
  </si>
  <si>
    <t>FT01-508</t>
  </si>
  <si>
    <t>FT01-538</t>
  </si>
  <si>
    <t>FT01-539</t>
  </si>
  <si>
    <t>FT01-594</t>
  </si>
  <si>
    <t>FT01-595</t>
  </si>
  <si>
    <t>FT01-631</t>
  </si>
  <si>
    <t>FT01-632</t>
  </si>
  <si>
    <t>SEPAR.COCHERA 51 CTA.5 MZ F LOTE 2 APOLO</t>
  </si>
  <si>
    <t>CUOTA 5 MZ F LOTE 2 APOLO</t>
  </si>
  <si>
    <t>SEPAR.COCHERA 51 CUOTA 6 MZ F LT.2 APOLO</t>
  </si>
  <si>
    <t>01FT01-185CUOTA 6 MZ F LOTE 2 APOLO</t>
  </si>
  <si>
    <t>01FB01-7CUOTA 7 MZ F LT 2-APOLO</t>
  </si>
  <si>
    <t>CUOTA 7 COCHERA 51 MZ F LT 2-APOLO</t>
  </si>
  <si>
    <t>01FT01-230 CREDICONTADO PAGO CUOTA 8 MARZO 2023 POR CONTRATO DE PROMESA DE LA MZ F LT 2- EL APOLO</t>
  </si>
  <si>
    <t>01FT01-231 COCHERA A CONCRETAR COMPRAR N° 51 CUOTA 8 MARZO 2023 DE LA MZ F LT 2 - EL APOLO</t>
  </si>
  <si>
    <t>01FT01-272  COCHERA COMPRA A CONCRETAR N° 51 PAGO CUOTA 9 ABRIL 2023 DE LA MZ F LOTE 2 - EL APOLO</t>
  </si>
  <si>
    <t>01FT01-273 PAGO CUOTA 9 ABRIL 2023 POR CONTRATO DE PROMESA DE LA MZ F LOTE 2 - EL APOLO</t>
  </si>
  <si>
    <t xml:space="preserve">01FT01-284 PAGO CUOTA 10 MAYO 2023 POR CONTRATO DE PROMESA DE LA MZ F LOTE 2 - EL APOLO </t>
  </si>
  <si>
    <t xml:space="preserve">01FT01-285 COCHERA COMPRA A CONCRETAR N°51 PAGO CUOTA 10 MAYO 2023 DE LA MZ F LOTE 2 - EL APOLO </t>
  </si>
  <si>
    <t xml:space="preserve">01FT01-358 COCHERA COMPRA A CONCRETAR N° 51 CUOTA 11 JUNIO 2023 DE LA MZ F LOTE 2 - EL APOLO </t>
  </si>
  <si>
    <t xml:space="preserve">01FT01-359 PAGO CUOTA 11 JUNIO 2023  POR CONTRATO DE PROMESA DE LA MZ F LOTE 2 - EL APOLO </t>
  </si>
  <si>
    <t xml:space="preserve">01FT01-448 COCHERA  A CONCRETAR COMPRA N° 51 CUOTA 12 JULIO 2023 DE LA MZ F LOTE 2 - EL APOLO </t>
  </si>
  <si>
    <t xml:space="preserve">01FT01-449 01FT01-449PAGO CUOTA 12 JULIO 2023 POR CONTRATO DE PROMESA DE LA MZ F LOTE 2 - EL APOLO </t>
  </si>
  <si>
    <t xml:space="preserve">01FT01-450 PAGO CUOTA 13 AGOSTO 2023 POR CONTRATO DE PROMESA DE LA MZ F LOTE 2 - EL APOLO </t>
  </si>
  <si>
    <t xml:space="preserve">01FT01-451 COCHERA  A CONCRETAR COMPRA N° 51 CUOTA 13 AGOSTO 2023 DE LA MZ F LOTE 2 - EL APOLO </t>
  </si>
  <si>
    <t xml:space="preserve">01FT01-507 CUOTA 14 SEPTIEMBRE 2023  MZ F LOTE 2 - EL APOLO </t>
  </si>
  <si>
    <t xml:space="preserve">01FT01-508 COCHERA A CONCRETAR COMPRA N° 51 CUOTA 14  MZ F LOTE 2 - EL APOLO </t>
  </si>
  <si>
    <t xml:space="preserve">01FT01-538 CUOTA 15  MZ F LOTE 2 - EL APOLO </t>
  </si>
  <si>
    <t xml:space="preserve">01FT01-539 COCHERA N° 51 CUOTA 15 OCTUBRE 2023 DE LA MZ F LOTE 2 - EL APOLO </t>
  </si>
  <si>
    <t xml:space="preserve">01FT01-594 CUOTA 16 NOVIEMBRE 2023 CONTRATO DE PROMESA DE LA MZ F LOTE 2 - EL APOLO </t>
  </si>
  <si>
    <t xml:space="preserve">01FT01-595 COCHERA A CONCRETAR COMPRA N° 51 CUOTA 16 NOVIEMBRE 2023 DE LA MZ F LOTE 2 - EL APOLO </t>
  </si>
  <si>
    <t xml:space="preserve">01FT01-631PAGO CUOTA 17 DICIEMBRE 2023 TRANSFERENCIA CREDICONTADO POR CONTRATO DE PROMESA DE LA MZ F LOTE 2 - EL APOLO </t>
  </si>
  <si>
    <t xml:space="preserve">01FT01-632ABONO POR CONCEPTO DE COCHERA A CONCRETAR COMPRA N° 51 CUOTA 17 DICIEMBRE 2023 DE LA MZ F LOTE 2 - EL APOLO </t>
  </si>
  <si>
    <t>FT01-732</t>
  </si>
  <si>
    <t>FT01-733</t>
  </si>
  <si>
    <t>FT01-740</t>
  </si>
  <si>
    <t>FT01-741</t>
  </si>
  <si>
    <t>FT01-808</t>
  </si>
  <si>
    <t>FT01-809</t>
  </si>
  <si>
    <t>FT01-847</t>
  </si>
  <si>
    <t>FT01-848</t>
  </si>
  <si>
    <t>FT01-893</t>
  </si>
  <si>
    <t>FT01-894</t>
  </si>
  <si>
    <t>FT01-948</t>
  </si>
  <si>
    <t>FT01-949</t>
  </si>
  <si>
    <t>FT01-1030</t>
  </si>
  <si>
    <t>FT01-1031</t>
  </si>
  <si>
    <t>FT01-1145</t>
  </si>
  <si>
    <t>FT01-1146</t>
  </si>
  <si>
    <t>FT01-1147</t>
  </si>
  <si>
    <t>FT01-1218</t>
  </si>
  <si>
    <t>01FT01-732 PAGO CUOTA 18 ENERO 2024 TRANSFERENCIA CREDICONTADO POR CONTRATO DE PROMESA DE LA MZ F LOTE 2 - EL APOLO</t>
  </si>
  <si>
    <t>01FT01-733 ABONO POR CONCEPTO DE COCHERA A CONCRETAR COMPRA N° 51 CUOTA 18 ENERO 2024 DE LA MZ F LOTE 2 - EL APOLO</t>
  </si>
  <si>
    <t>01FT01-740 PAGO CUOTA 19 FEBRERO 2024 TRANSFERENCIA CREDICONTADO POR CONTRATO DE PROMESA DE LA MZ F LOTE 2 - EL APOLO</t>
  </si>
  <si>
    <t>01FT01-741 ABONO POR CONCEPTO DE COCHERA A CONCRETAR COMPRA N° 51 CUOTA 19 FEBRERO 2024 DE LA MZ F LOTE 2 - EL APOLO</t>
  </si>
  <si>
    <t>01FT01-808PAGO CUOTA 20 MARZO 2024 TRANSFERENCIA CREDICONTADO POR CONTRATO DE PROMESA DE LA MZ F LOTE 2 - EL APOLO</t>
  </si>
  <si>
    <t>01FT01-809ABONO POR CONCEPTO DE COCHERA A CONCRETAR COMPRA N° 51 CUOTA 20 MARZO 2024 DE LA MZ F LOTE 2 - EL APOLO</t>
  </si>
  <si>
    <t>01FT01-847PAGO CUOTA 21 ABRIL 2024 TRANSFERENCIA CREDICONTADO POR CONTRATO DE PROMESA DE LA MZ F LOTE 2 - EL APOLO</t>
  </si>
  <si>
    <t>01FT01-848ABONO POR CONCEPTO DE COCHERA A CONCRETAR COMPRA N° 51 CUOTA 21 ABRIL 2024 DE LA MZ F LOTE 2 - EL APOLO</t>
  </si>
  <si>
    <t>01FT01-893PAGO CUOTA 22 MAYO 2024 TRANSFERENCIA CREDICONTADO POR CONTRATO DE PROMESA DE LA MZ F LOTE 2 - EL APOLO</t>
  </si>
  <si>
    <t>01FT01-894ABONO POR CONCEPTO DE COCHERA A CONCRETAR COMPRA N° 51 CUOTA 22 MAYO 2024 DE LA MZ F LOTE 2 - EL APOLO</t>
  </si>
  <si>
    <t>01FT01-948PAGO CUOTA 23 JUNIO 2024 TRANSFERENCIA CREDICONTADO POR CONTRATO DE PROMESA DE LA MZ F LOTE 2 - EL APOLO</t>
  </si>
  <si>
    <t>01FT01-949ABONO POR CONCEPTO DE COCHERA A CONCRETAR COMPRA N° 51 CUOTA 23 JUNIO 2024 DE LA MZ F LOTE 2 - EL APOLO</t>
  </si>
  <si>
    <t>01FT01-1030PAGO CUOTA 24 JULIO 2024 TRANSFERENCIA CREDICONTADO POR CONTRATO DE PROMESA DE LA MZ F LOTE 2 - EL APOLO</t>
  </si>
  <si>
    <t>01FT01-1031ABONO POR CONCEPTO DE COCHERA A CONCRETAR COMPRA N° 51 CUOTA 24 JULIO 2024 DE LA MZ F LOTE 2 - EL APOLO</t>
  </si>
  <si>
    <t>01FT01-1145 ABONO POR CONCEPTO DE COCHERA A CONCRETAR COMPRA N° 51 CUOTA 25 AGOSTO 2024 DE LA MZ F LOTE 2 - EL APOLO</t>
  </si>
  <si>
    <t>01FT01-1146 ABONO POR CONCEPTO DE COCHERA A CONCRETAR COMPRA N° 51 CUOTA 26 SEPTIEMBRE 2024 DE LA MZ F LOTE 2 - EL APOLO</t>
  </si>
  <si>
    <t>01FT01-1147 ABONO POR CONCEPTO DE COCHERA A CONCRETAR COMPRA N° 51 CUOTA 27 OCTUBRE 2024 DE LA MZ F LOTE 2 - EL APOLO</t>
  </si>
  <si>
    <t>01FT01-1218 ABONO POR CONCEPTO DE COCHERA A CONCRETAR COMPRA N° 51 CUOTA 28 NOVIEMBRE 2024 DE LA MZ F LOTE 2 - EL APOLO</t>
  </si>
  <si>
    <t>FT01-1269</t>
  </si>
  <si>
    <t>FT01-1292</t>
  </si>
  <si>
    <t>FT01-1360</t>
  </si>
  <si>
    <t>FT01-1361</t>
  </si>
  <si>
    <t>FT01-1455</t>
  </si>
  <si>
    <t>FT01-1513</t>
  </si>
  <si>
    <t>FT01-1532</t>
  </si>
  <si>
    <t>FT01-1590</t>
  </si>
  <si>
    <t>FT01-1591</t>
  </si>
  <si>
    <t>01FT01-1269 ABONO POR CONCEPTO DE COCHERA A CONCRETAR COMPRA N° 51 CUOTA 29 DICIEMBRE 2024 DE LA MZ F LOTE 2 - EL APOLO</t>
  </si>
  <si>
    <t>01FT01-1292 ABONO POR CONCEPTO DE COCHERA A CONCRETAR COMPRA N° 51 CUOTA 30 ENERO 2025 DE LA MZ F LOTE 2 - EL APOLO</t>
  </si>
  <si>
    <t>01FT01-1360 ABONO POR CONCEPTO DE COCHERA A CONCRETAR COMPRA N° 51 CUOTA 31 FEBRERO 2025 DE LA MZ F LOTE 2 - EL APOLO</t>
  </si>
  <si>
    <t>01FT01-1361 ABONO POR CONCEPTO DE COCHERA A CONCRETAR COMPRA N° 51 CUOTA 32 MARZO 2025 DE LA MZ F LOTE 2 - EL APOLO</t>
  </si>
  <si>
    <t xml:space="preserve">01FT01-1455 ABONO POR CONCEPTO DE COCHERA A CONCRETAR COMPRA N° 51 CUOTA 33 ABRIL 2025 DE LA MZ F LOTE 2 - EL APOLO </t>
  </si>
  <si>
    <t>01FT01-1513 ABONO POR CONCEPTO DE COCHERA A CONCRETAR COMPRA N° 51 CUOTA 34 MAYO 2025 DE LA MZ F LOTE 2 - EL APOLO</t>
  </si>
  <si>
    <t>01FT01-1532 ABONO POR CONCEPTO DE COCHERA A CONCRETAR COMPRA N° 51 CUOTA 35 JUNIO 2025 DE LA MZ F LOTE 2 - EL APOLO</t>
  </si>
  <si>
    <t xml:space="preserve">01FT01-1590 ABONO POR CONCEPTO DE COCHERA A CONCRETAR COMPRA N° 51 CUOTA 36 JULIO 2025 DE LA MZ F LOTE 2 - EL APOLO </t>
  </si>
  <si>
    <t xml:space="preserve">01FT01-1591 ABONO POR CONCEPTO DE COCHERA A CONCRETAR COMPRA N° 51 CUOTA 37 AGOSTO 2025 DE LA MZ F LOTE 2 - EL APOLO </t>
  </si>
  <si>
    <t>BT01-9939</t>
  </si>
  <si>
    <t>BT01-10081</t>
  </si>
  <si>
    <t>BT01-11499</t>
  </si>
  <si>
    <t>BT01-11500</t>
  </si>
  <si>
    <t>BT01-11501</t>
  </si>
  <si>
    <t>BT01-11506</t>
  </si>
  <si>
    <t>BT01-11508</t>
  </si>
  <si>
    <t>BT01-11509</t>
  </si>
  <si>
    <t>BT01-11510</t>
  </si>
  <si>
    <t>BT01-11511</t>
  </si>
  <si>
    <t>BT01-11512</t>
  </si>
  <si>
    <t>BT01-11514</t>
  </si>
  <si>
    <t>BT01-11515</t>
  </si>
  <si>
    <t>03BT01-9939 03BT01-9939SEPARACIÓN PARA LA ADJUDICACIÓN MZ I LOTE 6 - EL APOLO</t>
  </si>
  <si>
    <t>03BT01-10081 03BT01-10081CANCELACION CUOTA INICIAL PARA LA ADJUDICACION DE LA MZ  I  LOTE 6 - APOLO</t>
  </si>
  <si>
    <t xml:space="preserve">03BT01-11499 PAGO CUOTA 1 MAYO 2023 POR CONTRATO DE PROMESA DE LA MZ I LOTE 6 - EL APOLO </t>
  </si>
  <si>
    <t xml:space="preserve">03BT01-11500 PAGO CUOTA 2 JUNIO 2023 POR CONTATO DE PROMESA DE LA MZ I LOTE 6 - EL APOLO </t>
  </si>
  <si>
    <t xml:space="preserve">03BT01-11501 PAGO CUOTA 3 JULIO 2023 POR CONTATO DE PROMESA DE LA MZ I LOTE 6 - EL APOLO </t>
  </si>
  <si>
    <t xml:space="preserve">03BT01-11506 PAGO CUOTA 7 NOVIEMBRE 2023 POR CONTATO DE PROMESA DE LA MZ I LOTE 6 - EL APOLO </t>
  </si>
  <si>
    <t xml:space="preserve">03BT01-11508 PAGO CUOTA 4 AGOSTO 2023 POR CONTATO DE PROMESA DE LA MZ I LOTE 6 - EL APOLO </t>
  </si>
  <si>
    <t xml:space="preserve">03BT01-11509 03BT01-11509PAGO CUOTA 5 SETIEMBRE 2023 POR CONTATO DE PROMESA DE LA MZ I LOTE 6 - EL APOLO </t>
  </si>
  <si>
    <t xml:space="preserve">03BT01-11510 03BT01-11510PAGO CUOTA 6 OCTUBRE 2023 POR CONTATO DE PROMESA DE LA MZ I LOTE 6 - EL APOLO </t>
  </si>
  <si>
    <t xml:space="preserve">03BT01-11511 PAGO CUOTA 8 DICIEMBRE 2023 POR CONTATO DE PROMESA DE LA MZ I LOTE 6 - EL APOLO </t>
  </si>
  <si>
    <t xml:space="preserve">03BT01-11512 PAGO CUOTA 9 ENERO 2023 POR CONTATO DE PROMESA DE LA MZ I LOTE 6 - EL APOLO </t>
  </si>
  <si>
    <t xml:space="preserve">03BT01-11514 PAGO CUOTA 10 FEBRERO 2023  POR CONTATO DE PROMESA DE LA MZ I LOTE 6 - EL APOLO </t>
  </si>
  <si>
    <t xml:space="preserve">03BT01-11515 PAGO CUOTA 11 MARZO 2023  POR CONTATO DE PROMESA DE LA MZ I LOTE 6 - EL APOLO </t>
  </si>
  <si>
    <t>LADY KAREN PINEDO QUISPE</t>
  </si>
  <si>
    <t>BT01-29892</t>
  </si>
  <si>
    <t>BT01-32332</t>
  </si>
  <si>
    <t>BT01-32333</t>
  </si>
  <si>
    <t>BT01-35440</t>
  </si>
  <si>
    <t>BT01-35441</t>
  </si>
  <si>
    <t>BT01-35442</t>
  </si>
  <si>
    <t>BT01-35443</t>
  </si>
  <si>
    <t>BT01-35444</t>
  </si>
  <si>
    <t>BT01-35445</t>
  </si>
  <si>
    <t>BT01-35446</t>
  </si>
  <si>
    <t>BT01-35447</t>
  </si>
  <si>
    <t>BT01-35448</t>
  </si>
  <si>
    <t>03BT01-29892PAGO CUOTA 12 ABRIL 2024 TRANSFERENCIA CREDICONTADO POR CONTATO DE PROMESA DE LA MZ I LOTE 6 - EL APOLO</t>
  </si>
  <si>
    <t>03BT01-32332PAGO CUOTA 13 MAYO 2024 TRANSFERENCIA CREDICONTADO POR CONTATO DE PROMESA DE LA MZ I LOTE 6 - EL APOLO</t>
  </si>
  <si>
    <t>03BT01-32333PAGO CUOTA 14 JUNIO 2024 TRANSFERENCIA CREDICONTADO POR CONTATO DE PROMESA DE LA MZ I LOTE 6 - EL APOLO</t>
  </si>
  <si>
    <t>03BT01-35440PAGO CUOTA 15 JULIO 2024 TRANSFERENCIA CREDICONTADO POR CONTATO DE PROMESA DE LA MZ I LOTE 6 - EL APOLO</t>
  </si>
  <si>
    <t>03BT01-35441PAGO CUOTA 16 AGOSTO 2024 TRANSFERENCIA CREDICONTADO POR CONTATO DE PROMESA DE LA MZ I LOTE 6 - EL APOLO</t>
  </si>
  <si>
    <t>03BT01-35442PAGO CUOTA 17 SETIEMBRE 2024 TRANSFERENCIA CREDICONTADO POR CONTATO DE PROMESA DE LA MZ I LOTE 6 - EL APOLO</t>
  </si>
  <si>
    <t>03BT01-35443PAGO CUOTA 18 OCTUBRE 2024 TRANSFERENCIA CREDICONTADO POR CONTATO DE PROMESA DE LA MZ I LOTE 6 - EL APOLO</t>
  </si>
  <si>
    <t>03BT01-35444PAGO CUOTA 19 NOVIEMBRE 2024 TRANSFERENCIA CREDICONTADO POR CONTATO DE PROMESA DE LA MZ I LOTE 6 - EL APOLO</t>
  </si>
  <si>
    <t>03BT01-35445PAGO CUOTA 20 DICIEMBRE 2024 TRANSFERENCIA CREDICONTADO POR CONTATO DE PROMESA DE LA MZ I LOTE 6 - EL APOLO</t>
  </si>
  <si>
    <t>03BT01-35446PAGO CUOTA 21 ENERO 2025 TRANSFERENCIA CREDICONTADO POR CONTATO DE PROMESA DE LA MZ I LOTE 6 - EL APOLO</t>
  </si>
  <si>
    <t>03BT01-35447PAGO CUOTA 22 FEBRERO 2025 TRANSFERENCIA CREDICONTADO POR CONTATO DE PROMESA DE LA MZ I LOTE 6 - EL APOLO</t>
  </si>
  <si>
    <t>03BT01-35448PAGO CUOTA 23 MARZO 2025 TRANSFERENCIA CREDICONTADO POR CONTATO DE PROMESA DE LA MZ I LOTE 6 - EL APOLO</t>
  </si>
  <si>
    <t>BT01-49717</t>
  </si>
  <si>
    <t>BT01-49718</t>
  </si>
  <si>
    <t>BT01-49719</t>
  </si>
  <si>
    <t>BT01-49720</t>
  </si>
  <si>
    <t>BT01-49721</t>
  </si>
  <si>
    <t>BT01-49722</t>
  </si>
  <si>
    <t>BT01-49723</t>
  </si>
  <si>
    <t>BT01-49724</t>
  </si>
  <si>
    <t>BT01-49728</t>
  </si>
  <si>
    <t>BT01-49729</t>
  </si>
  <si>
    <t>BT01-56113</t>
  </si>
  <si>
    <t>BT01-56114</t>
  </si>
  <si>
    <t xml:space="preserve">03BT01-49717 PAGO CUOTA 24 ABRIL  2025 TRANSFERENCIA CREDICONTADO POR CONTATO DE PROM </t>
  </si>
  <si>
    <t xml:space="preserve">03BT01-49718 PAGO CUOTA 25 MAYO   2025 TRANSFERENCIA CREDICONTADO POR CONTATO DE PROM </t>
  </si>
  <si>
    <t xml:space="preserve">03BT01-49719 PAGO CUOTA 26 JUNIO 2025 TRANSFERENCIA CREDICONTADO POR CONTATO DE PROM </t>
  </si>
  <si>
    <t xml:space="preserve">03BT01-49720 PAGO CUOTA 27 JULIO   2025 TRANSFERENCIA CREDICONTADO POR CONTATO DE PROM </t>
  </si>
  <si>
    <t xml:space="preserve">03BT01-49721 PAGO CUOTA 28 AGOSTO  2025 TRANSFERENCIA CREDICONTADO POR CONTATO DE PROM </t>
  </si>
  <si>
    <t xml:space="preserve">03BT01-49722 PAGO CUOTA 29   SEPTIEMBRE  2025 TRANSFERENCIA CREDICONTADO POR CONTATO DE PROM </t>
  </si>
  <si>
    <t xml:space="preserve">03BT01-49723 PAGO CUOTA 30 OCTUBRE  2025 TRANSFERENCIA CREDICONTADO POR CONTATO DE PROM </t>
  </si>
  <si>
    <t xml:space="preserve">03BT01-49724 PAGO CUOTA 31 NOVIMEBRE  2025 TRANSFERENCIA CREDICONTADO POR CONTATO DE PROM </t>
  </si>
  <si>
    <t xml:space="preserve">03BT01-49728 PAGO CUOTA 34 FEBRERO  2026 TRANSFERENCIA CREDICONTADO POR CONTATO DE PROM </t>
  </si>
  <si>
    <t xml:space="preserve">03BT01-49729 PAGO CUOTA 35 MARZO  2026 TRANSFERENCIA CREDICONTADO POR CONTATO DE PROM </t>
  </si>
  <si>
    <t>03BT01-56113 PAGO CUOTA 32  DICIEMBRE  2024 TRANSFERENCIA CREDICONTADO POR CONTATO DE PROM</t>
  </si>
  <si>
    <t>03BT01-56114 PAGO CUOTA 33 ENERO 2025 TRANSFERENCIA CREDICONTADO POR CONTATO DE PROM</t>
  </si>
  <si>
    <t>22068 </t>
  </si>
  <si>
    <t>22070 </t>
  </si>
  <si>
    <t>Falta adicionar la comision izipay</t>
  </si>
  <si>
    <t>BT01-5997</t>
  </si>
  <si>
    <t>BT01-6285</t>
  </si>
  <si>
    <t>03BT01-5997 03BT01-5997ADJUDICACION  MZ D LOTE 18 - EL APOLO</t>
  </si>
  <si>
    <t>03BT01-6285 ADJ INICIAL MZ I LOTE 8 - EL APOLO</t>
  </si>
  <si>
    <t>LUIS RONALD    FERNADEZ CONTRERAS</t>
  </si>
  <si>
    <t>BT01-7699</t>
  </si>
  <si>
    <t>BT01-10977</t>
  </si>
  <si>
    <t>BT01-10978</t>
  </si>
  <si>
    <t>BT01-12770</t>
  </si>
  <si>
    <t>BT01-13994</t>
  </si>
  <si>
    <t>BT01-14520</t>
  </si>
  <si>
    <t>BT01-15659</t>
  </si>
  <si>
    <t>BT01-17120</t>
  </si>
  <si>
    <t>BT01-18840</t>
  </si>
  <si>
    <t>BT01-20571</t>
  </si>
  <si>
    <t>BT01-22089</t>
  </si>
  <si>
    <t>BT01-23651</t>
  </si>
  <si>
    <t>CAN.CTA. INICIAL ADJ. MZ I LOTE 8 APOLO</t>
  </si>
  <si>
    <t>CUOTA INICIAL ADJ. MZ I LT 8-APOLO</t>
  </si>
  <si>
    <t>03BT01-10977 PAGO CUOTA 1 ABRIL 2023 POR CONTRATO DE PROMESA DE LA MZ I LOTE 8 - EL APOLO</t>
  </si>
  <si>
    <t>03BT01-10978 PAGO POR MORAS E INTERESES DE LA CUOTA 1 ABRIL 2023 DE LA MZ I LOTE 8 - EL APOLO</t>
  </si>
  <si>
    <t xml:space="preserve">03BT01-12770 PAGO CUOTA 2 ABRIL 2023 POR CONTRATO DE PROMESA DE LA MZ I LOTE 8 - EL APOLO </t>
  </si>
  <si>
    <t xml:space="preserve">03BT01-13994 PAGO CUOTA 3 JUNIO 2023 POR CONTRATO DE PROMESA DE LA MZ I LOTE 8 - EL APOLO </t>
  </si>
  <si>
    <t xml:space="preserve">03BT01-14520 PAGO MORA E INTERESES CUOTA 2 ABRIL 2023 DE LA MZ I LOTE 8 - EL APOLO </t>
  </si>
  <si>
    <t xml:space="preserve">03BT01-15659 CUOTA 4 JUNIO 2023 POR CONTRATO DE PROMESA DE LA MZ I LOTE 8 - EL APOLO </t>
  </si>
  <si>
    <t xml:space="preserve">03BT01-17120 PAGO CUOTA 5 JULIO 2023  POR CONTRATO DE PROMESA DE LA MZ I LOTE 8 - EL APOLO </t>
  </si>
  <si>
    <t xml:space="preserve">03BT01-18840 CUOTA 6 AGOSTO 2023  MZ I LOTE 8 - EL APOLO </t>
  </si>
  <si>
    <t xml:space="preserve">03BT01-20571 CUOTA 7 MZ I LOTE 8 - EL APOLO </t>
  </si>
  <si>
    <t xml:space="preserve">03BT01-22089 CUOTA 8 OCTUBRE 2023 CONTRATO DE PROMESA DE LA MZ I LOTE 8 - EL APOLO </t>
  </si>
  <si>
    <t xml:space="preserve">03BT01-23651PAGO CUOTA 9 NOVIEMBRE 2023 TRANSFERENCIA CREDICONTADO POR CONTRATO DE PROMESA DE LA MZ I LOTE 8 - EL APOLO </t>
  </si>
  <si>
    <t>BT01-25270</t>
  </si>
  <si>
    <t>BT01-27079</t>
  </si>
  <si>
    <t>BT01-28830</t>
  </si>
  <si>
    <t>BT01-31653</t>
  </si>
  <si>
    <t>BT01-31654</t>
  </si>
  <si>
    <t>BT01-37684</t>
  </si>
  <si>
    <t xml:space="preserve">03BT01-25270 PAGO CUOTA 10 DICIEMBRE 2023 TRANSFERENCIA CREDICONTADO POR CONTRATO DE PROMESA DE LA MZ I LOTE 8 - EL APOLO </t>
  </si>
  <si>
    <t>03BT01-27079PAGO CUOTA 11 ENERO 2024 TRANSFERENCIA CREDICONTADO POR CONTRATO DE PROMESA DE LA MZ I LOTE 8 - EL APOLO</t>
  </si>
  <si>
    <t>03BT01-28830PAGO CUOTA 12 FEBRERO 2024 TRANSFERENCIA CREDICONTADO POR CONTRATO DE PROMESA DE LA MZ I LOTE 8 - EL APOLO</t>
  </si>
  <si>
    <t>03BT01-31653PAGO CUOTA 13 MARZO 2024 TRANSFERENCIA CREDICONTADO POR CONTRATO DE PROMESA DE LA MZ I LOTE 8 - EL APOLO</t>
  </si>
  <si>
    <t>03BT01-31654PAGO MORA E INTERESES MARZO 2024 DE LA TRANSFERENCIA CREDICONTADO POR CONTRATO DE PROMESA DE LA MZ I LOTE 8 - EL APOLO</t>
  </si>
  <si>
    <t>03BT01-37684 PAGO CUOTA 14 ABRIL 2024 TRANSFERENCIA CREDICONTADO POR CONTRATO DE PROMESA DE LA MZ I LOTE 8 - EL APOLO</t>
  </si>
  <si>
    <t>20110 </t>
  </si>
  <si>
    <t>20112 </t>
  </si>
  <si>
    <t>24055 </t>
  </si>
  <si>
    <t>24745 </t>
  </si>
  <si>
    <t>24780 </t>
  </si>
  <si>
    <t>24831 </t>
  </si>
  <si>
    <t>AP036435</t>
  </si>
  <si>
    <t>BT01-5511</t>
  </si>
  <si>
    <t>BT01-5716</t>
  </si>
  <si>
    <t>BT01-4876</t>
  </si>
  <si>
    <t>ALFREDO JULIAN YUPANQUI DE LA CRUZ</t>
  </si>
  <si>
    <t>03BT01-5511 03BT01-5511SEPAR. COCHERA N° 78 -MZ D LOTE 9 -APOLO</t>
  </si>
  <si>
    <t>03BT01-5716 CUOTA INICIAL MZ D LOTE 15 - EL APOLO</t>
  </si>
  <si>
    <t>03BT01-4876 ADJUDICACION MZ D LOTE 15 - EL APOLO</t>
  </si>
  <si>
    <t>BT01-8346</t>
  </si>
  <si>
    <t>BT01-9251</t>
  </si>
  <si>
    <t>BT01-10654</t>
  </si>
  <si>
    <t>BT01-11989</t>
  </si>
  <si>
    <t>BT01-13378</t>
  </si>
  <si>
    <t>BT01-14840</t>
  </si>
  <si>
    <t>BT01-16365</t>
  </si>
  <si>
    <t>BT01-17934</t>
  </si>
  <si>
    <t>BT01-19699</t>
  </si>
  <si>
    <t>BT01-21411</t>
  </si>
  <si>
    <t>BT01-23023</t>
  </si>
  <si>
    <t>ADJU. CUOTA  1 MZ D LT 15-APOLO</t>
  </si>
  <si>
    <t>03BT01-9251 CUOTA 2 MARZO 2023 TRANSFERENCIA CREDICONTADO POR CONTRATO DE PROMESA DE LA MZ I LOTE 5 - EL APOLO</t>
  </si>
  <si>
    <t>03BT01-10654 CUOTA 3 ABRIL 2023 POR CONTRATO DE PROMESA DE LA MZ I LOTE 5 - EL APOLO</t>
  </si>
  <si>
    <t xml:space="preserve">03BT01-11989 PAGO CUOTA 4 MAYO 2023 POR CONTRATO DE PROMESA DE LA MZ I LOTE 5 - EL APOLO </t>
  </si>
  <si>
    <t xml:space="preserve">03BT01-13378 PAGO CUOTA 5 JUNIO 2023  POR CONTRATO DE PROMESA DE LA MZ I LOTE 5 - EL APOLO </t>
  </si>
  <si>
    <t xml:space="preserve">03BT01-14840 PAGO CUOTA 6 JULIO 2023  POR CONTRATO DE PROMESA DE LA MZ I LOTE 5 - EL APOLO </t>
  </si>
  <si>
    <t xml:space="preserve">03BT01-16365 PAGO CUOTA 7 AGOSTO 2023 POR CONTRATO DE PROMESA DE LA MZ I LOTE 5 - EL APOLO </t>
  </si>
  <si>
    <t xml:space="preserve">03BT01-17934 PAGO CUOTA 8 SETIEMBRE 2023 POR CONTRATO DE PROMESA DE LA MZ I LOTE 5 - EL APOLO </t>
  </si>
  <si>
    <t xml:space="preserve">03BT01-19699 CUOTA 9  MZ I LOTE 5 - EL APOLO </t>
  </si>
  <si>
    <t xml:space="preserve">03BT01-21411PAGO CUOTA 10 NOVIEMBRE 2023 CONTRATO DE PROMESA DE LA MZ I LOTE 5 - EL APOLO </t>
  </si>
  <si>
    <t xml:space="preserve">03BT01-23023CUOTA 11 DICIEMBRE 2023 CONTRATO DE PROMESA DE LA MZ I LOTE 5 - EL APOLO </t>
  </si>
  <si>
    <t>BT01-24439</t>
  </si>
  <si>
    <t>BT01-26273</t>
  </si>
  <si>
    <t>BT01-27949</t>
  </si>
  <si>
    <t>BT01-29489</t>
  </si>
  <si>
    <t>BT01-31364</t>
  </si>
  <si>
    <t>BT01-33071</t>
  </si>
  <si>
    <t>BT01-34850</t>
  </si>
  <si>
    <t>BT01-36497</t>
  </si>
  <si>
    <t>BT01-38279</t>
  </si>
  <si>
    <t>BT01-39839</t>
  </si>
  <si>
    <t>BT01-41546</t>
  </si>
  <si>
    <t>BT01-41547</t>
  </si>
  <si>
    <t>BT01-41548</t>
  </si>
  <si>
    <t xml:space="preserve">03BT01-24439 PAGO CUOTA 12 ENERO 2024 TRANSFERENCIA CREDICONTADO POR CONTRATO DE PROMESA DE LA MZ I LOTE 5 - EL APOLO </t>
  </si>
  <si>
    <t>03BT01-26273 PAGO CUOTA 13 FEBRERO 2024 TRANSFERENCIA CREDICONTADO POR CONTRATO DE PROMESA DE LA MZ I LOTE 5 - EL APOLO</t>
  </si>
  <si>
    <t>03BT01-27949PAGO CUOTA 14 MARZO 2024 TRANSFERENCIA CREDICONTADO POR CONTRATO DE PROMESA DE LA MZ I LOTE 5 - EL APOLO</t>
  </si>
  <si>
    <t>03BT01-29489PAGO CUOTA 15 ABRIL 2024 TRANSFERENCIA CREDICONTADO POR CONTRATO DE PROMESA DE LA MZ I LOTE 5 - EL APOLO</t>
  </si>
  <si>
    <t>03BT01-31364PAGO CUOTA 16 MAYO 2024 TRANSFERENCIA CREDICONTADO POR CONTRATO DE PROMESA DE LA MZ I LOTE 5 - EL APOLO</t>
  </si>
  <si>
    <t>03BT01-33071PAGO CUOTA 17 JUNIO 2024 TRANSFERENCIA CREDICONTADO POR CONTRATO DE PROMESA DE LA MZ I LOTE 5 - EL APOLO</t>
  </si>
  <si>
    <t>03BT01-34850PAGO CUOTA 18 JULIO 2024 TRANSFERENCIA CREDICONTADO POR CONTRATO DE PROMESA DE LA MZ I LOTE 5 - EL APOLO</t>
  </si>
  <si>
    <t>03BT01-36497PAGO CUOTA 19 AGOSTO 2024 TRANSFERENCIA CREDICONTADO POR CONTRATO DE PROMESA DE LA MZ I LOTE 5 - EL APOLO</t>
  </si>
  <si>
    <t>03BT01-38279 PAGO CUOTA 20 SEPTIEMBRE 2024 TRANSFERENCIA CREDICONTADO POR CONTRATO DE PROMESA DE LA MZ I LOTE 5 - EL APOLO</t>
  </si>
  <si>
    <t>03BT01-39839 PAGO CUOTA 21 OCTUBRE 2024 TRANSFERENCIA CREDICONTADO POR CONTRATO DE PROMESA DE LA MZ I LOTE 5 - EL APOLO</t>
  </si>
  <si>
    <t>03BT01-41546 PAGO CUOTA 22 NOVIEMBRE 2024 TRANSFERENCIA CREDICONTADO POR CONTRATO DE PROMESA DE LA MZ I LOTE 5 - EL APOLO</t>
  </si>
  <si>
    <t>03BT01-41547 PAGO CUOTA 23 DICIEMBRE 2024 TRANSFERENCIA CREDICONTADO POR CONTRATO DE PROMESA DE LA MZ I LOTE 5 - EL APOLO</t>
  </si>
  <si>
    <t>03BT01-41548 PAGO CUOTA 24 ENERO 2025 TRANSFERENCIA CREDICONTADO POR CONTRATO DE PROMESA DE LA MZ I LOTE 5 - EL APOLO</t>
  </si>
  <si>
    <t>20514 </t>
  </si>
  <si>
    <t>BT01-8519</t>
  </si>
  <si>
    <t>BT01-8711</t>
  </si>
  <si>
    <t>BT01-14022</t>
  </si>
  <si>
    <t>BT01-17254</t>
  </si>
  <si>
    <t>BT01-21728</t>
  </si>
  <si>
    <t>JHUDAN WESLY MEZA CUISANO</t>
  </si>
  <si>
    <t>SEPAR. ADJUD. MZ A LT 7-APOLO</t>
  </si>
  <si>
    <t>03BT01-8711 CUOTA INICIAL POR COMPRA VENTA DE BIEN FUTURO MZ A LT 7 - APOLO</t>
  </si>
  <si>
    <t xml:space="preserve">03BT01-14022 PAGO CUOTA 1 JUNIO 2023  POR CONTRATO DE PROMESA DE LA MZ A LOTE 7 - EL APOLO </t>
  </si>
  <si>
    <t xml:space="preserve">03BT01-15807 PAGO CUOTA 2 JULIO 2023  POR CONTRATO DE PROMESA DE LA MZ A LOTE 6 - EL APOLO </t>
  </si>
  <si>
    <t xml:space="preserve">03BT01-17254 PAGO CUOTA 3 AGOSTO 2023 POR CONTRATO DE PROMESA DE LA MZ A LOTE 7 - EL APOLO </t>
  </si>
  <si>
    <t xml:space="preserve">03BT01-21728COMPRA VENTA BIEN FUTURO MZ A LT 07 PROYECTO APOLO </t>
  </si>
  <si>
    <t>BT01-1471</t>
  </si>
  <si>
    <t>07BT01-1471 CUOTA 2 JULIO 2023 CONTRATO DE PROMESA DE LA MZ A LOTE 7 - EL APOLO</t>
  </si>
  <si>
    <t>BT01-32406</t>
  </si>
  <si>
    <t>BT01-34159</t>
  </si>
  <si>
    <t>BT01-35757</t>
  </si>
  <si>
    <t>BT01-37388</t>
  </si>
  <si>
    <t>BT01-38527</t>
  </si>
  <si>
    <t>BT01-40641</t>
  </si>
  <si>
    <t>BT01-42407</t>
  </si>
  <si>
    <t>BT01-43642</t>
  </si>
  <si>
    <t>03BT01-32406PAGO CUOTA 1 MAYO 202 TRANSFERENCIA CREDICONTADO POR CONTRATO DE PROMESA DE LA MZ A LOTE 7 - EL APOLO</t>
  </si>
  <si>
    <t>03BT01-34159PAGO CUOTA 2 JUNIO 202 TRANSFERENCIA CREDICONTADO POR CONTRATO DE PROMESA DE LA MZ A LOTE 7 - EL APOLO</t>
  </si>
  <si>
    <t>03BT01-35757PAGO CUOTA 3 JULIO 2024 TRANSFERENCIA CREDICONTADO POR CONTRATO DE PROMESA DE LA MZ A LOTE 7 - EL APOLO</t>
  </si>
  <si>
    <t>03BT01-37388PAGO CUOTA 4 AGOSTO 2024 TRANSFERENCIA CREDICONTADO POR CONTRATO DE PROMESA DE LA MZ A LOTE 7 - EL APOLO</t>
  </si>
  <si>
    <t>03BT01-38527 PAGO CUOTA 5 SEPTIEMBRE 2024 TRANSFERENCIA CREDICONTADO POR CONTRATO DE PROMESA DE LA MZ A LOTE 7 - EL APOLO</t>
  </si>
  <si>
    <t>03BT01-40641 PAGO CUOTA 6 OCTUBRE 2024 TRANSFERENCIA CREDICONTADO POR CONTRATO DE PROMESA DE LA MZ A LOTE 7 - EL APOLO</t>
  </si>
  <si>
    <t xml:space="preserve">03BT01-42407 PAGO CUOTA 7 NOVIEMBRE 2024 TRANSFERENCIA CREDICONTADO POR CONTRATO DE PROMESA DE LA MZ A LOTE 7 - EL APOLO </t>
  </si>
  <si>
    <t xml:space="preserve">03BT01-43642 PAGO CUOTA 8 DICIEMBRE 2024 TRANSFERENCIA CREDICONTADO POR CONTRATO DE PROMESA DE LA MZ A LOTE 7 - EL APOLO </t>
  </si>
  <si>
    <t>BT01-45221</t>
  </si>
  <si>
    <t>BT01-47006</t>
  </si>
  <si>
    <t>BT01-48459</t>
  </si>
  <si>
    <t>BT01-50053</t>
  </si>
  <si>
    <t>BT01-51672</t>
  </si>
  <si>
    <t>BT01-52673</t>
  </si>
  <si>
    <t>BT01-54233</t>
  </si>
  <si>
    <t>BT01-55917</t>
  </si>
  <si>
    <t>BT01-57284</t>
  </si>
  <si>
    <t>03BT01-45221 PAGO CUOTA 9 ENERO 2025 TRANSFERENCIA CREDICONTADO POR CONTRATO DE PROMESA DE LA MZ A LOTE 7 - EL APOLO</t>
  </si>
  <si>
    <t>03BT01-47006 PAGO CUOTA 10 FEBRERO 2025 TRANSFERENCIA CREDICONTADO POR CONTRATO DE PROMESA DE LA MZ A LOTE 7 - EL APOLO</t>
  </si>
  <si>
    <t>03BT01-48459 PAGO CUOTA 11 MARZO 2025 TRANSFERENCIA CREDICONTADO POR CONTRATO DE PROMESA DE LA MZ A LOTE 7 - EL APOLO</t>
  </si>
  <si>
    <t xml:space="preserve">03BT01-50053 PAGO CUOTA 12 ABRIL 2025 TRANSFERENCIA CREDICONTADO POR CONTRATO DE PROMESA DE LA MZ A LOTE 7 - EL APOLO </t>
  </si>
  <si>
    <t>03BT01-51672 PAGO CUOTA 13 MAYO  2025 TRANSFERENCIA CREDICONTADO POR CONTRATO DE PROMESA DE LA MZ A LOTE 7 - EL APOLO</t>
  </si>
  <si>
    <t>03BT01-52673 PAGO CUOTA 14 JUNIO 2025 TRANSFERENCIA CREDICONTADO POR CONTRATO DE PROMESA DE LA MZ A LOTE 7 - EL APOLO</t>
  </si>
  <si>
    <t xml:space="preserve">03BT01-54233 PAGO CUOTA 15 JULIO 2025 TRANSFERENCIA CREDICONTADO POR CONTRATO DE PROMESA DE LA MZ A LOTE 7 - EL APOLO </t>
  </si>
  <si>
    <t>03BT01-55917 PAGO CUOTA 16 AGOSTO 2025 TRANSFERENCIA CREDICONTADO POR CONTRATO DE PROMESA DE LA MZ A LOTE 7 - EL APOLO</t>
  </si>
  <si>
    <t>03BT01-57284 PAGO CUOTA 17 SEPTIEMBRE 2025 TRANSFERENCIA CREDICONTADO POR CONTRATO DE PROMESA DE LA MZ A LOTE 7 - EL APOLO</t>
  </si>
  <si>
    <t>FT01-501</t>
  </si>
  <si>
    <t>FT01-534</t>
  </si>
  <si>
    <t>FT01-599</t>
  </si>
  <si>
    <t xml:space="preserve">01FT01-501 01FT01-501SEPARACION POR CONTRATO DE COMPRAVENTA DE LA MZ F LT 4 - APOLO </t>
  </si>
  <si>
    <t xml:space="preserve">01FT01-534 01FT01-534SEPARACION POR CONTRATO DE COMPRAVENTA DE LA MZ F LT 4 - APOLO </t>
  </si>
  <si>
    <t xml:space="preserve">01FT01-599SEPARACION POR CONTRATO DE COMPRAVENTA DE LA MZ F LT 4 - APOLO </t>
  </si>
  <si>
    <t>CORPORACION AVANZA &amp; ASOCIADOS S.A.C.</t>
  </si>
  <si>
    <t>FT01-637</t>
  </si>
  <si>
    <t>FT01-734</t>
  </si>
  <si>
    <t>FT01-746</t>
  </si>
  <si>
    <t>FT01-823</t>
  </si>
  <si>
    <t>FT01-892</t>
  </si>
  <si>
    <t>FT01-911</t>
  </si>
  <si>
    <t>FT01-974</t>
  </si>
  <si>
    <t>FT01-1035</t>
  </si>
  <si>
    <t>FT01-1088</t>
  </si>
  <si>
    <t>FT01-1117</t>
  </si>
  <si>
    <t xml:space="preserve">01FT01-637SEPARACION POR CONTRATO DE COMPRAVENTA DE LA MZ F LOTE 4 - APOLO </t>
  </si>
  <si>
    <t>01FT01-734 SEPARACION POR CONTRATO DE COMPRAVENTA DE LA MZ F LOTE 4 - APOLO</t>
  </si>
  <si>
    <t>01FT01-746SEPARACION POR CONTRATO DE COMPRAVENTA DE LA MZ F LOTE 4 - APOLO</t>
  </si>
  <si>
    <t>01FT01-823SEPARACION POR CONTRATO DE COMPRAVENTA DE LA MZ F LOTE 4 - APOLO</t>
  </si>
  <si>
    <t>01FT01-892SEPARACION POR CONTRATO DE COMPRAVENTA DE LA MZ F LOTE 4 - APOLO</t>
  </si>
  <si>
    <t>01FT01-911SEPARACION POR CONTRATO DE COMPRAVENTA DE LA MZ F LOTE 4 - APOLO</t>
  </si>
  <si>
    <t>01FT01-974SEPARACION POR CONTRATO DE COMPRAVENTA DE LA MZ F LOTE 4 - APOLO</t>
  </si>
  <si>
    <t>01FT01-1035SEPARACION POR CONTRATO DE COMPRAVENTA DE LA MZ F LOTE 4 - APOLO</t>
  </si>
  <si>
    <t>01FT01-1088 SEPARACION POR CONTRATO DE COMPRAVENTA DE LA MZ F LOTE 4 - APOLO</t>
  </si>
  <si>
    <t>01FT01-1117 SEPARACION POR CONTRATO DE COMPRAVENTA OCTUBRE 2024 DE LA MZ F LOTE 4 - APOLO</t>
  </si>
  <si>
    <t>FT01-1281</t>
  </si>
  <si>
    <t>FT01-1282</t>
  </si>
  <si>
    <t>FT01-1350</t>
  </si>
  <si>
    <t>FT01-1452</t>
  </si>
  <si>
    <t>FT01-1489</t>
  </si>
  <si>
    <t>FT01-1522</t>
  </si>
  <si>
    <t>FT01-1525</t>
  </si>
  <si>
    <t>FT01-1526</t>
  </si>
  <si>
    <t>FT01-1565</t>
  </si>
  <si>
    <t>01FT01-1281 SEPARACION POR CONTRATO DE COMPRAVENTA NOVIEMBRE 2024 DE LA MZ F LOTE 4 - APOLO</t>
  </si>
  <si>
    <t>01FT01-1282 SEPARACION POR CONTRATO DE COMPRAVENTA DICIEMBRE 2024 DE LA MZ F LOTE 4 - APOLO</t>
  </si>
  <si>
    <t>01FT01-1350 SEPARACION POR CONTRATO DE COMPRAVENTA DE LA MZ F LOTE 4 - APOLO</t>
  </si>
  <si>
    <t xml:space="preserve">01FT01-1452 SEPARACION POR CONTRATO DE COMPRAVENTA DE LA MZ F LOTE 4 - APOLO </t>
  </si>
  <si>
    <t>01FT01-1489 SEPARACION POR CONTRATO DE COMPRAVENTA DE LA MZ F LOTE 4 - APOLO</t>
  </si>
  <si>
    <t>01FT01-1522 SEPARACION POR CONTRATO DE COMPRAVENTA DE LA MZ F LOTE 4 - APOLO</t>
  </si>
  <si>
    <t>01FT01-1525 SEPARACION POR CONTRATO DE COMPRAVENTA DE LA MZ F LOTE 4 - APOLO</t>
  </si>
  <si>
    <t>01FT01-1526 SEPARACION POR CONTRATO DE COMPRAVENTA DE LA MZ F LOTE 4 - APOLO</t>
  </si>
  <si>
    <t xml:space="preserve">01FT01-1565 SEPARACION POR CONTRATO DE COMPRAVENTA DE LA MZ F LOTE 4 - APOLO </t>
  </si>
  <si>
    <t>03EB01-5878 03EB01-5878CUOTA INICIAL MZ G LT 13-APOLO</t>
  </si>
  <si>
    <t>EB01-5878</t>
  </si>
  <si>
    <t>LOAYZA YGREDA ALBERTO</t>
  </si>
  <si>
    <t>BT01-13085</t>
  </si>
  <si>
    <t>BT01-13086</t>
  </si>
  <si>
    <t>BT01-15816</t>
  </si>
  <si>
    <t>BT01-17647</t>
  </si>
  <si>
    <t>BT01-19820</t>
  </si>
  <si>
    <t>BT01-20816</t>
  </si>
  <si>
    <t>BT01-22446</t>
  </si>
  <si>
    <t xml:space="preserve">03BT01-13085 03BT01-13085PAGO CUOTA 7 MAYO 2023  POR CONTRATO DE PROMESA DE LA MZ Q LOTE 6 - EL APOLO </t>
  </si>
  <si>
    <t xml:space="preserve">03BT01-13086 PAGO CUOTA 6 ABRIL 2023  POR CONTRATO DE PROMESA DE LA MZ Q LOTE 6 - EL APOLO </t>
  </si>
  <si>
    <t xml:space="preserve">03BT01-15816 PAGO CUOTA 8 JUNIO 2023  POR CONTRATO DE PROMESA DE LA MZ Q LOTE 6 - EL APOLO </t>
  </si>
  <si>
    <t xml:space="preserve">03BT01-17647 CUOTA 9 JULIO 2023 TRANSFERENCIA CREDICONTADO POR CONTRATO DE PROMESA DE LA MZ Q LOTE 6 - EL APOLO </t>
  </si>
  <si>
    <t xml:space="preserve">03BT01-19820 CUOTA 10  MZ Q LOTE 6 - EL APOLO </t>
  </si>
  <si>
    <t xml:space="preserve">03BT01-20816PAGO CUOTA 11 SEPTIEMBRE 2023 CONTRATO DE PROMESA DE LA MZ Q LOTE 6 - EL APOLO </t>
  </si>
  <si>
    <t xml:space="preserve">03BT01-22446PAGO CUOTA 12 OCTUBRE 2023 CONTRATO DE PROMESA DE LA MZ Q LOTE 6 - EL APOLO </t>
  </si>
  <si>
    <t>BT01-24370</t>
  </si>
  <si>
    <t>BT01-26014</t>
  </si>
  <si>
    <t>BT01-27371</t>
  </si>
  <si>
    <t>BT01-28918</t>
  </si>
  <si>
    <t>BT01-31038</t>
  </si>
  <si>
    <t>BT01-33019</t>
  </si>
  <si>
    <t>BT01-34639</t>
  </si>
  <si>
    <t>BT01-36518</t>
  </si>
  <si>
    <t>BT01-38469</t>
  </si>
  <si>
    <t>BT01-39739</t>
  </si>
  <si>
    <t>BT01-41679</t>
  </si>
  <si>
    <t>BT01-43507</t>
  </si>
  <si>
    <t xml:space="preserve">03BT01-24370 PAGO CUOTA 13 NOVIEMBRE  2023 TRANSFERENCIA CREDICONTADO POR CONTRATO DE PROMESA DE LA MZ Q LOTE 6 - EL APOLO </t>
  </si>
  <si>
    <t>03BT01-26014 PAGO CUOTA 14 DICIEMBRE 2023 TRANSFERENCIA CREDICONTADO POR CONTRATO DE PROMESA DE LA MZ Q LOTE 6 - EL APOLO</t>
  </si>
  <si>
    <t>03BT01-27371PAGO CUOTA 15 ENERO 2024 TRANSFERENCIA CREDICONTADO POR CONTRATO DE PROMESA DE LA MZ Q LOTE 6 - EL APOLO</t>
  </si>
  <si>
    <t>03BT01-28918PAGO CUOTA 16 FEBRERO 2024 TRANSFERENCIA CREDICONTADO POR CONTRATO DE PROMESA DE LA MZ Q LOTE 6 - EL APOLO</t>
  </si>
  <si>
    <t>03BT01-31038PAGO CUOTA 17 MARZO 2024 TRANSFERENCIA CREDICONTADO POR CONTRATO DE PROMESA DE LA MZ Q LOTE 6 - EL APOLO</t>
  </si>
  <si>
    <t>03BT01-33019PAGO CUOTA 18 ABRIL 2024 TRANSFERENCIA CREDICONTADO POR CONTRATO DE PROMESA DE LA MZ Q LOTE 6 - EL APOLO</t>
  </si>
  <si>
    <t>03BT01-34639PAGO CUOTA 19 MAYO 2024 TRANSFERENCIA CREDICONTADO POR CONTRATO DE PROMESA DE LA MZ Q LOTE 6 - EL APOLO</t>
  </si>
  <si>
    <t>03BT01-36518PAGO CUOTA 20 JUNIO 2024 TRANSFERENCIA CREDICONTADO POR CONTRATO DE PROMESA DE LA MZ Q LOTE 6 - EL APOLO</t>
  </si>
  <si>
    <t>03BT01-38469 PAGO CUOTA 21 JULIO 2024 TRANSFERENCIA CREDICONTADO POR CONTRATO DE PROMESA DE LA MZ Q LOTE 6 - EL APOLO</t>
  </si>
  <si>
    <t>03BT01-39739 PAGO CUOTA 22 AGOSTO 2024 TRANSFERENCIA CREDICONTADO POR CONTRATO DE PROMESA DE LA MZ Q LOTE 6 - EL APOLO</t>
  </si>
  <si>
    <t>03BT01-41679 PAGO CUOTA 23 SEPTIEMBRE 2024 TRANSFERENCIA CREDICONTADO POR CONTRATO DE PROMESA DE LA MZ Q LOTE 6 - EL APOLO</t>
  </si>
  <si>
    <t xml:space="preserve">03BT01-43507 PAGO CUOTA 24 OCTUBRE 2024 TRANSFERENCIA CREDICONTADO POR CONTRATO DE PROMESA DE LA MZ Q LOTE 6 - EL APOLO </t>
  </si>
  <si>
    <t>BT01-44937</t>
  </si>
  <si>
    <t>BT01-45992</t>
  </si>
  <si>
    <t>BT01-47894</t>
  </si>
  <si>
    <t>BT01-49091</t>
  </si>
  <si>
    <t>BT01-51298</t>
  </si>
  <si>
    <t>BT01-52986</t>
  </si>
  <si>
    <t>BT01-54866</t>
  </si>
  <si>
    <t>BT01-56503</t>
  </si>
  <si>
    <t>03BT01-44937 PAGO CUOTA 25 NOVIEMBRE 2024 TRANSFERENCIA CREDICONTADO POR CONTRATO DE PROMESA DE LA MZ Q LOTE 6 - EL APOLO</t>
  </si>
  <si>
    <t>03BT01-45992 PAGO CUOTA 26 DICIEMBRE 2024 TRANSFERENCIA CREDICONTADO POR CONTRATO DE PROMESA DE LA MZ Q LOTE 6 - EL APOLO</t>
  </si>
  <si>
    <t>03BT01-47894 PAGO CUOTA 27 ENERO 2025 TRANSFERENCIA CREDICONTADO POR CONTRATO DE PROMESA DE LA MZ Q LOTE 6 - EL APOLO</t>
  </si>
  <si>
    <t xml:space="preserve">03BT01-49091 PAGO CUOTA 28 FEBRERO 2025 TRANSFERENCIA CREDICONTADO POR CONTRATO DE PROMESA DE LA MZ Q LOTE 6 - EL APOLO </t>
  </si>
  <si>
    <t>03BT01-51298 PAGO CUOTA 29 MARZO 2025 TRANSFERENCIA CREDICONTADO POR CONTRATO DE PROMESA DE LA MZ Q LOTE 6 - EL APOLO</t>
  </si>
  <si>
    <t xml:space="preserve">03BT01-52986 PAGO CUOTA 30 ABRIL 2025 TRANSFERENCIA CREDICONTADO POR CONTRATO DE PROMESA DE LA MZ Q LOTE 6 - EL APOLO </t>
  </si>
  <si>
    <t xml:space="preserve">03BT01-54866 PAGO CUOTA 31 MAYO 2025 TRANSFERENCIA CREDICONTADO POR CONTRATO DE PROMESA DE LA MZ Q LOTE 6 - EL APOLO </t>
  </si>
  <si>
    <t>03BT01-56503 PAGO CUOTA 32 JUNIO 2025 TRANSFERENCIA CREDICONTADO POR CONTRATO DE PROMESA DE LA MZ Q LOTE 6 - EL APOLO</t>
  </si>
  <si>
    <t>478</t>
  </si>
  <si>
    <t>519</t>
  </si>
  <si>
    <t>1591</t>
  </si>
  <si>
    <t>1489</t>
  </si>
  <si>
    <t>1764</t>
  </si>
  <si>
    <t>2504</t>
  </si>
  <si>
    <t>3913</t>
  </si>
  <si>
    <t>4364</t>
  </si>
  <si>
    <t>BT01-7850</t>
  </si>
  <si>
    <t>BT01-10567</t>
  </si>
  <si>
    <t>BT01-12363</t>
  </si>
  <si>
    <t>BT01-14641</t>
  </si>
  <si>
    <t>BT01-14642</t>
  </si>
  <si>
    <t>BT01-17085</t>
  </si>
  <si>
    <t>BT01-19230</t>
  </si>
  <si>
    <t>BT01-20762</t>
  </si>
  <si>
    <t>ADJU. CUOTA 8 MZ Q LT 1-APOLO</t>
  </si>
  <si>
    <t>03BT01-8817 PAGO CUOTA 9 FEBRERO 2023 POR CONTRATO PROMESA DE LA MZ Q LOTE 1 - EL APOLO</t>
  </si>
  <si>
    <t>03BT01-10567 PAGO CUOTA 10 MARZO 2023 POR CONTRATO DE PROMESA DE LA MZ Q LOTE 1 - EL APOLO</t>
  </si>
  <si>
    <t>BT01-23665</t>
  </si>
  <si>
    <t>BT01-27952</t>
  </si>
  <si>
    <t>BT01-29912</t>
  </si>
  <si>
    <t>BT01-34167</t>
  </si>
  <si>
    <t>BT01-39021</t>
  </si>
  <si>
    <t>BT01-39206</t>
  </si>
  <si>
    <t>BT01-39207</t>
  </si>
  <si>
    <t xml:space="preserve">03BT01-23665PAGO CUOTA 18 NOVIEMBRE 2023 TRANSFERENCIA CREDICONTADO POR CONTRATO DE PROMESA DE LA MZ Q LOTE 1 - EL APOLO </t>
  </si>
  <si>
    <t>03BT01-27952PAGO CUOTA 19 DICIEMBRE 2023 TRANSFERENCIA CREDICONTADO POR CONTRATO DE PROMESA DE LA MZ Q LOTE 1 - EL APOLO</t>
  </si>
  <si>
    <t>03BT01-29912PAGO CUOTA 20 ENERO 2024 TRANSFERENCIA CREDICONTADO POR CONTRATO DE PROMESA DE LA MZ Q LOTE 1 - EL APOLO</t>
  </si>
  <si>
    <t>03BT01-34167PAGO CUOTA 21 FEBRERO 2024 TRANSFERENCIA CREDICONTADO POR CONTRATO DE PROMESA DE LA MZ Q LOTE 1 - EL APOLO</t>
  </si>
  <si>
    <t>03BT01-39021 PAGO CUOTA 22 MARZO 2024 TRANSFERENCIA CREDICONTADO POR CONTRATO DE PROMESA DE LA MZ Q LOTE 1 - EL APOLO</t>
  </si>
  <si>
    <t>03BT01-39206 PAGO CUOTA 23 ABRIL 2024 TRANSFERENCIA CREDICONTADO POR CONTRATO DE PROMESA DE LA MZ Q LOTE 1 - EL APOLO</t>
  </si>
  <si>
    <t>03BT01-39207 PAGO CUOTA 24 MAYO 2024 TRANSFERENCIA CREDICONTADO POR CONTRATO DE PROMESA DE LA MZ Q LOTE 1 - EL APOLO</t>
  </si>
  <si>
    <t>EB01-2446</t>
  </si>
  <si>
    <t>EB01-2448</t>
  </si>
  <si>
    <t>03EB01-2446 CANCELACION CUOTA INICIAL POR CONTRATO DE PROMESA DE COMPRA VENTA MZ C1 LT 30 EL APOLO</t>
  </si>
  <si>
    <t>03EB01-2448 CUOTA INICIAL POR CONTRATO DE PROMESA DE COMPRA DE ESTACIONAMIENTO NRO 34 CONDOMINIO APOLO</t>
  </si>
  <si>
    <t>MONTERO RODRIGUEZ MARIA MAGDALENA</t>
  </si>
  <si>
    <t>LUNA TORRES LAURA MENSIA</t>
  </si>
  <si>
    <t>03EB01-5979 CUOTA INICIAL MZ G LT 8-APOLO</t>
  </si>
  <si>
    <t>03EB01-7113 CUOTA 1 ABRIL 2022  POR CONTRATO DE PROMESA DE LA MZ. G LOTE 8 - EL APOLO</t>
  </si>
  <si>
    <t>03EB01-8453 CUOTA 2 MZ G LT 8 - EL APOLO</t>
  </si>
  <si>
    <t>03EB01-9119 CUOTA 3 MZ G LT 8-APOLO</t>
  </si>
  <si>
    <t>03BT01-378 SEPAR. COCHERA MZ G LOTE  8- APOLO</t>
  </si>
  <si>
    <t>03BT01-478 03BT01-478CUOTA 4  MZ G LOTE 8 - EL APOLO</t>
  </si>
  <si>
    <t>03BT01-2041 CUOTA 5 MZ G LOTE 8 - EL APOLO</t>
  </si>
  <si>
    <t>03BT01-12363 PAGO CUOTA 11 ABRIL 2023  POR CONTRATO DE PROMESA DE LA MZ Q LT 1 - EL APOLO</t>
  </si>
  <si>
    <t>03BT01-14641 PAGO CUOTA 12 MAYO 2023  POR CONTRATO DE PROMESA DE LA MZ Q LOTE 1 - EL APOLO</t>
  </si>
  <si>
    <t>03BT01-14642 PAGO CUOTA 13 JUNIO 2023  POR CONTRATO DE PROMESA DE LA MZ Q LOTE 1 - EL APOLO</t>
  </si>
  <si>
    <t>03BT01-17085 CUOTA 7 TRANSFERENCIA CREDICONTADO POR CONTRATO DE PROMESA DE LA MZ Q LOTE 1 - EL APOLO</t>
  </si>
  <si>
    <t>03BT01-18174 CUOTA 14 JULIO 2023 TRANSFERENCIA CREDICONTADO POR CONTRATO DE PROMESA DE LA MZ Q LOTE 1 - EL APOLO</t>
  </si>
  <si>
    <t>03BT01-18175 PAGO CUOTA 15 AGOSTO 2023 POR CONTRATO DE PROMESA DE LA MZ Q LOTE 1 - EL APOLO</t>
  </si>
  <si>
    <t>03BT01-19230 CUOTA 16 SEPTIEMBRE 2023 MZ Q LOTE 1 - EL APOLO</t>
  </si>
  <si>
    <t>03BT01-20762PAGO CUOTA 17 OCTUBRE 2023 CONTRATO DE PROMESA DE LA MZ Q LOTE 1 - EL APOLO</t>
  </si>
  <si>
    <t>03EB01-5980 CUOTA INICIAL MZ H LT 11-APOLO</t>
  </si>
  <si>
    <t>03EB01-7114 CUOTA 1 ABRIL 2022 POR CONTRATO DE PROMESA DE LA MZ. H LOTE 11 - EL APOLO</t>
  </si>
  <si>
    <t>03EB01-8452 CUOTA 2 MZ H LT 11 - EL APOLO</t>
  </si>
  <si>
    <t>03EB01-9117 CUOTA 3 MZ H LT 11-APOLO</t>
  </si>
  <si>
    <t>03BT01-379 SEPAR. COCHERA MZ H LOTE 11 - APOLO</t>
  </si>
  <si>
    <t>03BT01-479 CUOTA 4  MZ H LOTE 11 - EL APOLO</t>
  </si>
  <si>
    <t>03BT01-2042 CUOTA 5 MZ H LOTE 11 - EL APOLO</t>
  </si>
  <si>
    <t>03BT01-6433 CUOTA 7  MZ S LOTE 1 - EL APOLO</t>
  </si>
  <si>
    <t>BT01-379</t>
  </si>
  <si>
    <t>LUNA TORRES MARIA ANGELA</t>
  </si>
  <si>
    <t>ADJU. CUOTA 8 MZ S LT 1-APOLO</t>
  </si>
  <si>
    <t>03BT01-8816 PAGO CUOTA 9 FEBRERO 2023 POR CONTRATO DE PROMESA DE LA MZ S LOTE 1 - EL APOLO</t>
  </si>
  <si>
    <t>03BT01-10287 CUOTA 10 MARZO 2023 TRANSFERENCIA CREDICONTADO POR CONTRATO DE PROMESA DE LA MZ S LOTE 1 - EL APOLO</t>
  </si>
  <si>
    <t>03BT01-12364 PAGO CUOTA 11 ABRIL 2023 POR CONTRATO DE PROMESA DE LA MZ S LT 1 - EL APOLO</t>
  </si>
  <si>
    <t>03BT01-13082 PAGO CUOTA 12 MAYO 2023  POR CONTRATO DE PROMESA DE LA MZ S LOTE 1 - EL APOLO</t>
  </si>
  <si>
    <t>03BT01-14643 PAGO CUOTA 13 JUNIO 2023 POR CONTRATO DE PROMESA DE LA MZ S LOTE 1 - EL APOLO</t>
  </si>
  <si>
    <t>03BT01-18176 PAGO CUOTA 14 JULIO 2023 POR CONTRATO DE PROMESA DE LA MZ S LOTE 1 - EL APOLO</t>
  </si>
  <si>
    <t>03BT01-19229 CUOTA 16 SEPTIEMBRE 2023 MZ S LOTE 1 - EL APOLO</t>
  </si>
  <si>
    <t>03BT01-19336 CUOTA 15  MZ S LOTE 1 - APOLO</t>
  </si>
  <si>
    <t>03BT01-20763PAGO CUOTA 17 OCTUBRE 2023 CONTRATO DE PROMESA DE LA MZ S LOTE 1 - EL APOLO</t>
  </si>
  <si>
    <t>BT01-10287</t>
  </si>
  <si>
    <t>BT01-12364</t>
  </si>
  <si>
    <t>BT01-13082</t>
  </si>
  <si>
    <t>BT01-14643</t>
  </si>
  <si>
    <t>BT01-19229</t>
  </si>
  <si>
    <t>BT01-19336</t>
  </si>
  <si>
    <t>BT01-20763</t>
  </si>
  <si>
    <t>BT01-23666</t>
  </si>
  <si>
    <t>BT01-27951</t>
  </si>
  <si>
    <t>BT01-29913</t>
  </si>
  <si>
    <t>BT01-34166</t>
  </si>
  <si>
    <t>BT01-39020</t>
  </si>
  <si>
    <t>BT01-39204</t>
  </si>
  <si>
    <t>BT01-39205</t>
  </si>
  <si>
    <t xml:space="preserve">03BT01-23666PAGO CUOTA 18 NOVIEMBRE 2023 TRANSFERENCIA CREDICONTADO POR CONTRATO DE PROMESA DE LA MZ S LOTE 1 - EL APOLO </t>
  </si>
  <si>
    <t>03BT01-27951PAGO CUOTA 19 DICIEMBRE 2023 TRANSFERENCIA CREDICONTADO POR CONTRATO DE PROMESA DE LA MZ S LOTE 1 - EL APOLO</t>
  </si>
  <si>
    <t>03BT01-29913PAGO CUOTA 20 ENERO 2024 TRANSFERENCIA CREDICONTADO POR CONTRATO DE PROMESA DE LA MZ S LOTE 1 - EL APOLO</t>
  </si>
  <si>
    <t>03BT01-34166PAGO CUOTA 21 FEBRERO 2024 TRANSFERENCIA CREDICONTADO POR CONTRATO DE PROMESA DE LA MZ S LOTE 1 - EL APOLO</t>
  </si>
  <si>
    <t>03BT01-39020 PAGO CUOTA 22 MARZO 2024 TRANSFERENCIA CREDICONTADO POR CONTRATO DE PROMESA DE LA MZ S LOTE 1 - EL APOLO</t>
  </si>
  <si>
    <t>03BT01-39204 PAGO CUOTA 23 ABRIL 2024 TRANSFERENCIA CREDICONTADO POR CONTRATO DE PROMESA DE LA MZ S LOTE 1 - EL APOLO</t>
  </si>
  <si>
    <t>03BT01-39205 PAGO CUOTA 24 MAYO 2024 TRANSFERENCIA CREDICONTADO POR CONTRATO DE PROMESA DE LA MZ S LOTE 1 - EL APOLO</t>
  </si>
  <si>
    <t>SEPAR.ADJU  MZ R LOTE 7 APOLO</t>
  </si>
  <si>
    <t>CAN.CTA. INICIAL ADJ. MZ R LOTE 7 APOLO</t>
  </si>
  <si>
    <t>03BT01-11390 PAGO CUOTA 1 ABRIL 2023 POR CONTRATO DE PROMESA DE LA MZ R LOTE 7 - EL APOLO</t>
  </si>
  <si>
    <t>03BT01-12063 SEPARACION PARA LA ADJUDICACION DE LA MZ R LOTE 7 - EL APOLO</t>
  </si>
  <si>
    <t>03BT01-12627 03BT01-12627PAGO CUOTA 3 JUNIO 2023 POR CONTRATO DE PROMESA DE LA MZ R LOTE 7 - EL APOLO</t>
  </si>
  <si>
    <t>03BT01-13239 03BT01-13239PAGO CUOTA 2 MAYO 2023 POR CONTRATO DE PROMESA DE LA MZ R LOTE 7 - EL APOLO</t>
  </si>
  <si>
    <t>03BT01-15809 03BT01-15809PAGO CUOTA 4 JULIO 2023  POR CONTRATO DE PROMESA DE LA MZ R LOTE 7 - EL APOLO</t>
  </si>
  <si>
    <t>03BT01-16061 PAGO CUOTA 5 AGOSTO 2023 PARA LA ADJUDICACION DE LA MZ R LOTE 7 - EL APOLO</t>
  </si>
  <si>
    <t>03BT01-17984 PAGO CUOTA 6 SETIEMBRE 2023 PARA LA ADJUDICACION DE LA MZ R LOTE 7 - EL APOLO</t>
  </si>
  <si>
    <t>03BT01-19705 CUOTA 7  DE LA MZ R LOTE 7 - EL APOLO</t>
  </si>
  <si>
    <t>03BT01-21149PAGO CUOTA 8 NOVIEMBRE 2023 CONTRATO DE PROMESA DE LA MZ R LOTE 7 - EL APOLO</t>
  </si>
  <si>
    <t>03BT01-23236PAGO CUOTA 9 DICIEMBRE 2023 TRANSFERENCIA CREDICONTADO POR CONTRATO DE PROMESA DE LA MZ R LOTE 7 - EL APOLO</t>
  </si>
  <si>
    <t>03BT01-23573PAGO CUOTA 10 ENERO 2024 TRANSFERENCIA CREDICONTADO POR CONTRATO DE PROMESA DE LA MZ R LOTE 7 - EL APOLO</t>
  </si>
  <si>
    <t>BT01-13239</t>
  </si>
  <si>
    <t>BT01-19705</t>
  </si>
  <si>
    <t>BT01-21149</t>
  </si>
  <si>
    <t>BT01-23236</t>
  </si>
  <si>
    <t>BT01-23573</t>
  </si>
  <si>
    <t>TELLO LEON LUIS ENRIQUE</t>
  </si>
  <si>
    <t>BT01-25623</t>
  </si>
  <si>
    <t>BT01-27534</t>
  </si>
  <si>
    <t>BT01-31470</t>
  </si>
  <si>
    <t>BT01-31471</t>
  </si>
  <si>
    <t>BT01-32981</t>
  </si>
  <si>
    <t>BT01-34902</t>
  </si>
  <si>
    <t>BT01-36674</t>
  </si>
  <si>
    <t>BT01-38281</t>
  </si>
  <si>
    <t>BT01-39874</t>
  </si>
  <si>
    <t>BT01-41678</t>
  </si>
  <si>
    <t>BT01-42783</t>
  </si>
  <si>
    <t>03BT01-25623 PAGO CUOTA 11 FEBRERO 2024 TRANSFERENCIA CREDICONTADO POR CONTRATO DE PROMESA DE LA MZ R LOTE 7 - EL APOLO</t>
  </si>
  <si>
    <t>03BT01-27534PAGO CUOTA 12 MARZO 2024 TRANSFERENCIA CREDICONTADO POR CONTRATO DE PROMESA DE LA MZ R LOTE 7 - EL APOLO</t>
  </si>
  <si>
    <t>03BT01-31470PAGO CUOTA 13 ABRIL 2024 TRANSFERENCIA CREDICONTADO POR CONTRATO DE PROMESA DE LA MZ R LOTE 7 - EL APOLO</t>
  </si>
  <si>
    <t>03BT01-31471PAGO CUOTA 14 MAYO 2024 TRANSFERENCIA CREDICONTADO POR CONTRATO DE PROMESA DE LA MZ R LOTE 7 - EL APOLO</t>
  </si>
  <si>
    <t>03BT01-32981PAGO CUOTA 15 JUNIOO 2024 TRANSFERENCIA CREDICONTADO POR CONTRATO DE PROMESA DE LA MZ R LOTE 7 - EL APOLO</t>
  </si>
  <si>
    <t>03BT01-34902PAGO CUOTA 16 JULIO 2024 TRANSFERENCIA CREDICONTADO POR CONTRATO DE PROMESA DE LA MZ R LOTE 7 - EL APOLO</t>
  </si>
  <si>
    <t>03BT01-36674PAGO CUOTA 17 AGOSTO 2024 TRANSFERENCIA CREDICONTADO POR CONTRATO DE PROMESA DE LA MZ R LOTE 7 - EL APOLO</t>
  </si>
  <si>
    <t>03BT01-38281 PAGO CUOTA 18 SEPTIEMBRE 2024 TRANSFERENCIA CREDICONTADO POR CONTRATO DE PROMESA DE LA MZ R LOTE 7 - EL APOLO</t>
  </si>
  <si>
    <t>03BT01-39874 PAGO CUOTA 19 OCTUBRE 2024 TRANSFERENCIA CREDICONTADO POR CONTRATO DE PROMESA DE LA MZ R LOTE 7 - EL APOLO</t>
  </si>
  <si>
    <t>03BT01-41678 PAGO CUOTA 20 NOVIEMBRE 2024 TRANSFERENCIA CREDICONTADO POR CONTRATO DE PROMESA DE LA MZ R LOTE 7 - EL APOLO</t>
  </si>
  <si>
    <t xml:space="preserve">03BT01-42783 PAGO CUOTA 21 DICIEMBRE 2024 TRANSFERENCIA CREDICONTADO POR CONTRATO DE PROMESA DE LA MZ R LOTE 7 - EL APOLO </t>
  </si>
  <si>
    <t>BT01-44746</t>
  </si>
  <si>
    <t>BT01-46288</t>
  </si>
  <si>
    <t>BT01-47703</t>
  </si>
  <si>
    <t>BT01-49514</t>
  </si>
  <si>
    <t>BT01-51007</t>
  </si>
  <si>
    <t>BT01-52373</t>
  </si>
  <si>
    <t>BT01-53884</t>
  </si>
  <si>
    <t>BT01-55367</t>
  </si>
  <si>
    <t>BT01-56678</t>
  </si>
  <si>
    <t>03BT01-44746 PAGO CUOTA 22 ENERO 2025 TRANSFERENCIA CREDICONTADO POR CONTRATO DE PROMESA DE LA MZ R LOTE 7 - EL APOLO</t>
  </si>
  <si>
    <t>03BT01-46288 PAGO CUOTA 23 FEBRERO 2025 TRANSFERENCIA CREDICONTADO POR CONTRATO DE PROMESA DE LA MZ R LOTE 7 - EL APOLO</t>
  </si>
  <si>
    <t>03BT01-47703 PAGO CUOTA 24 MARZ 2025 TRANSFERENCIA CREDICONTADO POR CONTRATO DE PROMESA DE LA MZ R LOTE 7 - EL APOLO</t>
  </si>
  <si>
    <t xml:space="preserve">03BT01-49514 PAGO CUOTA 25 ABRIL 2025 TRANSFERENCIA CREDICONTADO POR CONTRATO DE PROMESA DE LA MZ R LOTE 7 - EL APOLO </t>
  </si>
  <si>
    <t>03BT01-51007 PAGO CUOTA 26 MAYO 2025 TRANSFERENCIA CREDICONTADO POR CONTRATO DE PROMESA DE LA MZ R LOTE 7 - EL APOLO</t>
  </si>
  <si>
    <t>03BT01-52373 PAGO CUOTA 27 JUNIO 2025 TRANSFERENCIA CREDICONTADO POR CONTRATO DE PROMESA DE LA MZ R LOTE 7 - EL APOLO</t>
  </si>
  <si>
    <t>03BT01-53884 PAGO CUOTA 28 JULIO 2025 TRANSFERENCIA CREDICONTADO POR CONTRATO DE PROMESA DE LA MZ R LOTE 7 - EL APOLO</t>
  </si>
  <si>
    <t xml:space="preserve">03BT01-55367 PAGO CUOTA 29 AGOSTO 2025 TRANSFERENCIA CREDICONTADO POR CONTRATO DE PROMESA DE LA MZ R LOTE 7 - EL APOLO </t>
  </si>
  <si>
    <t>03BT01-56678 PAGO CUOTA 30 SEPTIEMBRE 2025 TRANSFERENCIA CREDICONTADO POR CONTRATO DE PROMESA DE LA MZ R LOTE 7 - EL APOLO</t>
  </si>
  <si>
    <t>NC // MZ B LT 1 AMAREA</t>
  </si>
  <si>
    <t xml:space="preserve">
19887 </t>
  </si>
  <si>
    <t>872637</t>
  </si>
  <si>
    <t>1457</t>
  </si>
  <si>
    <t>946663</t>
  </si>
  <si>
    <t>371701</t>
  </si>
  <si>
    <t>698678</t>
  </si>
  <si>
    <t>295145</t>
  </si>
  <si>
    <t>527631</t>
  </si>
  <si>
    <t>202378</t>
  </si>
  <si>
    <t>732930</t>
  </si>
  <si>
    <t>2128</t>
  </si>
  <si>
    <t>2147</t>
  </si>
  <si>
    <t>2276</t>
  </si>
  <si>
    <t>2401</t>
  </si>
  <si>
    <t>3161</t>
  </si>
  <si>
    <t>822193</t>
  </si>
  <si>
    <t>2552</t>
  </si>
  <si>
    <t>03EB01-7577 SEPARACION PARA ADJUDICACION MZ D LT 9 APOLO</t>
  </si>
  <si>
    <t>03EB01-7578 SEPARACION PARA ADJUDICACION MZ D LT 10 APOLO</t>
  </si>
  <si>
    <t>03EB01-7762 CANCELACION CUOTA INICIAL PARA LA ADJUDICACION MZ D LOTE 10 - APOLO</t>
  </si>
  <si>
    <t>03EB01-7763 ABONO POR CONCEPTO DE SEPARACION DE COCHERA PROYECTO APOLO A CONCRETAR COMPRA NUMERO 79</t>
  </si>
  <si>
    <t>03EB01-7764 ABONO POR CONCEPTO DE SEPARACION DE COCHERA PROYECTO APOLO A CONCRETAR COMPRA NUMERO 78</t>
  </si>
  <si>
    <t>03EB01-7765 CANCELACION CUOTA INICIAL MZ D LOTE 9 - APOLO</t>
  </si>
  <si>
    <t>03EB01-9303 ADJUDICACION MZ D LT 10-APOLO</t>
  </si>
  <si>
    <t>03EB01-9304 ADJUDICACION MZ D LT 9-APOLO</t>
  </si>
  <si>
    <t>03EB01-9326 03EB01-9326CUOTA 1 MZ D LT 10-APOLO</t>
  </si>
  <si>
    <t>03EB01-9582 03EB01-9582CUOTA 1 MZ D LT 9 -APOLO</t>
  </si>
  <si>
    <t>03BT01-196 SEPAR. COCHERA MZ D LOTE 10 -APOLO</t>
  </si>
  <si>
    <t>03BT01-197 SEPAR. COCHERA MZ D LOTE 9 - APOLO</t>
  </si>
  <si>
    <t>03BT01-198 CUOTA 2   MZ D LOTE 9 - APOLO</t>
  </si>
  <si>
    <t>03BT01-199 CUOTA 2   MZ D LOTE 10 - APOLO</t>
  </si>
  <si>
    <t>03BT01-1778 03BT01-1778SEPAR. COCHERA N° 78 -MZ D LOTE 9 -APOLO</t>
  </si>
  <si>
    <t>03BT01-1779 SEPAR COCHERA N° 79 -MZ D LOTE 10 -APOLO</t>
  </si>
  <si>
    <t>03BT01-1774 03BT01-1774CUOTA 3  MZ D LOTE 9 - APOLO</t>
  </si>
  <si>
    <t>03BT01-1775 CUOTA 3  MZ D LOTE 10 - APOLO</t>
  </si>
  <si>
    <t>03BT01-3019 CUOTA 4 MZ D LOTE 10 - EL APOLO</t>
  </si>
  <si>
    <t>03BT01-3020 03BT01-3020SEPAR. COCHERA N° 78 -MZ D LOTE 9 -APOLO</t>
  </si>
  <si>
    <t>03BT01-3021 CUOTA 4 MZ D LOTE 9 - EL APOLO</t>
  </si>
  <si>
    <t>03BT01-4362 03BT01-4362SEPAR. COCHERA N° 78 -MZ D LOTE 9 -APOLO</t>
  </si>
  <si>
    <t>03BT01-4363 SEPAR. COCHERA N° 79-MZ D LOTE 10 -APOLO</t>
  </si>
  <si>
    <t>03BT01-4364 CUOTA 5  MZ D LOTE 10 - EL APOLO</t>
  </si>
  <si>
    <t>03BT01-4365 CUOTA 5  MZ D LOTE 9 - EL APOLO</t>
  </si>
  <si>
    <t>03BT01-4614 03BT01-4614SEPAR. COCHERA N°79 -MZ D LOTE 10 -APOLO</t>
  </si>
  <si>
    <t>03BT01-5622 SEPAR. COCHERA N 78  MZ D LOTE 9 - APOLO</t>
  </si>
  <si>
    <t>03BT01-5620 SEPAR. COCHERA N 79  MZ D LOTE 10 -APOLO</t>
  </si>
  <si>
    <t>03BT01-5618 CUOTA 6 MZ D LOTE 10 - EL APOLO</t>
  </si>
  <si>
    <t>CUOTA 4 MZ U5 LOTE 10 APOLO</t>
  </si>
  <si>
    <t>03BT01-7000CUOTA 7 MZ D LOTE 9 APOLO</t>
  </si>
  <si>
    <t>03BT01-7002SEPAR.COCHERA 78 CTA.7 MZ D LOTE 7 APOLO</t>
  </si>
  <si>
    <t>SEPAR.COCHERA 79 CTA.7 MZ D LOTE 7 APOLO</t>
  </si>
  <si>
    <t>ADJU. CUOTA 6 MZ D LT 9-APOLO</t>
  </si>
  <si>
    <t>ADJU. CUOTA 8 MZ D LT 9-APOLO</t>
  </si>
  <si>
    <t>ADJU. CUOTA 8 MZ D LT 10-APOLO</t>
  </si>
  <si>
    <t>CUOTA 8 COCHERA 78 MZ D LT 9-APOLO</t>
  </si>
  <si>
    <t>CUOTA 8 COCHERA 79 MZ D LT 10-APOLO</t>
  </si>
  <si>
    <t>03BT01-9083 CREDICONTADO PAGO CUOTA 9 MARZO 2023 POR CONTRATO DE PROMESA DE LA MZ. D LT. 10 - EL APOLO</t>
  </si>
  <si>
    <t>03BT01-9086 SEPARACION DE COCHERA A CONCRETAR COMPRA N° 79  CUOTA 9 MARZO 2023 MZ D LT 10 - EL APOLO</t>
  </si>
  <si>
    <t>03BT01-9157 SEPARACION DE COCHERA N° 78 PAGO CUOTA 9 MARZO 2023 DE LA MZ D LT 9 - EL APOLO</t>
  </si>
  <si>
    <t>03BT01-9245 CREDICONTADO PAGO 9 MARZO 2023 POR CONTRATO DE PROMESA DE LA MZ D LT 9- APOLO</t>
  </si>
  <si>
    <t>03BT01-10550 PAGO CUOTA 10 ABRIL 2023 POR CONTRATO DE PROMESA DE LA MZ D LOTE 10 - EL APOLO</t>
  </si>
  <si>
    <t>03BT01-10551 PAGO CUOTA 10 ABRIL 2023 POR CONTRATO DE PROMESA DE LA MZ D LOTE 9 - EL APOLO</t>
  </si>
  <si>
    <t>03BT01-10552 CUOTA 10 ABRIL 2023 SEPARACION DE COCHERA A CONCRETAR COMPRA N° 79 DE LA MZ D LOTE 10   - EL APOLO</t>
  </si>
  <si>
    <t>03BT01-10553 PAGO CUOTA 10 ABRIL 2023 SEPARACION DE COCHERAN° 78 DE LA MZ D LOTE 9 - EL APOLO</t>
  </si>
  <si>
    <t>03BT01-11626 PAGO CUOTA 11 MAYO 2023  POR CONTRATO DE PROMESA DE LA MZ D LOTE 10 - EL APOLO</t>
  </si>
  <si>
    <t>03BT01-11628 03BT01-11628PAGO CUOTA 11 MAYO 2023 POR CONTRATO DE PROMESA DE LA MZ D LOTE 9 - EL APOLO</t>
  </si>
  <si>
    <t>03BT01-11631  CUOTA 11 MAYO 2023SEPARACION DE COCHERA A CONCRETAR COMPRA N° 78 DE LA MZ D LOTE 9 - EL APOLO</t>
  </si>
  <si>
    <t>03BT01-11632 CUOTA 11 MAYO  2023 SEPARACION DE COCHERA A CONCRETAR COMPRA N° 79 DE LA MZ D LOTE 10 - EL APOLO</t>
  </si>
  <si>
    <t>03BT01-13190 CANCELACION TOTAL POR CONCEPTO DE SEPARACION DE COCHERA COMPRA N° 78 DE LA MZ D LOTE 9 - EL APOLO</t>
  </si>
  <si>
    <t>03BT01-13192 CANCELACION CREDICONTADO POR CONTRATO DE PROMESA DE LA MZ D LOTE 10 - EL APOLO</t>
  </si>
  <si>
    <t>03BT01-13193 CANCELACION CREDICONTADO POR CONTRATO DE PROMESA DE LA MZ D LOTE 9 - EL APOLO</t>
  </si>
  <si>
    <t>03BT01-13195 03BT01-13195SEPARACION DE COCHERA COMPRA N° 79 DE LA MZ D LOTE 10 - EL APOLO</t>
  </si>
  <si>
    <t>BT01-10552</t>
  </si>
  <si>
    <t>BT01-11632</t>
  </si>
  <si>
    <t>SERRA SUITO GUILLERMO FERNANDO</t>
  </si>
  <si>
    <t>BT01-10553</t>
  </si>
  <si>
    <t>BT01-11631</t>
  </si>
  <si>
    <t>03BT01-15242 SEPARACION POR CONTRATO DE COMPRAVENTA DE LA MZ M LT 7  - APOLO</t>
  </si>
  <si>
    <t>03BT01-15804 CANCELACION CUOTA INICIAL POR  CONTRATO DE COMPRA VENTA DE LA MZ M LT 7 - APOLO</t>
  </si>
  <si>
    <t>03BT01-16883 PAGO CUOTA 1 AGOSTO 2023  POR CONTRATO DE PROMESA DE LA MZ M LOTE 7 - EL APOLO</t>
  </si>
  <si>
    <t>03BT01-20123 03BT01-20123PAGO CUOTA 2 SEPTIEMBRE 2023 POR CONTRATO DE PROMESA DE LA MZ M LOTE 7 - EL APOLO</t>
  </si>
  <si>
    <t>03BT01-20815PAGO CUOTA 3 OCTUBRE 2023 CONTRATO DE PROMESA DE LA MZ M LOTE 7 - EL APOLO</t>
  </si>
  <si>
    <t>03BT01-22453PAGO CUOTA 4 NOVIEMBRE 2023 CONTRATO DE PROMESA DE LA MZ M LOTE 7 - EL APOLO</t>
  </si>
  <si>
    <t>BT01-16883</t>
  </si>
  <si>
    <t>BT01-20123</t>
  </si>
  <si>
    <t>BT01-20815</t>
  </si>
  <si>
    <t>BT01-22453</t>
  </si>
  <si>
    <t>01171717</t>
  </si>
  <si>
    <t>CHAVARRIA VELAS NATALIA ANDREA</t>
  </si>
  <si>
    <t>BT01-23921</t>
  </si>
  <si>
    <t>BT01-25982</t>
  </si>
  <si>
    <t>BT01-26739</t>
  </si>
  <si>
    <t>BT01-29014</t>
  </si>
  <si>
    <t>BT01-30550</t>
  </si>
  <si>
    <t>BT01-32865</t>
  </si>
  <si>
    <t>BT01-34728</t>
  </si>
  <si>
    <t>BT01-35891</t>
  </si>
  <si>
    <t>BT01-38601</t>
  </si>
  <si>
    <t>BT01-41141</t>
  </si>
  <si>
    <t>BT01-41442</t>
  </si>
  <si>
    <t>BT01-42628</t>
  </si>
  <si>
    <t xml:space="preserve">03BT01-23921PAGO CUOTA 5 DICIEMBRE  2023 TRANSFERENCIA CREDICONTADO POR CONTRATO DE PROMESA DE LA MZ M LOTE 7 - EL APOLO </t>
  </si>
  <si>
    <t>03BT01-25982 PAGO CUOTA 6 ENERO 2024 TRANSFERENCIA CREDICONTADO POR CONTRATO DE PROMESA DE LA MZ M LOTE 7 - EL APOLO</t>
  </si>
  <si>
    <t>03BT01-26739 PAGO CUOTA 7 FEBERO 2024 TRANSFERENCIA CREDICONTADO POR CONTRATO DE PROMESA DE LA MZ M LOTE 7 - EL APOLO</t>
  </si>
  <si>
    <t>03BT01-29014PAGO CUOTA 8 MARZO 2024 TRANSFERENCIA CREDICONTADO POR CONTRATO DE PROMESA DE LA MZ M LOTE 7 - EL APOLO</t>
  </si>
  <si>
    <t>03BT01-30550PAGO CUOTA 9 ABRIL 2024 TRANSFERENCIA CREDICONTADO POR CONTRATO DE PROMESA DE LA MZ M LOTE 7 - EL APOLO</t>
  </si>
  <si>
    <t>03BT01-32865PAGO CUOTA 10 MAYO 2024 TRANSFERENCIA CREDICONTADO POR CONTRATO DE PROMESA DE LA MZ M LOTE 7 - EL APOLO</t>
  </si>
  <si>
    <t>03BT01-34728PAGO CUOTA 11 JUNIO 2024 TRANSFERENCIA CREDICONTADO POR CONTRATO DE PROMESA DE LA MZ M LOTE 7 - EL APOLO</t>
  </si>
  <si>
    <t>03BT01-35891PAGO CUOTA 12 JULIO 2024 TRANSFERENCIA CREDICONTADO POR CONTRATO DE PROMESA DE LA MZ M LOTE 7 - EL APOLO</t>
  </si>
  <si>
    <t>03BT01-38601 PAGO CUOTA 13 AGOSTO 2024 TRANSFERENCIA CREDICONTADO POR CONTRATO DE PROMESA DE LA MZ M LOTE 7 - EL APOLO</t>
  </si>
  <si>
    <t>03BT01-41141 PAGO CUOTA 14 SEPTIEMBRE 2024 TRANSFERENCIA CREDICONTADO POR CONTRATO DE PROMESA DE LA MZ M LOTE 7 - EL APOLO</t>
  </si>
  <si>
    <t>03BT01-41442 PAGO CUOTA 15 OCTUBRE 2024 TRANSFERENCIA CREDICONTADO POR CONTRATO DE PROMESA DE LA MZ M LOTE 7 - EL APOLO</t>
  </si>
  <si>
    <t xml:space="preserve">03BT01-42628 PAGO CUOTA 16 NOVIEMBRE 2024 TRANSFERENCIA CREDICONTADO POR CONTRATO DE PROMESA DE LA MZ M LOTE 7 - EL APOLO </t>
  </si>
  <si>
    <t>BT01-44094</t>
  </si>
  <si>
    <t>BT01-47002</t>
  </si>
  <si>
    <t>BT01-48259</t>
  </si>
  <si>
    <t>BT01-50596</t>
  </si>
  <si>
    <t>BT01-52237</t>
  </si>
  <si>
    <t>BT01-55456</t>
  </si>
  <si>
    <t>BT01-56192</t>
  </si>
  <si>
    <t>03BT01-44094 PAGO CUOTA 17 DICIEMBRE 2024 TRANSFERENCIA CREDICONTADO POR CONTRATO DE PROMESA DE LA MZ M LOTE 7 - EL APOLO</t>
  </si>
  <si>
    <t>03BT01-47002 PAGO A CUENTA DE LA CUOTA 18 ENERO 2025 TRANSFERENCIA CREDICONTADO POR CONTRATO DE PROMESA DE LA MZ M LOTE 7 - EL APOLO</t>
  </si>
  <si>
    <t>03BT01-48259 CANCELACION DE LA CUOTA 18 ENERO 2025 TRANSFERENCIA CREDICONTADO POR CONTRATO DE PROMESA DE LA MZ M LOTE 7 - EL APOLO</t>
  </si>
  <si>
    <t>03BT01-50596 CANCELACION DE LA CUOTA 19 FEBRERO 2025 TRANSFERENCIA CREDICONTADO POR CONTRATO DE PROMESA DE LA MZ M LOTE 7 - EL APOLO</t>
  </si>
  <si>
    <t>03BT01-52237 CANCELACION DE LA CUOTA 20 MARZO 2025 TRANSFERENCIA CREDICONTADO POR CONTRATO DE PROMESA DE LA MZ M LOTE 7 - EL APOLO</t>
  </si>
  <si>
    <t xml:space="preserve">03BT01-55456 CANCELACION DE LA CUOTA 01 JULIO 2025 TRANSFERENCIA CREDICONTADO POR CONTRATO DE PROMESA DE LA MZ M LOTE 7 - EL APOLO </t>
  </si>
  <si>
    <t>03BT01-56192 CANCELACION DE LA CUOTA 02 AGOSTO 2025 TRANSFERENCIA CREDICONTADO POR CONTRATO DE PROMESA DE LA MZ M LOTE 7 - EL APOLO</t>
  </si>
  <si>
    <t>DIFERENCIA ENTRE CUOTA Y BOLETA</t>
  </si>
  <si>
    <t>DIFERENCIA DOLARES</t>
  </si>
  <si>
    <t>TOTAL ABONO DOLARES</t>
  </si>
  <si>
    <t>izipay importe es S/</t>
  </si>
  <si>
    <t>BB01-68</t>
  </si>
  <si>
    <t>BT01-3597</t>
  </si>
  <si>
    <t>03BB01-68 ADJUDICACION  MZ H LOTE 14 - APOLO</t>
  </si>
  <si>
    <t>03BT01-3597 03BT01-3597ADJUDICACION MZ H LOTE 14 - EL APOLO</t>
  </si>
  <si>
    <t>GUTIERREZ CHAGUA KARLA PAOLA</t>
  </si>
  <si>
    <t>AP-005</t>
  </si>
  <si>
    <t>MAGALLANES ECHAJAYA OSCAR INOCENCIO</t>
  </si>
  <si>
    <t>02</t>
  </si>
  <si>
    <t>FT01-1405</t>
  </si>
  <si>
    <t>FT01-1454</t>
  </si>
  <si>
    <t>FT01-1456</t>
  </si>
  <si>
    <t>FT01-1618</t>
  </si>
  <si>
    <t>01FT01-1405 CANCELACION DE CUOTA INICIAL PARA LA ADJUDICACION DE LA MZ L - LT 2 DE APOLO</t>
  </si>
  <si>
    <t xml:space="preserve">01FT01-1454 CANCELACION DE CUOTA INICIAL PARA LA ADJUDICACION DE LA MZ L - LT 2 DE APOLO </t>
  </si>
  <si>
    <t xml:space="preserve">01FT01-1456 CANCELACION CUOTA 1 ABRIL 2025 POR COMPRAVENTA DE LA MZ L - LT 2 DE APOLO </t>
  </si>
  <si>
    <t>01FT01-1618 PAGO A CUENTA DE LA CUOTA 2 SEPTIEMBRE 2025 POR COMPRAVENTA DE LA MZ L - LT 2 DE APOLO</t>
  </si>
  <si>
    <t>OSCAR INOCENCIO MAGALLANES ECHAJAYA</t>
  </si>
  <si>
    <t>07FT01-34 TRASPASO APOLO // PAGO CUOTA 1 OCTUBRE 2023 PARA LA ADJUDICACION DE LA MZ N LOTE 1 - EL OASIS</t>
  </si>
  <si>
    <t>FT01-31 // FT01-40</t>
  </si>
  <si>
    <t>JOSE ANTONIO ESPIRITU PERA</t>
  </si>
  <si>
    <t>AP-002</t>
  </si>
  <si>
    <t>BT01-17153</t>
  </si>
  <si>
    <t>BT01-17376</t>
  </si>
  <si>
    <t>BT01-23503</t>
  </si>
  <si>
    <t xml:space="preserve">03BT01-17153 SEPARACION POR COMPRA VENTA DE LOTE MZ  D LT 4 - EL APOLO </t>
  </si>
  <si>
    <t xml:space="preserve">03BT01-17376 CANCELACION CUOTA INICIAL POR CONTRATO DE COMPRA VENTA DE LA MZ D LOTE 4 - EL APOLO </t>
  </si>
  <si>
    <t xml:space="preserve">03BT01-23503PAGO CUOTA 1 DICIEMBRE 2023 TRANSFERENCIA CREDICONTADO POR CONTRATO DE PROMESA DE LA MZ D LOTE 4 - EL APOLO </t>
  </si>
  <si>
    <t>BT01-24630</t>
  </si>
  <si>
    <t>BT01-25906</t>
  </si>
  <si>
    <t>BT01-27790</t>
  </si>
  <si>
    <t>BT01-29492</t>
  </si>
  <si>
    <t>BT01-31116</t>
  </si>
  <si>
    <t>BT01-32831</t>
  </si>
  <si>
    <t>BT01-34357</t>
  </si>
  <si>
    <t>BT01-35892</t>
  </si>
  <si>
    <t>BT01-37613</t>
  </si>
  <si>
    <t>BT01-39202</t>
  </si>
  <si>
    <t>BT01-41139</t>
  </si>
  <si>
    <t>BT01-42861</t>
  </si>
  <si>
    <t xml:space="preserve">03BT01-57656 SEPARACION POR COMPRAVENTA DEL ESTACIONAMIENTO N° 166 DE APOLO </t>
  </si>
  <si>
    <t xml:space="preserve">03BT01-57658 SEPARACION POR COMPRAVENTA DEL ESTACIONAMIENTO N° 167 DE APOLO </t>
  </si>
  <si>
    <t xml:space="preserve">03BT01-57926 CANCELACION DE COMPRAVENTA DEL ESTACIONAMIENTO N°166 DE APOLO </t>
  </si>
  <si>
    <t xml:space="preserve">03BT01-57927 CANCELACION DE COMPRAVENTA DEL ESTACIONAMIENTO N°167 DE APOLO </t>
  </si>
  <si>
    <t xml:space="preserve">03BT01-58228 PAGO CUOTA 17 OCTUBRE 2025 TRANSFERENCIA CREDICONTADO POR CONTRATO DE PROMESA DE LA MZ D LOTE 5 - EL APOLO </t>
  </si>
  <si>
    <t xml:space="preserve">03BT01-58404 PAGO CUOTA 23 OCTUBRE 2025 TRANSFERENCIA CREDICONTADO POR CONTRATO DE PROMESA DE LA MZ D LOTE 4 - EL APOLO </t>
  </si>
  <si>
    <t>BT01-44486</t>
  </si>
  <si>
    <t>BT01-46620</t>
  </si>
  <si>
    <t>BT01-48096</t>
  </si>
  <si>
    <t>BT01-49692</t>
  </si>
  <si>
    <t>BT01-51176</t>
  </si>
  <si>
    <t>BT01-52672</t>
  </si>
  <si>
    <t>BT01-54118</t>
  </si>
  <si>
    <t>BT01-55653</t>
  </si>
  <si>
    <t>BT01-57039</t>
  </si>
  <si>
    <t>BT01-58404</t>
  </si>
  <si>
    <t>CHOCHERA ( 166 )</t>
  </si>
  <si>
    <t>BT01-57137</t>
  </si>
  <si>
    <t>BT01-57656</t>
  </si>
  <si>
    <t>BT01-57926</t>
  </si>
  <si>
    <t>BT01-58228</t>
  </si>
  <si>
    <t>CHOCHERA ( 167 )</t>
  </si>
  <si>
    <t>BT01-57138</t>
  </si>
  <si>
    <t>BT01-57658</t>
  </si>
  <si>
    <t>BT01-57927</t>
  </si>
  <si>
    <t>AP361637</t>
  </si>
  <si>
    <t>Parcial</t>
  </si>
  <si>
    <t>AP559504</t>
  </si>
  <si>
    <t>FT01-1694</t>
  </si>
  <si>
    <t>PAGO A CUENTA DE LA CUOTA 3 NOVIEMBRE 2025 POR COMPRAVENTA DE LA MZ L - LT 2 DE APOLO</t>
  </si>
  <si>
    <t>ROSALES CUEVA YRIS TATIANA</t>
  </si>
  <si>
    <t xml:space="preserve">GRISELDA SOLANGE QUISPE QUISPE </t>
  </si>
  <si>
    <t>BC01-127</t>
  </si>
  <si>
    <t>BT01-1466</t>
  </si>
  <si>
    <t>GRISELDA SOLANGE QUISPE QUISPE</t>
  </si>
  <si>
    <t>03BT01-1466 ADJUDICACION MZ H LOTE 5 - APOLO</t>
  </si>
  <si>
    <t>03BC01-127 ADJUDICACION MZ H LOTE 5 - EL APOLO</t>
  </si>
  <si>
    <t>CUOTA 1 MZ T LOTE 5 APOLO</t>
  </si>
  <si>
    <t>SEPAR.COCHERA N 245 MZ T LOTE 5 APOLO</t>
  </si>
  <si>
    <t>03BT01-8885 PAGO CUOTA 3 FEBRERO 2023  POR CONTRATO DE PROMESA DE LA MZ T LOTE 5 - EL APOLO</t>
  </si>
  <si>
    <t>03BT01-8886 PAGO CUOTA 2 ENERO 2023  POR CONTRATO DE PROMESA DE LA MZ T LOTE 5 - EL APOLO</t>
  </si>
  <si>
    <t>03BT01-8887 SEPARACION DE COCHERA A CONCRETAR COMPRA N° 245 CUOTA 2 FEBRERO 2023 DE LA MZ T LOTE 5 - EL APOLO</t>
  </si>
  <si>
    <t xml:space="preserve">03BT01-11419 SEPARACION DE COCHERA N°245 PAGO CUOTA 4 MARZO 2023 DE LA MZ T LOTE 5 - EL APOLO </t>
  </si>
  <si>
    <t xml:space="preserve">03BT01-11421 PAGO CUOTA 4 MARZO 2023 POR CONTRATO DE PROMESA DE LA MZ T LOTE 5 - EL APOLO </t>
  </si>
  <si>
    <t xml:space="preserve">03BT01-14387 PAGO CUOTA 5 ABRIL 2023 POR CONTRATO DE PROMESA DE LA MZ T LOTE 5 - EL APOLO </t>
  </si>
  <si>
    <t xml:space="preserve">03BT01-14388 PAGO CUOTA 6 MAYO 2023  POR CONTRATO DE PROMESA DE LA MZ T LOTE 5 - EL APOLO </t>
  </si>
  <si>
    <t xml:space="preserve">03BT01-14389 PAGO CUOTA 7 JUNIO 2023  POR CONTRATO DE PROMESA DE LA MZ T LOTE 5 - EL APOLO </t>
  </si>
  <si>
    <t xml:space="preserve">03BT01-16809 PAGO CUOTA 8 JULIO 2023 POR CONTRATO DE PROMESA DE LA MZ T LOTE 5 - EL APOLO </t>
  </si>
  <si>
    <t xml:space="preserve">03BT01-16810 SEPARACION DE COCHERA A CONCRETAR COMPRA N° 245 CUOTA 8 JULIO 2023 DE LA MZ T LOTE 5 - EL APOLO </t>
  </si>
  <si>
    <t xml:space="preserve">03BT01-17303 PAGO CUOTA 9 AGOSTO 2023 POR CONTRATO DE PROMESA DE LA MZ T LOTE 5 - EL APOLO </t>
  </si>
  <si>
    <t xml:space="preserve">03BT01-19404 PAGO CUOTA 10  MZ T LOTE 5 - EL APOLO </t>
  </si>
  <si>
    <t xml:space="preserve">03BT01-19405 SEPARACION DE COCHERAN° 245 CUOTA 9 AGOSTO 2023 DE LA MZ T LOTE 5 - EL APOLO </t>
  </si>
  <si>
    <t xml:space="preserve">03BT01-21150 SEPARACION DE COCHERA  N° 245 CUOTA 10 SEPTIEMBRE 2023 DE LA MZ T LOTE 5 - EL APOLO </t>
  </si>
  <si>
    <t xml:space="preserve">03BT01-21151PAGO CUOTA 11 OCTUBRE 2023 CONTRATO DE PROMESA DE LA MZ T LOTE 5 - EL APOLO </t>
  </si>
  <si>
    <t xml:space="preserve">03BT01-23394PAGO CUOTA 12 NOVIEMBRE 2023 TRANSFERENCIA CREDICONTADO POR CONTRATO DE PROMESA DE LA MZ T LOTE 5 - EL APOLO </t>
  </si>
  <si>
    <t xml:space="preserve">03BT01-23395ABONO POR CONCEPTO DE SEPARACION DE COCHERA A CONCRETAR COMPRA N° 245 CUOTA 11 OCTUBRE 2023 DE LA MZ T LOTE 5 - EL APOLO </t>
  </si>
  <si>
    <t>03BT01-28214ABONO POR CONCEPTO DE SEPARACION DE COCHERA A CONCRETAR COMPRA N° 245 CUOTA 12 NOVIEMBRE 2023 DE LA MZ T LOTE 5 - EL APOLO</t>
  </si>
  <si>
    <t>03BT01-28215ABONO POR CONCEPTO DE SEPARACION DE COCHERA A CONCRETAR COMPRA N° 245 CUOTA 13 DICIEMBRE 2023 DE LA MZ T LOTE 5 - EL APOLO</t>
  </si>
  <si>
    <t>03BT01-28216PAGO CUOTA 13 DICIEMBRE 2023 TRANSFERENCIA CREDICONTADO POR CONTRATO DE PROMESA DE LA MZ T LOTE 5 - EL APOLO</t>
  </si>
  <si>
    <t>03BT01-28217PAGO CUOTA 14 ENERO 2024 TRANSFERENCIA CREDICONTADO POR CONTRATO DE PROMESA DE LA MZ T LOTE 5 - EL APOLO</t>
  </si>
  <si>
    <t>03BT01-29857PAGO CUOTA 15 FEBRERO 2024 TRANSFERENCIA CREDICONTADO POR CONTRATO DE PROMESA DE LA MZ T LOTE 5 - EL APOLO</t>
  </si>
  <si>
    <t>03BT01-29858ABONO POR CONCEPTO DE SEPARACION DE COCHERA A CONCRETAR COMPRA N° 245 CUOTA 14 ENERO 2024 DE LA MZ T LOTE 5 - EL APOLO</t>
  </si>
  <si>
    <t>03BT01-33840PAGO CUOTA 16 MARZO 2024 TRANSFERENCIA CREDICONTADO POR CONTRATO DE PROMESA DE LA MZ T LOTE 5 - EL APOLO</t>
  </si>
  <si>
    <t>03BT01-33841PAGO CUOTA 17 ABRIL 2024 TRANSFERENCIA CREDICONTADO POR CONTRATO DE PROMESA DE LA MZ T LOTE 5 - EL APOLO</t>
  </si>
  <si>
    <t>03BT01-33842PAGO CUOTA 18 MAYO 2024 TRANSFERENCIA CREDICONTADO POR CONTRATO DE PROMESA DE LA MZ T LOTE 5 - EL APOLO</t>
  </si>
  <si>
    <t>03BT01-35424PAGO CUOTA 19 JUNIO 2024 TRANSFERENCIA CREDICONTADO POR CONTRATO DE PROMESA DE LA MZ T LOTE 5 - EL APOLO</t>
  </si>
  <si>
    <t>03BT01-35425PAGO CUOTA 20 JULIO 2024 TRANSFERENCIA CREDICONTADO POR CONTRATO DE PROMESA DE LA MZ T LOTE 5 - EL APOLO</t>
  </si>
  <si>
    <t>03BT01-39167 PAGO CUOTA 21 AGOSTO 2024 TRANSFERENCIA CREDICONTADO POR CONTRATO DE PROMESA DE LA MZ T LOTE 5 - EL APOLO</t>
  </si>
  <si>
    <t>03BT01-39168 PAGO CUOTA 22 SEPTIEMBRE 2024 TRANSFERENCIA CREDICONTADO POR CONTRATO DE PROMESA DE LA MZ T LOTE 5 - EL APOLO</t>
  </si>
  <si>
    <t>03BT01-41931 PAGO CUOTA 23 OCTUBRE 2024 TRANSFERENCIA CREDICONTADO POR CONTRATO DE PROMESA DE LA MZ T LOTE 5 - EL APOLO</t>
  </si>
  <si>
    <t xml:space="preserve">03BT01-43223 PAGO CUOTA 24 NOVIEMBRE 2024 TRANSFERENCIA CREDICONTADO POR CONTRATO DE PROMESA DE LA MZ T LOTE 5 - EL APOLO </t>
  </si>
  <si>
    <t>03BT01-46319 PAGO CUOTA 25 DICIEMBRE 2024 TRANSFERENCIA CREDICONTADO POR CONTRATO DE PROMESA DE LA MZ T LOTE 5 - EL APOLO</t>
  </si>
  <si>
    <t>03BT01-46842 PAGO A CUENTA DE LA CUOTA 26 ENERO 2025 TRANSFERENCIA CREDICONTADO POR CONTRATO DE PROMESA DE LA MZ T LOTE 5 - EL APOLO</t>
  </si>
  <si>
    <t>03BT01-48098 CANCELACION DE CUOTA 26 ENERO 2025 TRANSFERENCIA CREDICONTADO POR CONTRATO DE PROMESA DE LA MZ T LOTE 5 - EL APOLO</t>
  </si>
  <si>
    <t>03BT01-51177 CANCELACION DE CUOTA 27 FEBRERO 2025 TRANSFERENCIA CREDICONTADO POR CONTRATO DE PROMESA DE LA MZ T LOTE 5 - EL APOLO</t>
  </si>
  <si>
    <t>03BT01-52496 CANCELACION DE CUOTA 28 MARZO 2025 TRANSFERENCIA CREDICONTADO POR CONTRATO DE PROMESA DE LA MZ T LOTE 5 - EL APOLO</t>
  </si>
  <si>
    <t xml:space="preserve">03BT01-54090 CANCELACION DE CUOTA 29 ABRIL 2025 TRANSFERENCIA CREDICONTADO POR CONTRATO DE PROMESA DE LA MZ T LOTE 5 - EL APOLO </t>
  </si>
  <si>
    <t xml:space="preserve">03BT01-55651 CANCELACION DE CUOTA 30 MAYO 2025 TRANSFERENCIA CREDICONTADO POR CONTRATO DE PROMESA DE LA MZ T LOTE 5 - EL APOLO </t>
  </si>
  <si>
    <t>BT01-6621</t>
  </si>
  <si>
    <t>BT01-8885</t>
  </si>
  <si>
    <t>BT01-8886</t>
  </si>
  <si>
    <t>BT01-11421</t>
  </si>
  <si>
    <t>BT01-14387</t>
  </si>
  <si>
    <t>BT01-14388</t>
  </si>
  <si>
    <t>BT01-14389</t>
  </si>
  <si>
    <t>BT01-16809</t>
  </si>
  <si>
    <t>BT01-17303</t>
  </si>
  <si>
    <t>BT01-19404</t>
  </si>
  <si>
    <t>BT01-21151</t>
  </si>
  <si>
    <t>BT01-23394</t>
  </si>
  <si>
    <t>BT01-28216</t>
  </si>
  <si>
    <t>BT01-28217</t>
  </si>
  <si>
    <t>BT01-29857</t>
  </si>
  <si>
    <t>BT01-33840</t>
  </si>
  <si>
    <t>BT01-33841</t>
  </si>
  <si>
    <t>BT01-33842</t>
  </si>
  <si>
    <t>BT01-35424</t>
  </si>
  <si>
    <t>BT01-35425</t>
  </si>
  <si>
    <t>BT01-39167</t>
  </si>
  <si>
    <t>BT01-39168</t>
  </si>
  <si>
    <t>BT01-41931</t>
  </si>
  <si>
    <t>BT01-43223</t>
  </si>
  <si>
    <t>BT01-46319</t>
  </si>
  <si>
    <t>BT01-51177</t>
  </si>
  <si>
    <t>BT01-52496</t>
  </si>
  <si>
    <t>BT01-54090</t>
  </si>
  <si>
    <t>BT01-55651</t>
  </si>
  <si>
    <t>CHOCHERA ( 245 )</t>
  </si>
  <si>
    <t>BT01-6644</t>
  </si>
  <si>
    <t>BT01-8887</t>
  </si>
  <si>
    <t>BT01-11419</t>
  </si>
  <si>
    <t>BT01-16810</t>
  </si>
  <si>
    <t>BT01-19405</t>
  </si>
  <si>
    <t>BT01-21150</t>
  </si>
  <si>
    <t>BT01-23395</t>
  </si>
  <si>
    <t>BT01-28214</t>
  </si>
  <si>
    <t>BT01-28215</t>
  </si>
  <si>
    <t>BT01-29858</t>
  </si>
  <si>
    <t>BT01-46842</t>
  </si>
  <si>
    <t>BT01-48098</t>
  </si>
  <si>
    <t>AP-006</t>
  </si>
  <si>
    <t>21075 </t>
  </si>
  <si>
    <t>SANDRA  VENEGAS CONTRERAS</t>
  </si>
  <si>
    <t>AP-004</t>
  </si>
  <si>
    <t>03EB01-5093 SEPARACION PARA LA ADJUDICACION MZ A LT 26 CONDOMINIO APOLO</t>
  </si>
  <si>
    <t>03EB01-5111 CANCELACION CUOTA INICIAL MZ A LOTE 26 - CONDOMINIO APOLO</t>
  </si>
  <si>
    <t>03EB01-5647 03EB01-5647CUOTA 1 MZ A LT 26-APOLO</t>
  </si>
  <si>
    <t>03EB01-6098 CUOTA 2 MZ A LT 26-APOLO</t>
  </si>
  <si>
    <t>03EB01-6999 CUOTA 3 ABRIL 2022  POR CONTRATO DE PROMESA DE LA MZ. A LOTE 26 - EL APOLO</t>
  </si>
  <si>
    <t>03EB01-8061 CUOTA 4 MAYO 2022  POR CONTRATO DE PROMESA DE LA MZ. A LOTE 26 - EL APOLO</t>
  </si>
  <si>
    <t>03EB01-9082 CUOTA 5 MZ A LT 26 - EL APOLO</t>
  </si>
  <si>
    <t>03BT01-618 CUOTA 6  MZ A LOTE 26 - EL APOLO</t>
  </si>
  <si>
    <t>03BT01-1616 CUOTA 7 MZ A LOTE 26 - EL APOLO</t>
  </si>
  <si>
    <t>03BT01-2714 CUOTA 8-11MZ A LOTE 26 - EL APOLO</t>
  </si>
  <si>
    <t>EB01-5093</t>
  </si>
  <si>
    <t>EB01-5111</t>
  </si>
  <si>
    <t>EB01-5647</t>
  </si>
  <si>
    <t>EB01-6098</t>
  </si>
  <si>
    <t>EB01-6999</t>
  </si>
  <si>
    <t>EB01-8061</t>
  </si>
  <si>
    <t>EB01-9082</t>
  </si>
  <si>
    <t>BT01-618</t>
  </si>
  <si>
    <t>BT01-1616</t>
  </si>
  <si>
    <t>BT01-2714</t>
  </si>
  <si>
    <t xml:space="preserve">VENEGAS CONTRERAS SANDRA    </t>
  </si>
  <si>
    <t>BB01-312</t>
  </si>
  <si>
    <t>BT01-11080</t>
  </si>
  <si>
    <t>BT01-17311</t>
  </si>
  <si>
    <t>BT01-20543</t>
  </si>
  <si>
    <t>BT01-22174</t>
  </si>
  <si>
    <t>BT01-15662</t>
  </si>
  <si>
    <t>BT01-18637</t>
  </si>
  <si>
    <t>03BB01-312ADJU. CUOTA 12-14 MZ A LT 26-APOLO</t>
  </si>
  <si>
    <t>03BT01-11080 CUOTA 15 ABRIL 2023. CUOTA 16 MAYO 2023. CUOTA 17 JUNIO 2023 DE LA MZ A LOTE 26 - EL APOLO</t>
  </si>
  <si>
    <t xml:space="preserve">03BT01-15662 PAGO CUOTA 18 JULIO 2023  POR CONTRATO DE PROMESA DE LA MZ A LOTE 26 - EL APOLO </t>
  </si>
  <si>
    <t xml:space="preserve">03BT01-17311 PAGO CUOTA 19 AGOSTO 2023  POR CONTRATO DE PROMESA DE LA MZ A LOTE 26 - EL APOLO </t>
  </si>
  <si>
    <t xml:space="preserve">03BT01-18637 PAGO CUOTA 20 SEPTIEMBRE 2023  POR CONTRATO DE PROMESA DE LA MZ B LOTE 8 - EL APOLO </t>
  </si>
  <si>
    <t xml:space="preserve">03BT01-20543 CUOTA 21 MZ B LOTE 8 - EL APOLO </t>
  </si>
  <si>
    <t xml:space="preserve">03BT01-22174PAGO CUOTA 22 NOVIEMBRE 2023  CONTRATO DE PROMESA DE LA MZ B LOTE 8 - EL APOLO </t>
  </si>
  <si>
    <t>BT01-24536</t>
  </si>
  <si>
    <t>BT01-25312</t>
  </si>
  <si>
    <t xml:space="preserve">03BT01-24536 PAGO CUOTA 23 DICIEMBRE 2023 TRANSFERENCIA CREDICONTADO POR CONTRATO DE PROMESA DE LA MZ B LOTE 8 - EL APOLO </t>
  </si>
  <si>
    <t>03BT01-25312 PAGO CUOTA 24 ENERO 2024 TRANSFERENCIA CREDICONTADO POR CONTRATO DE PROMESA DE LA MZ B LOTE 8 - EL APOLO</t>
  </si>
  <si>
    <t>8-11</t>
  </si>
  <si>
    <t>12-14</t>
  </si>
  <si>
    <t>15-17</t>
  </si>
  <si>
    <t>CHOCHERA ( 23 )</t>
  </si>
  <si>
    <t>3-11</t>
  </si>
  <si>
    <t>CARLOS FERNANDO  INFANTE CORNELIO</t>
  </si>
  <si>
    <t>AP-003</t>
  </si>
  <si>
    <t>CHOCHERA ( 223 )</t>
  </si>
  <si>
    <t>03EB01-7692 03EB01-7692CANCELACION CUOTA INICIAL PARA LA ADJUDICACION MZ H LOTE 13 - APOLO</t>
  </si>
  <si>
    <t>03EB01-7690 03EB01-7690CANCELACION CUOTA INICIAL PARA LA ADJUDICACION MZ H LOTE 13 - APOLO</t>
  </si>
  <si>
    <t>03EB01-7720 03EB01-7720CANCELACION CUOTA INICIAL PARA LA ADJUDICACION MZ H LOTE 13 - APOLO</t>
  </si>
  <si>
    <t>03EB01-7741 ABONO POR CONCEPTO DE SEPARACION DE COCHERA PROYECTO APOLO A CONCRETAR COMPRA NUMERO 223</t>
  </si>
  <si>
    <t>03EB01-9669 ADJUDICACION MZ H LOTE 13 -APOLO</t>
  </si>
  <si>
    <t>03EB01-9670 CUOTA 1 MZ H LT 13 -APOLO</t>
  </si>
  <si>
    <t>03BT01-1048 03BT01-1048ADJUDICACION MZ H LOTE 13 - EL APOLO</t>
  </si>
  <si>
    <t>03BT01-1044 CUOTA 2  MZ H LOTE 13 - EL APOLO</t>
  </si>
  <si>
    <t>03BT01-2126 CUOTA 3  MZ H LOTE 13 - EL APOLO</t>
  </si>
  <si>
    <t>03BT01-2129 SEPAR COCHERA N 223 -MZ H LOTE 13 -APOLO</t>
  </si>
  <si>
    <t>03BT01-3441 SEPAR COCHERA N° 223 MZ H LOTE 13 -APOLO</t>
  </si>
  <si>
    <t>03BT01-3442 CUOTA 4 MZ H LOTE 13 - EL APOLO</t>
  </si>
  <si>
    <t>03BT01-4514 CUOTA 5  MZ H LOTE 13 - EL APOLO</t>
  </si>
  <si>
    <t>03BT01-4515 SEPAR. COCHERA N° 223-MZ H LT 13 -APOLO</t>
  </si>
  <si>
    <t>03BT01-5841 CUOTA 6  MZ H LOTE 13 - EL APOLO</t>
  </si>
  <si>
    <t>03BT01-5947 SEPAR COCHERA N 223  MZ H LOTE 13 -APOLO</t>
  </si>
  <si>
    <t>EB01-7692</t>
  </si>
  <si>
    <t>EB01-7690</t>
  </si>
  <si>
    <t>EB01-7720</t>
  </si>
  <si>
    <t>EB01-7741</t>
  </si>
  <si>
    <t>EB01-9669</t>
  </si>
  <si>
    <t>EB01-9670</t>
  </si>
  <si>
    <t>BT01-1048</t>
  </si>
  <si>
    <t>BT01-1044</t>
  </si>
  <si>
    <t>BT01-2126</t>
  </si>
  <si>
    <t>BT01-2129</t>
  </si>
  <si>
    <t>BT01-3441</t>
  </si>
  <si>
    <t>BT01-3442</t>
  </si>
  <si>
    <t>BT01-4514</t>
  </si>
  <si>
    <t>BT01-4515</t>
  </si>
  <si>
    <t>BT01-5841</t>
  </si>
  <si>
    <t>BT01-5947</t>
  </si>
  <si>
    <t xml:space="preserve">INFANTE CORNELIO CARLOS FERNANDO   </t>
  </si>
  <si>
    <t>BT01-7182</t>
  </si>
  <si>
    <t>BB01-325</t>
  </si>
  <si>
    <t>BT01-9735</t>
  </si>
  <si>
    <t>BT01-9736</t>
  </si>
  <si>
    <t>BT01-10555</t>
  </si>
  <si>
    <t>BT01-10556</t>
  </si>
  <si>
    <t>BT01-12057</t>
  </si>
  <si>
    <t>BT01-12058</t>
  </si>
  <si>
    <t>BT01-13424</t>
  </si>
  <si>
    <t>BT01-13425</t>
  </si>
  <si>
    <t>BT01-15278</t>
  </si>
  <si>
    <t>CUOTA 7 MZ H LOTE 13 APOLO</t>
  </si>
  <si>
    <t>CUOTA 8 MZ H LT 13-APOLO</t>
  </si>
  <si>
    <t>CUOTA 8 COCHERA 223 MZ H LT 13-APOLO</t>
  </si>
  <si>
    <t>03BT01-9735 PAGO CUOTA 9 MARZO 2023  POR CONTRATO DE PROMESA DE LA MZ S LOTE 3 - EL APOLO</t>
  </si>
  <si>
    <t>03BT01-9736 SEPARACION DE COCHERA COMPRA N° 223 CUOTA 9 MARZO 2023 DE LA MZ S LOTE 3 - EL APOLO</t>
  </si>
  <si>
    <t>03BT01-10555 PAGO CUOTA 10 ABRIL 2023 SEPARACION DE COCHERA N° 223 DE LA MZ S LOTE 3 - EL APOLO</t>
  </si>
  <si>
    <t>03BT01-10556 PAGO CUOTA 10 ABRIL 2023 POR CONTRATO DE PROMESA DE LA MZ S LOTE 3 - EL APOLO</t>
  </si>
  <si>
    <t xml:space="preserve">03BT01-12057 PAGO CUOTA 11 MAYO 2023  POR CONTRATO DE PROMESA DE LA MZ S LOTE 3 - EL APOLO </t>
  </si>
  <si>
    <t xml:space="preserve">03BT01-12058 CUOTA 11 MAYO 2023 SEPARACION DE COCHERA A CONCRETAR COMPRA N° 223 DE LA MZ S LOTE 3 - EL APOLO </t>
  </si>
  <si>
    <t xml:space="preserve">03BT01-13424 CANCELACION TOTAL POR CONCEPTO DE SEPARACION DE COCHERA COMPRA N° 223 DE LA MZ S LOTE 3 - APOLO </t>
  </si>
  <si>
    <t xml:space="preserve">03BT01-13425 CANCELACION CREDICONTADO POR CONTRATO DE PROMESA DE LA MZ S LOTE 3 - EL APOLO </t>
  </si>
  <si>
    <t xml:space="preserve">03BT01-15278 03BT01-15278SEPAR.COCHERA 223 CTA.7 MZ H LT 13 APOLO </t>
  </si>
  <si>
    <t>BB01-324</t>
  </si>
  <si>
    <t>TOTAL FACTURADO</t>
  </si>
  <si>
    <t>DNI/RUC</t>
  </si>
  <si>
    <t>NOMBRE/RAZON SOCIAL</t>
  </si>
  <si>
    <t xml:space="preserve">falta 1 expediente </t>
  </si>
  <si>
    <t>X</t>
  </si>
  <si>
    <t>abono pendiente</t>
  </si>
  <si>
    <t>no cuadra con la cuota</t>
  </si>
  <si>
    <t>confirmar abono parcial o total</t>
  </si>
  <si>
    <t>abonado y fcturado en soles</t>
  </si>
  <si>
    <t>abono parcial</t>
  </si>
  <si>
    <t>comisio izipay/confirmar</t>
  </si>
  <si>
    <t>mora</t>
  </si>
  <si>
    <t>no cuadra la cuota con lo cobrado</t>
  </si>
  <si>
    <t>EB01-5982</t>
  </si>
  <si>
    <t>03EB01-5982 03EB01-5982CUOTA INICIAL MZ D LT 11-APOLO</t>
  </si>
  <si>
    <t>confirmar numero de operación / factura</t>
  </si>
  <si>
    <t>no cuadra lo cobrado con la cuota</t>
  </si>
  <si>
    <t>lo cobrado no cuadra con el cronogrma</t>
  </si>
  <si>
    <t>facturacion y abono pendiente</t>
  </si>
  <si>
    <t>lo cuadra con el cronograma</t>
  </si>
  <si>
    <t>aizipay</t>
  </si>
  <si>
    <t>21</t>
  </si>
  <si>
    <t>22</t>
  </si>
  <si>
    <t>23</t>
  </si>
  <si>
    <t>YDRUGO DE LA CRUZ CESAR AUGUSTO</t>
  </si>
  <si>
    <t>PABLO ZEVALLOS CIPRIANO ELVER</t>
  </si>
  <si>
    <t>CASTRO TENIENTE MARIBELL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</si>
</sst>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S/&quot;\ #,##0.00;\-&quot;S/&quot;\ #,##0.00"/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_ * #,##0.00_ ;_ * \-#,##0.00_ ;_ * &quot;-&quot;??_ ;_ @_ "/>
    <numFmt numFmtId="165" formatCode="[$$-340A]#,##0.00;[$$-340A]\-#,##0.00"/>
  </numFmts>
  <fonts count="1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Calibri"/>
      <family val="2"/>
    </font>
    <font>
      <sz val="9"/>
      <color rgb="FFFF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name val="Calibri"/>
      <family val="2"/>
    </font>
    <font>
      <b/>
      <sz val="9"/>
      <color rgb="FFFF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34">
    <xf numFmtId="0" fontId="0" fillId="0" borderId="0" xfId="0"/>
    <xf numFmtId="14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164" fontId="4" fillId="0" borderId="1" xfId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/>
    <xf numFmtId="0" fontId="5" fillId="6" borderId="1" xfId="0" applyFont="1" applyFill="1" applyBorder="1" applyAlignment="1">
      <alignment horizontal="center" vertical="center"/>
    </xf>
    <xf numFmtId="164" fontId="5" fillId="6" borderId="1" xfId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/>
    </xf>
    <xf numFmtId="14" fontId="4" fillId="0" borderId="0" xfId="0" applyNumberFormat="1" applyFont="1"/>
    <xf numFmtId="14" fontId="4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164" fontId="4" fillId="0" borderId="1" xfId="1" applyFont="1" applyFill="1" applyBorder="1"/>
    <xf numFmtId="49" fontId="3" fillId="0" borderId="0" xfId="1" applyNumberFormat="1" applyFont="1" applyBorder="1" applyAlignment="1">
      <alignment horizontal="center"/>
    </xf>
    <xf numFmtId="164" fontId="4" fillId="0" borderId="0" xfId="1" applyFont="1" applyFill="1"/>
    <xf numFmtId="164" fontId="4" fillId="0" borderId="0" xfId="0" applyNumberFormat="1" applyFont="1"/>
    <xf numFmtId="0" fontId="5" fillId="6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43" fontId="4" fillId="0" borderId="0" xfId="0" applyNumberFormat="1" applyFont="1"/>
    <xf numFmtId="0" fontId="4" fillId="3" borderId="0" xfId="0" applyFont="1" applyFill="1"/>
    <xf numFmtId="164" fontId="4" fillId="3" borderId="0" xfId="1" applyFont="1" applyFill="1"/>
    <xf numFmtId="49" fontId="5" fillId="7" borderId="0" xfId="0" applyNumberFormat="1" applyFont="1" applyFill="1" applyAlignment="1">
      <alignment horizontal="center" vertical="center"/>
    </xf>
    <xf numFmtId="49" fontId="4" fillId="0" borderId="0" xfId="0" applyNumberFormat="1" applyFont="1"/>
    <xf numFmtId="14" fontId="8" fillId="0" borderId="0" xfId="0" applyNumberFormat="1" applyFont="1"/>
    <xf numFmtId="0" fontId="8" fillId="0" borderId="0" xfId="0" applyFont="1"/>
    <xf numFmtId="14" fontId="3" fillId="0" borderId="0" xfId="0" applyNumberFormat="1" applyFont="1" applyAlignment="1">
      <alignment horizontal="center" vertical="center"/>
    </xf>
    <xf numFmtId="164" fontId="5" fillId="8" borderId="0" xfId="1" applyFont="1" applyFill="1" applyAlignment="1">
      <alignment horizontal="center" vertical="center" wrapText="1"/>
    </xf>
    <xf numFmtId="164" fontId="8" fillId="0" borderId="0" xfId="1" applyFont="1" applyFill="1"/>
    <xf numFmtId="0" fontId="4" fillId="2" borderId="0" xfId="0" applyFont="1" applyFill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49" fontId="4" fillId="2" borderId="0" xfId="0" applyNumberFormat="1" applyFont="1" applyFill="1"/>
    <xf numFmtId="164" fontId="4" fillId="2" borderId="0" xfId="1" applyFont="1" applyFill="1"/>
    <xf numFmtId="0" fontId="4" fillId="2" borderId="0" xfId="0" applyFont="1" applyFill="1" applyAlignment="1">
      <alignment horizontal="center"/>
    </xf>
    <xf numFmtId="14" fontId="4" fillId="2" borderId="0" xfId="0" applyNumberFormat="1" applyFont="1" applyFill="1"/>
    <xf numFmtId="0" fontId="5" fillId="9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/>
    </xf>
    <xf numFmtId="164" fontId="5" fillId="9" borderId="0" xfId="1" applyFont="1" applyFill="1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/>
    <xf numFmtId="0" fontId="4" fillId="10" borderId="0" xfId="0" applyFont="1" applyFill="1"/>
    <xf numFmtId="0" fontId="4" fillId="10" borderId="1" xfId="0" applyFont="1" applyFill="1" applyBorder="1" applyAlignment="1">
      <alignment horizontal="center"/>
    </xf>
    <xf numFmtId="0" fontId="4" fillId="10" borderId="1" xfId="0" applyFont="1" applyFill="1" applyBorder="1"/>
    <xf numFmtId="14" fontId="9" fillId="0" borderId="0" xfId="0" applyNumberFormat="1" applyFont="1"/>
    <xf numFmtId="165" fontId="5" fillId="7" borderId="0" xfId="1" applyNumberFormat="1" applyFont="1" applyFill="1" applyAlignment="1">
      <alignment horizontal="center" vertical="center" wrapText="1"/>
    </xf>
    <xf numFmtId="165" fontId="3" fillId="0" borderId="0" xfId="1" applyNumberFormat="1" applyFont="1" applyBorder="1" applyAlignment="1">
      <alignment horizontal="center"/>
    </xf>
    <xf numFmtId="165" fontId="4" fillId="0" borderId="0" xfId="1" applyNumberFormat="1" applyFont="1" applyFill="1"/>
    <xf numFmtId="165" fontId="4" fillId="2" borderId="0" xfId="1" applyNumberFormat="1" applyFont="1" applyFill="1"/>
    <xf numFmtId="165" fontId="4" fillId="0" borderId="0" xfId="1" applyNumberFormat="1" applyFont="1"/>
    <xf numFmtId="7" fontId="4" fillId="0" borderId="0" xfId="1" applyNumberFormat="1" applyFont="1"/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49" fontId="4" fillId="0" borderId="0" xfId="1" applyNumberFormat="1" applyFont="1"/>
    <xf numFmtId="0" fontId="4" fillId="8" borderId="0" xfId="0" applyFont="1" applyFill="1"/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/>
    <xf numFmtId="14" fontId="4" fillId="0" borderId="0" xfId="1" applyNumberFormat="1" applyFont="1"/>
    <xf numFmtId="0" fontId="5" fillId="10" borderId="0" xfId="0" applyFont="1" applyFill="1" applyAlignment="1">
      <alignment horizontal="center" vertical="center" wrapText="1"/>
    </xf>
    <xf numFmtId="44" fontId="4" fillId="0" borderId="0" xfId="1" applyNumberFormat="1" applyFont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0" xfId="0" applyFont="1" applyFill="1" applyAlignment="1">
      <alignment horizontal="center"/>
    </xf>
    <xf numFmtId="14" fontId="4" fillId="3" borderId="0" xfId="0" applyNumberFormat="1" applyFont="1" applyFill="1"/>
    <xf numFmtId="0" fontId="4" fillId="10" borderId="0" xfId="0" applyFont="1" applyFill="1" applyAlignment="1">
      <alignment horizontal="center"/>
    </xf>
    <xf numFmtId="0" fontId="5" fillId="11" borderId="0" xfId="0" applyFont="1" applyFill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165" fontId="4" fillId="0" borderId="0" xfId="1" applyNumberFormat="1" applyFont="1" applyFill="1" applyBorder="1"/>
    <xf numFmtId="0" fontId="4" fillId="0" borderId="0" xfId="0" applyFont="1" applyAlignment="1">
      <alignment horizontal="left"/>
    </xf>
    <xf numFmtId="44" fontId="4" fillId="0" borderId="0" xfId="1" applyNumberFormat="1" applyFont="1" applyFill="1"/>
    <xf numFmtId="0" fontId="9" fillId="3" borderId="0" xfId="0" applyFont="1" applyFill="1"/>
    <xf numFmtId="164" fontId="4" fillId="0" borderId="0" xfId="1" applyFont="1" applyBorder="1"/>
    <xf numFmtId="164" fontId="4" fillId="0" borderId="0" xfId="1" applyFont="1" applyFill="1" applyBorder="1"/>
    <xf numFmtId="0" fontId="5" fillId="13" borderId="0" xfId="0" applyFont="1" applyFill="1" applyAlignment="1">
      <alignment horizontal="center" vertical="center" wrapText="1"/>
    </xf>
    <xf numFmtId="0" fontId="4" fillId="13" borderId="0" xfId="0" applyFont="1" applyFill="1" applyAlignment="1">
      <alignment horizontal="center"/>
    </xf>
    <xf numFmtId="0" fontId="9" fillId="13" borderId="0" xfId="0" applyFont="1" applyFill="1"/>
    <xf numFmtId="0" fontId="5" fillId="14" borderId="0" xfId="0" applyFont="1" applyFill="1" applyAlignment="1">
      <alignment horizontal="center" vertical="center" wrapText="1"/>
    </xf>
    <xf numFmtId="0" fontId="5" fillId="14" borderId="0" xfId="0" applyFont="1" applyFill="1" applyAlignment="1">
      <alignment horizontal="center" vertical="center"/>
    </xf>
    <xf numFmtId="164" fontId="5" fillId="14" borderId="0" xfId="1" applyFont="1" applyFill="1" applyAlignment="1">
      <alignment horizontal="center" vertical="center"/>
    </xf>
    <xf numFmtId="4" fontId="4" fillId="0" borderId="0" xfId="0" applyNumberFormat="1" applyFont="1"/>
    <xf numFmtId="14" fontId="4" fillId="13" borderId="0" xfId="0" applyNumberFormat="1" applyFont="1" applyFill="1"/>
    <xf numFmtId="0" fontId="4" fillId="13" borderId="0" xfId="0" applyFont="1" applyFill="1"/>
    <xf numFmtId="164" fontId="4" fillId="13" borderId="0" xfId="1" applyFont="1" applyFill="1"/>
    <xf numFmtId="49" fontId="4" fillId="0" borderId="0" xfId="1" applyNumberFormat="1" applyFont="1" applyFill="1" applyAlignment="1">
      <alignment horizontal="center"/>
    </xf>
    <xf numFmtId="164" fontId="5" fillId="7" borderId="0" xfId="1" applyFont="1" applyFill="1" applyAlignment="1">
      <alignment horizontal="center" vertical="center" wrapText="1"/>
    </xf>
    <xf numFmtId="0" fontId="9" fillId="3" borderId="0" xfId="0" applyFont="1" applyFill="1" applyAlignment="1">
      <alignment horizontal="right"/>
    </xf>
    <xf numFmtId="4" fontId="4" fillId="2" borderId="0" xfId="0" applyNumberFormat="1" applyFont="1" applyFill="1"/>
    <xf numFmtId="14" fontId="10" fillId="4" borderId="0" xfId="0" applyNumberFormat="1" applyFont="1" applyFill="1" applyAlignment="1">
      <alignment horizontal="center" vertical="center"/>
    </xf>
    <xf numFmtId="4" fontId="10" fillId="4" borderId="0" xfId="0" applyNumberFormat="1" applyFont="1" applyFill="1" applyAlignment="1">
      <alignment vertical="center"/>
    </xf>
    <xf numFmtId="0" fontId="10" fillId="4" borderId="0" xfId="0" applyFont="1" applyFill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vertical="center"/>
    </xf>
    <xf numFmtId="0" fontId="10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center"/>
    </xf>
    <xf numFmtId="14" fontId="10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4" fontId="10" fillId="2" borderId="0" xfId="0" applyNumberFormat="1" applyFont="1" applyFill="1" applyAlignment="1">
      <alignment vertical="center"/>
    </xf>
    <xf numFmtId="49" fontId="4" fillId="0" borderId="0" xfId="1" applyNumberFormat="1" applyFont="1" applyFill="1"/>
    <xf numFmtId="49" fontId="4" fillId="2" borderId="0" xfId="1" applyNumberFormat="1" applyFont="1" applyFill="1"/>
    <xf numFmtId="49" fontId="4" fillId="2" borderId="0" xfId="1" applyNumberFormat="1" applyFont="1" applyFill="1" applyAlignment="1">
      <alignment horizontal="center"/>
    </xf>
    <xf numFmtId="0" fontId="10" fillId="4" borderId="0" xfId="0" applyFont="1" applyFill="1" applyAlignment="1">
      <alignment vertical="center"/>
    </xf>
    <xf numFmtId="14" fontId="10" fillId="15" borderId="0" xfId="0" applyNumberFormat="1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164" fontId="10" fillId="15" borderId="0" xfId="1" applyFont="1" applyFill="1" applyAlignment="1">
      <alignment vertical="center"/>
    </xf>
    <xf numFmtId="0" fontId="9" fillId="0" borderId="0" xfId="0" applyFont="1"/>
    <xf numFmtId="164" fontId="9" fillId="3" borderId="0" xfId="1" applyFont="1" applyFill="1"/>
    <xf numFmtId="14" fontId="9" fillId="3" borderId="0" xfId="1" applyNumberFormat="1" applyFont="1" applyFill="1"/>
    <xf numFmtId="14" fontId="9" fillId="2" borderId="0" xfId="0" applyNumberFormat="1" applyFont="1" applyFill="1"/>
    <xf numFmtId="0" fontId="9" fillId="2" borderId="0" xfId="0" applyFont="1" applyFill="1"/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right"/>
    </xf>
    <xf numFmtId="14" fontId="4" fillId="2" borderId="0" xfId="1" applyNumberFormat="1" applyFont="1" applyFill="1"/>
    <xf numFmtId="4" fontId="10" fillId="15" borderId="0" xfId="0" applyNumberFormat="1" applyFont="1" applyFill="1" applyAlignment="1">
      <alignment vertical="center"/>
    </xf>
    <xf numFmtId="164" fontId="9" fillId="0" borderId="0" xfId="1" applyFont="1"/>
    <xf numFmtId="0" fontId="10" fillId="15" borderId="0" xfId="0" applyFont="1" applyFill="1" applyAlignment="1">
      <alignment vertical="center"/>
    </xf>
    <xf numFmtId="0" fontId="10" fillId="15" borderId="0" xfId="0" applyFont="1" applyFill="1" applyAlignment="1">
      <alignment horizontal="right" vertical="center"/>
    </xf>
    <xf numFmtId="165" fontId="9" fillId="2" borderId="0" xfId="1" applyNumberFormat="1" applyFont="1" applyFill="1"/>
    <xf numFmtId="4" fontId="4" fillId="16" borderId="0" xfId="0" applyNumberFormat="1" applyFont="1" applyFill="1"/>
    <xf numFmtId="49" fontId="4" fillId="0" borderId="0" xfId="0" applyNumberFormat="1" applyFont="1" applyAlignment="1">
      <alignment horizontal="left"/>
    </xf>
    <xf numFmtId="164" fontId="10" fillId="4" borderId="0" xfId="1" applyFont="1" applyFill="1" applyAlignment="1">
      <alignment vertical="center"/>
    </xf>
    <xf numFmtId="14" fontId="4" fillId="0" borderId="0" xfId="1" applyNumberFormat="1" applyFont="1" applyFill="1"/>
    <xf numFmtId="164" fontId="4" fillId="0" borderId="0" xfId="1" applyFont="1" applyFill="1" applyAlignment="1">
      <alignment horizontal="center"/>
    </xf>
    <xf numFmtId="164" fontId="9" fillId="0" borderId="0" xfId="1" applyFont="1" applyFill="1" applyAlignment="1">
      <alignment horizontal="center"/>
    </xf>
    <xf numFmtId="14" fontId="9" fillId="0" borderId="0" xfId="1" applyNumberFormat="1" applyFont="1"/>
    <xf numFmtId="14" fontId="4" fillId="0" borderId="0" xfId="1" applyNumberFormat="1" applyFont="1" applyFill="1" applyAlignment="1">
      <alignment horizontal="center"/>
    </xf>
    <xf numFmtId="44" fontId="4" fillId="0" borderId="0" xfId="1" applyNumberFormat="1" applyFont="1" applyFill="1" applyAlignment="1">
      <alignment horizontal="center"/>
    </xf>
    <xf numFmtId="14" fontId="4" fillId="0" borderId="0" xfId="1" applyNumberFormat="1" applyFont="1" applyAlignment="1">
      <alignment horizontal="center"/>
    </xf>
    <xf numFmtId="164" fontId="4" fillId="0" borderId="0" xfId="1" applyFont="1" applyAlignment="1">
      <alignment horizontal="center"/>
    </xf>
    <xf numFmtId="14" fontId="5" fillId="9" borderId="0" xfId="0" applyNumberFormat="1" applyFont="1" applyFill="1" applyAlignment="1">
      <alignment horizontal="center" vertical="center"/>
    </xf>
    <xf numFmtId="0" fontId="4" fillId="0" borderId="0" xfId="0" applyFont="1" applyAlignment="1">
      <alignment wrapText="1"/>
    </xf>
    <xf numFmtId="14" fontId="10" fillId="4" borderId="0" xfId="0" applyNumberFormat="1" applyFont="1" applyFill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10" fillId="4" borderId="0" xfId="0" applyFont="1" applyFill="1" applyAlignment="1">
      <alignment horizontal="right" vertical="center"/>
    </xf>
    <xf numFmtId="164" fontId="10" fillId="4" borderId="0" xfId="1" applyFont="1" applyFill="1" applyAlignment="1">
      <alignment horizontal="center" vertical="center"/>
    </xf>
    <xf numFmtId="4" fontId="10" fillId="4" borderId="0" xfId="0" applyNumberFormat="1" applyFont="1" applyFill="1" applyAlignment="1">
      <alignment horizontal="center" vertical="center"/>
    </xf>
    <xf numFmtId="14" fontId="10" fillId="17" borderId="0" xfId="0" applyNumberFormat="1" applyFont="1" applyFill="1" applyAlignment="1">
      <alignment horizontal="center" vertical="center"/>
    </xf>
    <xf numFmtId="0" fontId="10" fillId="17" borderId="0" xfId="0" applyFont="1" applyFill="1" applyAlignment="1">
      <alignment vertical="center"/>
    </xf>
    <xf numFmtId="0" fontId="10" fillId="17" borderId="0" xfId="0" applyFont="1" applyFill="1" applyAlignment="1">
      <alignment horizontal="center" vertical="center"/>
    </xf>
    <xf numFmtId="14" fontId="11" fillId="0" borderId="0" xfId="0" applyNumberFormat="1" applyFont="1"/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164" fontId="10" fillId="0" borderId="0" xfId="1" applyFont="1" applyAlignment="1">
      <alignment horizontal="center" vertical="center"/>
    </xf>
    <xf numFmtId="164" fontId="10" fillId="0" borderId="0" xfId="1" applyFont="1" applyFill="1" applyAlignment="1">
      <alignment vertical="center"/>
    </xf>
    <xf numFmtId="164" fontId="10" fillId="0" borderId="0" xfId="1" applyFont="1" applyFill="1" applyAlignment="1">
      <alignment horizontal="center" vertical="center"/>
    </xf>
    <xf numFmtId="43" fontId="4" fillId="2" borderId="0" xfId="0" applyNumberFormat="1" applyFont="1" applyFill="1"/>
    <xf numFmtId="0" fontId="4" fillId="2" borderId="0" xfId="0" applyFont="1" applyFill="1" applyAlignment="1">
      <alignment wrapText="1"/>
    </xf>
    <xf numFmtId="14" fontId="4" fillId="0" borderId="0" xfId="1" applyNumberFormat="1" applyFont="1" applyFill="1" applyAlignment="1">
      <alignment vertical="center"/>
    </xf>
    <xf numFmtId="164" fontId="4" fillId="0" borderId="0" xfId="1" applyFont="1" applyFill="1" applyAlignment="1">
      <alignment vertical="center"/>
    </xf>
    <xf numFmtId="14" fontId="4" fillId="0" borderId="0" xfId="0" applyNumberFormat="1" applyFont="1" applyAlignment="1">
      <alignment vertical="center"/>
    </xf>
    <xf numFmtId="14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164" fontId="4" fillId="2" borderId="0" xfId="1" applyFont="1" applyFill="1" applyAlignment="1">
      <alignment vertical="center"/>
    </xf>
    <xf numFmtId="14" fontId="4" fillId="2" borderId="0" xfId="1" applyNumberFormat="1" applyFont="1" applyFill="1" applyAlignment="1">
      <alignment vertical="center"/>
    </xf>
    <xf numFmtId="49" fontId="4" fillId="2" borderId="0" xfId="1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1" applyNumberFormat="1" applyFont="1" applyFill="1" applyAlignment="1">
      <alignment vertical="center"/>
    </xf>
    <xf numFmtId="0" fontId="4" fillId="2" borderId="0" xfId="0" applyFont="1" applyFill="1" applyAlignment="1">
      <alignment horizontal="right"/>
    </xf>
    <xf numFmtId="14" fontId="8" fillId="0" borderId="0" xfId="1" applyNumberFormat="1" applyFont="1" applyFill="1"/>
    <xf numFmtId="0" fontId="4" fillId="0" borderId="2" xfId="0" applyFont="1" applyBorder="1" applyAlignment="1">
      <alignment horizontal="center"/>
    </xf>
    <xf numFmtId="164" fontId="4" fillId="0" borderId="2" xfId="1" applyFont="1" applyFill="1" applyBorder="1"/>
    <xf numFmtId="0" fontId="4" fillId="0" borderId="2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49" fontId="4" fillId="0" borderId="3" xfId="0" applyNumberFormat="1" applyFont="1" applyBorder="1"/>
    <xf numFmtId="14" fontId="4" fillId="0" borderId="3" xfId="0" applyNumberFormat="1" applyFont="1" applyBorder="1"/>
    <xf numFmtId="165" fontId="4" fillId="0" borderId="3" xfId="1" applyNumberFormat="1" applyFont="1" applyFill="1" applyBorder="1"/>
    <xf numFmtId="164" fontId="4" fillId="0" borderId="3" xfId="1" applyFont="1" applyFill="1" applyBorder="1"/>
    <xf numFmtId="164" fontId="8" fillId="2" borderId="0" xfId="1" applyFont="1" applyFill="1"/>
    <xf numFmtId="14" fontId="8" fillId="2" borderId="0" xfId="0" applyNumberFormat="1" applyFont="1" applyFill="1"/>
    <xf numFmtId="0" fontId="8" fillId="2" borderId="0" xfId="0" applyFont="1" applyFill="1"/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left"/>
    </xf>
    <xf numFmtId="2" fontId="4" fillId="13" borderId="0" xfId="1" applyNumberFormat="1" applyFont="1" applyFill="1"/>
    <xf numFmtId="2" fontId="4" fillId="13" borderId="0" xfId="0" applyNumberFormat="1" applyFont="1" applyFill="1"/>
    <xf numFmtId="0" fontId="4" fillId="5" borderId="0" xfId="0" applyFont="1" applyFill="1"/>
    <xf numFmtId="0" fontId="4" fillId="13" borderId="1" xfId="0" applyFont="1" applyFill="1" applyBorder="1" applyAlignment="1">
      <alignment horizontal="center"/>
    </xf>
    <xf numFmtId="0" fontId="4" fillId="13" borderId="1" xfId="0" applyFont="1" applyFill="1" applyBorder="1"/>
    <xf numFmtId="0" fontId="4" fillId="7" borderId="0" xfId="0" applyFont="1" applyFill="1" applyAlignment="1">
      <alignment horizontal="center"/>
    </xf>
    <xf numFmtId="4" fontId="10" fillId="0" borderId="0" xfId="0" applyNumberFormat="1" applyFont="1" applyAlignment="1">
      <alignment horizontal="left" vertical="center"/>
    </xf>
    <xf numFmtId="164" fontId="4" fillId="13" borderId="1" xfId="1" applyFont="1" applyFill="1" applyBorder="1"/>
    <xf numFmtId="49" fontId="4" fillId="13" borderId="0" xfId="0" applyNumberFormat="1" applyFont="1" applyFill="1"/>
    <xf numFmtId="14" fontId="3" fillId="13" borderId="0" xfId="0" applyNumberFormat="1" applyFont="1" applyFill="1" applyAlignment="1">
      <alignment horizontal="center"/>
    </xf>
    <xf numFmtId="165" fontId="4" fillId="13" borderId="0" xfId="1" applyNumberFormat="1" applyFont="1" applyFill="1"/>
    <xf numFmtId="43" fontId="4" fillId="13" borderId="0" xfId="0" applyNumberFormat="1" applyFont="1" applyFill="1"/>
    <xf numFmtId="164" fontId="13" fillId="0" borderId="0" xfId="1" applyFont="1"/>
    <xf numFmtId="0" fontId="13" fillId="0" borderId="0" xfId="0" applyFont="1"/>
    <xf numFmtId="164" fontId="13" fillId="0" borderId="0" xfId="1" applyFont="1" applyFill="1"/>
    <xf numFmtId="44" fontId="13" fillId="0" borderId="0" xfId="1" applyNumberFormat="1" applyFont="1" applyFill="1"/>
    <xf numFmtId="44" fontId="13" fillId="0" borderId="0" xfId="1" applyNumberFormat="1" applyFont="1"/>
    <xf numFmtId="164" fontId="9" fillId="2" borderId="0" xfId="1" applyFont="1" applyFill="1"/>
    <xf numFmtId="0" fontId="5" fillId="3" borderId="1" xfId="0" applyFont="1" applyFill="1" applyBorder="1" applyAlignment="1">
      <alignment horizontal="center" vertical="center"/>
    </xf>
    <xf numFmtId="14" fontId="4" fillId="0" borderId="0" xfId="1" applyNumberFormat="1" applyFont="1" applyFill="1" applyBorder="1"/>
    <xf numFmtId="49" fontId="4" fillId="0" borderId="0" xfId="1" applyNumberFormat="1" applyFont="1" applyFill="1" applyBorder="1"/>
    <xf numFmtId="0" fontId="4" fillId="0" borderId="4" xfId="0" applyFont="1" applyBorder="1"/>
    <xf numFmtId="49" fontId="4" fillId="0" borderId="5" xfId="0" applyNumberFormat="1" applyFont="1" applyBorder="1"/>
    <xf numFmtId="164" fontId="4" fillId="0" borderId="4" xfId="1" applyFont="1" applyBorder="1"/>
    <xf numFmtId="164" fontId="4" fillId="2" borderId="0" xfId="1" applyFont="1" applyFill="1" applyBorder="1"/>
    <xf numFmtId="165" fontId="4" fillId="0" borderId="0" xfId="1" applyNumberFormat="1" applyFont="1" applyFill="1" applyAlignment="1">
      <alignment horizontal="center"/>
    </xf>
    <xf numFmtId="165" fontId="4" fillId="0" borderId="3" xfId="1" applyNumberFormat="1" applyFont="1" applyFill="1" applyBorder="1" applyAlignment="1">
      <alignment horizontal="center"/>
    </xf>
    <xf numFmtId="165" fontId="4" fillId="0" borderId="0" xfId="1" applyNumberFormat="1" applyFont="1" applyFill="1" applyBorder="1" applyAlignment="1">
      <alignment horizontal="center"/>
    </xf>
    <xf numFmtId="165" fontId="4" fillId="0" borderId="0" xfId="1" applyNumberFormat="1" applyFont="1" applyAlignment="1">
      <alignment horizontal="center"/>
    </xf>
    <xf numFmtId="165" fontId="4" fillId="13" borderId="0" xfId="1" applyNumberFormat="1" applyFont="1" applyFill="1" applyAlignment="1">
      <alignment horizontal="center"/>
    </xf>
    <xf numFmtId="165" fontId="4" fillId="0" borderId="0" xfId="1" applyNumberFormat="1" applyFont="1" applyBorder="1" applyAlignment="1">
      <alignment horizontal="center"/>
    </xf>
    <xf numFmtId="165" fontId="9" fillId="0" borderId="0" xfId="1" applyNumberFormat="1" applyFont="1" applyAlignment="1">
      <alignment horizontal="center"/>
    </xf>
    <xf numFmtId="165" fontId="4" fillId="3" borderId="0" xfId="1" applyNumberFormat="1" applyFont="1" applyFill="1" applyAlignment="1">
      <alignment horizontal="center"/>
    </xf>
    <xf numFmtId="44" fontId="4" fillId="0" borderId="0" xfId="1" applyNumberFormat="1" applyFont="1" applyFill="1" applyBorder="1" applyAlignment="1">
      <alignment horizontal="center"/>
    </xf>
    <xf numFmtId="165" fontId="4" fillId="0" borderId="1" xfId="1" applyNumberFormat="1" applyFont="1" applyFill="1" applyBorder="1" applyAlignment="1">
      <alignment horizontal="center"/>
    </xf>
    <xf numFmtId="164" fontId="4" fillId="3" borderId="1" xfId="1" applyFont="1" applyFill="1" applyBorder="1"/>
    <xf numFmtId="49" fontId="4" fillId="3" borderId="0" xfId="0" applyNumberFormat="1" applyFont="1" applyFill="1"/>
    <xf numFmtId="14" fontId="3" fillId="3" borderId="0" xfId="0" applyNumberFormat="1" applyFont="1" applyFill="1" applyAlignment="1">
      <alignment horizontal="center"/>
    </xf>
    <xf numFmtId="165" fontId="4" fillId="3" borderId="0" xfId="1" applyNumberFormat="1" applyFont="1" applyFill="1"/>
    <xf numFmtId="14" fontId="4" fillId="3" borderId="0" xfId="0" applyNumberFormat="1" applyFont="1" applyFill="1" applyAlignment="1">
      <alignment horizontal="center"/>
    </xf>
    <xf numFmtId="43" fontId="4" fillId="3" borderId="0" xfId="0" applyNumberFormat="1" applyFont="1" applyFill="1"/>
    <xf numFmtId="14" fontId="4" fillId="3" borderId="0" xfId="1" applyNumberFormat="1" applyFont="1" applyFill="1"/>
    <xf numFmtId="164" fontId="4" fillId="3" borderId="0" xfId="1" applyFont="1" applyFill="1" applyBorder="1"/>
    <xf numFmtId="4" fontId="4" fillId="3" borderId="0" xfId="0" applyNumberFormat="1" applyFont="1" applyFill="1"/>
    <xf numFmtId="49" fontId="4" fillId="3" borderId="0" xfId="0" applyNumberFormat="1" applyFont="1" applyFill="1" applyAlignment="1">
      <alignment horizontal="right"/>
    </xf>
    <xf numFmtId="4" fontId="10" fillId="17" borderId="0" xfId="0" applyNumberFormat="1" applyFont="1" applyFill="1" applyAlignment="1">
      <alignment vertical="center"/>
    </xf>
    <xf numFmtId="0" fontId="9" fillId="3" borderId="0" xfId="0" applyFont="1" applyFill="1" applyAlignment="1">
      <alignment horizontal="center"/>
    </xf>
    <xf numFmtId="14" fontId="9" fillId="3" borderId="0" xfId="0" applyNumberFormat="1" applyFont="1" applyFill="1"/>
    <xf numFmtId="0" fontId="4" fillId="3" borderId="0" xfId="0" applyFont="1" applyFill="1" applyAlignment="1">
      <alignment horizontal="left"/>
    </xf>
    <xf numFmtId="165" fontId="4" fillId="3" borderId="0" xfId="1" applyNumberFormat="1" applyFont="1" applyFill="1" applyBorder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4" fillId="3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3B6C5-E4BB-407C-90AD-95F3784C5C39}">
  <sheetPr>
    <tabColor rgb="FFFFFF00"/>
  </sheetPr>
  <dimension ref="A1:CY3821"/>
  <sheetViews>
    <sheetView tabSelected="1" topLeftCell="BT1" zoomScale="95" zoomScaleNormal="95" workbookViewId="0">
      <pane ySplit="1" topLeftCell="A470" activePane="bottomLeft" state="frozen"/>
      <selection pane="bottomLeft" activeCell="CV80" sqref="CV80"/>
    </sheetView>
  </sheetViews>
  <sheetFormatPr baseColWidth="10" defaultColWidth="8" defaultRowHeight="12" x14ac:dyDescent="0.2"/>
  <cols>
    <col min="1" max="1" width="6.42578125" style="9" customWidth="1"/>
    <col min="2" max="2" width="6.28515625" style="10" customWidth="1"/>
    <col min="3" max="3" width="15.42578125" style="9" customWidth="1"/>
    <col min="4" max="4" width="7.5703125" style="9" customWidth="1"/>
    <col min="5" max="5" width="6.140625" style="10" hidden="1" customWidth="1"/>
    <col min="6" max="6" width="6.42578125" style="10" hidden="1" customWidth="1"/>
    <col min="7" max="7" width="6.140625" style="10" customWidth="1"/>
    <col min="8" max="8" width="5.42578125" style="10" bestFit="1" customWidth="1"/>
    <col min="9" max="9" width="7.140625" style="11" customWidth="1"/>
    <col min="10" max="10" width="12.42578125" style="11" bestFit="1" customWidth="1"/>
    <col min="11" max="11" width="9.42578125" style="9" customWidth="1"/>
    <col min="12" max="12" width="8.140625" style="9" bestFit="1" customWidth="1"/>
    <col min="13" max="13" width="9.85546875" style="9" customWidth="1"/>
    <col min="14" max="14" width="10.42578125" style="10" customWidth="1"/>
    <col min="15" max="15" width="33.140625" style="9" customWidth="1"/>
    <col min="16" max="16" width="10.42578125" style="9" customWidth="1"/>
    <col min="17" max="17" width="8.42578125" style="30" customWidth="1"/>
    <col min="18" max="18" width="24" style="9" customWidth="1"/>
    <col min="19" max="19" width="12.140625" style="9" customWidth="1"/>
    <col min="20" max="21" width="11.42578125" style="10" hidden="1" customWidth="1"/>
    <col min="22" max="22" width="8.140625" style="10" customWidth="1"/>
    <col min="23" max="23" width="9.140625" style="81" customWidth="1"/>
    <col min="24" max="24" width="9.5703125" style="9" customWidth="1"/>
    <col min="25" max="25" width="10.28515625" style="9" customWidth="1"/>
    <col min="26" max="26" width="10.28515625" style="88" customWidth="1"/>
    <col min="27" max="27" width="11.28515625" style="210" customWidth="1"/>
    <col min="28" max="28" width="10.28515625" style="10" customWidth="1"/>
    <col min="29" max="29" width="8" style="10"/>
    <col min="30" max="30" width="9.7109375" style="9" customWidth="1"/>
    <col min="31" max="31" width="12.140625" style="11" customWidth="1"/>
    <col min="32" max="32" width="10.42578125" style="11" customWidth="1"/>
    <col min="33" max="33" width="9.85546875" style="9" customWidth="1"/>
    <col min="34" max="34" width="10.42578125" style="9" customWidth="1"/>
    <col min="35" max="36" width="10.42578125" style="9" hidden="1" customWidth="1"/>
    <col min="37" max="37" width="10.42578125" style="9" customWidth="1"/>
    <col min="38" max="38" width="10.42578125" style="11" customWidth="1"/>
    <col min="39" max="39" width="13.28515625" style="11" customWidth="1"/>
    <col min="40" max="40" width="12.140625" style="11" customWidth="1"/>
    <col min="41" max="41" width="9.28515625" style="11" customWidth="1"/>
    <col min="42" max="42" width="9.28515625" style="64" customWidth="1"/>
    <col min="43" max="43" width="12.140625" style="64" hidden="1" customWidth="1"/>
    <col min="44" max="44" width="16.7109375" style="64" hidden="1" customWidth="1"/>
    <col min="45" max="45" width="9.28515625" style="11" customWidth="1"/>
    <col min="46" max="47" width="10.7109375" style="11" customWidth="1"/>
    <col min="48" max="48" width="22.5703125" style="11" customWidth="1"/>
    <col min="49" max="49" width="12" style="10" customWidth="1"/>
    <col min="50" max="50" width="10.28515625" style="9" bestFit="1" customWidth="1"/>
    <col min="51" max="51" width="10.140625" style="9" customWidth="1"/>
    <col min="52" max="52" width="8" style="9" customWidth="1"/>
    <col min="53" max="53" width="10.42578125" style="11" customWidth="1"/>
    <col min="54" max="54" width="15.7109375" style="11" customWidth="1"/>
    <col min="55" max="55" width="12.85546875" style="9" customWidth="1"/>
    <col min="56" max="56" width="11.5703125" style="10" customWidth="1"/>
    <col min="57" max="57" width="9.42578125" style="9" customWidth="1"/>
    <col min="58" max="58" width="8" style="9"/>
    <col min="59" max="60" width="8.85546875" style="9" customWidth="1"/>
    <col min="61" max="61" width="11.140625" style="9" customWidth="1"/>
    <col min="62" max="62" width="11.85546875" style="9" customWidth="1"/>
    <col min="63" max="66" width="8" style="9"/>
    <col min="67" max="67" width="8.85546875" style="9" customWidth="1"/>
    <col min="68" max="72" width="8" style="9"/>
    <col min="73" max="73" width="9.140625" style="9" customWidth="1"/>
    <col min="74" max="78" width="8" style="9"/>
    <col min="79" max="79" width="8.85546875" style="9" customWidth="1"/>
    <col min="80" max="84" width="8" style="9"/>
    <col min="85" max="85" width="9.140625" style="9" customWidth="1"/>
    <col min="86" max="96" width="8" style="9"/>
    <col min="97" max="97" width="10.7109375" style="9" customWidth="1"/>
    <col min="98" max="98" width="11.140625" style="9" customWidth="1"/>
    <col min="99" max="99" width="9.42578125" style="9" customWidth="1"/>
    <col min="100" max="100" width="10.7109375" style="9" customWidth="1"/>
    <col min="101" max="101" width="12.42578125" style="9" customWidth="1"/>
    <col min="102" max="102" width="14.7109375" style="9" customWidth="1"/>
    <col min="103" max="16384" width="8" style="9"/>
  </cols>
  <sheetData>
    <row r="1" spans="1:100" s="7" customFormat="1" ht="38.25" customHeight="1" x14ac:dyDescent="0.25">
      <c r="B1" s="12" t="s">
        <v>88</v>
      </c>
      <c r="C1" s="12" t="s">
        <v>89</v>
      </c>
      <c r="D1" s="12" t="s">
        <v>1</v>
      </c>
      <c r="E1" s="200"/>
      <c r="F1" s="200"/>
      <c r="G1" s="12" t="s">
        <v>90</v>
      </c>
      <c r="H1" s="12" t="s">
        <v>2</v>
      </c>
      <c r="I1" s="13" t="s">
        <v>91</v>
      </c>
      <c r="J1" s="13" t="s">
        <v>92</v>
      </c>
      <c r="K1" s="14" t="s">
        <v>93</v>
      </c>
      <c r="L1" s="12" t="s">
        <v>94</v>
      </c>
      <c r="M1" s="15" t="s">
        <v>102</v>
      </c>
      <c r="N1" s="16" t="s">
        <v>103</v>
      </c>
      <c r="O1" s="16" t="s">
        <v>100</v>
      </c>
      <c r="P1" s="15" t="s">
        <v>102</v>
      </c>
      <c r="Q1" s="29" t="s">
        <v>103</v>
      </c>
      <c r="R1" s="16" t="s">
        <v>100</v>
      </c>
      <c r="S1" s="16"/>
      <c r="T1" s="58" t="s">
        <v>251</v>
      </c>
      <c r="U1" s="58" t="s">
        <v>252</v>
      </c>
      <c r="V1" s="59" t="s">
        <v>198</v>
      </c>
      <c r="W1" s="80" t="s">
        <v>138</v>
      </c>
      <c r="X1" s="15" t="s">
        <v>107</v>
      </c>
      <c r="Y1" s="15" t="s">
        <v>105</v>
      </c>
      <c r="Z1" s="80" t="s">
        <v>736</v>
      </c>
      <c r="AA1" s="52" t="s">
        <v>109</v>
      </c>
      <c r="AB1" s="15" t="s">
        <v>139</v>
      </c>
      <c r="AC1" s="16" t="s">
        <v>110</v>
      </c>
      <c r="AD1" s="15" t="s">
        <v>203</v>
      </c>
      <c r="AE1" s="91" t="s">
        <v>204</v>
      </c>
      <c r="AF1" s="91" t="s">
        <v>842</v>
      </c>
      <c r="AG1" s="83" t="s">
        <v>102</v>
      </c>
      <c r="AH1" s="84" t="s">
        <v>106</v>
      </c>
      <c r="AI1" s="84" t="s">
        <v>3490</v>
      </c>
      <c r="AJ1" s="83" t="s">
        <v>3491</v>
      </c>
      <c r="AK1" s="84" t="s">
        <v>132</v>
      </c>
      <c r="AL1" s="85" t="s">
        <v>1731</v>
      </c>
      <c r="AM1" s="85" t="s">
        <v>1732</v>
      </c>
      <c r="AN1" s="85" t="s">
        <v>722</v>
      </c>
      <c r="AO1" s="43" t="s">
        <v>102</v>
      </c>
      <c r="AP1" s="135" t="s">
        <v>106</v>
      </c>
      <c r="AQ1" s="135" t="s">
        <v>3490</v>
      </c>
      <c r="AR1" s="135" t="s">
        <v>3491</v>
      </c>
      <c r="AS1" s="44" t="s">
        <v>132</v>
      </c>
      <c r="AT1" s="45" t="s">
        <v>1731</v>
      </c>
      <c r="AU1" s="45" t="s">
        <v>1732</v>
      </c>
      <c r="AV1" s="45" t="s">
        <v>722</v>
      </c>
      <c r="AW1" s="25" t="s">
        <v>133</v>
      </c>
      <c r="AX1" s="25" t="s">
        <v>136</v>
      </c>
      <c r="AY1" s="25" t="s">
        <v>207</v>
      </c>
      <c r="AZ1" s="25" t="s">
        <v>208</v>
      </c>
      <c r="BA1" s="34" t="s">
        <v>206</v>
      </c>
      <c r="BB1" s="34" t="s">
        <v>727</v>
      </c>
      <c r="BC1" s="24" t="s">
        <v>133</v>
      </c>
      <c r="BD1" s="24" t="s">
        <v>136</v>
      </c>
      <c r="BE1" s="24" t="s">
        <v>207</v>
      </c>
      <c r="BF1" s="24" t="s">
        <v>208</v>
      </c>
      <c r="BG1" s="24" t="s">
        <v>206</v>
      </c>
      <c r="BH1" s="24" t="s">
        <v>727</v>
      </c>
      <c r="BI1" s="65" t="s">
        <v>133</v>
      </c>
      <c r="BJ1" s="65" t="s">
        <v>136</v>
      </c>
      <c r="BK1" s="65" t="s">
        <v>207</v>
      </c>
      <c r="BL1" s="65" t="s">
        <v>208</v>
      </c>
      <c r="BM1" s="65" t="s">
        <v>206</v>
      </c>
      <c r="BN1" s="65" t="s">
        <v>727</v>
      </c>
      <c r="BO1" s="72" t="s">
        <v>133</v>
      </c>
      <c r="BP1" s="72" t="s">
        <v>136</v>
      </c>
      <c r="BQ1" s="72" t="s">
        <v>207</v>
      </c>
      <c r="BR1" s="72" t="s">
        <v>208</v>
      </c>
      <c r="BS1" s="72" t="s">
        <v>206</v>
      </c>
      <c r="BT1" s="72" t="s">
        <v>727</v>
      </c>
      <c r="BU1" s="73" t="s">
        <v>133</v>
      </c>
      <c r="BV1" s="73" t="s">
        <v>136</v>
      </c>
      <c r="BW1" s="73" t="s">
        <v>207</v>
      </c>
      <c r="BX1" s="73" t="s">
        <v>208</v>
      </c>
      <c r="BY1" s="73" t="s">
        <v>206</v>
      </c>
      <c r="BZ1" s="73" t="s">
        <v>727</v>
      </c>
      <c r="CA1" s="72" t="s">
        <v>133</v>
      </c>
      <c r="CB1" s="72" t="s">
        <v>136</v>
      </c>
      <c r="CC1" s="72" t="s">
        <v>207</v>
      </c>
      <c r="CD1" s="72" t="s">
        <v>208</v>
      </c>
      <c r="CE1" s="72" t="s">
        <v>206</v>
      </c>
      <c r="CF1" s="72" t="s">
        <v>727</v>
      </c>
      <c r="CG1" s="73" t="s">
        <v>133</v>
      </c>
      <c r="CH1" s="73" t="s">
        <v>136</v>
      </c>
      <c r="CI1" s="73" t="s">
        <v>207</v>
      </c>
      <c r="CJ1" s="73" t="s">
        <v>208</v>
      </c>
      <c r="CK1" s="73" t="s">
        <v>206</v>
      </c>
      <c r="CL1" s="73" t="s">
        <v>727</v>
      </c>
      <c r="CM1" s="72" t="s">
        <v>133</v>
      </c>
      <c r="CN1" s="72" t="s">
        <v>136</v>
      </c>
      <c r="CO1" s="72" t="s">
        <v>207</v>
      </c>
      <c r="CP1" s="72" t="s">
        <v>208</v>
      </c>
      <c r="CQ1" s="72" t="s">
        <v>206</v>
      </c>
      <c r="CR1" s="72" t="s">
        <v>727</v>
      </c>
      <c r="CS1" s="180" t="s">
        <v>3489</v>
      </c>
      <c r="CT1" s="180" t="s">
        <v>3220</v>
      </c>
      <c r="CU1" s="180" t="s">
        <v>3219</v>
      </c>
      <c r="CV1" s="180" t="s">
        <v>3218</v>
      </c>
    </row>
    <row r="2" spans="1:100" x14ac:dyDescent="0.2">
      <c r="A2" s="9" t="s">
        <v>104</v>
      </c>
      <c r="B2" s="2">
        <v>102</v>
      </c>
      <c r="C2" s="3" t="s">
        <v>95</v>
      </c>
      <c r="D2" s="3" t="s">
        <v>96</v>
      </c>
      <c r="E2" s="2"/>
      <c r="F2" s="2"/>
      <c r="G2" s="2" t="s">
        <v>78</v>
      </c>
      <c r="H2" s="2">
        <v>7</v>
      </c>
      <c r="I2" s="20">
        <v>130.63999999999999</v>
      </c>
      <c r="J2" s="20">
        <v>38900</v>
      </c>
      <c r="K2" s="3">
        <v>0</v>
      </c>
      <c r="L2" s="3" t="s">
        <v>3</v>
      </c>
      <c r="M2" s="4" t="s">
        <v>63</v>
      </c>
      <c r="N2" s="5" t="s">
        <v>4</v>
      </c>
      <c r="O2" s="9" t="s">
        <v>101</v>
      </c>
      <c r="W2" s="10" t="s">
        <v>710</v>
      </c>
      <c r="X2" s="18">
        <v>45127</v>
      </c>
      <c r="Y2" s="19">
        <v>45142</v>
      </c>
      <c r="Z2" s="19" t="s">
        <v>772</v>
      </c>
      <c r="AA2" s="53">
        <v>32000</v>
      </c>
      <c r="AB2" s="21" t="s">
        <v>111</v>
      </c>
      <c r="AC2" s="5" t="s">
        <v>108</v>
      </c>
      <c r="AD2" s="33">
        <v>45127</v>
      </c>
      <c r="AE2" s="56">
        <v>3000</v>
      </c>
      <c r="AF2" s="56"/>
      <c r="AG2" s="9" t="s">
        <v>134</v>
      </c>
      <c r="AH2" s="17">
        <v>45127</v>
      </c>
      <c r="AI2" s="30" t="s">
        <v>3178</v>
      </c>
      <c r="AJ2" s="9" t="s">
        <v>3179</v>
      </c>
      <c r="AK2" s="9" t="s">
        <v>135</v>
      </c>
      <c r="AL2" s="22">
        <v>3000</v>
      </c>
      <c r="AM2" s="22"/>
      <c r="AN2" s="22" t="s">
        <v>3168</v>
      </c>
      <c r="AP2" s="11"/>
      <c r="AQ2" s="11"/>
      <c r="AR2" s="11"/>
      <c r="AW2" s="17">
        <v>45127</v>
      </c>
      <c r="AX2" s="9">
        <v>1730</v>
      </c>
      <c r="BA2" s="11">
        <v>3000</v>
      </c>
      <c r="BC2" s="23"/>
      <c r="BD2" s="9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>
        <f t="shared" ref="CS2:CS22" si="0">+AL2+AT2</f>
        <v>3000</v>
      </c>
      <c r="CT2" s="22">
        <f t="shared" ref="CT2:CT22" si="1">+BA2+BG2+BM2+BS2+BY2+CE2+CK2+CQ2</f>
        <v>3000</v>
      </c>
      <c r="CU2" s="22">
        <f t="shared" ref="CU2:CU22" si="2">+CS2-CT2</f>
        <v>0</v>
      </c>
      <c r="CV2" s="26">
        <f t="shared" ref="CV2:CV22" si="3">+AE2-AL2-AT2</f>
        <v>0</v>
      </c>
    </row>
    <row r="3" spans="1:100" x14ac:dyDescent="0.2">
      <c r="A3" s="9" t="s">
        <v>104</v>
      </c>
      <c r="B3" s="2">
        <v>102</v>
      </c>
      <c r="C3" s="3" t="s">
        <v>95</v>
      </c>
      <c r="D3" s="3" t="s">
        <v>96</v>
      </c>
      <c r="E3" s="2"/>
      <c r="F3" s="2"/>
      <c r="G3" s="2" t="s">
        <v>78</v>
      </c>
      <c r="H3" s="2">
        <v>7</v>
      </c>
      <c r="I3" s="20">
        <v>130.63999999999999</v>
      </c>
      <c r="J3" s="20">
        <v>38900</v>
      </c>
      <c r="K3" s="3">
        <v>0</v>
      </c>
      <c r="L3" s="3" t="s">
        <v>3</v>
      </c>
      <c r="M3" s="4" t="s">
        <v>63</v>
      </c>
      <c r="N3" s="5" t="s">
        <v>4</v>
      </c>
      <c r="O3" s="9" t="s">
        <v>101</v>
      </c>
      <c r="W3" s="10" t="s">
        <v>710</v>
      </c>
      <c r="X3" s="18">
        <v>45127</v>
      </c>
      <c r="Y3" s="19">
        <v>45142</v>
      </c>
      <c r="Z3" s="19" t="s">
        <v>772</v>
      </c>
      <c r="AA3" s="53">
        <v>32000</v>
      </c>
      <c r="AB3" s="21" t="s">
        <v>111</v>
      </c>
      <c r="AC3" s="5" t="s">
        <v>108</v>
      </c>
      <c r="AD3" s="33">
        <v>45135</v>
      </c>
      <c r="AE3" s="54">
        <f>2000+1000</f>
        <v>3000</v>
      </c>
      <c r="AF3" s="54"/>
      <c r="AG3" s="9" t="s">
        <v>134</v>
      </c>
      <c r="AH3" s="17">
        <v>45141</v>
      </c>
      <c r="AI3" s="30" t="s">
        <v>3178</v>
      </c>
      <c r="AJ3" s="9" t="s">
        <v>3179</v>
      </c>
      <c r="AK3" s="9" t="s">
        <v>137</v>
      </c>
      <c r="AL3" s="22">
        <v>3000</v>
      </c>
      <c r="AM3" s="22"/>
      <c r="AN3" s="22" t="s">
        <v>3169</v>
      </c>
      <c r="AO3" s="22"/>
      <c r="AP3" s="22"/>
      <c r="AQ3" s="22"/>
      <c r="AR3" s="22"/>
      <c r="AS3" s="22"/>
      <c r="AT3" s="22"/>
      <c r="AU3" s="22"/>
      <c r="AV3" s="22"/>
      <c r="AW3" s="17">
        <v>45135</v>
      </c>
      <c r="AX3" s="9">
        <v>1753</v>
      </c>
      <c r="BA3" s="22">
        <v>1000</v>
      </c>
      <c r="BB3" s="22"/>
      <c r="BC3" s="17">
        <v>45135</v>
      </c>
      <c r="BD3" s="9">
        <v>1755</v>
      </c>
      <c r="BG3" s="22">
        <v>1000</v>
      </c>
      <c r="BH3" s="22"/>
      <c r="BI3" s="17">
        <v>45139</v>
      </c>
      <c r="BJ3" s="9">
        <v>1772</v>
      </c>
      <c r="BK3" s="22"/>
      <c r="BL3" s="22"/>
      <c r="BM3" s="22">
        <v>1000</v>
      </c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11">
        <f t="shared" si="0"/>
        <v>3000</v>
      </c>
      <c r="CT3" s="22">
        <f t="shared" si="1"/>
        <v>3000</v>
      </c>
      <c r="CU3" s="22">
        <f t="shared" si="2"/>
        <v>0</v>
      </c>
      <c r="CV3" s="26">
        <f t="shared" si="3"/>
        <v>0</v>
      </c>
    </row>
    <row r="4" spans="1:100" x14ac:dyDescent="0.2">
      <c r="A4" s="9" t="s">
        <v>104</v>
      </c>
      <c r="B4" s="2">
        <v>102</v>
      </c>
      <c r="C4" s="3" t="s">
        <v>95</v>
      </c>
      <c r="D4" s="3" t="s">
        <v>96</v>
      </c>
      <c r="E4" s="2"/>
      <c r="F4" s="2"/>
      <c r="G4" s="2" t="s">
        <v>78</v>
      </c>
      <c r="H4" s="2">
        <v>7</v>
      </c>
      <c r="I4" s="20">
        <v>130.63999999999999</v>
      </c>
      <c r="J4" s="20">
        <v>38900</v>
      </c>
      <c r="K4" s="3">
        <v>0</v>
      </c>
      <c r="L4" s="3" t="s">
        <v>3</v>
      </c>
      <c r="M4" s="4" t="s">
        <v>63</v>
      </c>
      <c r="N4" s="5" t="s">
        <v>4</v>
      </c>
      <c r="O4" s="9" t="s">
        <v>101</v>
      </c>
      <c r="W4" s="10" t="s">
        <v>710</v>
      </c>
      <c r="X4" s="18">
        <v>45127</v>
      </c>
      <c r="Y4" s="19">
        <v>45142</v>
      </c>
      <c r="Z4" s="19" t="s">
        <v>772</v>
      </c>
      <c r="AA4" s="53">
        <v>32000</v>
      </c>
      <c r="AB4" s="21" t="s">
        <v>111</v>
      </c>
      <c r="AC4" s="5" t="s">
        <v>112</v>
      </c>
      <c r="AD4" s="33">
        <v>45168</v>
      </c>
      <c r="AE4" s="54">
        <v>1084</v>
      </c>
      <c r="AF4" s="54"/>
      <c r="AG4" s="9" t="s">
        <v>134</v>
      </c>
      <c r="AH4" s="17">
        <v>45163</v>
      </c>
      <c r="AI4" s="30" t="s">
        <v>3178</v>
      </c>
      <c r="AJ4" s="9" t="s">
        <v>3179</v>
      </c>
      <c r="AK4" s="9" t="s">
        <v>3174</v>
      </c>
      <c r="AL4" s="22">
        <v>1084</v>
      </c>
      <c r="AM4" s="22"/>
      <c r="AN4" s="22" t="s">
        <v>3170</v>
      </c>
      <c r="AO4" s="22"/>
      <c r="AP4" s="22"/>
      <c r="AQ4" s="22"/>
      <c r="AR4" s="22"/>
      <c r="AS4" s="22"/>
      <c r="AT4" s="22"/>
      <c r="AU4" s="22"/>
      <c r="AV4" s="22"/>
      <c r="AW4" s="17">
        <v>45152</v>
      </c>
      <c r="AX4" s="9">
        <v>1811</v>
      </c>
      <c r="BA4" s="9">
        <v>500</v>
      </c>
      <c r="BB4" s="22"/>
      <c r="BC4" s="17">
        <v>45162</v>
      </c>
      <c r="BD4" s="9">
        <v>1846</v>
      </c>
      <c r="BG4" s="9">
        <v>584</v>
      </c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11">
        <f t="shared" si="0"/>
        <v>1084</v>
      </c>
      <c r="CT4" s="22">
        <f t="shared" si="1"/>
        <v>1084</v>
      </c>
      <c r="CU4" s="22">
        <f t="shared" si="2"/>
        <v>0</v>
      </c>
      <c r="CV4" s="26">
        <f t="shared" si="3"/>
        <v>0</v>
      </c>
    </row>
    <row r="5" spans="1:100" x14ac:dyDescent="0.2">
      <c r="A5" s="9" t="s">
        <v>104</v>
      </c>
      <c r="B5" s="2">
        <v>102</v>
      </c>
      <c r="C5" s="3" t="s">
        <v>95</v>
      </c>
      <c r="D5" s="3" t="s">
        <v>96</v>
      </c>
      <c r="E5" s="2"/>
      <c r="F5" s="2"/>
      <c r="G5" s="2" t="s">
        <v>78</v>
      </c>
      <c r="H5" s="2">
        <v>7</v>
      </c>
      <c r="I5" s="20">
        <v>130.63999999999999</v>
      </c>
      <c r="J5" s="20">
        <v>38900</v>
      </c>
      <c r="K5" s="3">
        <v>0</v>
      </c>
      <c r="L5" s="3" t="s">
        <v>3</v>
      </c>
      <c r="M5" s="4" t="s">
        <v>63</v>
      </c>
      <c r="N5" s="5" t="s">
        <v>4</v>
      </c>
      <c r="O5" s="9" t="s">
        <v>101</v>
      </c>
      <c r="W5" s="10" t="s">
        <v>710</v>
      </c>
      <c r="X5" s="18">
        <v>45127</v>
      </c>
      <c r="Y5" s="19">
        <v>45142</v>
      </c>
      <c r="Z5" s="19" t="s">
        <v>772</v>
      </c>
      <c r="AA5" s="53">
        <v>32000</v>
      </c>
      <c r="AB5" s="21" t="s">
        <v>111</v>
      </c>
      <c r="AC5" s="5" t="s">
        <v>113</v>
      </c>
      <c r="AD5" s="33">
        <v>45199</v>
      </c>
      <c r="AE5" s="54">
        <v>1084</v>
      </c>
      <c r="AF5" s="54"/>
      <c r="AG5" s="9" t="s">
        <v>134</v>
      </c>
      <c r="AH5" s="17">
        <v>45222</v>
      </c>
      <c r="AI5" s="30" t="s">
        <v>3178</v>
      </c>
      <c r="AJ5" s="9" t="s">
        <v>3179</v>
      </c>
      <c r="AK5" s="9" t="s">
        <v>3175</v>
      </c>
      <c r="AL5" s="22">
        <v>1084</v>
      </c>
      <c r="AM5" s="22"/>
      <c r="AN5" s="22" t="s">
        <v>3171</v>
      </c>
      <c r="AO5" s="22"/>
      <c r="AP5" s="22"/>
      <c r="AQ5" s="22"/>
      <c r="AR5" s="22"/>
      <c r="AS5" s="22"/>
      <c r="AT5" s="22"/>
      <c r="AU5" s="22"/>
      <c r="AV5" s="22"/>
      <c r="AW5" s="17">
        <v>45199</v>
      </c>
      <c r="AX5" s="9">
        <v>1926</v>
      </c>
      <c r="BA5" s="9">
        <v>500</v>
      </c>
      <c r="BB5" s="22"/>
      <c r="BC5" s="17">
        <v>45200</v>
      </c>
      <c r="BD5" s="9">
        <v>1932</v>
      </c>
      <c r="BG5" s="9">
        <v>584</v>
      </c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11">
        <f t="shared" si="0"/>
        <v>1084</v>
      </c>
      <c r="CT5" s="22">
        <f t="shared" si="1"/>
        <v>1084</v>
      </c>
      <c r="CU5" s="22">
        <f t="shared" si="2"/>
        <v>0</v>
      </c>
      <c r="CV5" s="26">
        <f t="shared" si="3"/>
        <v>0</v>
      </c>
    </row>
    <row r="6" spans="1:100" ht="12.75" x14ac:dyDescent="0.2">
      <c r="A6" s="9" t="s">
        <v>104</v>
      </c>
      <c r="B6" s="2">
        <v>102</v>
      </c>
      <c r="C6" s="3" t="s">
        <v>95</v>
      </c>
      <c r="D6" s="3" t="s">
        <v>96</v>
      </c>
      <c r="E6" s="2"/>
      <c r="F6" s="2"/>
      <c r="G6" s="2" t="s">
        <v>78</v>
      </c>
      <c r="H6" s="2">
        <v>7</v>
      </c>
      <c r="I6" s="20">
        <v>130.63999999999999</v>
      </c>
      <c r="J6" s="20">
        <v>38900</v>
      </c>
      <c r="K6" s="3">
        <v>0</v>
      </c>
      <c r="L6" s="3" t="s">
        <v>3</v>
      </c>
      <c r="M6" s="4" t="s">
        <v>63</v>
      </c>
      <c r="N6" s="5" t="s">
        <v>4</v>
      </c>
      <c r="O6" s="9" t="s">
        <v>101</v>
      </c>
      <c r="W6" s="10" t="s">
        <v>710</v>
      </c>
      <c r="X6" s="18">
        <v>45127</v>
      </c>
      <c r="Y6" s="19">
        <v>45142</v>
      </c>
      <c r="Z6" s="19" t="s">
        <v>772</v>
      </c>
      <c r="AA6" s="53">
        <v>32000</v>
      </c>
      <c r="AB6" s="21" t="s">
        <v>111</v>
      </c>
      <c r="AC6" s="5" t="s">
        <v>114</v>
      </c>
      <c r="AD6" s="33">
        <v>45229</v>
      </c>
      <c r="AE6" s="54">
        <v>1084</v>
      </c>
      <c r="AF6" s="54"/>
      <c r="AG6" s="9" t="s">
        <v>134</v>
      </c>
      <c r="AH6" s="17">
        <v>45236</v>
      </c>
      <c r="AI6" s="30" t="s">
        <v>3178</v>
      </c>
      <c r="AJ6" s="9" t="s">
        <v>3179</v>
      </c>
      <c r="AK6" s="9" t="s">
        <v>3176</v>
      </c>
      <c r="AL6" s="22">
        <v>1084</v>
      </c>
      <c r="AM6" s="22"/>
      <c r="AN6" s="22" t="s">
        <v>3172</v>
      </c>
      <c r="AO6" s="22"/>
      <c r="AP6" s="22"/>
      <c r="AQ6" s="22"/>
      <c r="AR6" s="22"/>
      <c r="AS6" s="22"/>
      <c r="AT6" s="22"/>
      <c r="AU6" s="22"/>
      <c r="AV6" s="22"/>
      <c r="AW6" s="17">
        <v>45229</v>
      </c>
      <c r="AX6" s="9">
        <v>2008</v>
      </c>
      <c r="BA6" s="96">
        <v>700</v>
      </c>
      <c r="BB6" s="22"/>
      <c r="BC6" s="17">
        <v>45229</v>
      </c>
      <c r="BD6" s="9">
        <v>2009</v>
      </c>
      <c r="BG6" s="96">
        <v>384</v>
      </c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11">
        <f t="shared" si="0"/>
        <v>1084</v>
      </c>
      <c r="CT6" s="22">
        <f t="shared" si="1"/>
        <v>1084</v>
      </c>
      <c r="CU6" s="22">
        <f t="shared" si="2"/>
        <v>0</v>
      </c>
      <c r="CV6" s="26">
        <f t="shared" si="3"/>
        <v>0</v>
      </c>
    </row>
    <row r="7" spans="1:100" ht="12.75" x14ac:dyDescent="0.2">
      <c r="A7" s="9" t="s">
        <v>104</v>
      </c>
      <c r="B7" s="2">
        <v>102</v>
      </c>
      <c r="C7" s="3" t="s">
        <v>95</v>
      </c>
      <c r="D7" s="3" t="s">
        <v>96</v>
      </c>
      <c r="E7" s="2"/>
      <c r="F7" s="2"/>
      <c r="G7" s="2" t="s">
        <v>78</v>
      </c>
      <c r="H7" s="2">
        <v>7</v>
      </c>
      <c r="I7" s="20">
        <v>130.63999999999999</v>
      </c>
      <c r="J7" s="20">
        <v>38900</v>
      </c>
      <c r="K7" s="3">
        <v>0</v>
      </c>
      <c r="L7" s="3" t="s">
        <v>3</v>
      </c>
      <c r="M7" s="4" t="s">
        <v>63</v>
      </c>
      <c r="N7" s="5" t="s">
        <v>4</v>
      </c>
      <c r="O7" s="9" t="s">
        <v>101</v>
      </c>
      <c r="W7" s="10" t="s">
        <v>710</v>
      </c>
      <c r="X7" s="18">
        <v>45127</v>
      </c>
      <c r="Y7" s="19">
        <v>45142</v>
      </c>
      <c r="Z7" s="19" t="s">
        <v>772</v>
      </c>
      <c r="AA7" s="53">
        <v>32000</v>
      </c>
      <c r="AB7" s="21" t="s">
        <v>111</v>
      </c>
      <c r="AC7" s="5" t="s">
        <v>115</v>
      </c>
      <c r="AD7" s="33">
        <v>45260</v>
      </c>
      <c r="AE7" s="54">
        <v>1084</v>
      </c>
      <c r="AF7" s="54"/>
      <c r="AG7" s="9" t="s">
        <v>134</v>
      </c>
      <c r="AH7" s="17">
        <v>45267</v>
      </c>
      <c r="AI7" s="30" t="s">
        <v>3178</v>
      </c>
      <c r="AJ7" s="9" t="s">
        <v>3179</v>
      </c>
      <c r="AK7" s="9" t="s">
        <v>3177</v>
      </c>
      <c r="AL7" s="22">
        <v>1084</v>
      </c>
      <c r="AM7" s="22"/>
      <c r="AN7" s="22" t="s">
        <v>3173</v>
      </c>
      <c r="AO7" s="22"/>
      <c r="AP7" s="22"/>
      <c r="AQ7" s="22"/>
      <c r="AR7" s="22"/>
      <c r="AS7" s="22"/>
      <c r="AT7" s="22"/>
      <c r="AU7" s="22"/>
      <c r="AV7" s="22"/>
      <c r="AW7" s="17">
        <v>45256</v>
      </c>
      <c r="AX7" s="9">
        <v>2074</v>
      </c>
      <c r="BA7" s="96">
        <v>530</v>
      </c>
      <c r="BB7" s="22"/>
      <c r="BC7" s="17">
        <v>45262</v>
      </c>
      <c r="BD7" s="9">
        <v>2088</v>
      </c>
      <c r="BG7" s="107">
        <v>554</v>
      </c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11">
        <f t="shared" si="0"/>
        <v>1084</v>
      </c>
      <c r="CT7" s="22">
        <f t="shared" si="1"/>
        <v>1084</v>
      </c>
      <c r="CU7" s="22">
        <f t="shared" si="2"/>
        <v>0</v>
      </c>
      <c r="CV7" s="26">
        <f t="shared" si="3"/>
        <v>0</v>
      </c>
    </row>
    <row r="8" spans="1:100" ht="12.75" x14ac:dyDescent="0.2">
      <c r="A8" s="9" t="s">
        <v>104</v>
      </c>
      <c r="B8" s="2">
        <v>102</v>
      </c>
      <c r="C8" s="3" t="s">
        <v>95</v>
      </c>
      <c r="D8" s="3" t="s">
        <v>96</v>
      </c>
      <c r="E8" s="2"/>
      <c r="F8" s="2"/>
      <c r="G8" s="2" t="s">
        <v>78</v>
      </c>
      <c r="H8" s="2">
        <v>7</v>
      </c>
      <c r="I8" s="20">
        <v>130.63999999999999</v>
      </c>
      <c r="J8" s="20">
        <v>38900</v>
      </c>
      <c r="K8" s="3">
        <v>0</v>
      </c>
      <c r="L8" s="3" t="s">
        <v>3</v>
      </c>
      <c r="M8" s="4" t="s">
        <v>63</v>
      </c>
      <c r="N8" s="5" t="s">
        <v>4</v>
      </c>
      <c r="O8" s="9" t="s">
        <v>101</v>
      </c>
      <c r="W8" s="10" t="s">
        <v>710</v>
      </c>
      <c r="X8" s="18">
        <v>45127</v>
      </c>
      <c r="Y8" s="19">
        <v>45142</v>
      </c>
      <c r="Z8" s="19" t="s">
        <v>772</v>
      </c>
      <c r="AA8" s="53">
        <v>32000</v>
      </c>
      <c r="AB8" s="21" t="s">
        <v>111</v>
      </c>
      <c r="AC8" s="5" t="s">
        <v>116</v>
      </c>
      <c r="AD8" s="33">
        <v>45290</v>
      </c>
      <c r="AE8" s="54">
        <v>1084</v>
      </c>
      <c r="AF8" s="54"/>
      <c r="AG8" s="9" t="s">
        <v>134</v>
      </c>
      <c r="AH8" s="17">
        <v>45296</v>
      </c>
      <c r="AI8" s="30" t="s">
        <v>3178</v>
      </c>
      <c r="AJ8" s="9" t="s">
        <v>3179</v>
      </c>
      <c r="AK8" s="9" t="s">
        <v>3180</v>
      </c>
      <c r="AL8" s="86">
        <v>1084</v>
      </c>
      <c r="AM8" s="9"/>
      <c r="AN8" s="9" t="s">
        <v>3192</v>
      </c>
      <c r="AO8" s="22"/>
      <c r="AP8" s="22"/>
      <c r="AQ8" s="22"/>
      <c r="AR8" s="22"/>
      <c r="AS8" s="22"/>
      <c r="AT8" s="22"/>
      <c r="AU8" s="22"/>
      <c r="AV8" s="22"/>
      <c r="AW8" s="94">
        <v>45294</v>
      </c>
      <c r="AX8" s="96">
        <v>2175</v>
      </c>
      <c r="BA8" s="86">
        <v>1084</v>
      </c>
      <c r="BB8" s="22"/>
      <c r="BD8" s="9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11">
        <f t="shared" si="0"/>
        <v>1084</v>
      </c>
      <c r="CT8" s="22">
        <f t="shared" si="1"/>
        <v>1084</v>
      </c>
      <c r="CU8" s="22">
        <f t="shared" si="2"/>
        <v>0</v>
      </c>
      <c r="CV8" s="26">
        <f t="shared" si="3"/>
        <v>0</v>
      </c>
    </row>
    <row r="9" spans="1:100" x14ac:dyDescent="0.2">
      <c r="A9" s="9" t="s">
        <v>104</v>
      </c>
      <c r="B9" s="2">
        <v>102</v>
      </c>
      <c r="C9" s="3" t="s">
        <v>95</v>
      </c>
      <c r="D9" s="3" t="s">
        <v>96</v>
      </c>
      <c r="E9" s="2"/>
      <c r="F9" s="2"/>
      <c r="G9" s="2" t="s">
        <v>78</v>
      </c>
      <c r="H9" s="2">
        <v>7</v>
      </c>
      <c r="I9" s="20">
        <v>130.63999999999999</v>
      </c>
      <c r="J9" s="20">
        <v>38900</v>
      </c>
      <c r="K9" s="3">
        <v>0</v>
      </c>
      <c r="L9" s="3" t="s">
        <v>3</v>
      </c>
      <c r="M9" s="4" t="s">
        <v>63</v>
      </c>
      <c r="N9" s="5" t="s">
        <v>4</v>
      </c>
      <c r="O9" s="9" t="s">
        <v>101</v>
      </c>
      <c r="W9" s="10" t="s">
        <v>710</v>
      </c>
      <c r="X9" s="18">
        <v>45127</v>
      </c>
      <c r="Y9" s="19">
        <v>45142</v>
      </c>
      <c r="Z9" s="19" t="s">
        <v>772</v>
      </c>
      <c r="AA9" s="53">
        <v>32000</v>
      </c>
      <c r="AB9" s="21" t="s">
        <v>111</v>
      </c>
      <c r="AC9" s="5" t="s">
        <v>117</v>
      </c>
      <c r="AD9" s="33">
        <v>45321</v>
      </c>
      <c r="AE9" s="54">
        <v>1084</v>
      </c>
      <c r="AF9" s="54"/>
      <c r="AG9" s="9" t="s">
        <v>134</v>
      </c>
      <c r="AH9" s="17">
        <v>45334</v>
      </c>
      <c r="AI9" s="30" t="s">
        <v>3178</v>
      </c>
      <c r="AJ9" s="9" t="s">
        <v>3179</v>
      </c>
      <c r="AK9" s="9" t="s">
        <v>3181</v>
      </c>
      <c r="AL9" s="86">
        <v>1084</v>
      </c>
      <c r="AM9" s="9"/>
      <c r="AN9" s="9" t="s">
        <v>3193</v>
      </c>
      <c r="AO9" s="22"/>
      <c r="AP9" s="22"/>
      <c r="AQ9" s="22"/>
      <c r="AR9" s="22"/>
      <c r="AS9" s="22"/>
      <c r="AT9" s="22"/>
      <c r="AU9" s="22"/>
      <c r="AV9" s="22"/>
      <c r="AW9" s="17">
        <v>45324</v>
      </c>
      <c r="AX9" s="9">
        <v>2270</v>
      </c>
      <c r="BA9" s="22">
        <v>777</v>
      </c>
      <c r="BB9" s="9"/>
      <c r="BC9" s="17">
        <v>45331</v>
      </c>
      <c r="BD9" s="9">
        <v>2301</v>
      </c>
      <c r="BG9" s="22">
        <v>300</v>
      </c>
      <c r="BH9" s="22"/>
      <c r="BI9" s="17">
        <v>45331</v>
      </c>
      <c r="BJ9" s="9">
        <v>2302</v>
      </c>
      <c r="BL9" s="22"/>
      <c r="BM9" s="22">
        <v>7</v>
      </c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11">
        <f t="shared" si="0"/>
        <v>1084</v>
      </c>
      <c r="CT9" s="22">
        <f t="shared" si="1"/>
        <v>1084</v>
      </c>
      <c r="CU9" s="22">
        <f t="shared" si="2"/>
        <v>0</v>
      </c>
      <c r="CV9" s="26">
        <f t="shared" si="3"/>
        <v>0</v>
      </c>
    </row>
    <row r="10" spans="1:100" x14ac:dyDescent="0.2">
      <c r="A10" s="9" t="s">
        <v>104</v>
      </c>
      <c r="B10" s="2">
        <v>102</v>
      </c>
      <c r="C10" s="3" t="s">
        <v>95</v>
      </c>
      <c r="D10" s="3" t="s">
        <v>96</v>
      </c>
      <c r="E10" s="2"/>
      <c r="F10" s="2"/>
      <c r="G10" s="2" t="s">
        <v>78</v>
      </c>
      <c r="H10" s="2">
        <v>7</v>
      </c>
      <c r="I10" s="20">
        <v>130.63999999999999</v>
      </c>
      <c r="J10" s="20">
        <v>38900</v>
      </c>
      <c r="K10" s="3">
        <v>0</v>
      </c>
      <c r="L10" s="3" t="s">
        <v>3</v>
      </c>
      <c r="M10" s="4" t="s">
        <v>63</v>
      </c>
      <c r="N10" s="5" t="s">
        <v>4</v>
      </c>
      <c r="O10" s="9" t="s">
        <v>101</v>
      </c>
      <c r="W10" s="10" t="s">
        <v>710</v>
      </c>
      <c r="X10" s="18">
        <v>45127</v>
      </c>
      <c r="Y10" s="19">
        <v>45142</v>
      </c>
      <c r="Z10" s="19" t="s">
        <v>772</v>
      </c>
      <c r="AA10" s="53">
        <v>32000</v>
      </c>
      <c r="AB10" s="21" t="s">
        <v>111</v>
      </c>
      <c r="AC10" s="5" t="s">
        <v>118</v>
      </c>
      <c r="AD10" s="33">
        <v>45351</v>
      </c>
      <c r="AE10" s="54">
        <v>1084</v>
      </c>
      <c r="AF10" s="54"/>
      <c r="AG10" s="9" t="s">
        <v>134</v>
      </c>
      <c r="AH10" s="17">
        <v>45351</v>
      </c>
      <c r="AI10" s="30" t="s">
        <v>3178</v>
      </c>
      <c r="AJ10" s="9" t="s">
        <v>3179</v>
      </c>
      <c r="AK10" s="9" t="s">
        <v>3182</v>
      </c>
      <c r="AL10" s="86">
        <v>1084</v>
      </c>
      <c r="AM10" s="9"/>
      <c r="AN10" s="9" t="s">
        <v>3194</v>
      </c>
      <c r="AO10" s="22"/>
      <c r="AP10" s="22"/>
      <c r="AQ10" s="22"/>
      <c r="AR10" s="22"/>
      <c r="AS10" s="22"/>
      <c r="AT10" s="22"/>
      <c r="AU10" s="22"/>
      <c r="AV10" s="22"/>
      <c r="AW10" s="17">
        <v>45350</v>
      </c>
      <c r="AX10" s="9">
        <v>2358</v>
      </c>
      <c r="BA10" s="22">
        <v>1000</v>
      </c>
      <c r="BB10" s="22"/>
      <c r="BC10" s="17">
        <v>45351</v>
      </c>
      <c r="BD10" s="9">
        <v>2361</v>
      </c>
      <c r="BG10" s="22">
        <v>84</v>
      </c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11">
        <f t="shared" si="0"/>
        <v>1084</v>
      </c>
      <c r="CT10" s="22">
        <f t="shared" si="1"/>
        <v>1084</v>
      </c>
      <c r="CU10" s="22">
        <f t="shared" si="2"/>
        <v>0</v>
      </c>
      <c r="CV10" s="26">
        <f t="shared" si="3"/>
        <v>0</v>
      </c>
    </row>
    <row r="11" spans="1:100" x14ac:dyDescent="0.2">
      <c r="A11" s="9" t="s">
        <v>104</v>
      </c>
      <c r="B11" s="2">
        <v>102</v>
      </c>
      <c r="C11" s="3" t="s">
        <v>95</v>
      </c>
      <c r="D11" s="3" t="s">
        <v>96</v>
      </c>
      <c r="E11" s="2"/>
      <c r="F11" s="2"/>
      <c r="G11" s="2" t="s">
        <v>78</v>
      </c>
      <c r="H11" s="2">
        <v>7</v>
      </c>
      <c r="I11" s="20">
        <v>130.63999999999999</v>
      </c>
      <c r="J11" s="20">
        <v>38900</v>
      </c>
      <c r="K11" s="3">
        <v>0</v>
      </c>
      <c r="L11" s="3" t="s">
        <v>3</v>
      </c>
      <c r="M11" s="4" t="s">
        <v>63</v>
      </c>
      <c r="N11" s="5" t="s">
        <v>4</v>
      </c>
      <c r="O11" s="9" t="s">
        <v>101</v>
      </c>
      <c r="W11" s="10" t="s">
        <v>710</v>
      </c>
      <c r="X11" s="18">
        <v>45127</v>
      </c>
      <c r="Y11" s="19">
        <v>45142</v>
      </c>
      <c r="Z11" s="19" t="s">
        <v>772</v>
      </c>
      <c r="AA11" s="53">
        <v>32000</v>
      </c>
      <c r="AB11" s="21" t="s">
        <v>111</v>
      </c>
      <c r="AC11" s="5" t="s">
        <v>119</v>
      </c>
      <c r="AD11" s="33">
        <v>45381</v>
      </c>
      <c r="AE11" s="54">
        <v>1084</v>
      </c>
      <c r="AF11" s="54"/>
      <c r="AG11" s="9" t="s">
        <v>134</v>
      </c>
      <c r="AH11" s="17">
        <v>45387</v>
      </c>
      <c r="AI11" s="30" t="s">
        <v>3178</v>
      </c>
      <c r="AJ11" s="9" t="s">
        <v>3179</v>
      </c>
      <c r="AK11" s="9" t="s">
        <v>3183</v>
      </c>
      <c r="AL11" s="86">
        <v>1084</v>
      </c>
      <c r="AM11" s="9"/>
      <c r="AN11" s="9" t="s">
        <v>3195</v>
      </c>
      <c r="AO11" s="22"/>
      <c r="AP11" s="22"/>
      <c r="AQ11" s="22"/>
      <c r="AR11" s="22"/>
      <c r="AS11" s="22"/>
      <c r="AT11" s="22"/>
      <c r="AU11" s="22"/>
      <c r="AV11" s="22"/>
      <c r="AW11" s="17">
        <v>45383</v>
      </c>
      <c r="AX11" s="9">
        <v>2505</v>
      </c>
      <c r="BA11" s="22">
        <v>800</v>
      </c>
      <c r="BB11" s="22"/>
      <c r="BC11" s="17">
        <v>45385</v>
      </c>
      <c r="BD11" s="9">
        <v>2518</v>
      </c>
      <c r="BG11" s="22">
        <v>284</v>
      </c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11">
        <f t="shared" si="0"/>
        <v>1084</v>
      </c>
      <c r="CT11" s="22">
        <f t="shared" si="1"/>
        <v>1084</v>
      </c>
      <c r="CU11" s="22">
        <f t="shared" si="2"/>
        <v>0</v>
      </c>
      <c r="CV11" s="26">
        <f t="shared" si="3"/>
        <v>0</v>
      </c>
    </row>
    <row r="12" spans="1:100" x14ac:dyDescent="0.2">
      <c r="A12" s="9" t="s">
        <v>104</v>
      </c>
      <c r="B12" s="2">
        <v>102</v>
      </c>
      <c r="C12" s="3" t="s">
        <v>95</v>
      </c>
      <c r="D12" s="3" t="s">
        <v>96</v>
      </c>
      <c r="E12" s="2"/>
      <c r="F12" s="2"/>
      <c r="G12" s="2" t="s">
        <v>78</v>
      </c>
      <c r="H12" s="2">
        <v>7</v>
      </c>
      <c r="I12" s="20">
        <v>130.63999999999999</v>
      </c>
      <c r="J12" s="20">
        <v>38900</v>
      </c>
      <c r="K12" s="3">
        <v>0</v>
      </c>
      <c r="L12" s="3" t="s">
        <v>3</v>
      </c>
      <c r="M12" s="4" t="s">
        <v>63</v>
      </c>
      <c r="N12" s="5" t="s">
        <v>4</v>
      </c>
      <c r="O12" s="9" t="s">
        <v>101</v>
      </c>
      <c r="W12" s="10" t="s">
        <v>710</v>
      </c>
      <c r="X12" s="18">
        <v>45127</v>
      </c>
      <c r="Y12" s="19">
        <v>45142</v>
      </c>
      <c r="Z12" s="19" t="s">
        <v>772</v>
      </c>
      <c r="AA12" s="53">
        <v>32000</v>
      </c>
      <c r="AB12" s="21" t="s">
        <v>111</v>
      </c>
      <c r="AC12" s="5" t="s">
        <v>120</v>
      </c>
      <c r="AD12" s="33">
        <v>45412</v>
      </c>
      <c r="AE12" s="54">
        <v>1084</v>
      </c>
      <c r="AF12" s="54"/>
      <c r="AG12" s="9" t="s">
        <v>134</v>
      </c>
      <c r="AH12" s="17">
        <v>45412</v>
      </c>
      <c r="AI12" s="30" t="s">
        <v>3178</v>
      </c>
      <c r="AJ12" s="9" t="s">
        <v>3179</v>
      </c>
      <c r="AK12" s="9" t="s">
        <v>3184</v>
      </c>
      <c r="AL12" s="22">
        <v>1084</v>
      </c>
      <c r="AM12" s="22"/>
      <c r="AN12" s="22" t="s">
        <v>3196</v>
      </c>
      <c r="AO12" s="22"/>
      <c r="AP12" s="22"/>
      <c r="AQ12" s="22"/>
      <c r="AR12" s="22"/>
      <c r="AS12" s="22"/>
      <c r="AT12" s="22"/>
      <c r="AU12" s="22"/>
      <c r="AV12" s="22"/>
      <c r="AW12" s="17">
        <v>45412</v>
      </c>
      <c r="AX12" s="9">
        <v>2587</v>
      </c>
      <c r="BA12" s="86">
        <v>1084</v>
      </c>
      <c r="BB12" s="22"/>
      <c r="BD12" s="9"/>
      <c r="CS12" s="11">
        <f t="shared" si="0"/>
        <v>1084</v>
      </c>
      <c r="CT12" s="22">
        <f t="shared" si="1"/>
        <v>1084</v>
      </c>
      <c r="CU12" s="22">
        <f t="shared" si="2"/>
        <v>0</v>
      </c>
      <c r="CV12" s="26">
        <f t="shared" si="3"/>
        <v>0</v>
      </c>
    </row>
    <row r="13" spans="1:100" x14ac:dyDescent="0.2">
      <c r="A13" s="9" t="s">
        <v>104</v>
      </c>
      <c r="B13" s="2">
        <v>102</v>
      </c>
      <c r="C13" s="3" t="s">
        <v>95</v>
      </c>
      <c r="D13" s="3" t="s">
        <v>96</v>
      </c>
      <c r="E13" s="2"/>
      <c r="F13" s="2"/>
      <c r="G13" s="2" t="s">
        <v>78</v>
      </c>
      <c r="H13" s="2">
        <v>7</v>
      </c>
      <c r="I13" s="20">
        <v>130.63999999999999</v>
      </c>
      <c r="J13" s="20">
        <v>38900</v>
      </c>
      <c r="K13" s="3">
        <v>0</v>
      </c>
      <c r="L13" s="3" t="s">
        <v>3</v>
      </c>
      <c r="M13" s="4" t="s">
        <v>63</v>
      </c>
      <c r="N13" s="5" t="s">
        <v>4</v>
      </c>
      <c r="O13" s="9" t="s">
        <v>101</v>
      </c>
      <c r="W13" s="10" t="s">
        <v>710</v>
      </c>
      <c r="X13" s="18">
        <v>45127</v>
      </c>
      <c r="Y13" s="19">
        <v>45142</v>
      </c>
      <c r="Z13" s="19" t="s">
        <v>772</v>
      </c>
      <c r="AA13" s="53">
        <v>32000</v>
      </c>
      <c r="AB13" s="21" t="s">
        <v>111</v>
      </c>
      <c r="AC13" s="5" t="s">
        <v>121</v>
      </c>
      <c r="AD13" s="33">
        <v>45442</v>
      </c>
      <c r="AE13" s="54">
        <v>1084</v>
      </c>
      <c r="AF13" s="54"/>
      <c r="AG13" s="9" t="s">
        <v>134</v>
      </c>
      <c r="AH13" s="17">
        <v>45453</v>
      </c>
      <c r="AI13" s="30" t="s">
        <v>3178</v>
      </c>
      <c r="AJ13" s="9" t="s">
        <v>3179</v>
      </c>
      <c r="AK13" s="9" t="s">
        <v>3185</v>
      </c>
      <c r="AL13" s="22">
        <v>1084</v>
      </c>
      <c r="AM13" s="22"/>
      <c r="AN13" s="22" t="s">
        <v>3197</v>
      </c>
      <c r="AO13" s="22"/>
      <c r="AP13" s="22"/>
      <c r="AQ13" s="22"/>
      <c r="AR13" s="22"/>
      <c r="AS13" s="22"/>
      <c r="AT13" s="22"/>
      <c r="AU13" s="22"/>
      <c r="AV13" s="22"/>
      <c r="AW13" s="17">
        <v>45449</v>
      </c>
      <c r="AX13" s="9">
        <v>2750</v>
      </c>
      <c r="BA13" s="86">
        <v>1084</v>
      </c>
      <c r="BB13" s="22"/>
      <c r="BD13" s="9"/>
      <c r="CS13" s="11">
        <f t="shared" si="0"/>
        <v>1084</v>
      </c>
      <c r="CT13" s="22">
        <f t="shared" si="1"/>
        <v>1084</v>
      </c>
      <c r="CU13" s="22">
        <f t="shared" si="2"/>
        <v>0</v>
      </c>
      <c r="CV13" s="26">
        <f t="shared" si="3"/>
        <v>0</v>
      </c>
    </row>
    <row r="14" spans="1:100" x14ac:dyDescent="0.2">
      <c r="A14" s="9" t="s">
        <v>104</v>
      </c>
      <c r="B14" s="2">
        <v>102</v>
      </c>
      <c r="C14" s="3" t="s">
        <v>95</v>
      </c>
      <c r="D14" s="3" t="s">
        <v>96</v>
      </c>
      <c r="E14" s="2"/>
      <c r="F14" s="2"/>
      <c r="G14" s="2" t="s">
        <v>78</v>
      </c>
      <c r="H14" s="2">
        <v>7</v>
      </c>
      <c r="I14" s="20">
        <v>130.63999999999999</v>
      </c>
      <c r="J14" s="20">
        <v>38900</v>
      </c>
      <c r="K14" s="3">
        <v>0</v>
      </c>
      <c r="L14" s="3" t="s">
        <v>3</v>
      </c>
      <c r="M14" s="4" t="s">
        <v>63</v>
      </c>
      <c r="N14" s="5" t="s">
        <v>4</v>
      </c>
      <c r="O14" s="9" t="s">
        <v>101</v>
      </c>
      <c r="W14" s="10" t="s">
        <v>710</v>
      </c>
      <c r="X14" s="18">
        <v>45127</v>
      </c>
      <c r="Y14" s="19">
        <v>45142</v>
      </c>
      <c r="Z14" s="19" t="s">
        <v>772</v>
      </c>
      <c r="AA14" s="53">
        <v>32000</v>
      </c>
      <c r="AB14" s="21" t="s">
        <v>111</v>
      </c>
      <c r="AC14" s="5" t="s">
        <v>122</v>
      </c>
      <c r="AD14" s="33">
        <v>45473</v>
      </c>
      <c r="AE14" s="54">
        <v>1084</v>
      </c>
      <c r="AF14" s="54"/>
      <c r="AG14" s="9" t="s">
        <v>134</v>
      </c>
      <c r="AH14" s="17">
        <v>45485</v>
      </c>
      <c r="AI14" s="30" t="s">
        <v>3178</v>
      </c>
      <c r="AJ14" s="9" t="s">
        <v>3179</v>
      </c>
      <c r="AK14" s="9" t="s">
        <v>3186</v>
      </c>
      <c r="AL14" s="22">
        <v>1084</v>
      </c>
      <c r="AM14" s="22"/>
      <c r="AN14" s="22" t="s">
        <v>3198</v>
      </c>
      <c r="AO14" s="22"/>
      <c r="AP14" s="22"/>
      <c r="AQ14" s="22"/>
      <c r="AR14" s="22"/>
      <c r="AS14" s="22"/>
      <c r="AT14" s="22"/>
      <c r="AU14" s="22"/>
      <c r="AV14" s="22"/>
      <c r="AW14" s="17">
        <v>45485</v>
      </c>
      <c r="AX14" s="9">
        <v>2899</v>
      </c>
      <c r="BA14" s="86">
        <v>1084</v>
      </c>
      <c r="BB14" s="22"/>
      <c r="BD14" s="9"/>
      <c r="CS14" s="11">
        <f t="shared" si="0"/>
        <v>1084</v>
      </c>
      <c r="CT14" s="22">
        <f t="shared" si="1"/>
        <v>1084</v>
      </c>
      <c r="CU14" s="22">
        <f t="shared" si="2"/>
        <v>0</v>
      </c>
      <c r="CV14" s="26">
        <f t="shared" si="3"/>
        <v>0</v>
      </c>
    </row>
    <row r="15" spans="1:100" ht="12.75" x14ac:dyDescent="0.2">
      <c r="A15" s="9" t="s">
        <v>104</v>
      </c>
      <c r="B15" s="2">
        <v>102</v>
      </c>
      <c r="C15" s="3" t="s">
        <v>95</v>
      </c>
      <c r="D15" s="3" t="s">
        <v>96</v>
      </c>
      <c r="E15" s="2"/>
      <c r="F15" s="2"/>
      <c r="G15" s="2" t="s">
        <v>78</v>
      </c>
      <c r="H15" s="2">
        <v>7</v>
      </c>
      <c r="I15" s="20">
        <v>130.63999999999999</v>
      </c>
      <c r="J15" s="20">
        <v>38900</v>
      </c>
      <c r="K15" s="3">
        <v>0</v>
      </c>
      <c r="L15" s="3" t="s">
        <v>3</v>
      </c>
      <c r="M15" s="4" t="s">
        <v>63</v>
      </c>
      <c r="N15" s="5" t="s">
        <v>4</v>
      </c>
      <c r="O15" s="9" t="s">
        <v>101</v>
      </c>
      <c r="W15" s="10" t="s">
        <v>710</v>
      </c>
      <c r="X15" s="18">
        <v>45127</v>
      </c>
      <c r="Y15" s="19">
        <v>45142</v>
      </c>
      <c r="Z15" s="19" t="s">
        <v>772</v>
      </c>
      <c r="AA15" s="53">
        <v>32000</v>
      </c>
      <c r="AB15" s="21" t="s">
        <v>111</v>
      </c>
      <c r="AC15" s="5" t="s">
        <v>123</v>
      </c>
      <c r="AD15" s="33">
        <v>45503</v>
      </c>
      <c r="AE15" s="54">
        <v>1084</v>
      </c>
      <c r="AF15" s="54"/>
      <c r="AG15" s="9" t="s">
        <v>134</v>
      </c>
      <c r="AH15" s="17">
        <v>45505</v>
      </c>
      <c r="AI15" s="30" t="s">
        <v>3178</v>
      </c>
      <c r="AJ15" s="9" t="s">
        <v>3179</v>
      </c>
      <c r="AK15" s="9" t="s">
        <v>3187</v>
      </c>
      <c r="AL15" s="22">
        <v>1084</v>
      </c>
      <c r="AM15" s="22"/>
      <c r="AN15" s="22" t="s">
        <v>3199</v>
      </c>
      <c r="AO15" s="22"/>
      <c r="AP15" s="22"/>
      <c r="AQ15" s="22"/>
      <c r="AR15" s="22"/>
      <c r="AS15" s="22"/>
      <c r="AT15" s="22"/>
      <c r="AU15" s="22"/>
      <c r="AV15" s="22"/>
      <c r="AW15" s="94">
        <v>45505</v>
      </c>
      <c r="AX15" s="96">
        <v>2971</v>
      </c>
      <c r="BA15" s="86">
        <v>1084</v>
      </c>
      <c r="BB15" s="22"/>
      <c r="BD15" s="9"/>
      <c r="CS15" s="11">
        <f t="shared" si="0"/>
        <v>1084</v>
      </c>
      <c r="CT15" s="22">
        <f t="shared" si="1"/>
        <v>1084</v>
      </c>
      <c r="CU15" s="22">
        <f t="shared" si="2"/>
        <v>0</v>
      </c>
      <c r="CV15" s="26">
        <f t="shared" si="3"/>
        <v>0</v>
      </c>
    </row>
    <row r="16" spans="1:100" x14ac:dyDescent="0.2">
      <c r="A16" s="9" t="s">
        <v>104</v>
      </c>
      <c r="B16" s="2">
        <v>102</v>
      </c>
      <c r="C16" s="3" t="s">
        <v>95</v>
      </c>
      <c r="D16" s="3" t="s">
        <v>96</v>
      </c>
      <c r="E16" s="2"/>
      <c r="F16" s="2"/>
      <c r="G16" s="2" t="s">
        <v>78</v>
      </c>
      <c r="H16" s="2">
        <v>7</v>
      </c>
      <c r="I16" s="20">
        <v>130.63999999999999</v>
      </c>
      <c r="J16" s="20">
        <v>38900</v>
      </c>
      <c r="K16" s="3">
        <v>0</v>
      </c>
      <c r="L16" s="3" t="s">
        <v>3</v>
      </c>
      <c r="M16" s="4" t="s">
        <v>63</v>
      </c>
      <c r="N16" s="5" t="s">
        <v>4</v>
      </c>
      <c r="O16" s="9" t="s">
        <v>101</v>
      </c>
      <c r="W16" s="10" t="s">
        <v>710</v>
      </c>
      <c r="X16" s="18">
        <v>45127</v>
      </c>
      <c r="Y16" s="19">
        <v>45142</v>
      </c>
      <c r="Z16" s="19" t="s">
        <v>772</v>
      </c>
      <c r="AA16" s="53">
        <v>32000</v>
      </c>
      <c r="AB16" s="21" t="s">
        <v>111</v>
      </c>
      <c r="AC16" s="5" t="s">
        <v>124</v>
      </c>
      <c r="AD16" s="33">
        <v>45534</v>
      </c>
      <c r="AE16" s="54">
        <v>1084</v>
      </c>
      <c r="AF16" s="54"/>
      <c r="AG16" s="9" t="s">
        <v>134</v>
      </c>
      <c r="AH16" s="17">
        <v>45559</v>
      </c>
      <c r="AI16" s="30" t="s">
        <v>3178</v>
      </c>
      <c r="AJ16" s="9" t="s">
        <v>3179</v>
      </c>
      <c r="AK16" s="9" t="s">
        <v>3188</v>
      </c>
      <c r="AL16" s="22">
        <v>1084</v>
      </c>
      <c r="AM16" s="22"/>
      <c r="AN16" s="22" t="s">
        <v>3200</v>
      </c>
      <c r="AO16" s="22"/>
      <c r="AP16" s="22"/>
      <c r="AQ16" s="22"/>
      <c r="AR16" s="22"/>
      <c r="AS16" s="22"/>
      <c r="AT16" s="22"/>
      <c r="AU16" s="22"/>
      <c r="AV16" s="22"/>
      <c r="AW16" s="17">
        <v>45548</v>
      </c>
      <c r="AX16" s="9">
        <v>3155</v>
      </c>
      <c r="BA16" s="86">
        <v>1084</v>
      </c>
      <c r="BB16" s="22"/>
      <c r="BD16" s="9"/>
      <c r="CS16" s="11">
        <f t="shared" si="0"/>
        <v>1084</v>
      </c>
      <c r="CT16" s="22">
        <f t="shared" si="1"/>
        <v>1084</v>
      </c>
      <c r="CU16" s="22">
        <f t="shared" si="2"/>
        <v>0</v>
      </c>
      <c r="CV16" s="26">
        <f t="shared" si="3"/>
        <v>0</v>
      </c>
    </row>
    <row r="17" spans="1:100" ht="12.75" x14ac:dyDescent="0.2">
      <c r="A17" s="9" t="s">
        <v>104</v>
      </c>
      <c r="B17" s="2">
        <v>102</v>
      </c>
      <c r="C17" s="3" t="s">
        <v>95</v>
      </c>
      <c r="D17" s="3" t="s">
        <v>96</v>
      </c>
      <c r="E17" s="2"/>
      <c r="F17" s="2"/>
      <c r="G17" s="2" t="s">
        <v>78</v>
      </c>
      <c r="H17" s="2">
        <v>7</v>
      </c>
      <c r="I17" s="20">
        <v>130.63999999999999</v>
      </c>
      <c r="J17" s="20">
        <v>38900</v>
      </c>
      <c r="K17" s="3">
        <v>0</v>
      </c>
      <c r="L17" s="3" t="s">
        <v>3</v>
      </c>
      <c r="M17" s="4" t="s">
        <v>63</v>
      </c>
      <c r="N17" s="5" t="s">
        <v>4</v>
      </c>
      <c r="O17" s="9" t="s">
        <v>101</v>
      </c>
      <c r="W17" s="10" t="s">
        <v>710</v>
      </c>
      <c r="X17" s="18">
        <v>45127</v>
      </c>
      <c r="Y17" s="19">
        <v>45142</v>
      </c>
      <c r="Z17" s="19" t="s">
        <v>772</v>
      </c>
      <c r="AA17" s="53">
        <v>32000</v>
      </c>
      <c r="AB17" s="21" t="s">
        <v>111</v>
      </c>
      <c r="AC17" s="5" t="s">
        <v>125</v>
      </c>
      <c r="AD17" s="33">
        <v>45565</v>
      </c>
      <c r="AE17" s="54">
        <v>1084</v>
      </c>
      <c r="AF17" s="54"/>
      <c r="AG17" s="9" t="s">
        <v>134</v>
      </c>
      <c r="AH17" s="17">
        <v>45602</v>
      </c>
      <c r="AI17" s="30" t="s">
        <v>3178</v>
      </c>
      <c r="AJ17" s="9" t="s">
        <v>3179</v>
      </c>
      <c r="AK17" s="9" t="s">
        <v>3189</v>
      </c>
      <c r="AL17" s="22">
        <v>1084</v>
      </c>
      <c r="AM17" s="22"/>
      <c r="AN17" s="22" t="s">
        <v>3201</v>
      </c>
      <c r="AO17" s="22"/>
      <c r="AP17" s="22"/>
      <c r="AQ17" s="22"/>
      <c r="AR17" s="22"/>
      <c r="AS17" s="22"/>
      <c r="AT17" s="22"/>
      <c r="AU17" s="22"/>
      <c r="AV17" s="22"/>
      <c r="AW17" s="17">
        <v>45576</v>
      </c>
      <c r="AX17" s="9">
        <v>3274</v>
      </c>
      <c r="BA17" s="107">
        <v>724</v>
      </c>
      <c r="BB17" s="22"/>
      <c r="BC17" s="17">
        <v>45601</v>
      </c>
      <c r="BD17" s="9">
        <v>3373</v>
      </c>
      <c r="BG17" s="107">
        <v>360</v>
      </c>
      <c r="CS17" s="11">
        <f t="shared" si="0"/>
        <v>1084</v>
      </c>
      <c r="CT17" s="22">
        <f t="shared" si="1"/>
        <v>1084</v>
      </c>
      <c r="CU17" s="22">
        <f t="shared" si="2"/>
        <v>0</v>
      </c>
      <c r="CV17" s="26">
        <f t="shared" si="3"/>
        <v>0</v>
      </c>
    </row>
    <row r="18" spans="1:100" x14ac:dyDescent="0.2">
      <c r="A18" s="9" t="s">
        <v>104</v>
      </c>
      <c r="B18" s="2">
        <v>102</v>
      </c>
      <c r="C18" s="3" t="s">
        <v>95</v>
      </c>
      <c r="D18" s="3" t="s">
        <v>96</v>
      </c>
      <c r="E18" s="2"/>
      <c r="F18" s="2"/>
      <c r="G18" s="2" t="s">
        <v>78</v>
      </c>
      <c r="H18" s="2">
        <v>7</v>
      </c>
      <c r="I18" s="20">
        <v>130.63999999999999</v>
      </c>
      <c r="J18" s="20">
        <v>38900</v>
      </c>
      <c r="K18" s="3">
        <v>0</v>
      </c>
      <c r="L18" s="3" t="s">
        <v>3</v>
      </c>
      <c r="M18" s="4" t="s">
        <v>63</v>
      </c>
      <c r="N18" s="5" t="s">
        <v>4</v>
      </c>
      <c r="O18" s="9" t="s">
        <v>101</v>
      </c>
      <c r="W18" s="10" t="s">
        <v>710</v>
      </c>
      <c r="X18" s="18">
        <v>45127</v>
      </c>
      <c r="Y18" s="19">
        <v>45142</v>
      </c>
      <c r="Z18" s="19" t="s">
        <v>772</v>
      </c>
      <c r="AA18" s="53">
        <v>32000</v>
      </c>
      <c r="AB18" s="21" t="s">
        <v>111</v>
      </c>
      <c r="AC18" s="5" t="s">
        <v>126</v>
      </c>
      <c r="AD18" s="33">
        <v>45595</v>
      </c>
      <c r="AE18" s="54">
        <v>1084</v>
      </c>
      <c r="AF18" s="54"/>
      <c r="AG18" s="9" t="s">
        <v>134</v>
      </c>
      <c r="AH18" s="17">
        <v>45609</v>
      </c>
      <c r="AI18" s="30" t="s">
        <v>3178</v>
      </c>
      <c r="AJ18" s="9" t="s">
        <v>3179</v>
      </c>
      <c r="AK18" s="9" t="s">
        <v>3190</v>
      </c>
      <c r="AL18" s="22">
        <v>1084</v>
      </c>
      <c r="AM18" s="22"/>
      <c r="AN18" s="22" t="s">
        <v>3202</v>
      </c>
      <c r="AO18" s="22"/>
      <c r="AP18" s="22"/>
      <c r="AQ18" s="22"/>
      <c r="AR18" s="22"/>
      <c r="AS18" s="22"/>
      <c r="AT18" s="22"/>
      <c r="AU18" s="22"/>
      <c r="AV18" s="22"/>
      <c r="AW18" s="17">
        <v>45602</v>
      </c>
      <c r="AX18" s="9">
        <v>3377</v>
      </c>
      <c r="BA18" s="22">
        <v>450</v>
      </c>
      <c r="BB18" s="22"/>
      <c r="BC18" s="17">
        <v>45608</v>
      </c>
      <c r="BD18" s="9">
        <v>3403</v>
      </c>
      <c r="BG18" s="22">
        <v>634</v>
      </c>
      <c r="CS18" s="11">
        <f t="shared" si="0"/>
        <v>1084</v>
      </c>
      <c r="CT18" s="22">
        <f t="shared" si="1"/>
        <v>1084</v>
      </c>
      <c r="CU18" s="22">
        <f t="shared" si="2"/>
        <v>0</v>
      </c>
      <c r="CV18" s="26">
        <f t="shared" si="3"/>
        <v>0</v>
      </c>
    </row>
    <row r="19" spans="1:100" x14ac:dyDescent="0.2">
      <c r="A19" s="9" t="s">
        <v>104</v>
      </c>
      <c r="B19" s="2">
        <v>102</v>
      </c>
      <c r="C19" s="3" t="s">
        <v>95</v>
      </c>
      <c r="D19" s="3" t="s">
        <v>96</v>
      </c>
      <c r="E19" s="2"/>
      <c r="F19" s="2"/>
      <c r="G19" s="2" t="s">
        <v>78</v>
      </c>
      <c r="H19" s="2">
        <v>7</v>
      </c>
      <c r="I19" s="20">
        <v>130.63999999999999</v>
      </c>
      <c r="J19" s="20">
        <v>38900</v>
      </c>
      <c r="K19" s="3">
        <v>0</v>
      </c>
      <c r="L19" s="3" t="s">
        <v>3</v>
      </c>
      <c r="M19" s="4" t="s">
        <v>63</v>
      </c>
      <c r="N19" s="5" t="s">
        <v>4</v>
      </c>
      <c r="O19" s="9" t="s">
        <v>101</v>
      </c>
      <c r="W19" s="10" t="s">
        <v>710</v>
      </c>
      <c r="X19" s="18">
        <v>45127</v>
      </c>
      <c r="Y19" s="19">
        <v>45142</v>
      </c>
      <c r="Z19" s="19" t="s">
        <v>772</v>
      </c>
      <c r="AA19" s="53">
        <v>32000</v>
      </c>
      <c r="AB19" s="21" t="s">
        <v>111</v>
      </c>
      <c r="AC19" s="5" t="s">
        <v>127</v>
      </c>
      <c r="AD19" s="33">
        <v>45626</v>
      </c>
      <c r="AE19" s="54">
        <v>1084</v>
      </c>
      <c r="AF19" s="54"/>
      <c r="AG19" s="9" t="s">
        <v>134</v>
      </c>
      <c r="AH19" s="17">
        <v>45631</v>
      </c>
      <c r="AI19" s="30" t="s">
        <v>3178</v>
      </c>
      <c r="AJ19" s="9" t="s">
        <v>3179</v>
      </c>
      <c r="AK19" s="9" t="s">
        <v>3191</v>
      </c>
      <c r="AL19" s="22">
        <v>1084</v>
      </c>
      <c r="AM19" s="22"/>
      <c r="AN19" s="22" t="s">
        <v>3203</v>
      </c>
      <c r="AO19" s="22"/>
      <c r="AP19" s="22"/>
      <c r="AQ19" s="22"/>
      <c r="AR19" s="22"/>
      <c r="AS19" s="22"/>
      <c r="AT19" s="22"/>
      <c r="AU19" s="22"/>
      <c r="AV19" s="22"/>
      <c r="AW19" s="17">
        <v>45630</v>
      </c>
      <c r="AX19" s="9">
        <v>3480</v>
      </c>
      <c r="BA19" s="86">
        <v>1084</v>
      </c>
      <c r="BB19" s="22"/>
      <c r="BD19" s="9"/>
      <c r="CS19" s="11">
        <f t="shared" si="0"/>
        <v>1084</v>
      </c>
      <c r="CT19" s="22">
        <f t="shared" si="1"/>
        <v>1084</v>
      </c>
      <c r="CU19" s="22">
        <f t="shared" si="2"/>
        <v>0</v>
      </c>
      <c r="CV19" s="26">
        <f t="shared" si="3"/>
        <v>0</v>
      </c>
    </row>
    <row r="20" spans="1:100" x14ac:dyDescent="0.2">
      <c r="A20" s="9" t="s">
        <v>104</v>
      </c>
      <c r="B20" s="2">
        <v>102</v>
      </c>
      <c r="C20" s="3" t="s">
        <v>95</v>
      </c>
      <c r="D20" s="3" t="s">
        <v>96</v>
      </c>
      <c r="E20" s="2"/>
      <c r="F20" s="2"/>
      <c r="G20" s="2" t="s">
        <v>78</v>
      </c>
      <c r="H20" s="2">
        <v>7</v>
      </c>
      <c r="I20" s="20">
        <v>130.63999999999999</v>
      </c>
      <c r="J20" s="20">
        <v>38900</v>
      </c>
      <c r="K20" s="3">
        <v>0</v>
      </c>
      <c r="L20" s="3" t="s">
        <v>3</v>
      </c>
      <c r="M20" s="4" t="s">
        <v>63</v>
      </c>
      <c r="N20" s="5" t="s">
        <v>4</v>
      </c>
      <c r="O20" s="9" t="s">
        <v>101</v>
      </c>
      <c r="W20" s="10" t="s">
        <v>710</v>
      </c>
      <c r="X20" s="18">
        <v>45127</v>
      </c>
      <c r="Y20" s="19">
        <v>45142</v>
      </c>
      <c r="Z20" s="19" t="s">
        <v>772</v>
      </c>
      <c r="AA20" s="53">
        <v>32000</v>
      </c>
      <c r="AB20" s="21" t="s">
        <v>111</v>
      </c>
      <c r="AC20" s="5" t="s">
        <v>128</v>
      </c>
      <c r="AD20" s="33">
        <v>45656</v>
      </c>
      <c r="AE20" s="54">
        <v>1084</v>
      </c>
      <c r="AF20" s="54"/>
      <c r="AG20" s="9" t="s">
        <v>134</v>
      </c>
      <c r="AH20" s="17">
        <v>45661</v>
      </c>
      <c r="AI20" s="30" t="s">
        <v>3178</v>
      </c>
      <c r="AJ20" s="9" t="s">
        <v>3179</v>
      </c>
      <c r="AK20" s="9" t="s">
        <v>3204</v>
      </c>
      <c r="AL20" s="22">
        <v>1084</v>
      </c>
      <c r="AM20" s="22"/>
      <c r="AN20" s="22" t="s">
        <v>3211</v>
      </c>
      <c r="AO20" s="22"/>
      <c r="AP20" s="22"/>
      <c r="AQ20" s="22"/>
      <c r="AR20" s="22"/>
      <c r="AS20" s="22"/>
      <c r="AT20" s="22"/>
      <c r="AU20" s="22"/>
      <c r="AV20" s="22"/>
      <c r="AW20" s="17">
        <v>45660</v>
      </c>
      <c r="AX20" s="9">
        <v>3571</v>
      </c>
      <c r="BA20" s="86">
        <v>1084</v>
      </c>
      <c r="BB20" s="22"/>
      <c r="BD20" s="9"/>
      <c r="CS20" s="11">
        <f t="shared" si="0"/>
        <v>1084</v>
      </c>
      <c r="CT20" s="22">
        <f t="shared" si="1"/>
        <v>1084</v>
      </c>
      <c r="CU20" s="22">
        <f t="shared" si="2"/>
        <v>0</v>
      </c>
      <c r="CV20" s="26">
        <f t="shared" si="3"/>
        <v>0</v>
      </c>
    </row>
    <row r="21" spans="1:100" ht="12.75" x14ac:dyDescent="0.2">
      <c r="A21" s="9" t="s">
        <v>104</v>
      </c>
      <c r="B21" s="2">
        <v>102</v>
      </c>
      <c r="C21" s="3" t="s">
        <v>95</v>
      </c>
      <c r="D21" s="3" t="s">
        <v>96</v>
      </c>
      <c r="E21" s="2"/>
      <c r="F21" s="2"/>
      <c r="G21" s="2" t="s">
        <v>78</v>
      </c>
      <c r="H21" s="2">
        <v>7</v>
      </c>
      <c r="I21" s="20">
        <v>130.63999999999999</v>
      </c>
      <c r="J21" s="20">
        <v>38900</v>
      </c>
      <c r="K21" s="3">
        <v>0</v>
      </c>
      <c r="L21" s="3" t="s">
        <v>3</v>
      </c>
      <c r="M21" s="4" t="s">
        <v>63</v>
      </c>
      <c r="N21" s="5" t="s">
        <v>4</v>
      </c>
      <c r="O21" s="9" t="s">
        <v>101</v>
      </c>
      <c r="W21" s="10" t="s">
        <v>710</v>
      </c>
      <c r="X21" s="18">
        <v>45127</v>
      </c>
      <c r="Y21" s="19">
        <v>45142</v>
      </c>
      <c r="Z21" s="19" t="s">
        <v>772</v>
      </c>
      <c r="AA21" s="53">
        <v>32000</v>
      </c>
      <c r="AB21" s="21" t="s">
        <v>111</v>
      </c>
      <c r="AC21" s="5" t="s">
        <v>129</v>
      </c>
      <c r="AD21" s="33">
        <v>45687</v>
      </c>
      <c r="AE21" s="54">
        <v>1084</v>
      </c>
      <c r="AF21" s="54"/>
      <c r="AG21" s="9" t="s">
        <v>134</v>
      </c>
      <c r="AH21" s="17">
        <v>45719</v>
      </c>
      <c r="AI21" s="30" t="s">
        <v>3178</v>
      </c>
      <c r="AJ21" s="9" t="s">
        <v>3179</v>
      </c>
      <c r="AK21" s="9" t="s">
        <v>3205</v>
      </c>
      <c r="AL21" s="22">
        <v>300</v>
      </c>
      <c r="AM21" s="22"/>
      <c r="AN21" s="22" t="s">
        <v>3212</v>
      </c>
      <c r="AO21" s="22" t="s">
        <v>134</v>
      </c>
      <c r="AP21" s="17">
        <v>45744</v>
      </c>
      <c r="AQ21" s="30" t="s">
        <v>3178</v>
      </c>
      <c r="AR21" s="9" t="s">
        <v>3179</v>
      </c>
      <c r="AS21" s="9" t="s">
        <v>3206</v>
      </c>
      <c r="AT21" s="22">
        <v>784</v>
      </c>
      <c r="AU21" s="22"/>
      <c r="AV21" s="22" t="s">
        <v>3213</v>
      </c>
      <c r="AW21" s="17">
        <v>45713</v>
      </c>
      <c r="AX21" s="9">
        <v>3792</v>
      </c>
      <c r="BA21" s="22">
        <v>300</v>
      </c>
      <c r="BB21" s="22"/>
      <c r="BC21" s="94">
        <v>45744</v>
      </c>
      <c r="BD21" s="96">
        <v>3936</v>
      </c>
      <c r="BG21" s="22">
        <v>784</v>
      </c>
      <c r="CS21" s="11">
        <f t="shared" si="0"/>
        <v>1084</v>
      </c>
      <c r="CT21" s="22">
        <f t="shared" si="1"/>
        <v>1084</v>
      </c>
      <c r="CU21" s="22">
        <f t="shared" si="2"/>
        <v>0</v>
      </c>
      <c r="CV21" s="26">
        <f t="shared" si="3"/>
        <v>0</v>
      </c>
    </row>
    <row r="22" spans="1:100" ht="12.75" x14ac:dyDescent="0.2">
      <c r="A22" s="9" t="s">
        <v>104</v>
      </c>
      <c r="B22" s="2">
        <v>102</v>
      </c>
      <c r="C22" s="3" t="s">
        <v>95</v>
      </c>
      <c r="D22" s="3" t="s">
        <v>96</v>
      </c>
      <c r="E22" s="2"/>
      <c r="F22" s="2"/>
      <c r="G22" s="2" t="s">
        <v>78</v>
      </c>
      <c r="H22" s="2">
        <v>7</v>
      </c>
      <c r="I22" s="20">
        <v>130.63999999999999</v>
      </c>
      <c r="J22" s="20">
        <v>38900</v>
      </c>
      <c r="K22" s="3">
        <v>0</v>
      </c>
      <c r="L22" s="3" t="s">
        <v>3</v>
      </c>
      <c r="M22" s="4" t="s">
        <v>63</v>
      </c>
      <c r="N22" s="5" t="s">
        <v>4</v>
      </c>
      <c r="O22" s="9" t="s">
        <v>101</v>
      </c>
      <c r="W22" s="10" t="s">
        <v>710</v>
      </c>
      <c r="X22" s="18">
        <v>45127</v>
      </c>
      <c r="Y22" s="19">
        <v>45142</v>
      </c>
      <c r="Z22" s="19" t="s">
        <v>772</v>
      </c>
      <c r="AA22" s="53">
        <v>32000</v>
      </c>
      <c r="AB22" s="21" t="s">
        <v>111</v>
      </c>
      <c r="AC22" s="5" t="s">
        <v>130</v>
      </c>
      <c r="AD22" s="33">
        <v>45716</v>
      </c>
      <c r="AE22" s="54">
        <v>1084</v>
      </c>
      <c r="AF22" s="54"/>
      <c r="AG22" s="9" t="s">
        <v>134</v>
      </c>
      <c r="AH22" s="17">
        <v>45786</v>
      </c>
      <c r="AI22" s="30" t="s">
        <v>3178</v>
      </c>
      <c r="AJ22" s="9" t="s">
        <v>3179</v>
      </c>
      <c r="AK22" s="9" t="s">
        <v>3207</v>
      </c>
      <c r="AL22" s="22">
        <v>1084</v>
      </c>
      <c r="AM22" s="22"/>
      <c r="AN22" s="22" t="s">
        <v>3214</v>
      </c>
      <c r="AO22" s="22"/>
      <c r="AP22" s="22"/>
      <c r="AQ22" s="22"/>
      <c r="AR22" s="22"/>
      <c r="AS22" s="22"/>
      <c r="AT22" s="22"/>
      <c r="AU22" s="22"/>
      <c r="AV22" s="22"/>
      <c r="AW22" s="94">
        <v>45785</v>
      </c>
      <c r="AX22" s="96">
        <v>4140</v>
      </c>
      <c r="BA22" s="86">
        <v>1084</v>
      </c>
      <c r="BB22" s="22"/>
      <c r="BD22" s="9"/>
      <c r="CS22" s="11">
        <f t="shared" si="0"/>
        <v>1084</v>
      </c>
      <c r="CT22" s="22">
        <f t="shared" si="1"/>
        <v>1084</v>
      </c>
      <c r="CU22" s="22">
        <f t="shared" si="2"/>
        <v>0</v>
      </c>
      <c r="CV22" s="26">
        <f t="shared" si="3"/>
        <v>0</v>
      </c>
    </row>
    <row r="23" spans="1:100" x14ac:dyDescent="0.2">
      <c r="A23" s="9" t="s">
        <v>104</v>
      </c>
      <c r="B23" s="2">
        <v>102</v>
      </c>
      <c r="C23" s="3" t="s">
        <v>95</v>
      </c>
      <c r="D23" s="3" t="s">
        <v>96</v>
      </c>
      <c r="E23" s="2"/>
      <c r="F23" s="2"/>
      <c r="G23" s="2" t="s">
        <v>78</v>
      </c>
      <c r="H23" s="2">
        <v>7</v>
      </c>
      <c r="I23" s="20">
        <v>130.63999999999999</v>
      </c>
      <c r="J23" s="20">
        <v>38900</v>
      </c>
      <c r="K23" s="3">
        <v>0</v>
      </c>
      <c r="L23" s="3" t="s">
        <v>3</v>
      </c>
      <c r="M23" s="4" t="s">
        <v>63</v>
      </c>
      <c r="N23" s="5" t="s">
        <v>4</v>
      </c>
      <c r="O23" s="9" t="s">
        <v>101</v>
      </c>
      <c r="W23" s="10" t="s">
        <v>710</v>
      </c>
      <c r="X23" s="18">
        <v>45127</v>
      </c>
      <c r="Y23" s="19">
        <v>45142</v>
      </c>
      <c r="Z23" s="19" t="s">
        <v>772</v>
      </c>
      <c r="AA23" s="53">
        <v>32000</v>
      </c>
      <c r="AB23" s="21" t="s">
        <v>111</v>
      </c>
      <c r="AC23" s="5" t="s">
        <v>131</v>
      </c>
      <c r="AD23" s="33">
        <v>45746</v>
      </c>
      <c r="AE23" s="54">
        <v>1084</v>
      </c>
      <c r="AF23" s="54"/>
      <c r="AG23" s="9" t="s">
        <v>134</v>
      </c>
      <c r="AH23" s="17">
        <v>45821</v>
      </c>
      <c r="AI23" s="30" t="s">
        <v>3178</v>
      </c>
      <c r="AJ23" s="9" t="s">
        <v>3179</v>
      </c>
      <c r="AK23" s="9" t="s">
        <v>3208</v>
      </c>
      <c r="AL23" s="22">
        <v>1084</v>
      </c>
      <c r="AM23" s="22"/>
      <c r="AN23" s="22" t="s">
        <v>3215</v>
      </c>
      <c r="AO23" s="22"/>
      <c r="AP23" s="22"/>
      <c r="AQ23" s="22"/>
      <c r="AR23" s="22"/>
      <c r="AS23" s="22"/>
      <c r="AT23" s="22"/>
      <c r="AU23" s="22"/>
      <c r="AV23" s="22"/>
      <c r="AW23" s="17">
        <v>45807</v>
      </c>
      <c r="AX23" s="9">
        <v>4243</v>
      </c>
      <c r="BA23" s="22">
        <v>1000</v>
      </c>
      <c r="BB23" s="22"/>
      <c r="BC23" s="17">
        <v>45819</v>
      </c>
      <c r="BD23" s="9">
        <v>4287</v>
      </c>
      <c r="BG23" s="22">
        <v>84</v>
      </c>
      <c r="CS23" s="11">
        <f t="shared" ref="CS23:CS27" si="4">+AL23+AT23</f>
        <v>1084</v>
      </c>
      <c r="CT23" s="22">
        <f t="shared" ref="CT23:CT27" si="5">+BA23+BG23+BM23+BS23+BY23+CE23+CK23+CQ23</f>
        <v>1084</v>
      </c>
      <c r="CU23" s="22">
        <f t="shared" ref="CU23:CU27" si="6">+CS23-CT23</f>
        <v>0</v>
      </c>
      <c r="CV23" s="26">
        <f t="shared" ref="CV23:CV27" si="7">+AE23-AL23-AT23</f>
        <v>0</v>
      </c>
    </row>
    <row r="24" spans="1:100" x14ac:dyDescent="0.2">
      <c r="A24" s="9" t="s">
        <v>104</v>
      </c>
      <c r="B24" s="2">
        <v>102</v>
      </c>
      <c r="C24" s="3" t="s">
        <v>95</v>
      </c>
      <c r="D24" s="3" t="s">
        <v>96</v>
      </c>
      <c r="E24" s="2"/>
      <c r="F24" s="2"/>
      <c r="G24" s="2" t="s">
        <v>78</v>
      </c>
      <c r="H24" s="2">
        <v>7</v>
      </c>
      <c r="I24" s="20">
        <v>130.63999999999999</v>
      </c>
      <c r="J24" s="20">
        <v>38900</v>
      </c>
      <c r="K24" s="3">
        <v>0</v>
      </c>
      <c r="L24" s="3" t="s">
        <v>3</v>
      </c>
      <c r="M24" s="4" t="s">
        <v>63</v>
      </c>
      <c r="N24" s="5" t="s">
        <v>4</v>
      </c>
      <c r="O24" s="9" t="s">
        <v>101</v>
      </c>
      <c r="W24" s="10" t="s">
        <v>710</v>
      </c>
      <c r="X24" s="18">
        <v>45127</v>
      </c>
      <c r="Y24" s="19">
        <v>45142</v>
      </c>
      <c r="Z24" s="19" t="s">
        <v>772</v>
      </c>
      <c r="AA24" s="53">
        <v>32000</v>
      </c>
      <c r="AB24" s="21" t="s">
        <v>111</v>
      </c>
      <c r="AC24" s="5" t="s">
        <v>3510</v>
      </c>
      <c r="AD24" s="33">
        <v>45777</v>
      </c>
      <c r="AE24" s="54">
        <v>1084</v>
      </c>
      <c r="AF24" s="54"/>
      <c r="AG24" s="9" t="s">
        <v>134</v>
      </c>
      <c r="AH24" s="17">
        <v>45890</v>
      </c>
      <c r="AI24" s="30" t="s">
        <v>3178</v>
      </c>
      <c r="AJ24" s="9" t="s">
        <v>3179</v>
      </c>
      <c r="AK24" s="9" t="s">
        <v>3209</v>
      </c>
      <c r="AL24" s="22">
        <v>400</v>
      </c>
      <c r="AM24" s="22"/>
      <c r="AN24" s="22" t="s">
        <v>3216</v>
      </c>
      <c r="AO24" s="9" t="s">
        <v>134</v>
      </c>
      <c r="AP24" s="17">
        <v>45904</v>
      </c>
      <c r="AQ24" s="30" t="s">
        <v>3178</v>
      </c>
      <c r="AR24" s="9" t="s">
        <v>3179</v>
      </c>
      <c r="AS24" s="9" t="s">
        <v>3210</v>
      </c>
      <c r="AT24" s="22">
        <v>400</v>
      </c>
      <c r="AU24" s="22"/>
      <c r="AV24" s="22" t="s">
        <v>3217</v>
      </c>
      <c r="AW24" s="17">
        <v>45889</v>
      </c>
      <c r="AX24" s="9">
        <v>4606</v>
      </c>
      <c r="BA24" s="22">
        <v>400</v>
      </c>
      <c r="BB24" s="22"/>
      <c r="BC24" s="17">
        <v>45904</v>
      </c>
      <c r="BD24" s="9">
        <v>4667</v>
      </c>
      <c r="BG24" s="22">
        <v>400</v>
      </c>
      <c r="CS24" s="11">
        <f t="shared" si="4"/>
        <v>800</v>
      </c>
      <c r="CT24" s="22">
        <f t="shared" si="5"/>
        <v>800</v>
      </c>
      <c r="CU24" s="22">
        <f t="shared" si="6"/>
        <v>0</v>
      </c>
      <c r="CV24" s="26">
        <f t="shared" si="7"/>
        <v>284</v>
      </c>
    </row>
    <row r="25" spans="1:100" x14ac:dyDescent="0.2">
      <c r="A25" s="9" t="s">
        <v>104</v>
      </c>
      <c r="B25" s="2">
        <v>102</v>
      </c>
      <c r="C25" s="3" t="s">
        <v>95</v>
      </c>
      <c r="D25" s="3" t="s">
        <v>96</v>
      </c>
      <c r="E25" s="2"/>
      <c r="F25" s="2"/>
      <c r="G25" s="2" t="s">
        <v>78</v>
      </c>
      <c r="H25" s="2">
        <v>7</v>
      </c>
      <c r="I25" s="20">
        <v>130.63999999999999</v>
      </c>
      <c r="J25" s="20">
        <v>38900</v>
      </c>
      <c r="K25" s="3">
        <v>0</v>
      </c>
      <c r="L25" s="3" t="s">
        <v>3</v>
      </c>
      <c r="M25" s="4" t="s">
        <v>63</v>
      </c>
      <c r="N25" s="5" t="s">
        <v>4</v>
      </c>
      <c r="O25" s="9" t="s">
        <v>101</v>
      </c>
      <c r="W25" s="10" t="s">
        <v>710</v>
      </c>
      <c r="X25" s="18">
        <v>45127</v>
      </c>
      <c r="Y25" s="19">
        <v>45142</v>
      </c>
      <c r="Z25" s="19" t="s">
        <v>772</v>
      </c>
      <c r="AA25" s="53">
        <v>32000</v>
      </c>
      <c r="AB25" s="21" t="s">
        <v>111</v>
      </c>
      <c r="AC25" s="5" t="s">
        <v>3511</v>
      </c>
      <c r="AD25" s="33">
        <v>45807</v>
      </c>
      <c r="AE25" s="54">
        <v>1084</v>
      </c>
      <c r="AF25" s="54"/>
      <c r="AL25" s="9"/>
      <c r="AM25" s="9"/>
      <c r="AN25" s="9"/>
      <c r="AO25" s="22"/>
      <c r="AP25" s="22"/>
      <c r="AQ25" s="22"/>
      <c r="AR25" s="22"/>
      <c r="AS25" s="22"/>
      <c r="AT25" s="22"/>
      <c r="AU25" s="22"/>
      <c r="AV25" s="22"/>
      <c r="AW25" s="9"/>
      <c r="BA25" s="9"/>
      <c r="BB25" s="22"/>
      <c r="BD25" s="9"/>
      <c r="CS25" s="11">
        <f t="shared" si="4"/>
        <v>0</v>
      </c>
      <c r="CT25" s="22">
        <f t="shared" si="5"/>
        <v>0</v>
      </c>
      <c r="CU25" s="22">
        <f t="shared" si="6"/>
        <v>0</v>
      </c>
      <c r="CV25" s="26">
        <f t="shared" si="7"/>
        <v>1084</v>
      </c>
    </row>
    <row r="26" spans="1:100" x14ac:dyDescent="0.2">
      <c r="A26" s="9" t="s">
        <v>104</v>
      </c>
      <c r="B26" s="2">
        <v>102</v>
      </c>
      <c r="C26" s="3" t="s">
        <v>95</v>
      </c>
      <c r="D26" s="3" t="s">
        <v>96</v>
      </c>
      <c r="E26" s="2"/>
      <c r="F26" s="2"/>
      <c r="G26" s="2" t="s">
        <v>78</v>
      </c>
      <c r="H26" s="2">
        <v>7</v>
      </c>
      <c r="I26" s="20">
        <v>130.63999999999999</v>
      </c>
      <c r="J26" s="20">
        <v>38900</v>
      </c>
      <c r="K26" s="3">
        <v>0</v>
      </c>
      <c r="L26" s="3" t="s">
        <v>3</v>
      </c>
      <c r="M26" s="4" t="s">
        <v>63</v>
      </c>
      <c r="N26" s="5" t="s">
        <v>4</v>
      </c>
      <c r="O26" s="9" t="s">
        <v>101</v>
      </c>
      <c r="W26" s="10" t="s">
        <v>710</v>
      </c>
      <c r="X26" s="18">
        <v>45127</v>
      </c>
      <c r="Y26" s="19">
        <v>45142</v>
      </c>
      <c r="Z26" s="19" t="s">
        <v>772</v>
      </c>
      <c r="AA26" s="53">
        <v>32000</v>
      </c>
      <c r="AB26" s="21" t="s">
        <v>111</v>
      </c>
      <c r="AC26" s="5" t="s">
        <v>3512</v>
      </c>
      <c r="AD26" s="33">
        <v>45838</v>
      </c>
      <c r="AE26" s="54">
        <v>1084</v>
      </c>
      <c r="AF26" s="54"/>
      <c r="AH26" s="17"/>
      <c r="AI26" s="30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9"/>
      <c r="BA26" s="22"/>
      <c r="BB26" s="22"/>
      <c r="BD26" s="9"/>
      <c r="CS26" s="11">
        <f t="shared" si="4"/>
        <v>0</v>
      </c>
      <c r="CT26" s="22">
        <f t="shared" si="5"/>
        <v>0</v>
      </c>
      <c r="CU26" s="22">
        <f t="shared" si="6"/>
        <v>0</v>
      </c>
      <c r="CV26" s="26">
        <f t="shared" si="7"/>
        <v>1084</v>
      </c>
    </row>
    <row r="27" spans="1:100" x14ac:dyDescent="0.2">
      <c r="A27" s="9" t="s">
        <v>104</v>
      </c>
      <c r="B27" s="2">
        <v>102</v>
      </c>
      <c r="C27" s="3" t="s">
        <v>95</v>
      </c>
      <c r="D27" s="3" t="s">
        <v>96</v>
      </c>
      <c r="E27" s="2"/>
      <c r="F27" s="2"/>
      <c r="G27" s="2" t="s">
        <v>78</v>
      </c>
      <c r="H27" s="2">
        <v>7</v>
      </c>
      <c r="I27" s="20">
        <v>130.63999999999999</v>
      </c>
      <c r="J27" s="20">
        <v>38900</v>
      </c>
      <c r="K27" s="3">
        <v>0</v>
      </c>
      <c r="L27" s="3" t="s">
        <v>3</v>
      </c>
      <c r="M27" s="4" t="s">
        <v>63</v>
      </c>
      <c r="N27" s="5" t="s">
        <v>4</v>
      </c>
      <c r="O27" s="9" t="s">
        <v>101</v>
      </c>
      <c r="W27" s="10" t="s">
        <v>710</v>
      </c>
      <c r="X27" s="18">
        <v>45127</v>
      </c>
      <c r="Y27" s="19">
        <v>45142</v>
      </c>
      <c r="Z27" s="19" t="s">
        <v>772</v>
      </c>
      <c r="AA27" s="53">
        <v>32000</v>
      </c>
      <c r="AB27" s="21" t="s">
        <v>111</v>
      </c>
      <c r="AC27" s="5" t="s">
        <v>111</v>
      </c>
      <c r="AD27" s="33">
        <v>45868</v>
      </c>
      <c r="AE27" s="54">
        <v>1068</v>
      </c>
      <c r="AF27" s="54"/>
      <c r="AH27" s="17"/>
      <c r="AI27" s="30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9"/>
      <c r="BA27" s="22"/>
      <c r="BB27" s="22"/>
      <c r="BD27" s="9"/>
      <c r="CS27" s="11">
        <f t="shared" si="4"/>
        <v>0</v>
      </c>
      <c r="CT27" s="22">
        <f t="shared" si="5"/>
        <v>0</v>
      </c>
      <c r="CU27" s="22">
        <f t="shared" si="6"/>
        <v>0</v>
      </c>
      <c r="CV27" s="26">
        <f t="shared" si="7"/>
        <v>1068</v>
      </c>
    </row>
    <row r="28" spans="1:100" x14ac:dyDescent="0.2">
      <c r="A28" s="9" t="s">
        <v>3242</v>
      </c>
      <c r="B28" s="2">
        <v>24</v>
      </c>
      <c r="C28" s="186" t="s">
        <v>95</v>
      </c>
      <c r="D28" s="186" t="s">
        <v>96</v>
      </c>
      <c r="E28" s="185"/>
      <c r="F28" s="185"/>
      <c r="G28" s="2" t="s">
        <v>68</v>
      </c>
      <c r="H28" s="2">
        <v>4</v>
      </c>
      <c r="I28" s="20">
        <v>145.31</v>
      </c>
      <c r="J28" s="20">
        <v>42900</v>
      </c>
      <c r="K28" s="3">
        <v>0</v>
      </c>
      <c r="L28" s="3" t="s">
        <v>3</v>
      </c>
      <c r="M28" s="9" t="s">
        <v>0</v>
      </c>
      <c r="N28" s="9">
        <v>73176828</v>
      </c>
      <c r="O28" s="9" t="s">
        <v>3241</v>
      </c>
      <c r="S28" s="9" t="s">
        <v>158</v>
      </c>
      <c r="T28" s="10" t="s">
        <v>68</v>
      </c>
      <c r="U28" s="10">
        <v>4</v>
      </c>
      <c r="V28" s="10">
        <v>145.31</v>
      </c>
      <c r="W28" s="10" t="s">
        <v>710</v>
      </c>
      <c r="X28" s="17">
        <v>45172</v>
      </c>
      <c r="Y28" s="17">
        <v>45172</v>
      </c>
      <c r="Z28" s="19" t="s">
        <v>772</v>
      </c>
      <c r="AA28" s="207">
        <v>41900</v>
      </c>
      <c r="AB28" s="9">
        <v>48</v>
      </c>
      <c r="AC28" s="9">
        <v>0</v>
      </c>
      <c r="AD28" s="17">
        <v>45172</v>
      </c>
      <c r="AE28" s="54">
        <v>100</v>
      </c>
      <c r="AF28" s="54"/>
      <c r="AG28" s="9" t="s">
        <v>134</v>
      </c>
      <c r="AH28" s="17">
        <v>45172</v>
      </c>
      <c r="AI28" s="9">
        <v>73176828</v>
      </c>
      <c r="AJ28" s="9" t="s">
        <v>3241</v>
      </c>
      <c r="AK28" s="9" t="s">
        <v>3243</v>
      </c>
      <c r="AL28" s="22">
        <v>100</v>
      </c>
      <c r="AM28" s="22"/>
      <c r="AN28" s="22" t="s">
        <v>3246</v>
      </c>
      <c r="AO28" s="22"/>
      <c r="AP28" s="22"/>
      <c r="AQ28" s="22"/>
      <c r="AR28" s="22"/>
      <c r="AS28" s="22"/>
      <c r="AT28" s="22"/>
      <c r="AU28" s="22"/>
      <c r="AV28" s="22"/>
      <c r="AW28" s="17">
        <v>45904</v>
      </c>
      <c r="AX28" s="9">
        <v>27342</v>
      </c>
      <c r="AY28" s="9">
        <v>369</v>
      </c>
      <c r="AZ28" s="9">
        <v>3.69</v>
      </c>
      <c r="BA28" s="22">
        <f>+AY28/AZ28</f>
        <v>100</v>
      </c>
      <c r="BB28" s="22"/>
      <c r="BD28" s="9"/>
      <c r="CS28" s="11">
        <f t="shared" ref="CS28:CS91" si="8">+AL28+AT28</f>
        <v>100</v>
      </c>
      <c r="CT28" s="22">
        <f t="shared" ref="CT28:CT91" si="9">+BA28+BG28+BM28+BS28+BY28+CE28+CK28+CQ28</f>
        <v>100</v>
      </c>
      <c r="CU28" s="22">
        <f t="shared" ref="CU28:CU91" si="10">+CS28-CT28</f>
        <v>0</v>
      </c>
      <c r="CV28" s="26">
        <f t="shared" ref="CV28:CV91" si="11">+AE28-AL28-AT28</f>
        <v>0</v>
      </c>
    </row>
    <row r="29" spans="1:100" x14ac:dyDescent="0.2">
      <c r="A29" s="9" t="s">
        <v>3242</v>
      </c>
      <c r="B29" s="2">
        <v>24</v>
      </c>
      <c r="C29" s="186" t="s">
        <v>95</v>
      </c>
      <c r="D29" s="186" t="s">
        <v>96</v>
      </c>
      <c r="E29" s="185"/>
      <c r="F29" s="185"/>
      <c r="G29" s="2" t="s">
        <v>68</v>
      </c>
      <c r="H29" s="2">
        <v>4</v>
      </c>
      <c r="I29" s="20">
        <v>145.31</v>
      </c>
      <c r="J29" s="20">
        <v>42900</v>
      </c>
      <c r="K29" s="3">
        <v>0</v>
      </c>
      <c r="L29" s="3" t="s">
        <v>3</v>
      </c>
      <c r="M29" s="9" t="s">
        <v>0</v>
      </c>
      <c r="N29" s="9">
        <v>73176828</v>
      </c>
      <c r="O29" s="9" t="s">
        <v>3241</v>
      </c>
      <c r="S29" s="9" t="s">
        <v>158</v>
      </c>
      <c r="T29" s="10" t="s">
        <v>68</v>
      </c>
      <c r="U29" s="10">
        <v>4</v>
      </c>
      <c r="V29" s="10">
        <v>145.31</v>
      </c>
      <c r="W29" s="10" t="s">
        <v>710</v>
      </c>
      <c r="X29" s="17">
        <v>45172</v>
      </c>
      <c r="Y29" s="17">
        <v>45172</v>
      </c>
      <c r="Z29" s="19" t="s">
        <v>772</v>
      </c>
      <c r="AA29" s="207">
        <v>41900</v>
      </c>
      <c r="AB29" s="9">
        <v>48</v>
      </c>
      <c r="AC29" s="9">
        <v>0</v>
      </c>
      <c r="AD29" s="17">
        <v>45174</v>
      </c>
      <c r="AE29" s="54">
        <v>5900</v>
      </c>
      <c r="AF29" s="54"/>
      <c r="AG29" s="9" t="s">
        <v>134</v>
      </c>
      <c r="AH29" s="17">
        <v>45174</v>
      </c>
      <c r="AI29" s="9">
        <v>73176828</v>
      </c>
      <c r="AJ29" s="9" t="s">
        <v>3241</v>
      </c>
      <c r="AK29" s="9" t="s">
        <v>3244</v>
      </c>
      <c r="AL29" s="22">
        <v>5900</v>
      </c>
      <c r="AM29" s="22"/>
      <c r="AN29" s="22" t="s">
        <v>3247</v>
      </c>
      <c r="AO29" s="22"/>
      <c r="AP29" s="22"/>
      <c r="AQ29" s="22"/>
      <c r="AR29" s="22"/>
      <c r="AS29" s="22"/>
      <c r="AT29" s="22"/>
      <c r="AU29" s="22"/>
      <c r="AV29" s="22"/>
      <c r="AW29" s="17">
        <v>45175</v>
      </c>
      <c r="AX29" s="9">
        <v>1876</v>
      </c>
      <c r="BA29" s="22">
        <v>5900</v>
      </c>
      <c r="BB29" s="22"/>
      <c r="BD29" s="9"/>
      <c r="CS29" s="11">
        <f t="shared" si="8"/>
        <v>5900</v>
      </c>
      <c r="CT29" s="22">
        <f t="shared" si="9"/>
        <v>5900</v>
      </c>
      <c r="CU29" s="22">
        <f t="shared" si="10"/>
        <v>0</v>
      </c>
      <c r="CV29" s="26">
        <f t="shared" si="11"/>
        <v>0</v>
      </c>
    </row>
    <row r="30" spans="1:100" x14ac:dyDescent="0.2">
      <c r="A30" s="9" t="s">
        <v>3242</v>
      </c>
      <c r="B30" s="2">
        <v>24</v>
      </c>
      <c r="C30" s="186" t="s">
        <v>95</v>
      </c>
      <c r="D30" s="186" t="s">
        <v>96</v>
      </c>
      <c r="E30" s="185"/>
      <c r="F30" s="185"/>
      <c r="G30" s="2" t="s">
        <v>68</v>
      </c>
      <c r="H30" s="2">
        <v>4</v>
      </c>
      <c r="I30" s="20">
        <v>145.31</v>
      </c>
      <c r="J30" s="20">
        <v>42900</v>
      </c>
      <c r="K30" s="3">
        <v>0</v>
      </c>
      <c r="L30" s="3" t="s">
        <v>3</v>
      </c>
      <c r="M30" s="9" t="s">
        <v>0</v>
      </c>
      <c r="N30" s="9">
        <v>73176828</v>
      </c>
      <c r="O30" s="9" t="s">
        <v>3241</v>
      </c>
      <c r="S30" s="9" t="s">
        <v>158</v>
      </c>
      <c r="T30" s="10" t="s">
        <v>68</v>
      </c>
      <c r="U30" s="10">
        <v>4</v>
      </c>
      <c r="V30" s="10">
        <v>145.31</v>
      </c>
      <c r="W30" s="10" t="s">
        <v>710</v>
      </c>
      <c r="X30" s="17">
        <v>45172</v>
      </c>
      <c r="Y30" s="17">
        <v>45172</v>
      </c>
      <c r="Z30" s="19" t="s">
        <v>772</v>
      </c>
      <c r="AA30" s="207">
        <v>41900</v>
      </c>
      <c r="AB30" s="9">
        <v>48</v>
      </c>
      <c r="AC30" s="9">
        <v>1</v>
      </c>
      <c r="AD30" s="17">
        <v>45290</v>
      </c>
      <c r="AE30" s="54">
        <v>748</v>
      </c>
      <c r="AF30" s="54"/>
      <c r="AG30" s="9" t="s">
        <v>134</v>
      </c>
      <c r="AH30" s="17">
        <v>45287</v>
      </c>
      <c r="AI30" s="9">
        <v>73176828</v>
      </c>
      <c r="AJ30" s="9" t="s">
        <v>3241</v>
      </c>
      <c r="AK30" s="9" t="s">
        <v>3245</v>
      </c>
      <c r="AL30" s="22">
        <v>748</v>
      </c>
      <c r="AM30" s="22"/>
      <c r="AN30" s="22" t="s">
        <v>3248</v>
      </c>
      <c r="AO30" s="22"/>
      <c r="AP30" s="22"/>
      <c r="AQ30" s="22"/>
      <c r="AR30" s="22"/>
      <c r="AS30" s="22"/>
      <c r="AT30" s="22"/>
      <c r="AU30" s="22"/>
      <c r="AV30" s="22"/>
      <c r="AW30" s="17">
        <v>45287</v>
      </c>
      <c r="AX30" s="9">
        <v>2145</v>
      </c>
      <c r="BA30" s="22">
        <v>748</v>
      </c>
      <c r="BB30" s="22"/>
      <c r="BD30" s="9"/>
      <c r="CS30" s="11">
        <f t="shared" si="8"/>
        <v>748</v>
      </c>
      <c r="CT30" s="22">
        <f t="shared" si="9"/>
        <v>748</v>
      </c>
      <c r="CU30" s="22">
        <f t="shared" si="10"/>
        <v>0</v>
      </c>
      <c r="CV30" s="26">
        <f t="shared" si="11"/>
        <v>0</v>
      </c>
    </row>
    <row r="31" spans="1:100" x14ac:dyDescent="0.2">
      <c r="A31" s="9" t="s">
        <v>3242</v>
      </c>
      <c r="B31" s="2">
        <v>24</v>
      </c>
      <c r="C31" s="186" t="s">
        <v>95</v>
      </c>
      <c r="D31" s="186" t="s">
        <v>96</v>
      </c>
      <c r="E31" s="185"/>
      <c r="F31" s="185"/>
      <c r="G31" s="2" t="s">
        <v>68</v>
      </c>
      <c r="H31" s="2">
        <v>4</v>
      </c>
      <c r="I31" s="20">
        <v>145.31</v>
      </c>
      <c r="J31" s="20">
        <v>42900</v>
      </c>
      <c r="K31" s="3">
        <v>0</v>
      </c>
      <c r="L31" s="3" t="s">
        <v>3</v>
      </c>
      <c r="M31" s="9" t="s">
        <v>0</v>
      </c>
      <c r="N31" s="9">
        <v>73176828</v>
      </c>
      <c r="O31" s="9" t="s">
        <v>3241</v>
      </c>
      <c r="S31" s="9" t="s">
        <v>158</v>
      </c>
      <c r="T31" s="10" t="s">
        <v>68</v>
      </c>
      <c r="U31" s="10">
        <v>4</v>
      </c>
      <c r="V31" s="10">
        <v>145.31</v>
      </c>
      <c r="W31" s="10" t="s">
        <v>710</v>
      </c>
      <c r="X31" s="17">
        <v>45172</v>
      </c>
      <c r="Y31" s="17">
        <v>45172</v>
      </c>
      <c r="Z31" s="19" t="s">
        <v>772</v>
      </c>
      <c r="AA31" s="207">
        <v>41900</v>
      </c>
      <c r="AB31" s="9">
        <v>48</v>
      </c>
      <c r="AC31" s="9">
        <v>2</v>
      </c>
      <c r="AD31" s="17">
        <v>45321</v>
      </c>
      <c r="AE31" s="54">
        <v>748</v>
      </c>
      <c r="AF31" s="54"/>
      <c r="AG31" s="9" t="s">
        <v>134</v>
      </c>
      <c r="AH31" s="17">
        <v>45308</v>
      </c>
      <c r="AI31" s="9">
        <v>73176828</v>
      </c>
      <c r="AJ31" s="9" t="s">
        <v>3241</v>
      </c>
      <c r="AK31" s="9" t="s">
        <v>3249</v>
      </c>
      <c r="AL31" s="22">
        <v>748</v>
      </c>
      <c r="AM31" s="22"/>
      <c r="AN31" s="22" t="s">
        <v>1350</v>
      </c>
      <c r="AO31" s="22"/>
      <c r="AP31" s="22"/>
      <c r="AQ31" s="22"/>
      <c r="AR31" s="22"/>
      <c r="AS31" s="22"/>
      <c r="AT31" s="22"/>
      <c r="AU31" s="22"/>
      <c r="AV31" s="22"/>
      <c r="AW31" s="17">
        <v>45307</v>
      </c>
      <c r="AX31" s="9">
        <v>2223</v>
      </c>
      <c r="BA31" s="22">
        <v>748</v>
      </c>
      <c r="BB31" s="22"/>
      <c r="BD31" s="9"/>
      <c r="CS31" s="11">
        <f t="shared" si="8"/>
        <v>748</v>
      </c>
      <c r="CT31" s="22">
        <f t="shared" si="9"/>
        <v>748</v>
      </c>
      <c r="CU31" s="22">
        <f t="shared" si="10"/>
        <v>0</v>
      </c>
      <c r="CV31" s="26">
        <f t="shared" si="11"/>
        <v>0</v>
      </c>
    </row>
    <row r="32" spans="1:100" x14ac:dyDescent="0.2">
      <c r="A32" s="9" t="s">
        <v>3242</v>
      </c>
      <c r="B32" s="2">
        <v>24</v>
      </c>
      <c r="C32" s="186" t="s">
        <v>95</v>
      </c>
      <c r="D32" s="186" t="s">
        <v>96</v>
      </c>
      <c r="E32" s="185"/>
      <c r="F32" s="185"/>
      <c r="G32" s="2" t="s">
        <v>68</v>
      </c>
      <c r="H32" s="2">
        <v>4</v>
      </c>
      <c r="I32" s="20">
        <v>145.31</v>
      </c>
      <c r="J32" s="20">
        <v>42900</v>
      </c>
      <c r="K32" s="3">
        <v>0</v>
      </c>
      <c r="L32" s="3" t="s">
        <v>3</v>
      </c>
      <c r="M32" s="9" t="s">
        <v>0</v>
      </c>
      <c r="N32" s="9">
        <v>73176828</v>
      </c>
      <c r="O32" s="9" t="s">
        <v>3241</v>
      </c>
      <c r="S32" s="9" t="s">
        <v>158</v>
      </c>
      <c r="T32" s="10" t="s">
        <v>68</v>
      </c>
      <c r="U32" s="10">
        <v>4</v>
      </c>
      <c r="V32" s="10">
        <v>145.31</v>
      </c>
      <c r="W32" s="10" t="s">
        <v>710</v>
      </c>
      <c r="X32" s="17">
        <v>45172</v>
      </c>
      <c r="Y32" s="17">
        <v>45172</v>
      </c>
      <c r="Z32" s="19" t="s">
        <v>772</v>
      </c>
      <c r="AA32" s="207">
        <v>41900</v>
      </c>
      <c r="AB32" s="9">
        <v>48</v>
      </c>
      <c r="AC32" s="9">
        <v>3</v>
      </c>
      <c r="AD32" s="17">
        <v>45351</v>
      </c>
      <c r="AE32" s="54">
        <v>748</v>
      </c>
      <c r="AF32" s="54"/>
      <c r="AG32" s="9" t="s">
        <v>134</v>
      </c>
      <c r="AH32" s="17">
        <v>45332</v>
      </c>
      <c r="AI32" s="9">
        <v>73176828</v>
      </c>
      <c r="AJ32" s="9" t="s">
        <v>3241</v>
      </c>
      <c r="AK32" s="9" t="s">
        <v>3250</v>
      </c>
      <c r="AL32" s="22">
        <v>748</v>
      </c>
      <c r="AM32" s="22"/>
      <c r="AN32" s="22" t="s">
        <v>1351</v>
      </c>
      <c r="AO32" s="22"/>
      <c r="AP32" s="22"/>
      <c r="AQ32" s="22"/>
      <c r="AR32" s="22"/>
      <c r="AS32" s="22"/>
      <c r="AT32" s="22"/>
      <c r="AU32" s="22"/>
      <c r="AV32" s="22"/>
      <c r="AW32" s="17">
        <v>45329</v>
      </c>
      <c r="AX32" s="9">
        <v>2294</v>
      </c>
      <c r="BA32" s="22">
        <v>748</v>
      </c>
      <c r="BB32" s="22"/>
      <c r="BD32" s="9"/>
      <c r="CS32" s="11">
        <f t="shared" si="8"/>
        <v>748</v>
      </c>
      <c r="CT32" s="22">
        <f t="shared" si="9"/>
        <v>748</v>
      </c>
      <c r="CU32" s="22">
        <f t="shared" si="10"/>
        <v>0</v>
      </c>
      <c r="CV32" s="26">
        <f t="shared" si="11"/>
        <v>0</v>
      </c>
    </row>
    <row r="33" spans="1:100" x14ac:dyDescent="0.2">
      <c r="A33" s="9" t="s">
        <v>3242</v>
      </c>
      <c r="B33" s="2">
        <v>24</v>
      </c>
      <c r="C33" s="186" t="s">
        <v>95</v>
      </c>
      <c r="D33" s="186" t="s">
        <v>96</v>
      </c>
      <c r="E33" s="185"/>
      <c r="F33" s="185"/>
      <c r="G33" s="2" t="s">
        <v>68</v>
      </c>
      <c r="H33" s="2">
        <v>4</v>
      </c>
      <c r="I33" s="20">
        <v>145.31</v>
      </c>
      <c r="J33" s="20">
        <v>42900</v>
      </c>
      <c r="K33" s="3">
        <v>0</v>
      </c>
      <c r="L33" s="3" t="s">
        <v>3</v>
      </c>
      <c r="M33" s="9" t="s">
        <v>0</v>
      </c>
      <c r="N33" s="9">
        <v>73176828</v>
      </c>
      <c r="O33" s="9" t="s">
        <v>3241</v>
      </c>
      <c r="S33" s="9" t="s">
        <v>158</v>
      </c>
      <c r="T33" s="10" t="s">
        <v>68</v>
      </c>
      <c r="U33" s="10">
        <v>4</v>
      </c>
      <c r="V33" s="10">
        <v>145.31</v>
      </c>
      <c r="W33" s="10" t="s">
        <v>710</v>
      </c>
      <c r="X33" s="17">
        <v>45172</v>
      </c>
      <c r="Y33" s="17">
        <v>45172</v>
      </c>
      <c r="Z33" s="19" t="s">
        <v>772</v>
      </c>
      <c r="AA33" s="207">
        <v>41900</v>
      </c>
      <c r="AB33" s="9">
        <v>48</v>
      </c>
      <c r="AC33" s="9">
        <v>4</v>
      </c>
      <c r="AD33" s="17">
        <v>45381</v>
      </c>
      <c r="AE33" s="54">
        <v>748</v>
      </c>
      <c r="AF33" s="54"/>
      <c r="AG33" s="9" t="s">
        <v>134</v>
      </c>
      <c r="AH33" s="17">
        <v>45365</v>
      </c>
      <c r="AI33" s="9">
        <v>73176828</v>
      </c>
      <c r="AJ33" s="9" t="s">
        <v>3241</v>
      </c>
      <c r="AK33" s="9" t="s">
        <v>3251</v>
      </c>
      <c r="AL33" s="22">
        <v>748</v>
      </c>
      <c r="AM33" s="22"/>
      <c r="AN33" s="22" t="s">
        <v>1352</v>
      </c>
      <c r="AO33" s="22"/>
      <c r="AP33" s="22"/>
      <c r="AQ33" s="22"/>
      <c r="AR33" s="22"/>
      <c r="AS33" s="22"/>
      <c r="AT33" s="22"/>
      <c r="AU33" s="22"/>
      <c r="AV33" s="22"/>
      <c r="AW33" s="17">
        <v>45363</v>
      </c>
      <c r="AX33" s="9">
        <v>2417</v>
      </c>
      <c r="BA33" s="22">
        <v>748</v>
      </c>
      <c r="BB33" s="22"/>
      <c r="BD33" s="9"/>
      <c r="CS33" s="11">
        <f t="shared" si="8"/>
        <v>748</v>
      </c>
      <c r="CT33" s="22">
        <f t="shared" si="9"/>
        <v>748</v>
      </c>
      <c r="CU33" s="22">
        <f t="shared" si="10"/>
        <v>0</v>
      </c>
      <c r="CV33" s="26">
        <f t="shared" si="11"/>
        <v>0</v>
      </c>
    </row>
    <row r="34" spans="1:100" x14ac:dyDescent="0.2">
      <c r="A34" s="9" t="s">
        <v>3242</v>
      </c>
      <c r="B34" s="2">
        <v>24</v>
      </c>
      <c r="C34" s="186" t="s">
        <v>95</v>
      </c>
      <c r="D34" s="186" t="s">
        <v>96</v>
      </c>
      <c r="E34" s="185"/>
      <c r="F34" s="185"/>
      <c r="G34" s="2" t="s">
        <v>68</v>
      </c>
      <c r="H34" s="2">
        <v>4</v>
      </c>
      <c r="I34" s="20">
        <v>145.31</v>
      </c>
      <c r="J34" s="20">
        <v>42900</v>
      </c>
      <c r="K34" s="3">
        <v>0</v>
      </c>
      <c r="L34" s="3" t="s">
        <v>3</v>
      </c>
      <c r="M34" s="9" t="s">
        <v>0</v>
      </c>
      <c r="N34" s="9">
        <v>73176828</v>
      </c>
      <c r="O34" s="9" t="s">
        <v>3241</v>
      </c>
      <c r="S34" s="9" t="s">
        <v>158</v>
      </c>
      <c r="T34" s="10" t="s">
        <v>68</v>
      </c>
      <c r="U34" s="10">
        <v>4</v>
      </c>
      <c r="V34" s="10">
        <v>145.31</v>
      </c>
      <c r="W34" s="10" t="s">
        <v>710</v>
      </c>
      <c r="X34" s="17">
        <v>45172</v>
      </c>
      <c r="Y34" s="17">
        <v>45172</v>
      </c>
      <c r="Z34" s="19" t="s">
        <v>772</v>
      </c>
      <c r="AA34" s="207">
        <v>41900</v>
      </c>
      <c r="AB34" s="9">
        <v>48</v>
      </c>
      <c r="AC34" s="9">
        <v>5</v>
      </c>
      <c r="AD34" s="17">
        <v>45412</v>
      </c>
      <c r="AE34" s="54">
        <v>748</v>
      </c>
      <c r="AF34" s="54"/>
      <c r="AG34" s="9" t="s">
        <v>134</v>
      </c>
      <c r="AH34" s="17">
        <v>45397</v>
      </c>
      <c r="AI34" s="9">
        <v>73176828</v>
      </c>
      <c r="AJ34" s="9" t="s">
        <v>3241</v>
      </c>
      <c r="AK34" s="9" t="s">
        <v>3252</v>
      </c>
      <c r="AL34" s="22">
        <v>748</v>
      </c>
      <c r="AM34" s="22"/>
      <c r="AN34" s="22" t="s">
        <v>1355</v>
      </c>
      <c r="AO34" s="22"/>
      <c r="AP34" s="22"/>
      <c r="AQ34" s="22"/>
      <c r="AR34" s="22"/>
      <c r="AS34" s="22"/>
      <c r="AT34" s="22"/>
      <c r="AU34" s="22"/>
      <c r="AV34" s="22"/>
      <c r="AW34" s="17">
        <v>45397</v>
      </c>
      <c r="AX34" s="9">
        <v>2535</v>
      </c>
      <c r="BA34" s="22">
        <v>748</v>
      </c>
      <c r="BB34" s="22"/>
      <c r="BD34" s="9"/>
      <c r="CS34" s="11">
        <f t="shared" si="8"/>
        <v>748</v>
      </c>
      <c r="CT34" s="22">
        <f t="shared" si="9"/>
        <v>748</v>
      </c>
      <c r="CU34" s="22">
        <f t="shared" si="10"/>
        <v>0</v>
      </c>
      <c r="CV34" s="26">
        <f t="shared" si="11"/>
        <v>0</v>
      </c>
    </row>
    <row r="35" spans="1:100" x14ac:dyDescent="0.2">
      <c r="A35" s="9" t="s">
        <v>3242</v>
      </c>
      <c r="B35" s="2">
        <v>24</v>
      </c>
      <c r="C35" s="186" t="s">
        <v>95</v>
      </c>
      <c r="D35" s="186" t="s">
        <v>96</v>
      </c>
      <c r="E35" s="185"/>
      <c r="F35" s="185"/>
      <c r="G35" s="2" t="s">
        <v>68</v>
      </c>
      <c r="H35" s="2">
        <v>4</v>
      </c>
      <c r="I35" s="20">
        <v>145.31</v>
      </c>
      <c r="J35" s="20">
        <v>42900</v>
      </c>
      <c r="K35" s="3">
        <v>0</v>
      </c>
      <c r="L35" s="3" t="s">
        <v>3</v>
      </c>
      <c r="M35" s="9" t="s">
        <v>0</v>
      </c>
      <c r="N35" s="9">
        <v>73176828</v>
      </c>
      <c r="O35" s="9" t="s">
        <v>3241</v>
      </c>
      <c r="S35" s="9" t="s">
        <v>158</v>
      </c>
      <c r="T35" s="10" t="s">
        <v>68</v>
      </c>
      <c r="U35" s="10">
        <v>4</v>
      </c>
      <c r="V35" s="10">
        <v>145.31</v>
      </c>
      <c r="W35" s="10" t="s">
        <v>710</v>
      </c>
      <c r="X35" s="17">
        <v>45172</v>
      </c>
      <c r="Y35" s="17">
        <v>45172</v>
      </c>
      <c r="Z35" s="19" t="s">
        <v>772</v>
      </c>
      <c r="AA35" s="207">
        <v>41900</v>
      </c>
      <c r="AB35" s="9">
        <v>48</v>
      </c>
      <c r="AC35" s="9">
        <v>6</v>
      </c>
      <c r="AD35" s="17">
        <v>45442</v>
      </c>
      <c r="AE35" s="54">
        <v>748</v>
      </c>
      <c r="AF35" s="54"/>
      <c r="AG35" s="9" t="s">
        <v>134</v>
      </c>
      <c r="AH35" s="17">
        <v>45421</v>
      </c>
      <c r="AI35" s="9">
        <v>73176828</v>
      </c>
      <c r="AJ35" s="9" t="s">
        <v>3241</v>
      </c>
      <c r="AK35" s="9" t="s">
        <v>3253</v>
      </c>
      <c r="AL35" s="22">
        <v>748</v>
      </c>
      <c r="AM35" s="22"/>
      <c r="AN35" s="22" t="s">
        <v>1356</v>
      </c>
      <c r="AO35" s="22"/>
      <c r="AP35" s="22"/>
      <c r="AQ35" s="22"/>
      <c r="AR35" s="22"/>
      <c r="AS35" s="22"/>
      <c r="AT35" s="22"/>
      <c r="AU35" s="22"/>
      <c r="AV35" s="22"/>
      <c r="AW35" s="17">
        <v>45420</v>
      </c>
      <c r="AX35" s="9">
        <v>2631</v>
      </c>
      <c r="BA35" s="22">
        <v>748</v>
      </c>
      <c r="BB35" s="22"/>
      <c r="BD35" s="9"/>
      <c r="CS35" s="11">
        <f t="shared" si="8"/>
        <v>748</v>
      </c>
      <c r="CT35" s="22">
        <f t="shared" si="9"/>
        <v>748</v>
      </c>
      <c r="CU35" s="22">
        <f t="shared" si="10"/>
        <v>0</v>
      </c>
      <c r="CV35" s="26">
        <f t="shared" si="11"/>
        <v>0</v>
      </c>
    </row>
    <row r="36" spans="1:100" x14ac:dyDescent="0.2">
      <c r="A36" s="9" t="s">
        <v>3242</v>
      </c>
      <c r="B36" s="2">
        <v>24</v>
      </c>
      <c r="C36" s="186" t="s">
        <v>95</v>
      </c>
      <c r="D36" s="186" t="s">
        <v>96</v>
      </c>
      <c r="E36" s="185"/>
      <c r="F36" s="185"/>
      <c r="G36" s="2" t="s">
        <v>68</v>
      </c>
      <c r="H36" s="2">
        <v>4</v>
      </c>
      <c r="I36" s="20">
        <v>145.31</v>
      </c>
      <c r="J36" s="20">
        <v>42900</v>
      </c>
      <c r="K36" s="3">
        <v>0</v>
      </c>
      <c r="L36" s="3" t="s">
        <v>3</v>
      </c>
      <c r="M36" s="9" t="s">
        <v>0</v>
      </c>
      <c r="N36" s="9">
        <v>73176828</v>
      </c>
      <c r="O36" s="9" t="s">
        <v>3241</v>
      </c>
      <c r="S36" s="9" t="s">
        <v>158</v>
      </c>
      <c r="T36" s="10" t="s">
        <v>68</v>
      </c>
      <c r="U36" s="10">
        <v>4</v>
      </c>
      <c r="V36" s="10">
        <v>145.31</v>
      </c>
      <c r="W36" s="10" t="s">
        <v>710</v>
      </c>
      <c r="X36" s="17">
        <v>45172</v>
      </c>
      <c r="Y36" s="17">
        <v>45172</v>
      </c>
      <c r="Z36" s="19" t="s">
        <v>772</v>
      </c>
      <c r="AA36" s="207">
        <v>41900</v>
      </c>
      <c r="AB36" s="9">
        <v>48</v>
      </c>
      <c r="AC36" s="9">
        <v>7</v>
      </c>
      <c r="AD36" s="17">
        <v>45473</v>
      </c>
      <c r="AE36" s="54">
        <v>748</v>
      </c>
      <c r="AF36" s="54"/>
      <c r="AG36" s="9" t="s">
        <v>134</v>
      </c>
      <c r="AH36" s="17">
        <v>45453</v>
      </c>
      <c r="AI36" s="9">
        <v>73176828</v>
      </c>
      <c r="AJ36" s="9" t="s">
        <v>3241</v>
      </c>
      <c r="AK36" s="9" t="s">
        <v>3254</v>
      </c>
      <c r="AL36" s="22">
        <v>748</v>
      </c>
      <c r="AM36" s="22"/>
      <c r="AN36" s="22" t="s">
        <v>1357</v>
      </c>
      <c r="AO36" s="22"/>
      <c r="AP36" s="22"/>
      <c r="AQ36" s="22"/>
      <c r="AR36" s="22"/>
      <c r="AS36" s="22"/>
      <c r="AT36" s="22"/>
      <c r="AU36" s="22"/>
      <c r="AV36" s="22"/>
      <c r="AW36" s="17">
        <v>45452</v>
      </c>
      <c r="AX36" s="9">
        <v>2762</v>
      </c>
      <c r="BA36" s="22">
        <v>748</v>
      </c>
      <c r="BB36" s="22"/>
      <c r="BD36" s="9"/>
      <c r="CS36" s="11">
        <f t="shared" si="8"/>
        <v>748</v>
      </c>
      <c r="CT36" s="22">
        <f t="shared" si="9"/>
        <v>748</v>
      </c>
      <c r="CU36" s="22">
        <f t="shared" si="10"/>
        <v>0</v>
      </c>
      <c r="CV36" s="26">
        <f t="shared" si="11"/>
        <v>0</v>
      </c>
    </row>
    <row r="37" spans="1:100" x14ac:dyDescent="0.2">
      <c r="A37" s="9" t="s">
        <v>3242</v>
      </c>
      <c r="B37" s="2">
        <v>24</v>
      </c>
      <c r="C37" s="186" t="s">
        <v>95</v>
      </c>
      <c r="D37" s="186" t="s">
        <v>96</v>
      </c>
      <c r="E37" s="185"/>
      <c r="F37" s="185"/>
      <c r="G37" s="2" t="s">
        <v>68</v>
      </c>
      <c r="H37" s="2">
        <v>4</v>
      </c>
      <c r="I37" s="20">
        <v>145.31</v>
      </c>
      <c r="J37" s="20">
        <v>42900</v>
      </c>
      <c r="K37" s="3">
        <v>0</v>
      </c>
      <c r="L37" s="3" t="s">
        <v>3</v>
      </c>
      <c r="M37" s="9" t="s">
        <v>0</v>
      </c>
      <c r="N37" s="9">
        <v>73176828</v>
      </c>
      <c r="O37" s="9" t="s">
        <v>3241</v>
      </c>
      <c r="S37" s="9" t="s">
        <v>158</v>
      </c>
      <c r="T37" s="10" t="s">
        <v>68</v>
      </c>
      <c r="U37" s="10">
        <v>4</v>
      </c>
      <c r="V37" s="10">
        <v>145.31</v>
      </c>
      <c r="W37" s="10" t="s">
        <v>710</v>
      </c>
      <c r="X37" s="17">
        <v>45172</v>
      </c>
      <c r="Y37" s="17">
        <v>45172</v>
      </c>
      <c r="Z37" s="19" t="s">
        <v>772</v>
      </c>
      <c r="AA37" s="207">
        <v>41900</v>
      </c>
      <c r="AB37" s="9">
        <v>48</v>
      </c>
      <c r="AC37" s="9">
        <v>8</v>
      </c>
      <c r="AD37" s="17">
        <v>45503</v>
      </c>
      <c r="AE37" s="54">
        <v>748</v>
      </c>
      <c r="AF37" s="54"/>
      <c r="AG37" s="9" t="s">
        <v>134</v>
      </c>
      <c r="AH37" s="17">
        <v>45478</v>
      </c>
      <c r="AI37" s="9">
        <v>73176828</v>
      </c>
      <c r="AJ37" s="9" t="s">
        <v>3241</v>
      </c>
      <c r="AK37" s="9" t="s">
        <v>3255</v>
      </c>
      <c r="AL37" s="22">
        <v>748</v>
      </c>
      <c r="AM37" s="22"/>
      <c r="AN37" s="22" t="s">
        <v>1359</v>
      </c>
      <c r="AO37" s="22"/>
      <c r="AP37" s="22"/>
      <c r="AQ37" s="22"/>
      <c r="AR37" s="22"/>
      <c r="AS37" s="22"/>
      <c r="AT37" s="22"/>
      <c r="AU37" s="22"/>
      <c r="AV37" s="22"/>
      <c r="AW37" s="17">
        <v>45477</v>
      </c>
      <c r="AX37" s="9">
        <v>2859</v>
      </c>
      <c r="BA37" s="22">
        <v>748</v>
      </c>
      <c r="BB37" s="22"/>
      <c r="BD37" s="9"/>
      <c r="CS37" s="11">
        <f t="shared" si="8"/>
        <v>748</v>
      </c>
      <c r="CT37" s="22">
        <f t="shared" si="9"/>
        <v>748</v>
      </c>
      <c r="CU37" s="22">
        <f t="shared" si="10"/>
        <v>0</v>
      </c>
      <c r="CV37" s="26">
        <f t="shared" si="11"/>
        <v>0</v>
      </c>
    </row>
    <row r="38" spans="1:100" x14ac:dyDescent="0.2">
      <c r="A38" s="9" t="s">
        <v>3242</v>
      </c>
      <c r="B38" s="2">
        <v>24</v>
      </c>
      <c r="C38" s="186" t="s">
        <v>95</v>
      </c>
      <c r="D38" s="186" t="s">
        <v>96</v>
      </c>
      <c r="E38" s="185"/>
      <c r="F38" s="185"/>
      <c r="G38" s="2" t="s">
        <v>68</v>
      </c>
      <c r="H38" s="2">
        <v>4</v>
      </c>
      <c r="I38" s="20">
        <v>145.31</v>
      </c>
      <c r="J38" s="20">
        <v>42900</v>
      </c>
      <c r="K38" s="3">
        <v>0</v>
      </c>
      <c r="L38" s="3" t="s">
        <v>3</v>
      </c>
      <c r="M38" s="9" t="s">
        <v>0</v>
      </c>
      <c r="N38" s="9">
        <v>73176828</v>
      </c>
      <c r="O38" s="9" t="s">
        <v>3241</v>
      </c>
      <c r="S38" s="9" t="s">
        <v>158</v>
      </c>
      <c r="T38" s="10" t="s">
        <v>68</v>
      </c>
      <c r="U38" s="10">
        <v>4</v>
      </c>
      <c r="V38" s="10">
        <v>145.31</v>
      </c>
      <c r="W38" s="10" t="s">
        <v>710</v>
      </c>
      <c r="X38" s="17">
        <v>45172</v>
      </c>
      <c r="Y38" s="17">
        <v>45172</v>
      </c>
      <c r="Z38" s="19" t="s">
        <v>772</v>
      </c>
      <c r="AA38" s="207">
        <v>41900</v>
      </c>
      <c r="AB38" s="9">
        <v>48</v>
      </c>
      <c r="AC38" s="9">
        <v>9</v>
      </c>
      <c r="AD38" s="17">
        <v>45534</v>
      </c>
      <c r="AE38" s="54">
        <v>748</v>
      </c>
      <c r="AF38" s="54"/>
      <c r="AG38" s="9" t="s">
        <v>134</v>
      </c>
      <c r="AH38" s="17">
        <v>45505</v>
      </c>
      <c r="AI38" s="9">
        <v>73176828</v>
      </c>
      <c r="AJ38" s="9" t="s">
        <v>3241</v>
      </c>
      <c r="AK38" s="9" t="s">
        <v>3256</v>
      </c>
      <c r="AL38" s="22">
        <v>748</v>
      </c>
      <c r="AM38" s="22"/>
      <c r="AN38" s="22" t="s">
        <v>1361</v>
      </c>
      <c r="AO38" s="22"/>
      <c r="AP38" s="22"/>
      <c r="AQ38" s="22"/>
      <c r="AR38" s="22"/>
      <c r="AS38" s="22"/>
      <c r="AT38" s="22"/>
      <c r="AU38" s="22"/>
      <c r="AV38" s="22"/>
      <c r="AW38" s="17">
        <v>45505</v>
      </c>
      <c r="AX38" s="9">
        <v>2969</v>
      </c>
      <c r="BA38" s="22">
        <v>748</v>
      </c>
      <c r="BB38" s="22"/>
      <c r="BD38" s="9"/>
      <c r="CS38" s="11">
        <f t="shared" si="8"/>
        <v>748</v>
      </c>
      <c r="CT38" s="22">
        <f t="shared" si="9"/>
        <v>748</v>
      </c>
      <c r="CU38" s="22">
        <f t="shared" si="10"/>
        <v>0</v>
      </c>
      <c r="CV38" s="26">
        <f t="shared" si="11"/>
        <v>0</v>
      </c>
    </row>
    <row r="39" spans="1:100" x14ac:dyDescent="0.2">
      <c r="A39" s="9" t="s">
        <v>3242</v>
      </c>
      <c r="B39" s="2">
        <v>24</v>
      </c>
      <c r="C39" s="186" t="s">
        <v>95</v>
      </c>
      <c r="D39" s="186" t="s">
        <v>96</v>
      </c>
      <c r="E39" s="185"/>
      <c r="F39" s="185"/>
      <c r="G39" s="2" t="s">
        <v>68</v>
      </c>
      <c r="H39" s="2">
        <v>4</v>
      </c>
      <c r="I39" s="20">
        <v>145.31</v>
      </c>
      <c r="J39" s="20">
        <v>42900</v>
      </c>
      <c r="K39" s="3">
        <v>0</v>
      </c>
      <c r="L39" s="3" t="s">
        <v>3</v>
      </c>
      <c r="M39" s="9" t="s">
        <v>0</v>
      </c>
      <c r="N39" s="9">
        <v>73176828</v>
      </c>
      <c r="O39" s="9" t="s">
        <v>3241</v>
      </c>
      <c r="S39" s="9" t="s">
        <v>158</v>
      </c>
      <c r="T39" s="10" t="s">
        <v>68</v>
      </c>
      <c r="U39" s="10">
        <v>4</v>
      </c>
      <c r="V39" s="10">
        <v>145.31</v>
      </c>
      <c r="W39" s="10" t="s">
        <v>710</v>
      </c>
      <c r="X39" s="17">
        <v>45172</v>
      </c>
      <c r="Y39" s="17">
        <v>45172</v>
      </c>
      <c r="Z39" s="19" t="s">
        <v>772</v>
      </c>
      <c r="AA39" s="207">
        <v>41900</v>
      </c>
      <c r="AB39" s="9">
        <v>48</v>
      </c>
      <c r="AC39" s="9">
        <v>10</v>
      </c>
      <c r="AD39" s="17">
        <v>45565</v>
      </c>
      <c r="AE39" s="54">
        <v>748</v>
      </c>
      <c r="AF39" s="54"/>
      <c r="AG39" s="9" t="s">
        <v>134</v>
      </c>
      <c r="AH39" s="17">
        <v>45538</v>
      </c>
      <c r="AI39" s="9">
        <v>73176828</v>
      </c>
      <c r="AJ39" s="9" t="s">
        <v>3241</v>
      </c>
      <c r="AK39" s="9" t="s">
        <v>3257</v>
      </c>
      <c r="AL39" s="22">
        <v>748</v>
      </c>
      <c r="AM39" s="22"/>
      <c r="AN39" s="22" t="s">
        <v>1363</v>
      </c>
      <c r="AO39" s="22"/>
      <c r="AP39" s="22"/>
      <c r="AQ39" s="22"/>
      <c r="AR39" s="22"/>
      <c r="AS39" s="22"/>
      <c r="AT39" s="22"/>
      <c r="AU39" s="22"/>
      <c r="AV39" s="22"/>
      <c r="AW39" s="17">
        <v>45538</v>
      </c>
      <c r="AX39" s="9">
        <v>3107</v>
      </c>
      <c r="BA39" s="22">
        <v>748</v>
      </c>
      <c r="BB39" s="22"/>
      <c r="BD39" s="9"/>
      <c r="CS39" s="11">
        <f t="shared" si="8"/>
        <v>748</v>
      </c>
      <c r="CT39" s="22">
        <f t="shared" si="9"/>
        <v>748</v>
      </c>
      <c r="CU39" s="22">
        <f t="shared" si="10"/>
        <v>0</v>
      </c>
      <c r="CV39" s="26">
        <f t="shared" si="11"/>
        <v>0</v>
      </c>
    </row>
    <row r="40" spans="1:100" x14ac:dyDescent="0.2">
      <c r="A40" s="9" t="s">
        <v>3242</v>
      </c>
      <c r="B40" s="2">
        <v>24</v>
      </c>
      <c r="C40" s="186" t="s">
        <v>95</v>
      </c>
      <c r="D40" s="186" t="s">
        <v>96</v>
      </c>
      <c r="E40" s="185"/>
      <c r="F40" s="185"/>
      <c r="G40" s="2" t="s">
        <v>68</v>
      </c>
      <c r="H40" s="2">
        <v>4</v>
      </c>
      <c r="I40" s="20">
        <v>145.31</v>
      </c>
      <c r="J40" s="20">
        <v>42900</v>
      </c>
      <c r="K40" s="3">
        <v>0</v>
      </c>
      <c r="L40" s="3" t="s">
        <v>3</v>
      </c>
      <c r="M40" s="9" t="s">
        <v>0</v>
      </c>
      <c r="N40" s="9">
        <v>73176828</v>
      </c>
      <c r="O40" s="9" t="s">
        <v>3241</v>
      </c>
      <c r="S40" s="9" t="s">
        <v>158</v>
      </c>
      <c r="T40" s="10" t="s">
        <v>68</v>
      </c>
      <c r="U40" s="10">
        <v>4</v>
      </c>
      <c r="V40" s="10">
        <v>145.31</v>
      </c>
      <c r="W40" s="10" t="s">
        <v>710</v>
      </c>
      <c r="X40" s="17">
        <v>45172</v>
      </c>
      <c r="Y40" s="17">
        <v>45172</v>
      </c>
      <c r="Z40" s="19" t="s">
        <v>772</v>
      </c>
      <c r="AA40" s="207">
        <v>41900</v>
      </c>
      <c r="AB40" s="9">
        <v>48</v>
      </c>
      <c r="AC40" s="9">
        <v>11</v>
      </c>
      <c r="AD40" s="17">
        <v>45595</v>
      </c>
      <c r="AE40" s="54">
        <v>748</v>
      </c>
      <c r="AF40" s="54"/>
      <c r="AG40" s="9" t="s">
        <v>134</v>
      </c>
      <c r="AH40" s="17">
        <v>45567</v>
      </c>
      <c r="AI40" s="9">
        <v>73176828</v>
      </c>
      <c r="AJ40" s="9" t="s">
        <v>3241</v>
      </c>
      <c r="AK40" s="9" t="s">
        <v>3258</v>
      </c>
      <c r="AL40" s="22">
        <v>748</v>
      </c>
      <c r="AM40" s="22"/>
      <c r="AN40" s="22" t="s">
        <v>1365</v>
      </c>
      <c r="AO40" s="22"/>
      <c r="AP40" s="22"/>
      <c r="AQ40" s="22"/>
      <c r="AR40" s="22"/>
      <c r="AS40" s="22"/>
      <c r="AT40" s="22"/>
      <c r="AU40" s="22"/>
      <c r="AV40" s="22"/>
      <c r="AW40" s="17">
        <v>45566</v>
      </c>
      <c r="AX40" s="9">
        <v>3230</v>
      </c>
      <c r="BA40" s="22">
        <v>748</v>
      </c>
      <c r="BB40" s="22"/>
      <c r="BD40" s="9"/>
      <c r="CS40" s="11">
        <f t="shared" si="8"/>
        <v>748</v>
      </c>
      <c r="CT40" s="22">
        <f t="shared" si="9"/>
        <v>748</v>
      </c>
      <c r="CU40" s="22">
        <f t="shared" si="10"/>
        <v>0</v>
      </c>
      <c r="CV40" s="26">
        <f t="shared" si="11"/>
        <v>0</v>
      </c>
    </row>
    <row r="41" spans="1:100" x14ac:dyDescent="0.2">
      <c r="A41" s="9" t="s">
        <v>3242</v>
      </c>
      <c r="B41" s="2">
        <v>24</v>
      </c>
      <c r="C41" s="186" t="s">
        <v>95</v>
      </c>
      <c r="D41" s="186" t="s">
        <v>96</v>
      </c>
      <c r="E41" s="185"/>
      <c r="F41" s="185"/>
      <c r="G41" s="2" t="s">
        <v>68</v>
      </c>
      <c r="H41" s="2">
        <v>4</v>
      </c>
      <c r="I41" s="20">
        <v>145.31</v>
      </c>
      <c r="J41" s="20">
        <v>42900</v>
      </c>
      <c r="K41" s="3">
        <v>0</v>
      </c>
      <c r="L41" s="3" t="s">
        <v>3</v>
      </c>
      <c r="M41" s="9" t="s">
        <v>0</v>
      </c>
      <c r="N41" s="9">
        <v>73176828</v>
      </c>
      <c r="O41" s="9" t="s">
        <v>3241</v>
      </c>
      <c r="S41" s="9" t="s">
        <v>158</v>
      </c>
      <c r="T41" s="10" t="s">
        <v>68</v>
      </c>
      <c r="U41" s="10">
        <v>4</v>
      </c>
      <c r="V41" s="10">
        <v>145.31</v>
      </c>
      <c r="W41" s="10" t="s">
        <v>710</v>
      </c>
      <c r="X41" s="17">
        <v>45172</v>
      </c>
      <c r="Y41" s="17">
        <v>45172</v>
      </c>
      <c r="Z41" s="19" t="s">
        <v>772</v>
      </c>
      <c r="AA41" s="207">
        <v>41900</v>
      </c>
      <c r="AB41" s="9">
        <v>48</v>
      </c>
      <c r="AC41" s="9">
        <v>12</v>
      </c>
      <c r="AD41" s="17">
        <v>45626</v>
      </c>
      <c r="AE41" s="54">
        <v>748</v>
      </c>
      <c r="AF41" s="54"/>
      <c r="AG41" s="9" t="s">
        <v>134</v>
      </c>
      <c r="AH41" s="17">
        <v>45602</v>
      </c>
      <c r="AI41" s="9">
        <v>73176828</v>
      </c>
      <c r="AJ41" s="9" t="s">
        <v>3241</v>
      </c>
      <c r="AK41" s="9" t="s">
        <v>3259</v>
      </c>
      <c r="AL41" s="22">
        <v>748</v>
      </c>
      <c r="AM41" s="22"/>
      <c r="AN41" s="22" t="s">
        <v>1367</v>
      </c>
      <c r="AO41" s="22"/>
      <c r="AP41" s="22"/>
      <c r="AQ41" s="22"/>
      <c r="AR41" s="22"/>
      <c r="AS41" s="22"/>
      <c r="AT41" s="22"/>
      <c r="AU41" s="22"/>
      <c r="AV41" s="22"/>
      <c r="AW41" s="17">
        <v>45601</v>
      </c>
      <c r="AX41" s="9">
        <v>3375</v>
      </c>
      <c r="BA41" s="22">
        <v>748</v>
      </c>
      <c r="BB41" s="22"/>
      <c r="BD41" s="9"/>
      <c r="CS41" s="11">
        <f t="shared" si="8"/>
        <v>748</v>
      </c>
      <c r="CT41" s="22">
        <f t="shared" si="9"/>
        <v>748</v>
      </c>
      <c r="CU41" s="22">
        <f t="shared" si="10"/>
        <v>0</v>
      </c>
      <c r="CV41" s="26">
        <f t="shared" si="11"/>
        <v>0</v>
      </c>
    </row>
    <row r="42" spans="1:100" x14ac:dyDescent="0.2">
      <c r="A42" s="9" t="s">
        <v>3242</v>
      </c>
      <c r="B42" s="2">
        <v>24</v>
      </c>
      <c r="C42" s="186" t="s">
        <v>95</v>
      </c>
      <c r="D42" s="186" t="s">
        <v>96</v>
      </c>
      <c r="E42" s="185"/>
      <c r="F42" s="185"/>
      <c r="G42" s="2" t="s">
        <v>68</v>
      </c>
      <c r="H42" s="2">
        <v>4</v>
      </c>
      <c r="I42" s="20">
        <v>145.31</v>
      </c>
      <c r="J42" s="20">
        <v>42900</v>
      </c>
      <c r="K42" s="3">
        <v>0</v>
      </c>
      <c r="L42" s="3" t="s">
        <v>3</v>
      </c>
      <c r="M42" s="9" t="s">
        <v>0</v>
      </c>
      <c r="N42" s="9">
        <v>73176828</v>
      </c>
      <c r="O42" s="9" t="s">
        <v>3241</v>
      </c>
      <c r="S42" s="9" t="s">
        <v>158</v>
      </c>
      <c r="T42" s="10" t="s">
        <v>68</v>
      </c>
      <c r="U42" s="10">
        <v>4</v>
      </c>
      <c r="V42" s="10">
        <v>145.31</v>
      </c>
      <c r="W42" s="10" t="s">
        <v>710</v>
      </c>
      <c r="X42" s="17">
        <v>45172</v>
      </c>
      <c r="Y42" s="17">
        <v>45172</v>
      </c>
      <c r="Z42" s="19" t="s">
        <v>772</v>
      </c>
      <c r="AA42" s="207">
        <v>41900</v>
      </c>
      <c r="AB42" s="9">
        <v>48</v>
      </c>
      <c r="AC42" s="9">
        <v>13</v>
      </c>
      <c r="AD42" s="17">
        <v>45656</v>
      </c>
      <c r="AE42" s="54">
        <v>748</v>
      </c>
      <c r="AF42" s="54"/>
      <c r="AG42" s="9" t="s">
        <v>134</v>
      </c>
      <c r="AH42" s="17">
        <v>45636</v>
      </c>
      <c r="AI42" s="9">
        <v>73176828</v>
      </c>
      <c r="AJ42" s="9" t="s">
        <v>3241</v>
      </c>
      <c r="AK42" s="9" t="s">
        <v>3260</v>
      </c>
      <c r="AL42" s="22">
        <v>748</v>
      </c>
      <c r="AM42" s="22"/>
      <c r="AN42" s="22" t="s">
        <v>1369</v>
      </c>
      <c r="AO42" s="22"/>
      <c r="AP42" s="22"/>
      <c r="AQ42" s="22"/>
      <c r="AR42" s="22"/>
      <c r="AS42" s="22"/>
      <c r="AT42" s="22"/>
      <c r="AU42" s="22"/>
      <c r="AV42" s="22"/>
      <c r="AW42" s="17">
        <v>45634</v>
      </c>
      <c r="AX42" s="9">
        <v>3491</v>
      </c>
      <c r="BA42" s="22">
        <v>748</v>
      </c>
      <c r="BB42" s="22"/>
      <c r="BD42" s="9"/>
      <c r="CS42" s="11">
        <f t="shared" si="8"/>
        <v>748</v>
      </c>
      <c r="CT42" s="22">
        <f t="shared" si="9"/>
        <v>748</v>
      </c>
      <c r="CU42" s="22">
        <f t="shared" si="10"/>
        <v>0</v>
      </c>
      <c r="CV42" s="26">
        <f t="shared" si="11"/>
        <v>0</v>
      </c>
    </row>
    <row r="43" spans="1:100" x14ac:dyDescent="0.2">
      <c r="A43" s="9" t="s">
        <v>3242</v>
      </c>
      <c r="B43" s="2">
        <v>24</v>
      </c>
      <c r="C43" s="186" t="s">
        <v>95</v>
      </c>
      <c r="D43" s="186" t="s">
        <v>96</v>
      </c>
      <c r="E43" s="185"/>
      <c r="F43" s="185"/>
      <c r="G43" s="2" t="s">
        <v>68</v>
      </c>
      <c r="H43" s="2">
        <v>4</v>
      </c>
      <c r="I43" s="20">
        <v>145.31</v>
      </c>
      <c r="J43" s="20">
        <v>42900</v>
      </c>
      <c r="K43" s="3">
        <v>0</v>
      </c>
      <c r="L43" s="3" t="s">
        <v>3</v>
      </c>
      <c r="M43" s="9" t="s">
        <v>0</v>
      </c>
      <c r="N43" s="9">
        <v>73176828</v>
      </c>
      <c r="O43" s="9" t="s">
        <v>3241</v>
      </c>
      <c r="S43" s="9" t="s">
        <v>158</v>
      </c>
      <c r="T43" s="10" t="s">
        <v>68</v>
      </c>
      <c r="U43" s="10">
        <v>4</v>
      </c>
      <c r="V43" s="10">
        <v>145.31</v>
      </c>
      <c r="W43" s="10" t="s">
        <v>710</v>
      </c>
      <c r="X43" s="17">
        <v>45172</v>
      </c>
      <c r="Y43" s="17">
        <v>45172</v>
      </c>
      <c r="Z43" s="19" t="s">
        <v>772</v>
      </c>
      <c r="AA43" s="207">
        <v>41900</v>
      </c>
      <c r="AB43" s="9">
        <v>48</v>
      </c>
      <c r="AC43" s="9">
        <v>14</v>
      </c>
      <c r="AD43" s="17">
        <v>45687</v>
      </c>
      <c r="AE43" s="54">
        <v>748</v>
      </c>
      <c r="AF43" s="54"/>
      <c r="AG43" s="9" t="s">
        <v>134</v>
      </c>
      <c r="AH43" s="17">
        <v>45670</v>
      </c>
      <c r="AI43" s="9">
        <v>73176828</v>
      </c>
      <c r="AJ43" s="9" t="s">
        <v>3241</v>
      </c>
      <c r="AK43" s="9" t="s">
        <v>3267</v>
      </c>
      <c r="AL43" s="22">
        <v>748</v>
      </c>
      <c r="AM43" s="22"/>
      <c r="AN43" s="22" t="s">
        <v>1372</v>
      </c>
      <c r="AO43" s="22"/>
      <c r="AP43" s="22"/>
      <c r="AQ43" s="22"/>
      <c r="AR43" s="22"/>
      <c r="AS43" s="22"/>
      <c r="AT43" s="22"/>
      <c r="AU43" s="22"/>
      <c r="AV43" s="22"/>
      <c r="AW43" s="17">
        <v>45667</v>
      </c>
      <c r="AX43" s="9">
        <v>3594</v>
      </c>
      <c r="BA43" s="22">
        <v>748</v>
      </c>
      <c r="BB43" s="22"/>
      <c r="BD43" s="9"/>
      <c r="CS43" s="11">
        <f t="shared" si="8"/>
        <v>748</v>
      </c>
      <c r="CT43" s="22">
        <f t="shared" si="9"/>
        <v>748</v>
      </c>
      <c r="CU43" s="22">
        <f t="shared" si="10"/>
        <v>0</v>
      </c>
      <c r="CV43" s="26">
        <f t="shared" si="11"/>
        <v>0</v>
      </c>
    </row>
    <row r="44" spans="1:100" x14ac:dyDescent="0.2">
      <c r="A44" s="9" t="s">
        <v>3242</v>
      </c>
      <c r="B44" s="2">
        <v>24</v>
      </c>
      <c r="C44" s="186" t="s">
        <v>95</v>
      </c>
      <c r="D44" s="186" t="s">
        <v>96</v>
      </c>
      <c r="E44" s="185"/>
      <c r="F44" s="185"/>
      <c r="G44" s="2" t="s">
        <v>68</v>
      </c>
      <c r="H44" s="2">
        <v>4</v>
      </c>
      <c r="I44" s="20">
        <v>145.31</v>
      </c>
      <c r="J44" s="20">
        <v>42900</v>
      </c>
      <c r="K44" s="3">
        <v>0</v>
      </c>
      <c r="L44" s="3" t="s">
        <v>3</v>
      </c>
      <c r="M44" s="9" t="s">
        <v>0</v>
      </c>
      <c r="N44" s="9">
        <v>73176828</v>
      </c>
      <c r="O44" s="9" t="s">
        <v>3241</v>
      </c>
      <c r="S44" s="9" t="s">
        <v>158</v>
      </c>
      <c r="T44" s="10" t="s">
        <v>68</v>
      </c>
      <c r="U44" s="10">
        <v>4</v>
      </c>
      <c r="V44" s="10">
        <v>145.31</v>
      </c>
      <c r="W44" s="10" t="s">
        <v>710</v>
      </c>
      <c r="X44" s="17">
        <v>45172</v>
      </c>
      <c r="Y44" s="17">
        <v>45172</v>
      </c>
      <c r="Z44" s="19" t="s">
        <v>772</v>
      </c>
      <c r="AA44" s="207">
        <v>41900</v>
      </c>
      <c r="AB44" s="9">
        <v>48</v>
      </c>
      <c r="AC44" s="9">
        <v>15</v>
      </c>
      <c r="AD44" s="17">
        <v>45716</v>
      </c>
      <c r="AE44" s="54">
        <v>748</v>
      </c>
      <c r="AF44" s="54"/>
      <c r="AG44" s="9" t="s">
        <v>134</v>
      </c>
      <c r="AH44" s="17">
        <v>45714</v>
      </c>
      <c r="AI44" s="9">
        <v>73176828</v>
      </c>
      <c r="AJ44" s="9" t="s">
        <v>3241</v>
      </c>
      <c r="AK44" s="9" t="s">
        <v>3268</v>
      </c>
      <c r="AL44" s="22">
        <v>748</v>
      </c>
      <c r="AM44" s="22"/>
      <c r="AN44" s="22" t="s">
        <v>1374</v>
      </c>
      <c r="AO44" s="22"/>
      <c r="AP44" s="22"/>
      <c r="AQ44" s="22"/>
      <c r="AR44" s="22"/>
      <c r="AS44" s="22"/>
      <c r="AT44" s="22"/>
      <c r="AU44" s="22"/>
      <c r="AV44" s="22"/>
      <c r="AW44" s="17">
        <v>45713</v>
      </c>
      <c r="AX44" s="9">
        <v>3791</v>
      </c>
      <c r="BA44" s="22">
        <v>748</v>
      </c>
      <c r="BB44" s="22"/>
      <c r="BD44" s="9"/>
      <c r="CS44" s="11">
        <f t="shared" si="8"/>
        <v>748</v>
      </c>
      <c r="CT44" s="22">
        <f t="shared" si="9"/>
        <v>748</v>
      </c>
      <c r="CU44" s="22">
        <f t="shared" si="10"/>
        <v>0</v>
      </c>
      <c r="CV44" s="26">
        <f t="shared" si="11"/>
        <v>0</v>
      </c>
    </row>
    <row r="45" spans="1:100" x14ac:dyDescent="0.2">
      <c r="A45" s="9" t="s">
        <v>3242</v>
      </c>
      <c r="B45" s="2">
        <v>24</v>
      </c>
      <c r="C45" s="186" t="s">
        <v>95</v>
      </c>
      <c r="D45" s="186" t="s">
        <v>96</v>
      </c>
      <c r="E45" s="185"/>
      <c r="F45" s="185"/>
      <c r="G45" s="2" t="s">
        <v>68</v>
      </c>
      <c r="H45" s="2">
        <v>4</v>
      </c>
      <c r="I45" s="20">
        <v>145.31</v>
      </c>
      <c r="J45" s="20">
        <v>42900</v>
      </c>
      <c r="K45" s="3">
        <v>0</v>
      </c>
      <c r="L45" s="3" t="s">
        <v>3</v>
      </c>
      <c r="M45" s="9" t="s">
        <v>0</v>
      </c>
      <c r="N45" s="9">
        <v>73176828</v>
      </c>
      <c r="O45" s="9" t="s">
        <v>3241</v>
      </c>
      <c r="S45" s="9" t="s">
        <v>158</v>
      </c>
      <c r="T45" s="10" t="s">
        <v>68</v>
      </c>
      <c r="U45" s="10">
        <v>4</v>
      </c>
      <c r="V45" s="10">
        <v>145.31</v>
      </c>
      <c r="W45" s="10" t="s">
        <v>710</v>
      </c>
      <c r="X45" s="17">
        <v>45172</v>
      </c>
      <c r="Y45" s="17">
        <v>45172</v>
      </c>
      <c r="Z45" s="19" t="s">
        <v>772</v>
      </c>
      <c r="AA45" s="207">
        <v>41900</v>
      </c>
      <c r="AB45" s="9">
        <v>48</v>
      </c>
      <c r="AC45" s="9">
        <v>16</v>
      </c>
      <c r="AD45" s="17">
        <v>45746</v>
      </c>
      <c r="AE45" s="54">
        <v>748</v>
      </c>
      <c r="AF45" s="54"/>
      <c r="AG45" s="9" t="s">
        <v>134</v>
      </c>
      <c r="AH45" s="17">
        <v>45742</v>
      </c>
      <c r="AI45" s="9">
        <v>73176828</v>
      </c>
      <c r="AJ45" s="9" t="s">
        <v>3241</v>
      </c>
      <c r="AK45" s="9" t="s">
        <v>3269</v>
      </c>
      <c r="AL45" s="22">
        <v>748</v>
      </c>
      <c r="AM45" s="22"/>
      <c r="AN45" s="22" t="s">
        <v>1376</v>
      </c>
      <c r="AO45" s="22"/>
      <c r="AP45" s="22"/>
      <c r="AQ45" s="22"/>
      <c r="AR45" s="22"/>
      <c r="AS45" s="22"/>
      <c r="AT45" s="22"/>
      <c r="AU45" s="22"/>
      <c r="AV45" s="22"/>
      <c r="AW45" s="17">
        <v>45741</v>
      </c>
      <c r="AX45" s="9">
        <v>3922</v>
      </c>
      <c r="BA45" s="22">
        <v>748</v>
      </c>
      <c r="BB45" s="22"/>
      <c r="BD45" s="9"/>
      <c r="CS45" s="11">
        <f t="shared" si="8"/>
        <v>748</v>
      </c>
      <c r="CT45" s="22">
        <f t="shared" si="9"/>
        <v>748</v>
      </c>
      <c r="CU45" s="22">
        <f t="shared" si="10"/>
        <v>0</v>
      </c>
      <c r="CV45" s="26">
        <f t="shared" si="11"/>
        <v>0</v>
      </c>
    </row>
    <row r="46" spans="1:100" x14ac:dyDescent="0.2">
      <c r="A46" s="9" t="s">
        <v>3242</v>
      </c>
      <c r="B46" s="2">
        <v>24</v>
      </c>
      <c r="C46" s="186" t="s">
        <v>95</v>
      </c>
      <c r="D46" s="186" t="s">
        <v>96</v>
      </c>
      <c r="E46" s="185"/>
      <c r="F46" s="185"/>
      <c r="G46" s="2" t="s">
        <v>68</v>
      </c>
      <c r="H46" s="2">
        <v>4</v>
      </c>
      <c r="I46" s="20">
        <v>145.31</v>
      </c>
      <c r="J46" s="20">
        <v>42900</v>
      </c>
      <c r="K46" s="3">
        <v>0</v>
      </c>
      <c r="L46" s="3" t="s">
        <v>3</v>
      </c>
      <c r="M46" s="9" t="s">
        <v>0</v>
      </c>
      <c r="N46" s="9">
        <v>73176828</v>
      </c>
      <c r="O46" s="9" t="s">
        <v>3241</v>
      </c>
      <c r="S46" s="9" t="s">
        <v>158</v>
      </c>
      <c r="T46" s="10" t="s">
        <v>68</v>
      </c>
      <c r="U46" s="10">
        <v>4</v>
      </c>
      <c r="V46" s="10">
        <v>145.31</v>
      </c>
      <c r="W46" s="10" t="s">
        <v>710</v>
      </c>
      <c r="X46" s="17">
        <v>45172</v>
      </c>
      <c r="Y46" s="17">
        <v>45172</v>
      </c>
      <c r="Z46" s="19" t="s">
        <v>772</v>
      </c>
      <c r="AA46" s="207">
        <v>41900</v>
      </c>
      <c r="AB46" s="9">
        <v>48</v>
      </c>
      <c r="AC46" s="9">
        <v>17</v>
      </c>
      <c r="AD46" s="17">
        <v>45777</v>
      </c>
      <c r="AE46" s="54">
        <v>748</v>
      </c>
      <c r="AF46" s="54"/>
      <c r="AG46" s="9" t="s">
        <v>134</v>
      </c>
      <c r="AH46" s="17">
        <v>45772</v>
      </c>
      <c r="AI46" s="9">
        <v>73176828</v>
      </c>
      <c r="AJ46" s="9" t="s">
        <v>3241</v>
      </c>
      <c r="AK46" s="9" t="s">
        <v>3270</v>
      </c>
      <c r="AL46" s="22">
        <v>748</v>
      </c>
      <c r="AM46" s="22"/>
      <c r="AN46" s="22" t="s">
        <v>1378</v>
      </c>
      <c r="AO46" s="22"/>
      <c r="AP46" s="22"/>
      <c r="AQ46" s="22"/>
      <c r="AR46" s="22"/>
      <c r="AS46" s="22"/>
      <c r="AT46" s="22"/>
      <c r="AU46" s="22"/>
      <c r="AV46" s="22"/>
      <c r="AW46" s="17">
        <v>45772</v>
      </c>
      <c r="AX46" s="9">
        <v>4062</v>
      </c>
      <c r="BA46" s="22">
        <v>748</v>
      </c>
      <c r="BB46" s="22"/>
      <c r="BD46" s="9"/>
      <c r="CS46" s="11">
        <f t="shared" si="8"/>
        <v>748</v>
      </c>
      <c r="CT46" s="22">
        <f t="shared" si="9"/>
        <v>748</v>
      </c>
      <c r="CU46" s="22">
        <f t="shared" si="10"/>
        <v>0</v>
      </c>
      <c r="CV46" s="26">
        <f t="shared" si="11"/>
        <v>0</v>
      </c>
    </row>
    <row r="47" spans="1:100" x14ac:dyDescent="0.2">
      <c r="A47" s="9" t="s">
        <v>3242</v>
      </c>
      <c r="B47" s="2">
        <v>24</v>
      </c>
      <c r="C47" s="186" t="s">
        <v>95</v>
      </c>
      <c r="D47" s="186" t="s">
        <v>96</v>
      </c>
      <c r="E47" s="185"/>
      <c r="F47" s="185"/>
      <c r="G47" s="2" t="s">
        <v>68</v>
      </c>
      <c r="H47" s="2">
        <v>4</v>
      </c>
      <c r="I47" s="20">
        <v>145.31</v>
      </c>
      <c r="J47" s="20">
        <v>42900</v>
      </c>
      <c r="K47" s="3">
        <v>0</v>
      </c>
      <c r="L47" s="3" t="s">
        <v>3</v>
      </c>
      <c r="M47" s="9" t="s">
        <v>0</v>
      </c>
      <c r="N47" s="9">
        <v>73176828</v>
      </c>
      <c r="O47" s="9" t="s">
        <v>3241</v>
      </c>
      <c r="S47" s="9" t="s">
        <v>158</v>
      </c>
      <c r="T47" s="10" t="s">
        <v>68</v>
      </c>
      <c r="U47" s="10">
        <v>4</v>
      </c>
      <c r="V47" s="10">
        <v>145.31</v>
      </c>
      <c r="W47" s="10" t="s">
        <v>710</v>
      </c>
      <c r="X47" s="17">
        <v>45172</v>
      </c>
      <c r="Y47" s="17">
        <v>45172</v>
      </c>
      <c r="Z47" s="19" t="s">
        <v>772</v>
      </c>
      <c r="AA47" s="207">
        <v>41900</v>
      </c>
      <c r="AB47" s="9">
        <v>48</v>
      </c>
      <c r="AC47" s="9">
        <v>18</v>
      </c>
      <c r="AD47" s="17">
        <v>45807</v>
      </c>
      <c r="AE47" s="54">
        <v>748</v>
      </c>
      <c r="AF47" s="54"/>
      <c r="AG47" s="9" t="s">
        <v>134</v>
      </c>
      <c r="AH47" s="17">
        <v>45800</v>
      </c>
      <c r="AI47" s="9">
        <v>73176828</v>
      </c>
      <c r="AJ47" s="9" t="s">
        <v>3241</v>
      </c>
      <c r="AK47" s="9" t="s">
        <v>3271</v>
      </c>
      <c r="AL47" s="22">
        <v>748</v>
      </c>
      <c r="AM47" s="22"/>
      <c r="AN47" s="22" t="s">
        <v>1380</v>
      </c>
      <c r="AO47" s="22"/>
      <c r="AP47" s="22"/>
      <c r="AQ47" s="22"/>
      <c r="AR47" s="22"/>
      <c r="AS47" s="22"/>
      <c r="AT47" s="22"/>
      <c r="AU47" s="22"/>
      <c r="AV47" s="22"/>
      <c r="AW47" s="17">
        <v>45800</v>
      </c>
      <c r="AX47" s="9">
        <v>4210</v>
      </c>
      <c r="BA47" s="22">
        <v>748</v>
      </c>
      <c r="BB47" s="22"/>
      <c r="BD47" s="9"/>
      <c r="CS47" s="11">
        <f t="shared" si="8"/>
        <v>748</v>
      </c>
      <c r="CT47" s="22">
        <f t="shared" si="9"/>
        <v>748</v>
      </c>
      <c r="CU47" s="22">
        <f t="shared" si="10"/>
        <v>0</v>
      </c>
      <c r="CV47" s="26">
        <f t="shared" si="11"/>
        <v>0</v>
      </c>
    </row>
    <row r="48" spans="1:100" x14ac:dyDescent="0.2">
      <c r="A48" s="9" t="s">
        <v>3242</v>
      </c>
      <c r="B48" s="2">
        <v>24</v>
      </c>
      <c r="C48" s="186" t="s">
        <v>95</v>
      </c>
      <c r="D48" s="186" t="s">
        <v>96</v>
      </c>
      <c r="E48" s="185"/>
      <c r="F48" s="185"/>
      <c r="G48" s="2" t="s">
        <v>68</v>
      </c>
      <c r="H48" s="2">
        <v>4</v>
      </c>
      <c r="I48" s="20">
        <v>145.31</v>
      </c>
      <c r="J48" s="20">
        <v>42900</v>
      </c>
      <c r="K48" s="3">
        <v>0</v>
      </c>
      <c r="L48" s="3" t="s">
        <v>3</v>
      </c>
      <c r="M48" s="9" t="s">
        <v>0</v>
      </c>
      <c r="N48" s="9">
        <v>73176828</v>
      </c>
      <c r="O48" s="9" t="s">
        <v>3241</v>
      </c>
      <c r="S48" s="9" t="s">
        <v>158</v>
      </c>
      <c r="T48" s="10" t="s">
        <v>68</v>
      </c>
      <c r="U48" s="10">
        <v>4</v>
      </c>
      <c r="V48" s="10">
        <v>145.31</v>
      </c>
      <c r="W48" s="10" t="s">
        <v>710</v>
      </c>
      <c r="X48" s="17">
        <v>45172</v>
      </c>
      <c r="Y48" s="17">
        <v>45172</v>
      </c>
      <c r="Z48" s="19" t="s">
        <v>772</v>
      </c>
      <c r="AA48" s="207">
        <v>41900</v>
      </c>
      <c r="AB48" s="9">
        <v>48</v>
      </c>
      <c r="AC48" s="9">
        <v>19</v>
      </c>
      <c r="AD48" s="17">
        <v>45838</v>
      </c>
      <c r="AE48" s="54">
        <v>748</v>
      </c>
      <c r="AF48" s="54"/>
      <c r="AG48" s="9" t="s">
        <v>134</v>
      </c>
      <c r="AH48" s="17">
        <v>45834</v>
      </c>
      <c r="AI48" s="9">
        <v>73176828</v>
      </c>
      <c r="AJ48" s="9" t="s">
        <v>3241</v>
      </c>
      <c r="AK48" s="9" t="s">
        <v>3272</v>
      </c>
      <c r="AL48" s="22">
        <v>748</v>
      </c>
      <c r="AM48" s="22"/>
      <c r="AN48" s="22" t="s">
        <v>1382</v>
      </c>
      <c r="AO48" s="22"/>
      <c r="AP48" s="22"/>
      <c r="AQ48" s="22"/>
      <c r="AR48" s="22"/>
      <c r="AS48" s="22"/>
      <c r="AT48" s="22"/>
      <c r="AU48" s="22"/>
      <c r="AV48" s="22"/>
      <c r="AW48" s="17">
        <v>45833</v>
      </c>
      <c r="AX48" s="9">
        <v>4340</v>
      </c>
      <c r="BA48" s="22">
        <v>748</v>
      </c>
      <c r="BB48" s="22"/>
      <c r="BD48" s="9"/>
      <c r="CS48" s="11">
        <f t="shared" si="8"/>
        <v>748</v>
      </c>
      <c r="CT48" s="22">
        <f t="shared" si="9"/>
        <v>748</v>
      </c>
      <c r="CU48" s="22">
        <f t="shared" si="10"/>
        <v>0</v>
      </c>
      <c r="CV48" s="26">
        <f t="shared" si="11"/>
        <v>0</v>
      </c>
    </row>
    <row r="49" spans="1:100" x14ac:dyDescent="0.2">
      <c r="A49" s="9" t="s">
        <v>3242</v>
      </c>
      <c r="B49" s="2">
        <v>24</v>
      </c>
      <c r="C49" s="186" t="s">
        <v>95</v>
      </c>
      <c r="D49" s="186" t="s">
        <v>96</v>
      </c>
      <c r="E49" s="185"/>
      <c r="F49" s="185"/>
      <c r="G49" s="2" t="s">
        <v>68</v>
      </c>
      <c r="H49" s="2">
        <v>4</v>
      </c>
      <c r="I49" s="20">
        <v>145.31</v>
      </c>
      <c r="J49" s="20">
        <v>42900</v>
      </c>
      <c r="K49" s="3">
        <v>0</v>
      </c>
      <c r="L49" s="3" t="s">
        <v>3</v>
      </c>
      <c r="M49" s="9" t="s">
        <v>0</v>
      </c>
      <c r="N49" s="9">
        <v>73176828</v>
      </c>
      <c r="O49" s="9" t="s">
        <v>3241</v>
      </c>
      <c r="S49" s="9" t="s">
        <v>158</v>
      </c>
      <c r="T49" s="10" t="s">
        <v>68</v>
      </c>
      <c r="U49" s="10">
        <v>4</v>
      </c>
      <c r="V49" s="10">
        <v>145.31</v>
      </c>
      <c r="W49" s="10" t="s">
        <v>710</v>
      </c>
      <c r="X49" s="17">
        <v>45172</v>
      </c>
      <c r="Y49" s="17">
        <v>45172</v>
      </c>
      <c r="Z49" s="19" t="s">
        <v>772</v>
      </c>
      <c r="AA49" s="207">
        <v>41900</v>
      </c>
      <c r="AB49" s="9">
        <v>48</v>
      </c>
      <c r="AC49" s="9">
        <v>20</v>
      </c>
      <c r="AD49" s="17">
        <v>45868</v>
      </c>
      <c r="AE49" s="54">
        <v>748</v>
      </c>
      <c r="AF49" s="54"/>
      <c r="AG49" s="9" t="s">
        <v>134</v>
      </c>
      <c r="AH49" s="17">
        <v>45863</v>
      </c>
      <c r="AI49" s="9">
        <v>73176828</v>
      </c>
      <c r="AJ49" s="9" t="s">
        <v>3241</v>
      </c>
      <c r="AK49" s="9" t="s">
        <v>3273</v>
      </c>
      <c r="AL49" s="22">
        <v>748</v>
      </c>
      <c r="AM49" s="22"/>
      <c r="AN49" s="22" t="s">
        <v>1384</v>
      </c>
      <c r="AO49" s="22"/>
      <c r="AP49" s="22"/>
      <c r="AQ49" s="22"/>
      <c r="AR49" s="22"/>
      <c r="AS49" s="22"/>
      <c r="AT49" s="22"/>
      <c r="AU49" s="22"/>
      <c r="AV49" s="22"/>
      <c r="AW49" s="17">
        <v>45863</v>
      </c>
      <c r="AX49" s="9">
        <v>4469</v>
      </c>
      <c r="BA49" s="22">
        <v>748</v>
      </c>
      <c r="BB49" s="22"/>
      <c r="BD49" s="9"/>
      <c r="CS49" s="11">
        <f t="shared" si="8"/>
        <v>748</v>
      </c>
      <c r="CT49" s="22">
        <f t="shared" si="9"/>
        <v>748</v>
      </c>
      <c r="CU49" s="22">
        <f t="shared" si="10"/>
        <v>0</v>
      </c>
      <c r="CV49" s="26">
        <f t="shared" si="11"/>
        <v>0</v>
      </c>
    </row>
    <row r="50" spans="1:100" x14ac:dyDescent="0.2">
      <c r="A50" s="9" t="s">
        <v>3242</v>
      </c>
      <c r="B50" s="2">
        <v>24</v>
      </c>
      <c r="C50" s="186" t="s">
        <v>95</v>
      </c>
      <c r="D50" s="186" t="s">
        <v>96</v>
      </c>
      <c r="E50" s="185"/>
      <c r="F50" s="185"/>
      <c r="G50" s="2" t="s">
        <v>68</v>
      </c>
      <c r="H50" s="2">
        <v>4</v>
      </c>
      <c r="I50" s="20">
        <v>145.31</v>
      </c>
      <c r="J50" s="20">
        <v>42900</v>
      </c>
      <c r="K50" s="3">
        <v>0</v>
      </c>
      <c r="L50" s="3" t="s">
        <v>3</v>
      </c>
      <c r="M50" s="9" t="s">
        <v>0</v>
      </c>
      <c r="N50" s="9">
        <v>73176828</v>
      </c>
      <c r="O50" s="9" t="s">
        <v>3241</v>
      </c>
      <c r="S50" s="9" t="s">
        <v>158</v>
      </c>
      <c r="T50" s="10" t="s">
        <v>68</v>
      </c>
      <c r="U50" s="10">
        <v>4</v>
      </c>
      <c r="V50" s="10">
        <v>145.31</v>
      </c>
      <c r="W50" s="10" t="s">
        <v>710</v>
      </c>
      <c r="X50" s="17">
        <v>45172</v>
      </c>
      <c r="Y50" s="17">
        <v>45172</v>
      </c>
      <c r="Z50" s="19" t="s">
        <v>772</v>
      </c>
      <c r="AA50" s="207">
        <v>41900</v>
      </c>
      <c r="AB50" s="9">
        <v>48</v>
      </c>
      <c r="AC50" s="9">
        <v>21</v>
      </c>
      <c r="AD50" s="17">
        <v>45899</v>
      </c>
      <c r="AE50" s="54">
        <v>748</v>
      </c>
      <c r="AF50" s="54"/>
      <c r="AG50" s="9" t="s">
        <v>134</v>
      </c>
      <c r="AH50" s="17">
        <v>45896</v>
      </c>
      <c r="AI50" s="9">
        <v>73176828</v>
      </c>
      <c r="AJ50" s="9" t="s">
        <v>3241</v>
      </c>
      <c r="AK50" s="9" t="s">
        <v>3274</v>
      </c>
      <c r="AL50" s="22">
        <v>748</v>
      </c>
      <c r="AM50" s="22"/>
      <c r="AN50" s="22" t="s">
        <v>1386</v>
      </c>
      <c r="AO50" s="22"/>
      <c r="AP50" s="22"/>
      <c r="AQ50" s="22"/>
      <c r="AR50" s="22"/>
      <c r="AS50" s="22"/>
      <c r="AT50" s="22"/>
      <c r="AU50" s="22"/>
      <c r="AV50" s="22"/>
      <c r="AW50" s="17">
        <v>45895</v>
      </c>
      <c r="AX50" s="9">
        <v>4610</v>
      </c>
      <c r="BA50" s="22">
        <v>748</v>
      </c>
      <c r="BB50" s="22"/>
      <c r="BD50" s="9"/>
      <c r="CS50" s="11">
        <f t="shared" si="8"/>
        <v>748</v>
      </c>
      <c r="CT50" s="22">
        <f t="shared" si="9"/>
        <v>748</v>
      </c>
      <c r="CU50" s="22">
        <f t="shared" si="10"/>
        <v>0</v>
      </c>
      <c r="CV50" s="26">
        <f t="shared" si="11"/>
        <v>0</v>
      </c>
    </row>
    <row r="51" spans="1:100" x14ac:dyDescent="0.2">
      <c r="A51" s="9" t="s">
        <v>3242</v>
      </c>
      <c r="B51" s="2">
        <v>24</v>
      </c>
      <c r="C51" s="186" t="s">
        <v>95</v>
      </c>
      <c r="D51" s="186" t="s">
        <v>96</v>
      </c>
      <c r="E51" s="185"/>
      <c r="F51" s="185"/>
      <c r="G51" s="2" t="s">
        <v>68</v>
      </c>
      <c r="H51" s="2">
        <v>4</v>
      </c>
      <c r="I51" s="20">
        <v>145.31</v>
      </c>
      <c r="J51" s="20">
        <v>42900</v>
      </c>
      <c r="K51" s="3">
        <v>0</v>
      </c>
      <c r="L51" s="3" t="s">
        <v>3</v>
      </c>
      <c r="M51" s="9" t="s">
        <v>0</v>
      </c>
      <c r="N51" s="9">
        <v>73176828</v>
      </c>
      <c r="O51" s="9" t="s">
        <v>3241</v>
      </c>
      <c r="S51" s="9" t="s">
        <v>158</v>
      </c>
      <c r="T51" s="10" t="s">
        <v>68</v>
      </c>
      <c r="U51" s="10">
        <v>4</v>
      </c>
      <c r="V51" s="10">
        <v>145.31</v>
      </c>
      <c r="W51" s="10" t="s">
        <v>710</v>
      </c>
      <c r="X51" s="17">
        <v>45172</v>
      </c>
      <c r="Y51" s="17">
        <v>45172</v>
      </c>
      <c r="Z51" s="19" t="s">
        <v>772</v>
      </c>
      <c r="AA51" s="207">
        <v>41900</v>
      </c>
      <c r="AB51" s="9">
        <v>48</v>
      </c>
      <c r="AC51" s="9">
        <v>22</v>
      </c>
      <c r="AD51" s="17">
        <v>45930</v>
      </c>
      <c r="AE51" s="54">
        <v>748</v>
      </c>
      <c r="AF51" s="54"/>
      <c r="AG51" s="9" t="s">
        <v>134</v>
      </c>
      <c r="AH51" s="17">
        <v>45925</v>
      </c>
      <c r="AI51" s="9">
        <v>73176828</v>
      </c>
      <c r="AJ51" s="9" t="s">
        <v>3241</v>
      </c>
      <c r="AK51" s="9" t="s">
        <v>3275</v>
      </c>
      <c r="AL51" s="22">
        <v>748</v>
      </c>
      <c r="AM51" s="22"/>
      <c r="AN51" s="22" t="s">
        <v>1388</v>
      </c>
      <c r="AO51" s="22"/>
      <c r="AP51" s="22"/>
      <c r="AQ51" s="22"/>
      <c r="AR51" s="22"/>
      <c r="AS51" s="22"/>
      <c r="AT51" s="22"/>
      <c r="AU51" s="22"/>
      <c r="AV51" s="22"/>
      <c r="AW51" s="17">
        <v>45925</v>
      </c>
      <c r="AX51" s="9">
        <v>4799</v>
      </c>
      <c r="BA51" s="22">
        <v>748</v>
      </c>
      <c r="BB51" s="22"/>
      <c r="BD51" s="9"/>
      <c r="CS51" s="11">
        <f t="shared" si="8"/>
        <v>748</v>
      </c>
      <c r="CT51" s="22">
        <f t="shared" si="9"/>
        <v>748</v>
      </c>
      <c r="CU51" s="22">
        <f t="shared" si="10"/>
        <v>0</v>
      </c>
      <c r="CV51" s="26">
        <f t="shared" si="11"/>
        <v>0</v>
      </c>
    </row>
    <row r="52" spans="1:100" x14ac:dyDescent="0.2">
      <c r="A52" s="9" t="s">
        <v>3242</v>
      </c>
      <c r="B52" s="2">
        <v>24</v>
      </c>
      <c r="C52" s="186" t="s">
        <v>95</v>
      </c>
      <c r="D52" s="186" t="s">
        <v>96</v>
      </c>
      <c r="E52" s="185"/>
      <c r="F52" s="185"/>
      <c r="G52" s="2" t="s">
        <v>68</v>
      </c>
      <c r="H52" s="2">
        <v>4</v>
      </c>
      <c r="I52" s="20">
        <v>145.31</v>
      </c>
      <c r="J52" s="20">
        <v>42900</v>
      </c>
      <c r="K52" s="3">
        <v>0</v>
      </c>
      <c r="L52" s="3" t="s">
        <v>3</v>
      </c>
      <c r="M52" s="9" t="s">
        <v>0</v>
      </c>
      <c r="N52" s="9">
        <v>73176828</v>
      </c>
      <c r="O52" s="9" t="s">
        <v>3241</v>
      </c>
      <c r="S52" s="9" t="s">
        <v>158</v>
      </c>
      <c r="T52" s="10" t="s">
        <v>68</v>
      </c>
      <c r="U52" s="10">
        <v>4</v>
      </c>
      <c r="V52" s="10">
        <v>145.31</v>
      </c>
      <c r="W52" s="10" t="s">
        <v>710</v>
      </c>
      <c r="X52" s="17">
        <v>45172</v>
      </c>
      <c r="Y52" s="17">
        <v>45172</v>
      </c>
      <c r="Z52" s="19" t="s">
        <v>772</v>
      </c>
      <c r="AA52" s="207">
        <v>41900</v>
      </c>
      <c r="AB52" s="9">
        <v>48</v>
      </c>
      <c r="AC52" s="9">
        <v>23</v>
      </c>
      <c r="AD52" s="17">
        <v>45960</v>
      </c>
      <c r="AE52" s="54">
        <v>748</v>
      </c>
      <c r="AF52" s="54"/>
      <c r="AG52" s="9" t="s">
        <v>134</v>
      </c>
      <c r="AH52" s="17">
        <v>45954</v>
      </c>
      <c r="AI52" s="9">
        <v>73176828</v>
      </c>
      <c r="AJ52" s="9" t="s">
        <v>3241</v>
      </c>
      <c r="AK52" s="9" t="s">
        <v>3276</v>
      </c>
      <c r="AL52" s="22">
        <v>748</v>
      </c>
      <c r="AM52" s="22"/>
      <c r="AN52" s="22" t="s">
        <v>3266</v>
      </c>
      <c r="AO52" s="22"/>
      <c r="AP52" s="22"/>
      <c r="AQ52" s="22"/>
      <c r="AR52" s="22"/>
      <c r="AS52" s="22"/>
      <c r="AT52" s="22"/>
      <c r="AU52" s="22"/>
      <c r="AV52" s="22"/>
      <c r="AW52" s="17">
        <v>45954</v>
      </c>
      <c r="AX52" s="9">
        <v>4994</v>
      </c>
      <c r="BA52" s="22">
        <v>748</v>
      </c>
      <c r="BB52" s="22"/>
      <c r="BD52" s="9"/>
      <c r="CS52" s="11">
        <f t="shared" si="8"/>
        <v>748</v>
      </c>
      <c r="CT52" s="22">
        <f t="shared" si="9"/>
        <v>748</v>
      </c>
      <c r="CU52" s="22">
        <f t="shared" si="10"/>
        <v>0</v>
      </c>
      <c r="CV52" s="26">
        <f t="shared" si="11"/>
        <v>0</v>
      </c>
    </row>
    <row r="53" spans="1:100" x14ac:dyDescent="0.2">
      <c r="A53" s="9" t="s">
        <v>3242</v>
      </c>
      <c r="B53" s="2">
        <v>24</v>
      </c>
      <c r="C53" s="186" t="s">
        <v>95</v>
      </c>
      <c r="D53" s="186" t="s">
        <v>96</v>
      </c>
      <c r="E53" s="185"/>
      <c r="F53" s="185"/>
      <c r="G53" s="2" t="s">
        <v>68</v>
      </c>
      <c r="H53" s="2">
        <v>4</v>
      </c>
      <c r="I53" s="20">
        <v>145.31</v>
      </c>
      <c r="J53" s="20">
        <v>42900</v>
      </c>
      <c r="K53" s="3">
        <v>0</v>
      </c>
      <c r="L53" s="3" t="s">
        <v>3</v>
      </c>
      <c r="M53" s="9" t="s">
        <v>0</v>
      </c>
      <c r="N53" s="9">
        <v>73176828</v>
      </c>
      <c r="O53" s="9" t="s">
        <v>3241</v>
      </c>
      <c r="S53" s="9" t="s">
        <v>158</v>
      </c>
      <c r="T53" s="10" t="s">
        <v>68</v>
      </c>
      <c r="U53" s="10">
        <v>4</v>
      </c>
      <c r="V53" s="10">
        <v>145.31</v>
      </c>
      <c r="W53" s="10" t="s">
        <v>710</v>
      </c>
      <c r="X53" s="17">
        <v>45172</v>
      </c>
      <c r="Y53" s="17">
        <v>45172</v>
      </c>
      <c r="Z53" s="19" t="s">
        <v>772</v>
      </c>
      <c r="AA53" s="207">
        <v>41900</v>
      </c>
      <c r="AB53" s="9">
        <v>48</v>
      </c>
      <c r="AC53" s="9">
        <v>24</v>
      </c>
      <c r="AD53" s="17">
        <v>45991</v>
      </c>
      <c r="AE53" s="54">
        <v>748</v>
      </c>
      <c r="AF53" s="54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9"/>
      <c r="BA53" s="22"/>
      <c r="BB53" s="22"/>
      <c r="BD53" s="9"/>
      <c r="CS53" s="11">
        <f t="shared" si="8"/>
        <v>0</v>
      </c>
      <c r="CT53" s="22">
        <f t="shared" si="9"/>
        <v>0</v>
      </c>
      <c r="CU53" s="22">
        <f t="shared" si="10"/>
        <v>0</v>
      </c>
      <c r="CV53" s="26">
        <f t="shared" si="11"/>
        <v>748</v>
      </c>
    </row>
    <row r="54" spans="1:100" x14ac:dyDescent="0.2">
      <c r="A54" s="9" t="s">
        <v>3242</v>
      </c>
      <c r="B54" s="168">
        <v>24</v>
      </c>
      <c r="C54" s="186" t="s">
        <v>95</v>
      </c>
      <c r="D54" s="186" t="s">
        <v>96</v>
      </c>
      <c r="E54" s="185"/>
      <c r="F54" s="185"/>
      <c r="G54" s="168" t="s">
        <v>68</v>
      </c>
      <c r="H54" s="168">
        <v>4</v>
      </c>
      <c r="I54" s="169">
        <v>145.31</v>
      </c>
      <c r="J54" s="169">
        <v>42900</v>
      </c>
      <c r="K54" s="170">
        <v>0</v>
      </c>
      <c r="L54" s="170" t="s">
        <v>3</v>
      </c>
      <c r="M54" s="9" t="s">
        <v>0</v>
      </c>
      <c r="N54" s="9">
        <v>73176828</v>
      </c>
      <c r="O54" s="9" t="s">
        <v>3241</v>
      </c>
      <c r="S54" s="9" t="s">
        <v>158</v>
      </c>
      <c r="T54" s="10" t="s">
        <v>68</v>
      </c>
      <c r="U54" s="10">
        <v>4</v>
      </c>
      <c r="V54" s="10">
        <v>145.31</v>
      </c>
      <c r="W54" s="10" t="s">
        <v>710</v>
      </c>
      <c r="X54" s="17">
        <v>45172</v>
      </c>
      <c r="Y54" s="17">
        <v>45172</v>
      </c>
      <c r="Z54" s="19" t="s">
        <v>772</v>
      </c>
      <c r="AA54" s="207">
        <v>41900</v>
      </c>
      <c r="AB54" s="9">
        <v>48</v>
      </c>
      <c r="AC54" s="9">
        <v>25</v>
      </c>
      <c r="AD54" s="17">
        <v>46021</v>
      </c>
      <c r="AE54" s="54">
        <v>748</v>
      </c>
      <c r="AF54" s="54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9"/>
      <c r="BA54" s="22"/>
      <c r="BB54" s="22"/>
      <c r="BD54" s="9"/>
      <c r="CS54" s="11">
        <f t="shared" si="8"/>
        <v>0</v>
      </c>
      <c r="CT54" s="22">
        <f t="shared" si="9"/>
        <v>0</v>
      </c>
      <c r="CU54" s="22">
        <f t="shared" si="10"/>
        <v>0</v>
      </c>
      <c r="CV54" s="26">
        <f t="shared" si="11"/>
        <v>748</v>
      </c>
    </row>
    <row r="55" spans="1:100" s="171" customFormat="1" x14ac:dyDescent="0.2">
      <c r="A55" s="171" t="s">
        <v>3242</v>
      </c>
      <c r="B55" s="2">
        <v>24</v>
      </c>
      <c r="C55" s="186" t="s">
        <v>95</v>
      </c>
      <c r="D55" s="186" t="s">
        <v>96</v>
      </c>
      <c r="E55" s="185"/>
      <c r="F55" s="185"/>
      <c r="G55" s="2" t="s">
        <v>68</v>
      </c>
      <c r="H55" s="2">
        <v>4</v>
      </c>
      <c r="I55" s="20">
        <v>145.31</v>
      </c>
      <c r="J55" s="20">
        <v>42900</v>
      </c>
      <c r="K55" s="3">
        <v>0</v>
      </c>
      <c r="L55" s="3" t="s">
        <v>3</v>
      </c>
      <c r="M55" s="171" t="s">
        <v>0</v>
      </c>
      <c r="N55" s="171">
        <v>73176828</v>
      </c>
      <c r="O55" s="171" t="s">
        <v>3241</v>
      </c>
      <c r="Q55" s="173"/>
      <c r="S55" s="171" t="s">
        <v>158</v>
      </c>
      <c r="T55" s="172" t="s">
        <v>68</v>
      </c>
      <c r="U55" s="172">
        <v>4</v>
      </c>
      <c r="V55" s="172">
        <v>145.31</v>
      </c>
      <c r="W55" s="10" t="s">
        <v>710</v>
      </c>
      <c r="X55" s="174">
        <v>45172</v>
      </c>
      <c r="Y55" s="174">
        <v>45172</v>
      </c>
      <c r="Z55" s="19" t="s">
        <v>772</v>
      </c>
      <c r="AA55" s="208">
        <v>41900</v>
      </c>
      <c r="AB55" s="171">
        <v>48</v>
      </c>
      <c r="AC55" s="171">
        <v>26</v>
      </c>
      <c r="AD55" s="174">
        <v>46052</v>
      </c>
      <c r="AE55" s="175">
        <v>748</v>
      </c>
      <c r="AF55" s="175"/>
      <c r="AL55" s="176"/>
      <c r="AM55" s="176"/>
      <c r="AN55" s="176"/>
      <c r="AO55" s="176"/>
      <c r="AP55" s="176"/>
      <c r="AQ55" s="176"/>
      <c r="AR55" s="176"/>
      <c r="AS55" s="176"/>
      <c r="AT55" s="176"/>
      <c r="AU55" s="176"/>
      <c r="AV55" s="176"/>
      <c r="BA55" s="176"/>
      <c r="BB55" s="176"/>
      <c r="CL55" s="9"/>
      <c r="CM55" s="9"/>
      <c r="CN55" s="9"/>
      <c r="CO55" s="9"/>
      <c r="CP55" s="9"/>
      <c r="CQ55" s="9"/>
      <c r="CR55" s="9"/>
      <c r="CS55" s="11">
        <f t="shared" si="8"/>
        <v>0</v>
      </c>
      <c r="CT55" s="22">
        <f t="shared" si="9"/>
        <v>0</v>
      </c>
      <c r="CU55" s="22">
        <f t="shared" si="10"/>
        <v>0</v>
      </c>
      <c r="CV55" s="26">
        <f t="shared" si="11"/>
        <v>748</v>
      </c>
    </row>
    <row r="56" spans="1:100" x14ac:dyDescent="0.2">
      <c r="A56" s="9" t="s">
        <v>3242</v>
      </c>
      <c r="B56" s="2">
        <v>24</v>
      </c>
      <c r="C56" s="186" t="s">
        <v>95</v>
      </c>
      <c r="D56" s="186" t="s">
        <v>96</v>
      </c>
      <c r="E56" s="185"/>
      <c r="F56" s="185"/>
      <c r="G56" s="2" t="s">
        <v>68</v>
      </c>
      <c r="H56" s="2">
        <v>4</v>
      </c>
      <c r="I56" s="20">
        <v>145.31</v>
      </c>
      <c r="J56" s="20">
        <v>42900</v>
      </c>
      <c r="K56" s="3">
        <v>0</v>
      </c>
      <c r="L56" s="3" t="s">
        <v>3</v>
      </c>
      <c r="M56" s="9" t="s">
        <v>0</v>
      </c>
      <c r="N56" s="9">
        <v>73176828</v>
      </c>
      <c r="O56" s="9" t="s">
        <v>3241</v>
      </c>
      <c r="S56" s="9" t="s">
        <v>158</v>
      </c>
      <c r="T56" s="10" t="s">
        <v>68</v>
      </c>
      <c r="U56" s="10">
        <v>4</v>
      </c>
      <c r="V56" s="10">
        <v>145.31</v>
      </c>
      <c r="W56" s="10" t="s">
        <v>710</v>
      </c>
      <c r="X56" s="17">
        <v>45172</v>
      </c>
      <c r="Y56" s="17">
        <v>45172</v>
      </c>
      <c r="Z56" s="19" t="s">
        <v>772</v>
      </c>
      <c r="AA56" s="207">
        <v>41900</v>
      </c>
      <c r="AB56" s="9">
        <v>48</v>
      </c>
      <c r="AC56" s="9">
        <v>27</v>
      </c>
      <c r="AD56" s="17">
        <v>46081</v>
      </c>
      <c r="AE56" s="54">
        <v>748</v>
      </c>
      <c r="AF56" s="54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9"/>
      <c r="BA56" s="22"/>
      <c r="BB56" s="22"/>
      <c r="BD56" s="9"/>
      <c r="CS56" s="11">
        <f t="shared" si="8"/>
        <v>0</v>
      </c>
      <c r="CT56" s="22">
        <f t="shared" si="9"/>
        <v>0</v>
      </c>
      <c r="CU56" s="22">
        <f t="shared" si="10"/>
        <v>0</v>
      </c>
      <c r="CV56" s="26">
        <f t="shared" si="11"/>
        <v>748</v>
      </c>
    </row>
    <row r="57" spans="1:100" x14ac:dyDescent="0.2">
      <c r="A57" s="9" t="s">
        <v>3242</v>
      </c>
      <c r="B57" s="2">
        <v>24</v>
      </c>
      <c r="C57" s="186" t="s">
        <v>95</v>
      </c>
      <c r="D57" s="186" t="s">
        <v>96</v>
      </c>
      <c r="E57" s="185"/>
      <c r="F57" s="185"/>
      <c r="G57" s="2" t="s">
        <v>68</v>
      </c>
      <c r="H57" s="2">
        <v>4</v>
      </c>
      <c r="I57" s="20">
        <v>145.31</v>
      </c>
      <c r="J57" s="20">
        <v>42900</v>
      </c>
      <c r="K57" s="3">
        <v>0</v>
      </c>
      <c r="L57" s="3" t="s">
        <v>3</v>
      </c>
      <c r="M57" s="9" t="s">
        <v>0</v>
      </c>
      <c r="N57" s="9">
        <v>73176828</v>
      </c>
      <c r="O57" s="9" t="s">
        <v>3241</v>
      </c>
      <c r="S57" s="9" t="s">
        <v>158</v>
      </c>
      <c r="T57" s="10" t="s">
        <v>68</v>
      </c>
      <c r="U57" s="10">
        <v>4</v>
      </c>
      <c r="V57" s="10">
        <v>145.31</v>
      </c>
      <c r="W57" s="10" t="s">
        <v>710</v>
      </c>
      <c r="X57" s="17">
        <v>45172</v>
      </c>
      <c r="Y57" s="17">
        <v>45172</v>
      </c>
      <c r="Z57" s="19" t="s">
        <v>772</v>
      </c>
      <c r="AA57" s="207">
        <v>41900</v>
      </c>
      <c r="AB57" s="9">
        <v>48</v>
      </c>
      <c r="AC57" s="9">
        <v>28</v>
      </c>
      <c r="AD57" s="17">
        <v>46111</v>
      </c>
      <c r="AE57" s="54">
        <v>748</v>
      </c>
      <c r="AF57" s="54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9"/>
      <c r="BA57" s="22"/>
      <c r="BB57" s="22"/>
      <c r="BD57" s="9"/>
      <c r="CS57" s="11">
        <f t="shared" si="8"/>
        <v>0</v>
      </c>
      <c r="CT57" s="22">
        <f t="shared" si="9"/>
        <v>0</v>
      </c>
      <c r="CU57" s="22">
        <f t="shared" si="10"/>
        <v>0</v>
      </c>
      <c r="CV57" s="26">
        <f t="shared" si="11"/>
        <v>748</v>
      </c>
    </row>
    <row r="58" spans="1:100" x14ac:dyDescent="0.2">
      <c r="A58" s="9" t="s">
        <v>3242</v>
      </c>
      <c r="B58" s="2">
        <v>24</v>
      </c>
      <c r="C58" s="186" t="s">
        <v>95</v>
      </c>
      <c r="D58" s="186" t="s">
        <v>96</v>
      </c>
      <c r="E58" s="185"/>
      <c r="F58" s="185"/>
      <c r="G58" s="2" t="s">
        <v>68</v>
      </c>
      <c r="H58" s="2">
        <v>4</v>
      </c>
      <c r="I58" s="20">
        <v>145.31</v>
      </c>
      <c r="J58" s="20">
        <v>42900</v>
      </c>
      <c r="K58" s="3">
        <v>0</v>
      </c>
      <c r="L58" s="3" t="s">
        <v>3</v>
      </c>
      <c r="M58" s="9" t="s">
        <v>0</v>
      </c>
      <c r="N58" s="9">
        <v>73176828</v>
      </c>
      <c r="O58" s="9" t="s">
        <v>3241</v>
      </c>
      <c r="S58" s="9" t="s">
        <v>158</v>
      </c>
      <c r="T58" s="10" t="s">
        <v>68</v>
      </c>
      <c r="U58" s="10">
        <v>4</v>
      </c>
      <c r="V58" s="10">
        <v>145.31</v>
      </c>
      <c r="W58" s="10" t="s">
        <v>710</v>
      </c>
      <c r="X58" s="17">
        <v>45172</v>
      </c>
      <c r="Y58" s="17">
        <v>45172</v>
      </c>
      <c r="Z58" s="19" t="s">
        <v>772</v>
      </c>
      <c r="AA58" s="207">
        <v>41900</v>
      </c>
      <c r="AB58" s="9">
        <v>48</v>
      </c>
      <c r="AC58" s="9">
        <v>29</v>
      </c>
      <c r="AD58" s="17">
        <v>46142</v>
      </c>
      <c r="AE58" s="54">
        <v>748</v>
      </c>
      <c r="AF58" s="54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9"/>
      <c r="BA58" s="22"/>
      <c r="BB58" s="22"/>
      <c r="BD58" s="9"/>
      <c r="CS58" s="11">
        <f t="shared" si="8"/>
        <v>0</v>
      </c>
      <c r="CT58" s="22">
        <f t="shared" si="9"/>
        <v>0</v>
      </c>
      <c r="CU58" s="22">
        <f t="shared" si="10"/>
        <v>0</v>
      </c>
      <c r="CV58" s="26">
        <f t="shared" si="11"/>
        <v>748</v>
      </c>
    </row>
    <row r="59" spans="1:100" x14ac:dyDescent="0.2">
      <c r="A59" s="9" t="s">
        <v>3242</v>
      </c>
      <c r="B59" s="2">
        <v>24</v>
      </c>
      <c r="C59" s="186" t="s">
        <v>95</v>
      </c>
      <c r="D59" s="186" t="s">
        <v>96</v>
      </c>
      <c r="E59" s="185"/>
      <c r="F59" s="185"/>
      <c r="G59" s="2" t="s">
        <v>68</v>
      </c>
      <c r="H59" s="2">
        <v>4</v>
      </c>
      <c r="I59" s="20">
        <v>145.31</v>
      </c>
      <c r="J59" s="20">
        <v>42900</v>
      </c>
      <c r="K59" s="3">
        <v>0</v>
      </c>
      <c r="L59" s="3" t="s">
        <v>3</v>
      </c>
      <c r="M59" s="9" t="s">
        <v>0</v>
      </c>
      <c r="N59" s="9">
        <v>73176828</v>
      </c>
      <c r="O59" s="9" t="s">
        <v>3241</v>
      </c>
      <c r="S59" s="9" t="s">
        <v>158</v>
      </c>
      <c r="T59" s="10" t="s">
        <v>68</v>
      </c>
      <c r="U59" s="10">
        <v>4</v>
      </c>
      <c r="V59" s="10">
        <v>145.31</v>
      </c>
      <c r="W59" s="10" t="s">
        <v>710</v>
      </c>
      <c r="X59" s="17">
        <v>45172</v>
      </c>
      <c r="Y59" s="17">
        <v>45172</v>
      </c>
      <c r="Z59" s="19" t="s">
        <v>772</v>
      </c>
      <c r="AA59" s="207">
        <v>41900</v>
      </c>
      <c r="AB59" s="9">
        <v>48</v>
      </c>
      <c r="AC59" s="9">
        <v>30</v>
      </c>
      <c r="AD59" s="17">
        <v>46172</v>
      </c>
      <c r="AE59" s="54">
        <v>748</v>
      </c>
      <c r="AF59" s="54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9"/>
      <c r="BA59" s="22"/>
      <c r="BB59" s="22"/>
      <c r="BD59" s="9"/>
      <c r="CS59" s="11">
        <f t="shared" si="8"/>
        <v>0</v>
      </c>
      <c r="CT59" s="22">
        <f t="shared" si="9"/>
        <v>0</v>
      </c>
      <c r="CU59" s="22">
        <f t="shared" si="10"/>
        <v>0</v>
      </c>
      <c r="CV59" s="26">
        <f t="shared" si="11"/>
        <v>748</v>
      </c>
    </row>
    <row r="60" spans="1:100" x14ac:dyDescent="0.2">
      <c r="A60" s="9" t="s">
        <v>3242</v>
      </c>
      <c r="B60" s="2">
        <v>24</v>
      </c>
      <c r="C60" s="186" t="s">
        <v>95</v>
      </c>
      <c r="D60" s="186" t="s">
        <v>96</v>
      </c>
      <c r="E60" s="185"/>
      <c r="F60" s="185"/>
      <c r="G60" s="2" t="s">
        <v>68</v>
      </c>
      <c r="H60" s="2">
        <v>4</v>
      </c>
      <c r="I60" s="20">
        <v>145.31</v>
      </c>
      <c r="J60" s="20">
        <v>42900</v>
      </c>
      <c r="K60" s="3">
        <v>0</v>
      </c>
      <c r="L60" s="3" t="s">
        <v>3</v>
      </c>
      <c r="M60" s="9" t="s">
        <v>0</v>
      </c>
      <c r="N60" s="9">
        <v>73176828</v>
      </c>
      <c r="O60" s="9" t="s">
        <v>3241</v>
      </c>
      <c r="S60" s="9" t="s">
        <v>158</v>
      </c>
      <c r="T60" s="10" t="s">
        <v>68</v>
      </c>
      <c r="U60" s="10">
        <v>4</v>
      </c>
      <c r="V60" s="10">
        <v>145.31</v>
      </c>
      <c r="W60" s="10" t="s">
        <v>710</v>
      </c>
      <c r="X60" s="17">
        <v>45172</v>
      </c>
      <c r="Y60" s="17">
        <v>45172</v>
      </c>
      <c r="Z60" s="19" t="s">
        <v>772</v>
      </c>
      <c r="AA60" s="207">
        <v>41900</v>
      </c>
      <c r="AB60" s="9">
        <v>48</v>
      </c>
      <c r="AC60" s="9">
        <v>31</v>
      </c>
      <c r="AD60" s="17">
        <v>46203</v>
      </c>
      <c r="AE60" s="54">
        <v>748</v>
      </c>
      <c r="AF60" s="54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9"/>
      <c r="BA60" s="22"/>
      <c r="BB60" s="22"/>
      <c r="BD60" s="9"/>
      <c r="CS60" s="11">
        <f t="shared" si="8"/>
        <v>0</v>
      </c>
      <c r="CT60" s="22">
        <f t="shared" si="9"/>
        <v>0</v>
      </c>
      <c r="CU60" s="22">
        <f t="shared" si="10"/>
        <v>0</v>
      </c>
      <c r="CV60" s="26">
        <f t="shared" si="11"/>
        <v>748</v>
      </c>
    </row>
    <row r="61" spans="1:100" x14ac:dyDescent="0.2">
      <c r="A61" s="9" t="s">
        <v>3242</v>
      </c>
      <c r="B61" s="2">
        <v>24</v>
      </c>
      <c r="C61" s="186" t="s">
        <v>95</v>
      </c>
      <c r="D61" s="186" t="s">
        <v>96</v>
      </c>
      <c r="E61" s="185"/>
      <c r="F61" s="185"/>
      <c r="G61" s="2" t="s">
        <v>68</v>
      </c>
      <c r="H61" s="2">
        <v>4</v>
      </c>
      <c r="I61" s="20">
        <v>145.31</v>
      </c>
      <c r="J61" s="20">
        <v>42900</v>
      </c>
      <c r="K61" s="3">
        <v>0</v>
      </c>
      <c r="L61" s="3" t="s">
        <v>3</v>
      </c>
      <c r="M61" s="9" t="s">
        <v>0</v>
      </c>
      <c r="N61" s="9">
        <v>73176828</v>
      </c>
      <c r="O61" s="9" t="s">
        <v>3241</v>
      </c>
      <c r="S61" s="9" t="s">
        <v>158</v>
      </c>
      <c r="T61" s="10" t="s">
        <v>68</v>
      </c>
      <c r="U61" s="10">
        <v>4</v>
      </c>
      <c r="V61" s="10">
        <v>145.31</v>
      </c>
      <c r="W61" s="10" t="s">
        <v>710</v>
      </c>
      <c r="X61" s="17">
        <v>45172</v>
      </c>
      <c r="Y61" s="17">
        <v>45172</v>
      </c>
      <c r="Z61" s="19" t="s">
        <v>772</v>
      </c>
      <c r="AA61" s="207">
        <v>41900</v>
      </c>
      <c r="AB61" s="9">
        <v>48</v>
      </c>
      <c r="AC61" s="9">
        <v>32</v>
      </c>
      <c r="AD61" s="17">
        <v>46233</v>
      </c>
      <c r="AE61" s="54">
        <v>748</v>
      </c>
      <c r="AF61" s="54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9"/>
      <c r="BA61" s="22"/>
      <c r="BB61" s="22"/>
      <c r="BD61" s="9"/>
      <c r="CS61" s="11">
        <f t="shared" si="8"/>
        <v>0</v>
      </c>
      <c r="CT61" s="22">
        <f t="shared" si="9"/>
        <v>0</v>
      </c>
      <c r="CU61" s="22">
        <f t="shared" si="10"/>
        <v>0</v>
      </c>
      <c r="CV61" s="26">
        <f t="shared" si="11"/>
        <v>748</v>
      </c>
    </row>
    <row r="62" spans="1:100" x14ac:dyDescent="0.2">
      <c r="A62" s="9" t="s">
        <v>3242</v>
      </c>
      <c r="B62" s="2">
        <v>24</v>
      </c>
      <c r="C62" s="186" t="s">
        <v>95</v>
      </c>
      <c r="D62" s="186" t="s">
        <v>96</v>
      </c>
      <c r="E62" s="185"/>
      <c r="F62" s="185"/>
      <c r="G62" s="2" t="s">
        <v>68</v>
      </c>
      <c r="H62" s="2">
        <v>4</v>
      </c>
      <c r="I62" s="20">
        <v>145.31</v>
      </c>
      <c r="J62" s="20">
        <v>42900</v>
      </c>
      <c r="K62" s="3">
        <v>0</v>
      </c>
      <c r="L62" s="3" t="s">
        <v>3</v>
      </c>
      <c r="M62" s="9" t="s">
        <v>0</v>
      </c>
      <c r="N62" s="9">
        <v>73176828</v>
      </c>
      <c r="O62" s="9" t="s">
        <v>3241</v>
      </c>
      <c r="S62" s="9" t="s">
        <v>158</v>
      </c>
      <c r="T62" s="10" t="s">
        <v>68</v>
      </c>
      <c r="U62" s="10">
        <v>4</v>
      </c>
      <c r="V62" s="10">
        <v>145.31</v>
      </c>
      <c r="W62" s="10" t="s">
        <v>710</v>
      </c>
      <c r="X62" s="17">
        <v>45172</v>
      </c>
      <c r="Y62" s="17">
        <v>45172</v>
      </c>
      <c r="Z62" s="19" t="s">
        <v>772</v>
      </c>
      <c r="AA62" s="207">
        <v>41900</v>
      </c>
      <c r="AB62" s="9">
        <v>48</v>
      </c>
      <c r="AC62" s="9">
        <v>33</v>
      </c>
      <c r="AD62" s="17">
        <v>46264</v>
      </c>
      <c r="AE62" s="54">
        <v>748</v>
      </c>
      <c r="AF62" s="54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9"/>
      <c r="BA62" s="22"/>
      <c r="BB62" s="22"/>
      <c r="BD62" s="9"/>
      <c r="CS62" s="11">
        <f t="shared" si="8"/>
        <v>0</v>
      </c>
      <c r="CT62" s="22">
        <f t="shared" si="9"/>
        <v>0</v>
      </c>
      <c r="CU62" s="22">
        <f t="shared" si="10"/>
        <v>0</v>
      </c>
      <c r="CV62" s="26">
        <f t="shared" si="11"/>
        <v>748</v>
      </c>
    </row>
    <row r="63" spans="1:100" x14ac:dyDescent="0.2">
      <c r="A63" s="9" t="s">
        <v>3242</v>
      </c>
      <c r="B63" s="2">
        <v>24</v>
      </c>
      <c r="C63" s="186" t="s">
        <v>95</v>
      </c>
      <c r="D63" s="186" t="s">
        <v>96</v>
      </c>
      <c r="E63" s="185"/>
      <c r="F63" s="185"/>
      <c r="G63" s="2" t="s">
        <v>68</v>
      </c>
      <c r="H63" s="2">
        <v>4</v>
      </c>
      <c r="I63" s="20">
        <v>145.31</v>
      </c>
      <c r="J63" s="20">
        <v>42900</v>
      </c>
      <c r="K63" s="3">
        <v>0</v>
      </c>
      <c r="L63" s="3" t="s">
        <v>3</v>
      </c>
      <c r="M63" s="9" t="s">
        <v>0</v>
      </c>
      <c r="N63" s="9">
        <v>73176828</v>
      </c>
      <c r="O63" s="9" t="s">
        <v>3241</v>
      </c>
      <c r="S63" s="9" t="s">
        <v>158</v>
      </c>
      <c r="T63" s="10" t="s">
        <v>68</v>
      </c>
      <c r="U63" s="10">
        <v>4</v>
      </c>
      <c r="V63" s="10">
        <v>145.31</v>
      </c>
      <c r="W63" s="10" t="s">
        <v>710</v>
      </c>
      <c r="X63" s="17">
        <v>45172</v>
      </c>
      <c r="Y63" s="17">
        <v>45172</v>
      </c>
      <c r="Z63" s="19" t="s">
        <v>772</v>
      </c>
      <c r="AA63" s="207">
        <v>41900</v>
      </c>
      <c r="AB63" s="9">
        <v>48</v>
      </c>
      <c r="AC63" s="9">
        <v>34</v>
      </c>
      <c r="AD63" s="17">
        <v>46295</v>
      </c>
      <c r="AE63" s="54">
        <v>748</v>
      </c>
      <c r="AF63" s="54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9"/>
      <c r="BA63" s="22"/>
      <c r="BB63" s="22"/>
      <c r="BD63" s="9"/>
      <c r="CS63" s="11">
        <f t="shared" si="8"/>
        <v>0</v>
      </c>
      <c r="CT63" s="22">
        <f t="shared" si="9"/>
        <v>0</v>
      </c>
      <c r="CU63" s="22">
        <f t="shared" si="10"/>
        <v>0</v>
      </c>
      <c r="CV63" s="26">
        <f t="shared" si="11"/>
        <v>748</v>
      </c>
    </row>
    <row r="64" spans="1:100" x14ac:dyDescent="0.2">
      <c r="A64" s="9" t="s">
        <v>3242</v>
      </c>
      <c r="B64" s="2">
        <v>24</v>
      </c>
      <c r="C64" s="186" t="s">
        <v>95</v>
      </c>
      <c r="D64" s="186" t="s">
        <v>96</v>
      </c>
      <c r="E64" s="185"/>
      <c r="F64" s="185"/>
      <c r="G64" s="2" t="s">
        <v>68</v>
      </c>
      <c r="H64" s="2">
        <v>4</v>
      </c>
      <c r="I64" s="20">
        <v>145.31</v>
      </c>
      <c r="J64" s="20">
        <v>42900</v>
      </c>
      <c r="K64" s="3">
        <v>0</v>
      </c>
      <c r="L64" s="3" t="s">
        <v>3</v>
      </c>
      <c r="M64" s="9" t="s">
        <v>0</v>
      </c>
      <c r="N64" s="9">
        <v>73176828</v>
      </c>
      <c r="O64" s="9" t="s">
        <v>3241</v>
      </c>
      <c r="S64" s="9" t="s">
        <v>158</v>
      </c>
      <c r="T64" s="10" t="s">
        <v>68</v>
      </c>
      <c r="U64" s="10">
        <v>4</v>
      </c>
      <c r="V64" s="10">
        <v>145.31</v>
      </c>
      <c r="W64" s="10" t="s">
        <v>710</v>
      </c>
      <c r="X64" s="17">
        <v>45172</v>
      </c>
      <c r="Y64" s="17">
        <v>45172</v>
      </c>
      <c r="Z64" s="19" t="s">
        <v>772</v>
      </c>
      <c r="AA64" s="207">
        <v>41900</v>
      </c>
      <c r="AB64" s="9">
        <v>48</v>
      </c>
      <c r="AC64" s="9">
        <v>35</v>
      </c>
      <c r="AD64" s="17">
        <v>46325</v>
      </c>
      <c r="AE64" s="54">
        <v>748</v>
      </c>
      <c r="AF64" s="54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9"/>
      <c r="BA64" s="22"/>
      <c r="BB64" s="22"/>
      <c r="BD64" s="9"/>
      <c r="CS64" s="11">
        <f t="shared" si="8"/>
        <v>0</v>
      </c>
      <c r="CT64" s="22">
        <f t="shared" si="9"/>
        <v>0</v>
      </c>
      <c r="CU64" s="22">
        <f t="shared" si="10"/>
        <v>0</v>
      </c>
      <c r="CV64" s="26">
        <f t="shared" si="11"/>
        <v>748</v>
      </c>
    </row>
    <row r="65" spans="1:100" x14ac:dyDescent="0.2">
      <c r="A65" s="9" t="s">
        <v>3242</v>
      </c>
      <c r="B65" s="2">
        <v>24</v>
      </c>
      <c r="C65" s="186" t="s">
        <v>95</v>
      </c>
      <c r="D65" s="186" t="s">
        <v>96</v>
      </c>
      <c r="E65" s="185"/>
      <c r="F65" s="185"/>
      <c r="G65" s="2" t="s">
        <v>68</v>
      </c>
      <c r="H65" s="2">
        <v>4</v>
      </c>
      <c r="I65" s="20">
        <v>145.31</v>
      </c>
      <c r="J65" s="20">
        <v>42900</v>
      </c>
      <c r="K65" s="3">
        <v>0</v>
      </c>
      <c r="L65" s="3" t="s">
        <v>3</v>
      </c>
      <c r="M65" s="9" t="s">
        <v>0</v>
      </c>
      <c r="N65" s="9">
        <v>73176828</v>
      </c>
      <c r="O65" s="9" t="s">
        <v>3241</v>
      </c>
      <c r="S65" s="9" t="s">
        <v>158</v>
      </c>
      <c r="T65" s="10" t="s">
        <v>68</v>
      </c>
      <c r="U65" s="10">
        <v>4</v>
      </c>
      <c r="V65" s="10">
        <v>145.31</v>
      </c>
      <c r="W65" s="10" t="s">
        <v>710</v>
      </c>
      <c r="X65" s="17">
        <v>45172</v>
      </c>
      <c r="Y65" s="17">
        <v>45172</v>
      </c>
      <c r="Z65" s="19" t="s">
        <v>772</v>
      </c>
      <c r="AA65" s="207">
        <v>41900</v>
      </c>
      <c r="AB65" s="9">
        <v>48</v>
      </c>
      <c r="AC65" s="9">
        <v>36</v>
      </c>
      <c r="AD65" s="17">
        <v>46356</v>
      </c>
      <c r="AE65" s="54">
        <v>748</v>
      </c>
      <c r="AF65" s="54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9"/>
      <c r="BA65" s="22"/>
      <c r="BB65" s="22"/>
      <c r="BD65" s="9"/>
      <c r="CS65" s="11">
        <f t="shared" si="8"/>
        <v>0</v>
      </c>
      <c r="CT65" s="22">
        <f t="shared" si="9"/>
        <v>0</v>
      </c>
      <c r="CU65" s="22">
        <f t="shared" si="10"/>
        <v>0</v>
      </c>
      <c r="CV65" s="26">
        <f t="shared" si="11"/>
        <v>748</v>
      </c>
    </row>
    <row r="66" spans="1:100" x14ac:dyDescent="0.2">
      <c r="A66" s="9" t="s">
        <v>3242</v>
      </c>
      <c r="B66" s="2">
        <v>24</v>
      </c>
      <c r="C66" s="186" t="s">
        <v>95</v>
      </c>
      <c r="D66" s="186" t="s">
        <v>96</v>
      </c>
      <c r="E66" s="185"/>
      <c r="F66" s="185"/>
      <c r="G66" s="2" t="s">
        <v>68</v>
      </c>
      <c r="H66" s="2">
        <v>4</v>
      </c>
      <c r="I66" s="20">
        <v>145.31</v>
      </c>
      <c r="J66" s="20">
        <v>42900</v>
      </c>
      <c r="K66" s="3">
        <v>0</v>
      </c>
      <c r="L66" s="3" t="s">
        <v>3</v>
      </c>
      <c r="M66" s="9" t="s">
        <v>0</v>
      </c>
      <c r="N66" s="9">
        <v>73176828</v>
      </c>
      <c r="O66" s="9" t="s">
        <v>3241</v>
      </c>
      <c r="S66" s="9" t="s">
        <v>158</v>
      </c>
      <c r="T66" s="10" t="s">
        <v>68</v>
      </c>
      <c r="U66" s="10">
        <v>4</v>
      </c>
      <c r="V66" s="10">
        <v>145.31</v>
      </c>
      <c r="W66" s="10" t="s">
        <v>710</v>
      </c>
      <c r="X66" s="17">
        <v>45172</v>
      </c>
      <c r="Y66" s="17">
        <v>45172</v>
      </c>
      <c r="Z66" s="19" t="s">
        <v>772</v>
      </c>
      <c r="AA66" s="207">
        <v>41900</v>
      </c>
      <c r="AB66" s="9">
        <v>48</v>
      </c>
      <c r="AC66" s="9">
        <v>37</v>
      </c>
      <c r="AD66" s="17">
        <v>46386</v>
      </c>
      <c r="AE66" s="54">
        <v>748</v>
      </c>
      <c r="AF66" s="54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9"/>
      <c r="BA66" s="22"/>
      <c r="BB66" s="22"/>
      <c r="BD66" s="9"/>
      <c r="CS66" s="11">
        <f t="shared" si="8"/>
        <v>0</v>
      </c>
      <c r="CT66" s="22">
        <f t="shared" si="9"/>
        <v>0</v>
      </c>
      <c r="CU66" s="22">
        <f t="shared" si="10"/>
        <v>0</v>
      </c>
      <c r="CV66" s="26">
        <f t="shared" si="11"/>
        <v>748</v>
      </c>
    </row>
    <row r="67" spans="1:100" x14ac:dyDescent="0.2">
      <c r="A67" s="9" t="s">
        <v>3242</v>
      </c>
      <c r="B67" s="2">
        <v>24</v>
      </c>
      <c r="C67" s="186" t="s">
        <v>95</v>
      </c>
      <c r="D67" s="186" t="s">
        <v>96</v>
      </c>
      <c r="E67" s="185"/>
      <c r="F67" s="185"/>
      <c r="G67" s="2" t="s">
        <v>68</v>
      </c>
      <c r="H67" s="2">
        <v>4</v>
      </c>
      <c r="I67" s="20">
        <v>145.31</v>
      </c>
      <c r="J67" s="20">
        <v>42900</v>
      </c>
      <c r="K67" s="3">
        <v>0</v>
      </c>
      <c r="L67" s="3" t="s">
        <v>3</v>
      </c>
      <c r="M67" s="9" t="s">
        <v>0</v>
      </c>
      <c r="N67" s="9">
        <v>73176828</v>
      </c>
      <c r="O67" s="9" t="s">
        <v>3241</v>
      </c>
      <c r="S67" s="9" t="s">
        <v>158</v>
      </c>
      <c r="T67" s="10" t="s">
        <v>68</v>
      </c>
      <c r="U67" s="10">
        <v>4</v>
      </c>
      <c r="V67" s="10">
        <v>145.31</v>
      </c>
      <c r="W67" s="10" t="s">
        <v>710</v>
      </c>
      <c r="X67" s="17">
        <v>45172</v>
      </c>
      <c r="Y67" s="17">
        <v>45172</v>
      </c>
      <c r="Z67" s="19" t="s">
        <v>772</v>
      </c>
      <c r="AA67" s="207">
        <v>41900</v>
      </c>
      <c r="AB67" s="9">
        <v>48</v>
      </c>
      <c r="AC67" s="9">
        <v>38</v>
      </c>
      <c r="AD67" s="17">
        <v>46417</v>
      </c>
      <c r="AE67" s="54">
        <v>748</v>
      </c>
      <c r="AF67" s="54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9"/>
      <c r="BA67" s="22"/>
      <c r="BB67" s="22"/>
      <c r="BD67" s="9"/>
      <c r="CS67" s="11">
        <f t="shared" si="8"/>
        <v>0</v>
      </c>
      <c r="CT67" s="22">
        <f t="shared" si="9"/>
        <v>0</v>
      </c>
      <c r="CU67" s="22">
        <f t="shared" si="10"/>
        <v>0</v>
      </c>
      <c r="CV67" s="26">
        <f t="shared" si="11"/>
        <v>748</v>
      </c>
    </row>
    <row r="68" spans="1:100" x14ac:dyDescent="0.2">
      <c r="A68" s="9" t="s">
        <v>3242</v>
      </c>
      <c r="B68" s="2">
        <v>24</v>
      </c>
      <c r="C68" s="186" t="s">
        <v>95</v>
      </c>
      <c r="D68" s="186" t="s">
        <v>96</v>
      </c>
      <c r="E68" s="185"/>
      <c r="F68" s="185"/>
      <c r="G68" s="2" t="s">
        <v>68</v>
      </c>
      <c r="H68" s="2">
        <v>4</v>
      </c>
      <c r="I68" s="20">
        <v>145.31</v>
      </c>
      <c r="J68" s="20">
        <v>42900</v>
      </c>
      <c r="K68" s="3">
        <v>0</v>
      </c>
      <c r="L68" s="3" t="s">
        <v>3</v>
      </c>
      <c r="M68" s="9" t="s">
        <v>0</v>
      </c>
      <c r="N68" s="9">
        <v>73176828</v>
      </c>
      <c r="O68" s="9" t="s">
        <v>3241</v>
      </c>
      <c r="S68" s="9" t="s">
        <v>158</v>
      </c>
      <c r="T68" s="10" t="s">
        <v>68</v>
      </c>
      <c r="U68" s="10">
        <v>4</v>
      </c>
      <c r="V68" s="10">
        <v>145.31</v>
      </c>
      <c r="W68" s="10" t="s">
        <v>710</v>
      </c>
      <c r="X68" s="17">
        <v>45172</v>
      </c>
      <c r="Y68" s="17">
        <v>45172</v>
      </c>
      <c r="Z68" s="19" t="s">
        <v>772</v>
      </c>
      <c r="AA68" s="207">
        <v>41900</v>
      </c>
      <c r="AB68" s="9">
        <v>48</v>
      </c>
      <c r="AC68" s="9">
        <v>39</v>
      </c>
      <c r="AD68" s="17">
        <v>46446</v>
      </c>
      <c r="AE68" s="54">
        <v>748</v>
      </c>
      <c r="AF68" s="54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9"/>
      <c r="BA68" s="22"/>
      <c r="BB68" s="22"/>
      <c r="BD68" s="9"/>
      <c r="CS68" s="11">
        <f t="shared" si="8"/>
        <v>0</v>
      </c>
      <c r="CT68" s="22">
        <f t="shared" si="9"/>
        <v>0</v>
      </c>
      <c r="CU68" s="22">
        <f t="shared" si="10"/>
        <v>0</v>
      </c>
      <c r="CV68" s="26">
        <f t="shared" si="11"/>
        <v>748</v>
      </c>
    </row>
    <row r="69" spans="1:100" x14ac:dyDescent="0.2">
      <c r="A69" s="9" t="s">
        <v>3242</v>
      </c>
      <c r="B69" s="2">
        <v>24</v>
      </c>
      <c r="C69" s="186" t="s">
        <v>95</v>
      </c>
      <c r="D69" s="186" t="s">
        <v>96</v>
      </c>
      <c r="E69" s="185"/>
      <c r="F69" s="185"/>
      <c r="G69" s="2" t="s">
        <v>68</v>
      </c>
      <c r="H69" s="2">
        <v>4</v>
      </c>
      <c r="I69" s="20">
        <v>145.31</v>
      </c>
      <c r="J69" s="20">
        <v>42900</v>
      </c>
      <c r="K69" s="3">
        <v>0</v>
      </c>
      <c r="L69" s="3" t="s">
        <v>3</v>
      </c>
      <c r="M69" s="9" t="s">
        <v>0</v>
      </c>
      <c r="N69" s="9">
        <v>73176828</v>
      </c>
      <c r="O69" s="9" t="s">
        <v>3241</v>
      </c>
      <c r="S69" s="9" t="s">
        <v>158</v>
      </c>
      <c r="T69" s="10" t="s">
        <v>68</v>
      </c>
      <c r="U69" s="10">
        <v>4</v>
      </c>
      <c r="V69" s="10">
        <v>145.31</v>
      </c>
      <c r="W69" s="10" t="s">
        <v>710</v>
      </c>
      <c r="X69" s="17">
        <v>45172</v>
      </c>
      <c r="Y69" s="17">
        <v>45172</v>
      </c>
      <c r="Z69" s="19" t="s">
        <v>772</v>
      </c>
      <c r="AA69" s="207">
        <v>41900</v>
      </c>
      <c r="AB69" s="9">
        <v>48</v>
      </c>
      <c r="AC69" s="9">
        <v>40</v>
      </c>
      <c r="AD69" s="17">
        <v>46476</v>
      </c>
      <c r="AE69" s="54">
        <v>748</v>
      </c>
      <c r="AF69" s="54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9"/>
      <c r="BA69" s="22"/>
      <c r="BB69" s="22"/>
      <c r="BD69" s="9"/>
      <c r="CS69" s="11">
        <f t="shared" si="8"/>
        <v>0</v>
      </c>
      <c r="CT69" s="22">
        <f t="shared" si="9"/>
        <v>0</v>
      </c>
      <c r="CU69" s="22">
        <f t="shared" si="10"/>
        <v>0</v>
      </c>
      <c r="CV69" s="26">
        <f t="shared" si="11"/>
        <v>748</v>
      </c>
    </row>
    <row r="70" spans="1:100" x14ac:dyDescent="0.2">
      <c r="A70" s="9" t="s">
        <v>3242</v>
      </c>
      <c r="B70" s="2">
        <v>24</v>
      </c>
      <c r="C70" s="186" t="s">
        <v>95</v>
      </c>
      <c r="D70" s="186" t="s">
        <v>96</v>
      </c>
      <c r="E70" s="185"/>
      <c r="F70" s="185"/>
      <c r="G70" s="2" t="s">
        <v>68</v>
      </c>
      <c r="H70" s="2">
        <v>4</v>
      </c>
      <c r="I70" s="20">
        <v>145.31</v>
      </c>
      <c r="J70" s="20">
        <v>42900</v>
      </c>
      <c r="K70" s="3">
        <v>0</v>
      </c>
      <c r="L70" s="3" t="s">
        <v>3</v>
      </c>
      <c r="M70" s="9" t="s">
        <v>0</v>
      </c>
      <c r="N70" s="9">
        <v>73176828</v>
      </c>
      <c r="O70" s="9" t="s">
        <v>3241</v>
      </c>
      <c r="S70" s="9" t="s">
        <v>158</v>
      </c>
      <c r="T70" s="10" t="s">
        <v>68</v>
      </c>
      <c r="U70" s="10">
        <v>4</v>
      </c>
      <c r="V70" s="10">
        <v>145.31</v>
      </c>
      <c r="W70" s="10" t="s">
        <v>710</v>
      </c>
      <c r="X70" s="17">
        <v>45172</v>
      </c>
      <c r="Y70" s="17">
        <v>45172</v>
      </c>
      <c r="Z70" s="19" t="s">
        <v>772</v>
      </c>
      <c r="AA70" s="207">
        <v>41900</v>
      </c>
      <c r="AB70" s="9">
        <v>48</v>
      </c>
      <c r="AC70" s="9">
        <v>41</v>
      </c>
      <c r="AD70" s="17">
        <v>46507</v>
      </c>
      <c r="AE70" s="54">
        <v>748</v>
      </c>
      <c r="AF70" s="54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9"/>
      <c r="BA70" s="22"/>
      <c r="BB70" s="22"/>
      <c r="BD70" s="9"/>
      <c r="CS70" s="11">
        <f t="shared" si="8"/>
        <v>0</v>
      </c>
      <c r="CT70" s="22">
        <f t="shared" si="9"/>
        <v>0</v>
      </c>
      <c r="CU70" s="22">
        <f t="shared" si="10"/>
        <v>0</v>
      </c>
      <c r="CV70" s="26">
        <f t="shared" si="11"/>
        <v>748</v>
      </c>
    </row>
    <row r="71" spans="1:100" x14ac:dyDescent="0.2">
      <c r="A71" s="9" t="s">
        <v>3242</v>
      </c>
      <c r="B71" s="2">
        <v>24</v>
      </c>
      <c r="C71" s="186" t="s">
        <v>95</v>
      </c>
      <c r="D71" s="186" t="s">
        <v>96</v>
      </c>
      <c r="E71" s="185"/>
      <c r="F71" s="185"/>
      <c r="G71" s="2" t="s">
        <v>68</v>
      </c>
      <c r="H71" s="2">
        <v>4</v>
      </c>
      <c r="I71" s="20">
        <v>145.31</v>
      </c>
      <c r="J71" s="20">
        <v>42900</v>
      </c>
      <c r="K71" s="3">
        <v>0</v>
      </c>
      <c r="L71" s="3" t="s">
        <v>3</v>
      </c>
      <c r="M71" s="9" t="s">
        <v>0</v>
      </c>
      <c r="N71" s="9">
        <v>73176828</v>
      </c>
      <c r="O71" s="9" t="s">
        <v>3241</v>
      </c>
      <c r="S71" s="9" t="s">
        <v>158</v>
      </c>
      <c r="T71" s="10" t="s">
        <v>68</v>
      </c>
      <c r="U71" s="10">
        <v>4</v>
      </c>
      <c r="V71" s="10">
        <v>145.31</v>
      </c>
      <c r="W71" s="10" t="s">
        <v>710</v>
      </c>
      <c r="X71" s="17">
        <v>45172</v>
      </c>
      <c r="Y71" s="17">
        <v>45172</v>
      </c>
      <c r="Z71" s="19" t="s">
        <v>772</v>
      </c>
      <c r="AA71" s="207">
        <v>41900</v>
      </c>
      <c r="AB71" s="9">
        <v>48</v>
      </c>
      <c r="AC71" s="9">
        <v>42</v>
      </c>
      <c r="AD71" s="17">
        <v>46537</v>
      </c>
      <c r="AE71" s="54">
        <v>748</v>
      </c>
      <c r="AF71" s="54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9"/>
      <c r="BA71" s="22"/>
      <c r="BB71" s="22"/>
      <c r="BD71" s="9"/>
      <c r="CS71" s="11">
        <f t="shared" si="8"/>
        <v>0</v>
      </c>
      <c r="CT71" s="22">
        <f t="shared" si="9"/>
        <v>0</v>
      </c>
      <c r="CU71" s="22">
        <f t="shared" si="10"/>
        <v>0</v>
      </c>
      <c r="CV71" s="26">
        <f t="shared" si="11"/>
        <v>748</v>
      </c>
    </row>
    <row r="72" spans="1:100" x14ac:dyDescent="0.2">
      <c r="A72" s="9" t="s">
        <v>3242</v>
      </c>
      <c r="B72" s="2">
        <v>24</v>
      </c>
      <c r="C72" s="186" t="s">
        <v>95</v>
      </c>
      <c r="D72" s="186" t="s">
        <v>96</v>
      </c>
      <c r="E72" s="185"/>
      <c r="F72" s="185"/>
      <c r="G72" s="2" t="s">
        <v>68</v>
      </c>
      <c r="H72" s="2">
        <v>4</v>
      </c>
      <c r="I72" s="20">
        <v>145.31</v>
      </c>
      <c r="J72" s="20">
        <v>42900</v>
      </c>
      <c r="K72" s="3">
        <v>0</v>
      </c>
      <c r="L72" s="3" t="s">
        <v>3</v>
      </c>
      <c r="M72" s="9" t="s">
        <v>0</v>
      </c>
      <c r="N72" s="9">
        <v>73176828</v>
      </c>
      <c r="O72" s="9" t="s">
        <v>3241</v>
      </c>
      <c r="S72" s="9" t="s">
        <v>158</v>
      </c>
      <c r="T72" s="10" t="s">
        <v>68</v>
      </c>
      <c r="U72" s="10">
        <v>4</v>
      </c>
      <c r="V72" s="10">
        <v>145.31</v>
      </c>
      <c r="W72" s="10" t="s">
        <v>710</v>
      </c>
      <c r="X72" s="17">
        <v>45172</v>
      </c>
      <c r="Y72" s="17">
        <v>45172</v>
      </c>
      <c r="Z72" s="19" t="s">
        <v>772</v>
      </c>
      <c r="AA72" s="207">
        <v>41900</v>
      </c>
      <c r="AB72" s="9">
        <v>48</v>
      </c>
      <c r="AC72" s="9">
        <v>43</v>
      </c>
      <c r="AD72" s="17">
        <v>46568</v>
      </c>
      <c r="AE72" s="54">
        <v>748</v>
      </c>
      <c r="AF72" s="54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9"/>
      <c r="BA72" s="22"/>
      <c r="BB72" s="22"/>
      <c r="BD72" s="9"/>
      <c r="CS72" s="11">
        <f t="shared" si="8"/>
        <v>0</v>
      </c>
      <c r="CT72" s="22">
        <f t="shared" si="9"/>
        <v>0</v>
      </c>
      <c r="CU72" s="22">
        <f t="shared" si="10"/>
        <v>0</v>
      </c>
      <c r="CV72" s="26">
        <f t="shared" si="11"/>
        <v>748</v>
      </c>
    </row>
    <row r="73" spans="1:100" x14ac:dyDescent="0.2">
      <c r="A73" s="9" t="s">
        <v>3242</v>
      </c>
      <c r="B73" s="2">
        <v>24</v>
      </c>
      <c r="C73" s="186" t="s">
        <v>95</v>
      </c>
      <c r="D73" s="186" t="s">
        <v>96</v>
      </c>
      <c r="E73" s="185"/>
      <c r="F73" s="185"/>
      <c r="G73" s="2" t="s">
        <v>68</v>
      </c>
      <c r="H73" s="2">
        <v>4</v>
      </c>
      <c r="I73" s="20">
        <v>145.31</v>
      </c>
      <c r="J73" s="20">
        <v>42900</v>
      </c>
      <c r="K73" s="3">
        <v>0</v>
      </c>
      <c r="L73" s="3" t="s">
        <v>3</v>
      </c>
      <c r="M73" s="9" t="s">
        <v>0</v>
      </c>
      <c r="N73" s="9">
        <v>73176828</v>
      </c>
      <c r="O73" s="9" t="s">
        <v>3241</v>
      </c>
      <c r="S73" s="9" t="s">
        <v>158</v>
      </c>
      <c r="T73" s="10" t="s">
        <v>68</v>
      </c>
      <c r="U73" s="10">
        <v>4</v>
      </c>
      <c r="V73" s="10">
        <v>145.31</v>
      </c>
      <c r="W73" s="10" t="s">
        <v>710</v>
      </c>
      <c r="X73" s="17">
        <v>45172</v>
      </c>
      <c r="Y73" s="17">
        <v>45172</v>
      </c>
      <c r="Z73" s="19" t="s">
        <v>772</v>
      </c>
      <c r="AA73" s="207">
        <v>41900</v>
      </c>
      <c r="AB73" s="9">
        <v>48</v>
      </c>
      <c r="AC73" s="9">
        <v>44</v>
      </c>
      <c r="AD73" s="17">
        <v>46598</v>
      </c>
      <c r="AE73" s="54">
        <v>748</v>
      </c>
      <c r="AF73" s="54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9"/>
      <c r="BA73" s="22"/>
      <c r="BB73" s="22"/>
      <c r="BD73" s="9"/>
      <c r="CS73" s="11">
        <f t="shared" si="8"/>
        <v>0</v>
      </c>
      <c r="CT73" s="22">
        <f t="shared" si="9"/>
        <v>0</v>
      </c>
      <c r="CU73" s="22">
        <f t="shared" si="10"/>
        <v>0</v>
      </c>
      <c r="CV73" s="26">
        <f t="shared" si="11"/>
        <v>748</v>
      </c>
    </row>
    <row r="74" spans="1:100" x14ac:dyDescent="0.2">
      <c r="A74" s="9" t="s">
        <v>3242</v>
      </c>
      <c r="B74" s="2">
        <v>24</v>
      </c>
      <c r="C74" s="186" t="s">
        <v>95</v>
      </c>
      <c r="D74" s="186" t="s">
        <v>96</v>
      </c>
      <c r="E74" s="185"/>
      <c r="F74" s="185"/>
      <c r="G74" s="2" t="s">
        <v>68</v>
      </c>
      <c r="H74" s="2">
        <v>4</v>
      </c>
      <c r="I74" s="20">
        <v>145.31</v>
      </c>
      <c r="J74" s="20">
        <v>42900</v>
      </c>
      <c r="K74" s="3">
        <v>0</v>
      </c>
      <c r="L74" s="3" t="s">
        <v>3</v>
      </c>
      <c r="M74" s="9" t="s">
        <v>0</v>
      </c>
      <c r="N74" s="9">
        <v>73176828</v>
      </c>
      <c r="O74" s="9" t="s">
        <v>3241</v>
      </c>
      <c r="S74" s="9" t="s">
        <v>158</v>
      </c>
      <c r="T74" s="10" t="s">
        <v>68</v>
      </c>
      <c r="U74" s="10">
        <v>4</v>
      </c>
      <c r="V74" s="10">
        <v>145.31</v>
      </c>
      <c r="W74" s="10" t="s">
        <v>710</v>
      </c>
      <c r="X74" s="17">
        <v>45172</v>
      </c>
      <c r="Y74" s="17">
        <v>45172</v>
      </c>
      <c r="Z74" s="19" t="s">
        <v>772</v>
      </c>
      <c r="AA74" s="207">
        <v>41900</v>
      </c>
      <c r="AB74" s="9">
        <v>48</v>
      </c>
      <c r="AC74" s="9">
        <v>45</v>
      </c>
      <c r="AD74" s="17">
        <v>46629</v>
      </c>
      <c r="AE74" s="54">
        <v>748</v>
      </c>
      <c r="AF74" s="54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9"/>
      <c r="BA74" s="22"/>
      <c r="BB74" s="22"/>
      <c r="BD74" s="9"/>
      <c r="CS74" s="11">
        <f t="shared" si="8"/>
        <v>0</v>
      </c>
      <c r="CT74" s="22">
        <f t="shared" si="9"/>
        <v>0</v>
      </c>
      <c r="CU74" s="22">
        <f t="shared" si="10"/>
        <v>0</v>
      </c>
      <c r="CV74" s="26">
        <f t="shared" si="11"/>
        <v>748</v>
      </c>
    </row>
    <row r="75" spans="1:100" x14ac:dyDescent="0.2">
      <c r="A75" s="9" t="s">
        <v>3242</v>
      </c>
      <c r="B75" s="2">
        <v>24</v>
      </c>
      <c r="C75" s="186" t="s">
        <v>95</v>
      </c>
      <c r="D75" s="186" t="s">
        <v>96</v>
      </c>
      <c r="E75" s="185"/>
      <c r="F75" s="185"/>
      <c r="G75" s="2" t="s">
        <v>68</v>
      </c>
      <c r="H75" s="2">
        <v>4</v>
      </c>
      <c r="I75" s="20">
        <v>145.31</v>
      </c>
      <c r="J75" s="20">
        <v>42900</v>
      </c>
      <c r="K75" s="3">
        <v>0</v>
      </c>
      <c r="L75" s="3" t="s">
        <v>3</v>
      </c>
      <c r="M75" s="9" t="s">
        <v>0</v>
      </c>
      <c r="N75" s="9">
        <v>73176828</v>
      </c>
      <c r="O75" s="9" t="s">
        <v>3241</v>
      </c>
      <c r="S75" s="9" t="s">
        <v>158</v>
      </c>
      <c r="T75" s="10" t="s">
        <v>68</v>
      </c>
      <c r="U75" s="10">
        <v>4</v>
      </c>
      <c r="V75" s="10">
        <v>145.31</v>
      </c>
      <c r="W75" s="10" t="s">
        <v>710</v>
      </c>
      <c r="X75" s="17">
        <v>45172</v>
      </c>
      <c r="Y75" s="17">
        <v>45172</v>
      </c>
      <c r="Z75" s="19" t="s">
        <v>772</v>
      </c>
      <c r="AA75" s="207">
        <v>41900</v>
      </c>
      <c r="AB75" s="9">
        <v>48</v>
      </c>
      <c r="AC75" s="9">
        <v>46</v>
      </c>
      <c r="AD75" s="17">
        <v>46660</v>
      </c>
      <c r="AE75" s="54">
        <v>748</v>
      </c>
      <c r="AF75" s="54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9"/>
      <c r="BA75" s="22"/>
      <c r="BB75" s="22"/>
      <c r="BD75" s="9"/>
      <c r="CS75" s="11">
        <f t="shared" si="8"/>
        <v>0</v>
      </c>
      <c r="CT75" s="22">
        <f t="shared" si="9"/>
        <v>0</v>
      </c>
      <c r="CU75" s="22">
        <f t="shared" si="10"/>
        <v>0</v>
      </c>
      <c r="CV75" s="26">
        <f t="shared" si="11"/>
        <v>748</v>
      </c>
    </row>
    <row r="76" spans="1:100" x14ac:dyDescent="0.2">
      <c r="A76" s="9" t="s">
        <v>3242</v>
      </c>
      <c r="B76" s="2">
        <v>24</v>
      </c>
      <c r="C76" s="186" t="s">
        <v>95</v>
      </c>
      <c r="D76" s="186" t="s">
        <v>96</v>
      </c>
      <c r="E76" s="185"/>
      <c r="F76" s="185"/>
      <c r="G76" s="2" t="s">
        <v>68</v>
      </c>
      <c r="H76" s="2">
        <v>4</v>
      </c>
      <c r="I76" s="20">
        <v>145.31</v>
      </c>
      <c r="J76" s="20">
        <v>42900</v>
      </c>
      <c r="K76" s="3">
        <v>0</v>
      </c>
      <c r="L76" s="3" t="s">
        <v>3</v>
      </c>
      <c r="M76" s="9" t="s">
        <v>0</v>
      </c>
      <c r="N76" s="9">
        <v>73176828</v>
      </c>
      <c r="O76" s="9" t="s">
        <v>3241</v>
      </c>
      <c r="S76" s="9" t="s">
        <v>158</v>
      </c>
      <c r="T76" s="10" t="s">
        <v>68</v>
      </c>
      <c r="U76" s="10">
        <v>4</v>
      </c>
      <c r="V76" s="10">
        <v>145.31</v>
      </c>
      <c r="W76" s="10" t="s">
        <v>710</v>
      </c>
      <c r="X76" s="17">
        <v>45172</v>
      </c>
      <c r="Y76" s="17">
        <v>45172</v>
      </c>
      <c r="Z76" s="19" t="s">
        <v>772</v>
      </c>
      <c r="AA76" s="207">
        <v>41900</v>
      </c>
      <c r="AB76" s="9">
        <v>48</v>
      </c>
      <c r="AC76" s="9">
        <v>47</v>
      </c>
      <c r="AD76" s="17">
        <v>46690</v>
      </c>
      <c r="AE76" s="54">
        <v>748</v>
      </c>
      <c r="AF76" s="54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9"/>
      <c r="BA76" s="22"/>
      <c r="BB76" s="22"/>
      <c r="BD76" s="9"/>
      <c r="CS76" s="11">
        <f t="shared" si="8"/>
        <v>0</v>
      </c>
      <c r="CT76" s="22">
        <f t="shared" si="9"/>
        <v>0</v>
      </c>
      <c r="CU76" s="22">
        <f t="shared" si="10"/>
        <v>0</v>
      </c>
      <c r="CV76" s="26">
        <f t="shared" si="11"/>
        <v>748</v>
      </c>
    </row>
    <row r="77" spans="1:100" x14ac:dyDescent="0.2">
      <c r="A77" s="9" t="s">
        <v>3242</v>
      </c>
      <c r="B77" s="2">
        <v>24</v>
      </c>
      <c r="C77" s="186" t="s">
        <v>95</v>
      </c>
      <c r="D77" s="186" t="s">
        <v>96</v>
      </c>
      <c r="E77" s="185"/>
      <c r="F77" s="185"/>
      <c r="G77" s="2" t="s">
        <v>68</v>
      </c>
      <c r="H77" s="2">
        <v>4</v>
      </c>
      <c r="I77" s="20">
        <v>145.31</v>
      </c>
      <c r="J77" s="20">
        <v>42900</v>
      </c>
      <c r="K77" s="3">
        <v>0</v>
      </c>
      <c r="L77" s="3" t="s">
        <v>3</v>
      </c>
      <c r="M77" s="9" t="s">
        <v>0</v>
      </c>
      <c r="N77" s="9">
        <v>73176828</v>
      </c>
      <c r="O77" s="9" t="s">
        <v>3241</v>
      </c>
      <c r="S77" s="9" t="s">
        <v>158</v>
      </c>
      <c r="T77" s="10" t="s">
        <v>68</v>
      </c>
      <c r="U77" s="10">
        <v>4</v>
      </c>
      <c r="V77" s="10">
        <v>145.31</v>
      </c>
      <c r="W77" s="10" t="s">
        <v>710</v>
      </c>
      <c r="X77" s="17">
        <v>45172</v>
      </c>
      <c r="Y77" s="17">
        <v>45172</v>
      </c>
      <c r="Z77" s="19" t="s">
        <v>772</v>
      </c>
      <c r="AA77" s="207">
        <v>41900</v>
      </c>
      <c r="AB77" s="9">
        <v>48</v>
      </c>
      <c r="AC77" s="9">
        <v>48</v>
      </c>
      <c r="AD77" s="17">
        <v>46721</v>
      </c>
      <c r="AE77" s="54">
        <v>744</v>
      </c>
      <c r="AF77" s="54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17"/>
      <c r="BA77" s="22"/>
      <c r="BB77" s="22"/>
      <c r="BD77" s="9"/>
      <c r="CS77" s="11">
        <f t="shared" si="8"/>
        <v>0</v>
      </c>
      <c r="CT77" s="22">
        <f t="shared" si="9"/>
        <v>0</v>
      </c>
      <c r="CU77" s="22">
        <f t="shared" si="10"/>
        <v>0</v>
      </c>
      <c r="CV77" s="26">
        <f t="shared" si="11"/>
        <v>744</v>
      </c>
    </row>
    <row r="78" spans="1:100" x14ac:dyDescent="0.2">
      <c r="A78" s="9" t="s">
        <v>3242</v>
      </c>
      <c r="B78" s="2">
        <v>24</v>
      </c>
      <c r="C78" s="186" t="s">
        <v>95</v>
      </c>
      <c r="D78" s="186" t="s">
        <v>96</v>
      </c>
      <c r="E78" s="185"/>
      <c r="F78" s="185"/>
      <c r="G78" s="2" t="s">
        <v>68</v>
      </c>
      <c r="H78" s="2">
        <v>4</v>
      </c>
      <c r="I78" s="20">
        <v>145.31</v>
      </c>
      <c r="J78" s="20">
        <v>42900</v>
      </c>
      <c r="K78" s="3">
        <v>0</v>
      </c>
      <c r="L78" s="3" t="s">
        <v>3</v>
      </c>
      <c r="M78" s="9" t="s">
        <v>0</v>
      </c>
      <c r="N78" s="9">
        <v>73176828</v>
      </c>
      <c r="O78" s="9" t="s">
        <v>3241</v>
      </c>
      <c r="S78" s="9" t="s">
        <v>3277</v>
      </c>
      <c r="V78" s="10">
        <v>12.5</v>
      </c>
      <c r="W78" s="10" t="s">
        <v>710</v>
      </c>
      <c r="X78" s="17">
        <v>45940</v>
      </c>
      <c r="Y78" s="17">
        <v>45933</v>
      </c>
      <c r="Z78" s="19" t="s">
        <v>772</v>
      </c>
      <c r="AA78" s="207">
        <v>5000</v>
      </c>
      <c r="AB78" s="9"/>
      <c r="AC78" s="9">
        <v>0</v>
      </c>
      <c r="AD78" s="17">
        <v>45928</v>
      </c>
      <c r="AE78" s="54">
        <v>28.32</v>
      </c>
      <c r="AF78" s="54"/>
      <c r="AH78" s="17">
        <v>45928</v>
      </c>
      <c r="AI78" s="9">
        <v>73176828</v>
      </c>
      <c r="AJ78" s="9" t="s">
        <v>3241</v>
      </c>
      <c r="AK78" s="9" t="s">
        <v>3278</v>
      </c>
      <c r="AL78" s="22">
        <v>28.32</v>
      </c>
      <c r="AM78" s="22"/>
      <c r="AN78" s="22" t="s">
        <v>1389</v>
      </c>
      <c r="AO78" s="22"/>
      <c r="AP78" s="22"/>
      <c r="AQ78" s="22"/>
      <c r="AR78" s="22"/>
      <c r="AS78" s="22"/>
      <c r="AT78" s="22"/>
      <c r="AU78" s="22"/>
      <c r="AV78" s="22"/>
      <c r="AW78" s="17">
        <v>45928</v>
      </c>
      <c r="AX78" s="9" t="s">
        <v>3286</v>
      </c>
      <c r="AY78" s="9">
        <v>100</v>
      </c>
      <c r="AZ78" s="9">
        <v>3.53</v>
      </c>
      <c r="BA78" s="22">
        <f>+AY78/AZ78</f>
        <v>28.328611898016998</v>
      </c>
      <c r="BB78" s="22" t="s">
        <v>3287</v>
      </c>
      <c r="BD78" s="9"/>
      <c r="CS78" s="11">
        <f t="shared" si="8"/>
        <v>28.32</v>
      </c>
      <c r="CT78" s="22">
        <f t="shared" si="9"/>
        <v>28.328611898016998</v>
      </c>
      <c r="CU78" s="22">
        <f>+CS78-CT78</f>
        <v>-8.6118980169977988E-3</v>
      </c>
      <c r="CV78" s="26">
        <f t="shared" si="11"/>
        <v>0</v>
      </c>
    </row>
    <row r="79" spans="1:100" x14ac:dyDescent="0.2">
      <c r="A79" s="9" t="s">
        <v>3242</v>
      </c>
      <c r="B79" s="2">
        <v>24</v>
      </c>
      <c r="C79" s="186" t="s">
        <v>95</v>
      </c>
      <c r="D79" s="186" t="s">
        <v>96</v>
      </c>
      <c r="E79" s="185"/>
      <c r="F79" s="185"/>
      <c r="G79" s="2" t="s">
        <v>68</v>
      </c>
      <c r="H79" s="2">
        <v>4</v>
      </c>
      <c r="I79" s="20">
        <v>145.31</v>
      </c>
      <c r="J79" s="20">
        <v>42900</v>
      </c>
      <c r="K79" s="3">
        <v>0</v>
      </c>
      <c r="L79" s="3" t="s">
        <v>3</v>
      </c>
      <c r="M79" s="9" t="s">
        <v>0</v>
      </c>
      <c r="N79" s="9">
        <v>73176828</v>
      </c>
      <c r="O79" s="9" t="s">
        <v>3241</v>
      </c>
      <c r="S79" s="9" t="s">
        <v>3277</v>
      </c>
      <c r="V79" s="10">
        <v>12.5</v>
      </c>
      <c r="W79" s="10" t="s">
        <v>710</v>
      </c>
      <c r="X79" s="17">
        <v>45940</v>
      </c>
      <c r="Y79" s="17">
        <v>45933</v>
      </c>
      <c r="Z79" s="19" t="s">
        <v>772</v>
      </c>
      <c r="AA79" s="207">
        <v>5000</v>
      </c>
      <c r="AB79" s="9"/>
      <c r="AC79" s="9">
        <v>0</v>
      </c>
      <c r="AD79" s="17">
        <v>45933</v>
      </c>
      <c r="AE79" s="54">
        <v>471.68</v>
      </c>
      <c r="AF79" s="54"/>
      <c r="AH79" s="17">
        <v>45933</v>
      </c>
      <c r="AI79" s="9">
        <v>73176828</v>
      </c>
      <c r="AJ79" s="9" t="s">
        <v>3241</v>
      </c>
      <c r="AK79" s="9" t="s">
        <v>3279</v>
      </c>
      <c r="AL79" s="22">
        <v>471.68</v>
      </c>
      <c r="AM79" s="22"/>
      <c r="AN79" s="22" t="s">
        <v>3261</v>
      </c>
      <c r="AO79" s="22"/>
      <c r="AP79" s="22"/>
      <c r="AQ79" s="22"/>
      <c r="AR79" s="22"/>
      <c r="AS79" s="22"/>
      <c r="AT79" s="22"/>
      <c r="AU79" s="22"/>
      <c r="AV79" s="22"/>
      <c r="AW79" s="17">
        <v>45933</v>
      </c>
      <c r="AX79" s="9">
        <v>4860</v>
      </c>
      <c r="BA79" s="22">
        <v>471.68</v>
      </c>
      <c r="BB79" s="22" t="s">
        <v>3287</v>
      </c>
      <c r="BD79" s="9"/>
      <c r="CS79" s="11">
        <f t="shared" si="8"/>
        <v>471.68</v>
      </c>
      <c r="CT79" s="22">
        <f t="shared" si="9"/>
        <v>471.68</v>
      </c>
      <c r="CU79" s="22">
        <f t="shared" si="10"/>
        <v>0</v>
      </c>
      <c r="CV79" s="26">
        <f t="shared" si="11"/>
        <v>0</v>
      </c>
    </row>
    <row r="80" spans="1:100" x14ac:dyDescent="0.2">
      <c r="A80" s="9" t="s">
        <v>3242</v>
      </c>
      <c r="B80" s="2">
        <v>24</v>
      </c>
      <c r="C80" s="186" t="s">
        <v>95</v>
      </c>
      <c r="D80" s="186" t="s">
        <v>96</v>
      </c>
      <c r="E80" s="185"/>
      <c r="F80" s="185"/>
      <c r="G80" s="2" t="s">
        <v>68</v>
      </c>
      <c r="H80" s="2">
        <v>4</v>
      </c>
      <c r="I80" s="20">
        <v>145.31</v>
      </c>
      <c r="J80" s="20">
        <v>42900</v>
      </c>
      <c r="K80" s="3">
        <v>0</v>
      </c>
      <c r="L80" s="3" t="s">
        <v>3</v>
      </c>
      <c r="M80" s="9" t="s">
        <v>0</v>
      </c>
      <c r="N80" s="9">
        <v>73176828</v>
      </c>
      <c r="O80" s="9" t="s">
        <v>3241</v>
      </c>
      <c r="S80" s="9" t="s">
        <v>3277</v>
      </c>
      <c r="V80" s="10">
        <v>12.5</v>
      </c>
      <c r="W80" s="10" t="s">
        <v>710</v>
      </c>
      <c r="X80" s="17">
        <v>45940</v>
      </c>
      <c r="Y80" s="17">
        <v>45933</v>
      </c>
      <c r="Z80" s="19" t="s">
        <v>772</v>
      </c>
      <c r="AA80" s="207">
        <v>5000</v>
      </c>
      <c r="AB80" s="9"/>
      <c r="AC80" s="9">
        <v>1</v>
      </c>
      <c r="AD80" s="17">
        <v>45940</v>
      </c>
      <c r="AE80" s="54">
        <v>4500</v>
      </c>
      <c r="AF80" s="54"/>
      <c r="AH80" s="17">
        <v>45940</v>
      </c>
      <c r="AI80" s="9">
        <v>73176828</v>
      </c>
      <c r="AJ80" s="9" t="s">
        <v>3241</v>
      </c>
      <c r="AK80" s="9" t="s">
        <v>3280</v>
      </c>
      <c r="AL80" s="22">
        <v>4500</v>
      </c>
      <c r="AM80" s="22"/>
      <c r="AN80" s="22" t="s">
        <v>3263</v>
      </c>
      <c r="AO80" s="22"/>
      <c r="AP80" s="22"/>
      <c r="AQ80" s="22"/>
      <c r="AR80" s="22"/>
      <c r="AS80" s="22"/>
      <c r="AT80" s="22"/>
      <c r="AU80" s="22"/>
      <c r="AV80" s="22"/>
      <c r="AW80" s="17">
        <v>45940</v>
      </c>
      <c r="AX80" s="9">
        <v>4916</v>
      </c>
      <c r="BA80" s="22">
        <f>7890-4500</f>
        <v>3390</v>
      </c>
      <c r="BB80" s="22" t="s">
        <v>3287</v>
      </c>
      <c r="BC80" s="17">
        <v>45940</v>
      </c>
      <c r="BD80" s="9" t="s">
        <v>3288</v>
      </c>
      <c r="BG80" s="9">
        <v>1110</v>
      </c>
      <c r="CS80" s="11">
        <f t="shared" si="8"/>
        <v>4500</v>
      </c>
      <c r="CT80" s="22">
        <f t="shared" si="9"/>
        <v>4500</v>
      </c>
      <c r="CU80" s="22">
        <f t="shared" si="10"/>
        <v>0</v>
      </c>
      <c r="CV80" s="26">
        <f t="shared" si="11"/>
        <v>0</v>
      </c>
    </row>
    <row r="81" spans="1:100" x14ac:dyDescent="0.2">
      <c r="A81" s="9" t="s">
        <v>3430</v>
      </c>
      <c r="B81" s="2">
        <v>140</v>
      </c>
      <c r="C81" s="3" t="s">
        <v>95</v>
      </c>
      <c r="D81" s="3" t="s">
        <v>96</v>
      </c>
      <c r="E81" s="2"/>
      <c r="F81" s="2"/>
      <c r="G81" s="2" t="s">
        <v>84</v>
      </c>
      <c r="H81" s="2">
        <v>3</v>
      </c>
      <c r="I81" s="20">
        <v>120.12</v>
      </c>
      <c r="J81" s="20">
        <v>35900</v>
      </c>
      <c r="K81" s="3">
        <v>0</v>
      </c>
      <c r="L81" s="3" t="s">
        <v>3</v>
      </c>
      <c r="M81" s="9" t="s">
        <v>0</v>
      </c>
      <c r="N81" s="9" t="s">
        <v>6</v>
      </c>
      <c r="O81" s="9" t="s">
        <v>3429</v>
      </c>
      <c r="S81" s="9" t="s">
        <v>158</v>
      </c>
      <c r="T81" s="187" t="s">
        <v>84</v>
      </c>
      <c r="U81" s="187">
        <v>3</v>
      </c>
      <c r="V81" s="187">
        <v>120.12</v>
      </c>
      <c r="W81" s="10" t="s">
        <v>710</v>
      </c>
      <c r="X81" s="17">
        <v>44699</v>
      </c>
      <c r="Y81" s="17">
        <v>44944</v>
      </c>
      <c r="Z81" s="19" t="s">
        <v>772</v>
      </c>
      <c r="AA81" s="207">
        <v>32000</v>
      </c>
      <c r="AB81" s="9">
        <v>12</v>
      </c>
      <c r="AC81" s="9">
        <v>0</v>
      </c>
      <c r="AD81" s="17">
        <v>44699</v>
      </c>
      <c r="AE81" s="54">
        <v>2000</v>
      </c>
      <c r="AF81" s="54"/>
      <c r="AH81" s="17">
        <v>44699</v>
      </c>
      <c r="AI81" s="9">
        <v>45086870</v>
      </c>
      <c r="AJ81" s="9" t="s">
        <v>3464</v>
      </c>
      <c r="AK81" s="9" t="s">
        <v>3448</v>
      </c>
      <c r="AL81" s="22">
        <v>2000</v>
      </c>
      <c r="AM81" s="22"/>
      <c r="AN81" s="22" t="s">
        <v>3432</v>
      </c>
      <c r="AO81" s="22"/>
      <c r="AP81" s="9"/>
      <c r="AQ81" s="9"/>
      <c r="AR81" s="9"/>
      <c r="AS81" s="9"/>
      <c r="AT81" s="9"/>
      <c r="AU81" s="9"/>
      <c r="AV81" s="9"/>
      <c r="AW81" s="17">
        <v>44700</v>
      </c>
      <c r="AX81" s="9">
        <v>651</v>
      </c>
      <c r="BA81" s="22">
        <v>2000</v>
      </c>
      <c r="BB81" s="22"/>
      <c r="BD81" s="9"/>
      <c r="CS81" s="22">
        <f t="shared" si="8"/>
        <v>2000</v>
      </c>
      <c r="CT81" s="22">
        <f t="shared" si="9"/>
        <v>2000</v>
      </c>
      <c r="CU81" s="22">
        <f t="shared" si="10"/>
        <v>0</v>
      </c>
      <c r="CV81" s="26">
        <f t="shared" si="11"/>
        <v>0</v>
      </c>
    </row>
    <row r="82" spans="1:100" x14ac:dyDescent="0.2">
      <c r="A82" s="9" t="s">
        <v>3430</v>
      </c>
      <c r="B82" s="2">
        <v>140</v>
      </c>
      <c r="C82" s="3" t="s">
        <v>95</v>
      </c>
      <c r="D82" s="3" t="s">
        <v>96</v>
      </c>
      <c r="E82" s="2"/>
      <c r="F82" s="2"/>
      <c r="G82" s="2" t="s">
        <v>84</v>
      </c>
      <c r="H82" s="2">
        <v>3</v>
      </c>
      <c r="I82" s="20">
        <v>120.12</v>
      </c>
      <c r="J82" s="20">
        <v>35900</v>
      </c>
      <c r="K82" s="3">
        <v>0</v>
      </c>
      <c r="L82" s="3" t="s">
        <v>3</v>
      </c>
      <c r="M82" s="9" t="s">
        <v>0</v>
      </c>
      <c r="N82" s="9" t="s">
        <v>6</v>
      </c>
      <c r="O82" s="9" t="s">
        <v>3429</v>
      </c>
      <c r="S82" s="9" t="s">
        <v>158</v>
      </c>
      <c r="T82" s="187" t="s">
        <v>84</v>
      </c>
      <c r="U82" s="187">
        <v>3</v>
      </c>
      <c r="V82" s="187">
        <v>120.12</v>
      </c>
      <c r="W82" s="10" t="s">
        <v>710</v>
      </c>
      <c r="X82" s="17">
        <v>44699</v>
      </c>
      <c r="Y82" s="17">
        <v>44944</v>
      </c>
      <c r="Z82" s="19" t="s">
        <v>772</v>
      </c>
      <c r="AA82" s="207">
        <v>32000</v>
      </c>
      <c r="AB82" s="9">
        <v>12</v>
      </c>
      <c r="AC82" s="9">
        <v>0</v>
      </c>
      <c r="AD82" s="17">
        <v>44700</v>
      </c>
      <c r="AE82" s="54">
        <v>3000</v>
      </c>
      <c r="AF82" s="54"/>
      <c r="AH82" s="17">
        <v>44699</v>
      </c>
      <c r="AI82" s="9">
        <v>45086870</v>
      </c>
      <c r="AJ82" s="9" t="s">
        <v>3464</v>
      </c>
      <c r="AK82" s="9" t="s">
        <v>3449</v>
      </c>
      <c r="AL82" s="22">
        <v>2000</v>
      </c>
      <c r="AM82" s="22"/>
      <c r="AN82" s="22" t="s">
        <v>3433</v>
      </c>
      <c r="AO82" s="17" t="s">
        <v>134</v>
      </c>
      <c r="AP82" s="17">
        <v>44700</v>
      </c>
      <c r="AQ82" s="9">
        <v>45086870</v>
      </c>
      <c r="AR82" s="9" t="s">
        <v>3464</v>
      </c>
      <c r="AS82" s="9" t="s">
        <v>3450</v>
      </c>
      <c r="AT82" s="22">
        <v>1000</v>
      </c>
      <c r="AU82" s="9"/>
      <c r="AV82" s="22" t="s">
        <v>3434</v>
      </c>
      <c r="AW82" s="17">
        <v>44699</v>
      </c>
      <c r="AX82" s="9">
        <v>647</v>
      </c>
      <c r="BA82" s="22">
        <v>2000</v>
      </c>
      <c r="BB82" s="22"/>
      <c r="BC82" s="17">
        <v>44700</v>
      </c>
      <c r="BD82" s="9">
        <v>649</v>
      </c>
      <c r="BG82" s="22">
        <v>1000</v>
      </c>
      <c r="CS82" s="22">
        <f t="shared" si="8"/>
        <v>3000</v>
      </c>
      <c r="CT82" s="22">
        <f t="shared" si="9"/>
        <v>3000</v>
      </c>
      <c r="CU82" s="22">
        <f t="shared" si="10"/>
        <v>0</v>
      </c>
      <c r="CV82" s="26">
        <f t="shared" si="11"/>
        <v>0</v>
      </c>
    </row>
    <row r="83" spans="1:100" x14ac:dyDescent="0.2">
      <c r="A83" s="9" t="s">
        <v>3430</v>
      </c>
      <c r="B83" s="2">
        <v>140</v>
      </c>
      <c r="C83" s="3" t="s">
        <v>95</v>
      </c>
      <c r="D83" s="3" t="s">
        <v>96</v>
      </c>
      <c r="E83" s="2"/>
      <c r="F83" s="2"/>
      <c r="G83" s="2" t="s">
        <v>84</v>
      </c>
      <c r="H83" s="2">
        <v>3</v>
      </c>
      <c r="I83" s="20">
        <v>120.12</v>
      </c>
      <c r="J83" s="20">
        <v>35900</v>
      </c>
      <c r="K83" s="3">
        <v>0</v>
      </c>
      <c r="L83" s="3" t="s">
        <v>3</v>
      </c>
      <c r="M83" s="9" t="s">
        <v>0</v>
      </c>
      <c r="N83" s="9" t="s">
        <v>6</v>
      </c>
      <c r="O83" s="9" t="s">
        <v>3429</v>
      </c>
      <c r="S83" s="9" t="s">
        <v>158</v>
      </c>
      <c r="T83" s="187" t="s">
        <v>84</v>
      </c>
      <c r="U83" s="187">
        <v>3</v>
      </c>
      <c r="V83" s="187">
        <v>120.12</v>
      </c>
      <c r="W83" s="10" t="s">
        <v>710</v>
      </c>
      <c r="X83" s="17">
        <v>44699</v>
      </c>
      <c r="Y83" s="17">
        <v>44944</v>
      </c>
      <c r="Z83" s="19" t="s">
        <v>772</v>
      </c>
      <c r="AA83" s="207">
        <v>32000</v>
      </c>
      <c r="AB83" s="9">
        <v>12</v>
      </c>
      <c r="AC83" s="9">
        <v>1</v>
      </c>
      <c r="AD83" s="17">
        <v>44757</v>
      </c>
      <c r="AE83" s="54">
        <v>1000</v>
      </c>
      <c r="AF83" s="54"/>
      <c r="AH83" s="17">
        <v>44756</v>
      </c>
      <c r="AI83" s="9">
        <v>45086870</v>
      </c>
      <c r="AJ83" s="9" t="s">
        <v>3464</v>
      </c>
      <c r="AK83" s="9" t="s">
        <v>3453</v>
      </c>
      <c r="AL83" s="22">
        <v>1000</v>
      </c>
      <c r="AM83" s="22"/>
      <c r="AN83" s="22" t="s">
        <v>3437</v>
      </c>
      <c r="AO83" s="9"/>
      <c r="AP83" s="9"/>
      <c r="AQ83" s="9"/>
      <c r="AR83" s="9"/>
      <c r="AS83" s="9"/>
      <c r="AT83" s="9"/>
      <c r="AU83" s="9"/>
      <c r="AV83" s="9"/>
      <c r="AW83" s="17">
        <v>44755</v>
      </c>
      <c r="AX83" s="9">
        <v>792</v>
      </c>
      <c r="BA83" s="9">
        <v>1000</v>
      </c>
      <c r="BB83" s="22"/>
      <c r="BD83" s="9"/>
      <c r="CS83" s="22">
        <f t="shared" si="8"/>
        <v>1000</v>
      </c>
      <c r="CT83" s="22">
        <f t="shared" si="9"/>
        <v>1000</v>
      </c>
      <c r="CU83" s="22">
        <f t="shared" si="10"/>
        <v>0</v>
      </c>
      <c r="CV83" s="26">
        <f t="shared" si="11"/>
        <v>0</v>
      </c>
    </row>
    <row r="84" spans="1:100" x14ac:dyDescent="0.2">
      <c r="A84" s="9" t="s">
        <v>3430</v>
      </c>
      <c r="B84" s="2">
        <v>140</v>
      </c>
      <c r="C84" s="3" t="s">
        <v>95</v>
      </c>
      <c r="D84" s="3" t="s">
        <v>96</v>
      </c>
      <c r="E84" s="2"/>
      <c r="F84" s="2"/>
      <c r="G84" s="2" t="s">
        <v>84</v>
      </c>
      <c r="H84" s="2">
        <v>3</v>
      </c>
      <c r="I84" s="20">
        <v>120.12</v>
      </c>
      <c r="J84" s="20">
        <v>35900</v>
      </c>
      <c r="K84" s="3">
        <v>0</v>
      </c>
      <c r="L84" s="3" t="s">
        <v>3</v>
      </c>
      <c r="M84" s="9" t="s">
        <v>0</v>
      </c>
      <c r="N84" s="9" t="s">
        <v>6</v>
      </c>
      <c r="O84" s="9" t="s">
        <v>3429</v>
      </c>
      <c r="S84" s="9" t="s">
        <v>158</v>
      </c>
      <c r="T84" s="187" t="s">
        <v>84</v>
      </c>
      <c r="U84" s="187">
        <v>3</v>
      </c>
      <c r="V84" s="187">
        <v>120.12</v>
      </c>
      <c r="W84" s="10" t="s">
        <v>710</v>
      </c>
      <c r="X84" s="17">
        <v>44699</v>
      </c>
      <c r="Y84" s="17">
        <v>44944</v>
      </c>
      <c r="Z84" s="19" t="s">
        <v>772</v>
      </c>
      <c r="AA84" s="207">
        <v>32000</v>
      </c>
      <c r="AB84" s="9">
        <v>12</v>
      </c>
      <c r="AC84" s="9">
        <v>2</v>
      </c>
      <c r="AD84" s="17">
        <v>44788</v>
      </c>
      <c r="AE84" s="54">
        <v>1000</v>
      </c>
      <c r="AF84" s="54"/>
      <c r="AH84" s="17">
        <v>44790</v>
      </c>
      <c r="AI84" s="9">
        <v>45086870</v>
      </c>
      <c r="AJ84" s="9" t="s">
        <v>3464</v>
      </c>
      <c r="AK84" s="9" t="s">
        <v>3455</v>
      </c>
      <c r="AL84" s="22">
        <v>1000</v>
      </c>
      <c r="AM84" s="22"/>
      <c r="AN84" s="22" t="s">
        <v>3439</v>
      </c>
      <c r="AO84" s="22"/>
      <c r="AP84" s="9"/>
      <c r="AQ84" s="9"/>
      <c r="AR84" s="9"/>
      <c r="AS84" s="9"/>
      <c r="AT84" s="9"/>
      <c r="AU84" s="9"/>
      <c r="AV84" s="9"/>
      <c r="AW84" s="17">
        <v>44784</v>
      </c>
      <c r="AX84" s="9">
        <v>845</v>
      </c>
      <c r="BA84" s="22">
        <v>1000</v>
      </c>
      <c r="BB84" s="22"/>
      <c r="BD84" s="9"/>
      <c r="CS84" s="22">
        <f t="shared" si="8"/>
        <v>1000</v>
      </c>
      <c r="CT84" s="22">
        <f t="shared" si="9"/>
        <v>1000</v>
      </c>
      <c r="CU84" s="22">
        <f t="shared" si="10"/>
        <v>0</v>
      </c>
      <c r="CV84" s="26">
        <f t="shared" si="11"/>
        <v>0</v>
      </c>
    </row>
    <row r="85" spans="1:100" x14ac:dyDescent="0.2">
      <c r="A85" s="9" t="s">
        <v>3430</v>
      </c>
      <c r="B85" s="2">
        <v>140</v>
      </c>
      <c r="C85" s="3" t="s">
        <v>95</v>
      </c>
      <c r="D85" s="3" t="s">
        <v>96</v>
      </c>
      <c r="E85" s="2"/>
      <c r="F85" s="2"/>
      <c r="G85" s="2" t="s">
        <v>84</v>
      </c>
      <c r="H85" s="2">
        <v>3</v>
      </c>
      <c r="I85" s="20">
        <v>120.12</v>
      </c>
      <c r="J85" s="20">
        <v>35900</v>
      </c>
      <c r="K85" s="3">
        <v>0</v>
      </c>
      <c r="L85" s="3" t="s">
        <v>3</v>
      </c>
      <c r="M85" s="9" t="s">
        <v>0</v>
      </c>
      <c r="N85" s="9" t="s">
        <v>6</v>
      </c>
      <c r="O85" s="9" t="s">
        <v>3429</v>
      </c>
      <c r="S85" s="9" t="s">
        <v>158</v>
      </c>
      <c r="T85" s="187" t="s">
        <v>84</v>
      </c>
      <c r="U85" s="187">
        <v>3</v>
      </c>
      <c r="V85" s="187">
        <v>120.12</v>
      </c>
      <c r="W85" s="10" t="s">
        <v>710</v>
      </c>
      <c r="X85" s="17">
        <v>44699</v>
      </c>
      <c r="Y85" s="17">
        <v>44944</v>
      </c>
      <c r="Z85" s="19" t="s">
        <v>772</v>
      </c>
      <c r="AA85" s="207">
        <v>32000</v>
      </c>
      <c r="AB85" s="9">
        <v>12</v>
      </c>
      <c r="AC85" s="9">
        <v>3</v>
      </c>
      <c r="AD85" s="17">
        <v>44819</v>
      </c>
      <c r="AE85" s="54">
        <v>1000</v>
      </c>
      <c r="AF85" s="54"/>
      <c r="AH85" s="17">
        <v>44818</v>
      </c>
      <c r="AI85" s="9">
        <v>45086870</v>
      </c>
      <c r="AJ85" s="9" t="s">
        <v>3464</v>
      </c>
      <c r="AK85" s="9" t="s">
        <v>3456</v>
      </c>
      <c r="AL85" s="22">
        <v>1000</v>
      </c>
      <c r="AM85" s="22"/>
      <c r="AN85" s="22" t="s">
        <v>3440</v>
      </c>
      <c r="AO85" s="22"/>
      <c r="AP85" s="9"/>
      <c r="AQ85" s="22"/>
      <c r="AR85" s="22"/>
      <c r="AS85" s="9"/>
      <c r="AT85" s="9"/>
      <c r="AU85" s="9"/>
      <c r="AV85" s="9"/>
      <c r="AW85" s="17">
        <v>44815</v>
      </c>
      <c r="AX85" s="9">
        <v>940</v>
      </c>
      <c r="BA85" s="22">
        <v>1000</v>
      </c>
      <c r="BB85" s="22"/>
      <c r="BD85" s="9"/>
      <c r="CS85" s="22">
        <f t="shared" si="8"/>
        <v>1000</v>
      </c>
      <c r="CT85" s="22">
        <f t="shared" si="9"/>
        <v>1000</v>
      </c>
      <c r="CU85" s="22">
        <f t="shared" si="10"/>
        <v>0</v>
      </c>
      <c r="CV85" s="26">
        <f t="shared" si="11"/>
        <v>0</v>
      </c>
    </row>
    <row r="86" spans="1:100" x14ac:dyDescent="0.2">
      <c r="A86" s="9" t="s">
        <v>3430</v>
      </c>
      <c r="B86" s="2">
        <v>140</v>
      </c>
      <c r="C86" s="3" t="s">
        <v>95</v>
      </c>
      <c r="D86" s="3" t="s">
        <v>96</v>
      </c>
      <c r="E86" s="2"/>
      <c r="F86" s="2"/>
      <c r="G86" s="2" t="s">
        <v>84</v>
      </c>
      <c r="H86" s="2">
        <v>3</v>
      </c>
      <c r="I86" s="20">
        <v>120.12</v>
      </c>
      <c r="J86" s="20">
        <v>35900</v>
      </c>
      <c r="K86" s="3">
        <v>0</v>
      </c>
      <c r="L86" s="3" t="s">
        <v>3</v>
      </c>
      <c r="M86" s="9" t="s">
        <v>0</v>
      </c>
      <c r="N86" s="9" t="s">
        <v>6</v>
      </c>
      <c r="O86" s="9" t="s">
        <v>3429</v>
      </c>
      <c r="S86" s="9" t="s">
        <v>158</v>
      </c>
      <c r="T86" s="187" t="s">
        <v>84</v>
      </c>
      <c r="U86" s="187">
        <v>3</v>
      </c>
      <c r="V86" s="187">
        <v>120.12</v>
      </c>
      <c r="W86" s="10" t="s">
        <v>710</v>
      </c>
      <c r="X86" s="17">
        <v>44699</v>
      </c>
      <c r="Y86" s="17">
        <v>44944</v>
      </c>
      <c r="Z86" s="19" t="s">
        <v>772</v>
      </c>
      <c r="AA86" s="207">
        <v>32000</v>
      </c>
      <c r="AB86" s="9">
        <v>12</v>
      </c>
      <c r="AC86" s="9">
        <v>4</v>
      </c>
      <c r="AD86" s="17">
        <v>44849</v>
      </c>
      <c r="AE86" s="54">
        <v>1000</v>
      </c>
      <c r="AF86" s="54"/>
      <c r="AH86" s="17">
        <v>44849</v>
      </c>
      <c r="AI86" s="9">
        <v>45086870</v>
      </c>
      <c r="AJ86" s="9" t="s">
        <v>3464</v>
      </c>
      <c r="AK86" s="9" t="s">
        <v>3459</v>
      </c>
      <c r="AL86" s="22">
        <v>1000</v>
      </c>
      <c r="AM86" s="22"/>
      <c r="AN86" s="22" t="s">
        <v>3443</v>
      </c>
      <c r="AO86" s="22"/>
      <c r="AP86" s="127"/>
      <c r="AQ86" s="22"/>
      <c r="AR86" s="22"/>
      <c r="AS86" s="22"/>
      <c r="AT86" s="22"/>
      <c r="AU86" s="22"/>
      <c r="AV86" s="22"/>
      <c r="AW86" s="17">
        <v>44848</v>
      </c>
      <c r="AX86" s="9">
        <v>1014</v>
      </c>
      <c r="BA86" s="22">
        <v>1000</v>
      </c>
      <c r="BB86" s="22"/>
      <c r="BD86" s="9"/>
      <c r="CS86" s="22">
        <f t="shared" si="8"/>
        <v>1000</v>
      </c>
      <c r="CT86" s="22">
        <f t="shared" si="9"/>
        <v>1000</v>
      </c>
      <c r="CU86" s="22">
        <f t="shared" si="10"/>
        <v>0</v>
      </c>
      <c r="CV86" s="26">
        <f t="shared" si="11"/>
        <v>0</v>
      </c>
    </row>
    <row r="87" spans="1:100" x14ac:dyDescent="0.2">
      <c r="A87" s="9" t="s">
        <v>3430</v>
      </c>
      <c r="B87" s="2">
        <v>140</v>
      </c>
      <c r="C87" s="3" t="s">
        <v>95</v>
      </c>
      <c r="D87" s="3" t="s">
        <v>96</v>
      </c>
      <c r="E87" s="2"/>
      <c r="F87" s="2"/>
      <c r="G87" s="2" t="s">
        <v>84</v>
      </c>
      <c r="H87" s="2">
        <v>3</v>
      </c>
      <c r="I87" s="20">
        <v>120.12</v>
      </c>
      <c r="J87" s="20">
        <v>35900</v>
      </c>
      <c r="K87" s="3">
        <v>0</v>
      </c>
      <c r="L87" s="3" t="s">
        <v>3</v>
      </c>
      <c r="M87" s="9" t="s">
        <v>0</v>
      </c>
      <c r="N87" s="9" t="s">
        <v>6</v>
      </c>
      <c r="O87" s="9" t="s">
        <v>3429</v>
      </c>
      <c r="S87" s="9" t="s">
        <v>158</v>
      </c>
      <c r="T87" s="187" t="s">
        <v>84</v>
      </c>
      <c r="U87" s="187">
        <v>3</v>
      </c>
      <c r="V87" s="187">
        <v>120.12</v>
      </c>
      <c r="W87" s="10" t="s">
        <v>710</v>
      </c>
      <c r="X87" s="17">
        <v>44699</v>
      </c>
      <c r="Y87" s="17">
        <v>44944</v>
      </c>
      <c r="Z87" s="19" t="s">
        <v>772</v>
      </c>
      <c r="AA87" s="207">
        <v>32000</v>
      </c>
      <c r="AB87" s="9">
        <v>12</v>
      </c>
      <c r="AC87" s="9">
        <v>5</v>
      </c>
      <c r="AD87" s="17">
        <v>44880</v>
      </c>
      <c r="AE87" s="54">
        <v>1000</v>
      </c>
      <c r="AF87" s="54"/>
      <c r="AH87" s="17">
        <v>44879</v>
      </c>
      <c r="AI87" s="9">
        <v>45086870</v>
      </c>
      <c r="AJ87" s="9" t="s">
        <v>3464</v>
      </c>
      <c r="AK87" s="9" t="s">
        <v>3460</v>
      </c>
      <c r="AL87" s="22">
        <v>1000</v>
      </c>
      <c r="AM87" s="22"/>
      <c r="AN87" s="22" t="s">
        <v>3444</v>
      </c>
      <c r="AO87" s="22"/>
      <c r="AP87" s="9"/>
      <c r="AQ87" s="9"/>
      <c r="AR87" s="9"/>
      <c r="AS87" s="9"/>
      <c r="AT87" s="9"/>
      <c r="AU87" s="9"/>
      <c r="AV87" s="9"/>
      <c r="AW87" s="17">
        <v>44877</v>
      </c>
      <c r="AX87" s="9">
        <v>1065</v>
      </c>
      <c r="BA87" s="22">
        <v>1000</v>
      </c>
      <c r="BB87" s="22"/>
      <c r="BD87" s="9"/>
      <c r="CS87" s="22">
        <f t="shared" si="8"/>
        <v>1000</v>
      </c>
      <c r="CT87" s="22">
        <f t="shared" si="9"/>
        <v>1000</v>
      </c>
      <c r="CU87" s="22">
        <f t="shared" si="10"/>
        <v>0</v>
      </c>
      <c r="CV87" s="26">
        <f t="shared" si="11"/>
        <v>0</v>
      </c>
    </row>
    <row r="88" spans="1:100" x14ac:dyDescent="0.2">
      <c r="A88" s="9" t="s">
        <v>3430</v>
      </c>
      <c r="B88" s="2">
        <v>140</v>
      </c>
      <c r="C88" s="3" t="s">
        <v>95</v>
      </c>
      <c r="D88" s="3" t="s">
        <v>96</v>
      </c>
      <c r="E88" s="2"/>
      <c r="F88" s="2"/>
      <c r="G88" s="2" t="s">
        <v>84</v>
      </c>
      <c r="H88" s="2">
        <v>3</v>
      </c>
      <c r="I88" s="20">
        <v>120.12</v>
      </c>
      <c r="J88" s="20">
        <v>35900</v>
      </c>
      <c r="K88" s="3">
        <v>0</v>
      </c>
      <c r="L88" s="3" t="s">
        <v>3</v>
      </c>
      <c r="M88" s="9" t="s">
        <v>0</v>
      </c>
      <c r="N88" s="9" t="s">
        <v>6</v>
      </c>
      <c r="O88" s="9" t="s">
        <v>3429</v>
      </c>
      <c r="S88" s="9" t="s">
        <v>158</v>
      </c>
      <c r="T88" s="187" t="s">
        <v>84</v>
      </c>
      <c r="U88" s="187">
        <v>3</v>
      </c>
      <c r="V88" s="187">
        <v>120.12</v>
      </c>
      <c r="W88" s="10" t="s">
        <v>710</v>
      </c>
      <c r="X88" s="17">
        <v>44699</v>
      </c>
      <c r="Y88" s="17">
        <v>44944</v>
      </c>
      <c r="Z88" s="19" t="s">
        <v>772</v>
      </c>
      <c r="AA88" s="207">
        <v>32000</v>
      </c>
      <c r="AB88" s="9">
        <v>12</v>
      </c>
      <c r="AC88" s="9">
        <v>6</v>
      </c>
      <c r="AD88" s="17">
        <v>44910</v>
      </c>
      <c r="AE88" s="54">
        <v>1000</v>
      </c>
      <c r="AF88" s="54"/>
      <c r="AH88" s="17">
        <v>44914</v>
      </c>
      <c r="AI88" s="9">
        <v>45086870</v>
      </c>
      <c r="AJ88" s="9" t="s">
        <v>3464</v>
      </c>
      <c r="AK88" s="9" t="s">
        <v>3462</v>
      </c>
      <c r="AL88" s="22">
        <v>1000</v>
      </c>
      <c r="AM88" s="22"/>
      <c r="AN88" s="22" t="s">
        <v>3446</v>
      </c>
      <c r="AO88" s="22"/>
      <c r="AP88" s="9"/>
      <c r="AQ88" s="9"/>
      <c r="AR88" s="9"/>
      <c r="AS88" s="9"/>
      <c r="AT88" s="9"/>
      <c r="AU88" s="9"/>
      <c r="AV88" s="9"/>
      <c r="AW88" s="17">
        <v>44910</v>
      </c>
      <c r="AX88" s="9">
        <v>1106</v>
      </c>
      <c r="BA88" s="22">
        <v>1000</v>
      </c>
      <c r="BB88" s="22"/>
      <c r="BD88" s="9"/>
      <c r="CS88" s="22">
        <f t="shared" si="8"/>
        <v>1000</v>
      </c>
      <c r="CT88" s="22">
        <f t="shared" si="9"/>
        <v>1000</v>
      </c>
      <c r="CU88" s="22">
        <f t="shared" si="10"/>
        <v>0</v>
      </c>
      <c r="CV88" s="26">
        <f t="shared" si="11"/>
        <v>0</v>
      </c>
    </row>
    <row r="89" spans="1:100" x14ac:dyDescent="0.2">
      <c r="A89" s="9" t="s">
        <v>3430</v>
      </c>
      <c r="B89" s="2">
        <v>140</v>
      </c>
      <c r="C89" s="3" t="s">
        <v>95</v>
      </c>
      <c r="D89" s="3" t="s">
        <v>96</v>
      </c>
      <c r="E89" s="2"/>
      <c r="F89" s="2"/>
      <c r="G89" s="2" t="s">
        <v>84</v>
      </c>
      <c r="H89" s="2">
        <v>3</v>
      </c>
      <c r="I89" s="20">
        <v>120.12</v>
      </c>
      <c r="J89" s="20">
        <v>35900</v>
      </c>
      <c r="K89" s="3">
        <v>0</v>
      </c>
      <c r="L89" s="3" t="s">
        <v>3</v>
      </c>
      <c r="M89" s="9" t="s">
        <v>0</v>
      </c>
      <c r="N89" s="9" t="s">
        <v>6</v>
      </c>
      <c r="O89" s="9" t="s">
        <v>3429</v>
      </c>
      <c r="S89" s="9" t="s">
        <v>158</v>
      </c>
      <c r="T89" s="187" t="s">
        <v>84</v>
      </c>
      <c r="U89" s="187">
        <v>3</v>
      </c>
      <c r="V89" s="187">
        <v>120.12</v>
      </c>
      <c r="W89" s="10" t="s">
        <v>710</v>
      </c>
      <c r="X89" s="17">
        <v>44699</v>
      </c>
      <c r="Y89" s="17">
        <v>44944</v>
      </c>
      <c r="Z89" s="19" t="s">
        <v>772</v>
      </c>
      <c r="AA89" s="207">
        <v>32000</v>
      </c>
      <c r="AB89" s="9">
        <v>12</v>
      </c>
      <c r="AC89" s="9">
        <v>7</v>
      </c>
      <c r="AD89" s="17">
        <v>44941</v>
      </c>
      <c r="AE89" s="54">
        <v>1000</v>
      </c>
      <c r="AF89" s="54"/>
      <c r="AH89" s="127">
        <v>44945</v>
      </c>
      <c r="AI89" s="9">
        <v>45086870</v>
      </c>
      <c r="AJ89" s="9" t="s">
        <v>3464</v>
      </c>
      <c r="AK89" s="22" t="s">
        <v>3465</v>
      </c>
      <c r="AL89" s="22">
        <v>1000</v>
      </c>
      <c r="AM89" s="22"/>
      <c r="AN89" s="22" t="s">
        <v>3476</v>
      </c>
      <c r="AO89" s="9"/>
      <c r="AP89" s="9"/>
      <c r="AQ89" s="9"/>
      <c r="AR89" s="9"/>
      <c r="AS89" s="9"/>
      <c r="AT89" s="9"/>
      <c r="AU89" s="9"/>
      <c r="AV89" s="9"/>
      <c r="AW89" s="17">
        <v>44940</v>
      </c>
      <c r="AX89" s="9">
        <v>1153</v>
      </c>
      <c r="BA89" s="22">
        <v>1000</v>
      </c>
      <c r="BB89" s="22"/>
      <c r="BD89" s="9"/>
      <c r="CS89" s="22">
        <f t="shared" si="8"/>
        <v>1000</v>
      </c>
      <c r="CT89" s="22">
        <f t="shared" si="9"/>
        <v>1000</v>
      </c>
      <c r="CU89" s="22">
        <f t="shared" si="10"/>
        <v>0</v>
      </c>
      <c r="CV89" s="26">
        <f t="shared" si="11"/>
        <v>0</v>
      </c>
    </row>
    <row r="90" spans="1:100" x14ac:dyDescent="0.2">
      <c r="A90" s="9" t="s">
        <v>3430</v>
      </c>
      <c r="B90" s="2">
        <v>140</v>
      </c>
      <c r="C90" s="3" t="s">
        <v>95</v>
      </c>
      <c r="D90" s="3" t="s">
        <v>96</v>
      </c>
      <c r="E90" s="2"/>
      <c r="F90" s="2"/>
      <c r="G90" s="2" t="s">
        <v>84</v>
      </c>
      <c r="H90" s="2">
        <v>3</v>
      </c>
      <c r="I90" s="20">
        <v>120.12</v>
      </c>
      <c r="J90" s="20">
        <v>35900</v>
      </c>
      <c r="K90" s="3">
        <v>0</v>
      </c>
      <c r="L90" s="3" t="s">
        <v>3</v>
      </c>
      <c r="M90" s="9" t="s">
        <v>0</v>
      </c>
      <c r="N90" s="9" t="s">
        <v>6</v>
      </c>
      <c r="O90" s="9" t="s">
        <v>3429</v>
      </c>
      <c r="S90" s="9" t="s">
        <v>158</v>
      </c>
      <c r="T90" s="187" t="s">
        <v>84</v>
      </c>
      <c r="U90" s="187">
        <v>3</v>
      </c>
      <c r="V90" s="187">
        <v>120.12</v>
      </c>
      <c r="W90" s="10" t="s">
        <v>710</v>
      </c>
      <c r="X90" s="17">
        <v>44699</v>
      </c>
      <c r="Y90" s="17">
        <v>44944</v>
      </c>
      <c r="Z90" s="19" t="s">
        <v>772</v>
      </c>
      <c r="AA90" s="207">
        <v>32000</v>
      </c>
      <c r="AB90" s="9">
        <v>12</v>
      </c>
      <c r="AC90" s="9">
        <v>8</v>
      </c>
      <c r="AD90" s="17">
        <v>44972</v>
      </c>
      <c r="AE90" s="54">
        <v>1000</v>
      </c>
      <c r="AF90" s="54"/>
      <c r="AH90" s="127">
        <v>44974</v>
      </c>
      <c r="AI90" s="9">
        <v>45086870</v>
      </c>
      <c r="AJ90" s="9" t="s">
        <v>3464</v>
      </c>
      <c r="AK90" s="22" t="s">
        <v>3488</v>
      </c>
      <c r="AL90" s="22">
        <v>1000</v>
      </c>
      <c r="AM90" s="22"/>
      <c r="AN90" s="22" t="s">
        <v>3477</v>
      </c>
      <c r="AO90" s="22"/>
      <c r="AP90" s="9"/>
      <c r="AQ90" s="9"/>
      <c r="AR90" s="9"/>
      <c r="AS90" s="9"/>
      <c r="AT90" s="9"/>
      <c r="AU90" s="9"/>
      <c r="AV90" s="9"/>
      <c r="AW90" s="17">
        <v>44971</v>
      </c>
      <c r="AX90" s="9">
        <v>1221</v>
      </c>
      <c r="BA90" s="22">
        <v>1000</v>
      </c>
      <c r="BB90" s="22"/>
      <c r="BD90" s="9"/>
      <c r="CS90" s="22">
        <f t="shared" si="8"/>
        <v>1000</v>
      </c>
      <c r="CT90" s="22">
        <f t="shared" si="9"/>
        <v>1000</v>
      </c>
      <c r="CU90" s="22">
        <f t="shared" si="10"/>
        <v>0</v>
      </c>
      <c r="CV90" s="26">
        <f t="shared" si="11"/>
        <v>0</v>
      </c>
    </row>
    <row r="91" spans="1:100" x14ac:dyDescent="0.2">
      <c r="A91" s="9" t="s">
        <v>3430</v>
      </c>
      <c r="B91" s="2">
        <v>140</v>
      </c>
      <c r="C91" s="3" t="s">
        <v>95</v>
      </c>
      <c r="D91" s="3" t="s">
        <v>96</v>
      </c>
      <c r="E91" s="2"/>
      <c r="F91" s="2"/>
      <c r="G91" s="2" t="s">
        <v>84</v>
      </c>
      <c r="H91" s="2">
        <v>3</v>
      </c>
      <c r="I91" s="20">
        <v>120.12</v>
      </c>
      <c r="J91" s="20">
        <v>35900</v>
      </c>
      <c r="K91" s="3">
        <v>0</v>
      </c>
      <c r="L91" s="3" t="s">
        <v>3</v>
      </c>
      <c r="M91" s="9" t="s">
        <v>0</v>
      </c>
      <c r="N91" s="9" t="s">
        <v>6</v>
      </c>
      <c r="O91" s="9" t="s">
        <v>3429</v>
      </c>
      <c r="S91" s="9" t="s">
        <v>158</v>
      </c>
      <c r="T91" s="187" t="s">
        <v>84</v>
      </c>
      <c r="U91" s="187">
        <v>3</v>
      </c>
      <c r="V91" s="187">
        <v>120.12</v>
      </c>
      <c r="W91" s="10" t="s">
        <v>710</v>
      </c>
      <c r="X91" s="17">
        <v>44699</v>
      </c>
      <c r="Y91" s="17">
        <v>44944</v>
      </c>
      <c r="Z91" s="19" t="s">
        <v>772</v>
      </c>
      <c r="AA91" s="207">
        <v>32000</v>
      </c>
      <c r="AB91" s="9">
        <v>12</v>
      </c>
      <c r="AC91" s="9">
        <v>9</v>
      </c>
      <c r="AD91" s="17">
        <v>45000</v>
      </c>
      <c r="AE91" s="54">
        <v>1000</v>
      </c>
      <c r="AF91" s="54"/>
      <c r="AH91" s="127">
        <v>45012</v>
      </c>
      <c r="AI91" s="9">
        <v>45086870</v>
      </c>
      <c r="AJ91" s="9" t="s">
        <v>3464</v>
      </c>
      <c r="AK91" s="22" t="s">
        <v>3467</v>
      </c>
      <c r="AL91" s="22">
        <v>1000</v>
      </c>
      <c r="AM91" s="22"/>
      <c r="AN91" s="22" t="s">
        <v>3479</v>
      </c>
      <c r="AO91" s="22"/>
      <c r="AP91" s="9"/>
      <c r="AQ91" s="9"/>
      <c r="AR91" s="9"/>
      <c r="AS91" s="9"/>
      <c r="AT91" s="9"/>
      <c r="AU91" s="9"/>
      <c r="AV91" s="9"/>
      <c r="AW91" s="17">
        <v>44999</v>
      </c>
      <c r="AX91" s="9">
        <v>1315</v>
      </c>
      <c r="BA91" s="22">
        <v>1000</v>
      </c>
      <c r="BB91" s="22"/>
      <c r="BD91" s="9"/>
      <c r="CS91" s="22">
        <f t="shared" si="8"/>
        <v>1000</v>
      </c>
      <c r="CT91" s="22">
        <f t="shared" si="9"/>
        <v>1000</v>
      </c>
      <c r="CU91" s="22">
        <f t="shared" si="10"/>
        <v>0</v>
      </c>
      <c r="CV91" s="26">
        <f t="shared" si="11"/>
        <v>0</v>
      </c>
    </row>
    <row r="92" spans="1:100" x14ac:dyDescent="0.2">
      <c r="A92" s="9" t="s">
        <v>3430</v>
      </c>
      <c r="B92" s="2">
        <v>140</v>
      </c>
      <c r="C92" s="3" t="s">
        <v>95</v>
      </c>
      <c r="D92" s="3" t="s">
        <v>96</v>
      </c>
      <c r="E92" s="2"/>
      <c r="F92" s="2"/>
      <c r="G92" s="2" t="s">
        <v>84</v>
      </c>
      <c r="H92" s="2">
        <v>3</v>
      </c>
      <c r="I92" s="20">
        <v>120.12</v>
      </c>
      <c r="J92" s="20">
        <v>35900</v>
      </c>
      <c r="K92" s="3">
        <v>0</v>
      </c>
      <c r="L92" s="3" t="s">
        <v>3</v>
      </c>
      <c r="M92" s="9" t="s">
        <v>0</v>
      </c>
      <c r="N92" s="9" t="s">
        <v>6</v>
      </c>
      <c r="O92" s="9" t="s">
        <v>3429</v>
      </c>
      <c r="S92" s="9" t="s">
        <v>158</v>
      </c>
      <c r="T92" s="187" t="s">
        <v>84</v>
      </c>
      <c r="U92" s="187">
        <v>3</v>
      </c>
      <c r="V92" s="187">
        <v>120.12</v>
      </c>
      <c r="W92" s="10" t="s">
        <v>710</v>
      </c>
      <c r="X92" s="17">
        <v>44699</v>
      </c>
      <c r="Y92" s="17">
        <v>44944</v>
      </c>
      <c r="Z92" s="19" t="s">
        <v>772</v>
      </c>
      <c r="AA92" s="207">
        <v>32000</v>
      </c>
      <c r="AB92" s="9">
        <v>12</v>
      </c>
      <c r="AC92" s="9">
        <v>10</v>
      </c>
      <c r="AD92" s="17">
        <v>45031</v>
      </c>
      <c r="AE92" s="54">
        <v>1000</v>
      </c>
      <c r="AF92" s="54"/>
      <c r="AH92" s="127">
        <v>45029</v>
      </c>
      <c r="AI92" s="9">
        <v>45086870</v>
      </c>
      <c r="AJ92" s="9" t="s">
        <v>3464</v>
      </c>
      <c r="AK92" s="22" t="s">
        <v>3470</v>
      </c>
      <c r="AL92" s="22">
        <v>1000</v>
      </c>
      <c r="AM92" s="22"/>
      <c r="AN92" s="22" t="s">
        <v>3482</v>
      </c>
      <c r="AO92" s="22"/>
      <c r="AP92" s="9"/>
      <c r="AQ92" s="9"/>
      <c r="AR92" s="9"/>
      <c r="AS92" s="9"/>
      <c r="AT92" s="9"/>
      <c r="AU92" s="9"/>
      <c r="AV92" s="9"/>
      <c r="AW92" s="17">
        <v>45028</v>
      </c>
      <c r="AX92" s="9">
        <v>1403</v>
      </c>
      <c r="BA92" s="22">
        <v>1000</v>
      </c>
      <c r="BB92" s="22"/>
      <c r="BD92" s="9"/>
      <c r="CS92" s="22">
        <f t="shared" ref="CS92:CS155" si="12">+AL92+AT92</f>
        <v>1000</v>
      </c>
      <c r="CT92" s="22">
        <f t="shared" ref="CT92:CT155" si="13">+BA92+BG92+BM92+BS92+BY92+CE92+CK92+CQ92</f>
        <v>1000</v>
      </c>
      <c r="CU92" s="22">
        <f t="shared" ref="CU92:CU155" si="14">+CS92-CT92</f>
        <v>0</v>
      </c>
      <c r="CV92" s="26">
        <f t="shared" ref="CV92:CV155" si="15">+AE92-AL92-AT92</f>
        <v>0</v>
      </c>
    </row>
    <row r="93" spans="1:100" x14ac:dyDescent="0.2">
      <c r="A93" s="9" t="s">
        <v>3430</v>
      </c>
      <c r="B93" s="2">
        <v>140</v>
      </c>
      <c r="C93" s="3" t="s">
        <v>95</v>
      </c>
      <c r="D93" s="3" t="s">
        <v>96</v>
      </c>
      <c r="E93" s="2"/>
      <c r="F93" s="2"/>
      <c r="G93" s="2" t="s">
        <v>84</v>
      </c>
      <c r="H93" s="2">
        <v>3</v>
      </c>
      <c r="I93" s="20">
        <v>120.12</v>
      </c>
      <c r="J93" s="20">
        <v>35900</v>
      </c>
      <c r="K93" s="3">
        <v>0</v>
      </c>
      <c r="L93" s="3" t="s">
        <v>3</v>
      </c>
      <c r="M93" s="9" t="s">
        <v>0</v>
      </c>
      <c r="N93" s="9" t="s">
        <v>6</v>
      </c>
      <c r="O93" s="9" t="s">
        <v>3429</v>
      </c>
      <c r="S93" s="9" t="s">
        <v>158</v>
      </c>
      <c r="T93" s="187" t="s">
        <v>84</v>
      </c>
      <c r="U93" s="187">
        <v>3</v>
      </c>
      <c r="V93" s="187">
        <v>120.12</v>
      </c>
      <c r="W93" s="10" t="s">
        <v>710</v>
      </c>
      <c r="X93" s="17">
        <v>44699</v>
      </c>
      <c r="Y93" s="17">
        <v>44944</v>
      </c>
      <c r="Z93" s="19" t="s">
        <v>772</v>
      </c>
      <c r="AA93" s="207">
        <v>32000</v>
      </c>
      <c r="AB93" s="9">
        <v>12</v>
      </c>
      <c r="AC93" s="9">
        <v>11</v>
      </c>
      <c r="AD93" s="17">
        <v>45061</v>
      </c>
      <c r="AE93" s="54">
        <v>1000</v>
      </c>
      <c r="AF93" s="54"/>
      <c r="AH93" s="127">
        <v>45061</v>
      </c>
      <c r="AI93" s="9">
        <v>45086870</v>
      </c>
      <c r="AJ93" s="9" t="s">
        <v>3464</v>
      </c>
      <c r="AK93" s="22" t="s">
        <v>3471</v>
      </c>
      <c r="AL93" s="22">
        <v>1000</v>
      </c>
      <c r="AM93" s="22"/>
      <c r="AN93" s="22" t="s">
        <v>3483</v>
      </c>
      <c r="AO93" s="22"/>
      <c r="AP93" s="9"/>
      <c r="AQ93" s="9"/>
      <c r="AR93" s="9"/>
      <c r="AS93" s="9"/>
      <c r="AT93" s="9"/>
      <c r="AU93" s="9"/>
      <c r="AV93" s="9"/>
      <c r="AW93" s="17">
        <v>45059</v>
      </c>
      <c r="AX93" s="9">
        <v>1508</v>
      </c>
      <c r="BA93" s="22">
        <v>1000</v>
      </c>
      <c r="BB93" s="22"/>
      <c r="BD93" s="9"/>
      <c r="CS93" s="22">
        <f t="shared" si="12"/>
        <v>1000</v>
      </c>
      <c r="CT93" s="22">
        <f t="shared" si="13"/>
        <v>1000</v>
      </c>
      <c r="CU93" s="22">
        <f t="shared" si="14"/>
        <v>0</v>
      </c>
      <c r="CV93" s="26">
        <f t="shared" si="15"/>
        <v>0</v>
      </c>
    </row>
    <row r="94" spans="1:100" x14ac:dyDescent="0.2">
      <c r="A94" s="9" t="s">
        <v>3430</v>
      </c>
      <c r="B94" s="2">
        <v>140</v>
      </c>
      <c r="C94" s="3" t="s">
        <v>95</v>
      </c>
      <c r="D94" s="3" t="s">
        <v>96</v>
      </c>
      <c r="E94" s="2"/>
      <c r="F94" s="2"/>
      <c r="G94" s="2" t="s">
        <v>84</v>
      </c>
      <c r="H94" s="2">
        <v>3</v>
      </c>
      <c r="I94" s="20">
        <v>120.12</v>
      </c>
      <c r="J94" s="20">
        <v>35900</v>
      </c>
      <c r="K94" s="3">
        <v>0</v>
      </c>
      <c r="L94" s="3" t="s">
        <v>3</v>
      </c>
      <c r="M94" s="9" t="s">
        <v>0</v>
      </c>
      <c r="N94" s="9" t="s">
        <v>6</v>
      </c>
      <c r="O94" s="9" t="s">
        <v>3429</v>
      </c>
      <c r="S94" s="9" t="s">
        <v>158</v>
      </c>
      <c r="T94" s="187" t="s">
        <v>84</v>
      </c>
      <c r="U94" s="187">
        <v>3</v>
      </c>
      <c r="V94" s="187">
        <v>120.12</v>
      </c>
      <c r="W94" s="10" t="s">
        <v>710</v>
      </c>
      <c r="X94" s="17">
        <v>44699</v>
      </c>
      <c r="Y94" s="17">
        <v>44944</v>
      </c>
      <c r="Z94" s="19" t="s">
        <v>772</v>
      </c>
      <c r="AA94" s="207">
        <v>32000</v>
      </c>
      <c r="AB94" s="9">
        <v>12</v>
      </c>
      <c r="AC94" s="9">
        <v>12</v>
      </c>
      <c r="AD94" s="17">
        <v>45199</v>
      </c>
      <c r="AE94" s="54">
        <v>16000</v>
      </c>
      <c r="AF94" s="54"/>
      <c r="AH94" s="127">
        <v>45091</v>
      </c>
      <c r="AI94" s="9">
        <v>45086870</v>
      </c>
      <c r="AJ94" s="9" t="s">
        <v>3464</v>
      </c>
      <c r="AK94" s="22" t="s">
        <v>3474</v>
      </c>
      <c r="AL94" s="22">
        <v>16000</v>
      </c>
      <c r="AM94" s="22"/>
      <c r="AN94" s="22" t="s">
        <v>3486</v>
      </c>
      <c r="AO94" s="22"/>
      <c r="AP94" s="9"/>
      <c r="AQ94" s="9"/>
      <c r="AR94" s="9"/>
      <c r="AS94" s="9"/>
      <c r="AT94" s="9"/>
      <c r="AU94" s="9"/>
      <c r="AV94" s="9"/>
      <c r="AW94" s="17">
        <v>45091</v>
      </c>
      <c r="AX94" s="9">
        <v>1628</v>
      </c>
      <c r="BA94" s="22">
        <v>16000</v>
      </c>
      <c r="BB94" s="22"/>
      <c r="BD94" s="9"/>
      <c r="CS94" s="22">
        <f t="shared" si="12"/>
        <v>16000</v>
      </c>
      <c r="CT94" s="22">
        <f t="shared" si="13"/>
        <v>16000</v>
      </c>
      <c r="CU94" s="22">
        <f t="shared" si="14"/>
        <v>0</v>
      </c>
      <c r="CV94" s="26">
        <f t="shared" si="15"/>
        <v>0</v>
      </c>
    </row>
    <row r="95" spans="1:100" x14ac:dyDescent="0.2">
      <c r="A95" s="9" t="s">
        <v>3430</v>
      </c>
      <c r="B95" s="2">
        <v>140</v>
      </c>
      <c r="C95" s="3" t="s">
        <v>95</v>
      </c>
      <c r="D95" s="3" t="s">
        <v>96</v>
      </c>
      <c r="E95" s="2"/>
      <c r="F95" s="2"/>
      <c r="G95" s="2" t="s">
        <v>84</v>
      </c>
      <c r="H95" s="2">
        <v>3</v>
      </c>
      <c r="I95" s="20">
        <v>120.12</v>
      </c>
      <c r="J95" s="20">
        <v>35900</v>
      </c>
      <c r="K95" s="3">
        <v>0</v>
      </c>
      <c r="L95" s="3" t="s">
        <v>3</v>
      </c>
      <c r="M95" s="9" t="s">
        <v>0</v>
      </c>
      <c r="N95" s="9" t="s">
        <v>6</v>
      </c>
      <c r="O95" s="9" t="s">
        <v>3429</v>
      </c>
      <c r="S95" s="9" t="s">
        <v>3431</v>
      </c>
      <c r="T95" s="187"/>
      <c r="U95" s="187"/>
      <c r="V95" s="187">
        <v>12.5</v>
      </c>
      <c r="W95" s="10" t="s">
        <v>710</v>
      </c>
      <c r="X95" s="17">
        <v>44699</v>
      </c>
      <c r="Y95" s="17">
        <v>44700</v>
      </c>
      <c r="Z95" s="19" t="s">
        <v>772</v>
      </c>
      <c r="AA95" s="207">
        <v>6000</v>
      </c>
      <c r="AB95" s="9">
        <v>12</v>
      </c>
      <c r="AC95" s="9">
        <v>0</v>
      </c>
      <c r="AD95" s="17">
        <v>44700</v>
      </c>
      <c r="AE95" s="54">
        <v>1000</v>
      </c>
      <c r="AF95" s="54"/>
      <c r="AH95" s="17">
        <v>44700</v>
      </c>
      <c r="AI95" s="9">
        <v>45086870</v>
      </c>
      <c r="AJ95" s="9" t="s">
        <v>3464</v>
      </c>
      <c r="AK95" s="9" t="s">
        <v>3451</v>
      </c>
      <c r="AL95" s="22">
        <v>1000</v>
      </c>
      <c r="AM95" s="22"/>
      <c r="AN95" s="22" t="s">
        <v>3435</v>
      </c>
      <c r="AO95" s="9"/>
      <c r="AP95" s="127"/>
      <c r="AQ95" s="22"/>
      <c r="AR95" s="22"/>
      <c r="AS95" s="22"/>
      <c r="AT95" s="22"/>
      <c r="AU95" s="22"/>
      <c r="AV95" s="22"/>
      <c r="AW95" s="17">
        <v>44700</v>
      </c>
      <c r="AX95" s="9">
        <v>655</v>
      </c>
      <c r="BA95" s="22">
        <v>1000</v>
      </c>
      <c r="BB95" s="22"/>
      <c r="BD95" s="9"/>
      <c r="CS95" s="22">
        <f t="shared" si="12"/>
        <v>1000</v>
      </c>
      <c r="CT95" s="22">
        <f t="shared" si="13"/>
        <v>1000</v>
      </c>
      <c r="CU95" s="22">
        <f t="shared" si="14"/>
        <v>0</v>
      </c>
      <c r="CV95" s="26">
        <f t="shared" si="15"/>
        <v>0</v>
      </c>
    </row>
    <row r="96" spans="1:100" x14ac:dyDescent="0.2">
      <c r="A96" s="9" t="s">
        <v>3430</v>
      </c>
      <c r="B96" s="2">
        <v>140</v>
      </c>
      <c r="C96" s="3" t="s">
        <v>95</v>
      </c>
      <c r="D96" s="3" t="s">
        <v>96</v>
      </c>
      <c r="E96" s="2"/>
      <c r="F96" s="2"/>
      <c r="G96" s="2" t="s">
        <v>84</v>
      </c>
      <c r="H96" s="2">
        <v>3</v>
      </c>
      <c r="I96" s="20">
        <v>120.12</v>
      </c>
      <c r="J96" s="20">
        <v>35900</v>
      </c>
      <c r="K96" s="3">
        <v>0</v>
      </c>
      <c r="L96" s="3" t="s">
        <v>3</v>
      </c>
      <c r="M96" s="9" t="s">
        <v>0</v>
      </c>
      <c r="N96" s="9" t="s">
        <v>6</v>
      </c>
      <c r="O96" s="9" t="s">
        <v>3429</v>
      </c>
      <c r="S96" s="9" t="s">
        <v>3431</v>
      </c>
      <c r="T96" s="187"/>
      <c r="U96" s="187"/>
      <c r="V96" s="187">
        <v>12.5</v>
      </c>
      <c r="W96" s="10" t="s">
        <v>710</v>
      </c>
      <c r="X96" s="17">
        <v>44699</v>
      </c>
      <c r="Y96" s="17">
        <v>44700</v>
      </c>
      <c r="Z96" s="19" t="s">
        <v>772</v>
      </c>
      <c r="AA96" s="207">
        <v>6000</v>
      </c>
      <c r="AB96" s="9">
        <v>12</v>
      </c>
      <c r="AC96" s="9">
        <v>1</v>
      </c>
      <c r="AD96" s="17">
        <v>44772</v>
      </c>
      <c r="AE96" s="54">
        <v>416.67</v>
      </c>
      <c r="AF96" s="54"/>
      <c r="AH96" s="17">
        <v>44756</v>
      </c>
      <c r="AI96" s="9">
        <v>45086870</v>
      </c>
      <c r="AJ96" s="9" t="s">
        <v>3464</v>
      </c>
      <c r="AK96" s="9" t="s">
        <v>3452</v>
      </c>
      <c r="AL96" s="22">
        <v>416.67</v>
      </c>
      <c r="AM96" s="22"/>
      <c r="AN96" s="22" t="s">
        <v>3436</v>
      </c>
      <c r="AO96" s="9"/>
      <c r="AP96" s="9"/>
      <c r="AQ96" s="9"/>
      <c r="AR96" s="9"/>
      <c r="AS96" s="9"/>
      <c r="AT96" s="9"/>
      <c r="AU96" s="9"/>
      <c r="AV96" s="9"/>
      <c r="AW96" s="17">
        <v>44747</v>
      </c>
      <c r="AX96" s="9">
        <v>773</v>
      </c>
      <c r="BA96" s="22">
        <v>416.67</v>
      </c>
      <c r="BB96" s="22"/>
      <c r="BD96" s="9"/>
      <c r="CS96" s="22">
        <f t="shared" si="12"/>
        <v>416.67</v>
      </c>
      <c r="CT96" s="22">
        <f t="shared" si="13"/>
        <v>416.67</v>
      </c>
      <c r="CU96" s="22">
        <f t="shared" si="14"/>
        <v>0</v>
      </c>
      <c r="CV96" s="26">
        <f t="shared" si="15"/>
        <v>0</v>
      </c>
    </row>
    <row r="97" spans="1:100" x14ac:dyDescent="0.2">
      <c r="A97" s="9" t="s">
        <v>3430</v>
      </c>
      <c r="B97" s="2">
        <v>140</v>
      </c>
      <c r="C97" s="3" t="s">
        <v>95</v>
      </c>
      <c r="D97" s="3" t="s">
        <v>96</v>
      </c>
      <c r="E97" s="2"/>
      <c r="F97" s="2"/>
      <c r="G97" s="2" t="s">
        <v>84</v>
      </c>
      <c r="H97" s="2">
        <v>3</v>
      </c>
      <c r="I97" s="20">
        <v>120.12</v>
      </c>
      <c r="J97" s="20">
        <v>35900</v>
      </c>
      <c r="K97" s="3">
        <v>0</v>
      </c>
      <c r="L97" s="3" t="s">
        <v>3</v>
      </c>
      <c r="M97" s="9" t="s">
        <v>0</v>
      </c>
      <c r="N97" s="9" t="s">
        <v>6</v>
      </c>
      <c r="O97" s="9" t="s">
        <v>3429</v>
      </c>
      <c r="S97" s="9" t="s">
        <v>3431</v>
      </c>
      <c r="T97" s="187"/>
      <c r="U97" s="187"/>
      <c r="V97" s="187">
        <v>12.5</v>
      </c>
      <c r="W97" s="10" t="s">
        <v>710</v>
      </c>
      <c r="X97" s="17">
        <v>44699</v>
      </c>
      <c r="Y97" s="17">
        <v>44700</v>
      </c>
      <c r="Z97" s="19" t="s">
        <v>772</v>
      </c>
      <c r="AA97" s="207">
        <v>6000</v>
      </c>
      <c r="AB97" s="9">
        <v>12</v>
      </c>
      <c r="AC97" s="9">
        <v>2</v>
      </c>
      <c r="AD97" s="17">
        <v>44803</v>
      </c>
      <c r="AE97" s="54">
        <v>416.67</v>
      </c>
      <c r="AF97" s="54"/>
      <c r="AH97" s="17">
        <v>44790</v>
      </c>
      <c r="AI97" s="9">
        <v>45086870</v>
      </c>
      <c r="AJ97" s="9" t="s">
        <v>3464</v>
      </c>
      <c r="AK97" s="9" t="s">
        <v>3454</v>
      </c>
      <c r="AL97" s="22">
        <v>416.67</v>
      </c>
      <c r="AM97" s="22"/>
      <c r="AN97" s="22" t="s">
        <v>3438</v>
      </c>
      <c r="AO97" s="9"/>
      <c r="AP97" s="22"/>
      <c r="AQ97" s="22"/>
      <c r="AR97" s="22"/>
      <c r="AS97" s="22"/>
      <c r="AT97" s="22"/>
      <c r="AU97" s="22"/>
      <c r="AV97" s="22"/>
      <c r="AW97" s="17">
        <v>44784</v>
      </c>
      <c r="AX97" s="9">
        <v>844</v>
      </c>
      <c r="BA97" s="22">
        <v>416.67</v>
      </c>
      <c r="BB97" s="22"/>
      <c r="BD97" s="9"/>
      <c r="CS97" s="22">
        <f t="shared" si="12"/>
        <v>416.67</v>
      </c>
      <c r="CT97" s="22">
        <f t="shared" si="13"/>
        <v>416.67</v>
      </c>
      <c r="CU97" s="22">
        <f t="shared" si="14"/>
        <v>0</v>
      </c>
      <c r="CV97" s="26">
        <f t="shared" si="15"/>
        <v>0</v>
      </c>
    </row>
    <row r="98" spans="1:100" x14ac:dyDescent="0.2">
      <c r="A98" s="9" t="s">
        <v>3430</v>
      </c>
      <c r="B98" s="2">
        <v>140</v>
      </c>
      <c r="C98" s="3" t="s">
        <v>95</v>
      </c>
      <c r="D98" s="3" t="s">
        <v>96</v>
      </c>
      <c r="E98" s="2"/>
      <c r="F98" s="2"/>
      <c r="G98" s="2" t="s">
        <v>84</v>
      </c>
      <c r="H98" s="2">
        <v>3</v>
      </c>
      <c r="I98" s="20">
        <v>120.12</v>
      </c>
      <c r="J98" s="20">
        <v>35900</v>
      </c>
      <c r="K98" s="3">
        <v>0</v>
      </c>
      <c r="L98" s="3" t="s">
        <v>3</v>
      </c>
      <c r="M98" s="9" t="s">
        <v>0</v>
      </c>
      <c r="N98" s="9" t="s">
        <v>6</v>
      </c>
      <c r="O98" s="9" t="s">
        <v>3429</v>
      </c>
      <c r="S98" s="9" t="s">
        <v>3431</v>
      </c>
      <c r="T98" s="187"/>
      <c r="U98" s="187"/>
      <c r="V98" s="187">
        <v>12.5</v>
      </c>
      <c r="W98" s="10" t="s">
        <v>710</v>
      </c>
      <c r="X98" s="17">
        <v>44699</v>
      </c>
      <c r="Y98" s="17">
        <v>44700</v>
      </c>
      <c r="Z98" s="19" t="s">
        <v>772</v>
      </c>
      <c r="AA98" s="207">
        <v>6000</v>
      </c>
      <c r="AB98" s="9">
        <v>12</v>
      </c>
      <c r="AC98" s="9">
        <v>3</v>
      </c>
      <c r="AD98" s="17">
        <v>44834</v>
      </c>
      <c r="AE98" s="54">
        <v>416.67</v>
      </c>
      <c r="AF98" s="54"/>
      <c r="AH98" s="17">
        <v>44818</v>
      </c>
      <c r="AI98" s="9">
        <v>45086870</v>
      </c>
      <c r="AJ98" s="9" t="s">
        <v>3464</v>
      </c>
      <c r="AK98" s="9" t="s">
        <v>3457</v>
      </c>
      <c r="AL98" s="22">
        <v>416.67</v>
      </c>
      <c r="AM98" s="22"/>
      <c r="AN98" s="22" t="s">
        <v>3441</v>
      </c>
      <c r="AO98" s="22"/>
      <c r="AP98" s="22"/>
      <c r="AQ98" s="22"/>
      <c r="AR98" s="22"/>
      <c r="AS98" s="22"/>
      <c r="AT98" s="22"/>
      <c r="AU98" s="22"/>
      <c r="AV98" s="22"/>
      <c r="AW98" s="17">
        <v>44815</v>
      </c>
      <c r="AX98" s="9">
        <v>939</v>
      </c>
      <c r="BA98" s="22">
        <v>416.67</v>
      </c>
      <c r="BB98" s="22"/>
      <c r="BD98" s="9"/>
      <c r="CS98" s="22">
        <f t="shared" si="12"/>
        <v>416.67</v>
      </c>
      <c r="CT98" s="22">
        <f t="shared" si="13"/>
        <v>416.67</v>
      </c>
      <c r="CU98" s="22">
        <f t="shared" si="14"/>
        <v>0</v>
      </c>
      <c r="CV98" s="26">
        <f t="shared" si="15"/>
        <v>0</v>
      </c>
    </row>
    <row r="99" spans="1:100" x14ac:dyDescent="0.2">
      <c r="A99" s="9" t="s">
        <v>3430</v>
      </c>
      <c r="B99" s="2">
        <v>140</v>
      </c>
      <c r="C99" s="3" t="s">
        <v>95</v>
      </c>
      <c r="D99" s="3" t="s">
        <v>96</v>
      </c>
      <c r="E99" s="2"/>
      <c r="F99" s="2"/>
      <c r="G99" s="2" t="s">
        <v>84</v>
      </c>
      <c r="H99" s="2">
        <v>3</v>
      </c>
      <c r="I99" s="20">
        <v>120.12</v>
      </c>
      <c r="J99" s="20">
        <v>35900</v>
      </c>
      <c r="K99" s="3">
        <v>0</v>
      </c>
      <c r="L99" s="3" t="s">
        <v>3</v>
      </c>
      <c r="M99" s="9" t="s">
        <v>0</v>
      </c>
      <c r="N99" s="9" t="s">
        <v>6</v>
      </c>
      <c r="O99" s="9" t="s">
        <v>3429</v>
      </c>
      <c r="S99" s="9" t="s">
        <v>3431</v>
      </c>
      <c r="T99" s="187"/>
      <c r="U99" s="187"/>
      <c r="V99" s="187">
        <v>12.5</v>
      </c>
      <c r="W99" s="10" t="s">
        <v>710</v>
      </c>
      <c r="X99" s="17">
        <v>44699</v>
      </c>
      <c r="Y99" s="17">
        <v>44700</v>
      </c>
      <c r="Z99" s="19" t="s">
        <v>772</v>
      </c>
      <c r="AA99" s="207">
        <v>6000</v>
      </c>
      <c r="AB99" s="9">
        <v>12</v>
      </c>
      <c r="AC99" s="9">
        <v>4</v>
      </c>
      <c r="AD99" s="17">
        <v>44864</v>
      </c>
      <c r="AE99" s="54">
        <v>416.67</v>
      </c>
      <c r="AF99" s="54"/>
      <c r="AH99" s="17">
        <v>44849</v>
      </c>
      <c r="AI99" s="9">
        <v>45086870</v>
      </c>
      <c r="AJ99" s="9" t="s">
        <v>3464</v>
      </c>
      <c r="AK99" s="9" t="s">
        <v>3458</v>
      </c>
      <c r="AL99" s="22">
        <v>416.67</v>
      </c>
      <c r="AM99" s="22"/>
      <c r="AN99" s="22" t="s">
        <v>3442</v>
      </c>
      <c r="AO99" s="22"/>
      <c r="AP99" s="22"/>
      <c r="AQ99" s="22"/>
      <c r="AR99" s="22"/>
      <c r="AS99" s="22"/>
      <c r="AT99" s="22"/>
      <c r="AU99" s="22"/>
      <c r="AV99" s="22"/>
      <c r="AW99" s="17">
        <v>44848</v>
      </c>
      <c r="AX99" s="9">
        <v>1013</v>
      </c>
      <c r="BA99" s="22">
        <v>416.67</v>
      </c>
      <c r="BB99" s="22"/>
      <c r="BD99" s="9"/>
      <c r="CS99" s="22">
        <f t="shared" si="12"/>
        <v>416.67</v>
      </c>
      <c r="CT99" s="22">
        <f t="shared" si="13"/>
        <v>416.67</v>
      </c>
      <c r="CU99" s="22">
        <f t="shared" si="14"/>
        <v>0</v>
      </c>
      <c r="CV99" s="26">
        <f t="shared" si="15"/>
        <v>0</v>
      </c>
    </row>
    <row r="100" spans="1:100" x14ac:dyDescent="0.2">
      <c r="A100" s="9" t="s">
        <v>3430</v>
      </c>
      <c r="B100" s="2">
        <v>140</v>
      </c>
      <c r="C100" s="3" t="s">
        <v>95</v>
      </c>
      <c r="D100" s="3" t="s">
        <v>96</v>
      </c>
      <c r="E100" s="2"/>
      <c r="F100" s="2"/>
      <c r="G100" s="2" t="s">
        <v>84</v>
      </c>
      <c r="H100" s="2">
        <v>3</v>
      </c>
      <c r="I100" s="20">
        <v>120.12</v>
      </c>
      <c r="J100" s="20">
        <v>35900</v>
      </c>
      <c r="K100" s="3">
        <v>0</v>
      </c>
      <c r="L100" s="3" t="s">
        <v>3</v>
      </c>
      <c r="M100" s="9" t="s">
        <v>0</v>
      </c>
      <c r="N100" s="9" t="s">
        <v>6</v>
      </c>
      <c r="O100" s="9" t="s">
        <v>3429</v>
      </c>
      <c r="S100" s="9" t="s">
        <v>3431</v>
      </c>
      <c r="T100" s="187"/>
      <c r="U100" s="187"/>
      <c r="V100" s="187">
        <v>12.5</v>
      </c>
      <c r="W100" s="10" t="s">
        <v>710</v>
      </c>
      <c r="X100" s="17">
        <v>44699</v>
      </c>
      <c r="Y100" s="17">
        <v>44700</v>
      </c>
      <c r="Z100" s="19" t="s">
        <v>772</v>
      </c>
      <c r="AA100" s="207">
        <v>6000</v>
      </c>
      <c r="AB100" s="9">
        <v>12</v>
      </c>
      <c r="AC100" s="9">
        <v>5</v>
      </c>
      <c r="AD100" s="17">
        <v>44895</v>
      </c>
      <c r="AE100" s="54">
        <v>416.67</v>
      </c>
      <c r="AF100" s="54"/>
      <c r="AH100" s="17">
        <v>44916</v>
      </c>
      <c r="AI100" s="9">
        <v>45086870</v>
      </c>
      <c r="AJ100" s="9" t="s">
        <v>3464</v>
      </c>
      <c r="AK100" s="9" t="s">
        <v>3463</v>
      </c>
      <c r="AL100" s="22">
        <v>416.67</v>
      </c>
      <c r="AM100" s="22"/>
      <c r="AN100" s="22" t="s">
        <v>3447</v>
      </c>
      <c r="AO100" s="9"/>
      <c r="AP100" s="22"/>
      <c r="AQ100" s="22"/>
      <c r="AR100" s="22"/>
      <c r="AS100" s="22"/>
      <c r="AT100" s="22"/>
      <c r="AU100" s="22"/>
      <c r="AV100" s="22"/>
      <c r="AW100" s="17">
        <v>44910</v>
      </c>
      <c r="AX100" s="9">
        <v>1105</v>
      </c>
      <c r="BA100" s="22">
        <v>416.67</v>
      </c>
      <c r="BB100" s="22"/>
      <c r="BD100" s="9"/>
      <c r="CS100" s="22">
        <f t="shared" si="12"/>
        <v>416.67</v>
      </c>
      <c r="CT100" s="22">
        <f t="shared" si="13"/>
        <v>416.67</v>
      </c>
      <c r="CU100" s="22">
        <f t="shared" si="14"/>
        <v>0</v>
      </c>
      <c r="CV100" s="26">
        <f t="shared" si="15"/>
        <v>0</v>
      </c>
    </row>
    <row r="101" spans="1:100" x14ac:dyDescent="0.2">
      <c r="A101" s="9" t="s">
        <v>3430</v>
      </c>
      <c r="B101" s="2">
        <v>140</v>
      </c>
      <c r="C101" s="3" t="s">
        <v>95</v>
      </c>
      <c r="D101" s="3" t="s">
        <v>96</v>
      </c>
      <c r="E101" s="2"/>
      <c r="F101" s="2"/>
      <c r="G101" s="2" t="s">
        <v>84</v>
      </c>
      <c r="H101" s="2">
        <v>3</v>
      </c>
      <c r="I101" s="20">
        <v>120.12</v>
      </c>
      <c r="J101" s="20">
        <v>35900</v>
      </c>
      <c r="K101" s="3">
        <v>0</v>
      </c>
      <c r="L101" s="3" t="s">
        <v>3</v>
      </c>
      <c r="M101" s="9" t="s">
        <v>0</v>
      </c>
      <c r="N101" s="9" t="s">
        <v>6</v>
      </c>
      <c r="O101" s="9" t="s">
        <v>3429</v>
      </c>
      <c r="S101" s="9" t="s">
        <v>3431</v>
      </c>
      <c r="T101" s="187"/>
      <c r="U101" s="187"/>
      <c r="V101" s="187">
        <v>12.5</v>
      </c>
      <c r="W101" s="10" t="s">
        <v>710</v>
      </c>
      <c r="X101" s="17">
        <v>44699</v>
      </c>
      <c r="Y101" s="17">
        <v>44700</v>
      </c>
      <c r="Z101" s="19" t="s">
        <v>772</v>
      </c>
      <c r="AA101" s="207">
        <v>6000</v>
      </c>
      <c r="AB101" s="9">
        <v>12</v>
      </c>
      <c r="AC101" s="9">
        <v>6</v>
      </c>
      <c r="AD101" s="17">
        <v>44925</v>
      </c>
      <c r="AE101" s="54">
        <v>416.67</v>
      </c>
      <c r="AF101" s="54"/>
      <c r="AH101" s="17">
        <v>44879</v>
      </c>
      <c r="AI101" s="9">
        <v>45086870</v>
      </c>
      <c r="AJ101" s="9" t="s">
        <v>3464</v>
      </c>
      <c r="AK101" s="9" t="s">
        <v>3461</v>
      </c>
      <c r="AL101" s="22">
        <v>416.67</v>
      </c>
      <c r="AM101" s="22"/>
      <c r="AN101" s="22" t="s">
        <v>3445</v>
      </c>
      <c r="AO101" s="22"/>
      <c r="AP101" s="22"/>
      <c r="AQ101" s="22"/>
      <c r="AR101" s="22"/>
      <c r="AS101" s="22"/>
      <c r="AT101" s="22"/>
      <c r="AU101" s="22"/>
      <c r="AV101" s="22"/>
      <c r="AW101" s="17">
        <v>44877</v>
      </c>
      <c r="AX101" s="9">
        <v>1064</v>
      </c>
      <c r="BA101" s="22">
        <v>416.67</v>
      </c>
      <c r="BB101" s="22"/>
      <c r="BD101" s="9"/>
      <c r="CS101" s="22">
        <f t="shared" si="12"/>
        <v>416.67</v>
      </c>
      <c r="CT101" s="22">
        <f t="shared" si="13"/>
        <v>416.67</v>
      </c>
      <c r="CU101" s="22">
        <f t="shared" si="14"/>
        <v>0</v>
      </c>
      <c r="CV101" s="26">
        <f t="shared" si="15"/>
        <v>0</v>
      </c>
    </row>
    <row r="102" spans="1:100" x14ac:dyDescent="0.2">
      <c r="A102" s="9" t="s">
        <v>3430</v>
      </c>
      <c r="B102" s="2">
        <v>140</v>
      </c>
      <c r="C102" s="3" t="s">
        <v>95</v>
      </c>
      <c r="D102" s="3" t="s">
        <v>96</v>
      </c>
      <c r="E102" s="2"/>
      <c r="F102" s="2"/>
      <c r="G102" s="2" t="s">
        <v>84</v>
      </c>
      <c r="H102" s="2">
        <v>3</v>
      </c>
      <c r="I102" s="20">
        <v>120.12</v>
      </c>
      <c r="J102" s="20">
        <v>35900</v>
      </c>
      <c r="K102" s="3">
        <v>0</v>
      </c>
      <c r="L102" s="3" t="s">
        <v>3</v>
      </c>
      <c r="M102" s="9" t="s">
        <v>0</v>
      </c>
      <c r="N102" s="9" t="s">
        <v>6</v>
      </c>
      <c r="O102" s="9" t="s">
        <v>3429</v>
      </c>
      <c r="S102" s="9" t="s">
        <v>3431</v>
      </c>
      <c r="T102" s="187"/>
      <c r="U102" s="187"/>
      <c r="V102" s="187">
        <v>12.5</v>
      </c>
      <c r="W102" s="10" t="s">
        <v>710</v>
      </c>
      <c r="X102" s="17">
        <v>44699</v>
      </c>
      <c r="Y102" s="17">
        <v>44700</v>
      </c>
      <c r="Z102" s="19" t="s">
        <v>772</v>
      </c>
      <c r="AA102" s="207">
        <v>6000</v>
      </c>
      <c r="AB102" s="9">
        <v>12</v>
      </c>
      <c r="AC102" s="9">
        <v>7</v>
      </c>
      <c r="AD102" s="17">
        <v>44956</v>
      </c>
      <c r="AE102" s="54">
        <v>416.67</v>
      </c>
      <c r="AF102" s="54"/>
      <c r="AH102" s="127">
        <v>45128</v>
      </c>
      <c r="AI102" s="9">
        <v>45086870</v>
      </c>
      <c r="AJ102" s="9" t="s">
        <v>3464</v>
      </c>
      <c r="AK102" s="22" t="s">
        <v>3475</v>
      </c>
      <c r="AL102" s="22">
        <v>416.67</v>
      </c>
      <c r="AM102" s="22"/>
      <c r="AN102" s="22" t="s">
        <v>3487</v>
      </c>
      <c r="AO102" s="22"/>
      <c r="AP102" s="22"/>
      <c r="AQ102" s="22"/>
      <c r="AR102" s="22"/>
      <c r="AS102" s="22"/>
      <c r="AT102" s="22"/>
      <c r="AU102" s="22"/>
      <c r="AV102" s="22"/>
      <c r="AW102" s="17">
        <v>44940</v>
      </c>
      <c r="AX102" s="9">
        <v>1155</v>
      </c>
      <c r="BA102" s="22">
        <v>416.67</v>
      </c>
      <c r="BB102" s="22"/>
      <c r="BD102" s="9"/>
      <c r="CS102" s="22">
        <f t="shared" si="12"/>
        <v>416.67</v>
      </c>
      <c r="CT102" s="22">
        <f t="shared" si="13"/>
        <v>416.67</v>
      </c>
      <c r="CU102" s="22">
        <f t="shared" si="14"/>
        <v>0</v>
      </c>
      <c r="CV102" s="26">
        <f t="shared" si="15"/>
        <v>0</v>
      </c>
    </row>
    <row r="103" spans="1:100" x14ac:dyDescent="0.2">
      <c r="A103" s="9" t="s">
        <v>3430</v>
      </c>
      <c r="B103" s="2">
        <v>140</v>
      </c>
      <c r="C103" s="3" t="s">
        <v>95</v>
      </c>
      <c r="D103" s="3" t="s">
        <v>96</v>
      </c>
      <c r="E103" s="2"/>
      <c r="F103" s="2"/>
      <c r="G103" s="2" t="s">
        <v>84</v>
      </c>
      <c r="H103" s="2">
        <v>3</v>
      </c>
      <c r="I103" s="20">
        <v>120.12</v>
      </c>
      <c r="J103" s="20">
        <v>35900</v>
      </c>
      <c r="K103" s="3">
        <v>0</v>
      </c>
      <c r="L103" s="3" t="s">
        <v>3</v>
      </c>
      <c r="M103" s="9" t="s">
        <v>0</v>
      </c>
      <c r="N103" s="9" t="s">
        <v>6</v>
      </c>
      <c r="O103" s="9" t="s">
        <v>3429</v>
      </c>
      <c r="S103" s="9" t="s">
        <v>3431</v>
      </c>
      <c r="T103" s="187"/>
      <c r="U103" s="187"/>
      <c r="V103" s="187">
        <v>12.5</v>
      </c>
      <c r="W103" s="10" t="s">
        <v>710</v>
      </c>
      <c r="X103" s="17">
        <v>44699</v>
      </c>
      <c r="Y103" s="17">
        <v>44700</v>
      </c>
      <c r="Z103" s="19" t="s">
        <v>772</v>
      </c>
      <c r="AA103" s="207">
        <v>6000</v>
      </c>
      <c r="AB103" s="9">
        <v>12</v>
      </c>
      <c r="AC103" s="9">
        <v>8</v>
      </c>
      <c r="AD103" s="17">
        <v>44985</v>
      </c>
      <c r="AE103" s="54">
        <v>416.67</v>
      </c>
      <c r="AF103" s="54"/>
      <c r="AH103" s="127">
        <v>44974</v>
      </c>
      <c r="AI103" s="9">
        <v>45086870</v>
      </c>
      <c r="AJ103" s="9" t="s">
        <v>3464</v>
      </c>
      <c r="AK103" s="22" t="s">
        <v>3466</v>
      </c>
      <c r="AL103" s="22">
        <v>416.67</v>
      </c>
      <c r="AM103" s="22"/>
      <c r="AN103" s="22" t="s">
        <v>3478</v>
      </c>
      <c r="AO103" s="22"/>
      <c r="AP103" s="22"/>
      <c r="AQ103" s="22"/>
      <c r="AR103" s="22"/>
      <c r="AS103" s="22"/>
      <c r="AT103" s="22"/>
      <c r="AU103" s="22"/>
      <c r="AV103" s="22"/>
      <c r="AW103" s="17">
        <v>44971</v>
      </c>
      <c r="AX103" s="9">
        <v>1220</v>
      </c>
      <c r="BA103" s="22">
        <v>416.67</v>
      </c>
      <c r="BB103" s="22"/>
      <c r="BD103" s="9"/>
      <c r="CS103" s="22">
        <f t="shared" si="12"/>
        <v>416.67</v>
      </c>
      <c r="CT103" s="22">
        <f t="shared" si="13"/>
        <v>416.67</v>
      </c>
      <c r="CU103" s="22">
        <f t="shared" si="14"/>
        <v>0</v>
      </c>
      <c r="CV103" s="26">
        <f t="shared" si="15"/>
        <v>0</v>
      </c>
    </row>
    <row r="104" spans="1:100" x14ac:dyDescent="0.2">
      <c r="A104" s="9" t="s">
        <v>3430</v>
      </c>
      <c r="B104" s="2">
        <v>140</v>
      </c>
      <c r="C104" s="3" t="s">
        <v>95</v>
      </c>
      <c r="D104" s="3" t="s">
        <v>96</v>
      </c>
      <c r="E104" s="2"/>
      <c r="F104" s="2"/>
      <c r="G104" s="2" t="s">
        <v>84</v>
      </c>
      <c r="H104" s="2">
        <v>3</v>
      </c>
      <c r="I104" s="20">
        <v>120.12</v>
      </c>
      <c r="J104" s="20">
        <v>35900</v>
      </c>
      <c r="K104" s="3">
        <v>0</v>
      </c>
      <c r="L104" s="3" t="s">
        <v>3</v>
      </c>
      <c r="M104" s="9" t="s">
        <v>0</v>
      </c>
      <c r="N104" s="9" t="s">
        <v>6</v>
      </c>
      <c r="O104" s="9" t="s">
        <v>3429</v>
      </c>
      <c r="S104" s="9" t="s">
        <v>3431</v>
      </c>
      <c r="T104" s="187"/>
      <c r="U104" s="187"/>
      <c r="V104" s="187">
        <v>12.5</v>
      </c>
      <c r="W104" s="10" t="s">
        <v>710</v>
      </c>
      <c r="X104" s="17">
        <v>44699</v>
      </c>
      <c r="Y104" s="17">
        <v>44700</v>
      </c>
      <c r="Z104" s="19" t="s">
        <v>772</v>
      </c>
      <c r="AA104" s="207">
        <v>6000</v>
      </c>
      <c r="AB104" s="9">
        <v>12</v>
      </c>
      <c r="AC104" s="9">
        <v>9</v>
      </c>
      <c r="AD104" s="17">
        <v>45015</v>
      </c>
      <c r="AE104" s="54">
        <v>416.67</v>
      </c>
      <c r="AF104" s="54"/>
      <c r="AH104" s="127">
        <v>45012</v>
      </c>
      <c r="AI104" s="9">
        <v>45086870</v>
      </c>
      <c r="AJ104" s="9" t="s">
        <v>3464</v>
      </c>
      <c r="AK104" s="22" t="s">
        <v>3468</v>
      </c>
      <c r="AL104" s="22">
        <v>416.67</v>
      </c>
      <c r="AM104" s="22"/>
      <c r="AN104" s="22" t="s">
        <v>3480</v>
      </c>
      <c r="AO104" s="22"/>
      <c r="AP104" s="22"/>
      <c r="AQ104" s="22"/>
      <c r="AR104" s="22"/>
      <c r="AS104" s="22"/>
      <c r="AT104" s="22"/>
      <c r="AU104" s="22"/>
      <c r="AV104" s="22"/>
      <c r="AW104" s="17">
        <v>44999</v>
      </c>
      <c r="AX104" s="9">
        <v>1317</v>
      </c>
      <c r="BA104" s="22">
        <v>416.67</v>
      </c>
      <c r="BB104" s="22"/>
      <c r="BD104" s="9"/>
      <c r="CS104" s="22">
        <f t="shared" si="12"/>
        <v>416.67</v>
      </c>
      <c r="CT104" s="22">
        <f t="shared" si="13"/>
        <v>416.67</v>
      </c>
      <c r="CU104" s="22">
        <f t="shared" si="14"/>
        <v>0</v>
      </c>
      <c r="CV104" s="26">
        <f t="shared" si="15"/>
        <v>0</v>
      </c>
    </row>
    <row r="105" spans="1:100" x14ac:dyDescent="0.2">
      <c r="A105" s="9" t="s">
        <v>3430</v>
      </c>
      <c r="B105" s="2">
        <v>140</v>
      </c>
      <c r="C105" s="3" t="s">
        <v>95</v>
      </c>
      <c r="D105" s="3" t="s">
        <v>96</v>
      </c>
      <c r="E105" s="2"/>
      <c r="F105" s="2"/>
      <c r="G105" s="2" t="s">
        <v>84</v>
      </c>
      <c r="H105" s="2">
        <v>3</v>
      </c>
      <c r="I105" s="20">
        <v>120.12</v>
      </c>
      <c r="J105" s="20">
        <v>35900</v>
      </c>
      <c r="K105" s="3">
        <v>0</v>
      </c>
      <c r="L105" s="3" t="s">
        <v>3</v>
      </c>
      <c r="M105" s="9" t="s">
        <v>0</v>
      </c>
      <c r="N105" s="9" t="s">
        <v>6</v>
      </c>
      <c r="O105" s="9" t="s">
        <v>3429</v>
      </c>
      <c r="S105" s="9" t="s">
        <v>3431</v>
      </c>
      <c r="T105" s="187"/>
      <c r="U105" s="187"/>
      <c r="V105" s="187">
        <v>12.5</v>
      </c>
      <c r="W105" s="10" t="s">
        <v>710</v>
      </c>
      <c r="X105" s="17">
        <v>44699</v>
      </c>
      <c r="Y105" s="17">
        <v>44700</v>
      </c>
      <c r="Z105" s="19" t="s">
        <v>772</v>
      </c>
      <c r="AA105" s="207">
        <v>6000</v>
      </c>
      <c r="AB105" s="9">
        <v>12</v>
      </c>
      <c r="AC105" s="9">
        <v>10</v>
      </c>
      <c r="AD105" s="17">
        <v>45046</v>
      </c>
      <c r="AE105" s="54">
        <v>416.67</v>
      </c>
      <c r="AF105" s="54"/>
      <c r="AH105" s="127">
        <v>45029</v>
      </c>
      <c r="AI105" s="9">
        <v>45086870</v>
      </c>
      <c r="AJ105" s="9" t="s">
        <v>3464</v>
      </c>
      <c r="AK105" s="22" t="s">
        <v>3469</v>
      </c>
      <c r="AL105" s="22">
        <v>416.67</v>
      </c>
      <c r="AM105" s="22"/>
      <c r="AN105" s="22" t="s">
        <v>3481</v>
      </c>
      <c r="AO105" s="22"/>
      <c r="AP105" s="22"/>
      <c r="AQ105" s="22"/>
      <c r="AR105" s="22"/>
      <c r="AS105" s="22"/>
      <c r="AT105" s="22"/>
      <c r="AU105" s="22"/>
      <c r="AV105" s="22"/>
      <c r="AW105" s="17">
        <v>45028</v>
      </c>
      <c r="AX105" s="9">
        <v>1405</v>
      </c>
      <c r="BA105" s="22">
        <v>416.67</v>
      </c>
      <c r="BB105" s="22"/>
      <c r="BD105" s="9"/>
      <c r="CS105" s="22">
        <f t="shared" si="12"/>
        <v>416.67</v>
      </c>
      <c r="CT105" s="22">
        <f t="shared" si="13"/>
        <v>416.67</v>
      </c>
      <c r="CU105" s="22">
        <f t="shared" si="14"/>
        <v>0</v>
      </c>
      <c r="CV105" s="26">
        <f t="shared" si="15"/>
        <v>0</v>
      </c>
    </row>
    <row r="106" spans="1:100" x14ac:dyDescent="0.2">
      <c r="A106" s="9" t="s">
        <v>3430</v>
      </c>
      <c r="B106" s="2">
        <v>140</v>
      </c>
      <c r="C106" s="3" t="s">
        <v>95</v>
      </c>
      <c r="D106" s="3" t="s">
        <v>96</v>
      </c>
      <c r="E106" s="2"/>
      <c r="F106" s="2"/>
      <c r="G106" s="2" t="s">
        <v>84</v>
      </c>
      <c r="H106" s="2">
        <v>3</v>
      </c>
      <c r="I106" s="20">
        <v>120.12</v>
      </c>
      <c r="J106" s="20">
        <v>35900</v>
      </c>
      <c r="K106" s="3">
        <v>0</v>
      </c>
      <c r="L106" s="3" t="s">
        <v>3</v>
      </c>
      <c r="M106" s="9" t="s">
        <v>0</v>
      </c>
      <c r="N106" s="9" t="s">
        <v>6</v>
      </c>
      <c r="O106" s="9" t="s">
        <v>3429</v>
      </c>
      <c r="S106" s="9" t="s">
        <v>3431</v>
      </c>
      <c r="T106" s="187"/>
      <c r="U106" s="187"/>
      <c r="V106" s="187">
        <v>12.5</v>
      </c>
      <c r="W106" s="10" t="s">
        <v>710</v>
      </c>
      <c r="X106" s="17">
        <v>44699</v>
      </c>
      <c r="Y106" s="17">
        <v>44700</v>
      </c>
      <c r="Z106" s="19" t="s">
        <v>772</v>
      </c>
      <c r="AA106" s="207">
        <v>6000</v>
      </c>
      <c r="AB106" s="9">
        <v>12</v>
      </c>
      <c r="AC106" s="9">
        <v>11</v>
      </c>
      <c r="AD106" s="17">
        <v>45076</v>
      </c>
      <c r="AE106" s="54">
        <v>416.67</v>
      </c>
      <c r="AF106" s="54"/>
      <c r="AH106" s="127">
        <v>45061</v>
      </c>
      <c r="AI106" s="9">
        <v>45086870</v>
      </c>
      <c r="AJ106" s="9" t="s">
        <v>3464</v>
      </c>
      <c r="AK106" s="22" t="s">
        <v>3472</v>
      </c>
      <c r="AL106" s="22">
        <v>416.67</v>
      </c>
      <c r="AM106" s="22"/>
      <c r="AN106" s="22" t="s">
        <v>3484</v>
      </c>
      <c r="AO106" s="22"/>
      <c r="AP106" s="22"/>
      <c r="AQ106" s="22"/>
      <c r="AR106" s="22"/>
      <c r="AS106" s="22"/>
      <c r="AT106" s="22"/>
      <c r="AU106" s="22"/>
      <c r="AV106" s="22"/>
      <c r="AW106" s="17">
        <v>45059</v>
      </c>
      <c r="AX106" s="9">
        <v>1510</v>
      </c>
      <c r="BA106" s="22">
        <v>416.67</v>
      </c>
      <c r="BB106" s="22"/>
      <c r="BD106" s="9"/>
      <c r="CS106" s="22">
        <f t="shared" si="12"/>
        <v>416.67</v>
      </c>
      <c r="CT106" s="22">
        <f t="shared" si="13"/>
        <v>416.67</v>
      </c>
      <c r="CU106" s="22">
        <f t="shared" si="14"/>
        <v>0</v>
      </c>
      <c r="CV106" s="26">
        <f t="shared" si="15"/>
        <v>0</v>
      </c>
    </row>
    <row r="107" spans="1:100" x14ac:dyDescent="0.2">
      <c r="A107" s="9" t="s">
        <v>3430</v>
      </c>
      <c r="B107" s="2">
        <v>140</v>
      </c>
      <c r="C107" s="3" t="s">
        <v>95</v>
      </c>
      <c r="D107" s="3" t="s">
        <v>96</v>
      </c>
      <c r="E107" s="2"/>
      <c r="F107" s="2"/>
      <c r="G107" s="2" t="s">
        <v>84</v>
      </c>
      <c r="H107" s="2">
        <v>3</v>
      </c>
      <c r="I107" s="20">
        <v>120.12</v>
      </c>
      <c r="J107" s="20">
        <v>35900</v>
      </c>
      <c r="K107" s="3">
        <v>0</v>
      </c>
      <c r="L107" s="3" t="s">
        <v>3</v>
      </c>
      <c r="M107" s="9" t="s">
        <v>0</v>
      </c>
      <c r="N107" s="9" t="s">
        <v>6</v>
      </c>
      <c r="O107" s="9" t="s">
        <v>3429</v>
      </c>
      <c r="S107" s="9" t="s">
        <v>3431</v>
      </c>
      <c r="T107" s="187"/>
      <c r="U107" s="187"/>
      <c r="V107" s="187">
        <v>12.5</v>
      </c>
      <c r="W107" s="10" t="s">
        <v>710</v>
      </c>
      <c r="X107" s="17">
        <v>44699</v>
      </c>
      <c r="Y107" s="17">
        <v>44700</v>
      </c>
      <c r="Z107" s="19" t="s">
        <v>772</v>
      </c>
      <c r="AA107" s="207">
        <v>6000</v>
      </c>
      <c r="AB107" s="9">
        <v>12</v>
      </c>
      <c r="AC107" s="9">
        <v>12</v>
      </c>
      <c r="AD107" s="17">
        <v>45107</v>
      </c>
      <c r="AE107" s="54">
        <v>416.67</v>
      </c>
      <c r="AF107" s="54"/>
      <c r="AH107" s="127">
        <v>45091</v>
      </c>
      <c r="AI107" s="9">
        <v>45086870</v>
      </c>
      <c r="AJ107" s="9" t="s">
        <v>3464</v>
      </c>
      <c r="AK107" s="22" t="s">
        <v>3473</v>
      </c>
      <c r="AL107" s="22">
        <v>416.67</v>
      </c>
      <c r="AM107" s="22"/>
      <c r="AN107" s="22" t="s">
        <v>3485</v>
      </c>
      <c r="AO107" s="22"/>
      <c r="AP107" s="22"/>
      <c r="AQ107" s="22"/>
      <c r="AR107" s="22"/>
      <c r="AS107" s="22"/>
      <c r="AT107" s="22"/>
      <c r="AU107" s="22"/>
      <c r="AV107" s="22"/>
      <c r="AW107" s="17">
        <v>45091</v>
      </c>
      <c r="AX107" s="9">
        <v>1627</v>
      </c>
      <c r="BA107" s="22">
        <v>416.67</v>
      </c>
      <c r="BB107" s="22"/>
      <c r="BD107" s="9"/>
      <c r="CS107" s="22">
        <f t="shared" si="12"/>
        <v>416.67</v>
      </c>
      <c r="CT107" s="22">
        <f t="shared" si="13"/>
        <v>416.67</v>
      </c>
      <c r="CU107" s="22">
        <f t="shared" si="14"/>
        <v>0</v>
      </c>
      <c r="CV107" s="26">
        <f t="shared" si="15"/>
        <v>0</v>
      </c>
    </row>
    <row r="108" spans="1:100" x14ac:dyDescent="0.2">
      <c r="A108" s="9" t="s">
        <v>3384</v>
      </c>
      <c r="B108" s="2">
        <v>11</v>
      </c>
      <c r="C108" s="3" t="s">
        <v>95</v>
      </c>
      <c r="D108" s="3" t="s">
        <v>96</v>
      </c>
      <c r="E108" s="2"/>
      <c r="F108" s="2"/>
      <c r="G108" s="2" t="s">
        <v>66</v>
      </c>
      <c r="H108" s="2">
        <v>5</v>
      </c>
      <c r="I108" s="20">
        <v>125.84</v>
      </c>
      <c r="J108" s="20">
        <v>37900</v>
      </c>
      <c r="K108" s="3">
        <v>0</v>
      </c>
      <c r="L108" s="3" t="s">
        <v>3</v>
      </c>
      <c r="M108" s="9" t="s">
        <v>0</v>
      </c>
      <c r="N108" s="9" t="s">
        <v>7</v>
      </c>
      <c r="O108" s="9" t="s">
        <v>3383</v>
      </c>
      <c r="S108" s="9" t="s">
        <v>158</v>
      </c>
      <c r="T108" s="10" t="s">
        <v>66</v>
      </c>
      <c r="U108" s="10">
        <v>8</v>
      </c>
      <c r="W108" s="10" t="s">
        <v>710</v>
      </c>
      <c r="X108" s="17">
        <v>44577</v>
      </c>
      <c r="Y108" s="17">
        <v>45167</v>
      </c>
      <c r="Z108" s="19" t="s">
        <v>772</v>
      </c>
      <c r="AA108" s="207">
        <v>32694.45</v>
      </c>
      <c r="AB108" s="9">
        <v>35</v>
      </c>
      <c r="AC108" s="9">
        <v>0</v>
      </c>
      <c r="AD108" s="17">
        <v>44577</v>
      </c>
      <c r="AE108" s="54">
        <v>500</v>
      </c>
      <c r="AF108" s="54"/>
      <c r="AG108" s="10" t="s">
        <v>134</v>
      </c>
      <c r="AH108" s="18">
        <v>44577</v>
      </c>
      <c r="AI108" s="10">
        <v>41687912</v>
      </c>
      <c r="AJ108" s="9" t="s">
        <v>3405</v>
      </c>
      <c r="AK108" s="9" t="s">
        <v>3395</v>
      </c>
      <c r="AL108" s="22">
        <v>500</v>
      </c>
      <c r="AM108" s="22"/>
      <c r="AN108" s="22" t="s">
        <v>3385</v>
      </c>
      <c r="AO108" s="22"/>
      <c r="AP108" s="22"/>
      <c r="AQ108" s="22"/>
      <c r="AR108" s="22"/>
      <c r="AS108" s="22"/>
      <c r="AT108" s="22"/>
      <c r="AU108" s="22"/>
      <c r="AV108" s="22"/>
      <c r="AW108" s="17">
        <v>44578</v>
      </c>
      <c r="AX108" s="9">
        <v>409</v>
      </c>
      <c r="BA108" s="22">
        <v>500</v>
      </c>
      <c r="BB108" s="22"/>
      <c r="BD108" s="9"/>
      <c r="CS108" s="11">
        <f t="shared" si="12"/>
        <v>500</v>
      </c>
      <c r="CT108" s="22">
        <f t="shared" si="13"/>
        <v>500</v>
      </c>
      <c r="CU108" s="22">
        <f t="shared" si="14"/>
        <v>0</v>
      </c>
      <c r="CV108" s="26">
        <f t="shared" si="15"/>
        <v>0</v>
      </c>
    </row>
    <row r="109" spans="1:100" x14ac:dyDescent="0.2">
      <c r="A109" s="9" t="s">
        <v>3384</v>
      </c>
      <c r="B109" s="2">
        <v>11</v>
      </c>
      <c r="C109" s="3" t="s">
        <v>95</v>
      </c>
      <c r="D109" s="3" t="s">
        <v>96</v>
      </c>
      <c r="E109" s="2"/>
      <c r="F109" s="2"/>
      <c r="G109" s="2" t="s">
        <v>66</v>
      </c>
      <c r="H109" s="2">
        <v>5</v>
      </c>
      <c r="I109" s="20">
        <v>125.84</v>
      </c>
      <c r="J109" s="20">
        <v>37900</v>
      </c>
      <c r="K109" s="3">
        <v>0</v>
      </c>
      <c r="L109" s="3" t="s">
        <v>3</v>
      </c>
      <c r="M109" s="9" t="s">
        <v>0</v>
      </c>
      <c r="N109" s="9" t="s">
        <v>7</v>
      </c>
      <c r="O109" s="9" t="s">
        <v>3383</v>
      </c>
      <c r="S109" s="9" t="s">
        <v>158</v>
      </c>
      <c r="T109" s="10" t="s">
        <v>66</v>
      </c>
      <c r="U109" s="10">
        <v>8</v>
      </c>
      <c r="W109" s="10" t="s">
        <v>710</v>
      </c>
      <c r="X109" s="17">
        <v>44577</v>
      </c>
      <c r="Y109" s="17">
        <v>45167</v>
      </c>
      <c r="Z109" s="19" t="s">
        <v>772</v>
      </c>
      <c r="AA109" s="207">
        <v>32694.45</v>
      </c>
      <c r="AB109" s="9">
        <v>35</v>
      </c>
      <c r="AC109" s="9">
        <v>0</v>
      </c>
      <c r="AD109" s="17">
        <v>44580</v>
      </c>
      <c r="AE109" s="54">
        <v>3500</v>
      </c>
      <c r="AF109" s="54"/>
      <c r="AG109" s="10" t="s">
        <v>134</v>
      </c>
      <c r="AH109" s="18">
        <v>44580</v>
      </c>
      <c r="AI109" s="10">
        <v>41687912</v>
      </c>
      <c r="AJ109" s="9" t="s">
        <v>3405</v>
      </c>
      <c r="AK109" s="9" t="s">
        <v>3396</v>
      </c>
      <c r="AL109" s="22">
        <v>3500</v>
      </c>
      <c r="AM109" s="22"/>
      <c r="AN109" s="22" t="s">
        <v>3386</v>
      </c>
      <c r="AO109" s="22"/>
      <c r="AP109" s="22"/>
      <c r="AQ109" s="22"/>
      <c r="AR109" s="22"/>
      <c r="AS109" s="22"/>
      <c r="AT109" s="22"/>
      <c r="AU109" s="22"/>
      <c r="AV109" s="22"/>
      <c r="AW109" s="17">
        <v>44582</v>
      </c>
      <c r="AX109" s="9">
        <v>411</v>
      </c>
      <c r="BA109" s="22">
        <v>3500</v>
      </c>
      <c r="BB109" s="22"/>
      <c r="BD109" s="9"/>
      <c r="CS109" s="11">
        <f t="shared" si="12"/>
        <v>3500</v>
      </c>
      <c r="CT109" s="22">
        <f t="shared" si="13"/>
        <v>3500</v>
      </c>
      <c r="CU109" s="22">
        <f t="shared" si="14"/>
        <v>0</v>
      </c>
      <c r="CV109" s="26">
        <f t="shared" si="15"/>
        <v>0</v>
      </c>
    </row>
    <row r="110" spans="1:100" x14ac:dyDescent="0.2">
      <c r="A110" s="9" t="s">
        <v>3384</v>
      </c>
      <c r="B110" s="2">
        <v>11</v>
      </c>
      <c r="C110" s="3" t="s">
        <v>95</v>
      </c>
      <c r="D110" s="3" t="s">
        <v>96</v>
      </c>
      <c r="E110" s="2"/>
      <c r="F110" s="2"/>
      <c r="G110" s="2" t="s">
        <v>66</v>
      </c>
      <c r="H110" s="2">
        <v>5</v>
      </c>
      <c r="I110" s="20">
        <v>125.84</v>
      </c>
      <c r="J110" s="20">
        <v>37900</v>
      </c>
      <c r="K110" s="3">
        <v>0</v>
      </c>
      <c r="L110" s="3" t="s">
        <v>3</v>
      </c>
      <c r="M110" s="9" t="s">
        <v>0</v>
      </c>
      <c r="N110" s="9" t="s">
        <v>7</v>
      </c>
      <c r="O110" s="9" t="s">
        <v>3383</v>
      </c>
      <c r="S110" s="9" t="s">
        <v>158</v>
      </c>
      <c r="T110" s="10" t="s">
        <v>66</v>
      </c>
      <c r="U110" s="10">
        <v>8</v>
      </c>
      <c r="W110" s="10" t="s">
        <v>710</v>
      </c>
      <c r="X110" s="17">
        <v>44577</v>
      </c>
      <c r="Y110" s="17">
        <v>45167</v>
      </c>
      <c r="Z110" s="19" t="s">
        <v>772</v>
      </c>
      <c r="AA110" s="207">
        <v>32694.45</v>
      </c>
      <c r="AB110" s="9">
        <v>35</v>
      </c>
      <c r="AC110" s="9">
        <v>1</v>
      </c>
      <c r="AD110" s="17">
        <v>44620</v>
      </c>
      <c r="AE110" s="54">
        <v>100</v>
      </c>
      <c r="AF110" s="54"/>
      <c r="AG110" s="10" t="s">
        <v>134</v>
      </c>
      <c r="AH110" s="18">
        <v>44616</v>
      </c>
      <c r="AI110" s="10">
        <v>41687912</v>
      </c>
      <c r="AJ110" s="9" t="s">
        <v>3405</v>
      </c>
      <c r="AK110" s="9" t="s">
        <v>3397</v>
      </c>
      <c r="AL110" s="22">
        <v>100</v>
      </c>
      <c r="AM110" s="22"/>
      <c r="AN110" s="22" t="s">
        <v>3387</v>
      </c>
      <c r="AO110" s="22"/>
      <c r="AP110" s="22"/>
      <c r="AQ110" s="22"/>
      <c r="AR110" s="22"/>
      <c r="AS110" s="22"/>
      <c r="AT110" s="22"/>
      <c r="AU110" s="22"/>
      <c r="AV110" s="22"/>
      <c r="AW110" s="17">
        <v>44615</v>
      </c>
      <c r="AX110" s="9">
        <v>473</v>
      </c>
      <c r="BA110" s="22">
        <v>100</v>
      </c>
      <c r="BB110" s="22"/>
      <c r="BD110" s="9"/>
      <c r="CS110" s="11">
        <f t="shared" si="12"/>
        <v>100</v>
      </c>
      <c r="CT110" s="22">
        <f t="shared" si="13"/>
        <v>100</v>
      </c>
      <c r="CU110" s="22">
        <f t="shared" si="14"/>
        <v>0</v>
      </c>
      <c r="CV110" s="26">
        <f t="shared" si="15"/>
        <v>0</v>
      </c>
    </row>
    <row r="111" spans="1:100" x14ac:dyDescent="0.2">
      <c r="A111" s="9" t="s">
        <v>3384</v>
      </c>
      <c r="B111" s="2">
        <v>11</v>
      </c>
      <c r="C111" s="3" t="s">
        <v>95</v>
      </c>
      <c r="D111" s="3" t="s">
        <v>96</v>
      </c>
      <c r="E111" s="2"/>
      <c r="F111" s="2"/>
      <c r="G111" s="2" t="s">
        <v>66</v>
      </c>
      <c r="H111" s="2">
        <v>5</v>
      </c>
      <c r="I111" s="20">
        <v>125.84</v>
      </c>
      <c r="J111" s="20">
        <v>37900</v>
      </c>
      <c r="K111" s="3">
        <v>0</v>
      </c>
      <c r="L111" s="3" t="s">
        <v>3</v>
      </c>
      <c r="M111" s="9" t="s">
        <v>0</v>
      </c>
      <c r="N111" s="9" t="s">
        <v>7</v>
      </c>
      <c r="O111" s="9" t="s">
        <v>3383</v>
      </c>
      <c r="S111" s="9" t="s">
        <v>158</v>
      </c>
      <c r="T111" s="10" t="s">
        <v>66</v>
      </c>
      <c r="U111" s="10">
        <v>8</v>
      </c>
      <c r="W111" s="10" t="s">
        <v>710</v>
      </c>
      <c r="X111" s="17">
        <v>44577</v>
      </c>
      <c r="Y111" s="17">
        <v>45167</v>
      </c>
      <c r="Z111" s="19" t="s">
        <v>772</v>
      </c>
      <c r="AA111" s="207">
        <v>32694.45</v>
      </c>
      <c r="AB111" s="9">
        <v>35</v>
      </c>
      <c r="AC111" s="9">
        <v>2</v>
      </c>
      <c r="AD111" s="17">
        <v>44650</v>
      </c>
      <c r="AE111" s="54">
        <v>100</v>
      </c>
      <c r="AF111" s="54"/>
      <c r="AG111" s="10" t="s">
        <v>134</v>
      </c>
      <c r="AH111" s="18">
        <v>44650</v>
      </c>
      <c r="AI111" s="10">
        <v>41687912</v>
      </c>
      <c r="AJ111" s="9" t="s">
        <v>3405</v>
      </c>
      <c r="AK111" s="9" t="s">
        <v>3398</v>
      </c>
      <c r="AL111" s="22">
        <v>100</v>
      </c>
      <c r="AM111" s="22"/>
      <c r="AN111" s="22" t="s">
        <v>3388</v>
      </c>
      <c r="AO111" s="22"/>
      <c r="AP111" s="22"/>
      <c r="AQ111" s="22"/>
      <c r="AR111" s="22"/>
      <c r="AS111" s="22"/>
      <c r="AT111" s="22"/>
      <c r="AU111" s="22"/>
      <c r="AV111" s="22"/>
      <c r="AW111" s="17">
        <v>44650</v>
      </c>
      <c r="AX111" s="9">
        <v>549</v>
      </c>
      <c r="BA111" s="22">
        <v>100</v>
      </c>
      <c r="BB111" s="22"/>
      <c r="BD111" s="9"/>
      <c r="CS111" s="11">
        <f t="shared" si="12"/>
        <v>100</v>
      </c>
      <c r="CT111" s="22">
        <f t="shared" si="13"/>
        <v>100</v>
      </c>
      <c r="CU111" s="22">
        <f t="shared" si="14"/>
        <v>0</v>
      </c>
      <c r="CV111" s="26">
        <f t="shared" si="15"/>
        <v>0</v>
      </c>
    </row>
    <row r="112" spans="1:100" x14ac:dyDescent="0.2">
      <c r="A112" s="9" t="s">
        <v>3384</v>
      </c>
      <c r="B112" s="2">
        <v>11</v>
      </c>
      <c r="C112" s="3" t="s">
        <v>95</v>
      </c>
      <c r="D112" s="3" t="s">
        <v>96</v>
      </c>
      <c r="E112" s="2"/>
      <c r="F112" s="2"/>
      <c r="G112" s="2" t="s">
        <v>66</v>
      </c>
      <c r="H112" s="2">
        <v>5</v>
      </c>
      <c r="I112" s="20">
        <v>125.84</v>
      </c>
      <c r="J112" s="20">
        <v>37900</v>
      </c>
      <c r="K112" s="3">
        <v>0</v>
      </c>
      <c r="L112" s="3" t="s">
        <v>3</v>
      </c>
      <c r="M112" s="9" t="s">
        <v>0</v>
      </c>
      <c r="N112" s="9" t="s">
        <v>7</v>
      </c>
      <c r="O112" s="9" t="s">
        <v>3383</v>
      </c>
      <c r="S112" s="9" t="s">
        <v>158</v>
      </c>
      <c r="T112" s="10" t="s">
        <v>66</v>
      </c>
      <c r="U112" s="10">
        <v>8</v>
      </c>
      <c r="W112" s="10" t="s">
        <v>710</v>
      </c>
      <c r="X112" s="17">
        <v>44577</v>
      </c>
      <c r="Y112" s="17">
        <v>45167</v>
      </c>
      <c r="Z112" s="19" t="s">
        <v>772</v>
      </c>
      <c r="AA112" s="207">
        <v>32694.45</v>
      </c>
      <c r="AB112" s="9">
        <v>35</v>
      </c>
      <c r="AC112" s="9">
        <v>3</v>
      </c>
      <c r="AD112" s="17">
        <v>44681</v>
      </c>
      <c r="AE112" s="54">
        <v>100</v>
      </c>
      <c r="AF112" s="54"/>
      <c r="AG112" s="10" t="s">
        <v>134</v>
      </c>
      <c r="AH112" s="18">
        <v>44681</v>
      </c>
      <c r="AI112" s="10">
        <v>41687912</v>
      </c>
      <c r="AJ112" s="9" t="s">
        <v>3405</v>
      </c>
      <c r="AK112" s="9" t="s">
        <v>3399</v>
      </c>
      <c r="AL112" s="22">
        <v>100</v>
      </c>
      <c r="AM112" s="22"/>
      <c r="AN112" s="22" t="s">
        <v>3389</v>
      </c>
      <c r="AO112" s="22"/>
      <c r="AP112" s="22"/>
      <c r="AQ112" s="22"/>
      <c r="AR112" s="22"/>
      <c r="AS112" s="22"/>
      <c r="AT112" s="22"/>
      <c r="AU112" s="22"/>
      <c r="AV112" s="22"/>
      <c r="AW112" s="17">
        <v>44680</v>
      </c>
      <c r="AX112" s="9">
        <v>595</v>
      </c>
      <c r="BA112" s="22">
        <v>100</v>
      </c>
      <c r="BB112" s="22"/>
      <c r="BD112" s="9"/>
      <c r="CS112" s="11">
        <f t="shared" si="12"/>
        <v>100</v>
      </c>
      <c r="CT112" s="22">
        <f t="shared" si="13"/>
        <v>100</v>
      </c>
      <c r="CU112" s="22">
        <f t="shared" si="14"/>
        <v>0</v>
      </c>
      <c r="CV112" s="26">
        <f t="shared" si="15"/>
        <v>0</v>
      </c>
    </row>
    <row r="113" spans="1:100" x14ac:dyDescent="0.2">
      <c r="A113" s="9" t="s">
        <v>3384</v>
      </c>
      <c r="B113" s="2">
        <v>11</v>
      </c>
      <c r="C113" s="3" t="s">
        <v>95</v>
      </c>
      <c r="D113" s="3" t="s">
        <v>96</v>
      </c>
      <c r="E113" s="2"/>
      <c r="F113" s="2"/>
      <c r="G113" s="2" t="s">
        <v>66</v>
      </c>
      <c r="H113" s="2">
        <v>5</v>
      </c>
      <c r="I113" s="20">
        <v>125.84</v>
      </c>
      <c r="J113" s="20">
        <v>37900</v>
      </c>
      <c r="K113" s="3">
        <v>0</v>
      </c>
      <c r="L113" s="3" t="s">
        <v>3</v>
      </c>
      <c r="M113" s="9" t="s">
        <v>0</v>
      </c>
      <c r="N113" s="9" t="s">
        <v>7</v>
      </c>
      <c r="O113" s="9" t="s">
        <v>3383</v>
      </c>
      <c r="S113" s="9" t="s">
        <v>158</v>
      </c>
      <c r="T113" s="10" t="s">
        <v>66</v>
      </c>
      <c r="U113" s="10">
        <v>8</v>
      </c>
      <c r="W113" s="10" t="s">
        <v>710</v>
      </c>
      <c r="X113" s="17">
        <v>44577</v>
      </c>
      <c r="Y113" s="17">
        <v>45167</v>
      </c>
      <c r="Z113" s="19" t="s">
        <v>772</v>
      </c>
      <c r="AA113" s="207">
        <v>32694.45</v>
      </c>
      <c r="AB113" s="9">
        <v>35</v>
      </c>
      <c r="AC113" s="9">
        <v>4</v>
      </c>
      <c r="AD113" s="17">
        <v>44711</v>
      </c>
      <c r="AE113" s="54">
        <v>100</v>
      </c>
      <c r="AF113" s="54"/>
      <c r="AG113" s="10" t="s">
        <v>134</v>
      </c>
      <c r="AH113" s="18">
        <v>44712</v>
      </c>
      <c r="AI113" s="10">
        <v>41687912</v>
      </c>
      <c r="AJ113" s="9" t="s">
        <v>3405</v>
      </c>
      <c r="AK113" s="9" t="s">
        <v>3400</v>
      </c>
      <c r="AL113" s="22">
        <v>100</v>
      </c>
      <c r="AM113" s="22"/>
      <c r="AN113" s="22" t="s">
        <v>3390</v>
      </c>
      <c r="AO113" s="22"/>
      <c r="AP113" s="22"/>
      <c r="AQ113" s="22"/>
      <c r="AR113" s="22"/>
      <c r="AS113" s="22"/>
      <c r="AT113" s="22"/>
      <c r="AU113" s="22"/>
      <c r="AV113" s="22"/>
      <c r="AW113" s="17">
        <v>44711</v>
      </c>
      <c r="AX113" s="9">
        <v>672</v>
      </c>
      <c r="BA113" s="22">
        <v>100</v>
      </c>
      <c r="BB113" s="22" t="s">
        <v>1348</v>
      </c>
      <c r="BD113" s="9"/>
      <c r="CS113" s="11">
        <f t="shared" si="12"/>
        <v>100</v>
      </c>
      <c r="CT113" s="22">
        <f t="shared" si="13"/>
        <v>100</v>
      </c>
      <c r="CU113" s="22">
        <f t="shared" si="14"/>
        <v>0</v>
      </c>
      <c r="CV113" s="26">
        <f t="shared" si="15"/>
        <v>0</v>
      </c>
    </row>
    <row r="114" spans="1:100" x14ac:dyDescent="0.2">
      <c r="A114" s="9" t="s">
        <v>3384</v>
      </c>
      <c r="B114" s="2">
        <v>11</v>
      </c>
      <c r="C114" s="3" t="s">
        <v>95</v>
      </c>
      <c r="D114" s="3" t="s">
        <v>96</v>
      </c>
      <c r="E114" s="2"/>
      <c r="F114" s="2"/>
      <c r="G114" s="2" t="s">
        <v>66</v>
      </c>
      <c r="H114" s="2">
        <v>5</v>
      </c>
      <c r="I114" s="20">
        <v>125.84</v>
      </c>
      <c r="J114" s="20">
        <v>37900</v>
      </c>
      <c r="K114" s="3">
        <v>0</v>
      </c>
      <c r="L114" s="3" t="s">
        <v>3</v>
      </c>
      <c r="M114" s="9" t="s">
        <v>0</v>
      </c>
      <c r="N114" s="9" t="s">
        <v>7</v>
      </c>
      <c r="O114" s="9" t="s">
        <v>3383</v>
      </c>
      <c r="S114" s="9" t="s">
        <v>158</v>
      </c>
      <c r="T114" s="10" t="s">
        <v>66</v>
      </c>
      <c r="U114" s="10">
        <v>8</v>
      </c>
      <c r="W114" s="10" t="s">
        <v>710</v>
      </c>
      <c r="X114" s="17">
        <v>44577</v>
      </c>
      <c r="Y114" s="17">
        <v>45167</v>
      </c>
      <c r="Z114" s="19" t="s">
        <v>772</v>
      </c>
      <c r="AA114" s="207">
        <v>32694.45</v>
      </c>
      <c r="AB114" s="9">
        <v>35</v>
      </c>
      <c r="AC114" s="9">
        <v>5</v>
      </c>
      <c r="AD114" s="17">
        <v>44742</v>
      </c>
      <c r="AE114" s="54">
        <v>100</v>
      </c>
      <c r="AF114" s="54"/>
      <c r="AG114" s="10" t="s">
        <v>134</v>
      </c>
      <c r="AH114" s="18">
        <v>44742</v>
      </c>
      <c r="AI114" s="10">
        <v>41687912</v>
      </c>
      <c r="AJ114" s="9" t="s">
        <v>3405</v>
      </c>
      <c r="AK114" s="9" t="s">
        <v>3401</v>
      </c>
      <c r="AL114" s="22">
        <v>100</v>
      </c>
      <c r="AM114" s="22"/>
      <c r="AN114" s="22" t="s">
        <v>3391</v>
      </c>
      <c r="AO114" s="22"/>
      <c r="AP114" s="22"/>
      <c r="AQ114" s="22"/>
      <c r="AR114" s="22"/>
      <c r="AS114" s="22"/>
      <c r="AT114" s="22"/>
      <c r="AU114" s="22"/>
      <c r="AV114" s="22"/>
      <c r="AW114" s="17">
        <v>44742</v>
      </c>
      <c r="AX114" s="9">
        <v>742</v>
      </c>
      <c r="BA114" s="22">
        <v>100</v>
      </c>
      <c r="BB114" s="22"/>
      <c r="BD114" s="9"/>
      <c r="CS114" s="11">
        <f t="shared" si="12"/>
        <v>100</v>
      </c>
      <c r="CT114" s="22">
        <f t="shared" si="13"/>
        <v>100</v>
      </c>
      <c r="CU114" s="22">
        <f t="shared" si="14"/>
        <v>0</v>
      </c>
      <c r="CV114" s="26">
        <f t="shared" si="15"/>
        <v>0</v>
      </c>
    </row>
    <row r="115" spans="1:100" x14ac:dyDescent="0.2">
      <c r="A115" s="9" t="s">
        <v>3384</v>
      </c>
      <c r="B115" s="2">
        <v>11</v>
      </c>
      <c r="C115" s="3" t="s">
        <v>95</v>
      </c>
      <c r="D115" s="3" t="s">
        <v>96</v>
      </c>
      <c r="E115" s="2"/>
      <c r="F115" s="2"/>
      <c r="G115" s="2" t="s">
        <v>66</v>
      </c>
      <c r="H115" s="2">
        <v>5</v>
      </c>
      <c r="I115" s="20">
        <v>125.84</v>
      </c>
      <c r="J115" s="20">
        <v>37900</v>
      </c>
      <c r="K115" s="3">
        <v>0</v>
      </c>
      <c r="L115" s="3" t="s">
        <v>3</v>
      </c>
      <c r="M115" s="9" t="s">
        <v>0</v>
      </c>
      <c r="N115" s="9" t="s">
        <v>7</v>
      </c>
      <c r="O115" s="9" t="s">
        <v>3383</v>
      </c>
      <c r="S115" s="9" t="s">
        <v>158</v>
      </c>
      <c r="T115" s="10" t="s">
        <v>66</v>
      </c>
      <c r="U115" s="10">
        <v>8</v>
      </c>
      <c r="W115" s="10" t="s">
        <v>710</v>
      </c>
      <c r="X115" s="17">
        <v>44577</v>
      </c>
      <c r="Y115" s="17">
        <v>45167</v>
      </c>
      <c r="Z115" s="19" t="s">
        <v>772</v>
      </c>
      <c r="AA115" s="207">
        <v>32694.45</v>
      </c>
      <c r="AB115" s="9">
        <v>35</v>
      </c>
      <c r="AC115" s="9">
        <v>6</v>
      </c>
      <c r="AD115" s="17">
        <v>44772</v>
      </c>
      <c r="AE115" s="54">
        <v>100</v>
      </c>
      <c r="AF115" s="54"/>
      <c r="AG115" s="10" t="s">
        <v>134</v>
      </c>
      <c r="AH115" s="18">
        <v>44778</v>
      </c>
      <c r="AI115" s="10">
        <v>41687912</v>
      </c>
      <c r="AJ115" s="9" t="s">
        <v>3405</v>
      </c>
      <c r="AK115" s="9" t="s">
        <v>3402</v>
      </c>
      <c r="AL115" s="22">
        <v>100</v>
      </c>
      <c r="AM115" s="22"/>
      <c r="AN115" s="22" t="s">
        <v>3392</v>
      </c>
      <c r="AO115" s="22"/>
      <c r="AP115" s="22"/>
      <c r="AQ115" s="22"/>
      <c r="AR115" s="22"/>
      <c r="AS115" s="22"/>
      <c r="AT115" s="22"/>
      <c r="AU115" s="22"/>
      <c r="AV115" s="22"/>
      <c r="AW115" s="17">
        <v>44774</v>
      </c>
      <c r="AX115" s="9">
        <v>825</v>
      </c>
      <c r="BA115" s="22">
        <v>100</v>
      </c>
      <c r="BB115" s="22"/>
      <c r="BD115" s="9"/>
      <c r="CS115" s="11">
        <f t="shared" si="12"/>
        <v>100</v>
      </c>
      <c r="CT115" s="22">
        <f t="shared" si="13"/>
        <v>100</v>
      </c>
      <c r="CU115" s="22">
        <f t="shared" si="14"/>
        <v>0</v>
      </c>
      <c r="CV115" s="26">
        <f t="shared" si="15"/>
        <v>0</v>
      </c>
    </row>
    <row r="116" spans="1:100" x14ac:dyDescent="0.2">
      <c r="A116" s="9" t="s">
        <v>3384</v>
      </c>
      <c r="B116" s="2">
        <v>11</v>
      </c>
      <c r="C116" s="3" t="s">
        <v>95</v>
      </c>
      <c r="D116" s="3" t="s">
        <v>96</v>
      </c>
      <c r="E116" s="2"/>
      <c r="F116" s="2"/>
      <c r="G116" s="2" t="s">
        <v>66</v>
      </c>
      <c r="H116" s="2">
        <v>5</v>
      </c>
      <c r="I116" s="20">
        <v>125.84</v>
      </c>
      <c r="J116" s="20">
        <v>37900</v>
      </c>
      <c r="K116" s="3">
        <v>0</v>
      </c>
      <c r="L116" s="3" t="s">
        <v>3</v>
      </c>
      <c r="M116" s="9" t="s">
        <v>0</v>
      </c>
      <c r="N116" s="9" t="s">
        <v>7</v>
      </c>
      <c r="O116" s="9" t="s">
        <v>3383</v>
      </c>
      <c r="S116" s="9" t="s">
        <v>158</v>
      </c>
      <c r="T116" s="10" t="s">
        <v>66</v>
      </c>
      <c r="U116" s="10">
        <v>8</v>
      </c>
      <c r="W116" s="10" t="s">
        <v>710</v>
      </c>
      <c r="X116" s="17">
        <v>44577</v>
      </c>
      <c r="Y116" s="17">
        <v>45167</v>
      </c>
      <c r="Z116" s="19" t="s">
        <v>772</v>
      </c>
      <c r="AA116" s="207">
        <v>32694.45</v>
      </c>
      <c r="AB116" s="9">
        <v>35</v>
      </c>
      <c r="AC116" s="9">
        <v>7</v>
      </c>
      <c r="AD116" s="17">
        <v>44803</v>
      </c>
      <c r="AE116" s="54">
        <v>100</v>
      </c>
      <c r="AF116" s="54"/>
      <c r="AG116" s="10" t="s">
        <v>134</v>
      </c>
      <c r="AH116" s="18">
        <v>44805</v>
      </c>
      <c r="AI116" s="10">
        <v>41687912</v>
      </c>
      <c r="AJ116" s="9" t="s">
        <v>3405</v>
      </c>
      <c r="AK116" s="9" t="s">
        <v>3403</v>
      </c>
      <c r="AL116" s="22">
        <v>100</v>
      </c>
      <c r="AM116" s="22"/>
      <c r="AN116" s="22" t="s">
        <v>3393</v>
      </c>
      <c r="AO116" s="22"/>
      <c r="AP116" s="22"/>
      <c r="AQ116" s="22"/>
      <c r="AR116" s="22"/>
      <c r="AS116" s="22"/>
      <c r="AT116" s="22"/>
      <c r="AU116" s="22"/>
      <c r="AV116" s="22"/>
      <c r="AW116" s="17">
        <v>44804</v>
      </c>
      <c r="AX116" s="9">
        <v>909</v>
      </c>
      <c r="BA116" s="22">
        <v>100</v>
      </c>
      <c r="BB116" s="22" t="s">
        <v>1348</v>
      </c>
      <c r="BD116" s="9"/>
      <c r="CS116" s="11">
        <f t="shared" si="12"/>
        <v>100</v>
      </c>
      <c r="CT116" s="22">
        <f t="shared" si="13"/>
        <v>100</v>
      </c>
      <c r="CU116" s="22">
        <f t="shared" si="14"/>
        <v>0</v>
      </c>
      <c r="CV116" s="26">
        <f t="shared" si="15"/>
        <v>0</v>
      </c>
    </row>
    <row r="117" spans="1:100" x14ac:dyDescent="0.2">
      <c r="A117" s="9" t="s">
        <v>3384</v>
      </c>
      <c r="B117" s="2">
        <v>11</v>
      </c>
      <c r="C117" s="3" t="s">
        <v>95</v>
      </c>
      <c r="D117" s="3" t="s">
        <v>96</v>
      </c>
      <c r="E117" s="2"/>
      <c r="F117" s="2"/>
      <c r="G117" s="2" t="s">
        <v>66</v>
      </c>
      <c r="H117" s="2">
        <v>5</v>
      </c>
      <c r="I117" s="20">
        <v>125.84</v>
      </c>
      <c r="J117" s="20">
        <v>37900</v>
      </c>
      <c r="K117" s="3">
        <v>0</v>
      </c>
      <c r="L117" s="3" t="s">
        <v>3</v>
      </c>
      <c r="M117" s="9" t="s">
        <v>0</v>
      </c>
      <c r="N117" s="9" t="s">
        <v>7</v>
      </c>
      <c r="O117" s="9" t="s">
        <v>3383</v>
      </c>
      <c r="S117" s="9" t="s">
        <v>158</v>
      </c>
      <c r="T117" s="10" t="s">
        <v>66</v>
      </c>
      <c r="U117" s="10">
        <v>8</v>
      </c>
      <c r="W117" s="10" t="s">
        <v>710</v>
      </c>
      <c r="X117" s="17">
        <v>44577</v>
      </c>
      <c r="Y117" s="17">
        <v>45167</v>
      </c>
      <c r="Z117" s="19" t="s">
        <v>772</v>
      </c>
      <c r="AA117" s="207">
        <v>32694.45</v>
      </c>
      <c r="AB117" s="9">
        <v>35</v>
      </c>
      <c r="AC117" s="117" t="s">
        <v>3424</v>
      </c>
      <c r="AD117" s="17">
        <v>44925</v>
      </c>
      <c r="AE117" s="54">
        <f>100*4</f>
        <v>400</v>
      </c>
      <c r="AF117" s="54"/>
      <c r="AG117" s="10" t="s">
        <v>134</v>
      </c>
      <c r="AH117" s="18">
        <v>44834</v>
      </c>
      <c r="AI117" s="10">
        <v>41687912</v>
      </c>
      <c r="AJ117" s="9" t="s">
        <v>3405</v>
      </c>
      <c r="AK117" s="9" t="s">
        <v>3404</v>
      </c>
      <c r="AL117" s="22">
        <v>400</v>
      </c>
      <c r="AM117" s="22"/>
      <c r="AN117" s="22" t="s">
        <v>3394</v>
      </c>
      <c r="AO117" s="22"/>
      <c r="AP117" s="22"/>
      <c r="AQ117" s="22"/>
      <c r="AR117" s="22"/>
      <c r="AS117" s="22"/>
      <c r="AT117" s="22"/>
      <c r="AU117" s="22"/>
      <c r="AV117" s="22"/>
      <c r="AW117" s="17">
        <v>44833</v>
      </c>
      <c r="AX117" s="9">
        <v>966</v>
      </c>
      <c r="BA117" s="22">
        <v>400</v>
      </c>
      <c r="BB117" s="22"/>
      <c r="BD117" s="9"/>
      <c r="CS117" s="11">
        <f t="shared" si="12"/>
        <v>400</v>
      </c>
      <c r="CT117" s="22">
        <f t="shared" si="13"/>
        <v>400</v>
      </c>
      <c r="CU117" s="22">
        <f t="shared" si="14"/>
        <v>0</v>
      </c>
      <c r="CV117" s="26">
        <f t="shared" si="15"/>
        <v>0</v>
      </c>
    </row>
    <row r="118" spans="1:100" x14ac:dyDescent="0.2">
      <c r="A118" s="9" t="s">
        <v>3384</v>
      </c>
      <c r="B118" s="2">
        <v>11</v>
      </c>
      <c r="C118" s="3" t="s">
        <v>95</v>
      </c>
      <c r="D118" s="3" t="s">
        <v>96</v>
      </c>
      <c r="E118" s="2"/>
      <c r="F118" s="2"/>
      <c r="G118" s="2" t="s">
        <v>66</v>
      </c>
      <c r="H118" s="2">
        <v>5</v>
      </c>
      <c r="I118" s="20">
        <v>125.84</v>
      </c>
      <c r="J118" s="20">
        <v>37900</v>
      </c>
      <c r="K118" s="3">
        <v>0</v>
      </c>
      <c r="L118" s="3" t="s">
        <v>3</v>
      </c>
      <c r="M118" s="9" t="s">
        <v>0</v>
      </c>
      <c r="N118" s="9" t="s">
        <v>7</v>
      </c>
      <c r="O118" s="9" t="s">
        <v>3383</v>
      </c>
      <c r="S118" s="9" t="s">
        <v>158</v>
      </c>
      <c r="T118" s="10" t="s">
        <v>66</v>
      </c>
      <c r="U118" s="10">
        <v>8</v>
      </c>
      <c r="W118" s="10" t="s">
        <v>710</v>
      </c>
      <c r="X118" s="17">
        <v>44577</v>
      </c>
      <c r="Y118" s="17">
        <v>45167</v>
      </c>
      <c r="Z118" s="19" t="s">
        <v>772</v>
      </c>
      <c r="AA118" s="207">
        <v>32694.45</v>
      </c>
      <c r="AB118" s="9">
        <v>35</v>
      </c>
      <c r="AC118" s="117" t="s">
        <v>3425</v>
      </c>
      <c r="AD118" s="17">
        <v>45381</v>
      </c>
      <c r="AE118" s="54">
        <f>100*3</f>
        <v>300</v>
      </c>
      <c r="AF118" s="54"/>
      <c r="AG118" s="10" t="s">
        <v>134</v>
      </c>
      <c r="AH118" s="18">
        <v>44970</v>
      </c>
      <c r="AI118" s="10">
        <v>41687912</v>
      </c>
      <c r="AJ118" s="9" t="s">
        <v>3405</v>
      </c>
      <c r="AK118" s="9" t="s">
        <v>3406</v>
      </c>
      <c r="AL118" s="22">
        <v>300</v>
      </c>
      <c r="AM118" s="22"/>
      <c r="AN118" s="22" t="s">
        <v>3413</v>
      </c>
      <c r="AO118" s="22"/>
      <c r="AP118" s="22"/>
      <c r="AQ118" s="22"/>
      <c r="AR118" s="22"/>
      <c r="AS118" s="22"/>
      <c r="AT118" s="22"/>
      <c r="AU118" s="22"/>
      <c r="AV118" s="22"/>
      <c r="AW118" s="17">
        <v>44963</v>
      </c>
      <c r="AX118" s="9">
        <v>1204</v>
      </c>
      <c r="BA118" s="22">
        <v>300</v>
      </c>
      <c r="BB118" s="22"/>
      <c r="BD118" s="9"/>
      <c r="CS118" s="11">
        <f t="shared" si="12"/>
        <v>300</v>
      </c>
      <c r="CT118" s="22">
        <f t="shared" si="13"/>
        <v>300</v>
      </c>
      <c r="CU118" s="22">
        <f t="shared" si="14"/>
        <v>0</v>
      </c>
      <c r="CV118" s="26">
        <f t="shared" si="15"/>
        <v>0</v>
      </c>
    </row>
    <row r="119" spans="1:100" x14ac:dyDescent="0.2">
      <c r="A119" s="9" t="s">
        <v>3384</v>
      </c>
      <c r="B119" s="2">
        <v>11</v>
      </c>
      <c r="C119" s="3" t="s">
        <v>95</v>
      </c>
      <c r="D119" s="3" t="s">
        <v>96</v>
      </c>
      <c r="E119" s="2"/>
      <c r="F119" s="2"/>
      <c r="G119" s="2" t="s">
        <v>66</v>
      </c>
      <c r="H119" s="2">
        <v>5</v>
      </c>
      <c r="I119" s="20">
        <v>125.84</v>
      </c>
      <c r="J119" s="20">
        <v>37900</v>
      </c>
      <c r="K119" s="3">
        <v>0</v>
      </c>
      <c r="L119" s="3" t="s">
        <v>3</v>
      </c>
      <c r="M119" s="9" t="s">
        <v>0</v>
      </c>
      <c r="N119" s="9" t="s">
        <v>7</v>
      </c>
      <c r="O119" s="9" t="s">
        <v>3383</v>
      </c>
      <c r="S119" s="9" t="s">
        <v>158</v>
      </c>
      <c r="T119" s="10" t="s">
        <v>66</v>
      </c>
      <c r="U119" s="10">
        <v>8</v>
      </c>
      <c r="W119" s="10" t="s">
        <v>710</v>
      </c>
      <c r="X119" s="17">
        <v>44577</v>
      </c>
      <c r="Y119" s="17">
        <v>45167</v>
      </c>
      <c r="Z119" s="19" t="s">
        <v>772</v>
      </c>
      <c r="AA119" s="207">
        <v>32694.45</v>
      </c>
      <c r="AB119" s="9">
        <v>35</v>
      </c>
      <c r="AC119" s="117" t="s">
        <v>3426</v>
      </c>
      <c r="AD119" s="17">
        <v>45107</v>
      </c>
      <c r="AE119" s="54">
        <f>100*3</f>
        <v>300</v>
      </c>
      <c r="AF119" s="54"/>
      <c r="AG119" s="10" t="s">
        <v>134</v>
      </c>
      <c r="AH119" s="18">
        <v>45042</v>
      </c>
      <c r="AI119" s="10">
        <v>41687912</v>
      </c>
      <c r="AJ119" s="9" t="s">
        <v>3405</v>
      </c>
      <c r="AK119" s="9" t="s">
        <v>3407</v>
      </c>
      <c r="AL119" s="22">
        <v>300</v>
      </c>
      <c r="AM119" s="22"/>
      <c r="AN119" s="22" t="s">
        <v>3414</v>
      </c>
      <c r="AO119" s="22"/>
      <c r="AP119" s="22"/>
      <c r="AQ119" s="22"/>
      <c r="AR119" s="22"/>
      <c r="AS119" s="22"/>
      <c r="AT119" s="22"/>
      <c r="AU119" s="22"/>
      <c r="AV119" s="22"/>
      <c r="AW119" s="17">
        <v>45042</v>
      </c>
      <c r="AX119" s="9">
        <v>1445</v>
      </c>
      <c r="BA119" s="22">
        <v>300</v>
      </c>
      <c r="BB119" s="22"/>
      <c r="BD119" s="9"/>
      <c r="CS119" s="11">
        <f t="shared" si="12"/>
        <v>300</v>
      </c>
      <c r="CT119" s="22">
        <f t="shared" si="13"/>
        <v>300</v>
      </c>
      <c r="CU119" s="22">
        <f t="shared" si="14"/>
        <v>0</v>
      </c>
      <c r="CV119" s="26">
        <f t="shared" si="15"/>
        <v>0</v>
      </c>
    </row>
    <row r="120" spans="1:100" x14ac:dyDescent="0.2">
      <c r="A120" s="9" t="s">
        <v>3384</v>
      </c>
      <c r="B120" s="2">
        <v>11</v>
      </c>
      <c r="C120" s="3" t="s">
        <v>95</v>
      </c>
      <c r="D120" s="3" t="s">
        <v>96</v>
      </c>
      <c r="E120" s="2"/>
      <c r="F120" s="2"/>
      <c r="G120" s="2" t="s">
        <v>66</v>
      </c>
      <c r="H120" s="2">
        <v>5</v>
      </c>
      <c r="I120" s="20">
        <v>125.84</v>
      </c>
      <c r="J120" s="20">
        <v>37900</v>
      </c>
      <c r="K120" s="3">
        <v>0</v>
      </c>
      <c r="L120" s="3" t="s">
        <v>3</v>
      </c>
      <c r="M120" s="9" t="s">
        <v>0</v>
      </c>
      <c r="N120" s="9" t="s">
        <v>7</v>
      </c>
      <c r="O120" s="9" t="s">
        <v>3383</v>
      </c>
      <c r="S120" s="9" t="s">
        <v>158</v>
      </c>
      <c r="T120" s="10" t="s">
        <v>66</v>
      </c>
      <c r="U120" s="10">
        <v>8</v>
      </c>
      <c r="W120" s="10" t="s">
        <v>710</v>
      </c>
      <c r="X120" s="17">
        <v>44577</v>
      </c>
      <c r="Y120" s="17">
        <v>45167</v>
      </c>
      <c r="Z120" s="19" t="s">
        <v>772</v>
      </c>
      <c r="AA120" s="207">
        <v>32694.45</v>
      </c>
      <c r="AB120" s="9">
        <v>35</v>
      </c>
      <c r="AC120" s="9">
        <v>18</v>
      </c>
      <c r="AD120" s="17">
        <v>45137</v>
      </c>
      <c r="AE120" s="54">
        <v>100</v>
      </c>
      <c r="AF120" s="54"/>
      <c r="AG120" s="10" t="s">
        <v>134</v>
      </c>
      <c r="AH120" s="18">
        <v>45139</v>
      </c>
      <c r="AI120" s="10">
        <v>41687912</v>
      </c>
      <c r="AJ120" s="9" t="s">
        <v>3405</v>
      </c>
      <c r="AK120" s="9" t="s">
        <v>3411</v>
      </c>
      <c r="AL120" s="22">
        <v>100</v>
      </c>
      <c r="AM120" s="22"/>
      <c r="AN120" s="22" t="s">
        <v>3415</v>
      </c>
      <c r="AO120" s="22"/>
      <c r="AP120" s="22"/>
      <c r="AQ120" s="22"/>
      <c r="AR120" s="22"/>
      <c r="AS120" s="22"/>
      <c r="AT120" s="22"/>
      <c r="AU120" s="22"/>
      <c r="AV120" s="22"/>
      <c r="AW120" s="17">
        <v>45132</v>
      </c>
      <c r="AX120" s="9">
        <v>1735</v>
      </c>
      <c r="BA120" s="22">
        <v>100</v>
      </c>
      <c r="BB120" s="22"/>
      <c r="BD120" s="9"/>
      <c r="CS120" s="11">
        <f t="shared" si="12"/>
        <v>100</v>
      </c>
      <c r="CT120" s="22">
        <f t="shared" si="13"/>
        <v>100</v>
      </c>
      <c r="CU120" s="22">
        <f t="shared" si="14"/>
        <v>0</v>
      </c>
      <c r="CV120" s="26">
        <f t="shared" si="15"/>
        <v>0</v>
      </c>
    </row>
    <row r="121" spans="1:100" x14ac:dyDescent="0.2">
      <c r="A121" s="9" t="s">
        <v>3384</v>
      </c>
      <c r="B121" s="2">
        <v>11</v>
      </c>
      <c r="C121" s="3" t="s">
        <v>95</v>
      </c>
      <c r="D121" s="3" t="s">
        <v>96</v>
      </c>
      <c r="E121" s="2"/>
      <c r="F121" s="2"/>
      <c r="G121" s="2" t="s">
        <v>66</v>
      </c>
      <c r="H121" s="2">
        <v>5</v>
      </c>
      <c r="I121" s="20">
        <v>125.84</v>
      </c>
      <c r="J121" s="20">
        <v>37900</v>
      </c>
      <c r="K121" s="3">
        <v>0</v>
      </c>
      <c r="L121" s="3" t="s">
        <v>3</v>
      </c>
      <c r="M121" s="9" t="s">
        <v>0</v>
      </c>
      <c r="N121" s="9" t="s">
        <v>7</v>
      </c>
      <c r="O121" s="9" t="s">
        <v>3383</v>
      </c>
      <c r="S121" s="9" t="s">
        <v>158</v>
      </c>
      <c r="T121" s="10" t="s">
        <v>66</v>
      </c>
      <c r="U121" s="10">
        <v>8</v>
      </c>
      <c r="W121" s="10" t="s">
        <v>710</v>
      </c>
      <c r="X121" s="17">
        <v>44577</v>
      </c>
      <c r="Y121" s="17">
        <v>45167</v>
      </c>
      <c r="Z121" s="19" t="s">
        <v>772</v>
      </c>
      <c r="AA121" s="207">
        <v>32694.45</v>
      </c>
      <c r="AB121" s="9">
        <v>35</v>
      </c>
      <c r="AC121" s="9">
        <v>19</v>
      </c>
      <c r="AD121" s="17">
        <v>45168</v>
      </c>
      <c r="AE121" s="54">
        <v>2000</v>
      </c>
      <c r="AF121" s="54"/>
      <c r="AG121" s="10" t="s">
        <v>134</v>
      </c>
      <c r="AH121" s="18">
        <v>45174</v>
      </c>
      <c r="AI121" s="10">
        <v>41687912</v>
      </c>
      <c r="AJ121" s="9" t="s">
        <v>3405</v>
      </c>
      <c r="AK121" s="9" t="s">
        <v>3408</v>
      </c>
      <c r="AL121" s="22">
        <v>2000</v>
      </c>
      <c r="AM121" s="22"/>
      <c r="AN121" s="22" t="s">
        <v>3416</v>
      </c>
      <c r="AO121" s="22"/>
      <c r="AP121" s="22"/>
      <c r="AQ121" s="22"/>
      <c r="AR121" s="22"/>
      <c r="AS121" s="22"/>
      <c r="AT121" s="22"/>
      <c r="AU121" s="22"/>
      <c r="AV121" s="22"/>
      <c r="AW121" s="17">
        <v>45138</v>
      </c>
      <c r="AX121" s="9">
        <v>1757</v>
      </c>
      <c r="BA121" s="22">
        <v>2000</v>
      </c>
      <c r="BB121" s="22"/>
      <c r="BD121" s="9"/>
      <c r="CS121" s="11">
        <f t="shared" si="12"/>
        <v>2000</v>
      </c>
      <c r="CT121" s="22">
        <f t="shared" si="13"/>
        <v>2000</v>
      </c>
      <c r="CU121" s="22">
        <f t="shared" si="14"/>
        <v>0</v>
      </c>
      <c r="CV121" s="26">
        <f t="shared" si="15"/>
        <v>0</v>
      </c>
    </row>
    <row r="122" spans="1:100" x14ac:dyDescent="0.2">
      <c r="A122" s="9" t="s">
        <v>3384</v>
      </c>
      <c r="B122" s="2">
        <v>11</v>
      </c>
      <c r="C122" s="3" t="s">
        <v>95</v>
      </c>
      <c r="D122" s="3" t="s">
        <v>96</v>
      </c>
      <c r="E122" s="2"/>
      <c r="F122" s="2"/>
      <c r="G122" s="2" t="s">
        <v>66</v>
      </c>
      <c r="H122" s="2">
        <v>5</v>
      </c>
      <c r="I122" s="20">
        <v>125.84</v>
      </c>
      <c r="J122" s="20">
        <v>37900</v>
      </c>
      <c r="K122" s="3">
        <v>0</v>
      </c>
      <c r="L122" s="3" t="s">
        <v>3</v>
      </c>
      <c r="M122" s="9" t="s">
        <v>0</v>
      </c>
      <c r="N122" s="9" t="s">
        <v>7</v>
      </c>
      <c r="O122" s="9" t="s">
        <v>3383</v>
      </c>
      <c r="S122" s="9" t="s">
        <v>158</v>
      </c>
      <c r="T122" s="10" t="s">
        <v>66</v>
      </c>
      <c r="U122" s="10">
        <v>8</v>
      </c>
      <c r="W122" s="10" t="s">
        <v>710</v>
      </c>
      <c r="X122" s="17">
        <v>44577</v>
      </c>
      <c r="Y122" s="17">
        <v>45167</v>
      </c>
      <c r="Z122" s="19" t="s">
        <v>772</v>
      </c>
      <c r="AA122" s="207">
        <v>32694.45</v>
      </c>
      <c r="AB122" s="9">
        <v>35</v>
      </c>
      <c r="AC122" s="9">
        <v>20</v>
      </c>
      <c r="AD122" s="17">
        <v>45199</v>
      </c>
      <c r="AE122" s="54">
        <v>500</v>
      </c>
      <c r="AF122" s="54"/>
      <c r="AG122" s="10" t="s">
        <v>134</v>
      </c>
      <c r="AH122" s="18">
        <v>45197</v>
      </c>
      <c r="AI122" s="10">
        <v>41687912</v>
      </c>
      <c r="AJ122" s="9" t="s">
        <v>3405</v>
      </c>
      <c r="AK122" s="9" t="s">
        <v>3412</v>
      </c>
      <c r="AL122" s="22">
        <v>500</v>
      </c>
      <c r="AM122" s="22"/>
      <c r="AN122" s="22" t="s">
        <v>3417</v>
      </c>
      <c r="AO122" s="22"/>
      <c r="AP122" s="22"/>
      <c r="AQ122" s="22"/>
      <c r="AR122" s="22"/>
      <c r="AS122" s="22"/>
      <c r="AT122" s="22"/>
      <c r="AU122" s="22"/>
      <c r="AV122" s="22"/>
      <c r="AW122" s="17">
        <v>45198</v>
      </c>
      <c r="AX122" s="9">
        <v>1924</v>
      </c>
      <c r="BA122" s="22">
        <v>500</v>
      </c>
      <c r="BB122" s="22"/>
      <c r="BD122" s="9"/>
      <c r="CS122" s="11">
        <f t="shared" si="12"/>
        <v>500</v>
      </c>
      <c r="CT122" s="22">
        <f t="shared" si="13"/>
        <v>500</v>
      </c>
      <c r="CU122" s="22">
        <f t="shared" si="14"/>
        <v>0</v>
      </c>
      <c r="CV122" s="26">
        <f t="shared" si="15"/>
        <v>0</v>
      </c>
    </row>
    <row r="123" spans="1:100" x14ac:dyDescent="0.2">
      <c r="A123" s="9" t="s">
        <v>3384</v>
      </c>
      <c r="B123" s="2">
        <v>11</v>
      </c>
      <c r="C123" s="3" t="s">
        <v>95</v>
      </c>
      <c r="D123" s="3" t="s">
        <v>96</v>
      </c>
      <c r="E123" s="2"/>
      <c r="F123" s="2"/>
      <c r="G123" s="2" t="s">
        <v>66</v>
      </c>
      <c r="H123" s="2">
        <v>5</v>
      </c>
      <c r="I123" s="20">
        <v>125.84</v>
      </c>
      <c r="J123" s="20">
        <v>37900</v>
      </c>
      <c r="K123" s="3">
        <v>0</v>
      </c>
      <c r="L123" s="3" t="s">
        <v>3</v>
      </c>
      <c r="M123" s="9" t="s">
        <v>0</v>
      </c>
      <c r="N123" s="9" t="s">
        <v>7</v>
      </c>
      <c r="O123" s="9" t="s">
        <v>3383</v>
      </c>
      <c r="S123" s="9" t="s">
        <v>158</v>
      </c>
      <c r="T123" s="10" t="s">
        <v>66</v>
      </c>
      <c r="U123" s="10">
        <v>8</v>
      </c>
      <c r="W123" s="10" t="s">
        <v>710</v>
      </c>
      <c r="X123" s="17">
        <v>44577</v>
      </c>
      <c r="Y123" s="17">
        <v>45167</v>
      </c>
      <c r="Z123" s="19" t="s">
        <v>772</v>
      </c>
      <c r="AA123" s="207">
        <v>32694.45</v>
      </c>
      <c r="AB123" s="9">
        <v>35</v>
      </c>
      <c r="AC123" s="9">
        <v>21</v>
      </c>
      <c r="AD123" s="17">
        <v>45229</v>
      </c>
      <c r="AE123" s="54">
        <v>500</v>
      </c>
      <c r="AF123" s="54"/>
      <c r="AG123" s="10" t="s">
        <v>134</v>
      </c>
      <c r="AH123" s="18">
        <v>45229</v>
      </c>
      <c r="AI123" s="10">
        <v>41687912</v>
      </c>
      <c r="AJ123" s="9" t="s">
        <v>3405</v>
      </c>
      <c r="AK123" s="9" t="s">
        <v>3409</v>
      </c>
      <c r="AL123" s="22">
        <v>500</v>
      </c>
      <c r="AM123" s="22"/>
      <c r="AN123" s="22" t="s">
        <v>3418</v>
      </c>
      <c r="AO123" s="22"/>
      <c r="AP123" s="22"/>
      <c r="AQ123" s="22"/>
      <c r="AR123" s="22"/>
      <c r="AS123" s="22"/>
      <c r="AT123" s="22"/>
      <c r="AU123" s="22"/>
      <c r="AV123" s="22"/>
      <c r="AW123" s="17">
        <v>45229</v>
      </c>
      <c r="AX123" s="9">
        <v>2010</v>
      </c>
      <c r="BA123" s="22">
        <v>500</v>
      </c>
      <c r="BB123" s="22"/>
      <c r="BD123" s="9"/>
      <c r="CS123" s="11">
        <f t="shared" si="12"/>
        <v>500</v>
      </c>
      <c r="CT123" s="22">
        <f t="shared" si="13"/>
        <v>500</v>
      </c>
      <c r="CU123" s="22">
        <f t="shared" si="14"/>
        <v>0</v>
      </c>
      <c r="CV123" s="26">
        <f t="shared" si="15"/>
        <v>0</v>
      </c>
    </row>
    <row r="124" spans="1:100" x14ac:dyDescent="0.2">
      <c r="A124" s="9" t="s">
        <v>3384</v>
      </c>
      <c r="B124" s="2">
        <v>11</v>
      </c>
      <c r="C124" s="3" t="s">
        <v>95</v>
      </c>
      <c r="D124" s="3" t="s">
        <v>96</v>
      </c>
      <c r="E124" s="2"/>
      <c r="F124" s="2"/>
      <c r="G124" s="2" t="s">
        <v>66</v>
      </c>
      <c r="H124" s="2">
        <v>5</v>
      </c>
      <c r="I124" s="20">
        <v>125.84</v>
      </c>
      <c r="J124" s="20">
        <v>37900</v>
      </c>
      <c r="K124" s="3">
        <v>0</v>
      </c>
      <c r="L124" s="3" t="s">
        <v>3</v>
      </c>
      <c r="M124" s="9" t="s">
        <v>0</v>
      </c>
      <c r="N124" s="9" t="s">
        <v>7</v>
      </c>
      <c r="O124" s="9" t="s">
        <v>3383</v>
      </c>
      <c r="S124" s="9" t="s">
        <v>158</v>
      </c>
      <c r="T124" s="10" t="s">
        <v>66</v>
      </c>
      <c r="U124" s="10">
        <v>8</v>
      </c>
      <c r="W124" s="10" t="s">
        <v>710</v>
      </c>
      <c r="X124" s="17">
        <v>44577</v>
      </c>
      <c r="Y124" s="17">
        <v>45167</v>
      </c>
      <c r="Z124" s="19" t="s">
        <v>772</v>
      </c>
      <c r="AA124" s="207">
        <v>32694.45</v>
      </c>
      <c r="AB124" s="9">
        <v>35</v>
      </c>
      <c r="AC124" s="9">
        <v>22</v>
      </c>
      <c r="AD124" s="17">
        <v>45260</v>
      </c>
      <c r="AE124" s="54">
        <v>500</v>
      </c>
      <c r="AF124" s="54"/>
      <c r="AG124" s="10" t="s">
        <v>134</v>
      </c>
      <c r="AH124" s="18">
        <v>45262</v>
      </c>
      <c r="AI124" s="10">
        <v>41687912</v>
      </c>
      <c r="AJ124" s="9" t="s">
        <v>3405</v>
      </c>
      <c r="AK124" s="9" t="s">
        <v>3410</v>
      </c>
      <c r="AL124" s="22">
        <v>500</v>
      </c>
      <c r="AM124" s="22"/>
      <c r="AN124" s="22" t="s">
        <v>3419</v>
      </c>
      <c r="AO124" s="22"/>
      <c r="AP124" s="22"/>
      <c r="AQ124" s="22"/>
      <c r="AR124" s="22"/>
      <c r="AS124" s="22"/>
      <c r="AT124" s="22"/>
      <c r="AU124" s="22"/>
      <c r="AV124" s="22"/>
      <c r="AW124" s="17">
        <v>45261</v>
      </c>
      <c r="AX124" s="9">
        <v>2087</v>
      </c>
      <c r="BA124" s="22">
        <v>500</v>
      </c>
      <c r="BB124" s="22"/>
      <c r="BD124" s="9"/>
      <c r="CS124" s="11">
        <f t="shared" si="12"/>
        <v>500</v>
      </c>
      <c r="CT124" s="22">
        <f t="shared" si="13"/>
        <v>500</v>
      </c>
      <c r="CU124" s="22">
        <f t="shared" si="14"/>
        <v>0</v>
      </c>
      <c r="CV124" s="26">
        <f t="shared" si="15"/>
        <v>0</v>
      </c>
    </row>
    <row r="125" spans="1:100" x14ac:dyDescent="0.2">
      <c r="A125" s="9" t="s">
        <v>3384</v>
      </c>
      <c r="B125" s="2">
        <v>11</v>
      </c>
      <c r="C125" s="3" t="s">
        <v>95</v>
      </c>
      <c r="D125" s="3" t="s">
        <v>96</v>
      </c>
      <c r="E125" s="2"/>
      <c r="F125" s="2"/>
      <c r="G125" s="2" t="s">
        <v>66</v>
      </c>
      <c r="H125" s="2">
        <v>5</v>
      </c>
      <c r="I125" s="20">
        <v>125.84</v>
      </c>
      <c r="J125" s="20">
        <v>37900</v>
      </c>
      <c r="K125" s="3">
        <v>0</v>
      </c>
      <c r="L125" s="3" t="s">
        <v>3</v>
      </c>
      <c r="M125" s="9" t="s">
        <v>0</v>
      </c>
      <c r="N125" s="9" t="s">
        <v>7</v>
      </c>
      <c r="O125" s="9" t="s">
        <v>3383</v>
      </c>
      <c r="S125" s="9" t="s">
        <v>158</v>
      </c>
      <c r="T125" s="10" t="s">
        <v>66</v>
      </c>
      <c r="U125" s="10">
        <v>8</v>
      </c>
      <c r="W125" s="10" t="s">
        <v>710</v>
      </c>
      <c r="X125" s="17">
        <v>44577</v>
      </c>
      <c r="Y125" s="17">
        <v>45167</v>
      </c>
      <c r="Z125" s="19" t="s">
        <v>772</v>
      </c>
      <c r="AA125" s="207">
        <v>32694.45</v>
      </c>
      <c r="AB125" s="9">
        <v>35</v>
      </c>
      <c r="AC125" s="9">
        <v>23</v>
      </c>
      <c r="AD125" s="17">
        <v>45290</v>
      </c>
      <c r="AE125" s="54">
        <v>500</v>
      </c>
      <c r="AF125" s="54"/>
      <c r="AG125" s="10" t="s">
        <v>134</v>
      </c>
      <c r="AH125" s="18">
        <v>45306</v>
      </c>
      <c r="AI125" s="10">
        <v>41687912</v>
      </c>
      <c r="AJ125" s="9" t="s">
        <v>3405</v>
      </c>
      <c r="AK125" s="9" t="s">
        <v>3420</v>
      </c>
      <c r="AL125" s="22">
        <v>499.19</v>
      </c>
      <c r="AM125" s="22"/>
      <c r="AN125" s="22" t="s">
        <v>3422</v>
      </c>
      <c r="AO125" s="22"/>
      <c r="AP125" s="22"/>
      <c r="AQ125" s="22"/>
      <c r="AR125" s="22"/>
      <c r="AS125" s="22"/>
      <c r="AT125" s="22"/>
      <c r="AU125" s="22"/>
      <c r="AV125" s="22"/>
      <c r="AW125" s="17">
        <v>45307</v>
      </c>
      <c r="AX125" s="9">
        <v>2224</v>
      </c>
      <c r="BA125" s="22">
        <v>500</v>
      </c>
      <c r="BB125" s="22"/>
      <c r="BD125" s="9"/>
      <c r="CS125" s="11">
        <f t="shared" si="12"/>
        <v>499.19</v>
      </c>
      <c r="CT125" s="22">
        <f t="shared" si="13"/>
        <v>500</v>
      </c>
      <c r="CU125" s="22">
        <f t="shared" si="14"/>
        <v>-0.81000000000000227</v>
      </c>
      <c r="CV125" s="26">
        <f t="shared" si="15"/>
        <v>0.81000000000000227</v>
      </c>
    </row>
    <row r="126" spans="1:100" x14ac:dyDescent="0.2">
      <c r="A126" s="9" t="s">
        <v>3384</v>
      </c>
      <c r="B126" s="2">
        <v>11</v>
      </c>
      <c r="C126" s="3" t="s">
        <v>95</v>
      </c>
      <c r="D126" s="3" t="s">
        <v>96</v>
      </c>
      <c r="E126" s="2"/>
      <c r="F126" s="2"/>
      <c r="G126" s="2" t="s">
        <v>66</v>
      </c>
      <c r="H126" s="2">
        <v>5</v>
      </c>
      <c r="I126" s="20">
        <v>125.84</v>
      </c>
      <c r="J126" s="20">
        <v>37900</v>
      </c>
      <c r="K126" s="3">
        <v>0</v>
      </c>
      <c r="L126" s="3" t="s">
        <v>3</v>
      </c>
      <c r="M126" s="9" t="s">
        <v>0</v>
      </c>
      <c r="N126" s="9" t="s">
        <v>7</v>
      </c>
      <c r="O126" s="9" t="s">
        <v>3383</v>
      </c>
      <c r="S126" s="9" t="s">
        <v>158</v>
      </c>
      <c r="T126" s="10" t="s">
        <v>66</v>
      </c>
      <c r="U126" s="10">
        <v>8</v>
      </c>
      <c r="W126" s="10" t="s">
        <v>710</v>
      </c>
      <c r="X126" s="17">
        <v>44577</v>
      </c>
      <c r="Y126" s="17">
        <v>45167</v>
      </c>
      <c r="Z126" s="19" t="s">
        <v>772</v>
      </c>
      <c r="AA126" s="207">
        <v>32694.45</v>
      </c>
      <c r="AB126" s="9">
        <v>35</v>
      </c>
      <c r="AC126" s="9">
        <v>24</v>
      </c>
      <c r="AD126" s="17">
        <v>45321</v>
      </c>
      <c r="AE126" s="54">
        <v>500</v>
      </c>
      <c r="AF126" s="54"/>
      <c r="AG126" s="10" t="s">
        <v>134</v>
      </c>
      <c r="AH126" s="18">
        <v>45324</v>
      </c>
      <c r="AI126" s="10">
        <v>41687912</v>
      </c>
      <c r="AJ126" s="9" t="s">
        <v>3405</v>
      </c>
      <c r="AK126" s="9" t="s">
        <v>3421</v>
      </c>
      <c r="AL126" s="22">
        <v>500</v>
      </c>
      <c r="AM126" s="22"/>
      <c r="AN126" s="22" t="s">
        <v>3423</v>
      </c>
      <c r="AO126" s="22"/>
      <c r="AP126" s="22"/>
      <c r="AQ126" s="22"/>
      <c r="AR126" s="22"/>
      <c r="AS126" s="22"/>
      <c r="AT126" s="22"/>
      <c r="AU126" s="22"/>
      <c r="AV126" s="22"/>
      <c r="AW126" s="17">
        <v>45325</v>
      </c>
      <c r="AX126" s="9">
        <v>2282</v>
      </c>
      <c r="BA126" s="22">
        <v>500</v>
      </c>
      <c r="BB126" s="22"/>
      <c r="BD126" s="9"/>
      <c r="CS126" s="11">
        <f t="shared" si="12"/>
        <v>500</v>
      </c>
      <c r="CT126" s="22">
        <f t="shared" si="13"/>
        <v>500</v>
      </c>
      <c r="CU126" s="22">
        <f t="shared" si="14"/>
        <v>0</v>
      </c>
      <c r="CV126" s="26">
        <f t="shared" si="15"/>
        <v>0</v>
      </c>
    </row>
    <row r="127" spans="1:100" x14ac:dyDescent="0.2">
      <c r="A127" s="9" t="s">
        <v>3384</v>
      </c>
      <c r="B127" s="2">
        <v>11</v>
      </c>
      <c r="C127" s="3" t="s">
        <v>95</v>
      </c>
      <c r="D127" s="3" t="s">
        <v>96</v>
      </c>
      <c r="E127" s="2"/>
      <c r="F127" s="2"/>
      <c r="G127" s="2" t="s">
        <v>66</v>
      </c>
      <c r="H127" s="2">
        <v>5</v>
      </c>
      <c r="I127" s="20">
        <v>125.84</v>
      </c>
      <c r="J127" s="20">
        <v>37900</v>
      </c>
      <c r="K127" s="3">
        <v>0</v>
      </c>
      <c r="L127" s="3" t="s">
        <v>3</v>
      </c>
      <c r="M127" s="9" t="s">
        <v>0</v>
      </c>
      <c r="N127" s="9" t="s">
        <v>7</v>
      </c>
      <c r="O127" s="9" t="s">
        <v>3383</v>
      </c>
      <c r="S127" s="9" t="s">
        <v>158</v>
      </c>
      <c r="T127" s="10" t="s">
        <v>66</v>
      </c>
      <c r="U127" s="10">
        <v>8</v>
      </c>
      <c r="W127" s="10" t="s">
        <v>710</v>
      </c>
      <c r="X127" s="17">
        <v>44577</v>
      </c>
      <c r="Y127" s="17">
        <v>45167</v>
      </c>
      <c r="Z127" s="19" t="s">
        <v>772</v>
      </c>
      <c r="AA127" s="207">
        <v>32694.45</v>
      </c>
      <c r="AB127" s="9">
        <v>35</v>
      </c>
      <c r="AC127" s="9">
        <v>25</v>
      </c>
      <c r="AD127" s="17">
        <v>45351</v>
      </c>
      <c r="AE127" s="54">
        <v>500</v>
      </c>
      <c r="AF127" s="54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9"/>
      <c r="BA127" s="22"/>
      <c r="BB127" s="22"/>
      <c r="BD127" s="9"/>
      <c r="CS127" s="11">
        <f t="shared" si="12"/>
        <v>0</v>
      </c>
      <c r="CT127" s="22">
        <f t="shared" si="13"/>
        <v>0</v>
      </c>
      <c r="CU127" s="22">
        <f t="shared" si="14"/>
        <v>0</v>
      </c>
      <c r="CV127" s="26">
        <f t="shared" si="15"/>
        <v>500</v>
      </c>
    </row>
    <row r="128" spans="1:100" x14ac:dyDescent="0.2">
      <c r="A128" s="9" t="s">
        <v>3384</v>
      </c>
      <c r="B128" s="2">
        <v>11</v>
      </c>
      <c r="C128" s="3" t="s">
        <v>95</v>
      </c>
      <c r="D128" s="3" t="s">
        <v>96</v>
      </c>
      <c r="E128" s="2"/>
      <c r="F128" s="2"/>
      <c r="G128" s="2" t="s">
        <v>66</v>
      </c>
      <c r="H128" s="2">
        <v>5</v>
      </c>
      <c r="I128" s="20">
        <v>125.84</v>
      </c>
      <c r="J128" s="20">
        <v>37900</v>
      </c>
      <c r="K128" s="3">
        <v>0</v>
      </c>
      <c r="L128" s="3" t="s">
        <v>3</v>
      </c>
      <c r="M128" s="9" t="s">
        <v>0</v>
      </c>
      <c r="N128" s="9" t="s">
        <v>7</v>
      </c>
      <c r="O128" s="9" t="s">
        <v>3383</v>
      </c>
      <c r="S128" s="9" t="s">
        <v>158</v>
      </c>
      <c r="T128" s="10" t="s">
        <v>66</v>
      </c>
      <c r="U128" s="10">
        <v>8</v>
      </c>
      <c r="W128" s="10" t="s">
        <v>710</v>
      </c>
      <c r="X128" s="17">
        <v>44577</v>
      </c>
      <c r="Y128" s="17">
        <v>45167</v>
      </c>
      <c r="Z128" s="19" t="s">
        <v>772</v>
      </c>
      <c r="AA128" s="207">
        <v>32694.45</v>
      </c>
      <c r="AB128" s="9">
        <v>35</v>
      </c>
      <c r="AC128" s="9">
        <v>26</v>
      </c>
      <c r="AD128" s="17">
        <v>45381</v>
      </c>
      <c r="AE128" s="54">
        <v>500</v>
      </c>
      <c r="AF128" s="54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9"/>
      <c r="BA128" s="22"/>
      <c r="BB128" s="22"/>
      <c r="BD128" s="9"/>
      <c r="CS128" s="11">
        <f t="shared" si="12"/>
        <v>0</v>
      </c>
      <c r="CT128" s="22">
        <f t="shared" si="13"/>
        <v>0</v>
      </c>
      <c r="CU128" s="22">
        <f t="shared" si="14"/>
        <v>0</v>
      </c>
      <c r="CV128" s="26">
        <f t="shared" si="15"/>
        <v>500</v>
      </c>
    </row>
    <row r="129" spans="1:100" x14ac:dyDescent="0.2">
      <c r="A129" s="9" t="s">
        <v>3384</v>
      </c>
      <c r="B129" s="2">
        <v>11</v>
      </c>
      <c r="C129" s="3" t="s">
        <v>95</v>
      </c>
      <c r="D129" s="3" t="s">
        <v>96</v>
      </c>
      <c r="E129" s="2"/>
      <c r="F129" s="2"/>
      <c r="G129" s="2" t="s">
        <v>66</v>
      </c>
      <c r="H129" s="2">
        <v>5</v>
      </c>
      <c r="I129" s="20">
        <v>125.84</v>
      </c>
      <c r="J129" s="20">
        <v>37900</v>
      </c>
      <c r="K129" s="3">
        <v>0</v>
      </c>
      <c r="L129" s="3" t="s">
        <v>3</v>
      </c>
      <c r="M129" s="9" t="s">
        <v>0</v>
      </c>
      <c r="N129" s="9" t="s">
        <v>7</v>
      </c>
      <c r="O129" s="9" t="s">
        <v>3383</v>
      </c>
      <c r="S129" s="9" t="s">
        <v>158</v>
      </c>
      <c r="T129" s="10" t="s">
        <v>66</v>
      </c>
      <c r="U129" s="10">
        <v>8</v>
      </c>
      <c r="W129" s="10" t="s">
        <v>710</v>
      </c>
      <c r="X129" s="17">
        <v>44577</v>
      </c>
      <c r="Y129" s="17">
        <v>45167</v>
      </c>
      <c r="Z129" s="19" t="s">
        <v>772</v>
      </c>
      <c r="AA129" s="207">
        <v>32694.45</v>
      </c>
      <c r="AB129" s="9">
        <v>35</v>
      </c>
      <c r="AC129" s="9">
        <v>27</v>
      </c>
      <c r="AD129" s="17">
        <v>45412</v>
      </c>
      <c r="AE129" s="54">
        <v>500</v>
      </c>
      <c r="AF129" s="54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9"/>
      <c r="BA129" s="22"/>
      <c r="BB129" s="22"/>
      <c r="BD129" s="9"/>
      <c r="CS129" s="11">
        <f t="shared" si="12"/>
        <v>0</v>
      </c>
      <c r="CT129" s="22">
        <f t="shared" si="13"/>
        <v>0</v>
      </c>
      <c r="CU129" s="22">
        <f t="shared" si="14"/>
        <v>0</v>
      </c>
      <c r="CV129" s="26">
        <f t="shared" si="15"/>
        <v>500</v>
      </c>
    </row>
    <row r="130" spans="1:100" x14ac:dyDescent="0.2">
      <c r="A130" s="9" t="s">
        <v>3384</v>
      </c>
      <c r="B130" s="2">
        <v>11</v>
      </c>
      <c r="C130" s="3" t="s">
        <v>95</v>
      </c>
      <c r="D130" s="3" t="s">
        <v>96</v>
      </c>
      <c r="E130" s="2"/>
      <c r="F130" s="2"/>
      <c r="G130" s="2" t="s">
        <v>66</v>
      </c>
      <c r="H130" s="2">
        <v>5</v>
      </c>
      <c r="I130" s="20">
        <v>125.84</v>
      </c>
      <c r="J130" s="20">
        <v>37900</v>
      </c>
      <c r="K130" s="3">
        <v>0</v>
      </c>
      <c r="L130" s="3" t="s">
        <v>3</v>
      </c>
      <c r="M130" s="9" t="s">
        <v>0</v>
      </c>
      <c r="N130" s="9" t="s">
        <v>7</v>
      </c>
      <c r="O130" s="9" t="s">
        <v>3383</v>
      </c>
      <c r="S130" s="9" t="s">
        <v>158</v>
      </c>
      <c r="T130" s="10" t="s">
        <v>66</v>
      </c>
      <c r="U130" s="10">
        <v>8</v>
      </c>
      <c r="W130" s="10" t="s">
        <v>710</v>
      </c>
      <c r="X130" s="17">
        <v>44577</v>
      </c>
      <c r="Y130" s="17">
        <v>45167</v>
      </c>
      <c r="Z130" s="19" t="s">
        <v>772</v>
      </c>
      <c r="AA130" s="207">
        <v>32694.45</v>
      </c>
      <c r="AB130" s="9">
        <v>35</v>
      </c>
      <c r="AC130" s="9">
        <v>28</v>
      </c>
      <c r="AD130" s="17">
        <v>45442</v>
      </c>
      <c r="AE130" s="54">
        <v>500</v>
      </c>
      <c r="AF130" s="54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9"/>
      <c r="BA130" s="22"/>
      <c r="BB130" s="22"/>
      <c r="BD130" s="9"/>
      <c r="CS130" s="11">
        <f t="shared" si="12"/>
        <v>0</v>
      </c>
      <c r="CT130" s="22">
        <f t="shared" si="13"/>
        <v>0</v>
      </c>
      <c r="CU130" s="22">
        <f t="shared" si="14"/>
        <v>0</v>
      </c>
      <c r="CV130" s="26">
        <f t="shared" si="15"/>
        <v>500</v>
      </c>
    </row>
    <row r="131" spans="1:100" x14ac:dyDescent="0.2">
      <c r="A131" s="9" t="s">
        <v>3384</v>
      </c>
      <c r="B131" s="2">
        <v>11</v>
      </c>
      <c r="C131" s="3" t="s">
        <v>95</v>
      </c>
      <c r="D131" s="3" t="s">
        <v>96</v>
      </c>
      <c r="E131" s="2"/>
      <c r="F131" s="2"/>
      <c r="G131" s="2" t="s">
        <v>66</v>
      </c>
      <c r="H131" s="2">
        <v>5</v>
      </c>
      <c r="I131" s="20">
        <v>125.84</v>
      </c>
      <c r="J131" s="20">
        <v>37900</v>
      </c>
      <c r="K131" s="3">
        <v>0</v>
      </c>
      <c r="L131" s="3" t="s">
        <v>3</v>
      </c>
      <c r="M131" s="9" t="s">
        <v>0</v>
      </c>
      <c r="N131" s="9" t="s">
        <v>7</v>
      </c>
      <c r="O131" s="9" t="s">
        <v>3383</v>
      </c>
      <c r="S131" s="9" t="s">
        <v>158</v>
      </c>
      <c r="T131" s="10" t="s">
        <v>66</v>
      </c>
      <c r="U131" s="10">
        <v>8</v>
      </c>
      <c r="W131" s="10" t="s">
        <v>710</v>
      </c>
      <c r="X131" s="17">
        <v>44577</v>
      </c>
      <c r="Y131" s="17">
        <v>45167</v>
      </c>
      <c r="Z131" s="19" t="s">
        <v>772</v>
      </c>
      <c r="AA131" s="207">
        <v>32694.45</v>
      </c>
      <c r="AB131" s="9">
        <v>35</v>
      </c>
      <c r="AC131" s="9">
        <v>29</v>
      </c>
      <c r="AD131" s="17">
        <v>45473</v>
      </c>
      <c r="AE131" s="54">
        <v>500</v>
      </c>
      <c r="AF131" s="54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9"/>
      <c r="BA131" s="22"/>
      <c r="BB131" s="22"/>
      <c r="BD131" s="9"/>
      <c r="CS131" s="11">
        <f t="shared" si="12"/>
        <v>0</v>
      </c>
      <c r="CT131" s="22">
        <f t="shared" si="13"/>
        <v>0</v>
      </c>
      <c r="CU131" s="22">
        <f t="shared" si="14"/>
        <v>0</v>
      </c>
      <c r="CV131" s="26">
        <f t="shared" si="15"/>
        <v>500</v>
      </c>
    </row>
    <row r="132" spans="1:100" x14ac:dyDescent="0.2">
      <c r="A132" s="9" t="s">
        <v>3384</v>
      </c>
      <c r="B132" s="2">
        <v>11</v>
      </c>
      <c r="C132" s="3" t="s">
        <v>95</v>
      </c>
      <c r="D132" s="3" t="s">
        <v>96</v>
      </c>
      <c r="E132" s="2"/>
      <c r="F132" s="2"/>
      <c r="G132" s="2" t="s">
        <v>66</v>
      </c>
      <c r="H132" s="2">
        <v>5</v>
      </c>
      <c r="I132" s="20">
        <v>125.84</v>
      </c>
      <c r="J132" s="20">
        <v>37900</v>
      </c>
      <c r="K132" s="3">
        <v>0</v>
      </c>
      <c r="L132" s="3" t="s">
        <v>3</v>
      </c>
      <c r="M132" s="9" t="s">
        <v>0</v>
      </c>
      <c r="N132" s="9" t="s">
        <v>7</v>
      </c>
      <c r="O132" s="9" t="s">
        <v>3383</v>
      </c>
      <c r="S132" s="9" t="s">
        <v>158</v>
      </c>
      <c r="T132" s="10" t="s">
        <v>66</v>
      </c>
      <c r="U132" s="10">
        <v>8</v>
      </c>
      <c r="W132" s="10" t="s">
        <v>710</v>
      </c>
      <c r="X132" s="17">
        <v>44577</v>
      </c>
      <c r="Y132" s="17">
        <v>45167</v>
      </c>
      <c r="Z132" s="19" t="s">
        <v>772</v>
      </c>
      <c r="AA132" s="207">
        <v>32694.45</v>
      </c>
      <c r="AB132" s="9">
        <v>35</v>
      </c>
      <c r="AC132" s="9">
        <v>30</v>
      </c>
      <c r="AD132" s="17">
        <v>45503</v>
      </c>
      <c r="AE132" s="54">
        <v>500</v>
      </c>
      <c r="AF132" s="54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9"/>
      <c r="BA132" s="22"/>
      <c r="BB132" s="22"/>
      <c r="BD132" s="9"/>
      <c r="CS132" s="11">
        <f t="shared" si="12"/>
        <v>0</v>
      </c>
      <c r="CT132" s="22">
        <f t="shared" si="13"/>
        <v>0</v>
      </c>
      <c r="CU132" s="22">
        <f t="shared" si="14"/>
        <v>0</v>
      </c>
      <c r="CV132" s="26">
        <f t="shared" si="15"/>
        <v>500</v>
      </c>
    </row>
    <row r="133" spans="1:100" x14ac:dyDescent="0.2">
      <c r="A133" s="9" t="s">
        <v>3384</v>
      </c>
      <c r="B133" s="2">
        <v>11</v>
      </c>
      <c r="C133" s="3" t="s">
        <v>95</v>
      </c>
      <c r="D133" s="3" t="s">
        <v>96</v>
      </c>
      <c r="E133" s="2"/>
      <c r="F133" s="2"/>
      <c r="G133" s="2" t="s">
        <v>66</v>
      </c>
      <c r="H133" s="2">
        <v>5</v>
      </c>
      <c r="I133" s="20">
        <v>125.84</v>
      </c>
      <c r="J133" s="20">
        <v>37900</v>
      </c>
      <c r="K133" s="3">
        <v>0</v>
      </c>
      <c r="L133" s="3" t="s">
        <v>3</v>
      </c>
      <c r="M133" s="9" t="s">
        <v>0</v>
      </c>
      <c r="N133" s="9" t="s">
        <v>7</v>
      </c>
      <c r="O133" s="9" t="s">
        <v>3383</v>
      </c>
      <c r="S133" s="9" t="s">
        <v>158</v>
      </c>
      <c r="T133" s="10" t="s">
        <v>66</v>
      </c>
      <c r="U133" s="10">
        <v>8</v>
      </c>
      <c r="W133" s="10" t="s">
        <v>710</v>
      </c>
      <c r="X133" s="17">
        <v>44577</v>
      </c>
      <c r="Y133" s="17">
        <v>45167</v>
      </c>
      <c r="Z133" s="19" t="s">
        <v>772</v>
      </c>
      <c r="AA133" s="207">
        <v>32694.45</v>
      </c>
      <c r="AB133" s="9">
        <v>35</v>
      </c>
      <c r="AC133" s="9">
        <v>31</v>
      </c>
      <c r="AD133" s="17">
        <v>45534</v>
      </c>
      <c r="AE133" s="54">
        <v>500</v>
      </c>
      <c r="AF133" s="54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9"/>
      <c r="BA133" s="22"/>
      <c r="BB133" s="22"/>
      <c r="BD133" s="9"/>
      <c r="CS133" s="11">
        <f t="shared" si="12"/>
        <v>0</v>
      </c>
      <c r="CT133" s="22">
        <f t="shared" si="13"/>
        <v>0</v>
      </c>
      <c r="CU133" s="22">
        <f t="shared" si="14"/>
        <v>0</v>
      </c>
      <c r="CV133" s="26">
        <f t="shared" si="15"/>
        <v>500</v>
      </c>
    </row>
    <row r="134" spans="1:100" x14ac:dyDescent="0.2">
      <c r="A134" s="9" t="s">
        <v>3384</v>
      </c>
      <c r="B134" s="2">
        <v>11</v>
      </c>
      <c r="C134" s="3" t="s">
        <v>95</v>
      </c>
      <c r="D134" s="3" t="s">
        <v>96</v>
      </c>
      <c r="E134" s="2"/>
      <c r="F134" s="2"/>
      <c r="G134" s="2" t="s">
        <v>66</v>
      </c>
      <c r="H134" s="2">
        <v>5</v>
      </c>
      <c r="I134" s="20">
        <v>125.84</v>
      </c>
      <c r="J134" s="20">
        <v>37900</v>
      </c>
      <c r="K134" s="3">
        <v>0</v>
      </c>
      <c r="L134" s="3" t="s">
        <v>3</v>
      </c>
      <c r="M134" s="9" t="s">
        <v>0</v>
      </c>
      <c r="N134" s="9" t="s">
        <v>7</v>
      </c>
      <c r="O134" s="9" t="s">
        <v>3383</v>
      </c>
      <c r="S134" s="9" t="s">
        <v>158</v>
      </c>
      <c r="T134" s="10" t="s">
        <v>66</v>
      </c>
      <c r="U134" s="10">
        <v>8</v>
      </c>
      <c r="W134" s="10" t="s">
        <v>710</v>
      </c>
      <c r="X134" s="17">
        <v>44577</v>
      </c>
      <c r="Y134" s="17">
        <v>45167</v>
      </c>
      <c r="Z134" s="19" t="s">
        <v>772</v>
      </c>
      <c r="AA134" s="207">
        <v>32694.45</v>
      </c>
      <c r="AB134" s="9">
        <v>35</v>
      </c>
      <c r="AC134" s="9">
        <v>32</v>
      </c>
      <c r="AD134" s="17">
        <v>45565</v>
      </c>
      <c r="AE134" s="54">
        <v>500</v>
      </c>
      <c r="AF134" s="54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9"/>
      <c r="BA134" s="22"/>
      <c r="BB134" s="22"/>
      <c r="BD134" s="9"/>
      <c r="CS134" s="11">
        <f t="shared" si="12"/>
        <v>0</v>
      </c>
      <c r="CT134" s="22">
        <f t="shared" si="13"/>
        <v>0</v>
      </c>
      <c r="CU134" s="22">
        <f t="shared" si="14"/>
        <v>0</v>
      </c>
      <c r="CV134" s="26">
        <f t="shared" si="15"/>
        <v>500</v>
      </c>
    </row>
    <row r="135" spans="1:100" x14ac:dyDescent="0.2">
      <c r="A135" s="9" t="s">
        <v>3384</v>
      </c>
      <c r="B135" s="2">
        <v>11</v>
      </c>
      <c r="C135" s="3" t="s">
        <v>95</v>
      </c>
      <c r="D135" s="3" t="s">
        <v>96</v>
      </c>
      <c r="E135" s="2"/>
      <c r="F135" s="2"/>
      <c r="G135" s="2" t="s">
        <v>66</v>
      </c>
      <c r="H135" s="2">
        <v>5</v>
      </c>
      <c r="I135" s="20">
        <v>125.84</v>
      </c>
      <c r="J135" s="20">
        <v>37900</v>
      </c>
      <c r="K135" s="3">
        <v>0</v>
      </c>
      <c r="L135" s="3" t="s">
        <v>3</v>
      </c>
      <c r="M135" s="9" t="s">
        <v>0</v>
      </c>
      <c r="N135" s="9" t="s">
        <v>7</v>
      </c>
      <c r="O135" s="9" t="s">
        <v>3383</v>
      </c>
      <c r="S135" s="9" t="s">
        <v>158</v>
      </c>
      <c r="T135" s="10" t="s">
        <v>66</v>
      </c>
      <c r="U135" s="10">
        <v>8</v>
      </c>
      <c r="W135" s="10" t="s">
        <v>710</v>
      </c>
      <c r="X135" s="17">
        <v>44577</v>
      </c>
      <c r="Y135" s="17">
        <v>45167</v>
      </c>
      <c r="Z135" s="19" t="s">
        <v>772</v>
      </c>
      <c r="AA135" s="207">
        <v>32694.45</v>
      </c>
      <c r="AB135" s="9">
        <v>35</v>
      </c>
      <c r="AC135" s="9">
        <v>33</v>
      </c>
      <c r="AD135" s="17">
        <v>45595</v>
      </c>
      <c r="AE135" s="54">
        <v>500</v>
      </c>
      <c r="AF135" s="54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9"/>
      <c r="BA135" s="22"/>
      <c r="BB135" s="22"/>
      <c r="BD135" s="9"/>
      <c r="CS135" s="11">
        <f t="shared" si="12"/>
        <v>0</v>
      </c>
      <c r="CT135" s="22">
        <f t="shared" si="13"/>
        <v>0</v>
      </c>
      <c r="CU135" s="22">
        <f t="shared" si="14"/>
        <v>0</v>
      </c>
      <c r="CV135" s="26">
        <f t="shared" si="15"/>
        <v>500</v>
      </c>
    </row>
    <row r="136" spans="1:100" x14ac:dyDescent="0.2">
      <c r="A136" s="9" t="s">
        <v>3384</v>
      </c>
      <c r="B136" s="2">
        <v>11</v>
      </c>
      <c r="C136" s="3" t="s">
        <v>95</v>
      </c>
      <c r="D136" s="3" t="s">
        <v>96</v>
      </c>
      <c r="E136" s="2"/>
      <c r="F136" s="2"/>
      <c r="G136" s="2" t="s">
        <v>66</v>
      </c>
      <c r="H136" s="2">
        <v>5</v>
      </c>
      <c r="I136" s="20">
        <v>125.84</v>
      </c>
      <c r="J136" s="20">
        <v>37900</v>
      </c>
      <c r="K136" s="3">
        <v>0</v>
      </c>
      <c r="L136" s="3" t="s">
        <v>3</v>
      </c>
      <c r="M136" s="9" t="s">
        <v>0</v>
      </c>
      <c r="N136" s="9" t="s">
        <v>7</v>
      </c>
      <c r="O136" s="9" t="s">
        <v>3383</v>
      </c>
      <c r="S136" s="9" t="s">
        <v>158</v>
      </c>
      <c r="T136" s="10" t="s">
        <v>66</v>
      </c>
      <c r="U136" s="10">
        <v>8</v>
      </c>
      <c r="W136" s="10" t="s">
        <v>710</v>
      </c>
      <c r="X136" s="17">
        <v>44577</v>
      </c>
      <c r="Y136" s="17">
        <v>45167</v>
      </c>
      <c r="Z136" s="19" t="s">
        <v>772</v>
      </c>
      <c r="AA136" s="207">
        <v>32694.45</v>
      </c>
      <c r="AB136" s="9">
        <v>35</v>
      </c>
      <c r="AC136" s="9">
        <v>34</v>
      </c>
      <c r="AD136" s="17">
        <v>45626</v>
      </c>
      <c r="AE136" s="54">
        <v>500</v>
      </c>
      <c r="AF136" s="54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9"/>
      <c r="BA136" s="22"/>
      <c r="BB136" s="22"/>
      <c r="BD136" s="9"/>
      <c r="CS136" s="11">
        <f t="shared" si="12"/>
        <v>0</v>
      </c>
      <c r="CT136" s="22">
        <f t="shared" si="13"/>
        <v>0</v>
      </c>
      <c r="CU136" s="22">
        <f t="shared" si="14"/>
        <v>0</v>
      </c>
      <c r="CV136" s="26">
        <f t="shared" si="15"/>
        <v>500</v>
      </c>
    </row>
    <row r="137" spans="1:100" x14ac:dyDescent="0.2">
      <c r="A137" s="9" t="s">
        <v>3384</v>
      </c>
      <c r="B137" s="2">
        <v>11</v>
      </c>
      <c r="C137" s="3" t="s">
        <v>95</v>
      </c>
      <c r="D137" s="3" t="s">
        <v>96</v>
      </c>
      <c r="E137" s="2"/>
      <c r="F137" s="2"/>
      <c r="G137" s="2" t="s">
        <v>66</v>
      </c>
      <c r="H137" s="2">
        <v>5</v>
      </c>
      <c r="I137" s="20">
        <v>125.84</v>
      </c>
      <c r="J137" s="20">
        <v>37900</v>
      </c>
      <c r="K137" s="3">
        <v>0</v>
      </c>
      <c r="L137" s="3" t="s">
        <v>3</v>
      </c>
      <c r="M137" s="9" t="s">
        <v>0</v>
      </c>
      <c r="N137" s="9" t="s">
        <v>7</v>
      </c>
      <c r="O137" s="9" t="s">
        <v>3383</v>
      </c>
      <c r="S137" s="9" t="s">
        <v>158</v>
      </c>
      <c r="T137" s="10" t="s">
        <v>66</v>
      </c>
      <c r="U137" s="10">
        <v>8</v>
      </c>
      <c r="W137" s="10" t="s">
        <v>710</v>
      </c>
      <c r="X137" s="17">
        <v>44577</v>
      </c>
      <c r="Y137" s="17">
        <v>45167</v>
      </c>
      <c r="Z137" s="19" t="s">
        <v>772</v>
      </c>
      <c r="AA137" s="207">
        <v>32694.45</v>
      </c>
      <c r="AB137" s="9">
        <v>35</v>
      </c>
      <c r="AC137" s="9">
        <v>35</v>
      </c>
      <c r="AD137" s="17">
        <v>45656</v>
      </c>
      <c r="AE137" s="54">
        <v>17394.45</v>
      </c>
      <c r="AF137" s="54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9"/>
      <c r="BA137" s="22"/>
      <c r="BB137" s="22"/>
      <c r="BD137" s="9"/>
      <c r="CS137" s="11">
        <f t="shared" si="12"/>
        <v>0</v>
      </c>
      <c r="CT137" s="22">
        <f t="shared" si="13"/>
        <v>0</v>
      </c>
      <c r="CU137" s="22">
        <f t="shared" si="14"/>
        <v>0</v>
      </c>
      <c r="CV137" s="26">
        <f t="shared" si="15"/>
        <v>17394.45</v>
      </c>
    </row>
    <row r="138" spans="1:100" x14ac:dyDescent="0.2">
      <c r="A138" s="9" t="s">
        <v>3384</v>
      </c>
      <c r="B138" s="2">
        <v>11</v>
      </c>
      <c r="C138" s="3" t="s">
        <v>95</v>
      </c>
      <c r="D138" s="3" t="s">
        <v>96</v>
      </c>
      <c r="E138" s="2"/>
      <c r="F138" s="2"/>
      <c r="G138" s="2" t="s">
        <v>66</v>
      </c>
      <c r="H138" s="2">
        <v>5</v>
      </c>
      <c r="I138" s="20">
        <v>125.84</v>
      </c>
      <c r="J138" s="20">
        <v>37900</v>
      </c>
      <c r="K138" s="3">
        <v>0</v>
      </c>
      <c r="L138" s="3" t="s">
        <v>3</v>
      </c>
      <c r="M138" s="9" t="s">
        <v>0</v>
      </c>
      <c r="N138" s="9" t="s">
        <v>7</v>
      </c>
      <c r="O138" s="9" t="s">
        <v>3383</v>
      </c>
      <c r="S138" s="9" t="s">
        <v>3427</v>
      </c>
      <c r="T138" s="10" t="s">
        <v>66</v>
      </c>
      <c r="U138" s="10">
        <v>8</v>
      </c>
      <c r="W138" s="10" t="s">
        <v>710</v>
      </c>
      <c r="X138" s="17">
        <v>44577</v>
      </c>
      <c r="Y138" s="17">
        <v>44580</v>
      </c>
      <c r="Z138" s="19" t="s">
        <v>772</v>
      </c>
      <c r="AA138" s="207">
        <v>6000</v>
      </c>
      <c r="AB138" s="9">
        <v>24</v>
      </c>
      <c r="AC138" s="9">
        <v>1</v>
      </c>
      <c r="AD138" s="17">
        <v>44985</v>
      </c>
      <c r="AE138" s="22">
        <v>250</v>
      </c>
      <c r="AF138" s="54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9"/>
      <c r="BA138" s="22"/>
      <c r="BB138" s="22"/>
      <c r="BD138" s="9"/>
      <c r="CS138" s="11">
        <f t="shared" si="12"/>
        <v>0</v>
      </c>
      <c r="CT138" s="22">
        <f t="shared" si="13"/>
        <v>0</v>
      </c>
      <c r="CU138" s="22">
        <f t="shared" si="14"/>
        <v>0</v>
      </c>
      <c r="CV138" s="26">
        <f t="shared" si="15"/>
        <v>250</v>
      </c>
    </row>
    <row r="139" spans="1:100" x14ac:dyDescent="0.2">
      <c r="A139" s="9" t="s">
        <v>3384</v>
      </c>
      <c r="B139" s="2">
        <v>11</v>
      </c>
      <c r="C139" s="3" t="s">
        <v>95</v>
      </c>
      <c r="D139" s="3" t="s">
        <v>96</v>
      </c>
      <c r="E139" s="2"/>
      <c r="F139" s="2"/>
      <c r="G139" s="2" t="s">
        <v>66</v>
      </c>
      <c r="H139" s="2">
        <v>5</v>
      </c>
      <c r="I139" s="20">
        <v>125.84</v>
      </c>
      <c r="J139" s="20">
        <v>37900</v>
      </c>
      <c r="K139" s="3">
        <v>0</v>
      </c>
      <c r="L139" s="3" t="s">
        <v>3</v>
      </c>
      <c r="M139" s="9" t="s">
        <v>0</v>
      </c>
      <c r="N139" s="9" t="s">
        <v>7</v>
      </c>
      <c r="O139" s="9" t="s">
        <v>3383</v>
      </c>
      <c r="S139" s="9" t="s">
        <v>3427</v>
      </c>
      <c r="T139" s="10" t="s">
        <v>66</v>
      </c>
      <c r="U139" s="10">
        <v>8</v>
      </c>
      <c r="W139" s="10" t="s">
        <v>710</v>
      </c>
      <c r="X139" s="17">
        <v>44577</v>
      </c>
      <c r="Y139" s="17">
        <v>44580</v>
      </c>
      <c r="Z139" s="19" t="s">
        <v>772</v>
      </c>
      <c r="AA139" s="207">
        <v>6000</v>
      </c>
      <c r="AB139" s="9">
        <v>24</v>
      </c>
      <c r="AC139" s="9">
        <v>2</v>
      </c>
      <c r="AD139" s="17">
        <v>45015</v>
      </c>
      <c r="AE139" s="22">
        <v>250</v>
      </c>
      <c r="AF139" s="54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9"/>
      <c r="BA139" s="22"/>
      <c r="BB139" s="22"/>
      <c r="BD139" s="9"/>
      <c r="CS139" s="11">
        <f t="shared" si="12"/>
        <v>0</v>
      </c>
      <c r="CT139" s="22">
        <f t="shared" si="13"/>
        <v>0</v>
      </c>
      <c r="CU139" s="22">
        <f t="shared" si="14"/>
        <v>0</v>
      </c>
      <c r="CV139" s="26">
        <f t="shared" si="15"/>
        <v>250</v>
      </c>
    </row>
    <row r="140" spans="1:100" x14ac:dyDescent="0.2">
      <c r="A140" s="9" t="s">
        <v>3384</v>
      </c>
      <c r="B140" s="2">
        <v>11</v>
      </c>
      <c r="C140" s="3" t="s">
        <v>95</v>
      </c>
      <c r="D140" s="3" t="s">
        <v>96</v>
      </c>
      <c r="E140" s="2"/>
      <c r="F140" s="2"/>
      <c r="G140" s="2" t="s">
        <v>66</v>
      </c>
      <c r="H140" s="2">
        <v>5</v>
      </c>
      <c r="I140" s="20">
        <v>125.84</v>
      </c>
      <c r="J140" s="20">
        <v>37900</v>
      </c>
      <c r="K140" s="3">
        <v>0</v>
      </c>
      <c r="L140" s="3" t="s">
        <v>3</v>
      </c>
      <c r="M140" s="9" t="s">
        <v>0</v>
      </c>
      <c r="N140" s="9" t="s">
        <v>7</v>
      </c>
      <c r="O140" s="9" t="s">
        <v>3383</v>
      </c>
      <c r="S140" s="9" t="s">
        <v>3427</v>
      </c>
      <c r="T140" s="10" t="s">
        <v>66</v>
      </c>
      <c r="U140" s="10">
        <v>8</v>
      </c>
      <c r="W140" s="10" t="s">
        <v>710</v>
      </c>
      <c r="X140" s="17">
        <v>44577</v>
      </c>
      <c r="Y140" s="17">
        <v>44580</v>
      </c>
      <c r="Z140" s="19" t="s">
        <v>772</v>
      </c>
      <c r="AA140" s="207">
        <v>6000</v>
      </c>
      <c r="AB140" s="9">
        <v>24</v>
      </c>
      <c r="AC140" s="9">
        <v>3</v>
      </c>
      <c r="AD140" s="17">
        <v>45046</v>
      </c>
      <c r="AE140" s="22">
        <v>250</v>
      </c>
      <c r="AF140" s="54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9"/>
      <c r="BA140" s="22"/>
      <c r="BB140" s="22"/>
      <c r="BD140" s="9"/>
      <c r="CS140" s="11">
        <f t="shared" si="12"/>
        <v>0</v>
      </c>
      <c r="CT140" s="22">
        <f t="shared" si="13"/>
        <v>0</v>
      </c>
      <c r="CU140" s="22">
        <f t="shared" si="14"/>
        <v>0</v>
      </c>
      <c r="CV140" s="26">
        <f t="shared" si="15"/>
        <v>250</v>
      </c>
    </row>
    <row r="141" spans="1:100" x14ac:dyDescent="0.2">
      <c r="A141" s="9" t="s">
        <v>3384</v>
      </c>
      <c r="B141" s="2">
        <v>11</v>
      </c>
      <c r="C141" s="3" t="s">
        <v>95</v>
      </c>
      <c r="D141" s="3" t="s">
        <v>96</v>
      </c>
      <c r="E141" s="2"/>
      <c r="F141" s="2"/>
      <c r="G141" s="2" t="s">
        <v>66</v>
      </c>
      <c r="H141" s="2">
        <v>5</v>
      </c>
      <c r="I141" s="20">
        <v>125.84</v>
      </c>
      <c r="J141" s="20">
        <v>37900</v>
      </c>
      <c r="K141" s="3">
        <v>0</v>
      </c>
      <c r="L141" s="3" t="s">
        <v>3</v>
      </c>
      <c r="M141" s="9" t="s">
        <v>0</v>
      </c>
      <c r="N141" s="9" t="s">
        <v>7</v>
      </c>
      <c r="O141" s="9" t="s">
        <v>3383</v>
      </c>
      <c r="S141" s="9" t="s">
        <v>3427</v>
      </c>
      <c r="T141" s="10" t="s">
        <v>66</v>
      </c>
      <c r="U141" s="10">
        <v>8</v>
      </c>
      <c r="W141" s="10" t="s">
        <v>710</v>
      </c>
      <c r="X141" s="17">
        <v>44577</v>
      </c>
      <c r="Y141" s="17">
        <v>44580</v>
      </c>
      <c r="Z141" s="19" t="s">
        <v>772</v>
      </c>
      <c r="AA141" s="207">
        <v>6000</v>
      </c>
      <c r="AB141" s="9">
        <v>24</v>
      </c>
      <c r="AC141" s="9">
        <v>4</v>
      </c>
      <c r="AD141" s="17">
        <v>45076</v>
      </c>
      <c r="AE141" s="22">
        <v>250</v>
      </c>
      <c r="AF141" s="54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9"/>
      <c r="BA141" s="22"/>
      <c r="BB141" s="22"/>
      <c r="BD141" s="9"/>
      <c r="CS141" s="11">
        <f t="shared" si="12"/>
        <v>0</v>
      </c>
      <c r="CT141" s="22">
        <f t="shared" si="13"/>
        <v>0</v>
      </c>
      <c r="CU141" s="22">
        <f t="shared" si="14"/>
        <v>0</v>
      </c>
      <c r="CV141" s="26">
        <f t="shared" si="15"/>
        <v>250</v>
      </c>
    </row>
    <row r="142" spans="1:100" x14ac:dyDescent="0.2">
      <c r="A142" s="9" t="s">
        <v>3384</v>
      </c>
      <c r="B142" s="2">
        <v>11</v>
      </c>
      <c r="C142" s="3" t="s">
        <v>95</v>
      </c>
      <c r="D142" s="3" t="s">
        <v>96</v>
      </c>
      <c r="E142" s="2"/>
      <c r="F142" s="2"/>
      <c r="G142" s="2" t="s">
        <v>66</v>
      </c>
      <c r="H142" s="2">
        <v>5</v>
      </c>
      <c r="I142" s="20">
        <v>125.84</v>
      </c>
      <c r="J142" s="20">
        <v>37900</v>
      </c>
      <c r="K142" s="3">
        <v>0</v>
      </c>
      <c r="L142" s="3" t="s">
        <v>3</v>
      </c>
      <c r="M142" s="9" t="s">
        <v>0</v>
      </c>
      <c r="N142" s="9" t="s">
        <v>7</v>
      </c>
      <c r="O142" s="9" t="s">
        <v>3383</v>
      </c>
      <c r="S142" s="9" t="s">
        <v>3427</v>
      </c>
      <c r="T142" s="10" t="s">
        <v>66</v>
      </c>
      <c r="U142" s="10">
        <v>8</v>
      </c>
      <c r="W142" s="10" t="s">
        <v>710</v>
      </c>
      <c r="X142" s="17">
        <v>44577</v>
      </c>
      <c r="Y142" s="17">
        <v>44580</v>
      </c>
      <c r="Z142" s="19" t="s">
        <v>772</v>
      </c>
      <c r="AA142" s="207">
        <v>6000</v>
      </c>
      <c r="AB142" s="9">
        <v>24</v>
      </c>
      <c r="AC142" s="9">
        <v>5</v>
      </c>
      <c r="AD142" s="17">
        <v>45107</v>
      </c>
      <c r="AE142" s="22">
        <v>250</v>
      </c>
      <c r="AF142" s="54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9"/>
      <c r="BA142" s="22"/>
      <c r="BB142" s="22"/>
      <c r="BD142" s="9"/>
      <c r="CS142" s="11">
        <f t="shared" si="12"/>
        <v>0</v>
      </c>
      <c r="CT142" s="22">
        <f t="shared" si="13"/>
        <v>0</v>
      </c>
      <c r="CU142" s="22">
        <f t="shared" si="14"/>
        <v>0</v>
      </c>
      <c r="CV142" s="26">
        <f t="shared" si="15"/>
        <v>250</v>
      </c>
    </row>
    <row r="143" spans="1:100" x14ac:dyDescent="0.2">
      <c r="A143" s="9" t="s">
        <v>3384</v>
      </c>
      <c r="B143" s="2">
        <v>11</v>
      </c>
      <c r="C143" s="3" t="s">
        <v>95</v>
      </c>
      <c r="D143" s="3" t="s">
        <v>96</v>
      </c>
      <c r="E143" s="2"/>
      <c r="F143" s="2"/>
      <c r="G143" s="2" t="s">
        <v>66</v>
      </c>
      <c r="H143" s="2">
        <v>5</v>
      </c>
      <c r="I143" s="20">
        <v>125.84</v>
      </c>
      <c r="J143" s="20">
        <v>37900</v>
      </c>
      <c r="K143" s="3">
        <v>0</v>
      </c>
      <c r="L143" s="3" t="s">
        <v>3</v>
      </c>
      <c r="M143" s="9" t="s">
        <v>0</v>
      </c>
      <c r="N143" s="9" t="s">
        <v>7</v>
      </c>
      <c r="O143" s="9" t="s">
        <v>3383</v>
      </c>
      <c r="S143" s="9" t="s">
        <v>3427</v>
      </c>
      <c r="T143" s="10" t="s">
        <v>66</v>
      </c>
      <c r="U143" s="10">
        <v>8</v>
      </c>
      <c r="W143" s="10" t="s">
        <v>710</v>
      </c>
      <c r="X143" s="17">
        <v>44577</v>
      </c>
      <c r="Y143" s="17">
        <v>44580</v>
      </c>
      <c r="Z143" s="19" t="s">
        <v>772</v>
      </c>
      <c r="AA143" s="207">
        <v>6000</v>
      </c>
      <c r="AB143" s="9">
        <v>24</v>
      </c>
      <c r="AC143" s="9">
        <v>6</v>
      </c>
      <c r="AD143" s="17">
        <v>45137</v>
      </c>
      <c r="AE143" s="22">
        <v>250</v>
      </c>
      <c r="AF143" s="54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9"/>
      <c r="BA143" s="22"/>
      <c r="BB143" s="22"/>
      <c r="BD143" s="9"/>
      <c r="CS143" s="11">
        <f t="shared" si="12"/>
        <v>0</v>
      </c>
      <c r="CT143" s="22">
        <f t="shared" si="13"/>
        <v>0</v>
      </c>
      <c r="CU143" s="22">
        <f t="shared" si="14"/>
        <v>0</v>
      </c>
      <c r="CV143" s="26">
        <f t="shared" si="15"/>
        <v>250</v>
      </c>
    </row>
    <row r="144" spans="1:100" x14ac:dyDescent="0.2">
      <c r="A144" s="9" t="s">
        <v>3384</v>
      </c>
      <c r="B144" s="2">
        <v>11</v>
      </c>
      <c r="C144" s="3" t="s">
        <v>95</v>
      </c>
      <c r="D144" s="3" t="s">
        <v>96</v>
      </c>
      <c r="E144" s="2"/>
      <c r="F144" s="2"/>
      <c r="G144" s="2" t="s">
        <v>66</v>
      </c>
      <c r="H144" s="2">
        <v>5</v>
      </c>
      <c r="I144" s="20">
        <v>125.84</v>
      </c>
      <c r="J144" s="20">
        <v>37900</v>
      </c>
      <c r="K144" s="3">
        <v>0</v>
      </c>
      <c r="L144" s="3" t="s">
        <v>3</v>
      </c>
      <c r="M144" s="9" t="s">
        <v>0</v>
      </c>
      <c r="N144" s="9" t="s">
        <v>7</v>
      </c>
      <c r="O144" s="9" t="s">
        <v>3383</v>
      </c>
      <c r="S144" s="9" t="s">
        <v>3427</v>
      </c>
      <c r="T144" s="10" t="s">
        <v>66</v>
      </c>
      <c r="U144" s="10">
        <v>8</v>
      </c>
      <c r="W144" s="10" t="s">
        <v>710</v>
      </c>
      <c r="X144" s="17">
        <v>44577</v>
      </c>
      <c r="Y144" s="17">
        <v>44580</v>
      </c>
      <c r="Z144" s="19" t="s">
        <v>772</v>
      </c>
      <c r="AA144" s="207">
        <v>6000</v>
      </c>
      <c r="AB144" s="9">
        <v>24</v>
      </c>
      <c r="AC144" s="9">
        <v>7</v>
      </c>
      <c r="AD144" s="17">
        <v>45168</v>
      </c>
      <c r="AE144" s="22">
        <v>250</v>
      </c>
      <c r="AF144" s="54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9"/>
      <c r="BA144" s="22"/>
      <c r="BB144" s="22"/>
      <c r="BD144" s="9"/>
      <c r="CS144" s="11">
        <f t="shared" si="12"/>
        <v>0</v>
      </c>
      <c r="CT144" s="22">
        <f t="shared" si="13"/>
        <v>0</v>
      </c>
      <c r="CU144" s="22">
        <f t="shared" si="14"/>
        <v>0</v>
      </c>
      <c r="CV144" s="26">
        <f t="shared" si="15"/>
        <v>250</v>
      </c>
    </row>
    <row r="145" spans="1:100" x14ac:dyDescent="0.2">
      <c r="A145" s="9" t="s">
        <v>3384</v>
      </c>
      <c r="B145" s="2">
        <v>11</v>
      </c>
      <c r="C145" s="3" t="s">
        <v>95</v>
      </c>
      <c r="D145" s="3" t="s">
        <v>96</v>
      </c>
      <c r="E145" s="2"/>
      <c r="F145" s="2"/>
      <c r="G145" s="2" t="s">
        <v>66</v>
      </c>
      <c r="H145" s="2">
        <v>5</v>
      </c>
      <c r="I145" s="20">
        <v>125.84</v>
      </c>
      <c r="J145" s="20">
        <v>37900</v>
      </c>
      <c r="K145" s="3">
        <v>0</v>
      </c>
      <c r="L145" s="3" t="s">
        <v>3</v>
      </c>
      <c r="M145" s="9" t="s">
        <v>0</v>
      </c>
      <c r="N145" s="9" t="s">
        <v>7</v>
      </c>
      <c r="O145" s="9" t="s">
        <v>3383</v>
      </c>
      <c r="S145" s="9" t="s">
        <v>3427</v>
      </c>
      <c r="T145" s="10" t="s">
        <v>66</v>
      </c>
      <c r="U145" s="10">
        <v>8</v>
      </c>
      <c r="W145" s="10" t="s">
        <v>710</v>
      </c>
      <c r="X145" s="17">
        <v>44577</v>
      </c>
      <c r="Y145" s="17">
        <v>44580</v>
      </c>
      <c r="Z145" s="19" t="s">
        <v>772</v>
      </c>
      <c r="AA145" s="207">
        <v>6000</v>
      </c>
      <c r="AB145" s="9">
        <v>24</v>
      </c>
      <c r="AC145" s="9">
        <v>8</v>
      </c>
      <c r="AD145" s="17">
        <v>45199</v>
      </c>
      <c r="AE145" s="22">
        <v>250</v>
      </c>
      <c r="AF145" s="54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9"/>
      <c r="BA145" s="22"/>
      <c r="BB145" s="22"/>
      <c r="BD145" s="9"/>
      <c r="CS145" s="11">
        <f t="shared" si="12"/>
        <v>0</v>
      </c>
      <c r="CT145" s="22">
        <f t="shared" si="13"/>
        <v>0</v>
      </c>
      <c r="CU145" s="22">
        <f t="shared" si="14"/>
        <v>0</v>
      </c>
      <c r="CV145" s="26">
        <f t="shared" si="15"/>
        <v>250</v>
      </c>
    </row>
    <row r="146" spans="1:100" x14ac:dyDescent="0.2">
      <c r="A146" s="9" t="s">
        <v>3384</v>
      </c>
      <c r="B146" s="2">
        <v>11</v>
      </c>
      <c r="C146" s="3" t="s">
        <v>95</v>
      </c>
      <c r="D146" s="3" t="s">
        <v>96</v>
      </c>
      <c r="E146" s="2"/>
      <c r="F146" s="2"/>
      <c r="G146" s="2" t="s">
        <v>66</v>
      </c>
      <c r="H146" s="2">
        <v>5</v>
      </c>
      <c r="I146" s="20">
        <v>125.84</v>
      </c>
      <c r="J146" s="20">
        <v>37900</v>
      </c>
      <c r="K146" s="3">
        <v>0</v>
      </c>
      <c r="L146" s="3" t="s">
        <v>3</v>
      </c>
      <c r="M146" s="9" t="s">
        <v>0</v>
      </c>
      <c r="N146" s="9" t="s">
        <v>7</v>
      </c>
      <c r="O146" s="9" t="s">
        <v>3383</v>
      </c>
      <c r="S146" s="9" t="s">
        <v>3427</v>
      </c>
      <c r="T146" s="10" t="s">
        <v>66</v>
      </c>
      <c r="U146" s="10">
        <v>8</v>
      </c>
      <c r="W146" s="10" t="s">
        <v>710</v>
      </c>
      <c r="X146" s="17">
        <v>44577</v>
      </c>
      <c r="Y146" s="17">
        <v>44580</v>
      </c>
      <c r="Z146" s="19" t="s">
        <v>772</v>
      </c>
      <c r="AA146" s="207">
        <v>6000</v>
      </c>
      <c r="AB146" s="9">
        <v>24</v>
      </c>
      <c r="AC146" s="9">
        <v>9</v>
      </c>
      <c r="AD146" s="17">
        <v>45229</v>
      </c>
      <c r="AE146" s="22">
        <v>250</v>
      </c>
      <c r="AF146" s="54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9"/>
      <c r="BA146" s="22"/>
      <c r="BB146" s="22"/>
      <c r="BD146" s="9"/>
      <c r="CS146" s="11">
        <f t="shared" si="12"/>
        <v>0</v>
      </c>
      <c r="CT146" s="22">
        <f t="shared" si="13"/>
        <v>0</v>
      </c>
      <c r="CU146" s="22">
        <f t="shared" si="14"/>
        <v>0</v>
      </c>
      <c r="CV146" s="26">
        <f t="shared" si="15"/>
        <v>250</v>
      </c>
    </row>
    <row r="147" spans="1:100" x14ac:dyDescent="0.2">
      <c r="A147" s="9" t="s">
        <v>3384</v>
      </c>
      <c r="B147" s="2">
        <v>11</v>
      </c>
      <c r="C147" s="3" t="s">
        <v>95</v>
      </c>
      <c r="D147" s="3" t="s">
        <v>96</v>
      </c>
      <c r="E147" s="2"/>
      <c r="F147" s="2"/>
      <c r="G147" s="2" t="s">
        <v>66</v>
      </c>
      <c r="H147" s="2">
        <v>5</v>
      </c>
      <c r="I147" s="20">
        <v>125.84</v>
      </c>
      <c r="J147" s="20">
        <v>37900</v>
      </c>
      <c r="K147" s="3">
        <v>0</v>
      </c>
      <c r="L147" s="3" t="s">
        <v>3</v>
      </c>
      <c r="M147" s="9" t="s">
        <v>0</v>
      </c>
      <c r="N147" s="9" t="s">
        <v>7</v>
      </c>
      <c r="O147" s="9" t="s">
        <v>3383</v>
      </c>
      <c r="S147" s="9" t="s">
        <v>3427</v>
      </c>
      <c r="T147" s="10" t="s">
        <v>66</v>
      </c>
      <c r="U147" s="10">
        <v>8</v>
      </c>
      <c r="W147" s="10" t="s">
        <v>710</v>
      </c>
      <c r="X147" s="17">
        <v>44577</v>
      </c>
      <c r="Y147" s="17">
        <v>44580</v>
      </c>
      <c r="Z147" s="19" t="s">
        <v>772</v>
      </c>
      <c r="AA147" s="207">
        <v>6000</v>
      </c>
      <c r="AB147" s="9">
        <v>24</v>
      </c>
      <c r="AC147" s="9">
        <v>10</v>
      </c>
      <c r="AD147" s="17">
        <v>45260</v>
      </c>
      <c r="AE147" s="22">
        <v>250</v>
      </c>
      <c r="AF147" s="54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9"/>
      <c r="BA147" s="22"/>
      <c r="BB147" s="22"/>
      <c r="BD147" s="9"/>
      <c r="CS147" s="11">
        <f t="shared" si="12"/>
        <v>0</v>
      </c>
      <c r="CT147" s="22">
        <f t="shared" si="13"/>
        <v>0</v>
      </c>
      <c r="CU147" s="22">
        <f t="shared" si="14"/>
        <v>0</v>
      </c>
      <c r="CV147" s="26">
        <f t="shared" si="15"/>
        <v>250</v>
      </c>
    </row>
    <row r="148" spans="1:100" x14ac:dyDescent="0.2">
      <c r="A148" s="9" t="s">
        <v>3384</v>
      </c>
      <c r="B148" s="2">
        <v>11</v>
      </c>
      <c r="C148" s="3" t="s">
        <v>95</v>
      </c>
      <c r="D148" s="3" t="s">
        <v>96</v>
      </c>
      <c r="E148" s="2"/>
      <c r="F148" s="2"/>
      <c r="G148" s="2" t="s">
        <v>66</v>
      </c>
      <c r="H148" s="2">
        <v>5</v>
      </c>
      <c r="I148" s="20">
        <v>125.84</v>
      </c>
      <c r="J148" s="20">
        <v>37900</v>
      </c>
      <c r="K148" s="3">
        <v>0</v>
      </c>
      <c r="L148" s="3" t="s">
        <v>3</v>
      </c>
      <c r="M148" s="9" t="s">
        <v>0</v>
      </c>
      <c r="N148" s="9" t="s">
        <v>7</v>
      </c>
      <c r="O148" s="9" t="s">
        <v>3383</v>
      </c>
      <c r="S148" s="9" t="s">
        <v>3427</v>
      </c>
      <c r="T148" s="10" t="s">
        <v>66</v>
      </c>
      <c r="U148" s="10">
        <v>8</v>
      </c>
      <c r="W148" s="10" t="s">
        <v>710</v>
      </c>
      <c r="X148" s="17">
        <v>44577</v>
      </c>
      <c r="Y148" s="17">
        <v>44580</v>
      </c>
      <c r="Z148" s="19" t="s">
        <v>772</v>
      </c>
      <c r="AA148" s="207">
        <v>6000</v>
      </c>
      <c r="AB148" s="9">
        <v>24</v>
      </c>
      <c r="AC148" s="9">
        <v>11</v>
      </c>
      <c r="AD148" s="17">
        <v>45290</v>
      </c>
      <c r="AE148" s="22">
        <v>250</v>
      </c>
      <c r="AF148" s="54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9"/>
      <c r="BA148" s="22"/>
      <c r="BB148" s="22"/>
      <c r="BD148" s="9"/>
      <c r="CS148" s="11">
        <f t="shared" si="12"/>
        <v>0</v>
      </c>
      <c r="CT148" s="22">
        <f t="shared" si="13"/>
        <v>0</v>
      </c>
      <c r="CU148" s="22">
        <f t="shared" si="14"/>
        <v>0</v>
      </c>
      <c r="CV148" s="26">
        <f t="shared" si="15"/>
        <v>250</v>
      </c>
    </row>
    <row r="149" spans="1:100" x14ac:dyDescent="0.2">
      <c r="A149" s="9" t="s">
        <v>3384</v>
      </c>
      <c r="B149" s="2">
        <v>11</v>
      </c>
      <c r="C149" s="3" t="s">
        <v>95</v>
      </c>
      <c r="D149" s="3" t="s">
        <v>96</v>
      </c>
      <c r="E149" s="2"/>
      <c r="F149" s="2"/>
      <c r="G149" s="2" t="s">
        <v>66</v>
      </c>
      <c r="H149" s="2">
        <v>5</v>
      </c>
      <c r="I149" s="20">
        <v>125.84</v>
      </c>
      <c r="J149" s="20">
        <v>37900</v>
      </c>
      <c r="K149" s="3">
        <v>0</v>
      </c>
      <c r="L149" s="3" t="s">
        <v>3</v>
      </c>
      <c r="M149" s="9" t="s">
        <v>0</v>
      </c>
      <c r="N149" s="9" t="s">
        <v>7</v>
      </c>
      <c r="O149" s="9" t="s">
        <v>3383</v>
      </c>
      <c r="S149" s="9" t="s">
        <v>3427</v>
      </c>
      <c r="T149" s="10" t="s">
        <v>66</v>
      </c>
      <c r="U149" s="10">
        <v>8</v>
      </c>
      <c r="W149" s="10" t="s">
        <v>710</v>
      </c>
      <c r="X149" s="17">
        <v>44577</v>
      </c>
      <c r="Y149" s="17">
        <v>44580</v>
      </c>
      <c r="Z149" s="19" t="s">
        <v>772</v>
      </c>
      <c r="AA149" s="207">
        <v>6000</v>
      </c>
      <c r="AB149" s="9">
        <v>24</v>
      </c>
      <c r="AC149" s="9">
        <v>12</v>
      </c>
      <c r="AD149" s="17">
        <v>45321</v>
      </c>
      <c r="AE149" s="22">
        <v>250</v>
      </c>
      <c r="AF149" s="54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9"/>
      <c r="BA149" s="22"/>
      <c r="BB149" s="22"/>
      <c r="BD149" s="9"/>
      <c r="CS149" s="11">
        <f t="shared" si="12"/>
        <v>0</v>
      </c>
      <c r="CT149" s="22">
        <f t="shared" si="13"/>
        <v>0</v>
      </c>
      <c r="CU149" s="22">
        <f t="shared" si="14"/>
        <v>0</v>
      </c>
      <c r="CV149" s="26">
        <f t="shared" si="15"/>
        <v>250</v>
      </c>
    </row>
    <row r="150" spans="1:100" x14ac:dyDescent="0.2">
      <c r="A150" s="9" t="s">
        <v>3384</v>
      </c>
      <c r="B150" s="2">
        <v>11</v>
      </c>
      <c r="C150" s="3" t="s">
        <v>95</v>
      </c>
      <c r="D150" s="3" t="s">
        <v>96</v>
      </c>
      <c r="E150" s="2"/>
      <c r="F150" s="2"/>
      <c r="G150" s="2" t="s">
        <v>66</v>
      </c>
      <c r="H150" s="2">
        <v>5</v>
      </c>
      <c r="I150" s="20">
        <v>125.84</v>
      </c>
      <c r="J150" s="20">
        <v>37900</v>
      </c>
      <c r="K150" s="3">
        <v>0</v>
      </c>
      <c r="L150" s="3" t="s">
        <v>3</v>
      </c>
      <c r="M150" s="9" t="s">
        <v>0</v>
      </c>
      <c r="N150" s="9" t="s">
        <v>7</v>
      </c>
      <c r="O150" s="9" t="s">
        <v>3383</v>
      </c>
      <c r="S150" s="9" t="s">
        <v>3427</v>
      </c>
      <c r="T150" s="10" t="s">
        <v>66</v>
      </c>
      <c r="U150" s="10">
        <v>8</v>
      </c>
      <c r="W150" s="10" t="s">
        <v>710</v>
      </c>
      <c r="X150" s="17">
        <v>44577</v>
      </c>
      <c r="Y150" s="17">
        <v>44580</v>
      </c>
      <c r="Z150" s="19" t="s">
        <v>772</v>
      </c>
      <c r="AA150" s="207">
        <v>6000</v>
      </c>
      <c r="AB150" s="9">
        <v>24</v>
      </c>
      <c r="AC150" s="9">
        <v>13</v>
      </c>
      <c r="AD150" s="17">
        <v>45351</v>
      </c>
      <c r="AE150" s="22">
        <v>250</v>
      </c>
      <c r="AF150" s="54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9"/>
      <c r="BA150" s="22"/>
      <c r="BB150" s="22"/>
      <c r="BD150" s="9"/>
      <c r="CS150" s="11">
        <f t="shared" si="12"/>
        <v>0</v>
      </c>
      <c r="CT150" s="22">
        <f t="shared" si="13"/>
        <v>0</v>
      </c>
      <c r="CU150" s="22">
        <f t="shared" si="14"/>
        <v>0</v>
      </c>
      <c r="CV150" s="26">
        <f t="shared" si="15"/>
        <v>250</v>
      </c>
    </row>
    <row r="151" spans="1:100" x14ac:dyDescent="0.2">
      <c r="A151" s="9" t="s">
        <v>3384</v>
      </c>
      <c r="B151" s="2">
        <v>11</v>
      </c>
      <c r="C151" s="3" t="s">
        <v>95</v>
      </c>
      <c r="D151" s="3" t="s">
        <v>96</v>
      </c>
      <c r="E151" s="2"/>
      <c r="F151" s="2"/>
      <c r="G151" s="2" t="s">
        <v>66</v>
      </c>
      <c r="H151" s="2">
        <v>5</v>
      </c>
      <c r="I151" s="20">
        <v>125.84</v>
      </c>
      <c r="J151" s="20">
        <v>37900</v>
      </c>
      <c r="K151" s="3">
        <v>0</v>
      </c>
      <c r="L151" s="3" t="s">
        <v>3</v>
      </c>
      <c r="M151" s="9" t="s">
        <v>0</v>
      </c>
      <c r="N151" s="9" t="s">
        <v>7</v>
      </c>
      <c r="O151" s="9" t="s">
        <v>3383</v>
      </c>
      <c r="S151" s="9" t="s">
        <v>3427</v>
      </c>
      <c r="T151" s="10" t="s">
        <v>66</v>
      </c>
      <c r="U151" s="10">
        <v>8</v>
      </c>
      <c r="W151" s="10" t="s">
        <v>710</v>
      </c>
      <c r="X151" s="17">
        <v>44577</v>
      </c>
      <c r="Y151" s="17">
        <v>44580</v>
      </c>
      <c r="Z151" s="19" t="s">
        <v>772</v>
      </c>
      <c r="AA151" s="207">
        <v>6000</v>
      </c>
      <c r="AB151" s="9">
        <v>24</v>
      </c>
      <c r="AC151" s="9">
        <v>14</v>
      </c>
      <c r="AD151" s="17">
        <v>45381</v>
      </c>
      <c r="AE151" s="22">
        <v>250</v>
      </c>
      <c r="AF151" s="54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9"/>
      <c r="BA151" s="22"/>
      <c r="BB151" s="22"/>
      <c r="BD151" s="9"/>
      <c r="CS151" s="11">
        <f t="shared" si="12"/>
        <v>0</v>
      </c>
      <c r="CT151" s="22">
        <f t="shared" si="13"/>
        <v>0</v>
      </c>
      <c r="CU151" s="22">
        <f t="shared" si="14"/>
        <v>0</v>
      </c>
      <c r="CV151" s="26">
        <f t="shared" si="15"/>
        <v>250</v>
      </c>
    </row>
    <row r="152" spans="1:100" x14ac:dyDescent="0.2">
      <c r="A152" s="9" t="s">
        <v>3384</v>
      </c>
      <c r="B152" s="2">
        <v>11</v>
      </c>
      <c r="C152" s="3" t="s">
        <v>95</v>
      </c>
      <c r="D152" s="3" t="s">
        <v>96</v>
      </c>
      <c r="E152" s="2"/>
      <c r="F152" s="2"/>
      <c r="G152" s="2" t="s">
        <v>66</v>
      </c>
      <c r="H152" s="2">
        <v>5</v>
      </c>
      <c r="I152" s="20">
        <v>125.84</v>
      </c>
      <c r="J152" s="20">
        <v>37900</v>
      </c>
      <c r="K152" s="3">
        <v>0</v>
      </c>
      <c r="L152" s="3" t="s">
        <v>3</v>
      </c>
      <c r="M152" s="9" t="s">
        <v>0</v>
      </c>
      <c r="N152" s="9" t="s">
        <v>7</v>
      </c>
      <c r="O152" s="9" t="s">
        <v>3383</v>
      </c>
      <c r="S152" s="9" t="s">
        <v>3427</v>
      </c>
      <c r="T152" s="10" t="s">
        <v>66</v>
      </c>
      <c r="U152" s="10">
        <v>8</v>
      </c>
      <c r="W152" s="10" t="s">
        <v>710</v>
      </c>
      <c r="X152" s="17">
        <v>44577</v>
      </c>
      <c r="Y152" s="17">
        <v>44580</v>
      </c>
      <c r="Z152" s="19" t="s">
        <v>772</v>
      </c>
      <c r="AA152" s="207">
        <v>6000</v>
      </c>
      <c r="AB152" s="9">
        <v>24</v>
      </c>
      <c r="AC152" s="9">
        <v>15</v>
      </c>
      <c r="AD152" s="17">
        <v>45412</v>
      </c>
      <c r="AE152" s="22">
        <v>250</v>
      </c>
      <c r="AF152" s="54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9"/>
      <c r="BA152" s="22"/>
      <c r="BB152" s="22"/>
      <c r="BD152" s="9"/>
      <c r="CS152" s="11">
        <f t="shared" si="12"/>
        <v>0</v>
      </c>
      <c r="CT152" s="22">
        <f t="shared" si="13"/>
        <v>0</v>
      </c>
      <c r="CU152" s="22">
        <f t="shared" si="14"/>
        <v>0</v>
      </c>
      <c r="CV152" s="26">
        <f t="shared" si="15"/>
        <v>250</v>
      </c>
    </row>
    <row r="153" spans="1:100" x14ac:dyDescent="0.2">
      <c r="A153" s="9" t="s">
        <v>3384</v>
      </c>
      <c r="B153" s="2">
        <v>11</v>
      </c>
      <c r="C153" s="3" t="s">
        <v>95</v>
      </c>
      <c r="D153" s="3" t="s">
        <v>96</v>
      </c>
      <c r="E153" s="2"/>
      <c r="F153" s="2"/>
      <c r="G153" s="2" t="s">
        <v>66</v>
      </c>
      <c r="H153" s="2">
        <v>5</v>
      </c>
      <c r="I153" s="20">
        <v>125.84</v>
      </c>
      <c r="J153" s="20">
        <v>37900</v>
      </c>
      <c r="K153" s="3">
        <v>0</v>
      </c>
      <c r="L153" s="3" t="s">
        <v>3</v>
      </c>
      <c r="M153" s="9" t="s">
        <v>0</v>
      </c>
      <c r="N153" s="9" t="s">
        <v>7</v>
      </c>
      <c r="O153" s="9" t="s">
        <v>3383</v>
      </c>
      <c r="S153" s="9" t="s">
        <v>3427</v>
      </c>
      <c r="T153" s="10" t="s">
        <v>66</v>
      </c>
      <c r="U153" s="10">
        <v>8</v>
      </c>
      <c r="W153" s="10" t="s">
        <v>710</v>
      </c>
      <c r="X153" s="17">
        <v>44577</v>
      </c>
      <c r="Y153" s="17">
        <v>44580</v>
      </c>
      <c r="Z153" s="19" t="s">
        <v>772</v>
      </c>
      <c r="AA153" s="207">
        <v>6000</v>
      </c>
      <c r="AB153" s="9">
        <v>24</v>
      </c>
      <c r="AC153" s="9">
        <v>16</v>
      </c>
      <c r="AD153" s="17">
        <v>45442</v>
      </c>
      <c r="AE153" s="22">
        <v>250</v>
      </c>
      <c r="AF153" s="54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9"/>
      <c r="BA153" s="22"/>
      <c r="BB153" s="22"/>
      <c r="BD153" s="9"/>
      <c r="CS153" s="11">
        <f t="shared" si="12"/>
        <v>0</v>
      </c>
      <c r="CT153" s="22">
        <f t="shared" si="13"/>
        <v>0</v>
      </c>
      <c r="CU153" s="22">
        <f t="shared" si="14"/>
        <v>0</v>
      </c>
      <c r="CV153" s="26">
        <f t="shared" si="15"/>
        <v>250</v>
      </c>
    </row>
    <row r="154" spans="1:100" x14ac:dyDescent="0.2">
      <c r="A154" s="9" t="s">
        <v>3384</v>
      </c>
      <c r="B154" s="2">
        <v>11</v>
      </c>
      <c r="C154" s="3" t="s">
        <v>95</v>
      </c>
      <c r="D154" s="3" t="s">
        <v>96</v>
      </c>
      <c r="E154" s="2"/>
      <c r="F154" s="2"/>
      <c r="G154" s="2" t="s">
        <v>66</v>
      </c>
      <c r="H154" s="2">
        <v>5</v>
      </c>
      <c r="I154" s="20">
        <v>125.84</v>
      </c>
      <c r="J154" s="20">
        <v>37900</v>
      </c>
      <c r="K154" s="3">
        <v>0</v>
      </c>
      <c r="L154" s="3" t="s">
        <v>3</v>
      </c>
      <c r="M154" s="9" t="s">
        <v>0</v>
      </c>
      <c r="N154" s="9" t="s">
        <v>7</v>
      </c>
      <c r="O154" s="9" t="s">
        <v>3383</v>
      </c>
      <c r="S154" s="9" t="s">
        <v>3427</v>
      </c>
      <c r="T154" s="10" t="s">
        <v>66</v>
      </c>
      <c r="U154" s="10">
        <v>8</v>
      </c>
      <c r="W154" s="10" t="s">
        <v>710</v>
      </c>
      <c r="X154" s="17">
        <v>44577</v>
      </c>
      <c r="Y154" s="17">
        <v>44580</v>
      </c>
      <c r="Z154" s="19" t="s">
        <v>772</v>
      </c>
      <c r="AA154" s="207">
        <v>6000</v>
      </c>
      <c r="AB154" s="9">
        <v>24</v>
      </c>
      <c r="AC154" s="9">
        <v>17</v>
      </c>
      <c r="AD154" s="17">
        <v>45473</v>
      </c>
      <c r="AE154" s="22">
        <v>250</v>
      </c>
      <c r="AF154" s="54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9"/>
      <c r="BA154" s="22"/>
      <c r="BB154" s="22"/>
      <c r="BD154" s="9"/>
      <c r="CS154" s="11">
        <f t="shared" si="12"/>
        <v>0</v>
      </c>
      <c r="CT154" s="22">
        <f t="shared" si="13"/>
        <v>0</v>
      </c>
      <c r="CU154" s="22">
        <f t="shared" si="14"/>
        <v>0</v>
      </c>
      <c r="CV154" s="26">
        <f t="shared" si="15"/>
        <v>250</v>
      </c>
    </row>
    <row r="155" spans="1:100" x14ac:dyDescent="0.2">
      <c r="A155" s="9" t="s">
        <v>3384</v>
      </c>
      <c r="B155" s="2">
        <v>11</v>
      </c>
      <c r="C155" s="3" t="s">
        <v>95</v>
      </c>
      <c r="D155" s="3" t="s">
        <v>96</v>
      </c>
      <c r="E155" s="2"/>
      <c r="F155" s="2"/>
      <c r="G155" s="2" t="s">
        <v>66</v>
      </c>
      <c r="H155" s="2">
        <v>5</v>
      </c>
      <c r="I155" s="20">
        <v>125.84</v>
      </c>
      <c r="J155" s="20">
        <v>37900</v>
      </c>
      <c r="K155" s="3">
        <v>0</v>
      </c>
      <c r="L155" s="3" t="s">
        <v>3</v>
      </c>
      <c r="M155" s="9" t="s">
        <v>0</v>
      </c>
      <c r="N155" s="9" t="s">
        <v>7</v>
      </c>
      <c r="O155" s="9" t="s">
        <v>3383</v>
      </c>
      <c r="S155" s="9" t="s">
        <v>3427</v>
      </c>
      <c r="T155" s="10" t="s">
        <v>66</v>
      </c>
      <c r="U155" s="10">
        <v>8</v>
      </c>
      <c r="W155" s="10" t="s">
        <v>710</v>
      </c>
      <c r="X155" s="17">
        <v>44577</v>
      </c>
      <c r="Y155" s="17">
        <v>44580</v>
      </c>
      <c r="Z155" s="19" t="s">
        <v>772</v>
      </c>
      <c r="AA155" s="207">
        <v>6000</v>
      </c>
      <c r="AB155" s="9">
        <v>24</v>
      </c>
      <c r="AC155" s="9">
        <v>18</v>
      </c>
      <c r="AD155" s="17">
        <v>45503</v>
      </c>
      <c r="AE155" s="22">
        <v>250</v>
      </c>
      <c r="AF155" s="54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9"/>
      <c r="BA155" s="22"/>
      <c r="BB155" s="22"/>
      <c r="BD155" s="9"/>
      <c r="CS155" s="11">
        <f t="shared" si="12"/>
        <v>0</v>
      </c>
      <c r="CT155" s="22">
        <f t="shared" si="13"/>
        <v>0</v>
      </c>
      <c r="CU155" s="22">
        <f t="shared" si="14"/>
        <v>0</v>
      </c>
      <c r="CV155" s="26">
        <f t="shared" si="15"/>
        <v>250</v>
      </c>
    </row>
    <row r="156" spans="1:100" x14ac:dyDescent="0.2">
      <c r="A156" s="9" t="s">
        <v>3384</v>
      </c>
      <c r="B156" s="2">
        <v>11</v>
      </c>
      <c r="C156" s="3" t="s">
        <v>95</v>
      </c>
      <c r="D156" s="3" t="s">
        <v>96</v>
      </c>
      <c r="E156" s="2"/>
      <c r="F156" s="2"/>
      <c r="G156" s="2" t="s">
        <v>66</v>
      </c>
      <c r="H156" s="2">
        <v>5</v>
      </c>
      <c r="I156" s="20">
        <v>125.84</v>
      </c>
      <c r="J156" s="20">
        <v>37900</v>
      </c>
      <c r="K156" s="3">
        <v>0</v>
      </c>
      <c r="L156" s="3" t="s">
        <v>3</v>
      </c>
      <c r="M156" s="9" t="s">
        <v>0</v>
      </c>
      <c r="N156" s="9" t="s">
        <v>7</v>
      </c>
      <c r="O156" s="9" t="s">
        <v>3383</v>
      </c>
      <c r="S156" s="9" t="s">
        <v>3427</v>
      </c>
      <c r="T156" s="10" t="s">
        <v>66</v>
      </c>
      <c r="U156" s="10">
        <v>8</v>
      </c>
      <c r="W156" s="10" t="s">
        <v>710</v>
      </c>
      <c r="X156" s="17">
        <v>44577</v>
      </c>
      <c r="Y156" s="17">
        <v>44580</v>
      </c>
      <c r="Z156" s="19" t="s">
        <v>772</v>
      </c>
      <c r="AA156" s="207">
        <v>6000</v>
      </c>
      <c r="AB156" s="9">
        <v>24</v>
      </c>
      <c r="AC156" s="9">
        <v>19</v>
      </c>
      <c r="AD156" s="17">
        <v>45534</v>
      </c>
      <c r="AE156" s="22">
        <v>250</v>
      </c>
      <c r="AF156" s="54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9"/>
      <c r="BA156" s="22"/>
      <c r="BB156" s="22"/>
      <c r="BD156" s="9"/>
      <c r="CS156" s="11">
        <f t="shared" ref="CS156:CS219" si="16">+AL156+AT156</f>
        <v>0</v>
      </c>
      <c r="CT156" s="22">
        <f t="shared" ref="CT156:CT219" si="17">+BA156+BG156+BM156+BS156+BY156+CE156+CK156+CQ156</f>
        <v>0</v>
      </c>
      <c r="CU156" s="22">
        <f t="shared" ref="CU156:CU219" si="18">+CS156-CT156</f>
        <v>0</v>
      </c>
      <c r="CV156" s="26">
        <f t="shared" ref="CV156:CV219" si="19">+AE156-AL156-AT156</f>
        <v>250</v>
      </c>
    </row>
    <row r="157" spans="1:100" x14ac:dyDescent="0.2">
      <c r="A157" s="9" t="s">
        <v>3384</v>
      </c>
      <c r="B157" s="2">
        <v>11</v>
      </c>
      <c r="C157" s="3" t="s">
        <v>95</v>
      </c>
      <c r="D157" s="3" t="s">
        <v>96</v>
      </c>
      <c r="E157" s="2"/>
      <c r="F157" s="2"/>
      <c r="G157" s="2" t="s">
        <v>66</v>
      </c>
      <c r="H157" s="2">
        <v>5</v>
      </c>
      <c r="I157" s="20">
        <v>125.84</v>
      </c>
      <c r="J157" s="20">
        <v>37900</v>
      </c>
      <c r="K157" s="3">
        <v>0</v>
      </c>
      <c r="L157" s="3" t="s">
        <v>3</v>
      </c>
      <c r="M157" s="9" t="s">
        <v>0</v>
      </c>
      <c r="N157" s="9" t="s">
        <v>7</v>
      </c>
      <c r="O157" s="9" t="s">
        <v>3383</v>
      </c>
      <c r="S157" s="9" t="s">
        <v>3427</v>
      </c>
      <c r="T157" s="10" t="s">
        <v>66</v>
      </c>
      <c r="U157" s="10">
        <v>8</v>
      </c>
      <c r="W157" s="10" t="s">
        <v>710</v>
      </c>
      <c r="X157" s="17">
        <v>44577</v>
      </c>
      <c r="Y157" s="17">
        <v>44580</v>
      </c>
      <c r="Z157" s="19" t="s">
        <v>772</v>
      </c>
      <c r="AA157" s="207">
        <v>6000</v>
      </c>
      <c r="AB157" s="9">
        <v>24</v>
      </c>
      <c r="AC157" s="9">
        <v>20</v>
      </c>
      <c r="AD157" s="17">
        <v>45565</v>
      </c>
      <c r="AE157" s="22">
        <v>250</v>
      </c>
      <c r="AF157" s="54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9"/>
      <c r="BA157" s="22"/>
      <c r="BB157" s="22"/>
      <c r="BD157" s="9"/>
      <c r="CS157" s="11">
        <f t="shared" si="16"/>
        <v>0</v>
      </c>
      <c r="CT157" s="22">
        <f t="shared" si="17"/>
        <v>0</v>
      </c>
      <c r="CU157" s="22">
        <f t="shared" si="18"/>
        <v>0</v>
      </c>
      <c r="CV157" s="26">
        <f t="shared" si="19"/>
        <v>250</v>
      </c>
    </row>
    <row r="158" spans="1:100" x14ac:dyDescent="0.2">
      <c r="A158" s="9" t="s">
        <v>3384</v>
      </c>
      <c r="B158" s="2">
        <v>11</v>
      </c>
      <c r="C158" s="3" t="s">
        <v>95</v>
      </c>
      <c r="D158" s="3" t="s">
        <v>96</v>
      </c>
      <c r="E158" s="2"/>
      <c r="F158" s="2"/>
      <c r="G158" s="2" t="s">
        <v>66</v>
      </c>
      <c r="H158" s="2">
        <v>5</v>
      </c>
      <c r="I158" s="20">
        <v>125.84</v>
      </c>
      <c r="J158" s="20">
        <v>37900</v>
      </c>
      <c r="K158" s="3">
        <v>0</v>
      </c>
      <c r="L158" s="3" t="s">
        <v>3</v>
      </c>
      <c r="M158" s="9" t="s">
        <v>0</v>
      </c>
      <c r="N158" s="9" t="s">
        <v>7</v>
      </c>
      <c r="O158" s="9" t="s">
        <v>3383</v>
      </c>
      <c r="S158" s="9" t="s">
        <v>3427</v>
      </c>
      <c r="T158" s="10" t="s">
        <v>66</v>
      </c>
      <c r="U158" s="10">
        <v>8</v>
      </c>
      <c r="W158" s="10" t="s">
        <v>710</v>
      </c>
      <c r="X158" s="17">
        <v>44577</v>
      </c>
      <c r="Y158" s="17">
        <v>44580</v>
      </c>
      <c r="Z158" s="19" t="s">
        <v>772</v>
      </c>
      <c r="AA158" s="207">
        <v>6000</v>
      </c>
      <c r="AB158" s="9">
        <v>24</v>
      </c>
      <c r="AC158" s="9">
        <v>21</v>
      </c>
      <c r="AD158" s="17">
        <v>45595</v>
      </c>
      <c r="AE158" s="22">
        <v>250</v>
      </c>
      <c r="AF158" s="54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9"/>
      <c r="BA158" s="22"/>
      <c r="BB158" s="22"/>
      <c r="BD158" s="9"/>
      <c r="CS158" s="11">
        <f t="shared" si="16"/>
        <v>0</v>
      </c>
      <c r="CT158" s="22">
        <f t="shared" si="17"/>
        <v>0</v>
      </c>
      <c r="CU158" s="22">
        <f t="shared" si="18"/>
        <v>0</v>
      </c>
      <c r="CV158" s="26">
        <f t="shared" si="19"/>
        <v>250</v>
      </c>
    </row>
    <row r="159" spans="1:100" x14ac:dyDescent="0.2">
      <c r="A159" s="9" t="s">
        <v>3384</v>
      </c>
      <c r="B159" s="2">
        <v>11</v>
      </c>
      <c r="C159" s="3" t="s">
        <v>95</v>
      </c>
      <c r="D159" s="3" t="s">
        <v>96</v>
      </c>
      <c r="E159" s="2"/>
      <c r="F159" s="2"/>
      <c r="G159" s="2" t="s">
        <v>66</v>
      </c>
      <c r="H159" s="2">
        <v>5</v>
      </c>
      <c r="I159" s="20">
        <v>125.84</v>
      </c>
      <c r="J159" s="20">
        <v>37900</v>
      </c>
      <c r="K159" s="3">
        <v>0</v>
      </c>
      <c r="L159" s="3" t="s">
        <v>3</v>
      </c>
      <c r="M159" s="9" t="s">
        <v>0</v>
      </c>
      <c r="N159" s="9" t="s">
        <v>7</v>
      </c>
      <c r="O159" s="9" t="s">
        <v>3383</v>
      </c>
      <c r="S159" s="9" t="s">
        <v>3427</v>
      </c>
      <c r="T159" s="10" t="s">
        <v>66</v>
      </c>
      <c r="U159" s="10">
        <v>8</v>
      </c>
      <c r="W159" s="10" t="s">
        <v>710</v>
      </c>
      <c r="X159" s="17">
        <v>44577</v>
      </c>
      <c r="Y159" s="17">
        <v>44580</v>
      </c>
      <c r="Z159" s="19" t="s">
        <v>772</v>
      </c>
      <c r="AA159" s="207">
        <v>6000</v>
      </c>
      <c r="AB159" s="9">
        <v>24</v>
      </c>
      <c r="AC159" s="9">
        <v>22</v>
      </c>
      <c r="AD159" s="17">
        <v>45626</v>
      </c>
      <c r="AE159" s="22">
        <v>250</v>
      </c>
      <c r="AF159" s="54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9"/>
      <c r="BA159" s="22"/>
      <c r="BB159" s="22"/>
      <c r="BD159" s="9"/>
      <c r="CS159" s="11">
        <f t="shared" si="16"/>
        <v>0</v>
      </c>
      <c r="CT159" s="22">
        <f t="shared" si="17"/>
        <v>0</v>
      </c>
      <c r="CU159" s="22">
        <f t="shared" si="18"/>
        <v>0</v>
      </c>
      <c r="CV159" s="26">
        <f t="shared" si="19"/>
        <v>250</v>
      </c>
    </row>
    <row r="160" spans="1:100" x14ac:dyDescent="0.2">
      <c r="A160" s="9" t="s">
        <v>3384</v>
      </c>
      <c r="B160" s="2">
        <v>11</v>
      </c>
      <c r="C160" s="3" t="s">
        <v>95</v>
      </c>
      <c r="D160" s="3" t="s">
        <v>96</v>
      </c>
      <c r="E160" s="2"/>
      <c r="F160" s="2"/>
      <c r="G160" s="2" t="s">
        <v>66</v>
      </c>
      <c r="H160" s="2">
        <v>5</v>
      </c>
      <c r="I160" s="20">
        <v>125.84</v>
      </c>
      <c r="J160" s="20">
        <v>37900</v>
      </c>
      <c r="K160" s="3">
        <v>0</v>
      </c>
      <c r="L160" s="3" t="s">
        <v>3</v>
      </c>
      <c r="M160" s="9" t="s">
        <v>0</v>
      </c>
      <c r="N160" s="9" t="s">
        <v>7</v>
      </c>
      <c r="O160" s="9" t="s">
        <v>3383</v>
      </c>
      <c r="S160" s="9" t="s">
        <v>3427</v>
      </c>
      <c r="T160" s="10" t="s">
        <v>66</v>
      </c>
      <c r="U160" s="10">
        <v>8</v>
      </c>
      <c r="W160" s="10" t="s">
        <v>710</v>
      </c>
      <c r="X160" s="17">
        <v>44577</v>
      </c>
      <c r="Y160" s="17">
        <v>44580</v>
      </c>
      <c r="Z160" s="19" t="s">
        <v>772</v>
      </c>
      <c r="AA160" s="207">
        <v>6000</v>
      </c>
      <c r="AB160" s="9">
        <v>24</v>
      </c>
      <c r="AC160" s="9">
        <v>23</v>
      </c>
      <c r="AD160" s="17">
        <v>45656</v>
      </c>
      <c r="AE160" s="22">
        <v>250</v>
      </c>
      <c r="AF160" s="54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9"/>
      <c r="BA160" s="22"/>
      <c r="BB160" s="22"/>
      <c r="BD160" s="9"/>
      <c r="CS160" s="11">
        <f t="shared" si="16"/>
        <v>0</v>
      </c>
      <c r="CT160" s="22">
        <f t="shared" si="17"/>
        <v>0</v>
      </c>
      <c r="CU160" s="22">
        <f t="shared" si="18"/>
        <v>0</v>
      </c>
      <c r="CV160" s="26">
        <f t="shared" si="19"/>
        <v>250</v>
      </c>
    </row>
    <row r="161" spans="1:103" x14ac:dyDescent="0.2">
      <c r="A161" s="9" t="s">
        <v>3384</v>
      </c>
      <c r="B161" s="2">
        <v>11</v>
      </c>
      <c r="C161" s="3" t="s">
        <v>95</v>
      </c>
      <c r="D161" s="3" t="s">
        <v>96</v>
      </c>
      <c r="E161" s="2"/>
      <c r="F161" s="2"/>
      <c r="G161" s="2" t="s">
        <v>66</v>
      </c>
      <c r="H161" s="2">
        <v>5</v>
      </c>
      <c r="I161" s="20">
        <v>125.84</v>
      </c>
      <c r="J161" s="20">
        <v>37900</v>
      </c>
      <c r="K161" s="3">
        <v>0</v>
      </c>
      <c r="L161" s="3" t="s">
        <v>3</v>
      </c>
      <c r="M161" s="9" t="s">
        <v>0</v>
      </c>
      <c r="N161" s="9" t="s">
        <v>7</v>
      </c>
      <c r="O161" s="9" t="s">
        <v>3383</v>
      </c>
      <c r="S161" s="9" t="s">
        <v>3427</v>
      </c>
      <c r="T161" s="10" t="s">
        <v>66</v>
      </c>
      <c r="U161" s="10">
        <v>8</v>
      </c>
      <c r="W161" s="10" t="s">
        <v>710</v>
      </c>
      <c r="X161" s="17">
        <v>44577</v>
      </c>
      <c r="Y161" s="17">
        <v>44580</v>
      </c>
      <c r="Z161" s="19" t="s">
        <v>772</v>
      </c>
      <c r="AA161" s="207">
        <v>6000</v>
      </c>
      <c r="AB161" s="9">
        <v>24</v>
      </c>
      <c r="AC161" s="9">
        <v>24</v>
      </c>
      <c r="AD161" s="17">
        <v>45687</v>
      </c>
      <c r="AE161" s="22">
        <v>250</v>
      </c>
      <c r="AF161" s="54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9"/>
      <c r="BA161" s="22"/>
      <c r="BB161" s="22"/>
      <c r="BD161" s="9"/>
      <c r="CS161" s="11">
        <f t="shared" si="16"/>
        <v>0</v>
      </c>
      <c r="CT161" s="22">
        <f t="shared" si="17"/>
        <v>0</v>
      </c>
      <c r="CU161" s="22">
        <f t="shared" si="18"/>
        <v>0</v>
      </c>
      <c r="CV161" s="26">
        <f t="shared" si="19"/>
        <v>250</v>
      </c>
    </row>
    <row r="162" spans="1:103" x14ac:dyDescent="0.2">
      <c r="A162" s="9" t="s">
        <v>3227</v>
      </c>
      <c r="B162" s="2">
        <v>93</v>
      </c>
      <c r="C162" s="3" t="s">
        <v>95</v>
      </c>
      <c r="D162" s="3" t="s">
        <v>96</v>
      </c>
      <c r="E162" s="2"/>
      <c r="F162" s="2"/>
      <c r="G162" s="2" t="s">
        <v>77</v>
      </c>
      <c r="H162" s="2">
        <v>2</v>
      </c>
      <c r="I162" s="20">
        <v>97.54</v>
      </c>
      <c r="J162" s="20">
        <v>43351</v>
      </c>
      <c r="K162" s="3">
        <v>0</v>
      </c>
      <c r="L162" s="3" t="s">
        <v>3</v>
      </c>
      <c r="M162" s="10" t="s">
        <v>0</v>
      </c>
      <c r="N162" s="10">
        <v>48495734</v>
      </c>
      <c r="O162" s="9" t="s">
        <v>3228</v>
      </c>
      <c r="S162" s="9" t="s">
        <v>158</v>
      </c>
      <c r="T162" s="10" t="s">
        <v>77</v>
      </c>
      <c r="U162" s="116" t="s">
        <v>3229</v>
      </c>
      <c r="V162" s="10">
        <v>97.54</v>
      </c>
      <c r="W162" s="10" t="s">
        <v>710</v>
      </c>
      <c r="X162" s="17">
        <v>45735</v>
      </c>
      <c r="Y162" s="17">
        <v>45737</v>
      </c>
      <c r="Z162" s="19" t="s">
        <v>772</v>
      </c>
      <c r="AA162" s="209">
        <v>41000</v>
      </c>
      <c r="AB162" s="9">
        <v>84</v>
      </c>
      <c r="AC162" s="9">
        <v>0</v>
      </c>
      <c r="AD162" s="17">
        <v>45735</v>
      </c>
      <c r="AE162" s="54">
        <v>3135.02</v>
      </c>
      <c r="AF162" s="54"/>
      <c r="AG162" s="9" t="s">
        <v>275</v>
      </c>
      <c r="AH162" s="17">
        <v>45737</v>
      </c>
      <c r="AI162" s="9">
        <v>10484957342</v>
      </c>
      <c r="AJ162" s="9" t="s">
        <v>3238</v>
      </c>
      <c r="AK162" s="9" t="s">
        <v>3230</v>
      </c>
      <c r="AL162" s="22">
        <v>3135.02</v>
      </c>
      <c r="AM162" s="22"/>
      <c r="AN162" s="22" t="s">
        <v>3234</v>
      </c>
      <c r="AO162" s="22"/>
      <c r="AP162" s="22"/>
      <c r="AQ162" s="104"/>
      <c r="AR162" s="22"/>
      <c r="AS162" s="22"/>
      <c r="AT162" s="22"/>
      <c r="AU162" s="22"/>
      <c r="AV162" s="22"/>
      <c r="AW162" s="17">
        <v>45735</v>
      </c>
      <c r="AX162" s="9">
        <v>3899</v>
      </c>
      <c r="BA162" s="22">
        <v>3135.02</v>
      </c>
      <c r="BB162" s="22"/>
      <c r="BD162" s="9"/>
      <c r="CS162" s="11">
        <f t="shared" si="16"/>
        <v>3135.02</v>
      </c>
      <c r="CT162" s="22">
        <f t="shared" si="17"/>
        <v>3135.02</v>
      </c>
      <c r="CU162" s="22">
        <f t="shared" si="18"/>
        <v>0</v>
      </c>
      <c r="CV162" s="26">
        <f t="shared" si="19"/>
        <v>0</v>
      </c>
    </row>
    <row r="163" spans="1:103" s="27" customFormat="1" x14ac:dyDescent="0.2">
      <c r="A163" s="27" t="s">
        <v>3227</v>
      </c>
      <c r="B163" s="67">
        <v>93</v>
      </c>
      <c r="C163" s="68" t="s">
        <v>95</v>
      </c>
      <c r="D163" s="68" t="s">
        <v>96</v>
      </c>
      <c r="E163" s="67"/>
      <c r="F163" s="67"/>
      <c r="G163" s="67" t="s">
        <v>77</v>
      </c>
      <c r="H163" s="67">
        <v>2</v>
      </c>
      <c r="I163" s="217">
        <v>97.54</v>
      </c>
      <c r="J163" s="217">
        <v>43351</v>
      </c>
      <c r="K163" s="68">
        <v>0</v>
      </c>
      <c r="L163" s="68" t="s">
        <v>3</v>
      </c>
      <c r="M163" s="69" t="s">
        <v>0</v>
      </c>
      <c r="N163" s="69">
        <v>48495734</v>
      </c>
      <c r="O163" s="27" t="s">
        <v>3228</v>
      </c>
      <c r="Q163" s="218"/>
      <c r="S163" s="27" t="s">
        <v>158</v>
      </c>
      <c r="T163" s="69" t="s">
        <v>77</v>
      </c>
      <c r="U163" s="232" t="s">
        <v>3229</v>
      </c>
      <c r="V163" s="69">
        <v>97.54</v>
      </c>
      <c r="W163" s="69" t="s">
        <v>710</v>
      </c>
      <c r="X163" s="70">
        <v>45735</v>
      </c>
      <c r="Y163" s="70">
        <v>45737</v>
      </c>
      <c r="Z163" s="219" t="s">
        <v>772</v>
      </c>
      <c r="AA163" s="231">
        <v>41000</v>
      </c>
      <c r="AB163" s="27">
        <v>84</v>
      </c>
      <c r="AC163" s="27">
        <v>0</v>
      </c>
      <c r="AD163" s="70">
        <v>45771</v>
      </c>
      <c r="AE163" s="220">
        <v>4864.9799999999996</v>
      </c>
      <c r="AF163" s="220"/>
      <c r="AG163" s="27" t="s">
        <v>275</v>
      </c>
      <c r="AH163" s="70">
        <v>45771</v>
      </c>
      <c r="AI163" s="27">
        <v>10484957342</v>
      </c>
      <c r="AJ163" s="27" t="s">
        <v>3238</v>
      </c>
      <c r="AK163" s="27" t="s">
        <v>3231</v>
      </c>
      <c r="AL163" s="28">
        <v>4864.9799999999996</v>
      </c>
      <c r="AM163" s="28"/>
      <c r="AN163" s="28" t="s">
        <v>3235</v>
      </c>
      <c r="AO163" s="28" t="s">
        <v>899</v>
      </c>
      <c r="AP163" s="223">
        <v>45744</v>
      </c>
      <c r="AQ163" s="233">
        <v>10484957342</v>
      </c>
      <c r="AR163" s="28" t="s">
        <v>3238</v>
      </c>
      <c r="AS163" s="28" t="s">
        <v>3240</v>
      </c>
      <c r="AT163" s="28">
        <f>+AU163/3.81234866330385</f>
        <v>-4864.9800000000096</v>
      </c>
      <c r="AU163" s="28">
        <v>-18547</v>
      </c>
      <c r="AV163" s="28" t="s">
        <v>3239</v>
      </c>
      <c r="BA163" s="28"/>
      <c r="BB163" s="28"/>
      <c r="CS163" s="28">
        <f t="shared" si="16"/>
        <v>-1.0004441719502211E-11</v>
      </c>
      <c r="CT163" s="28">
        <f t="shared" si="17"/>
        <v>0</v>
      </c>
      <c r="CU163" s="28">
        <f t="shared" si="18"/>
        <v>-1.0004441719502211E-11</v>
      </c>
      <c r="CV163" s="222">
        <f t="shared" si="19"/>
        <v>4864.9800000000096</v>
      </c>
    </row>
    <row r="164" spans="1:103" x14ac:dyDescent="0.2">
      <c r="A164" s="9" t="s">
        <v>3227</v>
      </c>
      <c r="B164" s="2">
        <v>93</v>
      </c>
      <c r="C164" s="3" t="s">
        <v>95</v>
      </c>
      <c r="D164" s="3" t="s">
        <v>96</v>
      </c>
      <c r="E164" s="2"/>
      <c r="F164" s="2"/>
      <c r="G164" s="2" t="s">
        <v>77</v>
      </c>
      <c r="H164" s="2">
        <v>2</v>
      </c>
      <c r="I164" s="20">
        <v>97.54</v>
      </c>
      <c r="J164" s="20">
        <v>43351</v>
      </c>
      <c r="K164" s="3">
        <v>0</v>
      </c>
      <c r="L164" s="3" t="s">
        <v>3</v>
      </c>
      <c r="M164" s="10" t="s">
        <v>0</v>
      </c>
      <c r="N164" s="10">
        <v>48495734</v>
      </c>
      <c r="O164" s="9" t="s">
        <v>3228</v>
      </c>
      <c r="S164" s="9" t="s">
        <v>158</v>
      </c>
      <c r="T164" s="10" t="s">
        <v>77</v>
      </c>
      <c r="U164" s="116" t="s">
        <v>3229</v>
      </c>
      <c r="V164" s="10">
        <v>97.54</v>
      </c>
      <c r="W164" s="10" t="s">
        <v>710</v>
      </c>
      <c r="X164" s="17">
        <v>45735</v>
      </c>
      <c r="Y164" s="17">
        <v>45737</v>
      </c>
      <c r="Z164" s="19" t="s">
        <v>772</v>
      </c>
      <c r="AA164" s="209">
        <v>41000</v>
      </c>
      <c r="AB164" s="9">
        <v>84</v>
      </c>
      <c r="AC164" s="9">
        <v>1</v>
      </c>
      <c r="AD164" s="17">
        <v>45772</v>
      </c>
      <c r="AE164" s="54">
        <v>11900</v>
      </c>
      <c r="AF164" s="54"/>
      <c r="AG164" s="9" t="s">
        <v>275</v>
      </c>
      <c r="AH164" s="17">
        <v>45772</v>
      </c>
      <c r="AI164" s="9">
        <v>10484957342</v>
      </c>
      <c r="AJ164" s="9" t="s">
        <v>3238</v>
      </c>
      <c r="AK164" s="9" t="s">
        <v>3232</v>
      </c>
      <c r="AL164" s="22">
        <v>11900</v>
      </c>
      <c r="AM164" s="22"/>
      <c r="AN164" s="22" t="s">
        <v>3236</v>
      </c>
      <c r="AO164" s="22"/>
      <c r="AP164" s="22"/>
      <c r="AQ164" s="22"/>
      <c r="AR164" s="22"/>
      <c r="AS164" s="22"/>
      <c r="AT164" s="22"/>
      <c r="AU164" s="22"/>
      <c r="AV164" s="22"/>
      <c r="AW164" s="17">
        <v>45772</v>
      </c>
      <c r="AX164" s="9">
        <v>4054</v>
      </c>
      <c r="BA164" s="22">
        <v>11900</v>
      </c>
      <c r="BB164" s="22"/>
      <c r="BD164" s="9"/>
      <c r="CS164" s="11">
        <f t="shared" si="16"/>
        <v>11900</v>
      </c>
      <c r="CT164" s="22">
        <f t="shared" si="17"/>
        <v>11900</v>
      </c>
      <c r="CU164" s="22">
        <f t="shared" si="18"/>
        <v>0</v>
      </c>
      <c r="CV164" s="26">
        <f t="shared" si="19"/>
        <v>0</v>
      </c>
    </row>
    <row r="165" spans="1:103" x14ac:dyDescent="0.2">
      <c r="A165" s="9" t="s">
        <v>3227</v>
      </c>
      <c r="B165" s="2">
        <v>93</v>
      </c>
      <c r="C165" s="3" t="s">
        <v>95</v>
      </c>
      <c r="D165" s="3" t="s">
        <v>96</v>
      </c>
      <c r="E165" s="2"/>
      <c r="F165" s="2"/>
      <c r="G165" s="2" t="s">
        <v>77</v>
      </c>
      <c r="H165" s="2">
        <v>2</v>
      </c>
      <c r="I165" s="20">
        <v>97.54</v>
      </c>
      <c r="J165" s="20">
        <v>43351</v>
      </c>
      <c r="K165" s="3">
        <v>0</v>
      </c>
      <c r="L165" s="3" t="s">
        <v>3</v>
      </c>
      <c r="M165" s="10" t="s">
        <v>0</v>
      </c>
      <c r="N165" s="10">
        <v>48495734</v>
      </c>
      <c r="O165" s="9" t="s">
        <v>3228</v>
      </c>
      <c r="S165" s="9" t="s">
        <v>158</v>
      </c>
      <c r="T165" s="10" t="s">
        <v>77</v>
      </c>
      <c r="U165" s="116" t="s">
        <v>3229</v>
      </c>
      <c r="V165" s="10">
        <v>97.54</v>
      </c>
      <c r="W165" s="10" t="s">
        <v>710</v>
      </c>
      <c r="X165" s="17">
        <v>45735</v>
      </c>
      <c r="Y165" s="17">
        <v>45737</v>
      </c>
      <c r="Z165" s="19" t="s">
        <v>772</v>
      </c>
      <c r="AA165" s="209">
        <v>41000</v>
      </c>
      <c r="AB165" s="9">
        <v>84</v>
      </c>
      <c r="AC165" s="9">
        <v>2</v>
      </c>
      <c r="AD165" s="17">
        <v>45901</v>
      </c>
      <c r="AE165" s="54">
        <v>3000</v>
      </c>
      <c r="AF165" s="54"/>
      <c r="AG165" s="184" t="s">
        <v>275</v>
      </c>
      <c r="AH165" s="17">
        <v>45901</v>
      </c>
      <c r="AI165" s="9">
        <v>10484957342</v>
      </c>
      <c r="AJ165" s="9" t="s">
        <v>3238</v>
      </c>
      <c r="AK165" s="9" t="s">
        <v>3233</v>
      </c>
      <c r="AL165" s="22">
        <v>3000</v>
      </c>
      <c r="AM165" s="22"/>
      <c r="AN165" s="22" t="s">
        <v>3237</v>
      </c>
      <c r="AO165" s="22"/>
      <c r="AP165" s="22"/>
      <c r="AQ165" s="22"/>
      <c r="AR165" s="22"/>
      <c r="AS165" s="22"/>
      <c r="AT165" s="22"/>
      <c r="AU165" s="22"/>
      <c r="AV165" s="22"/>
      <c r="AW165" s="17">
        <v>45901</v>
      </c>
      <c r="AX165" s="9">
        <v>4642</v>
      </c>
      <c r="BA165" s="22">
        <v>3000</v>
      </c>
      <c r="BB165" s="22"/>
      <c r="BD165" s="9"/>
      <c r="CS165" s="11">
        <f t="shared" si="16"/>
        <v>3000</v>
      </c>
      <c r="CT165" s="22">
        <f t="shared" si="17"/>
        <v>3000</v>
      </c>
      <c r="CU165" s="22">
        <f t="shared" si="18"/>
        <v>0</v>
      </c>
      <c r="CV165" s="26">
        <f t="shared" si="19"/>
        <v>0</v>
      </c>
    </row>
    <row r="166" spans="1:103" x14ac:dyDescent="0.2">
      <c r="A166" s="9" t="s">
        <v>3227</v>
      </c>
      <c r="B166" s="2">
        <v>93</v>
      </c>
      <c r="C166" s="3" t="s">
        <v>95</v>
      </c>
      <c r="D166" s="3" t="s">
        <v>96</v>
      </c>
      <c r="E166" s="2"/>
      <c r="F166" s="2"/>
      <c r="G166" s="2" t="s">
        <v>77</v>
      </c>
      <c r="H166" s="2">
        <v>2</v>
      </c>
      <c r="I166" s="20">
        <v>97.54</v>
      </c>
      <c r="J166" s="20">
        <v>43351</v>
      </c>
      <c r="K166" s="3">
        <v>0</v>
      </c>
      <c r="L166" s="3" t="s">
        <v>3</v>
      </c>
      <c r="M166" s="10" t="s">
        <v>0</v>
      </c>
      <c r="N166" s="10">
        <v>48495734</v>
      </c>
      <c r="O166" s="9" t="s">
        <v>3228</v>
      </c>
      <c r="S166" s="9" t="s">
        <v>158</v>
      </c>
      <c r="T166" s="10" t="s">
        <v>77</v>
      </c>
      <c r="U166" s="116" t="s">
        <v>3229</v>
      </c>
      <c r="V166" s="10">
        <v>97.54</v>
      </c>
      <c r="W166" s="10" t="s">
        <v>710</v>
      </c>
      <c r="X166" s="17">
        <v>45735</v>
      </c>
      <c r="Y166" s="17">
        <v>45737</v>
      </c>
      <c r="Z166" s="19" t="s">
        <v>772</v>
      </c>
      <c r="AA166" s="209">
        <v>41000</v>
      </c>
      <c r="AB166" s="9">
        <v>84</v>
      </c>
      <c r="AC166" s="9">
        <v>3</v>
      </c>
      <c r="AD166" s="17">
        <v>45975</v>
      </c>
      <c r="AE166" s="54">
        <v>8000</v>
      </c>
      <c r="AF166" s="54"/>
      <c r="AG166" s="184" t="s">
        <v>275</v>
      </c>
      <c r="AH166" s="17">
        <v>45975</v>
      </c>
      <c r="AI166" s="9">
        <v>10484957342</v>
      </c>
      <c r="AJ166" s="9" t="s">
        <v>3238</v>
      </c>
      <c r="AK166" s="9" t="s">
        <v>3289</v>
      </c>
      <c r="AL166" s="22">
        <v>8000</v>
      </c>
      <c r="AM166" s="22"/>
      <c r="AN166" s="22" t="s">
        <v>3290</v>
      </c>
      <c r="AO166" s="22"/>
      <c r="AP166" s="22"/>
      <c r="AQ166" s="22"/>
      <c r="AR166" s="22"/>
      <c r="AS166" s="22"/>
      <c r="AT166" s="22"/>
      <c r="AU166" s="22"/>
      <c r="AV166" s="22"/>
      <c r="AW166" s="17">
        <v>45973</v>
      </c>
      <c r="AX166" s="9">
        <v>5101</v>
      </c>
      <c r="BA166" s="22">
        <v>5100</v>
      </c>
      <c r="BB166" s="22"/>
      <c r="BC166" s="17">
        <v>45973</v>
      </c>
      <c r="BD166" s="9">
        <v>5103</v>
      </c>
      <c r="BG166" s="9">
        <v>900</v>
      </c>
      <c r="BI166" s="17">
        <v>45973</v>
      </c>
      <c r="BJ166" s="9">
        <v>5103</v>
      </c>
      <c r="BM166" s="9">
        <v>900</v>
      </c>
      <c r="BO166" s="17">
        <v>45973</v>
      </c>
      <c r="BP166" s="9">
        <v>5105</v>
      </c>
      <c r="BS166" s="9">
        <v>100</v>
      </c>
      <c r="BU166" s="17">
        <v>45974</v>
      </c>
      <c r="BV166" s="9">
        <v>5105</v>
      </c>
      <c r="BY166" s="86">
        <v>1000</v>
      </c>
      <c r="CS166" s="11">
        <f t="shared" si="16"/>
        <v>8000</v>
      </c>
      <c r="CT166" s="22">
        <f t="shared" si="17"/>
        <v>8000</v>
      </c>
      <c r="CU166" s="22">
        <f t="shared" si="18"/>
        <v>0</v>
      </c>
      <c r="CV166" s="26">
        <f t="shared" si="19"/>
        <v>0</v>
      </c>
    </row>
    <row r="167" spans="1:103" x14ac:dyDescent="0.2">
      <c r="A167" s="9" t="s">
        <v>3227</v>
      </c>
      <c r="B167" s="2">
        <v>93</v>
      </c>
      <c r="C167" s="3" t="s">
        <v>95</v>
      </c>
      <c r="D167" s="3" t="s">
        <v>96</v>
      </c>
      <c r="E167" s="2"/>
      <c r="F167" s="2"/>
      <c r="G167" s="2" t="s">
        <v>77</v>
      </c>
      <c r="H167" s="2">
        <v>2</v>
      </c>
      <c r="I167" s="20">
        <v>97.54</v>
      </c>
      <c r="J167" s="20">
        <v>43351</v>
      </c>
      <c r="K167" s="3">
        <v>0</v>
      </c>
      <c r="L167" s="3" t="s">
        <v>3</v>
      </c>
      <c r="M167" s="10" t="s">
        <v>0</v>
      </c>
      <c r="N167" s="10">
        <v>48495734</v>
      </c>
      <c r="O167" s="9" t="s">
        <v>3228</v>
      </c>
      <c r="S167" s="9" t="s">
        <v>158</v>
      </c>
      <c r="T167" s="10" t="s">
        <v>77</v>
      </c>
      <c r="U167" s="116" t="s">
        <v>3229</v>
      </c>
      <c r="V167" s="10">
        <v>97.54</v>
      </c>
      <c r="W167" s="10" t="s">
        <v>710</v>
      </c>
      <c r="X167" s="17">
        <v>45735</v>
      </c>
      <c r="Y167" s="17">
        <v>45737</v>
      </c>
      <c r="Z167" s="19" t="s">
        <v>772</v>
      </c>
      <c r="AA167" s="209">
        <v>41000</v>
      </c>
      <c r="AB167" s="9">
        <v>84</v>
      </c>
      <c r="AC167" s="9">
        <v>4</v>
      </c>
      <c r="AD167" s="17">
        <v>46021</v>
      </c>
      <c r="AE167" s="54">
        <v>10100</v>
      </c>
      <c r="AF167" s="54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9"/>
      <c r="BA167" s="22"/>
      <c r="BB167" s="22"/>
      <c r="BD167" s="9"/>
      <c r="CS167" s="11">
        <f t="shared" si="16"/>
        <v>0</v>
      </c>
      <c r="CT167" s="22">
        <f t="shared" si="17"/>
        <v>0</v>
      </c>
      <c r="CU167" s="22">
        <f t="shared" si="18"/>
        <v>0</v>
      </c>
      <c r="CV167" s="26">
        <f t="shared" si="19"/>
        <v>10100</v>
      </c>
    </row>
    <row r="168" spans="1:103" x14ac:dyDescent="0.2">
      <c r="A168" s="9" t="s">
        <v>3381</v>
      </c>
      <c r="B168" s="2">
        <v>149</v>
      </c>
      <c r="C168" s="3" t="s">
        <v>95</v>
      </c>
      <c r="D168" s="3" t="s">
        <v>96</v>
      </c>
      <c r="E168" s="2"/>
      <c r="F168" s="2"/>
      <c r="G168" s="2" t="s">
        <v>85</v>
      </c>
      <c r="H168" s="2">
        <v>5</v>
      </c>
      <c r="I168" s="20">
        <v>134.61000000000001</v>
      </c>
      <c r="J168" s="20">
        <v>41900</v>
      </c>
      <c r="K168" s="3">
        <v>0</v>
      </c>
      <c r="L168" s="3" t="s">
        <v>3</v>
      </c>
      <c r="M168" s="9" t="s">
        <v>0</v>
      </c>
      <c r="N168" s="9" t="s">
        <v>8</v>
      </c>
      <c r="O168" s="9" t="s">
        <v>3292</v>
      </c>
      <c r="S168" s="9" t="s">
        <v>158</v>
      </c>
      <c r="T168" s="10" t="s">
        <v>85</v>
      </c>
      <c r="U168" s="10">
        <v>5</v>
      </c>
      <c r="V168" s="10">
        <v>134.56</v>
      </c>
      <c r="W168" s="10" t="s">
        <v>710</v>
      </c>
      <c r="X168" s="17">
        <v>44794</v>
      </c>
      <c r="Y168" s="17">
        <v>45161</v>
      </c>
      <c r="Z168" s="19" t="s">
        <v>772</v>
      </c>
      <c r="AA168" s="207">
        <v>35952</v>
      </c>
      <c r="AB168" s="9">
        <v>40</v>
      </c>
      <c r="AC168" s="9">
        <v>0</v>
      </c>
      <c r="AD168" s="17">
        <v>44794</v>
      </c>
      <c r="AE168" s="54">
        <v>25.97</v>
      </c>
      <c r="AF168" s="54"/>
      <c r="AG168" s="9" t="s">
        <v>134</v>
      </c>
      <c r="AH168" s="17">
        <v>44794</v>
      </c>
      <c r="AI168" s="9">
        <v>10228642</v>
      </c>
      <c r="AJ168" s="9" t="s">
        <v>3295</v>
      </c>
      <c r="AK168" s="9" t="s">
        <v>3293</v>
      </c>
      <c r="AL168" s="22">
        <v>25.97</v>
      </c>
      <c r="AM168" s="22"/>
      <c r="AN168" s="22" t="s">
        <v>3296</v>
      </c>
      <c r="AO168" s="22"/>
      <c r="AP168" s="22"/>
      <c r="AQ168" s="22"/>
      <c r="AR168" s="22"/>
      <c r="AS168" s="22"/>
      <c r="AT168" s="22"/>
      <c r="AU168" s="22"/>
      <c r="AV168" s="22"/>
      <c r="AW168" s="18">
        <v>44795</v>
      </c>
      <c r="AX168" s="9">
        <v>15367</v>
      </c>
      <c r="AY168" s="9">
        <v>100</v>
      </c>
      <c r="AZ168" s="9">
        <v>3.8570000000000002</v>
      </c>
      <c r="BA168" s="22">
        <f>+AY168/AZ168</f>
        <v>25.926886180969664</v>
      </c>
      <c r="BB168" s="22"/>
      <c r="BD168" s="9"/>
      <c r="CS168" s="11">
        <f t="shared" si="16"/>
        <v>25.97</v>
      </c>
      <c r="CT168" s="22">
        <f t="shared" si="17"/>
        <v>25.926886180969664</v>
      </c>
      <c r="CU168" s="22">
        <f t="shared" si="18"/>
        <v>4.3113819030335065E-2</v>
      </c>
      <c r="CV168" s="26">
        <f t="shared" si="19"/>
        <v>0</v>
      </c>
    </row>
    <row r="169" spans="1:103" ht="12.75" x14ac:dyDescent="0.2">
      <c r="A169" s="9" t="s">
        <v>3381</v>
      </c>
      <c r="B169" s="2">
        <v>149</v>
      </c>
      <c r="C169" s="3" t="s">
        <v>95</v>
      </c>
      <c r="D169" s="3" t="s">
        <v>96</v>
      </c>
      <c r="E169" s="2"/>
      <c r="F169" s="2"/>
      <c r="G169" s="2" t="s">
        <v>85</v>
      </c>
      <c r="H169" s="2">
        <v>5</v>
      </c>
      <c r="I169" s="20">
        <v>134.61000000000001</v>
      </c>
      <c r="J169" s="20">
        <v>41900</v>
      </c>
      <c r="K169" s="3">
        <v>0</v>
      </c>
      <c r="L169" s="3" t="s">
        <v>3</v>
      </c>
      <c r="M169" s="9" t="s">
        <v>0</v>
      </c>
      <c r="N169" s="9" t="s">
        <v>8</v>
      </c>
      <c r="O169" s="9" t="s">
        <v>3292</v>
      </c>
      <c r="S169" s="9" t="s">
        <v>158</v>
      </c>
      <c r="T169" s="10" t="s">
        <v>85</v>
      </c>
      <c r="U169" s="10">
        <v>5</v>
      </c>
      <c r="V169" s="10">
        <v>134.56</v>
      </c>
      <c r="W169" s="10" t="s">
        <v>710</v>
      </c>
      <c r="X169" s="17">
        <v>44794</v>
      </c>
      <c r="Y169" s="17">
        <v>45161</v>
      </c>
      <c r="Z169" s="19" t="s">
        <v>772</v>
      </c>
      <c r="AA169" s="207">
        <v>35952</v>
      </c>
      <c r="AB169" s="9">
        <v>40</v>
      </c>
      <c r="AC169" s="9">
        <v>0</v>
      </c>
      <c r="AD169" s="17">
        <v>44802</v>
      </c>
      <c r="AE169" s="54">
        <v>3974.03</v>
      </c>
      <c r="AF169" s="54"/>
      <c r="AG169" s="9" t="s">
        <v>134</v>
      </c>
      <c r="AH169" s="17">
        <v>44802</v>
      </c>
      <c r="AI169" s="9">
        <v>10228642</v>
      </c>
      <c r="AJ169" s="9" t="s">
        <v>3295</v>
      </c>
      <c r="AK169" s="9" t="s">
        <v>3294</v>
      </c>
      <c r="AL169" s="22">
        <v>3974.08</v>
      </c>
      <c r="AM169" s="22"/>
      <c r="AN169" s="22" t="s">
        <v>3297</v>
      </c>
      <c r="AO169" s="22"/>
      <c r="AP169" s="22"/>
      <c r="AQ169" s="22"/>
      <c r="AR169" s="22"/>
      <c r="AS169" s="22"/>
      <c r="AT169" s="22"/>
      <c r="AU169" s="22"/>
      <c r="AV169" s="22"/>
      <c r="AW169" s="18">
        <v>44804</v>
      </c>
      <c r="AX169" s="9">
        <v>15635</v>
      </c>
      <c r="AY169" s="86">
        <v>14100</v>
      </c>
      <c r="AZ169" s="9">
        <v>3.847</v>
      </c>
      <c r="BA169" s="22">
        <f>+AY169/AZ169</f>
        <v>3665.1936573953731</v>
      </c>
      <c r="BB169" s="22"/>
      <c r="BC169" s="17">
        <v>44802</v>
      </c>
      <c r="BD169" s="9">
        <v>15602</v>
      </c>
      <c r="BE169" s="188">
        <v>1000</v>
      </c>
      <c r="BF169" s="9">
        <v>3.847</v>
      </c>
      <c r="BG169" s="22">
        <f>+BE169/BF169</f>
        <v>259.94281258123215</v>
      </c>
      <c r="BI169" s="17">
        <v>44802</v>
      </c>
      <c r="BJ169" s="9">
        <v>15607</v>
      </c>
      <c r="BK169" s="9">
        <v>188.3</v>
      </c>
      <c r="BL169" s="9">
        <v>3.847</v>
      </c>
      <c r="BM169" s="22">
        <f>+BK169/BL169</f>
        <v>48.947231609046014</v>
      </c>
      <c r="CS169" s="11">
        <f t="shared" si="16"/>
        <v>3974.08</v>
      </c>
      <c r="CT169" s="22">
        <f t="shared" si="17"/>
        <v>3974.0837015856514</v>
      </c>
      <c r="CU169" s="22">
        <f t="shared" si="18"/>
        <v>-3.7015856514699408E-3</v>
      </c>
      <c r="CV169" s="26">
        <f t="shared" si="19"/>
        <v>-4.9999999999727152E-2</v>
      </c>
    </row>
    <row r="170" spans="1:103" x14ac:dyDescent="0.2">
      <c r="A170" s="9" t="s">
        <v>3381</v>
      </c>
      <c r="B170" s="2">
        <v>149</v>
      </c>
      <c r="C170" s="3" t="s">
        <v>95</v>
      </c>
      <c r="D170" s="3" t="s">
        <v>96</v>
      </c>
      <c r="E170" s="2"/>
      <c r="F170" s="2"/>
      <c r="G170" s="2" t="s">
        <v>85</v>
      </c>
      <c r="H170" s="2">
        <v>5</v>
      </c>
      <c r="I170" s="20">
        <v>134.61000000000001</v>
      </c>
      <c r="J170" s="20">
        <v>41900</v>
      </c>
      <c r="K170" s="3">
        <v>0</v>
      </c>
      <c r="L170" s="3" t="s">
        <v>3</v>
      </c>
      <c r="M170" s="9" t="s">
        <v>0</v>
      </c>
      <c r="N170" s="9" t="s">
        <v>8</v>
      </c>
      <c r="O170" s="9" t="s">
        <v>3292</v>
      </c>
      <c r="S170" s="9" t="s">
        <v>158</v>
      </c>
      <c r="T170" s="10" t="s">
        <v>85</v>
      </c>
      <c r="U170" s="10">
        <v>5</v>
      </c>
      <c r="V170" s="10">
        <v>134.56</v>
      </c>
      <c r="W170" s="10" t="s">
        <v>710</v>
      </c>
      <c r="X170" s="17">
        <v>44794</v>
      </c>
      <c r="Y170" s="17">
        <v>45161</v>
      </c>
      <c r="Z170" s="19" t="s">
        <v>772</v>
      </c>
      <c r="AA170" s="207">
        <v>35952</v>
      </c>
      <c r="AB170" s="9">
        <v>40</v>
      </c>
      <c r="AC170" s="9">
        <v>1</v>
      </c>
      <c r="AD170" s="17">
        <v>44925</v>
      </c>
      <c r="AE170" s="54">
        <v>840.8</v>
      </c>
      <c r="AF170" s="54"/>
      <c r="AG170" s="9" t="s">
        <v>134</v>
      </c>
      <c r="AH170" s="17">
        <v>44931</v>
      </c>
      <c r="AI170" s="9">
        <v>10228642</v>
      </c>
      <c r="AJ170" s="9" t="s">
        <v>3295</v>
      </c>
      <c r="AK170" s="9" t="s">
        <v>3339</v>
      </c>
      <c r="AL170" s="22">
        <v>840.8</v>
      </c>
      <c r="AM170" s="22"/>
      <c r="AN170" s="22" t="s">
        <v>3298</v>
      </c>
      <c r="AO170" s="22"/>
      <c r="AP170" s="22"/>
      <c r="AQ170" s="22"/>
      <c r="AR170" s="22"/>
      <c r="AS170" s="22"/>
      <c r="AT170" s="22"/>
      <c r="AU170" s="22"/>
      <c r="AV170" s="22"/>
      <c r="AW170" s="18">
        <v>44932</v>
      </c>
      <c r="AX170" s="9">
        <v>1139</v>
      </c>
      <c r="BA170" s="22">
        <v>841</v>
      </c>
      <c r="BB170" s="22"/>
      <c r="BD170" s="9"/>
      <c r="CS170" s="11">
        <f t="shared" si="16"/>
        <v>840.8</v>
      </c>
      <c r="CT170" s="22">
        <f t="shared" si="17"/>
        <v>841</v>
      </c>
      <c r="CU170" s="22">
        <f t="shared" si="18"/>
        <v>-0.20000000000004547</v>
      </c>
      <c r="CV170" s="26">
        <f t="shared" si="19"/>
        <v>0</v>
      </c>
    </row>
    <row r="171" spans="1:103" x14ac:dyDescent="0.2">
      <c r="A171" s="9" t="s">
        <v>3381</v>
      </c>
      <c r="B171" s="2">
        <v>149</v>
      </c>
      <c r="C171" s="3" t="s">
        <v>95</v>
      </c>
      <c r="D171" s="3" t="s">
        <v>96</v>
      </c>
      <c r="E171" s="2"/>
      <c r="F171" s="2"/>
      <c r="G171" s="2" t="s">
        <v>85</v>
      </c>
      <c r="H171" s="2">
        <v>5</v>
      </c>
      <c r="I171" s="20">
        <v>134.61000000000001</v>
      </c>
      <c r="J171" s="20">
        <v>41900</v>
      </c>
      <c r="K171" s="3">
        <v>0</v>
      </c>
      <c r="L171" s="3" t="s">
        <v>3</v>
      </c>
      <c r="M171" s="9" t="s">
        <v>0</v>
      </c>
      <c r="N171" s="9" t="s">
        <v>8</v>
      </c>
      <c r="O171" s="9" t="s">
        <v>3292</v>
      </c>
      <c r="S171" s="9" t="s">
        <v>158</v>
      </c>
      <c r="T171" s="10" t="s">
        <v>85</v>
      </c>
      <c r="U171" s="10">
        <v>5</v>
      </c>
      <c r="V171" s="10">
        <v>134.56</v>
      </c>
      <c r="W171" s="10" t="s">
        <v>710</v>
      </c>
      <c r="X171" s="17">
        <v>44794</v>
      </c>
      <c r="Y171" s="17">
        <v>45161</v>
      </c>
      <c r="Z171" s="19" t="s">
        <v>772</v>
      </c>
      <c r="AA171" s="207">
        <v>35952</v>
      </c>
      <c r="AB171" s="9">
        <v>40</v>
      </c>
      <c r="AC171" s="9">
        <v>2</v>
      </c>
      <c r="AD171" s="17">
        <v>44956</v>
      </c>
      <c r="AE171" s="54">
        <v>888.89</v>
      </c>
      <c r="AF171" s="54"/>
      <c r="AG171" s="9" t="s">
        <v>134</v>
      </c>
      <c r="AH171" s="17">
        <v>44993</v>
      </c>
      <c r="AI171" s="9">
        <v>10228642</v>
      </c>
      <c r="AJ171" s="9" t="s">
        <v>3295</v>
      </c>
      <c r="AK171" s="9" t="s">
        <v>3340</v>
      </c>
      <c r="AL171" s="22">
        <v>888.89</v>
      </c>
      <c r="AM171" s="22"/>
      <c r="AN171" s="22" t="s">
        <v>3300</v>
      </c>
      <c r="AO171" s="22"/>
      <c r="AP171" s="22"/>
      <c r="AQ171" s="22"/>
      <c r="AR171" s="22"/>
      <c r="AS171" s="22"/>
      <c r="AT171" s="22"/>
      <c r="AU171" s="22"/>
      <c r="AV171" s="22"/>
      <c r="AW171" s="18">
        <v>44989</v>
      </c>
      <c r="AX171" s="10" t="s">
        <v>3382</v>
      </c>
      <c r="AY171" s="22">
        <f>+BA171*AZ171</f>
        <v>3360.0041999999999</v>
      </c>
      <c r="AZ171" s="9">
        <v>3.78</v>
      </c>
      <c r="BA171" s="22">
        <v>888.89</v>
      </c>
      <c r="BB171" s="22"/>
      <c r="BD171" s="9"/>
      <c r="CS171" s="11">
        <f t="shared" si="16"/>
        <v>888.89</v>
      </c>
      <c r="CT171" s="22">
        <f t="shared" si="17"/>
        <v>888.89</v>
      </c>
      <c r="CU171" s="22">
        <f t="shared" si="18"/>
        <v>0</v>
      </c>
      <c r="CV171" s="26">
        <f t="shared" si="19"/>
        <v>0</v>
      </c>
    </row>
    <row r="172" spans="1:103" x14ac:dyDescent="0.2">
      <c r="A172" s="9" t="s">
        <v>3381</v>
      </c>
      <c r="B172" s="2">
        <v>149</v>
      </c>
      <c r="C172" s="3" t="s">
        <v>95</v>
      </c>
      <c r="D172" s="3" t="s">
        <v>96</v>
      </c>
      <c r="E172" s="2"/>
      <c r="F172" s="2"/>
      <c r="G172" s="2" t="s">
        <v>85</v>
      </c>
      <c r="H172" s="2">
        <v>5</v>
      </c>
      <c r="I172" s="20">
        <v>134.61000000000001</v>
      </c>
      <c r="J172" s="20">
        <v>41900</v>
      </c>
      <c r="K172" s="3">
        <v>0</v>
      </c>
      <c r="L172" s="3" t="s">
        <v>3</v>
      </c>
      <c r="M172" s="9" t="s">
        <v>0</v>
      </c>
      <c r="N172" s="9" t="s">
        <v>8</v>
      </c>
      <c r="O172" s="9" t="s">
        <v>3292</v>
      </c>
      <c r="S172" s="9" t="s">
        <v>158</v>
      </c>
      <c r="T172" s="10" t="s">
        <v>85</v>
      </c>
      <c r="U172" s="10">
        <v>5</v>
      </c>
      <c r="V172" s="10">
        <v>134.56</v>
      </c>
      <c r="W172" s="10" t="s">
        <v>710</v>
      </c>
      <c r="X172" s="17">
        <v>44794</v>
      </c>
      <c r="Y172" s="17">
        <v>45161</v>
      </c>
      <c r="Z172" s="19" t="s">
        <v>772</v>
      </c>
      <c r="AA172" s="207">
        <v>35952</v>
      </c>
      <c r="AB172" s="9">
        <v>40</v>
      </c>
      <c r="AC172" s="9">
        <v>3</v>
      </c>
      <c r="AD172" s="17">
        <v>44985</v>
      </c>
      <c r="AE172" s="54">
        <v>888.89</v>
      </c>
      <c r="AF172" s="54"/>
      <c r="AG172" s="9" t="s">
        <v>134</v>
      </c>
      <c r="AH172" s="17">
        <v>44993</v>
      </c>
      <c r="AI172" s="9">
        <v>10228642</v>
      </c>
      <c r="AJ172" s="9" t="s">
        <v>3295</v>
      </c>
      <c r="AK172" s="9" t="s">
        <v>3341</v>
      </c>
      <c r="AL172" s="22">
        <v>888.89</v>
      </c>
      <c r="AM172" s="22"/>
      <c r="AN172" s="22" t="s">
        <v>3301</v>
      </c>
      <c r="AO172" s="22"/>
      <c r="AP172" s="22"/>
      <c r="AQ172" s="22"/>
      <c r="AR172" s="22"/>
      <c r="AS172" s="22"/>
      <c r="AT172" s="22"/>
      <c r="AU172" s="22"/>
      <c r="AV172" s="22"/>
      <c r="AW172" s="18">
        <v>44989</v>
      </c>
      <c r="AX172" s="10" t="s">
        <v>3382</v>
      </c>
      <c r="AY172" s="22">
        <f>+BA172*AZ172</f>
        <v>3360.0041999999999</v>
      </c>
      <c r="AZ172" s="9">
        <v>3.78</v>
      </c>
      <c r="BA172" s="22">
        <v>888.89</v>
      </c>
      <c r="BB172" s="22"/>
      <c r="BD172" s="9"/>
      <c r="CS172" s="11">
        <f t="shared" si="16"/>
        <v>888.89</v>
      </c>
      <c r="CT172" s="22">
        <f t="shared" si="17"/>
        <v>888.89</v>
      </c>
      <c r="CU172" s="22">
        <f t="shared" si="18"/>
        <v>0</v>
      </c>
      <c r="CV172" s="26">
        <f t="shared" si="19"/>
        <v>0</v>
      </c>
    </row>
    <row r="173" spans="1:103" x14ac:dyDescent="0.2">
      <c r="A173" s="9" t="s">
        <v>3381</v>
      </c>
      <c r="B173" s="2">
        <v>149</v>
      </c>
      <c r="C173" s="3" t="s">
        <v>95</v>
      </c>
      <c r="D173" s="3" t="s">
        <v>96</v>
      </c>
      <c r="E173" s="2"/>
      <c r="F173" s="2"/>
      <c r="G173" s="2" t="s">
        <v>85</v>
      </c>
      <c r="H173" s="2">
        <v>5</v>
      </c>
      <c r="I173" s="20">
        <v>134.61000000000001</v>
      </c>
      <c r="J173" s="20">
        <v>41900</v>
      </c>
      <c r="K173" s="3">
        <v>0</v>
      </c>
      <c r="L173" s="3" t="s">
        <v>3</v>
      </c>
      <c r="M173" s="9" t="s">
        <v>0</v>
      </c>
      <c r="N173" s="9" t="s">
        <v>8</v>
      </c>
      <c r="O173" s="9" t="s">
        <v>3292</v>
      </c>
      <c r="S173" s="9" t="s">
        <v>158</v>
      </c>
      <c r="T173" s="10" t="s">
        <v>85</v>
      </c>
      <c r="U173" s="10">
        <v>5</v>
      </c>
      <c r="V173" s="10">
        <v>134.56</v>
      </c>
      <c r="W173" s="10" t="s">
        <v>710</v>
      </c>
      <c r="X173" s="17">
        <v>44794</v>
      </c>
      <c r="Y173" s="17">
        <v>45161</v>
      </c>
      <c r="Z173" s="19" t="s">
        <v>772</v>
      </c>
      <c r="AA173" s="207">
        <v>35952</v>
      </c>
      <c r="AB173" s="9">
        <v>40</v>
      </c>
      <c r="AC173" s="9">
        <v>4</v>
      </c>
      <c r="AD173" s="17">
        <v>45015</v>
      </c>
      <c r="AE173" s="54">
        <v>888.89</v>
      </c>
      <c r="AF173" s="54"/>
      <c r="AG173" s="9" t="s">
        <v>134</v>
      </c>
      <c r="AH173" s="17">
        <v>45050</v>
      </c>
      <c r="AI173" s="9">
        <v>10228642</v>
      </c>
      <c r="AJ173" s="9" t="s">
        <v>3295</v>
      </c>
      <c r="AK173" s="9" t="s">
        <v>3342</v>
      </c>
      <c r="AL173" s="22">
        <v>888.89</v>
      </c>
      <c r="AM173" s="22"/>
      <c r="AN173" s="22" t="s">
        <v>3304</v>
      </c>
      <c r="AO173" s="22"/>
      <c r="AP173" s="22"/>
      <c r="AQ173" s="22"/>
      <c r="AR173" s="22"/>
      <c r="AS173" s="22"/>
      <c r="AT173" s="22"/>
      <c r="AU173" s="22"/>
      <c r="AV173" s="22"/>
      <c r="AW173" s="18">
        <v>45048</v>
      </c>
      <c r="AX173" s="9">
        <v>1453</v>
      </c>
      <c r="AY173" s="22"/>
      <c r="BA173" s="22">
        <v>783.3</v>
      </c>
      <c r="BB173" s="22"/>
      <c r="BD173" s="9"/>
      <c r="CS173" s="11">
        <f t="shared" si="16"/>
        <v>888.89</v>
      </c>
      <c r="CT173" s="22">
        <f t="shared" si="17"/>
        <v>783.3</v>
      </c>
      <c r="CU173" s="22">
        <f t="shared" si="18"/>
        <v>105.59000000000003</v>
      </c>
      <c r="CV173" s="26">
        <f t="shared" si="19"/>
        <v>0</v>
      </c>
      <c r="CW173" s="9" t="s">
        <v>3494</v>
      </c>
      <c r="CY173" s="9" t="s">
        <v>3493</v>
      </c>
    </row>
    <row r="174" spans="1:103" x14ac:dyDescent="0.2">
      <c r="A174" s="9" t="s">
        <v>3381</v>
      </c>
      <c r="B174" s="2">
        <v>149</v>
      </c>
      <c r="C174" s="3" t="s">
        <v>95</v>
      </c>
      <c r="D174" s="3" t="s">
        <v>96</v>
      </c>
      <c r="E174" s="2"/>
      <c r="F174" s="2"/>
      <c r="G174" s="2" t="s">
        <v>85</v>
      </c>
      <c r="H174" s="2">
        <v>5</v>
      </c>
      <c r="I174" s="20">
        <v>134.61000000000001</v>
      </c>
      <c r="J174" s="20">
        <v>41900</v>
      </c>
      <c r="K174" s="3">
        <v>0</v>
      </c>
      <c r="L174" s="3" t="s">
        <v>3</v>
      </c>
      <c r="M174" s="9" t="s">
        <v>0</v>
      </c>
      <c r="N174" s="9" t="s">
        <v>8</v>
      </c>
      <c r="O174" s="9" t="s">
        <v>3292</v>
      </c>
      <c r="S174" s="9" t="s">
        <v>158</v>
      </c>
      <c r="T174" s="10" t="s">
        <v>85</v>
      </c>
      <c r="U174" s="10">
        <v>5</v>
      </c>
      <c r="V174" s="10">
        <v>134.56</v>
      </c>
      <c r="W174" s="10" t="s">
        <v>710</v>
      </c>
      <c r="X174" s="17">
        <v>44794</v>
      </c>
      <c r="Y174" s="17">
        <v>45161</v>
      </c>
      <c r="Z174" s="19" t="s">
        <v>772</v>
      </c>
      <c r="AA174" s="207">
        <v>35952</v>
      </c>
      <c r="AB174" s="9">
        <v>40</v>
      </c>
      <c r="AC174" s="9">
        <v>5</v>
      </c>
      <c r="AD174" s="17">
        <v>45046</v>
      </c>
      <c r="AE174" s="54">
        <v>888.89</v>
      </c>
      <c r="AF174" s="54"/>
      <c r="AG174" s="9" t="s">
        <v>134</v>
      </c>
      <c r="AH174" s="17">
        <v>45113</v>
      </c>
      <c r="AI174" s="9">
        <v>10228642</v>
      </c>
      <c r="AJ174" s="9" t="s">
        <v>3295</v>
      </c>
      <c r="AK174" s="9" t="s">
        <v>3343</v>
      </c>
      <c r="AL174" s="22">
        <v>888.89</v>
      </c>
      <c r="AM174" s="22"/>
      <c r="AN174" s="22" t="s">
        <v>3305</v>
      </c>
      <c r="AO174" s="22"/>
      <c r="AP174" s="22"/>
      <c r="AQ174" s="22"/>
      <c r="AR174" s="22"/>
      <c r="AS174" s="22"/>
      <c r="AT174" s="22"/>
      <c r="AU174" s="22"/>
      <c r="AV174" s="22"/>
      <c r="AW174" s="18">
        <v>45117</v>
      </c>
      <c r="AX174" s="9">
        <v>1689</v>
      </c>
      <c r="BA174" s="22">
        <v>888.89</v>
      </c>
      <c r="BB174" s="22"/>
      <c r="BD174" s="9"/>
      <c r="CS174" s="11">
        <f t="shared" si="16"/>
        <v>888.89</v>
      </c>
      <c r="CT174" s="22">
        <f t="shared" si="17"/>
        <v>888.89</v>
      </c>
      <c r="CU174" s="22">
        <f t="shared" si="18"/>
        <v>0</v>
      </c>
      <c r="CV174" s="26">
        <f t="shared" si="19"/>
        <v>0</v>
      </c>
    </row>
    <row r="175" spans="1:103" x14ac:dyDescent="0.2">
      <c r="A175" s="9" t="s">
        <v>3381</v>
      </c>
      <c r="B175" s="2">
        <v>149</v>
      </c>
      <c r="C175" s="3" t="s">
        <v>95</v>
      </c>
      <c r="D175" s="3" t="s">
        <v>96</v>
      </c>
      <c r="E175" s="2"/>
      <c r="F175" s="2"/>
      <c r="G175" s="2" t="s">
        <v>85</v>
      </c>
      <c r="H175" s="2">
        <v>5</v>
      </c>
      <c r="I175" s="20">
        <v>134.61000000000001</v>
      </c>
      <c r="J175" s="20">
        <v>41900</v>
      </c>
      <c r="K175" s="3">
        <v>0</v>
      </c>
      <c r="L175" s="3" t="s">
        <v>3</v>
      </c>
      <c r="M175" s="9" t="s">
        <v>0</v>
      </c>
      <c r="N175" s="9" t="s">
        <v>8</v>
      </c>
      <c r="O175" s="9" t="s">
        <v>3292</v>
      </c>
      <c r="S175" s="9" t="s">
        <v>158</v>
      </c>
      <c r="T175" s="10" t="s">
        <v>85</v>
      </c>
      <c r="U175" s="10">
        <v>5</v>
      </c>
      <c r="V175" s="10">
        <v>134.56</v>
      </c>
      <c r="W175" s="10" t="s">
        <v>710</v>
      </c>
      <c r="X175" s="17">
        <v>44794</v>
      </c>
      <c r="Y175" s="17">
        <v>45161</v>
      </c>
      <c r="Z175" s="19" t="s">
        <v>772</v>
      </c>
      <c r="AA175" s="207">
        <v>35952</v>
      </c>
      <c r="AB175" s="9">
        <v>40</v>
      </c>
      <c r="AC175" s="9">
        <v>6</v>
      </c>
      <c r="AD175" s="17">
        <v>45076</v>
      </c>
      <c r="AE175" s="54">
        <v>888.89</v>
      </c>
      <c r="AF175" s="54"/>
      <c r="AG175" s="9" t="s">
        <v>134</v>
      </c>
      <c r="AH175" s="17">
        <v>45113</v>
      </c>
      <c r="AI175" s="9">
        <v>10228642</v>
      </c>
      <c r="AJ175" s="9" t="s">
        <v>3295</v>
      </c>
      <c r="AK175" s="9" t="s">
        <v>3344</v>
      </c>
      <c r="AL175" s="22">
        <v>888.89</v>
      </c>
      <c r="AM175" s="22"/>
      <c r="AN175" s="22" t="s">
        <v>3306</v>
      </c>
      <c r="AO175" s="22"/>
      <c r="AP175" s="22"/>
      <c r="AQ175" s="22"/>
      <c r="AR175" s="22"/>
      <c r="AS175" s="22"/>
      <c r="AT175" s="22"/>
      <c r="AU175" s="22"/>
      <c r="AV175" s="22"/>
      <c r="AW175" s="18">
        <v>45117</v>
      </c>
      <c r="AX175" s="9">
        <v>1689</v>
      </c>
      <c r="BA175" s="22">
        <v>888.89</v>
      </c>
      <c r="BB175" s="22"/>
      <c r="BD175" s="9"/>
      <c r="CS175" s="11">
        <f t="shared" si="16"/>
        <v>888.89</v>
      </c>
      <c r="CT175" s="22">
        <f t="shared" si="17"/>
        <v>888.89</v>
      </c>
      <c r="CU175" s="22">
        <f t="shared" si="18"/>
        <v>0</v>
      </c>
      <c r="CV175" s="26">
        <f t="shared" si="19"/>
        <v>0</v>
      </c>
    </row>
    <row r="176" spans="1:103" x14ac:dyDescent="0.2">
      <c r="A176" s="9" t="s">
        <v>3381</v>
      </c>
      <c r="B176" s="2">
        <v>149</v>
      </c>
      <c r="C176" s="3" t="s">
        <v>95</v>
      </c>
      <c r="D176" s="3" t="s">
        <v>96</v>
      </c>
      <c r="E176" s="2"/>
      <c r="F176" s="2"/>
      <c r="G176" s="2" t="s">
        <v>85</v>
      </c>
      <c r="H176" s="2">
        <v>5</v>
      </c>
      <c r="I176" s="20">
        <v>134.61000000000001</v>
      </c>
      <c r="J176" s="20">
        <v>41900</v>
      </c>
      <c r="K176" s="3">
        <v>0</v>
      </c>
      <c r="L176" s="3" t="s">
        <v>3</v>
      </c>
      <c r="M176" s="9" t="s">
        <v>0</v>
      </c>
      <c r="N176" s="9" t="s">
        <v>8</v>
      </c>
      <c r="O176" s="9" t="s">
        <v>3292</v>
      </c>
      <c r="S176" s="9" t="s">
        <v>158</v>
      </c>
      <c r="T176" s="10" t="s">
        <v>85</v>
      </c>
      <c r="U176" s="10">
        <v>5</v>
      </c>
      <c r="V176" s="10">
        <v>134.56</v>
      </c>
      <c r="W176" s="10" t="s">
        <v>710</v>
      </c>
      <c r="X176" s="17">
        <v>44794</v>
      </c>
      <c r="Y176" s="17">
        <v>45161</v>
      </c>
      <c r="Z176" s="19" t="s">
        <v>772</v>
      </c>
      <c r="AA176" s="207">
        <v>35952</v>
      </c>
      <c r="AB176" s="9">
        <v>40</v>
      </c>
      <c r="AC176" s="9">
        <v>7</v>
      </c>
      <c r="AD176" s="17">
        <v>45107</v>
      </c>
      <c r="AE176" s="54">
        <v>888.89</v>
      </c>
      <c r="AF176" s="54"/>
      <c r="AG176" s="9" t="s">
        <v>134</v>
      </c>
      <c r="AH176" s="17">
        <v>45113</v>
      </c>
      <c r="AI176" s="9">
        <v>10228642</v>
      </c>
      <c r="AJ176" s="9" t="s">
        <v>3295</v>
      </c>
      <c r="AK176" s="9" t="s">
        <v>3345</v>
      </c>
      <c r="AL176" s="22">
        <v>889.12</v>
      </c>
      <c r="AM176" s="22"/>
      <c r="AN176" s="22" t="s">
        <v>3307</v>
      </c>
      <c r="AO176" s="22"/>
      <c r="AP176" s="22"/>
      <c r="AQ176" s="22"/>
      <c r="AR176" s="22"/>
      <c r="AS176" s="22"/>
      <c r="AT176" s="22"/>
      <c r="AU176" s="22"/>
      <c r="AV176" s="22"/>
      <c r="AW176" s="18">
        <v>45117</v>
      </c>
      <c r="AX176" s="9">
        <v>1689</v>
      </c>
      <c r="BA176" s="22">
        <v>889.12</v>
      </c>
      <c r="BB176" s="22"/>
      <c r="BD176" s="9"/>
      <c r="CS176" s="11">
        <f t="shared" si="16"/>
        <v>889.12</v>
      </c>
      <c r="CT176" s="22">
        <f t="shared" si="17"/>
        <v>889.12</v>
      </c>
      <c r="CU176" s="22">
        <f t="shared" si="18"/>
        <v>0</v>
      </c>
      <c r="CV176" s="26">
        <f t="shared" si="19"/>
        <v>-0.23000000000001819</v>
      </c>
    </row>
    <row r="177" spans="1:103" x14ac:dyDescent="0.2">
      <c r="A177" s="9" t="s">
        <v>3381</v>
      </c>
      <c r="B177" s="2">
        <v>149</v>
      </c>
      <c r="C177" s="3" t="s">
        <v>95</v>
      </c>
      <c r="D177" s="3" t="s">
        <v>96</v>
      </c>
      <c r="E177" s="2"/>
      <c r="F177" s="2"/>
      <c r="G177" s="2" t="s">
        <v>85</v>
      </c>
      <c r="H177" s="2">
        <v>5</v>
      </c>
      <c r="I177" s="20">
        <v>134.61000000000001</v>
      </c>
      <c r="J177" s="20">
        <v>41900</v>
      </c>
      <c r="K177" s="3">
        <v>0</v>
      </c>
      <c r="L177" s="3" t="s">
        <v>3</v>
      </c>
      <c r="M177" s="9" t="s">
        <v>0</v>
      </c>
      <c r="N177" s="9" t="s">
        <v>8</v>
      </c>
      <c r="O177" s="9" t="s">
        <v>3292</v>
      </c>
      <c r="S177" s="9" t="s">
        <v>158</v>
      </c>
      <c r="T177" s="10" t="s">
        <v>85</v>
      </c>
      <c r="U177" s="10">
        <v>5</v>
      </c>
      <c r="V177" s="10">
        <v>134.56</v>
      </c>
      <c r="W177" s="10" t="s">
        <v>710</v>
      </c>
      <c r="X177" s="17">
        <v>44794</v>
      </c>
      <c r="Y177" s="17">
        <v>45161</v>
      </c>
      <c r="Z177" s="19" t="s">
        <v>772</v>
      </c>
      <c r="AA177" s="207">
        <v>35952</v>
      </c>
      <c r="AB177" s="9">
        <v>40</v>
      </c>
      <c r="AC177" s="9">
        <v>8</v>
      </c>
      <c r="AD177" s="17">
        <v>45137</v>
      </c>
      <c r="AE177" s="54">
        <v>888.89</v>
      </c>
      <c r="AF177" s="54"/>
      <c r="AG177" s="9" t="s">
        <v>134</v>
      </c>
      <c r="AH177" s="17">
        <v>45161</v>
      </c>
      <c r="AI177" s="9">
        <v>10228642</v>
      </c>
      <c r="AJ177" s="9" t="s">
        <v>3295</v>
      </c>
      <c r="AK177" s="9" t="s">
        <v>3346</v>
      </c>
      <c r="AL177" s="22">
        <v>889.12</v>
      </c>
      <c r="AM177" s="22"/>
      <c r="AN177" s="22" t="s">
        <v>3308</v>
      </c>
      <c r="AO177" s="22"/>
      <c r="AP177" s="22"/>
      <c r="AQ177" s="22"/>
      <c r="AR177" s="22"/>
      <c r="AS177" s="22"/>
      <c r="AT177" s="22"/>
      <c r="AU177" s="22"/>
      <c r="AV177" s="22"/>
      <c r="AW177" s="18">
        <v>45134</v>
      </c>
      <c r="AX177" s="9">
        <v>1746</v>
      </c>
      <c r="BA177" s="22">
        <v>889.12</v>
      </c>
      <c r="BB177" s="22"/>
      <c r="BD177" s="9"/>
      <c r="CS177" s="11">
        <f t="shared" si="16"/>
        <v>889.12</v>
      </c>
      <c r="CT177" s="22">
        <f t="shared" si="17"/>
        <v>889.12</v>
      </c>
      <c r="CU177" s="22">
        <f t="shared" si="18"/>
        <v>0</v>
      </c>
      <c r="CV177" s="26">
        <f t="shared" si="19"/>
        <v>-0.23000000000001819</v>
      </c>
    </row>
    <row r="178" spans="1:103" x14ac:dyDescent="0.2">
      <c r="A178" s="9" t="s">
        <v>3381</v>
      </c>
      <c r="B178" s="2">
        <v>149</v>
      </c>
      <c r="C178" s="3" t="s">
        <v>95</v>
      </c>
      <c r="D178" s="3" t="s">
        <v>96</v>
      </c>
      <c r="E178" s="2"/>
      <c r="F178" s="2"/>
      <c r="G178" s="2" t="s">
        <v>85</v>
      </c>
      <c r="H178" s="2">
        <v>5</v>
      </c>
      <c r="I178" s="20">
        <v>134.61000000000001</v>
      </c>
      <c r="J178" s="20">
        <v>41900</v>
      </c>
      <c r="K178" s="3">
        <v>0</v>
      </c>
      <c r="L178" s="3" t="s">
        <v>3</v>
      </c>
      <c r="M178" s="9" t="s">
        <v>0</v>
      </c>
      <c r="N178" s="9" t="s">
        <v>8</v>
      </c>
      <c r="O178" s="9" t="s">
        <v>3292</v>
      </c>
      <c r="S178" s="9" t="s">
        <v>158</v>
      </c>
      <c r="T178" s="10" t="s">
        <v>85</v>
      </c>
      <c r="U178" s="10">
        <v>5</v>
      </c>
      <c r="V178" s="10">
        <v>134.56</v>
      </c>
      <c r="W178" s="10" t="s">
        <v>710</v>
      </c>
      <c r="X178" s="17">
        <v>44794</v>
      </c>
      <c r="Y178" s="17">
        <v>45161</v>
      </c>
      <c r="Z178" s="19" t="s">
        <v>772</v>
      </c>
      <c r="AA178" s="207">
        <v>35952</v>
      </c>
      <c r="AB178" s="9">
        <v>40</v>
      </c>
      <c r="AC178" s="9">
        <v>9</v>
      </c>
      <c r="AD178" s="17">
        <v>45168</v>
      </c>
      <c r="AE178" s="54">
        <v>778</v>
      </c>
      <c r="AF178" s="54"/>
      <c r="AG178" s="9" t="s">
        <v>134</v>
      </c>
      <c r="AH178" s="17">
        <v>45174</v>
      </c>
      <c r="AI178" s="9">
        <v>10228642</v>
      </c>
      <c r="AJ178" s="9" t="s">
        <v>3295</v>
      </c>
      <c r="AK178" s="9" t="s">
        <v>3347</v>
      </c>
      <c r="AL178" s="22">
        <v>778</v>
      </c>
      <c r="AM178" s="22"/>
      <c r="AN178" s="22" t="s">
        <v>3310</v>
      </c>
      <c r="AO178" s="22"/>
      <c r="AP178" s="22"/>
      <c r="AQ178" s="22"/>
      <c r="AR178" s="22"/>
      <c r="AS178" s="22"/>
      <c r="AT178" s="22"/>
      <c r="AU178" s="22"/>
      <c r="AV178" s="22"/>
      <c r="AW178" s="18">
        <v>45167</v>
      </c>
      <c r="AX178" s="9">
        <v>1857</v>
      </c>
      <c r="BA178" s="22">
        <v>778</v>
      </c>
      <c r="BB178" s="22"/>
      <c r="BD178" s="9"/>
      <c r="CS178" s="11">
        <f t="shared" si="16"/>
        <v>778</v>
      </c>
      <c r="CT178" s="22">
        <f t="shared" si="17"/>
        <v>778</v>
      </c>
      <c r="CU178" s="22">
        <f t="shared" si="18"/>
        <v>0</v>
      </c>
      <c r="CV178" s="26">
        <f t="shared" si="19"/>
        <v>0</v>
      </c>
    </row>
    <row r="179" spans="1:103" x14ac:dyDescent="0.2">
      <c r="A179" s="9" t="s">
        <v>3381</v>
      </c>
      <c r="B179" s="2">
        <v>149</v>
      </c>
      <c r="C179" s="3" t="s">
        <v>95</v>
      </c>
      <c r="D179" s="3" t="s">
        <v>96</v>
      </c>
      <c r="E179" s="2"/>
      <c r="F179" s="2"/>
      <c r="G179" s="2" t="s">
        <v>85</v>
      </c>
      <c r="H179" s="2">
        <v>5</v>
      </c>
      <c r="I179" s="20">
        <v>134.61000000000001</v>
      </c>
      <c r="J179" s="20">
        <v>41900</v>
      </c>
      <c r="K179" s="3">
        <v>0</v>
      </c>
      <c r="L179" s="3" t="s">
        <v>3</v>
      </c>
      <c r="M179" s="9" t="s">
        <v>0</v>
      </c>
      <c r="N179" s="9" t="s">
        <v>8</v>
      </c>
      <c r="O179" s="9" t="s">
        <v>3292</v>
      </c>
      <c r="S179" s="9" t="s">
        <v>158</v>
      </c>
      <c r="T179" s="10" t="s">
        <v>85</v>
      </c>
      <c r="U179" s="10">
        <v>5</v>
      </c>
      <c r="V179" s="10">
        <v>134.56</v>
      </c>
      <c r="W179" s="10" t="s">
        <v>710</v>
      </c>
      <c r="X179" s="17">
        <v>44794</v>
      </c>
      <c r="Y179" s="17">
        <v>45161</v>
      </c>
      <c r="Z179" s="19" t="s">
        <v>772</v>
      </c>
      <c r="AA179" s="207">
        <v>35952</v>
      </c>
      <c r="AB179" s="9">
        <v>40</v>
      </c>
      <c r="AC179" s="9">
        <v>10</v>
      </c>
      <c r="AD179" s="17">
        <v>45199</v>
      </c>
      <c r="AE179" s="54">
        <v>778</v>
      </c>
      <c r="AF179" s="54"/>
      <c r="AG179" s="9" t="s">
        <v>134</v>
      </c>
      <c r="AH179" s="17">
        <v>45209</v>
      </c>
      <c r="AI179" s="9">
        <v>10228642</v>
      </c>
      <c r="AJ179" s="9" t="s">
        <v>3295</v>
      </c>
      <c r="AK179" s="9" t="s">
        <v>3348</v>
      </c>
      <c r="AL179" s="22">
        <v>778</v>
      </c>
      <c r="AM179" s="22"/>
      <c r="AN179" s="22" t="s">
        <v>3311</v>
      </c>
      <c r="AO179" s="22"/>
      <c r="AP179" s="22"/>
      <c r="AQ179" s="22"/>
      <c r="AR179" s="22"/>
      <c r="AS179" s="22"/>
      <c r="AT179" s="22"/>
      <c r="AU179" s="22"/>
      <c r="AV179" s="22"/>
      <c r="AW179" s="18">
        <v>45205</v>
      </c>
      <c r="AX179" s="9">
        <v>1956</v>
      </c>
      <c r="BA179" s="22">
        <v>778</v>
      </c>
      <c r="BB179" s="22"/>
      <c r="BD179" s="9"/>
      <c r="CS179" s="11">
        <f t="shared" si="16"/>
        <v>778</v>
      </c>
      <c r="CT179" s="22">
        <f t="shared" si="17"/>
        <v>778</v>
      </c>
      <c r="CU179" s="22">
        <f t="shared" si="18"/>
        <v>0</v>
      </c>
      <c r="CV179" s="26">
        <f t="shared" si="19"/>
        <v>0</v>
      </c>
    </row>
    <row r="180" spans="1:103" x14ac:dyDescent="0.2">
      <c r="A180" s="9" t="s">
        <v>3381</v>
      </c>
      <c r="B180" s="2">
        <v>149</v>
      </c>
      <c r="C180" s="3" t="s">
        <v>95</v>
      </c>
      <c r="D180" s="3" t="s">
        <v>96</v>
      </c>
      <c r="E180" s="2"/>
      <c r="F180" s="2"/>
      <c r="G180" s="2" t="s">
        <v>85</v>
      </c>
      <c r="H180" s="2">
        <v>5</v>
      </c>
      <c r="I180" s="20">
        <v>134.61000000000001</v>
      </c>
      <c r="J180" s="20">
        <v>41900</v>
      </c>
      <c r="K180" s="3">
        <v>0</v>
      </c>
      <c r="L180" s="3" t="s">
        <v>3</v>
      </c>
      <c r="M180" s="9" t="s">
        <v>0</v>
      </c>
      <c r="N180" s="9" t="s">
        <v>8</v>
      </c>
      <c r="O180" s="9" t="s">
        <v>3292</v>
      </c>
      <c r="S180" s="9" t="s">
        <v>158</v>
      </c>
      <c r="T180" s="10" t="s">
        <v>85</v>
      </c>
      <c r="U180" s="10">
        <v>5</v>
      </c>
      <c r="V180" s="10">
        <v>134.56</v>
      </c>
      <c r="W180" s="10" t="s">
        <v>710</v>
      </c>
      <c r="X180" s="17">
        <v>44794</v>
      </c>
      <c r="Y180" s="17">
        <v>45161</v>
      </c>
      <c r="Z180" s="19" t="s">
        <v>772</v>
      </c>
      <c r="AA180" s="207">
        <v>35952</v>
      </c>
      <c r="AB180" s="9">
        <v>40</v>
      </c>
      <c r="AC180" s="9">
        <v>11</v>
      </c>
      <c r="AD180" s="17">
        <v>45229</v>
      </c>
      <c r="AE180" s="54">
        <v>778</v>
      </c>
      <c r="AF180" s="54"/>
      <c r="AG180" s="9" t="s">
        <v>134</v>
      </c>
      <c r="AH180" s="17">
        <v>45239</v>
      </c>
      <c r="AI180" s="9">
        <v>10228642</v>
      </c>
      <c r="AJ180" s="9" t="s">
        <v>3295</v>
      </c>
      <c r="AK180" s="9" t="s">
        <v>3349</v>
      </c>
      <c r="AL180" s="22">
        <v>778</v>
      </c>
      <c r="AM180" s="22"/>
      <c r="AN180" s="22" t="s">
        <v>3314</v>
      </c>
      <c r="AO180" s="22"/>
      <c r="AP180" s="22"/>
      <c r="AQ180" s="22"/>
      <c r="AR180" s="22"/>
      <c r="AS180" s="22"/>
      <c r="AT180" s="22"/>
      <c r="AU180" s="22"/>
      <c r="AV180" s="22"/>
      <c r="AW180" s="18">
        <v>45238</v>
      </c>
      <c r="AX180" s="9">
        <v>2035</v>
      </c>
      <c r="BA180" s="22">
        <v>778</v>
      </c>
      <c r="BB180" s="22"/>
      <c r="BD180" s="9"/>
      <c r="CS180" s="11">
        <f t="shared" si="16"/>
        <v>778</v>
      </c>
      <c r="CT180" s="22">
        <f t="shared" si="17"/>
        <v>778</v>
      </c>
      <c r="CU180" s="22">
        <f t="shared" si="18"/>
        <v>0</v>
      </c>
      <c r="CV180" s="26">
        <f t="shared" si="19"/>
        <v>0</v>
      </c>
    </row>
    <row r="181" spans="1:103" x14ac:dyDescent="0.2">
      <c r="A181" s="9" t="s">
        <v>3381</v>
      </c>
      <c r="B181" s="2">
        <v>149</v>
      </c>
      <c r="C181" s="3" t="s">
        <v>95</v>
      </c>
      <c r="D181" s="3" t="s">
        <v>96</v>
      </c>
      <c r="E181" s="2"/>
      <c r="F181" s="2"/>
      <c r="G181" s="2" t="s">
        <v>85</v>
      </c>
      <c r="H181" s="2">
        <v>5</v>
      </c>
      <c r="I181" s="20">
        <v>134.61000000000001</v>
      </c>
      <c r="J181" s="20">
        <v>41900</v>
      </c>
      <c r="K181" s="3">
        <v>0</v>
      </c>
      <c r="L181" s="3" t="s">
        <v>3</v>
      </c>
      <c r="M181" s="9" t="s">
        <v>0</v>
      </c>
      <c r="N181" s="9" t="s">
        <v>8</v>
      </c>
      <c r="O181" s="9" t="s">
        <v>3292</v>
      </c>
      <c r="S181" s="9" t="s">
        <v>158</v>
      </c>
      <c r="T181" s="10" t="s">
        <v>85</v>
      </c>
      <c r="U181" s="10">
        <v>5</v>
      </c>
      <c r="V181" s="10">
        <v>134.56</v>
      </c>
      <c r="W181" s="10" t="s">
        <v>710</v>
      </c>
      <c r="X181" s="17">
        <v>44794</v>
      </c>
      <c r="Y181" s="17">
        <v>45161</v>
      </c>
      <c r="Z181" s="19" t="s">
        <v>772</v>
      </c>
      <c r="AA181" s="207">
        <v>35952</v>
      </c>
      <c r="AB181" s="9">
        <v>40</v>
      </c>
      <c r="AC181" s="9">
        <v>12</v>
      </c>
      <c r="AD181" s="17">
        <v>45260</v>
      </c>
      <c r="AE181" s="54">
        <v>778</v>
      </c>
      <c r="AF181" s="54"/>
      <c r="AG181" s="9" t="s">
        <v>134</v>
      </c>
      <c r="AH181" s="17">
        <v>45282</v>
      </c>
      <c r="AI181" s="9">
        <v>10228642</v>
      </c>
      <c r="AJ181" s="9" t="s">
        <v>3295</v>
      </c>
      <c r="AK181" s="9" t="s">
        <v>3350</v>
      </c>
      <c r="AL181" s="22">
        <v>778</v>
      </c>
      <c r="AM181" s="22"/>
      <c r="AN181" s="22" t="s">
        <v>3315</v>
      </c>
      <c r="AO181" s="22"/>
      <c r="AP181" s="22"/>
      <c r="AQ181" s="22"/>
      <c r="AR181" s="22"/>
      <c r="AS181" s="22"/>
      <c r="AT181" s="22"/>
      <c r="AU181" s="22"/>
      <c r="AV181" s="22"/>
      <c r="AW181" s="18">
        <v>45282</v>
      </c>
      <c r="AX181" s="9">
        <v>2140</v>
      </c>
      <c r="BA181" s="22">
        <v>778</v>
      </c>
      <c r="BB181" s="22"/>
      <c r="BD181" s="9"/>
      <c r="CS181" s="11">
        <f t="shared" si="16"/>
        <v>778</v>
      </c>
      <c r="CT181" s="22">
        <f t="shared" si="17"/>
        <v>778</v>
      </c>
      <c r="CU181" s="22">
        <f t="shared" si="18"/>
        <v>0</v>
      </c>
      <c r="CV181" s="26">
        <f t="shared" si="19"/>
        <v>0</v>
      </c>
    </row>
    <row r="182" spans="1:103" x14ac:dyDescent="0.2">
      <c r="A182" s="9" t="s">
        <v>3381</v>
      </c>
      <c r="B182" s="2">
        <v>149</v>
      </c>
      <c r="C182" s="3" t="s">
        <v>95</v>
      </c>
      <c r="D182" s="3" t="s">
        <v>96</v>
      </c>
      <c r="E182" s="2"/>
      <c r="F182" s="2"/>
      <c r="G182" s="2" t="s">
        <v>85</v>
      </c>
      <c r="H182" s="2">
        <v>5</v>
      </c>
      <c r="I182" s="20">
        <v>134.61000000000001</v>
      </c>
      <c r="J182" s="20">
        <v>41900</v>
      </c>
      <c r="K182" s="3">
        <v>0</v>
      </c>
      <c r="L182" s="3" t="s">
        <v>3</v>
      </c>
      <c r="M182" s="9" t="s">
        <v>0</v>
      </c>
      <c r="N182" s="9" t="s">
        <v>8</v>
      </c>
      <c r="O182" s="9" t="s">
        <v>3292</v>
      </c>
      <c r="S182" s="9" t="s">
        <v>158</v>
      </c>
      <c r="T182" s="10" t="s">
        <v>85</v>
      </c>
      <c r="U182" s="10">
        <v>5</v>
      </c>
      <c r="V182" s="10">
        <v>134.56</v>
      </c>
      <c r="W182" s="10" t="s">
        <v>710</v>
      </c>
      <c r="X182" s="17">
        <v>44794</v>
      </c>
      <c r="Y182" s="17">
        <v>45161</v>
      </c>
      <c r="Z182" s="19" t="s">
        <v>772</v>
      </c>
      <c r="AA182" s="207">
        <v>35952</v>
      </c>
      <c r="AB182" s="9">
        <v>40</v>
      </c>
      <c r="AC182" s="9">
        <v>13</v>
      </c>
      <c r="AD182" s="17">
        <v>45290</v>
      </c>
      <c r="AE182" s="54">
        <v>778</v>
      </c>
      <c r="AF182" s="54"/>
      <c r="AG182" s="9" t="s">
        <v>134</v>
      </c>
      <c r="AH182" s="17">
        <v>45372</v>
      </c>
      <c r="AI182" s="9">
        <v>10228642</v>
      </c>
      <c r="AJ182" s="9" t="s">
        <v>3295</v>
      </c>
      <c r="AK182" s="9" t="s">
        <v>3351</v>
      </c>
      <c r="AL182" s="22">
        <v>778</v>
      </c>
      <c r="AM182" s="22"/>
      <c r="AN182" s="22" t="s">
        <v>3319</v>
      </c>
      <c r="AO182" s="22"/>
      <c r="AP182" s="22"/>
      <c r="AQ182" s="22"/>
      <c r="AR182" s="22"/>
      <c r="AS182" s="22"/>
      <c r="AT182" s="22"/>
      <c r="AU182" s="22"/>
      <c r="AV182" s="22"/>
      <c r="AW182" s="18">
        <v>45323</v>
      </c>
      <c r="AX182" s="9">
        <v>2260</v>
      </c>
      <c r="BA182" s="22">
        <v>778</v>
      </c>
      <c r="BB182" s="22"/>
      <c r="BD182" s="9"/>
      <c r="CS182" s="11">
        <f t="shared" si="16"/>
        <v>778</v>
      </c>
      <c r="CT182" s="22">
        <f t="shared" si="17"/>
        <v>778</v>
      </c>
      <c r="CU182" s="22">
        <f t="shared" si="18"/>
        <v>0</v>
      </c>
      <c r="CV182" s="26">
        <f t="shared" si="19"/>
        <v>0</v>
      </c>
    </row>
    <row r="183" spans="1:103" x14ac:dyDescent="0.2">
      <c r="A183" s="9" t="s">
        <v>3381</v>
      </c>
      <c r="B183" s="2">
        <v>149</v>
      </c>
      <c r="C183" s="3" t="s">
        <v>95</v>
      </c>
      <c r="D183" s="3" t="s">
        <v>96</v>
      </c>
      <c r="E183" s="2"/>
      <c r="F183" s="2"/>
      <c r="G183" s="2" t="s">
        <v>85</v>
      </c>
      <c r="H183" s="2">
        <v>5</v>
      </c>
      <c r="I183" s="20">
        <v>134.61000000000001</v>
      </c>
      <c r="J183" s="20">
        <v>41900</v>
      </c>
      <c r="K183" s="3">
        <v>0</v>
      </c>
      <c r="L183" s="3" t="s">
        <v>3</v>
      </c>
      <c r="M183" s="9" t="s">
        <v>0</v>
      </c>
      <c r="N183" s="9" t="s">
        <v>8</v>
      </c>
      <c r="O183" s="9" t="s">
        <v>3292</v>
      </c>
      <c r="S183" s="9" t="s">
        <v>158</v>
      </c>
      <c r="T183" s="10" t="s">
        <v>85</v>
      </c>
      <c r="U183" s="10">
        <v>5</v>
      </c>
      <c r="V183" s="10">
        <v>134.56</v>
      </c>
      <c r="W183" s="10" t="s">
        <v>710</v>
      </c>
      <c r="X183" s="17">
        <v>44794</v>
      </c>
      <c r="Y183" s="17">
        <v>45161</v>
      </c>
      <c r="Z183" s="19" t="s">
        <v>772</v>
      </c>
      <c r="AA183" s="207">
        <v>35952</v>
      </c>
      <c r="AB183" s="9">
        <v>40</v>
      </c>
      <c r="AC183" s="9">
        <v>14</v>
      </c>
      <c r="AD183" s="17">
        <v>45321</v>
      </c>
      <c r="AE183" s="54">
        <v>778</v>
      </c>
      <c r="AF183" s="54"/>
      <c r="AG183" s="9" t="s">
        <v>134</v>
      </c>
      <c r="AH183" s="17">
        <v>45372</v>
      </c>
      <c r="AI183" s="9">
        <v>10228642</v>
      </c>
      <c r="AJ183" s="9" t="s">
        <v>3295</v>
      </c>
      <c r="AK183" s="9" t="s">
        <v>3352</v>
      </c>
      <c r="AL183" s="22">
        <v>778</v>
      </c>
      <c r="AM183" s="22"/>
      <c r="AN183" s="22" t="s">
        <v>3320</v>
      </c>
      <c r="AO183" s="22"/>
      <c r="AP183" s="22"/>
      <c r="AQ183" s="22"/>
      <c r="AR183" s="22"/>
      <c r="AS183" s="22"/>
      <c r="AT183" s="22"/>
      <c r="AU183" s="22"/>
      <c r="AV183" s="22"/>
      <c r="AW183" s="18">
        <v>45348</v>
      </c>
      <c r="AX183" s="9">
        <v>2342</v>
      </c>
      <c r="BA183" s="22">
        <v>778</v>
      </c>
      <c r="BB183" s="22"/>
      <c r="BD183" s="9"/>
      <c r="CS183" s="11">
        <f t="shared" si="16"/>
        <v>778</v>
      </c>
      <c r="CT183" s="22">
        <f t="shared" si="17"/>
        <v>778</v>
      </c>
      <c r="CU183" s="22">
        <f t="shared" si="18"/>
        <v>0</v>
      </c>
      <c r="CV183" s="26">
        <f t="shared" si="19"/>
        <v>0</v>
      </c>
    </row>
    <row r="184" spans="1:103" x14ac:dyDescent="0.2">
      <c r="A184" s="9" t="s">
        <v>3381</v>
      </c>
      <c r="B184" s="2">
        <v>149</v>
      </c>
      <c r="C184" s="3" t="s">
        <v>95</v>
      </c>
      <c r="D184" s="3" t="s">
        <v>96</v>
      </c>
      <c r="E184" s="2"/>
      <c r="F184" s="2"/>
      <c r="G184" s="2" t="s">
        <v>85</v>
      </c>
      <c r="H184" s="2">
        <v>5</v>
      </c>
      <c r="I184" s="20">
        <v>134.61000000000001</v>
      </c>
      <c r="J184" s="20">
        <v>41900</v>
      </c>
      <c r="K184" s="3">
        <v>0</v>
      </c>
      <c r="L184" s="3" t="s">
        <v>3</v>
      </c>
      <c r="M184" s="9" t="s">
        <v>0</v>
      </c>
      <c r="N184" s="9" t="s">
        <v>8</v>
      </c>
      <c r="O184" s="9" t="s">
        <v>3292</v>
      </c>
      <c r="S184" s="9" t="s">
        <v>158</v>
      </c>
      <c r="T184" s="10" t="s">
        <v>85</v>
      </c>
      <c r="U184" s="10">
        <v>5</v>
      </c>
      <c r="V184" s="10">
        <v>134.56</v>
      </c>
      <c r="W184" s="10" t="s">
        <v>710</v>
      </c>
      <c r="X184" s="17">
        <v>44794</v>
      </c>
      <c r="Y184" s="17">
        <v>45161</v>
      </c>
      <c r="Z184" s="19" t="s">
        <v>772</v>
      </c>
      <c r="AA184" s="207">
        <v>35952</v>
      </c>
      <c r="AB184" s="9">
        <v>40</v>
      </c>
      <c r="AC184" s="9">
        <v>15</v>
      </c>
      <c r="AD184" s="17">
        <v>45351</v>
      </c>
      <c r="AE184" s="54">
        <v>778</v>
      </c>
      <c r="AF184" s="54"/>
      <c r="AG184" s="9" t="s">
        <v>134</v>
      </c>
      <c r="AH184" s="17">
        <v>45404</v>
      </c>
      <c r="AI184" s="9">
        <v>10228642</v>
      </c>
      <c r="AJ184" s="9" t="s">
        <v>3295</v>
      </c>
      <c r="AK184" s="9" t="s">
        <v>3353</v>
      </c>
      <c r="AL184" s="22">
        <v>778</v>
      </c>
      <c r="AM184" s="22"/>
      <c r="AN184" s="22" t="s">
        <v>3321</v>
      </c>
      <c r="AO184" s="22"/>
      <c r="AP184" s="22"/>
      <c r="AQ184" s="22"/>
      <c r="AR184" s="22"/>
      <c r="AS184" s="22"/>
      <c r="AT184" s="22"/>
      <c r="AU184" s="22"/>
      <c r="AV184" s="22"/>
      <c r="AW184" s="18">
        <v>45401</v>
      </c>
      <c r="AX184" s="9">
        <v>2550</v>
      </c>
      <c r="BA184" s="22">
        <v>778</v>
      </c>
      <c r="BB184" s="22"/>
      <c r="BD184" s="9"/>
      <c r="CS184" s="11">
        <f t="shared" si="16"/>
        <v>778</v>
      </c>
      <c r="CT184" s="22">
        <f t="shared" si="17"/>
        <v>778</v>
      </c>
      <c r="CU184" s="22">
        <f t="shared" si="18"/>
        <v>0</v>
      </c>
      <c r="CV184" s="26">
        <f t="shared" si="19"/>
        <v>0</v>
      </c>
    </row>
    <row r="185" spans="1:103" x14ac:dyDescent="0.2">
      <c r="A185" s="9" t="s">
        <v>3381</v>
      </c>
      <c r="B185" s="2">
        <v>149</v>
      </c>
      <c r="C185" s="3" t="s">
        <v>95</v>
      </c>
      <c r="D185" s="3" t="s">
        <v>96</v>
      </c>
      <c r="E185" s="2"/>
      <c r="F185" s="2"/>
      <c r="G185" s="2" t="s">
        <v>85</v>
      </c>
      <c r="H185" s="2">
        <v>5</v>
      </c>
      <c r="I185" s="20">
        <v>134.61000000000001</v>
      </c>
      <c r="J185" s="20">
        <v>41900</v>
      </c>
      <c r="K185" s="3">
        <v>0</v>
      </c>
      <c r="L185" s="3" t="s">
        <v>3</v>
      </c>
      <c r="M185" s="9" t="s">
        <v>0</v>
      </c>
      <c r="N185" s="9" t="s">
        <v>8</v>
      </c>
      <c r="O185" s="9" t="s">
        <v>3292</v>
      </c>
      <c r="S185" s="9" t="s">
        <v>158</v>
      </c>
      <c r="T185" s="10" t="s">
        <v>85</v>
      </c>
      <c r="U185" s="10">
        <v>5</v>
      </c>
      <c r="V185" s="10">
        <v>134.56</v>
      </c>
      <c r="W185" s="10" t="s">
        <v>710</v>
      </c>
      <c r="X185" s="17">
        <v>44794</v>
      </c>
      <c r="Y185" s="17">
        <v>45161</v>
      </c>
      <c r="Z185" s="19" t="s">
        <v>772</v>
      </c>
      <c r="AA185" s="207">
        <v>35952</v>
      </c>
      <c r="AB185" s="9">
        <v>40</v>
      </c>
      <c r="AC185" s="9">
        <v>16</v>
      </c>
      <c r="AD185" s="17">
        <v>45381</v>
      </c>
      <c r="AE185" s="54">
        <v>778</v>
      </c>
      <c r="AF185" s="54"/>
      <c r="AG185" s="9" t="s">
        <v>134</v>
      </c>
      <c r="AH185" s="17">
        <v>45471</v>
      </c>
      <c r="AI185" s="9">
        <v>10228642</v>
      </c>
      <c r="AJ185" s="9" t="s">
        <v>3295</v>
      </c>
      <c r="AK185" s="9" t="s">
        <v>3354</v>
      </c>
      <c r="AL185" s="22">
        <v>778</v>
      </c>
      <c r="AM185" s="22"/>
      <c r="AN185" s="22" t="s">
        <v>3323</v>
      </c>
      <c r="AO185" s="22"/>
      <c r="AP185" s="22"/>
      <c r="AQ185" s="22"/>
      <c r="AR185" s="22"/>
      <c r="AS185" s="22"/>
      <c r="AT185" s="22"/>
      <c r="AU185" s="22"/>
      <c r="AV185" s="22"/>
      <c r="AW185" s="18">
        <v>45471</v>
      </c>
      <c r="AX185" s="9">
        <v>2824</v>
      </c>
      <c r="BA185" s="22">
        <v>278</v>
      </c>
      <c r="BB185" s="22"/>
      <c r="BD185" s="9"/>
      <c r="CS185" s="11">
        <f t="shared" si="16"/>
        <v>778</v>
      </c>
      <c r="CT185" s="22">
        <f t="shared" si="17"/>
        <v>278</v>
      </c>
      <c r="CU185" s="22">
        <f t="shared" si="18"/>
        <v>500</v>
      </c>
      <c r="CV185" s="26">
        <f t="shared" si="19"/>
        <v>0</v>
      </c>
      <c r="CW185" s="9" t="s">
        <v>3494</v>
      </c>
      <c r="CY185" s="9" t="s">
        <v>3493</v>
      </c>
    </row>
    <row r="186" spans="1:103" x14ac:dyDescent="0.2">
      <c r="A186" s="9" t="s">
        <v>3381</v>
      </c>
      <c r="B186" s="2">
        <v>149</v>
      </c>
      <c r="C186" s="3" t="s">
        <v>95</v>
      </c>
      <c r="D186" s="3" t="s">
        <v>96</v>
      </c>
      <c r="E186" s="2"/>
      <c r="F186" s="2"/>
      <c r="G186" s="2" t="s">
        <v>85</v>
      </c>
      <c r="H186" s="2">
        <v>5</v>
      </c>
      <c r="I186" s="20">
        <v>134.61000000000001</v>
      </c>
      <c r="J186" s="20">
        <v>41900</v>
      </c>
      <c r="K186" s="3">
        <v>0</v>
      </c>
      <c r="L186" s="3" t="s">
        <v>3</v>
      </c>
      <c r="M186" s="9" t="s">
        <v>0</v>
      </c>
      <c r="N186" s="9" t="s">
        <v>8</v>
      </c>
      <c r="O186" s="9" t="s">
        <v>3292</v>
      </c>
      <c r="S186" s="9" t="s">
        <v>158</v>
      </c>
      <c r="T186" s="10" t="s">
        <v>85</v>
      </c>
      <c r="U186" s="10">
        <v>5</v>
      </c>
      <c r="V186" s="10">
        <v>134.56</v>
      </c>
      <c r="W186" s="10" t="s">
        <v>710</v>
      </c>
      <c r="X186" s="17">
        <v>44794</v>
      </c>
      <c r="Y186" s="17">
        <v>45161</v>
      </c>
      <c r="Z186" s="19" t="s">
        <v>772</v>
      </c>
      <c r="AA186" s="207">
        <v>35952</v>
      </c>
      <c r="AB186" s="9">
        <v>40</v>
      </c>
      <c r="AC186" s="9">
        <v>17</v>
      </c>
      <c r="AD186" s="17">
        <v>45412</v>
      </c>
      <c r="AE186" s="54">
        <v>778</v>
      </c>
      <c r="AF186" s="54"/>
      <c r="AG186" s="9" t="s">
        <v>134</v>
      </c>
      <c r="AH186" s="17">
        <v>45471</v>
      </c>
      <c r="AI186" s="9">
        <v>10228642</v>
      </c>
      <c r="AJ186" s="9" t="s">
        <v>3295</v>
      </c>
      <c r="AK186" s="9" t="s">
        <v>3355</v>
      </c>
      <c r="AL186" s="22">
        <v>778</v>
      </c>
      <c r="AM186" s="22"/>
      <c r="AN186" s="22" t="s">
        <v>3324</v>
      </c>
      <c r="AO186" s="22"/>
      <c r="AP186" s="22"/>
      <c r="AQ186" s="22"/>
      <c r="AR186" s="22"/>
      <c r="AS186" s="22"/>
      <c r="AT186" s="22"/>
      <c r="AU186" s="22"/>
      <c r="AV186" s="22"/>
      <c r="AW186" s="18">
        <v>45471</v>
      </c>
      <c r="AX186" s="9">
        <v>2824</v>
      </c>
      <c r="BA186" s="22">
        <v>778</v>
      </c>
      <c r="BB186" s="22"/>
      <c r="BD186" s="9"/>
      <c r="CS186" s="11">
        <f t="shared" si="16"/>
        <v>778</v>
      </c>
      <c r="CT186" s="22">
        <f t="shared" si="17"/>
        <v>778</v>
      </c>
      <c r="CU186" s="22">
        <f t="shared" si="18"/>
        <v>0</v>
      </c>
      <c r="CV186" s="26">
        <f t="shared" si="19"/>
        <v>0</v>
      </c>
    </row>
    <row r="187" spans="1:103" x14ac:dyDescent="0.2">
      <c r="A187" s="9" t="s">
        <v>3381</v>
      </c>
      <c r="B187" s="2">
        <v>149</v>
      </c>
      <c r="C187" s="3" t="s">
        <v>95</v>
      </c>
      <c r="D187" s="3" t="s">
        <v>96</v>
      </c>
      <c r="E187" s="2"/>
      <c r="F187" s="2"/>
      <c r="G187" s="2" t="s">
        <v>85</v>
      </c>
      <c r="H187" s="2">
        <v>5</v>
      </c>
      <c r="I187" s="20">
        <v>134.61000000000001</v>
      </c>
      <c r="J187" s="20">
        <v>41900</v>
      </c>
      <c r="K187" s="3">
        <v>0</v>
      </c>
      <c r="L187" s="3" t="s">
        <v>3</v>
      </c>
      <c r="M187" s="9" t="s">
        <v>0</v>
      </c>
      <c r="N187" s="9" t="s">
        <v>8</v>
      </c>
      <c r="O187" s="9" t="s">
        <v>3292</v>
      </c>
      <c r="S187" s="9" t="s">
        <v>158</v>
      </c>
      <c r="T187" s="10" t="s">
        <v>85</v>
      </c>
      <c r="U187" s="10">
        <v>5</v>
      </c>
      <c r="V187" s="10">
        <v>134.56</v>
      </c>
      <c r="W187" s="10" t="s">
        <v>710</v>
      </c>
      <c r="X187" s="17">
        <v>44794</v>
      </c>
      <c r="Y187" s="17">
        <v>45161</v>
      </c>
      <c r="Z187" s="19" t="s">
        <v>772</v>
      </c>
      <c r="AA187" s="207">
        <v>35952</v>
      </c>
      <c r="AB187" s="9">
        <v>40</v>
      </c>
      <c r="AC187" s="9">
        <v>18</v>
      </c>
      <c r="AD187" s="17">
        <v>45442</v>
      </c>
      <c r="AE187" s="54">
        <v>778</v>
      </c>
      <c r="AF187" s="54"/>
      <c r="AG187" s="9" t="s">
        <v>134</v>
      </c>
      <c r="AH187" s="17">
        <v>45471</v>
      </c>
      <c r="AI187" s="9">
        <v>10228642</v>
      </c>
      <c r="AJ187" s="9" t="s">
        <v>3295</v>
      </c>
      <c r="AK187" s="9" t="s">
        <v>3356</v>
      </c>
      <c r="AL187" s="22">
        <v>778</v>
      </c>
      <c r="AM187" s="22"/>
      <c r="AN187" s="22" t="s">
        <v>3325</v>
      </c>
      <c r="AO187" s="22"/>
      <c r="AP187" s="22"/>
      <c r="AQ187" s="22"/>
      <c r="AR187" s="22"/>
      <c r="AS187" s="22"/>
      <c r="AT187" s="22"/>
      <c r="AU187" s="22"/>
      <c r="AV187" s="22"/>
      <c r="AW187" s="18">
        <v>45471</v>
      </c>
      <c r="AX187" s="9">
        <v>2824</v>
      </c>
      <c r="BA187" s="22">
        <v>778</v>
      </c>
      <c r="BB187" s="22"/>
      <c r="BD187" s="9"/>
      <c r="CS187" s="11">
        <f t="shared" si="16"/>
        <v>778</v>
      </c>
      <c r="CT187" s="22">
        <f t="shared" si="17"/>
        <v>778</v>
      </c>
      <c r="CU187" s="22">
        <f t="shared" si="18"/>
        <v>0</v>
      </c>
      <c r="CV187" s="26">
        <f t="shared" si="19"/>
        <v>0</v>
      </c>
    </row>
    <row r="188" spans="1:103" x14ac:dyDescent="0.2">
      <c r="A188" s="9" t="s">
        <v>3381</v>
      </c>
      <c r="B188" s="2">
        <v>149</v>
      </c>
      <c r="C188" s="3" t="s">
        <v>95</v>
      </c>
      <c r="D188" s="3" t="s">
        <v>96</v>
      </c>
      <c r="E188" s="2"/>
      <c r="F188" s="2"/>
      <c r="G188" s="2" t="s">
        <v>85</v>
      </c>
      <c r="H188" s="2">
        <v>5</v>
      </c>
      <c r="I188" s="20">
        <v>134.61000000000001</v>
      </c>
      <c r="J188" s="20">
        <v>41900</v>
      </c>
      <c r="K188" s="3">
        <v>0</v>
      </c>
      <c r="L188" s="3" t="s">
        <v>3</v>
      </c>
      <c r="M188" s="9" t="s">
        <v>0</v>
      </c>
      <c r="N188" s="9" t="s">
        <v>8</v>
      </c>
      <c r="O188" s="9" t="s">
        <v>3292</v>
      </c>
      <c r="S188" s="9" t="s">
        <v>158</v>
      </c>
      <c r="T188" s="10" t="s">
        <v>85</v>
      </c>
      <c r="U188" s="10">
        <v>5</v>
      </c>
      <c r="V188" s="10">
        <v>134.56</v>
      </c>
      <c r="W188" s="10" t="s">
        <v>710</v>
      </c>
      <c r="X188" s="17">
        <v>44794</v>
      </c>
      <c r="Y188" s="17">
        <v>45161</v>
      </c>
      <c r="Z188" s="19" t="s">
        <v>772</v>
      </c>
      <c r="AA188" s="207">
        <v>35952</v>
      </c>
      <c r="AB188" s="9">
        <v>40</v>
      </c>
      <c r="AC188" s="9">
        <v>19</v>
      </c>
      <c r="AD188" s="17">
        <v>45473</v>
      </c>
      <c r="AE188" s="54">
        <v>778</v>
      </c>
      <c r="AF188" s="54"/>
      <c r="AG188" s="9" t="s">
        <v>134</v>
      </c>
      <c r="AH188" s="17">
        <v>45499</v>
      </c>
      <c r="AI188" s="9">
        <v>10228642</v>
      </c>
      <c r="AJ188" s="9" t="s">
        <v>3295</v>
      </c>
      <c r="AK188" s="9" t="s">
        <v>3357</v>
      </c>
      <c r="AL188" s="22">
        <v>778</v>
      </c>
      <c r="AM188" s="22"/>
      <c r="AN188" s="22" t="s">
        <v>3326</v>
      </c>
      <c r="AO188" s="22"/>
      <c r="AP188" s="22"/>
      <c r="AQ188" s="22"/>
      <c r="AR188" s="22"/>
      <c r="AS188" s="22"/>
      <c r="AT188" s="22"/>
      <c r="AU188" s="22"/>
      <c r="AV188" s="22"/>
      <c r="AW188" s="18">
        <v>45498</v>
      </c>
      <c r="AX188" s="9">
        <v>2938</v>
      </c>
      <c r="BA188" s="22">
        <v>778</v>
      </c>
      <c r="BB188" s="22"/>
      <c r="BD188" s="9"/>
      <c r="CS188" s="11">
        <f t="shared" si="16"/>
        <v>778</v>
      </c>
      <c r="CT188" s="22">
        <f t="shared" si="17"/>
        <v>778</v>
      </c>
      <c r="CU188" s="22">
        <f t="shared" si="18"/>
        <v>0</v>
      </c>
      <c r="CV188" s="26">
        <f t="shared" si="19"/>
        <v>0</v>
      </c>
    </row>
    <row r="189" spans="1:103" x14ac:dyDescent="0.2">
      <c r="A189" s="9" t="s">
        <v>3381</v>
      </c>
      <c r="B189" s="2">
        <v>149</v>
      </c>
      <c r="C189" s="3" t="s">
        <v>95</v>
      </c>
      <c r="D189" s="3" t="s">
        <v>96</v>
      </c>
      <c r="E189" s="2"/>
      <c r="F189" s="2"/>
      <c r="G189" s="2" t="s">
        <v>85</v>
      </c>
      <c r="H189" s="2">
        <v>5</v>
      </c>
      <c r="I189" s="20">
        <v>134.61000000000001</v>
      </c>
      <c r="J189" s="20">
        <v>41900</v>
      </c>
      <c r="K189" s="3">
        <v>0</v>
      </c>
      <c r="L189" s="3" t="s">
        <v>3</v>
      </c>
      <c r="M189" s="9" t="s">
        <v>0</v>
      </c>
      <c r="N189" s="9" t="s">
        <v>8</v>
      </c>
      <c r="O189" s="9" t="s">
        <v>3292</v>
      </c>
      <c r="S189" s="9" t="s">
        <v>158</v>
      </c>
      <c r="T189" s="10" t="s">
        <v>85</v>
      </c>
      <c r="U189" s="10">
        <v>5</v>
      </c>
      <c r="V189" s="10">
        <v>134.56</v>
      </c>
      <c r="W189" s="10" t="s">
        <v>710</v>
      </c>
      <c r="X189" s="17">
        <v>44794</v>
      </c>
      <c r="Y189" s="17">
        <v>45161</v>
      </c>
      <c r="Z189" s="19" t="s">
        <v>772</v>
      </c>
      <c r="AA189" s="207">
        <v>35952</v>
      </c>
      <c r="AB189" s="9">
        <v>40</v>
      </c>
      <c r="AC189" s="9">
        <v>20</v>
      </c>
      <c r="AD189" s="17">
        <v>45503</v>
      </c>
      <c r="AE189" s="54">
        <v>778</v>
      </c>
      <c r="AF189" s="54"/>
      <c r="AG189" s="9" t="s">
        <v>134</v>
      </c>
      <c r="AH189" s="17">
        <v>45499</v>
      </c>
      <c r="AI189" s="9">
        <v>10228642</v>
      </c>
      <c r="AJ189" s="9" t="s">
        <v>3295</v>
      </c>
      <c r="AK189" s="9" t="s">
        <v>3358</v>
      </c>
      <c r="AL189" s="22">
        <v>778</v>
      </c>
      <c r="AM189" s="22"/>
      <c r="AN189" s="22" t="s">
        <v>3327</v>
      </c>
      <c r="AO189" s="22"/>
      <c r="AP189" s="22"/>
      <c r="AQ189" s="22"/>
      <c r="AR189" s="22"/>
      <c r="AS189" s="22"/>
      <c r="AT189" s="22"/>
      <c r="AU189" s="22"/>
      <c r="AV189" s="22"/>
      <c r="AW189" s="18">
        <v>45498</v>
      </c>
      <c r="AX189" s="9">
        <v>2940</v>
      </c>
      <c r="BA189" s="22">
        <v>778</v>
      </c>
      <c r="BB189" s="22"/>
      <c r="BD189" s="9"/>
      <c r="CS189" s="11">
        <f t="shared" si="16"/>
        <v>778</v>
      </c>
      <c r="CT189" s="22">
        <f t="shared" si="17"/>
        <v>778</v>
      </c>
      <c r="CU189" s="22">
        <f t="shared" si="18"/>
        <v>0</v>
      </c>
      <c r="CV189" s="26">
        <f t="shared" si="19"/>
        <v>0</v>
      </c>
    </row>
    <row r="190" spans="1:103" x14ac:dyDescent="0.2">
      <c r="A190" s="9" t="s">
        <v>3381</v>
      </c>
      <c r="B190" s="2">
        <v>149</v>
      </c>
      <c r="C190" s="3" t="s">
        <v>95</v>
      </c>
      <c r="D190" s="3" t="s">
        <v>96</v>
      </c>
      <c r="E190" s="2"/>
      <c r="F190" s="2"/>
      <c r="G190" s="2" t="s">
        <v>85</v>
      </c>
      <c r="H190" s="2">
        <v>5</v>
      </c>
      <c r="I190" s="20">
        <v>134.61000000000001</v>
      </c>
      <c r="J190" s="20">
        <v>41900</v>
      </c>
      <c r="K190" s="3">
        <v>0</v>
      </c>
      <c r="L190" s="3" t="s">
        <v>3</v>
      </c>
      <c r="M190" s="9" t="s">
        <v>0</v>
      </c>
      <c r="N190" s="9" t="s">
        <v>8</v>
      </c>
      <c r="O190" s="9" t="s">
        <v>3292</v>
      </c>
      <c r="S190" s="9" t="s">
        <v>158</v>
      </c>
      <c r="T190" s="10" t="s">
        <v>85</v>
      </c>
      <c r="U190" s="10">
        <v>5</v>
      </c>
      <c r="V190" s="10">
        <v>134.56</v>
      </c>
      <c r="W190" s="10" t="s">
        <v>710</v>
      </c>
      <c r="X190" s="17">
        <v>44794</v>
      </c>
      <c r="Y190" s="17">
        <v>45161</v>
      </c>
      <c r="Z190" s="19" t="s">
        <v>772</v>
      </c>
      <c r="AA190" s="207">
        <v>35952</v>
      </c>
      <c r="AB190" s="9">
        <v>40</v>
      </c>
      <c r="AC190" s="9">
        <v>21</v>
      </c>
      <c r="AD190" s="17">
        <v>45534</v>
      </c>
      <c r="AE190" s="54">
        <v>778</v>
      </c>
      <c r="AF190" s="54"/>
      <c r="AG190" s="9" t="s">
        <v>134</v>
      </c>
      <c r="AH190" s="17">
        <v>45566</v>
      </c>
      <c r="AI190" s="9">
        <v>10228642</v>
      </c>
      <c r="AJ190" s="9" t="s">
        <v>3295</v>
      </c>
      <c r="AK190" s="9" t="s">
        <v>3359</v>
      </c>
      <c r="AL190" s="22">
        <v>778</v>
      </c>
      <c r="AM190" s="22"/>
      <c r="AN190" s="22" t="s">
        <v>3328</v>
      </c>
      <c r="AO190" s="22"/>
      <c r="AP190" s="22"/>
      <c r="AQ190" s="22"/>
      <c r="AR190" s="22"/>
      <c r="AS190" s="22"/>
      <c r="AT190" s="22"/>
      <c r="AU190" s="22"/>
      <c r="AV190" s="22"/>
      <c r="AW190" s="18">
        <v>45545</v>
      </c>
      <c r="AX190" s="9">
        <v>3134</v>
      </c>
      <c r="BA190" s="22">
        <v>710</v>
      </c>
      <c r="BB190" s="22"/>
      <c r="BC190" s="17">
        <v>45566</v>
      </c>
      <c r="BD190" s="9">
        <v>3226</v>
      </c>
      <c r="BG190" s="9">
        <v>68</v>
      </c>
      <c r="CS190" s="11">
        <f t="shared" si="16"/>
        <v>778</v>
      </c>
      <c r="CT190" s="22">
        <f t="shared" si="17"/>
        <v>778</v>
      </c>
      <c r="CU190" s="22">
        <f t="shared" si="18"/>
        <v>0</v>
      </c>
      <c r="CV190" s="26">
        <f t="shared" si="19"/>
        <v>0</v>
      </c>
    </row>
    <row r="191" spans="1:103" x14ac:dyDescent="0.2">
      <c r="A191" s="9" t="s">
        <v>3381</v>
      </c>
      <c r="B191" s="2">
        <v>149</v>
      </c>
      <c r="C191" s="3" t="s">
        <v>95</v>
      </c>
      <c r="D191" s="3" t="s">
        <v>96</v>
      </c>
      <c r="E191" s="2"/>
      <c r="F191" s="2"/>
      <c r="G191" s="2" t="s">
        <v>85</v>
      </c>
      <c r="H191" s="2">
        <v>5</v>
      </c>
      <c r="I191" s="20">
        <v>134.61000000000001</v>
      </c>
      <c r="J191" s="20">
        <v>41900</v>
      </c>
      <c r="K191" s="3">
        <v>0</v>
      </c>
      <c r="L191" s="3" t="s">
        <v>3</v>
      </c>
      <c r="M191" s="9" t="s">
        <v>0</v>
      </c>
      <c r="N191" s="9" t="s">
        <v>8</v>
      </c>
      <c r="O191" s="9" t="s">
        <v>3292</v>
      </c>
      <c r="S191" s="9" t="s">
        <v>158</v>
      </c>
      <c r="T191" s="10" t="s">
        <v>85</v>
      </c>
      <c r="U191" s="10">
        <v>5</v>
      </c>
      <c r="V191" s="10">
        <v>134.56</v>
      </c>
      <c r="W191" s="10" t="s">
        <v>710</v>
      </c>
      <c r="X191" s="17">
        <v>44794</v>
      </c>
      <c r="Y191" s="17">
        <v>45161</v>
      </c>
      <c r="Z191" s="19" t="s">
        <v>772</v>
      </c>
      <c r="AA191" s="207">
        <v>35952</v>
      </c>
      <c r="AB191" s="9">
        <v>40</v>
      </c>
      <c r="AC191" s="9">
        <v>22</v>
      </c>
      <c r="AD191" s="17">
        <v>45565</v>
      </c>
      <c r="AE191" s="54">
        <v>778</v>
      </c>
      <c r="AF191" s="54"/>
      <c r="AG191" s="9" t="s">
        <v>134</v>
      </c>
      <c r="AH191" s="17">
        <v>45566</v>
      </c>
      <c r="AI191" s="9">
        <v>10228642</v>
      </c>
      <c r="AJ191" s="9" t="s">
        <v>3295</v>
      </c>
      <c r="AK191" s="9" t="s">
        <v>3360</v>
      </c>
      <c r="AL191" s="22">
        <v>778</v>
      </c>
      <c r="AM191" s="22"/>
      <c r="AN191" s="22" t="s">
        <v>3329</v>
      </c>
      <c r="AO191" s="22"/>
      <c r="AP191" s="22"/>
      <c r="AQ191" s="22"/>
      <c r="AR191" s="22"/>
      <c r="AS191" s="22"/>
      <c r="AT191" s="22"/>
      <c r="AU191" s="22"/>
      <c r="AV191" s="22"/>
      <c r="AW191" s="18">
        <v>45566</v>
      </c>
      <c r="AX191" s="9">
        <v>3225</v>
      </c>
      <c r="BA191" s="22">
        <v>778</v>
      </c>
      <c r="BB191" s="22"/>
      <c r="BD191" s="9"/>
      <c r="CS191" s="11">
        <f t="shared" si="16"/>
        <v>778</v>
      </c>
      <c r="CT191" s="22">
        <f t="shared" si="17"/>
        <v>778</v>
      </c>
      <c r="CU191" s="22">
        <f t="shared" si="18"/>
        <v>0</v>
      </c>
      <c r="CV191" s="26">
        <f t="shared" si="19"/>
        <v>0</v>
      </c>
    </row>
    <row r="192" spans="1:103" x14ac:dyDescent="0.2">
      <c r="A192" s="9" t="s">
        <v>3381</v>
      </c>
      <c r="B192" s="2">
        <v>149</v>
      </c>
      <c r="C192" s="3" t="s">
        <v>95</v>
      </c>
      <c r="D192" s="3" t="s">
        <v>96</v>
      </c>
      <c r="E192" s="2"/>
      <c r="F192" s="2"/>
      <c r="G192" s="2" t="s">
        <v>85</v>
      </c>
      <c r="H192" s="2">
        <v>5</v>
      </c>
      <c r="I192" s="20">
        <v>134.61000000000001</v>
      </c>
      <c r="J192" s="20">
        <v>41900</v>
      </c>
      <c r="K192" s="3">
        <v>0</v>
      </c>
      <c r="L192" s="3" t="s">
        <v>3</v>
      </c>
      <c r="M192" s="9" t="s">
        <v>0</v>
      </c>
      <c r="N192" s="9" t="s">
        <v>8</v>
      </c>
      <c r="O192" s="9" t="s">
        <v>3292</v>
      </c>
      <c r="S192" s="9" t="s">
        <v>158</v>
      </c>
      <c r="T192" s="10" t="s">
        <v>85</v>
      </c>
      <c r="U192" s="10">
        <v>5</v>
      </c>
      <c r="V192" s="10">
        <v>134.56</v>
      </c>
      <c r="W192" s="10" t="s">
        <v>710</v>
      </c>
      <c r="X192" s="17">
        <v>44794</v>
      </c>
      <c r="Y192" s="17">
        <v>45161</v>
      </c>
      <c r="Z192" s="19" t="s">
        <v>772</v>
      </c>
      <c r="AA192" s="207">
        <v>35952</v>
      </c>
      <c r="AB192" s="9">
        <v>40</v>
      </c>
      <c r="AC192" s="9">
        <v>23</v>
      </c>
      <c r="AD192" s="17">
        <v>45595</v>
      </c>
      <c r="AE192" s="54">
        <v>778</v>
      </c>
      <c r="AF192" s="54"/>
      <c r="AG192" s="9" t="s">
        <v>134</v>
      </c>
      <c r="AH192" s="17">
        <v>45622</v>
      </c>
      <c r="AI192" s="9">
        <v>10228642</v>
      </c>
      <c r="AJ192" s="9" t="s">
        <v>3295</v>
      </c>
      <c r="AK192" s="9" t="s">
        <v>3361</v>
      </c>
      <c r="AL192" s="22">
        <v>778</v>
      </c>
      <c r="AM192" s="22"/>
      <c r="AN192" s="22" t="s">
        <v>3330</v>
      </c>
      <c r="AO192" s="22"/>
      <c r="AP192" s="22"/>
      <c r="AQ192" s="22"/>
      <c r="AR192" s="22"/>
      <c r="AS192" s="22"/>
      <c r="AT192" s="22"/>
      <c r="AU192" s="22"/>
      <c r="AV192" s="22"/>
      <c r="AW192" s="18">
        <v>45595</v>
      </c>
      <c r="AX192" s="9">
        <v>3336</v>
      </c>
      <c r="BA192" s="22">
        <v>500</v>
      </c>
      <c r="BB192" s="22"/>
      <c r="BC192" s="17">
        <v>45621</v>
      </c>
      <c r="BD192" s="9">
        <v>3444</v>
      </c>
      <c r="BG192" s="9">
        <v>278</v>
      </c>
      <c r="CS192" s="11">
        <f t="shared" si="16"/>
        <v>778</v>
      </c>
      <c r="CT192" s="22">
        <f t="shared" si="17"/>
        <v>778</v>
      </c>
      <c r="CU192" s="22">
        <f t="shared" si="18"/>
        <v>0</v>
      </c>
      <c r="CV192" s="26">
        <f t="shared" si="19"/>
        <v>0</v>
      </c>
    </row>
    <row r="193" spans="1:103" x14ac:dyDescent="0.2">
      <c r="A193" s="9" t="s">
        <v>3381</v>
      </c>
      <c r="B193" s="2">
        <v>149</v>
      </c>
      <c r="C193" s="3" t="s">
        <v>95</v>
      </c>
      <c r="D193" s="3" t="s">
        <v>96</v>
      </c>
      <c r="E193" s="2"/>
      <c r="F193" s="2"/>
      <c r="G193" s="2" t="s">
        <v>85</v>
      </c>
      <c r="H193" s="2">
        <v>5</v>
      </c>
      <c r="I193" s="20">
        <v>134.61000000000001</v>
      </c>
      <c r="J193" s="20">
        <v>41900</v>
      </c>
      <c r="K193" s="3">
        <v>0</v>
      </c>
      <c r="L193" s="3" t="s">
        <v>3</v>
      </c>
      <c r="M193" s="9" t="s">
        <v>0</v>
      </c>
      <c r="N193" s="9" t="s">
        <v>8</v>
      </c>
      <c r="O193" s="9" t="s">
        <v>3292</v>
      </c>
      <c r="S193" s="9" t="s">
        <v>158</v>
      </c>
      <c r="T193" s="10" t="s">
        <v>85</v>
      </c>
      <c r="U193" s="10">
        <v>5</v>
      </c>
      <c r="V193" s="10">
        <v>134.56</v>
      </c>
      <c r="W193" s="10" t="s">
        <v>710</v>
      </c>
      <c r="X193" s="17">
        <v>44794</v>
      </c>
      <c r="Y193" s="17">
        <v>45161</v>
      </c>
      <c r="Z193" s="19" t="s">
        <v>772</v>
      </c>
      <c r="AA193" s="207">
        <v>35952</v>
      </c>
      <c r="AB193" s="9">
        <v>40</v>
      </c>
      <c r="AC193" s="9">
        <v>24</v>
      </c>
      <c r="AD193" s="17">
        <v>45626</v>
      </c>
      <c r="AE193" s="54">
        <v>778</v>
      </c>
      <c r="AF193" s="54"/>
      <c r="AG193" s="9" t="s">
        <v>134</v>
      </c>
      <c r="AH193" s="17">
        <v>45643</v>
      </c>
      <c r="AI193" s="9">
        <v>10228642</v>
      </c>
      <c r="AJ193" s="9" t="s">
        <v>3295</v>
      </c>
      <c r="AK193" s="9" t="s">
        <v>3362</v>
      </c>
      <c r="AL193" s="22">
        <v>778</v>
      </c>
      <c r="AM193" s="22"/>
      <c r="AN193" s="22" t="s">
        <v>3331</v>
      </c>
      <c r="AO193" s="22"/>
      <c r="AP193" s="22"/>
      <c r="AQ193" s="22"/>
      <c r="AR193" s="22"/>
      <c r="AS193" s="22"/>
      <c r="AT193" s="22"/>
      <c r="AU193" s="22"/>
      <c r="AV193" s="22"/>
      <c r="AW193" s="18">
        <v>45643</v>
      </c>
      <c r="AX193" s="9">
        <v>3513</v>
      </c>
      <c r="BA193" s="22">
        <v>778</v>
      </c>
      <c r="BB193" s="22"/>
      <c r="BD193" s="9"/>
      <c r="CS193" s="11">
        <f t="shared" si="16"/>
        <v>778</v>
      </c>
      <c r="CT193" s="22">
        <f t="shared" si="17"/>
        <v>778</v>
      </c>
      <c r="CU193" s="22">
        <f t="shared" si="18"/>
        <v>0</v>
      </c>
      <c r="CV193" s="26">
        <f t="shared" si="19"/>
        <v>0</v>
      </c>
    </row>
    <row r="194" spans="1:103" x14ac:dyDescent="0.2">
      <c r="A194" s="9" t="s">
        <v>3381</v>
      </c>
      <c r="B194" s="2">
        <v>149</v>
      </c>
      <c r="C194" s="3" t="s">
        <v>95</v>
      </c>
      <c r="D194" s="3" t="s">
        <v>96</v>
      </c>
      <c r="E194" s="2"/>
      <c r="F194" s="2"/>
      <c r="G194" s="2" t="s">
        <v>85</v>
      </c>
      <c r="H194" s="2">
        <v>5</v>
      </c>
      <c r="I194" s="20">
        <v>134.61000000000001</v>
      </c>
      <c r="J194" s="20">
        <v>41900</v>
      </c>
      <c r="K194" s="3">
        <v>0</v>
      </c>
      <c r="L194" s="3" t="s">
        <v>3</v>
      </c>
      <c r="M194" s="9" t="s">
        <v>0</v>
      </c>
      <c r="N194" s="9" t="s">
        <v>8</v>
      </c>
      <c r="O194" s="9" t="s">
        <v>3292</v>
      </c>
      <c r="S194" s="9" t="s">
        <v>158</v>
      </c>
      <c r="T194" s="10" t="s">
        <v>85</v>
      </c>
      <c r="U194" s="10">
        <v>5</v>
      </c>
      <c r="V194" s="10">
        <v>134.56</v>
      </c>
      <c r="W194" s="10" t="s">
        <v>710</v>
      </c>
      <c r="X194" s="17">
        <v>44794</v>
      </c>
      <c r="Y194" s="17">
        <v>45161</v>
      </c>
      <c r="Z194" s="19" t="s">
        <v>772</v>
      </c>
      <c r="AA194" s="207">
        <v>35952</v>
      </c>
      <c r="AB194" s="9">
        <v>40</v>
      </c>
      <c r="AC194" s="9">
        <v>25</v>
      </c>
      <c r="AD194" s="17">
        <v>45656</v>
      </c>
      <c r="AE194" s="54">
        <v>778</v>
      </c>
      <c r="AF194" s="54"/>
      <c r="AG194" s="9" t="s">
        <v>134</v>
      </c>
      <c r="AH194" s="17">
        <v>45706</v>
      </c>
      <c r="AI194" s="9">
        <v>10228642</v>
      </c>
      <c r="AJ194" s="9" t="s">
        <v>3295</v>
      </c>
      <c r="AK194" s="9" t="s">
        <v>3363</v>
      </c>
      <c r="AL194" s="22">
        <v>778</v>
      </c>
      <c r="AM194" s="22"/>
      <c r="AN194" s="22" t="s">
        <v>3332</v>
      </c>
      <c r="AO194" s="22"/>
      <c r="AP194" s="22"/>
      <c r="AQ194" s="22"/>
      <c r="AR194" s="22"/>
      <c r="AS194" s="22"/>
      <c r="AT194" s="22"/>
      <c r="AU194" s="22"/>
      <c r="AV194" s="22"/>
      <c r="AW194" s="18">
        <v>45706</v>
      </c>
      <c r="AX194" s="9">
        <v>3765</v>
      </c>
      <c r="BA194" s="22">
        <v>778</v>
      </c>
      <c r="BB194" s="22"/>
      <c r="BD194" s="9"/>
      <c r="CS194" s="11">
        <f t="shared" si="16"/>
        <v>778</v>
      </c>
      <c r="CT194" s="22">
        <f t="shared" si="17"/>
        <v>778</v>
      </c>
      <c r="CU194" s="22">
        <f t="shared" si="18"/>
        <v>0</v>
      </c>
      <c r="CV194" s="26">
        <f t="shared" si="19"/>
        <v>0</v>
      </c>
    </row>
    <row r="195" spans="1:103" s="27" customFormat="1" x14ac:dyDescent="0.2">
      <c r="A195" s="27" t="s">
        <v>3381</v>
      </c>
      <c r="B195" s="67">
        <v>149</v>
      </c>
      <c r="C195" s="68" t="s">
        <v>95</v>
      </c>
      <c r="D195" s="68" t="s">
        <v>96</v>
      </c>
      <c r="E195" s="67"/>
      <c r="F195" s="67"/>
      <c r="G195" s="67" t="s">
        <v>85</v>
      </c>
      <c r="H195" s="67">
        <v>5</v>
      </c>
      <c r="I195" s="217">
        <v>134.61000000000001</v>
      </c>
      <c r="J195" s="217">
        <v>41900</v>
      </c>
      <c r="K195" s="68">
        <v>0</v>
      </c>
      <c r="L195" s="68" t="s">
        <v>3</v>
      </c>
      <c r="M195" s="27" t="s">
        <v>0</v>
      </c>
      <c r="N195" s="27" t="s">
        <v>8</v>
      </c>
      <c r="O195" s="27" t="s">
        <v>3292</v>
      </c>
      <c r="Q195" s="218"/>
      <c r="S195" s="27" t="s">
        <v>158</v>
      </c>
      <c r="T195" s="69" t="s">
        <v>85</v>
      </c>
      <c r="U195" s="69">
        <v>5</v>
      </c>
      <c r="V195" s="69">
        <v>134.56</v>
      </c>
      <c r="W195" s="69" t="s">
        <v>710</v>
      </c>
      <c r="X195" s="70">
        <v>44794</v>
      </c>
      <c r="Y195" s="70">
        <v>45161</v>
      </c>
      <c r="Z195" s="219" t="s">
        <v>772</v>
      </c>
      <c r="AA195" s="214">
        <v>35952</v>
      </c>
      <c r="AB195" s="27">
        <v>40</v>
      </c>
      <c r="AC195" s="27">
        <v>26</v>
      </c>
      <c r="AD195" s="70">
        <v>45687</v>
      </c>
      <c r="AE195" s="220">
        <v>778</v>
      </c>
      <c r="AF195" s="220"/>
      <c r="AG195" s="27" t="s">
        <v>134</v>
      </c>
      <c r="AH195" s="70">
        <v>45716</v>
      </c>
      <c r="AI195" s="27">
        <v>10228642</v>
      </c>
      <c r="AJ195" s="27" t="s">
        <v>3295</v>
      </c>
      <c r="AK195" s="27" t="s">
        <v>3379</v>
      </c>
      <c r="AL195" s="28">
        <v>278</v>
      </c>
      <c r="AM195" s="28"/>
      <c r="AN195" s="28" t="s">
        <v>3333</v>
      </c>
      <c r="AO195" s="27" t="s">
        <v>134</v>
      </c>
      <c r="AP195" s="70">
        <v>45742</v>
      </c>
      <c r="AQ195" s="27">
        <v>10228642</v>
      </c>
      <c r="AR195" s="27" t="s">
        <v>3295</v>
      </c>
      <c r="AS195" s="27" t="s">
        <v>3380</v>
      </c>
      <c r="AT195" s="28">
        <v>500</v>
      </c>
      <c r="AU195" s="28"/>
      <c r="AV195" s="28" t="s">
        <v>3334</v>
      </c>
      <c r="AW195" s="221">
        <v>45706</v>
      </c>
      <c r="AX195" s="27">
        <v>3766</v>
      </c>
      <c r="BA195" s="28">
        <v>778</v>
      </c>
      <c r="BB195" s="28"/>
      <c r="CS195" s="28">
        <f t="shared" si="16"/>
        <v>778</v>
      </c>
      <c r="CT195" s="28">
        <f t="shared" si="17"/>
        <v>778</v>
      </c>
      <c r="CU195" s="28">
        <f t="shared" si="18"/>
        <v>0</v>
      </c>
      <c r="CV195" s="222">
        <f t="shared" si="19"/>
        <v>0</v>
      </c>
    </row>
    <row r="196" spans="1:103" x14ac:dyDescent="0.2">
      <c r="A196" s="9" t="s">
        <v>3381</v>
      </c>
      <c r="B196" s="2">
        <v>149</v>
      </c>
      <c r="C196" s="3" t="s">
        <v>95</v>
      </c>
      <c r="D196" s="3" t="s">
        <v>96</v>
      </c>
      <c r="E196" s="2"/>
      <c r="F196" s="2"/>
      <c r="G196" s="2" t="s">
        <v>85</v>
      </c>
      <c r="H196" s="2">
        <v>5</v>
      </c>
      <c r="I196" s="20">
        <v>134.61000000000001</v>
      </c>
      <c r="J196" s="20">
        <v>41900</v>
      </c>
      <c r="K196" s="3">
        <v>0</v>
      </c>
      <c r="L196" s="3" t="s">
        <v>3</v>
      </c>
      <c r="M196" s="9" t="s">
        <v>0</v>
      </c>
      <c r="N196" s="9" t="s">
        <v>8</v>
      </c>
      <c r="O196" s="9" t="s">
        <v>3292</v>
      </c>
      <c r="S196" s="9" t="s">
        <v>158</v>
      </c>
      <c r="T196" s="10" t="s">
        <v>85</v>
      </c>
      <c r="U196" s="10">
        <v>5</v>
      </c>
      <c r="V196" s="10">
        <v>134.56</v>
      </c>
      <c r="W196" s="10" t="s">
        <v>710</v>
      </c>
      <c r="X196" s="17">
        <v>44794</v>
      </c>
      <c r="Y196" s="17">
        <v>45161</v>
      </c>
      <c r="Z196" s="19" t="s">
        <v>772</v>
      </c>
      <c r="AA196" s="207">
        <v>35952</v>
      </c>
      <c r="AB196" s="9">
        <v>40</v>
      </c>
      <c r="AC196" s="9">
        <v>27</v>
      </c>
      <c r="AD196" s="17">
        <v>45716</v>
      </c>
      <c r="AE196" s="54">
        <v>778</v>
      </c>
      <c r="AF196" s="54"/>
      <c r="AG196" s="9" t="s">
        <v>134</v>
      </c>
      <c r="AH196" s="17">
        <v>45800</v>
      </c>
      <c r="AI196" s="9">
        <v>10228642</v>
      </c>
      <c r="AJ196" s="9" t="s">
        <v>3295</v>
      </c>
      <c r="AK196" s="9" t="s">
        <v>3364</v>
      </c>
      <c r="AL196" s="22">
        <v>778</v>
      </c>
      <c r="AM196" s="22"/>
      <c r="AN196" s="22" t="s">
        <v>3335</v>
      </c>
      <c r="AO196" s="22"/>
      <c r="AP196" s="22"/>
      <c r="AQ196" s="22"/>
      <c r="AR196" s="22"/>
      <c r="AS196" s="22"/>
      <c r="AT196" s="22"/>
      <c r="AU196" s="22"/>
      <c r="AV196" s="22"/>
      <c r="AW196" s="18">
        <v>45776</v>
      </c>
      <c r="AX196" s="9">
        <v>4079</v>
      </c>
      <c r="BA196" s="22">
        <v>500</v>
      </c>
      <c r="BB196" s="22"/>
      <c r="BC196" s="17">
        <v>45804</v>
      </c>
      <c r="BD196" s="9">
        <v>4218</v>
      </c>
      <c r="BG196" s="9">
        <v>68</v>
      </c>
      <c r="CS196" s="11">
        <f t="shared" si="16"/>
        <v>778</v>
      </c>
      <c r="CT196" s="22">
        <f t="shared" si="17"/>
        <v>568</v>
      </c>
      <c r="CU196" s="22">
        <f t="shared" si="18"/>
        <v>210</v>
      </c>
      <c r="CV196" s="26">
        <f t="shared" si="19"/>
        <v>0</v>
      </c>
      <c r="CW196" s="9" t="s">
        <v>3494</v>
      </c>
      <c r="CY196" s="9" t="s">
        <v>3493</v>
      </c>
    </row>
    <row r="197" spans="1:103" x14ac:dyDescent="0.2">
      <c r="A197" s="9" t="s">
        <v>3381</v>
      </c>
      <c r="B197" s="2">
        <v>149</v>
      </c>
      <c r="C197" s="3" t="s">
        <v>95</v>
      </c>
      <c r="D197" s="3" t="s">
        <v>96</v>
      </c>
      <c r="E197" s="2"/>
      <c r="F197" s="2"/>
      <c r="G197" s="2" t="s">
        <v>85</v>
      </c>
      <c r="H197" s="2">
        <v>5</v>
      </c>
      <c r="I197" s="20">
        <v>134.61000000000001</v>
      </c>
      <c r="J197" s="20">
        <v>41900</v>
      </c>
      <c r="K197" s="3">
        <v>0</v>
      </c>
      <c r="L197" s="3" t="s">
        <v>3</v>
      </c>
      <c r="M197" s="9" t="s">
        <v>0</v>
      </c>
      <c r="N197" s="9" t="s">
        <v>8</v>
      </c>
      <c r="O197" s="9" t="s">
        <v>3292</v>
      </c>
      <c r="S197" s="9" t="s">
        <v>158</v>
      </c>
      <c r="T197" s="10" t="s">
        <v>85</v>
      </c>
      <c r="U197" s="10">
        <v>5</v>
      </c>
      <c r="V197" s="10">
        <v>134.56</v>
      </c>
      <c r="W197" s="10" t="s">
        <v>710</v>
      </c>
      <c r="X197" s="17">
        <v>44794</v>
      </c>
      <c r="Y197" s="17">
        <v>45161</v>
      </c>
      <c r="Z197" s="19" t="s">
        <v>772</v>
      </c>
      <c r="AA197" s="207">
        <v>35952</v>
      </c>
      <c r="AB197" s="9">
        <v>40</v>
      </c>
      <c r="AC197" s="9">
        <v>28</v>
      </c>
      <c r="AD197" s="17">
        <v>45746</v>
      </c>
      <c r="AE197" s="54">
        <v>778</v>
      </c>
      <c r="AF197" s="54"/>
      <c r="AG197" s="9" t="s">
        <v>134</v>
      </c>
      <c r="AH197" s="17">
        <v>45828</v>
      </c>
      <c r="AI197" s="9">
        <v>10228642</v>
      </c>
      <c r="AJ197" s="9" t="s">
        <v>3295</v>
      </c>
      <c r="AK197" s="9" t="s">
        <v>3365</v>
      </c>
      <c r="AL197" s="22">
        <v>778</v>
      </c>
      <c r="AM197" s="22"/>
      <c r="AN197" s="22" t="s">
        <v>3336</v>
      </c>
      <c r="AO197" s="22"/>
      <c r="AP197" s="22"/>
      <c r="AQ197" s="22"/>
      <c r="AR197" s="22"/>
      <c r="AS197" s="22"/>
      <c r="AT197" s="22"/>
      <c r="AU197" s="22"/>
      <c r="AV197" s="22"/>
      <c r="AW197" s="18">
        <v>45827</v>
      </c>
      <c r="AX197" s="9">
        <v>4322</v>
      </c>
      <c r="BA197" s="22">
        <v>778</v>
      </c>
      <c r="BB197" s="22"/>
      <c r="BD197" s="9"/>
      <c r="CS197" s="11">
        <f t="shared" si="16"/>
        <v>778</v>
      </c>
      <c r="CT197" s="22">
        <f t="shared" si="17"/>
        <v>778</v>
      </c>
      <c r="CU197" s="22">
        <f t="shared" si="18"/>
        <v>0</v>
      </c>
      <c r="CV197" s="26">
        <f t="shared" si="19"/>
        <v>0</v>
      </c>
    </row>
    <row r="198" spans="1:103" x14ac:dyDescent="0.2">
      <c r="A198" s="9" t="s">
        <v>3381</v>
      </c>
      <c r="B198" s="2">
        <v>149</v>
      </c>
      <c r="C198" s="3" t="s">
        <v>95</v>
      </c>
      <c r="D198" s="3" t="s">
        <v>96</v>
      </c>
      <c r="E198" s="2"/>
      <c r="F198" s="2"/>
      <c r="G198" s="2" t="s">
        <v>85</v>
      </c>
      <c r="H198" s="2">
        <v>5</v>
      </c>
      <c r="I198" s="20">
        <v>134.61000000000001</v>
      </c>
      <c r="J198" s="20">
        <v>41900</v>
      </c>
      <c r="K198" s="3">
        <v>0</v>
      </c>
      <c r="L198" s="3" t="s">
        <v>3</v>
      </c>
      <c r="M198" s="9" t="s">
        <v>0</v>
      </c>
      <c r="N198" s="9" t="s">
        <v>8</v>
      </c>
      <c r="O198" s="9" t="s">
        <v>3292</v>
      </c>
      <c r="S198" s="9" t="s">
        <v>158</v>
      </c>
      <c r="T198" s="10" t="s">
        <v>85</v>
      </c>
      <c r="U198" s="10">
        <v>5</v>
      </c>
      <c r="V198" s="10">
        <v>134.56</v>
      </c>
      <c r="W198" s="10" t="s">
        <v>710</v>
      </c>
      <c r="X198" s="17">
        <v>44794</v>
      </c>
      <c r="Y198" s="17">
        <v>45161</v>
      </c>
      <c r="Z198" s="19" t="s">
        <v>772</v>
      </c>
      <c r="AA198" s="207">
        <v>35952</v>
      </c>
      <c r="AB198" s="9">
        <v>40</v>
      </c>
      <c r="AC198" s="9">
        <v>29</v>
      </c>
      <c r="AD198" s="17">
        <v>45777</v>
      </c>
      <c r="AE198" s="54">
        <v>778</v>
      </c>
      <c r="AF198" s="54"/>
      <c r="AG198" s="9" t="s">
        <v>134</v>
      </c>
      <c r="AH198" s="17">
        <v>45862</v>
      </c>
      <c r="AI198" s="9">
        <v>10228642</v>
      </c>
      <c r="AJ198" s="9" t="s">
        <v>3295</v>
      </c>
      <c r="AK198" s="9" t="s">
        <v>3366</v>
      </c>
      <c r="AL198" s="22">
        <v>778</v>
      </c>
      <c r="AM198" s="22"/>
      <c r="AN198" s="22" t="s">
        <v>3337</v>
      </c>
      <c r="AO198" s="22"/>
      <c r="AP198" s="22"/>
      <c r="AQ198" s="22"/>
      <c r="AR198" s="22"/>
      <c r="AS198" s="22"/>
      <c r="AT198" s="22"/>
      <c r="AU198" s="22"/>
      <c r="AV198" s="22"/>
      <c r="AW198" s="18">
        <v>45862</v>
      </c>
      <c r="AX198" s="9">
        <v>4467</v>
      </c>
      <c r="BA198" s="22">
        <v>778</v>
      </c>
      <c r="BB198" s="22"/>
      <c r="BD198" s="9"/>
      <c r="CS198" s="11">
        <f t="shared" si="16"/>
        <v>778</v>
      </c>
      <c r="CT198" s="22">
        <f t="shared" si="17"/>
        <v>778</v>
      </c>
      <c r="CU198" s="22">
        <f t="shared" si="18"/>
        <v>0</v>
      </c>
      <c r="CV198" s="26">
        <f t="shared" si="19"/>
        <v>0</v>
      </c>
    </row>
    <row r="199" spans="1:103" x14ac:dyDescent="0.2">
      <c r="A199" s="9" t="s">
        <v>3381</v>
      </c>
      <c r="B199" s="2">
        <v>149</v>
      </c>
      <c r="C199" s="3" t="s">
        <v>95</v>
      </c>
      <c r="D199" s="3" t="s">
        <v>96</v>
      </c>
      <c r="E199" s="2"/>
      <c r="F199" s="2"/>
      <c r="G199" s="2" t="s">
        <v>85</v>
      </c>
      <c r="H199" s="2">
        <v>5</v>
      </c>
      <c r="I199" s="20">
        <v>134.61000000000001</v>
      </c>
      <c r="J199" s="20">
        <v>41900</v>
      </c>
      <c r="K199" s="3">
        <v>0</v>
      </c>
      <c r="L199" s="3" t="s">
        <v>3</v>
      </c>
      <c r="M199" s="9" t="s">
        <v>0</v>
      </c>
      <c r="N199" s="9" t="s">
        <v>8</v>
      </c>
      <c r="O199" s="9" t="s">
        <v>3292</v>
      </c>
      <c r="S199" s="9" t="s">
        <v>158</v>
      </c>
      <c r="T199" s="10" t="s">
        <v>85</v>
      </c>
      <c r="U199" s="10">
        <v>5</v>
      </c>
      <c r="V199" s="10">
        <v>134.56</v>
      </c>
      <c r="W199" s="10" t="s">
        <v>710</v>
      </c>
      <c r="X199" s="17">
        <v>44794</v>
      </c>
      <c r="Y199" s="17">
        <v>45161</v>
      </c>
      <c r="Z199" s="19" t="s">
        <v>772</v>
      </c>
      <c r="AA199" s="207">
        <v>35952</v>
      </c>
      <c r="AB199" s="9">
        <v>40</v>
      </c>
      <c r="AC199" s="9">
        <v>30</v>
      </c>
      <c r="AD199" s="17">
        <v>45807</v>
      </c>
      <c r="AE199" s="54">
        <v>778</v>
      </c>
      <c r="AF199" s="54"/>
      <c r="AG199" s="9" t="s">
        <v>134</v>
      </c>
      <c r="AH199" s="17">
        <v>45896</v>
      </c>
      <c r="AI199" s="9">
        <v>10228642</v>
      </c>
      <c r="AJ199" s="9" t="s">
        <v>3295</v>
      </c>
      <c r="AK199" s="9" t="s">
        <v>3367</v>
      </c>
      <c r="AL199" s="22">
        <v>778</v>
      </c>
      <c r="AM199" s="22"/>
      <c r="AN199" s="22" t="s">
        <v>3338</v>
      </c>
      <c r="AO199" s="22"/>
      <c r="AP199" s="22"/>
      <c r="AQ199" s="22"/>
      <c r="AR199" s="22"/>
      <c r="AS199" s="22"/>
      <c r="AT199" s="22"/>
      <c r="AU199" s="22"/>
      <c r="AV199" s="22"/>
      <c r="AW199" s="18">
        <v>45895</v>
      </c>
      <c r="AX199" s="9">
        <v>4611</v>
      </c>
      <c r="BA199" s="22">
        <v>778</v>
      </c>
      <c r="BB199" s="22"/>
      <c r="BD199" s="9"/>
      <c r="CS199" s="11">
        <f t="shared" si="16"/>
        <v>778</v>
      </c>
      <c r="CT199" s="22">
        <f t="shared" si="17"/>
        <v>778</v>
      </c>
      <c r="CU199" s="22">
        <f t="shared" si="18"/>
        <v>0</v>
      </c>
      <c r="CV199" s="26">
        <f t="shared" si="19"/>
        <v>0</v>
      </c>
    </row>
    <row r="200" spans="1:103" x14ac:dyDescent="0.2">
      <c r="A200" s="9" t="s">
        <v>3381</v>
      </c>
      <c r="B200" s="2">
        <v>149</v>
      </c>
      <c r="C200" s="3" t="s">
        <v>95</v>
      </c>
      <c r="D200" s="3" t="s">
        <v>96</v>
      </c>
      <c r="E200" s="2"/>
      <c r="F200" s="2"/>
      <c r="G200" s="2" t="s">
        <v>85</v>
      </c>
      <c r="H200" s="2">
        <v>5</v>
      </c>
      <c r="I200" s="20">
        <v>134.61000000000001</v>
      </c>
      <c r="J200" s="20">
        <v>41900</v>
      </c>
      <c r="K200" s="3">
        <v>0</v>
      </c>
      <c r="L200" s="3" t="s">
        <v>3</v>
      </c>
      <c r="M200" s="9" t="s">
        <v>0</v>
      </c>
      <c r="N200" s="9" t="s">
        <v>8</v>
      </c>
      <c r="O200" s="9" t="s">
        <v>3292</v>
      </c>
      <c r="S200" s="9" t="s">
        <v>158</v>
      </c>
      <c r="T200" s="10" t="s">
        <v>85</v>
      </c>
      <c r="U200" s="10">
        <v>5</v>
      </c>
      <c r="V200" s="10">
        <v>134.56</v>
      </c>
      <c r="W200" s="10" t="s">
        <v>710</v>
      </c>
      <c r="X200" s="17">
        <v>44794</v>
      </c>
      <c r="Y200" s="17">
        <v>45161</v>
      </c>
      <c r="Z200" s="19" t="s">
        <v>772</v>
      </c>
      <c r="AA200" s="207">
        <v>35952</v>
      </c>
      <c r="AB200" s="9">
        <v>40</v>
      </c>
      <c r="AC200" s="9">
        <v>31</v>
      </c>
      <c r="AD200" s="17">
        <v>45838</v>
      </c>
      <c r="AE200" s="54">
        <v>778</v>
      </c>
      <c r="AF200" s="54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BA200" s="22"/>
      <c r="BB200" s="22"/>
      <c r="BD200" s="9"/>
      <c r="CS200" s="11">
        <f t="shared" si="16"/>
        <v>0</v>
      </c>
      <c r="CT200" s="22">
        <f t="shared" si="17"/>
        <v>0</v>
      </c>
      <c r="CU200" s="22">
        <f t="shared" si="18"/>
        <v>0</v>
      </c>
      <c r="CV200" s="26">
        <f t="shared" si="19"/>
        <v>778</v>
      </c>
    </row>
    <row r="201" spans="1:103" x14ac:dyDescent="0.2">
      <c r="A201" s="9" t="s">
        <v>3381</v>
      </c>
      <c r="B201" s="2">
        <v>149</v>
      </c>
      <c r="C201" s="3" t="s">
        <v>95</v>
      </c>
      <c r="D201" s="3" t="s">
        <v>96</v>
      </c>
      <c r="E201" s="2"/>
      <c r="F201" s="2"/>
      <c r="G201" s="2" t="s">
        <v>85</v>
      </c>
      <c r="H201" s="2">
        <v>5</v>
      </c>
      <c r="I201" s="20">
        <v>134.61000000000001</v>
      </c>
      <c r="J201" s="20">
        <v>41900</v>
      </c>
      <c r="K201" s="3">
        <v>0</v>
      </c>
      <c r="L201" s="3" t="s">
        <v>3</v>
      </c>
      <c r="M201" s="9" t="s">
        <v>0</v>
      </c>
      <c r="N201" s="9" t="s">
        <v>8</v>
      </c>
      <c r="O201" s="9" t="s">
        <v>3292</v>
      </c>
      <c r="S201" s="9" t="s">
        <v>158</v>
      </c>
      <c r="T201" s="10" t="s">
        <v>85</v>
      </c>
      <c r="U201" s="10">
        <v>5</v>
      </c>
      <c r="V201" s="10">
        <v>134.56</v>
      </c>
      <c r="W201" s="10" t="s">
        <v>710</v>
      </c>
      <c r="X201" s="17">
        <v>44794</v>
      </c>
      <c r="Y201" s="17">
        <v>45161</v>
      </c>
      <c r="Z201" s="19" t="s">
        <v>772</v>
      </c>
      <c r="AA201" s="207">
        <v>35952</v>
      </c>
      <c r="AB201" s="9">
        <v>40</v>
      </c>
      <c r="AC201" s="9">
        <v>32</v>
      </c>
      <c r="AD201" s="17">
        <v>45868</v>
      </c>
      <c r="AE201" s="54">
        <v>778</v>
      </c>
      <c r="AF201" s="54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BA201" s="22"/>
      <c r="BB201" s="22"/>
      <c r="BD201" s="9"/>
      <c r="CS201" s="11">
        <f t="shared" si="16"/>
        <v>0</v>
      </c>
      <c r="CT201" s="22">
        <f t="shared" si="17"/>
        <v>0</v>
      </c>
      <c r="CU201" s="22">
        <f t="shared" si="18"/>
        <v>0</v>
      </c>
      <c r="CV201" s="26">
        <f t="shared" si="19"/>
        <v>778</v>
      </c>
    </row>
    <row r="202" spans="1:103" x14ac:dyDescent="0.2">
      <c r="A202" s="9" t="s">
        <v>3381</v>
      </c>
      <c r="B202" s="2">
        <v>149</v>
      </c>
      <c r="C202" s="3" t="s">
        <v>95</v>
      </c>
      <c r="D202" s="3" t="s">
        <v>96</v>
      </c>
      <c r="E202" s="2"/>
      <c r="F202" s="2"/>
      <c r="G202" s="2" t="s">
        <v>85</v>
      </c>
      <c r="H202" s="2">
        <v>5</v>
      </c>
      <c r="I202" s="20">
        <v>134.61000000000001</v>
      </c>
      <c r="J202" s="20">
        <v>41900</v>
      </c>
      <c r="K202" s="3">
        <v>0</v>
      </c>
      <c r="L202" s="3" t="s">
        <v>3</v>
      </c>
      <c r="M202" s="9" t="s">
        <v>0</v>
      </c>
      <c r="N202" s="9" t="s">
        <v>8</v>
      </c>
      <c r="O202" s="9" t="s">
        <v>3292</v>
      </c>
      <c r="S202" s="9" t="s">
        <v>158</v>
      </c>
      <c r="T202" s="10" t="s">
        <v>85</v>
      </c>
      <c r="U202" s="10">
        <v>5</v>
      </c>
      <c r="V202" s="10">
        <v>134.56</v>
      </c>
      <c r="W202" s="10" t="s">
        <v>710</v>
      </c>
      <c r="X202" s="17">
        <v>44794</v>
      </c>
      <c r="Y202" s="17">
        <v>45161</v>
      </c>
      <c r="Z202" s="19" t="s">
        <v>772</v>
      </c>
      <c r="AA202" s="207">
        <v>35952</v>
      </c>
      <c r="AB202" s="9">
        <v>40</v>
      </c>
      <c r="AC202" s="9">
        <v>33</v>
      </c>
      <c r="AD202" s="17">
        <v>45899</v>
      </c>
      <c r="AE202" s="54">
        <v>778</v>
      </c>
      <c r="AF202" s="54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BA202" s="22"/>
      <c r="BB202" s="22"/>
      <c r="BD202" s="9"/>
      <c r="CS202" s="11">
        <f t="shared" si="16"/>
        <v>0</v>
      </c>
      <c r="CT202" s="22">
        <f t="shared" si="17"/>
        <v>0</v>
      </c>
      <c r="CU202" s="22">
        <f t="shared" si="18"/>
        <v>0</v>
      </c>
      <c r="CV202" s="26">
        <f t="shared" si="19"/>
        <v>778</v>
      </c>
    </row>
    <row r="203" spans="1:103" x14ac:dyDescent="0.2">
      <c r="A203" s="9" t="s">
        <v>3381</v>
      </c>
      <c r="B203" s="2">
        <v>149</v>
      </c>
      <c r="C203" s="3" t="s">
        <v>95</v>
      </c>
      <c r="D203" s="3" t="s">
        <v>96</v>
      </c>
      <c r="E203" s="2"/>
      <c r="F203" s="2"/>
      <c r="G203" s="2" t="s">
        <v>85</v>
      </c>
      <c r="H203" s="2">
        <v>5</v>
      </c>
      <c r="I203" s="20">
        <v>134.61000000000001</v>
      </c>
      <c r="J203" s="20">
        <v>41900</v>
      </c>
      <c r="K203" s="3">
        <v>0</v>
      </c>
      <c r="L203" s="3" t="s">
        <v>3</v>
      </c>
      <c r="M203" s="9" t="s">
        <v>0</v>
      </c>
      <c r="N203" s="9" t="s">
        <v>8</v>
      </c>
      <c r="O203" s="9" t="s">
        <v>3292</v>
      </c>
      <c r="S203" s="9" t="s">
        <v>158</v>
      </c>
      <c r="T203" s="10" t="s">
        <v>85</v>
      </c>
      <c r="U203" s="10">
        <v>5</v>
      </c>
      <c r="V203" s="10">
        <v>134.56</v>
      </c>
      <c r="W203" s="10" t="s">
        <v>710</v>
      </c>
      <c r="X203" s="17">
        <v>44794</v>
      </c>
      <c r="Y203" s="17">
        <v>45161</v>
      </c>
      <c r="Z203" s="19" t="s">
        <v>772</v>
      </c>
      <c r="AA203" s="207">
        <v>35952</v>
      </c>
      <c r="AB203" s="9">
        <v>40</v>
      </c>
      <c r="AC203" s="9">
        <v>34</v>
      </c>
      <c r="AD203" s="17">
        <v>45930</v>
      </c>
      <c r="AE203" s="54">
        <v>778</v>
      </c>
      <c r="AF203" s="54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BA203" s="22"/>
      <c r="BB203" s="22"/>
      <c r="BD203" s="9"/>
      <c r="CS203" s="11">
        <f t="shared" si="16"/>
        <v>0</v>
      </c>
      <c r="CT203" s="22">
        <f t="shared" si="17"/>
        <v>0</v>
      </c>
      <c r="CU203" s="22">
        <f t="shared" si="18"/>
        <v>0</v>
      </c>
      <c r="CV203" s="26">
        <f t="shared" si="19"/>
        <v>778</v>
      </c>
    </row>
    <row r="204" spans="1:103" x14ac:dyDescent="0.2">
      <c r="A204" s="9" t="s">
        <v>3381</v>
      </c>
      <c r="B204" s="2">
        <v>149</v>
      </c>
      <c r="C204" s="3" t="s">
        <v>95</v>
      </c>
      <c r="D204" s="3" t="s">
        <v>96</v>
      </c>
      <c r="E204" s="2"/>
      <c r="F204" s="2"/>
      <c r="G204" s="2" t="s">
        <v>85</v>
      </c>
      <c r="H204" s="2">
        <v>5</v>
      </c>
      <c r="I204" s="20">
        <v>134.61000000000001</v>
      </c>
      <c r="J204" s="20">
        <v>41900</v>
      </c>
      <c r="K204" s="3">
        <v>0</v>
      </c>
      <c r="L204" s="3" t="s">
        <v>3</v>
      </c>
      <c r="M204" s="9" t="s">
        <v>0</v>
      </c>
      <c r="N204" s="9" t="s">
        <v>8</v>
      </c>
      <c r="O204" s="9" t="s">
        <v>3292</v>
      </c>
      <c r="S204" s="9" t="s">
        <v>158</v>
      </c>
      <c r="T204" s="10" t="s">
        <v>85</v>
      </c>
      <c r="U204" s="10">
        <v>5</v>
      </c>
      <c r="V204" s="10">
        <v>134.56</v>
      </c>
      <c r="W204" s="10" t="s">
        <v>710</v>
      </c>
      <c r="X204" s="17">
        <v>44794</v>
      </c>
      <c r="Y204" s="17">
        <v>45161</v>
      </c>
      <c r="Z204" s="19" t="s">
        <v>772</v>
      </c>
      <c r="AA204" s="207">
        <v>35952</v>
      </c>
      <c r="AB204" s="9">
        <v>40</v>
      </c>
      <c r="AC204" s="9">
        <v>35</v>
      </c>
      <c r="AD204" s="17">
        <v>45960</v>
      </c>
      <c r="AE204" s="54">
        <v>778</v>
      </c>
      <c r="AF204" s="54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BA204" s="22"/>
      <c r="BB204" s="22"/>
      <c r="BD204" s="9"/>
      <c r="CS204" s="11">
        <f t="shared" si="16"/>
        <v>0</v>
      </c>
      <c r="CT204" s="22">
        <f t="shared" si="17"/>
        <v>0</v>
      </c>
      <c r="CU204" s="22">
        <f t="shared" si="18"/>
        <v>0</v>
      </c>
      <c r="CV204" s="26">
        <f t="shared" si="19"/>
        <v>778</v>
      </c>
    </row>
    <row r="205" spans="1:103" x14ac:dyDescent="0.2">
      <c r="A205" s="9" t="s">
        <v>3381</v>
      </c>
      <c r="B205" s="2">
        <v>149</v>
      </c>
      <c r="C205" s="3" t="s">
        <v>95</v>
      </c>
      <c r="D205" s="3" t="s">
        <v>96</v>
      </c>
      <c r="E205" s="2"/>
      <c r="F205" s="2"/>
      <c r="G205" s="2" t="s">
        <v>85</v>
      </c>
      <c r="H205" s="2">
        <v>5</v>
      </c>
      <c r="I205" s="20">
        <v>134.61000000000001</v>
      </c>
      <c r="J205" s="20">
        <v>41900</v>
      </c>
      <c r="K205" s="3">
        <v>0</v>
      </c>
      <c r="L205" s="3" t="s">
        <v>3</v>
      </c>
      <c r="M205" s="9" t="s">
        <v>0</v>
      </c>
      <c r="N205" s="9" t="s">
        <v>8</v>
      </c>
      <c r="O205" s="9" t="s">
        <v>3292</v>
      </c>
      <c r="S205" s="9" t="s">
        <v>158</v>
      </c>
      <c r="T205" s="10" t="s">
        <v>85</v>
      </c>
      <c r="U205" s="10">
        <v>5</v>
      </c>
      <c r="V205" s="10">
        <v>134.56</v>
      </c>
      <c r="W205" s="10" t="s">
        <v>710</v>
      </c>
      <c r="X205" s="17">
        <v>44794</v>
      </c>
      <c r="Y205" s="17">
        <v>45161</v>
      </c>
      <c r="Z205" s="19" t="s">
        <v>772</v>
      </c>
      <c r="AA205" s="207">
        <v>35952</v>
      </c>
      <c r="AB205" s="9">
        <v>40</v>
      </c>
      <c r="AC205" s="9">
        <v>36</v>
      </c>
      <c r="AD205" s="17">
        <v>45991</v>
      </c>
      <c r="AE205" s="54">
        <v>778</v>
      </c>
      <c r="AF205" s="54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BA205" s="22"/>
      <c r="BB205" s="22"/>
      <c r="BD205" s="9"/>
      <c r="CS205" s="11">
        <f t="shared" si="16"/>
        <v>0</v>
      </c>
      <c r="CT205" s="22">
        <f t="shared" si="17"/>
        <v>0</v>
      </c>
      <c r="CU205" s="22">
        <f t="shared" si="18"/>
        <v>0</v>
      </c>
      <c r="CV205" s="26">
        <f t="shared" si="19"/>
        <v>778</v>
      </c>
    </row>
    <row r="206" spans="1:103" x14ac:dyDescent="0.2">
      <c r="A206" s="9" t="s">
        <v>3381</v>
      </c>
      <c r="B206" s="2">
        <v>149</v>
      </c>
      <c r="C206" s="3" t="s">
        <v>95</v>
      </c>
      <c r="D206" s="3" t="s">
        <v>96</v>
      </c>
      <c r="E206" s="2"/>
      <c r="F206" s="2"/>
      <c r="G206" s="2" t="s">
        <v>85</v>
      </c>
      <c r="H206" s="2">
        <v>5</v>
      </c>
      <c r="I206" s="20">
        <v>134.61000000000001</v>
      </c>
      <c r="J206" s="20">
        <v>41900</v>
      </c>
      <c r="K206" s="3">
        <v>0</v>
      </c>
      <c r="L206" s="3" t="s">
        <v>3</v>
      </c>
      <c r="M206" s="9" t="s">
        <v>0</v>
      </c>
      <c r="N206" s="9" t="s">
        <v>8</v>
      </c>
      <c r="O206" s="9" t="s">
        <v>3292</v>
      </c>
      <c r="S206" s="9" t="s">
        <v>158</v>
      </c>
      <c r="T206" s="10" t="s">
        <v>85</v>
      </c>
      <c r="U206" s="10">
        <v>5</v>
      </c>
      <c r="V206" s="10">
        <v>134.56</v>
      </c>
      <c r="W206" s="10" t="s">
        <v>710</v>
      </c>
      <c r="X206" s="17">
        <v>44794</v>
      </c>
      <c r="Y206" s="17">
        <v>45161</v>
      </c>
      <c r="Z206" s="19" t="s">
        <v>772</v>
      </c>
      <c r="AA206" s="207">
        <v>35952</v>
      </c>
      <c r="AB206" s="9">
        <v>40</v>
      </c>
      <c r="AC206" s="9">
        <v>37</v>
      </c>
      <c r="AD206" s="17">
        <v>46021</v>
      </c>
      <c r="AE206" s="54">
        <v>778</v>
      </c>
      <c r="AF206" s="54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BA206" s="22"/>
      <c r="BB206" s="22"/>
      <c r="BD206" s="9"/>
      <c r="CS206" s="11">
        <f t="shared" si="16"/>
        <v>0</v>
      </c>
      <c r="CT206" s="22">
        <f t="shared" si="17"/>
        <v>0</v>
      </c>
      <c r="CU206" s="22">
        <f t="shared" si="18"/>
        <v>0</v>
      </c>
      <c r="CV206" s="26">
        <f t="shared" si="19"/>
        <v>778</v>
      </c>
    </row>
    <row r="207" spans="1:103" x14ac:dyDescent="0.2">
      <c r="A207" s="9" t="s">
        <v>3381</v>
      </c>
      <c r="B207" s="2">
        <v>149</v>
      </c>
      <c r="C207" s="3" t="s">
        <v>95</v>
      </c>
      <c r="D207" s="3" t="s">
        <v>96</v>
      </c>
      <c r="E207" s="2"/>
      <c r="F207" s="2"/>
      <c r="G207" s="2" t="s">
        <v>85</v>
      </c>
      <c r="H207" s="2">
        <v>5</v>
      </c>
      <c r="I207" s="20">
        <v>134.61000000000001</v>
      </c>
      <c r="J207" s="20">
        <v>41900</v>
      </c>
      <c r="K207" s="3">
        <v>0</v>
      </c>
      <c r="L207" s="3" t="s">
        <v>3</v>
      </c>
      <c r="M207" s="9" t="s">
        <v>0</v>
      </c>
      <c r="N207" s="9" t="s">
        <v>8</v>
      </c>
      <c r="O207" s="9" t="s">
        <v>3292</v>
      </c>
      <c r="S207" s="9" t="s">
        <v>158</v>
      </c>
      <c r="T207" s="10" t="s">
        <v>85</v>
      </c>
      <c r="U207" s="10">
        <v>5</v>
      </c>
      <c r="V207" s="10">
        <v>134.56</v>
      </c>
      <c r="W207" s="10" t="s">
        <v>710</v>
      </c>
      <c r="X207" s="17">
        <v>44794</v>
      </c>
      <c r="Y207" s="17">
        <v>45161</v>
      </c>
      <c r="Z207" s="19" t="s">
        <v>772</v>
      </c>
      <c r="AA207" s="207">
        <v>35952</v>
      </c>
      <c r="AB207" s="9">
        <v>40</v>
      </c>
      <c r="AC207" s="9">
        <v>38</v>
      </c>
      <c r="AD207" s="17">
        <v>46052</v>
      </c>
      <c r="AE207" s="54">
        <v>778</v>
      </c>
      <c r="AF207" s="54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BA207" s="22"/>
      <c r="BB207" s="22"/>
      <c r="BD207" s="9"/>
      <c r="CS207" s="11">
        <f t="shared" si="16"/>
        <v>0</v>
      </c>
      <c r="CT207" s="22">
        <f t="shared" si="17"/>
        <v>0</v>
      </c>
      <c r="CU207" s="22">
        <f t="shared" si="18"/>
        <v>0</v>
      </c>
      <c r="CV207" s="26">
        <f t="shared" si="19"/>
        <v>778</v>
      </c>
    </row>
    <row r="208" spans="1:103" x14ac:dyDescent="0.2">
      <c r="A208" s="9" t="s">
        <v>3381</v>
      </c>
      <c r="B208" s="2">
        <v>149</v>
      </c>
      <c r="C208" s="3" t="s">
        <v>95</v>
      </c>
      <c r="D208" s="3" t="s">
        <v>96</v>
      </c>
      <c r="E208" s="2"/>
      <c r="F208" s="2"/>
      <c r="G208" s="2" t="s">
        <v>85</v>
      </c>
      <c r="H208" s="2">
        <v>5</v>
      </c>
      <c r="I208" s="20">
        <v>134.61000000000001</v>
      </c>
      <c r="J208" s="20">
        <v>41900</v>
      </c>
      <c r="K208" s="3">
        <v>0</v>
      </c>
      <c r="L208" s="3" t="s">
        <v>3</v>
      </c>
      <c r="M208" s="9" t="s">
        <v>0</v>
      </c>
      <c r="N208" s="9" t="s">
        <v>8</v>
      </c>
      <c r="O208" s="9" t="s">
        <v>3292</v>
      </c>
      <c r="S208" s="9" t="s">
        <v>158</v>
      </c>
      <c r="T208" s="10" t="s">
        <v>85</v>
      </c>
      <c r="U208" s="10">
        <v>5</v>
      </c>
      <c r="V208" s="10">
        <v>134.56</v>
      </c>
      <c r="W208" s="10" t="s">
        <v>710</v>
      </c>
      <c r="X208" s="17">
        <v>44794</v>
      </c>
      <c r="Y208" s="17">
        <v>45161</v>
      </c>
      <c r="Z208" s="19" t="s">
        <v>772</v>
      </c>
      <c r="AA208" s="207">
        <v>35952</v>
      </c>
      <c r="AB208" s="9">
        <v>40</v>
      </c>
      <c r="AC208" s="9">
        <v>39</v>
      </c>
      <c r="AD208" s="17">
        <v>46081</v>
      </c>
      <c r="AE208" s="54">
        <v>778</v>
      </c>
      <c r="AF208" s="54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BA208" s="22"/>
      <c r="BB208" s="22"/>
      <c r="BD208" s="9"/>
      <c r="CS208" s="11">
        <f t="shared" si="16"/>
        <v>0</v>
      </c>
      <c r="CT208" s="22">
        <f t="shared" si="17"/>
        <v>0</v>
      </c>
      <c r="CU208" s="22">
        <f t="shared" si="18"/>
        <v>0</v>
      </c>
      <c r="CV208" s="26">
        <f t="shared" si="19"/>
        <v>778</v>
      </c>
    </row>
    <row r="209" spans="1:100" x14ac:dyDescent="0.2">
      <c r="A209" s="9" t="s">
        <v>3381</v>
      </c>
      <c r="B209" s="2">
        <v>149</v>
      </c>
      <c r="C209" s="3" t="s">
        <v>95</v>
      </c>
      <c r="D209" s="3" t="s">
        <v>96</v>
      </c>
      <c r="E209" s="2"/>
      <c r="F209" s="2"/>
      <c r="G209" s="2" t="s">
        <v>85</v>
      </c>
      <c r="H209" s="2">
        <v>5</v>
      </c>
      <c r="I209" s="20">
        <v>134.61000000000001</v>
      </c>
      <c r="J209" s="20">
        <v>41900</v>
      </c>
      <c r="K209" s="3">
        <v>0</v>
      </c>
      <c r="L209" s="3" t="s">
        <v>3</v>
      </c>
      <c r="M209" s="9" t="s">
        <v>0</v>
      </c>
      <c r="N209" s="9" t="s">
        <v>8</v>
      </c>
      <c r="O209" s="9" t="s">
        <v>3292</v>
      </c>
      <c r="S209" s="9" t="s">
        <v>158</v>
      </c>
      <c r="T209" s="10" t="s">
        <v>85</v>
      </c>
      <c r="U209" s="10">
        <v>5</v>
      </c>
      <c r="V209" s="10">
        <v>134.56</v>
      </c>
      <c r="W209" s="10" t="s">
        <v>710</v>
      </c>
      <c r="X209" s="17">
        <v>44794</v>
      </c>
      <c r="Y209" s="17">
        <v>45161</v>
      </c>
      <c r="Z209" s="19" t="s">
        <v>772</v>
      </c>
      <c r="AA209" s="207">
        <v>35952</v>
      </c>
      <c r="AB209" s="9">
        <v>40</v>
      </c>
      <c r="AC209" s="9">
        <v>40</v>
      </c>
      <c r="AD209" s="17">
        <v>46111</v>
      </c>
      <c r="AE209" s="54">
        <v>770.97</v>
      </c>
      <c r="AF209" s="54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BA209" s="22"/>
      <c r="BB209" s="22"/>
      <c r="BD209" s="9"/>
      <c r="CS209" s="11">
        <f t="shared" si="16"/>
        <v>0</v>
      </c>
      <c r="CT209" s="22">
        <f t="shared" si="17"/>
        <v>0</v>
      </c>
      <c r="CU209" s="22">
        <f t="shared" si="18"/>
        <v>0</v>
      </c>
      <c r="CV209" s="26">
        <f t="shared" si="19"/>
        <v>770.97</v>
      </c>
    </row>
    <row r="210" spans="1:100" x14ac:dyDescent="0.2">
      <c r="A210" s="9" t="s">
        <v>3381</v>
      </c>
      <c r="B210" s="2">
        <v>149</v>
      </c>
      <c r="C210" s="3" t="s">
        <v>95</v>
      </c>
      <c r="D210" s="3" t="s">
        <v>96</v>
      </c>
      <c r="E210" s="2"/>
      <c r="F210" s="2"/>
      <c r="G210" s="2" t="s">
        <v>85</v>
      </c>
      <c r="H210" s="2">
        <v>5</v>
      </c>
      <c r="I210" s="20">
        <v>134.61000000000001</v>
      </c>
      <c r="J210" s="20">
        <v>41900</v>
      </c>
      <c r="K210" s="3">
        <v>0</v>
      </c>
      <c r="L210" s="3" t="s">
        <v>3</v>
      </c>
      <c r="M210" s="9" t="s">
        <v>0</v>
      </c>
      <c r="N210" s="9" t="s">
        <v>8</v>
      </c>
      <c r="O210" s="9" t="s">
        <v>3292</v>
      </c>
      <c r="S210" s="9" t="s">
        <v>3368</v>
      </c>
      <c r="V210" s="10">
        <v>12.5</v>
      </c>
      <c r="W210" s="10" t="s">
        <v>710</v>
      </c>
      <c r="X210" s="17">
        <v>45410</v>
      </c>
      <c r="Z210" s="19" t="s">
        <v>772</v>
      </c>
      <c r="AA210" s="207">
        <v>5500</v>
      </c>
      <c r="AB210" s="9">
        <v>12</v>
      </c>
      <c r="AC210" s="9">
        <v>0</v>
      </c>
      <c r="AD210" s="17">
        <v>44931</v>
      </c>
      <c r="AE210" s="54">
        <v>500</v>
      </c>
      <c r="AF210" s="54"/>
      <c r="AG210" s="9" t="s">
        <v>134</v>
      </c>
      <c r="AH210" s="17">
        <v>44931</v>
      </c>
      <c r="AI210" s="9">
        <v>10228642</v>
      </c>
      <c r="AJ210" s="9" t="s">
        <v>3295</v>
      </c>
      <c r="AK210" s="9" t="s">
        <v>3369</v>
      </c>
      <c r="AL210" s="22">
        <v>500</v>
      </c>
      <c r="AM210" s="22"/>
      <c r="AN210" s="22" t="s">
        <v>3299</v>
      </c>
      <c r="AO210" s="22"/>
      <c r="AP210" s="22"/>
      <c r="AQ210" s="22"/>
      <c r="AR210" s="22"/>
      <c r="AS210" s="22"/>
      <c r="AT210" s="22"/>
      <c r="AU210" s="22"/>
      <c r="AV210" s="22"/>
      <c r="AW210" s="18">
        <v>44932</v>
      </c>
      <c r="AX210" s="9">
        <v>1138</v>
      </c>
      <c r="BA210" s="22">
        <v>500</v>
      </c>
      <c r="BB210" s="22"/>
      <c r="BD210" s="9"/>
      <c r="CS210" s="11">
        <f t="shared" si="16"/>
        <v>500</v>
      </c>
      <c r="CT210" s="22">
        <f t="shared" si="17"/>
        <v>500</v>
      </c>
      <c r="CU210" s="22">
        <f t="shared" si="18"/>
        <v>0</v>
      </c>
      <c r="CV210" s="26">
        <f t="shared" si="19"/>
        <v>0</v>
      </c>
    </row>
    <row r="211" spans="1:100" x14ac:dyDescent="0.2">
      <c r="A211" s="9" t="s">
        <v>3381</v>
      </c>
      <c r="B211" s="2">
        <v>149</v>
      </c>
      <c r="C211" s="3" t="s">
        <v>95</v>
      </c>
      <c r="D211" s="3" t="s">
        <v>96</v>
      </c>
      <c r="E211" s="2"/>
      <c r="F211" s="2"/>
      <c r="G211" s="2" t="s">
        <v>85</v>
      </c>
      <c r="H211" s="2">
        <v>5</v>
      </c>
      <c r="I211" s="20">
        <v>134.61000000000001</v>
      </c>
      <c r="J211" s="20">
        <v>41900</v>
      </c>
      <c r="K211" s="3">
        <v>0</v>
      </c>
      <c r="L211" s="3" t="s">
        <v>3</v>
      </c>
      <c r="M211" s="9" t="s">
        <v>0</v>
      </c>
      <c r="N211" s="9" t="s">
        <v>8</v>
      </c>
      <c r="O211" s="9" t="s">
        <v>3292</v>
      </c>
      <c r="S211" s="9" t="s">
        <v>3368</v>
      </c>
      <c r="V211" s="10">
        <v>12.5</v>
      </c>
      <c r="W211" s="10" t="s">
        <v>710</v>
      </c>
      <c r="X211" s="17">
        <v>45410</v>
      </c>
      <c r="Z211" s="19" t="s">
        <v>772</v>
      </c>
      <c r="AA211" s="207">
        <v>5500</v>
      </c>
      <c r="AB211" s="9">
        <v>12</v>
      </c>
      <c r="AC211" s="9">
        <v>1</v>
      </c>
      <c r="AD211" s="17">
        <v>44985</v>
      </c>
      <c r="AE211" s="54">
        <v>416.7</v>
      </c>
      <c r="AF211" s="54"/>
      <c r="AG211" s="9" t="s">
        <v>134</v>
      </c>
      <c r="AH211" s="17">
        <v>44993</v>
      </c>
      <c r="AI211" s="9">
        <v>10228642</v>
      </c>
      <c r="AJ211" s="9" t="s">
        <v>3295</v>
      </c>
      <c r="AK211" s="9" t="s">
        <v>3370</v>
      </c>
      <c r="AL211" s="22">
        <v>416.7</v>
      </c>
      <c r="AM211" s="22"/>
      <c r="AN211" s="22" t="s">
        <v>3302</v>
      </c>
      <c r="AO211" s="22"/>
      <c r="AP211" s="22"/>
      <c r="AQ211" s="22"/>
      <c r="AR211" s="22"/>
      <c r="AS211" s="22"/>
      <c r="AT211" s="22"/>
      <c r="AU211" s="22"/>
      <c r="AV211" s="22"/>
      <c r="AW211" s="18">
        <v>44989</v>
      </c>
      <c r="AX211" s="10" t="s">
        <v>3382</v>
      </c>
      <c r="AY211" s="22">
        <f>+BA211*AZ211</f>
        <v>1575.126</v>
      </c>
      <c r="AZ211" s="9">
        <v>3.78</v>
      </c>
      <c r="BA211" s="22">
        <v>416.7</v>
      </c>
      <c r="BB211" s="22"/>
      <c r="BD211" s="9"/>
      <c r="CS211" s="11">
        <f t="shared" si="16"/>
        <v>416.7</v>
      </c>
      <c r="CT211" s="22">
        <f t="shared" si="17"/>
        <v>416.7</v>
      </c>
      <c r="CU211" s="22">
        <f t="shared" si="18"/>
        <v>0</v>
      </c>
      <c r="CV211" s="26">
        <f t="shared" si="19"/>
        <v>0</v>
      </c>
    </row>
    <row r="212" spans="1:100" x14ac:dyDescent="0.2">
      <c r="A212" s="9" t="s">
        <v>3381</v>
      </c>
      <c r="B212" s="2">
        <v>149</v>
      </c>
      <c r="C212" s="3" t="s">
        <v>95</v>
      </c>
      <c r="D212" s="3" t="s">
        <v>96</v>
      </c>
      <c r="E212" s="2"/>
      <c r="F212" s="2"/>
      <c r="G212" s="2" t="s">
        <v>85</v>
      </c>
      <c r="H212" s="2">
        <v>5</v>
      </c>
      <c r="I212" s="20">
        <v>134.61000000000001</v>
      </c>
      <c r="J212" s="20">
        <v>41900</v>
      </c>
      <c r="K212" s="3">
        <v>0</v>
      </c>
      <c r="L212" s="3" t="s">
        <v>3</v>
      </c>
      <c r="M212" s="9" t="s">
        <v>0</v>
      </c>
      <c r="N212" s="9" t="s">
        <v>8</v>
      </c>
      <c r="O212" s="9" t="s">
        <v>3292</v>
      </c>
      <c r="S212" s="9" t="s">
        <v>3368</v>
      </c>
      <c r="V212" s="10">
        <v>12.5</v>
      </c>
      <c r="W212" s="10" t="s">
        <v>710</v>
      </c>
      <c r="X212" s="17">
        <v>45410</v>
      </c>
      <c r="Z212" s="19" t="s">
        <v>772</v>
      </c>
      <c r="AA212" s="207">
        <v>5500</v>
      </c>
      <c r="AB212" s="9">
        <v>12</v>
      </c>
      <c r="AC212" s="9">
        <v>2</v>
      </c>
      <c r="AD212" s="17">
        <v>45015</v>
      </c>
      <c r="AE212" s="54">
        <v>416.7</v>
      </c>
      <c r="AF212" s="54"/>
      <c r="AG212" s="9" t="s">
        <v>134</v>
      </c>
      <c r="AH212" s="17">
        <v>45050</v>
      </c>
      <c r="AI212" s="9">
        <v>10228642</v>
      </c>
      <c r="AJ212" s="9" t="s">
        <v>3295</v>
      </c>
      <c r="AK212" s="9" t="s">
        <v>3371</v>
      </c>
      <c r="AL212" s="22">
        <v>416.7</v>
      </c>
      <c r="AM212" s="22"/>
      <c r="AN212" s="22" t="s">
        <v>3303</v>
      </c>
      <c r="AO212" s="22"/>
      <c r="AP212" s="22"/>
      <c r="AQ212" s="22"/>
      <c r="AR212" s="22"/>
      <c r="AS212" s="22"/>
      <c r="AT212" s="22"/>
      <c r="AU212" s="22"/>
      <c r="AV212" s="22"/>
      <c r="AW212" s="18">
        <v>45048</v>
      </c>
      <c r="AX212" s="9">
        <v>1453</v>
      </c>
      <c r="AY212" s="22"/>
      <c r="BA212" s="22">
        <v>416.7</v>
      </c>
      <c r="BB212" s="22"/>
      <c r="BD212" s="9"/>
      <c r="CS212" s="11">
        <f t="shared" si="16"/>
        <v>416.7</v>
      </c>
      <c r="CT212" s="22">
        <f t="shared" si="17"/>
        <v>416.7</v>
      </c>
      <c r="CU212" s="22">
        <f t="shared" si="18"/>
        <v>0</v>
      </c>
      <c r="CV212" s="26">
        <f t="shared" si="19"/>
        <v>0</v>
      </c>
    </row>
    <row r="213" spans="1:100" x14ac:dyDescent="0.2">
      <c r="A213" s="9" t="s">
        <v>3381</v>
      </c>
      <c r="B213" s="2">
        <v>149</v>
      </c>
      <c r="C213" s="3" t="s">
        <v>95</v>
      </c>
      <c r="D213" s="3" t="s">
        <v>96</v>
      </c>
      <c r="E213" s="2"/>
      <c r="F213" s="2"/>
      <c r="G213" s="2" t="s">
        <v>85</v>
      </c>
      <c r="H213" s="2">
        <v>5</v>
      </c>
      <c r="I213" s="20">
        <v>134.61000000000001</v>
      </c>
      <c r="J213" s="20">
        <v>41900</v>
      </c>
      <c r="K213" s="3">
        <v>0</v>
      </c>
      <c r="L213" s="3" t="s">
        <v>3</v>
      </c>
      <c r="M213" s="9" t="s">
        <v>0</v>
      </c>
      <c r="N213" s="9" t="s">
        <v>8</v>
      </c>
      <c r="O213" s="9" t="s">
        <v>3292</v>
      </c>
      <c r="S213" s="9" t="s">
        <v>3368</v>
      </c>
      <c r="V213" s="10">
        <v>12.5</v>
      </c>
      <c r="W213" s="10" t="s">
        <v>710</v>
      </c>
      <c r="X213" s="17">
        <v>45410</v>
      </c>
      <c r="Z213" s="19" t="s">
        <v>772</v>
      </c>
      <c r="AA213" s="207">
        <v>5500</v>
      </c>
      <c r="AB213" s="9">
        <v>12</v>
      </c>
      <c r="AC213" s="9">
        <v>3</v>
      </c>
      <c r="AD213" s="17">
        <v>45046</v>
      </c>
      <c r="AE213" s="54">
        <v>416.7</v>
      </c>
      <c r="AF213" s="54"/>
      <c r="AG213" s="9" t="s">
        <v>134</v>
      </c>
      <c r="AH213" s="17">
        <v>45161</v>
      </c>
      <c r="AI213" s="9">
        <v>10228642</v>
      </c>
      <c r="AJ213" s="9" t="s">
        <v>3295</v>
      </c>
      <c r="AK213" s="9" t="s">
        <v>3372</v>
      </c>
      <c r="AL213" s="22">
        <v>416.88</v>
      </c>
      <c r="AM213" s="22"/>
      <c r="AN213" s="22" t="s">
        <v>3309</v>
      </c>
      <c r="AO213" s="22"/>
      <c r="AP213" s="22"/>
      <c r="AQ213" s="22"/>
      <c r="AR213" s="22"/>
      <c r="AS213" s="22"/>
      <c r="AT213" s="22"/>
      <c r="AU213" s="22"/>
      <c r="AV213" s="22"/>
      <c r="AW213" s="18">
        <v>45134</v>
      </c>
      <c r="AX213" s="9">
        <v>1746</v>
      </c>
      <c r="BA213" s="22">
        <v>110.88</v>
      </c>
      <c r="BB213" s="22"/>
      <c r="BC213" s="17">
        <v>45161</v>
      </c>
      <c r="BD213" s="9">
        <v>1845</v>
      </c>
      <c r="BG213" s="9">
        <v>306</v>
      </c>
      <c r="CS213" s="11">
        <f t="shared" si="16"/>
        <v>416.88</v>
      </c>
      <c r="CT213" s="22">
        <f t="shared" si="17"/>
        <v>416.88</v>
      </c>
      <c r="CU213" s="22">
        <f t="shared" si="18"/>
        <v>0</v>
      </c>
      <c r="CV213" s="26">
        <f t="shared" si="19"/>
        <v>-0.18000000000000682</v>
      </c>
    </row>
    <row r="214" spans="1:100" x14ac:dyDescent="0.2">
      <c r="A214" s="9" t="s">
        <v>3381</v>
      </c>
      <c r="B214" s="2">
        <v>149</v>
      </c>
      <c r="C214" s="3" t="s">
        <v>95</v>
      </c>
      <c r="D214" s="3" t="s">
        <v>96</v>
      </c>
      <c r="E214" s="2"/>
      <c r="F214" s="2"/>
      <c r="G214" s="2" t="s">
        <v>85</v>
      </c>
      <c r="H214" s="2">
        <v>5</v>
      </c>
      <c r="I214" s="20">
        <v>134.61000000000001</v>
      </c>
      <c r="J214" s="20">
        <v>41900</v>
      </c>
      <c r="K214" s="3">
        <v>0</v>
      </c>
      <c r="L214" s="3" t="s">
        <v>3</v>
      </c>
      <c r="M214" s="9" t="s">
        <v>0</v>
      </c>
      <c r="N214" s="9" t="s">
        <v>8</v>
      </c>
      <c r="O214" s="9" t="s">
        <v>3292</v>
      </c>
      <c r="S214" s="9" t="s">
        <v>3368</v>
      </c>
      <c r="V214" s="10">
        <v>12.5</v>
      </c>
      <c r="W214" s="10" t="s">
        <v>710</v>
      </c>
      <c r="X214" s="17">
        <v>45410</v>
      </c>
      <c r="Z214" s="19" t="s">
        <v>772</v>
      </c>
      <c r="AA214" s="207">
        <v>5500</v>
      </c>
      <c r="AB214" s="9">
        <v>12</v>
      </c>
      <c r="AC214" s="9">
        <v>4</v>
      </c>
      <c r="AD214" s="17">
        <v>45076</v>
      </c>
      <c r="AE214" s="54">
        <v>416.7</v>
      </c>
      <c r="AF214" s="54"/>
      <c r="AG214" s="9" t="s">
        <v>134</v>
      </c>
      <c r="AH214" s="17">
        <v>45209</v>
      </c>
      <c r="AI214" s="9">
        <v>10228642</v>
      </c>
      <c r="AJ214" s="9" t="s">
        <v>3295</v>
      </c>
      <c r="AK214" s="9" t="s">
        <v>3373</v>
      </c>
      <c r="AL214" s="22">
        <v>416.88</v>
      </c>
      <c r="AM214" s="22"/>
      <c r="AN214" s="22" t="s">
        <v>3312</v>
      </c>
      <c r="AO214" s="22"/>
      <c r="AP214" s="22"/>
      <c r="AQ214" s="22"/>
      <c r="AR214" s="22"/>
      <c r="AS214" s="22"/>
      <c r="AT214" s="22"/>
      <c r="AU214" s="22"/>
      <c r="AV214" s="22"/>
      <c r="AW214" s="18">
        <v>45205</v>
      </c>
      <c r="AX214" s="9">
        <v>1957</v>
      </c>
      <c r="BA214" s="22">
        <v>417</v>
      </c>
      <c r="BB214" s="22"/>
      <c r="BD214" s="9"/>
      <c r="CS214" s="11">
        <f t="shared" si="16"/>
        <v>416.88</v>
      </c>
      <c r="CT214" s="22">
        <f t="shared" si="17"/>
        <v>417</v>
      </c>
      <c r="CU214" s="22">
        <f t="shared" si="18"/>
        <v>-0.12000000000000455</v>
      </c>
      <c r="CV214" s="26">
        <f t="shared" si="19"/>
        <v>-0.18000000000000682</v>
      </c>
    </row>
    <row r="215" spans="1:100" x14ac:dyDescent="0.2">
      <c r="A215" s="9" t="s">
        <v>3381</v>
      </c>
      <c r="B215" s="2">
        <v>149</v>
      </c>
      <c r="C215" s="3" t="s">
        <v>95</v>
      </c>
      <c r="D215" s="3" t="s">
        <v>96</v>
      </c>
      <c r="E215" s="2"/>
      <c r="F215" s="2"/>
      <c r="G215" s="2" t="s">
        <v>85</v>
      </c>
      <c r="H215" s="2">
        <v>5</v>
      </c>
      <c r="I215" s="20">
        <v>134.61000000000001</v>
      </c>
      <c r="J215" s="20">
        <v>41900</v>
      </c>
      <c r="K215" s="3">
        <v>0</v>
      </c>
      <c r="L215" s="3" t="s">
        <v>3</v>
      </c>
      <c r="M215" s="9" t="s">
        <v>0</v>
      </c>
      <c r="N215" s="9" t="s">
        <v>8</v>
      </c>
      <c r="O215" s="9" t="s">
        <v>3292</v>
      </c>
      <c r="S215" s="9" t="s">
        <v>3368</v>
      </c>
      <c r="V215" s="10">
        <v>12.5</v>
      </c>
      <c r="W215" s="10" t="s">
        <v>710</v>
      </c>
      <c r="X215" s="17">
        <v>45410</v>
      </c>
      <c r="Z215" s="19" t="s">
        <v>772</v>
      </c>
      <c r="AA215" s="207">
        <v>5500</v>
      </c>
      <c r="AB215" s="9">
        <v>12</v>
      </c>
      <c r="AC215" s="9">
        <v>5</v>
      </c>
      <c r="AD215" s="17">
        <v>45107</v>
      </c>
      <c r="AE215" s="54">
        <v>416.7</v>
      </c>
      <c r="AF215" s="54"/>
      <c r="AG215" s="9" t="s">
        <v>134</v>
      </c>
      <c r="AH215" s="17">
        <v>45239</v>
      </c>
      <c r="AI215" s="9">
        <v>10228642</v>
      </c>
      <c r="AJ215" s="9" t="s">
        <v>3295</v>
      </c>
      <c r="AK215" s="9" t="s">
        <v>3374</v>
      </c>
      <c r="AL215" s="22">
        <v>417</v>
      </c>
      <c r="AM215" s="22"/>
      <c r="AN215" s="22" t="s">
        <v>3313</v>
      </c>
      <c r="AO215" s="22"/>
      <c r="AP215" s="22"/>
      <c r="AQ215" s="22"/>
      <c r="AR215" s="22"/>
      <c r="AS215" s="22"/>
      <c r="AT215" s="22"/>
      <c r="AU215" s="22"/>
      <c r="AV215" s="22"/>
      <c r="AW215" s="18">
        <v>45238</v>
      </c>
      <c r="AX215" s="9">
        <v>2036</v>
      </c>
      <c r="BA215" s="22">
        <v>417</v>
      </c>
      <c r="BB215" s="22"/>
      <c r="BD215" s="9"/>
      <c r="CS215" s="11">
        <f t="shared" si="16"/>
        <v>417</v>
      </c>
      <c r="CT215" s="22">
        <f t="shared" si="17"/>
        <v>417</v>
      </c>
      <c r="CU215" s="22">
        <f t="shared" si="18"/>
        <v>0</v>
      </c>
      <c r="CV215" s="26">
        <f t="shared" si="19"/>
        <v>-0.30000000000001137</v>
      </c>
    </row>
    <row r="216" spans="1:100" x14ac:dyDescent="0.2">
      <c r="A216" s="9" t="s">
        <v>3381</v>
      </c>
      <c r="B216" s="2">
        <v>149</v>
      </c>
      <c r="C216" s="3" t="s">
        <v>95</v>
      </c>
      <c r="D216" s="3" t="s">
        <v>96</v>
      </c>
      <c r="E216" s="2"/>
      <c r="F216" s="2"/>
      <c r="G216" s="2" t="s">
        <v>85</v>
      </c>
      <c r="H216" s="2">
        <v>5</v>
      </c>
      <c r="I216" s="20">
        <v>134.61000000000001</v>
      </c>
      <c r="J216" s="20">
        <v>41900</v>
      </c>
      <c r="K216" s="3">
        <v>0</v>
      </c>
      <c r="L216" s="3" t="s">
        <v>3</v>
      </c>
      <c r="M216" s="9" t="s">
        <v>0</v>
      </c>
      <c r="N216" s="9" t="s">
        <v>8</v>
      </c>
      <c r="O216" s="9" t="s">
        <v>3292</v>
      </c>
      <c r="S216" s="9" t="s">
        <v>3368</v>
      </c>
      <c r="V216" s="10">
        <v>12.5</v>
      </c>
      <c r="W216" s="10" t="s">
        <v>710</v>
      </c>
      <c r="X216" s="17">
        <v>45410</v>
      </c>
      <c r="Z216" s="19" t="s">
        <v>772</v>
      </c>
      <c r="AA216" s="207">
        <v>5500</v>
      </c>
      <c r="AB216" s="9">
        <v>12</v>
      </c>
      <c r="AC216" s="9">
        <v>6</v>
      </c>
      <c r="AD216" s="17">
        <v>45137</v>
      </c>
      <c r="AE216" s="54">
        <v>416.7</v>
      </c>
      <c r="AF216" s="54"/>
      <c r="AG216" s="9" t="s">
        <v>134</v>
      </c>
      <c r="AH216" s="17">
        <v>45282</v>
      </c>
      <c r="AI216" s="9">
        <v>10228642</v>
      </c>
      <c r="AJ216" s="9" t="s">
        <v>3295</v>
      </c>
      <c r="AK216" s="9" t="s">
        <v>3375</v>
      </c>
      <c r="AL216" s="22">
        <v>417</v>
      </c>
      <c r="AM216" s="22"/>
      <c r="AN216" s="22" t="s">
        <v>3316</v>
      </c>
      <c r="AO216" s="22"/>
      <c r="AP216" s="22"/>
      <c r="AQ216" s="22"/>
      <c r="AR216" s="22"/>
      <c r="AS216" s="22"/>
      <c r="AT216" s="22"/>
      <c r="AU216" s="22"/>
      <c r="AV216" s="22"/>
      <c r="AW216" s="18">
        <v>45282</v>
      </c>
      <c r="AX216" s="9">
        <v>2141</v>
      </c>
      <c r="BA216" s="22">
        <v>417</v>
      </c>
      <c r="BB216" s="22"/>
      <c r="BD216" s="9"/>
      <c r="CS216" s="11">
        <f t="shared" si="16"/>
        <v>417</v>
      </c>
      <c r="CT216" s="22">
        <f t="shared" si="17"/>
        <v>417</v>
      </c>
      <c r="CU216" s="22">
        <f t="shared" si="18"/>
        <v>0</v>
      </c>
      <c r="CV216" s="26">
        <f t="shared" si="19"/>
        <v>-0.30000000000001137</v>
      </c>
    </row>
    <row r="217" spans="1:100" x14ac:dyDescent="0.2">
      <c r="A217" s="9" t="s">
        <v>3381</v>
      </c>
      <c r="B217" s="2">
        <v>149</v>
      </c>
      <c r="C217" s="3" t="s">
        <v>95</v>
      </c>
      <c r="D217" s="3" t="s">
        <v>96</v>
      </c>
      <c r="E217" s="2"/>
      <c r="F217" s="2"/>
      <c r="G217" s="2" t="s">
        <v>85</v>
      </c>
      <c r="H217" s="2">
        <v>5</v>
      </c>
      <c r="I217" s="20">
        <v>134.61000000000001</v>
      </c>
      <c r="J217" s="20">
        <v>41900</v>
      </c>
      <c r="K217" s="3">
        <v>0</v>
      </c>
      <c r="L217" s="3" t="s">
        <v>3</v>
      </c>
      <c r="M217" s="9" t="s">
        <v>0</v>
      </c>
      <c r="N217" s="9" t="s">
        <v>8</v>
      </c>
      <c r="O217" s="9" t="s">
        <v>3292</v>
      </c>
      <c r="S217" s="9" t="s">
        <v>3368</v>
      </c>
      <c r="V217" s="10">
        <v>12.5</v>
      </c>
      <c r="W217" s="10" t="s">
        <v>710</v>
      </c>
      <c r="X217" s="17">
        <v>45410</v>
      </c>
      <c r="Z217" s="19" t="s">
        <v>772</v>
      </c>
      <c r="AA217" s="207">
        <v>5500</v>
      </c>
      <c r="AB217" s="9">
        <v>12</v>
      </c>
      <c r="AC217" s="9">
        <v>7</v>
      </c>
      <c r="AD217" s="17">
        <v>45168</v>
      </c>
      <c r="AE217" s="54">
        <v>416.7</v>
      </c>
      <c r="AF217" s="54"/>
      <c r="AG217" s="9" t="s">
        <v>134</v>
      </c>
      <c r="AH217" s="17">
        <v>45372</v>
      </c>
      <c r="AI217" s="9">
        <v>10228642</v>
      </c>
      <c r="AJ217" s="9" t="s">
        <v>3295</v>
      </c>
      <c r="AK217" s="9" t="s">
        <v>3376</v>
      </c>
      <c r="AL217" s="22">
        <v>417</v>
      </c>
      <c r="AM217" s="22"/>
      <c r="AN217" s="22" t="s">
        <v>3317</v>
      </c>
      <c r="AO217" s="22"/>
      <c r="AP217" s="22"/>
      <c r="AQ217" s="22"/>
      <c r="AR217" s="22"/>
      <c r="AS217" s="22"/>
      <c r="AT217" s="22"/>
      <c r="AU217" s="22"/>
      <c r="AV217" s="22"/>
      <c r="AW217" s="18">
        <v>45323</v>
      </c>
      <c r="AX217" s="9">
        <v>2261</v>
      </c>
      <c r="BA217" s="22">
        <v>217</v>
      </c>
      <c r="BB217" s="22"/>
      <c r="BC217" s="17">
        <v>45348</v>
      </c>
      <c r="BD217" s="9">
        <v>2344</v>
      </c>
      <c r="BG217" s="9">
        <v>200</v>
      </c>
      <c r="CS217" s="11">
        <f t="shared" si="16"/>
        <v>417</v>
      </c>
      <c r="CT217" s="22">
        <f t="shared" si="17"/>
        <v>417</v>
      </c>
      <c r="CU217" s="22">
        <f t="shared" si="18"/>
        <v>0</v>
      </c>
      <c r="CV217" s="26">
        <f t="shared" si="19"/>
        <v>-0.30000000000001137</v>
      </c>
    </row>
    <row r="218" spans="1:100" x14ac:dyDescent="0.2">
      <c r="A218" s="9" t="s">
        <v>3381</v>
      </c>
      <c r="B218" s="2">
        <v>149</v>
      </c>
      <c r="C218" s="3" t="s">
        <v>95</v>
      </c>
      <c r="D218" s="3" t="s">
        <v>96</v>
      </c>
      <c r="E218" s="2"/>
      <c r="F218" s="2"/>
      <c r="G218" s="2" t="s">
        <v>85</v>
      </c>
      <c r="H218" s="2">
        <v>5</v>
      </c>
      <c r="I218" s="20">
        <v>134.61000000000001</v>
      </c>
      <c r="J218" s="20">
        <v>41900</v>
      </c>
      <c r="K218" s="3">
        <v>0</v>
      </c>
      <c r="L218" s="3" t="s">
        <v>3</v>
      </c>
      <c r="M218" s="9" t="s">
        <v>0</v>
      </c>
      <c r="N218" s="9" t="s">
        <v>8</v>
      </c>
      <c r="O218" s="9" t="s">
        <v>3292</v>
      </c>
      <c r="S218" s="9" t="s">
        <v>3368</v>
      </c>
      <c r="V218" s="10">
        <v>12.5</v>
      </c>
      <c r="W218" s="10" t="s">
        <v>710</v>
      </c>
      <c r="X218" s="17">
        <v>45410</v>
      </c>
      <c r="Z218" s="19" t="s">
        <v>772</v>
      </c>
      <c r="AA218" s="207">
        <v>5500</v>
      </c>
      <c r="AB218" s="9">
        <v>12</v>
      </c>
      <c r="AC218" s="9">
        <v>8</v>
      </c>
      <c r="AD218" s="17">
        <v>45199</v>
      </c>
      <c r="AE218" s="54">
        <v>416.7</v>
      </c>
      <c r="AF218" s="54"/>
      <c r="AG218" s="9" t="s">
        <v>134</v>
      </c>
      <c r="AH218" s="17">
        <v>45372</v>
      </c>
      <c r="AI218" s="9">
        <v>10228642</v>
      </c>
      <c r="AJ218" s="9" t="s">
        <v>3295</v>
      </c>
      <c r="AK218" s="9" t="s">
        <v>3377</v>
      </c>
      <c r="AL218" s="22">
        <v>417</v>
      </c>
      <c r="AM218" s="22"/>
      <c r="AN218" s="22" t="s">
        <v>3318</v>
      </c>
      <c r="AO218" s="22"/>
      <c r="AP218" s="22"/>
      <c r="AQ218" s="22"/>
      <c r="AR218" s="22"/>
      <c r="AS218" s="22"/>
      <c r="AT218" s="22"/>
      <c r="AU218" s="22"/>
      <c r="AV218" s="22"/>
      <c r="AW218" s="18">
        <v>45348</v>
      </c>
      <c r="AX218" s="9">
        <v>2343</v>
      </c>
      <c r="BA218" s="22">
        <v>417</v>
      </c>
      <c r="BB218" s="22"/>
      <c r="BD218" s="9"/>
      <c r="CS218" s="11">
        <f t="shared" si="16"/>
        <v>417</v>
      </c>
      <c r="CT218" s="22">
        <f t="shared" si="17"/>
        <v>417</v>
      </c>
      <c r="CU218" s="22">
        <f t="shared" si="18"/>
        <v>0</v>
      </c>
      <c r="CV218" s="26">
        <f t="shared" si="19"/>
        <v>-0.30000000000001137</v>
      </c>
    </row>
    <row r="219" spans="1:100" x14ac:dyDescent="0.2">
      <c r="A219" s="9" t="s">
        <v>3381</v>
      </c>
      <c r="B219" s="2">
        <v>149</v>
      </c>
      <c r="C219" s="3" t="s">
        <v>95</v>
      </c>
      <c r="D219" s="3" t="s">
        <v>96</v>
      </c>
      <c r="E219" s="2"/>
      <c r="F219" s="2"/>
      <c r="G219" s="2" t="s">
        <v>85</v>
      </c>
      <c r="H219" s="2">
        <v>5</v>
      </c>
      <c r="I219" s="20">
        <v>134.61000000000001</v>
      </c>
      <c r="J219" s="20">
        <v>41900</v>
      </c>
      <c r="K219" s="3">
        <v>0</v>
      </c>
      <c r="L219" s="3" t="s">
        <v>3</v>
      </c>
      <c r="M219" s="9" t="s">
        <v>0</v>
      </c>
      <c r="N219" s="9" t="s">
        <v>8</v>
      </c>
      <c r="O219" s="9" t="s">
        <v>3292</v>
      </c>
      <c r="S219" s="9" t="s">
        <v>3368</v>
      </c>
      <c r="V219" s="10">
        <v>12.5</v>
      </c>
      <c r="W219" s="10" t="s">
        <v>710</v>
      </c>
      <c r="X219" s="17">
        <v>45410</v>
      </c>
      <c r="Z219" s="19" t="s">
        <v>772</v>
      </c>
      <c r="AA219" s="207">
        <v>5500</v>
      </c>
      <c r="AB219" s="9">
        <v>12</v>
      </c>
      <c r="AC219" s="9">
        <v>9</v>
      </c>
      <c r="AD219" s="17">
        <v>45229</v>
      </c>
      <c r="AE219" s="54">
        <v>416.7</v>
      </c>
      <c r="AF219" s="54"/>
      <c r="AG219" s="9" t="s">
        <v>134</v>
      </c>
      <c r="AH219" s="17">
        <v>45404</v>
      </c>
      <c r="AI219" s="9">
        <v>10228642</v>
      </c>
      <c r="AJ219" s="9" t="s">
        <v>3295</v>
      </c>
      <c r="AK219" s="9" t="s">
        <v>3378</v>
      </c>
      <c r="AL219" s="22">
        <v>417</v>
      </c>
      <c r="AM219" s="22"/>
      <c r="AN219" s="22" t="s">
        <v>3322</v>
      </c>
      <c r="AO219" s="22"/>
      <c r="AP219" s="22"/>
      <c r="AQ219" s="22"/>
      <c r="AR219" s="22"/>
      <c r="AS219" s="22"/>
      <c r="AT219" s="22"/>
      <c r="AU219" s="22"/>
      <c r="AV219" s="22"/>
      <c r="AW219" s="18">
        <v>45401</v>
      </c>
      <c r="AX219" s="9">
        <v>2551</v>
      </c>
      <c r="BA219" s="22">
        <v>417</v>
      </c>
      <c r="BB219" s="22"/>
      <c r="BD219" s="9"/>
      <c r="CS219" s="11">
        <f t="shared" si="16"/>
        <v>417</v>
      </c>
      <c r="CT219" s="22">
        <f t="shared" si="17"/>
        <v>417</v>
      </c>
      <c r="CU219" s="22">
        <f t="shared" si="18"/>
        <v>0</v>
      </c>
      <c r="CV219" s="26">
        <f t="shared" si="19"/>
        <v>-0.30000000000001137</v>
      </c>
    </row>
    <row r="220" spans="1:100" x14ac:dyDescent="0.2">
      <c r="A220" s="9" t="s">
        <v>3381</v>
      </c>
      <c r="B220" s="2">
        <v>149</v>
      </c>
      <c r="C220" s="3" t="s">
        <v>95</v>
      </c>
      <c r="D220" s="3" t="s">
        <v>96</v>
      </c>
      <c r="E220" s="2"/>
      <c r="F220" s="2"/>
      <c r="G220" s="2" t="s">
        <v>85</v>
      </c>
      <c r="H220" s="2">
        <v>5</v>
      </c>
      <c r="I220" s="20">
        <v>134.61000000000001</v>
      </c>
      <c r="J220" s="20">
        <v>41900</v>
      </c>
      <c r="K220" s="3">
        <v>0</v>
      </c>
      <c r="L220" s="3" t="s">
        <v>3</v>
      </c>
      <c r="M220" s="9" t="s">
        <v>0</v>
      </c>
      <c r="N220" s="9" t="s">
        <v>8</v>
      </c>
      <c r="O220" s="9" t="s">
        <v>3292</v>
      </c>
      <c r="S220" s="9" t="s">
        <v>3368</v>
      </c>
      <c r="V220" s="10">
        <v>12.5</v>
      </c>
      <c r="W220" s="10" t="s">
        <v>710</v>
      </c>
      <c r="X220" s="17">
        <v>45410</v>
      </c>
      <c r="Z220" s="19" t="s">
        <v>772</v>
      </c>
      <c r="AA220" s="207">
        <v>5500</v>
      </c>
      <c r="AB220" s="9">
        <v>12</v>
      </c>
      <c r="AC220" s="9">
        <v>10</v>
      </c>
      <c r="AD220" s="17">
        <v>45260</v>
      </c>
      <c r="AE220" s="54">
        <v>416.7</v>
      </c>
      <c r="AF220" s="54"/>
      <c r="AL220" s="9"/>
      <c r="AM220" s="9"/>
      <c r="AN220" s="9"/>
      <c r="AO220" s="22"/>
      <c r="AP220" s="22"/>
      <c r="AQ220" s="22"/>
      <c r="AR220" s="22"/>
      <c r="AS220" s="22"/>
      <c r="AT220" s="22"/>
      <c r="AU220" s="22"/>
      <c r="AV220" s="22"/>
      <c r="BA220" s="22"/>
      <c r="BB220" s="22"/>
      <c r="BD220" s="9"/>
      <c r="CS220" s="11">
        <f t="shared" ref="CS220:CS283" si="20">+AL220+AT220</f>
        <v>0</v>
      </c>
      <c r="CT220" s="22">
        <f t="shared" ref="CT220:CT283" si="21">+BA220+BG220+BM220+BS220+BY220+CE220+CK220+CQ220</f>
        <v>0</v>
      </c>
      <c r="CU220" s="22">
        <f t="shared" ref="CU220:CU283" si="22">+CS220-CT220</f>
        <v>0</v>
      </c>
      <c r="CV220" s="26">
        <f t="shared" ref="CV220:CV283" si="23">+AE220-AL220-AT220</f>
        <v>416.7</v>
      </c>
    </row>
    <row r="221" spans="1:100" x14ac:dyDescent="0.2">
      <c r="A221" s="9" t="s">
        <v>3381</v>
      </c>
      <c r="B221" s="2">
        <v>149</v>
      </c>
      <c r="C221" s="3" t="s">
        <v>95</v>
      </c>
      <c r="D221" s="3" t="s">
        <v>96</v>
      </c>
      <c r="E221" s="2"/>
      <c r="F221" s="2"/>
      <c r="G221" s="2" t="s">
        <v>85</v>
      </c>
      <c r="H221" s="2">
        <v>5</v>
      </c>
      <c r="I221" s="20">
        <v>134.61000000000001</v>
      </c>
      <c r="J221" s="20">
        <v>41900</v>
      </c>
      <c r="K221" s="3">
        <v>0</v>
      </c>
      <c r="L221" s="3" t="s">
        <v>3</v>
      </c>
      <c r="M221" s="9" t="s">
        <v>0</v>
      </c>
      <c r="N221" s="9" t="s">
        <v>8</v>
      </c>
      <c r="O221" s="9" t="s">
        <v>3292</v>
      </c>
      <c r="S221" s="9" t="s">
        <v>3368</v>
      </c>
      <c r="V221" s="10">
        <v>12.5</v>
      </c>
      <c r="W221" s="10" t="s">
        <v>710</v>
      </c>
      <c r="X221" s="17">
        <v>45410</v>
      </c>
      <c r="Z221" s="19" t="s">
        <v>772</v>
      </c>
      <c r="AA221" s="207">
        <v>5500</v>
      </c>
      <c r="AB221" s="9">
        <v>12</v>
      </c>
      <c r="AC221" s="9">
        <v>11</v>
      </c>
      <c r="AD221" s="17">
        <v>45290</v>
      </c>
      <c r="AE221" s="54">
        <v>416.7</v>
      </c>
      <c r="AF221" s="54"/>
      <c r="AL221" s="9"/>
      <c r="AM221" s="9"/>
      <c r="AN221" s="9"/>
      <c r="AO221" s="22"/>
      <c r="AP221" s="22"/>
      <c r="AQ221" s="22"/>
      <c r="AR221" s="22"/>
      <c r="AS221" s="22"/>
      <c r="AT221" s="22"/>
      <c r="AU221" s="22"/>
      <c r="AV221" s="22"/>
      <c r="BA221" s="22"/>
      <c r="BB221" s="22"/>
      <c r="BD221" s="9"/>
      <c r="CS221" s="11">
        <f t="shared" si="20"/>
        <v>0</v>
      </c>
      <c r="CT221" s="22">
        <f t="shared" si="21"/>
        <v>0</v>
      </c>
      <c r="CU221" s="22">
        <f t="shared" si="22"/>
        <v>0</v>
      </c>
      <c r="CV221" s="26">
        <f t="shared" si="23"/>
        <v>416.7</v>
      </c>
    </row>
    <row r="222" spans="1:100" x14ac:dyDescent="0.2">
      <c r="A222" s="9" t="s">
        <v>3381</v>
      </c>
      <c r="B222" s="2">
        <v>149</v>
      </c>
      <c r="C222" s="3" t="s">
        <v>95</v>
      </c>
      <c r="D222" s="3" t="s">
        <v>96</v>
      </c>
      <c r="E222" s="2"/>
      <c r="F222" s="2"/>
      <c r="G222" s="2" t="s">
        <v>85</v>
      </c>
      <c r="H222" s="2">
        <v>5</v>
      </c>
      <c r="I222" s="20">
        <v>134.61000000000001</v>
      </c>
      <c r="J222" s="20">
        <v>41900</v>
      </c>
      <c r="K222" s="3">
        <v>0</v>
      </c>
      <c r="L222" s="3" t="s">
        <v>3</v>
      </c>
      <c r="M222" s="9" t="s">
        <v>0</v>
      </c>
      <c r="N222" s="9" t="s">
        <v>8</v>
      </c>
      <c r="O222" s="9" t="s">
        <v>3292</v>
      </c>
      <c r="S222" s="9" t="s">
        <v>3368</v>
      </c>
      <c r="V222" s="10">
        <v>12.5</v>
      </c>
      <c r="W222" s="10" t="s">
        <v>710</v>
      </c>
      <c r="X222" s="17">
        <v>45410</v>
      </c>
      <c r="Z222" s="19" t="s">
        <v>772</v>
      </c>
      <c r="AA222" s="207">
        <v>5500</v>
      </c>
      <c r="AB222" s="9">
        <v>12</v>
      </c>
      <c r="AC222" s="9">
        <v>12</v>
      </c>
      <c r="AD222" s="17">
        <v>45321</v>
      </c>
      <c r="AE222" s="54">
        <v>416.7</v>
      </c>
      <c r="AF222" s="54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BA222" s="22"/>
      <c r="BB222" s="22"/>
      <c r="BD222" s="9"/>
      <c r="CS222" s="11">
        <f t="shared" si="20"/>
        <v>0</v>
      </c>
      <c r="CT222" s="22">
        <f t="shared" si="21"/>
        <v>0</v>
      </c>
      <c r="CU222" s="22">
        <f t="shared" si="22"/>
        <v>0</v>
      </c>
      <c r="CV222" s="26">
        <f t="shared" si="23"/>
        <v>416.7</v>
      </c>
    </row>
    <row r="223" spans="1:100" x14ac:dyDescent="0.2">
      <c r="A223" s="9" t="s">
        <v>140</v>
      </c>
      <c r="B223" s="2">
        <v>65</v>
      </c>
      <c r="C223" s="3" t="s">
        <v>95</v>
      </c>
      <c r="D223" s="3" t="s">
        <v>96</v>
      </c>
      <c r="E223" s="2" t="s">
        <v>68</v>
      </c>
      <c r="F223" s="2">
        <v>9</v>
      </c>
      <c r="G223" s="2" t="s">
        <v>72</v>
      </c>
      <c r="H223" s="2">
        <v>8</v>
      </c>
      <c r="I223" s="20">
        <v>124.74</v>
      </c>
      <c r="J223" s="20">
        <v>35900</v>
      </c>
      <c r="K223" s="3">
        <v>0</v>
      </c>
      <c r="L223" s="3" t="s">
        <v>3</v>
      </c>
      <c r="M223" s="10" t="s">
        <v>0</v>
      </c>
      <c r="N223" s="10" t="s">
        <v>9</v>
      </c>
      <c r="O223" s="9" t="s">
        <v>141</v>
      </c>
      <c r="P223" s="9" t="s">
        <v>0</v>
      </c>
      <c r="Q223" s="30" t="s">
        <v>142</v>
      </c>
      <c r="R223" s="9" t="s">
        <v>143</v>
      </c>
      <c r="S223" s="9" t="s">
        <v>158</v>
      </c>
      <c r="V223" s="10">
        <v>124.74</v>
      </c>
      <c r="W223" s="10" t="s">
        <v>710</v>
      </c>
      <c r="X223" s="17">
        <v>44696</v>
      </c>
      <c r="Y223" s="17">
        <v>44698</v>
      </c>
      <c r="Z223" s="191" t="s">
        <v>772</v>
      </c>
      <c r="AA223" s="207">
        <v>33000</v>
      </c>
      <c r="AB223" s="9">
        <v>12</v>
      </c>
      <c r="AC223" s="9">
        <v>0</v>
      </c>
      <c r="AD223" s="17">
        <v>44696</v>
      </c>
      <c r="AE223" s="54">
        <v>500</v>
      </c>
      <c r="AF223" s="54"/>
      <c r="AG223" s="9" t="s">
        <v>134</v>
      </c>
      <c r="AH223" s="127">
        <v>44696</v>
      </c>
      <c r="AI223" s="104" t="s">
        <v>9</v>
      </c>
      <c r="AJ223" s="22" t="s">
        <v>3165</v>
      </c>
      <c r="AK223" s="22" t="s">
        <v>144</v>
      </c>
      <c r="AL223" s="22">
        <v>500</v>
      </c>
      <c r="AM223" s="22"/>
      <c r="AN223" s="22" t="s">
        <v>3109</v>
      </c>
      <c r="AO223" s="22"/>
      <c r="AP223" s="9"/>
      <c r="AQ223" s="9"/>
      <c r="AR223" s="9"/>
      <c r="AS223" s="9"/>
      <c r="AT223" s="9"/>
      <c r="AU223" s="9"/>
      <c r="AV223" s="9"/>
      <c r="AW223" s="42">
        <v>44696</v>
      </c>
      <c r="AX223" s="36">
        <v>643</v>
      </c>
      <c r="AY223" s="36"/>
      <c r="AZ223" s="36"/>
      <c r="BA223" s="40">
        <v>500</v>
      </c>
      <c r="BB223" s="22"/>
      <c r="BD223" s="9"/>
      <c r="CS223" s="11">
        <f t="shared" si="20"/>
        <v>500</v>
      </c>
      <c r="CT223" s="22">
        <f t="shared" si="21"/>
        <v>500</v>
      </c>
      <c r="CU223" s="22">
        <f t="shared" si="22"/>
        <v>0</v>
      </c>
      <c r="CV223" s="26">
        <f t="shared" si="23"/>
        <v>0</v>
      </c>
    </row>
    <row r="224" spans="1:100" x14ac:dyDescent="0.2">
      <c r="A224" s="9" t="s">
        <v>140</v>
      </c>
      <c r="B224" s="2">
        <v>65</v>
      </c>
      <c r="C224" s="3" t="s">
        <v>95</v>
      </c>
      <c r="D224" s="3" t="s">
        <v>96</v>
      </c>
      <c r="E224" s="2" t="s">
        <v>68</v>
      </c>
      <c r="F224" s="2">
        <v>9</v>
      </c>
      <c r="G224" s="2" t="s">
        <v>72</v>
      </c>
      <c r="H224" s="2">
        <v>8</v>
      </c>
      <c r="I224" s="20">
        <v>124.74</v>
      </c>
      <c r="J224" s="20">
        <v>35900</v>
      </c>
      <c r="K224" s="3">
        <v>0</v>
      </c>
      <c r="L224" s="3" t="s">
        <v>3</v>
      </c>
      <c r="M224" s="10" t="s">
        <v>0</v>
      </c>
      <c r="N224" s="10" t="s">
        <v>9</v>
      </c>
      <c r="O224" s="9" t="s">
        <v>141</v>
      </c>
      <c r="P224" s="9" t="s">
        <v>0</v>
      </c>
      <c r="Q224" s="30" t="s">
        <v>142</v>
      </c>
      <c r="R224" s="9" t="s">
        <v>143</v>
      </c>
      <c r="S224" s="9" t="s">
        <v>158</v>
      </c>
      <c r="V224" s="10">
        <v>124.74</v>
      </c>
      <c r="W224" s="10" t="s">
        <v>710</v>
      </c>
      <c r="X224" s="17">
        <v>44696</v>
      </c>
      <c r="Y224" s="17">
        <v>44698</v>
      </c>
      <c r="Z224" s="191" t="s">
        <v>772</v>
      </c>
      <c r="AA224" s="207">
        <v>33000</v>
      </c>
      <c r="AB224" s="9">
        <v>12</v>
      </c>
      <c r="AC224" s="9">
        <v>0</v>
      </c>
      <c r="AD224" s="17">
        <v>44701</v>
      </c>
      <c r="AE224" s="54">
        <v>18500</v>
      </c>
      <c r="AF224" s="54"/>
      <c r="AG224" s="9" t="s">
        <v>134</v>
      </c>
      <c r="AH224" s="127">
        <v>44701</v>
      </c>
      <c r="AI224" s="104" t="s">
        <v>9</v>
      </c>
      <c r="AJ224" s="22" t="s">
        <v>3165</v>
      </c>
      <c r="AK224" s="22" t="s">
        <v>145</v>
      </c>
      <c r="AL224" s="22">
        <v>18500</v>
      </c>
      <c r="AM224" s="22"/>
      <c r="AN224" s="22" t="s">
        <v>3114</v>
      </c>
      <c r="AO224" s="22"/>
      <c r="AP224" s="9"/>
      <c r="AQ224" s="9"/>
      <c r="AR224" s="9"/>
      <c r="AS224" s="9"/>
      <c r="AT224" s="9"/>
      <c r="AU224" s="9"/>
      <c r="AV224" s="9"/>
      <c r="AW224" s="42">
        <v>44701</v>
      </c>
      <c r="AX224" s="36">
        <v>657</v>
      </c>
      <c r="AY224" s="36"/>
      <c r="AZ224" s="36"/>
      <c r="BA224" s="40">
        <v>18500</v>
      </c>
      <c r="BB224" s="22"/>
      <c r="BD224" s="9"/>
      <c r="CS224" s="11">
        <f t="shared" si="20"/>
        <v>18500</v>
      </c>
      <c r="CT224" s="22">
        <f t="shared" si="21"/>
        <v>18500</v>
      </c>
      <c r="CU224" s="22">
        <f t="shared" si="22"/>
        <v>0</v>
      </c>
      <c r="CV224" s="26">
        <f t="shared" si="23"/>
        <v>0</v>
      </c>
    </row>
    <row r="225" spans="1:100" x14ac:dyDescent="0.2">
      <c r="A225" s="9" t="s">
        <v>140</v>
      </c>
      <c r="B225" s="2">
        <v>65</v>
      </c>
      <c r="C225" s="3" t="s">
        <v>95</v>
      </c>
      <c r="D225" s="3" t="s">
        <v>96</v>
      </c>
      <c r="E225" s="2" t="s">
        <v>68</v>
      </c>
      <c r="F225" s="2">
        <v>9</v>
      </c>
      <c r="G225" s="2" t="s">
        <v>72</v>
      </c>
      <c r="H225" s="2">
        <v>8</v>
      </c>
      <c r="I225" s="20">
        <v>124.74</v>
      </c>
      <c r="J225" s="20">
        <v>35900</v>
      </c>
      <c r="K225" s="3">
        <v>0</v>
      </c>
      <c r="L225" s="3" t="s">
        <v>3</v>
      </c>
      <c r="M225" s="10" t="s">
        <v>0</v>
      </c>
      <c r="N225" s="10" t="s">
        <v>9</v>
      </c>
      <c r="O225" s="9" t="s">
        <v>141</v>
      </c>
      <c r="P225" s="9" t="s">
        <v>0</v>
      </c>
      <c r="Q225" s="30" t="s">
        <v>142</v>
      </c>
      <c r="R225" s="9" t="s">
        <v>143</v>
      </c>
      <c r="S225" s="9" t="s">
        <v>158</v>
      </c>
      <c r="V225" s="10">
        <v>124.74</v>
      </c>
      <c r="W225" s="10" t="s">
        <v>710</v>
      </c>
      <c r="X225" s="17">
        <v>44696</v>
      </c>
      <c r="Y225" s="17">
        <v>44698</v>
      </c>
      <c r="Z225" s="191" t="s">
        <v>772</v>
      </c>
      <c r="AA225" s="207">
        <v>33000</v>
      </c>
      <c r="AB225" s="9">
        <v>12</v>
      </c>
      <c r="AC225" s="9">
        <v>1</v>
      </c>
      <c r="AD225" s="17">
        <v>44747</v>
      </c>
      <c r="AE225" s="54">
        <v>1166.67</v>
      </c>
      <c r="AF225" s="54"/>
      <c r="AG225" s="9" t="s">
        <v>134</v>
      </c>
      <c r="AH225" s="127">
        <v>44754</v>
      </c>
      <c r="AI225" s="104" t="s">
        <v>9</v>
      </c>
      <c r="AJ225" s="22" t="s">
        <v>3165</v>
      </c>
      <c r="AK225" s="22" t="s">
        <v>146</v>
      </c>
      <c r="AL225" s="22">
        <v>1166.67</v>
      </c>
      <c r="AM225" s="22"/>
      <c r="AN225" s="22" t="s">
        <v>3118</v>
      </c>
      <c r="AO225" s="22"/>
      <c r="AP225" s="9"/>
      <c r="AQ225" s="9"/>
      <c r="AR225" s="9"/>
      <c r="AS225" s="9"/>
      <c r="AT225" s="9"/>
      <c r="AU225" s="9"/>
      <c r="AV225" s="9"/>
      <c r="AW225" s="42">
        <v>45842</v>
      </c>
      <c r="AX225" s="36">
        <v>763</v>
      </c>
      <c r="AY225" s="36"/>
      <c r="AZ225" s="36"/>
      <c r="BA225" s="40">
        <v>1166.67</v>
      </c>
      <c r="BB225" s="22"/>
      <c r="BD225" s="9"/>
      <c r="CS225" s="11">
        <f t="shared" si="20"/>
        <v>1166.67</v>
      </c>
      <c r="CT225" s="22">
        <f t="shared" si="21"/>
        <v>1166.67</v>
      </c>
      <c r="CU225" s="22">
        <f t="shared" si="22"/>
        <v>0</v>
      </c>
      <c r="CV225" s="26">
        <f t="shared" si="23"/>
        <v>0</v>
      </c>
    </row>
    <row r="226" spans="1:100" x14ac:dyDescent="0.2">
      <c r="A226" s="9" t="s">
        <v>140</v>
      </c>
      <c r="B226" s="2">
        <v>65</v>
      </c>
      <c r="C226" s="3" t="s">
        <v>95</v>
      </c>
      <c r="D226" s="3" t="s">
        <v>96</v>
      </c>
      <c r="E226" s="2" t="s">
        <v>68</v>
      </c>
      <c r="F226" s="2">
        <v>9</v>
      </c>
      <c r="G226" s="2" t="s">
        <v>72</v>
      </c>
      <c r="H226" s="2">
        <v>8</v>
      </c>
      <c r="I226" s="20">
        <v>124.74</v>
      </c>
      <c r="J226" s="20">
        <v>35900</v>
      </c>
      <c r="K226" s="3">
        <v>0</v>
      </c>
      <c r="L226" s="3" t="s">
        <v>3</v>
      </c>
      <c r="M226" s="10" t="s">
        <v>0</v>
      </c>
      <c r="N226" s="10" t="s">
        <v>9</v>
      </c>
      <c r="O226" s="9" t="s">
        <v>141</v>
      </c>
      <c r="P226" s="9" t="s">
        <v>0</v>
      </c>
      <c r="Q226" s="30" t="s">
        <v>142</v>
      </c>
      <c r="R226" s="9" t="s">
        <v>143</v>
      </c>
      <c r="S226" s="9" t="s">
        <v>158</v>
      </c>
      <c r="V226" s="10">
        <v>124.74</v>
      </c>
      <c r="W226" s="10" t="s">
        <v>710</v>
      </c>
      <c r="X226" s="17">
        <v>44696</v>
      </c>
      <c r="Y226" s="17">
        <v>44698</v>
      </c>
      <c r="Z226" s="191" t="s">
        <v>772</v>
      </c>
      <c r="AA226" s="207">
        <v>33000</v>
      </c>
      <c r="AB226" s="9">
        <v>12</v>
      </c>
      <c r="AC226" s="9">
        <v>2</v>
      </c>
      <c r="AD226" s="17">
        <v>44778</v>
      </c>
      <c r="AE226" s="54">
        <v>1166.67</v>
      </c>
      <c r="AF226" s="54"/>
      <c r="AG226" s="9" t="s">
        <v>134</v>
      </c>
      <c r="AH226" s="127">
        <v>44764</v>
      </c>
      <c r="AI226" s="104" t="s">
        <v>9</v>
      </c>
      <c r="AJ226" s="22" t="s">
        <v>3165</v>
      </c>
      <c r="AK226" s="22" t="s">
        <v>147</v>
      </c>
      <c r="AL226" s="22">
        <v>1166.67</v>
      </c>
      <c r="AM226" s="22"/>
      <c r="AN226" s="22" t="s">
        <v>3121</v>
      </c>
      <c r="AO226" s="22"/>
      <c r="AP226" s="9"/>
      <c r="AQ226" s="9"/>
      <c r="AR226" s="9"/>
      <c r="AS226" s="9"/>
      <c r="AT226" s="9"/>
      <c r="AU226" s="9"/>
      <c r="AV226" s="9"/>
      <c r="AW226" s="42">
        <v>44760</v>
      </c>
      <c r="AX226" s="36">
        <v>798</v>
      </c>
      <c r="AY226" s="36"/>
      <c r="AZ226" s="36"/>
      <c r="BA226" s="40">
        <v>1166.67</v>
      </c>
      <c r="BB226" s="22"/>
      <c r="BD226" s="9"/>
      <c r="CS226" s="11">
        <f t="shared" si="20"/>
        <v>1166.67</v>
      </c>
      <c r="CT226" s="22">
        <f t="shared" si="21"/>
        <v>1166.67</v>
      </c>
      <c r="CU226" s="22">
        <f t="shared" si="22"/>
        <v>0</v>
      </c>
      <c r="CV226" s="26">
        <f t="shared" si="23"/>
        <v>0</v>
      </c>
    </row>
    <row r="227" spans="1:100" x14ac:dyDescent="0.2">
      <c r="A227" s="9" t="s">
        <v>140</v>
      </c>
      <c r="B227" s="2">
        <v>65</v>
      </c>
      <c r="C227" s="3" t="s">
        <v>95</v>
      </c>
      <c r="D227" s="3" t="s">
        <v>96</v>
      </c>
      <c r="E227" s="2" t="s">
        <v>68</v>
      </c>
      <c r="F227" s="2">
        <v>9</v>
      </c>
      <c r="G227" s="2" t="s">
        <v>72</v>
      </c>
      <c r="H227" s="2">
        <v>8</v>
      </c>
      <c r="I227" s="20">
        <v>124.74</v>
      </c>
      <c r="J227" s="20">
        <v>35900</v>
      </c>
      <c r="K227" s="3">
        <v>0</v>
      </c>
      <c r="L227" s="3" t="s">
        <v>3</v>
      </c>
      <c r="M227" s="10" t="s">
        <v>0</v>
      </c>
      <c r="N227" s="10" t="s">
        <v>9</v>
      </c>
      <c r="O227" s="9" t="s">
        <v>141</v>
      </c>
      <c r="P227" s="9" t="s">
        <v>0</v>
      </c>
      <c r="Q227" s="30" t="s">
        <v>142</v>
      </c>
      <c r="R227" s="9" t="s">
        <v>143</v>
      </c>
      <c r="S227" s="9" t="s">
        <v>158</v>
      </c>
      <c r="V227" s="10">
        <v>124.74</v>
      </c>
      <c r="W227" s="10" t="s">
        <v>710</v>
      </c>
      <c r="X227" s="17">
        <v>44696</v>
      </c>
      <c r="Y227" s="17">
        <v>44698</v>
      </c>
      <c r="Z227" s="191" t="s">
        <v>772</v>
      </c>
      <c r="AA227" s="207">
        <v>33000</v>
      </c>
      <c r="AB227" s="9">
        <v>12</v>
      </c>
      <c r="AC227" s="9">
        <v>3</v>
      </c>
      <c r="AD227" s="17">
        <v>44809</v>
      </c>
      <c r="AE227" s="54">
        <v>1166.67</v>
      </c>
      <c r="AF227" s="54"/>
      <c r="AG227" s="9" t="s">
        <v>134</v>
      </c>
      <c r="AH227" s="167">
        <v>44810</v>
      </c>
      <c r="AI227" s="104" t="s">
        <v>9</v>
      </c>
      <c r="AJ227" s="22" t="s">
        <v>3165</v>
      </c>
      <c r="AK227" s="35" t="s">
        <v>148</v>
      </c>
      <c r="AL227" s="35">
        <v>1167</v>
      </c>
      <c r="AM227" s="35"/>
      <c r="AN227" s="35" t="s">
        <v>3125</v>
      </c>
      <c r="AO227" s="22"/>
      <c r="AP227" s="9"/>
      <c r="AQ227" s="9"/>
      <c r="AR227" s="9"/>
      <c r="AS227" s="9"/>
      <c r="AT227" s="9"/>
      <c r="AU227" s="9"/>
      <c r="AV227" s="9"/>
      <c r="AW227" s="42">
        <v>44806</v>
      </c>
      <c r="AX227" s="36">
        <v>917</v>
      </c>
      <c r="AY227" s="36"/>
      <c r="AZ227" s="36"/>
      <c r="BA227" s="177">
        <v>1167</v>
      </c>
      <c r="BB227" s="22"/>
      <c r="BD227" s="9"/>
      <c r="BG227" s="36"/>
      <c r="CS227" s="11">
        <f t="shared" si="20"/>
        <v>1167</v>
      </c>
      <c r="CT227" s="22">
        <f t="shared" si="21"/>
        <v>1167</v>
      </c>
      <c r="CU227" s="22">
        <f t="shared" si="22"/>
        <v>0</v>
      </c>
      <c r="CV227" s="26">
        <f t="shared" si="23"/>
        <v>-0.32999999999992724</v>
      </c>
    </row>
    <row r="228" spans="1:100" x14ac:dyDescent="0.2">
      <c r="A228" s="9" t="s">
        <v>140</v>
      </c>
      <c r="B228" s="2">
        <v>65</v>
      </c>
      <c r="C228" s="3" t="s">
        <v>95</v>
      </c>
      <c r="D228" s="3" t="s">
        <v>96</v>
      </c>
      <c r="E228" s="2" t="s">
        <v>68</v>
      </c>
      <c r="F228" s="2">
        <v>9</v>
      </c>
      <c r="G228" s="2" t="s">
        <v>72</v>
      </c>
      <c r="H228" s="2">
        <v>8</v>
      </c>
      <c r="I228" s="20">
        <v>124.74</v>
      </c>
      <c r="J228" s="20">
        <v>35900</v>
      </c>
      <c r="K228" s="3">
        <v>0</v>
      </c>
      <c r="L228" s="3" t="s">
        <v>3</v>
      </c>
      <c r="M228" s="10" t="s">
        <v>0</v>
      </c>
      <c r="N228" s="10" t="s">
        <v>9</v>
      </c>
      <c r="O228" s="9" t="s">
        <v>141</v>
      </c>
      <c r="P228" s="9" t="s">
        <v>0</v>
      </c>
      <c r="Q228" s="30" t="s">
        <v>142</v>
      </c>
      <c r="R228" s="9" t="s">
        <v>143</v>
      </c>
      <c r="S228" s="9" t="s">
        <v>158</v>
      </c>
      <c r="V228" s="10">
        <v>124.74</v>
      </c>
      <c r="W228" s="10" t="s">
        <v>710</v>
      </c>
      <c r="X228" s="17">
        <v>44696</v>
      </c>
      <c r="Y228" s="17">
        <v>44698</v>
      </c>
      <c r="Z228" s="191" t="s">
        <v>772</v>
      </c>
      <c r="AA228" s="207">
        <v>33000</v>
      </c>
      <c r="AB228" s="9">
        <v>12</v>
      </c>
      <c r="AC228" s="9">
        <v>4</v>
      </c>
      <c r="AD228" s="17">
        <v>44839</v>
      </c>
      <c r="AE228" s="54">
        <v>1166.67</v>
      </c>
      <c r="AF228" s="54"/>
      <c r="AG228" s="9" t="s">
        <v>134</v>
      </c>
      <c r="AH228" s="127">
        <v>44841</v>
      </c>
      <c r="AI228" s="104" t="s">
        <v>9</v>
      </c>
      <c r="AJ228" s="22" t="s">
        <v>3165</v>
      </c>
      <c r="AK228" s="22" t="s">
        <v>149</v>
      </c>
      <c r="AL228" s="22">
        <v>1167</v>
      </c>
      <c r="AM228" s="22"/>
      <c r="AN228" s="22" t="s">
        <v>3129</v>
      </c>
      <c r="AO228" s="22"/>
      <c r="AP228" s="9"/>
      <c r="AQ228" s="9"/>
      <c r="AR228" s="9"/>
      <c r="AS228" s="9"/>
      <c r="AT228" s="9"/>
      <c r="AU228" s="9"/>
      <c r="AV228" s="9"/>
      <c r="AW228" s="42">
        <v>44841</v>
      </c>
      <c r="AX228" s="36">
        <v>993</v>
      </c>
      <c r="AY228" s="36"/>
      <c r="AZ228" s="36"/>
      <c r="BA228" s="40">
        <v>750.34</v>
      </c>
      <c r="BB228" s="40"/>
      <c r="BC228" s="42">
        <v>44840</v>
      </c>
      <c r="BD228" s="36">
        <v>995</v>
      </c>
      <c r="BE228" s="36"/>
      <c r="BF228" s="36"/>
      <c r="BG228" s="36">
        <v>416.66</v>
      </c>
      <c r="CS228" s="11">
        <f t="shared" si="20"/>
        <v>1167</v>
      </c>
      <c r="CT228" s="22">
        <f t="shared" si="21"/>
        <v>1167</v>
      </c>
      <c r="CU228" s="22">
        <f t="shared" si="22"/>
        <v>0</v>
      </c>
      <c r="CV228" s="26">
        <f t="shared" si="23"/>
        <v>-0.32999999999992724</v>
      </c>
    </row>
    <row r="229" spans="1:100" x14ac:dyDescent="0.2">
      <c r="A229" s="9" t="s">
        <v>140</v>
      </c>
      <c r="B229" s="2">
        <v>65</v>
      </c>
      <c r="C229" s="3" t="s">
        <v>95</v>
      </c>
      <c r="D229" s="3" t="s">
        <v>96</v>
      </c>
      <c r="E229" s="2" t="s">
        <v>68</v>
      </c>
      <c r="F229" s="2">
        <v>9</v>
      </c>
      <c r="G229" s="2" t="s">
        <v>72</v>
      </c>
      <c r="H229" s="2">
        <v>8</v>
      </c>
      <c r="I229" s="20">
        <v>124.74</v>
      </c>
      <c r="J229" s="20">
        <v>35900</v>
      </c>
      <c r="K229" s="3">
        <v>0</v>
      </c>
      <c r="L229" s="3" t="s">
        <v>3</v>
      </c>
      <c r="M229" s="10" t="s">
        <v>0</v>
      </c>
      <c r="N229" s="10" t="s">
        <v>9</v>
      </c>
      <c r="O229" s="9" t="s">
        <v>141</v>
      </c>
      <c r="P229" s="9" t="s">
        <v>0</v>
      </c>
      <c r="Q229" s="30" t="s">
        <v>142</v>
      </c>
      <c r="R229" s="9" t="s">
        <v>143</v>
      </c>
      <c r="S229" s="9" t="s">
        <v>158</v>
      </c>
      <c r="V229" s="10">
        <v>124.74</v>
      </c>
      <c r="W229" s="10" t="s">
        <v>710</v>
      </c>
      <c r="X229" s="17">
        <v>44696</v>
      </c>
      <c r="Y229" s="17">
        <v>44698</v>
      </c>
      <c r="Z229" s="191" t="s">
        <v>772</v>
      </c>
      <c r="AA229" s="207">
        <v>33000</v>
      </c>
      <c r="AB229" s="9">
        <v>12</v>
      </c>
      <c r="AC229" s="9">
        <v>5</v>
      </c>
      <c r="AD229" s="17">
        <v>44870</v>
      </c>
      <c r="AE229" s="54">
        <v>1166.67</v>
      </c>
      <c r="AF229" s="54"/>
      <c r="AG229" s="9" t="s">
        <v>134</v>
      </c>
      <c r="AH229" s="127">
        <v>44874</v>
      </c>
      <c r="AI229" s="104" t="s">
        <v>9</v>
      </c>
      <c r="AJ229" s="22" t="s">
        <v>3165</v>
      </c>
      <c r="AK229" s="22" t="s">
        <v>150</v>
      </c>
      <c r="AL229" s="22">
        <v>1167</v>
      </c>
      <c r="AM229" s="22"/>
      <c r="AN229" s="22" t="s">
        <v>3133</v>
      </c>
      <c r="AO229" s="22"/>
      <c r="AP229" s="9"/>
      <c r="AQ229" s="9"/>
      <c r="AR229" s="9"/>
      <c r="AS229" s="9"/>
      <c r="AT229" s="9"/>
      <c r="AU229" s="9"/>
      <c r="AV229" s="9"/>
      <c r="AW229" s="42">
        <v>44869</v>
      </c>
      <c r="AX229" s="36">
        <v>1056</v>
      </c>
      <c r="AY229" s="36"/>
      <c r="AZ229" s="36"/>
      <c r="BA229" s="40">
        <v>333.65</v>
      </c>
      <c r="BB229" s="40"/>
      <c r="BC229" s="42">
        <v>44872</v>
      </c>
      <c r="BD229" s="36">
        <v>1058</v>
      </c>
      <c r="BE229" s="36"/>
      <c r="BF229" s="36"/>
      <c r="BG229" s="36">
        <v>833.35</v>
      </c>
      <c r="CS229" s="11">
        <f t="shared" si="20"/>
        <v>1167</v>
      </c>
      <c r="CT229" s="22">
        <f t="shared" si="21"/>
        <v>1167</v>
      </c>
      <c r="CU229" s="22">
        <f t="shared" si="22"/>
        <v>0</v>
      </c>
      <c r="CV229" s="26">
        <f t="shared" si="23"/>
        <v>-0.32999999999992724</v>
      </c>
    </row>
    <row r="230" spans="1:100" x14ac:dyDescent="0.2">
      <c r="A230" s="9" t="s">
        <v>140</v>
      </c>
      <c r="B230" s="2">
        <v>65</v>
      </c>
      <c r="C230" s="3" t="s">
        <v>95</v>
      </c>
      <c r="D230" s="3" t="s">
        <v>96</v>
      </c>
      <c r="E230" s="2" t="s">
        <v>68</v>
      </c>
      <c r="F230" s="2">
        <v>9</v>
      </c>
      <c r="G230" s="2" t="s">
        <v>72</v>
      </c>
      <c r="H230" s="2">
        <v>8</v>
      </c>
      <c r="I230" s="20">
        <v>124.74</v>
      </c>
      <c r="J230" s="20">
        <v>35900</v>
      </c>
      <c r="K230" s="3">
        <v>0</v>
      </c>
      <c r="L230" s="3" t="s">
        <v>3</v>
      </c>
      <c r="M230" s="10" t="s">
        <v>0</v>
      </c>
      <c r="N230" s="10" t="s">
        <v>9</v>
      </c>
      <c r="O230" s="9" t="s">
        <v>141</v>
      </c>
      <c r="P230" s="9" t="s">
        <v>0</v>
      </c>
      <c r="Q230" s="30" t="s">
        <v>142</v>
      </c>
      <c r="R230" s="9" t="s">
        <v>143</v>
      </c>
      <c r="S230" s="9" t="s">
        <v>158</v>
      </c>
      <c r="V230" s="10">
        <v>124.74</v>
      </c>
      <c r="W230" s="10" t="s">
        <v>710</v>
      </c>
      <c r="X230" s="17">
        <v>44696</v>
      </c>
      <c r="Y230" s="17">
        <v>44698</v>
      </c>
      <c r="Z230" s="191" t="s">
        <v>772</v>
      </c>
      <c r="AA230" s="207">
        <v>33000</v>
      </c>
      <c r="AB230" s="9">
        <v>12</v>
      </c>
      <c r="AC230" s="9">
        <v>6</v>
      </c>
      <c r="AD230" s="17">
        <v>44900</v>
      </c>
      <c r="AE230" s="54">
        <v>1166.67</v>
      </c>
      <c r="AF230" s="54"/>
      <c r="AG230" s="9" t="s">
        <v>134</v>
      </c>
      <c r="AH230" s="127">
        <v>44960</v>
      </c>
      <c r="AI230" s="104" t="s">
        <v>9</v>
      </c>
      <c r="AJ230" s="22" t="s">
        <v>3165</v>
      </c>
      <c r="AK230" s="22" t="s">
        <v>152</v>
      </c>
      <c r="AL230" s="22">
        <v>1166.67</v>
      </c>
      <c r="AM230" s="22"/>
      <c r="AN230" s="22" t="s">
        <v>3142</v>
      </c>
      <c r="AO230" s="35"/>
      <c r="AP230" s="9"/>
      <c r="AQ230" s="9"/>
      <c r="AR230" s="9"/>
      <c r="AS230" s="9"/>
      <c r="AT230" s="9"/>
      <c r="AU230" s="9"/>
      <c r="AV230" s="9"/>
      <c r="AW230" s="178">
        <v>44900</v>
      </c>
      <c r="AX230" s="179">
        <v>1090</v>
      </c>
      <c r="AY230" s="179"/>
      <c r="AZ230" s="179"/>
      <c r="BA230" s="40">
        <v>1166.67</v>
      </c>
      <c r="BB230" s="35"/>
      <c r="BD230" s="9"/>
      <c r="CS230" s="11">
        <f t="shared" si="20"/>
        <v>1166.67</v>
      </c>
      <c r="CT230" s="22">
        <f t="shared" si="21"/>
        <v>1166.67</v>
      </c>
      <c r="CU230" s="22">
        <f t="shared" si="22"/>
        <v>0</v>
      </c>
      <c r="CV230" s="26">
        <f t="shared" si="23"/>
        <v>0</v>
      </c>
    </row>
    <row r="231" spans="1:100" x14ac:dyDescent="0.2">
      <c r="A231" s="9" t="s">
        <v>140</v>
      </c>
      <c r="B231" s="2">
        <v>65</v>
      </c>
      <c r="C231" s="3" t="s">
        <v>95</v>
      </c>
      <c r="D231" s="3" t="s">
        <v>96</v>
      </c>
      <c r="E231" s="2" t="s">
        <v>68</v>
      </c>
      <c r="F231" s="2">
        <v>9</v>
      </c>
      <c r="G231" s="2" t="s">
        <v>72</v>
      </c>
      <c r="H231" s="2">
        <v>8</v>
      </c>
      <c r="I231" s="20">
        <v>124.74</v>
      </c>
      <c r="J231" s="20">
        <v>35900</v>
      </c>
      <c r="K231" s="3">
        <v>0</v>
      </c>
      <c r="L231" s="3" t="s">
        <v>3</v>
      </c>
      <c r="M231" s="10" t="s">
        <v>0</v>
      </c>
      <c r="N231" s="10" t="s">
        <v>9</v>
      </c>
      <c r="O231" s="9" t="s">
        <v>141</v>
      </c>
      <c r="P231" s="9" t="s">
        <v>0</v>
      </c>
      <c r="Q231" s="30" t="s">
        <v>142</v>
      </c>
      <c r="R231" s="9" t="s">
        <v>143</v>
      </c>
      <c r="S231" s="9" t="s">
        <v>158</v>
      </c>
      <c r="V231" s="10">
        <v>124.74</v>
      </c>
      <c r="W231" s="10" t="s">
        <v>710</v>
      </c>
      <c r="X231" s="17">
        <v>44696</v>
      </c>
      <c r="Y231" s="17">
        <v>44698</v>
      </c>
      <c r="Z231" s="191" t="s">
        <v>772</v>
      </c>
      <c r="AA231" s="207">
        <v>33000</v>
      </c>
      <c r="AB231" s="9">
        <v>12</v>
      </c>
      <c r="AC231" s="9">
        <v>7</v>
      </c>
      <c r="AD231" s="17">
        <v>44931</v>
      </c>
      <c r="AE231" s="54">
        <v>1166.67</v>
      </c>
      <c r="AF231" s="54"/>
      <c r="AG231" s="9" t="s">
        <v>134</v>
      </c>
      <c r="AH231" s="127">
        <v>44938</v>
      </c>
      <c r="AI231" s="104" t="s">
        <v>9</v>
      </c>
      <c r="AJ231" s="22" t="s">
        <v>3165</v>
      </c>
      <c r="AK231" s="22" t="s">
        <v>151</v>
      </c>
      <c r="AL231" s="22">
        <v>1166.67</v>
      </c>
      <c r="AM231" s="22"/>
      <c r="AN231" s="22" t="s">
        <v>3139</v>
      </c>
      <c r="AO231" s="35"/>
      <c r="AP231" s="9"/>
      <c r="AQ231" s="9"/>
      <c r="AR231" s="9"/>
      <c r="AS231" s="9"/>
      <c r="AT231" s="9"/>
      <c r="AU231" s="9"/>
      <c r="AV231" s="9"/>
      <c r="AW231" s="178">
        <v>44936</v>
      </c>
      <c r="AX231" s="179">
        <v>1141</v>
      </c>
      <c r="AY231" s="179"/>
      <c r="AZ231" s="179"/>
      <c r="BA231" s="40">
        <v>1166.67</v>
      </c>
      <c r="BB231" s="35"/>
      <c r="BD231" s="9"/>
      <c r="CS231" s="11">
        <f t="shared" si="20"/>
        <v>1166.67</v>
      </c>
      <c r="CT231" s="22">
        <f t="shared" si="21"/>
        <v>1166.67</v>
      </c>
      <c r="CU231" s="22">
        <f t="shared" si="22"/>
        <v>0</v>
      </c>
      <c r="CV231" s="26">
        <f t="shared" si="23"/>
        <v>0</v>
      </c>
    </row>
    <row r="232" spans="1:100" x14ac:dyDescent="0.2">
      <c r="A232" s="9" t="s">
        <v>140</v>
      </c>
      <c r="B232" s="2">
        <v>65</v>
      </c>
      <c r="C232" s="3" t="s">
        <v>95</v>
      </c>
      <c r="D232" s="3" t="s">
        <v>96</v>
      </c>
      <c r="E232" s="2" t="s">
        <v>68</v>
      </c>
      <c r="F232" s="2">
        <v>9</v>
      </c>
      <c r="G232" s="2" t="s">
        <v>72</v>
      </c>
      <c r="H232" s="2">
        <v>8</v>
      </c>
      <c r="I232" s="20">
        <v>124.74</v>
      </c>
      <c r="J232" s="20">
        <v>35900</v>
      </c>
      <c r="K232" s="3">
        <v>0</v>
      </c>
      <c r="L232" s="3" t="s">
        <v>3</v>
      </c>
      <c r="M232" s="10" t="s">
        <v>0</v>
      </c>
      <c r="N232" s="10" t="s">
        <v>9</v>
      </c>
      <c r="O232" s="9" t="s">
        <v>141</v>
      </c>
      <c r="P232" s="9" t="s">
        <v>0</v>
      </c>
      <c r="Q232" s="30" t="s">
        <v>142</v>
      </c>
      <c r="R232" s="9" t="s">
        <v>143</v>
      </c>
      <c r="S232" s="9" t="s">
        <v>158</v>
      </c>
      <c r="V232" s="10">
        <v>124.74</v>
      </c>
      <c r="W232" s="10" t="s">
        <v>710</v>
      </c>
      <c r="X232" s="17">
        <v>44696</v>
      </c>
      <c r="Y232" s="17">
        <v>44698</v>
      </c>
      <c r="Z232" s="191" t="s">
        <v>772</v>
      </c>
      <c r="AA232" s="207">
        <v>33000</v>
      </c>
      <c r="AB232" s="9">
        <v>12</v>
      </c>
      <c r="AC232" s="9">
        <v>8</v>
      </c>
      <c r="AD232" s="17">
        <v>44962</v>
      </c>
      <c r="AE232" s="54">
        <v>1166.67</v>
      </c>
      <c r="AF232" s="54"/>
      <c r="AG232" s="9" t="s">
        <v>134</v>
      </c>
      <c r="AH232" s="127">
        <v>44961</v>
      </c>
      <c r="AI232" s="104" t="s">
        <v>9</v>
      </c>
      <c r="AJ232" s="22" t="s">
        <v>3165</v>
      </c>
      <c r="AK232" s="22" t="s">
        <v>153</v>
      </c>
      <c r="AL232" s="22">
        <v>1166.67</v>
      </c>
      <c r="AM232" s="22"/>
      <c r="AN232" s="22" t="s">
        <v>3143</v>
      </c>
      <c r="AO232" s="35"/>
      <c r="AP232" s="9"/>
      <c r="AQ232" s="9"/>
      <c r="AR232" s="9"/>
      <c r="AS232" s="9"/>
      <c r="AT232" s="9"/>
      <c r="AU232" s="9"/>
      <c r="AV232" s="9"/>
      <c r="AW232" s="178">
        <v>44958</v>
      </c>
      <c r="AX232" s="179">
        <v>1186</v>
      </c>
      <c r="AY232" s="179"/>
      <c r="AZ232" s="179"/>
      <c r="BA232" s="40">
        <v>1166.67</v>
      </c>
      <c r="BB232" s="35"/>
      <c r="BD232" s="9"/>
      <c r="CS232" s="11">
        <f t="shared" si="20"/>
        <v>1166.67</v>
      </c>
      <c r="CT232" s="22">
        <f t="shared" si="21"/>
        <v>1166.67</v>
      </c>
      <c r="CU232" s="22">
        <f t="shared" si="22"/>
        <v>0</v>
      </c>
      <c r="CV232" s="26">
        <f t="shared" si="23"/>
        <v>0</v>
      </c>
    </row>
    <row r="233" spans="1:100" x14ac:dyDescent="0.2">
      <c r="A233" s="9" t="s">
        <v>140</v>
      </c>
      <c r="B233" s="2">
        <v>65</v>
      </c>
      <c r="C233" s="3" t="s">
        <v>95</v>
      </c>
      <c r="D233" s="3" t="s">
        <v>96</v>
      </c>
      <c r="E233" s="2" t="s">
        <v>68</v>
      </c>
      <c r="F233" s="2">
        <v>9</v>
      </c>
      <c r="G233" s="2" t="s">
        <v>72</v>
      </c>
      <c r="H233" s="2">
        <v>8</v>
      </c>
      <c r="I233" s="20">
        <v>124.74</v>
      </c>
      <c r="J233" s="20">
        <v>35900</v>
      </c>
      <c r="K233" s="3">
        <v>0</v>
      </c>
      <c r="L233" s="3" t="s">
        <v>3</v>
      </c>
      <c r="M233" s="10" t="s">
        <v>0</v>
      </c>
      <c r="N233" s="10" t="s">
        <v>9</v>
      </c>
      <c r="O233" s="9" t="s">
        <v>141</v>
      </c>
      <c r="P233" s="9" t="s">
        <v>0</v>
      </c>
      <c r="Q233" s="30" t="s">
        <v>142</v>
      </c>
      <c r="R233" s="9" t="s">
        <v>143</v>
      </c>
      <c r="S233" s="9" t="s">
        <v>158</v>
      </c>
      <c r="V233" s="10">
        <v>124.74</v>
      </c>
      <c r="W233" s="10" t="s">
        <v>710</v>
      </c>
      <c r="X233" s="17">
        <v>44696</v>
      </c>
      <c r="Y233" s="17">
        <v>44698</v>
      </c>
      <c r="Z233" s="191" t="s">
        <v>772</v>
      </c>
      <c r="AA233" s="207">
        <v>33000</v>
      </c>
      <c r="AB233" s="9">
        <v>12</v>
      </c>
      <c r="AC233" s="9">
        <v>9</v>
      </c>
      <c r="AD233" s="17">
        <v>44990</v>
      </c>
      <c r="AE233" s="54">
        <v>1166.67</v>
      </c>
      <c r="AF233" s="54"/>
      <c r="AG233" s="9" t="s">
        <v>134</v>
      </c>
      <c r="AH233" s="127">
        <v>44998</v>
      </c>
      <c r="AI233" s="104" t="s">
        <v>9</v>
      </c>
      <c r="AJ233" s="22" t="s">
        <v>3165</v>
      </c>
      <c r="AK233" s="22" t="s">
        <v>154</v>
      </c>
      <c r="AL233" s="22">
        <v>1166.67</v>
      </c>
      <c r="AM233" s="22"/>
      <c r="AN233" s="22" t="s">
        <v>3150</v>
      </c>
      <c r="AO233" s="22"/>
      <c r="AP233" s="9"/>
      <c r="AQ233" s="9"/>
      <c r="AR233" s="9"/>
      <c r="AS233" s="9"/>
      <c r="AT233" s="9"/>
      <c r="AU233" s="9"/>
      <c r="AV233" s="9"/>
      <c r="AW233" s="42">
        <v>44993</v>
      </c>
      <c r="AX233" s="36">
        <v>1300</v>
      </c>
      <c r="AY233" s="36"/>
      <c r="AZ233" s="36"/>
      <c r="BA233" s="40">
        <v>1166.67</v>
      </c>
      <c r="BB233" s="22"/>
      <c r="BD233" s="9"/>
      <c r="CS233" s="11">
        <f t="shared" si="20"/>
        <v>1166.67</v>
      </c>
      <c r="CT233" s="22">
        <f t="shared" si="21"/>
        <v>1166.67</v>
      </c>
      <c r="CU233" s="22">
        <f t="shared" si="22"/>
        <v>0</v>
      </c>
      <c r="CV233" s="26">
        <f t="shared" si="23"/>
        <v>0</v>
      </c>
    </row>
    <row r="234" spans="1:100" x14ac:dyDescent="0.2">
      <c r="A234" s="9" t="s">
        <v>140</v>
      </c>
      <c r="B234" s="2">
        <v>65</v>
      </c>
      <c r="C234" s="3" t="s">
        <v>95</v>
      </c>
      <c r="D234" s="3" t="s">
        <v>96</v>
      </c>
      <c r="E234" s="2" t="s">
        <v>68</v>
      </c>
      <c r="F234" s="2">
        <v>9</v>
      </c>
      <c r="G234" s="2" t="s">
        <v>72</v>
      </c>
      <c r="H234" s="2">
        <v>8</v>
      </c>
      <c r="I234" s="20">
        <v>124.74</v>
      </c>
      <c r="J234" s="20">
        <v>35900</v>
      </c>
      <c r="K234" s="3">
        <v>0</v>
      </c>
      <c r="L234" s="3" t="s">
        <v>3</v>
      </c>
      <c r="M234" s="10" t="s">
        <v>0</v>
      </c>
      <c r="N234" s="10" t="s">
        <v>9</v>
      </c>
      <c r="O234" s="9" t="s">
        <v>141</v>
      </c>
      <c r="P234" s="9" t="s">
        <v>0</v>
      </c>
      <c r="Q234" s="30" t="s">
        <v>142</v>
      </c>
      <c r="R234" s="9" t="s">
        <v>143</v>
      </c>
      <c r="S234" s="9" t="s">
        <v>158</v>
      </c>
      <c r="V234" s="10">
        <v>124.74</v>
      </c>
      <c r="W234" s="10" t="s">
        <v>710</v>
      </c>
      <c r="X234" s="17">
        <v>44696</v>
      </c>
      <c r="Y234" s="17">
        <v>44698</v>
      </c>
      <c r="Z234" s="191" t="s">
        <v>772</v>
      </c>
      <c r="AA234" s="207">
        <v>33000</v>
      </c>
      <c r="AB234" s="9">
        <v>12</v>
      </c>
      <c r="AC234" s="9">
        <v>10</v>
      </c>
      <c r="AD234" s="17">
        <v>45021</v>
      </c>
      <c r="AE234" s="54">
        <v>1166.67</v>
      </c>
      <c r="AF234" s="54"/>
      <c r="AG234" s="9" t="s">
        <v>134</v>
      </c>
      <c r="AH234" s="127">
        <v>45029</v>
      </c>
      <c r="AI234" s="104" t="s">
        <v>9</v>
      </c>
      <c r="AJ234" s="22" t="s">
        <v>3165</v>
      </c>
      <c r="AK234" s="22" t="s">
        <v>155</v>
      </c>
      <c r="AL234" s="22">
        <v>1166.67</v>
      </c>
      <c r="AM234" s="22"/>
      <c r="AN234" s="22" t="s">
        <v>3152</v>
      </c>
      <c r="AO234" s="22"/>
      <c r="AP234" s="9"/>
      <c r="AQ234" s="9"/>
      <c r="AR234" s="9"/>
      <c r="AS234" s="9"/>
      <c r="AT234" s="9"/>
      <c r="AU234" s="9"/>
      <c r="AV234" s="9"/>
      <c r="AW234" s="42">
        <v>45027</v>
      </c>
      <c r="AX234" s="36">
        <v>1395</v>
      </c>
      <c r="AY234" s="36"/>
      <c r="AZ234" s="36"/>
      <c r="BA234" s="40">
        <v>1166.68</v>
      </c>
      <c r="BB234" s="22"/>
      <c r="BD234" s="9"/>
      <c r="CS234" s="11">
        <f t="shared" si="20"/>
        <v>1166.67</v>
      </c>
      <c r="CT234" s="22">
        <f t="shared" si="21"/>
        <v>1166.68</v>
      </c>
      <c r="CU234" s="22">
        <f t="shared" si="22"/>
        <v>-9.9999999999909051E-3</v>
      </c>
      <c r="CV234" s="26">
        <f t="shared" si="23"/>
        <v>0</v>
      </c>
    </row>
    <row r="235" spans="1:100" x14ac:dyDescent="0.2">
      <c r="A235" s="9" t="s">
        <v>140</v>
      </c>
      <c r="B235" s="2">
        <v>65</v>
      </c>
      <c r="C235" s="3" t="s">
        <v>95</v>
      </c>
      <c r="D235" s="3" t="s">
        <v>96</v>
      </c>
      <c r="E235" s="2" t="s">
        <v>68</v>
      </c>
      <c r="F235" s="2">
        <v>9</v>
      </c>
      <c r="G235" s="2" t="s">
        <v>72</v>
      </c>
      <c r="H235" s="2">
        <v>8</v>
      </c>
      <c r="I235" s="20">
        <v>124.74</v>
      </c>
      <c r="J235" s="20">
        <v>35900</v>
      </c>
      <c r="K235" s="3">
        <v>0</v>
      </c>
      <c r="L235" s="3" t="s">
        <v>3</v>
      </c>
      <c r="M235" s="10" t="s">
        <v>0</v>
      </c>
      <c r="N235" s="10" t="s">
        <v>9</v>
      </c>
      <c r="O235" s="9" t="s">
        <v>141</v>
      </c>
      <c r="P235" s="9" t="s">
        <v>0</v>
      </c>
      <c r="Q235" s="30" t="s">
        <v>142</v>
      </c>
      <c r="R235" s="9" t="s">
        <v>143</v>
      </c>
      <c r="S235" s="9" t="s">
        <v>158</v>
      </c>
      <c r="V235" s="10">
        <v>124.74</v>
      </c>
      <c r="W235" s="10" t="s">
        <v>710</v>
      </c>
      <c r="X235" s="17">
        <v>44696</v>
      </c>
      <c r="Y235" s="17">
        <v>44698</v>
      </c>
      <c r="Z235" s="191" t="s">
        <v>772</v>
      </c>
      <c r="AA235" s="207">
        <v>33000</v>
      </c>
      <c r="AB235" s="9">
        <v>12</v>
      </c>
      <c r="AC235" s="9">
        <v>11</v>
      </c>
      <c r="AD235" s="17">
        <v>45051</v>
      </c>
      <c r="AE235" s="54">
        <v>1166.67</v>
      </c>
      <c r="AF235" s="54"/>
      <c r="AG235" s="9" t="s">
        <v>134</v>
      </c>
      <c r="AH235" s="127">
        <v>45055</v>
      </c>
      <c r="AI235" s="104" t="s">
        <v>9</v>
      </c>
      <c r="AJ235" s="22" t="s">
        <v>3165</v>
      </c>
      <c r="AK235" s="22" t="s">
        <v>156</v>
      </c>
      <c r="AL235" s="22">
        <v>1166.67</v>
      </c>
      <c r="AM235" s="22"/>
      <c r="AN235" s="22" t="s">
        <v>3156</v>
      </c>
      <c r="AO235" s="22"/>
      <c r="AP235" s="9"/>
      <c r="AQ235" s="9"/>
      <c r="AR235" s="9"/>
      <c r="AS235" s="9"/>
      <c r="AT235" s="9"/>
      <c r="AU235" s="9"/>
      <c r="AV235" s="9"/>
      <c r="AW235" s="42">
        <v>45049</v>
      </c>
      <c r="AX235" s="36">
        <v>1475</v>
      </c>
      <c r="AY235" s="36"/>
      <c r="AZ235" s="36"/>
      <c r="BA235" s="40">
        <v>1166.68</v>
      </c>
      <c r="BB235" s="22"/>
      <c r="BD235" s="9"/>
      <c r="CS235" s="11">
        <f t="shared" si="20"/>
        <v>1166.67</v>
      </c>
      <c r="CT235" s="22">
        <f t="shared" si="21"/>
        <v>1166.68</v>
      </c>
      <c r="CU235" s="22">
        <f t="shared" si="22"/>
        <v>-9.9999999999909051E-3</v>
      </c>
      <c r="CV235" s="26">
        <f t="shared" si="23"/>
        <v>0</v>
      </c>
    </row>
    <row r="236" spans="1:100" x14ac:dyDescent="0.2">
      <c r="A236" s="9" t="s">
        <v>140</v>
      </c>
      <c r="B236" s="2">
        <v>65</v>
      </c>
      <c r="C236" s="3" t="s">
        <v>95</v>
      </c>
      <c r="D236" s="3" t="s">
        <v>96</v>
      </c>
      <c r="E236" s="2" t="s">
        <v>68</v>
      </c>
      <c r="F236" s="2">
        <v>9</v>
      </c>
      <c r="G236" s="2" t="s">
        <v>72</v>
      </c>
      <c r="H236" s="2">
        <v>8</v>
      </c>
      <c r="I236" s="20">
        <v>124.74</v>
      </c>
      <c r="J236" s="20">
        <v>35900</v>
      </c>
      <c r="K236" s="3">
        <v>0</v>
      </c>
      <c r="L236" s="3" t="s">
        <v>3</v>
      </c>
      <c r="M236" s="10" t="s">
        <v>0</v>
      </c>
      <c r="N236" s="10" t="s">
        <v>9</v>
      </c>
      <c r="O236" s="9" t="s">
        <v>141</v>
      </c>
      <c r="P236" s="9" t="s">
        <v>0</v>
      </c>
      <c r="Q236" s="30" t="s">
        <v>142</v>
      </c>
      <c r="R236" s="9" t="s">
        <v>143</v>
      </c>
      <c r="S236" s="9" t="s">
        <v>158</v>
      </c>
      <c r="V236" s="10">
        <v>124.74</v>
      </c>
      <c r="W236" s="10" t="s">
        <v>710</v>
      </c>
      <c r="X236" s="17">
        <v>44696</v>
      </c>
      <c r="Y236" s="17">
        <v>44698</v>
      </c>
      <c r="Z236" s="191" t="s">
        <v>772</v>
      </c>
      <c r="AA236" s="207">
        <v>33000</v>
      </c>
      <c r="AB236" s="9">
        <v>12</v>
      </c>
      <c r="AC236" s="9">
        <v>12</v>
      </c>
      <c r="AD236" s="17">
        <v>45082</v>
      </c>
      <c r="AE236" s="54">
        <v>1166.67</v>
      </c>
      <c r="AF236" s="54"/>
      <c r="AG236" s="9" t="s">
        <v>134</v>
      </c>
      <c r="AH236" s="127">
        <v>45085</v>
      </c>
      <c r="AI236" s="104" t="s">
        <v>9</v>
      </c>
      <c r="AJ236" s="22" t="s">
        <v>3165</v>
      </c>
      <c r="AK236" s="22" t="s">
        <v>157</v>
      </c>
      <c r="AL236" s="22">
        <v>1166.67</v>
      </c>
      <c r="AM236" s="22"/>
      <c r="AN236" s="22" t="s">
        <v>3161</v>
      </c>
      <c r="AO236" s="22"/>
      <c r="AP236" s="9"/>
      <c r="AQ236" s="9"/>
      <c r="AR236" s="9"/>
      <c r="AS236" s="9"/>
      <c r="AT236" s="9"/>
      <c r="AU236" s="9"/>
      <c r="AV236" s="9"/>
      <c r="AW236" s="42">
        <v>45083</v>
      </c>
      <c r="AX236" s="36">
        <v>1592</v>
      </c>
      <c r="AY236" s="36"/>
      <c r="AZ236" s="36"/>
      <c r="BA236" s="40">
        <v>1166.67</v>
      </c>
      <c r="BB236" s="22"/>
      <c r="BD236" s="9"/>
      <c r="CS236" s="11">
        <f t="shared" si="20"/>
        <v>1166.67</v>
      </c>
      <c r="CT236" s="22">
        <f t="shared" si="21"/>
        <v>1166.67</v>
      </c>
      <c r="CU236" s="22">
        <f t="shared" si="22"/>
        <v>0</v>
      </c>
      <c r="CV236" s="26">
        <f t="shared" si="23"/>
        <v>0</v>
      </c>
    </row>
    <row r="237" spans="1:100" x14ac:dyDescent="0.2">
      <c r="A237" s="9" t="s">
        <v>140</v>
      </c>
      <c r="B237" s="2">
        <v>65</v>
      </c>
      <c r="C237" s="3" t="s">
        <v>95</v>
      </c>
      <c r="D237" s="3" t="s">
        <v>96</v>
      </c>
      <c r="E237" s="2" t="s">
        <v>68</v>
      </c>
      <c r="F237" s="2">
        <v>9</v>
      </c>
      <c r="G237" s="2" t="s">
        <v>72</v>
      </c>
      <c r="H237" s="2">
        <v>8</v>
      </c>
      <c r="I237" s="20">
        <v>124.74</v>
      </c>
      <c r="J237" s="20">
        <v>35900</v>
      </c>
      <c r="K237" s="3">
        <v>0</v>
      </c>
      <c r="L237" s="3" t="s">
        <v>3</v>
      </c>
      <c r="M237" s="10" t="s">
        <v>0</v>
      </c>
      <c r="N237" s="10" t="s">
        <v>9</v>
      </c>
      <c r="O237" s="9" t="s">
        <v>141</v>
      </c>
      <c r="P237" s="9" t="s">
        <v>0</v>
      </c>
      <c r="Q237" s="30" t="s">
        <v>142</v>
      </c>
      <c r="R237" s="9" t="s">
        <v>143</v>
      </c>
      <c r="S237" s="9" t="s">
        <v>170</v>
      </c>
      <c r="V237" s="10">
        <v>12.5</v>
      </c>
      <c r="W237" s="10" t="s">
        <v>710</v>
      </c>
      <c r="X237" s="17">
        <v>44696</v>
      </c>
      <c r="Y237" s="17">
        <v>44698</v>
      </c>
      <c r="Z237" s="191" t="s">
        <v>772</v>
      </c>
      <c r="AA237" s="207">
        <v>6000</v>
      </c>
      <c r="AB237" s="9">
        <v>12</v>
      </c>
      <c r="AC237" s="9">
        <v>0</v>
      </c>
      <c r="AD237" s="17">
        <v>44701</v>
      </c>
      <c r="AE237" s="54">
        <v>1000</v>
      </c>
      <c r="AF237" s="54"/>
      <c r="AG237" s="9" t="s">
        <v>134</v>
      </c>
      <c r="AH237" s="127">
        <v>44701</v>
      </c>
      <c r="AI237" s="104" t="s">
        <v>9</v>
      </c>
      <c r="AJ237" s="22" t="s">
        <v>3165</v>
      </c>
      <c r="AK237" s="22" t="s">
        <v>159</v>
      </c>
      <c r="AL237" s="22">
        <v>1000</v>
      </c>
      <c r="AM237" s="22"/>
      <c r="AN237" s="22" t="s">
        <v>3113</v>
      </c>
      <c r="AO237" s="22"/>
      <c r="AP237" s="9"/>
      <c r="AQ237" s="9"/>
      <c r="AR237" s="9"/>
      <c r="AS237" s="9"/>
      <c r="AT237" s="9"/>
      <c r="AU237" s="9"/>
      <c r="AV237" s="9"/>
      <c r="AW237" s="42">
        <v>44701</v>
      </c>
      <c r="AX237" s="36">
        <v>657</v>
      </c>
      <c r="AY237" s="36"/>
      <c r="AZ237" s="36"/>
      <c r="BA237" s="40">
        <v>1000</v>
      </c>
      <c r="BB237" s="22"/>
      <c r="BD237" s="9"/>
      <c r="CS237" s="11">
        <f t="shared" si="20"/>
        <v>1000</v>
      </c>
      <c r="CT237" s="22">
        <f t="shared" si="21"/>
        <v>1000</v>
      </c>
      <c r="CU237" s="22">
        <f t="shared" si="22"/>
        <v>0</v>
      </c>
      <c r="CV237" s="26">
        <f t="shared" si="23"/>
        <v>0</v>
      </c>
    </row>
    <row r="238" spans="1:100" x14ac:dyDescent="0.2">
      <c r="A238" s="9" t="s">
        <v>140</v>
      </c>
      <c r="B238" s="2">
        <v>65</v>
      </c>
      <c r="C238" s="3" t="s">
        <v>95</v>
      </c>
      <c r="D238" s="3" t="s">
        <v>96</v>
      </c>
      <c r="E238" s="2" t="s">
        <v>68</v>
      </c>
      <c r="F238" s="2">
        <v>9</v>
      </c>
      <c r="G238" s="2" t="s">
        <v>72</v>
      </c>
      <c r="H238" s="2">
        <v>8</v>
      </c>
      <c r="I238" s="20">
        <v>124.74</v>
      </c>
      <c r="J238" s="20">
        <v>35900</v>
      </c>
      <c r="K238" s="3">
        <v>0</v>
      </c>
      <c r="L238" s="3" t="s">
        <v>3</v>
      </c>
      <c r="M238" s="10" t="s">
        <v>0</v>
      </c>
      <c r="N238" s="10" t="s">
        <v>9</v>
      </c>
      <c r="O238" s="9" t="s">
        <v>141</v>
      </c>
      <c r="P238" s="9" t="s">
        <v>0</v>
      </c>
      <c r="Q238" s="30" t="s">
        <v>142</v>
      </c>
      <c r="R238" s="9" t="s">
        <v>143</v>
      </c>
      <c r="S238" s="9" t="s">
        <v>170</v>
      </c>
      <c r="V238" s="10">
        <v>12.5</v>
      </c>
      <c r="W238" s="10" t="s">
        <v>710</v>
      </c>
      <c r="X238" s="17">
        <v>44696</v>
      </c>
      <c r="Y238" s="17">
        <v>44698</v>
      </c>
      <c r="Z238" s="191" t="s">
        <v>772</v>
      </c>
      <c r="AA238" s="207">
        <v>6000</v>
      </c>
      <c r="AB238" s="9">
        <v>12</v>
      </c>
      <c r="AC238" s="9">
        <v>1</v>
      </c>
      <c r="AD238" s="17">
        <v>44747</v>
      </c>
      <c r="AE238" s="54">
        <v>416.67</v>
      </c>
      <c r="AF238" s="54"/>
      <c r="AG238" s="9" t="s">
        <v>134</v>
      </c>
      <c r="AH238" s="127">
        <v>44748</v>
      </c>
      <c r="AI238" s="104" t="s">
        <v>9</v>
      </c>
      <c r="AJ238" s="22" t="s">
        <v>3165</v>
      </c>
      <c r="AK238" s="22" t="s">
        <v>160</v>
      </c>
      <c r="AL238" s="22">
        <v>416.67</v>
      </c>
      <c r="AM238" s="22"/>
      <c r="AN238" s="22" t="s">
        <v>3116</v>
      </c>
      <c r="AO238" s="22"/>
      <c r="AP238" s="9"/>
      <c r="AQ238" s="9"/>
      <c r="AR238" s="9"/>
      <c r="AS238" s="9"/>
      <c r="AT238" s="9"/>
      <c r="AU238" s="9"/>
      <c r="AV238" s="9"/>
      <c r="AW238" s="42">
        <v>45842</v>
      </c>
      <c r="AX238" s="36">
        <v>763</v>
      </c>
      <c r="AY238" s="36"/>
      <c r="AZ238" s="36"/>
      <c r="BA238" s="40">
        <v>416.67</v>
      </c>
      <c r="BB238" s="22"/>
      <c r="BD238" s="9"/>
      <c r="CS238" s="11">
        <f t="shared" si="20"/>
        <v>416.67</v>
      </c>
      <c r="CT238" s="22">
        <f t="shared" si="21"/>
        <v>416.67</v>
      </c>
      <c r="CU238" s="22">
        <f t="shared" si="22"/>
        <v>0</v>
      </c>
      <c r="CV238" s="26">
        <f t="shared" si="23"/>
        <v>0</v>
      </c>
    </row>
    <row r="239" spans="1:100" x14ac:dyDescent="0.2">
      <c r="A239" s="9" t="s">
        <v>140</v>
      </c>
      <c r="B239" s="2">
        <v>65</v>
      </c>
      <c r="C239" s="3" t="s">
        <v>95</v>
      </c>
      <c r="D239" s="3" t="s">
        <v>96</v>
      </c>
      <c r="E239" s="2" t="s">
        <v>68</v>
      </c>
      <c r="F239" s="2">
        <v>9</v>
      </c>
      <c r="G239" s="2" t="s">
        <v>72</v>
      </c>
      <c r="H239" s="2">
        <v>8</v>
      </c>
      <c r="I239" s="20">
        <v>124.74</v>
      </c>
      <c r="J239" s="20">
        <v>35900</v>
      </c>
      <c r="K239" s="3">
        <v>0</v>
      </c>
      <c r="L239" s="3" t="s">
        <v>3</v>
      </c>
      <c r="M239" s="10" t="s">
        <v>0</v>
      </c>
      <c r="N239" s="10" t="s">
        <v>9</v>
      </c>
      <c r="O239" s="9" t="s">
        <v>141</v>
      </c>
      <c r="P239" s="9" t="s">
        <v>0</v>
      </c>
      <c r="Q239" s="30" t="s">
        <v>142</v>
      </c>
      <c r="R239" s="9" t="s">
        <v>143</v>
      </c>
      <c r="S239" s="9" t="s">
        <v>170</v>
      </c>
      <c r="V239" s="10">
        <v>12.5</v>
      </c>
      <c r="W239" s="10" t="s">
        <v>710</v>
      </c>
      <c r="X239" s="17">
        <v>44696</v>
      </c>
      <c r="Y239" s="17">
        <v>44698</v>
      </c>
      <c r="Z239" s="191" t="s">
        <v>772</v>
      </c>
      <c r="AA239" s="207">
        <v>6000</v>
      </c>
      <c r="AB239" s="9">
        <v>12</v>
      </c>
      <c r="AC239" s="9">
        <v>2</v>
      </c>
      <c r="AD239" s="17">
        <v>44778</v>
      </c>
      <c r="AE239" s="54">
        <v>416.67</v>
      </c>
      <c r="AF239" s="54"/>
      <c r="AG239" s="9" t="s">
        <v>134</v>
      </c>
      <c r="AH239" s="127">
        <v>44764</v>
      </c>
      <c r="AI239" s="104" t="s">
        <v>9</v>
      </c>
      <c r="AJ239" s="22" t="s">
        <v>3165</v>
      </c>
      <c r="AK239" s="22" t="s">
        <v>161</v>
      </c>
      <c r="AL239" s="22">
        <v>416.66</v>
      </c>
      <c r="AM239" s="22"/>
      <c r="AN239" s="22" t="s">
        <v>3120</v>
      </c>
      <c r="AO239" s="22"/>
      <c r="AP239" s="9"/>
      <c r="AQ239" s="9"/>
      <c r="AR239" s="9"/>
      <c r="AS239" s="9"/>
      <c r="AT239" s="9"/>
      <c r="AU239" s="9"/>
      <c r="AV239" s="9"/>
      <c r="AW239" s="42">
        <v>44760</v>
      </c>
      <c r="AX239" s="36">
        <v>798</v>
      </c>
      <c r="AY239" s="36"/>
      <c r="AZ239" s="36"/>
      <c r="BA239" s="40">
        <v>416.66</v>
      </c>
      <c r="BB239" s="22"/>
      <c r="BD239" s="9"/>
      <c r="CS239" s="11">
        <f t="shared" si="20"/>
        <v>416.66</v>
      </c>
      <c r="CT239" s="22">
        <f t="shared" si="21"/>
        <v>416.66</v>
      </c>
      <c r="CU239" s="22">
        <f t="shared" si="22"/>
        <v>0</v>
      </c>
      <c r="CV239" s="26">
        <f t="shared" si="23"/>
        <v>9.9999999999909051E-3</v>
      </c>
    </row>
    <row r="240" spans="1:100" x14ac:dyDescent="0.2">
      <c r="A240" s="9" t="s">
        <v>140</v>
      </c>
      <c r="B240" s="2">
        <v>65</v>
      </c>
      <c r="C240" s="3" t="s">
        <v>95</v>
      </c>
      <c r="D240" s="3" t="s">
        <v>96</v>
      </c>
      <c r="E240" s="2" t="s">
        <v>68</v>
      </c>
      <c r="F240" s="2">
        <v>9</v>
      </c>
      <c r="G240" s="2" t="s">
        <v>72</v>
      </c>
      <c r="H240" s="2">
        <v>8</v>
      </c>
      <c r="I240" s="20">
        <v>124.74</v>
      </c>
      <c r="J240" s="20">
        <v>35900</v>
      </c>
      <c r="K240" s="3">
        <v>0</v>
      </c>
      <c r="L240" s="3" t="s">
        <v>3</v>
      </c>
      <c r="M240" s="10" t="s">
        <v>0</v>
      </c>
      <c r="N240" s="10" t="s">
        <v>9</v>
      </c>
      <c r="O240" s="9" t="s">
        <v>141</v>
      </c>
      <c r="P240" s="9" t="s">
        <v>0</v>
      </c>
      <c r="Q240" s="30" t="s">
        <v>142</v>
      </c>
      <c r="R240" s="9" t="s">
        <v>143</v>
      </c>
      <c r="S240" s="9" t="s">
        <v>170</v>
      </c>
      <c r="V240" s="10">
        <v>12.5</v>
      </c>
      <c r="W240" s="10" t="s">
        <v>710</v>
      </c>
      <c r="X240" s="17">
        <v>44696</v>
      </c>
      <c r="Y240" s="17">
        <v>44698</v>
      </c>
      <c r="Z240" s="191" t="s">
        <v>772</v>
      </c>
      <c r="AA240" s="207">
        <v>6000</v>
      </c>
      <c r="AB240" s="9">
        <v>12</v>
      </c>
      <c r="AC240" s="9">
        <v>3</v>
      </c>
      <c r="AD240" s="17">
        <v>44809</v>
      </c>
      <c r="AE240" s="54">
        <v>416.67</v>
      </c>
      <c r="AF240" s="54"/>
      <c r="AG240" s="9" t="s">
        <v>134</v>
      </c>
      <c r="AH240" s="167">
        <v>44810</v>
      </c>
      <c r="AI240" s="104" t="s">
        <v>9</v>
      </c>
      <c r="AJ240" s="22" t="s">
        <v>3165</v>
      </c>
      <c r="AK240" s="35" t="s">
        <v>162</v>
      </c>
      <c r="AL240" s="35">
        <v>416.69</v>
      </c>
      <c r="AM240" s="35"/>
      <c r="AN240" s="35" t="s">
        <v>3123</v>
      </c>
      <c r="AO240" s="22"/>
      <c r="AP240" s="9"/>
      <c r="AQ240" s="9"/>
      <c r="AR240" s="9"/>
      <c r="AS240" s="9"/>
      <c r="AT240" s="9"/>
      <c r="AU240" s="9"/>
      <c r="AV240" s="9"/>
      <c r="AW240" s="42">
        <v>44809</v>
      </c>
      <c r="AX240" s="36">
        <v>920</v>
      </c>
      <c r="AY240" s="36"/>
      <c r="AZ240" s="36"/>
      <c r="BA240" s="177">
        <v>416.69</v>
      </c>
      <c r="BB240" s="22"/>
      <c r="BD240" s="9"/>
      <c r="CS240" s="11">
        <f t="shared" si="20"/>
        <v>416.69</v>
      </c>
      <c r="CT240" s="22">
        <f t="shared" si="21"/>
        <v>416.69</v>
      </c>
      <c r="CU240" s="22">
        <f t="shared" si="22"/>
        <v>0</v>
      </c>
      <c r="CV240" s="26">
        <f t="shared" si="23"/>
        <v>-1.999999999998181E-2</v>
      </c>
    </row>
    <row r="241" spans="1:100" x14ac:dyDescent="0.2">
      <c r="A241" s="9" t="s">
        <v>140</v>
      </c>
      <c r="B241" s="2">
        <v>65</v>
      </c>
      <c r="C241" s="3" t="s">
        <v>95</v>
      </c>
      <c r="D241" s="3" t="s">
        <v>96</v>
      </c>
      <c r="E241" s="2" t="s">
        <v>68</v>
      </c>
      <c r="F241" s="2">
        <v>9</v>
      </c>
      <c r="G241" s="2" t="s">
        <v>72</v>
      </c>
      <c r="H241" s="2">
        <v>8</v>
      </c>
      <c r="I241" s="20">
        <v>124.74</v>
      </c>
      <c r="J241" s="20">
        <v>35900</v>
      </c>
      <c r="K241" s="3">
        <v>0</v>
      </c>
      <c r="L241" s="3" t="s">
        <v>3</v>
      </c>
      <c r="M241" s="10" t="s">
        <v>0</v>
      </c>
      <c r="N241" s="10" t="s">
        <v>9</v>
      </c>
      <c r="O241" s="9" t="s">
        <v>141</v>
      </c>
      <c r="P241" s="9" t="s">
        <v>0</v>
      </c>
      <c r="Q241" s="30" t="s">
        <v>142</v>
      </c>
      <c r="R241" s="9" t="s">
        <v>143</v>
      </c>
      <c r="S241" s="9" t="s">
        <v>170</v>
      </c>
      <c r="V241" s="10">
        <v>12.5</v>
      </c>
      <c r="W241" s="10" t="s">
        <v>710</v>
      </c>
      <c r="X241" s="17">
        <v>44696</v>
      </c>
      <c r="Y241" s="17">
        <v>44698</v>
      </c>
      <c r="Z241" s="191" t="s">
        <v>772</v>
      </c>
      <c r="AA241" s="207">
        <v>6000</v>
      </c>
      <c r="AB241" s="9">
        <v>12</v>
      </c>
      <c r="AC241" s="9">
        <v>4</v>
      </c>
      <c r="AD241" s="17">
        <v>44839</v>
      </c>
      <c r="AE241" s="54">
        <v>416.67</v>
      </c>
      <c r="AF241" s="54"/>
      <c r="AG241" s="9" t="s">
        <v>134</v>
      </c>
      <c r="AH241" s="167">
        <v>44841</v>
      </c>
      <c r="AI241" s="104" t="s">
        <v>9</v>
      </c>
      <c r="AJ241" s="22" t="s">
        <v>3165</v>
      </c>
      <c r="AK241" s="35" t="s">
        <v>163</v>
      </c>
      <c r="AL241" s="35">
        <v>416.69</v>
      </c>
      <c r="AM241" s="35"/>
      <c r="AN241" s="35" t="s">
        <v>3128</v>
      </c>
      <c r="AO241" s="22"/>
      <c r="AP241" s="9"/>
      <c r="AQ241" s="9"/>
      <c r="AR241" s="9"/>
      <c r="AS241" s="9"/>
      <c r="AT241" s="9"/>
      <c r="AU241" s="9"/>
      <c r="AV241" s="9"/>
      <c r="AW241" s="42">
        <v>44840</v>
      </c>
      <c r="AX241" s="36">
        <v>995</v>
      </c>
      <c r="AY241" s="36"/>
      <c r="AZ241" s="36"/>
      <c r="BA241" s="40">
        <v>416.69</v>
      </c>
      <c r="BB241" s="22"/>
      <c r="BD241" s="9"/>
      <c r="CS241" s="11">
        <f t="shared" si="20"/>
        <v>416.69</v>
      </c>
      <c r="CT241" s="22">
        <f t="shared" si="21"/>
        <v>416.69</v>
      </c>
      <c r="CU241" s="22">
        <f t="shared" si="22"/>
        <v>0</v>
      </c>
      <c r="CV241" s="26">
        <f t="shared" si="23"/>
        <v>-1.999999999998181E-2</v>
      </c>
    </row>
    <row r="242" spans="1:100" x14ac:dyDescent="0.2">
      <c r="A242" s="9" t="s">
        <v>140</v>
      </c>
      <c r="B242" s="2">
        <v>65</v>
      </c>
      <c r="C242" s="3" t="s">
        <v>95</v>
      </c>
      <c r="D242" s="3" t="s">
        <v>96</v>
      </c>
      <c r="E242" s="2" t="s">
        <v>68</v>
      </c>
      <c r="F242" s="2">
        <v>9</v>
      </c>
      <c r="G242" s="2" t="s">
        <v>72</v>
      </c>
      <c r="H242" s="2">
        <v>8</v>
      </c>
      <c r="I242" s="20">
        <v>124.74</v>
      </c>
      <c r="J242" s="20">
        <v>35900</v>
      </c>
      <c r="K242" s="3">
        <v>0</v>
      </c>
      <c r="L242" s="3" t="s">
        <v>3</v>
      </c>
      <c r="M242" s="10" t="s">
        <v>0</v>
      </c>
      <c r="N242" s="10" t="s">
        <v>9</v>
      </c>
      <c r="O242" s="9" t="s">
        <v>141</v>
      </c>
      <c r="P242" s="9" t="s">
        <v>0</v>
      </c>
      <c r="Q242" s="30" t="s">
        <v>142</v>
      </c>
      <c r="R242" s="9" t="s">
        <v>143</v>
      </c>
      <c r="S242" s="9" t="s">
        <v>170</v>
      </c>
      <c r="V242" s="10">
        <v>12.5</v>
      </c>
      <c r="W242" s="10" t="s">
        <v>710</v>
      </c>
      <c r="X242" s="17">
        <v>44696</v>
      </c>
      <c r="Y242" s="17">
        <v>44698</v>
      </c>
      <c r="Z242" s="191" t="s">
        <v>772</v>
      </c>
      <c r="AA242" s="207">
        <v>6000</v>
      </c>
      <c r="AB242" s="9">
        <v>12</v>
      </c>
      <c r="AC242" s="9">
        <v>5</v>
      </c>
      <c r="AD242" s="17">
        <v>44870</v>
      </c>
      <c r="AE242" s="54">
        <v>416.67</v>
      </c>
      <c r="AF242" s="54"/>
      <c r="AG242" s="9" t="s">
        <v>134</v>
      </c>
      <c r="AH242" s="127">
        <v>44874</v>
      </c>
      <c r="AI242" s="104" t="s">
        <v>9</v>
      </c>
      <c r="AJ242" s="22" t="s">
        <v>3165</v>
      </c>
      <c r="AK242" s="22" t="s">
        <v>164</v>
      </c>
      <c r="AL242" s="22">
        <v>416.67</v>
      </c>
      <c r="AM242" s="22"/>
      <c r="AN242" s="22" t="s">
        <v>3130</v>
      </c>
      <c r="AO242" s="22"/>
      <c r="AP242" s="9"/>
      <c r="AQ242" s="9"/>
      <c r="AR242" s="9"/>
      <c r="AS242" s="9"/>
      <c r="AT242" s="9"/>
      <c r="AU242" s="9"/>
      <c r="AV242" s="9"/>
      <c r="AW242" s="42">
        <v>44869</v>
      </c>
      <c r="AX242" s="36">
        <v>1056</v>
      </c>
      <c r="AY242" s="36"/>
      <c r="AZ242" s="36"/>
      <c r="BA242" s="40">
        <v>416.67</v>
      </c>
      <c r="BB242" s="22"/>
      <c r="BD242" s="9"/>
      <c r="CS242" s="11">
        <f t="shared" si="20"/>
        <v>416.67</v>
      </c>
      <c r="CT242" s="22">
        <f t="shared" si="21"/>
        <v>416.67</v>
      </c>
      <c r="CU242" s="22">
        <f t="shared" si="22"/>
        <v>0</v>
      </c>
      <c r="CV242" s="26">
        <f t="shared" si="23"/>
        <v>0</v>
      </c>
    </row>
    <row r="243" spans="1:100" x14ac:dyDescent="0.2">
      <c r="A243" s="9" t="s">
        <v>140</v>
      </c>
      <c r="B243" s="2">
        <v>65</v>
      </c>
      <c r="C243" s="3" t="s">
        <v>95</v>
      </c>
      <c r="D243" s="3" t="s">
        <v>96</v>
      </c>
      <c r="E243" s="2" t="s">
        <v>68</v>
      </c>
      <c r="F243" s="2">
        <v>9</v>
      </c>
      <c r="G243" s="2" t="s">
        <v>72</v>
      </c>
      <c r="H243" s="2">
        <v>8</v>
      </c>
      <c r="I243" s="20">
        <v>124.74</v>
      </c>
      <c r="J243" s="20">
        <v>35900</v>
      </c>
      <c r="K243" s="3">
        <v>0</v>
      </c>
      <c r="L243" s="3" t="s">
        <v>3</v>
      </c>
      <c r="M243" s="10" t="s">
        <v>0</v>
      </c>
      <c r="N243" s="10" t="s">
        <v>9</v>
      </c>
      <c r="O243" s="9" t="s">
        <v>141</v>
      </c>
      <c r="P243" s="9" t="s">
        <v>0</v>
      </c>
      <c r="Q243" s="30" t="s">
        <v>142</v>
      </c>
      <c r="R243" s="9" t="s">
        <v>143</v>
      </c>
      <c r="S243" s="9" t="s">
        <v>170</v>
      </c>
      <c r="V243" s="10">
        <v>12.5</v>
      </c>
      <c r="W243" s="10" t="s">
        <v>710</v>
      </c>
      <c r="X243" s="17">
        <v>44696</v>
      </c>
      <c r="Y243" s="17">
        <v>44698</v>
      </c>
      <c r="Z243" s="191" t="s">
        <v>772</v>
      </c>
      <c r="AA243" s="207">
        <v>6000</v>
      </c>
      <c r="AB243" s="9">
        <v>12</v>
      </c>
      <c r="AC243" s="9">
        <v>6</v>
      </c>
      <c r="AD243" s="17">
        <v>44900</v>
      </c>
      <c r="AE243" s="54">
        <v>416.67</v>
      </c>
      <c r="AF243" s="54"/>
      <c r="AG243" s="9" t="s">
        <v>134</v>
      </c>
      <c r="AH243" s="127">
        <v>44909</v>
      </c>
      <c r="AI243" s="104" t="s">
        <v>9</v>
      </c>
      <c r="AJ243" s="22" t="s">
        <v>3165</v>
      </c>
      <c r="AK243" s="22" t="s">
        <v>165</v>
      </c>
      <c r="AL243" s="22">
        <v>416.68</v>
      </c>
      <c r="AM243" s="22"/>
      <c r="AN243" s="22" t="s">
        <v>3135</v>
      </c>
      <c r="AO243" s="22"/>
      <c r="AP243" s="9"/>
      <c r="AQ243" s="9"/>
      <c r="AR243" s="9"/>
      <c r="AS243" s="9"/>
      <c r="AT243" s="9"/>
      <c r="AU243" s="9"/>
      <c r="AV243" s="9"/>
      <c r="AW243" s="42">
        <v>44901</v>
      </c>
      <c r="AX243" s="36">
        <v>1094</v>
      </c>
      <c r="AY243" s="36"/>
      <c r="AZ243" s="36"/>
      <c r="BA243" s="40">
        <v>416.68</v>
      </c>
      <c r="BB243" s="22"/>
      <c r="BD243" s="9"/>
      <c r="CS243" s="11">
        <f t="shared" si="20"/>
        <v>416.68</v>
      </c>
      <c r="CT243" s="22">
        <f t="shared" si="21"/>
        <v>416.68</v>
      </c>
      <c r="CU243" s="22">
        <f t="shared" si="22"/>
        <v>0</v>
      </c>
      <c r="CV243" s="26">
        <f t="shared" si="23"/>
        <v>-9.9999999999909051E-3</v>
      </c>
    </row>
    <row r="244" spans="1:100" x14ac:dyDescent="0.2">
      <c r="A244" s="9" t="s">
        <v>140</v>
      </c>
      <c r="B244" s="2">
        <v>65</v>
      </c>
      <c r="C244" s="3" t="s">
        <v>95</v>
      </c>
      <c r="D244" s="3" t="s">
        <v>96</v>
      </c>
      <c r="E244" s="2" t="s">
        <v>68</v>
      </c>
      <c r="F244" s="2">
        <v>9</v>
      </c>
      <c r="G244" s="2" t="s">
        <v>72</v>
      </c>
      <c r="H244" s="2">
        <v>8</v>
      </c>
      <c r="I244" s="20">
        <v>124.74</v>
      </c>
      <c r="J244" s="20">
        <v>35900</v>
      </c>
      <c r="K244" s="3">
        <v>0</v>
      </c>
      <c r="L244" s="3" t="s">
        <v>3</v>
      </c>
      <c r="M244" s="10" t="s">
        <v>0</v>
      </c>
      <c r="N244" s="10" t="s">
        <v>9</v>
      </c>
      <c r="O244" s="9" t="s">
        <v>141</v>
      </c>
      <c r="P244" s="9" t="s">
        <v>0</v>
      </c>
      <c r="Q244" s="30" t="s">
        <v>142</v>
      </c>
      <c r="R244" s="9" t="s">
        <v>143</v>
      </c>
      <c r="S244" s="9" t="s">
        <v>170</v>
      </c>
      <c r="V244" s="10">
        <v>12.5</v>
      </c>
      <c r="W244" s="10" t="s">
        <v>710</v>
      </c>
      <c r="X244" s="17">
        <v>44696</v>
      </c>
      <c r="Y244" s="17">
        <v>44698</v>
      </c>
      <c r="Z244" s="191" t="s">
        <v>772</v>
      </c>
      <c r="AA244" s="207">
        <v>6000</v>
      </c>
      <c r="AB244" s="9">
        <v>12</v>
      </c>
      <c r="AC244" s="9">
        <v>7</v>
      </c>
      <c r="AD244" s="17">
        <v>44931</v>
      </c>
      <c r="AE244" s="54">
        <v>416.67</v>
      </c>
      <c r="AF244" s="54"/>
      <c r="AG244" s="9" t="s">
        <v>134</v>
      </c>
      <c r="AH244" s="127">
        <v>44938</v>
      </c>
      <c r="AI244" s="104" t="s">
        <v>9</v>
      </c>
      <c r="AJ244" s="22" t="s">
        <v>3165</v>
      </c>
      <c r="AK244" s="22" t="s">
        <v>166</v>
      </c>
      <c r="AL244" s="22">
        <v>416.68</v>
      </c>
      <c r="AM244" s="22"/>
      <c r="AN244" s="22" t="s">
        <v>3140</v>
      </c>
      <c r="AO244" s="22"/>
      <c r="AP244" s="9"/>
      <c r="AQ244" s="9"/>
      <c r="AR244" s="9"/>
      <c r="AS244" s="9"/>
      <c r="AT244" s="9"/>
      <c r="AU244" s="9"/>
      <c r="AV244" s="9"/>
      <c r="AW244" s="42">
        <v>44937</v>
      </c>
      <c r="AX244" s="36">
        <v>1143</v>
      </c>
      <c r="AY244" s="36"/>
      <c r="AZ244" s="36"/>
      <c r="BA244" s="40">
        <v>416.68</v>
      </c>
      <c r="BB244" s="22"/>
      <c r="BD244" s="9"/>
      <c r="CS244" s="11">
        <f t="shared" si="20"/>
        <v>416.68</v>
      </c>
      <c r="CT244" s="22">
        <f t="shared" si="21"/>
        <v>416.68</v>
      </c>
      <c r="CU244" s="22">
        <f t="shared" si="22"/>
        <v>0</v>
      </c>
      <c r="CV244" s="26">
        <f t="shared" si="23"/>
        <v>-9.9999999999909051E-3</v>
      </c>
    </row>
    <row r="245" spans="1:100" x14ac:dyDescent="0.2">
      <c r="A245" s="9" t="s">
        <v>140</v>
      </c>
      <c r="B245" s="2">
        <v>65</v>
      </c>
      <c r="C245" s="3" t="s">
        <v>95</v>
      </c>
      <c r="D245" s="3" t="s">
        <v>96</v>
      </c>
      <c r="E245" s="2" t="s">
        <v>68</v>
      </c>
      <c r="F245" s="2">
        <v>9</v>
      </c>
      <c r="G245" s="2" t="s">
        <v>72</v>
      </c>
      <c r="H245" s="2">
        <v>8</v>
      </c>
      <c r="I245" s="20">
        <v>124.74</v>
      </c>
      <c r="J245" s="20">
        <v>35900</v>
      </c>
      <c r="K245" s="3">
        <v>0</v>
      </c>
      <c r="L245" s="3" t="s">
        <v>3</v>
      </c>
      <c r="M245" s="10" t="s">
        <v>0</v>
      </c>
      <c r="N245" s="10" t="s">
        <v>9</v>
      </c>
      <c r="O245" s="9" t="s">
        <v>141</v>
      </c>
      <c r="P245" s="9" t="s">
        <v>0</v>
      </c>
      <c r="Q245" s="30" t="s">
        <v>142</v>
      </c>
      <c r="R245" s="9" t="s">
        <v>143</v>
      </c>
      <c r="S245" s="9" t="s">
        <v>170</v>
      </c>
      <c r="V245" s="10">
        <v>12.5</v>
      </c>
      <c r="W245" s="10" t="s">
        <v>710</v>
      </c>
      <c r="X245" s="17">
        <v>44696</v>
      </c>
      <c r="Y245" s="17">
        <v>44698</v>
      </c>
      <c r="Z245" s="191" t="s">
        <v>772</v>
      </c>
      <c r="AA245" s="207">
        <v>6000</v>
      </c>
      <c r="AB245" s="9">
        <v>12</v>
      </c>
      <c r="AC245" s="9">
        <v>8</v>
      </c>
      <c r="AD245" s="17">
        <v>44962</v>
      </c>
      <c r="AE245" s="54">
        <v>416.67</v>
      </c>
      <c r="AF245" s="54"/>
      <c r="AG245" s="9" t="s">
        <v>134</v>
      </c>
      <c r="AH245" s="127">
        <v>44961</v>
      </c>
      <c r="AI245" s="104" t="s">
        <v>9</v>
      </c>
      <c r="AJ245" s="22" t="s">
        <v>3165</v>
      </c>
      <c r="AK245" s="22" t="s">
        <v>167</v>
      </c>
      <c r="AL245" s="22">
        <v>416.68</v>
      </c>
      <c r="AM245" s="22"/>
      <c r="AN245" s="22" t="s">
        <v>3145</v>
      </c>
      <c r="AO245" s="22"/>
      <c r="AP245" s="9"/>
      <c r="AQ245" s="9"/>
      <c r="AR245" s="9"/>
      <c r="AS245" s="9"/>
      <c r="AT245" s="9"/>
      <c r="AU245" s="9"/>
      <c r="AV245" s="9"/>
      <c r="AW245" s="42">
        <v>44959</v>
      </c>
      <c r="AX245" s="36">
        <v>1202</v>
      </c>
      <c r="AY245" s="36"/>
      <c r="AZ245" s="36"/>
      <c r="BA245" s="40">
        <v>416.68</v>
      </c>
      <c r="BB245" s="22"/>
      <c r="BD245" s="9"/>
      <c r="CS245" s="11">
        <f t="shared" si="20"/>
        <v>416.68</v>
      </c>
      <c r="CT245" s="22">
        <f t="shared" si="21"/>
        <v>416.68</v>
      </c>
      <c r="CU245" s="22">
        <f t="shared" si="22"/>
        <v>0</v>
      </c>
      <c r="CV245" s="26">
        <f t="shared" si="23"/>
        <v>-9.9999999999909051E-3</v>
      </c>
    </row>
    <row r="246" spans="1:100" x14ac:dyDescent="0.2">
      <c r="A246" s="9" t="s">
        <v>140</v>
      </c>
      <c r="B246" s="2">
        <v>65</v>
      </c>
      <c r="C246" s="3" t="s">
        <v>95</v>
      </c>
      <c r="D246" s="3" t="s">
        <v>96</v>
      </c>
      <c r="E246" s="2" t="s">
        <v>68</v>
      </c>
      <c r="F246" s="2">
        <v>9</v>
      </c>
      <c r="G246" s="2" t="s">
        <v>72</v>
      </c>
      <c r="H246" s="2">
        <v>8</v>
      </c>
      <c r="I246" s="20">
        <v>124.74</v>
      </c>
      <c r="J246" s="20">
        <v>35900</v>
      </c>
      <c r="K246" s="3">
        <v>0</v>
      </c>
      <c r="L246" s="3" t="s">
        <v>3</v>
      </c>
      <c r="M246" s="10" t="s">
        <v>0</v>
      </c>
      <c r="N246" s="10" t="s">
        <v>9</v>
      </c>
      <c r="O246" s="9" t="s">
        <v>141</v>
      </c>
      <c r="P246" s="9" t="s">
        <v>0</v>
      </c>
      <c r="Q246" s="30" t="s">
        <v>142</v>
      </c>
      <c r="R246" s="9" t="s">
        <v>143</v>
      </c>
      <c r="S246" s="9" t="s">
        <v>170</v>
      </c>
      <c r="V246" s="10">
        <v>12.5</v>
      </c>
      <c r="W246" s="10" t="s">
        <v>710</v>
      </c>
      <c r="X246" s="17">
        <v>44696</v>
      </c>
      <c r="Y246" s="17">
        <v>44698</v>
      </c>
      <c r="Z246" s="191" t="s">
        <v>772</v>
      </c>
      <c r="AA246" s="207">
        <v>6000</v>
      </c>
      <c r="AB246" s="9">
        <v>12</v>
      </c>
      <c r="AC246" s="9">
        <v>9</v>
      </c>
      <c r="AD246" s="17">
        <v>44990</v>
      </c>
      <c r="AE246" s="54">
        <v>416.67</v>
      </c>
      <c r="AF246" s="54"/>
      <c r="AG246" s="9" t="s">
        <v>134</v>
      </c>
      <c r="AH246" s="127">
        <v>44998</v>
      </c>
      <c r="AI246" s="104" t="s">
        <v>9</v>
      </c>
      <c r="AJ246" s="22" t="s">
        <v>3165</v>
      </c>
      <c r="AK246" s="22" t="s">
        <v>168</v>
      </c>
      <c r="AL246" s="22">
        <v>416.68</v>
      </c>
      <c r="AM246" s="22"/>
      <c r="AN246" s="22" t="s">
        <v>3149</v>
      </c>
      <c r="AO246" s="22"/>
      <c r="AP246" s="9"/>
      <c r="AQ246" s="9"/>
      <c r="AR246" s="9"/>
      <c r="AS246" s="9"/>
      <c r="AT246" s="9"/>
      <c r="AU246" s="9"/>
      <c r="AV246" s="9"/>
      <c r="AW246" s="42">
        <v>44995</v>
      </c>
      <c r="AX246" s="36">
        <v>1311</v>
      </c>
      <c r="AY246" s="36"/>
      <c r="AZ246" s="36"/>
      <c r="BA246" s="40">
        <v>416.68</v>
      </c>
      <c r="BB246" s="22"/>
      <c r="BD246" s="9"/>
      <c r="CS246" s="11">
        <f t="shared" si="20"/>
        <v>416.68</v>
      </c>
      <c r="CT246" s="22">
        <f t="shared" si="21"/>
        <v>416.68</v>
      </c>
      <c r="CU246" s="22">
        <f t="shared" si="22"/>
        <v>0</v>
      </c>
      <c r="CV246" s="26">
        <f t="shared" si="23"/>
        <v>-9.9999999999909051E-3</v>
      </c>
    </row>
    <row r="247" spans="1:100" x14ac:dyDescent="0.2">
      <c r="A247" s="9" t="s">
        <v>140</v>
      </c>
      <c r="B247" s="2">
        <v>65</v>
      </c>
      <c r="C247" s="3" t="s">
        <v>95</v>
      </c>
      <c r="D247" s="3" t="s">
        <v>96</v>
      </c>
      <c r="E247" s="2" t="s">
        <v>68</v>
      </c>
      <c r="F247" s="2">
        <v>9</v>
      </c>
      <c r="G247" s="2" t="s">
        <v>72</v>
      </c>
      <c r="H247" s="2">
        <v>8</v>
      </c>
      <c r="I247" s="20">
        <v>124.74</v>
      </c>
      <c r="J247" s="20">
        <v>35900</v>
      </c>
      <c r="K247" s="3">
        <v>0</v>
      </c>
      <c r="L247" s="3" t="s">
        <v>3</v>
      </c>
      <c r="M247" s="10" t="s">
        <v>0</v>
      </c>
      <c r="N247" s="10" t="s">
        <v>9</v>
      </c>
      <c r="O247" s="9" t="s">
        <v>141</v>
      </c>
      <c r="P247" s="9" t="s">
        <v>0</v>
      </c>
      <c r="Q247" s="30" t="s">
        <v>142</v>
      </c>
      <c r="R247" s="9" t="s">
        <v>143</v>
      </c>
      <c r="S247" s="9" t="s">
        <v>170</v>
      </c>
      <c r="V247" s="10">
        <v>12.5</v>
      </c>
      <c r="W247" s="10" t="s">
        <v>710</v>
      </c>
      <c r="X247" s="17">
        <v>44696</v>
      </c>
      <c r="Y247" s="17">
        <v>44698</v>
      </c>
      <c r="Z247" s="191" t="s">
        <v>772</v>
      </c>
      <c r="AA247" s="207">
        <v>6000</v>
      </c>
      <c r="AB247" s="9">
        <v>12</v>
      </c>
      <c r="AC247" s="9">
        <v>10</v>
      </c>
      <c r="AD247" s="17">
        <v>45021</v>
      </c>
      <c r="AE247" s="54">
        <v>416.67</v>
      </c>
      <c r="AF247" s="54"/>
      <c r="AG247" s="9" t="s">
        <v>134</v>
      </c>
      <c r="AH247" s="127">
        <v>45029</v>
      </c>
      <c r="AI247" s="104" t="s">
        <v>9</v>
      </c>
      <c r="AJ247" s="22" t="s">
        <v>3165</v>
      </c>
      <c r="AK247" s="22" t="s">
        <v>3166</v>
      </c>
      <c r="AL247" s="22">
        <v>416.68</v>
      </c>
      <c r="AM247" s="22"/>
      <c r="AN247" s="22" t="s">
        <v>3154</v>
      </c>
      <c r="AO247" s="22"/>
      <c r="AP247" s="9"/>
      <c r="AQ247" s="9"/>
      <c r="AR247" s="9"/>
      <c r="AS247" s="9"/>
      <c r="AT247" s="9"/>
      <c r="AU247" s="9"/>
      <c r="AV247" s="9"/>
      <c r="AW247" s="42">
        <v>45027</v>
      </c>
      <c r="AX247" s="36">
        <v>1395</v>
      </c>
      <c r="AY247" s="36"/>
      <c r="AZ247" s="36"/>
      <c r="BA247" s="40">
        <v>416.68</v>
      </c>
      <c r="BB247" s="22"/>
      <c r="BD247" s="9"/>
      <c r="CS247" s="11">
        <f t="shared" si="20"/>
        <v>416.68</v>
      </c>
      <c r="CT247" s="22">
        <f t="shared" si="21"/>
        <v>416.68</v>
      </c>
      <c r="CU247" s="22">
        <f t="shared" si="22"/>
        <v>0</v>
      </c>
      <c r="CV247" s="26">
        <f t="shared" si="23"/>
        <v>-9.9999999999909051E-3</v>
      </c>
    </row>
    <row r="248" spans="1:100" x14ac:dyDescent="0.2">
      <c r="A248" s="9" t="s">
        <v>140</v>
      </c>
      <c r="B248" s="2">
        <v>65</v>
      </c>
      <c r="C248" s="3" t="s">
        <v>95</v>
      </c>
      <c r="D248" s="3" t="s">
        <v>96</v>
      </c>
      <c r="E248" s="2" t="s">
        <v>68</v>
      </c>
      <c r="F248" s="2">
        <v>9</v>
      </c>
      <c r="G248" s="2" t="s">
        <v>72</v>
      </c>
      <c r="H248" s="2">
        <v>8</v>
      </c>
      <c r="I248" s="20">
        <v>124.74</v>
      </c>
      <c r="J248" s="20">
        <v>35900</v>
      </c>
      <c r="K248" s="3">
        <v>0</v>
      </c>
      <c r="L248" s="3" t="s">
        <v>3</v>
      </c>
      <c r="M248" s="10" t="s">
        <v>0</v>
      </c>
      <c r="N248" s="10" t="s">
        <v>9</v>
      </c>
      <c r="O248" s="9" t="s">
        <v>141</v>
      </c>
      <c r="P248" s="9" t="s">
        <v>0</v>
      </c>
      <c r="Q248" s="30" t="s">
        <v>142</v>
      </c>
      <c r="R248" s="9" t="s">
        <v>143</v>
      </c>
      <c r="S248" s="9" t="s">
        <v>170</v>
      </c>
      <c r="V248" s="10">
        <v>12.5</v>
      </c>
      <c r="W248" s="10" t="s">
        <v>710</v>
      </c>
      <c r="X248" s="17">
        <v>44696</v>
      </c>
      <c r="Y248" s="17">
        <v>44698</v>
      </c>
      <c r="Z248" s="191" t="s">
        <v>772</v>
      </c>
      <c r="AA248" s="207">
        <v>6000</v>
      </c>
      <c r="AB248" s="9">
        <v>12</v>
      </c>
      <c r="AC248" s="9">
        <v>11</v>
      </c>
      <c r="AD248" s="17">
        <v>45051</v>
      </c>
      <c r="AE248" s="54">
        <v>416.67</v>
      </c>
      <c r="AF248" s="54"/>
      <c r="AG248" s="9" t="s">
        <v>134</v>
      </c>
      <c r="AH248" s="127">
        <v>45055</v>
      </c>
      <c r="AI248" s="104" t="s">
        <v>9</v>
      </c>
      <c r="AJ248" s="22" t="s">
        <v>3165</v>
      </c>
      <c r="AK248" s="22" t="s">
        <v>3167</v>
      </c>
      <c r="AL248" s="22">
        <v>416.68</v>
      </c>
      <c r="AM248" s="22"/>
      <c r="AN248" s="22" t="s">
        <v>3157</v>
      </c>
      <c r="AO248" s="22"/>
      <c r="AP248" s="9"/>
      <c r="AQ248" s="9"/>
      <c r="AR248" s="9"/>
      <c r="AS248" s="9"/>
      <c r="AT248" s="9"/>
      <c r="AU248" s="9"/>
      <c r="AV248" s="9"/>
      <c r="AW248" s="42">
        <v>45050</v>
      </c>
      <c r="AX248" s="36">
        <v>1482</v>
      </c>
      <c r="AY248" s="36"/>
      <c r="AZ248" s="36"/>
      <c r="BA248" s="40">
        <v>416.68</v>
      </c>
      <c r="BB248" s="22"/>
      <c r="BD248" s="9"/>
      <c r="CS248" s="11">
        <f t="shared" si="20"/>
        <v>416.68</v>
      </c>
      <c r="CT248" s="22">
        <f t="shared" si="21"/>
        <v>416.68</v>
      </c>
      <c r="CU248" s="22">
        <f t="shared" si="22"/>
        <v>0</v>
      </c>
      <c r="CV248" s="26">
        <f t="shared" si="23"/>
        <v>-9.9999999999909051E-3</v>
      </c>
    </row>
    <row r="249" spans="1:100" x14ac:dyDescent="0.2">
      <c r="A249" s="9" t="s">
        <v>140</v>
      </c>
      <c r="B249" s="2">
        <v>65</v>
      </c>
      <c r="C249" s="3" t="s">
        <v>95</v>
      </c>
      <c r="D249" s="3" t="s">
        <v>96</v>
      </c>
      <c r="E249" s="2" t="s">
        <v>68</v>
      </c>
      <c r="F249" s="2">
        <v>9</v>
      </c>
      <c r="G249" s="2" t="s">
        <v>72</v>
      </c>
      <c r="H249" s="2">
        <v>8</v>
      </c>
      <c r="I249" s="20">
        <v>124.74</v>
      </c>
      <c r="J249" s="20">
        <v>35900</v>
      </c>
      <c r="K249" s="3">
        <v>0</v>
      </c>
      <c r="L249" s="3" t="s">
        <v>3</v>
      </c>
      <c r="M249" s="10" t="s">
        <v>0</v>
      </c>
      <c r="N249" s="10" t="s">
        <v>9</v>
      </c>
      <c r="O249" s="9" t="s">
        <v>141</v>
      </c>
      <c r="P249" s="9" t="s">
        <v>0</v>
      </c>
      <c r="Q249" s="30" t="s">
        <v>142</v>
      </c>
      <c r="R249" s="9" t="s">
        <v>143</v>
      </c>
      <c r="S249" s="9" t="s">
        <v>170</v>
      </c>
      <c r="V249" s="10">
        <v>12.5</v>
      </c>
      <c r="W249" s="10" t="s">
        <v>710</v>
      </c>
      <c r="X249" s="17">
        <v>44696</v>
      </c>
      <c r="Y249" s="17">
        <v>44698</v>
      </c>
      <c r="Z249" s="191" t="s">
        <v>772</v>
      </c>
      <c r="AA249" s="207">
        <v>6000</v>
      </c>
      <c r="AB249" s="9">
        <v>12</v>
      </c>
      <c r="AC249" s="9">
        <v>12</v>
      </c>
      <c r="AD249" s="17">
        <v>45082</v>
      </c>
      <c r="AE249" s="54">
        <v>416.67</v>
      </c>
      <c r="AF249" s="54"/>
      <c r="AG249" s="9" t="s">
        <v>134</v>
      </c>
      <c r="AH249" s="127">
        <v>45085</v>
      </c>
      <c r="AI249" s="104" t="s">
        <v>9</v>
      </c>
      <c r="AJ249" s="22" t="s">
        <v>3165</v>
      </c>
      <c r="AK249" s="22" t="s">
        <v>169</v>
      </c>
      <c r="AL249" s="22">
        <v>416.68</v>
      </c>
      <c r="AM249" s="22"/>
      <c r="AN249" s="22" t="s">
        <v>3159</v>
      </c>
      <c r="AO249" s="22"/>
      <c r="AP249" s="9"/>
      <c r="AQ249" s="9"/>
      <c r="AR249" s="9"/>
      <c r="AS249" s="9"/>
      <c r="AT249" s="9"/>
      <c r="AU249" s="9"/>
      <c r="AV249" s="9"/>
      <c r="AW249" s="42">
        <v>45084</v>
      </c>
      <c r="AX249" s="36">
        <v>1606</v>
      </c>
      <c r="AY249" s="36"/>
      <c r="AZ249" s="36"/>
      <c r="BA249" s="40">
        <v>416.68</v>
      </c>
      <c r="BB249" s="22"/>
      <c r="BD249" s="9"/>
      <c r="CS249" s="11">
        <f t="shared" si="20"/>
        <v>416.68</v>
      </c>
      <c r="CT249" s="22">
        <f t="shared" si="21"/>
        <v>416.68</v>
      </c>
      <c r="CU249" s="22">
        <f t="shared" si="22"/>
        <v>0</v>
      </c>
      <c r="CV249" s="26">
        <f t="shared" si="23"/>
        <v>-9.9999999999909051E-3</v>
      </c>
    </row>
    <row r="250" spans="1:100" x14ac:dyDescent="0.2">
      <c r="A250" s="9" t="s">
        <v>172</v>
      </c>
      <c r="B250" s="2">
        <v>66</v>
      </c>
      <c r="C250" s="3" t="s">
        <v>95</v>
      </c>
      <c r="D250" s="3" t="s">
        <v>96</v>
      </c>
      <c r="E250" s="2" t="s">
        <v>68</v>
      </c>
      <c r="F250" s="2">
        <v>10</v>
      </c>
      <c r="G250" s="2" t="s">
        <v>72</v>
      </c>
      <c r="H250" s="2">
        <v>9</v>
      </c>
      <c r="I250" s="20">
        <v>125.04</v>
      </c>
      <c r="J250" s="20">
        <v>36900</v>
      </c>
      <c r="K250" s="3">
        <v>0</v>
      </c>
      <c r="L250" s="3" t="s">
        <v>3</v>
      </c>
      <c r="M250" s="10" t="s">
        <v>0</v>
      </c>
      <c r="N250" s="10" t="s">
        <v>9</v>
      </c>
      <c r="O250" s="9" t="s">
        <v>141</v>
      </c>
      <c r="P250" s="9" t="s">
        <v>0</v>
      </c>
      <c r="Q250" s="30" t="s">
        <v>142</v>
      </c>
      <c r="R250" s="9" t="s">
        <v>143</v>
      </c>
      <c r="S250" s="9" t="s">
        <v>158</v>
      </c>
      <c r="V250" s="10">
        <v>125.04</v>
      </c>
      <c r="W250" s="10" t="s">
        <v>710</v>
      </c>
      <c r="X250" s="17">
        <v>44696</v>
      </c>
      <c r="Y250" s="17">
        <v>44698</v>
      </c>
      <c r="Z250" s="19" t="s">
        <v>772</v>
      </c>
      <c r="AA250" s="209">
        <v>35000</v>
      </c>
      <c r="AB250" s="9">
        <v>12</v>
      </c>
      <c r="AC250" s="9">
        <v>0</v>
      </c>
      <c r="AD250" s="17">
        <v>44696</v>
      </c>
      <c r="AE250" s="74">
        <v>500</v>
      </c>
      <c r="AF250" s="74"/>
      <c r="AG250" s="9" t="s">
        <v>134</v>
      </c>
      <c r="AH250" s="201">
        <v>44696</v>
      </c>
      <c r="AI250" s="202" t="s">
        <v>9</v>
      </c>
      <c r="AJ250" s="79" t="s">
        <v>3165</v>
      </c>
      <c r="AK250" s="79" t="s">
        <v>173</v>
      </c>
      <c r="AL250" s="79">
        <v>500</v>
      </c>
      <c r="AM250" s="79"/>
      <c r="AN250" s="79" t="s">
        <v>3110</v>
      </c>
      <c r="AO250" s="79"/>
      <c r="AP250" s="9"/>
      <c r="AQ250" s="9"/>
      <c r="AR250" s="9"/>
      <c r="AS250" s="9"/>
      <c r="AT250" s="9"/>
      <c r="AU250" s="9"/>
      <c r="AV250" s="9"/>
      <c r="AW250" s="42">
        <v>44696</v>
      </c>
      <c r="AX250" s="36">
        <v>643</v>
      </c>
      <c r="AY250" s="36"/>
      <c r="AZ250" s="36"/>
      <c r="BA250" s="206">
        <v>500</v>
      </c>
      <c r="BB250" s="79"/>
      <c r="BD250" s="9"/>
      <c r="CS250" s="11">
        <f t="shared" si="20"/>
        <v>500</v>
      </c>
      <c r="CT250" s="22">
        <f t="shared" si="21"/>
        <v>500</v>
      </c>
      <c r="CU250" s="22">
        <f t="shared" si="22"/>
        <v>0</v>
      </c>
      <c r="CV250" s="26">
        <f t="shared" si="23"/>
        <v>0</v>
      </c>
    </row>
    <row r="251" spans="1:100" x14ac:dyDescent="0.2">
      <c r="A251" s="9" t="s">
        <v>172</v>
      </c>
      <c r="B251" s="2">
        <v>66</v>
      </c>
      <c r="C251" s="3" t="s">
        <v>95</v>
      </c>
      <c r="D251" s="3" t="s">
        <v>96</v>
      </c>
      <c r="E251" s="2" t="s">
        <v>68</v>
      </c>
      <c r="F251" s="2">
        <v>10</v>
      </c>
      <c r="G251" s="2" t="s">
        <v>72</v>
      </c>
      <c r="H251" s="2">
        <v>9</v>
      </c>
      <c r="I251" s="20">
        <v>125.04</v>
      </c>
      <c r="J251" s="20">
        <v>36900</v>
      </c>
      <c r="K251" s="3">
        <v>0</v>
      </c>
      <c r="L251" s="3" t="s">
        <v>3</v>
      </c>
      <c r="M251" s="10" t="s">
        <v>0</v>
      </c>
      <c r="N251" s="10" t="s">
        <v>9</v>
      </c>
      <c r="O251" s="9" t="s">
        <v>141</v>
      </c>
      <c r="P251" s="9" t="s">
        <v>0</v>
      </c>
      <c r="Q251" s="30" t="s">
        <v>142</v>
      </c>
      <c r="R251" s="9" t="s">
        <v>143</v>
      </c>
      <c r="S251" s="9" t="s">
        <v>158</v>
      </c>
      <c r="V251" s="10">
        <v>125.04</v>
      </c>
      <c r="W251" s="10" t="s">
        <v>710</v>
      </c>
      <c r="X251" s="17">
        <v>44696</v>
      </c>
      <c r="Y251" s="17">
        <v>44698</v>
      </c>
      <c r="Z251" s="19" t="s">
        <v>772</v>
      </c>
      <c r="AA251" s="207">
        <v>35000</v>
      </c>
      <c r="AB251" s="9">
        <v>12</v>
      </c>
      <c r="AC251" s="9">
        <v>0</v>
      </c>
      <c r="AD251" s="17">
        <v>44701</v>
      </c>
      <c r="AE251" s="54">
        <v>18500</v>
      </c>
      <c r="AF251" s="54"/>
      <c r="AG251" s="9" t="s">
        <v>134</v>
      </c>
      <c r="AH251" s="127">
        <v>44701</v>
      </c>
      <c r="AI251" s="104" t="s">
        <v>9</v>
      </c>
      <c r="AJ251" s="22" t="s">
        <v>3165</v>
      </c>
      <c r="AK251" s="22" t="s">
        <v>174</v>
      </c>
      <c r="AL251" s="22">
        <v>18500</v>
      </c>
      <c r="AM251" s="22"/>
      <c r="AN251" s="22" t="s">
        <v>3111</v>
      </c>
      <c r="AO251" s="22"/>
      <c r="AP251" s="9"/>
      <c r="AQ251" s="9"/>
      <c r="AR251" s="9"/>
      <c r="AS251" s="9"/>
      <c r="AT251" s="9"/>
      <c r="AU251" s="9"/>
      <c r="AV251" s="9"/>
      <c r="AW251" s="42">
        <v>44701</v>
      </c>
      <c r="AX251" s="36">
        <v>657</v>
      </c>
      <c r="AY251" s="36"/>
      <c r="AZ251" s="36"/>
      <c r="BA251" s="40">
        <v>18500</v>
      </c>
      <c r="BB251" s="22"/>
      <c r="BD251" s="9"/>
      <c r="CS251" s="11">
        <f t="shared" si="20"/>
        <v>18500</v>
      </c>
      <c r="CT251" s="22">
        <f t="shared" si="21"/>
        <v>18500</v>
      </c>
      <c r="CU251" s="22">
        <f t="shared" si="22"/>
        <v>0</v>
      </c>
      <c r="CV251" s="26">
        <f t="shared" si="23"/>
        <v>0</v>
      </c>
    </row>
    <row r="252" spans="1:100" x14ac:dyDescent="0.2">
      <c r="A252" s="9" t="s">
        <v>172</v>
      </c>
      <c r="B252" s="2">
        <v>66</v>
      </c>
      <c r="C252" s="3" t="s">
        <v>95</v>
      </c>
      <c r="D252" s="3" t="s">
        <v>96</v>
      </c>
      <c r="E252" s="2" t="s">
        <v>68</v>
      </c>
      <c r="F252" s="2">
        <v>10</v>
      </c>
      <c r="G252" s="2" t="s">
        <v>72</v>
      </c>
      <c r="H252" s="2">
        <v>9</v>
      </c>
      <c r="I252" s="20">
        <v>125.04</v>
      </c>
      <c r="J252" s="20">
        <v>36900</v>
      </c>
      <c r="K252" s="3">
        <v>0</v>
      </c>
      <c r="L252" s="3" t="s">
        <v>3</v>
      </c>
      <c r="M252" s="10" t="s">
        <v>0</v>
      </c>
      <c r="N252" s="10" t="s">
        <v>9</v>
      </c>
      <c r="O252" s="9" t="s">
        <v>141</v>
      </c>
      <c r="P252" s="9" t="s">
        <v>0</v>
      </c>
      <c r="Q252" s="30" t="s">
        <v>142</v>
      </c>
      <c r="R252" s="9" t="s">
        <v>143</v>
      </c>
      <c r="S252" s="9" t="s">
        <v>158</v>
      </c>
      <c r="V252" s="10">
        <v>125.04</v>
      </c>
      <c r="W252" s="10" t="s">
        <v>710</v>
      </c>
      <c r="X252" s="17">
        <v>44696</v>
      </c>
      <c r="Y252" s="17">
        <v>44698</v>
      </c>
      <c r="Z252" s="19" t="s">
        <v>772</v>
      </c>
      <c r="AA252" s="207">
        <v>35000</v>
      </c>
      <c r="AB252" s="9">
        <v>12</v>
      </c>
      <c r="AC252" s="9">
        <v>1</v>
      </c>
      <c r="AD252" s="17">
        <v>44747</v>
      </c>
      <c r="AE252" s="54">
        <v>1333.33</v>
      </c>
      <c r="AF252" s="54"/>
      <c r="AG252" s="9" t="s">
        <v>134</v>
      </c>
      <c r="AH252" s="127">
        <v>44748</v>
      </c>
      <c r="AI252" s="104" t="s">
        <v>9</v>
      </c>
      <c r="AJ252" s="22" t="s">
        <v>3165</v>
      </c>
      <c r="AK252" s="22" t="s">
        <v>175</v>
      </c>
      <c r="AL252" s="22">
        <v>1333.33</v>
      </c>
      <c r="AM252" s="22"/>
      <c r="AN252" s="22" t="s">
        <v>3117</v>
      </c>
      <c r="AO252" s="22"/>
      <c r="AP252" s="9"/>
      <c r="AQ252" s="9"/>
      <c r="AR252" s="9"/>
      <c r="AS252" s="9"/>
      <c r="AT252" s="9"/>
      <c r="AU252" s="9"/>
      <c r="AV252" s="9"/>
      <c r="AW252" s="42">
        <v>45842</v>
      </c>
      <c r="AX252" s="36">
        <v>763</v>
      </c>
      <c r="AY252" s="36"/>
      <c r="AZ252" s="36"/>
      <c r="BA252" s="40">
        <v>1333.33</v>
      </c>
      <c r="BB252" s="22"/>
      <c r="BD252" s="9"/>
      <c r="CS252" s="11">
        <f t="shared" si="20"/>
        <v>1333.33</v>
      </c>
      <c r="CT252" s="22">
        <f t="shared" si="21"/>
        <v>1333.33</v>
      </c>
      <c r="CU252" s="22">
        <f t="shared" si="22"/>
        <v>0</v>
      </c>
      <c r="CV252" s="26">
        <f t="shared" si="23"/>
        <v>0</v>
      </c>
    </row>
    <row r="253" spans="1:100" x14ac:dyDescent="0.2">
      <c r="A253" s="9" t="s">
        <v>172</v>
      </c>
      <c r="B253" s="2">
        <v>66</v>
      </c>
      <c r="C253" s="3" t="s">
        <v>95</v>
      </c>
      <c r="D253" s="3" t="s">
        <v>96</v>
      </c>
      <c r="E253" s="2" t="s">
        <v>68</v>
      </c>
      <c r="F253" s="2">
        <v>10</v>
      </c>
      <c r="G253" s="2" t="s">
        <v>72</v>
      </c>
      <c r="H253" s="2">
        <v>9</v>
      </c>
      <c r="I253" s="20">
        <v>125.04</v>
      </c>
      <c r="J253" s="20">
        <v>36900</v>
      </c>
      <c r="K253" s="3">
        <v>0</v>
      </c>
      <c r="L253" s="3" t="s">
        <v>3</v>
      </c>
      <c r="M253" s="10" t="s">
        <v>0</v>
      </c>
      <c r="N253" s="10" t="s">
        <v>9</v>
      </c>
      <c r="O253" s="9" t="s">
        <v>141</v>
      </c>
      <c r="P253" s="9" t="s">
        <v>0</v>
      </c>
      <c r="Q253" s="30" t="s">
        <v>142</v>
      </c>
      <c r="R253" s="9" t="s">
        <v>143</v>
      </c>
      <c r="S253" s="9" t="s">
        <v>158</v>
      </c>
      <c r="V253" s="10">
        <v>125.04</v>
      </c>
      <c r="W253" s="10" t="s">
        <v>710</v>
      </c>
      <c r="X253" s="17">
        <v>44696</v>
      </c>
      <c r="Y253" s="17">
        <v>44698</v>
      </c>
      <c r="Z253" s="19" t="s">
        <v>772</v>
      </c>
      <c r="AA253" s="207">
        <v>35000</v>
      </c>
      <c r="AB253" s="9">
        <v>12</v>
      </c>
      <c r="AC253" s="9">
        <v>2</v>
      </c>
      <c r="AD253" s="17">
        <v>44778</v>
      </c>
      <c r="AE253" s="54">
        <v>1333.33</v>
      </c>
      <c r="AF253" s="54"/>
      <c r="AG253" s="9" t="s">
        <v>134</v>
      </c>
      <c r="AH253" s="127">
        <v>44764</v>
      </c>
      <c r="AI253" s="104" t="s">
        <v>9</v>
      </c>
      <c r="AJ253" s="22" t="s">
        <v>3165</v>
      </c>
      <c r="AK253" s="22" t="s">
        <v>176</v>
      </c>
      <c r="AL253" s="22">
        <v>1333</v>
      </c>
      <c r="AM253" s="22"/>
      <c r="AN253" s="22" t="s">
        <v>3122</v>
      </c>
      <c r="AO253" s="22"/>
      <c r="AP253" s="9"/>
      <c r="AQ253" s="9"/>
      <c r="AR253" s="9"/>
      <c r="AS253" s="9"/>
      <c r="AT253" s="9"/>
      <c r="AU253" s="9"/>
      <c r="AV253" s="9"/>
      <c r="AW253" s="42">
        <v>44761</v>
      </c>
      <c r="AX253" s="36">
        <v>805</v>
      </c>
      <c r="AY253" s="36"/>
      <c r="AZ253" s="36"/>
      <c r="BA253" s="40">
        <v>1333</v>
      </c>
      <c r="BB253" s="22"/>
      <c r="BD253" s="9"/>
      <c r="CS253" s="11">
        <f t="shared" si="20"/>
        <v>1333</v>
      </c>
      <c r="CT253" s="22">
        <f t="shared" si="21"/>
        <v>1333</v>
      </c>
      <c r="CU253" s="22">
        <f t="shared" si="22"/>
        <v>0</v>
      </c>
      <c r="CV253" s="26">
        <f t="shared" si="23"/>
        <v>0.32999999999992724</v>
      </c>
    </row>
    <row r="254" spans="1:100" x14ac:dyDescent="0.2">
      <c r="A254" s="9" t="s">
        <v>172</v>
      </c>
      <c r="B254" s="2">
        <v>66</v>
      </c>
      <c r="C254" s="3" t="s">
        <v>95</v>
      </c>
      <c r="D254" s="3" t="s">
        <v>96</v>
      </c>
      <c r="E254" s="2" t="s">
        <v>68</v>
      </c>
      <c r="F254" s="2">
        <v>10</v>
      </c>
      <c r="G254" s="2" t="s">
        <v>72</v>
      </c>
      <c r="H254" s="2">
        <v>9</v>
      </c>
      <c r="I254" s="20">
        <v>125.04</v>
      </c>
      <c r="J254" s="20">
        <v>36900</v>
      </c>
      <c r="K254" s="3">
        <v>0</v>
      </c>
      <c r="L254" s="3" t="s">
        <v>3</v>
      </c>
      <c r="M254" s="10" t="s">
        <v>0</v>
      </c>
      <c r="N254" s="10" t="s">
        <v>9</v>
      </c>
      <c r="O254" s="9" t="s">
        <v>141</v>
      </c>
      <c r="P254" s="9" t="s">
        <v>0</v>
      </c>
      <c r="Q254" s="30" t="s">
        <v>142</v>
      </c>
      <c r="R254" s="9" t="s">
        <v>143</v>
      </c>
      <c r="S254" s="9" t="s">
        <v>158</v>
      </c>
      <c r="V254" s="10">
        <v>125.04</v>
      </c>
      <c r="W254" s="10" t="s">
        <v>710</v>
      </c>
      <c r="X254" s="17">
        <v>44696</v>
      </c>
      <c r="Y254" s="17">
        <v>44698</v>
      </c>
      <c r="Z254" s="19" t="s">
        <v>772</v>
      </c>
      <c r="AA254" s="207">
        <v>35000</v>
      </c>
      <c r="AB254" s="9">
        <v>12</v>
      </c>
      <c r="AC254" s="9">
        <v>3</v>
      </c>
      <c r="AD254" s="17">
        <v>44809</v>
      </c>
      <c r="AE254" s="54">
        <v>1333.33</v>
      </c>
      <c r="AF254" s="54"/>
      <c r="AG254" s="9" t="s">
        <v>134</v>
      </c>
      <c r="AH254" s="127">
        <v>44810</v>
      </c>
      <c r="AI254" s="104" t="s">
        <v>9</v>
      </c>
      <c r="AJ254" s="22" t="s">
        <v>3165</v>
      </c>
      <c r="AK254" s="22" t="s">
        <v>177</v>
      </c>
      <c r="AL254" s="22">
        <v>1333</v>
      </c>
      <c r="AM254" s="22"/>
      <c r="AN254" s="22" t="s">
        <v>3126</v>
      </c>
      <c r="AO254" s="22"/>
      <c r="AP254" s="9"/>
      <c r="AQ254" s="9"/>
      <c r="AR254" s="9"/>
      <c r="AS254" s="9"/>
      <c r="AT254" s="9"/>
      <c r="AU254" s="9"/>
      <c r="AV254" s="9"/>
      <c r="AW254" s="42">
        <v>44806</v>
      </c>
      <c r="AX254" s="36">
        <v>917</v>
      </c>
      <c r="AY254" s="36"/>
      <c r="AZ254" s="36"/>
      <c r="BA254" s="40">
        <v>1333.33</v>
      </c>
      <c r="BB254" s="22"/>
      <c r="BD254" s="9"/>
      <c r="CS254" s="11">
        <f t="shared" si="20"/>
        <v>1333</v>
      </c>
      <c r="CT254" s="22">
        <f t="shared" si="21"/>
        <v>1333.33</v>
      </c>
      <c r="CU254" s="22">
        <f t="shared" si="22"/>
        <v>-0.32999999999992724</v>
      </c>
      <c r="CV254" s="26">
        <f t="shared" si="23"/>
        <v>0.32999999999992724</v>
      </c>
    </row>
    <row r="255" spans="1:100" x14ac:dyDescent="0.2">
      <c r="A255" s="9" t="s">
        <v>172</v>
      </c>
      <c r="B255" s="2">
        <v>66</v>
      </c>
      <c r="C255" s="3" t="s">
        <v>95</v>
      </c>
      <c r="D255" s="3" t="s">
        <v>96</v>
      </c>
      <c r="E255" s="2" t="s">
        <v>68</v>
      </c>
      <c r="F255" s="2">
        <v>10</v>
      </c>
      <c r="G255" s="2" t="s">
        <v>72</v>
      </c>
      <c r="H255" s="2">
        <v>9</v>
      </c>
      <c r="I255" s="20">
        <v>125.04</v>
      </c>
      <c r="J255" s="20">
        <v>36900</v>
      </c>
      <c r="K255" s="3">
        <v>0</v>
      </c>
      <c r="L255" s="3" t="s">
        <v>3</v>
      </c>
      <c r="M255" s="10" t="s">
        <v>0</v>
      </c>
      <c r="N255" s="10" t="s">
        <v>9</v>
      </c>
      <c r="O255" s="9" t="s">
        <v>141</v>
      </c>
      <c r="P255" s="9" t="s">
        <v>0</v>
      </c>
      <c r="Q255" s="30" t="s">
        <v>142</v>
      </c>
      <c r="R255" s="9" t="s">
        <v>143</v>
      </c>
      <c r="S255" s="9" t="s">
        <v>158</v>
      </c>
      <c r="V255" s="10">
        <v>125.04</v>
      </c>
      <c r="W255" s="10" t="s">
        <v>710</v>
      </c>
      <c r="X255" s="17">
        <v>44696</v>
      </c>
      <c r="Y255" s="17">
        <v>44698</v>
      </c>
      <c r="Z255" s="19" t="s">
        <v>772</v>
      </c>
      <c r="AA255" s="207">
        <v>35000</v>
      </c>
      <c r="AB255" s="9">
        <v>12</v>
      </c>
      <c r="AC255" s="9">
        <v>4</v>
      </c>
      <c r="AD255" s="17">
        <v>44839</v>
      </c>
      <c r="AE255" s="54">
        <v>1333.33</v>
      </c>
      <c r="AF255" s="54"/>
      <c r="AG255" s="9" t="s">
        <v>134</v>
      </c>
      <c r="AH255" s="127">
        <v>44841</v>
      </c>
      <c r="AI255" s="104" t="s">
        <v>9</v>
      </c>
      <c r="AJ255" s="22" t="s">
        <v>3165</v>
      </c>
      <c r="AK255" s="22" t="s">
        <v>178</v>
      </c>
      <c r="AL255" s="22">
        <v>1333</v>
      </c>
      <c r="AM255" s="22"/>
      <c r="AN255" s="22" t="s">
        <v>3127</v>
      </c>
      <c r="AO255" s="22"/>
      <c r="AP255" s="9"/>
      <c r="AQ255" s="9"/>
      <c r="AR255" s="9"/>
      <c r="AS255" s="9"/>
      <c r="AT255" s="9"/>
      <c r="AU255" s="9"/>
      <c r="AV255" s="9"/>
      <c r="AW255" s="42">
        <v>44839</v>
      </c>
      <c r="AX255" s="36">
        <v>993</v>
      </c>
      <c r="AY255" s="36"/>
      <c r="AZ255" s="36"/>
      <c r="BA255" s="40">
        <v>1333</v>
      </c>
      <c r="BB255" s="22"/>
      <c r="BD255" s="9"/>
      <c r="CS255" s="11">
        <f t="shared" si="20"/>
        <v>1333</v>
      </c>
      <c r="CT255" s="22">
        <f t="shared" si="21"/>
        <v>1333</v>
      </c>
      <c r="CU255" s="22">
        <f t="shared" si="22"/>
        <v>0</v>
      </c>
      <c r="CV255" s="26">
        <f t="shared" si="23"/>
        <v>0.32999999999992724</v>
      </c>
    </row>
    <row r="256" spans="1:100" x14ac:dyDescent="0.2">
      <c r="A256" s="9" t="s">
        <v>172</v>
      </c>
      <c r="B256" s="2">
        <v>66</v>
      </c>
      <c r="C256" s="3" t="s">
        <v>95</v>
      </c>
      <c r="D256" s="3" t="s">
        <v>96</v>
      </c>
      <c r="E256" s="2" t="s">
        <v>68</v>
      </c>
      <c r="F256" s="2">
        <v>10</v>
      </c>
      <c r="G256" s="2" t="s">
        <v>72</v>
      </c>
      <c r="H256" s="2">
        <v>9</v>
      </c>
      <c r="I256" s="20">
        <v>125.04</v>
      </c>
      <c r="J256" s="20">
        <v>36900</v>
      </c>
      <c r="K256" s="3">
        <v>0</v>
      </c>
      <c r="L256" s="3" t="s">
        <v>3</v>
      </c>
      <c r="M256" s="10" t="s">
        <v>0</v>
      </c>
      <c r="N256" s="10" t="s">
        <v>9</v>
      </c>
      <c r="O256" s="9" t="s">
        <v>141</v>
      </c>
      <c r="P256" s="9" t="s">
        <v>0</v>
      </c>
      <c r="Q256" s="30" t="s">
        <v>142</v>
      </c>
      <c r="R256" s="9" t="s">
        <v>143</v>
      </c>
      <c r="S256" s="9" t="s">
        <v>158</v>
      </c>
      <c r="V256" s="10">
        <v>125.04</v>
      </c>
      <c r="W256" s="10" t="s">
        <v>710</v>
      </c>
      <c r="X256" s="17">
        <v>44696</v>
      </c>
      <c r="Y256" s="17">
        <v>44698</v>
      </c>
      <c r="Z256" s="19" t="s">
        <v>772</v>
      </c>
      <c r="AA256" s="207">
        <v>35000</v>
      </c>
      <c r="AB256" s="9">
        <v>12</v>
      </c>
      <c r="AC256" s="9">
        <v>5</v>
      </c>
      <c r="AD256" s="17">
        <v>44870</v>
      </c>
      <c r="AE256" s="54">
        <v>1333.33</v>
      </c>
      <c r="AF256" s="54"/>
      <c r="AG256" s="9" t="s">
        <v>134</v>
      </c>
      <c r="AH256" s="127">
        <v>44874</v>
      </c>
      <c r="AI256" s="104" t="s">
        <v>9</v>
      </c>
      <c r="AJ256" s="22" t="s">
        <v>3165</v>
      </c>
      <c r="AK256" s="22" t="s">
        <v>179</v>
      </c>
      <c r="AL256" s="22">
        <v>1333</v>
      </c>
      <c r="AM256" s="22"/>
      <c r="AN256" s="22" t="s">
        <v>3132</v>
      </c>
      <c r="AO256" s="22"/>
      <c r="AP256" s="9"/>
      <c r="AQ256" s="9"/>
      <c r="AR256" s="9"/>
      <c r="AS256" s="9"/>
      <c r="AT256" s="9"/>
      <c r="AU256" s="9"/>
      <c r="AV256" s="9"/>
      <c r="AW256" s="42">
        <v>44869</v>
      </c>
      <c r="AX256" s="36">
        <v>1056</v>
      </c>
      <c r="AY256" s="36"/>
      <c r="AZ256" s="36"/>
      <c r="BA256" s="40">
        <v>1333</v>
      </c>
      <c r="BB256" s="22"/>
      <c r="BD256" s="9"/>
      <c r="CS256" s="11">
        <f t="shared" si="20"/>
        <v>1333</v>
      </c>
      <c r="CT256" s="22">
        <f t="shared" si="21"/>
        <v>1333</v>
      </c>
      <c r="CU256" s="22">
        <f t="shared" si="22"/>
        <v>0</v>
      </c>
      <c r="CV256" s="26">
        <f t="shared" si="23"/>
        <v>0.32999999999992724</v>
      </c>
    </row>
    <row r="257" spans="1:100" x14ac:dyDescent="0.2">
      <c r="A257" s="9" t="s">
        <v>172</v>
      </c>
      <c r="B257" s="2">
        <v>66</v>
      </c>
      <c r="C257" s="3" t="s">
        <v>95</v>
      </c>
      <c r="D257" s="3" t="s">
        <v>96</v>
      </c>
      <c r="E257" s="2" t="s">
        <v>68</v>
      </c>
      <c r="F257" s="2">
        <v>10</v>
      </c>
      <c r="G257" s="2" t="s">
        <v>72</v>
      </c>
      <c r="H257" s="2">
        <v>9</v>
      </c>
      <c r="I257" s="20">
        <v>125.04</v>
      </c>
      <c r="J257" s="20">
        <v>36900</v>
      </c>
      <c r="K257" s="3">
        <v>0</v>
      </c>
      <c r="L257" s="3" t="s">
        <v>3</v>
      </c>
      <c r="M257" s="10" t="s">
        <v>0</v>
      </c>
      <c r="N257" s="10" t="s">
        <v>9</v>
      </c>
      <c r="O257" s="9" t="s">
        <v>141</v>
      </c>
      <c r="P257" s="9" t="s">
        <v>0</v>
      </c>
      <c r="Q257" s="30" t="s">
        <v>142</v>
      </c>
      <c r="R257" s="9" t="s">
        <v>143</v>
      </c>
      <c r="S257" s="9" t="s">
        <v>158</v>
      </c>
      <c r="V257" s="10">
        <v>125.04</v>
      </c>
      <c r="W257" s="10" t="s">
        <v>710</v>
      </c>
      <c r="X257" s="17">
        <v>44696</v>
      </c>
      <c r="Y257" s="17">
        <v>44698</v>
      </c>
      <c r="Z257" s="19" t="s">
        <v>772</v>
      </c>
      <c r="AA257" s="207">
        <v>35000</v>
      </c>
      <c r="AB257" s="9">
        <v>12</v>
      </c>
      <c r="AC257" s="9">
        <v>6</v>
      </c>
      <c r="AD257" s="17">
        <v>44900</v>
      </c>
      <c r="AE257" s="54">
        <v>1333.33</v>
      </c>
      <c r="AF257" s="54"/>
      <c r="AG257" s="9" t="s">
        <v>134</v>
      </c>
      <c r="AH257" s="127">
        <v>44909</v>
      </c>
      <c r="AI257" s="104" t="s">
        <v>9</v>
      </c>
      <c r="AJ257" s="22" t="s">
        <v>3165</v>
      </c>
      <c r="AK257" s="22" t="s">
        <v>180</v>
      </c>
      <c r="AL257" s="22">
        <v>1333.33</v>
      </c>
      <c r="AM257" s="22"/>
      <c r="AN257" s="22" t="s">
        <v>3137</v>
      </c>
      <c r="AO257" s="22"/>
      <c r="AP257" s="9"/>
      <c r="AQ257" s="9"/>
      <c r="AR257" s="9"/>
      <c r="AS257" s="9"/>
      <c r="AT257" s="9"/>
      <c r="AU257" s="9"/>
      <c r="AV257" s="9"/>
      <c r="AW257" s="42">
        <v>44900</v>
      </c>
      <c r="AX257" s="36">
        <v>1090</v>
      </c>
      <c r="AY257" s="36"/>
      <c r="AZ257" s="36"/>
      <c r="BA257" s="40">
        <v>1333.33</v>
      </c>
      <c r="BB257" s="22"/>
      <c r="BD257" s="9"/>
      <c r="CS257" s="11">
        <f t="shared" si="20"/>
        <v>1333.33</v>
      </c>
      <c r="CT257" s="22">
        <f t="shared" si="21"/>
        <v>1333.33</v>
      </c>
      <c r="CU257" s="22">
        <f t="shared" si="22"/>
        <v>0</v>
      </c>
      <c r="CV257" s="26">
        <f t="shared" si="23"/>
        <v>0</v>
      </c>
    </row>
    <row r="258" spans="1:100" x14ac:dyDescent="0.2">
      <c r="A258" s="9" t="s">
        <v>172</v>
      </c>
      <c r="B258" s="2">
        <v>66</v>
      </c>
      <c r="C258" s="3" t="s">
        <v>95</v>
      </c>
      <c r="D258" s="3" t="s">
        <v>96</v>
      </c>
      <c r="E258" s="2" t="s">
        <v>68</v>
      </c>
      <c r="F258" s="2">
        <v>10</v>
      </c>
      <c r="G258" s="2" t="s">
        <v>72</v>
      </c>
      <c r="H258" s="2">
        <v>9</v>
      </c>
      <c r="I258" s="20">
        <v>125.04</v>
      </c>
      <c r="J258" s="20">
        <v>36900</v>
      </c>
      <c r="K258" s="3">
        <v>0</v>
      </c>
      <c r="L258" s="3" t="s">
        <v>3</v>
      </c>
      <c r="M258" s="10" t="s">
        <v>0</v>
      </c>
      <c r="N258" s="10" t="s">
        <v>9</v>
      </c>
      <c r="O258" s="9" t="s">
        <v>141</v>
      </c>
      <c r="P258" s="9" t="s">
        <v>0</v>
      </c>
      <c r="Q258" s="30" t="s">
        <v>142</v>
      </c>
      <c r="R258" s="9" t="s">
        <v>143</v>
      </c>
      <c r="S258" s="9" t="s">
        <v>158</v>
      </c>
      <c r="V258" s="10">
        <v>125.04</v>
      </c>
      <c r="W258" s="10" t="s">
        <v>710</v>
      </c>
      <c r="X258" s="17">
        <v>44696</v>
      </c>
      <c r="Y258" s="17">
        <v>44698</v>
      </c>
      <c r="Z258" s="19" t="s">
        <v>772</v>
      </c>
      <c r="AA258" s="207">
        <v>35000</v>
      </c>
      <c r="AB258" s="9">
        <v>12</v>
      </c>
      <c r="AC258" s="9">
        <v>7</v>
      </c>
      <c r="AD258" s="17">
        <v>44931</v>
      </c>
      <c r="AE258" s="54">
        <v>1333.33</v>
      </c>
      <c r="AF258" s="54"/>
      <c r="AG258" s="9" t="s">
        <v>134</v>
      </c>
      <c r="AH258" s="127">
        <v>44938</v>
      </c>
      <c r="AI258" s="104" t="s">
        <v>9</v>
      </c>
      <c r="AJ258" s="22" t="s">
        <v>3165</v>
      </c>
      <c r="AK258" s="22" t="s">
        <v>181</v>
      </c>
      <c r="AL258" s="22">
        <v>1333.33</v>
      </c>
      <c r="AM258" s="22"/>
      <c r="AN258" s="22" t="s">
        <v>3138</v>
      </c>
      <c r="AO258" s="22"/>
      <c r="AP258" s="9"/>
      <c r="AQ258" s="9"/>
      <c r="AR258" s="9"/>
      <c r="AS258" s="9"/>
      <c r="AT258" s="9"/>
      <c r="AU258" s="9"/>
      <c r="AV258" s="9"/>
      <c r="AW258" s="42">
        <v>44936</v>
      </c>
      <c r="AX258" s="36">
        <v>1141</v>
      </c>
      <c r="AY258" s="36"/>
      <c r="AZ258" s="36"/>
      <c r="BA258" s="40">
        <v>1333.33</v>
      </c>
      <c r="BB258" s="22"/>
      <c r="BD258" s="9"/>
      <c r="CS258" s="11">
        <f t="shared" si="20"/>
        <v>1333.33</v>
      </c>
      <c r="CT258" s="22">
        <f t="shared" si="21"/>
        <v>1333.33</v>
      </c>
      <c r="CU258" s="22">
        <f t="shared" si="22"/>
        <v>0</v>
      </c>
      <c r="CV258" s="26">
        <f t="shared" si="23"/>
        <v>0</v>
      </c>
    </row>
    <row r="259" spans="1:100" x14ac:dyDescent="0.2">
      <c r="A259" s="9" t="s">
        <v>172</v>
      </c>
      <c r="B259" s="2">
        <v>66</v>
      </c>
      <c r="C259" s="3" t="s">
        <v>95</v>
      </c>
      <c r="D259" s="3" t="s">
        <v>96</v>
      </c>
      <c r="E259" s="2" t="s">
        <v>68</v>
      </c>
      <c r="F259" s="2">
        <v>10</v>
      </c>
      <c r="G259" s="2" t="s">
        <v>72</v>
      </c>
      <c r="H259" s="2">
        <v>9</v>
      </c>
      <c r="I259" s="20">
        <v>125.04</v>
      </c>
      <c r="J259" s="20">
        <v>36900</v>
      </c>
      <c r="K259" s="3">
        <v>0</v>
      </c>
      <c r="L259" s="3" t="s">
        <v>3</v>
      </c>
      <c r="M259" s="10" t="s">
        <v>0</v>
      </c>
      <c r="N259" s="10" t="s">
        <v>9</v>
      </c>
      <c r="O259" s="9" t="s">
        <v>141</v>
      </c>
      <c r="P259" s="9" t="s">
        <v>0</v>
      </c>
      <c r="Q259" s="30" t="s">
        <v>142</v>
      </c>
      <c r="R259" s="9" t="s">
        <v>143</v>
      </c>
      <c r="S259" s="9" t="s">
        <v>158</v>
      </c>
      <c r="V259" s="10">
        <v>125.04</v>
      </c>
      <c r="W259" s="10" t="s">
        <v>710</v>
      </c>
      <c r="X259" s="17">
        <v>44696</v>
      </c>
      <c r="Y259" s="17">
        <v>44698</v>
      </c>
      <c r="Z259" s="19" t="s">
        <v>772</v>
      </c>
      <c r="AA259" s="207">
        <v>35000</v>
      </c>
      <c r="AB259" s="9">
        <v>12</v>
      </c>
      <c r="AC259" s="9">
        <v>8</v>
      </c>
      <c r="AD259" s="17">
        <v>44962</v>
      </c>
      <c r="AE259" s="54">
        <v>1333.33</v>
      </c>
      <c r="AF259" s="54"/>
      <c r="AG259" s="9" t="s">
        <v>134</v>
      </c>
      <c r="AH259" s="127">
        <v>44961</v>
      </c>
      <c r="AI259" s="104" t="s">
        <v>9</v>
      </c>
      <c r="AJ259" s="22" t="s">
        <v>3165</v>
      </c>
      <c r="AK259" s="22" t="s">
        <v>182</v>
      </c>
      <c r="AL259" s="22">
        <v>1333.33</v>
      </c>
      <c r="AM259" s="22"/>
      <c r="AN259" s="22" t="s">
        <v>3144</v>
      </c>
      <c r="AO259" s="22"/>
      <c r="AP259" s="9"/>
      <c r="AQ259" s="9"/>
      <c r="AR259" s="9"/>
      <c r="AS259" s="9"/>
      <c r="AT259" s="9"/>
      <c r="AU259" s="9"/>
      <c r="AV259" s="9"/>
      <c r="AW259" s="42">
        <v>44958</v>
      </c>
      <c r="AX259" s="36">
        <v>1186</v>
      </c>
      <c r="AY259" s="36"/>
      <c r="AZ259" s="36"/>
      <c r="BA259" s="40">
        <v>1333.33</v>
      </c>
      <c r="BB259" s="22"/>
      <c r="BD259" s="9"/>
      <c r="CS259" s="11">
        <f t="shared" si="20"/>
        <v>1333.33</v>
      </c>
      <c r="CT259" s="22">
        <f t="shared" si="21"/>
        <v>1333.33</v>
      </c>
      <c r="CU259" s="22">
        <f t="shared" si="22"/>
        <v>0</v>
      </c>
      <c r="CV259" s="26">
        <f t="shared" si="23"/>
        <v>0</v>
      </c>
    </row>
    <row r="260" spans="1:100" x14ac:dyDescent="0.2">
      <c r="A260" s="9" t="s">
        <v>172</v>
      </c>
      <c r="B260" s="2">
        <v>66</v>
      </c>
      <c r="C260" s="3" t="s">
        <v>95</v>
      </c>
      <c r="D260" s="3" t="s">
        <v>96</v>
      </c>
      <c r="E260" s="2" t="s">
        <v>68</v>
      </c>
      <c r="F260" s="2">
        <v>10</v>
      </c>
      <c r="G260" s="2" t="s">
        <v>72</v>
      </c>
      <c r="H260" s="2">
        <v>9</v>
      </c>
      <c r="I260" s="20">
        <v>125.04</v>
      </c>
      <c r="J260" s="20">
        <v>36900</v>
      </c>
      <c r="K260" s="3">
        <v>0</v>
      </c>
      <c r="L260" s="3" t="s">
        <v>3</v>
      </c>
      <c r="M260" s="10" t="s">
        <v>0</v>
      </c>
      <c r="N260" s="10" t="s">
        <v>9</v>
      </c>
      <c r="O260" s="9" t="s">
        <v>141</v>
      </c>
      <c r="P260" s="9" t="s">
        <v>0</v>
      </c>
      <c r="Q260" s="30" t="s">
        <v>142</v>
      </c>
      <c r="R260" s="9" t="s">
        <v>143</v>
      </c>
      <c r="S260" s="9" t="s">
        <v>158</v>
      </c>
      <c r="V260" s="10">
        <v>125.04</v>
      </c>
      <c r="W260" s="10" t="s">
        <v>710</v>
      </c>
      <c r="X260" s="17">
        <v>44696</v>
      </c>
      <c r="Y260" s="17">
        <v>44698</v>
      </c>
      <c r="Z260" s="19" t="s">
        <v>772</v>
      </c>
      <c r="AA260" s="207">
        <v>35000</v>
      </c>
      <c r="AB260" s="9">
        <v>12</v>
      </c>
      <c r="AC260" s="9">
        <v>9</v>
      </c>
      <c r="AD260" s="17">
        <v>44990</v>
      </c>
      <c r="AE260" s="54">
        <v>1333.33</v>
      </c>
      <c r="AF260" s="54"/>
      <c r="AG260" s="9" t="s">
        <v>134</v>
      </c>
      <c r="AH260" s="127">
        <v>44996</v>
      </c>
      <c r="AI260" s="104" t="s">
        <v>9</v>
      </c>
      <c r="AJ260" s="22" t="s">
        <v>3165</v>
      </c>
      <c r="AK260" s="22" t="s">
        <v>183</v>
      </c>
      <c r="AL260" s="22">
        <v>1333.32</v>
      </c>
      <c r="AM260" s="22"/>
      <c r="AN260" s="22" t="s">
        <v>3147</v>
      </c>
      <c r="AO260" s="22"/>
      <c r="AP260" s="9"/>
      <c r="AQ260" s="9"/>
      <c r="AR260" s="9"/>
      <c r="AS260" s="9"/>
      <c r="AT260" s="9"/>
      <c r="AU260" s="9"/>
      <c r="AV260" s="9"/>
      <c r="AW260" s="42">
        <v>44993</v>
      </c>
      <c r="AX260" s="36">
        <v>1300</v>
      </c>
      <c r="AY260" s="36"/>
      <c r="AZ260" s="36"/>
      <c r="BA260" s="40">
        <v>1333.33</v>
      </c>
      <c r="BB260" s="22"/>
      <c r="BD260" s="9"/>
      <c r="CS260" s="11">
        <f t="shared" si="20"/>
        <v>1333.32</v>
      </c>
      <c r="CT260" s="22">
        <f t="shared" si="21"/>
        <v>1333.33</v>
      </c>
      <c r="CU260" s="22">
        <f t="shared" si="22"/>
        <v>-9.9999999999909051E-3</v>
      </c>
      <c r="CV260" s="26">
        <f t="shared" si="23"/>
        <v>9.9999999999909051E-3</v>
      </c>
    </row>
    <row r="261" spans="1:100" x14ac:dyDescent="0.2">
      <c r="A261" s="9" t="s">
        <v>172</v>
      </c>
      <c r="B261" s="2">
        <v>66</v>
      </c>
      <c r="C261" s="3" t="s">
        <v>95</v>
      </c>
      <c r="D261" s="3" t="s">
        <v>96</v>
      </c>
      <c r="E261" s="2" t="s">
        <v>68</v>
      </c>
      <c r="F261" s="2">
        <v>10</v>
      </c>
      <c r="G261" s="2" t="s">
        <v>72</v>
      </c>
      <c r="H261" s="2">
        <v>9</v>
      </c>
      <c r="I261" s="20">
        <v>125.04</v>
      </c>
      <c r="J261" s="20">
        <v>36900</v>
      </c>
      <c r="K261" s="3">
        <v>0</v>
      </c>
      <c r="L261" s="3" t="s">
        <v>3</v>
      </c>
      <c r="M261" s="10" t="s">
        <v>0</v>
      </c>
      <c r="N261" s="10" t="s">
        <v>9</v>
      </c>
      <c r="O261" s="9" t="s">
        <v>141</v>
      </c>
      <c r="P261" s="9" t="s">
        <v>0</v>
      </c>
      <c r="Q261" s="30" t="s">
        <v>142</v>
      </c>
      <c r="R261" s="9" t="s">
        <v>143</v>
      </c>
      <c r="S261" s="9" t="s">
        <v>158</v>
      </c>
      <c r="V261" s="10">
        <v>125.04</v>
      </c>
      <c r="W261" s="10" t="s">
        <v>710</v>
      </c>
      <c r="X261" s="17">
        <v>44696</v>
      </c>
      <c r="Y261" s="17">
        <v>44698</v>
      </c>
      <c r="Z261" s="19" t="s">
        <v>772</v>
      </c>
      <c r="AA261" s="207">
        <v>35000</v>
      </c>
      <c r="AB261" s="9">
        <v>12</v>
      </c>
      <c r="AC261" s="9">
        <v>10</v>
      </c>
      <c r="AD261" s="17">
        <v>45021</v>
      </c>
      <c r="AE261" s="54">
        <v>1333.33</v>
      </c>
      <c r="AF261" s="54"/>
      <c r="AG261" s="9" t="s">
        <v>134</v>
      </c>
      <c r="AH261" s="127">
        <v>45029</v>
      </c>
      <c r="AI261" s="104" t="s">
        <v>9</v>
      </c>
      <c r="AJ261" s="22" t="s">
        <v>3165</v>
      </c>
      <c r="AK261" s="22" t="s">
        <v>184</v>
      </c>
      <c r="AL261" s="22">
        <v>1333.32</v>
      </c>
      <c r="AM261" s="22"/>
      <c r="AN261" s="22" t="s">
        <v>3151</v>
      </c>
      <c r="AO261" s="22"/>
      <c r="AP261" s="9"/>
      <c r="AQ261" s="9"/>
      <c r="AR261" s="9"/>
      <c r="AS261" s="9"/>
      <c r="AT261" s="9"/>
      <c r="AU261" s="9"/>
      <c r="AV261" s="9"/>
      <c r="AW261" s="42">
        <v>45027</v>
      </c>
      <c r="AX261" s="36">
        <v>1395</v>
      </c>
      <c r="AY261" s="36"/>
      <c r="AZ261" s="36"/>
      <c r="BA261" s="40">
        <v>1333.32</v>
      </c>
      <c r="BB261" s="22"/>
      <c r="BD261" s="9"/>
      <c r="CS261" s="11">
        <f t="shared" si="20"/>
        <v>1333.32</v>
      </c>
      <c r="CT261" s="22">
        <f t="shared" si="21"/>
        <v>1333.32</v>
      </c>
      <c r="CU261" s="22">
        <f t="shared" si="22"/>
        <v>0</v>
      </c>
      <c r="CV261" s="26">
        <f t="shared" si="23"/>
        <v>9.9999999999909051E-3</v>
      </c>
    </row>
    <row r="262" spans="1:100" x14ac:dyDescent="0.2">
      <c r="A262" s="9" t="s">
        <v>172</v>
      </c>
      <c r="B262" s="2">
        <v>66</v>
      </c>
      <c r="C262" s="3" t="s">
        <v>95</v>
      </c>
      <c r="D262" s="3" t="s">
        <v>96</v>
      </c>
      <c r="E262" s="2" t="s">
        <v>68</v>
      </c>
      <c r="F262" s="2">
        <v>10</v>
      </c>
      <c r="G262" s="2" t="s">
        <v>72</v>
      </c>
      <c r="H262" s="2">
        <v>9</v>
      </c>
      <c r="I262" s="20">
        <v>125.04</v>
      </c>
      <c r="J262" s="20">
        <v>36900</v>
      </c>
      <c r="K262" s="3">
        <v>0</v>
      </c>
      <c r="L262" s="3" t="s">
        <v>3</v>
      </c>
      <c r="M262" s="10" t="s">
        <v>0</v>
      </c>
      <c r="N262" s="10" t="s">
        <v>9</v>
      </c>
      <c r="O262" s="9" t="s">
        <v>141</v>
      </c>
      <c r="P262" s="9" t="s">
        <v>0</v>
      </c>
      <c r="Q262" s="30" t="s">
        <v>142</v>
      </c>
      <c r="R262" s="9" t="s">
        <v>143</v>
      </c>
      <c r="S262" s="9" t="s">
        <v>158</v>
      </c>
      <c r="V262" s="10">
        <v>125.04</v>
      </c>
      <c r="W262" s="10" t="s">
        <v>710</v>
      </c>
      <c r="X262" s="17">
        <v>44696</v>
      </c>
      <c r="Y262" s="17">
        <v>44698</v>
      </c>
      <c r="Z262" s="19" t="s">
        <v>772</v>
      </c>
      <c r="AA262" s="207">
        <v>35000</v>
      </c>
      <c r="AB262" s="9">
        <v>12</v>
      </c>
      <c r="AC262" s="9">
        <v>11</v>
      </c>
      <c r="AD262" s="17">
        <v>45051</v>
      </c>
      <c r="AE262" s="54">
        <v>1333.33</v>
      </c>
      <c r="AF262" s="54"/>
      <c r="AG262" s="9" t="s">
        <v>134</v>
      </c>
      <c r="AH262" s="127">
        <v>45055</v>
      </c>
      <c r="AI262" s="104" t="s">
        <v>9</v>
      </c>
      <c r="AJ262" s="22" t="s">
        <v>3165</v>
      </c>
      <c r="AK262" s="22" t="s">
        <v>185</v>
      </c>
      <c r="AL262" s="22">
        <v>1333.32</v>
      </c>
      <c r="AM262" s="22"/>
      <c r="AN262" s="22" t="s">
        <v>3155</v>
      </c>
      <c r="AO262" s="22"/>
      <c r="AP262" s="9"/>
      <c r="AQ262" s="9"/>
      <c r="AR262" s="9"/>
      <c r="AS262" s="9"/>
      <c r="AT262" s="9"/>
      <c r="AU262" s="9"/>
      <c r="AV262" s="9"/>
      <c r="AW262" s="42">
        <v>45049</v>
      </c>
      <c r="AX262" s="36">
        <v>1475</v>
      </c>
      <c r="AY262" s="36"/>
      <c r="AZ262" s="36"/>
      <c r="BA262" s="40">
        <v>1333.32</v>
      </c>
      <c r="BB262" s="22"/>
      <c r="BD262" s="9"/>
      <c r="CS262" s="11">
        <f t="shared" si="20"/>
        <v>1333.32</v>
      </c>
      <c r="CT262" s="22">
        <f t="shared" si="21"/>
        <v>1333.32</v>
      </c>
      <c r="CU262" s="22">
        <f t="shared" si="22"/>
        <v>0</v>
      </c>
      <c r="CV262" s="26">
        <f t="shared" si="23"/>
        <v>9.9999999999909051E-3</v>
      </c>
    </row>
    <row r="263" spans="1:100" x14ac:dyDescent="0.2">
      <c r="A263" s="9" t="s">
        <v>172</v>
      </c>
      <c r="B263" s="2">
        <v>66</v>
      </c>
      <c r="C263" s="3" t="s">
        <v>95</v>
      </c>
      <c r="D263" s="3" t="s">
        <v>96</v>
      </c>
      <c r="E263" s="2" t="s">
        <v>68</v>
      </c>
      <c r="F263" s="2">
        <v>10</v>
      </c>
      <c r="G263" s="2" t="s">
        <v>72</v>
      </c>
      <c r="H263" s="2">
        <v>9</v>
      </c>
      <c r="I263" s="20">
        <v>125.04</v>
      </c>
      <c r="J263" s="20">
        <v>36900</v>
      </c>
      <c r="K263" s="3">
        <v>0</v>
      </c>
      <c r="L263" s="3" t="s">
        <v>3</v>
      </c>
      <c r="M263" s="10" t="s">
        <v>0</v>
      </c>
      <c r="N263" s="10" t="s">
        <v>9</v>
      </c>
      <c r="O263" s="9" t="s">
        <v>141</v>
      </c>
      <c r="P263" s="9" t="s">
        <v>0</v>
      </c>
      <c r="Q263" s="30" t="s">
        <v>142</v>
      </c>
      <c r="R263" s="9" t="s">
        <v>143</v>
      </c>
      <c r="S263" s="9" t="s">
        <v>158</v>
      </c>
      <c r="V263" s="10">
        <v>125.04</v>
      </c>
      <c r="W263" s="10" t="s">
        <v>710</v>
      </c>
      <c r="X263" s="17">
        <v>44696</v>
      </c>
      <c r="Y263" s="17">
        <v>44698</v>
      </c>
      <c r="Z263" s="19" t="s">
        <v>772</v>
      </c>
      <c r="AA263" s="207">
        <v>35000</v>
      </c>
      <c r="AB263" s="9">
        <v>12</v>
      </c>
      <c r="AC263" s="9">
        <v>12</v>
      </c>
      <c r="AD263" s="17">
        <v>45082</v>
      </c>
      <c r="AE263" s="54">
        <v>1333.33</v>
      </c>
      <c r="AF263" s="54"/>
      <c r="AG263" s="9" t="s">
        <v>134</v>
      </c>
      <c r="AH263" s="127">
        <v>45085</v>
      </c>
      <c r="AI263" s="104" t="s">
        <v>9</v>
      </c>
      <c r="AJ263" s="22" t="s">
        <v>3165</v>
      </c>
      <c r="AK263" s="22" t="s">
        <v>186</v>
      </c>
      <c r="AL263" s="22">
        <v>1333.33</v>
      </c>
      <c r="AM263" s="22"/>
      <c r="AN263" s="22" t="s">
        <v>3160</v>
      </c>
      <c r="AO263" s="22"/>
      <c r="AP263" s="9"/>
      <c r="AQ263" s="9"/>
      <c r="AR263" s="9"/>
      <c r="AS263" s="9"/>
      <c r="AT263" s="9"/>
      <c r="AU263" s="9"/>
      <c r="AV263" s="9"/>
      <c r="AW263" s="42">
        <v>45083</v>
      </c>
      <c r="AX263" s="36">
        <v>1592</v>
      </c>
      <c r="AY263" s="36"/>
      <c r="AZ263" s="36"/>
      <c r="BA263" s="40">
        <v>1333.33</v>
      </c>
      <c r="BB263" s="22"/>
      <c r="BD263" s="9"/>
      <c r="CS263" s="11">
        <f t="shared" si="20"/>
        <v>1333.33</v>
      </c>
      <c r="CT263" s="22">
        <f t="shared" si="21"/>
        <v>1333.33</v>
      </c>
      <c r="CU263" s="22">
        <f t="shared" si="22"/>
        <v>0</v>
      </c>
      <c r="CV263" s="26">
        <f t="shared" si="23"/>
        <v>0</v>
      </c>
    </row>
    <row r="264" spans="1:100" x14ac:dyDescent="0.2">
      <c r="A264" s="9" t="s">
        <v>172</v>
      </c>
      <c r="B264" s="2">
        <v>66</v>
      </c>
      <c r="C264" s="3" t="s">
        <v>95</v>
      </c>
      <c r="D264" s="3" t="s">
        <v>96</v>
      </c>
      <c r="E264" s="2" t="s">
        <v>68</v>
      </c>
      <c r="F264" s="2">
        <v>10</v>
      </c>
      <c r="G264" s="2" t="s">
        <v>72</v>
      </c>
      <c r="H264" s="2">
        <v>9</v>
      </c>
      <c r="I264" s="20">
        <v>125.04</v>
      </c>
      <c r="J264" s="20">
        <v>36900</v>
      </c>
      <c r="K264" s="3">
        <v>0</v>
      </c>
      <c r="L264" s="3" t="s">
        <v>3</v>
      </c>
      <c r="M264" s="10" t="s">
        <v>0</v>
      </c>
      <c r="N264" s="10" t="s">
        <v>9</v>
      </c>
      <c r="O264" s="9" t="s">
        <v>141</v>
      </c>
      <c r="P264" s="9" t="s">
        <v>0</v>
      </c>
      <c r="Q264" s="30" t="s">
        <v>142</v>
      </c>
      <c r="R264" s="9" t="s">
        <v>143</v>
      </c>
      <c r="S264" s="9" t="s">
        <v>171</v>
      </c>
      <c r="V264" s="10">
        <v>12.5</v>
      </c>
      <c r="W264" s="10" t="s">
        <v>710</v>
      </c>
      <c r="X264" s="17">
        <v>44696</v>
      </c>
      <c r="Y264" s="17">
        <v>44698</v>
      </c>
      <c r="Z264" s="19" t="s">
        <v>772</v>
      </c>
      <c r="AA264" s="207">
        <v>6000</v>
      </c>
      <c r="AB264" s="9">
        <v>12</v>
      </c>
      <c r="AC264" s="9">
        <v>0</v>
      </c>
      <c r="AD264" s="17">
        <v>44701</v>
      </c>
      <c r="AE264" s="54">
        <v>1000</v>
      </c>
      <c r="AF264" s="54"/>
      <c r="AG264" s="9" t="s">
        <v>134</v>
      </c>
      <c r="AH264" s="17">
        <v>44701</v>
      </c>
      <c r="AI264" s="104" t="s">
        <v>9</v>
      </c>
      <c r="AJ264" s="22" t="s">
        <v>3165</v>
      </c>
      <c r="AK264" s="22" t="s">
        <v>195</v>
      </c>
      <c r="AL264" s="22">
        <v>1000</v>
      </c>
      <c r="AM264" s="22"/>
      <c r="AN264" s="22" t="s">
        <v>3112</v>
      </c>
      <c r="AO264" s="22"/>
      <c r="AP264" s="9"/>
      <c r="AQ264" s="9"/>
      <c r="AR264" s="9"/>
      <c r="AS264" s="9"/>
      <c r="AT264" s="9"/>
      <c r="AU264" s="9"/>
      <c r="AV264" s="9"/>
      <c r="AW264" s="42">
        <v>44701</v>
      </c>
      <c r="AX264" s="36">
        <v>657</v>
      </c>
      <c r="AY264" s="36"/>
      <c r="AZ264" s="36"/>
      <c r="BA264" s="40">
        <v>1000</v>
      </c>
      <c r="BB264" s="22"/>
      <c r="BD264" s="9"/>
      <c r="CS264" s="11">
        <f t="shared" si="20"/>
        <v>1000</v>
      </c>
      <c r="CT264" s="22">
        <f t="shared" si="21"/>
        <v>1000</v>
      </c>
      <c r="CU264" s="22">
        <f t="shared" si="22"/>
        <v>0</v>
      </c>
      <c r="CV264" s="26">
        <f t="shared" si="23"/>
        <v>0</v>
      </c>
    </row>
    <row r="265" spans="1:100" x14ac:dyDescent="0.2">
      <c r="A265" s="9" t="s">
        <v>172</v>
      </c>
      <c r="B265" s="2">
        <v>66</v>
      </c>
      <c r="C265" s="3" t="s">
        <v>95</v>
      </c>
      <c r="D265" s="3" t="s">
        <v>96</v>
      </c>
      <c r="E265" s="2" t="s">
        <v>68</v>
      </c>
      <c r="F265" s="2">
        <v>10</v>
      </c>
      <c r="G265" s="2" t="s">
        <v>72</v>
      </c>
      <c r="H265" s="2">
        <v>9</v>
      </c>
      <c r="I265" s="20">
        <v>125.04</v>
      </c>
      <c r="J265" s="20">
        <v>36900</v>
      </c>
      <c r="K265" s="3">
        <v>0</v>
      </c>
      <c r="L265" s="3" t="s">
        <v>3</v>
      </c>
      <c r="M265" s="10" t="s">
        <v>0</v>
      </c>
      <c r="N265" s="10" t="s">
        <v>9</v>
      </c>
      <c r="O265" s="9" t="s">
        <v>141</v>
      </c>
      <c r="P265" s="9" t="s">
        <v>0</v>
      </c>
      <c r="Q265" s="30" t="s">
        <v>142</v>
      </c>
      <c r="R265" s="9" t="s">
        <v>143</v>
      </c>
      <c r="S265" s="9" t="s">
        <v>171</v>
      </c>
      <c r="V265" s="10">
        <v>12.5</v>
      </c>
      <c r="W265" s="10" t="s">
        <v>710</v>
      </c>
      <c r="X265" s="17">
        <v>44696</v>
      </c>
      <c r="Y265" s="17">
        <v>44698</v>
      </c>
      <c r="Z265" s="19" t="s">
        <v>772</v>
      </c>
      <c r="AA265" s="207">
        <v>6000</v>
      </c>
      <c r="AB265" s="9">
        <v>12</v>
      </c>
      <c r="AC265" s="9">
        <v>1</v>
      </c>
      <c r="AD265" s="17">
        <v>44747</v>
      </c>
      <c r="AE265" s="54">
        <v>416.67</v>
      </c>
      <c r="AF265" s="54"/>
      <c r="AG265" s="9" t="s">
        <v>134</v>
      </c>
      <c r="AH265" s="127">
        <v>44748</v>
      </c>
      <c r="AI265" s="104" t="s">
        <v>9</v>
      </c>
      <c r="AJ265" s="22" t="s">
        <v>3165</v>
      </c>
      <c r="AK265" s="22" t="s">
        <v>188</v>
      </c>
      <c r="AL265" s="22">
        <v>416.67</v>
      </c>
      <c r="AM265" s="22"/>
      <c r="AN265" s="22" t="s">
        <v>3115</v>
      </c>
      <c r="AO265" s="22"/>
      <c r="AP265" s="9"/>
      <c r="AQ265" s="9"/>
      <c r="AR265" s="9"/>
      <c r="AS265" s="9"/>
      <c r="AT265" s="9"/>
      <c r="AU265" s="9"/>
      <c r="AV265" s="9"/>
      <c r="AW265" s="42">
        <v>45842</v>
      </c>
      <c r="AX265" s="36">
        <v>763</v>
      </c>
      <c r="AY265" s="36"/>
      <c r="AZ265" s="36"/>
      <c r="BA265" s="40">
        <v>416.67</v>
      </c>
      <c r="BB265" s="22"/>
      <c r="BD265" s="9"/>
      <c r="CS265" s="11">
        <f t="shared" si="20"/>
        <v>416.67</v>
      </c>
      <c r="CT265" s="22">
        <f t="shared" si="21"/>
        <v>416.67</v>
      </c>
      <c r="CU265" s="22">
        <f t="shared" si="22"/>
        <v>0</v>
      </c>
      <c r="CV265" s="26">
        <f t="shared" si="23"/>
        <v>0</v>
      </c>
    </row>
    <row r="266" spans="1:100" x14ac:dyDescent="0.2">
      <c r="A266" s="9" t="s">
        <v>172</v>
      </c>
      <c r="B266" s="2">
        <v>66</v>
      </c>
      <c r="C266" s="3" t="s">
        <v>95</v>
      </c>
      <c r="D266" s="3" t="s">
        <v>96</v>
      </c>
      <c r="E266" s="2" t="s">
        <v>68</v>
      </c>
      <c r="F266" s="2">
        <v>10</v>
      </c>
      <c r="G266" s="2" t="s">
        <v>72</v>
      </c>
      <c r="H266" s="2">
        <v>9</v>
      </c>
      <c r="I266" s="20">
        <v>125.04</v>
      </c>
      <c r="J266" s="20">
        <v>36900</v>
      </c>
      <c r="K266" s="3">
        <v>0</v>
      </c>
      <c r="L266" s="3" t="s">
        <v>3</v>
      </c>
      <c r="M266" s="10" t="s">
        <v>0</v>
      </c>
      <c r="N266" s="10" t="s">
        <v>9</v>
      </c>
      <c r="O266" s="9" t="s">
        <v>141</v>
      </c>
      <c r="P266" s="9" t="s">
        <v>0</v>
      </c>
      <c r="Q266" s="30" t="s">
        <v>142</v>
      </c>
      <c r="R266" s="9" t="s">
        <v>143</v>
      </c>
      <c r="S266" s="9" t="s">
        <v>171</v>
      </c>
      <c r="V266" s="10">
        <v>12.5</v>
      </c>
      <c r="W266" s="10" t="s">
        <v>710</v>
      </c>
      <c r="X266" s="17">
        <v>44696</v>
      </c>
      <c r="Y266" s="17">
        <v>44698</v>
      </c>
      <c r="Z266" s="19" t="s">
        <v>772</v>
      </c>
      <c r="AA266" s="207">
        <v>6000</v>
      </c>
      <c r="AB266" s="9">
        <v>12</v>
      </c>
      <c r="AC266" s="9">
        <v>2</v>
      </c>
      <c r="AD266" s="17">
        <v>44778</v>
      </c>
      <c r="AE266" s="54">
        <v>416.67</v>
      </c>
      <c r="AF266" s="54"/>
      <c r="AG266" s="9" t="s">
        <v>134</v>
      </c>
      <c r="AH266" s="127">
        <v>44764</v>
      </c>
      <c r="AI266" s="104" t="s">
        <v>9</v>
      </c>
      <c r="AJ266" s="22" t="s">
        <v>3165</v>
      </c>
      <c r="AK266" s="22" t="s">
        <v>193</v>
      </c>
      <c r="AL266" s="22">
        <v>416.66</v>
      </c>
      <c r="AM266" s="22"/>
      <c r="AN266" s="22" t="s">
        <v>3119</v>
      </c>
      <c r="AO266" s="22"/>
      <c r="AP266" s="9"/>
      <c r="AQ266" s="9"/>
      <c r="AR266" s="9"/>
      <c r="AS266" s="9"/>
      <c r="AT266" s="9"/>
      <c r="AU266" s="9"/>
      <c r="AV266" s="9"/>
      <c r="AW266" s="42">
        <v>44760</v>
      </c>
      <c r="AX266" s="36">
        <v>798</v>
      </c>
      <c r="AY266" s="36"/>
      <c r="AZ266" s="36"/>
      <c r="BA266" s="40">
        <v>416.66</v>
      </c>
      <c r="BB266" s="22"/>
      <c r="BD266" s="9"/>
      <c r="CS266" s="11">
        <f t="shared" si="20"/>
        <v>416.66</v>
      </c>
      <c r="CT266" s="22">
        <f t="shared" si="21"/>
        <v>416.66</v>
      </c>
      <c r="CU266" s="22">
        <f t="shared" si="22"/>
        <v>0</v>
      </c>
      <c r="CV266" s="26">
        <f t="shared" si="23"/>
        <v>9.9999999999909051E-3</v>
      </c>
    </row>
    <row r="267" spans="1:100" x14ac:dyDescent="0.2">
      <c r="A267" s="9" t="s">
        <v>172</v>
      </c>
      <c r="B267" s="2">
        <v>66</v>
      </c>
      <c r="C267" s="3" t="s">
        <v>95</v>
      </c>
      <c r="D267" s="3" t="s">
        <v>96</v>
      </c>
      <c r="E267" s="2" t="s">
        <v>68</v>
      </c>
      <c r="F267" s="2">
        <v>10</v>
      </c>
      <c r="G267" s="2" t="s">
        <v>72</v>
      </c>
      <c r="H267" s="2">
        <v>9</v>
      </c>
      <c r="I267" s="20">
        <v>125.04</v>
      </c>
      <c r="J267" s="20">
        <v>36900</v>
      </c>
      <c r="K267" s="3">
        <v>0</v>
      </c>
      <c r="L267" s="3" t="s">
        <v>3</v>
      </c>
      <c r="M267" s="10" t="s">
        <v>0</v>
      </c>
      <c r="N267" s="10" t="s">
        <v>9</v>
      </c>
      <c r="O267" s="9" t="s">
        <v>141</v>
      </c>
      <c r="P267" s="9" t="s">
        <v>0</v>
      </c>
      <c r="Q267" s="30" t="s">
        <v>142</v>
      </c>
      <c r="R267" s="9" t="s">
        <v>143</v>
      </c>
      <c r="S267" s="9" t="s">
        <v>171</v>
      </c>
      <c r="V267" s="10">
        <v>12.5</v>
      </c>
      <c r="W267" s="10" t="s">
        <v>710</v>
      </c>
      <c r="X267" s="17">
        <v>44696</v>
      </c>
      <c r="Y267" s="17">
        <v>44698</v>
      </c>
      <c r="Z267" s="19" t="s">
        <v>772</v>
      </c>
      <c r="AA267" s="207">
        <v>6000</v>
      </c>
      <c r="AB267" s="9">
        <v>12</v>
      </c>
      <c r="AC267" s="9">
        <v>3</v>
      </c>
      <c r="AD267" s="17">
        <v>44809</v>
      </c>
      <c r="AE267" s="54">
        <v>416.67</v>
      </c>
      <c r="AF267" s="54"/>
      <c r="AG267" s="9" t="s">
        <v>134</v>
      </c>
      <c r="AH267" s="127">
        <v>44810</v>
      </c>
      <c r="AI267" s="104" t="s">
        <v>9</v>
      </c>
      <c r="AJ267" s="22" t="s">
        <v>3165</v>
      </c>
      <c r="AK267" s="22" t="s">
        <v>192</v>
      </c>
      <c r="AL267" s="22">
        <v>416.66</v>
      </c>
      <c r="AM267" s="22"/>
      <c r="AN267" s="22" t="s">
        <v>3124</v>
      </c>
      <c r="AO267" s="22"/>
      <c r="AP267" s="9"/>
      <c r="AQ267" s="9"/>
      <c r="AR267" s="9"/>
      <c r="AS267" s="9"/>
      <c r="AT267" s="9"/>
      <c r="AU267" s="9"/>
      <c r="AV267" s="9"/>
      <c r="AW267" s="42">
        <v>44809</v>
      </c>
      <c r="AX267" s="36">
        <v>920</v>
      </c>
      <c r="AY267" s="36"/>
      <c r="AZ267" s="36"/>
      <c r="BA267" s="40">
        <v>416.66</v>
      </c>
      <c r="BB267" s="22"/>
      <c r="BD267" s="9"/>
      <c r="CS267" s="11">
        <f t="shared" si="20"/>
        <v>416.66</v>
      </c>
      <c r="CT267" s="22">
        <f t="shared" si="21"/>
        <v>416.66</v>
      </c>
      <c r="CU267" s="22">
        <f t="shared" si="22"/>
        <v>0</v>
      </c>
      <c r="CV267" s="26">
        <f t="shared" si="23"/>
        <v>9.9999999999909051E-3</v>
      </c>
    </row>
    <row r="268" spans="1:100" x14ac:dyDescent="0.2">
      <c r="A268" s="9" t="s">
        <v>172</v>
      </c>
      <c r="B268" s="2">
        <v>66</v>
      </c>
      <c r="C268" s="3" t="s">
        <v>95</v>
      </c>
      <c r="D268" s="3" t="s">
        <v>96</v>
      </c>
      <c r="E268" s="2" t="s">
        <v>68</v>
      </c>
      <c r="F268" s="2">
        <v>10</v>
      </c>
      <c r="G268" s="2" t="s">
        <v>72</v>
      </c>
      <c r="H268" s="2">
        <v>9</v>
      </c>
      <c r="I268" s="20">
        <v>125.04</v>
      </c>
      <c r="J268" s="20">
        <v>36900</v>
      </c>
      <c r="K268" s="3">
        <v>0</v>
      </c>
      <c r="L268" s="3" t="s">
        <v>3</v>
      </c>
      <c r="M268" s="10" t="s">
        <v>0</v>
      </c>
      <c r="N268" s="10" t="s">
        <v>9</v>
      </c>
      <c r="O268" s="9" t="s">
        <v>141</v>
      </c>
      <c r="P268" s="9" t="s">
        <v>0</v>
      </c>
      <c r="Q268" s="30" t="s">
        <v>142</v>
      </c>
      <c r="R268" s="9" t="s">
        <v>143</v>
      </c>
      <c r="S268" s="9" t="s">
        <v>171</v>
      </c>
      <c r="V268" s="10">
        <v>12.5</v>
      </c>
      <c r="W268" s="10" t="s">
        <v>710</v>
      </c>
      <c r="X268" s="17">
        <v>44696</v>
      </c>
      <c r="Y268" s="17">
        <v>44698</v>
      </c>
      <c r="Z268" s="19" t="s">
        <v>772</v>
      </c>
      <c r="AA268" s="207">
        <v>6000</v>
      </c>
      <c r="AB268" s="9">
        <v>12</v>
      </c>
      <c r="AC268" s="9">
        <v>4</v>
      </c>
      <c r="AD268" s="17">
        <v>44839</v>
      </c>
      <c r="AE268" s="54">
        <v>416.67</v>
      </c>
      <c r="AF268" s="54"/>
      <c r="AG268" s="9" t="s">
        <v>134</v>
      </c>
      <c r="AH268" s="127">
        <v>44874</v>
      </c>
      <c r="AI268" s="104" t="s">
        <v>9</v>
      </c>
      <c r="AJ268" s="22" t="s">
        <v>3165</v>
      </c>
      <c r="AK268" s="22" t="s">
        <v>187</v>
      </c>
      <c r="AL268" s="22">
        <v>416.68</v>
      </c>
      <c r="AM268" s="22"/>
      <c r="AN268" s="22" t="s">
        <v>3131</v>
      </c>
      <c r="AO268" s="22"/>
      <c r="AP268" s="9"/>
      <c r="AQ268" s="9"/>
      <c r="AR268" s="9"/>
      <c r="AS268" s="9"/>
      <c r="AT268" s="9"/>
      <c r="AU268" s="9"/>
      <c r="AV268" s="9"/>
      <c r="AW268" s="42">
        <v>44869</v>
      </c>
      <c r="AX268" s="36">
        <v>1056</v>
      </c>
      <c r="AY268" s="36"/>
      <c r="AZ268" s="36"/>
      <c r="BA268" s="40">
        <v>416.68</v>
      </c>
      <c r="BB268" s="22"/>
      <c r="BD268" s="9"/>
      <c r="CS268" s="11">
        <f t="shared" si="20"/>
        <v>416.68</v>
      </c>
      <c r="CT268" s="22">
        <f t="shared" si="21"/>
        <v>416.68</v>
      </c>
      <c r="CU268" s="22">
        <f t="shared" si="22"/>
        <v>0</v>
      </c>
      <c r="CV268" s="26">
        <f t="shared" si="23"/>
        <v>-9.9999999999909051E-3</v>
      </c>
    </row>
    <row r="269" spans="1:100" x14ac:dyDescent="0.2">
      <c r="A269" s="9" t="s">
        <v>172</v>
      </c>
      <c r="B269" s="2">
        <v>66</v>
      </c>
      <c r="C269" s="3" t="s">
        <v>95</v>
      </c>
      <c r="D269" s="3" t="s">
        <v>96</v>
      </c>
      <c r="E269" s="2" t="s">
        <v>68</v>
      </c>
      <c r="F269" s="2">
        <v>10</v>
      </c>
      <c r="G269" s="2" t="s">
        <v>72</v>
      </c>
      <c r="H269" s="2">
        <v>9</v>
      </c>
      <c r="I269" s="20">
        <v>125.04</v>
      </c>
      <c r="J269" s="20">
        <v>36900</v>
      </c>
      <c r="K269" s="3">
        <v>0</v>
      </c>
      <c r="L269" s="3" t="s">
        <v>3</v>
      </c>
      <c r="M269" s="10" t="s">
        <v>0</v>
      </c>
      <c r="N269" s="10" t="s">
        <v>9</v>
      </c>
      <c r="O269" s="9" t="s">
        <v>141</v>
      </c>
      <c r="P269" s="9" t="s">
        <v>0</v>
      </c>
      <c r="Q269" s="30" t="s">
        <v>142</v>
      </c>
      <c r="R269" s="9" t="s">
        <v>143</v>
      </c>
      <c r="S269" s="9" t="s">
        <v>171</v>
      </c>
      <c r="V269" s="10">
        <v>12.5</v>
      </c>
      <c r="W269" s="10" t="s">
        <v>710</v>
      </c>
      <c r="X269" s="17">
        <v>44696</v>
      </c>
      <c r="Y269" s="17">
        <v>44698</v>
      </c>
      <c r="Z269" s="19" t="s">
        <v>772</v>
      </c>
      <c r="AA269" s="207">
        <v>6000</v>
      </c>
      <c r="AB269" s="9">
        <v>12</v>
      </c>
      <c r="AC269" s="9">
        <v>5</v>
      </c>
      <c r="AD269" s="17">
        <v>44870</v>
      </c>
      <c r="AE269" s="54">
        <v>416.67</v>
      </c>
      <c r="AF269" s="54"/>
      <c r="AG269" s="9" t="s">
        <v>134</v>
      </c>
      <c r="AH269" s="127">
        <v>44882</v>
      </c>
      <c r="AI269" s="104" t="s">
        <v>9</v>
      </c>
      <c r="AJ269" s="22" t="s">
        <v>3165</v>
      </c>
      <c r="AK269" s="22" t="s">
        <v>196</v>
      </c>
      <c r="AL269" s="22">
        <v>416.66</v>
      </c>
      <c r="AM269" s="22"/>
      <c r="AN269" s="22" t="s">
        <v>3134</v>
      </c>
      <c r="AO269" s="22"/>
      <c r="AP269" s="9"/>
      <c r="AQ269" s="9"/>
      <c r="AR269" s="9"/>
      <c r="AS269" s="9"/>
      <c r="AT269" s="9"/>
      <c r="AU269" s="9"/>
      <c r="AV269" s="9"/>
      <c r="AW269" s="42">
        <v>44839</v>
      </c>
      <c r="AX269" s="36">
        <v>993</v>
      </c>
      <c r="AY269" s="36"/>
      <c r="AZ269" s="36"/>
      <c r="BA269" s="40">
        <v>416.66</v>
      </c>
      <c r="BB269" s="22"/>
      <c r="BD269" s="9"/>
      <c r="CS269" s="11">
        <f t="shared" si="20"/>
        <v>416.66</v>
      </c>
      <c r="CT269" s="22">
        <f t="shared" si="21"/>
        <v>416.66</v>
      </c>
      <c r="CU269" s="22">
        <f t="shared" si="22"/>
        <v>0</v>
      </c>
      <c r="CV269" s="26">
        <f t="shared" si="23"/>
        <v>9.9999999999909051E-3</v>
      </c>
    </row>
    <row r="270" spans="1:100" x14ac:dyDescent="0.2">
      <c r="A270" s="9" t="s">
        <v>172</v>
      </c>
      <c r="B270" s="2">
        <v>66</v>
      </c>
      <c r="C270" s="3" t="s">
        <v>95</v>
      </c>
      <c r="D270" s="3" t="s">
        <v>96</v>
      </c>
      <c r="E270" s="2" t="s">
        <v>68</v>
      </c>
      <c r="F270" s="2">
        <v>10</v>
      </c>
      <c r="G270" s="2" t="s">
        <v>72</v>
      </c>
      <c r="H270" s="2">
        <v>9</v>
      </c>
      <c r="I270" s="20">
        <v>125.04</v>
      </c>
      <c r="J270" s="20">
        <v>36900</v>
      </c>
      <c r="K270" s="3">
        <v>0</v>
      </c>
      <c r="L270" s="3" t="s">
        <v>3</v>
      </c>
      <c r="M270" s="10" t="s">
        <v>0</v>
      </c>
      <c r="N270" s="10" t="s">
        <v>9</v>
      </c>
      <c r="O270" s="9" t="s">
        <v>141</v>
      </c>
      <c r="P270" s="9" t="s">
        <v>0</v>
      </c>
      <c r="Q270" s="30" t="s">
        <v>142</v>
      </c>
      <c r="R270" s="9" t="s">
        <v>143</v>
      </c>
      <c r="S270" s="9" t="s">
        <v>171</v>
      </c>
      <c r="V270" s="10">
        <v>12.5</v>
      </c>
      <c r="W270" s="10" t="s">
        <v>710</v>
      </c>
      <c r="X270" s="17">
        <v>44696</v>
      </c>
      <c r="Y270" s="17">
        <v>44698</v>
      </c>
      <c r="Z270" s="19" t="s">
        <v>772</v>
      </c>
      <c r="AA270" s="207">
        <v>6000</v>
      </c>
      <c r="AB270" s="9">
        <v>12</v>
      </c>
      <c r="AC270" s="9">
        <v>6</v>
      </c>
      <c r="AD270" s="17">
        <v>44900</v>
      </c>
      <c r="AE270" s="54">
        <v>416.67</v>
      </c>
      <c r="AF270" s="54"/>
      <c r="AG270" s="9" t="s">
        <v>134</v>
      </c>
      <c r="AH270" s="127">
        <v>44909</v>
      </c>
      <c r="AI270" s="104" t="s">
        <v>9</v>
      </c>
      <c r="AJ270" s="22" t="s">
        <v>3165</v>
      </c>
      <c r="AK270" s="22" t="s">
        <v>194</v>
      </c>
      <c r="AL270" s="22">
        <v>416.67</v>
      </c>
      <c r="AM270" s="22"/>
      <c r="AN270" s="22" t="s">
        <v>3136</v>
      </c>
      <c r="AO270" s="22"/>
      <c r="AP270" s="9"/>
      <c r="AQ270" s="9"/>
      <c r="AR270" s="9"/>
      <c r="AS270" s="9"/>
      <c r="AT270" s="9"/>
      <c r="AU270" s="9"/>
      <c r="AV270" s="9"/>
      <c r="AW270" s="42">
        <v>44901</v>
      </c>
      <c r="AX270" s="36">
        <v>1094</v>
      </c>
      <c r="AY270" s="36"/>
      <c r="AZ270" s="36"/>
      <c r="BA270" s="40">
        <v>416.67</v>
      </c>
      <c r="BB270" s="22"/>
      <c r="BD270" s="9"/>
      <c r="CS270" s="11">
        <f t="shared" si="20"/>
        <v>416.67</v>
      </c>
      <c r="CT270" s="22">
        <f t="shared" si="21"/>
        <v>416.67</v>
      </c>
      <c r="CU270" s="22">
        <f t="shared" si="22"/>
        <v>0</v>
      </c>
      <c r="CV270" s="26">
        <f t="shared" si="23"/>
        <v>0</v>
      </c>
    </row>
    <row r="271" spans="1:100" x14ac:dyDescent="0.2">
      <c r="A271" s="9" t="s">
        <v>172</v>
      </c>
      <c r="B271" s="2">
        <v>66</v>
      </c>
      <c r="C271" s="3" t="s">
        <v>95</v>
      </c>
      <c r="D271" s="3" t="s">
        <v>96</v>
      </c>
      <c r="E271" s="2" t="s">
        <v>68</v>
      </c>
      <c r="F271" s="2">
        <v>10</v>
      </c>
      <c r="G271" s="2" t="s">
        <v>72</v>
      </c>
      <c r="H271" s="2">
        <v>9</v>
      </c>
      <c r="I271" s="20">
        <v>125.04</v>
      </c>
      <c r="J271" s="20">
        <v>36900</v>
      </c>
      <c r="K271" s="3">
        <v>0</v>
      </c>
      <c r="L271" s="3" t="s">
        <v>3</v>
      </c>
      <c r="M271" s="10" t="s">
        <v>0</v>
      </c>
      <c r="N271" s="10" t="s">
        <v>9</v>
      </c>
      <c r="O271" s="9" t="s">
        <v>141</v>
      </c>
      <c r="P271" s="9" t="s">
        <v>0</v>
      </c>
      <c r="Q271" s="30" t="s">
        <v>142</v>
      </c>
      <c r="R271" s="9" t="s">
        <v>143</v>
      </c>
      <c r="S271" s="9" t="s">
        <v>171</v>
      </c>
      <c r="V271" s="10">
        <v>12.5</v>
      </c>
      <c r="W271" s="10" t="s">
        <v>710</v>
      </c>
      <c r="X271" s="17">
        <v>44696</v>
      </c>
      <c r="Y271" s="17">
        <v>44698</v>
      </c>
      <c r="Z271" s="19" t="s">
        <v>772</v>
      </c>
      <c r="AA271" s="207">
        <v>6000</v>
      </c>
      <c r="AB271" s="9">
        <v>12</v>
      </c>
      <c r="AC271" s="9">
        <v>7</v>
      </c>
      <c r="AD271" s="17">
        <v>44931</v>
      </c>
      <c r="AE271" s="54">
        <v>416.67</v>
      </c>
      <c r="AF271" s="54"/>
      <c r="AG271" s="9" t="s">
        <v>134</v>
      </c>
      <c r="AH271" s="127">
        <v>44938</v>
      </c>
      <c r="AI271" s="104" t="s">
        <v>9</v>
      </c>
      <c r="AJ271" s="22" t="s">
        <v>3165</v>
      </c>
      <c r="AK271" s="22" t="s">
        <v>189</v>
      </c>
      <c r="AL271" s="22">
        <v>416.67</v>
      </c>
      <c r="AM271" s="22"/>
      <c r="AN271" s="22" t="s">
        <v>3141</v>
      </c>
      <c r="AO271" s="22"/>
      <c r="AP271" s="9"/>
      <c r="AQ271" s="9"/>
      <c r="AR271" s="9"/>
      <c r="AS271" s="9"/>
      <c r="AT271" s="9"/>
      <c r="AU271" s="9"/>
      <c r="AV271" s="9"/>
      <c r="AW271" s="42">
        <v>44937</v>
      </c>
      <c r="AX271" s="36">
        <v>1143</v>
      </c>
      <c r="AY271" s="36"/>
      <c r="AZ271" s="36"/>
      <c r="BA271" s="40">
        <v>416.67</v>
      </c>
      <c r="BB271" s="22"/>
      <c r="BD271" s="9"/>
      <c r="CS271" s="11">
        <f t="shared" si="20"/>
        <v>416.67</v>
      </c>
      <c r="CT271" s="22">
        <f t="shared" si="21"/>
        <v>416.67</v>
      </c>
      <c r="CU271" s="22">
        <f t="shared" si="22"/>
        <v>0</v>
      </c>
      <c r="CV271" s="26">
        <f t="shared" si="23"/>
        <v>0</v>
      </c>
    </row>
    <row r="272" spans="1:100" x14ac:dyDescent="0.2">
      <c r="A272" s="9" t="s">
        <v>172</v>
      </c>
      <c r="B272" s="2">
        <v>66</v>
      </c>
      <c r="C272" s="3" t="s">
        <v>95</v>
      </c>
      <c r="D272" s="3" t="s">
        <v>96</v>
      </c>
      <c r="E272" s="2" t="s">
        <v>68</v>
      </c>
      <c r="F272" s="2">
        <v>10</v>
      </c>
      <c r="G272" s="2" t="s">
        <v>72</v>
      </c>
      <c r="H272" s="2">
        <v>9</v>
      </c>
      <c r="I272" s="20">
        <v>125.04</v>
      </c>
      <c r="J272" s="20">
        <v>36900</v>
      </c>
      <c r="K272" s="3">
        <v>0</v>
      </c>
      <c r="L272" s="3" t="s">
        <v>3</v>
      </c>
      <c r="M272" s="10" t="s">
        <v>0</v>
      </c>
      <c r="N272" s="10" t="s">
        <v>9</v>
      </c>
      <c r="O272" s="9" t="s">
        <v>141</v>
      </c>
      <c r="P272" s="9" t="s">
        <v>0</v>
      </c>
      <c r="Q272" s="30" t="s">
        <v>142</v>
      </c>
      <c r="R272" s="9" t="s">
        <v>143</v>
      </c>
      <c r="S272" s="9" t="s">
        <v>171</v>
      </c>
      <c r="V272" s="10">
        <v>12.5</v>
      </c>
      <c r="W272" s="10" t="s">
        <v>710</v>
      </c>
      <c r="X272" s="17">
        <v>44696</v>
      </c>
      <c r="Y272" s="17">
        <v>44698</v>
      </c>
      <c r="Z272" s="19" t="s">
        <v>772</v>
      </c>
      <c r="AA272" s="207">
        <v>6000</v>
      </c>
      <c r="AB272" s="9">
        <v>12</v>
      </c>
      <c r="AC272" s="9">
        <v>8</v>
      </c>
      <c r="AD272" s="17">
        <v>44962</v>
      </c>
      <c r="AE272" s="54">
        <v>416.67</v>
      </c>
      <c r="AF272" s="54"/>
      <c r="AG272" s="9" t="s">
        <v>134</v>
      </c>
      <c r="AH272" s="127">
        <v>44961</v>
      </c>
      <c r="AI272" s="104" t="s">
        <v>9</v>
      </c>
      <c r="AJ272" s="22" t="s">
        <v>3165</v>
      </c>
      <c r="AK272" s="22" t="s">
        <v>190</v>
      </c>
      <c r="AL272" s="22">
        <v>416.67</v>
      </c>
      <c r="AM272" s="22"/>
      <c r="AN272" s="22" t="s">
        <v>3146</v>
      </c>
      <c r="AO272" s="22"/>
      <c r="AP272" s="9"/>
      <c r="AQ272" s="9"/>
      <c r="AR272" s="9"/>
      <c r="AS272" s="9"/>
      <c r="AT272" s="9"/>
      <c r="AU272" s="9"/>
      <c r="AV272" s="9"/>
      <c r="AW272" s="178">
        <v>44959</v>
      </c>
      <c r="AX272" s="179">
        <v>1202</v>
      </c>
      <c r="AY272" s="179"/>
      <c r="AZ272" s="179"/>
      <c r="BA272" s="40">
        <v>416.67</v>
      </c>
      <c r="BB272" s="22"/>
      <c r="BD272" s="9"/>
      <c r="CS272" s="11">
        <f t="shared" si="20"/>
        <v>416.67</v>
      </c>
      <c r="CT272" s="22">
        <f t="shared" si="21"/>
        <v>416.67</v>
      </c>
      <c r="CU272" s="22">
        <f t="shared" si="22"/>
        <v>0</v>
      </c>
      <c r="CV272" s="26">
        <f t="shared" si="23"/>
        <v>0</v>
      </c>
    </row>
    <row r="273" spans="1:100" x14ac:dyDescent="0.2">
      <c r="A273" s="9" t="s">
        <v>172</v>
      </c>
      <c r="B273" s="2">
        <v>66</v>
      </c>
      <c r="C273" s="3" t="s">
        <v>95</v>
      </c>
      <c r="D273" s="3" t="s">
        <v>96</v>
      </c>
      <c r="E273" s="2" t="s">
        <v>68</v>
      </c>
      <c r="F273" s="2">
        <v>10</v>
      </c>
      <c r="G273" s="2" t="s">
        <v>72</v>
      </c>
      <c r="H273" s="2">
        <v>9</v>
      </c>
      <c r="I273" s="20">
        <v>125.04</v>
      </c>
      <c r="J273" s="20">
        <v>36900</v>
      </c>
      <c r="K273" s="3">
        <v>0</v>
      </c>
      <c r="L273" s="3" t="s">
        <v>3</v>
      </c>
      <c r="M273" s="10" t="s">
        <v>0</v>
      </c>
      <c r="N273" s="10" t="s">
        <v>9</v>
      </c>
      <c r="O273" s="9" t="s">
        <v>141</v>
      </c>
      <c r="P273" s="9" t="s">
        <v>0</v>
      </c>
      <c r="Q273" s="30" t="s">
        <v>142</v>
      </c>
      <c r="R273" s="9" t="s">
        <v>143</v>
      </c>
      <c r="S273" s="9" t="s">
        <v>171</v>
      </c>
      <c r="V273" s="10">
        <v>12.5</v>
      </c>
      <c r="W273" s="10" t="s">
        <v>710</v>
      </c>
      <c r="X273" s="17">
        <v>44696</v>
      </c>
      <c r="Y273" s="17">
        <v>44698</v>
      </c>
      <c r="Z273" s="19" t="s">
        <v>772</v>
      </c>
      <c r="AA273" s="207">
        <v>6000</v>
      </c>
      <c r="AB273" s="9">
        <v>12</v>
      </c>
      <c r="AC273" s="9">
        <v>9</v>
      </c>
      <c r="AD273" s="17">
        <v>44990</v>
      </c>
      <c r="AE273" s="54">
        <v>416.67</v>
      </c>
      <c r="AF273" s="54"/>
      <c r="AG273" s="9" t="s">
        <v>134</v>
      </c>
      <c r="AH273" s="127">
        <v>44996</v>
      </c>
      <c r="AI273" s="104" t="s">
        <v>9</v>
      </c>
      <c r="AJ273" s="22" t="s">
        <v>3165</v>
      </c>
      <c r="AK273" s="22" t="s">
        <v>191</v>
      </c>
      <c r="AL273" s="22">
        <v>416.67</v>
      </c>
      <c r="AM273" s="22"/>
      <c r="AN273" s="22" t="s">
        <v>3148</v>
      </c>
      <c r="AO273" s="22"/>
      <c r="AP273" s="9"/>
      <c r="AQ273" s="9"/>
      <c r="AR273" s="9"/>
      <c r="AS273" s="9"/>
      <c r="AT273" s="9"/>
      <c r="AU273" s="9"/>
      <c r="AV273" s="9"/>
      <c r="AW273" s="42">
        <v>44995</v>
      </c>
      <c r="AX273" s="36">
        <v>1311</v>
      </c>
      <c r="AY273" s="36"/>
      <c r="AZ273" s="36"/>
      <c r="BA273" s="40">
        <v>416.67</v>
      </c>
      <c r="BB273" s="22"/>
      <c r="BD273" s="9"/>
      <c r="CS273" s="11">
        <f t="shared" si="20"/>
        <v>416.67</v>
      </c>
      <c r="CT273" s="22">
        <f t="shared" si="21"/>
        <v>416.67</v>
      </c>
      <c r="CU273" s="22">
        <f t="shared" si="22"/>
        <v>0</v>
      </c>
      <c r="CV273" s="26">
        <f t="shared" si="23"/>
        <v>0</v>
      </c>
    </row>
    <row r="274" spans="1:100" x14ac:dyDescent="0.2">
      <c r="A274" s="9" t="s">
        <v>172</v>
      </c>
      <c r="B274" s="2">
        <v>66</v>
      </c>
      <c r="C274" s="3" t="s">
        <v>95</v>
      </c>
      <c r="D274" s="3" t="s">
        <v>96</v>
      </c>
      <c r="E274" s="2" t="s">
        <v>68</v>
      </c>
      <c r="F274" s="2">
        <v>10</v>
      </c>
      <c r="G274" s="2" t="s">
        <v>72</v>
      </c>
      <c r="H274" s="2">
        <v>9</v>
      </c>
      <c r="I274" s="20">
        <v>125.04</v>
      </c>
      <c r="J274" s="20">
        <v>36900</v>
      </c>
      <c r="K274" s="3">
        <v>0</v>
      </c>
      <c r="L274" s="3" t="s">
        <v>3</v>
      </c>
      <c r="M274" s="10" t="s">
        <v>0</v>
      </c>
      <c r="N274" s="10" t="s">
        <v>9</v>
      </c>
      <c r="O274" s="9" t="s">
        <v>141</v>
      </c>
      <c r="P274" s="9" t="s">
        <v>0</v>
      </c>
      <c r="Q274" s="30" t="s">
        <v>142</v>
      </c>
      <c r="R274" s="9" t="s">
        <v>143</v>
      </c>
      <c r="S274" s="9" t="s">
        <v>171</v>
      </c>
      <c r="V274" s="10">
        <v>12.5</v>
      </c>
      <c r="W274" s="10" t="s">
        <v>710</v>
      </c>
      <c r="X274" s="17">
        <v>44696</v>
      </c>
      <c r="Y274" s="17">
        <v>44698</v>
      </c>
      <c r="Z274" s="19" t="s">
        <v>772</v>
      </c>
      <c r="AA274" s="207">
        <v>6000</v>
      </c>
      <c r="AB274" s="9">
        <v>12</v>
      </c>
      <c r="AC274" s="9">
        <v>10</v>
      </c>
      <c r="AD274" s="17">
        <v>45021</v>
      </c>
      <c r="AE274" s="54">
        <v>416.67</v>
      </c>
      <c r="AF274" s="54"/>
      <c r="AG274" s="9" t="s">
        <v>134</v>
      </c>
      <c r="AH274" s="127">
        <v>45029</v>
      </c>
      <c r="AI274" s="104" t="s">
        <v>9</v>
      </c>
      <c r="AJ274" s="22" t="s">
        <v>3165</v>
      </c>
      <c r="AK274" s="22" t="s">
        <v>3163</v>
      </c>
      <c r="AL274" s="22">
        <v>416.67</v>
      </c>
      <c r="AM274" s="22"/>
      <c r="AN274" s="22" t="s">
        <v>3153</v>
      </c>
      <c r="AO274" s="22"/>
      <c r="AP274" s="9"/>
      <c r="AQ274" s="9"/>
      <c r="AR274" s="9"/>
      <c r="AS274" s="9"/>
      <c r="AT274" s="9"/>
      <c r="AU274" s="9"/>
      <c r="AV274" s="9"/>
      <c r="AW274" s="42">
        <v>45027</v>
      </c>
      <c r="AX274" s="36">
        <v>1395</v>
      </c>
      <c r="AY274" s="36"/>
      <c r="AZ274" s="36"/>
      <c r="BA274" s="40">
        <v>416.67</v>
      </c>
      <c r="BB274" s="22"/>
      <c r="BD274" s="9"/>
      <c r="CS274" s="11">
        <f t="shared" si="20"/>
        <v>416.67</v>
      </c>
      <c r="CT274" s="22">
        <f t="shared" si="21"/>
        <v>416.67</v>
      </c>
      <c r="CU274" s="22">
        <f t="shared" si="22"/>
        <v>0</v>
      </c>
      <c r="CV274" s="26">
        <f t="shared" si="23"/>
        <v>0</v>
      </c>
    </row>
    <row r="275" spans="1:100" x14ac:dyDescent="0.2">
      <c r="A275" s="9" t="s">
        <v>172</v>
      </c>
      <c r="B275" s="2">
        <v>66</v>
      </c>
      <c r="C275" s="3" t="s">
        <v>95</v>
      </c>
      <c r="D275" s="3" t="s">
        <v>96</v>
      </c>
      <c r="E275" s="2" t="s">
        <v>68</v>
      </c>
      <c r="F275" s="2">
        <v>10</v>
      </c>
      <c r="G275" s="2" t="s">
        <v>72</v>
      </c>
      <c r="H275" s="2">
        <v>9</v>
      </c>
      <c r="I275" s="20">
        <v>125.04</v>
      </c>
      <c r="J275" s="20">
        <v>36900</v>
      </c>
      <c r="K275" s="3">
        <v>0</v>
      </c>
      <c r="L275" s="3" t="s">
        <v>3</v>
      </c>
      <c r="M275" s="10" t="s">
        <v>0</v>
      </c>
      <c r="N275" s="10" t="s">
        <v>9</v>
      </c>
      <c r="O275" s="9" t="s">
        <v>141</v>
      </c>
      <c r="P275" s="9" t="s">
        <v>0</v>
      </c>
      <c r="Q275" s="30" t="s">
        <v>142</v>
      </c>
      <c r="R275" s="9" t="s">
        <v>143</v>
      </c>
      <c r="S275" s="9" t="s">
        <v>171</v>
      </c>
      <c r="V275" s="10">
        <v>12.5</v>
      </c>
      <c r="W275" s="10" t="s">
        <v>710</v>
      </c>
      <c r="X275" s="17">
        <v>44696</v>
      </c>
      <c r="Y275" s="17">
        <v>44698</v>
      </c>
      <c r="Z275" s="19" t="s">
        <v>772</v>
      </c>
      <c r="AA275" s="207">
        <v>6000</v>
      </c>
      <c r="AB275" s="9">
        <v>12</v>
      </c>
      <c r="AC275" s="9">
        <v>11</v>
      </c>
      <c r="AD275" s="17">
        <v>45051</v>
      </c>
      <c r="AE275" s="54">
        <v>416.67</v>
      </c>
      <c r="AF275" s="54"/>
      <c r="AG275" s="9" t="s">
        <v>134</v>
      </c>
      <c r="AH275" s="127">
        <v>45055</v>
      </c>
      <c r="AI275" s="104" t="s">
        <v>9</v>
      </c>
      <c r="AJ275" s="22" t="s">
        <v>3165</v>
      </c>
      <c r="AK275" s="22" t="s">
        <v>3164</v>
      </c>
      <c r="AL275" s="22">
        <v>416.67</v>
      </c>
      <c r="AM275" s="22"/>
      <c r="AN275" s="22" t="s">
        <v>3158</v>
      </c>
      <c r="AO275" s="22"/>
      <c r="AP275" s="9"/>
      <c r="AQ275" s="9"/>
      <c r="AR275" s="9"/>
      <c r="AS275" s="9"/>
      <c r="AT275" s="9"/>
      <c r="AU275" s="9"/>
      <c r="AV275" s="9"/>
      <c r="AW275" s="42">
        <v>45050</v>
      </c>
      <c r="AX275" s="36">
        <v>1482</v>
      </c>
      <c r="AY275" s="36"/>
      <c r="AZ275" s="36"/>
      <c r="BA275" s="40">
        <v>416.67</v>
      </c>
      <c r="BB275" s="22"/>
      <c r="BD275" s="9"/>
      <c r="CS275" s="11">
        <f t="shared" si="20"/>
        <v>416.67</v>
      </c>
      <c r="CT275" s="22">
        <f t="shared" si="21"/>
        <v>416.67</v>
      </c>
      <c r="CU275" s="22">
        <f t="shared" si="22"/>
        <v>0</v>
      </c>
      <c r="CV275" s="26">
        <f t="shared" si="23"/>
        <v>0</v>
      </c>
    </row>
    <row r="276" spans="1:100" x14ac:dyDescent="0.2">
      <c r="A276" s="9" t="s">
        <v>172</v>
      </c>
      <c r="B276" s="2">
        <v>66</v>
      </c>
      <c r="C276" s="3" t="s">
        <v>95</v>
      </c>
      <c r="D276" s="3" t="s">
        <v>96</v>
      </c>
      <c r="E276" s="2" t="s">
        <v>68</v>
      </c>
      <c r="F276" s="2">
        <v>10</v>
      </c>
      <c r="G276" s="2" t="s">
        <v>72</v>
      </c>
      <c r="H276" s="2">
        <v>9</v>
      </c>
      <c r="I276" s="20">
        <v>125.04</v>
      </c>
      <c r="J276" s="20">
        <v>36900</v>
      </c>
      <c r="K276" s="3">
        <v>0</v>
      </c>
      <c r="L276" s="3" t="s">
        <v>3</v>
      </c>
      <c r="M276" s="10" t="s">
        <v>0</v>
      </c>
      <c r="N276" s="10" t="s">
        <v>9</v>
      </c>
      <c r="O276" s="9" t="s">
        <v>141</v>
      </c>
      <c r="P276" s="9" t="s">
        <v>0</v>
      </c>
      <c r="Q276" s="30" t="s">
        <v>142</v>
      </c>
      <c r="R276" s="9" t="s">
        <v>143</v>
      </c>
      <c r="S276" s="9" t="s">
        <v>171</v>
      </c>
      <c r="V276" s="10">
        <v>12.5</v>
      </c>
      <c r="W276" s="10" t="s">
        <v>710</v>
      </c>
      <c r="X276" s="17">
        <v>44696</v>
      </c>
      <c r="Y276" s="17">
        <v>44698</v>
      </c>
      <c r="Z276" s="19" t="s">
        <v>772</v>
      </c>
      <c r="AA276" s="207">
        <v>6000</v>
      </c>
      <c r="AB276" s="9">
        <v>12</v>
      </c>
      <c r="AC276" s="9">
        <v>12</v>
      </c>
      <c r="AD276" s="17">
        <v>45082</v>
      </c>
      <c r="AE276" s="54">
        <v>416.67</v>
      </c>
      <c r="AF276" s="54"/>
      <c r="AG276" s="9" t="s">
        <v>134</v>
      </c>
      <c r="AH276" s="127">
        <v>45086</v>
      </c>
      <c r="AI276" s="104" t="s">
        <v>9</v>
      </c>
      <c r="AJ276" s="22" t="s">
        <v>3165</v>
      </c>
      <c r="AK276" s="22" t="s">
        <v>197</v>
      </c>
      <c r="AL276" s="22">
        <v>416.67</v>
      </c>
      <c r="AM276" s="22"/>
      <c r="AN276" s="22" t="s">
        <v>3162</v>
      </c>
      <c r="AO276" s="22"/>
      <c r="AP276" s="22"/>
      <c r="AQ276" s="22"/>
      <c r="AR276" s="22"/>
      <c r="AS276" s="22"/>
      <c r="AT276" s="22"/>
      <c r="AU276" s="22"/>
      <c r="AV276" s="22"/>
      <c r="AW276" s="42">
        <v>45084</v>
      </c>
      <c r="AX276" s="39">
        <v>1606</v>
      </c>
      <c r="AY276" s="36"/>
      <c r="AZ276" s="36"/>
      <c r="BA276" s="40">
        <v>416.67</v>
      </c>
      <c r="BB276" s="22"/>
      <c r="BD276" s="9"/>
      <c r="CS276" s="11">
        <f t="shared" si="20"/>
        <v>416.67</v>
      </c>
      <c r="CT276" s="22">
        <f t="shared" si="21"/>
        <v>416.67</v>
      </c>
      <c r="CU276" s="22">
        <f t="shared" si="22"/>
        <v>0</v>
      </c>
      <c r="CV276" s="26">
        <f t="shared" si="23"/>
        <v>0</v>
      </c>
    </row>
    <row r="277" spans="1:100" x14ac:dyDescent="0.2">
      <c r="A277" s="9" t="s">
        <v>199</v>
      </c>
      <c r="B277" s="2">
        <v>137</v>
      </c>
      <c r="C277" s="3" t="s">
        <v>95</v>
      </c>
      <c r="D277" s="38" t="s">
        <v>96</v>
      </c>
      <c r="E277" s="37"/>
      <c r="F277" s="37"/>
      <c r="G277" s="2" t="s">
        <v>83</v>
      </c>
      <c r="H277" s="2">
        <v>7</v>
      </c>
      <c r="I277" s="20">
        <v>135.15</v>
      </c>
      <c r="J277" s="20">
        <v>41900</v>
      </c>
      <c r="K277" s="3">
        <v>0</v>
      </c>
      <c r="L277" s="3" t="s">
        <v>3</v>
      </c>
      <c r="M277" s="10" t="s">
        <v>0</v>
      </c>
      <c r="N277" s="10" t="s">
        <v>10</v>
      </c>
      <c r="O277" s="9" t="s">
        <v>200</v>
      </c>
      <c r="P277" s="9" t="s">
        <v>0</v>
      </c>
      <c r="Q277" s="30" t="s">
        <v>201</v>
      </c>
      <c r="R277" s="9" t="s">
        <v>202</v>
      </c>
      <c r="S277" s="9" t="s">
        <v>158</v>
      </c>
      <c r="V277" s="10">
        <v>135.15</v>
      </c>
      <c r="W277" s="10"/>
      <c r="X277" s="17">
        <v>44954</v>
      </c>
      <c r="Y277" s="17">
        <v>44954</v>
      </c>
      <c r="Z277" s="19" t="s">
        <v>772</v>
      </c>
      <c r="AA277" s="207">
        <v>41000</v>
      </c>
      <c r="AB277" s="9">
        <v>33</v>
      </c>
      <c r="AC277" s="9">
        <v>0</v>
      </c>
      <c r="AD277" s="17">
        <v>44898</v>
      </c>
      <c r="AE277" s="54">
        <v>3389.83</v>
      </c>
      <c r="AF277" s="54"/>
      <c r="AG277" s="9" t="s">
        <v>134</v>
      </c>
      <c r="AH277" s="127">
        <v>45061</v>
      </c>
      <c r="AI277" s="104">
        <v>9499094</v>
      </c>
      <c r="AJ277" s="22" t="s">
        <v>3050</v>
      </c>
      <c r="AK277" s="22" t="s">
        <v>215</v>
      </c>
      <c r="AL277" s="22">
        <v>3389.83</v>
      </c>
      <c r="AM277" s="22"/>
      <c r="AN277" s="22" t="s">
        <v>3035</v>
      </c>
      <c r="AO277" s="22"/>
      <c r="AP277" s="9"/>
      <c r="AQ277" s="9"/>
      <c r="AR277" s="9"/>
      <c r="AS277" s="9"/>
      <c r="AT277" s="9"/>
      <c r="AU277" s="9"/>
      <c r="AV277" s="9"/>
      <c r="AW277" s="17">
        <v>45061</v>
      </c>
      <c r="AX277" s="30" t="s">
        <v>216</v>
      </c>
      <c r="AY277" s="9">
        <v>13000</v>
      </c>
      <c r="AZ277" s="9">
        <v>3.835</v>
      </c>
      <c r="BA277" s="22">
        <f>+AY277/AZ277</f>
        <v>3389.8305084745762</v>
      </c>
      <c r="BB277" s="22" t="s">
        <v>3091</v>
      </c>
      <c r="BD277" s="9"/>
      <c r="CS277" s="11">
        <f t="shared" si="20"/>
        <v>3389.83</v>
      </c>
      <c r="CT277" s="22">
        <f t="shared" si="21"/>
        <v>3389.8305084745762</v>
      </c>
      <c r="CU277" s="22">
        <f t="shared" si="22"/>
        <v>-5.0847457623603987E-4</v>
      </c>
      <c r="CV277" s="26">
        <f t="shared" si="23"/>
        <v>0</v>
      </c>
    </row>
    <row r="278" spans="1:100" x14ac:dyDescent="0.2">
      <c r="A278" s="9" t="s">
        <v>199</v>
      </c>
      <c r="B278" s="2">
        <v>137</v>
      </c>
      <c r="C278" s="3" t="s">
        <v>95</v>
      </c>
      <c r="D278" s="38" t="s">
        <v>96</v>
      </c>
      <c r="E278" s="37"/>
      <c r="F278" s="37"/>
      <c r="G278" s="2" t="s">
        <v>83</v>
      </c>
      <c r="H278" s="2">
        <v>7</v>
      </c>
      <c r="I278" s="20">
        <v>135.15</v>
      </c>
      <c r="J278" s="20">
        <v>41900</v>
      </c>
      <c r="K278" s="3">
        <v>0</v>
      </c>
      <c r="L278" s="3" t="s">
        <v>3</v>
      </c>
      <c r="M278" s="10" t="s">
        <v>0</v>
      </c>
      <c r="N278" s="10" t="s">
        <v>10</v>
      </c>
      <c r="O278" s="9" t="s">
        <v>200</v>
      </c>
      <c r="P278" s="9" t="s">
        <v>0</v>
      </c>
      <c r="Q278" s="30" t="s">
        <v>201</v>
      </c>
      <c r="R278" s="9" t="s">
        <v>202</v>
      </c>
      <c r="S278" s="9" t="s">
        <v>158</v>
      </c>
      <c r="V278" s="10">
        <v>135.15</v>
      </c>
      <c r="W278" s="10"/>
      <c r="X278" s="17">
        <v>44954</v>
      </c>
      <c r="Y278" s="17">
        <v>44954</v>
      </c>
      <c r="Z278" s="19" t="s">
        <v>772</v>
      </c>
      <c r="AA278" s="207">
        <v>41000</v>
      </c>
      <c r="AB278" s="9">
        <v>33</v>
      </c>
      <c r="AC278" s="9">
        <v>0</v>
      </c>
      <c r="AD278" s="17">
        <v>44954</v>
      </c>
      <c r="AE278" s="54">
        <v>1000</v>
      </c>
      <c r="AF278" s="54"/>
      <c r="AG278" s="9" t="s">
        <v>134</v>
      </c>
      <c r="AH278" s="127">
        <v>44954</v>
      </c>
      <c r="AI278" s="104">
        <v>9499094</v>
      </c>
      <c r="AJ278" s="22" t="s">
        <v>3050</v>
      </c>
      <c r="AK278" s="22" t="s">
        <v>205</v>
      </c>
      <c r="AL278" s="22">
        <v>1000</v>
      </c>
      <c r="AM278" s="22"/>
      <c r="AN278" s="22" t="s">
        <v>3032</v>
      </c>
      <c r="AO278" s="22"/>
      <c r="AP278" s="9"/>
      <c r="AQ278" s="9"/>
      <c r="AR278" s="9"/>
      <c r="AS278" s="9"/>
      <c r="AT278" s="9"/>
      <c r="AU278" s="9"/>
      <c r="AV278" s="9"/>
      <c r="AW278" s="17">
        <v>44956</v>
      </c>
      <c r="AX278" s="30" t="s">
        <v>3092</v>
      </c>
      <c r="AY278" s="9">
        <v>3810</v>
      </c>
      <c r="AZ278" s="9">
        <v>3.81</v>
      </c>
      <c r="BA278" s="22">
        <f>+AY278/AZ278</f>
        <v>1000</v>
      </c>
      <c r="BB278" s="22"/>
      <c r="BD278" s="9"/>
      <c r="CS278" s="11">
        <f t="shared" si="20"/>
        <v>1000</v>
      </c>
      <c r="CT278" s="22">
        <f t="shared" si="21"/>
        <v>1000</v>
      </c>
      <c r="CU278" s="22">
        <f t="shared" si="22"/>
        <v>0</v>
      </c>
      <c r="CV278" s="26">
        <f t="shared" si="23"/>
        <v>0</v>
      </c>
    </row>
    <row r="279" spans="1:100" x14ac:dyDescent="0.2">
      <c r="A279" s="9" t="s">
        <v>199</v>
      </c>
      <c r="B279" s="2">
        <v>137</v>
      </c>
      <c r="C279" s="3" t="s">
        <v>95</v>
      </c>
      <c r="D279" s="38" t="s">
        <v>96</v>
      </c>
      <c r="E279" s="37"/>
      <c r="F279" s="37"/>
      <c r="G279" s="2" t="s">
        <v>83</v>
      </c>
      <c r="H279" s="2">
        <v>7</v>
      </c>
      <c r="I279" s="20">
        <v>135.15</v>
      </c>
      <c r="J279" s="20">
        <v>41900</v>
      </c>
      <c r="K279" s="3">
        <v>0</v>
      </c>
      <c r="L279" s="3" t="s">
        <v>3</v>
      </c>
      <c r="M279" s="10" t="s">
        <v>0</v>
      </c>
      <c r="N279" s="10" t="s">
        <v>10</v>
      </c>
      <c r="O279" s="9" t="s">
        <v>200</v>
      </c>
      <c r="P279" s="9" t="s">
        <v>0</v>
      </c>
      <c r="Q279" s="30" t="s">
        <v>201</v>
      </c>
      <c r="R279" s="9" t="s">
        <v>202</v>
      </c>
      <c r="S279" s="9" t="s">
        <v>158</v>
      </c>
      <c r="V279" s="10">
        <v>135.15</v>
      </c>
      <c r="W279" s="10"/>
      <c r="X279" s="17">
        <v>44954</v>
      </c>
      <c r="Y279" s="17">
        <v>44954</v>
      </c>
      <c r="Z279" s="19" t="s">
        <v>772</v>
      </c>
      <c r="AA279" s="207">
        <v>41000</v>
      </c>
      <c r="AB279" s="9">
        <v>33</v>
      </c>
      <c r="AC279" s="9">
        <v>0</v>
      </c>
      <c r="AD279" s="17">
        <v>44957</v>
      </c>
      <c r="AE279" s="54">
        <v>4000</v>
      </c>
      <c r="AF279" s="54"/>
      <c r="AG279" s="9" t="s">
        <v>134</v>
      </c>
      <c r="AH279" s="127">
        <v>44957</v>
      </c>
      <c r="AI279" s="104">
        <v>9499094</v>
      </c>
      <c r="AJ279" s="22" t="s">
        <v>3050</v>
      </c>
      <c r="AK279" s="22" t="s">
        <v>209</v>
      </c>
      <c r="AL279" s="22">
        <v>4000</v>
      </c>
      <c r="AM279" s="22"/>
      <c r="AN279" s="22" t="s">
        <v>3033</v>
      </c>
      <c r="AO279" s="22"/>
      <c r="AP279" s="9"/>
      <c r="AQ279" s="9"/>
      <c r="AR279" s="9"/>
      <c r="AS279" s="9"/>
      <c r="AT279" s="9"/>
      <c r="AU279" s="9"/>
      <c r="AV279" s="9"/>
      <c r="AW279" s="17">
        <v>44957</v>
      </c>
      <c r="AX279" s="30" t="s">
        <v>3093</v>
      </c>
      <c r="AY279" s="9">
        <v>15240</v>
      </c>
      <c r="AZ279" s="9">
        <v>3.81</v>
      </c>
      <c r="BA279" s="22">
        <f>+AY279/AZ279</f>
        <v>4000</v>
      </c>
      <c r="BB279" s="22"/>
      <c r="BD279" s="9"/>
      <c r="CS279" s="11">
        <f t="shared" si="20"/>
        <v>4000</v>
      </c>
      <c r="CT279" s="22">
        <f t="shared" si="21"/>
        <v>4000</v>
      </c>
      <c r="CU279" s="22">
        <f t="shared" si="22"/>
        <v>0</v>
      </c>
      <c r="CV279" s="26">
        <f t="shared" si="23"/>
        <v>0</v>
      </c>
    </row>
    <row r="280" spans="1:100" x14ac:dyDescent="0.2">
      <c r="A280" s="9" t="s">
        <v>199</v>
      </c>
      <c r="B280" s="2">
        <v>137</v>
      </c>
      <c r="C280" s="3" t="s">
        <v>95</v>
      </c>
      <c r="D280" s="38" t="s">
        <v>96</v>
      </c>
      <c r="E280" s="37"/>
      <c r="F280" s="37"/>
      <c r="G280" s="2" t="s">
        <v>83</v>
      </c>
      <c r="H280" s="2">
        <v>7</v>
      </c>
      <c r="I280" s="20">
        <v>135.15</v>
      </c>
      <c r="J280" s="20">
        <v>41900</v>
      </c>
      <c r="K280" s="3">
        <v>0</v>
      </c>
      <c r="L280" s="3" t="s">
        <v>3</v>
      </c>
      <c r="M280" s="10" t="s">
        <v>0</v>
      </c>
      <c r="N280" s="10" t="s">
        <v>10</v>
      </c>
      <c r="O280" s="9" t="s">
        <v>200</v>
      </c>
      <c r="P280" s="9" t="s">
        <v>0</v>
      </c>
      <c r="Q280" s="30" t="s">
        <v>201</v>
      </c>
      <c r="R280" s="9" t="s">
        <v>202</v>
      </c>
      <c r="S280" s="9" t="s">
        <v>158</v>
      </c>
      <c r="V280" s="10">
        <v>135.15</v>
      </c>
      <c r="W280" s="10"/>
      <c r="X280" s="17">
        <v>44954</v>
      </c>
      <c r="Y280" s="17">
        <v>44954</v>
      </c>
      <c r="Z280" s="19" t="s">
        <v>772</v>
      </c>
      <c r="AA280" s="207">
        <v>41000</v>
      </c>
      <c r="AB280" s="9">
        <v>33</v>
      </c>
      <c r="AC280" s="9">
        <v>1</v>
      </c>
      <c r="AD280" s="17">
        <v>45031</v>
      </c>
      <c r="AE280" s="54">
        <v>945</v>
      </c>
      <c r="AF280" s="54"/>
      <c r="AG280" s="9" t="s">
        <v>134</v>
      </c>
      <c r="AH280" s="127">
        <v>45049</v>
      </c>
      <c r="AI280" s="104">
        <v>9499094</v>
      </c>
      <c r="AJ280" s="22" t="s">
        <v>3050</v>
      </c>
      <c r="AK280" s="22" t="s">
        <v>210</v>
      </c>
      <c r="AL280" s="22">
        <v>945</v>
      </c>
      <c r="AM280" s="22"/>
      <c r="AN280" s="22" t="s">
        <v>3034</v>
      </c>
      <c r="AO280" s="22"/>
      <c r="AP280" s="9"/>
      <c r="AQ280" s="9"/>
      <c r="AR280" s="9"/>
      <c r="AS280" s="9"/>
      <c r="AT280" s="9"/>
      <c r="AU280" s="9"/>
      <c r="AV280" s="9"/>
      <c r="AW280" s="17">
        <v>45048</v>
      </c>
      <c r="AX280" s="30" t="s">
        <v>3094</v>
      </c>
      <c r="BA280" s="22">
        <v>945</v>
      </c>
      <c r="BB280" s="22"/>
      <c r="BD280" s="9"/>
      <c r="CS280" s="11">
        <f t="shared" si="20"/>
        <v>945</v>
      </c>
      <c r="CT280" s="22">
        <f t="shared" si="21"/>
        <v>945</v>
      </c>
      <c r="CU280" s="22">
        <f t="shared" si="22"/>
        <v>0</v>
      </c>
      <c r="CV280" s="26">
        <f t="shared" si="23"/>
        <v>0</v>
      </c>
    </row>
    <row r="281" spans="1:100" x14ac:dyDescent="0.2">
      <c r="A281" s="9" t="s">
        <v>199</v>
      </c>
      <c r="B281" s="2">
        <v>137</v>
      </c>
      <c r="C281" s="3" t="s">
        <v>95</v>
      </c>
      <c r="D281" s="38" t="s">
        <v>96</v>
      </c>
      <c r="E281" s="37"/>
      <c r="F281" s="37"/>
      <c r="G281" s="2" t="s">
        <v>83</v>
      </c>
      <c r="H281" s="2">
        <v>7</v>
      </c>
      <c r="I281" s="20">
        <v>135.15</v>
      </c>
      <c r="J281" s="20">
        <v>41900</v>
      </c>
      <c r="K281" s="3">
        <v>0</v>
      </c>
      <c r="L281" s="3" t="s">
        <v>3</v>
      </c>
      <c r="M281" s="10" t="s">
        <v>0</v>
      </c>
      <c r="N281" s="10" t="s">
        <v>10</v>
      </c>
      <c r="O281" s="9" t="s">
        <v>200</v>
      </c>
      <c r="P281" s="9" t="s">
        <v>0</v>
      </c>
      <c r="Q281" s="30" t="s">
        <v>201</v>
      </c>
      <c r="R281" s="9" t="s">
        <v>202</v>
      </c>
      <c r="S281" s="9" t="s">
        <v>158</v>
      </c>
      <c r="V281" s="10">
        <v>135.15</v>
      </c>
      <c r="W281" s="10"/>
      <c r="X281" s="17">
        <v>44954</v>
      </c>
      <c r="Y281" s="17">
        <v>44954</v>
      </c>
      <c r="Z281" s="19" t="s">
        <v>772</v>
      </c>
      <c r="AA281" s="207">
        <v>41000</v>
      </c>
      <c r="AB281" s="9">
        <v>33</v>
      </c>
      <c r="AC281" s="9">
        <v>2</v>
      </c>
      <c r="AD281" s="17">
        <v>45061</v>
      </c>
      <c r="AE281" s="54">
        <v>945</v>
      </c>
      <c r="AF281" s="54"/>
      <c r="AG281" s="9" t="s">
        <v>134</v>
      </c>
      <c r="AH281" s="127">
        <v>45086</v>
      </c>
      <c r="AI281" s="104">
        <v>9499094</v>
      </c>
      <c r="AJ281" s="22" t="s">
        <v>3050</v>
      </c>
      <c r="AK281" s="22" t="s">
        <v>3045</v>
      </c>
      <c r="AL281" s="22">
        <v>945</v>
      </c>
      <c r="AM281" s="22"/>
      <c r="AN281" s="22" t="s">
        <v>3037</v>
      </c>
      <c r="AO281" s="22"/>
      <c r="AP281" s="9"/>
      <c r="AQ281" s="9"/>
      <c r="AR281" s="9"/>
      <c r="AS281" s="9"/>
      <c r="AT281" s="9"/>
      <c r="AU281" s="9"/>
      <c r="AV281" s="9"/>
      <c r="AW281" s="17">
        <v>45073</v>
      </c>
      <c r="AX281" s="30" t="s">
        <v>3095</v>
      </c>
      <c r="AY281" s="22">
        <v>3491.25</v>
      </c>
      <c r="AZ281" s="9">
        <v>3.6789999999999998</v>
      </c>
      <c r="BA281" s="22">
        <f t="shared" ref="BA281:BA287" si="24">+AY281/AZ281</f>
        <v>948.96711062788802</v>
      </c>
      <c r="BB281" s="22"/>
      <c r="BD281" s="9"/>
      <c r="CS281" s="11">
        <f t="shared" si="20"/>
        <v>945</v>
      </c>
      <c r="CT281" s="22">
        <f t="shared" si="21"/>
        <v>948.96711062788802</v>
      </c>
      <c r="CU281" s="22">
        <f t="shared" si="22"/>
        <v>-3.9671106278880188</v>
      </c>
      <c r="CV281" s="26">
        <f t="shared" si="23"/>
        <v>0</v>
      </c>
    </row>
    <row r="282" spans="1:100" x14ac:dyDescent="0.2">
      <c r="A282" s="9" t="s">
        <v>199</v>
      </c>
      <c r="B282" s="2">
        <v>137</v>
      </c>
      <c r="C282" s="3" t="s">
        <v>95</v>
      </c>
      <c r="D282" s="38" t="s">
        <v>96</v>
      </c>
      <c r="E282" s="37"/>
      <c r="F282" s="37"/>
      <c r="G282" s="2" t="s">
        <v>83</v>
      </c>
      <c r="H282" s="2">
        <v>7</v>
      </c>
      <c r="I282" s="20">
        <v>135.15</v>
      </c>
      <c r="J282" s="20">
        <v>41900</v>
      </c>
      <c r="K282" s="3">
        <v>0</v>
      </c>
      <c r="L282" s="3" t="s">
        <v>3</v>
      </c>
      <c r="M282" s="10" t="s">
        <v>0</v>
      </c>
      <c r="N282" s="10" t="s">
        <v>10</v>
      </c>
      <c r="O282" s="9" t="s">
        <v>200</v>
      </c>
      <c r="P282" s="9" t="s">
        <v>0</v>
      </c>
      <c r="Q282" s="30" t="s">
        <v>201</v>
      </c>
      <c r="R282" s="9" t="s">
        <v>202</v>
      </c>
      <c r="S282" s="9" t="s">
        <v>158</v>
      </c>
      <c r="V282" s="10">
        <v>135.15</v>
      </c>
      <c r="W282" s="10"/>
      <c r="X282" s="17">
        <v>44954</v>
      </c>
      <c r="Y282" s="17">
        <v>44954</v>
      </c>
      <c r="Z282" s="19" t="s">
        <v>772</v>
      </c>
      <c r="AA282" s="207">
        <v>41000</v>
      </c>
      <c r="AB282" s="9">
        <v>33</v>
      </c>
      <c r="AC282" s="9">
        <v>3</v>
      </c>
      <c r="AD282" s="17">
        <v>45092</v>
      </c>
      <c r="AE282" s="54">
        <v>945</v>
      </c>
      <c r="AF282" s="54"/>
      <c r="AG282" s="9" t="s">
        <v>134</v>
      </c>
      <c r="AH282" s="127">
        <v>45076</v>
      </c>
      <c r="AI282" s="104">
        <v>9499094</v>
      </c>
      <c r="AJ282" s="22" t="s">
        <v>3050</v>
      </c>
      <c r="AK282" s="22" t="s">
        <v>211</v>
      </c>
      <c r="AL282" s="22">
        <v>945</v>
      </c>
      <c r="AM282" s="22"/>
      <c r="AN282" s="22" t="s">
        <v>3036</v>
      </c>
      <c r="AO282" s="22"/>
      <c r="AP282" s="9"/>
      <c r="AQ282" s="9"/>
      <c r="AR282" s="9"/>
      <c r="AS282" s="9"/>
      <c r="AT282" s="9"/>
      <c r="AU282" s="9"/>
      <c r="AV282" s="9"/>
      <c r="AW282" s="17">
        <v>45074</v>
      </c>
      <c r="AX282" s="30" t="s">
        <v>3096</v>
      </c>
      <c r="AY282" s="22">
        <v>3472.88</v>
      </c>
      <c r="AZ282" s="9">
        <v>3.67</v>
      </c>
      <c r="BA282" s="22">
        <f t="shared" si="24"/>
        <v>946.28882833787475</v>
      </c>
      <c r="BB282" s="22"/>
      <c r="BD282" s="9"/>
      <c r="CS282" s="11">
        <f t="shared" si="20"/>
        <v>945</v>
      </c>
      <c r="CT282" s="22">
        <f t="shared" si="21"/>
        <v>946.28882833787475</v>
      </c>
      <c r="CU282" s="22">
        <f t="shared" si="22"/>
        <v>-1.2888283378747474</v>
      </c>
      <c r="CV282" s="26">
        <f t="shared" si="23"/>
        <v>0</v>
      </c>
    </row>
    <row r="283" spans="1:100" x14ac:dyDescent="0.2">
      <c r="A283" s="9" t="s">
        <v>199</v>
      </c>
      <c r="B283" s="2">
        <v>137</v>
      </c>
      <c r="C283" s="3" t="s">
        <v>95</v>
      </c>
      <c r="D283" s="38" t="s">
        <v>96</v>
      </c>
      <c r="E283" s="37"/>
      <c r="F283" s="37"/>
      <c r="G283" s="2" t="s">
        <v>83</v>
      </c>
      <c r="H283" s="2">
        <v>7</v>
      </c>
      <c r="I283" s="20">
        <v>135.15</v>
      </c>
      <c r="J283" s="20">
        <v>41900</v>
      </c>
      <c r="K283" s="3">
        <v>0</v>
      </c>
      <c r="L283" s="3" t="s">
        <v>3</v>
      </c>
      <c r="M283" s="10" t="s">
        <v>0</v>
      </c>
      <c r="N283" s="10" t="s">
        <v>10</v>
      </c>
      <c r="O283" s="9" t="s">
        <v>200</v>
      </c>
      <c r="P283" s="9" t="s">
        <v>0</v>
      </c>
      <c r="Q283" s="30" t="s">
        <v>201</v>
      </c>
      <c r="R283" s="9" t="s">
        <v>202</v>
      </c>
      <c r="S283" s="9" t="s">
        <v>158</v>
      </c>
      <c r="V283" s="10">
        <v>135.15</v>
      </c>
      <c r="W283" s="10"/>
      <c r="X283" s="17">
        <v>44954</v>
      </c>
      <c r="Y283" s="17">
        <v>44954</v>
      </c>
      <c r="Z283" s="19" t="s">
        <v>772</v>
      </c>
      <c r="AA283" s="207">
        <v>41000</v>
      </c>
      <c r="AB283" s="9">
        <v>33</v>
      </c>
      <c r="AC283" s="9">
        <v>4</v>
      </c>
      <c r="AD283" s="17">
        <v>45122</v>
      </c>
      <c r="AE283" s="54">
        <v>945</v>
      </c>
      <c r="AF283" s="54"/>
      <c r="AG283" s="9" t="s">
        <v>134</v>
      </c>
      <c r="AH283" s="127">
        <v>45141</v>
      </c>
      <c r="AI283" s="104">
        <v>9499094</v>
      </c>
      <c r="AJ283" s="22" t="s">
        <v>3050</v>
      </c>
      <c r="AK283" s="22" t="s">
        <v>212</v>
      </c>
      <c r="AL283" s="22">
        <v>945</v>
      </c>
      <c r="AM283" s="22"/>
      <c r="AN283" s="22" t="s">
        <v>3038</v>
      </c>
      <c r="AO283" s="22"/>
      <c r="AP283" s="9"/>
      <c r="AQ283" s="9"/>
      <c r="AR283" s="9"/>
      <c r="AS283" s="9"/>
      <c r="AT283" s="9"/>
      <c r="AU283" s="9"/>
      <c r="AV283" s="9"/>
      <c r="AW283" s="17">
        <v>45110</v>
      </c>
      <c r="AX283" s="30" t="s">
        <v>3097</v>
      </c>
      <c r="AY283" s="22">
        <v>3433.18</v>
      </c>
      <c r="AZ283" s="9">
        <v>3.63</v>
      </c>
      <c r="BA283" s="22">
        <f t="shared" si="24"/>
        <v>945.77961432506891</v>
      </c>
      <c r="BB283" s="22"/>
      <c r="BD283" s="9"/>
      <c r="CS283" s="11">
        <f t="shared" si="20"/>
        <v>945</v>
      </c>
      <c r="CT283" s="22">
        <f t="shared" si="21"/>
        <v>945.77961432506891</v>
      </c>
      <c r="CU283" s="22">
        <f t="shared" si="22"/>
        <v>-0.7796143250689056</v>
      </c>
      <c r="CV283" s="26">
        <f t="shared" si="23"/>
        <v>0</v>
      </c>
    </row>
    <row r="284" spans="1:100" x14ac:dyDescent="0.2">
      <c r="A284" s="9" t="s">
        <v>199</v>
      </c>
      <c r="B284" s="2">
        <v>137</v>
      </c>
      <c r="C284" s="3" t="s">
        <v>95</v>
      </c>
      <c r="D284" s="38" t="s">
        <v>96</v>
      </c>
      <c r="E284" s="37"/>
      <c r="F284" s="37"/>
      <c r="G284" s="2" t="s">
        <v>83</v>
      </c>
      <c r="H284" s="2">
        <v>7</v>
      </c>
      <c r="I284" s="20">
        <v>135.15</v>
      </c>
      <c r="J284" s="20">
        <v>41900</v>
      </c>
      <c r="K284" s="3">
        <v>0</v>
      </c>
      <c r="L284" s="3" t="s">
        <v>3</v>
      </c>
      <c r="M284" s="10" t="s">
        <v>0</v>
      </c>
      <c r="N284" s="10" t="s">
        <v>10</v>
      </c>
      <c r="O284" s="9" t="s">
        <v>200</v>
      </c>
      <c r="P284" s="9" t="s">
        <v>0</v>
      </c>
      <c r="Q284" s="30" t="s">
        <v>201</v>
      </c>
      <c r="R284" s="9" t="s">
        <v>202</v>
      </c>
      <c r="S284" s="9" t="s">
        <v>158</v>
      </c>
      <c r="V284" s="10">
        <v>135.15</v>
      </c>
      <c r="W284" s="10"/>
      <c r="X284" s="17">
        <v>44954</v>
      </c>
      <c r="Y284" s="17">
        <v>44954</v>
      </c>
      <c r="Z284" s="19" t="s">
        <v>772</v>
      </c>
      <c r="AA284" s="207">
        <v>41000</v>
      </c>
      <c r="AB284" s="9">
        <v>33</v>
      </c>
      <c r="AC284" s="9">
        <v>5</v>
      </c>
      <c r="AD284" s="17">
        <v>45153</v>
      </c>
      <c r="AE284" s="54">
        <v>945</v>
      </c>
      <c r="AF284" s="54"/>
      <c r="AG284" s="9" t="s">
        <v>134</v>
      </c>
      <c r="AH284" s="127">
        <v>45146</v>
      </c>
      <c r="AI284" s="104">
        <v>9499094</v>
      </c>
      <c r="AJ284" s="22" t="s">
        <v>3050</v>
      </c>
      <c r="AK284" s="22" t="s">
        <v>213</v>
      </c>
      <c r="AL284" s="22">
        <v>945</v>
      </c>
      <c r="AM284" s="22"/>
      <c r="AN284" s="22" t="s">
        <v>3039</v>
      </c>
      <c r="AO284" s="22"/>
      <c r="AP284" s="9"/>
      <c r="AQ284" s="9"/>
      <c r="AR284" s="9"/>
      <c r="AS284" s="9"/>
      <c r="AT284" s="9"/>
      <c r="AU284" s="9"/>
      <c r="AV284" s="9"/>
      <c r="AW284" s="17">
        <v>45141</v>
      </c>
      <c r="AX284" s="30" t="s">
        <v>3098</v>
      </c>
      <c r="AY284" s="22">
        <v>3477.95</v>
      </c>
      <c r="AZ284" s="9">
        <v>3.68</v>
      </c>
      <c r="BA284" s="22">
        <f t="shared" si="24"/>
        <v>945.09510869565213</v>
      </c>
      <c r="BB284" s="22"/>
      <c r="BD284" s="9"/>
      <c r="CS284" s="11">
        <f t="shared" ref="CS284:CS347" si="25">+AL284+AT284</f>
        <v>945</v>
      </c>
      <c r="CT284" s="22">
        <f t="shared" ref="CT284:CT347" si="26">+BA284+BG284+BM284+BS284+BY284+CE284+CK284+CQ284</f>
        <v>945.09510869565213</v>
      </c>
      <c r="CU284" s="22">
        <f t="shared" ref="CU284:CU347" si="27">+CS284-CT284</f>
        <v>-9.5108695652129427E-2</v>
      </c>
      <c r="CV284" s="26">
        <f t="shared" ref="CV284:CV347" si="28">+AE284-AL284-AT284</f>
        <v>0</v>
      </c>
    </row>
    <row r="285" spans="1:100" x14ac:dyDescent="0.2">
      <c r="A285" s="9" t="s">
        <v>199</v>
      </c>
      <c r="B285" s="2">
        <v>137</v>
      </c>
      <c r="C285" s="3" t="s">
        <v>95</v>
      </c>
      <c r="D285" s="38" t="s">
        <v>96</v>
      </c>
      <c r="E285" s="37"/>
      <c r="F285" s="37"/>
      <c r="G285" s="2" t="s">
        <v>83</v>
      </c>
      <c r="H285" s="2">
        <v>7</v>
      </c>
      <c r="I285" s="20">
        <v>135.15</v>
      </c>
      <c r="J285" s="20">
        <v>41900</v>
      </c>
      <c r="K285" s="3">
        <v>0</v>
      </c>
      <c r="L285" s="3" t="s">
        <v>3</v>
      </c>
      <c r="M285" s="10" t="s">
        <v>0</v>
      </c>
      <c r="N285" s="10" t="s">
        <v>10</v>
      </c>
      <c r="O285" s="9" t="s">
        <v>200</v>
      </c>
      <c r="P285" s="9" t="s">
        <v>0</v>
      </c>
      <c r="Q285" s="30" t="s">
        <v>201</v>
      </c>
      <c r="R285" s="9" t="s">
        <v>202</v>
      </c>
      <c r="S285" s="9" t="s">
        <v>158</v>
      </c>
      <c r="V285" s="10">
        <v>135.15</v>
      </c>
      <c r="W285" s="10"/>
      <c r="X285" s="17">
        <v>44954</v>
      </c>
      <c r="Y285" s="17">
        <v>44954</v>
      </c>
      <c r="Z285" s="19" t="s">
        <v>772</v>
      </c>
      <c r="AA285" s="207">
        <v>41000</v>
      </c>
      <c r="AB285" s="9">
        <v>33</v>
      </c>
      <c r="AC285" s="9">
        <v>6</v>
      </c>
      <c r="AD285" s="17">
        <v>45184</v>
      </c>
      <c r="AE285" s="54">
        <v>945</v>
      </c>
      <c r="AF285" s="54"/>
      <c r="AG285" s="9" t="s">
        <v>134</v>
      </c>
      <c r="AH285" s="127">
        <v>45184</v>
      </c>
      <c r="AI285" s="104">
        <v>9499094</v>
      </c>
      <c r="AJ285" s="22" t="s">
        <v>3050</v>
      </c>
      <c r="AK285" s="22" t="s">
        <v>214</v>
      </c>
      <c r="AL285" s="22">
        <v>945</v>
      </c>
      <c r="AM285" s="22"/>
      <c r="AN285" s="22" t="s">
        <v>3040</v>
      </c>
      <c r="AO285" s="22"/>
      <c r="AP285" s="9"/>
      <c r="AQ285" s="9"/>
      <c r="AR285" s="9"/>
      <c r="AS285" s="9"/>
      <c r="AT285" s="9"/>
      <c r="AU285" s="9"/>
      <c r="AV285" s="9"/>
      <c r="AW285" s="17">
        <v>45181</v>
      </c>
      <c r="AX285" s="30" t="s">
        <v>3099</v>
      </c>
      <c r="AY285" s="22">
        <v>3496.5</v>
      </c>
      <c r="AZ285" s="9">
        <v>3.7</v>
      </c>
      <c r="BA285" s="22">
        <f t="shared" si="24"/>
        <v>945</v>
      </c>
      <c r="BB285" s="22"/>
      <c r="BD285" s="9"/>
      <c r="CS285" s="11">
        <f t="shared" si="25"/>
        <v>945</v>
      </c>
      <c r="CT285" s="22">
        <f t="shared" si="26"/>
        <v>945</v>
      </c>
      <c r="CU285" s="22">
        <f t="shared" si="27"/>
        <v>0</v>
      </c>
      <c r="CV285" s="26">
        <f t="shared" si="28"/>
        <v>0</v>
      </c>
    </row>
    <row r="286" spans="1:100" x14ac:dyDescent="0.2">
      <c r="A286" s="9" t="s">
        <v>199</v>
      </c>
      <c r="B286" s="2">
        <v>137</v>
      </c>
      <c r="C286" s="3" t="s">
        <v>95</v>
      </c>
      <c r="D286" s="38" t="s">
        <v>96</v>
      </c>
      <c r="E286" s="37"/>
      <c r="F286" s="37"/>
      <c r="G286" s="2" t="s">
        <v>83</v>
      </c>
      <c r="H286" s="2">
        <v>7</v>
      </c>
      <c r="I286" s="20">
        <v>135.15</v>
      </c>
      <c r="J286" s="20">
        <v>41900</v>
      </c>
      <c r="K286" s="3">
        <v>0</v>
      </c>
      <c r="L286" s="3" t="s">
        <v>3</v>
      </c>
      <c r="M286" s="10" t="s">
        <v>0</v>
      </c>
      <c r="N286" s="10" t="s">
        <v>10</v>
      </c>
      <c r="O286" s="9" t="s">
        <v>200</v>
      </c>
      <c r="P286" s="9" t="s">
        <v>0</v>
      </c>
      <c r="Q286" s="30" t="s">
        <v>201</v>
      </c>
      <c r="R286" s="9" t="s">
        <v>202</v>
      </c>
      <c r="S286" s="9" t="s">
        <v>158</v>
      </c>
      <c r="V286" s="10">
        <v>135.15</v>
      </c>
      <c r="W286" s="10"/>
      <c r="X286" s="17">
        <v>44954</v>
      </c>
      <c r="Y286" s="17">
        <v>44954</v>
      </c>
      <c r="Z286" s="19" t="s">
        <v>772</v>
      </c>
      <c r="AA286" s="207">
        <v>41000</v>
      </c>
      <c r="AB286" s="9">
        <v>33</v>
      </c>
      <c r="AC286" s="9">
        <v>7</v>
      </c>
      <c r="AD286" s="17">
        <v>45214</v>
      </c>
      <c r="AE286" s="54">
        <v>1000</v>
      </c>
      <c r="AF286" s="54"/>
      <c r="AG286" s="9" t="s">
        <v>134</v>
      </c>
      <c r="AH286" s="127">
        <v>45215</v>
      </c>
      <c r="AI286" s="104">
        <v>9499094</v>
      </c>
      <c r="AJ286" s="22" t="s">
        <v>3050</v>
      </c>
      <c r="AK286" s="22" t="s">
        <v>3046</v>
      </c>
      <c r="AL286" s="22">
        <v>1000</v>
      </c>
      <c r="AM286" s="22"/>
      <c r="AN286" s="22" t="s">
        <v>3041</v>
      </c>
      <c r="AO286" s="22"/>
      <c r="AP286" s="9"/>
      <c r="AQ286" s="9"/>
      <c r="AR286" s="9"/>
      <c r="AS286" s="9"/>
      <c r="AT286" s="9"/>
      <c r="AU286" s="9"/>
      <c r="AV286" s="9"/>
      <c r="AW286" s="17">
        <v>45215</v>
      </c>
      <c r="AX286" s="30" t="s">
        <v>3100</v>
      </c>
      <c r="AY286" s="22">
        <v>3850</v>
      </c>
      <c r="AZ286" s="9">
        <v>3.85</v>
      </c>
      <c r="BA286" s="22">
        <f t="shared" si="24"/>
        <v>1000</v>
      </c>
      <c r="BB286" s="22"/>
      <c r="BD286" s="9"/>
      <c r="CS286" s="11">
        <f t="shared" si="25"/>
        <v>1000</v>
      </c>
      <c r="CT286" s="22">
        <f t="shared" si="26"/>
        <v>1000</v>
      </c>
      <c r="CU286" s="22">
        <f t="shared" si="27"/>
        <v>0</v>
      </c>
      <c r="CV286" s="26">
        <f t="shared" si="28"/>
        <v>0</v>
      </c>
    </row>
    <row r="287" spans="1:100" x14ac:dyDescent="0.2">
      <c r="A287" s="9" t="s">
        <v>199</v>
      </c>
      <c r="B287" s="2">
        <v>137</v>
      </c>
      <c r="C287" s="3" t="s">
        <v>95</v>
      </c>
      <c r="D287" s="38" t="s">
        <v>96</v>
      </c>
      <c r="E287" s="37"/>
      <c r="F287" s="37"/>
      <c r="G287" s="2" t="s">
        <v>83</v>
      </c>
      <c r="H287" s="2">
        <v>7</v>
      </c>
      <c r="I287" s="20">
        <v>135.15</v>
      </c>
      <c r="J287" s="20">
        <v>41900</v>
      </c>
      <c r="K287" s="3">
        <v>0</v>
      </c>
      <c r="L287" s="3" t="s">
        <v>3</v>
      </c>
      <c r="M287" s="10" t="s">
        <v>0</v>
      </c>
      <c r="N287" s="10" t="s">
        <v>10</v>
      </c>
      <c r="O287" s="9" t="s">
        <v>200</v>
      </c>
      <c r="P287" s="9" t="s">
        <v>0</v>
      </c>
      <c r="Q287" s="30" t="s">
        <v>201</v>
      </c>
      <c r="R287" s="9" t="s">
        <v>202</v>
      </c>
      <c r="S287" s="9" t="s">
        <v>158</v>
      </c>
      <c r="V287" s="10">
        <v>135.15</v>
      </c>
      <c r="W287" s="10"/>
      <c r="X287" s="17">
        <v>44954</v>
      </c>
      <c r="Y287" s="17">
        <v>44954</v>
      </c>
      <c r="Z287" s="19" t="s">
        <v>772</v>
      </c>
      <c r="AA287" s="207">
        <v>41000</v>
      </c>
      <c r="AB287" s="9">
        <v>33</v>
      </c>
      <c r="AC287" s="9">
        <v>8</v>
      </c>
      <c r="AD287" s="17">
        <v>45245</v>
      </c>
      <c r="AE287" s="54">
        <v>1000</v>
      </c>
      <c r="AF287" s="54"/>
      <c r="AG287" s="9" t="s">
        <v>134</v>
      </c>
      <c r="AH287" s="127">
        <v>45239</v>
      </c>
      <c r="AI287" s="104">
        <v>9499094</v>
      </c>
      <c r="AJ287" s="22" t="s">
        <v>3050</v>
      </c>
      <c r="AK287" s="22" t="s">
        <v>3047</v>
      </c>
      <c r="AL287" s="22">
        <v>1000</v>
      </c>
      <c r="AM287" s="22"/>
      <c r="AN287" s="22" t="s">
        <v>3042</v>
      </c>
      <c r="AO287" s="22"/>
      <c r="AP287" s="9"/>
      <c r="AQ287" s="9"/>
      <c r="AR287" s="9"/>
      <c r="AS287" s="9"/>
      <c r="AT287" s="9"/>
      <c r="AU287" s="9"/>
      <c r="AV287" s="9"/>
      <c r="AW287" s="17">
        <v>45238</v>
      </c>
      <c r="AX287" s="30" t="s">
        <v>3101</v>
      </c>
      <c r="AY287" s="22">
        <v>3760</v>
      </c>
      <c r="AZ287" s="9">
        <v>3.76</v>
      </c>
      <c r="BA287" s="22">
        <f t="shared" si="24"/>
        <v>1000</v>
      </c>
      <c r="BB287" s="22"/>
      <c r="BD287" s="9"/>
      <c r="CS287" s="11">
        <f t="shared" si="25"/>
        <v>1000</v>
      </c>
      <c r="CT287" s="22">
        <f t="shared" si="26"/>
        <v>1000</v>
      </c>
      <c r="CU287" s="22">
        <f t="shared" si="27"/>
        <v>0</v>
      </c>
      <c r="CV287" s="26">
        <f t="shared" si="28"/>
        <v>0</v>
      </c>
    </row>
    <row r="288" spans="1:100" x14ac:dyDescent="0.2">
      <c r="A288" s="9" t="s">
        <v>199</v>
      </c>
      <c r="B288" s="2">
        <v>137</v>
      </c>
      <c r="C288" s="3" t="s">
        <v>95</v>
      </c>
      <c r="D288" s="38" t="s">
        <v>96</v>
      </c>
      <c r="E288" s="37"/>
      <c r="F288" s="37"/>
      <c r="G288" s="2" t="s">
        <v>83</v>
      </c>
      <c r="H288" s="2">
        <v>7</v>
      </c>
      <c r="I288" s="20">
        <v>135.15</v>
      </c>
      <c r="J288" s="20">
        <v>41900</v>
      </c>
      <c r="K288" s="3">
        <v>0</v>
      </c>
      <c r="L288" s="3" t="s">
        <v>3</v>
      </c>
      <c r="M288" s="10" t="s">
        <v>0</v>
      </c>
      <c r="N288" s="10" t="s">
        <v>10</v>
      </c>
      <c r="O288" s="9" t="s">
        <v>200</v>
      </c>
      <c r="P288" s="9" t="s">
        <v>0</v>
      </c>
      <c r="Q288" s="30" t="s">
        <v>201</v>
      </c>
      <c r="R288" s="9" t="s">
        <v>202</v>
      </c>
      <c r="S288" s="9" t="s">
        <v>158</v>
      </c>
      <c r="V288" s="10">
        <v>135.15</v>
      </c>
      <c r="W288" s="10"/>
      <c r="X288" s="17">
        <v>44954</v>
      </c>
      <c r="Y288" s="17">
        <v>44954</v>
      </c>
      <c r="Z288" s="19" t="s">
        <v>772</v>
      </c>
      <c r="AA288" s="207">
        <v>41000</v>
      </c>
      <c r="AB288" s="9">
        <v>33</v>
      </c>
      <c r="AC288" s="9">
        <v>9</v>
      </c>
      <c r="AD288" s="17">
        <v>45275</v>
      </c>
      <c r="AE288" s="54">
        <v>1000</v>
      </c>
      <c r="AF288" s="54"/>
      <c r="AG288" s="9" t="s">
        <v>134</v>
      </c>
      <c r="AH288" s="127">
        <v>45279</v>
      </c>
      <c r="AI288" s="104">
        <v>9499094</v>
      </c>
      <c r="AJ288" s="22" t="s">
        <v>3050</v>
      </c>
      <c r="AK288" s="22" t="s">
        <v>3048</v>
      </c>
      <c r="AL288" s="22">
        <v>1000</v>
      </c>
      <c r="AM288" s="22"/>
      <c r="AN288" s="22" t="s">
        <v>3043</v>
      </c>
      <c r="AO288" s="22"/>
      <c r="AP288" s="9"/>
      <c r="AQ288" s="9"/>
      <c r="AR288" s="9"/>
      <c r="AS288" s="9"/>
      <c r="AT288" s="9"/>
      <c r="AU288" s="9"/>
      <c r="AV288" s="9"/>
      <c r="AW288" s="17">
        <v>45279</v>
      </c>
      <c r="AX288" s="30" t="s">
        <v>3102</v>
      </c>
      <c r="AY288" s="22"/>
      <c r="BA288" s="22">
        <v>1000</v>
      </c>
      <c r="BB288" s="22"/>
      <c r="BD288" s="9"/>
      <c r="CS288" s="11">
        <f t="shared" si="25"/>
        <v>1000</v>
      </c>
      <c r="CT288" s="22">
        <f t="shared" si="26"/>
        <v>1000</v>
      </c>
      <c r="CU288" s="22">
        <f t="shared" si="27"/>
        <v>0</v>
      </c>
      <c r="CV288" s="26">
        <f t="shared" si="28"/>
        <v>0</v>
      </c>
    </row>
    <row r="289" spans="1:100" x14ac:dyDescent="0.2">
      <c r="A289" s="9" t="s">
        <v>199</v>
      </c>
      <c r="B289" s="2">
        <v>137</v>
      </c>
      <c r="C289" s="3" t="s">
        <v>95</v>
      </c>
      <c r="D289" s="38" t="s">
        <v>96</v>
      </c>
      <c r="E289" s="37"/>
      <c r="F289" s="37"/>
      <c r="G289" s="2" t="s">
        <v>83</v>
      </c>
      <c r="H289" s="2">
        <v>7</v>
      </c>
      <c r="I289" s="20">
        <v>135.15</v>
      </c>
      <c r="J289" s="20">
        <v>41900</v>
      </c>
      <c r="K289" s="3">
        <v>0</v>
      </c>
      <c r="L289" s="3" t="s">
        <v>3</v>
      </c>
      <c r="M289" s="10" t="s">
        <v>0</v>
      </c>
      <c r="N289" s="10" t="s">
        <v>10</v>
      </c>
      <c r="O289" s="9" t="s">
        <v>200</v>
      </c>
      <c r="P289" s="9" t="s">
        <v>0</v>
      </c>
      <c r="Q289" s="30" t="s">
        <v>201</v>
      </c>
      <c r="R289" s="9" t="s">
        <v>202</v>
      </c>
      <c r="S289" s="9" t="s">
        <v>158</v>
      </c>
      <c r="V289" s="10">
        <v>135.15</v>
      </c>
      <c r="W289" s="10"/>
      <c r="X289" s="17">
        <v>44954</v>
      </c>
      <c r="Y289" s="17">
        <v>44954</v>
      </c>
      <c r="Z289" s="19" t="s">
        <v>772</v>
      </c>
      <c r="AA289" s="207">
        <v>41000</v>
      </c>
      <c r="AB289" s="9">
        <v>33</v>
      </c>
      <c r="AC289" s="9">
        <v>10</v>
      </c>
      <c r="AD289" s="17">
        <v>45306</v>
      </c>
      <c r="AE289" s="54">
        <v>1000</v>
      </c>
      <c r="AF289" s="54"/>
      <c r="AG289" s="9" t="s">
        <v>134</v>
      </c>
      <c r="AH289" s="127">
        <v>45289</v>
      </c>
      <c r="AI289" s="104">
        <v>9499094</v>
      </c>
      <c r="AJ289" s="22" t="s">
        <v>3050</v>
      </c>
      <c r="AK289" s="22" t="s">
        <v>3049</v>
      </c>
      <c r="AL289" s="22">
        <v>1000</v>
      </c>
      <c r="AM289" s="22"/>
      <c r="AN289" s="22" t="s">
        <v>3044</v>
      </c>
      <c r="AO289" s="22"/>
      <c r="AP289" s="9"/>
      <c r="AQ289" s="9"/>
      <c r="AR289" s="9"/>
      <c r="AS289" s="9"/>
      <c r="AT289" s="9"/>
      <c r="AU289" s="9"/>
      <c r="AV289" s="9"/>
      <c r="AW289" s="17">
        <v>45288</v>
      </c>
      <c r="AX289" s="204" t="s">
        <v>3103</v>
      </c>
      <c r="BA289" s="22">
        <v>1000</v>
      </c>
      <c r="BB289" s="22"/>
      <c r="BD289" s="9"/>
      <c r="CS289" s="11">
        <f t="shared" si="25"/>
        <v>1000</v>
      </c>
      <c r="CT289" s="22">
        <f t="shared" si="26"/>
        <v>1000</v>
      </c>
      <c r="CU289" s="22">
        <f t="shared" si="27"/>
        <v>0</v>
      </c>
      <c r="CV289" s="26">
        <f t="shared" si="28"/>
        <v>0</v>
      </c>
    </row>
    <row r="290" spans="1:100" x14ac:dyDescent="0.2">
      <c r="A290" s="9" t="s">
        <v>199</v>
      </c>
      <c r="B290" s="2">
        <v>137</v>
      </c>
      <c r="C290" s="3" t="s">
        <v>95</v>
      </c>
      <c r="D290" s="38" t="s">
        <v>96</v>
      </c>
      <c r="E290" s="37"/>
      <c r="F290" s="37"/>
      <c r="G290" s="2" t="s">
        <v>83</v>
      </c>
      <c r="H290" s="2">
        <v>7</v>
      </c>
      <c r="I290" s="20">
        <v>135.15</v>
      </c>
      <c r="J290" s="20">
        <v>41900</v>
      </c>
      <c r="K290" s="3">
        <v>0</v>
      </c>
      <c r="L290" s="3" t="s">
        <v>3</v>
      </c>
      <c r="M290" s="10" t="s">
        <v>0</v>
      </c>
      <c r="N290" s="10" t="s">
        <v>10</v>
      </c>
      <c r="O290" s="9" t="s">
        <v>200</v>
      </c>
      <c r="P290" s="9" t="s">
        <v>0</v>
      </c>
      <c r="Q290" s="30" t="s">
        <v>201</v>
      </c>
      <c r="R290" s="9" t="s">
        <v>202</v>
      </c>
      <c r="S290" s="9" t="s">
        <v>158</v>
      </c>
      <c r="V290" s="10">
        <v>135.15</v>
      </c>
      <c r="W290" s="10"/>
      <c r="X290" s="17">
        <v>44954</v>
      </c>
      <c r="Y290" s="17">
        <v>44954</v>
      </c>
      <c r="Z290" s="19" t="s">
        <v>772</v>
      </c>
      <c r="AA290" s="207">
        <v>41000</v>
      </c>
      <c r="AB290" s="9">
        <v>33</v>
      </c>
      <c r="AC290" s="9">
        <v>11</v>
      </c>
      <c r="AD290" s="17">
        <v>45337</v>
      </c>
      <c r="AE290" s="54">
        <v>1000</v>
      </c>
      <c r="AF290" s="54"/>
      <c r="AG290" s="9" t="s">
        <v>134</v>
      </c>
      <c r="AH290" s="127">
        <v>45329</v>
      </c>
      <c r="AI290" s="104">
        <v>9499094</v>
      </c>
      <c r="AJ290" s="22" t="s">
        <v>3050</v>
      </c>
      <c r="AK290" s="22" t="s">
        <v>3051</v>
      </c>
      <c r="AL290" s="22">
        <v>1000</v>
      </c>
      <c r="AM290" s="22"/>
      <c r="AN290" s="22" t="s">
        <v>3062</v>
      </c>
      <c r="AO290" s="22"/>
      <c r="AP290" s="9"/>
      <c r="AQ290" s="9"/>
      <c r="AR290" s="9"/>
      <c r="AS290" s="9"/>
      <c r="AT290" s="9"/>
      <c r="AU290" s="9"/>
      <c r="AV290" s="9"/>
      <c r="AW290" s="17">
        <v>45324</v>
      </c>
      <c r="AX290" s="30" t="s">
        <v>3104</v>
      </c>
      <c r="BA290" s="22">
        <v>1000</v>
      </c>
      <c r="BB290" s="22"/>
      <c r="BD290" s="9"/>
      <c r="CS290" s="11">
        <f t="shared" si="25"/>
        <v>1000</v>
      </c>
      <c r="CT290" s="22">
        <f t="shared" si="26"/>
        <v>1000</v>
      </c>
      <c r="CU290" s="22">
        <f t="shared" si="27"/>
        <v>0</v>
      </c>
      <c r="CV290" s="26">
        <f t="shared" si="28"/>
        <v>0</v>
      </c>
    </row>
    <row r="291" spans="1:100" x14ac:dyDescent="0.2">
      <c r="A291" s="9" t="s">
        <v>199</v>
      </c>
      <c r="B291" s="2">
        <v>137</v>
      </c>
      <c r="C291" s="3" t="s">
        <v>95</v>
      </c>
      <c r="D291" s="38" t="s">
        <v>96</v>
      </c>
      <c r="E291" s="37"/>
      <c r="F291" s="37"/>
      <c r="G291" s="2" t="s">
        <v>83</v>
      </c>
      <c r="H291" s="2">
        <v>7</v>
      </c>
      <c r="I291" s="20">
        <v>135.15</v>
      </c>
      <c r="J291" s="20">
        <v>41900</v>
      </c>
      <c r="K291" s="3">
        <v>0</v>
      </c>
      <c r="L291" s="3" t="s">
        <v>3</v>
      </c>
      <c r="M291" s="10" t="s">
        <v>0</v>
      </c>
      <c r="N291" s="10" t="s">
        <v>10</v>
      </c>
      <c r="O291" s="9" t="s">
        <v>200</v>
      </c>
      <c r="P291" s="9" t="s">
        <v>0</v>
      </c>
      <c r="Q291" s="30" t="s">
        <v>201</v>
      </c>
      <c r="R291" s="9" t="s">
        <v>202</v>
      </c>
      <c r="S291" s="9" t="s">
        <v>158</v>
      </c>
      <c r="V291" s="10">
        <v>135.15</v>
      </c>
      <c r="W291" s="10"/>
      <c r="X291" s="17">
        <v>44954</v>
      </c>
      <c r="Y291" s="17">
        <v>44954</v>
      </c>
      <c r="Z291" s="19" t="s">
        <v>772</v>
      </c>
      <c r="AA291" s="207">
        <v>41000</v>
      </c>
      <c r="AB291" s="9">
        <v>33</v>
      </c>
      <c r="AC291" s="9">
        <v>12</v>
      </c>
      <c r="AD291" s="17">
        <v>45366</v>
      </c>
      <c r="AE291" s="54">
        <v>1000</v>
      </c>
      <c r="AF291" s="54"/>
      <c r="AG291" s="9" t="s">
        <v>134</v>
      </c>
      <c r="AH291" s="127">
        <v>45359</v>
      </c>
      <c r="AI291" s="104">
        <v>9499094</v>
      </c>
      <c r="AJ291" s="22" t="s">
        <v>3050</v>
      </c>
      <c r="AK291" s="22" t="s">
        <v>3052</v>
      </c>
      <c r="AL291" s="22">
        <v>1000</v>
      </c>
      <c r="AM291" s="22"/>
      <c r="AN291" s="22" t="s">
        <v>3063</v>
      </c>
      <c r="AO291" s="22"/>
      <c r="AP291" s="9"/>
      <c r="AQ291" s="9"/>
      <c r="AR291" s="9"/>
      <c r="AS291" s="9"/>
      <c r="AT291" s="9"/>
      <c r="AU291" s="9"/>
      <c r="AV291" s="9"/>
      <c r="AW291" s="17">
        <v>45357</v>
      </c>
      <c r="AX291" s="30" t="s">
        <v>3105</v>
      </c>
      <c r="BA291" s="22">
        <v>1000</v>
      </c>
      <c r="BB291" s="22"/>
      <c r="BD291" s="9"/>
      <c r="CS291" s="11">
        <f t="shared" si="25"/>
        <v>1000</v>
      </c>
      <c r="CT291" s="22">
        <f t="shared" si="26"/>
        <v>1000</v>
      </c>
      <c r="CU291" s="22">
        <f t="shared" si="27"/>
        <v>0</v>
      </c>
      <c r="CV291" s="26">
        <f t="shared" si="28"/>
        <v>0</v>
      </c>
    </row>
    <row r="292" spans="1:100" x14ac:dyDescent="0.2">
      <c r="A292" s="9" t="s">
        <v>199</v>
      </c>
      <c r="B292" s="2">
        <v>137</v>
      </c>
      <c r="C292" s="3" t="s">
        <v>95</v>
      </c>
      <c r="D292" s="38" t="s">
        <v>96</v>
      </c>
      <c r="E292" s="37"/>
      <c r="F292" s="37"/>
      <c r="G292" s="2" t="s">
        <v>83</v>
      </c>
      <c r="H292" s="2">
        <v>7</v>
      </c>
      <c r="I292" s="20">
        <v>135.15</v>
      </c>
      <c r="J292" s="20">
        <v>41900</v>
      </c>
      <c r="K292" s="3">
        <v>0</v>
      </c>
      <c r="L292" s="3" t="s">
        <v>3</v>
      </c>
      <c r="M292" s="10" t="s">
        <v>0</v>
      </c>
      <c r="N292" s="10" t="s">
        <v>10</v>
      </c>
      <c r="O292" s="9" t="s">
        <v>200</v>
      </c>
      <c r="P292" s="9" t="s">
        <v>0</v>
      </c>
      <c r="Q292" s="30" t="s">
        <v>201</v>
      </c>
      <c r="R292" s="9" t="s">
        <v>202</v>
      </c>
      <c r="S292" s="9" t="s">
        <v>158</v>
      </c>
      <c r="V292" s="10">
        <v>135.15</v>
      </c>
      <c r="W292" s="10"/>
      <c r="X292" s="17">
        <v>44954</v>
      </c>
      <c r="Y292" s="17">
        <v>44954</v>
      </c>
      <c r="Z292" s="19" t="s">
        <v>772</v>
      </c>
      <c r="AA292" s="207">
        <v>41000</v>
      </c>
      <c r="AB292" s="9">
        <v>33</v>
      </c>
      <c r="AC292" s="9">
        <v>13</v>
      </c>
      <c r="AD292" s="17">
        <v>45397</v>
      </c>
      <c r="AE292" s="54">
        <v>1000</v>
      </c>
      <c r="AF292" s="54"/>
      <c r="AG292" s="9" t="s">
        <v>134</v>
      </c>
      <c r="AH292" s="127">
        <v>45428</v>
      </c>
      <c r="AI292" s="104">
        <v>9499094</v>
      </c>
      <c r="AJ292" s="22" t="s">
        <v>3050</v>
      </c>
      <c r="AK292" s="22" t="s">
        <v>3053</v>
      </c>
      <c r="AL292" s="22">
        <v>1000</v>
      </c>
      <c r="AM292" s="22"/>
      <c r="AN292" s="22" t="s">
        <v>3064</v>
      </c>
      <c r="AO292" s="22"/>
      <c r="AP292" s="9"/>
      <c r="AQ292" s="9"/>
      <c r="AR292" s="9"/>
      <c r="AS292" s="9"/>
      <c r="AT292" s="9"/>
      <c r="AU292" s="9"/>
      <c r="AV292" s="9"/>
      <c r="AW292" s="17">
        <v>45402</v>
      </c>
      <c r="AX292" s="30" t="s">
        <v>3108</v>
      </c>
      <c r="BA292" s="22">
        <v>1000</v>
      </c>
      <c r="BB292" s="22"/>
      <c r="BD292" s="9"/>
      <c r="CS292" s="11">
        <f t="shared" si="25"/>
        <v>1000</v>
      </c>
      <c r="CT292" s="22">
        <f t="shared" si="26"/>
        <v>1000</v>
      </c>
      <c r="CU292" s="22">
        <f t="shared" si="27"/>
        <v>0</v>
      </c>
      <c r="CV292" s="26">
        <f t="shared" si="28"/>
        <v>0</v>
      </c>
    </row>
    <row r="293" spans="1:100" x14ac:dyDescent="0.2">
      <c r="A293" s="9" t="s">
        <v>199</v>
      </c>
      <c r="B293" s="2">
        <v>137</v>
      </c>
      <c r="C293" s="3" t="s">
        <v>95</v>
      </c>
      <c r="D293" s="38" t="s">
        <v>96</v>
      </c>
      <c r="E293" s="37"/>
      <c r="F293" s="37"/>
      <c r="G293" s="2" t="s">
        <v>83</v>
      </c>
      <c r="H293" s="2">
        <v>7</v>
      </c>
      <c r="I293" s="20">
        <v>135.15</v>
      </c>
      <c r="J293" s="20">
        <v>41900</v>
      </c>
      <c r="K293" s="3">
        <v>0</v>
      </c>
      <c r="L293" s="3" t="s">
        <v>3</v>
      </c>
      <c r="M293" s="10" t="s">
        <v>0</v>
      </c>
      <c r="N293" s="10" t="s">
        <v>10</v>
      </c>
      <c r="O293" s="9" t="s">
        <v>200</v>
      </c>
      <c r="P293" s="9" t="s">
        <v>0</v>
      </c>
      <c r="Q293" s="30" t="s">
        <v>201</v>
      </c>
      <c r="R293" s="9" t="s">
        <v>202</v>
      </c>
      <c r="S293" s="9" t="s">
        <v>158</v>
      </c>
      <c r="V293" s="10">
        <v>135.15</v>
      </c>
      <c r="W293" s="10"/>
      <c r="X293" s="17">
        <v>44954</v>
      </c>
      <c r="Y293" s="17">
        <v>44954</v>
      </c>
      <c r="Z293" s="19" t="s">
        <v>772</v>
      </c>
      <c r="AA293" s="207">
        <v>41000</v>
      </c>
      <c r="AB293" s="9">
        <v>33</v>
      </c>
      <c r="AC293" s="9">
        <v>14</v>
      </c>
      <c r="AD293" s="17">
        <v>45427</v>
      </c>
      <c r="AE293" s="54">
        <v>1000</v>
      </c>
      <c r="AF293" s="54"/>
      <c r="AG293" s="9" t="s">
        <v>134</v>
      </c>
      <c r="AH293" s="127">
        <v>45428</v>
      </c>
      <c r="AI293" s="104">
        <v>9499094</v>
      </c>
      <c r="AJ293" s="22" t="s">
        <v>3050</v>
      </c>
      <c r="AK293" s="22" t="s">
        <v>3054</v>
      </c>
      <c r="AL293" s="22">
        <v>1000</v>
      </c>
      <c r="AM293" s="22"/>
      <c r="AN293" s="22" t="s">
        <v>3065</v>
      </c>
      <c r="AO293" s="22"/>
      <c r="AP293" s="9"/>
      <c r="AQ293" s="9"/>
      <c r="AR293" s="9"/>
      <c r="AS293" s="9"/>
      <c r="AT293" s="9"/>
      <c r="AU293" s="9"/>
      <c r="AV293" s="9"/>
      <c r="AW293" s="17">
        <v>45428</v>
      </c>
      <c r="AX293" s="30">
        <v>2650</v>
      </c>
      <c r="BA293" s="22">
        <v>1000</v>
      </c>
      <c r="BB293" s="22"/>
      <c r="BD293" s="9"/>
      <c r="CS293" s="11">
        <f t="shared" si="25"/>
        <v>1000</v>
      </c>
      <c r="CT293" s="22">
        <f t="shared" si="26"/>
        <v>1000</v>
      </c>
      <c r="CU293" s="22">
        <f t="shared" si="27"/>
        <v>0</v>
      </c>
      <c r="CV293" s="26">
        <f t="shared" si="28"/>
        <v>0</v>
      </c>
    </row>
    <row r="294" spans="1:100" x14ac:dyDescent="0.2">
      <c r="A294" s="9" t="s">
        <v>199</v>
      </c>
      <c r="B294" s="2">
        <v>137</v>
      </c>
      <c r="C294" s="3" t="s">
        <v>95</v>
      </c>
      <c r="D294" s="38" t="s">
        <v>96</v>
      </c>
      <c r="E294" s="37"/>
      <c r="F294" s="37"/>
      <c r="G294" s="2" t="s">
        <v>83</v>
      </c>
      <c r="H294" s="2">
        <v>7</v>
      </c>
      <c r="I294" s="20">
        <v>135.15</v>
      </c>
      <c r="J294" s="20">
        <v>41900</v>
      </c>
      <c r="K294" s="3">
        <v>0</v>
      </c>
      <c r="L294" s="3" t="s">
        <v>3</v>
      </c>
      <c r="M294" s="10" t="s">
        <v>0</v>
      </c>
      <c r="N294" s="10" t="s">
        <v>10</v>
      </c>
      <c r="O294" s="9" t="s">
        <v>200</v>
      </c>
      <c r="P294" s="9" t="s">
        <v>0</v>
      </c>
      <c r="Q294" s="30" t="s">
        <v>201</v>
      </c>
      <c r="R294" s="9" t="s">
        <v>202</v>
      </c>
      <c r="S294" s="9" t="s">
        <v>158</v>
      </c>
      <c r="V294" s="10">
        <v>135.15</v>
      </c>
      <c r="W294" s="10"/>
      <c r="X294" s="17">
        <v>44954</v>
      </c>
      <c r="Y294" s="17">
        <v>44954</v>
      </c>
      <c r="Z294" s="19" t="s">
        <v>772</v>
      </c>
      <c r="AA294" s="207">
        <v>41000</v>
      </c>
      <c r="AB294" s="9">
        <v>33</v>
      </c>
      <c r="AC294" s="9">
        <v>15</v>
      </c>
      <c r="AD294" s="17">
        <v>45458</v>
      </c>
      <c r="AE294" s="54">
        <v>1000</v>
      </c>
      <c r="AF294" s="54"/>
      <c r="AG294" s="9" t="s">
        <v>134</v>
      </c>
      <c r="AH294" s="127">
        <v>45455</v>
      </c>
      <c r="AI294" s="104">
        <v>9499094</v>
      </c>
      <c r="AJ294" s="22" t="s">
        <v>3050</v>
      </c>
      <c r="AK294" s="22" t="s">
        <v>3055</v>
      </c>
      <c r="AL294" s="22">
        <v>1000</v>
      </c>
      <c r="AM294" s="22"/>
      <c r="AN294" s="22" t="s">
        <v>3066</v>
      </c>
      <c r="AO294" s="22"/>
      <c r="AP294" s="9"/>
      <c r="AQ294" s="9"/>
      <c r="AR294" s="9"/>
      <c r="AS294" s="9"/>
      <c r="AT294" s="9"/>
      <c r="AU294" s="9"/>
      <c r="AV294" s="9"/>
      <c r="AW294" s="17">
        <v>45455</v>
      </c>
      <c r="AX294" s="30">
        <v>2777</v>
      </c>
      <c r="BA294" s="22">
        <v>1000</v>
      </c>
      <c r="BB294" s="22"/>
      <c r="BD294" s="9"/>
      <c r="CS294" s="11">
        <f t="shared" si="25"/>
        <v>1000</v>
      </c>
      <c r="CT294" s="22">
        <f t="shared" si="26"/>
        <v>1000</v>
      </c>
      <c r="CU294" s="22">
        <f t="shared" si="27"/>
        <v>0</v>
      </c>
      <c r="CV294" s="26">
        <f t="shared" si="28"/>
        <v>0</v>
      </c>
    </row>
    <row r="295" spans="1:100" x14ac:dyDescent="0.2">
      <c r="A295" s="9" t="s">
        <v>199</v>
      </c>
      <c r="B295" s="2">
        <v>137</v>
      </c>
      <c r="C295" s="3" t="s">
        <v>95</v>
      </c>
      <c r="D295" s="38" t="s">
        <v>96</v>
      </c>
      <c r="E295" s="37"/>
      <c r="F295" s="37"/>
      <c r="G295" s="2" t="s">
        <v>83</v>
      </c>
      <c r="H295" s="2">
        <v>7</v>
      </c>
      <c r="I295" s="20">
        <v>135.15</v>
      </c>
      <c r="J295" s="20">
        <v>41900</v>
      </c>
      <c r="K295" s="3">
        <v>0</v>
      </c>
      <c r="L295" s="3" t="s">
        <v>3</v>
      </c>
      <c r="M295" s="10" t="s">
        <v>0</v>
      </c>
      <c r="N295" s="10" t="s">
        <v>10</v>
      </c>
      <c r="O295" s="9" t="s">
        <v>200</v>
      </c>
      <c r="P295" s="9" t="s">
        <v>0</v>
      </c>
      <c r="Q295" s="30" t="s">
        <v>201</v>
      </c>
      <c r="R295" s="9" t="s">
        <v>202</v>
      </c>
      <c r="S295" s="9" t="s">
        <v>158</v>
      </c>
      <c r="V295" s="10">
        <v>135.15</v>
      </c>
      <c r="W295" s="10"/>
      <c r="X295" s="17">
        <v>44954</v>
      </c>
      <c r="Y295" s="17">
        <v>44954</v>
      </c>
      <c r="Z295" s="19" t="s">
        <v>772</v>
      </c>
      <c r="AA295" s="207">
        <v>41000</v>
      </c>
      <c r="AB295" s="9">
        <v>33</v>
      </c>
      <c r="AC295" s="9">
        <v>16</v>
      </c>
      <c r="AD295" s="17">
        <v>45488</v>
      </c>
      <c r="AE295" s="54">
        <v>1000</v>
      </c>
      <c r="AF295" s="54"/>
      <c r="AG295" s="9" t="s">
        <v>134</v>
      </c>
      <c r="AH295" s="127">
        <v>45488</v>
      </c>
      <c r="AI295" s="104">
        <v>9499094</v>
      </c>
      <c r="AJ295" s="22" t="s">
        <v>3050</v>
      </c>
      <c r="AK295" s="22" t="s">
        <v>3056</v>
      </c>
      <c r="AL295" s="22">
        <v>1000</v>
      </c>
      <c r="AM295" s="22"/>
      <c r="AN295" s="22" t="s">
        <v>3067</v>
      </c>
      <c r="AO295" s="22"/>
      <c r="AP295" s="9"/>
      <c r="AQ295" s="9"/>
      <c r="AR295" s="9"/>
      <c r="AS295" s="9"/>
      <c r="AT295" s="9"/>
      <c r="AU295" s="9"/>
      <c r="AV295" s="9"/>
      <c r="AW295" s="17">
        <v>45488</v>
      </c>
      <c r="AX295" s="30">
        <v>2910</v>
      </c>
      <c r="BA295" s="22">
        <v>1000</v>
      </c>
      <c r="BB295" s="22"/>
      <c r="BD295" s="9"/>
      <c r="CS295" s="11">
        <f t="shared" si="25"/>
        <v>1000</v>
      </c>
      <c r="CT295" s="22">
        <f t="shared" si="26"/>
        <v>1000</v>
      </c>
      <c r="CU295" s="22">
        <f t="shared" si="27"/>
        <v>0</v>
      </c>
      <c r="CV295" s="26">
        <f t="shared" si="28"/>
        <v>0</v>
      </c>
    </row>
    <row r="296" spans="1:100" x14ac:dyDescent="0.2">
      <c r="A296" s="9" t="s">
        <v>199</v>
      </c>
      <c r="B296" s="2">
        <v>137</v>
      </c>
      <c r="C296" s="3" t="s">
        <v>95</v>
      </c>
      <c r="D296" s="38" t="s">
        <v>96</v>
      </c>
      <c r="E296" s="37"/>
      <c r="F296" s="37"/>
      <c r="G296" s="2" t="s">
        <v>83</v>
      </c>
      <c r="H296" s="2">
        <v>7</v>
      </c>
      <c r="I296" s="20">
        <v>135.15</v>
      </c>
      <c r="J296" s="20">
        <v>41900</v>
      </c>
      <c r="K296" s="3">
        <v>0</v>
      </c>
      <c r="L296" s="3" t="s">
        <v>3</v>
      </c>
      <c r="M296" s="10" t="s">
        <v>0</v>
      </c>
      <c r="N296" s="10" t="s">
        <v>10</v>
      </c>
      <c r="O296" s="9" t="s">
        <v>200</v>
      </c>
      <c r="P296" s="9" t="s">
        <v>0</v>
      </c>
      <c r="Q296" s="30" t="s">
        <v>201</v>
      </c>
      <c r="R296" s="9" t="s">
        <v>202</v>
      </c>
      <c r="S296" s="9" t="s">
        <v>158</v>
      </c>
      <c r="V296" s="10">
        <v>135.15</v>
      </c>
      <c r="W296" s="10"/>
      <c r="X296" s="17">
        <v>44954</v>
      </c>
      <c r="Y296" s="17">
        <v>44954</v>
      </c>
      <c r="Z296" s="19" t="s">
        <v>772</v>
      </c>
      <c r="AA296" s="207">
        <v>41000</v>
      </c>
      <c r="AB296" s="9">
        <v>33</v>
      </c>
      <c r="AC296" s="9">
        <v>17</v>
      </c>
      <c r="AD296" s="17">
        <v>45519</v>
      </c>
      <c r="AE296" s="54">
        <v>1000</v>
      </c>
      <c r="AF296" s="54"/>
      <c r="AG296" s="9" t="s">
        <v>134</v>
      </c>
      <c r="AH296" s="127">
        <v>45520</v>
      </c>
      <c r="AI296" s="104">
        <v>9499094</v>
      </c>
      <c r="AJ296" s="22" t="s">
        <v>3050</v>
      </c>
      <c r="AK296" s="22" t="s">
        <v>3057</v>
      </c>
      <c r="AL296" s="22">
        <v>1000</v>
      </c>
      <c r="AM296" s="22"/>
      <c r="AN296" s="22" t="s">
        <v>3068</v>
      </c>
      <c r="AO296" s="22"/>
      <c r="AP296" s="9"/>
      <c r="AQ296" s="9"/>
      <c r="AR296" s="9"/>
      <c r="AS296" s="9"/>
      <c r="AT296" s="9"/>
      <c r="AU296" s="9"/>
      <c r="AV296" s="9"/>
      <c r="AW296" s="17">
        <v>45519</v>
      </c>
      <c r="AX296" s="30">
        <v>3054</v>
      </c>
      <c r="BA296" s="22">
        <v>1000</v>
      </c>
      <c r="BB296" s="22"/>
      <c r="BD296" s="9"/>
      <c r="CS296" s="11">
        <f t="shared" si="25"/>
        <v>1000</v>
      </c>
      <c r="CT296" s="22">
        <f t="shared" si="26"/>
        <v>1000</v>
      </c>
      <c r="CU296" s="22">
        <f t="shared" si="27"/>
        <v>0</v>
      </c>
      <c r="CV296" s="26">
        <f t="shared" si="28"/>
        <v>0</v>
      </c>
    </row>
    <row r="297" spans="1:100" x14ac:dyDescent="0.2">
      <c r="A297" s="9" t="s">
        <v>199</v>
      </c>
      <c r="B297" s="2">
        <v>137</v>
      </c>
      <c r="C297" s="3" t="s">
        <v>95</v>
      </c>
      <c r="D297" s="38" t="s">
        <v>96</v>
      </c>
      <c r="E297" s="37"/>
      <c r="F297" s="37"/>
      <c r="G297" s="2" t="s">
        <v>83</v>
      </c>
      <c r="H297" s="2">
        <v>7</v>
      </c>
      <c r="I297" s="20">
        <v>135.15</v>
      </c>
      <c r="J297" s="20">
        <v>41900</v>
      </c>
      <c r="K297" s="3">
        <v>0</v>
      </c>
      <c r="L297" s="3" t="s">
        <v>3</v>
      </c>
      <c r="M297" s="10" t="s">
        <v>0</v>
      </c>
      <c r="N297" s="10" t="s">
        <v>10</v>
      </c>
      <c r="O297" s="9" t="s">
        <v>200</v>
      </c>
      <c r="P297" s="9" t="s">
        <v>0</v>
      </c>
      <c r="Q297" s="30" t="s">
        <v>201</v>
      </c>
      <c r="R297" s="9" t="s">
        <v>202</v>
      </c>
      <c r="S297" s="9" t="s">
        <v>158</v>
      </c>
      <c r="V297" s="10">
        <v>135.15</v>
      </c>
      <c r="W297" s="10"/>
      <c r="X297" s="17">
        <v>44954</v>
      </c>
      <c r="Y297" s="17">
        <v>44954</v>
      </c>
      <c r="Z297" s="19" t="s">
        <v>772</v>
      </c>
      <c r="AA297" s="207">
        <v>41000</v>
      </c>
      <c r="AB297" s="9">
        <v>33</v>
      </c>
      <c r="AC297" s="9">
        <v>18</v>
      </c>
      <c r="AD297" s="17">
        <v>45550</v>
      </c>
      <c r="AE297" s="54">
        <v>1000</v>
      </c>
      <c r="AF297" s="54"/>
      <c r="AG297" s="9" t="s">
        <v>134</v>
      </c>
      <c r="AH297" s="127">
        <v>45552</v>
      </c>
      <c r="AI297" s="104">
        <v>9499094</v>
      </c>
      <c r="AJ297" s="22" t="s">
        <v>3050</v>
      </c>
      <c r="AK297" s="22" t="s">
        <v>3058</v>
      </c>
      <c r="AL297" s="22">
        <v>1000</v>
      </c>
      <c r="AM297" s="22"/>
      <c r="AN297" s="22" t="s">
        <v>3069</v>
      </c>
      <c r="AO297" s="22"/>
      <c r="AP297" s="9"/>
      <c r="AQ297" s="9"/>
      <c r="AR297" s="9"/>
      <c r="AS297" s="9"/>
      <c r="AT297" s="9"/>
      <c r="AU297" s="9"/>
      <c r="AV297" s="9"/>
      <c r="AW297" s="17">
        <v>45549</v>
      </c>
      <c r="AX297" s="30" t="s">
        <v>3106</v>
      </c>
      <c r="BA297" s="22">
        <v>1000</v>
      </c>
      <c r="BB297" s="22"/>
      <c r="BD297" s="9"/>
      <c r="CS297" s="11">
        <f t="shared" si="25"/>
        <v>1000</v>
      </c>
      <c r="CT297" s="22">
        <f t="shared" si="26"/>
        <v>1000</v>
      </c>
      <c r="CU297" s="22">
        <f t="shared" si="27"/>
        <v>0</v>
      </c>
      <c r="CV297" s="26">
        <f t="shared" si="28"/>
        <v>0</v>
      </c>
    </row>
    <row r="298" spans="1:100" x14ac:dyDescent="0.2">
      <c r="A298" s="9" t="s">
        <v>199</v>
      </c>
      <c r="B298" s="2">
        <v>137</v>
      </c>
      <c r="C298" s="3" t="s">
        <v>95</v>
      </c>
      <c r="D298" s="38" t="s">
        <v>96</v>
      </c>
      <c r="E298" s="37"/>
      <c r="F298" s="37"/>
      <c r="G298" s="2" t="s">
        <v>83</v>
      </c>
      <c r="H298" s="2">
        <v>7</v>
      </c>
      <c r="I298" s="20">
        <v>135.15</v>
      </c>
      <c r="J298" s="20">
        <v>41900</v>
      </c>
      <c r="K298" s="3">
        <v>0</v>
      </c>
      <c r="L298" s="3" t="s">
        <v>3</v>
      </c>
      <c r="M298" s="10" t="s">
        <v>0</v>
      </c>
      <c r="N298" s="10" t="s">
        <v>10</v>
      </c>
      <c r="O298" s="9" t="s">
        <v>200</v>
      </c>
      <c r="P298" s="9" t="s">
        <v>0</v>
      </c>
      <c r="Q298" s="30" t="s">
        <v>201</v>
      </c>
      <c r="R298" s="9" t="s">
        <v>202</v>
      </c>
      <c r="S298" s="9" t="s">
        <v>158</v>
      </c>
      <c r="V298" s="10">
        <v>135.15</v>
      </c>
      <c r="W298" s="10"/>
      <c r="X298" s="17">
        <v>44954</v>
      </c>
      <c r="Y298" s="17">
        <v>44954</v>
      </c>
      <c r="Z298" s="19" t="s">
        <v>772</v>
      </c>
      <c r="AA298" s="207">
        <v>41000</v>
      </c>
      <c r="AB298" s="9">
        <v>33</v>
      </c>
      <c r="AC298" s="9">
        <v>19</v>
      </c>
      <c r="AD298" s="17">
        <v>45580</v>
      </c>
      <c r="AE298" s="54">
        <v>1000</v>
      </c>
      <c r="AF298" s="54"/>
      <c r="AG298" s="9" t="s">
        <v>134</v>
      </c>
      <c r="AH298" s="127">
        <v>45580</v>
      </c>
      <c r="AI298" s="104">
        <v>9499094</v>
      </c>
      <c r="AJ298" s="22" t="s">
        <v>3050</v>
      </c>
      <c r="AK298" s="22" t="s">
        <v>3059</v>
      </c>
      <c r="AL298" s="22">
        <v>1000</v>
      </c>
      <c r="AM298" s="22"/>
      <c r="AN298" s="22" t="s">
        <v>3070</v>
      </c>
      <c r="AO298" s="22"/>
      <c r="AP298" s="9"/>
      <c r="AQ298" s="9"/>
      <c r="AR298" s="9"/>
      <c r="AS298" s="9"/>
      <c r="AT298" s="9"/>
      <c r="AU298" s="9"/>
      <c r="AV298" s="9"/>
      <c r="AW298" s="17">
        <v>45580</v>
      </c>
      <c r="AX298" s="30">
        <v>3285</v>
      </c>
      <c r="BA298" s="22">
        <v>1000</v>
      </c>
      <c r="BB298" s="22"/>
      <c r="BD298" s="9"/>
      <c r="CS298" s="11">
        <f t="shared" si="25"/>
        <v>1000</v>
      </c>
      <c r="CT298" s="22">
        <f t="shared" si="26"/>
        <v>1000</v>
      </c>
      <c r="CU298" s="22">
        <f t="shared" si="27"/>
        <v>0</v>
      </c>
      <c r="CV298" s="26">
        <f t="shared" si="28"/>
        <v>0</v>
      </c>
    </row>
    <row r="299" spans="1:100" x14ac:dyDescent="0.2">
      <c r="A299" s="9" t="s">
        <v>199</v>
      </c>
      <c r="B299" s="2">
        <v>137</v>
      </c>
      <c r="C299" s="3" t="s">
        <v>95</v>
      </c>
      <c r="D299" s="38" t="s">
        <v>96</v>
      </c>
      <c r="E299" s="37"/>
      <c r="F299" s="37"/>
      <c r="G299" s="2" t="s">
        <v>83</v>
      </c>
      <c r="H299" s="2">
        <v>7</v>
      </c>
      <c r="I299" s="20">
        <v>135.15</v>
      </c>
      <c r="J299" s="20">
        <v>41900</v>
      </c>
      <c r="K299" s="3">
        <v>0</v>
      </c>
      <c r="L299" s="3" t="s">
        <v>3</v>
      </c>
      <c r="M299" s="10" t="s">
        <v>0</v>
      </c>
      <c r="N299" s="10" t="s">
        <v>10</v>
      </c>
      <c r="O299" s="9" t="s">
        <v>200</v>
      </c>
      <c r="P299" s="9" t="s">
        <v>0</v>
      </c>
      <c r="Q299" s="30" t="s">
        <v>201</v>
      </c>
      <c r="R299" s="9" t="s">
        <v>202</v>
      </c>
      <c r="S299" s="9" t="s">
        <v>158</v>
      </c>
      <c r="V299" s="10">
        <v>135.15</v>
      </c>
      <c r="W299" s="10"/>
      <c r="X299" s="17">
        <v>44954</v>
      </c>
      <c r="Y299" s="17">
        <v>44954</v>
      </c>
      <c r="Z299" s="19" t="s">
        <v>772</v>
      </c>
      <c r="AA299" s="207">
        <v>41000</v>
      </c>
      <c r="AB299" s="9">
        <v>33</v>
      </c>
      <c r="AC299" s="9">
        <v>20</v>
      </c>
      <c r="AD299" s="17">
        <v>45611</v>
      </c>
      <c r="AE299" s="54">
        <v>1000</v>
      </c>
      <c r="AF299" s="54"/>
      <c r="AG299" s="9" t="s">
        <v>134</v>
      </c>
      <c r="AH299" s="127">
        <v>45614</v>
      </c>
      <c r="AI299" s="104">
        <v>9499094</v>
      </c>
      <c r="AJ299" s="22" t="s">
        <v>3050</v>
      </c>
      <c r="AK299" s="22" t="s">
        <v>3060</v>
      </c>
      <c r="AL299" s="22">
        <v>1000</v>
      </c>
      <c r="AM299" s="22"/>
      <c r="AN299" s="22" t="s">
        <v>3071</v>
      </c>
      <c r="AO299" s="22"/>
      <c r="AP299" s="9"/>
      <c r="AQ299" s="9"/>
      <c r="AR299" s="9"/>
      <c r="AS299" s="9"/>
      <c r="AT299" s="9"/>
      <c r="AU299" s="9"/>
      <c r="AV299" s="9"/>
      <c r="AW299" s="17">
        <v>45614</v>
      </c>
      <c r="AX299" s="30">
        <v>3412</v>
      </c>
      <c r="BA299" s="22">
        <v>1000</v>
      </c>
      <c r="BB299" s="22"/>
      <c r="BD299" s="9"/>
      <c r="CS299" s="11">
        <f t="shared" si="25"/>
        <v>1000</v>
      </c>
      <c r="CT299" s="22">
        <f t="shared" si="26"/>
        <v>1000</v>
      </c>
      <c r="CU299" s="22">
        <f t="shared" si="27"/>
        <v>0</v>
      </c>
      <c r="CV299" s="26">
        <f t="shared" si="28"/>
        <v>0</v>
      </c>
    </row>
    <row r="300" spans="1:100" x14ac:dyDescent="0.2">
      <c r="A300" s="9" t="s">
        <v>199</v>
      </c>
      <c r="B300" s="2">
        <v>137</v>
      </c>
      <c r="C300" s="3" t="s">
        <v>95</v>
      </c>
      <c r="D300" s="38" t="s">
        <v>96</v>
      </c>
      <c r="E300" s="37"/>
      <c r="F300" s="37"/>
      <c r="G300" s="2" t="s">
        <v>83</v>
      </c>
      <c r="H300" s="2">
        <v>7</v>
      </c>
      <c r="I300" s="20">
        <v>135.15</v>
      </c>
      <c r="J300" s="20">
        <v>41900</v>
      </c>
      <c r="K300" s="3">
        <v>0</v>
      </c>
      <c r="L300" s="3" t="s">
        <v>3</v>
      </c>
      <c r="M300" s="10" t="s">
        <v>0</v>
      </c>
      <c r="N300" s="10" t="s">
        <v>10</v>
      </c>
      <c r="O300" s="9" t="s">
        <v>200</v>
      </c>
      <c r="P300" s="9" t="s">
        <v>0</v>
      </c>
      <c r="Q300" s="30" t="s">
        <v>201</v>
      </c>
      <c r="R300" s="9" t="s">
        <v>202</v>
      </c>
      <c r="S300" s="9" t="s">
        <v>158</v>
      </c>
      <c r="V300" s="10">
        <v>135.15</v>
      </c>
      <c r="W300" s="10"/>
      <c r="X300" s="17">
        <v>44954</v>
      </c>
      <c r="Y300" s="17">
        <v>44954</v>
      </c>
      <c r="Z300" s="19" t="s">
        <v>772</v>
      </c>
      <c r="AA300" s="207">
        <v>41000</v>
      </c>
      <c r="AB300" s="9">
        <v>33</v>
      </c>
      <c r="AC300" s="9">
        <v>21</v>
      </c>
      <c r="AD300" s="17">
        <v>45641</v>
      </c>
      <c r="AE300" s="54">
        <v>1000</v>
      </c>
      <c r="AF300" s="54"/>
      <c r="AG300" s="9" t="s">
        <v>134</v>
      </c>
      <c r="AH300" s="127">
        <v>45633</v>
      </c>
      <c r="AI300" s="104">
        <v>9499094</v>
      </c>
      <c r="AJ300" s="22" t="s">
        <v>3050</v>
      </c>
      <c r="AK300" s="22" t="s">
        <v>3061</v>
      </c>
      <c r="AL300" s="22">
        <v>1000</v>
      </c>
      <c r="AM300" s="22"/>
      <c r="AN300" s="22" t="s">
        <v>3072</v>
      </c>
      <c r="AO300" s="22"/>
      <c r="AP300" s="9"/>
      <c r="AQ300" s="9"/>
      <c r="AR300" s="9"/>
      <c r="AS300" s="9"/>
      <c r="AT300" s="9"/>
      <c r="AU300" s="9"/>
      <c r="AV300" s="9"/>
      <c r="AW300" s="17">
        <v>45633</v>
      </c>
      <c r="AX300" s="30">
        <v>3489</v>
      </c>
      <c r="BA300" s="22">
        <v>1000</v>
      </c>
      <c r="BB300" s="22"/>
      <c r="BD300" s="9"/>
      <c r="CS300" s="11">
        <f t="shared" si="25"/>
        <v>1000</v>
      </c>
      <c r="CT300" s="22">
        <f t="shared" si="26"/>
        <v>1000</v>
      </c>
      <c r="CU300" s="22">
        <f t="shared" si="27"/>
        <v>0</v>
      </c>
      <c r="CV300" s="26">
        <f t="shared" si="28"/>
        <v>0</v>
      </c>
    </row>
    <row r="301" spans="1:100" x14ac:dyDescent="0.2">
      <c r="A301" s="9" t="s">
        <v>199</v>
      </c>
      <c r="B301" s="2">
        <v>137</v>
      </c>
      <c r="C301" s="3" t="s">
        <v>95</v>
      </c>
      <c r="D301" s="38" t="s">
        <v>96</v>
      </c>
      <c r="E301" s="37"/>
      <c r="F301" s="37"/>
      <c r="G301" s="2" t="s">
        <v>83</v>
      </c>
      <c r="H301" s="2">
        <v>7</v>
      </c>
      <c r="I301" s="20">
        <v>135.15</v>
      </c>
      <c r="J301" s="20">
        <v>41900</v>
      </c>
      <c r="K301" s="3">
        <v>0</v>
      </c>
      <c r="L301" s="3" t="s">
        <v>3</v>
      </c>
      <c r="M301" s="10" t="s">
        <v>0</v>
      </c>
      <c r="N301" s="10" t="s">
        <v>10</v>
      </c>
      <c r="O301" s="9" t="s">
        <v>200</v>
      </c>
      <c r="P301" s="9" t="s">
        <v>0</v>
      </c>
      <c r="Q301" s="30" t="s">
        <v>201</v>
      </c>
      <c r="R301" s="9" t="s">
        <v>202</v>
      </c>
      <c r="S301" s="9" t="s">
        <v>158</v>
      </c>
      <c r="V301" s="10">
        <v>135.15</v>
      </c>
      <c r="W301" s="10"/>
      <c r="X301" s="17">
        <v>44954</v>
      </c>
      <c r="Y301" s="17">
        <v>44954</v>
      </c>
      <c r="Z301" s="19" t="s">
        <v>772</v>
      </c>
      <c r="AA301" s="207">
        <v>41000</v>
      </c>
      <c r="AB301" s="9">
        <v>33</v>
      </c>
      <c r="AC301" s="9">
        <v>22</v>
      </c>
      <c r="AD301" s="17">
        <v>45672</v>
      </c>
      <c r="AE301" s="54">
        <v>1000</v>
      </c>
      <c r="AF301" s="54"/>
      <c r="AG301" s="9" t="s">
        <v>134</v>
      </c>
      <c r="AH301" s="127">
        <v>45674</v>
      </c>
      <c r="AI301" s="104">
        <v>9499094</v>
      </c>
      <c r="AJ301" s="22" t="s">
        <v>3050</v>
      </c>
      <c r="AK301" s="22" t="s">
        <v>3073</v>
      </c>
      <c r="AL301" s="22">
        <v>1000</v>
      </c>
      <c r="AM301" s="22"/>
      <c r="AN301" s="22" t="s">
        <v>3082</v>
      </c>
      <c r="AO301" s="22"/>
      <c r="AP301" s="9"/>
      <c r="AQ301" s="9"/>
      <c r="AR301" s="9"/>
      <c r="AS301" s="9"/>
      <c r="AT301" s="9"/>
      <c r="AU301" s="9"/>
      <c r="AV301" s="9"/>
      <c r="AW301" s="17">
        <v>45673</v>
      </c>
      <c r="AX301" s="30" t="s">
        <v>3107</v>
      </c>
      <c r="AY301" s="9">
        <v>57</v>
      </c>
      <c r="AZ301" s="9">
        <v>3.78</v>
      </c>
      <c r="BA301" s="22">
        <f>+AY301/AZ301</f>
        <v>15.079365079365081</v>
      </c>
      <c r="BB301" s="22"/>
      <c r="BC301" s="17">
        <v>45673</v>
      </c>
      <c r="BD301" s="9">
        <v>454240</v>
      </c>
      <c r="BE301" s="86">
        <v>3723</v>
      </c>
      <c r="BF301" s="9">
        <v>3.78</v>
      </c>
      <c r="BG301" s="22">
        <f>+BE301/BF301</f>
        <v>984.92063492063494</v>
      </c>
      <c r="CS301" s="11">
        <f t="shared" si="25"/>
        <v>1000</v>
      </c>
      <c r="CT301" s="22">
        <f t="shared" si="26"/>
        <v>1000</v>
      </c>
      <c r="CU301" s="22">
        <f t="shared" si="27"/>
        <v>0</v>
      </c>
      <c r="CV301" s="26">
        <f t="shared" si="28"/>
        <v>0</v>
      </c>
    </row>
    <row r="302" spans="1:100" x14ac:dyDescent="0.2">
      <c r="A302" s="9" t="s">
        <v>199</v>
      </c>
      <c r="B302" s="2">
        <v>137</v>
      </c>
      <c r="C302" s="3" t="s">
        <v>95</v>
      </c>
      <c r="D302" s="38" t="s">
        <v>96</v>
      </c>
      <c r="E302" s="37"/>
      <c r="F302" s="37"/>
      <c r="G302" s="2" t="s">
        <v>83</v>
      </c>
      <c r="H302" s="2">
        <v>7</v>
      </c>
      <c r="I302" s="20">
        <v>135.15</v>
      </c>
      <c r="J302" s="20">
        <v>41900</v>
      </c>
      <c r="K302" s="3">
        <v>0</v>
      </c>
      <c r="L302" s="3" t="s">
        <v>3</v>
      </c>
      <c r="M302" s="10" t="s">
        <v>0</v>
      </c>
      <c r="N302" s="10" t="s">
        <v>10</v>
      </c>
      <c r="O302" s="9" t="s">
        <v>200</v>
      </c>
      <c r="P302" s="9" t="s">
        <v>0</v>
      </c>
      <c r="Q302" s="30" t="s">
        <v>201</v>
      </c>
      <c r="R302" s="9" t="s">
        <v>202</v>
      </c>
      <c r="S302" s="9" t="s">
        <v>158</v>
      </c>
      <c r="V302" s="10">
        <v>135.15</v>
      </c>
      <c r="W302" s="10"/>
      <c r="X302" s="17">
        <v>44954</v>
      </c>
      <c r="Y302" s="17">
        <v>44954</v>
      </c>
      <c r="Z302" s="19" t="s">
        <v>772</v>
      </c>
      <c r="AA302" s="207">
        <v>41000</v>
      </c>
      <c r="AB302" s="9">
        <v>33</v>
      </c>
      <c r="AC302" s="9">
        <v>23</v>
      </c>
      <c r="AD302" s="17">
        <v>45703</v>
      </c>
      <c r="AE302" s="54">
        <v>1000</v>
      </c>
      <c r="AF302" s="54"/>
      <c r="AG302" s="9" t="s">
        <v>134</v>
      </c>
      <c r="AH302" s="127">
        <v>45705</v>
      </c>
      <c r="AI302" s="104">
        <v>9499094</v>
      </c>
      <c r="AJ302" s="22" t="s">
        <v>3050</v>
      </c>
      <c r="AK302" s="22" t="s">
        <v>3074</v>
      </c>
      <c r="AL302" s="22">
        <v>1000</v>
      </c>
      <c r="AM302" s="22"/>
      <c r="AN302" s="22" t="s">
        <v>3083</v>
      </c>
      <c r="AO302" s="22"/>
      <c r="AP302" s="9"/>
      <c r="AQ302" s="9"/>
      <c r="AR302" s="9"/>
      <c r="AS302" s="9"/>
      <c r="AT302" s="9"/>
      <c r="AU302" s="9"/>
      <c r="AV302" s="9"/>
      <c r="AW302" s="17">
        <v>45705</v>
      </c>
      <c r="AX302" s="30">
        <v>3762</v>
      </c>
      <c r="BA302" s="22">
        <v>1000</v>
      </c>
      <c r="BB302" s="22"/>
      <c r="BD302" s="9"/>
      <c r="CS302" s="11">
        <f t="shared" si="25"/>
        <v>1000</v>
      </c>
      <c r="CT302" s="22">
        <f t="shared" si="26"/>
        <v>1000</v>
      </c>
      <c r="CU302" s="22">
        <f t="shared" si="27"/>
        <v>0</v>
      </c>
      <c r="CV302" s="26">
        <f t="shared" si="28"/>
        <v>0</v>
      </c>
    </row>
    <row r="303" spans="1:100" x14ac:dyDescent="0.2">
      <c r="A303" s="9" t="s">
        <v>199</v>
      </c>
      <c r="B303" s="2">
        <v>137</v>
      </c>
      <c r="C303" s="3" t="s">
        <v>95</v>
      </c>
      <c r="D303" s="38" t="s">
        <v>96</v>
      </c>
      <c r="E303" s="37"/>
      <c r="F303" s="37"/>
      <c r="G303" s="2" t="s">
        <v>83</v>
      </c>
      <c r="H303" s="2">
        <v>7</v>
      </c>
      <c r="I303" s="20">
        <v>135.15</v>
      </c>
      <c r="J303" s="20">
        <v>41900</v>
      </c>
      <c r="K303" s="3">
        <v>0</v>
      </c>
      <c r="L303" s="3" t="s">
        <v>3</v>
      </c>
      <c r="M303" s="10" t="s">
        <v>0</v>
      </c>
      <c r="N303" s="10" t="s">
        <v>10</v>
      </c>
      <c r="O303" s="9" t="s">
        <v>200</v>
      </c>
      <c r="P303" s="9" t="s">
        <v>0</v>
      </c>
      <c r="Q303" s="30" t="s">
        <v>201</v>
      </c>
      <c r="R303" s="9" t="s">
        <v>202</v>
      </c>
      <c r="S303" s="9" t="s">
        <v>158</v>
      </c>
      <c r="V303" s="10">
        <v>135.15</v>
      </c>
      <c r="W303" s="10"/>
      <c r="X303" s="17">
        <v>44954</v>
      </c>
      <c r="Y303" s="17">
        <v>44954</v>
      </c>
      <c r="Z303" s="19" t="s">
        <v>772</v>
      </c>
      <c r="AA303" s="207">
        <v>41000</v>
      </c>
      <c r="AB303" s="9">
        <v>33</v>
      </c>
      <c r="AC303" s="9">
        <v>24</v>
      </c>
      <c r="AD303" s="17">
        <v>45731</v>
      </c>
      <c r="AE303" s="54">
        <v>1000</v>
      </c>
      <c r="AF303" s="54"/>
      <c r="AG303" s="9" t="s">
        <v>134</v>
      </c>
      <c r="AH303" s="127">
        <v>45733</v>
      </c>
      <c r="AI303" s="104">
        <v>9499094</v>
      </c>
      <c r="AJ303" s="22" t="s">
        <v>3050</v>
      </c>
      <c r="AK303" s="22" t="s">
        <v>3075</v>
      </c>
      <c r="AL303" s="22">
        <v>1000</v>
      </c>
      <c r="AM303" s="22"/>
      <c r="AN303" s="22" t="s">
        <v>3084</v>
      </c>
      <c r="AO303" s="22"/>
      <c r="AP303" s="9"/>
      <c r="AQ303" s="9"/>
      <c r="AR303" s="9"/>
      <c r="AS303" s="9"/>
      <c r="AT303" s="9"/>
      <c r="AU303" s="9"/>
      <c r="AV303" s="9"/>
      <c r="AW303" s="17">
        <v>45731</v>
      </c>
      <c r="AX303" s="30">
        <v>3886</v>
      </c>
      <c r="BA303" s="22">
        <v>1000</v>
      </c>
      <c r="BB303" s="22"/>
      <c r="BD303" s="9"/>
      <c r="CS303" s="11">
        <f t="shared" si="25"/>
        <v>1000</v>
      </c>
      <c r="CT303" s="22">
        <f t="shared" si="26"/>
        <v>1000</v>
      </c>
      <c r="CU303" s="22">
        <f t="shared" si="27"/>
        <v>0</v>
      </c>
      <c r="CV303" s="26">
        <f t="shared" si="28"/>
        <v>0</v>
      </c>
    </row>
    <row r="304" spans="1:100" x14ac:dyDescent="0.2">
      <c r="A304" s="9" t="s">
        <v>199</v>
      </c>
      <c r="B304" s="2">
        <v>137</v>
      </c>
      <c r="C304" s="3" t="s">
        <v>95</v>
      </c>
      <c r="D304" s="38" t="s">
        <v>96</v>
      </c>
      <c r="E304" s="37"/>
      <c r="F304" s="37"/>
      <c r="G304" s="2" t="s">
        <v>83</v>
      </c>
      <c r="H304" s="2">
        <v>7</v>
      </c>
      <c r="I304" s="20">
        <v>135.15</v>
      </c>
      <c r="J304" s="20">
        <v>41900</v>
      </c>
      <c r="K304" s="3">
        <v>0</v>
      </c>
      <c r="L304" s="3" t="s">
        <v>3</v>
      </c>
      <c r="M304" s="10" t="s">
        <v>0</v>
      </c>
      <c r="N304" s="10" t="s">
        <v>10</v>
      </c>
      <c r="O304" s="9" t="s">
        <v>200</v>
      </c>
      <c r="P304" s="9" t="s">
        <v>0</v>
      </c>
      <c r="Q304" s="30" t="s">
        <v>201</v>
      </c>
      <c r="R304" s="9" t="s">
        <v>202</v>
      </c>
      <c r="S304" s="9" t="s">
        <v>158</v>
      </c>
      <c r="V304" s="10">
        <v>135.15</v>
      </c>
      <c r="W304" s="10"/>
      <c r="X304" s="17">
        <v>44954</v>
      </c>
      <c r="Y304" s="17">
        <v>44954</v>
      </c>
      <c r="Z304" s="19" t="s">
        <v>772</v>
      </c>
      <c r="AA304" s="207">
        <v>41000</v>
      </c>
      <c r="AB304" s="9">
        <v>33</v>
      </c>
      <c r="AC304" s="9">
        <v>25</v>
      </c>
      <c r="AD304" s="17">
        <v>45762</v>
      </c>
      <c r="AE304" s="54">
        <v>1000</v>
      </c>
      <c r="AF304" s="54"/>
      <c r="AG304" s="9" t="s">
        <v>134</v>
      </c>
      <c r="AH304" s="127">
        <v>45768</v>
      </c>
      <c r="AI304" s="104">
        <v>9499094</v>
      </c>
      <c r="AJ304" s="22" t="s">
        <v>3050</v>
      </c>
      <c r="AK304" s="22" t="s">
        <v>3076</v>
      </c>
      <c r="AL304" s="22">
        <v>1000</v>
      </c>
      <c r="AM304" s="22"/>
      <c r="AN304" s="22" t="s">
        <v>3085</v>
      </c>
      <c r="AO304" s="22"/>
      <c r="AP304" s="9"/>
      <c r="AQ304" s="9"/>
      <c r="AR304" s="9"/>
      <c r="AS304" s="9"/>
      <c r="AT304" s="9"/>
      <c r="AU304" s="9"/>
      <c r="AV304" s="9"/>
      <c r="AW304" s="17">
        <v>45768</v>
      </c>
      <c r="AX304" s="30">
        <v>4033</v>
      </c>
      <c r="BA304" s="22">
        <v>1000</v>
      </c>
      <c r="BB304" s="22"/>
      <c r="BD304" s="9"/>
      <c r="CS304" s="11">
        <f t="shared" si="25"/>
        <v>1000</v>
      </c>
      <c r="CT304" s="22">
        <f t="shared" si="26"/>
        <v>1000</v>
      </c>
      <c r="CU304" s="22">
        <f t="shared" si="27"/>
        <v>0</v>
      </c>
      <c r="CV304" s="26">
        <f t="shared" si="28"/>
        <v>0</v>
      </c>
    </row>
    <row r="305" spans="1:100" x14ac:dyDescent="0.2">
      <c r="A305" s="9" t="s">
        <v>199</v>
      </c>
      <c r="B305" s="2">
        <v>137</v>
      </c>
      <c r="C305" s="3" t="s">
        <v>95</v>
      </c>
      <c r="D305" s="38" t="s">
        <v>96</v>
      </c>
      <c r="E305" s="37"/>
      <c r="F305" s="37"/>
      <c r="G305" s="2" t="s">
        <v>83</v>
      </c>
      <c r="H305" s="2">
        <v>7</v>
      </c>
      <c r="I305" s="20">
        <v>135.15</v>
      </c>
      <c r="J305" s="20">
        <v>41900</v>
      </c>
      <c r="K305" s="3">
        <v>0</v>
      </c>
      <c r="L305" s="3" t="s">
        <v>3</v>
      </c>
      <c r="M305" s="10" t="s">
        <v>0</v>
      </c>
      <c r="N305" s="10" t="s">
        <v>10</v>
      </c>
      <c r="O305" s="9" t="s">
        <v>200</v>
      </c>
      <c r="P305" s="9" t="s">
        <v>0</v>
      </c>
      <c r="Q305" s="30" t="s">
        <v>201</v>
      </c>
      <c r="R305" s="9" t="s">
        <v>202</v>
      </c>
      <c r="S305" s="9" t="s">
        <v>158</v>
      </c>
      <c r="V305" s="10">
        <v>135.15</v>
      </c>
      <c r="W305" s="10"/>
      <c r="X305" s="17">
        <v>44954</v>
      </c>
      <c r="Y305" s="17">
        <v>44954</v>
      </c>
      <c r="Z305" s="19" t="s">
        <v>772</v>
      </c>
      <c r="AA305" s="207">
        <v>41000</v>
      </c>
      <c r="AB305" s="9">
        <v>33</v>
      </c>
      <c r="AC305" s="9">
        <v>26</v>
      </c>
      <c r="AD305" s="17">
        <v>45792</v>
      </c>
      <c r="AE305" s="54">
        <v>1000</v>
      </c>
      <c r="AF305" s="54"/>
      <c r="AG305" s="9" t="s">
        <v>134</v>
      </c>
      <c r="AH305" s="127">
        <v>45796</v>
      </c>
      <c r="AI305" s="104">
        <v>9499094</v>
      </c>
      <c r="AJ305" s="22" t="s">
        <v>3050</v>
      </c>
      <c r="AK305" s="22" t="s">
        <v>3077</v>
      </c>
      <c r="AL305" s="22">
        <v>1000</v>
      </c>
      <c r="AM305" s="22"/>
      <c r="AN305" s="22" t="s">
        <v>3086</v>
      </c>
      <c r="AO305" s="22"/>
      <c r="AP305" s="9"/>
      <c r="AQ305" s="9"/>
      <c r="AR305" s="9"/>
      <c r="AS305" s="9"/>
      <c r="AT305" s="9"/>
      <c r="AU305" s="9"/>
      <c r="AV305" s="9"/>
      <c r="AW305" s="17">
        <v>45794</v>
      </c>
      <c r="AX305" s="30">
        <v>4182</v>
      </c>
      <c r="BA305" s="22">
        <v>1000</v>
      </c>
      <c r="BB305" s="22"/>
      <c r="BD305" s="9"/>
      <c r="CS305" s="11">
        <f t="shared" si="25"/>
        <v>1000</v>
      </c>
      <c r="CT305" s="22">
        <f t="shared" si="26"/>
        <v>1000</v>
      </c>
      <c r="CU305" s="22">
        <f t="shared" si="27"/>
        <v>0</v>
      </c>
      <c r="CV305" s="26">
        <f t="shared" si="28"/>
        <v>0</v>
      </c>
    </row>
    <row r="306" spans="1:100" x14ac:dyDescent="0.2">
      <c r="A306" s="9" t="s">
        <v>199</v>
      </c>
      <c r="B306" s="2">
        <v>137</v>
      </c>
      <c r="C306" s="3" t="s">
        <v>95</v>
      </c>
      <c r="D306" s="38" t="s">
        <v>96</v>
      </c>
      <c r="E306" s="37"/>
      <c r="F306" s="37"/>
      <c r="G306" s="2" t="s">
        <v>83</v>
      </c>
      <c r="H306" s="2">
        <v>7</v>
      </c>
      <c r="I306" s="20">
        <v>135.15</v>
      </c>
      <c r="J306" s="20">
        <v>41900</v>
      </c>
      <c r="K306" s="3">
        <v>0</v>
      </c>
      <c r="L306" s="3" t="s">
        <v>3</v>
      </c>
      <c r="M306" s="10" t="s">
        <v>0</v>
      </c>
      <c r="N306" s="10" t="s">
        <v>10</v>
      </c>
      <c r="O306" s="9" t="s">
        <v>200</v>
      </c>
      <c r="P306" s="9" t="s">
        <v>0</v>
      </c>
      <c r="Q306" s="30" t="s">
        <v>201</v>
      </c>
      <c r="R306" s="9" t="s">
        <v>202</v>
      </c>
      <c r="S306" s="9" t="s">
        <v>158</v>
      </c>
      <c r="V306" s="10">
        <v>135.15</v>
      </c>
      <c r="W306" s="10"/>
      <c r="X306" s="17">
        <v>44954</v>
      </c>
      <c r="Y306" s="17">
        <v>44954</v>
      </c>
      <c r="Z306" s="19" t="s">
        <v>772</v>
      </c>
      <c r="AA306" s="207">
        <v>41000</v>
      </c>
      <c r="AB306" s="9">
        <v>33</v>
      </c>
      <c r="AC306" s="9">
        <v>27</v>
      </c>
      <c r="AD306" s="17">
        <v>45823</v>
      </c>
      <c r="AE306" s="54">
        <v>1000</v>
      </c>
      <c r="AF306" s="54"/>
      <c r="AG306" s="9" t="s">
        <v>134</v>
      </c>
      <c r="AH306" s="127">
        <v>45825</v>
      </c>
      <c r="AI306" s="104">
        <v>9499094</v>
      </c>
      <c r="AJ306" s="22" t="s">
        <v>3050</v>
      </c>
      <c r="AK306" s="22" t="s">
        <v>3078</v>
      </c>
      <c r="AL306" s="22">
        <v>1000</v>
      </c>
      <c r="AM306" s="22"/>
      <c r="AN306" s="22" t="s">
        <v>3087</v>
      </c>
      <c r="AO306" s="22"/>
      <c r="AP306" s="9"/>
      <c r="AQ306" s="9"/>
      <c r="AR306" s="9"/>
      <c r="AS306" s="9"/>
      <c r="AT306" s="9"/>
      <c r="AU306" s="9"/>
      <c r="AV306" s="9"/>
      <c r="AW306" s="17">
        <v>45825</v>
      </c>
      <c r="AX306" s="30">
        <v>4309</v>
      </c>
      <c r="BA306" s="22">
        <v>1000</v>
      </c>
      <c r="BB306" s="22"/>
      <c r="BD306" s="9"/>
      <c r="CS306" s="11">
        <f t="shared" si="25"/>
        <v>1000</v>
      </c>
      <c r="CT306" s="22">
        <f t="shared" si="26"/>
        <v>1000</v>
      </c>
      <c r="CU306" s="22">
        <f t="shared" si="27"/>
        <v>0</v>
      </c>
      <c r="CV306" s="26">
        <f t="shared" si="28"/>
        <v>0</v>
      </c>
    </row>
    <row r="307" spans="1:100" x14ac:dyDescent="0.2">
      <c r="A307" s="9" t="s">
        <v>199</v>
      </c>
      <c r="B307" s="2">
        <v>137</v>
      </c>
      <c r="C307" s="3" t="s">
        <v>95</v>
      </c>
      <c r="D307" s="38" t="s">
        <v>96</v>
      </c>
      <c r="E307" s="37"/>
      <c r="F307" s="37"/>
      <c r="G307" s="2" t="s">
        <v>83</v>
      </c>
      <c r="H307" s="2">
        <v>7</v>
      </c>
      <c r="I307" s="20">
        <v>135.15</v>
      </c>
      <c r="J307" s="20">
        <v>41900</v>
      </c>
      <c r="K307" s="3">
        <v>0</v>
      </c>
      <c r="L307" s="3" t="s">
        <v>3</v>
      </c>
      <c r="M307" s="10" t="s">
        <v>0</v>
      </c>
      <c r="N307" s="10" t="s">
        <v>10</v>
      </c>
      <c r="O307" s="9" t="s">
        <v>200</v>
      </c>
      <c r="P307" s="9" t="s">
        <v>0</v>
      </c>
      <c r="Q307" s="30" t="s">
        <v>201</v>
      </c>
      <c r="R307" s="9" t="s">
        <v>202</v>
      </c>
      <c r="S307" s="9" t="s">
        <v>158</v>
      </c>
      <c r="V307" s="10">
        <v>135.15</v>
      </c>
      <c r="W307" s="10"/>
      <c r="X307" s="17">
        <v>44954</v>
      </c>
      <c r="Y307" s="17">
        <v>44954</v>
      </c>
      <c r="Z307" s="19" t="s">
        <v>772</v>
      </c>
      <c r="AA307" s="207">
        <v>41000</v>
      </c>
      <c r="AB307" s="9">
        <v>33</v>
      </c>
      <c r="AC307" s="9">
        <v>28</v>
      </c>
      <c r="AD307" s="17">
        <v>45853</v>
      </c>
      <c r="AE307" s="54">
        <v>1000</v>
      </c>
      <c r="AF307" s="54"/>
      <c r="AG307" s="9" t="s">
        <v>134</v>
      </c>
      <c r="AH307" s="127">
        <v>45855</v>
      </c>
      <c r="AI307" s="104">
        <v>9499094</v>
      </c>
      <c r="AJ307" s="22" t="s">
        <v>3050</v>
      </c>
      <c r="AK307" s="22" t="s">
        <v>3079</v>
      </c>
      <c r="AL307" s="22">
        <v>1000</v>
      </c>
      <c r="AM307" s="22"/>
      <c r="AN307" s="22" t="s">
        <v>3088</v>
      </c>
      <c r="AO307" s="22"/>
      <c r="AP307" s="9"/>
      <c r="AQ307" s="9"/>
      <c r="AR307" s="9"/>
      <c r="AS307" s="9"/>
      <c r="AT307" s="9"/>
      <c r="AU307" s="9"/>
      <c r="AV307" s="9"/>
      <c r="AW307" s="17">
        <v>45855</v>
      </c>
      <c r="AX307" s="30">
        <v>4430</v>
      </c>
      <c r="BA307" s="22">
        <v>1000</v>
      </c>
      <c r="BB307" s="22"/>
      <c r="BD307" s="9"/>
      <c r="CS307" s="11">
        <f t="shared" si="25"/>
        <v>1000</v>
      </c>
      <c r="CT307" s="22">
        <f t="shared" si="26"/>
        <v>1000</v>
      </c>
      <c r="CU307" s="22">
        <f t="shared" si="27"/>
        <v>0</v>
      </c>
      <c r="CV307" s="26">
        <f t="shared" si="28"/>
        <v>0</v>
      </c>
    </row>
    <row r="308" spans="1:100" x14ac:dyDescent="0.2">
      <c r="A308" s="9" t="s">
        <v>199</v>
      </c>
      <c r="B308" s="2">
        <v>137</v>
      </c>
      <c r="C308" s="3" t="s">
        <v>95</v>
      </c>
      <c r="D308" s="38" t="s">
        <v>96</v>
      </c>
      <c r="E308" s="37"/>
      <c r="F308" s="37"/>
      <c r="G308" s="2" t="s">
        <v>83</v>
      </c>
      <c r="H308" s="2">
        <v>7</v>
      </c>
      <c r="I308" s="20">
        <v>135.15</v>
      </c>
      <c r="J308" s="20">
        <v>41900</v>
      </c>
      <c r="K308" s="3">
        <v>0</v>
      </c>
      <c r="L308" s="3" t="s">
        <v>3</v>
      </c>
      <c r="M308" s="10" t="s">
        <v>0</v>
      </c>
      <c r="N308" s="10" t="s">
        <v>10</v>
      </c>
      <c r="O308" s="9" t="s">
        <v>200</v>
      </c>
      <c r="P308" s="9" t="s">
        <v>0</v>
      </c>
      <c r="Q308" s="30" t="s">
        <v>201</v>
      </c>
      <c r="R308" s="9" t="s">
        <v>202</v>
      </c>
      <c r="S308" s="9" t="s">
        <v>158</v>
      </c>
      <c r="V308" s="10">
        <v>135.15</v>
      </c>
      <c r="W308" s="10"/>
      <c r="X308" s="17">
        <v>44954</v>
      </c>
      <c r="Y308" s="17">
        <v>44954</v>
      </c>
      <c r="Z308" s="19" t="s">
        <v>772</v>
      </c>
      <c r="AA308" s="207">
        <v>41000</v>
      </c>
      <c r="AB308" s="9">
        <v>33</v>
      </c>
      <c r="AC308" s="9">
        <v>29</v>
      </c>
      <c r="AD308" s="17">
        <v>45884</v>
      </c>
      <c r="AE308" s="54">
        <v>1000</v>
      </c>
      <c r="AF308" s="54"/>
      <c r="AG308" s="9" t="s">
        <v>134</v>
      </c>
      <c r="AH308" s="127">
        <v>45887</v>
      </c>
      <c r="AI308" s="104">
        <v>9499094</v>
      </c>
      <c r="AJ308" s="22" t="s">
        <v>3050</v>
      </c>
      <c r="AK308" s="22" t="s">
        <v>3080</v>
      </c>
      <c r="AL308" s="22">
        <v>1000</v>
      </c>
      <c r="AM308" s="22"/>
      <c r="AN308" s="22" t="s">
        <v>3089</v>
      </c>
      <c r="AO308" s="22"/>
      <c r="AP308" s="9"/>
      <c r="AQ308" s="9"/>
      <c r="AR308" s="9"/>
      <c r="AS308" s="9"/>
      <c r="AT308" s="9"/>
      <c r="AU308" s="9"/>
      <c r="AV308" s="9"/>
      <c r="AW308" s="17">
        <v>45887</v>
      </c>
      <c r="AX308" s="30">
        <v>4579</v>
      </c>
      <c r="BA308" s="22">
        <v>1000</v>
      </c>
      <c r="BB308" s="22"/>
      <c r="BD308" s="9"/>
      <c r="CS308" s="11">
        <f t="shared" si="25"/>
        <v>1000</v>
      </c>
      <c r="CT308" s="22">
        <f t="shared" si="26"/>
        <v>1000</v>
      </c>
      <c r="CU308" s="22">
        <f t="shared" si="27"/>
        <v>0</v>
      </c>
      <c r="CV308" s="26">
        <f t="shared" si="28"/>
        <v>0</v>
      </c>
    </row>
    <row r="309" spans="1:100" x14ac:dyDescent="0.2">
      <c r="A309" s="9" t="s">
        <v>199</v>
      </c>
      <c r="B309" s="2">
        <v>137</v>
      </c>
      <c r="C309" s="3" t="s">
        <v>95</v>
      </c>
      <c r="D309" s="38" t="s">
        <v>96</v>
      </c>
      <c r="E309" s="37"/>
      <c r="F309" s="37"/>
      <c r="G309" s="2" t="s">
        <v>83</v>
      </c>
      <c r="H309" s="2">
        <v>7</v>
      </c>
      <c r="I309" s="20">
        <v>135.15</v>
      </c>
      <c r="J309" s="20">
        <v>41900</v>
      </c>
      <c r="K309" s="3">
        <v>0</v>
      </c>
      <c r="L309" s="3" t="s">
        <v>3</v>
      </c>
      <c r="M309" s="10" t="s">
        <v>0</v>
      </c>
      <c r="N309" s="10" t="s">
        <v>10</v>
      </c>
      <c r="O309" s="9" t="s">
        <v>200</v>
      </c>
      <c r="P309" s="9" t="s">
        <v>0</v>
      </c>
      <c r="Q309" s="30" t="s">
        <v>201</v>
      </c>
      <c r="R309" s="9" t="s">
        <v>202</v>
      </c>
      <c r="S309" s="9" t="s">
        <v>158</v>
      </c>
      <c r="V309" s="10">
        <v>135.15</v>
      </c>
      <c r="W309" s="10"/>
      <c r="X309" s="17">
        <v>44954</v>
      </c>
      <c r="Y309" s="17">
        <v>44954</v>
      </c>
      <c r="Z309" s="19" t="s">
        <v>772</v>
      </c>
      <c r="AA309" s="207">
        <v>41000</v>
      </c>
      <c r="AB309" s="9">
        <v>33</v>
      </c>
      <c r="AC309" s="9">
        <v>30</v>
      </c>
      <c r="AD309" s="17">
        <v>45915</v>
      </c>
      <c r="AE309" s="54">
        <v>1000</v>
      </c>
      <c r="AF309" s="54"/>
      <c r="AG309" s="9" t="s">
        <v>134</v>
      </c>
      <c r="AH309" s="127">
        <v>45915</v>
      </c>
      <c r="AI309" s="104">
        <v>9499094</v>
      </c>
      <c r="AJ309" s="22" t="s">
        <v>3050</v>
      </c>
      <c r="AK309" s="22" t="s">
        <v>3081</v>
      </c>
      <c r="AL309" s="22">
        <v>1000</v>
      </c>
      <c r="AM309" s="22"/>
      <c r="AN309" s="22" t="s">
        <v>3090</v>
      </c>
      <c r="AO309" s="22"/>
      <c r="AP309" s="9"/>
      <c r="AQ309" s="9"/>
      <c r="AR309" s="9"/>
      <c r="AS309" s="9"/>
      <c r="AT309" s="9"/>
      <c r="AU309" s="9"/>
      <c r="AV309" s="9"/>
      <c r="AW309" s="17">
        <v>45915</v>
      </c>
      <c r="AX309" s="30">
        <v>4719</v>
      </c>
      <c r="BA309" s="22">
        <v>1000</v>
      </c>
      <c r="BB309" s="22"/>
      <c r="BD309" s="9"/>
      <c r="CS309" s="11">
        <f t="shared" si="25"/>
        <v>1000</v>
      </c>
      <c r="CT309" s="22">
        <f t="shared" si="26"/>
        <v>1000</v>
      </c>
      <c r="CU309" s="22">
        <f t="shared" si="27"/>
        <v>0</v>
      </c>
      <c r="CV309" s="26">
        <f t="shared" si="28"/>
        <v>0</v>
      </c>
    </row>
    <row r="310" spans="1:100" x14ac:dyDescent="0.2">
      <c r="A310" s="9" t="s">
        <v>199</v>
      </c>
      <c r="B310" s="2">
        <v>137</v>
      </c>
      <c r="C310" s="3" t="s">
        <v>95</v>
      </c>
      <c r="D310" s="38" t="s">
        <v>96</v>
      </c>
      <c r="E310" s="37"/>
      <c r="F310" s="37"/>
      <c r="G310" s="2" t="s">
        <v>83</v>
      </c>
      <c r="H310" s="2">
        <v>7</v>
      </c>
      <c r="I310" s="20">
        <v>135.15</v>
      </c>
      <c r="J310" s="20">
        <v>41900</v>
      </c>
      <c r="K310" s="3">
        <v>0</v>
      </c>
      <c r="L310" s="3" t="s">
        <v>3</v>
      </c>
      <c r="M310" s="10" t="s">
        <v>0</v>
      </c>
      <c r="N310" s="10" t="s">
        <v>10</v>
      </c>
      <c r="O310" s="9" t="s">
        <v>200</v>
      </c>
      <c r="P310" s="9" t="s">
        <v>0</v>
      </c>
      <c r="Q310" s="30" t="s">
        <v>201</v>
      </c>
      <c r="R310" s="9" t="s">
        <v>202</v>
      </c>
      <c r="S310" s="9" t="s">
        <v>158</v>
      </c>
      <c r="V310" s="10">
        <v>135.15</v>
      </c>
      <c r="W310" s="10"/>
      <c r="X310" s="17">
        <v>44954</v>
      </c>
      <c r="Y310" s="17">
        <v>44954</v>
      </c>
      <c r="Z310" s="19" t="s">
        <v>772</v>
      </c>
      <c r="AA310" s="207">
        <v>41000</v>
      </c>
      <c r="AB310" s="9">
        <v>33</v>
      </c>
      <c r="AC310" s="9">
        <v>31</v>
      </c>
      <c r="AD310" s="17">
        <v>45945</v>
      </c>
      <c r="AE310" s="54">
        <v>1000</v>
      </c>
      <c r="AF310" s="54"/>
      <c r="AG310" s="9" t="s">
        <v>134</v>
      </c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17"/>
      <c r="BA310" s="22"/>
      <c r="BB310" s="22"/>
      <c r="BD310" s="9"/>
      <c r="CS310" s="11">
        <f t="shared" si="25"/>
        <v>0</v>
      </c>
      <c r="CT310" s="22">
        <f t="shared" si="26"/>
        <v>0</v>
      </c>
      <c r="CU310" s="22">
        <f t="shared" si="27"/>
        <v>0</v>
      </c>
      <c r="CV310" s="26">
        <f t="shared" si="28"/>
        <v>1000</v>
      </c>
    </row>
    <row r="311" spans="1:100" x14ac:dyDescent="0.2">
      <c r="A311" s="9" t="s">
        <v>199</v>
      </c>
      <c r="B311" s="2">
        <v>137</v>
      </c>
      <c r="C311" s="3" t="s">
        <v>95</v>
      </c>
      <c r="D311" s="38" t="s">
        <v>96</v>
      </c>
      <c r="E311" s="37"/>
      <c r="F311" s="37"/>
      <c r="G311" s="2" t="s">
        <v>83</v>
      </c>
      <c r="H311" s="2">
        <v>7</v>
      </c>
      <c r="I311" s="20">
        <v>135.15</v>
      </c>
      <c r="J311" s="20">
        <v>41900</v>
      </c>
      <c r="K311" s="3">
        <v>0</v>
      </c>
      <c r="L311" s="3" t="s">
        <v>3</v>
      </c>
      <c r="M311" s="10" t="s">
        <v>0</v>
      </c>
      <c r="N311" s="10" t="s">
        <v>10</v>
      </c>
      <c r="O311" s="9" t="s">
        <v>200</v>
      </c>
      <c r="P311" s="9" t="s">
        <v>0</v>
      </c>
      <c r="Q311" s="30" t="s">
        <v>201</v>
      </c>
      <c r="R311" s="9" t="s">
        <v>202</v>
      </c>
      <c r="S311" s="9" t="s">
        <v>158</v>
      </c>
      <c r="V311" s="10">
        <v>135.15</v>
      </c>
      <c r="W311" s="10"/>
      <c r="X311" s="17">
        <v>44954</v>
      </c>
      <c r="Y311" s="17">
        <v>44954</v>
      </c>
      <c r="Z311" s="19" t="s">
        <v>772</v>
      </c>
      <c r="AA311" s="207">
        <v>41000</v>
      </c>
      <c r="AB311" s="9">
        <v>33</v>
      </c>
      <c r="AC311" s="9">
        <v>32</v>
      </c>
      <c r="AD311" s="17">
        <v>45976</v>
      </c>
      <c r="AE311" s="54">
        <v>1000</v>
      </c>
      <c r="AF311" s="54"/>
      <c r="AG311" s="9" t="s">
        <v>134</v>
      </c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17"/>
      <c r="BA311" s="22"/>
      <c r="BB311" s="22"/>
      <c r="BD311" s="9"/>
      <c r="CS311" s="11">
        <f t="shared" si="25"/>
        <v>0</v>
      </c>
      <c r="CT311" s="22">
        <f t="shared" si="26"/>
        <v>0</v>
      </c>
      <c r="CU311" s="22">
        <f t="shared" si="27"/>
        <v>0</v>
      </c>
      <c r="CV311" s="26">
        <f t="shared" si="28"/>
        <v>1000</v>
      </c>
    </row>
    <row r="312" spans="1:100" x14ac:dyDescent="0.2">
      <c r="A312" s="9" t="s">
        <v>199</v>
      </c>
      <c r="B312" s="2">
        <v>137</v>
      </c>
      <c r="C312" s="3" t="s">
        <v>95</v>
      </c>
      <c r="D312" s="38" t="s">
        <v>96</v>
      </c>
      <c r="E312" s="37"/>
      <c r="F312" s="37"/>
      <c r="G312" s="2" t="s">
        <v>83</v>
      </c>
      <c r="H312" s="2">
        <v>7</v>
      </c>
      <c r="I312" s="20">
        <v>135.15</v>
      </c>
      <c r="J312" s="20">
        <v>41900</v>
      </c>
      <c r="K312" s="3">
        <v>0</v>
      </c>
      <c r="L312" s="3" t="s">
        <v>3</v>
      </c>
      <c r="M312" s="10" t="s">
        <v>0</v>
      </c>
      <c r="N312" s="10" t="s">
        <v>10</v>
      </c>
      <c r="O312" s="9" t="s">
        <v>200</v>
      </c>
      <c r="P312" s="9" t="s">
        <v>0</v>
      </c>
      <c r="Q312" s="30" t="s">
        <v>201</v>
      </c>
      <c r="R312" s="9" t="s">
        <v>202</v>
      </c>
      <c r="S312" s="9" t="s">
        <v>158</v>
      </c>
      <c r="V312" s="10">
        <v>135.15</v>
      </c>
      <c r="W312" s="10"/>
      <c r="X312" s="17">
        <v>44954</v>
      </c>
      <c r="Y312" s="17">
        <v>44954</v>
      </c>
      <c r="Z312" s="19" t="s">
        <v>772</v>
      </c>
      <c r="AA312" s="207">
        <v>41000</v>
      </c>
      <c r="AB312" s="9">
        <v>33</v>
      </c>
      <c r="AC312" s="9">
        <v>33</v>
      </c>
      <c r="AD312" s="17">
        <v>46006</v>
      </c>
      <c r="AE312" s="54">
        <v>940.17</v>
      </c>
      <c r="AF312" s="54"/>
      <c r="AG312" s="9" t="s">
        <v>134</v>
      </c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17"/>
      <c r="BA312" s="22"/>
      <c r="BB312" s="22"/>
      <c r="BD312" s="9"/>
      <c r="CS312" s="11">
        <f t="shared" si="25"/>
        <v>0</v>
      </c>
      <c r="CT312" s="22">
        <f t="shared" si="26"/>
        <v>0</v>
      </c>
      <c r="CU312" s="22">
        <f t="shared" si="27"/>
        <v>0</v>
      </c>
      <c r="CV312" s="26">
        <f t="shared" si="28"/>
        <v>940.17</v>
      </c>
    </row>
    <row r="313" spans="1:100" x14ac:dyDescent="0.2">
      <c r="A313" s="9" t="s">
        <v>217</v>
      </c>
      <c r="B313" s="2">
        <v>138</v>
      </c>
      <c r="C313" s="3" t="s">
        <v>95</v>
      </c>
      <c r="D313" s="47" t="s">
        <v>96</v>
      </c>
      <c r="E313" s="46" t="s">
        <v>72</v>
      </c>
      <c r="F313" s="46">
        <v>11</v>
      </c>
      <c r="G313" s="2" t="s">
        <v>84</v>
      </c>
      <c r="H313" s="2">
        <v>1</v>
      </c>
      <c r="I313" s="20">
        <v>120.2</v>
      </c>
      <c r="J313" s="20">
        <v>37900</v>
      </c>
      <c r="K313" s="3">
        <v>0</v>
      </c>
      <c r="L313" s="3" t="s">
        <v>3</v>
      </c>
      <c r="M313" s="9" t="s">
        <v>0</v>
      </c>
      <c r="N313" s="9" t="s">
        <v>11</v>
      </c>
      <c r="O313" s="9" t="s">
        <v>218</v>
      </c>
      <c r="S313" s="9" t="s">
        <v>158</v>
      </c>
      <c r="V313" s="10">
        <v>120.2</v>
      </c>
      <c r="W313" s="10" t="s">
        <v>710</v>
      </c>
      <c r="X313" s="17">
        <v>44639</v>
      </c>
      <c r="Y313" s="17">
        <v>45570</v>
      </c>
      <c r="Z313" s="19" t="s">
        <v>772</v>
      </c>
      <c r="AA313" s="207">
        <v>32305.03</v>
      </c>
      <c r="AB313" s="9">
        <v>23</v>
      </c>
      <c r="AC313" s="9">
        <v>0</v>
      </c>
      <c r="AD313" s="17">
        <v>44639</v>
      </c>
      <c r="AE313" s="54">
        <v>20000</v>
      </c>
      <c r="AF313" s="54"/>
      <c r="AG313" s="9" t="s">
        <v>134</v>
      </c>
      <c r="AH313" s="127">
        <v>44639</v>
      </c>
      <c r="AI313" s="104">
        <v>40813815</v>
      </c>
      <c r="AJ313" s="22" t="s">
        <v>3000</v>
      </c>
      <c r="AK313" s="22" t="s">
        <v>219</v>
      </c>
      <c r="AL313" s="22">
        <v>20000</v>
      </c>
      <c r="AM313" s="22"/>
      <c r="AN313" s="22" t="s">
        <v>2991</v>
      </c>
      <c r="AO313" s="22"/>
      <c r="AP313" s="127"/>
      <c r="AQ313" s="104"/>
      <c r="AR313" s="22"/>
      <c r="AS313" s="22"/>
      <c r="AT313" s="22"/>
      <c r="AU313" s="22"/>
      <c r="AV313" s="22"/>
      <c r="AW313" s="31">
        <v>44639</v>
      </c>
      <c r="AX313" s="32">
        <v>11431</v>
      </c>
      <c r="AY313" s="9">
        <v>75520</v>
      </c>
      <c r="AZ313" s="9">
        <v>3.7759999999999998</v>
      </c>
      <c r="BA313" s="22">
        <f>+AY313/AZ313</f>
        <v>20000</v>
      </c>
      <c r="BB313" s="22"/>
      <c r="BD313" s="9"/>
      <c r="CS313" s="11">
        <f t="shared" si="25"/>
        <v>20000</v>
      </c>
      <c r="CT313" s="22">
        <f t="shared" si="26"/>
        <v>20000</v>
      </c>
      <c r="CU313" s="22">
        <f t="shared" si="27"/>
        <v>0</v>
      </c>
      <c r="CV313" s="26">
        <f t="shared" si="28"/>
        <v>0</v>
      </c>
    </row>
    <row r="314" spans="1:100" x14ac:dyDescent="0.2">
      <c r="A314" s="9" t="s">
        <v>217</v>
      </c>
      <c r="B314" s="2">
        <v>138</v>
      </c>
      <c r="C314" s="3" t="s">
        <v>95</v>
      </c>
      <c r="D314" s="47" t="s">
        <v>96</v>
      </c>
      <c r="E314" s="46" t="s">
        <v>72</v>
      </c>
      <c r="F314" s="46">
        <v>11</v>
      </c>
      <c r="G314" s="2" t="s">
        <v>84</v>
      </c>
      <c r="H314" s="2">
        <v>1</v>
      </c>
      <c r="I314" s="20">
        <v>120.2</v>
      </c>
      <c r="J314" s="20">
        <v>37900</v>
      </c>
      <c r="K314" s="3">
        <v>0</v>
      </c>
      <c r="L314" s="3" t="s">
        <v>3</v>
      </c>
      <c r="M314" s="9" t="s">
        <v>0</v>
      </c>
      <c r="N314" s="9" t="s">
        <v>11</v>
      </c>
      <c r="O314" s="9" t="s">
        <v>218</v>
      </c>
      <c r="S314" s="9" t="s">
        <v>158</v>
      </c>
      <c r="V314" s="10">
        <v>120.2</v>
      </c>
      <c r="W314" s="10" t="s">
        <v>710</v>
      </c>
      <c r="X314" s="17">
        <v>44639</v>
      </c>
      <c r="Y314" s="17">
        <v>45570</v>
      </c>
      <c r="Z314" s="19" t="s">
        <v>772</v>
      </c>
      <c r="AA314" s="207">
        <v>32305.03</v>
      </c>
      <c r="AB314" s="9">
        <v>23</v>
      </c>
      <c r="AC314" s="9">
        <v>1</v>
      </c>
      <c r="AD314" s="17">
        <v>44681</v>
      </c>
      <c r="AE314" s="54">
        <v>504.58</v>
      </c>
      <c r="AF314" s="54"/>
      <c r="AG314" s="9" t="s">
        <v>134</v>
      </c>
      <c r="AH314" s="127">
        <v>44684</v>
      </c>
      <c r="AI314" s="104">
        <v>40813815</v>
      </c>
      <c r="AJ314" s="22" t="s">
        <v>3000</v>
      </c>
      <c r="AK314" s="22" t="s">
        <v>220</v>
      </c>
      <c r="AL314" s="22">
        <v>504.58</v>
      </c>
      <c r="AM314" s="22"/>
      <c r="AN314" s="22" t="s">
        <v>2992</v>
      </c>
      <c r="AO314" s="22"/>
      <c r="AP314" s="127"/>
      <c r="AQ314" s="104"/>
      <c r="AR314" s="22"/>
      <c r="AS314" s="22"/>
      <c r="AT314" s="22"/>
      <c r="AU314" s="22"/>
      <c r="AV314" s="22"/>
      <c r="AW314" s="31">
        <v>44681</v>
      </c>
      <c r="AX314" s="32">
        <v>602</v>
      </c>
      <c r="BA314" s="22">
        <v>504.58</v>
      </c>
      <c r="BB314" s="22"/>
      <c r="BD314" s="9"/>
      <c r="CS314" s="11">
        <f t="shared" si="25"/>
        <v>504.58</v>
      </c>
      <c r="CT314" s="22">
        <f t="shared" si="26"/>
        <v>504.58</v>
      </c>
      <c r="CU314" s="22">
        <f t="shared" si="27"/>
        <v>0</v>
      </c>
      <c r="CV314" s="26">
        <f t="shared" si="28"/>
        <v>0</v>
      </c>
    </row>
    <row r="315" spans="1:100" x14ac:dyDescent="0.2">
      <c r="A315" s="9" t="s">
        <v>217</v>
      </c>
      <c r="B315" s="2">
        <v>138</v>
      </c>
      <c r="C315" s="3" t="s">
        <v>95</v>
      </c>
      <c r="D315" s="47" t="s">
        <v>96</v>
      </c>
      <c r="E315" s="46" t="s">
        <v>72</v>
      </c>
      <c r="F315" s="46">
        <v>11</v>
      </c>
      <c r="G315" s="2" t="s">
        <v>84</v>
      </c>
      <c r="H315" s="2">
        <v>1</v>
      </c>
      <c r="I315" s="20">
        <v>120.2</v>
      </c>
      <c r="J315" s="20">
        <v>37900</v>
      </c>
      <c r="K315" s="3">
        <v>0</v>
      </c>
      <c r="L315" s="3" t="s">
        <v>3</v>
      </c>
      <c r="M315" s="9" t="s">
        <v>0</v>
      </c>
      <c r="N315" s="9" t="s">
        <v>11</v>
      </c>
      <c r="O315" s="9" t="s">
        <v>218</v>
      </c>
      <c r="S315" s="9" t="s">
        <v>158</v>
      </c>
      <c r="V315" s="10">
        <v>120.2</v>
      </c>
      <c r="W315" s="10" t="s">
        <v>710</v>
      </c>
      <c r="X315" s="17">
        <v>44639</v>
      </c>
      <c r="Y315" s="17">
        <v>45570</v>
      </c>
      <c r="Z315" s="19" t="s">
        <v>772</v>
      </c>
      <c r="AA315" s="207">
        <v>32305.03</v>
      </c>
      <c r="AB315" s="9">
        <v>23</v>
      </c>
      <c r="AC315" s="9">
        <v>2</v>
      </c>
      <c r="AD315" s="17">
        <v>44711</v>
      </c>
      <c r="AE315" s="54">
        <v>504.58</v>
      </c>
      <c r="AF315" s="54"/>
      <c r="AG315" s="9" t="s">
        <v>134</v>
      </c>
      <c r="AH315" s="127">
        <v>44721</v>
      </c>
      <c r="AI315" s="104">
        <v>40813815</v>
      </c>
      <c r="AJ315" s="22" t="s">
        <v>3000</v>
      </c>
      <c r="AK315" s="22" t="s">
        <v>221</v>
      </c>
      <c r="AL315" s="22">
        <v>504.58</v>
      </c>
      <c r="AM315" s="22"/>
      <c r="AN315" s="22" t="s">
        <v>2993</v>
      </c>
      <c r="AO315" s="22"/>
      <c r="AP315" s="127"/>
      <c r="AQ315" s="104"/>
      <c r="AR315" s="22"/>
      <c r="AS315" s="22"/>
      <c r="AT315" s="22"/>
      <c r="AU315" s="22"/>
      <c r="AV315" s="22"/>
      <c r="AW315" s="31">
        <v>44720</v>
      </c>
      <c r="AX315" s="32">
        <v>704</v>
      </c>
      <c r="BA315" s="22">
        <v>504.58</v>
      </c>
      <c r="BB315" s="22"/>
      <c r="BD315" s="9"/>
      <c r="CS315" s="11">
        <f t="shared" si="25"/>
        <v>504.58</v>
      </c>
      <c r="CT315" s="22">
        <f t="shared" si="26"/>
        <v>504.58</v>
      </c>
      <c r="CU315" s="22">
        <f t="shared" si="27"/>
        <v>0</v>
      </c>
      <c r="CV315" s="26">
        <f t="shared" si="28"/>
        <v>0</v>
      </c>
    </row>
    <row r="316" spans="1:100" x14ac:dyDescent="0.2">
      <c r="A316" s="9" t="s">
        <v>217</v>
      </c>
      <c r="B316" s="2">
        <v>138</v>
      </c>
      <c r="C316" s="3" t="s">
        <v>95</v>
      </c>
      <c r="D316" s="47" t="s">
        <v>96</v>
      </c>
      <c r="E316" s="46" t="s">
        <v>72</v>
      </c>
      <c r="F316" s="46">
        <v>11</v>
      </c>
      <c r="G316" s="2" t="s">
        <v>84</v>
      </c>
      <c r="H316" s="2">
        <v>1</v>
      </c>
      <c r="I316" s="20">
        <v>120.2</v>
      </c>
      <c r="J316" s="20">
        <v>37900</v>
      </c>
      <c r="K316" s="3">
        <v>0</v>
      </c>
      <c r="L316" s="3" t="s">
        <v>3</v>
      </c>
      <c r="M316" s="9" t="s">
        <v>0</v>
      </c>
      <c r="N316" s="9" t="s">
        <v>11</v>
      </c>
      <c r="O316" s="9" t="s">
        <v>218</v>
      </c>
      <c r="S316" s="9" t="s">
        <v>158</v>
      </c>
      <c r="V316" s="10">
        <v>120.2</v>
      </c>
      <c r="W316" s="10" t="s">
        <v>710</v>
      </c>
      <c r="X316" s="17">
        <v>44639</v>
      </c>
      <c r="Y316" s="17">
        <v>45570</v>
      </c>
      <c r="Z316" s="19" t="s">
        <v>772</v>
      </c>
      <c r="AA316" s="207">
        <v>32305.03</v>
      </c>
      <c r="AB316" s="9">
        <v>23</v>
      </c>
      <c r="AC316" s="9">
        <v>3</v>
      </c>
      <c r="AD316" s="17">
        <v>44742</v>
      </c>
      <c r="AE316" s="54">
        <v>504.58</v>
      </c>
      <c r="AF316" s="54"/>
      <c r="AG316" s="9" t="s">
        <v>134</v>
      </c>
      <c r="AH316" s="127">
        <v>44743</v>
      </c>
      <c r="AI316" s="104">
        <v>40813815</v>
      </c>
      <c r="AJ316" s="22" t="s">
        <v>3000</v>
      </c>
      <c r="AK316" s="22" t="s">
        <v>222</v>
      </c>
      <c r="AL316" s="22">
        <v>504.58</v>
      </c>
      <c r="AM316" s="22"/>
      <c r="AN316" s="22" t="s">
        <v>2994</v>
      </c>
      <c r="AO316" s="22"/>
      <c r="AP316" s="127"/>
      <c r="AQ316" s="104"/>
      <c r="AR316" s="22"/>
      <c r="AS316" s="22"/>
      <c r="AT316" s="22"/>
      <c r="AU316" s="22"/>
      <c r="AV316" s="22"/>
      <c r="AW316" s="31">
        <v>44743</v>
      </c>
      <c r="AX316" s="32">
        <v>748</v>
      </c>
      <c r="BA316" s="22">
        <v>504.58</v>
      </c>
      <c r="BB316" s="22"/>
      <c r="BD316" s="9"/>
      <c r="CS316" s="11">
        <f t="shared" si="25"/>
        <v>504.58</v>
      </c>
      <c r="CT316" s="22">
        <f t="shared" si="26"/>
        <v>504.58</v>
      </c>
      <c r="CU316" s="22">
        <f t="shared" si="27"/>
        <v>0</v>
      </c>
      <c r="CV316" s="26">
        <f t="shared" si="28"/>
        <v>0</v>
      </c>
    </row>
    <row r="317" spans="1:100" x14ac:dyDescent="0.2">
      <c r="A317" s="9" t="s">
        <v>217</v>
      </c>
      <c r="B317" s="2">
        <v>138</v>
      </c>
      <c r="C317" s="3" t="s">
        <v>95</v>
      </c>
      <c r="D317" s="47" t="s">
        <v>96</v>
      </c>
      <c r="E317" s="46" t="s">
        <v>72</v>
      </c>
      <c r="F317" s="46">
        <v>11</v>
      </c>
      <c r="G317" s="2" t="s">
        <v>84</v>
      </c>
      <c r="H317" s="2">
        <v>1</v>
      </c>
      <c r="I317" s="20">
        <v>120.2</v>
      </c>
      <c r="J317" s="20">
        <v>37900</v>
      </c>
      <c r="K317" s="3">
        <v>0</v>
      </c>
      <c r="L317" s="3" t="s">
        <v>3</v>
      </c>
      <c r="M317" s="9" t="s">
        <v>0</v>
      </c>
      <c r="N317" s="9" t="s">
        <v>11</v>
      </c>
      <c r="O317" s="9" t="s">
        <v>218</v>
      </c>
      <c r="S317" s="9" t="s">
        <v>158</v>
      </c>
      <c r="V317" s="10">
        <v>120.2</v>
      </c>
      <c r="W317" s="10" t="s">
        <v>710</v>
      </c>
      <c r="X317" s="17">
        <v>44639</v>
      </c>
      <c r="Y317" s="17">
        <v>45570</v>
      </c>
      <c r="Z317" s="19" t="s">
        <v>772</v>
      </c>
      <c r="AA317" s="207">
        <v>32305.03</v>
      </c>
      <c r="AB317" s="9">
        <v>23</v>
      </c>
      <c r="AC317" s="9">
        <v>4</v>
      </c>
      <c r="AD317" s="17">
        <v>44772</v>
      </c>
      <c r="AE317" s="54">
        <v>504.58</v>
      </c>
      <c r="AF317" s="54"/>
      <c r="AG317" s="9" t="s">
        <v>134</v>
      </c>
      <c r="AH317" s="127">
        <v>44776</v>
      </c>
      <c r="AI317" s="104">
        <v>40813815</v>
      </c>
      <c r="AJ317" s="22" t="s">
        <v>3000</v>
      </c>
      <c r="AK317" s="22" t="s">
        <v>223</v>
      </c>
      <c r="AL317" s="22">
        <v>504.58</v>
      </c>
      <c r="AM317" s="22"/>
      <c r="AN317" s="22" t="s">
        <v>2996</v>
      </c>
      <c r="AO317" s="22"/>
      <c r="AP317" s="127"/>
      <c r="AQ317" s="104"/>
      <c r="AR317" s="22"/>
      <c r="AS317" s="22"/>
      <c r="AT317" s="22"/>
      <c r="AU317" s="22"/>
      <c r="AV317" s="22"/>
      <c r="AW317" s="31">
        <v>44774</v>
      </c>
      <c r="AX317" s="32">
        <v>827</v>
      </c>
      <c r="BA317" s="22">
        <v>504.58</v>
      </c>
      <c r="BB317" s="22"/>
      <c r="BD317" s="9"/>
      <c r="CS317" s="11">
        <f t="shared" si="25"/>
        <v>504.58</v>
      </c>
      <c r="CT317" s="22">
        <f t="shared" si="26"/>
        <v>504.58</v>
      </c>
      <c r="CU317" s="22">
        <f t="shared" si="27"/>
        <v>0</v>
      </c>
      <c r="CV317" s="26">
        <f t="shared" si="28"/>
        <v>0</v>
      </c>
    </row>
    <row r="318" spans="1:100" x14ac:dyDescent="0.2">
      <c r="A318" s="9" t="s">
        <v>217</v>
      </c>
      <c r="B318" s="2">
        <v>138</v>
      </c>
      <c r="C318" s="3" t="s">
        <v>95</v>
      </c>
      <c r="D318" s="47" t="s">
        <v>96</v>
      </c>
      <c r="E318" s="46" t="s">
        <v>72</v>
      </c>
      <c r="F318" s="46">
        <v>11</v>
      </c>
      <c r="G318" s="2" t="s">
        <v>84</v>
      </c>
      <c r="H318" s="2">
        <v>1</v>
      </c>
      <c r="I318" s="20">
        <v>120.2</v>
      </c>
      <c r="J318" s="20">
        <v>37900</v>
      </c>
      <c r="K318" s="3">
        <v>0</v>
      </c>
      <c r="L318" s="3" t="s">
        <v>3</v>
      </c>
      <c r="M318" s="9" t="s">
        <v>0</v>
      </c>
      <c r="N318" s="9">
        <v>40813815</v>
      </c>
      <c r="O318" s="9" t="s">
        <v>218</v>
      </c>
      <c r="S318" s="9" t="s">
        <v>158</v>
      </c>
      <c r="V318" s="10">
        <v>120.2</v>
      </c>
      <c r="W318" s="10" t="s">
        <v>710</v>
      </c>
      <c r="X318" s="17">
        <v>44639</v>
      </c>
      <c r="Y318" s="17">
        <v>45570</v>
      </c>
      <c r="Z318" s="19" t="s">
        <v>772</v>
      </c>
      <c r="AA318" s="207">
        <v>32305.03</v>
      </c>
      <c r="AB318" s="9">
        <v>23</v>
      </c>
      <c r="AC318" s="9">
        <v>5</v>
      </c>
      <c r="AD318" s="17">
        <v>44803</v>
      </c>
      <c r="AE318" s="54">
        <v>504.58</v>
      </c>
      <c r="AF318" s="54"/>
      <c r="AG318" s="9" t="s">
        <v>134</v>
      </c>
      <c r="AH318" s="127">
        <v>44814</v>
      </c>
      <c r="AI318" s="104">
        <v>40813815</v>
      </c>
      <c r="AJ318" s="22" t="s">
        <v>3000</v>
      </c>
      <c r="AK318" s="22" t="s">
        <v>224</v>
      </c>
      <c r="AL318" s="22">
        <v>504.58</v>
      </c>
      <c r="AM318" s="22"/>
      <c r="AN318" s="22" t="s">
        <v>2997</v>
      </c>
      <c r="AO318" s="22"/>
      <c r="AP318" s="127"/>
      <c r="AQ318" s="104"/>
      <c r="AR318" s="22"/>
      <c r="AS318" s="22"/>
      <c r="AT318" s="22"/>
      <c r="AU318" s="22"/>
      <c r="AV318" s="22"/>
      <c r="AW318" s="31">
        <v>44813</v>
      </c>
      <c r="AX318" s="32">
        <v>932</v>
      </c>
      <c r="BA318" s="22">
        <v>504.58</v>
      </c>
      <c r="BB318" s="22"/>
      <c r="BD318" s="9"/>
      <c r="CS318" s="11">
        <f t="shared" si="25"/>
        <v>504.58</v>
      </c>
      <c r="CT318" s="22">
        <f t="shared" si="26"/>
        <v>504.58</v>
      </c>
      <c r="CU318" s="22">
        <f t="shared" si="27"/>
        <v>0</v>
      </c>
      <c r="CV318" s="26">
        <f t="shared" si="28"/>
        <v>0</v>
      </c>
    </row>
    <row r="319" spans="1:100" x14ac:dyDescent="0.2">
      <c r="A319" s="9" t="s">
        <v>217</v>
      </c>
      <c r="B319" s="2">
        <v>138</v>
      </c>
      <c r="C319" s="3" t="s">
        <v>95</v>
      </c>
      <c r="D319" s="47" t="s">
        <v>96</v>
      </c>
      <c r="E319" s="46" t="s">
        <v>72</v>
      </c>
      <c r="F319" s="46">
        <v>11</v>
      </c>
      <c r="G319" s="2" t="s">
        <v>84</v>
      </c>
      <c r="H319" s="2">
        <v>1</v>
      </c>
      <c r="I319" s="20">
        <v>120.2</v>
      </c>
      <c r="J319" s="20">
        <v>37900</v>
      </c>
      <c r="K319" s="3">
        <v>0</v>
      </c>
      <c r="L319" s="3" t="s">
        <v>3</v>
      </c>
      <c r="M319" s="9" t="s">
        <v>0</v>
      </c>
      <c r="N319" s="9" t="s">
        <v>11</v>
      </c>
      <c r="O319" s="9" t="s">
        <v>218</v>
      </c>
      <c r="S319" s="9" t="s">
        <v>158</v>
      </c>
      <c r="V319" s="10">
        <v>120.2</v>
      </c>
      <c r="W319" s="10" t="s">
        <v>710</v>
      </c>
      <c r="X319" s="17">
        <v>44639</v>
      </c>
      <c r="Y319" s="17">
        <v>45570</v>
      </c>
      <c r="Z319" s="19" t="s">
        <v>772</v>
      </c>
      <c r="AA319" s="207">
        <v>32305.03</v>
      </c>
      <c r="AB319" s="9">
        <v>23</v>
      </c>
      <c r="AC319" s="9">
        <v>6</v>
      </c>
      <c r="AD319" s="17">
        <v>44925</v>
      </c>
      <c r="AE319" s="54">
        <v>756.87</v>
      </c>
      <c r="AF319" s="54"/>
      <c r="AG319" s="9" t="s">
        <v>134</v>
      </c>
      <c r="AH319" s="127">
        <v>44925</v>
      </c>
      <c r="AI319" s="104">
        <v>40813815</v>
      </c>
      <c r="AJ319" s="22" t="s">
        <v>3000</v>
      </c>
      <c r="AK319" s="22" t="s">
        <v>225</v>
      </c>
      <c r="AL319" s="22">
        <v>756.87</v>
      </c>
      <c r="AM319" s="22"/>
      <c r="AN319" s="22" t="s">
        <v>2998</v>
      </c>
      <c r="AO319" s="22"/>
      <c r="AP319" s="127"/>
      <c r="AQ319" s="104"/>
      <c r="AR319" s="22"/>
      <c r="AS319" s="22"/>
      <c r="AT319" s="22"/>
      <c r="AU319" s="22"/>
      <c r="AV319" s="22"/>
      <c r="AW319" s="31">
        <v>44925</v>
      </c>
      <c r="AX319" s="32">
        <v>1127</v>
      </c>
      <c r="BA319" s="22">
        <v>756.87</v>
      </c>
      <c r="BB319" s="22"/>
      <c r="BD319" s="9"/>
      <c r="CS319" s="11">
        <f t="shared" si="25"/>
        <v>756.87</v>
      </c>
      <c r="CT319" s="22">
        <f t="shared" si="26"/>
        <v>756.87</v>
      </c>
      <c r="CU319" s="22">
        <f t="shared" si="27"/>
        <v>0</v>
      </c>
      <c r="CV319" s="26">
        <f t="shared" si="28"/>
        <v>0</v>
      </c>
    </row>
    <row r="320" spans="1:100" x14ac:dyDescent="0.2">
      <c r="A320" s="9" t="s">
        <v>217</v>
      </c>
      <c r="B320" s="2">
        <v>138</v>
      </c>
      <c r="C320" s="3" t="s">
        <v>95</v>
      </c>
      <c r="D320" s="47" t="s">
        <v>96</v>
      </c>
      <c r="E320" s="46" t="s">
        <v>72</v>
      </c>
      <c r="F320" s="46">
        <v>11</v>
      </c>
      <c r="G320" s="2" t="s">
        <v>84</v>
      </c>
      <c r="H320" s="2">
        <v>1</v>
      </c>
      <c r="I320" s="20">
        <v>120.2</v>
      </c>
      <c r="J320" s="20">
        <v>37900</v>
      </c>
      <c r="K320" s="3">
        <v>0</v>
      </c>
      <c r="L320" s="3" t="s">
        <v>3</v>
      </c>
      <c r="M320" s="9" t="s">
        <v>0</v>
      </c>
      <c r="N320" s="9" t="s">
        <v>11</v>
      </c>
      <c r="O320" s="9" t="s">
        <v>218</v>
      </c>
      <c r="S320" s="9" t="s">
        <v>158</v>
      </c>
      <c r="V320" s="10">
        <v>120.2</v>
      </c>
      <c r="W320" s="10" t="s">
        <v>710</v>
      </c>
      <c r="X320" s="17">
        <v>44639</v>
      </c>
      <c r="Y320" s="17">
        <v>45570</v>
      </c>
      <c r="Z320" s="19" t="s">
        <v>772</v>
      </c>
      <c r="AA320" s="207">
        <v>32305.03</v>
      </c>
      <c r="AB320" s="9">
        <v>23</v>
      </c>
      <c r="AC320" s="9">
        <v>7</v>
      </c>
      <c r="AD320" s="17">
        <v>44956</v>
      </c>
      <c r="AE320" s="54">
        <v>756.87</v>
      </c>
      <c r="AF320" s="54"/>
      <c r="AG320" s="9" t="s">
        <v>134</v>
      </c>
      <c r="AH320" s="17">
        <v>44959</v>
      </c>
      <c r="AI320" s="104">
        <v>40813815</v>
      </c>
      <c r="AJ320" s="22" t="s">
        <v>3000</v>
      </c>
      <c r="AK320" s="9" t="s">
        <v>226</v>
      </c>
      <c r="AL320" s="22">
        <v>756.87</v>
      </c>
      <c r="AM320" s="22"/>
      <c r="AN320" s="22" t="s">
        <v>3001</v>
      </c>
      <c r="AO320" s="22"/>
      <c r="AP320" s="9"/>
      <c r="AQ320" s="9"/>
      <c r="AR320" s="9"/>
      <c r="AS320" s="9"/>
      <c r="AT320" s="9"/>
      <c r="AU320" s="9"/>
      <c r="AV320" s="9"/>
      <c r="AW320" s="31">
        <v>44959</v>
      </c>
      <c r="AX320" s="32">
        <v>1197</v>
      </c>
      <c r="BA320" s="22">
        <v>756.87</v>
      </c>
      <c r="BB320" s="22"/>
      <c r="BD320" s="9"/>
      <c r="CS320" s="11">
        <f t="shared" si="25"/>
        <v>756.87</v>
      </c>
      <c r="CT320" s="22">
        <f t="shared" si="26"/>
        <v>756.87</v>
      </c>
      <c r="CU320" s="22">
        <f t="shared" si="27"/>
        <v>0</v>
      </c>
      <c r="CV320" s="26">
        <f t="shared" si="28"/>
        <v>0</v>
      </c>
    </row>
    <row r="321" spans="1:100" x14ac:dyDescent="0.2">
      <c r="A321" s="9" t="s">
        <v>217</v>
      </c>
      <c r="B321" s="2">
        <v>138</v>
      </c>
      <c r="C321" s="3" t="s">
        <v>95</v>
      </c>
      <c r="D321" s="47" t="s">
        <v>96</v>
      </c>
      <c r="E321" s="46" t="s">
        <v>72</v>
      </c>
      <c r="F321" s="46">
        <v>11</v>
      </c>
      <c r="G321" s="2" t="s">
        <v>84</v>
      </c>
      <c r="H321" s="2">
        <v>1</v>
      </c>
      <c r="I321" s="20">
        <v>120.2</v>
      </c>
      <c r="J321" s="20">
        <v>37900</v>
      </c>
      <c r="K321" s="3">
        <v>0</v>
      </c>
      <c r="L321" s="3" t="s">
        <v>3</v>
      </c>
      <c r="M321" s="9" t="s">
        <v>0</v>
      </c>
      <c r="N321" s="9" t="s">
        <v>11</v>
      </c>
      <c r="O321" s="9" t="s">
        <v>218</v>
      </c>
      <c r="S321" s="9" t="s">
        <v>158</v>
      </c>
      <c r="V321" s="10">
        <v>120.2</v>
      </c>
      <c r="W321" s="10" t="s">
        <v>710</v>
      </c>
      <c r="X321" s="17">
        <v>44639</v>
      </c>
      <c r="Y321" s="17">
        <v>45570</v>
      </c>
      <c r="Z321" s="19" t="s">
        <v>772</v>
      </c>
      <c r="AA321" s="207">
        <v>32305.03</v>
      </c>
      <c r="AB321" s="9">
        <v>23</v>
      </c>
      <c r="AC321" s="9">
        <v>8</v>
      </c>
      <c r="AD321" s="17">
        <v>44985</v>
      </c>
      <c r="AE321" s="54">
        <v>516.46</v>
      </c>
      <c r="AF321" s="54"/>
      <c r="AG321" s="9" t="s">
        <v>134</v>
      </c>
      <c r="AH321" s="17">
        <v>44992</v>
      </c>
      <c r="AI321" s="104">
        <v>40813815</v>
      </c>
      <c r="AJ321" s="22" t="s">
        <v>3000</v>
      </c>
      <c r="AK321" s="9" t="s">
        <v>227</v>
      </c>
      <c r="AL321" s="22">
        <v>516.47</v>
      </c>
      <c r="AM321" s="22"/>
      <c r="AN321" s="22" t="s">
        <v>3002</v>
      </c>
      <c r="AO321" s="22"/>
      <c r="AP321" s="22"/>
      <c r="AQ321" s="22"/>
      <c r="AR321" s="22"/>
      <c r="AS321" s="22"/>
      <c r="AT321" s="22"/>
      <c r="AU321" s="22"/>
      <c r="AV321" s="22"/>
      <c r="AW321" s="31">
        <v>44989</v>
      </c>
      <c r="AX321" s="32">
        <v>1297</v>
      </c>
      <c r="BA321" s="22">
        <v>516.47</v>
      </c>
      <c r="BB321" s="22"/>
      <c r="BD321" s="9"/>
      <c r="CS321" s="11">
        <f t="shared" si="25"/>
        <v>516.47</v>
      </c>
      <c r="CT321" s="22">
        <f t="shared" si="26"/>
        <v>516.47</v>
      </c>
      <c r="CU321" s="22">
        <f t="shared" si="27"/>
        <v>0</v>
      </c>
      <c r="CV321" s="26">
        <f t="shared" si="28"/>
        <v>-9.9999999999909051E-3</v>
      </c>
    </row>
    <row r="322" spans="1:100" x14ac:dyDescent="0.2">
      <c r="A322" s="9" t="s">
        <v>217</v>
      </c>
      <c r="B322" s="2">
        <v>138</v>
      </c>
      <c r="C322" s="3" t="s">
        <v>95</v>
      </c>
      <c r="D322" s="47" t="s">
        <v>96</v>
      </c>
      <c r="E322" s="46" t="s">
        <v>72</v>
      </c>
      <c r="F322" s="46">
        <v>11</v>
      </c>
      <c r="G322" s="2" t="s">
        <v>84</v>
      </c>
      <c r="H322" s="2">
        <v>1</v>
      </c>
      <c r="I322" s="20">
        <v>120.2</v>
      </c>
      <c r="J322" s="20">
        <v>37900</v>
      </c>
      <c r="K322" s="3">
        <v>0</v>
      </c>
      <c r="L322" s="3" t="s">
        <v>3</v>
      </c>
      <c r="M322" s="9" t="s">
        <v>0</v>
      </c>
      <c r="N322" s="9" t="s">
        <v>11</v>
      </c>
      <c r="O322" s="9" t="s">
        <v>218</v>
      </c>
      <c r="S322" s="9" t="s">
        <v>158</v>
      </c>
      <c r="V322" s="10">
        <v>120.2</v>
      </c>
      <c r="W322" s="10" t="s">
        <v>710</v>
      </c>
      <c r="X322" s="17">
        <v>44639</v>
      </c>
      <c r="Y322" s="17">
        <v>45570</v>
      </c>
      <c r="Z322" s="19" t="s">
        <v>772</v>
      </c>
      <c r="AA322" s="207">
        <v>32305.03</v>
      </c>
      <c r="AB322" s="9">
        <v>23</v>
      </c>
      <c r="AC322" s="9">
        <v>9</v>
      </c>
      <c r="AD322" s="17">
        <v>45015</v>
      </c>
      <c r="AE322" s="54">
        <v>516.46</v>
      </c>
      <c r="AF322" s="54"/>
      <c r="AG322" s="9" t="s">
        <v>134</v>
      </c>
      <c r="AH322" s="17">
        <v>45026</v>
      </c>
      <c r="AI322" s="104">
        <v>40813815</v>
      </c>
      <c r="AJ322" s="22" t="s">
        <v>3000</v>
      </c>
      <c r="AK322" s="9" t="s">
        <v>3011</v>
      </c>
      <c r="AL322" s="22">
        <v>516</v>
      </c>
      <c r="AM322" s="22"/>
      <c r="AN322" s="22" t="s">
        <v>3003</v>
      </c>
      <c r="AO322" s="22"/>
      <c r="AP322" s="22"/>
      <c r="AQ322" s="22"/>
      <c r="AR322" s="22"/>
      <c r="AS322" s="22"/>
      <c r="AT322" s="22"/>
      <c r="AU322" s="22"/>
      <c r="AV322" s="22"/>
      <c r="AW322" s="31">
        <v>45022</v>
      </c>
      <c r="AX322" s="32">
        <v>1389</v>
      </c>
      <c r="BA322" s="22">
        <v>516</v>
      </c>
      <c r="BB322" s="22"/>
      <c r="BD322" s="9"/>
      <c r="CS322" s="11">
        <f t="shared" si="25"/>
        <v>516</v>
      </c>
      <c r="CT322" s="22">
        <f t="shared" si="26"/>
        <v>516</v>
      </c>
      <c r="CU322" s="22">
        <f t="shared" si="27"/>
        <v>0</v>
      </c>
      <c r="CV322" s="26">
        <f t="shared" si="28"/>
        <v>0.46000000000003638</v>
      </c>
    </row>
    <row r="323" spans="1:100" x14ac:dyDescent="0.2">
      <c r="A323" s="9" t="s">
        <v>217</v>
      </c>
      <c r="B323" s="2">
        <v>138</v>
      </c>
      <c r="C323" s="3" t="s">
        <v>95</v>
      </c>
      <c r="D323" s="47" t="s">
        <v>96</v>
      </c>
      <c r="E323" s="46" t="s">
        <v>72</v>
      </c>
      <c r="F323" s="46">
        <v>11</v>
      </c>
      <c r="G323" s="2" t="s">
        <v>84</v>
      </c>
      <c r="H323" s="2">
        <v>1</v>
      </c>
      <c r="I323" s="20">
        <v>120.2</v>
      </c>
      <c r="J323" s="20">
        <v>37900</v>
      </c>
      <c r="K323" s="3">
        <v>0</v>
      </c>
      <c r="L323" s="3" t="s">
        <v>3</v>
      </c>
      <c r="M323" s="9" t="s">
        <v>0</v>
      </c>
      <c r="N323" s="9" t="s">
        <v>11</v>
      </c>
      <c r="O323" s="9" t="s">
        <v>218</v>
      </c>
      <c r="S323" s="9" t="s">
        <v>158</v>
      </c>
      <c r="V323" s="10">
        <v>120.2</v>
      </c>
      <c r="W323" s="10" t="s">
        <v>710</v>
      </c>
      <c r="X323" s="17">
        <v>44639</v>
      </c>
      <c r="Y323" s="17">
        <v>45570</v>
      </c>
      <c r="Z323" s="19" t="s">
        <v>772</v>
      </c>
      <c r="AA323" s="207">
        <v>32305.03</v>
      </c>
      <c r="AB323" s="9">
        <v>23</v>
      </c>
      <c r="AC323" s="9">
        <v>10</v>
      </c>
      <c r="AD323" s="17">
        <v>45046</v>
      </c>
      <c r="AE323" s="54">
        <v>516.46</v>
      </c>
      <c r="AF323" s="54"/>
      <c r="AG323" s="9" t="s">
        <v>134</v>
      </c>
      <c r="AH323" s="17">
        <v>45070</v>
      </c>
      <c r="AI323" s="104">
        <v>40813815</v>
      </c>
      <c r="AJ323" s="22" t="s">
        <v>3000</v>
      </c>
      <c r="AK323" s="9" t="s">
        <v>3012</v>
      </c>
      <c r="AL323" s="22">
        <v>516</v>
      </c>
      <c r="AM323" s="22"/>
      <c r="AN323" s="22" t="s">
        <v>3004</v>
      </c>
      <c r="AO323" s="22"/>
      <c r="AP323" s="22"/>
      <c r="AQ323" s="22"/>
      <c r="AR323" s="22"/>
      <c r="AS323" s="22"/>
      <c r="AT323" s="22"/>
      <c r="AU323" s="22"/>
      <c r="AV323" s="22"/>
      <c r="AW323" s="31">
        <v>45050</v>
      </c>
      <c r="AX323" s="32">
        <v>1480</v>
      </c>
      <c r="BA323" s="22">
        <v>516</v>
      </c>
      <c r="BB323" s="22"/>
      <c r="BD323" s="9"/>
      <c r="CS323" s="11">
        <f t="shared" si="25"/>
        <v>516</v>
      </c>
      <c r="CT323" s="22">
        <f t="shared" si="26"/>
        <v>516</v>
      </c>
      <c r="CU323" s="22">
        <f t="shared" si="27"/>
        <v>0</v>
      </c>
      <c r="CV323" s="26">
        <f t="shared" si="28"/>
        <v>0.46000000000003638</v>
      </c>
    </row>
    <row r="324" spans="1:100" x14ac:dyDescent="0.2">
      <c r="A324" s="9" t="s">
        <v>217</v>
      </c>
      <c r="B324" s="2">
        <v>138</v>
      </c>
      <c r="C324" s="3" t="s">
        <v>95</v>
      </c>
      <c r="D324" s="47" t="s">
        <v>96</v>
      </c>
      <c r="E324" s="46" t="s">
        <v>72</v>
      </c>
      <c r="F324" s="46">
        <v>11</v>
      </c>
      <c r="G324" s="2" t="s">
        <v>84</v>
      </c>
      <c r="H324" s="2">
        <v>1</v>
      </c>
      <c r="I324" s="20">
        <v>120.2</v>
      </c>
      <c r="J324" s="20">
        <v>37900</v>
      </c>
      <c r="K324" s="3">
        <v>0</v>
      </c>
      <c r="L324" s="3" t="s">
        <v>3</v>
      </c>
      <c r="M324" s="9" t="s">
        <v>0</v>
      </c>
      <c r="N324" s="9" t="s">
        <v>11</v>
      </c>
      <c r="O324" s="9" t="s">
        <v>218</v>
      </c>
      <c r="S324" s="9" t="s">
        <v>158</v>
      </c>
      <c r="V324" s="10">
        <v>120.2</v>
      </c>
      <c r="W324" s="10" t="s">
        <v>710</v>
      </c>
      <c r="X324" s="17">
        <v>44639</v>
      </c>
      <c r="Y324" s="17">
        <v>45570</v>
      </c>
      <c r="Z324" s="19" t="s">
        <v>772</v>
      </c>
      <c r="AA324" s="207">
        <v>32305.03</v>
      </c>
      <c r="AB324" s="9">
        <v>23</v>
      </c>
      <c r="AC324" s="9">
        <v>11</v>
      </c>
      <c r="AD324" s="17">
        <v>45074</v>
      </c>
      <c r="AE324" s="54">
        <v>516.46</v>
      </c>
      <c r="AF324" s="54"/>
      <c r="AG324" s="9" t="s">
        <v>134</v>
      </c>
      <c r="AH324" s="17">
        <v>45084</v>
      </c>
      <c r="AI324" s="104">
        <v>40813815</v>
      </c>
      <c r="AJ324" s="22" t="s">
        <v>3000</v>
      </c>
      <c r="AK324" s="9" t="s">
        <v>3013</v>
      </c>
      <c r="AL324" s="22">
        <v>516.46</v>
      </c>
      <c r="AM324" s="22"/>
      <c r="AN324" s="22" t="s">
        <v>3005</v>
      </c>
      <c r="AO324" s="22"/>
      <c r="AP324" s="22"/>
      <c r="AQ324" s="22"/>
      <c r="AR324" s="22"/>
      <c r="AS324" s="22"/>
      <c r="AT324" s="22"/>
      <c r="AU324" s="22"/>
      <c r="AV324" s="22"/>
      <c r="AW324" s="31">
        <v>45083</v>
      </c>
      <c r="AX324" s="32">
        <v>1599</v>
      </c>
      <c r="BA324" s="22">
        <v>516.46</v>
      </c>
      <c r="BB324" s="22"/>
      <c r="BD324" s="9"/>
      <c r="CS324" s="11">
        <f t="shared" si="25"/>
        <v>516.46</v>
      </c>
      <c r="CT324" s="22">
        <f t="shared" si="26"/>
        <v>516.46</v>
      </c>
      <c r="CU324" s="22">
        <f t="shared" si="27"/>
        <v>0</v>
      </c>
      <c r="CV324" s="26">
        <f t="shared" si="28"/>
        <v>0</v>
      </c>
    </row>
    <row r="325" spans="1:100" x14ac:dyDescent="0.2">
      <c r="A325" s="9" t="s">
        <v>217</v>
      </c>
      <c r="B325" s="2">
        <v>138</v>
      </c>
      <c r="C325" s="3" t="s">
        <v>95</v>
      </c>
      <c r="D325" s="47" t="s">
        <v>96</v>
      </c>
      <c r="E325" s="46" t="s">
        <v>72</v>
      </c>
      <c r="F325" s="46">
        <v>11</v>
      </c>
      <c r="G325" s="2" t="s">
        <v>84</v>
      </c>
      <c r="H325" s="2">
        <v>1</v>
      </c>
      <c r="I325" s="20">
        <v>120.2</v>
      </c>
      <c r="J325" s="20">
        <v>37900</v>
      </c>
      <c r="K325" s="3">
        <v>0</v>
      </c>
      <c r="L325" s="3" t="s">
        <v>3</v>
      </c>
      <c r="M325" s="9" t="s">
        <v>0</v>
      </c>
      <c r="N325" s="9" t="s">
        <v>11</v>
      </c>
      <c r="O325" s="9" t="s">
        <v>218</v>
      </c>
      <c r="S325" s="9" t="s">
        <v>158</v>
      </c>
      <c r="V325" s="10">
        <v>120.2</v>
      </c>
      <c r="W325" s="10" t="s">
        <v>710</v>
      </c>
      <c r="X325" s="17">
        <v>44639</v>
      </c>
      <c r="Y325" s="17">
        <v>45570</v>
      </c>
      <c r="Z325" s="19" t="s">
        <v>772</v>
      </c>
      <c r="AA325" s="207">
        <v>32305.03</v>
      </c>
      <c r="AB325" s="9">
        <v>23</v>
      </c>
      <c r="AC325" s="9">
        <v>12</v>
      </c>
      <c r="AD325" s="17">
        <v>45107</v>
      </c>
      <c r="AE325" s="54">
        <v>516.46</v>
      </c>
      <c r="AF325" s="54"/>
      <c r="AG325" s="9" t="s">
        <v>134</v>
      </c>
      <c r="AH325" s="17">
        <v>45117</v>
      </c>
      <c r="AI325" s="104">
        <v>40813815</v>
      </c>
      <c r="AJ325" s="22" t="s">
        <v>3000</v>
      </c>
      <c r="AK325" s="9" t="s">
        <v>3014</v>
      </c>
      <c r="AL325" s="22">
        <v>516.46</v>
      </c>
      <c r="AM325" s="22"/>
      <c r="AN325" s="22" t="s">
        <v>3006</v>
      </c>
      <c r="AO325" s="22"/>
      <c r="AP325" s="22"/>
      <c r="AQ325" s="22"/>
      <c r="AR325" s="22"/>
      <c r="AS325" s="22"/>
      <c r="AT325" s="22"/>
      <c r="AU325" s="22"/>
      <c r="AV325" s="22"/>
      <c r="AW325" s="31">
        <v>45113</v>
      </c>
      <c r="AX325" s="32">
        <v>1677</v>
      </c>
      <c r="BA325" s="22">
        <v>516.46</v>
      </c>
      <c r="BB325" s="22"/>
      <c r="BD325" s="9"/>
      <c r="CS325" s="11">
        <f t="shared" si="25"/>
        <v>516.46</v>
      </c>
      <c r="CT325" s="22">
        <f t="shared" si="26"/>
        <v>516.46</v>
      </c>
      <c r="CU325" s="22">
        <f t="shared" si="27"/>
        <v>0</v>
      </c>
      <c r="CV325" s="26">
        <f t="shared" si="28"/>
        <v>0</v>
      </c>
    </row>
    <row r="326" spans="1:100" x14ac:dyDescent="0.2">
      <c r="A326" s="9" t="s">
        <v>217</v>
      </c>
      <c r="B326" s="2">
        <v>138</v>
      </c>
      <c r="C326" s="3" t="s">
        <v>95</v>
      </c>
      <c r="D326" s="47" t="s">
        <v>96</v>
      </c>
      <c r="E326" s="46" t="s">
        <v>72</v>
      </c>
      <c r="F326" s="46">
        <v>11</v>
      </c>
      <c r="G326" s="2" t="s">
        <v>84</v>
      </c>
      <c r="H326" s="2">
        <v>1</v>
      </c>
      <c r="I326" s="20">
        <v>120.2</v>
      </c>
      <c r="J326" s="20">
        <v>37900</v>
      </c>
      <c r="K326" s="3">
        <v>0</v>
      </c>
      <c r="L326" s="3" t="s">
        <v>3</v>
      </c>
      <c r="M326" s="9" t="s">
        <v>0</v>
      </c>
      <c r="N326" s="9" t="s">
        <v>11</v>
      </c>
      <c r="O326" s="9" t="s">
        <v>218</v>
      </c>
      <c r="S326" s="9" t="s">
        <v>158</v>
      </c>
      <c r="V326" s="10">
        <v>120.2</v>
      </c>
      <c r="W326" s="10" t="s">
        <v>710</v>
      </c>
      <c r="X326" s="17">
        <v>44639</v>
      </c>
      <c r="Y326" s="17">
        <v>45570</v>
      </c>
      <c r="Z326" s="19" t="s">
        <v>772</v>
      </c>
      <c r="AA326" s="207">
        <v>32305.03</v>
      </c>
      <c r="AB326" s="9">
        <v>23</v>
      </c>
      <c r="AC326" s="9">
        <v>13</v>
      </c>
      <c r="AD326" s="17">
        <v>45137</v>
      </c>
      <c r="AE326" s="54">
        <v>516.46</v>
      </c>
      <c r="AF326" s="54"/>
      <c r="AG326" s="9" t="s">
        <v>134</v>
      </c>
      <c r="AH326" s="17">
        <v>45188</v>
      </c>
      <c r="AI326" s="104">
        <v>40813815</v>
      </c>
      <c r="AJ326" s="22" t="s">
        <v>3000</v>
      </c>
      <c r="AK326" s="9" t="s">
        <v>228</v>
      </c>
      <c r="AL326" s="22">
        <v>517</v>
      </c>
      <c r="AM326" s="22"/>
      <c r="AN326" s="22" t="s">
        <v>3007</v>
      </c>
      <c r="AO326" s="22"/>
      <c r="AP326" s="22"/>
      <c r="AQ326" s="22"/>
      <c r="AR326" s="22"/>
      <c r="AS326" s="22"/>
      <c r="AT326" s="22"/>
      <c r="AU326" s="22"/>
      <c r="AV326" s="22"/>
      <c r="AW326" s="31">
        <v>45187</v>
      </c>
      <c r="AX326" s="32">
        <v>1909</v>
      </c>
      <c r="AY326" s="32"/>
      <c r="AZ326" s="32"/>
      <c r="BA326" s="22">
        <v>517</v>
      </c>
      <c r="BB326" s="22"/>
      <c r="BD326" s="9"/>
      <c r="CS326" s="11">
        <f t="shared" si="25"/>
        <v>517</v>
      </c>
      <c r="CT326" s="22">
        <f t="shared" si="26"/>
        <v>517</v>
      </c>
      <c r="CU326" s="22">
        <f t="shared" si="27"/>
        <v>0</v>
      </c>
      <c r="CV326" s="26">
        <f t="shared" si="28"/>
        <v>-0.53999999999996362</v>
      </c>
    </row>
    <row r="327" spans="1:100" x14ac:dyDescent="0.2">
      <c r="A327" s="9" t="s">
        <v>217</v>
      </c>
      <c r="B327" s="2">
        <v>138</v>
      </c>
      <c r="C327" s="3" t="s">
        <v>95</v>
      </c>
      <c r="D327" s="47" t="s">
        <v>96</v>
      </c>
      <c r="E327" s="46" t="s">
        <v>72</v>
      </c>
      <c r="F327" s="46">
        <v>11</v>
      </c>
      <c r="G327" s="2" t="s">
        <v>84</v>
      </c>
      <c r="H327" s="2">
        <v>1</v>
      </c>
      <c r="I327" s="20">
        <v>120.2</v>
      </c>
      <c r="J327" s="20">
        <v>37900</v>
      </c>
      <c r="K327" s="3">
        <v>0</v>
      </c>
      <c r="L327" s="3" t="s">
        <v>3</v>
      </c>
      <c r="M327" s="9" t="s">
        <v>0</v>
      </c>
      <c r="N327" s="9" t="s">
        <v>11</v>
      </c>
      <c r="O327" s="9" t="s">
        <v>218</v>
      </c>
      <c r="S327" s="9" t="s">
        <v>158</v>
      </c>
      <c r="V327" s="10">
        <v>120.2</v>
      </c>
      <c r="W327" s="10" t="s">
        <v>710</v>
      </c>
      <c r="X327" s="17">
        <v>44639</v>
      </c>
      <c r="Y327" s="17">
        <v>45570</v>
      </c>
      <c r="Z327" s="19" t="s">
        <v>772</v>
      </c>
      <c r="AA327" s="207">
        <v>32305.03</v>
      </c>
      <c r="AB327" s="9">
        <v>23</v>
      </c>
      <c r="AC327" s="9">
        <v>14</v>
      </c>
      <c r="AD327" s="17">
        <v>45168</v>
      </c>
      <c r="AE327" s="54">
        <v>516.46</v>
      </c>
      <c r="AF327" s="54"/>
      <c r="AG327" s="9" t="s">
        <v>134</v>
      </c>
      <c r="AH327" s="17">
        <v>45208</v>
      </c>
      <c r="AI327" s="104">
        <v>40813815</v>
      </c>
      <c r="AJ327" s="22" t="s">
        <v>3000</v>
      </c>
      <c r="AK327" s="9" t="s">
        <v>3015</v>
      </c>
      <c r="AL327" s="22">
        <v>517</v>
      </c>
      <c r="AM327" s="22"/>
      <c r="AN327" s="22" t="s">
        <v>3008</v>
      </c>
      <c r="AO327" s="22"/>
      <c r="AP327" s="22"/>
      <c r="AQ327" s="22"/>
      <c r="AR327" s="22"/>
      <c r="AS327" s="22"/>
      <c r="AT327" s="22"/>
      <c r="AU327" s="22"/>
      <c r="AV327" s="22"/>
      <c r="AW327" s="31">
        <v>45204</v>
      </c>
      <c r="AX327" s="32">
        <v>1954</v>
      </c>
      <c r="AY327" s="32"/>
      <c r="AZ327" s="32"/>
      <c r="BA327" s="22">
        <v>517</v>
      </c>
      <c r="BB327" s="22"/>
      <c r="BD327" s="9"/>
      <c r="CS327" s="11">
        <f t="shared" si="25"/>
        <v>517</v>
      </c>
      <c r="CT327" s="22">
        <f t="shared" si="26"/>
        <v>517</v>
      </c>
      <c r="CU327" s="22">
        <f t="shared" si="27"/>
        <v>0</v>
      </c>
      <c r="CV327" s="26">
        <f t="shared" si="28"/>
        <v>-0.53999999999996362</v>
      </c>
    </row>
    <row r="328" spans="1:100" x14ac:dyDescent="0.2">
      <c r="A328" s="9" t="s">
        <v>217</v>
      </c>
      <c r="B328" s="2">
        <v>138</v>
      </c>
      <c r="C328" s="3" t="s">
        <v>95</v>
      </c>
      <c r="D328" s="47" t="s">
        <v>96</v>
      </c>
      <c r="E328" s="46" t="s">
        <v>72</v>
      </c>
      <c r="F328" s="46">
        <v>11</v>
      </c>
      <c r="G328" s="2" t="s">
        <v>84</v>
      </c>
      <c r="H328" s="2">
        <v>1</v>
      </c>
      <c r="I328" s="20">
        <v>120.2</v>
      </c>
      <c r="J328" s="20">
        <v>37900</v>
      </c>
      <c r="K328" s="3">
        <v>0</v>
      </c>
      <c r="L328" s="3" t="s">
        <v>3</v>
      </c>
      <c r="M328" s="9" t="s">
        <v>0</v>
      </c>
      <c r="N328" s="9" t="s">
        <v>11</v>
      </c>
      <c r="O328" s="9" t="s">
        <v>218</v>
      </c>
      <c r="S328" s="9" t="s">
        <v>158</v>
      </c>
      <c r="V328" s="10">
        <v>120.2</v>
      </c>
      <c r="W328" s="10" t="s">
        <v>710</v>
      </c>
      <c r="X328" s="17">
        <v>44639</v>
      </c>
      <c r="Y328" s="17">
        <v>45570</v>
      </c>
      <c r="Z328" s="19" t="s">
        <v>772</v>
      </c>
      <c r="AA328" s="207">
        <v>32305.03</v>
      </c>
      <c r="AB328" s="9">
        <v>23</v>
      </c>
      <c r="AC328" s="9">
        <v>15</v>
      </c>
      <c r="AD328" s="17">
        <v>45199</v>
      </c>
      <c r="AE328" s="54">
        <v>516.46</v>
      </c>
      <c r="AF328" s="54"/>
      <c r="AG328" s="9" t="s">
        <v>134</v>
      </c>
      <c r="AH328" s="17">
        <v>45209</v>
      </c>
      <c r="AI328" s="104">
        <v>40813815</v>
      </c>
      <c r="AJ328" s="22" t="s">
        <v>3000</v>
      </c>
      <c r="AK328" s="9" t="s">
        <v>3016</v>
      </c>
      <c r="AL328" s="22">
        <v>517</v>
      </c>
      <c r="AM328" s="22"/>
      <c r="AN328" s="22" t="s">
        <v>3009</v>
      </c>
      <c r="AO328" s="22"/>
      <c r="AP328" s="22"/>
      <c r="AQ328" s="22"/>
      <c r="AR328" s="22"/>
      <c r="AS328" s="22"/>
      <c r="AT328" s="22"/>
      <c r="AU328" s="22"/>
      <c r="AV328" s="22"/>
      <c r="AW328" s="31">
        <v>45187</v>
      </c>
      <c r="AX328" s="32">
        <v>1909</v>
      </c>
      <c r="AY328" s="32"/>
      <c r="AZ328" s="32"/>
      <c r="BA328" s="22">
        <v>517</v>
      </c>
      <c r="BB328" s="22"/>
      <c r="BD328" s="9"/>
      <c r="CS328" s="11">
        <f t="shared" si="25"/>
        <v>517</v>
      </c>
      <c r="CT328" s="22">
        <f t="shared" si="26"/>
        <v>517</v>
      </c>
      <c r="CU328" s="22">
        <f t="shared" si="27"/>
        <v>0</v>
      </c>
      <c r="CV328" s="26">
        <f t="shared" si="28"/>
        <v>-0.53999999999996362</v>
      </c>
    </row>
    <row r="329" spans="1:100" x14ac:dyDescent="0.2">
      <c r="A329" s="9" t="s">
        <v>217</v>
      </c>
      <c r="B329" s="2">
        <v>138</v>
      </c>
      <c r="C329" s="3" t="s">
        <v>95</v>
      </c>
      <c r="D329" s="47" t="s">
        <v>96</v>
      </c>
      <c r="E329" s="46" t="s">
        <v>72</v>
      </c>
      <c r="F329" s="46">
        <v>11</v>
      </c>
      <c r="G329" s="2" t="s">
        <v>84</v>
      </c>
      <c r="H329" s="2">
        <v>1</v>
      </c>
      <c r="I329" s="20">
        <v>120.2</v>
      </c>
      <c r="J329" s="20">
        <v>37900</v>
      </c>
      <c r="K329" s="3">
        <v>0</v>
      </c>
      <c r="L329" s="3" t="s">
        <v>3</v>
      </c>
      <c r="M329" s="9" t="s">
        <v>0</v>
      </c>
      <c r="N329" s="9" t="s">
        <v>11</v>
      </c>
      <c r="O329" s="9" t="s">
        <v>218</v>
      </c>
      <c r="S329" s="9" t="s">
        <v>158</v>
      </c>
      <c r="V329" s="10">
        <v>120.2</v>
      </c>
      <c r="W329" s="10" t="s">
        <v>710</v>
      </c>
      <c r="X329" s="17">
        <v>44639</v>
      </c>
      <c r="Y329" s="17">
        <v>45570</v>
      </c>
      <c r="Z329" s="19" t="s">
        <v>772</v>
      </c>
      <c r="AA329" s="207">
        <v>32305.03</v>
      </c>
      <c r="AB329" s="9">
        <v>23</v>
      </c>
      <c r="AC329" s="9">
        <v>16</v>
      </c>
      <c r="AD329" s="17">
        <v>45229</v>
      </c>
      <c r="AE329" s="54">
        <v>516.46</v>
      </c>
      <c r="AF329" s="54"/>
      <c r="AG329" s="9" t="s">
        <v>134</v>
      </c>
      <c r="AH329" s="17">
        <v>45234</v>
      </c>
      <c r="AI329" s="104">
        <v>40813815</v>
      </c>
      <c r="AJ329" s="22" t="s">
        <v>3000</v>
      </c>
      <c r="AK329" s="9" t="s">
        <v>3017</v>
      </c>
      <c r="AL329" s="22">
        <v>517</v>
      </c>
      <c r="AM329" s="22"/>
      <c r="AN329" s="22" t="s">
        <v>3010</v>
      </c>
      <c r="AO329" s="22"/>
      <c r="AP329" s="22"/>
      <c r="AQ329" s="22"/>
      <c r="AR329" s="22"/>
      <c r="AS329" s="22"/>
      <c r="AT329" s="22"/>
      <c r="AU329" s="22"/>
      <c r="AV329" s="22"/>
      <c r="AW329" s="31">
        <v>45232</v>
      </c>
      <c r="AX329" s="32">
        <v>2018</v>
      </c>
      <c r="BA329" s="22">
        <v>517</v>
      </c>
      <c r="BB329" s="22"/>
      <c r="BD329" s="9"/>
      <c r="CS329" s="11">
        <f t="shared" si="25"/>
        <v>517</v>
      </c>
      <c r="CT329" s="22">
        <f t="shared" si="26"/>
        <v>517</v>
      </c>
      <c r="CU329" s="22">
        <f t="shared" si="27"/>
        <v>0</v>
      </c>
      <c r="CV329" s="26">
        <f t="shared" si="28"/>
        <v>-0.53999999999996362</v>
      </c>
    </row>
    <row r="330" spans="1:100" x14ac:dyDescent="0.2">
      <c r="A330" s="9" t="s">
        <v>217</v>
      </c>
      <c r="B330" s="2">
        <v>138</v>
      </c>
      <c r="C330" s="3" t="s">
        <v>95</v>
      </c>
      <c r="D330" s="47" t="s">
        <v>96</v>
      </c>
      <c r="E330" s="46" t="s">
        <v>72</v>
      </c>
      <c r="F330" s="46">
        <v>11</v>
      </c>
      <c r="G330" s="2" t="s">
        <v>84</v>
      </c>
      <c r="H330" s="2">
        <v>1</v>
      </c>
      <c r="I330" s="20">
        <v>120.2</v>
      </c>
      <c r="J330" s="20">
        <v>37900</v>
      </c>
      <c r="K330" s="3">
        <v>0</v>
      </c>
      <c r="L330" s="3" t="s">
        <v>3</v>
      </c>
      <c r="M330" s="9" t="s">
        <v>0</v>
      </c>
      <c r="N330" s="9" t="s">
        <v>11</v>
      </c>
      <c r="O330" s="9" t="s">
        <v>218</v>
      </c>
      <c r="S330" s="9" t="s">
        <v>158</v>
      </c>
      <c r="V330" s="10">
        <v>120.2</v>
      </c>
      <c r="W330" s="10" t="s">
        <v>710</v>
      </c>
      <c r="X330" s="17">
        <v>44639</v>
      </c>
      <c r="Y330" s="17">
        <v>45570</v>
      </c>
      <c r="Z330" s="19" t="s">
        <v>772</v>
      </c>
      <c r="AA330" s="207">
        <v>32305.03</v>
      </c>
      <c r="AB330" s="9">
        <v>23</v>
      </c>
      <c r="AC330" s="9">
        <v>17</v>
      </c>
      <c r="AD330" s="17">
        <v>45260</v>
      </c>
      <c r="AE330" s="54">
        <v>516.46</v>
      </c>
      <c r="AF330" s="54"/>
      <c r="AG330" s="9" t="s">
        <v>134</v>
      </c>
      <c r="AH330" s="17">
        <v>45293</v>
      </c>
      <c r="AI330" s="104">
        <v>40813815</v>
      </c>
      <c r="AJ330" s="22" t="s">
        <v>3000</v>
      </c>
      <c r="AK330" s="9" t="s">
        <v>3018</v>
      </c>
      <c r="AL330" s="22">
        <v>517</v>
      </c>
      <c r="AM330" s="22"/>
      <c r="AN330" s="22" t="s">
        <v>3025</v>
      </c>
      <c r="AO330" s="22"/>
      <c r="AP330" s="22"/>
      <c r="AQ330" s="22"/>
      <c r="AR330" s="22"/>
      <c r="AS330" s="22"/>
      <c r="AT330" s="22"/>
      <c r="AU330" s="22"/>
      <c r="AV330" s="22"/>
      <c r="AW330" s="31">
        <v>45290</v>
      </c>
      <c r="AX330" s="32">
        <v>2170</v>
      </c>
      <c r="BA330" s="22">
        <v>517</v>
      </c>
      <c r="BB330" s="22"/>
      <c r="BD330" s="9"/>
      <c r="CS330" s="11">
        <f t="shared" si="25"/>
        <v>517</v>
      </c>
      <c r="CT330" s="22">
        <f t="shared" si="26"/>
        <v>517</v>
      </c>
      <c r="CU330" s="22">
        <f t="shared" si="27"/>
        <v>0</v>
      </c>
      <c r="CV330" s="26">
        <f t="shared" si="28"/>
        <v>-0.53999999999996362</v>
      </c>
    </row>
    <row r="331" spans="1:100" x14ac:dyDescent="0.2">
      <c r="A331" s="9" t="s">
        <v>217</v>
      </c>
      <c r="B331" s="2">
        <v>138</v>
      </c>
      <c r="C331" s="3" t="s">
        <v>95</v>
      </c>
      <c r="D331" s="47" t="s">
        <v>96</v>
      </c>
      <c r="E331" s="46" t="s">
        <v>72</v>
      </c>
      <c r="F331" s="46">
        <v>11</v>
      </c>
      <c r="G331" s="2" t="s">
        <v>84</v>
      </c>
      <c r="H331" s="2">
        <v>1</v>
      </c>
      <c r="I331" s="20">
        <v>120.2</v>
      </c>
      <c r="J331" s="20">
        <v>37900</v>
      </c>
      <c r="K331" s="3">
        <v>0</v>
      </c>
      <c r="L331" s="3" t="s">
        <v>3</v>
      </c>
      <c r="M331" s="9" t="s">
        <v>0</v>
      </c>
      <c r="N331" s="9" t="s">
        <v>11</v>
      </c>
      <c r="O331" s="9" t="s">
        <v>218</v>
      </c>
      <c r="S331" s="9" t="s">
        <v>158</v>
      </c>
      <c r="V331" s="10">
        <v>120.2</v>
      </c>
      <c r="W331" s="10" t="s">
        <v>710</v>
      </c>
      <c r="X331" s="17">
        <v>44639</v>
      </c>
      <c r="Y331" s="17">
        <v>45570</v>
      </c>
      <c r="Z331" s="19" t="s">
        <v>772</v>
      </c>
      <c r="AA331" s="207">
        <v>32305.03</v>
      </c>
      <c r="AB331" s="9">
        <v>23</v>
      </c>
      <c r="AC331" s="9">
        <v>18</v>
      </c>
      <c r="AD331" s="17">
        <v>45290</v>
      </c>
      <c r="AE331" s="54">
        <v>516.46</v>
      </c>
      <c r="AF331" s="54"/>
      <c r="AG331" s="9" t="s">
        <v>134</v>
      </c>
      <c r="AH331" s="17">
        <v>45369</v>
      </c>
      <c r="AI331" s="104">
        <v>40813815</v>
      </c>
      <c r="AJ331" s="22" t="s">
        <v>3000</v>
      </c>
      <c r="AK331" s="9" t="s">
        <v>3019</v>
      </c>
      <c r="AL331" s="22">
        <v>517</v>
      </c>
      <c r="AM331" s="22"/>
      <c r="AN331" s="22" t="s">
        <v>3026</v>
      </c>
      <c r="AO331" s="22"/>
      <c r="AP331" s="22"/>
      <c r="AQ331" s="22"/>
      <c r="AR331" s="22"/>
      <c r="AS331" s="22"/>
      <c r="AT331" s="22"/>
      <c r="AU331" s="22"/>
      <c r="AV331" s="22"/>
      <c r="AW331" s="31">
        <v>45369</v>
      </c>
      <c r="AX331" s="32">
        <v>2432</v>
      </c>
      <c r="BA331" s="22">
        <v>517</v>
      </c>
      <c r="BB331" s="22"/>
      <c r="BD331" s="9"/>
      <c r="CS331" s="11">
        <f t="shared" si="25"/>
        <v>517</v>
      </c>
      <c r="CT331" s="22">
        <f t="shared" si="26"/>
        <v>517</v>
      </c>
      <c r="CU331" s="22">
        <f t="shared" si="27"/>
        <v>0</v>
      </c>
      <c r="CV331" s="26">
        <f t="shared" si="28"/>
        <v>-0.53999999999996362</v>
      </c>
    </row>
    <row r="332" spans="1:100" x14ac:dyDescent="0.2">
      <c r="A332" s="9" t="s">
        <v>217</v>
      </c>
      <c r="B332" s="2">
        <v>138</v>
      </c>
      <c r="C332" s="3" t="s">
        <v>95</v>
      </c>
      <c r="D332" s="47" t="s">
        <v>96</v>
      </c>
      <c r="E332" s="46" t="s">
        <v>72</v>
      </c>
      <c r="F332" s="46">
        <v>11</v>
      </c>
      <c r="G332" s="2" t="s">
        <v>84</v>
      </c>
      <c r="H332" s="2">
        <v>1</v>
      </c>
      <c r="I332" s="20">
        <v>120.2</v>
      </c>
      <c r="J332" s="20">
        <v>37900</v>
      </c>
      <c r="K332" s="3">
        <v>0</v>
      </c>
      <c r="L332" s="3" t="s">
        <v>3</v>
      </c>
      <c r="M332" s="9" t="s">
        <v>0</v>
      </c>
      <c r="N332" s="9" t="s">
        <v>11</v>
      </c>
      <c r="O332" s="9" t="s">
        <v>218</v>
      </c>
      <c r="S332" s="9" t="s">
        <v>158</v>
      </c>
      <c r="V332" s="10">
        <v>120.2</v>
      </c>
      <c r="W332" s="10" t="s">
        <v>710</v>
      </c>
      <c r="X332" s="17">
        <v>44639</v>
      </c>
      <c r="Y332" s="17">
        <v>45570</v>
      </c>
      <c r="Z332" s="19" t="s">
        <v>772</v>
      </c>
      <c r="AA332" s="207">
        <v>32305.03</v>
      </c>
      <c r="AB332" s="9">
        <v>23</v>
      </c>
      <c r="AC332" s="9">
        <v>19</v>
      </c>
      <c r="AD332" s="17">
        <v>45321</v>
      </c>
      <c r="AE332" s="54">
        <v>516.46</v>
      </c>
      <c r="AF332" s="54"/>
      <c r="AG332" s="9" t="s">
        <v>134</v>
      </c>
      <c r="AH332" s="17">
        <v>45406</v>
      </c>
      <c r="AI332" s="104">
        <v>40813815</v>
      </c>
      <c r="AJ332" s="22" t="s">
        <v>3000</v>
      </c>
      <c r="AK332" s="9" t="s">
        <v>3020</v>
      </c>
      <c r="AL332" s="22">
        <v>517</v>
      </c>
      <c r="AM332" s="22"/>
      <c r="AN332" s="22" t="s">
        <v>3027</v>
      </c>
      <c r="AO332" s="22"/>
      <c r="AP332" s="22"/>
      <c r="AQ332" s="22"/>
      <c r="AR332" s="22"/>
      <c r="AS332" s="22"/>
      <c r="AT332" s="22"/>
      <c r="AU332" s="22"/>
      <c r="AV332" s="22"/>
      <c r="AW332" s="31">
        <v>45404</v>
      </c>
      <c r="AX332" s="32">
        <v>2569</v>
      </c>
      <c r="BA332" s="22">
        <v>517</v>
      </c>
      <c r="BB332" s="22"/>
      <c r="BD332" s="9"/>
      <c r="CS332" s="11">
        <f t="shared" si="25"/>
        <v>517</v>
      </c>
      <c r="CT332" s="22">
        <f t="shared" si="26"/>
        <v>517</v>
      </c>
      <c r="CU332" s="22">
        <f t="shared" si="27"/>
        <v>0</v>
      </c>
      <c r="CV332" s="26">
        <f t="shared" si="28"/>
        <v>-0.53999999999996362</v>
      </c>
    </row>
    <row r="333" spans="1:100" x14ac:dyDescent="0.2">
      <c r="A333" s="9" t="s">
        <v>217</v>
      </c>
      <c r="B333" s="2">
        <v>138</v>
      </c>
      <c r="C333" s="3" t="s">
        <v>95</v>
      </c>
      <c r="D333" s="47" t="s">
        <v>96</v>
      </c>
      <c r="E333" s="46" t="s">
        <v>72</v>
      </c>
      <c r="F333" s="46">
        <v>11</v>
      </c>
      <c r="G333" s="2" t="s">
        <v>84</v>
      </c>
      <c r="H333" s="2">
        <v>1</v>
      </c>
      <c r="I333" s="20">
        <v>120.2</v>
      </c>
      <c r="J333" s="20">
        <v>37900</v>
      </c>
      <c r="K333" s="3">
        <v>0</v>
      </c>
      <c r="L333" s="3" t="s">
        <v>3</v>
      </c>
      <c r="M333" s="9" t="s">
        <v>0</v>
      </c>
      <c r="N333" s="9" t="s">
        <v>11</v>
      </c>
      <c r="O333" s="9" t="s">
        <v>218</v>
      </c>
      <c r="S333" s="9" t="s">
        <v>158</v>
      </c>
      <c r="V333" s="10">
        <v>120.2</v>
      </c>
      <c r="W333" s="10" t="s">
        <v>710</v>
      </c>
      <c r="X333" s="17">
        <v>44639</v>
      </c>
      <c r="Y333" s="17">
        <v>45570</v>
      </c>
      <c r="Z333" s="19" t="s">
        <v>772</v>
      </c>
      <c r="AA333" s="207">
        <v>32305.03</v>
      </c>
      <c r="AB333" s="9">
        <v>23</v>
      </c>
      <c r="AC333" s="9">
        <v>20</v>
      </c>
      <c r="AD333" s="17">
        <v>45351</v>
      </c>
      <c r="AE333" s="54">
        <v>516.46</v>
      </c>
      <c r="AF333" s="54"/>
      <c r="AG333" s="9" t="s">
        <v>134</v>
      </c>
      <c r="AH333" s="17">
        <v>45475</v>
      </c>
      <c r="AI333" s="104">
        <v>40813815</v>
      </c>
      <c r="AJ333" s="22" t="s">
        <v>3000</v>
      </c>
      <c r="AK333" s="9" t="s">
        <v>3021</v>
      </c>
      <c r="AL333" s="22">
        <v>517</v>
      </c>
      <c r="AM333" s="22"/>
      <c r="AN333" s="22" t="s">
        <v>3028</v>
      </c>
      <c r="AO333" s="22"/>
      <c r="AP333" s="22"/>
      <c r="AQ333" s="22"/>
      <c r="AR333" s="22"/>
      <c r="AS333" s="22"/>
      <c r="AT333" s="22"/>
      <c r="AU333" s="22"/>
      <c r="AV333" s="22"/>
      <c r="AW333" s="31">
        <v>45475</v>
      </c>
      <c r="AX333" s="32">
        <v>2843</v>
      </c>
      <c r="BA333" s="22">
        <v>517</v>
      </c>
      <c r="BB333" s="22"/>
      <c r="BD333" s="9"/>
      <c r="CS333" s="11">
        <f t="shared" si="25"/>
        <v>517</v>
      </c>
      <c r="CT333" s="22">
        <f t="shared" si="26"/>
        <v>517</v>
      </c>
      <c r="CU333" s="22">
        <f t="shared" si="27"/>
        <v>0</v>
      </c>
      <c r="CV333" s="26">
        <f t="shared" si="28"/>
        <v>-0.53999999999996362</v>
      </c>
    </row>
    <row r="334" spans="1:100" x14ac:dyDescent="0.2">
      <c r="A334" s="9" t="s">
        <v>217</v>
      </c>
      <c r="B334" s="2">
        <v>138</v>
      </c>
      <c r="C334" s="3" t="s">
        <v>95</v>
      </c>
      <c r="D334" s="47" t="s">
        <v>96</v>
      </c>
      <c r="E334" s="46" t="s">
        <v>72</v>
      </c>
      <c r="F334" s="46">
        <v>11</v>
      </c>
      <c r="G334" s="2" t="s">
        <v>84</v>
      </c>
      <c r="H334" s="2">
        <v>1</v>
      </c>
      <c r="I334" s="20">
        <v>120.2</v>
      </c>
      <c r="J334" s="20">
        <v>37900</v>
      </c>
      <c r="K334" s="3">
        <v>0</v>
      </c>
      <c r="L334" s="3" t="s">
        <v>3</v>
      </c>
      <c r="M334" s="9" t="s">
        <v>0</v>
      </c>
      <c r="N334" s="9" t="s">
        <v>11</v>
      </c>
      <c r="O334" s="9" t="s">
        <v>218</v>
      </c>
      <c r="S334" s="9" t="s">
        <v>158</v>
      </c>
      <c r="V334" s="10">
        <v>120.2</v>
      </c>
      <c r="W334" s="10" t="s">
        <v>710</v>
      </c>
      <c r="X334" s="17">
        <v>44639</v>
      </c>
      <c r="Y334" s="17">
        <v>45570</v>
      </c>
      <c r="Z334" s="19" t="s">
        <v>772</v>
      </c>
      <c r="AA334" s="207">
        <v>32305.03</v>
      </c>
      <c r="AB334" s="9">
        <v>23</v>
      </c>
      <c r="AC334" s="9">
        <v>21</v>
      </c>
      <c r="AD334" s="17">
        <v>45381</v>
      </c>
      <c r="AE334" s="54">
        <v>516.46</v>
      </c>
      <c r="AF334" s="54"/>
      <c r="AG334" s="9" t="s">
        <v>134</v>
      </c>
      <c r="AH334" s="17">
        <v>45566</v>
      </c>
      <c r="AI334" s="104">
        <v>40813815</v>
      </c>
      <c r="AJ334" s="22" t="s">
        <v>3000</v>
      </c>
      <c r="AK334" s="9" t="s">
        <v>3022</v>
      </c>
      <c r="AL334" s="22">
        <v>517</v>
      </c>
      <c r="AM334" s="22"/>
      <c r="AN334" s="22" t="s">
        <v>3029</v>
      </c>
      <c r="AO334" s="22"/>
      <c r="AP334" s="22"/>
      <c r="AQ334" s="22"/>
      <c r="AR334" s="22"/>
      <c r="AS334" s="22"/>
      <c r="AT334" s="22"/>
      <c r="AU334" s="22"/>
      <c r="AV334" s="22"/>
      <c r="AW334" s="31">
        <v>45565</v>
      </c>
      <c r="AX334" s="32">
        <v>3212</v>
      </c>
      <c r="BA334" s="22">
        <v>517</v>
      </c>
      <c r="BB334" s="22"/>
      <c r="BD334" s="9"/>
      <c r="CS334" s="11">
        <f t="shared" si="25"/>
        <v>517</v>
      </c>
      <c r="CT334" s="22">
        <f t="shared" si="26"/>
        <v>517</v>
      </c>
      <c r="CU334" s="22">
        <f t="shared" si="27"/>
        <v>0</v>
      </c>
      <c r="CV334" s="26">
        <f t="shared" si="28"/>
        <v>-0.53999999999996362</v>
      </c>
    </row>
    <row r="335" spans="1:100" x14ac:dyDescent="0.2">
      <c r="A335" s="9" t="s">
        <v>217</v>
      </c>
      <c r="B335" s="2">
        <v>138</v>
      </c>
      <c r="C335" s="3" t="s">
        <v>95</v>
      </c>
      <c r="D335" s="47" t="s">
        <v>96</v>
      </c>
      <c r="E335" s="46" t="s">
        <v>72</v>
      </c>
      <c r="F335" s="46">
        <v>11</v>
      </c>
      <c r="G335" s="2" t="s">
        <v>84</v>
      </c>
      <c r="H335" s="2">
        <v>1</v>
      </c>
      <c r="I335" s="20">
        <v>120.2</v>
      </c>
      <c r="J335" s="20">
        <v>37900</v>
      </c>
      <c r="K335" s="3">
        <v>0</v>
      </c>
      <c r="L335" s="3" t="s">
        <v>3</v>
      </c>
      <c r="M335" s="9" t="s">
        <v>0</v>
      </c>
      <c r="N335" s="9" t="s">
        <v>11</v>
      </c>
      <c r="O335" s="9" t="s">
        <v>218</v>
      </c>
      <c r="S335" s="9" t="s">
        <v>158</v>
      </c>
      <c r="V335" s="10">
        <v>120.2</v>
      </c>
      <c r="W335" s="10" t="s">
        <v>710</v>
      </c>
      <c r="X335" s="17">
        <v>44639</v>
      </c>
      <c r="Y335" s="17">
        <v>45570</v>
      </c>
      <c r="Z335" s="19" t="s">
        <v>772</v>
      </c>
      <c r="AA335" s="207">
        <v>32305.03</v>
      </c>
      <c r="AB335" s="9">
        <v>23</v>
      </c>
      <c r="AC335" s="9">
        <v>22</v>
      </c>
      <c r="AD335" s="17">
        <v>45412</v>
      </c>
      <c r="AE335" s="54">
        <v>516.46</v>
      </c>
      <c r="AF335" s="54"/>
      <c r="AG335" s="9" t="s">
        <v>134</v>
      </c>
      <c r="AH335" s="17">
        <v>45567</v>
      </c>
      <c r="AI335" s="104">
        <v>40813815</v>
      </c>
      <c r="AJ335" s="22" t="s">
        <v>3000</v>
      </c>
      <c r="AK335" s="9" t="s">
        <v>3023</v>
      </c>
      <c r="AL335" s="22">
        <v>517</v>
      </c>
      <c r="AM335" s="22"/>
      <c r="AN335" s="22" t="s">
        <v>3030</v>
      </c>
      <c r="AO335" s="22"/>
      <c r="AP335" s="22"/>
      <c r="AQ335" s="22"/>
      <c r="AR335" s="22"/>
      <c r="AS335" s="22"/>
      <c r="AT335" s="22"/>
      <c r="AU335" s="22"/>
      <c r="AV335" s="22"/>
      <c r="AW335" s="17">
        <v>45567</v>
      </c>
      <c r="AX335" s="9">
        <v>3232</v>
      </c>
      <c r="BA335" s="22">
        <v>517</v>
      </c>
      <c r="BB335" s="22"/>
      <c r="BD335" s="9"/>
      <c r="CS335" s="11">
        <f t="shared" si="25"/>
        <v>517</v>
      </c>
      <c r="CT335" s="22">
        <f t="shared" si="26"/>
        <v>517</v>
      </c>
      <c r="CU335" s="22">
        <f t="shared" si="27"/>
        <v>0</v>
      </c>
      <c r="CV335" s="26">
        <f t="shared" si="28"/>
        <v>-0.53999999999996362</v>
      </c>
    </row>
    <row r="336" spans="1:100" x14ac:dyDescent="0.2">
      <c r="A336" s="9" t="s">
        <v>217</v>
      </c>
      <c r="B336" s="2">
        <v>138</v>
      </c>
      <c r="C336" s="3" t="s">
        <v>95</v>
      </c>
      <c r="D336" s="47" t="s">
        <v>96</v>
      </c>
      <c r="E336" s="46" t="s">
        <v>72</v>
      </c>
      <c r="F336" s="46">
        <v>11</v>
      </c>
      <c r="G336" s="2" t="s">
        <v>84</v>
      </c>
      <c r="H336" s="2">
        <v>1</v>
      </c>
      <c r="I336" s="20">
        <v>120.2</v>
      </c>
      <c r="J336" s="20">
        <v>37900</v>
      </c>
      <c r="K336" s="3">
        <v>0</v>
      </c>
      <c r="L336" s="3" t="s">
        <v>3</v>
      </c>
      <c r="M336" s="9" t="s">
        <v>0</v>
      </c>
      <c r="N336" s="9" t="s">
        <v>11</v>
      </c>
      <c r="O336" s="9" t="s">
        <v>218</v>
      </c>
      <c r="S336" s="9" t="s">
        <v>158</v>
      </c>
      <c r="V336" s="10">
        <v>120.2</v>
      </c>
      <c r="W336" s="10" t="s">
        <v>710</v>
      </c>
      <c r="X336" s="17">
        <v>44639</v>
      </c>
      <c r="Y336" s="17">
        <v>45570</v>
      </c>
      <c r="Z336" s="19" t="s">
        <v>772</v>
      </c>
      <c r="AA336" s="207">
        <v>32305.03</v>
      </c>
      <c r="AB336" s="9">
        <v>23</v>
      </c>
      <c r="AC336" s="9">
        <v>23</v>
      </c>
      <c r="AD336" s="17">
        <v>45442</v>
      </c>
      <c r="AE336" s="54">
        <v>516.46</v>
      </c>
      <c r="AF336" s="54"/>
      <c r="AG336" s="9" t="s">
        <v>134</v>
      </c>
      <c r="AH336" s="17">
        <v>45567</v>
      </c>
      <c r="AI336" s="104">
        <v>40813815</v>
      </c>
      <c r="AJ336" s="22" t="s">
        <v>3000</v>
      </c>
      <c r="AK336" s="9" t="s">
        <v>3024</v>
      </c>
      <c r="AL336" s="22">
        <v>517</v>
      </c>
      <c r="AM336" s="22"/>
      <c r="AN336" s="22" t="s">
        <v>3031</v>
      </c>
      <c r="AO336" s="22"/>
      <c r="AP336" s="22"/>
      <c r="AQ336" s="22"/>
      <c r="AR336" s="22"/>
      <c r="AS336" s="22"/>
      <c r="AT336" s="22"/>
      <c r="AU336" s="22"/>
      <c r="AV336" s="22"/>
      <c r="AW336" s="17">
        <v>45567</v>
      </c>
      <c r="AX336" s="9">
        <v>3232</v>
      </c>
      <c r="BA336" s="22">
        <v>517</v>
      </c>
      <c r="BB336" s="22"/>
      <c r="BD336" s="9"/>
      <c r="CS336" s="11">
        <f t="shared" si="25"/>
        <v>517</v>
      </c>
      <c r="CT336" s="22">
        <f t="shared" si="26"/>
        <v>517</v>
      </c>
      <c r="CU336" s="22">
        <f t="shared" si="27"/>
        <v>0</v>
      </c>
      <c r="CV336" s="26">
        <f t="shared" si="28"/>
        <v>-0.53999999999996362</v>
      </c>
    </row>
    <row r="337" spans="1:100" x14ac:dyDescent="0.2">
      <c r="A337" s="9" t="s">
        <v>217</v>
      </c>
      <c r="B337" s="2">
        <v>138</v>
      </c>
      <c r="C337" s="3" t="s">
        <v>95</v>
      </c>
      <c r="D337" s="47" t="s">
        <v>96</v>
      </c>
      <c r="E337" s="46" t="s">
        <v>72</v>
      </c>
      <c r="F337" s="46">
        <v>11</v>
      </c>
      <c r="G337" s="2" t="s">
        <v>84</v>
      </c>
      <c r="H337" s="2">
        <v>1</v>
      </c>
      <c r="I337" s="20">
        <v>120.2</v>
      </c>
      <c r="J337" s="20">
        <v>37900</v>
      </c>
      <c r="K337" s="3">
        <v>0</v>
      </c>
      <c r="L337" s="3" t="s">
        <v>3</v>
      </c>
      <c r="M337" s="9" t="s">
        <v>0</v>
      </c>
      <c r="N337" s="9" t="s">
        <v>11</v>
      </c>
      <c r="O337" s="9" t="s">
        <v>218</v>
      </c>
      <c r="S337" s="9" t="s">
        <v>229</v>
      </c>
      <c r="V337" s="10">
        <v>12.5</v>
      </c>
      <c r="W337" s="10" t="s">
        <v>710</v>
      </c>
      <c r="Y337" s="17">
        <v>45031</v>
      </c>
      <c r="Z337" s="19" t="s">
        <v>772</v>
      </c>
      <c r="AA337" s="207">
        <v>5000</v>
      </c>
      <c r="AB337" s="9">
        <v>2</v>
      </c>
      <c r="AC337" s="9">
        <v>1</v>
      </c>
      <c r="AD337" s="17">
        <v>44771</v>
      </c>
      <c r="AE337" s="54">
        <v>1000</v>
      </c>
      <c r="AF337" s="54"/>
      <c r="AG337" s="9" t="s">
        <v>134</v>
      </c>
      <c r="AH337" s="127">
        <v>44771</v>
      </c>
      <c r="AI337" s="104">
        <v>40813815</v>
      </c>
      <c r="AJ337" s="22" t="s">
        <v>3000</v>
      </c>
      <c r="AK337" s="22" t="s">
        <v>2999</v>
      </c>
      <c r="AL337" s="22">
        <v>1000</v>
      </c>
      <c r="AM337" s="22"/>
      <c r="AN337" s="22" t="s">
        <v>2995</v>
      </c>
      <c r="AO337" s="22"/>
      <c r="AP337" s="22"/>
      <c r="AQ337" s="22"/>
      <c r="AR337" s="22"/>
      <c r="AS337" s="22"/>
      <c r="AT337" s="22"/>
      <c r="AU337" s="22"/>
      <c r="AV337" s="22"/>
      <c r="AW337" s="17">
        <v>44771</v>
      </c>
      <c r="AX337" s="9">
        <v>819</v>
      </c>
      <c r="BA337" s="22">
        <v>1000</v>
      </c>
      <c r="BB337" s="22"/>
      <c r="BD337" s="9"/>
      <c r="CS337" s="11">
        <f t="shared" si="25"/>
        <v>1000</v>
      </c>
      <c r="CT337" s="22">
        <f t="shared" si="26"/>
        <v>1000</v>
      </c>
      <c r="CU337" s="22">
        <f t="shared" si="27"/>
        <v>0</v>
      </c>
      <c r="CV337" s="26">
        <f t="shared" si="28"/>
        <v>0</v>
      </c>
    </row>
    <row r="338" spans="1:100" x14ac:dyDescent="0.2">
      <c r="A338" s="9" t="s">
        <v>217</v>
      </c>
      <c r="B338" s="2">
        <v>138</v>
      </c>
      <c r="C338" s="3" t="s">
        <v>95</v>
      </c>
      <c r="D338" s="47" t="s">
        <v>96</v>
      </c>
      <c r="E338" s="46" t="s">
        <v>72</v>
      </c>
      <c r="F338" s="46">
        <v>11</v>
      </c>
      <c r="G338" s="2" t="s">
        <v>84</v>
      </c>
      <c r="H338" s="2">
        <v>1</v>
      </c>
      <c r="I338" s="20">
        <v>120.2</v>
      </c>
      <c r="J338" s="20">
        <v>37900</v>
      </c>
      <c r="K338" s="3">
        <v>0</v>
      </c>
      <c r="L338" s="3" t="s">
        <v>3</v>
      </c>
      <c r="M338" s="9" t="s">
        <v>0</v>
      </c>
      <c r="N338" s="9" t="s">
        <v>11</v>
      </c>
      <c r="O338" s="9" t="s">
        <v>218</v>
      </c>
      <c r="S338" s="9" t="s">
        <v>229</v>
      </c>
      <c r="V338" s="10">
        <v>12.5</v>
      </c>
      <c r="W338" s="10" t="s">
        <v>710</v>
      </c>
      <c r="Y338" s="17">
        <v>45031</v>
      </c>
      <c r="Z338" s="19" t="s">
        <v>772</v>
      </c>
      <c r="AA338" s="207">
        <v>5000</v>
      </c>
      <c r="AB338" s="9">
        <v>2</v>
      </c>
      <c r="AC338" s="9">
        <v>2</v>
      </c>
      <c r="AE338" s="54">
        <v>4000</v>
      </c>
      <c r="AF338" s="54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9"/>
      <c r="BA338" s="22"/>
      <c r="BB338" s="22"/>
      <c r="BD338" s="9"/>
      <c r="CS338" s="11">
        <f t="shared" si="25"/>
        <v>0</v>
      </c>
      <c r="CT338" s="22">
        <f t="shared" si="26"/>
        <v>0</v>
      </c>
      <c r="CU338" s="22">
        <f t="shared" si="27"/>
        <v>0</v>
      </c>
      <c r="CV338" s="26">
        <f t="shared" si="28"/>
        <v>4000</v>
      </c>
    </row>
    <row r="339" spans="1:100" x14ac:dyDescent="0.2">
      <c r="A339" s="9" t="s">
        <v>230</v>
      </c>
      <c r="B339" s="2">
        <v>124</v>
      </c>
      <c r="C339" s="50" t="s">
        <v>95</v>
      </c>
      <c r="D339" s="50" t="s">
        <v>96</v>
      </c>
      <c r="E339" s="49" t="s">
        <v>71</v>
      </c>
      <c r="F339" s="49">
        <v>8</v>
      </c>
      <c r="G339" s="2" t="s">
        <v>82</v>
      </c>
      <c r="H339" s="2">
        <v>1</v>
      </c>
      <c r="I339" s="20">
        <v>168.76</v>
      </c>
      <c r="J339" s="20">
        <v>51900</v>
      </c>
      <c r="K339" s="3">
        <v>0</v>
      </c>
      <c r="L339" s="3" t="s">
        <v>3</v>
      </c>
      <c r="M339" s="9" t="s">
        <v>0</v>
      </c>
      <c r="N339" s="9" t="s">
        <v>12</v>
      </c>
      <c r="O339" s="9" t="s">
        <v>231</v>
      </c>
      <c r="S339" s="9" t="s">
        <v>158</v>
      </c>
      <c r="V339" s="10">
        <v>168.76</v>
      </c>
      <c r="W339" s="10" t="s">
        <v>710</v>
      </c>
      <c r="X339" s="17">
        <v>44639</v>
      </c>
      <c r="Y339" s="17">
        <v>45570</v>
      </c>
      <c r="Z339" s="19" t="s">
        <v>772</v>
      </c>
      <c r="AA339" s="207">
        <v>43011.88</v>
      </c>
      <c r="AB339" s="9">
        <v>23</v>
      </c>
      <c r="AC339" s="9">
        <v>0</v>
      </c>
      <c r="AD339" s="17">
        <v>44639</v>
      </c>
      <c r="AE339" s="54">
        <v>20000</v>
      </c>
      <c r="AF339" s="54"/>
      <c r="AG339" s="9" t="s">
        <v>134</v>
      </c>
      <c r="AH339" s="17">
        <v>44639</v>
      </c>
      <c r="AI339" s="30" t="s">
        <v>12</v>
      </c>
      <c r="AJ339" s="17" t="s">
        <v>2975</v>
      </c>
      <c r="AK339" s="9" t="s">
        <v>233</v>
      </c>
      <c r="AL339" s="22">
        <v>20000</v>
      </c>
      <c r="AM339" s="22"/>
      <c r="AN339" s="22" t="s">
        <v>2976</v>
      </c>
      <c r="AO339" s="22"/>
      <c r="AP339" s="127"/>
      <c r="AQ339" s="22"/>
      <c r="AR339" s="22"/>
      <c r="AS339" s="22"/>
      <c r="AT339" s="22"/>
      <c r="AU339" s="22"/>
      <c r="AV339" s="22"/>
      <c r="AW339" s="31">
        <v>44639</v>
      </c>
      <c r="AX339" s="32">
        <v>11429</v>
      </c>
      <c r="AY339" s="9">
        <v>75520</v>
      </c>
      <c r="AZ339" s="9">
        <v>3.7759999999999998</v>
      </c>
      <c r="BA339" s="22">
        <f>+AY339/AZ339</f>
        <v>20000</v>
      </c>
      <c r="BB339" s="22"/>
      <c r="BD339" s="9"/>
      <c r="CS339" s="11">
        <f t="shared" si="25"/>
        <v>20000</v>
      </c>
      <c r="CT339" s="22">
        <f t="shared" si="26"/>
        <v>20000</v>
      </c>
      <c r="CU339" s="22">
        <f t="shared" si="27"/>
        <v>0</v>
      </c>
      <c r="CV339" s="26">
        <f t="shared" si="28"/>
        <v>0</v>
      </c>
    </row>
    <row r="340" spans="1:100" x14ac:dyDescent="0.2">
      <c r="A340" s="9" t="s">
        <v>230</v>
      </c>
      <c r="B340" s="2">
        <v>124</v>
      </c>
      <c r="C340" s="50" t="s">
        <v>95</v>
      </c>
      <c r="D340" s="50" t="s">
        <v>96</v>
      </c>
      <c r="E340" s="49" t="s">
        <v>71</v>
      </c>
      <c r="F340" s="49">
        <v>8</v>
      </c>
      <c r="G340" s="2" t="s">
        <v>82</v>
      </c>
      <c r="H340" s="2">
        <v>1</v>
      </c>
      <c r="I340" s="20">
        <v>168.76</v>
      </c>
      <c r="J340" s="20">
        <v>51900</v>
      </c>
      <c r="K340" s="3">
        <v>0</v>
      </c>
      <c r="L340" s="3" t="s">
        <v>3</v>
      </c>
      <c r="M340" s="9" t="s">
        <v>0</v>
      </c>
      <c r="N340" s="9" t="s">
        <v>12</v>
      </c>
      <c r="O340" s="9" t="s">
        <v>231</v>
      </c>
      <c r="S340" s="9" t="s">
        <v>158</v>
      </c>
      <c r="V340" s="10">
        <v>168.76</v>
      </c>
      <c r="W340" s="10" t="s">
        <v>710</v>
      </c>
      <c r="X340" s="17">
        <v>44639</v>
      </c>
      <c r="Y340" s="17">
        <v>45570</v>
      </c>
      <c r="Z340" s="19" t="s">
        <v>772</v>
      </c>
      <c r="AA340" s="207">
        <v>43011.88</v>
      </c>
      <c r="AB340" s="9">
        <v>23</v>
      </c>
      <c r="AC340" s="9">
        <v>1</v>
      </c>
      <c r="AD340" s="17">
        <v>44681</v>
      </c>
      <c r="AE340" s="54">
        <v>917.08</v>
      </c>
      <c r="AF340" s="54"/>
      <c r="AG340" s="9" t="s">
        <v>134</v>
      </c>
      <c r="AH340" s="17">
        <v>44684</v>
      </c>
      <c r="AI340" s="30" t="s">
        <v>12</v>
      </c>
      <c r="AJ340" s="17" t="s">
        <v>2975</v>
      </c>
      <c r="AK340" s="9" t="s">
        <v>234</v>
      </c>
      <c r="AL340" s="22">
        <v>917.08</v>
      </c>
      <c r="AM340" s="22"/>
      <c r="AN340" s="22" t="s">
        <v>2977</v>
      </c>
      <c r="AO340" s="22"/>
      <c r="AP340" s="127"/>
      <c r="AQ340" s="22"/>
      <c r="AR340" s="22"/>
      <c r="AS340" s="22"/>
      <c r="AT340" s="22"/>
      <c r="AU340" s="22"/>
      <c r="AV340" s="22"/>
      <c r="AW340" s="31">
        <v>44681</v>
      </c>
      <c r="AX340" s="32">
        <v>603</v>
      </c>
      <c r="AY340" s="32"/>
      <c r="AZ340" s="32"/>
      <c r="BA340" s="22">
        <v>917.08</v>
      </c>
      <c r="BB340" s="22"/>
      <c r="BD340" s="9"/>
      <c r="CS340" s="11">
        <f t="shared" si="25"/>
        <v>917.08</v>
      </c>
      <c r="CT340" s="22">
        <f t="shared" si="26"/>
        <v>917.08</v>
      </c>
      <c r="CU340" s="22">
        <f t="shared" si="27"/>
        <v>0</v>
      </c>
      <c r="CV340" s="26">
        <f t="shared" si="28"/>
        <v>0</v>
      </c>
    </row>
    <row r="341" spans="1:100" x14ac:dyDescent="0.2">
      <c r="A341" s="9" t="s">
        <v>230</v>
      </c>
      <c r="B341" s="2">
        <v>124</v>
      </c>
      <c r="C341" s="50" t="s">
        <v>95</v>
      </c>
      <c r="D341" s="50" t="s">
        <v>96</v>
      </c>
      <c r="E341" s="49" t="s">
        <v>71</v>
      </c>
      <c r="F341" s="49">
        <v>8</v>
      </c>
      <c r="G341" s="2" t="s">
        <v>82</v>
      </c>
      <c r="H341" s="2">
        <v>1</v>
      </c>
      <c r="I341" s="20">
        <v>168.76</v>
      </c>
      <c r="J341" s="20">
        <v>51900</v>
      </c>
      <c r="K341" s="3">
        <v>0</v>
      </c>
      <c r="L341" s="3" t="s">
        <v>3</v>
      </c>
      <c r="M341" s="9" t="s">
        <v>0</v>
      </c>
      <c r="N341" s="9" t="s">
        <v>12</v>
      </c>
      <c r="O341" s="9" t="s">
        <v>231</v>
      </c>
      <c r="S341" s="9" t="s">
        <v>158</v>
      </c>
      <c r="V341" s="10">
        <v>168.76</v>
      </c>
      <c r="W341" s="10" t="s">
        <v>710</v>
      </c>
      <c r="X341" s="17">
        <v>44639</v>
      </c>
      <c r="Y341" s="17">
        <v>45570</v>
      </c>
      <c r="Z341" s="19" t="s">
        <v>772</v>
      </c>
      <c r="AA341" s="207">
        <v>43011.88</v>
      </c>
      <c r="AB341" s="9">
        <v>23</v>
      </c>
      <c r="AC341" s="9">
        <v>2</v>
      </c>
      <c r="AD341" s="17">
        <v>44711</v>
      </c>
      <c r="AE341" s="54">
        <v>917.08</v>
      </c>
      <c r="AF341" s="54"/>
      <c r="AG341" s="9" t="s">
        <v>134</v>
      </c>
      <c r="AH341" s="17">
        <v>44721</v>
      </c>
      <c r="AI341" s="30" t="s">
        <v>12</v>
      </c>
      <c r="AJ341" s="17" t="s">
        <v>2975</v>
      </c>
      <c r="AK341" s="9" t="s">
        <v>235</v>
      </c>
      <c r="AL341" s="22">
        <v>917.08</v>
      </c>
      <c r="AM341" s="22"/>
      <c r="AN341" s="22" t="s">
        <v>2978</v>
      </c>
      <c r="AO341" s="22"/>
      <c r="AP341" s="127"/>
      <c r="AQ341" s="22"/>
      <c r="AR341" s="22"/>
      <c r="AS341" s="22"/>
      <c r="AT341" s="22"/>
      <c r="AU341" s="22"/>
      <c r="AV341" s="22"/>
      <c r="AW341" s="31">
        <v>44720</v>
      </c>
      <c r="AX341" s="32">
        <v>705</v>
      </c>
      <c r="BA341" s="22">
        <v>917.08</v>
      </c>
      <c r="BB341" s="22"/>
      <c r="BD341" s="9"/>
      <c r="CS341" s="11">
        <f t="shared" si="25"/>
        <v>917.08</v>
      </c>
      <c r="CT341" s="22">
        <f t="shared" si="26"/>
        <v>917.08</v>
      </c>
      <c r="CU341" s="22">
        <f t="shared" si="27"/>
        <v>0</v>
      </c>
      <c r="CV341" s="26">
        <f t="shared" si="28"/>
        <v>0</v>
      </c>
    </row>
    <row r="342" spans="1:100" x14ac:dyDescent="0.2">
      <c r="A342" s="9" t="s">
        <v>230</v>
      </c>
      <c r="B342" s="2">
        <v>124</v>
      </c>
      <c r="C342" s="50" t="s">
        <v>95</v>
      </c>
      <c r="D342" s="50" t="s">
        <v>96</v>
      </c>
      <c r="E342" s="49" t="s">
        <v>71</v>
      </c>
      <c r="F342" s="49">
        <v>8</v>
      </c>
      <c r="G342" s="2" t="s">
        <v>82</v>
      </c>
      <c r="H342" s="2">
        <v>1</v>
      </c>
      <c r="I342" s="20">
        <v>168.76</v>
      </c>
      <c r="J342" s="20">
        <v>51900</v>
      </c>
      <c r="K342" s="3">
        <v>0</v>
      </c>
      <c r="L342" s="3" t="s">
        <v>3</v>
      </c>
      <c r="M342" s="9" t="s">
        <v>0</v>
      </c>
      <c r="N342" s="9" t="s">
        <v>12</v>
      </c>
      <c r="O342" s="9" t="s">
        <v>231</v>
      </c>
      <c r="S342" s="9" t="s">
        <v>158</v>
      </c>
      <c r="V342" s="10">
        <v>168.76</v>
      </c>
      <c r="W342" s="10" t="s">
        <v>710</v>
      </c>
      <c r="X342" s="17">
        <v>44639</v>
      </c>
      <c r="Y342" s="17">
        <v>45570</v>
      </c>
      <c r="Z342" s="19" t="s">
        <v>772</v>
      </c>
      <c r="AA342" s="207">
        <v>43011.88</v>
      </c>
      <c r="AB342" s="9">
        <v>23</v>
      </c>
      <c r="AC342" s="9">
        <v>3</v>
      </c>
      <c r="AD342" s="17">
        <v>44742</v>
      </c>
      <c r="AE342" s="54">
        <v>917.08</v>
      </c>
      <c r="AF342" s="54"/>
      <c r="AG342" s="9" t="s">
        <v>134</v>
      </c>
      <c r="AH342" s="17">
        <v>44743</v>
      </c>
      <c r="AI342" s="30" t="s">
        <v>12</v>
      </c>
      <c r="AJ342" s="17" t="s">
        <v>2975</v>
      </c>
      <c r="AK342" s="9" t="s">
        <v>236</v>
      </c>
      <c r="AL342" s="22">
        <v>917.08</v>
      </c>
      <c r="AM342" s="22"/>
      <c r="AN342" s="22" t="s">
        <v>2979</v>
      </c>
      <c r="AO342" s="22"/>
      <c r="AP342" s="127"/>
      <c r="AQ342" s="22"/>
      <c r="AR342" s="22"/>
      <c r="AS342" s="22"/>
      <c r="AT342" s="22"/>
      <c r="AU342" s="22"/>
      <c r="AV342" s="22"/>
      <c r="AW342" s="31">
        <v>44743</v>
      </c>
      <c r="AX342" s="32">
        <v>749</v>
      </c>
      <c r="BA342" s="22">
        <v>917.08</v>
      </c>
      <c r="BB342" s="22"/>
      <c r="BD342" s="9"/>
      <c r="CS342" s="11">
        <f t="shared" si="25"/>
        <v>917.08</v>
      </c>
      <c r="CT342" s="22">
        <f t="shared" si="26"/>
        <v>917.08</v>
      </c>
      <c r="CU342" s="22">
        <f t="shared" si="27"/>
        <v>0</v>
      </c>
      <c r="CV342" s="26">
        <f t="shared" si="28"/>
        <v>0</v>
      </c>
    </row>
    <row r="343" spans="1:100" x14ac:dyDescent="0.2">
      <c r="A343" s="9" t="s">
        <v>230</v>
      </c>
      <c r="B343" s="2">
        <v>124</v>
      </c>
      <c r="C343" s="50" t="s">
        <v>95</v>
      </c>
      <c r="D343" s="50" t="s">
        <v>96</v>
      </c>
      <c r="E343" s="49" t="s">
        <v>71</v>
      </c>
      <c r="F343" s="49">
        <v>8</v>
      </c>
      <c r="G343" s="2" t="s">
        <v>82</v>
      </c>
      <c r="H343" s="2">
        <v>1</v>
      </c>
      <c r="I343" s="20">
        <v>168.76</v>
      </c>
      <c r="J343" s="20">
        <v>51900</v>
      </c>
      <c r="K343" s="3">
        <v>0</v>
      </c>
      <c r="L343" s="3" t="s">
        <v>3</v>
      </c>
      <c r="M343" s="9" t="s">
        <v>0</v>
      </c>
      <c r="N343" s="9" t="s">
        <v>12</v>
      </c>
      <c r="O343" s="9" t="s">
        <v>231</v>
      </c>
      <c r="S343" s="9" t="s">
        <v>158</v>
      </c>
      <c r="V343" s="10">
        <v>168.76</v>
      </c>
      <c r="W343" s="10" t="s">
        <v>710</v>
      </c>
      <c r="X343" s="17">
        <v>44639</v>
      </c>
      <c r="Y343" s="17">
        <v>45570</v>
      </c>
      <c r="Z343" s="19" t="s">
        <v>772</v>
      </c>
      <c r="AA343" s="207">
        <v>43011.88</v>
      </c>
      <c r="AB343" s="9">
        <v>23</v>
      </c>
      <c r="AC343" s="9">
        <v>4</v>
      </c>
      <c r="AD343" s="17">
        <v>44772</v>
      </c>
      <c r="AE343" s="54">
        <v>917.08</v>
      </c>
      <c r="AF343" s="54"/>
      <c r="AG343" s="9" t="s">
        <v>134</v>
      </c>
      <c r="AH343" s="17">
        <v>44776</v>
      </c>
      <c r="AI343" s="30" t="s">
        <v>12</v>
      </c>
      <c r="AJ343" s="17" t="s">
        <v>2975</v>
      </c>
      <c r="AK343" s="9" t="s">
        <v>237</v>
      </c>
      <c r="AL343" s="22">
        <v>917.08</v>
      </c>
      <c r="AM343" s="22"/>
      <c r="AN343" s="22" t="s">
        <v>2981</v>
      </c>
      <c r="AO343" s="22"/>
      <c r="AP343" s="127"/>
      <c r="AQ343" s="22"/>
      <c r="AR343" s="22"/>
      <c r="AS343" s="22"/>
      <c r="AT343" s="22"/>
      <c r="AU343" s="22"/>
      <c r="AV343" s="22"/>
      <c r="AW343" s="31">
        <v>44774</v>
      </c>
      <c r="AX343" s="32">
        <v>828</v>
      </c>
      <c r="BA343" s="22">
        <v>917.08</v>
      </c>
      <c r="BB343" s="22"/>
      <c r="BD343" s="9"/>
      <c r="CS343" s="11">
        <f t="shared" si="25"/>
        <v>917.08</v>
      </c>
      <c r="CT343" s="22">
        <f t="shared" si="26"/>
        <v>917.08</v>
      </c>
      <c r="CU343" s="22">
        <f t="shared" si="27"/>
        <v>0</v>
      </c>
      <c r="CV343" s="26">
        <f t="shared" si="28"/>
        <v>0</v>
      </c>
    </row>
    <row r="344" spans="1:100" x14ac:dyDescent="0.2">
      <c r="A344" s="9" t="s">
        <v>230</v>
      </c>
      <c r="B344" s="2">
        <v>124</v>
      </c>
      <c r="C344" s="50" t="s">
        <v>95</v>
      </c>
      <c r="D344" s="50" t="s">
        <v>96</v>
      </c>
      <c r="E344" s="49" t="s">
        <v>71</v>
      </c>
      <c r="F344" s="49">
        <v>8</v>
      </c>
      <c r="G344" s="2" t="s">
        <v>82</v>
      </c>
      <c r="H344" s="2">
        <v>1</v>
      </c>
      <c r="I344" s="20">
        <v>168.76</v>
      </c>
      <c r="J344" s="20">
        <v>51900</v>
      </c>
      <c r="K344" s="3">
        <v>0</v>
      </c>
      <c r="L344" s="3" t="s">
        <v>3</v>
      </c>
      <c r="M344" s="9" t="s">
        <v>0</v>
      </c>
      <c r="N344" s="9" t="s">
        <v>12</v>
      </c>
      <c r="O344" s="9" t="s">
        <v>231</v>
      </c>
      <c r="S344" s="9" t="s">
        <v>158</v>
      </c>
      <c r="V344" s="10">
        <v>168.76</v>
      </c>
      <c r="W344" s="10" t="s">
        <v>710</v>
      </c>
      <c r="X344" s="17">
        <v>44639</v>
      </c>
      <c r="Y344" s="17">
        <v>45570</v>
      </c>
      <c r="Z344" s="19" t="s">
        <v>772</v>
      </c>
      <c r="AA344" s="207">
        <v>43011.88</v>
      </c>
      <c r="AB344" s="9">
        <v>23</v>
      </c>
      <c r="AC344" s="9">
        <v>5</v>
      </c>
      <c r="AD344" s="17">
        <v>44803</v>
      </c>
      <c r="AE344" s="54">
        <v>917.08</v>
      </c>
      <c r="AF344" s="54"/>
      <c r="AG344" s="9" t="s">
        <v>134</v>
      </c>
      <c r="AH344" s="17">
        <v>44814</v>
      </c>
      <c r="AI344" s="30" t="s">
        <v>12</v>
      </c>
      <c r="AJ344" s="17" t="s">
        <v>2975</v>
      </c>
      <c r="AK344" s="9" t="s">
        <v>238</v>
      </c>
      <c r="AL344" s="22">
        <v>917.08</v>
      </c>
      <c r="AM344" s="22"/>
      <c r="AN344" s="22" t="s">
        <v>2982</v>
      </c>
      <c r="AO344" s="22"/>
      <c r="AP344" s="127"/>
      <c r="AQ344" s="22"/>
      <c r="AR344" s="22"/>
      <c r="AS344" s="22"/>
      <c r="AT344" s="22"/>
      <c r="AU344" s="22"/>
      <c r="AV344" s="22"/>
      <c r="AW344" s="31">
        <v>44813</v>
      </c>
      <c r="AX344" s="32">
        <v>933</v>
      </c>
      <c r="BA344" s="22">
        <v>917.08</v>
      </c>
      <c r="BB344" s="22"/>
      <c r="BD344" s="9"/>
      <c r="CS344" s="11">
        <f t="shared" si="25"/>
        <v>917.08</v>
      </c>
      <c r="CT344" s="22">
        <f t="shared" si="26"/>
        <v>917.08</v>
      </c>
      <c r="CU344" s="22">
        <f t="shared" si="27"/>
        <v>0</v>
      </c>
      <c r="CV344" s="26">
        <f t="shared" si="28"/>
        <v>0</v>
      </c>
    </row>
    <row r="345" spans="1:100" x14ac:dyDescent="0.2">
      <c r="A345" s="9" t="s">
        <v>230</v>
      </c>
      <c r="B345" s="2">
        <v>124</v>
      </c>
      <c r="C345" s="50" t="s">
        <v>95</v>
      </c>
      <c r="D345" s="50" t="s">
        <v>96</v>
      </c>
      <c r="E345" s="49" t="s">
        <v>71</v>
      </c>
      <c r="F345" s="49">
        <v>8</v>
      </c>
      <c r="G345" s="2" t="s">
        <v>82</v>
      </c>
      <c r="H345" s="2">
        <v>1</v>
      </c>
      <c r="I345" s="20">
        <v>168.76</v>
      </c>
      <c r="J345" s="20">
        <v>51900</v>
      </c>
      <c r="K345" s="3">
        <v>0</v>
      </c>
      <c r="L345" s="3" t="s">
        <v>3</v>
      </c>
      <c r="M345" s="9" t="s">
        <v>0</v>
      </c>
      <c r="N345" s="9" t="s">
        <v>12</v>
      </c>
      <c r="O345" s="9" t="s">
        <v>231</v>
      </c>
      <c r="S345" s="9" t="s">
        <v>158</v>
      </c>
      <c r="V345" s="10">
        <v>168.76</v>
      </c>
      <c r="W345" s="10" t="s">
        <v>710</v>
      </c>
      <c r="X345" s="17">
        <v>44639</v>
      </c>
      <c r="Y345" s="17">
        <v>45570</v>
      </c>
      <c r="Z345" s="19" t="s">
        <v>772</v>
      </c>
      <c r="AA345" s="207">
        <v>43011.88</v>
      </c>
      <c r="AB345" s="9">
        <v>23</v>
      </c>
      <c r="AC345" s="9">
        <v>6</v>
      </c>
      <c r="AD345" s="17">
        <v>44925</v>
      </c>
      <c r="AE345" s="54">
        <v>1375.62</v>
      </c>
      <c r="AF345" s="54"/>
      <c r="AG345" s="9" t="s">
        <v>134</v>
      </c>
      <c r="AH345" s="17">
        <v>45170</v>
      </c>
      <c r="AI345" s="30" t="s">
        <v>12</v>
      </c>
      <c r="AJ345" s="17" t="s">
        <v>2975</v>
      </c>
      <c r="AK345" s="9" t="s">
        <v>2950</v>
      </c>
      <c r="AL345" s="22">
        <v>1375.62</v>
      </c>
      <c r="AM345" s="22"/>
      <c r="AN345" s="22" t="s">
        <v>2986</v>
      </c>
      <c r="AO345" s="22"/>
      <c r="AP345" s="127"/>
      <c r="AQ345" s="22"/>
      <c r="AR345" s="22"/>
      <c r="AS345" s="22"/>
      <c r="AT345" s="22"/>
      <c r="AU345" s="22"/>
      <c r="AV345" s="22"/>
      <c r="AW345" s="31">
        <v>44925</v>
      </c>
      <c r="AX345" s="32">
        <v>1125</v>
      </c>
      <c r="BA345" s="22">
        <v>1375.62</v>
      </c>
      <c r="BB345" s="22"/>
      <c r="BD345" s="9"/>
      <c r="CS345" s="11">
        <f t="shared" si="25"/>
        <v>1375.62</v>
      </c>
      <c r="CT345" s="22">
        <f t="shared" si="26"/>
        <v>1375.62</v>
      </c>
      <c r="CU345" s="22">
        <f t="shared" si="27"/>
        <v>0</v>
      </c>
      <c r="CV345" s="26">
        <f t="shared" si="28"/>
        <v>0</v>
      </c>
    </row>
    <row r="346" spans="1:100" x14ac:dyDescent="0.2">
      <c r="A346" s="9" t="s">
        <v>230</v>
      </c>
      <c r="B346" s="2">
        <v>124</v>
      </c>
      <c r="C346" s="50" t="s">
        <v>95</v>
      </c>
      <c r="D346" s="50" t="s">
        <v>96</v>
      </c>
      <c r="E346" s="49" t="s">
        <v>71</v>
      </c>
      <c r="F346" s="49">
        <v>8</v>
      </c>
      <c r="G346" s="2" t="s">
        <v>82</v>
      </c>
      <c r="H346" s="2">
        <v>1</v>
      </c>
      <c r="I346" s="20">
        <v>168.76</v>
      </c>
      <c r="J346" s="20">
        <v>51900</v>
      </c>
      <c r="K346" s="3">
        <v>0</v>
      </c>
      <c r="L346" s="3" t="s">
        <v>3</v>
      </c>
      <c r="M346" s="9" t="s">
        <v>0</v>
      </c>
      <c r="N346" s="9" t="s">
        <v>12</v>
      </c>
      <c r="O346" s="9" t="s">
        <v>231</v>
      </c>
      <c r="S346" s="9" t="s">
        <v>158</v>
      </c>
      <c r="V346" s="10">
        <v>168.76</v>
      </c>
      <c r="W346" s="10" t="s">
        <v>710</v>
      </c>
      <c r="X346" s="17">
        <v>44639</v>
      </c>
      <c r="Y346" s="17">
        <v>45570</v>
      </c>
      <c r="Z346" s="19" t="s">
        <v>772</v>
      </c>
      <c r="AA346" s="207">
        <v>43011.88</v>
      </c>
      <c r="AB346" s="9">
        <v>23</v>
      </c>
      <c r="AC346" s="9">
        <v>7</v>
      </c>
      <c r="AD346" s="17">
        <v>44956</v>
      </c>
      <c r="AE346" s="54">
        <v>1375.62</v>
      </c>
      <c r="AF346" s="54"/>
      <c r="AG346" s="9" t="s">
        <v>134</v>
      </c>
      <c r="AH346" s="17">
        <v>44959</v>
      </c>
      <c r="AI346" s="30" t="s">
        <v>12</v>
      </c>
      <c r="AJ346" s="17" t="s">
        <v>2975</v>
      </c>
      <c r="AK346" s="9" t="s">
        <v>2945</v>
      </c>
      <c r="AL346" s="9">
        <v>1375.62</v>
      </c>
      <c r="AM346" s="22"/>
      <c r="AN346" s="22" t="s">
        <v>2953</v>
      </c>
      <c r="AO346" s="22"/>
      <c r="AP346" s="127"/>
      <c r="AQ346" s="22"/>
      <c r="AR346" s="22"/>
      <c r="AS346" s="22"/>
      <c r="AT346" s="22"/>
      <c r="AU346" s="22"/>
      <c r="AV346" s="22"/>
      <c r="AW346" s="31">
        <v>44959</v>
      </c>
      <c r="AX346" s="32">
        <v>1195</v>
      </c>
      <c r="BA346" s="22">
        <v>1375.62</v>
      </c>
      <c r="BB346" s="22"/>
      <c r="BD346" s="9"/>
      <c r="CS346" s="11">
        <f t="shared" si="25"/>
        <v>1375.62</v>
      </c>
      <c r="CT346" s="22">
        <f t="shared" si="26"/>
        <v>1375.62</v>
      </c>
      <c r="CU346" s="22">
        <f t="shared" si="27"/>
        <v>0</v>
      </c>
      <c r="CV346" s="26">
        <f t="shared" si="28"/>
        <v>0</v>
      </c>
    </row>
    <row r="347" spans="1:100" x14ac:dyDescent="0.2">
      <c r="A347" s="9" t="s">
        <v>230</v>
      </c>
      <c r="B347" s="2">
        <v>124</v>
      </c>
      <c r="C347" s="50" t="s">
        <v>95</v>
      </c>
      <c r="D347" s="50" t="s">
        <v>96</v>
      </c>
      <c r="E347" s="49" t="s">
        <v>71</v>
      </c>
      <c r="F347" s="49">
        <v>8</v>
      </c>
      <c r="G347" s="2" t="s">
        <v>82</v>
      </c>
      <c r="H347" s="2">
        <v>1</v>
      </c>
      <c r="I347" s="20">
        <v>168.76</v>
      </c>
      <c r="J347" s="20">
        <v>51900</v>
      </c>
      <c r="K347" s="3">
        <v>0</v>
      </c>
      <c r="L347" s="3" t="s">
        <v>3</v>
      </c>
      <c r="M347" s="9" t="s">
        <v>0</v>
      </c>
      <c r="N347" s="9" t="s">
        <v>12</v>
      </c>
      <c r="O347" s="9" t="s">
        <v>231</v>
      </c>
      <c r="S347" s="9" t="s">
        <v>158</v>
      </c>
      <c r="V347" s="10">
        <v>168.76</v>
      </c>
      <c r="W347" s="10" t="s">
        <v>710</v>
      </c>
      <c r="X347" s="17">
        <v>44639</v>
      </c>
      <c r="Y347" s="17">
        <v>45570</v>
      </c>
      <c r="Z347" s="19" t="s">
        <v>772</v>
      </c>
      <c r="AA347" s="207">
        <v>43011.88</v>
      </c>
      <c r="AB347" s="9">
        <v>23</v>
      </c>
      <c r="AC347" s="9">
        <v>8</v>
      </c>
      <c r="AD347" s="17">
        <v>37680</v>
      </c>
      <c r="AE347" s="54">
        <v>979.6</v>
      </c>
      <c r="AF347" s="54"/>
      <c r="AG347" s="9" t="s">
        <v>134</v>
      </c>
      <c r="AH347" s="17">
        <v>44992</v>
      </c>
      <c r="AI347" s="30" t="s">
        <v>12</v>
      </c>
      <c r="AJ347" s="17" t="s">
        <v>2975</v>
      </c>
      <c r="AK347" s="9" t="s">
        <v>239</v>
      </c>
      <c r="AL347" s="22">
        <v>985.84</v>
      </c>
      <c r="AM347" s="22"/>
      <c r="AN347" s="22" t="s">
        <v>2954</v>
      </c>
      <c r="AO347" s="22"/>
      <c r="AP347" s="127"/>
      <c r="AQ347" s="22"/>
      <c r="AR347" s="22"/>
      <c r="AS347" s="22"/>
      <c r="AT347" s="22"/>
      <c r="AU347" s="22"/>
      <c r="AV347" s="22"/>
      <c r="AW347" s="31">
        <v>44989</v>
      </c>
      <c r="AX347" s="32">
        <v>1296</v>
      </c>
      <c r="BA347" s="22">
        <v>985.84</v>
      </c>
      <c r="BB347" s="22"/>
      <c r="BD347" s="9"/>
      <c r="CS347" s="11">
        <f t="shared" si="25"/>
        <v>985.84</v>
      </c>
      <c r="CT347" s="22">
        <f t="shared" si="26"/>
        <v>985.84</v>
      </c>
      <c r="CU347" s="22">
        <f t="shared" si="27"/>
        <v>0</v>
      </c>
      <c r="CV347" s="26">
        <f t="shared" si="28"/>
        <v>-6.2400000000000091</v>
      </c>
    </row>
    <row r="348" spans="1:100" x14ac:dyDescent="0.2">
      <c r="A348" s="9" t="s">
        <v>230</v>
      </c>
      <c r="B348" s="2">
        <v>124</v>
      </c>
      <c r="C348" s="50" t="s">
        <v>95</v>
      </c>
      <c r="D348" s="50" t="s">
        <v>96</v>
      </c>
      <c r="E348" s="49" t="s">
        <v>71</v>
      </c>
      <c r="F348" s="49">
        <v>8</v>
      </c>
      <c r="G348" s="2" t="s">
        <v>82</v>
      </c>
      <c r="H348" s="2">
        <v>1</v>
      </c>
      <c r="I348" s="20">
        <v>168.76</v>
      </c>
      <c r="J348" s="20">
        <v>51900</v>
      </c>
      <c r="K348" s="3">
        <v>0</v>
      </c>
      <c r="L348" s="3" t="s">
        <v>3</v>
      </c>
      <c r="M348" s="9" t="s">
        <v>0</v>
      </c>
      <c r="N348" s="9" t="s">
        <v>12</v>
      </c>
      <c r="O348" s="9" t="s">
        <v>231</v>
      </c>
      <c r="S348" s="9" t="s">
        <v>158</v>
      </c>
      <c r="V348" s="10">
        <v>168.76</v>
      </c>
      <c r="W348" s="10" t="s">
        <v>710</v>
      </c>
      <c r="X348" s="17">
        <v>44639</v>
      </c>
      <c r="Y348" s="17">
        <v>45570</v>
      </c>
      <c r="Z348" s="19" t="s">
        <v>772</v>
      </c>
      <c r="AA348" s="207">
        <v>43011.88</v>
      </c>
      <c r="AB348" s="9">
        <v>23</v>
      </c>
      <c r="AC348" s="9">
        <v>9</v>
      </c>
      <c r="AD348" s="17">
        <v>45015</v>
      </c>
      <c r="AE348" s="54">
        <v>979.6</v>
      </c>
      <c r="AF348" s="54"/>
      <c r="AG348" s="9" t="s">
        <v>134</v>
      </c>
      <c r="AH348" s="17">
        <v>45029</v>
      </c>
      <c r="AI348" s="30" t="s">
        <v>12</v>
      </c>
      <c r="AJ348" s="17" t="s">
        <v>2975</v>
      </c>
      <c r="AK348" s="9" t="s">
        <v>2946</v>
      </c>
      <c r="AL348" s="22">
        <v>985</v>
      </c>
      <c r="AM348" s="22"/>
      <c r="AN348" s="22" t="s">
        <v>2955</v>
      </c>
      <c r="AO348" s="22"/>
      <c r="AP348" s="127"/>
      <c r="AQ348" s="22"/>
      <c r="AR348" s="22"/>
      <c r="AS348" s="22"/>
      <c r="AT348" s="22"/>
      <c r="AU348" s="22"/>
      <c r="AV348" s="22"/>
      <c r="AW348" s="31">
        <v>45022</v>
      </c>
      <c r="AX348" s="32">
        <v>1388</v>
      </c>
      <c r="BA348" s="22">
        <v>985</v>
      </c>
      <c r="BB348" s="22"/>
      <c r="BD348" s="9"/>
      <c r="CS348" s="11">
        <f t="shared" ref="CS348:CS411" si="29">+AL348+AT348</f>
        <v>985</v>
      </c>
      <c r="CT348" s="22">
        <f t="shared" ref="CT348:CT411" si="30">+BA348+BG348+BM348+BS348+BY348+CE348+CK348+CQ348</f>
        <v>985</v>
      </c>
      <c r="CU348" s="22">
        <f t="shared" ref="CU348:CU411" si="31">+CS348-CT348</f>
        <v>0</v>
      </c>
      <c r="CV348" s="26">
        <f t="shared" ref="CV348:CV411" si="32">+AE348-AL348-AT348</f>
        <v>-5.3999999999999773</v>
      </c>
    </row>
    <row r="349" spans="1:100" x14ac:dyDescent="0.2">
      <c r="A349" s="9" t="s">
        <v>230</v>
      </c>
      <c r="B349" s="2">
        <v>124</v>
      </c>
      <c r="C349" s="50" t="s">
        <v>95</v>
      </c>
      <c r="D349" s="50" t="s">
        <v>96</v>
      </c>
      <c r="E349" s="49" t="s">
        <v>71</v>
      </c>
      <c r="F349" s="49">
        <v>8</v>
      </c>
      <c r="G349" s="2" t="s">
        <v>82</v>
      </c>
      <c r="H349" s="2">
        <v>1</v>
      </c>
      <c r="I349" s="20">
        <v>168.76</v>
      </c>
      <c r="J349" s="20">
        <v>51900</v>
      </c>
      <c r="K349" s="3">
        <v>0</v>
      </c>
      <c r="L349" s="3" t="s">
        <v>3</v>
      </c>
      <c r="M349" s="9" t="s">
        <v>0</v>
      </c>
      <c r="N349" s="9" t="s">
        <v>12</v>
      </c>
      <c r="O349" s="9" t="s">
        <v>231</v>
      </c>
      <c r="S349" s="9" t="s">
        <v>158</v>
      </c>
      <c r="V349" s="10">
        <v>168.76</v>
      </c>
      <c r="W349" s="10" t="s">
        <v>710</v>
      </c>
      <c r="X349" s="17">
        <v>44639</v>
      </c>
      <c r="Y349" s="17">
        <v>45570</v>
      </c>
      <c r="Z349" s="19" t="s">
        <v>772</v>
      </c>
      <c r="AA349" s="207">
        <v>43011.88</v>
      </c>
      <c r="AB349" s="9">
        <v>23</v>
      </c>
      <c r="AC349" s="9">
        <v>10</v>
      </c>
      <c r="AD349" s="17">
        <v>45046</v>
      </c>
      <c r="AE349" s="54">
        <v>979.6</v>
      </c>
      <c r="AF349" s="54"/>
      <c r="AG349" s="9" t="s">
        <v>134</v>
      </c>
      <c r="AH349" s="17">
        <v>45070</v>
      </c>
      <c r="AI349" s="30" t="s">
        <v>12</v>
      </c>
      <c r="AJ349" s="17" t="s">
        <v>2975</v>
      </c>
      <c r="AK349" s="9" t="s">
        <v>2947</v>
      </c>
      <c r="AL349" s="22">
        <v>965.2</v>
      </c>
      <c r="AM349" s="22"/>
      <c r="AN349" s="22" t="s">
        <v>2983</v>
      </c>
      <c r="AO349" s="22"/>
      <c r="AP349" s="127"/>
      <c r="AQ349" s="22"/>
      <c r="AR349" s="22"/>
      <c r="AS349" s="22"/>
      <c r="AT349" s="22"/>
      <c r="AU349" s="22"/>
      <c r="AV349" s="22"/>
      <c r="AW349" s="31">
        <v>45050</v>
      </c>
      <c r="AX349" s="32">
        <v>1481</v>
      </c>
      <c r="BA349" s="22">
        <v>965.2</v>
      </c>
      <c r="BB349" s="22"/>
      <c r="BD349" s="9"/>
      <c r="CS349" s="11">
        <f t="shared" si="29"/>
        <v>965.2</v>
      </c>
      <c r="CT349" s="22">
        <f t="shared" si="30"/>
        <v>965.2</v>
      </c>
      <c r="CU349" s="22">
        <f t="shared" si="31"/>
        <v>0</v>
      </c>
      <c r="CV349" s="26">
        <f t="shared" si="32"/>
        <v>14.399999999999977</v>
      </c>
    </row>
    <row r="350" spans="1:100" x14ac:dyDescent="0.2">
      <c r="A350" s="9" t="s">
        <v>230</v>
      </c>
      <c r="B350" s="2">
        <v>124</v>
      </c>
      <c r="C350" s="50" t="s">
        <v>95</v>
      </c>
      <c r="D350" s="50" t="s">
        <v>96</v>
      </c>
      <c r="E350" s="49" t="s">
        <v>71</v>
      </c>
      <c r="F350" s="49">
        <v>8</v>
      </c>
      <c r="G350" s="2" t="s">
        <v>82</v>
      </c>
      <c r="H350" s="2">
        <v>1</v>
      </c>
      <c r="I350" s="20">
        <v>168.76</v>
      </c>
      <c r="J350" s="20">
        <v>51900</v>
      </c>
      <c r="K350" s="3">
        <v>0</v>
      </c>
      <c r="L350" s="3" t="s">
        <v>3</v>
      </c>
      <c r="M350" s="9" t="s">
        <v>0</v>
      </c>
      <c r="N350" s="9" t="s">
        <v>12</v>
      </c>
      <c r="O350" s="9" t="s">
        <v>231</v>
      </c>
      <c r="S350" s="9" t="s">
        <v>158</v>
      </c>
      <c r="V350" s="10">
        <v>168.76</v>
      </c>
      <c r="W350" s="10" t="s">
        <v>710</v>
      </c>
      <c r="X350" s="17">
        <v>44639</v>
      </c>
      <c r="Y350" s="17">
        <v>45570</v>
      </c>
      <c r="Z350" s="19" t="s">
        <v>772</v>
      </c>
      <c r="AA350" s="207">
        <v>43011.88</v>
      </c>
      <c r="AB350" s="9">
        <v>23</v>
      </c>
      <c r="AC350" s="9">
        <v>11</v>
      </c>
      <c r="AD350" s="17">
        <v>45076</v>
      </c>
      <c r="AE350" s="54">
        <v>979.6</v>
      </c>
      <c r="AF350" s="54"/>
      <c r="AG350" s="9" t="s">
        <v>134</v>
      </c>
      <c r="AH350" s="17">
        <v>45117</v>
      </c>
      <c r="AI350" s="30" t="s">
        <v>12</v>
      </c>
      <c r="AJ350" s="17" t="s">
        <v>2975</v>
      </c>
      <c r="AK350" s="9" t="s">
        <v>2948</v>
      </c>
      <c r="AL350" s="22">
        <v>979.6</v>
      </c>
      <c r="AM350" s="22"/>
      <c r="AN350" s="22" t="s">
        <v>2984</v>
      </c>
      <c r="AO350" s="22"/>
      <c r="AP350" s="127"/>
      <c r="AQ350" s="22"/>
      <c r="AR350" s="22"/>
      <c r="AS350" s="22"/>
      <c r="AT350" s="22"/>
      <c r="AU350" s="22"/>
      <c r="AV350" s="22"/>
      <c r="AW350" s="31">
        <v>45083</v>
      </c>
      <c r="AX350" s="32">
        <v>1598</v>
      </c>
      <c r="BA350" s="22">
        <v>917.08</v>
      </c>
      <c r="BB350" s="22"/>
      <c r="BC350" s="17">
        <v>45113</v>
      </c>
      <c r="BD350" s="9">
        <v>1675</v>
      </c>
      <c r="BG350" s="9">
        <v>62.52</v>
      </c>
      <c r="CS350" s="11">
        <f t="shared" si="29"/>
        <v>979.6</v>
      </c>
      <c r="CT350" s="22">
        <f t="shared" si="30"/>
        <v>979.6</v>
      </c>
      <c r="CU350" s="22">
        <f t="shared" si="31"/>
        <v>0</v>
      </c>
      <c r="CV350" s="26">
        <f t="shared" si="32"/>
        <v>0</v>
      </c>
    </row>
    <row r="351" spans="1:100" x14ac:dyDescent="0.2">
      <c r="A351" s="9" t="s">
        <v>230</v>
      </c>
      <c r="B351" s="2">
        <v>124</v>
      </c>
      <c r="C351" s="50" t="s">
        <v>95</v>
      </c>
      <c r="D351" s="50" t="s">
        <v>96</v>
      </c>
      <c r="E351" s="49" t="s">
        <v>71</v>
      </c>
      <c r="F351" s="49">
        <v>8</v>
      </c>
      <c r="G351" s="2" t="s">
        <v>82</v>
      </c>
      <c r="H351" s="2">
        <v>1</v>
      </c>
      <c r="I351" s="20">
        <v>168.76</v>
      </c>
      <c r="J351" s="20">
        <v>51900</v>
      </c>
      <c r="K351" s="3">
        <v>0</v>
      </c>
      <c r="L351" s="3" t="s">
        <v>3</v>
      </c>
      <c r="M351" s="9" t="s">
        <v>0</v>
      </c>
      <c r="N351" s="9" t="s">
        <v>12</v>
      </c>
      <c r="O351" s="9" t="s">
        <v>231</v>
      </c>
      <c r="S351" s="9" t="s">
        <v>158</v>
      </c>
      <c r="V351" s="10">
        <v>168.76</v>
      </c>
      <c r="W351" s="10" t="s">
        <v>710</v>
      </c>
      <c r="X351" s="17">
        <v>44639</v>
      </c>
      <c r="Y351" s="17">
        <v>45570</v>
      </c>
      <c r="Z351" s="19" t="s">
        <v>772</v>
      </c>
      <c r="AA351" s="207">
        <v>43011.88</v>
      </c>
      <c r="AB351" s="9">
        <v>23</v>
      </c>
      <c r="AC351" s="9">
        <v>12</v>
      </c>
      <c r="AD351" s="17">
        <v>45107</v>
      </c>
      <c r="AE351" s="54">
        <v>979.6</v>
      </c>
      <c r="AF351" s="54"/>
      <c r="AG351" s="9" t="s">
        <v>134</v>
      </c>
      <c r="AH351" s="17">
        <v>45117</v>
      </c>
      <c r="AI351" s="30" t="s">
        <v>12</v>
      </c>
      <c r="AJ351" s="17" t="s">
        <v>2975</v>
      </c>
      <c r="AK351" s="9" t="s">
        <v>2949</v>
      </c>
      <c r="AL351" s="22">
        <v>979.6</v>
      </c>
      <c r="AM351" s="22"/>
      <c r="AN351" s="22" t="s">
        <v>2985</v>
      </c>
      <c r="AO351" s="22"/>
      <c r="AP351" s="127"/>
      <c r="AQ351" s="22"/>
      <c r="AR351" s="22"/>
      <c r="AS351" s="22"/>
      <c r="AT351" s="22"/>
      <c r="AU351" s="22"/>
      <c r="AV351" s="22"/>
      <c r="AW351" s="31">
        <v>45113</v>
      </c>
      <c r="AX351" s="9">
        <v>1675</v>
      </c>
      <c r="BA351" s="22">
        <v>979.6</v>
      </c>
      <c r="BB351" s="22"/>
      <c r="BD351" s="9"/>
      <c r="CS351" s="11">
        <f t="shared" si="29"/>
        <v>979.6</v>
      </c>
      <c r="CT351" s="22">
        <f t="shared" si="30"/>
        <v>979.6</v>
      </c>
      <c r="CU351" s="22">
        <f t="shared" si="31"/>
        <v>0</v>
      </c>
      <c r="CV351" s="26">
        <f t="shared" si="32"/>
        <v>0</v>
      </c>
    </row>
    <row r="352" spans="1:100" x14ac:dyDescent="0.2">
      <c r="A352" s="9" t="s">
        <v>230</v>
      </c>
      <c r="B352" s="2">
        <v>124</v>
      </c>
      <c r="C352" s="50" t="s">
        <v>95</v>
      </c>
      <c r="D352" s="50" t="s">
        <v>96</v>
      </c>
      <c r="E352" s="49" t="s">
        <v>71</v>
      </c>
      <c r="F352" s="49">
        <v>8</v>
      </c>
      <c r="G352" s="2" t="s">
        <v>82</v>
      </c>
      <c r="H352" s="2">
        <v>1</v>
      </c>
      <c r="I352" s="20">
        <v>168.76</v>
      </c>
      <c r="J352" s="20">
        <v>51900</v>
      </c>
      <c r="K352" s="3">
        <v>0</v>
      </c>
      <c r="L352" s="3" t="s">
        <v>3</v>
      </c>
      <c r="M352" s="9" t="s">
        <v>0</v>
      </c>
      <c r="N352" s="9" t="s">
        <v>12</v>
      </c>
      <c r="O352" s="9" t="s">
        <v>231</v>
      </c>
      <c r="S352" s="9" t="s">
        <v>158</v>
      </c>
      <c r="V352" s="10">
        <v>168.76</v>
      </c>
      <c r="W352" s="10" t="s">
        <v>710</v>
      </c>
      <c r="X352" s="17">
        <v>44639</v>
      </c>
      <c r="Y352" s="17">
        <v>45570</v>
      </c>
      <c r="Z352" s="19" t="s">
        <v>772</v>
      </c>
      <c r="AA352" s="207">
        <v>43011.88</v>
      </c>
      <c r="AB352" s="9">
        <v>23</v>
      </c>
      <c r="AC352" s="9">
        <v>13</v>
      </c>
      <c r="AD352" s="17">
        <v>45137</v>
      </c>
      <c r="AE352" s="54">
        <v>979.6</v>
      </c>
      <c r="AF352" s="54"/>
      <c r="AG352" s="9" t="s">
        <v>134</v>
      </c>
      <c r="AH352" s="17">
        <v>45188</v>
      </c>
      <c r="AI352" s="30" t="s">
        <v>12</v>
      </c>
      <c r="AJ352" s="17" t="s">
        <v>2975</v>
      </c>
      <c r="AK352" s="9" t="s">
        <v>241</v>
      </c>
      <c r="AL352" s="22">
        <v>980</v>
      </c>
      <c r="AM352" s="22"/>
      <c r="AN352" s="22" t="s">
        <v>2987</v>
      </c>
      <c r="AO352" s="22"/>
      <c r="AP352" s="127"/>
      <c r="AQ352" s="22"/>
      <c r="AR352" s="22"/>
      <c r="AS352" s="22"/>
      <c r="AT352" s="22"/>
      <c r="AU352" s="22"/>
      <c r="AV352" s="22"/>
      <c r="AW352" s="31">
        <v>45187</v>
      </c>
      <c r="AX352" s="32">
        <v>1907</v>
      </c>
      <c r="BA352" s="22">
        <v>980</v>
      </c>
      <c r="BB352" s="22"/>
      <c r="BD352" s="9"/>
      <c r="CS352" s="11">
        <f t="shared" si="29"/>
        <v>980</v>
      </c>
      <c r="CT352" s="22">
        <f t="shared" si="30"/>
        <v>980</v>
      </c>
      <c r="CU352" s="22">
        <f t="shared" si="31"/>
        <v>0</v>
      </c>
      <c r="CV352" s="26">
        <f t="shared" si="32"/>
        <v>-0.39999999999997726</v>
      </c>
    </row>
    <row r="353" spans="1:103" x14ac:dyDescent="0.2">
      <c r="A353" s="9" t="s">
        <v>230</v>
      </c>
      <c r="B353" s="2">
        <v>124</v>
      </c>
      <c r="C353" s="50" t="s">
        <v>95</v>
      </c>
      <c r="D353" s="50" t="s">
        <v>96</v>
      </c>
      <c r="E353" s="49" t="s">
        <v>71</v>
      </c>
      <c r="F353" s="49">
        <v>8</v>
      </c>
      <c r="G353" s="2" t="s">
        <v>82</v>
      </c>
      <c r="H353" s="2">
        <v>1</v>
      </c>
      <c r="I353" s="20">
        <v>168.76</v>
      </c>
      <c r="J353" s="20">
        <v>51900</v>
      </c>
      <c r="K353" s="3">
        <v>0</v>
      </c>
      <c r="L353" s="3" t="s">
        <v>3</v>
      </c>
      <c r="M353" s="9" t="s">
        <v>0</v>
      </c>
      <c r="N353" s="9" t="s">
        <v>12</v>
      </c>
      <c r="O353" s="9" t="s">
        <v>231</v>
      </c>
      <c r="S353" s="9" t="s">
        <v>158</v>
      </c>
      <c r="V353" s="10">
        <v>168.76</v>
      </c>
      <c r="W353" s="10" t="s">
        <v>710</v>
      </c>
      <c r="X353" s="17">
        <v>44639</v>
      </c>
      <c r="Y353" s="17">
        <v>45570</v>
      </c>
      <c r="Z353" s="19" t="s">
        <v>772</v>
      </c>
      <c r="AA353" s="207">
        <v>43011.88</v>
      </c>
      <c r="AB353" s="9">
        <v>23</v>
      </c>
      <c r="AC353" s="9">
        <v>14</v>
      </c>
      <c r="AD353" s="17">
        <v>45168</v>
      </c>
      <c r="AE353" s="54">
        <v>979.6</v>
      </c>
      <c r="AF353" s="54"/>
      <c r="AG353" s="9" t="s">
        <v>134</v>
      </c>
      <c r="AH353" s="17">
        <v>45188</v>
      </c>
      <c r="AI353" s="30" t="s">
        <v>12</v>
      </c>
      <c r="AJ353" s="17" t="s">
        <v>2975</v>
      </c>
      <c r="AK353" s="9" t="s">
        <v>240</v>
      </c>
      <c r="AL353" s="22">
        <v>980</v>
      </c>
      <c r="AM353" s="22"/>
      <c r="AN353" s="22" t="s">
        <v>2988</v>
      </c>
      <c r="AO353" s="22"/>
      <c r="AP353" s="127"/>
      <c r="AQ353" s="22"/>
      <c r="AR353" s="22"/>
      <c r="AS353" s="22"/>
      <c r="AT353" s="22"/>
      <c r="AU353" s="22"/>
      <c r="AV353" s="22"/>
      <c r="AW353" s="31">
        <v>45187</v>
      </c>
      <c r="AX353" s="32">
        <v>1907</v>
      </c>
      <c r="BA353" s="22">
        <v>980</v>
      </c>
      <c r="BB353" s="22"/>
      <c r="BD353" s="9"/>
      <c r="CS353" s="11">
        <f t="shared" si="29"/>
        <v>980</v>
      </c>
      <c r="CT353" s="22">
        <f t="shared" si="30"/>
        <v>980</v>
      </c>
      <c r="CU353" s="22">
        <f t="shared" si="31"/>
        <v>0</v>
      </c>
      <c r="CV353" s="26">
        <f t="shared" si="32"/>
        <v>-0.39999999999997726</v>
      </c>
    </row>
    <row r="354" spans="1:103" x14ac:dyDescent="0.2">
      <c r="A354" s="9" t="s">
        <v>230</v>
      </c>
      <c r="B354" s="2">
        <v>124</v>
      </c>
      <c r="C354" s="50" t="s">
        <v>95</v>
      </c>
      <c r="D354" s="50" t="s">
        <v>96</v>
      </c>
      <c r="E354" s="49" t="s">
        <v>71</v>
      </c>
      <c r="F354" s="49">
        <v>8</v>
      </c>
      <c r="G354" s="2" t="s">
        <v>82</v>
      </c>
      <c r="H354" s="2">
        <v>1</v>
      </c>
      <c r="I354" s="20">
        <v>168.76</v>
      </c>
      <c r="J354" s="20">
        <v>51900</v>
      </c>
      <c r="K354" s="3">
        <v>0</v>
      </c>
      <c r="L354" s="3" t="s">
        <v>3</v>
      </c>
      <c r="M354" s="9" t="s">
        <v>0</v>
      </c>
      <c r="N354" s="9" t="s">
        <v>12</v>
      </c>
      <c r="O354" s="9" t="s">
        <v>231</v>
      </c>
      <c r="S354" s="9" t="s">
        <v>158</v>
      </c>
      <c r="V354" s="10">
        <v>168.76</v>
      </c>
      <c r="W354" s="10" t="s">
        <v>710</v>
      </c>
      <c r="X354" s="17">
        <v>44639</v>
      </c>
      <c r="Y354" s="17">
        <v>45570</v>
      </c>
      <c r="Z354" s="19" t="s">
        <v>772</v>
      </c>
      <c r="AA354" s="207">
        <v>43011.88</v>
      </c>
      <c r="AB354" s="9">
        <v>23</v>
      </c>
      <c r="AC354" s="9">
        <v>15</v>
      </c>
      <c r="AD354" s="17">
        <v>45199</v>
      </c>
      <c r="AE354" s="54">
        <v>979.6</v>
      </c>
      <c r="AF354" s="54"/>
      <c r="AG354" s="9" t="s">
        <v>134</v>
      </c>
      <c r="AH354" s="17">
        <v>45208</v>
      </c>
      <c r="AI354" s="30" t="s">
        <v>12</v>
      </c>
      <c r="AJ354" s="17" t="s">
        <v>2975</v>
      </c>
      <c r="AK354" s="9" t="s">
        <v>2951</v>
      </c>
      <c r="AL354" s="22">
        <v>980</v>
      </c>
      <c r="AM354" s="22"/>
      <c r="AN354" s="22" t="s">
        <v>2989</v>
      </c>
      <c r="AO354" s="22"/>
      <c r="AP354" s="127"/>
      <c r="AQ354" s="22"/>
      <c r="AR354" s="22"/>
      <c r="AS354" s="22"/>
      <c r="AT354" s="22"/>
      <c r="AU354" s="22"/>
      <c r="AV354" s="22"/>
      <c r="AW354" s="31">
        <v>45204</v>
      </c>
      <c r="AX354" s="32">
        <v>1955</v>
      </c>
      <c r="BA354" s="22">
        <v>980</v>
      </c>
      <c r="BB354" s="22"/>
      <c r="BD354" s="9"/>
      <c r="CS354" s="11">
        <f t="shared" si="29"/>
        <v>980</v>
      </c>
      <c r="CT354" s="22">
        <f t="shared" si="30"/>
        <v>980</v>
      </c>
      <c r="CU354" s="22">
        <f t="shared" si="31"/>
        <v>0</v>
      </c>
      <c r="CV354" s="26">
        <f t="shared" si="32"/>
        <v>-0.39999999999997726</v>
      </c>
    </row>
    <row r="355" spans="1:103" x14ac:dyDescent="0.2">
      <c r="A355" s="9" t="s">
        <v>230</v>
      </c>
      <c r="B355" s="2">
        <v>124</v>
      </c>
      <c r="C355" s="50" t="s">
        <v>95</v>
      </c>
      <c r="D355" s="50" t="s">
        <v>96</v>
      </c>
      <c r="E355" s="49" t="s">
        <v>71</v>
      </c>
      <c r="F355" s="49">
        <v>8</v>
      </c>
      <c r="G355" s="2" t="s">
        <v>82</v>
      </c>
      <c r="H355" s="2">
        <v>1</v>
      </c>
      <c r="I355" s="20">
        <v>168.76</v>
      </c>
      <c r="J355" s="20">
        <v>51900</v>
      </c>
      <c r="K355" s="3">
        <v>0</v>
      </c>
      <c r="L355" s="3" t="s">
        <v>3</v>
      </c>
      <c r="M355" s="9" t="s">
        <v>0</v>
      </c>
      <c r="N355" s="9" t="s">
        <v>12</v>
      </c>
      <c r="O355" s="9" t="s">
        <v>231</v>
      </c>
      <c r="S355" s="9" t="s">
        <v>158</v>
      </c>
      <c r="V355" s="10">
        <v>168.76</v>
      </c>
      <c r="W355" s="10" t="s">
        <v>710</v>
      </c>
      <c r="X355" s="17">
        <v>44639</v>
      </c>
      <c r="Y355" s="17">
        <v>45570</v>
      </c>
      <c r="Z355" s="19" t="s">
        <v>772</v>
      </c>
      <c r="AA355" s="207">
        <v>43011.88</v>
      </c>
      <c r="AB355" s="9">
        <v>23</v>
      </c>
      <c r="AC355" s="9">
        <v>16</v>
      </c>
      <c r="AD355" s="17">
        <v>45229</v>
      </c>
      <c r="AE355" s="54">
        <v>979.6</v>
      </c>
      <c r="AF355" s="54"/>
      <c r="AG355" s="9" t="s">
        <v>134</v>
      </c>
      <c r="AH355" s="17">
        <v>45234</v>
      </c>
      <c r="AI355" s="30" t="s">
        <v>12</v>
      </c>
      <c r="AJ355" s="17" t="s">
        <v>2975</v>
      </c>
      <c r="AK355" s="9" t="s">
        <v>2952</v>
      </c>
      <c r="AL355" s="22">
        <v>980</v>
      </c>
      <c r="AM355" s="22"/>
      <c r="AN355" s="22" t="s">
        <v>2990</v>
      </c>
      <c r="AO355" s="22"/>
      <c r="AP355" s="127"/>
      <c r="AQ355" s="22"/>
      <c r="AR355" s="22"/>
      <c r="AS355" s="22"/>
      <c r="AT355" s="22"/>
      <c r="AU355" s="22"/>
      <c r="AV355" s="22"/>
      <c r="AW355" s="31">
        <v>45232</v>
      </c>
      <c r="AX355" s="32">
        <v>2019</v>
      </c>
      <c r="BA355" s="22">
        <v>980</v>
      </c>
      <c r="BB355" s="22"/>
      <c r="BD355" s="9"/>
      <c r="CS355" s="11">
        <f t="shared" si="29"/>
        <v>980</v>
      </c>
      <c r="CT355" s="22">
        <f t="shared" si="30"/>
        <v>980</v>
      </c>
      <c r="CU355" s="22">
        <f t="shared" si="31"/>
        <v>0</v>
      </c>
      <c r="CV355" s="26">
        <f t="shared" si="32"/>
        <v>-0.39999999999997726</v>
      </c>
    </row>
    <row r="356" spans="1:103" x14ac:dyDescent="0.2">
      <c r="A356" s="9" t="s">
        <v>230</v>
      </c>
      <c r="B356" s="2">
        <v>124</v>
      </c>
      <c r="C356" s="50" t="s">
        <v>95</v>
      </c>
      <c r="D356" s="50" t="s">
        <v>96</v>
      </c>
      <c r="E356" s="49" t="s">
        <v>71</v>
      </c>
      <c r="F356" s="49">
        <v>8</v>
      </c>
      <c r="G356" s="2" t="s">
        <v>82</v>
      </c>
      <c r="H356" s="2">
        <v>1</v>
      </c>
      <c r="I356" s="20">
        <v>168.76</v>
      </c>
      <c r="J356" s="20">
        <v>51900</v>
      </c>
      <c r="K356" s="3">
        <v>0</v>
      </c>
      <c r="L356" s="3" t="s">
        <v>3</v>
      </c>
      <c r="M356" s="9" t="s">
        <v>0</v>
      </c>
      <c r="N356" s="9" t="s">
        <v>12</v>
      </c>
      <c r="O356" s="9" t="s">
        <v>231</v>
      </c>
      <c r="S356" s="9" t="s">
        <v>158</v>
      </c>
      <c r="V356" s="10">
        <v>168.76</v>
      </c>
      <c r="W356" s="10" t="s">
        <v>710</v>
      </c>
      <c r="X356" s="17">
        <v>44639</v>
      </c>
      <c r="Y356" s="17">
        <v>45570</v>
      </c>
      <c r="Z356" s="19" t="s">
        <v>772</v>
      </c>
      <c r="AA356" s="207">
        <v>43011.88</v>
      </c>
      <c r="AB356" s="9">
        <v>23</v>
      </c>
      <c r="AC356" s="9">
        <v>17</v>
      </c>
      <c r="AD356" s="17">
        <v>45260</v>
      </c>
      <c r="AE356" s="54">
        <v>979.6</v>
      </c>
      <c r="AF356" s="54"/>
      <c r="AG356" s="9" t="s">
        <v>134</v>
      </c>
      <c r="AH356" s="127">
        <v>45293</v>
      </c>
      <c r="AI356" s="30" t="s">
        <v>12</v>
      </c>
      <c r="AJ356" s="17" t="s">
        <v>2975</v>
      </c>
      <c r="AK356" s="22" t="s">
        <v>2956</v>
      </c>
      <c r="AL356" s="22">
        <v>980</v>
      </c>
      <c r="AM356" s="22"/>
      <c r="AN356" s="22" t="s">
        <v>2963</v>
      </c>
      <c r="AO356" s="22"/>
      <c r="AP356" s="127"/>
      <c r="AQ356" s="22"/>
      <c r="AR356" s="22"/>
      <c r="AS356" s="22"/>
      <c r="AT356" s="22"/>
      <c r="AU356" s="22"/>
      <c r="AV356" s="22"/>
      <c r="AW356" s="31">
        <v>45290</v>
      </c>
      <c r="AX356" s="32">
        <v>2169</v>
      </c>
      <c r="BA356" s="22">
        <v>980</v>
      </c>
      <c r="BB356" s="22"/>
      <c r="BD356" s="9"/>
      <c r="CS356" s="11">
        <f t="shared" si="29"/>
        <v>980</v>
      </c>
      <c r="CT356" s="22">
        <f t="shared" si="30"/>
        <v>980</v>
      </c>
      <c r="CU356" s="22">
        <f t="shared" si="31"/>
        <v>0</v>
      </c>
      <c r="CV356" s="26">
        <f t="shared" si="32"/>
        <v>-0.39999999999997726</v>
      </c>
    </row>
    <row r="357" spans="1:103" x14ac:dyDescent="0.2">
      <c r="A357" s="9" t="s">
        <v>230</v>
      </c>
      <c r="B357" s="2">
        <v>124</v>
      </c>
      <c r="C357" s="50" t="s">
        <v>95</v>
      </c>
      <c r="D357" s="50" t="s">
        <v>96</v>
      </c>
      <c r="E357" s="49" t="s">
        <v>71</v>
      </c>
      <c r="F357" s="49">
        <v>8</v>
      </c>
      <c r="G357" s="2" t="s">
        <v>82</v>
      </c>
      <c r="H357" s="2">
        <v>1</v>
      </c>
      <c r="I357" s="20">
        <v>168.76</v>
      </c>
      <c r="J357" s="20">
        <v>51900</v>
      </c>
      <c r="K357" s="3">
        <v>0</v>
      </c>
      <c r="L357" s="3" t="s">
        <v>3</v>
      </c>
      <c r="M357" s="9" t="s">
        <v>0</v>
      </c>
      <c r="N357" s="9" t="s">
        <v>12</v>
      </c>
      <c r="O357" s="9" t="s">
        <v>231</v>
      </c>
      <c r="S357" s="9" t="s">
        <v>158</v>
      </c>
      <c r="V357" s="10">
        <v>168.76</v>
      </c>
      <c r="W357" s="10" t="s">
        <v>710</v>
      </c>
      <c r="X357" s="17">
        <v>44639</v>
      </c>
      <c r="Y357" s="17">
        <v>45570</v>
      </c>
      <c r="Z357" s="19" t="s">
        <v>772</v>
      </c>
      <c r="AA357" s="207">
        <v>43011.88</v>
      </c>
      <c r="AB357" s="9">
        <v>23</v>
      </c>
      <c r="AC357" s="9">
        <v>18</v>
      </c>
      <c r="AD357" s="17">
        <v>45290</v>
      </c>
      <c r="AE357" s="54">
        <v>979.6</v>
      </c>
      <c r="AF357" s="54"/>
      <c r="AG357" s="9" t="s">
        <v>134</v>
      </c>
      <c r="AH357" s="127">
        <v>45369</v>
      </c>
      <c r="AI357" s="30" t="s">
        <v>12</v>
      </c>
      <c r="AJ357" s="17" t="s">
        <v>2975</v>
      </c>
      <c r="AK357" s="22" t="s">
        <v>2957</v>
      </c>
      <c r="AL357" s="22">
        <v>980</v>
      </c>
      <c r="AM357" s="22"/>
      <c r="AN357" s="22" t="s">
        <v>2964</v>
      </c>
      <c r="AO357" s="22"/>
      <c r="AP357" s="127"/>
      <c r="AQ357" s="22"/>
      <c r="AR357" s="22"/>
      <c r="AS357" s="22"/>
      <c r="AT357" s="22"/>
      <c r="AU357" s="22"/>
      <c r="AV357" s="22"/>
      <c r="AW357" s="31">
        <v>45369</v>
      </c>
      <c r="AX357" s="32">
        <v>2431</v>
      </c>
      <c r="BA357" s="22">
        <v>980</v>
      </c>
      <c r="BB357" s="22"/>
      <c r="BD357" s="9"/>
      <c r="CS357" s="11">
        <f t="shared" si="29"/>
        <v>980</v>
      </c>
      <c r="CT357" s="22">
        <f t="shared" si="30"/>
        <v>980</v>
      </c>
      <c r="CU357" s="22">
        <f t="shared" si="31"/>
        <v>0</v>
      </c>
      <c r="CV357" s="26">
        <f t="shared" si="32"/>
        <v>-0.39999999999997726</v>
      </c>
    </row>
    <row r="358" spans="1:103" x14ac:dyDescent="0.2">
      <c r="A358" s="9" t="s">
        <v>230</v>
      </c>
      <c r="B358" s="2">
        <v>124</v>
      </c>
      <c r="C358" s="50" t="s">
        <v>95</v>
      </c>
      <c r="D358" s="50" t="s">
        <v>96</v>
      </c>
      <c r="E358" s="49" t="s">
        <v>71</v>
      </c>
      <c r="F358" s="49">
        <v>8</v>
      </c>
      <c r="G358" s="2" t="s">
        <v>82</v>
      </c>
      <c r="H358" s="2">
        <v>1</v>
      </c>
      <c r="I358" s="20">
        <v>168.76</v>
      </c>
      <c r="J358" s="20">
        <v>51900</v>
      </c>
      <c r="K358" s="3">
        <v>0</v>
      </c>
      <c r="L358" s="3" t="s">
        <v>3</v>
      </c>
      <c r="M358" s="9" t="s">
        <v>0</v>
      </c>
      <c r="N358" s="9" t="s">
        <v>12</v>
      </c>
      <c r="O358" s="9" t="s">
        <v>231</v>
      </c>
      <c r="S358" s="9" t="s">
        <v>158</v>
      </c>
      <c r="V358" s="10">
        <v>168.76</v>
      </c>
      <c r="W358" s="10" t="s">
        <v>710</v>
      </c>
      <c r="X358" s="17">
        <v>44639</v>
      </c>
      <c r="Y358" s="17">
        <v>45570</v>
      </c>
      <c r="Z358" s="19" t="s">
        <v>772</v>
      </c>
      <c r="AA358" s="207">
        <v>43011.88</v>
      </c>
      <c r="AB358" s="9">
        <v>23</v>
      </c>
      <c r="AC358" s="9">
        <v>19</v>
      </c>
      <c r="AD358" s="17">
        <v>45321</v>
      </c>
      <c r="AE358" s="54">
        <v>979.6</v>
      </c>
      <c r="AF358" s="54"/>
      <c r="AG358" s="9" t="s">
        <v>134</v>
      </c>
      <c r="AH358" s="127">
        <v>45406</v>
      </c>
      <c r="AI358" s="30" t="s">
        <v>12</v>
      </c>
      <c r="AJ358" s="17" t="s">
        <v>2975</v>
      </c>
      <c r="AK358" s="22" t="s">
        <v>2958</v>
      </c>
      <c r="AL358" s="22">
        <v>980</v>
      </c>
      <c r="AM358" s="22"/>
      <c r="AN358" s="22" t="s">
        <v>2965</v>
      </c>
      <c r="AO358" s="22"/>
      <c r="AP358" s="127"/>
      <c r="AQ358" s="22"/>
      <c r="AR358" s="22"/>
      <c r="AS358" s="22"/>
      <c r="AT358" s="22"/>
      <c r="AU358" s="22"/>
      <c r="AV358" s="22"/>
      <c r="AW358" s="31">
        <v>45404</v>
      </c>
      <c r="AX358" s="32">
        <v>2570</v>
      </c>
      <c r="BA358" s="22">
        <v>980</v>
      </c>
      <c r="BB358" s="22"/>
      <c r="BD358" s="9"/>
      <c r="CS358" s="11">
        <f t="shared" si="29"/>
        <v>980</v>
      </c>
      <c r="CT358" s="22">
        <f t="shared" si="30"/>
        <v>980</v>
      </c>
      <c r="CU358" s="22">
        <f t="shared" si="31"/>
        <v>0</v>
      </c>
      <c r="CV358" s="26">
        <f t="shared" si="32"/>
        <v>-0.39999999999997726</v>
      </c>
    </row>
    <row r="359" spans="1:103" x14ac:dyDescent="0.2">
      <c r="A359" s="9" t="s">
        <v>230</v>
      </c>
      <c r="B359" s="2">
        <v>124</v>
      </c>
      <c r="C359" s="50" t="s">
        <v>95</v>
      </c>
      <c r="D359" s="50" t="s">
        <v>96</v>
      </c>
      <c r="E359" s="49" t="s">
        <v>71</v>
      </c>
      <c r="F359" s="49">
        <v>8</v>
      </c>
      <c r="G359" s="2" t="s">
        <v>82</v>
      </c>
      <c r="H359" s="2">
        <v>1</v>
      </c>
      <c r="I359" s="20">
        <v>168.76</v>
      </c>
      <c r="J359" s="20">
        <v>51900</v>
      </c>
      <c r="K359" s="3">
        <v>0</v>
      </c>
      <c r="L359" s="3" t="s">
        <v>3</v>
      </c>
      <c r="M359" s="9" t="s">
        <v>0</v>
      </c>
      <c r="N359" s="9" t="s">
        <v>12</v>
      </c>
      <c r="O359" s="9" t="s">
        <v>231</v>
      </c>
      <c r="S359" s="9" t="s">
        <v>158</v>
      </c>
      <c r="V359" s="10">
        <v>168.76</v>
      </c>
      <c r="W359" s="10" t="s">
        <v>710</v>
      </c>
      <c r="X359" s="17">
        <v>44639</v>
      </c>
      <c r="Y359" s="17">
        <v>45570</v>
      </c>
      <c r="Z359" s="19" t="s">
        <v>772</v>
      </c>
      <c r="AA359" s="207">
        <v>43011.88</v>
      </c>
      <c r="AB359" s="9">
        <v>23</v>
      </c>
      <c r="AC359" s="9">
        <v>20</v>
      </c>
      <c r="AD359" s="17">
        <v>45351</v>
      </c>
      <c r="AE359" s="54">
        <v>979.6</v>
      </c>
      <c r="AF359" s="54"/>
      <c r="AG359" s="9" t="s">
        <v>134</v>
      </c>
      <c r="AH359" s="127">
        <v>45475</v>
      </c>
      <c r="AI359" s="30" t="s">
        <v>12</v>
      </c>
      <c r="AJ359" s="17" t="s">
        <v>2975</v>
      </c>
      <c r="AK359" s="22" t="s">
        <v>2959</v>
      </c>
      <c r="AL359" s="22">
        <v>980</v>
      </c>
      <c r="AM359" s="22"/>
      <c r="AN359" s="22" t="s">
        <v>2966</v>
      </c>
      <c r="AO359" s="22"/>
      <c r="AP359" s="127"/>
      <c r="AQ359" s="22"/>
      <c r="AR359" s="22"/>
      <c r="AS359" s="22"/>
      <c r="AT359" s="22"/>
      <c r="AU359" s="22"/>
      <c r="AV359" s="22"/>
      <c r="AW359" s="31">
        <v>45475</v>
      </c>
      <c r="AX359" s="32">
        <v>2844</v>
      </c>
      <c r="BA359" s="22">
        <v>980</v>
      </c>
      <c r="BB359" s="22"/>
      <c r="BD359" s="9"/>
      <c r="CS359" s="11">
        <f t="shared" si="29"/>
        <v>980</v>
      </c>
      <c r="CT359" s="22">
        <f t="shared" si="30"/>
        <v>980</v>
      </c>
      <c r="CU359" s="22">
        <f t="shared" si="31"/>
        <v>0</v>
      </c>
      <c r="CV359" s="26">
        <f t="shared" si="32"/>
        <v>-0.39999999999997726</v>
      </c>
    </row>
    <row r="360" spans="1:103" x14ac:dyDescent="0.2">
      <c r="A360" s="9" t="s">
        <v>230</v>
      </c>
      <c r="B360" s="2">
        <v>124</v>
      </c>
      <c r="C360" s="50" t="s">
        <v>95</v>
      </c>
      <c r="D360" s="50" t="s">
        <v>96</v>
      </c>
      <c r="E360" s="49" t="s">
        <v>71</v>
      </c>
      <c r="F360" s="49">
        <v>8</v>
      </c>
      <c r="G360" s="2" t="s">
        <v>82</v>
      </c>
      <c r="H360" s="2">
        <v>1</v>
      </c>
      <c r="I360" s="20">
        <v>168.76</v>
      </c>
      <c r="J360" s="20">
        <v>51900</v>
      </c>
      <c r="K360" s="3">
        <v>0</v>
      </c>
      <c r="L360" s="3" t="s">
        <v>3</v>
      </c>
      <c r="M360" s="9" t="s">
        <v>0</v>
      </c>
      <c r="N360" s="9" t="s">
        <v>12</v>
      </c>
      <c r="O360" s="9" t="s">
        <v>231</v>
      </c>
      <c r="S360" s="9" t="s">
        <v>158</v>
      </c>
      <c r="V360" s="10">
        <v>168.76</v>
      </c>
      <c r="W360" s="10" t="s">
        <v>710</v>
      </c>
      <c r="X360" s="17">
        <v>44639</v>
      </c>
      <c r="Y360" s="17">
        <v>45570</v>
      </c>
      <c r="Z360" s="19" t="s">
        <v>772</v>
      </c>
      <c r="AA360" s="207">
        <v>43011.88</v>
      </c>
      <c r="AB360" s="9">
        <v>23</v>
      </c>
      <c r="AC360" s="9">
        <v>21</v>
      </c>
      <c r="AD360" s="17">
        <v>45381</v>
      </c>
      <c r="AE360" s="54">
        <v>979.6</v>
      </c>
      <c r="AF360" s="54"/>
      <c r="AG360" s="9" t="s">
        <v>134</v>
      </c>
      <c r="AH360" s="127">
        <v>45566</v>
      </c>
      <c r="AI360" s="30" t="s">
        <v>12</v>
      </c>
      <c r="AJ360" s="17" t="s">
        <v>2975</v>
      </c>
      <c r="AK360" s="22" t="s">
        <v>2960</v>
      </c>
      <c r="AL360" s="22">
        <v>980</v>
      </c>
      <c r="AM360" s="22"/>
      <c r="AN360" s="22" t="s">
        <v>2967</v>
      </c>
      <c r="AO360" s="22"/>
      <c r="AP360" s="127"/>
      <c r="AQ360" s="22"/>
      <c r="AR360" s="22"/>
      <c r="AS360" s="22"/>
      <c r="AT360" s="22"/>
      <c r="AU360" s="22"/>
      <c r="AV360" s="22"/>
      <c r="AW360" s="31">
        <v>45565</v>
      </c>
      <c r="AX360" s="32">
        <v>3213</v>
      </c>
      <c r="BA360" s="22">
        <v>980</v>
      </c>
      <c r="BB360" s="22"/>
      <c r="BD360" s="9"/>
      <c r="CS360" s="11">
        <f t="shared" si="29"/>
        <v>980</v>
      </c>
      <c r="CT360" s="22">
        <f t="shared" si="30"/>
        <v>980</v>
      </c>
      <c r="CU360" s="22">
        <f t="shared" si="31"/>
        <v>0</v>
      </c>
      <c r="CV360" s="26">
        <f t="shared" si="32"/>
        <v>-0.39999999999997726</v>
      </c>
    </row>
    <row r="361" spans="1:103" x14ac:dyDescent="0.2">
      <c r="A361" s="9" t="s">
        <v>230</v>
      </c>
      <c r="B361" s="2">
        <v>124</v>
      </c>
      <c r="C361" s="50" t="s">
        <v>95</v>
      </c>
      <c r="D361" s="50" t="s">
        <v>96</v>
      </c>
      <c r="E361" s="49" t="s">
        <v>71</v>
      </c>
      <c r="F361" s="49">
        <v>8</v>
      </c>
      <c r="G361" s="2" t="s">
        <v>82</v>
      </c>
      <c r="H361" s="2">
        <v>1</v>
      </c>
      <c r="I361" s="20">
        <v>168.76</v>
      </c>
      <c r="J361" s="20">
        <v>51900</v>
      </c>
      <c r="K361" s="3">
        <v>0</v>
      </c>
      <c r="L361" s="3" t="s">
        <v>3</v>
      </c>
      <c r="M361" s="9" t="s">
        <v>0</v>
      </c>
      <c r="N361" s="9" t="s">
        <v>12</v>
      </c>
      <c r="O361" s="9" t="s">
        <v>231</v>
      </c>
      <c r="S361" s="9" t="s">
        <v>158</v>
      </c>
      <c r="V361" s="10">
        <v>168.76</v>
      </c>
      <c r="W361" s="10" t="s">
        <v>710</v>
      </c>
      <c r="X361" s="17">
        <v>44639</v>
      </c>
      <c r="Y361" s="17">
        <v>45570</v>
      </c>
      <c r="Z361" s="19" t="s">
        <v>772</v>
      </c>
      <c r="AA361" s="207">
        <v>43011.88</v>
      </c>
      <c r="AB361" s="9">
        <v>23</v>
      </c>
      <c r="AC361" s="9">
        <v>22</v>
      </c>
      <c r="AD361" s="17">
        <v>45412</v>
      </c>
      <c r="AE361" s="54">
        <v>979.6</v>
      </c>
      <c r="AF361" s="54"/>
      <c r="AG361" s="9" t="s">
        <v>134</v>
      </c>
      <c r="AH361" s="127">
        <v>45567</v>
      </c>
      <c r="AI361" s="30" t="s">
        <v>12</v>
      </c>
      <c r="AJ361" s="17" t="s">
        <v>2975</v>
      </c>
      <c r="AK361" s="22" t="s">
        <v>2961</v>
      </c>
      <c r="AL361" s="22">
        <v>980</v>
      </c>
      <c r="AM361" s="22"/>
      <c r="AN361" s="22" t="s">
        <v>2968</v>
      </c>
      <c r="AO361" s="22"/>
      <c r="AP361" s="127"/>
      <c r="AQ361" s="22"/>
      <c r="AR361" s="22"/>
      <c r="AS361" s="22"/>
      <c r="AT361" s="22"/>
      <c r="AU361" s="22"/>
      <c r="AV361" s="22"/>
      <c r="AW361" s="17">
        <v>45567</v>
      </c>
      <c r="AX361" s="9">
        <v>3234</v>
      </c>
      <c r="BA361" s="22">
        <v>980</v>
      </c>
      <c r="BB361" s="22"/>
      <c r="BD361" s="9"/>
      <c r="CS361" s="11">
        <f t="shared" si="29"/>
        <v>980</v>
      </c>
      <c r="CT361" s="22">
        <f t="shared" si="30"/>
        <v>980</v>
      </c>
      <c r="CU361" s="22">
        <f t="shared" si="31"/>
        <v>0</v>
      </c>
      <c r="CV361" s="26">
        <f t="shared" si="32"/>
        <v>-0.39999999999997726</v>
      </c>
    </row>
    <row r="362" spans="1:103" x14ac:dyDescent="0.2">
      <c r="A362" s="9" t="s">
        <v>230</v>
      </c>
      <c r="B362" s="2">
        <v>124</v>
      </c>
      <c r="C362" s="50" t="s">
        <v>95</v>
      </c>
      <c r="D362" s="50" t="s">
        <v>96</v>
      </c>
      <c r="E362" s="49" t="s">
        <v>71</v>
      </c>
      <c r="F362" s="49">
        <v>8</v>
      </c>
      <c r="G362" s="2" t="s">
        <v>82</v>
      </c>
      <c r="H362" s="2">
        <v>1</v>
      </c>
      <c r="I362" s="20">
        <v>168.76</v>
      </c>
      <c r="J362" s="20">
        <v>51900</v>
      </c>
      <c r="K362" s="3">
        <v>0</v>
      </c>
      <c r="L362" s="3" t="s">
        <v>3</v>
      </c>
      <c r="M362" s="9" t="s">
        <v>0</v>
      </c>
      <c r="N362" s="9" t="s">
        <v>12</v>
      </c>
      <c r="O362" s="9" t="s">
        <v>231</v>
      </c>
      <c r="S362" s="9" t="s">
        <v>158</v>
      </c>
      <c r="V362" s="10">
        <v>168.76</v>
      </c>
      <c r="W362" s="10" t="s">
        <v>710</v>
      </c>
      <c r="X362" s="17">
        <v>44639</v>
      </c>
      <c r="Y362" s="17">
        <v>45570</v>
      </c>
      <c r="Z362" s="19" t="s">
        <v>772</v>
      </c>
      <c r="AA362" s="207">
        <v>43011.88</v>
      </c>
      <c r="AB362" s="9">
        <v>23</v>
      </c>
      <c r="AC362" s="9">
        <v>23</v>
      </c>
      <c r="AD362" s="17">
        <v>45442</v>
      </c>
      <c r="AE362" s="54">
        <v>979.6</v>
      </c>
      <c r="AF362" s="54"/>
      <c r="AG362" s="9" t="s">
        <v>134</v>
      </c>
      <c r="AH362" s="127">
        <v>45567</v>
      </c>
      <c r="AI362" s="30" t="s">
        <v>12</v>
      </c>
      <c r="AJ362" s="17" t="s">
        <v>2975</v>
      </c>
      <c r="AK362" s="22" t="s">
        <v>2962</v>
      </c>
      <c r="AL362" s="22">
        <v>980</v>
      </c>
      <c r="AM362" s="22"/>
      <c r="AN362" s="22" t="s">
        <v>2969</v>
      </c>
      <c r="AO362" s="22"/>
      <c r="AP362" s="127"/>
      <c r="AQ362" s="22"/>
      <c r="AR362" s="22"/>
      <c r="AS362" s="22"/>
      <c r="AT362" s="22"/>
      <c r="AU362" s="22"/>
      <c r="AV362" s="22"/>
      <c r="AW362" s="17">
        <v>45567</v>
      </c>
      <c r="AX362" s="9">
        <v>3234</v>
      </c>
      <c r="BA362" s="22">
        <v>980</v>
      </c>
      <c r="BB362" s="22"/>
      <c r="BD362" s="9"/>
      <c r="CS362" s="11">
        <f t="shared" si="29"/>
        <v>980</v>
      </c>
      <c r="CT362" s="22">
        <f t="shared" si="30"/>
        <v>980</v>
      </c>
      <c r="CU362" s="22">
        <f t="shared" si="31"/>
        <v>0</v>
      </c>
      <c r="CV362" s="26">
        <f t="shared" si="32"/>
        <v>-0.39999999999997726</v>
      </c>
    </row>
    <row r="363" spans="1:103" x14ac:dyDescent="0.2">
      <c r="A363" s="9" t="s">
        <v>230</v>
      </c>
      <c r="B363" s="2">
        <v>124</v>
      </c>
      <c r="C363" s="50" t="s">
        <v>95</v>
      </c>
      <c r="D363" s="50" t="s">
        <v>96</v>
      </c>
      <c r="E363" s="49" t="s">
        <v>71</v>
      </c>
      <c r="F363" s="49">
        <v>8</v>
      </c>
      <c r="G363" s="2" t="s">
        <v>82</v>
      </c>
      <c r="H363" s="2">
        <v>1</v>
      </c>
      <c r="I363" s="20">
        <v>168.76</v>
      </c>
      <c r="J363" s="20">
        <v>51900</v>
      </c>
      <c r="K363" s="3">
        <v>0</v>
      </c>
      <c r="L363" s="3" t="s">
        <v>3</v>
      </c>
      <c r="M363" s="9" t="s">
        <v>0</v>
      </c>
      <c r="N363" s="9" t="s">
        <v>12</v>
      </c>
      <c r="O363" s="9" t="s">
        <v>231</v>
      </c>
      <c r="S363" s="9" t="s">
        <v>232</v>
      </c>
      <c r="V363" s="10">
        <v>12.5</v>
      </c>
      <c r="W363" s="10" t="s">
        <v>710</v>
      </c>
      <c r="X363" s="17">
        <v>44639</v>
      </c>
      <c r="Y363" s="17">
        <v>45031</v>
      </c>
      <c r="Z363" s="19" t="s">
        <v>772</v>
      </c>
      <c r="AA363" s="207">
        <v>5000</v>
      </c>
      <c r="AB363" s="9">
        <v>2</v>
      </c>
      <c r="AC363" s="9">
        <v>1</v>
      </c>
      <c r="AD363" s="17">
        <v>44771</v>
      </c>
      <c r="AE363" s="54">
        <v>1000</v>
      </c>
      <c r="AF363" s="54"/>
      <c r="AG363" s="9" t="s">
        <v>134</v>
      </c>
      <c r="AH363" s="17">
        <v>44771</v>
      </c>
      <c r="AI363" s="30" t="s">
        <v>12</v>
      </c>
      <c r="AJ363" s="17" t="s">
        <v>2975</v>
      </c>
      <c r="AK363" s="9" t="s">
        <v>242</v>
      </c>
      <c r="AL363" s="22">
        <v>1000</v>
      </c>
      <c r="AM363" s="22"/>
      <c r="AN363" s="22" t="s">
        <v>2980</v>
      </c>
      <c r="AO363" s="22"/>
      <c r="AP363" s="127"/>
      <c r="AQ363" s="22"/>
      <c r="AR363" s="22"/>
      <c r="AS363" s="22"/>
      <c r="AT363" s="22"/>
      <c r="AU363" s="22"/>
      <c r="AV363" s="22"/>
      <c r="AW363" s="31">
        <v>44771</v>
      </c>
      <c r="AX363" s="32">
        <v>817</v>
      </c>
      <c r="BA363" s="22">
        <v>1000</v>
      </c>
      <c r="BB363" s="22"/>
      <c r="BD363" s="9"/>
      <c r="CS363" s="11">
        <f t="shared" si="29"/>
        <v>1000</v>
      </c>
      <c r="CT363" s="22">
        <f t="shared" si="30"/>
        <v>1000</v>
      </c>
      <c r="CU363" s="22">
        <f t="shared" si="31"/>
        <v>0</v>
      </c>
      <c r="CV363" s="26">
        <f t="shared" si="32"/>
        <v>0</v>
      </c>
    </row>
    <row r="364" spans="1:103" x14ac:dyDescent="0.2">
      <c r="A364" s="9" t="s">
        <v>230</v>
      </c>
      <c r="B364" s="2">
        <v>124</v>
      </c>
      <c r="C364" s="50" t="s">
        <v>95</v>
      </c>
      <c r="D364" s="50" t="s">
        <v>96</v>
      </c>
      <c r="E364" s="49" t="s">
        <v>71</v>
      </c>
      <c r="F364" s="49">
        <v>8</v>
      </c>
      <c r="G364" s="2" t="s">
        <v>82</v>
      </c>
      <c r="H364" s="2">
        <v>1</v>
      </c>
      <c r="I364" s="20">
        <v>168.76</v>
      </c>
      <c r="J364" s="20">
        <v>51900</v>
      </c>
      <c r="K364" s="3">
        <v>0</v>
      </c>
      <c r="L364" s="3" t="s">
        <v>3</v>
      </c>
      <c r="M364" s="9" t="s">
        <v>0</v>
      </c>
      <c r="N364" s="9" t="s">
        <v>12</v>
      </c>
      <c r="O364" s="9" t="s">
        <v>231</v>
      </c>
      <c r="S364" s="9" t="s">
        <v>232</v>
      </c>
      <c r="V364" s="10">
        <v>12.5</v>
      </c>
      <c r="W364" s="10" t="s">
        <v>710</v>
      </c>
      <c r="X364" s="17">
        <v>44639</v>
      </c>
      <c r="Y364" s="17">
        <v>45031</v>
      </c>
      <c r="Z364" s="19" t="s">
        <v>772</v>
      </c>
      <c r="AA364" s="207">
        <v>5000</v>
      </c>
      <c r="AB364" s="9">
        <v>2</v>
      </c>
      <c r="AC364" s="9">
        <v>2</v>
      </c>
      <c r="AE364" s="54">
        <v>4000</v>
      </c>
      <c r="AF364" s="54"/>
      <c r="AL364" s="22"/>
      <c r="AM364" s="22"/>
      <c r="AN364" s="22"/>
      <c r="AO364" s="22"/>
      <c r="AP364" s="127"/>
      <c r="AQ364" s="22"/>
      <c r="AR364" s="22"/>
      <c r="AS364" s="22"/>
      <c r="AT364" s="22"/>
      <c r="AU364" s="22"/>
      <c r="AV364" s="22"/>
      <c r="AW364" s="9"/>
      <c r="BA364" s="22"/>
      <c r="BB364" s="22"/>
      <c r="BD364" s="9"/>
      <c r="CS364" s="11">
        <f t="shared" si="29"/>
        <v>0</v>
      </c>
      <c r="CT364" s="22">
        <f t="shared" si="30"/>
        <v>0</v>
      </c>
      <c r="CU364" s="22">
        <f t="shared" si="31"/>
        <v>0</v>
      </c>
      <c r="CV364" s="26">
        <f t="shared" si="32"/>
        <v>4000</v>
      </c>
    </row>
    <row r="365" spans="1:103" s="88" customFormat="1" x14ac:dyDescent="0.2">
      <c r="A365" s="9" t="s">
        <v>243</v>
      </c>
      <c r="B365" s="2">
        <v>29</v>
      </c>
      <c r="C365" s="3" t="s">
        <v>95</v>
      </c>
      <c r="D365" s="3" t="s">
        <v>96</v>
      </c>
      <c r="E365" s="2"/>
      <c r="F365" s="2"/>
      <c r="G365" s="2" t="s">
        <v>69</v>
      </c>
      <c r="H365" s="2">
        <v>1</v>
      </c>
      <c r="I365" s="8">
        <v>125.02</v>
      </c>
      <c r="J365" s="8">
        <v>55564</v>
      </c>
      <c r="K365" s="3">
        <v>0</v>
      </c>
      <c r="L365" s="3" t="s">
        <v>3</v>
      </c>
      <c r="M365" s="9" t="s">
        <v>0</v>
      </c>
      <c r="N365" s="9" t="s">
        <v>13</v>
      </c>
      <c r="O365" s="9" t="s">
        <v>245</v>
      </c>
      <c r="P365" s="9"/>
      <c r="Q365" s="30"/>
      <c r="R365" s="9"/>
      <c r="S365" s="9" t="s">
        <v>158</v>
      </c>
      <c r="T365" s="10"/>
      <c r="U365" s="10"/>
      <c r="V365" s="10">
        <v>120.63</v>
      </c>
      <c r="W365" s="10" t="s">
        <v>710</v>
      </c>
      <c r="X365" s="17">
        <v>44412</v>
      </c>
      <c r="Y365" s="17">
        <v>45204</v>
      </c>
      <c r="Z365" s="19" t="s">
        <v>772</v>
      </c>
      <c r="AA365" s="210">
        <v>48900</v>
      </c>
      <c r="AB365" s="9">
        <v>72</v>
      </c>
      <c r="AC365" s="9">
        <v>0</v>
      </c>
      <c r="AD365" s="17">
        <v>44412</v>
      </c>
      <c r="AE365" s="56">
        <v>6000</v>
      </c>
      <c r="AF365" s="56"/>
      <c r="AG365" s="9" t="s">
        <v>134</v>
      </c>
      <c r="AH365" s="17">
        <v>44418</v>
      </c>
      <c r="AI365" s="30" t="s">
        <v>13</v>
      </c>
      <c r="AJ365" s="9" t="s">
        <v>2974</v>
      </c>
      <c r="AK365" s="9" t="s">
        <v>2970</v>
      </c>
      <c r="AL365" s="11"/>
      <c r="AM365" s="194">
        <v>20500</v>
      </c>
      <c r="AN365" s="11" t="s">
        <v>2972</v>
      </c>
      <c r="AO365" s="11"/>
      <c r="AP365" s="11"/>
      <c r="AQ365" s="11"/>
      <c r="AR365" s="11"/>
      <c r="AS365" s="11"/>
      <c r="AT365" s="11"/>
      <c r="AU365" s="11"/>
      <c r="AV365" s="11"/>
      <c r="AW365" s="17">
        <v>44413</v>
      </c>
      <c r="AX365" s="9">
        <v>6332</v>
      </c>
      <c r="AY365" s="11">
        <v>20500</v>
      </c>
      <c r="AZ365" s="9"/>
      <c r="BA365" s="11"/>
      <c r="BB365" s="11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11">
        <f t="shared" si="29"/>
        <v>0</v>
      </c>
      <c r="CT365" s="22">
        <f t="shared" si="30"/>
        <v>0</v>
      </c>
      <c r="CU365" s="22">
        <f t="shared" si="31"/>
        <v>0</v>
      </c>
      <c r="CV365" s="26">
        <f t="shared" si="32"/>
        <v>6000</v>
      </c>
      <c r="CW365" s="9"/>
      <c r="CX365" s="9"/>
      <c r="CY365" s="9"/>
    </row>
    <row r="366" spans="1:103" s="88" customFormat="1" x14ac:dyDescent="0.2">
      <c r="A366" s="9" t="s">
        <v>243</v>
      </c>
      <c r="B366" s="2">
        <v>29</v>
      </c>
      <c r="C366" s="3" t="s">
        <v>95</v>
      </c>
      <c r="D366" s="3" t="s">
        <v>96</v>
      </c>
      <c r="E366" s="2"/>
      <c r="F366" s="2"/>
      <c r="G366" s="2" t="s">
        <v>69</v>
      </c>
      <c r="H366" s="2">
        <v>1</v>
      </c>
      <c r="I366" s="8">
        <v>125.02</v>
      </c>
      <c r="J366" s="8">
        <v>55564</v>
      </c>
      <c r="K366" s="3">
        <v>0</v>
      </c>
      <c r="L366" s="3" t="s">
        <v>3</v>
      </c>
      <c r="M366" s="9" t="s">
        <v>0</v>
      </c>
      <c r="N366" s="9" t="s">
        <v>13</v>
      </c>
      <c r="O366" s="9" t="s">
        <v>245</v>
      </c>
      <c r="P366" s="9"/>
      <c r="Q366" s="30"/>
      <c r="R366" s="9"/>
      <c r="S366" s="9" t="s">
        <v>158</v>
      </c>
      <c r="T366" s="10"/>
      <c r="U366" s="10"/>
      <c r="V366" s="10">
        <v>120.63</v>
      </c>
      <c r="W366" s="10" t="s">
        <v>710</v>
      </c>
      <c r="X366" s="17">
        <v>44412</v>
      </c>
      <c r="Y366" s="17">
        <v>45204</v>
      </c>
      <c r="Z366" s="19" t="s">
        <v>772</v>
      </c>
      <c r="AA366" s="210">
        <v>48900</v>
      </c>
      <c r="AB366" s="9">
        <v>72</v>
      </c>
      <c r="AC366" s="9">
        <v>0</v>
      </c>
      <c r="AD366" s="17">
        <v>44958</v>
      </c>
      <c r="AE366" s="56">
        <v>5000</v>
      </c>
      <c r="AF366" s="56"/>
      <c r="AG366" s="9"/>
      <c r="AH366" s="17"/>
      <c r="AI366" s="30"/>
      <c r="AJ366" s="9"/>
      <c r="AK366" s="9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7"/>
      <c r="AX366" s="9"/>
      <c r="AY366" s="11"/>
      <c r="AZ366" s="9"/>
      <c r="BA366" s="11"/>
      <c r="BB366" s="11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11">
        <f t="shared" si="29"/>
        <v>0</v>
      </c>
      <c r="CT366" s="22">
        <f t="shared" si="30"/>
        <v>0</v>
      </c>
      <c r="CU366" s="22">
        <f t="shared" si="31"/>
        <v>0</v>
      </c>
      <c r="CV366" s="26">
        <f t="shared" si="32"/>
        <v>5000</v>
      </c>
      <c r="CW366" s="9"/>
      <c r="CX366" s="9"/>
      <c r="CY366" s="9"/>
    </row>
    <row r="367" spans="1:103" s="88" customFormat="1" x14ac:dyDescent="0.2">
      <c r="A367" s="9" t="s">
        <v>243</v>
      </c>
      <c r="B367" s="2">
        <v>29</v>
      </c>
      <c r="C367" s="3" t="s">
        <v>95</v>
      </c>
      <c r="D367" s="3" t="s">
        <v>96</v>
      </c>
      <c r="E367" s="2"/>
      <c r="F367" s="2"/>
      <c r="G367" s="2" t="s">
        <v>69</v>
      </c>
      <c r="H367" s="2">
        <v>1</v>
      </c>
      <c r="I367" s="8">
        <v>125.02</v>
      </c>
      <c r="J367" s="8">
        <v>55564</v>
      </c>
      <c r="K367" s="3">
        <v>0</v>
      </c>
      <c r="L367" s="3" t="s">
        <v>3</v>
      </c>
      <c r="M367" s="9" t="s">
        <v>0</v>
      </c>
      <c r="N367" s="9" t="s">
        <v>13</v>
      </c>
      <c r="O367" s="9" t="s">
        <v>245</v>
      </c>
      <c r="P367" s="9"/>
      <c r="Q367" s="30"/>
      <c r="R367" s="9"/>
      <c r="S367" s="9" t="s">
        <v>158</v>
      </c>
      <c r="T367" s="10"/>
      <c r="U367" s="10"/>
      <c r="V367" s="10">
        <v>120.63</v>
      </c>
      <c r="W367" s="10" t="s">
        <v>710</v>
      </c>
      <c r="X367" s="17">
        <v>44412</v>
      </c>
      <c r="Y367" s="17">
        <v>45204</v>
      </c>
      <c r="Z367" s="19" t="s">
        <v>772</v>
      </c>
      <c r="AA367" s="210">
        <v>48900</v>
      </c>
      <c r="AB367" s="9">
        <v>72</v>
      </c>
      <c r="AC367" s="9">
        <v>0</v>
      </c>
      <c r="AD367" s="17">
        <v>45198</v>
      </c>
      <c r="AE367" s="56">
        <v>5000</v>
      </c>
      <c r="AF367" s="56"/>
      <c r="AG367" s="9"/>
      <c r="AH367" s="17"/>
      <c r="AI367" s="30"/>
      <c r="AJ367" s="9"/>
      <c r="AK367" s="9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7"/>
      <c r="AX367" s="9"/>
      <c r="AY367" s="9"/>
      <c r="AZ367" s="9"/>
      <c r="BA367" s="11"/>
      <c r="BB367" s="11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11">
        <f t="shared" si="29"/>
        <v>0</v>
      </c>
      <c r="CT367" s="22">
        <f t="shared" si="30"/>
        <v>0</v>
      </c>
      <c r="CU367" s="22">
        <f t="shared" si="31"/>
        <v>0</v>
      </c>
      <c r="CV367" s="26">
        <f t="shared" si="32"/>
        <v>5000</v>
      </c>
      <c r="CW367" s="9"/>
      <c r="CX367" s="9"/>
      <c r="CY367" s="9"/>
    </row>
    <row r="368" spans="1:103" s="88" customFormat="1" x14ac:dyDescent="0.2">
      <c r="A368" s="9" t="s">
        <v>243</v>
      </c>
      <c r="B368" s="2">
        <v>29</v>
      </c>
      <c r="C368" s="3" t="s">
        <v>95</v>
      </c>
      <c r="D368" s="3" t="s">
        <v>96</v>
      </c>
      <c r="E368" s="2"/>
      <c r="F368" s="2"/>
      <c r="G368" s="2" t="s">
        <v>69</v>
      </c>
      <c r="H368" s="2">
        <v>1</v>
      </c>
      <c r="I368" s="8">
        <v>125.02</v>
      </c>
      <c r="J368" s="8">
        <v>55564</v>
      </c>
      <c r="K368" s="3">
        <v>0</v>
      </c>
      <c r="L368" s="3" t="s">
        <v>3</v>
      </c>
      <c r="M368" s="9" t="s">
        <v>0</v>
      </c>
      <c r="N368" s="9" t="s">
        <v>13</v>
      </c>
      <c r="O368" s="9" t="s">
        <v>245</v>
      </c>
      <c r="P368" s="9"/>
      <c r="Q368" s="30"/>
      <c r="R368" s="9"/>
      <c r="S368" s="9" t="s">
        <v>158</v>
      </c>
      <c r="T368" s="10"/>
      <c r="U368" s="10"/>
      <c r="V368" s="10">
        <v>120.63</v>
      </c>
      <c r="W368" s="10" t="s">
        <v>710</v>
      </c>
      <c r="X368" s="17">
        <v>44412</v>
      </c>
      <c r="Y368" s="17">
        <v>45204</v>
      </c>
      <c r="Z368" s="19" t="s">
        <v>772</v>
      </c>
      <c r="AA368" s="210">
        <v>48900</v>
      </c>
      <c r="AB368" s="9">
        <v>72</v>
      </c>
      <c r="AC368" s="9">
        <v>1</v>
      </c>
      <c r="AD368" s="17">
        <v>45204</v>
      </c>
      <c r="AE368" s="56">
        <v>456.6</v>
      </c>
      <c r="AF368" s="56"/>
      <c r="AG368" s="9"/>
      <c r="AH368" s="17"/>
      <c r="AI368" s="30"/>
      <c r="AJ368" s="9"/>
      <c r="AK368" s="9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9"/>
      <c r="AX368" s="9"/>
      <c r="AY368" s="9"/>
      <c r="AZ368" s="9"/>
      <c r="BA368" s="11"/>
      <c r="BB368" s="11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11">
        <f t="shared" si="29"/>
        <v>0</v>
      </c>
      <c r="CT368" s="22">
        <f t="shared" si="30"/>
        <v>0</v>
      </c>
      <c r="CU368" s="22">
        <f t="shared" si="31"/>
        <v>0</v>
      </c>
      <c r="CV368" s="26">
        <f t="shared" si="32"/>
        <v>456.6</v>
      </c>
      <c r="CW368" s="9"/>
      <c r="CX368" s="9"/>
      <c r="CY368" s="9"/>
    </row>
    <row r="369" spans="1:103" s="88" customFormat="1" x14ac:dyDescent="0.2">
      <c r="A369" s="9" t="s">
        <v>243</v>
      </c>
      <c r="B369" s="2">
        <v>29</v>
      </c>
      <c r="C369" s="3" t="s">
        <v>95</v>
      </c>
      <c r="D369" s="3" t="s">
        <v>96</v>
      </c>
      <c r="E369" s="2"/>
      <c r="F369" s="2"/>
      <c r="G369" s="2" t="s">
        <v>69</v>
      </c>
      <c r="H369" s="2">
        <v>1</v>
      </c>
      <c r="I369" s="8">
        <v>125.02</v>
      </c>
      <c r="J369" s="8">
        <v>55564</v>
      </c>
      <c r="K369" s="3">
        <v>0</v>
      </c>
      <c r="L369" s="3" t="s">
        <v>3</v>
      </c>
      <c r="M369" s="9" t="s">
        <v>0</v>
      </c>
      <c r="N369" s="9" t="s">
        <v>13</v>
      </c>
      <c r="O369" s="9" t="s">
        <v>245</v>
      </c>
      <c r="P369" s="9"/>
      <c r="Q369" s="30"/>
      <c r="R369" s="9"/>
      <c r="S369" s="9" t="s">
        <v>158</v>
      </c>
      <c r="T369" s="10"/>
      <c r="U369" s="10"/>
      <c r="V369" s="10">
        <v>120.63</v>
      </c>
      <c r="W369" s="10" t="s">
        <v>710</v>
      </c>
      <c r="X369" s="17">
        <v>44412</v>
      </c>
      <c r="Y369" s="17">
        <v>45204</v>
      </c>
      <c r="Z369" s="19" t="s">
        <v>772</v>
      </c>
      <c r="AA369" s="210">
        <v>48900</v>
      </c>
      <c r="AB369" s="9">
        <v>72</v>
      </c>
      <c r="AC369" s="9">
        <v>2</v>
      </c>
      <c r="AD369" s="17">
        <v>45235</v>
      </c>
      <c r="AE369" s="56">
        <v>456.6</v>
      </c>
      <c r="AF369" s="56"/>
      <c r="AG369" s="9"/>
      <c r="AH369" s="17"/>
      <c r="AI369" s="9"/>
      <c r="AJ369" s="9"/>
      <c r="AK369" s="9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9"/>
      <c r="AX369" s="9"/>
      <c r="AY369" s="9"/>
      <c r="AZ369" s="9"/>
      <c r="BA369" s="11"/>
      <c r="BB369" s="11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11">
        <f t="shared" si="29"/>
        <v>0</v>
      </c>
      <c r="CT369" s="22">
        <f t="shared" si="30"/>
        <v>0</v>
      </c>
      <c r="CU369" s="22">
        <f t="shared" si="31"/>
        <v>0</v>
      </c>
      <c r="CV369" s="26">
        <f t="shared" si="32"/>
        <v>456.6</v>
      </c>
      <c r="CW369" s="9"/>
      <c r="CX369" s="9"/>
      <c r="CY369" s="9"/>
    </row>
    <row r="370" spans="1:103" s="88" customFormat="1" x14ac:dyDescent="0.2">
      <c r="A370" s="9" t="s">
        <v>243</v>
      </c>
      <c r="B370" s="2">
        <v>29</v>
      </c>
      <c r="C370" s="3" t="s">
        <v>95</v>
      </c>
      <c r="D370" s="3" t="s">
        <v>96</v>
      </c>
      <c r="E370" s="2"/>
      <c r="F370" s="2"/>
      <c r="G370" s="2" t="s">
        <v>69</v>
      </c>
      <c r="H370" s="2">
        <v>1</v>
      </c>
      <c r="I370" s="8">
        <v>125.02</v>
      </c>
      <c r="J370" s="8">
        <v>55564</v>
      </c>
      <c r="K370" s="3">
        <v>0</v>
      </c>
      <c r="L370" s="3" t="s">
        <v>3</v>
      </c>
      <c r="M370" s="9" t="s">
        <v>0</v>
      </c>
      <c r="N370" s="9" t="s">
        <v>13</v>
      </c>
      <c r="O370" s="9" t="s">
        <v>245</v>
      </c>
      <c r="P370" s="9"/>
      <c r="Q370" s="30"/>
      <c r="R370" s="9"/>
      <c r="S370" s="9" t="s">
        <v>158</v>
      </c>
      <c r="T370" s="10"/>
      <c r="U370" s="10"/>
      <c r="V370" s="10">
        <v>120.63</v>
      </c>
      <c r="W370" s="10" t="s">
        <v>710</v>
      </c>
      <c r="X370" s="17">
        <v>44412</v>
      </c>
      <c r="Y370" s="17">
        <v>45204</v>
      </c>
      <c r="Z370" s="19" t="s">
        <v>772</v>
      </c>
      <c r="AA370" s="210">
        <v>48900</v>
      </c>
      <c r="AB370" s="9">
        <v>72</v>
      </c>
      <c r="AC370" s="9">
        <v>3</v>
      </c>
      <c r="AD370" s="17">
        <v>45265</v>
      </c>
      <c r="AE370" s="56">
        <v>456.6</v>
      </c>
      <c r="AF370" s="56"/>
      <c r="AG370" s="9"/>
      <c r="AH370" s="9"/>
      <c r="AI370" s="9"/>
      <c r="AJ370" s="9"/>
      <c r="AK370" s="9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9"/>
      <c r="AX370" s="9"/>
      <c r="AY370" s="9"/>
      <c r="AZ370" s="9"/>
      <c r="BA370" s="11"/>
      <c r="BB370" s="11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11">
        <f t="shared" si="29"/>
        <v>0</v>
      </c>
      <c r="CT370" s="22">
        <f t="shared" si="30"/>
        <v>0</v>
      </c>
      <c r="CU370" s="22">
        <f t="shared" si="31"/>
        <v>0</v>
      </c>
      <c r="CV370" s="26">
        <f t="shared" si="32"/>
        <v>456.6</v>
      </c>
      <c r="CW370" s="9"/>
      <c r="CX370" s="9"/>
      <c r="CY370" s="9"/>
    </row>
    <row r="371" spans="1:103" x14ac:dyDescent="0.2">
      <c r="A371" s="9" t="s">
        <v>243</v>
      </c>
      <c r="B371" s="2">
        <v>29</v>
      </c>
      <c r="C371" s="3" t="s">
        <v>95</v>
      </c>
      <c r="D371" s="3" t="s">
        <v>96</v>
      </c>
      <c r="E371" s="2"/>
      <c r="F371" s="2"/>
      <c r="G371" s="2" t="s">
        <v>69</v>
      </c>
      <c r="H371" s="2">
        <v>1</v>
      </c>
      <c r="I371" s="8">
        <v>125.02</v>
      </c>
      <c r="J371" s="8">
        <v>55564</v>
      </c>
      <c r="K371" s="3">
        <v>0</v>
      </c>
      <c r="L371" s="3" t="s">
        <v>3</v>
      </c>
      <c r="M371" s="9" t="s">
        <v>0</v>
      </c>
      <c r="N371" s="9" t="s">
        <v>13</v>
      </c>
      <c r="O371" s="9" t="s">
        <v>245</v>
      </c>
      <c r="S371" s="9" t="s">
        <v>158</v>
      </c>
      <c r="V371" s="10">
        <v>120.63</v>
      </c>
      <c r="W371" s="10" t="s">
        <v>710</v>
      </c>
      <c r="X371" s="17">
        <v>44412</v>
      </c>
      <c r="Y371" s="17">
        <v>45204</v>
      </c>
      <c r="Z371" s="19" t="s">
        <v>772</v>
      </c>
      <c r="AA371" s="210">
        <v>48900</v>
      </c>
      <c r="AB371" s="9">
        <v>72</v>
      </c>
      <c r="AC371" s="9">
        <v>4</v>
      </c>
      <c r="AD371" s="17">
        <v>45296</v>
      </c>
      <c r="AE371" s="56">
        <v>456.6</v>
      </c>
      <c r="AF371" s="56"/>
      <c r="AP371" s="11"/>
      <c r="AQ371" s="11"/>
      <c r="AR371" s="11"/>
      <c r="AW371" s="9"/>
      <c r="BD371" s="9"/>
      <c r="CS371" s="11">
        <f t="shared" si="29"/>
        <v>0</v>
      </c>
      <c r="CT371" s="22">
        <f t="shared" si="30"/>
        <v>0</v>
      </c>
      <c r="CU371" s="22">
        <f t="shared" si="31"/>
        <v>0</v>
      </c>
      <c r="CV371" s="26">
        <f t="shared" si="32"/>
        <v>456.6</v>
      </c>
    </row>
    <row r="372" spans="1:103" x14ac:dyDescent="0.2">
      <c r="A372" s="9" t="s">
        <v>243</v>
      </c>
      <c r="B372" s="2">
        <v>29</v>
      </c>
      <c r="C372" s="3" t="s">
        <v>95</v>
      </c>
      <c r="D372" s="3" t="s">
        <v>96</v>
      </c>
      <c r="E372" s="2"/>
      <c r="F372" s="2"/>
      <c r="G372" s="2" t="s">
        <v>69</v>
      </c>
      <c r="H372" s="2">
        <v>1</v>
      </c>
      <c r="I372" s="8">
        <v>125.02</v>
      </c>
      <c r="J372" s="8">
        <v>55564</v>
      </c>
      <c r="K372" s="3">
        <v>0</v>
      </c>
      <c r="L372" s="3" t="s">
        <v>3</v>
      </c>
      <c r="M372" s="9" t="s">
        <v>0</v>
      </c>
      <c r="N372" s="9" t="s">
        <v>13</v>
      </c>
      <c r="O372" s="9" t="s">
        <v>245</v>
      </c>
      <c r="S372" s="9" t="s">
        <v>158</v>
      </c>
      <c r="V372" s="10">
        <v>120.63</v>
      </c>
      <c r="W372" s="10" t="s">
        <v>710</v>
      </c>
      <c r="X372" s="17">
        <v>44412</v>
      </c>
      <c r="Y372" s="17">
        <v>45204</v>
      </c>
      <c r="Z372" s="19" t="s">
        <v>772</v>
      </c>
      <c r="AA372" s="210">
        <v>48900</v>
      </c>
      <c r="AB372" s="9">
        <v>72</v>
      </c>
      <c r="AC372" s="9">
        <v>5</v>
      </c>
      <c r="AD372" s="17">
        <v>45327</v>
      </c>
      <c r="AE372" s="56">
        <v>456.6</v>
      </c>
      <c r="AF372" s="56"/>
      <c r="AP372" s="11"/>
      <c r="AQ372" s="11"/>
      <c r="AR372" s="11"/>
      <c r="AW372" s="9"/>
      <c r="BD372" s="9"/>
      <c r="CS372" s="11">
        <f t="shared" si="29"/>
        <v>0</v>
      </c>
      <c r="CT372" s="22">
        <f t="shared" si="30"/>
        <v>0</v>
      </c>
      <c r="CU372" s="22">
        <f t="shared" si="31"/>
        <v>0</v>
      </c>
      <c r="CV372" s="26">
        <f t="shared" si="32"/>
        <v>456.6</v>
      </c>
    </row>
    <row r="373" spans="1:103" x14ac:dyDescent="0.2">
      <c r="A373" s="9" t="s">
        <v>243</v>
      </c>
      <c r="B373" s="2">
        <v>29</v>
      </c>
      <c r="C373" s="3" t="s">
        <v>95</v>
      </c>
      <c r="D373" s="3" t="s">
        <v>96</v>
      </c>
      <c r="E373" s="2"/>
      <c r="F373" s="2"/>
      <c r="G373" s="2" t="s">
        <v>69</v>
      </c>
      <c r="H373" s="2">
        <v>1</v>
      </c>
      <c r="I373" s="8">
        <v>125.02</v>
      </c>
      <c r="J373" s="8">
        <v>55564</v>
      </c>
      <c r="K373" s="3">
        <v>0</v>
      </c>
      <c r="L373" s="3" t="s">
        <v>3</v>
      </c>
      <c r="M373" s="9" t="s">
        <v>0</v>
      </c>
      <c r="N373" s="9" t="s">
        <v>13</v>
      </c>
      <c r="O373" s="9" t="s">
        <v>245</v>
      </c>
      <c r="S373" s="9" t="s">
        <v>158</v>
      </c>
      <c r="V373" s="10">
        <v>120.63</v>
      </c>
      <c r="W373" s="10" t="s">
        <v>710</v>
      </c>
      <c r="X373" s="17">
        <v>44412</v>
      </c>
      <c r="Y373" s="17">
        <v>45204</v>
      </c>
      <c r="Z373" s="19" t="s">
        <v>772</v>
      </c>
      <c r="AA373" s="210">
        <v>48900</v>
      </c>
      <c r="AB373" s="9">
        <v>72</v>
      </c>
      <c r="AC373" s="9">
        <v>6</v>
      </c>
      <c r="AD373" s="17">
        <v>45356</v>
      </c>
      <c r="AE373" s="56">
        <v>456.6</v>
      </c>
      <c r="AF373" s="56"/>
      <c r="AP373" s="11"/>
      <c r="AQ373" s="11"/>
      <c r="AR373" s="11"/>
      <c r="AW373" s="9"/>
      <c r="BD373" s="9"/>
      <c r="CS373" s="11">
        <f t="shared" si="29"/>
        <v>0</v>
      </c>
      <c r="CT373" s="22">
        <f t="shared" si="30"/>
        <v>0</v>
      </c>
      <c r="CU373" s="22">
        <f t="shared" si="31"/>
        <v>0</v>
      </c>
      <c r="CV373" s="26">
        <f t="shared" si="32"/>
        <v>456.6</v>
      </c>
    </row>
    <row r="374" spans="1:103" x14ac:dyDescent="0.2">
      <c r="A374" s="9" t="s">
        <v>243</v>
      </c>
      <c r="B374" s="2">
        <v>29</v>
      </c>
      <c r="C374" s="3" t="s">
        <v>95</v>
      </c>
      <c r="D374" s="3" t="s">
        <v>96</v>
      </c>
      <c r="E374" s="2"/>
      <c r="F374" s="2"/>
      <c r="G374" s="2" t="s">
        <v>69</v>
      </c>
      <c r="H374" s="2">
        <v>1</v>
      </c>
      <c r="I374" s="8">
        <v>125.02</v>
      </c>
      <c r="J374" s="8">
        <v>55564</v>
      </c>
      <c r="K374" s="3">
        <v>0</v>
      </c>
      <c r="L374" s="3" t="s">
        <v>3</v>
      </c>
      <c r="M374" s="9" t="s">
        <v>0</v>
      </c>
      <c r="N374" s="9" t="s">
        <v>13</v>
      </c>
      <c r="O374" s="9" t="s">
        <v>245</v>
      </c>
      <c r="S374" s="9" t="s">
        <v>158</v>
      </c>
      <c r="V374" s="10">
        <v>120.63</v>
      </c>
      <c r="W374" s="10" t="s">
        <v>710</v>
      </c>
      <c r="X374" s="17">
        <v>44412</v>
      </c>
      <c r="Y374" s="17">
        <v>45204</v>
      </c>
      <c r="Z374" s="19" t="s">
        <v>772</v>
      </c>
      <c r="AA374" s="210">
        <v>48900</v>
      </c>
      <c r="AB374" s="9">
        <v>72</v>
      </c>
      <c r="AC374" s="9">
        <v>7</v>
      </c>
      <c r="AD374" s="17">
        <v>45387</v>
      </c>
      <c r="AE374" s="56">
        <v>456.6</v>
      </c>
      <c r="AF374" s="56"/>
      <c r="AP374" s="11"/>
      <c r="AQ374" s="11"/>
      <c r="AR374" s="11"/>
      <c r="AW374" s="9"/>
      <c r="BD374" s="9"/>
      <c r="CS374" s="11">
        <f t="shared" si="29"/>
        <v>0</v>
      </c>
      <c r="CT374" s="22">
        <f t="shared" si="30"/>
        <v>0</v>
      </c>
      <c r="CU374" s="22">
        <f t="shared" si="31"/>
        <v>0</v>
      </c>
      <c r="CV374" s="26">
        <f t="shared" si="32"/>
        <v>456.6</v>
      </c>
    </row>
    <row r="375" spans="1:103" x14ac:dyDescent="0.2">
      <c r="A375" s="9" t="s">
        <v>243</v>
      </c>
      <c r="B375" s="2">
        <v>29</v>
      </c>
      <c r="C375" s="3" t="s">
        <v>95</v>
      </c>
      <c r="D375" s="3" t="s">
        <v>96</v>
      </c>
      <c r="E375" s="2"/>
      <c r="F375" s="2"/>
      <c r="G375" s="2" t="s">
        <v>69</v>
      </c>
      <c r="H375" s="2">
        <v>1</v>
      </c>
      <c r="I375" s="8">
        <v>125.02</v>
      </c>
      <c r="J375" s="8">
        <v>55564</v>
      </c>
      <c r="K375" s="3">
        <v>0</v>
      </c>
      <c r="L375" s="3" t="s">
        <v>3</v>
      </c>
      <c r="M375" s="9" t="s">
        <v>0</v>
      </c>
      <c r="N375" s="9" t="s">
        <v>13</v>
      </c>
      <c r="O375" s="9" t="s">
        <v>245</v>
      </c>
      <c r="S375" s="9" t="s">
        <v>158</v>
      </c>
      <c r="V375" s="10">
        <v>120.63</v>
      </c>
      <c r="W375" s="10" t="s">
        <v>710</v>
      </c>
      <c r="X375" s="17">
        <v>44412</v>
      </c>
      <c r="Y375" s="17">
        <v>45204</v>
      </c>
      <c r="Z375" s="19" t="s">
        <v>772</v>
      </c>
      <c r="AA375" s="210">
        <v>48900</v>
      </c>
      <c r="AB375" s="9">
        <v>72</v>
      </c>
      <c r="AC375" s="9">
        <v>8</v>
      </c>
      <c r="AD375" s="17">
        <v>45417</v>
      </c>
      <c r="AE375" s="56">
        <v>456.6</v>
      </c>
      <c r="AF375" s="56"/>
      <c r="AP375" s="11"/>
      <c r="AQ375" s="11"/>
      <c r="AR375" s="11"/>
      <c r="AW375" s="9"/>
      <c r="BD375" s="9"/>
      <c r="CS375" s="11">
        <f t="shared" si="29"/>
        <v>0</v>
      </c>
      <c r="CT375" s="22">
        <f t="shared" si="30"/>
        <v>0</v>
      </c>
      <c r="CU375" s="22">
        <f t="shared" si="31"/>
        <v>0</v>
      </c>
      <c r="CV375" s="26">
        <f t="shared" si="32"/>
        <v>456.6</v>
      </c>
    </row>
    <row r="376" spans="1:103" x14ac:dyDescent="0.2">
      <c r="A376" s="9" t="s">
        <v>243</v>
      </c>
      <c r="B376" s="2">
        <v>29</v>
      </c>
      <c r="C376" s="3" t="s">
        <v>95</v>
      </c>
      <c r="D376" s="3" t="s">
        <v>96</v>
      </c>
      <c r="E376" s="2"/>
      <c r="F376" s="2"/>
      <c r="G376" s="2" t="s">
        <v>69</v>
      </c>
      <c r="H376" s="2">
        <v>1</v>
      </c>
      <c r="I376" s="8">
        <v>125.02</v>
      </c>
      <c r="J376" s="8">
        <v>55564</v>
      </c>
      <c r="K376" s="3">
        <v>0</v>
      </c>
      <c r="L376" s="3" t="s">
        <v>3</v>
      </c>
      <c r="M376" s="9" t="s">
        <v>0</v>
      </c>
      <c r="N376" s="9" t="s">
        <v>13</v>
      </c>
      <c r="O376" s="9" t="s">
        <v>245</v>
      </c>
      <c r="S376" s="9" t="s">
        <v>158</v>
      </c>
      <c r="V376" s="10">
        <v>120.63</v>
      </c>
      <c r="W376" s="10" t="s">
        <v>710</v>
      </c>
      <c r="X376" s="17">
        <v>44412</v>
      </c>
      <c r="Y376" s="17">
        <v>45204</v>
      </c>
      <c r="Z376" s="19" t="s">
        <v>772</v>
      </c>
      <c r="AA376" s="210">
        <v>48900</v>
      </c>
      <c r="AB376" s="9">
        <v>72</v>
      </c>
      <c r="AC376" s="9">
        <v>9</v>
      </c>
      <c r="AD376" s="17">
        <v>45448</v>
      </c>
      <c r="AE376" s="56">
        <v>456.6</v>
      </c>
      <c r="AF376" s="56"/>
      <c r="AP376" s="11"/>
      <c r="AQ376" s="11"/>
      <c r="AR376" s="11"/>
      <c r="AW376" s="9"/>
      <c r="BD376" s="9"/>
      <c r="CS376" s="11">
        <f t="shared" si="29"/>
        <v>0</v>
      </c>
      <c r="CT376" s="22">
        <f t="shared" si="30"/>
        <v>0</v>
      </c>
      <c r="CU376" s="22">
        <f t="shared" si="31"/>
        <v>0</v>
      </c>
      <c r="CV376" s="26">
        <f t="shared" si="32"/>
        <v>456.6</v>
      </c>
    </row>
    <row r="377" spans="1:103" x14ac:dyDescent="0.2">
      <c r="A377" s="9" t="s">
        <v>243</v>
      </c>
      <c r="B377" s="2">
        <v>29</v>
      </c>
      <c r="C377" s="3" t="s">
        <v>95</v>
      </c>
      <c r="D377" s="3" t="s">
        <v>96</v>
      </c>
      <c r="E377" s="2"/>
      <c r="F377" s="2"/>
      <c r="G377" s="2" t="s">
        <v>69</v>
      </c>
      <c r="H377" s="2">
        <v>1</v>
      </c>
      <c r="I377" s="8">
        <v>125.02</v>
      </c>
      <c r="J377" s="8">
        <v>55564</v>
      </c>
      <c r="K377" s="3">
        <v>0</v>
      </c>
      <c r="L377" s="3" t="s">
        <v>3</v>
      </c>
      <c r="M377" s="9" t="s">
        <v>0</v>
      </c>
      <c r="N377" s="9" t="s">
        <v>13</v>
      </c>
      <c r="O377" s="9" t="s">
        <v>245</v>
      </c>
      <c r="S377" s="9" t="s">
        <v>158</v>
      </c>
      <c r="V377" s="10">
        <v>120.63</v>
      </c>
      <c r="W377" s="10" t="s">
        <v>710</v>
      </c>
      <c r="X377" s="17">
        <v>44412</v>
      </c>
      <c r="Y377" s="17">
        <v>45204</v>
      </c>
      <c r="Z377" s="19" t="s">
        <v>772</v>
      </c>
      <c r="AA377" s="210">
        <v>48900</v>
      </c>
      <c r="AB377" s="9">
        <v>72</v>
      </c>
      <c r="AC377" s="9">
        <v>10</v>
      </c>
      <c r="AD377" s="17">
        <v>45478</v>
      </c>
      <c r="AE377" s="56">
        <v>456.6</v>
      </c>
      <c r="AF377" s="56"/>
      <c r="AP377" s="11"/>
      <c r="AQ377" s="11"/>
      <c r="AR377" s="11"/>
      <c r="AW377" s="9"/>
      <c r="BD377" s="9"/>
      <c r="CS377" s="11">
        <f t="shared" si="29"/>
        <v>0</v>
      </c>
      <c r="CT377" s="22">
        <f t="shared" si="30"/>
        <v>0</v>
      </c>
      <c r="CU377" s="22">
        <f t="shared" si="31"/>
        <v>0</v>
      </c>
      <c r="CV377" s="26">
        <f t="shared" si="32"/>
        <v>456.6</v>
      </c>
    </row>
    <row r="378" spans="1:103" x14ac:dyDescent="0.2">
      <c r="A378" s="9" t="s">
        <v>243</v>
      </c>
      <c r="B378" s="2">
        <v>29</v>
      </c>
      <c r="C378" s="3" t="s">
        <v>95</v>
      </c>
      <c r="D378" s="3" t="s">
        <v>96</v>
      </c>
      <c r="E378" s="2"/>
      <c r="F378" s="2"/>
      <c r="G378" s="2" t="s">
        <v>69</v>
      </c>
      <c r="H378" s="2">
        <v>1</v>
      </c>
      <c r="I378" s="8">
        <v>125.02</v>
      </c>
      <c r="J378" s="8">
        <v>55564</v>
      </c>
      <c r="K378" s="3">
        <v>0</v>
      </c>
      <c r="L378" s="3" t="s">
        <v>3</v>
      </c>
      <c r="M378" s="9" t="s">
        <v>0</v>
      </c>
      <c r="N378" s="9" t="s">
        <v>13</v>
      </c>
      <c r="O378" s="9" t="s">
        <v>245</v>
      </c>
      <c r="S378" s="9" t="s">
        <v>158</v>
      </c>
      <c r="V378" s="10">
        <v>120.63</v>
      </c>
      <c r="W378" s="10" t="s">
        <v>710</v>
      </c>
      <c r="X378" s="17">
        <v>44412</v>
      </c>
      <c r="Y378" s="17">
        <v>45204</v>
      </c>
      <c r="Z378" s="19" t="s">
        <v>772</v>
      </c>
      <c r="AA378" s="210">
        <v>48900</v>
      </c>
      <c r="AB378" s="9">
        <v>72</v>
      </c>
      <c r="AC378" s="9">
        <v>11</v>
      </c>
      <c r="AD378" s="17">
        <v>45509</v>
      </c>
      <c r="AE378" s="56">
        <v>456.6</v>
      </c>
      <c r="AF378" s="56"/>
      <c r="AP378" s="11"/>
      <c r="AQ378" s="11"/>
      <c r="AR378" s="11"/>
      <c r="AW378" s="9"/>
      <c r="BD378" s="9"/>
      <c r="CS378" s="11">
        <f t="shared" si="29"/>
        <v>0</v>
      </c>
      <c r="CT378" s="22">
        <f t="shared" si="30"/>
        <v>0</v>
      </c>
      <c r="CU378" s="22">
        <f t="shared" si="31"/>
        <v>0</v>
      </c>
      <c r="CV378" s="26">
        <f t="shared" si="32"/>
        <v>456.6</v>
      </c>
    </row>
    <row r="379" spans="1:103" x14ac:dyDescent="0.2">
      <c r="A379" s="9" t="s">
        <v>243</v>
      </c>
      <c r="B379" s="2">
        <v>29</v>
      </c>
      <c r="C379" s="3" t="s">
        <v>95</v>
      </c>
      <c r="D379" s="3" t="s">
        <v>96</v>
      </c>
      <c r="E379" s="2"/>
      <c r="F379" s="2"/>
      <c r="G379" s="2" t="s">
        <v>69</v>
      </c>
      <c r="H379" s="2">
        <v>1</v>
      </c>
      <c r="I379" s="8">
        <v>125.02</v>
      </c>
      <c r="J379" s="8">
        <v>55564</v>
      </c>
      <c r="K379" s="3">
        <v>0</v>
      </c>
      <c r="L379" s="3" t="s">
        <v>3</v>
      </c>
      <c r="M379" s="9" t="s">
        <v>0</v>
      </c>
      <c r="N379" s="9" t="s">
        <v>13</v>
      </c>
      <c r="O379" s="9" t="s">
        <v>245</v>
      </c>
      <c r="S379" s="9" t="s">
        <v>158</v>
      </c>
      <c r="V379" s="10">
        <v>120.63</v>
      </c>
      <c r="W379" s="10" t="s">
        <v>710</v>
      </c>
      <c r="X379" s="17">
        <v>44412</v>
      </c>
      <c r="Y379" s="17">
        <v>45204</v>
      </c>
      <c r="Z379" s="19" t="s">
        <v>772</v>
      </c>
      <c r="AA379" s="210">
        <v>48900</v>
      </c>
      <c r="AB379" s="9">
        <v>72</v>
      </c>
      <c r="AC379" s="9">
        <v>12</v>
      </c>
      <c r="AD379" s="17">
        <v>45540</v>
      </c>
      <c r="AE379" s="56">
        <v>456.6</v>
      </c>
      <c r="AF379" s="56"/>
      <c r="AP379" s="11"/>
      <c r="AQ379" s="11"/>
      <c r="AR379" s="11"/>
      <c r="AW379" s="9"/>
      <c r="BD379" s="9"/>
      <c r="CS379" s="11">
        <f t="shared" si="29"/>
        <v>0</v>
      </c>
      <c r="CT379" s="22">
        <f t="shared" si="30"/>
        <v>0</v>
      </c>
      <c r="CU379" s="22">
        <f t="shared" si="31"/>
        <v>0</v>
      </c>
      <c r="CV379" s="26">
        <f t="shared" si="32"/>
        <v>456.6</v>
      </c>
    </row>
    <row r="380" spans="1:103" x14ac:dyDescent="0.2">
      <c r="A380" s="9" t="s">
        <v>243</v>
      </c>
      <c r="B380" s="2">
        <v>29</v>
      </c>
      <c r="C380" s="3" t="s">
        <v>95</v>
      </c>
      <c r="D380" s="3" t="s">
        <v>96</v>
      </c>
      <c r="E380" s="2"/>
      <c r="F380" s="2"/>
      <c r="G380" s="2" t="s">
        <v>69</v>
      </c>
      <c r="H380" s="2">
        <v>1</v>
      </c>
      <c r="I380" s="8">
        <v>125.02</v>
      </c>
      <c r="J380" s="8">
        <v>55564</v>
      </c>
      <c r="K380" s="3">
        <v>0</v>
      </c>
      <c r="L380" s="3" t="s">
        <v>3</v>
      </c>
      <c r="M380" s="9" t="s">
        <v>0</v>
      </c>
      <c r="N380" s="9" t="s">
        <v>13</v>
      </c>
      <c r="O380" s="9" t="s">
        <v>245</v>
      </c>
      <c r="S380" s="9" t="s">
        <v>158</v>
      </c>
      <c r="V380" s="10">
        <v>120.63</v>
      </c>
      <c r="W380" s="10" t="s">
        <v>710</v>
      </c>
      <c r="X380" s="17">
        <v>44412</v>
      </c>
      <c r="Y380" s="17">
        <v>45204</v>
      </c>
      <c r="Z380" s="19" t="s">
        <v>772</v>
      </c>
      <c r="AA380" s="210">
        <v>48900</v>
      </c>
      <c r="AB380" s="9">
        <v>72</v>
      </c>
      <c r="AC380" s="9">
        <v>13</v>
      </c>
      <c r="AD380" s="17">
        <v>45570</v>
      </c>
      <c r="AE380" s="56">
        <v>456.6</v>
      </c>
      <c r="AF380" s="56"/>
      <c r="AP380" s="11"/>
      <c r="AQ380" s="11"/>
      <c r="AR380" s="11"/>
      <c r="AW380" s="9"/>
      <c r="BD380" s="9"/>
      <c r="CS380" s="11">
        <f t="shared" si="29"/>
        <v>0</v>
      </c>
      <c r="CT380" s="22">
        <f t="shared" si="30"/>
        <v>0</v>
      </c>
      <c r="CU380" s="22">
        <f t="shared" si="31"/>
        <v>0</v>
      </c>
      <c r="CV380" s="26">
        <f t="shared" si="32"/>
        <v>456.6</v>
      </c>
    </row>
    <row r="381" spans="1:103" x14ac:dyDescent="0.2">
      <c r="A381" s="9" t="s">
        <v>243</v>
      </c>
      <c r="B381" s="2">
        <v>29</v>
      </c>
      <c r="C381" s="3" t="s">
        <v>95</v>
      </c>
      <c r="D381" s="3" t="s">
        <v>96</v>
      </c>
      <c r="E381" s="2"/>
      <c r="F381" s="2"/>
      <c r="G381" s="2" t="s">
        <v>69</v>
      </c>
      <c r="H381" s="2">
        <v>1</v>
      </c>
      <c r="I381" s="8">
        <v>125.02</v>
      </c>
      <c r="J381" s="8">
        <v>55564</v>
      </c>
      <c r="K381" s="3">
        <v>0</v>
      </c>
      <c r="L381" s="3" t="s">
        <v>3</v>
      </c>
      <c r="M381" s="9" t="s">
        <v>0</v>
      </c>
      <c r="N381" s="9" t="s">
        <v>13</v>
      </c>
      <c r="O381" s="9" t="s">
        <v>245</v>
      </c>
      <c r="S381" s="9" t="s">
        <v>158</v>
      </c>
      <c r="V381" s="10">
        <v>120.63</v>
      </c>
      <c r="W381" s="10" t="s">
        <v>710</v>
      </c>
      <c r="X381" s="17">
        <v>44412</v>
      </c>
      <c r="Y381" s="17">
        <v>45204</v>
      </c>
      <c r="Z381" s="19" t="s">
        <v>772</v>
      </c>
      <c r="AA381" s="210">
        <v>48900</v>
      </c>
      <c r="AB381" s="9">
        <v>72</v>
      </c>
      <c r="AC381" s="9">
        <v>14</v>
      </c>
      <c r="AD381" s="17">
        <v>45601</v>
      </c>
      <c r="AE381" s="56">
        <v>456.6</v>
      </c>
      <c r="AF381" s="56"/>
      <c r="AP381" s="11"/>
      <c r="AQ381" s="11"/>
      <c r="AR381" s="11"/>
      <c r="AW381" s="9"/>
      <c r="BD381" s="9"/>
      <c r="CS381" s="11">
        <f t="shared" si="29"/>
        <v>0</v>
      </c>
      <c r="CT381" s="22">
        <f t="shared" si="30"/>
        <v>0</v>
      </c>
      <c r="CU381" s="22">
        <f t="shared" si="31"/>
        <v>0</v>
      </c>
      <c r="CV381" s="26">
        <f t="shared" si="32"/>
        <v>456.6</v>
      </c>
    </row>
    <row r="382" spans="1:103" x14ac:dyDescent="0.2">
      <c r="A382" s="9" t="s">
        <v>243</v>
      </c>
      <c r="B382" s="2">
        <v>29</v>
      </c>
      <c r="C382" s="3" t="s">
        <v>95</v>
      </c>
      <c r="D382" s="3" t="s">
        <v>96</v>
      </c>
      <c r="E382" s="2"/>
      <c r="F382" s="2"/>
      <c r="G382" s="2" t="s">
        <v>69</v>
      </c>
      <c r="H382" s="2">
        <v>1</v>
      </c>
      <c r="I382" s="8">
        <v>125.02</v>
      </c>
      <c r="J382" s="8">
        <v>55564</v>
      </c>
      <c r="K382" s="3">
        <v>0</v>
      </c>
      <c r="L382" s="3" t="s">
        <v>3</v>
      </c>
      <c r="M382" s="9" t="s">
        <v>0</v>
      </c>
      <c r="N382" s="9" t="s">
        <v>13</v>
      </c>
      <c r="O382" s="9" t="s">
        <v>245</v>
      </c>
      <c r="S382" s="9" t="s">
        <v>158</v>
      </c>
      <c r="V382" s="10">
        <v>120.63</v>
      </c>
      <c r="W382" s="10" t="s">
        <v>710</v>
      </c>
      <c r="X382" s="17">
        <v>44412</v>
      </c>
      <c r="Y382" s="17">
        <v>45204</v>
      </c>
      <c r="Z382" s="19" t="s">
        <v>772</v>
      </c>
      <c r="AA382" s="210">
        <v>48900</v>
      </c>
      <c r="AB382" s="9">
        <v>72</v>
      </c>
      <c r="AC382" s="9">
        <v>15</v>
      </c>
      <c r="AD382" s="17">
        <v>45631</v>
      </c>
      <c r="AE382" s="56">
        <v>456.6</v>
      </c>
      <c r="AF382" s="56"/>
      <c r="AP382" s="11"/>
      <c r="AQ382" s="11"/>
      <c r="AR382" s="11"/>
      <c r="AW382" s="9"/>
      <c r="BD382" s="9"/>
      <c r="CS382" s="11">
        <f t="shared" si="29"/>
        <v>0</v>
      </c>
      <c r="CT382" s="22">
        <f t="shared" si="30"/>
        <v>0</v>
      </c>
      <c r="CU382" s="22">
        <f t="shared" si="31"/>
        <v>0</v>
      </c>
      <c r="CV382" s="26">
        <f t="shared" si="32"/>
        <v>456.6</v>
      </c>
    </row>
    <row r="383" spans="1:103" x14ac:dyDescent="0.2">
      <c r="A383" s="9" t="s">
        <v>243</v>
      </c>
      <c r="B383" s="2">
        <v>29</v>
      </c>
      <c r="C383" s="3" t="s">
        <v>95</v>
      </c>
      <c r="D383" s="3" t="s">
        <v>96</v>
      </c>
      <c r="E383" s="2"/>
      <c r="F383" s="2"/>
      <c r="G383" s="2" t="s">
        <v>69</v>
      </c>
      <c r="H383" s="2">
        <v>1</v>
      </c>
      <c r="I383" s="8">
        <v>125.02</v>
      </c>
      <c r="J383" s="8">
        <v>55564</v>
      </c>
      <c r="K383" s="3">
        <v>0</v>
      </c>
      <c r="L383" s="3" t="s">
        <v>3</v>
      </c>
      <c r="M383" s="9" t="s">
        <v>0</v>
      </c>
      <c r="N383" s="9" t="s">
        <v>13</v>
      </c>
      <c r="O383" s="9" t="s">
        <v>245</v>
      </c>
      <c r="S383" s="9" t="s">
        <v>158</v>
      </c>
      <c r="V383" s="10">
        <v>120.63</v>
      </c>
      <c r="W383" s="10" t="s">
        <v>710</v>
      </c>
      <c r="X383" s="17">
        <v>44412</v>
      </c>
      <c r="Y383" s="17">
        <v>45204</v>
      </c>
      <c r="Z383" s="19" t="s">
        <v>772</v>
      </c>
      <c r="AA383" s="210">
        <v>48900</v>
      </c>
      <c r="AB383" s="9">
        <v>72</v>
      </c>
      <c r="AC383" s="9">
        <v>16</v>
      </c>
      <c r="AD383" s="17">
        <v>45662</v>
      </c>
      <c r="AE383" s="56">
        <v>456.6</v>
      </c>
      <c r="AF383" s="56"/>
      <c r="AP383" s="11"/>
      <c r="AQ383" s="11"/>
      <c r="AR383" s="11"/>
      <c r="AW383" s="9"/>
      <c r="BD383" s="9"/>
      <c r="CS383" s="11">
        <f t="shared" si="29"/>
        <v>0</v>
      </c>
      <c r="CT383" s="22">
        <f t="shared" si="30"/>
        <v>0</v>
      </c>
      <c r="CU383" s="22">
        <f t="shared" si="31"/>
        <v>0</v>
      </c>
      <c r="CV383" s="26">
        <f t="shared" si="32"/>
        <v>456.6</v>
      </c>
    </row>
    <row r="384" spans="1:103" x14ac:dyDescent="0.2">
      <c r="A384" s="9" t="s">
        <v>243</v>
      </c>
      <c r="B384" s="2">
        <v>29</v>
      </c>
      <c r="C384" s="3" t="s">
        <v>95</v>
      </c>
      <c r="D384" s="3" t="s">
        <v>96</v>
      </c>
      <c r="E384" s="2"/>
      <c r="F384" s="2"/>
      <c r="G384" s="2" t="s">
        <v>69</v>
      </c>
      <c r="H384" s="2">
        <v>1</v>
      </c>
      <c r="I384" s="8">
        <v>125.02</v>
      </c>
      <c r="J384" s="8">
        <v>55564</v>
      </c>
      <c r="K384" s="3">
        <v>0</v>
      </c>
      <c r="L384" s="3" t="s">
        <v>3</v>
      </c>
      <c r="M384" s="9" t="s">
        <v>0</v>
      </c>
      <c r="N384" s="9" t="s">
        <v>13</v>
      </c>
      <c r="O384" s="9" t="s">
        <v>245</v>
      </c>
      <c r="S384" s="9" t="s">
        <v>158</v>
      </c>
      <c r="V384" s="10">
        <v>120.63</v>
      </c>
      <c r="W384" s="10" t="s">
        <v>710</v>
      </c>
      <c r="X384" s="17">
        <v>44412</v>
      </c>
      <c r="Y384" s="17">
        <v>45204</v>
      </c>
      <c r="Z384" s="19" t="s">
        <v>772</v>
      </c>
      <c r="AA384" s="210">
        <v>48900</v>
      </c>
      <c r="AB384" s="9">
        <v>72</v>
      </c>
      <c r="AC384" s="9">
        <v>17</v>
      </c>
      <c r="AD384" s="17">
        <v>45693</v>
      </c>
      <c r="AE384" s="56">
        <v>456.6</v>
      </c>
      <c r="AF384" s="56"/>
      <c r="AP384" s="11"/>
      <c r="AQ384" s="11"/>
      <c r="AR384" s="11"/>
      <c r="AW384" s="9"/>
      <c r="BD384" s="9"/>
      <c r="CS384" s="11">
        <f t="shared" si="29"/>
        <v>0</v>
      </c>
      <c r="CT384" s="22">
        <f t="shared" si="30"/>
        <v>0</v>
      </c>
      <c r="CU384" s="22">
        <f t="shared" si="31"/>
        <v>0</v>
      </c>
      <c r="CV384" s="26">
        <f t="shared" si="32"/>
        <v>456.6</v>
      </c>
    </row>
    <row r="385" spans="1:100" x14ac:dyDescent="0.2">
      <c r="A385" s="9" t="s">
        <v>243</v>
      </c>
      <c r="B385" s="2">
        <v>29</v>
      </c>
      <c r="C385" s="3" t="s">
        <v>95</v>
      </c>
      <c r="D385" s="3" t="s">
        <v>96</v>
      </c>
      <c r="E385" s="2"/>
      <c r="F385" s="2"/>
      <c r="G385" s="2" t="s">
        <v>69</v>
      </c>
      <c r="H385" s="2">
        <v>1</v>
      </c>
      <c r="I385" s="8">
        <v>125.02</v>
      </c>
      <c r="J385" s="8">
        <v>55564</v>
      </c>
      <c r="K385" s="3">
        <v>0</v>
      </c>
      <c r="L385" s="3" t="s">
        <v>3</v>
      </c>
      <c r="M385" s="9" t="s">
        <v>0</v>
      </c>
      <c r="N385" s="9" t="s">
        <v>13</v>
      </c>
      <c r="O385" s="9" t="s">
        <v>245</v>
      </c>
      <c r="S385" s="9" t="s">
        <v>158</v>
      </c>
      <c r="V385" s="10">
        <v>120.63</v>
      </c>
      <c r="W385" s="10" t="s">
        <v>710</v>
      </c>
      <c r="X385" s="17">
        <v>44412</v>
      </c>
      <c r="Y385" s="17">
        <v>45204</v>
      </c>
      <c r="Z385" s="19" t="s">
        <v>772</v>
      </c>
      <c r="AA385" s="210">
        <v>48900</v>
      </c>
      <c r="AB385" s="9">
        <v>72</v>
      </c>
      <c r="AC385" s="9">
        <v>18</v>
      </c>
      <c r="AD385" s="17">
        <v>45721</v>
      </c>
      <c r="AE385" s="56">
        <v>456.6</v>
      </c>
      <c r="AF385" s="56"/>
      <c r="AP385" s="11"/>
      <c r="AQ385" s="11"/>
      <c r="AR385" s="11"/>
      <c r="AW385" s="9"/>
      <c r="BD385" s="9"/>
      <c r="CS385" s="11">
        <f t="shared" si="29"/>
        <v>0</v>
      </c>
      <c r="CT385" s="22">
        <f t="shared" si="30"/>
        <v>0</v>
      </c>
      <c r="CU385" s="22">
        <f t="shared" si="31"/>
        <v>0</v>
      </c>
      <c r="CV385" s="26">
        <f t="shared" si="32"/>
        <v>456.6</v>
      </c>
    </row>
    <row r="386" spans="1:100" x14ac:dyDescent="0.2">
      <c r="A386" s="9" t="s">
        <v>243</v>
      </c>
      <c r="B386" s="2">
        <v>29</v>
      </c>
      <c r="C386" s="3" t="s">
        <v>95</v>
      </c>
      <c r="D386" s="3" t="s">
        <v>96</v>
      </c>
      <c r="E386" s="2"/>
      <c r="F386" s="2"/>
      <c r="G386" s="2" t="s">
        <v>69</v>
      </c>
      <c r="H386" s="2">
        <v>1</v>
      </c>
      <c r="I386" s="8">
        <v>125.02</v>
      </c>
      <c r="J386" s="8">
        <v>55564</v>
      </c>
      <c r="K386" s="3">
        <v>0</v>
      </c>
      <c r="L386" s="3" t="s">
        <v>3</v>
      </c>
      <c r="M386" s="9" t="s">
        <v>0</v>
      </c>
      <c r="N386" s="9" t="s">
        <v>13</v>
      </c>
      <c r="O386" s="9" t="s">
        <v>245</v>
      </c>
      <c r="S386" s="9" t="s">
        <v>158</v>
      </c>
      <c r="V386" s="10">
        <v>120.63</v>
      </c>
      <c r="W386" s="10" t="s">
        <v>710</v>
      </c>
      <c r="X386" s="17">
        <v>44412</v>
      </c>
      <c r="Y386" s="17">
        <v>45204</v>
      </c>
      <c r="Z386" s="19" t="s">
        <v>772</v>
      </c>
      <c r="AA386" s="210">
        <v>48900</v>
      </c>
      <c r="AB386" s="9">
        <v>72</v>
      </c>
      <c r="AC386" s="9">
        <v>19</v>
      </c>
      <c r="AD386" s="17">
        <v>45752</v>
      </c>
      <c r="AE386" s="56">
        <v>456.6</v>
      </c>
      <c r="AF386" s="56"/>
      <c r="AP386" s="11"/>
      <c r="AQ386" s="11"/>
      <c r="AR386" s="11"/>
      <c r="AW386" s="9"/>
      <c r="BD386" s="9"/>
      <c r="CS386" s="11">
        <f t="shared" si="29"/>
        <v>0</v>
      </c>
      <c r="CT386" s="22">
        <f t="shared" si="30"/>
        <v>0</v>
      </c>
      <c r="CU386" s="22">
        <f t="shared" si="31"/>
        <v>0</v>
      </c>
      <c r="CV386" s="26">
        <f t="shared" si="32"/>
        <v>456.6</v>
      </c>
    </row>
    <row r="387" spans="1:100" x14ac:dyDescent="0.2">
      <c r="A387" s="9" t="s">
        <v>243</v>
      </c>
      <c r="B387" s="2">
        <v>29</v>
      </c>
      <c r="C387" s="3" t="s">
        <v>95</v>
      </c>
      <c r="D387" s="3" t="s">
        <v>96</v>
      </c>
      <c r="E387" s="2"/>
      <c r="F387" s="2"/>
      <c r="G387" s="2" t="s">
        <v>69</v>
      </c>
      <c r="H387" s="2">
        <v>1</v>
      </c>
      <c r="I387" s="8">
        <v>125.02</v>
      </c>
      <c r="J387" s="8">
        <v>55564</v>
      </c>
      <c r="K387" s="3">
        <v>0</v>
      </c>
      <c r="L387" s="3" t="s">
        <v>3</v>
      </c>
      <c r="M387" s="9" t="s">
        <v>0</v>
      </c>
      <c r="N387" s="9" t="s">
        <v>13</v>
      </c>
      <c r="O387" s="9" t="s">
        <v>245</v>
      </c>
      <c r="S387" s="9" t="s">
        <v>158</v>
      </c>
      <c r="V387" s="10">
        <v>120.63</v>
      </c>
      <c r="W387" s="10" t="s">
        <v>710</v>
      </c>
      <c r="X387" s="17">
        <v>44412</v>
      </c>
      <c r="Y387" s="17">
        <v>45204</v>
      </c>
      <c r="Z387" s="19" t="s">
        <v>772</v>
      </c>
      <c r="AA387" s="210">
        <v>48900</v>
      </c>
      <c r="AB387" s="9">
        <v>72</v>
      </c>
      <c r="AC387" s="9">
        <v>20</v>
      </c>
      <c r="AD387" s="17">
        <v>45782</v>
      </c>
      <c r="AE387" s="56">
        <v>456.6</v>
      </c>
      <c r="AF387" s="56"/>
      <c r="AP387" s="11"/>
      <c r="AQ387" s="11"/>
      <c r="AR387" s="11"/>
      <c r="AW387" s="9"/>
      <c r="BD387" s="9"/>
      <c r="CS387" s="11">
        <f t="shared" si="29"/>
        <v>0</v>
      </c>
      <c r="CT387" s="22">
        <f t="shared" si="30"/>
        <v>0</v>
      </c>
      <c r="CU387" s="22">
        <f t="shared" si="31"/>
        <v>0</v>
      </c>
      <c r="CV387" s="26">
        <f t="shared" si="32"/>
        <v>456.6</v>
      </c>
    </row>
    <row r="388" spans="1:100" x14ac:dyDescent="0.2">
      <c r="A388" s="9" t="s">
        <v>243</v>
      </c>
      <c r="B388" s="2">
        <v>29</v>
      </c>
      <c r="C388" s="3" t="s">
        <v>95</v>
      </c>
      <c r="D388" s="3" t="s">
        <v>96</v>
      </c>
      <c r="E388" s="2"/>
      <c r="F388" s="2"/>
      <c r="G388" s="2" t="s">
        <v>69</v>
      </c>
      <c r="H388" s="2">
        <v>1</v>
      </c>
      <c r="I388" s="8">
        <v>125.02</v>
      </c>
      <c r="J388" s="8">
        <v>55564</v>
      </c>
      <c r="K388" s="3">
        <v>0</v>
      </c>
      <c r="L388" s="3" t="s">
        <v>3</v>
      </c>
      <c r="M388" s="9" t="s">
        <v>0</v>
      </c>
      <c r="N388" s="9" t="s">
        <v>13</v>
      </c>
      <c r="O388" s="9" t="s">
        <v>245</v>
      </c>
      <c r="S388" s="9" t="s">
        <v>158</v>
      </c>
      <c r="V388" s="10">
        <v>120.63</v>
      </c>
      <c r="W388" s="10" t="s">
        <v>710</v>
      </c>
      <c r="X388" s="17">
        <v>44412</v>
      </c>
      <c r="Y388" s="17">
        <v>45204</v>
      </c>
      <c r="Z388" s="19" t="s">
        <v>772</v>
      </c>
      <c r="AA388" s="210">
        <v>48900</v>
      </c>
      <c r="AB388" s="9">
        <v>72</v>
      </c>
      <c r="AC388" s="9">
        <v>21</v>
      </c>
      <c r="AD388" s="17">
        <v>45813</v>
      </c>
      <c r="AE388" s="56">
        <v>456.6</v>
      </c>
      <c r="AF388" s="56"/>
      <c r="AP388" s="11"/>
      <c r="AQ388" s="11"/>
      <c r="AR388" s="11"/>
      <c r="AW388" s="9"/>
      <c r="BD388" s="9"/>
      <c r="CS388" s="11">
        <f t="shared" si="29"/>
        <v>0</v>
      </c>
      <c r="CT388" s="22">
        <f t="shared" si="30"/>
        <v>0</v>
      </c>
      <c r="CU388" s="22">
        <f t="shared" si="31"/>
        <v>0</v>
      </c>
      <c r="CV388" s="26">
        <f t="shared" si="32"/>
        <v>456.6</v>
      </c>
    </row>
    <row r="389" spans="1:100" x14ac:dyDescent="0.2">
      <c r="A389" s="9" t="s">
        <v>243</v>
      </c>
      <c r="B389" s="2">
        <v>29</v>
      </c>
      <c r="C389" s="3" t="s">
        <v>95</v>
      </c>
      <c r="D389" s="3" t="s">
        <v>96</v>
      </c>
      <c r="E389" s="2"/>
      <c r="F389" s="2"/>
      <c r="G389" s="2" t="s">
        <v>69</v>
      </c>
      <c r="H389" s="2">
        <v>1</v>
      </c>
      <c r="I389" s="8">
        <v>125.02</v>
      </c>
      <c r="J389" s="8">
        <v>55564</v>
      </c>
      <c r="K389" s="3">
        <v>0</v>
      </c>
      <c r="L389" s="3" t="s">
        <v>3</v>
      </c>
      <c r="M389" s="9" t="s">
        <v>0</v>
      </c>
      <c r="N389" s="9" t="s">
        <v>13</v>
      </c>
      <c r="O389" s="9" t="s">
        <v>245</v>
      </c>
      <c r="S389" s="9" t="s">
        <v>158</v>
      </c>
      <c r="V389" s="10">
        <v>120.63</v>
      </c>
      <c r="W389" s="10" t="s">
        <v>710</v>
      </c>
      <c r="X389" s="17">
        <v>44412</v>
      </c>
      <c r="Y389" s="17">
        <v>45204</v>
      </c>
      <c r="Z389" s="19" t="s">
        <v>772</v>
      </c>
      <c r="AA389" s="210">
        <v>48900</v>
      </c>
      <c r="AB389" s="9">
        <v>72</v>
      </c>
      <c r="AC389" s="9">
        <v>22</v>
      </c>
      <c r="AD389" s="17">
        <v>45843</v>
      </c>
      <c r="AE389" s="56">
        <v>456.6</v>
      </c>
      <c r="AF389" s="56"/>
      <c r="AP389" s="11"/>
      <c r="AQ389" s="11"/>
      <c r="AR389" s="11"/>
      <c r="AW389" s="9"/>
      <c r="BD389" s="9"/>
      <c r="CS389" s="11">
        <f t="shared" si="29"/>
        <v>0</v>
      </c>
      <c r="CT389" s="22">
        <f t="shared" si="30"/>
        <v>0</v>
      </c>
      <c r="CU389" s="22">
        <f t="shared" si="31"/>
        <v>0</v>
      </c>
      <c r="CV389" s="26">
        <f t="shared" si="32"/>
        <v>456.6</v>
      </c>
    </row>
    <row r="390" spans="1:100" x14ac:dyDescent="0.2">
      <c r="A390" s="9" t="s">
        <v>243</v>
      </c>
      <c r="B390" s="2">
        <v>29</v>
      </c>
      <c r="C390" s="3" t="s">
        <v>95</v>
      </c>
      <c r="D390" s="3" t="s">
        <v>96</v>
      </c>
      <c r="E390" s="2"/>
      <c r="F390" s="2"/>
      <c r="G390" s="2" t="s">
        <v>69</v>
      </c>
      <c r="H390" s="2">
        <v>1</v>
      </c>
      <c r="I390" s="8">
        <v>125.02</v>
      </c>
      <c r="J390" s="8">
        <v>55564</v>
      </c>
      <c r="K390" s="3">
        <v>0</v>
      </c>
      <c r="L390" s="3" t="s">
        <v>3</v>
      </c>
      <c r="M390" s="9" t="s">
        <v>0</v>
      </c>
      <c r="N390" s="9" t="s">
        <v>13</v>
      </c>
      <c r="O390" s="9" t="s">
        <v>245</v>
      </c>
      <c r="S390" s="9" t="s">
        <v>158</v>
      </c>
      <c r="V390" s="10">
        <v>120.63</v>
      </c>
      <c r="W390" s="10" t="s">
        <v>710</v>
      </c>
      <c r="X390" s="17">
        <v>44412</v>
      </c>
      <c r="Y390" s="17">
        <v>45204</v>
      </c>
      <c r="Z390" s="19" t="s">
        <v>772</v>
      </c>
      <c r="AA390" s="210">
        <v>48900</v>
      </c>
      <c r="AB390" s="9">
        <v>72</v>
      </c>
      <c r="AC390" s="9">
        <v>23</v>
      </c>
      <c r="AD390" s="17">
        <v>45874</v>
      </c>
      <c r="AE390" s="56">
        <v>456.6</v>
      </c>
      <c r="AF390" s="56"/>
      <c r="AP390" s="11"/>
      <c r="AQ390" s="11"/>
      <c r="AR390" s="11"/>
      <c r="AW390" s="9"/>
      <c r="BD390" s="9"/>
      <c r="CS390" s="11">
        <f t="shared" si="29"/>
        <v>0</v>
      </c>
      <c r="CT390" s="22">
        <f t="shared" si="30"/>
        <v>0</v>
      </c>
      <c r="CU390" s="22">
        <f t="shared" si="31"/>
        <v>0</v>
      </c>
      <c r="CV390" s="26">
        <f t="shared" si="32"/>
        <v>456.6</v>
      </c>
    </row>
    <row r="391" spans="1:100" x14ac:dyDescent="0.2">
      <c r="A391" s="9" t="s">
        <v>243</v>
      </c>
      <c r="B391" s="2">
        <v>29</v>
      </c>
      <c r="C391" s="3" t="s">
        <v>95</v>
      </c>
      <c r="D391" s="3" t="s">
        <v>96</v>
      </c>
      <c r="E391" s="2"/>
      <c r="F391" s="2"/>
      <c r="G391" s="2" t="s">
        <v>69</v>
      </c>
      <c r="H391" s="2">
        <v>1</v>
      </c>
      <c r="I391" s="8">
        <v>125.02</v>
      </c>
      <c r="J391" s="8">
        <v>55564</v>
      </c>
      <c r="K391" s="3">
        <v>0</v>
      </c>
      <c r="L391" s="3" t="s">
        <v>3</v>
      </c>
      <c r="M391" s="9" t="s">
        <v>0</v>
      </c>
      <c r="N391" s="9" t="s">
        <v>13</v>
      </c>
      <c r="O391" s="9" t="s">
        <v>245</v>
      </c>
      <c r="S391" s="9" t="s">
        <v>158</v>
      </c>
      <c r="V391" s="10">
        <v>120.63</v>
      </c>
      <c r="W391" s="10" t="s">
        <v>710</v>
      </c>
      <c r="X391" s="17">
        <v>44412</v>
      </c>
      <c r="Y391" s="17">
        <v>45204</v>
      </c>
      <c r="Z391" s="19" t="s">
        <v>772</v>
      </c>
      <c r="AA391" s="210">
        <v>48900</v>
      </c>
      <c r="AB391" s="9">
        <v>72</v>
      </c>
      <c r="AC391" s="9">
        <v>24</v>
      </c>
      <c r="AD391" s="17">
        <v>45905</v>
      </c>
      <c r="AE391" s="56">
        <v>456.6</v>
      </c>
      <c r="AF391" s="56"/>
      <c r="AP391" s="11"/>
      <c r="AQ391" s="11"/>
      <c r="AR391" s="11"/>
      <c r="AW391" s="9"/>
      <c r="BD391" s="9"/>
      <c r="CS391" s="11">
        <f t="shared" si="29"/>
        <v>0</v>
      </c>
      <c r="CT391" s="22">
        <f t="shared" si="30"/>
        <v>0</v>
      </c>
      <c r="CU391" s="22">
        <f t="shared" si="31"/>
        <v>0</v>
      </c>
      <c r="CV391" s="26">
        <f t="shared" si="32"/>
        <v>456.6</v>
      </c>
    </row>
    <row r="392" spans="1:100" x14ac:dyDescent="0.2">
      <c r="A392" s="9" t="s">
        <v>243</v>
      </c>
      <c r="B392" s="2">
        <v>29</v>
      </c>
      <c r="C392" s="3" t="s">
        <v>95</v>
      </c>
      <c r="D392" s="3" t="s">
        <v>96</v>
      </c>
      <c r="E392" s="2"/>
      <c r="F392" s="2"/>
      <c r="G392" s="2" t="s">
        <v>69</v>
      </c>
      <c r="H392" s="2">
        <v>1</v>
      </c>
      <c r="I392" s="8">
        <v>125.02</v>
      </c>
      <c r="J392" s="8">
        <v>55564</v>
      </c>
      <c r="K392" s="3">
        <v>0</v>
      </c>
      <c r="L392" s="3" t="s">
        <v>3</v>
      </c>
      <c r="M392" s="9" t="s">
        <v>0</v>
      </c>
      <c r="N392" s="9" t="s">
        <v>13</v>
      </c>
      <c r="O392" s="9" t="s">
        <v>245</v>
      </c>
      <c r="S392" s="9" t="s">
        <v>158</v>
      </c>
      <c r="V392" s="10">
        <v>120.63</v>
      </c>
      <c r="W392" s="10" t="s">
        <v>710</v>
      </c>
      <c r="X392" s="17">
        <v>44412</v>
      </c>
      <c r="Y392" s="17">
        <v>45204</v>
      </c>
      <c r="Z392" s="19" t="s">
        <v>772</v>
      </c>
      <c r="AA392" s="210">
        <v>48900</v>
      </c>
      <c r="AB392" s="9">
        <v>72</v>
      </c>
      <c r="AC392" s="9">
        <v>25</v>
      </c>
      <c r="AD392" s="17">
        <v>45935</v>
      </c>
      <c r="AE392" s="56">
        <v>456.6</v>
      </c>
      <c r="AF392" s="56"/>
      <c r="AP392" s="11"/>
      <c r="AQ392" s="11"/>
      <c r="AR392" s="11"/>
      <c r="AW392" s="9"/>
      <c r="BD392" s="9"/>
      <c r="CS392" s="11">
        <f t="shared" si="29"/>
        <v>0</v>
      </c>
      <c r="CT392" s="22">
        <f t="shared" si="30"/>
        <v>0</v>
      </c>
      <c r="CU392" s="22">
        <f t="shared" si="31"/>
        <v>0</v>
      </c>
      <c r="CV392" s="26">
        <f t="shared" si="32"/>
        <v>456.6</v>
      </c>
    </row>
    <row r="393" spans="1:100" x14ac:dyDescent="0.2">
      <c r="A393" s="9" t="s">
        <v>243</v>
      </c>
      <c r="B393" s="2">
        <v>29</v>
      </c>
      <c r="C393" s="3" t="s">
        <v>95</v>
      </c>
      <c r="D393" s="3" t="s">
        <v>96</v>
      </c>
      <c r="E393" s="2"/>
      <c r="F393" s="2"/>
      <c r="G393" s="2" t="s">
        <v>69</v>
      </c>
      <c r="H393" s="2">
        <v>1</v>
      </c>
      <c r="I393" s="8">
        <v>125.02</v>
      </c>
      <c r="J393" s="8">
        <v>55564</v>
      </c>
      <c r="K393" s="3">
        <v>0</v>
      </c>
      <c r="L393" s="3" t="s">
        <v>3</v>
      </c>
      <c r="M393" s="9" t="s">
        <v>0</v>
      </c>
      <c r="N393" s="9" t="s">
        <v>13</v>
      </c>
      <c r="O393" s="9" t="s">
        <v>245</v>
      </c>
      <c r="S393" s="9" t="s">
        <v>158</v>
      </c>
      <c r="V393" s="10">
        <v>120.63</v>
      </c>
      <c r="W393" s="10" t="s">
        <v>710</v>
      </c>
      <c r="X393" s="17">
        <v>44412</v>
      </c>
      <c r="Y393" s="17">
        <v>45204</v>
      </c>
      <c r="Z393" s="19" t="s">
        <v>772</v>
      </c>
      <c r="AA393" s="210">
        <v>48900</v>
      </c>
      <c r="AB393" s="9">
        <v>72</v>
      </c>
      <c r="AC393" s="9">
        <v>26</v>
      </c>
      <c r="AD393" s="17">
        <v>45966</v>
      </c>
      <c r="AE393" s="56">
        <v>456.6</v>
      </c>
      <c r="AF393" s="56"/>
      <c r="AP393" s="11"/>
      <c r="AQ393" s="11"/>
      <c r="AR393" s="11"/>
      <c r="AW393" s="9"/>
      <c r="BD393" s="9"/>
      <c r="CS393" s="11">
        <f t="shared" si="29"/>
        <v>0</v>
      </c>
      <c r="CT393" s="22">
        <f t="shared" si="30"/>
        <v>0</v>
      </c>
      <c r="CU393" s="22">
        <f t="shared" si="31"/>
        <v>0</v>
      </c>
      <c r="CV393" s="26">
        <f t="shared" si="32"/>
        <v>456.6</v>
      </c>
    </row>
    <row r="394" spans="1:100" x14ac:dyDescent="0.2">
      <c r="A394" s="9" t="s">
        <v>243</v>
      </c>
      <c r="B394" s="2">
        <v>29</v>
      </c>
      <c r="C394" s="3" t="s">
        <v>95</v>
      </c>
      <c r="D394" s="3" t="s">
        <v>96</v>
      </c>
      <c r="E394" s="2"/>
      <c r="F394" s="2"/>
      <c r="G394" s="2" t="s">
        <v>69</v>
      </c>
      <c r="H394" s="2">
        <v>1</v>
      </c>
      <c r="I394" s="8">
        <v>125.02</v>
      </c>
      <c r="J394" s="8">
        <v>55564</v>
      </c>
      <c r="K394" s="3">
        <v>0</v>
      </c>
      <c r="L394" s="3" t="s">
        <v>3</v>
      </c>
      <c r="M394" s="9" t="s">
        <v>0</v>
      </c>
      <c r="N394" s="9" t="s">
        <v>13</v>
      </c>
      <c r="O394" s="9" t="s">
        <v>245</v>
      </c>
      <c r="S394" s="9" t="s">
        <v>158</v>
      </c>
      <c r="V394" s="10">
        <v>120.63</v>
      </c>
      <c r="W394" s="10" t="s">
        <v>710</v>
      </c>
      <c r="X394" s="17">
        <v>44412</v>
      </c>
      <c r="Y394" s="17">
        <v>45204</v>
      </c>
      <c r="Z394" s="19" t="s">
        <v>772</v>
      </c>
      <c r="AA394" s="210">
        <v>48900</v>
      </c>
      <c r="AB394" s="9">
        <v>72</v>
      </c>
      <c r="AC394" s="9">
        <v>27</v>
      </c>
      <c r="AD394" s="17">
        <v>45996</v>
      </c>
      <c r="AE394" s="56">
        <v>456.6</v>
      </c>
      <c r="AF394" s="56"/>
      <c r="AP394" s="11"/>
      <c r="AQ394" s="11"/>
      <c r="AR394" s="11"/>
      <c r="AW394" s="9"/>
      <c r="BD394" s="9"/>
      <c r="CS394" s="11">
        <f t="shared" si="29"/>
        <v>0</v>
      </c>
      <c r="CT394" s="22">
        <f t="shared" si="30"/>
        <v>0</v>
      </c>
      <c r="CU394" s="22">
        <f t="shared" si="31"/>
        <v>0</v>
      </c>
      <c r="CV394" s="26">
        <f t="shared" si="32"/>
        <v>456.6</v>
      </c>
    </row>
    <row r="395" spans="1:100" x14ac:dyDescent="0.2">
      <c r="A395" s="9" t="s">
        <v>243</v>
      </c>
      <c r="B395" s="2">
        <v>29</v>
      </c>
      <c r="C395" s="3" t="s">
        <v>95</v>
      </c>
      <c r="D395" s="3" t="s">
        <v>96</v>
      </c>
      <c r="E395" s="2"/>
      <c r="F395" s="2"/>
      <c r="G395" s="2" t="s">
        <v>69</v>
      </c>
      <c r="H395" s="2">
        <v>1</v>
      </c>
      <c r="I395" s="8">
        <v>125.02</v>
      </c>
      <c r="J395" s="8">
        <v>55564</v>
      </c>
      <c r="K395" s="3">
        <v>0</v>
      </c>
      <c r="L395" s="3" t="s">
        <v>3</v>
      </c>
      <c r="M395" s="9" t="s">
        <v>0</v>
      </c>
      <c r="N395" s="9" t="s">
        <v>13</v>
      </c>
      <c r="O395" s="9" t="s">
        <v>245</v>
      </c>
      <c r="S395" s="9" t="s">
        <v>158</v>
      </c>
      <c r="V395" s="10">
        <v>120.63</v>
      </c>
      <c r="W395" s="10" t="s">
        <v>710</v>
      </c>
      <c r="X395" s="17">
        <v>44412</v>
      </c>
      <c r="Y395" s="17">
        <v>45204</v>
      </c>
      <c r="Z395" s="19" t="s">
        <v>772</v>
      </c>
      <c r="AA395" s="210">
        <v>48900</v>
      </c>
      <c r="AB395" s="9">
        <v>72</v>
      </c>
      <c r="AC395" s="9">
        <v>28</v>
      </c>
      <c r="AD395" s="17">
        <v>46027</v>
      </c>
      <c r="AE395" s="56">
        <v>456.6</v>
      </c>
      <c r="AF395" s="56"/>
      <c r="AP395" s="11"/>
      <c r="AQ395" s="11"/>
      <c r="AR395" s="11"/>
      <c r="AW395" s="9"/>
      <c r="BD395" s="9"/>
      <c r="CS395" s="11">
        <f t="shared" si="29"/>
        <v>0</v>
      </c>
      <c r="CT395" s="22">
        <f t="shared" si="30"/>
        <v>0</v>
      </c>
      <c r="CU395" s="22">
        <f t="shared" si="31"/>
        <v>0</v>
      </c>
      <c r="CV395" s="26">
        <f t="shared" si="32"/>
        <v>456.6</v>
      </c>
    </row>
    <row r="396" spans="1:100" x14ac:dyDescent="0.2">
      <c r="A396" s="9" t="s">
        <v>243</v>
      </c>
      <c r="B396" s="2">
        <v>29</v>
      </c>
      <c r="C396" s="3" t="s">
        <v>95</v>
      </c>
      <c r="D396" s="3" t="s">
        <v>96</v>
      </c>
      <c r="E396" s="2"/>
      <c r="F396" s="2"/>
      <c r="G396" s="2" t="s">
        <v>69</v>
      </c>
      <c r="H396" s="2">
        <v>1</v>
      </c>
      <c r="I396" s="8">
        <v>125.02</v>
      </c>
      <c r="J396" s="8">
        <v>55564</v>
      </c>
      <c r="K396" s="3">
        <v>0</v>
      </c>
      <c r="L396" s="3" t="s">
        <v>3</v>
      </c>
      <c r="M396" s="9" t="s">
        <v>0</v>
      </c>
      <c r="N396" s="9" t="s">
        <v>13</v>
      </c>
      <c r="O396" s="9" t="s">
        <v>245</v>
      </c>
      <c r="S396" s="9" t="s">
        <v>158</v>
      </c>
      <c r="V396" s="10">
        <v>120.63</v>
      </c>
      <c r="W396" s="10" t="s">
        <v>710</v>
      </c>
      <c r="X396" s="17">
        <v>44412</v>
      </c>
      <c r="Y396" s="17">
        <v>45204</v>
      </c>
      <c r="Z396" s="19" t="s">
        <v>772</v>
      </c>
      <c r="AA396" s="210">
        <v>48900</v>
      </c>
      <c r="AB396" s="9">
        <v>72</v>
      </c>
      <c r="AC396" s="9">
        <v>29</v>
      </c>
      <c r="AD396" s="17">
        <v>46058</v>
      </c>
      <c r="AE396" s="56">
        <v>456.6</v>
      </c>
      <c r="AF396" s="56"/>
      <c r="AP396" s="11"/>
      <c r="AQ396" s="11"/>
      <c r="AR396" s="11"/>
      <c r="AW396" s="9"/>
      <c r="BD396" s="9"/>
      <c r="CS396" s="11">
        <f t="shared" si="29"/>
        <v>0</v>
      </c>
      <c r="CT396" s="22">
        <f t="shared" si="30"/>
        <v>0</v>
      </c>
      <c r="CU396" s="22">
        <f t="shared" si="31"/>
        <v>0</v>
      </c>
      <c r="CV396" s="26">
        <f t="shared" si="32"/>
        <v>456.6</v>
      </c>
    </row>
    <row r="397" spans="1:100" x14ac:dyDescent="0.2">
      <c r="A397" s="9" t="s">
        <v>243</v>
      </c>
      <c r="B397" s="2">
        <v>29</v>
      </c>
      <c r="C397" s="3" t="s">
        <v>95</v>
      </c>
      <c r="D397" s="3" t="s">
        <v>96</v>
      </c>
      <c r="E397" s="2"/>
      <c r="F397" s="2"/>
      <c r="G397" s="2" t="s">
        <v>69</v>
      </c>
      <c r="H397" s="2">
        <v>1</v>
      </c>
      <c r="I397" s="8">
        <v>125.02</v>
      </c>
      <c r="J397" s="8">
        <v>55564</v>
      </c>
      <c r="K397" s="3">
        <v>0</v>
      </c>
      <c r="L397" s="3" t="s">
        <v>3</v>
      </c>
      <c r="M397" s="9" t="s">
        <v>0</v>
      </c>
      <c r="N397" s="9" t="s">
        <v>13</v>
      </c>
      <c r="O397" s="9" t="s">
        <v>245</v>
      </c>
      <c r="S397" s="9" t="s">
        <v>158</v>
      </c>
      <c r="V397" s="10">
        <v>120.63</v>
      </c>
      <c r="W397" s="10" t="s">
        <v>710</v>
      </c>
      <c r="X397" s="17">
        <v>44412</v>
      </c>
      <c r="Y397" s="17">
        <v>45204</v>
      </c>
      <c r="Z397" s="19" t="s">
        <v>772</v>
      </c>
      <c r="AA397" s="210">
        <v>48900</v>
      </c>
      <c r="AB397" s="9">
        <v>72</v>
      </c>
      <c r="AC397" s="9">
        <v>30</v>
      </c>
      <c r="AD397" s="17">
        <v>46086</v>
      </c>
      <c r="AE397" s="56">
        <v>456.6</v>
      </c>
      <c r="AF397" s="56"/>
      <c r="AP397" s="11"/>
      <c r="AQ397" s="11"/>
      <c r="AR397" s="11"/>
      <c r="AW397" s="9"/>
      <c r="BD397" s="9"/>
      <c r="CS397" s="11">
        <f t="shared" si="29"/>
        <v>0</v>
      </c>
      <c r="CT397" s="22">
        <f t="shared" si="30"/>
        <v>0</v>
      </c>
      <c r="CU397" s="22">
        <f t="shared" si="31"/>
        <v>0</v>
      </c>
      <c r="CV397" s="26">
        <f t="shared" si="32"/>
        <v>456.6</v>
      </c>
    </row>
    <row r="398" spans="1:100" x14ac:dyDescent="0.2">
      <c r="A398" s="9" t="s">
        <v>243</v>
      </c>
      <c r="B398" s="2">
        <v>29</v>
      </c>
      <c r="C398" s="3" t="s">
        <v>95</v>
      </c>
      <c r="D398" s="3" t="s">
        <v>96</v>
      </c>
      <c r="E398" s="2"/>
      <c r="F398" s="2"/>
      <c r="G398" s="2" t="s">
        <v>69</v>
      </c>
      <c r="H398" s="2">
        <v>1</v>
      </c>
      <c r="I398" s="8">
        <v>125.02</v>
      </c>
      <c r="J398" s="8">
        <v>55564</v>
      </c>
      <c r="K398" s="3">
        <v>0</v>
      </c>
      <c r="L398" s="3" t="s">
        <v>3</v>
      </c>
      <c r="M398" s="9" t="s">
        <v>0</v>
      </c>
      <c r="N398" s="9" t="s">
        <v>13</v>
      </c>
      <c r="O398" s="9" t="s">
        <v>245</v>
      </c>
      <c r="S398" s="9" t="s">
        <v>158</v>
      </c>
      <c r="V398" s="10">
        <v>120.63</v>
      </c>
      <c r="W398" s="10" t="s">
        <v>710</v>
      </c>
      <c r="X398" s="17">
        <v>44412</v>
      </c>
      <c r="Y398" s="17">
        <v>45204</v>
      </c>
      <c r="Z398" s="19" t="s">
        <v>772</v>
      </c>
      <c r="AA398" s="210">
        <v>48900</v>
      </c>
      <c r="AB398" s="9">
        <v>72</v>
      </c>
      <c r="AC398" s="9">
        <v>31</v>
      </c>
      <c r="AD398" s="17">
        <v>46117</v>
      </c>
      <c r="AE398" s="56">
        <v>456.6</v>
      </c>
      <c r="AF398" s="56"/>
      <c r="AP398" s="11"/>
      <c r="AQ398" s="11"/>
      <c r="AR398" s="11"/>
      <c r="AW398" s="9"/>
      <c r="BD398" s="9"/>
      <c r="CS398" s="11">
        <f t="shared" si="29"/>
        <v>0</v>
      </c>
      <c r="CT398" s="22">
        <f t="shared" si="30"/>
        <v>0</v>
      </c>
      <c r="CU398" s="22">
        <f t="shared" si="31"/>
        <v>0</v>
      </c>
      <c r="CV398" s="26">
        <f t="shared" si="32"/>
        <v>456.6</v>
      </c>
    </row>
    <row r="399" spans="1:100" x14ac:dyDescent="0.2">
      <c r="A399" s="9" t="s">
        <v>243</v>
      </c>
      <c r="B399" s="2">
        <v>29</v>
      </c>
      <c r="C399" s="3" t="s">
        <v>95</v>
      </c>
      <c r="D399" s="3" t="s">
        <v>96</v>
      </c>
      <c r="E399" s="2"/>
      <c r="F399" s="2"/>
      <c r="G399" s="2" t="s">
        <v>69</v>
      </c>
      <c r="H399" s="2">
        <v>1</v>
      </c>
      <c r="I399" s="8">
        <v>125.02</v>
      </c>
      <c r="J399" s="8">
        <v>55564</v>
      </c>
      <c r="K399" s="3">
        <v>0</v>
      </c>
      <c r="L399" s="3" t="s">
        <v>3</v>
      </c>
      <c r="M399" s="9" t="s">
        <v>0</v>
      </c>
      <c r="N399" s="9" t="s">
        <v>13</v>
      </c>
      <c r="O399" s="9" t="s">
        <v>245</v>
      </c>
      <c r="S399" s="9" t="s">
        <v>158</v>
      </c>
      <c r="V399" s="10">
        <v>120.63</v>
      </c>
      <c r="W399" s="10" t="s">
        <v>710</v>
      </c>
      <c r="X399" s="17">
        <v>44412</v>
      </c>
      <c r="Y399" s="17">
        <v>45204</v>
      </c>
      <c r="Z399" s="19" t="s">
        <v>772</v>
      </c>
      <c r="AA399" s="210">
        <v>48900</v>
      </c>
      <c r="AB399" s="9">
        <v>72</v>
      </c>
      <c r="AC399" s="9">
        <v>32</v>
      </c>
      <c r="AD399" s="17">
        <v>46147</v>
      </c>
      <c r="AE399" s="56">
        <v>456.6</v>
      </c>
      <c r="AF399" s="56"/>
      <c r="AP399" s="11"/>
      <c r="AQ399" s="11"/>
      <c r="AR399" s="11"/>
      <c r="AW399" s="9"/>
      <c r="BD399" s="9"/>
      <c r="CS399" s="11">
        <f t="shared" si="29"/>
        <v>0</v>
      </c>
      <c r="CT399" s="22">
        <f t="shared" si="30"/>
        <v>0</v>
      </c>
      <c r="CU399" s="22">
        <f t="shared" si="31"/>
        <v>0</v>
      </c>
      <c r="CV399" s="26">
        <f t="shared" si="32"/>
        <v>456.6</v>
      </c>
    </row>
    <row r="400" spans="1:100" x14ac:dyDescent="0.2">
      <c r="A400" s="9" t="s">
        <v>243</v>
      </c>
      <c r="B400" s="2">
        <v>29</v>
      </c>
      <c r="C400" s="3" t="s">
        <v>95</v>
      </c>
      <c r="D400" s="3" t="s">
        <v>96</v>
      </c>
      <c r="E400" s="2"/>
      <c r="F400" s="2"/>
      <c r="G400" s="2" t="s">
        <v>69</v>
      </c>
      <c r="H400" s="2">
        <v>1</v>
      </c>
      <c r="I400" s="8">
        <v>125.02</v>
      </c>
      <c r="J400" s="8">
        <v>55564</v>
      </c>
      <c r="K400" s="3">
        <v>0</v>
      </c>
      <c r="L400" s="3" t="s">
        <v>3</v>
      </c>
      <c r="M400" s="9" t="s">
        <v>0</v>
      </c>
      <c r="N400" s="9" t="s">
        <v>13</v>
      </c>
      <c r="O400" s="9" t="s">
        <v>245</v>
      </c>
      <c r="S400" s="9" t="s">
        <v>158</v>
      </c>
      <c r="V400" s="10">
        <v>120.63</v>
      </c>
      <c r="W400" s="10" t="s">
        <v>710</v>
      </c>
      <c r="X400" s="17">
        <v>44412</v>
      </c>
      <c r="Y400" s="17">
        <v>45204</v>
      </c>
      <c r="Z400" s="19" t="s">
        <v>772</v>
      </c>
      <c r="AA400" s="210">
        <v>48900</v>
      </c>
      <c r="AB400" s="9">
        <v>72</v>
      </c>
      <c r="AC400" s="9">
        <v>33</v>
      </c>
      <c r="AD400" s="17">
        <v>46178</v>
      </c>
      <c r="AE400" s="56">
        <v>456.6</v>
      </c>
      <c r="AF400" s="56"/>
      <c r="AP400" s="11"/>
      <c r="AQ400" s="11"/>
      <c r="AR400" s="11"/>
      <c r="AW400" s="9"/>
      <c r="BD400" s="9"/>
      <c r="CS400" s="11">
        <f t="shared" si="29"/>
        <v>0</v>
      </c>
      <c r="CT400" s="22">
        <f t="shared" si="30"/>
        <v>0</v>
      </c>
      <c r="CU400" s="22">
        <f t="shared" si="31"/>
        <v>0</v>
      </c>
      <c r="CV400" s="26">
        <f t="shared" si="32"/>
        <v>456.6</v>
      </c>
    </row>
    <row r="401" spans="1:100" x14ac:dyDescent="0.2">
      <c r="A401" s="9" t="s">
        <v>243</v>
      </c>
      <c r="B401" s="2">
        <v>29</v>
      </c>
      <c r="C401" s="3" t="s">
        <v>95</v>
      </c>
      <c r="D401" s="3" t="s">
        <v>96</v>
      </c>
      <c r="E401" s="2"/>
      <c r="F401" s="2"/>
      <c r="G401" s="2" t="s">
        <v>69</v>
      </c>
      <c r="H401" s="2">
        <v>1</v>
      </c>
      <c r="I401" s="8">
        <v>125.02</v>
      </c>
      <c r="J401" s="8">
        <v>55564</v>
      </c>
      <c r="K401" s="3">
        <v>0</v>
      </c>
      <c r="L401" s="3" t="s">
        <v>3</v>
      </c>
      <c r="M401" s="9" t="s">
        <v>0</v>
      </c>
      <c r="N401" s="9" t="s">
        <v>13</v>
      </c>
      <c r="O401" s="9" t="s">
        <v>245</v>
      </c>
      <c r="S401" s="9" t="s">
        <v>158</v>
      </c>
      <c r="V401" s="10">
        <v>120.63</v>
      </c>
      <c r="W401" s="10" t="s">
        <v>710</v>
      </c>
      <c r="X401" s="17">
        <v>44412</v>
      </c>
      <c r="Y401" s="17">
        <v>45204</v>
      </c>
      <c r="Z401" s="19" t="s">
        <v>772</v>
      </c>
      <c r="AA401" s="210">
        <v>48900</v>
      </c>
      <c r="AB401" s="9">
        <v>72</v>
      </c>
      <c r="AC401" s="9">
        <v>34</v>
      </c>
      <c r="AD401" s="17">
        <v>46208</v>
      </c>
      <c r="AE401" s="56">
        <v>456.6</v>
      </c>
      <c r="AF401" s="56"/>
      <c r="AP401" s="11"/>
      <c r="AQ401" s="11"/>
      <c r="AR401" s="11"/>
      <c r="AW401" s="9"/>
      <c r="BD401" s="9"/>
      <c r="CS401" s="11">
        <f t="shared" si="29"/>
        <v>0</v>
      </c>
      <c r="CT401" s="22">
        <f t="shared" si="30"/>
        <v>0</v>
      </c>
      <c r="CU401" s="22">
        <f t="shared" si="31"/>
        <v>0</v>
      </c>
      <c r="CV401" s="26">
        <f t="shared" si="32"/>
        <v>456.6</v>
      </c>
    </row>
    <row r="402" spans="1:100" x14ac:dyDescent="0.2">
      <c r="A402" s="9" t="s">
        <v>243</v>
      </c>
      <c r="B402" s="2">
        <v>29</v>
      </c>
      <c r="C402" s="3" t="s">
        <v>95</v>
      </c>
      <c r="D402" s="3" t="s">
        <v>96</v>
      </c>
      <c r="E402" s="2"/>
      <c r="F402" s="2"/>
      <c r="G402" s="2" t="s">
        <v>69</v>
      </c>
      <c r="H402" s="2">
        <v>1</v>
      </c>
      <c r="I402" s="8">
        <v>125.02</v>
      </c>
      <c r="J402" s="8">
        <v>55564</v>
      </c>
      <c r="K402" s="3">
        <v>0</v>
      </c>
      <c r="L402" s="3" t="s">
        <v>3</v>
      </c>
      <c r="M402" s="9" t="s">
        <v>0</v>
      </c>
      <c r="N402" s="9" t="s">
        <v>13</v>
      </c>
      <c r="O402" s="9" t="s">
        <v>245</v>
      </c>
      <c r="S402" s="9" t="s">
        <v>158</v>
      </c>
      <c r="V402" s="10">
        <v>120.63</v>
      </c>
      <c r="W402" s="10" t="s">
        <v>710</v>
      </c>
      <c r="X402" s="17">
        <v>44412</v>
      </c>
      <c r="Y402" s="17">
        <v>45204</v>
      </c>
      <c r="Z402" s="19" t="s">
        <v>772</v>
      </c>
      <c r="AA402" s="210">
        <v>48900</v>
      </c>
      <c r="AB402" s="9">
        <v>72</v>
      </c>
      <c r="AC402" s="9">
        <v>35</v>
      </c>
      <c r="AD402" s="17">
        <v>46239</v>
      </c>
      <c r="AE402" s="56">
        <v>456.6</v>
      </c>
      <c r="AF402" s="56"/>
      <c r="AP402" s="11"/>
      <c r="AQ402" s="11"/>
      <c r="AR402" s="11"/>
      <c r="AW402" s="9"/>
      <c r="BD402" s="9"/>
      <c r="CS402" s="11">
        <f t="shared" si="29"/>
        <v>0</v>
      </c>
      <c r="CT402" s="22">
        <f t="shared" si="30"/>
        <v>0</v>
      </c>
      <c r="CU402" s="22">
        <f t="shared" si="31"/>
        <v>0</v>
      </c>
      <c r="CV402" s="26">
        <f t="shared" si="32"/>
        <v>456.6</v>
      </c>
    </row>
    <row r="403" spans="1:100" x14ac:dyDescent="0.2">
      <c r="A403" s="9" t="s">
        <v>243</v>
      </c>
      <c r="B403" s="2">
        <v>29</v>
      </c>
      <c r="C403" s="3" t="s">
        <v>95</v>
      </c>
      <c r="D403" s="3" t="s">
        <v>96</v>
      </c>
      <c r="E403" s="2"/>
      <c r="F403" s="2"/>
      <c r="G403" s="2" t="s">
        <v>69</v>
      </c>
      <c r="H403" s="2">
        <v>1</v>
      </c>
      <c r="I403" s="8">
        <v>125.02</v>
      </c>
      <c r="J403" s="8">
        <v>55564</v>
      </c>
      <c r="K403" s="3">
        <v>0</v>
      </c>
      <c r="L403" s="3" t="s">
        <v>3</v>
      </c>
      <c r="M403" s="9" t="s">
        <v>0</v>
      </c>
      <c r="N403" s="9" t="s">
        <v>13</v>
      </c>
      <c r="O403" s="9" t="s">
        <v>245</v>
      </c>
      <c r="S403" s="9" t="s">
        <v>158</v>
      </c>
      <c r="V403" s="10">
        <v>120.63</v>
      </c>
      <c r="W403" s="10" t="s">
        <v>710</v>
      </c>
      <c r="X403" s="17">
        <v>44412</v>
      </c>
      <c r="Y403" s="17">
        <v>45204</v>
      </c>
      <c r="Z403" s="19" t="s">
        <v>772</v>
      </c>
      <c r="AA403" s="210">
        <v>48900</v>
      </c>
      <c r="AB403" s="9">
        <v>72</v>
      </c>
      <c r="AC403" s="9">
        <v>36</v>
      </c>
      <c r="AD403" s="17">
        <v>46270</v>
      </c>
      <c r="AE403" s="56">
        <v>456.6</v>
      </c>
      <c r="AF403" s="56"/>
      <c r="AP403" s="11"/>
      <c r="AQ403" s="11"/>
      <c r="AR403" s="11"/>
      <c r="AW403" s="9"/>
      <c r="BD403" s="9"/>
      <c r="CS403" s="11">
        <f t="shared" si="29"/>
        <v>0</v>
      </c>
      <c r="CT403" s="22">
        <f t="shared" si="30"/>
        <v>0</v>
      </c>
      <c r="CU403" s="22">
        <f t="shared" si="31"/>
        <v>0</v>
      </c>
      <c r="CV403" s="26">
        <f t="shared" si="32"/>
        <v>456.6</v>
      </c>
    </row>
    <row r="404" spans="1:100" x14ac:dyDescent="0.2">
      <c r="A404" s="9" t="s">
        <v>243</v>
      </c>
      <c r="B404" s="2">
        <v>29</v>
      </c>
      <c r="C404" s="3" t="s">
        <v>95</v>
      </c>
      <c r="D404" s="3" t="s">
        <v>96</v>
      </c>
      <c r="E404" s="2"/>
      <c r="F404" s="2"/>
      <c r="G404" s="2" t="s">
        <v>69</v>
      </c>
      <c r="H404" s="2">
        <v>1</v>
      </c>
      <c r="I404" s="8">
        <v>125.02</v>
      </c>
      <c r="J404" s="8">
        <v>55564</v>
      </c>
      <c r="K404" s="3">
        <v>0</v>
      </c>
      <c r="L404" s="3" t="s">
        <v>3</v>
      </c>
      <c r="M404" s="9" t="s">
        <v>0</v>
      </c>
      <c r="N404" s="9" t="s">
        <v>13</v>
      </c>
      <c r="O404" s="9" t="s">
        <v>245</v>
      </c>
      <c r="S404" s="9" t="s">
        <v>158</v>
      </c>
      <c r="V404" s="10">
        <v>120.63</v>
      </c>
      <c r="W404" s="10" t="s">
        <v>710</v>
      </c>
      <c r="X404" s="17">
        <v>44412</v>
      </c>
      <c r="Y404" s="17">
        <v>45204</v>
      </c>
      <c r="Z404" s="19" t="s">
        <v>772</v>
      </c>
      <c r="AA404" s="210">
        <v>48900</v>
      </c>
      <c r="AB404" s="9">
        <v>72</v>
      </c>
      <c r="AC404" s="9">
        <v>37</v>
      </c>
      <c r="AD404" s="17">
        <v>46300</v>
      </c>
      <c r="AE404" s="56">
        <v>456.6</v>
      </c>
      <c r="AF404" s="56"/>
      <c r="AP404" s="11"/>
      <c r="AQ404" s="11"/>
      <c r="AR404" s="11"/>
      <c r="AW404" s="9"/>
      <c r="BD404" s="9"/>
      <c r="CS404" s="11">
        <f t="shared" si="29"/>
        <v>0</v>
      </c>
      <c r="CT404" s="22">
        <f t="shared" si="30"/>
        <v>0</v>
      </c>
      <c r="CU404" s="22">
        <f t="shared" si="31"/>
        <v>0</v>
      </c>
      <c r="CV404" s="26">
        <f t="shared" si="32"/>
        <v>456.6</v>
      </c>
    </row>
    <row r="405" spans="1:100" x14ac:dyDescent="0.2">
      <c r="A405" s="9" t="s">
        <v>243</v>
      </c>
      <c r="B405" s="2">
        <v>29</v>
      </c>
      <c r="C405" s="3" t="s">
        <v>95</v>
      </c>
      <c r="D405" s="3" t="s">
        <v>96</v>
      </c>
      <c r="E405" s="2"/>
      <c r="F405" s="2"/>
      <c r="G405" s="2" t="s">
        <v>69</v>
      </c>
      <c r="H405" s="2">
        <v>1</v>
      </c>
      <c r="I405" s="8">
        <v>125.02</v>
      </c>
      <c r="J405" s="8">
        <v>55564</v>
      </c>
      <c r="K405" s="3">
        <v>0</v>
      </c>
      <c r="L405" s="3" t="s">
        <v>3</v>
      </c>
      <c r="M405" s="9" t="s">
        <v>0</v>
      </c>
      <c r="N405" s="9" t="s">
        <v>13</v>
      </c>
      <c r="O405" s="9" t="s">
        <v>245</v>
      </c>
      <c r="S405" s="9" t="s">
        <v>158</v>
      </c>
      <c r="V405" s="10">
        <v>120.63</v>
      </c>
      <c r="W405" s="10" t="s">
        <v>710</v>
      </c>
      <c r="X405" s="17">
        <v>44412</v>
      </c>
      <c r="Y405" s="17">
        <v>45204</v>
      </c>
      <c r="Z405" s="19" t="s">
        <v>772</v>
      </c>
      <c r="AA405" s="210">
        <v>48900</v>
      </c>
      <c r="AB405" s="9">
        <v>72</v>
      </c>
      <c r="AC405" s="9">
        <v>38</v>
      </c>
      <c r="AD405" s="17">
        <v>46331</v>
      </c>
      <c r="AE405" s="56">
        <v>456.6</v>
      </c>
      <c r="AF405" s="56"/>
      <c r="AP405" s="11"/>
      <c r="AQ405" s="11"/>
      <c r="AR405" s="11"/>
      <c r="AW405" s="9"/>
      <c r="BD405" s="9"/>
      <c r="CS405" s="11">
        <f t="shared" si="29"/>
        <v>0</v>
      </c>
      <c r="CT405" s="22">
        <f t="shared" si="30"/>
        <v>0</v>
      </c>
      <c r="CU405" s="22">
        <f t="shared" si="31"/>
        <v>0</v>
      </c>
      <c r="CV405" s="26">
        <f t="shared" si="32"/>
        <v>456.6</v>
      </c>
    </row>
    <row r="406" spans="1:100" x14ac:dyDescent="0.2">
      <c r="A406" s="9" t="s">
        <v>243</v>
      </c>
      <c r="B406" s="2">
        <v>29</v>
      </c>
      <c r="C406" s="3" t="s">
        <v>95</v>
      </c>
      <c r="D406" s="3" t="s">
        <v>96</v>
      </c>
      <c r="E406" s="2"/>
      <c r="F406" s="2"/>
      <c r="G406" s="2" t="s">
        <v>69</v>
      </c>
      <c r="H406" s="2">
        <v>1</v>
      </c>
      <c r="I406" s="8">
        <v>125.02</v>
      </c>
      <c r="J406" s="8">
        <v>55564</v>
      </c>
      <c r="K406" s="3">
        <v>0</v>
      </c>
      <c r="L406" s="3" t="s">
        <v>3</v>
      </c>
      <c r="M406" s="9" t="s">
        <v>0</v>
      </c>
      <c r="N406" s="9" t="s">
        <v>13</v>
      </c>
      <c r="O406" s="9" t="s">
        <v>245</v>
      </c>
      <c r="S406" s="9" t="s">
        <v>158</v>
      </c>
      <c r="V406" s="10">
        <v>120.63</v>
      </c>
      <c r="W406" s="10" t="s">
        <v>710</v>
      </c>
      <c r="X406" s="17">
        <v>44412</v>
      </c>
      <c r="Y406" s="17">
        <v>45204</v>
      </c>
      <c r="Z406" s="19" t="s">
        <v>772</v>
      </c>
      <c r="AA406" s="210">
        <v>48900</v>
      </c>
      <c r="AB406" s="9">
        <v>72</v>
      </c>
      <c r="AC406" s="9">
        <v>39</v>
      </c>
      <c r="AD406" s="17">
        <v>46361</v>
      </c>
      <c r="AE406" s="56">
        <v>456.6</v>
      </c>
      <c r="AF406" s="56"/>
      <c r="AP406" s="11"/>
      <c r="AQ406" s="11"/>
      <c r="AR406" s="11"/>
      <c r="AW406" s="9"/>
      <c r="BD406" s="9"/>
      <c r="CS406" s="11">
        <f t="shared" si="29"/>
        <v>0</v>
      </c>
      <c r="CT406" s="22">
        <f t="shared" si="30"/>
        <v>0</v>
      </c>
      <c r="CU406" s="22">
        <f t="shared" si="31"/>
        <v>0</v>
      </c>
      <c r="CV406" s="26">
        <f t="shared" si="32"/>
        <v>456.6</v>
      </c>
    </row>
    <row r="407" spans="1:100" x14ac:dyDescent="0.2">
      <c r="A407" s="9" t="s">
        <v>243</v>
      </c>
      <c r="B407" s="2">
        <v>29</v>
      </c>
      <c r="C407" s="3" t="s">
        <v>95</v>
      </c>
      <c r="D407" s="3" t="s">
        <v>96</v>
      </c>
      <c r="E407" s="2"/>
      <c r="F407" s="2"/>
      <c r="G407" s="2" t="s">
        <v>69</v>
      </c>
      <c r="H407" s="2">
        <v>1</v>
      </c>
      <c r="I407" s="8">
        <v>125.02</v>
      </c>
      <c r="J407" s="8">
        <v>55564</v>
      </c>
      <c r="K407" s="3">
        <v>0</v>
      </c>
      <c r="L407" s="3" t="s">
        <v>3</v>
      </c>
      <c r="M407" s="9" t="s">
        <v>0</v>
      </c>
      <c r="N407" s="9" t="s">
        <v>13</v>
      </c>
      <c r="O407" s="9" t="s">
        <v>245</v>
      </c>
      <c r="S407" s="9" t="s">
        <v>158</v>
      </c>
      <c r="V407" s="10">
        <v>120.63</v>
      </c>
      <c r="W407" s="10" t="s">
        <v>710</v>
      </c>
      <c r="X407" s="17">
        <v>44412</v>
      </c>
      <c r="Y407" s="17">
        <v>45204</v>
      </c>
      <c r="Z407" s="19" t="s">
        <v>772</v>
      </c>
      <c r="AA407" s="210">
        <v>48900</v>
      </c>
      <c r="AB407" s="9">
        <v>72</v>
      </c>
      <c r="AC407" s="9">
        <v>40</v>
      </c>
      <c r="AD407" s="17">
        <v>46392</v>
      </c>
      <c r="AE407" s="56">
        <v>456.6</v>
      </c>
      <c r="AF407" s="56"/>
      <c r="AP407" s="11"/>
      <c r="AQ407" s="11"/>
      <c r="AR407" s="11"/>
      <c r="AW407" s="9"/>
      <c r="BD407" s="9"/>
      <c r="CS407" s="11">
        <f t="shared" si="29"/>
        <v>0</v>
      </c>
      <c r="CT407" s="22">
        <f t="shared" si="30"/>
        <v>0</v>
      </c>
      <c r="CU407" s="22">
        <f t="shared" si="31"/>
        <v>0</v>
      </c>
      <c r="CV407" s="26">
        <f t="shared" si="32"/>
        <v>456.6</v>
      </c>
    </row>
    <row r="408" spans="1:100" x14ac:dyDescent="0.2">
      <c r="A408" s="9" t="s">
        <v>243</v>
      </c>
      <c r="B408" s="2">
        <v>29</v>
      </c>
      <c r="C408" s="3" t="s">
        <v>95</v>
      </c>
      <c r="D408" s="3" t="s">
        <v>96</v>
      </c>
      <c r="E408" s="2"/>
      <c r="F408" s="2"/>
      <c r="G408" s="2" t="s">
        <v>69</v>
      </c>
      <c r="H408" s="2">
        <v>1</v>
      </c>
      <c r="I408" s="8">
        <v>125.02</v>
      </c>
      <c r="J408" s="8">
        <v>55564</v>
      </c>
      <c r="K408" s="3">
        <v>0</v>
      </c>
      <c r="L408" s="3" t="s">
        <v>3</v>
      </c>
      <c r="M408" s="9" t="s">
        <v>0</v>
      </c>
      <c r="N408" s="9" t="s">
        <v>13</v>
      </c>
      <c r="O408" s="9" t="s">
        <v>245</v>
      </c>
      <c r="S408" s="9" t="s">
        <v>158</v>
      </c>
      <c r="V408" s="10">
        <v>120.63</v>
      </c>
      <c r="W408" s="10" t="s">
        <v>710</v>
      </c>
      <c r="X408" s="17">
        <v>44412</v>
      </c>
      <c r="Y408" s="17">
        <v>45204</v>
      </c>
      <c r="Z408" s="19" t="s">
        <v>772</v>
      </c>
      <c r="AA408" s="210">
        <v>48900</v>
      </c>
      <c r="AB408" s="9">
        <v>72</v>
      </c>
      <c r="AC408" s="9">
        <v>41</v>
      </c>
      <c r="AD408" s="17">
        <v>46423</v>
      </c>
      <c r="AE408" s="56">
        <v>456.6</v>
      </c>
      <c r="AF408" s="56"/>
      <c r="AP408" s="11"/>
      <c r="AQ408" s="11"/>
      <c r="AR408" s="11"/>
      <c r="AW408" s="9"/>
      <c r="BD408" s="9"/>
      <c r="CS408" s="11">
        <f t="shared" si="29"/>
        <v>0</v>
      </c>
      <c r="CT408" s="22">
        <f t="shared" si="30"/>
        <v>0</v>
      </c>
      <c r="CU408" s="22">
        <f t="shared" si="31"/>
        <v>0</v>
      </c>
      <c r="CV408" s="26">
        <f t="shared" si="32"/>
        <v>456.6</v>
      </c>
    </row>
    <row r="409" spans="1:100" x14ac:dyDescent="0.2">
      <c r="A409" s="9" t="s">
        <v>243</v>
      </c>
      <c r="B409" s="2">
        <v>29</v>
      </c>
      <c r="C409" s="3" t="s">
        <v>95</v>
      </c>
      <c r="D409" s="3" t="s">
        <v>96</v>
      </c>
      <c r="E409" s="2"/>
      <c r="F409" s="2"/>
      <c r="G409" s="2" t="s">
        <v>69</v>
      </c>
      <c r="H409" s="2">
        <v>1</v>
      </c>
      <c r="I409" s="8">
        <v>125.02</v>
      </c>
      <c r="J409" s="8">
        <v>55564</v>
      </c>
      <c r="K409" s="3">
        <v>0</v>
      </c>
      <c r="L409" s="3" t="s">
        <v>3</v>
      </c>
      <c r="M409" s="9" t="s">
        <v>0</v>
      </c>
      <c r="N409" s="9" t="s">
        <v>13</v>
      </c>
      <c r="O409" s="9" t="s">
        <v>245</v>
      </c>
      <c r="S409" s="9" t="s">
        <v>158</v>
      </c>
      <c r="V409" s="10">
        <v>120.63</v>
      </c>
      <c r="W409" s="10" t="s">
        <v>710</v>
      </c>
      <c r="X409" s="17">
        <v>44412</v>
      </c>
      <c r="Y409" s="17">
        <v>45204</v>
      </c>
      <c r="Z409" s="19" t="s">
        <v>772</v>
      </c>
      <c r="AA409" s="210">
        <v>48900</v>
      </c>
      <c r="AB409" s="9">
        <v>72</v>
      </c>
      <c r="AC409" s="9">
        <v>42</v>
      </c>
      <c r="AD409" s="17">
        <v>46451</v>
      </c>
      <c r="AE409" s="56">
        <v>456.6</v>
      </c>
      <c r="AF409" s="56"/>
      <c r="AP409" s="11"/>
      <c r="AQ409" s="11"/>
      <c r="AR409" s="11"/>
      <c r="AW409" s="9"/>
      <c r="BD409" s="9"/>
      <c r="CS409" s="11">
        <f t="shared" si="29"/>
        <v>0</v>
      </c>
      <c r="CT409" s="22">
        <f t="shared" si="30"/>
        <v>0</v>
      </c>
      <c r="CU409" s="22">
        <f t="shared" si="31"/>
        <v>0</v>
      </c>
      <c r="CV409" s="26">
        <f t="shared" si="32"/>
        <v>456.6</v>
      </c>
    </row>
    <row r="410" spans="1:100" x14ac:dyDescent="0.2">
      <c r="A410" s="9" t="s">
        <v>243</v>
      </c>
      <c r="B410" s="2">
        <v>29</v>
      </c>
      <c r="C410" s="3" t="s">
        <v>95</v>
      </c>
      <c r="D410" s="3" t="s">
        <v>96</v>
      </c>
      <c r="E410" s="2"/>
      <c r="F410" s="2"/>
      <c r="G410" s="2" t="s">
        <v>69</v>
      </c>
      <c r="H410" s="2">
        <v>1</v>
      </c>
      <c r="I410" s="8">
        <v>125.02</v>
      </c>
      <c r="J410" s="8">
        <v>55564</v>
      </c>
      <c r="K410" s="3">
        <v>0</v>
      </c>
      <c r="L410" s="3" t="s">
        <v>3</v>
      </c>
      <c r="M410" s="9" t="s">
        <v>0</v>
      </c>
      <c r="N410" s="9" t="s">
        <v>13</v>
      </c>
      <c r="O410" s="9" t="s">
        <v>245</v>
      </c>
      <c r="S410" s="9" t="s">
        <v>158</v>
      </c>
      <c r="V410" s="10">
        <v>120.63</v>
      </c>
      <c r="W410" s="10" t="s">
        <v>710</v>
      </c>
      <c r="X410" s="17">
        <v>44412</v>
      </c>
      <c r="Y410" s="17">
        <v>45204</v>
      </c>
      <c r="Z410" s="19" t="s">
        <v>772</v>
      </c>
      <c r="AA410" s="210">
        <v>48900</v>
      </c>
      <c r="AB410" s="9">
        <v>72</v>
      </c>
      <c r="AC410" s="9">
        <v>43</v>
      </c>
      <c r="AD410" s="17">
        <v>46482</v>
      </c>
      <c r="AE410" s="56">
        <v>456.6</v>
      </c>
      <c r="AF410" s="56"/>
      <c r="AP410" s="11"/>
      <c r="AQ410" s="11"/>
      <c r="AR410" s="11"/>
      <c r="AW410" s="9"/>
      <c r="BD410" s="9"/>
      <c r="CS410" s="11">
        <f t="shared" si="29"/>
        <v>0</v>
      </c>
      <c r="CT410" s="22">
        <f t="shared" si="30"/>
        <v>0</v>
      </c>
      <c r="CU410" s="22">
        <f t="shared" si="31"/>
        <v>0</v>
      </c>
      <c r="CV410" s="26">
        <f t="shared" si="32"/>
        <v>456.6</v>
      </c>
    </row>
    <row r="411" spans="1:100" x14ac:dyDescent="0.2">
      <c r="A411" s="9" t="s">
        <v>243</v>
      </c>
      <c r="B411" s="2">
        <v>29</v>
      </c>
      <c r="C411" s="3" t="s">
        <v>95</v>
      </c>
      <c r="D411" s="3" t="s">
        <v>96</v>
      </c>
      <c r="E411" s="2"/>
      <c r="F411" s="2"/>
      <c r="G411" s="2" t="s">
        <v>69</v>
      </c>
      <c r="H411" s="2">
        <v>1</v>
      </c>
      <c r="I411" s="8">
        <v>125.02</v>
      </c>
      <c r="J411" s="8">
        <v>55564</v>
      </c>
      <c r="K411" s="3">
        <v>0</v>
      </c>
      <c r="L411" s="3" t="s">
        <v>3</v>
      </c>
      <c r="M411" s="9" t="s">
        <v>0</v>
      </c>
      <c r="N411" s="9" t="s">
        <v>13</v>
      </c>
      <c r="O411" s="9" t="s">
        <v>245</v>
      </c>
      <c r="S411" s="9" t="s">
        <v>158</v>
      </c>
      <c r="V411" s="10">
        <v>120.63</v>
      </c>
      <c r="W411" s="10" t="s">
        <v>710</v>
      </c>
      <c r="X411" s="17">
        <v>44412</v>
      </c>
      <c r="Y411" s="17">
        <v>45204</v>
      </c>
      <c r="Z411" s="19" t="s">
        <v>772</v>
      </c>
      <c r="AA411" s="210">
        <v>48900</v>
      </c>
      <c r="AB411" s="9">
        <v>72</v>
      </c>
      <c r="AC411" s="9">
        <v>44</v>
      </c>
      <c r="AD411" s="17">
        <v>46512</v>
      </c>
      <c r="AE411" s="56">
        <v>456.6</v>
      </c>
      <c r="AF411" s="56"/>
      <c r="AP411" s="11"/>
      <c r="AQ411" s="11"/>
      <c r="AR411" s="11"/>
      <c r="AW411" s="9"/>
      <c r="BD411" s="9"/>
      <c r="CS411" s="11">
        <f t="shared" si="29"/>
        <v>0</v>
      </c>
      <c r="CT411" s="22">
        <f t="shared" si="30"/>
        <v>0</v>
      </c>
      <c r="CU411" s="22">
        <f t="shared" si="31"/>
        <v>0</v>
      </c>
      <c r="CV411" s="26">
        <f t="shared" si="32"/>
        <v>456.6</v>
      </c>
    </row>
    <row r="412" spans="1:100" x14ac:dyDescent="0.2">
      <c r="A412" s="9" t="s">
        <v>243</v>
      </c>
      <c r="B412" s="2">
        <v>29</v>
      </c>
      <c r="C412" s="3" t="s">
        <v>95</v>
      </c>
      <c r="D412" s="3" t="s">
        <v>96</v>
      </c>
      <c r="E412" s="2"/>
      <c r="F412" s="2"/>
      <c r="G412" s="2" t="s">
        <v>69</v>
      </c>
      <c r="H412" s="2">
        <v>1</v>
      </c>
      <c r="I412" s="8">
        <v>125.02</v>
      </c>
      <c r="J412" s="8">
        <v>55564</v>
      </c>
      <c r="K412" s="3">
        <v>0</v>
      </c>
      <c r="L412" s="3" t="s">
        <v>3</v>
      </c>
      <c r="M412" s="9" t="s">
        <v>0</v>
      </c>
      <c r="N412" s="9" t="s">
        <v>13</v>
      </c>
      <c r="O412" s="9" t="s">
        <v>245</v>
      </c>
      <c r="S412" s="9" t="s">
        <v>158</v>
      </c>
      <c r="V412" s="10">
        <v>120.63</v>
      </c>
      <c r="W412" s="10" t="s">
        <v>710</v>
      </c>
      <c r="X412" s="17">
        <v>44412</v>
      </c>
      <c r="Y412" s="17">
        <v>45204</v>
      </c>
      <c r="Z412" s="19" t="s">
        <v>772</v>
      </c>
      <c r="AA412" s="210">
        <v>48900</v>
      </c>
      <c r="AB412" s="9">
        <v>72</v>
      </c>
      <c r="AC412" s="9">
        <v>45</v>
      </c>
      <c r="AD412" s="17">
        <v>46543</v>
      </c>
      <c r="AE412" s="56">
        <v>456.6</v>
      </c>
      <c r="AF412" s="56"/>
      <c r="AP412" s="11"/>
      <c r="AQ412" s="11"/>
      <c r="AR412" s="11"/>
      <c r="AW412" s="9"/>
      <c r="BD412" s="9"/>
      <c r="CS412" s="11">
        <f t="shared" ref="CS412:CS439" si="33">+AL412+AT412</f>
        <v>0</v>
      </c>
      <c r="CT412" s="22">
        <f t="shared" ref="CT412:CT439" si="34">+BA412+BG412+BM412+BS412+BY412+CE412+CK412+CQ412</f>
        <v>0</v>
      </c>
      <c r="CU412" s="22">
        <f t="shared" ref="CU412:CU475" si="35">+CS412-CT412</f>
        <v>0</v>
      </c>
      <c r="CV412" s="26">
        <f t="shared" ref="CV412:CV439" si="36">+AE412-AL412-AT412</f>
        <v>456.6</v>
      </c>
    </row>
    <row r="413" spans="1:100" x14ac:dyDescent="0.2">
      <c r="A413" s="9" t="s">
        <v>243</v>
      </c>
      <c r="B413" s="2">
        <v>29</v>
      </c>
      <c r="C413" s="3" t="s">
        <v>95</v>
      </c>
      <c r="D413" s="3" t="s">
        <v>96</v>
      </c>
      <c r="E413" s="2"/>
      <c r="F413" s="2"/>
      <c r="G413" s="2" t="s">
        <v>69</v>
      </c>
      <c r="H413" s="2">
        <v>1</v>
      </c>
      <c r="I413" s="8">
        <v>125.02</v>
      </c>
      <c r="J413" s="8">
        <v>55564</v>
      </c>
      <c r="K413" s="3">
        <v>0</v>
      </c>
      <c r="L413" s="3" t="s">
        <v>3</v>
      </c>
      <c r="M413" s="9" t="s">
        <v>0</v>
      </c>
      <c r="N413" s="9" t="s">
        <v>13</v>
      </c>
      <c r="O413" s="9" t="s">
        <v>245</v>
      </c>
      <c r="S413" s="9" t="s">
        <v>158</v>
      </c>
      <c r="V413" s="10">
        <v>120.63</v>
      </c>
      <c r="W413" s="10" t="s">
        <v>710</v>
      </c>
      <c r="X413" s="17">
        <v>44412</v>
      </c>
      <c r="Y413" s="17">
        <v>45204</v>
      </c>
      <c r="Z413" s="19" t="s">
        <v>772</v>
      </c>
      <c r="AA413" s="210">
        <v>48900</v>
      </c>
      <c r="AB413" s="9">
        <v>72</v>
      </c>
      <c r="AC413" s="9">
        <v>46</v>
      </c>
      <c r="AD413" s="17">
        <v>46573</v>
      </c>
      <c r="AE413" s="56">
        <v>456.6</v>
      </c>
      <c r="AF413" s="56"/>
      <c r="AP413" s="11"/>
      <c r="AQ413" s="11"/>
      <c r="AR413" s="11"/>
      <c r="AW413" s="9"/>
      <c r="BD413" s="9"/>
      <c r="CS413" s="11">
        <f t="shared" si="33"/>
        <v>0</v>
      </c>
      <c r="CT413" s="22">
        <f t="shared" si="34"/>
        <v>0</v>
      </c>
      <c r="CU413" s="22">
        <f t="shared" si="35"/>
        <v>0</v>
      </c>
      <c r="CV413" s="26">
        <f t="shared" si="36"/>
        <v>456.6</v>
      </c>
    </row>
    <row r="414" spans="1:100" x14ac:dyDescent="0.2">
      <c r="A414" s="9" t="s">
        <v>243</v>
      </c>
      <c r="B414" s="2">
        <v>29</v>
      </c>
      <c r="C414" s="3" t="s">
        <v>95</v>
      </c>
      <c r="D414" s="3" t="s">
        <v>96</v>
      </c>
      <c r="E414" s="2"/>
      <c r="F414" s="2"/>
      <c r="G414" s="2" t="s">
        <v>69</v>
      </c>
      <c r="H414" s="2">
        <v>1</v>
      </c>
      <c r="I414" s="8">
        <v>125.02</v>
      </c>
      <c r="J414" s="8">
        <v>55564</v>
      </c>
      <c r="K414" s="3">
        <v>0</v>
      </c>
      <c r="L414" s="3" t="s">
        <v>3</v>
      </c>
      <c r="M414" s="9" t="s">
        <v>0</v>
      </c>
      <c r="N414" s="9" t="s">
        <v>13</v>
      </c>
      <c r="O414" s="9" t="s">
        <v>245</v>
      </c>
      <c r="S414" s="9" t="s">
        <v>158</v>
      </c>
      <c r="V414" s="10">
        <v>120.63</v>
      </c>
      <c r="W414" s="10" t="s">
        <v>710</v>
      </c>
      <c r="X414" s="17">
        <v>44412</v>
      </c>
      <c r="Y414" s="17">
        <v>45204</v>
      </c>
      <c r="Z414" s="19" t="s">
        <v>772</v>
      </c>
      <c r="AA414" s="210">
        <v>48900</v>
      </c>
      <c r="AB414" s="9">
        <v>72</v>
      </c>
      <c r="AC414" s="9">
        <v>47</v>
      </c>
      <c r="AD414" s="17">
        <v>46604</v>
      </c>
      <c r="AE414" s="56">
        <v>456.6</v>
      </c>
      <c r="AF414" s="56"/>
      <c r="AP414" s="11"/>
      <c r="AQ414" s="11"/>
      <c r="AR414" s="11"/>
      <c r="AW414" s="9"/>
      <c r="BD414" s="9"/>
      <c r="CS414" s="11">
        <f t="shared" si="33"/>
        <v>0</v>
      </c>
      <c r="CT414" s="22">
        <f t="shared" si="34"/>
        <v>0</v>
      </c>
      <c r="CU414" s="22">
        <f t="shared" si="35"/>
        <v>0</v>
      </c>
      <c r="CV414" s="26">
        <f t="shared" si="36"/>
        <v>456.6</v>
      </c>
    </row>
    <row r="415" spans="1:100" x14ac:dyDescent="0.2">
      <c r="A415" s="9" t="s">
        <v>243</v>
      </c>
      <c r="B415" s="2">
        <v>29</v>
      </c>
      <c r="C415" s="3" t="s">
        <v>95</v>
      </c>
      <c r="D415" s="3" t="s">
        <v>96</v>
      </c>
      <c r="E415" s="2"/>
      <c r="F415" s="2"/>
      <c r="G415" s="2" t="s">
        <v>69</v>
      </c>
      <c r="H415" s="2">
        <v>1</v>
      </c>
      <c r="I415" s="8">
        <v>125.02</v>
      </c>
      <c r="J415" s="8">
        <v>55564</v>
      </c>
      <c r="K415" s="3">
        <v>0</v>
      </c>
      <c r="L415" s="3" t="s">
        <v>3</v>
      </c>
      <c r="M415" s="9" t="s">
        <v>0</v>
      </c>
      <c r="N415" s="9" t="s">
        <v>13</v>
      </c>
      <c r="O415" s="9" t="s">
        <v>245</v>
      </c>
      <c r="S415" s="9" t="s">
        <v>158</v>
      </c>
      <c r="V415" s="10">
        <v>120.63</v>
      </c>
      <c r="W415" s="10" t="s">
        <v>710</v>
      </c>
      <c r="X415" s="17">
        <v>44412</v>
      </c>
      <c r="Y415" s="17">
        <v>45204</v>
      </c>
      <c r="Z415" s="19" t="s">
        <v>772</v>
      </c>
      <c r="AA415" s="210">
        <v>48900</v>
      </c>
      <c r="AB415" s="9">
        <v>72</v>
      </c>
      <c r="AC415" s="9">
        <v>48</v>
      </c>
      <c r="AD415" s="17">
        <v>46635</v>
      </c>
      <c r="AE415" s="56">
        <v>456.6</v>
      </c>
      <c r="AF415" s="56"/>
      <c r="AP415" s="11"/>
      <c r="AQ415" s="11"/>
      <c r="AR415" s="11"/>
      <c r="AW415" s="9"/>
      <c r="BD415" s="9"/>
      <c r="CS415" s="11">
        <f t="shared" si="33"/>
        <v>0</v>
      </c>
      <c r="CT415" s="22">
        <f t="shared" si="34"/>
        <v>0</v>
      </c>
      <c r="CU415" s="22">
        <f t="shared" si="35"/>
        <v>0</v>
      </c>
      <c r="CV415" s="26">
        <f t="shared" si="36"/>
        <v>456.6</v>
      </c>
    </row>
    <row r="416" spans="1:100" x14ac:dyDescent="0.2">
      <c r="A416" s="9" t="s">
        <v>243</v>
      </c>
      <c r="B416" s="2">
        <v>29</v>
      </c>
      <c r="C416" s="3" t="s">
        <v>95</v>
      </c>
      <c r="D416" s="3" t="s">
        <v>96</v>
      </c>
      <c r="E416" s="2"/>
      <c r="F416" s="2"/>
      <c r="G416" s="2" t="s">
        <v>69</v>
      </c>
      <c r="H416" s="2">
        <v>1</v>
      </c>
      <c r="I416" s="8">
        <v>125.02</v>
      </c>
      <c r="J416" s="8">
        <v>55564</v>
      </c>
      <c r="K416" s="3">
        <v>0</v>
      </c>
      <c r="L416" s="3" t="s">
        <v>3</v>
      </c>
      <c r="M416" s="9" t="s">
        <v>0</v>
      </c>
      <c r="N416" s="9" t="s">
        <v>13</v>
      </c>
      <c r="O416" s="9" t="s">
        <v>245</v>
      </c>
      <c r="S416" s="9" t="s">
        <v>158</v>
      </c>
      <c r="V416" s="10">
        <v>120.63</v>
      </c>
      <c r="W416" s="10" t="s">
        <v>710</v>
      </c>
      <c r="X416" s="17">
        <v>44412</v>
      </c>
      <c r="Y416" s="17">
        <v>45204</v>
      </c>
      <c r="Z416" s="19" t="s">
        <v>772</v>
      </c>
      <c r="AA416" s="210">
        <v>48900</v>
      </c>
      <c r="AB416" s="9">
        <v>72</v>
      </c>
      <c r="AC416" s="9">
        <v>49</v>
      </c>
      <c r="AD416" s="17">
        <v>46665</v>
      </c>
      <c r="AE416" s="56">
        <v>456.6</v>
      </c>
      <c r="AF416" s="56"/>
      <c r="AP416" s="11"/>
      <c r="AQ416" s="11"/>
      <c r="AR416" s="11"/>
      <c r="AW416" s="9"/>
      <c r="BD416" s="9"/>
      <c r="CS416" s="11">
        <f t="shared" si="33"/>
        <v>0</v>
      </c>
      <c r="CT416" s="22">
        <f t="shared" si="34"/>
        <v>0</v>
      </c>
      <c r="CU416" s="22">
        <f t="shared" si="35"/>
        <v>0</v>
      </c>
      <c r="CV416" s="26">
        <f t="shared" si="36"/>
        <v>456.6</v>
      </c>
    </row>
    <row r="417" spans="1:100" x14ac:dyDescent="0.2">
      <c r="A417" s="9" t="s">
        <v>243</v>
      </c>
      <c r="B417" s="2">
        <v>29</v>
      </c>
      <c r="C417" s="3" t="s">
        <v>95</v>
      </c>
      <c r="D417" s="3" t="s">
        <v>96</v>
      </c>
      <c r="E417" s="2"/>
      <c r="F417" s="2"/>
      <c r="G417" s="2" t="s">
        <v>69</v>
      </c>
      <c r="H417" s="2">
        <v>1</v>
      </c>
      <c r="I417" s="8">
        <v>125.02</v>
      </c>
      <c r="J417" s="8">
        <v>55564</v>
      </c>
      <c r="K417" s="3">
        <v>0</v>
      </c>
      <c r="L417" s="3" t="s">
        <v>3</v>
      </c>
      <c r="M417" s="9" t="s">
        <v>0</v>
      </c>
      <c r="N417" s="9" t="s">
        <v>13</v>
      </c>
      <c r="O417" s="9" t="s">
        <v>245</v>
      </c>
      <c r="S417" s="9" t="s">
        <v>158</v>
      </c>
      <c r="V417" s="10">
        <v>120.63</v>
      </c>
      <c r="W417" s="10" t="s">
        <v>710</v>
      </c>
      <c r="X417" s="17">
        <v>44412</v>
      </c>
      <c r="Y417" s="17">
        <v>45204</v>
      </c>
      <c r="Z417" s="19" t="s">
        <v>772</v>
      </c>
      <c r="AA417" s="210">
        <v>48900</v>
      </c>
      <c r="AB417" s="9">
        <v>72</v>
      </c>
      <c r="AC417" s="9">
        <v>50</v>
      </c>
      <c r="AD417" s="17">
        <v>46696</v>
      </c>
      <c r="AE417" s="56">
        <v>456.6</v>
      </c>
      <c r="AF417" s="56"/>
      <c r="AP417" s="11"/>
      <c r="AQ417" s="11"/>
      <c r="AR417" s="11"/>
      <c r="AW417" s="9"/>
      <c r="BD417" s="9"/>
      <c r="CS417" s="11">
        <f t="shared" si="33"/>
        <v>0</v>
      </c>
      <c r="CT417" s="22">
        <f t="shared" si="34"/>
        <v>0</v>
      </c>
      <c r="CU417" s="22">
        <f t="shared" si="35"/>
        <v>0</v>
      </c>
      <c r="CV417" s="26">
        <f t="shared" si="36"/>
        <v>456.6</v>
      </c>
    </row>
    <row r="418" spans="1:100" x14ac:dyDescent="0.2">
      <c r="A418" s="9" t="s">
        <v>243</v>
      </c>
      <c r="B418" s="2">
        <v>29</v>
      </c>
      <c r="C418" s="3" t="s">
        <v>95</v>
      </c>
      <c r="D418" s="3" t="s">
        <v>96</v>
      </c>
      <c r="E418" s="2"/>
      <c r="F418" s="2"/>
      <c r="G418" s="2" t="s">
        <v>69</v>
      </c>
      <c r="H418" s="2">
        <v>1</v>
      </c>
      <c r="I418" s="8">
        <v>125.02</v>
      </c>
      <c r="J418" s="8">
        <v>55564</v>
      </c>
      <c r="K418" s="3">
        <v>0</v>
      </c>
      <c r="L418" s="3" t="s">
        <v>3</v>
      </c>
      <c r="M418" s="9" t="s">
        <v>0</v>
      </c>
      <c r="N418" s="9" t="s">
        <v>13</v>
      </c>
      <c r="O418" s="9" t="s">
        <v>245</v>
      </c>
      <c r="S418" s="9" t="s">
        <v>158</v>
      </c>
      <c r="V418" s="10">
        <v>120.63</v>
      </c>
      <c r="W418" s="10" t="s">
        <v>710</v>
      </c>
      <c r="X418" s="17">
        <v>44412</v>
      </c>
      <c r="Y418" s="17">
        <v>45204</v>
      </c>
      <c r="Z418" s="19" t="s">
        <v>772</v>
      </c>
      <c r="AA418" s="210">
        <v>48900</v>
      </c>
      <c r="AB418" s="9">
        <v>72</v>
      </c>
      <c r="AC418" s="9">
        <v>51</v>
      </c>
      <c r="AD418" s="17">
        <v>46726</v>
      </c>
      <c r="AE418" s="56">
        <v>456.6</v>
      </c>
      <c r="AF418" s="56"/>
      <c r="AP418" s="11"/>
      <c r="AQ418" s="11"/>
      <c r="AR418" s="11"/>
      <c r="AW418" s="9"/>
      <c r="BD418" s="9"/>
      <c r="CS418" s="11">
        <f t="shared" si="33"/>
        <v>0</v>
      </c>
      <c r="CT418" s="22">
        <f t="shared" si="34"/>
        <v>0</v>
      </c>
      <c r="CU418" s="22">
        <f t="shared" si="35"/>
        <v>0</v>
      </c>
      <c r="CV418" s="26">
        <f t="shared" si="36"/>
        <v>456.6</v>
      </c>
    </row>
    <row r="419" spans="1:100" x14ac:dyDescent="0.2">
      <c r="A419" s="9" t="s">
        <v>243</v>
      </c>
      <c r="B419" s="2">
        <v>29</v>
      </c>
      <c r="C419" s="3" t="s">
        <v>95</v>
      </c>
      <c r="D419" s="3" t="s">
        <v>96</v>
      </c>
      <c r="E419" s="2"/>
      <c r="F419" s="2"/>
      <c r="G419" s="2" t="s">
        <v>69</v>
      </c>
      <c r="H419" s="2">
        <v>1</v>
      </c>
      <c r="I419" s="8">
        <v>125.02</v>
      </c>
      <c r="J419" s="8">
        <v>55564</v>
      </c>
      <c r="K419" s="3">
        <v>0</v>
      </c>
      <c r="L419" s="3" t="s">
        <v>3</v>
      </c>
      <c r="M419" s="9" t="s">
        <v>0</v>
      </c>
      <c r="N419" s="9" t="s">
        <v>13</v>
      </c>
      <c r="O419" s="9" t="s">
        <v>245</v>
      </c>
      <c r="S419" s="9" t="s">
        <v>158</v>
      </c>
      <c r="V419" s="10">
        <v>120.63</v>
      </c>
      <c r="W419" s="10" t="s">
        <v>710</v>
      </c>
      <c r="X419" s="17">
        <v>44412</v>
      </c>
      <c r="Y419" s="17">
        <v>45204</v>
      </c>
      <c r="Z419" s="19" t="s">
        <v>772</v>
      </c>
      <c r="AA419" s="210">
        <v>48900</v>
      </c>
      <c r="AB419" s="9">
        <v>72</v>
      </c>
      <c r="AC419" s="9">
        <v>52</v>
      </c>
      <c r="AD419" s="17">
        <v>46757</v>
      </c>
      <c r="AE419" s="56">
        <v>456.6</v>
      </c>
      <c r="AF419" s="56"/>
      <c r="AP419" s="11"/>
      <c r="AQ419" s="11"/>
      <c r="AR419" s="11"/>
      <c r="AW419" s="9"/>
      <c r="BD419" s="9"/>
      <c r="CS419" s="11">
        <f t="shared" si="33"/>
        <v>0</v>
      </c>
      <c r="CT419" s="22">
        <f t="shared" si="34"/>
        <v>0</v>
      </c>
      <c r="CU419" s="22">
        <f t="shared" si="35"/>
        <v>0</v>
      </c>
      <c r="CV419" s="26">
        <f t="shared" si="36"/>
        <v>456.6</v>
      </c>
    </row>
    <row r="420" spans="1:100" x14ac:dyDescent="0.2">
      <c r="A420" s="9" t="s">
        <v>243</v>
      </c>
      <c r="B420" s="2">
        <v>29</v>
      </c>
      <c r="C420" s="3" t="s">
        <v>95</v>
      </c>
      <c r="D420" s="3" t="s">
        <v>96</v>
      </c>
      <c r="E420" s="2"/>
      <c r="F420" s="2"/>
      <c r="G420" s="2" t="s">
        <v>69</v>
      </c>
      <c r="H420" s="2">
        <v>1</v>
      </c>
      <c r="I420" s="8">
        <v>125.02</v>
      </c>
      <c r="J420" s="8">
        <v>55564</v>
      </c>
      <c r="K420" s="3">
        <v>0</v>
      </c>
      <c r="L420" s="3" t="s">
        <v>3</v>
      </c>
      <c r="M420" s="9" t="s">
        <v>0</v>
      </c>
      <c r="N420" s="9" t="s">
        <v>13</v>
      </c>
      <c r="O420" s="9" t="s">
        <v>245</v>
      </c>
      <c r="S420" s="9" t="s">
        <v>158</v>
      </c>
      <c r="V420" s="10">
        <v>120.63</v>
      </c>
      <c r="W420" s="10" t="s">
        <v>710</v>
      </c>
      <c r="X420" s="17">
        <v>44412</v>
      </c>
      <c r="Y420" s="17">
        <v>45204</v>
      </c>
      <c r="Z420" s="19" t="s">
        <v>772</v>
      </c>
      <c r="AA420" s="210">
        <v>48900</v>
      </c>
      <c r="AB420" s="9">
        <v>72</v>
      </c>
      <c r="AC420" s="9">
        <v>53</v>
      </c>
      <c r="AD420" s="17">
        <v>46788</v>
      </c>
      <c r="AE420" s="56">
        <v>456.6</v>
      </c>
      <c r="AF420" s="56"/>
      <c r="AP420" s="11"/>
      <c r="AQ420" s="11"/>
      <c r="AR420" s="11"/>
      <c r="AW420" s="9"/>
      <c r="BD420" s="9"/>
      <c r="CS420" s="11">
        <f t="shared" si="33"/>
        <v>0</v>
      </c>
      <c r="CT420" s="22">
        <f t="shared" si="34"/>
        <v>0</v>
      </c>
      <c r="CU420" s="22">
        <f t="shared" si="35"/>
        <v>0</v>
      </c>
      <c r="CV420" s="26">
        <f t="shared" si="36"/>
        <v>456.6</v>
      </c>
    </row>
    <row r="421" spans="1:100" x14ac:dyDescent="0.2">
      <c r="A421" s="9" t="s">
        <v>243</v>
      </c>
      <c r="B421" s="2">
        <v>29</v>
      </c>
      <c r="C421" s="3" t="s">
        <v>95</v>
      </c>
      <c r="D421" s="3" t="s">
        <v>96</v>
      </c>
      <c r="E421" s="2"/>
      <c r="F421" s="2"/>
      <c r="G421" s="2" t="s">
        <v>69</v>
      </c>
      <c r="H421" s="2">
        <v>1</v>
      </c>
      <c r="I421" s="8">
        <v>125.02</v>
      </c>
      <c r="J421" s="8">
        <v>55564</v>
      </c>
      <c r="K421" s="3">
        <v>0</v>
      </c>
      <c r="L421" s="3" t="s">
        <v>3</v>
      </c>
      <c r="M421" s="9" t="s">
        <v>0</v>
      </c>
      <c r="N421" s="9" t="s">
        <v>13</v>
      </c>
      <c r="O421" s="9" t="s">
        <v>245</v>
      </c>
      <c r="S421" s="9" t="s">
        <v>158</v>
      </c>
      <c r="V421" s="10">
        <v>120.63</v>
      </c>
      <c r="W421" s="10" t="s">
        <v>710</v>
      </c>
      <c r="X421" s="17">
        <v>44412</v>
      </c>
      <c r="Y421" s="17">
        <v>45204</v>
      </c>
      <c r="Z421" s="19" t="s">
        <v>772</v>
      </c>
      <c r="AA421" s="210">
        <v>48900</v>
      </c>
      <c r="AB421" s="9">
        <v>72</v>
      </c>
      <c r="AC421" s="9">
        <v>54</v>
      </c>
      <c r="AD421" s="17">
        <v>46817</v>
      </c>
      <c r="AE421" s="56">
        <v>456.6</v>
      </c>
      <c r="AF421" s="56"/>
      <c r="AP421" s="11"/>
      <c r="AQ421" s="11"/>
      <c r="AR421" s="11"/>
      <c r="AW421" s="9"/>
      <c r="BD421" s="9"/>
      <c r="CS421" s="11">
        <f t="shared" si="33"/>
        <v>0</v>
      </c>
      <c r="CT421" s="22">
        <f t="shared" si="34"/>
        <v>0</v>
      </c>
      <c r="CU421" s="22">
        <f t="shared" si="35"/>
        <v>0</v>
      </c>
      <c r="CV421" s="26">
        <f t="shared" si="36"/>
        <v>456.6</v>
      </c>
    </row>
    <row r="422" spans="1:100" x14ac:dyDescent="0.2">
      <c r="A422" s="9" t="s">
        <v>243</v>
      </c>
      <c r="B422" s="2">
        <v>29</v>
      </c>
      <c r="C422" s="3" t="s">
        <v>95</v>
      </c>
      <c r="D422" s="3" t="s">
        <v>96</v>
      </c>
      <c r="E422" s="2"/>
      <c r="F422" s="2"/>
      <c r="G422" s="2" t="s">
        <v>69</v>
      </c>
      <c r="H422" s="2">
        <v>1</v>
      </c>
      <c r="I422" s="8">
        <v>125.02</v>
      </c>
      <c r="J422" s="8">
        <v>55564</v>
      </c>
      <c r="K422" s="3">
        <v>0</v>
      </c>
      <c r="L422" s="3" t="s">
        <v>3</v>
      </c>
      <c r="M422" s="9" t="s">
        <v>0</v>
      </c>
      <c r="N422" s="9" t="s">
        <v>13</v>
      </c>
      <c r="O422" s="9" t="s">
        <v>245</v>
      </c>
      <c r="S422" s="9" t="s">
        <v>158</v>
      </c>
      <c r="V422" s="10">
        <v>120.63</v>
      </c>
      <c r="W422" s="10" t="s">
        <v>710</v>
      </c>
      <c r="X422" s="17">
        <v>44412</v>
      </c>
      <c r="Y422" s="17">
        <v>45204</v>
      </c>
      <c r="Z422" s="19" t="s">
        <v>772</v>
      </c>
      <c r="AA422" s="210">
        <v>48900</v>
      </c>
      <c r="AB422" s="9">
        <v>72</v>
      </c>
      <c r="AC422" s="9">
        <v>55</v>
      </c>
      <c r="AD422" s="17">
        <v>46848</v>
      </c>
      <c r="AE422" s="56">
        <v>456.6</v>
      </c>
      <c r="AF422" s="56"/>
      <c r="AP422" s="11"/>
      <c r="AQ422" s="11"/>
      <c r="AR422" s="11"/>
      <c r="AW422" s="9"/>
      <c r="BD422" s="9"/>
      <c r="CS422" s="11">
        <f t="shared" si="33"/>
        <v>0</v>
      </c>
      <c r="CT422" s="22">
        <f t="shared" si="34"/>
        <v>0</v>
      </c>
      <c r="CU422" s="22">
        <f t="shared" si="35"/>
        <v>0</v>
      </c>
      <c r="CV422" s="26">
        <f t="shared" si="36"/>
        <v>456.6</v>
      </c>
    </row>
    <row r="423" spans="1:100" x14ac:dyDescent="0.2">
      <c r="A423" s="9" t="s">
        <v>243</v>
      </c>
      <c r="B423" s="2">
        <v>29</v>
      </c>
      <c r="C423" s="3" t="s">
        <v>95</v>
      </c>
      <c r="D423" s="3" t="s">
        <v>96</v>
      </c>
      <c r="E423" s="2"/>
      <c r="F423" s="2"/>
      <c r="G423" s="2" t="s">
        <v>69</v>
      </c>
      <c r="H423" s="2">
        <v>1</v>
      </c>
      <c r="I423" s="8">
        <v>125.02</v>
      </c>
      <c r="J423" s="8">
        <v>55564</v>
      </c>
      <c r="K423" s="3">
        <v>0</v>
      </c>
      <c r="L423" s="3" t="s">
        <v>3</v>
      </c>
      <c r="M423" s="9" t="s">
        <v>0</v>
      </c>
      <c r="N423" s="9" t="s">
        <v>13</v>
      </c>
      <c r="O423" s="9" t="s">
        <v>245</v>
      </c>
      <c r="S423" s="9" t="s">
        <v>158</v>
      </c>
      <c r="V423" s="10">
        <v>120.63</v>
      </c>
      <c r="W423" s="10" t="s">
        <v>710</v>
      </c>
      <c r="X423" s="17">
        <v>44412</v>
      </c>
      <c r="Y423" s="17">
        <v>45204</v>
      </c>
      <c r="Z423" s="19" t="s">
        <v>772</v>
      </c>
      <c r="AA423" s="210">
        <v>48900</v>
      </c>
      <c r="AB423" s="9">
        <v>72</v>
      </c>
      <c r="AC423" s="9">
        <v>56</v>
      </c>
      <c r="AD423" s="17">
        <v>46878</v>
      </c>
      <c r="AE423" s="56">
        <v>456.6</v>
      </c>
      <c r="AF423" s="56"/>
      <c r="AP423" s="11"/>
      <c r="AQ423" s="11"/>
      <c r="AR423" s="11"/>
      <c r="AW423" s="9"/>
      <c r="BD423" s="9"/>
      <c r="CS423" s="11">
        <f t="shared" si="33"/>
        <v>0</v>
      </c>
      <c r="CT423" s="22">
        <f t="shared" si="34"/>
        <v>0</v>
      </c>
      <c r="CU423" s="22">
        <f t="shared" si="35"/>
        <v>0</v>
      </c>
      <c r="CV423" s="26">
        <f t="shared" si="36"/>
        <v>456.6</v>
      </c>
    </row>
    <row r="424" spans="1:100" x14ac:dyDescent="0.2">
      <c r="A424" s="9" t="s">
        <v>243</v>
      </c>
      <c r="B424" s="2">
        <v>29</v>
      </c>
      <c r="C424" s="3" t="s">
        <v>95</v>
      </c>
      <c r="D424" s="3" t="s">
        <v>96</v>
      </c>
      <c r="E424" s="2"/>
      <c r="F424" s="2"/>
      <c r="G424" s="2" t="s">
        <v>69</v>
      </c>
      <c r="H424" s="2">
        <v>1</v>
      </c>
      <c r="I424" s="8">
        <v>125.02</v>
      </c>
      <c r="J424" s="8">
        <v>55564</v>
      </c>
      <c r="K424" s="3">
        <v>0</v>
      </c>
      <c r="L424" s="3" t="s">
        <v>3</v>
      </c>
      <c r="M424" s="9" t="s">
        <v>0</v>
      </c>
      <c r="N424" s="9" t="s">
        <v>13</v>
      </c>
      <c r="O424" s="9" t="s">
        <v>245</v>
      </c>
      <c r="S424" s="9" t="s">
        <v>158</v>
      </c>
      <c r="V424" s="10">
        <v>120.63</v>
      </c>
      <c r="W424" s="10" t="s">
        <v>710</v>
      </c>
      <c r="X424" s="17">
        <v>44412</v>
      </c>
      <c r="Y424" s="17">
        <v>45204</v>
      </c>
      <c r="Z424" s="19" t="s">
        <v>772</v>
      </c>
      <c r="AA424" s="210">
        <v>48900</v>
      </c>
      <c r="AB424" s="9">
        <v>72</v>
      </c>
      <c r="AC424" s="9">
        <v>57</v>
      </c>
      <c r="AD424" s="17">
        <v>46909</v>
      </c>
      <c r="AE424" s="56">
        <v>456.6</v>
      </c>
      <c r="AF424" s="56"/>
      <c r="AP424" s="11"/>
      <c r="AQ424" s="11"/>
      <c r="AR424" s="11"/>
      <c r="AW424" s="9"/>
      <c r="BD424" s="9"/>
      <c r="CS424" s="11">
        <f t="shared" si="33"/>
        <v>0</v>
      </c>
      <c r="CT424" s="22">
        <f t="shared" si="34"/>
        <v>0</v>
      </c>
      <c r="CU424" s="22">
        <f t="shared" si="35"/>
        <v>0</v>
      </c>
      <c r="CV424" s="26">
        <f t="shared" si="36"/>
        <v>456.6</v>
      </c>
    </row>
    <row r="425" spans="1:100" x14ac:dyDescent="0.2">
      <c r="A425" s="9" t="s">
        <v>243</v>
      </c>
      <c r="B425" s="2">
        <v>29</v>
      </c>
      <c r="C425" s="3" t="s">
        <v>95</v>
      </c>
      <c r="D425" s="3" t="s">
        <v>96</v>
      </c>
      <c r="E425" s="2"/>
      <c r="F425" s="2"/>
      <c r="G425" s="2" t="s">
        <v>69</v>
      </c>
      <c r="H425" s="2">
        <v>1</v>
      </c>
      <c r="I425" s="8">
        <v>125.02</v>
      </c>
      <c r="J425" s="8">
        <v>55564</v>
      </c>
      <c r="K425" s="3">
        <v>0</v>
      </c>
      <c r="L425" s="3" t="s">
        <v>3</v>
      </c>
      <c r="M425" s="9" t="s">
        <v>0</v>
      </c>
      <c r="N425" s="9" t="s">
        <v>13</v>
      </c>
      <c r="O425" s="9" t="s">
        <v>245</v>
      </c>
      <c r="S425" s="9" t="s">
        <v>158</v>
      </c>
      <c r="V425" s="10">
        <v>120.63</v>
      </c>
      <c r="W425" s="10" t="s">
        <v>710</v>
      </c>
      <c r="X425" s="17">
        <v>44412</v>
      </c>
      <c r="Y425" s="17">
        <v>45204</v>
      </c>
      <c r="Z425" s="19" t="s">
        <v>772</v>
      </c>
      <c r="AA425" s="210">
        <v>48900</v>
      </c>
      <c r="AB425" s="9">
        <v>72</v>
      </c>
      <c r="AC425" s="9">
        <v>58</v>
      </c>
      <c r="AD425" s="17">
        <v>46939</v>
      </c>
      <c r="AE425" s="56">
        <v>456.6</v>
      </c>
      <c r="AF425" s="56"/>
      <c r="AP425" s="11"/>
      <c r="AQ425" s="11"/>
      <c r="AR425" s="11"/>
      <c r="AW425" s="9"/>
      <c r="BD425" s="9"/>
      <c r="CS425" s="11">
        <f t="shared" si="33"/>
        <v>0</v>
      </c>
      <c r="CT425" s="22">
        <f t="shared" si="34"/>
        <v>0</v>
      </c>
      <c r="CU425" s="22">
        <f t="shared" si="35"/>
        <v>0</v>
      </c>
      <c r="CV425" s="26">
        <f t="shared" si="36"/>
        <v>456.6</v>
      </c>
    </row>
    <row r="426" spans="1:100" x14ac:dyDescent="0.2">
      <c r="A426" s="9" t="s">
        <v>243</v>
      </c>
      <c r="B426" s="2">
        <v>29</v>
      </c>
      <c r="C426" s="3" t="s">
        <v>95</v>
      </c>
      <c r="D426" s="3" t="s">
        <v>96</v>
      </c>
      <c r="E426" s="2"/>
      <c r="F426" s="2"/>
      <c r="G426" s="2" t="s">
        <v>69</v>
      </c>
      <c r="H426" s="2">
        <v>1</v>
      </c>
      <c r="I426" s="8">
        <v>125.02</v>
      </c>
      <c r="J426" s="8">
        <v>55564</v>
      </c>
      <c r="K426" s="3">
        <v>0</v>
      </c>
      <c r="L426" s="3" t="s">
        <v>3</v>
      </c>
      <c r="M426" s="9" t="s">
        <v>0</v>
      </c>
      <c r="N426" s="9" t="s">
        <v>13</v>
      </c>
      <c r="O426" s="9" t="s">
        <v>245</v>
      </c>
      <c r="S426" s="9" t="s">
        <v>158</v>
      </c>
      <c r="V426" s="10">
        <v>120.63</v>
      </c>
      <c r="W426" s="10" t="s">
        <v>710</v>
      </c>
      <c r="X426" s="17">
        <v>44412</v>
      </c>
      <c r="Y426" s="17">
        <v>45204</v>
      </c>
      <c r="Z426" s="19" t="s">
        <v>772</v>
      </c>
      <c r="AA426" s="210">
        <v>48900</v>
      </c>
      <c r="AB426" s="9">
        <v>72</v>
      </c>
      <c r="AC426" s="9">
        <v>59</v>
      </c>
      <c r="AD426" s="17">
        <v>46970</v>
      </c>
      <c r="AE426" s="56">
        <v>456.6</v>
      </c>
      <c r="AF426" s="56"/>
      <c r="AP426" s="11"/>
      <c r="AQ426" s="11"/>
      <c r="AR426" s="11"/>
      <c r="AW426" s="9"/>
      <c r="BD426" s="9"/>
      <c r="CS426" s="11">
        <f t="shared" si="33"/>
        <v>0</v>
      </c>
      <c r="CT426" s="22">
        <f t="shared" si="34"/>
        <v>0</v>
      </c>
      <c r="CU426" s="22">
        <f t="shared" si="35"/>
        <v>0</v>
      </c>
      <c r="CV426" s="26">
        <f t="shared" si="36"/>
        <v>456.6</v>
      </c>
    </row>
    <row r="427" spans="1:100" x14ac:dyDescent="0.2">
      <c r="A427" s="9" t="s">
        <v>243</v>
      </c>
      <c r="B427" s="2">
        <v>29</v>
      </c>
      <c r="C427" s="3" t="s">
        <v>95</v>
      </c>
      <c r="D427" s="3" t="s">
        <v>96</v>
      </c>
      <c r="E427" s="2"/>
      <c r="F427" s="2"/>
      <c r="G427" s="2" t="s">
        <v>69</v>
      </c>
      <c r="H427" s="2">
        <v>1</v>
      </c>
      <c r="I427" s="8">
        <v>125.02</v>
      </c>
      <c r="J427" s="8">
        <v>55564</v>
      </c>
      <c r="K427" s="3">
        <v>0</v>
      </c>
      <c r="L427" s="3" t="s">
        <v>3</v>
      </c>
      <c r="M427" s="9" t="s">
        <v>0</v>
      </c>
      <c r="N427" s="9" t="s">
        <v>13</v>
      </c>
      <c r="O427" s="9" t="s">
        <v>245</v>
      </c>
      <c r="S427" s="9" t="s">
        <v>158</v>
      </c>
      <c r="V427" s="10">
        <v>120.63</v>
      </c>
      <c r="W427" s="10" t="s">
        <v>710</v>
      </c>
      <c r="X427" s="17">
        <v>44412</v>
      </c>
      <c r="Y427" s="17">
        <v>45204</v>
      </c>
      <c r="Z427" s="19" t="s">
        <v>772</v>
      </c>
      <c r="AA427" s="210">
        <v>48900</v>
      </c>
      <c r="AB427" s="9">
        <v>72</v>
      </c>
      <c r="AC427" s="9">
        <v>60</v>
      </c>
      <c r="AD427" s="17">
        <v>47001</v>
      </c>
      <c r="AE427" s="56">
        <v>456.6</v>
      </c>
      <c r="AF427" s="56"/>
      <c r="AP427" s="11"/>
      <c r="AQ427" s="11"/>
      <c r="AR427" s="11"/>
      <c r="AW427" s="9"/>
      <c r="BD427" s="9"/>
      <c r="CS427" s="11">
        <f t="shared" si="33"/>
        <v>0</v>
      </c>
      <c r="CT427" s="22">
        <f t="shared" si="34"/>
        <v>0</v>
      </c>
      <c r="CU427" s="22">
        <f t="shared" si="35"/>
        <v>0</v>
      </c>
      <c r="CV427" s="26">
        <f t="shared" si="36"/>
        <v>456.6</v>
      </c>
    </row>
    <row r="428" spans="1:100" x14ac:dyDescent="0.2">
      <c r="A428" s="9" t="s">
        <v>243</v>
      </c>
      <c r="B428" s="2">
        <v>29</v>
      </c>
      <c r="C428" s="3" t="s">
        <v>95</v>
      </c>
      <c r="D428" s="3" t="s">
        <v>96</v>
      </c>
      <c r="E428" s="2"/>
      <c r="F428" s="2"/>
      <c r="G428" s="2" t="s">
        <v>69</v>
      </c>
      <c r="H428" s="2">
        <v>1</v>
      </c>
      <c r="I428" s="8">
        <v>125.02</v>
      </c>
      <c r="J428" s="8">
        <v>55564</v>
      </c>
      <c r="K428" s="3">
        <v>0</v>
      </c>
      <c r="L428" s="3" t="s">
        <v>3</v>
      </c>
      <c r="M428" s="9" t="s">
        <v>0</v>
      </c>
      <c r="N428" s="9" t="s">
        <v>13</v>
      </c>
      <c r="O428" s="9" t="s">
        <v>245</v>
      </c>
      <c r="S428" s="9" t="s">
        <v>158</v>
      </c>
      <c r="V428" s="10">
        <v>120.63</v>
      </c>
      <c r="W428" s="10" t="s">
        <v>710</v>
      </c>
      <c r="X428" s="17">
        <v>44412</v>
      </c>
      <c r="Y428" s="17">
        <v>45204</v>
      </c>
      <c r="Z428" s="19" t="s">
        <v>772</v>
      </c>
      <c r="AA428" s="210">
        <v>48900</v>
      </c>
      <c r="AB428" s="9">
        <v>72</v>
      </c>
      <c r="AC428" s="9">
        <v>61</v>
      </c>
      <c r="AD428" s="17">
        <v>47031</v>
      </c>
      <c r="AE428" s="56">
        <v>456.6</v>
      </c>
      <c r="AF428" s="56"/>
      <c r="AP428" s="11"/>
      <c r="AQ428" s="11"/>
      <c r="AR428" s="11"/>
      <c r="AW428" s="9"/>
      <c r="BD428" s="9"/>
      <c r="CS428" s="11">
        <f t="shared" si="33"/>
        <v>0</v>
      </c>
      <c r="CT428" s="22">
        <f t="shared" si="34"/>
        <v>0</v>
      </c>
      <c r="CU428" s="22">
        <f t="shared" si="35"/>
        <v>0</v>
      </c>
      <c r="CV428" s="26">
        <f t="shared" si="36"/>
        <v>456.6</v>
      </c>
    </row>
    <row r="429" spans="1:100" x14ac:dyDescent="0.2">
      <c r="A429" s="9" t="s">
        <v>243</v>
      </c>
      <c r="B429" s="2">
        <v>29</v>
      </c>
      <c r="C429" s="3" t="s">
        <v>95</v>
      </c>
      <c r="D429" s="3" t="s">
        <v>96</v>
      </c>
      <c r="E429" s="2"/>
      <c r="F429" s="2"/>
      <c r="G429" s="2" t="s">
        <v>69</v>
      </c>
      <c r="H429" s="2">
        <v>1</v>
      </c>
      <c r="I429" s="8">
        <v>125.02</v>
      </c>
      <c r="J429" s="8">
        <v>55564</v>
      </c>
      <c r="K429" s="3">
        <v>0</v>
      </c>
      <c r="L429" s="3" t="s">
        <v>3</v>
      </c>
      <c r="M429" s="9" t="s">
        <v>0</v>
      </c>
      <c r="N429" s="9" t="s">
        <v>13</v>
      </c>
      <c r="O429" s="9" t="s">
        <v>245</v>
      </c>
      <c r="S429" s="9" t="s">
        <v>158</v>
      </c>
      <c r="V429" s="10">
        <v>120.63</v>
      </c>
      <c r="W429" s="10" t="s">
        <v>710</v>
      </c>
      <c r="X429" s="17">
        <v>44412</v>
      </c>
      <c r="Y429" s="17">
        <v>45204</v>
      </c>
      <c r="Z429" s="19" t="s">
        <v>772</v>
      </c>
      <c r="AA429" s="210">
        <v>48900</v>
      </c>
      <c r="AB429" s="9">
        <v>72</v>
      </c>
      <c r="AC429" s="9">
        <v>62</v>
      </c>
      <c r="AD429" s="17">
        <v>47062</v>
      </c>
      <c r="AE429" s="56">
        <v>456.6</v>
      </c>
      <c r="AF429" s="56"/>
      <c r="AP429" s="11"/>
      <c r="AQ429" s="11"/>
      <c r="AR429" s="11"/>
      <c r="AW429" s="9"/>
      <c r="BD429" s="9"/>
      <c r="CS429" s="11">
        <f t="shared" si="33"/>
        <v>0</v>
      </c>
      <c r="CT429" s="22">
        <f t="shared" si="34"/>
        <v>0</v>
      </c>
      <c r="CU429" s="22">
        <f t="shared" si="35"/>
        <v>0</v>
      </c>
      <c r="CV429" s="26">
        <f t="shared" si="36"/>
        <v>456.6</v>
      </c>
    </row>
    <row r="430" spans="1:100" x14ac:dyDescent="0.2">
      <c r="A430" s="9" t="s">
        <v>243</v>
      </c>
      <c r="B430" s="2">
        <v>29</v>
      </c>
      <c r="C430" s="3" t="s">
        <v>95</v>
      </c>
      <c r="D430" s="3" t="s">
        <v>96</v>
      </c>
      <c r="E430" s="2"/>
      <c r="F430" s="2"/>
      <c r="G430" s="2" t="s">
        <v>69</v>
      </c>
      <c r="H430" s="2">
        <v>1</v>
      </c>
      <c r="I430" s="8">
        <v>125.02</v>
      </c>
      <c r="J430" s="8">
        <v>55564</v>
      </c>
      <c r="K430" s="3">
        <v>0</v>
      </c>
      <c r="L430" s="3" t="s">
        <v>3</v>
      </c>
      <c r="M430" s="9" t="s">
        <v>0</v>
      </c>
      <c r="N430" s="9" t="s">
        <v>13</v>
      </c>
      <c r="O430" s="9" t="s">
        <v>245</v>
      </c>
      <c r="S430" s="9" t="s">
        <v>158</v>
      </c>
      <c r="V430" s="10">
        <v>120.63</v>
      </c>
      <c r="W430" s="10" t="s">
        <v>710</v>
      </c>
      <c r="X430" s="17">
        <v>44412</v>
      </c>
      <c r="Y430" s="17">
        <v>45204</v>
      </c>
      <c r="Z430" s="19" t="s">
        <v>772</v>
      </c>
      <c r="AA430" s="210">
        <v>48900</v>
      </c>
      <c r="AB430" s="9">
        <v>72</v>
      </c>
      <c r="AC430" s="9">
        <v>63</v>
      </c>
      <c r="AD430" s="17">
        <v>47092</v>
      </c>
      <c r="AE430" s="56">
        <v>456.6</v>
      </c>
      <c r="AF430" s="56"/>
      <c r="AP430" s="11"/>
      <c r="AQ430" s="11"/>
      <c r="AR430" s="11"/>
      <c r="AW430" s="9"/>
      <c r="BD430" s="9"/>
      <c r="CS430" s="11">
        <f t="shared" si="33"/>
        <v>0</v>
      </c>
      <c r="CT430" s="22">
        <f t="shared" si="34"/>
        <v>0</v>
      </c>
      <c r="CU430" s="22">
        <f t="shared" si="35"/>
        <v>0</v>
      </c>
      <c r="CV430" s="26">
        <f t="shared" si="36"/>
        <v>456.6</v>
      </c>
    </row>
    <row r="431" spans="1:100" x14ac:dyDescent="0.2">
      <c r="A431" s="9" t="s">
        <v>243</v>
      </c>
      <c r="B431" s="2">
        <v>29</v>
      </c>
      <c r="C431" s="3" t="s">
        <v>95</v>
      </c>
      <c r="D431" s="3" t="s">
        <v>96</v>
      </c>
      <c r="E431" s="2"/>
      <c r="F431" s="2"/>
      <c r="G431" s="2" t="s">
        <v>69</v>
      </c>
      <c r="H431" s="2">
        <v>1</v>
      </c>
      <c r="I431" s="8">
        <v>125.02</v>
      </c>
      <c r="J431" s="8">
        <v>55564</v>
      </c>
      <c r="K431" s="3">
        <v>0</v>
      </c>
      <c r="L431" s="3" t="s">
        <v>3</v>
      </c>
      <c r="M431" s="9" t="s">
        <v>0</v>
      </c>
      <c r="N431" s="9" t="s">
        <v>13</v>
      </c>
      <c r="O431" s="9" t="s">
        <v>245</v>
      </c>
      <c r="S431" s="9" t="s">
        <v>158</v>
      </c>
      <c r="V431" s="10">
        <v>120.63</v>
      </c>
      <c r="W431" s="10" t="s">
        <v>710</v>
      </c>
      <c r="X431" s="17">
        <v>44412</v>
      </c>
      <c r="Y431" s="17">
        <v>45204</v>
      </c>
      <c r="Z431" s="19" t="s">
        <v>772</v>
      </c>
      <c r="AA431" s="210">
        <v>48900</v>
      </c>
      <c r="AB431" s="9">
        <v>72</v>
      </c>
      <c r="AC431" s="9">
        <v>64</v>
      </c>
      <c r="AD431" s="17">
        <v>47123</v>
      </c>
      <c r="AE431" s="56">
        <v>456.6</v>
      </c>
      <c r="AF431" s="56"/>
      <c r="AP431" s="11"/>
      <c r="AQ431" s="11"/>
      <c r="AR431" s="11"/>
      <c r="AW431" s="9"/>
      <c r="BD431" s="9"/>
      <c r="CS431" s="11">
        <f t="shared" si="33"/>
        <v>0</v>
      </c>
      <c r="CT431" s="22">
        <f t="shared" si="34"/>
        <v>0</v>
      </c>
      <c r="CU431" s="22">
        <f t="shared" si="35"/>
        <v>0</v>
      </c>
      <c r="CV431" s="26">
        <f t="shared" si="36"/>
        <v>456.6</v>
      </c>
    </row>
    <row r="432" spans="1:100" x14ac:dyDescent="0.2">
      <c r="A432" s="9" t="s">
        <v>243</v>
      </c>
      <c r="B432" s="2">
        <v>29</v>
      </c>
      <c r="C432" s="3" t="s">
        <v>95</v>
      </c>
      <c r="D432" s="3" t="s">
        <v>96</v>
      </c>
      <c r="E432" s="2"/>
      <c r="F432" s="2"/>
      <c r="G432" s="2" t="s">
        <v>69</v>
      </c>
      <c r="H432" s="2">
        <v>1</v>
      </c>
      <c r="I432" s="8">
        <v>125.02</v>
      </c>
      <c r="J432" s="8">
        <v>55564</v>
      </c>
      <c r="K432" s="3">
        <v>0</v>
      </c>
      <c r="L432" s="3" t="s">
        <v>3</v>
      </c>
      <c r="M432" s="9" t="s">
        <v>0</v>
      </c>
      <c r="N432" s="9" t="s">
        <v>13</v>
      </c>
      <c r="O432" s="9" t="s">
        <v>245</v>
      </c>
      <c r="S432" s="9" t="s">
        <v>158</v>
      </c>
      <c r="V432" s="10">
        <v>120.63</v>
      </c>
      <c r="W432" s="10" t="s">
        <v>710</v>
      </c>
      <c r="X432" s="17">
        <v>44412</v>
      </c>
      <c r="Y432" s="17">
        <v>45204</v>
      </c>
      <c r="Z432" s="19" t="s">
        <v>772</v>
      </c>
      <c r="AA432" s="210">
        <v>48900</v>
      </c>
      <c r="AB432" s="9">
        <v>72</v>
      </c>
      <c r="AC432" s="9">
        <v>65</v>
      </c>
      <c r="AD432" s="17">
        <v>47154</v>
      </c>
      <c r="AE432" s="56">
        <v>456.6</v>
      </c>
      <c r="AF432" s="56"/>
      <c r="AP432" s="11"/>
      <c r="AQ432" s="11"/>
      <c r="AR432" s="11"/>
      <c r="AW432" s="9"/>
      <c r="BD432" s="9"/>
      <c r="CS432" s="11">
        <f t="shared" si="33"/>
        <v>0</v>
      </c>
      <c r="CT432" s="22">
        <f t="shared" si="34"/>
        <v>0</v>
      </c>
      <c r="CU432" s="22">
        <f t="shared" si="35"/>
        <v>0</v>
      </c>
      <c r="CV432" s="26">
        <f t="shared" si="36"/>
        <v>456.6</v>
      </c>
    </row>
    <row r="433" spans="1:101" x14ac:dyDescent="0.2">
      <c r="A433" s="9" t="s">
        <v>243</v>
      </c>
      <c r="B433" s="2">
        <v>29</v>
      </c>
      <c r="C433" s="3" t="s">
        <v>95</v>
      </c>
      <c r="D433" s="3" t="s">
        <v>96</v>
      </c>
      <c r="E433" s="2"/>
      <c r="F433" s="2"/>
      <c r="G433" s="2" t="s">
        <v>69</v>
      </c>
      <c r="H433" s="2">
        <v>1</v>
      </c>
      <c r="I433" s="8">
        <v>125.02</v>
      </c>
      <c r="J433" s="8">
        <v>55564</v>
      </c>
      <c r="K433" s="3">
        <v>0</v>
      </c>
      <c r="L433" s="3" t="s">
        <v>3</v>
      </c>
      <c r="M433" s="9" t="s">
        <v>0</v>
      </c>
      <c r="N433" s="9" t="s">
        <v>13</v>
      </c>
      <c r="O433" s="9" t="s">
        <v>245</v>
      </c>
      <c r="S433" s="9" t="s">
        <v>158</v>
      </c>
      <c r="V433" s="10">
        <v>120.63</v>
      </c>
      <c r="W433" s="10" t="s">
        <v>710</v>
      </c>
      <c r="X433" s="17">
        <v>44412</v>
      </c>
      <c r="Y433" s="17">
        <v>45204</v>
      </c>
      <c r="Z433" s="19" t="s">
        <v>772</v>
      </c>
      <c r="AA433" s="210">
        <v>48900</v>
      </c>
      <c r="AB433" s="9">
        <v>72</v>
      </c>
      <c r="AC433" s="9">
        <v>66</v>
      </c>
      <c r="AD433" s="17">
        <v>47182</v>
      </c>
      <c r="AE433" s="56">
        <v>456.6</v>
      </c>
      <c r="AF433" s="56"/>
      <c r="AP433" s="11"/>
      <c r="AQ433" s="11"/>
      <c r="AR433" s="11"/>
      <c r="AW433" s="9"/>
      <c r="BD433" s="9"/>
      <c r="CS433" s="11">
        <f t="shared" si="33"/>
        <v>0</v>
      </c>
      <c r="CT433" s="22">
        <f t="shared" si="34"/>
        <v>0</v>
      </c>
      <c r="CU433" s="22">
        <f t="shared" si="35"/>
        <v>0</v>
      </c>
      <c r="CV433" s="26">
        <f t="shared" si="36"/>
        <v>456.6</v>
      </c>
    </row>
    <row r="434" spans="1:101" x14ac:dyDescent="0.2">
      <c r="A434" s="9" t="s">
        <v>243</v>
      </c>
      <c r="B434" s="2">
        <v>29</v>
      </c>
      <c r="C434" s="3" t="s">
        <v>95</v>
      </c>
      <c r="D434" s="3" t="s">
        <v>96</v>
      </c>
      <c r="E434" s="2"/>
      <c r="F434" s="2"/>
      <c r="G434" s="2" t="s">
        <v>69</v>
      </c>
      <c r="H434" s="2">
        <v>1</v>
      </c>
      <c r="I434" s="8">
        <v>125.02</v>
      </c>
      <c r="J434" s="8">
        <v>55564</v>
      </c>
      <c r="K434" s="3">
        <v>0</v>
      </c>
      <c r="L434" s="3" t="s">
        <v>3</v>
      </c>
      <c r="M434" s="9" t="s">
        <v>0</v>
      </c>
      <c r="N434" s="9" t="s">
        <v>13</v>
      </c>
      <c r="O434" s="9" t="s">
        <v>245</v>
      </c>
      <c r="S434" s="9" t="s">
        <v>158</v>
      </c>
      <c r="V434" s="10">
        <v>120.63</v>
      </c>
      <c r="W434" s="10" t="s">
        <v>710</v>
      </c>
      <c r="X434" s="17">
        <v>44412</v>
      </c>
      <c r="Y434" s="17">
        <v>45204</v>
      </c>
      <c r="Z434" s="19" t="s">
        <v>772</v>
      </c>
      <c r="AA434" s="210">
        <v>48900</v>
      </c>
      <c r="AB434" s="9">
        <v>72</v>
      </c>
      <c r="AC434" s="9">
        <v>67</v>
      </c>
      <c r="AD434" s="17">
        <v>47213</v>
      </c>
      <c r="AE434" s="56">
        <v>456.6</v>
      </c>
      <c r="AF434" s="56"/>
      <c r="AP434" s="11"/>
      <c r="AQ434" s="11"/>
      <c r="AR434" s="11"/>
      <c r="AW434" s="9"/>
      <c r="BD434" s="9"/>
      <c r="CS434" s="11">
        <f t="shared" si="33"/>
        <v>0</v>
      </c>
      <c r="CT434" s="22">
        <f t="shared" si="34"/>
        <v>0</v>
      </c>
      <c r="CU434" s="22">
        <f t="shared" si="35"/>
        <v>0</v>
      </c>
      <c r="CV434" s="26">
        <f t="shared" si="36"/>
        <v>456.6</v>
      </c>
    </row>
    <row r="435" spans="1:101" x14ac:dyDescent="0.2">
      <c r="A435" s="9" t="s">
        <v>243</v>
      </c>
      <c r="B435" s="2">
        <v>29</v>
      </c>
      <c r="C435" s="3" t="s">
        <v>95</v>
      </c>
      <c r="D435" s="3" t="s">
        <v>96</v>
      </c>
      <c r="E435" s="2"/>
      <c r="F435" s="2"/>
      <c r="G435" s="2" t="s">
        <v>69</v>
      </c>
      <c r="H435" s="2">
        <v>1</v>
      </c>
      <c r="I435" s="8">
        <v>125.02</v>
      </c>
      <c r="J435" s="8">
        <v>55564</v>
      </c>
      <c r="K435" s="3">
        <v>0</v>
      </c>
      <c r="L435" s="3" t="s">
        <v>3</v>
      </c>
      <c r="M435" s="9" t="s">
        <v>0</v>
      </c>
      <c r="N435" s="9" t="s">
        <v>13</v>
      </c>
      <c r="O435" s="9" t="s">
        <v>245</v>
      </c>
      <c r="S435" s="9" t="s">
        <v>158</v>
      </c>
      <c r="V435" s="10">
        <v>120.63</v>
      </c>
      <c r="W435" s="10" t="s">
        <v>710</v>
      </c>
      <c r="X435" s="17">
        <v>44412</v>
      </c>
      <c r="Y435" s="17">
        <v>45204</v>
      </c>
      <c r="Z435" s="19" t="s">
        <v>772</v>
      </c>
      <c r="AA435" s="210">
        <v>48900</v>
      </c>
      <c r="AB435" s="9">
        <v>72</v>
      </c>
      <c r="AC435" s="9">
        <v>68</v>
      </c>
      <c r="AD435" s="17">
        <v>47243</v>
      </c>
      <c r="AE435" s="56">
        <v>456.6</v>
      </c>
      <c r="AF435" s="56"/>
      <c r="AP435" s="11"/>
      <c r="AQ435" s="11"/>
      <c r="AR435" s="11"/>
      <c r="AW435" s="9"/>
      <c r="BD435" s="9"/>
      <c r="CS435" s="11">
        <f t="shared" si="33"/>
        <v>0</v>
      </c>
      <c r="CT435" s="22">
        <f t="shared" si="34"/>
        <v>0</v>
      </c>
      <c r="CU435" s="22">
        <f t="shared" si="35"/>
        <v>0</v>
      </c>
      <c r="CV435" s="26">
        <f t="shared" si="36"/>
        <v>456.6</v>
      </c>
    </row>
    <row r="436" spans="1:101" x14ac:dyDescent="0.2">
      <c r="A436" s="9" t="s">
        <v>243</v>
      </c>
      <c r="B436" s="2">
        <v>29</v>
      </c>
      <c r="C436" s="3" t="s">
        <v>95</v>
      </c>
      <c r="D436" s="3" t="s">
        <v>96</v>
      </c>
      <c r="E436" s="2"/>
      <c r="F436" s="2"/>
      <c r="G436" s="2" t="s">
        <v>69</v>
      </c>
      <c r="H436" s="2">
        <v>1</v>
      </c>
      <c r="I436" s="8">
        <v>125.02</v>
      </c>
      <c r="J436" s="8">
        <v>55564</v>
      </c>
      <c r="K436" s="3">
        <v>0</v>
      </c>
      <c r="L436" s="3" t="s">
        <v>3</v>
      </c>
      <c r="M436" s="9" t="s">
        <v>0</v>
      </c>
      <c r="N436" s="9" t="s">
        <v>13</v>
      </c>
      <c r="O436" s="9" t="s">
        <v>245</v>
      </c>
      <c r="S436" s="9" t="s">
        <v>158</v>
      </c>
      <c r="V436" s="10">
        <v>120.63</v>
      </c>
      <c r="W436" s="10" t="s">
        <v>710</v>
      </c>
      <c r="X436" s="17">
        <v>44412</v>
      </c>
      <c r="Y436" s="17">
        <v>45204</v>
      </c>
      <c r="Z436" s="19" t="s">
        <v>772</v>
      </c>
      <c r="AA436" s="210">
        <v>48900</v>
      </c>
      <c r="AB436" s="9">
        <v>72</v>
      </c>
      <c r="AC436" s="9">
        <v>69</v>
      </c>
      <c r="AD436" s="17">
        <v>47274</v>
      </c>
      <c r="AE436" s="56">
        <v>456.6</v>
      </c>
      <c r="AF436" s="56"/>
      <c r="AP436" s="11"/>
      <c r="AQ436" s="11"/>
      <c r="AR436" s="11"/>
      <c r="AW436" s="9"/>
      <c r="BD436" s="9"/>
      <c r="CS436" s="11">
        <f t="shared" si="33"/>
        <v>0</v>
      </c>
      <c r="CT436" s="22">
        <f t="shared" si="34"/>
        <v>0</v>
      </c>
      <c r="CU436" s="22">
        <f t="shared" si="35"/>
        <v>0</v>
      </c>
      <c r="CV436" s="26">
        <f t="shared" si="36"/>
        <v>456.6</v>
      </c>
    </row>
    <row r="437" spans="1:101" x14ac:dyDescent="0.2">
      <c r="A437" s="9" t="s">
        <v>243</v>
      </c>
      <c r="B437" s="2">
        <v>29</v>
      </c>
      <c r="C437" s="3" t="s">
        <v>95</v>
      </c>
      <c r="D437" s="3" t="s">
        <v>96</v>
      </c>
      <c r="E437" s="2"/>
      <c r="F437" s="2"/>
      <c r="G437" s="2" t="s">
        <v>69</v>
      </c>
      <c r="H437" s="2">
        <v>1</v>
      </c>
      <c r="I437" s="8">
        <v>125.02</v>
      </c>
      <c r="J437" s="8">
        <v>55564</v>
      </c>
      <c r="K437" s="3">
        <v>0</v>
      </c>
      <c r="L437" s="3" t="s">
        <v>3</v>
      </c>
      <c r="M437" s="9" t="s">
        <v>0</v>
      </c>
      <c r="N437" s="9" t="s">
        <v>13</v>
      </c>
      <c r="O437" s="9" t="s">
        <v>245</v>
      </c>
      <c r="S437" s="9" t="s">
        <v>158</v>
      </c>
      <c r="V437" s="10">
        <v>120.63</v>
      </c>
      <c r="W437" s="10" t="s">
        <v>710</v>
      </c>
      <c r="X437" s="17">
        <v>44412</v>
      </c>
      <c r="Y437" s="17">
        <v>45204</v>
      </c>
      <c r="Z437" s="19" t="s">
        <v>772</v>
      </c>
      <c r="AA437" s="210">
        <v>48900</v>
      </c>
      <c r="AB437" s="9">
        <v>72</v>
      </c>
      <c r="AC437" s="9">
        <v>70</v>
      </c>
      <c r="AD437" s="17">
        <v>47304</v>
      </c>
      <c r="AE437" s="56">
        <v>456.6</v>
      </c>
      <c r="AF437" s="56"/>
      <c r="AP437" s="11"/>
      <c r="AQ437" s="11"/>
      <c r="AR437" s="11"/>
      <c r="AW437" s="9"/>
      <c r="BD437" s="9"/>
      <c r="CS437" s="11">
        <f t="shared" si="33"/>
        <v>0</v>
      </c>
      <c r="CT437" s="22">
        <f t="shared" si="34"/>
        <v>0</v>
      </c>
      <c r="CU437" s="22">
        <f t="shared" si="35"/>
        <v>0</v>
      </c>
      <c r="CV437" s="26">
        <f t="shared" si="36"/>
        <v>456.6</v>
      </c>
    </row>
    <row r="438" spans="1:101" x14ac:dyDescent="0.2">
      <c r="A438" s="9" t="s">
        <v>243</v>
      </c>
      <c r="B438" s="2">
        <v>29</v>
      </c>
      <c r="C438" s="3" t="s">
        <v>95</v>
      </c>
      <c r="D438" s="3" t="s">
        <v>96</v>
      </c>
      <c r="E438" s="2"/>
      <c r="F438" s="2"/>
      <c r="G438" s="2" t="s">
        <v>69</v>
      </c>
      <c r="H438" s="2">
        <v>1</v>
      </c>
      <c r="I438" s="8">
        <v>125.02</v>
      </c>
      <c r="J438" s="8">
        <v>55564</v>
      </c>
      <c r="K438" s="3">
        <v>0</v>
      </c>
      <c r="L438" s="3" t="s">
        <v>3</v>
      </c>
      <c r="M438" s="9" t="s">
        <v>0</v>
      </c>
      <c r="N438" s="9" t="s">
        <v>13</v>
      </c>
      <c r="O438" s="9" t="s">
        <v>245</v>
      </c>
      <c r="S438" s="9" t="s">
        <v>158</v>
      </c>
      <c r="V438" s="10">
        <v>120.63</v>
      </c>
      <c r="W438" s="10" t="s">
        <v>710</v>
      </c>
      <c r="X438" s="17">
        <v>44412</v>
      </c>
      <c r="Y438" s="17">
        <v>45204</v>
      </c>
      <c r="Z438" s="19" t="s">
        <v>772</v>
      </c>
      <c r="AA438" s="210">
        <v>48900</v>
      </c>
      <c r="AB438" s="9">
        <v>72</v>
      </c>
      <c r="AC438" s="9">
        <v>71</v>
      </c>
      <c r="AD438" s="17">
        <v>47335</v>
      </c>
      <c r="AE438" s="56">
        <v>456.6</v>
      </c>
      <c r="AF438" s="56"/>
      <c r="AP438" s="11"/>
      <c r="AQ438" s="11"/>
      <c r="AR438" s="11"/>
      <c r="AW438" s="9"/>
      <c r="BD438" s="9"/>
      <c r="CS438" s="11">
        <f t="shared" si="33"/>
        <v>0</v>
      </c>
      <c r="CT438" s="22">
        <f t="shared" si="34"/>
        <v>0</v>
      </c>
      <c r="CU438" s="22">
        <f t="shared" si="35"/>
        <v>0</v>
      </c>
      <c r="CV438" s="26">
        <f t="shared" si="36"/>
        <v>456.6</v>
      </c>
    </row>
    <row r="439" spans="1:101" x14ac:dyDescent="0.2">
      <c r="A439" s="9" t="s">
        <v>243</v>
      </c>
      <c r="B439" s="2">
        <v>29</v>
      </c>
      <c r="C439" s="3" t="s">
        <v>95</v>
      </c>
      <c r="D439" s="3" t="s">
        <v>96</v>
      </c>
      <c r="E439" s="2"/>
      <c r="F439" s="2"/>
      <c r="G439" s="2" t="s">
        <v>69</v>
      </c>
      <c r="H439" s="2">
        <v>1</v>
      </c>
      <c r="I439" s="8">
        <v>125.02</v>
      </c>
      <c r="J439" s="8">
        <v>55564</v>
      </c>
      <c r="K439" s="3">
        <v>0</v>
      </c>
      <c r="L439" s="3" t="s">
        <v>3</v>
      </c>
      <c r="M439" s="9" t="s">
        <v>0</v>
      </c>
      <c r="N439" s="9" t="s">
        <v>13</v>
      </c>
      <c r="O439" s="9" t="s">
        <v>245</v>
      </c>
      <c r="S439" s="9" t="s">
        <v>158</v>
      </c>
      <c r="V439" s="10">
        <v>120.63</v>
      </c>
      <c r="W439" s="10" t="s">
        <v>710</v>
      </c>
      <c r="X439" s="17">
        <v>44412</v>
      </c>
      <c r="Y439" s="17">
        <v>45204</v>
      </c>
      <c r="Z439" s="19" t="s">
        <v>772</v>
      </c>
      <c r="AA439" s="210">
        <v>48900</v>
      </c>
      <c r="AB439" s="9">
        <v>72</v>
      </c>
      <c r="AC439" s="9">
        <v>72</v>
      </c>
      <c r="AD439" s="17">
        <v>47366</v>
      </c>
      <c r="AE439" s="56">
        <v>481.4</v>
      </c>
      <c r="AF439" s="56"/>
      <c r="AP439" s="11"/>
      <c r="AQ439" s="11"/>
      <c r="AR439" s="11"/>
      <c r="AW439" s="9"/>
      <c r="BD439" s="9"/>
      <c r="CS439" s="11">
        <f t="shared" si="33"/>
        <v>0</v>
      </c>
      <c r="CT439" s="22">
        <f t="shared" si="34"/>
        <v>0</v>
      </c>
      <c r="CU439" s="22">
        <f t="shared" si="35"/>
        <v>0</v>
      </c>
      <c r="CV439" s="26">
        <f t="shared" si="36"/>
        <v>481.4</v>
      </c>
    </row>
    <row r="440" spans="1:101" x14ac:dyDescent="0.2">
      <c r="A440" s="9" t="s">
        <v>243</v>
      </c>
      <c r="B440" s="2">
        <v>29</v>
      </c>
      <c r="C440" s="3" t="s">
        <v>95</v>
      </c>
      <c r="D440" s="3" t="s">
        <v>96</v>
      </c>
      <c r="E440" s="2"/>
      <c r="F440" s="2"/>
      <c r="G440" s="2" t="s">
        <v>69</v>
      </c>
      <c r="H440" s="2">
        <v>1</v>
      </c>
      <c r="I440" s="8">
        <v>125.02</v>
      </c>
      <c r="J440" s="8">
        <v>55564</v>
      </c>
      <c r="K440" s="3">
        <v>0</v>
      </c>
      <c r="L440" s="3" t="s">
        <v>3</v>
      </c>
      <c r="M440" s="9" t="s">
        <v>0</v>
      </c>
      <c r="N440" s="9" t="s">
        <v>13</v>
      </c>
      <c r="O440" s="9" t="s">
        <v>245</v>
      </c>
      <c r="S440" s="48" t="s">
        <v>246</v>
      </c>
      <c r="T440" s="71"/>
      <c r="U440" s="71"/>
      <c r="W440" s="10" t="s">
        <v>710</v>
      </c>
      <c r="X440" s="17">
        <v>44412</v>
      </c>
      <c r="Y440" s="17"/>
      <c r="Z440" s="17" t="s">
        <v>737</v>
      </c>
      <c r="AB440" s="9">
        <v>1</v>
      </c>
      <c r="AC440" s="9">
        <v>1</v>
      </c>
      <c r="AD440" s="17">
        <v>44418</v>
      </c>
      <c r="AE440" s="66">
        <v>4100</v>
      </c>
      <c r="AF440" s="56"/>
      <c r="AG440" s="9" t="s">
        <v>134</v>
      </c>
      <c r="AH440" s="17">
        <v>44418</v>
      </c>
      <c r="AI440" s="30" t="s">
        <v>13</v>
      </c>
      <c r="AJ440" s="9" t="s">
        <v>2974</v>
      </c>
      <c r="AK440" s="9" t="s">
        <v>2971</v>
      </c>
      <c r="AM440" s="11">
        <v>4100</v>
      </c>
      <c r="AN440" s="11" t="s">
        <v>2973</v>
      </c>
      <c r="AO440" s="57"/>
      <c r="AP440" s="57"/>
      <c r="AQ440" s="57"/>
      <c r="AR440" s="57"/>
      <c r="AS440" s="57"/>
      <c r="AT440" s="57"/>
      <c r="AU440" s="57"/>
      <c r="AV440" s="57"/>
      <c r="AW440" s="17">
        <v>44413</v>
      </c>
      <c r="AX440" s="9">
        <v>6332</v>
      </c>
      <c r="AY440" s="9">
        <v>24600</v>
      </c>
      <c r="BB440" s="11" t="s">
        <v>3496</v>
      </c>
      <c r="BD440" s="9"/>
      <c r="CS440" s="23">
        <f>+AM440</f>
        <v>4100</v>
      </c>
      <c r="CT440" s="22">
        <f>+AY440+BE440+BK440+BQ440+BW440+CC440+CI440+CO440</f>
        <v>24600</v>
      </c>
      <c r="CU440" s="22">
        <f t="shared" si="35"/>
        <v>-20500</v>
      </c>
      <c r="CV440" s="26">
        <f>+AE440-AM440-AU440</f>
        <v>0</v>
      </c>
      <c r="CW440" s="9" t="s">
        <v>3496</v>
      </c>
    </row>
    <row r="441" spans="1:101" x14ac:dyDescent="0.2">
      <c r="A441" s="9" t="s">
        <v>247</v>
      </c>
      <c r="B441" s="2">
        <v>130</v>
      </c>
      <c r="C441" s="3" t="s">
        <v>95</v>
      </c>
      <c r="D441" s="3" t="s">
        <v>96</v>
      </c>
      <c r="E441" s="2"/>
      <c r="F441" s="2"/>
      <c r="G441" s="2" t="s">
        <v>82</v>
      </c>
      <c r="H441" s="2">
        <v>7</v>
      </c>
      <c r="I441" s="8">
        <v>165.5</v>
      </c>
      <c r="J441" s="8">
        <v>49999</v>
      </c>
      <c r="K441" s="3">
        <v>0</v>
      </c>
      <c r="L441" s="3" t="s">
        <v>3</v>
      </c>
      <c r="M441" s="9" t="s">
        <v>0</v>
      </c>
      <c r="N441" s="9" t="s">
        <v>14</v>
      </c>
      <c r="O441" s="9" t="s">
        <v>248</v>
      </c>
      <c r="P441" s="9" t="s">
        <v>0</v>
      </c>
      <c r="Q441" s="30" t="s">
        <v>249</v>
      </c>
      <c r="R441" s="9" t="s">
        <v>250</v>
      </c>
      <c r="S441" s="9" t="s">
        <v>158</v>
      </c>
      <c r="T441" s="10" t="s">
        <v>82</v>
      </c>
      <c r="U441" s="10">
        <v>7</v>
      </c>
      <c r="V441" s="10">
        <v>165.5</v>
      </c>
      <c r="W441" s="10" t="s">
        <v>710</v>
      </c>
      <c r="X441" s="17">
        <v>44629</v>
      </c>
      <c r="Y441" s="17">
        <v>44629</v>
      </c>
      <c r="Z441" s="19" t="s">
        <v>772</v>
      </c>
      <c r="AA441" s="210">
        <v>45000</v>
      </c>
      <c r="AB441" s="9">
        <v>38</v>
      </c>
      <c r="AC441" s="116" t="s">
        <v>2221</v>
      </c>
      <c r="AD441" s="17">
        <v>44620</v>
      </c>
      <c r="AE441" s="56">
        <f>1000+2556.1+943.9+1500</f>
        <v>6000</v>
      </c>
      <c r="AF441" s="56"/>
      <c r="AH441" s="17">
        <v>44631</v>
      </c>
      <c r="AI441" s="30" t="s">
        <v>14</v>
      </c>
      <c r="AJ441" s="9" t="s">
        <v>2882</v>
      </c>
      <c r="AK441" s="9" t="s">
        <v>2881</v>
      </c>
      <c r="AL441" s="11">
        <v>6000</v>
      </c>
      <c r="AN441" s="11" t="s">
        <v>2880</v>
      </c>
      <c r="AP441" s="11"/>
      <c r="AQ441" s="11"/>
      <c r="AR441" s="11"/>
      <c r="AW441" s="42">
        <v>44620</v>
      </c>
      <c r="AX441" s="105" t="s">
        <v>2937</v>
      </c>
      <c r="AY441" s="36"/>
      <c r="AZ441" s="36"/>
      <c r="BA441" s="55">
        <v>1000</v>
      </c>
      <c r="BB441" s="55"/>
      <c r="BC441" s="42">
        <v>44629</v>
      </c>
      <c r="BD441" s="105" t="s">
        <v>2938</v>
      </c>
      <c r="BE441" s="36"/>
      <c r="BF441" s="36"/>
      <c r="BG441" s="55">
        <v>2556.1</v>
      </c>
      <c r="BH441" s="36"/>
      <c r="BI441" s="17">
        <v>44629</v>
      </c>
      <c r="BJ441" s="60" t="s">
        <v>253</v>
      </c>
      <c r="BM441" s="56">
        <v>943.9</v>
      </c>
      <c r="BN441" s="56" t="s">
        <v>1704</v>
      </c>
      <c r="BO441" s="17">
        <v>44629</v>
      </c>
      <c r="BP441" s="60" t="s">
        <v>254</v>
      </c>
      <c r="BS441" s="56">
        <v>1500</v>
      </c>
      <c r="BT441" s="56"/>
      <c r="CS441" s="11">
        <f t="shared" ref="CS441:CS504" si="37">+AL441+AT441</f>
        <v>6000</v>
      </c>
      <c r="CT441" s="22">
        <f t="shared" ref="CT441:CT504" si="38">+BA441+BG441+BM441+BS441+BY441+CE441+CK441+CQ441</f>
        <v>6000</v>
      </c>
      <c r="CU441" s="22">
        <f t="shared" si="35"/>
        <v>0</v>
      </c>
      <c r="CV441" s="26">
        <f t="shared" ref="CV441:CV504" si="39">+AE441-AL441-AT441</f>
        <v>0</v>
      </c>
    </row>
    <row r="442" spans="1:101" ht="12.75" x14ac:dyDescent="0.2">
      <c r="A442" s="9" t="s">
        <v>247</v>
      </c>
      <c r="B442" s="2">
        <v>130</v>
      </c>
      <c r="C442" s="3" t="s">
        <v>95</v>
      </c>
      <c r="D442" s="3" t="s">
        <v>96</v>
      </c>
      <c r="E442" s="2"/>
      <c r="F442" s="2"/>
      <c r="G442" s="2" t="s">
        <v>82</v>
      </c>
      <c r="H442" s="2">
        <v>7</v>
      </c>
      <c r="I442" s="8">
        <v>165.5</v>
      </c>
      <c r="J442" s="8">
        <v>49999</v>
      </c>
      <c r="K442" s="3">
        <v>0</v>
      </c>
      <c r="L442" s="3" t="s">
        <v>3</v>
      </c>
      <c r="M442" s="9" t="s">
        <v>0</v>
      </c>
      <c r="N442" s="9" t="s">
        <v>14</v>
      </c>
      <c r="O442" s="9" t="s">
        <v>248</v>
      </c>
      <c r="P442" s="9" t="s">
        <v>0</v>
      </c>
      <c r="Q442" s="30" t="s">
        <v>249</v>
      </c>
      <c r="R442" s="9" t="s">
        <v>250</v>
      </c>
      <c r="S442" s="9" t="s">
        <v>158</v>
      </c>
      <c r="T442" s="10" t="s">
        <v>82</v>
      </c>
      <c r="U442" s="10">
        <v>7</v>
      </c>
      <c r="V442" s="10">
        <v>165.5</v>
      </c>
      <c r="W442" s="10" t="s">
        <v>710</v>
      </c>
      <c r="X442" s="17">
        <v>44629</v>
      </c>
      <c r="Y442" s="17">
        <v>44629</v>
      </c>
      <c r="Z442" s="19" t="s">
        <v>772</v>
      </c>
      <c r="AA442" s="210">
        <v>45000</v>
      </c>
      <c r="AB442" s="9">
        <v>38</v>
      </c>
      <c r="AC442" s="9">
        <v>5</v>
      </c>
      <c r="AD442" s="17">
        <v>44650</v>
      </c>
      <c r="AE442" s="56">
        <v>700</v>
      </c>
      <c r="AF442" s="56"/>
      <c r="AH442" s="17">
        <v>45085</v>
      </c>
      <c r="AI442" s="30" t="s">
        <v>14</v>
      </c>
      <c r="AJ442" s="9" t="s">
        <v>2882</v>
      </c>
      <c r="AK442" s="9" t="s">
        <v>2883</v>
      </c>
      <c r="AL442" s="11">
        <v>700</v>
      </c>
      <c r="AN442" s="11" t="s">
        <v>2890</v>
      </c>
      <c r="AP442" s="11"/>
      <c r="AQ442" s="11"/>
      <c r="AR442" s="11"/>
      <c r="AW442" s="17">
        <v>45083</v>
      </c>
      <c r="AX442" s="60" t="s">
        <v>2939</v>
      </c>
      <c r="BA442" s="96">
        <v>700</v>
      </c>
      <c r="BB442" s="56"/>
      <c r="BD442" s="9"/>
      <c r="CS442" s="11">
        <f t="shared" si="37"/>
        <v>700</v>
      </c>
      <c r="CT442" s="22">
        <f t="shared" si="38"/>
        <v>700</v>
      </c>
      <c r="CU442" s="22">
        <f t="shared" si="35"/>
        <v>0</v>
      </c>
      <c r="CV442" s="26">
        <f t="shared" si="39"/>
        <v>0</v>
      </c>
    </row>
    <row r="443" spans="1:101" x14ac:dyDescent="0.2">
      <c r="A443" s="9" t="s">
        <v>247</v>
      </c>
      <c r="B443" s="2">
        <v>130</v>
      </c>
      <c r="C443" s="3" t="s">
        <v>95</v>
      </c>
      <c r="D443" s="3" t="s">
        <v>96</v>
      </c>
      <c r="E443" s="2"/>
      <c r="F443" s="2"/>
      <c r="G443" s="2" t="s">
        <v>82</v>
      </c>
      <c r="H443" s="2">
        <v>7</v>
      </c>
      <c r="I443" s="8">
        <v>165.5</v>
      </c>
      <c r="J443" s="8">
        <v>49999</v>
      </c>
      <c r="K443" s="3">
        <v>0</v>
      </c>
      <c r="L443" s="3" t="s">
        <v>3</v>
      </c>
      <c r="M443" s="9" t="s">
        <v>0</v>
      </c>
      <c r="N443" s="9" t="s">
        <v>14</v>
      </c>
      <c r="O443" s="9" t="s">
        <v>248</v>
      </c>
      <c r="P443" s="9" t="s">
        <v>0</v>
      </c>
      <c r="Q443" s="30" t="s">
        <v>249</v>
      </c>
      <c r="R443" s="9" t="s">
        <v>250</v>
      </c>
      <c r="S443" s="9" t="s">
        <v>158</v>
      </c>
      <c r="T443" s="10" t="s">
        <v>82</v>
      </c>
      <c r="U443" s="10">
        <v>7</v>
      </c>
      <c r="V443" s="10">
        <v>165.5</v>
      </c>
      <c r="W443" s="10" t="s">
        <v>710</v>
      </c>
      <c r="X443" s="17">
        <v>44629</v>
      </c>
      <c r="Y443" s="17">
        <v>44629</v>
      </c>
      <c r="Z443" s="19" t="s">
        <v>772</v>
      </c>
      <c r="AA443" s="210">
        <v>45000</v>
      </c>
      <c r="AB443" s="9">
        <v>38</v>
      </c>
      <c r="AC443" s="9">
        <v>6</v>
      </c>
      <c r="AD443" s="17">
        <v>44681</v>
      </c>
      <c r="AE443" s="56">
        <v>2000</v>
      </c>
      <c r="AF443" s="56"/>
      <c r="AH443" s="17">
        <v>45085</v>
      </c>
      <c r="AI443" s="30" t="s">
        <v>14</v>
      </c>
      <c r="AJ443" s="9" t="s">
        <v>2882</v>
      </c>
      <c r="AK443" s="9" t="s">
        <v>2884</v>
      </c>
      <c r="AL443" s="11">
        <v>2000</v>
      </c>
      <c r="AN443" s="11" t="s">
        <v>2891</v>
      </c>
      <c r="AP443" s="11"/>
      <c r="AQ443" s="11"/>
      <c r="AR443" s="11"/>
      <c r="AW443" s="17">
        <v>45051</v>
      </c>
      <c r="AX443" s="60" t="s">
        <v>2940</v>
      </c>
      <c r="BA443" s="56">
        <v>500</v>
      </c>
      <c r="BB443" s="56"/>
      <c r="BC443" s="17">
        <v>44993</v>
      </c>
      <c r="BD443" s="9">
        <v>1299</v>
      </c>
      <c r="BG443" s="56">
        <v>500</v>
      </c>
      <c r="BI443" s="17">
        <v>44995</v>
      </c>
      <c r="BJ443" s="9">
        <v>1308</v>
      </c>
      <c r="BM443" s="56">
        <v>500</v>
      </c>
      <c r="BO443" s="17">
        <v>45040</v>
      </c>
      <c r="BP443" s="9">
        <v>1436</v>
      </c>
      <c r="BR443" s="56"/>
      <c r="BS443" s="56">
        <v>500</v>
      </c>
      <c r="BT443" s="56"/>
      <c r="CS443" s="11">
        <f t="shared" si="37"/>
        <v>2000</v>
      </c>
      <c r="CT443" s="22">
        <f t="shared" si="38"/>
        <v>2000</v>
      </c>
      <c r="CU443" s="22">
        <f t="shared" si="35"/>
        <v>0</v>
      </c>
      <c r="CV443" s="26">
        <f t="shared" si="39"/>
        <v>0</v>
      </c>
    </row>
    <row r="444" spans="1:101" ht="12.75" x14ac:dyDescent="0.2">
      <c r="A444" s="9" t="s">
        <v>247</v>
      </c>
      <c r="B444" s="2">
        <v>130</v>
      </c>
      <c r="C444" s="3" t="s">
        <v>95</v>
      </c>
      <c r="D444" s="3" t="s">
        <v>96</v>
      </c>
      <c r="E444" s="2"/>
      <c r="F444" s="2"/>
      <c r="G444" s="2" t="s">
        <v>82</v>
      </c>
      <c r="H444" s="2">
        <v>7</v>
      </c>
      <c r="I444" s="8">
        <v>165.5</v>
      </c>
      <c r="J444" s="8">
        <v>49999</v>
      </c>
      <c r="K444" s="3">
        <v>0</v>
      </c>
      <c r="L444" s="3" t="s">
        <v>3</v>
      </c>
      <c r="M444" s="9" t="s">
        <v>0</v>
      </c>
      <c r="N444" s="9" t="s">
        <v>14</v>
      </c>
      <c r="O444" s="9" t="s">
        <v>248</v>
      </c>
      <c r="P444" s="9" t="s">
        <v>0</v>
      </c>
      <c r="Q444" s="30" t="s">
        <v>249</v>
      </c>
      <c r="R444" s="9" t="s">
        <v>250</v>
      </c>
      <c r="S444" s="9" t="s">
        <v>158</v>
      </c>
      <c r="T444" s="10" t="s">
        <v>82</v>
      </c>
      <c r="U444" s="10">
        <v>7</v>
      </c>
      <c r="V444" s="10">
        <v>165.5</v>
      </c>
      <c r="W444" s="10" t="s">
        <v>710</v>
      </c>
      <c r="X444" s="17">
        <v>44629</v>
      </c>
      <c r="Y444" s="17">
        <v>44629</v>
      </c>
      <c r="Z444" s="19" t="s">
        <v>772</v>
      </c>
      <c r="AA444" s="210">
        <v>45000</v>
      </c>
      <c r="AB444" s="9">
        <v>38</v>
      </c>
      <c r="AC444" s="9">
        <v>7</v>
      </c>
      <c r="AD444" s="17">
        <v>44711</v>
      </c>
      <c r="AE444" s="56">
        <v>700</v>
      </c>
      <c r="AF444" s="56"/>
      <c r="AH444" s="17">
        <v>45141</v>
      </c>
      <c r="AI444" s="30" t="s">
        <v>14</v>
      </c>
      <c r="AJ444" s="9" t="s">
        <v>2882</v>
      </c>
      <c r="AK444" s="9" t="s">
        <v>2885</v>
      </c>
      <c r="AL444" s="11">
        <v>700</v>
      </c>
      <c r="AN444" s="11" t="s">
        <v>2892</v>
      </c>
      <c r="AP444" s="11"/>
      <c r="AQ444" s="11"/>
      <c r="AR444" s="11"/>
      <c r="AW444" s="17">
        <v>45139</v>
      </c>
      <c r="AX444" s="60" t="s">
        <v>2941</v>
      </c>
      <c r="BA444" s="96">
        <v>700</v>
      </c>
      <c r="BB444" s="56"/>
      <c r="BD444" s="9"/>
      <c r="CS444" s="11">
        <f t="shared" si="37"/>
        <v>700</v>
      </c>
      <c r="CT444" s="22">
        <f t="shared" si="38"/>
        <v>700</v>
      </c>
      <c r="CU444" s="22">
        <f t="shared" si="35"/>
        <v>0</v>
      </c>
      <c r="CV444" s="26">
        <f t="shared" si="39"/>
        <v>0</v>
      </c>
    </row>
    <row r="445" spans="1:101" ht="12.75" x14ac:dyDescent="0.2">
      <c r="A445" s="9" t="s">
        <v>247</v>
      </c>
      <c r="B445" s="2">
        <v>130</v>
      </c>
      <c r="C445" s="3" t="s">
        <v>95</v>
      </c>
      <c r="D445" s="3" t="s">
        <v>96</v>
      </c>
      <c r="E445" s="2"/>
      <c r="F445" s="2"/>
      <c r="G445" s="2" t="s">
        <v>82</v>
      </c>
      <c r="H445" s="2">
        <v>7</v>
      </c>
      <c r="I445" s="8">
        <v>165.5</v>
      </c>
      <c r="J445" s="8">
        <v>49999</v>
      </c>
      <c r="K445" s="3">
        <v>0</v>
      </c>
      <c r="L445" s="3" t="s">
        <v>3</v>
      </c>
      <c r="M445" s="9" t="s">
        <v>0</v>
      </c>
      <c r="N445" s="9" t="s">
        <v>14</v>
      </c>
      <c r="O445" s="9" t="s">
        <v>248</v>
      </c>
      <c r="P445" s="9" t="s">
        <v>0</v>
      </c>
      <c r="Q445" s="30" t="s">
        <v>249</v>
      </c>
      <c r="R445" s="9" t="s">
        <v>250</v>
      </c>
      <c r="S445" s="9" t="s">
        <v>158</v>
      </c>
      <c r="T445" s="10" t="s">
        <v>82</v>
      </c>
      <c r="U445" s="10">
        <v>7</v>
      </c>
      <c r="V445" s="10">
        <v>165.5</v>
      </c>
      <c r="W445" s="10" t="s">
        <v>710</v>
      </c>
      <c r="X445" s="17">
        <v>44629</v>
      </c>
      <c r="Y445" s="17">
        <v>44629</v>
      </c>
      <c r="Z445" s="19" t="s">
        <v>772</v>
      </c>
      <c r="AA445" s="210">
        <v>45000</v>
      </c>
      <c r="AB445" s="9">
        <v>38</v>
      </c>
      <c r="AC445" s="9">
        <v>8</v>
      </c>
      <c r="AD445" s="17">
        <v>44742</v>
      </c>
      <c r="AE445" s="56">
        <v>700</v>
      </c>
      <c r="AF445" s="56"/>
      <c r="AH445" s="17">
        <v>45177</v>
      </c>
      <c r="AI445" s="30" t="s">
        <v>14</v>
      </c>
      <c r="AJ445" s="9" t="s">
        <v>2882</v>
      </c>
      <c r="AK445" s="9" t="s">
        <v>2886</v>
      </c>
      <c r="AL445" s="11">
        <v>700</v>
      </c>
      <c r="AN445" s="11" t="s">
        <v>2893</v>
      </c>
      <c r="AP445" s="11"/>
      <c r="AQ445" s="11"/>
      <c r="AR445" s="11"/>
      <c r="AW445" s="17">
        <v>45169</v>
      </c>
      <c r="AX445" s="60">
        <v>1861</v>
      </c>
      <c r="BA445" s="96">
        <v>700</v>
      </c>
      <c r="BB445" s="56"/>
      <c r="BD445" s="9"/>
      <c r="CS445" s="11">
        <f t="shared" si="37"/>
        <v>700</v>
      </c>
      <c r="CT445" s="22">
        <f t="shared" si="38"/>
        <v>700</v>
      </c>
      <c r="CU445" s="22">
        <f t="shared" si="35"/>
        <v>0</v>
      </c>
      <c r="CV445" s="26">
        <f t="shared" si="39"/>
        <v>0</v>
      </c>
    </row>
    <row r="446" spans="1:101" ht="12.75" x14ac:dyDescent="0.2">
      <c r="A446" s="9" t="s">
        <v>247</v>
      </c>
      <c r="B446" s="2">
        <v>130</v>
      </c>
      <c r="C446" s="3" t="s">
        <v>95</v>
      </c>
      <c r="D446" s="3" t="s">
        <v>96</v>
      </c>
      <c r="E446" s="2"/>
      <c r="F446" s="2"/>
      <c r="G446" s="2" t="s">
        <v>82</v>
      </c>
      <c r="H446" s="2">
        <v>7</v>
      </c>
      <c r="I446" s="8">
        <v>165.5</v>
      </c>
      <c r="J446" s="8">
        <v>49999</v>
      </c>
      <c r="K446" s="3">
        <v>0</v>
      </c>
      <c r="L446" s="3" t="s">
        <v>3</v>
      </c>
      <c r="M446" s="9" t="s">
        <v>0</v>
      </c>
      <c r="N446" s="9" t="s">
        <v>14</v>
      </c>
      <c r="O446" s="9" t="s">
        <v>248</v>
      </c>
      <c r="P446" s="9" t="s">
        <v>0</v>
      </c>
      <c r="Q446" s="30" t="s">
        <v>249</v>
      </c>
      <c r="R446" s="9" t="s">
        <v>250</v>
      </c>
      <c r="S446" s="9" t="s">
        <v>158</v>
      </c>
      <c r="T446" s="10" t="s">
        <v>82</v>
      </c>
      <c r="U446" s="10">
        <v>7</v>
      </c>
      <c r="V446" s="10">
        <v>165.5</v>
      </c>
      <c r="W446" s="10" t="s">
        <v>710</v>
      </c>
      <c r="X446" s="17">
        <v>44629</v>
      </c>
      <c r="Y446" s="17">
        <v>44629</v>
      </c>
      <c r="Z446" s="19" t="s">
        <v>772</v>
      </c>
      <c r="AA446" s="210">
        <v>45000</v>
      </c>
      <c r="AB446" s="9">
        <v>38</v>
      </c>
      <c r="AC446" s="9">
        <v>9</v>
      </c>
      <c r="AD446" s="17">
        <v>44772</v>
      </c>
      <c r="AE446" s="56">
        <v>700</v>
      </c>
      <c r="AF446" s="56"/>
      <c r="AH446" s="17">
        <v>45216</v>
      </c>
      <c r="AI446" s="30" t="s">
        <v>14</v>
      </c>
      <c r="AJ446" s="9" t="s">
        <v>2882</v>
      </c>
      <c r="AK446" s="9" t="s">
        <v>2887</v>
      </c>
      <c r="AL446" s="11">
        <v>700</v>
      </c>
      <c r="AN446" s="11" t="s">
        <v>2894</v>
      </c>
      <c r="AP446" s="11"/>
      <c r="AQ446" s="11"/>
      <c r="AR446" s="11"/>
      <c r="AW446" s="17">
        <v>45205</v>
      </c>
      <c r="AX446" s="60">
        <v>1958</v>
      </c>
      <c r="BA446" s="96">
        <v>700</v>
      </c>
      <c r="BB446" s="56"/>
      <c r="BC446" s="17"/>
      <c r="BD446" s="9"/>
      <c r="CS446" s="11">
        <f t="shared" si="37"/>
        <v>700</v>
      </c>
      <c r="CT446" s="22">
        <f t="shared" si="38"/>
        <v>700</v>
      </c>
      <c r="CU446" s="22">
        <f t="shared" si="35"/>
        <v>0</v>
      </c>
      <c r="CV446" s="26">
        <f t="shared" si="39"/>
        <v>0</v>
      </c>
    </row>
    <row r="447" spans="1:101" ht="12.75" x14ac:dyDescent="0.2">
      <c r="A447" s="9" t="s">
        <v>247</v>
      </c>
      <c r="B447" s="2">
        <v>130</v>
      </c>
      <c r="C447" s="3" t="s">
        <v>95</v>
      </c>
      <c r="D447" s="3" t="s">
        <v>96</v>
      </c>
      <c r="E447" s="2"/>
      <c r="F447" s="2"/>
      <c r="G447" s="2" t="s">
        <v>82</v>
      </c>
      <c r="H447" s="2">
        <v>7</v>
      </c>
      <c r="I447" s="8">
        <v>165.5</v>
      </c>
      <c r="J447" s="8">
        <v>49999</v>
      </c>
      <c r="K447" s="3">
        <v>0</v>
      </c>
      <c r="L447" s="3" t="s">
        <v>3</v>
      </c>
      <c r="M447" s="9" t="s">
        <v>0</v>
      </c>
      <c r="N447" s="9" t="s">
        <v>14</v>
      </c>
      <c r="O447" s="9" t="s">
        <v>248</v>
      </c>
      <c r="P447" s="9" t="s">
        <v>0</v>
      </c>
      <c r="Q447" s="30" t="s">
        <v>249</v>
      </c>
      <c r="R447" s="9" t="s">
        <v>250</v>
      </c>
      <c r="S447" s="9" t="s">
        <v>158</v>
      </c>
      <c r="T447" s="10" t="s">
        <v>82</v>
      </c>
      <c r="U447" s="10">
        <v>7</v>
      </c>
      <c r="V447" s="10">
        <v>165.5</v>
      </c>
      <c r="W447" s="10" t="s">
        <v>710</v>
      </c>
      <c r="X447" s="17">
        <v>44629</v>
      </c>
      <c r="Y447" s="17">
        <v>44629</v>
      </c>
      <c r="Z447" s="19" t="s">
        <v>772</v>
      </c>
      <c r="AA447" s="210">
        <v>45000</v>
      </c>
      <c r="AB447" s="9">
        <v>38</v>
      </c>
      <c r="AC447" s="9">
        <v>10</v>
      </c>
      <c r="AD447" s="17">
        <v>44803</v>
      </c>
      <c r="AE447" s="56">
        <v>700</v>
      </c>
      <c r="AF447" s="56"/>
      <c r="AH447" s="17">
        <v>45236</v>
      </c>
      <c r="AI447" s="30" t="s">
        <v>14</v>
      </c>
      <c r="AJ447" s="9" t="s">
        <v>2882</v>
      </c>
      <c r="AK447" s="9" t="s">
        <v>2888</v>
      </c>
      <c r="AL447" s="11">
        <v>700</v>
      </c>
      <c r="AN447" s="11" t="s">
        <v>2895</v>
      </c>
      <c r="AP447" s="11"/>
      <c r="AQ447" s="11"/>
      <c r="AR447" s="11"/>
      <c r="AW447" s="17">
        <v>45229</v>
      </c>
      <c r="AX447" s="60">
        <v>2011</v>
      </c>
      <c r="BA447" s="96">
        <v>700</v>
      </c>
      <c r="BB447" s="56"/>
      <c r="BD447" s="9"/>
      <c r="CS447" s="11">
        <f t="shared" si="37"/>
        <v>700</v>
      </c>
      <c r="CT447" s="22">
        <f t="shared" si="38"/>
        <v>700</v>
      </c>
      <c r="CU447" s="22">
        <f t="shared" si="35"/>
        <v>0</v>
      </c>
      <c r="CV447" s="26">
        <f t="shared" si="39"/>
        <v>0</v>
      </c>
    </row>
    <row r="448" spans="1:101" ht="12.75" x14ac:dyDescent="0.2">
      <c r="A448" s="9" t="s">
        <v>247</v>
      </c>
      <c r="B448" s="2">
        <v>130</v>
      </c>
      <c r="C448" s="3" t="s">
        <v>95</v>
      </c>
      <c r="D448" s="3" t="s">
        <v>96</v>
      </c>
      <c r="E448" s="2"/>
      <c r="F448" s="2"/>
      <c r="G448" s="2" t="s">
        <v>82</v>
      </c>
      <c r="H448" s="2">
        <v>7</v>
      </c>
      <c r="I448" s="8">
        <v>165.5</v>
      </c>
      <c r="J448" s="8">
        <v>49999</v>
      </c>
      <c r="K448" s="3">
        <v>0</v>
      </c>
      <c r="L448" s="3" t="s">
        <v>3</v>
      </c>
      <c r="M448" s="9" t="s">
        <v>0</v>
      </c>
      <c r="N448" s="9" t="s">
        <v>14</v>
      </c>
      <c r="O448" s="9" t="s">
        <v>248</v>
      </c>
      <c r="P448" s="9" t="s">
        <v>0</v>
      </c>
      <c r="Q448" s="30" t="s">
        <v>249</v>
      </c>
      <c r="R448" s="9" t="s">
        <v>250</v>
      </c>
      <c r="S448" s="9" t="s">
        <v>158</v>
      </c>
      <c r="T448" s="10" t="s">
        <v>82</v>
      </c>
      <c r="U448" s="10">
        <v>7</v>
      </c>
      <c r="V448" s="10">
        <v>165.5</v>
      </c>
      <c r="W448" s="10" t="s">
        <v>710</v>
      </c>
      <c r="X448" s="17">
        <v>44629</v>
      </c>
      <c r="Y448" s="17">
        <v>44629</v>
      </c>
      <c r="Z448" s="19" t="s">
        <v>772</v>
      </c>
      <c r="AA448" s="210">
        <v>45000</v>
      </c>
      <c r="AB448" s="9">
        <v>38</v>
      </c>
      <c r="AC448" s="9">
        <v>11</v>
      </c>
      <c r="AD448" s="17">
        <v>44834</v>
      </c>
      <c r="AE448" s="56">
        <v>700</v>
      </c>
      <c r="AF448" s="56"/>
      <c r="AH448" s="17">
        <v>45267</v>
      </c>
      <c r="AI448" s="30" t="s">
        <v>14</v>
      </c>
      <c r="AJ448" s="9" t="s">
        <v>2882</v>
      </c>
      <c r="AK448" s="9" t="s">
        <v>2889</v>
      </c>
      <c r="AL448" s="11">
        <v>700</v>
      </c>
      <c r="AN448" s="11" t="s">
        <v>2896</v>
      </c>
      <c r="AP448" s="11"/>
      <c r="AQ448" s="11"/>
      <c r="AR448" s="11"/>
      <c r="AW448" s="17">
        <v>45265</v>
      </c>
      <c r="AX448" s="60">
        <v>2102</v>
      </c>
      <c r="BA448" s="96">
        <v>700</v>
      </c>
      <c r="BB448" s="56"/>
      <c r="BD448" s="9"/>
      <c r="CS448" s="11">
        <f t="shared" si="37"/>
        <v>700</v>
      </c>
      <c r="CT448" s="22">
        <f t="shared" si="38"/>
        <v>700</v>
      </c>
      <c r="CU448" s="22">
        <f t="shared" si="35"/>
        <v>0</v>
      </c>
      <c r="CV448" s="26">
        <f t="shared" si="39"/>
        <v>0</v>
      </c>
    </row>
    <row r="449" spans="1:100" ht="12.75" x14ac:dyDescent="0.2">
      <c r="A449" s="9" t="s">
        <v>247</v>
      </c>
      <c r="B449" s="2">
        <v>130</v>
      </c>
      <c r="C449" s="3" t="s">
        <v>95</v>
      </c>
      <c r="D449" s="3" t="s">
        <v>96</v>
      </c>
      <c r="E449" s="2"/>
      <c r="F449" s="2"/>
      <c r="G449" s="2" t="s">
        <v>82</v>
      </c>
      <c r="H449" s="2">
        <v>7</v>
      </c>
      <c r="I449" s="8">
        <v>165.5</v>
      </c>
      <c r="J449" s="8">
        <v>49999</v>
      </c>
      <c r="K449" s="3">
        <v>0</v>
      </c>
      <c r="L449" s="3" t="s">
        <v>3</v>
      </c>
      <c r="M449" s="9" t="s">
        <v>0</v>
      </c>
      <c r="N449" s="9" t="s">
        <v>14</v>
      </c>
      <c r="O449" s="9" t="s">
        <v>248</v>
      </c>
      <c r="P449" s="9" t="s">
        <v>0</v>
      </c>
      <c r="Q449" s="30" t="s">
        <v>249</v>
      </c>
      <c r="R449" s="9" t="s">
        <v>250</v>
      </c>
      <c r="S449" s="9" t="s">
        <v>158</v>
      </c>
      <c r="T449" s="10" t="s">
        <v>82</v>
      </c>
      <c r="U449" s="10">
        <v>7</v>
      </c>
      <c r="V449" s="10">
        <v>165.5</v>
      </c>
      <c r="W449" s="10" t="s">
        <v>710</v>
      </c>
      <c r="X449" s="17">
        <v>44629</v>
      </c>
      <c r="Y449" s="17">
        <v>44629</v>
      </c>
      <c r="Z449" s="19" t="s">
        <v>772</v>
      </c>
      <c r="AA449" s="210">
        <v>45000</v>
      </c>
      <c r="AB449" s="9">
        <v>38</v>
      </c>
      <c r="AC449" s="9">
        <v>12</v>
      </c>
      <c r="AD449" s="17">
        <v>44864</v>
      </c>
      <c r="AE449" s="56">
        <v>700</v>
      </c>
      <c r="AF449" s="56"/>
      <c r="AH449" s="17">
        <v>45302</v>
      </c>
      <c r="AI449" s="30" t="s">
        <v>14</v>
      </c>
      <c r="AJ449" s="9" t="s">
        <v>2882</v>
      </c>
      <c r="AK449" s="9" t="s">
        <v>2897</v>
      </c>
      <c r="AL449" s="11">
        <v>700.76</v>
      </c>
      <c r="AN449" s="11" t="s">
        <v>2909</v>
      </c>
      <c r="AP449" s="11"/>
      <c r="AQ449" s="11"/>
      <c r="AR449" s="11"/>
      <c r="AW449" s="17">
        <v>45294</v>
      </c>
      <c r="AX449" s="60">
        <v>2180</v>
      </c>
      <c r="BA449" s="96">
        <v>700</v>
      </c>
      <c r="BB449" s="56"/>
      <c r="BD449" s="9"/>
      <c r="CS449" s="11">
        <f t="shared" si="37"/>
        <v>700.76</v>
      </c>
      <c r="CT449" s="22">
        <f t="shared" si="38"/>
        <v>700</v>
      </c>
      <c r="CU449" s="22">
        <f t="shared" si="35"/>
        <v>0.75999999999999091</v>
      </c>
      <c r="CV449" s="26">
        <f t="shared" si="39"/>
        <v>-0.75999999999999091</v>
      </c>
    </row>
    <row r="450" spans="1:100" ht="12.75" x14ac:dyDescent="0.2">
      <c r="A450" s="9" t="s">
        <v>247</v>
      </c>
      <c r="B450" s="2">
        <v>130</v>
      </c>
      <c r="C450" s="3" t="s">
        <v>95</v>
      </c>
      <c r="D450" s="3" t="s">
        <v>96</v>
      </c>
      <c r="E450" s="2"/>
      <c r="F450" s="2"/>
      <c r="G450" s="2" t="s">
        <v>82</v>
      </c>
      <c r="H450" s="2">
        <v>7</v>
      </c>
      <c r="I450" s="8">
        <v>165.5</v>
      </c>
      <c r="J450" s="8">
        <v>49999</v>
      </c>
      <c r="K450" s="3">
        <v>0</v>
      </c>
      <c r="L450" s="3" t="s">
        <v>3</v>
      </c>
      <c r="M450" s="9" t="s">
        <v>0</v>
      </c>
      <c r="N450" s="9" t="s">
        <v>14</v>
      </c>
      <c r="O450" s="9" t="s">
        <v>248</v>
      </c>
      <c r="P450" s="9" t="s">
        <v>0</v>
      </c>
      <c r="Q450" s="30" t="s">
        <v>249</v>
      </c>
      <c r="R450" s="9" t="s">
        <v>250</v>
      </c>
      <c r="S450" s="9" t="s">
        <v>158</v>
      </c>
      <c r="T450" s="10" t="s">
        <v>82</v>
      </c>
      <c r="U450" s="10">
        <v>7</v>
      </c>
      <c r="V450" s="10">
        <v>165.5</v>
      </c>
      <c r="W450" s="10" t="s">
        <v>710</v>
      </c>
      <c r="X450" s="17">
        <v>44629</v>
      </c>
      <c r="Y450" s="17">
        <v>44629</v>
      </c>
      <c r="Z450" s="19" t="s">
        <v>772</v>
      </c>
      <c r="AA450" s="210">
        <v>45000</v>
      </c>
      <c r="AB450" s="9">
        <v>38</v>
      </c>
      <c r="AC450" s="9">
        <v>13</v>
      </c>
      <c r="AD450" s="17">
        <v>44895</v>
      </c>
      <c r="AE450" s="56">
        <v>700</v>
      </c>
      <c r="AF450" s="56"/>
      <c r="AH450" s="17">
        <v>45334</v>
      </c>
      <c r="AI450" s="30" t="s">
        <v>14</v>
      </c>
      <c r="AJ450" s="9" t="s">
        <v>2882</v>
      </c>
      <c r="AK450" s="9" t="s">
        <v>2898</v>
      </c>
      <c r="AL450" s="11">
        <v>700</v>
      </c>
      <c r="AN450" s="11" t="s">
        <v>2910</v>
      </c>
      <c r="AP450" s="11"/>
      <c r="AQ450" s="11"/>
      <c r="AR450" s="11"/>
      <c r="AW450" s="17">
        <v>45327</v>
      </c>
      <c r="AX450" s="60">
        <v>2289</v>
      </c>
      <c r="BA450" s="96">
        <v>700</v>
      </c>
      <c r="BB450" s="56"/>
      <c r="BD450" s="9"/>
      <c r="CS450" s="11">
        <f t="shared" si="37"/>
        <v>700</v>
      </c>
      <c r="CT450" s="22">
        <f t="shared" si="38"/>
        <v>700</v>
      </c>
      <c r="CU450" s="22">
        <f t="shared" si="35"/>
        <v>0</v>
      </c>
      <c r="CV450" s="26">
        <f t="shared" si="39"/>
        <v>0</v>
      </c>
    </row>
    <row r="451" spans="1:100" ht="12.75" x14ac:dyDescent="0.2">
      <c r="A451" s="9" t="s">
        <v>247</v>
      </c>
      <c r="B451" s="2">
        <v>130</v>
      </c>
      <c r="C451" s="3" t="s">
        <v>95</v>
      </c>
      <c r="D451" s="3" t="s">
        <v>96</v>
      </c>
      <c r="E451" s="2"/>
      <c r="F451" s="2"/>
      <c r="G451" s="2" t="s">
        <v>82</v>
      </c>
      <c r="H451" s="2">
        <v>7</v>
      </c>
      <c r="I451" s="8">
        <v>165.5</v>
      </c>
      <c r="J451" s="8">
        <v>49999</v>
      </c>
      <c r="K451" s="3">
        <v>0</v>
      </c>
      <c r="L451" s="3" t="s">
        <v>3</v>
      </c>
      <c r="M451" s="9" t="s">
        <v>0</v>
      </c>
      <c r="N451" s="9" t="s">
        <v>14</v>
      </c>
      <c r="O451" s="9" t="s">
        <v>248</v>
      </c>
      <c r="P451" s="9" t="s">
        <v>0</v>
      </c>
      <c r="Q451" s="30" t="s">
        <v>249</v>
      </c>
      <c r="R451" s="9" t="s">
        <v>250</v>
      </c>
      <c r="S451" s="9" t="s">
        <v>158</v>
      </c>
      <c r="T451" s="10" t="s">
        <v>82</v>
      </c>
      <c r="U451" s="10">
        <v>7</v>
      </c>
      <c r="V451" s="10">
        <v>165.5</v>
      </c>
      <c r="W451" s="10" t="s">
        <v>710</v>
      </c>
      <c r="X451" s="17">
        <v>44629</v>
      </c>
      <c r="Y451" s="17">
        <v>44629</v>
      </c>
      <c r="Z451" s="19" t="s">
        <v>772</v>
      </c>
      <c r="AA451" s="210">
        <v>45000</v>
      </c>
      <c r="AB451" s="9">
        <v>38</v>
      </c>
      <c r="AC451" s="9">
        <v>14</v>
      </c>
      <c r="AD451" s="17">
        <v>44925</v>
      </c>
      <c r="AE451" s="56">
        <v>700</v>
      </c>
      <c r="AF451" s="56"/>
      <c r="AH451" s="17">
        <v>45358</v>
      </c>
      <c r="AI451" s="30" t="s">
        <v>14</v>
      </c>
      <c r="AJ451" s="9" t="s">
        <v>2882</v>
      </c>
      <c r="AK451" s="9" t="s">
        <v>2899</v>
      </c>
      <c r="AL451" s="11">
        <v>700</v>
      </c>
      <c r="AN451" s="11" t="s">
        <v>2911</v>
      </c>
      <c r="AP451" s="11"/>
      <c r="AQ451" s="11"/>
      <c r="AR451" s="11"/>
      <c r="AW451" s="17">
        <v>45355</v>
      </c>
      <c r="AX451" s="60">
        <v>2396</v>
      </c>
      <c r="BA451" s="96">
        <v>700</v>
      </c>
      <c r="BB451" s="56"/>
      <c r="BD451" s="9"/>
      <c r="CS451" s="11">
        <f t="shared" si="37"/>
        <v>700</v>
      </c>
      <c r="CT451" s="22">
        <f t="shared" si="38"/>
        <v>700</v>
      </c>
      <c r="CU451" s="22">
        <f t="shared" si="35"/>
        <v>0</v>
      </c>
      <c r="CV451" s="26">
        <f t="shared" si="39"/>
        <v>0</v>
      </c>
    </row>
    <row r="452" spans="1:100" ht="12.75" x14ac:dyDescent="0.2">
      <c r="A452" s="9" t="s">
        <v>247</v>
      </c>
      <c r="B452" s="2">
        <v>130</v>
      </c>
      <c r="C452" s="3" t="s">
        <v>95</v>
      </c>
      <c r="D452" s="3" t="s">
        <v>96</v>
      </c>
      <c r="E452" s="2"/>
      <c r="F452" s="2"/>
      <c r="G452" s="2" t="s">
        <v>82</v>
      </c>
      <c r="H452" s="2">
        <v>7</v>
      </c>
      <c r="I452" s="8">
        <v>165.5</v>
      </c>
      <c r="J452" s="8">
        <v>49999</v>
      </c>
      <c r="K452" s="3">
        <v>0</v>
      </c>
      <c r="L452" s="3" t="s">
        <v>3</v>
      </c>
      <c r="M452" s="9" t="s">
        <v>0</v>
      </c>
      <c r="N452" s="9" t="s">
        <v>14</v>
      </c>
      <c r="O452" s="9" t="s">
        <v>248</v>
      </c>
      <c r="P452" s="9" t="s">
        <v>0</v>
      </c>
      <c r="Q452" s="30" t="s">
        <v>249</v>
      </c>
      <c r="R452" s="9" t="s">
        <v>250</v>
      </c>
      <c r="S452" s="9" t="s">
        <v>158</v>
      </c>
      <c r="T452" s="10" t="s">
        <v>82</v>
      </c>
      <c r="U452" s="10">
        <v>7</v>
      </c>
      <c r="V452" s="10">
        <v>165.5</v>
      </c>
      <c r="W452" s="10" t="s">
        <v>710</v>
      </c>
      <c r="X452" s="17">
        <v>44629</v>
      </c>
      <c r="Y452" s="17">
        <v>44629</v>
      </c>
      <c r="Z452" s="19" t="s">
        <v>772</v>
      </c>
      <c r="AA452" s="210">
        <v>45000</v>
      </c>
      <c r="AB452" s="9">
        <v>38</v>
      </c>
      <c r="AC452" s="9">
        <v>15</v>
      </c>
      <c r="AD452" s="17">
        <v>44956</v>
      </c>
      <c r="AE452" s="56">
        <v>700</v>
      </c>
      <c r="AF452" s="56"/>
      <c r="AH452" s="17">
        <v>45385</v>
      </c>
      <c r="AI452" s="30" t="s">
        <v>14</v>
      </c>
      <c r="AJ452" s="9" t="s">
        <v>2882</v>
      </c>
      <c r="AK452" s="9" t="s">
        <v>2900</v>
      </c>
      <c r="AL452" s="11">
        <v>700</v>
      </c>
      <c r="AN452" s="11" t="s">
        <v>2912</v>
      </c>
      <c r="AP452" s="11"/>
      <c r="AQ452" s="11"/>
      <c r="AR452" s="11"/>
      <c r="AW452" s="17">
        <v>45383</v>
      </c>
      <c r="AX452" s="60" t="s">
        <v>2942</v>
      </c>
      <c r="BA452" s="96">
        <v>700</v>
      </c>
      <c r="BB452" s="56"/>
      <c r="BD452" s="9"/>
      <c r="CS452" s="11">
        <f t="shared" si="37"/>
        <v>700</v>
      </c>
      <c r="CT452" s="22">
        <f t="shared" si="38"/>
        <v>700</v>
      </c>
      <c r="CU452" s="22">
        <f t="shared" si="35"/>
        <v>0</v>
      </c>
      <c r="CV452" s="26">
        <f t="shared" si="39"/>
        <v>0</v>
      </c>
    </row>
    <row r="453" spans="1:100" ht="12.75" x14ac:dyDescent="0.2">
      <c r="A453" s="9" t="s">
        <v>247</v>
      </c>
      <c r="B453" s="2">
        <v>130</v>
      </c>
      <c r="C453" s="3" t="s">
        <v>95</v>
      </c>
      <c r="D453" s="3" t="s">
        <v>96</v>
      </c>
      <c r="E453" s="2"/>
      <c r="F453" s="2"/>
      <c r="G453" s="2" t="s">
        <v>82</v>
      </c>
      <c r="H453" s="2">
        <v>7</v>
      </c>
      <c r="I453" s="8">
        <v>165.5</v>
      </c>
      <c r="J453" s="8">
        <v>49999</v>
      </c>
      <c r="K453" s="3">
        <v>0</v>
      </c>
      <c r="L453" s="3" t="s">
        <v>3</v>
      </c>
      <c r="M453" s="9" t="s">
        <v>0</v>
      </c>
      <c r="N453" s="9" t="s">
        <v>14</v>
      </c>
      <c r="O453" s="9" t="s">
        <v>248</v>
      </c>
      <c r="P453" s="9" t="s">
        <v>0</v>
      </c>
      <c r="Q453" s="30" t="s">
        <v>249</v>
      </c>
      <c r="R453" s="9" t="s">
        <v>250</v>
      </c>
      <c r="S453" s="9" t="s">
        <v>158</v>
      </c>
      <c r="T453" s="10" t="s">
        <v>82</v>
      </c>
      <c r="U453" s="10">
        <v>7</v>
      </c>
      <c r="V453" s="10">
        <v>165.5</v>
      </c>
      <c r="W453" s="10" t="s">
        <v>710</v>
      </c>
      <c r="X453" s="17">
        <v>44629</v>
      </c>
      <c r="Y453" s="17">
        <v>44629</v>
      </c>
      <c r="Z453" s="19" t="s">
        <v>772</v>
      </c>
      <c r="AA453" s="210">
        <v>45000</v>
      </c>
      <c r="AB453" s="9">
        <v>38</v>
      </c>
      <c r="AC453" s="9">
        <v>16</v>
      </c>
      <c r="AD453" s="17">
        <v>44985</v>
      </c>
      <c r="AE453" s="56">
        <v>700</v>
      </c>
      <c r="AF453" s="56"/>
      <c r="AH453" s="17">
        <v>45420</v>
      </c>
      <c r="AI453" s="30" t="s">
        <v>14</v>
      </c>
      <c r="AJ453" s="9" t="s">
        <v>2882</v>
      </c>
      <c r="AK453" s="9" t="s">
        <v>2901</v>
      </c>
      <c r="AL453" s="11">
        <v>700</v>
      </c>
      <c r="AN453" s="11" t="s">
        <v>2913</v>
      </c>
      <c r="AP453" s="11"/>
      <c r="AQ453" s="11"/>
      <c r="AR453" s="11"/>
      <c r="AW453" s="17">
        <v>45419</v>
      </c>
      <c r="AX453" s="60">
        <v>2630</v>
      </c>
      <c r="BA453" s="96">
        <v>700</v>
      </c>
      <c r="BB453" s="56"/>
      <c r="BD453" s="9"/>
      <c r="CS453" s="11">
        <f t="shared" si="37"/>
        <v>700</v>
      </c>
      <c r="CT453" s="22">
        <f t="shared" si="38"/>
        <v>700</v>
      </c>
      <c r="CU453" s="22">
        <f t="shared" si="35"/>
        <v>0</v>
      </c>
      <c r="CV453" s="26">
        <f t="shared" si="39"/>
        <v>0</v>
      </c>
    </row>
    <row r="454" spans="1:100" ht="12.75" x14ac:dyDescent="0.2">
      <c r="A454" s="9" t="s">
        <v>247</v>
      </c>
      <c r="B454" s="2">
        <v>130</v>
      </c>
      <c r="C454" s="3" t="s">
        <v>95</v>
      </c>
      <c r="D454" s="3" t="s">
        <v>96</v>
      </c>
      <c r="E454" s="2"/>
      <c r="F454" s="2"/>
      <c r="G454" s="2" t="s">
        <v>82</v>
      </c>
      <c r="H454" s="2">
        <v>7</v>
      </c>
      <c r="I454" s="8">
        <v>165.5</v>
      </c>
      <c r="J454" s="8">
        <v>49999</v>
      </c>
      <c r="K454" s="3">
        <v>0</v>
      </c>
      <c r="L454" s="3" t="s">
        <v>3</v>
      </c>
      <c r="M454" s="9" t="s">
        <v>0</v>
      </c>
      <c r="N454" s="9" t="s">
        <v>14</v>
      </c>
      <c r="O454" s="9" t="s">
        <v>248</v>
      </c>
      <c r="P454" s="9" t="s">
        <v>0</v>
      </c>
      <c r="Q454" s="30" t="s">
        <v>249</v>
      </c>
      <c r="R454" s="9" t="s">
        <v>250</v>
      </c>
      <c r="S454" s="9" t="s">
        <v>158</v>
      </c>
      <c r="T454" s="10" t="s">
        <v>82</v>
      </c>
      <c r="U454" s="10">
        <v>7</v>
      </c>
      <c r="V454" s="10">
        <v>165.5</v>
      </c>
      <c r="W454" s="10" t="s">
        <v>710</v>
      </c>
      <c r="X454" s="17">
        <v>44629</v>
      </c>
      <c r="Y454" s="17">
        <v>44629</v>
      </c>
      <c r="Z454" s="19" t="s">
        <v>772</v>
      </c>
      <c r="AA454" s="210">
        <v>45000</v>
      </c>
      <c r="AB454" s="9">
        <v>38</v>
      </c>
      <c r="AC454" s="9">
        <v>17</v>
      </c>
      <c r="AD454" s="17">
        <v>45015</v>
      </c>
      <c r="AE454" s="56">
        <v>700</v>
      </c>
      <c r="AF454" s="56"/>
      <c r="AH454" s="17">
        <v>45456</v>
      </c>
      <c r="AI454" s="30" t="s">
        <v>14</v>
      </c>
      <c r="AJ454" s="9" t="s">
        <v>2882</v>
      </c>
      <c r="AK454" s="9" t="s">
        <v>2902</v>
      </c>
      <c r="AL454" s="11">
        <v>700</v>
      </c>
      <c r="AN454" s="11" t="s">
        <v>2914</v>
      </c>
      <c r="AP454" s="11"/>
      <c r="AQ454" s="11"/>
      <c r="AR454" s="11"/>
      <c r="AW454" s="17">
        <v>45456</v>
      </c>
      <c r="AX454" s="60">
        <v>2781</v>
      </c>
      <c r="BA454" s="96">
        <v>700</v>
      </c>
      <c r="BB454" s="56"/>
      <c r="BD454" s="9"/>
      <c r="CS454" s="11">
        <f t="shared" si="37"/>
        <v>700</v>
      </c>
      <c r="CT454" s="22">
        <f t="shared" si="38"/>
        <v>700</v>
      </c>
      <c r="CU454" s="22">
        <f t="shared" si="35"/>
        <v>0</v>
      </c>
      <c r="CV454" s="26">
        <f t="shared" si="39"/>
        <v>0</v>
      </c>
    </row>
    <row r="455" spans="1:100" ht="12.75" x14ac:dyDescent="0.2">
      <c r="A455" s="9" t="s">
        <v>247</v>
      </c>
      <c r="B455" s="2">
        <v>130</v>
      </c>
      <c r="C455" s="3" t="s">
        <v>95</v>
      </c>
      <c r="D455" s="3" t="s">
        <v>96</v>
      </c>
      <c r="E455" s="2"/>
      <c r="F455" s="2"/>
      <c r="G455" s="2" t="s">
        <v>82</v>
      </c>
      <c r="H455" s="2">
        <v>7</v>
      </c>
      <c r="I455" s="8">
        <v>165.5</v>
      </c>
      <c r="J455" s="8">
        <v>49999</v>
      </c>
      <c r="K455" s="3">
        <v>0</v>
      </c>
      <c r="L455" s="3" t="s">
        <v>3</v>
      </c>
      <c r="M455" s="9" t="s">
        <v>0</v>
      </c>
      <c r="N455" s="9" t="s">
        <v>14</v>
      </c>
      <c r="O455" s="9" t="s">
        <v>248</v>
      </c>
      <c r="P455" s="9" t="s">
        <v>0</v>
      </c>
      <c r="Q455" s="30" t="s">
        <v>249</v>
      </c>
      <c r="R455" s="9" t="s">
        <v>250</v>
      </c>
      <c r="S455" s="9" t="s">
        <v>158</v>
      </c>
      <c r="T455" s="10" t="s">
        <v>82</v>
      </c>
      <c r="U455" s="10">
        <v>7</v>
      </c>
      <c r="V455" s="10">
        <v>165.5</v>
      </c>
      <c r="W455" s="10" t="s">
        <v>710</v>
      </c>
      <c r="X455" s="17">
        <v>44629</v>
      </c>
      <c r="Y455" s="17">
        <v>44629</v>
      </c>
      <c r="Z455" s="19" t="s">
        <v>772</v>
      </c>
      <c r="AA455" s="210">
        <v>45000</v>
      </c>
      <c r="AB455" s="9">
        <v>38</v>
      </c>
      <c r="AC455" s="9">
        <v>18</v>
      </c>
      <c r="AD455" s="17">
        <v>45046</v>
      </c>
      <c r="AE455" s="56">
        <v>700</v>
      </c>
      <c r="AF455" s="56"/>
      <c r="AH455" s="17">
        <v>45483</v>
      </c>
      <c r="AI455" s="30" t="s">
        <v>14</v>
      </c>
      <c r="AJ455" s="9" t="s">
        <v>2882</v>
      </c>
      <c r="AK455" s="9" t="s">
        <v>2903</v>
      </c>
      <c r="AL455" s="11">
        <v>700</v>
      </c>
      <c r="AN455" s="11" t="s">
        <v>2915</v>
      </c>
      <c r="AP455" s="11"/>
      <c r="AQ455" s="11"/>
      <c r="AR455" s="11"/>
      <c r="AW455" s="17">
        <v>45482</v>
      </c>
      <c r="AX455" s="60">
        <v>2887</v>
      </c>
      <c r="BA455" s="96">
        <v>700</v>
      </c>
      <c r="BB455" s="56"/>
      <c r="BD455" s="9"/>
      <c r="CS455" s="11">
        <f t="shared" si="37"/>
        <v>700</v>
      </c>
      <c r="CT455" s="22">
        <f t="shared" si="38"/>
        <v>700</v>
      </c>
      <c r="CU455" s="22">
        <f t="shared" si="35"/>
        <v>0</v>
      </c>
      <c r="CV455" s="26">
        <f t="shared" si="39"/>
        <v>0</v>
      </c>
    </row>
    <row r="456" spans="1:100" ht="12.75" x14ac:dyDescent="0.2">
      <c r="A456" s="9" t="s">
        <v>247</v>
      </c>
      <c r="B456" s="2">
        <v>130</v>
      </c>
      <c r="C456" s="3" t="s">
        <v>95</v>
      </c>
      <c r="D456" s="3" t="s">
        <v>96</v>
      </c>
      <c r="E456" s="2"/>
      <c r="F456" s="2"/>
      <c r="G456" s="2" t="s">
        <v>82</v>
      </c>
      <c r="H456" s="2">
        <v>7</v>
      </c>
      <c r="I456" s="8">
        <v>165.5</v>
      </c>
      <c r="J456" s="8">
        <v>49999</v>
      </c>
      <c r="K456" s="3">
        <v>0</v>
      </c>
      <c r="L456" s="3" t="s">
        <v>3</v>
      </c>
      <c r="M456" s="9" t="s">
        <v>0</v>
      </c>
      <c r="N456" s="9" t="s">
        <v>14</v>
      </c>
      <c r="O456" s="9" t="s">
        <v>248</v>
      </c>
      <c r="P456" s="9" t="s">
        <v>0</v>
      </c>
      <c r="Q456" s="30" t="s">
        <v>249</v>
      </c>
      <c r="R456" s="9" t="s">
        <v>250</v>
      </c>
      <c r="S456" s="9" t="s">
        <v>158</v>
      </c>
      <c r="T456" s="10" t="s">
        <v>82</v>
      </c>
      <c r="U456" s="10">
        <v>7</v>
      </c>
      <c r="V456" s="10">
        <v>165.5</v>
      </c>
      <c r="W456" s="10" t="s">
        <v>710</v>
      </c>
      <c r="X456" s="17">
        <v>44629</v>
      </c>
      <c r="Y456" s="17">
        <v>44629</v>
      </c>
      <c r="Z456" s="19" t="s">
        <v>772</v>
      </c>
      <c r="AA456" s="210">
        <v>45000</v>
      </c>
      <c r="AB456" s="9">
        <v>38</v>
      </c>
      <c r="AC456" s="9">
        <v>19</v>
      </c>
      <c r="AD456" s="17">
        <v>45076</v>
      </c>
      <c r="AE456" s="56">
        <v>700</v>
      </c>
      <c r="AF456" s="56"/>
      <c r="AH456" s="17">
        <v>45518</v>
      </c>
      <c r="AI456" s="30" t="s">
        <v>14</v>
      </c>
      <c r="AJ456" s="9" t="s">
        <v>2882</v>
      </c>
      <c r="AK456" s="9" t="s">
        <v>2904</v>
      </c>
      <c r="AL456" s="11">
        <v>700</v>
      </c>
      <c r="AN456" s="11" t="s">
        <v>2916</v>
      </c>
      <c r="AP456" s="11"/>
      <c r="AQ456" s="11"/>
      <c r="AR456" s="11"/>
      <c r="AW456" s="17">
        <v>45518</v>
      </c>
      <c r="AX456" s="60">
        <v>3040</v>
      </c>
      <c r="BA456" s="96">
        <v>700</v>
      </c>
      <c r="BB456" s="56"/>
      <c r="BD456" s="9"/>
      <c r="CS456" s="11">
        <f t="shared" si="37"/>
        <v>700</v>
      </c>
      <c r="CT456" s="22">
        <f t="shared" si="38"/>
        <v>700</v>
      </c>
      <c r="CU456" s="22">
        <f t="shared" si="35"/>
        <v>0</v>
      </c>
      <c r="CV456" s="26">
        <f t="shared" si="39"/>
        <v>0</v>
      </c>
    </row>
    <row r="457" spans="1:100" ht="12.75" x14ac:dyDescent="0.2">
      <c r="A457" s="9" t="s">
        <v>247</v>
      </c>
      <c r="B457" s="2">
        <v>130</v>
      </c>
      <c r="C457" s="3" t="s">
        <v>95</v>
      </c>
      <c r="D457" s="3" t="s">
        <v>96</v>
      </c>
      <c r="E457" s="2"/>
      <c r="F457" s="2"/>
      <c r="G457" s="2" t="s">
        <v>82</v>
      </c>
      <c r="H457" s="2">
        <v>7</v>
      </c>
      <c r="I457" s="8">
        <v>165.5</v>
      </c>
      <c r="J457" s="8">
        <v>49999</v>
      </c>
      <c r="K457" s="3">
        <v>0</v>
      </c>
      <c r="L457" s="3" t="s">
        <v>3</v>
      </c>
      <c r="M457" s="9" t="s">
        <v>0</v>
      </c>
      <c r="N457" s="9" t="s">
        <v>14</v>
      </c>
      <c r="O457" s="9" t="s">
        <v>248</v>
      </c>
      <c r="P457" s="9" t="s">
        <v>0</v>
      </c>
      <c r="Q457" s="30" t="s">
        <v>249</v>
      </c>
      <c r="R457" s="9" t="s">
        <v>250</v>
      </c>
      <c r="S457" s="9" t="s">
        <v>158</v>
      </c>
      <c r="T457" s="10" t="s">
        <v>82</v>
      </c>
      <c r="U457" s="10">
        <v>7</v>
      </c>
      <c r="V457" s="10">
        <v>165.5</v>
      </c>
      <c r="W457" s="10" t="s">
        <v>710</v>
      </c>
      <c r="X457" s="17">
        <v>44629</v>
      </c>
      <c r="Y457" s="17">
        <v>44629</v>
      </c>
      <c r="Z457" s="19" t="s">
        <v>772</v>
      </c>
      <c r="AA457" s="210">
        <v>45000</v>
      </c>
      <c r="AB457" s="9">
        <v>38</v>
      </c>
      <c r="AC457" s="9">
        <v>20</v>
      </c>
      <c r="AD457" s="17">
        <v>45107</v>
      </c>
      <c r="AE457" s="56">
        <v>700</v>
      </c>
      <c r="AF457" s="56"/>
      <c r="AH457" s="17">
        <v>45555</v>
      </c>
      <c r="AI457" s="30" t="s">
        <v>14</v>
      </c>
      <c r="AJ457" s="9" t="s">
        <v>2882</v>
      </c>
      <c r="AK457" s="9" t="s">
        <v>2905</v>
      </c>
      <c r="AL457" s="11">
        <v>700</v>
      </c>
      <c r="AN457" s="11" t="s">
        <v>2917</v>
      </c>
      <c r="AP457" s="11"/>
      <c r="AQ457" s="11"/>
      <c r="AR457" s="11"/>
      <c r="AW457" s="17">
        <v>45555</v>
      </c>
      <c r="AX457" s="60">
        <v>3186</v>
      </c>
      <c r="BA457" s="96">
        <v>700</v>
      </c>
      <c r="BB457" s="56"/>
      <c r="BD457" s="9"/>
      <c r="CS457" s="11">
        <f t="shared" si="37"/>
        <v>700</v>
      </c>
      <c r="CT457" s="22">
        <f t="shared" si="38"/>
        <v>700</v>
      </c>
      <c r="CU457" s="22">
        <f t="shared" si="35"/>
        <v>0</v>
      </c>
      <c r="CV457" s="26">
        <f t="shared" si="39"/>
        <v>0</v>
      </c>
    </row>
    <row r="458" spans="1:100" ht="12.75" x14ac:dyDescent="0.2">
      <c r="A458" s="9" t="s">
        <v>247</v>
      </c>
      <c r="B458" s="2">
        <v>130</v>
      </c>
      <c r="C458" s="3" t="s">
        <v>95</v>
      </c>
      <c r="D458" s="3" t="s">
        <v>96</v>
      </c>
      <c r="E458" s="2"/>
      <c r="F458" s="2"/>
      <c r="G458" s="2" t="s">
        <v>82</v>
      </c>
      <c r="H458" s="2">
        <v>7</v>
      </c>
      <c r="I458" s="8">
        <v>165.5</v>
      </c>
      <c r="J458" s="8">
        <v>49999</v>
      </c>
      <c r="K458" s="3">
        <v>0</v>
      </c>
      <c r="L458" s="3" t="s">
        <v>3</v>
      </c>
      <c r="M458" s="9" t="s">
        <v>0</v>
      </c>
      <c r="N458" s="9" t="s">
        <v>14</v>
      </c>
      <c r="O458" s="9" t="s">
        <v>248</v>
      </c>
      <c r="P458" s="9" t="s">
        <v>0</v>
      </c>
      <c r="Q458" s="30" t="s">
        <v>249</v>
      </c>
      <c r="R458" s="9" t="s">
        <v>250</v>
      </c>
      <c r="S458" s="9" t="s">
        <v>158</v>
      </c>
      <c r="T458" s="10" t="s">
        <v>82</v>
      </c>
      <c r="U458" s="10">
        <v>7</v>
      </c>
      <c r="V458" s="10">
        <v>165.5</v>
      </c>
      <c r="W458" s="10" t="s">
        <v>710</v>
      </c>
      <c r="X458" s="17">
        <v>44629</v>
      </c>
      <c r="Y458" s="17">
        <v>44629</v>
      </c>
      <c r="Z458" s="19" t="s">
        <v>772</v>
      </c>
      <c r="AA458" s="210">
        <v>45000</v>
      </c>
      <c r="AB458" s="9">
        <v>38</v>
      </c>
      <c r="AC458" s="9">
        <v>21</v>
      </c>
      <c r="AD458" s="17">
        <v>45137</v>
      </c>
      <c r="AE458" s="56">
        <v>700</v>
      </c>
      <c r="AF458" s="56"/>
      <c r="AH458" s="17">
        <v>45577</v>
      </c>
      <c r="AI458" s="30" t="s">
        <v>14</v>
      </c>
      <c r="AJ458" s="9" t="s">
        <v>2882</v>
      </c>
      <c r="AK458" s="9" t="s">
        <v>2906</v>
      </c>
      <c r="AL458" s="11">
        <v>700</v>
      </c>
      <c r="AN458" s="11" t="s">
        <v>2918</v>
      </c>
      <c r="AP458" s="11"/>
      <c r="AQ458" s="11"/>
      <c r="AR458" s="11"/>
      <c r="AW458" s="17">
        <v>45576</v>
      </c>
      <c r="AX458" s="60">
        <v>3275</v>
      </c>
      <c r="BA458" s="96">
        <v>700</v>
      </c>
      <c r="BB458" s="56"/>
      <c r="BD458" s="9"/>
      <c r="CS458" s="11">
        <f t="shared" si="37"/>
        <v>700</v>
      </c>
      <c r="CT458" s="22">
        <f t="shared" si="38"/>
        <v>700</v>
      </c>
      <c r="CU458" s="22">
        <f t="shared" si="35"/>
        <v>0</v>
      </c>
      <c r="CV458" s="26">
        <f t="shared" si="39"/>
        <v>0</v>
      </c>
    </row>
    <row r="459" spans="1:100" ht="12.75" x14ac:dyDescent="0.2">
      <c r="A459" s="9" t="s">
        <v>247</v>
      </c>
      <c r="B459" s="2">
        <v>130</v>
      </c>
      <c r="C459" s="3" t="s">
        <v>95</v>
      </c>
      <c r="D459" s="3" t="s">
        <v>96</v>
      </c>
      <c r="E459" s="2"/>
      <c r="F459" s="2"/>
      <c r="G459" s="2" t="s">
        <v>82</v>
      </c>
      <c r="H459" s="2">
        <v>7</v>
      </c>
      <c r="I459" s="8">
        <v>165.5</v>
      </c>
      <c r="J459" s="8">
        <v>49999</v>
      </c>
      <c r="K459" s="3">
        <v>0</v>
      </c>
      <c r="L459" s="3" t="s">
        <v>3</v>
      </c>
      <c r="M459" s="9" t="s">
        <v>0</v>
      </c>
      <c r="N459" s="9" t="s">
        <v>14</v>
      </c>
      <c r="O459" s="9" t="s">
        <v>248</v>
      </c>
      <c r="P459" s="9" t="s">
        <v>0</v>
      </c>
      <c r="Q459" s="30" t="s">
        <v>249</v>
      </c>
      <c r="R459" s="9" t="s">
        <v>250</v>
      </c>
      <c r="S459" s="9" t="s">
        <v>158</v>
      </c>
      <c r="T459" s="10" t="s">
        <v>82</v>
      </c>
      <c r="U459" s="10">
        <v>7</v>
      </c>
      <c r="V459" s="10">
        <v>165.5</v>
      </c>
      <c r="W459" s="10" t="s">
        <v>710</v>
      </c>
      <c r="X459" s="17">
        <v>44629</v>
      </c>
      <c r="Y459" s="17">
        <v>44629</v>
      </c>
      <c r="Z459" s="19" t="s">
        <v>772</v>
      </c>
      <c r="AA459" s="210">
        <v>45000</v>
      </c>
      <c r="AB459" s="9">
        <v>38</v>
      </c>
      <c r="AC459" s="9">
        <v>22</v>
      </c>
      <c r="AD459" s="17">
        <v>45168</v>
      </c>
      <c r="AE459" s="56">
        <v>700</v>
      </c>
      <c r="AF459" s="56"/>
      <c r="AH459" s="17">
        <v>45614</v>
      </c>
      <c r="AI459" s="30" t="s">
        <v>14</v>
      </c>
      <c r="AJ459" s="9" t="s">
        <v>2882</v>
      </c>
      <c r="AK459" s="9" t="s">
        <v>2907</v>
      </c>
      <c r="AL459" s="11">
        <v>700</v>
      </c>
      <c r="AN459" s="11" t="s">
        <v>2919</v>
      </c>
      <c r="AP459" s="11"/>
      <c r="AQ459" s="11"/>
      <c r="AR459" s="11"/>
      <c r="AW459" s="17">
        <v>45614</v>
      </c>
      <c r="AX459" s="60">
        <v>3414</v>
      </c>
      <c r="BA459" s="96">
        <v>700</v>
      </c>
      <c r="BB459" s="56"/>
      <c r="BD459" s="9"/>
      <c r="CS459" s="11">
        <f t="shared" si="37"/>
        <v>700</v>
      </c>
      <c r="CT459" s="22">
        <f t="shared" si="38"/>
        <v>700</v>
      </c>
      <c r="CU459" s="22">
        <f t="shared" si="35"/>
        <v>0</v>
      </c>
      <c r="CV459" s="26">
        <f t="shared" si="39"/>
        <v>0</v>
      </c>
    </row>
    <row r="460" spans="1:100" ht="12.75" x14ac:dyDescent="0.2">
      <c r="A460" s="9" t="s">
        <v>247</v>
      </c>
      <c r="B460" s="2">
        <v>130</v>
      </c>
      <c r="C460" s="3" t="s">
        <v>95</v>
      </c>
      <c r="D460" s="3" t="s">
        <v>96</v>
      </c>
      <c r="E460" s="2"/>
      <c r="F460" s="2"/>
      <c r="G460" s="2" t="s">
        <v>82</v>
      </c>
      <c r="H460" s="2">
        <v>7</v>
      </c>
      <c r="I460" s="8">
        <v>165.5</v>
      </c>
      <c r="J460" s="8">
        <v>49999</v>
      </c>
      <c r="K460" s="3">
        <v>0</v>
      </c>
      <c r="L460" s="3" t="s">
        <v>3</v>
      </c>
      <c r="M460" s="9" t="s">
        <v>0</v>
      </c>
      <c r="N460" s="9" t="s">
        <v>14</v>
      </c>
      <c r="O460" s="9" t="s">
        <v>248</v>
      </c>
      <c r="P460" s="9" t="s">
        <v>0</v>
      </c>
      <c r="Q460" s="30" t="s">
        <v>249</v>
      </c>
      <c r="R460" s="9" t="s">
        <v>250</v>
      </c>
      <c r="S460" s="9" t="s">
        <v>158</v>
      </c>
      <c r="T460" s="10" t="s">
        <v>82</v>
      </c>
      <c r="U460" s="10">
        <v>7</v>
      </c>
      <c r="V460" s="10">
        <v>165.5</v>
      </c>
      <c r="W460" s="10" t="s">
        <v>710</v>
      </c>
      <c r="X460" s="17">
        <v>44629</v>
      </c>
      <c r="Y460" s="17">
        <v>44629</v>
      </c>
      <c r="Z460" s="19" t="s">
        <v>772</v>
      </c>
      <c r="AA460" s="210">
        <v>45000</v>
      </c>
      <c r="AB460" s="9">
        <v>38</v>
      </c>
      <c r="AC460" s="9">
        <v>23</v>
      </c>
      <c r="AD460" s="17">
        <v>45199</v>
      </c>
      <c r="AE460" s="56">
        <v>700</v>
      </c>
      <c r="AF460" s="56"/>
      <c r="AH460" s="17">
        <v>45652</v>
      </c>
      <c r="AI460" s="30" t="s">
        <v>14</v>
      </c>
      <c r="AJ460" s="9" t="s">
        <v>2882</v>
      </c>
      <c r="AK460" s="9" t="s">
        <v>2908</v>
      </c>
      <c r="AL460" s="11">
        <v>700</v>
      </c>
      <c r="AN460" s="11" t="s">
        <v>2920</v>
      </c>
      <c r="AP460" s="11"/>
      <c r="AQ460" s="11"/>
      <c r="AR460" s="11"/>
      <c r="AW460" s="17">
        <v>45652</v>
      </c>
      <c r="AX460" s="60">
        <v>3525</v>
      </c>
      <c r="BA460" s="96">
        <v>700</v>
      </c>
      <c r="BB460" s="56"/>
      <c r="BD460" s="9"/>
      <c r="CS460" s="11">
        <f t="shared" si="37"/>
        <v>700</v>
      </c>
      <c r="CT460" s="22">
        <f t="shared" si="38"/>
        <v>700</v>
      </c>
      <c r="CU460" s="22">
        <f t="shared" si="35"/>
        <v>0</v>
      </c>
      <c r="CV460" s="26">
        <f t="shared" si="39"/>
        <v>0</v>
      </c>
    </row>
    <row r="461" spans="1:100" ht="12.75" x14ac:dyDescent="0.2">
      <c r="A461" s="9" t="s">
        <v>247</v>
      </c>
      <c r="B461" s="2">
        <v>130</v>
      </c>
      <c r="C461" s="3" t="s">
        <v>95</v>
      </c>
      <c r="D461" s="3" t="s">
        <v>96</v>
      </c>
      <c r="E461" s="2"/>
      <c r="F461" s="2"/>
      <c r="G461" s="2" t="s">
        <v>82</v>
      </c>
      <c r="H461" s="2">
        <v>7</v>
      </c>
      <c r="I461" s="8">
        <v>165.5</v>
      </c>
      <c r="J461" s="8">
        <v>49999</v>
      </c>
      <c r="K461" s="3">
        <v>0</v>
      </c>
      <c r="L461" s="3" t="s">
        <v>3</v>
      </c>
      <c r="M461" s="9" t="s">
        <v>0</v>
      </c>
      <c r="N461" s="9" t="s">
        <v>14</v>
      </c>
      <c r="O461" s="9" t="s">
        <v>248</v>
      </c>
      <c r="P461" s="9" t="s">
        <v>0</v>
      </c>
      <c r="Q461" s="30" t="s">
        <v>249</v>
      </c>
      <c r="R461" s="9" t="s">
        <v>250</v>
      </c>
      <c r="S461" s="9" t="s">
        <v>158</v>
      </c>
      <c r="T461" s="10" t="s">
        <v>82</v>
      </c>
      <c r="U461" s="10">
        <v>7</v>
      </c>
      <c r="V461" s="10">
        <v>165.5</v>
      </c>
      <c r="W461" s="10" t="s">
        <v>710</v>
      </c>
      <c r="X461" s="17">
        <v>44629</v>
      </c>
      <c r="Y461" s="17">
        <v>44629</v>
      </c>
      <c r="Z461" s="19" t="s">
        <v>772</v>
      </c>
      <c r="AA461" s="210">
        <v>45000</v>
      </c>
      <c r="AB461" s="9">
        <v>38</v>
      </c>
      <c r="AC461" s="9">
        <v>24</v>
      </c>
      <c r="AD461" s="17">
        <v>45229</v>
      </c>
      <c r="AE461" s="56">
        <v>700</v>
      </c>
      <c r="AF461" s="56"/>
      <c r="AH461" s="17">
        <v>45680</v>
      </c>
      <c r="AI461" s="30" t="s">
        <v>14</v>
      </c>
      <c r="AJ461" s="9" t="s">
        <v>2882</v>
      </c>
      <c r="AK461" s="9" t="s">
        <v>2921</v>
      </c>
      <c r="AL461" s="11">
        <v>700</v>
      </c>
      <c r="AN461" s="11" t="s">
        <v>2929</v>
      </c>
      <c r="AP461" s="11"/>
      <c r="AQ461" s="11"/>
      <c r="AR461" s="11"/>
      <c r="AW461" s="17">
        <v>45680</v>
      </c>
      <c r="AX461" s="60">
        <v>3646</v>
      </c>
      <c r="BA461" s="96">
        <v>700</v>
      </c>
      <c r="BB461" s="56"/>
      <c r="BD461" s="9"/>
      <c r="CS461" s="11">
        <f t="shared" si="37"/>
        <v>700</v>
      </c>
      <c r="CT461" s="22">
        <f t="shared" si="38"/>
        <v>700</v>
      </c>
      <c r="CU461" s="22">
        <f t="shared" si="35"/>
        <v>0</v>
      </c>
      <c r="CV461" s="26">
        <f t="shared" si="39"/>
        <v>0</v>
      </c>
    </row>
    <row r="462" spans="1:100" ht="12.75" x14ac:dyDescent="0.2">
      <c r="A462" s="9" t="s">
        <v>247</v>
      </c>
      <c r="B462" s="2">
        <v>130</v>
      </c>
      <c r="C462" s="3" t="s">
        <v>95</v>
      </c>
      <c r="D462" s="3" t="s">
        <v>96</v>
      </c>
      <c r="E462" s="2"/>
      <c r="F462" s="2"/>
      <c r="G462" s="2" t="s">
        <v>82</v>
      </c>
      <c r="H462" s="2">
        <v>7</v>
      </c>
      <c r="I462" s="8">
        <v>165.5</v>
      </c>
      <c r="J462" s="8">
        <v>49999</v>
      </c>
      <c r="K462" s="3">
        <v>0</v>
      </c>
      <c r="L462" s="3" t="s">
        <v>3</v>
      </c>
      <c r="M462" s="9" t="s">
        <v>0</v>
      </c>
      <c r="N462" s="9" t="s">
        <v>14</v>
      </c>
      <c r="O462" s="9" t="s">
        <v>248</v>
      </c>
      <c r="P462" s="9" t="s">
        <v>0</v>
      </c>
      <c r="Q462" s="30" t="s">
        <v>249</v>
      </c>
      <c r="R462" s="9" t="s">
        <v>250</v>
      </c>
      <c r="S462" s="9" t="s">
        <v>158</v>
      </c>
      <c r="T462" s="10" t="s">
        <v>82</v>
      </c>
      <c r="U462" s="10">
        <v>7</v>
      </c>
      <c r="V462" s="10">
        <v>165.5</v>
      </c>
      <c r="W462" s="10" t="s">
        <v>710</v>
      </c>
      <c r="X462" s="17">
        <v>44629</v>
      </c>
      <c r="Y462" s="17">
        <v>44629</v>
      </c>
      <c r="Z462" s="19" t="s">
        <v>772</v>
      </c>
      <c r="AA462" s="210">
        <v>45000</v>
      </c>
      <c r="AB462" s="9">
        <v>38</v>
      </c>
      <c r="AC462" s="9">
        <v>25</v>
      </c>
      <c r="AD462" s="17">
        <v>45260</v>
      </c>
      <c r="AE462" s="56">
        <v>700</v>
      </c>
      <c r="AF462" s="56"/>
      <c r="AH462" s="17">
        <v>45698</v>
      </c>
      <c r="AI462" s="30" t="s">
        <v>14</v>
      </c>
      <c r="AJ462" s="9" t="s">
        <v>2882</v>
      </c>
      <c r="AK462" s="9" t="s">
        <v>2922</v>
      </c>
      <c r="AL462" s="11">
        <v>700</v>
      </c>
      <c r="AN462" s="11" t="s">
        <v>2930</v>
      </c>
      <c r="AP462" s="11"/>
      <c r="AQ462" s="11"/>
      <c r="AR462" s="11"/>
      <c r="AW462" s="17">
        <v>45698</v>
      </c>
      <c r="AX462" s="60">
        <v>3740</v>
      </c>
      <c r="BA462" s="96">
        <v>700</v>
      </c>
      <c r="BB462" s="56"/>
      <c r="BD462" s="9"/>
      <c r="CS462" s="11">
        <f t="shared" si="37"/>
        <v>700</v>
      </c>
      <c r="CT462" s="22">
        <f t="shared" si="38"/>
        <v>700</v>
      </c>
      <c r="CU462" s="22">
        <f t="shared" si="35"/>
        <v>0</v>
      </c>
      <c r="CV462" s="26">
        <f t="shared" si="39"/>
        <v>0</v>
      </c>
    </row>
    <row r="463" spans="1:100" ht="12.75" x14ac:dyDescent="0.2">
      <c r="A463" s="9" t="s">
        <v>247</v>
      </c>
      <c r="B463" s="2">
        <v>130</v>
      </c>
      <c r="C463" s="3" t="s">
        <v>95</v>
      </c>
      <c r="D463" s="3" t="s">
        <v>96</v>
      </c>
      <c r="E463" s="2"/>
      <c r="F463" s="2"/>
      <c r="G463" s="2" t="s">
        <v>82</v>
      </c>
      <c r="H463" s="2">
        <v>7</v>
      </c>
      <c r="I463" s="8">
        <v>165.5</v>
      </c>
      <c r="J463" s="8">
        <v>49999</v>
      </c>
      <c r="K463" s="3">
        <v>0</v>
      </c>
      <c r="L463" s="3" t="s">
        <v>3</v>
      </c>
      <c r="M463" s="9" t="s">
        <v>0</v>
      </c>
      <c r="N463" s="9" t="s">
        <v>14</v>
      </c>
      <c r="O463" s="9" t="s">
        <v>248</v>
      </c>
      <c r="P463" s="9" t="s">
        <v>0</v>
      </c>
      <c r="Q463" s="30" t="s">
        <v>249</v>
      </c>
      <c r="R463" s="9" t="s">
        <v>250</v>
      </c>
      <c r="S463" s="9" t="s">
        <v>158</v>
      </c>
      <c r="T463" s="10" t="s">
        <v>82</v>
      </c>
      <c r="U463" s="10">
        <v>7</v>
      </c>
      <c r="V463" s="10">
        <v>165.5</v>
      </c>
      <c r="W463" s="10" t="s">
        <v>710</v>
      </c>
      <c r="X463" s="17">
        <v>44629</v>
      </c>
      <c r="Y463" s="17">
        <v>44629</v>
      </c>
      <c r="Z463" s="19" t="s">
        <v>772</v>
      </c>
      <c r="AA463" s="210">
        <v>45000</v>
      </c>
      <c r="AB463" s="9">
        <v>38</v>
      </c>
      <c r="AC463" s="9">
        <v>26</v>
      </c>
      <c r="AD463" s="17">
        <v>45290</v>
      </c>
      <c r="AE463" s="56">
        <v>700</v>
      </c>
      <c r="AF463" s="56"/>
      <c r="AH463" s="17">
        <v>45736</v>
      </c>
      <c r="AI463" s="30" t="s">
        <v>14</v>
      </c>
      <c r="AJ463" s="9" t="s">
        <v>2882</v>
      </c>
      <c r="AK463" s="9" t="s">
        <v>2923</v>
      </c>
      <c r="AL463" s="11">
        <v>700</v>
      </c>
      <c r="AN463" s="11" t="s">
        <v>2931</v>
      </c>
      <c r="AP463" s="11"/>
      <c r="AQ463" s="11"/>
      <c r="AR463" s="11"/>
      <c r="AW463" s="17">
        <v>45740</v>
      </c>
      <c r="AX463" s="60" t="s">
        <v>2943</v>
      </c>
      <c r="BA463" s="96">
        <v>700</v>
      </c>
      <c r="BB463" s="56"/>
      <c r="BD463" s="9"/>
      <c r="CS463" s="11">
        <f t="shared" si="37"/>
        <v>700</v>
      </c>
      <c r="CT463" s="22">
        <f t="shared" si="38"/>
        <v>700</v>
      </c>
      <c r="CU463" s="22">
        <f t="shared" si="35"/>
        <v>0</v>
      </c>
      <c r="CV463" s="26">
        <f t="shared" si="39"/>
        <v>0</v>
      </c>
    </row>
    <row r="464" spans="1:100" ht="12.75" x14ac:dyDescent="0.2">
      <c r="A464" s="9" t="s">
        <v>247</v>
      </c>
      <c r="B464" s="2">
        <v>130</v>
      </c>
      <c r="C464" s="3" t="s">
        <v>95</v>
      </c>
      <c r="D464" s="3" t="s">
        <v>96</v>
      </c>
      <c r="E464" s="2"/>
      <c r="F464" s="2"/>
      <c r="G464" s="2" t="s">
        <v>82</v>
      </c>
      <c r="H464" s="2">
        <v>7</v>
      </c>
      <c r="I464" s="8">
        <v>165.5</v>
      </c>
      <c r="J464" s="8">
        <v>49999</v>
      </c>
      <c r="K464" s="3">
        <v>0</v>
      </c>
      <c r="L464" s="3" t="s">
        <v>3</v>
      </c>
      <c r="M464" s="9" t="s">
        <v>0</v>
      </c>
      <c r="N464" s="9" t="s">
        <v>14</v>
      </c>
      <c r="O464" s="9" t="s">
        <v>248</v>
      </c>
      <c r="P464" s="9" t="s">
        <v>0</v>
      </c>
      <c r="Q464" s="30" t="s">
        <v>249</v>
      </c>
      <c r="R464" s="9" t="s">
        <v>250</v>
      </c>
      <c r="S464" s="9" t="s">
        <v>158</v>
      </c>
      <c r="T464" s="10" t="s">
        <v>82</v>
      </c>
      <c r="U464" s="10">
        <v>7</v>
      </c>
      <c r="V464" s="10">
        <v>165.5</v>
      </c>
      <c r="W464" s="10" t="s">
        <v>710</v>
      </c>
      <c r="X464" s="17">
        <v>44629</v>
      </c>
      <c r="Y464" s="17">
        <v>44629</v>
      </c>
      <c r="Z464" s="19" t="s">
        <v>772</v>
      </c>
      <c r="AA464" s="210">
        <v>45000</v>
      </c>
      <c r="AB464" s="9">
        <v>38</v>
      </c>
      <c r="AC464" s="9">
        <v>27</v>
      </c>
      <c r="AD464" s="17">
        <v>45321</v>
      </c>
      <c r="AE464" s="56">
        <v>700</v>
      </c>
      <c r="AF464" s="56"/>
      <c r="AH464" s="17">
        <v>45756</v>
      </c>
      <c r="AI464" s="30" t="s">
        <v>14</v>
      </c>
      <c r="AJ464" s="9" t="s">
        <v>2882</v>
      </c>
      <c r="AK464" s="9" t="s">
        <v>2924</v>
      </c>
      <c r="AL464" s="11">
        <v>700</v>
      </c>
      <c r="AN464" s="11" t="s">
        <v>2932</v>
      </c>
      <c r="AP464" s="11"/>
      <c r="AQ464" s="11"/>
      <c r="AR464" s="11"/>
      <c r="AW464" s="17">
        <v>45757</v>
      </c>
      <c r="AX464" s="60">
        <v>4000</v>
      </c>
      <c r="BA464" s="96">
        <v>700</v>
      </c>
      <c r="BB464" s="56"/>
      <c r="BD464" s="9"/>
      <c r="CS464" s="11">
        <f t="shared" si="37"/>
        <v>700</v>
      </c>
      <c r="CT464" s="22">
        <f t="shared" si="38"/>
        <v>700</v>
      </c>
      <c r="CU464" s="22">
        <f t="shared" si="35"/>
        <v>0</v>
      </c>
      <c r="CV464" s="26">
        <f t="shared" si="39"/>
        <v>0</v>
      </c>
    </row>
    <row r="465" spans="1:100" ht="12.75" x14ac:dyDescent="0.2">
      <c r="A465" s="9" t="s">
        <v>247</v>
      </c>
      <c r="B465" s="2">
        <v>130</v>
      </c>
      <c r="C465" s="3" t="s">
        <v>95</v>
      </c>
      <c r="D465" s="3" t="s">
        <v>96</v>
      </c>
      <c r="E465" s="2"/>
      <c r="F465" s="2"/>
      <c r="G465" s="2" t="s">
        <v>82</v>
      </c>
      <c r="H465" s="2">
        <v>7</v>
      </c>
      <c r="I465" s="8">
        <v>165.5</v>
      </c>
      <c r="J465" s="8">
        <v>49999</v>
      </c>
      <c r="K465" s="3">
        <v>0</v>
      </c>
      <c r="L465" s="3" t="s">
        <v>3</v>
      </c>
      <c r="M465" s="9" t="s">
        <v>0</v>
      </c>
      <c r="N465" s="9" t="s">
        <v>14</v>
      </c>
      <c r="O465" s="9" t="s">
        <v>248</v>
      </c>
      <c r="P465" s="9" t="s">
        <v>0</v>
      </c>
      <c r="Q465" s="30" t="s">
        <v>249</v>
      </c>
      <c r="R465" s="9" t="s">
        <v>250</v>
      </c>
      <c r="S465" s="9" t="s">
        <v>158</v>
      </c>
      <c r="T465" s="10" t="s">
        <v>82</v>
      </c>
      <c r="U465" s="10">
        <v>7</v>
      </c>
      <c r="V465" s="10">
        <v>165.5</v>
      </c>
      <c r="W465" s="10" t="s">
        <v>710</v>
      </c>
      <c r="X465" s="17">
        <v>44629</v>
      </c>
      <c r="Y465" s="17">
        <v>44629</v>
      </c>
      <c r="Z465" s="19" t="s">
        <v>772</v>
      </c>
      <c r="AA465" s="210">
        <v>45000</v>
      </c>
      <c r="AB465" s="9">
        <v>38</v>
      </c>
      <c r="AC465" s="9">
        <v>28</v>
      </c>
      <c r="AD465" s="17">
        <v>45351</v>
      </c>
      <c r="AE465" s="56">
        <v>700</v>
      </c>
      <c r="AF465" s="56"/>
      <c r="AH465" s="17">
        <v>45804</v>
      </c>
      <c r="AI465" s="30" t="s">
        <v>14</v>
      </c>
      <c r="AJ465" s="9" t="s">
        <v>2882</v>
      </c>
      <c r="AK465" s="9" t="s">
        <v>2925</v>
      </c>
      <c r="AL465" s="11">
        <v>700</v>
      </c>
      <c r="AN465" s="11" t="s">
        <v>2933</v>
      </c>
      <c r="AP465" s="11"/>
      <c r="AQ465" s="11"/>
      <c r="AR465" s="11"/>
      <c r="AW465" s="17">
        <v>45805</v>
      </c>
      <c r="AX465" s="60">
        <v>4221</v>
      </c>
      <c r="BA465" s="96">
        <v>700</v>
      </c>
      <c r="BB465" s="56"/>
      <c r="BD465" s="9"/>
      <c r="CS465" s="11">
        <f t="shared" si="37"/>
        <v>700</v>
      </c>
      <c r="CT465" s="22">
        <f t="shared" si="38"/>
        <v>700</v>
      </c>
      <c r="CU465" s="22">
        <f t="shared" si="35"/>
        <v>0</v>
      </c>
      <c r="CV465" s="26">
        <f t="shared" si="39"/>
        <v>0</v>
      </c>
    </row>
    <row r="466" spans="1:100" ht="12.75" x14ac:dyDescent="0.2">
      <c r="A466" s="9" t="s">
        <v>247</v>
      </c>
      <c r="B466" s="2">
        <v>130</v>
      </c>
      <c r="C466" s="3" t="s">
        <v>95</v>
      </c>
      <c r="D466" s="3" t="s">
        <v>96</v>
      </c>
      <c r="E466" s="2"/>
      <c r="F466" s="2"/>
      <c r="G466" s="2" t="s">
        <v>82</v>
      </c>
      <c r="H466" s="2">
        <v>7</v>
      </c>
      <c r="I466" s="8">
        <v>165.5</v>
      </c>
      <c r="J466" s="8">
        <v>49999</v>
      </c>
      <c r="K466" s="3">
        <v>0</v>
      </c>
      <c r="L466" s="3" t="s">
        <v>3</v>
      </c>
      <c r="M466" s="9" t="s">
        <v>0</v>
      </c>
      <c r="N466" s="9" t="s">
        <v>14</v>
      </c>
      <c r="O466" s="9" t="s">
        <v>248</v>
      </c>
      <c r="P466" s="9" t="s">
        <v>0</v>
      </c>
      <c r="Q466" s="30" t="s">
        <v>249</v>
      </c>
      <c r="R466" s="9" t="s">
        <v>250</v>
      </c>
      <c r="S466" s="9" t="s">
        <v>158</v>
      </c>
      <c r="T466" s="10" t="s">
        <v>82</v>
      </c>
      <c r="U466" s="10">
        <v>7</v>
      </c>
      <c r="V466" s="10">
        <v>165.5</v>
      </c>
      <c r="W466" s="10" t="s">
        <v>710</v>
      </c>
      <c r="X466" s="17">
        <v>44629</v>
      </c>
      <c r="Y466" s="17">
        <v>44629</v>
      </c>
      <c r="Z466" s="19" t="s">
        <v>772</v>
      </c>
      <c r="AA466" s="210">
        <v>45000</v>
      </c>
      <c r="AB466" s="9">
        <v>38</v>
      </c>
      <c r="AC466" s="9">
        <v>29</v>
      </c>
      <c r="AD466" s="17">
        <v>45381</v>
      </c>
      <c r="AE466" s="56">
        <v>700</v>
      </c>
      <c r="AF466" s="56"/>
      <c r="AH466" s="17">
        <v>45839</v>
      </c>
      <c r="AI466" s="30" t="s">
        <v>14</v>
      </c>
      <c r="AJ466" s="9" t="s">
        <v>2882</v>
      </c>
      <c r="AK466" s="9" t="s">
        <v>2926</v>
      </c>
      <c r="AL466" s="11">
        <v>700</v>
      </c>
      <c r="AN466" s="11" t="s">
        <v>2934</v>
      </c>
      <c r="AP466" s="11"/>
      <c r="AQ466" s="11"/>
      <c r="AR466" s="11"/>
      <c r="AW466" s="17">
        <v>45840</v>
      </c>
      <c r="AX466" s="60" t="s">
        <v>2944</v>
      </c>
      <c r="BA466" s="96">
        <v>700</v>
      </c>
      <c r="BB466" s="56"/>
      <c r="BD466" s="9"/>
      <c r="CS466" s="11">
        <f t="shared" si="37"/>
        <v>700</v>
      </c>
      <c r="CT466" s="22">
        <f t="shared" si="38"/>
        <v>700</v>
      </c>
      <c r="CU466" s="22">
        <f t="shared" si="35"/>
        <v>0</v>
      </c>
      <c r="CV466" s="26">
        <f t="shared" si="39"/>
        <v>0</v>
      </c>
    </row>
    <row r="467" spans="1:100" ht="12.75" x14ac:dyDescent="0.2">
      <c r="A467" s="9" t="s">
        <v>247</v>
      </c>
      <c r="B467" s="2">
        <v>130</v>
      </c>
      <c r="C467" s="3" t="s">
        <v>95</v>
      </c>
      <c r="D467" s="3" t="s">
        <v>96</v>
      </c>
      <c r="E467" s="2"/>
      <c r="F467" s="2"/>
      <c r="G467" s="2" t="s">
        <v>82</v>
      </c>
      <c r="H467" s="2">
        <v>7</v>
      </c>
      <c r="I467" s="8">
        <v>165.5</v>
      </c>
      <c r="J467" s="8">
        <v>49999</v>
      </c>
      <c r="K467" s="3">
        <v>0</v>
      </c>
      <c r="L467" s="3" t="s">
        <v>3</v>
      </c>
      <c r="M467" s="9" t="s">
        <v>0</v>
      </c>
      <c r="N467" s="9" t="s">
        <v>14</v>
      </c>
      <c r="O467" s="9" t="s">
        <v>248</v>
      </c>
      <c r="P467" s="9" t="s">
        <v>0</v>
      </c>
      <c r="Q467" s="30" t="s">
        <v>249</v>
      </c>
      <c r="R467" s="9" t="s">
        <v>250</v>
      </c>
      <c r="S467" s="9" t="s">
        <v>158</v>
      </c>
      <c r="T467" s="10" t="s">
        <v>82</v>
      </c>
      <c r="U467" s="10">
        <v>7</v>
      </c>
      <c r="V467" s="10">
        <v>165.5</v>
      </c>
      <c r="W467" s="10" t="s">
        <v>710</v>
      </c>
      <c r="X467" s="17">
        <v>44629</v>
      </c>
      <c r="Y467" s="17">
        <v>44629</v>
      </c>
      <c r="Z467" s="19" t="s">
        <v>772</v>
      </c>
      <c r="AA467" s="210">
        <v>45000</v>
      </c>
      <c r="AB467" s="9">
        <v>38</v>
      </c>
      <c r="AC467" s="9">
        <v>30</v>
      </c>
      <c r="AD467" s="17">
        <v>45412</v>
      </c>
      <c r="AE467" s="56">
        <v>700</v>
      </c>
      <c r="AF467" s="56"/>
      <c r="AH467" s="17">
        <v>45874</v>
      </c>
      <c r="AI467" s="30" t="s">
        <v>14</v>
      </c>
      <c r="AJ467" s="9" t="s">
        <v>2882</v>
      </c>
      <c r="AK467" s="9" t="s">
        <v>2927</v>
      </c>
      <c r="AL467" s="11">
        <v>700</v>
      </c>
      <c r="AN467" s="11" t="s">
        <v>2935</v>
      </c>
      <c r="AP467" s="11"/>
      <c r="AQ467" s="11"/>
      <c r="AR467" s="11"/>
      <c r="AW467" s="17">
        <v>45874</v>
      </c>
      <c r="AX467" s="60">
        <v>4524</v>
      </c>
      <c r="BA467" s="96">
        <v>700</v>
      </c>
      <c r="BB467" s="56"/>
      <c r="BD467" s="9"/>
      <c r="CS467" s="11">
        <f t="shared" si="37"/>
        <v>700</v>
      </c>
      <c r="CT467" s="22">
        <f t="shared" si="38"/>
        <v>700</v>
      </c>
      <c r="CU467" s="22">
        <f t="shared" si="35"/>
        <v>0</v>
      </c>
      <c r="CV467" s="26">
        <f t="shared" si="39"/>
        <v>0</v>
      </c>
    </row>
    <row r="468" spans="1:100" ht="12.75" x14ac:dyDescent="0.2">
      <c r="A468" s="9" t="s">
        <v>247</v>
      </c>
      <c r="B468" s="2">
        <v>130</v>
      </c>
      <c r="C468" s="3" t="s">
        <v>95</v>
      </c>
      <c r="D468" s="3" t="s">
        <v>96</v>
      </c>
      <c r="E468" s="2"/>
      <c r="F468" s="2"/>
      <c r="G468" s="2" t="s">
        <v>82</v>
      </c>
      <c r="H468" s="2">
        <v>7</v>
      </c>
      <c r="I468" s="8">
        <v>165.5</v>
      </c>
      <c r="J468" s="8">
        <v>49999</v>
      </c>
      <c r="K468" s="3">
        <v>0</v>
      </c>
      <c r="L468" s="3" t="s">
        <v>3</v>
      </c>
      <c r="M468" s="9" t="s">
        <v>0</v>
      </c>
      <c r="N468" s="9" t="s">
        <v>14</v>
      </c>
      <c r="O468" s="9" t="s">
        <v>248</v>
      </c>
      <c r="P468" s="9" t="s">
        <v>0</v>
      </c>
      <c r="Q468" s="30" t="s">
        <v>249</v>
      </c>
      <c r="R468" s="9" t="s">
        <v>250</v>
      </c>
      <c r="S468" s="9" t="s">
        <v>158</v>
      </c>
      <c r="T468" s="10" t="s">
        <v>82</v>
      </c>
      <c r="U468" s="10">
        <v>7</v>
      </c>
      <c r="V468" s="10">
        <v>165.5</v>
      </c>
      <c r="W468" s="10" t="s">
        <v>710</v>
      </c>
      <c r="X468" s="17">
        <v>44629</v>
      </c>
      <c r="Y468" s="17">
        <v>44629</v>
      </c>
      <c r="Z468" s="19" t="s">
        <v>772</v>
      </c>
      <c r="AA468" s="210">
        <v>45000</v>
      </c>
      <c r="AB468" s="9">
        <v>38</v>
      </c>
      <c r="AC468" s="9">
        <v>31</v>
      </c>
      <c r="AD468" s="17">
        <v>45442</v>
      </c>
      <c r="AE468" s="56">
        <v>700</v>
      </c>
      <c r="AF468" s="56"/>
      <c r="AH468" s="17">
        <v>45910</v>
      </c>
      <c r="AI468" s="30" t="s">
        <v>14</v>
      </c>
      <c r="AJ468" s="9" t="s">
        <v>2882</v>
      </c>
      <c r="AK468" s="9" t="s">
        <v>2928</v>
      </c>
      <c r="AL468" s="11">
        <v>700</v>
      </c>
      <c r="AN468" s="11" t="s">
        <v>2936</v>
      </c>
      <c r="AP468" s="11"/>
      <c r="AQ468" s="11"/>
      <c r="AR468" s="11"/>
      <c r="AW468" s="17">
        <v>45910</v>
      </c>
      <c r="AX468" s="60">
        <v>4700</v>
      </c>
      <c r="BA468" s="96">
        <v>700</v>
      </c>
      <c r="BB468" s="56"/>
      <c r="BD468" s="9"/>
      <c r="CS468" s="11">
        <f t="shared" si="37"/>
        <v>700</v>
      </c>
      <c r="CT468" s="22">
        <f t="shared" si="38"/>
        <v>700</v>
      </c>
      <c r="CU468" s="22">
        <f t="shared" si="35"/>
        <v>0</v>
      </c>
      <c r="CV468" s="26">
        <f t="shared" si="39"/>
        <v>0</v>
      </c>
    </row>
    <row r="469" spans="1:100" x14ac:dyDescent="0.2">
      <c r="A469" s="9" t="s">
        <v>247</v>
      </c>
      <c r="B469" s="2">
        <v>130</v>
      </c>
      <c r="C469" s="3" t="s">
        <v>95</v>
      </c>
      <c r="D469" s="3" t="s">
        <v>96</v>
      </c>
      <c r="E469" s="2"/>
      <c r="F469" s="2"/>
      <c r="G469" s="2" t="s">
        <v>82</v>
      </c>
      <c r="H469" s="2">
        <v>7</v>
      </c>
      <c r="I469" s="8">
        <v>165.5</v>
      </c>
      <c r="J469" s="8">
        <v>49999</v>
      </c>
      <c r="K469" s="3">
        <v>0</v>
      </c>
      <c r="L469" s="3" t="s">
        <v>3</v>
      </c>
      <c r="M469" s="9" t="s">
        <v>0</v>
      </c>
      <c r="N469" s="9" t="s">
        <v>14</v>
      </c>
      <c r="O469" s="9" t="s">
        <v>248</v>
      </c>
      <c r="P469" s="9" t="s">
        <v>0</v>
      </c>
      <c r="Q469" s="30" t="s">
        <v>249</v>
      </c>
      <c r="R469" s="9" t="s">
        <v>250</v>
      </c>
      <c r="S469" s="9" t="s">
        <v>158</v>
      </c>
      <c r="T469" s="10" t="s">
        <v>82</v>
      </c>
      <c r="U469" s="10">
        <v>7</v>
      </c>
      <c r="V469" s="10">
        <v>165.5</v>
      </c>
      <c r="W469" s="10" t="s">
        <v>710</v>
      </c>
      <c r="X469" s="17">
        <v>44629</v>
      </c>
      <c r="Y469" s="17">
        <v>44629</v>
      </c>
      <c r="Z469" s="19" t="s">
        <v>772</v>
      </c>
      <c r="AA469" s="210">
        <v>45000</v>
      </c>
      <c r="AB469" s="9">
        <v>38</v>
      </c>
      <c r="AC469" s="9">
        <v>32</v>
      </c>
      <c r="AD469" s="17">
        <v>45473</v>
      </c>
      <c r="AE469" s="56">
        <v>700</v>
      </c>
      <c r="AF469" s="56"/>
      <c r="AH469" s="17"/>
      <c r="AP469" s="11"/>
      <c r="AQ469" s="11"/>
      <c r="AR469" s="11"/>
      <c r="AW469" s="17"/>
      <c r="AX469" s="60"/>
      <c r="BA469" s="56"/>
      <c r="BB469" s="56"/>
      <c r="BD469" s="9"/>
      <c r="CS469" s="11">
        <f t="shared" si="37"/>
        <v>0</v>
      </c>
      <c r="CT469" s="22">
        <f t="shared" si="38"/>
        <v>0</v>
      </c>
      <c r="CU469" s="22">
        <f t="shared" si="35"/>
        <v>0</v>
      </c>
      <c r="CV469" s="26">
        <f t="shared" si="39"/>
        <v>700</v>
      </c>
    </row>
    <row r="470" spans="1:100" x14ac:dyDescent="0.2">
      <c r="A470" s="9" t="s">
        <v>247</v>
      </c>
      <c r="B470" s="2">
        <v>130</v>
      </c>
      <c r="C470" s="3" t="s">
        <v>95</v>
      </c>
      <c r="D470" s="3" t="s">
        <v>96</v>
      </c>
      <c r="E470" s="2"/>
      <c r="F470" s="2"/>
      <c r="G470" s="2" t="s">
        <v>82</v>
      </c>
      <c r="H470" s="2">
        <v>7</v>
      </c>
      <c r="I470" s="8">
        <v>165.5</v>
      </c>
      <c r="J470" s="8">
        <v>49999</v>
      </c>
      <c r="K470" s="3">
        <v>0</v>
      </c>
      <c r="L470" s="3" t="s">
        <v>3</v>
      </c>
      <c r="M470" s="9" t="s">
        <v>0</v>
      </c>
      <c r="N470" s="9" t="s">
        <v>14</v>
      </c>
      <c r="O470" s="9" t="s">
        <v>248</v>
      </c>
      <c r="P470" s="9" t="s">
        <v>0</v>
      </c>
      <c r="Q470" s="30" t="s">
        <v>249</v>
      </c>
      <c r="R470" s="9" t="s">
        <v>250</v>
      </c>
      <c r="S470" s="9" t="s">
        <v>158</v>
      </c>
      <c r="T470" s="10" t="s">
        <v>82</v>
      </c>
      <c r="U470" s="10">
        <v>7</v>
      </c>
      <c r="V470" s="10">
        <v>165.5</v>
      </c>
      <c r="W470" s="10" t="s">
        <v>710</v>
      </c>
      <c r="X470" s="17">
        <v>44629</v>
      </c>
      <c r="Y470" s="17">
        <v>44629</v>
      </c>
      <c r="Z470" s="19" t="s">
        <v>772</v>
      </c>
      <c r="AA470" s="210">
        <v>45000</v>
      </c>
      <c r="AB470" s="9">
        <v>38</v>
      </c>
      <c r="AC470" s="9">
        <v>33</v>
      </c>
      <c r="AD470" s="17">
        <v>45503</v>
      </c>
      <c r="AE470" s="56">
        <v>700</v>
      </c>
      <c r="AF470" s="56"/>
      <c r="AH470" s="17"/>
      <c r="AP470" s="11"/>
      <c r="AQ470" s="11"/>
      <c r="AR470" s="11"/>
      <c r="AW470" s="17"/>
      <c r="AX470" s="60"/>
      <c r="BA470" s="56"/>
      <c r="BB470" s="56"/>
      <c r="BD470" s="9"/>
      <c r="CS470" s="11">
        <f t="shared" si="37"/>
        <v>0</v>
      </c>
      <c r="CT470" s="22">
        <f t="shared" si="38"/>
        <v>0</v>
      </c>
      <c r="CU470" s="22">
        <f t="shared" si="35"/>
        <v>0</v>
      </c>
      <c r="CV470" s="26">
        <f t="shared" si="39"/>
        <v>700</v>
      </c>
    </row>
    <row r="471" spans="1:100" x14ac:dyDescent="0.2">
      <c r="A471" s="9" t="s">
        <v>247</v>
      </c>
      <c r="B471" s="2">
        <v>130</v>
      </c>
      <c r="C471" s="3" t="s">
        <v>95</v>
      </c>
      <c r="D471" s="3" t="s">
        <v>96</v>
      </c>
      <c r="E471" s="2"/>
      <c r="F471" s="2"/>
      <c r="G471" s="2" t="s">
        <v>82</v>
      </c>
      <c r="H471" s="2">
        <v>7</v>
      </c>
      <c r="I471" s="8">
        <v>165.5</v>
      </c>
      <c r="J471" s="8">
        <v>49999</v>
      </c>
      <c r="K471" s="3">
        <v>0</v>
      </c>
      <c r="L471" s="3" t="s">
        <v>3</v>
      </c>
      <c r="M471" s="9" t="s">
        <v>0</v>
      </c>
      <c r="N471" s="9" t="s">
        <v>14</v>
      </c>
      <c r="O471" s="9" t="s">
        <v>248</v>
      </c>
      <c r="P471" s="9" t="s">
        <v>0</v>
      </c>
      <c r="Q471" s="30" t="s">
        <v>249</v>
      </c>
      <c r="R471" s="9" t="s">
        <v>250</v>
      </c>
      <c r="S471" s="9" t="s">
        <v>158</v>
      </c>
      <c r="T471" s="10" t="s">
        <v>82</v>
      </c>
      <c r="U471" s="10">
        <v>7</v>
      </c>
      <c r="V471" s="10">
        <v>165.5</v>
      </c>
      <c r="W471" s="10" t="s">
        <v>710</v>
      </c>
      <c r="X471" s="17">
        <v>44629</v>
      </c>
      <c r="Y471" s="17">
        <v>44629</v>
      </c>
      <c r="Z471" s="19" t="s">
        <v>772</v>
      </c>
      <c r="AA471" s="210">
        <v>45000</v>
      </c>
      <c r="AB471" s="9">
        <v>38</v>
      </c>
      <c r="AC471" s="9">
        <v>34</v>
      </c>
      <c r="AD471" s="17">
        <v>45534</v>
      </c>
      <c r="AE471" s="56">
        <v>700</v>
      </c>
      <c r="AF471" s="56"/>
      <c r="AH471" s="17"/>
      <c r="AP471" s="11"/>
      <c r="AQ471" s="11"/>
      <c r="AR471" s="11"/>
      <c r="AW471" s="17"/>
      <c r="AX471" s="60"/>
      <c r="BA471" s="56"/>
      <c r="BB471" s="56"/>
      <c r="BD471" s="9"/>
      <c r="CS471" s="11">
        <f t="shared" si="37"/>
        <v>0</v>
      </c>
      <c r="CT471" s="22">
        <f t="shared" si="38"/>
        <v>0</v>
      </c>
      <c r="CU471" s="22">
        <f t="shared" si="35"/>
        <v>0</v>
      </c>
      <c r="CV471" s="26">
        <f t="shared" si="39"/>
        <v>700</v>
      </c>
    </row>
    <row r="472" spans="1:100" x14ac:dyDescent="0.2">
      <c r="A472" s="9" t="s">
        <v>247</v>
      </c>
      <c r="B472" s="2">
        <v>130</v>
      </c>
      <c r="C472" s="3" t="s">
        <v>95</v>
      </c>
      <c r="D472" s="3" t="s">
        <v>96</v>
      </c>
      <c r="E472" s="2"/>
      <c r="F472" s="2"/>
      <c r="G472" s="2" t="s">
        <v>82</v>
      </c>
      <c r="H472" s="2">
        <v>7</v>
      </c>
      <c r="I472" s="8">
        <v>165.5</v>
      </c>
      <c r="J472" s="8">
        <v>49999</v>
      </c>
      <c r="K472" s="3">
        <v>0</v>
      </c>
      <c r="L472" s="3" t="s">
        <v>3</v>
      </c>
      <c r="M472" s="9" t="s">
        <v>0</v>
      </c>
      <c r="N472" s="9" t="s">
        <v>14</v>
      </c>
      <c r="O472" s="9" t="s">
        <v>248</v>
      </c>
      <c r="P472" s="9" t="s">
        <v>0</v>
      </c>
      <c r="Q472" s="30" t="s">
        <v>249</v>
      </c>
      <c r="R472" s="9" t="s">
        <v>250</v>
      </c>
      <c r="S472" s="9" t="s">
        <v>158</v>
      </c>
      <c r="T472" s="10" t="s">
        <v>82</v>
      </c>
      <c r="U472" s="10">
        <v>7</v>
      </c>
      <c r="V472" s="10">
        <v>165.5</v>
      </c>
      <c r="W472" s="10" t="s">
        <v>710</v>
      </c>
      <c r="X472" s="17">
        <v>44629</v>
      </c>
      <c r="Y472" s="17">
        <v>44629</v>
      </c>
      <c r="Z472" s="19" t="s">
        <v>772</v>
      </c>
      <c r="AA472" s="210">
        <v>45000</v>
      </c>
      <c r="AB472" s="9">
        <v>38</v>
      </c>
      <c r="AC472" s="9">
        <v>35</v>
      </c>
      <c r="AD472" s="17">
        <v>45565</v>
      </c>
      <c r="AE472" s="56">
        <v>700</v>
      </c>
      <c r="AF472" s="56"/>
      <c r="AH472" s="17"/>
      <c r="AP472" s="11"/>
      <c r="AQ472" s="11"/>
      <c r="AR472" s="11"/>
      <c r="AW472" s="17"/>
      <c r="AX472" s="60"/>
      <c r="BA472" s="56"/>
      <c r="BB472" s="56"/>
      <c r="BD472" s="9"/>
      <c r="CS472" s="11">
        <f t="shared" si="37"/>
        <v>0</v>
      </c>
      <c r="CT472" s="22">
        <f t="shared" si="38"/>
        <v>0</v>
      </c>
      <c r="CU472" s="22">
        <f t="shared" si="35"/>
        <v>0</v>
      </c>
      <c r="CV472" s="26">
        <f t="shared" si="39"/>
        <v>700</v>
      </c>
    </row>
    <row r="473" spans="1:100" x14ac:dyDescent="0.2">
      <c r="A473" s="9" t="s">
        <v>247</v>
      </c>
      <c r="B473" s="2">
        <v>130</v>
      </c>
      <c r="C473" s="3" t="s">
        <v>95</v>
      </c>
      <c r="D473" s="3" t="s">
        <v>96</v>
      </c>
      <c r="E473" s="2"/>
      <c r="F473" s="2"/>
      <c r="G473" s="2" t="s">
        <v>82</v>
      </c>
      <c r="H473" s="2">
        <v>7</v>
      </c>
      <c r="I473" s="8">
        <v>165.5</v>
      </c>
      <c r="J473" s="8">
        <v>49999</v>
      </c>
      <c r="K473" s="3">
        <v>0</v>
      </c>
      <c r="L473" s="3" t="s">
        <v>3</v>
      </c>
      <c r="M473" s="9" t="s">
        <v>0</v>
      </c>
      <c r="N473" s="9" t="s">
        <v>14</v>
      </c>
      <c r="O473" s="9" t="s">
        <v>248</v>
      </c>
      <c r="P473" s="9" t="s">
        <v>0</v>
      </c>
      <c r="Q473" s="30" t="s">
        <v>249</v>
      </c>
      <c r="R473" s="9" t="s">
        <v>250</v>
      </c>
      <c r="S473" s="9" t="s">
        <v>158</v>
      </c>
      <c r="T473" s="10" t="s">
        <v>82</v>
      </c>
      <c r="U473" s="10">
        <v>7</v>
      </c>
      <c r="V473" s="10">
        <v>165.5</v>
      </c>
      <c r="W473" s="10" t="s">
        <v>710</v>
      </c>
      <c r="X473" s="17">
        <v>44629</v>
      </c>
      <c r="Y473" s="17">
        <v>44629</v>
      </c>
      <c r="Z473" s="19" t="s">
        <v>772</v>
      </c>
      <c r="AA473" s="210">
        <v>45000</v>
      </c>
      <c r="AB473" s="9">
        <v>38</v>
      </c>
      <c r="AC473" s="9">
        <v>36</v>
      </c>
      <c r="AD473" s="17">
        <v>45595</v>
      </c>
      <c r="AE473" s="56">
        <v>700</v>
      </c>
      <c r="AF473" s="56"/>
      <c r="AH473" s="17"/>
      <c r="AP473" s="11"/>
      <c r="AQ473" s="11"/>
      <c r="AR473" s="11"/>
      <c r="AW473" s="17"/>
      <c r="AX473" s="60"/>
      <c r="BA473" s="56"/>
      <c r="BB473" s="56"/>
      <c r="BD473" s="9"/>
      <c r="CS473" s="11">
        <f t="shared" si="37"/>
        <v>0</v>
      </c>
      <c r="CT473" s="22">
        <f t="shared" si="38"/>
        <v>0</v>
      </c>
      <c r="CU473" s="22">
        <f t="shared" si="35"/>
        <v>0</v>
      </c>
      <c r="CV473" s="26">
        <f t="shared" si="39"/>
        <v>700</v>
      </c>
    </row>
    <row r="474" spans="1:100" x14ac:dyDescent="0.2">
      <c r="A474" s="9" t="s">
        <v>247</v>
      </c>
      <c r="B474" s="2">
        <v>130</v>
      </c>
      <c r="C474" s="3" t="s">
        <v>95</v>
      </c>
      <c r="D474" s="3" t="s">
        <v>96</v>
      </c>
      <c r="E474" s="2"/>
      <c r="F474" s="2"/>
      <c r="G474" s="2" t="s">
        <v>82</v>
      </c>
      <c r="H474" s="2">
        <v>7</v>
      </c>
      <c r="I474" s="8">
        <v>165.5</v>
      </c>
      <c r="J474" s="8">
        <v>49999</v>
      </c>
      <c r="K474" s="3">
        <v>0</v>
      </c>
      <c r="L474" s="3" t="s">
        <v>3</v>
      </c>
      <c r="M474" s="9" t="s">
        <v>0</v>
      </c>
      <c r="N474" s="9" t="s">
        <v>14</v>
      </c>
      <c r="O474" s="9" t="s">
        <v>248</v>
      </c>
      <c r="P474" s="9" t="s">
        <v>0</v>
      </c>
      <c r="Q474" s="30" t="s">
        <v>249</v>
      </c>
      <c r="R474" s="9" t="s">
        <v>250</v>
      </c>
      <c r="S474" s="9" t="s">
        <v>158</v>
      </c>
      <c r="T474" s="10" t="s">
        <v>82</v>
      </c>
      <c r="U474" s="10">
        <v>7</v>
      </c>
      <c r="V474" s="10">
        <v>165.5</v>
      </c>
      <c r="W474" s="10" t="s">
        <v>710</v>
      </c>
      <c r="X474" s="17">
        <v>44629</v>
      </c>
      <c r="Y474" s="17">
        <v>44629</v>
      </c>
      <c r="Z474" s="19" t="s">
        <v>772</v>
      </c>
      <c r="AA474" s="210">
        <v>45000</v>
      </c>
      <c r="AB474" s="9">
        <v>38</v>
      </c>
      <c r="AC474" s="9">
        <v>37</v>
      </c>
      <c r="AD474" s="17">
        <v>45626</v>
      </c>
      <c r="AE474" s="56">
        <v>700</v>
      </c>
      <c r="AF474" s="56"/>
      <c r="AH474" s="17"/>
      <c r="AP474" s="11"/>
      <c r="AQ474" s="11"/>
      <c r="AR474" s="11"/>
      <c r="AW474" s="17"/>
      <c r="AX474" s="60"/>
      <c r="BA474" s="56"/>
      <c r="BB474" s="56"/>
      <c r="BD474" s="9"/>
      <c r="CS474" s="11">
        <f t="shared" si="37"/>
        <v>0</v>
      </c>
      <c r="CT474" s="22">
        <f t="shared" si="38"/>
        <v>0</v>
      </c>
      <c r="CU474" s="22">
        <f t="shared" si="35"/>
        <v>0</v>
      </c>
      <c r="CV474" s="26">
        <f t="shared" si="39"/>
        <v>700</v>
      </c>
    </row>
    <row r="475" spans="1:100" x14ac:dyDescent="0.2">
      <c r="A475" s="9" t="s">
        <v>247</v>
      </c>
      <c r="B475" s="2">
        <v>130</v>
      </c>
      <c r="C475" s="3" t="s">
        <v>95</v>
      </c>
      <c r="D475" s="3" t="s">
        <v>96</v>
      </c>
      <c r="E475" s="2"/>
      <c r="F475" s="2"/>
      <c r="G475" s="2" t="s">
        <v>82</v>
      </c>
      <c r="H475" s="2">
        <v>7</v>
      </c>
      <c r="I475" s="8">
        <v>165.5</v>
      </c>
      <c r="J475" s="8">
        <v>49999</v>
      </c>
      <c r="K475" s="3">
        <v>0</v>
      </c>
      <c r="L475" s="3" t="s">
        <v>3</v>
      </c>
      <c r="M475" s="9" t="s">
        <v>0</v>
      </c>
      <c r="N475" s="9" t="s">
        <v>14</v>
      </c>
      <c r="O475" s="9" t="s">
        <v>248</v>
      </c>
      <c r="P475" s="9" t="s">
        <v>0</v>
      </c>
      <c r="Q475" s="30" t="s">
        <v>249</v>
      </c>
      <c r="R475" s="9" t="s">
        <v>250</v>
      </c>
      <c r="S475" s="9" t="s">
        <v>158</v>
      </c>
      <c r="T475" s="10" t="s">
        <v>82</v>
      </c>
      <c r="U475" s="10">
        <v>7</v>
      </c>
      <c r="V475" s="10">
        <v>165.5</v>
      </c>
      <c r="W475" s="10" t="s">
        <v>710</v>
      </c>
      <c r="X475" s="17">
        <v>44629</v>
      </c>
      <c r="Y475" s="17">
        <v>44629</v>
      </c>
      <c r="Z475" s="19" t="s">
        <v>772</v>
      </c>
      <c r="AA475" s="210">
        <v>45000</v>
      </c>
      <c r="AB475" s="9">
        <v>38</v>
      </c>
      <c r="AC475" s="9">
        <v>38</v>
      </c>
      <c r="AD475" s="17">
        <v>45656</v>
      </c>
      <c r="AE475" s="56">
        <v>14600</v>
      </c>
      <c r="AF475" s="56"/>
      <c r="AH475" s="17"/>
      <c r="AP475" s="11"/>
      <c r="AQ475" s="11"/>
      <c r="AR475" s="11"/>
      <c r="AW475" s="9"/>
      <c r="BD475" s="9"/>
      <c r="CS475" s="11">
        <f t="shared" si="37"/>
        <v>0</v>
      </c>
      <c r="CT475" s="22">
        <f t="shared" si="38"/>
        <v>0</v>
      </c>
      <c r="CU475" s="22">
        <f t="shared" si="35"/>
        <v>0</v>
      </c>
      <c r="CV475" s="26">
        <f t="shared" si="39"/>
        <v>14600</v>
      </c>
    </row>
    <row r="476" spans="1:100" x14ac:dyDescent="0.2">
      <c r="A476" s="9" t="s">
        <v>255</v>
      </c>
      <c r="B476" s="2">
        <v>42</v>
      </c>
      <c r="C476" s="3" t="s">
        <v>95</v>
      </c>
      <c r="D476" s="63" t="s">
        <v>96</v>
      </c>
      <c r="E476" s="62"/>
      <c r="F476" s="62"/>
      <c r="G476" s="2" t="s">
        <v>70</v>
      </c>
      <c r="H476" s="2">
        <v>4</v>
      </c>
      <c r="I476" s="20">
        <v>145.38</v>
      </c>
      <c r="J476" s="20">
        <v>47900</v>
      </c>
      <c r="K476" s="3">
        <v>0</v>
      </c>
      <c r="L476" s="3" t="s">
        <v>3</v>
      </c>
      <c r="M476" s="9" t="s">
        <v>62</v>
      </c>
      <c r="N476" s="9" t="s">
        <v>15</v>
      </c>
      <c r="O476" s="9" t="s">
        <v>259</v>
      </c>
      <c r="S476" s="9" t="s">
        <v>158</v>
      </c>
      <c r="T476" s="10" t="s">
        <v>70</v>
      </c>
      <c r="U476" s="10">
        <v>4</v>
      </c>
      <c r="V476" s="10">
        <v>145.38</v>
      </c>
      <c r="W476" s="10" t="s">
        <v>710</v>
      </c>
      <c r="X476" s="17">
        <v>45199</v>
      </c>
      <c r="Y476" s="17">
        <v>45222</v>
      </c>
      <c r="Z476" s="19" t="s">
        <v>772</v>
      </c>
      <c r="AA476" s="207">
        <v>42900</v>
      </c>
      <c r="AB476" s="61">
        <v>82</v>
      </c>
      <c r="AC476" s="61">
        <v>0</v>
      </c>
      <c r="AD476" s="17">
        <v>45199</v>
      </c>
      <c r="AE476" s="56">
        <v>1000</v>
      </c>
      <c r="AF476" s="56"/>
      <c r="AG476" s="9" t="s">
        <v>275</v>
      </c>
      <c r="AH476" s="17">
        <v>45199</v>
      </c>
      <c r="AI476" s="9">
        <v>20610345779</v>
      </c>
      <c r="AJ476" s="9" t="s">
        <v>2841</v>
      </c>
      <c r="AK476" s="9" t="s">
        <v>2835</v>
      </c>
      <c r="AL476" s="11">
        <v>1000</v>
      </c>
      <c r="AN476" s="11" t="s">
        <v>2838</v>
      </c>
      <c r="AP476" s="11"/>
      <c r="AQ476" s="11"/>
      <c r="AR476" s="11"/>
      <c r="AW476" s="17">
        <v>45200</v>
      </c>
      <c r="AX476" s="9">
        <v>28252</v>
      </c>
      <c r="AY476" s="9">
        <v>3780</v>
      </c>
      <c r="AZ476" s="9">
        <v>3.78</v>
      </c>
      <c r="BA476" s="11">
        <v>1000</v>
      </c>
      <c r="BD476" s="9"/>
      <c r="CS476" s="11">
        <f t="shared" si="37"/>
        <v>1000</v>
      </c>
      <c r="CT476" s="22">
        <f t="shared" si="38"/>
        <v>1000</v>
      </c>
      <c r="CU476" s="22">
        <f t="shared" ref="CU476:CU539" si="40">+CS476-CT476</f>
        <v>0</v>
      </c>
      <c r="CV476" s="26">
        <f t="shared" si="39"/>
        <v>0</v>
      </c>
    </row>
    <row r="477" spans="1:100" x14ac:dyDescent="0.2">
      <c r="A477" s="9" t="s">
        <v>255</v>
      </c>
      <c r="B477" s="2">
        <v>42</v>
      </c>
      <c r="C477" s="3" t="s">
        <v>95</v>
      </c>
      <c r="D477" s="63" t="s">
        <v>96</v>
      </c>
      <c r="E477" s="62"/>
      <c r="F477" s="62"/>
      <c r="G477" s="2" t="s">
        <v>70</v>
      </c>
      <c r="H477" s="2">
        <v>4</v>
      </c>
      <c r="I477" s="20">
        <v>145.38</v>
      </c>
      <c r="J477" s="20">
        <v>47900</v>
      </c>
      <c r="K477" s="3">
        <v>0</v>
      </c>
      <c r="L477" s="3" t="s">
        <v>3</v>
      </c>
      <c r="M477" s="9" t="s">
        <v>62</v>
      </c>
      <c r="N477" s="9" t="s">
        <v>15</v>
      </c>
      <c r="O477" s="9" t="s">
        <v>259</v>
      </c>
      <c r="S477" s="9" t="s">
        <v>158</v>
      </c>
      <c r="T477" s="10" t="s">
        <v>70</v>
      </c>
      <c r="U477" s="10">
        <v>4</v>
      </c>
      <c r="V477" s="10">
        <v>145.38</v>
      </c>
      <c r="W477" s="10" t="s">
        <v>710</v>
      </c>
      <c r="X477" s="17">
        <v>45199</v>
      </c>
      <c r="Y477" s="17">
        <v>45222</v>
      </c>
      <c r="Z477" s="19" t="s">
        <v>772</v>
      </c>
      <c r="AA477" s="207">
        <v>42900</v>
      </c>
      <c r="AB477" s="9">
        <v>82</v>
      </c>
      <c r="AC477" s="9">
        <v>0</v>
      </c>
      <c r="AD477" s="17">
        <v>45222</v>
      </c>
      <c r="AE477" s="54">
        <v>1000</v>
      </c>
      <c r="AF477" s="54"/>
      <c r="AG477" s="9" t="s">
        <v>275</v>
      </c>
      <c r="AH477" s="17">
        <v>45222</v>
      </c>
      <c r="AI477" s="9">
        <v>20610345779</v>
      </c>
      <c r="AJ477" s="9" t="s">
        <v>2841</v>
      </c>
      <c r="AK477" s="9" t="s">
        <v>2836</v>
      </c>
      <c r="AL477" s="22">
        <v>1000</v>
      </c>
      <c r="AM477" s="22"/>
      <c r="AN477" s="22" t="s">
        <v>2839</v>
      </c>
      <c r="AO477" s="22"/>
      <c r="AP477" s="22"/>
      <c r="AQ477" s="22"/>
      <c r="AR477" s="22"/>
      <c r="AS477" s="22"/>
      <c r="AT477" s="22"/>
      <c r="AU477" s="22"/>
      <c r="AV477" s="22"/>
      <c r="AW477" s="17">
        <v>45222</v>
      </c>
      <c r="AX477" s="9" t="s">
        <v>260</v>
      </c>
      <c r="BA477" s="22">
        <v>1000</v>
      </c>
      <c r="BB477" s="22"/>
      <c r="BD477" s="9"/>
      <c r="CS477" s="11">
        <f t="shared" si="37"/>
        <v>1000</v>
      </c>
      <c r="CT477" s="22">
        <f t="shared" si="38"/>
        <v>1000</v>
      </c>
      <c r="CU477" s="22">
        <f t="shared" si="40"/>
        <v>0</v>
      </c>
      <c r="CV477" s="26">
        <f t="shared" si="39"/>
        <v>0</v>
      </c>
    </row>
    <row r="478" spans="1:100" x14ac:dyDescent="0.2">
      <c r="A478" s="9" t="s">
        <v>255</v>
      </c>
      <c r="B478" s="2">
        <v>42</v>
      </c>
      <c r="C478" s="3" t="s">
        <v>95</v>
      </c>
      <c r="D478" s="63" t="s">
        <v>96</v>
      </c>
      <c r="E478" s="62"/>
      <c r="F478" s="62"/>
      <c r="G478" s="2" t="s">
        <v>70</v>
      </c>
      <c r="H478" s="2">
        <v>4</v>
      </c>
      <c r="I478" s="20">
        <v>145.38</v>
      </c>
      <c r="J478" s="20">
        <v>47900</v>
      </c>
      <c r="K478" s="3">
        <v>0</v>
      </c>
      <c r="L478" s="3" t="s">
        <v>3</v>
      </c>
      <c r="M478" s="9" t="s">
        <v>62</v>
      </c>
      <c r="N478" s="9" t="s">
        <v>15</v>
      </c>
      <c r="O478" s="9" t="s">
        <v>259</v>
      </c>
      <c r="S478" s="9" t="s">
        <v>158</v>
      </c>
      <c r="T478" s="10" t="s">
        <v>70</v>
      </c>
      <c r="U478" s="10">
        <v>4</v>
      </c>
      <c r="V478" s="10">
        <v>145.38</v>
      </c>
      <c r="W478" s="10" t="s">
        <v>710</v>
      </c>
      <c r="X478" s="17">
        <v>45199</v>
      </c>
      <c r="Y478" s="17">
        <v>45222</v>
      </c>
      <c r="Z478" s="19" t="s">
        <v>772</v>
      </c>
      <c r="AA478" s="207">
        <v>42900</v>
      </c>
      <c r="AB478" s="9">
        <v>82</v>
      </c>
      <c r="AC478" s="9">
        <v>1</v>
      </c>
      <c r="AD478" s="17">
        <v>45260</v>
      </c>
      <c r="AE478" s="54">
        <v>500</v>
      </c>
      <c r="AF478" s="54"/>
      <c r="AG478" s="9" t="s">
        <v>275</v>
      </c>
      <c r="AH478" s="17">
        <v>45261</v>
      </c>
      <c r="AI478" s="9">
        <v>20610345779</v>
      </c>
      <c r="AJ478" s="9" t="s">
        <v>2841</v>
      </c>
      <c r="AK478" s="9" t="s">
        <v>2837</v>
      </c>
      <c r="AL478" s="22">
        <v>500</v>
      </c>
      <c r="AM478" s="22"/>
      <c r="AN478" s="22" t="s">
        <v>2840</v>
      </c>
      <c r="AO478" s="22"/>
      <c r="AP478" s="22"/>
      <c r="AQ478" s="22"/>
      <c r="AR478" s="22"/>
      <c r="AS478" s="22"/>
      <c r="AT478" s="22"/>
      <c r="AU478" s="22"/>
      <c r="AV478" s="22"/>
      <c r="AW478" s="17">
        <v>45260</v>
      </c>
      <c r="AX478" s="9">
        <v>2083</v>
      </c>
      <c r="BA478" s="22">
        <v>500</v>
      </c>
      <c r="BB478" s="22"/>
      <c r="BD478" s="9"/>
      <c r="CS478" s="11">
        <f t="shared" si="37"/>
        <v>500</v>
      </c>
      <c r="CT478" s="22">
        <f t="shared" si="38"/>
        <v>500</v>
      </c>
      <c r="CU478" s="22">
        <f t="shared" si="40"/>
        <v>0</v>
      </c>
      <c r="CV478" s="26">
        <f t="shared" si="39"/>
        <v>0</v>
      </c>
    </row>
    <row r="479" spans="1:100" ht="12.75" x14ac:dyDescent="0.2">
      <c r="A479" s="9" t="s">
        <v>255</v>
      </c>
      <c r="B479" s="2">
        <v>42</v>
      </c>
      <c r="C479" s="3" t="s">
        <v>95</v>
      </c>
      <c r="D479" s="63" t="s">
        <v>96</v>
      </c>
      <c r="E479" s="62"/>
      <c r="F479" s="62"/>
      <c r="G479" s="2" t="s">
        <v>70</v>
      </c>
      <c r="H479" s="2">
        <v>4</v>
      </c>
      <c r="I479" s="20">
        <v>145.38</v>
      </c>
      <c r="J479" s="20">
        <v>47900</v>
      </c>
      <c r="K479" s="3">
        <v>0</v>
      </c>
      <c r="L479" s="3" t="s">
        <v>3</v>
      </c>
      <c r="M479" s="9" t="s">
        <v>62</v>
      </c>
      <c r="N479" s="9" t="s">
        <v>15</v>
      </c>
      <c r="O479" s="9" t="s">
        <v>259</v>
      </c>
      <c r="S479" s="9" t="s">
        <v>158</v>
      </c>
      <c r="T479" s="10" t="s">
        <v>70</v>
      </c>
      <c r="U479" s="10">
        <v>4</v>
      </c>
      <c r="V479" s="10">
        <v>145.38</v>
      </c>
      <c r="W479" s="10" t="s">
        <v>710</v>
      </c>
      <c r="X479" s="17">
        <v>45199</v>
      </c>
      <c r="Y479" s="17">
        <v>45222</v>
      </c>
      <c r="Z479" s="19" t="s">
        <v>772</v>
      </c>
      <c r="AA479" s="207">
        <v>42900</v>
      </c>
      <c r="AB479" s="9">
        <v>82</v>
      </c>
      <c r="AC479" s="9">
        <v>2</v>
      </c>
      <c r="AD479" s="17">
        <v>45290</v>
      </c>
      <c r="AE479" s="54">
        <v>500</v>
      </c>
      <c r="AF479" s="54"/>
      <c r="AG479" s="9" t="s">
        <v>275</v>
      </c>
      <c r="AH479" s="17">
        <v>45294</v>
      </c>
      <c r="AI479" s="9">
        <v>20610345779</v>
      </c>
      <c r="AJ479" s="9" t="s">
        <v>2841</v>
      </c>
      <c r="AK479" s="9" t="s">
        <v>2842</v>
      </c>
      <c r="AL479" s="22">
        <v>500</v>
      </c>
      <c r="AM479" s="22"/>
      <c r="AN479" s="22" t="s">
        <v>2852</v>
      </c>
      <c r="AO479" s="22"/>
      <c r="AP479" s="22"/>
      <c r="AQ479" s="22"/>
      <c r="AR479" s="22"/>
      <c r="AS479" s="22"/>
      <c r="AT479" s="22"/>
      <c r="AU479" s="22"/>
      <c r="AV479" s="22"/>
      <c r="AW479" s="17">
        <v>45290</v>
      </c>
      <c r="AX479" s="96">
        <v>2159</v>
      </c>
      <c r="BA479" s="22">
        <v>500</v>
      </c>
      <c r="BB479" s="22"/>
      <c r="BD479" s="9"/>
      <c r="CS479" s="11">
        <f t="shared" si="37"/>
        <v>500</v>
      </c>
      <c r="CT479" s="22">
        <f t="shared" si="38"/>
        <v>500</v>
      </c>
      <c r="CU479" s="22">
        <f t="shared" si="40"/>
        <v>0</v>
      </c>
      <c r="CV479" s="26">
        <f t="shared" si="39"/>
        <v>0</v>
      </c>
    </row>
    <row r="480" spans="1:100" ht="12.75" x14ac:dyDescent="0.2">
      <c r="A480" s="9" t="s">
        <v>255</v>
      </c>
      <c r="B480" s="2">
        <v>42</v>
      </c>
      <c r="C480" s="3" t="s">
        <v>95</v>
      </c>
      <c r="D480" s="63" t="s">
        <v>96</v>
      </c>
      <c r="E480" s="62"/>
      <c r="F480" s="62"/>
      <c r="G480" s="2" t="s">
        <v>70</v>
      </c>
      <c r="H480" s="2">
        <v>4</v>
      </c>
      <c r="I480" s="20">
        <v>145.38</v>
      </c>
      <c r="J480" s="20">
        <v>47900</v>
      </c>
      <c r="K480" s="3">
        <v>0</v>
      </c>
      <c r="L480" s="3" t="s">
        <v>3</v>
      </c>
      <c r="M480" s="9" t="s">
        <v>62</v>
      </c>
      <c r="N480" s="9" t="s">
        <v>15</v>
      </c>
      <c r="O480" s="9" t="s">
        <v>259</v>
      </c>
      <c r="S480" s="9" t="s">
        <v>158</v>
      </c>
      <c r="T480" s="10" t="s">
        <v>70</v>
      </c>
      <c r="U480" s="10">
        <v>4</v>
      </c>
      <c r="V480" s="10">
        <v>145.38</v>
      </c>
      <c r="W480" s="10" t="s">
        <v>710</v>
      </c>
      <c r="X480" s="17">
        <v>45199</v>
      </c>
      <c r="Y480" s="17">
        <v>45222</v>
      </c>
      <c r="Z480" s="19" t="s">
        <v>772</v>
      </c>
      <c r="AA480" s="207">
        <v>42900</v>
      </c>
      <c r="AB480" s="9">
        <v>82</v>
      </c>
      <c r="AC480" s="9">
        <v>3</v>
      </c>
      <c r="AD480" s="17">
        <v>45321</v>
      </c>
      <c r="AE480" s="54">
        <v>500</v>
      </c>
      <c r="AF480" s="54"/>
      <c r="AG480" s="9" t="s">
        <v>275</v>
      </c>
      <c r="AH480" s="17">
        <v>45335</v>
      </c>
      <c r="AI480" s="9">
        <v>20610345779</v>
      </c>
      <c r="AJ480" s="9" t="s">
        <v>2841</v>
      </c>
      <c r="AK480" s="9" t="s">
        <v>2843</v>
      </c>
      <c r="AL480" s="22">
        <v>500</v>
      </c>
      <c r="AM480" s="22"/>
      <c r="AN480" s="22" t="s">
        <v>2853</v>
      </c>
      <c r="AO480" s="22"/>
      <c r="AP480" s="22"/>
      <c r="AQ480" s="22"/>
      <c r="AR480" s="22"/>
      <c r="AS480" s="22"/>
      <c r="AT480" s="22"/>
      <c r="AU480" s="22"/>
      <c r="AV480" s="22"/>
      <c r="AW480" s="17">
        <v>45323</v>
      </c>
      <c r="AX480" s="96">
        <v>2265</v>
      </c>
      <c r="BA480" s="107">
        <v>385</v>
      </c>
      <c r="BB480" s="22"/>
      <c r="BC480" s="17">
        <v>45323</v>
      </c>
      <c r="BD480" s="96">
        <v>2266</v>
      </c>
      <c r="BG480" s="107">
        <v>115</v>
      </c>
      <c r="CS480" s="11">
        <f t="shared" si="37"/>
        <v>500</v>
      </c>
      <c r="CT480" s="22">
        <f t="shared" si="38"/>
        <v>500</v>
      </c>
      <c r="CU480" s="22">
        <f t="shared" si="40"/>
        <v>0</v>
      </c>
      <c r="CV480" s="26">
        <f t="shared" si="39"/>
        <v>0</v>
      </c>
    </row>
    <row r="481" spans="1:103" ht="12.75" x14ac:dyDescent="0.2">
      <c r="A481" s="9" t="s">
        <v>255</v>
      </c>
      <c r="B481" s="2">
        <v>42</v>
      </c>
      <c r="C481" s="3" t="s">
        <v>95</v>
      </c>
      <c r="D481" s="63" t="s">
        <v>96</v>
      </c>
      <c r="E481" s="62"/>
      <c r="F481" s="62"/>
      <c r="G481" s="2" t="s">
        <v>70</v>
      </c>
      <c r="H481" s="2">
        <v>4</v>
      </c>
      <c r="I481" s="20">
        <v>145.38</v>
      </c>
      <c r="J481" s="20">
        <v>47900</v>
      </c>
      <c r="K481" s="3">
        <v>0</v>
      </c>
      <c r="L481" s="3" t="s">
        <v>3</v>
      </c>
      <c r="M481" s="9" t="s">
        <v>62</v>
      </c>
      <c r="N481" s="9" t="s">
        <v>15</v>
      </c>
      <c r="O481" s="9" t="s">
        <v>259</v>
      </c>
      <c r="S481" s="9" t="s">
        <v>158</v>
      </c>
      <c r="T481" s="10" t="s">
        <v>70</v>
      </c>
      <c r="U481" s="10">
        <v>4</v>
      </c>
      <c r="V481" s="10">
        <v>145.38</v>
      </c>
      <c r="W481" s="10" t="s">
        <v>710</v>
      </c>
      <c r="X481" s="17">
        <v>45199</v>
      </c>
      <c r="Y481" s="17">
        <v>45222</v>
      </c>
      <c r="Z481" s="19" t="s">
        <v>772</v>
      </c>
      <c r="AA481" s="207">
        <v>42900</v>
      </c>
      <c r="AB481" s="9">
        <v>82</v>
      </c>
      <c r="AC481" s="9">
        <v>4</v>
      </c>
      <c r="AD481" s="17">
        <v>45351</v>
      </c>
      <c r="AE481" s="54">
        <v>500</v>
      </c>
      <c r="AF481" s="54"/>
      <c r="AG481" s="9" t="s">
        <v>275</v>
      </c>
      <c r="AH481" s="17">
        <v>45356</v>
      </c>
      <c r="AI481" s="9">
        <v>20610345779</v>
      </c>
      <c r="AJ481" s="9" t="s">
        <v>2841</v>
      </c>
      <c r="AK481" s="9" t="s">
        <v>2844</v>
      </c>
      <c r="AL481" s="22">
        <v>500</v>
      </c>
      <c r="AM481" s="22"/>
      <c r="AN481" s="22" t="s">
        <v>2854</v>
      </c>
      <c r="AO481" s="22"/>
      <c r="AP481" s="22"/>
      <c r="AQ481" s="22"/>
      <c r="AR481" s="22"/>
      <c r="AS481" s="22"/>
      <c r="AT481" s="22"/>
      <c r="AU481" s="22"/>
      <c r="AV481" s="22"/>
      <c r="AW481" s="17">
        <v>45351</v>
      </c>
      <c r="AX481" s="96">
        <v>2360</v>
      </c>
      <c r="BA481" s="22">
        <v>500</v>
      </c>
      <c r="BB481" s="22"/>
      <c r="BD481" s="9"/>
      <c r="CS481" s="11">
        <f t="shared" si="37"/>
        <v>500</v>
      </c>
      <c r="CT481" s="22">
        <f t="shared" si="38"/>
        <v>500</v>
      </c>
      <c r="CU481" s="22">
        <f t="shared" si="40"/>
        <v>0</v>
      </c>
      <c r="CV481" s="26">
        <f t="shared" si="39"/>
        <v>0</v>
      </c>
    </row>
    <row r="482" spans="1:103" x14ac:dyDescent="0.2">
      <c r="A482" s="9" t="s">
        <v>255</v>
      </c>
      <c r="B482" s="2">
        <v>42</v>
      </c>
      <c r="C482" s="3" t="s">
        <v>95</v>
      </c>
      <c r="D482" s="63" t="s">
        <v>96</v>
      </c>
      <c r="E482" s="62"/>
      <c r="F482" s="62"/>
      <c r="G482" s="2" t="s">
        <v>70</v>
      </c>
      <c r="H482" s="2">
        <v>4</v>
      </c>
      <c r="I482" s="20">
        <v>145.38</v>
      </c>
      <c r="J482" s="20">
        <v>47900</v>
      </c>
      <c r="K482" s="3">
        <v>0</v>
      </c>
      <c r="L482" s="3" t="s">
        <v>3</v>
      </c>
      <c r="M482" s="9" t="s">
        <v>62</v>
      </c>
      <c r="N482" s="9" t="s">
        <v>15</v>
      </c>
      <c r="O482" s="9" t="s">
        <v>259</v>
      </c>
      <c r="S482" s="9" t="s">
        <v>158</v>
      </c>
      <c r="T482" s="10" t="s">
        <v>70</v>
      </c>
      <c r="U482" s="10">
        <v>4</v>
      </c>
      <c r="V482" s="10">
        <v>145.38</v>
      </c>
      <c r="W482" s="10" t="s">
        <v>710</v>
      </c>
      <c r="X482" s="17">
        <v>45199</v>
      </c>
      <c r="Y482" s="17">
        <v>45222</v>
      </c>
      <c r="Z482" s="19" t="s">
        <v>772</v>
      </c>
      <c r="AA482" s="207">
        <v>42900</v>
      </c>
      <c r="AB482" s="9">
        <v>82</v>
      </c>
      <c r="AC482" s="9">
        <v>5</v>
      </c>
      <c r="AD482" s="17">
        <v>45381</v>
      </c>
      <c r="AE482" s="54">
        <v>500</v>
      </c>
      <c r="AF482" s="54"/>
      <c r="AG482" s="9" t="s">
        <v>275</v>
      </c>
      <c r="AH482" s="17">
        <v>45393</v>
      </c>
      <c r="AI482" s="9">
        <v>20610345779</v>
      </c>
      <c r="AJ482" s="9" t="s">
        <v>2841</v>
      </c>
      <c r="AK482" s="9" t="s">
        <v>2845</v>
      </c>
      <c r="AL482" s="22">
        <v>500</v>
      </c>
      <c r="AM482" s="22"/>
      <c r="AN482" s="22" t="s">
        <v>2855</v>
      </c>
      <c r="AO482" s="22"/>
      <c r="AP482" s="22"/>
      <c r="AQ482" s="22"/>
      <c r="AR482" s="22"/>
      <c r="AS482" s="22"/>
      <c r="AT482" s="22"/>
      <c r="AU482" s="22"/>
      <c r="AV482" s="22"/>
      <c r="AW482" s="17">
        <v>45381</v>
      </c>
      <c r="AX482" s="9">
        <v>2494</v>
      </c>
      <c r="BA482" s="22">
        <v>500</v>
      </c>
      <c r="BB482" s="22"/>
      <c r="BD482" s="9"/>
      <c r="CS482" s="11">
        <f t="shared" si="37"/>
        <v>500</v>
      </c>
      <c r="CT482" s="22">
        <f t="shared" si="38"/>
        <v>500</v>
      </c>
      <c r="CU482" s="22">
        <f t="shared" si="40"/>
        <v>0</v>
      </c>
      <c r="CV482" s="26">
        <f t="shared" si="39"/>
        <v>0</v>
      </c>
    </row>
    <row r="483" spans="1:103" x14ac:dyDescent="0.2">
      <c r="A483" s="9" t="s">
        <v>255</v>
      </c>
      <c r="B483" s="2">
        <v>42</v>
      </c>
      <c r="C483" s="3" t="s">
        <v>95</v>
      </c>
      <c r="D483" s="63" t="s">
        <v>96</v>
      </c>
      <c r="E483" s="62"/>
      <c r="F483" s="62"/>
      <c r="G483" s="2" t="s">
        <v>70</v>
      </c>
      <c r="H483" s="2">
        <v>4</v>
      </c>
      <c r="I483" s="20">
        <v>145.38</v>
      </c>
      <c r="J483" s="20">
        <v>47900</v>
      </c>
      <c r="K483" s="3">
        <v>0</v>
      </c>
      <c r="L483" s="3" t="s">
        <v>3</v>
      </c>
      <c r="M483" s="9" t="s">
        <v>62</v>
      </c>
      <c r="N483" s="9" t="s">
        <v>15</v>
      </c>
      <c r="O483" s="9" t="s">
        <v>259</v>
      </c>
      <c r="S483" s="9" t="s">
        <v>158</v>
      </c>
      <c r="T483" s="10" t="s">
        <v>70</v>
      </c>
      <c r="U483" s="10">
        <v>4</v>
      </c>
      <c r="V483" s="10">
        <v>145.38</v>
      </c>
      <c r="W483" s="10" t="s">
        <v>710</v>
      </c>
      <c r="X483" s="17">
        <v>45199</v>
      </c>
      <c r="Y483" s="17">
        <v>45222</v>
      </c>
      <c r="Z483" s="19" t="s">
        <v>772</v>
      </c>
      <c r="AA483" s="207">
        <v>42900</v>
      </c>
      <c r="AB483" s="9">
        <v>82</v>
      </c>
      <c r="AC483" s="9">
        <v>6</v>
      </c>
      <c r="AD483" s="17">
        <v>45412</v>
      </c>
      <c r="AE483" s="54">
        <v>500</v>
      </c>
      <c r="AF483" s="54"/>
      <c r="AG483" s="9" t="s">
        <v>275</v>
      </c>
      <c r="AH483" s="17">
        <v>45435</v>
      </c>
      <c r="AI483" s="9">
        <v>20610345779</v>
      </c>
      <c r="AJ483" s="9" t="s">
        <v>2841</v>
      </c>
      <c r="AK483" s="9" t="s">
        <v>2846</v>
      </c>
      <c r="AL483" s="22">
        <v>500</v>
      </c>
      <c r="AM483" s="22"/>
      <c r="AN483" s="22" t="s">
        <v>2856</v>
      </c>
      <c r="AO483" s="22"/>
      <c r="AP483" s="22"/>
      <c r="AQ483" s="22"/>
      <c r="AR483" s="22"/>
      <c r="AS483" s="22"/>
      <c r="AT483" s="22"/>
      <c r="AU483" s="22"/>
      <c r="AV483" s="22"/>
      <c r="AW483" s="17">
        <v>45412</v>
      </c>
      <c r="AX483" s="9">
        <v>2584</v>
      </c>
      <c r="BA483" s="22">
        <v>500</v>
      </c>
      <c r="BB483" s="22"/>
      <c r="BD483" s="9"/>
      <c r="CS483" s="11">
        <f t="shared" si="37"/>
        <v>500</v>
      </c>
      <c r="CT483" s="22">
        <f t="shared" si="38"/>
        <v>500</v>
      </c>
      <c r="CU483" s="22">
        <f t="shared" si="40"/>
        <v>0</v>
      </c>
      <c r="CV483" s="26">
        <f t="shared" si="39"/>
        <v>0</v>
      </c>
    </row>
    <row r="484" spans="1:103" ht="12.75" x14ac:dyDescent="0.2">
      <c r="A484" s="9" t="s">
        <v>255</v>
      </c>
      <c r="B484" s="2">
        <v>42</v>
      </c>
      <c r="C484" s="3" t="s">
        <v>95</v>
      </c>
      <c r="D484" s="63" t="s">
        <v>96</v>
      </c>
      <c r="E484" s="62"/>
      <c r="F484" s="62"/>
      <c r="G484" s="2" t="s">
        <v>70</v>
      </c>
      <c r="H484" s="2">
        <v>4</v>
      </c>
      <c r="I484" s="20">
        <v>145.38</v>
      </c>
      <c r="J484" s="20">
        <v>47900</v>
      </c>
      <c r="K484" s="3">
        <v>0</v>
      </c>
      <c r="L484" s="3" t="s">
        <v>3</v>
      </c>
      <c r="M484" s="9" t="s">
        <v>62</v>
      </c>
      <c r="N484" s="9" t="s">
        <v>15</v>
      </c>
      <c r="O484" s="9" t="s">
        <v>259</v>
      </c>
      <c r="S484" s="9" t="s">
        <v>158</v>
      </c>
      <c r="T484" s="10" t="s">
        <v>70</v>
      </c>
      <c r="U484" s="10">
        <v>4</v>
      </c>
      <c r="V484" s="10">
        <v>145.38</v>
      </c>
      <c r="W484" s="10" t="s">
        <v>710</v>
      </c>
      <c r="X484" s="17">
        <v>45199</v>
      </c>
      <c r="Y484" s="17">
        <v>45222</v>
      </c>
      <c r="Z484" s="19" t="s">
        <v>772</v>
      </c>
      <c r="AA484" s="207">
        <v>42900</v>
      </c>
      <c r="AB484" s="9">
        <v>82</v>
      </c>
      <c r="AC484" s="9">
        <v>7</v>
      </c>
      <c r="AD484" s="17">
        <v>45442</v>
      </c>
      <c r="AE484" s="54">
        <v>500</v>
      </c>
      <c r="AF484" s="54"/>
      <c r="AG484" s="9" t="s">
        <v>275</v>
      </c>
      <c r="AH484" s="17">
        <v>45446</v>
      </c>
      <c r="AI484" s="9">
        <v>20610345779</v>
      </c>
      <c r="AJ484" s="9" t="s">
        <v>2841</v>
      </c>
      <c r="AK484" s="9" t="s">
        <v>2847</v>
      </c>
      <c r="AL484" s="22">
        <v>500</v>
      </c>
      <c r="AM484" s="22"/>
      <c r="AN484" s="22" t="s">
        <v>2857</v>
      </c>
      <c r="AO484" s="22"/>
      <c r="AP484" s="22"/>
      <c r="AQ484" s="22"/>
      <c r="AR484" s="22"/>
      <c r="AS484" s="22"/>
      <c r="AT484" s="22"/>
      <c r="AU484" s="22"/>
      <c r="AV484" s="22"/>
      <c r="AW484" s="17">
        <v>45443</v>
      </c>
      <c r="AX484" s="96">
        <v>2722</v>
      </c>
      <c r="BA484" s="22">
        <v>500</v>
      </c>
      <c r="BB484" s="22"/>
      <c r="BD484" s="9"/>
      <c r="CS484" s="11">
        <f t="shared" si="37"/>
        <v>500</v>
      </c>
      <c r="CT484" s="22">
        <f t="shared" si="38"/>
        <v>500</v>
      </c>
      <c r="CU484" s="22">
        <f t="shared" si="40"/>
        <v>0</v>
      </c>
      <c r="CV484" s="26">
        <f t="shared" si="39"/>
        <v>0</v>
      </c>
    </row>
    <row r="485" spans="1:103" ht="12.75" x14ac:dyDescent="0.2">
      <c r="A485" s="9" t="s">
        <v>255</v>
      </c>
      <c r="B485" s="2">
        <v>42</v>
      </c>
      <c r="C485" s="3" t="s">
        <v>95</v>
      </c>
      <c r="D485" s="63" t="s">
        <v>96</v>
      </c>
      <c r="E485" s="62"/>
      <c r="F485" s="62"/>
      <c r="G485" s="2" t="s">
        <v>70</v>
      </c>
      <c r="H485" s="2">
        <v>4</v>
      </c>
      <c r="I485" s="20">
        <v>145.38</v>
      </c>
      <c r="J485" s="20">
        <v>47900</v>
      </c>
      <c r="K485" s="3">
        <v>0</v>
      </c>
      <c r="L485" s="3" t="s">
        <v>3</v>
      </c>
      <c r="M485" s="9" t="s">
        <v>62</v>
      </c>
      <c r="N485" s="9" t="s">
        <v>15</v>
      </c>
      <c r="O485" s="9" t="s">
        <v>259</v>
      </c>
      <c r="S485" s="9" t="s">
        <v>158</v>
      </c>
      <c r="T485" s="10" t="s">
        <v>70</v>
      </c>
      <c r="U485" s="10">
        <v>4</v>
      </c>
      <c r="V485" s="10">
        <v>145.38</v>
      </c>
      <c r="W485" s="10" t="s">
        <v>710</v>
      </c>
      <c r="X485" s="17">
        <v>45199</v>
      </c>
      <c r="Y485" s="17">
        <v>45222</v>
      </c>
      <c r="Z485" s="19" t="s">
        <v>772</v>
      </c>
      <c r="AA485" s="207">
        <v>42900</v>
      </c>
      <c r="AB485" s="9">
        <v>82</v>
      </c>
      <c r="AC485" s="9">
        <v>8</v>
      </c>
      <c r="AD485" s="17">
        <v>45473</v>
      </c>
      <c r="AE485" s="54">
        <v>500</v>
      </c>
      <c r="AF485" s="54"/>
      <c r="AG485" s="9" t="s">
        <v>275</v>
      </c>
      <c r="AH485" s="17">
        <v>45477</v>
      </c>
      <c r="AI485" s="9">
        <v>20610345779</v>
      </c>
      <c r="AJ485" s="9" t="s">
        <v>2841</v>
      </c>
      <c r="AK485" s="9" t="s">
        <v>2848</v>
      </c>
      <c r="AL485" s="22">
        <v>500</v>
      </c>
      <c r="AM485" s="22"/>
      <c r="AN485" s="22" t="s">
        <v>2858</v>
      </c>
      <c r="AO485" s="22"/>
      <c r="AP485" s="22"/>
      <c r="AQ485" s="22"/>
      <c r="AR485" s="22"/>
      <c r="AS485" s="22"/>
      <c r="AT485" s="22"/>
      <c r="AU485" s="22"/>
      <c r="AV485" s="22"/>
      <c r="AW485" s="17">
        <v>45477</v>
      </c>
      <c r="AX485" s="96">
        <v>2854</v>
      </c>
      <c r="BA485" s="22">
        <v>500</v>
      </c>
      <c r="BB485" s="22"/>
      <c r="BD485" s="9"/>
      <c r="CS485" s="11">
        <f t="shared" si="37"/>
        <v>500</v>
      </c>
      <c r="CT485" s="22">
        <f t="shared" si="38"/>
        <v>500</v>
      </c>
      <c r="CU485" s="22">
        <f t="shared" si="40"/>
        <v>0</v>
      </c>
      <c r="CV485" s="26">
        <f t="shared" si="39"/>
        <v>0</v>
      </c>
    </row>
    <row r="486" spans="1:103" ht="12.75" x14ac:dyDescent="0.2">
      <c r="A486" s="9" t="s">
        <v>255</v>
      </c>
      <c r="B486" s="2">
        <v>42</v>
      </c>
      <c r="C486" s="3" t="s">
        <v>95</v>
      </c>
      <c r="D486" s="63" t="s">
        <v>96</v>
      </c>
      <c r="E486" s="62"/>
      <c r="F486" s="62"/>
      <c r="G486" s="2" t="s">
        <v>70</v>
      </c>
      <c r="H486" s="2">
        <v>4</v>
      </c>
      <c r="I486" s="20">
        <v>145.38</v>
      </c>
      <c r="J486" s="20">
        <v>47900</v>
      </c>
      <c r="K486" s="3">
        <v>0</v>
      </c>
      <c r="L486" s="3" t="s">
        <v>3</v>
      </c>
      <c r="M486" s="9" t="s">
        <v>62</v>
      </c>
      <c r="N486" s="9" t="s">
        <v>15</v>
      </c>
      <c r="O486" s="9" t="s">
        <v>259</v>
      </c>
      <c r="S486" s="9" t="s">
        <v>158</v>
      </c>
      <c r="T486" s="10" t="s">
        <v>70</v>
      </c>
      <c r="U486" s="10">
        <v>4</v>
      </c>
      <c r="V486" s="10">
        <v>145.38</v>
      </c>
      <c r="W486" s="10" t="s">
        <v>710</v>
      </c>
      <c r="X486" s="17">
        <v>45199</v>
      </c>
      <c r="Y486" s="17">
        <v>45222</v>
      </c>
      <c r="Z486" s="19" t="s">
        <v>772</v>
      </c>
      <c r="AA486" s="207">
        <v>42900</v>
      </c>
      <c r="AB486" s="9">
        <v>82</v>
      </c>
      <c r="AC486" s="9">
        <v>9</v>
      </c>
      <c r="AD486" s="17">
        <v>45503</v>
      </c>
      <c r="AE486" s="54">
        <v>500</v>
      </c>
      <c r="AF486" s="54"/>
      <c r="AG486" s="9" t="s">
        <v>275</v>
      </c>
      <c r="AH486" s="17">
        <v>45511</v>
      </c>
      <c r="AI486" s="9">
        <v>20610345779</v>
      </c>
      <c r="AJ486" s="9" t="s">
        <v>2841</v>
      </c>
      <c r="AK486" s="9" t="s">
        <v>2849</v>
      </c>
      <c r="AL486" s="22">
        <v>500</v>
      </c>
      <c r="AM486" s="22"/>
      <c r="AN486" s="22" t="s">
        <v>2859</v>
      </c>
      <c r="AO486" s="22"/>
      <c r="AP486" s="22"/>
      <c r="AQ486" s="22"/>
      <c r="AR486" s="22"/>
      <c r="AS486" s="22"/>
      <c r="AT486" s="22"/>
      <c r="AU486" s="22"/>
      <c r="AV486" s="22"/>
      <c r="AW486" s="17">
        <v>45511</v>
      </c>
      <c r="AX486" s="96">
        <v>2999</v>
      </c>
      <c r="BA486" s="22">
        <v>500</v>
      </c>
      <c r="BB486" s="22"/>
      <c r="BD486" s="9"/>
      <c r="CS486" s="11">
        <f t="shared" si="37"/>
        <v>500</v>
      </c>
      <c r="CT486" s="22">
        <f t="shared" si="38"/>
        <v>500</v>
      </c>
      <c r="CU486" s="22">
        <f t="shared" si="40"/>
        <v>0</v>
      </c>
      <c r="CV486" s="26">
        <f t="shared" si="39"/>
        <v>0</v>
      </c>
    </row>
    <row r="487" spans="1:103" ht="12.75" x14ac:dyDescent="0.2">
      <c r="A487" s="9" t="s">
        <v>255</v>
      </c>
      <c r="B487" s="2">
        <v>42</v>
      </c>
      <c r="C487" s="3" t="s">
        <v>95</v>
      </c>
      <c r="D487" s="63" t="s">
        <v>96</v>
      </c>
      <c r="E487" s="62"/>
      <c r="F487" s="62"/>
      <c r="G487" s="2" t="s">
        <v>70</v>
      </c>
      <c r="H487" s="2">
        <v>4</v>
      </c>
      <c r="I487" s="20">
        <v>145.38</v>
      </c>
      <c r="J487" s="20">
        <v>47900</v>
      </c>
      <c r="K487" s="3">
        <v>0</v>
      </c>
      <c r="L487" s="3" t="s">
        <v>3</v>
      </c>
      <c r="M487" s="9" t="s">
        <v>62</v>
      </c>
      <c r="N487" s="9" t="s">
        <v>15</v>
      </c>
      <c r="O487" s="9" t="s">
        <v>259</v>
      </c>
      <c r="S487" s="9" t="s">
        <v>158</v>
      </c>
      <c r="T487" s="10" t="s">
        <v>70</v>
      </c>
      <c r="U487" s="10">
        <v>4</v>
      </c>
      <c r="V487" s="10">
        <v>145.38</v>
      </c>
      <c r="W487" s="10" t="s">
        <v>710</v>
      </c>
      <c r="X487" s="17">
        <v>45199</v>
      </c>
      <c r="Y487" s="17">
        <v>45222</v>
      </c>
      <c r="Z487" s="19" t="s">
        <v>772</v>
      </c>
      <c r="AA487" s="207">
        <v>42900</v>
      </c>
      <c r="AB487" s="9">
        <v>82</v>
      </c>
      <c r="AC487" s="9">
        <v>10</v>
      </c>
      <c r="AD487" s="17">
        <v>45534</v>
      </c>
      <c r="AE487" s="54">
        <v>500</v>
      </c>
      <c r="AF487" s="54"/>
      <c r="AG487" s="9" t="s">
        <v>275</v>
      </c>
      <c r="AH487" s="17">
        <v>45553</v>
      </c>
      <c r="AI487" s="9">
        <v>20610345779</v>
      </c>
      <c r="AJ487" s="9" t="s">
        <v>2841</v>
      </c>
      <c r="AK487" s="9" t="s">
        <v>2850</v>
      </c>
      <c r="AL487" s="22">
        <v>500</v>
      </c>
      <c r="AM487" s="22"/>
      <c r="AN487" s="22" t="s">
        <v>2860</v>
      </c>
      <c r="AO487" s="22"/>
      <c r="AP487" s="22"/>
      <c r="AQ487" s="22"/>
      <c r="AR487" s="22"/>
      <c r="AS487" s="22"/>
      <c r="AT487" s="22"/>
      <c r="AU487" s="22"/>
      <c r="AV487" s="22"/>
      <c r="AW487" s="17">
        <v>45553</v>
      </c>
      <c r="AX487" s="96">
        <v>3181</v>
      </c>
      <c r="BA487" s="22">
        <v>500</v>
      </c>
      <c r="BB487" s="22"/>
      <c r="BD487" s="9"/>
      <c r="CS487" s="11">
        <f t="shared" si="37"/>
        <v>500</v>
      </c>
      <c r="CT487" s="22">
        <f t="shared" si="38"/>
        <v>500</v>
      </c>
      <c r="CU487" s="22">
        <f t="shared" si="40"/>
        <v>0</v>
      </c>
      <c r="CV487" s="26">
        <f t="shared" si="39"/>
        <v>0</v>
      </c>
    </row>
    <row r="488" spans="1:103" ht="12.75" x14ac:dyDescent="0.2">
      <c r="A488" s="9" t="s">
        <v>255</v>
      </c>
      <c r="B488" s="2">
        <v>42</v>
      </c>
      <c r="C488" s="3" t="s">
        <v>95</v>
      </c>
      <c r="D488" s="63" t="s">
        <v>96</v>
      </c>
      <c r="E488" s="62"/>
      <c r="F488" s="62"/>
      <c r="G488" s="2" t="s">
        <v>70</v>
      </c>
      <c r="H488" s="2">
        <v>4</v>
      </c>
      <c r="I488" s="20">
        <v>145.38</v>
      </c>
      <c r="J488" s="20">
        <v>47900</v>
      </c>
      <c r="K488" s="3">
        <v>0</v>
      </c>
      <c r="L488" s="3" t="s">
        <v>3</v>
      </c>
      <c r="M488" s="9" t="s">
        <v>62</v>
      </c>
      <c r="N488" s="9" t="s">
        <v>15</v>
      </c>
      <c r="O488" s="9" t="s">
        <v>259</v>
      </c>
      <c r="S488" s="9" t="s">
        <v>158</v>
      </c>
      <c r="T488" s="10" t="s">
        <v>70</v>
      </c>
      <c r="U488" s="10">
        <v>4</v>
      </c>
      <c r="V488" s="10">
        <v>145.38</v>
      </c>
      <c r="W488" s="10" t="s">
        <v>710</v>
      </c>
      <c r="X488" s="17">
        <v>45199</v>
      </c>
      <c r="Y488" s="17">
        <v>45222</v>
      </c>
      <c r="Z488" s="19" t="s">
        <v>772</v>
      </c>
      <c r="AA488" s="207">
        <v>42900</v>
      </c>
      <c r="AB488" s="9">
        <v>82</v>
      </c>
      <c r="AC488" s="9">
        <v>11</v>
      </c>
      <c r="AD488" s="17">
        <v>45565</v>
      </c>
      <c r="AE488" s="54">
        <v>500</v>
      </c>
      <c r="AF488" s="54"/>
      <c r="AG488" s="9" t="s">
        <v>275</v>
      </c>
      <c r="AH488" s="17">
        <v>45568</v>
      </c>
      <c r="AI488" s="9">
        <v>20610345779</v>
      </c>
      <c r="AJ488" s="9" t="s">
        <v>2841</v>
      </c>
      <c r="AK488" s="9" t="s">
        <v>2851</v>
      </c>
      <c r="AL488" s="22">
        <v>500</v>
      </c>
      <c r="AM488" s="22"/>
      <c r="AN488" s="22" t="s">
        <v>2861</v>
      </c>
      <c r="AO488" s="22"/>
      <c r="AP488" s="22"/>
      <c r="AQ488" s="22"/>
      <c r="AR488" s="22"/>
      <c r="AS488" s="22"/>
      <c r="AT488" s="22"/>
      <c r="AU488" s="22"/>
      <c r="AV488" s="22"/>
      <c r="AW488" s="17">
        <v>45569</v>
      </c>
      <c r="AX488" s="148">
        <v>3245</v>
      </c>
      <c r="BA488" s="22">
        <v>500</v>
      </c>
      <c r="BB488" s="22"/>
      <c r="BD488" s="9"/>
      <c r="CS488" s="11">
        <f t="shared" si="37"/>
        <v>500</v>
      </c>
      <c r="CT488" s="22">
        <f t="shared" si="38"/>
        <v>500</v>
      </c>
      <c r="CU488" s="22">
        <f t="shared" si="40"/>
        <v>0</v>
      </c>
      <c r="CV488" s="26">
        <f t="shared" si="39"/>
        <v>0</v>
      </c>
    </row>
    <row r="489" spans="1:103" ht="12.75" x14ac:dyDescent="0.2">
      <c r="A489" s="9" t="s">
        <v>255</v>
      </c>
      <c r="B489" s="2">
        <v>42</v>
      </c>
      <c r="C489" s="3" t="s">
        <v>95</v>
      </c>
      <c r="D489" s="63" t="s">
        <v>96</v>
      </c>
      <c r="E489" s="62"/>
      <c r="F489" s="62"/>
      <c r="G489" s="2" t="s">
        <v>70</v>
      </c>
      <c r="H489" s="2">
        <v>4</v>
      </c>
      <c r="I489" s="20">
        <v>145.38</v>
      </c>
      <c r="J489" s="20">
        <v>47900</v>
      </c>
      <c r="K489" s="3">
        <v>0</v>
      </c>
      <c r="L489" s="3" t="s">
        <v>3</v>
      </c>
      <c r="M489" s="9" t="s">
        <v>62</v>
      </c>
      <c r="N489" s="9" t="s">
        <v>15</v>
      </c>
      <c r="O489" s="9" t="s">
        <v>259</v>
      </c>
      <c r="S489" s="9" t="s">
        <v>158</v>
      </c>
      <c r="T489" s="10" t="s">
        <v>70</v>
      </c>
      <c r="U489" s="10">
        <v>4</v>
      </c>
      <c r="V489" s="10">
        <v>145.38</v>
      </c>
      <c r="W489" s="10" t="s">
        <v>710</v>
      </c>
      <c r="X489" s="17">
        <v>45199</v>
      </c>
      <c r="Y489" s="17">
        <v>45222</v>
      </c>
      <c r="Z489" s="19" t="s">
        <v>772</v>
      </c>
      <c r="AA489" s="207">
        <v>42900</v>
      </c>
      <c r="AB489" s="9">
        <v>82</v>
      </c>
      <c r="AC489" s="9">
        <v>12</v>
      </c>
      <c r="AD489" s="17">
        <v>45595</v>
      </c>
      <c r="AE489" s="54">
        <v>500</v>
      </c>
      <c r="AF489" s="54"/>
      <c r="AG489" s="9" t="s">
        <v>275</v>
      </c>
      <c r="AH489" s="17">
        <v>45670</v>
      </c>
      <c r="AI489" s="9">
        <v>20610345779</v>
      </c>
      <c r="AJ489" s="9" t="s">
        <v>2841</v>
      </c>
      <c r="AK489" s="9" t="s">
        <v>2862</v>
      </c>
      <c r="AL489" s="22">
        <v>500</v>
      </c>
      <c r="AM489" s="22"/>
      <c r="AN489" s="22" t="s">
        <v>2871</v>
      </c>
      <c r="AO489" s="22"/>
      <c r="AP489" s="22"/>
      <c r="AQ489" s="22"/>
      <c r="AR489" s="22"/>
      <c r="AS489" s="22"/>
      <c r="AT489" s="22"/>
      <c r="AU489" s="22"/>
      <c r="AV489" s="22"/>
      <c r="AW489" s="17">
        <v>45671</v>
      </c>
      <c r="AX489" s="148">
        <v>3604</v>
      </c>
      <c r="BA489" s="22">
        <v>500</v>
      </c>
      <c r="BB489" s="22"/>
      <c r="BD489" s="9"/>
      <c r="CS489" s="11">
        <f t="shared" si="37"/>
        <v>500</v>
      </c>
      <c r="CT489" s="22">
        <f t="shared" si="38"/>
        <v>500</v>
      </c>
      <c r="CU489" s="22">
        <f t="shared" si="40"/>
        <v>0</v>
      </c>
      <c r="CV489" s="26">
        <f t="shared" si="39"/>
        <v>0</v>
      </c>
    </row>
    <row r="490" spans="1:103" ht="12.75" x14ac:dyDescent="0.2">
      <c r="A490" s="9" t="s">
        <v>255</v>
      </c>
      <c r="B490" s="2">
        <v>42</v>
      </c>
      <c r="C490" s="3" t="s">
        <v>95</v>
      </c>
      <c r="D490" s="63" t="s">
        <v>96</v>
      </c>
      <c r="E490" s="62"/>
      <c r="F490" s="62"/>
      <c r="G490" s="2" t="s">
        <v>70</v>
      </c>
      <c r="H490" s="2">
        <v>4</v>
      </c>
      <c r="I490" s="20">
        <v>145.38</v>
      </c>
      <c r="J490" s="20">
        <v>47900</v>
      </c>
      <c r="K490" s="3">
        <v>0</v>
      </c>
      <c r="L490" s="3" t="s">
        <v>3</v>
      </c>
      <c r="M490" s="9" t="s">
        <v>62</v>
      </c>
      <c r="N490" s="9" t="s">
        <v>15</v>
      </c>
      <c r="O490" s="9" t="s">
        <v>259</v>
      </c>
      <c r="S490" s="9" t="s">
        <v>158</v>
      </c>
      <c r="T490" s="10" t="s">
        <v>70</v>
      </c>
      <c r="U490" s="10">
        <v>4</v>
      </c>
      <c r="V490" s="10">
        <v>145.38</v>
      </c>
      <c r="W490" s="10" t="s">
        <v>710</v>
      </c>
      <c r="X490" s="17">
        <v>45199</v>
      </c>
      <c r="Y490" s="17">
        <v>45222</v>
      </c>
      <c r="Z490" s="19" t="s">
        <v>772</v>
      </c>
      <c r="AA490" s="207">
        <v>42900</v>
      </c>
      <c r="AB490" s="9">
        <v>82</v>
      </c>
      <c r="AC490" s="9">
        <v>13</v>
      </c>
      <c r="AD490" s="17">
        <v>45626</v>
      </c>
      <c r="AE490" s="54">
        <v>500</v>
      </c>
      <c r="AF490" s="54"/>
      <c r="AG490" s="9" t="s">
        <v>275</v>
      </c>
      <c r="AH490" s="17">
        <v>45670</v>
      </c>
      <c r="AI490" s="9">
        <v>20610345779</v>
      </c>
      <c r="AJ490" s="9" t="s">
        <v>2841</v>
      </c>
      <c r="AK490" s="9" t="s">
        <v>2863</v>
      </c>
      <c r="AL490" s="22">
        <v>500</v>
      </c>
      <c r="AM490" s="22"/>
      <c r="AN490" s="22" t="s">
        <v>2872</v>
      </c>
      <c r="AO490" s="22"/>
      <c r="AP490" s="22"/>
      <c r="AQ490" s="22"/>
      <c r="AR490" s="22"/>
      <c r="AS490" s="22"/>
      <c r="AT490" s="22"/>
      <c r="AU490" s="22"/>
      <c r="AV490" s="22"/>
      <c r="AW490" s="17">
        <v>45671</v>
      </c>
      <c r="AX490" s="148">
        <v>3604</v>
      </c>
      <c r="BA490" s="22">
        <v>500</v>
      </c>
      <c r="BB490" s="22"/>
      <c r="BD490" s="9"/>
      <c r="CS490" s="11">
        <f t="shared" si="37"/>
        <v>500</v>
      </c>
      <c r="CT490" s="22">
        <f t="shared" si="38"/>
        <v>500</v>
      </c>
      <c r="CU490" s="22">
        <f t="shared" si="40"/>
        <v>0</v>
      </c>
      <c r="CV490" s="26">
        <f t="shared" si="39"/>
        <v>0</v>
      </c>
    </row>
    <row r="491" spans="1:103" ht="12.75" x14ac:dyDescent="0.2">
      <c r="A491" s="9" t="s">
        <v>255</v>
      </c>
      <c r="B491" s="2">
        <v>42</v>
      </c>
      <c r="C491" s="3" t="s">
        <v>95</v>
      </c>
      <c r="D491" s="63" t="s">
        <v>96</v>
      </c>
      <c r="E491" s="62"/>
      <c r="F491" s="62"/>
      <c r="G491" s="2" t="s">
        <v>70</v>
      </c>
      <c r="H491" s="2">
        <v>4</v>
      </c>
      <c r="I491" s="20">
        <v>145.38</v>
      </c>
      <c r="J491" s="20">
        <v>47900</v>
      </c>
      <c r="K491" s="3">
        <v>0</v>
      </c>
      <c r="L491" s="3" t="s">
        <v>3</v>
      </c>
      <c r="M491" s="9" t="s">
        <v>62</v>
      </c>
      <c r="N491" s="9" t="s">
        <v>15</v>
      </c>
      <c r="O491" s="9" t="s">
        <v>259</v>
      </c>
      <c r="S491" s="9" t="s">
        <v>158</v>
      </c>
      <c r="T491" s="10" t="s">
        <v>70</v>
      </c>
      <c r="U491" s="10">
        <v>4</v>
      </c>
      <c r="V491" s="10">
        <v>145.38</v>
      </c>
      <c r="W491" s="10" t="s">
        <v>710</v>
      </c>
      <c r="X491" s="17">
        <v>45199</v>
      </c>
      <c r="Y491" s="17">
        <v>45222</v>
      </c>
      <c r="Z491" s="19" t="s">
        <v>772</v>
      </c>
      <c r="AA491" s="207">
        <v>42900</v>
      </c>
      <c r="AB491" s="9">
        <v>82</v>
      </c>
      <c r="AC491" s="9">
        <v>14</v>
      </c>
      <c r="AD491" s="17">
        <v>45656</v>
      </c>
      <c r="AE491" s="54">
        <v>500</v>
      </c>
      <c r="AF491" s="54"/>
      <c r="AG491" s="9" t="s">
        <v>275</v>
      </c>
      <c r="AH491" s="17">
        <v>45714</v>
      </c>
      <c r="AI491" s="9">
        <v>20610345779</v>
      </c>
      <c r="AJ491" s="9" t="s">
        <v>2841</v>
      </c>
      <c r="AK491" s="9" t="s">
        <v>2864</v>
      </c>
      <c r="AL491" s="22">
        <v>500</v>
      </c>
      <c r="AM491" s="22"/>
      <c r="AN491" s="22" t="s">
        <v>2873</v>
      </c>
      <c r="AO491" s="22"/>
      <c r="AP491" s="22"/>
      <c r="AQ491" s="22"/>
      <c r="AR491" s="22"/>
      <c r="AS491" s="22"/>
      <c r="AT491" s="22"/>
      <c r="AU491" s="22"/>
      <c r="AV491" s="22"/>
      <c r="AW491" s="17">
        <v>45715</v>
      </c>
      <c r="AX491" s="148">
        <v>3803</v>
      </c>
      <c r="BA491" s="22">
        <v>500</v>
      </c>
      <c r="BB491" s="22"/>
      <c r="BD491" s="9"/>
      <c r="CS491" s="11">
        <f t="shared" si="37"/>
        <v>500</v>
      </c>
      <c r="CT491" s="22">
        <f t="shared" si="38"/>
        <v>500</v>
      </c>
      <c r="CU491" s="22">
        <f t="shared" si="40"/>
        <v>0</v>
      </c>
      <c r="CV491" s="26">
        <f t="shared" si="39"/>
        <v>0</v>
      </c>
    </row>
    <row r="492" spans="1:103" ht="12.75" x14ac:dyDescent="0.2">
      <c r="A492" s="9" t="s">
        <v>255</v>
      </c>
      <c r="B492" s="2">
        <v>42</v>
      </c>
      <c r="C492" s="3" t="s">
        <v>95</v>
      </c>
      <c r="D492" s="63" t="s">
        <v>96</v>
      </c>
      <c r="E492" s="62"/>
      <c r="F492" s="62"/>
      <c r="G492" s="2" t="s">
        <v>70</v>
      </c>
      <c r="H492" s="2">
        <v>4</v>
      </c>
      <c r="I492" s="20">
        <v>145.38</v>
      </c>
      <c r="J492" s="20">
        <v>47900</v>
      </c>
      <c r="K492" s="3">
        <v>0</v>
      </c>
      <c r="L492" s="3" t="s">
        <v>3</v>
      </c>
      <c r="M492" s="9" t="s">
        <v>62</v>
      </c>
      <c r="N492" s="9" t="s">
        <v>15</v>
      </c>
      <c r="O492" s="9" t="s">
        <v>259</v>
      </c>
      <c r="S492" s="9" t="s">
        <v>158</v>
      </c>
      <c r="T492" s="10" t="s">
        <v>70</v>
      </c>
      <c r="U492" s="10">
        <v>4</v>
      </c>
      <c r="V492" s="10">
        <v>145.38</v>
      </c>
      <c r="W492" s="10" t="s">
        <v>710</v>
      </c>
      <c r="X492" s="17">
        <v>45199</v>
      </c>
      <c r="Y492" s="17">
        <v>45222</v>
      </c>
      <c r="Z492" s="19" t="s">
        <v>772</v>
      </c>
      <c r="AA492" s="207">
        <v>42900</v>
      </c>
      <c r="AB492" s="9">
        <v>82</v>
      </c>
      <c r="AC492" s="9">
        <v>15</v>
      </c>
      <c r="AD492" s="17">
        <v>45687</v>
      </c>
      <c r="AE492" s="54">
        <v>500</v>
      </c>
      <c r="AF492" s="54"/>
      <c r="AG492" s="9" t="s">
        <v>275</v>
      </c>
      <c r="AH492" s="17">
        <v>45771</v>
      </c>
      <c r="AI492" s="9">
        <v>20610345779</v>
      </c>
      <c r="AJ492" s="9" t="s">
        <v>2841</v>
      </c>
      <c r="AK492" s="9" t="s">
        <v>2865</v>
      </c>
      <c r="AL492" s="22">
        <v>500</v>
      </c>
      <c r="AM492" s="22"/>
      <c r="AN492" s="22" t="s">
        <v>2874</v>
      </c>
      <c r="AO492" s="22"/>
      <c r="AP492" s="22"/>
      <c r="AQ492" s="22"/>
      <c r="AR492" s="22"/>
      <c r="AS492" s="22"/>
      <c r="AT492" s="22"/>
      <c r="AU492" s="22"/>
      <c r="AV492" s="22"/>
      <c r="AW492" s="17">
        <v>45772</v>
      </c>
      <c r="AX492" s="148">
        <v>4053</v>
      </c>
      <c r="BA492" s="22">
        <v>500</v>
      </c>
      <c r="BB492" s="22"/>
      <c r="BD492" s="9"/>
      <c r="CS492" s="11">
        <f t="shared" si="37"/>
        <v>500</v>
      </c>
      <c r="CT492" s="22">
        <f t="shared" si="38"/>
        <v>500</v>
      </c>
      <c r="CU492" s="22">
        <f t="shared" si="40"/>
        <v>0</v>
      </c>
      <c r="CV492" s="26">
        <f t="shared" si="39"/>
        <v>0</v>
      </c>
    </row>
    <row r="493" spans="1:103" x14ac:dyDescent="0.2">
      <c r="A493" s="9" t="s">
        <v>255</v>
      </c>
      <c r="B493" s="2">
        <v>42</v>
      </c>
      <c r="C493" s="3" t="s">
        <v>95</v>
      </c>
      <c r="D493" s="63" t="s">
        <v>96</v>
      </c>
      <c r="E493" s="62"/>
      <c r="F493" s="62"/>
      <c r="G493" s="2" t="s">
        <v>70</v>
      </c>
      <c r="H493" s="2">
        <v>4</v>
      </c>
      <c r="I493" s="20">
        <v>145.38</v>
      </c>
      <c r="J493" s="20">
        <v>47900</v>
      </c>
      <c r="K493" s="3">
        <v>0</v>
      </c>
      <c r="L493" s="3" t="s">
        <v>3</v>
      </c>
      <c r="M493" s="9" t="s">
        <v>62</v>
      </c>
      <c r="N493" s="9" t="s">
        <v>15</v>
      </c>
      <c r="O493" s="9" t="s">
        <v>259</v>
      </c>
      <c r="S493" s="9" t="s">
        <v>158</v>
      </c>
      <c r="T493" s="10" t="s">
        <v>70</v>
      </c>
      <c r="U493" s="10">
        <v>4</v>
      </c>
      <c r="V493" s="10">
        <v>145.38</v>
      </c>
      <c r="W493" s="10" t="s">
        <v>710</v>
      </c>
      <c r="X493" s="17">
        <v>45199</v>
      </c>
      <c r="Y493" s="17">
        <v>45222</v>
      </c>
      <c r="Z493" s="19" t="s">
        <v>772</v>
      </c>
      <c r="AA493" s="207">
        <v>42900</v>
      </c>
      <c r="AB493" s="9">
        <v>82</v>
      </c>
      <c r="AC493" s="9">
        <v>16</v>
      </c>
      <c r="AD493" s="17">
        <v>45716</v>
      </c>
      <c r="AE493" s="54">
        <v>500</v>
      </c>
      <c r="AF493" s="54"/>
      <c r="AG493" s="9" t="s">
        <v>275</v>
      </c>
      <c r="AH493" s="17">
        <v>45800</v>
      </c>
      <c r="AI493" s="9">
        <v>20610345779</v>
      </c>
      <c r="AJ493" s="9" t="s">
        <v>2841</v>
      </c>
      <c r="AK493" s="9" t="s">
        <v>2866</v>
      </c>
      <c r="AL493" s="22"/>
      <c r="AM493" s="196">
        <v>500</v>
      </c>
      <c r="AN493" s="22" t="s">
        <v>2875</v>
      </c>
      <c r="AO493" s="22"/>
      <c r="AP493" s="22"/>
      <c r="AQ493" s="22"/>
      <c r="AR493" s="22"/>
      <c r="AS493" s="22"/>
      <c r="AT493" s="22"/>
      <c r="AU493" s="22"/>
      <c r="AV493" s="22"/>
      <c r="AW493" s="17">
        <v>45793</v>
      </c>
      <c r="AY493" s="195">
        <v>500</v>
      </c>
      <c r="BA493" s="22"/>
      <c r="BB493" s="22"/>
      <c r="BD493" s="9"/>
      <c r="CS493" s="11">
        <f t="shared" si="37"/>
        <v>0</v>
      </c>
      <c r="CT493" s="22">
        <f t="shared" si="38"/>
        <v>0</v>
      </c>
      <c r="CU493" s="22">
        <f t="shared" si="40"/>
        <v>0</v>
      </c>
      <c r="CV493" s="26">
        <f t="shared" si="39"/>
        <v>500</v>
      </c>
      <c r="CW493" s="9" t="s">
        <v>3497</v>
      </c>
    </row>
    <row r="494" spans="1:103" ht="12.75" x14ac:dyDescent="0.2">
      <c r="A494" s="9" t="s">
        <v>255</v>
      </c>
      <c r="B494" s="2">
        <v>42</v>
      </c>
      <c r="C494" s="3" t="s">
        <v>95</v>
      </c>
      <c r="D494" s="63" t="s">
        <v>96</v>
      </c>
      <c r="E494" s="62"/>
      <c r="F494" s="62"/>
      <c r="G494" s="2" t="s">
        <v>70</v>
      </c>
      <c r="H494" s="2">
        <v>4</v>
      </c>
      <c r="I494" s="20">
        <v>145.38</v>
      </c>
      <c r="J494" s="20">
        <v>47900</v>
      </c>
      <c r="K494" s="3">
        <v>0</v>
      </c>
      <c r="L494" s="3" t="s">
        <v>3</v>
      </c>
      <c r="M494" s="9" t="s">
        <v>62</v>
      </c>
      <c r="N494" s="9" t="s">
        <v>15</v>
      </c>
      <c r="O494" s="9" t="s">
        <v>259</v>
      </c>
      <c r="S494" s="9" t="s">
        <v>158</v>
      </c>
      <c r="T494" s="10" t="s">
        <v>70</v>
      </c>
      <c r="U494" s="10">
        <v>4</v>
      </c>
      <c r="V494" s="10">
        <v>145.38</v>
      </c>
      <c r="W494" s="10" t="s">
        <v>710</v>
      </c>
      <c r="X494" s="17">
        <v>45199</v>
      </c>
      <c r="Y494" s="17">
        <v>45222</v>
      </c>
      <c r="Z494" s="19" t="s">
        <v>772</v>
      </c>
      <c r="AA494" s="207">
        <v>42900</v>
      </c>
      <c r="AB494" s="9">
        <v>82</v>
      </c>
      <c r="AC494" s="9">
        <v>17</v>
      </c>
      <c r="AD494" s="17">
        <v>45746</v>
      </c>
      <c r="AE494" s="54">
        <v>500</v>
      </c>
      <c r="AF494" s="54"/>
      <c r="AG494" s="9" t="s">
        <v>275</v>
      </c>
      <c r="AH494" s="17">
        <v>45824</v>
      </c>
      <c r="AI494" s="9">
        <v>20610345779</v>
      </c>
      <c r="AJ494" s="9" t="s">
        <v>2841</v>
      </c>
      <c r="AK494" s="9" t="s">
        <v>2867</v>
      </c>
      <c r="AL494" s="22">
        <v>500</v>
      </c>
      <c r="AM494" s="22"/>
      <c r="AN494" s="22" t="s">
        <v>2876</v>
      </c>
      <c r="AO494" s="22"/>
      <c r="AP494" s="22"/>
      <c r="AQ494" s="22"/>
      <c r="AR494" s="22"/>
      <c r="AS494" s="22"/>
      <c r="AT494" s="22"/>
      <c r="AU494" s="22"/>
      <c r="AV494" s="22"/>
      <c r="AW494" s="17">
        <v>45824</v>
      </c>
      <c r="AX494" s="148">
        <v>4298</v>
      </c>
      <c r="BA494" s="22">
        <v>500</v>
      </c>
      <c r="BB494" s="22"/>
      <c r="BD494" s="9"/>
      <c r="CS494" s="11">
        <f t="shared" si="37"/>
        <v>500</v>
      </c>
      <c r="CT494" s="22">
        <f t="shared" si="38"/>
        <v>500</v>
      </c>
      <c r="CU494" s="22">
        <f t="shared" si="40"/>
        <v>0</v>
      </c>
      <c r="CV494" s="26">
        <f t="shared" si="39"/>
        <v>0</v>
      </c>
    </row>
    <row r="495" spans="1:103" x14ac:dyDescent="0.2">
      <c r="A495" s="9" t="s">
        <v>255</v>
      </c>
      <c r="B495" s="2">
        <v>42</v>
      </c>
      <c r="C495" s="3" t="s">
        <v>95</v>
      </c>
      <c r="D495" s="63" t="s">
        <v>96</v>
      </c>
      <c r="E495" s="62"/>
      <c r="F495" s="62"/>
      <c r="G495" s="2" t="s">
        <v>70</v>
      </c>
      <c r="H495" s="2">
        <v>4</v>
      </c>
      <c r="I495" s="20">
        <v>145.38</v>
      </c>
      <c r="J495" s="20">
        <v>47900</v>
      </c>
      <c r="K495" s="3">
        <v>0</v>
      </c>
      <c r="L495" s="3" t="s">
        <v>3</v>
      </c>
      <c r="M495" s="9" t="s">
        <v>62</v>
      </c>
      <c r="N495" s="9" t="s">
        <v>15</v>
      </c>
      <c r="O495" s="9" t="s">
        <v>259</v>
      </c>
      <c r="S495" s="9" t="s">
        <v>158</v>
      </c>
      <c r="T495" s="10" t="s">
        <v>70</v>
      </c>
      <c r="U495" s="10">
        <v>4</v>
      </c>
      <c r="V495" s="10">
        <v>145.38</v>
      </c>
      <c r="W495" s="10" t="s">
        <v>710</v>
      </c>
      <c r="X495" s="17">
        <v>45199</v>
      </c>
      <c r="Y495" s="17">
        <v>45222</v>
      </c>
      <c r="Z495" s="19" t="s">
        <v>772</v>
      </c>
      <c r="AA495" s="207">
        <v>42900</v>
      </c>
      <c r="AB495" s="9">
        <v>82</v>
      </c>
      <c r="AC495" s="9">
        <v>18</v>
      </c>
      <c r="AD495" s="17">
        <v>45777</v>
      </c>
      <c r="AE495" s="54">
        <v>500</v>
      </c>
      <c r="AF495" s="54"/>
      <c r="AG495" s="9" t="s">
        <v>275</v>
      </c>
      <c r="AH495" s="17">
        <v>45825</v>
      </c>
      <c r="AI495" s="9">
        <v>20610345779</v>
      </c>
      <c r="AJ495" s="9" t="s">
        <v>2841</v>
      </c>
      <c r="AK495" s="9" t="s">
        <v>2868</v>
      </c>
      <c r="AL495" s="22">
        <v>500</v>
      </c>
      <c r="AM495" s="22"/>
      <c r="AN495" s="22" t="s">
        <v>2877</v>
      </c>
      <c r="AO495" s="22"/>
      <c r="AP495" s="22"/>
      <c r="AQ495" s="22"/>
      <c r="AR495" s="22"/>
      <c r="AS495" s="22"/>
      <c r="AT495" s="22"/>
      <c r="AU495" s="22"/>
      <c r="AV495" s="22"/>
      <c r="AW495" s="17"/>
      <c r="BA495" s="22"/>
      <c r="BB495" s="22" t="s">
        <v>2024</v>
      </c>
      <c r="BD495" s="9"/>
      <c r="CS495" s="11">
        <f t="shared" si="37"/>
        <v>500</v>
      </c>
      <c r="CT495" s="22">
        <f t="shared" si="38"/>
        <v>0</v>
      </c>
      <c r="CU495" s="22">
        <f t="shared" si="40"/>
        <v>500</v>
      </c>
      <c r="CV495" s="26">
        <f t="shared" si="39"/>
        <v>0</v>
      </c>
      <c r="CW495" s="9" t="s">
        <v>3494</v>
      </c>
      <c r="CY495" s="9" t="s">
        <v>3493</v>
      </c>
    </row>
    <row r="496" spans="1:103" x14ac:dyDescent="0.2">
      <c r="A496" s="9" t="s">
        <v>255</v>
      </c>
      <c r="B496" s="2">
        <v>42</v>
      </c>
      <c r="C496" s="3" t="s">
        <v>95</v>
      </c>
      <c r="D496" s="63" t="s">
        <v>96</v>
      </c>
      <c r="E496" s="62"/>
      <c r="F496" s="62"/>
      <c r="G496" s="2" t="s">
        <v>70</v>
      </c>
      <c r="H496" s="2">
        <v>4</v>
      </c>
      <c r="I496" s="20">
        <v>145.38</v>
      </c>
      <c r="J496" s="20">
        <v>47900</v>
      </c>
      <c r="K496" s="3">
        <v>0</v>
      </c>
      <c r="L496" s="3" t="s">
        <v>3</v>
      </c>
      <c r="M496" s="9" t="s">
        <v>62</v>
      </c>
      <c r="N496" s="9" t="s">
        <v>15</v>
      </c>
      <c r="O496" s="9" t="s">
        <v>259</v>
      </c>
      <c r="S496" s="9" t="s">
        <v>158</v>
      </c>
      <c r="T496" s="10" t="s">
        <v>70</v>
      </c>
      <c r="U496" s="10">
        <v>4</v>
      </c>
      <c r="V496" s="10">
        <v>145.38</v>
      </c>
      <c r="W496" s="10" t="s">
        <v>710</v>
      </c>
      <c r="X496" s="17">
        <v>45199</v>
      </c>
      <c r="Y496" s="17">
        <v>45222</v>
      </c>
      <c r="Z496" s="19" t="s">
        <v>772</v>
      </c>
      <c r="AA496" s="207">
        <v>42900</v>
      </c>
      <c r="AB496" s="9">
        <v>82</v>
      </c>
      <c r="AC496" s="9">
        <v>19</v>
      </c>
      <c r="AD496" s="17">
        <v>45807</v>
      </c>
      <c r="AE496" s="54">
        <v>500</v>
      </c>
      <c r="AF496" s="54"/>
      <c r="AG496" s="9" t="s">
        <v>275</v>
      </c>
      <c r="AH496" s="17">
        <v>45825</v>
      </c>
      <c r="AI496" s="9">
        <v>20610345779</v>
      </c>
      <c r="AJ496" s="9" t="s">
        <v>2841</v>
      </c>
      <c r="AK496" s="9" t="s">
        <v>2869</v>
      </c>
      <c r="AL496" s="22">
        <v>500</v>
      </c>
      <c r="AM496" s="22"/>
      <c r="AN496" s="22" t="s">
        <v>2878</v>
      </c>
      <c r="AO496" s="22"/>
      <c r="AP496" s="22"/>
      <c r="AQ496" s="22"/>
      <c r="AR496" s="22"/>
      <c r="AS496" s="22"/>
      <c r="AT496" s="22"/>
      <c r="AU496" s="22"/>
      <c r="AV496" s="22"/>
      <c r="AW496" s="17">
        <v>45825</v>
      </c>
      <c r="AX496" s="9">
        <v>49640</v>
      </c>
      <c r="AY496" s="9">
        <v>500</v>
      </c>
      <c r="AZ496" s="9">
        <v>3.6680000000000001</v>
      </c>
      <c r="BA496" s="22">
        <f>+AY496/AZ496</f>
        <v>136.31406761177752</v>
      </c>
      <c r="BB496" s="22"/>
      <c r="BC496" s="17">
        <v>45825</v>
      </c>
      <c r="BD496" s="9">
        <v>49640</v>
      </c>
      <c r="BE496" s="9">
        <v>1334</v>
      </c>
      <c r="BF496" s="9">
        <v>3.6680000000000001</v>
      </c>
      <c r="BG496" s="22">
        <f>+BE496/BF496</f>
        <v>363.68593238822245</v>
      </c>
      <c r="CS496" s="11">
        <f t="shared" si="37"/>
        <v>500</v>
      </c>
      <c r="CT496" s="22">
        <f t="shared" si="38"/>
        <v>500</v>
      </c>
      <c r="CU496" s="22">
        <f t="shared" si="40"/>
        <v>0</v>
      </c>
      <c r="CV496" s="26">
        <f t="shared" si="39"/>
        <v>0</v>
      </c>
    </row>
    <row r="497" spans="1:100" ht="12.75" x14ac:dyDescent="0.2">
      <c r="A497" s="9" t="s">
        <v>255</v>
      </c>
      <c r="B497" s="2">
        <v>42</v>
      </c>
      <c r="C497" s="3" t="s">
        <v>95</v>
      </c>
      <c r="D497" s="63" t="s">
        <v>96</v>
      </c>
      <c r="E497" s="62"/>
      <c r="F497" s="62"/>
      <c r="G497" s="2" t="s">
        <v>70</v>
      </c>
      <c r="H497" s="2">
        <v>4</v>
      </c>
      <c r="I497" s="20">
        <v>145.38</v>
      </c>
      <c r="J497" s="20">
        <v>47900</v>
      </c>
      <c r="K497" s="3">
        <v>0</v>
      </c>
      <c r="L497" s="3" t="s">
        <v>3</v>
      </c>
      <c r="M497" s="9" t="s">
        <v>62</v>
      </c>
      <c r="N497" s="9" t="s">
        <v>15</v>
      </c>
      <c r="O497" s="9" t="s">
        <v>259</v>
      </c>
      <c r="S497" s="9" t="s">
        <v>158</v>
      </c>
      <c r="T497" s="10" t="s">
        <v>70</v>
      </c>
      <c r="U497" s="10">
        <v>4</v>
      </c>
      <c r="V497" s="10">
        <v>145.38</v>
      </c>
      <c r="W497" s="10" t="s">
        <v>710</v>
      </c>
      <c r="X497" s="17">
        <v>45199</v>
      </c>
      <c r="Y497" s="17">
        <v>45222</v>
      </c>
      <c r="Z497" s="19" t="s">
        <v>772</v>
      </c>
      <c r="AA497" s="207">
        <v>42900</v>
      </c>
      <c r="AB497" s="9">
        <v>82</v>
      </c>
      <c r="AC497" s="9">
        <v>20</v>
      </c>
      <c r="AD497" s="17">
        <v>45838</v>
      </c>
      <c r="AE497" s="54">
        <v>500</v>
      </c>
      <c r="AF497" s="54"/>
      <c r="AG497" s="9" t="s">
        <v>275</v>
      </c>
      <c r="AH497" s="17">
        <v>45859</v>
      </c>
      <c r="AI497" s="9">
        <v>20610345779</v>
      </c>
      <c r="AJ497" s="9" t="s">
        <v>2841</v>
      </c>
      <c r="AK497" s="9" t="s">
        <v>2870</v>
      </c>
      <c r="AL497" s="22">
        <v>500</v>
      </c>
      <c r="AM497" s="22"/>
      <c r="AN497" s="22" t="s">
        <v>2879</v>
      </c>
      <c r="AO497" s="22"/>
      <c r="AP497" s="22"/>
      <c r="AQ497" s="22"/>
      <c r="AR497" s="22"/>
      <c r="AS497" s="22"/>
      <c r="AT497" s="22"/>
      <c r="AU497" s="22"/>
      <c r="AV497" s="22"/>
      <c r="AW497" s="17">
        <v>45860</v>
      </c>
      <c r="AX497" s="148">
        <v>4452</v>
      </c>
      <c r="BA497" s="22">
        <v>500</v>
      </c>
      <c r="BB497" s="22"/>
      <c r="BD497" s="9"/>
      <c r="CS497" s="11">
        <f t="shared" si="37"/>
        <v>500</v>
      </c>
      <c r="CT497" s="22">
        <f t="shared" si="38"/>
        <v>500</v>
      </c>
      <c r="CU497" s="22">
        <f t="shared" si="40"/>
        <v>0</v>
      </c>
      <c r="CV497" s="26">
        <f t="shared" si="39"/>
        <v>0</v>
      </c>
    </row>
    <row r="498" spans="1:100" x14ac:dyDescent="0.2">
      <c r="A498" s="9" t="s">
        <v>255</v>
      </c>
      <c r="B498" s="2">
        <v>42</v>
      </c>
      <c r="C498" s="3" t="s">
        <v>95</v>
      </c>
      <c r="D498" s="63" t="s">
        <v>96</v>
      </c>
      <c r="E498" s="62"/>
      <c r="F498" s="62"/>
      <c r="G498" s="2" t="s">
        <v>70</v>
      </c>
      <c r="H498" s="2">
        <v>4</v>
      </c>
      <c r="I498" s="20">
        <v>145.38</v>
      </c>
      <c r="J498" s="20">
        <v>47900</v>
      </c>
      <c r="K498" s="3">
        <v>0</v>
      </c>
      <c r="L498" s="3" t="s">
        <v>3</v>
      </c>
      <c r="M498" s="9" t="s">
        <v>62</v>
      </c>
      <c r="N498" s="9" t="s">
        <v>15</v>
      </c>
      <c r="O498" s="9" t="s">
        <v>259</v>
      </c>
      <c r="S498" s="9" t="s">
        <v>158</v>
      </c>
      <c r="T498" s="10" t="s">
        <v>70</v>
      </c>
      <c r="U498" s="10">
        <v>4</v>
      </c>
      <c r="V498" s="10">
        <v>145.38</v>
      </c>
      <c r="W498" s="10" t="s">
        <v>710</v>
      </c>
      <c r="X498" s="17">
        <v>45199</v>
      </c>
      <c r="Y498" s="17">
        <v>45222</v>
      </c>
      <c r="Z498" s="19" t="s">
        <v>772</v>
      </c>
      <c r="AA498" s="207">
        <v>42900</v>
      </c>
      <c r="AB498" s="9">
        <v>82</v>
      </c>
      <c r="AC498" s="9">
        <v>21</v>
      </c>
      <c r="AD498" s="17">
        <v>45868</v>
      </c>
      <c r="AE498" s="54">
        <v>500</v>
      </c>
      <c r="AF498" s="54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17"/>
      <c r="BA498" s="22"/>
      <c r="BB498" s="22"/>
      <c r="BD498" s="9"/>
      <c r="CS498" s="11">
        <f t="shared" si="37"/>
        <v>0</v>
      </c>
      <c r="CT498" s="22">
        <f t="shared" si="38"/>
        <v>0</v>
      </c>
      <c r="CU498" s="22">
        <f t="shared" si="40"/>
        <v>0</v>
      </c>
      <c r="CV498" s="26">
        <f t="shared" si="39"/>
        <v>500</v>
      </c>
    </row>
    <row r="499" spans="1:100" x14ac:dyDescent="0.2">
      <c r="A499" s="9" t="s">
        <v>255</v>
      </c>
      <c r="B499" s="2">
        <v>42</v>
      </c>
      <c r="C499" s="3" t="s">
        <v>95</v>
      </c>
      <c r="D499" s="63" t="s">
        <v>96</v>
      </c>
      <c r="E499" s="62"/>
      <c r="F499" s="62"/>
      <c r="G499" s="2" t="s">
        <v>70</v>
      </c>
      <c r="H499" s="2">
        <v>4</v>
      </c>
      <c r="I499" s="20">
        <v>145.38</v>
      </c>
      <c r="J499" s="20">
        <v>47900</v>
      </c>
      <c r="K499" s="3">
        <v>0</v>
      </c>
      <c r="L499" s="3" t="s">
        <v>3</v>
      </c>
      <c r="M499" s="9" t="s">
        <v>62</v>
      </c>
      <c r="N499" s="9" t="s">
        <v>15</v>
      </c>
      <c r="O499" s="9" t="s">
        <v>259</v>
      </c>
      <c r="S499" s="9" t="s">
        <v>158</v>
      </c>
      <c r="T499" s="10" t="s">
        <v>70</v>
      </c>
      <c r="U499" s="10">
        <v>4</v>
      </c>
      <c r="V499" s="10">
        <v>145.38</v>
      </c>
      <c r="W499" s="10" t="s">
        <v>710</v>
      </c>
      <c r="X499" s="17">
        <v>45199</v>
      </c>
      <c r="Y499" s="17">
        <v>45222</v>
      </c>
      <c r="Z499" s="19" t="s">
        <v>772</v>
      </c>
      <c r="AA499" s="207">
        <v>42900</v>
      </c>
      <c r="AB499" s="9">
        <v>82</v>
      </c>
      <c r="AC499" s="9">
        <v>22</v>
      </c>
      <c r="AD499" s="17">
        <v>45899</v>
      </c>
      <c r="AE499" s="54">
        <v>500</v>
      </c>
      <c r="AF499" s="54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9"/>
      <c r="BA499" s="22"/>
      <c r="BB499" s="22"/>
      <c r="BD499" s="9"/>
      <c r="CS499" s="11">
        <f t="shared" si="37"/>
        <v>0</v>
      </c>
      <c r="CT499" s="22">
        <f t="shared" si="38"/>
        <v>0</v>
      </c>
      <c r="CU499" s="22">
        <f t="shared" si="40"/>
        <v>0</v>
      </c>
      <c r="CV499" s="26">
        <f t="shared" si="39"/>
        <v>500</v>
      </c>
    </row>
    <row r="500" spans="1:100" x14ac:dyDescent="0.2">
      <c r="A500" s="9" t="s">
        <v>255</v>
      </c>
      <c r="B500" s="2">
        <v>42</v>
      </c>
      <c r="C500" s="3" t="s">
        <v>95</v>
      </c>
      <c r="D500" s="63" t="s">
        <v>96</v>
      </c>
      <c r="E500" s="62"/>
      <c r="F500" s="62"/>
      <c r="G500" s="2" t="s">
        <v>70</v>
      </c>
      <c r="H500" s="2">
        <v>4</v>
      </c>
      <c r="I500" s="20">
        <v>145.38</v>
      </c>
      <c r="J500" s="20">
        <v>47900</v>
      </c>
      <c r="K500" s="3">
        <v>0</v>
      </c>
      <c r="L500" s="3" t="s">
        <v>3</v>
      </c>
      <c r="M500" s="9" t="s">
        <v>62</v>
      </c>
      <c r="N500" s="9" t="s">
        <v>15</v>
      </c>
      <c r="O500" s="9" t="s">
        <v>259</v>
      </c>
      <c r="S500" s="9" t="s">
        <v>158</v>
      </c>
      <c r="T500" s="10" t="s">
        <v>70</v>
      </c>
      <c r="U500" s="10">
        <v>4</v>
      </c>
      <c r="V500" s="10">
        <v>145.38</v>
      </c>
      <c r="W500" s="10" t="s">
        <v>710</v>
      </c>
      <c r="X500" s="17">
        <v>45199</v>
      </c>
      <c r="Y500" s="17">
        <v>45222</v>
      </c>
      <c r="Z500" s="19" t="s">
        <v>772</v>
      </c>
      <c r="AA500" s="207">
        <v>42900</v>
      </c>
      <c r="AB500" s="9">
        <v>82</v>
      </c>
      <c r="AC500" s="9">
        <v>23</v>
      </c>
      <c r="AD500" s="17">
        <v>45930</v>
      </c>
      <c r="AE500" s="54">
        <v>500</v>
      </c>
      <c r="AF500" s="54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9"/>
      <c r="BA500" s="22"/>
      <c r="BB500" s="22"/>
      <c r="BD500" s="9"/>
      <c r="CS500" s="11">
        <f t="shared" si="37"/>
        <v>0</v>
      </c>
      <c r="CT500" s="22">
        <f t="shared" si="38"/>
        <v>0</v>
      </c>
      <c r="CU500" s="22">
        <f t="shared" si="40"/>
        <v>0</v>
      </c>
      <c r="CV500" s="26">
        <f t="shared" si="39"/>
        <v>500</v>
      </c>
    </row>
    <row r="501" spans="1:100" x14ac:dyDescent="0.2">
      <c r="A501" s="9" t="s">
        <v>255</v>
      </c>
      <c r="B501" s="2">
        <v>42</v>
      </c>
      <c r="C501" s="3" t="s">
        <v>95</v>
      </c>
      <c r="D501" s="63" t="s">
        <v>96</v>
      </c>
      <c r="E501" s="62"/>
      <c r="F501" s="62"/>
      <c r="G501" s="2" t="s">
        <v>70</v>
      </c>
      <c r="H501" s="2">
        <v>4</v>
      </c>
      <c r="I501" s="20">
        <v>145.38</v>
      </c>
      <c r="J501" s="20">
        <v>47900</v>
      </c>
      <c r="K501" s="3">
        <v>0</v>
      </c>
      <c r="L501" s="3" t="s">
        <v>3</v>
      </c>
      <c r="M501" s="9" t="s">
        <v>62</v>
      </c>
      <c r="N501" s="9" t="s">
        <v>15</v>
      </c>
      <c r="O501" s="9" t="s">
        <v>259</v>
      </c>
      <c r="S501" s="9" t="s">
        <v>158</v>
      </c>
      <c r="T501" s="10" t="s">
        <v>70</v>
      </c>
      <c r="U501" s="10">
        <v>4</v>
      </c>
      <c r="V501" s="10">
        <v>145.38</v>
      </c>
      <c r="W501" s="10" t="s">
        <v>710</v>
      </c>
      <c r="X501" s="17">
        <v>45199</v>
      </c>
      <c r="Y501" s="17">
        <v>45222</v>
      </c>
      <c r="Z501" s="19" t="s">
        <v>772</v>
      </c>
      <c r="AA501" s="207">
        <v>42900</v>
      </c>
      <c r="AB501" s="9">
        <v>82</v>
      </c>
      <c r="AC501" s="9">
        <v>24</v>
      </c>
      <c r="AD501" s="17">
        <v>45960</v>
      </c>
      <c r="AE501" s="54">
        <v>500</v>
      </c>
      <c r="AF501" s="54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9"/>
      <c r="BA501" s="22"/>
      <c r="BB501" s="22"/>
      <c r="BD501" s="9"/>
      <c r="CS501" s="11">
        <f t="shared" si="37"/>
        <v>0</v>
      </c>
      <c r="CT501" s="22">
        <f t="shared" si="38"/>
        <v>0</v>
      </c>
      <c r="CU501" s="22">
        <f t="shared" si="40"/>
        <v>0</v>
      </c>
      <c r="CV501" s="26">
        <f t="shared" si="39"/>
        <v>500</v>
      </c>
    </row>
    <row r="502" spans="1:100" ht="12.75" x14ac:dyDescent="0.2">
      <c r="A502" s="9" t="s">
        <v>255</v>
      </c>
      <c r="B502" s="2">
        <v>42</v>
      </c>
      <c r="C502" s="3" t="s">
        <v>95</v>
      </c>
      <c r="D502" s="63" t="s">
        <v>96</v>
      </c>
      <c r="E502" s="62"/>
      <c r="F502" s="62"/>
      <c r="G502" s="2" t="s">
        <v>70</v>
      </c>
      <c r="H502" s="2">
        <v>4</v>
      </c>
      <c r="I502" s="20">
        <v>145.38</v>
      </c>
      <c r="J502" s="20">
        <v>47900</v>
      </c>
      <c r="K502" s="3">
        <v>0</v>
      </c>
      <c r="L502" s="3" t="s">
        <v>3</v>
      </c>
      <c r="M502" s="9" t="s">
        <v>62</v>
      </c>
      <c r="N502" s="9" t="s">
        <v>15</v>
      </c>
      <c r="O502" s="9" t="s">
        <v>259</v>
      </c>
      <c r="S502" s="9" t="s">
        <v>158</v>
      </c>
      <c r="T502" s="10" t="s">
        <v>70</v>
      </c>
      <c r="U502" s="10">
        <v>4</v>
      </c>
      <c r="V502" s="10">
        <v>145.38</v>
      </c>
      <c r="W502" s="10" t="s">
        <v>710</v>
      </c>
      <c r="X502" s="17">
        <v>45199</v>
      </c>
      <c r="Y502" s="17">
        <v>45222</v>
      </c>
      <c r="Z502" s="19" t="s">
        <v>772</v>
      </c>
      <c r="AA502" s="207">
        <v>42900</v>
      </c>
      <c r="AB502" s="9">
        <v>82</v>
      </c>
      <c r="AC502" s="9">
        <v>25</v>
      </c>
      <c r="AD502" s="17">
        <v>45991</v>
      </c>
      <c r="AE502" s="54">
        <v>500</v>
      </c>
      <c r="AF502" s="54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9"/>
      <c r="AY502" s="96"/>
      <c r="BA502" s="22"/>
      <c r="BB502" s="22"/>
      <c r="BD502" s="9"/>
      <c r="CS502" s="11">
        <f t="shared" si="37"/>
        <v>0</v>
      </c>
      <c r="CT502" s="22">
        <f t="shared" si="38"/>
        <v>0</v>
      </c>
      <c r="CU502" s="22">
        <f t="shared" si="40"/>
        <v>0</v>
      </c>
      <c r="CV502" s="26">
        <f t="shared" si="39"/>
        <v>500</v>
      </c>
    </row>
    <row r="503" spans="1:100" ht="12.75" x14ac:dyDescent="0.2">
      <c r="A503" s="9" t="s">
        <v>255</v>
      </c>
      <c r="B503" s="2">
        <v>42</v>
      </c>
      <c r="C503" s="3" t="s">
        <v>95</v>
      </c>
      <c r="D503" s="63" t="s">
        <v>96</v>
      </c>
      <c r="E503" s="62"/>
      <c r="F503" s="62"/>
      <c r="G503" s="2" t="s">
        <v>70</v>
      </c>
      <c r="H503" s="2">
        <v>4</v>
      </c>
      <c r="I503" s="20">
        <v>145.38</v>
      </c>
      <c r="J503" s="20">
        <v>47900</v>
      </c>
      <c r="K503" s="3">
        <v>0</v>
      </c>
      <c r="L503" s="3" t="s">
        <v>3</v>
      </c>
      <c r="M503" s="9" t="s">
        <v>62</v>
      </c>
      <c r="N503" s="9" t="s">
        <v>15</v>
      </c>
      <c r="O503" s="9" t="s">
        <v>259</v>
      </c>
      <c r="S503" s="9" t="s">
        <v>158</v>
      </c>
      <c r="T503" s="10" t="s">
        <v>70</v>
      </c>
      <c r="U503" s="10">
        <v>4</v>
      </c>
      <c r="V503" s="10">
        <v>145.38</v>
      </c>
      <c r="W503" s="10" t="s">
        <v>710</v>
      </c>
      <c r="X503" s="17">
        <v>45199</v>
      </c>
      <c r="Y503" s="17">
        <v>45222</v>
      </c>
      <c r="Z503" s="19" t="s">
        <v>772</v>
      </c>
      <c r="AA503" s="207">
        <v>42900</v>
      </c>
      <c r="AB503" s="9">
        <v>82</v>
      </c>
      <c r="AC503" s="9">
        <v>26</v>
      </c>
      <c r="AD503" s="17">
        <v>46021</v>
      </c>
      <c r="AE503" s="54">
        <v>500</v>
      </c>
      <c r="AF503" s="54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94"/>
      <c r="AX503" s="107"/>
      <c r="AY503" s="96"/>
      <c r="BA503" s="22"/>
      <c r="BB503" s="22"/>
      <c r="BD503" s="9"/>
      <c r="CS503" s="11">
        <f t="shared" si="37"/>
        <v>0</v>
      </c>
      <c r="CT503" s="22">
        <f t="shared" si="38"/>
        <v>0</v>
      </c>
      <c r="CU503" s="22">
        <f t="shared" si="40"/>
        <v>0</v>
      </c>
      <c r="CV503" s="26">
        <f t="shared" si="39"/>
        <v>500</v>
      </c>
    </row>
    <row r="504" spans="1:100" x14ac:dyDescent="0.2">
      <c r="A504" s="9" t="s">
        <v>255</v>
      </c>
      <c r="B504" s="2">
        <v>42</v>
      </c>
      <c r="C504" s="3" t="s">
        <v>95</v>
      </c>
      <c r="D504" s="63" t="s">
        <v>96</v>
      </c>
      <c r="E504" s="62"/>
      <c r="F504" s="62"/>
      <c r="G504" s="2" t="s">
        <v>70</v>
      </c>
      <c r="H504" s="2">
        <v>4</v>
      </c>
      <c r="I504" s="20">
        <v>145.38</v>
      </c>
      <c r="J504" s="20">
        <v>47900</v>
      </c>
      <c r="K504" s="3">
        <v>0</v>
      </c>
      <c r="L504" s="3" t="s">
        <v>3</v>
      </c>
      <c r="M504" s="9" t="s">
        <v>62</v>
      </c>
      <c r="N504" s="9" t="s">
        <v>15</v>
      </c>
      <c r="O504" s="9" t="s">
        <v>259</v>
      </c>
      <c r="S504" s="9" t="s">
        <v>158</v>
      </c>
      <c r="T504" s="10" t="s">
        <v>70</v>
      </c>
      <c r="U504" s="10">
        <v>4</v>
      </c>
      <c r="V504" s="10">
        <v>145.38</v>
      </c>
      <c r="W504" s="10" t="s">
        <v>710</v>
      </c>
      <c r="X504" s="17">
        <v>45199</v>
      </c>
      <c r="Y504" s="17">
        <v>45222</v>
      </c>
      <c r="Z504" s="19" t="s">
        <v>772</v>
      </c>
      <c r="AA504" s="207">
        <v>42900</v>
      </c>
      <c r="AB504" s="9">
        <v>82</v>
      </c>
      <c r="AC504" s="9">
        <v>27</v>
      </c>
      <c r="AD504" s="17">
        <v>46052</v>
      </c>
      <c r="AE504" s="54">
        <v>500</v>
      </c>
      <c r="AF504" s="54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9"/>
      <c r="BA504" s="22"/>
      <c r="BB504" s="22"/>
      <c r="BD504" s="9"/>
      <c r="CS504" s="11">
        <f t="shared" si="37"/>
        <v>0</v>
      </c>
      <c r="CT504" s="22">
        <f t="shared" si="38"/>
        <v>0</v>
      </c>
      <c r="CU504" s="22">
        <f t="shared" si="40"/>
        <v>0</v>
      </c>
      <c r="CV504" s="26">
        <f t="shared" si="39"/>
        <v>500</v>
      </c>
    </row>
    <row r="505" spans="1:100" x14ac:dyDescent="0.2">
      <c r="A505" s="9" t="s">
        <v>255</v>
      </c>
      <c r="B505" s="2">
        <v>42</v>
      </c>
      <c r="C505" s="3" t="s">
        <v>95</v>
      </c>
      <c r="D505" s="63" t="s">
        <v>96</v>
      </c>
      <c r="E505" s="62"/>
      <c r="F505" s="62"/>
      <c r="G505" s="2" t="s">
        <v>70</v>
      </c>
      <c r="H505" s="2">
        <v>4</v>
      </c>
      <c r="I505" s="20">
        <v>145.38</v>
      </c>
      <c r="J505" s="20">
        <v>47900</v>
      </c>
      <c r="K505" s="3">
        <v>0</v>
      </c>
      <c r="L505" s="3" t="s">
        <v>3</v>
      </c>
      <c r="M505" s="9" t="s">
        <v>62</v>
      </c>
      <c r="N505" s="9" t="s">
        <v>15</v>
      </c>
      <c r="O505" s="9" t="s">
        <v>259</v>
      </c>
      <c r="S505" s="9" t="s">
        <v>158</v>
      </c>
      <c r="T505" s="10" t="s">
        <v>70</v>
      </c>
      <c r="U505" s="10">
        <v>4</v>
      </c>
      <c r="V505" s="10">
        <v>145.38</v>
      </c>
      <c r="W505" s="10" t="s">
        <v>710</v>
      </c>
      <c r="X505" s="17">
        <v>45199</v>
      </c>
      <c r="Y505" s="17">
        <v>45222</v>
      </c>
      <c r="Z505" s="19" t="s">
        <v>772</v>
      </c>
      <c r="AA505" s="207">
        <v>42900</v>
      </c>
      <c r="AB505" s="9">
        <v>82</v>
      </c>
      <c r="AC505" s="9">
        <v>28</v>
      </c>
      <c r="AD505" s="17">
        <v>46081</v>
      </c>
      <c r="AE505" s="54">
        <v>500</v>
      </c>
      <c r="AF505" s="54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9"/>
      <c r="BA505" s="22"/>
      <c r="BB505" s="22"/>
      <c r="BD505" s="9"/>
      <c r="CS505" s="11">
        <f t="shared" ref="CS505:CS568" si="41">+AL505+AT505</f>
        <v>0</v>
      </c>
      <c r="CT505" s="22">
        <f t="shared" ref="CT505:CT568" si="42">+BA505+BG505+BM505+BS505+BY505+CE505+CK505+CQ505</f>
        <v>0</v>
      </c>
      <c r="CU505" s="22">
        <f t="shared" si="40"/>
        <v>0</v>
      </c>
      <c r="CV505" s="26">
        <f t="shared" ref="CV505:CV568" si="43">+AE505-AL505-AT505</f>
        <v>500</v>
      </c>
    </row>
    <row r="506" spans="1:100" x14ac:dyDescent="0.2">
      <c r="A506" s="9" t="s">
        <v>255</v>
      </c>
      <c r="B506" s="2">
        <v>42</v>
      </c>
      <c r="C506" s="3" t="s">
        <v>95</v>
      </c>
      <c r="D506" s="63" t="s">
        <v>96</v>
      </c>
      <c r="E506" s="62"/>
      <c r="F506" s="62"/>
      <c r="G506" s="2" t="s">
        <v>70</v>
      </c>
      <c r="H506" s="2">
        <v>4</v>
      </c>
      <c r="I506" s="20">
        <v>145.38</v>
      </c>
      <c r="J506" s="20">
        <v>47900</v>
      </c>
      <c r="K506" s="3">
        <v>0</v>
      </c>
      <c r="L506" s="3" t="s">
        <v>3</v>
      </c>
      <c r="M506" s="9" t="s">
        <v>62</v>
      </c>
      <c r="N506" s="9" t="s">
        <v>15</v>
      </c>
      <c r="O506" s="9" t="s">
        <v>259</v>
      </c>
      <c r="S506" s="9" t="s">
        <v>158</v>
      </c>
      <c r="T506" s="10" t="s">
        <v>70</v>
      </c>
      <c r="U506" s="10">
        <v>4</v>
      </c>
      <c r="V506" s="10">
        <v>145.38</v>
      </c>
      <c r="W506" s="10" t="s">
        <v>710</v>
      </c>
      <c r="X506" s="17">
        <v>45199</v>
      </c>
      <c r="Y506" s="17">
        <v>45222</v>
      </c>
      <c r="Z506" s="19" t="s">
        <v>772</v>
      </c>
      <c r="AA506" s="207">
        <v>42900</v>
      </c>
      <c r="AB506" s="9">
        <v>82</v>
      </c>
      <c r="AC506" s="9">
        <v>29</v>
      </c>
      <c r="AD506" s="17">
        <v>46111</v>
      </c>
      <c r="AE506" s="54">
        <v>500</v>
      </c>
      <c r="AF506" s="54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9"/>
      <c r="BA506" s="22"/>
      <c r="BB506" s="22"/>
      <c r="BD506" s="9"/>
      <c r="CS506" s="11">
        <f t="shared" si="41"/>
        <v>0</v>
      </c>
      <c r="CT506" s="22">
        <f t="shared" si="42"/>
        <v>0</v>
      </c>
      <c r="CU506" s="22">
        <f t="shared" si="40"/>
        <v>0</v>
      </c>
      <c r="CV506" s="26">
        <f t="shared" si="43"/>
        <v>500</v>
      </c>
    </row>
    <row r="507" spans="1:100" x14ac:dyDescent="0.2">
      <c r="A507" s="9" t="s">
        <v>255</v>
      </c>
      <c r="B507" s="2">
        <v>42</v>
      </c>
      <c r="C507" s="3" t="s">
        <v>95</v>
      </c>
      <c r="D507" s="63" t="s">
        <v>96</v>
      </c>
      <c r="E507" s="62"/>
      <c r="F507" s="62"/>
      <c r="G507" s="2" t="s">
        <v>70</v>
      </c>
      <c r="H507" s="2">
        <v>4</v>
      </c>
      <c r="I507" s="20">
        <v>145.38</v>
      </c>
      <c r="J507" s="20">
        <v>47900</v>
      </c>
      <c r="K507" s="3">
        <v>0</v>
      </c>
      <c r="L507" s="3" t="s">
        <v>3</v>
      </c>
      <c r="M507" s="9" t="s">
        <v>62</v>
      </c>
      <c r="N507" s="9" t="s">
        <v>15</v>
      </c>
      <c r="O507" s="9" t="s">
        <v>259</v>
      </c>
      <c r="S507" s="9" t="s">
        <v>158</v>
      </c>
      <c r="T507" s="10" t="s">
        <v>70</v>
      </c>
      <c r="U507" s="10">
        <v>4</v>
      </c>
      <c r="V507" s="10">
        <v>145.38</v>
      </c>
      <c r="W507" s="10" t="s">
        <v>710</v>
      </c>
      <c r="X507" s="17">
        <v>45199</v>
      </c>
      <c r="Y507" s="17">
        <v>45222</v>
      </c>
      <c r="Z507" s="19" t="s">
        <v>772</v>
      </c>
      <c r="AA507" s="207">
        <v>42900</v>
      </c>
      <c r="AB507" s="9">
        <v>82</v>
      </c>
      <c r="AC507" s="9">
        <v>30</v>
      </c>
      <c r="AD507" s="17">
        <v>46142</v>
      </c>
      <c r="AE507" s="54">
        <v>500</v>
      </c>
      <c r="AF507" s="54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9"/>
      <c r="BA507" s="22"/>
      <c r="BB507" s="22"/>
      <c r="BD507" s="9"/>
      <c r="CS507" s="11">
        <f t="shared" si="41"/>
        <v>0</v>
      </c>
      <c r="CT507" s="22">
        <f t="shared" si="42"/>
        <v>0</v>
      </c>
      <c r="CU507" s="22">
        <f t="shared" si="40"/>
        <v>0</v>
      </c>
      <c r="CV507" s="26">
        <f t="shared" si="43"/>
        <v>500</v>
      </c>
    </row>
    <row r="508" spans="1:100" x14ac:dyDescent="0.2">
      <c r="A508" s="9" t="s">
        <v>255</v>
      </c>
      <c r="B508" s="2">
        <v>42</v>
      </c>
      <c r="C508" s="3" t="s">
        <v>95</v>
      </c>
      <c r="D508" s="63" t="s">
        <v>96</v>
      </c>
      <c r="E508" s="62"/>
      <c r="F508" s="62"/>
      <c r="G508" s="2" t="s">
        <v>70</v>
      </c>
      <c r="H508" s="2">
        <v>4</v>
      </c>
      <c r="I508" s="20">
        <v>145.38</v>
      </c>
      <c r="J508" s="20">
        <v>47900</v>
      </c>
      <c r="K508" s="3">
        <v>0</v>
      </c>
      <c r="L508" s="3" t="s">
        <v>3</v>
      </c>
      <c r="M508" s="9" t="s">
        <v>62</v>
      </c>
      <c r="N508" s="9" t="s">
        <v>15</v>
      </c>
      <c r="O508" s="9" t="s">
        <v>259</v>
      </c>
      <c r="S508" s="9" t="s">
        <v>158</v>
      </c>
      <c r="T508" s="10" t="s">
        <v>70</v>
      </c>
      <c r="U508" s="10">
        <v>4</v>
      </c>
      <c r="V508" s="10">
        <v>145.38</v>
      </c>
      <c r="W508" s="10" t="s">
        <v>710</v>
      </c>
      <c r="X508" s="17">
        <v>45199</v>
      </c>
      <c r="Y508" s="17">
        <v>45222</v>
      </c>
      <c r="Z508" s="19" t="s">
        <v>772</v>
      </c>
      <c r="AA508" s="207">
        <v>42900</v>
      </c>
      <c r="AB508" s="9">
        <v>82</v>
      </c>
      <c r="AC508" s="9">
        <v>31</v>
      </c>
      <c r="AD508" s="17">
        <v>46172</v>
      </c>
      <c r="AE508" s="54">
        <v>500</v>
      </c>
      <c r="AF508" s="54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9"/>
      <c r="BA508" s="22"/>
      <c r="BB508" s="22"/>
      <c r="BD508" s="9"/>
      <c r="CS508" s="11">
        <f t="shared" si="41"/>
        <v>0</v>
      </c>
      <c r="CT508" s="22">
        <f t="shared" si="42"/>
        <v>0</v>
      </c>
      <c r="CU508" s="22">
        <f t="shared" si="40"/>
        <v>0</v>
      </c>
      <c r="CV508" s="26">
        <f t="shared" si="43"/>
        <v>500</v>
      </c>
    </row>
    <row r="509" spans="1:100" x14ac:dyDescent="0.2">
      <c r="A509" s="9" t="s">
        <v>255</v>
      </c>
      <c r="B509" s="2">
        <v>42</v>
      </c>
      <c r="C509" s="3" t="s">
        <v>95</v>
      </c>
      <c r="D509" s="63" t="s">
        <v>96</v>
      </c>
      <c r="E509" s="62"/>
      <c r="F509" s="62"/>
      <c r="G509" s="2" t="s">
        <v>70</v>
      </c>
      <c r="H509" s="2">
        <v>4</v>
      </c>
      <c r="I509" s="20">
        <v>145.38</v>
      </c>
      <c r="J509" s="20">
        <v>47900</v>
      </c>
      <c r="K509" s="3">
        <v>0</v>
      </c>
      <c r="L509" s="3" t="s">
        <v>3</v>
      </c>
      <c r="M509" s="9" t="s">
        <v>62</v>
      </c>
      <c r="N509" s="9" t="s">
        <v>15</v>
      </c>
      <c r="O509" s="9" t="s">
        <v>259</v>
      </c>
      <c r="S509" s="9" t="s">
        <v>158</v>
      </c>
      <c r="T509" s="10" t="s">
        <v>70</v>
      </c>
      <c r="U509" s="10">
        <v>4</v>
      </c>
      <c r="V509" s="10">
        <v>145.38</v>
      </c>
      <c r="W509" s="10" t="s">
        <v>710</v>
      </c>
      <c r="X509" s="17">
        <v>45199</v>
      </c>
      <c r="Y509" s="17">
        <v>45222</v>
      </c>
      <c r="Z509" s="19" t="s">
        <v>772</v>
      </c>
      <c r="AA509" s="207">
        <v>42900</v>
      </c>
      <c r="AB509" s="9">
        <v>82</v>
      </c>
      <c r="AC509" s="9">
        <v>32</v>
      </c>
      <c r="AD509" s="17">
        <v>46203</v>
      </c>
      <c r="AE509" s="54">
        <v>500</v>
      </c>
      <c r="AF509" s="54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9"/>
      <c r="BA509" s="22"/>
      <c r="BB509" s="22"/>
      <c r="BD509" s="9"/>
      <c r="CS509" s="11">
        <f t="shared" si="41"/>
        <v>0</v>
      </c>
      <c r="CT509" s="22">
        <f t="shared" si="42"/>
        <v>0</v>
      </c>
      <c r="CU509" s="22">
        <f t="shared" si="40"/>
        <v>0</v>
      </c>
      <c r="CV509" s="26">
        <f t="shared" si="43"/>
        <v>500</v>
      </c>
    </row>
    <row r="510" spans="1:100" x14ac:dyDescent="0.2">
      <c r="A510" s="9" t="s">
        <v>255</v>
      </c>
      <c r="B510" s="2">
        <v>42</v>
      </c>
      <c r="C510" s="3" t="s">
        <v>95</v>
      </c>
      <c r="D510" s="63" t="s">
        <v>96</v>
      </c>
      <c r="E510" s="62"/>
      <c r="F510" s="62"/>
      <c r="G510" s="2" t="s">
        <v>70</v>
      </c>
      <c r="H510" s="2">
        <v>4</v>
      </c>
      <c r="I510" s="20">
        <v>145.38</v>
      </c>
      <c r="J510" s="20">
        <v>47900</v>
      </c>
      <c r="K510" s="3">
        <v>0</v>
      </c>
      <c r="L510" s="3" t="s">
        <v>3</v>
      </c>
      <c r="M510" s="9" t="s">
        <v>62</v>
      </c>
      <c r="N510" s="9" t="s">
        <v>15</v>
      </c>
      <c r="O510" s="9" t="s">
        <v>259</v>
      </c>
      <c r="S510" s="9" t="s">
        <v>158</v>
      </c>
      <c r="T510" s="10" t="s">
        <v>70</v>
      </c>
      <c r="U510" s="10">
        <v>4</v>
      </c>
      <c r="V510" s="10">
        <v>145.38</v>
      </c>
      <c r="W510" s="10" t="s">
        <v>710</v>
      </c>
      <c r="X510" s="17">
        <v>45199</v>
      </c>
      <c r="Y510" s="17">
        <v>45222</v>
      </c>
      <c r="Z510" s="19" t="s">
        <v>772</v>
      </c>
      <c r="AA510" s="207">
        <v>42900</v>
      </c>
      <c r="AB510" s="9">
        <v>82</v>
      </c>
      <c r="AC510" s="9">
        <v>33</v>
      </c>
      <c r="AD510" s="17">
        <v>46233</v>
      </c>
      <c r="AE510" s="54">
        <v>500</v>
      </c>
      <c r="AF510" s="54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9"/>
      <c r="BA510" s="22"/>
      <c r="BB510" s="22"/>
      <c r="BD510" s="9"/>
      <c r="CS510" s="11">
        <f t="shared" si="41"/>
        <v>0</v>
      </c>
      <c r="CT510" s="22">
        <f t="shared" si="42"/>
        <v>0</v>
      </c>
      <c r="CU510" s="22">
        <f t="shared" si="40"/>
        <v>0</v>
      </c>
      <c r="CV510" s="26">
        <f t="shared" si="43"/>
        <v>500</v>
      </c>
    </row>
    <row r="511" spans="1:100" x14ac:dyDescent="0.2">
      <c r="A511" s="9" t="s">
        <v>255</v>
      </c>
      <c r="B511" s="2">
        <v>42</v>
      </c>
      <c r="C511" s="3" t="s">
        <v>95</v>
      </c>
      <c r="D511" s="63" t="s">
        <v>96</v>
      </c>
      <c r="E511" s="62"/>
      <c r="F511" s="62"/>
      <c r="G511" s="2" t="s">
        <v>70</v>
      </c>
      <c r="H511" s="2">
        <v>4</v>
      </c>
      <c r="I511" s="20">
        <v>145.38</v>
      </c>
      <c r="J511" s="20">
        <v>47900</v>
      </c>
      <c r="K511" s="3">
        <v>0</v>
      </c>
      <c r="L511" s="3" t="s">
        <v>3</v>
      </c>
      <c r="M511" s="9" t="s">
        <v>62</v>
      </c>
      <c r="N511" s="9" t="s">
        <v>15</v>
      </c>
      <c r="O511" s="9" t="s">
        <v>259</v>
      </c>
      <c r="S511" s="9" t="s">
        <v>158</v>
      </c>
      <c r="T511" s="10" t="s">
        <v>70</v>
      </c>
      <c r="U511" s="10">
        <v>4</v>
      </c>
      <c r="V511" s="10">
        <v>145.38</v>
      </c>
      <c r="W511" s="10" t="s">
        <v>710</v>
      </c>
      <c r="X511" s="17">
        <v>45199</v>
      </c>
      <c r="Y511" s="17">
        <v>45222</v>
      </c>
      <c r="Z511" s="19" t="s">
        <v>772</v>
      </c>
      <c r="AA511" s="207">
        <v>42900</v>
      </c>
      <c r="AB511" s="9">
        <v>82</v>
      </c>
      <c r="AC511" s="9">
        <v>34</v>
      </c>
      <c r="AD511" s="17">
        <v>46264</v>
      </c>
      <c r="AE511" s="54">
        <v>500</v>
      </c>
      <c r="AF511" s="54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9"/>
      <c r="BA511" s="22"/>
      <c r="BB511" s="22"/>
      <c r="BD511" s="9"/>
      <c r="CS511" s="11">
        <f t="shared" si="41"/>
        <v>0</v>
      </c>
      <c r="CT511" s="22">
        <f t="shared" si="42"/>
        <v>0</v>
      </c>
      <c r="CU511" s="22">
        <f t="shared" si="40"/>
        <v>0</v>
      </c>
      <c r="CV511" s="26">
        <f t="shared" si="43"/>
        <v>500</v>
      </c>
    </row>
    <row r="512" spans="1:100" x14ac:dyDescent="0.2">
      <c r="A512" s="9" t="s">
        <v>255</v>
      </c>
      <c r="B512" s="2">
        <v>42</v>
      </c>
      <c r="C512" s="3" t="s">
        <v>95</v>
      </c>
      <c r="D512" s="63" t="s">
        <v>96</v>
      </c>
      <c r="E512" s="62"/>
      <c r="F512" s="62"/>
      <c r="G512" s="2" t="s">
        <v>70</v>
      </c>
      <c r="H512" s="2">
        <v>4</v>
      </c>
      <c r="I512" s="20">
        <v>145.38</v>
      </c>
      <c r="J512" s="20">
        <v>47900</v>
      </c>
      <c r="K512" s="3">
        <v>0</v>
      </c>
      <c r="L512" s="3" t="s">
        <v>3</v>
      </c>
      <c r="M512" s="9" t="s">
        <v>62</v>
      </c>
      <c r="N512" s="9" t="s">
        <v>15</v>
      </c>
      <c r="O512" s="9" t="s">
        <v>259</v>
      </c>
      <c r="S512" s="9" t="s">
        <v>158</v>
      </c>
      <c r="T512" s="10" t="s">
        <v>70</v>
      </c>
      <c r="U512" s="10">
        <v>4</v>
      </c>
      <c r="V512" s="10">
        <v>145.38</v>
      </c>
      <c r="W512" s="10" t="s">
        <v>710</v>
      </c>
      <c r="X512" s="17">
        <v>45199</v>
      </c>
      <c r="Y512" s="17">
        <v>45222</v>
      </c>
      <c r="Z512" s="19" t="s">
        <v>772</v>
      </c>
      <c r="AA512" s="207">
        <v>42900</v>
      </c>
      <c r="AB512" s="9">
        <v>82</v>
      </c>
      <c r="AC512" s="9">
        <v>35</v>
      </c>
      <c r="AD512" s="17">
        <v>46295</v>
      </c>
      <c r="AE512" s="54">
        <v>500</v>
      </c>
      <c r="AF512" s="54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9"/>
      <c r="BA512" s="22"/>
      <c r="BB512" s="22"/>
      <c r="BD512" s="9"/>
      <c r="CS512" s="11">
        <f t="shared" si="41"/>
        <v>0</v>
      </c>
      <c r="CT512" s="22">
        <f t="shared" si="42"/>
        <v>0</v>
      </c>
      <c r="CU512" s="22">
        <f t="shared" si="40"/>
        <v>0</v>
      </c>
      <c r="CV512" s="26">
        <f t="shared" si="43"/>
        <v>500</v>
      </c>
    </row>
    <row r="513" spans="1:100" x14ac:dyDescent="0.2">
      <c r="A513" s="9" t="s">
        <v>255</v>
      </c>
      <c r="B513" s="2">
        <v>42</v>
      </c>
      <c r="C513" s="3" t="s">
        <v>95</v>
      </c>
      <c r="D513" s="63" t="s">
        <v>96</v>
      </c>
      <c r="E513" s="62"/>
      <c r="F513" s="62"/>
      <c r="G513" s="2" t="s">
        <v>70</v>
      </c>
      <c r="H513" s="2">
        <v>4</v>
      </c>
      <c r="I513" s="20">
        <v>145.38</v>
      </c>
      <c r="J513" s="20">
        <v>47900</v>
      </c>
      <c r="K513" s="3">
        <v>0</v>
      </c>
      <c r="L513" s="3" t="s">
        <v>3</v>
      </c>
      <c r="M513" s="9" t="s">
        <v>62</v>
      </c>
      <c r="N513" s="9" t="s">
        <v>15</v>
      </c>
      <c r="O513" s="9" t="s">
        <v>259</v>
      </c>
      <c r="S513" s="9" t="s">
        <v>158</v>
      </c>
      <c r="T513" s="10" t="s">
        <v>70</v>
      </c>
      <c r="U513" s="10">
        <v>4</v>
      </c>
      <c r="V513" s="10">
        <v>145.38</v>
      </c>
      <c r="W513" s="10" t="s">
        <v>710</v>
      </c>
      <c r="X513" s="17">
        <v>45199</v>
      </c>
      <c r="Y513" s="17">
        <v>45222</v>
      </c>
      <c r="Z513" s="19" t="s">
        <v>772</v>
      </c>
      <c r="AA513" s="207">
        <v>42900</v>
      </c>
      <c r="AB513" s="9">
        <v>82</v>
      </c>
      <c r="AC513" s="9">
        <v>36</v>
      </c>
      <c r="AD513" s="17">
        <v>46325</v>
      </c>
      <c r="AE513" s="54">
        <v>500</v>
      </c>
      <c r="AF513" s="54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9"/>
      <c r="BA513" s="22"/>
      <c r="BB513" s="22"/>
      <c r="BD513" s="9"/>
      <c r="CS513" s="11">
        <f t="shared" si="41"/>
        <v>0</v>
      </c>
      <c r="CT513" s="22">
        <f t="shared" si="42"/>
        <v>0</v>
      </c>
      <c r="CU513" s="22">
        <f t="shared" si="40"/>
        <v>0</v>
      </c>
      <c r="CV513" s="26">
        <f t="shared" si="43"/>
        <v>500</v>
      </c>
    </row>
    <row r="514" spans="1:100" x14ac:dyDescent="0.2">
      <c r="A514" s="9" t="s">
        <v>255</v>
      </c>
      <c r="B514" s="2">
        <v>42</v>
      </c>
      <c r="C514" s="3" t="s">
        <v>95</v>
      </c>
      <c r="D514" s="63" t="s">
        <v>96</v>
      </c>
      <c r="E514" s="62"/>
      <c r="F514" s="62"/>
      <c r="G514" s="2" t="s">
        <v>70</v>
      </c>
      <c r="H514" s="2">
        <v>4</v>
      </c>
      <c r="I514" s="20">
        <v>145.38</v>
      </c>
      <c r="J514" s="20">
        <v>47900</v>
      </c>
      <c r="K514" s="3">
        <v>0</v>
      </c>
      <c r="L514" s="3" t="s">
        <v>3</v>
      </c>
      <c r="M514" s="9" t="s">
        <v>62</v>
      </c>
      <c r="N514" s="9" t="s">
        <v>15</v>
      </c>
      <c r="O514" s="9" t="s">
        <v>259</v>
      </c>
      <c r="S514" s="9" t="s">
        <v>158</v>
      </c>
      <c r="T514" s="10" t="s">
        <v>70</v>
      </c>
      <c r="U514" s="10">
        <v>4</v>
      </c>
      <c r="V514" s="10">
        <v>145.38</v>
      </c>
      <c r="W514" s="10" t="s">
        <v>710</v>
      </c>
      <c r="X514" s="17">
        <v>45199</v>
      </c>
      <c r="Y514" s="17">
        <v>45222</v>
      </c>
      <c r="Z514" s="19" t="s">
        <v>772</v>
      </c>
      <c r="AA514" s="207">
        <v>42900</v>
      </c>
      <c r="AB514" s="9">
        <v>82</v>
      </c>
      <c r="AC514" s="9">
        <v>37</v>
      </c>
      <c r="AD514" s="17">
        <v>46356</v>
      </c>
      <c r="AE514" s="54">
        <v>500</v>
      </c>
      <c r="AF514" s="54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9"/>
      <c r="BA514" s="22"/>
      <c r="BB514" s="22"/>
      <c r="BD514" s="9"/>
      <c r="CS514" s="11">
        <f t="shared" si="41"/>
        <v>0</v>
      </c>
      <c r="CT514" s="22">
        <f t="shared" si="42"/>
        <v>0</v>
      </c>
      <c r="CU514" s="22">
        <f t="shared" si="40"/>
        <v>0</v>
      </c>
      <c r="CV514" s="26">
        <f t="shared" si="43"/>
        <v>500</v>
      </c>
    </row>
    <row r="515" spans="1:100" x14ac:dyDescent="0.2">
      <c r="A515" s="9" t="s">
        <v>255</v>
      </c>
      <c r="B515" s="2">
        <v>42</v>
      </c>
      <c r="C515" s="3" t="s">
        <v>95</v>
      </c>
      <c r="D515" s="63" t="s">
        <v>96</v>
      </c>
      <c r="E515" s="62"/>
      <c r="F515" s="62"/>
      <c r="G515" s="2" t="s">
        <v>70</v>
      </c>
      <c r="H515" s="2">
        <v>4</v>
      </c>
      <c r="I515" s="20">
        <v>145.38</v>
      </c>
      <c r="J515" s="20">
        <v>47900</v>
      </c>
      <c r="K515" s="3">
        <v>0</v>
      </c>
      <c r="L515" s="3" t="s">
        <v>3</v>
      </c>
      <c r="M515" s="9" t="s">
        <v>62</v>
      </c>
      <c r="N515" s="9" t="s">
        <v>15</v>
      </c>
      <c r="O515" s="9" t="s">
        <v>259</v>
      </c>
      <c r="S515" s="9" t="s">
        <v>158</v>
      </c>
      <c r="T515" s="10" t="s">
        <v>70</v>
      </c>
      <c r="U515" s="10">
        <v>4</v>
      </c>
      <c r="V515" s="10">
        <v>145.38</v>
      </c>
      <c r="W515" s="10" t="s">
        <v>710</v>
      </c>
      <c r="X515" s="17">
        <v>45199</v>
      </c>
      <c r="Y515" s="17">
        <v>45222</v>
      </c>
      <c r="Z515" s="19" t="s">
        <v>772</v>
      </c>
      <c r="AA515" s="207">
        <v>42900</v>
      </c>
      <c r="AB515" s="9">
        <v>82</v>
      </c>
      <c r="AC515" s="9">
        <v>38</v>
      </c>
      <c r="AD515" s="17">
        <v>46386</v>
      </c>
      <c r="AE515" s="54">
        <v>500</v>
      </c>
      <c r="AF515" s="54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9"/>
      <c r="BA515" s="22"/>
      <c r="BB515" s="22"/>
      <c r="BD515" s="9"/>
      <c r="CS515" s="11">
        <f t="shared" si="41"/>
        <v>0</v>
      </c>
      <c r="CT515" s="22">
        <f t="shared" si="42"/>
        <v>0</v>
      </c>
      <c r="CU515" s="22">
        <f t="shared" si="40"/>
        <v>0</v>
      </c>
      <c r="CV515" s="26">
        <f t="shared" si="43"/>
        <v>500</v>
      </c>
    </row>
    <row r="516" spans="1:100" x14ac:dyDescent="0.2">
      <c r="A516" s="9" t="s">
        <v>255</v>
      </c>
      <c r="B516" s="2">
        <v>42</v>
      </c>
      <c r="C516" s="3" t="s">
        <v>95</v>
      </c>
      <c r="D516" s="63" t="s">
        <v>96</v>
      </c>
      <c r="E516" s="62"/>
      <c r="F516" s="62"/>
      <c r="G516" s="2" t="s">
        <v>70</v>
      </c>
      <c r="H516" s="2">
        <v>4</v>
      </c>
      <c r="I516" s="20">
        <v>145.38</v>
      </c>
      <c r="J516" s="20">
        <v>47900</v>
      </c>
      <c r="K516" s="3">
        <v>0</v>
      </c>
      <c r="L516" s="3" t="s">
        <v>3</v>
      </c>
      <c r="M516" s="9" t="s">
        <v>62</v>
      </c>
      <c r="N516" s="9" t="s">
        <v>15</v>
      </c>
      <c r="O516" s="9" t="s">
        <v>259</v>
      </c>
      <c r="S516" s="9" t="s">
        <v>158</v>
      </c>
      <c r="T516" s="10" t="s">
        <v>70</v>
      </c>
      <c r="U516" s="10">
        <v>4</v>
      </c>
      <c r="V516" s="10">
        <v>145.38</v>
      </c>
      <c r="W516" s="10" t="s">
        <v>710</v>
      </c>
      <c r="X516" s="17">
        <v>45199</v>
      </c>
      <c r="Y516" s="17">
        <v>45222</v>
      </c>
      <c r="Z516" s="19" t="s">
        <v>772</v>
      </c>
      <c r="AA516" s="207">
        <v>42900</v>
      </c>
      <c r="AB516" s="9">
        <v>82</v>
      </c>
      <c r="AC516" s="9">
        <v>39</v>
      </c>
      <c r="AD516" s="17">
        <v>46417</v>
      </c>
      <c r="AE516" s="54">
        <v>500</v>
      </c>
      <c r="AF516" s="54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9"/>
      <c r="BA516" s="22"/>
      <c r="BB516" s="22"/>
      <c r="BD516" s="9"/>
      <c r="CS516" s="11">
        <f t="shared" si="41"/>
        <v>0</v>
      </c>
      <c r="CT516" s="22">
        <f t="shared" si="42"/>
        <v>0</v>
      </c>
      <c r="CU516" s="22">
        <f t="shared" si="40"/>
        <v>0</v>
      </c>
      <c r="CV516" s="26">
        <f t="shared" si="43"/>
        <v>500</v>
      </c>
    </row>
    <row r="517" spans="1:100" x14ac:dyDescent="0.2">
      <c r="A517" s="9" t="s">
        <v>255</v>
      </c>
      <c r="B517" s="2">
        <v>42</v>
      </c>
      <c r="C517" s="3" t="s">
        <v>95</v>
      </c>
      <c r="D517" s="63" t="s">
        <v>96</v>
      </c>
      <c r="E517" s="62"/>
      <c r="F517" s="62"/>
      <c r="G517" s="2" t="s">
        <v>70</v>
      </c>
      <c r="H517" s="2">
        <v>4</v>
      </c>
      <c r="I517" s="20">
        <v>145.38</v>
      </c>
      <c r="J517" s="20">
        <v>47900</v>
      </c>
      <c r="K517" s="3">
        <v>0</v>
      </c>
      <c r="L517" s="3" t="s">
        <v>3</v>
      </c>
      <c r="M517" s="9" t="s">
        <v>62</v>
      </c>
      <c r="N517" s="9" t="s">
        <v>15</v>
      </c>
      <c r="O517" s="9" t="s">
        <v>259</v>
      </c>
      <c r="S517" s="9" t="s">
        <v>158</v>
      </c>
      <c r="T517" s="10" t="s">
        <v>70</v>
      </c>
      <c r="U517" s="10">
        <v>4</v>
      </c>
      <c r="V517" s="10">
        <v>145.38</v>
      </c>
      <c r="W517" s="10" t="s">
        <v>710</v>
      </c>
      <c r="X517" s="17">
        <v>45199</v>
      </c>
      <c r="Y517" s="17">
        <v>45222</v>
      </c>
      <c r="Z517" s="19" t="s">
        <v>772</v>
      </c>
      <c r="AA517" s="207">
        <v>42900</v>
      </c>
      <c r="AB517" s="9">
        <v>82</v>
      </c>
      <c r="AC517" s="9">
        <v>40</v>
      </c>
      <c r="AD517" s="17">
        <v>46446</v>
      </c>
      <c r="AE517" s="54">
        <v>500</v>
      </c>
      <c r="AF517" s="54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9"/>
      <c r="BA517" s="22"/>
      <c r="BB517" s="22"/>
      <c r="BD517" s="9"/>
      <c r="CS517" s="11">
        <f t="shared" si="41"/>
        <v>0</v>
      </c>
      <c r="CT517" s="22">
        <f t="shared" si="42"/>
        <v>0</v>
      </c>
      <c r="CU517" s="22">
        <f t="shared" si="40"/>
        <v>0</v>
      </c>
      <c r="CV517" s="26">
        <f t="shared" si="43"/>
        <v>500</v>
      </c>
    </row>
    <row r="518" spans="1:100" x14ac:dyDescent="0.2">
      <c r="A518" s="9" t="s">
        <v>255</v>
      </c>
      <c r="B518" s="2">
        <v>42</v>
      </c>
      <c r="C518" s="3" t="s">
        <v>95</v>
      </c>
      <c r="D518" s="63" t="s">
        <v>96</v>
      </c>
      <c r="E518" s="62"/>
      <c r="F518" s="62"/>
      <c r="G518" s="2" t="s">
        <v>70</v>
      </c>
      <c r="H518" s="2">
        <v>4</v>
      </c>
      <c r="I518" s="20">
        <v>145.38</v>
      </c>
      <c r="J518" s="20">
        <v>47900</v>
      </c>
      <c r="K518" s="3">
        <v>0</v>
      </c>
      <c r="L518" s="3" t="s">
        <v>3</v>
      </c>
      <c r="M518" s="9" t="s">
        <v>62</v>
      </c>
      <c r="N518" s="9" t="s">
        <v>15</v>
      </c>
      <c r="O518" s="9" t="s">
        <v>259</v>
      </c>
      <c r="S518" s="9" t="s">
        <v>158</v>
      </c>
      <c r="T518" s="10" t="s">
        <v>70</v>
      </c>
      <c r="U518" s="10">
        <v>4</v>
      </c>
      <c r="V518" s="10">
        <v>145.38</v>
      </c>
      <c r="W518" s="10" t="s">
        <v>710</v>
      </c>
      <c r="X518" s="17">
        <v>45199</v>
      </c>
      <c r="Y518" s="17">
        <v>45222</v>
      </c>
      <c r="Z518" s="19" t="s">
        <v>772</v>
      </c>
      <c r="AA518" s="207">
        <v>42900</v>
      </c>
      <c r="AB518" s="9">
        <v>82</v>
      </c>
      <c r="AC518" s="9">
        <v>41</v>
      </c>
      <c r="AD518" s="17">
        <v>46476</v>
      </c>
      <c r="AE518" s="54">
        <v>500</v>
      </c>
      <c r="AF518" s="54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9"/>
      <c r="BA518" s="22"/>
      <c r="BB518" s="22"/>
      <c r="BD518" s="9"/>
      <c r="CS518" s="11">
        <f t="shared" si="41"/>
        <v>0</v>
      </c>
      <c r="CT518" s="22">
        <f t="shared" si="42"/>
        <v>0</v>
      </c>
      <c r="CU518" s="22">
        <f t="shared" si="40"/>
        <v>0</v>
      </c>
      <c r="CV518" s="26">
        <f t="shared" si="43"/>
        <v>500</v>
      </c>
    </row>
    <row r="519" spans="1:100" x14ac:dyDescent="0.2">
      <c r="A519" s="9" t="s">
        <v>255</v>
      </c>
      <c r="B519" s="2">
        <v>42</v>
      </c>
      <c r="C519" s="3" t="s">
        <v>95</v>
      </c>
      <c r="D519" s="63" t="s">
        <v>96</v>
      </c>
      <c r="E519" s="62"/>
      <c r="F519" s="62"/>
      <c r="G519" s="2" t="s">
        <v>70</v>
      </c>
      <c r="H519" s="2">
        <v>4</v>
      </c>
      <c r="I519" s="20">
        <v>145.38</v>
      </c>
      <c r="J519" s="20">
        <v>47900</v>
      </c>
      <c r="K519" s="3">
        <v>0</v>
      </c>
      <c r="L519" s="3" t="s">
        <v>3</v>
      </c>
      <c r="M519" s="9" t="s">
        <v>62</v>
      </c>
      <c r="N519" s="9" t="s">
        <v>15</v>
      </c>
      <c r="O519" s="9" t="s">
        <v>259</v>
      </c>
      <c r="S519" s="9" t="s">
        <v>158</v>
      </c>
      <c r="T519" s="10" t="s">
        <v>70</v>
      </c>
      <c r="U519" s="10">
        <v>4</v>
      </c>
      <c r="V519" s="10">
        <v>145.38</v>
      </c>
      <c r="W519" s="10" t="s">
        <v>710</v>
      </c>
      <c r="X519" s="17">
        <v>45199</v>
      </c>
      <c r="Y519" s="17">
        <v>45222</v>
      </c>
      <c r="Z519" s="19" t="s">
        <v>772</v>
      </c>
      <c r="AA519" s="207">
        <v>42900</v>
      </c>
      <c r="AB519" s="9">
        <v>82</v>
      </c>
      <c r="AC519" s="9">
        <v>42</v>
      </c>
      <c r="AD519" s="17">
        <v>46507</v>
      </c>
      <c r="AE519" s="54">
        <v>500</v>
      </c>
      <c r="AF519" s="54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9"/>
      <c r="BA519" s="22"/>
      <c r="BB519" s="22"/>
      <c r="BD519" s="9"/>
      <c r="CS519" s="11">
        <f t="shared" si="41"/>
        <v>0</v>
      </c>
      <c r="CT519" s="22">
        <f t="shared" si="42"/>
        <v>0</v>
      </c>
      <c r="CU519" s="22">
        <f t="shared" si="40"/>
        <v>0</v>
      </c>
      <c r="CV519" s="26">
        <f t="shared" si="43"/>
        <v>500</v>
      </c>
    </row>
    <row r="520" spans="1:100" x14ac:dyDescent="0.2">
      <c r="A520" s="9" t="s">
        <v>255</v>
      </c>
      <c r="B520" s="2">
        <v>42</v>
      </c>
      <c r="C520" s="3" t="s">
        <v>95</v>
      </c>
      <c r="D520" s="63" t="s">
        <v>96</v>
      </c>
      <c r="E520" s="62"/>
      <c r="F520" s="62"/>
      <c r="G520" s="2" t="s">
        <v>70</v>
      </c>
      <c r="H520" s="2">
        <v>4</v>
      </c>
      <c r="I520" s="20">
        <v>145.38</v>
      </c>
      <c r="J520" s="20">
        <v>47900</v>
      </c>
      <c r="K520" s="3">
        <v>0</v>
      </c>
      <c r="L520" s="3" t="s">
        <v>3</v>
      </c>
      <c r="M520" s="9" t="s">
        <v>62</v>
      </c>
      <c r="N520" s="9" t="s">
        <v>15</v>
      </c>
      <c r="O520" s="9" t="s">
        <v>259</v>
      </c>
      <c r="S520" s="9" t="s">
        <v>158</v>
      </c>
      <c r="T520" s="10" t="s">
        <v>70</v>
      </c>
      <c r="U520" s="10">
        <v>4</v>
      </c>
      <c r="V520" s="10">
        <v>145.38</v>
      </c>
      <c r="W520" s="10" t="s">
        <v>710</v>
      </c>
      <c r="X520" s="17">
        <v>45199</v>
      </c>
      <c r="Y520" s="17">
        <v>45222</v>
      </c>
      <c r="Z520" s="19" t="s">
        <v>772</v>
      </c>
      <c r="AA520" s="207">
        <v>42900</v>
      </c>
      <c r="AB520" s="9">
        <v>82</v>
      </c>
      <c r="AC520" s="9">
        <v>43</v>
      </c>
      <c r="AD520" s="17">
        <v>46537</v>
      </c>
      <c r="AE520" s="54">
        <v>500</v>
      </c>
      <c r="AF520" s="54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9"/>
      <c r="BA520" s="22"/>
      <c r="BB520" s="22"/>
      <c r="BD520" s="9"/>
      <c r="CS520" s="11">
        <f t="shared" si="41"/>
        <v>0</v>
      </c>
      <c r="CT520" s="22">
        <f t="shared" si="42"/>
        <v>0</v>
      </c>
      <c r="CU520" s="22">
        <f t="shared" si="40"/>
        <v>0</v>
      </c>
      <c r="CV520" s="26">
        <f t="shared" si="43"/>
        <v>500</v>
      </c>
    </row>
    <row r="521" spans="1:100" x14ac:dyDescent="0.2">
      <c r="A521" s="9" t="s">
        <v>255</v>
      </c>
      <c r="B521" s="2">
        <v>42</v>
      </c>
      <c r="C521" s="3" t="s">
        <v>95</v>
      </c>
      <c r="D521" s="63" t="s">
        <v>96</v>
      </c>
      <c r="E521" s="62"/>
      <c r="F521" s="62"/>
      <c r="G521" s="2" t="s">
        <v>70</v>
      </c>
      <c r="H521" s="2">
        <v>4</v>
      </c>
      <c r="I521" s="20">
        <v>145.38</v>
      </c>
      <c r="J521" s="20">
        <v>47900</v>
      </c>
      <c r="K521" s="3">
        <v>0</v>
      </c>
      <c r="L521" s="3" t="s">
        <v>3</v>
      </c>
      <c r="M521" s="9" t="s">
        <v>62</v>
      </c>
      <c r="N521" s="9" t="s">
        <v>15</v>
      </c>
      <c r="O521" s="9" t="s">
        <v>259</v>
      </c>
      <c r="S521" s="9" t="s">
        <v>158</v>
      </c>
      <c r="T521" s="10" t="s">
        <v>70</v>
      </c>
      <c r="U521" s="10">
        <v>4</v>
      </c>
      <c r="V521" s="10">
        <v>145.38</v>
      </c>
      <c r="W521" s="10" t="s">
        <v>710</v>
      </c>
      <c r="X521" s="17">
        <v>45199</v>
      </c>
      <c r="Y521" s="17">
        <v>45222</v>
      </c>
      <c r="Z521" s="19" t="s">
        <v>772</v>
      </c>
      <c r="AA521" s="207">
        <v>42900</v>
      </c>
      <c r="AB521" s="9">
        <v>82</v>
      </c>
      <c r="AC521" s="9">
        <v>44</v>
      </c>
      <c r="AD521" s="17">
        <v>46568</v>
      </c>
      <c r="AE521" s="54">
        <v>500</v>
      </c>
      <c r="AF521" s="54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9"/>
      <c r="BA521" s="22"/>
      <c r="BB521" s="22"/>
      <c r="BD521" s="9"/>
      <c r="CS521" s="11">
        <f t="shared" si="41"/>
        <v>0</v>
      </c>
      <c r="CT521" s="22">
        <f t="shared" si="42"/>
        <v>0</v>
      </c>
      <c r="CU521" s="22">
        <f t="shared" si="40"/>
        <v>0</v>
      </c>
      <c r="CV521" s="26">
        <f t="shared" si="43"/>
        <v>500</v>
      </c>
    </row>
    <row r="522" spans="1:100" x14ac:dyDescent="0.2">
      <c r="A522" s="9" t="s">
        <v>255</v>
      </c>
      <c r="B522" s="2">
        <v>42</v>
      </c>
      <c r="C522" s="3" t="s">
        <v>95</v>
      </c>
      <c r="D522" s="63" t="s">
        <v>96</v>
      </c>
      <c r="E522" s="62"/>
      <c r="F522" s="62"/>
      <c r="G522" s="2" t="s">
        <v>70</v>
      </c>
      <c r="H522" s="2">
        <v>4</v>
      </c>
      <c r="I522" s="20">
        <v>145.38</v>
      </c>
      <c r="J522" s="20">
        <v>47900</v>
      </c>
      <c r="K522" s="3">
        <v>0</v>
      </c>
      <c r="L522" s="3" t="s">
        <v>3</v>
      </c>
      <c r="M522" s="9" t="s">
        <v>62</v>
      </c>
      <c r="N522" s="9" t="s">
        <v>15</v>
      </c>
      <c r="O522" s="9" t="s">
        <v>259</v>
      </c>
      <c r="S522" s="9" t="s">
        <v>158</v>
      </c>
      <c r="T522" s="10" t="s">
        <v>70</v>
      </c>
      <c r="U522" s="10">
        <v>4</v>
      </c>
      <c r="V522" s="10">
        <v>145.38</v>
      </c>
      <c r="W522" s="10" t="s">
        <v>710</v>
      </c>
      <c r="X522" s="17">
        <v>45199</v>
      </c>
      <c r="Y522" s="17">
        <v>45222</v>
      </c>
      <c r="Z522" s="19" t="s">
        <v>772</v>
      </c>
      <c r="AA522" s="207">
        <v>42900</v>
      </c>
      <c r="AB522" s="9">
        <v>82</v>
      </c>
      <c r="AC522" s="9">
        <v>45</v>
      </c>
      <c r="AD522" s="17">
        <v>46598</v>
      </c>
      <c r="AE522" s="54">
        <v>500</v>
      </c>
      <c r="AF522" s="54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9"/>
      <c r="BA522" s="22"/>
      <c r="BB522" s="22"/>
      <c r="BD522" s="9"/>
      <c r="CS522" s="11">
        <f t="shared" si="41"/>
        <v>0</v>
      </c>
      <c r="CT522" s="22">
        <f t="shared" si="42"/>
        <v>0</v>
      </c>
      <c r="CU522" s="22">
        <f t="shared" si="40"/>
        <v>0</v>
      </c>
      <c r="CV522" s="26">
        <f t="shared" si="43"/>
        <v>500</v>
      </c>
    </row>
    <row r="523" spans="1:100" x14ac:dyDescent="0.2">
      <c r="A523" s="9" t="s">
        <v>255</v>
      </c>
      <c r="B523" s="2">
        <v>42</v>
      </c>
      <c r="C523" s="3" t="s">
        <v>95</v>
      </c>
      <c r="D523" s="63" t="s">
        <v>96</v>
      </c>
      <c r="E523" s="62"/>
      <c r="F523" s="62"/>
      <c r="G523" s="2" t="s">
        <v>70</v>
      </c>
      <c r="H523" s="2">
        <v>4</v>
      </c>
      <c r="I523" s="20">
        <v>145.38</v>
      </c>
      <c r="J523" s="20">
        <v>47900</v>
      </c>
      <c r="K523" s="3">
        <v>0</v>
      </c>
      <c r="L523" s="3" t="s">
        <v>3</v>
      </c>
      <c r="M523" s="9" t="s">
        <v>62</v>
      </c>
      <c r="N523" s="9" t="s">
        <v>15</v>
      </c>
      <c r="O523" s="9" t="s">
        <v>259</v>
      </c>
      <c r="S523" s="9" t="s">
        <v>158</v>
      </c>
      <c r="T523" s="10" t="s">
        <v>70</v>
      </c>
      <c r="U523" s="10">
        <v>4</v>
      </c>
      <c r="V523" s="10">
        <v>145.38</v>
      </c>
      <c r="W523" s="10" t="s">
        <v>710</v>
      </c>
      <c r="X523" s="17">
        <v>45199</v>
      </c>
      <c r="Y523" s="17">
        <v>45222</v>
      </c>
      <c r="Z523" s="19" t="s">
        <v>772</v>
      </c>
      <c r="AA523" s="207">
        <v>42900</v>
      </c>
      <c r="AB523" s="9">
        <v>82</v>
      </c>
      <c r="AC523" s="9">
        <v>46</v>
      </c>
      <c r="AD523" s="17">
        <v>46629</v>
      </c>
      <c r="AE523" s="54">
        <v>500</v>
      </c>
      <c r="AF523" s="54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9"/>
      <c r="BA523" s="22"/>
      <c r="BB523" s="22"/>
      <c r="BD523" s="9"/>
      <c r="CS523" s="11">
        <f t="shared" si="41"/>
        <v>0</v>
      </c>
      <c r="CT523" s="22">
        <f t="shared" si="42"/>
        <v>0</v>
      </c>
      <c r="CU523" s="22">
        <f t="shared" si="40"/>
        <v>0</v>
      </c>
      <c r="CV523" s="26">
        <f t="shared" si="43"/>
        <v>500</v>
      </c>
    </row>
    <row r="524" spans="1:100" x14ac:dyDescent="0.2">
      <c r="A524" s="9" t="s">
        <v>255</v>
      </c>
      <c r="B524" s="2">
        <v>42</v>
      </c>
      <c r="C524" s="3" t="s">
        <v>95</v>
      </c>
      <c r="D524" s="63" t="s">
        <v>96</v>
      </c>
      <c r="E524" s="62"/>
      <c r="F524" s="62"/>
      <c r="G524" s="2" t="s">
        <v>70</v>
      </c>
      <c r="H524" s="2">
        <v>4</v>
      </c>
      <c r="I524" s="20">
        <v>145.38</v>
      </c>
      <c r="J524" s="20">
        <v>47900</v>
      </c>
      <c r="K524" s="3">
        <v>0</v>
      </c>
      <c r="L524" s="3" t="s">
        <v>3</v>
      </c>
      <c r="M524" s="9" t="s">
        <v>62</v>
      </c>
      <c r="N524" s="9" t="s">
        <v>15</v>
      </c>
      <c r="O524" s="9" t="s">
        <v>259</v>
      </c>
      <c r="S524" s="9" t="s">
        <v>158</v>
      </c>
      <c r="T524" s="10" t="s">
        <v>70</v>
      </c>
      <c r="U524" s="10">
        <v>4</v>
      </c>
      <c r="V524" s="10">
        <v>145.38</v>
      </c>
      <c r="W524" s="10" t="s">
        <v>710</v>
      </c>
      <c r="X524" s="17">
        <v>45199</v>
      </c>
      <c r="Y524" s="17">
        <v>45222</v>
      </c>
      <c r="Z524" s="19" t="s">
        <v>772</v>
      </c>
      <c r="AA524" s="207">
        <v>42900</v>
      </c>
      <c r="AB524" s="9">
        <v>82</v>
      </c>
      <c r="AC524" s="9">
        <v>47</v>
      </c>
      <c r="AD524" s="17">
        <v>46660</v>
      </c>
      <c r="AE524" s="54">
        <v>500</v>
      </c>
      <c r="AF524" s="54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9"/>
      <c r="BA524" s="22"/>
      <c r="BB524" s="22"/>
      <c r="BD524" s="9"/>
      <c r="CS524" s="11">
        <f t="shared" si="41"/>
        <v>0</v>
      </c>
      <c r="CT524" s="22">
        <f t="shared" si="42"/>
        <v>0</v>
      </c>
      <c r="CU524" s="22">
        <f t="shared" si="40"/>
        <v>0</v>
      </c>
      <c r="CV524" s="26">
        <f t="shared" si="43"/>
        <v>500</v>
      </c>
    </row>
    <row r="525" spans="1:100" x14ac:dyDescent="0.2">
      <c r="A525" s="9" t="s">
        <v>255</v>
      </c>
      <c r="B525" s="2">
        <v>42</v>
      </c>
      <c r="C525" s="3" t="s">
        <v>95</v>
      </c>
      <c r="D525" s="63" t="s">
        <v>96</v>
      </c>
      <c r="E525" s="62"/>
      <c r="F525" s="62"/>
      <c r="G525" s="2" t="s">
        <v>70</v>
      </c>
      <c r="H525" s="2">
        <v>4</v>
      </c>
      <c r="I525" s="20">
        <v>145.38</v>
      </c>
      <c r="J525" s="20">
        <v>47900</v>
      </c>
      <c r="K525" s="3">
        <v>0</v>
      </c>
      <c r="L525" s="3" t="s">
        <v>3</v>
      </c>
      <c r="M525" s="9" t="s">
        <v>62</v>
      </c>
      <c r="N525" s="9" t="s">
        <v>15</v>
      </c>
      <c r="O525" s="9" t="s">
        <v>259</v>
      </c>
      <c r="S525" s="9" t="s">
        <v>158</v>
      </c>
      <c r="T525" s="10" t="s">
        <v>70</v>
      </c>
      <c r="U525" s="10">
        <v>4</v>
      </c>
      <c r="V525" s="10">
        <v>145.38</v>
      </c>
      <c r="W525" s="10" t="s">
        <v>710</v>
      </c>
      <c r="X525" s="17">
        <v>45199</v>
      </c>
      <c r="Y525" s="17">
        <v>45222</v>
      </c>
      <c r="Z525" s="19" t="s">
        <v>772</v>
      </c>
      <c r="AA525" s="207">
        <v>42900</v>
      </c>
      <c r="AB525" s="9">
        <v>82</v>
      </c>
      <c r="AC525" s="9">
        <v>48</v>
      </c>
      <c r="AD525" s="17">
        <v>46690</v>
      </c>
      <c r="AE525" s="54">
        <v>500</v>
      </c>
      <c r="AF525" s="54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9"/>
      <c r="BA525" s="22"/>
      <c r="BB525" s="22"/>
      <c r="BD525" s="9"/>
      <c r="CS525" s="11">
        <f t="shared" si="41"/>
        <v>0</v>
      </c>
      <c r="CT525" s="22">
        <f t="shared" si="42"/>
        <v>0</v>
      </c>
      <c r="CU525" s="22">
        <f t="shared" si="40"/>
        <v>0</v>
      </c>
      <c r="CV525" s="26">
        <f t="shared" si="43"/>
        <v>500</v>
      </c>
    </row>
    <row r="526" spans="1:100" x14ac:dyDescent="0.2">
      <c r="A526" s="9" t="s">
        <v>255</v>
      </c>
      <c r="B526" s="2">
        <v>42</v>
      </c>
      <c r="C526" s="3" t="s">
        <v>95</v>
      </c>
      <c r="D526" s="63" t="s">
        <v>96</v>
      </c>
      <c r="E526" s="62"/>
      <c r="F526" s="62"/>
      <c r="G526" s="2" t="s">
        <v>70</v>
      </c>
      <c r="H526" s="2">
        <v>4</v>
      </c>
      <c r="I526" s="20">
        <v>145.38</v>
      </c>
      <c r="J526" s="20">
        <v>47900</v>
      </c>
      <c r="K526" s="3">
        <v>0</v>
      </c>
      <c r="L526" s="3" t="s">
        <v>3</v>
      </c>
      <c r="M526" s="9" t="s">
        <v>62</v>
      </c>
      <c r="N526" s="9" t="s">
        <v>15</v>
      </c>
      <c r="O526" s="9" t="s">
        <v>259</v>
      </c>
      <c r="S526" s="9" t="s">
        <v>158</v>
      </c>
      <c r="T526" s="10" t="s">
        <v>70</v>
      </c>
      <c r="U526" s="10">
        <v>4</v>
      </c>
      <c r="V526" s="10">
        <v>145.38</v>
      </c>
      <c r="W526" s="10" t="s">
        <v>710</v>
      </c>
      <c r="X526" s="17">
        <v>45199</v>
      </c>
      <c r="Y526" s="17">
        <v>45222</v>
      </c>
      <c r="Z526" s="19" t="s">
        <v>772</v>
      </c>
      <c r="AA526" s="207">
        <v>42900</v>
      </c>
      <c r="AB526" s="9">
        <v>82</v>
      </c>
      <c r="AC526" s="9">
        <v>49</v>
      </c>
      <c r="AD526" s="17">
        <v>46721</v>
      </c>
      <c r="AE526" s="54">
        <v>500</v>
      </c>
      <c r="AF526" s="54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9"/>
      <c r="BA526" s="22"/>
      <c r="BB526" s="22"/>
      <c r="BD526" s="9"/>
      <c r="CS526" s="11">
        <f t="shared" si="41"/>
        <v>0</v>
      </c>
      <c r="CT526" s="22">
        <f t="shared" si="42"/>
        <v>0</v>
      </c>
      <c r="CU526" s="22">
        <f t="shared" si="40"/>
        <v>0</v>
      </c>
      <c r="CV526" s="26">
        <f t="shared" si="43"/>
        <v>500</v>
      </c>
    </row>
    <row r="527" spans="1:100" x14ac:dyDescent="0.2">
      <c r="A527" s="9" t="s">
        <v>255</v>
      </c>
      <c r="B527" s="2">
        <v>42</v>
      </c>
      <c r="C527" s="3" t="s">
        <v>95</v>
      </c>
      <c r="D527" s="63" t="s">
        <v>96</v>
      </c>
      <c r="E527" s="62"/>
      <c r="F527" s="62"/>
      <c r="G527" s="2" t="s">
        <v>70</v>
      </c>
      <c r="H527" s="2">
        <v>4</v>
      </c>
      <c r="I527" s="20">
        <v>145.38</v>
      </c>
      <c r="J527" s="20">
        <v>47900</v>
      </c>
      <c r="K527" s="3">
        <v>0</v>
      </c>
      <c r="L527" s="3" t="s">
        <v>3</v>
      </c>
      <c r="M527" s="9" t="s">
        <v>62</v>
      </c>
      <c r="N527" s="9" t="s">
        <v>15</v>
      </c>
      <c r="O527" s="9" t="s">
        <v>259</v>
      </c>
      <c r="S527" s="9" t="s">
        <v>158</v>
      </c>
      <c r="T527" s="10" t="s">
        <v>70</v>
      </c>
      <c r="U527" s="10">
        <v>4</v>
      </c>
      <c r="V527" s="10">
        <v>145.38</v>
      </c>
      <c r="W527" s="10" t="s">
        <v>710</v>
      </c>
      <c r="X527" s="17">
        <v>45199</v>
      </c>
      <c r="Y527" s="17">
        <v>45222</v>
      </c>
      <c r="Z527" s="19" t="s">
        <v>772</v>
      </c>
      <c r="AA527" s="207">
        <v>42900</v>
      </c>
      <c r="AB527" s="9">
        <v>82</v>
      </c>
      <c r="AC527" s="9">
        <v>50</v>
      </c>
      <c r="AD527" s="17">
        <v>46751</v>
      </c>
      <c r="AE527" s="54">
        <v>500</v>
      </c>
      <c r="AF527" s="54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9"/>
      <c r="BA527" s="22"/>
      <c r="BB527" s="22"/>
      <c r="BD527" s="9"/>
      <c r="CS527" s="11">
        <f t="shared" si="41"/>
        <v>0</v>
      </c>
      <c r="CT527" s="22">
        <f t="shared" si="42"/>
        <v>0</v>
      </c>
      <c r="CU527" s="22">
        <f t="shared" si="40"/>
        <v>0</v>
      </c>
      <c r="CV527" s="26">
        <f t="shared" si="43"/>
        <v>500</v>
      </c>
    </row>
    <row r="528" spans="1:100" x14ac:dyDescent="0.2">
      <c r="A528" s="9" t="s">
        <v>255</v>
      </c>
      <c r="B528" s="2">
        <v>42</v>
      </c>
      <c r="C528" s="3" t="s">
        <v>95</v>
      </c>
      <c r="D528" s="63" t="s">
        <v>96</v>
      </c>
      <c r="E528" s="62"/>
      <c r="F528" s="62"/>
      <c r="G528" s="2" t="s">
        <v>70</v>
      </c>
      <c r="H528" s="2">
        <v>4</v>
      </c>
      <c r="I528" s="20">
        <v>145.38</v>
      </c>
      <c r="J528" s="20">
        <v>47900</v>
      </c>
      <c r="K528" s="3">
        <v>0</v>
      </c>
      <c r="L528" s="3" t="s">
        <v>3</v>
      </c>
      <c r="M528" s="9" t="s">
        <v>62</v>
      </c>
      <c r="N528" s="9" t="s">
        <v>15</v>
      </c>
      <c r="O528" s="9" t="s">
        <v>259</v>
      </c>
      <c r="S528" s="9" t="s">
        <v>158</v>
      </c>
      <c r="T528" s="10" t="s">
        <v>70</v>
      </c>
      <c r="U528" s="10">
        <v>4</v>
      </c>
      <c r="V528" s="10">
        <v>145.38</v>
      </c>
      <c r="W528" s="10" t="s">
        <v>710</v>
      </c>
      <c r="X528" s="17">
        <v>45199</v>
      </c>
      <c r="Y528" s="17">
        <v>45222</v>
      </c>
      <c r="Z528" s="19" t="s">
        <v>772</v>
      </c>
      <c r="AA528" s="207">
        <v>42900</v>
      </c>
      <c r="AB528" s="9">
        <v>82</v>
      </c>
      <c r="AC528" s="9">
        <v>51</v>
      </c>
      <c r="AD528" s="17">
        <v>46782</v>
      </c>
      <c r="AE528" s="54">
        <v>500</v>
      </c>
      <c r="AF528" s="54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9"/>
      <c r="BA528" s="22"/>
      <c r="BB528" s="22"/>
      <c r="BD528" s="9"/>
      <c r="CS528" s="11">
        <f t="shared" si="41"/>
        <v>0</v>
      </c>
      <c r="CT528" s="22">
        <f t="shared" si="42"/>
        <v>0</v>
      </c>
      <c r="CU528" s="22">
        <f t="shared" si="40"/>
        <v>0</v>
      </c>
      <c r="CV528" s="26">
        <f t="shared" si="43"/>
        <v>500</v>
      </c>
    </row>
    <row r="529" spans="1:100" x14ac:dyDescent="0.2">
      <c r="A529" s="9" t="s">
        <v>255</v>
      </c>
      <c r="B529" s="2">
        <v>42</v>
      </c>
      <c r="C529" s="3" t="s">
        <v>95</v>
      </c>
      <c r="D529" s="63" t="s">
        <v>96</v>
      </c>
      <c r="E529" s="62"/>
      <c r="F529" s="62"/>
      <c r="G529" s="2" t="s">
        <v>70</v>
      </c>
      <c r="H529" s="2">
        <v>4</v>
      </c>
      <c r="I529" s="20">
        <v>145.38</v>
      </c>
      <c r="J529" s="20">
        <v>47900</v>
      </c>
      <c r="K529" s="3">
        <v>0</v>
      </c>
      <c r="L529" s="3" t="s">
        <v>3</v>
      </c>
      <c r="M529" s="9" t="s">
        <v>62</v>
      </c>
      <c r="N529" s="9" t="s">
        <v>15</v>
      </c>
      <c r="O529" s="9" t="s">
        <v>259</v>
      </c>
      <c r="S529" s="9" t="s">
        <v>158</v>
      </c>
      <c r="T529" s="10" t="s">
        <v>70</v>
      </c>
      <c r="U529" s="10">
        <v>4</v>
      </c>
      <c r="V529" s="10">
        <v>145.38</v>
      </c>
      <c r="W529" s="10" t="s">
        <v>710</v>
      </c>
      <c r="X529" s="17">
        <v>45199</v>
      </c>
      <c r="Y529" s="17">
        <v>45222</v>
      </c>
      <c r="Z529" s="19" t="s">
        <v>772</v>
      </c>
      <c r="AA529" s="207">
        <v>42900</v>
      </c>
      <c r="AB529" s="9">
        <v>82</v>
      </c>
      <c r="AC529" s="9">
        <v>52</v>
      </c>
      <c r="AD529" s="17">
        <v>46812</v>
      </c>
      <c r="AE529" s="54">
        <v>500</v>
      </c>
      <c r="AF529" s="54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9"/>
      <c r="BA529" s="22"/>
      <c r="BB529" s="22"/>
      <c r="BD529" s="9"/>
      <c r="CS529" s="11">
        <f t="shared" si="41"/>
        <v>0</v>
      </c>
      <c r="CT529" s="22">
        <f t="shared" si="42"/>
        <v>0</v>
      </c>
      <c r="CU529" s="22">
        <f t="shared" si="40"/>
        <v>0</v>
      </c>
      <c r="CV529" s="26">
        <f t="shared" si="43"/>
        <v>500</v>
      </c>
    </row>
    <row r="530" spans="1:100" x14ac:dyDescent="0.2">
      <c r="A530" s="9" t="s">
        <v>255</v>
      </c>
      <c r="B530" s="2">
        <v>42</v>
      </c>
      <c r="C530" s="3" t="s">
        <v>95</v>
      </c>
      <c r="D530" s="63" t="s">
        <v>96</v>
      </c>
      <c r="E530" s="62"/>
      <c r="F530" s="62"/>
      <c r="G530" s="2" t="s">
        <v>70</v>
      </c>
      <c r="H530" s="2">
        <v>4</v>
      </c>
      <c r="I530" s="20">
        <v>145.38</v>
      </c>
      <c r="J530" s="20">
        <v>47900</v>
      </c>
      <c r="K530" s="3">
        <v>0</v>
      </c>
      <c r="L530" s="3" t="s">
        <v>3</v>
      </c>
      <c r="M530" s="9" t="s">
        <v>62</v>
      </c>
      <c r="N530" s="9" t="s">
        <v>15</v>
      </c>
      <c r="O530" s="9" t="s">
        <v>259</v>
      </c>
      <c r="S530" s="9" t="s">
        <v>158</v>
      </c>
      <c r="T530" s="10" t="s">
        <v>70</v>
      </c>
      <c r="U530" s="10">
        <v>4</v>
      </c>
      <c r="V530" s="10">
        <v>145.38</v>
      </c>
      <c r="W530" s="10" t="s">
        <v>710</v>
      </c>
      <c r="X530" s="17">
        <v>45199</v>
      </c>
      <c r="Y530" s="17">
        <v>45222</v>
      </c>
      <c r="Z530" s="19" t="s">
        <v>772</v>
      </c>
      <c r="AA530" s="207">
        <v>42900</v>
      </c>
      <c r="AB530" s="9">
        <v>82</v>
      </c>
      <c r="AC530" s="9">
        <v>53</v>
      </c>
      <c r="AD530" s="17">
        <v>46842</v>
      </c>
      <c r="AE530" s="54">
        <v>500</v>
      </c>
      <c r="AF530" s="54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9"/>
      <c r="BA530" s="22"/>
      <c r="BB530" s="22"/>
      <c r="BD530" s="9"/>
      <c r="CS530" s="11">
        <f t="shared" si="41"/>
        <v>0</v>
      </c>
      <c r="CT530" s="22">
        <f t="shared" si="42"/>
        <v>0</v>
      </c>
      <c r="CU530" s="22">
        <f t="shared" si="40"/>
        <v>0</v>
      </c>
      <c r="CV530" s="26">
        <f t="shared" si="43"/>
        <v>500</v>
      </c>
    </row>
    <row r="531" spans="1:100" x14ac:dyDescent="0.2">
      <c r="A531" s="9" t="s">
        <v>255</v>
      </c>
      <c r="B531" s="2">
        <v>42</v>
      </c>
      <c r="C531" s="3" t="s">
        <v>95</v>
      </c>
      <c r="D531" s="63" t="s">
        <v>96</v>
      </c>
      <c r="E531" s="62"/>
      <c r="F531" s="62"/>
      <c r="G531" s="2" t="s">
        <v>70</v>
      </c>
      <c r="H531" s="2">
        <v>4</v>
      </c>
      <c r="I531" s="20">
        <v>145.38</v>
      </c>
      <c r="J531" s="20">
        <v>47900</v>
      </c>
      <c r="K531" s="3">
        <v>0</v>
      </c>
      <c r="L531" s="3" t="s">
        <v>3</v>
      </c>
      <c r="M531" s="9" t="s">
        <v>62</v>
      </c>
      <c r="N531" s="9" t="s">
        <v>15</v>
      </c>
      <c r="O531" s="9" t="s">
        <v>259</v>
      </c>
      <c r="S531" s="9" t="s">
        <v>158</v>
      </c>
      <c r="T531" s="10" t="s">
        <v>70</v>
      </c>
      <c r="U531" s="10">
        <v>4</v>
      </c>
      <c r="V531" s="10">
        <v>145.38</v>
      </c>
      <c r="W531" s="10" t="s">
        <v>710</v>
      </c>
      <c r="X531" s="17">
        <v>45199</v>
      </c>
      <c r="Y531" s="17">
        <v>45222</v>
      </c>
      <c r="Z531" s="19" t="s">
        <v>772</v>
      </c>
      <c r="AA531" s="207">
        <v>42900</v>
      </c>
      <c r="AB531" s="9">
        <v>82</v>
      </c>
      <c r="AC531" s="9">
        <v>54</v>
      </c>
      <c r="AD531" s="17">
        <v>46873</v>
      </c>
      <c r="AE531" s="54">
        <v>500</v>
      </c>
      <c r="AF531" s="54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9"/>
      <c r="BA531" s="22"/>
      <c r="BB531" s="22"/>
      <c r="BD531" s="9"/>
      <c r="CS531" s="11">
        <f t="shared" si="41"/>
        <v>0</v>
      </c>
      <c r="CT531" s="22">
        <f t="shared" si="42"/>
        <v>0</v>
      </c>
      <c r="CU531" s="22">
        <f t="shared" si="40"/>
        <v>0</v>
      </c>
      <c r="CV531" s="26">
        <f t="shared" si="43"/>
        <v>500</v>
      </c>
    </row>
    <row r="532" spans="1:100" x14ac:dyDescent="0.2">
      <c r="A532" s="9" t="s">
        <v>255</v>
      </c>
      <c r="B532" s="2">
        <v>42</v>
      </c>
      <c r="C532" s="3" t="s">
        <v>95</v>
      </c>
      <c r="D532" s="63" t="s">
        <v>96</v>
      </c>
      <c r="E532" s="62"/>
      <c r="F532" s="62"/>
      <c r="G532" s="2" t="s">
        <v>70</v>
      </c>
      <c r="H532" s="2">
        <v>4</v>
      </c>
      <c r="I532" s="20">
        <v>145.38</v>
      </c>
      <c r="J532" s="20">
        <v>47900</v>
      </c>
      <c r="K532" s="3">
        <v>0</v>
      </c>
      <c r="L532" s="3" t="s">
        <v>3</v>
      </c>
      <c r="M532" s="9" t="s">
        <v>62</v>
      </c>
      <c r="N532" s="9" t="s">
        <v>15</v>
      </c>
      <c r="O532" s="9" t="s">
        <v>259</v>
      </c>
      <c r="S532" s="9" t="s">
        <v>158</v>
      </c>
      <c r="T532" s="10" t="s">
        <v>70</v>
      </c>
      <c r="U532" s="10">
        <v>4</v>
      </c>
      <c r="V532" s="10">
        <v>145.38</v>
      </c>
      <c r="W532" s="10" t="s">
        <v>710</v>
      </c>
      <c r="X532" s="17">
        <v>45199</v>
      </c>
      <c r="Y532" s="17">
        <v>45222</v>
      </c>
      <c r="Z532" s="19" t="s">
        <v>772</v>
      </c>
      <c r="AA532" s="207">
        <v>42900</v>
      </c>
      <c r="AB532" s="9">
        <v>82</v>
      </c>
      <c r="AC532" s="9">
        <v>55</v>
      </c>
      <c r="AD532" s="17">
        <v>46903</v>
      </c>
      <c r="AE532" s="54">
        <v>500</v>
      </c>
      <c r="AF532" s="54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9"/>
      <c r="BA532" s="22"/>
      <c r="BB532" s="22"/>
      <c r="BD532" s="9"/>
      <c r="CS532" s="11">
        <f t="shared" si="41"/>
        <v>0</v>
      </c>
      <c r="CT532" s="22">
        <f t="shared" si="42"/>
        <v>0</v>
      </c>
      <c r="CU532" s="22">
        <f t="shared" si="40"/>
        <v>0</v>
      </c>
      <c r="CV532" s="26">
        <f t="shared" si="43"/>
        <v>500</v>
      </c>
    </row>
    <row r="533" spans="1:100" x14ac:dyDescent="0.2">
      <c r="A533" s="9" t="s">
        <v>255</v>
      </c>
      <c r="B533" s="2">
        <v>42</v>
      </c>
      <c r="C533" s="3" t="s">
        <v>95</v>
      </c>
      <c r="D533" s="63" t="s">
        <v>96</v>
      </c>
      <c r="E533" s="62"/>
      <c r="F533" s="62"/>
      <c r="G533" s="2" t="s">
        <v>70</v>
      </c>
      <c r="H533" s="2">
        <v>4</v>
      </c>
      <c r="I533" s="20">
        <v>145.38</v>
      </c>
      <c r="J533" s="20">
        <v>47900</v>
      </c>
      <c r="K533" s="3">
        <v>0</v>
      </c>
      <c r="L533" s="3" t="s">
        <v>3</v>
      </c>
      <c r="M533" s="9" t="s">
        <v>62</v>
      </c>
      <c r="N533" s="9" t="s">
        <v>15</v>
      </c>
      <c r="O533" s="9" t="s">
        <v>259</v>
      </c>
      <c r="S533" s="9" t="s">
        <v>158</v>
      </c>
      <c r="T533" s="10" t="s">
        <v>70</v>
      </c>
      <c r="U533" s="10">
        <v>4</v>
      </c>
      <c r="V533" s="10">
        <v>145.38</v>
      </c>
      <c r="W533" s="10" t="s">
        <v>710</v>
      </c>
      <c r="X533" s="17">
        <v>45199</v>
      </c>
      <c r="Y533" s="17">
        <v>45222</v>
      </c>
      <c r="Z533" s="19" t="s">
        <v>772</v>
      </c>
      <c r="AA533" s="207">
        <v>42900</v>
      </c>
      <c r="AB533" s="9">
        <v>82</v>
      </c>
      <c r="AC533" s="9">
        <v>56</v>
      </c>
      <c r="AD533" s="17">
        <v>46934</v>
      </c>
      <c r="AE533" s="54">
        <v>500</v>
      </c>
      <c r="AF533" s="54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9"/>
      <c r="BA533" s="22"/>
      <c r="BB533" s="22"/>
      <c r="BD533" s="9"/>
      <c r="CS533" s="11">
        <f t="shared" si="41"/>
        <v>0</v>
      </c>
      <c r="CT533" s="22">
        <f t="shared" si="42"/>
        <v>0</v>
      </c>
      <c r="CU533" s="22">
        <f t="shared" si="40"/>
        <v>0</v>
      </c>
      <c r="CV533" s="26">
        <f t="shared" si="43"/>
        <v>500</v>
      </c>
    </row>
    <row r="534" spans="1:100" x14ac:dyDescent="0.2">
      <c r="A534" s="9" t="s">
        <v>255</v>
      </c>
      <c r="B534" s="2">
        <v>42</v>
      </c>
      <c r="C534" s="3" t="s">
        <v>95</v>
      </c>
      <c r="D534" s="63" t="s">
        <v>96</v>
      </c>
      <c r="E534" s="62"/>
      <c r="F534" s="62"/>
      <c r="G534" s="2" t="s">
        <v>70</v>
      </c>
      <c r="H534" s="2">
        <v>4</v>
      </c>
      <c r="I534" s="20">
        <v>145.38</v>
      </c>
      <c r="J534" s="20">
        <v>47900</v>
      </c>
      <c r="K534" s="3">
        <v>0</v>
      </c>
      <c r="L534" s="3" t="s">
        <v>3</v>
      </c>
      <c r="M534" s="9" t="s">
        <v>62</v>
      </c>
      <c r="N534" s="9" t="s">
        <v>15</v>
      </c>
      <c r="O534" s="9" t="s">
        <v>259</v>
      </c>
      <c r="S534" s="9" t="s">
        <v>158</v>
      </c>
      <c r="T534" s="10" t="s">
        <v>70</v>
      </c>
      <c r="U534" s="10">
        <v>4</v>
      </c>
      <c r="V534" s="10">
        <v>145.38</v>
      </c>
      <c r="W534" s="10" t="s">
        <v>710</v>
      </c>
      <c r="X534" s="17">
        <v>45199</v>
      </c>
      <c r="Y534" s="17">
        <v>45222</v>
      </c>
      <c r="Z534" s="19" t="s">
        <v>772</v>
      </c>
      <c r="AA534" s="207">
        <v>42900</v>
      </c>
      <c r="AB534" s="9">
        <v>82</v>
      </c>
      <c r="AC534" s="9">
        <v>57</v>
      </c>
      <c r="AD534" s="17">
        <v>46964</v>
      </c>
      <c r="AE534" s="54">
        <v>500</v>
      </c>
      <c r="AF534" s="54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9"/>
      <c r="BA534" s="22"/>
      <c r="BB534" s="22"/>
      <c r="BD534" s="9"/>
      <c r="CS534" s="11">
        <f t="shared" si="41"/>
        <v>0</v>
      </c>
      <c r="CT534" s="22">
        <f t="shared" si="42"/>
        <v>0</v>
      </c>
      <c r="CU534" s="22">
        <f t="shared" si="40"/>
        <v>0</v>
      </c>
      <c r="CV534" s="26">
        <f t="shared" si="43"/>
        <v>500</v>
      </c>
    </row>
    <row r="535" spans="1:100" x14ac:dyDescent="0.2">
      <c r="A535" s="9" t="s">
        <v>255</v>
      </c>
      <c r="B535" s="2">
        <v>42</v>
      </c>
      <c r="C535" s="3" t="s">
        <v>95</v>
      </c>
      <c r="D535" s="63" t="s">
        <v>96</v>
      </c>
      <c r="E535" s="62"/>
      <c r="F535" s="62"/>
      <c r="G535" s="2" t="s">
        <v>70</v>
      </c>
      <c r="H535" s="2">
        <v>4</v>
      </c>
      <c r="I535" s="20">
        <v>145.38</v>
      </c>
      <c r="J535" s="20">
        <v>47900</v>
      </c>
      <c r="K535" s="3">
        <v>0</v>
      </c>
      <c r="L535" s="3" t="s">
        <v>3</v>
      </c>
      <c r="M535" s="9" t="s">
        <v>62</v>
      </c>
      <c r="N535" s="9" t="s">
        <v>15</v>
      </c>
      <c r="O535" s="9" t="s">
        <v>259</v>
      </c>
      <c r="S535" s="9" t="s">
        <v>158</v>
      </c>
      <c r="T535" s="10" t="s">
        <v>70</v>
      </c>
      <c r="U535" s="10">
        <v>4</v>
      </c>
      <c r="V535" s="10">
        <v>145.38</v>
      </c>
      <c r="W535" s="10" t="s">
        <v>710</v>
      </c>
      <c r="X535" s="17">
        <v>45199</v>
      </c>
      <c r="Y535" s="17">
        <v>45222</v>
      </c>
      <c r="Z535" s="19" t="s">
        <v>772</v>
      </c>
      <c r="AA535" s="207">
        <v>42900</v>
      </c>
      <c r="AB535" s="9">
        <v>82</v>
      </c>
      <c r="AC535" s="9">
        <v>58</v>
      </c>
      <c r="AD535" s="17">
        <v>46995</v>
      </c>
      <c r="AE535" s="54">
        <v>500</v>
      </c>
      <c r="AF535" s="54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9"/>
      <c r="BA535" s="22"/>
      <c r="BB535" s="22"/>
      <c r="BD535" s="9"/>
      <c r="CS535" s="11">
        <f t="shared" si="41"/>
        <v>0</v>
      </c>
      <c r="CT535" s="22">
        <f t="shared" si="42"/>
        <v>0</v>
      </c>
      <c r="CU535" s="22">
        <f t="shared" si="40"/>
        <v>0</v>
      </c>
      <c r="CV535" s="26">
        <f t="shared" si="43"/>
        <v>500</v>
      </c>
    </row>
    <row r="536" spans="1:100" x14ac:dyDescent="0.2">
      <c r="A536" s="9" t="s">
        <v>255</v>
      </c>
      <c r="B536" s="2">
        <v>42</v>
      </c>
      <c r="C536" s="3" t="s">
        <v>95</v>
      </c>
      <c r="D536" s="63" t="s">
        <v>96</v>
      </c>
      <c r="E536" s="62"/>
      <c r="F536" s="62"/>
      <c r="G536" s="2" t="s">
        <v>70</v>
      </c>
      <c r="H536" s="2">
        <v>4</v>
      </c>
      <c r="I536" s="20">
        <v>145.38</v>
      </c>
      <c r="J536" s="20">
        <v>47900</v>
      </c>
      <c r="K536" s="3">
        <v>0</v>
      </c>
      <c r="L536" s="3" t="s">
        <v>3</v>
      </c>
      <c r="M536" s="9" t="s">
        <v>62</v>
      </c>
      <c r="N536" s="9" t="s">
        <v>15</v>
      </c>
      <c r="O536" s="9" t="s">
        <v>259</v>
      </c>
      <c r="S536" s="9" t="s">
        <v>158</v>
      </c>
      <c r="T536" s="10" t="s">
        <v>70</v>
      </c>
      <c r="U536" s="10">
        <v>4</v>
      </c>
      <c r="V536" s="10">
        <v>145.38</v>
      </c>
      <c r="W536" s="10" t="s">
        <v>710</v>
      </c>
      <c r="X536" s="17">
        <v>45199</v>
      </c>
      <c r="Y536" s="17">
        <v>45222</v>
      </c>
      <c r="Z536" s="19" t="s">
        <v>772</v>
      </c>
      <c r="AA536" s="207">
        <v>42900</v>
      </c>
      <c r="AB536" s="9">
        <v>82</v>
      </c>
      <c r="AC536" s="9">
        <v>59</v>
      </c>
      <c r="AD536" s="17">
        <v>47026</v>
      </c>
      <c r="AE536" s="54">
        <v>500</v>
      </c>
      <c r="AF536" s="54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9"/>
      <c r="BA536" s="22"/>
      <c r="BB536" s="22"/>
      <c r="BD536" s="9"/>
      <c r="CS536" s="11">
        <f t="shared" si="41"/>
        <v>0</v>
      </c>
      <c r="CT536" s="22">
        <f t="shared" si="42"/>
        <v>0</v>
      </c>
      <c r="CU536" s="22">
        <f t="shared" si="40"/>
        <v>0</v>
      </c>
      <c r="CV536" s="26">
        <f t="shared" si="43"/>
        <v>500</v>
      </c>
    </row>
    <row r="537" spans="1:100" x14ac:dyDescent="0.2">
      <c r="A537" s="9" t="s">
        <v>255</v>
      </c>
      <c r="B537" s="2">
        <v>42</v>
      </c>
      <c r="C537" s="3" t="s">
        <v>95</v>
      </c>
      <c r="D537" s="63" t="s">
        <v>96</v>
      </c>
      <c r="E537" s="62"/>
      <c r="F537" s="62"/>
      <c r="G537" s="2" t="s">
        <v>70</v>
      </c>
      <c r="H537" s="2">
        <v>4</v>
      </c>
      <c r="I537" s="20">
        <v>145.38</v>
      </c>
      <c r="J537" s="20">
        <v>47900</v>
      </c>
      <c r="K537" s="3">
        <v>0</v>
      </c>
      <c r="L537" s="3" t="s">
        <v>3</v>
      </c>
      <c r="M537" s="9" t="s">
        <v>62</v>
      </c>
      <c r="N537" s="9" t="s">
        <v>15</v>
      </c>
      <c r="O537" s="9" t="s">
        <v>259</v>
      </c>
      <c r="S537" s="9" t="s">
        <v>158</v>
      </c>
      <c r="T537" s="10" t="s">
        <v>70</v>
      </c>
      <c r="U537" s="10">
        <v>4</v>
      </c>
      <c r="V537" s="10">
        <v>145.38</v>
      </c>
      <c r="W537" s="10" t="s">
        <v>710</v>
      </c>
      <c r="X537" s="17">
        <v>45199</v>
      </c>
      <c r="Y537" s="17">
        <v>45222</v>
      </c>
      <c r="Z537" s="19" t="s">
        <v>772</v>
      </c>
      <c r="AA537" s="207">
        <v>42900</v>
      </c>
      <c r="AB537" s="9">
        <v>82</v>
      </c>
      <c r="AC537" s="9">
        <v>60</v>
      </c>
      <c r="AD537" s="17">
        <v>47056</v>
      </c>
      <c r="AE537" s="54">
        <v>500</v>
      </c>
      <c r="AF537" s="54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9"/>
      <c r="BA537" s="22"/>
      <c r="BB537" s="22"/>
      <c r="BD537" s="9"/>
      <c r="CS537" s="11">
        <f t="shared" si="41"/>
        <v>0</v>
      </c>
      <c r="CT537" s="22">
        <f t="shared" si="42"/>
        <v>0</v>
      </c>
      <c r="CU537" s="22">
        <f t="shared" si="40"/>
        <v>0</v>
      </c>
      <c r="CV537" s="26">
        <f t="shared" si="43"/>
        <v>500</v>
      </c>
    </row>
    <row r="538" spans="1:100" x14ac:dyDescent="0.2">
      <c r="A538" s="9" t="s">
        <v>255</v>
      </c>
      <c r="B538" s="2">
        <v>42</v>
      </c>
      <c r="C538" s="3" t="s">
        <v>95</v>
      </c>
      <c r="D538" s="63" t="s">
        <v>96</v>
      </c>
      <c r="E538" s="62"/>
      <c r="F538" s="62"/>
      <c r="G538" s="2" t="s">
        <v>70</v>
      </c>
      <c r="H538" s="2">
        <v>4</v>
      </c>
      <c r="I538" s="20">
        <v>145.38</v>
      </c>
      <c r="J538" s="20">
        <v>47900</v>
      </c>
      <c r="K538" s="3">
        <v>0</v>
      </c>
      <c r="L538" s="3" t="s">
        <v>3</v>
      </c>
      <c r="M538" s="9" t="s">
        <v>62</v>
      </c>
      <c r="N538" s="9" t="s">
        <v>15</v>
      </c>
      <c r="O538" s="9" t="s">
        <v>259</v>
      </c>
      <c r="S538" s="9" t="s">
        <v>158</v>
      </c>
      <c r="T538" s="10" t="s">
        <v>70</v>
      </c>
      <c r="U538" s="10">
        <v>4</v>
      </c>
      <c r="V538" s="10">
        <v>145.38</v>
      </c>
      <c r="W538" s="10" t="s">
        <v>710</v>
      </c>
      <c r="X538" s="17">
        <v>45199</v>
      </c>
      <c r="Y538" s="17">
        <v>45222</v>
      </c>
      <c r="Z538" s="19" t="s">
        <v>772</v>
      </c>
      <c r="AA538" s="207">
        <v>42900</v>
      </c>
      <c r="AB538" s="9">
        <v>82</v>
      </c>
      <c r="AC538" s="9">
        <v>61</v>
      </c>
      <c r="AD538" s="17">
        <v>47087</v>
      </c>
      <c r="AE538" s="54">
        <v>500</v>
      </c>
      <c r="AF538" s="54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9"/>
      <c r="BA538" s="22"/>
      <c r="BB538" s="22"/>
      <c r="BD538" s="9"/>
      <c r="CS538" s="11">
        <f t="shared" si="41"/>
        <v>0</v>
      </c>
      <c r="CT538" s="22">
        <f t="shared" si="42"/>
        <v>0</v>
      </c>
      <c r="CU538" s="22">
        <f t="shared" si="40"/>
        <v>0</v>
      </c>
      <c r="CV538" s="26">
        <f t="shared" si="43"/>
        <v>500</v>
      </c>
    </row>
    <row r="539" spans="1:100" x14ac:dyDescent="0.2">
      <c r="A539" s="9" t="s">
        <v>255</v>
      </c>
      <c r="B539" s="2">
        <v>42</v>
      </c>
      <c r="C539" s="3" t="s">
        <v>95</v>
      </c>
      <c r="D539" s="63" t="s">
        <v>96</v>
      </c>
      <c r="E539" s="62"/>
      <c r="F539" s="62"/>
      <c r="G539" s="2" t="s">
        <v>70</v>
      </c>
      <c r="H539" s="2">
        <v>4</v>
      </c>
      <c r="I539" s="20">
        <v>145.38</v>
      </c>
      <c r="J539" s="20">
        <v>47900</v>
      </c>
      <c r="K539" s="3">
        <v>0</v>
      </c>
      <c r="L539" s="3" t="s">
        <v>3</v>
      </c>
      <c r="M539" s="9" t="s">
        <v>62</v>
      </c>
      <c r="N539" s="9" t="s">
        <v>15</v>
      </c>
      <c r="O539" s="9" t="s">
        <v>259</v>
      </c>
      <c r="S539" s="9" t="s">
        <v>158</v>
      </c>
      <c r="T539" s="10" t="s">
        <v>70</v>
      </c>
      <c r="U539" s="10">
        <v>4</v>
      </c>
      <c r="V539" s="10">
        <v>145.38</v>
      </c>
      <c r="W539" s="10" t="s">
        <v>710</v>
      </c>
      <c r="X539" s="17">
        <v>45199</v>
      </c>
      <c r="Y539" s="17">
        <v>45222</v>
      </c>
      <c r="Z539" s="19" t="s">
        <v>772</v>
      </c>
      <c r="AA539" s="207">
        <v>42900</v>
      </c>
      <c r="AB539" s="9">
        <v>82</v>
      </c>
      <c r="AC539" s="9">
        <v>62</v>
      </c>
      <c r="AD539" s="17">
        <v>47117</v>
      </c>
      <c r="AE539" s="54">
        <v>500</v>
      </c>
      <c r="AF539" s="54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9"/>
      <c r="BA539" s="22"/>
      <c r="BB539" s="22"/>
      <c r="BD539" s="9"/>
      <c r="CS539" s="11">
        <f t="shared" si="41"/>
        <v>0</v>
      </c>
      <c r="CT539" s="22">
        <f t="shared" si="42"/>
        <v>0</v>
      </c>
      <c r="CU539" s="22">
        <f t="shared" si="40"/>
        <v>0</v>
      </c>
      <c r="CV539" s="26">
        <f t="shared" si="43"/>
        <v>500</v>
      </c>
    </row>
    <row r="540" spans="1:100" x14ac:dyDescent="0.2">
      <c r="A540" s="9" t="s">
        <v>255</v>
      </c>
      <c r="B540" s="2">
        <v>42</v>
      </c>
      <c r="C540" s="3" t="s">
        <v>95</v>
      </c>
      <c r="D540" s="63" t="s">
        <v>96</v>
      </c>
      <c r="E540" s="62"/>
      <c r="F540" s="62"/>
      <c r="G540" s="2" t="s">
        <v>70</v>
      </c>
      <c r="H540" s="2">
        <v>4</v>
      </c>
      <c r="I540" s="20">
        <v>145.38</v>
      </c>
      <c r="J540" s="20">
        <v>47900</v>
      </c>
      <c r="K540" s="3">
        <v>0</v>
      </c>
      <c r="L540" s="3" t="s">
        <v>3</v>
      </c>
      <c r="M540" s="9" t="s">
        <v>62</v>
      </c>
      <c r="N540" s="9" t="s">
        <v>15</v>
      </c>
      <c r="O540" s="9" t="s">
        <v>259</v>
      </c>
      <c r="S540" s="9" t="s">
        <v>158</v>
      </c>
      <c r="T540" s="10" t="s">
        <v>70</v>
      </c>
      <c r="U540" s="10">
        <v>4</v>
      </c>
      <c r="V540" s="10">
        <v>145.38</v>
      </c>
      <c r="W540" s="10" t="s">
        <v>710</v>
      </c>
      <c r="X540" s="17">
        <v>45199</v>
      </c>
      <c r="Y540" s="17">
        <v>45222</v>
      </c>
      <c r="Z540" s="19" t="s">
        <v>772</v>
      </c>
      <c r="AA540" s="207">
        <v>42900</v>
      </c>
      <c r="AB540" s="9">
        <v>82</v>
      </c>
      <c r="AC540" s="9">
        <v>63</v>
      </c>
      <c r="AD540" s="17">
        <v>47148</v>
      </c>
      <c r="AE540" s="54">
        <v>500</v>
      </c>
      <c r="AF540" s="54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9"/>
      <c r="BA540" s="22"/>
      <c r="BB540" s="22"/>
      <c r="BD540" s="9"/>
      <c r="CS540" s="11">
        <f t="shared" si="41"/>
        <v>0</v>
      </c>
      <c r="CT540" s="22">
        <f t="shared" si="42"/>
        <v>0</v>
      </c>
      <c r="CU540" s="22">
        <f t="shared" ref="CU540:CU603" si="44">+CS540-CT540</f>
        <v>0</v>
      </c>
      <c r="CV540" s="26">
        <f t="shared" si="43"/>
        <v>500</v>
      </c>
    </row>
    <row r="541" spans="1:100" x14ac:dyDescent="0.2">
      <c r="A541" s="9" t="s">
        <v>255</v>
      </c>
      <c r="B541" s="2">
        <v>42</v>
      </c>
      <c r="C541" s="3" t="s">
        <v>95</v>
      </c>
      <c r="D541" s="63" t="s">
        <v>96</v>
      </c>
      <c r="E541" s="62"/>
      <c r="F541" s="62"/>
      <c r="G541" s="2" t="s">
        <v>70</v>
      </c>
      <c r="H541" s="2">
        <v>4</v>
      </c>
      <c r="I541" s="20">
        <v>145.38</v>
      </c>
      <c r="J541" s="20">
        <v>47900</v>
      </c>
      <c r="K541" s="3">
        <v>0</v>
      </c>
      <c r="L541" s="3" t="s">
        <v>3</v>
      </c>
      <c r="M541" s="9" t="s">
        <v>62</v>
      </c>
      <c r="N541" s="9" t="s">
        <v>15</v>
      </c>
      <c r="O541" s="9" t="s">
        <v>259</v>
      </c>
      <c r="S541" s="9" t="s">
        <v>158</v>
      </c>
      <c r="T541" s="10" t="s">
        <v>70</v>
      </c>
      <c r="U541" s="10">
        <v>4</v>
      </c>
      <c r="V541" s="10">
        <v>145.38</v>
      </c>
      <c r="W541" s="10" t="s">
        <v>710</v>
      </c>
      <c r="X541" s="17">
        <v>45199</v>
      </c>
      <c r="Y541" s="17">
        <v>45222</v>
      </c>
      <c r="Z541" s="19" t="s">
        <v>772</v>
      </c>
      <c r="AA541" s="207">
        <v>42900</v>
      </c>
      <c r="AB541" s="9">
        <v>82</v>
      </c>
      <c r="AC541" s="9">
        <v>64</v>
      </c>
      <c r="AD541" s="17">
        <v>47177</v>
      </c>
      <c r="AE541" s="54">
        <v>500</v>
      </c>
      <c r="AF541" s="54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9"/>
      <c r="BA541" s="22"/>
      <c r="BB541" s="22"/>
      <c r="BD541" s="9"/>
      <c r="CS541" s="11">
        <f t="shared" si="41"/>
        <v>0</v>
      </c>
      <c r="CT541" s="22">
        <f t="shared" si="42"/>
        <v>0</v>
      </c>
      <c r="CU541" s="22">
        <f t="shared" si="44"/>
        <v>0</v>
      </c>
      <c r="CV541" s="26">
        <f t="shared" si="43"/>
        <v>500</v>
      </c>
    </row>
    <row r="542" spans="1:100" x14ac:dyDescent="0.2">
      <c r="A542" s="9" t="s">
        <v>255</v>
      </c>
      <c r="B542" s="2">
        <v>42</v>
      </c>
      <c r="C542" s="3" t="s">
        <v>95</v>
      </c>
      <c r="D542" s="63" t="s">
        <v>96</v>
      </c>
      <c r="E542" s="62"/>
      <c r="F542" s="62"/>
      <c r="G542" s="2" t="s">
        <v>70</v>
      </c>
      <c r="H542" s="2">
        <v>4</v>
      </c>
      <c r="I542" s="20">
        <v>145.38</v>
      </c>
      <c r="J542" s="20">
        <v>47900</v>
      </c>
      <c r="K542" s="3">
        <v>0</v>
      </c>
      <c r="L542" s="3" t="s">
        <v>3</v>
      </c>
      <c r="M542" s="9" t="s">
        <v>62</v>
      </c>
      <c r="N542" s="9" t="s">
        <v>15</v>
      </c>
      <c r="O542" s="9" t="s">
        <v>259</v>
      </c>
      <c r="S542" s="9" t="s">
        <v>158</v>
      </c>
      <c r="T542" s="10" t="s">
        <v>70</v>
      </c>
      <c r="U542" s="10">
        <v>4</v>
      </c>
      <c r="V542" s="10">
        <v>145.38</v>
      </c>
      <c r="W542" s="10" t="s">
        <v>710</v>
      </c>
      <c r="X542" s="17">
        <v>45199</v>
      </c>
      <c r="Y542" s="17">
        <v>45222</v>
      </c>
      <c r="Z542" s="19" t="s">
        <v>772</v>
      </c>
      <c r="AA542" s="207">
        <v>42900</v>
      </c>
      <c r="AB542" s="9">
        <v>82</v>
      </c>
      <c r="AC542" s="9">
        <v>65</v>
      </c>
      <c r="AD542" s="17">
        <v>47207</v>
      </c>
      <c r="AE542" s="54">
        <v>500</v>
      </c>
      <c r="AF542" s="54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9"/>
      <c r="BA542" s="22"/>
      <c r="BB542" s="22"/>
      <c r="BD542" s="9"/>
      <c r="CS542" s="11">
        <f t="shared" si="41"/>
        <v>0</v>
      </c>
      <c r="CT542" s="22">
        <f t="shared" si="42"/>
        <v>0</v>
      </c>
      <c r="CU542" s="22">
        <f t="shared" si="44"/>
        <v>0</v>
      </c>
      <c r="CV542" s="26">
        <f t="shared" si="43"/>
        <v>500</v>
      </c>
    </row>
    <row r="543" spans="1:100" x14ac:dyDescent="0.2">
      <c r="A543" s="9" t="s">
        <v>255</v>
      </c>
      <c r="B543" s="2">
        <v>42</v>
      </c>
      <c r="C543" s="3" t="s">
        <v>95</v>
      </c>
      <c r="D543" s="63" t="s">
        <v>96</v>
      </c>
      <c r="E543" s="62"/>
      <c r="F543" s="62"/>
      <c r="G543" s="2" t="s">
        <v>70</v>
      </c>
      <c r="H543" s="2">
        <v>4</v>
      </c>
      <c r="I543" s="20">
        <v>145.38</v>
      </c>
      <c r="J543" s="20">
        <v>47900</v>
      </c>
      <c r="K543" s="3">
        <v>0</v>
      </c>
      <c r="L543" s="3" t="s">
        <v>3</v>
      </c>
      <c r="M543" s="9" t="s">
        <v>62</v>
      </c>
      <c r="N543" s="9" t="s">
        <v>15</v>
      </c>
      <c r="O543" s="9" t="s">
        <v>259</v>
      </c>
      <c r="S543" s="9" t="s">
        <v>158</v>
      </c>
      <c r="T543" s="10" t="s">
        <v>70</v>
      </c>
      <c r="U543" s="10">
        <v>4</v>
      </c>
      <c r="V543" s="10">
        <v>145.38</v>
      </c>
      <c r="W543" s="10" t="s">
        <v>710</v>
      </c>
      <c r="X543" s="17">
        <v>45199</v>
      </c>
      <c r="Y543" s="17">
        <v>45222</v>
      </c>
      <c r="Z543" s="19" t="s">
        <v>772</v>
      </c>
      <c r="AA543" s="207">
        <v>42900</v>
      </c>
      <c r="AB543" s="9">
        <v>82</v>
      </c>
      <c r="AC543" s="9">
        <v>66</v>
      </c>
      <c r="AD543" s="17">
        <v>47238</v>
      </c>
      <c r="AE543" s="54">
        <v>500</v>
      </c>
      <c r="AF543" s="54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9"/>
      <c r="BA543" s="22"/>
      <c r="BB543" s="22"/>
      <c r="BD543" s="9"/>
      <c r="CS543" s="11">
        <f t="shared" si="41"/>
        <v>0</v>
      </c>
      <c r="CT543" s="22">
        <f t="shared" si="42"/>
        <v>0</v>
      </c>
      <c r="CU543" s="22">
        <f t="shared" si="44"/>
        <v>0</v>
      </c>
      <c r="CV543" s="26">
        <f t="shared" si="43"/>
        <v>500</v>
      </c>
    </row>
    <row r="544" spans="1:100" x14ac:dyDescent="0.2">
      <c r="A544" s="9" t="s">
        <v>255</v>
      </c>
      <c r="B544" s="2">
        <v>42</v>
      </c>
      <c r="C544" s="3" t="s">
        <v>95</v>
      </c>
      <c r="D544" s="63" t="s">
        <v>96</v>
      </c>
      <c r="E544" s="62"/>
      <c r="F544" s="62"/>
      <c r="G544" s="2" t="s">
        <v>70</v>
      </c>
      <c r="H544" s="2">
        <v>4</v>
      </c>
      <c r="I544" s="20">
        <v>145.38</v>
      </c>
      <c r="J544" s="20">
        <v>47900</v>
      </c>
      <c r="K544" s="3">
        <v>0</v>
      </c>
      <c r="L544" s="3" t="s">
        <v>3</v>
      </c>
      <c r="M544" s="9" t="s">
        <v>62</v>
      </c>
      <c r="N544" s="9" t="s">
        <v>15</v>
      </c>
      <c r="O544" s="9" t="s">
        <v>259</v>
      </c>
      <c r="S544" s="9" t="s">
        <v>158</v>
      </c>
      <c r="T544" s="10" t="s">
        <v>70</v>
      </c>
      <c r="U544" s="10">
        <v>4</v>
      </c>
      <c r="V544" s="10">
        <v>145.38</v>
      </c>
      <c r="W544" s="10" t="s">
        <v>710</v>
      </c>
      <c r="X544" s="17">
        <v>45199</v>
      </c>
      <c r="Y544" s="17">
        <v>45222</v>
      </c>
      <c r="Z544" s="19" t="s">
        <v>772</v>
      </c>
      <c r="AA544" s="207">
        <v>42900</v>
      </c>
      <c r="AB544" s="9">
        <v>82</v>
      </c>
      <c r="AC544" s="9">
        <v>67</v>
      </c>
      <c r="AD544" s="17">
        <v>47268</v>
      </c>
      <c r="AE544" s="54">
        <v>500</v>
      </c>
      <c r="AF544" s="54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9"/>
      <c r="BA544" s="22"/>
      <c r="BB544" s="22"/>
      <c r="BD544" s="9"/>
      <c r="CS544" s="11">
        <f t="shared" si="41"/>
        <v>0</v>
      </c>
      <c r="CT544" s="22">
        <f t="shared" si="42"/>
        <v>0</v>
      </c>
      <c r="CU544" s="22">
        <f t="shared" si="44"/>
        <v>0</v>
      </c>
      <c r="CV544" s="26">
        <f t="shared" si="43"/>
        <v>500</v>
      </c>
    </row>
    <row r="545" spans="1:103" x14ac:dyDescent="0.2">
      <c r="A545" s="9" t="s">
        <v>255</v>
      </c>
      <c r="B545" s="2">
        <v>42</v>
      </c>
      <c r="C545" s="3" t="s">
        <v>95</v>
      </c>
      <c r="D545" s="63" t="s">
        <v>96</v>
      </c>
      <c r="E545" s="62"/>
      <c r="F545" s="62"/>
      <c r="G545" s="2" t="s">
        <v>70</v>
      </c>
      <c r="H545" s="2">
        <v>4</v>
      </c>
      <c r="I545" s="20">
        <v>145.38</v>
      </c>
      <c r="J545" s="20">
        <v>47900</v>
      </c>
      <c r="K545" s="3">
        <v>0</v>
      </c>
      <c r="L545" s="3" t="s">
        <v>3</v>
      </c>
      <c r="M545" s="9" t="s">
        <v>62</v>
      </c>
      <c r="N545" s="9" t="s">
        <v>15</v>
      </c>
      <c r="O545" s="9" t="s">
        <v>259</v>
      </c>
      <c r="S545" s="9" t="s">
        <v>158</v>
      </c>
      <c r="T545" s="10" t="s">
        <v>70</v>
      </c>
      <c r="U545" s="10">
        <v>4</v>
      </c>
      <c r="V545" s="10">
        <v>145.38</v>
      </c>
      <c r="W545" s="10" t="s">
        <v>710</v>
      </c>
      <c r="X545" s="17">
        <v>45199</v>
      </c>
      <c r="Y545" s="17">
        <v>45222</v>
      </c>
      <c r="Z545" s="19" t="s">
        <v>772</v>
      </c>
      <c r="AA545" s="207">
        <v>42900</v>
      </c>
      <c r="AB545" s="9">
        <v>82</v>
      </c>
      <c r="AC545" s="9">
        <v>68</v>
      </c>
      <c r="AD545" s="17">
        <v>47299</v>
      </c>
      <c r="AE545" s="54">
        <v>500</v>
      </c>
      <c r="AF545" s="54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9"/>
      <c r="BA545" s="22"/>
      <c r="BB545" s="22"/>
      <c r="BD545" s="9"/>
      <c r="CS545" s="11">
        <f t="shared" si="41"/>
        <v>0</v>
      </c>
      <c r="CT545" s="22">
        <f t="shared" si="42"/>
        <v>0</v>
      </c>
      <c r="CU545" s="22">
        <f t="shared" si="44"/>
        <v>0</v>
      </c>
      <c r="CV545" s="26">
        <f t="shared" si="43"/>
        <v>500</v>
      </c>
    </row>
    <row r="546" spans="1:103" x14ac:dyDescent="0.2">
      <c r="A546" s="9" t="s">
        <v>255</v>
      </c>
      <c r="B546" s="2">
        <v>42</v>
      </c>
      <c r="C546" s="3" t="s">
        <v>95</v>
      </c>
      <c r="D546" s="63" t="s">
        <v>96</v>
      </c>
      <c r="E546" s="62"/>
      <c r="F546" s="62"/>
      <c r="G546" s="2" t="s">
        <v>70</v>
      </c>
      <c r="H546" s="2">
        <v>4</v>
      </c>
      <c r="I546" s="20">
        <v>145.38</v>
      </c>
      <c r="J546" s="20">
        <v>47900</v>
      </c>
      <c r="K546" s="3">
        <v>0</v>
      </c>
      <c r="L546" s="3" t="s">
        <v>3</v>
      </c>
      <c r="M546" s="9" t="s">
        <v>62</v>
      </c>
      <c r="N546" s="9" t="s">
        <v>15</v>
      </c>
      <c r="O546" s="9" t="s">
        <v>259</v>
      </c>
      <c r="S546" s="9" t="s">
        <v>158</v>
      </c>
      <c r="T546" s="10" t="s">
        <v>70</v>
      </c>
      <c r="U546" s="10">
        <v>4</v>
      </c>
      <c r="V546" s="10">
        <v>145.38</v>
      </c>
      <c r="W546" s="10" t="s">
        <v>710</v>
      </c>
      <c r="X546" s="17">
        <v>45199</v>
      </c>
      <c r="Y546" s="17">
        <v>45222</v>
      </c>
      <c r="Z546" s="19" t="s">
        <v>772</v>
      </c>
      <c r="AA546" s="207">
        <v>42900</v>
      </c>
      <c r="AB546" s="9">
        <v>82</v>
      </c>
      <c r="AC546" s="9">
        <v>69</v>
      </c>
      <c r="AD546" s="17">
        <v>47329</v>
      </c>
      <c r="AE546" s="54">
        <v>500</v>
      </c>
      <c r="AF546" s="54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9"/>
      <c r="BA546" s="22"/>
      <c r="BB546" s="22"/>
      <c r="BD546" s="9"/>
      <c r="CS546" s="11">
        <f t="shared" si="41"/>
        <v>0</v>
      </c>
      <c r="CT546" s="22">
        <f t="shared" si="42"/>
        <v>0</v>
      </c>
      <c r="CU546" s="22">
        <f t="shared" si="44"/>
        <v>0</v>
      </c>
      <c r="CV546" s="26">
        <f t="shared" si="43"/>
        <v>500</v>
      </c>
    </row>
    <row r="547" spans="1:103" x14ac:dyDescent="0.2">
      <c r="A547" s="9" t="s">
        <v>255</v>
      </c>
      <c r="B547" s="2">
        <v>42</v>
      </c>
      <c r="C547" s="3" t="s">
        <v>95</v>
      </c>
      <c r="D547" s="63" t="s">
        <v>96</v>
      </c>
      <c r="E547" s="62"/>
      <c r="F547" s="62"/>
      <c r="G547" s="2" t="s">
        <v>70</v>
      </c>
      <c r="H547" s="2">
        <v>4</v>
      </c>
      <c r="I547" s="20">
        <v>145.38</v>
      </c>
      <c r="J547" s="20">
        <v>47900</v>
      </c>
      <c r="K547" s="3">
        <v>0</v>
      </c>
      <c r="L547" s="3" t="s">
        <v>3</v>
      </c>
      <c r="M547" s="9" t="s">
        <v>62</v>
      </c>
      <c r="N547" s="9" t="s">
        <v>15</v>
      </c>
      <c r="O547" s="9" t="s">
        <v>259</v>
      </c>
      <c r="S547" s="9" t="s">
        <v>158</v>
      </c>
      <c r="T547" s="10" t="s">
        <v>70</v>
      </c>
      <c r="U547" s="10">
        <v>4</v>
      </c>
      <c r="V547" s="10">
        <v>145.38</v>
      </c>
      <c r="W547" s="10" t="s">
        <v>710</v>
      </c>
      <c r="X547" s="17">
        <v>45199</v>
      </c>
      <c r="Y547" s="17">
        <v>45222</v>
      </c>
      <c r="Z547" s="19" t="s">
        <v>772</v>
      </c>
      <c r="AA547" s="207">
        <v>42900</v>
      </c>
      <c r="AB547" s="9">
        <v>82</v>
      </c>
      <c r="AC547" s="9">
        <v>70</v>
      </c>
      <c r="AD547" s="17">
        <v>47360</v>
      </c>
      <c r="AE547" s="54">
        <v>500</v>
      </c>
      <c r="AF547" s="54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9"/>
      <c r="BA547" s="22"/>
      <c r="BB547" s="22"/>
      <c r="BD547" s="9"/>
      <c r="CS547" s="11">
        <f t="shared" si="41"/>
        <v>0</v>
      </c>
      <c r="CT547" s="22">
        <f t="shared" si="42"/>
        <v>0</v>
      </c>
      <c r="CU547" s="22">
        <f t="shared" si="44"/>
        <v>0</v>
      </c>
      <c r="CV547" s="26">
        <f t="shared" si="43"/>
        <v>500</v>
      </c>
    </row>
    <row r="548" spans="1:103" x14ac:dyDescent="0.2">
      <c r="A548" s="9" t="s">
        <v>255</v>
      </c>
      <c r="B548" s="2">
        <v>42</v>
      </c>
      <c r="C548" s="3" t="s">
        <v>95</v>
      </c>
      <c r="D548" s="63" t="s">
        <v>96</v>
      </c>
      <c r="E548" s="62"/>
      <c r="F548" s="62"/>
      <c r="G548" s="2" t="s">
        <v>70</v>
      </c>
      <c r="H548" s="2">
        <v>4</v>
      </c>
      <c r="I548" s="20">
        <v>145.38</v>
      </c>
      <c r="J548" s="20">
        <v>47900</v>
      </c>
      <c r="K548" s="3">
        <v>0</v>
      </c>
      <c r="L548" s="3" t="s">
        <v>3</v>
      </c>
      <c r="M548" s="9" t="s">
        <v>62</v>
      </c>
      <c r="N548" s="9" t="s">
        <v>15</v>
      </c>
      <c r="O548" s="9" t="s">
        <v>259</v>
      </c>
      <c r="S548" s="9" t="s">
        <v>158</v>
      </c>
      <c r="T548" s="10" t="s">
        <v>70</v>
      </c>
      <c r="U548" s="10">
        <v>4</v>
      </c>
      <c r="V548" s="10">
        <v>145.38</v>
      </c>
      <c r="W548" s="10" t="s">
        <v>710</v>
      </c>
      <c r="X548" s="17">
        <v>45199</v>
      </c>
      <c r="Y548" s="17">
        <v>45222</v>
      </c>
      <c r="Z548" s="19" t="s">
        <v>772</v>
      </c>
      <c r="AA548" s="207">
        <v>42900</v>
      </c>
      <c r="AB548" s="9">
        <v>82</v>
      </c>
      <c r="AC548" s="9">
        <v>71</v>
      </c>
      <c r="AD548" s="17">
        <v>47391</v>
      </c>
      <c r="AE548" s="54">
        <v>500</v>
      </c>
      <c r="AF548" s="54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9"/>
      <c r="BA548" s="22"/>
      <c r="BB548" s="22"/>
      <c r="BD548" s="9"/>
      <c r="CS548" s="11">
        <f t="shared" si="41"/>
        <v>0</v>
      </c>
      <c r="CT548" s="22">
        <f t="shared" si="42"/>
        <v>0</v>
      </c>
      <c r="CU548" s="22">
        <f t="shared" si="44"/>
        <v>0</v>
      </c>
      <c r="CV548" s="26">
        <f t="shared" si="43"/>
        <v>500</v>
      </c>
    </row>
    <row r="549" spans="1:103" x14ac:dyDescent="0.2">
      <c r="A549" s="9" t="s">
        <v>255</v>
      </c>
      <c r="B549" s="2">
        <v>42</v>
      </c>
      <c r="C549" s="3" t="s">
        <v>95</v>
      </c>
      <c r="D549" s="63" t="s">
        <v>96</v>
      </c>
      <c r="E549" s="62"/>
      <c r="F549" s="62"/>
      <c r="G549" s="2" t="s">
        <v>70</v>
      </c>
      <c r="H549" s="2">
        <v>4</v>
      </c>
      <c r="I549" s="20">
        <v>145.38</v>
      </c>
      <c r="J549" s="20">
        <v>47900</v>
      </c>
      <c r="K549" s="3">
        <v>0</v>
      </c>
      <c r="L549" s="3" t="s">
        <v>3</v>
      </c>
      <c r="M549" s="9" t="s">
        <v>62</v>
      </c>
      <c r="N549" s="9" t="s">
        <v>15</v>
      </c>
      <c r="O549" s="9" t="s">
        <v>259</v>
      </c>
      <c r="S549" s="9" t="s">
        <v>158</v>
      </c>
      <c r="T549" s="10" t="s">
        <v>70</v>
      </c>
      <c r="U549" s="10">
        <v>4</v>
      </c>
      <c r="V549" s="10">
        <v>145.38</v>
      </c>
      <c r="W549" s="10" t="s">
        <v>710</v>
      </c>
      <c r="X549" s="17">
        <v>45199</v>
      </c>
      <c r="Y549" s="17">
        <v>45222</v>
      </c>
      <c r="Z549" s="19" t="s">
        <v>772</v>
      </c>
      <c r="AA549" s="207">
        <v>42900</v>
      </c>
      <c r="AB549" s="9">
        <v>82</v>
      </c>
      <c r="AC549" s="9">
        <v>72</v>
      </c>
      <c r="AD549" s="17">
        <v>47421</v>
      </c>
      <c r="AE549" s="54">
        <v>500</v>
      </c>
      <c r="AF549" s="54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9"/>
      <c r="BA549" s="22"/>
      <c r="BB549" s="22"/>
      <c r="BD549" s="9"/>
      <c r="CS549" s="11">
        <f t="shared" si="41"/>
        <v>0</v>
      </c>
      <c r="CT549" s="22">
        <f t="shared" si="42"/>
        <v>0</v>
      </c>
      <c r="CU549" s="22">
        <f t="shared" si="44"/>
        <v>0</v>
      </c>
      <c r="CV549" s="26">
        <f t="shared" si="43"/>
        <v>500</v>
      </c>
    </row>
    <row r="550" spans="1:103" x14ac:dyDescent="0.2">
      <c r="A550" s="9" t="s">
        <v>255</v>
      </c>
      <c r="B550" s="2">
        <v>42</v>
      </c>
      <c r="C550" s="3" t="s">
        <v>95</v>
      </c>
      <c r="D550" s="63" t="s">
        <v>96</v>
      </c>
      <c r="E550" s="62"/>
      <c r="F550" s="62"/>
      <c r="G550" s="2" t="s">
        <v>70</v>
      </c>
      <c r="H550" s="2">
        <v>4</v>
      </c>
      <c r="I550" s="20">
        <v>145.38</v>
      </c>
      <c r="J550" s="20">
        <v>47900</v>
      </c>
      <c r="K550" s="3">
        <v>0</v>
      </c>
      <c r="L550" s="3" t="s">
        <v>3</v>
      </c>
      <c r="M550" s="9" t="s">
        <v>62</v>
      </c>
      <c r="N550" s="9" t="s">
        <v>15</v>
      </c>
      <c r="O550" s="9" t="s">
        <v>259</v>
      </c>
      <c r="S550" s="9" t="s">
        <v>158</v>
      </c>
      <c r="T550" s="10" t="s">
        <v>70</v>
      </c>
      <c r="U550" s="10">
        <v>4</v>
      </c>
      <c r="V550" s="10">
        <v>145.38</v>
      </c>
      <c r="W550" s="10" t="s">
        <v>710</v>
      </c>
      <c r="X550" s="17">
        <v>45199</v>
      </c>
      <c r="Y550" s="17">
        <v>45222</v>
      </c>
      <c r="Z550" s="19" t="s">
        <v>772</v>
      </c>
      <c r="AA550" s="207">
        <v>42900</v>
      </c>
      <c r="AB550" s="9">
        <v>82</v>
      </c>
      <c r="AC550" s="9">
        <v>73</v>
      </c>
      <c r="AD550" s="17">
        <v>47452</v>
      </c>
      <c r="AE550" s="54">
        <v>500</v>
      </c>
      <c r="AF550" s="54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9"/>
      <c r="BA550" s="22"/>
      <c r="BB550" s="22"/>
      <c r="BD550" s="9"/>
      <c r="CS550" s="11">
        <f t="shared" si="41"/>
        <v>0</v>
      </c>
      <c r="CT550" s="22">
        <f t="shared" si="42"/>
        <v>0</v>
      </c>
      <c r="CU550" s="22">
        <f t="shared" si="44"/>
        <v>0</v>
      </c>
      <c r="CV550" s="26">
        <f t="shared" si="43"/>
        <v>500</v>
      </c>
    </row>
    <row r="551" spans="1:103" x14ac:dyDescent="0.2">
      <c r="A551" s="9" t="s">
        <v>255</v>
      </c>
      <c r="B551" s="2">
        <v>42</v>
      </c>
      <c r="C551" s="3" t="s">
        <v>95</v>
      </c>
      <c r="D551" s="63" t="s">
        <v>96</v>
      </c>
      <c r="E551" s="62"/>
      <c r="F551" s="62"/>
      <c r="G551" s="2" t="s">
        <v>70</v>
      </c>
      <c r="H551" s="2">
        <v>4</v>
      </c>
      <c r="I551" s="20">
        <v>145.38</v>
      </c>
      <c r="J551" s="20">
        <v>47900</v>
      </c>
      <c r="K551" s="3">
        <v>0</v>
      </c>
      <c r="L551" s="3" t="s">
        <v>3</v>
      </c>
      <c r="M551" s="9" t="s">
        <v>62</v>
      </c>
      <c r="N551" s="9" t="s">
        <v>15</v>
      </c>
      <c r="O551" s="9" t="s">
        <v>259</v>
      </c>
      <c r="S551" s="9" t="s">
        <v>158</v>
      </c>
      <c r="T551" s="10" t="s">
        <v>70</v>
      </c>
      <c r="U551" s="10">
        <v>4</v>
      </c>
      <c r="V551" s="10">
        <v>145.38</v>
      </c>
      <c r="W551" s="10" t="s">
        <v>710</v>
      </c>
      <c r="X551" s="17">
        <v>45199</v>
      </c>
      <c r="Y551" s="17">
        <v>45222</v>
      </c>
      <c r="Z551" s="19" t="s">
        <v>772</v>
      </c>
      <c r="AA551" s="207">
        <v>42900</v>
      </c>
      <c r="AB551" s="9">
        <v>82</v>
      </c>
      <c r="AC551" s="9">
        <v>74</v>
      </c>
      <c r="AD551" s="17">
        <v>47482</v>
      </c>
      <c r="AE551" s="54">
        <v>500</v>
      </c>
      <c r="AF551" s="54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9"/>
      <c r="BA551" s="22"/>
      <c r="BB551" s="22"/>
      <c r="BD551" s="9"/>
      <c r="CS551" s="11">
        <f t="shared" si="41"/>
        <v>0</v>
      </c>
      <c r="CT551" s="22">
        <f t="shared" si="42"/>
        <v>0</v>
      </c>
      <c r="CU551" s="22">
        <f t="shared" si="44"/>
        <v>0</v>
      </c>
      <c r="CV551" s="26">
        <f t="shared" si="43"/>
        <v>500</v>
      </c>
    </row>
    <row r="552" spans="1:103" x14ac:dyDescent="0.2">
      <c r="A552" s="9" t="s">
        <v>255</v>
      </c>
      <c r="B552" s="2">
        <v>42</v>
      </c>
      <c r="C552" s="3" t="s">
        <v>95</v>
      </c>
      <c r="D552" s="63" t="s">
        <v>96</v>
      </c>
      <c r="E552" s="62"/>
      <c r="F552" s="62"/>
      <c r="G552" s="2" t="s">
        <v>70</v>
      </c>
      <c r="H552" s="2">
        <v>4</v>
      </c>
      <c r="I552" s="20">
        <v>145.38</v>
      </c>
      <c r="J552" s="20">
        <v>47900</v>
      </c>
      <c r="K552" s="3">
        <v>0</v>
      </c>
      <c r="L552" s="3" t="s">
        <v>3</v>
      </c>
      <c r="M552" s="9" t="s">
        <v>62</v>
      </c>
      <c r="N552" s="9" t="s">
        <v>15</v>
      </c>
      <c r="O552" s="9" t="s">
        <v>259</v>
      </c>
      <c r="S552" s="9" t="s">
        <v>158</v>
      </c>
      <c r="T552" s="10" t="s">
        <v>70</v>
      </c>
      <c r="U552" s="10">
        <v>4</v>
      </c>
      <c r="V552" s="10">
        <v>145.38</v>
      </c>
      <c r="W552" s="10" t="s">
        <v>710</v>
      </c>
      <c r="X552" s="17">
        <v>45199</v>
      </c>
      <c r="Y552" s="17">
        <v>45222</v>
      </c>
      <c r="Z552" s="19" t="s">
        <v>772</v>
      </c>
      <c r="AA552" s="207">
        <v>42900</v>
      </c>
      <c r="AB552" s="9">
        <v>82</v>
      </c>
      <c r="AC552" s="9">
        <v>75</v>
      </c>
      <c r="AD552" s="17">
        <v>47513</v>
      </c>
      <c r="AE552" s="54">
        <v>500</v>
      </c>
      <c r="AF552" s="54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9"/>
      <c r="BA552" s="22"/>
      <c r="BB552" s="22"/>
      <c r="BD552" s="9"/>
      <c r="CS552" s="11">
        <f t="shared" si="41"/>
        <v>0</v>
      </c>
      <c r="CT552" s="22">
        <f t="shared" si="42"/>
        <v>0</v>
      </c>
      <c r="CU552" s="22">
        <f t="shared" si="44"/>
        <v>0</v>
      </c>
      <c r="CV552" s="26">
        <f t="shared" si="43"/>
        <v>500</v>
      </c>
    </row>
    <row r="553" spans="1:103" x14ac:dyDescent="0.2">
      <c r="A553" s="9" t="s">
        <v>255</v>
      </c>
      <c r="B553" s="2">
        <v>42</v>
      </c>
      <c r="C553" s="3" t="s">
        <v>95</v>
      </c>
      <c r="D553" s="63" t="s">
        <v>96</v>
      </c>
      <c r="E553" s="62"/>
      <c r="F553" s="62"/>
      <c r="G553" s="2" t="s">
        <v>70</v>
      </c>
      <c r="H553" s="2">
        <v>4</v>
      </c>
      <c r="I553" s="20">
        <v>145.38</v>
      </c>
      <c r="J553" s="20">
        <v>47900</v>
      </c>
      <c r="K553" s="3">
        <v>0</v>
      </c>
      <c r="L553" s="3" t="s">
        <v>3</v>
      </c>
      <c r="M553" s="9" t="s">
        <v>62</v>
      </c>
      <c r="N553" s="9" t="s">
        <v>15</v>
      </c>
      <c r="O553" s="9" t="s">
        <v>259</v>
      </c>
      <c r="S553" s="9" t="s">
        <v>158</v>
      </c>
      <c r="T553" s="10" t="s">
        <v>70</v>
      </c>
      <c r="U553" s="10">
        <v>4</v>
      </c>
      <c r="V553" s="10">
        <v>145.38</v>
      </c>
      <c r="W553" s="10" t="s">
        <v>710</v>
      </c>
      <c r="X553" s="17">
        <v>45199</v>
      </c>
      <c r="Y553" s="17">
        <v>45222</v>
      </c>
      <c r="Z553" s="19" t="s">
        <v>772</v>
      </c>
      <c r="AA553" s="207">
        <v>42900</v>
      </c>
      <c r="AB553" s="9">
        <v>82</v>
      </c>
      <c r="AC553" s="9">
        <v>76</v>
      </c>
      <c r="AD553" s="17">
        <v>47542</v>
      </c>
      <c r="AE553" s="54">
        <v>500</v>
      </c>
      <c r="AF553" s="54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9"/>
      <c r="BA553" s="22"/>
      <c r="BB553" s="22"/>
      <c r="BD553" s="9"/>
      <c r="CS553" s="11">
        <f t="shared" si="41"/>
        <v>0</v>
      </c>
      <c r="CT553" s="22">
        <f t="shared" si="42"/>
        <v>0</v>
      </c>
      <c r="CU553" s="22">
        <f t="shared" si="44"/>
        <v>0</v>
      </c>
      <c r="CV553" s="26">
        <f t="shared" si="43"/>
        <v>500</v>
      </c>
    </row>
    <row r="554" spans="1:103" x14ac:dyDescent="0.2">
      <c r="A554" s="9" t="s">
        <v>255</v>
      </c>
      <c r="B554" s="2">
        <v>42</v>
      </c>
      <c r="C554" s="3" t="s">
        <v>95</v>
      </c>
      <c r="D554" s="63" t="s">
        <v>96</v>
      </c>
      <c r="E554" s="62"/>
      <c r="F554" s="62"/>
      <c r="G554" s="2" t="s">
        <v>70</v>
      </c>
      <c r="H554" s="2">
        <v>4</v>
      </c>
      <c r="I554" s="20">
        <v>145.38</v>
      </c>
      <c r="J554" s="20">
        <v>47900</v>
      </c>
      <c r="K554" s="3">
        <v>0</v>
      </c>
      <c r="L554" s="3" t="s">
        <v>3</v>
      </c>
      <c r="M554" s="9" t="s">
        <v>62</v>
      </c>
      <c r="N554" s="9" t="s">
        <v>15</v>
      </c>
      <c r="O554" s="9" t="s">
        <v>259</v>
      </c>
      <c r="S554" s="9" t="s">
        <v>158</v>
      </c>
      <c r="T554" s="10" t="s">
        <v>70</v>
      </c>
      <c r="U554" s="10">
        <v>4</v>
      </c>
      <c r="V554" s="10">
        <v>145.38</v>
      </c>
      <c r="W554" s="10" t="s">
        <v>710</v>
      </c>
      <c r="X554" s="17">
        <v>45199</v>
      </c>
      <c r="Y554" s="17">
        <v>45222</v>
      </c>
      <c r="Z554" s="19" t="s">
        <v>772</v>
      </c>
      <c r="AA554" s="207">
        <v>42900</v>
      </c>
      <c r="AB554" s="9">
        <v>82</v>
      </c>
      <c r="AC554" s="9">
        <v>77</v>
      </c>
      <c r="AD554" s="17">
        <v>47572</v>
      </c>
      <c r="AE554" s="54">
        <v>500</v>
      </c>
      <c r="AF554" s="54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9"/>
      <c r="BA554" s="22"/>
      <c r="BB554" s="22"/>
      <c r="BD554" s="9"/>
      <c r="CS554" s="11">
        <f t="shared" si="41"/>
        <v>0</v>
      </c>
      <c r="CT554" s="22">
        <f t="shared" si="42"/>
        <v>0</v>
      </c>
      <c r="CU554" s="22">
        <f t="shared" si="44"/>
        <v>0</v>
      </c>
      <c r="CV554" s="26">
        <f t="shared" si="43"/>
        <v>500</v>
      </c>
    </row>
    <row r="555" spans="1:103" x14ac:dyDescent="0.2">
      <c r="A555" s="9" t="s">
        <v>255</v>
      </c>
      <c r="B555" s="2">
        <v>42</v>
      </c>
      <c r="C555" s="3" t="s">
        <v>95</v>
      </c>
      <c r="D555" s="63" t="s">
        <v>96</v>
      </c>
      <c r="E555" s="62"/>
      <c r="F555" s="62"/>
      <c r="G555" s="2" t="s">
        <v>70</v>
      </c>
      <c r="H555" s="2">
        <v>4</v>
      </c>
      <c r="I555" s="20">
        <v>145.38</v>
      </c>
      <c r="J555" s="20">
        <v>47900</v>
      </c>
      <c r="K555" s="3">
        <v>0</v>
      </c>
      <c r="L555" s="3" t="s">
        <v>3</v>
      </c>
      <c r="M555" s="9" t="s">
        <v>62</v>
      </c>
      <c r="N555" s="9" t="s">
        <v>15</v>
      </c>
      <c r="O555" s="9" t="s">
        <v>259</v>
      </c>
      <c r="S555" s="9" t="s">
        <v>158</v>
      </c>
      <c r="T555" s="10" t="s">
        <v>70</v>
      </c>
      <c r="U555" s="10">
        <v>4</v>
      </c>
      <c r="V555" s="10">
        <v>145.38</v>
      </c>
      <c r="W555" s="10" t="s">
        <v>710</v>
      </c>
      <c r="X555" s="17">
        <v>45199</v>
      </c>
      <c r="Y555" s="17">
        <v>45222</v>
      </c>
      <c r="Z555" s="19" t="s">
        <v>772</v>
      </c>
      <c r="AA555" s="207">
        <v>42900</v>
      </c>
      <c r="AB555" s="9">
        <v>82</v>
      </c>
      <c r="AC555" s="9">
        <v>78</v>
      </c>
      <c r="AD555" s="17">
        <v>47603</v>
      </c>
      <c r="AE555" s="54">
        <v>500</v>
      </c>
      <c r="AF555" s="54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9"/>
      <c r="BA555" s="22"/>
      <c r="BB555" s="22"/>
      <c r="BD555" s="9"/>
      <c r="CS555" s="11">
        <f t="shared" si="41"/>
        <v>0</v>
      </c>
      <c r="CT555" s="22">
        <f t="shared" si="42"/>
        <v>0</v>
      </c>
      <c r="CU555" s="22">
        <f t="shared" si="44"/>
        <v>0</v>
      </c>
      <c r="CV555" s="26">
        <f t="shared" si="43"/>
        <v>500</v>
      </c>
    </row>
    <row r="556" spans="1:103" x14ac:dyDescent="0.2">
      <c r="A556" s="9" t="s">
        <v>255</v>
      </c>
      <c r="B556" s="2">
        <v>42</v>
      </c>
      <c r="C556" s="3" t="s">
        <v>95</v>
      </c>
      <c r="D556" s="63" t="s">
        <v>96</v>
      </c>
      <c r="E556" s="62"/>
      <c r="F556" s="62"/>
      <c r="G556" s="2" t="s">
        <v>70</v>
      </c>
      <c r="H556" s="2">
        <v>4</v>
      </c>
      <c r="I556" s="20">
        <v>145.38</v>
      </c>
      <c r="J556" s="20">
        <v>47900</v>
      </c>
      <c r="K556" s="3">
        <v>0</v>
      </c>
      <c r="L556" s="3" t="s">
        <v>3</v>
      </c>
      <c r="M556" s="9" t="s">
        <v>62</v>
      </c>
      <c r="N556" s="9" t="s">
        <v>15</v>
      </c>
      <c r="O556" s="9" t="s">
        <v>259</v>
      </c>
      <c r="S556" s="9" t="s">
        <v>158</v>
      </c>
      <c r="T556" s="10" t="s">
        <v>70</v>
      </c>
      <c r="U556" s="10">
        <v>4</v>
      </c>
      <c r="V556" s="10">
        <v>145.38</v>
      </c>
      <c r="W556" s="10" t="s">
        <v>710</v>
      </c>
      <c r="X556" s="17">
        <v>45199</v>
      </c>
      <c r="Y556" s="17">
        <v>45222</v>
      </c>
      <c r="Z556" s="19" t="s">
        <v>772</v>
      </c>
      <c r="AA556" s="207">
        <v>42900</v>
      </c>
      <c r="AB556" s="9">
        <v>82</v>
      </c>
      <c r="AC556" s="9">
        <v>79</v>
      </c>
      <c r="AD556" s="17">
        <v>47633</v>
      </c>
      <c r="AE556" s="54">
        <v>500</v>
      </c>
      <c r="AF556" s="54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9"/>
      <c r="BA556" s="22"/>
      <c r="BB556" s="22"/>
      <c r="BD556" s="9"/>
      <c r="CS556" s="11">
        <f t="shared" si="41"/>
        <v>0</v>
      </c>
      <c r="CT556" s="22">
        <f t="shared" si="42"/>
        <v>0</v>
      </c>
      <c r="CU556" s="22">
        <f t="shared" si="44"/>
        <v>0</v>
      </c>
      <c r="CV556" s="26">
        <f t="shared" si="43"/>
        <v>500</v>
      </c>
    </row>
    <row r="557" spans="1:103" x14ac:dyDescent="0.2">
      <c r="A557" s="9" t="s">
        <v>255</v>
      </c>
      <c r="B557" s="2">
        <v>42</v>
      </c>
      <c r="C557" s="3" t="s">
        <v>95</v>
      </c>
      <c r="D557" s="63" t="s">
        <v>96</v>
      </c>
      <c r="E557" s="62"/>
      <c r="F557" s="62"/>
      <c r="G557" s="2" t="s">
        <v>70</v>
      </c>
      <c r="H557" s="2">
        <v>4</v>
      </c>
      <c r="I557" s="20">
        <v>145.38</v>
      </c>
      <c r="J557" s="20">
        <v>47900</v>
      </c>
      <c r="K557" s="3">
        <v>0</v>
      </c>
      <c r="L557" s="3" t="s">
        <v>3</v>
      </c>
      <c r="M557" s="9" t="s">
        <v>62</v>
      </c>
      <c r="N557" s="9" t="s">
        <v>15</v>
      </c>
      <c r="O557" s="9" t="s">
        <v>259</v>
      </c>
      <c r="S557" s="9" t="s">
        <v>158</v>
      </c>
      <c r="T557" s="10" t="s">
        <v>70</v>
      </c>
      <c r="U557" s="10">
        <v>4</v>
      </c>
      <c r="V557" s="10">
        <v>145.38</v>
      </c>
      <c r="W557" s="10" t="s">
        <v>710</v>
      </c>
      <c r="X557" s="17">
        <v>45199</v>
      </c>
      <c r="Y557" s="17">
        <v>45222</v>
      </c>
      <c r="Z557" s="19" t="s">
        <v>772</v>
      </c>
      <c r="AA557" s="207">
        <v>42900</v>
      </c>
      <c r="AB557" s="9">
        <v>82</v>
      </c>
      <c r="AC557" s="9">
        <v>80</v>
      </c>
      <c r="AD557" s="17">
        <v>47664</v>
      </c>
      <c r="AE557" s="54">
        <v>500</v>
      </c>
      <c r="AF557" s="54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9"/>
      <c r="BA557" s="22"/>
      <c r="BB557" s="22"/>
      <c r="BD557" s="9"/>
      <c r="CS557" s="11">
        <f t="shared" si="41"/>
        <v>0</v>
      </c>
      <c r="CT557" s="22">
        <f t="shared" si="42"/>
        <v>0</v>
      </c>
      <c r="CU557" s="22">
        <f t="shared" si="44"/>
        <v>0</v>
      </c>
      <c r="CV557" s="26">
        <f t="shared" si="43"/>
        <v>500</v>
      </c>
    </row>
    <row r="558" spans="1:103" x14ac:dyDescent="0.2">
      <c r="A558" s="9" t="s">
        <v>255</v>
      </c>
      <c r="B558" s="2">
        <v>42</v>
      </c>
      <c r="C558" s="3" t="s">
        <v>95</v>
      </c>
      <c r="D558" s="63" t="s">
        <v>96</v>
      </c>
      <c r="E558" s="62"/>
      <c r="F558" s="62"/>
      <c r="G558" s="2" t="s">
        <v>70</v>
      </c>
      <c r="H558" s="2">
        <v>4</v>
      </c>
      <c r="I558" s="20">
        <v>145.38</v>
      </c>
      <c r="J558" s="20">
        <v>47900</v>
      </c>
      <c r="K558" s="3">
        <v>0</v>
      </c>
      <c r="L558" s="3" t="s">
        <v>3</v>
      </c>
      <c r="M558" s="9" t="s">
        <v>62</v>
      </c>
      <c r="N558" s="9" t="s">
        <v>15</v>
      </c>
      <c r="O558" s="9" t="s">
        <v>259</v>
      </c>
      <c r="S558" s="9" t="s">
        <v>158</v>
      </c>
      <c r="T558" s="10" t="s">
        <v>70</v>
      </c>
      <c r="U558" s="10">
        <v>4</v>
      </c>
      <c r="V558" s="10">
        <v>145.38</v>
      </c>
      <c r="W558" s="10" t="s">
        <v>710</v>
      </c>
      <c r="X558" s="17">
        <v>45199</v>
      </c>
      <c r="Y558" s="17">
        <v>45222</v>
      </c>
      <c r="Z558" s="19" t="s">
        <v>772</v>
      </c>
      <c r="AA558" s="207">
        <v>42900</v>
      </c>
      <c r="AB558" s="9">
        <v>82</v>
      </c>
      <c r="AC558" s="9">
        <v>81</v>
      </c>
      <c r="AD558" s="17">
        <v>47694</v>
      </c>
      <c r="AE558" s="54">
        <v>500</v>
      </c>
      <c r="AF558" s="54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9"/>
      <c r="BA558" s="22"/>
      <c r="BB558" s="22"/>
      <c r="BD558" s="9"/>
      <c r="CS558" s="11">
        <f t="shared" si="41"/>
        <v>0</v>
      </c>
      <c r="CT558" s="22">
        <f t="shared" si="42"/>
        <v>0</v>
      </c>
      <c r="CU558" s="22">
        <f t="shared" si="44"/>
        <v>0</v>
      </c>
      <c r="CV558" s="26">
        <f t="shared" si="43"/>
        <v>500</v>
      </c>
    </row>
    <row r="559" spans="1:103" x14ac:dyDescent="0.2">
      <c r="A559" s="9" t="s">
        <v>255</v>
      </c>
      <c r="B559" s="2">
        <v>42</v>
      </c>
      <c r="C559" s="3" t="s">
        <v>95</v>
      </c>
      <c r="D559" s="63" t="s">
        <v>96</v>
      </c>
      <c r="E559" s="62"/>
      <c r="F559" s="62"/>
      <c r="G559" s="2" t="s">
        <v>70</v>
      </c>
      <c r="H559" s="2">
        <v>4</v>
      </c>
      <c r="I559" s="20">
        <v>145.38</v>
      </c>
      <c r="J559" s="20">
        <v>47900</v>
      </c>
      <c r="K559" s="3">
        <v>0</v>
      </c>
      <c r="L559" s="3" t="s">
        <v>3</v>
      </c>
      <c r="M559" s="9" t="s">
        <v>62</v>
      </c>
      <c r="N559" s="9" t="s">
        <v>15</v>
      </c>
      <c r="O559" s="9" t="s">
        <v>259</v>
      </c>
      <c r="S559" s="9" t="s">
        <v>158</v>
      </c>
      <c r="T559" s="10" t="s">
        <v>70</v>
      </c>
      <c r="U559" s="10">
        <v>4</v>
      </c>
      <c r="V559" s="10">
        <v>145.38</v>
      </c>
      <c r="W559" s="10" t="s">
        <v>710</v>
      </c>
      <c r="X559" s="17">
        <v>45199</v>
      </c>
      <c r="Y559" s="17">
        <v>45222</v>
      </c>
      <c r="Z559" s="19" t="s">
        <v>772</v>
      </c>
      <c r="AA559" s="207">
        <v>42900</v>
      </c>
      <c r="AB559" s="9">
        <v>82</v>
      </c>
      <c r="AC559" s="9">
        <v>82</v>
      </c>
      <c r="AD559" s="17">
        <v>47725</v>
      </c>
      <c r="AE559" s="54">
        <v>400</v>
      </c>
      <c r="AF559" s="54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9"/>
      <c r="BA559" s="22"/>
      <c r="BB559" s="22"/>
      <c r="BD559" s="9"/>
      <c r="CS559" s="11">
        <f t="shared" si="41"/>
        <v>0</v>
      </c>
      <c r="CT559" s="22">
        <f t="shared" si="42"/>
        <v>0</v>
      </c>
      <c r="CU559" s="22">
        <f t="shared" si="44"/>
        <v>0</v>
      </c>
      <c r="CV559" s="26">
        <f t="shared" si="43"/>
        <v>400</v>
      </c>
    </row>
    <row r="560" spans="1:103" x14ac:dyDescent="0.2">
      <c r="A560" s="88" t="s">
        <v>256</v>
      </c>
      <c r="B560" s="185">
        <v>6</v>
      </c>
      <c r="C560" s="3" t="s">
        <v>95</v>
      </c>
      <c r="D560" s="3" t="s">
        <v>96</v>
      </c>
      <c r="E560" s="2"/>
      <c r="F560" s="2"/>
      <c r="G560" s="185" t="s">
        <v>65</v>
      </c>
      <c r="H560" s="185">
        <v>6</v>
      </c>
      <c r="I560" s="189">
        <v>104.95</v>
      </c>
      <c r="J560" s="189">
        <v>37900</v>
      </c>
      <c r="K560" s="186">
        <v>0</v>
      </c>
      <c r="L560" s="186" t="s">
        <v>3</v>
      </c>
      <c r="M560" s="88" t="s">
        <v>0</v>
      </c>
      <c r="N560" s="190" t="s">
        <v>262</v>
      </c>
      <c r="O560" s="88" t="s">
        <v>263</v>
      </c>
      <c r="P560" s="9" t="s">
        <v>0</v>
      </c>
      <c r="Q560" s="9" t="s">
        <v>16</v>
      </c>
      <c r="R560" s="9" t="s">
        <v>261</v>
      </c>
      <c r="S560" s="88" t="s">
        <v>158</v>
      </c>
      <c r="T560" s="81" t="s">
        <v>65</v>
      </c>
      <c r="U560" s="81">
        <v>7</v>
      </c>
      <c r="V560" s="81">
        <v>104.94</v>
      </c>
      <c r="W560" s="81" t="s">
        <v>710</v>
      </c>
      <c r="X560" s="87">
        <v>45013</v>
      </c>
      <c r="Y560" s="87">
        <v>45251</v>
      </c>
      <c r="Z560" s="191" t="s">
        <v>772</v>
      </c>
      <c r="AA560" s="211">
        <v>37670.400000000001</v>
      </c>
      <c r="AB560" s="88">
        <v>49</v>
      </c>
      <c r="AC560" s="88">
        <v>0</v>
      </c>
      <c r="AD560" s="87">
        <v>44985</v>
      </c>
      <c r="AE560" s="192">
        <v>250</v>
      </c>
      <c r="AF560" s="192"/>
      <c r="AG560" s="88" t="s">
        <v>134</v>
      </c>
      <c r="AH560" s="87">
        <v>44985</v>
      </c>
      <c r="AI560" s="88">
        <v>47173111</v>
      </c>
      <c r="AJ560" s="88" t="s">
        <v>2792</v>
      </c>
      <c r="AK560" s="88" t="s">
        <v>2787</v>
      </c>
      <c r="AL560" s="89">
        <v>250</v>
      </c>
      <c r="AM560" s="89"/>
      <c r="AN560" s="89" t="s">
        <v>2793</v>
      </c>
      <c r="AO560" s="89"/>
      <c r="AP560" s="89"/>
      <c r="AQ560" s="89"/>
      <c r="AR560" s="89"/>
      <c r="AS560" s="89"/>
      <c r="AT560" s="89"/>
      <c r="AU560" s="89"/>
      <c r="AV560" s="89"/>
      <c r="AW560" s="87">
        <v>44985</v>
      </c>
      <c r="AX560" s="88">
        <v>1254</v>
      </c>
      <c r="AY560" s="88"/>
      <c r="AZ560" s="88"/>
      <c r="BA560" s="89">
        <v>500</v>
      </c>
      <c r="BB560" s="89"/>
      <c r="BC560" s="88"/>
      <c r="BD560" s="88"/>
      <c r="BE560" s="88"/>
      <c r="BF560" s="88"/>
      <c r="BG560" s="88"/>
      <c r="BH560" s="88"/>
      <c r="BI560" s="88"/>
      <c r="BJ560" s="88"/>
      <c r="BK560" s="88"/>
      <c r="BL560" s="88"/>
      <c r="BM560" s="88"/>
      <c r="BN560" s="88"/>
      <c r="BO560" s="88"/>
      <c r="BP560" s="88"/>
      <c r="BQ560" s="88"/>
      <c r="BR560" s="88"/>
      <c r="BS560" s="88"/>
      <c r="BT560" s="88"/>
      <c r="BU560" s="88"/>
      <c r="BV560" s="88"/>
      <c r="BW560" s="88"/>
      <c r="BX560" s="88"/>
      <c r="BY560" s="88"/>
      <c r="BZ560" s="88"/>
      <c r="CA560" s="88"/>
      <c r="CB560" s="88"/>
      <c r="CC560" s="88"/>
      <c r="CD560" s="88"/>
      <c r="CE560" s="88"/>
      <c r="CF560" s="88"/>
      <c r="CG560" s="88"/>
      <c r="CH560" s="88"/>
      <c r="CI560" s="88"/>
      <c r="CJ560" s="88"/>
      <c r="CK560" s="88"/>
      <c r="CL560" s="88"/>
      <c r="CM560" s="88"/>
      <c r="CN560" s="88"/>
      <c r="CO560" s="88"/>
      <c r="CP560" s="88"/>
      <c r="CQ560" s="88"/>
      <c r="CR560" s="88"/>
      <c r="CS560" s="89">
        <f t="shared" si="41"/>
        <v>250</v>
      </c>
      <c r="CT560" s="89">
        <f t="shared" si="42"/>
        <v>500</v>
      </c>
      <c r="CU560" s="89">
        <f t="shared" si="44"/>
        <v>-250</v>
      </c>
      <c r="CV560" s="193">
        <f t="shared" si="43"/>
        <v>0</v>
      </c>
      <c r="CW560" s="88" t="s">
        <v>3492</v>
      </c>
      <c r="CX560" s="88"/>
      <c r="CY560" s="9" t="s">
        <v>3493</v>
      </c>
    </row>
    <row r="561" spans="1:103" x14ac:dyDescent="0.2">
      <c r="A561" s="88" t="s">
        <v>256</v>
      </c>
      <c r="B561" s="185">
        <v>6</v>
      </c>
      <c r="C561" s="3" t="s">
        <v>95</v>
      </c>
      <c r="D561" s="3" t="s">
        <v>96</v>
      </c>
      <c r="E561" s="2"/>
      <c r="F561" s="2"/>
      <c r="G561" s="185" t="s">
        <v>65</v>
      </c>
      <c r="H561" s="185">
        <v>6</v>
      </c>
      <c r="I561" s="189">
        <v>104.95</v>
      </c>
      <c r="J561" s="189">
        <v>37900</v>
      </c>
      <c r="K561" s="186">
        <v>0</v>
      </c>
      <c r="L561" s="186" t="s">
        <v>3</v>
      </c>
      <c r="M561" s="88" t="s">
        <v>0</v>
      </c>
      <c r="N561" s="190" t="s">
        <v>262</v>
      </c>
      <c r="O561" s="88" t="s">
        <v>263</v>
      </c>
      <c r="P561" s="9" t="s">
        <v>0</v>
      </c>
      <c r="Q561" s="9" t="s">
        <v>16</v>
      </c>
      <c r="R561" s="9" t="s">
        <v>261</v>
      </c>
      <c r="S561" s="88" t="s">
        <v>158</v>
      </c>
      <c r="T561" s="81" t="s">
        <v>65</v>
      </c>
      <c r="U561" s="81">
        <v>7</v>
      </c>
      <c r="V561" s="81">
        <v>104.94</v>
      </c>
      <c r="W561" s="81" t="s">
        <v>710</v>
      </c>
      <c r="X561" s="87">
        <v>45013</v>
      </c>
      <c r="Y561" s="87">
        <v>45251</v>
      </c>
      <c r="Z561" s="191" t="s">
        <v>772</v>
      </c>
      <c r="AA561" s="211">
        <v>37670.400000000001</v>
      </c>
      <c r="AB561" s="88">
        <v>49</v>
      </c>
      <c r="AC561" s="88">
        <v>0</v>
      </c>
      <c r="AD561" s="87">
        <v>44987</v>
      </c>
      <c r="AE561" s="192">
        <v>4750</v>
      </c>
      <c r="AF561" s="192"/>
      <c r="AG561" s="88" t="s">
        <v>134</v>
      </c>
      <c r="AH561" s="87">
        <v>44987</v>
      </c>
      <c r="AI561" s="88">
        <v>47173111</v>
      </c>
      <c r="AJ561" s="88" t="s">
        <v>2792</v>
      </c>
      <c r="AK561" s="88" t="s">
        <v>2788</v>
      </c>
      <c r="AL561" s="89">
        <v>4750</v>
      </c>
      <c r="AM561" s="89"/>
      <c r="AN561" s="89" t="s">
        <v>2794</v>
      </c>
      <c r="AO561" s="89"/>
      <c r="AP561" s="89"/>
      <c r="AQ561" s="89"/>
      <c r="AR561" s="89"/>
      <c r="AS561" s="89"/>
      <c r="AT561" s="89"/>
      <c r="AU561" s="89"/>
      <c r="AV561" s="89"/>
      <c r="AW561" s="87">
        <v>44988</v>
      </c>
      <c r="AX561" s="88">
        <v>1284</v>
      </c>
      <c r="AY561" s="88"/>
      <c r="AZ561" s="88"/>
      <c r="BA561" s="89">
        <v>9500</v>
      </c>
      <c r="BB561" s="89"/>
      <c r="BC561" s="88"/>
      <c r="BD561" s="88"/>
      <c r="BE561" s="88"/>
      <c r="BF561" s="88"/>
      <c r="BG561" s="88"/>
      <c r="BH561" s="88"/>
      <c r="BI561" s="88"/>
      <c r="BJ561" s="88"/>
      <c r="BK561" s="88"/>
      <c r="BL561" s="88"/>
      <c r="BM561" s="88"/>
      <c r="BN561" s="88"/>
      <c r="BO561" s="88"/>
      <c r="BP561" s="88"/>
      <c r="BQ561" s="88"/>
      <c r="BR561" s="88"/>
      <c r="BS561" s="88"/>
      <c r="BT561" s="88"/>
      <c r="BU561" s="88"/>
      <c r="BV561" s="88"/>
      <c r="BW561" s="88"/>
      <c r="BX561" s="88"/>
      <c r="BY561" s="88"/>
      <c r="BZ561" s="88"/>
      <c r="CA561" s="88"/>
      <c r="CB561" s="88"/>
      <c r="CC561" s="88"/>
      <c r="CD561" s="88"/>
      <c r="CE561" s="88"/>
      <c r="CF561" s="88"/>
      <c r="CG561" s="88"/>
      <c r="CH561" s="88"/>
      <c r="CI561" s="88"/>
      <c r="CJ561" s="88"/>
      <c r="CK561" s="88"/>
      <c r="CL561" s="88"/>
      <c r="CM561" s="88"/>
      <c r="CN561" s="88"/>
      <c r="CO561" s="88"/>
      <c r="CP561" s="88"/>
      <c r="CQ561" s="88"/>
      <c r="CR561" s="88"/>
      <c r="CS561" s="89">
        <f t="shared" si="41"/>
        <v>4750</v>
      </c>
      <c r="CT561" s="89">
        <f t="shared" si="42"/>
        <v>9500</v>
      </c>
      <c r="CU561" s="89">
        <f t="shared" si="44"/>
        <v>-4750</v>
      </c>
      <c r="CV561" s="193">
        <f t="shared" si="43"/>
        <v>0</v>
      </c>
      <c r="CW561" s="88" t="s">
        <v>3492</v>
      </c>
      <c r="CX561" s="88"/>
      <c r="CY561" s="9" t="s">
        <v>3493</v>
      </c>
    </row>
    <row r="562" spans="1:103" x14ac:dyDescent="0.2">
      <c r="A562" s="88" t="s">
        <v>256</v>
      </c>
      <c r="B562" s="185">
        <v>6</v>
      </c>
      <c r="C562" s="3" t="s">
        <v>95</v>
      </c>
      <c r="D562" s="3" t="s">
        <v>96</v>
      </c>
      <c r="E562" s="2"/>
      <c r="F562" s="2"/>
      <c r="G562" s="185" t="s">
        <v>65</v>
      </c>
      <c r="H562" s="185">
        <v>6</v>
      </c>
      <c r="I562" s="189">
        <v>104.95</v>
      </c>
      <c r="J562" s="189">
        <v>37900</v>
      </c>
      <c r="K562" s="186">
        <v>0</v>
      </c>
      <c r="L562" s="186" t="s">
        <v>3</v>
      </c>
      <c r="M562" s="88" t="s">
        <v>0</v>
      </c>
      <c r="N562" s="190" t="s">
        <v>262</v>
      </c>
      <c r="O562" s="88" t="s">
        <v>263</v>
      </c>
      <c r="P562" s="9" t="s">
        <v>0</v>
      </c>
      <c r="Q562" s="9" t="s">
        <v>16</v>
      </c>
      <c r="R562" s="9" t="s">
        <v>261</v>
      </c>
      <c r="S562" s="88" t="s">
        <v>158</v>
      </c>
      <c r="T562" s="81" t="s">
        <v>65</v>
      </c>
      <c r="U562" s="81">
        <v>7</v>
      </c>
      <c r="V562" s="81">
        <v>104.94</v>
      </c>
      <c r="W562" s="81" t="s">
        <v>710</v>
      </c>
      <c r="X562" s="87">
        <v>45013</v>
      </c>
      <c r="Y562" s="87">
        <v>45251</v>
      </c>
      <c r="Z562" s="191" t="s">
        <v>772</v>
      </c>
      <c r="AA562" s="211">
        <v>37670.400000000001</v>
      </c>
      <c r="AB562" s="88">
        <v>49</v>
      </c>
      <c r="AC562" s="88">
        <v>1</v>
      </c>
      <c r="AD562" s="87">
        <v>45107</v>
      </c>
      <c r="AE562" s="192">
        <v>544.51</v>
      </c>
      <c r="AF562" s="192"/>
      <c r="AG562" s="88" t="s">
        <v>134</v>
      </c>
      <c r="AH562" s="87">
        <v>45107</v>
      </c>
      <c r="AI562" s="88">
        <v>47173111</v>
      </c>
      <c r="AJ562" s="88" t="s">
        <v>2792</v>
      </c>
      <c r="AK562" s="88" t="s">
        <v>2789</v>
      </c>
      <c r="AL562" s="89">
        <v>544.41</v>
      </c>
      <c r="AM562" s="89"/>
      <c r="AN562" s="89" t="s">
        <v>2795</v>
      </c>
      <c r="AO562" s="89"/>
      <c r="AP562" s="89"/>
      <c r="AQ562" s="89"/>
      <c r="AR562" s="89"/>
      <c r="AS562" s="89"/>
      <c r="AT562" s="89"/>
      <c r="AU562" s="89"/>
      <c r="AV562" s="89"/>
      <c r="AW562" s="87">
        <v>45107</v>
      </c>
      <c r="AX562" s="88">
        <v>1655</v>
      </c>
      <c r="AY562" s="88"/>
      <c r="AZ562" s="88"/>
      <c r="BA562" s="89">
        <v>1231.72</v>
      </c>
      <c r="BB562" s="89"/>
      <c r="BC562" s="88"/>
      <c r="BD562" s="88"/>
      <c r="BE562" s="88"/>
      <c r="BF562" s="88"/>
      <c r="BG562" s="88"/>
      <c r="BH562" s="88"/>
      <c r="BI562" s="88"/>
      <c r="BJ562" s="88"/>
      <c r="BK562" s="88"/>
      <c r="BL562" s="88"/>
      <c r="BM562" s="88"/>
      <c r="BN562" s="88"/>
      <c r="BO562" s="88"/>
      <c r="BP562" s="88"/>
      <c r="BQ562" s="88"/>
      <c r="BR562" s="88"/>
      <c r="BS562" s="88"/>
      <c r="BT562" s="88"/>
      <c r="BU562" s="88"/>
      <c r="BV562" s="88"/>
      <c r="BW562" s="88"/>
      <c r="BX562" s="88"/>
      <c r="BY562" s="88"/>
      <c r="BZ562" s="88"/>
      <c r="CA562" s="88"/>
      <c r="CB562" s="88"/>
      <c r="CC562" s="88"/>
      <c r="CD562" s="88"/>
      <c r="CE562" s="88"/>
      <c r="CF562" s="88"/>
      <c r="CG562" s="88"/>
      <c r="CH562" s="88"/>
      <c r="CI562" s="88"/>
      <c r="CJ562" s="88"/>
      <c r="CK562" s="88"/>
      <c r="CL562" s="88"/>
      <c r="CM562" s="88"/>
      <c r="CN562" s="88"/>
      <c r="CO562" s="88"/>
      <c r="CP562" s="88"/>
      <c r="CQ562" s="88"/>
      <c r="CR562" s="88"/>
      <c r="CS562" s="89">
        <f t="shared" si="41"/>
        <v>544.41</v>
      </c>
      <c r="CT562" s="89">
        <f t="shared" si="42"/>
        <v>1231.72</v>
      </c>
      <c r="CU562" s="89">
        <f t="shared" si="44"/>
        <v>-687.31000000000006</v>
      </c>
      <c r="CV562" s="193">
        <f t="shared" si="43"/>
        <v>0.10000000000002274</v>
      </c>
      <c r="CW562" s="88" t="s">
        <v>3492</v>
      </c>
      <c r="CX562" s="88"/>
      <c r="CY562" s="9" t="s">
        <v>3493</v>
      </c>
    </row>
    <row r="563" spans="1:103" s="27" customFormat="1" x14ac:dyDescent="0.2">
      <c r="A563" s="27" t="s">
        <v>256</v>
      </c>
      <c r="B563" s="67">
        <v>6</v>
      </c>
      <c r="C563" s="68" t="s">
        <v>95</v>
      </c>
      <c r="D563" s="68" t="s">
        <v>96</v>
      </c>
      <c r="E563" s="67"/>
      <c r="F563" s="67"/>
      <c r="G563" s="67" t="s">
        <v>65</v>
      </c>
      <c r="H563" s="67">
        <v>6</v>
      </c>
      <c r="I563" s="217">
        <v>104.95</v>
      </c>
      <c r="J563" s="217">
        <v>37900</v>
      </c>
      <c r="K563" s="68">
        <v>0</v>
      </c>
      <c r="L563" s="68" t="s">
        <v>3</v>
      </c>
      <c r="M563" s="27" t="s">
        <v>0</v>
      </c>
      <c r="N563" s="218" t="s">
        <v>262</v>
      </c>
      <c r="O563" s="27" t="s">
        <v>263</v>
      </c>
      <c r="P563" s="27" t="s">
        <v>0</v>
      </c>
      <c r="Q563" s="27" t="s">
        <v>16</v>
      </c>
      <c r="R563" s="27" t="s">
        <v>261</v>
      </c>
      <c r="S563" s="27" t="s">
        <v>158</v>
      </c>
      <c r="T563" s="69" t="s">
        <v>65</v>
      </c>
      <c r="U563" s="69">
        <v>7</v>
      </c>
      <c r="V563" s="69">
        <v>104.94</v>
      </c>
      <c r="W563" s="69" t="s">
        <v>710</v>
      </c>
      <c r="X563" s="70">
        <v>45013</v>
      </c>
      <c r="Y563" s="70">
        <v>45251</v>
      </c>
      <c r="Z563" s="219" t="s">
        <v>772</v>
      </c>
      <c r="AA563" s="214">
        <v>37670.400000000001</v>
      </c>
      <c r="AB563" s="27">
        <v>49</v>
      </c>
      <c r="AC563" s="27">
        <v>2</v>
      </c>
      <c r="AD563" s="70">
        <v>45137</v>
      </c>
      <c r="AE563" s="220">
        <v>544.51</v>
      </c>
      <c r="AF563" s="220"/>
      <c r="AG563" s="27" t="s">
        <v>134</v>
      </c>
      <c r="AH563" s="70">
        <v>45141</v>
      </c>
      <c r="AI563" s="27">
        <v>47173111</v>
      </c>
      <c r="AJ563" s="27" t="s">
        <v>2792</v>
      </c>
      <c r="AK563" s="27" t="s">
        <v>264</v>
      </c>
      <c r="AL563" s="28">
        <v>687.31</v>
      </c>
      <c r="AM563" s="28"/>
      <c r="AN563" s="28" t="s">
        <v>2796</v>
      </c>
      <c r="AO563" s="28" t="s">
        <v>899</v>
      </c>
      <c r="AP563" s="223">
        <v>45252</v>
      </c>
      <c r="AQ563" s="27">
        <v>47173111</v>
      </c>
      <c r="AR563" s="27" t="s">
        <v>2792</v>
      </c>
      <c r="AS563" s="27" t="s">
        <v>2799</v>
      </c>
      <c r="AT563" s="28">
        <v>-142.9</v>
      </c>
      <c r="AU563" s="28"/>
      <c r="AV563" s="28" t="s">
        <v>2800</v>
      </c>
      <c r="AW563" s="70">
        <v>45138</v>
      </c>
      <c r="AX563" s="27">
        <v>1759</v>
      </c>
      <c r="BA563" s="28">
        <v>1231.72</v>
      </c>
      <c r="BB563" s="28"/>
      <c r="CS563" s="28">
        <f t="shared" si="41"/>
        <v>544.41</v>
      </c>
      <c r="CT563" s="28">
        <f t="shared" si="42"/>
        <v>1231.72</v>
      </c>
      <c r="CU563" s="28">
        <f t="shared" si="44"/>
        <v>-687.31000000000006</v>
      </c>
      <c r="CV563" s="222">
        <f t="shared" si="43"/>
        <v>0.10000000000005116</v>
      </c>
      <c r="CW563" s="27" t="s">
        <v>3492</v>
      </c>
      <c r="CY563" s="27" t="s">
        <v>3493</v>
      </c>
    </row>
    <row r="564" spans="1:103" x14ac:dyDescent="0.2">
      <c r="A564" s="88" t="s">
        <v>256</v>
      </c>
      <c r="B564" s="185">
        <v>6</v>
      </c>
      <c r="C564" s="3" t="s">
        <v>95</v>
      </c>
      <c r="D564" s="3" t="s">
        <v>96</v>
      </c>
      <c r="E564" s="2"/>
      <c r="F564" s="2"/>
      <c r="G564" s="185" t="s">
        <v>65</v>
      </c>
      <c r="H564" s="185">
        <v>6</v>
      </c>
      <c r="I564" s="189">
        <v>104.95</v>
      </c>
      <c r="J564" s="189">
        <v>37900</v>
      </c>
      <c r="K564" s="186">
        <v>0</v>
      </c>
      <c r="L564" s="186" t="s">
        <v>3</v>
      </c>
      <c r="M564" s="88" t="s">
        <v>0</v>
      </c>
      <c r="N564" s="190" t="s">
        <v>262</v>
      </c>
      <c r="O564" s="88" t="s">
        <v>263</v>
      </c>
      <c r="P564" s="9" t="s">
        <v>0</v>
      </c>
      <c r="Q564" s="9" t="s">
        <v>16</v>
      </c>
      <c r="R564" s="9" t="s">
        <v>261</v>
      </c>
      <c r="S564" s="88" t="s">
        <v>158</v>
      </c>
      <c r="T564" s="81" t="s">
        <v>65</v>
      </c>
      <c r="U564" s="81">
        <v>7</v>
      </c>
      <c r="V564" s="81">
        <v>104.94</v>
      </c>
      <c r="W564" s="81" t="s">
        <v>710</v>
      </c>
      <c r="X564" s="87">
        <v>45013</v>
      </c>
      <c r="Y564" s="87">
        <v>45251</v>
      </c>
      <c r="Z564" s="191" t="s">
        <v>772</v>
      </c>
      <c r="AA564" s="211">
        <v>37670.400000000001</v>
      </c>
      <c r="AB564" s="88">
        <v>49</v>
      </c>
      <c r="AC564" s="88">
        <v>3</v>
      </c>
      <c r="AD564" s="87">
        <v>45168</v>
      </c>
      <c r="AE564" s="192">
        <v>544.51</v>
      </c>
      <c r="AF564" s="192"/>
      <c r="AG564" s="88" t="s">
        <v>134</v>
      </c>
      <c r="AH564" s="87">
        <v>45173</v>
      </c>
      <c r="AI564" s="88">
        <v>47173111</v>
      </c>
      <c r="AJ564" s="88" t="s">
        <v>2792</v>
      </c>
      <c r="AK564" s="88" t="s">
        <v>2790</v>
      </c>
      <c r="AL564" s="89">
        <v>544.41</v>
      </c>
      <c r="AM564" s="89"/>
      <c r="AN564" s="89" t="s">
        <v>2797</v>
      </c>
      <c r="AO564" s="89"/>
      <c r="AP564" s="89"/>
      <c r="AQ564" s="89"/>
      <c r="AR564" s="89"/>
      <c r="AS564" s="89"/>
      <c r="AT564" s="89"/>
      <c r="AU564" s="89"/>
      <c r="AV564" s="89"/>
      <c r="AW564" s="87">
        <v>45170</v>
      </c>
      <c r="AX564" s="88">
        <v>1864</v>
      </c>
      <c r="AY564" s="88"/>
      <c r="AZ564" s="88"/>
      <c r="BA564" s="89">
        <v>1231.72</v>
      </c>
      <c r="BB564" s="89"/>
      <c r="BC564" s="88"/>
      <c r="BD564" s="88"/>
      <c r="BE564" s="88"/>
      <c r="BF564" s="88"/>
      <c r="BG564" s="88"/>
      <c r="BH564" s="88"/>
      <c r="BI564" s="88"/>
      <c r="BJ564" s="88"/>
      <c r="BK564" s="88"/>
      <c r="BL564" s="88"/>
      <c r="BM564" s="88"/>
      <c r="BN564" s="88"/>
      <c r="BO564" s="88"/>
      <c r="BP564" s="88"/>
      <c r="BQ564" s="88"/>
      <c r="BR564" s="88"/>
      <c r="BS564" s="88"/>
      <c r="BT564" s="88"/>
      <c r="BU564" s="88"/>
      <c r="BV564" s="88"/>
      <c r="BW564" s="88"/>
      <c r="BX564" s="88"/>
      <c r="BY564" s="88"/>
      <c r="BZ564" s="88"/>
      <c r="CA564" s="88"/>
      <c r="CB564" s="88"/>
      <c r="CC564" s="88"/>
      <c r="CD564" s="88"/>
      <c r="CE564" s="88"/>
      <c r="CF564" s="88"/>
      <c r="CG564" s="88"/>
      <c r="CH564" s="88"/>
      <c r="CI564" s="88"/>
      <c r="CJ564" s="88"/>
      <c r="CK564" s="88"/>
      <c r="CL564" s="88"/>
      <c r="CM564" s="88"/>
      <c r="CN564" s="88"/>
      <c r="CO564" s="88"/>
      <c r="CP564" s="88"/>
      <c r="CQ564" s="88"/>
      <c r="CR564" s="88"/>
      <c r="CS564" s="89">
        <f t="shared" si="41"/>
        <v>544.41</v>
      </c>
      <c r="CT564" s="89">
        <f t="shared" si="42"/>
        <v>1231.72</v>
      </c>
      <c r="CU564" s="89">
        <f t="shared" si="44"/>
        <v>-687.31000000000006</v>
      </c>
      <c r="CV564" s="193">
        <f t="shared" si="43"/>
        <v>0.10000000000002274</v>
      </c>
      <c r="CW564" s="88" t="s">
        <v>3492</v>
      </c>
      <c r="CX564" s="88"/>
      <c r="CY564" s="9" t="s">
        <v>3493</v>
      </c>
    </row>
    <row r="565" spans="1:103" x14ac:dyDescent="0.2">
      <c r="A565" s="88" t="s">
        <v>256</v>
      </c>
      <c r="B565" s="185">
        <v>6</v>
      </c>
      <c r="C565" s="3" t="s">
        <v>95</v>
      </c>
      <c r="D565" s="3" t="s">
        <v>96</v>
      </c>
      <c r="E565" s="2"/>
      <c r="F565" s="2"/>
      <c r="G565" s="185" t="s">
        <v>65</v>
      </c>
      <c r="H565" s="185">
        <v>6</v>
      </c>
      <c r="I565" s="189">
        <v>104.95</v>
      </c>
      <c r="J565" s="189">
        <v>37900</v>
      </c>
      <c r="K565" s="186">
        <v>0</v>
      </c>
      <c r="L565" s="186" t="s">
        <v>3</v>
      </c>
      <c r="M565" s="88" t="s">
        <v>0</v>
      </c>
      <c r="N565" s="190" t="s">
        <v>262</v>
      </c>
      <c r="O565" s="88" t="s">
        <v>263</v>
      </c>
      <c r="P565" s="9" t="s">
        <v>0</v>
      </c>
      <c r="Q565" s="9" t="s">
        <v>16</v>
      </c>
      <c r="R565" s="9" t="s">
        <v>261</v>
      </c>
      <c r="S565" s="88" t="s">
        <v>158</v>
      </c>
      <c r="T565" s="81" t="s">
        <v>65</v>
      </c>
      <c r="U565" s="81">
        <v>7</v>
      </c>
      <c r="V565" s="81">
        <v>104.94</v>
      </c>
      <c r="W565" s="81" t="s">
        <v>710</v>
      </c>
      <c r="X565" s="87">
        <v>45013</v>
      </c>
      <c r="Y565" s="87">
        <v>45251</v>
      </c>
      <c r="Z565" s="191" t="s">
        <v>772</v>
      </c>
      <c r="AA565" s="211">
        <v>37670.400000000001</v>
      </c>
      <c r="AB565" s="88">
        <v>49</v>
      </c>
      <c r="AC565" s="88">
        <v>4</v>
      </c>
      <c r="AD565" s="87">
        <v>45199</v>
      </c>
      <c r="AE565" s="192">
        <v>4661.63</v>
      </c>
      <c r="AF565" s="192"/>
      <c r="AG565" s="88" t="s">
        <v>134</v>
      </c>
      <c r="AH565" s="87">
        <v>45252</v>
      </c>
      <c r="AI565" s="88">
        <v>47173111</v>
      </c>
      <c r="AJ565" s="88" t="s">
        <v>2792</v>
      </c>
      <c r="AK565" s="88" t="s">
        <v>2791</v>
      </c>
      <c r="AL565" s="89">
        <v>4661.63</v>
      </c>
      <c r="AM565" s="89"/>
      <c r="AN565" s="89" t="s">
        <v>2798</v>
      </c>
      <c r="AO565" s="89"/>
      <c r="AP565" s="89"/>
      <c r="AQ565" s="89"/>
      <c r="AR565" s="89"/>
      <c r="AS565" s="89"/>
      <c r="AT565" s="89"/>
      <c r="AU565" s="89"/>
      <c r="AV565" s="89"/>
      <c r="AW565" s="87"/>
      <c r="AX565" s="88"/>
      <c r="AY565" s="88"/>
      <c r="AZ565" s="88"/>
      <c r="BA565" s="89"/>
      <c r="BB565" s="89" t="s">
        <v>2024</v>
      </c>
      <c r="BC565" s="88"/>
      <c r="BD565" s="88"/>
      <c r="BE565" s="88"/>
      <c r="BF565" s="88"/>
      <c r="BG565" s="88"/>
      <c r="BH565" s="88"/>
      <c r="BI565" s="88"/>
      <c r="BJ565" s="88"/>
      <c r="BK565" s="88"/>
      <c r="BL565" s="88"/>
      <c r="BM565" s="88"/>
      <c r="BN565" s="88"/>
      <c r="BO565" s="88"/>
      <c r="BP565" s="88"/>
      <c r="BQ565" s="88"/>
      <c r="BR565" s="88"/>
      <c r="BS565" s="88"/>
      <c r="BT565" s="88"/>
      <c r="BU565" s="88"/>
      <c r="BV565" s="88"/>
      <c r="BW565" s="88"/>
      <c r="BX565" s="88"/>
      <c r="BY565" s="88"/>
      <c r="BZ565" s="88"/>
      <c r="CA565" s="88"/>
      <c r="CB565" s="88"/>
      <c r="CC565" s="88"/>
      <c r="CD565" s="88"/>
      <c r="CE565" s="88"/>
      <c r="CF565" s="88"/>
      <c r="CG565" s="88"/>
      <c r="CH565" s="88"/>
      <c r="CI565" s="88"/>
      <c r="CJ565" s="88"/>
      <c r="CK565" s="88"/>
      <c r="CL565" s="88"/>
      <c r="CM565" s="88"/>
      <c r="CN565" s="88"/>
      <c r="CO565" s="88"/>
      <c r="CP565" s="88"/>
      <c r="CQ565" s="88"/>
      <c r="CR565" s="88"/>
      <c r="CS565" s="89">
        <f t="shared" si="41"/>
        <v>4661.63</v>
      </c>
      <c r="CT565" s="89">
        <f t="shared" si="42"/>
        <v>0</v>
      </c>
      <c r="CU565" s="89">
        <f t="shared" si="44"/>
        <v>4661.63</v>
      </c>
      <c r="CV565" s="193">
        <f t="shared" si="43"/>
        <v>0</v>
      </c>
      <c r="CW565" s="88" t="s">
        <v>3492</v>
      </c>
      <c r="CX565" s="88"/>
      <c r="CY565" s="9" t="s">
        <v>3493</v>
      </c>
    </row>
    <row r="566" spans="1:103" ht="12.75" x14ac:dyDescent="0.2">
      <c r="A566" s="9" t="s">
        <v>256</v>
      </c>
      <c r="B566" s="2">
        <v>6</v>
      </c>
      <c r="C566" s="3" t="s">
        <v>95</v>
      </c>
      <c r="D566" s="3" t="s">
        <v>96</v>
      </c>
      <c r="E566" s="2"/>
      <c r="F566" s="2"/>
      <c r="G566" s="2" t="s">
        <v>65</v>
      </c>
      <c r="H566" s="2">
        <v>6</v>
      </c>
      <c r="I566" s="8">
        <v>104.95</v>
      </c>
      <c r="J566" s="8">
        <v>37900</v>
      </c>
      <c r="K566" s="3">
        <v>0</v>
      </c>
      <c r="L566" s="3" t="s">
        <v>3</v>
      </c>
      <c r="M566" s="9" t="s">
        <v>0</v>
      </c>
      <c r="N566" s="30" t="s">
        <v>262</v>
      </c>
      <c r="O566" s="9" t="s">
        <v>263</v>
      </c>
      <c r="P566" s="9" t="s">
        <v>0</v>
      </c>
      <c r="Q566" s="9" t="s">
        <v>16</v>
      </c>
      <c r="R566" s="9" t="s">
        <v>261</v>
      </c>
      <c r="S566" s="9" t="s">
        <v>158</v>
      </c>
      <c r="T566" s="10" t="s">
        <v>65</v>
      </c>
      <c r="U566" s="10">
        <v>7</v>
      </c>
      <c r="V566" s="10">
        <v>104.94</v>
      </c>
      <c r="W566" s="10" t="s">
        <v>710</v>
      </c>
      <c r="X566" s="17">
        <v>45013</v>
      </c>
      <c r="Y566" s="17">
        <v>45251</v>
      </c>
      <c r="Z566" s="19" t="s">
        <v>772</v>
      </c>
      <c r="AA566" s="210">
        <v>37670.400000000001</v>
      </c>
      <c r="AB566" s="9">
        <v>49</v>
      </c>
      <c r="AC566" s="9">
        <v>1</v>
      </c>
      <c r="AD566" s="17">
        <v>45442</v>
      </c>
      <c r="AE566" s="55">
        <v>540</v>
      </c>
      <c r="AF566" s="55"/>
      <c r="AG566" s="9" t="s">
        <v>134</v>
      </c>
      <c r="AH566" s="17">
        <v>45444</v>
      </c>
      <c r="AI566" s="9">
        <v>47173111</v>
      </c>
      <c r="AJ566" s="9" t="s">
        <v>2792</v>
      </c>
      <c r="AK566" s="9" t="s">
        <v>2801</v>
      </c>
      <c r="AL566" s="11">
        <v>540</v>
      </c>
      <c r="AN566" s="11" t="s">
        <v>2809</v>
      </c>
      <c r="AP566" s="11"/>
      <c r="AQ566" s="11"/>
      <c r="AR566" s="11"/>
      <c r="AW566" s="94">
        <v>45442</v>
      </c>
      <c r="AX566" s="96">
        <v>2708</v>
      </c>
      <c r="BA566" s="107">
        <v>500</v>
      </c>
      <c r="BC566" s="17">
        <v>45443</v>
      </c>
      <c r="BD566" s="9">
        <v>2721</v>
      </c>
      <c r="BG566" s="9">
        <v>40</v>
      </c>
      <c r="CS566" s="11">
        <f t="shared" si="41"/>
        <v>540</v>
      </c>
      <c r="CT566" s="22">
        <f t="shared" si="42"/>
        <v>540</v>
      </c>
      <c r="CU566" s="22">
        <f t="shared" si="44"/>
        <v>0</v>
      </c>
      <c r="CV566" s="26">
        <f t="shared" si="43"/>
        <v>0</v>
      </c>
    </row>
    <row r="567" spans="1:103" ht="12.75" x14ac:dyDescent="0.2">
      <c r="A567" s="9" t="s">
        <v>256</v>
      </c>
      <c r="B567" s="2">
        <v>6</v>
      </c>
      <c r="C567" s="3" t="s">
        <v>95</v>
      </c>
      <c r="D567" s="3" t="s">
        <v>96</v>
      </c>
      <c r="E567" s="2"/>
      <c r="F567" s="2"/>
      <c r="G567" s="2" t="s">
        <v>65</v>
      </c>
      <c r="H567" s="2">
        <v>6</v>
      </c>
      <c r="I567" s="8">
        <v>104.95</v>
      </c>
      <c r="J567" s="8">
        <v>37900</v>
      </c>
      <c r="K567" s="3">
        <v>0</v>
      </c>
      <c r="L567" s="3" t="s">
        <v>3</v>
      </c>
      <c r="M567" s="9" t="s">
        <v>0</v>
      </c>
      <c r="N567" s="30" t="s">
        <v>262</v>
      </c>
      <c r="O567" s="9" t="s">
        <v>263</v>
      </c>
      <c r="P567" s="9" t="s">
        <v>0</v>
      </c>
      <c r="Q567" s="9" t="s">
        <v>16</v>
      </c>
      <c r="R567" s="9" t="s">
        <v>261</v>
      </c>
      <c r="S567" s="9" t="s">
        <v>158</v>
      </c>
      <c r="T567" s="10" t="s">
        <v>65</v>
      </c>
      <c r="U567" s="10">
        <v>7</v>
      </c>
      <c r="V567" s="10">
        <v>104.94</v>
      </c>
      <c r="W567" s="10" t="s">
        <v>710</v>
      </c>
      <c r="X567" s="17">
        <v>45013</v>
      </c>
      <c r="Y567" s="17">
        <v>45251</v>
      </c>
      <c r="Z567" s="19" t="s">
        <v>772</v>
      </c>
      <c r="AA567" s="210">
        <v>37670.400000000001</v>
      </c>
      <c r="AB567" s="9">
        <v>49</v>
      </c>
      <c r="AC567" s="9">
        <v>2</v>
      </c>
      <c r="AD567" s="17">
        <v>45473</v>
      </c>
      <c r="AE567" s="55">
        <v>540</v>
      </c>
      <c r="AF567" s="55"/>
      <c r="AG567" s="9" t="s">
        <v>134</v>
      </c>
      <c r="AH567" s="17">
        <v>45475</v>
      </c>
      <c r="AI567" s="9">
        <v>47173111</v>
      </c>
      <c r="AJ567" s="9" t="s">
        <v>2792</v>
      </c>
      <c r="AK567" s="9" t="s">
        <v>2802</v>
      </c>
      <c r="AL567" s="11">
        <v>540</v>
      </c>
      <c r="AN567" s="11" t="s">
        <v>2810</v>
      </c>
      <c r="AP567" s="11"/>
      <c r="AQ567" s="11"/>
      <c r="AR567" s="11"/>
      <c r="AW567" s="94">
        <v>45475</v>
      </c>
      <c r="AX567" s="96">
        <v>2836</v>
      </c>
      <c r="BA567" s="11">
        <v>540</v>
      </c>
      <c r="BD567" s="9"/>
      <c r="CS567" s="11">
        <f t="shared" si="41"/>
        <v>540</v>
      </c>
      <c r="CT567" s="22">
        <f t="shared" si="42"/>
        <v>540</v>
      </c>
      <c r="CU567" s="22">
        <f t="shared" si="44"/>
        <v>0</v>
      </c>
      <c r="CV567" s="26">
        <f t="shared" si="43"/>
        <v>0</v>
      </c>
    </row>
    <row r="568" spans="1:103" ht="12.75" x14ac:dyDescent="0.2">
      <c r="A568" s="9" t="s">
        <v>256</v>
      </c>
      <c r="B568" s="2">
        <v>6</v>
      </c>
      <c r="C568" s="3" t="s">
        <v>95</v>
      </c>
      <c r="D568" s="3" t="s">
        <v>96</v>
      </c>
      <c r="E568" s="2"/>
      <c r="F568" s="2"/>
      <c r="G568" s="2" t="s">
        <v>65</v>
      </c>
      <c r="H568" s="2">
        <v>6</v>
      </c>
      <c r="I568" s="8">
        <v>104.95</v>
      </c>
      <c r="J568" s="8">
        <v>37900</v>
      </c>
      <c r="K568" s="3">
        <v>0</v>
      </c>
      <c r="L568" s="3" t="s">
        <v>3</v>
      </c>
      <c r="M568" s="9" t="s">
        <v>0</v>
      </c>
      <c r="N568" s="30" t="s">
        <v>262</v>
      </c>
      <c r="O568" s="9" t="s">
        <v>263</v>
      </c>
      <c r="P568" s="9" t="s">
        <v>0</v>
      </c>
      <c r="Q568" s="9" t="s">
        <v>16</v>
      </c>
      <c r="R568" s="9" t="s">
        <v>261</v>
      </c>
      <c r="S568" s="9" t="s">
        <v>158</v>
      </c>
      <c r="T568" s="10" t="s">
        <v>65</v>
      </c>
      <c r="U568" s="10">
        <v>7</v>
      </c>
      <c r="V568" s="10">
        <v>104.94</v>
      </c>
      <c r="W568" s="10" t="s">
        <v>710</v>
      </c>
      <c r="X568" s="17">
        <v>45013</v>
      </c>
      <c r="Y568" s="17">
        <v>45251</v>
      </c>
      <c r="Z568" s="19" t="s">
        <v>772</v>
      </c>
      <c r="AA568" s="210">
        <v>37670.400000000001</v>
      </c>
      <c r="AB568" s="9">
        <v>49</v>
      </c>
      <c r="AC568" s="9">
        <v>3</v>
      </c>
      <c r="AD568" s="17">
        <v>45503</v>
      </c>
      <c r="AE568" s="55">
        <v>540</v>
      </c>
      <c r="AF568" s="55"/>
      <c r="AG568" s="9" t="s">
        <v>134</v>
      </c>
      <c r="AH568" s="17">
        <v>45504</v>
      </c>
      <c r="AI568" s="9">
        <v>47173111</v>
      </c>
      <c r="AJ568" s="9" t="s">
        <v>2792</v>
      </c>
      <c r="AK568" s="9" t="s">
        <v>2803</v>
      </c>
      <c r="AL568" s="22">
        <v>540</v>
      </c>
      <c r="AM568" s="22"/>
      <c r="AN568" s="22" t="s">
        <v>2811</v>
      </c>
      <c r="AP568" s="11"/>
      <c r="AQ568" s="11"/>
      <c r="AR568" s="11"/>
      <c r="AW568" s="94">
        <v>45504</v>
      </c>
      <c r="AX568" s="96">
        <v>2954</v>
      </c>
      <c r="BA568" s="11">
        <v>540</v>
      </c>
      <c r="BD568" s="9"/>
      <c r="CS568" s="11">
        <f t="shared" si="41"/>
        <v>540</v>
      </c>
      <c r="CT568" s="22">
        <f t="shared" si="42"/>
        <v>540</v>
      </c>
      <c r="CU568" s="22">
        <f t="shared" si="44"/>
        <v>0</v>
      </c>
      <c r="CV568" s="26">
        <f t="shared" si="43"/>
        <v>0</v>
      </c>
    </row>
    <row r="569" spans="1:103" ht="12.75" x14ac:dyDescent="0.2">
      <c r="A569" s="9" t="s">
        <v>256</v>
      </c>
      <c r="B569" s="2">
        <v>6</v>
      </c>
      <c r="C569" s="3" t="s">
        <v>95</v>
      </c>
      <c r="D569" s="3" t="s">
        <v>96</v>
      </c>
      <c r="E569" s="2"/>
      <c r="F569" s="2"/>
      <c r="G569" s="2" t="s">
        <v>65</v>
      </c>
      <c r="H569" s="2">
        <v>6</v>
      </c>
      <c r="I569" s="8">
        <v>104.95</v>
      </c>
      <c r="J569" s="8">
        <v>37900</v>
      </c>
      <c r="K569" s="3">
        <v>0</v>
      </c>
      <c r="L569" s="3" t="s">
        <v>3</v>
      </c>
      <c r="M569" s="9" t="s">
        <v>0</v>
      </c>
      <c r="N569" s="30" t="s">
        <v>262</v>
      </c>
      <c r="O569" s="9" t="s">
        <v>263</v>
      </c>
      <c r="P569" s="9" t="s">
        <v>0</v>
      </c>
      <c r="Q569" s="9" t="s">
        <v>16</v>
      </c>
      <c r="R569" s="9" t="s">
        <v>261</v>
      </c>
      <c r="S569" s="9" t="s">
        <v>158</v>
      </c>
      <c r="T569" s="10" t="s">
        <v>65</v>
      </c>
      <c r="U569" s="10">
        <v>7</v>
      </c>
      <c r="V569" s="10">
        <v>104.94</v>
      </c>
      <c r="W569" s="10" t="s">
        <v>710</v>
      </c>
      <c r="X569" s="17">
        <v>45013</v>
      </c>
      <c r="Y569" s="17">
        <v>45251</v>
      </c>
      <c r="Z569" s="19" t="s">
        <v>772</v>
      </c>
      <c r="AA569" s="210">
        <v>37670.400000000001</v>
      </c>
      <c r="AB569" s="9">
        <v>49</v>
      </c>
      <c r="AC569" s="9">
        <v>4</v>
      </c>
      <c r="AD569" s="17">
        <v>45534</v>
      </c>
      <c r="AE569" s="55">
        <v>540</v>
      </c>
      <c r="AF569" s="55"/>
      <c r="AG569" s="9" t="s">
        <v>134</v>
      </c>
      <c r="AH569" s="17">
        <v>45535</v>
      </c>
      <c r="AI569" s="9">
        <v>47173111</v>
      </c>
      <c r="AJ569" s="9" t="s">
        <v>2792</v>
      </c>
      <c r="AK569" s="9" t="s">
        <v>2804</v>
      </c>
      <c r="AL569" s="22">
        <v>540</v>
      </c>
      <c r="AM569" s="22"/>
      <c r="AN569" s="22" t="s">
        <v>2812</v>
      </c>
      <c r="AP569" s="11"/>
      <c r="AQ569" s="11"/>
      <c r="AR569" s="11"/>
      <c r="AW569" s="94">
        <v>45536</v>
      </c>
      <c r="AX569" s="96">
        <v>3093</v>
      </c>
      <c r="BA569" s="11">
        <v>540</v>
      </c>
      <c r="BD569" s="9"/>
      <c r="CS569" s="11">
        <f t="shared" ref="CS569:CS632" si="45">+AL569+AT569</f>
        <v>540</v>
      </c>
      <c r="CT569" s="22">
        <f t="shared" ref="CT569:CT632" si="46">+BA569+BG569+BM569+BS569+BY569+CE569+CK569+CQ569</f>
        <v>540</v>
      </c>
      <c r="CU569" s="22">
        <f t="shared" si="44"/>
        <v>0</v>
      </c>
      <c r="CV569" s="26">
        <f t="shared" ref="CV569:CV632" si="47">+AE569-AL569-AT569</f>
        <v>0</v>
      </c>
    </row>
    <row r="570" spans="1:103" ht="12.75" x14ac:dyDescent="0.2">
      <c r="A570" s="9" t="s">
        <v>256</v>
      </c>
      <c r="B570" s="2">
        <v>6</v>
      </c>
      <c r="C570" s="3" t="s">
        <v>95</v>
      </c>
      <c r="D570" s="3" t="s">
        <v>96</v>
      </c>
      <c r="E570" s="2"/>
      <c r="F570" s="2"/>
      <c r="G570" s="2" t="s">
        <v>65</v>
      </c>
      <c r="H570" s="2">
        <v>6</v>
      </c>
      <c r="I570" s="8">
        <v>104.95</v>
      </c>
      <c r="J570" s="8">
        <v>37900</v>
      </c>
      <c r="K570" s="3">
        <v>0</v>
      </c>
      <c r="L570" s="3" t="s">
        <v>3</v>
      </c>
      <c r="M570" s="9" t="s">
        <v>0</v>
      </c>
      <c r="N570" s="30" t="s">
        <v>262</v>
      </c>
      <c r="O570" s="9" t="s">
        <v>263</v>
      </c>
      <c r="P570" s="9" t="s">
        <v>0</v>
      </c>
      <c r="Q570" s="9" t="s">
        <v>16</v>
      </c>
      <c r="R570" s="9" t="s">
        <v>261</v>
      </c>
      <c r="S570" s="9" t="s">
        <v>158</v>
      </c>
      <c r="T570" s="10" t="s">
        <v>65</v>
      </c>
      <c r="U570" s="10">
        <v>7</v>
      </c>
      <c r="V570" s="10">
        <v>104.94</v>
      </c>
      <c r="W570" s="10" t="s">
        <v>710</v>
      </c>
      <c r="X570" s="17">
        <v>45013</v>
      </c>
      <c r="Y570" s="17">
        <v>45251</v>
      </c>
      <c r="Z570" s="19" t="s">
        <v>772</v>
      </c>
      <c r="AA570" s="210">
        <v>37670.400000000001</v>
      </c>
      <c r="AB570" s="9">
        <v>49</v>
      </c>
      <c r="AC570" s="9">
        <v>5</v>
      </c>
      <c r="AD570" s="17">
        <v>45565</v>
      </c>
      <c r="AE570" s="55">
        <v>540</v>
      </c>
      <c r="AF570" s="55"/>
      <c r="AG570" s="9" t="s">
        <v>134</v>
      </c>
      <c r="AH570" s="17">
        <v>45558</v>
      </c>
      <c r="AI570" s="9">
        <v>47173111</v>
      </c>
      <c r="AJ570" s="9" t="s">
        <v>2792</v>
      </c>
      <c r="AK570" s="9" t="s">
        <v>2805</v>
      </c>
      <c r="AL570" s="22">
        <v>540</v>
      </c>
      <c r="AM570" s="22"/>
      <c r="AN570" s="22" t="s">
        <v>2813</v>
      </c>
      <c r="AP570" s="11"/>
      <c r="AQ570" s="11"/>
      <c r="AR570" s="11"/>
      <c r="AW570" s="94">
        <v>45558</v>
      </c>
      <c r="AX570" s="96">
        <v>3192</v>
      </c>
      <c r="BA570" s="11">
        <v>540</v>
      </c>
      <c r="BD570" s="9"/>
      <c r="CS570" s="11">
        <f t="shared" si="45"/>
        <v>540</v>
      </c>
      <c r="CT570" s="22">
        <f t="shared" si="46"/>
        <v>540</v>
      </c>
      <c r="CU570" s="22">
        <f t="shared" si="44"/>
        <v>0</v>
      </c>
      <c r="CV570" s="26">
        <f t="shared" si="47"/>
        <v>0</v>
      </c>
    </row>
    <row r="571" spans="1:103" ht="12.75" x14ac:dyDescent="0.2">
      <c r="A571" s="9" t="s">
        <v>256</v>
      </c>
      <c r="B571" s="2">
        <v>6</v>
      </c>
      <c r="C571" s="3" t="s">
        <v>95</v>
      </c>
      <c r="D571" s="3" t="s">
        <v>96</v>
      </c>
      <c r="E571" s="2"/>
      <c r="F571" s="2"/>
      <c r="G571" s="2" t="s">
        <v>65</v>
      </c>
      <c r="H571" s="2">
        <v>6</v>
      </c>
      <c r="I571" s="8">
        <v>104.95</v>
      </c>
      <c r="J571" s="8">
        <v>37900</v>
      </c>
      <c r="K571" s="3">
        <v>0</v>
      </c>
      <c r="L571" s="3" t="s">
        <v>3</v>
      </c>
      <c r="M571" s="9" t="s">
        <v>0</v>
      </c>
      <c r="N571" s="30" t="s">
        <v>262</v>
      </c>
      <c r="O571" s="9" t="s">
        <v>263</v>
      </c>
      <c r="P571" s="9" t="s">
        <v>0</v>
      </c>
      <c r="Q571" s="9" t="s">
        <v>16</v>
      </c>
      <c r="R571" s="9" t="s">
        <v>261</v>
      </c>
      <c r="S571" s="9" t="s">
        <v>158</v>
      </c>
      <c r="T571" s="10" t="s">
        <v>65</v>
      </c>
      <c r="U571" s="10">
        <v>7</v>
      </c>
      <c r="V571" s="10">
        <v>104.94</v>
      </c>
      <c r="W571" s="10" t="s">
        <v>710</v>
      </c>
      <c r="X571" s="17">
        <v>45013</v>
      </c>
      <c r="Y571" s="17">
        <v>45251</v>
      </c>
      <c r="Z571" s="19" t="s">
        <v>772</v>
      </c>
      <c r="AA571" s="210">
        <v>37670.400000000001</v>
      </c>
      <c r="AB571" s="9">
        <v>49</v>
      </c>
      <c r="AC571" s="9">
        <v>6</v>
      </c>
      <c r="AD571" s="17">
        <v>45595</v>
      </c>
      <c r="AE571" s="55">
        <v>540</v>
      </c>
      <c r="AF571" s="55"/>
      <c r="AG571" s="9" t="s">
        <v>134</v>
      </c>
      <c r="AH571" s="17">
        <v>45596</v>
      </c>
      <c r="AI571" s="9">
        <v>47173111</v>
      </c>
      <c r="AJ571" s="9" t="s">
        <v>2792</v>
      </c>
      <c r="AK571" s="9" t="s">
        <v>2806</v>
      </c>
      <c r="AL571" s="22">
        <v>540</v>
      </c>
      <c r="AM571" s="22"/>
      <c r="AN571" s="22" t="s">
        <v>2814</v>
      </c>
      <c r="AP571" s="11"/>
      <c r="AQ571" s="11"/>
      <c r="AR571" s="11"/>
      <c r="AW571" s="94">
        <v>45596</v>
      </c>
      <c r="AX571" s="96">
        <v>3344</v>
      </c>
      <c r="BA571" s="11">
        <v>540</v>
      </c>
      <c r="BD571" s="9"/>
      <c r="CS571" s="11">
        <f t="shared" si="45"/>
        <v>540</v>
      </c>
      <c r="CT571" s="22">
        <f t="shared" si="46"/>
        <v>540</v>
      </c>
      <c r="CU571" s="22">
        <f t="shared" si="44"/>
        <v>0</v>
      </c>
      <c r="CV571" s="26">
        <f t="shared" si="47"/>
        <v>0</v>
      </c>
    </row>
    <row r="572" spans="1:103" ht="12.75" x14ac:dyDescent="0.2">
      <c r="A572" s="9" t="s">
        <v>256</v>
      </c>
      <c r="B572" s="2">
        <v>6</v>
      </c>
      <c r="C572" s="3" t="s">
        <v>95</v>
      </c>
      <c r="D572" s="3" t="s">
        <v>96</v>
      </c>
      <c r="E572" s="2"/>
      <c r="F572" s="2"/>
      <c r="G572" s="2" t="s">
        <v>65</v>
      </c>
      <c r="H572" s="2">
        <v>6</v>
      </c>
      <c r="I572" s="8">
        <v>104.95</v>
      </c>
      <c r="J572" s="8">
        <v>37900</v>
      </c>
      <c r="K572" s="3">
        <v>0</v>
      </c>
      <c r="L572" s="3" t="s">
        <v>3</v>
      </c>
      <c r="M572" s="9" t="s">
        <v>0</v>
      </c>
      <c r="N572" s="30" t="s">
        <v>262</v>
      </c>
      <c r="O572" s="9" t="s">
        <v>263</v>
      </c>
      <c r="P572" s="9" t="s">
        <v>0</v>
      </c>
      <c r="Q572" s="9" t="s">
        <v>16</v>
      </c>
      <c r="R572" s="9" t="s">
        <v>261</v>
      </c>
      <c r="S572" s="9" t="s">
        <v>158</v>
      </c>
      <c r="T572" s="10" t="s">
        <v>65</v>
      </c>
      <c r="U572" s="10">
        <v>7</v>
      </c>
      <c r="V572" s="10">
        <v>104.94</v>
      </c>
      <c r="W572" s="10" t="s">
        <v>710</v>
      </c>
      <c r="X572" s="17">
        <v>45013</v>
      </c>
      <c r="Y572" s="17">
        <v>45251</v>
      </c>
      <c r="Z572" s="19" t="s">
        <v>772</v>
      </c>
      <c r="AA572" s="210">
        <v>37670.400000000001</v>
      </c>
      <c r="AB572" s="9">
        <v>49</v>
      </c>
      <c r="AC572" s="9">
        <v>7</v>
      </c>
      <c r="AD572" s="17">
        <v>45626</v>
      </c>
      <c r="AE572" s="55">
        <v>540</v>
      </c>
      <c r="AF572" s="55"/>
      <c r="AG572" s="9" t="s">
        <v>134</v>
      </c>
      <c r="AH572" s="17">
        <v>45628</v>
      </c>
      <c r="AI572" s="9">
        <v>47173111</v>
      </c>
      <c r="AJ572" s="9" t="s">
        <v>2792</v>
      </c>
      <c r="AK572" s="9" t="s">
        <v>2807</v>
      </c>
      <c r="AL572" s="22">
        <v>540</v>
      </c>
      <c r="AM572" s="22"/>
      <c r="AN572" s="22" t="s">
        <v>2815</v>
      </c>
      <c r="AP572" s="11"/>
      <c r="AQ572" s="11"/>
      <c r="AR572" s="11"/>
      <c r="AW572" s="94">
        <v>45626</v>
      </c>
      <c r="AX572" s="96">
        <v>3461</v>
      </c>
      <c r="BA572" s="11">
        <v>540</v>
      </c>
      <c r="BD572" s="9"/>
      <c r="CS572" s="11">
        <f t="shared" si="45"/>
        <v>540</v>
      </c>
      <c r="CT572" s="22">
        <f t="shared" si="46"/>
        <v>540</v>
      </c>
      <c r="CU572" s="22">
        <f t="shared" si="44"/>
        <v>0</v>
      </c>
      <c r="CV572" s="26">
        <f t="shared" si="47"/>
        <v>0</v>
      </c>
    </row>
    <row r="573" spans="1:103" ht="12.75" x14ac:dyDescent="0.2">
      <c r="A573" s="9" t="s">
        <v>256</v>
      </c>
      <c r="B573" s="2">
        <v>6</v>
      </c>
      <c r="C573" s="3" t="s">
        <v>95</v>
      </c>
      <c r="D573" s="3" t="s">
        <v>96</v>
      </c>
      <c r="E573" s="2"/>
      <c r="F573" s="2"/>
      <c r="G573" s="2" t="s">
        <v>65</v>
      </c>
      <c r="H573" s="2">
        <v>6</v>
      </c>
      <c r="I573" s="8">
        <v>104.95</v>
      </c>
      <c r="J573" s="8">
        <v>37900</v>
      </c>
      <c r="K573" s="3">
        <v>0</v>
      </c>
      <c r="L573" s="3" t="s">
        <v>3</v>
      </c>
      <c r="M573" s="9" t="s">
        <v>0</v>
      </c>
      <c r="N573" s="30" t="s">
        <v>262</v>
      </c>
      <c r="O573" s="9" t="s">
        <v>263</v>
      </c>
      <c r="P573" s="9" t="s">
        <v>0</v>
      </c>
      <c r="Q573" s="9" t="s">
        <v>16</v>
      </c>
      <c r="R573" s="9" t="s">
        <v>261</v>
      </c>
      <c r="S573" s="9" t="s">
        <v>158</v>
      </c>
      <c r="T573" s="10" t="s">
        <v>65</v>
      </c>
      <c r="U573" s="10">
        <v>7</v>
      </c>
      <c r="V573" s="10">
        <v>104.94</v>
      </c>
      <c r="W573" s="10" t="s">
        <v>710</v>
      </c>
      <c r="X573" s="17">
        <v>45013</v>
      </c>
      <c r="Y573" s="17">
        <v>45251</v>
      </c>
      <c r="Z573" s="19" t="s">
        <v>772</v>
      </c>
      <c r="AA573" s="210">
        <v>37670.400000000001</v>
      </c>
      <c r="AB573" s="9">
        <v>49</v>
      </c>
      <c r="AC573" s="9">
        <v>8</v>
      </c>
      <c r="AD573" s="17">
        <v>45656</v>
      </c>
      <c r="AE573" s="55">
        <v>540</v>
      </c>
      <c r="AF573" s="55"/>
      <c r="AG573" s="9" t="s">
        <v>134</v>
      </c>
      <c r="AH573" s="17">
        <v>45656</v>
      </c>
      <c r="AI573" s="9">
        <v>47173111</v>
      </c>
      <c r="AJ573" s="9" t="s">
        <v>2792</v>
      </c>
      <c r="AK573" s="9" t="s">
        <v>2808</v>
      </c>
      <c r="AL573" s="22">
        <v>540</v>
      </c>
      <c r="AM573" s="22"/>
      <c r="AN573" s="22" t="s">
        <v>2816</v>
      </c>
      <c r="AP573" s="11"/>
      <c r="AQ573" s="11"/>
      <c r="AR573" s="11"/>
      <c r="AW573" s="94">
        <v>45656</v>
      </c>
      <c r="AX573" s="96">
        <v>3548</v>
      </c>
      <c r="BA573" s="11">
        <v>540</v>
      </c>
      <c r="BD573" s="9"/>
      <c r="CS573" s="11">
        <f t="shared" si="45"/>
        <v>540</v>
      </c>
      <c r="CT573" s="22">
        <f t="shared" si="46"/>
        <v>540</v>
      </c>
      <c r="CU573" s="22">
        <f t="shared" si="44"/>
        <v>0</v>
      </c>
      <c r="CV573" s="26">
        <f t="shared" si="47"/>
        <v>0</v>
      </c>
    </row>
    <row r="574" spans="1:103" ht="12.75" x14ac:dyDescent="0.2">
      <c r="A574" s="9" t="s">
        <v>256</v>
      </c>
      <c r="B574" s="2">
        <v>6</v>
      </c>
      <c r="C574" s="3" t="s">
        <v>95</v>
      </c>
      <c r="D574" s="3" t="s">
        <v>96</v>
      </c>
      <c r="E574" s="2"/>
      <c r="F574" s="2"/>
      <c r="G574" s="2" t="s">
        <v>65</v>
      </c>
      <c r="H574" s="2">
        <v>6</v>
      </c>
      <c r="I574" s="8">
        <v>104.95</v>
      </c>
      <c r="J574" s="8">
        <v>37900</v>
      </c>
      <c r="K574" s="3">
        <v>0</v>
      </c>
      <c r="L574" s="3" t="s">
        <v>3</v>
      </c>
      <c r="M574" s="9" t="s">
        <v>0</v>
      </c>
      <c r="N574" s="30" t="s">
        <v>262</v>
      </c>
      <c r="O574" s="9" t="s">
        <v>263</v>
      </c>
      <c r="P574" s="9" t="s">
        <v>0</v>
      </c>
      <c r="Q574" s="9" t="s">
        <v>16</v>
      </c>
      <c r="R574" s="9" t="s">
        <v>261</v>
      </c>
      <c r="S574" s="9" t="s">
        <v>158</v>
      </c>
      <c r="T574" s="10" t="s">
        <v>65</v>
      </c>
      <c r="U574" s="10">
        <v>7</v>
      </c>
      <c r="V574" s="10">
        <v>104.94</v>
      </c>
      <c r="W574" s="10" t="s">
        <v>710</v>
      </c>
      <c r="X574" s="17">
        <v>45013</v>
      </c>
      <c r="Y574" s="17">
        <v>45251</v>
      </c>
      <c r="Z574" s="19" t="s">
        <v>772</v>
      </c>
      <c r="AA574" s="210">
        <v>37670.400000000001</v>
      </c>
      <c r="AB574" s="9">
        <v>49</v>
      </c>
      <c r="AC574" s="9">
        <v>9</v>
      </c>
      <c r="AD574" s="17">
        <v>45687</v>
      </c>
      <c r="AE574" s="55">
        <v>540</v>
      </c>
      <c r="AF574" s="55"/>
      <c r="AG574" s="9" t="s">
        <v>134</v>
      </c>
      <c r="AH574" s="17">
        <v>45687</v>
      </c>
      <c r="AI574" s="9">
        <v>47173111</v>
      </c>
      <c r="AJ574" s="9" t="s">
        <v>2792</v>
      </c>
      <c r="AK574" s="9" t="s">
        <v>2817</v>
      </c>
      <c r="AL574" s="22">
        <v>540</v>
      </c>
      <c r="AM574" s="22"/>
      <c r="AN574" s="22" t="s">
        <v>2826</v>
      </c>
      <c r="AP574" s="11"/>
      <c r="AQ574" s="11"/>
      <c r="AR574" s="11"/>
      <c r="AW574" s="94">
        <v>45687</v>
      </c>
      <c r="AX574" s="96">
        <v>3672</v>
      </c>
      <c r="BA574" s="11">
        <v>540</v>
      </c>
      <c r="BD574" s="9"/>
      <c r="CS574" s="11">
        <f t="shared" si="45"/>
        <v>540</v>
      </c>
      <c r="CT574" s="22">
        <f t="shared" si="46"/>
        <v>540</v>
      </c>
      <c r="CU574" s="22">
        <f t="shared" si="44"/>
        <v>0</v>
      </c>
      <c r="CV574" s="26">
        <f t="shared" si="47"/>
        <v>0</v>
      </c>
    </row>
    <row r="575" spans="1:103" ht="12.75" x14ac:dyDescent="0.2">
      <c r="A575" s="9" t="s">
        <v>256</v>
      </c>
      <c r="B575" s="2">
        <v>6</v>
      </c>
      <c r="C575" s="3" t="s">
        <v>95</v>
      </c>
      <c r="D575" s="3" t="s">
        <v>96</v>
      </c>
      <c r="E575" s="2"/>
      <c r="F575" s="2"/>
      <c r="G575" s="2" t="s">
        <v>65</v>
      </c>
      <c r="H575" s="2">
        <v>6</v>
      </c>
      <c r="I575" s="8">
        <v>104.95</v>
      </c>
      <c r="J575" s="8">
        <v>37900</v>
      </c>
      <c r="K575" s="3">
        <v>0</v>
      </c>
      <c r="L575" s="3" t="s">
        <v>3</v>
      </c>
      <c r="M575" s="9" t="s">
        <v>0</v>
      </c>
      <c r="N575" s="30" t="s">
        <v>262</v>
      </c>
      <c r="O575" s="9" t="s">
        <v>263</v>
      </c>
      <c r="P575" s="9" t="s">
        <v>0</v>
      </c>
      <c r="Q575" s="9" t="s">
        <v>16</v>
      </c>
      <c r="R575" s="9" t="s">
        <v>261</v>
      </c>
      <c r="S575" s="9" t="s">
        <v>158</v>
      </c>
      <c r="T575" s="10" t="s">
        <v>65</v>
      </c>
      <c r="U575" s="10">
        <v>7</v>
      </c>
      <c r="V575" s="10">
        <v>104.94</v>
      </c>
      <c r="W575" s="10" t="s">
        <v>710</v>
      </c>
      <c r="X575" s="17">
        <v>45013</v>
      </c>
      <c r="Y575" s="17">
        <v>45251</v>
      </c>
      <c r="Z575" s="19" t="s">
        <v>772</v>
      </c>
      <c r="AA575" s="210">
        <v>37670.400000000001</v>
      </c>
      <c r="AB575" s="9">
        <v>49</v>
      </c>
      <c r="AC575" s="9">
        <v>10</v>
      </c>
      <c r="AD575" s="17">
        <v>45716</v>
      </c>
      <c r="AE575" s="55">
        <v>540</v>
      </c>
      <c r="AF575" s="55"/>
      <c r="AG575" s="9" t="s">
        <v>134</v>
      </c>
      <c r="AH575" s="17">
        <v>45719</v>
      </c>
      <c r="AI575" s="9">
        <v>47173111</v>
      </c>
      <c r="AJ575" s="9" t="s">
        <v>2792</v>
      </c>
      <c r="AK575" s="9" t="s">
        <v>2818</v>
      </c>
      <c r="AL575" s="22">
        <v>540</v>
      </c>
      <c r="AM575" s="22"/>
      <c r="AN575" s="22" t="s">
        <v>2827</v>
      </c>
      <c r="AP575" s="11"/>
      <c r="AQ575" s="11"/>
      <c r="AR575" s="11"/>
      <c r="AW575" s="94">
        <v>45717</v>
      </c>
      <c r="AX575" s="96">
        <v>3827</v>
      </c>
      <c r="BA575" s="11">
        <v>540</v>
      </c>
      <c r="BD575" s="9"/>
      <c r="CS575" s="11">
        <f t="shared" si="45"/>
        <v>540</v>
      </c>
      <c r="CT575" s="22">
        <f t="shared" si="46"/>
        <v>540</v>
      </c>
      <c r="CU575" s="22">
        <f t="shared" si="44"/>
        <v>0</v>
      </c>
      <c r="CV575" s="26">
        <f t="shared" si="47"/>
        <v>0</v>
      </c>
    </row>
    <row r="576" spans="1:103" ht="12.75" x14ac:dyDescent="0.2">
      <c r="A576" s="9" t="s">
        <v>256</v>
      </c>
      <c r="B576" s="2">
        <v>6</v>
      </c>
      <c r="C576" s="3" t="s">
        <v>95</v>
      </c>
      <c r="D576" s="3" t="s">
        <v>96</v>
      </c>
      <c r="E576" s="2"/>
      <c r="F576" s="2"/>
      <c r="G576" s="2" t="s">
        <v>65</v>
      </c>
      <c r="H576" s="2">
        <v>6</v>
      </c>
      <c r="I576" s="8">
        <v>104.95</v>
      </c>
      <c r="J576" s="8">
        <v>37900</v>
      </c>
      <c r="K576" s="3">
        <v>0</v>
      </c>
      <c r="L576" s="3" t="s">
        <v>3</v>
      </c>
      <c r="M576" s="9" t="s">
        <v>0</v>
      </c>
      <c r="N576" s="30" t="s">
        <v>262</v>
      </c>
      <c r="O576" s="9" t="s">
        <v>263</v>
      </c>
      <c r="P576" s="9" t="s">
        <v>0</v>
      </c>
      <c r="Q576" s="9" t="s">
        <v>16</v>
      </c>
      <c r="R576" s="9" t="s">
        <v>261</v>
      </c>
      <c r="S576" s="9" t="s">
        <v>158</v>
      </c>
      <c r="T576" s="10" t="s">
        <v>65</v>
      </c>
      <c r="U576" s="10">
        <v>7</v>
      </c>
      <c r="V576" s="10">
        <v>104.94</v>
      </c>
      <c r="W576" s="10" t="s">
        <v>710</v>
      </c>
      <c r="X576" s="17">
        <v>45013</v>
      </c>
      <c r="Y576" s="17">
        <v>45251</v>
      </c>
      <c r="Z576" s="19" t="s">
        <v>772</v>
      </c>
      <c r="AA576" s="210">
        <v>37670.400000000001</v>
      </c>
      <c r="AB576" s="9">
        <v>49</v>
      </c>
      <c r="AC576" s="9">
        <v>11</v>
      </c>
      <c r="AD576" s="17">
        <v>45746</v>
      </c>
      <c r="AE576" s="55">
        <v>540</v>
      </c>
      <c r="AF576" s="55"/>
      <c r="AG576" s="9" t="s">
        <v>134</v>
      </c>
      <c r="AH576" s="17">
        <v>45747</v>
      </c>
      <c r="AI576" s="9">
        <v>47173111</v>
      </c>
      <c r="AJ576" s="9" t="s">
        <v>2792</v>
      </c>
      <c r="AK576" s="9" t="s">
        <v>2819</v>
      </c>
      <c r="AL576" s="22">
        <v>540</v>
      </c>
      <c r="AM576" s="22"/>
      <c r="AN576" s="22" t="s">
        <v>2828</v>
      </c>
      <c r="AP576" s="11"/>
      <c r="AQ576" s="11"/>
      <c r="AR576" s="11"/>
      <c r="AW576" s="94">
        <v>45747</v>
      </c>
      <c r="AX576" s="96">
        <v>3945</v>
      </c>
      <c r="BA576" s="11">
        <v>540</v>
      </c>
      <c r="BD576" s="9"/>
      <c r="CS576" s="11">
        <f t="shared" si="45"/>
        <v>540</v>
      </c>
      <c r="CT576" s="22">
        <f t="shared" si="46"/>
        <v>540</v>
      </c>
      <c r="CU576" s="22">
        <f t="shared" si="44"/>
        <v>0</v>
      </c>
      <c r="CV576" s="26">
        <f t="shared" si="47"/>
        <v>0</v>
      </c>
    </row>
    <row r="577" spans="1:100" ht="12.75" x14ac:dyDescent="0.2">
      <c r="A577" s="9" t="s">
        <v>256</v>
      </c>
      <c r="B577" s="2">
        <v>6</v>
      </c>
      <c r="C577" s="3" t="s">
        <v>95</v>
      </c>
      <c r="D577" s="3" t="s">
        <v>96</v>
      </c>
      <c r="E577" s="2"/>
      <c r="F577" s="2"/>
      <c r="G577" s="2" t="s">
        <v>65</v>
      </c>
      <c r="H577" s="2">
        <v>6</v>
      </c>
      <c r="I577" s="8">
        <v>104.95</v>
      </c>
      <c r="J577" s="8">
        <v>37900</v>
      </c>
      <c r="K577" s="3">
        <v>0</v>
      </c>
      <c r="L577" s="3" t="s">
        <v>3</v>
      </c>
      <c r="M577" s="9" t="s">
        <v>0</v>
      </c>
      <c r="N577" s="30" t="s">
        <v>262</v>
      </c>
      <c r="O577" s="9" t="s">
        <v>263</v>
      </c>
      <c r="P577" s="9" t="s">
        <v>0</v>
      </c>
      <c r="Q577" s="9" t="s">
        <v>16</v>
      </c>
      <c r="R577" s="9" t="s">
        <v>261</v>
      </c>
      <c r="S577" s="9" t="s">
        <v>158</v>
      </c>
      <c r="T577" s="10" t="s">
        <v>65</v>
      </c>
      <c r="U577" s="10">
        <v>7</v>
      </c>
      <c r="V577" s="10">
        <v>104.94</v>
      </c>
      <c r="W577" s="10" t="s">
        <v>710</v>
      </c>
      <c r="X577" s="17">
        <v>45013</v>
      </c>
      <c r="Y577" s="17">
        <v>45251</v>
      </c>
      <c r="Z577" s="19" t="s">
        <v>772</v>
      </c>
      <c r="AA577" s="210">
        <v>37670.400000000001</v>
      </c>
      <c r="AB577" s="9">
        <v>49</v>
      </c>
      <c r="AC577" s="9">
        <v>12</v>
      </c>
      <c r="AD577" s="17">
        <v>45777</v>
      </c>
      <c r="AE577" s="55">
        <v>540</v>
      </c>
      <c r="AF577" s="55"/>
      <c r="AG577" s="9" t="s">
        <v>134</v>
      </c>
      <c r="AH577" s="17">
        <v>45777</v>
      </c>
      <c r="AI577" s="9">
        <v>47173111</v>
      </c>
      <c r="AJ577" s="9" t="s">
        <v>2792</v>
      </c>
      <c r="AK577" s="9" t="s">
        <v>2820</v>
      </c>
      <c r="AL577" s="22">
        <v>540</v>
      </c>
      <c r="AM577" s="22"/>
      <c r="AN577" s="22" t="s">
        <v>2829</v>
      </c>
      <c r="AP577" s="11"/>
      <c r="AQ577" s="11"/>
      <c r="AR577" s="11"/>
      <c r="AW577" s="94">
        <v>45777</v>
      </c>
      <c r="AX577" s="96">
        <v>4085</v>
      </c>
      <c r="BA577" s="11">
        <v>540</v>
      </c>
      <c r="BD577" s="9"/>
      <c r="CS577" s="11">
        <f t="shared" si="45"/>
        <v>540</v>
      </c>
      <c r="CT577" s="22">
        <f t="shared" si="46"/>
        <v>540</v>
      </c>
      <c r="CU577" s="22">
        <f t="shared" si="44"/>
        <v>0</v>
      </c>
      <c r="CV577" s="26">
        <f t="shared" si="47"/>
        <v>0</v>
      </c>
    </row>
    <row r="578" spans="1:100" ht="12.75" x14ac:dyDescent="0.2">
      <c r="A578" s="9" t="s">
        <v>256</v>
      </c>
      <c r="B578" s="2">
        <v>6</v>
      </c>
      <c r="C578" s="3" t="s">
        <v>95</v>
      </c>
      <c r="D578" s="3" t="s">
        <v>96</v>
      </c>
      <c r="E578" s="2"/>
      <c r="F578" s="2"/>
      <c r="G578" s="2" t="s">
        <v>65</v>
      </c>
      <c r="H578" s="2">
        <v>6</v>
      </c>
      <c r="I578" s="8">
        <v>104.95</v>
      </c>
      <c r="J578" s="8">
        <v>37900</v>
      </c>
      <c r="K578" s="3">
        <v>0</v>
      </c>
      <c r="L578" s="3" t="s">
        <v>3</v>
      </c>
      <c r="M578" s="9" t="s">
        <v>0</v>
      </c>
      <c r="N578" s="30" t="s">
        <v>262</v>
      </c>
      <c r="O578" s="9" t="s">
        <v>263</v>
      </c>
      <c r="P578" s="9" t="s">
        <v>0</v>
      </c>
      <c r="Q578" s="9" t="s">
        <v>16</v>
      </c>
      <c r="R578" s="9" t="s">
        <v>261</v>
      </c>
      <c r="S578" s="9" t="s">
        <v>158</v>
      </c>
      <c r="T578" s="10" t="s">
        <v>65</v>
      </c>
      <c r="U578" s="10">
        <v>7</v>
      </c>
      <c r="V578" s="10">
        <v>104.94</v>
      </c>
      <c r="W578" s="10" t="s">
        <v>710</v>
      </c>
      <c r="X578" s="17">
        <v>45013</v>
      </c>
      <c r="Y578" s="17">
        <v>45251</v>
      </c>
      <c r="Z578" s="19" t="s">
        <v>772</v>
      </c>
      <c r="AA578" s="210">
        <v>37670.400000000001</v>
      </c>
      <c r="AB578" s="9">
        <v>49</v>
      </c>
      <c r="AC578" s="9">
        <v>13</v>
      </c>
      <c r="AD578" s="17">
        <v>45807</v>
      </c>
      <c r="AE578" s="55">
        <v>540</v>
      </c>
      <c r="AF578" s="55"/>
      <c r="AG578" s="9" t="s">
        <v>134</v>
      </c>
      <c r="AH578" s="17">
        <v>45810</v>
      </c>
      <c r="AI578" s="9">
        <v>47173111</v>
      </c>
      <c r="AJ578" s="9" t="s">
        <v>2792</v>
      </c>
      <c r="AK578" s="9" t="s">
        <v>2821</v>
      </c>
      <c r="AL578" s="22">
        <v>540</v>
      </c>
      <c r="AM578" s="22"/>
      <c r="AN578" s="22" t="s">
        <v>2830</v>
      </c>
      <c r="AP578" s="11"/>
      <c r="AQ578" s="11"/>
      <c r="AR578" s="11"/>
      <c r="AW578" s="94">
        <v>45808</v>
      </c>
      <c r="AX578" s="96">
        <v>4247</v>
      </c>
      <c r="BA578" s="11">
        <v>540</v>
      </c>
      <c r="BD578" s="9"/>
      <c r="CS578" s="11">
        <f t="shared" si="45"/>
        <v>540</v>
      </c>
      <c r="CT578" s="22">
        <f t="shared" si="46"/>
        <v>540</v>
      </c>
      <c r="CU578" s="22">
        <f t="shared" si="44"/>
        <v>0</v>
      </c>
      <c r="CV578" s="26">
        <f t="shared" si="47"/>
        <v>0</v>
      </c>
    </row>
    <row r="579" spans="1:100" ht="12.75" x14ac:dyDescent="0.2">
      <c r="A579" s="9" t="s">
        <v>256</v>
      </c>
      <c r="B579" s="2">
        <v>6</v>
      </c>
      <c r="C579" s="3" t="s">
        <v>95</v>
      </c>
      <c r="D579" s="3" t="s">
        <v>96</v>
      </c>
      <c r="E579" s="2"/>
      <c r="F579" s="2"/>
      <c r="G579" s="2" t="s">
        <v>65</v>
      </c>
      <c r="H579" s="2">
        <v>6</v>
      </c>
      <c r="I579" s="8">
        <v>104.95</v>
      </c>
      <c r="J579" s="8">
        <v>37900</v>
      </c>
      <c r="K579" s="3">
        <v>0</v>
      </c>
      <c r="L579" s="3" t="s">
        <v>3</v>
      </c>
      <c r="M579" s="9" t="s">
        <v>0</v>
      </c>
      <c r="N579" s="30" t="s">
        <v>262</v>
      </c>
      <c r="O579" s="9" t="s">
        <v>263</v>
      </c>
      <c r="P579" s="9" t="s">
        <v>0</v>
      </c>
      <c r="Q579" s="9" t="s">
        <v>16</v>
      </c>
      <c r="R579" s="9" t="s">
        <v>261</v>
      </c>
      <c r="S579" s="9" t="s">
        <v>158</v>
      </c>
      <c r="T579" s="10" t="s">
        <v>65</v>
      </c>
      <c r="U579" s="10">
        <v>7</v>
      </c>
      <c r="V579" s="10">
        <v>104.94</v>
      </c>
      <c r="W579" s="10" t="s">
        <v>710</v>
      </c>
      <c r="X579" s="17">
        <v>45013</v>
      </c>
      <c r="Y579" s="17">
        <v>45251</v>
      </c>
      <c r="Z579" s="19" t="s">
        <v>772</v>
      </c>
      <c r="AA579" s="210">
        <v>37670.400000000001</v>
      </c>
      <c r="AB579" s="9">
        <v>49</v>
      </c>
      <c r="AC579" s="9">
        <v>14</v>
      </c>
      <c r="AD579" s="17">
        <v>45838</v>
      </c>
      <c r="AE579" s="55">
        <v>540</v>
      </c>
      <c r="AF579" s="55"/>
      <c r="AG579" s="9" t="s">
        <v>134</v>
      </c>
      <c r="AH579" s="17">
        <v>45834</v>
      </c>
      <c r="AI579" s="9">
        <v>47173111</v>
      </c>
      <c r="AJ579" s="9" t="s">
        <v>2792</v>
      </c>
      <c r="AK579" s="9" t="s">
        <v>2822</v>
      </c>
      <c r="AL579" s="22">
        <v>540</v>
      </c>
      <c r="AM579" s="22"/>
      <c r="AN579" s="22" t="s">
        <v>2831</v>
      </c>
      <c r="AP579" s="11"/>
      <c r="AQ579" s="11"/>
      <c r="AR579" s="11"/>
      <c r="AW579" s="94">
        <v>45834</v>
      </c>
      <c r="AX579" s="96">
        <v>4342</v>
      </c>
      <c r="BA579" s="11">
        <v>540</v>
      </c>
      <c r="BD579" s="9"/>
      <c r="CS579" s="11">
        <f t="shared" si="45"/>
        <v>540</v>
      </c>
      <c r="CT579" s="22">
        <f t="shared" si="46"/>
        <v>540</v>
      </c>
      <c r="CU579" s="22">
        <f t="shared" si="44"/>
        <v>0</v>
      </c>
      <c r="CV579" s="26">
        <f t="shared" si="47"/>
        <v>0</v>
      </c>
    </row>
    <row r="580" spans="1:100" ht="12.75" x14ac:dyDescent="0.2">
      <c r="A580" s="9" t="s">
        <v>256</v>
      </c>
      <c r="B580" s="2">
        <v>6</v>
      </c>
      <c r="C580" s="3" t="s">
        <v>95</v>
      </c>
      <c r="D580" s="3" t="s">
        <v>96</v>
      </c>
      <c r="E580" s="2"/>
      <c r="F580" s="2"/>
      <c r="G580" s="2" t="s">
        <v>65</v>
      </c>
      <c r="H580" s="2">
        <v>6</v>
      </c>
      <c r="I580" s="8">
        <v>104.95</v>
      </c>
      <c r="J580" s="8">
        <v>37900</v>
      </c>
      <c r="K580" s="3">
        <v>0</v>
      </c>
      <c r="L580" s="3" t="s">
        <v>3</v>
      </c>
      <c r="M580" s="9" t="s">
        <v>0</v>
      </c>
      <c r="N580" s="30" t="s">
        <v>262</v>
      </c>
      <c r="O580" s="9" t="s">
        <v>263</v>
      </c>
      <c r="P580" s="9" t="s">
        <v>0</v>
      </c>
      <c r="Q580" s="9" t="s">
        <v>16</v>
      </c>
      <c r="R580" s="9" t="s">
        <v>261</v>
      </c>
      <c r="S580" s="9" t="s">
        <v>158</v>
      </c>
      <c r="T580" s="10" t="s">
        <v>65</v>
      </c>
      <c r="U580" s="10">
        <v>7</v>
      </c>
      <c r="V580" s="10">
        <v>104.94</v>
      </c>
      <c r="W580" s="10" t="s">
        <v>710</v>
      </c>
      <c r="X580" s="17">
        <v>45013</v>
      </c>
      <c r="Y580" s="17">
        <v>45251</v>
      </c>
      <c r="Z580" s="19" t="s">
        <v>772</v>
      </c>
      <c r="AA580" s="210">
        <v>37670.400000000001</v>
      </c>
      <c r="AB580" s="9">
        <v>49</v>
      </c>
      <c r="AC580" s="9">
        <v>15</v>
      </c>
      <c r="AD580" s="17">
        <v>45868</v>
      </c>
      <c r="AE580" s="55">
        <v>540</v>
      </c>
      <c r="AF580" s="55"/>
      <c r="AG580" s="9" t="s">
        <v>134</v>
      </c>
      <c r="AH580" s="17">
        <v>45868</v>
      </c>
      <c r="AI580" s="9">
        <v>47173111</v>
      </c>
      <c r="AJ580" s="9" t="s">
        <v>2792</v>
      </c>
      <c r="AK580" s="9" t="s">
        <v>2823</v>
      </c>
      <c r="AL580" s="22">
        <v>540</v>
      </c>
      <c r="AM580" s="22"/>
      <c r="AN580" s="22" t="s">
        <v>2832</v>
      </c>
      <c r="AP580" s="11"/>
      <c r="AQ580" s="11"/>
      <c r="AR580" s="11"/>
      <c r="AW580" s="94">
        <v>45868</v>
      </c>
      <c r="AX580" s="96">
        <v>4485</v>
      </c>
      <c r="BA580" s="11">
        <v>540</v>
      </c>
      <c r="BD580" s="9"/>
      <c r="CS580" s="11">
        <f t="shared" si="45"/>
        <v>540</v>
      </c>
      <c r="CT580" s="22">
        <f t="shared" si="46"/>
        <v>540</v>
      </c>
      <c r="CU580" s="22">
        <f t="shared" si="44"/>
        <v>0</v>
      </c>
      <c r="CV580" s="26">
        <f t="shared" si="47"/>
        <v>0</v>
      </c>
    </row>
    <row r="581" spans="1:100" ht="12.75" x14ac:dyDescent="0.2">
      <c r="A581" s="9" t="s">
        <v>256</v>
      </c>
      <c r="B581" s="2">
        <v>6</v>
      </c>
      <c r="C581" s="3" t="s">
        <v>95</v>
      </c>
      <c r="D581" s="3" t="s">
        <v>96</v>
      </c>
      <c r="E581" s="2"/>
      <c r="F581" s="2"/>
      <c r="G581" s="2" t="s">
        <v>65</v>
      </c>
      <c r="H581" s="2">
        <v>6</v>
      </c>
      <c r="I581" s="8">
        <v>104.95</v>
      </c>
      <c r="J581" s="8">
        <v>37900</v>
      </c>
      <c r="K581" s="3">
        <v>0</v>
      </c>
      <c r="L581" s="3" t="s">
        <v>3</v>
      </c>
      <c r="M581" s="9" t="s">
        <v>0</v>
      </c>
      <c r="N581" s="30" t="s">
        <v>262</v>
      </c>
      <c r="O581" s="9" t="s">
        <v>263</v>
      </c>
      <c r="P581" s="9" t="s">
        <v>0</v>
      </c>
      <c r="Q581" s="9" t="s">
        <v>16</v>
      </c>
      <c r="R581" s="9" t="s">
        <v>261</v>
      </c>
      <c r="S581" s="9" t="s">
        <v>158</v>
      </c>
      <c r="T581" s="10" t="s">
        <v>65</v>
      </c>
      <c r="U581" s="10">
        <v>7</v>
      </c>
      <c r="V581" s="10">
        <v>104.94</v>
      </c>
      <c r="W581" s="10" t="s">
        <v>710</v>
      </c>
      <c r="X581" s="17">
        <v>45013</v>
      </c>
      <c r="Y581" s="17">
        <v>45251</v>
      </c>
      <c r="Z581" s="19" t="s">
        <v>772</v>
      </c>
      <c r="AA581" s="210">
        <v>37670.400000000001</v>
      </c>
      <c r="AB581" s="9">
        <v>49</v>
      </c>
      <c r="AC581" s="9">
        <v>16</v>
      </c>
      <c r="AD581" s="17">
        <v>45899</v>
      </c>
      <c r="AE581" s="55">
        <v>540</v>
      </c>
      <c r="AF581" s="55"/>
      <c r="AG581" s="9" t="s">
        <v>134</v>
      </c>
      <c r="AH581" s="17">
        <v>45901</v>
      </c>
      <c r="AI581" s="9">
        <v>47173111</v>
      </c>
      <c r="AJ581" s="9" t="s">
        <v>2792</v>
      </c>
      <c r="AK581" s="9" t="s">
        <v>2824</v>
      </c>
      <c r="AL581" s="22">
        <v>540</v>
      </c>
      <c r="AM581" s="22"/>
      <c r="AN581" s="22" t="s">
        <v>2833</v>
      </c>
      <c r="AP581" s="11"/>
      <c r="AQ581" s="11"/>
      <c r="AR581" s="11"/>
      <c r="AW581" s="94">
        <v>45899</v>
      </c>
      <c r="AX581" s="96">
        <v>4632</v>
      </c>
      <c r="BA581" s="11">
        <v>540</v>
      </c>
      <c r="BD581" s="9"/>
      <c r="CS581" s="11">
        <f t="shared" si="45"/>
        <v>540</v>
      </c>
      <c r="CT581" s="22">
        <f t="shared" si="46"/>
        <v>540</v>
      </c>
      <c r="CU581" s="22">
        <f t="shared" si="44"/>
        <v>0</v>
      </c>
      <c r="CV581" s="26">
        <f t="shared" si="47"/>
        <v>0</v>
      </c>
    </row>
    <row r="582" spans="1:100" ht="12.75" x14ac:dyDescent="0.2">
      <c r="A582" s="9" t="s">
        <v>256</v>
      </c>
      <c r="B582" s="2">
        <v>6</v>
      </c>
      <c r="C582" s="3" t="s">
        <v>95</v>
      </c>
      <c r="D582" s="3" t="s">
        <v>96</v>
      </c>
      <c r="E582" s="2"/>
      <c r="F582" s="2"/>
      <c r="G582" s="2" t="s">
        <v>65</v>
      </c>
      <c r="H582" s="2">
        <v>6</v>
      </c>
      <c r="I582" s="8">
        <v>104.95</v>
      </c>
      <c r="J582" s="8">
        <v>37900</v>
      </c>
      <c r="K582" s="3">
        <v>0</v>
      </c>
      <c r="L582" s="3" t="s">
        <v>3</v>
      </c>
      <c r="M582" s="9" t="s">
        <v>0</v>
      </c>
      <c r="N582" s="30" t="s">
        <v>262</v>
      </c>
      <c r="O582" s="9" t="s">
        <v>263</v>
      </c>
      <c r="P582" s="9" t="s">
        <v>0</v>
      </c>
      <c r="Q582" s="9" t="s">
        <v>16</v>
      </c>
      <c r="R582" s="9" t="s">
        <v>261</v>
      </c>
      <c r="S582" s="9" t="s">
        <v>158</v>
      </c>
      <c r="T582" s="10" t="s">
        <v>65</v>
      </c>
      <c r="U582" s="10">
        <v>7</v>
      </c>
      <c r="V582" s="10">
        <v>104.94</v>
      </c>
      <c r="W582" s="10" t="s">
        <v>710</v>
      </c>
      <c r="X582" s="17">
        <v>45013</v>
      </c>
      <c r="Y582" s="17">
        <v>45251</v>
      </c>
      <c r="Z582" s="19" t="s">
        <v>772</v>
      </c>
      <c r="AA582" s="210">
        <v>37670.400000000001</v>
      </c>
      <c r="AB582" s="9">
        <v>49</v>
      </c>
      <c r="AC582" s="9">
        <v>17</v>
      </c>
      <c r="AD582" s="17">
        <v>45930</v>
      </c>
      <c r="AE582" s="55">
        <v>540</v>
      </c>
      <c r="AF582" s="55"/>
      <c r="AG582" s="9" t="s">
        <v>134</v>
      </c>
      <c r="AH582" s="17">
        <v>45930</v>
      </c>
      <c r="AI582" s="9">
        <v>47173111</v>
      </c>
      <c r="AJ582" s="9" t="s">
        <v>2792</v>
      </c>
      <c r="AK582" s="9" t="s">
        <v>2825</v>
      </c>
      <c r="AL582" s="22">
        <v>540</v>
      </c>
      <c r="AM582" s="22"/>
      <c r="AN582" s="22" t="s">
        <v>2834</v>
      </c>
      <c r="AP582" s="11"/>
      <c r="AQ582" s="11"/>
      <c r="AR582" s="11"/>
      <c r="AW582" s="94">
        <v>45930</v>
      </c>
      <c r="AX582" s="96">
        <v>4832</v>
      </c>
      <c r="BA582" s="11">
        <v>540</v>
      </c>
      <c r="BD582" s="9"/>
      <c r="CS582" s="11">
        <f t="shared" si="45"/>
        <v>540</v>
      </c>
      <c r="CT582" s="22">
        <f t="shared" si="46"/>
        <v>540</v>
      </c>
      <c r="CU582" s="22">
        <f t="shared" si="44"/>
        <v>0</v>
      </c>
      <c r="CV582" s="26">
        <f t="shared" si="47"/>
        <v>0</v>
      </c>
    </row>
    <row r="583" spans="1:100" x14ac:dyDescent="0.2">
      <c r="A583" s="9" t="s">
        <v>256</v>
      </c>
      <c r="B583" s="2">
        <v>6</v>
      </c>
      <c r="C583" s="3" t="s">
        <v>95</v>
      </c>
      <c r="D583" s="3" t="s">
        <v>96</v>
      </c>
      <c r="E583" s="2"/>
      <c r="F583" s="2"/>
      <c r="G583" s="2" t="s">
        <v>65</v>
      </c>
      <c r="H583" s="2">
        <v>6</v>
      </c>
      <c r="I583" s="8">
        <v>104.95</v>
      </c>
      <c r="J583" s="8">
        <v>37900</v>
      </c>
      <c r="K583" s="3">
        <v>0</v>
      </c>
      <c r="L583" s="3" t="s">
        <v>3</v>
      </c>
      <c r="M583" s="9" t="s">
        <v>0</v>
      </c>
      <c r="N583" s="30" t="s">
        <v>262</v>
      </c>
      <c r="O583" s="9" t="s">
        <v>263</v>
      </c>
      <c r="P583" s="9" t="s">
        <v>0</v>
      </c>
      <c r="Q583" s="9" t="s">
        <v>16</v>
      </c>
      <c r="R583" s="9" t="s">
        <v>261</v>
      </c>
      <c r="S583" s="9" t="s">
        <v>158</v>
      </c>
      <c r="T583" s="10" t="s">
        <v>65</v>
      </c>
      <c r="U583" s="10">
        <v>7</v>
      </c>
      <c r="V583" s="10">
        <v>104.94</v>
      </c>
      <c r="W583" s="10" t="s">
        <v>710</v>
      </c>
      <c r="X583" s="17">
        <v>45013</v>
      </c>
      <c r="Y583" s="17">
        <v>45251</v>
      </c>
      <c r="Z583" s="19" t="s">
        <v>772</v>
      </c>
      <c r="AA583" s="210">
        <v>37670.400000000001</v>
      </c>
      <c r="AB583" s="9">
        <v>49</v>
      </c>
      <c r="AC583" s="9">
        <v>18</v>
      </c>
      <c r="AD583" s="17">
        <v>45960</v>
      </c>
      <c r="AE583" s="55">
        <v>540</v>
      </c>
      <c r="AF583" s="55"/>
      <c r="AL583" s="22"/>
      <c r="AM583" s="22"/>
      <c r="AN583" s="22"/>
      <c r="AP583" s="11"/>
      <c r="AQ583" s="11"/>
      <c r="AR583" s="11"/>
      <c r="AW583" s="9"/>
      <c r="BD583" s="9"/>
      <c r="CS583" s="11">
        <f t="shared" si="45"/>
        <v>0</v>
      </c>
      <c r="CT583" s="22">
        <f t="shared" si="46"/>
        <v>0</v>
      </c>
      <c r="CU583" s="22">
        <f t="shared" si="44"/>
        <v>0</v>
      </c>
      <c r="CV583" s="26">
        <f t="shared" si="47"/>
        <v>540</v>
      </c>
    </row>
    <row r="584" spans="1:100" x14ac:dyDescent="0.2">
      <c r="A584" s="9" t="s">
        <v>256</v>
      </c>
      <c r="B584" s="2">
        <v>6</v>
      </c>
      <c r="C584" s="3" t="s">
        <v>95</v>
      </c>
      <c r="D584" s="3" t="s">
        <v>96</v>
      </c>
      <c r="E584" s="2"/>
      <c r="F584" s="2"/>
      <c r="G584" s="2" t="s">
        <v>65</v>
      </c>
      <c r="H584" s="2">
        <v>6</v>
      </c>
      <c r="I584" s="8">
        <v>104.95</v>
      </c>
      <c r="J584" s="8">
        <v>37900</v>
      </c>
      <c r="K584" s="3">
        <v>0</v>
      </c>
      <c r="L584" s="3" t="s">
        <v>3</v>
      </c>
      <c r="M584" s="9" t="s">
        <v>0</v>
      </c>
      <c r="N584" s="30" t="s">
        <v>262</v>
      </c>
      <c r="O584" s="9" t="s">
        <v>263</v>
      </c>
      <c r="P584" s="9" t="s">
        <v>0</v>
      </c>
      <c r="Q584" s="9" t="s">
        <v>16</v>
      </c>
      <c r="R584" s="9" t="s">
        <v>261</v>
      </c>
      <c r="S584" s="9" t="s">
        <v>158</v>
      </c>
      <c r="T584" s="10" t="s">
        <v>65</v>
      </c>
      <c r="U584" s="10">
        <v>7</v>
      </c>
      <c r="V584" s="10">
        <v>104.94</v>
      </c>
      <c r="W584" s="10" t="s">
        <v>710</v>
      </c>
      <c r="X584" s="17">
        <v>45013</v>
      </c>
      <c r="Y584" s="17">
        <v>45251</v>
      </c>
      <c r="Z584" s="19" t="s">
        <v>772</v>
      </c>
      <c r="AA584" s="210">
        <v>37670.400000000001</v>
      </c>
      <c r="AB584" s="9">
        <v>49</v>
      </c>
      <c r="AC584" s="9">
        <v>19</v>
      </c>
      <c r="AD584" s="17">
        <v>45991</v>
      </c>
      <c r="AE584" s="55">
        <v>540</v>
      </c>
      <c r="AF584" s="55"/>
      <c r="AP584" s="11"/>
      <c r="AQ584" s="11"/>
      <c r="AR584" s="11"/>
      <c r="AW584" s="9"/>
      <c r="BD584" s="9"/>
      <c r="CS584" s="11">
        <f t="shared" si="45"/>
        <v>0</v>
      </c>
      <c r="CT584" s="22">
        <f t="shared" si="46"/>
        <v>0</v>
      </c>
      <c r="CU584" s="22">
        <f t="shared" si="44"/>
        <v>0</v>
      </c>
      <c r="CV584" s="26">
        <f t="shared" si="47"/>
        <v>540</v>
      </c>
    </row>
    <row r="585" spans="1:100" x14ac:dyDescent="0.2">
      <c r="A585" s="9" t="s">
        <v>256</v>
      </c>
      <c r="B585" s="2">
        <v>6</v>
      </c>
      <c r="C585" s="3" t="s">
        <v>95</v>
      </c>
      <c r="D585" s="3" t="s">
        <v>96</v>
      </c>
      <c r="E585" s="2"/>
      <c r="F585" s="2"/>
      <c r="G585" s="2" t="s">
        <v>65</v>
      </c>
      <c r="H585" s="2">
        <v>6</v>
      </c>
      <c r="I585" s="8">
        <v>104.95</v>
      </c>
      <c r="J585" s="8">
        <v>37900</v>
      </c>
      <c r="K585" s="3">
        <v>0</v>
      </c>
      <c r="L585" s="3" t="s">
        <v>3</v>
      </c>
      <c r="M585" s="9" t="s">
        <v>0</v>
      </c>
      <c r="N585" s="30" t="s">
        <v>262</v>
      </c>
      <c r="O585" s="9" t="s">
        <v>263</v>
      </c>
      <c r="P585" s="9" t="s">
        <v>0</v>
      </c>
      <c r="Q585" s="9" t="s">
        <v>16</v>
      </c>
      <c r="R585" s="9" t="s">
        <v>261</v>
      </c>
      <c r="S585" s="9" t="s">
        <v>158</v>
      </c>
      <c r="T585" s="10" t="s">
        <v>65</v>
      </c>
      <c r="U585" s="10">
        <v>7</v>
      </c>
      <c r="V585" s="10">
        <v>104.94</v>
      </c>
      <c r="W585" s="10" t="s">
        <v>710</v>
      </c>
      <c r="X585" s="17">
        <v>45013</v>
      </c>
      <c r="Y585" s="17">
        <v>45251</v>
      </c>
      <c r="Z585" s="19" t="s">
        <v>772</v>
      </c>
      <c r="AA585" s="210">
        <v>37670.400000000001</v>
      </c>
      <c r="AB585" s="9">
        <v>49</v>
      </c>
      <c r="AC585" s="9">
        <v>20</v>
      </c>
      <c r="AD585" s="17">
        <v>46021</v>
      </c>
      <c r="AE585" s="55">
        <v>540</v>
      </c>
      <c r="AF585" s="55"/>
      <c r="AP585" s="11"/>
      <c r="AQ585" s="11"/>
      <c r="AR585" s="11"/>
      <c r="AW585" s="9"/>
      <c r="BD585" s="9"/>
      <c r="CS585" s="11">
        <f t="shared" si="45"/>
        <v>0</v>
      </c>
      <c r="CT585" s="22">
        <f t="shared" si="46"/>
        <v>0</v>
      </c>
      <c r="CU585" s="22">
        <f t="shared" si="44"/>
        <v>0</v>
      </c>
      <c r="CV585" s="26">
        <f t="shared" si="47"/>
        <v>540</v>
      </c>
    </row>
    <row r="586" spans="1:100" x14ac:dyDescent="0.2">
      <c r="A586" s="9" t="s">
        <v>256</v>
      </c>
      <c r="B586" s="2">
        <v>6</v>
      </c>
      <c r="C586" s="3" t="s">
        <v>95</v>
      </c>
      <c r="D586" s="3" t="s">
        <v>96</v>
      </c>
      <c r="E586" s="2"/>
      <c r="F586" s="2"/>
      <c r="G586" s="2" t="s">
        <v>65</v>
      </c>
      <c r="H586" s="2">
        <v>6</v>
      </c>
      <c r="I586" s="8">
        <v>104.95</v>
      </c>
      <c r="J586" s="8">
        <v>37900</v>
      </c>
      <c r="K586" s="3">
        <v>0</v>
      </c>
      <c r="L586" s="3" t="s">
        <v>3</v>
      </c>
      <c r="M586" s="9" t="s">
        <v>0</v>
      </c>
      <c r="N586" s="30" t="s">
        <v>262</v>
      </c>
      <c r="O586" s="9" t="s">
        <v>263</v>
      </c>
      <c r="P586" s="9" t="s">
        <v>0</v>
      </c>
      <c r="Q586" s="9" t="s">
        <v>16</v>
      </c>
      <c r="R586" s="9" t="s">
        <v>261</v>
      </c>
      <c r="S586" s="9" t="s">
        <v>158</v>
      </c>
      <c r="T586" s="10" t="s">
        <v>65</v>
      </c>
      <c r="U586" s="10">
        <v>7</v>
      </c>
      <c r="V586" s="10">
        <v>104.94</v>
      </c>
      <c r="W586" s="10" t="s">
        <v>710</v>
      </c>
      <c r="X586" s="17">
        <v>45013</v>
      </c>
      <c r="Y586" s="17">
        <v>45251</v>
      </c>
      <c r="Z586" s="19" t="s">
        <v>772</v>
      </c>
      <c r="AA586" s="210">
        <v>37670.400000000001</v>
      </c>
      <c r="AB586" s="9">
        <v>49</v>
      </c>
      <c r="AC586" s="9">
        <v>21</v>
      </c>
      <c r="AD586" s="17">
        <v>46052</v>
      </c>
      <c r="AE586" s="55">
        <v>540</v>
      </c>
      <c r="AF586" s="55"/>
      <c r="AP586" s="11"/>
      <c r="AQ586" s="11"/>
      <c r="AR586" s="11"/>
      <c r="AW586" s="17"/>
      <c r="BD586" s="9"/>
      <c r="CS586" s="11">
        <f t="shared" si="45"/>
        <v>0</v>
      </c>
      <c r="CT586" s="22">
        <f t="shared" si="46"/>
        <v>0</v>
      </c>
      <c r="CU586" s="22">
        <f t="shared" si="44"/>
        <v>0</v>
      </c>
      <c r="CV586" s="26">
        <f t="shared" si="47"/>
        <v>540</v>
      </c>
    </row>
    <row r="587" spans="1:100" x14ac:dyDescent="0.2">
      <c r="A587" s="9" t="s">
        <v>256</v>
      </c>
      <c r="B587" s="2">
        <v>6</v>
      </c>
      <c r="C587" s="3" t="s">
        <v>95</v>
      </c>
      <c r="D587" s="3" t="s">
        <v>96</v>
      </c>
      <c r="E587" s="2"/>
      <c r="F587" s="2"/>
      <c r="G587" s="2" t="s">
        <v>65</v>
      </c>
      <c r="H587" s="2">
        <v>6</v>
      </c>
      <c r="I587" s="8">
        <v>104.95</v>
      </c>
      <c r="J587" s="8">
        <v>37900</v>
      </c>
      <c r="K587" s="3">
        <v>0</v>
      </c>
      <c r="L587" s="3" t="s">
        <v>3</v>
      </c>
      <c r="M587" s="9" t="s">
        <v>0</v>
      </c>
      <c r="N587" s="30" t="s">
        <v>262</v>
      </c>
      <c r="O587" s="9" t="s">
        <v>263</v>
      </c>
      <c r="P587" s="9" t="s">
        <v>0</v>
      </c>
      <c r="Q587" s="9" t="s">
        <v>16</v>
      </c>
      <c r="R587" s="9" t="s">
        <v>261</v>
      </c>
      <c r="S587" s="9" t="s">
        <v>158</v>
      </c>
      <c r="T587" s="10" t="s">
        <v>65</v>
      </c>
      <c r="U587" s="10">
        <v>7</v>
      </c>
      <c r="V587" s="10">
        <v>104.94</v>
      </c>
      <c r="W587" s="10" t="s">
        <v>710</v>
      </c>
      <c r="X587" s="17">
        <v>45013</v>
      </c>
      <c r="Y587" s="17">
        <v>45251</v>
      </c>
      <c r="Z587" s="19" t="s">
        <v>772</v>
      </c>
      <c r="AA587" s="210">
        <v>37670.400000000001</v>
      </c>
      <c r="AB587" s="9">
        <v>49</v>
      </c>
      <c r="AC587" s="9">
        <v>22</v>
      </c>
      <c r="AD587" s="17">
        <v>46081</v>
      </c>
      <c r="AE587" s="55">
        <v>540</v>
      </c>
      <c r="AF587" s="55"/>
      <c r="AP587" s="11"/>
      <c r="AQ587" s="11"/>
      <c r="AR587" s="11"/>
      <c r="AW587" s="9"/>
      <c r="BD587" s="9"/>
      <c r="CS587" s="11">
        <f t="shared" si="45"/>
        <v>0</v>
      </c>
      <c r="CT587" s="22">
        <f t="shared" si="46"/>
        <v>0</v>
      </c>
      <c r="CU587" s="22">
        <f t="shared" si="44"/>
        <v>0</v>
      </c>
      <c r="CV587" s="26">
        <f t="shared" si="47"/>
        <v>540</v>
      </c>
    </row>
    <row r="588" spans="1:100" x14ac:dyDescent="0.2">
      <c r="A588" s="9" t="s">
        <v>256</v>
      </c>
      <c r="B588" s="2">
        <v>6</v>
      </c>
      <c r="C588" s="3" t="s">
        <v>95</v>
      </c>
      <c r="D588" s="3" t="s">
        <v>96</v>
      </c>
      <c r="E588" s="2"/>
      <c r="F588" s="2"/>
      <c r="G588" s="2" t="s">
        <v>65</v>
      </c>
      <c r="H588" s="2">
        <v>6</v>
      </c>
      <c r="I588" s="8">
        <v>104.95</v>
      </c>
      <c r="J588" s="8">
        <v>37900</v>
      </c>
      <c r="K588" s="3">
        <v>0</v>
      </c>
      <c r="L588" s="3" t="s">
        <v>3</v>
      </c>
      <c r="M588" s="9" t="s">
        <v>0</v>
      </c>
      <c r="N588" s="30" t="s">
        <v>262</v>
      </c>
      <c r="O588" s="9" t="s">
        <v>263</v>
      </c>
      <c r="P588" s="9" t="s">
        <v>0</v>
      </c>
      <c r="Q588" s="9" t="s">
        <v>16</v>
      </c>
      <c r="R588" s="9" t="s">
        <v>261</v>
      </c>
      <c r="S588" s="9" t="s">
        <v>158</v>
      </c>
      <c r="T588" s="10" t="s">
        <v>65</v>
      </c>
      <c r="U588" s="10">
        <v>7</v>
      </c>
      <c r="V588" s="10">
        <v>104.94</v>
      </c>
      <c r="W588" s="10" t="s">
        <v>710</v>
      </c>
      <c r="X588" s="17">
        <v>45013</v>
      </c>
      <c r="Y588" s="17">
        <v>45251</v>
      </c>
      <c r="Z588" s="19" t="s">
        <v>772</v>
      </c>
      <c r="AA588" s="210">
        <v>37670.400000000001</v>
      </c>
      <c r="AB588" s="9">
        <v>49</v>
      </c>
      <c r="AC588" s="9">
        <v>23</v>
      </c>
      <c r="AD588" s="17">
        <v>46111</v>
      </c>
      <c r="AE588" s="55">
        <v>540</v>
      </c>
      <c r="AF588" s="55"/>
      <c r="AP588" s="11"/>
      <c r="AQ588" s="11"/>
      <c r="AR588" s="11"/>
      <c r="AW588" s="9"/>
      <c r="BD588" s="9"/>
      <c r="CS588" s="11">
        <f t="shared" si="45"/>
        <v>0</v>
      </c>
      <c r="CT588" s="22">
        <f t="shared" si="46"/>
        <v>0</v>
      </c>
      <c r="CU588" s="22">
        <f t="shared" si="44"/>
        <v>0</v>
      </c>
      <c r="CV588" s="26">
        <f t="shared" si="47"/>
        <v>540</v>
      </c>
    </row>
    <row r="589" spans="1:100" x14ac:dyDescent="0.2">
      <c r="A589" s="9" t="s">
        <v>256</v>
      </c>
      <c r="B589" s="2">
        <v>6</v>
      </c>
      <c r="C589" s="3" t="s">
        <v>95</v>
      </c>
      <c r="D589" s="3" t="s">
        <v>96</v>
      </c>
      <c r="E589" s="2"/>
      <c r="F589" s="2"/>
      <c r="G589" s="2" t="s">
        <v>65</v>
      </c>
      <c r="H589" s="2">
        <v>6</v>
      </c>
      <c r="I589" s="8">
        <v>104.95</v>
      </c>
      <c r="J589" s="8">
        <v>37900</v>
      </c>
      <c r="K589" s="3">
        <v>0</v>
      </c>
      <c r="L589" s="3" t="s">
        <v>3</v>
      </c>
      <c r="M589" s="9" t="s">
        <v>0</v>
      </c>
      <c r="N589" s="30" t="s">
        <v>262</v>
      </c>
      <c r="O589" s="9" t="s">
        <v>263</v>
      </c>
      <c r="P589" s="9" t="s">
        <v>0</v>
      </c>
      <c r="Q589" s="9" t="s">
        <v>16</v>
      </c>
      <c r="R589" s="9" t="s">
        <v>261</v>
      </c>
      <c r="S589" s="9" t="s">
        <v>158</v>
      </c>
      <c r="T589" s="10" t="s">
        <v>65</v>
      </c>
      <c r="U589" s="10">
        <v>7</v>
      </c>
      <c r="V589" s="10">
        <v>104.94</v>
      </c>
      <c r="W589" s="10" t="s">
        <v>710</v>
      </c>
      <c r="X589" s="17">
        <v>45013</v>
      </c>
      <c r="Y589" s="17">
        <v>45251</v>
      </c>
      <c r="Z589" s="19" t="s">
        <v>772</v>
      </c>
      <c r="AA589" s="210">
        <v>37670.400000000001</v>
      </c>
      <c r="AB589" s="9">
        <v>49</v>
      </c>
      <c r="AC589" s="9">
        <v>24</v>
      </c>
      <c r="AD589" s="17">
        <v>46142</v>
      </c>
      <c r="AE589" s="55">
        <v>540</v>
      </c>
      <c r="AF589" s="55"/>
      <c r="AP589" s="11"/>
      <c r="AQ589" s="11"/>
      <c r="AR589" s="11"/>
      <c r="AW589" s="9"/>
      <c r="BD589" s="9"/>
      <c r="CS589" s="11">
        <f t="shared" si="45"/>
        <v>0</v>
      </c>
      <c r="CT589" s="22">
        <f t="shared" si="46"/>
        <v>0</v>
      </c>
      <c r="CU589" s="22">
        <f t="shared" si="44"/>
        <v>0</v>
      </c>
      <c r="CV589" s="26">
        <f t="shared" si="47"/>
        <v>540</v>
      </c>
    </row>
    <row r="590" spans="1:100" x14ac:dyDescent="0.2">
      <c r="A590" s="9" t="s">
        <v>256</v>
      </c>
      <c r="B590" s="2">
        <v>6</v>
      </c>
      <c r="C590" s="3" t="s">
        <v>95</v>
      </c>
      <c r="D590" s="3" t="s">
        <v>96</v>
      </c>
      <c r="E590" s="2"/>
      <c r="F590" s="2"/>
      <c r="G590" s="2" t="s">
        <v>65</v>
      </c>
      <c r="H590" s="2">
        <v>6</v>
      </c>
      <c r="I590" s="8">
        <v>104.95</v>
      </c>
      <c r="J590" s="8">
        <v>37900</v>
      </c>
      <c r="K590" s="3">
        <v>0</v>
      </c>
      <c r="L590" s="3" t="s">
        <v>3</v>
      </c>
      <c r="M590" s="9" t="s">
        <v>0</v>
      </c>
      <c r="N590" s="30" t="s">
        <v>262</v>
      </c>
      <c r="O590" s="9" t="s">
        <v>263</v>
      </c>
      <c r="P590" s="9" t="s">
        <v>0</v>
      </c>
      <c r="Q590" s="9" t="s">
        <v>16</v>
      </c>
      <c r="R590" s="9" t="s">
        <v>261</v>
      </c>
      <c r="S590" s="9" t="s">
        <v>158</v>
      </c>
      <c r="T590" s="10" t="s">
        <v>65</v>
      </c>
      <c r="U590" s="10">
        <v>7</v>
      </c>
      <c r="V590" s="10">
        <v>104.94</v>
      </c>
      <c r="W590" s="10" t="s">
        <v>710</v>
      </c>
      <c r="X590" s="17">
        <v>45013</v>
      </c>
      <c r="Y590" s="17">
        <v>45251</v>
      </c>
      <c r="Z590" s="19" t="s">
        <v>772</v>
      </c>
      <c r="AA590" s="210">
        <v>37670.400000000001</v>
      </c>
      <c r="AB590" s="9">
        <v>49</v>
      </c>
      <c r="AC590" s="9">
        <v>25</v>
      </c>
      <c r="AD590" s="17">
        <v>46172</v>
      </c>
      <c r="AE590" s="55">
        <v>540</v>
      </c>
      <c r="AF590" s="55"/>
      <c r="AP590" s="11"/>
      <c r="AQ590" s="11"/>
      <c r="AR590" s="11"/>
      <c r="AW590" s="9"/>
      <c r="BD590" s="9"/>
      <c r="CS590" s="11">
        <f t="shared" si="45"/>
        <v>0</v>
      </c>
      <c r="CT590" s="22">
        <f t="shared" si="46"/>
        <v>0</v>
      </c>
      <c r="CU590" s="22">
        <f t="shared" si="44"/>
        <v>0</v>
      </c>
      <c r="CV590" s="26">
        <f t="shared" si="47"/>
        <v>540</v>
      </c>
    </row>
    <row r="591" spans="1:100" x14ac:dyDescent="0.2">
      <c r="A591" s="9" t="s">
        <v>256</v>
      </c>
      <c r="B591" s="2">
        <v>6</v>
      </c>
      <c r="C591" s="3" t="s">
        <v>95</v>
      </c>
      <c r="D591" s="3" t="s">
        <v>96</v>
      </c>
      <c r="E591" s="2"/>
      <c r="F591" s="2"/>
      <c r="G591" s="2" t="s">
        <v>65</v>
      </c>
      <c r="H591" s="2">
        <v>6</v>
      </c>
      <c r="I591" s="8">
        <v>104.95</v>
      </c>
      <c r="J591" s="8">
        <v>37900</v>
      </c>
      <c r="K591" s="3">
        <v>0</v>
      </c>
      <c r="L591" s="3" t="s">
        <v>3</v>
      </c>
      <c r="M591" s="9" t="s">
        <v>0</v>
      </c>
      <c r="N591" s="30" t="s">
        <v>262</v>
      </c>
      <c r="O591" s="9" t="s">
        <v>263</v>
      </c>
      <c r="P591" s="9" t="s">
        <v>0</v>
      </c>
      <c r="Q591" s="9" t="s">
        <v>16</v>
      </c>
      <c r="R591" s="9" t="s">
        <v>261</v>
      </c>
      <c r="S591" s="9" t="s">
        <v>158</v>
      </c>
      <c r="T591" s="10" t="s">
        <v>65</v>
      </c>
      <c r="U591" s="10">
        <v>7</v>
      </c>
      <c r="V591" s="10">
        <v>104.94</v>
      </c>
      <c r="W591" s="10" t="s">
        <v>710</v>
      </c>
      <c r="X591" s="17">
        <v>45013</v>
      </c>
      <c r="Y591" s="17">
        <v>45251</v>
      </c>
      <c r="Z591" s="19" t="s">
        <v>772</v>
      </c>
      <c r="AA591" s="210">
        <v>37670.400000000001</v>
      </c>
      <c r="AB591" s="9">
        <v>49</v>
      </c>
      <c r="AC591" s="9">
        <v>26</v>
      </c>
      <c r="AD591" s="17">
        <v>46203</v>
      </c>
      <c r="AE591" s="55">
        <v>540</v>
      </c>
      <c r="AF591" s="55"/>
      <c r="AP591" s="11"/>
      <c r="AQ591" s="11"/>
      <c r="AR591" s="11"/>
      <c r="AW591" s="9"/>
      <c r="BD591" s="9"/>
      <c r="CS591" s="11">
        <f t="shared" si="45"/>
        <v>0</v>
      </c>
      <c r="CT591" s="22">
        <f t="shared" si="46"/>
        <v>0</v>
      </c>
      <c r="CU591" s="22">
        <f t="shared" si="44"/>
        <v>0</v>
      </c>
      <c r="CV591" s="26">
        <f t="shared" si="47"/>
        <v>540</v>
      </c>
    </row>
    <row r="592" spans="1:100" x14ac:dyDescent="0.2">
      <c r="A592" s="9" t="s">
        <v>256</v>
      </c>
      <c r="B592" s="2">
        <v>6</v>
      </c>
      <c r="C592" s="3" t="s">
        <v>95</v>
      </c>
      <c r="D592" s="3" t="s">
        <v>96</v>
      </c>
      <c r="E592" s="2"/>
      <c r="F592" s="2"/>
      <c r="G592" s="2" t="s">
        <v>65</v>
      </c>
      <c r="H592" s="2">
        <v>6</v>
      </c>
      <c r="I592" s="8">
        <v>104.95</v>
      </c>
      <c r="J592" s="8">
        <v>37900</v>
      </c>
      <c r="K592" s="3">
        <v>0</v>
      </c>
      <c r="L592" s="3" t="s">
        <v>3</v>
      </c>
      <c r="M592" s="9" t="s">
        <v>0</v>
      </c>
      <c r="N592" s="30" t="s">
        <v>262</v>
      </c>
      <c r="O592" s="9" t="s">
        <v>263</v>
      </c>
      <c r="P592" s="9" t="s">
        <v>0</v>
      </c>
      <c r="Q592" s="9" t="s">
        <v>16</v>
      </c>
      <c r="R592" s="9" t="s">
        <v>261</v>
      </c>
      <c r="S592" s="9" t="s">
        <v>158</v>
      </c>
      <c r="T592" s="10" t="s">
        <v>65</v>
      </c>
      <c r="U592" s="10">
        <v>7</v>
      </c>
      <c r="V592" s="10">
        <v>104.94</v>
      </c>
      <c r="W592" s="10" t="s">
        <v>710</v>
      </c>
      <c r="X592" s="17">
        <v>45013</v>
      </c>
      <c r="Y592" s="17">
        <v>45251</v>
      </c>
      <c r="Z592" s="19" t="s">
        <v>772</v>
      </c>
      <c r="AA592" s="210">
        <v>37670.400000000001</v>
      </c>
      <c r="AB592" s="9">
        <v>49</v>
      </c>
      <c r="AC592" s="9">
        <v>27</v>
      </c>
      <c r="AD592" s="17">
        <v>46233</v>
      </c>
      <c r="AE592" s="55">
        <v>540</v>
      </c>
      <c r="AF592" s="55"/>
      <c r="AP592" s="11"/>
      <c r="AQ592" s="11"/>
      <c r="AR592" s="11"/>
      <c r="AW592" s="9"/>
      <c r="BD592" s="9"/>
      <c r="CS592" s="11">
        <f t="shared" si="45"/>
        <v>0</v>
      </c>
      <c r="CT592" s="22">
        <f t="shared" si="46"/>
        <v>0</v>
      </c>
      <c r="CU592" s="22">
        <f t="shared" si="44"/>
        <v>0</v>
      </c>
      <c r="CV592" s="26">
        <f t="shared" si="47"/>
        <v>540</v>
      </c>
    </row>
    <row r="593" spans="1:100" x14ac:dyDescent="0.2">
      <c r="A593" s="9" t="s">
        <v>256</v>
      </c>
      <c r="B593" s="2">
        <v>6</v>
      </c>
      <c r="C593" s="3" t="s">
        <v>95</v>
      </c>
      <c r="D593" s="3" t="s">
        <v>96</v>
      </c>
      <c r="E593" s="2"/>
      <c r="F593" s="2"/>
      <c r="G593" s="2" t="s">
        <v>65</v>
      </c>
      <c r="H593" s="2">
        <v>6</v>
      </c>
      <c r="I593" s="8">
        <v>104.95</v>
      </c>
      <c r="J593" s="8">
        <v>37900</v>
      </c>
      <c r="K593" s="3">
        <v>0</v>
      </c>
      <c r="L593" s="3" t="s">
        <v>3</v>
      </c>
      <c r="M593" s="9" t="s">
        <v>0</v>
      </c>
      <c r="N593" s="30" t="s">
        <v>262</v>
      </c>
      <c r="O593" s="9" t="s">
        <v>263</v>
      </c>
      <c r="P593" s="9" t="s">
        <v>0</v>
      </c>
      <c r="Q593" s="9" t="s">
        <v>16</v>
      </c>
      <c r="R593" s="9" t="s">
        <v>261</v>
      </c>
      <c r="S593" s="9" t="s">
        <v>158</v>
      </c>
      <c r="T593" s="10" t="s">
        <v>65</v>
      </c>
      <c r="U593" s="10">
        <v>7</v>
      </c>
      <c r="V593" s="10">
        <v>104.94</v>
      </c>
      <c r="W593" s="10" t="s">
        <v>710</v>
      </c>
      <c r="X593" s="17">
        <v>45013</v>
      </c>
      <c r="Y593" s="17">
        <v>45251</v>
      </c>
      <c r="Z593" s="19" t="s">
        <v>772</v>
      </c>
      <c r="AA593" s="210">
        <v>37670.400000000001</v>
      </c>
      <c r="AB593" s="9">
        <v>49</v>
      </c>
      <c r="AC593" s="9">
        <v>28</v>
      </c>
      <c r="AD593" s="17">
        <v>46264</v>
      </c>
      <c r="AE593" s="55">
        <v>540</v>
      </c>
      <c r="AF593" s="55"/>
      <c r="AP593" s="11"/>
      <c r="AQ593" s="11"/>
      <c r="AR593" s="11"/>
      <c r="AW593" s="9"/>
      <c r="BD593" s="9"/>
      <c r="CS593" s="11">
        <f t="shared" si="45"/>
        <v>0</v>
      </c>
      <c r="CT593" s="22">
        <f t="shared" si="46"/>
        <v>0</v>
      </c>
      <c r="CU593" s="22">
        <f t="shared" si="44"/>
        <v>0</v>
      </c>
      <c r="CV593" s="26">
        <f t="shared" si="47"/>
        <v>540</v>
      </c>
    </row>
    <row r="594" spans="1:100" x14ac:dyDescent="0.2">
      <c r="A594" s="9" t="s">
        <v>256</v>
      </c>
      <c r="B594" s="2">
        <v>6</v>
      </c>
      <c r="C594" s="3" t="s">
        <v>95</v>
      </c>
      <c r="D594" s="3" t="s">
        <v>96</v>
      </c>
      <c r="E594" s="2"/>
      <c r="F594" s="2"/>
      <c r="G594" s="2" t="s">
        <v>65</v>
      </c>
      <c r="H594" s="2">
        <v>6</v>
      </c>
      <c r="I594" s="8">
        <v>104.95</v>
      </c>
      <c r="J594" s="8">
        <v>37900</v>
      </c>
      <c r="K594" s="3">
        <v>0</v>
      </c>
      <c r="L594" s="3" t="s">
        <v>3</v>
      </c>
      <c r="M594" s="9" t="s">
        <v>0</v>
      </c>
      <c r="N594" s="30" t="s">
        <v>262</v>
      </c>
      <c r="O594" s="9" t="s">
        <v>263</v>
      </c>
      <c r="P594" s="9" t="s">
        <v>0</v>
      </c>
      <c r="Q594" s="9" t="s">
        <v>16</v>
      </c>
      <c r="R594" s="9" t="s">
        <v>261</v>
      </c>
      <c r="S594" s="9" t="s">
        <v>158</v>
      </c>
      <c r="T594" s="10" t="s">
        <v>65</v>
      </c>
      <c r="U594" s="10">
        <v>7</v>
      </c>
      <c r="V594" s="10">
        <v>104.94</v>
      </c>
      <c r="W594" s="10" t="s">
        <v>710</v>
      </c>
      <c r="X594" s="17">
        <v>45013</v>
      </c>
      <c r="Y594" s="17">
        <v>45251</v>
      </c>
      <c r="Z594" s="19" t="s">
        <v>772</v>
      </c>
      <c r="AA594" s="210">
        <v>37670.400000000001</v>
      </c>
      <c r="AB594" s="9">
        <v>49</v>
      </c>
      <c r="AC594" s="9">
        <v>29</v>
      </c>
      <c r="AD594" s="17">
        <v>46295</v>
      </c>
      <c r="AE594" s="55">
        <v>540</v>
      </c>
      <c r="AF594" s="55"/>
      <c r="AP594" s="11"/>
      <c r="AQ594" s="11"/>
      <c r="AR594" s="11"/>
      <c r="AW594" s="9"/>
      <c r="BD594" s="9"/>
      <c r="CS594" s="11">
        <f t="shared" si="45"/>
        <v>0</v>
      </c>
      <c r="CT594" s="22">
        <f t="shared" si="46"/>
        <v>0</v>
      </c>
      <c r="CU594" s="22">
        <f t="shared" si="44"/>
        <v>0</v>
      </c>
      <c r="CV594" s="26">
        <f t="shared" si="47"/>
        <v>540</v>
      </c>
    </row>
    <row r="595" spans="1:100" x14ac:dyDescent="0.2">
      <c r="A595" s="9" t="s">
        <v>256</v>
      </c>
      <c r="B595" s="2">
        <v>6</v>
      </c>
      <c r="C595" s="3" t="s">
        <v>95</v>
      </c>
      <c r="D595" s="3" t="s">
        <v>96</v>
      </c>
      <c r="E595" s="2"/>
      <c r="F595" s="2"/>
      <c r="G595" s="2" t="s">
        <v>65</v>
      </c>
      <c r="H595" s="2">
        <v>6</v>
      </c>
      <c r="I595" s="8">
        <v>104.95</v>
      </c>
      <c r="J595" s="8">
        <v>37900</v>
      </c>
      <c r="K595" s="3">
        <v>0</v>
      </c>
      <c r="L595" s="3" t="s">
        <v>3</v>
      </c>
      <c r="M595" s="9" t="s">
        <v>0</v>
      </c>
      <c r="N595" s="30" t="s">
        <v>262</v>
      </c>
      <c r="O595" s="9" t="s">
        <v>263</v>
      </c>
      <c r="P595" s="9" t="s">
        <v>0</v>
      </c>
      <c r="Q595" s="9" t="s">
        <v>16</v>
      </c>
      <c r="R595" s="9" t="s">
        <v>261</v>
      </c>
      <c r="S595" s="9" t="s">
        <v>158</v>
      </c>
      <c r="T595" s="10" t="s">
        <v>65</v>
      </c>
      <c r="U595" s="10">
        <v>7</v>
      </c>
      <c r="V595" s="10">
        <v>104.94</v>
      </c>
      <c r="W595" s="10" t="s">
        <v>710</v>
      </c>
      <c r="X595" s="17">
        <v>45013</v>
      </c>
      <c r="Y595" s="17">
        <v>45251</v>
      </c>
      <c r="Z595" s="19" t="s">
        <v>772</v>
      </c>
      <c r="AA595" s="210">
        <v>37670.400000000001</v>
      </c>
      <c r="AB595" s="9">
        <v>49</v>
      </c>
      <c r="AC595" s="9">
        <v>30</v>
      </c>
      <c r="AD595" s="17">
        <v>46325</v>
      </c>
      <c r="AE595" s="55">
        <v>540</v>
      </c>
      <c r="AF595" s="55"/>
      <c r="AP595" s="11"/>
      <c r="AQ595" s="11"/>
      <c r="AR595" s="11"/>
      <c r="AW595" s="9"/>
      <c r="BD595" s="9"/>
      <c r="CS595" s="11">
        <f t="shared" si="45"/>
        <v>0</v>
      </c>
      <c r="CT595" s="22">
        <f t="shared" si="46"/>
        <v>0</v>
      </c>
      <c r="CU595" s="22">
        <f t="shared" si="44"/>
        <v>0</v>
      </c>
      <c r="CV595" s="26">
        <f t="shared" si="47"/>
        <v>540</v>
      </c>
    </row>
    <row r="596" spans="1:100" x14ac:dyDescent="0.2">
      <c r="A596" s="9" t="s">
        <v>256</v>
      </c>
      <c r="B596" s="2">
        <v>6</v>
      </c>
      <c r="C596" s="3" t="s">
        <v>95</v>
      </c>
      <c r="D596" s="3" t="s">
        <v>96</v>
      </c>
      <c r="E596" s="2"/>
      <c r="F596" s="2"/>
      <c r="G596" s="2" t="s">
        <v>65</v>
      </c>
      <c r="H596" s="2">
        <v>6</v>
      </c>
      <c r="I596" s="8">
        <v>104.95</v>
      </c>
      <c r="J596" s="8">
        <v>37900</v>
      </c>
      <c r="K596" s="3">
        <v>0</v>
      </c>
      <c r="L596" s="3" t="s">
        <v>3</v>
      </c>
      <c r="M596" s="9" t="s">
        <v>0</v>
      </c>
      <c r="N596" s="30" t="s">
        <v>262</v>
      </c>
      <c r="O596" s="9" t="s">
        <v>263</v>
      </c>
      <c r="P596" s="9" t="s">
        <v>0</v>
      </c>
      <c r="Q596" s="9" t="s">
        <v>16</v>
      </c>
      <c r="R596" s="9" t="s">
        <v>261</v>
      </c>
      <c r="S596" s="9" t="s">
        <v>158</v>
      </c>
      <c r="T596" s="10" t="s">
        <v>65</v>
      </c>
      <c r="U596" s="10">
        <v>7</v>
      </c>
      <c r="V596" s="10">
        <v>104.94</v>
      </c>
      <c r="W596" s="10" t="s">
        <v>710</v>
      </c>
      <c r="X596" s="17">
        <v>45013</v>
      </c>
      <c r="Y596" s="17">
        <v>45251</v>
      </c>
      <c r="Z596" s="19" t="s">
        <v>772</v>
      </c>
      <c r="AA596" s="210">
        <v>37670.400000000001</v>
      </c>
      <c r="AB596" s="9">
        <v>49</v>
      </c>
      <c r="AC596" s="9">
        <v>31</v>
      </c>
      <c r="AD596" s="17">
        <v>46356</v>
      </c>
      <c r="AE596" s="55">
        <v>540</v>
      </c>
      <c r="AF596" s="55"/>
      <c r="AP596" s="11"/>
      <c r="AQ596" s="11"/>
      <c r="AR596" s="11"/>
      <c r="AW596" s="9"/>
      <c r="BD596" s="9"/>
      <c r="CS596" s="11">
        <f t="shared" si="45"/>
        <v>0</v>
      </c>
      <c r="CT596" s="22">
        <f t="shared" si="46"/>
        <v>0</v>
      </c>
      <c r="CU596" s="22">
        <f t="shared" si="44"/>
        <v>0</v>
      </c>
      <c r="CV596" s="26">
        <f t="shared" si="47"/>
        <v>540</v>
      </c>
    </row>
    <row r="597" spans="1:100" x14ac:dyDescent="0.2">
      <c r="A597" s="9" t="s">
        <v>256</v>
      </c>
      <c r="B597" s="2">
        <v>6</v>
      </c>
      <c r="C597" s="3" t="s">
        <v>95</v>
      </c>
      <c r="D597" s="3" t="s">
        <v>96</v>
      </c>
      <c r="E597" s="2"/>
      <c r="F597" s="2"/>
      <c r="G597" s="2" t="s">
        <v>65</v>
      </c>
      <c r="H597" s="2">
        <v>6</v>
      </c>
      <c r="I597" s="8">
        <v>104.95</v>
      </c>
      <c r="J597" s="8">
        <v>37900</v>
      </c>
      <c r="K597" s="3">
        <v>0</v>
      </c>
      <c r="L597" s="3" t="s">
        <v>3</v>
      </c>
      <c r="M597" s="9" t="s">
        <v>0</v>
      </c>
      <c r="N597" s="30" t="s">
        <v>262</v>
      </c>
      <c r="O597" s="9" t="s">
        <v>263</v>
      </c>
      <c r="P597" s="9" t="s">
        <v>0</v>
      </c>
      <c r="Q597" s="9" t="s">
        <v>16</v>
      </c>
      <c r="R597" s="9" t="s">
        <v>261</v>
      </c>
      <c r="S597" s="9" t="s">
        <v>158</v>
      </c>
      <c r="T597" s="10" t="s">
        <v>65</v>
      </c>
      <c r="U597" s="10">
        <v>7</v>
      </c>
      <c r="V597" s="10">
        <v>104.94</v>
      </c>
      <c r="W597" s="10" t="s">
        <v>710</v>
      </c>
      <c r="X597" s="17">
        <v>45013</v>
      </c>
      <c r="Y597" s="17">
        <v>45251</v>
      </c>
      <c r="Z597" s="19" t="s">
        <v>772</v>
      </c>
      <c r="AA597" s="210">
        <v>37670.400000000001</v>
      </c>
      <c r="AB597" s="9">
        <v>49</v>
      </c>
      <c r="AC597" s="9">
        <v>32</v>
      </c>
      <c r="AD597" s="17">
        <v>46386</v>
      </c>
      <c r="AE597" s="55">
        <v>540</v>
      </c>
      <c r="AF597" s="55"/>
      <c r="AP597" s="11"/>
      <c r="AQ597" s="11"/>
      <c r="AR597" s="11"/>
      <c r="AW597" s="9"/>
      <c r="BD597" s="9"/>
      <c r="CS597" s="11">
        <f t="shared" si="45"/>
        <v>0</v>
      </c>
      <c r="CT597" s="22">
        <f t="shared" si="46"/>
        <v>0</v>
      </c>
      <c r="CU597" s="22">
        <f t="shared" si="44"/>
        <v>0</v>
      </c>
      <c r="CV597" s="26">
        <f t="shared" si="47"/>
        <v>540</v>
      </c>
    </row>
    <row r="598" spans="1:100" x14ac:dyDescent="0.2">
      <c r="A598" s="9" t="s">
        <v>256</v>
      </c>
      <c r="B598" s="2">
        <v>6</v>
      </c>
      <c r="C598" s="3" t="s">
        <v>95</v>
      </c>
      <c r="D598" s="3" t="s">
        <v>96</v>
      </c>
      <c r="E598" s="2"/>
      <c r="F598" s="2"/>
      <c r="G598" s="2" t="s">
        <v>65</v>
      </c>
      <c r="H598" s="2">
        <v>6</v>
      </c>
      <c r="I598" s="8">
        <v>104.95</v>
      </c>
      <c r="J598" s="8">
        <v>37900</v>
      </c>
      <c r="K598" s="3">
        <v>0</v>
      </c>
      <c r="L598" s="3" t="s">
        <v>3</v>
      </c>
      <c r="M598" s="9" t="s">
        <v>0</v>
      </c>
      <c r="N598" s="30" t="s">
        <v>262</v>
      </c>
      <c r="O598" s="9" t="s">
        <v>263</v>
      </c>
      <c r="P598" s="9" t="s">
        <v>0</v>
      </c>
      <c r="Q598" s="9" t="s">
        <v>16</v>
      </c>
      <c r="R598" s="9" t="s">
        <v>261</v>
      </c>
      <c r="S598" s="9" t="s">
        <v>158</v>
      </c>
      <c r="T598" s="10" t="s">
        <v>65</v>
      </c>
      <c r="U598" s="10">
        <v>7</v>
      </c>
      <c r="V598" s="10">
        <v>104.94</v>
      </c>
      <c r="W598" s="10" t="s">
        <v>710</v>
      </c>
      <c r="X598" s="17">
        <v>45013</v>
      </c>
      <c r="Y598" s="17">
        <v>45251</v>
      </c>
      <c r="Z598" s="19" t="s">
        <v>772</v>
      </c>
      <c r="AA598" s="210">
        <v>37670.400000000001</v>
      </c>
      <c r="AB598" s="9">
        <v>49</v>
      </c>
      <c r="AC598" s="9">
        <v>33</v>
      </c>
      <c r="AD598" s="17">
        <v>46417</v>
      </c>
      <c r="AE598" s="55">
        <v>540</v>
      </c>
      <c r="AF598" s="55"/>
      <c r="AP598" s="11"/>
      <c r="AQ598" s="11"/>
      <c r="AR598" s="11"/>
      <c r="AW598" s="9"/>
      <c r="BD598" s="9"/>
      <c r="CS598" s="11">
        <f t="shared" si="45"/>
        <v>0</v>
      </c>
      <c r="CT598" s="22">
        <f t="shared" si="46"/>
        <v>0</v>
      </c>
      <c r="CU598" s="22">
        <f t="shared" si="44"/>
        <v>0</v>
      </c>
      <c r="CV598" s="26">
        <f t="shared" si="47"/>
        <v>540</v>
      </c>
    </row>
    <row r="599" spans="1:100" x14ac:dyDescent="0.2">
      <c r="A599" s="9" t="s">
        <v>256</v>
      </c>
      <c r="B599" s="2">
        <v>6</v>
      </c>
      <c r="C599" s="3" t="s">
        <v>95</v>
      </c>
      <c r="D599" s="3" t="s">
        <v>96</v>
      </c>
      <c r="E599" s="2"/>
      <c r="F599" s="2"/>
      <c r="G599" s="2" t="s">
        <v>65</v>
      </c>
      <c r="H599" s="2">
        <v>6</v>
      </c>
      <c r="I599" s="8">
        <v>104.95</v>
      </c>
      <c r="J599" s="8">
        <v>37900</v>
      </c>
      <c r="K599" s="3">
        <v>0</v>
      </c>
      <c r="L599" s="3" t="s">
        <v>3</v>
      </c>
      <c r="M599" s="9" t="s">
        <v>0</v>
      </c>
      <c r="N599" s="30" t="s">
        <v>262</v>
      </c>
      <c r="O599" s="9" t="s">
        <v>263</v>
      </c>
      <c r="P599" s="9" t="s">
        <v>0</v>
      </c>
      <c r="Q599" s="9" t="s">
        <v>16</v>
      </c>
      <c r="R599" s="9" t="s">
        <v>261</v>
      </c>
      <c r="S599" s="9" t="s">
        <v>158</v>
      </c>
      <c r="T599" s="10" t="s">
        <v>65</v>
      </c>
      <c r="U599" s="10">
        <v>7</v>
      </c>
      <c r="V599" s="10">
        <v>104.94</v>
      </c>
      <c r="W599" s="10" t="s">
        <v>710</v>
      </c>
      <c r="X599" s="17">
        <v>45013</v>
      </c>
      <c r="Y599" s="17">
        <v>45251</v>
      </c>
      <c r="Z599" s="19" t="s">
        <v>772</v>
      </c>
      <c r="AA599" s="210">
        <v>37670.400000000001</v>
      </c>
      <c r="AB599" s="9">
        <v>49</v>
      </c>
      <c r="AC599" s="9">
        <v>34</v>
      </c>
      <c r="AD599" s="17">
        <v>46446</v>
      </c>
      <c r="AE599" s="55">
        <v>540</v>
      </c>
      <c r="AF599" s="55"/>
      <c r="AP599" s="11"/>
      <c r="AQ599" s="11"/>
      <c r="AR599" s="11"/>
      <c r="AW599" s="9"/>
      <c r="BD599" s="9"/>
      <c r="CS599" s="11">
        <f t="shared" si="45"/>
        <v>0</v>
      </c>
      <c r="CT599" s="22">
        <f t="shared" si="46"/>
        <v>0</v>
      </c>
      <c r="CU599" s="22">
        <f t="shared" si="44"/>
        <v>0</v>
      </c>
      <c r="CV599" s="26">
        <f t="shared" si="47"/>
        <v>540</v>
      </c>
    </row>
    <row r="600" spans="1:100" x14ac:dyDescent="0.2">
      <c r="A600" s="9" t="s">
        <v>256</v>
      </c>
      <c r="B600" s="2">
        <v>6</v>
      </c>
      <c r="C600" s="3" t="s">
        <v>95</v>
      </c>
      <c r="D600" s="3" t="s">
        <v>96</v>
      </c>
      <c r="E600" s="2"/>
      <c r="F600" s="2"/>
      <c r="G600" s="2" t="s">
        <v>65</v>
      </c>
      <c r="H600" s="2">
        <v>6</v>
      </c>
      <c r="I600" s="8">
        <v>104.95</v>
      </c>
      <c r="J600" s="8">
        <v>37900</v>
      </c>
      <c r="K600" s="3">
        <v>0</v>
      </c>
      <c r="L600" s="3" t="s">
        <v>3</v>
      </c>
      <c r="M600" s="9" t="s">
        <v>0</v>
      </c>
      <c r="N600" s="30" t="s">
        <v>262</v>
      </c>
      <c r="O600" s="9" t="s">
        <v>263</v>
      </c>
      <c r="P600" s="9" t="s">
        <v>0</v>
      </c>
      <c r="Q600" s="9" t="s">
        <v>16</v>
      </c>
      <c r="R600" s="9" t="s">
        <v>261</v>
      </c>
      <c r="S600" s="9" t="s">
        <v>158</v>
      </c>
      <c r="T600" s="10" t="s">
        <v>65</v>
      </c>
      <c r="U600" s="10">
        <v>7</v>
      </c>
      <c r="V600" s="10">
        <v>104.94</v>
      </c>
      <c r="W600" s="10" t="s">
        <v>710</v>
      </c>
      <c r="X600" s="17">
        <v>45013</v>
      </c>
      <c r="Y600" s="17">
        <v>45251</v>
      </c>
      <c r="Z600" s="19" t="s">
        <v>772</v>
      </c>
      <c r="AA600" s="210">
        <v>37670.400000000001</v>
      </c>
      <c r="AB600" s="9">
        <v>49</v>
      </c>
      <c r="AC600" s="9">
        <v>35</v>
      </c>
      <c r="AD600" s="17">
        <v>46476</v>
      </c>
      <c r="AE600" s="55">
        <v>540</v>
      </c>
      <c r="AF600" s="55"/>
      <c r="AP600" s="11"/>
      <c r="AQ600" s="11"/>
      <c r="AR600" s="11"/>
      <c r="AW600" s="9"/>
      <c r="BD600" s="9"/>
      <c r="CS600" s="11">
        <f t="shared" si="45"/>
        <v>0</v>
      </c>
      <c r="CT600" s="22">
        <f t="shared" si="46"/>
        <v>0</v>
      </c>
      <c r="CU600" s="22">
        <f t="shared" si="44"/>
        <v>0</v>
      </c>
      <c r="CV600" s="26">
        <f t="shared" si="47"/>
        <v>540</v>
      </c>
    </row>
    <row r="601" spans="1:100" x14ac:dyDescent="0.2">
      <c r="A601" s="9" t="s">
        <v>256</v>
      </c>
      <c r="B601" s="2">
        <v>6</v>
      </c>
      <c r="C601" s="3" t="s">
        <v>95</v>
      </c>
      <c r="D601" s="3" t="s">
        <v>96</v>
      </c>
      <c r="E601" s="2"/>
      <c r="F601" s="2"/>
      <c r="G601" s="2" t="s">
        <v>65</v>
      </c>
      <c r="H601" s="2">
        <v>6</v>
      </c>
      <c r="I601" s="8">
        <v>104.95</v>
      </c>
      <c r="J601" s="8">
        <v>37900</v>
      </c>
      <c r="K601" s="3">
        <v>0</v>
      </c>
      <c r="L601" s="3" t="s">
        <v>3</v>
      </c>
      <c r="M601" s="9" t="s">
        <v>0</v>
      </c>
      <c r="N601" s="30" t="s">
        <v>262</v>
      </c>
      <c r="O601" s="9" t="s">
        <v>263</v>
      </c>
      <c r="P601" s="9" t="s">
        <v>0</v>
      </c>
      <c r="Q601" s="9" t="s">
        <v>16</v>
      </c>
      <c r="R601" s="9" t="s">
        <v>261</v>
      </c>
      <c r="S601" s="9" t="s">
        <v>158</v>
      </c>
      <c r="T601" s="10" t="s">
        <v>65</v>
      </c>
      <c r="U601" s="10">
        <v>7</v>
      </c>
      <c r="V601" s="10">
        <v>104.94</v>
      </c>
      <c r="W601" s="10" t="s">
        <v>710</v>
      </c>
      <c r="X601" s="17">
        <v>45013</v>
      </c>
      <c r="Y601" s="17">
        <v>45251</v>
      </c>
      <c r="Z601" s="19" t="s">
        <v>772</v>
      </c>
      <c r="AA601" s="210">
        <v>37670.400000000001</v>
      </c>
      <c r="AB601" s="9">
        <v>49</v>
      </c>
      <c r="AC601" s="9">
        <v>36</v>
      </c>
      <c r="AD601" s="17">
        <v>46507</v>
      </c>
      <c r="AE601" s="55">
        <v>540</v>
      </c>
      <c r="AF601" s="55"/>
      <c r="AP601" s="11"/>
      <c r="AQ601" s="11"/>
      <c r="AR601" s="11"/>
      <c r="AW601" s="9"/>
      <c r="BD601" s="9"/>
      <c r="CS601" s="11">
        <f t="shared" si="45"/>
        <v>0</v>
      </c>
      <c r="CT601" s="22">
        <f t="shared" si="46"/>
        <v>0</v>
      </c>
      <c r="CU601" s="22">
        <f t="shared" si="44"/>
        <v>0</v>
      </c>
      <c r="CV601" s="26">
        <f t="shared" si="47"/>
        <v>540</v>
      </c>
    </row>
    <row r="602" spans="1:100" x14ac:dyDescent="0.2">
      <c r="A602" s="9" t="s">
        <v>256</v>
      </c>
      <c r="B602" s="2">
        <v>6</v>
      </c>
      <c r="C602" s="3" t="s">
        <v>95</v>
      </c>
      <c r="D602" s="3" t="s">
        <v>96</v>
      </c>
      <c r="E602" s="2"/>
      <c r="F602" s="2"/>
      <c r="G602" s="2" t="s">
        <v>65</v>
      </c>
      <c r="H602" s="2">
        <v>6</v>
      </c>
      <c r="I602" s="8">
        <v>104.95</v>
      </c>
      <c r="J602" s="8">
        <v>37900</v>
      </c>
      <c r="K602" s="3">
        <v>0</v>
      </c>
      <c r="L602" s="3" t="s">
        <v>3</v>
      </c>
      <c r="M602" s="9" t="s">
        <v>0</v>
      </c>
      <c r="N602" s="30" t="s">
        <v>262</v>
      </c>
      <c r="O602" s="9" t="s">
        <v>263</v>
      </c>
      <c r="P602" s="9" t="s">
        <v>0</v>
      </c>
      <c r="Q602" s="9" t="s">
        <v>16</v>
      </c>
      <c r="R602" s="9" t="s">
        <v>261</v>
      </c>
      <c r="S602" s="9" t="s">
        <v>158</v>
      </c>
      <c r="T602" s="10" t="s">
        <v>65</v>
      </c>
      <c r="U602" s="10">
        <v>7</v>
      </c>
      <c r="V602" s="10">
        <v>104.94</v>
      </c>
      <c r="W602" s="10" t="s">
        <v>710</v>
      </c>
      <c r="X602" s="17">
        <v>45013</v>
      </c>
      <c r="Y602" s="17">
        <v>45251</v>
      </c>
      <c r="Z602" s="19" t="s">
        <v>772</v>
      </c>
      <c r="AA602" s="210">
        <v>37670.400000000001</v>
      </c>
      <c r="AB602" s="9">
        <v>49</v>
      </c>
      <c r="AC602" s="9">
        <v>37</v>
      </c>
      <c r="AD602" s="17">
        <v>46537</v>
      </c>
      <c r="AE602" s="55">
        <v>540</v>
      </c>
      <c r="AF602" s="55"/>
      <c r="AP602" s="11"/>
      <c r="AQ602" s="11"/>
      <c r="AR602" s="11"/>
      <c r="AW602" s="9"/>
      <c r="BD602" s="9"/>
      <c r="CS602" s="11">
        <f t="shared" si="45"/>
        <v>0</v>
      </c>
      <c r="CT602" s="22">
        <f t="shared" si="46"/>
        <v>0</v>
      </c>
      <c r="CU602" s="22">
        <f t="shared" si="44"/>
        <v>0</v>
      </c>
      <c r="CV602" s="26">
        <f t="shared" si="47"/>
        <v>540</v>
      </c>
    </row>
    <row r="603" spans="1:100" x14ac:dyDescent="0.2">
      <c r="A603" s="9" t="s">
        <v>256</v>
      </c>
      <c r="B603" s="2">
        <v>6</v>
      </c>
      <c r="C603" s="3" t="s">
        <v>95</v>
      </c>
      <c r="D603" s="3" t="s">
        <v>96</v>
      </c>
      <c r="E603" s="2"/>
      <c r="F603" s="2"/>
      <c r="G603" s="2" t="s">
        <v>65</v>
      </c>
      <c r="H603" s="2">
        <v>6</v>
      </c>
      <c r="I603" s="8">
        <v>104.95</v>
      </c>
      <c r="J603" s="8">
        <v>37900</v>
      </c>
      <c r="K603" s="3">
        <v>0</v>
      </c>
      <c r="L603" s="3" t="s">
        <v>3</v>
      </c>
      <c r="M603" s="9" t="s">
        <v>0</v>
      </c>
      <c r="N603" s="30" t="s">
        <v>262</v>
      </c>
      <c r="O603" s="9" t="s">
        <v>263</v>
      </c>
      <c r="P603" s="9" t="s">
        <v>0</v>
      </c>
      <c r="Q603" s="9" t="s">
        <v>16</v>
      </c>
      <c r="R603" s="9" t="s">
        <v>261</v>
      </c>
      <c r="S603" s="9" t="s">
        <v>158</v>
      </c>
      <c r="T603" s="10" t="s">
        <v>65</v>
      </c>
      <c r="U603" s="10">
        <v>7</v>
      </c>
      <c r="V603" s="10">
        <v>104.94</v>
      </c>
      <c r="W603" s="10" t="s">
        <v>710</v>
      </c>
      <c r="X603" s="17">
        <v>45013</v>
      </c>
      <c r="Y603" s="17">
        <v>45251</v>
      </c>
      <c r="Z603" s="19" t="s">
        <v>772</v>
      </c>
      <c r="AA603" s="210">
        <v>37670.400000000001</v>
      </c>
      <c r="AB603" s="9">
        <v>49</v>
      </c>
      <c r="AC603" s="9">
        <v>38</v>
      </c>
      <c r="AD603" s="17">
        <v>46568</v>
      </c>
      <c r="AE603" s="55">
        <v>540</v>
      </c>
      <c r="AF603" s="55"/>
      <c r="AP603" s="11"/>
      <c r="AQ603" s="11"/>
      <c r="AR603" s="11"/>
      <c r="AW603" s="9"/>
      <c r="BD603" s="9"/>
      <c r="CS603" s="11">
        <f t="shared" si="45"/>
        <v>0</v>
      </c>
      <c r="CT603" s="22">
        <f t="shared" si="46"/>
        <v>0</v>
      </c>
      <c r="CU603" s="22">
        <f t="shared" si="44"/>
        <v>0</v>
      </c>
      <c r="CV603" s="26">
        <f t="shared" si="47"/>
        <v>540</v>
      </c>
    </row>
    <row r="604" spans="1:100" x14ac:dyDescent="0.2">
      <c r="A604" s="9" t="s">
        <v>256</v>
      </c>
      <c r="B604" s="2">
        <v>6</v>
      </c>
      <c r="C604" s="3" t="s">
        <v>95</v>
      </c>
      <c r="D604" s="3" t="s">
        <v>96</v>
      </c>
      <c r="E604" s="2"/>
      <c r="F604" s="2"/>
      <c r="G604" s="2" t="s">
        <v>65</v>
      </c>
      <c r="H604" s="2">
        <v>6</v>
      </c>
      <c r="I604" s="8">
        <v>104.95</v>
      </c>
      <c r="J604" s="8">
        <v>37900</v>
      </c>
      <c r="K604" s="3">
        <v>0</v>
      </c>
      <c r="L604" s="3" t="s">
        <v>3</v>
      </c>
      <c r="M604" s="9" t="s">
        <v>0</v>
      </c>
      <c r="N604" s="30" t="s">
        <v>262</v>
      </c>
      <c r="O604" s="9" t="s">
        <v>263</v>
      </c>
      <c r="P604" s="9" t="s">
        <v>0</v>
      </c>
      <c r="Q604" s="9" t="s">
        <v>16</v>
      </c>
      <c r="R604" s="9" t="s">
        <v>261</v>
      </c>
      <c r="S604" s="9" t="s">
        <v>158</v>
      </c>
      <c r="T604" s="10" t="s">
        <v>65</v>
      </c>
      <c r="U604" s="10">
        <v>7</v>
      </c>
      <c r="V604" s="10">
        <v>104.94</v>
      </c>
      <c r="W604" s="10" t="s">
        <v>710</v>
      </c>
      <c r="X604" s="17">
        <v>45013</v>
      </c>
      <c r="Y604" s="17">
        <v>45251</v>
      </c>
      <c r="Z604" s="19" t="s">
        <v>772</v>
      </c>
      <c r="AA604" s="210">
        <v>37670.400000000001</v>
      </c>
      <c r="AB604" s="9">
        <v>49</v>
      </c>
      <c r="AC604" s="9">
        <v>39</v>
      </c>
      <c r="AD604" s="17">
        <v>46598</v>
      </c>
      <c r="AE604" s="55">
        <v>540</v>
      </c>
      <c r="AF604" s="55"/>
      <c r="AP604" s="11"/>
      <c r="AQ604" s="11"/>
      <c r="AR604" s="11"/>
      <c r="AW604" s="9"/>
      <c r="BD604" s="9"/>
      <c r="CS604" s="11">
        <f t="shared" si="45"/>
        <v>0</v>
      </c>
      <c r="CT604" s="22">
        <f t="shared" si="46"/>
        <v>0</v>
      </c>
      <c r="CU604" s="22">
        <f t="shared" ref="CU604:CU667" si="48">+CS604-CT604</f>
        <v>0</v>
      </c>
      <c r="CV604" s="26">
        <f t="shared" si="47"/>
        <v>540</v>
      </c>
    </row>
    <row r="605" spans="1:100" x14ac:dyDescent="0.2">
      <c r="A605" s="9" t="s">
        <v>256</v>
      </c>
      <c r="B605" s="2">
        <v>6</v>
      </c>
      <c r="C605" s="3" t="s">
        <v>95</v>
      </c>
      <c r="D605" s="3" t="s">
        <v>96</v>
      </c>
      <c r="E605" s="2"/>
      <c r="F605" s="2"/>
      <c r="G605" s="2" t="s">
        <v>65</v>
      </c>
      <c r="H605" s="2">
        <v>6</v>
      </c>
      <c r="I605" s="8">
        <v>104.95</v>
      </c>
      <c r="J605" s="8">
        <v>37900</v>
      </c>
      <c r="K605" s="3">
        <v>0</v>
      </c>
      <c r="L605" s="3" t="s">
        <v>3</v>
      </c>
      <c r="M605" s="9" t="s">
        <v>0</v>
      </c>
      <c r="N605" s="30" t="s">
        <v>262</v>
      </c>
      <c r="O605" s="9" t="s">
        <v>263</v>
      </c>
      <c r="P605" s="9" t="s">
        <v>0</v>
      </c>
      <c r="Q605" s="9" t="s">
        <v>16</v>
      </c>
      <c r="R605" s="9" t="s">
        <v>261</v>
      </c>
      <c r="S605" s="9" t="s">
        <v>158</v>
      </c>
      <c r="T605" s="10" t="s">
        <v>65</v>
      </c>
      <c r="U605" s="10">
        <v>7</v>
      </c>
      <c r="V605" s="10">
        <v>104.94</v>
      </c>
      <c r="W605" s="10" t="s">
        <v>710</v>
      </c>
      <c r="X605" s="17">
        <v>45013</v>
      </c>
      <c r="Y605" s="17">
        <v>45251</v>
      </c>
      <c r="Z605" s="19" t="s">
        <v>772</v>
      </c>
      <c r="AA605" s="210">
        <v>37670.400000000001</v>
      </c>
      <c r="AB605" s="9">
        <v>49</v>
      </c>
      <c r="AC605" s="9">
        <v>40</v>
      </c>
      <c r="AD605" s="17">
        <v>46629</v>
      </c>
      <c r="AE605" s="55">
        <v>540</v>
      </c>
      <c r="AF605" s="55"/>
      <c r="AP605" s="11"/>
      <c r="AQ605" s="11"/>
      <c r="AR605" s="11"/>
      <c r="AW605" s="9"/>
      <c r="BD605" s="9"/>
      <c r="CS605" s="11">
        <f t="shared" si="45"/>
        <v>0</v>
      </c>
      <c r="CT605" s="22">
        <f t="shared" si="46"/>
        <v>0</v>
      </c>
      <c r="CU605" s="22">
        <f t="shared" si="48"/>
        <v>0</v>
      </c>
      <c r="CV605" s="26">
        <f t="shared" si="47"/>
        <v>540</v>
      </c>
    </row>
    <row r="606" spans="1:100" x14ac:dyDescent="0.2">
      <c r="A606" s="9" t="s">
        <v>256</v>
      </c>
      <c r="B606" s="2">
        <v>6</v>
      </c>
      <c r="C606" s="3" t="s">
        <v>95</v>
      </c>
      <c r="D606" s="3" t="s">
        <v>96</v>
      </c>
      <c r="E606" s="2"/>
      <c r="F606" s="2"/>
      <c r="G606" s="2" t="s">
        <v>65</v>
      </c>
      <c r="H606" s="2">
        <v>6</v>
      </c>
      <c r="I606" s="8">
        <v>104.95</v>
      </c>
      <c r="J606" s="8">
        <v>37900</v>
      </c>
      <c r="K606" s="3">
        <v>0</v>
      </c>
      <c r="L606" s="3" t="s">
        <v>3</v>
      </c>
      <c r="M606" s="9" t="s">
        <v>0</v>
      </c>
      <c r="N606" s="30" t="s">
        <v>262</v>
      </c>
      <c r="O606" s="9" t="s">
        <v>263</v>
      </c>
      <c r="P606" s="9" t="s">
        <v>0</v>
      </c>
      <c r="Q606" s="9" t="s">
        <v>16</v>
      </c>
      <c r="R606" s="9" t="s">
        <v>261</v>
      </c>
      <c r="S606" s="9" t="s">
        <v>158</v>
      </c>
      <c r="T606" s="10" t="s">
        <v>65</v>
      </c>
      <c r="U606" s="10">
        <v>7</v>
      </c>
      <c r="V606" s="10">
        <v>104.94</v>
      </c>
      <c r="W606" s="10" t="s">
        <v>710</v>
      </c>
      <c r="X606" s="17">
        <v>45013</v>
      </c>
      <c r="Y606" s="17">
        <v>45251</v>
      </c>
      <c r="Z606" s="19" t="s">
        <v>772</v>
      </c>
      <c r="AA606" s="210">
        <v>37670.400000000001</v>
      </c>
      <c r="AB606" s="9">
        <v>49</v>
      </c>
      <c r="AC606" s="9">
        <v>41</v>
      </c>
      <c r="AD606" s="17">
        <v>46660</v>
      </c>
      <c r="AE606" s="55">
        <v>540</v>
      </c>
      <c r="AF606" s="55"/>
      <c r="AP606" s="11"/>
      <c r="AQ606" s="11"/>
      <c r="AR606" s="11"/>
      <c r="AW606" s="9"/>
      <c r="BD606" s="9"/>
      <c r="CS606" s="11">
        <f t="shared" si="45"/>
        <v>0</v>
      </c>
      <c r="CT606" s="22">
        <f t="shared" si="46"/>
        <v>0</v>
      </c>
      <c r="CU606" s="22">
        <f t="shared" si="48"/>
        <v>0</v>
      </c>
      <c r="CV606" s="26">
        <f t="shared" si="47"/>
        <v>540</v>
      </c>
    </row>
    <row r="607" spans="1:100" x14ac:dyDescent="0.2">
      <c r="A607" s="9" t="s">
        <v>256</v>
      </c>
      <c r="B607" s="2">
        <v>6</v>
      </c>
      <c r="C607" s="3" t="s">
        <v>95</v>
      </c>
      <c r="D607" s="3" t="s">
        <v>96</v>
      </c>
      <c r="E607" s="2"/>
      <c r="F607" s="2"/>
      <c r="G607" s="2" t="s">
        <v>65</v>
      </c>
      <c r="H607" s="2">
        <v>6</v>
      </c>
      <c r="I607" s="8">
        <v>104.95</v>
      </c>
      <c r="J607" s="8">
        <v>37900</v>
      </c>
      <c r="K607" s="3">
        <v>0</v>
      </c>
      <c r="L607" s="3" t="s">
        <v>3</v>
      </c>
      <c r="M607" s="9" t="s">
        <v>0</v>
      </c>
      <c r="N607" s="30" t="s">
        <v>262</v>
      </c>
      <c r="O607" s="9" t="s">
        <v>263</v>
      </c>
      <c r="P607" s="9" t="s">
        <v>0</v>
      </c>
      <c r="Q607" s="9" t="s">
        <v>16</v>
      </c>
      <c r="R607" s="9" t="s">
        <v>261</v>
      </c>
      <c r="S607" s="9" t="s">
        <v>158</v>
      </c>
      <c r="T607" s="10" t="s">
        <v>65</v>
      </c>
      <c r="U607" s="10">
        <v>7</v>
      </c>
      <c r="V607" s="10">
        <v>104.94</v>
      </c>
      <c r="W607" s="10" t="s">
        <v>710</v>
      </c>
      <c r="X607" s="17">
        <v>45013</v>
      </c>
      <c r="Y607" s="17">
        <v>45251</v>
      </c>
      <c r="Z607" s="19" t="s">
        <v>772</v>
      </c>
      <c r="AA607" s="210">
        <v>37670.400000000001</v>
      </c>
      <c r="AB607" s="9">
        <v>49</v>
      </c>
      <c r="AC607" s="9">
        <v>42</v>
      </c>
      <c r="AD607" s="17">
        <v>46690</v>
      </c>
      <c r="AE607" s="55">
        <v>540</v>
      </c>
      <c r="AF607" s="55"/>
      <c r="AP607" s="11"/>
      <c r="AQ607" s="11"/>
      <c r="AR607" s="11"/>
      <c r="AW607" s="9"/>
      <c r="BD607" s="9"/>
      <c r="CS607" s="11">
        <f t="shared" si="45"/>
        <v>0</v>
      </c>
      <c r="CT607" s="22">
        <f t="shared" si="46"/>
        <v>0</v>
      </c>
      <c r="CU607" s="22">
        <f t="shared" si="48"/>
        <v>0</v>
      </c>
      <c r="CV607" s="26">
        <f t="shared" si="47"/>
        <v>540</v>
      </c>
    </row>
    <row r="608" spans="1:100" x14ac:dyDescent="0.2">
      <c r="A608" s="9" t="s">
        <v>256</v>
      </c>
      <c r="B608" s="2">
        <v>6</v>
      </c>
      <c r="C608" s="3" t="s">
        <v>95</v>
      </c>
      <c r="D608" s="3" t="s">
        <v>96</v>
      </c>
      <c r="E608" s="2"/>
      <c r="F608" s="2"/>
      <c r="G608" s="2" t="s">
        <v>65</v>
      </c>
      <c r="H608" s="2">
        <v>6</v>
      </c>
      <c r="I608" s="8">
        <v>104.95</v>
      </c>
      <c r="J608" s="8">
        <v>37900</v>
      </c>
      <c r="K608" s="3">
        <v>0</v>
      </c>
      <c r="L608" s="3" t="s">
        <v>3</v>
      </c>
      <c r="M608" s="9" t="s">
        <v>0</v>
      </c>
      <c r="N608" s="30" t="s">
        <v>262</v>
      </c>
      <c r="O608" s="9" t="s">
        <v>263</v>
      </c>
      <c r="P608" s="9" t="s">
        <v>0</v>
      </c>
      <c r="Q608" s="9" t="s">
        <v>16</v>
      </c>
      <c r="R608" s="9" t="s">
        <v>261</v>
      </c>
      <c r="S608" s="9" t="s">
        <v>158</v>
      </c>
      <c r="T608" s="10" t="s">
        <v>65</v>
      </c>
      <c r="U608" s="10">
        <v>7</v>
      </c>
      <c r="V608" s="10">
        <v>104.94</v>
      </c>
      <c r="W608" s="10" t="s">
        <v>710</v>
      </c>
      <c r="X608" s="17">
        <v>45013</v>
      </c>
      <c r="Y608" s="17">
        <v>45251</v>
      </c>
      <c r="Z608" s="19" t="s">
        <v>772</v>
      </c>
      <c r="AA608" s="210">
        <v>37670.400000000001</v>
      </c>
      <c r="AB608" s="9">
        <v>49</v>
      </c>
      <c r="AC608" s="9">
        <v>43</v>
      </c>
      <c r="AD608" s="17">
        <v>46721</v>
      </c>
      <c r="AE608" s="55">
        <v>540</v>
      </c>
      <c r="AF608" s="55"/>
      <c r="AP608" s="11"/>
      <c r="AQ608" s="11"/>
      <c r="AR608" s="11"/>
      <c r="AW608" s="9"/>
      <c r="BD608" s="9"/>
      <c r="CS608" s="11">
        <f t="shared" si="45"/>
        <v>0</v>
      </c>
      <c r="CT608" s="22">
        <f t="shared" si="46"/>
        <v>0</v>
      </c>
      <c r="CU608" s="22">
        <f t="shared" si="48"/>
        <v>0</v>
      </c>
      <c r="CV608" s="26">
        <f t="shared" si="47"/>
        <v>540</v>
      </c>
    </row>
    <row r="609" spans="1:103" x14ac:dyDescent="0.2">
      <c r="A609" s="9" t="s">
        <v>256</v>
      </c>
      <c r="B609" s="2">
        <v>6</v>
      </c>
      <c r="C609" s="3" t="s">
        <v>95</v>
      </c>
      <c r="D609" s="3" t="s">
        <v>96</v>
      </c>
      <c r="E609" s="2"/>
      <c r="F609" s="2"/>
      <c r="G609" s="2" t="s">
        <v>65</v>
      </c>
      <c r="H609" s="2">
        <v>6</v>
      </c>
      <c r="I609" s="8">
        <v>104.95</v>
      </c>
      <c r="J609" s="8">
        <v>37900</v>
      </c>
      <c r="K609" s="3">
        <v>0</v>
      </c>
      <c r="L609" s="3" t="s">
        <v>3</v>
      </c>
      <c r="M609" s="9" t="s">
        <v>0</v>
      </c>
      <c r="N609" s="30" t="s">
        <v>262</v>
      </c>
      <c r="O609" s="9" t="s">
        <v>263</v>
      </c>
      <c r="P609" s="9" t="s">
        <v>0</v>
      </c>
      <c r="Q609" s="9" t="s">
        <v>16</v>
      </c>
      <c r="R609" s="9" t="s">
        <v>261</v>
      </c>
      <c r="S609" s="9" t="s">
        <v>158</v>
      </c>
      <c r="T609" s="10" t="s">
        <v>65</v>
      </c>
      <c r="U609" s="10">
        <v>7</v>
      </c>
      <c r="V609" s="10">
        <v>104.94</v>
      </c>
      <c r="W609" s="10" t="s">
        <v>710</v>
      </c>
      <c r="X609" s="17">
        <v>45013</v>
      </c>
      <c r="Y609" s="17">
        <v>45251</v>
      </c>
      <c r="Z609" s="19" t="s">
        <v>772</v>
      </c>
      <c r="AA609" s="210">
        <v>37670.400000000001</v>
      </c>
      <c r="AB609" s="9">
        <v>49</v>
      </c>
      <c r="AC609" s="9">
        <v>44</v>
      </c>
      <c r="AD609" s="17">
        <v>46751</v>
      </c>
      <c r="AE609" s="55">
        <v>540</v>
      </c>
      <c r="AF609" s="55"/>
      <c r="AP609" s="11"/>
      <c r="AQ609" s="11"/>
      <c r="AR609" s="11"/>
      <c r="AW609" s="9"/>
      <c r="BD609" s="9"/>
      <c r="CS609" s="11">
        <f t="shared" si="45"/>
        <v>0</v>
      </c>
      <c r="CT609" s="22">
        <f t="shared" si="46"/>
        <v>0</v>
      </c>
      <c r="CU609" s="22">
        <f t="shared" si="48"/>
        <v>0</v>
      </c>
      <c r="CV609" s="26">
        <f t="shared" si="47"/>
        <v>540</v>
      </c>
    </row>
    <row r="610" spans="1:103" x14ac:dyDescent="0.2">
      <c r="A610" s="9" t="s">
        <v>256</v>
      </c>
      <c r="B610" s="2">
        <v>6</v>
      </c>
      <c r="C610" s="3" t="s">
        <v>95</v>
      </c>
      <c r="D610" s="3" t="s">
        <v>96</v>
      </c>
      <c r="E610" s="2"/>
      <c r="F610" s="2"/>
      <c r="G610" s="2" t="s">
        <v>65</v>
      </c>
      <c r="H610" s="2">
        <v>6</v>
      </c>
      <c r="I610" s="8">
        <v>104.95</v>
      </c>
      <c r="J610" s="8">
        <v>37900</v>
      </c>
      <c r="K610" s="3">
        <v>0</v>
      </c>
      <c r="L610" s="3" t="s">
        <v>3</v>
      </c>
      <c r="M610" s="9" t="s">
        <v>0</v>
      </c>
      <c r="N610" s="30" t="s">
        <v>262</v>
      </c>
      <c r="O610" s="9" t="s">
        <v>263</v>
      </c>
      <c r="P610" s="9" t="s">
        <v>0</v>
      </c>
      <c r="Q610" s="9" t="s">
        <v>16</v>
      </c>
      <c r="R610" s="9" t="s">
        <v>261</v>
      </c>
      <c r="S610" s="9" t="s">
        <v>158</v>
      </c>
      <c r="T610" s="10" t="s">
        <v>65</v>
      </c>
      <c r="U610" s="10">
        <v>7</v>
      </c>
      <c r="V610" s="10">
        <v>104.94</v>
      </c>
      <c r="W610" s="10" t="s">
        <v>710</v>
      </c>
      <c r="X610" s="17">
        <v>45013</v>
      </c>
      <c r="Y610" s="17">
        <v>45251</v>
      </c>
      <c r="Z610" s="19" t="s">
        <v>772</v>
      </c>
      <c r="AA610" s="210">
        <v>37670.400000000001</v>
      </c>
      <c r="AB610" s="9">
        <v>49</v>
      </c>
      <c r="AC610" s="9">
        <v>45</v>
      </c>
      <c r="AD610" s="17">
        <v>46782</v>
      </c>
      <c r="AE610" s="55">
        <v>540</v>
      </c>
      <c r="AF610" s="55"/>
      <c r="AP610" s="11"/>
      <c r="AQ610" s="11"/>
      <c r="AR610" s="11"/>
      <c r="AW610" s="9"/>
      <c r="BD610" s="9"/>
      <c r="CS610" s="11">
        <f t="shared" si="45"/>
        <v>0</v>
      </c>
      <c r="CT610" s="22">
        <f t="shared" si="46"/>
        <v>0</v>
      </c>
      <c r="CU610" s="22">
        <f t="shared" si="48"/>
        <v>0</v>
      </c>
      <c r="CV610" s="26">
        <f t="shared" si="47"/>
        <v>540</v>
      </c>
    </row>
    <row r="611" spans="1:103" x14ac:dyDescent="0.2">
      <c r="A611" s="9" t="s">
        <v>256</v>
      </c>
      <c r="B611" s="2">
        <v>6</v>
      </c>
      <c r="C611" s="3" t="s">
        <v>95</v>
      </c>
      <c r="D611" s="3" t="s">
        <v>96</v>
      </c>
      <c r="E611" s="2"/>
      <c r="F611" s="2"/>
      <c r="G611" s="2" t="s">
        <v>65</v>
      </c>
      <c r="H611" s="2">
        <v>6</v>
      </c>
      <c r="I611" s="8">
        <v>104.95</v>
      </c>
      <c r="J611" s="8">
        <v>37900</v>
      </c>
      <c r="K611" s="3">
        <v>0</v>
      </c>
      <c r="L611" s="3" t="s">
        <v>3</v>
      </c>
      <c r="M611" s="9" t="s">
        <v>0</v>
      </c>
      <c r="N611" s="30" t="s">
        <v>262</v>
      </c>
      <c r="O611" s="9" t="s">
        <v>263</v>
      </c>
      <c r="P611" s="9" t="s">
        <v>0</v>
      </c>
      <c r="Q611" s="9" t="s">
        <v>16</v>
      </c>
      <c r="R611" s="9" t="s">
        <v>261</v>
      </c>
      <c r="S611" s="9" t="s">
        <v>158</v>
      </c>
      <c r="T611" s="10" t="s">
        <v>65</v>
      </c>
      <c r="U611" s="10">
        <v>7</v>
      </c>
      <c r="V611" s="10">
        <v>104.94</v>
      </c>
      <c r="W611" s="10" t="s">
        <v>710</v>
      </c>
      <c r="X611" s="17">
        <v>45013</v>
      </c>
      <c r="Y611" s="17">
        <v>45251</v>
      </c>
      <c r="Z611" s="19" t="s">
        <v>772</v>
      </c>
      <c r="AA611" s="210">
        <v>37670.400000000001</v>
      </c>
      <c r="AB611" s="9">
        <v>49</v>
      </c>
      <c r="AC611" s="9">
        <v>46</v>
      </c>
      <c r="AD611" s="17">
        <v>46812</v>
      </c>
      <c r="AE611" s="55">
        <v>540</v>
      </c>
      <c r="AF611" s="55"/>
      <c r="AP611" s="11"/>
      <c r="AQ611" s="11"/>
      <c r="AR611" s="11"/>
      <c r="AW611" s="9"/>
      <c r="BD611" s="9"/>
      <c r="CS611" s="11">
        <f t="shared" si="45"/>
        <v>0</v>
      </c>
      <c r="CT611" s="22">
        <f t="shared" si="46"/>
        <v>0</v>
      </c>
      <c r="CU611" s="22">
        <f t="shared" si="48"/>
        <v>0</v>
      </c>
      <c r="CV611" s="26">
        <f t="shared" si="47"/>
        <v>540</v>
      </c>
    </row>
    <row r="612" spans="1:103" x14ac:dyDescent="0.2">
      <c r="A612" s="9" t="s">
        <v>256</v>
      </c>
      <c r="B612" s="2">
        <v>6</v>
      </c>
      <c r="C612" s="3" t="s">
        <v>95</v>
      </c>
      <c r="D612" s="3" t="s">
        <v>96</v>
      </c>
      <c r="E612" s="2"/>
      <c r="F612" s="2"/>
      <c r="G612" s="2" t="s">
        <v>65</v>
      </c>
      <c r="H612" s="2">
        <v>6</v>
      </c>
      <c r="I612" s="8">
        <v>104.95</v>
      </c>
      <c r="J612" s="8">
        <v>37900</v>
      </c>
      <c r="K612" s="3">
        <v>0</v>
      </c>
      <c r="L612" s="3" t="s">
        <v>3</v>
      </c>
      <c r="M612" s="9" t="s">
        <v>0</v>
      </c>
      <c r="N612" s="30" t="s">
        <v>262</v>
      </c>
      <c r="O612" s="9" t="s">
        <v>263</v>
      </c>
      <c r="P612" s="9" t="s">
        <v>0</v>
      </c>
      <c r="Q612" s="9" t="s">
        <v>16</v>
      </c>
      <c r="R612" s="9" t="s">
        <v>261</v>
      </c>
      <c r="S612" s="9" t="s">
        <v>158</v>
      </c>
      <c r="T612" s="10" t="s">
        <v>65</v>
      </c>
      <c r="U612" s="10">
        <v>7</v>
      </c>
      <c r="V612" s="10">
        <v>104.94</v>
      </c>
      <c r="W612" s="10" t="s">
        <v>710</v>
      </c>
      <c r="X612" s="17">
        <v>45013</v>
      </c>
      <c r="Y612" s="17">
        <v>45251</v>
      </c>
      <c r="Z612" s="19" t="s">
        <v>772</v>
      </c>
      <c r="AA612" s="210">
        <v>37670.400000000001</v>
      </c>
      <c r="AB612" s="9">
        <v>49</v>
      </c>
      <c r="AC612" s="9">
        <v>47</v>
      </c>
      <c r="AD612" s="17">
        <v>46842</v>
      </c>
      <c r="AE612" s="55">
        <v>540</v>
      </c>
      <c r="AF612" s="55"/>
      <c r="AP612" s="11"/>
      <c r="AQ612" s="11"/>
      <c r="AR612" s="11"/>
      <c r="AW612" s="9"/>
      <c r="BD612" s="9"/>
      <c r="CS612" s="11">
        <f t="shared" si="45"/>
        <v>0</v>
      </c>
      <c r="CT612" s="22">
        <f t="shared" si="46"/>
        <v>0</v>
      </c>
      <c r="CU612" s="22">
        <f t="shared" si="48"/>
        <v>0</v>
      </c>
      <c r="CV612" s="26">
        <f t="shared" si="47"/>
        <v>540</v>
      </c>
    </row>
    <row r="613" spans="1:103" x14ac:dyDescent="0.2">
      <c r="A613" s="9" t="s">
        <v>256</v>
      </c>
      <c r="B613" s="2">
        <v>6</v>
      </c>
      <c r="C613" s="3" t="s">
        <v>95</v>
      </c>
      <c r="D613" s="3" t="s">
        <v>96</v>
      </c>
      <c r="E613" s="2"/>
      <c r="F613" s="2"/>
      <c r="G613" s="2" t="s">
        <v>65</v>
      </c>
      <c r="H613" s="2">
        <v>6</v>
      </c>
      <c r="I613" s="8">
        <v>104.95</v>
      </c>
      <c r="J613" s="8">
        <v>37900</v>
      </c>
      <c r="K613" s="3">
        <v>0</v>
      </c>
      <c r="L613" s="3" t="s">
        <v>3</v>
      </c>
      <c r="M613" s="9" t="s">
        <v>0</v>
      </c>
      <c r="N613" s="30" t="s">
        <v>262</v>
      </c>
      <c r="O613" s="9" t="s">
        <v>263</v>
      </c>
      <c r="P613" s="9" t="s">
        <v>0</v>
      </c>
      <c r="Q613" s="9" t="s">
        <v>16</v>
      </c>
      <c r="R613" s="9" t="s">
        <v>261</v>
      </c>
      <c r="S613" s="9" t="s">
        <v>158</v>
      </c>
      <c r="T613" s="10" t="s">
        <v>65</v>
      </c>
      <c r="U613" s="10">
        <v>7</v>
      </c>
      <c r="V613" s="10">
        <v>104.94</v>
      </c>
      <c r="W613" s="10" t="s">
        <v>710</v>
      </c>
      <c r="X613" s="17">
        <v>45013</v>
      </c>
      <c r="Y613" s="17">
        <v>45251</v>
      </c>
      <c r="Z613" s="19" t="s">
        <v>772</v>
      </c>
      <c r="AA613" s="210">
        <v>37670.400000000001</v>
      </c>
      <c r="AB613" s="9">
        <v>49</v>
      </c>
      <c r="AC613" s="9">
        <v>48</v>
      </c>
      <c r="AD613" s="17">
        <v>46873</v>
      </c>
      <c r="AE613" s="55">
        <v>540</v>
      </c>
      <c r="AF613" s="55"/>
      <c r="AP613" s="11"/>
      <c r="AQ613" s="11"/>
      <c r="AR613" s="11"/>
      <c r="AW613" s="9"/>
      <c r="BD613" s="9"/>
      <c r="CS613" s="11">
        <f t="shared" si="45"/>
        <v>0</v>
      </c>
      <c r="CT613" s="22">
        <f t="shared" si="46"/>
        <v>0</v>
      </c>
      <c r="CU613" s="22">
        <f t="shared" si="48"/>
        <v>0</v>
      </c>
      <c r="CV613" s="26">
        <f t="shared" si="47"/>
        <v>540</v>
      </c>
    </row>
    <row r="614" spans="1:103" x14ac:dyDescent="0.2">
      <c r="A614" s="9" t="s">
        <v>256</v>
      </c>
      <c r="B614" s="2">
        <v>6</v>
      </c>
      <c r="C614" s="3" t="s">
        <v>95</v>
      </c>
      <c r="D614" s="3" t="s">
        <v>96</v>
      </c>
      <c r="E614" s="2"/>
      <c r="F614" s="2"/>
      <c r="G614" s="2" t="s">
        <v>65</v>
      </c>
      <c r="H614" s="2">
        <v>6</v>
      </c>
      <c r="I614" s="8">
        <v>104.95</v>
      </c>
      <c r="J614" s="8">
        <v>37900</v>
      </c>
      <c r="K614" s="3">
        <v>0</v>
      </c>
      <c r="L614" s="3" t="s">
        <v>3</v>
      </c>
      <c r="M614" s="9" t="s">
        <v>0</v>
      </c>
      <c r="N614" s="30" t="s">
        <v>262</v>
      </c>
      <c r="O614" s="9" t="s">
        <v>263</v>
      </c>
      <c r="P614" s="9" t="s">
        <v>0</v>
      </c>
      <c r="Q614" s="9" t="s">
        <v>16</v>
      </c>
      <c r="R614" s="9" t="s">
        <v>261</v>
      </c>
      <c r="S614" s="9" t="s">
        <v>158</v>
      </c>
      <c r="T614" s="10" t="s">
        <v>65</v>
      </c>
      <c r="U614" s="10">
        <v>7</v>
      </c>
      <c r="V614" s="10">
        <v>104.94</v>
      </c>
      <c r="W614" s="10" t="s">
        <v>710</v>
      </c>
      <c r="X614" s="17">
        <v>45013</v>
      </c>
      <c r="Y614" s="17">
        <v>45251</v>
      </c>
      <c r="Z614" s="19" t="s">
        <v>772</v>
      </c>
      <c r="AA614" s="210">
        <v>37670.400000000001</v>
      </c>
      <c r="AB614" s="9">
        <v>49</v>
      </c>
      <c r="AC614" s="9">
        <v>49</v>
      </c>
      <c r="AD614" s="17">
        <v>46903</v>
      </c>
      <c r="AE614" s="55">
        <v>455.54</v>
      </c>
      <c r="AF614" s="55"/>
      <c r="AP614" s="11"/>
      <c r="AQ614" s="11"/>
      <c r="AR614" s="11"/>
      <c r="AW614" s="9"/>
      <c r="BD614" s="9"/>
      <c r="CS614" s="11">
        <f t="shared" si="45"/>
        <v>0</v>
      </c>
      <c r="CT614" s="22">
        <f t="shared" si="46"/>
        <v>0</v>
      </c>
      <c r="CU614" s="22">
        <f t="shared" si="48"/>
        <v>0</v>
      </c>
      <c r="CV614" s="26">
        <f t="shared" si="47"/>
        <v>455.54</v>
      </c>
    </row>
    <row r="615" spans="1:103" x14ac:dyDescent="0.2">
      <c r="A615" s="9" t="s">
        <v>257</v>
      </c>
      <c r="B615" s="2">
        <v>71</v>
      </c>
      <c r="C615" s="3" t="s">
        <v>95</v>
      </c>
      <c r="D615" s="3" t="s">
        <v>96</v>
      </c>
      <c r="E615" s="2" t="s">
        <v>68</v>
      </c>
      <c r="F615" s="2">
        <v>15</v>
      </c>
      <c r="G615" s="2" t="s">
        <v>73</v>
      </c>
      <c r="H615" s="2">
        <v>5</v>
      </c>
      <c r="I615" s="8">
        <v>120.73</v>
      </c>
      <c r="J615" s="8">
        <v>34900</v>
      </c>
      <c r="K615" s="3">
        <v>0</v>
      </c>
      <c r="L615" s="3" t="s">
        <v>3</v>
      </c>
      <c r="M615" s="9" t="s">
        <v>0</v>
      </c>
      <c r="N615" s="9" t="s">
        <v>17</v>
      </c>
      <c r="O615" s="9" t="s">
        <v>267</v>
      </c>
      <c r="S615" s="9" t="s">
        <v>158</v>
      </c>
      <c r="T615" s="10" t="s">
        <v>73</v>
      </c>
      <c r="U615" s="10">
        <v>5</v>
      </c>
      <c r="V615" s="10">
        <v>120.73</v>
      </c>
      <c r="W615" s="10" t="s">
        <v>710</v>
      </c>
      <c r="X615" s="17">
        <v>44891</v>
      </c>
      <c r="Y615" s="17">
        <v>44907</v>
      </c>
      <c r="Z615" s="19" t="s">
        <v>772</v>
      </c>
      <c r="AA615" s="210">
        <v>35900</v>
      </c>
      <c r="AB615" s="9">
        <v>24</v>
      </c>
      <c r="AC615" s="9">
        <v>0</v>
      </c>
      <c r="AD615" s="17">
        <v>44891</v>
      </c>
      <c r="AE615" s="56">
        <v>50</v>
      </c>
      <c r="AF615" s="56"/>
      <c r="AG615" s="9" t="s">
        <v>134</v>
      </c>
      <c r="AH615" s="17">
        <v>44907</v>
      </c>
      <c r="AI615" s="9">
        <v>6294731</v>
      </c>
      <c r="AJ615" s="9" t="s">
        <v>2734</v>
      </c>
      <c r="AK615" s="9" t="s">
        <v>2731</v>
      </c>
      <c r="AL615" s="11">
        <v>50</v>
      </c>
      <c r="AN615" s="11" t="s">
        <v>2735</v>
      </c>
      <c r="AP615" s="11"/>
      <c r="AQ615" s="11"/>
      <c r="AR615" s="11"/>
      <c r="AW615" s="9"/>
      <c r="BB615" s="11" t="s">
        <v>2024</v>
      </c>
      <c r="BD615" s="9"/>
      <c r="CS615" s="11">
        <f t="shared" si="45"/>
        <v>50</v>
      </c>
      <c r="CT615" s="22">
        <f t="shared" si="46"/>
        <v>0</v>
      </c>
      <c r="CU615" s="22">
        <f t="shared" si="48"/>
        <v>50</v>
      </c>
      <c r="CV615" s="26">
        <f t="shared" si="47"/>
        <v>0</v>
      </c>
      <c r="CW615" s="9" t="s">
        <v>3494</v>
      </c>
      <c r="CY615" s="9" t="s">
        <v>3493</v>
      </c>
    </row>
    <row r="616" spans="1:103" x14ac:dyDescent="0.2">
      <c r="A616" s="9" t="s">
        <v>257</v>
      </c>
      <c r="B616" s="2">
        <v>71</v>
      </c>
      <c r="C616" s="3" t="s">
        <v>95</v>
      </c>
      <c r="D616" s="3" t="s">
        <v>96</v>
      </c>
      <c r="E616" s="2" t="s">
        <v>68</v>
      </c>
      <c r="F616" s="2">
        <v>15</v>
      </c>
      <c r="G616" s="2" t="s">
        <v>73</v>
      </c>
      <c r="H616" s="2">
        <v>5</v>
      </c>
      <c r="I616" s="8">
        <v>120.73</v>
      </c>
      <c r="J616" s="8">
        <v>34900</v>
      </c>
      <c r="K616" s="3">
        <v>0</v>
      </c>
      <c r="L616" s="3" t="s">
        <v>3</v>
      </c>
      <c r="M616" s="9" t="s">
        <v>0</v>
      </c>
      <c r="N616" s="9" t="s">
        <v>17</v>
      </c>
      <c r="O616" s="9" t="s">
        <v>267</v>
      </c>
      <c r="S616" s="9" t="s">
        <v>158</v>
      </c>
      <c r="T616" s="10" t="s">
        <v>73</v>
      </c>
      <c r="U616" s="10">
        <v>5</v>
      </c>
      <c r="V616" s="10">
        <v>120.73</v>
      </c>
      <c r="W616" s="10" t="s">
        <v>710</v>
      </c>
      <c r="X616" s="17">
        <v>44891</v>
      </c>
      <c r="Y616" s="17">
        <v>44907</v>
      </c>
      <c r="Z616" s="19" t="s">
        <v>772</v>
      </c>
      <c r="AA616" s="210">
        <v>35900</v>
      </c>
      <c r="AB616" s="9">
        <v>24</v>
      </c>
      <c r="AC616" s="9">
        <v>0</v>
      </c>
      <c r="AD616" s="17">
        <v>44903</v>
      </c>
      <c r="AE616" s="56">
        <v>1038.69</v>
      </c>
      <c r="AF616" s="56"/>
      <c r="AG616" s="9" t="s">
        <v>134</v>
      </c>
      <c r="AH616" s="17">
        <v>44910</v>
      </c>
      <c r="AI616" s="9">
        <v>6294731</v>
      </c>
      <c r="AJ616" s="9" t="s">
        <v>2734</v>
      </c>
      <c r="AK616" s="9" t="s">
        <v>2732</v>
      </c>
      <c r="AL616" s="11">
        <v>1038.69</v>
      </c>
      <c r="AN616" s="11" t="s">
        <v>2736</v>
      </c>
      <c r="AP616" s="11"/>
      <c r="AQ616" s="11"/>
      <c r="AR616" s="11"/>
      <c r="AW616" s="9"/>
      <c r="BB616" s="11" t="s">
        <v>2024</v>
      </c>
      <c r="BD616" s="9"/>
      <c r="CS616" s="11">
        <f t="shared" si="45"/>
        <v>1038.69</v>
      </c>
      <c r="CT616" s="22">
        <f t="shared" si="46"/>
        <v>0</v>
      </c>
      <c r="CU616" s="22">
        <f t="shared" si="48"/>
        <v>1038.69</v>
      </c>
      <c r="CV616" s="26">
        <f t="shared" si="47"/>
        <v>0</v>
      </c>
      <c r="CW616" s="9" t="s">
        <v>3494</v>
      </c>
      <c r="CY616" s="9" t="s">
        <v>3493</v>
      </c>
    </row>
    <row r="617" spans="1:103" x14ac:dyDescent="0.2">
      <c r="A617" s="9" t="s">
        <v>257</v>
      </c>
      <c r="B617" s="2">
        <v>71</v>
      </c>
      <c r="C617" s="3" t="s">
        <v>95</v>
      </c>
      <c r="D617" s="3" t="s">
        <v>96</v>
      </c>
      <c r="E617" s="2" t="s">
        <v>68</v>
      </c>
      <c r="F617" s="2">
        <v>15</v>
      </c>
      <c r="G617" s="2" t="s">
        <v>73</v>
      </c>
      <c r="H617" s="2">
        <v>5</v>
      </c>
      <c r="I617" s="8">
        <v>120.73</v>
      </c>
      <c r="J617" s="8">
        <v>34900</v>
      </c>
      <c r="K617" s="3">
        <v>0</v>
      </c>
      <c r="L617" s="3" t="s">
        <v>3</v>
      </c>
      <c r="M617" s="9" t="s">
        <v>0</v>
      </c>
      <c r="N617" s="9" t="s">
        <v>17</v>
      </c>
      <c r="O617" s="9" t="s">
        <v>267</v>
      </c>
      <c r="S617" s="9" t="s">
        <v>158</v>
      </c>
      <c r="T617" s="10" t="s">
        <v>73</v>
      </c>
      <c r="U617" s="10">
        <v>5</v>
      </c>
      <c r="V617" s="10">
        <v>120.73</v>
      </c>
      <c r="W617" s="10" t="s">
        <v>710</v>
      </c>
      <c r="X617" s="17">
        <v>44891</v>
      </c>
      <c r="Y617" s="17">
        <v>44907</v>
      </c>
      <c r="Z617" s="19" t="s">
        <v>772</v>
      </c>
      <c r="AA617" s="210">
        <v>35900</v>
      </c>
      <c r="AB617" s="9">
        <v>24</v>
      </c>
      <c r="AC617" s="9">
        <v>0</v>
      </c>
      <c r="AD617" s="17">
        <v>44909</v>
      </c>
      <c r="AE617" s="56">
        <v>8911.31</v>
      </c>
      <c r="AF617" s="56"/>
      <c r="AG617" s="9" t="s">
        <v>134</v>
      </c>
      <c r="AH617" s="17">
        <v>44891</v>
      </c>
      <c r="AI617" s="9">
        <v>6294731</v>
      </c>
      <c r="AJ617" s="9" t="s">
        <v>2734</v>
      </c>
      <c r="AK617" s="9" t="s">
        <v>2733</v>
      </c>
      <c r="AL617" s="11">
        <v>8911.31</v>
      </c>
      <c r="AN617" s="11" t="s">
        <v>2737</v>
      </c>
      <c r="AP617" s="11"/>
      <c r="AQ617" s="11"/>
      <c r="AR617" s="11"/>
      <c r="AW617" s="9"/>
      <c r="BB617" s="11" t="s">
        <v>2024</v>
      </c>
      <c r="BD617" s="9"/>
      <c r="CS617" s="11">
        <f t="shared" si="45"/>
        <v>8911.31</v>
      </c>
      <c r="CT617" s="22">
        <f t="shared" si="46"/>
        <v>0</v>
      </c>
      <c r="CU617" s="22">
        <f t="shared" si="48"/>
        <v>8911.31</v>
      </c>
      <c r="CV617" s="26">
        <f t="shared" si="47"/>
        <v>0</v>
      </c>
      <c r="CW617" s="9" t="s">
        <v>3494</v>
      </c>
      <c r="CY617" s="9" t="s">
        <v>3493</v>
      </c>
    </row>
    <row r="618" spans="1:103" x14ac:dyDescent="0.2">
      <c r="A618" s="9" t="s">
        <v>257</v>
      </c>
      <c r="B618" s="2">
        <v>71</v>
      </c>
      <c r="C618" s="3" t="s">
        <v>95</v>
      </c>
      <c r="D618" s="3" t="s">
        <v>96</v>
      </c>
      <c r="E618" s="2" t="s">
        <v>68</v>
      </c>
      <c r="F618" s="2">
        <v>15</v>
      </c>
      <c r="G618" s="2" t="s">
        <v>73</v>
      </c>
      <c r="H618" s="2">
        <v>5</v>
      </c>
      <c r="I618" s="8">
        <v>120.73</v>
      </c>
      <c r="J618" s="8">
        <v>34900</v>
      </c>
      <c r="K618" s="3">
        <v>0</v>
      </c>
      <c r="L618" s="3" t="s">
        <v>3</v>
      </c>
      <c r="M618" s="9" t="s">
        <v>0</v>
      </c>
      <c r="N618" s="9" t="s">
        <v>17</v>
      </c>
      <c r="O618" s="9" t="s">
        <v>267</v>
      </c>
      <c r="S618" s="9" t="s">
        <v>158</v>
      </c>
      <c r="T618" s="10" t="s">
        <v>73</v>
      </c>
      <c r="U618" s="10">
        <v>5</v>
      </c>
      <c r="V618" s="10">
        <v>120.73</v>
      </c>
      <c r="W618" s="10" t="s">
        <v>710</v>
      </c>
      <c r="X618" s="17">
        <v>44891</v>
      </c>
      <c r="Y618" s="17">
        <v>44907</v>
      </c>
      <c r="Z618" s="19" t="s">
        <v>772</v>
      </c>
      <c r="AA618" s="210">
        <v>35900</v>
      </c>
      <c r="AB618" s="9">
        <v>24</v>
      </c>
      <c r="AC618" s="9">
        <v>1</v>
      </c>
      <c r="AD618" s="17">
        <v>44972</v>
      </c>
      <c r="AE618" s="56">
        <v>1079.17</v>
      </c>
      <c r="AF618" s="56"/>
      <c r="AG618" s="9" t="s">
        <v>134</v>
      </c>
      <c r="AH618" s="17">
        <v>44972</v>
      </c>
      <c r="AI618" s="9">
        <v>6294731</v>
      </c>
      <c r="AJ618" s="9" t="s">
        <v>2734</v>
      </c>
      <c r="AK618" s="9" t="s">
        <v>2738</v>
      </c>
      <c r="AL618" s="11">
        <v>1079.17</v>
      </c>
      <c r="AN618" s="11" t="s">
        <v>2749</v>
      </c>
      <c r="AP618" s="11"/>
      <c r="AQ618" s="11"/>
      <c r="AR618" s="11"/>
      <c r="AW618" s="17">
        <v>44973</v>
      </c>
      <c r="AX618" s="9" t="s">
        <v>2786</v>
      </c>
      <c r="AY618" s="86">
        <f>+BA618*AZ618</f>
        <v>4187.1796000000004</v>
      </c>
      <c r="AZ618" s="9">
        <v>3.88</v>
      </c>
      <c r="BA618" s="11">
        <v>1079.17</v>
      </c>
      <c r="BB618" s="11" t="s">
        <v>3221</v>
      </c>
      <c r="BD618" s="9"/>
      <c r="CS618" s="11">
        <f t="shared" si="45"/>
        <v>1079.17</v>
      </c>
      <c r="CT618" s="22">
        <f t="shared" si="46"/>
        <v>1079.17</v>
      </c>
      <c r="CU618" s="22">
        <f t="shared" si="48"/>
        <v>0</v>
      </c>
      <c r="CV618" s="26">
        <f t="shared" si="47"/>
        <v>0</v>
      </c>
    </row>
    <row r="619" spans="1:103" x14ac:dyDescent="0.2">
      <c r="A619" s="9" t="s">
        <v>257</v>
      </c>
      <c r="B619" s="2">
        <v>71</v>
      </c>
      <c r="C619" s="3" t="s">
        <v>95</v>
      </c>
      <c r="D619" s="3" t="s">
        <v>96</v>
      </c>
      <c r="E619" s="2" t="s">
        <v>68</v>
      </c>
      <c r="F619" s="2">
        <v>15</v>
      </c>
      <c r="G619" s="2" t="s">
        <v>73</v>
      </c>
      <c r="H619" s="2">
        <v>5</v>
      </c>
      <c r="I619" s="8">
        <v>120.73</v>
      </c>
      <c r="J619" s="8">
        <v>34900</v>
      </c>
      <c r="K619" s="3">
        <v>0</v>
      </c>
      <c r="L619" s="3" t="s">
        <v>3</v>
      </c>
      <c r="M619" s="9" t="s">
        <v>0</v>
      </c>
      <c r="N619" s="9" t="s">
        <v>17</v>
      </c>
      <c r="O619" s="9" t="s">
        <v>267</v>
      </c>
      <c r="S619" s="9" t="s">
        <v>158</v>
      </c>
      <c r="T619" s="10" t="s">
        <v>73</v>
      </c>
      <c r="U619" s="10">
        <v>5</v>
      </c>
      <c r="V619" s="10">
        <v>120.73</v>
      </c>
      <c r="W619" s="10" t="s">
        <v>710</v>
      </c>
      <c r="X619" s="17">
        <v>44891</v>
      </c>
      <c r="Y619" s="17">
        <v>44907</v>
      </c>
      <c r="Z619" s="19" t="s">
        <v>772</v>
      </c>
      <c r="AA619" s="210">
        <v>35900</v>
      </c>
      <c r="AB619" s="9">
        <v>24</v>
      </c>
      <c r="AC619" s="9">
        <v>2</v>
      </c>
      <c r="AD619" s="17">
        <v>45000</v>
      </c>
      <c r="AE619" s="56">
        <v>1079.17</v>
      </c>
      <c r="AF619" s="56"/>
      <c r="AG619" s="9" t="s">
        <v>134</v>
      </c>
      <c r="AH619" s="17">
        <v>44999</v>
      </c>
      <c r="AI619" s="9">
        <v>6294731</v>
      </c>
      <c r="AJ619" s="9" t="s">
        <v>2734</v>
      </c>
      <c r="AK619" s="9" t="s">
        <v>2739</v>
      </c>
      <c r="AL619" s="11">
        <v>1079.17</v>
      </c>
      <c r="AN619" s="11" t="s">
        <v>2750</v>
      </c>
      <c r="AP619" s="11"/>
      <c r="AQ619" s="11"/>
      <c r="AR619" s="11"/>
      <c r="AW619" s="17">
        <v>45001</v>
      </c>
      <c r="AX619" s="9">
        <v>1329</v>
      </c>
      <c r="BA619" s="11">
        <v>1079.17</v>
      </c>
      <c r="BD619" s="9"/>
      <c r="CS619" s="11">
        <f t="shared" si="45"/>
        <v>1079.17</v>
      </c>
      <c r="CT619" s="22">
        <f t="shared" si="46"/>
        <v>1079.17</v>
      </c>
      <c r="CU619" s="22">
        <f t="shared" si="48"/>
        <v>0</v>
      </c>
      <c r="CV619" s="26">
        <f t="shared" si="47"/>
        <v>0</v>
      </c>
    </row>
    <row r="620" spans="1:103" x14ac:dyDescent="0.2">
      <c r="A620" s="9" t="s">
        <v>257</v>
      </c>
      <c r="B620" s="2">
        <v>71</v>
      </c>
      <c r="C620" s="3" t="s">
        <v>95</v>
      </c>
      <c r="D620" s="3" t="s">
        <v>96</v>
      </c>
      <c r="E620" s="2" t="s">
        <v>68</v>
      </c>
      <c r="F620" s="2">
        <v>15</v>
      </c>
      <c r="G620" s="2" t="s">
        <v>73</v>
      </c>
      <c r="H620" s="2">
        <v>5</v>
      </c>
      <c r="I620" s="8">
        <v>120.73</v>
      </c>
      <c r="J620" s="8">
        <v>34900</v>
      </c>
      <c r="K620" s="3">
        <v>0</v>
      </c>
      <c r="L620" s="3" t="s">
        <v>3</v>
      </c>
      <c r="M620" s="9" t="s">
        <v>0</v>
      </c>
      <c r="N620" s="9" t="s">
        <v>17</v>
      </c>
      <c r="O620" s="9" t="s">
        <v>267</v>
      </c>
      <c r="S620" s="9" t="s">
        <v>158</v>
      </c>
      <c r="T620" s="10" t="s">
        <v>73</v>
      </c>
      <c r="U620" s="10">
        <v>5</v>
      </c>
      <c r="V620" s="10">
        <v>120.73</v>
      </c>
      <c r="W620" s="10" t="s">
        <v>710</v>
      </c>
      <c r="X620" s="17">
        <v>44891</v>
      </c>
      <c r="Y620" s="17">
        <v>44907</v>
      </c>
      <c r="Z620" s="19" t="s">
        <v>772</v>
      </c>
      <c r="AA620" s="210">
        <v>35900</v>
      </c>
      <c r="AB620" s="9">
        <v>24</v>
      </c>
      <c r="AC620" s="9">
        <v>3</v>
      </c>
      <c r="AD620" s="17">
        <v>45031</v>
      </c>
      <c r="AE620" s="56">
        <v>1079.17</v>
      </c>
      <c r="AF620" s="56"/>
      <c r="AG620" s="9" t="s">
        <v>134</v>
      </c>
      <c r="AH620" s="17">
        <v>45031</v>
      </c>
      <c r="AI620" s="9">
        <v>6294731</v>
      </c>
      <c r="AJ620" s="9" t="s">
        <v>2734</v>
      </c>
      <c r="AK620" s="9" t="s">
        <v>2740</v>
      </c>
      <c r="AL620" s="11">
        <v>1079.17</v>
      </c>
      <c r="AN620" s="11" t="s">
        <v>2751</v>
      </c>
      <c r="AP620" s="11"/>
      <c r="AQ620" s="11"/>
      <c r="AR620" s="11"/>
      <c r="AW620" s="17">
        <v>45031</v>
      </c>
      <c r="AX620" s="9">
        <v>1409</v>
      </c>
      <c r="BA620" s="11">
        <v>1079.17</v>
      </c>
      <c r="BD620" s="9"/>
      <c r="CS620" s="11">
        <f t="shared" si="45"/>
        <v>1079.17</v>
      </c>
      <c r="CT620" s="22">
        <f t="shared" si="46"/>
        <v>1079.17</v>
      </c>
      <c r="CU620" s="22">
        <f t="shared" si="48"/>
        <v>0</v>
      </c>
      <c r="CV620" s="26">
        <f t="shared" si="47"/>
        <v>0</v>
      </c>
    </row>
    <row r="621" spans="1:103" x14ac:dyDescent="0.2">
      <c r="A621" s="9" t="s">
        <v>257</v>
      </c>
      <c r="B621" s="2">
        <v>71</v>
      </c>
      <c r="C621" s="3" t="s">
        <v>95</v>
      </c>
      <c r="D621" s="3" t="s">
        <v>96</v>
      </c>
      <c r="E621" s="2" t="s">
        <v>68</v>
      </c>
      <c r="F621" s="2">
        <v>15</v>
      </c>
      <c r="G621" s="2" t="s">
        <v>73</v>
      </c>
      <c r="H621" s="2">
        <v>5</v>
      </c>
      <c r="I621" s="8">
        <v>120.73</v>
      </c>
      <c r="J621" s="8">
        <v>34900</v>
      </c>
      <c r="K621" s="3">
        <v>0</v>
      </c>
      <c r="L621" s="3" t="s">
        <v>3</v>
      </c>
      <c r="M621" s="9" t="s">
        <v>0</v>
      </c>
      <c r="N621" s="9" t="s">
        <v>17</v>
      </c>
      <c r="O621" s="9" t="s">
        <v>267</v>
      </c>
      <c r="S621" s="9" t="s">
        <v>158</v>
      </c>
      <c r="T621" s="10" t="s">
        <v>73</v>
      </c>
      <c r="U621" s="10">
        <v>5</v>
      </c>
      <c r="V621" s="10">
        <v>120.73</v>
      </c>
      <c r="W621" s="10" t="s">
        <v>710</v>
      </c>
      <c r="X621" s="17">
        <v>44891</v>
      </c>
      <c r="Y621" s="17">
        <v>44907</v>
      </c>
      <c r="Z621" s="19" t="s">
        <v>772</v>
      </c>
      <c r="AA621" s="210">
        <v>35900</v>
      </c>
      <c r="AB621" s="9">
        <v>24</v>
      </c>
      <c r="AC621" s="9">
        <v>4</v>
      </c>
      <c r="AD621" s="17">
        <v>45061</v>
      </c>
      <c r="AE621" s="56">
        <v>1079.17</v>
      </c>
      <c r="AF621" s="56"/>
      <c r="AG621" s="9" t="s">
        <v>134</v>
      </c>
      <c r="AH621" s="17">
        <v>45059</v>
      </c>
      <c r="AI621" s="9">
        <v>6294731</v>
      </c>
      <c r="AJ621" s="9" t="s">
        <v>2734</v>
      </c>
      <c r="AK621" s="9" t="s">
        <v>2741</v>
      </c>
      <c r="AL621" s="11">
        <v>1079.17</v>
      </c>
      <c r="AN621" s="11" t="s">
        <v>2752</v>
      </c>
      <c r="AP621" s="11"/>
      <c r="AQ621" s="11"/>
      <c r="AR621" s="11"/>
      <c r="AW621" s="17">
        <v>45059</v>
      </c>
      <c r="AX621" s="9">
        <v>1506</v>
      </c>
      <c r="BA621" s="11">
        <v>1079.17</v>
      </c>
      <c r="BD621" s="9"/>
      <c r="CS621" s="11">
        <f t="shared" si="45"/>
        <v>1079.17</v>
      </c>
      <c r="CT621" s="22">
        <f t="shared" si="46"/>
        <v>1079.17</v>
      </c>
      <c r="CU621" s="22">
        <f t="shared" si="48"/>
        <v>0</v>
      </c>
      <c r="CV621" s="26">
        <f t="shared" si="47"/>
        <v>0</v>
      </c>
    </row>
    <row r="622" spans="1:103" x14ac:dyDescent="0.2">
      <c r="A622" s="9" t="s">
        <v>257</v>
      </c>
      <c r="B622" s="2">
        <v>71</v>
      </c>
      <c r="C622" s="3" t="s">
        <v>95</v>
      </c>
      <c r="D622" s="3" t="s">
        <v>96</v>
      </c>
      <c r="E622" s="2" t="s">
        <v>68</v>
      </c>
      <c r="F622" s="2">
        <v>15</v>
      </c>
      <c r="G622" s="2" t="s">
        <v>73</v>
      </c>
      <c r="H622" s="2">
        <v>5</v>
      </c>
      <c r="I622" s="8">
        <v>120.73</v>
      </c>
      <c r="J622" s="8">
        <v>34900</v>
      </c>
      <c r="K622" s="3">
        <v>0</v>
      </c>
      <c r="L622" s="3" t="s">
        <v>3</v>
      </c>
      <c r="M622" s="9" t="s">
        <v>0</v>
      </c>
      <c r="N622" s="9" t="s">
        <v>17</v>
      </c>
      <c r="O622" s="9" t="s">
        <v>267</v>
      </c>
      <c r="S622" s="9" t="s">
        <v>158</v>
      </c>
      <c r="T622" s="10" t="s">
        <v>73</v>
      </c>
      <c r="U622" s="10">
        <v>5</v>
      </c>
      <c r="V622" s="10">
        <v>120.73</v>
      </c>
      <c r="W622" s="10" t="s">
        <v>710</v>
      </c>
      <c r="X622" s="17">
        <v>44891</v>
      </c>
      <c r="Y622" s="17">
        <v>44907</v>
      </c>
      <c r="Z622" s="19" t="s">
        <v>772</v>
      </c>
      <c r="AA622" s="210">
        <v>35900</v>
      </c>
      <c r="AB622" s="9">
        <v>24</v>
      </c>
      <c r="AC622" s="9">
        <v>5</v>
      </c>
      <c r="AD622" s="17">
        <v>45092</v>
      </c>
      <c r="AE622" s="56">
        <v>1079.17</v>
      </c>
      <c r="AF622" s="56"/>
      <c r="AG622" s="9" t="s">
        <v>134</v>
      </c>
      <c r="AH622" s="17">
        <v>45090</v>
      </c>
      <c r="AI622" s="9">
        <v>6294731</v>
      </c>
      <c r="AJ622" s="9" t="s">
        <v>2734</v>
      </c>
      <c r="AK622" s="9" t="s">
        <v>2742</v>
      </c>
      <c r="AL622" s="11">
        <v>1079.17</v>
      </c>
      <c r="AN622" s="11" t="s">
        <v>2753</v>
      </c>
      <c r="AP622" s="11"/>
      <c r="AQ622" s="11"/>
      <c r="AR622" s="11"/>
      <c r="AW622" s="17">
        <v>45090</v>
      </c>
      <c r="AX622" s="9">
        <v>1619</v>
      </c>
      <c r="BA622" s="11">
        <v>1079.17</v>
      </c>
      <c r="BD622" s="9"/>
      <c r="CS622" s="11">
        <f t="shared" si="45"/>
        <v>1079.17</v>
      </c>
      <c r="CT622" s="22">
        <f t="shared" si="46"/>
        <v>1079.17</v>
      </c>
      <c r="CU622" s="22">
        <f t="shared" si="48"/>
        <v>0</v>
      </c>
      <c r="CV622" s="26">
        <f t="shared" si="47"/>
        <v>0</v>
      </c>
    </row>
    <row r="623" spans="1:103" x14ac:dyDescent="0.2">
      <c r="A623" s="9" t="s">
        <v>257</v>
      </c>
      <c r="B623" s="2">
        <v>71</v>
      </c>
      <c r="C623" s="3" t="s">
        <v>95</v>
      </c>
      <c r="D623" s="3" t="s">
        <v>96</v>
      </c>
      <c r="E623" s="2" t="s">
        <v>68</v>
      </c>
      <c r="F623" s="2">
        <v>15</v>
      </c>
      <c r="G623" s="2" t="s">
        <v>73</v>
      </c>
      <c r="H623" s="2">
        <v>5</v>
      </c>
      <c r="I623" s="8">
        <v>120.73</v>
      </c>
      <c r="J623" s="8">
        <v>34900</v>
      </c>
      <c r="K623" s="3">
        <v>0</v>
      </c>
      <c r="L623" s="3" t="s">
        <v>3</v>
      </c>
      <c r="M623" s="9" t="s">
        <v>0</v>
      </c>
      <c r="N623" s="9" t="s">
        <v>17</v>
      </c>
      <c r="O623" s="9" t="s">
        <v>267</v>
      </c>
      <c r="S623" s="9" t="s">
        <v>158</v>
      </c>
      <c r="T623" s="10" t="s">
        <v>73</v>
      </c>
      <c r="U623" s="10">
        <v>5</v>
      </c>
      <c r="V623" s="10">
        <v>120.73</v>
      </c>
      <c r="W623" s="10" t="s">
        <v>710</v>
      </c>
      <c r="X623" s="17">
        <v>44891</v>
      </c>
      <c r="Y623" s="17">
        <v>44907</v>
      </c>
      <c r="Z623" s="19" t="s">
        <v>772</v>
      </c>
      <c r="AA623" s="210">
        <v>35900</v>
      </c>
      <c r="AB623" s="9">
        <v>24</v>
      </c>
      <c r="AC623" s="9">
        <v>6</v>
      </c>
      <c r="AD623" s="17">
        <v>45122</v>
      </c>
      <c r="AE623" s="56">
        <v>1079.17</v>
      </c>
      <c r="AF623" s="56"/>
      <c r="AG623" s="9" t="s">
        <v>134</v>
      </c>
      <c r="AH623" s="17">
        <v>45121</v>
      </c>
      <c r="AI623" s="9">
        <v>6294731</v>
      </c>
      <c r="AJ623" s="9" t="s">
        <v>2734</v>
      </c>
      <c r="AK623" s="9" t="s">
        <v>2743</v>
      </c>
      <c r="AL623" s="11">
        <v>1079.17</v>
      </c>
      <c r="AN623" s="11" t="s">
        <v>2754</v>
      </c>
      <c r="AP623" s="11"/>
      <c r="AQ623" s="11"/>
      <c r="AR623" s="11"/>
      <c r="AW623" s="17">
        <v>45121</v>
      </c>
      <c r="AX623" s="9">
        <v>1704</v>
      </c>
      <c r="BA623" s="11">
        <v>1079.17</v>
      </c>
      <c r="BD623" s="9"/>
      <c r="CS623" s="11">
        <f t="shared" si="45"/>
        <v>1079.17</v>
      </c>
      <c r="CT623" s="22">
        <f t="shared" si="46"/>
        <v>1079.17</v>
      </c>
      <c r="CU623" s="22">
        <f t="shared" si="48"/>
        <v>0</v>
      </c>
      <c r="CV623" s="26">
        <f t="shared" si="47"/>
        <v>0</v>
      </c>
    </row>
    <row r="624" spans="1:103" x14ac:dyDescent="0.2">
      <c r="A624" s="9" t="s">
        <v>257</v>
      </c>
      <c r="B624" s="2">
        <v>71</v>
      </c>
      <c r="C624" s="3" t="s">
        <v>95</v>
      </c>
      <c r="D624" s="3" t="s">
        <v>96</v>
      </c>
      <c r="E624" s="2" t="s">
        <v>68</v>
      </c>
      <c r="F624" s="2">
        <v>15</v>
      </c>
      <c r="G624" s="2" t="s">
        <v>73</v>
      </c>
      <c r="H624" s="2">
        <v>5</v>
      </c>
      <c r="I624" s="8">
        <v>120.73</v>
      </c>
      <c r="J624" s="8">
        <v>34900</v>
      </c>
      <c r="K624" s="3">
        <v>0</v>
      </c>
      <c r="L624" s="3" t="s">
        <v>3</v>
      </c>
      <c r="M624" s="9" t="s">
        <v>0</v>
      </c>
      <c r="N624" s="9" t="s">
        <v>17</v>
      </c>
      <c r="O624" s="9" t="s">
        <v>267</v>
      </c>
      <c r="S624" s="9" t="s">
        <v>158</v>
      </c>
      <c r="T624" s="10" t="s">
        <v>73</v>
      </c>
      <c r="U624" s="10">
        <v>5</v>
      </c>
      <c r="V624" s="10">
        <v>120.73</v>
      </c>
      <c r="W624" s="10" t="s">
        <v>710</v>
      </c>
      <c r="X624" s="17">
        <v>44891</v>
      </c>
      <c r="Y624" s="17">
        <v>44907</v>
      </c>
      <c r="Z624" s="19" t="s">
        <v>772</v>
      </c>
      <c r="AA624" s="210">
        <v>35900</v>
      </c>
      <c r="AB624" s="9">
        <v>24</v>
      </c>
      <c r="AC624" s="9">
        <v>7</v>
      </c>
      <c r="AD624" s="17">
        <v>45153</v>
      </c>
      <c r="AE624" s="56">
        <v>1079.17</v>
      </c>
      <c r="AF624" s="56"/>
      <c r="AG624" s="9" t="s">
        <v>134</v>
      </c>
      <c r="AH624" s="17">
        <v>45152</v>
      </c>
      <c r="AI624" s="9">
        <v>6294731</v>
      </c>
      <c r="AJ624" s="9" t="s">
        <v>2734</v>
      </c>
      <c r="AK624" s="9" t="s">
        <v>2744</v>
      </c>
      <c r="AL624" s="11">
        <v>1079.17</v>
      </c>
      <c r="AN624" s="11" t="s">
        <v>2755</v>
      </c>
      <c r="AP624" s="11"/>
      <c r="AQ624" s="11"/>
      <c r="AR624" s="11"/>
      <c r="AW624" s="17">
        <v>45149</v>
      </c>
      <c r="AX624" s="9">
        <v>1807</v>
      </c>
      <c r="BA624" s="11">
        <v>1079.17</v>
      </c>
      <c r="BD624" s="9"/>
      <c r="CS624" s="11">
        <f t="shared" si="45"/>
        <v>1079.17</v>
      </c>
      <c r="CT624" s="22">
        <f t="shared" si="46"/>
        <v>1079.17</v>
      </c>
      <c r="CU624" s="22">
        <f t="shared" si="48"/>
        <v>0</v>
      </c>
      <c r="CV624" s="26">
        <f t="shared" si="47"/>
        <v>0</v>
      </c>
    </row>
    <row r="625" spans="1:100" x14ac:dyDescent="0.2">
      <c r="A625" s="9" t="s">
        <v>257</v>
      </c>
      <c r="B625" s="2">
        <v>71</v>
      </c>
      <c r="C625" s="3" t="s">
        <v>95</v>
      </c>
      <c r="D625" s="3" t="s">
        <v>96</v>
      </c>
      <c r="E625" s="2" t="s">
        <v>68</v>
      </c>
      <c r="F625" s="2">
        <v>15</v>
      </c>
      <c r="G625" s="2" t="s">
        <v>73</v>
      </c>
      <c r="H625" s="2">
        <v>5</v>
      </c>
      <c r="I625" s="8">
        <v>120.73</v>
      </c>
      <c r="J625" s="8">
        <v>34900</v>
      </c>
      <c r="K625" s="3">
        <v>0</v>
      </c>
      <c r="L625" s="3" t="s">
        <v>3</v>
      </c>
      <c r="M625" s="9" t="s">
        <v>0</v>
      </c>
      <c r="N625" s="9" t="s">
        <v>17</v>
      </c>
      <c r="O625" s="9" t="s">
        <v>267</v>
      </c>
      <c r="S625" s="9" t="s">
        <v>158</v>
      </c>
      <c r="T625" s="10" t="s">
        <v>73</v>
      </c>
      <c r="U625" s="10">
        <v>5</v>
      </c>
      <c r="V625" s="10">
        <v>120.73</v>
      </c>
      <c r="W625" s="10" t="s">
        <v>710</v>
      </c>
      <c r="X625" s="17">
        <v>44891</v>
      </c>
      <c r="Y625" s="17">
        <v>44907</v>
      </c>
      <c r="Z625" s="19" t="s">
        <v>772</v>
      </c>
      <c r="AA625" s="210">
        <v>35900</v>
      </c>
      <c r="AB625" s="9">
        <v>24</v>
      </c>
      <c r="AC625" s="9">
        <v>8</v>
      </c>
      <c r="AD625" s="17">
        <v>45184</v>
      </c>
      <c r="AE625" s="56">
        <v>1079.17</v>
      </c>
      <c r="AF625" s="56"/>
      <c r="AG625" s="9" t="s">
        <v>134</v>
      </c>
      <c r="AH625" s="17">
        <v>45183</v>
      </c>
      <c r="AI625" s="9">
        <v>6294731</v>
      </c>
      <c r="AJ625" s="9" t="s">
        <v>2734</v>
      </c>
      <c r="AK625" s="9" t="s">
        <v>2745</v>
      </c>
      <c r="AL625" s="11">
        <v>1079.17</v>
      </c>
      <c r="AN625" s="11" t="s">
        <v>2756</v>
      </c>
      <c r="AP625" s="11"/>
      <c r="AQ625" s="11"/>
      <c r="AR625" s="11"/>
      <c r="AW625" s="17">
        <v>45183</v>
      </c>
      <c r="AX625" s="9">
        <v>1897</v>
      </c>
      <c r="BA625" s="11">
        <v>1079.17</v>
      </c>
      <c r="BD625" s="9"/>
      <c r="CS625" s="11">
        <f t="shared" si="45"/>
        <v>1079.17</v>
      </c>
      <c r="CT625" s="22">
        <f t="shared" si="46"/>
        <v>1079.17</v>
      </c>
      <c r="CU625" s="22">
        <f t="shared" si="48"/>
        <v>0</v>
      </c>
      <c r="CV625" s="26">
        <f t="shared" si="47"/>
        <v>0</v>
      </c>
    </row>
    <row r="626" spans="1:100" x14ac:dyDescent="0.2">
      <c r="A626" s="9" t="s">
        <v>257</v>
      </c>
      <c r="B626" s="2">
        <v>71</v>
      </c>
      <c r="C626" s="3" t="s">
        <v>95</v>
      </c>
      <c r="D626" s="3" t="s">
        <v>96</v>
      </c>
      <c r="E626" s="2" t="s">
        <v>68</v>
      </c>
      <c r="F626" s="2">
        <v>15</v>
      </c>
      <c r="G626" s="2" t="s">
        <v>73</v>
      </c>
      <c r="H626" s="2">
        <v>5</v>
      </c>
      <c r="I626" s="8">
        <v>120.73</v>
      </c>
      <c r="J626" s="8">
        <v>34900</v>
      </c>
      <c r="K626" s="3">
        <v>0</v>
      </c>
      <c r="L626" s="3" t="s">
        <v>3</v>
      </c>
      <c r="M626" s="9" t="s">
        <v>0</v>
      </c>
      <c r="N626" s="9" t="s">
        <v>17</v>
      </c>
      <c r="O626" s="9" t="s">
        <v>267</v>
      </c>
      <c r="S626" s="9" t="s">
        <v>158</v>
      </c>
      <c r="T626" s="10" t="s">
        <v>73</v>
      </c>
      <c r="U626" s="10">
        <v>5</v>
      </c>
      <c r="V626" s="10">
        <v>120.73</v>
      </c>
      <c r="W626" s="10" t="s">
        <v>710</v>
      </c>
      <c r="X626" s="17">
        <v>44891</v>
      </c>
      <c r="Y626" s="17">
        <v>44907</v>
      </c>
      <c r="Z626" s="19" t="s">
        <v>772</v>
      </c>
      <c r="AA626" s="210">
        <v>35900</v>
      </c>
      <c r="AB626" s="9">
        <v>24</v>
      </c>
      <c r="AC626" s="9">
        <v>9</v>
      </c>
      <c r="AD626" s="17">
        <v>45214</v>
      </c>
      <c r="AE626" s="56">
        <v>1079.17</v>
      </c>
      <c r="AF626" s="56"/>
      <c r="AG626" s="9" t="s">
        <v>134</v>
      </c>
      <c r="AH626" s="17">
        <v>45215</v>
      </c>
      <c r="AI626" s="9">
        <v>6294731</v>
      </c>
      <c r="AJ626" s="9" t="s">
        <v>2734</v>
      </c>
      <c r="AK626" s="9" t="s">
        <v>2746</v>
      </c>
      <c r="AL626" s="11">
        <v>1079.17</v>
      </c>
      <c r="AN626" s="11" t="s">
        <v>2757</v>
      </c>
      <c r="AP626" s="11"/>
      <c r="AQ626" s="11"/>
      <c r="AR626" s="11"/>
      <c r="AW626" s="17">
        <v>45212</v>
      </c>
      <c r="AX626" s="9">
        <v>1972</v>
      </c>
      <c r="BA626" s="11">
        <v>1079.17</v>
      </c>
      <c r="BD626" s="9"/>
      <c r="CS626" s="11">
        <f t="shared" si="45"/>
        <v>1079.17</v>
      </c>
      <c r="CT626" s="22">
        <f t="shared" si="46"/>
        <v>1079.17</v>
      </c>
      <c r="CU626" s="22">
        <f t="shared" si="48"/>
        <v>0</v>
      </c>
      <c r="CV626" s="26">
        <f t="shared" si="47"/>
        <v>0</v>
      </c>
    </row>
    <row r="627" spans="1:100" x14ac:dyDescent="0.2">
      <c r="A627" s="9" t="s">
        <v>257</v>
      </c>
      <c r="B627" s="2">
        <v>71</v>
      </c>
      <c r="C627" s="3" t="s">
        <v>95</v>
      </c>
      <c r="D627" s="3" t="s">
        <v>96</v>
      </c>
      <c r="E627" s="2" t="s">
        <v>68</v>
      </c>
      <c r="F627" s="2">
        <v>15</v>
      </c>
      <c r="G627" s="2" t="s">
        <v>73</v>
      </c>
      <c r="H627" s="2">
        <v>5</v>
      </c>
      <c r="I627" s="8">
        <v>120.73</v>
      </c>
      <c r="J627" s="8">
        <v>34900</v>
      </c>
      <c r="K627" s="3">
        <v>0</v>
      </c>
      <c r="L627" s="3" t="s">
        <v>3</v>
      </c>
      <c r="M627" s="9" t="s">
        <v>0</v>
      </c>
      <c r="N627" s="9" t="s">
        <v>17</v>
      </c>
      <c r="O627" s="9" t="s">
        <v>267</v>
      </c>
      <c r="S627" s="9" t="s">
        <v>158</v>
      </c>
      <c r="T627" s="2" t="s">
        <v>73</v>
      </c>
      <c r="U627" s="2">
        <v>5</v>
      </c>
      <c r="V627" s="10">
        <v>120.73</v>
      </c>
      <c r="W627" s="10" t="s">
        <v>710</v>
      </c>
      <c r="X627" s="17">
        <v>44891</v>
      </c>
      <c r="Y627" s="17">
        <v>44907</v>
      </c>
      <c r="Z627" s="19" t="s">
        <v>772</v>
      </c>
      <c r="AA627" s="210">
        <v>35900</v>
      </c>
      <c r="AB627" s="9">
        <v>24</v>
      </c>
      <c r="AC627" s="9">
        <v>10</v>
      </c>
      <c r="AD627" s="17">
        <v>45245</v>
      </c>
      <c r="AE627" s="56">
        <v>1079.17</v>
      </c>
      <c r="AF627" s="56"/>
      <c r="AG627" s="9" t="s">
        <v>134</v>
      </c>
      <c r="AH627" s="17">
        <v>45245</v>
      </c>
      <c r="AI627" s="9">
        <v>6294731</v>
      </c>
      <c r="AJ627" s="9" t="s">
        <v>2734</v>
      </c>
      <c r="AK627" s="9" t="s">
        <v>2747</v>
      </c>
      <c r="AL627" s="11">
        <v>1079.17</v>
      </c>
      <c r="AN627" s="11" t="s">
        <v>2758</v>
      </c>
      <c r="AP627" s="11"/>
      <c r="AQ627" s="11"/>
      <c r="AR627" s="11"/>
      <c r="AW627" s="17">
        <v>45243</v>
      </c>
      <c r="AX627" s="9">
        <v>2047</v>
      </c>
      <c r="BA627" s="11">
        <v>1079.17</v>
      </c>
      <c r="BD627" s="9"/>
      <c r="CS627" s="11">
        <f t="shared" si="45"/>
        <v>1079.17</v>
      </c>
      <c r="CT627" s="22">
        <f t="shared" si="46"/>
        <v>1079.17</v>
      </c>
      <c r="CU627" s="22">
        <f t="shared" si="48"/>
        <v>0</v>
      </c>
      <c r="CV627" s="26">
        <f t="shared" si="47"/>
        <v>0</v>
      </c>
    </row>
    <row r="628" spans="1:100" x14ac:dyDescent="0.2">
      <c r="A628" s="9" t="s">
        <v>257</v>
      </c>
      <c r="B628" s="2">
        <v>71</v>
      </c>
      <c r="C628" s="3" t="s">
        <v>95</v>
      </c>
      <c r="D628" s="3" t="s">
        <v>96</v>
      </c>
      <c r="E628" s="2" t="s">
        <v>68</v>
      </c>
      <c r="F628" s="2">
        <v>15</v>
      </c>
      <c r="G628" s="2" t="s">
        <v>73</v>
      </c>
      <c r="H628" s="2">
        <v>5</v>
      </c>
      <c r="I628" s="8">
        <v>120.73</v>
      </c>
      <c r="J628" s="8">
        <v>34900</v>
      </c>
      <c r="K628" s="3">
        <v>0</v>
      </c>
      <c r="L628" s="3" t="s">
        <v>3</v>
      </c>
      <c r="M628" s="9" t="s">
        <v>0</v>
      </c>
      <c r="N628" s="9" t="s">
        <v>17</v>
      </c>
      <c r="O628" s="9" t="s">
        <v>267</v>
      </c>
      <c r="S628" s="9" t="s">
        <v>158</v>
      </c>
      <c r="T628" s="2" t="s">
        <v>73</v>
      </c>
      <c r="U628" s="2">
        <v>5</v>
      </c>
      <c r="V628" s="10">
        <v>120.73</v>
      </c>
      <c r="W628" s="10" t="s">
        <v>710</v>
      </c>
      <c r="X628" s="17">
        <v>44891</v>
      </c>
      <c r="Y628" s="17">
        <v>44907</v>
      </c>
      <c r="Z628" s="19" t="s">
        <v>772</v>
      </c>
      <c r="AA628" s="210">
        <v>35900</v>
      </c>
      <c r="AB628" s="9">
        <v>24</v>
      </c>
      <c r="AC628" s="9">
        <v>11</v>
      </c>
      <c r="AD628" s="17">
        <v>45275</v>
      </c>
      <c r="AE628" s="56">
        <v>1079.17</v>
      </c>
      <c r="AF628" s="56"/>
      <c r="AG628" s="9" t="s">
        <v>134</v>
      </c>
      <c r="AH628" s="17">
        <v>45276</v>
      </c>
      <c r="AI628" s="9">
        <v>6294731</v>
      </c>
      <c r="AJ628" s="9" t="s">
        <v>2734</v>
      </c>
      <c r="AK628" s="9" t="s">
        <v>2748</v>
      </c>
      <c r="AL628" s="11">
        <v>1079.17</v>
      </c>
      <c r="AN628" s="11" t="s">
        <v>2759</v>
      </c>
      <c r="AP628" s="11"/>
      <c r="AQ628" s="11"/>
      <c r="AR628" s="11"/>
      <c r="AW628" s="17">
        <v>45275</v>
      </c>
      <c r="AX628" s="9">
        <v>2115</v>
      </c>
      <c r="BA628" s="11">
        <v>1079.17</v>
      </c>
      <c r="BD628" s="9"/>
      <c r="CS628" s="11">
        <f t="shared" si="45"/>
        <v>1079.17</v>
      </c>
      <c r="CT628" s="22">
        <f t="shared" si="46"/>
        <v>1079.17</v>
      </c>
      <c r="CU628" s="22">
        <f t="shared" si="48"/>
        <v>0</v>
      </c>
      <c r="CV628" s="26">
        <f t="shared" si="47"/>
        <v>0</v>
      </c>
    </row>
    <row r="629" spans="1:100" x14ac:dyDescent="0.2">
      <c r="A629" s="9" t="s">
        <v>257</v>
      </c>
      <c r="B629" s="2">
        <v>71</v>
      </c>
      <c r="C629" s="3" t="s">
        <v>95</v>
      </c>
      <c r="D629" s="3" t="s">
        <v>96</v>
      </c>
      <c r="E629" s="2" t="s">
        <v>68</v>
      </c>
      <c r="F629" s="2">
        <v>15</v>
      </c>
      <c r="G629" s="2" t="s">
        <v>73</v>
      </c>
      <c r="H629" s="2">
        <v>5</v>
      </c>
      <c r="I629" s="8">
        <v>120.73</v>
      </c>
      <c r="J629" s="8">
        <v>34900</v>
      </c>
      <c r="K629" s="3">
        <v>0</v>
      </c>
      <c r="L629" s="3" t="s">
        <v>3</v>
      </c>
      <c r="M629" s="9" t="s">
        <v>0</v>
      </c>
      <c r="N629" s="9" t="s">
        <v>17</v>
      </c>
      <c r="O629" s="9" t="s">
        <v>267</v>
      </c>
      <c r="S629" s="9" t="s">
        <v>158</v>
      </c>
      <c r="T629" s="2" t="s">
        <v>73</v>
      </c>
      <c r="U629" s="2">
        <v>5</v>
      </c>
      <c r="V629" s="10">
        <v>120.73</v>
      </c>
      <c r="W629" s="10" t="s">
        <v>710</v>
      </c>
      <c r="X629" s="17">
        <v>44891</v>
      </c>
      <c r="Y629" s="17">
        <v>44907</v>
      </c>
      <c r="Z629" s="19" t="s">
        <v>772</v>
      </c>
      <c r="AA629" s="210">
        <v>35900</v>
      </c>
      <c r="AB629" s="9">
        <v>24</v>
      </c>
      <c r="AC629" s="9">
        <v>12</v>
      </c>
      <c r="AD629" s="17">
        <v>45306</v>
      </c>
      <c r="AE629" s="56">
        <v>1079.17</v>
      </c>
      <c r="AF629" s="56"/>
      <c r="AG629" s="9" t="s">
        <v>134</v>
      </c>
      <c r="AH629" s="17">
        <v>45304</v>
      </c>
      <c r="AI629" s="9">
        <v>6294731</v>
      </c>
      <c r="AJ629" s="9" t="s">
        <v>2734</v>
      </c>
      <c r="AK629" s="9" t="s">
        <v>2760</v>
      </c>
      <c r="AL629" s="11">
        <v>1079.17</v>
      </c>
      <c r="AN629" s="11" t="s">
        <v>2773</v>
      </c>
      <c r="AP629" s="11"/>
      <c r="AQ629" s="11"/>
      <c r="AR629" s="11"/>
      <c r="AW629" s="17">
        <v>45304</v>
      </c>
      <c r="AX629" s="9">
        <v>2209</v>
      </c>
      <c r="BA629" s="11">
        <v>1079.17</v>
      </c>
      <c r="BD629" s="9"/>
      <c r="CS629" s="11">
        <f t="shared" si="45"/>
        <v>1079.17</v>
      </c>
      <c r="CT629" s="22">
        <f t="shared" si="46"/>
        <v>1079.17</v>
      </c>
      <c r="CU629" s="22">
        <f t="shared" si="48"/>
        <v>0</v>
      </c>
      <c r="CV629" s="26">
        <f t="shared" si="47"/>
        <v>0</v>
      </c>
    </row>
    <row r="630" spans="1:100" x14ac:dyDescent="0.2">
      <c r="A630" s="9" t="s">
        <v>257</v>
      </c>
      <c r="B630" s="2">
        <v>71</v>
      </c>
      <c r="C630" s="3" t="s">
        <v>95</v>
      </c>
      <c r="D630" s="3" t="s">
        <v>96</v>
      </c>
      <c r="E630" s="2" t="s">
        <v>68</v>
      </c>
      <c r="F630" s="2">
        <v>15</v>
      </c>
      <c r="G630" s="2" t="s">
        <v>73</v>
      </c>
      <c r="H630" s="2">
        <v>5</v>
      </c>
      <c r="I630" s="8">
        <v>120.73</v>
      </c>
      <c r="J630" s="8">
        <v>34900</v>
      </c>
      <c r="K630" s="3">
        <v>0</v>
      </c>
      <c r="L630" s="3" t="s">
        <v>3</v>
      </c>
      <c r="M630" s="9" t="s">
        <v>0</v>
      </c>
      <c r="N630" s="9" t="s">
        <v>17</v>
      </c>
      <c r="O630" s="9" t="s">
        <v>267</v>
      </c>
      <c r="S630" s="9" t="s">
        <v>158</v>
      </c>
      <c r="T630" s="2" t="s">
        <v>73</v>
      </c>
      <c r="U630" s="2">
        <v>5</v>
      </c>
      <c r="V630" s="10">
        <v>120.73</v>
      </c>
      <c r="W630" s="10" t="s">
        <v>710</v>
      </c>
      <c r="X630" s="17">
        <v>44891</v>
      </c>
      <c r="Y630" s="17">
        <v>44907</v>
      </c>
      <c r="Z630" s="19" t="s">
        <v>772</v>
      </c>
      <c r="AA630" s="210">
        <v>35900</v>
      </c>
      <c r="AB630" s="9">
        <v>24</v>
      </c>
      <c r="AC630" s="9">
        <v>13</v>
      </c>
      <c r="AD630" s="17">
        <v>45337</v>
      </c>
      <c r="AE630" s="56">
        <v>1079.17</v>
      </c>
      <c r="AF630" s="56"/>
      <c r="AG630" s="9" t="s">
        <v>134</v>
      </c>
      <c r="AH630" s="17">
        <v>45338</v>
      </c>
      <c r="AI630" s="9">
        <v>6294731</v>
      </c>
      <c r="AJ630" s="9" t="s">
        <v>2734</v>
      </c>
      <c r="AK630" s="9" t="s">
        <v>2761</v>
      </c>
      <c r="AL630" s="11">
        <v>1079.17</v>
      </c>
      <c r="AN630" s="11" t="s">
        <v>2774</v>
      </c>
      <c r="AP630" s="11"/>
      <c r="AQ630" s="11"/>
      <c r="AR630" s="11"/>
      <c r="AW630" s="17">
        <v>45336</v>
      </c>
      <c r="AX630" s="9">
        <v>2304</v>
      </c>
      <c r="BA630" s="11">
        <v>1079.17</v>
      </c>
      <c r="BD630" s="9"/>
      <c r="CS630" s="11">
        <f t="shared" si="45"/>
        <v>1079.17</v>
      </c>
      <c r="CT630" s="22">
        <f t="shared" si="46"/>
        <v>1079.17</v>
      </c>
      <c r="CU630" s="22">
        <f t="shared" si="48"/>
        <v>0</v>
      </c>
      <c r="CV630" s="26">
        <f t="shared" si="47"/>
        <v>0</v>
      </c>
    </row>
    <row r="631" spans="1:100" x14ac:dyDescent="0.2">
      <c r="A631" s="9" t="s">
        <v>257</v>
      </c>
      <c r="B631" s="2">
        <v>71</v>
      </c>
      <c r="C631" s="3" t="s">
        <v>95</v>
      </c>
      <c r="D631" s="3" t="s">
        <v>96</v>
      </c>
      <c r="E631" s="2" t="s">
        <v>68</v>
      </c>
      <c r="F631" s="2">
        <v>15</v>
      </c>
      <c r="G631" s="2" t="s">
        <v>73</v>
      </c>
      <c r="H631" s="2">
        <v>5</v>
      </c>
      <c r="I631" s="8">
        <v>120.73</v>
      </c>
      <c r="J631" s="8">
        <v>34900</v>
      </c>
      <c r="K631" s="3">
        <v>0</v>
      </c>
      <c r="L631" s="3" t="s">
        <v>3</v>
      </c>
      <c r="M631" s="9" t="s">
        <v>0</v>
      </c>
      <c r="N631" s="9" t="s">
        <v>17</v>
      </c>
      <c r="O631" s="9" t="s">
        <v>267</v>
      </c>
      <c r="S631" s="9" t="s">
        <v>158</v>
      </c>
      <c r="T631" s="10" t="s">
        <v>73</v>
      </c>
      <c r="U631" s="10">
        <v>5</v>
      </c>
      <c r="V631" s="10">
        <v>120.73</v>
      </c>
      <c r="W631" s="10" t="s">
        <v>710</v>
      </c>
      <c r="X631" s="17">
        <v>44891</v>
      </c>
      <c r="Y631" s="17">
        <v>44907</v>
      </c>
      <c r="Z631" s="19" t="s">
        <v>772</v>
      </c>
      <c r="AA631" s="210">
        <v>35900</v>
      </c>
      <c r="AB631" s="9">
        <v>24</v>
      </c>
      <c r="AC631" s="9">
        <v>14</v>
      </c>
      <c r="AD631" s="17">
        <v>45366</v>
      </c>
      <c r="AE631" s="56">
        <v>1079.17</v>
      </c>
      <c r="AF631" s="56"/>
      <c r="AG631" s="9" t="s">
        <v>134</v>
      </c>
      <c r="AH631" s="17">
        <v>45369</v>
      </c>
      <c r="AI631" s="9">
        <v>6294731</v>
      </c>
      <c r="AJ631" s="9" t="s">
        <v>2734</v>
      </c>
      <c r="AK631" s="9" t="s">
        <v>2762</v>
      </c>
      <c r="AL631" s="11">
        <v>1079.17</v>
      </c>
      <c r="AN631" s="11" t="s">
        <v>2775</v>
      </c>
      <c r="AP631" s="11"/>
      <c r="AQ631" s="11"/>
      <c r="AR631" s="11"/>
      <c r="AW631" s="17">
        <v>45366</v>
      </c>
      <c r="AX631" s="9">
        <v>2420</v>
      </c>
      <c r="BA631" s="11">
        <v>1079.17</v>
      </c>
      <c r="BD631" s="9"/>
      <c r="CS631" s="11">
        <f t="shared" si="45"/>
        <v>1079.17</v>
      </c>
      <c r="CT631" s="22">
        <f t="shared" si="46"/>
        <v>1079.17</v>
      </c>
      <c r="CU631" s="22">
        <f t="shared" si="48"/>
        <v>0</v>
      </c>
      <c r="CV631" s="26">
        <f t="shared" si="47"/>
        <v>0</v>
      </c>
    </row>
    <row r="632" spans="1:100" x14ac:dyDescent="0.2">
      <c r="A632" s="9" t="s">
        <v>257</v>
      </c>
      <c r="B632" s="2">
        <v>71</v>
      </c>
      <c r="C632" s="3" t="s">
        <v>95</v>
      </c>
      <c r="D632" s="3" t="s">
        <v>96</v>
      </c>
      <c r="E632" s="2" t="s">
        <v>68</v>
      </c>
      <c r="F632" s="2">
        <v>15</v>
      </c>
      <c r="G632" s="2" t="s">
        <v>73</v>
      </c>
      <c r="H632" s="2">
        <v>5</v>
      </c>
      <c r="I632" s="8">
        <v>120.73</v>
      </c>
      <c r="J632" s="8">
        <v>34900</v>
      </c>
      <c r="K632" s="3">
        <v>0</v>
      </c>
      <c r="L632" s="3" t="s">
        <v>3</v>
      </c>
      <c r="M632" s="9" t="s">
        <v>0</v>
      </c>
      <c r="N632" s="9" t="s">
        <v>17</v>
      </c>
      <c r="O632" s="9" t="s">
        <v>267</v>
      </c>
      <c r="S632" s="9" t="s">
        <v>158</v>
      </c>
      <c r="T632" s="10" t="s">
        <v>73</v>
      </c>
      <c r="U632" s="10">
        <v>5</v>
      </c>
      <c r="V632" s="10">
        <v>120.73</v>
      </c>
      <c r="W632" s="10" t="s">
        <v>710</v>
      </c>
      <c r="X632" s="17">
        <v>44891</v>
      </c>
      <c r="Y632" s="17">
        <v>44907</v>
      </c>
      <c r="Z632" s="19" t="s">
        <v>772</v>
      </c>
      <c r="AA632" s="210">
        <v>35900</v>
      </c>
      <c r="AB632" s="9">
        <v>24</v>
      </c>
      <c r="AC632" s="9">
        <v>15</v>
      </c>
      <c r="AD632" s="17">
        <v>45397</v>
      </c>
      <c r="AE632" s="56">
        <v>1079.17</v>
      </c>
      <c r="AF632" s="56"/>
      <c r="AG632" s="9" t="s">
        <v>134</v>
      </c>
      <c r="AH632" s="17">
        <v>45397</v>
      </c>
      <c r="AI632" s="9">
        <v>6294731</v>
      </c>
      <c r="AJ632" s="9" t="s">
        <v>2734</v>
      </c>
      <c r="AK632" s="9" t="s">
        <v>2763</v>
      </c>
      <c r="AL632" s="11">
        <v>1079.17</v>
      </c>
      <c r="AN632" s="11" t="s">
        <v>2776</v>
      </c>
      <c r="AP632" s="11"/>
      <c r="AQ632" s="11"/>
      <c r="AR632" s="11"/>
      <c r="AW632" s="17">
        <v>45397</v>
      </c>
      <c r="AX632" s="9">
        <v>2529</v>
      </c>
      <c r="BA632" s="11">
        <v>1079.17</v>
      </c>
      <c r="BD632" s="9"/>
      <c r="CS632" s="11">
        <f t="shared" si="45"/>
        <v>1079.17</v>
      </c>
      <c r="CT632" s="22">
        <f t="shared" si="46"/>
        <v>1079.17</v>
      </c>
      <c r="CU632" s="22">
        <f t="shared" si="48"/>
        <v>0</v>
      </c>
      <c r="CV632" s="26">
        <f t="shared" si="47"/>
        <v>0</v>
      </c>
    </row>
    <row r="633" spans="1:100" x14ac:dyDescent="0.2">
      <c r="A633" s="9" t="s">
        <v>257</v>
      </c>
      <c r="B633" s="2">
        <v>71</v>
      </c>
      <c r="C633" s="3" t="s">
        <v>95</v>
      </c>
      <c r="D633" s="3" t="s">
        <v>96</v>
      </c>
      <c r="E633" s="2" t="s">
        <v>68</v>
      </c>
      <c r="F633" s="2">
        <v>15</v>
      </c>
      <c r="G633" s="2" t="s">
        <v>73</v>
      </c>
      <c r="H633" s="2">
        <v>5</v>
      </c>
      <c r="I633" s="8">
        <v>120.73</v>
      </c>
      <c r="J633" s="8">
        <v>34900</v>
      </c>
      <c r="K633" s="3">
        <v>0</v>
      </c>
      <c r="L633" s="3" t="s">
        <v>3</v>
      </c>
      <c r="M633" s="9" t="s">
        <v>0</v>
      </c>
      <c r="N633" s="9" t="s">
        <v>17</v>
      </c>
      <c r="O633" s="9" t="s">
        <v>267</v>
      </c>
      <c r="S633" s="9" t="s">
        <v>158</v>
      </c>
      <c r="T633" s="10" t="s">
        <v>73</v>
      </c>
      <c r="U633" s="10">
        <v>5</v>
      </c>
      <c r="V633" s="10">
        <v>120.73</v>
      </c>
      <c r="W633" s="10" t="s">
        <v>710</v>
      </c>
      <c r="X633" s="17">
        <v>44891</v>
      </c>
      <c r="Y633" s="17">
        <v>44907</v>
      </c>
      <c r="Z633" s="19" t="s">
        <v>772</v>
      </c>
      <c r="AA633" s="210">
        <v>35900</v>
      </c>
      <c r="AB633" s="9">
        <v>24</v>
      </c>
      <c r="AC633" s="9">
        <v>16</v>
      </c>
      <c r="AD633" s="17">
        <v>45427</v>
      </c>
      <c r="AE633" s="56">
        <v>1079.17</v>
      </c>
      <c r="AF633" s="56"/>
      <c r="AG633" s="9" t="s">
        <v>134</v>
      </c>
      <c r="AH633" s="17">
        <v>45427</v>
      </c>
      <c r="AI633" s="9">
        <v>6294731</v>
      </c>
      <c r="AJ633" s="9" t="s">
        <v>2734</v>
      </c>
      <c r="AK633" s="9" t="s">
        <v>2764</v>
      </c>
      <c r="AL633" s="11">
        <v>1079.17</v>
      </c>
      <c r="AN633" s="11" t="s">
        <v>2777</v>
      </c>
      <c r="AP633" s="11"/>
      <c r="AQ633" s="11"/>
      <c r="AR633" s="11"/>
      <c r="AW633" s="17">
        <v>45427</v>
      </c>
      <c r="AX633" s="9">
        <v>2646</v>
      </c>
      <c r="BA633" s="11">
        <v>1079.17</v>
      </c>
      <c r="BD633" s="9"/>
      <c r="CS633" s="11">
        <f t="shared" ref="CS633:CS696" si="49">+AL633+AT633</f>
        <v>1079.17</v>
      </c>
      <c r="CT633" s="22">
        <f t="shared" ref="CT633:CT696" si="50">+BA633+BG633+BM633+BS633+BY633+CE633+CK633+CQ633</f>
        <v>1079.17</v>
      </c>
      <c r="CU633" s="22">
        <f t="shared" si="48"/>
        <v>0</v>
      </c>
      <c r="CV633" s="26">
        <f t="shared" ref="CV633:CV696" si="51">+AE633-AL633-AT633</f>
        <v>0</v>
      </c>
    </row>
    <row r="634" spans="1:100" x14ac:dyDescent="0.2">
      <c r="A634" s="9" t="s">
        <v>257</v>
      </c>
      <c r="B634" s="2">
        <v>71</v>
      </c>
      <c r="C634" s="3" t="s">
        <v>95</v>
      </c>
      <c r="D634" s="3" t="s">
        <v>96</v>
      </c>
      <c r="E634" s="2" t="s">
        <v>68</v>
      </c>
      <c r="F634" s="2">
        <v>15</v>
      </c>
      <c r="G634" s="2" t="s">
        <v>73</v>
      </c>
      <c r="H634" s="2">
        <v>5</v>
      </c>
      <c r="I634" s="8">
        <v>120.73</v>
      </c>
      <c r="J634" s="8">
        <v>34900</v>
      </c>
      <c r="K634" s="3">
        <v>0</v>
      </c>
      <c r="L634" s="3" t="s">
        <v>3</v>
      </c>
      <c r="M634" s="9" t="s">
        <v>0</v>
      </c>
      <c r="N634" s="9" t="s">
        <v>17</v>
      </c>
      <c r="O634" s="9" t="s">
        <v>267</v>
      </c>
      <c r="S634" s="9" t="s">
        <v>158</v>
      </c>
      <c r="T634" s="10" t="s">
        <v>73</v>
      </c>
      <c r="U634" s="10">
        <v>5</v>
      </c>
      <c r="V634" s="10">
        <v>120.73</v>
      </c>
      <c r="W634" s="10" t="s">
        <v>710</v>
      </c>
      <c r="X634" s="17">
        <v>44891</v>
      </c>
      <c r="Y634" s="17">
        <v>44907</v>
      </c>
      <c r="Z634" s="19" t="s">
        <v>772</v>
      </c>
      <c r="AA634" s="210">
        <v>35900</v>
      </c>
      <c r="AB634" s="9">
        <v>24</v>
      </c>
      <c r="AC634" s="9">
        <v>17</v>
      </c>
      <c r="AD634" s="17">
        <v>45458</v>
      </c>
      <c r="AE634" s="56">
        <v>1079.17</v>
      </c>
      <c r="AF634" s="56"/>
      <c r="AG634" s="9" t="s">
        <v>134</v>
      </c>
      <c r="AH634" s="17">
        <v>45458</v>
      </c>
      <c r="AI634" s="9">
        <v>6294731</v>
      </c>
      <c r="AJ634" s="9" t="s">
        <v>2734</v>
      </c>
      <c r="AK634" s="9" t="s">
        <v>2765</v>
      </c>
      <c r="AL634" s="11">
        <v>1079.17</v>
      </c>
      <c r="AN634" s="11" t="s">
        <v>2778</v>
      </c>
      <c r="AP634" s="11"/>
      <c r="AQ634" s="11"/>
      <c r="AR634" s="11"/>
      <c r="AW634" s="17">
        <v>45458</v>
      </c>
      <c r="AX634" s="9">
        <v>2784</v>
      </c>
      <c r="BA634" s="11">
        <v>1079.17</v>
      </c>
      <c r="BD634" s="9"/>
      <c r="CS634" s="11">
        <f t="shared" si="49"/>
        <v>1079.17</v>
      </c>
      <c r="CT634" s="22">
        <f t="shared" si="50"/>
        <v>1079.17</v>
      </c>
      <c r="CU634" s="22">
        <f t="shared" si="48"/>
        <v>0</v>
      </c>
      <c r="CV634" s="26">
        <f t="shared" si="51"/>
        <v>0</v>
      </c>
    </row>
    <row r="635" spans="1:100" x14ac:dyDescent="0.2">
      <c r="A635" s="9" t="s">
        <v>257</v>
      </c>
      <c r="B635" s="2">
        <v>71</v>
      </c>
      <c r="C635" s="3" t="s">
        <v>95</v>
      </c>
      <c r="D635" s="3" t="s">
        <v>96</v>
      </c>
      <c r="E635" s="2" t="s">
        <v>68</v>
      </c>
      <c r="F635" s="2">
        <v>15</v>
      </c>
      <c r="G635" s="2" t="s">
        <v>73</v>
      </c>
      <c r="H635" s="2">
        <v>5</v>
      </c>
      <c r="I635" s="8">
        <v>120.73</v>
      </c>
      <c r="J635" s="8">
        <v>34900</v>
      </c>
      <c r="K635" s="3">
        <v>0</v>
      </c>
      <c r="L635" s="3" t="s">
        <v>3</v>
      </c>
      <c r="M635" s="9" t="s">
        <v>0</v>
      </c>
      <c r="N635" s="9" t="s">
        <v>17</v>
      </c>
      <c r="O635" s="9" t="s">
        <v>267</v>
      </c>
      <c r="S635" s="9" t="s">
        <v>158</v>
      </c>
      <c r="T635" s="10" t="s">
        <v>73</v>
      </c>
      <c r="U635" s="10">
        <v>5</v>
      </c>
      <c r="V635" s="10">
        <v>120.73</v>
      </c>
      <c r="W635" s="10" t="s">
        <v>710</v>
      </c>
      <c r="X635" s="17">
        <v>44891</v>
      </c>
      <c r="Y635" s="17">
        <v>44907</v>
      </c>
      <c r="Z635" s="19" t="s">
        <v>772</v>
      </c>
      <c r="AA635" s="210">
        <v>35900</v>
      </c>
      <c r="AB635" s="9">
        <v>24</v>
      </c>
      <c r="AC635" s="9">
        <v>18</v>
      </c>
      <c r="AD635" s="17">
        <v>45488</v>
      </c>
      <c r="AE635" s="56">
        <v>1079.17</v>
      </c>
      <c r="AF635" s="56"/>
      <c r="AG635" s="9" t="s">
        <v>134</v>
      </c>
      <c r="AH635" s="17">
        <v>45488</v>
      </c>
      <c r="AI635" s="9">
        <v>6294731</v>
      </c>
      <c r="AJ635" s="9" t="s">
        <v>2734</v>
      </c>
      <c r="AK635" s="9" t="s">
        <v>2766</v>
      </c>
      <c r="AL635" s="11">
        <v>1079.17</v>
      </c>
      <c r="AN635" s="11" t="s">
        <v>2779</v>
      </c>
      <c r="AP635" s="11"/>
      <c r="AQ635" s="11"/>
      <c r="AR635" s="11"/>
      <c r="AW635" s="17">
        <v>45488</v>
      </c>
      <c r="AX635" s="9">
        <v>2908</v>
      </c>
      <c r="BA635" s="11">
        <v>1079.17</v>
      </c>
      <c r="BD635" s="9"/>
      <c r="CS635" s="11">
        <f t="shared" si="49"/>
        <v>1079.17</v>
      </c>
      <c r="CT635" s="22">
        <f t="shared" si="50"/>
        <v>1079.17</v>
      </c>
      <c r="CU635" s="22">
        <f t="shared" si="48"/>
        <v>0</v>
      </c>
      <c r="CV635" s="26">
        <f t="shared" si="51"/>
        <v>0</v>
      </c>
    </row>
    <row r="636" spans="1:100" x14ac:dyDescent="0.2">
      <c r="A636" s="9" t="s">
        <v>257</v>
      </c>
      <c r="B636" s="2">
        <v>71</v>
      </c>
      <c r="C636" s="3" t="s">
        <v>95</v>
      </c>
      <c r="D636" s="3" t="s">
        <v>96</v>
      </c>
      <c r="E636" s="2" t="s">
        <v>68</v>
      </c>
      <c r="F636" s="2">
        <v>15</v>
      </c>
      <c r="G636" s="2" t="s">
        <v>73</v>
      </c>
      <c r="H636" s="2">
        <v>5</v>
      </c>
      <c r="I636" s="8">
        <v>120.73</v>
      </c>
      <c r="J636" s="8">
        <v>34900</v>
      </c>
      <c r="K636" s="3">
        <v>0</v>
      </c>
      <c r="L636" s="3" t="s">
        <v>3</v>
      </c>
      <c r="M636" s="9" t="s">
        <v>0</v>
      </c>
      <c r="N636" s="9" t="s">
        <v>17</v>
      </c>
      <c r="O636" s="9" t="s">
        <v>267</v>
      </c>
      <c r="S636" s="9" t="s">
        <v>158</v>
      </c>
      <c r="T636" s="10" t="s">
        <v>73</v>
      </c>
      <c r="U636" s="10">
        <v>5</v>
      </c>
      <c r="V636" s="10">
        <v>120.73</v>
      </c>
      <c r="W636" s="10" t="s">
        <v>710</v>
      </c>
      <c r="X636" s="17">
        <v>44891</v>
      </c>
      <c r="Y636" s="17">
        <v>44907</v>
      </c>
      <c r="Z636" s="19" t="s">
        <v>772</v>
      </c>
      <c r="AA636" s="210">
        <v>35900</v>
      </c>
      <c r="AB636" s="9">
        <v>24</v>
      </c>
      <c r="AC636" s="9">
        <v>19</v>
      </c>
      <c r="AD636" s="17">
        <v>45519</v>
      </c>
      <c r="AE636" s="56">
        <v>1079.17</v>
      </c>
      <c r="AF636" s="56"/>
      <c r="AG636" s="9" t="s">
        <v>134</v>
      </c>
      <c r="AH636" s="17">
        <v>45518</v>
      </c>
      <c r="AI636" s="9">
        <v>6294731</v>
      </c>
      <c r="AJ636" s="9" t="s">
        <v>2734</v>
      </c>
      <c r="AK636" s="9" t="s">
        <v>2767</v>
      </c>
      <c r="AL636" s="11">
        <v>1079.17</v>
      </c>
      <c r="AN636" s="11" t="s">
        <v>2780</v>
      </c>
      <c r="AP636" s="11"/>
      <c r="AQ636" s="11"/>
      <c r="AR636" s="11"/>
      <c r="AW636" s="17">
        <v>45518</v>
      </c>
      <c r="AX636" s="9">
        <v>3034</v>
      </c>
      <c r="BA636" s="11">
        <v>1079.17</v>
      </c>
      <c r="BD636" s="9"/>
      <c r="CS636" s="11">
        <f t="shared" si="49"/>
        <v>1079.17</v>
      </c>
      <c r="CT636" s="22">
        <f t="shared" si="50"/>
        <v>1079.17</v>
      </c>
      <c r="CU636" s="22">
        <f t="shared" si="48"/>
        <v>0</v>
      </c>
      <c r="CV636" s="26">
        <f t="shared" si="51"/>
        <v>0</v>
      </c>
    </row>
    <row r="637" spans="1:100" x14ac:dyDescent="0.2">
      <c r="A637" s="9" t="s">
        <v>257</v>
      </c>
      <c r="B637" s="2">
        <v>71</v>
      </c>
      <c r="C637" s="3" t="s">
        <v>95</v>
      </c>
      <c r="D637" s="3" t="s">
        <v>96</v>
      </c>
      <c r="E637" s="2" t="s">
        <v>68</v>
      </c>
      <c r="F637" s="2">
        <v>15</v>
      </c>
      <c r="G637" s="2" t="s">
        <v>73</v>
      </c>
      <c r="H637" s="2">
        <v>5</v>
      </c>
      <c r="I637" s="8">
        <v>120.73</v>
      </c>
      <c r="J637" s="8">
        <v>34900</v>
      </c>
      <c r="K637" s="3">
        <v>0</v>
      </c>
      <c r="L637" s="3" t="s">
        <v>3</v>
      </c>
      <c r="M637" s="9" t="s">
        <v>0</v>
      </c>
      <c r="N637" s="9" t="s">
        <v>17</v>
      </c>
      <c r="O637" s="9" t="s">
        <v>267</v>
      </c>
      <c r="S637" s="9" t="s">
        <v>158</v>
      </c>
      <c r="T637" s="10" t="s">
        <v>73</v>
      </c>
      <c r="U637" s="10">
        <v>5</v>
      </c>
      <c r="V637" s="10">
        <v>120.73</v>
      </c>
      <c r="W637" s="10" t="s">
        <v>710</v>
      </c>
      <c r="X637" s="17">
        <v>44891</v>
      </c>
      <c r="Y637" s="17">
        <v>44907</v>
      </c>
      <c r="Z637" s="19" t="s">
        <v>772</v>
      </c>
      <c r="AA637" s="210">
        <v>35900</v>
      </c>
      <c r="AB637" s="9">
        <v>24</v>
      </c>
      <c r="AC637" s="9">
        <v>20</v>
      </c>
      <c r="AD637" s="17">
        <v>45550</v>
      </c>
      <c r="AE637" s="56">
        <v>1079.17</v>
      </c>
      <c r="AF637" s="56"/>
      <c r="AG637" s="9" t="s">
        <v>134</v>
      </c>
      <c r="AH637" s="17">
        <v>45552</v>
      </c>
      <c r="AI637" s="9">
        <v>6294731</v>
      </c>
      <c r="AJ637" s="9" t="s">
        <v>2734</v>
      </c>
      <c r="AK637" s="9" t="s">
        <v>2768</v>
      </c>
      <c r="AL637" s="11">
        <v>1079.17</v>
      </c>
      <c r="AN637" s="11" t="s">
        <v>2781</v>
      </c>
      <c r="AP637" s="11"/>
      <c r="AQ637" s="11"/>
      <c r="AR637" s="11"/>
      <c r="AW637" s="17">
        <v>45549</v>
      </c>
      <c r="AX637" s="9">
        <v>3159</v>
      </c>
      <c r="BA637" s="11">
        <v>1079.17</v>
      </c>
      <c r="BD637" s="9"/>
      <c r="CS637" s="11">
        <f t="shared" si="49"/>
        <v>1079.17</v>
      </c>
      <c r="CT637" s="22">
        <f t="shared" si="50"/>
        <v>1079.17</v>
      </c>
      <c r="CU637" s="22">
        <f t="shared" si="48"/>
        <v>0</v>
      </c>
      <c r="CV637" s="26">
        <f t="shared" si="51"/>
        <v>0</v>
      </c>
    </row>
    <row r="638" spans="1:100" x14ac:dyDescent="0.2">
      <c r="A638" s="9" t="s">
        <v>257</v>
      </c>
      <c r="B638" s="2">
        <v>71</v>
      </c>
      <c r="C638" s="3" t="s">
        <v>95</v>
      </c>
      <c r="D638" s="3" t="s">
        <v>96</v>
      </c>
      <c r="E638" s="2" t="s">
        <v>68</v>
      </c>
      <c r="F638" s="2">
        <v>15</v>
      </c>
      <c r="G638" s="2" t="s">
        <v>73</v>
      </c>
      <c r="H638" s="2">
        <v>5</v>
      </c>
      <c r="I638" s="8">
        <v>120.73</v>
      </c>
      <c r="J638" s="8">
        <v>34900</v>
      </c>
      <c r="K638" s="3">
        <v>0</v>
      </c>
      <c r="L638" s="3" t="s">
        <v>3</v>
      </c>
      <c r="M638" s="9" t="s">
        <v>0</v>
      </c>
      <c r="N638" s="9" t="s">
        <v>17</v>
      </c>
      <c r="O638" s="9" t="s">
        <v>267</v>
      </c>
      <c r="S638" s="9" t="s">
        <v>158</v>
      </c>
      <c r="T638" s="10" t="s">
        <v>73</v>
      </c>
      <c r="U638" s="10">
        <v>5</v>
      </c>
      <c r="V638" s="10">
        <v>120.73</v>
      </c>
      <c r="W638" s="10" t="s">
        <v>710</v>
      </c>
      <c r="X638" s="17">
        <v>44891</v>
      </c>
      <c r="Y638" s="17">
        <v>44907</v>
      </c>
      <c r="Z638" s="19" t="s">
        <v>772</v>
      </c>
      <c r="AA638" s="210">
        <v>35900</v>
      </c>
      <c r="AB638" s="9">
        <v>24</v>
      </c>
      <c r="AC638" s="9">
        <v>21</v>
      </c>
      <c r="AD638" s="17">
        <v>45580</v>
      </c>
      <c r="AE638" s="56">
        <v>1079.17</v>
      </c>
      <c r="AF638" s="56"/>
      <c r="AG638" s="9" t="s">
        <v>134</v>
      </c>
      <c r="AH638" s="17">
        <v>45580</v>
      </c>
      <c r="AI638" s="9">
        <v>6294731</v>
      </c>
      <c r="AJ638" s="9" t="s">
        <v>2734</v>
      </c>
      <c r="AK638" s="9" t="s">
        <v>2769</v>
      </c>
      <c r="AL638" s="11">
        <v>1079.17</v>
      </c>
      <c r="AN638" s="11" t="s">
        <v>2782</v>
      </c>
      <c r="AP638" s="11"/>
      <c r="AQ638" s="11"/>
      <c r="AR638" s="11"/>
      <c r="AW638" s="17">
        <v>45580</v>
      </c>
      <c r="AX638" s="9">
        <v>3283</v>
      </c>
      <c r="BA638" s="11">
        <v>1079.17</v>
      </c>
      <c r="BD638" s="9"/>
      <c r="CS638" s="11">
        <f t="shared" si="49"/>
        <v>1079.17</v>
      </c>
      <c r="CT638" s="22">
        <f t="shared" si="50"/>
        <v>1079.17</v>
      </c>
      <c r="CU638" s="22">
        <f t="shared" si="48"/>
        <v>0</v>
      </c>
      <c r="CV638" s="26">
        <f t="shared" si="51"/>
        <v>0</v>
      </c>
    </row>
    <row r="639" spans="1:100" x14ac:dyDescent="0.2">
      <c r="A639" s="9" t="s">
        <v>257</v>
      </c>
      <c r="B639" s="2">
        <v>71</v>
      </c>
      <c r="C639" s="3" t="s">
        <v>95</v>
      </c>
      <c r="D639" s="3" t="s">
        <v>96</v>
      </c>
      <c r="E639" s="2" t="s">
        <v>68</v>
      </c>
      <c r="F639" s="2">
        <v>15</v>
      </c>
      <c r="G639" s="2" t="s">
        <v>73</v>
      </c>
      <c r="H639" s="2">
        <v>5</v>
      </c>
      <c r="I639" s="8">
        <v>120.73</v>
      </c>
      <c r="J639" s="8">
        <v>34900</v>
      </c>
      <c r="K639" s="3">
        <v>0</v>
      </c>
      <c r="L639" s="3" t="s">
        <v>3</v>
      </c>
      <c r="M639" s="9" t="s">
        <v>0</v>
      </c>
      <c r="N639" s="9" t="s">
        <v>17</v>
      </c>
      <c r="O639" s="9" t="s">
        <v>267</v>
      </c>
      <c r="S639" s="9" t="s">
        <v>158</v>
      </c>
      <c r="T639" s="10" t="s">
        <v>73</v>
      </c>
      <c r="U639" s="10">
        <v>5</v>
      </c>
      <c r="V639" s="10">
        <v>120.73</v>
      </c>
      <c r="W639" s="10" t="s">
        <v>710</v>
      </c>
      <c r="X639" s="17">
        <v>44891</v>
      </c>
      <c r="Y639" s="17">
        <v>44907</v>
      </c>
      <c r="Z639" s="19" t="s">
        <v>772</v>
      </c>
      <c r="AA639" s="210">
        <v>35900</v>
      </c>
      <c r="AB639" s="9">
        <v>24</v>
      </c>
      <c r="AC639" s="9">
        <v>22</v>
      </c>
      <c r="AD639" s="17">
        <v>45611</v>
      </c>
      <c r="AE639" s="56">
        <v>1079.17</v>
      </c>
      <c r="AF639" s="56"/>
      <c r="AG639" s="9" t="s">
        <v>134</v>
      </c>
      <c r="AH639" s="17">
        <v>45611</v>
      </c>
      <c r="AI639" s="9">
        <v>6294731</v>
      </c>
      <c r="AJ639" s="9" t="s">
        <v>2734</v>
      </c>
      <c r="AK639" s="9" t="s">
        <v>2770</v>
      </c>
      <c r="AL639" s="11">
        <v>1079.7</v>
      </c>
      <c r="AN639" s="11" t="s">
        <v>2783</v>
      </c>
      <c r="AP639" s="11"/>
      <c r="AQ639" s="11"/>
      <c r="AR639" s="11"/>
      <c r="AW639" s="17">
        <v>45611</v>
      </c>
      <c r="AX639" s="9">
        <v>3405</v>
      </c>
      <c r="BA639" s="11">
        <v>1079.71</v>
      </c>
      <c r="BD639" s="9"/>
      <c r="CS639" s="11">
        <f t="shared" si="49"/>
        <v>1079.7</v>
      </c>
      <c r="CT639" s="22">
        <f t="shared" si="50"/>
        <v>1079.71</v>
      </c>
      <c r="CU639" s="22">
        <f t="shared" si="48"/>
        <v>-9.9999999999909051E-3</v>
      </c>
      <c r="CV639" s="26">
        <f t="shared" si="51"/>
        <v>-0.52999999999997272</v>
      </c>
    </row>
    <row r="640" spans="1:100" x14ac:dyDescent="0.2">
      <c r="A640" s="9" t="s">
        <v>257</v>
      </c>
      <c r="B640" s="2">
        <v>71</v>
      </c>
      <c r="C640" s="3" t="s">
        <v>95</v>
      </c>
      <c r="D640" s="3" t="s">
        <v>96</v>
      </c>
      <c r="E640" s="2" t="s">
        <v>68</v>
      </c>
      <c r="F640" s="2">
        <v>15</v>
      </c>
      <c r="G640" s="2" t="s">
        <v>73</v>
      </c>
      <c r="H640" s="2">
        <v>5</v>
      </c>
      <c r="I640" s="8">
        <v>120.73</v>
      </c>
      <c r="J640" s="8">
        <v>34900</v>
      </c>
      <c r="K640" s="3">
        <v>0</v>
      </c>
      <c r="L640" s="3" t="s">
        <v>3</v>
      </c>
      <c r="M640" s="9" t="s">
        <v>0</v>
      </c>
      <c r="N640" s="9" t="s">
        <v>17</v>
      </c>
      <c r="O640" s="9" t="s">
        <v>267</v>
      </c>
      <c r="S640" s="9" t="s">
        <v>158</v>
      </c>
      <c r="T640" s="10" t="s">
        <v>73</v>
      </c>
      <c r="U640" s="10">
        <v>5</v>
      </c>
      <c r="V640" s="10">
        <v>120.73</v>
      </c>
      <c r="W640" s="10" t="s">
        <v>710</v>
      </c>
      <c r="X640" s="17">
        <v>44891</v>
      </c>
      <c r="Y640" s="17">
        <v>44907</v>
      </c>
      <c r="Z640" s="19" t="s">
        <v>772</v>
      </c>
      <c r="AA640" s="210">
        <v>35900</v>
      </c>
      <c r="AB640" s="9">
        <v>24</v>
      </c>
      <c r="AC640" s="9">
        <v>23</v>
      </c>
      <c r="AD640" s="17">
        <v>45641</v>
      </c>
      <c r="AE640" s="56">
        <v>1079.17</v>
      </c>
      <c r="AF640" s="56"/>
      <c r="AG640" s="9" t="s">
        <v>134</v>
      </c>
      <c r="AH640" s="17">
        <v>45611</v>
      </c>
      <c r="AI640" s="9">
        <v>6294731</v>
      </c>
      <c r="AJ640" s="9" t="s">
        <v>2734</v>
      </c>
      <c r="AK640" s="9" t="s">
        <v>2771</v>
      </c>
      <c r="AL640" s="11">
        <v>1079.7</v>
      </c>
      <c r="AN640" s="11" t="s">
        <v>2784</v>
      </c>
      <c r="AP640" s="11"/>
      <c r="AQ640" s="11"/>
      <c r="AR640" s="11"/>
      <c r="AW640" s="17">
        <v>45611</v>
      </c>
      <c r="AX640" s="9">
        <v>3405</v>
      </c>
      <c r="BA640" s="11">
        <v>1079.71</v>
      </c>
      <c r="BD640" s="9"/>
      <c r="CS640" s="11">
        <f t="shared" si="49"/>
        <v>1079.7</v>
      </c>
      <c r="CT640" s="22">
        <f t="shared" si="50"/>
        <v>1079.71</v>
      </c>
      <c r="CU640" s="22">
        <f t="shared" si="48"/>
        <v>-9.9999999999909051E-3</v>
      </c>
      <c r="CV640" s="26">
        <f t="shared" si="51"/>
        <v>-0.52999999999997272</v>
      </c>
    </row>
    <row r="641" spans="1:103" x14ac:dyDescent="0.2">
      <c r="A641" s="9" t="s">
        <v>257</v>
      </c>
      <c r="B641" s="2">
        <v>71</v>
      </c>
      <c r="C641" s="3" t="s">
        <v>95</v>
      </c>
      <c r="D641" s="3" t="s">
        <v>96</v>
      </c>
      <c r="E641" s="2" t="s">
        <v>68</v>
      </c>
      <c r="F641" s="2">
        <v>15</v>
      </c>
      <c r="G641" s="2" t="s">
        <v>73</v>
      </c>
      <c r="H641" s="2">
        <v>5</v>
      </c>
      <c r="I641" s="8">
        <v>120.73</v>
      </c>
      <c r="J641" s="8">
        <v>34900</v>
      </c>
      <c r="K641" s="3">
        <v>0</v>
      </c>
      <c r="L641" s="3" t="s">
        <v>3</v>
      </c>
      <c r="M641" s="9" t="s">
        <v>0</v>
      </c>
      <c r="N641" s="9" t="s">
        <v>17</v>
      </c>
      <c r="O641" s="9" t="s">
        <v>267</v>
      </c>
      <c r="S641" s="9" t="s">
        <v>158</v>
      </c>
      <c r="T641" s="10" t="s">
        <v>73</v>
      </c>
      <c r="U641" s="10">
        <v>5</v>
      </c>
      <c r="V641" s="10">
        <v>120.73</v>
      </c>
      <c r="W641" s="10" t="s">
        <v>710</v>
      </c>
      <c r="X641" s="17">
        <v>44891</v>
      </c>
      <c r="Y641" s="17">
        <v>44907</v>
      </c>
      <c r="Z641" s="19" t="s">
        <v>772</v>
      </c>
      <c r="AA641" s="210">
        <v>35900</v>
      </c>
      <c r="AB641" s="9">
        <v>24</v>
      </c>
      <c r="AC641" s="9">
        <v>24</v>
      </c>
      <c r="AD641" s="17">
        <v>45672</v>
      </c>
      <c r="AE641" s="56">
        <v>1079.17</v>
      </c>
      <c r="AF641" s="56"/>
      <c r="AG641" s="9" t="s">
        <v>134</v>
      </c>
      <c r="AH641" s="17">
        <v>45611</v>
      </c>
      <c r="AI641" s="9">
        <v>6294731</v>
      </c>
      <c r="AJ641" s="9" t="s">
        <v>2734</v>
      </c>
      <c r="AK641" s="9" t="s">
        <v>2772</v>
      </c>
      <c r="AL641" s="11">
        <v>1079.7</v>
      </c>
      <c r="AN641" s="11" t="s">
        <v>2785</v>
      </c>
      <c r="AP641" s="11"/>
      <c r="AQ641" s="11"/>
      <c r="AR641" s="11"/>
      <c r="AW641" s="17">
        <v>45611</v>
      </c>
      <c r="AX641" s="9">
        <v>3405</v>
      </c>
      <c r="BA641" s="11">
        <v>1079.71</v>
      </c>
      <c r="BD641" s="9"/>
      <c r="CS641" s="11">
        <f t="shared" si="49"/>
        <v>1079.7</v>
      </c>
      <c r="CT641" s="22">
        <f t="shared" si="50"/>
        <v>1079.71</v>
      </c>
      <c r="CU641" s="22">
        <f t="shared" si="48"/>
        <v>-9.9999999999909051E-3</v>
      </c>
      <c r="CV641" s="26">
        <f t="shared" si="51"/>
        <v>-0.52999999999997272</v>
      </c>
    </row>
    <row r="642" spans="1:103" x14ac:dyDescent="0.2">
      <c r="A642" s="9" t="s">
        <v>258</v>
      </c>
      <c r="B642" s="2">
        <v>74</v>
      </c>
      <c r="C642" s="3" t="s">
        <v>95</v>
      </c>
      <c r="D642" s="3" t="s">
        <v>96</v>
      </c>
      <c r="E642" s="2"/>
      <c r="F642" s="2"/>
      <c r="G642" s="2" t="s">
        <v>73</v>
      </c>
      <c r="H642" s="2">
        <v>8</v>
      </c>
      <c r="I642" s="8">
        <v>120.73</v>
      </c>
      <c r="J642" s="8">
        <v>34900</v>
      </c>
      <c r="K642" s="3">
        <v>0</v>
      </c>
      <c r="L642" s="3" t="s">
        <v>3</v>
      </c>
      <c r="M642" s="9" t="s">
        <v>0</v>
      </c>
      <c r="N642" s="9" t="s">
        <v>18</v>
      </c>
      <c r="O642" s="9" t="s">
        <v>268</v>
      </c>
      <c r="S642" s="9" t="s">
        <v>158</v>
      </c>
      <c r="T642" s="10" t="s">
        <v>73</v>
      </c>
      <c r="U642" s="10">
        <v>8</v>
      </c>
      <c r="V642" s="10">
        <v>120</v>
      </c>
      <c r="W642" s="10" t="s">
        <v>710</v>
      </c>
      <c r="X642" s="17">
        <v>44916</v>
      </c>
      <c r="Y642" s="17">
        <v>44924</v>
      </c>
      <c r="Z642" s="19" t="s">
        <v>772</v>
      </c>
      <c r="AA642" s="210">
        <v>51350</v>
      </c>
      <c r="AB642" s="9">
        <v>60</v>
      </c>
      <c r="AC642" s="9">
        <v>0</v>
      </c>
      <c r="AD642" s="17">
        <v>44916</v>
      </c>
      <c r="AE642" s="56">
        <v>1000</v>
      </c>
      <c r="AF642" s="56"/>
      <c r="AG642" s="9" t="s">
        <v>134</v>
      </c>
      <c r="AH642" s="17">
        <v>44916</v>
      </c>
      <c r="AI642" s="9">
        <v>40271448</v>
      </c>
      <c r="AJ642" s="9" t="s">
        <v>2686</v>
      </c>
      <c r="AK642" s="9" t="s">
        <v>2682</v>
      </c>
      <c r="AL642" s="11">
        <v>1000</v>
      </c>
      <c r="AN642" s="11" t="s">
        <v>2684</v>
      </c>
      <c r="AP642" s="11"/>
      <c r="AQ642" s="11"/>
      <c r="AR642" s="11"/>
      <c r="AW642" s="17"/>
      <c r="BB642" s="11" t="s">
        <v>2024</v>
      </c>
      <c r="BC642" s="64"/>
      <c r="BD642" s="134"/>
      <c r="CS642" s="11">
        <f t="shared" si="49"/>
        <v>1000</v>
      </c>
      <c r="CT642" s="22">
        <f t="shared" si="50"/>
        <v>0</v>
      </c>
      <c r="CU642" s="22">
        <f t="shared" si="48"/>
        <v>1000</v>
      </c>
      <c r="CV642" s="26">
        <f t="shared" si="51"/>
        <v>0</v>
      </c>
      <c r="CY642" s="9" t="s">
        <v>3493</v>
      </c>
    </row>
    <row r="643" spans="1:103" x14ac:dyDescent="0.2">
      <c r="A643" s="9" t="s">
        <v>258</v>
      </c>
      <c r="B643" s="2">
        <v>74</v>
      </c>
      <c r="C643" s="3" t="s">
        <v>95</v>
      </c>
      <c r="D643" s="3" t="s">
        <v>96</v>
      </c>
      <c r="E643" s="2"/>
      <c r="F643" s="2"/>
      <c r="G643" s="2" t="s">
        <v>73</v>
      </c>
      <c r="H643" s="2">
        <v>8</v>
      </c>
      <c r="I643" s="8">
        <v>120.73</v>
      </c>
      <c r="J643" s="8">
        <v>34900</v>
      </c>
      <c r="K643" s="3">
        <v>0</v>
      </c>
      <c r="L643" s="3" t="s">
        <v>3</v>
      </c>
      <c r="M643" s="9" t="s">
        <v>0</v>
      </c>
      <c r="N643" s="9" t="s">
        <v>18</v>
      </c>
      <c r="O643" s="9" t="s">
        <v>268</v>
      </c>
      <c r="S643" s="9" t="s">
        <v>158</v>
      </c>
      <c r="T643" s="10" t="s">
        <v>73</v>
      </c>
      <c r="U643" s="10">
        <v>8</v>
      </c>
      <c r="V643" s="10">
        <v>120</v>
      </c>
      <c r="W643" s="10" t="s">
        <v>710</v>
      </c>
      <c r="X643" s="17">
        <v>44916</v>
      </c>
      <c r="Y643" s="17">
        <v>44924</v>
      </c>
      <c r="Z643" s="19" t="s">
        <v>772</v>
      </c>
      <c r="AA643" s="210">
        <v>51350</v>
      </c>
      <c r="AB643" s="9">
        <v>60</v>
      </c>
      <c r="AC643" s="9">
        <v>0</v>
      </c>
      <c r="AD643" s="17">
        <v>44924</v>
      </c>
      <c r="AE643" s="56">
        <v>1500</v>
      </c>
      <c r="AF643" s="56"/>
      <c r="AG643" s="9" t="s">
        <v>134</v>
      </c>
      <c r="AH643" s="17">
        <v>44924</v>
      </c>
      <c r="AI643" s="9">
        <v>40271448</v>
      </c>
      <c r="AJ643" s="9" t="s">
        <v>2686</v>
      </c>
      <c r="AK643" s="9" t="s">
        <v>2683</v>
      </c>
      <c r="AL643" s="11">
        <v>1500</v>
      </c>
      <c r="AN643" s="11" t="s">
        <v>2685</v>
      </c>
      <c r="AP643" s="11"/>
      <c r="AQ643" s="11"/>
      <c r="AR643" s="11"/>
      <c r="AW643" s="9"/>
      <c r="BB643" s="11" t="s">
        <v>2024</v>
      </c>
      <c r="BE643" s="11"/>
      <c r="CS643" s="11">
        <f t="shared" si="49"/>
        <v>1500</v>
      </c>
      <c r="CT643" s="22">
        <f t="shared" si="50"/>
        <v>0</v>
      </c>
      <c r="CU643" s="22">
        <f t="shared" si="48"/>
        <v>1500</v>
      </c>
      <c r="CV643" s="26">
        <f t="shared" si="51"/>
        <v>0</v>
      </c>
      <c r="CY643" s="9" t="s">
        <v>3493</v>
      </c>
    </row>
    <row r="644" spans="1:103" ht="14.25" customHeight="1" x14ac:dyDescent="0.2">
      <c r="A644" s="9" t="s">
        <v>258</v>
      </c>
      <c r="B644" s="2">
        <v>74</v>
      </c>
      <c r="C644" s="3" t="s">
        <v>95</v>
      </c>
      <c r="D644" s="3" t="s">
        <v>96</v>
      </c>
      <c r="E644" s="2"/>
      <c r="F644" s="2"/>
      <c r="G644" s="2" t="s">
        <v>73</v>
      </c>
      <c r="H644" s="2">
        <v>8</v>
      </c>
      <c r="I644" s="8">
        <v>120.73</v>
      </c>
      <c r="J644" s="8">
        <v>34900</v>
      </c>
      <c r="K644" s="3">
        <v>0</v>
      </c>
      <c r="L644" s="3" t="s">
        <v>3</v>
      </c>
      <c r="M644" s="9" t="s">
        <v>0</v>
      </c>
      <c r="N644" s="9" t="s">
        <v>18</v>
      </c>
      <c r="O644" s="9" t="s">
        <v>268</v>
      </c>
      <c r="S644" s="9" t="s">
        <v>158</v>
      </c>
      <c r="T644" s="10" t="s">
        <v>73</v>
      </c>
      <c r="U644" s="10">
        <v>8</v>
      </c>
      <c r="V644" s="10">
        <v>120</v>
      </c>
      <c r="W644" s="10" t="s">
        <v>710</v>
      </c>
      <c r="X644" s="17">
        <v>44916</v>
      </c>
      <c r="Y644" s="17">
        <v>44924</v>
      </c>
      <c r="Z644" s="19" t="s">
        <v>772</v>
      </c>
      <c r="AA644" s="210">
        <v>51350</v>
      </c>
      <c r="AB644" s="9">
        <v>60</v>
      </c>
      <c r="AC644" s="9">
        <v>0</v>
      </c>
      <c r="AD644" s="17">
        <v>44956</v>
      </c>
      <c r="AE644" s="56">
        <v>2500</v>
      </c>
      <c r="AF644" s="56"/>
      <c r="AG644" s="9" t="s">
        <v>134</v>
      </c>
      <c r="AH644" s="17">
        <v>44957</v>
      </c>
      <c r="AI644" s="9">
        <v>40271448</v>
      </c>
      <c r="AJ644" s="9" t="s">
        <v>2686</v>
      </c>
      <c r="AK644" s="9" t="s">
        <v>2687</v>
      </c>
      <c r="AL644" s="11">
        <v>2000</v>
      </c>
      <c r="AN644" s="11" t="s">
        <v>2699</v>
      </c>
      <c r="AO644" s="9" t="s">
        <v>134</v>
      </c>
      <c r="AP644" s="17">
        <v>44984</v>
      </c>
      <c r="AQ644" s="9">
        <v>40271448</v>
      </c>
      <c r="AR644" s="9" t="s">
        <v>2686</v>
      </c>
      <c r="AS644" s="9" t="s">
        <v>269</v>
      </c>
      <c r="AT644" s="11">
        <v>500</v>
      </c>
      <c r="AV644" s="11" t="s">
        <v>2700</v>
      </c>
      <c r="AW644" s="42">
        <v>44957</v>
      </c>
      <c r="AX644" s="36">
        <v>1177</v>
      </c>
      <c r="AY644" s="36"/>
      <c r="AZ644" s="36"/>
      <c r="BA644" s="40">
        <v>2000</v>
      </c>
      <c r="BB644" s="40"/>
      <c r="BC644" s="42">
        <v>44961</v>
      </c>
      <c r="BD644" s="41" t="s">
        <v>2724</v>
      </c>
      <c r="BE644" s="40">
        <v>1730</v>
      </c>
      <c r="BF644" s="36">
        <v>3.82</v>
      </c>
      <c r="BG644" s="40">
        <f>+BE644/BF644</f>
        <v>452.8795811518325</v>
      </c>
      <c r="BH644" s="36"/>
      <c r="BI644" s="42">
        <v>44961</v>
      </c>
      <c r="BJ644" s="36" t="s">
        <v>2725</v>
      </c>
      <c r="BK644" s="36">
        <v>195</v>
      </c>
      <c r="BL644" s="36">
        <v>3.82</v>
      </c>
      <c r="BM644" s="40">
        <f>+BK644/BL644</f>
        <v>51.047120418848166</v>
      </c>
      <c r="BN644" s="40"/>
      <c r="CS644" s="11">
        <f t="shared" si="49"/>
        <v>2500</v>
      </c>
      <c r="CT644" s="22">
        <f t="shared" si="50"/>
        <v>2503.9267015706805</v>
      </c>
      <c r="CU644" s="22">
        <f t="shared" si="48"/>
        <v>-3.9267015706805068</v>
      </c>
      <c r="CV644" s="26">
        <f t="shared" si="51"/>
        <v>0</v>
      </c>
    </row>
    <row r="645" spans="1:103" x14ac:dyDescent="0.2">
      <c r="A645" s="9" t="s">
        <v>258</v>
      </c>
      <c r="B645" s="2">
        <v>74</v>
      </c>
      <c r="C645" s="3" t="s">
        <v>95</v>
      </c>
      <c r="D645" s="3" t="s">
        <v>96</v>
      </c>
      <c r="E645" s="2"/>
      <c r="F645" s="2"/>
      <c r="G645" s="2" t="s">
        <v>73</v>
      </c>
      <c r="H645" s="2">
        <v>8</v>
      </c>
      <c r="I645" s="8">
        <v>120.73</v>
      </c>
      <c r="J645" s="8">
        <v>34900</v>
      </c>
      <c r="K645" s="3">
        <v>0</v>
      </c>
      <c r="L645" s="3" t="s">
        <v>3</v>
      </c>
      <c r="M645" s="9" t="s">
        <v>0</v>
      </c>
      <c r="N645" s="9" t="s">
        <v>18</v>
      </c>
      <c r="O645" s="9" t="s">
        <v>268</v>
      </c>
      <c r="S645" s="9" t="s">
        <v>158</v>
      </c>
      <c r="T645" s="10" t="s">
        <v>73</v>
      </c>
      <c r="U645" s="10">
        <v>8</v>
      </c>
      <c r="V645" s="10">
        <v>120</v>
      </c>
      <c r="W645" s="10" t="s">
        <v>710</v>
      </c>
      <c r="X645" s="17">
        <v>44916</v>
      </c>
      <c r="Y645" s="17">
        <v>44924</v>
      </c>
      <c r="Z645" s="19" t="s">
        <v>772</v>
      </c>
      <c r="AA645" s="210">
        <v>51350</v>
      </c>
      <c r="AB645" s="9">
        <v>60</v>
      </c>
      <c r="AC645" s="9">
        <v>1</v>
      </c>
      <c r="AD645" s="17">
        <v>45015</v>
      </c>
      <c r="AE645" s="56">
        <v>772.5</v>
      </c>
      <c r="AF645" s="11">
        <v>110</v>
      </c>
      <c r="AG645" s="9" t="s">
        <v>134</v>
      </c>
      <c r="AH645" s="17">
        <v>45040</v>
      </c>
      <c r="AI645" s="9">
        <v>40271448</v>
      </c>
      <c r="AJ645" s="9" t="s">
        <v>2686</v>
      </c>
      <c r="AK645" s="9" t="s">
        <v>2688</v>
      </c>
      <c r="AL645" s="11">
        <v>772.5</v>
      </c>
      <c r="AN645" s="11" t="s">
        <v>2701</v>
      </c>
      <c r="AO645" s="9" t="s">
        <v>134</v>
      </c>
      <c r="AP645" s="17">
        <v>45040</v>
      </c>
      <c r="AQ645" s="9">
        <v>40271448</v>
      </c>
      <c r="AR645" s="9" t="s">
        <v>2686</v>
      </c>
      <c r="AS645" s="9" t="s">
        <v>2689</v>
      </c>
      <c r="AT645" s="11">
        <v>110</v>
      </c>
      <c r="AV645" s="11" t="s">
        <v>2702</v>
      </c>
      <c r="AW645" s="40">
        <v>45038</v>
      </c>
      <c r="AX645" s="36">
        <v>1426</v>
      </c>
      <c r="AY645" s="40"/>
      <c r="AZ645" s="36"/>
      <c r="BA645" s="40">
        <v>850</v>
      </c>
      <c r="BE645" s="11"/>
      <c r="CS645" s="11">
        <f t="shared" si="49"/>
        <v>882.5</v>
      </c>
      <c r="CT645" s="22">
        <f t="shared" si="50"/>
        <v>850</v>
      </c>
      <c r="CU645" s="22">
        <f t="shared" si="48"/>
        <v>32.5</v>
      </c>
      <c r="CV645" s="26">
        <f t="shared" si="51"/>
        <v>-110</v>
      </c>
      <c r="CW645" s="9" t="s">
        <v>3498</v>
      </c>
      <c r="CX645" s="9" t="s">
        <v>3495</v>
      </c>
      <c r="CY645" s="9" t="s">
        <v>3493</v>
      </c>
    </row>
    <row r="646" spans="1:103" x14ac:dyDescent="0.2">
      <c r="A646" s="9" t="s">
        <v>258</v>
      </c>
      <c r="B646" s="2">
        <v>74</v>
      </c>
      <c r="C646" s="3" t="s">
        <v>95</v>
      </c>
      <c r="D646" s="3" t="s">
        <v>96</v>
      </c>
      <c r="E646" s="2"/>
      <c r="F646" s="2"/>
      <c r="G646" s="2" t="s">
        <v>73</v>
      </c>
      <c r="H646" s="2">
        <v>8</v>
      </c>
      <c r="I646" s="8">
        <v>120.73</v>
      </c>
      <c r="J646" s="8">
        <v>34900</v>
      </c>
      <c r="K646" s="3">
        <v>0</v>
      </c>
      <c r="L646" s="3" t="s">
        <v>3</v>
      </c>
      <c r="M646" s="9" t="s">
        <v>0</v>
      </c>
      <c r="N646" s="9" t="s">
        <v>18</v>
      </c>
      <c r="O646" s="9" t="s">
        <v>268</v>
      </c>
      <c r="S646" s="9" t="s">
        <v>158</v>
      </c>
      <c r="T646" s="10" t="s">
        <v>73</v>
      </c>
      <c r="U646" s="10">
        <v>8</v>
      </c>
      <c r="V646" s="10">
        <v>120</v>
      </c>
      <c r="W646" s="10" t="s">
        <v>710</v>
      </c>
      <c r="X646" s="17">
        <v>44916</v>
      </c>
      <c r="Y646" s="17">
        <v>44924</v>
      </c>
      <c r="Z646" s="19" t="s">
        <v>772</v>
      </c>
      <c r="AA646" s="210">
        <v>51350</v>
      </c>
      <c r="AB646" s="9">
        <v>60</v>
      </c>
      <c r="AC646" s="9">
        <v>2</v>
      </c>
      <c r="AD646" s="17">
        <v>45046</v>
      </c>
      <c r="AE646" s="56">
        <v>772.5</v>
      </c>
      <c r="AF646" s="11">
        <v>150</v>
      </c>
      <c r="AG646" s="9" t="s">
        <v>134</v>
      </c>
      <c r="AH646" s="17">
        <v>45077</v>
      </c>
      <c r="AI646" s="9">
        <v>40271448</v>
      </c>
      <c r="AJ646" s="9" t="s">
        <v>2686</v>
      </c>
      <c r="AK646" s="9" t="s">
        <v>2690</v>
      </c>
      <c r="AL646" s="11">
        <v>772.5</v>
      </c>
      <c r="AN646" s="11" t="s">
        <v>2703</v>
      </c>
      <c r="AO646" s="9" t="s">
        <v>134</v>
      </c>
      <c r="AP646" s="17">
        <v>45115</v>
      </c>
      <c r="AQ646" s="9">
        <v>40271448</v>
      </c>
      <c r="AR646" s="9" t="s">
        <v>2686</v>
      </c>
      <c r="AS646" s="9" t="s">
        <v>2692</v>
      </c>
      <c r="AT646" s="11">
        <v>150</v>
      </c>
      <c r="AV646" s="11" t="s">
        <v>2705</v>
      </c>
      <c r="AW646" s="42">
        <v>45078</v>
      </c>
      <c r="AX646" s="166" t="s">
        <v>2726</v>
      </c>
      <c r="AY646" s="40">
        <v>2858.25</v>
      </c>
      <c r="AZ646" s="36">
        <v>3.7</v>
      </c>
      <c r="BA646" s="40">
        <f>+AY646/AZ646</f>
        <v>772.5</v>
      </c>
      <c r="BC646" s="42">
        <v>45078</v>
      </c>
      <c r="BD646" s="41" t="s">
        <v>2726</v>
      </c>
      <c r="BE646" s="40">
        <f>+AT645*BF646</f>
        <v>403.7</v>
      </c>
      <c r="BF646" s="36">
        <v>3.67</v>
      </c>
      <c r="BG646" s="36">
        <f>+BE646/BF646</f>
        <v>110</v>
      </c>
      <c r="BH646" s="36"/>
      <c r="CS646" s="11">
        <f t="shared" si="49"/>
        <v>922.5</v>
      </c>
      <c r="CT646" s="22">
        <f t="shared" si="50"/>
        <v>882.5</v>
      </c>
      <c r="CU646" s="22">
        <f t="shared" si="48"/>
        <v>40</v>
      </c>
      <c r="CV646" s="26">
        <f t="shared" si="51"/>
        <v>-150</v>
      </c>
      <c r="CW646" s="9" t="s">
        <v>3498</v>
      </c>
      <c r="CX646" s="9" t="s">
        <v>3495</v>
      </c>
      <c r="CY646" s="9" t="s">
        <v>3493</v>
      </c>
    </row>
    <row r="647" spans="1:103" x14ac:dyDescent="0.2">
      <c r="A647" s="9" t="s">
        <v>258</v>
      </c>
      <c r="B647" s="2">
        <v>74</v>
      </c>
      <c r="C647" s="3" t="s">
        <v>95</v>
      </c>
      <c r="D647" s="3" t="s">
        <v>96</v>
      </c>
      <c r="E647" s="2"/>
      <c r="F647" s="2"/>
      <c r="G647" s="2" t="s">
        <v>73</v>
      </c>
      <c r="H647" s="2">
        <v>8</v>
      </c>
      <c r="I647" s="8">
        <v>120.73</v>
      </c>
      <c r="J647" s="8">
        <v>34900</v>
      </c>
      <c r="K647" s="3">
        <v>0</v>
      </c>
      <c r="L647" s="3" t="s">
        <v>3</v>
      </c>
      <c r="M647" s="9" t="s">
        <v>0</v>
      </c>
      <c r="N647" s="9" t="s">
        <v>18</v>
      </c>
      <c r="O647" s="9" t="s">
        <v>268</v>
      </c>
      <c r="S647" s="9" t="s">
        <v>158</v>
      </c>
      <c r="T647" s="10" t="s">
        <v>73</v>
      </c>
      <c r="U647" s="10">
        <v>8</v>
      </c>
      <c r="V647" s="10">
        <v>120</v>
      </c>
      <c r="W647" s="10" t="s">
        <v>710</v>
      </c>
      <c r="X647" s="17">
        <v>44916</v>
      </c>
      <c r="Y647" s="17">
        <v>44924</v>
      </c>
      <c r="Z647" s="19" t="s">
        <v>772</v>
      </c>
      <c r="AA647" s="210">
        <v>51350</v>
      </c>
      <c r="AB647" s="9">
        <v>60</v>
      </c>
      <c r="AC647" s="9">
        <v>3</v>
      </c>
      <c r="AD647" s="17">
        <v>45076</v>
      </c>
      <c r="AE647" s="56">
        <v>772.5</v>
      </c>
      <c r="AF647" s="56"/>
      <c r="AG647" s="9" t="s">
        <v>134</v>
      </c>
      <c r="AH647" s="17">
        <v>45105</v>
      </c>
      <c r="AI647" s="9">
        <v>40271448</v>
      </c>
      <c r="AJ647" s="9" t="s">
        <v>2686</v>
      </c>
      <c r="AK647" s="9" t="s">
        <v>2691</v>
      </c>
      <c r="AL647" s="11">
        <v>772.5</v>
      </c>
      <c r="AN647" s="11" t="s">
        <v>2704</v>
      </c>
      <c r="AP647" s="11"/>
      <c r="AQ647" s="11"/>
      <c r="AR647" s="11"/>
      <c r="AW647" s="42">
        <v>45105</v>
      </c>
      <c r="AX647" s="36" t="s">
        <v>2727</v>
      </c>
      <c r="AY647" s="40">
        <v>400</v>
      </c>
      <c r="AZ647" s="36">
        <v>3.64</v>
      </c>
      <c r="BA647" s="40">
        <f>+AY647/AZ647</f>
        <v>109.89010989010988</v>
      </c>
      <c r="BB647" s="40"/>
      <c r="BC647" s="42">
        <v>45105</v>
      </c>
      <c r="BD647" s="41" t="s">
        <v>2728</v>
      </c>
      <c r="BE647" s="40">
        <v>219</v>
      </c>
      <c r="BF647" s="36">
        <v>3.64</v>
      </c>
      <c r="BG647" s="40">
        <f>+BE647/BF647</f>
        <v>60.164835164835161</v>
      </c>
      <c r="BH647" s="36"/>
      <c r="BI647" s="42">
        <v>45107</v>
      </c>
      <c r="BJ647" s="36" t="s">
        <v>2729</v>
      </c>
      <c r="BK647" s="36">
        <v>2192.92</v>
      </c>
      <c r="BL647" s="36">
        <v>3.64</v>
      </c>
      <c r="BM647" s="40">
        <f>+BK647/BL647</f>
        <v>602.45054945054949</v>
      </c>
      <c r="BN647" s="40"/>
      <c r="CS647" s="11">
        <f t="shared" si="49"/>
        <v>772.5</v>
      </c>
      <c r="CT647" s="22">
        <f t="shared" si="50"/>
        <v>772.50549450549454</v>
      </c>
      <c r="CU647" s="22">
        <f t="shared" si="48"/>
        <v>-5.4945054945392258E-3</v>
      </c>
      <c r="CV647" s="26">
        <f t="shared" si="51"/>
        <v>0</v>
      </c>
    </row>
    <row r="648" spans="1:103" x14ac:dyDescent="0.2">
      <c r="A648" s="9" t="s">
        <v>258</v>
      </c>
      <c r="B648" s="2">
        <v>74</v>
      </c>
      <c r="C648" s="3" t="s">
        <v>95</v>
      </c>
      <c r="D648" s="3" t="s">
        <v>96</v>
      </c>
      <c r="E648" s="2"/>
      <c r="F648" s="2"/>
      <c r="G648" s="2" t="s">
        <v>73</v>
      </c>
      <c r="H648" s="2">
        <v>8</v>
      </c>
      <c r="I648" s="8">
        <v>120.73</v>
      </c>
      <c r="J648" s="8">
        <v>34900</v>
      </c>
      <c r="K648" s="3">
        <v>0</v>
      </c>
      <c r="L648" s="3" t="s">
        <v>3</v>
      </c>
      <c r="M648" s="9" t="s">
        <v>0</v>
      </c>
      <c r="N648" s="9" t="s">
        <v>18</v>
      </c>
      <c r="O648" s="9" t="s">
        <v>268</v>
      </c>
      <c r="S648" s="9" t="s">
        <v>158</v>
      </c>
      <c r="T648" s="10" t="s">
        <v>73</v>
      </c>
      <c r="U648" s="10">
        <v>8</v>
      </c>
      <c r="V648" s="10">
        <v>120</v>
      </c>
      <c r="W648" s="10" t="s">
        <v>710</v>
      </c>
      <c r="X648" s="17">
        <v>44916</v>
      </c>
      <c r="Y648" s="17">
        <v>44924</v>
      </c>
      <c r="Z648" s="19" t="s">
        <v>772</v>
      </c>
      <c r="AA648" s="210">
        <v>51350</v>
      </c>
      <c r="AB648" s="9">
        <v>60</v>
      </c>
      <c r="AC648" s="9">
        <v>4</v>
      </c>
      <c r="AD648" s="17">
        <v>45107</v>
      </c>
      <c r="AE648" s="56">
        <v>772.5</v>
      </c>
      <c r="AF648" s="56"/>
      <c r="AG648" s="9" t="s">
        <v>134</v>
      </c>
      <c r="AH648" s="17">
        <v>45139</v>
      </c>
      <c r="AI648" s="9">
        <v>40271448</v>
      </c>
      <c r="AJ648" s="9" t="s">
        <v>2686</v>
      </c>
      <c r="AK648" s="9" t="s">
        <v>2693</v>
      </c>
      <c r="AL648" s="11">
        <v>775.5</v>
      </c>
      <c r="AN648" s="11" t="s">
        <v>2706</v>
      </c>
      <c r="AP648" s="11"/>
      <c r="AQ648" s="11"/>
      <c r="AR648" s="11"/>
      <c r="AW648" s="42">
        <v>45139</v>
      </c>
      <c r="AX648" s="36">
        <v>25999</v>
      </c>
      <c r="AY648" s="40">
        <f>+BA648*AZ648</f>
        <v>2303.7794999999996</v>
      </c>
      <c r="AZ648" s="36">
        <v>3.63</v>
      </c>
      <c r="BA648" s="40">
        <v>634.65</v>
      </c>
      <c r="BB648" s="40"/>
      <c r="BC648" s="42">
        <v>45139</v>
      </c>
      <c r="BD648" s="41">
        <v>26026</v>
      </c>
      <c r="BE648" s="40">
        <v>511.3</v>
      </c>
      <c r="BF648" s="36">
        <v>3.63</v>
      </c>
      <c r="BG648" s="40">
        <f>+BE648/BF648</f>
        <v>140.85399449035813</v>
      </c>
      <c r="CS648" s="11">
        <f t="shared" si="49"/>
        <v>775.5</v>
      </c>
      <c r="CT648" s="22">
        <f t="shared" si="50"/>
        <v>775.50399449035808</v>
      </c>
      <c r="CU648" s="22">
        <f t="shared" si="48"/>
        <v>-3.9944903580817481E-3</v>
      </c>
      <c r="CV648" s="26">
        <f t="shared" si="51"/>
        <v>-3</v>
      </c>
    </row>
    <row r="649" spans="1:103" x14ac:dyDescent="0.2">
      <c r="A649" s="9" t="s">
        <v>258</v>
      </c>
      <c r="B649" s="2">
        <v>74</v>
      </c>
      <c r="C649" s="3" t="s">
        <v>95</v>
      </c>
      <c r="D649" s="3" t="s">
        <v>96</v>
      </c>
      <c r="E649" s="2"/>
      <c r="F649" s="2"/>
      <c r="G649" s="2" t="s">
        <v>73</v>
      </c>
      <c r="H649" s="2">
        <v>8</v>
      </c>
      <c r="I649" s="8">
        <v>120.73</v>
      </c>
      <c r="J649" s="8">
        <v>34900</v>
      </c>
      <c r="K649" s="3">
        <v>0</v>
      </c>
      <c r="L649" s="3" t="s">
        <v>3</v>
      </c>
      <c r="M649" s="9" t="s">
        <v>0</v>
      </c>
      <c r="N649" s="9" t="s">
        <v>18</v>
      </c>
      <c r="O649" s="9" t="s">
        <v>268</v>
      </c>
      <c r="S649" s="9" t="s">
        <v>158</v>
      </c>
      <c r="T649" s="10" t="s">
        <v>73</v>
      </c>
      <c r="U649" s="10">
        <v>8</v>
      </c>
      <c r="V649" s="10">
        <v>120</v>
      </c>
      <c r="W649" s="10" t="s">
        <v>710</v>
      </c>
      <c r="X649" s="17">
        <v>44916</v>
      </c>
      <c r="Y649" s="17">
        <v>44924</v>
      </c>
      <c r="Z649" s="19" t="s">
        <v>772</v>
      </c>
      <c r="AA649" s="210">
        <v>51350</v>
      </c>
      <c r="AB649" s="9">
        <v>60</v>
      </c>
      <c r="AC649" s="9">
        <v>5</v>
      </c>
      <c r="AD649" s="17">
        <v>45137</v>
      </c>
      <c r="AE649" s="56">
        <v>772.5</v>
      </c>
      <c r="AF649" s="56"/>
      <c r="AG649" s="9" t="s">
        <v>134</v>
      </c>
      <c r="AH649" s="17">
        <v>45171</v>
      </c>
      <c r="AI649" s="9">
        <v>40271448</v>
      </c>
      <c r="AJ649" s="9" t="s">
        <v>2686</v>
      </c>
      <c r="AK649" s="9" t="s">
        <v>2694</v>
      </c>
      <c r="AL649" s="11">
        <v>772</v>
      </c>
      <c r="AN649" s="11" t="s">
        <v>2707</v>
      </c>
      <c r="AP649" s="11"/>
      <c r="AQ649" s="11"/>
      <c r="AR649" s="11"/>
      <c r="AW649" s="42">
        <v>45169</v>
      </c>
      <c r="AX649" s="36">
        <v>27088</v>
      </c>
      <c r="AY649" s="40">
        <v>2777.48</v>
      </c>
      <c r="AZ649" s="36">
        <v>3.75</v>
      </c>
      <c r="BA649" s="40">
        <f>+AY649/AZ649</f>
        <v>740.66133333333335</v>
      </c>
      <c r="BE649" s="11"/>
      <c r="CS649" s="11">
        <f t="shared" si="49"/>
        <v>772</v>
      </c>
      <c r="CT649" s="22">
        <f t="shared" si="50"/>
        <v>740.66133333333335</v>
      </c>
      <c r="CU649" s="22">
        <f t="shared" si="48"/>
        <v>31.338666666666654</v>
      </c>
      <c r="CV649" s="26">
        <f t="shared" si="51"/>
        <v>0.5</v>
      </c>
      <c r="CW649" s="9" t="s">
        <v>3498</v>
      </c>
      <c r="CY649" s="9" t="s">
        <v>3493</v>
      </c>
    </row>
    <row r="650" spans="1:103" x14ac:dyDescent="0.2">
      <c r="A650" s="9" t="s">
        <v>258</v>
      </c>
      <c r="B650" s="2">
        <v>74</v>
      </c>
      <c r="C650" s="3" t="s">
        <v>95</v>
      </c>
      <c r="D650" s="3" t="s">
        <v>96</v>
      </c>
      <c r="E650" s="2"/>
      <c r="F650" s="2"/>
      <c r="G650" s="2" t="s">
        <v>73</v>
      </c>
      <c r="H650" s="2">
        <v>8</v>
      </c>
      <c r="I650" s="8">
        <v>120.73</v>
      </c>
      <c r="J650" s="8">
        <v>34900</v>
      </c>
      <c r="K650" s="3">
        <v>0</v>
      </c>
      <c r="L650" s="3" t="s">
        <v>3</v>
      </c>
      <c r="M650" s="9" t="s">
        <v>0</v>
      </c>
      <c r="N650" s="9" t="s">
        <v>18</v>
      </c>
      <c r="O650" s="9" t="s">
        <v>268</v>
      </c>
      <c r="S650" s="9" t="s">
        <v>158</v>
      </c>
      <c r="T650" s="10" t="s">
        <v>73</v>
      </c>
      <c r="U650" s="10">
        <v>8</v>
      </c>
      <c r="V650" s="10">
        <v>120</v>
      </c>
      <c r="W650" s="10" t="s">
        <v>710</v>
      </c>
      <c r="X650" s="17">
        <v>44916</v>
      </c>
      <c r="Y650" s="17">
        <v>44924</v>
      </c>
      <c r="Z650" s="19" t="s">
        <v>772</v>
      </c>
      <c r="AA650" s="210">
        <v>51350</v>
      </c>
      <c r="AB650" s="9">
        <v>60</v>
      </c>
      <c r="AC650" s="9">
        <v>6</v>
      </c>
      <c r="AD650" s="17">
        <v>45168</v>
      </c>
      <c r="AE650" s="56">
        <v>772.5</v>
      </c>
      <c r="AF650" s="56"/>
      <c r="AG650" s="9" t="s">
        <v>134</v>
      </c>
      <c r="AH650" s="17">
        <v>45201</v>
      </c>
      <c r="AI650" s="9">
        <v>40271448</v>
      </c>
      <c r="AJ650" s="9" t="s">
        <v>2686</v>
      </c>
      <c r="AK650" s="9" t="s">
        <v>2695</v>
      </c>
      <c r="AL650" s="11">
        <v>772.5</v>
      </c>
      <c r="AN650" s="11" t="s">
        <v>2708</v>
      </c>
      <c r="AP650" s="11"/>
      <c r="AQ650" s="11"/>
      <c r="AR650" s="11"/>
      <c r="AW650" s="42">
        <v>45201</v>
      </c>
      <c r="AX650" s="36">
        <v>28284</v>
      </c>
      <c r="AY650" s="40">
        <f>+BA650*AZ650</f>
        <v>2981.85</v>
      </c>
      <c r="AZ650" s="36">
        <v>3.86</v>
      </c>
      <c r="BA650" s="40">
        <v>772.5</v>
      </c>
      <c r="BE650" s="11"/>
      <c r="CS650" s="11">
        <f t="shared" si="49"/>
        <v>772.5</v>
      </c>
      <c r="CT650" s="22">
        <f t="shared" si="50"/>
        <v>772.5</v>
      </c>
      <c r="CU650" s="22">
        <f t="shared" si="48"/>
        <v>0</v>
      </c>
      <c r="CV650" s="26">
        <f t="shared" si="51"/>
        <v>0</v>
      </c>
    </row>
    <row r="651" spans="1:103" x14ac:dyDescent="0.2">
      <c r="A651" s="9" t="s">
        <v>258</v>
      </c>
      <c r="B651" s="2">
        <v>74</v>
      </c>
      <c r="C651" s="3" t="s">
        <v>95</v>
      </c>
      <c r="D651" s="3" t="s">
        <v>96</v>
      </c>
      <c r="E651" s="2"/>
      <c r="F651" s="2"/>
      <c r="G651" s="2" t="s">
        <v>73</v>
      </c>
      <c r="H651" s="2">
        <v>8</v>
      </c>
      <c r="I651" s="8">
        <v>120.73</v>
      </c>
      <c r="J651" s="8">
        <v>34900</v>
      </c>
      <c r="K651" s="3">
        <v>0</v>
      </c>
      <c r="L651" s="3" t="s">
        <v>3</v>
      </c>
      <c r="M651" s="9" t="s">
        <v>0</v>
      </c>
      <c r="N651" s="9" t="s">
        <v>18</v>
      </c>
      <c r="O651" s="9" t="s">
        <v>268</v>
      </c>
      <c r="S651" s="9" t="s">
        <v>158</v>
      </c>
      <c r="T651" s="10" t="s">
        <v>73</v>
      </c>
      <c r="U651" s="10">
        <v>8</v>
      </c>
      <c r="V651" s="10">
        <v>120</v>
      </c>
      <c r="W651" s="10" t="s">
        <v>710</v>
      </c>
      <c r="X651" s="17">
        <v>44916</v>
      </c>
      <c r="Y651" s="17">
        <v>44924</v>
      </c>
      <c r="Z651" s="19" t="s">
        <v>772</v>
      </c>
      <c r="AA651" s="210">
        <v>51350</v>
      </c>
      <c r="AB651" s="9">
        <v>60</v>
      </c>
      <c r="AC651" s="9">
        <v>7</v>
      </c>
      <c r="AD651" s="17">
        <v>45199</v>
      </c>
      <c r="AE651" s="56">
        <v>772.5</v>
      </c>
      <c r="AF651" s="56"/>
      <c r="AG651" s="9" t="s">
        <v>134</v>
      </c>
      <c r="AH651" s="17">
        <v>45230</v>
      </c>
      <c r="AI651" s="9">
        <v>40271448</v>
      </c>
      <c r="AJ651" s="9" t="s">
        <v>2686</v>
      </c>
      <c r="AK651" s="9" t="s">
        <v>2696</v>
      </c>
      <c r="AL651" s="11">
        <v>772.5</v>
      </c>
      <c r="AN651" s="11" t="s">
        <v>2709</v>
      </c>
      <c r="AP651" s="11"/>
      <c r="AQ651" s="11"/>
      <c r="AR651" s="11"/>
      <c r="AW651" s="42">
        <v>45230</v>
      </c>
      <c r="AX651" s="36">
        <v>29293</v>
      </c>
      <c r="AY651" s="40">
        <f>+BA651*AZ651</f>
        <v>2989.5750000000003</v>
      </c>
      <c r="AZ651" s="36">
        <v>3.87</v>
      </c>
      <c r="BA651" s="40">
        <v>772.5</v>
      </c>
      <c r="BE651" s="11"/>
      <c r="CS651" s="11">
        <f t="shared" si="49"/>
        <v>772.5</v>
      </c>
      <c r="CT651" s="22">
        <f t="shared" si="50"/>
        <v>772.5</v>
      </c>
      <c r="CU651" s="22">
        <f t="shared" si="48"/>
        <v>0</v>
      </c>
      <c r="CV651" s="26">
        <f t="shared" si="51"/>
        <v>0</v>
      </c>
    </row>
    <row r="652" spans="1:103" x14ac:dyDescent="0.2">
      <c r="A652" s="9" t="s">
        <v>258</v>
      </c>
      <c r="B652" s="2">
        <v>74</v>
      </c>
      <c r="C652" s="3" t="s">
        <v>95</v>
      </c>
      <c r="D652" s="3" t="s">
        <v>96</v>
      </c>
      <c r="E652" s="2"/>
      <c r="F652" s="2"/>
      <c r="G652" s="2" t="s">
        <v>73</v>
      </c>
      <c r="H652" s="2">
        <v>8</v>
      </c>
      <c r="I652" s="8">
        <v>120.73</v>
      </c>
      <c r="J652" s="8">
        <v>34900</v>
      </c>
      <c r="K652" s="3">
        <v>0</v>
      </c>
      <c r="L652" s="3" t="s">
        <v>3</v>
      </c>
      <c r="M652" s="9" t="s">
        <v>0</v>
      </c>
      <c r="N652" s="9" t="s">
        <v>18</v>
      </c>
      <c r="O652" s="9" t="s">
        <v>268</v>
      </c>
      <c r="S652" s="9" t="s">
        <v>158</v>
      </c>
      <c r="T652" s="10" t="s">
        <v>73</v>
      </c>
      <c r="U652" s="10">
        <v>8</v>
      </c>
      <c r="V652" s="10">
        <v>120</v>
      </c>
      <c r="W652" s="10" t="s">
        <v>710</v>
      </c>
      <c r="X652" s="17">
        <v>44916</v>
      </c>
      <c r="Y652" s="17">
        <v>44924</v>
      </c>
      <c r="Z652" s="19" t="s">
        <v>772</v>
      </c>
      <c r="AA652" s="210">
        <v>51350</v>
      </c>
      <c r="AB652" s="9">
        <v>60</v>
      </c>
      <c r="AC652" s="9">
        <v>8</v>
      </c>
      <c r="AD652" s="17">
        <v>45229</v>
      </c>
      <c r="AE652" s="56">
        <v>772.5</v>
      </c>
      <c r="AF652" s="56"/>
      <c r="AG652" s="9" t="s">
        <v>134</v>
      </c>
      <c r="AH652" s="17">
        <v>45260</v>
      </c>
      <c r="AI652" s="9">
        <v>40271448</v>
      </c>
      <c r="AJ652" s="9" t="s">
        <v>2686</v>
      </c>
      <c r="AK652" s="9" t="s">
        <v>2697</v>
      </c>
      <c r="AL652" s="11">
        <v>772.5</v>
      </c>
      <c r="AN652" s="11" t="s">
        <v>2710</v>
      </c>
      <c r="AP652" s="11"/>
      <c r="AQ652" s="11"/>
      <c r="AR652" s="11"/>
      <c r="AW652" s="42">
        <v>45260</v>
      </c>
      <c r="AX652" s="36">
        <v>30347</v>
      </c>
      <c r="AY652" s="40">
        <f>+BA652*AZ652</f>
        <v>2896.875</v>
      </c>
      <c r="AZ652" s="36">
        <v>3.75</v>
      </c>
      <c r="BA652" s="40">
        <v>772.5</v>
      </c>
      <c r="BE652" s="11"/>
      <c r="CS652" s="11">
        <f t="shared" si="49"/>
        <v>772.5</v>
      </c>
      <c r="CT652" s="22">
        <f t="shared" si="50"/>
        <v>772.5</v>
      </c>
      <c r="CU652" s="22">
        <f t="shared" si="48"/>
        <v>0</v>
      </c>
      <c r="CV652" s="26">
        <f t="shared" si="51"/>
        <v>0</v>
      </c>
    </row>
    <row r="653" spans="1:103" x14ac:dyDescent="0.2">
      <c r="A653" s="9" t="s">
        <v>258</v>
      </c>
      <c r="B653" s="2">
        <v>74</v>
      </c>
      <c r="C653" s="3" t="s">
        <v>95</v>
      </c>
      <c r="D653" s="3" t="s">
        <v>96</v>
      </c>
      <c r="E653" s="2"/>
      <c r="F653" s="2"/>
      <c r="G653" s="2" t="s">
        <v>73</v>
      </c>
      <c r="H653" s="2">
        <v>8</v>
      </c>
      <c r="I653" s="8">
        <v>120.73</v>
      </c>
      <c r="J653" s="8">
        <v>34900</v>
      </c>
      <c r="K653" s="3">
        <v>0</v>
      </c>
      <c r="L653" s="3" t="s">
        <v>3</v>
      </c>
      <c r="M653" s="9" t="s">
        <v>0</v>
      </c>
      <c r="N653" s="9" t="s">
        <v>18</v>
      </c>
      <c r="O653" s="9" t="s">
        <v>268</v>
      </c>
      <c r="S653" s="9" t="s">
        <v>158</v>
      </c>
      <c r="T653" s="10" t="s">
        <v>73</v>
      </c>
      <c r="U653" s="10">
        <v>8</v>
      </c>
      <c r="V653" s="10">
        <v>120</v>
      </c>
      <c r="W653" s="10" t="s">
        <v>710</v>
      </c>
      <c r="X653" s="17">
        <v>44916</v>
      </c>
      <c r="Y653" s="17">
        <v>44924</v>
      </c>
      <c r="Z653" s="19" t="s">
        <v>772</v>
      </c>
      <c r="AA653" s="210">
        <v>51350</v>
      </c>
      <c r="AB653" s="9">
        <v>60</v>
      </c>
      <c r="AC653" s="9">
        <v>9</v>
      </c>
      <c r="AD653" s="17">
        <v>45260</v>
      </c>
      <c r="AE653" s="56">
        <v>772.5</v>
      </c>
      <c r="AF653" s="56"/>
      <c r="AG653" s="9" t="s">
        <v>134</v>
      </c>
      <c r="AH653" s="17">
        <v>45289</v>
      </c>
      <c r="AI653" s="9">
        <v>40271448</v>
      </c>
      <c r="AJ653" s="9" t="s">
        <v>2686</v>
      </c>
      <c r="AK653" s="9" t="s">
        <v>2698</v>
      </c>
      <c r="AL653" s="11">
        <v>772.5</v>
      </c>
      <c r="AN653" s="11" t="s">
        <v>2711</v>
      </c>
      <c r="AP653" s="11"/>
      <c r="AQ653" s="11"/>
      <c r="AR653" s="11"/>
      <c r="AW653" s="42">
        <v>45293</v>
      </c>
      <c r="AX653" s="36">
        <v>31506</v>
      </c>
      <c r="AY653" s="40">
        <f>+BA653*AZ653</f>
        <v>2927.7750000000001</v>
      </c>
      <c r="AZ653" s="36">
        <v>3.79</v>
      </c>
      <c r="BA653" s="40">
        <v>772.5</v>
      </c>
      <c r="BE653" s="11"/>
      <c r="CS653" s="11">
        <f t="shared" si="49"/>
        <v>772.5</v>
      </c>
      <c r="CT653" s="22">
        <f t="shared" si="50"/>
        <v>772.5</v>
      </c>
      <c r="CU653" s="22">
        <f t="shared" si="48"/>
        <v>0</v>
      </c>
      <c r="CV653" s="26">
        <f t="shared" si="51"/>
        <v>0</v>
      </c>
    </row>
    <row r="654" spans="1:103" x14ac:dyDescent="0.2">
      <c r="A654" s="9" t="s">
        <v>258</v>
      </c>
      <c r="B654" s="2">
        <v>74</v>
      </c>
      <c r="C654" s="3" t="s">
        <v>95</v>
      </c>
      <c r="D654" s="3" t="s">
        <v>96</v>
      </c>
      <c r="E654" s="2"/>
      <c r="F654" s="2"/>
      <c r="G654" s="2" t="s">
        <v>73</v>
      </c>
      <c r="H654" s="2">
        <v>8</v>
      </c>
      <c r="I654" s="8">
        <v>120.73</v>
      </c>
      <c r="J654" s="8">
        <v>34900</v>
      </c>
      <c r="K654" s="3">
        <v>0</v>
      </c>
      <c r="L654" s="3" t="s">
        <v>3</v>
      </c>
      <c r="M654" s="9" t="s">
        <v>0</v>
      </c>
      <c r="N654" s="9" t="s">
        <v>18</v>
      </c>
      <c r="O654" s="9" t="s">
        <v>268</v>
      </c>
      <c r="S654" s="9" t="s">
        <v>158</v>
      </c>
      <c r="T654" s="10" t="s">
        <v>73</v>
      </c>
      <c r="U654" s="10">
        <v>8</v>
      </c>
      <c r="V654" s="10">
        <v>120</v>
      </c>
      <c r="W654" s="10" t="s">
        <v>710</v>
      </c>
      <c r="X654" s="17">
        <v>44916</v>
      </c>
      <c r="Y654" s="17">
        <v>44924</v>
      </c>
      <c r="Z654" s="19" t="s">
        <v>772</v>
      </c>
      <c r="AA654" s="210">
        <v>51350</v>
      </c>
      <c r="AB654" s="9">
        <v>60</v>
      </c>
      <c r="AC654" s="9">
        <v>10</v>
      </c>
      <c r="AD654" s="17">
        <v>45290</v>
      </c>
      <c r="AE654" s="56">
        <v>772.5</v>
      </c>
      <c r="AF654" s="56"/>
      <c r="AG654" s="9" t="s">
        <v>134</v>
      </c>
      <c r="AH654" s="17">
        <v>45322</v>
      </c>
      <c r="AI654" s="9">
        <v>40271448</v>
      </c>
      <c r="AJ654" s="9" t="s">
        <v>2686</v>
      </c>
      <c r="AK654" s="9" t="s">
        <v>2712</v>
      </c>
      <c r="AL654" s="11">
        <v>780</v>
      </c>
      <c r="AN654" s="11" t="s">
        <v>2718</v>
      </c>
      <c r="AP654" s="11"/>
      <c r="AQ654" s="11"/>
      <c r="AR654" s="11"/>
      <c r="AW654" s="42">
        <v>45322</v>
      </c>
      <c r="AX654" s="36">
        <v>67756</v>
      </c>
      <c r="AY654" s="40">
        <v>2853.4</v>
      </c>
      <c r="AZ654" s="36">
        <v>3.85</v>
      </c>
      <c r="BA654" s="40">
        <f>+AY654/AZ654</f>
        <v>741.14285714285711</v>
      </c>
      <c r="BE654" s="11"/>
      <c r="CS654" s="11">
        <f t="shared" si="49"/>
        <v>780</v>
      </c>
      <c r="CT654" s="22">
        <f t="shared" si="50"/>
        <v>741.14285714285711</v>
      </c>
      <c r="CU654" s="22">
        <f t="shared" si="48"/>
        <v>38.85714285714289</v>
      </c>
      <c r="CV654" s="26">
        <f t="shared" si="51"/>
        <v>-7.5</v>
      </c>
      <c r="CW654" s="9" t="s">
        <v>3498</v>
      </c>
      <c r="CX654" s="9" t="s">
        <v>3495</v>
      </c>
      <c r="CY654" s="9" t="s">
        <v>3493</v>
      </c>
    </row>
    <row r="655" spans="1:103" x14ac:dyDescent="0.2">
      <c r="A655" s="9" t="s">
        <v>258</v>
      </c>
      <c r="B655" s="2">
        <v>74</v>
      </c>
      <c r="C655" s="3" t="s">
        <v>95</v>
      </c>
      <c r="D655" s="3" t="s">
        <v>96</v>
      </c>
      <c r="E655" s="2"/>
      <c r="F655" s="2"/>
      <c r="G655" s="2" t="s">
        <v>73</v>
      </c>
      <c r="H655" s="2">
        <v>8</v>
      </c>
      <c r="I655" s="8">
        <v>120.73</v>
      </c>
      <c r="J655" s="8">
        <v>34900</v>
      </c>
      <c r="K655" s="3">
        <v>0</v>
      </c>
      <c r="L655" s="3" t="s">
        <v>3</v>
      </c>
      <c r="M655" s="9" t="s">
        <v>0</v>
      </c>
      <c r="N655" s="9" t="s">
        <v>18</v>
      </c>
      <c r="O655" s="9" t="s">
        <v>268</v>
      </c>
      <c r="S655" s="9" t="s">
        <v>158</v>
      </c>
      <c r="T655" s="10" t="s">
        <v>73</v>
      </c>
      <c r="U655" s="10">
        <v>8</v>
      </c>
      <c r="V655" s="10">
        <v>120</v>
      </c>
      <c r="W655" s="10" t="s">
        <v>710</v>
      </c>
      <c r="X655" s="17">
        <v>44916</v>
      </c>
      <c r="Y655" s="17">
        <v>44924</v>
      </c>
      <c r="Z655" s="19" t="s">
        <v>772</v>
      </c>
      <c r="AA655" s="210">
        <v>51350</v>
      </c>
      <c r="AB655" s="9">
        <v>60</v>
      </c>
      <c r="AC655" s="9">
        <v>11</v>
      </c>
      <c r="AD655" s="17">
        <v>45321</v>
      </c>
      <c r="AE655" s="56">
        <v>772.5</v>
      </c>
      <c r="AF655" s="56"/>
      <c r="AG655" s="9" t="s">
        <v>134</v>
      </c>
      <c r="AH655" s="17">
        <v>45357</v>
      </c>
      <c r="AI655" s="9">
        <v>40271448</v>
      </c>
      <c r="AJ655" s="9" t="s">
        <v>2686</v>
      </c>
      <c r="AK655" s="9" t="s">
        <v>2713</v>
      </c>
      <c r="AL655" s="11">
        <v>772.5</v>
      </c>
      <c r="AN655" s="11" t="s">
        <v>2719</v>
      </c>
      <c r="AP655" s="11"/>
      <c r="AQ655" s="11"/>
      <c r="AR655" s="11"/>
      <c r="AW655" s="42">
        <v>45356</v>
      </c>
      <c r="AX655" s="36">
        <v>913140</v>
      </c>
      <c r="AY655" s="40">
        <v>2838.51</v>
      </c>
      <c r="AZ655" s="36">
        <v>3.8</v>
      </c>
      <c r="BA655" s="40">
        <f>+AY655/AZ655</f>
        <v>746.9763157894738</v>
      </c>
      <c r="BE655" s="11"/>
      <c r="CS655" s="11">
        <f t="shared" si="49"/>
        <v>772.5</v>
      </c>
      <c r="CT655" s="22">
        <f t="shared" si="50"/>
        <v>746.9763157894738</v>
      </c>
      <c r="CU655" s="22">
        <f t="shared" si="48"/>
        <v>25.523684210526199</v>
      </c>
      <c r="CV655" s="26">
        <f t="shared" si="51"/>
        <v>0</v>
      </c>
      <c r="CW655" s="9" t="s">
        <v>3498</v>
      </c>
      <c r="CY655" s="9" t="s">
        <v>3493</v>
      </c>
    </row>
    <row r="656" spans="1:103" x14ac:dyDescent="0.2">
      <c r="A656" s="9" t="s">
        <v>258</v>
      </c>
      <c r="B656" s="2">
        <v>74</v>
      </c>
      <c r="C656" s="3" t="s">
        <v>95</v>
      </c>
      <c r="D656" s="3" t="s">
        <v>96</v>
      </c>
      <c r="E656" s="2"/>
      <c r="F656" s="2"/>
      <c r="G656" s="2" t="s">
        <v>73</v>
      </c>
      <c r="H656" s="2">
        <v>8</v>
      </c>
      <c r="I656" s="8">
        <v>120.73</v>
      </c>
      <c r="J656" s="8">
        <v>34900</v>
      </c>
      <c r="K656" s="3">
        <v>0</v>
      </c>
      <c r="L656" s="3" t="s">
        <v>3</v>
      </c>
      <c r="M656" s="9" t="s">
        <v>0</v>
      </c>
      <c r="N656" s="9" t="s">
        <v>18</v>
      </c>
      <c r="O656" s="9" t="s">
        <v>268</v>
      </c>
      <c r="S656" s="9" t="s">
        <v>158</v>
      </c>
      <c r="T656" s="10" t="s">
        <v>73</v>
      </c>
      <c r="U656" s="10">
        <v>8</v>
      </c>
      <c r="V656" s="10">
        <v>120</v>
      </c>
      <c r="W656" s="10" t="s">
        <v>710</v>
      </c>
      <c r="X656" s="17">
        <v>44916</v>
      </c>
      <c r="Y656" s="17">
        <v>44924</v>
      </c>
      <c r="Z656" s="19" t="s">
        <v>772</v>
      </c>
      <c r="AA656" s="210">
        <v>51350</v>
      </c>
      <c r="AB656" s="9">
        <v>60</v>
      </c>
      <c r="AC656" s="9">
        <v>12</v>
      </c>
      <c r="AD656" s="17">
        <v>45351</v>
      </c>
      <c r="AE656" s="56">
        <v>772.5</v>
      </c>
      <c r="AF656" s="56"/>
      <c r="AG656" s="9" t="s">
        <v>134</v>
      </c>
      <c r="AH656" s="17">
        <v>45385</v>
      </c>
      <c r="AI656" s="9">
        <v>40271448</v>
      </c>
      <c r="AJ656" s="9" t="s">
        <v>2686</v>
      </c>
      <c r="AK656" s="9" t="s">
        <v>2714</v>
      </c>
      <c r="AL656" s="11">
        <v>772.5</v>
      </c>
      <c r="AN656" s="11" t="s">
        <v>2720</v>
      </c>
      <c r="AP656" s="11"/>
      <c r="AQ656" s="11"/>
      <c r="AR656" s="11"/>
      <c r="AW656" s="42">
        <v>45384</v>
      </c>
      <c r="AX656" s="36">
        <v>549274</v>
      </c>
      <c r="AY656" s="40">
        <f>+BA656*AZ656</f>
        <v>2920.0499999999997</v>
      </c>
      <c r="AZ656" s="36">
        <v>3.78</v>
      </c>
      <c r="BA656" s="40">
        <v>772.5</v>
      </c>
      <c r="BE656" s="11"/>
      <c r="CS656" s="11">
        <f t="shared" si="49"/>
        <v>772.5</v>
      </c>
      <c r="CT656" s="22">
        <f t="shared" si="50"/>
        <v>772.5</v>
      </c>
      <c r="CU656" s="22">
        <f t="shared" si="48"/>
        <v>0</v>
      </c>
      <c r="CV656" s="26">
        <f t="shared" si="51"/>
        <v>0</v>
      </c>
    </row>
    <row r="657" spans="1:100" x14ac:dyDescent="0.2">
      <c r="A657" s="9" t="s">
        <v>258</v>
      </c>
      <c r="B657" s="2">
        <v>74</v>
      </c>
      <c r="C657" s="3" t="s">
        <v>95</v>
      </c>
      <c r="D657" s="3" t="s">
        <v>96</v>
      </c>
      <c r="E657" s="2"/>
      <c r="F657" s="2"/>
      <c r="G657" s="2" t="s">
        <v>73</v>
      </c>
      <c r="H657" s="2">
        <v>8</v>
      </c>
      <c r="I657" s="8">
        <v>120.73</v>
      </c>
      <c r="J657" s="8">
        <v>34900</v>
      </c>
      <c r="K657" s="3">
        <v>0</v>
      </c>
      <c r="L657" s="3" t="s">
        <v>3</v>
      </c>
      <c r="M657" s="9" t="s">
        <v>0</v>
      </c>
      <c r="N657" s="9" t="s">
        <v>18</v>
      </c>
      <c r="O657" s="9" t="s">
        <v>268</v>
      </c>
      <c r="S657" s="9" t="s">
        <v>158</v>
      </c>
      <c r="T657" s="10" t="s">
        <v>73</v>
      </c>
      <c r="U657" s="10">
        <v>8</v>
      </c>
      <c r="V657" s="10">
        <v>120</v>
      </c>
      <c r="W657" s="10" t="s">
        <v>710</v>
      </c>
      <c r="X657" s="17">
        <v>44916</v>
      </c>
      <c r="Y657" s="17">
        <v>44924</v>
      </c>
      <c r="Z657" s="19" t="s">
        <v>772</v>
      </c>
      <c r="AA657" s="210">
        <v>51350</v>
      </c>
      <c r="AB657" s="9">
        <v>60</v>
      </c>
      <c r="AC657" s="9">
        <v>13</v>
      </c>
      <c r="AD657" s="17">
        <v>45381</v>
      </c>
      <c r="AE657" s="56">
        <v>772.5</v>
      </c>
      <c r="AF657" s="11">
        <v>100</v>
      </c>
      <c r="AG657" s="9" t="s">
        <v>134</v>
      </c>
      <c r="AH657" s="17">
        <v>45433</v>
      </c>
      <c r="AI657" s="9">
        <v>40271448</v>
      </c>
      <c r="AJ657" s="9" t="s">
        <v>2686</v>
      </c>
      <c r="AK657" s="9" t="s">
        <v>2715</v>
      </c>
      <c r="AL657" s="11">
        <v>772.5</v>
      </c>
      <c r="AN657" s="11" t="s">
        <v>2721</v>
      </c>
      <c r="AO657" s="9" t="s">
        <v>134</v>
      </c>
      <c r="AP657" s="17">
        <v>45433</v>
      </c>
      <c r="AQ657" s="9">
        <v>40271448</v>
      </c>
      <c r="AR657" s="9" t="s">
        <v>2686</v>
      </c>
      <c r="AS657" s="9" t="s">
        <v>2716</v>
      </c>
      <c r="AT657" s="11">
        <v>100</v>
      </c>
      <c r="AV657" s="11" t="s">
        <v>2722</v>
      </c>
      <c r="AW657" s="42">
        <v>45429</v>
      </c>
      <c r="AX657" s="36">
        <v>2514</v>
      </c>
      <c r="AY657" s="40">
        <v>274</v>
      </c>
      <c r="AZ657" s="36">
        <v>3.7519999999999998</v>
      </c>
      <c r="BA657" s="40">
        <f>+AY657/AZ657</f>
        <v>73.027718550106613</v>
      </c>
      <c r="BB657" s="40"/>
      <c r="BC657" s="42">
        <v>45414</v>
      </c>
      <c r="BD657" s="41">
        <v>36193</v>
      </c>
      <c r="BE657" s="40">
        <v>300</v>
      </c>
      <c r="BF657" s="36">
        <v>3.7519999999999998</v>
      </c>
      <c r="BG657" s="40">
        <f>+BE657/BF657</f>
        <v>79.957356076759069</v>
      </c>
      <c r="BH657" s="36"/>
      <c r="BI657" s="42">
        <v>45419</v>
      </c>
      <c r="BJ657" s="36">
        <v>36385</v>
      </c>
      <c r="BK657" s="36">
        <v>800</v>
      </c>
      <c r="BL657" s="36">
        <v>3.7519999999999998</v>
      </c>
      <c r="BM657" s="36">
        <f>+BK657/BL657</f>
        <v>213.21961620469085</v>
      </c>
      <c r="BN657" s="36"/>
      <c r="BO657" s="17">
        <v>45415</v>
      </c>
      <c r="BP657" s="9">
        <v>36244</v>
      </c>
      <c r="BQ657" s="9">
        <v>1900</v>
      </c>
      <c r="BR657" s="9">
        <v>3.7519999999999998</v>
      </c>
      <c r="BS657" s="9">
        <f>+BQ657/BR657</f>
        <v>506.39658848614073</v>
      </c>
      <c r="CS657" s="11">
        <f t="shared" si="49"/>
        <v>872.5</v>
      </c>
      <c r="CT657" s="22">
        <f t="shared" si="50"/>
        <v>872.60127931769728</v>
      </c>
      <c r="CU657" s="22">
        <f t="shared" si="48"/>
        <v>-0.10127931769727638</v>
      </c>
      <c r="CV657" s="26">
        <f t="shared" si="51"/>
        <v>-100</v>
      </c>
    </row>
    <row r="658" spans="1:100" x14ac:dyDescent="0.2">
      <c r="A658" s="9" t="s">
        <v>258</v>
      </c>
      <c r="B658" s="2">
        <v>74</v>
      </c>
      <c r="C658" s="3" t="s">
        <v>95</v>
      </c>
      <c r="D658" s="3" t="s">
        <v>96</v>
      </c>
      <c r="E658" s="2"/>
      <c r="F658" s="2"/>
      <c r="G658" s="2" t="s">
        <v>73</v>
      </c>
      <c r="H658" s="2">
        <v>8</v>
      </c>
      <c r="I658" s="8">
        <v>120.73</v>
      </c>
      <c r="J658" s="8">
        <v>34900</v>
      </c>
      <c r="K658" s="3">
        <v>0</v>
      </c>
      <c r="L658" s="3" t="s">
        <v>3</v>
      </c>
      <c r="M658" s="9" t="s">
        <v>0</v>
      </c>
      <c r="N658" s="9" t="s">
        <v>18</v>
      </c>
      <c r="O658" s="9" t="s">
        <v>268</v>
      </c>
      <c r="S658" s="9" t="s">
        <v>158</v>
      </c>
      <c r="T658" s="10" t="s">
        <v>73</v>
      </c>
      <c r="U658" s="10">
        <v>8</v>
      </c>
      <c r="V658" s="10">
        <v>120</v>
      </c>
      <c r="W658" s="10" t="s">
        <v>710</v>
      </c>
      <c r="X658" s="17">
        <v>44916</v>
      </c>
      <c r="Y658" s="17">
        <v>44924</v>
      </c>
      <c r="Z658" s="19" t="s">
        <v>772</v>
      </c>
      <c r="AA658" s="210">
        <v>51350</v>
      </c>
      <c r="AB658" s="9">
        <v>60</v>
      </c>
      <c r="AC658" s="9">
        <v>14</v>
      </c>
      <c r="AD658" s="17">
        <v>45412</v>
      </c>
      <c r="AE658" s="56">
        <v>772.5</v>
      </c>
      <c r="AF658" s="56"/>
      <c r="AG658" s="9" t="s">
        <v>134</v>
      </c>
      <c r="AH658" s="17">
        <v>45539</v>
      </c>
      <c r="AI658" s="9">
        <v>40271448</v>
      </c>
      <c r="AJ658" s="9" t="s">
        <v>2686</v>
      </c>
      <c r="AK658" s="9" t="s">
        <v>2717</v>
      </c>
      <c r="AL658" s="11">
        <v>265</v>
      </c>
      <c r="AN658" s="11" t="s">
        <v>2723</v>
      </c>
      <c r="AP658" s="11"/>
      <c r="AQ658" s="11"/>
      <c r="AR658" s="11"/>
      <c r="AW658" s="42">
        <v>45443</v>
      </c>
      <c r="AX658" s="36" t="s">
        <v>2730</v>
      </c>
      <c r="AY658" s="40">
        <v>1000</v>
      </c>
      <c r="AZ658" s="36">
        <v>3.762</v>
      </c>
      <c r="BA658" s="40">
        <f>+AY658/AZ658</f>
        <v>265.8160552897395</v>
      </c>
      <c r="BE658" s="11"/>
      <c r="CS658" s="11">
        <f t="shared" si="49"/>
        <v>265</v>
      </c>
      <c r="CT658" s="22">
        <f t="shared" si="50"/>
        <v>265.8160552897395</v>
      </c>
      <c r="CU658" s="22">
        <f t="shared" si="48"/>
        <v>-0.81605528973949504</v>
      </c>
      <c r="CV658" s="26">
        <f t="shared" si="51"/>
        <v>507.5</v>
      </c>
    </row>
    <row r="659" spans="1:100" x14ac:dyDescent="0.2">
      <c r="A659" s="9" t="s">
        <v>258</v>
      </c>
      <c r="B659" s="2">
        <v>74</v>
      </c>
      <c r="C659" s="3" t="s">
        <v>95</v>
      </c>
      <c r="D659" s="3" t="s">
        <v>96</v>
      </c>
      <c r="E659" s="2"/>
      <c r="F659" s="2"/>
      <c r="G659" s="2" t="s">
        <v>73</v>
      </c>
      <c r="H659" s="2">
        <v>8</v>
      </c>
      <c r="I659" s="8">
        <v>120.73</v>
      </c>
      <c r="J659" s="8">
        <v>34900</v>
      </c>
      <c r="K659" s="3">
        <v>0</v>
      </c>
      <c r="L659" s="3" t="s">
        <v>3</v>
      </c>
      <c r="M659" s="9" t="s">
        <v>0</v>
      </c>
      <c r="N659" s="9" t="s">
        <v>18</v>
      </c>
      <c r="O659" s="9" t="s">
        <v>268</v>
      </c>
      <c r="S659" s="9" t="s">
        <v>158</v>
      </c>
      <c r="T659" s="10" t="s">
        <v>73</v>
      </c>
      <c r="U659" s="10">
        <v>8</v>
      </c>
      <c r="V659" s="10">
        <v>120</v>
      </c>
      <c r="W659" s="10" t="s">
        <v>710</v>
      </c>
      <c r="X659" s="17">
        <v>44916</v>
      </c>
      <c r="Y659" s="17">
        <v>44924</v>
      </c>
      <c r="Z659" s="19" t="s">
        <v>772</v>
      </c>
      <c r="AA659" s="210">
        <v>51350</v>
      </c>
      <c r="AB659" s="9">
        <v>60</v>
      </c>
      <c r="AC659" s="9">
        <v>15</v>
      </c>
      <c r="AD659" s="17">
        <v>45442</v>
      </c>
      <c r="AE659" s="56">
        <v>772.5</v>
      </c>
      <c r="AF659" s="56"/>
      <c r="AP659" s="11"/>
      <c r="AQ659" s="11"/>
      <c r="AR659" s="11"/>
      <c r="AW659" s="9"/>
      <c r="AY659" s="11"/>
      <c r="BE659" s="11"/>
      <c r="CS659" s="11">
        <f t="shared" si="49"/>
        <v>0</v>
      </c>
      <c r="CT659" s="22">
        <f t="shared" si="50"/>
        <v>0</v>
      </c>
      <c r="CU659" s="22">
        <f t="shared" si="48"/>
        <v>0</v>
      </c>
      <c r="CV659" s="26">
        <f t="shared" si="51"/>
        <v>772.5</v>
      </c>
    </row>
    <row r="660" spans="1:100" x14ac:dyDescent="0.2">
      <c r="A660" s="9" t="s">
        <v>258</v>
      </c>
      <c r="B660" s="2">
        <v>74</v>
      </c>
      <c r="C660" s="3" t="s">
        <v>95</v>
      </c>
      <c r="D660" s="3" t="s">
        <v>96</v>
      </c>
      <c r="E660" s="2"/>
      <c r="F660" s="2"/>
      <c r="G660" s="2" t="s">
        <v>73</v>
      </c>
      <c r="H660" s="2">
        <v>8</v>
      </c>
      <c r="I660" s="8">
        <v>120.73</v>
      </c>
      <c r="J660" s="8">
        <v>34900</v>
      </c>
      <c r="K660" s="3">
        <v>0</v>
      </c>
      <c r="L660" s="3" t="s">
        <v>3</v>
      </c>
      <c r="M660" s="9" t="s">
        <v>0</v>
      </c>
      <c r="N660" s="9" t="s">
        <v>18</v>
      </c>
      <c r="O660" s="9" t="s">
        <v>268</v>
      </c>
      <c r="S660" s="9" t="s">
        <v>158</v>
      </c>
      <c r="T660" s="10" t="s">
        <v>73</v>
      </c>
      <c r="U660" s="10">
        <v>8</v>
      </c>
      <c r="V660" s="10">
        <v>120</v>
      </c>
      <c r="W660" s="10" t="s">
        <v>710</v>
      </c>
      <c r="X660" s="17">
        <v>44916</v>
      </c>
      <c r="Y660" s="17">
        <v>44924</v>
      </c>
      <c r="Z660" s="19" t="s">
        <v>772</v>
      </c>
      <c r="AA660" s="210">
        <v>51350</v>
      </c>
      <c r="AB660" s="9">
        <v>60</v>
      </c>
      <c r="AC660" s="9">
        <v>16</v>
      </c>
      <c r="AD660" s="17">
        <v>45473</v>
      </c>
      <c r="AE660" s="56">
        <v>772.5</v>
      </c>
      <c r="AF660" s="56"/>
      <c r="AP660" s="11"/>
      <c r="AQ660" s="11"/>
      <c r="AR660" s="11"/>
      <c r="AW660" s="9"/>
      <c r="CS660" s="11">
        <f t="shared" si="49"/>
        <v>0</v>
      </c>
      <c r="CT660" s="22">
        <f t="shared" si="50"/>
        <v>0</v>
      </c>
      <c r="CU660" s="22">
        <f t="shared" si="48"/>
        <v>0</v>
      </c>
      <c r="CV660" s="26">
        <f t="shared" si="51"/>
        <v>772.5</v>
      </c>
    </row>
    <row r="661" spans="1:100" x14ac:dyDescent="0.2">
      <c r="A661" s="9" t="s">
        <v>258</v>
      </c>
      <c r="B661" s="2">
        <v>74</v>
      </c>
      <c r="C661" s="3" t="s">
        <v>95</v>
      </c>
      <c r="D661" s="3" t="s">
        <v>96</v>
      </c>
      <c r="E661" s="2"/>
      <c r="F661" s="2"/>
      <c r="G661" s="2" t="s">
        <v>73</v>
      </c>
      <c r="H661" s="2">
        <v>8</v>
      </c>
      <c r="I661" s="8">
        <v>120.73</v>
      </c>
      <c r="J661" s="8">
        <v>34900</v>
      </c>
      <c r="K661" s="3">
        <v>0</v>
      </c>
      <c r="L661" s="3" t="s">
        <v>3</v>
      </c>
      <c r="M661" s="9" t="s">
        <v>0</v>
      </c>
      <c r="N661" s="9" t="s">
        <v>18</v>
      </c>
      <c r="O661" s="9" t="s">
        <v>268</v>
      </c>
      <c r="S661" s="9" t="s">
        <v>158</v>
      </c>
      <c r="T661" s="10" t="s">
        <v>73</v>
      </c>
      <c r="U661" s="10">
        <v>8</v>
      </c>
      <c r="V661" s="10">
        <v>120</v>
      </c>
      <c r="W661" s="10" t="s">
        <v>710</v>
      </c>
      <c r="X661" s="17">
        <v>44916</v>
      </c>
      <c r="Y661" s="17">
        <v>44924</v>
      </c>
      <c r="Z661" s="19" t="s">
        <v>772</v>
      </c>
      <c r="AA661" s="210">
        <v>51350</v>
      </c>
      <c r="AB661" s="9">
        <v>60</v>
      </c>
      <c r="AC661" s="9">
        <v>17</v>
      </c>
      <c r="AD661" s="17">
        <v>45503</v>
      </c>
      <c r="AE661" s="56">
        <v>772.5</v>
      </c>
      <c r="AF661" s="56"/>
      <c r="AP661" s="11"/>
      <c r="AQ661" s="11"/>
      <c r="AR661" s="11"/>
      <c r="AW661" s="9"/>
      <c r="CS661" s="11">
        <f t="shared" si="49"/>
        <v>0</v>
      </c>
      <c r="CT661" s="22">
        <f t="shared" si="50"/>
        <v>0</v>
      </c>
      <c r="CU661" s="22">
        <f t="shared" si="48"/>
        <v>0</v>
      </c>
      <c r="CV661" s="26">
        <f t="shared" si="51"/>
        <v>772.5</v>
      </c>
    </row>
    <row r="662" spans="1:100" x14ac:dyDescent="0.2">
      <c r="A662" s="9" t="s">
        <v>258</v>
      </c>
      <c r="B662" s="2">
        <v>74</v>
      </c>
      <c r="C662" s="3" t="s">
        <v>95</v>
      </c>
      <c r="D662" s="3" t="s">
        <v>96</v>
      </c>
      <c r="E662" s="2"/>
      <c r="F662" s="2"/>
      <c r="G662" s="2" t="s">
        <v>73</v>
      </c>
      <c r="H662" s="2">
        <v>8</v>
      </c>
      <c r="I662" s="8">
        <v>120.73</v>
      </c>
      <c r="J662" s="8">
        <v>34900</v>
      </c>
      <c r="K662" s="3">
        <v>0</v>
      </c>
      <c r="L662" s="3" t="s">
        <v>3</v>
      </c>
      <c r="M662" s="9" t="s">
        <v>0</v>
      </c>
      <c r="N662" s="9" t="s">
        <v>18</v>
      </c>
      <c r="O662" s="9" t="s">
        <v>268</v>
      </c>
      <c r="S662" s="9" t="s">
        <v>158</v>
      </c>
      <c r="T662" s="10" t="s">
        <v>73</v>
      </c>
      <c r="U662" s="10">
        <v>8</v>
      </c>
      <c r="V662" s="10">
        <v>120</v>
      </c>
      <c r="W662" s="10" t="s">
        <v>710</v>
      </c>
      <c r="X662" s="17">
        <v>44916</v>
      </c>
      <c r="Y662" s="17">
        <v>44924</v>
      </c>
      <c r="Z662" s="19" t="s">
        <v>772</v>
      </c>
      <c r="AA662" s="210">
        <v>51350</v>
      </c>
      <c r="AB662" s="9">
        <v>60</v>
      </c>
      <c r="AC662" s="9">
        <v>18</v>
      </c>
      <c r="AD662" s="17">
        <v>45534</v>
      </c>
      <c r="AE662" s="56">
        <v>772.5</v>
      </c>
      <c r="AF662" s="56"/>
      <c r="AP662" s="11"/>
      <c r="AQ662" s="11"/>
      <c r="AR662" s="11"/>
      <c r="AW662" s="9"/>
      <c r="CS662" s="11">
        <f t="shared" si="49"/>
        <v>0</v>
      </c>
      <c r="CT662" s="22">
        <f t="shared" si="50"/>
        <v>0</v>
      </c>
      <c r="CU662" s="22">
        <f t="shared" si="48"/>
        <v>0</v>
      </c>
      <c r="CV662" s="26">
        <f t="shared" si="51"/>
        <v>772.5</v>
      </c>
    </row>
    <row r="663" spans="1:100" x14ac:dyDescent="0.2">
      <c r="A663" s="9" t="s">
        <v>258</v>
      </c>
      <c r="B663" s="2">
        <v>74</v>
      </c>
      <c r="C663" s="3" t="s">
        <v>95</v>
      </c>
      <c r="D663" s="3" t="s">
        <v>96</v>
      </c>
      <c r="E663" s="2"/>
      <c r="F663" s="2"/>
      <c r="G663" s="2" t="s">
        <v>73</v>
      </c>
      <c r="H663" s="2">
        <v>8</v>
      </c>
      <c r="I663" s="8">
        <v>120.73</v>
      </c>
      <c r="J663" s="8">
        <v>34900</v>
      </c>
      <c r="K663" s="3">
        <v>0</v>
      </c>
      <c r="L663" s="3" t="s">
        <v>3</v>
      </c>
      <c r="M663" s="9" t="s">
        <v>0</v>
      </c>
      <c r="N663" s="9" t="s">
        <v>18</v>
      </c>
      <c r="O663" s="9" t="s">
        <v>268</v>
      </c>
      <c r="S663" s="9" t="s">
        <v>158</v>
      </c>
      <c r="T663" s="10" t="s">
        <v>73</v>
      </c>
      <c r="U663" s="10">
        <v>8</v>
      </c>
      <c r="V663" s="10">
        <v>120</v>
      </c>
      <c r="W663" s="10" t="s">
        <v>710</v>
      </c>
      <c r="X663" s="17">
        <v>44916</v>
      </c>
      <c r="Y663" s="17">
        <v>44924</v>
      </c>
      <c r="Z663" s="19" t="s">
        <v>772</v>
      </c>
      <c r="AA663" s="210">
        <v>51350</v>
      </c>
      <c r="AB663" s="9">
        <v>60</v>
      </c>
      <c r="AC663" s="9">
        <v>19</v>
      </c>
      <c r="AD663" s="17">
        <v>45565</v>
      </c>
      <c r="AE663" s="56">
        <v>772.5</v>
      </c>
      <c r="AF663" s="56"/>
      <c r="AP663" s="11"/>
      <c r="AQ663" s="11"/>
      <c r="AR663" s="11"/>
      <c r="AW663" s="9"/>
      <c r="CS663" s="11">
        <f t="shared" si="49"/>
        <v>0</v>
      </c>
      <c r="CT663" s="22">
        <f t="shared" si="50"/>
        <v>0</v>
      </c>
      <c r="CU663" s="22">
        <f t="shared" si="48"/>
        <v>0</v>
      </c>
      <c r="CV663" s="26">
        <f t="shared" si="51"/>
        <v>772.5</v>
      </c>
    </row>
    <row r="664" spans="1:100" x14ac:dyDescent="0.2">
      <c r="A664" s="9" t="s">
        <v>258</v>
      </c>
      <c r="B664" s="2">
        <v>74</v>
      </c>
      <c r="C664" s="3" t="s">
        <v>95</v>
      </c>
      <c r="D664" s="3" t="s">
        <v>96</v>
      </c>
      <c r="E664" s="2"/>
      <c r="F664" s="2"/>
      <c r="G664" s="2" t="s">
        <v>73</v>
      </c>
      <c r="H664" s="2">
        <v>8</v>
      </c>
      <c r="I664" s="8">
        <v>120.73</v>
      </c>
      <c r="J664" s="8">
        <v>34900</v>
      </c>
      <c r="K664" s="3">
        <v>0</v>
      </c>
      <c r="L664" s="3" t="s">
        <v>3</v>
      </c>
      <c r="M664" s="9" t="s">
        <v>0</v>
      </c>
      <c r="N664" s="9" t="s">
        <v>18</v>
      </c>
      <c r="O664" s="9" t="s">
        <v>268</v>
      </c>
      <c r="S664" s="9" t="s">
        <v>158</v>
      </c>
      <c r="T664" s="10" t="s">
        <v>73</v>
      </c>
      <c r="U664" s="10">
        <v>8</v>
      </c>
      <c r="V664" s="10">
        <v>120</v>
      </c>
      <c r="W664" s="10" t="s">
        <v>710</v>
      </c>
      <c r="X664" s="17">
        <v>44916</v>
      </c>
      <c r="Y664" s="17">
        <v>44924</v>
      </c>
      <c r="Z664" s="19" t="s">
        <v>772</v>
      </c>
      <c r="AA664" s="210">
        <v>51350</v>
      </c>
      <c r="AB664" s="9">
        <v>60</v>
      </c>
      <c r="AC664" s="9">
        <v>20</v>
      </c>
      <c r="AD664" s="17">
        <v>45595</v>
      </c>
      <c r="AE664" s="56">
        <v>772.5</v>
      </c>
      <c r="AF664" s="56"/>
      <c r="AP664" s="11"/>
      <c r="AQ664" s="11"/>
      <c r="AR664" s="11"/>
      <c r="AW664" s="9"/>
      <c r="CS664" s="11">
        <f t="shared" si="49"/>
        <v>0</v>
      </c>
      <c r="CT664" s="22">
        <f t="shared" si="50"/>
        <v>0</v>
      </c>
      <c r="CU664" s="22">
        <f t="shared" si="48"/>
        <v>0</v>
      </c>
      <c r="CV664" s="26">
        <f t="shared" si="51"/>
        <v>772.5</v>
      </c>
    </row>
    <row r="665" spans="1:100" x14ac:dyDescent="0.2">
      <c r="A665" s="9" t="s">
        <v>258</v>
      </c>
      <c r="B665" s="2">
        <v>74</v>
      </c>
      <c r="C665" s="3" t="s">
        <v>95</v>
      </c>
      <c r="D665" s="3" t="s">
        <v>96</v>
      </c>
      <c r="E665" s="2"/>
      <c r="F665" s="2"/>
      <c r="G665" s="2" t="s">
        <v>73</v>
      </c>
      <c r="H665" s="2">
        <v>8</v>
      </c>
      <c r="I665" s="8">
        <v>120.73</v>
      </c>
      <c r="J665" s="8">
        <v>34900</v>
      </c>
      <c r="K665" s="3">
        <v>0</v>
      </c>
      <c r="L665" s="3" t="s">
        <v>3</v>
      </c>
      <c r="M665" s="9" t="s">
        <v>0</v>
      </c>
      <c r="N665" s="9" t="s">
        <v>18</v>
      </c>
      <c r="O665" s="9" t="s">
        <v>268</v>
      </c>
      <c r="S665" s="9" t="s">
        <v>158</v>
      </c>
      <c r="T665" s="10" t="s">
        <v>73</v>
      </c>
      <c r="U665" s="10">
        <v>8</v>
      </c>
      <c r="V665" s="10">
        <v>120</v>
      </c>
      <c r="W665" s="10" t="s">
        <v>710</v>
      </c>
      <c r="X665" s="17">
        <v>44916</v>
      </c>
      <c r="Y665" s="17">
        <v>44924</v>
      </c>
      <c r="Z665" s="19" t="s">
        <v>772</v>
      </c>
      <c r="AA665" s="210">
        <v>51350</v>
      </c>
      <c r="AB665" s="9">
        <v>60</v>
      </c>
      <c r="AC665" s="9">
        <v>21</v>
      </c>
      <c r="AD665" s="17">
        <v>45626</v>
      </c>
      <c r="AE665" s="56">
        <v>772.5</v>
      </c>
      <c r="AF665" s="56"/>
      <c r="AP665" s="11"/>
      <c r="AQ665" s="11"/>
      <c r="AR665" s="11"/>
      <c r="AW665" s="9"/>
      <c r="CS665" s="11">
        <f t="shared" si="49"/>
        <v>0</v>
      </c>
      <c r="CT665" s="22">
        <f t="shared" si="50"/>
        <v>0</v>
      </c>
      <c r="CU665" s="22">
        <f t="shared" si="48"/>
        <v>0</v>
      </c>
      <c r="CV665" s="26">
        <f t="shared" si="51"/>
        <v>772.5</v>
      </c>
    </row>
    <row r="666" spans="1:100" x14ac:dyDescent="0.2">
      <c r="A666" s="9" t="s">
        <v>258</v>
      </c>
      <c r="B666" s="2">
        <v>74</v>
      </c>
      <c r="C666" s="3" t="s">
        <v>95</v>
      </c>
      <c r="D666" s="3" t="s">
        <v>96</v>
      </c>
      <c r="E666" s="2"/>
      <c r="F666" s="2"/>
      <c r="G666" s="2" t="s">
        <v>73</v>
      </c>
      <c r="H666" s="2">
        <v>8</v>
      </c>
      <c r="I666" s="8">
        <v>120.73</v>
      </c>
      <c r="J666" s="8">
        <v>34900</v>
      </c>
      <c r="K666" s="3">
        <v>0</v>
      </c>
      <c r="L666" s="3" t="s">
        <v>3</v>
      </c>
      <c r="M666" s="9" t="s">
        <v>0</v>
      </c>
      <c r="N666" s="9" t="s">
        <v>18</v>
      </c>
      <c r="O666" s="9" t="s">
        <v>268</v>
      </c>
      <c r="S666" s="9" t="s">
        <v>158</v>
      </c>
      <c r="T666" s="10" t="s">
        <v>73</v>
      </c>
      <c r="U666" s="10">
        <v>8</v>
      </c>
      <c r="V666" s="10">
        <v>120</v>
      </c>
      <c r="W666" s="10" t="s">
        <v>710</v>
      </c>
      <c r="X666" s="17">
        <v>44916</v>
      </c>
      <c r="Y666" s="17">
        <v>44924</v>
      </c>
      <c r="Z666" s="19" t="s">
        <v>772</v>
      </c>
      <c r="AA666" s="210">
        <v>51350</v>
      </c>
      <c r="AB666" s="9">
        <v>60</v>
      </c>
      <c r="AC666" s="9">
        <v>22</v>
      </c>
      <c r="AD666" s="17">
        <v>45656</v>
      </c>
      <c r="AE666" s="56">
        <v>772.5</v>
      </c>
      <c r="AF666" s="56"/>
      <c r="AP666" s="11"/>
      <c r="AQ666" s="11"/>
      <c r="AR666" s="11"/>
      <c r="AW666" s="9"/>
      <c r="CS666" s="11">
        <f t="shared" si="49"/>
        <v>0</v>
      </c>
      <c r="CT666" s="22">
        <f t="shared" si="50"/>
        <v>0</v>
      </c>
      <c r="CU666" s="22">
        <f t="shared" si="48"/>
        <v>0</v>
      </c>
      <c r="CV666" s="26">
        <f t="shared" si="51"/>
        <v>772.5</v>
      </c>
    </row>
    <row r="667" spans="1:100" x14ac:dyDescent="0.2">
      <c r="A667" s="9" t="s">
        <v>258</v>
      </c>
      <c r="B667" s="2">
        <v>74</v>
      </c>
      <c r="C667" s="3" t="s">
        <v>95</v>
      </c>
      <c r="D667" s="3" t="s">
        <v>96</v>
      </c>
      <c r="E667" s="2"/>
      <c r="F667" s="2"/>
      <c r="G667" s="2" t="s">
        <v>73</v>
      </c>
      <c r="H667" s="2">
        <v>8</v>
      </c>
      <c r="I667" s="8">
        <v>120.73</v>
      </c>
      <c r="J667" s="8">
        <v>34900</v>
      </c>
      <c r="K667" s="3">
        <v>0</v>
      </c>
      <c r="L667" s="3" t="s">
        <v>3</v>
      </c>
      <c r="M667" s="9" t="s">
        <v>0</v>
      </c>
      <c r="N667" s="9" t="s">
        <v>18</v>
      </c>
      <c r="O667" s="9" t="s">
        <v>268</v>
      </c>
      <c r="S667" s="9" t="s">
        <v>158</v>
      </c>
      <c r="T667" s="10" t="s">
        <v>73</v>
      </c>
      <c r="U667" s="10">
        <v>8</v>
      </c>
      <c r="V667" s="10">
        <v>120</v>
      </c>
      <c r="W667" s="10" t="s">
        <v>710</v>
      </c>
      <c r="X667" s="17">
        <v>44916</v>
      </c>
      <c r="Y667" s="17">
        <v>44924</v>
      </c>
      <c r="Z667" s="19" t="s">
        <v>772</v>
      </c>
      <c r="AA667" s="210">
        <v>51350</v>
      </c>
      <c r="AB667" s="9">
        <v>60</v>
      </c>
      <c r="AC667" s="9">
        <v>23</v>
      </c>
      <c r="AD667" s="17">
        <v>45687</v>
      </c>
      <c r="AE667" s="56">
        <v>772.5</v>
      </c>
      <c r="AF667" s="56"/>
      <c r="AP667" s="11"/>
      <c r="AQ667" s="11"/>
      <c r="AR667" s="11"/>
      <c r="AW667" s="9"/>
      <c r="CS667" s="11">
        <f t="shared" si="49"/>
        <v>0</v>
      </c>
      <c r="CT667" s="22">
        <f t="shared" si="50"/>
        <v>0</v>
      </c>
      <c r="CU667" s="22">
        <f t="shared" si="48"/>
        <v>0</v>
      </c>
      <c r="CV667" s="26">
        <f t="shared" si="51"/>
        <v>772.5</v>
      </c>
    </row>
    <row r="668" spans="1:100" x14ac:dyDescent="0.2">
      <c r="A668" s="9" t="s">
        <v>258</v>
      </c>
      <c r="B668" s="2">
        <v>74</v>
      </c>
      <c r="C668" s="3" t="s">
        <v>95</v>
      </c>
      <c r="D668" s="3" t="s">
        <v>96</v>
      </c>
      <c r="E668" s="2"/>
      <c r="F668" s="2"/>
      <c r="G668" s="2" t="s">
        <v>73</v>
      </c>
      <c r="H668" s="2">
        <v>8</v>
      </c>
      <c r="I668" s="8">
        <v>120.73</v>
      </c>
      <c r="J668" s="8">
        <v>34900</v>
      </c>
      <c r="K668" s="3">
        <v>0</v>
      </c>
      <c r="L668" s="3" t="s">
        <v>3</v>
      </c>
      <c r="M668" s="9" t="s">
        <v>0</v>
      </c>
      <c r="N668" s="9" t="s">
        <v>18</v>
      </c>
      <c r="O668" s="9" t="s">
        <v>268</v>
      </c>
      <c r="S668" s="9" t="s">
        <v>158</v>
      </c>
      <c r="T668" s="10" t="s">
        <v>73</v>
      </c>
      <c r="U668" s="10">
        <v>8</v>
      </c>
      <c r="V668" s="10">
        <v>120</v>
      </c>
      <c r="W668" s="10" t="s">
        <v>710</v>
      </c>
      <c r="X668" s="17">
        <v>44916</v>
      </c>
      <c r="Y668" s="17">
        <v>44924</v>
      </c>
      <c r="Z668" s="19" t="s">
        <v>772</v>
      </c>
      <c r="AA668" s="210">
        <v>51350</v>
      </c>
      <c r="AB668" s="9">
        <v>60</v>
      </c>
      <c r="AC668" s="9">
        <v>24</v>
      </c>
      <c r="AD668" s="17">
        <v>45716</v>
      </c>
      <c r="AE668" s="56">
        <v>772.5</v>
      </c>
      <c r="AF668" s="56"/>
      <c r="AP668" s="11"/>
      <c r="AQ668" s="11"/>
      <c r="AR668" s="11"/>
      <c r="AW668" s="9"/>
      <c r="CS668" s="11">
        <f t="shared" si="49"/>
        <v>0</v>
      </c>
      <c r="CT668" s="22">
        <f t="shared" si="50"/>
        <v>0</v>
      </c>
      <c r="CU668" s="22">
        <f t="shared" ref="CU668:CU731" si="52">+CS668-CT668</f>
        <v>0</v>
      </c>
      <c r="CV668" s="26">
        <f t="shared" si="51"/>
        <v>772.5</v>
      </c>
    </row>
    <row r="669" spans="1:100" x14ac:dyDescent="0.2">
      <c r="A669" s="9" t="s">
        <v>258</v>
      </c>
      <c r="B669" s="2">
        <v>74</v>
      </c>
      <c r="C669" s="3" t="s">
        <v>95</v>
      </c>
      <c r="D669" s="3" t="s">
        <v>96</v>
      </c>
      <c r="E669" s="2"/>
      <c r="F669" s="2"/>
      <c r="G669" s="2" t="s">
        <v>73</v>
      </c>
      <c r="H669" s="2">
        <v>8</v>
      </c>
      <c r="I669" s="8">
        <v>120.73</v>
      </c>
      <c r="J669" s="8">
        <v>34900</v>
      </c>
      <c r="K669" s="3">
        <v>0</v>
      </c>
      <c r="L669" s="3" t="s">
        <v>3</v>
      </c>
      <c r="M669" s="9" t="s">
        <v>0</v>
      </c>
      <c r="N669" s="9" t="s">
        <v>18</v>
      </c>
      <c r="O669" s="9" t="s">
        <v>268</v>
      </c>
      <c r="S669" s="9" t="s">
        <v>158</v>
      </c>
      <c r="T669" s="10" t="s">
        <v>73</v>
      </c>
      <c r="U669" s="10">
        <v>8</v>
      </c>
      <c r="V669" s="10">
        <v>120</v>
      </c>
      <c r="W669" s="10" t="s">
        <v>710</v>
      </c>
      <c r="X669" s="17">
        <v>44916</v>
      </c>
      <c r="Y669" s="17">
        <v>44924</v>
      </c>
      <c r="Z669" s="19" t="s">
        <v>772</v>
      </c>
      <c r="AA669" s="210">
        <v>51350</v>
      </c>
      <c r="AB669" s="9">
        <v>60</v>
      </c>
      <c r="AC669" s="9">
        <v>25</v>
      </c>
      <c r="AD669" s="17">
        <v>45746</v>
      </c>
      <c r="AE669" s="56">
        <v>772.5</v>
      </c>
      <c r="AF669" s="56"/>
      <c r="AP669" s="11"/>
      <c r="AQ669" s="11"/>
      <c r="AR669" s="11"/>
      <c r="AW669" s="9"/>
      <c r="CS669" s="11">
        <f t="shared" si="49"/>
        <v>0</v>
      </c>
      <c r="CT669" s="22">
        <f t="shared" si="50"/>
        <v>0</v>
      </c>
      <c r="CU669" s="22">
        <f t="shared" si="52"/>
        <v>0</v>
      </c>
      <c r="CV669" s="26">
        <f t="shared" si="51"/>
        <v>772.5</v>
      </c>
    </row>
    <row r="670" spans="1:100" x14ac:dyDescent="0.2">
      <c r="A670" s="9" t="s">
        <v>258</v>
      </c>
      <c r="B670" s="2">
        <v>74</v>
      </c>
      <c r="C670" s="3" t="s">
        <v>95</v>
      </c>
      <c r="D670" s="3" t="s">
        <v>96</v>
      </c>
      <c r="E670" s="2"/>
      <c r="F670" s="2"/>
      <c r="G670" s="2" t="s">
        <v>73</v>
      </c>
      <c r="H670" s="2">
        <v>8</v>
      </c>
      <c r="I670" s="8">
        <v>120.73</v>
      </c>
      <c r="J670" s="8">
        <v>34900</v>
      </c>
      <c r="K670" s="3">
        <v>0</v>
      </c>
      <c r="L670" s="3" t="s">
        <v>3</v>
      </c>
      <c r="M670" s="9" t="s">
        <v>0</v>
      </c>
      <c r="N670" s="9" t="s">
        <v>18</v>
      </c>
      <c r="O670" s="9" t="s">
        <v>268</v>
      </c>
      <c r="S670" s="9" t="s">
        <v>158</v>
      </c>
      <c r="T670" s="10" t="s">
        <v>73</v>
      </c>
      <c r="U670" s="10">
        <v>8</v>
      </c>
      <c r="V670" s="10">
        <v>120</v>
      </c>
      <c r="W670" s="10" t="s">
        <v>710</v>
      </c>
      <c r="X670" s="17">
        <v>44916</v>
      </c>
      <c r="Y670" s="17">
        <v>44924</v>
      </c>
      <c r="Z670" s="19" t="s">
        <v>772</v>
      </c>
      <c r="AA670" s="210">
        <v>51350</v>
      </c>
      <c r="AB670" s="9">
        <v>60</v>
      </c>
      <c r="AC670" s="9">
        <v>26</v>
      </c>
      <c r="AD670" s="17">
        <v>45777</v>
      </c>
      <c r="AE670" s="56">
        <v>772.5</v>
      </c>
      <c r="AF670" s="56"/>
      <c r="AP670" s="11"/>
      <c r="AQ670" s="11"/>
      <c r="AR670" s="11"/>
      <c r="AW670" s="9"/>
      <c r="CS670" s="11">
        <f t="shared" si="49"/>
        <v>0</v>
      </c>
      <c r="CT670" s="22">
        <f t="shared" si="50"/>
        <v>0</v>
      </c>
      <c r="CU670" s="22">
        <f t="shared" si="52"/>
        <v>0</v>
      </c>
      <c r="CV670" s="26">
        <f t="shared" si="51"/>
        <v>772.5</v>
      </c>
    </row>
    <row r="671" spans="1:100" x14ac:dyDescent="0.2">
      <c r="A671" s="9" t="s">
        <v>258</v>
      </c>
      <c r="B671" s="2">
        <v>74</v>
      </c>
      <c r="C671" s="3" t="s">
        <v>95</v>
      </c>
      <c r="D671" s="3" t="s">
        <v>96</v>
      </c>
      <c r="E671" s="2"/>
      <c r="F671" s="2"/>
      <c r="G671" s="2" t="s">
        <v>73</v>
      </c>
      <c r="H671" s="2">
        <v>8</v>
      </c>
      <c r="I671" s="8">
        <v>120.73</v>
      </c>
      <c r="J671" s="8">
        <v>34900</v>
      </c>
      <c r="K671" s="3">
        <v>0</v>
      </c>
      <c r="L671" s="3" t="s">
        <v>3</v>
      </c>
      <c r="M671" s="9" t="s">
        <v>0</v>
      </c>
      <c r="N671" s="9" t="s">
        <v>18</v>
      </c>
      <c r="O671" s="9" t="s">
        <v>268</v>
      </c>
      <c r="S671" s="9" t="s">
        <v>158</v>
      </c>
      <c r="T671" s="10" t="s">
        <v>73</v>
      </c>
      <c r="U671" s="10">
        <v>8</v>
      </c>
      <c r="V671" s="10">
        <v>120</v>
      </c>
      <c r="W671" s="10" t="s">
        <v>710</v>
      </c>
      <c r="X671" s="17">
        <v>44916</v>
      </c>
      <c r="Y671" s="17">
        <v>44924</v>
      </c>
      <c r="Z671" s="19" t="s">
        <v>772</v>
      </c>
      <c r="AA671" s="210">
        <v>51350</v>
      </c>
      <c r="AB671" s="9">
        <v>60</v>
      </c>
      <c r="AC671" s="9">
        <v>27</v>
      </c>
      <c r="AD671" s="17">
        <v>45807</v>
      </c>
      <c r="AE671" s="56">
        <v>772.5</v>
      </c>
      <c r="AF671" s="56"/>
      <c r="AP671" s="11"/>
      <c r="AQ671" s="11"/>
      <c r="AR671" s="11"/>
      <c r="AW671" s="9"/>
      <c r="CS671" s="11">
        <f t="shared" si="49"/>
        <v>0</v>
      </c>
      <c r="CT671" s="22">
        <f t="shared" si="50"/>
        <v>0</v>
      </c>
      <c r="CU671" s="22">
        <f t="shared" si="52"/>
        <v>0</v>
      </c>
      <c r="CV671" s="26">
        <f t="shared" si="51"/>
        <v>772.5</v>
      </c>
    </row>
    <row r="672" spans="1:100" x14ac:dyDescent="0.2">
      <c r="A672" s="9" t="s">
        <v>258</v>
      </c>
      <c r="B672" s="2">
        <v>74</v>
      </c>
      <c r="C672" s="3" t="s">
        <v>95</v>
      </c>
      <c r="D672" s="3" t="s">
        <v>96</v>
      </c>
      <c r="E672" s="2"/>
      <c r="F672" s="2"/>
      <c r="G672" s="2" t="s">
        <v>73</v>
      </c>
      <c r="H672" s="2">
        <v>8</v>
      </c>
      <c r="I672" s="8">
        <v>120.73</v>
      </c>
      <c r="J672" s="8">
        <v>34900</v>
      </c>
      <c r="K672" s="3">
        <v>0</v>
      </c>
      <c r="L672" s="3" t="s">
        <v>3</v>
      </c>
      <c r="M672" s="9" t="s">
        <v>0</v>
      </c>
      <c r="N672" s="9" t="s">
        <v>18</v>
      </c>
      <c r="O672" s="9" t="s">
        <v>268</v>
      </c>
      <c r="S672" s="9" t="s">
        <v>158</v>
      </c>
      <c r="T672" s="10" t="s">
        <v>73</v>
      </c>
      <c r="U672" s="10">
        <v>8</v>
      </c>
      <c r="V672" s="10">
        <v>120</v>
      </c>
      <c r="W672" s="10" t="s">
        <v>710</v>
      </c>
      <c r="X672" s="17">
        <v>44916</v>
      </c>
      <c r="Y672" s="17">
        <v>44924</v>
      </c>
      <c r="Z672" s="19" t="s">
        <v>772</v>
      </c>
      <c r="AA672" s="210">
        <v>51350</v>
      </c>
      <c r="AB672" s="9">
        <v>60</v>
      </c>
      <c r="AC672" s="9">
        <v>28</v>
      </c>
      <c r="AD672" s="17">
        <v>45838</v>
      </c>
      <c r="AE672" s="56">
        <v>772.5</v>
      </c>
      <c r="AF672" s="56"/>
      <c r="AP672" s="11"/>
      <c r="AQ672" s="11"/>
      <c r="AR672" s="11"/>
      <c r="AW672" s="9"/>
      <c r="CS672" s="11">
        <f t="shared" si="49"/>
        <v>0</v>
      </c>
      <c r="CT672" s="22">
        <f t="shared" si="50"/>
        <v>0</v>
      </c>
      <c r="CU672" s="22">
        <f t="shared" si="52"/>
        <v>0</v>
      </c>
      <c r="CV672" s="26">
        <f t="shared" si="51"/>
        <v>772.5</v>
      </c>
    </row>
    <row r="673" spans="1:100" x14ac:dyDescent="0.2">
      <c r="A673" s="9" t="s">
        <v>258</v>
      </c>
      <c r="B673" s="2">
        <v>74</v>
      </c>
      <c r="C673" s="3" t="s">
        <v>95</v>
      </c>
      <c r="D673" s="3" t="s">
        <v>96</v>
      </c>
      <c r="E673" s="2"/>
      <c r="F673" s="2"/>
      <c r="G673" s="2" t="s">
        <v>73</v>
      </c>
      <c r="H673" s="2">
        <v>8</v>
      </c>
      <c r="I673" s="8">
        <v>120.73</v>
      </c>
      <c r="J673" s="8">
        <v>34900</v>
      </c>
      <c r="K673" s="3">
        <v>0</v>
      </c>
      <c r="L673" s="3" t="s">
        <v>3</v>
      </c>
      <c r="M673" s="9" t="s">
        <v>0</v>
      </c>
      <c r="N673" s="9" t="s">
        <v>18</v>
      </c>
      <c r="O673" s="9" t="s">
        <v>268</v>
      </c>
      <c r="S673" s="9" t="s">
        <v>158</v>
      </c>
      <c r="T673" s="10" t="s">
        <v>73</v>
      </c>
      <c r="U673" s="10">
        <v>8</v>
      </c>
      <c r="V673" s="10">
        <v>120</v>
      </c>
      <c r="W673" s="10" t="s">
        <v>710</v>
      </c>
      <c r="X673" s="17">
        <v>44916</v>
      </c>
      <c r="Y673" s="17">
        <v>44924</v>
      </c>
      <c r="Z673" s="19" t="s">
        <v>772</v>
      </c>
      <c r="AA673" s="210">
        <v>51350</v>
      </c>
      <c r="AB673" s="9">
        <v>60</v>
      </c>
      <c r="AC673" s="9">
        <v>29</v>
      </c>
      <c r="AD673" s="17">
        <v>45868</v>
      </c>
      <c r="AE673" s="56">
        <v>772.5</v>
      </c>
      <c r="AF673" s="56"/>
      <c r="AP673" s="11"/>
      <c r="AQ673" s="11"/>
      <c r="AR673" s="11"/>
      <c r="AW673" s="9"/>
      <c r="CS673" s="11">
        <f t="shared" si="49"/>
        <v>0</v>
      </c>
      <c r="CT673" s="22">
        <f t="shared" si="50"/>
        <v>0</v>
      </c>
      <c r="CU673" s="22">
        <f t="shared" si="52"/>
        <v>0</v>
      </c>
      <c r="CV673" s="26">
        <f t="shared" si="51"/>
        <v>772.5</v>
      </c>
    </row>
    <row r="674" spans="1:100" x14ac:dyDescent="0.2">
      <c r="A674" s="9" t="s">
        <v>258</v>
      </c>
      <c r="B674" s="2">
        <v>74</v>
      </c>
      <c r="C674" s="3" t="s">
        <v>95</v>
      </c>
      <c r="D674" s="3" t="s">
        <v>96</v>
      </c>
      <c r="E674" s="2"/>
      <c r="F674" s="2"/>
      <c r="G674" s="2" t="s">
        <v>73</v>
      </c>
      <c r="H674" s="2">
        <v>8</v>
      </c>
      <c r="I674" s="8">
        <v>120.73</v>
      </c>
      <c r="J674" s="8">
        <v>34900</v>
      </c>
      <c r="K674" s="3">
        <v>0</v>
      </c>
      <c r="L674" s="3" t="s">
        <v>3</v>
      </c>
      <c r="M674" s="9" t="s">
        <v>0</v>
      </c>
      <c r="N674" s="9" t="s">
        <v>18</v>
      </c>
      <c r="O674" s="9" t="s">
        <v>268</v>
      </c>
      <c r="S674" s="9" t="s">
        <v>158</v>
      </c>
      <c r="T674" s="10" t="s">
        <v>73</v>
      </c>
      <c r="U674" s="10">
        <v>8</v>
      </c>
      <c r="V674" s="10">
        <v>120</v>
      </c>
      <c r="W674" s="10" t="s">
        <v>710</v>
      </c>
      <c r="X674" s="17">
        <v>44916</v>
      </c>
      <c r="Y674" s="17">
        <v>44924</v>
      </c>
      <c r="Z674" s="19" t="s">
        <v>772</v>
      </c>
      <c r="AA674" s="210">
        <v>51350</v>
      </c>
      <c r="AB674" s="9">
        <v>60</v>
      </c>
      <c r="AC674" s="9">
        <v>30</v>
      </c>
      <c r="AD674" s="17">
        <v>45899</v>
      </c>
      <c r="AE674" s="56">
        <v>772.5</v>
      </c>
      <c r="AF674" s="56"/>
      <c r="AP674" s="11"/>
      <c r="AQ674" s="11"/>
      <c r="AR674" s="11"/>
      <c r="AW674" s="9"/>
      <c r="CS674" s="11">
        <f t="shared" si="49"/>
        <v>0</v>
      </c>
      <c r="CT674" s="22">
        <f t="shared" si="50"/>
        <v>0</v>
      </c>
      <c r="CU674" s="22">
        <f t="shared" si="52"/>
        <v>0</v>
      </c>
      <c r="CV674" s="26">
        <f t="shared" si="51"/>
        <v>772.5</v>
      </c>
    </row>
    <row r="675" spans="1:100" x14ac:dyDescent="0.2">
      <c r="A675" s="9" t="s">
        <v>258</v>
      </c>
      <c r="B675" s="2">
        <v>74</v>
      </c>
      <c r="C675" s="3" t="s">
        <v>95</v>
      </c>
      <c r="D675" s="3" t="s">
        <v>96</v>
      </c>
      <c r="E675" s="2"/>
      <c r="F675" s="2"/>
      <c r="G675" s="2" t="s">
        <v>73</v>
      </c>
      <c r="H675" s="2">
        <v>8</v>
      </c>
      <c r="I675" s="8">
        <v>120.73</v>
      </c>
      <c r="J675" s="8">
        <v>34900</v>
      </c>
      <c r="K675" s="3">
        <v>0</v>
      </c>
      <c r="L675" s="3" t="s">
        <v>3</v>
      </c>
      <c r="M675" s="9" t="s">
        <v>0</v>
      </c>
      <c r="N675" s="9" t="s">
        <v>18</v>
      </c>
      <c r="O675" s="9" t="s">
        <v>268</v>
      </c>
      <c r="S675" s="9" t="s">
        <v>158</v>
      </c>
      <c r="T675" s="10" t="s">
        <v>73</v>
      </c>
      <c r="U675" s="10">
        <v>8</v>
      </c>
      <c r="V675" s="10">
        <v>120</v>
      </c>
      <c r="W675" s="10" t="s">
        <v>710</v>
      </c>
      <c r="X675" s="17">
        <v>44916</v>
      </c>
      <c r="Y675" s="17">
        <v>44924</v>
      </c>
      <c r="Z675" s="19" t="s">
        <v>772</v>
      </c>
      <c r="AA675" s="210">
        <v>51350</v>
      </c>
      <c r="AB675" s="9">
        <v>60</v>
      </c>
      <c r="AC675" s="9">
        <v>31</v>
      </c>
      <c r="AD675" s="17">
        <v>45930</v>
      </c>
      <c r="AE675" s="56">
        <v>772.5</v>
      </c>
      <c r="AF675" s="56"/>
      <c r="AP675" s="11"/>
      <c r="AQ675" s="11"/>
      <c r="AR675" s="11"/>
      <c r="AW675" s="9"/>
      <c r="CS675" s="11">
        <f t="shared" si="49"/>
        <v>0</v>
      </c>
      <c r="CT675" s="22">
        <f t="shared" si="50"/>
        <v>0</v>
      </c>
      <c r="CU675" s="22">
        <f t="shared" si="52"/>
        <v>0</v>
      </c>
      <c r="CV675" s="26">
        <f t="shared" si="51"/>
        <v>772.5</v>
      </c>
    </row>
    <row r="676" spans="1:100" x14ac:dyDescent="0.2">
      <c r="A676" s="9" t="s">
        <v>258</v>
      </c>
      <c r="B676" s="2">
        <v>74</v>
      </c>
      <c r="C676" s="3" t="s">
        <v>95</v>
      </c>
      <c r="D676" s="3" t="s">
        <v>96</v>
      </c>
      <c r="E676" s="2"/>
      <c r="F676" s="2"/>
      <c r="G676" s="2" t="s">
        <v>73</v>
      </c>
      <c r="H676" s="2">
        <v>8</v>
      </c>
      <c r="I676" s="8">
        <v>120.73</v>
      </c>
      <c r="J676" s="8">
        <v>34900</v>
      </c>
      <c r="K676" s="3">
        <v>0</v>
      </c>
      <c r="L676" s="3" t="s">
        <v>3</v>
      </c>
      <c r="M676" s="9" t="s">
        <v>0</v>
      </c>
      <c r="N676" s="9" t="s">
        <v>18</v>
      </c>
      <c r="O676" s="9" t="s">
        <v>268</v>
      </c>
      <c r="S676" s="9" t="s">
        <v>158</v>
      </c>
      <c r="T676" s="10" t="s">
        <v>73</v>
      </c>
      <c r="U676" s="10">
        <v>8</v>
      </c>
      <c r="V676" s="10">
        <v>120</v>
      </c>
      <c r="W676" s="10" t="s">
        <v>710</v>
      </c>
      <c r="X676" s="17">
        <v>44916</v>
      </c>
      <c r="Y676" s="17">
        <v>44924</v>
      </c>
      <c r="Z676" s="19" t="s">
        <v>772</v>
      </c>
      <c r="AA676" s="210">
        <v>51350</v>
      </c>
      <c r="AB676" s="9">
        <v>60</v>
      </c>
      <c r="AC676" s="9">
        <v>32</v>
      </c>
      <c r="AD676" s="17">
        <v>45960</v>
      </c>
      <c r="AE676" s="56">
        <v>772.5</v>
      </c>
      <c r="AF676" s="56"/>
      <c r="AP676" s="11"/>
      <c r="AQ676" s="11"/>
      <c r="AR676" s="11"/>
      <c r="AW676" s="9"/>
      <c r="CS676" s="11">
        <f t="shared" si="49"/>
        <v>0</v>
      </c>
      <c r="CT676" s="22">
        <f t="shared" si="50"/>
        <v>0</v>
      </c>
      <c r="CU676" s="22">
        <f t="shared" si="52"/>
        <v>0</v>
      </c>
      <c r="CV676" s="26">
        <f t="shared" si="51"/>
        <v>772.5</v>
      </c>
    </row>
    <row r="677" spans="1:100" x14ac:dyDescent="0.2">
      <c r="A677" s="9" t="s">
        <v>258</v>
      </c>
      <c r="B677" s="2">
        <v>74</v>
      </c>
      <c r="C677" s="3" t="s">
        <v>95</v>
      </c>
      <c r="D677" s="3" t="s">
        <v>96</v>
      </c>
      <c r="E677" s="2"/>
      <c r="F677" s="2"/>
      <c r="G677" s="2" t="s">
        <v>73</v>
      </c>
      <c r="H677" s="2">
        <v>8</v>
      </c>
      <c r="I677" s="8">
        <v>120.73</v>
      </c>
      <c r="J677" s="8">
        <v>34900</v>
      </c>
      <c r="K677" s="3">
        <v>0</v>
      </c>
      <c r="L677" s="3" t="s">
        <v>3</v>
      </c>
      <c r="M677" s="9" t="s">
        <v>0</v>
      </c>
      <c r="N677" s="9" t="s">
        <v>18</v>
      </c>
      <c r="O677" s="9" t="s">
        <v>268</v>
      </c>
      <c r="S677" s="9" t="s">
        <v>158</v>
      </c>
      <c r="T677" s="10" t="s">
        <v>73</v>
      </c>
      <c r="U677" s="10">
        <v>8</v>
      </c>
      <c r="V677" s="10">
        <v>120</v>
      </c>
      <c r="W677" s="10" t="s">
        <v>710</v>
      </c>
      <c r="X677" s="17">
        <v>44916</v>
      </c>
      <c r="Y677" s="17">
        <v>44924</v>
      </c>
      <c r="Z677" s="19" t="s">
        <v>772</v>
      </c>
      <c r="AA677" s="210">
        <v>51350</v>
      </c>
      <c r="AB677" s="9">
        <v>60</v>
      </c>
      <c r="AC677" s="9">
        <v>33</v>
      </c>
      <c r="AD677" s="17">
        <v>45991</v>
      </c>
      <c r="AE677" s="56">
        <v>772.5</v>
      </c>
      <c r="AF677" s="56"/>
      <c r="AP677" s="11"/>
      <c r="AQ677" s="11"/>
      <c r="AR677" s="11"/>
      <c r="AW677" s="9"/>
      <c r="CS677" s="11">
        <f t="shared" si="49"/>
        <v>0</v>
      </c>
      <c r="CT677" s="22">
        <f t="shared" si="50"/>
        <v>0</v>
      </c>
      <c r="CU677" s="22">
        <f t="shared" si="52"/>
        <v>0</v>
      </c>
      <c r="CV677" s="26">
        <f t="shared" si="51"/>
        <v>772.5</v>
      </c>
    </row>
    <row r="678" spans="1:100" x14ac:dyDescent="0.2">
      <c r="A678" s="9" t="s">
        <v>258</v>
      </c>
      <c r="B678" s="2">
        <v>74</v>
      </c>
      <c r="C678" s="3" t="s">
        <v>95</v>
      </c>
      <c r="D678" s="3" t="s">
        <v>96</v>
      </c>
      <c r="E678" s="2"/>
      <c r="F678" s="2"/>
      <c r="G678" s="2" t="s">
        <v>73</v>
      </c>
      <c r="H678" s="2">
        <v>8</v>
      </c>
      <c r="I678" s="8">
        <v>120.73</v>
      </c>
      <c r="J678" s="8">
        <v>34900</v>
      </c>
      <c r="K678" s="3">
        <v>0</v>
      </c>
      <c r="L678" s="3" t="s">
        <v>3</v>
      </c>
      <c r="M678" s="9" t="s">
        <v>0</v>
      </c>
      <c r="N678" s="9" t="s">
        <v>18</v>
      </c>
      <c r="O678" s="9" t="s">
        <v>268</v>
      </c>
      <c r="S678" s="9" t="s">
        <v>158</v>
      </c>
      <c r="T678" s="10" t="s">
        <v>73</v>
      </c>
      <c r="U678" s="10">
        <v>8</v>
      </c>
      <c r="V678" s="10">
        <v>120</v>
      </c>
      <c r="W678" s="10" t="s">
        <v>710</v>
      </c>
      <c r="X678" s="17">
        <v>44916</v>
      </c>
      <c r="Y678" s="17">
        <v>44924</v>
      </c>
      <c r="Z678" s="19" t="s">
        <v>772</v>
      </c>
      <c r="AA678" s="210">
        <v>51350</v>
      </c>
      <c r="AB678" s="9">
        <v>60</v>
      </c>
      <c r="AC678" s="9">
        <v>34</v>
      </c>
      <c r="AD678" s="17">
        <v>46021</v>
      </c>
      <c r="AE678" s="56">
        <v>772.5</v>
      </c>
      <c r="AF678" s="56"/>
      <c r="AP678" s="11"/>
      <c r="AQ678" s="11"/>
      <c r="AR678" s="11"/>
      <c r="AW678" s="9"/>
      <c r="CS678" s="11">
        <f t="shared" si="49"/>
        <v>0</v>
      </c>
      <c r="CT678" s="22">
        <f t="shared" si="50"/>
        <v>0</v>
      </c>
      <c r="CU678" s="22">
        <f t="shared" si="52"/>
        <v>0</v>
      </c>
      <c r="CV678" s="26">
        <f t="shared" si="51"/>
        <v>772.5</v>
      </c>
    </row>
    <row r="679" spans="1:100" x14ac:dyDescent="0.2">
      <c r="A679" s="9" t="s">
        <v>258</v>
      </c>
      <c r="B679" s="2">
        <v>74</v>
      </c>
      <c r="C679" s="3" t="s">
        <v>95</v>
      </c>
      <c r="D679" s="3" t="s">
        <v>96</v>
      </c>
      <c r="E679" s="2"/>
      <c r="F679" s="2"/>
      <c r="G679" s="2" t="s">
        <v>73</v>
      </c>
      <c r="H679" s="2">
        <v>8</v>
      </c>
      <c r="I679" s="8">
        <v>120.73</v>
      </c>
      <c r="J679" s="8">
        <v>34900</v>
      </c>
      <c r="K679" s="3">
        <v>0</v>
      </c>
      <c r="L679" s="3" t="s">
        <v>3</v>
      </c>
      <c r="M679" s="9" t="s">
        <v>0</v>
      </c>
      <c r="N679" s="9" t="s">
        <v>18</v>
      </c>
      <c r="O679" s="9" t="s">
        <v>268</v>
      </c>
      <c r="S679" s="9" t="s">
        <v>158</v>
      </c>
      <c r="T679" s="10" t="s">
        <v>73</v>
      </c>
      <c r="U679" s="10">
        <v>8</v>
      </c>
      <c r="V679" s="10">
        <v>120</v>
      </c>
      <c r="W679" s="10" t="s">
        <v>710</v>
      </c>
      <c r="X679" s="17">
        <v>44916</v>
      </c>
      <c r="Y679" s="17">
        <v>44924</v>
      </c>
      <c r="Z679" s="19" t="s">
        <v>772</v>
      </c>
      <c r="AA679" s="210">
        <v>51350</v>
      </c>
      <c r="AB679" s="9">
        <v>60</v>
      </c>
      <c r="AC679" s="9">
        <v>35</v>
      </c>
      <c r="AD679" s="17">
        <v>46052</v>
      </c>
      <c r="AE679" s="56">
        <v>772.5</v>
      </c>
      <c r="AF679" s="56"/>
      <c r="AP679" s="11"/>
      <c r="AQ679" s="11"/>
      <c r="AR679" s="11"/>
      <c r="AW679" s="9"/>
      <c r="CS679" s="11">
        <f t="shared" si="49"/>
        <v>0</v>
      </c>
      <c r="CT679" s="22">
        <f t="shared" si="50"/>
        <v>0</v>
      </c>
      <c r="CU679" s="22">
        <f t="shared" si="52"/>
        <v>0</v>
      </c>
      <c r="CV679" s="26">
        <f t="shared" si="51"/>
        <v>772.5</v>
      </c>
    </row>
    <row r="680" spans="1:100" x14ac:dyDescent="0.2">
      <c r="A680" s="9" t="s">
        <v>258</v>
      </c>
      <c r="B680" s="2">
        <v>74</v>
      </c>
      <c r="C680" s="3" t="s">
        <v>95</v>
      </c>
      <c r="D680" s="3" t="s">
        <v>96</v>
      </c>
      <c r="E680" s="2"/>
      <c r="F680" s="2"/>
      <c r="G680" s="2" t="s">
        <v>73</v>
      </c>
      <c r="H680" s="2">
        <v>8</v>
      </c>
      <c r="I680" s="8">
        <v>120.73</v>
      </c>
      <c r="J680" s="8">
        <v>34900</v>
      </c>
      <c r="K680" s="3">
        <v>0</v>
      </c>
      <c r="L680" s="3" t="s">
        <v>3</v>
      </c>
      <c r="M680" s="9" t="s">
        <v>0</v>
      </c>
      <c r="N680" s="9" t="s">
        <v>18</v>
      </c>
      <c r="O680" s="9" t="s">
        <v>268</v>
      </c>
      <c r="S680" s="9" t="s">
        <v>158</v>
      </c>
      <c r="T680" s="10" t="s">
        <v>73</v>
      </c>
      <c r="U680" s="10">
        <v>8</v>
      </c>
      <c r="V680" s="10">
        <v>120</v>
      </c>
      <c r="W680" s="10" t="s">
        <v>710</v>
      </c>
      <c r="X680" s="17">
        <v>44916</v>
      </c>
      <c r="Y680" s="17">
        <v>44924</v>
      </c>
      <c r="Z680" s="19" t="s">
        <v>772</v>
      </c>
      <c r="AA680" s="210">
        <v>51350</v>
      </c>
      <c r="AB680" s="9">
        <v>60</v>
      </c>
      <c r="AC680" s="9">
        <v>36</v>
      </c>
      <c r="AD680" s="17">
        <v>46081</v>
      </c>
      <c r="AE680" s="56">
        <v>772.5</v>
      </c>
      <c r="AF680" s="56"/>
      <c r="AP680" s="11"/>
      <c r="AQ680" s="11"/>
      <c r="AR680" s="11"/>
      <c r="AW680" s="9"/>
      <c r="CS680" s="11">
        <f t="shared" si="49"/>
        <v>0</v>
      </c>
      <c r="CT680" s="22">
        <f t="shared" si="50"/>
        <v>0</v>
      </c>
      <c r="CU680" s="22">
        <f t="shared" si="52"/>
        <v>0</v>
      </c>
      <c r="CV680" s="26">
        <f t="shared" si="51"/>
        <v>772.5</v>
      </c>
    </row>
    <row r="681" spans="1:100" x14ac:dyDescent="0.2">
      <c r="A681" s="9" t="s">
        <v>258</v>
      </c>
      <c r="B681" s="2">
        <v>74</v>
      </c>
      <c r="C681" s="3" t="s">
        <v>95</v>
      </c>
      <c r="D681" s="3" t="s">
        <v>96</v>
      </c>
      <c r="E681" s="2"/>
      <c r="F681" s="2"/>
      <c r="G681" s="2" t="s">
        <v>73</v>
      </c>
      <c r="H681" s="2">
        <v>8</v>
      </c>
      <c r="I681" s="8">
        <v>120.73</v>
      </c>
      <c r="J681" s="8">
        <v>34900</v>
      </c>
      <c r="K681" s="3">
        <v>0</v>
      </c>
      <c r="L681" s="3" t="s">
        <v>3</v>
      </c>
      <c r="M681" s="9" t="s">
        <v>0</v>
      </c>
      <c r="N681" s="9" t="s">
        <v>18</v>
      </c>
      <c r="O681" s="9" t="s">
        <v>268</v>
      </c>
      <c r="S681" s="9" t="s">
        <v>158</v>
      </c>
      <c r="T681" s="10" t="s">
        <v>73</v>
      </c>
      <c r="U681" s="10">
        <v>8</v>
      </c>
      <c r="V681" s="10">
        <v>120</v>
      </c>
      <c r="W681" s="10" t="s">
        <v>710</v>
      </c>
      <c r="X681" s="17">
        <v>44916</v>
      </c>
      <c r="Y681" s="17">
        <v>44924</v>
      </c>
      <c r="Z681" s="19" t="s">
        <v>772</v>
      </c>
      <c r="AA681" s="210">
        <v>51350</v>
      </c>
      <c r="AB681" s="9">
        <v>60</v>
      </c>
      <c r="AC681" s="9">
        <v>37</v>
      </c>
      <c r="AD681" s="17">
        <v>46111</v>
      </c>
      <c r="AE681" s="56">
        <v>772.5</v>
      </c>
      <c r="AF681" s="56"/>
      <c r="AP681" s="11"/>
      <c r="AQ681" s="11"/>
      <c r="AR681" s="11"/>
      <c r="AW681" s="9"/>
      <c r="CS681" s="11">
        <f t="shared" si="49"/>
        <v>0</v>
      </c>
      <c r="CT681" s="22">
        <f t="shared" si="50"/>
        <v>0</v>
      </c>
      <c r="CU681" s="22">
        <f t="shared" si="52"/>
        <v>0</v>
      </c>
      <c r="CV681" s="26">
        <f t="shared" si="51"/>
        <v>772.5</v>
      </c>
    </row>
    <row r="682" spans="1:100" x14ac:dyDescent="0.2">
      <c r="A682" s="9" t="s">
        <v>258</v>
      </c>
      <c r="B682" s="2">
        <v>74</v>
      </c>
      <c r="C682" s="3" t="s">
        <v>95</v>
      </c>
      <c r="D682" s="3" t="s">
        <v>96</v>
      </c>
      <c r="E682" s="2"/>
      <c r="F682" s="2"/>
      <c r="G682" s="2" t="s">
        <v>73</v>
      </c>
      <c r="H682" s="2">
        <v>8</v>
      </c>
      <c r="I682" s="8">
        <v>120.73</v>
      </c>
      <c r="J682" s="8">
        <v>34900</v>
      </c>
      <c r="K682" s="3">
        <v>0</v>
      </c>
      <c r="L682" s="3" t="s">
        <v>3</v>
      </c>
      <c r="M682" s="9" t="s">
        <v>0</v>
      </c>
      <c r="N682" s="9" t="s">
        <v>18</v>
      </c>
      <c r="O682" s="9" t="s">
        <v>268</v>
      </c>
      <c r="S682" s="9" t="s">
        <v>158</v>
      </c>
      <c r="T682" s="10" t="s">
        <v>73</v>
      </c>
      <c r="U682" s="10">
        <v>8</v>
      </c>
      <c r="V682" s="10">
        <v>120</v>
      </c>
      <c r="W682" s="10" t="s">
        <v>710</v>
      </c>
      <c r="X682" s="17">
        <v>44916</v>
      </c>
      <c r="Y682" s="17">
        <v>44924</v>
      </c>
      <c r="Z682" s="19" t="s">
        <v>772</v>
      </c>
      <c r="AA682" s="210">
        <v>51350</v>
      </c>
      <c r="AB682" s="9">
        <v>60</v>
      </c>
      <c r="AC682" s="9">
        <v>38</v>
      </c>
      <c r="AD682" s="17">
        <v>46142</v>
      </c>
      <c r="AE682" s="56">
        <v>772.5</v>
      </c>
      <c r="AF682" s="56"/>
      <c r="AP682" s="11"/>
      <c r="AQ682" s="11"/>
      <c r="AR682" s="11"/>
      <c r="AW682" s="9"/>
      <c r="CS682" s="11">
        <f t="shared" si="49"/>
        <v>0</v>
      </c>
      <c r="CT682" s="22">
        <f t="shared" si="50"/>
        <v>0</v>
      </c>
      <c r="CU682" s="22">
        <f t="shared" si="52"/>
        <v>0</v>
      </c>
      <c r="CV682" s="26">
        <f t="shared" si="51"/>
        <v>772.5</v>
      </c>
    </row>
    <row r="683" spans="1:100" x14ac:dyDescent="0.2">
      <c r="A683" s="9" t="s">
        <v>258</v>
      </c>
      <c r="B683" s="2">
        <v>74</v>
      </c>
      <c r="C683" s="3" t="s">
        <v>95</v>
      </c>
      <c r="D683" s="3" t="s">
        <v>96</v>
      </c>
      <c r="E683" s="2"/>
      <c r="F683" s="2"/>
      <c r="G683" s="2" t="s">
        <v>73</v>
      </c>
      <c r="H683" s="2">
        <v>8</v>
      </c>
      <c r="I683" s="8">
        <v>120.73</v>
      </c>
      <c r="J683" s="8">
        <v>34900</v>
      </c>
      <c r="K683" s="3">
        <v>0</v>
      </c>
      <c r="L683" s="3" t="s">
        <v>3</v>
      </c>
      <c r="M683" s="9" t="s">
        <v>0</v>
      </c>
      <c r="N683" s="9" t="s">
        <v>18</v>
      </c>
      <c r="O683" s="9" t="s">
        <v>268</v>
      </c>
      <c r="S683" s="9" t="s">
        <v>158</v>
      </c>
      <c r="T683" s="10" t="s">
        <v>73</v>
      </c>
      <c r="U683" s="10">
        <v>8</v>
      </c>
      <c r="V683" s="10">
        <v>120</v>
      </c>
      <c r="W683" s="10" t="s">
        <v>710</v>
      </c>
      <c r="X683" s="17">
        <v>44916</v>
      </c>
      <c r="Y683" s="17">
        <v>44924</v>
      </c>
      <c r="Z683" s="19" t="s">
        <v>772</v>
      </c>
      <c r="AA683" s="210">
        <v>51350</v>
      </c>
      <c r="AB683" s="9">
        <v>60</v>
      </c>
      <c r="AC683" s="9">
        <v>39</v>
      </c>
      <c r="AD683" s="17">
        <v>46172</v>
      </c>
      <c r="AE683" s="56">
        <v>772.5</v>
      </c>
      <c r="AF683" s="56"/>
      <c r="AP683" s="11"/>
      <c r="AQ683" s="11"/>
      <c r="AR683" s="11"/>
      <c r="AW683" s="9"/>
      <c r="CS683" s="11">
        <f t="shared" si="49"/>
        <v>0</v>
      </c>
      <c r="CT683" s="22">
        <f t="shared" si="50"/>
        <v>0</v>
      </c>
      <c r="CU683" s="22">
        <f t="shared" si="52"/>
        <v>0</v>
      </c>
      <c r="CV683" s="26">
        <f t="shared" si="51"/>
        <v>772.5</v>
      </c>
    </row>
    <row r="684" spans="1:100" x14ac:dyDescent="0.2">
      <c r="A684" s="9" t="s">
        <v>258</v>
      </c>
      <c r="B684" s="2">
        <v>74</v>
      </c>
      <c r="C684" s="3" t="s">
        <v>95</v>
      </c>
      <c r="D684" s="3" t="s">
        <v>96</v>
      </c>
      <c r="E684" s="2"/>
      <c r="F684" s="2"/>
      <c r="G684" s="2" t="s">
        <v>73</v>
      </c>
      <c r="H684" s="2">
        <v>8</v>
      </c>
      <c r="I684" s="8">
        <v>120.73</v>
      </c>
      <c r="J684" s="8">
        <v>34900</v>
      </c>
      <c r="K684" s="3">
        <v>0</v>
      </c>
      <c r="L684" s="3" t="s">
        <v>3</v>
      </c>
      <c r="M684" s="9" t="s">
        <v>0</v>
      </c>
      <c r="N684" s="9" t="s">
        <v>18</v>
      </c>
      <c r="O684" s="9" t="s">
        <v>268</v>
      </c>
      <c r="S684" s="9" t="s">
        <v>158</v>
      </c>
      <c r="T684" s="10" t="s">
        <v>73</v>
      </c>
      <c r="U684" s="10">
        <v>8</v>
      </c>
      <c r="V684" s="10">
        <v>120</v>
      </c>
      <c r="W684" s="10" t="s">
        <v>710</v>
      </c>
      <c r="X684" s="17">
        <v>44916</v>
      </c>
      <c r="Y684" s="17">
        <v>44924</v>
      </c>
      <c r="Z684" s="19" t="s">
        <v>772</v>
      </c>
      <c r="AA684" s="210">
        <v>51350</v>
      </c>
      <c r="AB684" s="9">
        <v>60</v>
      </c>
      <c r="AC684" s="9">
        <v>40</v>
      </c>
      <c r="AD684" s="17">
        <v>46203</v>
      </c>
      <c r="AE684" s="56">
        <v>772.5</v>
      </c>
      <c r="AF684" s="56"/>
      <c r="AP684" s="11"/>
      <c r="AQ684" s="11"/>
      <c r="AR684" s="11"/>
      <c r="AW684" s="9"/>
      <c r="CS684" s="11">
        <f t="shared" si="49"/>
        <v>0</v>
      </c>
      <c r="CT684" s="22">
        <f t="shared" si="50"/>
        <v>0</v>
      </c>
      <c r="CU684" s="22">
        <f t="shared" si="52"/>
        <v>0</v>
      </c>
      <c r="CV684" s="26">
        <f t="shared" si="51"/>
        <v>772.5</v>
      </c>
    </row>
    <row r="685" spans="1:100" x14ac:dyDescent="0.2">
      <c r="A685" s="9" t="s">
        <v>258</v>
      </c>
      <c r="B685" s="2">
        <v>74</v>
      </c>
      <c r="C685" s="3" t="s">
        <v>95</v>
      </c>
      <c r="D685" s="3" t="s">
        <v>96</v>
      </c>
      <c r="E685" s="2"/>
      <c r="F685" s="2"/>
      <c r="G685" s="2" t="s">
        <v>73</v>
      </c>
      <c r="H685" s="2">
        <v>8</v>
      </c>
      <c r="I685" s="8">
        <v>120.73</v>
      </c>
      <c r="J685" s="8">
        <v>34900</v>
      </c>
      <c r="K685" s="3">
        <v>0</v>
      </c>
      <c r="L685" s="3" t="s">
        <v>3</v>
      </c>
      <c r="M685" s="9" t="s">
        <v>0</v>
      </c>
      <c r="N685" s="9" t="s">
        <v>18</v>
      </c>
      <c r="O685" s="9" t="s">
        <v>268</v>
      </c>
      <c r="S685" s="9" t="s">
        <v>158</v>
      </c>
      <c r="T685" s="10" t="s">
        <v>73</v>
      </c>
      <c r="U685" s="10">
        <v>8</v>
      </c>
      <c r="V685" s="10">
        <v>120</v>
      </c>
      <c r="W685" s="10" t="s">
        <v>710</v>
      </c>
      <c r="X685" s="17">
        <v>44916</v>
      </c>
      <c r="Y685" s="17">
        <v>44924</v>
      </c>
      <c r="Z685" s="19" t="s">
        <v>772</v>
      </c>
      <c r="AA685" s="210">
        <v>51350</v>
      </c>
      <c r="AB685" s="9">
        <v>60</v>
      </c>
      <c r="AC685" s="9">
        <v>41</v>
      </c>
      <c r="AD685" s="17">
        <v>46233</v>
      </c>
      <c r="AE685" s="56">
        <v>772.5</v>
      </c>
      <c r="AF685" s="56"/>
      <c r="AP685" s="11"/>
      <c r="AQ685" s="11"/>
      <c r="AR685" s="11"/>
      <c r="AW685" s="9"/>
      <c r="CS685" s="11">
        <f t="shared" si="49"/>
        <v>0</v>
      </c>
      <c r="CT685" s="22">
        <f t="shared" si="50"/>
        <v>0</v>
      </c>
      <c r="CU685" s="22">
        <f t="shared" si="52"/>
        <v>0</v>
      </c>
      <c r="CV685" s="26">
        <f t="shared" si="51"/>
        <v>772.5</v>
      </c>
    </row>
    <row r="686" spans="1:100" x14ac:dyDescent="0.2">
      <c r="A686" s="9" t="s">
        <v>258</v>
      </c>
      <c r="B686" s="2">
        <v>74</v>
      </c>
      <c r="C686" s="3" t="s">
        <v>95</v>
      </c>
      <c r="D686" s="3" t="s">
        <v>96</v>
      </c>
      <c r="E686" s="2"/>
      <c r="F686" s="2"/>
      <c r="G686" s="2" t="s">
        <v>73</v>
      </c>
      <c r="H686" s="2">
        <v>8</v>
      </c>
      <c r="I686" s="8">
        <v>120.73</v>
      </c>
      <c r="J686" s="8">
        <v>34900</v>
      </c>
      <c r="K686" s="3">
        <v>0</v>
      </c>
      <c r="L686" s="3" t="s">
        <v>3</v>
      </c>
      <c r="M686" s="9" t="s">
        <v>0</v>
      </c>
      <c r="N686" s="9" t="s">
        <v>18</v>
      </c>
      <c r="O686" s="9" t="s">
        <v>268</v>
      </c>
      <c r="S686" s="9" t="s">
        <v>158</v>
      </c>
      <c r="T686" s="10" t="s">
        <v>73</v>
      </c>
      <c r="U686" s="10">
        <v>8</v>
      </c>
      <c r="V686" s="10">
        <v>120</v>
      </c>
      <c r="W686" s="10" t="s">
        <v>710</v>
      </c>
      <c r="X686" s="17">
        <v>44916</v>
      </c>
      <c r="Y686" s="17">
        <v>44924</v>
      </c>
      <c r="Z686" s="19" t="s">
        <v>772</v>
      </c>
      <c r="AA686" s="210">
        <v>51350</v>
      </c>
      <c r="AB686" s="9">
        <v>60</v>
      </c>
      <c r="AC686" s="9">
        <v>42</v>
      </c>
      <c r="AD686" s="17">
        <v>46264</v>
      </c>
      <c r="AE686" s="56">
        <v>772.5</v>
      </c>
      <c r="AF686" s="56"/>
      <c r="AP686" s="11"/>
      <c r="AQ686" s="11"/>
      <c r="AR686" s="11"/>
      <c r="AW686" s="9"/>
      <c r="CS686" s="11">
        <f t="shared" si="49"/>
        <v>0</v>
      </c>
      <c r="CT686" s="22">
        <f t="shared" si="50"/>
        <v>0</v>
      </c>
      <c r="CU686" s="22">
        <f t="shared" si="52"/>
        <v>0</v>
      </c>
      <c r="CV686" s="26">
        <f t="shared" si="51"/>
        <v>772.5</v>
      </c>
    </row>
    <row r="687" spans="1:100" x14ac:dyDescent="0.2">
      <c r="A687" s="9" t="s">
        <v>258</v>
      </c>
      <c r="B687" s="2">
        <v>74</v>
      </c>
      <c r="C687" s="3" t="s">
        <v>95</v>
      </c>
      <c r="D687" s="3" t="s">
        <v>96</v>
      </c>
      <c r="E687" s="2"/>
      <c r="F687" s="2"/>
      <c r="G687" s="2" t="s">
        <v>73</v>
      </c>
      <c r="H687" s="2">
        <v>8</v>
      </c>
      <c r="I687" s="8">
        <v>120.73</v>
      </c>
      <c r="J687" s="8">
        <v>34900</v>
      </c>
      <c r="K687" s="3">
        <v>0</v>
      </c>
      <c r="L687" s="3" t="s">
        <v>3</v>
      </c>
      <c r="M687" s="9" t="s">
        <v>0</v>
      </c>
      <c r="N687" s="9" t="s">
        <v>18</v>
      </c>
      <c r="O687" s="9" t="s">
        <v>268</v>
      </c>
      <c r="S687" s="9" t="s">
        <v>158</v>
      </c>
      <c r="T687" s="10" t="s">
        <v>73</v>
      </c>
      <c r="U687" s="10">
        <v>8</v>
      </c>
      <c r="V687" s="10">
        <v>120</v>
      </c>
      <c r="W687" s="10" t="s">
        <v>710</v>
      </c>
      <c r="X687" s="17">
        <v>44916</v>
      </c>
      <c r="Y687" s="17">
        <v>44924</v>
      </c>
      <c r="Z687" s="19" t="s">
        <v>772</v>
      </c>
      <c r="AA687" s="210">
        <v>51350</v>
      </c>
      <c r="AB687" s="9">
        <v>60</v>
      </c>
      <c r="AC687" s="9">
        <v>43</v>
      </c>
      <c r="AD687" s="17">
        <v>46295</v>
      </c>
      <c r="AE687" s="56">
        <v>772.5</v>
      </c>
      <c r="AF687" s="56"/>
      <c r="AP687" s="11"/>
      <c r="AQ687" s="11"/>
      <c r="AR687" s="11"/>
      <c r="AW687" s="9"/>
      <c r="CS687" s="11">
        <f t="shared" si="49"/>
        <v>0</v>
      </c>
      <c r="CT687" s="22">
        <f t="shared" si="50"/>
        <v>0</v>
      </c>
      <c r="CU687" s="22">
        <f t="shared" si="52"/>
        <v>0</v>
      </c>
      <c r="CV687" s="26">
        <f t="shared" si="51"/>
        <v>772.5</v>
      </c>
    </row>
    <row r="688" spans="1:100" x14ac:dyDescent="0.2">
      <c r="A688" s="9" t="s">
        <v>258</v>
      </c>
      <c r="B688" s="2">
        <v>74</v>
      </c>
      <c r="C688" s="3" t="s">
        <v>95</v>
      </c>
      <c r="D688" s="3" t="s">
        <v>96</v>
      </c>
      <c r="E688" s="2"/>
      <c r="F688" s="2"/>
      <c r="G688" s="2" t="s">
        <v>73</v>
      </c>
      <c r="H688" s="2">
        <v>8</v>
      </c>
      <c r="I688" s="8">
        <v>120.73</v>
      </c>
      <c r="J688" s="8">
        <v>34900</v>
      </c>
      <c r="K688" s="3">
        <v>0</v>
      </c>
      <c r="L688" s="3" t="s">
        <v>3</v>
      </c>
      <c r="M688" s="9" t="s">
        <v>0</v>
      </c>
      <c r="N688" s="9" t="s">
        <v>18</v>
      </c>
      <c r="O688" s="9" t="s">
        <v>268</v>
      </c>
      <c r="S688" s="9" t="s">
        <v>158</v>
      </c>
      <c r="T688" s="10" t="s">
        <v>73</v>
      </c>
      <c r="U688" s="10">
        <v>8</v>
      </c>
      <c r="V688" s="10">
        <v>120</v>
      </c>
      <c r="W688" s="10" t="s">
        <v>710</v>
      </c>
      <c r="X688" s="17">
        <v>44916</v>
      </c>
      <c r="Y688" s="17">
        <v>44924</v>
      </c>
      <c r="Z688" s="19" t="s">
        <v>772</v>
      </c>
      <c r="AA688" s="210">
        <v>51350</v>
      </c>
      <c r="AB688" s="9">
        <v>60</v>
      </c>
      <c r="AC688" s="9">
        <v>44</v>
      </c>
      <c r="AD688" s="17">
        <v>46325</v>
      </c>
      <c r="AE688" s="56">
        <v>772.5</v>
      </c>
      <c r="AF688" s="56"/>
      <c r="AP688" s="11"/>
      <c r="AQ688" s="11"/>
      <c r="AR688" s="11"/>
      <c r="AW688" s="9"/>
      <c r="CS688" s="11">
        <f t="shared" si="49"/>
        <v>0</v>
      </c>
      <c r="CT688" s="22">
        <f t="shared" si="50"/>
        <v>0</v>
      </c>
      <c r="CU688" s="22">
        <f t="shared" si="52"/>
        <v>0</v>
      </c>
      <c r="CV688" s="26">
        <f t="shared" si="51"/>
        <v>772.5</v>
      </c>
    </row>
    <row r="689" spans="1:100" x14ac:dyDescent="0.2">
      <c r="A689" s="9" t="s">
        <v>258</v>
      </c>
      <c r="B689" s="2">
        <v>74</v>
      </c>
      <c r="C689" s="3" t="s">
        <v>95</v>
      </c>
      <c r="D689" s="3" t="s">
        <v>96</v>
      </c>
      <c r="E689" s="2"/>
      <c r="F689" s="2"/>
      <c r="G689" s="2" t="s">
        <v>73</v>
      </c>
      <c r="H689" s="2">
        <v>8</v>
      </c>
      <c r="I689" s="8">
        <v>120.73</v>
      </c>
      <c r="J689" s="8">
        <v>34900</v>
      </c>
      <c r="K689" s="3">
        <v>0</v>
      </c>
      <c r="L689" s="3" t="s">
        <v>3</v>
      </c>
      <c r="M689" s="9" t="s">
        <v>0</v>
      </c>
      <c r="N689" s="9" t="s">
        <v>18</v>
      </c>
      <c r="O689" s="9" t="s">
        <v>268</v>
      </c>
      <c r="S689" s="9" t="s">
        <v>158</v>
      </c>
      <c r="T689" s="10" t="s">
        <v>73</v>
      </c>
      <c r="U689" s="10">
        <v>8</v>
      </c>
      <c r="V689" s="10">
        <v>120</v>
      </c>
      <c r="W689" s="10" t="s">
        <v>710</v>
      </c>
      <c r="X689" s="17">
        <v>44916</v>
      </c>
      <c r="Y689" s="17">
        <v>44924</v>
      </c>
      <c r="Z689" s="19" t="s">
        <v>772</v>
      </c>
      <c r="AA689" s="210">
        <v>51350</v>
      </c>
      <c r="AB689" s="9">
        <v>60</v>
      </c>
      <c r="AC689" s="9">
        <v>45</v>
      </c>
      <c r="AD689" s="17">
        <v>46356</v>
      </c>
      <c r="AE689" s="56">
        <v>772.5</v>
      </c>
      <c r="AF689" s="56"/>
      <c r="AP689" s="11"/>
      <c r="AQ689" s="11"/>
      <c r="AR689" s="11"/>
      <c r="AW689" s="9"/>
      <c r="CS689" s="11">
        <f t="shared" si="49"/>
        <v>0</v>
      </c>
      <c r="CT689" s="22">
        <f t="shared" si="50"/>
        <v>0</v>
      </c>
      <c r="CU689" s="22">
        <f t="shared" si="52"/>
        <v>0</v>
      </c>
      <c r="CV689" s="26">
        <f t="shared" si="51"/>
        <v>772.5</v>
      </c>
    </row>
    <row r="690" spans="1:100" x14ac:dyDescent="0.2">
      <c r="A690" s="9" t="s">
        <v>258</v>
      </c>
      <c r="B690" s="2">
        <v>74</v>
      </c>
      <c r="C690" s="3" t="s">
        <v>95</v>
      </c>
      <c r="D690" s="3" t="s">
        <v>96</v>
      </c>
      <c r="E690" s="2"/>
      <c r="F690" s="2"/>
      <c r="G690" s="2" t="s">
        <v>73</v>
      </c>
      <c r="H690" s="2">
        <v>8</v>
      </c>
      <c r="I690" s="8">
        <v>120.73</v>
      </c>
      <c r="J690" s="8">
        <v>34900</v>
      </c>
      <c r="K690" s="3">
        <v>0</v>
      </c>
      <c r="L690" s="3" t="s">
        <v>3</v>
      </c>
      <c r="M690" s="9" t="s">
        <v>0</v>
      </c>
      <c r="N690" s="9" t="s">
        <v>18</v>
      </c>
      <c r="O690" s="9" t="s">
        <v>268</v>
      </c>
      <c r="S690" s="9" t="s">
        <v>158</v>
      </c>
      <c r="T690" s="10" t="s">
        <v>73</v>
      </c>
      <c r="U690" s="10">
        <v>8</v>
      </c>
      <c r="V690" s="10">
        <v>120</v>
      </c>
      <c r="W690" s="10" t="s">
        <v>710</v>
      </c>
      <c r="X690" s="17">
        <v>44916</v>
      </c>
      <c r="Y690" s="17">
        <v>44924</v>
      </c>
      <c r="Z690" s="19" t="s">
        <v>772</v>
      </c>
      <c r="AA690" s="210">
        <v>51350</v>
      </c>
      <c r="AB690" s="9">
        <v>60</v>
      </c>
      <c r="AC690" s="9">
        <v>46</v>
      </c>
      <c r="AD690" s="17">
        <v>46386</v>
      </c>
      <c r="AE690" s="56">
        <v>772.5</v>
      </c>
      <c r="AF690" s="56"/>
      <c r="AP690" s="11"/>
      <c r="AQ690" s="11"/>
      <c r="AR690" s="11"/>
      <c r="AW690" s="9"/>
      <c r="CS690" s="11">
        <f t="shared" si="49"/>
        <v>0</v>
      </c>
      <c r="CT690" s="22">
        <f t="shared" si="50"/>
        <v>0</v>
      </c>
      <c r="CU690" s="22">
        <f t="shared" si="52"/>
        <v>0</v>
      </c>
      <c r="CV690" s="26">
        <f t="shared" si="51"/>
        <v>772.5</v>
      </c>
    </row>
    <row r="691" spans="1:100" x14ac:dyDescent="0.2">
      <c r="A691" s="9" t="s">
        <v>258</v>
      </c>
      <c r="B691" s="2">
        <v>74</v>
      </c>
      <c r="C691" s="3" t="s">
        <v>95</v>
      </c>
      <c r="D691" s="3" t="s">
        <v>96</v>
      </c>
      <c r="E691" s="2"/>
      <c r="F691" s="2"/>
      <c r="G691" s="2" t="s">
        <v>73</v>
      </c>
      <c r="H691" s="2">
        <v>8</v>
      </c>
      <c r="I691" s="8">
        <v>120.73</v>
      </c>
      <c r="J691" s="8">
        <v>34900</v>
      </c>
      <c r="K691" s="3">
        <v>0</v>
      </c>
      <c r="L691" s="3" t="s">
        <v>3</v>
      </c>
      <c r="M691" s="9" t="s">
        <v>0</v>
      </c>
      <c r="N691" s="9" t="s">
        <v>18</v>
      </c>
      <c r="O691" s="9" t="s">
        <v>268</v>
      </c>
      <c r="S691" s="9" t="s">
        <v>158</v>
      </c>
      <c r="T691" s="10" t="s">
        <v>73</v>
      </c>
      <c r="U691" s="10">
        <v>8</v>
      </c>
      <c r="V691" s="10">
        <v>120</v>
      </c>
      <c r="W691" s="10" t="s">
        <v>710</v>
      </c>
      <c r="X691" s="17">
        <v>44916</v>
      </c>
      <c r="Y691" s="17">
        <v>44924</v>
      </c>
      <c r="Z691" s="19" t="s">
        <v>772</v>
      </c>
      <c r="AA691" s="210">
        <v>51350</v>
      </c>
      <c r="AB691" s="9">
        <v>60</v>
      </c>
      <c r="AC691" s="9">
        <v>47</v>
      </c>
      <c r="AD691" s="17">
        <v>46417</v>
      </c>
      <c r="AE691" s="56">
        <v>772.5</v>
      </c>
      <c r="AF691" s="56"/>
      <c r="AP691" s="11"/>
      <c r="AQ691" s="11"/>
      <c r="AR691" s="11"/>
      <c r="AW691" s="9"/>
      <c r="CS691" s="11">
        <f t="shared" si="49"/>
        <v>0</v>
      </c>
      <c r="CT691" s="22">
        <f t="shared" si="50"/>
        <v>0</v>
      </c>
      <c r="CU691" s="22">
        <f t="shared" si="52"/>
        <v>0</v>
      </c>
      <c r="CV691" s="26">
        <f t="shared" si="51"/>
        <v>772.5</v>
      </c>
    </row>
    <row r="692" spans="1:100" x14ac:dyDescent="0.2">
      <c r="A692" s="9" t="s">
        <v>258</v>
      </c>
      <c r="B692" s="2">
        <v>74</v>
      </c>
      <c r="C692" s="3" t="s">
        <v>95</v>
      </c>
      <c r="D692" s="3" t="s">
        <v>96</v>
      </c>
      <c r="E692" s="2"/>
      <c r="F692" s="2"/>
      <c r="G692" s="2" t="s">
        <v>73</v>
      </c>
      <c r="H692" s="2">
        <v>8</v>
      </c>
      <c r="I692" s="8">
        <v>120.73</v>
      </c>
      <c r="J692" s="8">
        <v>34900</v>
      </c>
      <c r="K692" s="3">
        <v>0</v>
      </c>
      <c r="L692" s="3" t="s">
        <v>3</v>
      </c>
      <c r="M692" s="9" t="s">
        <v>0</v>
      </c>
      <c r="N692" s="9" t="s">
        <v>18</v>
      </c>
      <c r="O692" s="9" t="s">
        <v>268</v>
      </c>
      <c r="S692" s="9" t="s">
        <v>158</v>
      </c>
      <c r="T692" s="10" t="s">
        <v>73</v>
      </c>
      <c r="U692" s="10">
        <v>8</v>
      </c>
      <c r="V692" s="10">
        <v>120</v>
      </c>
      <c r="W692" s="10" t="s">
        <v>710</v>
      </c>
      <c r="X692" s="17">
        <v>44916</v>
      </c>
      <c r="Y692" s="17">
        <v>44924</v>
      </c>
      <c r="Z692" s="19" t="s">
        <v>772</v>
      </c>
      <c r="AA692" s="210">
        <v>51350</v>
      </c>
      <c r="AB692" s="9">
        <v>60</v>
      </c>
      <c r="AC692" s="9">
        <v>48</v>
      </c>
      <c r="AD692" s="17">
        <v>46446</v>
      </c>
      <c r="AE692" s="56">
        <v>772.5</v>
      </c>
      <c r="AF692" s="56"/>
      <c r="AP692" s="11"/>
      <c r="AQ692" s="11"/>
      <c r="AR692" s="11"/>
      <c r="AW692" s="9"/>
      <c r="CS692" s="11">
        <f t="shared" si="49"/>
        <v>0</v>
      </c>
      <c r="CT692" s="22">
        <f t="shared" si="50"/>
        <v>0</v>
      </c>
      <c r="CU692" s="22">
        <f t="shared" si="52"/>
        <v>0</v>
      </c>
      <c r="CV692" s="26">
        <f t="shared" si="51"/>
        <v>772.5</v>
      </c>
    </row>
    <row r="693" spans="1:100" x14ac:dyDescent="0.2">
      <c r="A693" s="9" t="s">
        <v>258</v>
      </c>
      <c r="B693" s="2">
        <v>74</v>
      </c>
      <c r="C693" s="3" t="s">
        <v>95</v>
      </c>
      <c r="D693" s="3" t="s">
        <v>96</v>
      </c>
      <c r="E693" s="2"/>
      <c r="F693" s="2"/>
      <c r="G693" s="2" t="s">
        <v>73</v>
      </c>
      <c r="H693" s="2">
        <v>8</v>
      </c>
      <c r="I693" s="8">
        <v>120.73</v>
      </c>
      <c r="J693" s="8">
        <v>34900</v>
      </c>
      <c r="K693" s="3">
        <v>0</v>
      </c>
      <c r="L693" s="3" t="s">
        <v>3</v>
      </c>
      <c r="M693" s="9" t="s">
        <v>0</v>
      </c>
      <c r="N693" s="9" t="s">
        <v>18</v>
      </c>
      <c r="O693" s="9" t="s">
        <v>268</v>
      </c>
      <c r="S693" s="9" t="s">
        <v>158</v>
      </c>
      <c r="T693" s="10" t="s">
        <v>73</v>
      </c>
      <c r="U693" s="10">
        <v>8</v>
      </c>
      <c r="V693" s="10">
        <v>120</v>
      </c>
      <c r="W693" s="10" t="s">
        <v>710</v>
      </c>
      <c r="X693" s="17">
        <v>44916</v>
      </c>
      <c r="Y693" s="17">
        <v>44924</v>
      </c>
      <c r="Z693" s="19" t="s">
        <v>772</v>
      </c>
      <c r="AA693" s="210">
        <v>51350</v>
      </c>
      <c r="AB693" s="9">
        <v>60</v>
      </c>
      <c r="AC693" s="9">
        <v>49</v>
      </c>
      <c r="AD693" s="17">
        <v>46476</v>
      </c>
      <c r="AE693" s="56">
        <v>772.5</v>
      </c>
      <c r="AF693" s="56"/>
      <c r="AP693" s="11"/>
      <c r="AQ693" s="11"/>
      <c r="AR693" s="11"/>
      <c r="AW693" s="9"/>
      <c r="CS693" s="11">
        <f t="shared" si="49"/>
        <v>0</v>
      </c>
      <c r="CT693" s="22">
        <f t="shared" si="50"/>
        <v>0</v>
      </c>
      <c r="CU693" s="22">
        <f t="shared" si="52"/>
        <v>0</v>
      </c>
      <c r="CV693" s="26">
        <f t="shared" si="51"/>
        <v>772.5</v>
      </c>
    </row>
    <row r="694" spans="1:100" x14ac:dyDescent="0.2">
      <c r="A694" s="9" t="s">
        <v>258</v>
      </c>
      <c r="B694" s="2">
        <v>74</v>
      </c>
      <c r="C694" s="3" t="s">
        <v>95</v>
      </c>
      <c r="D694" s="3" t="s">
        <v>96</v>
      </c>
      <c r="E694" s="2"/>
      <c r="F694" s="2"/>
      <c r="G694" s="2" t="s">
        <v>73</v>
      </c>
      <c r="H694" s="2">
        <v>8</v>
      </c>
      <c r="I694" s="8">
        <v>120.73</v>
      </c>
      <c r="J694" s="8">
        <v>34900</v>
      </c>
      <c r="K694" s="3">
        <v>0</v>
      </c>
      <c r="L694" s="3" t="s">
        <v>3</v>
      </c>
      <c r="M694" s="9" t="s">
        <v>0</v>
      </c>
      <c r="N694" s="9" t="s">
        <v>18</v>
      </c>
      <c r="O694" s="9" t="s">
        <v>268</v>
      </c>
      <c r="S694" s="9" t="s">
        <v>158</v>
      </c>
      <c r="T694" s="10" t="s">
        <v>73</v>
      </c>
      <c r="U694" s="10">
        <v>8</v>
      </c>
      <c r="V694" s="10">
        <v>120</v>
      </c>
      <c r="W694" s="10" t="s">
        <v>710</v>
      </c>
      <c r="X694" s="17">
        <v>44916</v>
      </c>
      <c r="Y694" s="17">
        <v>44924</v>
      </c>
      <c r="Z694" s="19" t="s">
        <v>772</v>
      </c>
      <c r="AA694" s="210">
        <v>51350</v>
      </c>
      <c r="AB694" s="9">
        <v>60</v>
      </c>
      <c r="AC694" s="9">
        <v>50</v>
      </c>
      <c r="AD694" s="17">
        <v>46507</v>
      </c>
      <c r="AE694" s="56">
        <v>772.5</v>
      </c>
      <c r="AF694" s="56"/>
      <c r="AP694" s="11"/>
      <c r="AQ694" s="11"/>
      <c r="AR694" s="11"/>
      <c r="AW694" s="9"/>
      <c r="CS694" s="11">
        <f t="shared" si="49"/>
        <v>0</v>
      </c>
      <c r="CT694" s="22">
        <f t="shared" si="50"/>
        <v>0</v>
      </c>
      <c r="CU694" s="22">
        <f t="shared" si="52"/>
        <v>0</v>
      </c>
      <c r="CV694" s="26">
        <f t="shared" si="51"/>
        <v>772.5</v>
      </c>
    </row>
    <row r="695" spans="1:100" x14ac:dyDescent="0.2">
      <c r="A695" s="9" t="s">
        <v>258</v>
      </c>
      <c r="B695" s="2">
        <v>74</v>
      </c>
      <c r="C695" s="3" t="s">
        <v>95</v>
      </c>
      <c r="D695" s="3" t="s">
        <v>96</v>
      </c>
      <c r="E695" s="2"/>
      <c r="F695" s="2"/>
      <c r="G695" s="2" t="s">
        <v>73</v>
      </c>
      <c r="H695" s="2">
        <v>8</v>
      </c>
      <c r="I695" s="8">
        <v>120.73</v>
      </c>
      <c r="J695" s="8">
        <v>34900</v>
      </c>
      <c r="K695" s="3">
        <v>0</v>
      </c>
      <c r="L695" s="3" t="s">
        <v>3</v>
      </c>
      <c r="M695" s="9" t="s">
        <v>0</v>
      </c>
      <c r="N695" s="9" t="s">
        <v>18</v>
      </c>
      <c r="O695" s="9" t="s">
        <v>268</v>
      </c>
      <c r="S695" s="9" t="s">
        <v>158</v>
      </c>
      <c r="T695" s="10" t="s">
        <v>73</v>
      </c>
      <c r="U695" s="10">
        <v>8</v>
      </c>
      <c r="V695" s="10">
        <v>120</v>
      </c>
      <c r="W695" s="10" t="s">
        <v>710</v>
      </c>
      <c r="X695" s="17">
        <v>44916</v>
      </c>
      <c r="Y695" s="17">
        <v>44924</v>
      </c>
      <c r="Z695" s="19" t="s">
        <v>772</v>
      </c>
      <c r="AA695" s="210">
        <v>51350</v>
      </c>
      <c r="AB695" s="9">
        <v>60</v>
      </c>
      <c r="AC695" s="9">
        <v>51</v>
      </c>
      <c r="AD695" s="17">
        <v>46537</v>
      </c>
      <c r="AE695" s="56">
        <v>772.5</v>
      </c>
      <c r="AF695" s="56"/>
      <c r="AP695" s="11"/>
      <c r="AQ695" s="11"/>
      <c r="AR695" s="11"/>
      <c r="AW695" s="9"/>
      <c r="CS695" s="11">
        <f t="shared" si="49"/>
        <v>0</v>
      </c>
      <c r="CT695" s="22">
        <f t="shared" si="50"/>
        <v>0</v>
      </c>
      <c r="CU695" s="22">
        <f t="shared" si="52"/>
        <v>0</v>
      </c>
      <c r="CV695" s="26">
        <f t="shared" si="51"/>
        <v>772.5</v>
      </c>
    </row>
    <row r="696" spans="1:100" x14ac:dyDescent="0.2">
      <c r="A696" s="9" t="s">
        <v>258</v>
      </c>
      <c r="B696" s="2">
        <v>74</v>
      </c>
      <c r="C696" s="3" t="s">
        <v>95</v>
      </c>
      <c r="D696" s="3" t="s">
        <v>96</v>
      </c>
      <c r="E696" s="2"/>
      <c r="F696" s="2"/>
      <c r="G696" s="2" t="s">
        <v>73</v>
      </c>
      <c r="H696" s="2">
        <v>8</v>
      </c>
      <c r="I696" s="8">
        <v>120.73</v>
      </c>
      <c r="J696" s="8">
        <v>34900</v>
      </c>
      <c r="K696" s="3">
        <v>0</v>
      </c>
      <c r="L696" s="3" t="s">
        <v>3</v>
      </c>
      <c r="M696" s="9" t="s">
        <v>0</v>
      </c>
      <c r="N696" s="9" t="s">
        <v>18</v>
      </c>
      <c r="O696" s="9" t="s">
        <v>268</v>
      </c>
      <c r="S696" s="9" t="s">
        <v>158</v>
      </c>
      <c r="T696" s="10" t="s">
        <v>73</v>
      </c>
      <c r="U696" s="10">
        <v>8</v>
      </c>
      <c r="V696" s="10">
        <v>120</v>
      </c>
      <c r="W696" s="10" t="s">
        <v>710</v>
      </c>
      <c r="X696" s="17">
        <v>44916</v>
      </c>
      <c r="Y696" s="17">
        <v>44924</v>
      </c>
      <c r="Z696" s="19" t="s">
        <v>772</v>
      </c>
      <c r="AA696" s="210">
        <v>51350</v>
      </c>
      <c r="AB696" s="9">
        <v>60</v>
      </c>
      <c r="AC696" s="9">
        <v>52</v>
      </c>
      <c r="AD696" s="17">
        <v>46568</v>
      </c>
      <c r="AE696" s="56">
        <v>772.5</v>
      </c>
      <c r="AF696" s="56"/>
      <c r="AP696" s="11"/>
      <c r="AQ696" s="11"/>
      <c r="AR696" s="11"/>
      <c r="AW696" s="9"/>
      <c r="CS696" s="11">
        <f t="shared" si="49"/>
        <v>0</v>
      </c>
      <c r="CT696" s="22">
        <f t="shared" si="50"/>
        <v>0</v>
      </c>
      <c r="CU696" s="22">
        <f t="shared" si="52"/>
        <v>0</v>
      </c>
      <c r="CV696" s="26">
        <f t="shared" si="51"/>
        <v>772.5</v>
      </c>
    </row>
    <row r="697" spans="1:100" x14ac:dyDescent="0.2">
      <c r="A697" s="9" t="s">
        <v>258</v>
      </c>
      <c r="B697" s="2">
        <v>74</v>
      </c>
      <c r="C697" s="3" t="s">
        <v>95</v>
      </c>
      <c r="D697" s="3" t="s">
        <v>96</v>
      </c>
      <c r="E697" s="2"/>
      <c r="F697" s="2"/>
      <c r="G697" s="2" t="s">
        <v>73</v>
      </c>
      <c r="H697" s="2">
        <v>8</v>
      </c>
      <c r="I697" s="8">
        <v>120.73</v>
      </c>
      <c r="J697" s="8">
        <v>34900</v>
      </c>
      <c r="K697" s="3">
        <v>0</v>
      </c>
      <c r="L697" s="3" t="s">
        <v>3</v>
      </c>
      <c r="M697" s="9" t="s">
        <v>0</v>
      </c>
      <c r="N697" s="9" t="s">
        <v>18</v>
      </c>
      <c r="O697" s="9" t="s">
        <v>268</v>
      </c>
      <c r="S697" s="9" t="s">
        <v>158</v>
      </c>
      <c r="T697" s="10" t="s">
        <v>73</v>
      </c>
      <c r="U697" s="10">
        <v>8</v>
      </c>
      <c r="V697" s="10">
        <v>120</v>
      </c>
      <c r="W697" s="10" t="s">
        <v>710</v>
      </c>
      <c r="X697" s="17">
        <v>44916</v>
      </c>
      <c r="Y697" s="17">
        <v>44924</v>
      </c>
      <c r="Z697" s="19" t="s">
        <v>772</v>
      </c>
      <c r="AA697" s="210">
        <v>51350</v>
      </c>
      <c r="AB697" s="9">
        <v>60</v>
      </c>
      <c r="AC697" s="9">
        <v>53</v>
      </c>
      <c r="AD697" s="17">
        <v>46598</v>
      </c>
      <c r="AE697" s="56">
        <v>772.5</v>
      </c>
      <c r="AF697" s="56"/>
      <c r="AP697" s="11"/>
      <c r="AQ697" s="11"/>
      <c r="AR697" s="11"/>
      <c r="AW697" s="9"/>
      <c r="CS697" s="11">
        <f t="shared" ref="CS697:CS760" si="53">+AL697+AT697</f>
        <v>0</v>
      </c>
      <c r="CT697" s="22">
        <f t="shared" ref="CT697:CT760" si="54">+BA697+BG697+BM697+BS697+BY697+CE697+CK697+CQ697</f>
        <v>0</v>
      </c>
      <c r="CU697" s="22">
        <f t="shared" si="52"/>
        <v>0</v>
      </c>
      <c r="CV697" s="26">
        <f t="shared" ref="CV697:CV760" si="55">+AE697-AL697-AT697</f>
        <v>772.5</v>
      </c>
    </row>
    <row r="698" spans="1:100" x14ac:dyDescent="0.2">
      <c r="A698" s="9" t="s">
        <v>258</v>
      </c>
      <c r="B698" s="2">
        <v>74</v>
      </c>
      <c r="C698" s="3" t="s">
        <v>95</v>
      </c>
      <c r="D698" s="3" t="s">
        <v>96</v>
      </c>
      <c r="E698" s="2"/>
      <c r="F698" s="2"/>
      <c r="G698" s="2" t="s">
        <v>73</v>
      </c>
      <c r="H698" s="2">
        <v>8</v>
      </c>
      <c r="I698" s="8">
        <v>120.73</v>
      </c>
      <c r="J698" s="8">
        <v>34900</v>
      </c>
      <c r="K698" s="3">
        <v>0</v>
      </c>
      <c r="L698" s="3" t="s">
        <v>3</v>
      </c>
      <c r="M698" s="9" t="s">
        <v>0</v>
      </c>
      <c r="N698" s="9" t="s">
        <v>18</v>
      </c>
      <c r="O698" s="9" t="s">
        <v>268</v>
      </c>
      <c r="S698" s="9" t="s">
        <v>158</v>
      </c>
      <c r="T698" s="10" t="s">
        <v>73</v>
      </c>
      <c r="U698" s="10">
        <v>8</v>
      </c>
      <c r="V698" s="10">
        <v>120</v>
      </c>
      <c r="W698" s="10" t="s">
        <v>710</v>
      </c>
      <c r="X698" s="17">
        <v>44916</v>
      </c>
      <c r="Y698" s="17">
        <v>44924</v>
      </c>
      <c r="Z698" s="19" t="s">
        <v>772</v>
      </c>
      <c r="AA698" s="210">
        <v>51350</v>
      </c>
      <c r="AB698" s="9">
        <v>60</v>
      </c>
      <c r="AC698" s="9">
        <v>54</v>
      </c>
      <c r="AD698" s="17">
        <v>46629</v>
      </c>
      <c r="AE698" s="56">
        <v>772.5</v>
      </c>
      <c r="AF698" s="56"/>
      <c r="AP698" s="11"/>
      <c r="AQ698" s="11"/>
      <c r="AR698" s="11"/>
      <c r="AW698" s="9"/>
      <c r="CS698" s="11">
        <f t="shared" si="53"/>
        <v>0</v>
      </c>
      <c r="CT698" s="22">
        <f t="shared" si="54"/>
        <v>0</v>
      </c>
      <c r="CU698" s="22">
        <f t="shared" si="52"/>
        <v>0</v>
      </c>
      <c r="CV698" s="26">
        <f t="shared" si="55"/>
        <v>772.5</v>
      </c>
    </row>
    <row r="699" spans="1:100" x14ac:dyDescent="0.2">
      <c r="A699" s="9" t="s">
        <v>258</v>
      </c>
      <c r="B699" s="2">
        <v>74</v>
      </c>
      <c r="C699" s="3" t="s">
        <v>95</v>
      </c>
      <c r="D699" s="3" t="s">
        <v>96</v>
      </c>
      <c r="E699" s="2"/>
      <c r="F699" s="2"/>
      <c r="G699" s="2" t="s">
        <v>73</v>
      </c>
      <c r="H699" s="2">
        <v>8</v>
      </c>
      <c r="I699" s="8">
        <v>120.73</v>
      </c>
      <c r="J699" s="8">
        <v>34900</v>
      </c>
      <c r="K699" s="3">
        <v>0</v>
      </c>
      <c r="L699" s="3" t="s">
        <v>3</v>
      </c>
      <c r="M699" s="9" t="s">
        <v>0</v>
      </c>
      <c r="N699" s="9" t="s">
        <v>18</v>
      </c>
      <c r="O699" s="9" t="s">
        <v>268</v>
      </c>
      <c r="S699" s="9" t="s">
        <v>158</v>
      </c>
      <c r="T699" s="10" t="s">
        <v>73</v>
      </c>
      <c r="U699" s="10">
        <v>8</v>
      </c>
      <c r="V699" s="10">
        <v>120</v>
      </c>
      <c r="W699" s="10" t="s">
        <v>710</v>
      </c>
      <c r="X699" s="17">
        <v>44916</v>
      </c>
      <c r="Y699" s="17">
        <v>44924</v>
      </c>
      <c r="Z699" s="19" t="s">
        <v>772</v>
      </c>
      <c r="AA699" s="210">
        <v>51350</v>
      </c>
      <c r="AB699" s="9">
        <v>60</v>
      </c>
      <c r="AC699" s="9">
        <v>55</v>
      </c>
      <c r="AD699" s="17">
        <v>46660</v>
      </c>
      <c r="AE699" s="56">
        <v>772.5</v>
      </c>
      <c r="AF699" s="56"/>
      <c r="AP699" s="11"/>
      <c r="AQ699" s="11"/>
      <c r="AR699" s="11"/>
      <c r="AW699" s="9"/>
      <c r="CS699" s="11">
        <f t="shared" si="53"/>
        <v>0</v>
      </c>
      <c r="CT699" s="22">
        <f t="shared" si="54"/>
        <v>0</v>
      </c>
      <c r="CU699" s="22">
        <f t="shared" si="52"/>
        <v>0</v>
      </c>
      <c r="CV699" s="26">
        <f t="shared" si="55"/>
        <v>772.5</v>
      </c>
    </row>
    <row r="700" spans="1:100" x14ac:dyDescent="0.2">
      <c r="A700" s="9" t="s">
        <v>258</v>
      </c>
      <c r="B700" s="2">
        <v>74</v>
      </c>
      <c r="C700" s="3" t="s">
        <v>95</v>
      </c>
      <c r="D700" s="3" t="s">
        <v>96</v>
      </c>
      <c r="E700" s="2"/>
      <c r="F700" s="2"/>
      <c r="G700" s="2" t="s">
        <v>73</v>
      </c>
      <c r="H700" s="2">
        <v>8</v>
      </c>
      <c r="I700" s="8">
        <v>120.73</v>
      </c>
      <c r="J700" s="8">
        <v>34900</v>
      </c>
      <c r="K700" s="3">
        <v>0</v>
      </c>
      <c r="L700" s="3" t="s">
        <v>3</v>
      </c>
      <c r="M700" s="9" t="s">
        <v>0</v>
      </c>
      <c r="N700" s="9" t="s">
        <v>18</v>
      </c>
      <c r="O700" s="9" t="s">
        <v>268</v>
      </c>
      <c r="S700" s="9" t="s">
        <v>158</v>
      </c>
      <c r="T700" s="10" t="s">
        <v>73</v>
      </c>
      <c r="U700" s="10">
        <v>8</v>
      </c>
      <c r="V700" s="10">
        <v>120</v>
      </c>
      <c r="W700" s="10" t="s">
        <v>710</v>
      </c>
      <c r="X700" s="17">
        <v>44916</v>
      </c>
      <c r="Y700" s="17">
        <v>44924</v>
      </c>
      <c r="Z700" s="19" t="s">
        <v>772</v>
      </c>
      <c r="AA700" s="210">
        <v>51350</v>
      </c>
      <c r="AB700" s="9">
        <v>60</v>
      </c>
      <c r="AC700" s="9">
        <v>56</v>
      </c>
      <c r="AD700" s="17">
        <v>46690</v>
      </c>
      <c r="AE700" s="56">
        <v>772.5</v>
      </c>
      <c r="AF700" s="56"/>
      <c r="AP700" s="11"/>
      <c r="AQ700" s="11"/>
      <c r="AR700" s="11"/>
      <c r="AW700" s="9"/>
      <c r="CS700" s="11">
        <f t="shared" si="53"/>
        <v>0</v>
      </c>
      <c r="CT700" s="22">
        <f t="shared" si="54"/>
        <v>0</v>
      </c>
      <c r="CU700" s="22">
        <f t="shared" si="52"/>
        <v>0</v>
      </c>
      <c r="CV700" s="26">
        <f t="shared" si="55"/>
        <v>772.5</v>
      </c>
    </row>
    <row r="701" spans="1:100" x14ac:dyDescent="0.2">
      <c r="A701" s="9" t="s">
        <v>258</v>
      </c>
      <c r="B701" s="2">
        <v>74</v>
      </c>
      <c r="C701" s="3" t="s">
        <v>95</v>
      </c>
      <c r="D701" s="3" t="s">
        <v>96</v>
      </c>
      <c r="E701" s="2"/>
      <c r="F701" s="2"/>
      <c r="G701" s="2" t="s">
        <v>73</v>
      </c>
      <c r="H701" s="2">
        <v>8</v>
      </c>
      <c r="I701" s="8">
        <v>120.73</v>
      </c>
      <c r="J701" s="8">
        <v>34900</v>
      </c>
      <c r="K701" s="3">
        <v>0</v>
      </c>
      <c r="L701" s="3" t="s">
        <v>3</v>
      </c>
      <c r="M701" s="9" t="s">
        <v>0</v>
      </c>
      <c r="N701" s="9" t="s">
        <v>18</v>
      </c>
      <c r="O701" s="9" t="s">
        <v>268</v>
      </c>
      <c r="S701" s="9" t="s">
        <v>158</v>
      </c>
      <c r="T701" s="10" t="s">
        <v>73</v>
      </c>
      <c r="U701" s="10">
        <v>8</v>
      </c>
      <c r="V701" s="10">
        <v>120</v>
      </c>
      <c r="W701" s="10" t="s">
        <v>710</v>
      </c>
      <c r="X701" s="17">
        <v>44916</v>
      </c>
      <c r="Y701" s="17">
        <v>44924</v>
      </c>
      <c r="Z701" s="19" t="s">
        <v>772</v>
      </c>
      <c r="AA701" s="210">
        <v>51350</v>
      </c>
      <c r="AB701" s="9">
        <v>60</v>
      </c>
      <c r="AC701" s="9">
        <v>57</v>
      </c>
      <c r="AD701" s="17">
        <v>46721</v>
      </c>
      <c r="AE701" s="56">
        <v>772.5</v>
      </c>
      <c r="AF701" s="56"/>
      <c r="AP701" s="11"/>
      <c r="AQ701" s="11"/>
      <c r="AR701" s="11"/>
      <c r="AW701" s="9"/>
      <c r="CS701" s="11">
        <f t="shared" si="53"/>
        <v>0</v>
      </c>
      <c r="CT701" s="22">
        <f t="shared" si="54"/>
        <v>0</v>
      </c>
      <c r="CU701" s="22">
        <f t="shared" si="52"/>
        <v>0</v>
      </c>
      <c r="CV701" s="26">
        <f t="shared" si="55"/>
        <v>772.5</v>
      </c>
    </row>
    <row r="702" spans="1:100" x14ac:dyDescent="0.2">
      <c r="A702" s="9" t="s">
        <v>258</v>
      </c>
      <c r="B702" s="2">
        <v>74</v>
      </c>
      <c r="C702" s="3" t="s">
        <v>95</v>
      </c>
      <c r="D702" s="3" t="s">
        <v>96</v>
      </c>
      <c r="E702" s="2"/>
      <c r="F702" s="2"/>
      <c r="G702" s="2" t="s">
        <v>73</v>
      </c>
      <c r="H702" s="2">
        <v>8</v>
      </c>
      <c r="I702" s="8">
        <v>120.73</v>
      </c>
      <c r="J702" s="8">
        <v>34900</v>
      </c>
      <c r="K702" s="3">
        <v>0</v>
      </c>
      <c r="L702" s="3" t="s">
        <v>3</v>
      </c>
      <c r="M702" s="9" t="s">
        <v>0</v>
      </c>
      <c r="N702" s="9" t="s">
        <v>18</v>
      </c>
      <c r="O702" s="9" t="s">
        <v>268</v>
      </c>
      <c r="S702" s="9" t="s">
        <v>158</v>
      </c>
      <c r="T702" s="10" t="s">
        <v>73</v>
      </c>
      <c r="U702" s="10">
        <v>8</v>
      </c>
      <c r="V702" s="10">
        <v>120</v>
      </c>
      <c r="W702" s="10" t="s">
        <v>710</v>
      </c>
      <c r="X702" s="17">
        <v>44916</v>
      </c>
      <c r="Y702" s="17">
        <v>44924</v>
      </c>
      <c r="Z702" s="19" t="s">
        <v>772</v>
      </c>
      <c r="AA702" s="210">
        <v>51350</v>
      </c>
      <c r="AB702" s="9">
        <v>60</v>
      </c>
      <c r="AC702" s="9">
        <v>58</v>
      </c>
      <c r="AD702" s="17">
        <v>46751</v>
      </c>
      <c r="AE702" s="56">
        <v>772.5</v>
      </c>
      <c r="AF702" s="56"/>
      <c r="AP702" s="11"/>
      <c r="AQ702" s="11"/>
      <c r="AR702" s="11"/>
      <c r="AW702" s="9"/>
      <c r="CS702" s="11">
        <f t="shared" si="53"/>
        <v>0</v>
      </c>
      <c r="CT702" s="22">
        <f t="shared" si="54"/>
        <v>0</v>
      </c>
      <c r="CU702" s="22">
        <f t="shared" si="52"/>
        <v>0</v>
      </c>
      <c r="CV702" s="26">
        <f t="shared" si="55"/>
        <v>772.5</v>
      </c>
    </row>
    <row r="703" spans="1:100" x14ac:dyDescent="0.2">
      <c r="A703" s="9" t="s">
        <v>258</v>
      </c>
      <c r="B703" s="2">
        <v>74</v>
      </c>
      <c r="C703" s="3" t="s">
        <v>95</v>
      </c>
      <c r="D703" s="3" t="s">
        <v>96</v>
      </c>
      <c r="E703" s="2"/>
      <c r="F703" s="2"/>
      <c r="G703" s="2" t="s">
        <v>73</v>
      </c>
      <c r="H703" s="2">
        <v>8</v>
      </c>
      <c r="I703" s="8">
        <v>120.73</v>
      </c>
      <c r="J703" s="8">
        <v>34900</v>
      </c>
      <c r="K703" s="3">
        <v>0</v>
      </c>
      <c r="L703" s="3" t="s">
        <v>3</v>
      </c>
      <c r="M703" s="9" t="s">
        <v>0</v>
      </c>
      <c r="N703" s="9" t="s">
        <v>18</v>
      </c>
      <c r="O703" s="9" t="s">
        <v>268</v>
      </c>
      <c r="S703" s="9" t="s">
        <v>158</v>
      </c>
      <c r="T703" s="10" t="s">
        <v>73</v>
      </c>
      <c r="U703" s="10">
        <v>8</v>
      </c>
      <c r="V703" s="10">
        <v>120</v>
      </c>
      <c r="W703" s="10" t="s">
        <v>710</v>
      </c>
      <c r="X703" s="17">
        <v>44916</v>
      </c>
      <c r="Y703" s="17">
        <v>44924</v>
      </c>
      <c r="Z703" s="19" t="s">
        <v>772</v>
      </c>
      <c r="AA703" s="210">
        <v>51350</v>
      </c>
      <c r="AB703" s="9">
        <v>60</v>
      </c>
      <c r="AC703" s="9">
        <v>59</v>
      </c>
      <c r="AD703" s="17">
        <v>46782</v>
      </c>
      <c r="AE703" s="56">
        <v>772.5</v>
      </c>
      <c r="AF703" s="56"/>
      <c r="AP703" s="11"/>
      <c r="AQ703" s="11"/>
      <c r="AR703" s="11"/>
      <c r="AW703" s="9"/>
      <c r="CS703" s="11">
        <f t="shared" si="53"/>
        <v>0</v>
      </c>
      <c r="CT703" s="22">
        <f t="shared" si="54"/>
        <v>0</v>
      </c>
      <c r="CU703" s="22">
        <f t="shared" si="52"/>
        <v>0</v>
      </c>
      <c r="CV703" s="26">
        <f t="shared" si="55"/>
        <v>772.5</v>
      </c>
    </row>
    <row r="704" spans="1:100" x14ac:dyDescent="0.2">
      <c r="A704" s="9" t="s">
        <v>258</v>
      </c>
      <c r="B704" s="2">
        <v>74</v>
      </c>
      <c r="C704" s="3" t="s">
        <v>95</v>
      </c>
      <c r="D704" s="3" t="s">
        <v>96</v>
      </c>
      <c r="E704" s="2"/>
      <c r="F704" s="2"/>
      <c r="G704" s="2" t="s">
        <v>73</v>
      </c>
      <c r="H704" s="2">
        <v>8</v>
      </c>
      <c r="I704" s="8">
        <v>120.73</v>
      </c>
      <c r="J704" s="8">
        <v>34900</v>
      </c>
      <c r="K704" s="3">
        <v>0</v>
      </c>
      <c r="L704" s="3" t="s">
        <v>3</v>
      </c>
      <c r="M704" s="9" t="s">
        <v>0</v>
      </c>
      <c r="N704" s="9" t="s">
        <v>18</v>
      </c>
      <c r="O704" s="9" t="s">
        <v>268</v>
      </c>
      <c r="S704" s="9" t="s">
        <v>158</v>
      </c>
      <c r="T704" s="10" t="s">
        <v>73</v>
      </c>
      <c r="U704" s="10">
        <v>8</v>
      </c>
      <c r="V704" s="10">
        <v>120</v>
      </c>
      <c r="W704" s="10" t="s">
        <v>710</v>
      </c>
      <c r="X704" s="17">
        <v>44916</v>
      </c>
      <c r="Y704" s="17">
        <v>44924</v>
      </c>
      <c r="Z704" s="19" t="s">
        <v>772</v>
      </c>
      <c r="AA704" s="210">
        <v>51350</v>
      </c>
      <c r="AB704" s="9">
        <v>60</v>
      </c>
      <c r="AC704" s="9">
        <v>60</v>
      </c>
      <c r="AD704" s="17">
        <v>46812</v>
      </c>
      <c r="AE704" s="56">
        <v>772.5</v>
      </c>
      <c r="AF704" s="56"/>
      <c r="AP704" s="11"/>
      <c r="AQ704" s="11"/>
      <c r="AR704" s="11"/>
      <c r="AW704" s="9"/>
      <c r="CS704" s="11">
        <f t="shared" si="53"/>
        <v>0</v>
      </c>
      <c r="CT704" s="22">
        <f t="shared" si="54"/>
        <v>0</v>
      </c>
      <c r="CU704" s="22">
        <f t="shared" si="52"/>
        <v>0</v>
      </c>
      <c r="CV704" s="26">
        <f t="shared" si="55"/>
        <v>772.5</v>
      </c>
    </row>
    <row r="705" spans="1:103" x14ac:dyDescent="0.2">
      <c r="A705" s="9" t="s">
        <v>265</v>
      </c>
      <c r="B705" s="2">
        <v>72</v>
      </c>
      <c r="C705" s="3" t="s">
        <v>95</v>
      </c>
      <c r="D705" s="3" t="s">
        <v>96</v>
      </c>
      <c r="E705" s="2"/>
      <c r="F705" s="2"/>
      <c r="G705" s="2" t="s">
        <v>73</v>
      </c>
      <c r="H705" s="2">
        <v>6</v>
      </c>
      <c r="I705" s="8">
        <v>120.73</v>
      </c>
      <c r="J705" s="8">
        <v>34900</v>
      </c>
      <c r="K705" s="3">
        <v>0</v>
      </c>
      <c r="L705" s="3" t="s">
        <v>3</v>
      </c>
      <c r="M705" s="9" t="s">
        <v>0</v>
      </c>
      <c r="N705" s="9" t="s">
        <v>19</v>
      </c>
      <c r="O705" s="9" t="s">
        <v>270</v>
      </c>
      <c r="P705" s="9" t="s">
        <v>0</v>
      </c>
      <c r="Q705" s="30" t="s">
        <v>271</v>
      </c>
      <c r="R705" s="9" t="s">
        <v>272</v>
      </c>
      <c r="S705" s="9" t="s">
        <v>158</v>
      </c>
      <c r="T705" s="10" t="s">
        <v>73</v>
      </c>
      <c r="U705" s="10">
        <v>6</v>
      </c>
      <c r="V705" s="10">
        <v>120.73</v>
      </c>
      <c r="W705" s="10" t="s">
        <v>710</v>
      </c>
      <c r="X705" s="17">
        <v>45016</v>
      </c>
      <c r="Y705" s="17">
        <v>45016</v>
      </c>
      <c r="Z705" s="19" t="s">
        <v>772</v>
      </c>
      <c r="AA705" s="210">
        <v>43395</v>
      </c>
      <c r="AB705" s="9">
        <v>36</v>
      </c>
      <c r="AC705" s="9">
        <v>0</v>
      </c>
      <c r="AD705" s="17">
        <v>45016</v>
      </c>
      <c r="AE705" s="56">
        <v>7000</v>
      </c>
      <c r="AF705" s="56"/>
      <c r="AH705" s="17">
        <v>45016</v>
      </c>
      <c r="AI705" s="9">
        <v>44319047</v>
      </c>
      <c r="AJ705" s="9" t="s">
        <v>2630</v>
      </c>
      <c r="AK705" s="9" t="s">
        <v>2604</v>
      </c>
      <c r="AL705" s="11">
        <v>3000</v>
      </c>
      <c r="AN705" s="11" t="s">
        <v>2617</v>
      </c>
      <c r="AP705" s="17">
        <v>45019</v>
      </c>
      <c r="AQ705" s="9">
        <v>44319047</v>
      </c>
      <c r="AR705" s="9" t="s">
        <v>2630</v>
      </c>
      <c r="AS705" s="9" t="s">
        <v>2605</v>
      </c>
      <c r="AT705" s="11">
        <v>4000</v>
      </c>
      <c r="AV705" s="11" t="s">
        <v>2618</v>
      </c>
      <c r="AW705" s="18">
        <v>45019</v>
      </c>
      <c r="AX705" s="10" t="s">
        <v>2679</v>
      </c>
      <c r="AY705" s="11">
        <v>10795.55</v>
      </c>
      <c r="AZ705" s="9">
        <v>3.7549999999999999</v>
      </c>
      <c r="BA705" s="11">
        <f>+AY705/AZ705</f>
        <v>2874.9800266311581</v>
      </c>
      <c r="BB705" s="11" t="s">
        <v>2681</v>
      </c>
      <c r="BC705" s="18">
        <v>45019</v>
      </c>
      <c r="BD705" s="10" t="s">
        <v>2680</v>
      </c>
      <c r="BE705" s="11">
        <v>13878.55</v>
      </c>
      <c r="BF705" s="9">
        <v>3.7549999999999999</v>
      </c>
      <c r="BG705" s="9">
        <f>+BE705/BF705</f>
        <v>3696.0186418109188</v>
      </c>
      <c r="BH705" s="11" t="s">
        <v>2681</v>
      </c>
      <c r="CS705" s="11">
        <f t="shared" si="53"/>
        <v>7000</v>
      </c>
      <c r="CT705" s="22">
        <f t="shared" si="54"/>
        <v>6570.9986684420765</v>
      </c>
      <c r="CU705" s="22">
        <f t="shared" si="52"/>
        <v>429.00133155792355</v>
      </c>
      <c r="CV705" s="26">
        <f t="shared" si="55"/>
        <v>0</v>
      </c>
      <c r="CW705" s="9" t="s">
        <v>3499</v>
      </c>
      <c r="CY705" s="9" t="s">
        <v>3493</v>
      </c>
    </row>
    <row r="706" spans="1:103" x14ac:dyDescent="0.2">
      <c r="A706" s="9" t="s">
        <v>265</v>
      </c>
      <c r="B706" s="2">
        <v>72</v>
      </c>
      <c r="C706" s="3" t="s">
        <v>95</v>
      </c>
      <c r="D706" s="3" t="s">
        <v>96</v>
      </c>
      <c r="E706" s="2"/>
      <c r="F706" s="2"/>
      <c r="G706" s="2" t="s">
        <v>73</v>
      </c>
      <c r="H706" s="2">
        <v>6</v>
      </c>
      <c r="I706" s="8">
        <v>120.73</v>
      </c>
      <c r="J706" s="8">
        <v>34900</v>
      </c>
      <c r="K706" s="3">
        <v>0</v>
      </c>
      <c r="L706" s="3" t="s">
        <v>3</v>
      </c>
      <c r="M706" s="9" t="s">
        <v>0</v>
      </c>
      <c r="N706" s="9" t="s">
        <v>19</v>
      </c>
      <c r="O706" s="9" t="s">
        <v>270</v>
      </c>
      <c r="P706" s="9" t="s">
        <v>0</v>
      </c>
      <c r="Q706" s="30" t="s">
        <v>271</v>
      </c>
      <c r="R706" s="9" t="s">
        <v>272</v>
      </c>
      <c r="S706" s="9" t="s">
        <v>158</v>
      </c>
      <c r="T706" s="10" t="s">
        <v>73</v>
      </c>
      <c r="U706" s="10">
        <v>6</v>
      </c>
      <c r="V706" s="10">
        <v>120.73</v>
      </c>
      <c r="W706" s="10" t="s">
        <v>710</v>
      </c>
      <c r="X706" s="17">
        <v>45016</v>
      </c>
      <c r="Y706" s="17">
        <v>45016</v>
      </c>
      <c r="Z706" s="19" t="s">
        <v>772</v>
      </c>
      <c r="AA706" s="210">
        <v>43395</v>
      </c>
      <c r="AB706" s="9">
        <v>36</v>
      </c>
      <c r="AC706" s="9">
        <v>1</v>
      </c>
      <c r="AD706" s="17">
        <v>45076</v>
      </c>
      <c r="AE706" s="56">
        <v>193.8</v>
      </c>
      <c r="AF706" s="56"/>
      <c r="AH706" s="17">
        <v>45052</v>
      </c>
      <c r="AI706" s="9">
        <v>44319047</v>
      </c>
      <c r="AJ706" s="9" t="s">
        <v>2630</v>
      </c>
      <c r="AK706" s="9" t="s">
        <v>2606</v>
      </c>
      <c r="AL706" s="11">
        <v>193.8</v>
      </c>
      <c r="AN706" s="11" t="s">
        <v>2619</v>
      </c>
      <c r="AP706" s="11"/>
      <c r="AQ706" s="11"/>
      <c r="AR706" s="11"/>
      <c r="AW706" s="17">
        <v>45054</v>
      </c>
      <c r="AX706" s="9">
        <v>1491</v>
      </c>
      <c r="AY706" s="11"/>
      <c r="BA706" s="11">
        <v>193.8</v>
      </c>
      <c r="BD706" s="9"/>
      <c r="CS706" s="11">
        <f t="shared" si="53"/>
        <v>193.8</v>
      </c>
      <c r="CT706" s="22">
        <f t="shared" si="54"/>
        <v>193.8</v>
      </c>
      <c r="CU706" s="22">
        <f t="shared" si="52"/>
        <v>0</v>
      </c>
      <c r="CV706" s="26">
        <f t="shared" si="55"/>
        <v>0</v>
      </c>
    </row>
    <row r="707" spans="1:103" x14ac:dyDescent="0.2">
      <c r="A707" s="9" t="s">
        <v>265</v>
      </c>
      <c r="B707" s="2">
        <v>72</v>
      </c>
      <c r="C707" s="3" t="s">
        <v>95</v>
      </c>
      <c r="D707" s="3" t="s">
        <v>96</v>
      </c>
      <c r="E707" s="2"/>
      <c r="F707" s="2"/>
      <c r="G707" s="2" t="s">
        <v>73</v>
      </c>
      <c r="H707" s="2">
        <v>6</v>
      </c>
      <c r="I707" s="8">
        <v>120.73</v>
      </c>
      <c r="J707" s="8">
        <v>34900</v>
      </c>
      <c r="K707" s="3">
        <v>0</v>
      </c>
      <c r="L707" s="3" t="s">
        <v>3</v>
      </c>
      <c r="M707" s="9" t="s">
        <v>0</v>
      </c>
      <c r="N707" s="9" t="s">
        <v>19</v>
      </c>
      <c r="O707" s="9" t="s">
        <v>270</v>
      </c>
      <c r="P707" s="9" t="s">
        <v>0</v>
      </c>
      <c r="Q707" s="30" t="s">
        <v>271</v>
      </c>
      <c r="R707" s="9" t="s">
        <v>272</v>
      </c>
      <c r="S707" s="9" t="s">
        <v>158</v>
      </c>
      <c r="T707" s="10" t="s">
        <v>73</v>
      </c>
      <c r="U707" s="10">
        <v>6</v>
      </c>
      <c r="V707" s="10">
        <v>120.73</v>
      </c>
      <c r="W707" s="10" t="s">
        <v>710</v>
      </c>
      <c r="X707" s="17">
        <v>45016</v>
      </c>
      <c r="Y707" s="17">
        <v>45016</v>
      </c>
      <c r="Z707" s="19" t="s">
        <v>772</v>
      </c>
      <c r="AA707" s="210">
        <v>43395</v>
      </c>
      <c r="AB707" s="9">
        <v>36</v>
      </c>
      <c r="AC707" s="9">
        <v>2</v>
      </c>
      <c r="AD707" s="17">
        <v>45107</v>
      </c>
      <c r="AE707" s="56">
        <v>193.8</v>
      </c>
      <c r="AF707" s="56"/>
      <c r="AH707" s="17">
        <v>45052</v>
      </c>
      <c r="AI707" s="9">
        <v>44319047</v>
      </c>
      <c r="AJ707" s="9" t="s">
        <v>2630</v>
      </c>
      <c r="AK707" s="9" t="s">
        <v>2607</v>
      </c>
      <c r="AL707" s="11">
        <v>193.8</v>
      </c>
      <c r="AN707" s="11" t="s">
        <v>2620</v>
      </c>
      <c r="AP707" s="11"/>
      <c r="AQ707" s="11"/>
      <c r="AR707" s="11"/>
      <c r="AW707" s="17">
        <v>45054</v>
      </c>
      <c r="AX707" s="9">
        <v>1491</v>
      </c>
      <c r="AY707" s="11"/>
      <c r="BA707" s="11">
        <v>193.8</v>
      </c>
      <c r="BD707" s="9"/>
      <c r="CS707" s="11">
        <f t="shared" si="53"/>
        <v>193.8</v>
      </c>
      <c r="CT707" s="22">
        <f t="shared" si="54"/>
        <v>193.8</v>
      </c>
      <c r="CU707" s="22">
        <f t="shared" si="52"/>
        <v>0</v>
      </c>
      <c r="CV707" s="26">
        <f t="shared" si="55"/>
        <v>0</v>
      </c>
    </row>
    <row r="708" spans="1:103" x14ac:dyDescent="0.2">
      <c r="A708" s="9" t="s">
        <v>265</v>
      </c>
      <c r="B708" s="2">
        <v>72</v>
      </c>
      <c r="C708" s="3" t="s">
        <v>95</v>
      </c>
      <c r="D708" s="3" t="s">
        <v>96</v>
      </c>
      <c r="E708" s="2"/>
      <c r="F708" s="2"/>
      <c r="G708" s="2" t="s">
        <v>73</v>
      </c>
      <c r="H708" s="2">
        <v>6</v>
      </c>
      <c r="I708" s="8">
        <v>120.73</v>
      </c>
      <c r="J708" s="8">
        <v>34900</v>
      </c>
      <c r="K708" s="3">
        <v>0</v>
      </c>
      <c r="L708" s="3" t="s">
        <v>3</v>
      </c>
      <c r="M708" s="9" t="s">
        <v>0</v>
      </c>
      <c r="N708" s="9" t="s">
        <v>19</v>
      </c>
      <c r="O708" s="9" t="s">
        <v>270</v>
      </c>
      <c r="P708" s="9" t="s">
        <v>0</v>
      </c>
      <c r="Q708" s="30" t="s">
        <v>271</v>
      </c>
      <c r="R708" s="9" t="s">
        <v>272</v>
      </c>
      <c r="S708" s="9" t="s">
        <v>158</v>
      </c>
      <c r="T708" s="10" t="s">
        <v>73</v>
      </c>
      <c r="U708" s="10">
        <v>6</v>
      </c>
      <c r="V708" s="10">
        <v>120.73</v>
      </c>
      <c r="W708" s="10" t="s">
        <v>710</v>
      </c>
      <c r="X708" s="17">
        <v>45016</v>
      </c>
      <c r="Y708" s="17">
        <v>45016</v>
      </c>
      <c r="Z708" s="19" t="s">
        <v>772</v>
      </c>
      <c r="AA708" s="210">
        <v>43395</v>
      </c>
      <c r="AB708" s="9">
        <v>36</v>
      </c>
      <c r="AC708" s="9">
        <v>3</v>
      </c>
      <c r="AD708" s="17">
        <v>45137</v>
      </c>
      <c r="AE708" s="56">
        <v>193.8</v>
      </c>
      <c r="AF708" s="56"/>
      <c r="AH708" s="17">
        <v>45052</v>
      </c>
      <c r="AI708" s="9">
        <v>44319047</v>
      </c>
      <c r="AJ708" s="9" t="s">
        <v>2630</v>
      </c>
      <c r="AK708" s="9" t="s">
        <v>2608</v>
      </c>
      <c r="AL708" s="11">
        <v>193.8</v>
      </c>
      <c r="AN708" s="11" t="s">
        <v>2621</v>
      </c>
      <c r="AP708" s="11"/>
      <c r="AQ708" s="11"/>
      <c r="AR708" s="11"/>
      <c r="AW708" s="17">
        <v>45054</v>
      </c>
      <c r="AX708" s="9">
        <v>1491</v>
      </c>
      <c r="AY708" s="11"/>
      <c r="BA708" s="11">
        <v>193.8</v>
      </c>
      <c r="BD708" s="9"/>
      <c r="CS708" s="11">
        <f t="shared" si="53"/>
        <v>193.8</v>
      </c>
      <c r="CT708" s="22">
        <f t="shared" si="54"/>
        <v>193.8</v>
      </c>
      <c r="CU708" s="22">
        <f t="shared" si="52"/>
        <v>0</v>
      </c>
      <c r="CV708" s="26">
        <f t="shared" si="55"/>
        <v>0</v>
      </c>
    </row>
    <row r="709" spans="1:103" x14ac:dyDescent="0.2">
      <c r="A709" s="9" t="s">
        <v>265</v>
      </c>
      <c r="B709" s="2">
        <v>72</v>
      </c>
      <c r="C709" s="3" t="s">
        <v>95</v>
      </c>
      <c r="D709" s="3" t="s">
        <v>96</v>
      </c>
      <c r="E709" s="2"/>
      <c r="F709" s="2"/>
      <c r="G709" s="2" t="s">
        <v>73</v>
      </c>
      <c r="H709" s="2">
        <v>6</v>
      </c>
      <c r="I709" s="8">
        <v>120.73</v>
      </c>
      <c r="J709" s="8">
        <v>34900</v>
      </c>
      <c r="K709" s="3">
        <v>0</v>
      </c>
      <c r="L709" s="3" t="s">
        <v>3</v>
      </c>
      <c r="M709" s="9" t="s">
        <v>0</v>
      </c>
      <c r="N709" s="9" t="s">
        <v>19</v>
      </c>
      <c r="O709" s="9" t="s">
        <v>270</v>
      </c>
      <c r="P709" s="9" t="s">
        <v>0</v>
      </c>
      <c r="Q709" s="30" t="s">
        <v>271</v>
      </c>
      <c r="R709" s="9" t="s">
        <v>272</v>
      </c>
      <c r="S709" s="9" t="s">
        <v>158</v>
      </c>
      <c r="T709" s="10" t="s">
        <v>73</v>
      </c>
      <c r="U709" s="10">
        <v>6</v>
      </c>
      <c r="V709" s="10">
        <v>120.73</v>
      </c>
      <c r="W709" s="10" t="s">
        <v>710</v>
      </c>
      <c r="X709" s="17">
        <v>45016</v>
      </c>
      <c r="Y709" s="17">
        <v>45016</v>
      </c>
      <c r="Z709" s="19" t="s">
        <v>772</v>
      </c>
      <c r="AA709" s="210">
        <v>43395</v>
      </c>
      <c r="AB709" s="9">
        <v>36</v>
      </c>
      <c r="AC709" s="9">
        <v>4</v>
      </c>
      <c r="AD709" s="17">
        <v>45168</v>
      </c>
      <c r="AE709" s="56">
        <v>193.8</v>
      </c>
      <c r="AF709" s="56"/>
      <c r="AH709" s="17">
        <v>45052</v>
      </c>
      <c r="AI709" s="9">
        <v>44319047</v>
      </c>
      <c r="AJ709" s="9" t="s">
        <v>2630</v>
      </c>
      <c r="AK709" s="9" t="s">
        <v>2609</v>
      </c>
      <c r="AL709" s="11">
        <v>193.8</v>
      </c>
      <c r="AN709" s="11" t="s">
        <v>2622</v>
      </c>
      <c r="AP709" s="11"/>
      <c r="AQ709" s="11"/>
      <c r="AR709" s="11"/>
      <c r="AW709" s="17">
        <v>45054</v>
      </c>
      <c r="AX709" s="9">
        <v>1491</v>
      </c>
      <c r="AY709" s="11"/>
      <c r="BA709" s="11">
        <v>193.8</v>
      </c>
      <c r="BD709" s="9"/>
      <c r="CS709" s="11">
        <f t="shared" si="53"/>
        <v>193.8</v>
      </c>
      <c r="CT709" s="22">
        <f t="shared" si="54"/>
        <v>193.8</v>
      </c>
      <c r="CU709" s="22">
        <f t="shared" si="52"/>
        <v>0</v>
      </c>
      <c r="CV709" s="26">
        <f t="shared" si="55"/>
        <v>0</v>
      </c>
    </row>
    <row r="710" spans="1:103" x14ac:dyDescent="0.2">
      <c r="A710" s="9" t="s">
        <v>265</v>
      </c>
      <c r="B710" s="2">
        <v>72</v>
      </c>
      <c r="C710" s="3" t="s">
        <v>95</v>
      </c>
      <c r="D710" s="3" t="s">
        <v>96</v>
      </c>
      <c r="E710" s="2"/>
      <c r="F710" s="2"/>
      <c r="G710" s="2" t="s">
        <v>73</v>
      </c>
      <c r="H710" s="2">
        <v>6</v>
      </c>
      <c r="I710" s="8">
        <v>120.73</v>
      </c>
      <c r="J710" s="8">
        <v>34900</v>
      </c>
      <c r="K710" s="3">
        <v>0</v>
      </c>
      <c r="L710" s="3" t="s">
        <v>3</v>
      </c>
      <c r="M710" s="9" t="s">
        <v>0</v>
      </c>
      <c r="N710" s="9" t="s">
        <v>19</v>
      </c>
      <c r="O710" s="9" t="s">
        <v>270</v>
      </c>
      <c r="P710" s="9" t="s">
        <v>0</v>
      </c>
      <c r="Q710" s="30" t="s">
        <v>271</v>
      </c>
      <c r="R710" s="9" t="s">
        <v>272</v>
      </c>
      <c r="S710" s="9" t="s">
        <v>158</v>
      </c>
      <c r="T710" s="10" t="s">
        <v>73</v>
      </c>
      <c r="U710" s="10">
        <v>6</v>
      </c>
      <c r="V710" s="10">
        <v>120.73</v>
      </c>
      <c r="W710" s="10" t="s">
        <v>710</v>
      </c>
      <c r="X710" s="17">
        <v>45016</v>
      </c>
      <c r="Y710" s="17">
        <v>45016</v>
      </c>
      <c r="Z710" s="19" t="s">
        <v>772</v>
      </c>
      <c r="AA710" s="210">
        <v>43395</v>
      </c>
      <c r="AB710" s="9">
        <v>36</v>
      </c>
      <c r="AC710" s="9">
        <v>5</v>
      </c>
      <c r="AD710" s="17">
        <v>45199</v>
      </c>
      <c r="AE710" s="56">
        <v>193.8</v>
      </c>
      <c r="AF710" s="56"/>
      <c r="AH710" s="17">
        <v>45052</v>
      </c>
      <c r="AI710" s="9">
        <v>44319047</v>
      </c>
      <c r="AJ710" s="9" t="s">
        <v>2630</v>
      </c>
      <c r="AK710" s="9" t="s">
        <v>2610</v>
      </c>
      <c r="AL710" s="11">
        <v>193.8</v>
      </c>
      <c r="AN710" s="11" t="s">
        <v>2623</v>
      </c>
      <c r="AP710" s="11"/>
      <c r="AQ710" s="11"/>
      <c r="AR710" s="11"/>
      <c r="AW710" s="17">
        <v>45054</v>
      </c>
      <c r="AX710" s="9">
        <v>1491</v>
      </c>
      <c r="AY710" s="11"/>
      <c r="BA710" s="11">
        <v>193.8</v>
      </c>
      <c r="BD710" s="9"/>
      <c r="CS710" s="11">
        <f t="shared" si="53"/>
        <v>193.8</v>
      </c>
      <c r="CT710" s="22">
        <f t="shared" si="54"/>
        <v>193.8</v>
      </c>
      <c r="CU710" s="22">
        <f t="shared" si="52"/>
        <v>0</v>
      </c>
      <c r="CV710" s="26">
        <f t="shared" si="55"/>
        <v>0</v>
      </c>
    </row>
    <row r="711" spans="1:103" x14ac:dyDescent="0.2">
      <c r="A711" s="9" t="s">
        <v>265</v>
      </c>
      <c r="B711" s="2">
        <v>72</v>
      </c>
      <c r="C711" s="3" t="s">
        <v>95</v>
      </c>
      <c r="D711" s="3" t="s">
        <v>96</v>
      </c>
      <c r="E711" s="2"/>
      <c r="F711" s="2"/>
      <c r="G711" s="2" t="s">
        <v>73</v>
      </c>
      <c r="H711" s="2">
        <v>6</v>
      </c>
      <c r="I711" s="8">
        <v>120.73</v>
      </c>
      <c r="J711" s="8">
        <v>34900</v>
      </c>
      <c r="K711" s="3">
        <v>0</v>
      </c>
      <c r="L711" s="3" t="s">
        <v>3</v>
      </c>
      <c r="M711" s="9" t="s">
        <v>0</v>
      </c>
      <c r="N711" s="9" t="s">
        <v>19</v>
      </c>
      <c r="O711" s="9" t="s">
        <v>270</v>
      </c>
      <c r="P711" s="9" t="s">
        <v>0</v>
      </c>
      <c r="Q711" s="30" t="s">
        <v>271</v>
      </c>
      <c r="R711" s="9" t="s">
        <v>272</v>
      </c>
      <c r="S711" s="9" t="s">
        <v>158</v>
      </c>
      <c r="T711" s="10" t="s">
        <v>73</v>
      </c>
      <c r="U711" s="10">
        <v>6</v>
      </c>
      <c r="V711" s="10">
        <v>120.73</v>
      </c>
      <c r="W711" s="10" t="s">
        <v>710</v>
      </c>
      <c r="X711" s="17">
        <v>45016</v>
      </c>
      <c r="Y711" s="17">
        <v>45016</v>
      </c>
      <c r="Z711" s="19" t="s">
        <v>772</v>
      </c>
      <c r="AA711" s="210">
        <v>43395</v>
      </c>
      <c r="AB711" s="9">
        <v>36</v>
      </c>
      <c r="AC711" s="9">
        <v>6</v>
      </c>
      <c r="AD711" s="17">
        <v>45229</v>
      </c>
      <c r="AE711" s="56">
        <v>193.8</v>
      </c>
      <c r="AF711" s="56"/>
      <c r="AH711" s="17">
        <v>45052</v>
      </c>
      <c r="AI711" s="9">
        <v>44319047</v>
      </c>
      <c r="AJ711" s="9" t="s">
        <v>2630</v>
      </c>
      <c r="AK711" s="9" t="s">
        <v>2611</v>
      </c>
      <c r="AL711" s="11">
        <v>193.8</v>
      </c>
      <c r="AN711" s="11" t="s">
        <v>2624</v>
      </c>
      <c r="AP711" s="11"/>
      <c r="AQ711" s="11"/>
      <c r="AR711" s="11"/>
      <c r="AW711" s="17">
        <v>45054</v>
      </c>
      <c r="AX711" s="9">
        <v>1491</v>
      </c>
      <c r="AY711" s="11"/>
      <c r="BA711" s="11">
        <v>193.8</v>
      </c>
      <c r="BD711" s="9"/>
      <c r="CS711" s="11">
        <f t="shared" si="53"/>
        <v>193.8</v>
      </c>
      <c r="CT711" s="22">
        <f t="shared" si="54"/>
        <v>193.8</v>
      </c>
      <c r="CU711" s="22">
        <f t="shared" si="52"/>
        <v>0</v>
      </c>
      <c r="CV711" s="26">
        <f t="shared" si="55"/>
        <v>0</v>
      </c>
    </row>
    <row r="712" spans="1:103" x14ac:dyDescent="0.2">
      <c r="A712" s="9" t="s">
        <v>265</v>
      </c>
      <c r="B712" s="2">
        <v>72</v>
      </c>
      <c r="C712" s="3" t="s">
        <v>95</v>
      </c>
      <c r="D712" s="3" t="s">
        <v>96</v>
      </c>
      <c r="E712" s="2"/>
      <c r="F712" s="2"/>
      <c r="G712" s="2" t="s">
        <v>73</v>
      </c>
      <c r="H712" s="2">
        <v>6</v>
      </c>
      <c r="I712" s="8">
        <v>120.73</v>
      </c>
      <c r="J712" s="8">
        <v>34900</v>
      </c>
      <c r="K712" s="3">
        <v>0</v>
      </c>
      <c r="L712" s="3" t="s">
        <v>3</v>
      </c>
      <c r="M712" s="9" t="s">
        <v>0</v>
      </c>
      <c r="N712" s="9" t="s">
        <v>19</v>
      </c>
      <c r="O712" s="9" t="s">
        <v>270</v>
      </c>
      <c r="P712" s="9" t="s">
        <v>0</v>
      </c>
      <c r="Q712" s="30" t="s">
        <v>271</v>
      </c>
      <c r="R712" s="9" t="s">
        <v>272</v>
      </c>
      <c r="S712" s="9" t="s">
        <v>158</v>
      </c>
      <c r="T712" s="10" t="s">
        <v>73</v>
      </c>
      <c r="U712" s="10">
        <v>6</v>
      </c>
      <c r="V712" s="10">
        <v>120.73</v>
      </c>
      <c r="W712" s="10" t="s">
        <v>710</v>
      </c>
      <c r="X712" s="17">
        <v>45016</v>
      </c>
      <c r="Y712" s="17">
        <v>45016</v>
      </c>
      <c r="Z712" s="19" t="s">
        <v>772</v>
      </c>
      <c r="AA712" s="210">
        <v>43395</v>
      </c>
      <c r="AB712" s="9">
        <v>36</v>
      </c>
      <c r="AC712" s="9">
        <v>7</v>
      </c>
      <c r="AD712" s="17">
        <v>45260</v>
      </c>
      <c r="AE712" s="56">
        <v>193.8</v>
      </c>
      <c r="AF712" s="56"/>
      <c r="AH712" s="17">
        <v>45052</v>
      </c>
      <c r="AI712" s="9">
        <v>44319047</v>
      </c>
      <c r="AJ712" s="9" t="s">
        <v>2630</v>
      </c>
      <c r="AK712" s="9" t="s">
        <v>2612</v>
      </c>
      <c r="AL712" s="11">
        <v>193.8</v>
      </c>
      <c r="AN712" s="11" t="s">
        <v>2625</v>
      </c>
      <c r="AP712" s="11"/>
      <c r="AQ712" s="11"/>
      <c r="AR712" s="11"/>
      <c r="AW712" s="17">
        <v>45054</v>
      </c>
      <c r="AX712" s="9">
        <v>1491</v>
      </c>
      <c r="AY712" s="11"/>
      <c r="BA712" s="11">
        <v>193.8</v>
      </c>
      <c r="BD712" s="9"/>
      <c r="CS712" s="11">
        <f t="shared" si="53"/>
        <v>193.8</v>
      </c>
      <c r="CT712" s="22">
        <f t="shared" si="54"/>
        <v>193.8</v>
      </c>
      <c r="CU712" s="22">
        <f t="shared" si="52"/>
        <v>0</v>
      </c>
      <c r="CV712" s="26">
        <f t="shared" si="55"/>
        <v>0</v>
      </c>
    </row>
    <row r="713" spans="1:103" x14ac:dyDescent="0.2">
      <c r="A713" s="9" t="s">
        <v>265</v>
      </c>
      <c r="B713" s="2">
        <v>72</v>
      </c>
      <c r="C713" s="3" t="s">
        <v>95</v>
      </c>
      <c r="D713" s="3" t="s">
        <v>96</v>
      </c>
      <c r="E713" s="2"/>
      <c r="F713" s="2"/>
      <c r="G713" s="2" t="s">
        <v>73</v>
      </c>
      <c r="H713" s="2">
        <v>6</v>
      </c>
      <c r="I713" s="8">
        <v>120.73</v>
      </c>
      <c r="J713" s="8">
        <v>34900</v>
      </c>
      <c r="K713" s="3">
        <v>0</v>
      </c>
      <c r="L713" s="3" t="s">
        <v>3</v>
      </c>
      <c r="M713" s="9" t="s">
        <v>0</v>
      </c>
      <c r="N713" s="9" t="s">
        <v>19</v>
      </c>
      <c r="O713" s="9" t="s">
        <v>270</v>
      </c>
      <c r="P713" s="9" t="s">
        <v>0</v>
      </c>
      <c r="Q713" s="30" t="s">
        <v>271</v>
      </c>
      <c r="R713" s="9" t="s">
        <v>272</v>
      </c>
      <c r="S713" s="9" t="s">
        <v>158</v>
      </c>
      <c r="T713" s="10" t="s">
        <v>73</v>
      </c>
      <c r="U713" s="10">
        <v>6</v>
      </c>
      <c r="V713" s="10">
        <v>120.73</v>
      </c>
      <c r="W713" s="10" t="s">
        <v>710</v>
      </c>
      <c r="X713" s="17">
        <v>45016</v>
      </c>
      <c r="Y713" s="17">
        <v>45016</v>
      </c>
      <c r="Z713" s="19" t="s">
        <v>772</v>
      </c>
      <c r="AA713" s="210">
        <v>43395</v>
      </c>
      <c r="AB713" s="9">
        <v>36</v>
      </c>
      <c r="AC713" s="9">
        <v>8</v>
      </c>
      <c r="AD713" s="17">
        <v>45290</v>
      </c>
      <c r="AE713" s="56">
        <v>193.8</v>
      </c>
      <c r="AF713" s="56"/>
      <c r="AH713" s="17">
        <v>45052</v>
      </c>
      <c r="AI713" s="9">
        <v>44319047</v>
      </c>
      <c r="AJ713" s="9" t="s">
        <v>2630</v>
      </c>
      <c r="AK713" s="9" t="s">
        <v>2613</v>
      </c>
      <c r="AL713" s="11">
        <v>193.8</v>
      </c>
      <c r="AN713" s="11" t="s">
        <v>2626</v>
      </c>
      <c r="AP713" s="11"/>
      <c r="AQ713" s="11"/>
      <c r="AR713" s="11"/>
      <c r="AW713" s="17">
        <v>45054</v>
      </c>
      <c r="AX713" s="9">
        <v>1491</v>
      </c>
      <c r="AY713" s="11"/>
      <c r="BA713" s="11">
        <v>193.8</v>
      </c>
      <c r="BD713" s="9"/>
      <c r="CS713" s="11">
        <f t="shared" si="53"/>
        <v>193.8</v>
      </c>
      <c r="CT713" s="22">
        <f t="shared" si="54"/>
        <v>193.8</v>
      </c>
      <c r="CU713" s="22">
        <f t="shared" si="52"/>
        <v>0</v>
      </c>
      <c r="CV713" s="26">
        <f t="shared" si="55"/>
        <v>0</v>
      </c>
    </row>
    <row r="714" spans="1:103" x14ac:dyDescent="0.2">
      <c r="A714" s="9" t="s">
        <v>265</v>
      </c>
      <c r="B714" s="2">
        <v>72</v>
      </c>
      <c r="C714" s="3" t="s">
        <v>95</v>
      </c>
      <c r="D714" s="3" t="s">
        <v>96</v>
      </c>
      <c r="E714" s="2"/>
      <c r="F714" s="2"/>
      <c r="G714" s="2" t="s">
        <v>73</v>
      </c>
      <c r="H714" s="2">
        <v>6</v>
      </c>
      <c r="I714" s="8">
        <v>120.73</v>
      </c>
      <c r="J714" s="8">
        <v>34900</v>
      </c>
      <c r="K714" s="3">
        <v>0</v>
      </c>
      <c r="L714" s="3" t="s">
        <v>3</v>
      </c>
      <c r="M714" s="9" t="s">
        <v>0</v>
      </c>
      <c r="N714" s="9" t="s">
        <v>19</v>
      </c>
      <c r="O714" s="9" t="s">
        <v>270</v>
      </c>
      <c r="P714" s="9" t="s">
        <v>0</v>
      </c>
      <c r="Q714" s="30" t="s">
        <v>271</v>
      </c>
      <c r="R714" s="9" t="s">
        <v>272</v>
      </c>
      <c r="S714" s="9" t="s">
        <v>158</v>
      </c>
      <c r="T714" s="10" t="s">
        <v>73</v>
      </c>
      <c r="U714" s="10">
        <v>6</v>
      </c>
      <c r="V714" s="10">
        <v>120.73</v>
      </c>
      <c r="W714" s="10" t="s">
        <v>710</v>
      </c>
      <c r="X714" s="17">
        <v>45016</v>
      </c>
      <c r="Y714" s="17">
        <v>45016</v>
      </c>
      <c r="Z714" s="19" t="s">
        <v>772</v>
      </c>
      <c r="AA714" s="210">
        <v>43395</v>
      </c>
      <c r="AB714" s="9">
        <v>36</v>
      </c>
      <c r="AC714" s="9">
        <v>9</v>
      </c>
      <c r="AD714" s="17">
        <v>45321</v>
      </c>
      <c r="AE714" s="56">
        <v>193.8</v>
      </c>
      <c r="AF714" s="56"/>
      <c r="AH714" s="17">
        <v>45052</v>
      </c>
      <c r="AI714" s="9">
        <v>44319047</v>
      </c>
      <c r="AJ714" s="9" t="s">
        <v>2630</v>
      </c>
      <c r="AK714" s="9" t="s">
        <v>2614</v>
      </c>
      <c r="AL714" s="11">
        <v>193.8</v>
      </c>
      <c r="AN714" s="11" t="s">
        <v>2627</v>
      </c>
      <c r="AP714" s="11"/>
      <c r="AQ714" s="11"/>
      <c r="AR714" s="11"/>
      <c r="AW714" s="17">
        <v>45054</v>
      </c>
      <c r="AX714" s="9">
        <v>1491</v>
      </c>
      <c r="AY714" s="11"/>
      <c r="BA714" s="11">
        <v>193.8</v>
      </c>
      <c r="BD714" s="9"/>
      <c r="CS714" s="11">
        <f t="shared" si="53"/>
        <v>193.8</v>
      </c>
      <c r="CT714" s="22">
        <f t="shared" si="54"/>
        <v>193.8</v>
      </c>
      <c r="CU714" s="22">
        <f t="shared" si="52"/>
        <v>0</v>
      </c>
      <c r="CV714" s="26">
        <f t="shared" si="55"/>
        <v>0</v>
      </c>
    </row>
    <row r="715" spans="1:103" x14ac:dyDescent="0.2">
      <c r="A715" s="9" t="s">
        <v>265</v>
      </c>
      <c r="B715" s="2">
        <v>72</v>
      </c>
      <c r="C715" s="3" t="s">
        <v>95</v>
      </c>
      <c r="D715" s="3" t="s">
        <v>96</v>
      </c>
      <c r="E715" s="2"/>
      <c r="F715" s="2"/>
      <c r="G715" s="2" t="s">
        <v>73</v>
      </c>
      <c r="H715" s="2">
        <v>6</v>
      </c>
      <c r="I715" s="8">
        <v>120.73</v>
      </c>
      <c r="J715" s="8">
        <v>34900</v>
      </c>
      <c r="K715" s="3">
        <v>0</v>
      </c>
      <c r="L715" s="3" t="s">
        <v>3</v>
      </c>
      <c r="M715" s="9" t="s">
        <v>0</v>
      </c>
      <c r="N715" s="9" t="s">
        <v>19</v>
      </c>
      <c r="O715" s="9" t="s">
        <v>270</v>
      </c>
      <c r="P715" s="9" t="s">
        <v>0</v>
      </c>
      <c r="Q715" s="30" t="s">
        <v>271</v>
      </c>
      <c r="R715" s="9" t="s">
        <v>272</v>
      </c>
      <c r="S715" s="9" t="s">
        <v>158</v>
      </c>
      <c r="T715" s="10" t="s">
        <v>73</v>
      </c>
      <c r="U715" s="10">
        <v>6</v>
      </c>
      <c r="V715" s="10">
        <v>120.73</v>
      </c>
      <c r="W715" s="10" t="s">
        <v>710</v>
      </c>
      <c r="X715" s="17">
        <v>45016</v>
      </c>
      <c r="Y715" s="17">
        <v>45016</v>
      </c>
      <c r="Z715" s="19" t="s">
        <v>772</v>
      </c>
      <c r="AA715" s="210">
        <v>43395</v>
      </c>
      <c r="AB715" s="9">
        <v>36</v>
      </c>
      <c r="AC715" s="9">
        <v>10</v>
      </c>
      <c r="AD715" s="17">
        <v>45351</v>
      </c>
      <c r="AE715" s="56">
        <v>193.8</v>
      </c>
      <c r="AF715" s="56"/>
      <c r="AH715" s="17">
        <v>45052</v>
      </c>
      <c r="AI715" s="9">
        <v>44319047</v>
      </c>
      <c r="AJ715" s="9" t="s">
        <v>2630</v>
      </c>
      <c r="AK715" s="9" t="s">
        <v>2615</v>
      </c>
      <c r="AL715" s="11">
        <v>193.8</v>
      </c>
      <c r="AN715" s="11" t="s">
        <v>2628</v>
      </c>
      <c r="AP715" s="11"/>
      <c r="AQ715" s="11"/>
      <c r="AR715" s="11"/>
      <c r="AW715" s="17">
        <v>45054</v>
      </c>
      <c r="AX715" s="9">
        <v>1491</v>
      </c>
      <c r="AY715" s="11"/>
      <c r="BA715" s="11">
        <v>193.8</v>
      </c>
      <c r="BD715" s="9"/>
      <c r="CS715" s="11">
        <f t="shared" si="53"/>
        <v>193.8</v>
      </c>
      <c r="CT715" s="22">
        <f t="shared" si="54"/>
        <v>193.8</v>
      </c>
      <c r="CU715" s="22">
        <f t="shared" si="52"/>
        <v>0</v>
      </c>
      <c r="CV715" s="26">
        <f t="shared" si="55"/>
        <v>0</v>
      </c>
    </row>
    <row r="716" spans="1:103" x14ac:dyDescent="0.2">
      <c r="A716" s="9" t="s">
        <v>265</v>
      </c>
      <c r="B716" s="2">
        <v>72</v>
      </c>
      <c r="C716" s="3" t="s">
        <v>95</v>
      </c>
      <c r="D716" s="3" t="s">
        <v>96</v>
      </c>
      <c r="E716" s="2"/>
      <c r="F716" s="2"/>
      <c r="G716" s="2" t="s">
        <v>73</v>
      </c>
      <c r="H716" s="2">
        <v>6</v>
      </c>
      <c r="I716" s="8">
        <v>120.73</v>
      </c>
      <c r="J716" s="8">
        <v>34900</v>
      </c>
      <c r="K716" s="3">
        <v>0</v>
      </c>
      <c r="L716" s="3" t="s">
        <v>3</v>
      </c>
      <c r="M716" s="9" t="s">
        <v>0</v>
      </c>
      <c r="N716" s="9" t="s">
        <v>19</v>
      </c>
      <c r="O716" s="9" t="s">
        <v>270</v>
      </c>
      <c r="P716" s="9" t="s">
        <v>0</v>
      </c>
      <c r="Q716" s="30" t="s">
        <v>271</v>
      </c>
      <c r="R716" s="9" t="s">
        <v>272</v>
      </c>
      <c r="S716" s="9" t="s">
        <v>158</v>
      </c>
      <c r="T716" s="10" t="s">
        <v>73</v>
      </c>
      <c r="U716" s="10">
        <v>6</v>
      </c>
      <c r="V716" s="10">
        <v>120.73</v>
      </c>
      <c r="W716" s="10" t="s">
        <v>710</v>
      </c>
      <c r="X716" s="17">
        <v>45016</v>
      </c>
      <c r="Y716" s="17">
        <v>45016</v>
      </c>
      <c r="Z716" s="19" t="s">
        <v>772</v>
      </c>
      <c r="AA716" s="210">
        <v>43395</v>
      </c>
      <c r="AB716" s="9">
        <v>36</v>
      </c>
      <c r="AC716" s="9">
        <v>11</v>
      </c>
      <c r="AD716" s="17">
        <v>45381</v>
      </c>
      <c r="AE716" s="56">
        <v>193.8</v>
      </c>
      <c r="AF716" s="56"/>
      <c r="AH716" s="17">
        <v>45052</v>
      </c>
      <c r="AI716" s="9">
        <v>44319047</v>
      </c>
      <c r="AJ716" s="9" t="s">
        <v>2630</v>
      </c>
      <c r="AK716" s="9" t="s">
        <v>2616</v>
      </c>
      <c r="AL716" s="11">
        <v>193.8</v>
      </c>
      <c r="AN716" s="11" t="s">
        <v>2629</v>
      </c>
      <c r="AP716" s="11"/>
      <c r="AQ716" s="11"/>
      <c r="AR716" s="11"/>
      <c r="AW716" s="17">
        <v>45054</v>
      </c>
      <c r="AX716" s="9">
        <v>1491</v>
      </c>
      <c r="AY716" s="11"/>
      <c r="BA716" s="11">
        <v>193.8</v>
      </c>
      <c r="BD716" s="9"/>
      <c r="CS716" s="11">
        <f t="shared" si="53"/>
        <v>193.8</v>
      </c>
      <c r="CT716" s="22">
        <f t="shared" si="54"/>
        <v>193.8</v>
      </c>
      <c r="CU716" s="22">
        <f t="shared" si="52"/>
        <v>0</v>
      </c>
      <c r="CV716" s="26">
        <f t="shared" si="55"/>
        <v>0</v>
      </c>
    </row>
    <row r="717" spans="1:103" x14ac:dyDescent="0.2">
      <c r="A717" s="9" t="s">
        <v>265</v>
      </c>
      <c r="B717" s="2">
        <v>72</v>
      </c>
      <c r="C717" s="3" t="s">
        <v>95</v>
      </c>
      <c r="D717" s="3" t="s">
        <v>96</v>
      </c>
      <c r="E717" s="2"/>
      <c r="F717" s="2"/>
      <c r="G717" s="2" t="s">
        <v>73</v>
      </c>
      <c r="H717" s="2">
        <v>6</v>
      </c>
      <c r="I717" s="8">
        <v>120.73</v>
      </c>
      <c r="J717" s="8">
        <v>34900</v>
      </c>
      <c r="K717" s="3">
        <v>0</v>
      </c>
      <c r="L717" s="3" t="s">
        <v>3</v>
      </c>
      <c r="M717" s="9" t="s">
        <v>0</v>
      </c>
      <c r="N717" s="9" t="s">
        <v>19</v>
      </c>
      <c r="O717" s="9" t="s">
        <v>270</v>
      </c>
      <c r="P717" s="9" t="s">
        <v>0</v>
      </c>
      <c r="Q717" s="30" t="s">
        <v>271</v>
      </c>
      <c r="R717" s="9" t="s">
        <v>272</v>
      </c>
      <c r="S717" s="9" t="s">
        <v>158</v>
      </c>
      <c r="T717" s="10" t="s">
        <v>73</v>
      </c>
      <c r="U717" s="10">
        <v>6</v>
      </c>
      <c r="V717" s="10">
        <v>120.73</v>
      </c>
      <c r="W717" s="10" t="s">
        <v>710</v>
      </c>
      <c r="X717" s="17">
        <v>45016</v>
      </c>
      <c r="Y717" s="17">
        <v>45016</v>
      </c>
      <c r="Z717" s="19" t="s">
        <v>772</v>
      </c>
      <c r="AA717" s="210">
        <v>43395</v>
      </c>
      <c r="AB717" s="9">
        <v>36</v>
      </c>
      <c r="AC717" s="9">
        <v>12</v>
      </c>
      <c r="AD717" s="17">
        <v>45412</v>
      </c>
      <c r="AE717" s="56">
        <v>10000</v>
      </c>
      <c r="AF717" s="56"/>
      <c r="AH717" s="17">
        <v>45406</v>
      </c>
      <c r="AI717" s="9">
        <v>44319047</v>
      </c>
      <c r="AJ717" s="9" t="s">
        <v>2630</v>
      </c>
      <c r="AK717" s="9" t="s">
        <v>2631</v>
      </c>
      <c r="AL717" s="11">
        <v>10000</v>
      </c>
      <c r="AN717" s="11" t="s">
        <v>2643</v>
      </c>
      <c r="AP717" s="11"/>
      <c r="AQ717" s="11"/>
      <c r="AR717" s="11"/>
      <c r="AW717" s="17">
        <v>45407</v>
      </c>
      <c r="AX717" s="9">
        <v>2573</v>
      </c>
      <c r="AY717" s="11"/>
      <c r="BA717" s="11">
        <v>10000</v>
      </c>
      <c r="BD717" s="9"/>
      <c r="CS717" s="11">
        <f t="shared" si="53"/>
        <v>10000</v>
      </c>
      <c r="CT717" s="22">
        <f t="shared" si="54"/>
        <v>10000</v>
      </c>
      <c r="CU717" s="22">
        <f t="shared" si="52"/>
        <v>0</v>
      </c>
      <c r="CV717" s="26">
        <f t="shared" si="55"/>
        <v>0</v>
      </c>
    </row>
    <row r="718" spans="1:103" x14ac:dyDescent="0.2">
      <c r="A718" s="9" t="s">
        <v>265</v>
      </c>
      <c r="B718" s="2">
        <v>72</v>
      </c>
      <c r="C718" s="3" t="s">
        <v>95</v>
      </c>
      <c r="D718" s="3" t="s">
        <v>96</v>
      </c>
      <c r="E718" s="2"/>
      <c r="F718" s="2"/>
      <c r="G718" s="2" t="s">
        <v>73</v>
      </c>
      <c r="H718" s="2">
        <v>6</v>
      </c>
      <c r="I718" s="8">
        <v>120.73</v>
      </c>
      <c r="J718" s="8">
        <v>34900</v>
      </c>
      <c r="K718" s="3">
        <v>0</v>
      </c>
      <c r="L718" s="3" t="s">
        <v>3</v>
      </c>
      <c r="M718" s="9" t="s">
        <v>0</v>
      </c>
      <c r="N718" s="9" t="s">
        <v>19</v>
      </c>
      <c r="O718" s="9" t="s">
        <v>270</v>
      </c>
      <c r="P718" s="9" t="s">
        <v>0</v>
      </c>
      <c r="Q718" s="30" t="s">
        <v>271</v>
      </c>
      <c r="R718" s="9" t="s">
        <v>272</v>
      </c>
      <c r="S718" s="9" t="s">
        <v>158</v>
      </c>
      <c r="T718" s="10" t="s">
        <v>73</v>
      </c>
      <c r="U718" s="10">
        <v>6</v>
      </c>
      <c r="V718" s="10">
        <v>120.73</v>
      </c>
      <c r="W718" s="10" t="s">
        <v>710</v>
      </c>
      <c r="X718" s="17">
        <v>45016</v>
      </c>
      <c r="Y718" s="17">
        <v>45016</v>
      </c>
      <c r="Z718" s="19" t="s">
        <v>772</v>
      </c>
      <c r="AA718" s="210">
        <v>43395</v>
      </c>
      <c r="AB718" s="9">
        <v>36</v>
      </c>
      <c r="AC718" s="9">
        <v>13</v>
      </c>
      <c r="AD718" s="17">
        <v>45442</v>
      </c>
      <c r="AE718" s="56">
        <v>193.8</v>
      </c>
      <c r="AF718" s="56"/>
      <c r="AH718" s="17">
        <v>45444</v>
      </c>
      <c r="AI718" s="9">
        <v>44319047</v>
      </c>
      <c r="AJ718" s="9" t="s">
        <v>2630</v>
      </c>
      <c r="AK718" s="9" t="s">
        <v>2632</v>
      </c>
      <c r="AL718" s="11">
        <v>193.8</v>
      </c>
      <c r="AN718" s="11" t="s">
        <v>2644</v>
      </c>
      <c r="AP718" s="11"/>
      <c r="AQ718" s="11"/>
      <c r="AR718" s="11"/>
      <c r="AW718" s="17">
        <v>45446</v>
      </c>
      <c r="AX718" s="9">
        <v>2729</v>
      </c>
      <c r="AY718" s="11"/>
      <c r="BA718" s="11">
        <v>193.8</v>
      </c>
      <c r="BD718" s="9"/>
      <c r="CS718" s="11">
        <f t="shared" si="53"/>
        <v>193.8</v>
      </c>
      <c r="CT718" s="22">
        <f t="shared" si="54"/>
        <v>193.8</v>
      </c>
      <c r="CU718" s="22">
        <f t="shared" si="52"/>
        <v>0</v>
      </c>
      <c r="CV718" s="26">
        <f t="shared" si="55"/>
        <v>0</v>
      </c>
    </row>
    <row r="719" spans="1:103" x14ac:dyDescent="0.2">
      <c r="A719" s="9" t="s">
        <v>265</v>
      </c>
      <c r="B719" s="2">
        <v>72</v>
      </c>
      <c r="C719" s="3" t="s">
        <v>95</v>
      </c>
      <c r="D719" s="3" t="s">
        <v>96</v>
      </c>
      <c r="E719" s="2"/>
      <c r="F719" s="2"/>
      <c r="G719" s="2" t="s">
        <v>73</v>
      </c>
      <c r="H719" s="2">
        <v>6</v>
      </c>
      <c r="I719" s="8">
        <v>120.73</v>
      </c>
      <c r="J719" s="8">
        <v>34900</v>
      </c>
      <c r="K719" s="3">
        <v>0</v>
      </c>
      <c r="L719" s="3" t="s">
        <v>3</v>
      </c>
      <c r="M719" s="9" t="s">
        <v>0</v>
      </c>
      <c r="N719" s="9" t="s">
        <v>19</v>
      </c>
      <c r="O719" s="9" t="s">
        <v>270</v>
      </c>
      <c r="P719" s="9" t="s">
        <v>0</v>
      </c>
      <c r="Q719" s="30" t="s">
        <v>271</v>
      </c>
      <c r="R719" s="9" t="s">
        <v>272</v>
      </c>
      <c r="S719" s="9" t="s">
        <v>158</v>
      </c>
      <c r="T719" s="10" t="s">
        <v>73</v>
      </c>
      <c r="U719" s="10">
        <v>6</v>
      </c>
      <c r="V719" s="10">
        <v>120.73</v>
      </c>
      <c r="W719" s="10" t="s">
        <v>710</v>
      </c>
      <c r="X719" s="17">
        <v>45016</v>
      </c>
      <c r="Y719" s="17">
        <v>45016</v>
      </c>
      <c r="Z719" s="19" t="s">
        <v>772</v>
      </c>
      <c r="AA719" s="210">
        <v>43395</v>
      </c>
      <c r="AB719" s="9">
        <v>36</v>
      </c>
      <c r="AC719" s="9">
        <v>14</v>
      </c>
      <c r="AD719" s="17">
        <v>45473</v>
      </c>
      <c r="AE719" s="56">
        <v>193.8</v>
      </c>
      <c r="AF719" s="56"/>
      <c r="AH719" s="17">
        <v>45444</v>
      </c>
      <c r="AI719" s="9">
        <v>44319047</v>
      </c>
      <c r="AJ719" s="9" t="s">
        <v>2630</v>
      </c>
      <c r="AK719" s="9" t="s">
        <v>2633</v>
      </c>
      <c r="AL719" s="11">
        <v>193.8</v>
      </c>
      <c r="AN719" s="11" t="s">
        <v>2645</v>
      </c>
      <c r="AP719" s="11"/>
      <c r="AQ719" s="11"/>
      <c r="AR719" s="11"/>
      <c r="AW719" s="17">
        <v>45446</v>
      </c>
      <c r="AX719" s="9">
        <v>2729</v>
      </c>
      <c r="AY719" s="11"/>
      <c r="BA719" s="11">
        <v>193.8</v>
      </c>
      <c r="BD719" s="9"/>
      <c r="CS719" s="11">
        <f t="shared" si="53"/>
        <v>193.8</v>
      </c>
      <c r="CT719" s="22">
        <f t="shared" si="54"/>
        <v>193.8</v>
      </c>
      <c r="CU719" s="22">
        <f t="shared" si="52"/>
        <v>0</v>
      </c>
      <c r="CV719" s="26">
        <f t="shared" si="55"/>
        <v>0</v>
      </c>
    </row>
    <row r="720" spans="1:103" x14ac:dyDescent="0.2">
      <c r="A720" s="9" t="s">
        <v>265</v>
      </c>
      <c r="B720" s="2">
        <v>72</v>
      </c>
      <c r="C720" s="3" t="s">
        <v>95</v>
      </c>
      <c r="D720" s="3" t="s">
        <v>96</v>
      </c>
      <c r="E720" s="2"/>
      <c r="F720" s="2"/>
      <c r="G720" s="2" t="s">
        <v>73</v>
      </c>
      <c r="H720" s="2">
        <v>6</v>
      </c>
      <c r="I720" s="8">
        <v>120.73</v>
      </c>
      <c r="J720" s="8">
        <v>34900</v>
      </c>
      <c r="K720" s="3">
        <v>0</v>
      </c>
      <c r="L720" s="3" t="s">
        <v>3</v>
      </c>
      <c r="M720" s="9" t="s">
        <v>0</v>
      </c>
      <c r="N720" s="9" t="s">
        <v>19</v>
      </c>
      <c r="O720" s="9" t="s">
        <v>270</v>
      </c>
      <c r="P720" s="9" t="s">
        <v>0</v>
      </c>
      <c r="Q720" s="30" t="s">
        <v>271</v>
      </c>
      <c r="R720" s="9" t="s">
        <v>272</v>
      </c>
      <c r="S720" s="9" t="s">
        <v>158</v>
      </c>
      <c r="T720" s="10" t="s">
        <v>73</v>
      </c>
      <c r="U720" s="10">
        <v>6</v>
      </c>
      <c r="V720" s="10">
        <v>120.73</v>
      </c>
      <c r="W720" s="10" t="s">
        <v>710</v>
      </c>
      <c r="X720" s="17">
        <v>45016</v>
      </c>
      <c r="Y720" s="17">
        <v>45016</v>
      </c>
      <c r="Z720" s="19" t="s">
        <v>772</v>
      </c>
      <c r="AA720" s="210">
        <v>43395</v>
      </c>
      <c r="AB720" s="9">
        <v>36</v>
      </c>
      <c r="AC720" s="9">
        <v>15</v>
      </c>
      <c r="AD720" s="17">
        <v>45503</v>
      </c>
      <c r="AE720" s="56">
        <v>193.8</v>
      </c>
      <c r="AF720" s="56"/>
      <c r="AH720" s="17">
        <v>45499</v>
      </c>
      <c r="AI720" s="9">
        <v>44319047</v>
      </c>
      <c r="AJ720" s="9" t="s">
        <v>2630</v>
      </c>
      <c r="AK720" s="9" t="s">
        <v>2634</v>
      </c>
      <c r="AL720" s="11">
        <v>193.8</v>
      </c>
      <c r="AN720" s="11" t="s">
        <v>2646</v>
      </c>
      <c r="AP720" s="11"/>
      <c r="AQ720" s="11"/>
      <c r="AR720" s="11"/>
      <c r="AW720" s="17">
        <v>45503</v>
      </c>
      <c r="AX720" s="9">
        <v>2950</v>
      </c>
      <c r="AY720" s="11"/>
      <c r="BA720" s="11">
        <v>193.8</v>
      </c>
      <c r="BD720" s="9"/>
      <c r="CS720" s="11">
        <f t="shared" si="53"/>
        <v>193.8</v>
      </c>
      <c r="CT720" s="22">
        <f t="shared" si="54"/>
        <v>193.8</v>
      </c>
      <c r="CU720" s="22">
        <f t="shared" si="52"/>
        <v>0</v>
      </c>
      <c r="CV720" s="26">
        <f t="shared" si="55"/>
        <v>0</v>
      </c>
    </row>
    <row r="721" spans="1:100" x14ac:dyDescent="0.2">
      <c r="A721" s="9" t="s">
        <v>265</v>
      </c>
      <c r="B721" s="2">
        <v>72</v>
      </c>
      <c r="C721" s="3" t="s">
        <v>95</v>
      </c>
      <c r="D721" s="3" t="s">
        <v>96</v>
      </c>
      <c r="E721" s="2"/>
      <c r="F721" s="2"/>
      <c r="G721" s="2" t="s">
        <v>73</v>
      </c>
      <c r="H721" s="2">
        <v>6</v>
      </c>
      <c r="I721" s="8">
        <v>120.73</v>
      </c>
      <c r="J721" s="8">
        <v>34900</v>
      </c>
      <c r="K721" s="3">
        <v>0</v>
      </c>
      <c r="L721" s="3" t="s">
        <v>3</v>
      </c>
      <c r="M721" s="9" t="s">
        <v>0</v>
      </c>
      <c r="N721" s="9" t="s">
        <v>19</v>
      </c>
      <c r="O721" s="9" t="s">
        <v>270</v>
      </c>
      <c r="P721" s="9" t="s">
        <v>0</v>
      </c>
      <c r="Q721" s="30" t="s">
        <v>271</v>
      </c>
      <c r="R721" s="9" t="s">
        <v>272</v>
      </c>
      <c r="S721" s="9" t="s">
        <v>158</v>
      </c>
      <c r="T721" s="10" t="s">
        <v>73</v>
      </c>
      <c r="U721" s="10">
        <v>6</v>
      </c>
      <c r="V721" s="10">
        <v>120.73</v>
      </c>
      <c r="W721" s="10" t="s">
        <v>710</v>
      </c>
      <c r="X721" s="17">
        <v>45016</v>
      </c>
      <c r="Y721" s="17">
        <v>45016</v>
      </c>
      <c r="Z721" s="19" t="s">
        <v>772</v>
      </c>
      <c r="AA721" s="210">
        <v>43395</v>
      </c>
      <c r="AB721" s="9">
        <v>36</v>
      </c>
      <c r="AC721" s="9">
        <v>16</v>
      </c>
      <c r="AD721" s="17">
        <v>45534</v>
      </c>
      <c r="AE721" s="56">
        <v>193.8</v>
      </c>
      <c r="AF721" s="56"/>
      <c r="AH721" s="17">
        <v>45499</v>
      </c>
      <c r="AI721" s="9">
        <v>44319047</v>
      </c>
      <c r="AJ721" s="9" t="s">
        <v>2630</v>
      </c>
      <c r="AK721" s="9" t="s">
        <v>2635</v>
      </c>
      <c r="AL721" s="11">
        <v>193.8</v>
      </c>
      <c r="AN721" s="11" t="s">
        <v>2647</v>
      </c>
      <c r="AP721" s="11"/>
      <c r="AQ721" s="11"/>
      <c r="AR721" s="11"/>
      <c r="AW721" s="17">
        <v>45503</v>
      </c>
      <c r="AX721" s="9">
        <v>2950</v>
      </c>
      <c r="AY721" s="11"/>
      <c r="BA721" s="11">
        <v>193.8</v>
      </c>
      <c r="BD721" s="9"/>
      <c r="CS721" s="11">
        <f t="shared" si="53"/>
        <v>193.8</v>
      </c>
      <c r="CT721" s="22">
        <f t="shared" si="54"/>
        <v>193.8</v>
      </c>
      <c r="CU721" s="22">
        <f t="shared" si="52"/>
        <v>0</v>
      </c>
      <c r="CV721" s="26">
        <f t="shared" si="55"/>
        <v>0</v>
      </c>
    </row>
    <row r="722" spans="1:100" x14ac:dyDescent="0.2">
      <c r="A722" s="9" t="s">
        <v>265</v>
      </c>
      <c r="B722" s="2">
        <v>72</v>
      </c>
      <c r="C722" s="3" t="s">
        <v>95</v>
      </c>
      <c r="D722" s="3" t="s">
        <v>96</v>
      </c>
      <c r="E722" s="2"/>
      <c r="F722" s="2"/>
      <c r="G722" s="2" t="s">
        <v>73</v>
      </c>
      <c r="H722" s="2">
        <v>6</v>
      </c>
      <c r="I722" s="8">
        <v>120.73</v>
      </c>
      <c r="J722" s="8">
        <v>34900</v>
      </c>
      <c r="K722" s="3">
        <v>0</v>
      </c>
      <c r="L722" s="3" t="s">
        <v>3</v>
      </c>
      <c r="M722" s="9" t="s">
        <v>0</v>
      </c>
      <c r="N722" s="9" t="s">
        <v>19</v>
      </c>
      <c r="O722" s="9" t="s">
        <v>270</v>
      </c>
      <c r="P722" s="9" t="s">
        <v>0</v>
      </c>
      <c r="Q722" s="30" t="s">
        <v>271</v>
      </c>
      <c r="R722" s="9" t="s">
        <v>272</v>
      </c>
      <c r="S722" s="9" t="s">
        <v>158</v>
      </c>
      <c r="T722" s="10" t="s">
        <v>73</v>
      </c>
      <c r="U722" s="10">
        <v>6</v>
      </c>
      <c r="V722" s="10">
        <v>120.73</v>
      </c>
      <c r="W722" s="10" t="s">
        <v>710</v>
      </c>
      <c r="X722" s="17">
        <v>45016</v>
      </c>
      <c r="Y722" s="17">
        <v>45016</v>
      </c>
      <c r="Z722" s="19" t="s">
        <v>772</v>
      </c>
      <c r="AA722" s="210">
        <v>43395</v>
      </c>
      <c r="AB722" s="9">
        <v>36</v>
      </c>
      <c r="AC722" s="9">
        <v>17</v>
      </c>
      <c r="AD722" s="17">
        <v>45565</v>
      </c>
      <c r="AE722" s="56">
        <v>193.8</v>
      </c>
      <c r="AF722" s="56"/>
      <c r="AH722" s="17">
        <v>45499</v>
      </c>
      <c r="AI722" s="9">
        <v>44319047</v>
      </c>
      <c r="AJ722" s="9" t="s">
        <v>2630</v>
      </c>
      <c r="AK722" s="9" t="s">
        <v>2636</v>
      </c>
      <c r="AL722" s="11">
        <v>193.8</v>
      </c>
      <c r="AN722" s="11" t="s">
        <v>2648</v>
      </c>
      <c r="AP722" s="11"/>
      <c r="AQ722" s="11"/>
      <c r="AR722" s="11"/>
      <c r="AW722" s="17">
        <v>45503</v>
      </c>
      <c r="AX722" s="9">
        <v>2950</v>
      </c>
      <c r="AY722" s="11"/>
      <c r="BA722" s="11">
        <v>193.8</v>
      </c>
      <c r="BD722" s="9"/>
      <c r="CS722" s="11">
        <f t="shared" si="53"/>
        <v>193.8</v>
      </c>
      <c r="CT722" s="22">
        <f t="shared" si="54"/>
        <v>193.8</v>
      </c>
      <c r="CU722" s="22">
        <f t="shared" si="52"/>
        <v>0</v>
      </c>
      <c r="CV722" s="26">
        <f t="shared" si="55"/>
        <v>0</v>
      </c>
    </row>
    <row r="723" spans="1:100" x14ac:dyDescent="0.2">
      <c r="A723" s="9" t="s">
        <v>265</v>
      </c>
      <c r="B723" s="2">
        <v>72</v>
      </c>
      <c r="C723" s="3" t="s">
        <v>95</v>
      </c>
      <c r="D723" s="3" t="s">
        <v>96</v>
      </c>
      <c r="E723" s="2"/>
      <c r="F723" s="2"/>
      <c r="G723" s="2" t="s">
        <v>73</v>
      </c>
      <c r="H723" s="2">
        <v>6</v>
      </c>
      <c r="I723" s="8">
        <v>120.73</v>
      </c>
      <c r="J723" s="8">
        <v>34900</v>
      </c>
      <c r="K723" s="3">
        <v>0</v>
      </c>
      <c r="L723" s="3" t="s">
        <v>3</v>
      </c>
      <c r="M723" s="9" t="s">
        <v>0</v>
      </c>
      <c r="N723" s="9" t="s">
        <v>19</v>
      </c>
      <c r="O723" s="9" t="s">
        <v>270</v>
      </c>
      <c r="P723" s="9" t="s">
        <v>0</v>
      </c>
      <c r="Q723" s="30" t="s">
        <v>271</v>
      </c>
      <c r="R723" s="9" t="s">
        <v>272</v>
      </c>
      <c r="S723" s="9" t="s">
        <v>158</v>
      </c>
      <c r="T723" s="10" t="s">
        <v>73</v>
      </c>
      <c r="U723" s="10">
        <v>6</v>
      </c>
      <c r="V723" s="10">
        <v>120.73</v>
      </c>
      <c r="W723" s="10" t="s">
        <v>710</v>
      </c>
      <c r="X723" s="17">
        <v>45016</v>
      </c>
      <c r="Y723" s="17">
        <v>45016</v>
      </c>
      <c r="Z723" s="19" t="s">
        <v>772</v>
      </c>
      <c r="AA723" s="210">
        <v>43395</v>
      </c>
      <c r="AB723" s="9">
        <v>36</v>
      </c>
      <c r="AC723" s="9">
        <v>18</v>
      </c>
      <c r="AD723" s="17">
        <v>45595</v>
      </c>
      <c r="AE723" s="56">
        <v>193.8</v>
      </c>
      <c r="AF723" s="56"/>
      <c r="AH723" s="17">
        <v>45499</v>
      </c>
      <c r="AI723" s="9">
        <v>44319047</v>
      </c>
      <c r="AJ723" s="9" t="s">
        <v>2630</v>
      </c>
      <c r="AK723" s="9" t="s">
        <v>2637</v>
      </c>
      <c r="AL723" s="11">
        <v>193.8</v>
      </c>
      <c r="AN723" s="11" t="s">
        <v>2649</v>
      </c>
      <c r="AP723" s="11"/>
      <c r="AQ723" s="11"/>
      <c r="AR723" s="11"/>
      <c r="AW723" s="17">
        <v>45503</v>
      </c>
      <c r="AX723" s="9">
        <v>2950</v>
      </c>
      <c r="AY723" s="11"/>
      <c r="BA723" s="11">
        <v>193.8</v>
      </c>
      <c r="BD723" s="9"/>
      <c r="CS723" s="11">
        <f t="shared" si="53"/>
        <v>193.8</v>
      </c>
      <c r="CT723" s="22">
        <f t="shared" si="54"/>
        <v>193.8</v>
      </c>
      <c r="CU723" s="22">
        <f t="shared" si="52"/>
        <v>0</v>
      </c>
      <c r="CV723" s="26">
        <f t="shared" si="55"/>
        <v>0</v>
      </c>
    </row>
    <row r="724" spans="1:100" x14ac:dyDescent="0.2">
      <c r="A724" s="9" t="s">
        <v>265</v>
      </c>
      <c r="B724" s="2">
        <v>72</v>
      </c>
      <c r="C724" s="3" t="s">
        <v>95</v>
      </c>
      <c r="D724" s="3" t="s">
        <v>96</v>
      </c>
      <c r="E724" s="2"/>
      <c r="F724" s="2"/>
      <c r="G724" s="2" t="s">
        <v>73</v>
      </c>
      <c r="H724" s="2">
        <v>6</v>
      </c>
      <c r="I724" s="8">
        <v>120.73</v>
      </c>
      <c r="J724" s="8">
        <v>34900</v>
      </c>
      <c r="K724" s="3">
        <v>0</v>
      </c>
      <c r="L724" s="3" t="s">
        <v>3</v>
      </c>
      <c r="M724" s="9" t="s">
        <v>0</v>
      </c>
      <c r="N724" s="9" t="s">
        <v>19</v>
      </c>
      <c r="O724" s="9" t="s">
        <v>270</v>
      </c>
      <c r="P724" s="9" t="s">
        <v>0</v>
      </c>
      <c r="Q724" s="30" t="s">
        <v>271</v>
      </c>
      <c r="R724" s="9" t="s">
        <v>272</v>
      </c>
      <c r="S724" s="9" t="s">
        <v>158</v>
      </c>
      <c r="T724" s="10" t="s">
        <v>73</v>
      </c>
      <c r="U724" s="10">
        <v>6</v>
      </c>
      <c r="V724" s="10">
        <v>120.73</v>
      </c>
      <c r="W724" s="10" t="s">
        <v>710</v>
      </c>
      <c r="X724" s="17">
        <v>45016</v>
      </c>
      <c r="Y724" s="17">
        <v>45016</v>
      </c>
      <c r="Z724" s="19" t="s">
        <v>772</v>
      </c>
      <c r="AA724" s="210">
        <v>43395</v>
      </c>
      <c r="AB724" s="9">
        <v>36</v>
      </c>
      <c r="AC724" s="9">
        <v>19</v>
      </c>
      <c r="AD724" s="17">
        <v>45626</v>
      </c>
      <c r="AE724" s="56">
        <v>193.8</v>
      </c>
      <c r="AF724" s="56"/>
      <c r="AH724" s="17">
        <v>45499</v>
      </c>
      <c r="AI724" s="9">
        <v>44319047</v>
      </c>
      <c r="AJ724" s="9" t="s">
        <v>2630</v>
      </c>
      <c r="AK724" s="9" t="s">
        <v>2638</v>
      </c>
      <c r="AL724" s="11">
        <v>193.8</v>
      </c>
      <c r="AN724" s="11" t="s">
        <v>2650</v>
      </c>
      <c r="AP724" s="11"/>
      <c r="AQ724" s="11"/>
      <c r="AR724" s="11"/>
      <c r="AW724" s="17">
        <v>45503</v>
      </c>
      <c r="AX724" s="9">
        <v>2950</v>
      </c>
      <c r="AY724" s="11"/>
      <c r="BA724" s="11">
        <v>193.8</v>
      </c>
      <c r="BD724" s="9"/>
      <c r="CS724" s="11">
        <f t="shared" si="53"/>
        <v>193.8</v>
      </c>
      <c r="CT724" s="22">
        <f t="shared" si="54"/>
        <v>193.8</v>
      </c>
      <c r="CU724" s="22">
        <f t="shared" si="52"/>
        <v>0</v>
      </c>
      <c r="CV724" s="26">
        <f t="shared" si="55"/>
        <v>0</v>
      </c>
    </row>
    <row r="725" spans="1:100" x14ac:dyDescent="0.2">
      <c r="A725" s="9" t="s">
        <v>265</v>
      </c>
      <c r="B725" s="2">
        <v>72</v>
      </c>
      <c r="C725" s="3" t="s">
        <v>95</v>
      </c>
      <c r="D725" s="3" t="s">
        <v>96</v>
      </c>
      <c r="E725" s="2"/>
      <c r="F725" s="2"/>
      <c r="G725" s="2" t="s">
        <v>73</v>
      </c>
      <c r="H725" s="2">
        <v>6</v>
      </c>
      <c r="I725" s="8">
        <v>120.73</v>
      </c>
      <c r="J725" s="8">
        <v>34900</v>
      </c>
      <c r="K725" s="3">
        <v>0</v>
      </c>
      <c r="L725" s="3" t="s">
        <v>3</v>
      </c>
      <c r="M725" s="9" t="s">
        <v>0</v>
      </c>
      <c r="N725" s="9" t="s">
        <v>19</v>
      </c>
      <c r="O725" s="9" t="s">
        <v>270</v>
      </c>
      <c r="P725" s="9" t="s">
        <v>0</v>
      </c>
      <c r="Q725" s="30" t="s">
        <v>271</v>
      </c>
      <c r="R725" s="9" t="s">
        <v>272</v>
      </c>
      <c r="S725" s="9" t="s">
        <v>158</v>
      </c>
      <c r="T725" s="10" t="s">
        <v>73</v>
      </c>
      <c r="U725" s="10">
        <v>6</v>
      </c>
      <c r="V725" s="10">
        <v>120.73</v>
      </c>
      <c r="W725" s="10" t="s">
        <v>710</v>
      </c>
      <c r="X725" s="17">
        <v>45016</v>
      </c>
      <c r="Y725" s="17">
        <v>45016</v>
      </c>
      <c r="Z725" s="19" t="s">
        <v>772</v>
      </c>
      <c r="AA725" s="210">
        <v>43395</v>
      </c>
      <c r="AB725" s="9">
        <v>36</v>
      </c>
      <c r="AC725" s="9">
        <v>20</v>
      </c>
      <c r="AD725" s="17">
        <v>45656</v>
      </c>
      <c r="AE725" s="56">
        <v>193.8</v>
      </c>
      <c r="AF725" s="56"/>
      <c r="AH725" s="17">
        <v>45499</v>
      </c>
      <c r="AI725" s="9">
        <v>44319047</v>
      </c>
      <c r="AJ725" s="9" t="s">
        <v>2630</v>
      </c>
      <c r="AK725" s="9" t="s">
        <v>2639</v>
      </c>
      <c r="AL725" s="11">
        <v>193.8</v>
      </c>
      <c r="AN725" s="11" t="s">
        <v>2651</v>
      </c>
      <c r="AP725" s="11"/>
      <c r="AQ725" s="11"/>
      <c r="AR725" s="11"/>
      <c r="AW725" s="17">
        <v>45503</v>
      </c>
      <c r="AX725" s="9">
        <v>2950</v>
      </c>
      <c r="AY725" s="11"/>
      <c r="BA725" s="11">
        <v>193.8</v>
      </c>
      <c r="BD725" s="9"/>
      <c r="CS725" s="11">
        <f t="shared" si="53"/>
        <v>193.8</v>
      </c>
      <c r="CT725" s="22">
        <f t="shared" si="54"/>
        <v>193.8</v>
      </c>
      <c r="CU725" s="22">
        <f t="shared" si="52"/>
        <v>0</v>
      </c>
      <c r="CV725" s="26">
        <f t="shared" si="55"/>
        <v>0</v>
      </c>
    </row>
    <row r="726" spans="1:100" x14ac:dyDescent="0.2">
      <c r="A726" s="9" t="s">
        <v>265</v>
      </c>
      <c r="B726" s="2">
        <v>72</v>
      </c>
      <c r="C726" s="3" t="s">
        <v>95</v>
      </c>
      <c r="D726" s="3" t="s">
        <v>96</v>
      </c>
      <c r="E726" s="2"/>
      <c r="F726" s="2"/>
      <c r="G726" s="2" t="s">
        <v>73</v>
      </c>
      <c r="H726" s="2">
        <v>6</v>
      </c>
      <c r="I726" s="8">
        <v>120.73</v>
      </c>
      <c r="J726" s="8">
        <v>34900</v>
      </c>
      <c r="K726" s="3">
        <v>0</v>
      </c>
      <c r="L726" s="3" t="s">
        <v>3</v>
      </c>
      <c r="M726" s="9" t="s">
        <v>0</v>
      </c>
      <c r="N726" s="9" t="s">
        <v>19</v>
      </c>
      <c r="O726" s="9" t="s">
        <v>270</v>
      </c>
      <c r="P726" s="9" t="s">
        <v>0</v>
      </c>
      <c r="Q726" s="30" t="s">
        <v>271</v>
      </c>
      <c r="R726" s="9" t="s">
        <v>272</v>
      </c>
      <c r="S726" s="9" t="s">
        <v>158</v>
      </c>
      <c r="T726" s="10" t="s">
        <v>73</v>
      </c>
      <c r="U726" s="10">
        <v>6</v>
      </c>
      <c r="V726" s="10">
        <v>120.73</v>
      </c>
      <c r="W726" s="10" t="s">
        <v>710</v>
      </c>
      <c r="X726" s="17">
        <v>45016</v>
      </c>
      <c r="Y726" s="17">
        <v>45016</v>
      </c>
      <c r="Z726" s="19" t="s">
        <v>772</v>
      </c>
      <c r="AA726" s="210">
        <v>43395</v>
      </c>
      <c r="AB726" s="9">
        <v>36</v>
      </c>
      <c r="AC726" s="9">
        <v>21</v>
      </c>
      <c r="AD726" s="17">
        <v>45687</v>
      </c>
      <c r="AE726" s="56">
        <v>193.8</v>
      </c>
      <c r="AF726" s="56"/>
      <c r="AH726" s="17">
        <v>45499</v>
      </c>
      <c r="AI726" s="9">
        <v>44319047</v>
      </c>
      <c r="AJ726" s="9" t="s">
        <v>2630</v>
      </c>
      <c r="AK726" s="9" t="s">
        <v>2640</v>
      </c>
      <c r="AL726" s="11">
        <v>193.8</v>
      </c>
      <c r="AN726" s="11" t="s">
        <v>2652</v>
      </c>
      <c r="AP726" s="11"/>
      <c r="AQ726" s="11"/>
      <c r="AR726" s="11"/>
      <c r="AW726" s="17">
        <v>45503</v>
      </c>
      <c r="AX726" s="9">
        <v>2950</v>
      </c>
      <c r="AY726" s="11"/>
      <c r="BA726" s="11">
        <v>193.8</v>
      </c>
      <c r="BD726" s="9"/>
      <c r="CS726" s="11">
        <f t="shared" si="53"/>
        <v>193.8</v>
      </c>
      <c r="CT726" s="22">
        <f t="shared" si="54"/>
        <v>193.8</v>
      </c>
      <c r="CU726" s="22">
        <f t="shared" si="52"/>
        <v>0</v>
      </c>
      <c r="CV726" s="26">
        <f t="shared" si="55"/>
        <v>0</v>
      </c>
    </row>
    <row r="727" spans="1:100" x14ac:dyDescent="0.2">
      <c r="A727" s="9" t="s">
        <v>265</v>
      </c>
      <c r="B727" s="2">
        <v>72</v>
      </c>
      <c r="C727" s="3" t="s">
        <v>95</v>
      </c>
      <c r="D727" s="3" t="s">
        <v>96</v>
      </c>
      <c r="E727" s="2"/>
      <c r="F727" s="2"/>
      <c r="G727" s="2" t="s">
        <v>73</v>
      </c>
      <c r="H727" s="2">
        <v>6</v>
      </c>
      <c r="I727" s="8">
        <v>120.73</v>
      </c>
      <c r="J727" s="8">
        <v>34900</v>
      </c>
      <c r="K727" s="3">
        <v>0</v>
      </c>
      <c r="L727" s="3" t="s">
        <v>3</v>
      </c>
      <c r="M727" s="9" t="s">
        <v>0</v>
      </c>
      <c r="N727" s="9" t="s">
        <v>19</v>
      </c>
      <c r="O727" s="9" t="s">
        <v>270</v>
      </c>
      <c r="P727" s="9" t="s">
        <v>0</v>
      </c>
      <c r="Q727" s="30" t="s">
        <v>271</v>
      </c>
      <c r="R727" s="9" t="s">
        <v>272</v>
      </c>
      <c r="S727" s="9" t="s">
        <v>158</v>
      </c>
      <c r="T727" s="10" t="s">
        <v>73</v>
      </c>
      <c r="U727" s="10">
        <v>6</v>
      </c>
      <c r="V727" s="10">
        <v>120.73</v>
      </c>
      <c r="W727" s="10" t="s">
        <v>710</v>
      </c>
      <c r="X727" s="17">
        <v>45016</v>
      </c>
      <c r="Y727" s="17">
        <v>45016</v>
      </c>
      <c r="Z727" s="19" t="s">
        <v>772</v>
      </c>
      <c r="AA727" s="210">
        <v>43395</v>
      </c>
      <c r="AB727" s="9">
        <v>36</v>
      </c>
      <c r="AC727" s="9">
        <v>22</v>
      </c>
      <c r="AD727" s="17">
        <v>45716</v>
      </c>
      <c r="AE727" s="56">
        <v>193.8</v>
      </c>
      <c r="AF727" s="56"/>
      <c r="AH727" s="17">
        <v>45499</v>
      </c>
      <c r="AI727" s="9">
        <v>44319047</v>
      </c>
      <c r="AJ727" s="9" t="s">
        <v>2630</v>
      </c>
      <c r="AK727" s="9" t="s">
        <v>2641</v>
      </c>
      <c r="AL727" s="11">
        <v>193.8</v>
      </c>
      <c r="AN727" s="11" t="s">
        <v>2653</v>
      </c>
      <c r="AP727" s="11"/>
      <c r="AQ727" s="11"/>
      <c r="AR727" s="11"/>
      <c r="AW727" s="17">
        <v>45503</v>
      </c>
      <c r="AX727" s="9">
        <v>2950</v>
      </c>
      <c r="AY727" s="11"/>
      <c r="BA727" s="11">
        <v>193.8</v>
      </c>
      <c r="BD727" s="9"/>
      <c r="CS727" s="11">
        <f t="shared" si="53"/>
        <v>193.8</v>
      </c>
      <c r="CT727" s="22">
        <f t="shared" si="54"/>
        <v>193.8</v>
      </c>
      <c r="CU727" s="22">
        <f t="shared" si="52"/>
        <v>0</v>
      </c>
      <c r="CV727" s="26">
        <f t="shared" si="55"/>
        <v>0</v>
      </c>
    </row>
    <row r="728" spans="1:100" x14ac:dyDescent="0.2">
      <c r="A728" s="9" t="s">
        <v>265</v>
      </c>
      <c r="B728" s="2">
        <v>72</v>
      </c>
      <c r="C728" s="3" t="s">
        <v>95</v>
      </c>
      <c r="D728" s="3" t="s">
        <v>96</v>
      </c>
      <c r="E728" s="2"/>
      <c r="F728" s="2"/>
      <c r="G728" s="2" t="s">
        <v>73</v>
      </c>
      <c r="H728" s="2">
        <v>6</v>
      </c>
      <c r="I728" s="8">
        <v>120.73</v>
      </c>
      <c r="J728" s="8">
        <v>34900</v>
      </c>
      <c r="K728" s="3">
        <v>0</v>
      </c>
      <c r="L728" s="3" t="s">
        <v>3</v>
      </c>
      <c r="M728" s="9" t="s">
        <v>0</v>
      </c>
      <c r="N728" s="9" t="s">
        <v>19</v>
      </c>
      <c r="O728" s="9" t="s">
        <v>270</v>
      </c>
      <c r="P728" s="9" t="s">
        <v>0</v>
      </c>
      <c r="Q728" s="30" t="s">
        <v>271</v>
      </c>
      <c r="R728" s="9" t="s">
        <v>272</v>
      </c>
      <c r="S728" s="9" t="s">
        <v>158</v>
      </c>
      <c r="T728" s="10" t="s">
        <v>73</v>
      </c>
      <c r="U728" s="10">
        <v>6</v>
      </c>
      <c r="V728" s="10">
        <v>120.73</v>
      </c>
      <c r="W728" s="10" t="s">
        <v>710</v>
      </c>
      <c r="X728" s="17">
        <v>45016</v>
      </c>
      <c r="Y728" s="17">
        <v>45016</v>
      </c>
      <c r="Z728" s="19" t="s">
        <v>772</v>
      </c>
      <c r="AA728" s="210">
        <v>43395</v>
      </c>
      <c r="AB728" s="9">
        <v>36</v>
      </c>
      <c r="AC728" s="9">
        <v>23</v>
      </c>
      <c r="AD728" s="17">
        <v>45746</v>
      </c>
      <c r="AE728" s="56">
        <v>193.8</v>
      </c>
      <c r="AF728" s="56"/>
      <c r="AH728" s="17">
        <v>45499</v>
      </c>
      <c r="AI728" s="9">
        <v>44319047</v>
      </c>
      <c r="AJ728" s="9" t="s">
        <v>2630</v>
      </c>
      <c r="AK728" s="9" t="s">
        <v>2642</v>
      </c>
      <c r="AL728" s="11">
        <v>193.8</v>
      </c>
      <c r="AN728" s="11" t="s">
        <v>2654</v>
      </c>
      <c r="AP728" s="11"/>
      <c r="AQ728" s="11"/>
      <c r="AR728" s="11"/>
      <c r="AW728" s="17">
        <v>45503</v>
      </c>
      <c r="AX728" s="9">
        <v>2950</v>
      </c>
      <c r="AY728" s="11"/>
      <c r="BA728" s="11">
        <v>193.8</v>
      </c>
      <c r="BD728" s="9"/>
      <c r="CS728" s="11">
        <f t="shared" si="53"/>
        <v>193.8</v>
      </c>
      <c r="CT728" s="22">
        <f t="shared" si="54"/>
        <v>193.8</v>
      </c>
      <c r="CU728" s="22">
        <f t="shared" si="52"/>
        <v>0</v>
      </c>
      <c r="CV728" s="26">
        <f t="shared" si="55"/>
        <v>0</v>
      </c>
    </row>
    <row r="729" spans="1:100" x14ac:dyDescent="0.2">
      <c r="A729" s="9" t="s">
        <v>265</v>
      </c>
      <c r="B729" s="2">
        <v>72</v>
      </c>
      <c r="C729" s="3" t="s">
        <v>95</v>
      </c>
      <c r="D729" s="3" t="s">
        <v>96</v>
      </c>
      <c r="E729" s="2"/>
      <c r="F729" s="2"/>
      <c r="G729" s="2" t="s">
        <v>73</v>
      </c>
      <c r="H729" s="2">
        <v>6</v>
      </c>
      <c r="I729" s="8">
        <v>120.73</v>
      </c>
      <c r="J729" s="8">
        <v>34900</v>
      </c>
      <c r="K729" s="3">
        <v>0</v>
      </c>
      <c r="L729" s="3" t="s">
        <v>3</v>
      </c>
      <c r="M729" s="9" t="s">
        <v>0</v>
      </c>
      <c r="N729" s="9" t="s">
        <v>19</v>
      </c>
      <c r="O729" s="9" t="s">
        <v>270</v>
      </c>
      <c r="P729" s="9" t="s">
        <v>0</v>
      </c>
      <c r="Q729" s="30" t="s">
        <v>271</v>
      </c>
      <c r="R729" s="9" t="s">
        <v>272</v>
      </c>
      <c r="S729" s="9" t="s">
        <v>158</v>
      </c>
      <c r="T729" s="10" t="s">
        <v>73</v>
      </c>
      <c r="U729" s="10">
        <v>6</v>
      </c>
      <c r="V729" s="10">
        <v>120.73</v>
      </c>
      <c r="W729" s="10" t="s">
        <v>710</v>
      </c>
      <c r="X729" s="17">
        <v>45016</v>
      </c>
      <c r="Y729" s="17">
        <v>45016</v>
      </c>
      <c r="Z729" s="19" t="s">
        <v>772</v>
      </c>
      <c r="AA729" s="210">
        <v>43395</v>
      </c>
      <c r="AB729" s="9">
        <v>36</v>
      </c>
      <c r="AC729" s="9">
        <v>24</v>
      </c>
      <c r="AD729" s="17">
        <v>45777</v>
      </c>
      <c r="AE729" s="56">
        <v>10000</v>
      </c>
      <c r="AF729" s="56"/>
      <c r="AH729" s="17">
        <v>45773</v>
      </c>
      <c r="AI729" s="9">
        <v>44319047</v>
      </c>
      <c r="AJ729" s="9" t="s">
        <v>2630</v>
      </c>
      <c r="AK729" s="9" t="s">
        <v>2655</v>
      </c>
      <c r="AL729" s="11">
        <v>10000</v>
      </c>
      <c r="AN729" s="11" t="s">
        <v>2667</v>
      </c>
      <c r="AP729" s="11"/>
      <c r="AQ729" s="11"/>
      <c r="AR729" s="11"/>
      <c r="AW729" s="17">
        <v>45775</v>
      </c>
      <c r="AX729" s="9">
        <v>4070</v>
      </c>
      <c r="AY729" s="11"/>
      <c r="BA729" s="11">
        <v>10000</v>
      </c>
      <c r="BD729" s="9"/>
      <c r="CS729" s="11">
        <f t="shared" si="53"/>
        <v>10000</v>
      </c>
      <c r="CT729" s="22">
        <f t="shared" si="54"/>
        <v>10000</v>
      </c>
      <c r="CU729" s="22">
        <f t="shared" si="52"/>
        <v>0</v>
      </c>
      <c r="CV729" s="26">
        <f t="shared" si="55"/>
        <v>0</v>
      </c>
    </row>
    <row r="730" spans="1:100" x14ac:dyDescent="0.2">
      <c r="A730" s="9" t="s">
        <v>265</v>
      </c>
      <c r="B730" s="2">
        <v>72</v>
      </c>
      <c r="C730" s="3" t="s">
        <v>95</v>
      </c>
      <c r="D730" s="3" t="s">
        <v>96</v>
      </c>
      <c r="E730" s="2"/>
      <c r="F730" s="2"/>
      <c r="G730" s="2" t="s">
        <v>73</v>
      </c>
      <c r="H730" s="2">
        <v>6</v>
      </c>
      <c r="I730" s="8">
        <v>120.73</v>
      </c>
      <c r="J730" s="8">
        <v>34900</v>
      </c>
      <c r="K730" s="3">
        <v>0</v>
      </c>
      <c r="L730" s="3" t="s">
        <v>3</v>
      </c>
      <c r="M730" s="9" t="s">
        <v>0</v>
      </c>
      <c r="N730" s="9" t="s">
        <v>19</v>
      </c>
      <c r="O730" s="9" t="s">
        <v>270</v>
      </c>
      <c r="P730" s="9" t="s">
        <v>0</v>
      </c>
      <c r="Q730" s="30" t="s">
        <v>271</v>
      </c>
      <c r="R730" s="9" t="s">
        <v>272</v>
      </c>
      <c r="S730" s="9" t="s">
        <v>158</v>
      </c>
      <c r="T730" s="10" t="s">
        <v>73</v>
      </c>
      <c r="U730" s="10">
        <v>6</v>
      </c>
      <c r="V730" s="10">
        <v>120.73</v>
      </c>
      <c r="W730" s="10" t="s">
        <v>710</v>
      </c>
      <c r="X730" s="17">
        <v>45016</v>
      </c>
      <c r="Y730" s="17">
        <v>45016</v>
      </c>
      <c r="Z730" s="19" t="s">
        <v>772</v>
      </c>
      <c r="AA730" s="210">
        <v>43395</v>
      </c>
      <c r="AB730" s="9">
        <v>36</v>
      </c>
      <c r="AC730" s="9">
        <v>25</v>
      </c>
      <c r="AD730" s="17">
        <v>45807</v>
      </c>
      <c r="AE730" s="56">
        <v>193.8</v>
      </c>
      <c r="AF730" s="56"/>
      <c r="AH730" s="17">
        <v>45773</v>
      </c>
      <c r="AI730" s="9">
        <v>44319047</v>
      </c>
      <c r="AJ730" s="9" t="s">
        <v>2630</v>
      </c>
      <c r="AK730" s="9" t="s">
        <v>2656</v>
      </c>
      <c r="AL730" s="11">
        <v>193.8</v>
      </c>
      <c r="AN730" s="11" t="s">
        <v>2668</v>
      </c>
      <c r="AP730" s="11"/>
      <c r="AQ730" s="11"/>
      <c r="AR730" s="11"/>
      <c r="AW730" s="17">
        <v>45775</v>
      </c>
      <c r="AX730" s="9">
        <v>4070</v>
      </c>
      <c r="AY730" s="11"/>
      <c r="BA730" s="11">
        <v>193.8</v>
      </c>
      <c r="BD730" s="9"/>
      <c r="CS730" s="11">
        <f t="shared" si="53"/>
        <v>193.8</v>
      </c>
      <c r="CT730" s="22">
        <f t="shared" si="54"/>
        <v>193.8</v>
      </c>
      <c r="CU730" s="22">
        <f t="shared" si="52"/>
        <v>0</v>
      </c>
      <c r="CV730" s="26">
        <f t="shared" si="55"/>
        <v>0</v>
      </c>
    </row>
    <row r="731" spans="1:100" x14ac:dyDescent="0.2">
      <c r="A731" s="9" t="s">
        <v>265</v>
      </c>
      <c r="B731" s="2">
        <v>72</v>
      </c>
      <c r="C731" s="3" t="s">
        <v>95</v>
      </c>
      <c r="D731" s="3" t="s">
        <v>96</v>
      </c>
      <c r="E731" s="2"/>
      <c r="F731" s="2"/>
      <c r="G731" s="2" t="s">
        <v>73</v>
      </c>
      <c r="H731" s="2">
        <v>6</v>
      </c>
      <c r="I731" s="8">
        <v>120.73</v>
      </c>
      <c r="J731" s="8">
        <v>34900</v>
      </c>
      <c r="K731" s="3">
        <v>0</v>
      </c>
      <c r="L731" s="3" t="s">
        <v>3</v>
      </c>
      <c r="M731" s="9" t="s">
        <v>0</v>
      </c>
      <c r="N731" s="9" t="s">
        <v>19</v>
      </c>
      <c r="O731" s="9" t="s">
        <v>270</v>
      </c>
      <c r="P731" s="9" t="s">
        <v>0</v>
      </c>
      <c r="Q731" s="30" t="s">
        <v>271</v>
      </c>
      <c r="R731" s="9" t="s">
        <v>272</v>
      </c>
      <c r="S731" s="9" t="s">
        <v>158</v>
      </c>
      <c r="T731" s="10" t="s">
        <v>73</v>
      </c>
      <c r="U731" s="10">
        <v>6</v>
      </c>
      <c r="V731" s="10">
        <v>120.73</v>
      </c>
      <c r="W731" s="10" t="s">
        <v>710</v>
      </c>
      <c r="X731" s="17">
        <v>45016</v>
      </c>
      <c r="Y731" s="17">
        <v>45016</v>
      </c>
      <c r="Z731" s="19" t="s">
        <v>772</v>
      </c>
      <c r="AA731" s="210">
        <v>43395</v>
      </c>
      <c r="AB731" s="9">
        <v>36</v>
      </c>
      <c r="AC731" s="9">
        <v>26</v>
      </c>
      <c r="AD731" s="17">
        <v>45838</v>
      </c>
      <c r="AE731" s="56">
        <v>193.8</v>
      </c>
      <c r="AF731" s="56"/>
      <c r="AH731" s="17">
        <v>45773</v>
      </c>
      <c r="AI731" s="9">
        <v>44319047</v>
      </c>
      <c r="AJ731" s="9" t="s">
        <v>2630</v>
      </c>
      <c r="AK731" s="9" t="s">
        <v>2657</v>
      </c>
      <c r="AL731" s="11">
        <v>193.8</v>
      </c>
      <c r="AN731" s="11" t="s">
        <v>2669</v>
      </c>
      <c r="AP731" s="11"/>
      <c r="AQ731" s="11"/>
      <c r="AR731" s="11"/>
      <c r="AW731" s="17">
        <v>45775</v>
      </c>
      <c r="AX731" s="9">
        <v>4070</v>
      </c>
      <c r="AY731" s="11"/>
      <c r="BA731" s="11">
        <v>193.8</v>
      </c>
      <c r="BD731" s="9"/>
      <c r="CS731" s="11">
        <f t="shared" si="53"/>
        <v>193.8</v>
      </c>
      <c r="CT731" s="22">
        <f t="shared" si="54"/>
        <v>193.8</v>
      </c>
      <c r="CU731" s="22">
        <f t="shared" si="52"/>
        <v>0</v>
      </c>
      <c r="CV731" s="26">
        <f t="shared" si="55"/>
        <v>0</v>
      </c>
    </row>
    <row r="732" spans="1:100" x14ac:dyDescent="0.2">
      <c r="A732" s="9" t="s">
        <v>265</v>
      </c>
      <c r="B732" s="2">
        <v>72</v>
      </c>
      <c r="C732" s="3" t="s">
        <v>95</v>
      </c>
      <c r="D732" s="3" t="s">
        <v>96</v>
      </c>
      <c r="E732" s="2"/>
      <c r="F732" s="2"/>
      <c r="G732" s="2" t="s">
        <v>73</v>
      </c>
      <c r="H732" s="2">
        <v>6</v>
      </c>
      <c r="I732" s="8">
        <v>120.73</v>
      </c>
      <c r="J732" s="8">
        <v>34900</v>
      </c>
      <c r="K732" s="3">
        <v>0</v>
      </c>
      <c r="L732" s="3" t="s">
        <v>3</v>
      </c>
      <c r="M732" s="9" t="s">
        <v>0</v>
      </c>
      <c r="N732" s="9" t="s">
        <v>19</v>
      </c>
      <c r="O732" s="9" t="s">
        <v>270</v>
      </c>
      <c r="P732" s="9" t="s">
        <v>0</v>
      </c>
      <c r="Q732" s="30" t="s">
        <v>271</v>
      </c>
      <c r="R732" s="9" t="s">
        <v>272</v>
      </c>
      <c r="S732" s="9" t="s">
        <v>158</v>
      </c>
      <c r="T732" s="10" t="s">
        <v>73</v>
      </c>
      <c r="U732" s="10">
        <v>6</v>
      </c>
      <c r="V732" s="10">
        <v>120.73</v>
      </c>
      <c r="W732" s="10" t="s">
        <v>710</v>
      </c>
      <c r="X732" s="17">
        <v>45016</v>
      </c>
      <c r="Y732" s="17">
        <v>45016</v>
      </c>
      <c r="Z732" s="19" t="s">
        <v>772</v>
      </c>
      <c r="AA732" s="210">
        <v>43395</v>
      </c>
      <c r="AB732" s="9">
        <v>36</v>
      </c>
      <c r="AC732" s="9">
        <v>27</v>
      </c>
      <c r="AD732" s="17">
        <v>45868</v>
      </c>
      <c r="AE732" s="56">
        <v>193.8</v>
      </c>
      <c r="AF732" s="56"/>
      <c r="AH732" s="17">
        <v>45773</v>
      </c>
      <c r="AI732" s="9">
        <v>44319047</v>
      </c>
      <c r="AJ732" s="9" t="s">
        <v>2630</v>
      </c>
      <c r="AK732" s="9" t="s">
        <v>2658</v>
      </c>
      <c r="AL732" s="11">
        <v>193.8</v>
      </c>
      <c r="AN732" s="11" t="s">
        <v>2670</v>
      </c>
      <c r="AP732" s="11"/>
      <c r="AQ732" s="11"/>
      <c r="AR732" s="11"/>
      <c r="AW732" s="17">
        <v>45775</v>
      </c>
      <c r="AX732" s="9">
        <v>4070</v>
      </c>
      <c r="AY732" s="11"/>
      <c r="BA732" s="11">
        <v>193.8</v>
      </c>
      <c r="BD732" s="9"/>
      <c r="CS732" s="11">
        <f t="shared" si="53"/>
        <v>193.8</v>
      </c>
      <c r="CT732" s="22">
        <f t="shared" si="54"/>
        <v>193.8</v>
      </c>
      <c r="CU732" s="22">
        <f t="shared" ref="CU732:CU795" si="56">+CS732-CT732</f>
        <v>0</v>
      </c>
      <c r="CV732" s="26">
        <f t="shared" si="55"/>
        <v>0</v>
      </c>
    </row>
    <row r="733" spans="1:100" x14ac:dyDescent="0.2">
      <c r="A733" s="9" t="s">
        <v>265</v>
      </c>
      <c r="B733" s="2">
        <v>72</v>
      </c>
      <c r="C733" s="3" t="s">
        <v>95</v>
      </c>
      <c r="D733" s="3" t="s">
        <v>96</v>
      </c>
      <c r="E733" s="2"/>
      <c r="F733" s="2"/>
      <c r="G733" s="2" t="s">
        <v>73</v>
      </c>
      <c r="H733" s="2">
        <v>6</v>
      </c>
      <c r="I733" s="8">
        <v>120.73</v>
      </c>
      <c r="J733" s="8">
        <v>34900</v>
      </c>
      <c r="K733" s="3">
        <v>0</v>
      </c>
      <c r="L733" s="3" t="s">
        <v>3</v>
      </c>
      <c r="M733" s="9" t="s">
        <v>0</v>
      </c>
      <c r="N733" s="9" t="s">
        <v>19</v>
      </c>
      <c r="O733" s="9" t="s">
        <v>270</v>
      </c>
      <c r="P733" s="9" t="s">
        <v>0</v>
      </c>
      <c r="Q733" s="30" t="s">
        <v>271</v>
      </c>
      <c r="R733" s="9" t="s">
        <v>272</v>
      </c>
      <c r="S733" s="9" t="s">
        <v>158</v>
      </c>
      <c r="T733" s="10" t="s">
        <v>73</v>
      </c>
      <c r="U733" s="10">
        <v>6</v>
      </c>
      <c r="V733" s="10">
        <v>120.73</v>
      </c>
      <c r="W733" s="10" t="s">
        <v>710</v>
      </c>
      <c r="X733" s="17">
        <v>45016</v>
      </c>
      <c r="Y733" s="17">
        <v>45016</v>
      </c>
      <c r="Z733" s="19" t="s">
        <v>772</v>
      </c>
      <c r="AA733" s="210">
        <v>43395</v>
      </c>
      <c r="AB733" s="9">
        <v>36</v>
      </c>
      <c r="AC733" s="9">
        <v>28</v>
      </c>
      <c r="AD733" s="17">
        <v>45899</v>
      </c>
      <c r="AE733" s="56">
        <v>193.8</v>
      </c>
      <c r="AF733" s="56"/>
      <c r="AH733" s="17">
        <v>45773</v>
      </c>
      <c r="AI733" s="9">
        <v>44319047</v>
      </c>
      <c r="AJ733" s="9" t="s">
        <v>2630</v>
      </c>
      <c r="AK733" s="9" t="s">
        <v>2659</v>
      </c>
      <c r="AL733" s="11">
        <v>193.8</v>
      </c>
      <c r="AN733" s="11" t="s">
        <v>2671</v>
      </c>
      <c r="AP733" s="11"/>
      <c r="AQ733" s="11"/>
      <c r="AR733" s="11"/>
      <c r="AW733" s="17">
        <v>45775</v>
      </c>
      <c r="AX733" s="9">
        <v>4070</v>
      </c>
      <c r="AY733" s="11"/>
      <c r="BA733" s="11">
        <v>193.8</v>
      </c>
      <c r="BD733" s="9"/>
      <c r="CS733" s="11">
        <f t="shared" si="53"/>
        <v>193.8</v>
      </c>
      <c r="CT733" s="22">
        <f t="shared" si="54"/>
        <v>193.8</v>
      </c>
      <c r="CU733" s="22">
        <f t="shared" si="56"/>
        <v>0</v>
      </c>
      <c r="CV733" s="26">
        <f t="shared" si="55"/>
        <v>0</v>
      </c>
    </row>
    <row r="734" spans="1:100" x14ac:dyDescent="0.2">
      <c r="A734" s="9" t="s">
        <v>265</v>
      </c>
      <c r="B734" s="2">
        <v>72</v>
      </c>
      <c r="C734" s="3" t="s">
        <v>95</v>
      </c>
      <c r="D734" s="3" t="s">
        <v>96</v>
      </c>
      <c r="E734" s="2"/>
      <c r="F734" s="2"/>
      <c r="G734" s="2" t="s">
        <v>73</v>
      </c>
      <c r="H734" s="2">
        <v>6</v>
      </c>
      <c r="I734" s="8">
        <v>120.73</v>
      </c>
      <c r="J734" s="8">
        <v>34900</v>
      </c>
      <c r="K734" s="3">
        <v>0</v>
      </c>
      <c r="L734" s="3" t="s">
        <v>3</v>
      </c>
      <c r="M734" s="9" t="s">
        <v>0</v>
      </c>
      <c r="N734" s="9" t="s">
        <v>19</v>
      </c>
      <c r="O734" s="9" t="s">
        <v>270</v>
      </c>
      <c r="P734" s="9" t="s">
        <v>0</v>
      </c>
      <c r="Q734" s="30" t="s">
        <v>271</v>
      </c>
      <c r="R734" s="9" t="s">
        <v>272</v>
      </c>
      <c r="S734" s="9" t="s">
        <v>158</v>
      </c>
      <c r="T734" s="10" t="s">
        <v>73</v>
      </c>
      <c r="U734" s="10">
        <v>6</v>
      </c>
      <c r="V734" s="10">
        <v>120.73</v>
      </c>
      <c r="W734" s="10" t="s">
        <v>710</v>
      </c>
      <c r="X734" s="17">
        <v>45016</v>
      </c>
      <c r="Y734" s="17">
        <v>45016</v>
      </c>
      <c r="Z734" s="19" t="s">
        <v>772</v>
      </c>
      <c r="AA734" s="210">
        <v>43395</v>
      </c>
      <c r="AB734" s="9">
        <v>36</v>
      </c>
      <c r="AC734" s="9">
        <v>29</v>
      </c>
      <c r="AD734" s="17">
        <v>45930</v>
      </c>
      <c r="AE734" s="56">
        <v>193.8</v>
      </c>
      <c r="AF734" s="56"/>
      <c r="AH734" s="17">
        <v>45773</v>
      </c>
      <c r="AI734" s="9">
        <v>44319047</v>
      </c>
      <c r="AJ734" s="9" t="s">
        <v>2630</v>
      </c>
      <c r="AK734" s="9" t="s">
        <v>2660</v>
      </c>
      <c r="AL734" s="11">
        <v>193.8</v>
      </c>
      <c r="AN734" s="11" t="s">
        <v>2672</v>
      </c>
      <c r="AP734" s="11"/>
      <c r="AQ734" s="11"/>
      <c r="AR734" s="11"/>
      <c r="AW734" s="17">
        <v>45775</v>
      </c>
      <c r="AX734" s="9">
        <v>4070</v>
      </c>
      <c r="AY734" s="11"/>
      <c r="BA734" s="11">
        <v>193.8</v>
      </c>
      <c r="BD734" s="9"/>
      <c r="CS734" s="11">
        <f t="shared" si="53"/>
        <v>193.8</v>
      </c>
      <c r="CT734" s="22">
        <f t="shared" si="54"/>
        <v>193.8</v>
      </c>
      <c r="CU734" s="22">
        <f t="shared" si="56"/>
        <v>0</v>
      </c>
      <c r="CV734" s="26">
        <f t="shared" si="55"/>
        <v>0</v>
      </c>
    </row>
    <row r="735" spans="1:100" x14ac:dyDescent="0.2">
      <c r="A735" s="9" t="s">
        <v>265</v>
      </c>
      <c r="B735" s="2">
        <v>72</v>
      </c>
      <c r="C735" s="3" t="s">
        <v>95</v>
      </c>
      <c r="D735" s="3" t="s">
        <v>96</v>
      </c>
      <c r="E735" s="2"/>
      <c r="F735" s="2"/>
      <c r="G735" s="2" t="s">
        <v>73</v>
      </c>
      <c r="H735" s="2">
        <v>6</v>
      </c>
      <c r="I735" s="8">
        <v>120.73</v>
      </c>
      <c r="J735" s="8">
        <v>34900</v>
      </c>
      <c r="K735" s="3">
        <v>0</v>
      </c>
      <c r="L735" s="3" t="s">
        <v>3</v>
      </c>
      <c r="M735" s="9" t="s">
        <v>0</v>
      </c>
      <c r="N735" s="9" t="s">
        <v>19</v>
      </c>
      <c r="O735" s="9" t="s">
        <v>270</v>
      </c>
      <c r="P735" s="9" t="s">
        <v>0</v>
      </c>
      <c r="Q735" s="30" t="s">
        <v>271</v>
      </c>
      <c r="R735" s="9" t="s">
        <v>272</v>
      </c>
      <c r="S735" s="9" t="s">
        <v>158</v>
      </c>
      <c r="T735" s="10" t="s">
        <v>73</v>
      </c>
      <c r="U735" s="10">
        <v>6</v>
      </c>
      <c r="V735" s="10">
        <v>120.73</v>
      </c>
      <c r="W735" s="10" t="s">
        <v>710</v>
      </c>
      <c r="X735" s="17">
        <v>45016</v>
      </c>
      <c r="Y735" s="17">
        <v>45016</v>
      </c>
      <c r="Z735" s="19" t="s">
        <v>772</v>
      </c>
      <c r="AA735" s="210">
        <v>43395</v>
      </c>
      <c r="AB735" s="9">
        <v>36</v>
      </c>
      <c r="AC735" s="9">
        <v>30</v>
      </c>
      <c r="AD735" s="17">
        <v>45960</v>
      </c>
      <c r="AE735" s="56">
        <v>193.8</v>
      </c>
      <c r="AF735" s="56"/>
      <c r="AH735" s="17">
        <v>45773</v>
      </c>
      <c r="AI735" s="9">
        <v>44319047</v>
      </c>
      <c r="AJ735" s="9" t="s">
        <v>2630</v>
      </c>
      <c r="AK735" s="9" t="s">
        <v>2661</v>
      </c>
      <c r="AL735" s="11">
        <v>193.8</v>
      </c>
      <c r="AN735" s="11" t="s">
        <v>2673</v>
      </c>
      <c r="AP735" s="11"/>
      <c r="AQ735" s="11"/>
      <c r="AR735" s="11"/>
      <c r="AW735" s="17">
        <v>45775</v>
      </c>
      <c r="AX735" s="9">
        <v>4070</v>
      </c>
      <c r="AY735" s="11"/>
      <c r="BA735" s="11">
        <v>193.8</v>
      </c>
      <c r="BD735" s="9"/>
      <c r="CS735" s="11">
        <f t="shared" si="53"/>
        <v>193.8</v>
      </c>
      <c r="CT735" s="22">
        <f t="shared" si="54"/>
        <v>193.8</v>
      </c>
      <c r="CU735" s="22">
        <f t="shared" si="56"/>
        <v>0</v>
      </c>
      <c r="CV735" s="26">
        <f t="shared" si="55"/>
        <v>0</v>
      </c>
    </row>
    <row r="736" spans="1:100" x14ac:dyDescent="0.2">
      <c r="A736" s="9" t="s">
        <v>265</v>
      </c>
      <c r="B736" s="2">
        <v>72</v>
      </c>
      <c r="C736" s="3" t="s">
        <v>95</v>
      </c>
      <c r="D736" s="3" t="s">
        <v>96</v>
      </c>
      <c r="E736" s="2"/>
      <c r="F736" s="2"/>
      <c r="G736" s="2" t="s">
        <v>73</v>
      </c>
      <c r="H736" s="2">
        <v>6</v>
      </c>
      <c r="I736" s="8">
        <v>120.73</v>
      </c>
      <c r="J736" s="8">
        <v>34900</v>
      </c>
      <c r="K736" s="3">
        <v>0</v>
      </c>
      <c r="L736" s="3" t="s">
        <v>3</v>
      </c>
      <c r="M736" s="9" t="s">
        <v>0</v>
      </c>
      <c r="N736" s="9" t="s">
        <v>19</v>
      </c>
      <c r="O736" s="9" t="s">
        <v>270</v>
      </c>
      <c r="P736" s="9" t="s">
        <v>0</v>
      </c>
      <c r="Q736" s="30" t="s">
        <v>271</v>
      </c>
      <c r="R736" s="9" t="s">
        <v>272</v>
      </c>
      <c r="S736" s="9" t="s">
        <v>158</v>
      </c>
      <c r="T736" s="10" t="s">
        <v>73</v>
      </c>
      <c r="U736" s="10">
        <v>6</v>
      </c>
      <c r="V736" s="10">
        <v>120.73</v>
      </c>
      <c r="W736" s="10" t="s">
        <v>710</v>
      </c>
      <c r="X736" s="17">
        <v>45016</v>
      </c>
      <c r="Y736" s="17">
        <v>45016</v>
      </c>
      <c r="Z736" s="19" t="s">
        <v>772</v>
      </c>
      <c r="AA736" s="210">
        <v>43395</v>
      </c>
      <c r="AB736" s="9">
        <v>36</v>
      </c>
      <c r="AC736" s="9">
        <v>31</v>
      </c>
      <c r="AD736" s="17">
        <v>45991</v>
      </c>
      <c r="AE736" s="56">
        <v>193.8</v>
      </c>
      <c r="AF736" s="56"/>
      <c r="AH736" s="17">
        <v>45773</v>
      </c>
      <c r="AI736" s="9">
        <v>44319047</v>
      </c>
      <c r="AJ736" s="9" t="s">
        <v>2630</v>
      </c>
      <c r="AK736" s="9" t="s">
        <v>2662</v>
      </c>
      <c r="AL736" s="11">
        <v>193.8</v>
      </c>
      <c r="AN736" s="11" t="s">
        <v>2674</v>
      </c>
      <c r="AP736" s="11"/>
      <c r="AQ736" s="11"/>
      <c r="AR736" s="11"/>
      <c r="AW736" s="17">
        <v>45775</v>
      </c>
      <c r="AX736" s="9">
        <v>4070</v>
      </c>
      <c r="AY736" s="11"/>
      <c r="BA736" s="11">
        <v>193.8</v>
      </c>
      <c r="BD736" s="9"/>
      <c r="CS736" s="11">
        <f t="shared" si="53"/>
        <v>193.8</v>
      </c>
      <c r="CT736" s="22">
        <f t="shared" si="54"/>
        <v>193.8</v>
      </c>
      <c r="CU736" s="22">
        <f t="shared" si="56"/>
        <v>0</v>
      </c>
      <c r="CV736" s="26">
        <f t="shared" si="55"/>
        <v>0</v>
      </c>
    </row>
    <row r="737" spans="1:103" x14ac:dyDescent="0.2">
      <c r="A737" s="9" t="s">
        <v>265</v>
      </c>
      <c r="B737" s="2">
        <v>72</v>
      </c>
      <c r="C737" s="3" t="s">
        <v>95</v>
      </c>
      <c r="D737" s="3" t="s">
        <v>96</v>
      </c>
      <c r="E737" s="2"/>
      <c r="F737" s="2"/>
      <c r="G737" s="2" t="s">
        <v>73</v>
      </c>
      <c r="H737" s="2">
        <v>6</v>
      </c>
      <c r="I737" s="8">
        <v>120.73</v>
      </c>
      <c r="J737" s="8">
        <v>34900</v>
      </c>
      <c r="K737" s="3">
        <v>0</v>
      </c>
      <c r="L737" s="3" t="s">
        <v>3</v>
      </c>
      <c r="M737" s="9" t="s">
        <v>0</v>
      </c>
      <c r="N737" s="9" t="s">
        <v>19</v>
      </c>
      <c r="O737" s="9" t="s">
        <v>270</v>
      </c>
      <c r="P737" s="9" t="s">
        <v>0</v>
      </c>
      <c r="Q737" s="30" t="s">
        <v>271</v>
      </c>
      <c r="R737" s="9" t="s">
        <v>272</v>
      </c>
      <c r="S737" s="9" t="s">
        <v>158</v>
      </c>
      <c r="T737" s="10" t="s">
        <v>73</v>
      </c>
      <c r="U737" s="10">
        <v>6</v>
      </c>
      <c r="V737" s="10">
        <v>120.73</v>
      </c>
      <c r="W737" s="10" t="s">
        <v>710</v>
      </c>
      <c r="X737" s="17">
        <v>45016</v>
      </c>
      <c r="Y737" s="17">
        <v>45016</v>
      </c>
      <c r="Z737" s="19" t="s">
        <v>772</v>
      </c>
      <c r="AA737" s="210">
        <v>43395</v>
      </c>
      <c r="AB737" s="9">
        <v>36</v>
      </c>
      <c r="AC737" s="9">
        <v>32</v>
      </c>
      <c r="AD737" s="17">
        <v>46021</v>
      </c>
      <c r="AE737" s="56">
        <v>193.8</v>
      </c>
      <c r="AF737" s="56"/>
      <c r="AH737" s="17">
        <v>45773</v>
      </c>
      <c r="AI737" s="9">
        <v>44319047</v>
      </c>
      <c r="AJ737" s="9" t="s">
        <v>2630</v>
      </c>
      <c r="AK737" s="9" t="s">
        <v>2663</v>
      </c>
      <c r="AL737" s="11">
        <v>193.8</v>
      </c>
      <c r="AN737" s="11" t="s">
        <v>2675</v>
      </c>
      <c r="AP737" s="11"/>
      <c r="AQ737" s="11"/>
      <c r="AR737" s="11"/>
      <c r="AW737" s="17">
        <v>45775</v>
      </c>
      <c r="AX737" s="9">
        <v>4070</v>
      </c>
      <c r="AY737" s="11"/>
      <c r="BA737" s="11">
        <v>193.8</v>
      </c>
      <c r="BD737" s="9"/>
      <c r="CS737" s="11">
        <f t="shared" si="53"/>
        <v>193.8</v>
      </c>
      <c r="CT737" s="22">
        <f t="shared" si="54"/>
        <v>193.8</v>
      </c>
      <c r="CU737" s="22">
        <f t="shared" si="56"/>
        <v>0</v>
      </c>
      <c r="CV737" s="26">
        <f t="shared" si="55"/>
        <v>0</v>
      </c>
    </row>
    <row r="738" spans="1:103" x14ac:dyDescent="0.2">
      <c r="A738" s="9" t="s">
        <v>265</v>
      </c>
      <c r="B738" s="2">
        <v>72</v>
      </c>
      <c r="C738" s="3" t="s">
        <v>95</v>
      </c>
      <c r="D738" s="3" t="s">
        <v>96</v>
      </c>
      <c r="E738" s="2"/>
      <c r="F738" s="2"/>
      <c r="G738" s="2" t="s">
        <v>73</v>
      </c>
      <c r="H738" s="2">
        <v>6</v>
      </c>
      <c r="I738" s="8">
        <v>120.73</v>
      </c>
      <c r="J738" s="8">
        <v>34900</v>
      </c>
      <c r="K738" s="3">
        <v>0</v>
      </c>
      <c r="L738" s="3" t="s">
        <v>3</v>
      </c>
      <c r="M738" s="9" t="s">
        <v>0</v>
      </c>
      <c r="N738" s="9" t="s">
        <v>19</v>
      </c>
      <c r="O738" s="9" t="s">
        <v>270</v>
      </c>
      <c r="P738" s="9" t="s">
        <v>0</v>
      </c>
      <c r="Q738" s="30" t="s">
        <v>271</v>
      </c>
      <c r="R738" s="9" t="s">
        <v>272</v>
      </c>
      <c r="S738" s="9" t="s">
        <v>158</v>
      </c>
      <c r="T738" s="10" t="s">
        <v>73</v>
      </c>
      <c r="U738" s="10">
        <v>6</v>
      </c>
      <c r="V738" s="10">
        <v>120.73</v>
      </c>
      <c r="W738" s="10" t="s">
        <v>710</v>
      </c>
      <c r="X738" s="17">
        <v>45016</v>
      </c>
      <c r="Y738" s="17">
        <v>45016</v>
      </c>
      <c r="Z738" s="19" t="s">
        <v>772</v>
      </c>
      <c r="AA738" s="210">
        <v>43395</v>
      </c>
      <c r="AB738" s="9">
        <v>36</v>
      </c>
      <c r="AC738" s="9">
        <v>33</v>
      </c>
      <c r="AD738" s="17">
        <v>46052</v>
      </c>
      <c r="AE738" s="56">
        <v>193.8</v>
      </c>
      <c r="AF738" s="56"/>
      <c r="AH738" s="17">
        <v>45773</v>
      </c>
      <c r="AI738" s="9">
        <v>44319047</v>
      </c>
      <c r="AJ738" s="9" t="s">
        <v>2630</v>
      </c>
      <c r="AK738" s="9" t="s">
        <v>2664</v>
      </c>
      <c r="AL738" s="11">
        <v>193.8</v>
      </c>
      <c r="AN738" s="11" t="s">
        <v>2676</v>
      </c>
      <c r="AP738" s="11"/>
      <c r="AQ738" s="11"/>
      <c r="AR738" s="11"/>
      <c r="AW738" s="17">
        <v>45775</v>
      </c>
      <c r="AX738" s="9">
        <v>4070</v>
      </c>
      <c r="AY738" s="11"/>
      <c r="BA738" s="11">
        <v>193.8</v>
      </c>
      <c r="BD738" s="9"/>
      <c r="CS738" s="11">
        <f t="shared" si="53"/>
        <v>193.8</v>
      </c>
      <c r="CT738" s="22">
        <f t="shared" si="54"/>
        <v>193.8</v>
      </c>
      <c r="CU738" s="22">
        <f t="shared" si="56"/>
        <v>0</v>
      </c>
      <c r="CV738" s="26">
        <f t="shared" si="55"/>
        <v>0</v>
      </c>
    </row>
    <row r="739" spans="1:103" x14ac:dyDescent="0.2">
      <c r="A739" s="9" t="s">
        <v>265</v>
      </c>
      <c r="B739" s="2">
        <v>72</v>
      </c>
      <c r="C739" s="3" t="s">
        <v>95</v>
      </c>
      <c r="D739" s="3" t="s">
        <v>96</v>
      </c>
      <c r="E739" s="2"/>
      <c r="F739" s="2"/>
      <c r="G739" s="2" t="s">
        <v>73</v>
      </c>
      <c r="H739" s="2">
        <v>6</v>
      </c>
      <c r="I739" s="8">
        <v>120.73</v>
      </c>
      <c r="J739" s="8">
        <v>34900</v>
      </c>
      <c r="K739" s="3">
        <v>0</v>
      </c>
      <c r="L739" s="3" t="s">
        <v>3</v>
      </c>
      <c r="M739" s="9" t="s">
        <v>0</v>
      </c>
      <c r="N739" s="9" t="s">
        <v>19</v>
      </c>
      <c r="O739" s="9" t="s">
        <v>270</v>
      </c>
      <c r="P739" s="9" t="s">
        <v>0</v>
      </c>
      <c r="Q739" s="30" t="s">
        <v>271</v>
      </c>
      <c r="R739" s="9" t="s">
        <v>272</v>
      </c>
      <c r="S739" s="9" t="s">
        <v>158</v>
      </c>
      <c r="T739" s="10" t="s">
        <v>73</v>
      </c>
      <c r="U739" s="10">
        <v>6</v>
      </c>
      <c r="V739" s="10">
        <v>120.73</v>
      </c>
      <c r="W739" s="10" t="s">
        <v>710</v>
      </c>
      <c r="X739" s="17">
        <v>45016</v>
      </c>
      <c r="Y739" s="17">
        <v>45016</v>
      </c>
      <c r="Z739" s="19" t="s">
        <v>772</v>
      </c>
      <c r="AA739" s="210">
        <v>43395</v>
      </c>
      <c r="AB739" s="9">
        <v>36</v>
      </c>
      <c r="AC739" s="9">
        <v>34</v>
      </c>
      <c r="AD739" s="17">
        <v>46081</v>
      </c>
      <c r="AE739" s="56">
        <v>193.8</v>
      </c>
      <c r="AF739" s="56"/>
      <c r="AH739" s="17">
        <v>45903</v>
      </c>
      <c r="AI739" s="9">
        <v>44319047</v>
      </c>
      <c r="AJ739" s="9" t="s">
        <v>2630</v>
      </c>
      <c r="AK739" s="9" t="s">
        <v>2665</v>
      </c>
      <c r="AL739" s="11">
        <v>193.8</v>
      </c>
      <c r="AN739" s="11" t="s">
        <v>2677</v>
      </c>
      <c r="AP739" s="11"/>
      <c r="AQ739" s="11"/>
      <c r="AR739" s="11"/>
      <c r="AW739" s="9"/>
      <c r="BD739" s="9"/>
      <c r="CS739" s="11">
        <f t="shared" si="53"/>
        <v>193.8</v>
      </c>
      <c r="CT739" s="22">
        <f t="shared" si="54"/>
        <v>0</v>
      </c>
      <c r="CU739" s="22">
        <f t="shared" si="56"/>
        <v>193.8</v>
      </c>
      <c r="CV739" s="26">
        <f t="shared" si="55"/>
        <v>0</v>
      </c>
      <c r="CW739" s="9" t="s">
        <v>3494</v>
      </c>
      <c r="CY739" s="9" t="s">
        <v>3493</v>
      </c>
    </row>
    <row r="740" spans="1:103" x14ac:dyDescent="0.2">
      <c r="A740" s="9" t="s">
        <v>265</v>
      </c>
      <c r="B740" s="2">
        <v>72</v>
      </c>
      <c r="C740" s="3" t="s">
        <v>95</v>
      </c>
      <c r="D740" s="3" t="s">
        <v>96</v>
      </c>
      <c r="E740" s="2"/>
      <c r="F740" s="2"/>
      <c r="G740" s="2" t="s">
        <v>73</v>
      </c>
      <c r="H740" s="2">
        <v>6</v>
      </c>
      <c r="I740" s="8">
        <v>120.73</v>
      </c>
      <c r="J740" s="8">
        <v>34900</v>
      </c>
      <c r="K740" s="3">
        <v>0</v>
      </c>
      <c r="L740" s="3" t="s">
        <v>3</v>
      </c>
      <c r="M740" s="9" t="s">
        <v>0</v>
      </c>
      <c r="N740" s="9" t="s">
        <v>19</v>
      </c>
      <c r="O740" s="9" t="s">
        <v>270</v>
      </c>
      <c r="P740" s="9" t="s">
        <v>0</v>
      </c>
      <c r="Q740" s="30" t="s">
        <v>271</v>
      </c>
      <c r="R740" s="9" t="s">
        <v>272</v>
      </c>
      <c r="S740" s="9" t="s">
        <v>158</v>
      </c>
      <c r="T740" s="10" t="s">
        <v>73</v>
      </c>
      <c r="U740" s="10">
        <v>6</v>
      </c>
      <c r="V740" s="10">
        <v>120.73</v>
      </c>
      <c r="W740" s="10" t="s">
        <v>710</v>
      </c>
      <c r="X740" s="17">
        <v>45016</v>
      </c>
      <c r="Y740" s="17">
        <v>45016</v>
      </c>
      <c r="Z740" s="19" t="s">
        <v>772</v>
      </c>
      <c r="AA740" s="210">
        <v>43395</v>
      </c>
      <c r="AB740" s="9">
        <v>36</v>
      </c>
      <c r="AC740" s="9">
        <v>35</v>
      </c>
      <c r="AD740" s="17">
        <v>46111</v>
      </c>
      <c r="AE740" s="56">
        <v>193.8</v>
      </c>
      <c r="AF740" s="56"/>
      <c r="AH740" s="17">
        <v>45903</v>
      </c>
      <c r="AI740" s="9">
        <v>44319047</v>
      </c>
      <c r="AJ740" s="9" t="s">
        <v>2630</v>
      </c>
      <c r="AK740" s="9" t="s">
        <v>2666</v>
      </c>
      <c r="AL740" s="11">
        <v>193.8</v>
      </c>
      <c r="AN740" s="11" t="s">
        <v>2678</v>
      </c>
      <c r="AP740" s="11"/>
      <c r="AQ740" s="11"/>
      <c r="AR740" s="11"/>
      <c r="AW740" s="9"/>
      <c r="BD740" s="9"/>
      <c r="CS740" s="11">
        <f t="shared" si="53"/>
        <v>193.8</v>
      </c>
      <c r="CT740" s="22">
        <f t="shared" si="54"/>
        <v>0</v>
      </c>
      <c r="CU740" s="22">
        <f t="shared" si="56"/>
        <v>193.8</v>
      </c>
      <c r="CV740" s="26">
        <f t="shared" si="55"/>
        <v>0</v>
      </c>
      <c r="CW740" s="9" t="s">
        <v>3494</v>
      </c>
      <c r="CY740" s="9" t="s">
        <v>3493</v>
      </c>
    </row>
    <row r="741" spans="1:103" x14ac:dyDescent="0.2">
      <c r="A741" s="9" t="s">
        <v>265</v>
      </c>
      <c r="B741" s="2">
        <v>72</v>
      </c>
      <c r="C741" s="3" t="s">
        <v>95</v>
      </c>
      <c r="D741" s="3" t="s">
        <v>96</v>
      </c>
      <c r="E741" s="2"/>
      <c r="F741" s="2"/>
      <c r="G741" s="2" t="s">
        <v>73</v>
      </c>
      <c r="H741" s="2">
        <v>6</v>
      </c>
      <c r="I741" s="8">
        <v>120.73</v>
      </c>
      <c r="J741" s="8">
        <v>34900</v>
      </c>
      <c r="K741" s="3">
        <v>0</v>
      </c>
      <c r="L741" s="3" t="s">
        <v>3</v>
      </c>
      <c r="M741" s="9" t="s">
        <v>0</v>
      </c>
      <c r="N741" s="9" t="s">
        <v>19</v>
      </c>
      <c r="O741" s="9" t="s">
        <v>270</v>
      </c>
      <c r="P741" s="9" t="s">
        <v>0</v>
      </c>
      <c r="Q741" s="30" t="s">
        <v>271</v>
      </c>
      <c r="R741" s="9" t="s">
        <v>272</v>
      </c>
      <c r="S741" s="9" t="s">
        <v>158</v>
      </c>
      <c r="T741" s="10" t="s">
        <v>73</v>
      </c>
      <c r="U741" s="10">
        <v>6</v>
      </c>
      <c r="V741" s="10">
        <v>120.73</v>
      </c>
      <c r="W741" s="10" t="s">
        <v>710</v>
      </c>
      <c r="X741" s="17">
        <v>45016</v>
      </c>
      <c r="Y741" s="17">
        <v>45016</v>
      </c>
      <c r="Z741" s="19" t="s">
        <v>772</v>
      </c>
      <c r="AA741" s="210">
        <v>43395</v>
      </c>
      <c r="AB741" s="9">
        <v>36</v>
      </c>
      <c r="AC741" s="9">
        <v>36</v>
      </c>
      <c r="AD741" s="17">
        <v>46142</v>
      </c>
      <c r="AE741" s="56">
        <v>10000</v>
      </c>
      <c r="AF741" s="56"/>
      <c r="AP741" s="11"/>
      <c r="AQ741" s="11"/>
      <c r="AR741" s="11"/>
      <c r="AW741" s="9"/>
      <c r="BD741" s="9"/>
      <c r="CS741" s="11">
        <f t="shared" si="53"/>
        <v>0</v>
      </c>
      <c r="CT741" s="22">
        <f t="shared" si="54"/>
        <v>0</v>
      </c>
      <c r="CU741" s="22">
        <f t="shared" si="56"/>
        <v>0</v>
      </c>
      <c r="CV741" s="26">
        <f t="shared" si="55"/>
        <v>10000</v>
      </c>
    </row>
    <row r="742" spans="1:103" x14ac:dyDescent="0.2">
      <c r="A742" s="9" t="s">
        <v>266</v>
      </c>
      <c r="B742" s="2">
        <v>40</v>
      </c>
      <c r="C742" s="3" t="s">
        <v>95</v>
      </c>
      <c r="D742" s="3" t="s">
        <v>96</v>
      </c>
      <c r="E742" s="2" t="s">
        <v>67</v>
      </c>
      <c r="F742" s="2">
        <v>2</v>
      </c>
      <c r="G742" s="2" t="s">
        <v>70</v>
      </c>
      <c r="H742" s="2">
        <v>2</v>
      </c>
      <c r="I742" s="8">
        <v>125.02</v>
      </c>
      <c r="J742" s="8">
        <v>55564</v>
      </c>
      <c r="K742" s="3">
        <v>0</v>
      </c>
      <c r="L742" s="3" t="s">
        <v>3</v>
      </c>
      <c r="M742" s="9" t="s">
        <v>62</v>
      </c>
      <c r="N742" s="9" t="s">
        <v>20</v>
      </c>
      <c r="O742" s="9" t="s">
        <v>273</v>
      </c>
      <c r="S742" s="9" t="s">
        <v>158</v>
      </c>
      <c r="T742" s="10" t="s">
        <v>70</v>
      </c>
      <c r="U742" s="10">
        <v>2</v>
      </c>
      <c r="V742" s="10">
        <v>145.38</v>
      </c>
      <c r="W742" s="10" t="s">
        <v>710</v>
      </c>
      <c r="X742" s="17">
        <v>44699</v>
      </c>
      <c r="Y742" s="17">
        <v>44716</v>
      </c>
      <c r="Z742" s="19" t="s">
        <v>772</v>
      </c>
      <c r="AA742" s="210">
        <v>45900</v>
      </c>
      <c r="AB742" s="9">
        <v>24</v>
      </c>
      <c r="AC742" s="9">
        <v>0</v>
      </c>
      <c r="AD742" s="17">
        <v>44699</v>
      </c>
      <c r="AE742" s="56">
        <v>10000</v>
      </c>
      <c r="AF742" s="56"/>
      <c r="AG742" s="9" t="s">
        <v>275</v>
      </c>
      <c r="AH742" s="127">
        <v>44699</v>
      </c>
      <c r="AI742" s="104">
        <v>10075105725</v>
      </c>
      <c r="AJ742" s="22" t="s">
        <v>2502</v>
      </c>
      <c r="AK742" s="22" t="s">
        <v>276</v>
      </c>
      <c r="AL742" s="22">
        <v>10000</v>
      </c>
      <c r="AM742" s="22"/>
      <c r="AN742" s="22" t="s">
        <v>2493</v>
      </c>
      <c r="AW742" s="17">
        <v>44699</v>
      </c>
      <c r="AX742" s="9">
        <v>859594</v>
      </c>
      <c r="AY742" s="9">
        <v>7620</v>
      </c>
      <c r="AZ742" s="9">
        <v>3.762</v>
      </c>
      <c r="BA742" s="11">
        <f>+AY742/AZ742</f>
        <v>2025.518341307815</v>
      </c>
      <c r="BB742" s="11" t="s">
        <v>1348</v>
      </c>
      <c r="BC742" s="17">
        <v>44699</v>
      </c>
      <c r="BD742" s="9">
        <v>12927</v>
      </c>
      <c r="BE742" s="11">
        <v>30000</v>
      </c>
      <c r="BF742" s="9">
        <v>3.762</v>
      </c>
      <c r="BG742" s="9">
        <f>+BE742/BF742</f>
        <v>7974.4816586921852</v>
      </c>
      <c r="BH742" s="11" t="s">
        <v>1348</v>
      </c>
      <c r="CS742" s="11">
        <f t="shared" si="53"/>
        <v>10000</v>
      </c>
      <c r="CT742" s="22">
        <f t="shared" si="54"/>
        <v>10000</v>
      </c>
      <c r="CU742" s="22">
        <f t="shared" si="56"/>
        <v>0</v>
      </c>
      <c r="CV742" s="26">
        <f t="shared" si="55"/>
        <v>0</v>
      </c>
    </row>
    <row r="743" spans="1:103" x14ac:dyDescent="0.2">
      <c r="A743" s="9" t="s">
        <v>266</v>
      </c>
      <c r="B743" s="2">
        <v>40</v>
      </c>
      <c r="C743" s="3" t="s">
        <v>95</v>
      </c>
      <c r="D743" s="3" t="s">
        <v>96</v>
      </c>
      <c r="E743" s="2" t="s">
        <v>67</v>
      </c>
      <c r="F743" s="2">
        <v>2</v>
      </c>
      <c r="G743" s="2" t="s">
        <v>70</v>
      </c>
      <c r="H743" s="2">
        <v>2</v>
      </c>
      <c r="I743" s="8">
        <v>125.02</v>
      </c>
      <c r="J743" s="8">
        <v>55564</v>
      </c>
      <c r="K743" s="3">
        <v>0</v>
      </c>
      <c r="L743" s="3" t="s">
        <v>3</v>
      </c>
      <c r="M743" s="9" t="s">
        <v>62</v>
      </c>
      <c r="N743" s="9" t="s">
        <v>20</v>
      </c>
      <c r="O743" s="9" t="s">
        <v>273</v>
      </c>
      <c r="S743" s="9" t="s">
        <v>158</v>
      </c>
      <c r="T743" s="10" t="s">
        <v>70</v>
      </c>
      <c r="U743" s="10">
        <v>2</v>
      </c>
      <c r="V743" s="10">
        <v>145.38</v>
      </c>
      <c r="W743" s="10" t="s">
        <v>710</v>
      </c>
      <c r="X743" s="17">
        <v>44699</v>
      </c>
      <c r="Y743" s="17">
        <v>44716</v>
      </c>
      <c r="Z743" s="19" t="s">
        <v>772</v>
      </c>
      <c r="AA743" s="210">
        <v>45900</v>
      </c>
      <c r="AB743" s="9">
        <v>24</v>
      </c>
      <c r="AC743" s="9">
        <v>1</v>
      </c>
      <c r="AD743" s="17">
        <v>44772</v>
      </c>
      <c r="AE743" s="56">
        <v>1495.83</v>
      </c>
      <c r="AF743" s="56"/>
      <c r="AG743" s="9" t="s">
        <v>275</v>
      </c>
      <c r="AH743" s="127">
        <v>44761</v>
      </c>
      <c r="AI743" s="104">
        <v>10075105725</v>
      </c>
      <c r="AJ743" s="22" t="s">
        <v>2502</v>
      </c>
      <c r="AK743" s="22" t="s">
        <v>289</v>
      </c>
      <c r="AL743" s="22">
        <v>1495.83</v>
      </c>
      <c r="AM743" s="22"/>
      <c r="AN743" s="22" t="s">
        <v>2495</v>
      </c>
      <c r="AW743" s="17">
        <v>44761</v>
      </c>
      <c r="AX743" s="9">
        <v>801</v>
      </c>
      <c r="BA743" s="40">
        <v>1495.83</v>
      </c>
      <c r="BB743" s="11" t="s">
        <v>1348</v>
      </c>
      <c r="BD743" s="9"/>
      <c r="CS743" s="11">
        <f t="shared" si="53"/>
        <v>1495.83</v>
      </c>
      <c r="CT743" s="22">
        <f t="shared" si="54"/>
        <v>1495.83</v>
      </c>
      <c r="CU743" s="22">
        <f t="shared" si="56"/>
        <v>0</v>
      </c>
      <c r="CV743" s="26">
        <f t="shared" si="55"/>
        <v>0</v>
      </c>
    </row>
    <row r="744" spans="1:103" x14ac:dyDescent="0.2">
      <c r="A744" s="9" t="s">
        <v>266</v>
      </c>
      <c r="B744" s="2">
        <v>40</v>
      </c>
      <c r="C744" s="3" t="s">
        <v>95</v>
      </c>
      <c r="D744" s="3" t="s">
        <v>96</v>
      </c>
      <c r="E744" s="2" t="s">
        <v>67</v>
      </c>
      <c r="F744" s="2">
        <v>2</v>
      </c>
      <c r="G744" s="2" t="s">
        <v>70</v>
      </c>
      <c r="H744" s="2">
        <v>2</v>
      </c>
      <c r="I744" s="8">
        <v>125.02</v>
      </c>
      <c r="J744" s="8">
        <v>55564</v>
      </c>
      <c r="K744" s="3">
        <v>0</v>
      </c>
      <c r="L744" s="3" t="s">
        <v>3</v>
      </c>
      <c r="M744" s="9" t="s">
        <v>62</v>
      </c>
      <c r="N744" s="9" t="s">
        <v>20</v>
      </c>
      <c r="O744" s="9" t="s">
        <v>273</v>
      </c>
      <c r="S744" s="9" t="s">
        <v>158</v>
      </c>
      <c r="T744" s="10" t="s">
        <v>70</v>
      </c>
      <c r="U744" s="10">
        <v>2</v>
      </c>
      <c r="V744" s="10">
        <v>145.38</v>
      </c>
      <c r="W744" s="10" t="s">
        <v>710</v>
      </c>
      <c r="X744" s="17">
        <v>44699</v>
      </c>
      <c r="Y744" s="17">
        <v>44716</v>
      </c>
      <c r="Z744" s="19" t="s">
        <v>772</v>
      </c>
      <c r="AA744" s="210">
        <v>45900</v>
      </c>
      <c r="AB744" s="9">
        <v>24</v>
      </c>
      <c r="AC744" s="9">
        <v>2</v>
      </c>
      <c r="AD744" s="17">
        <v>44803</v>
      </c>
      <c r="AE744" s="56">
        <v>1495.83</v>
      </c>
      <c r="AF744" s="56"/>
      <c r="AG744" s="9" t="s">
        <v>275</v>
      </c>
      <c r="AH744" s="127">
        <v>44789</v>
      </c>
      <c r="AI744" s="104">
        <v>10075105725</v>
      </c>
      <c r="AJ744" s="22" t="s">
        <v>2502</v>
      </c>
      <c r="AK744" s="22" t="s">
        <v>288</v>
      </c>
      <c r="AL744" s="22">
        <v>1495.83</v>
      </c>
      <c r="AM744" s="22"/>
      <c r="AN744" s="22" t="s">
        <v>2496</v>
      </c>
      <c r="AW744" s="42">
        <v>44788</v>
      </c>
      <c r="AX744" s="36">
        <v>855</v>
      </c>
      <c r="AY744" s="36"/>
      <c r="AZ744" s="36"/>
      <c r="BA744" s="40">
        <v>1495.83</v>
      </c>
      <c r="BD744" s="9"/>
      <c r="CS744" s="11">
        <f t="shared" si="53"/>
        <v>1495.83</v>
      </c>
      <c r="CT744" s="22">
        <f t="shared" si="54"/>
        <v>1495.83</v>
      </c>
      <c r="CU744" s="22">
        <f t="shared" si="56"/>
        <v>0</v>
      </c>
      <c r="CV744" s="26">
        <f t="shared" si="55"/>
        <v>0</v>
      </c>
    </row>
    <row r="745" spans="1:103" x14ac:dyDescent="0.2">
      <c r="A745" s="9" t="s">
        <v>266</v>
      </c>
      <c r="B745" s="2">
        <v>40</v>
      </c>
      <c r="C745" s="3" t="s">
        <v>95</v>
      </c>
      <c r="D745" s="3" t="s">
        <v>96</v>
      </c>
      <c r="E745" s="2" t="s">
        <v>67</v>
      </c>
      <c r="F745" s="2">
        <v>2</v>
      </c>
      <c r="G745" s="2" t="s">
        <v>70</v>
      </c>
      <c r="H745" s="2">
        <v>2</v>
      </c>
      <c r="I745" s="8">
        <v>125.02</v>
      </c>
      <c r="J745" s="8">
        <v>55564</v>
      </c>
      <c r="K745" s="3">
        <v>0</v>
      </c>
      <c r="L745" s="3" t="s">
        <v>3</v>
      </c>
      <c r="M745" s="9" t="s">
        <v>62</v>
      </c>
      <c r="N745" s="9" t="s">
        <v>20</v>
      </c>
      <c r="O745" s="9" t="s">
        <v>273</v>
      </c>
      <c r="S745" s="9" t="s">
        <v>158</v>
      </c>
      <c r="T745" s="10" t="s">
        <v>70</v>
      </c>
      <c r="U745" s="10">
        <v>2</v>
      </c>
      <c r="V745" s="10">
        <v>145.38</v>
      </c>
      <c r="W745" s="10" t="s">
        <v>710</v>
      </c>
      <c r="X745" s="17">
        <v>44699</v>
      </c>
      <c r="Y745" s="17">
        <v>44716</v>
      </c>
      <c r="Z745" s="19" t="s">
        <v>772</v>
      </c>
      <c r="AA745" s="210">
        <v>45900</v>
      </c>
      <c r="AB745" s="9">
        <v>24</v>
      </c>
      <c r="AC745" s="9">
        <v>3</v>
      </c>
      <c r="AD745" s="17">
        <v>44834</v>
      </c>
      <c r="AE745" s="56">
        <v>1495.83</v>
      </c>
      <c r="AF745" s="56"/>
      <c r="AG745" s="9" t="s">
        <v>275</v>
      </c>
      <c r="AH745" s="127">
        <v>44832</v>
      </c>
      <c r="AI745" s="104">
        <v>10075105725</v>
      </c>
      <c r="AJ745" s="22" t="s">
        <v>2502</v>
      </c>
      <c r="AK745" s="22" t="s">
        <v>287</v>
      </c>
      <c r="AL745" s="22">
        <v>1495.83</v>
      </c>
      <c r="AM745" s="22"/>
      <c r="AN745" s="22" t="s">
        <v>2498</v>
      </c>
      <c r="AW745" s="42">
        <v>44832</v>
      </c>
      <c r="AX745" s="36">
        <v>16416</v>
      </c>
      <c r="AY745" s="36">
        <v>5907.03</v>
      </c>
      <c r="AZ745" s="36">
        <v>3.9489999999999998</v>
      </c>
      <c r="BA745" s="40">
        <f>+AY745/AZ745</f>
        <v>1495.8293238794631</v>
      </c>
      <c r="BD745" s="9"/>
      <c r="CS745" s="11">
        <f t="shared" si="53"/>
        <v>1495.83</v>
      </c>
      <c r="CT745" s="22">
        <f t="shared" si="54"/>
        <v>1495.8293238794631</v>
      </c>
      <c r="CU745" s="22">
        <f t="shared" si="56"/>
        <v>6.7612053680932149E-4</v>
      </c>
      <c r="CV745" s="26">
        <f t="shared" si="55"/>
        <v>0</v>
      </c>
    </row>
    <row r="746" spans="1:103" x14ac:dyDescent="0.2">
      <c r="A746" s="9" t="s">
        <v>266</v>
      </c>
      <c r="B746" s="2">
        <v>40</v>
      </c>
      <c r="C746" s="3" t="s">
        <v>95</v>
      </c>
      <c r="D746" s="3" t="s">
        <v>96</v>
      </c>
      <c r="E746" s="2" t="s">
        <v>67</v>
      </c>
      <c r="F746" s="2">
        <v>2</v>
      </c>
      <c r="G746" s="2" t="s">
        <v>70</v>
      </c>
      <c r="H746" s="2">
        <v>2</v>
      </c>
      <c r="I746" s="8">
        <v>125.02</v>
      </c>
      <c r="J746" s="8">
        <v>55564</v>
      </c>
      <c r="K746" s="3">
        <v>0</v>
      </c>
      <c r="L746" s="3" t="s">
        <v>3</v>
      </c>
      <c r="M746" s="9" t="s">
        <v>62</v>
      </c>
      <c r="N746" s="9" t="s">
        <v>20</v>
      </c>
      <c r="O746" s="9" t="s">
        <v>273</v>
      </c>
      <c r="S746" s="9" t="s">
        <v>158</v>
      </c>
      <c r="T746" s="10" t="s">
        <v>70</v>
      </c>
      <c r="U746" s="10">
        <v>2</v>
      </c>
      <c r="V746" s="10">
        <v>145.38</v>
      </c>
      <c r="W746" s="10" t="s">
        <v>710</v>
      </c>
      <c r="X746" s="17">
        <v>44699</v>
      </c>
      <c r="Y746" s="17">
        <v>44716</v>
      </c>
      <c r="Z746" s="19" t="s">
        <v>772</v>
      </c>
      <c r="AA746" s="210">
        <v>45900</v>
      </c>
      <c r="AB746" s="9">
        <v>24</v>
      </c>
      <c r="AC746" s="9">
        <v>4</v>
      </c>
      <c r="AD746" s="17">
        <v>44864</v>
      </c>
      <c r="AE746" s="56">
        <v>1495.83</v>
      </c>
      <c r="AF746" s="56"/>
      <c r="AG746" s="9" t="s">
        <v>275</v>
      </c>
      <c r="AH746" s="127">
        <v>44858</v>
      </c>
      <c r="AI746" s="104">
        <v>10075105725</v>
      </c>
      <c r="AJ746" s="22" t="s">
        <v>2502</v>
      </c>
      <c r="AK746" s="22" t="s">
        <v>274</v>
      </c>
      <c r="AL746" s="22">
        <v>1495.83</v>
      </c>
      <c r="AM746" s="22"/>
      <c r="AN746" s="22" t="s">
        <v>2501</v>
      </c>
      <c r="AW746" s="42">
        <v>44855</v>
      </c>
      <c r="AX746" s="36">
        <v>17145</v>
      </c>
      <c r="AY746" s="36">
        <v>5950.41</v>
      </c>
      <c r="AZ746" s="36">
        <v>3.9780000000000002</v>
      </c>
      <c r="BA746" s="40">
        <f>+AY746/AZ746</f>
        <v>1495.8295625942683</v>
      </c>
      <c r="BD746" s="9"/>
      <c r="CS746" s="11">
        <f t="shared" si="53"/>
        <v>1495.83</v>
      </c>
      <c r="CT746" s="22">
        <f t="shared" si="54"/>
        <v>1495.8295625942683</v>
      </c>
      <c r="CU746" s="22">
        <f t="shared" si="56"/>
        <v>4.3740573164541274E-4</v>
      </c>
      <c r="CV746" s="26">
        <f t="shared" si="55"/>
        <v>0</v>
      </c>
    </row>
    <row r="747" spans="1:103" x14ac:dyDescent="0.2">
      <c r="A747" s="9" t="s">
        <v>266</v>
      </c>
      <c r="B747" s="2">
        <v>40</v>
      </c>
      <c r="C747" s="3" t="s">
        <v>95</v>
      </c>
      <c r="D747" s="3" t="s">
        <v>96</v>
      </c>
      <c r="E747" s="2" t="s">
        <v>67</v>
      </c>
      <c r="F747" s="2">
        <v>2</v>
      </c>
      <c r="G747" s="2" t="s">
        <v>70</v>
      </c>
      <c r="H747" s="2">
        <v>2</v>
      </c>
      <c r="I747" s="8">
        <v>125.02</v>
      </c>
      <c r="J747" s="8">
        <v>55564</v>
      </c>
      <c r="K747" s="3">
        <v>0</v>
      </c>
      <c r="L747" s="3" t="s">
        <v>3</v>
      </c>
      <c r="M747" s="9" t="s">
        <v>62</v>
      </c>
      <c r="N747" s="9" t="s">
        <v>20</v>
      </c>
      <c r="O747" s="9" t="s">
        <v>273</v>
      </c>
      <c r="S747" s="9" t="s">
        <v>158</v>
      </c>
      <c r="T747" s="10" t="s">
        <v>70</v>
      </c>
      <c r="U747" s="10">
        <v>2</v>
      </c>
      <c r="V747" s="10">
        <v>145.38</v>
      </c>
      <c r="W747" s="10" t="s">
        <v>710</v>
      </c>
      <c r="X747" s="17">
        <v>44699</v>
      </c>
      <c r="Y747" s="17">
        <v>44716</v>
      </c>
      <c r="Z747" s="19" t="s">
        <v>772</v>
      </c>
      <c r="AA747" s="210">
        <v>45900</v>
      </c>
      <c r="AB747" s="9">
        <v>24</v>
      </c>
      <c r="AC747" s="9">
        <v>5</v>
      </c>
      <c r="AD747" s="17">
        <v>44895</v>
      </c>
      <c r="AE747" s="56">
        <v>1495.83</v>
      </c>
      <c r="AF747" s="56"/>
      <c r="AG747" s="9" t="s">
        <v>275</v>
      </c>
      <c r="AH747" s="127">
        <v>44939</v>
      </c>
      <c r="AI747" s="104">
        <v>10075105725</v>
      </c>
      <c r="AJ747" s="22" t="s">
        <v>2502</v>
      </c>
      <c r="AK747" s="22" t="s">
        <v>284</v>
      </c>
      <c r="AL747" s="22">
        <v>1495.83</v>
      </c>
      <c r="AM747" s="22"/>
      <c r="AN747" s="22" t="s">
        <v>2525</v>
      </c>
      <c r="AW747" s="42">
        <v>44938</v>
      </c>
      <c r="AX747" s="36">
        <v>1146</v>
      </c>
      <c r="AY747" s="36"/>
      <c r="AZ747" s="36"/>
      <c r="BA747" s="40">
        <v>1495.83</v>
      </c>
      <c r="BD747" s="9"/>
      <c r="CS747" s="11">
        <f t="shared" si="53"/>
        <v>1495.83</v>
      </c>
      <c r="CT747" s="22">
        <f t="shared" si="54"/>
        <v>1495.83</v>
      </c>
      <c r="CU747" s="22">
        <f t="shared" si="56"/>
        <v>0</v>
      </c>
      <c r="CV747" s="26">
        <f t="shared" si="55"/>
        <v>0</v>
      </c>
    </row>
    <row r="748" spans="1:103" ht="12.75" x14ac:dyDescent="0.2">
      <c r="A748" s="9" t="s">
        <v>266</v>
      </c>
      <c r="B748" s="2">
        <v>40</v>
      </c>
      <c r="C748" s="3" t="s">
        <v>95</v>
      </c>
      <c r="D748" s="3" t="s">
        <v>96</v>
      </c>
      <c r="E748" s="2" t="s">
        <v>67</v>
      </c>
      <c r="F748" s="2">
        <v>2</v>
      </c>
      <c r="G748" s="2" t="s">
        <v>70</v>
      </c>
      <c r="H748" s="2">
        <v>2</v>
      </c>
      <c r="I748" s="8">
        <v>125.02</v>
      </c>
      <c r="J748" s="8">
        <v>55564</v>
      </c>
      <c r="K748" s="3">
        <v>0</v>
      </c>
      <c r="L748" s="3" t="s">
        <v>3</v>
      </c>
      <c r="M748" s="9" t="s">
        <v>62</v>
      </c>
      <c r="N748" s="9" t="s">
        <v>20</v>
      </c>
      <c r="O748" s="9" t="s">
        <v>273</v>
      </c>
      <c r="S748" s="9" t="s">
        <v>158</v>
      </c>
      <c r="T748" s="10" t="s">
        <v>70</v>
      </c>
      <c r="U748" s="10">
        <v>2</v>
      </c>
      <c r="V748" s="10">
        <v>145.38</v>
      </c>
      <c r="W748" s="10" t="s">
        <v>710</v>
      </c>
      <c r="X748" s="17">
        <v>44699</v>
      </c>
      <c r="Y748" s="17">
        <v>44716</v>
      </c>
      <c r="Z748" s="19" t="s">
        <v>772</v>
      </c>
      <c r="AA748" s="210">
        <v>45900</v>
      </c>
      <c r="AB748" s="9">
        <v>24</v>
      </c>
      <c r="AC748" s="9">
        <v>6</v>
      </c>
      <c r="AD748" s="17">
        <v>44925</v>
      </c>
      <c r="AE748" s="56">
        <v>1495.83</v>
      </c>
      <c r="AF748" s="56"/>
      <c r="AG748" s="9" t="s">
        <v>275</v>
      </c>
      <c r="AH748" s="127">
        <v>44957</v>
      </c>
      <c r="AI748" s="104">
        <v>10075105725</v>
      </c>
      <c r="AJ748" s="22" t="s">
        <v>2502</v>
      </c>
      <c r="AK748" s="22" t="s">
        <v>283</v>
      </c>
      <c r="AL748" s="22">
        <v>1495.83</v>
      </c>
      <c r="AM748" s="22"/>
      <c r="AN748" s="22" t="s">
        <v>2527</v>
      </c>
      <c r="AW748" s="108">
        <v>44956</v>
      </c>
      <c r="AX748" s="109">
        <v>1173</v>
      </c>
      <c r="AY748" s="36"/>
      <c r="AZ748" s="36"/>
      <c r="BA748" s="40">
        <v>1495.83</v>
      </c>
      <c r="BD748" s="9"/>
      <c r="CS748" s="11">
        <f t="shared" si="53"/>
        <v>1495.83</v>
      </c>
      <c r="CT748" s="22">
        <f t="shared" si="54"/>
        <v>1495.83</v>
      </c>
      <c r="CU748" s="22">
        <f t="shared" si="56"/>
        <v>0</v>
      </c>
      <c r="CV748" s="26">
        <f t="shared" si="55"/>
        <v>0</v>
      </c>
    </row>
    <row r="749" spans="1:103" ht="12.75" x14ac:dyDescent="0.2">
      <c r="A749" s="9" t="s">
        <v>266</v>
      </c>
      <c r="B749" s="2">
        <v>40</v>
      </c>
      <c r="C749" s="3" t="s">
        <v>95</v>
      </c>
      <c r="D749" s="3" t="s">
        <v>96</v>
      </c>
      <c r="E749" s="2" t="s">
        <v>67</v>
      </c>
      <c r="F749" s="2">
        <v>2</v>
      </c>
      <c r="G749" s="2" t="s">
        <v>70</v>
      </c>
      <c r="H749" s="2">
        <v>2</v>
      </c>
      <c r="I749" s="8">
        <v>125.02</v>
      </c>
      <c r="J749" s="8">
        <v>55564</v>
      </c>
      <c r="K749" s="3">
        <v>0</v>
      </c>
      <c r="L749" s="3" t="s">
        <v>3</v>
      </c>
      <c r="M749" s="9" t="s">
        <v>62</v>
      </c>
      <c r="N749" s="9" t="s">
        <v>20</v>
      </c>
      <c r="O749" s="9" t="s">
        <v>273</v>
      </c>
      <c r="S749" s="9" t="s">
        <v>158</v>
      </c>
      <c r="T749" s="10" t="s">
        <v>70</v>
      </c>
      <c r="U749" s="10">
        <v>2</v>
      </c>
      <c r="V749" s="10">
        <v>145.38</v>
      </c>
      <c r="W749" s="10" t="s">
        <v>710</v>
      </c>
      <c r="X749" s="17">
        <v>44699</v>
      </c>
      <c r="Y749" s="17">
        <v>44716</v>
      </c>
      <c r="Z749" s="19" t="s">
        <v>772</v>
      </c>
      <c r="AA749" s="210">
        <v>45900</v>
      </c>
      <c r="AB749" s="9">
        <v>24</v>
      </c>
      <c r="AC749" s="9">
        <v>7</v>
      </c>
      <c r="AD749" s="17">
        <v>44956</v>
      </c>
      <c r="AE749" s="56">
        <v>1495.83</v>
      </c>
      <c r="AF749" s="56"/>
      <c r="AG749" s="9" t="s">
        <v>275</v>
      </c>
      <c r="AH749" s="127">
        <v>44980</v>
      </c>
      <c r="AI749" s="104">
        <v>10075105725</v>
      </c>
      <c r="AJ749" s="22" t="s">
        <v>2502</v>
      </c>
      <c r="AK749" s="22" t="s">
        <v>281</v>
      </c>
      <c r="AL749" s="22">
        <v>1495.83</v>
      </c>
      <c r="AM749" s="22"/>
      <c r="AN749" s="22" t="s">
        <v>2528</v>
      </c>
      <c r="AW749" s="108">
        <v>44979</v>
      </c>
      <c r="AX749" s="109">
        <v>1241</v>
      </c>
      <c r="AY749" s="36"/>
      <c r="AZ749" s="36"/>
      <c r="BA749" s="40">
        <v>1495.83</v>
      </c>
      <c r="BD749" s="9"/>
      <c r="CS749" s="11">
        <f t="shared" si="53"/>
        <v>1495.83</v>
      </c>
      <c r="CT749" s="22">
        <f t="shared" si="54"/>
        <v>1495.83</v>
      </c>
      <c r="CU749" s="22">
        <f t="shared" si="56"/>
        <v>0</v>
      </c>
      <c r="CV749" s="26">
        <f t="shared" si="55"/>
        <v>0</v>
      </c>
    </row>
    <row r="750" spans="1:103" x14ac:dyDescent="0.2">
      <c r="A750" s="9" t="s">
        <v>266</v>
      </c>
      <c r="B750" s="2">
        <v>40</v>
      </c>
      <c r="C750" s="3" t="s">
        <v>95</v>
      </c>
      <c r="D750" s="3" t="s">
        <v>96</v>
      </c>
      <c r="E750" s="2" t="s">
        <v>67</v>
      </c>
      <c r="F750" s="2">
        <v>2</v>
      </c>
      <c r="G750" s="2" t="s">
        <v>70</v>
      </c>
      <c r="H750" s="2">
        <v>2</v>
      </c>
      <c r="I750" s="8">
        <v>125.02</v>
      </c>
      <c r="J750" s="8">
        <v>55564</v>
      </c>
      <c r="K750" s="3">
        <v>0</v>
      </c>
      <c r="L750" s="3" t="s">
        <v>3</v>
      </c>
      <c r="M750" s="9" t="s">
        <v>62</v>
      </c>
      <c r="N750" s="9" t="s">
        <v>20</v>
      </c>
      <c r="O750" s="9" t="s">
        <v>273</v>
      </c>
      <c r="S750" s="9" t="s">
        <v>158</v>
      </c>
      <c r="T750" s="10" t="s">
        <v>70</v>
      </c>
      <c r="U750" s="10">
        <v>2</v>
      </c>
      <c r="V750" s="10">
        <v>145.38</v>
      </c>
      <c r="W750" s="10" t="s">
        <v>710</v>
      </c>
      <c r="X750" s="17">
        <v>44699</v>
      </c>
      <c r="Y750" s="17">
        <v>44716</v>
      </c>
      <c r="Z750" s="19" t="s">
        <v>772</v>
      </c>
      <c r="AA750" s="210">
        <v>45900</v>
      </c>
      <c r="AB750" s="9">
        <v>24</v>
      </c>
      <c r="AC750" s="9">
        <v>8</v>
      </c>
      <c r="AD750" s="17">
        <v>44985</v>
      </c>
      <c r="AE750" s="56">
        <v>1495.83</v>
      </c>
      <c r="AF750" s="56"/>
      <c r="AG750" s="9" t="s">
        <v>275</v>
      </c>
      <c r="AH750" s="127">
        <v>44995</v>
      </c>
      <c r="AI750" s="104">
        <v>10075105725</v>
      </c>
      <c r="AJ750" s="22" t="s">
        <v>2502</v>
      </c>
      <c r="AK750" s="22" t="s">
        <v>2504</v>
      </c>
      <c r="AL750" s="22">
        <v>1495.83</v>
      </c>
      <c r="AM750" s="22"/>
      <c r="AN750" s="22" t="s">
        <v>2530</v>
      </c>
      <c r="AW750" s="42">
        <v>44995</v>
      </c>
      <c r="AX750" s="36">
        <v>1309</v>
      </c>
      <c r="AY750" s="36"/>
      <c r="AZ750" s="36"/>
      <c r="BA750" s="40">
        <v>1495.83</v>
      </c>
      <c r="BD750" s="9"/>
      <c r="CS750" s="11">
        <f t="shared" si="53"/>
        <v>1495.83</v>
      </c>
      <c r="CT750" s="22">
        <f t="shared" si="54"/>
        <v>1495.83</v>
      </c>
      <c r="CU750" s="22">
        <f t="shared" si="56"/>
        <v>0</v>
      </c>
      <c r="CV750" s="26">
        <f t="shared" si="55"/>
        <v>0</v>
      </c>
    </row>
    <row r="751" spans="1:103" x14ac:dyDescent="0.2">
      <c r="A751" s="9" t="s">
        <v>266</v>
      </c>
      <c r="B751" s="2">
        <v>40</v>
      </c>
      <c r="C751" s="3" t="s">
        <v>95</v>
      </c>
      <c r="D751" s="3" t="s">
        <v>96</v>
      </c>
      <c r="E751" s="2" t="s">
        <v>67</v>
      </c>
      <c r="F751" s="2">
        <v>2</v>
      </c>
      <c r="G751" s="2" t="s">
        <v>70</v>
      </c>
      <c r="H751" s="2">
        <v>2</v>
      </c>
      <c r="I751" s="8">
        <v>125.02</v>
      </c>
      <c r="J751" s="8">
        <v>55564</v>
      </c>
      <c r="K751" s="3">
        <v>0</v>
      </c>
      <c r="L751" s="3" t="s">
        <v>3</v>
      </c>
      <c r="M751" s="9" t="s">
        <v>62</v>
      </c>
      <c r="N751" s="9" t="s">
        <v>20</v>
      </c>
      <c r="O751" s="9" t="s">
        <v>273</v>
      </c>
      <c r="S751" s="9" t="s">
        <v>158</v>
      </c>
      <c r="T751" s="10" t="s">
        <v>70</v>
      </c>
      <c r="U751" s="10">
        <v>2</v>
      </c>
      <c r="V751" s="10">
        <v>145.38</v>
      </c>
      <c r="W751" s="10" t="s">
        <v>710</v>
      </c>
      <c r="X751" s="17">
        <v>44699</v>
      </c>
      <c r="Y751" s="17">
        <v>44716</v>
      </c>
      <c r="Z751" s="19" t="s">
        <v>772</v>
      </c>
      <c r="AA751" s="210">
        <v>45900</v>
      </c>
      <c r="AB751" s="9">
        <v>24</v>
      </c>
      <c r="AC751" s="9">
        <v>9</v>
      </c>
      <c r="AD751" s="17">
        <v>45015</v>
      </c>
      <c r="AE751" s="56">
        <v>1495.83</v>
      </c>
      <c r="AF751" s="56"/>
      <c r="AG751" s="9" t="s">
        <v>275</v>
      </c>
      <c r="AH751" s="127">
        <v>45033</v>
      </c>
      <c r="AI751" s="104">
        <v>10075105725</v>
      </c>
      <c r="AJ751" s="22" t="s">
        <v>2502</v>
      </c>
      <c r="AK751" s="22" t="s">
        <v>2507</v>
      </c>
      <c r="AL751" s="22">
        <v>1495.83</v>
      </c>
      <c r="AM751" s="22"/>
      <c r="AN751" s="22" t="s">
        <v>2533</v>
      </c>
      <c r="AW751" s="42">
        <v>45033</v>
      </c>
      <c r="AX751" s="36">
        <v>1411</v>
      </c>
      <c r="AY751" s="36"/>
      <c r="AZ751" s="36"/>
      <c r="BA751" s="40">
        <v>1495.83</v>
      </c>
      <c r="BD751" s="9"/>
      <c r="CS751" s="11">
        <f t="shared" si="53"/>
        <v>1495.83</v>
      </c>
      <c r="CT751" s="22">
        <f t="shared" si="54"/>
        <v>1495.83</v>
      </c>
      <c r="CU751" s="22">
        <f t="shared" si="56"/>
        <v>0</v>
      </c>
      <c r="CV751" s="26">
        <f t="shared" si="55"/>
        <v>0</v>
      </c>
    </row>
    <row r="752" spans="1:103" x14ac:dyDescent="0.2">
      <c r="A752" s="9" t="s">
        <v>266</v>
      </c>
      <c r="B752" s="2">
        <v>40</v>
      </c>
      <c r="C752" s="3" t="s">
        <v>95</v>
      </c>
      <c r="D752" s="3" t="s">
        <v>96</v>
      </c>
      <c r="E752" s="2" t="s">
        <v>67</v>
      </c>
      <c r="F752" s="2">
        <v>2</v>
      </c>
      <c r="G752" s="2" t="s">
        <v>70</v>
      </c>
      <c r="H752" s="2">
        <v>2</v>
      </c>
      <c r="I752" s="8">
        <v>125.02</v>
      </c>
      <c r="J752" s="8">
        <v>55564</v>
      </c>
      <c r="K752" s="3">
        <v>0</v>
      </c>
      <c r="L752" s="3" t="s">
        <v>3</v>
      </c>
      <c r="M752" s="9" t="s">
        <v>62</v>
      </c>
      <c r="N752" s="9" t="s">
        <v>20</v>
      </c>
      <c r="O752" s="9" t="s">
        <v>273</v>
      </c>
      <c r="S752" s="9" t="s">
        <v>158</v>
      </c>
      <c r="T752" s="10" t="s">
        <v>70</v>
      </c>
      <c r="U752" s="10">
        <v>2</v>
      </c>
      <c r="V752" s="10">
        <v>145.38</v>
      </c>
      <c r="W752" s="10" t="s">
        <v>710</v>
      </c>
      <c r="X752" s="17">
        <v>44699</v>
      </c>
      <c r="Y752" s="17">
        <v>44716</v>
      </c>
      <c r="Z752" s="19" t="s">
        <v>772</v>
      </c>
      <c r="AA752" s="210">
        <v>45900</v>
      </c>
      <c r="AB752" s="9">
        <v>24</v>
      </c>
      <c r="AC752" s="9">
        <v>10</v>
      </c>
      <c r="AD752" s="17">
        <v>45046</v>
      </c>
      <c r="AE752" s="56">
        <v>1495.83</v>
      </c>
      <c r="AF752" s="56"/>
      <c r="AG752" s="9" t="s">
        <v>275</v>
      </c>
      <c r="AH752" s="127">
        <v>45052</v>
      </c>
      <c r="AI752" s="104">
        <v>10075105725</v>
      </c>
      <c r="AJ752" s="22" t="s">
        <v>2502</v>
      </c>
      <c r="AK752" s="22" t="s">
        <v>2508</v>
      </c>
      <c r="AL752" s="22">
        <v>1495.83</v>
      </c>
      <c r="AM752" s="22"/>
      <c r="AN752" s="22" t="s">
        <v>2534</v>
      </c>
      <c r="AW752" s="42">
        <v>45049</v>
      </c>
      <c r="AX752" s="36">
        <v>1472</v>
      </c>
      <c r="AY752" s="36"/>
      <c r="AZ752" s="36"/>
      <c r="BA752" s="40">
        <v>1495.83</v>
      </c>
      <c r="BD752" s="9"/>
      <c r="CS752" s="11">
        <f t="shared" si="53"/>
        <v>1495.83</v>
      </c>
      <c r="CT752" s="22">
        <f t="shared" si="54"/>
        <v>1495.83</v>
      </c>
      <c r="CU752" s="22">
        <f t="shared" si="56"/>
        <v>0</v>
      </c>
      <c r="CV752" s="26">
        <f t="shared" si="55"/>
        <v>0</v>
      </c>
    </row>
    <row r="753" spans="1:100" x14ac:dyDescent="0.2">
      <c r="A753" s="9" t="s">
        <v>266</v>
      </c>
      <c r="B753" s="2">
        <v>40</v>
      </c>
      <c r="C753" s="3" t="s">
        <v>95</v>
      </c>
      <c r="D753" s="3" t="s">
        <v>96</v>
      </c>
      <c r="E753" s="2" t="s">
        <v>67</v>
      </c>
      <c r="F753" s="2">
        <v>2</v>
      </c>
      <c r="G753" s="2" t="s">
        <v>70</v>
      </c>
      <c r="H753" s="2">
        <v>2</v>
      </c>
      <c r="I753" s="8">
        <v>125.02</v>
      </c>
      <c r="J753" s="8">
        <v>55564</v>
      </c>
      <c r="K753" s="3">
        <v>0</v>
      </c>
      <c r="L753" s="3" t="s">
        <v>3</v>
      </c>
      <c r="M753" s="9" t="s">
        <v>62</v>
      </c>
      <c r="N753" s="9" t="s">
        <v>20</v>
      </c>
      <c r="O753" s="9" t="s">
        <v>273</v>
      </c>
      <c r="S753" s="9" t="s">
        <v>158</v>
      </c>
      <c r="T753" s="10" t="s">
        <v>70</v>
      </c>
      <c r="U753" s="10">
        <v>2</v>
      </c>
      <c r="V753" s="10">
        <v>145.38</v>
      </c>
      <c r="W753" s="10" t="s">
        <v>710</v>
      </c>
      <c r="X753" s="17">
        <v>44699</v>
      </c>
      <c r="Y753" s="17">
        <v>44716</v>
      </c>
      <c r="Z753" s="19" t="s">
        <v>772</v>
      </c>
      <c r="AA753" s="210">
        <v>45900</v>
      </c>
      <c r="AB753" s="9">
        <v>24</v>
      </c>
      <c r="AC753" s="9">
        <v>11</v>
      </c>
      <c r="AD753" s="17">
        <v>45076</v>
      </c>
      <c r="AE753" s="56">
        <v>1495.83</v>
      </c>
      <c r="AF753" s="56"/>
      <c r="AG753" s="9" t="s">
        <v>275</v>
      </c>
      <c r="AH753" s="127">
        <v>45108</v>
      </c>
      <c r="AI753" s="104">
        <v>10075105725</v>
      </c>
      <c r="AJ753" s="22" t="s">
        <v>2502</v>
      </c>
      <c r="AK753" s="22" t="s">
        <v>2511</v>
      </c>
      <c r="AL753" s="22">
        <v>1495.83</v>
      </c>
      <c r="AM753" s="22"/>
      <c r="AN753" s="22" t="s">
        <v>2537</v>
      </c>
      <c r="AW753" s="42">
        <v>45104</v>
      </c>
      <c r="AX753" s="36">
        <v>1647</v>
      </c>
      <c r="AY753" s="36"/>
      <c r="AZ753" s="36"/>
      <c r="BA753" s="40">
        <v>1495.83</v>
      </c>
      <c r="BD753" s="9"/>
      <c r="CS753" s="11">
        <f t="shared" si="53"/>
        <v>1495.83</v>
      </c>
      <c r="CT753" s="22">
        <f t="shared" si="54"/>
        <v>1495.83</v>
      </c>
      <c r="CU753" s="22">
        <f t="shared" si="56"/>
        <v>0</v>
      </c>
      <c r="CV753" s="26">
        <f t="shared" si="55"/>
        <v>0</v>
      </c>
    </row>
    <row r="754" spans="1:100" ht="12.75" x14ac:dyDescent="0.2">
      <c r="A754" s="9" t="s">
        <v>266</v>
      </c>
      <c r="B754" s="2">
        <v>40</v>
      </c>
      <c r="C754" s="3" t="s">
        <v>95</v>
      </c>
      <c r="D754" s="3" t="s">
        <v>96</v>
      </c>
      <c r="E754" s="2" t="s">
        <v>67</v>
      </c>
      <c r="F754" s="2">
        <v>2</v>
      </c>
      <c r="G754" s="2" t="s">
        <v>70</v>
      </c>
      <c r="H754" s="2">
        <v>2</v>
      </c>
      <c r="I754" s="8">
        <v>125.02</v>
      </c>
      <c r="J754" s="8">
        <v>55564</v>
      </c>
      <c r="K754" s="3">
        <v>0</v>
      </c>
      <c r="L754" s="3" t="s">
        <v>3</v>
      </c>
      <c r="M754" s="9" t="s">
        <v>62</v>
      </c>
      <c r="N754" s="9" t="s">
        <v>20</v>
      </c>
      <c r="O754" s="9" t="s">
        <v>273</v>
      </c>
      <c r="S754" s="9" t="s">
        <v>158</v>
      </c>
      <c r="T754" s="10" t="s">
        <v>70</v>
      </c>
      <c r="U754" s="10">
        <v>2</v>
      </c>
      <c r="V754" s="10">
        <v>145.38</v>
      </c>
      <c r="W754" s="10" t="s">
        <v>710</v>
      </c>
      <c r="X754" s="17">
        <v>44699</v>
      </c>
      <c r="Y754" s="17">
        <v>44716</v>
      </c>
      <c r="Z754" s="19" t="s">
        <v>772</v>
      </c>
      <c r="AA754" s="210">
        <v>45900</v>
      </c>
      <c r="AB754" s="9">
        <v>24</v>
      </c>
      <c r="AC754" s="9">
        <v>12</v>
      </c>
      <c r="AD754" s="17">
        <v>45107</v>
      </c>
      <c r="AE754" s="56">
        <v>1495.83</v>
      </c>
      <c r="AF754" s="56"/>
      <c r="AG754" s="9" t="s">
        <v>275</v>
      </c>
      <c r="AH754" s="127">
        <v>45159</v>
      </c>
      <c r="AI754" s="104">
        <v>10075105725</v>
      </c>
      <c r="AJ754" s="22" t="s">
        <v>2502</v>
      </c>
      <c r="AK754" s="22" t="s">
        <v>2513</v>
      </c>
      <c r="AL754" s="22">
        <v>1495.83</v>
      </c>
      <c r="AM754" s="22"/>
      <c r="AN754" s="22" t="s">
        <v>2539</v>
      </c>
      <c r="AW754" s="108">
        <v>45159</v>
      </c>
      <c r="AX754" s="109">
        <v>1837</v>
      </c>
      <c r="AY754" s="36"/>
      <c r="AZ754" s="36"/>
      <c r="BA754" s="40">
        <v>1495.83</v>
      </c>
      <c r="BD754" s="9"/>
      <c r="CS754" s="11">
        <f t="shared" si="53"/>
        <v>1495.83</v>
      </c>
      <c r="CT754" s="22">
        <f t="shared" si="54"/>
        <v>1495.83</v>
      </c>
      <c r="CU754" s="22">
        <f t="shared" si="56"/>
        <v>0</v>
      </c>
      <c r="CV754" s="26">
        <f t="shared" si="55"/>
        <v>0</v>
      </c>
    </row>
    <row r="755" spans="1:100" ht="12.75" x14ac:dyDescent="0.2">
      <c r="A755" s="9" t="s">
        <v>266</v>
      </c>
      <c r="B755" s="2">
        <v>40</v>
      </c>
      <c r="C755" s="3" t="s">
        <v>95</v>
      </c>
      <c r="D755" s="3" t="s">
        <v>96</v>
      </c>
      <c r="E755" s="2" t="s">
        <v>67</v>
      </c>
      <c r="F755" s="2">
        <v>2</v>
      </c>
      <c r="G755" s="2" t="s">
        <v>70</v>
      </c>
      <c r="H755" s="2">
        <v>2</v>
      </c>
      <c r="I755" s="8">
        <v>125.02</v>
      </c>
      <c r="J755" s="8">
        <v>55564</v>
      </c>
      <c r="K755" s="3">
        <v>0</v>
      </c>
      <c r="L755" s="3" t="s">
        <v>3</v>
      </c>
      <c r="M755" s="9" t="s">
        <v>62</v>
      </c>
      <c r="N755" s="9" t="s">
        <v>20</v>
      </c>
      <c r="O755" s="9" t="s">
        <v>273</v>
      </c>
      <c r="S755" s="9" t="s">
        <v>158</v>
      </c>
      <c r="T755" s="10" t="s">
        <v>70</v>
      </c>
      <c r="U755" s="10">
        <v>2</v>
      </c>
      <c r="V755" s="10">
        <v>145.38</v>
      </c>
      <c r="W755" s="10" t="s">
        <v>710</v>
      </c>
      <c r="X755" s="17">
        <v>44699</v>
      </c>
      <c r="Y755" s="17">
        <v>44716</v>
      </c>
      <c r="Z755" s="19" t="s">
        <v>772</v>
      </c>
      <c r="AA755" s="210">
        <v>45900</v>
      </c>
      <c r="AB755" s="9">
        <v>24</v>
      </c>
      <c r="AC755" s="9">
        <v>13</v>
      </c>
      <c r="AD755" s="17">
        <v>45137</v>
      </c>
      <c r="AE755" s="56">
        <v>1495.83</v>
      </c>
      <c r="AF755" s="56"/>
      <c r="AG755" s="9" t="s">
        <v>275</v>
      </c>
      <c r="AH755" s="127">
        <v>45159</v>
      </c>
      <c r="AI755" s="104">
        <v>10075105725</v>
      </c>
      <c r="AJ755" s="22" t="s">
        <v>2502</v>
      </c>
      <c r="AK755" s="22" t="s">
        <v>2514</v>
      </c>
      <c r="AL755" s="22">
        <v>1495.83</v>
      </c>
      <c r="AM755" s="22"/>
      <c r="AN755" s="22" t="s">
        <v>2540</v>
      </c>
      <c r="AW755" s="108">
        <v>45159</v>
      </c>
      <c r="AX755" s="109">
        <v>1835</v>
      </c>
      <c r="AY755" s="36"/>
      <c r="AZ755" s="36"/>
      <c r="BA755" s="40">
        <v>1495.83</v>
      </c>
      <c r="BD755" s="9"/>
      <c r="CS755" s="11">
        <f t="shared" si="53"/>
        <v>1495.83</v>
      </c>
      <c r="CT755" s="22">
        <f t="shared" si="54"/>
        <v>1495.83</v>
      </c>
      <c r="CU755" s="22">
        <f t="shared" si="56"/>
        <v>0</v>
      </c>
      <c r="CV755" s="26">
        <f t="shared" si="55"/>
        <v>0</v>
      </c>
    </row>
    <row r="756" spans="1:100" ht="12.75" x14ac:dyDescent="0.2">
      <c r="A756" s="9" t="s">
        <v>266</v>
      </c>
      <c r="B756" s="2">
        <v>40</v>
      </c>
      <c r="C756" s="3" t="s">
        <v>95</v>
      </c>
      <c r="D756" s="3" t="s">
        <v>96</v>
      </c>
      <c r="E756" s="2" t="s">
        <v>67</v>
      </c>
      <c r="F756" s="2">
        <v>2</v>
      </c>
      <c r="G756" s="2" t="s">
        <v>70</v>
      </c>
      <c r="H756" s="2">
        <v>2</v>
      </c>
      <c r="I756" s="8">
        <v>125.02</v>
      </c>
      <c r="J756" s="8">
        <v>55564</v>
      </c>
      <c r="K756" s="3">
        <v>0</v>
      </c>
      <c r="L756" s="3" t="s">
        <v>3</v>
      </c>
      <c r="M756" s="9" t="s">
        <v>62</v>
      </c>
      <c r="N756" s="9" t="s">
        <v>20</v>
      </c>
      <c r="O756" s="9" t="s">
        <v>273</v>
      </c>
      <c r="S756" s="9" t="s">
        <v>158</v>
      </c>
      <c r="T756" s="10" t="s">
        <v>70</v>
      </c>
      <c r="U756" s="10">
        <v>2</v>
      </c>
      <c r="V756" s="10">
        <v>145.38</v>
      </c>
      <c r="W756" s="10" t="s">
        <v>710</v>
      </c>
      <c r="X756" s="17">
        <v>44699</v>
      </c>
      <c r="Y756" s="17">
        <v>44716</v>
      </c>
      <c r="Z756" s="19" t="s">
        <v>772</v>
      </c>
      <c r="AA756" s="210">
        <v>45900</v>
      </c>
      <c r="AB756" s="9">
        <v>24</v>
      </c>
      <c r="AC756" s="9">
        <v>14</v>
      </c>
      <c r="AD756" s="17">
        <v>45168</v>
      </c>
      <c r="AE756" s="56">
        <v>1495.83</v>
      </c>
      <c r="AF756" s="56"/>
      <c r="AG756" s="9" t="s">
        <v>275</v>
      </c>
      <c r="AH756" s="127">
        <v>45204</v>
      </c>
      <c r="AI756" s="104">
        <v>10075105725</v>
      </c>
      <c r="AJ756" s="22" t="s">
        <v>2502</v>
      </c>
      <c r="AK756" s="22" t="s">
        <v>2516</v>
      </c>
      <c r="AL756" s="22">
        <v>1495.83</v>
      </c>
      <c r="AM756" s="22"/>
      <c r="AN756" s="22" t="s">
        <v>2542</v>
      </c>
      <c r="AW756" s="108">
        <v>45202</v>
      </c>
      <c r="AX756" s="109">
        <v>1945</v>
      </c>
      <c r="AY756" s="36"/>
      <c r="AZ756" s="36"/>
      <c r="BA756" s="40">
        <v>1495.83</v>
      </c>
      <c r="BD756" s="9"/>
      <c r="CS756" s="11">
        <f t="shared" si="53"/>
        <v>1495.83</v>
      </c>
      <c r="CT756" s="22">
        <f t="shared" si="54"/>
        <v>1495.83</v>
      </c>
      <c r="CU756" s="22">
        <f t="shared" si="56"/>
        <v>0</v>
      </c>
      <c r="CV756" s="26">
        <f t="shared" si="55"/>
        <v>0</v>
      </c>
    </row>
    <row r="757" spans="1:100" ht="12.75" x14ac:dyDescent="0.2">
      <c r="A757" s="9" t="s">
        <v>266</v>
      </c>
      <c r="B757" s="2">
        <v>40</v>
      </c>
      <c r="C757" s="3" t="s">
        <v>95</v>
      </c>
      <c r="D757" s="3" t="s">
        <v>96</v>
      </c>
      <c r="E757" s="2" t="s">
        <v>67</v>
      </c>
      <c r="F757" s="2">
        <v>2</v>
      </c>
      <c r="G757" s="2" t="s">
        <v>70</v>
      </c>
      <c r="H757" s="2">
        <v>2</v>
      </c>
      <c r="I757" s="8">
        <v>125.02</v>
      </c>
      <c r="J757" s="8">
        <v>55564</v>
      </c>
      <c r="K757" s="3">
        <v>0</v>
      </c>
      <c r="L757" s="3" t="s">
        <v>3</v>
      </c>
      <c r="M757" s="9" t="s">
        <v>62</v>
      </c>
      <c r="N757" s="9" t="s">
        <v>20</v>
      </c>
      <c r="O757" s="9" t="s">
        <v>273</v>
      </c>
      <c r="S757" s="9" t="s">
        <v>158</v>
      </c>
      <c r="T757" s="10" t="s">
        <v>70</v>
      </c>
      <c r="U757" s="10">
        <v>2</v>
      </c>
      <c r="V757" s="10">
        <v>145.38</v>
      </c>
      <c r="W757" s="10" t="s">
        <v>710</v>
      </c>
      <c r="X757" s="17">
        <v>44699</v>
      </c>
      <c r="Y757" s="17">
        <v>44716</v>
      </c>
      <c r="Z757" s="19" t="s">
        <v>772</v>
      </c>
      <c r="AA757" s="210">
        <v>45900</v>
      </c>
      <c r="AB757" s="9">
        <v>24</v>
      </c>
      <c r="AC757" s="9">
        <v>15</v>
      </c>
      <c r="AD757" s="17">
        <v>45199</v>
      </c>
      <c r="AE757" s="56">
        <v>1495.83</v>
      </c>
      <c r="AF757" s="56"/>
      <c r="AG757" s="9" t="s">
        <v>275</v>
      </c>
      <c r="AH757" s="127">
        <v>45229</v>
      </c>
      <c r="AI757" s="104">
        <v>10075105725</v>
      </c>
      <c r="AJ757" s="22" t="s">
        <v>2502</v>
      </c>
      <c r="AK757" s="22" t="s">
        <v>2518</v>
      </c>
      <c r="AL757" s="22">
        <v>1495.83</v>
      </c>
      <c r="AM757" s="22"/>
      <c r="AN757" s="22" t="s">
        <v>2544</v>
      </c>
      <c r="AW757" s="108">
        <v>45225</v>
      </c>
      <c r="AX757" s="109">
        <v>1992</v>
      </c>
      <c r="AY757" s="36"/>
      <c r="AZ757" s="36"/>
      <c r="BA757" s="40">
        <v>1495.83</v>
      </c>
      <c r="BD757" s="9"/>
      <c r="CS757" s="11">
        <f t="shared" si="53"/>
        <v>1495.83</v>
      </c>
      <c r="CT757" s="22">
        <f t="shared" si="54"/>
        <v>1495.83</v>
      </c>
      <c r="CU757" s="22">
        <f t="shared" si="56"/>
        <v>0</v>
      </c>
      <c r="CV757" s="26">
        <f t="shared" si="55"/>
        <v>0</v>
      </c>
    </row>
    <row r="758" spans="1:100" ht="12.75" x14ac:dyDescent="0.2">
      <c r="A758" s="9" t="s">
        <v>266</v>
      </c>
      <c r="B758" s="2">
        <v>40</v>
      </c>
      <c r="C758" s="3" t="s">
        <v>95</v>
      </c>
      <c r="D758" s="3" t="s">
        <v>96</v>
      </c>
      <c r="E758" s="2" t="s">
        <v>67</v>
      </c>
      <c r="F758" s="2">
        <v>2</v>
      </c>
      <c r="G758" s="2" t="s">
        <v>70</v>
      </c>
      <c r="H758" s="2">
        <v>2</v>
      </c>
      <c r="I758" s="8">
        <v>125.02</v>
      </c>
      <c r="J758" s="8">
        <v>55564</v>
      </c>
      <c r="K758" s="3">
        <v>0</v>
      </c>
      <c r="L758" s="3" t="s">
        <v>3</v>
      </c>
      <c r="M758" s="9" t="s">
        <v>62</v>
      </c>
      <c r="N758" s="9" t="s">
        <v>20</v>
      </c>
      <c r="O758" s="9" t="s">
        <v>273</v>
      </c>
      <c r="S758" s="9" t="s">
        <v>158</v>
      </c>
      <c r="T758" s="10" t="s">
        <v>70</v>
      </c>
      <c r="U758" s="10">
        <v>2</v>
      </c>
      <c r="V758" s="10">
        <v>145.38</v>
      </c>
      <c r="W758" s="10" t="s">
        <v>710</v>
      </c>
      <c r="X758" s="17">
        <v>44699</v>
      </c>
      <c r="Y758" s="17">
        <v>44716</v>
      </c>
      <c r="Z758" s="19" t="s">
        <v>772</v>
      </c>
      <c r="AA758" s="210">
        <v>45900</v>
      </c>
      <c r="AB758" s="9">
        <v>24</v>
      </c>
      <c r="AC758" s="9">
        <v>16</v>
      </c>
      <c r="AD758" s="17">
        <v>45229</v>
      </c>
      <c r="AE758" s="56">
        <v>1495.83</v>
      </c>
      <c r="AF758" s="56"/>
      <c r="AG758" s="9" t="s">
        <v>275</v>
      </c>
      <c r="AH758" s="127">
        <v>45257</v>
      </c>
      <c r="AI758" s="104">
        <v>10075105725</v>
      </c>
      <c r="AJ758" s="22" t="s">
        <v>2502</v>
      </c>
      <c r="AK758" s="22" t="s">
        <v>2520</v>
      </c>
      <c r="AL758" s="22">
        <v>1495.83</v>
      </c>
      <c r="AM758" s="22"/>
      <c r="AN758" s="22" t="s">
        <v>2546</v>
      </c>
      <c r="AW758" s="108">
        <v>45257</v>
      </c>
      <c r="AX758" s="109">
        <v>2075</v>
      </c>
      <c r="AY758" s="36"/>
      <c r="AZ758" s="36"/>
      <c r="BA758" s="40">
        <v>1495.83</v>
      </c>
      <c r="BD758" s="9"/>
      <c r="CS758" s="11">
        <f t="shared" si="53"/>
        <v>1495.83</v>
      </c>
      <c r="CT758" s="22">
        <f t="shared" si="54"/>
        <v>1495.83</v>
      </c>
      <c r="CU758" s="22">
        <f t="shared" si="56"/>
        <v>0</v>
      </c>
      <c r="CV758" s="26">
        <f t="shared" si="55"/>
        <v>0</v>
      </c>
    </row>
    <row r="759" spans="1:100" ht="12.75" x14ac:dyDescent="0.2">
      <c r="A759" s="9" t="s">
        <v>266</v>
      </c>
      <c r="B759" s="2">
        <v>40</v>
      </c>
      <c r="C759" s="3" t="s">
        <v>95</v>
      </c>
      <c r="D759" s="3" t="s">
        <v>96</v>
      </c>
      <c r="E759" s="2" t="s">
        <v>67</v>
      </c>
      <c r="F759" s="2">
        <v>2</v>
      </c>
      <c r="G759" s="2" t="s">
        <v>70</v>
      </c>
      <c r="H759" s="2">
        <v>2</v>
      </c>
      <c r="I759" s="8">
        <v>125.02</v>
      </c>
      <c r="J759" s="8">
        <v>55564</v>
      </c>
      <c r="K759" s="3">
        <v>0</v>
      </c>
      <c r="L759" s="3" t="s">
        <v>3</v>
      </c>
      <c r="M759" s="9" t="s">
        <v>62</v>
      </c>
      <c r="N759" s="9" t="s">
        <v>20</v>
      </c>
      <c r="O759" s="9" t="s">
        <v>273</v>
      </c>
      <c r="S759" s="9" t="s">
        <v>158</v>
      </c>
      <c r="T759" s="10" t="s">
        <v>70</v>
      </c>
      <c r="U759" s="10">
        <v>2</v>
      </c>
      <c r="V759" s="10">
        <v>145.38</v>
      </c>
      <c r="W759" s="10" t="s">
        <v>710</v>
      </c>
      <c r="X759" s="17">
        <v>44699</v>
      </c>
      <c r="Y759" s="17">
        <v>44716</v>
      </c>
      <c r="Z759" s="19" t="s">
        <v>772</v>
      </c>
      <c r="AA759" s="210">
        <v>45900</v>
      </c>
      <c r="AB759" s="9">
        <v>24</v>
      </c>
      <c r="AC759" s="9">
        <v>17</v>
      </c>
      <c r="AD759" s="17">
        <v>45260</v>
      </c>
      <c r="AE759" s="56">
        <v>1495.83</v>
      </c>
      <c r="AF759" s="56"/>
      <c r="AG759" s="9" t="s">
        <v>275</v>
      </c>
      <c r="AH759" s="127">
        <v>45279</v>
      </c>
      <c r="AI759" s="104">
        <v>10075105725</v>
      </c>
      <c r="AJ759" s="22" t="s">
        <v>2502</v>
      </c>
      <c r="AK759" s="22" t="s">
        <v>2522</v>
      </c>
      <c r="AL759" s="22">
        <v>1495.83</v>
      </c>
      <c r="AM759" s="22"/>
      <c r="AN759" s="22" t="s">
        <v>2548</v>
      </c>
      <c r="AW759" s="108">
        <v>45279</v>
      </c>
      <c r="AX759" s="109">
        <v>2126</v>
      </c>
      <c r="AY759" s="36"/>
      <c r="AZ759" s="36"/>
      <c r="BA759" s="40">
        <v>1495.83</v>
      </c>
      <c r="BD759" s="9"/>
      <c r="CS759" s="11">
        <f t="shared" si="53"/>
        <v>1495.83</v>
      </c>
      <c r="CT759" s="22">
        <f t="shared" si="54"/>
        <v>1495.83</v>
      </c>
      <c r="CU759" s="22">
        <f t="shared" si="56"/>
        <v>0</v>
      </c>
      <c r="CV759" s="26">
        <f t="shared" si="55"/>
        <v>0</v>
      </c>
    </row>
    <row r="760" spans="1:100" ht="12.75" x14ac:dyDescent="0.2">
      <c r="A760" s="9" t="s">
        <v>266</v>
      </c>
      <c r="B760" s="2">
        <v>40</v>
      </c>
      <c r="C760" s="3" t="s">
        <v>95</v>
      </c>
      <c r="D760" s="3" t="s">
        <v>96</v>
      </c>
      <c r="E760" s="2" t="s">
        <v>67</v>
      </c>
      <c r="F760" s="2">
        <v>2</v>
      </c>
      <c r="G760" s="2" t="s">
        <v>70</v>
      </c>
      <c r="H760" s="2">
        <v>2</v>
      </c>
      <c r="I760" s="8">
        <v>125.02</v>
      </c>
      <c r="J760" s="8">
        <v>55564</v>
      </c>
      <c r="K760" s="3">
        <v>0</v>
      </c>
      <c r="L760" s="3" t="s">
        <v>3</v>
      </c>
      <c r="M760" s="9" t="s">
        <v>62</v>
      </c>
      <c r="N760" s="9" t="s">
        <v>20</v>
      </c>
      <c r="O760" s="9" t="s">
        <v>273</v>
      </c>
      <c r="S760" s="9" t="s">
        <v>158</v>
      </c>
      <c r="T760" s="10" t="s">
        <v>70</v>
      </c>
      <c r="U760" s="10">
        <v>2</v>
      </c>
      <c r="V760" s="10">
        <v>145.38</v>
      </c>
      <c r="W760" s="10" t="s">
        <v>710</v>
      </c>
      <c r="X760" s="17">
        <v>44699</v>
      </c>
      <c r="Y760" s="17">
        <v>44716</v>
      </c>
      <c r="Z760" s="19" t="s">
        <v>772</v>
      </c>
      <c r="AA760" s="210">
        <v>45900</v>
      </c>
      <c r="AB760" s="9">
        <v>24</v>
      </c>
      <c r="AC760" s="9">
        <v>18</v>
      </c>
      <c r="AD760" s="17">
        <v>45290</v>
      </c>
      <c r="AE760" s="56">
        <v>1495.83</v>
      </c>
      <c r="AF760" s="56"/>
      <c r="AG760" s="9" t="s">
        <v>275</v>
      </c>
      <c r="AH760" s="127">
        <v>45335</v>
      </c>
      <c r="AI760" s="104">
        <v>10075105725</v>
      </c>
      <c r="AJ760" s="22" t="s">
        <v>2502</v>
      </c>
      <c r="AK760" s="22" t="s">
        <v>2550</v>
      </c>
      <c r="AL760" s="22">
        <v>1495.83</v>
      </c>
      <c r="AM760" s="22"/>
      <c r="AN760" s="22" t="s">
        <v>2568</v>
      </c>
      <c r="AW760" s="108">
        <v>45315</v>
      </c>
      <c r="AX760" s="109">
        <v>2240</v>
      </c>
      <c r="AY760" s="36"/>
      <c r="AZ760" s="36"/>
      <c r="BA760" s="40">
        <v>1495.83</v>
      </c>
      <c r="BD760" s="9"/>
      <c r="CS760" s="11">
        <f t="shared" si="53"/>
        <v>1495.83</v>
      </c>
      <c r="CT760" s="22">
        <f t="shared" si="54"/>
        <v>1495.83</v>
      </c>
      <c r="CU760" s="22">
        <f t="shared" si="56"/>
        <v>0</v>
      </c>
      <c r="CV760" s="26">
        <f t="shared" si="55"/>
        <v>0</v>
      </c>
    </row>
    <row r="761" spans="1:100" ht="12.75" x14ac:dyDescent="0.2">
      <c r="A761" s="9" t="s">
        <v>266</v>
      </c>
      <c r="B761" s="2">
        <v>40</v>
      </c>
      <c r="C761" s="3" t="s">
        <v>95</v>
      </c>
      <c r="D761" s="3" t="s">
        <v>96</v>
      </c>
      <c r="E761" s="2" t="s">
        <v>67</v>
      </c>
      <c r="F761" s="2">
        <v>2</v>
      </c>
      <c r="G761" s="2" t="s">
        <v>70</v>
      </c>
      <c r="H761" s="2">
        <v>2</v>
      </c>
      <c r="I761" s="8">
        <v>125.02</v>
      </c>
      <c r="J761" s="8">
        <v>55564</v>
      </c>
      <c r="K761" s="3">
        <v>0</v>
      </c>
      <c r="L761" s="3" t="s">
        <v>3</v>
      </c>
      <c r="M761" s="9" t="s">
        <v>62</v>
      </c>
      <c r="N761" s="9" t="s">
        <v>20</v>
      </c>
      <c r="O761" s="9" t="s">
        <v>273</v>
      </c>
      <c r="S761" s="9" t="s">
        <v>158</v>
      </c>
      <c r="T761" s="10" t="s">
        <v>70</v>
      </c>
      <c r="U761" s="10">
        <v>2</v>
      </c>
      <c r="V761" s="10">
        <v>145.38</v>
      </c>
      <c r="W761" s="10" t="s">
        <v>710</v>
      </c>
      <c r="X761" s="17">
        <v>44699</v>
      </c>
      <c r="Y761" s="17">
        <v>44716</v>
      </c>
      <c r="Z761" s="19" t="s">
        <v>772</v>
      </c>
      <c r="AA761" s="210">
        <v>45900</v>
      </c>
      <c r="AB761" s="9">
        <v>24</v>
      </c>
      <c r="AC761" s="9">
        <v>19</v>
      </c>
      <c r="AD761" s="17">
        <v>45321</v>
      </c>
      <c r="AE761" s="56">
        <v>1495.83</v>
      </c>
      <c r="AF761" s="56"/>
      <c r="AG761" s="9" t="s">
        <v>275</v>
      </c>
      <c r="AH761" s="127">
        <v>45349</v>
      </c>
      <c r="AI761" s="104">
        <v>10075105725</v>
      </c>
      <c r="AJ761" s="22" t="s">
        <v>2502</v>
      </c>
      <c r="AK761" s="22" t="s">
        <v>2552</v>
      </c>
      <c r="AL761" s="22">
        <v>1494.83</v>
      </c>
      <c r="AM761" s="22"/>
      <c r="AN761" s="22" t="s">
        <v>2570</v>
      </c>
      <c r="AW761" s="108">
        <v>45344</v>
      </c>
      <c r="AX761" s="109">
        <v>2330</v>
      </c>
      <c r="AY761" s="36"/>
      <c r="AZ761" s="36"/>
      <c r="BA761" s="40">
        <v>1495.83</v>
      </c>
      <c r="BD761" s="9"/>
      <c r="CS761" s="11">
        <f t="shared" ref="CS761:CS824" si="57">+AL761+AT761</f>
        <v>1494.83</v>
      </c>
      <c r="CT761" s="22">
        <f t="shared" ref="CT761:CT824" si="58">+BA761+BG761+BM761+BS761+BY761+CE761+CK761+CQ761</f>
        <v>1495.83</v>
      </c>
      <c r="CU761" s="22">
        <f t="shared" si="56"/>
        <v>-1</v>
      </c>
      <c r="CV761" s="26">
        <f t="shared" ref="CV761:CV824" si="59">+AE761-AL761-AT761</f>
        <v>1</v>
      </c>
    </row>
    <row r="762" spans="1:100" ht="12.75" x14ac:dyDescent="0.2">
      <c r="A762" s="9" t="s">
        <v>266</v>
      </c>
      <c r="B762" s="2">
        <v>40</v>
      </c>
      <c r="C762" s="3" t="s">
        <v>95</v>
      </c>
      <c r="D762" s="3" t="s">
        <v>96</v>
      </c>
      <c r="E762" s="2" t="s">
        <v>67</v>
      </c>
      <c r="F762" s="2">
        <v>2</v>
      </c>
      <c r="G762" s="2" t="s">
        <v>70</v>
      </c>
      <c r="H762" s="2">
        <v>2</v>
      </c>
      <c r="I762" s="8">
        <v>125.02</v>
      </c>
      <c r="J762" s="8">
        <v>55564</v>
      </c>
      <c r="K762" s="3">
        <v>0</v>
      </c>
      <c r="L762" s="3" t="s">
        <v>3</v>
      </c>
      <c r="M762" s="9" t="s">
        <v>62</v>
      </c>
      <c r="N762" s="9" t="s">
        <v>20</v>
      </c>
      <c r="O762" s="9" t="s">
        <v>273</v>
      </c>
      <c r="S762" s="9" t="s">
        <v>158</v>
      </c>
      <c r="T762" s="10" t="s">
        <v>70</v>
      </c>
      <c r="U762" s="10">
        <v>2</v>
      </c>
      <c r="V762" s="10">
        <v>145.38</v>
      </c>
      <c r="W762" s="10" t="s">
        <v>710</v>
      </c>
      <c r="X762" s="17">
        <v>44699</v>
      </c>
      <c r="Y762" s="17">
        <v>44716</v>
      </c>
      <c r="Z762" s="19" t="s">
        <v>772</v>
      </c>
      <c r="AA762" s="210">
        <v>45900</v>
      </c>
      <c r="AB762" s="9">
        <v>24</v>
      </c>
      <c r="AC762" s="9">
        <v>20</v>
      </c>
      <c r="AD762" s="17">
        <v>45351</v>
      </c>
      <c r="AE762" s="56">
        <v>1495.83</v>
      </c>
      <c r="AF762" s="56"/>
      <c r="AG762" s="9" t="s">
        <v>275</v>
      </c>
      <c r="AH762" s="127">
        <v>45384</v>
      </c>
      <c r="AI762" s="104">
        <v>10075105725</v>
      </c>
      <c r="AJ762" s="22" t="s">
        <v>2502</v>
      </c>
      <c r="AK762" s="22" t="s">
        <v>2554</v>
      </c>
      <c r="AL762" s="22">
        <v>1494.83</v>
      </c>
      <c r="AM762" s="22"/>
      <c r="AN762" s="22" t="s">
        <v>2572</v>
      </c>
      <c r="AW762" s="108">
        <v>45371</v>
      </c>
      <c r="AX762" s="109">
        <v>2441</v>
      </c>
      <c r="AY762" s="36"/>
      <c r="AZ762" s="36"/>
      <c r="BA762" s="40">
        <v>1495.83</v>
      </c>
      <c r="BD762" s="9"/>
      <c r="CS762" s="11">
        <f t="shared" si="57"/>
        <v>1494.83</v>
      </c>
      <c r="CT762" s="22">
        <f t="shared" si="58"/>
        <v>1495.83</v>
      </c>
      <c r="CU762" s="22">
        <f t="shared" si="56"/>
        <v>-1</v>
      </c>
      <c r="CV762" s="26">
        <f t="shared" si="59"/>
        <v>1</v>
      </c>
    </row>
    <row r="763" spans="1:100" x14ac:dyDescent="0.2">
      <c r="A763" s="9" t="s">
        <v>266</v>
      </c>
      <c r="B763" s="2">
        <v>40</v>
      </c>
      <c r="C763" s="3" t="s">
        <v>95</v>
      </c>
      <c r="D763" s="3" t="s">
        <v>96</v>
      </c>
      <c r="E763" s="2" t="s">
        <v>67</v>
      </c>
      <c r="F763" s="2">
        <v>2</v>
      </c>
      <c r="G763" s="2" t="s">
        <v>70</v>
      </c>
      <c r="H763" s="2">
        <v>2</v>
      </c>
      <c r="I763" s="8">
        <v>125.02</v>
      </c>
      <c r="J763" s="8">
        <v>55564</v>
      </c>
      <c r="K763" s="3">
        <v>0</v>
      </c>
      <c r="L763" s="3" t="s">
        <v>3</v>
      </c>
      <c r="M763" s="9" t="s">
        <v>62</v>
      </c>
      <c r="N763" s="9" t="s">
        <v>20</v>
      </c>
      <c r="O763" s="9" t="s">
        <v>273</v>
      </c>
      <c r="S763" s="9" t="s">
        <v>158</v>
      </c>
      <c r="T763" s="10" t="s">
        <v>70</v>
      </c>
      <c r="U763" s="10">
        <v>2</v>
      </c>
      <c r="V763" s="10">
        <v>145.38</v>
      </c>
      <c r="W763" s="10" t="s">
        <v>710</v>
      </c>
      <c r="X763" s="17">
        <v>44699</v>
      </c>
      <c r="Y763" s="17">
        <v>44716</v>
      </c>
      <c r="Z763" s="19" t="s">
        <v>772</v>
      </c>
      <c r="AA763" s="210">
        <v>45900</v>
      </c>
      <c r="AB763" s="9">
        <v>24</v>
      </c>
      <c r="AC763" s="9">
        <v>21</v>
      </c>
      <c r="AD763" s="17">
        <v>45381</v>
      </c>
      <c r="AE763" s="56">
        <v>1495.83</v>
      </c>
      <c r="AF763" s="56"/>
      <c r="AG763" s="9" t="s">
        <v>275</v>
      </c>
      <c r="AH763" s="127">
        <v>45407</v>
      </c>
      <c r="AI763" s="104">
        <v>10075105725</v>
      </c>
      <c r="AJ763" s="22" t="s">
        <v>2502</v>
      </c>
      <c r="AK763" s="22" t="s">
        <v>2556</v>
      </c>
      <c r="AL763" s="22">
        <v>1495.83</v>
      </c>
      <c r="AM763" s="22"/>
      <c r="AN763" s="22" t="s">
        <v>2574</v>
      </c>
      <c r="AW763" s="42">
        <v>45404</v>
      </c>
      <c r="AX763" s="36">
        <v>2563</v>
      </c>
      <c r="AY763" s="36"/>
      <c r="AZ763" s="36"/>
      <c r="BA763" s="40">
        <v>1495.83</v>
      </c>
      <c r="BD763" s="9"/>
      <c r="CS763" s="11">
        <f t="shared" si="57"/>
        <v>1495.83</v>
      </c>
      <c r="CT763" s="22">
        <f t="shared" si="58"/>
        <v>1495.83</v>
      </c>
      <c r="CU763" s="22">
        <f t="shared" si="56"/>
        <v>0</v>
      </c>
      <c r="CV763" s="26">
        <f t="shared" si="59"/>
        <v>0</v>
      </c>
    </row>
    <row r="764" spans="1:100" ht="12.75" x14ac:dyDescent="0.2">
      <c r="A764" s="9" t="s">
        <v>266</v>
      </c>
      <c r="B764" s="2">
        <v>40</v>
      </c>
      <c r="C764" s="3" t="s">
        <v>95</v>
      </c>
      <c r="D764" s="3" t="s">
        <v>96</v>
      </c>
      <c r="E764" s="2" t="s">
        <v>67</v>
      </c>
      <c r="F764" s="2">
        <v>2</v>
      </c>
      <c r="G764" s="2" t="s">
        <v>70</v>
      </c>
      <c r="H764" s="2">
        <v>2</v>
      </c>
      <c r="I764" s="8">
        <v>125.02</v>
      </c>
      <c r="J764" s="8">
        <v>55564</v>
      </c>
      <c r="K764" s="3">
        <v>0</v>
      </c>
      <c r="L764" s="3" t="s">
        <v>3</v>
      </c>
      <c r="M764" s="9" t="s">
        <v>62</v>
      </c>
      <c r="N764" s="9" t="s">
        <v>20</v>
      </c>
      <c r="O764" s="9" t="s">
        <v>273</v>
      </c>
      <c r="S764" s="9" t="s">
        <v>158</v>
      </c>
      <c r="T764" s="10" t="s">
        <v>70</v>
      </c>
      <c r="U764" s="10">
        <v>2</v>
      </c>
      <c r="V764" s="10">
        <v>145.38</v>
      </c>
      <c r="W764" s="10" t="s">
        <v>710</v>
      </c>
      <c r="X764" s="17">
        <v>44699</v>
      </c>
      <c r="Y764" s="17">
        <v>44716</v>
      </c>
      <c r="Z764" s="19" t="s">
        <v>772</v>
      </c>
      <c r="AA764" s="210">
        <v>45900</v>
      </c>
      <c r="AB764" s="9">
        <v>24</v>
      </c>
      <c r="AC764" s="9">
        <v>22</v>
      </c>
      <c r="AD764" s="17">
        <v>45412</v>
      </c>
      <c r="AE764" s="56">
        <v>1495.83</v>
      </c>
      <c r="AF764" s="56"/>
      <c r="AG764" s="9" t="s">
        <v>275</v>
      </c>
      <c r="AH764" s="127">
        <v>45436</v>
      </c>
      <c r="AI764" s="104">
        <v>10075105725</v>
      </c>
      <c r="AJ764" s="22" t="s">
        <v>2502</v>
      </c>
      <c r="AK764" s="22" t="s">
        <v>2558</v>
      </c>
      <c r="AL764" s="22">
        <v>1495.83</v>
      </c>
      <c r="AM764" s="22"/>
      <c r="AN764" s="22" t="s">
        <v>2576</v>
      </c>
      <c r="AW764" s="108">
        <v>45436</v>
      </c>
      <c r="AX764" s="109">
        <v>2682</v>
      </c>
      <c r="AY764" s="36"/>
      <c r="AZ764" s="36"/>
      <c r="BA764" s="40">
        <v>1495.83</v>
      </c>
      <c r="BD764" s="9"/>
      <c r="CS764" s="11">
        <f t="shared" si="57"/>
        <v>1495.83</v>
      </c>
      <c r="CT764" s="22">
        <f t="shared" si="58"/>
        <v>1495.83</v>
      </c>
      <c r="CU764" s="22">
        <f t="shared" si="56"/>
        <v>0</v>
      </c>
      <c r="CV764" s="26">
        <f t="shared" si="59"/>
        <v>0</v>
      </c>
    </row>
    <row r="765" spans="1:100" ht="12.75" x14ac:dyDescent="0.2">
      <c r="A765" s="9" t="s">
        <v>266</v>
      </c>
      <c r="B765" s="2">
        <v>40</v>
      </c>
      <c r="C765" s="3" t="s">
        <v>95</v>
      </c>
      <c r="D765" s="3" t="s">
        <v>96</v>
      </c>
      <c r="E765" s="2" t="s">
        <v>67</v>
      </c>
      <c r="F765" s="2">
        <v>2</v>
      </c>
      <c r="G765" s="2" t="s">
        <v>70</v>
      </c>
      <c r="H765" s="2">
        <v>2</v>
      </c>
      <c r="I765" s="8">
        <v>125.02</v>
      </c>
      <c r="J765" s="8">
        <v>55564</v>
      </c>
      <c r="K765" s="3">
        <v>0</v>
      </c>
      <c r="L765" s="3" t="s">
        <v>3</v>
      </c>
      <c r="M765" s="9" t="s">
        <v>62</v>
      </c>
      <c r="N765" s="9" t="s">
        <v>20</v>
      </c>
      <c r="O765" s="9" t="s">
        <v>273</v>
      </c>
      <c r="S765" s="9" t="s">
        <v>158</v>
      </c>
      <c r="T765" s="10" t="s">
        <v>70</v>
      </c>
      <c r="U765" s="10">
        <v>2</v>
      </c>
      <c r="V765" s="10">
        <v>145.38</v>
      </c>
      <c r="W765" s="10" t="s">
        <v>710</v>
      </c>
      <c r="X765" s="17">
        <v>44699</v>
      </c>
      <c r="Y765" s="17">
        <v>44716</v>
      </c>
      <c r="Z765" s="19" t="s">
        <v>772</v>
      </c>
      <c r="AA765" s="210">
        <v>45900</v>
      </c>
      <c r="AB765" s="9">
        <v>24</v>
      </c>
      <c r="AC765" s="9">
        <v>23</v>
      </c>
      <c r="AD765" s="17">
        <v>45442</v>
      </c>
      <c r="AE765" s="56">
        <v>1495.83</v>
      </c>
      <c r="AF765" s="56"/>
      <c r="AG765" s="9" t="s">
        <v>275</v>
      </c>
      <c r="AH765" s="127">
        <v>45470</v>
      </c>
      <c r="AI765" s="104">
        <v>10075105725</v>
      </c>
      <c r="AJ765" s="22" t="s">
        <v>2502</v>
      </c>
      <c r="AK765" s="22" t="s">
        <v>2560</v>
      </c>
      <c r="AL765" s="22">
        <v>1495.83</v>
      </c>
      <c r="AM765" s="22"/>
      <c r="AN765" s="22" t="s">
        <v>2578</v>
      </c>
      <c r="AW765" s="108">
        <v>45469</v>
      </c>
      <c r="AX765" s="109">
        <v>2813</v>
      </c>
      <c r="AY765" s="36"/>
      <c r="AZ765" s="36"/>
      <c r="BA765" s="40">
        <v>1495.83</v>
      </c>
      <c r="BD765" s="9"/>
      <c r="CS765" s="11">
        <f t="shared" si="57"/>
        <v>1495.83</v>
      </c>
      <c r="CT765" s="22">
        <f t="shared" si="58"/>
        <v>1495.83</v>
      </c>
      <c r="CU765" s="22">
        <f t="shared" si="56"/>
        <v>0</v>
      </c>
      <c r="CV765" s="26">
        <f t="shared" si="59"/>
        <v>0</v>
      </c>
    </row>
    <row r="766" spans="1:100" ht="12.75" x14ac:dyDescent="0.2">
      <c r="A766" s="9" t="s">
        <v>266</v>
      </c>
      <c r="B766" s="2">
        <v>40</v>
      </c>
      <c r="C766" s="3" t="s">
        <v>95</v>
      </c>
      <c r="D766" s="3" t="s">
        <v>96</v>
      </c>
      <c r="E766" s="2" t="s">
        <v>67</v>
      </c>
      <c r="F766" s="2">
        <v>2</v>
      </c>
      <c r="G766" s="2" t="s">
        <v>70</v>
      </c>
      <c r="H766" s="2">
        <v>2</v>
      </c>
      <c r="I766" s="8">
        <v>125.02</v>
      </c>
      <c r="J766" s="8">
        <v>55564</v>
      </c>
      <c r="K766" s="3">
        <v>0</v>
      </c>
      <c r="L766" s="3" t="s">
        <v>3</v>
      </c>
      <c r="M766" s="9" t="s">
        <v>62</v>
      </c>
      <c r="N766" s="9" t="s">
        <v>20</v>
      </c>
      <c r="O766" s="9" t="s">
        <v>273</v>
      </c>
      <c r="S766" s="9" t="s">
        <v>158</v>
      </c>
      <c r="T766" s="10" t="s">
        <v>70</v>
      </c>
      <c r="U766" s="10">
        <v>2</v>
      </c>
      <c r="V766" s="10">
        <v>145.38</v>
      </c>
      <c r="W766" s="10" t="s">
        <v>710</v>
      </c>
      <c r="X766" s="17">
        <v>44699</v>
      </c>
      <c r="Y766" s="17">
        <v>44716</v>
      </c>
      <c r="Z766" s="19" t="s">
        <v>772</v>
      </c>
      <c r="AA766" s="210">
        <v>45900</v>
      </c>
      <c r="AB766" s="9">
        <v>24</v>
      </c>
      <c r="AC766" s="9">
        <v>24</v>
      </c>
      <c r="AD766" s="17">
        <v>45473</v>
      </c>
      <c r="AE766" s="56">
        <v>1495.83</v>
      </c>
      <c r="AF766" s="56"/>
      <c r="AG766" s="9" t="s">
        <v>275</v>
      </c>
      <c r="AH766" s="127">
        <v>45506</v>
      </c>
      <c r="AI766" s="104">
        <v>10075105725</v>
      </c>
      <c r="AJ766" s="22" t="s">
        <v>2502</v>
      </c>
      <c r="AK766" s="22" t="s">
        <v>2562</v>
      </c>
      <c r="AL766" s="22">
        <v>1495.83</v>
      </c>
      <c r="AM766" s="22"/>
      <c r="AN766" s="22" t="s">
        <v>2580</v>
      </c>
      <c r="AW766" s="108">
        <v>45506</v>
      </c>
      <c r="AX766" s="109">
        <v>2979</v>
      </c>
      <c r="AY766" s="36"/>
      <c r="AZ766" s="36"/>
      <c r="BA766" s="40">
        <v>1495.83</v>
      </c>
      <c r="BD766" s="9"/>
      <c r="CS766" s="11">
        <f t="shared" si="57"/>
        <v>1495.83</v>
      </c>
      <c r="CT766" s="22">
        <f t="shared" si="58"/>
        <v>1495.83</v>
      </c>
      <c r="CU766" s="22">
        <f t="shared" si="56"/>
        <v>0</v>
      </c>
      <c r="CV766" s="26">
        <f t="shared" si="59"/>
        <v>0</v>
      </c>
    </row>
    <row r="767" spans="1:100" x14ac:dyDescent="0.2">
      <c r="A767" s="9" t="s">
        <v>266</v>
      </c>
      <c r="B767" s="2">
        <v>40</v>
      </c>
      <c r="C767" s="3" t="s">
        <v>95</v>
      </c>
      <c r="D767" s="3" t="s">
        <v>96</v>
      </c>
      <c r="E767" s="2" t="s">
        <v>67</v>
      </c>
      <c r="F767" s="2">
        <v>2</v>
      </c>
      <c r="G767" s="2" t="s">
        <v>70</v>
      </c>
      <c r="H767" s="2">
        <v>2</v>
      </c>
      <c r="I767" s="8">
        <v>125.02</v>
      </c>
      <c r="J767" s="8">
        <v>55564</v>
      </c>
      <c r="K767" s="3">
        <v>0</v>
      </c>
      <c r="L767" s="3" t="s">
        <v>3</v>
      </c>
      <c r="M767" s="9" t="s">
        <v>62</v>
      </c>
      <c r="N767" s="9" t="s">
        <v>20</v>
      </c>
      <c r="O767" s="9" t="s">
        <v>273</v>
      </c>
      <c r="S767" s="48" t="s">
        <v>277</v>
      </c>
      <c r="V767" s="10">
        <v>12.5</v>
      </c>
      <c r="W767" s="10" t="s">
        <v>710</v>
      </c>
      <c r="X767" s="17">
        <v>44699</v>
      </c>
      <c r="Y767" s="17">
        <v>44921</v>
      </c>
      <c r="Z767" s="19" t="s">
        <v>772</v>
      </c>
      <c r="AA767" s="210">
        <v>6000</v>
      </c>
      <c r="AB767" s="9">
        <v>48</v>
      </c>
      <c r="AC767" s="9">
        <v>1</v>
      </c>
      <c r="AD767" s="17">
        <v>44772</v>
      </c>
      <c r="AE767" s="56">
        <v>125</v>
      </c>
      <c r="AF767" s="56"/>
      <c r="AG767" s="9" t="s">
        <v>275</v>
      </c>
      <c r="AH767" s="127">
        <v>44761</v>
      </c>
      <c r="AI767" s="104">
        <v>10075105725</v>
      </c>
      <c r="AJ767" s="22" t="s">
        <v>2502</v>
      </c>
      <c r="AK767" s="22" t="s">
        <v>279</v>
      </c>
      <c r="AL767" s="22">
        <v>125</v>
      </c>
      <c r="AM767" s="22"/>
      <c r="AN767" s="22" t="s">
        <v>2494</v>
      </c>
      <c r="AW767" s="42">
        <v>44761</v>
      </c>
      <c r="AX767" s="36">
        <v>801</v>
      </c>
      <c r="AY767" s="36"/>
      <c r="AZ767" s="36"/>
      <c r="BA767" s="22">
        <v>125</v>
      </c>
      <c r="BD767" s="9"/>
      <c r="CS767" s="11">
        <f t="shared" si="57"/>
        <v>125</v>
      </c>
      <c r="CT767" s="22">
        <f t="shared" si="58"/>
        <v>125</v>
      </c>
      <c r="CU767" s="22">
        <f t="shared" si="56"/>
        <v>0</v>
      </c>
      <c r="CV767" s="26">
        <f t="shared" si="59"/>
        <v>0</v>
      </c>
    </row>
    <row r="768" spans="1:100" x14ac:dyDescent="0.2">
      <c r="A768" s="9" t="s">
        <v>266</v>
      </c>
      <c r="B768" s="2">
        <v>40</v>
      </c>
      <c r="C768" s="3" t="s">
        <v>95</v>
      </c>
      <c r="D768" s="3" t="s">
        <v>96</v>
      </c>
      <c r="E768" s="2" t="s">
        <v>67</v>
      </c>
      <c r="F768" s="2">
        <v>2</v>
      </c>
      <c r="G768" s="2" t="s">
        <v>70</v>
      </c>
      <c r="H768" s="2">
        <v>2</v>
      </c>
      <c r="I768" s="8">
        <v>125.02</v>
      </c>
      <c r="J768" s="8">
        <v>55564</v>
      </c>
      <c r="K768" s="3">
        <v>0</v>
      </c>
      <c r="L768" s="3" t="s">
        <v>3</v>
      </c>
      <c r="M768" s="9" t="s">
        <v>62</v>
      </c>
      <c r="N768" s="9" t="s">
        <v>20</v>
      </c>
      <c r="O768" s="9" t="s">
        <v>273</v>
      </c>
      <c r="S768" s="48" t="s">
        <v>277</v>
      </c>
      <c r="V768" s="10">
        <v>12.5</v>
      </c>
      <c r="W768" s="10" t="s">
        <v>710</v>
      </c>
      <c r="X768" s="17">
        <v>44699</v>
      </c>
      <c r="Y768" s="17">
        <v>44921</v>
      </c>
      <c r="Z768" s="19" t="s">
        <v>772</v>
      </c>
      <c r="AA768" s="210">
        <v>6000</v>
      </c>
      <c r="AB768" s="9">
        <v>48</v>
      </c>
      <c r="AC768" s="9">
        <v>2</v>
      </c>
      <c r="AD768" s="17">
        <v>19236</v>
      </c>
      <c r="AE768" s="56">
        <v>125</v>
      </c>
      <c r="AF768" s="56"/>
      <c r="AG768" s="9" t="s">
        <v>275</v>
      </c>
      <c r="AH768" s="64">
        <v>44789</v>
      </c>
      <c r="AI768" s="60">
        <v>10075105725</v>
      </c>
      <c r="AJ768" s="11" t="s">
        <v>2502</v>
      </c>
      <c r="AK768" s="11" t="s">
        <v>286</v>
      </c>
      <c r="AL768" s="11">
        <v>125</v>
      </c>
      <c r="AN768" s="11" t="s">
        <v>2497</v>
      </c>
      <c r="AW768" s="42">
        <v>44788</v>
      </c>
      <c r="AX768" s="36">
        <v>855</v>
      </c>
      <c r="AY768" s="36"/>
      <c r="AZ768" s="36"/>
      <c r="BA768" s="40">
        <v>125</v>
      </c>
      <c r="BD768" s="9"/>
      <c r="CS768" s="11">
        <f t="shared" si="57"/>
        <v>125</v>
      </c>
      <c r="CT768" s="22">
        <f t="shared" si="58"/>
        <v>125</v>
      </c>
      <c r="CU768" s="22">
        <f t="shared" si="56"/>
        <v>0</v>
      </c>
      <c r="CV768" s="26">
        <f t="shared" si="59"/>
        <v>0</v>
      </c>
    </row>
    <row r="769" spans="1:100" x14ac:dyDescent="0.2">
      <c r="A769" s="9" t="s">
        <v>266</v>
      </c>
      <c r="B769" s="2">
        <v>40</v>
      </c>
      <c r="C769" s="3" t="s">
        <v>95</v>
      </c>
      <c r="D769" s="3" t="s">
        <v>96</v>
      </c>
      <c r="E769" s="2" t="s">
        <v>67</v>
      </c>
      <c r="F769" s="2">
        <v>2</v>
      </c>
      <c r="G769" s="2" t="s">
        <v>70</v>
      </c>
      <c r="H769" s="2">
        <v>2</v>
      </c>
      <c r="I769" s="8">
        <v>125.02</v>
      </c>
      <c r="J769" s="8">
        <v>55564</v>
      </c>
      <c r="K769" s="3">
        <v>0</v>
      </c>
      <c r="L769" s="3" t="s">
        <v>3</v>
      </c>
      <c r="M769" s="9" t="s">
        <v>62</v>
      </c>
      <c r="N769" s="9" t="s">
        <v>20</v>
      </c>
      <c r="O769" s="9" t="s">
        <v>273</v>
      </c>
      <c r="S769" s="48" t="s">
        <v>277</v>
      </c>
      <c r="V769" s="10">
        <v>12.5</v>
      </c>
      <c r="W769" s="10" t="s">
        <v>710</v>
      </c>
      <c r="X769" s="17">
        <v>44699</v>
      </c>
      <c r="Y769" s="17">
        <v>44921</v>
      </c>
      <c r="Z769" s="19" t="s">
        <v>772</v>
      </c>
      <c r="AA769" s="210">
        <v>6000</v>
      </c>
      <c r="AB769" s="9">
        <v>48</v>
      </c>
      <c r="AC769" s="9">
        <v>3</v>
      </c>
      <c r="AD769" s="17">
        <v>44834</v>
      </c>
      <c r="AE769" s="56">
        <v>125</v>
      </c>
      <c r="AF769" s="56"/>
      <c r="AG769" s="9" t="s">
        <v>275</v>
      </c>
      <c r="AH769" s="64">
        <v>44832</v>
      </c>
      <c r="AI769" s="60">
        <v>10075105725</v>
      </c>
      <c r="AJ769" s="11" t="s">
        <v>2502</v>
      </c>
      <c r="AK769" s="11" t="s">
        <v>280</v>
      </c>
      <c r="AL769" s="11">
        <v>125</v>
      </c>
      <c r="AN769" s="11" t="s">
        <v>2499</v>
      </c>
      <c r="AW769" s="42">
        <v>44832</v>
      </c>
      <c r="AX769" s="36">
        <v>16416</v>
      </c>
      <c r="AY769" s="36">
        <f>6400.66-5907.03</f>
        <v>493.63000000000011</v>
      </c>
      <c r="AZ769" s="36">
        <v>3.9489999999999998</v>
      </c>
      <c r="BA769" s="40">
        <f>+AY769/AZ769</f>
        <v>125.00126614332746</v>
      </c>
      <c r="BD769" s="9"/>
      <c r="CS769" s="11">
        <f t="shared" si="57"/>
        <v>125</v>
      </c>
      <c r="CT769" s="22">
        <f t="shared" si="58"/>
        <v>125.00126614332746</v>
      </c>
      <c r="CU769" s="22">
        <f t="shared" si="56"/>
        <v>-1.2661433274558931E-3</v>
      </c>
      <c r="CV769" s="26">
        <f t="shared" si="59"/>
        <v>0</v>
      </c>
    </row>
    <row r="770" spans="1:100" x14ac:dyDescent="0.2">
      <c r="A770" s="9" t="s">
        <v>266</v>
      </c>
      <c r="B770" s="2">
        <v>40</v>
      </c>
      <c r="C770" s="3" t="s">
        <v>95</v>
      </c>
      <c r="D770" s="3" t="s">
        <v>96</v>
      </c>
      <c r="E770" s="2" t="s">
        <v>67</v>
      </c>
      <c r="F770" s="2">
        <v>2</v>
      </c>
      <c r="G770" s="2" t="s">
        <v>70</v>
      </c>
      <c r="H770" s="2">
        <v>2</v>
      </c>
      <c r="I770" s="8">
        <v>125.02</v>
      </c>
      <c r="J770" s="8">
        <v>55564</v>
      </c>
      <c r="K770" s="3">
        <v>0</v>
      </c>
      <c r="L770" s="3" t="s">
        <v>3</v>
      </c>
      <c r="M770" s="9" t="s">
        <v>62</v>
      </c>
      <c r="N770" s="9" t="s">
        <v>20</v>
      </c>
      <c r="O770" s="9" t="s">
        <v>273</v>
      </c>
      <c r="S770" s="48" t="s">
        <v>277</v>
      </c>
      <c r="V770" s="10">
        <v>12.5</v>
      </c>
      <c r="W770" s="10" t="s">
        <v>710</v>
      </c>
      <c r="X770" s="17">
        <v>44699</v>
      </c>
      <c r="Y770" s="17">
        <v>44921</v>
      </c>
      <c r="Z770" s="19" t="s">
        <v>772</v>
      </c>
      <c r="AA770" s="210">
        <v>6000</v>
      </c>
      <c r="AB770" s="9">
        <v>48</v>
      </c>
      <c r="AC770" s="9">
        <v>4</v>
      </c>
      <c r="AD770" s="17">
        <v>44864</v>
      </c>
      <c r="AE770" s="56">
        <v>125</v>
      </c>
      <c r="AF770" s="56"/>
      <c r="AG770" s="9" t="s">
        <v>275</v>
      </c>
      <c r="AH770" s="64">
        <v>44858</v>
      </c>
      <c r="AI770" s="60">
        <v>10075105725</v>
      </c>
      <c r="AJ770" s="11" t="s">
        <v>2502</v>
      </c>
      <c r="AK770" s="11" t="s">
        <v>278</v>
      </c>
      <c r="AL770" s="11">
        <v>125</v>
      </c>
      <c r="AN770" s="11" t="s">
        <v>2500</v>
      </c>
      <c r="AW770" s="42">
        <v>44855</v>
      </c>
      <c r="AX770" s="36">
        <v>17145</v>
      </c>
      <c r="AY770" s="36">
        <f>6447.66-5950.41</f>
        <v>497.25</v>
      </c>
      <c r="AZ770" s="36">
        <v>3.9780000000000002</v>
      </c>
      <c r="BA770" s="40">
        <f>+AY770/AZ770</f>
        <v>125</v>
      </c>
      <c r="BD770" s="9"/>
      <c r="CS770" s="11">
        <f t="shared" si="57"/>
        <v>125</v>
      </c>
      <c r="CT770" s="22">
        <f t="shared" si="58"/>
        <v>125</v>
      </c>
      <c r="CU770" s="22">
        <f t="shared" si="56"/>
        <v>0</v>
      </c>
      <c r="CV770" s="26">
        <f t="shared" si="59"/>
        <v>0</v>
      </c>
    </row>
    <row r="771" spans="1:100" x14ac:dyDescent="0.2">
      <c r="A771" s="9" t="s">
        <v>266</v>
      </c>
      <c r="B771" s="2">
        <v>40</v>
      </c>
      <c r="C771" s="3" t="s">
        <v>95</v>
      </c>
      <c r="D771" s="3" t="s">
        <v>96</v>
      </c>
      <c r="E771" s="2" t="s">
        <v>67</v>
      </c>
      <c r="F771" s="2">
        <v>2</v>
      </c>
      <c r="G771" s="2" t="s">
        <v>70</v>
      </c>
      <c r="H771" s="2">
        <v>2</v>
      </c>
      <c r="I771" s="8">
        <v>125.02</v>
      </c>
      <c r="J771" s="8">
        <v>55564</v>
      </c>
      <c r="K771" s="3">
        <v>0</v>
      </c>
      <c r="L771" s="3" t="s">
        <v>3</v>
      </c>
      <c r="M771" s="9" t="s">
        <v>62</v>
      </c>
      <c r="N771" s="9" t="s">
        <v>20</v>
      </c>
      <c r="O771" s="9" t="s">
        <v>273</v>
      </c>
      <c r="S771" s="48" t="s">
        <v>277</v>
      </c>
      <c r="V771" s="10">
        <v>12.5</v>
      </c>
      <c r="W771" s="10" t="s">
        <v>710</v>
      </c>
      <c r="X771" s="17">
        <v>44699</v>
      </c>
      <c r="Y771" s="17">
        <v>44921</v>
      </c>
      <c r="Z771" s="19" t="s">
        <v>772</v>
      </c>
      <c r="AA771" s="210">
        <v>6000</v>
      </c>
      <c r="AB771" s="9">
        <v>48</v>
      </c>
      <c r="AC771" s="9">
        <v>5</v>
      </c>
      <c r="AD771" s="17">
        <v>44941</v>
      </c>
      <c r="AE771" s="56">
        <v>125</v>
      </c>
      <c r="AF771" s="56"/>
      <c r="AG771" s="9" t="s">
        <v>275</v>
      </c>
      <c r="AH771" s="64">
        <v>44939</v>
      </c>
      <c r="AI771" s="60">
        <v>10075105725</v>
      </c>
      <c r="AJ771" s="11" t="s">
        <v>2502</v>
      </c>
      <c r="AK771" s="11" t="s">
        <v>2503</v>
      </c>
      <c r="AL771" s="11">
        <v>125</v>
      </c>
      <c r="AN771" s="11" t="s">
        <v>2524</v>
      </c>
      <c r="AW771" s="42">
        <v>44938</v>
      </c>
      <c r="AX771" s="36">
        <v>1146</v>
      </c>
      <c r="AY771" s="36"/>
      <c r="AZ771" s="36"/>
      <c r="BA771" s="40">
        <v>125</v>
      </c>
      <c r="BD771" s="9"/>
      <c r="CS771" s="11">
        <f t="shared" si="57"/>
        <v>125</v>
      </c>
      <c r="CT771" s="22">
        <f t="shared" si="58"/>
        <v>125</v>
      </c>
      <c r="CU771" s="22">
        <f t="shared" si="56"/>
        <v>0</v>
      </c>
      <c r="CV771" s="26">
        <f t="shared" si="59"/>
        <v>0</v>
      </c>
    </row>
    <row r="772" spans="1:100" ht="12.75" x14ac:dyDescent="0.2">
      <c r="A772" s="9" t="s">
        <v>266</v>
      </c>
      <c r="B772" s="2">
        <v>40</v>
      </c>
      <c r="C772" s="3" t="s">
        <v>95</v>
      </c>
      <c r="D772" s="3" t="s">
        <v>96</v>
      </c>
      <c r="E772" s="2" t="s">
        <v>67</v>
      </c>
      <c r="F772" s="2">
        <v>2</v>
      </c>
      <c r="G772" s="2" t="s">
        <v>70</v>
      </c>
      <c r="H772" s="2">
        <v>2</v>
      </c>
      <c r="I772" s="8">
        <v>125.02</v>
      </c>
      <c r="J772" s="8">
        <v>55564</v>
      </c>
      <c r="K772" s="3">
        <v>0</v>
      </c>
      <c r="L772" s="3" t="s">
        <v>3</v>
      </c>
      <c r="M772" s="9" t="s">
        <v>62</v>
      </c>
      <c r="N772" s="9" t="s">
        <v>20</v>
      </c>
      <c r="O772" s="9" t="s">
        <v>273</v>
      </c>
      <c r="S772" s="48" t="s">
        <v>277</v>
      </c>
      <c r="V772" s="10">
        <v>12.5</v>
      </c>
      <c r="W772" s="10" t="s">
        <v>710</v>
      </c>
      <c r="X772" s="17">
        <v>44699</v>
      </c>
      <c r="Y772" s="17">
        <v>44921</v>
      </c>
      <c r="Z772" s="19" t="s">
        <v>772</v>
      </c>
      <c r="AA772" s="210">
        <v>6000</v>
      </c>
      <c r="AB772" s="9">
        <v>48</v>
      </c>
      <c r="AC772" s="9">
        <v>6</v>
      </c>
      <c r="AD772" s="17">
        <v>44972</v>
      </c>
      <c r="AE772" s="56">
        <v>125</v>
      </c>
      <c r="AF772" s="56"/>
      <c r="AG772" s="9" t="s">
        <v>275</v>
      </c>
      <c r="AH772" s="64">
        <v>44957</v>
      </c>
      <c r="AI772" s="60">
        <v>10075105725</v>
      </c>
      <c r="AJ772" s="11" t="s">
        <v>2502</v>
      </c>
      <c r="AK772" s="11" t="s">
        <v>285</v>
      </c>
      <c r="AL772" s="11">
        <v>125</v>
      </c>
      <c r="AN772" s="11" t="s">
        <v>2526</v>
      </c>
      <c r="AW772" s="108">
        <v>44956</v>
      </c>
      <c r="AX772" s="109">
        <v>1173</v>
      </c>
      <c r="AY772" s="36"/>
      <c r="AZ772" s="36"/>
      <c r="BA772" s="40">
        <v>125</v>
      </c>
      <c r="BD772" s="9"/>
      <c r="CS772" s="11">
        <f t="shared" si="57"/>
        <v>125</v>
      </c>
      <c r="CT772" s="22">
        <f t="shared" si="58"/>
        <v>125</v>
      </c>
      <c r="CU772" s="22">
        <f t="shared" si="56"/>
        <v>0</v>
      </c>
      <c r="CV772" s="26">
        <f t="shared" si="59"/>
        <v>0</v>
      </c>
    </row>
    <row r="773" spans="1:100" ht="12.75" x14ac:dyDescent="0.2">
      <c r="A773" s="9" t="s">
        <v>266</v>
      </c>
      <c r="B773" s="2">
        <v>40</v>
      </c>
      <c r="C773" s="3" t="s">
        <v>95</v>
      </c>
      <c r="D773" s="3" t="s">
        <v>96</v>
      </c>
      <c r="E773" s="2" t="s">
        <v>67</v>
      </c>
      <c r="F773" s="2">
        <v>2</v>
      </c>
      <c r="G773" s="2" t="s">
        <v>70</v>
      </c>
      <c r="H773" s="2">
        <v>2</v>
      </c>
      <c r="I773" s="8">
        <v>125.02</v>
      </c>
      <c r="J773" s="8">
        <v>55564</v>
      </c>
      <c r="K773" s="3">
        <v>0</v>
      </c>
      <c r="L773" s="3" t="s">
        <v>3</v>
      </c>
      <c r="M773" s="9" t="s">
        <v>62</v>
      </c>
      <c r="N773" s="9" t="s">
        <v>20</v>
      </c>
      <c r="O773" s="9" t="s">
        <v>273</v>
      </c>
      <c r="S773" s="48" t="s">
        <v>277</v>
      </c>
      <c r="V773" s="10">
        <v>12.5</v>
      </c>
      <c r="W773" s="10" t="s">
        <v>710</v>
      </c>
      <c r="X773" s="17">
        <v>44699</v>
      </c>
      <c r="Y773" s="17">
        <v>44921</v>
      </c>
      <c r="Z773" s="19" t="s">
        <v>772</v>
      </c>
      <c r="AA773" s="210">
        <v>6000</v>
      </c>
      <c r="AB773" s="9">
        <v>48</v>
      </c>
      <c r="AC773" s="9">
        <v>7</v>
      </c>
      <c r="AD773" s="17">
        <v>45000</v>
      </c>
      <c r="AE773" s="56">
        <v>125</v>
      </c>
      <c r="AF773" s="56"/>
      <c r="AG773" s="9" t="s">
        <v>275</v>
      </c>
      <c r="AH773" s="64">
        <v>44980</v>
      </c>
      <c r="AI773" s="60">
        <v>10075105725</v>
      </c>
      <c r="AJ773" s="11" t="s">
        <v>2502</v>
      </c>
      <c r="AK773" s="11" t="s">
        <v>282</v>
      </c>
      <c r="AL773" s="11">
        <v>125</v>
      </c>
      <c r="AN773" s="11" t="s">
        <v>2529</v>
      </c>
      <c r="AW773" s="108">
        <v>44979</v>
      </c>
      <c r="AX773" s="109">
        <v>1241</v>
      </c>
      <c r="AY773" s="36"/>
      <c r="AZ773" s="36"/>
      <c r="BA773" s="40">
        <v>125</v>
      </c>
      <c r="BD773" s="9"/>
      <c r="CS773" s="11">
        <f t="shared" si="57"/>
        <v>125</v>
      </c>
      <c r="CT773" s="22">
        <f t="shared" si="58"/>
        <v>125</v>
      </c>
      <c r="CU773" s="22">
        <f t="shared" si="56"/>
        <v>0</v>
      </c>
      <c r="CV773" s="26">
        <f t="shared" si="59"/>
        <v>0</v>
      </c>
    </row>
    <row r="774" spans="1:100" x14ac:dyDescent="0.2">
      <c r="A774" s="9" t="s">
        <v>266</v>
      </c>
      <c r="B774" s="2">
        <v>40</v>
      </c>
      <c r="C774" s="3" t="s">
        <v>95</v>
      </c>
      <c r="D774" s="3" t="s">
        <v>96</v>
      </c>
      <c r="E774" s="2" t="s">
        <v>67</v>
      </c>
      <c r="F774" s="2">
        <v>2</v>
      </c>
      <c r="G774" s="2" t="s">
        <v>70</v>
      </c>
      <c r="H774" s="2">
        <v>2</v>
      </c>
      <c r="I774" s="8">
        <v>125.02</v>
      </c>
      <c r="J774" s="8">
        <v>55564</v>
      </c>
      <c r="K774" s="3">
        <v>0</v>
      </c>
      <c r="L774" s="3" t="s">
        <v>3</v>
      </c>
      <c r="M774" s="9" t="s">
        <v>62</v>
      </c>
      <c r="N774" s="9" t="s">
        <v>20</v>
      </c>
      <c r="O774" s="9" t="s">
        <v>273</v>
      </c>
      <c r="S774" s="48" t="s">
        <v>277</v>
      </c>
      <c r="V774" s="10">
        <v>12.5</v>
      </c>
      <c r="W774" s="10" t="s">
        <v>710</v>
      </c>
      <c r="X774" s="17">
        <v>44699</v>
      </c>
      <c r="Y774" s="17">
        <v>44921</v>
      </c>
      <c r="Z774" s="19" t="s">
        <v>772</v>
      </c>
      <c r="AA774" s="210">
        <v>6000</v>
      </c>
      <c r="AB774" s="9">
        <v>48</v>
      </c>
      <c r="AC774" s="9">
        <v>8</v>
      </c>
      <c r="AD774" s="17">
        <v>45031</v>
      </c>
      <c r="AE774" s="56">
        <v>125</v>
      </c>
      <c r="AF774" s="56"/>
      <c r="AG774" s="9" t="s">
        <v>275</v>
      </c>
      <c r="AH774" s="64">
        <v>44995</v>
      </c>
      <c r="AI774" s="60">
        <v>10075105725</v>
      </c>
      <c r="AJ774" s="11" t="s">
        <v>2502</v>
      </c>
      <c r="AK774" s="11" t="s">
        <v>2505</v>
      </c>
      <c r="AL774" s="11">
        <v>125</v>
      </c>
      <c r="AN774" s="11" t="s">
        <v>2531</v>
      </c>
      <c r="AW774" s="42">
        <v>44995</v>
      </c>
      <c r="AX774" s="36">
        <v>1309</v>
      </c>
      <c r="AY774" s="36"/>
      <c r="AZ774" s="36"/>
      <c r="BA774" s="40">
        <v>125</v>
      </c>
      <c r="BD774" s="9"/>
      <c r="CS774" s="11">
        <f t="shared" si="57"/>
        <v>125</v>
      </c>
      <c r="CT774" s="22">
        <f t="shared" si="58"/>
        <v>125</v>
      </c>
      <c r="CU774" s="22">
        <f t="shared" si="56"/>
        <v>0</v>
      </c>
      <c r="CV774" s="26">
        <f t="shared" si="59"/>
        <v>0</v>
      </c>
    </row>
    <row r="775" spans="1:100" x14ac:dyDescent="0.2">
      <c r="A775" s="9" t="s">
        <v>266</v>
      </c>
      <c r="B775" s="2">
        <v>40</v>
      </c>
      <c r="C775" s="3" t="s">
        <v>95</v>
      </c>
      <c r="D775" s="3" t="s">
        <v>96</v>
      </c>
      <c r="E775" s="2" t="s">
        <v>67</v>
      </c>
      <c r="F775" s="2">
        <v>2</v>
      </c>
      <c r="G775" s="2" t="s">
        <v>70</v>
      </c>
      <c r="H775" s="2">
        <v>2</v>
      </c>
      <c r="I775" s="8">
        <v>125.02</v>
      </c>
      <c r="J775" s="8">
        <v>55564</v>
      </c>
      <c r="K775" s="3">
        <v>0</v>
      </c>
      <c r="L775" s="3" t="s">
        <v>3</v>
      </c>
      <c r="M775" s="9" t="s">
        <v>62</v>
      </c>
      <c r="N775" s="9" t="s">
        <v>20</v>
      </c>
      <c r="O775" s="9" t="s">
        <v>273</v>
      </c>
      <c r="S775" s="48" t="s">
        <v>277</v>
      </c>
      <c r="V775" s="10">
        <v>12.5</v>
      </c>
      <c r="W775" s="10" t="s">
        <v>710</v>
      </c>
      <c r="X775" s="17">
        <v>44699</v>
      </c>
      <c r="Y775" s="17">
        <v>44921</v>
      </c>
      <c r="Z775" s="19" t="s">
        <v>772</v>
      </c>
      <c r="AA775" s="210">
        <v>6000</v>
      </c>
      <c r="AB775" s="9">
        <v>48</v>
      </c>
      <c r="AC775" s="9">
        <v>9</v>
      </c>
      <c r="AD775" s="17">
        <v>45061</v>
      </c>
      <c r="AE775" s="56">
        <v>125</v>
      </c>
      <c r="AF775" s="56"/>
      <c r="AG775" s="9" t="s">
        <v>275</v>
      </c>
      <c r="AH775" s="64">
        <v>45033</v>
      </c>
      <c r="AI775" s="60">
        <v>10075105725</v>
      </c>
      <c r="AJ775" s="11" t="s">
        <v>2502</v>
      </c>
      <c r="AK775" s="11" t="s">
        <v>2506</v>
      </c>
      <c r="AL775" s="11">
        <v>125</v>
      </c>
      <c r="AN775" s="11" t="s">
        <v>2532</v>
      </c>
      <c r="AW775" s="42">
        <v>45033</v>
      </c>
      <c r="AX775" s="36">
        <v>1411</v>
      </c>
      <c r="AY775" s="36"/>
      <c r="AZ775" s="36"/>
      <c r="BA775" s="40">
        <v>125</v>
      </c>
      <c r="BD775" s="9"/>
      <c r="CS775" s="11">
        <f t="shared" si="57"/>
        <v>125</v>
      </c>
      <c r="CT775" s="22">
        <f t="shared" si="58"/>
        <v>125</v>
      </c>
      <c r="CU775" s="22">
        <f t="shared" si="56"/>
        <v>0</v>
      </c>
      <c r="CV775" s="26">
        <f t="shared" si="59"/>
        <v>0</v>
      </c>
    </row>
    <row r="776" spans="1:100" x14ac:dyDescent="0.2">
      <c r="A776" s="9" t="s">
        <v>266</v>
      </c>
      <c r="B776" s="2">
        <v>40</v>
      </c>
      <c r="C776" s="3" t="s">
        <v>95</v>
      </c>
      <c r="D776" s="3" t="s">
        <v>96</v>
      </c>
      <c r="E776" s="2" t="s">
        <v>67</v>
      </c>
      <c r="F776" s="2">
        <v>2</v>
      </c>
      <c r="G776" s="2" t="s">
        <v>70</v>
      </c>
      <c r="H776" s="2">
        <v>2</v>
      </c>
      <c r="I776" s="8">
        <v>125.02</v>
      </c>
      <c r="J776" s="8">
        <v>55564</v>
      </c>
      <c r="K776" s="3">
        <v>0</v>
      </c>
      <c r="L776" s="3" t="s">
        <v>3</v>
      </c>
      <c r="M776" s="9" t="s">
        <v>62</v>
      </c>
      <c r="N776" s="9" t="s">
        <v>20</v>
      </c>
      <c r="O776" s="9" t="s">
        <v>273</v>
      </c>
      <c r="S776" s="48" t="s">
        <v>277</v>
      </c>
      <c r="V776" s="10">
        <v>12.5</v>
      </c>
      <c r="W776" s="10" t="s">
        <v>710</v>
      </c>
      <c r="X776" s="17">
        <v>44699</v>
      </c>
      <c r="Y776" s="17">
        <v>44921</v>
      </c>
      <c r="Z776" s="19" t="s">
        <v>772</v>
      </c>
      <c r="AA776" s="210">
        <v>6000</v>
      </c>
      <c r="AB776" s="9">
        <v>48</v>
      </c>
      <c r="AC776" s="9">
        <v>10</v>
      </c>
      <c r="AD776" s="17">
        <v>45092</v>
      </c>
      <c r="AE776" s="56">
        <v>125</v>
      </c>
      <c r="AF776" s="56"/>
      <c r="AG776" s="9" t="s">
        <v>275</v>
      </c>
      <c r="AH776" s="64">
        <v>45052</v>
      </c>
      <c r="AI776" s="60">
        <v>10075105725</v>
      </c>
      <c r="AJ776" s="11" t="s">
        <v>2502</v>
      </c>
      <c r="AK776" s="11" t="s">
        <v>2509</v>
      </c>
      <c r="AL776" s="11">
        <v>125</v>
      </c>
      <c r="AN776" s="11" t="s">
        <v>2535</v>
      </c>
      <c r="AW776" s="42">
        <v>45049</v>
      </c>
      <c r="AX776" s="36">
        <v>1472</v>
      </c>
      <c r="AY776" s="36"/>
      <c r="AZ776" s="36"/>
      <c r="BA776" s="40">
        <v>125</v>
      </c>
      <c r="BD776" s="9"/>
      <c r="CS776" s="11">
        <f t="shared" si="57"/>
        <v>125</v>
      </c>
      <c r="CT776" s="22">
        <f t="shared" si="58"/>
        <v>125</v>
      </c>
      <c r="CU776" s="22">
        <f t="shared" si="56"/>
        <v>0</v>
      </c>
      <c r="CV776" s="26">
        <f t="shared" si="59"/>
        <v>0</v>
      </c>
    </row>
    <row r="777" spans="1:100" x14ac:dyDescent="0.2">
      <c r="A777" s="9" t="s">
        <v>266</v>
      </c>
      <c r="B777" s="2">
        <v>40</v>
      </c>
      <c r="C777" s="3" t="s">
        <v>95</v>
      </c>
      <c r="D777" s="3" t="s">
        <v>96</v>
      </c>
      <c r="E777" s="2" t="s">
        <v>67</v>
      </c>
      <c r="F777" s="2">
        <v>2</v>
      </c>
      <c r="G777" s="2" t="s">
        <v>70</v>
      </c>
      <c r="H777" s="2">
        <v>2</v>
      </c>
      <c r="I777" s="8">
        <v>125.02</v>
      </c>
      <c r="J777" s="8">
        <v>55564</v>
      </c>
      <c r="K777" s="3">
        <v>0</v>
      </c>
      <c r="L777" s="3" t="s">
        <v>3</v>
      </c>
      <c r="M777" s="9" t="s">
        <v>62</v>
      </c>
      <c r="N777" s="9" t="s">
        <v>20</v>
      </c>
      <c r="O777" s="9" t="s">
        <v>273</v>
      </c>
      <c r="S777" s="48" t="s">
        <v>277</v>
      </c>
      <c r="V777" s="10">
        <v>12.5</v>
      </c>
      <c r="W777" s="10" t="s">
        <v>710</v>
      </c>
      <c r="X777" s="17">
        <v>44699</v>
      </c>
      <c r="Y777" s="17">
        <v>44921</v>
      </c>
      <c r="Z777" s="19" t="s">
        <v>772</v>
      </c>
      <c r="AA777" s="210">
        <v>6000</v>
      </c>
      <c r="AB777" s="9">
        <v>48</v>
      </c>
      <c r="AC777" s="9">
        <v>11</v>
      </c>
      <c r="AD777" s="17">
        <v>45122</v>
      </c>
      <c r="AE777" s="56">
        <v>125</v>
      </c>
      <c r="AF777" s="56"/>
      <c r="AG777" s="9" t="s">
        <v>275</v>
      </c>
      <c r="AH777" s="64">
        <v>45108</v>
      </c>
      <c r="AI777" s="60">
        <v>10075105725</v>
      </c>
      <c r="AJ777" s="11" t="s">
        <v>2502</v>
      </c>
      <c r="AK777" s="11" t="s">
        <v>2510</v>
      </c>
      <c r="AL777" s="11">
        <v>125</v>
      </c>
      <c r="AN777" s="11" t="s">
        <v>2536</v>
      </c>
      <c r="AW777" s="42">
        <v>45104</v>
      </c>
      <c r="AX777" s="36">
        <v>1647</v>
      </c>
      <c r="AY777" s="36"/>
      <c r="AZ777" s="36"/>
      <c r="BA777" s="40">
        <v>125</v>
      </c>
      <c r="BD777" s="9"/>
      <c r="CS777" s="11">
        <f t="shared" si="57"/>
        <v>125</v>
      </c>
      <c r="CT777" s="22">
        <f t="shared" si="58"/>
        <v>125</v>
      </c>
      <c r="CU777" s="22">
        <f t="shared" si="56"/>
        <v>0</v>
      </c>
      <c r="CV777" s="26">
        <f t="shared" si="59"/>
        <v>0</v>
      </c>
    </row>
    <row r="778" spans="1:100" ht="12.75" x14ac:dyDescent="0.2">
      <c r="A778" s="9" t="s">
        <v>266</v>
      </c>
      <c r="B778" s="2">
        <v>40</v>
      </c>
      <c r="C778" s="3" t="s">
        <v>95</v>
      </c>
      <c r="D778" s="3" t="s">
        <v>96</v>
      </c>
      <c r="E778" s="2" t="s">
        <v>67</v>
      </c>
      <c r="F778" s="2">
        <v>2</v>
      </c>
      <c r="G778" s="2" t="s">
        <v>70</v>
      </c>
      <c r="H778" s="2">
        <v>2</v>
      </c>
      <c r="I778" s="8">
        <v>125.02</v>
      </c>
      <c r="J778" s="8">
        <v>55564</v>
      </c>
      <c r="K778" s="3">
        <v>0</v>
      </c>
      <c r="L778" s="3" t="s">
        <v>3</v>
      </c>
      <c r="M778" s="9" t="s">
        <v>62</v>
      </c>
      <c r="N778" s="9" t="s">
        <v>20</v>
      </c>
      <c r="O778" s="9" t="s">
        <v>273</v>
      </c>
      <c r="S778" s="48" t="s">
        <v>277</v>
      </c>
      <c r="V778" s="10">
        <v>12.5</v>
      </c>
      <c r="W778" s="10" t="s">
        <v>710</v>
      </c>
      <c r="X778" s="17">
        <v>44699</v>
      </c>
      <c r="Y778" s="17">
        <v>44921</v>
      </c>
      <c r="Z778" s="19" t="s">
        <v>772</v>
      </c>
      <c r="AA778" s="210">
        <v>6000</v>
      </c>
      <c r="AB778" s="9">
        <v>48</v>
      </c>
      <c r="AC778" s="9">
        <v>12</v>
      </c>
      <c r="AD778" s="17">
        <v>45153</v>
      </c>
      <c r="AE778" s="56">
        <v>125</v>
      </c>
      <c r="AF778" s="56"/>
      <c r="AG778" s="9" t="s">
        <v>275</v>
      </c>
      <c r="AH778" s="64">
        <v>45159</v>
      </c>
      <c r="AI778" s="60">
        <v>10075105725</v>
      </c>
      <c r="AJ778" s="11" t="s">
        <v>2502</v>
      </c>
      <c r="AK778" s="11" t="s">
        <v>2512</v>
      </c>
      <c r="AL778" s="11">
        <v>125</v>
      </c>
      <c r="AN778" s="11" t="s">
        <v>2538</v>
      </c>
      <c r="AW778" s="108">
        <v>45159</v>
      </c>
      <c r="AX778" s="109">
        <v>1837</v>
      </c>
      <c r="AY778" s="36"/>
      <c r="AZ778" s="36"/>
      <c r="BA778" s="40">
        <v>125</v>
      </c>
      <c r="BD778" s="9"/>
      <c r="CS778" s="11">
        <f t="shared" si="57"/>
        <v>125</v>
      </c>
      <c r="CT778" s="22">
        <f t="shared" si="58"/>
        <v>125</v>
      </c>
      <c r="CU778" s="22">
        <f t="shared" si="56"/>
        <v>0</v>
      </c>
      <c r="CV778" s="26">
        <f t="shared" si="59"/>
        <v>0</v>
      </c>
    </row>
    <row r="779" spans="1:100" ht="12.75" x14ac:dyDescent="0.2">
      <c r="A779" s="9" t="s">
        <v>266</v>
      </c>
      <c r="B779" s="2">
        <v>40</v>
      </c>
      <c r="C779" s="3" t="s">
        <v>95</v>
      </c>
      <c r="D779" s="3" t="s">
        <v>96</v>
      </c>
      <c r="E779" s="2" t="s">
        <v>67</v>
      </c>
      <c r="F779" s="2">
        <v>2</v>
      </c>
      <c r="G779" s="2" t="s">
        <v>70</v>
      </c>
      <c r="H779" s="2">
        <v>2</v>
      </c>
      <c r="I779" s="8">
        <v>125.02</v>
      </c>
      <c r="J779" s="8">
        <v>55564</v>
      </c>
      <c r="K779" s="3">
        <v>0</v>
      </c>
      <c r="L779" s="3" t="s">
        <v>3</v>
      </c>
      <c r="M779" s="9" t="s">
        <v>62</v>
      </c>
      <c r="N779" s="9" t="s">
        <v>20</v>
      </c>
      <c r="O779" s="9" t="s">
        <v>273</v>
      </c>
      <c r="S779" s="48" t="s">
        <v>277</v>
      </c>
      <c r="V779" s="10">
        <v>12.5</v>
      </c>
      <c r="W779" s="10" t="s">
        <v>710</v>
      </c>
      <c r="X779" s="17">
        <v>44699</v>
      </c>
      <c r="Y779" s="17">
        <v>44921</v>
      </c>
      <c r="Z779" s="19" t="s">
        <v>772</v>
      </c>
      <c r="AA779" s="210">
        <v>6000</v>
      </c>
      <c r="AB779" s="9">
        <v>48</v>
      </c>
      <c r="AC779" s="9">
        <v>13</v>
      </c>
      <c r="AD779" s="17">
        <v>45184</v>
      </c>
      <c r="AE779" s="56">
        <v>125</v>
      </c>
      <c r="AF779" s="56"/>
      <c r="AG779" s="9" t="s">
        <v>275</v>
      </c>
      <c r="AH779" s="64">
        <v>45159</v>
      </c>
      <c r="AI779" s="60">
        <v>10075105725</v>
      </c>
      <c r="AJ779" s="11" t="s">
        <v>2502</v>
      </c>
      <c r="AK779" s="11" t="s">
        <v>2515</v>
      </c>
      <c r="AL779" s="11">
        <v>125</v>
      </c>
      <c r="AN779" s="11" t="s">
        <v>2541</v>
      </c>
      <c r="AW779" s="108">
        <v>45159</v>
      </c>
      <c r="AX779" s="109">
        <v>1835</v>
      </c>
      <c r="AY779" s="36"/>
      <c r="AZ779" s="36"/>
      <c r="BA779" s="40">
        <v>125</v>
      </c>
      <c r="BD779" s="9"/>
      <c r="CS779" s="11">
        <f t="shared" si="57"/>
        <v>125</v>
      </c>
      <c r="CT779" s="22">
        <f t="shared" si="58"/>
        <v>125</v>
      </c>
      <c r="CU779" s="22">
        <f t="shared" si="56"/>
        <v>0</v>
      </c>
      <c r="CV779" s="26">
        <f t="shared" si="59"/>
        <v>0</v>
      </c>
    </row>
    <row r="780" spans="1:100" ht="12.75" x14ac:dyDescent="0.2">
      <c r="A780" s="9" t="s">
        <v>266</v>
      </c>
      <c r="B780" s="2">
        <v>40</v>
      </c>
      <c r="C780" s="3" t="s">
        <v>95</v>
      </c>
      <c r="D780" s="3" t="s">
        <v>96</v>
      </c>
      <c r="E780" s="2" t="s">
        <v>67</v>
      </c>
      <c r="F780" s="2">
        <v>2</v>
      </c>
      <c r="G780" s="2" t="s">
        <v>70</v>
      </c>
      <c r="H780" s="2">
        <v>2</v>
      </c>
      <c r="I780" s="8">
        <v>125.02</v>
      </c>
      <c r="J780" s="8">
        <v>55564</v>
      </c>
      <c r="K780" s="3">
        <v>0</v>
      </c>
      <c r="L780" s="3" t="s">
        <v>3</v>
      </c>
      <c r="M780" s="9" t="s">
        <v>62</v>
      </c>
      <c r="N780" s="9" t="s">
        <v>20</v>
      </c>
      <c r="O780" s="9" t="s">
        <v>273</v>
      </c>
      <c r="S780" s="48" t="s">
        <v>277</v>
      </c>
      <c r="V780" s="10">
        <v>12.5</v>
      </c>
      <c r="W780" s="10" t="s">
        <v>710</v>
      </c>
      <c r="X780" s="17">
        <v>44699</v>
      </c>
      <c r="Y780" s="17">
        <v>44921</v>
      </c>
      <c r="Z780" s="19" t="s">
        <v>772</v>
      </c>
      <c r="AA780" s="210">
        <v>6000</v>
      </c>
      <c r="AB780" s="9">
        <v>48</v>
      </c>
      <c r="AC780" s="9">
        <v>14</v>
      </c>
      <c r="AD780" s="17">
        <v>45214</v>
      </c>
      <c r="AE780" s="56">
        <v>125</v>
      </c>
      <c r="AF780" s="56"/>
      <c r="AG780" s="9" t="s">
        <v>275</v>
      </c>
      <c r="AH780" s="64">
        <v>45204</v>
      </c>
      <c r="AI780" s="60">
        <v>10075105725</v>
      </c>
      <c r="AJ780" s="11" t="s">
        <v>2502</v>
      </c>
      <c r="AK780" s="11" t="s">
        <v>2517</v>
      </c>
      <c r="AL780" s="11">
        <v>125</v>
      </c>
      <c r="AN780" s="11" t="s">
        <v>2543</v>
      </c>
      <c r="AW780" s="108">
        <v>45202</v>
      </c>
      <c r="AX780" s="109">
        <v>1945</v>
      </c>
      <c r="AY780" s="36"/>
      <c r="AZ780" s="36"/>
      <c r="BA780" s="40">
        <v>125</v>
      </c>
      <c r="BD780" s="9"/>
      <c r="CS780" s="11">
        <f t="shared" si="57"/>
        <v>125</v>
      </c>
      <c r="CT780" s="22">
        <f t="shared" si="58"/>
        <v>125</v>
      </c>
      <c r="CU780" s="22">
        <f t="shared" si="56"/>
        <v>0</v>
      </c>
      <c r="CV780" s="26">
        <f t="shared" si="59"/>
        <v>0</v>
      </c>
    </row>
    <row r="781" spans="1:100" ht="12.75" x14ac:dyDescent="0.2">
      <c r="A781" s="9" t="s">
        <v>266</v>
      </c>
      <c r="B781" s="2">
        <v>40</v>
      </c>
      <c r="C781" s="3" t="s">
        <v>95</v>
      </c>
      <c r="D781" s="3" t="s">
        <v>96</v>
      </c>
      <c r="E781" s="2" t="s">
        <v>67</v>
      </c>
      <c r="F781" s="2">
        <v>2</v>
      </c>
      <c r="G781" s="2" t="s">
        <v>70</v>
      </c>
      <c r="H781" s="2">
        <v>2</v>
      </c>
      <c r="I781" s="8">
        <v>125.02</v>
      </c>
      <c r="J781" s="8">
        <v>55564</v>
      </c>
      <c r="K781" s="3">
        <v>0</v>
      </c>
      <c r="L781" s="3" t="s">
        <v>3</v>
      </c>
      <c r="M781" s="9" t="s">
        <v>62</v>
      </c>
      <c r="N781" s="9" t="s">
        <v>20</v>
      </c>
      <c r="O781" s="9" t="s">
        <v>273</v>
      </c>
      <c r="S781" s="48" t="s">
        <v>277</v>
      </c>
      <c r="V781" s="10">
        <v>12.5</v>
      </c>
      <c r="W781" s="10" t="s">
        <v>710</v>
      </c>
      <c r="X781" s="17">
        <v>44699</v>
      </c>
      <c r="Y781" s="17">
        <v>44921</v>
      </c>
      <c r="Z781" s="19" t="s">
        <v>772</v>
      </c>
      <c r="AA781" s="210">
        <v>6000</v>
      </c>
      <c r="AB781" s="9">
        <v>48</v>
      </c>
      <c r="AC781" s="9">
        <v>15</v>
      </c>
      <c r="AD781" s="17">
        <v>45245</v>
      </c>
      <c r="AE781" s="56">
        <v>125</v>
      </c>
      <c r="AF781" s="56"/>
      <c r="AG781" s="9" t="s">
        <v>275</v>
      </c>
      <c r="AH781" s="64">
        <v>45229</v>
      </c>
      <c r="AI781" s="60">
        <v>10075105725</v>
      </c>
      <c r="AJ781" s="11" t="s">
        <v>2502</v>
      </c>
      <c r="AK781" s="11" t="s">
        <v>2519</v>
      </c>
      <c r="AL781" s="11">
        <v>125</v>
      </c>
      <c r="AN781" s="11" t="s">
        <v>2545</v>
      </c>
      <c r="AW781" s="108">
        <v>45225</v>
      </c>
      <c r="AX781" s="109">
        <v>1992</v>
      </c>
      <c r="AY781" s="36"/>
      <c r="AZ781" s="36"/>
      <c r="BA781" s="40">
        <v>125</v>
      </c>
      <c r="BD781" s="9"/>
      <c r="CS781" s="11">
        <f t="shared" si="57"/>
        <v>125</v>
      </c>
      <c r="CT781" s="22">
        <f t="shared" si="58"/>
        <v>125</v>
      </c>
      <c r="CU781" s="22">
        <f t="shared" si="56"/>
        <v>0</v>
      </c>
      <c r="CV781" s="26">
        <f t="shared" si="59"/>
        <v>0</v>
      </c>
    </row>
    <row r="782" spans="1:100" ht="12.75" x14ac:dyDescent="0.2">
      <c r="A782" s="9" t="s">
        <v>266</v>
      </c>
      <c r="B782" s="2">
        <v>40</v>
      </c>
      <c r="C782" s="3" t="s">
        <v>95</v>
      </c>
      <c r="D782" s="3" t="s">
        <v>96</v>
      </c>
      <c r="E782" s="2" t="s">
        <v>67</v>
      </c>
      <c r="F782" s="2">
        <v>2</v>
      </c>
      <c r="G782" s="2" t="s">
        <v>70</v>
      </c>
      <c r="H782" s="2">
        <v>2</v>
      </c>
      <c r="I782" s="8">
        <v>125.02</v>
      </c>
      <c r="J782" s="8">
        <v>55564</v>
      </c>
      <c r="K782" s="3">
        <v>0</v>
      </c>
      <c r="L782" s="3" t="s">
        <v>3</v>
      </c>
      <c r="M782" s="9" t="s">
        <v>62</v>
      </c>
      <c r="N782" s="9" t="s">
        <v>20</v>
      </c>
      <c r="O782" s="9" t="s">
        <v>273</v>
      </c>
      <c r="S782" s="48" t="s">
        <v>277</v>
      </c>
      <c r="V782" s="10">
        <v>12.5</v>
      </c>
      <c r="W782" s="10" t="s">
        <v>710</v>
      </c>
      <c r="X782" s="17">
        <v>44699</v>
      </c>
      <c r="Y782" s="17">
        <v>44921</v>
      </c>
      <c r="Z782" s="19" t="s">
        <v>772</v>
      </c>
      <c r="AA782" s="210">
        <v>6000</v>
      </c>
      <c r="AB782" s="9">
        <v>48</v>
      </c>
      <c r="AC782" s="9">
        <v>16</v>
      </c>
      <c r="AD782" s="17">
        <v>45275</v>
      </c>
      <c r="AE782" s="56">
        <v>125</v>
      </c>
      <c r="AF782" s="56"/>
      <c r="AG782" s="9" t="s">
        <v>275</v>
      </c>
      <c r="AH782" s="64">
        <v>45257</v>
      </c>
      <c r="AI782" s="60">
        <v>10075105725</v>
      </c>
      <c r="AJ782" s="11" t="s">
        <v>2502</v>
      </c>
      <c r="AK782" s="11" t="s">
        <v>2521</v>
      </c>
      <c r="AL782" s="11">
        <v>125</v>
      </c>
      <c r="AN782" s="11" t="s">
        <v>2547</v>
      </c>
      <c r="AW782" s="108">
        <v>45257</v>
      </c>
      <c r="AX782" s="109">
        <v>2075</v>
      </c>
      <c r="AY782" s="36"/>
      <c r="AZ782" s="36"/>
      <c r="BA782" s="40">
        <v>125</v>
      </c>
      <c r="BD782" s="9"/>
      <c r="CS782" s="11">
        <f t="shared" si="57"/>
        <v>125</v>
      </c>
      <c r="CT782" s="22">
        <f t="shared" si="58"/>
        <v>125</v>
      </c>
      <c r="CU782" s="22">
        <f t="shared" si="56"/>
        <v>0</v>
      </c>
      <c r="CV782" s="26">
        <f t="shared" si="59"/>
        <v>0</v>
      </c>
    </row>
    <row r="783" spans="1:100" ht="12.75" x14ac:dyDescent="0.2">
      <c r="A783" s="9" t="s">
        <v>266</v>
      </c>
      <c r="B783" s="2">
        <v>40</v>
      </c>
      <c r="C783" s="3" t="s">
        <v>95</v>
      </c>
      <c r="D783" s="3" t="s">
        <v>96</v>
      </c>
      <c r="E783" s="2" t="s">
        <v>67</v>
      </c>
      <c r="F783" s="2">
        <v>2</v>
      </c>
      <c r="G783" s="2" t="s">
        <v>70</v>
      </c>
      <c r="H783" s="2">
        <v>2</v>
      </c>
      <c r="I783" s="8">
        <v>125.02</v>
      </c>
      <c r="J783" s="8">
        <v>55564</v>
      </c>
      <c r="K783" s="3">
        <v>0</v>
      </c>
      <c r="L783" s="3" t="s">
        <v>3</v>
      </c>
      <c r="M783" s="9" t="s">
        <v>62</v>
      </c>
      <c r="N783" s="9" t="s">
        <v>20</v>
      </c>
      <c r="O783" s="9" t="s">
        <v>273</v>
      </c>
      <c r="S783" s="48" t="s">
        <v>277</v>
      </c>
      <c r="V783" s="10">
        <v>12.5</v>
      </c>
      <c r="W783" s="10" t="s">
        <v>710</v>
      </c>
      <c r="X783" s="17">
        <v>44699</v>
      </c>
      <c r="Y783" s="17">
        <v>44921</v>
      </c>
      <c r="Z783" s="19" t="s">
        <v>772</v>
      </c>
      <c r="AA783" s="210">
        <v>6000</v>
      </c>
      <c r="AB783" s="9">
        <v>48</v>
      </c>
      <c r="AC783" s="9">
        <v>17</v>
      </c>
      <c r="AD783" s="17">
        <v>45306</v>
      </c>
      <c r="AE783" s="56">
        <v>125</v>
      </c>
      <c r="AF783" s="56"/>
      <c r="AG783" s="9" t="s">
        <v>275</v>
      </c>
      <c r="AH783" s="64">
        <v>45279</v>
      </c>
      <c r="AI783" s="60">
        <v>10075105725</v>
      </c>
      <c r="AJ783" s="11" t="s">
        <v>2502</v>
      </c>
      <c r="AK783" s="11" t="s">
        <v>2523</v>
      </c>
      <c r="AL783" s="11">
        <v>125</v>
      </c>
      <c r="AN783" s="11" t="s">
        <v>2549</v>
      </c>
      <c r="AW783" s="108">
        <v>45279</v>
      </c>
      <c r="AX783" s="109">
        <v>2126</v>
      </c>
      <c r="AY783" s="36"/>
      <c r="AZ783" s="36"/>
      <c r="BA783" s="40">
        <v>125</v>
      </c>
      <c r="BD783" s="9"/>
      <c r="CS783" s="11">
        <f t="shared" si="57"/>
        <v>125</v>
      </c>
      <c r="CT783" s="22">
        <f t="shared" si="58"/>
        <v>125</v>
      </c>
      <c r="CU783" s="22">
        <f t="shared" si="56"/>
        <v>0</v>
      </c>
      <c r="CV783" s="26">
        <f t="shared" si="59"/>
        <v>0</v>
      </c>
    </row>
    <row r="784" spans="1:100" ht="12.75" x14ac:dyDescent="0.2">
      <c r="A784" s="9" t="s">
        <v>266</v>
      </c>
      <c r="B784" s="2">
        <v>40</v>
      </c>
      <c r="C784" s="3" t="s">
        <v>95</v>
      </c>
      <c r="D784" s="3" t="s">
        <v>96</v>
      </c>
      <c r="E784" s="2" t="s">
        <v>67</v>
      </c>
      <c r="F784" s="2">
        <v>2</v>
      </c>
      <c r="G784" s="2" t="s">
        <v>70</v>
      </c>
      <c r="H784" s="2">
        <v>2</v>
      </c>
      <c r="I784" s="8">
        <v>125.02</v>
      </c>
      <c r="J784" s="8">
        <v>55564</v>
      </c>
      <c r="K784" s="3">
        <v>0</v>
      </c>
      <c r="L784" s="3" t="s">
        <v>3</v>
      </c>
      <c r="M784" s="9" t="s">
        <v>62</v>
      </c>
      <c r="N784" s="9" t="s">
        <v>20</v>
      </c>
      <c r="O784" s="9" t="s">
        <v>273</v>
      </c>
      <c r="S784" s="48" t="s">
        <v>277</v>
      </c>
      <c r="V784" s="10">
        <v>12.5</v>
      </c>
      <c r="W784" s="10" t="s">
        <v>710</v>
      </c>
      <c r="X784" s="17">
        <v>44699</v>
      </c>
      <c r="Y784" s="17">
        <v>44921</v>
      </c>
      <c r="Z784" s="19" t="s">
        <v>772</v>
      </c>
      <c r="AA784" s="210">
        <v>6000</v>
      </c>
      <c r="AB784" s="9">
        <v>48</v>
      </c>
      <c r="AC784" s="9">
        <v>18</v>
      </c>
      <c r="AD784" s="17">
        <v>45337</v>
      </c>
      <c r="AE784" s="56">
        <v>125</v>
      </c>
      <c r="AF784" s="56"/>
      <c r="AG784" s="9" t="s">
        <v>275</v>
      </c>
      <c r="AH784" s="64">
        <v>45335</v>
      </c>
      <c r="AI784" s="60">
        <v>10075105725</v>
      </c>
      <c r="AJ784" s="11" t="s">
        <v>2502</v>
      </c>
      <c r="AK784" s="11" t="s">
        <v>2551</v>
      </c>
      <c r="AL784" s="11">
        <v>125</v>
      </c>
      <c r="AN784" s="11" t="s">
        <v>2569</v>
      </c>
      <c r="AW784" s="108">
        <v>45315</v>
      </c>
      <c r="AX784" s="109">
        <v>2240</v>
      </c>
      <c r="AY784" s="36"/>
      <c r="AZ784" s="36"/>
      <c r="BA784" s="40">
        <v>125</v>
      </c>
      <c r="BD784" s="9"/>
      <c r="CS784" s="11">
        <f t="shared" si="57"/>
        <v>125</v>
      </c>
      <c r="CT784" s="22">
        <f t="shared" si="58"/>
        <v>125</v>
      </c>
      <c r="CU784" s="22">
        <f t="shared" si="56"/>
        <v>0</v>
      </c>
      <c r="CV784" s="26">
        <f t="shared" si="59"/>
        <v>0</v>
      </c>
    </row>
    <row r="785" spans="1:100" ht="12.75" x14ac:dyDescent="0.2">
      <c r="A785" s="9" t="s">
        <v>266</v>
      </c>
      <c r="B785" s="2">
        <v>40</v>
      </c>
      <c r="C785" s="3" t="s">
        <v>95</v>
      </c>
      <c r="D785" s="3" t="s">
        <v>96</v>
      </c>
      <c r="E785" s="2" t="s">
        <v>67</v>
      </c>
      <c r="F785" s="2">
        <v>2</v>
      </c>
      <c r="G785" s="2" t="s">
        <v>70</v>
      </c>
      <c r="H785" s="2">
        <v>2</v>
      </c>
      <c r="I785" s="8">
        <v>125.02</v>
      </c>
      <c r="J785" s="8">
        <v>55564</v>
      </c>
      <c r="K785" s="3">
        <v>0</v>
      </c>
      <c r="L785" s="3" t="s">
        <v>3</v>
      </c>
      <c r="M785" s="9" t="s">
        <v>62</v>
      </c>
      <c r="N785" s="9" t="s">
        <v>20</v>
      </c>
      <c r="O785" s="9" t="s">
        <v>273</v>
      </c>
      <c r="S785" s="48" t="s">
        <v>277</v>
      </c>
      <c r="V785" s="10">
        <v>12.5</v>
      </c>
      <c r="W785" s="10" t="s">
        <v>710</v>
      </c>
      <c r="X785" s="17">
        <v>44699</v>
      </c>
      <c r="Y785" s="17">
        <v>44921</v>
      </c>
      <c r="Z785" s="19" t="s">
        <v>772</v>
      </c>
      <c r="AA785" s="210">
        <v>6000</v>
      </c>
      <c r="AB785" s="9">
        <v>48</v>
      </c>
      <c r="AC785" s="9">
        <v>19</v>
      </c>
      <c r="AD785" s="17">
        <v>45366</v>
      </c>
      <c r="AE785" s="56">
        <v>125</v>
      </c>
      <c r="AF785" s="56"/>
      <c r="AG785" s="9" t="s">
        <v>275</v>
      </c>
      <c r="AH785" s="64">
        <v>45349</v>
      </c>
      <c r="AI785" s="60">
        <v>10075105725</v>
      </c>
      <c r="AJ785" s="11" t="s">
        <v>2502</v>
      </c>
      <c r="AK785" s="11" t="s">
        <v>2553</v>
      </c>
      <c r="AL785" s="11">
        <v>125</v>
      </c>
      <c r="AN785" s="11" t="s">
        <v>2571</v>
      </c>
      <c r="AW785" s="108">
        <v>45344</v>
      </c>
      <c r="AX785" s="109">
        <v>2330</v>
      </c>
      <c r="AY785" s="36"/>
      <c r="AZ785" s="36"/>
      <c r="BA785" s="40">
        <v>125</v>
      </c>
      <c r="BD785" s="9"/>
      <c r="CS785" s="11">
        <f t="shared" si="57"/>
        <v>125</v>
      </c>
      <c r="CT785" s="22">
        <f t="shared" si="58"/>
        <v>125</v>
      </c>
      <c r="CU785" s="22">
        <f t="shared" si="56"/>
        <v>0</v>
      </c>
      <c r="CV785" s="26">
        <f t="shared" si="59"/>
        <v>0</v>
      </c>
    </row>
    <row r="786" spans="1:100" ht="12.75" x14ac:dyDescent="0.2">
      <c r="A786" s="9" t="s">
        <v>266</v>
      </c>
      <c r="B786" s="2">
        <v>40</v>
      </c>
      <c r="C786" s="3" t="s">
        <v>95</v>
      </c>
      <c r="D786" s="3" t="s">
        <v>96</v>
      </c>
      <c r="E786" s="2" t="s">
        <v>67</v>
      </c>
      <c r="F786" s="2">
        <v>2</v>
      </c>
      <c r="G786" s="2" t="s">
        <v>70</v>
      </c>
      <c r="H786" s="2">
        <v>2</v>
      </c>
      <c r="I786" s="8">
        <v>125.02</v>
      </c>
      <c r="J786" s="8">
        <v>55564</v>
      </c>
      <c r="K786" s="3">
        <v>0</v>
      </c>
      <c r="L786" s="3" t="s">
        <v>3</v>
      </c>
      <c r="M786" s="9" t="s">
        <v>62</v>
      </c>
      <c r="N786" s="9" t="s">
        <v>20</v>
      </c>
      <c r="O786" s="9" t="s">
        <v>273</v>
      </c>
      <c r="S786" s="48" t="s">
        <v>277</v>
      </c>
      <c r="V786" s="10">
        <v>12.5</v>
      </c>
      <c r="W786" s="10" t="s">
        <v>710</v>
      </c>
      <c r="X786" s="17">
        <v>44699</v>
      </c>
      <c r="Y786" s="17">
        <v>44921</v>
      </c>
      <c r="Z786" s="19" t="s">
        <v>772</v>
      </c>
      <c r="AA786" s="210">
        <v>6000</v>
      </c>
      <c r="AB786" s="9">
        <v>48</v>
      </c>
      <c r="AC786" s="9">
        <v>20</v>
      </c>
      <c r="AD786" s="17">
        <v>45397</v>
      </c>
      <c r="AE786" s="56">
        <v>125</v>
      </c>
      <c r="AF786" s="56"/>
      <c r="AG786" s="9" t="s">
        <v>275</v>
      </c>
      <c r="AH786" s="64">
        <v>45384</v>
      </c>
      <c r="AI786" s="60">
        <v>10075105725</v>
      </c>
      <c r="AJ786" s="11" t="s">
        <v>2502</v>
      </c>
      <c r="AK786" s="11" t="s">
        <v>2555</v>
      </c>
      <c r="AL786" s="11">
        <v>125</v>
      </c>
      <c r="AN786" s="11" t="s">
        <v>2573</v>
      </c>
      <c r="AW786" s="108">
        <v>45371</v>
      </c>
      <c r="AX786" s="109">
        <v>2441</v>
      </c>
      <c r="AY786" s="36"/>
      <c r="AZ786" s="36"/>
      <c r="BA786" s="40">
        <v>125</v>
      </c>
      <c r="BD786" s="9"/>
      <c r="CS786" s="11">
        <f t="shared" si="57"/>
        <v>125</v>
      </c>
      <c r="CT786" s="22">
        <f t="shared" si="58"/>
        <v>125</v>
      </c>
      <c r="CU786" s="22">
        <f t="shared" si="56"/>
        <v>0</v>
      </c>
      <c r="CV786" s="26">
        <f t="shared" si="59"/>
        <v>0</v>
      </c>
    </row>
    <row r="787" spans="1:100" x14ac:dyDescent="0.2">
      <c r="A787" s="9" t="s">
        <v>266</v>
      </c>
      <c r="B787" s="2">
        <v>40</v>
      </c>
      <c r="C787" s="3" t="s">
        <v>95</v>
      </c>
      <c r="D787" s="3" t="s">
        <v>96</v>
      </c>
      <c r="E787" s="2" t="s">
        <v>67</v>
      </c>
      <c r="F787" s="2">
        <v>2</v>
      </c>
      <c r="G787" s="2" t="s">
        <v>70</v>
      </c>
      <c r="H787" s="2">
        <v>2</v>
      </c>
      <c r="I787" s="8">
        <v>125.02</v>
      </c>
      <c r="J787" s="8">
        <v>55564</v>
      </c>
      <c r="K787" s="3">
        <v>0</v>
      </c>
      <c r="L787" s="3" t="s">
        <v>3</v>
      </c>
      <c r="M787" s="9" t="s">
        <v>62</v>
      </c>
      <c r="N787" s="9" t="s">
        <v>20</v>
      </c>
      <c r="O787" s="9" t="s">
        <v>273</v>
      </c>
      <c r="S787" s="48" t="s">
        <v>277</v>
      </c>
      <c r="V787" s="10">
        <v>12.5</v>
      </c>
      <c r="W787" s="10" t="s">
        <v>710</v>
      </c>
      <c r="X787" s="17">
        <v>44699</v>
      </c>
      <c r="Y787" s="17">
        <v>44921</v>
      </c>
      <c r="Z787" s="19" t="s">
        <v>772</v>
      </c>
      <c r="AA787" s="210">
        <v>6000</v>
      </c>
      <c r="AB787" s="9">
        <v>48</v>
      </c>
      <c r="AC787" s="9">
        <v>21</v>
      </c>
      <c r="AD787" s="17">
        <v>45427</v>
      </c>
      <c r="AE787" s="56">
        <v>125</v>
      </c>
      <c r="AF787" s="56"/>
      <c r="AG787" s="9" t="s">
        <v>275</v>
      </c>
      <c r="AH787" s="64">
        <v>45407</v>
      </c>
      <c r="AI787" s="60">
        <v>10075105725</v>
      </c>
      <c r="AJ787" s="11" t="s">
        <v>2502</v>
      </c>
      <c r="AK787" s="11" t="s">
        <v>2557</v>
      </c>
      <c r="AL787" s="11">
        <v>125</v>
      </c>
      <c r="AN787" s="11" t="s">
        <v>2575</v>
      </c>
      <c r="AW787" s="42">
        <v>45404</v>
      </c>
      <c r="AX787" s="36">
        <v>2563</v>
      </c>
      <c r="AY787" s="36"/>
      <c r="AZ787" s="36"/>
      <c r="BA787" s="40">
        <v>125</v>
      </c>
      <c r="BD787" s="9"/>
      <c r="CS787" s="11">
        <f t="shared" si="57"/>
        <v>125</v>
      </c>
      <c r="CT787" s="22">
        <f t="shared" si="58"/>
        <v>125</v>
      </c>
      <c r="CU787" s="22">
        <f t="shared" si="56"/>
        <v>0</v>
      </c>
      <c r="CV787" s="26">
        <f t="shared" si="59"/>
        <v>0</v>
      </c>
    </row>
    <row r="788" spans="1:100" ht="12.75" x14ac:dyDescent="0.2">
      <c r="A788" s="9" t="s">
        <v>266</v>
      </c>
      <c r="B788" s="2">
        <v>40</v>
      </c>
      <c r="C788" s="3" t="s">
        <v>95</v>
      </c>
      <c r="D788" s="3" t="s">
        <v>96</v>
      </c>
      <c r="E788" s="2" t="s">
        <v>67</v>
      </c>
      <c r="F788" s="2">
        <v>2</v>
      </c>
      <c r="G788" s="2" t="s">
        <v>70</v>
      </c>
      <c r="H788" s="2">
        <v>2</v>
      </c>
      <c r="I788" s="8">
        <v>125.02</v>
      </c>
      <c r="J788" s="8">
        <v>55564</v>
      </c>
      <c r="K788" s="3">
        <v>0</v>
      </c>
      <c r="L788" s="3" t="s">
        <v>3</v>
      </c>
      <c r="M788" s="9" t="s">
        <v>62</v>
      </c>
      <c r="N788" s="9" t="s">
        <v>20</v>
      </c>
      <c r="O788" s="9" t="s">
        <v>273</v>
      </c>
      <c r="S788" s="48" t="s">
        <v>277</v>
      </c>
      <c r="V788" s="10">
        <v>12.5</v>
      </c>
      <c r="W788" s="10" t="s">
        <v>710</v>
      </c>
      <c r="X788" s="17">
        <v>44699</v>
      </c>
      <c r="Y788" s="17">
        <v>44921</v>
      </c>
      <c r="Z788" s="19" t="s">
        <v>772</v>
      </c>
      <c r="AA788" s="210">
        <v>6000</v>
      </c>
      <c r="AB788" s="9">
        <v>48</v>
      </c>
      <c r="AC788" s="9">
        <v>22</v>
      </c>
      <c r="AD788" s="17">
        <v>45458</v>
      </c>
      <c r="AE788" s="56">
        <v>125</v>
      </c>
      <c r="AF788" s="56"/>
      <c r="AG788" s="9" t="s">
        <v>275</v>
      </c>
      <c r="AH788" s="64">
        <v>45436</v>
      </c>
      <c r="AI788" s="60">
        <v>10075105725</v>
      </c>
      <c r="AJ788" s="11" t="s">
        <v>2502</v>
      </c>
      <c r="AK788" s="11" t="s">
        <v>2559</v>
      </c>
      <c r="AL788" s="11">
        <v>125</v>
      </c>
      <c r="AN788" s="11" t="s">
        <v>2577</v>
      </c>
      <c r="AW788" s="108">
        <v>45436</v>
      </c>
      <c r="AX788" s="109">
        <v>2682</v>
      </c>
      <c r="AY788" s="36"/>
      <c r="AZ788" s="36"/>
      <c r="BA788" s="40">
        <v>125</v>
      </c>
      <c r="BD788" s="9"/>
      <c r="CS788" s="11">
        <f t="shared" si="57"/>
        <v>125</v>
      </c>
      <c r="CT788" s="22">
        <f t="shared" si="58"/>
        <v>125</v>
      </c>
      <c r="CU788" s="22">
        <f t="shared" si="56"/>
        <v>0</v>
      </c>
      <c r="CV788" s="26">
        <f t="shared" si="59"/>
        <v>0</v>
      </c>
    </row>
    <row r="789" spans="1:100" ht="12.75" x14ac:dyDescent="0.2">
      <c r="A789" s="9" t="s">
        <v>266</v>
      </c>
      <c r="B789" s="2">
        <v>40</v>
      </c>
      <c r="C789" s="3" t="s">
        <v>95</v>
      </c>
      <c r="D789" s="3" t="s">
        <v>96</v>
      </c>
      <c r="E789" s="2" t="s">
        <v>67</v>
      </c>
      <c r="F789" s="2">
        <v>2</v>
      </c>
      <c r="G789" s="2" t="s">
        <v>70</v>
      </c>
      <c r="H789" s="2">
        <v>2</v>
      </c>
      <c r="I789" s="8">
        <v>125.02</v>
      </c>
      <c r="J789" s="8">
        <v>55564</v>
      </c>
      <c r="K789" s="3">
        <v>0</v>
      </c>
      <c r="L789" s="3" t="s">
        <v>3</v>
      </c>
      <c r="M789" s="9" t="s">
        <v>62</v>
      </c>
      <c r="N789" s="9" t="s">
        <v>20</v>
      </c>
      <c r="O789" s="9" t="s">
        <v>273</v>
      </c>
      <c r="S789" s="48" t="s">
        <v>277</v>
      </c>
      <c r="V789" s="10">
        <v>12.5</v>
      </c>
      <c r="W789" s="10" t="s">
        <v>710</v>
      </c>
      <c r="X789" s="17">
        <v>44699</v>
      </c>
      <c r="Y789" s="17">
        <v>44921</v>
      </c>
      <c r="Z789" s="19" t="s">
        <v>772</v>
      </c>
      <c r="AA789" s="210">
        <v>6000</v>
      </c>
      <c r="AB789" s="9">
        <v>48</v>
      </c>
      <c r="AC789" s="9">
        <v>23</v>
      </c>
      <c r="AD789" s="17">
        <v>45488</v>
      </c>
      <c r="AE789" s="56">
        <v>125</v>
      </c>
      <c r="AF789" s="56"/>
      <c r="AG789" s="9" t="s">
        <v>275</v>
      </c>
      <c r="AH789" s="64">
        <v>45470</v>
      </c>
      <c r="AI789" s="60">
        <v>10075105725</v>
      </c>
      <c r="AJ789" s="11" t="s">
        <v>2502</v>
      </c>
      <c r="AK789" s="11" t="s">
        <v>2561</v>
      </c>
      <c r="AL789" s="11">
        <v>125</v>
      </c>
      <c r="AN789" s="11" t="s">
        <v>2579</v>
      </c>
      <c r="AW789" s="108">
        <v>45469</v>
      </c>
      <c r="AX789" s="109">
        <v>2813</v>
      </c>
      <c r="AY789" s="36"/>
      <c r="AZ789" s="36"/>
      <c r="BA789" s="40">
        <v>125</v>
      </c>
      <c r="BD789" s="9"/>
      <c r="CS789" s="11">
        <f t="shared" si="57"/>
        <v>125</v>
      </c>
      <c r="CT789" s="22">
        <f t="shared" si="58"/>
        <v>125</v>
      </c>
      <c r="CU789" s="22">
        <f t="shared" si="56"/>
        <v>0</v>
      </c>
      <c r="CV789" s="26">
        <f t="shared" si="59"/>
        <v>0</v>
      </c>
    </row>
    <row r="790" spans="1:100" ht="12.75" x14ac:dyDescent="0.2">
      <c r="A790" s="9" t="s">
        <v>266</v>
      </c>
      <c r="B790" s="2">
        <v>40</v>
      </c>
      <c r="C790" s="3" t="s">
        <v>95</v>
      </c>
      <c r="D790" s="3" t="s">
        <v>96</v>
      </c>
      <c r="E790" s="2" t="s">
        <v>67</v>
      </c>
      <c r="F790" s="2">
        <v>2</v>
      </c>
      <c r="G790" s="2" t="s">
        <v>70</v>
      </c>
      <c r="H790" s="2">
        <v>2</v>
      </c>
      <c r="I790" s="8">
        <v>125.02</v>
      </c>
      <c r="J790" s="8">
        <v>55564</v>
      </c>
      <c r="K790" s="3">
        <v>0</v>
      </c>
      <c r="L790" s="3" t="s">
        <v>3</v>
      </c>
      <c r="M790" s="9" t="s">
        <v>62</v>
      </c>
      <c r="N790" s="9" t="s">
        <v>20</v>
      </c>
      <c r="O790" s="9" t="s">
        <v>273</v>
      </c>
      <c r="S790" s="48" t="s">
        <v>277</v>
      </c>
      <c r="V790" s="10">
        <v>12.5</v>
      </c>
      <c r="W790" s="10" t="s">
        <v>710</v>
      </c>
      <c r="X790" s="17">
        <v>44699</v>
      </c>
      <c r="Y790" s="17">
        <v>44921</v>
      </c>
      <c r="Z790" s="19" t="s">
        <v>772</v>
      </c>
      <c r="AA790" s="210">
        <v>6000</v>
      </c>
      <c r="AB790" s="9">
        <v>48</v>
      </c>
      <c r="AC790" s="9">
        <v>24</v>
      </c>
      <c r="AD790" s="17">
        <v>45519</v>
      </c>
      <c r="AE790" s="56">
        <v>125</v>
      </c>
      <c r="AF790" s="56"/>
      <c r="AG790" s="9" t="s">
        <v>275</v>
      </c>
      <c r="AH790" s="64">
        <v>45506</v>
      </c>
      <c r="AI790" s="60">
        <v>10075105725</v>
      </c>
      <c r="AJ790" s="11" t="s">
        <v>2502</v>
      </c>
      <c r="AK790" s="11" t="s">
        <v>2563</v>
      </c>
      <c r="AL790" s="11">
        <v>125</v>
      </c>
      <c r="AN790" s="11" t="s">
        <v>2581</v>
      </c>
      <c r="AW790" s="108">
        <v>45506</v>
      </c>
      <c r="AX790" s="109">
        <v>2979</v>
      </c>
      <c r="AY790" s="36"/>
      <c r="AZ790" s="36"/>
      <c r="BA790" s="40">
        <v>125</v>
      </c>
      <c r="BD790" s="9"/>
      <c r="CS790" s="11">
        <f t="shared" si="57"/>
        <v>125</v>
      </c>
      <c r="CT790" s="22">
        <f t="shared" si="58"/>
        <v>125</v>
      </c>
      <c r="CU790" s="22">
        <f t="shared" si="56"/>
        <v>0</v>
      </c>
      <c r="CV790" s="26">
        <f t="shared" si="59"/>
        <v>0</v>
      </c>
    </row>
    <row r="791" spans="1:100" x14ac:dyDescent="0.2">
      <c r="A791" s="9" t="s">
        <v>266</v>
      </c>
      <c r="B791" s="2">
        <v>40</v>
      </c>
      <c r="C791" s="3" t="s">
        <v>95</v>
      </c>
      <c r="D791" s="3" t="s">
        <v>96</v>
      </c>
      <c r="E791" s="2" t="s">
        <v>67</v>
      </c>
      <c r="F791" s="2">
        <v>2</v>
      </c>
      <c r="G791" s="2" t="s">
        <v>70</v>
      </c>
      <c r="H791" s="2">
        <v>2</v>
      </c>
      <c r="I791" s="8">
        <v>125.02</v>
      </c>
      <c r="J791" s="8">
        <v>55564</v>
      </c>
      <c r="K791" s="3">
        <v>0</v>
      </c>
      <c r="L791" s="3" t="s">
        <v>3</v>
      </c>
      <c r="M791" s="9" t="s">
        <v>62</v>
      </c>
      <c r="N791" s="9" t="s">
        <v>20</v>
      </c>
      <c r="O791" s="9" t="s">
        <v>273</v>
      </c>
      <c r="S791" s="48" t="s">
        <v>277</v>
      </c>
      <c r="V791" s="10">
        <v>12.5</v>
      </c>
      <c r="W791" s="10" t="s">
        <v>710</v>
      </c>
      <c r="X791" s="17">
        <v>44699</v>
      </c>
      <c r="Y791" s="17">
        <v>44921</v>
      </c>
      <c r="Z791" s="19" t="s">
        <v>772</v>
      </c>
      <c r="AA791" s="210">
        <v>6000</v>
      </c>
      <c r="AB791" s="9">
        <v>48</v>
      </c>
      <c r="AC791" s="9">
        <v>25</v>
      </c>
      <c r="AD791" s="17">
        <v>45550</v>
      </c>
      <c r="AE791" s="56">
        <v>125</v>
      </c>
      <c r="AF791" s="56"/>
      <c r="AG791" s="9" t="s">
        <v>275</v>
      </c>
      <c r="AH791" s="64">
        <v>45596</v>
      </c>
      <c r="AI791" s="60">
        <v>10075105725</v>
      </c>
      <c r="AJ791" s="11" t="s">
        <v>2502</v>
      </c>
      <c r="AK791" s="11" t="s">
        <v>2564</v>
      </c>
      <c r="AL791" s="11">
        <v>125</v>
      </c>
      <c r="AN791" s="11" t="s">
        <v>2582</v>
      </c>
      <c r="AW791" s="42">
        <v>45531</v>
      </c>
      <c r="AX791" s="36">
        <v>3084</v>
      </c>
      <c r="AY791" s="36"/>
      <c r="AZ791" s="36"/>
      <c r="BA791" s="40">
        <v>125</v>
      </c>
      <c r="BD791" s="9"/>
      <c r="CS791" s="11">
        <f t="shared" si="57"/>
        <v>125</v>
      </c>
      <c r="CT791" s="22">
        <f t="shared" si="58"/>
        <v>125</v>
      </c>
      <c r="CU791" s="22">
        <f t="shared" si="56"/>
        <v>0</v>
      </c>
      <c r="CV791" s="26">
        <f t="shared" si="59"/>
        <v>0</v>
      </c>
    </row>
    <row r="792" spans="1:100" x14ac:dyDescent="0.2">
      <c r="A792" s="9" t="s">
        <v>266</v>
      </c>
      <c r="B792" s="2">
        <v>40</v>
      </c>
      <c r="C792" s="3" t="s">
        <v>95</v>
      </c>
      <c r="D792" s="3" t="s">
        <v>96</v>
      </c>
      <c r="E792" s="2" t="s">
        <v>67</v>
      </c>
      <c r="F792" s="2">
        <v>2</v>
      </c>
      <c r="G792" s="2" t="s">
        <v>70</v>
      </c>
      <c r="H792" s="2">
        <v>2</v>
      </c>
      <c r="I792" s="8">
        <v>125.02</v>
      </c>
      <c r="J792" s="8">
        <v>55564</v>
      </c>
      <c r="K792" s="3">
        <v>0</v>
      </c>
      <c r="L792" s="3" t="s">
        <v>3</v>
      </c>
      <c r="M792" s="9" t="s">
        <v>62</v>
      </c>
      <c r="N792" s="9" t="s">
        <v>20</v>
      </c>
      <c r="O792" s="9" t="s">
        <v>273</v>
      </c>
      <c r="S792" s="48" t="s">
        <v>277</v>
      </c>
      <c r="V792" s="10">
        <v>12.5</v>
      </c>
      <c r="W792" s="10" t="s">
        <v>710</v>
      </c>
      <c r="X792" s="17">
        <v>44699</v>
      </c>
      <c r="Y792" s="17">
        <v>44921</v>
      </c>
      <c r="Z792" s="19" t="s">
        <v>772</v>
      </c>
      <c r="AA792" s="210">
        <v>6000</v>
      </c>
      <c r="AB792" s="9">
        <v>48</v>
      </c>
      <c r="AC792" s="9">
        <v>26</v>
      </c>
      <c r="AD792" s="17">
        <v>45580</v>
      </c>
      <c r="AE792" s="56">
        <v>125</v>
      </c>
      <c r="AF792" s="56"/>
      <c r="AG792" s="9" t="s">
        <v>275</v>
      </c>
      <c r="AH792" s="64">
        <v>45596</v>
      </c>
      <c r="AI792" s="60">
        <v>10075105725</v>
      </c>
      <c r="AJ792" s="11" t="s">
        <v>2502</v>
      </c>
      <c r="AK792" s="11" t="s">
        <v>2565</v>
      </c>
      <c r="AL792" s="11">
        <v>125</v>
      </c>
      <c r="AN792" s="11" t="s">
        <v>2583</v>
      </c>
      <c r="AW792" s="42">
        <v>45562</v>
      </c>
      <c r="AX792" s="36">
        <v>3210</v>
      </c>
      <c r="AY792" s="36"/>
      <c r="AZ792" s="36"/>
      <c r="BA792" s="40">
        <v>125</v>
      </c>
      <c r="BD792" s="9"/>
      <c r="CS792" s="11">
        <f t="shared" si="57"/>
        <v>125</v>
      </c>
      <c r="CT792" s="22">
        <f t="shared" si="58"/>
        <v>125</v>
      </c>
      <c r="CU792" s="22">
        <f t="shared" si="56"/>
        <v>0</v>
      </c>
      <c r="CV792" s="26">
        <f t="shared" si="59"/>
        <v>0</v>
      </c>
    </row>
    <row r="793" spans="1:100" ht="12.75" x14ac:dyDescent="0.2">
      <c r="A793" s="9" t="s">
        <v>266</v>
      </c>
      <c r="B793" s="2">
        <v>40</v>
      </c>
      <c r="C793" s="3" t="s">
        <v>95</v>
      </c>
      <c r="D793" s="3" t="s">
        <v>96</v>
      </c>
      <c r="E793" s="2" t="s">
        <v>67</v>
      </c>
      <c r="F793" s="2">
        <v>2</v>
      </c>
      <c r="G793" s="2" t="s">
        <v>70</v>
      </c>
      <c r="H793" s="2">
        <v>2</v>
      </c>
      <c r="I793" s="8">
        <v>125.02</v>
      </c>
      <c r="J793" s="8">
        <v>55564</v>
      </c>
      <c r="K793" s="3">
        <v>0</v>
      </c>
      <c r="L793" s="3" t="s">
        <v>3</v>
      </c>
      <c r="M793" s="9" t="s">
        <v>62</v>
      </c>
      <c r="N793" s="9" t="s">
        <v>20</v>
      </c>
      <c r="O793" s="9" t="s">
        <v>273</v>
      </c>
      <c r="S793" s="48" t="s">
        <v>277</v>
      </c>
      <c r="V793" s="10">
        <v>12.5</v>
      </c>
      <c r="W793" s="10" t="s">
        <v>710</v>
      </c>
      <c r="X793" s="17">
        <v>44699</v>
      </c>
      <c r="Y793" s="17">
        <v>44921</v>
      </c>
      <c r="Z793" s="19" t="s">
        <v>772</v>
      </c>
      <c r="AA793" s="210">
        <v>6000</v>
      </c>
      <c r="AB793" s="9">
        <v>48</v>
      </c>
      <c r="AC793" s="9">
        <v>27</v>
      </c>
      <c r="AD793" s="17">
        <v>45611</v>
      </c>
      <c r="AE793" s="56">
        <v>125</v>
      </c>
      <c r="AF793" s="56"/>
      <c r="AG793" s="9" t="s">
        <v>275</v>
      </c>
      <c r="AH793" s="64">
        <v>45596</v>
      </c>
      <c r="AI793" s="60">
        <v>10075105725</v>
      </c>
      <c r="AJ793" s="11" t="s">
        <v>2502</v>
      </c>
      <c r="AK793" s="11" t="s">
        <v>2566</v>
      </c>
      <c r="AL793" s="11">
        <v>125</v>
      </c>
      <c r="AN793" s="11" t="s">
        <v>2584</v>
      </c>
      <c r="AW793" s="108">
        <v>45595</v>
      </c>
      <c r="AX793" s="109">
        <v>3337</v>
      </c>
      <c r="AY793" s="36"/>
      <c r="AZ793" s="36"/>
      <c r="BA793" s="40">
        <v>125</v>
      </c>
      <c r="BD793" s="9"/>
      <c r="CS793" s="11">
        <f t="shared" si="57"/>
        <v>125</v>
      </c>
      <c r="CT793" s="22">
        <f t="shared" si="58"/>
        <v>125</v>
      </c>
      <c r="CU793" s="22">
        <f t="shared" si="56"/>
        <v>0</v>
      </c>
      <c r="CV793" s="26">
        <f t="shared" si="59"/>
        <v>0</v>
      </c>
    </row>
    <row r="794" spans="1:100" ht="12.75" x14ac:dyDescent="0.2">
      <c r="A794" s="9" t="s">
        <v>266</v>
      </c>
      <c r="B794" s="2">
        <v>40</v>
      </c>
      <c r="C794" s="3" t="s">
        <v>95</v>
      </c>
      <c r="D794" s="3" t="s">
        <v>96</v>
      </c>
      <c r="E794" s="2" t="s">
        <v>67</v>
      </c>
      <c r="F794" s="2">
        <v>2</v>
      </c>
      <c r="G794" s="2" t="s">
        <v>70</v>
      </c>
      <c r="H794" s="2">
        <v>2</v>
      </c>
      <c r="I794" s="8">
        <v>125.02</v>
      </c>
      <c r="J794" s="8">
        <v>55564</v>
      </c>
      <c r="K794" s="3">
        <v>0</v>
      </c>
      <c r="L794" s="3" t="s">
        <v>3</v>
      </c>
      <c r="M794" s="9" t="s">
        <v>62</v>
      </c>
      <c r="N794" s="9" t="s">
        <v>20</v>
      </c>
      <c r="O794" s="9" t="s">
        <v>273</v>
      </c>
      <c r="S794" s="48" t="s">
        <v>277</v>
      </c>
      <c r="V794" s="10">
        <v>12.5</v>
      </c>
      <c r="W794" s="10" t="s">
        <v>710</v>
      </c>
      <c r="X794" s="17">
        <v>44699</v>
      </c>
      <c r="Y794" s="17">
        <v>44921</v>
      </c>
      <c r="Z794" s="19" t="s">
        <v>772</v>
      </c>
      <c r="AA794" s="210">
        <v>6000</v>
      </c>
      <c r="AB794" s="9">
        <v>48</v>
      </c>
      <c r="AC794" s="9">
        <v>28</v>
      </c>
      <c r="AD794" s="17">
        <v>45641</v>
      </c>
      <c r="AE794" s="56">
        <v>125</v>
      </c>
      <c r="AF794" s="56"/>
      <c r="AG794" s="9" t="s">
        <v>275</v>
      </c>
      <c r="AH794" s="64">
        <v>45625</v>
      </c>
      <c r="AI794" s="60">
        <v>10075105725</v>
      </c>
      <c r="AJ794" s="11" t="s">
        <v>2502</v>
      </c>
      <c r="AK794" s="11" t="s">
        <v>2567</v>
      </c>
      <c r="AL794" s="11">
        <v>125</v>
      </c>
      <c r="AN794" s="11" t="s">
        <v>2585</v>
      </c>
      <c r="AW794" s="108">
        <v>45624</v>
      </c>
      <c r="AX794" s="109">
        <v>3450</v>
      </c>
      <c r="AY794" s="36"/>
      <c r="AZ794" s="36"/>
      <c r="BA794" s="40">
        <v>125</v>
      </c>
      <c r="BD794" s="9"/>
      <c r="CS794" s="11">
        <f t="shared" si="57"/>
        <v>125</v>
      </c>
      <c r="CT794" s="22">
        <f t="shared" si="58"/>
        <v>125</v>
      </c>
      <c r="CU794" s="22">
        <f t="shared" si="56"/>
        <v>0</v>
      </c>
      <c r="CV794" s="26">
        <f t="shared" si="59"/>
        <v>0</v>
      </c>
    </row>
    <row r="795" spans="1:100" ht="12.75" x14ac:dyDescent="0.2">
      <c r="A795" s="9" t="s">
        <v>266</v>
      </c>
      <c r="B795" s="2">
        <v>40</v>
      </c>
      <c r="C795" s="3" t="s">
        <v>95</v>
      </c>
      <c r="D795" s="3" t="s">
        <v>96</v>
      </c>
      <c r="E795" s="2" t="s">
        <v>67</v>
      </c>
      <c r="F795" s="2">
        <v>2</v>
      </c>
      <c r="G795" s="2" t="s">
        <v>70</v>
      </c>
      <c r="H795" s="2">
        <v>2</v>
      </c>
      <c r="I795" s="8">
        <v>125.02</v>
      </c>
      <c r="J795" s="8">
        <v>55564</v>
      </c>
      <c r="K795" s="3">
        <v>0</v>
      </c>
      <c r="L795" s="3" t="s">
        <v>3</v>
      </c>
      <c r="M795" s="9" t="s">
        <v>62</v>
      </c>
      <c r="N795" s="9" t="s">
        <v>20</v>
      </c>
      <c r="O795" s="9" t="s">
        <v>273</v>
      </c>
      <c r="S795" s="48" t="s">
        <v>277</v>
      </c>
      <c r="V795" s="10">
        <v>12.5</v>
      </c>
      <c r="W795" s="10" t="s">
        <v>710</v>
      </c>
      <c r="X795" s="17">
        <v>44699</v>
      </c>
      <c r="Y795" s="17">
        <v>44921</v>
      </c>
      <c r="Z795" s="19" t="s">
        <v>772</v>
      </c>
      <c r="AA795" s="210">
        <v>6000</v>
      </c>
      <c r="AB795" s="9">
        <v>48</v>
      </c>
      <c r="AC795" s="9">
        <v>29</v>
      </c>
      <c r="AD795" s="17">
        <v>45672</v>
      </c>
      <c r="AE795" s="56">
        <v>125</v>
      </c>
      <c r="AF795" s="56"/>
      <c r="AG795" s="9" t="s">
        <v>275</v>
      </c>
      <c r="AH795" s="64">
        <v>45659</v>
      </c>
      <c r="AI795" s="60">
        <v>10075105725</v>
      </c>
      <c r="AJ795" s="11" t="s">
        <v>2502</v>
      </c>
      <c r="AK795" s="11" t="s">
        <v>2586</v>
      </c>
      <c r="AL795" s="11">
        <v>125</v>
      </c>
      <c r="AN795" s="11" t="s">
        <v>2595</v>
      </c>
      <c r="AW795" s="108">
        <v>45659</v>
      </c>
      <c r="AX795" s="109">
        <v>3567</v>
      </c>
      <c r="AY795" s="36"/>
      <c r="AZ795" s="36"/>
      <c r="BA795" s="40">
        <v>125</v>
      </c>
      <c r="BD795" s="9"/>
      <c r="CS795" s="11">
        <f t="shared" si="57"/>
        <v>125</v>
      </c>
      <c r="CT795" s="22">
        <f t="shared" si="58"/>
        <v>125</v>
      </c>
      <c r="CU795" s="22">
        <f t="shared" si="56"/>
        <v>0</v>
      </c>
      <c r="CV795" s="26">
        <f t="shared" si="59"/>
        <v>0</v>
      </c>
    </row>
    <row r="796" spans="1:100" ht="12.75" x14ac:dyDescent="0.2">
      <c r="A796" s="9" t="s">
        <v>266</v>
      </c>
      <c r="B796" s="2">
        <v>40</v>
      </c>
      <c r="C796" s="3" t="s">
        <v>95</v>
      </c>
      <c r="D796" s="3" t="s">
        <v>96</v>
      </c>
      <c r="E796" s="2" t="s">
        <v>67</v>
      </c>
      <c r="F796" s="2">
        <v>2</v>
      </c>
      <c r="G796" s="2" t="s">
        <v>70</v>
      </c>
      <c r="H796" s="2">
        <v>2</v>
      </c>
      <c r="I796" s="8">
        <v>125.02</v>
      </c>
      <c r="J796" s="8">
        <v>55564</v>
      </c>
      <c r="K796" s="3">
        <v>0</v>
      </c>
      <c r="L796" s="3" t="s">
        <v>3</v>
      </c>
      <c r="M796" s="9" t="s">
        <v>62</v>
      </c>
      <c r="N796" s="9" t="s">
        <v>20</v>
      </c>
      <c r="O796" s="9" t="s">
        <v>273</v>
      </c>
      <c r="S796" s="48" t="s">
        <v>277</v>
      </c>
      <c r="V796" s="10">
        <v>12.5</v>
      </c>
      <c r="W796" s="10" t="s">
        <v>710</v>
      </c>
      <c r="X796" s="17">
        <v>44699</v>
      </c>
      <c r="Y796" s="17">
        <v>44921</v>
      </c>
      <c r="Z796" s="19" t="s">
        <v>772</v>
      </c>
      <c r="AA796" s="210">
        <v>6000</v>
      </c>
      <c r="AB796" s="9">
        <v>48</v>
      </c>
      <c r="AC796" s="9">
        <v>30</v>
      </c>
      <c r="AD796" s="17">
        <v>45703</v>
      </c>
      <c r="AE796" s="56">
        <v>125</v>
      </c>
      <c r="AF796" s="56"/>
      <c r="AG796" s="9" t="s">
        <v>275</v>
      </c>
      <c r="AH796" s="64">
        <v>45681</v>
      </c>
      <c r="AI796" s="60">
        <v>10075105725</v>
      </c>
      <c r="AJ796" s="11" t="s">
        <v>2502</v>
      </c>
      <c r="AK796" s="11" t="s">
        <v>2587</v>
      </c>
      <c r="AL796" s="11">
        <v>125</v>
      </c>
      <c r="AN796" s="11" t="s">
        <v>2596</v>
      </c>
      <c r="AW796" s="108">
        <v>45681</v>
      </c>
      <c r="AX796" s="109">
        <v>3651</v>
      </c>
      <c r="AY796" s="36"/>
      <c r="AZ796" s="36"/>
      <c r="BA796" s="40">
        <v>125</v>
      </c>
      <c r="BD796" s="9"/>
      <c r="CS796" s="11">
        <f t="shared" si="57"/>
        <v>125</v>
      </c>
      <c r="CT796" s="22">
        <f t="shared" si="58"/>
        <v>125</v>
      </c>
      <c r="CU796" s="22">
        <f t="shared" ref="CU796:CU859" si="60">+CS796-CT796</f>
        <v>0</v>
      </c>
      <c r="CV796" s="26">
        <f t="shared" si="59"/>
        <v>0</v>
      </c>
    </row>
    <row r="797" spans="1:100" ht="12.75" x14ac:dyDescent="0.2">
      <c r="A797" s="9" t="s">
        <v>266</v>
      </c>
      <c r="B797" s="2">
        <v>40</v>
      </c>
      <c r="C797" s="3" t="s">
        <v>95</v>
      </c>
      <c r="D797" s="3" t="s">
        <v>96</v>
      </c>
      <c r="E797" s="2" t="s">
        <v>67</v>
      </c>
      <c r="F797" s="2">
        <v>2</v>
      </c>
      <c r="G797" s="2" t="s">
        <v>70</v>
      </c>
      <c r="H797" s="2">
        <v>2</v>
      </c>
      <c r="I797" s="8">
        <v>125.02</v>
      </c>
      <c r="J797" s="8">
        <v>55564</v>
      </c>
      <c r="K797" s="3">
        <v>0</v>
      </c>
      <c r="L797" s="3" t="s">
        <v>3</v>
      </c>
      <c r="M797" s="9" t="s">
        <v>62</v>
      </c>
      <c r="N797" s="9" t="s">
        <v>20</v>
      </c>
      <c r="O797" s="9" t="s">
        <v>273</v>
      </c>
      <c r="S797" s="48" t="s">
        <v>277</v>
      </c>
      <c r="V797" s="10">
        <v>12.5</v>
      </c>
      <c r="W797" s="10" t="s">
        <v>710</v>
      </c>
      <c r="X797" s="17">
        <v>44699</v>
      </c>
      <c r="Y797" s="17">
        <v>44921</v>
      </c>
      <c r="Z797" s="19" t="s">
        <v>772</v>
      </c>
      <c r="AA797" s="210">
        <v>6000</v>
      </c>
      <c r="AB797" s="9">
        <v>48</v>
      </c>
      <c r="AC797" s="9">
        <v>31</v>
      </c>
      <c r="AD797" s="17">
        <v>45731</v>
      </c>
      <c r="AE797" s="56">
        <v>125</v>
      </c>
      <c r="AF797" s="56"/>
      <c r="AG797" s="9" t="s">
        <v>275</v>
      </c>
      <c r="AH797" s="64">
        <v>45719</v>
      </c>
      <c r="AI797" s="60">
        <v>10075105725</v>
      </c>
      <c r="AJ797" s="11" t="s">
        <v>2502</v>
      </c>
      <c r="AK797" s="11" t="s">
        <v>2588</v>
      </c>
      <c r="AL797" s="11">
        <v>125</v>
      </c>
      <c r="AN797" s="11" t="s">
        <v>2597</v>
      </c>
      <c r="AW797" s="108">
        <v>45719</v>
      </c>
      <c r="AX797" s="109">
        <v>3830</v>
      </c>
      <c r="AY797" s="36"/>
      <c r="AZ797" s="36"/>
      <c r="BA797" s="40">
        <v>125</v>
      </c>
      <c r="BD797" s="9"/>
      <c r="CS797" s="11">
        <f t="shared" si="57"/>
        <v>125</v>
      </c>
      <c r="CT797" s="22">
        <f t="shared" si="58"/>
        <v>125</v>
      </c>
      <c r="CU797" s="22">
        <f t="shared" si="60"/>
        <v>0</v>
      </c>
      <c r="CV797" s="26">
        <f t="shared" si="59"/>
        <v>0</v>
      </c>
    </row>
    <row r="798" spans="1:100" ht="12.75" x14ac:dyDescent="0.2">
      <c r="A798" s="9" t="s">
        <v>266</v>
      </c>
      <c r="B798" s="2">
        <v>40</v>
      </c>
      <c r="C798" s="3" t="s">
        <v>95</v>
      </c>
      <c r="D798" s="3" t="s">
        <v>96</v>
      </c>
      <c r="E798" s="2" t="s">
        <v>67</v>
      </c>
      <c r="F798" s="2">
        <v>2</v>
      </c>
      <c r="G798" s="2" t="s">
        <v>70</v>
      </c>
      <c r="H798" s="2">
        <v>2</v>
      </c>
      <c r="I798" s="8">
        <v>125.02</v>
      </c>
      <c r="J798" s="8">
        <v>55564</v>
      </c>
      <c r="K798" s="3">
        <v>0</v>
      </c>
      <c r="L798" s="3" t="s">
        <v>3</v>
      </c>
      <c r="M798" s="9" t="s">
        <v>62</v>
      </c>
      <c r="N798" s="9" t="s">
        <v>20</v>
      </c>
      <c r="O798" s="9" t="s">
        <v>273</v>
      </c>
      <c r="S798" s="48" t="s">
        <v>277</v>
      </c>
      <c r="V798" s="10">
        <v>12.5</v>
      </c>
      <c r="W798" s="10" t="s">
        <v>710</v>
      </c>
      <c r="X798" s="17">
        <v>44699</v>
      </c>
      <c r="Y798" s="17">
        <v>44921</v>
      </c>
      <c r="Z798" s="19" t="s">
        <v>772</v>
      </c>
      <c r="AA798" s="210">
        <v>6000</v>
      </c>
      <c r="AB798" s="9">
        <v>48</v>
      </c>
      <c r="AC798" s="9">
        <v>32</v>
      </c>
      <c r="AD798" s="17">
        <v>45762</v>
      </c>
      <c r="AE798" s="56">
        <v>125</v>
      </c>
      <c r="AF798" s="56"/>
      <c r="AG798" s="9" t="s">
        <v>275</v>
      </c>
      <c r="AH798" s="64">
        <v>45719</v>
      </c>
      <c r="AI798" s="60">
        <v>10075105725</v>
      </c>
      <c r="AJ798" s="11" t="s">
        <v>2502</v>
      </c>
      <c r="AK798" s="11" t="s">
        <v>2589</v>
      </c>
      <c r="AL798" s="11">
        <v>125</v>
      </c>
      <c r="AN798" s="11" t="s">
        <v>2598</v>
      </c>
      <c r="AW798" s="108">
        <v>45719</v>
      </c>
      <c r="AX798" s="109">
        <v>3831</v>
      </c>
      <c r="AY798" s="36"/>
      <c r="AZ798" s="36"/>
      <c r="BA798" s="40">
        <v>125</v>
      </c>
      <c r="BD798" s="9"/>
      <c r="CS798" s="11">
        <f t="shared" si="57"/>
        <v>125</v>
      </c>
      <c r="CT798" s="22">
        <f t="shared" si="58"/>
        <v>125</v>
      </c>
      <c r="CU798" s="22">
        <f t="shared" si="60"/>
        <v>0</v>
      </c>
      <c r="CV798" s="26">
        <f t="shared" si="59"/>
        <v>0</v>
      </c>
    </row>
    <row r="799" spans="1:100" ht="12.75" x14ac:dyDescent="0.2">
      <c r="A799" s="9" t="s">
        <v>266</v>
      </c>
      <c r="B799" s="2">
        <v>40</v>
      </c>
      <c r="C799" s="3" t="s">
        <v>95</v>
      </c>
      <c r="D799" s="3" t="s">
        <v>96</v>
      </c>
      <c r="E799" s="2" t="s">
        <v>67</v>
      </c>
      <c r="F799" s="2">
        <v>2</v>
      </c>
      <c r="G799" s="2" t="s">
        <v>70</v>
      </c>
      <c r="H799" s="2">
        <v>2</v>
      </c>
      <c r="I799" s="8">
        <v>125.02</v>
      </c>
      <c r="J799" s="8">
        <v>55564</v>
      </c>
      <c r="K799" s="3">
        <v>0</v>
      </c>
      <c r="L799" s="3" t="s">
        <v>3</v>
      </c>
      <c r="M799" s="9" t="s">
        <v>62</v>
      </c>
      <c r="N799" s="9" t="s">
        <v>20</v>
      </c>
      <c r="O799" s="9" t="s">
        <v>273</v>
      </c>
      <c r="S799" s="48" t="s">
        <v>277</v>
      </c>
      <c r="V799" s="10">
        <v>12.5</v>
      </c>
      <c r="W799" s="10" t="s">
        <v>710</v>
      </c>
      <c r="X799" s="17">
        <v>44699</v>
      </c>
      <c r="Y799" s="17">
        <v>44921</v>
      </c>
      <c r="Z799" s="19" t="s">
        <v>772</v>
      </c>
      <c r="AA799" s="210">
        <v>6000</v>
      </c>
      <c r="AB799" s="9">
        <v>48</v>
      </c>
      <c r="AC799" s="9">
        <v>33</v>
      </c>
      <c r="AD799" s="17">
        <v>45792</v>
      </c>
      <c r="AE799" s="56">
        <v>125</v>
      </c>
      <c r="AF799" s="56"/>
      <c r="AG799" s="9" t="s">
        <v>275</v>
      </c>
      <c r="AH799" s="64">
        <v>45772</v>
      </c>
      <c r="AI799" s="60">
        <v>10075105725</v>
      </c>
      <c r="AJ799" s="11" t="s">
        <v>2502</v>
      </c>
      <c r="AK799" s="11" t="s">
        <v>2590</v>
      </c>
      <c r="AL799" s="11">
        <v>125</v>
      </c>
      <c r="AN799" s="11" t="s">
        <v>2599</v>
      </c>
      <c r="AW799" s="108">
        <v>45771</v>
      </c>
      <c r="AX799" s="109">
        <v>4051</v>
      </c>
      <c r="AY799" s="36"/>
      <c r="AZ799" s="36"/>
      <c r="BA799" s="40">
        <v>125</v>
      </c>
      <c r="BD799" s="9"/>
      <c r="CS799" s="11">
        <f t="shared" si="57"/>
        <v>125</v>
      </c>
      <c r="CT799" s="22">
        <f t="shared" si="58"/>
        <v>125</v>
      </c>
      <c r="CU799" s="22">
        <f t="shared" si="60"/>
        <v>0</v>
      </c>
      <c r="CV799" s="26">
        <f t="shared" si="59"/>
        <v>0</v>
      </c>
    </row>
    <row r="800" spans="1:100" ht="12.75" x14ac:dyDescent="0.2">
      <c r="A800" s="9" t="s">
        <v>266</v>
      </c>
      <c r="B800" s="2">
        <v>40</v>
      </c>
      <c r="C800" s="3" t="s">
        <v>95</v>
      </c>
      <c r="D800" s="3" t="s">
        <v>96</v>
      </c>
      <c r="E800" s="2" t="s">
        <v>67</v>
      </c>
      <c r="F800" s="2">
        <v>2</v>
      </c>
      <c r="G800" s="2" t="s">
        <v>70</v>
      </c>
      <c r="H800" s="2">
        <v>2</v>
      </c>
      <c r="I800" s="8">
        <v>125.02</v>
      </c>
      <c r="J800" s="8">
        <v>55564</v>
      </c>
      <c r="K800" s="3">
        <v>0</v>
      </c>
      <c r="L800" s="3" t="s">
        <v>3</v>
      </c>
      <c r="M800" s="9" t="s">
        <v>62</v>
      </c>
      <c r="N800" s="9" t="s">
        <v>20</v>
      </c>
      <c r="O800" s="9" t="s">
        <v>273</v>
      </c>
      <c r="S800" s="48" t="s">
        <v>277</v>
      </c>
      <c r="V800" s="10">
        <v>12.5</v>
      </c>
      <c r="W800" s="10" t="s">
        <v>710</v>
      </c>
      <c r="X800" s="17">
        <v>44699</v>
      </c>
      <c r="Y800" s="17">
        <v>44921</v>
      </c>
      <c r="Z800" s="19" t="s">
        <v>772</v>
      </c>
      <c r="AA800" s="210">
        <v>6000</v>
      </c>
      <c r="AB800" s="9">
        <v>48</v>
      </c>
      <c r="AC800" s="9">
        <v>34</v>
      </c>
      <c r="AD800" s="17">
        <v>45823</v>
      </c>
      <c r="AE800" s="56">
        <v>125</v>
      </c>
      <c r="AF800" s="56"/>
      <c r="AG800" s="9" t="s">
        <v>275</v>
      </c>
      <c r="AH800" s="64">
        <v>45817</v>
      </c>
      <c r="AI800" s="60">
        <v>10075105725</v>
      </c>
      <c r="AJ800" s="11" t="s">
        <v>2502</v>
      </c>
      <c r="AK800" s="11" t="s">
        <v>2591</v>
      </c>
      <c r="AL800" s="11">
        <v>125</v>
      </c>
      <c r="AN800" s="11" t="s">
        <v>2600</v>
      </c>
      <c r="AW800" s="108">
        <v>45810</v>
      </c>
      <c r="AX800" s="109">
        <v>4253</v>
      </c>
      <c r="AY800" s="36"/>
      <c r="AZ800" s="36"/>
      <c r="BA800" s="40">
        <v>125</v>
      </c>
      <c r="BD800" s="9"/>
      <c r="CS800" s="11">
        <f t="shared" si="57"/>
        <v>125</v>
      </c>
      <c r="CT800" s="22">
        <f t="shared" si="58"/>
        <v>125</v>
      </c>
      <c r="CU800" s="22">
        <f t="shared" si="60"/>
        <v>0</v>
      </c>
      <c r="CV800" s="26">
        <f t="shared" si="59"/>
        <v>0</v>
      </c>
    </row>
    <row r="801" spans="1:103" ht="12.75" x14ac:dyDescent="0.2">
      <c r="A801" s="9" t="s">
        <v>266</v>
      </c>
      <c r="B801" s="2">
        <v>40</v>
      </c>
      <c r="C801" s="3" t="s">
        <v>95</v>
      </c>
      <c r="D801" s="3" t="s">
        <v>96</v>
      </c>
      <c r="E801" s="2" t="s">
        <v>67</v>
      </c>
      <c r="F801" s="2">
        <v>2</v>
      </c>
      <c r="G801" s="2" t="s">
        <v>70</v>
      </c>
      <c r="H801" s="2">
        <v>2</v>
      </c>
      <c r="I801" s="8">
        <v>125.02</v>
      </c>
      <c r="J801" s="8">
        <v>55564</v>
      </c>
      <c r="K801" s="3">
        <v>0</v>
      </c>
      <c r="L801" s="3" t="s">
        <v>3</v>
      </c>
      <c r="M801" s="9" t="s">
        <v>62</v>
      </c>
      <c r="N801" s="9" t="s">
        <v>20</v>
      </c>
      <c r="O801" s="9" t="s">
        <v>273</v>
      </c>
      <c r="S801" s="48" t="s">
        <v>277</v>
      </c>
      <c r="V801" s="10">
        <v>12.5</v>
      </c>
      <c r="W801" s="10" t="s">
        <v>710</v>
      </c>
      <c r="X801" s="17">
        <v>44699</v>
      </c>
      <c r="Y801" s="17">
        <v>44921</v>
      </c>
      <c r="Z801" s="19" t="s">
        <v>772</v>
      </c>
      <c r="AA801" s="210">
        <v>6000</v>
      </c>
      <c r="AB801" s="9">
        <v>48</v>
      </c>
      <c r="AC801" s="9">
        <v>35</v>
      </c>
      <c r="AD801" s="17">
        <v>45853</v>
      </c>
      <c r="AE801" s="56">
        <v>125</v>
      </c>
      <c r="AF801" s="56"/>
      <c r="AG801" s="9" t="s">
        <v>275</v>
      </c>
      <c r="AH801" s="64">
        <v>45835</v>
      </c>
      <c r="AI801" s="60">
        <v>10075105725</v>
      </c>
      <c r="AJ801" s="11" t="s">
        <v>2502</v>
      </c>
      <c r="AK801" s="11" t="s">
        <v>2592</v>
      </c>
      <c r="AL801" s="11">
        <v>125</v>
      </c>
      <c r="AN801" s="11" t="s">
        <v>2601</v>
      </c>
      <c r="AW801" s="108">
        <v>45835</v>
      </c>
      <c r="AX801" s="109">
        <v>4346</v>
      </c>
      <c r="AY801" s="36"/>
      <c r="AZ801" s="36"/>
      <c r="BA801" s="40">
        <v>125</v>
      </c>
      <c r="BD801" s="9"/>
      <c r="CS801" s="11">
        <f t="shared" si="57"/>
        <v>125</v>
      </c>
      <c r="CT801" s="22">
        <f t="shared" si="58"/>
        <v>125</v>
      </c>
      <c r="CU801" s="22">
        <f t="shared" si="60"/>
        <v>0</v>
      </c>
      <c r="CV801" s="26">
        <f t="shared" si="59"/>
        <v>0</v>
      </c>
    </row>
    <row r="802" spans="1:103" ht="12.75" x14ac:dyDescent="0.2">
      <c r="A802" s="9" t="s">
        <v>266</v>
      </c>
      <c r="B802" s="2">
        <v>40</v>
      </c>
      <c r="C802" s="3" t="s">
        <v>95</v>
      </c>
      <c r="D802" s="3" t="s">
        <v>96</v>
      </c>
      <c r="E802" s="2" t="s">
        <v>67</v>
      </c>
      <c r="F802" s="2">
        <v>2</v>
      </c>
      <c r="G802" s="2" t="s">
        <v>70</v>
      </c>
      <c r="H802" s="2">
        <v>2</v>
      </c>
      <c r="I802" s="8">
        <v>125.02</v>
      </c>
      <c r="J802" s="8">
        <v>55564</v>
      </c>
      <c r="K802" s="3">
        <v>0</v>
      </c>
      <c r="L802" s="3" t="s">
        <v>3</v>
      </c>
      <c r="M802" s="9" t="s">
        <v>62</v>
      </c>
      <c r="N802" s="9" t="s">
        <v>20</v>
      </c>
      <c r="O802" s="9" t="s">
        <v>273</v>
      </c>
      <c r="S802" s="48" t="s">
        <v>277</v>
      </c>
      <c r="V802" s="10">
        <v>12.5</v>
      </c>
      <c r="W802" s="10" t="s">
        <v>710</v>
      </c>
      <c r="X802" s="17">
        <v>44699</v>
      </c>
      <c r="Y802" s="17">
        <v>44921</v>
      </c>
      <c r="Z802" s="19" t="s">
        <v>772</v>
      </c>
      <c r="AA802" s="210">
        <v>6000</v>
      </c>
      <c r="AB802" s="9">
        <v>48</v>
      </c>
      <c r="AC802" s="9">
        <v>36</v>
      </c>
      <c r="AD802" s="17">
        <v>45884</v>
      </c>
      <c r="AE802" s="56">
        <v>125</v>
      </c>
      <c r="AF802" s="56"/>
      <c r="AG802" s="9" t="s">
        <v>275</v>
      </c>
      <c r="AH802" s="64">
        <v>45877</v>
      </c>
      <c r="AI802" s="60">
        <v>10075105725</v>
      </c>
      <c r="AJ802" s="11" t="s">
        <v>2502</v>
      </c>
      <c r="AK802" s="11" t="s">
        <v>2593</v>
      </c>
      <c r="AL802" s="11">
        <v>125</v>
      </c>
      <c r="AN802" s="11" t="s">
        <v>2602</v>
      </c>
      <c r="AW802" s="108">
        <v>45877</v>
      </c>
      <c r="AX802" s="109">
        <v>4540</v>
      </c>
      <c r="AY802" s="36"/>
      <c r="AZ802" s="36"/>
      <c r="BA802" s="40">
        <v>125</v>
      </c>
      <c r="BD802" s="9"/>
      <c r="CS802" s="11">
        <f t="shared" si="57"/>
        <v>125</v>
      </c>
      <c r="CT802" s="22">
        <f t="shared" si="58"/>
        <v>125</v>
      </c>
      <c r="CU802" s="22">
        <f t="shared" si="60"/>
        <v>0</v>
      </c>
      <c r="CV802" s="26">
        <f t="shared" si="59"/>
        <v>0</v>
      </c>
    </row>
    <row r="803" spans="1:103" ht="12.75" x14ac:dyDescent="0.2">
      <c r="A803" s="9" t="s">
        <v>266</v>
      </c>
      <c r="B803" s="2">
        <v>40</v>
      </c>
      <c r="C803" s="3" t="s">
        <v>95</v>
      </c>
      <c r="D803" s="3" t="s">
        <v>96</v>
      </c>
      <c r="E803" s="2" t="s">
        <v>67</v>
      </c>
      <c r="F803" s="2">
        <v>2</v>
      </c>
      <c r="G803" s="2" t="s">
        <v>70</v>
      </c>
      <c r="H803" s="2">
        <v>2</v>
      </c>
      <c r="I803" s="8">
        <v>125.02</v>
      </c>
      <c r="J803" s="8">
        <v>55564</v>
      </c>
      <c r="K803" s="3">
        <v>0</v>
      </c>
      <c r="L803" s="3" t="s">
        <v>3</v>
      </c>
      <c r="M803" s="9" t="s">
        <v>62</v>
      </c>
      <c r="N803" s="9" t="s">
        <v>20</v>
      </c>
      <c r="O803" s="9" t="s">
        <v>273</v>
      </c>
      <c r="S803" s="48" t="s">
        <v>277</v>
      </c>
      <c r="V803" s="10">
        <v>12.5</v>
      </c>
      <c r="W803" s="10" t="s">
        <v>710</v>
      </c>
      <c r="X803" s="17">
        <v>44699</v>
      </c>
      <c r="Y803" s="17">
        <v>44921</v>
      </c>
      <c r="Z803" s="19" t="s">
        <v>772</v>
      </c>
      <c r="AA803" s="210">
        <v>6000</v>
      </c>
      <c r="AB803" s="9">
        <v>48</v>
      </c>
      <c r="AC803" s="9">
        <v>37</v>
      </c>
      <c r="AD803" s="17">
        <v>45915</v>
      </c>
      <c r="AE803" s="56">
        <v>125</v>
      </c>
      <c r="AF803" s="56"/>
      <c r="AG803" s="9" t="s">
        <v>275</v>
      </c>
      <c r="AH803" s="64">
        <v>45877</v>
      </c>
      <c r="AI803" s="60">
        <v>10075105725</v>
      </c>
      <c r="AJ803" s="11" t="s">
        <v>2502</v>
      </c>
      <c r="AK803" s="11" t="s">
        <v>2594</v>
      </c>
      <c r="AL803" s="11">
        <v>125</v>
      </c>
      <c r="AN803" s="11" t="s">
        <v>2603</v>
      </c>
      <c r="AW803" s="108">
        <v>45877</v>
      </c>
      <c r="AX803" s="109">
        <v>4541</v>
      </c>
      <c r="AY803" s="36"/>
      <c r="AZ803" s="36"/>
      <c r="BA803" s="40">
        <v>125</v>
      </c>
      <c r="BD803" s="9"/>
      <c r="CS803" s="11">
        <f t="shared" si="57"/>
        <v>125</v>
      </c>
      <c r="CT803" s="22">
        <f t="shared" si="58"/>
        <v>125</v>
      </c>
      <c r="CU803" s="22">
        <f t="shared" si="60"/>
        <v>0</v>
      </c>
      <c r="CV803" s="26">
        <f t="shared" si="59"/>
        <v>0</v>
      </c>
    </row>
    <row r="804" spans="1:103" x14ac:dyDescent="0.2">
      <c r="A804" s="9" t="s">
        <v>266</v>
      </c>
      <c r="B804" s="2">
        <v>40</v>
      </c>
      <c r="C804" s="3" t="s">
        <v>95</v>
      </c>
      <c r="D804" s="3" t="s">
        <v>96</v>
      </c>
      <c r="E804" s="2" t="s">
        <v>67</v>
      </c>
      <c r="F804" s="2">
        <v>2</v>
      </c>
      <c r="G804" s="2" t="s">
        <v>70</v>
      </c>
      <c r="H804" s="2">
        <v>2</v>
      </c>
      <c r="I804" s="8">
        <v>125.02</v>
      </c>
      <c r="J804" s="8">
        <v>55564</v>
      </c>
      <c r="K804" s="3">
        <v>0</v>
      </c>
      <c r="L804" s="3" t="s">
        <v>3</v>
      </c>
      <c r="M804" s="9" t="s">
        <v>62</v>
      </c>
      <c r="N804" s="9" t="s">
        <v>20</v>
      </c>
      <c r="O804" s="9" t="s">
        <v>273</v>
      </c>
      <c r="S804" s="48" t="s">
        <v>277</v>
      </c>
      <c r="V804" s="10">
        <v>12.5</v>
      </c>
      <c r="W804" s="10" t="s">
        <v>710</v>
      </c>
      <c r="X804" s="17">
        <v>44699</v>
      </c>
      <c r="Y804" s="17">
        <v>44921</v>
      </c>
      <c r="Z804" s="19" t="s">
        <v>772</v>
      </c>
      <c r="AA804" s="210">
        <v>6000</v>
      </c>
      <c r="AB804" s="9">
        <v>48</v>
      </c>
      <c r="AC804" s="9">
        <v>38</v>
      </c>
      <c r="AD804" s="17">
        <v>45945</v>
      </c>
      <c r="AE804" s="56">
        <v>125</v>
      </c>
      <c r="AF804" s="56"/>
      <c r="AQ804" s="11"/>
      <c r="AR804" s="11"/>
      <c r="AW804" s="9"/>
      <c r="BD804" s="9"/>
      <c r="CS804" s="11">
        <f t="shared" si="57"/>
        <v>0</v>
      </c>
      <c r="CT804" s="22">
        <f t="shared" si="58"/>
        <v>0</v>
      </c>
      <c r="CU804" s="22">
        <f t="shared" si="60"/>
        <v>0</v>
      </c>
      <c r="CV804" s="26">
        <f t="shared" si="59"/>
        <v>125</v>
      </c>
    </row>
    <row r="805" spans="1:103" x14ac:dyDescent="0.2">
      <c r="A805" s="9" t="s">
        <v>266</v>
      </c>
      <c r="B805" s="2">
        <v>40</v>
      </c>
      <c r="C805" s="3" t="s">
        <v>95</v>
      </c>
      <c r="D805" s="3" t="s">
        <v>96</v>
      </c>
      <c r="E805" s="2" t="s">
        <v>67</v>
      </c>
      <c r="F805" s="2">
        <v>2</v>
      </c>
      <c r="G805" s="2" t="s">
        <v>70</v>
      </c>
      <c r="H805" s="2">
        <v>2</v>
      </c>
      <c r="I805" s="8">
        <v>125.02</v>
      </c>
      <c r="J805" s="8">
        <v>55564</v>
      </c>
      <c r="K805" s="3">
        <v>0</v>
      </c>
      <c r="L805" s="3" t="s">
        <v>3</v>
      </c>
      <c r="M805" s="9" t="s">
        <v>62</v>
      </c>
      <c r="N805" s="9" t="s">
        <v>20</v>
      </c>
      <c r="O805" s="9" t="s">
        <v>273</v>
      </c>
      <c r="S805" s="48" t="s">
        <v>277</v>
      </c>
      <c r="V805" s="10">
        <v>12.5</v>
      </c>
      <c r="W805" s="10" t="s">
        <v>710</v>
      </c>
      <c r="X805" s="17">
        <v>44699</v>
      </c>
      <c r="Y805" s="17">
        <v>44921</v>
      </c>
      <c r="Z805" s="19" t="s">
        <v>772</v>
      </c>
      <c r="AA805" s="210">
        <v>6000</v>
      </c>
      <c r="AB805" s="9">
        <v>48</v>
      </c>
      <c r="AC805" s="9">
        <v>39</v>
      </c>
      <c r="AD805" s="17">
        <v>45976</v>
      </c>
      <c r="AE805" s="56">
        <v>125</v>
      </c>
      <c r="AF805" s="56"/>
      <c r="AQ805" s="11"/>
      <c r="AR805" s="11"/>
      <c r="AW805" s="9"/>
      <c r="BD805" s="9"/>
      <c r="CS805" s="11">
        <f t="shared" si="57"/>
        <v>0</v>
      </c>
      <c r="CT805" s="22">
        <f t="shared" si="58"/>
        <v>0</v>
      </c>
      <c r="CU805" s="22">
        <f t="shared" si="60"/>
        <v>0</v>
      </c>
      <c r="CV805" s="26">
        <f t="shared" si="59"/>
        <v>125</v>
      </c>
    </row>
    <row r="806" spans="1:103" x14ac:dyDescent="0.2">
      <c r="A806" s="9" t="s">
        <v>266</v>
      </c>
      <c r="B806" s="2">
        <v>40</v>
      </c>
      <c r="C806" s="3" t="s">
        <v>95</v>
      </c>
      <c r="D806" s="3" t="s">
        <v>96</v>
      </c>
      <c r="E806" s="2" t="s">
        <v>67</v>
      </c>
      <c r="F806" s="2">
        <v>2</v>
      </c>
      <c r="G806" s="2" t="s">
        <v>70</v>
      </c>
      <c r="H806" s="2">
        <v>2</v>
      </c>
      <c r="I806" s="8">
        <v>125.02</v>
      </c>
      <c r="J806" s="8">
        <v>55564</v>
      </c>
      <c r="K806" s="3">
        <v>0</v>
      </c>
      <c r="L806" s="3" t="s">
        <v>3</v>
      </c>
      <c r="M806" s="9" t="s">
        <v>62</v>
      </c>
      <c r="N806" s="9" t="s">
        <v>20</v>
      </c>
      <c r="O806" s="9" t="s">
        <v>273</v>
      </c>
      <c r="S806" s="48" t="s">
        <v>277</v>
      </c>
      <c r="V806" s="10">
        <v>12.5</v>
      </c>
      <c r="W806" s="10" t="s">
        <v>710</v>
      </c>
      <c r="X806" s="17">
        <v>44699</v>
      </c>
      <c r="Y806" s="17">
        <v>44921</v>
      </c>
      <c r="Z806" s="19" t="s">
        <v>772</v>
      </c>
      <c r="AA806" s="210">
        <v>6000</v>
      </c>
      <c r="AB806" s="9">
        <v>48</v>
      </c>
      <c r="AC806" s="9">
        <v>40</v>
      </c>
      <c r="AD806" s="17">
        <v>46006</v>
      </c>
      <c r="AE806" s="56">
        <v>125</v>
      </c>
      <c r="AF806" s="56"/>
      <c r="AP806" s="11"/>
      <c r="AQ806" s="11"/>
      <c r="AR806" s="11"/>
      <c r="AW806" s="9"/>
      <c r="BD806" s="9"/>
      <c r="CS806" s="11">
        <f t="shared" si="57"/>
        <v>0</v>
      </c>
      <c r="CT806" s="22">
        <f t="shared" si="58"/>
        <v>0</v>
      </c>
      <c r="CU806" s="22">
        <f t="shared" si="60"/>
        <v>0</v>
      </c>
      <c r="CV806" s="26">
        <f t="shared" si="59"/>
        <v>125</v>
      </c>
    </row>
    <row r="807" spans="1:103" x14ac:dyDescent="0.2">
      <c r="A807" s="9" t="s">
        <v>266</v>
      </c>
      <c r="B807" s="2">
        <v>40</v>
      </c>
      <c r="C807" s="3" t="s">
        <v>95</v>
      </c>
      <c r="D807" s="3" t="s">
        <v>96</v>
      </c>
      <c r="E807" s="2" t="s">
        <v>67</v>
      </c>
      <c r="F807" s="2">
        <v>2</v>
      </c>
      <c r="G807" s="2" t="s">
        <v>70</v>
      </c>
      <c r="H807" s="2">
        <v>2</v>
      </c>
      <c r="I807" s="8">
        <v>125.02</v>
      </c>
      <c r="J807" s="8">
        <v>55564</v>
      </c>
      <c r="K807" s="3">
        <v>0</v>
      </c>
      <c r="L807" s="3" t="s">
        <v>3</v>
      </c>
      <c r="M807" s="9" t="s">
        <v>62</v>
      </c>
      <c r="N807" s="9" t="s">
        <v>20</v>
      </c>
      <c r="O807" s="9" t="s">
        <v>273</v>
      </c>
      <c r="S807" s="48" t="s">
        <v>277</v>
      </c>
      <c r="V807" s="10">
        <v>12.5</v>
      </c>
      <c r="W807" s="10" t="s">
        <v>710</v>
      </c>
      <c r="X807" s="17">
        <v>44699</v>
      </c>
      <c r="Y807" s="17">
        <v>44921</v>
      </c>
      <c r="Z807" s="19" t="s">
        <v>772</v>
      </c>
      <c r="AA807" s="210">
        <v>6000</v>
      </c>
      <c r="AB807" s="9">
        <v>48</v>
      </c>
      <c r="AC807" s="9">
        <v>41</v>
      </c>
      <c r="AD807" s="17">
        <v>46037</v>
      </c>
      <c r="AE807" s="56">
        <v>125</v>
      </c>
      <c r="AF807" s="56"/>
      <c r="AP807" s="11"/>
      <c r="AQ807" s="11"/>
      <c r="AR807" s="11"/>
      <c r="AW807" s="9"/>
      <c r="BD807" s="9"/>
      <c r="CS807" s="11">
        <f t="shared" si="57"/>
        <v>0</v>
      </c>
      <c r="CT807" s="22">
        <f t="shared" si="58"/>
        <v>0</v>
      </c>
      <c r="CU807" s="22">
        <f t="shared" si="60"/>
        <v>0</v>
      </c>
      <c r="CV807" s="26">
        <f t="shared" si="59"/>
        <v>125</v>
      </c>
    </row>
    <row r="808" spans="1:103" x14ac:dyDescent="0.2">
      <c r="A808" s="9" t="s">
        <v>266</v>
      </c>
      <c r="B808" s="2">
        <v>40</v>
      </c>
      <c r="C808" s="3" t="s">
        <v>95</v>
      </c>
      <c r="D808" s="3" t="s">
        <v>96</v>
      </c>
      <c r="E808" s="2" t="s">
        <v>67</v>
      </c>
      <c r="F808" s="2">
        <v>2</v>
      </c>
      <c r="G808" s="2" t="s">
        <v>70</v>
      </c>
      <c r="H808" s="2">
        <v>2</v>
      </c>
      <c r="I808" s="8">
        <v>125.02</v>
      </c>
      <c r="J808" s="8">
        <v>55564</v>
      </c>
      <c r="K808" s="3">
        <v>0</v>
      </c>
      <c r="L808" s="3" t="s">
        <v>3</v>
      </c>
      <c r="M808" s="9" t="s">
        <v>62</v>
      </c>
      <c r="N808" s="9" t="s">
        <v>20</v>
      </c>
      <c r="O808" s="9" t="s">
        <v>273</v>
      </c>
      <c r="S808" s="48" t="s">
        <v>277</v>
      </c>
      <c r="V808" s="10">
        <v>12.5</v>
      </c>
      <c r="W808" s="10" t="s">
        <v>710</v>
      </c>
      <c r="X808" s="17">
        <v>44699</v>
      </c>
      <c r="Y808" s="17">
        <v>44921</v>
      </c>
      <c r="Z808" s="19" t="s">
        <v>772</v>
      </c>
      <c r="AA808" s="210">
        <v>6000</v>
      </c>
      <c r="AB808" s="9">
        <v>48</v>
      </c>
      <c r="AC808" s="9">
        <v>42</v>
      </c>
      <c r="AD808" s="17">
        <v>46068</v>
      </c>
      <c r="AE808" s="56">
        <v>125</v>
      </c>
      <c r="AF808" s="56"/>
      <c r="AP808" s="11"/>
      <c r="AQ808" s="11"/>
      <c r="AR808" s="11"/>
      <c r="AW808" s="9"/>
      <c r="BD808" s="9"/>
      <c r="CS808" s="11">
        <f t="shared" si="57"/>
        <v>0</v>
      </c>
      <c r="CT808" s="22">
        <f t="shared" si="58"/>
        <v>0</v>
      </c>
      <c r="CU808" s="22">
        <f t="shared" si="60"/>
        <v>0</v>
      </c>
      <c r="CV808" s="26">
        <f t="shared" si="59"/>
        <v>125</v>
      </c>
    </row>
    <row r="809" spans="1:103" x14ac:dyDescent="0.2">
      <c r="A809" s="9" t="s">
        <v>266</v>
      </c>
      <c r="B809" s="2">
        <v>40</v>
      </c>
      <c r="C809" s="3" t="s">
        <v>95</v>
      </c>
      <c r="D809" s="3" t="s">
        <v>96</v>
      </c>
      <c r="E809" s="2" t="s">
        <v>67</v>
      </c>
      <c r="F809" s="2">
        <v>2</v>
      </c>
      <c r="G809" s="2" t="s">
        <v>70</v>
      </c>
      <c r="H809" s="2">
        <v>2</v>
      </c>
      <c r="I809" s="8">
        <v>125.02</v>
      </c>
      <c r="J809" s="8">
        <v>55564</v>
      </c>
      <c r="K809" s="3">
        <v>0</v>
      </c>
      <c r="L809" s="3" t="s">
        <v>3</v>
      </c>
      <c r="M809" s="9" t="s">
        <v>62</v>
      </c>
      <c r="N809" s="9" t="s">
        <v>20</v>
      </c>
      <c r="O809" s="9" t="s">
        <v>273</v>
      </c>
      <c r="S809" s="48" t="s">
        <v>277</v>
      </c>
      <c r="V809" s="10">
        <v>12.5</v>
      </c>
      <c r="W809" s="10" t="s">
        <v>710</v>
      </c>
      <c r="X809" s="17">
        <v>44699</v>
      </c>
      <c r="Y809" s="17">
        <v>44921</v>
      </c>
      <c r="Z809" s="19" t="s">
        <v>772</v>
      </c>
      <c r="AA809" s="210">
        <v>6000</v>
      </c>
      <c r="AB809" s="9">
        <v>48</v>
      </c>
      <c r="AC809" s="9">
        <v>43</v>
      </c>
      <c r="AD809" s="17">
        <v>46096</v>
      </c>
      <c r="AE809" s="56">
        <v>125</v>
      </c>
      <c r="AF809" s="56"/>
      <c r="AP809" s="11"/>
      <c r="AQ809" s="11"/>
      <c r="AR809" s="11"/>
      <c r="AW809" s="9"/>
      <c r="BD809" s="9"/>
      <c r="CS809" s="11">
        <f t="shared" si="57"/>
        <v>0</v>
      </c>
      <c r="CT809" s="22">
        <f t="shared" si="58"/>
        <v>0</v>
      </c>
      <c r="CU809" s="22">
        <f t="shared" si="60"/>
        <v>0</v>
      </c>
      <c r="CV809" s="26">
        <f t="shared" si="59"/>
        <v>125</v>
      </c>
    </row>
    <row r="810" spans="1:103" x14ac:dyDescent="0.2">
      <c r="A810" s="9" t="s">
        <v>266</v>
      </c>
      <c r="B810" s="2">
        <v>40</v>
      </c>
      <c r="C810" s="3" t="s">
        <v>95</v>
      </c>
      <c r="D810" s="3" t="s">
        <v>96</v>
      </c>
      <c r="E810" s="2" t="s">
        <v>67</v>
      </c>
      <c r="F810" s="2">
        <v>2</v>
      </c>
      <c r="G810" s="2" t="s">
        <v>70</v>
      </c>
      <c r="H810" s="2">
        <v>2</v>
      </c>
      <c r="I810" s="8">
        <v>125.02</v>
      </c>
      <c r="J810" s="8">
        <v>55564</v>
      </c>
      <c r="K810" s="3">
        <v>0</v>
      </c>
      <c r="L810" s="3" t="s">
        <v>3</v>
      </c>
      <c r="M810" s="9" t="s">
        <v>62</v>
      </c>
      <c r="N810" s="9" t="s">
        <v>20</v>
      </c>
      <c r="O810" s="9" t="s">
        <v>273</v>
      </c>
      <c r="S810" s="48" t="s">
        <v>277</v>
      </c>
      <c r="V810" s="10">
        <v>12.5</v>
      </c>
      <c r="W810" s="10" t="s">
        <v>710</v>
      </c>
      <c r="X810" s="17">
        <v>44699</v>
      </c>
      <c r="Y810" s="17">
        <v>44921</v>
      </c>
      <c r="Z810" s="19" t="s">
        <v>772</v>
      </c>
      <c r="AA810" s="210">
        <v>6000</v>
      </c>
      <c r="AB810" s="9">
        <v>48</v>
      </c>
      <c r="AC810" s="9">
        <v>44</v>
      </c>
      <c r="AD810" s="17">
        <v>46127</v>
      </c>
      <c r="AE810" s="56">
        <v>125</v>
      </c>
      <c r="AF810" s="56"/>
      <c r="AP810" s="11"/>
      <c r="AQ810" s="11"/>
      <c r="AR810" s="11"/>
      <c r="AW810" s="9"/>
      <c r="BD810" s="9"/>
      <c r="CS810" s="11">
        <f t="shared" si="57"/>
        <v>0</v>
      </c>
      <c r="CT810" s="22">
        <f t="shared" si="58"/>
        <v>0</v>
      </c>
      <c r="CU810" s="22">
        <f t="shared" si="60"/>
        <v>0</v>
      </c>
      <c r="CV810" s="26">
        <f t="shared" si="59"/>
        <v>125</v>
      </c>
    </row>
    <row r="811" spans="1:103" x14ac:dyDescent="0.2">
      <c r="A811" s="9" t="s">
        <v>266</v>
      </c>
      <c r="B811" s="2">
        <v>40</v>
      </c>
      <c r="C811" s="3" t="s">
        <v>95</v>
      </c>
      <c r="D811" s="3" t="s">
        <v>96</v>
      </c>
      <c r="E811" s="2" t="s">
        <v>67</v>
      </c>
      <c r="F811" s="2">
        <v>2</v>
      </c>
      <c r="G811" s="2" t="s">
        <v>70</v>
      </c>
      <c r="H811" s="2">
        <v>2</v>
      </c>
      <c r="I811" s="8">
        <v>125.02</v>
      </c>
      <c r="J811" s="8">
        <v>55564</v>
      </c>
      <c r="K811" s="3">
        <v>0</v>
      </c>
      <c r="L811" s="3" t="s">
        <v>3</v>
      </c>
      <c r="M811" s="9" t="s">
        <v>62</v>
      </c>
      <c r="N811" s="9" t="s">
        <v>20</v>
      </c>
      <c r="O811" s="9" t="s">
        <v>273</v>
      </c>
      <c r="S811" s="48" t="s">
        <v>277</v>
      </c>
      <c r="V811" s="10">
        <v>12.5</v>
      </c>
      <c r="W811" s="10" t="s">
        <v>710</v>
      </c>
      <c r="X811" s="17">
        <v>44699</v>
      </c>
      <c r="Y811" s="17">
        <v>44921</v>
      </c>
      <c r="Z811" s="19" t="s">
        <v>772</v>
      </c>
      <c r="AA811" s="210">
        <v>6000</v>
      </c>
      <c r="AB811" s="9">
        <v>48</v>
      </c>
      <c r="AC811" s="9">
        <v>45</v>
      </c>
      <c r="AD811" s="17">
        <v>46157</v>
      </c>
      <c r="AE811" s="56">
        <v>125</v>
      </c>
      <c r="AF811" s="56"/>
      <c r="AP811" s="11"/>
      <c r="AQ811" s="11"/>
      <c r="AR811" s="11"/>
      <c r="AW811" s="9"/>
      <c r="BD811" s="9"/>
      <c r="CS811" s="11">
        <f t="shared" si="57"/>
        <v>0</v>
      </c>
      <c r="CT811" s="22">
        <f t="shared" si="58"/>
        <v>0</v>
      </c>
      <c r="CU811" s="22">
        <f t="shared" si="60"/>
        <v>0</v>
      </c>
      <c r="CV811" s="26">
        <f t="shared" si="59"/>
        <v>125</v>
      </c>
    </row>
    <row r="812" spans="1:103" x14ac:dyDescent="0.2">
      <c r="A812" s="9" t="s">
        <v>266</v>
      </c>
      <c r="B812" s="2">
        <v>40</v>
      </c>
      <c r="C812" s="3" t="s">
        <v>95</v>
      </c>
      <c r="D812" s="3" t="s">
        <v>96</v>
      </c>
      <c r="E812" s="2" t="s">
        <v>67</v>
      </c>
      <c r="F812" s="2">
        <v>2</v>
      </c>
      <c r="G812" s="2" t="s">
        <v>70</v>
      </c>
      <c r="H812" s="2">
        <v>2</v>
      </c>
      <c r="I812" s="8">
        <v>125.02</v>
      </c>
      <c r="J812" s="8">
        <v>55564</v>
      </c>
      <c r="K812" s="3">
        <v>0</v>
      </c>
      <c r="L812" s="3" t="s">
        <v>3</v>
      </c>
      <c r="M812" s="9" t="s">
        <v>62</v>
      </c>
      <c r="N812" s="9" t="s">
        <v>20</v>
      </c>
      <c r="O812" s="9" t="s">
        <v>273</v>
      </c>
      <c r="S812" s="48" t="s">
        <v>277</v>
      </c>
      <c r="V812" s="10">
        <v>12.5</v>
      </c>
      <c r="W812" s="10" t="s">
        <v>710</v>
      </c>
      <c r="X812" s="17">
        <v>44699</v>
      </c>
      <c r="Y812" s="17">
        <v>44921</v>
      </c>
      <c r="Z812" s="19" t="s">
        <v>772</v>
      </c>
      <c r="AA812" s="210">
        <v>6000</v>
      </c>
      <c r="AB812" s="9">
        <v>48</v>
      </c>
      <c r="AC812" s="9">
        <v>46</v>
      </c>
      <c r="AD812" s="17">
        <v>46188</v>
      </c>
      <c r="AE812" s="56">
        <v>125</v>
      </c>
      <c r="AF812" s="56"/>
      <c r="AP812" s="11"/>
      <c r="AQ812" s="11"/>
      <c r="AR812" s="11"/>
      <c r="AW812" s="9"/>
      <c r="BD812" s="9"/>
      <c r="CS812" s="11">
        <f t="shared" si="57"/>
        <v>0</v>
      </c>
      <c r="CT812" s="22">
        <f t="shared" si="58"/>
        <v>0</v>
      </c>
      <c r="CU812" s="22">
        <f t="shared" si="60"/>
        <v>0</v>
      </c>
      <c r="CV812" s="26">
        <f t="shared" si="59"/>
        <v>125</v>
      </c>
    </row>
    <row r="813" spans="1:103" x14ac:dyDescent="0.2">
      <c r="A813" s="9" t="s">
        <v>266</v>
      </c>
      <c r="B813" s="2">
        <v>40</v>
      </c>
      <c r="C813" s="3" t="s">
        <v>95</v>
      </c>
      <c r="D813" s="3" t="s">
        <v>96</v>
      </c>
      <c r="E813" s="2" t="s">
        <v>67</v>
      </c>
      <c r="F813" s="2">
        <v>2</v>
      </c>
      <c r="G813" s="2" t="s">
        <v>70</v>
      </c>
      <c r="H813" s="2">
        <v>2</v>
      </c>
      <c r="I813" s="8">
        <v>125.02</v>
      </c>
      <c r="J813" s="8">
        <v>55564</v>
      </c>
      <c r="K813" s="3">
        <v>0</v>
      </c>
      <c r="L813" s="3" t="s">
        <v>3</v>
      </c>
      <c r="M813" s="9" t="s">
        <v>62</v>
      </c>
      <c r="N813" s="9" t="s">
        <v>20</v>
      </c>
      <c r="O813" s="9" t="s">
        <v>273</v>
      </c>
      <c r="S813" s="48" t="s">
        <v>277</v>
      </c>
      <c r="V813" s="10">
        <v>12.5</v>
      </c>
      <c r="W813" s="10" t="s">
        <v>710</v>
      </c>
      <c r="X813" s="17">
        <v>44699</v>
      </c>
      <c r="Y813" s="17">
        <v>44921</v>
      </c>
      <c r="Z813" s="19" t="s">
        <v>772</v>
      </c>
      <c r="AA813" s="210">
        <v>6000</v>
      </c>
      <c r="AB813" s="9">
        <v>48</v>
      </c>
      <c r="AC813" s="9">
        <v>47</v>
      </c>
      <c r="AD813" s="17">
        <v>46218</v>
      </c>
      <c r="AE813" s="56">
        <v>125</v>
      </c>
      <c r="AF813" s="56"/>
      <c r="AP813" s="11"/>
      <c r="AQ813" s="11"/>
      <c r="AR813" s="11"/>
      <c r="AW813" s="9"/>
      <c r="BD813" s="9"/>
      <c r="CS813" s="11">
        <f t="shared" si="57"/>
        <v>0</v>
      </c>
      <c r="CT813" s="22">
        <f t="shared" si="58"/>
        <v>0</v>
      </c>
      <c r="CU813" s="22">
        <f t="shared" si="60"/>
        <v>0</v>
      </c>
      <c r="CV813" s="26">
        <f t="shared" si="59"/>
        <v>125</v>
      </c>
    </row>
    <row r="814" spans="1:103" x14ac:dyDescent="0.2">
      <c r="A814" s="9" t="s">
        <v>266</v>
      </c>
      <c r="B814" s="2">
        <v>40</v>
      </c>
      <c r="C814" s="3" t="s">
        <v>95</v>
      </c>
      <c r="D814" s="3" t="s">
        <v>96</v>
      </c>
      <c r="E814" s="2" t="s">
        <v>67</v>
      </c>
      <c r="F814" s="2">
        <v>2</v>
      </c>
      <c r="G814" s="2" t="s">
        <v>70</v>
      </c>
      <c r="H814" s="2">
        <v>2</v>
      </c>
      <c r="I814" s="8">
        <v>125.02</v>
      </c>
      <c r="J814" s="8">
        <v>55564</v>
      </c>
      <c r="K814" s="3">
        <v>0</v>
      </c>
      <c r="L814" s="3" t="s">
        <v>3</v>
      </c>
      <c r="M814" s="9" t="s">
        <v>62</v>
      </c>
      <c r="N814" s="9" t="s">
        <v>20</v>
      </c>
      <c r="O814" s="9" t="s">
        <v>273</v>
      </c>
      <c r="S814" s="48" t="s">
        <v>277</v>
      </c>
      <c r="V814" s="10">
        <v>12.5</v>
      </c>
      <c r="W814" s="10" t="s">
        <v>710</v>
      </c>
      <c r="X814" s="17">
        <v>44699</v>
      </c>
      <c r="Y814" s="17">
        <v>44921</v>
      </c>
      <c r="Z814" s="19" t="s">
        <v>772</v>
      </c>
      <c r="AA814" s="210">
        <v>6000</v>
      </c>
      <c r="AB814" s="9">
        <v>48</v>
      </c>
      <c r="AC814" s="9">
        <v>48</v>
      </c>
      <c r="AD814" s="17">
        <v>46249</v>
      </c>
      <c r="AE814" s="56">
        <v>125</v>
      </c>
      <c r="AF814" s="56"/>
      <c r="AP814" s="11"/>
      <c r="AQ814" s="11"/>
      <c r="AR814" s="11"/>
      <c r="AW814" s="9"/>
      <c r="BD814" s="9"/>
      <c r="CS814" s="11">
        <f t="shared" si="57"/>
        <v>0</v>
      </c>
      <c r="CT814" s="22">
        <f t="shared" si="58"/>
        <v>0</v>
      </c>
      <c r="CU814" s="22">
        <f t="shared" si="60"/>
        <v>0</v>
      </c>
      <c r="CV814" s="26">
        <f t="shared" si="59"/>
        <v>125</v>
      </c>
    </row>
    <row r="815" spans="1:103" x14ac:dyDescent="0.2">
      <c r="A815" s="9" t="s">
        <v>290</v>
      </c>
      <c r="B815" s="2">
        <v>144</v>
      </c>
      <c r="C815" s="3" t="s">
        <v>95</v>
      </c>
      <c r="D815" s="3" t="s">
        <v>96</v>
      </c>
      <c r="E815" s="2" t="s">
        <v>72</v>
      </c>
      <c r="F815" s="2">
        <v>17</v>
      </c>
      <c r="G815" s="2" t="s">
        <v>84</v>
      </c>
      <c r="H815" s="2">
        <v>7</v>
      </c>
      <c r="I815" s="8">
        <v>120.12</v>
      </c>
      <c r="J815" s="8">
        <v>37900</v>
      </c>
      <c r="K815" s="3">
        <v>0</v>
      </c>
      <c r="L815" s="3" t="s">
        <v>3</v>
      </c>
      <c r="M815" s="9" t="s">
        <v>0</v>
      </c>
      <c r="N815" s="9" t="s">
        <v>21</v>
      </c>
      <c r="O815" s="9" t="s">
        <v>291</v>
      </c>
      <c r="S815" s="9" t="s">
        <v>158</v>
      </c>
      <c r="T815" s="10" t="s">
        <v>84</v>
      </c>
      <c r="U815" s="10">
        <v>7</v>
      </c>
      <c r="V815" s="10">
        <v>120.12</v>
      </c>
      <c r="W815" s="10" t="s">
        <v>710</v>
      </c>
      <c r="X815" s="17">
        <v>44684</v>
      </c>
      <c r="Y815" s="17">
        <v>44692</v>
      </c>
      <c r="Z815" s="19" t="s">
        <v>772</v>
      </c>
      <c r="AA815" s="210">
        <v>32310</v>
      </c>
      <c r="AB815" s="9">
        <v>6</v>
      </c>
      <c r="AC815" s="9">
        <v>0</v>
      </c>
      <c r="AD815" s="17">
        <v>44679</v>
      </c>
      <c r="AE815" s="56">
        <v>500</v>
      </c>
      <c r="AF815" s="56"/>
      <c r="AG815" s="9" t="s">
        <v>134</v>
      </c>
      <c r="AH815" s="17">
        <v>44679</v>
      </c>
      <c r="AI815" s="9">
        <v>41895174</v>
      </c>
      <c r="AJ815" s="9" t="s">
        <v>2491</v>
      </c>
      <c r="AK815" s="9" t="s">
        <v>293</v>
      </c>
      <c r="AM815" s="194">
        <v>1926</v>
      </c>
      <c r="AN815" s="22" t="s">
        <v>2484</v>
      </c>
      <c r="AO815" s="57"/>
      <c r="AP815" s="57"/>
      <c r="AQ815" s="57"/>
      <c r="AR815" s="57"/>
      <c r="AS815" s="57"/>
      <c r="AT815" s="57"/>
      <c r="AU815" s="57"/>
      <c r="AV815" s="57"/>
      <c r="AW815" s="17">
        <v>44679</v>
      </c>
      <c r="AX815" s="9" t="s">
        <v>294</v>
      </c>
      <c r="AY815" s="9">
        <v>1926</v>
      </c>
      <c r="AZ815" s="9">
        <v>3.8519999999999999</v>
      </c>
      <c r="BA815" s="11">
        <f>+AY815/AZ815</f>
        <v>500</v>
      </c>
      <c r="BB815" s="11" t="s">
        <v>1704</v>
      </c>
      <c r="BD815" s="9"/>
      <c r="CS815" s="11">
        <f t="shared" si="57"/>
        <v>0</v>
      </c>
      <c r="CT815" s="22">
        <f t="shared" si="58"/>
        <v>500</v>
      </c>
      <c r="CU815" s="22">
        <f t="shared" si="60"/>
        <v>-500</v>
      </c>
      <c r="CV815" s="26">
        <f t="shared" si="59"/>
        <v>500</v>
      </c>
    </row>
    <row r="816" spans="1:103" x14ac:dyDescent="0.2">
      <c r="A816" s="9" t="s">
        <v>290</v>
      </c>
      <c r="B816" s="2">
        <v>144</v>
      </c>
      <c r="C816" s="3" t="s">
        <v>95</v>
      </c>
      <c r="D816" s="3" t="s">
        <v>96</v>
      </c>
      <c r="E816" s="2" t="s">
        <v>72</v>
      </c>
      <c r="F816" s="2">
        <v>17</v>
      </c>
      <c r="G816" s="2" t="s">
        <v>84</v>
      </c>
      <c r="H816" s="2">
        <v>7</v>
      </c>
      <c r="I816" s="8">
        <v>120.12</v>
      </c>
      <c r="J816" s="8">
        <v>37900</v>
      </c>
      <c r="K816" s="3">
        <v>0</v>
      </c>
      <c r="L816" s="3" t="s">
        <v>3</v>
      </c>
      <c r="M816" s="9" t="s">
        <v>0</v>
      </c>
      <c r="N816" s="9">
        <v>41895174</v>
      </c>
      <c r="O816" s="9" t="s">
        <v>291</v>
      </c>
      <c r="S816" s="9" t="s">
        <v>158</v>
      </c>
      <c r="T816" s="10" t="s">
        <v>84</v>
      </c>
      <c r="U816" s="10">
        <v>7</v>
      </c>
      <c r="V816" s="10">
        <v>120.12</v>
      </c>
      <c r="W816" s="10" t="s">
        <v>710</v>
      </c>
      <c r="X816" s="17">
        <v>44684</v>
      </c>
      <c r="Y816" s="17">
        <v>44692</v>
      </c>
      <c r="Z816" s="19" t="s">
        <v>772</v>
      </c>
      <c r="AA816" s="210">
        <v>32310</v>
      </c>
      <c r="AB816" s="9">
        <v>6</v>
      </c>
      <c r="AC816" s="9">
        <v>0</v>
      </c>
      <c r="AD816" s="17">
        <v>44684</v>
      </c>
      <c r="AE816" s="56">
        <v>9500</v>
      </c>
      <c r="AF816" s="56"/>
      <c r="AG816" s="9" t="s">
        <v>134</v>
      </c>
      <c r="AH816" s="17">
        <v>44685</v>
      </c>
      <c r="AI816" s="9">
        <v>41895174</v>
      </c>
      <c r="AJ816" s="9" t="s">
        <v>2491</v>
      </c>
      <c r="AK816" s="9" t="s">
        <v>292</v>
      </c>
      <c r="AL816" s="11">
        <v>9500</v>
      </c>
      <c r="AN816" s="22" t="s">
        <v>2485</v>
      </c>
      <c r="AP816" s="11"/>
      <c r="AQ816" s="11"/>
      <c r="AR816" s="11"/>
      <c r="AW816" s="9"/>
      <c r="BB816" s="11" t="s">
        <v>1347</v>
      </c>
      <c r="BD816" s="9"/>
      <c r="CS816" s="11">
        <f t="shared" si="57"/>
        <v>9500</v>
      </c>
      <c r="CT816" s="22">
        <f t="shared" si="58"/>
        <v>0</v>
      </c>
      <c r="CU816" s="22">
        <f t="shared" si="60"/>
        <v>9500</v>
      </c>
      <c r="CV816" s="26">
        <f t="shared" si="59"/>
        <v>0</v>
      </c>
      <c r="CW816" s="9" t="s">
        <v>3494</v>
      </c>
      <c r="CY816" s="9" t="s">
        <v>3493</v>
      </c>
    </row>
    <row r="817" spans="1:103" x14ac:dyDescent="0.2">
      <c r="A817" s="9" t="s">
        <v>290</v>
      </c>
      <c r="B817" s="2">
        <v>144</v>
      </c>
      <c r="C817" s="3" t="s">
        <v>95</v>
      </c>
      <c r="D817" s="3" t="s">
        <v>96</v>
      </c>
      <c r="E817" s="2" t="s">
        <v>72</v>
      </c>
      <c r="F817" s="2">
        <v>17</v>
      </c>
      <c r="G817" s="2" t="s">
        <v>84</v>
      </c>
      <c r="H817" s="2">
        <v>7</v>
      </c>
      <c r="I817" s="8">
        <v>120.12</v>
      </c>
      <c r="J817" s="8">
        <v>37900</v>
      </c>
      <c r="K817" s="3">
        <v>0</v>
      </c>
      <c r="L817" s="3" t="s">
        <v>3</v>
      </c>
      <c r="M817" s="9" t="s">
        <v>0</v>
      </c>
      <c r="N817" s="9" t="s">
        <v>21</v>
      </c>
      <c r="O817" s="9" t="s">
        <v>291</v>
      </c>
      <c r="S817" s="9" t="s">
        <v>158</v>
      </c>
      <c r="T817" s="10" t="s">
        <v>84</v>
      </c>
      <c r="U817" s="10">
        <v>7</v>
      </c>
      <c r="V817" s="10">
        <v>120.12</v>
      </c>
      <c r="W817" s="10" t="s">
        <v>710</v>
      </c>
      <c r="X817" s="17">
        <v>44684</v>
      </c>
      <c r="Y817" s="17">
        <v>44692</v>
      </c>
      <c r="Z817" s="19" t="s">
        <v>772</v>
      </c>
      <c r="AA817" s="210">
        <v>32310</v>
      </c>
      <c r="AB817" s="9">
        <v>6</v>
      </c>
      <c r="AC817" s="9">
        <v>1</v>
      </c>
      <c r="AD817" s="17">
        <v>44742</v>
      </c>
      <c r="AE817" s="56">
        <v>4462</v>
      </c>
      <c r="AF817" s="56"/>
      <c r="AG817" s="9" t="s">
        <v>134</v>
      </c>
      <c r="AH817" s="17">
        <v>44742</v>
      </c>
      <c r="AI817" s="9">
        <v>41895174</v>
      </c>
      <c r="AJ817" s="9" t="s">
        <v>2491</v>
      </c>
      <c r="AK817" s="17" t="s">
        <v>295</v>
      </c>
      <c r="AL817" s="11">
        <v>4462</v>
      </c>
      <c r="AN817" s="22" t="s">
        <v>2486</v>
      </c>
      <c r="AP817" s="11"/>
      <c r="AQ817" s="11"/>
      <c r="AR817" s="11"/>
      <c r="AW817" s="17">
        <v>44742</v>
      </c>
      <c r="AX817" s="9">
        <v>743</v>
      </c>
      <c r="BA817" s="11">
        <v>4462</v>
      </c>
      <c r="BB817" s="11" t="s">
        <v>1704</v>
      </c>
      <c r="BD817" s="9"/>
      <c r="CS817" s="11">
        <f t="shared" si="57"/>
        <v>4462</v>
      </c>
      <c r="CT817" s="22">
        <f t="shared" si="58"/>
        <v>4462</v>
      </c>
      <c r="CU817" s="22">
        <f t="shared" si="60"/>
        <v>0</v>
      </c>
      <c r="CV817" s="26">
        <f t="shared" si="59"/>
        <v>0</v>
      </c>
    </row>
    <row r="818" spans="1:103" x14ac:dyDescent="0.2">
      <c r="A818" s="9" t="s">
        <v>290</v>
      </c>
      <c r="B818" s="2">
        <v>144</v>
      </c>
      <c r="C818" s="3" t="s">
        <v>95</v>
      </c>
      <c r="D818" s="3" t="s">
        <v>96</v>
      </c>
      <c r="E818" s="2" t="s">
        <v>72</v>
      </c>
      <c r="F818" s="2">
        <v>17</v>
      </c>
      <c r="G818" s="2" t="s">
        <v>84</v>
      </c>
      <c r="H818" s="2">
        <v>7</v>
      </c>
      <c r="I818" s="8">
        <v>120.12</v>
      </c>
      <c r="J818" s="8">
        <v>37900</v>
      </c>
      <c r="K818" s="3">
        <v>0</v>
      </c>
      <c r="L818" s="3" t="s">
        <v>3</v>
      </c>
      <c r="M818" s="9" t="s">
        <v>0</v>
      </c>
      <c r="N818" s="9" t="s">
        <v>21</v>
      </c>
      <c r="O818" s="9" t="s">
        <v>291</v>
      </c>
      <c r="S818" s="9" t="s">
        <v>158</v>
      </c>
      <c r="T818" s="10" t="s">
        <v>84</v>
      </c>
      <c r="U818" s="10">
        <v>7</v>
      </c>
      <c r="V818" s="10">
        <v>120.12</v>
      </c>
      <c r="W818" s="10" t="s">
        <v>710</v>
      </c>
      <c r="X818" s="17">
        <v>44684</v>
      </c>
      <c r="Y818" s="17">
        <v>44692</v>
      </c>
      <c r="Z818" s="19" t="s">
        <v>772</v>
      </c>
      <c r="AA818" s="210">
        <v>32310</v>
      </c>
      <c r="AB818" s="9">
        <v>6</v>
      </c>
      <c r="AC818" s="9">
        <v>2</v>
      </c>
      <c r="AD818" s="17">
        <v>44800</v>
      </c>
      <c r="AE818" s="56">
        <v>4462</v>
      </c>
      <c r="AF818" s="56"/>
      <c r="AG818" s="9" t="s">
        <v>134</v>
      </c>
      <c r="AH818" s="17">
        <v>44774</v>
      </c>
      <c r="AI818" s="9">
        <v>41895174</v>
      </c>
      <c r="AJ818" s="9" t="s">
        <v>2491</v>
      </c>
      <c r="AK818" s="9" t="s">
        <v>296</v>
      </c>
      <c r="AL818" s="22">
        <v>4462</v>
      </c>
      <c r="AN818" s="22" t="s">
        <v>2487</v>
      </c>
      <c r="AP818" s="11"/>
      <c r="AQ818" s="11"/>
      <c r="AR818" s="11"/>
      <c r="AW818" s="17">
        <v>44772</v>
      </c>
      <c r="AX818" s="9">
        <v>821</v>
      </c>
      <c r="BA818" s="11">
        <v>4462</v>
      </c>
      <c r="BB818" s="11" t="s">
        <v>1704</v>
      </c>
      <c r="BD818" s="9"/>
      <c r="CS818" s="11">
        <f t="shared" si="57"/>
        <v>4462</v>
      </c>
      <c r="CT818" s="22">
        <f t="shared" si="58"/>
        <v>4462</v>
      </c>
      <c r="CU818" s="22">
        <f t="shared" si="60"/>
        <v>0</v>
      </c>
      <c r="CV818" s="26">
        <f t="shared" si="59"/>
        <v>0</v>
      </c>
    </row>
    <row r="819" spans="1:103" x14ac:dyDescent="0.2">
      <c r="A819" s="9" t="s">
        <v>290</v>
      </c>
      <c r="B819" s="2">
        <v>144</v>
      </c>
      <c r="C819" s="3" t="s">
        <v>95</v>
      </c>
      <c r="D819" s="3" t="s">
        <v>96</v>
      </c>
      <c r="E819" s="2" t="s">
        <v>72</v>
      </c>
      <c r="F819" s="2">
        <v>17</v>
      </c>
      <c r="G819" s="2" t="s">
        <v>84</v>
      </c>
      <c r="H819" s="2">
        <v>7</v>
      </c>
      <c r="I819" s="8">
        <v>120.12</v>
      </c>
      <c r="J819" s="8">
        <v>37900</v>
      </c>
      <c r="K819" s="3">
        <v>0</v>
      </c>
      <c r="L819" s="3" t="s">
        <v>3</v>
      </c>
      <c r="M819" s="9" t="s">
        <v>0</v>
      </c>
      <c r="N819" s="9" t="s">
        <v>21</v>
      </c>
      <c r="O819" s="9" t="s">
        <v>291</v>
      </c>
      <c r="S819" s="9" t="s">
        <v>158</v>
      </c>
      <c r="T819" s="10" t="s">
        <v>84</v>
      </c>
      <c r="U819" s="10">
        <v>7</v>
      </c>
      <c r="V819" s="10">
        <v>120.12</v>
      </c>
      <c r="W819" s="10" t="s">
        <v>710</v>
      </c>
      <c r="X819" s="17">
        <v>44684</v>
      </c>
      <c r="Y819" s="17">
        <v>44692</v>
      </c>
      <c r="Z819" s="19" t="s">
        <v>772</v>
      </c>
      <c r="AA819" s="210">
        <v>32310</v>
      </c>
      <c r="AB819" s="9">
        <v>6</v>
      </c>
      <c r="AC819" s="9">
        <v>3</v>
      </c>
      <c r="AD819" s="17">
        <v>44858</v>
      </c>
      <c r="AE819" s="56">
        <v>4462</v>
      </c>
      <c r="AF819" s="56"/>
      <c r="AG819" s="9" t="s">
        <v>134</v>
      </c>
      <c r="AH819" s="127">
        <v>44804</v>
      </c>
      <c r="AI819" s="9">
        <v>41895174</v>
      </c>
      <c r="AJ819" s="9" t="s">
        <v>2491</v>
      </c>
      <c r="AK819" s="18" t="s">
        <v>297</v>
      </c>
      <c r="AL819" s="22">
        <v>4462</v>
      </c>
      <c r="AN819" s="22" t="s">
        <v>2488</v>
      </c>
      <c r="AP819" s="11"/>
      <c r="AQ819" s="11"/>
      <c r="AR819" s="11"/>
      <c r="AW819" s="42">
        <v>44804</v>
      </c>
      <c r="AX819" s="36">
        <v>549960</v>
      </c>
      <c r="AY819" s="93">
        <v>16968.990000000002</v>
      </c>
      <c r="AZ819" s="36">
        <v>3.8029999999999999</v>
      </c>
      <c r="BA819" s="40">
        <f>+AY819/AZ819</f>
        <v>4462.0010518012105</v>
      </c>
      <c r="BD819" s="9"/>
      <c r="CS819" s="11">
        <f t="shared" si="57"/>
        <v>4462</v>
      </c>
      <c r="CT819" s="22">
        <f t="shared" si="58"/>
        <v>4462.0010518012105</v>
      </c>
      <c r="CU819" s="22">
        <f t="shared" si="60"/>
        <v>-1.0518012104512309E-3</v>
      </c>
      <c r="CV819" s="26">
        <f t="shared" si="59"/>
        <v>0</v>
      </c>
    </row>
    <row r="820" spans="1:103" x14ac:dyDescent="0.2">
      <c r="A820" s="9" t="s">
        <v>290</v>
      </c>
      <c r="B820" s="2">
        <v>144</v>
      </c>
      <c r="C820" s="3" t="s">
        <v>95</v>
      </c>
      <c r="D820" s="3" t="s">
        <v>96</v>
      </c>
      <c r="E820" s="2" t="s">
        <v>72</v>
      </c>
      <c r="F820" s="2">
        <v>17</v>
      </c>
      <c r="G820" s="2" t="s">
        <v>84</v>
      </c>
      <c r="H820" s="2">
        <v>7</v>
      </c>
      <c r="I820" s="8">
        <v>120.12</v>
      </c>
      <c r="J820" s="8">
        <v>37900</v>
      </c>
      <c r="K820" s="3">
        <v>0</v>
      </c>
      <c r="L820" s="3" t="s">
        <v>3</v>
      </c>
      <c r="M820" s="9" t="s">
        <v>0</v>
      </c>
      <c r="N820" s="9" t="s">
        <v>21</v>
      </c>
      <c r="O820" s="9" t="s">
        <v>291</v>
      </c>
      <c r="S820" s="9" t="s">
        <v>158</v>
      </c>
      <c r="T820" s="10" t="s">
        <v>84</v>
      </c>
      <c r="U820" s="10">
        <v>7</v>
      </c>
      <c r="V820" s="10">
        <v>120.12</v>
      </c>
      <c r="W820" s="10" t="s">
        <v>710</v>
      </c>
      <c r="X820" s="17">
        <v>44684</v>
      </c>
      <c r="Y820" s="17">
        <v>44692</v>
      </c>
      <c r="Z820" s="19" t="s">
        <v>772</v>
      </c>
      <c r="AA820" s="210">
        <v>32310</v>
      </c>
      <c r="AB820" s="9">
        <v>6</v>
      </c>
      <c r="AC820" s="9">
        <v>4</v>
      </c>
      <c r="AD820" s="17">
        <v>44916</v>
      </c>
      <c r="AE820" s="56">
        <v>4462</v>
      </c>
      <c r="AF820" s="56"/>
      <c r="AG820" s="9" t="s">
        <v>134</v>
      </c>
      <c r="AH820" s="64">
        <v>44835</v>
      </c>
      <c r="AI820" s="9">
        <v>41895174</v>
      </c>
      <c r="AJ820" s="9" t="s">
        <v>2491</v>
      </c>
      <c r="AK820" s="18" t="s">
        <v>298</v>
      </c>
      <c r="AL820" s="11">
        <v>4462</v>
      </c>
      <c r="AN820" s="11" t="s">
        <v>2489</v>
      </c>
      <c r="AP820" s="11"/>
      <c r="AQ820" s="11"/>
      <c r="AR820" s="11"/>
      <c r="AW820" s="17">
        <v>44834</v>
      </c>
      <c r="AX820" s="9">
        <v>967</v>
      </c>
      <c r="BA820" s="11">
        <v>4462</v>
      </c>
      <c r="BB820" s="11" t="s">
        <v>1704</v>
      </c>
      <c r="BD820" s="9"/>
      <c r="CS820" s="11">
        <f t="shared" si="57"/>
        <v>4462</v>
      </c>
      <c r="CT820" s="22">
        <f t="shared" si="58"/>
        <v>4462</v>
      </c>
      <c r="CU820" s="22">
        <f t="shared" si="60"/>
        <v>0</v>
      </c>
      <c r="CV820" s="26">
        <f t="shared" si="59"/>
        <v>0</v>
      </c>
    </row>
    <row r="821" spans="1:103" x14ac:dyDescent="0.2">
      <c r="A821" s="9" t="s">
        <v>290</v>
      </c>
      <c r="B821" s="2">
        <v>144</v>
      </c>
      <c r="C821" s="3" t="s">
        <v>95</v>
      </c>
      <c r="D821" s="3" t="s">
        <v>96</v>
      </c>
      <c r="E821" s="2" t="s">
        <v>72</v>
      </c>
      <c r="F821" s="2">
        <v>17</v>
      </c>
      <c r="G821" s="2" t="s">
        <v>84</v>
      </c>
      <c r="H821" s="2">
        <v>7</v>
      </c>
      <c r="I821" s="8">
        <v>120.12</v>
      </c>
      <c r="J821" s="8">
        <v>37900</v>
      </c>
      <c r="K821" s="3">
        <v>0</v>
      </c>
      <c r="L821" s="3" t="s">
        <v>3</v>
      </c>
      <c r="M821" s="9" t="s">
        <v>0</v>
      </c>
      <c r="N821" s="9" t="s">
        <v>21</v>
      </c>
      <c r="O821" s="9" t="s">
        <v>291</v>
      </c>
      <c r="S821" s="9" t="s">
        <v>158</v>
      </c>
      <c r="T821" s="10" t="s">
        <v>84</v>
      </c>
      <c r="U821" s="10">
        <v>7</v>
      </c>
      <c r="V821" s="10">
        <v>120.12</v>
      </c>
      <c r="W821" s="10" t="s">
        <v>710</v>
      </c>
      <c r="X821" s="17">
        <v>44684</v>
      </c>
      <c r="Y821" s="17">
        <v>44692</v>
      </c>
      <c r="Z821" s="19" t="s">
        <v>772</v>
      </c>
      <c r="AA821" s="210">
        <v>32310</v>
      </c>
      <c r="AB821" s="9">
        <v>6</v>
      </c>
      <c r="AC821" s="9">
        <v>5</v>
      </c>
      <c r="AD821" s="17">
        <v>44974</v>
      </c>
      <c r="AE821" s="56">
        <v>4462</v>
      </c>
      <c r="AF821" s="56"/>
      <c r="AG821" s="9" t="s">
        <v>134</v>
      </c>
      <c r="AH821" s="64">
        <v>44925</v>
      </c>
      <c r="AI821" s="9">
        <v>41895174</v>
      </c>
      <c r="AJ821" s="9" t="s">
        <v>2491</v>
      </c>
      <c r="AK821" s="18" t="s">
        <v>299</v>
      </c>
      <c r="AL821" s="11">
        <v>2231</v>
      </c>
      <c r="AN821" s="11" t="s">
        <v>2490</v>
      </c>
      <c r="AO821" s="9" t="s">
        <v>134</v>
      </c>
      <c r="AP821" s="64">
        <v>44957</v>
      </c>
      <c r="AQ821" s="9">
        <v>41895174</v>
      </c>
      <c r="AR821" s="9" t="s">
        <v>2491</v>
      </c>
      <c r="AS821" s="11" t="s">
        <v>300</v>
      </c>
      <c r="AT821" s="11">
        <v>2231</v>
      </c>
      <c r="AV821" s="11" t="s">
        <v>2492</v>
      </c>
      <c r="AW821" s="17">
        <v>44925</v>
      </c>
      <c r="AX821" s="9">
        <v>1123</v>
      </c>
      <c r="BA821" s="11">
        <v>2231</v>
      </c>
      <c r="BC821" s="42">
        <v>44957</v>
      </c>
      <c r="BD821" s="36">
        <v>1181</v>
      </c>
      <c r="BE821" s="36"/>
      <c r="BF821" s="36"/>
      <c r="BG821" s="36">
        <v>2231</v>
      </c>
      <c r="BH821" s="11"/>
      <c r="CS821" s="11">
        <f t="shared" si="57"/>
        <v>4462</v>
      </c>
      <c r="CT821" s="22">
        <f t="shared" si="58"/>
        <v>4462</v>
      </c>
      <c r="CU821" s="22">
        <f t="shared" si="60"/>
        <v>0</v>
      </c>
      <c r="CV821" s="26">
        <f t="shared" si="59"/>
        <v>0</v>
      </c>
    </row>
    <row r="822" spans="1:103" x14ac:dyDescent="0.2">
      <c r="A822" s="9" t="s">
        <v>301</v>
      </c>
      <c r="B822" s="2">
        <v>98</v>
      </c>
      <c r="C822" s="3" t="s">
        <v>95</v>
      </c>
      <c r="D822" s="3" t="s">
        <v>96</v>
      </c>
      <c r="E822" s="2" t="s">
        <v>73</v>
      </c>
      <c r="F822" s="2">
        <v>3</v>
      </c>
      <c r="G822" s="2" t="s">
        <v>78</v>
      </c>
      <c r="H822" s="2">
        <v>3</v>
      </c>
      <c r="I822" s="8">
        <v>120.73</v>
      </c>
      <c r="J822" s="8">
        <v>40243</v>
      </c>
      <c r="K822" s="3">
        <v>0</v>
      </c>
      <c r="L822" s="3" t="s">
        <v>3</v>
      </c>
      <c r="M822" s="9" t="s">
        <v>0</v>
      </c>
      <c r="N822" s="9" t="s">
        <v>22</v>
      </c>
      <c r="O822" s="9" t="s">
        <v>302</v>
      </c>
      <c r="S822" s="9" t="s">
        <v>158</v>
      </c>
      <c r="T822" s="10" t="s">
        <v>78</v>
      </c>
      <c r="U822" s="10">
        <v>3</v>
      </c>
      <c r="V822" s="10">
        <v>120.73</v>
      </c>
      <c r="W822" s="10" t="s">
        <v>710</v>
      </c>
      <c r="X822" s="17">
        <v>45059</v>
      </c>
      <c r="Y822" s="17">
        <v>45059</v>
      </c>
      <c r="Z822" s="19" t="s">
        <v>772</v>
      </c>
      <c r="AA822" s="212">
        <v>35000</v>
      </c>
      <c r="AB822" s="9">
        <v>1</v>
      </c>
      <c r="AC822" s="9">
        <v>0</v>
      </c>
      <c r="AD822" s="17">
        <v>45059</v>
      </c>
      <c r="AE822" s="56">
        <v>700</v>
      </c>
      <c r="AF822" s="56"/>
      <c r="AH822" s="17">
        <v>45059</v>
      </c>
      <c r="AI822" s="9">
        <v>70006062</v>
      </c>
      <c r="AJ822" s="9" t="s">
        <v>2479</v>
      </c>
      <c r="AK822" s="9" t="s">
        <v>2475</v>
      </c>
      <c r="AL822" s="11">
        <v>700</v>
      </c>
      <c r="AN822" s="11" t="s">
        <v>2480</v>
      </c>
      <c r="AP822" s="11"/>
      <c r="AQ822" s="11"/>
      <c r="AR822" s="11"/>
      <c r="AW822" s="17">
        <v>45059</v>
      </c>
      <c r="AX822" s="9">
        <v>1511</v>
      </c>
      <c r="BA822" s="11">
        <v>700</v>
      </c>
      <c r="BD822" s="9"/>
      <c r="CS822" s="11">
        <f t="shared" si="57"/>
        <v>700</v>
      </c>
      <c r="CT822" s="22">
        <f t="shared" si="58"/>
        <v>700</v>
      </c>
      <c r="CU822" s="22">
        <f t="shared" si="60"/>
        <v>0</v>
      </c>
      <c r="CV822" s="26">
        <f t="shared" si="59"/>
        <v>0</v>
      </c>
    </row>
    <row r="823" spans="1:103" x14ac:dyDescent="0.2">
      <c r="A823" s="9" t="s">
        <v>301</v>
      </c>
      <c r="B823" s="2">
        <v>98</v>
      </c>
      <c r="C823" s="3" t="s">
        <v>95</v>
      </c>
      <c r="D823" s="3" t="s">
        <v>96</v>
      </c>
      <c r="E823" s="2" t="s">
        <v>73</v>
      </c>
      <c r="F823" s="2">
        <v>3</v>
      </c>
      <c r="G823" s="2" t="s">
        <v>78</v>
      </c>
      <c r="H823" s="2">
        <v>3</v>
      </c>
      <c r="I823" s="8">
        <v>120.73</v>
      </c>
      <c r="J823" s="8">
        <v>40243</v>
      </c>
      <c r="K823" s="3">
        <v>0</v>
      </c>
      <c r="L823" s="3" t="s">
        <v>3</v>
      </c>
      <c r="M823" s="9" t="s">
        <v>0</v>
      </c>
      <c r="N823" s="9" t="s">
        <v>22</v>
      </c>
      <c r="O823" s="9" t="s">
        <v>302</v>
      </c>
      <c r="S823" s="9" t="s">
        <v>158</v>
      </c>
      <c r="T823" s="10" t="s">
        <v>78</v>
      </c>
      <c r="U823" s="10">
        <v>3</v>
      </c>
      <c r="V823" s="10">
        <v>120.73</v>
      </c>
      <c r="W823" s="10" t="s">
        <v>710</v>
      </c>
      <c r="X823" s="17">
        <v>45059</v>
      </c>
      <c r="Y823" s="17">
        <v>45059</v>
      </c>
      <c r="Z823" s="19" t="s">
        <v>772</v>
      </c>
      <c r="AA823" s="212">
        <v>35000</v>
      </c>
      <c r="AB823" s="9">
        <v>1</v>
      </c>
      <c r="AC823" s="9">
        <v>1</v>
      </c>
      <c r="AD823" s="17">
        <v>45066</v>
      </c>
      <c r="AE823" s="56">
        <v>34300</v>
      </c>
      <c r="AF823" s="56"/>
      <c r="AH823" s="17">
        <v>45066</v>
      </c>
      <c r="AI823" s="9">
        <v>70006062</v>
      </c>
      <c r="AJ823" s="9" t="s">
        <v>2479</v>
      </c>
      <c r="AK823" s="9" t="s">
        <v>2476</v>
      </c>
      <c r="AL823" s="11">
        <v>34300</v>
      </c>
      <c r="AN823" s="11" t="s">
        <v>2481</v>
      </c>
      <c r="AP823" s="11"/>
      <c r="AQ823" s="11"/>
      <c r="AR823" s="11"/>
      <c r="AW823" s="17">
        <v>45068</v>
      </c>
      <c r="AX823" s="9">
        <v>1528</v>
      </c>
      <c r="BA823" s="11">
        <v>34300</v>
      </c>
      <c r="BD823" s="9"/>
      <c r="CS823" s="11">
        <f t="shared" si="57"/>
        <v>34300</v>
      </c>
      <c r="CT823" s="22">
        <f t="shared" si="58"/>
        <v>34300</v>
      </c>
      <c r="CU823" s="22">
        <f t="shared" si="60"/>
        <v>0</v>
      </c>
      <c r="CV823" s="26">
        <f t="shared" si="59"/>
        <v>0</v>
      </c>
    </row>
    <row r="824" spans="1:103" x14ac:dyDescent="0.2">
      <c r="A824" s="9" t="s">
        <v>301</v>
      </c>
      <c r="B824" s="2">
        <v>98</v>
      </c>
      <c r="C824" s="3" t="s">
        <v>95</v>
      </c>
      <c r="D824" s="3" t="s">
        <v>96</v>
      </c>
      <c r="E824" s="2" t="s">
        <v>73</v>
      </c>
      <c r="F824" s="2">
        <v>3</v>
      </c>
      <c r="G824" s="2" t="s">
        <v>78</v>
      </c>
      <c r="H824" s="2">
        <v>3</v>
      </c>
      <c r="I824" s="8">
        <v>120.73</v>
      </c>
      <c r="J824" s="8">
        <v>40243</v>
      </c>
      <c r="K824" s="3">
        <v>0</v>
      </c>
      <c r="L824" s="3" t="s">
        <v>3</v>
      </c>
      <c r="M824" s="9" t="s">
        <v>0</v>
      </c>
      <c r="N824" s="9" t="s">
        <v>22</v>
      </c>
      <c r="O824" s="9" t="s">
        <v>302</v>
      </c>
      <c r="S824" s="48" t="s">
        <v>303</v>
      </c>
      <c r="V824" s="10">
        <v>12.5</v>
      </c>
      <c r="W824" s="10" t="s">
        <v>710</v>
      </c>
      <c r="X824" s="17">
        <v>45077</v>
      </c>
      <c r="Y824" s="17">
        <v>45642</v>
      </c>
      <c r="Z824" s="19" t="s">
        <v>772</v>
      </c>
      <c r="AA824" s="212">
        <v>6000</v>
      </c>
      <c r="AB824" s="9">
        <v>2</v>
      </c>
      <c r="AC824" s="9">
        <v>1</v>
      </c>
      <c r="AD824" s="17">
        <v>45077</v>
      </c>
      <c r="AE824" s="56">
        <v>1000</v>
      </c>
      <c r="AF824" s="56"/>
      <c r="AH824" s="17">
        <v>45077</v>
      </c>
      <c r="AI824" s="9">
        <v>70006062</v>
      </c>
      <c r="AJ824" s="9" t="s">
        <v>2479</v>
      </c>
      <c r="AK824" s="9" t="s">
        <v>2477</v>
      </c>
      <c r="AL824" s="11">
        <v>1000</v>
      </c>
      <c r="AN824" s="11" t="s">
        <v>2482</v>
      </c>
      <c r="AP824" s="11"/>
      <c r="AQ824" s="11"/>
      <c r="AR824" s="11"/>
      <c r="AW824" s="17">
        <v>45077</v>
      </c>
      <c r="AX824" s="9">
        <v>1556</v>
      </c>
      <c r="BA824" s="11">
        <v>1000</v>
      </c>
      <c r="BD824" s="9"/>
      <c r="CS824" s="11">
        <f t="shared" si="57"/>
        <v>1000</v>
      </c>
      <c r="CT824" s="22">
        <f t="shared" si="58"/>
        <v>1000</v>
      </c>
      <c r="CU824" s="22">
        <f t="shared" si="60"/>
        <v>0</v>
      </c>
      <c r="CV824" s="26">
        <f t="shared" si="59"/>
        <v>0</v>
      </c>
    </row>
    <row r="825" spans="1:103" x14ac:dyDescent="0.2">
      <c r="A825" s="9" t="s">
        <v>301</v>
      </c>
      <c r="B825" s="2">
        <v>98</v>
      </c>
      <c r="C825" s="3" t="s">
        <v>95</v>
      </c>
      <c r="D825" s="3" t="s">
        <v>96</v>
      </c>
      <c r="E825" s="2" t="s">
        <v>73</v>
      </c>
      <c r="F825" s="2">
        <v>3</v>
      </c>
      <c r="G825" s="2" t="s">
        <v>78</v>
      </c>
      <c r="H825" s="2">
        <v>3</v>
      </c>
      <c r="I825" s="8">
        <v>120.73</v>
      </c>
      <c r="J825" s="8">
        <v>40243</v>
      </c>
      <c r="K825" s="3">
        <v>0</v>
      </c>
      <c r="L825" s="3" t="s">
        <v>3</v>
      </c>
      <c r="M825" s="9" t="s">
        <v>0</v>
      </c>
      <c r="N825" s="9" t="s">
        <v>22</v>
      </c>
      <c r="O825" s="9" t="s">
        <v>302</v>
      </c>
      <c r="S825" s="48" t="s">
        <v>303</v>
      </c>
      <c r="V825" s="10">
        <v>12.5</v>
      </c>
      <c r="W825" s="10" t="s">
        <v>710</v>
      </c>
      <c r="X825" s="17">
        <v>45077</v>
      </c>
      <c r="Y825" s="17">
        <v>45642</v>
      </c>
      <c r="Z825" s="19" t="s">
        <v>772</v>
      </c>
      <c r="AA825" s="212">
        <v>6000</v>
      </c>
      <c r="AB825" s="9">
        <v>2</v>
      </c>
      <c r="AC825" s="9">
        <v>2</v>
      </c>
      <c r="AD825" s="17">
        <v>45078</v>
      </c>
      <c r="AE825" s="56">
        <v>5000</v>
      </c>
      <c r="AF825" s="56"/>
      <c r="AH825" s="17">
        <v>45113</v>
      </c>
      <c r="AI825" s="9">
        <v>70006062</v>
      </c>
      <c r="AJ825" s="9" t="s">
        <v>2479</v>
      </c>
      <c r="AK825" s="9" t="s">
        <v>2478</v>
      </c>
      <c r="AL825" s="11">
        <v>5000</v>
      </c>
      <c r="AN825" s="11" t="s">
        <v>2483</v>
      </c>
      <c r="AP825" s="11"/>
      <c r="AQ825" s="11"/>
      <c r="AR825" s="11"/>
      <c r="AW825" s="17">
        <v>45078</v>
      </c>
      <c r="AX825" s="9">
        <v>1564</v>
      </c>
      <c r="BA825" s="11">
        <v>5000</v>
      </c>
      <c r="BD825" s="9"/>
      <c r="CS825" s="11">
        <f t="shared" ref="CS825:CS888" si="61">+AL825+AT825</f>
        <v>5000</v>
      </c>
      <c r="CT825" s="22">
        <f t="shared" ref="CT825:CT888" si="62">+BA825+BG825+BM825+BS825+BY825+CE825+CK825+CQ825</f>
        <v>5000</v>
      </c>
      <c r="CU825" s="22">
        <f t="shared" si="60"/>
        <v>0</v>
      </c>
      <c r="CV825" s="26">
        <f t="shared" ref="CV825:CV888" si="63">+AE825-AL825-AT825</f>
        <v>0</v>
      </c>
    </row>
    <row r="826" spans="1:103" x14ac:dyDescent="0.2">
      <c r="A826" s="9" t="s">
        <v>304</v>
      </c>
      <c r="B826" s="2">
        <v>23</v>
      </c>
      <c r="C826" s="3" t="s">
        <v>95</v>
      </c>
      <c r="D826" s="3" t="s">
        <v>96</v>
      </c>
      <c r="E826" s="2" t="s">
        <v>66</v>
      </c>
      <c r="F826" s="2">
        <v>13</v>
      </c>
      <c r="G826" s="2" t="s">
        <v>68</v>
      </c>
      <c r="H826" s="2">
        <v>3</v>
      </c>
      <c r="I826" s="8">
        <v>145.31</v>
      </c>
      <c r="J826" s="8">
        <v>42900</v>
      </c>
      <c r="K826" s="3">
        <v>0</v>
      </c>
      <c r="L826" s="3" t="s">
        <v>3</v>
      </c>
      <c r="M826" s="9" t="s">
        <v>0</v>
      </c>
      <c r="N826" s="9" t="s">
        <v>23</v>
      </c>
      <c r="O826" s="9" t="s">
        <v>305</v>
      </c>
      <c r="S826" s="9" t="s">
        <v>158</v>
      </c>
      <c r="T826" s="10" t="s">
        <v>68</v>
      </c>
      <c r="U826" s="10">
        <v>3</v>
      </c>
      <c r="V826" s="10">
        <v>141.83000000000001</v>
      </c>
      <c r="W826" s="10" t="s">
        <v>710</v>
      </c>
      <c r="X826" s="17">
        <v>44571</v>
      </c>
      <c r="Y826" s="17">
        <v>44936</v>
      </c>
      <c r="Z826" s="19" t="s">
        <v>772</v>
      </c>
      <c r="AA826" s="210">
        <v>40858.800000000003</v>
      </c>
      <c r="AB826" s="9">
        <v>48</v>
      </c>
      <c r="AC826" s="9">
        <v>0</v>
      </c>
      <c r="AD826" s="17">
        <v>44571</v>
      </c>
      <c r="AE826" s="56">
        <v>10000</v>
      </c>
      <c r="AF826" s="56"/>
      <c r="AG826" s="9" t="s">
        <v>134</v>
      </c>
      <c r="AH826" s="64">
        <v>44571</v>
      </c>
      <c r="AI826" s="60">
        <v>41974515</v>
      </c>
      <c r="AJ826" s="11" t="s">
        <v>2408</v>
      </c>
      <c r="AK826" s="11" t="s">
        <v>309</v>
      </c>
      <c r="AM826" s="194">
        <v>39390</v>
      </c>
      <c r="AN826" s="11" t="s">
        <v>2398</v>
      </c>
      <c r="AW826" s="42">
        <v>44572</v>
      </c>
      <c r="AX826" s="36">
        <v>9879</v>
      </c>
      <c r="AY826" s="36">
        <v>11390</v>
      </c>
      <c r="AZ826" s="36">
        <v>3.9550000000000001</v>
      </c>
      <c r="BA826" s="40">
        <f>+AY826/AZ826</f>
        <v>2879.8988621997473</v>
      </c>
      <c r="BC826" s="17">
        <v>44571</v>
      </c>
      <c r="BD826" s="9">
        <v>9893</v>
      </c>
      <c r="BE826" s="9">
        <v>18000</v>
      </c>
      <c r="BF826" s="9">
        <v>3.9550000000000001</v>
      </c>
      <c r="BG826" s="11">
        <f>+BE826/BF826</f>
        <v>4551.2010113780025</v>
      </c>
      <c r="BH826" s="9" t="s">
        <v>1348</v>
      </c>
      <c r="BI826" s="17">
        <v>44571</v>
      </c>
      <c r="BJ826" s="9" t="s">
        <v>254</v>
      </c>
      <c r="BK826" s="9">
        <v>10000</v>
      </c>
      <c r="BL826" s="9">
        <v>3.9550000000000001</v>
      </c>
      <c r="BM826" s="11">
        <f>+BK826/BL826</f>
        <v>2528.4450063211125</v>
      </c>
      <c r="CS826" s="11">
        <f t="shared" si="61"/>
        <v>0</v>
      </c>
      <c r="CT826" s="22">
        <f t="shared" si="62"/>
        <v>9959.5448798988618</v>
      </c>
      <c r="CU826" s="22">
        <f t="shared" si="60"/>
        <v>-9959.5448798988618</v>
      </c>
      <c r="CV826" s="26">
        <f t="shared" si="63"/>
        <v>10000</v>
      </c>
      <c r="CW826" s="9" t="s">
        <v>3498</v>
      </c>
      <c r="CY826" s="9" t="s">
        <v>3493</v>
      </c>
    </row>
    <row r="827" spans="1:103" x14ac:dyDescent="0.2">
      <c r="A827" s="9" t="s">
        <v>304</v>
      </c>
      <c r="B827" s="2">
        <v>23</v>
      </c>
      <c r="C827" s="3" t="s">
        <v>95</v>
      </c>
      <c r="D827" s="3" t="s">
        <v>96</v>
      </c>
      <c r="E827" s="2" t="s">
        <v>66</v>
      </c>
      <c r="F827" s="2">
        <v>13</v>
      </c>
      <c r="G827" s="2" t="s">
        <v>68</v>
      </c>
      <c r="H827" s="2">
        <v>3</v>
      </c>
      <c r="I827" s="8">
        <v>145.31</v>
      </c>
      <c r="J827" s="8">
        <v>42900</v>
      </c>
      <c r="K827" s="3">
        <v>0</v>
      </c>
      <c r="L827" s="3" t="s">
        <v>3</v>
      </c>
      <c r="M827" s="9" t="s">
        <v>0</v>
      </c>
      <c r="N827" s="9">
        <v>41974515</v>
      </c>
      <c r="O827" s="9" t="s">
        <v>305</v>
      </c>
      <c r="S827" s="9" t="s">
        <v>158</v>
      </c>
      <c r="T827" s="10" t="s">
        <v>68</v>
      </c>
      <c r="U827" s="10">
        <v>3</v>
      </c>
      <c r="V827" s="10">
        <v>141.83000000000001</v>
      </c>
      <c r="W827" s="10" t="s">
        <v>710</v>
      </c>
      <c r="X827" s="17">
        <v>44571</v>
      </c>
      <c r="Y827" s="17">
        <v>44936</v>
      </c>
      <c r="Z827" s="19" t="s">
        <v>772</v>
      </c>
      <c r="AA827" s="210">
        <v>40858.800000000003</v>
      </c>
      <c r="AB827" s="9">
        <v>48</v>
      </c>
      <c r="AC827" s="9">
        <v>1</v>
      </c>
      <c r="AD827" s="17">
        <v>44607</v>
      </c>
      <c r="AE827" s="56">
        <v>625</v>
      </c>
      <c r="AF827" s="56"/>
      <c r="AG827" s="9" t="s">
        <v>134</v>
      </c>
      <c r="AH827" s="127">
        <v>44609</v>
      </c>
      <c r="AI827" s="60">
        <v>41974515</v>
      </c>
      <c r="AJ827" s="11" t="s">
        <v>2408</v>
      </c>
      <c r="AK827" s="22" t="s">
        <v>311</v>
      </c>
      <c r="AL827" s="22">
        <v>625</v>
      </c>
      <c r="AM827" s="22"/>
      <c r="AN827" s="22" t="s">
        <v>2399</v>
      </c>
      <c r="AO827" s="22"/>
      <c r="AP827" s="127"/>
      <c r="AQ827" s="127"/>
      <c r="AR827" s="127"/>
      <c r="AS827" s="22"/>
      <c r="AT827" s="22"/>
      <c r="AU827" s="22"/>
      <c r="AV827" s="22"/>
      <c r="AW827" s="42">
        <v>44603</v>
      </c>
      <c r="AX827" s="36">
        <v>445</v>
      </c>
      <c r="AY827" s="36"/>
      <c r="AZ827" s="36"/>
      <c r="BA827" s="40">
        <v>625</v>
      </c>
      <c r="BD827" s="9"/>
      <c r="CS827" s="11">
        <f t="shared" si="61"/>
        <v>625</v>
      </c>
      <c r="CT827" s="22">
        <f t="shared" si="62"/>
        <v>625</v>
      </c>
      <c r="CU827" s="22">
        <f t="shared" si="60"/>
        <v>0</v>
      </c>
      <c r="CV827" s="26">
        <f t="shared" si="63"/>
        <v>0</v>
      </c>
    </row>
    <row r="828" spans="1:103" x14ac:dyDescent="0.2">
      <c r="A828" s="9" t="s">
        <v>304</v>
      </c>
      <c r="B828" s="2">
        <v>23</v>
      </c>
      <c r="C828" s="3" t="s">
        <v>95</v>
      </c>
      <c r="D828" s="3" t="s">
        <v>96</v>
      </c>
      <c r="E828" s="2" t="s">
        <v>66</v>
      </c>
      <c r="F828" s="2">
        <v>13</v>
      </c>
      <c r="G828" s="2" t="s">
        <v>68</v>
      </c>
      <c r="H828" s="2">
        <v>3</v>
      </c>
      <c r="I828" s="8">
        <v>145.31</v>
      </c>
      <c r="J828" s="8">
        <v>42900</v>
      </c>
      <c r="K828" s="3">
        <v>0</v>
      </c>
      <c r="L828" s="3" t="s">
        <v>3</v>
      </c>
      <c r="M828" s="9" t="s">
        <v>0</v>
      </c>
      <c r="N828" s="9" t="s">
        <v>23</v>
      </c>
      <c r="O828" s="9" t="s">
        <v>305</v>
      </c>
      <c r="S828" s="9" t="s">
        <v>158</v>
      </c>
      <c r="T828" s="10" t="s">
        <v>68</v>
      </c>
      <c r="U828" s="10">
        <v>3</v>
      </c>
      <c r="V828" s="10">
        <v>141.83000000000001</v>
      </c>
      <c r="W828" s="10" t="s">
        <v>710</v>
      </c>
      <c r="X828" s="17">
        <v>44571</v>
      </c>
      <c r="Y828" s="17">
        <v>44936</v>
      </c>
      <c r="Z828" s="19" t="s">
        <v>772</v>
      </c>
      <c r="AA828" s="210">
        <v>40858.800000000003</v>
      </c>
      <c r="AB828" s="9">
        <v>48</v>
      </c>
      <c r="AC828" s="9">
        <v>2</v>
      </c>
      <c r="AD828" s="17">
        <v>44635</v>
      </c>
      <c r="AE828" s="56">
        <v>625</v>
      </c>
      <c r="AF828" s="56"/>
      <c r="AG828" s="9" t="s">
        <v>134</v>
      </c>
      <c r="AH828" s="127">
        <v>44635</v>
      </c>
      <c r="AI828" s="60">
        <v>41974515</v>
      </c>
      <c r="AJ828" s="11" t="s">
        <v>2408</v>
      </c>
      <c r="AK828" s="22" t="s">
        <v>312</v>
      </c>
      <c r="AL828" s="22">
        <v>625</v>
      </c>
      <c r="AM828" s="22"/>
      <c r="AN828" s="22" t="s">
        <v>2400</v>
      </c>
      <c r="AO828" s="22"/>
      <c r="AP828" s="127"/>
      <c r="AQ828" s="22"/>
      <c r="AR828" s="22"/>
      <c r="AS828" s="22"/>
      <c r="AT828" s="22"/>
      <c r="AU828" s="22"/>
      <c r="AV828" s="22"/>
      <c r="AW828" s="42">
        <v>44634</v>
      </c>
      <c r="AX828" s="36">
        <v>528</v>
      </c>
      <c r="AY828" s="36"/>
      <c r="AZ828" s="36"/>
      <c r="BA828" s="40">
        <v>625</v>
      </c>
      <c r="BD828" s="9"/>
      <c r="CS828" s="11">
        <f t="shared" si="61"/>
        <v>625</v>
      </c>
      <c r="CT828" s="22">
        <f t="shared" si="62"/>
        <v>625</v>
      </c>
      <c r="CU828" s="22">
        <f t="shared" si="60"/>
        <v>0</v>
      </c>
      <c r="CV828" s="26">
        <f t="shared" si="63"/>
        <v>0</v>
      </c>
    </row>
    <row r="829" spans="1:103" x14ac:dyDescent="0.2">
      <c r="A829" s="9" t="s">
        <v>304</v>
      </c>
      <c r="B829" s="2">
        <v>23</v>
      </c>
      <c r="C829" s="3" t="s">
        <v>95</v>
      </c>
      <c r="D829" s="3" t="s">
        <v>96</v>
      </c>
      <c r="E829" s="2" t="s">
        <v>66</v>
      </c>
      <c r="F829" s="2">
        <v>13</v>
      </c>
      <c r="G829" s="2" t="s">
        <v>68</v>
      </c>
      <c r="H829" s="2">
        <v>3</v>
      </c>
      <c r="I829" s="8">
        <v>145.31</v>
      </c>
      <c r="J829" s="8">
        <v>42900</v>
      </c>
      <c r="K829" s="3">
        <v>0</v>
      </c>
      <c r="L829" s="3" t="s">
        <v>3</v>
      </c>
      <c r="M829" s="9" t="s">
        <v>0</v>
      </c>
      <c r="N829" s="9" t="s">
        <v>23</v>
      </c>
      <c r="O829" s="9" t="s">
        <v>305</v>
      </c>
      <c r="S829" s="9" t="s">
        <v>158</v>
      </c>
      <c r="T829" s="10" t="s">
        <v>68</v>
      </c>
      <c r="U829" s="10">
        <v>3</v>
      </c>
      <c r="V829" s="10">
        <v>141.83000000000001</v>
      </c>
      <c r="W829" s="10" t="s">
        <v>710</v>
      </c>
      <c r="X829" s="17">
        <v>44571</v>
      </c>
      <c r="Y829" s="17">
        <v>44936</v>
      </c>
      <c r="Z829" s="19" t="s">
        <v>772</v>
      </c>
      <c r="AA829" s="210">
        <v>40858.800000000003</v>
      </c>
      <c r="AB829" s="9">
        <v>48</v>
      </c>
      <c r="AC829" s="9">
        <v>3</v>
      </c>
      <c r="AD829" s="17">
        <v>44666</v>
      </c>
      <c r="AE829" s="56">
        <v>625</v>
      </c>
      <c r="AF829" s="56"/>
      <c r="AG829" s="9" t="s">
        <v>134</v>
      </c>
      <c r="AH829" s="127">
        <v>44667</v>
      </c>
      <c r="AI829" s="60">
        <v>41974515</v>
      </c>
      <c r="AJ829" s="11" t="s">
        <v>2408</v>
      </c>
      <c r="AK829" s="22" t="s">
        <v>313</v>
      </c>
      <c r="AL829" s="22">
        <v>625</v>
      </c>
      <c r="AM829" s="22"/>
      <c r="AN829" s="22" t="s">
        <v>2401</v>
      </c>
      <c r="AO829" s="22"/>
      <c r="AP829" s="127"/>
      <c r="AQ829" s="22"/>
      <c r="AR829" s="22"/>
      <c r="AS829" s="22"/>
      <c r="AT829" s="22"/>
      <c r="AU829" s="22"/>
      <c r="AV829" s="22"/>
      <c r="AW829" s="42">
        <v>44663</v>
      </c>
      <c r="AX829" s="36">
        <v>571</v>
      </c>
      <c r="AY829" s="36"/>
      <c r="AZ829" s="36"/>
      <c r="BA829" s="40">
        <v>625</v>
      </c>
      <c r="BD829" s="9"/>
      <c r="CS829" s="11">
        <f t="shared" si="61"/>
        <v>625</v>
      </c>
      <c r="CT829" s="22">
        <f t="shared" si="62"/>
        <v>625</v>
      </c>
      <c r="CU829" s="22">
        <f t="shared" si="60"/>
        <v>0</v>
      </c>
      <c r="CV829" s="26">
        <f t="shared" si="63"/>
        <v>0</v>
      </c>
    </row>
    <row r="830" spans="1:103" x14ac:dyDescent="0.2">
      <c r="A830" s="9" t="s">
        <v>304</v>
      </c>
      <c r="B830" s="2">
        <v>23</v>
      </c>
      <c r="C830" s="3" t="s">
        <v>95</v>
      </c>
      <c r="D830" s="3" t="s">
        <v>96</v>
      </c>
      <c r="E830" s="2" t="s">
        <v>66</v>
      </c>
      <c r="F830" s="2">
        <v>13</v>
      </c>
      <c r="G830" s="2" t="s">
        <v>68</v>
      </c>
      <c r="H830" s="2">
        <v>3</v>
      </c>
      <c r="I830" s="8">
        <v>145.31</v>
      </c>
      <c r="J830" s="8">
        <v>42900</v>
      </c>
      <c r="K830" s="3">
        <v>0</v>
      </c>
      <c r="L830" s="3" t="s">
        <v>3</v>
      </c>
      <c r="M830" s="9" t="s">
        <v>0</v>
      </c>
      <c r="N830" s="9" t="s">
        <v>23</v>
      </c>
      <c r="O830" s="9" t="s">
        <v>305</v>
      </c>
      <c r="S830" s="9" t="s">
        <v>158</v>
      </c>
      <c r="T830" s="10" t="s">
        <v>68</v>
      </c>
      <c r="U830" s="10">
        <v>3</v>
      </c>
      <c r="V830" s="10">
        <v>141.83000000000001</v>
      </c>
      <c r="W830" s="10" t="s">
        <v>710</v>
      </c>
      <c r="X830" s="17">
        <v>44571</v>
      </c>
      <c r="Y830" s="17">
        <v>44936</v>
      </c>
      <c r="Z830" s="19" t="s">
        <v>772</v>
      </c>
      <c r="AA830" s="210">
        <v>40858.800000000003</v>
      </c>
      <c r="AB830" s="9">
        <v>48</v>
      </c>
      <c r="AC830" s="9">
        <v>4</v>
      </c>
      <c r="AD830" s="17">
        <v>44696</v>
      </c>
      <c r="AE830" s="56">
        <v>625</v>
      </c>
      <c r="AF830" s="56"/>
      <c r="AG830" s="9" t="s">
        <v>134</v>
      </c>
      <c r="AH830" s="127">
        <v>44697</v>
      </c>
      <c r="AI830" s="60">
        <v>41974515</v>
      </c>
      <c r="AJ830" s="11" t="s">
        <v>2408</v>
      </c>
      <c r="AK830" s="22" t="s">
        <v>314</v>
      </c>
      <c r="AL830" s="22">
        <v>625</v>
      </c>
      <c r="AM830" s="22"/>
      <c r="AN830" s="22" t="s">
        <v>2402</v>
      </c>
      <c r="AO830" s="22"/>
      <c r="AP830" s="127"/>
      <c r="AQ830" s="127"/>
      <c r="AR830" s="127"/>
      <c r="AS830" s="22"/>
      <c r="AT830" s="22"/>
      <c r="AU830" s="22"/>
      <c r="AV830" s="22"/>
      <c r="AW830" s="17">
        <v>44693</v>
      </c>
      <c r="AX830" s="9">
        <v>639</v>
      </c>
      <c r="BA830" s="11">
        <v>625</v>
      </c>
      <c r="BB830" s="11" t="s">
        <v>1348</v>
      </c>
      <c r="BD830" s="9"/>
      <c r="CS830" s="11">
        <f t="shared" si="61"/>
        <v>625</v>
      </c>
      <c r="CT830" s="22">
        <f t="shared" si="62"/>
        <v>625</v>
      </c>
      <c r="CU830" s="22">
        <f t="shared" si="60"/>
        <v>0</v>
      </c>
      <c r="CV830" s="26">
        <f t="shared" si="63"/>
        <v>0</v>
      </c>
    </row>
    <row r="831" spans="1:103" x14ac:dyDescent="0.2">
      <c r="A831" s="9" t="s">
        <v>304</v>
      </c>
      <c r="B831" s="2">
        <v>23</v>
      </c>
      <c r="C831" s="3" t="s">
        <v>95</v>
      </c>
      <c r="D831" s="3" t="s">
        <v>96</v>
      </c>
      <c r="E831" s="2" t="s">
        <v>66</v>
      </c>
      <c r="F831" s="2">
        <v>13</v>
      </c>
      <c r="G831" s="2" t="s">
        <v>68</v>
      </c>
      <c r="H831" s="2">
        <v>3</v>
      </c>
      <c r="I831" s="8">
        <v>145.31</v>
      </c>
      <c r="J831" s="8">
        <v>42900</v>
      </c>
      <c r="K831" s="3">
        <v>0</v>
      </c>
      <c r="L831" s="3" t="s">
        <v>3</v>
      </c>
      <c r="M831" s="9" t="s">
        <v>0</v>
      </c>
      <c r="N831" s="9" t="s">
        <v>23</v>
      </c>
      <c r="O831" s="9" t="s">
        <v>305</v>
      </c>
      <c r="S831" s="9" t="s">
        <v>158</v>
      </c>
      <c r="T831" s="10" t="s">
        <v>68</v>
      </c>
      <c r="U831" s="10">
        <v>3</v>
      </c>
      <c r="V831" s="10">
        <v>141.83000000000001</v>
      </c>
      <c r="W831" s="10" t="s">
        <v>710</v>
      </c>
      <c r="X831" s="17">
        <v>44571</v>
      </c>
      <c r="Y831" s="17">
        <v>44936</v>
      </c>
      <c r="Z831" s="19" t="s">
        <v>772</v>
      </c>
      <c r="AA831" s="210">
        <v>40858.800000000003</v>
      </c>
      <c r="AB831" s="9">
        <v>48</v>
      </c>
      <c r="AC831" s="9">
        <v>5</v>
      </c>
      <c r="AD831" s="17">
        <v>44727</v>
      </c>
      <c r="AE831" s="56">
        <v>625</v>
      </c>
      <c r="AF831" s="56"/>
      <c r="AG831" s="9" t="s">
        <v>134</v>
      </c>
      <c r="AH831" s="127">
        <v>44728</v>
      </c>
      <c r="AI831" s="60">
        <v>41974515</v>
      </c>
      <c r="AJ831" s="11" t="s">
        <v>2408</v>
      </c>
      <c r="AK831" s="22" t="s">
        <v>315</v>
      </c>
      <c r="AL831" s="22">
        <v>625</v>
      </c>
      <c r="AM831" s="22"/>
      <c r="AN831" s="22" t="s">
        <v>2403</v>
      </c>
      <c r="AO831" s="22"/>
      <c r="AP831" s="127"/>
      <c r="AQ831" s="127"/>
      <c r="AR831" s="127"/>
      <c r="AS831" s="22"/>
      <c r="AT831" s="22"/>
      <c r="AU831" s="22"/>
      <c r="AV831" s="22"/>
      <c r="AW831" s="17">
        <v>44728</v>
      </c>
      <c r="AX831" s="9">
        <v>731</v>
      </c>
      <c r="BA831" s="11">
        <v>625</v>
      </c>
      <c r="BB831" s="11" t="s">
        <v>1348</v>
      </c>
      <c r="BD831" s="9"/>
      <c r="CS831" s="11">
        <f t="shared" si="61"/>
        <v>625</v>
      </c>
      <c r="CT831" s="22">
        <f t="shared" si="62"/>
        <v>625</v>
      </c>
      <c r="CU831" s="22">
        <f t="shared" si="60"/>
        <v>0</v>
      </c>
      <c r="CV831" s="26">
        <f t="shared" si="63"/>
        <v>0</v>
      </c>
    </row>
    <row r="832" spans="1:103" x14ac:dyDescent="0.2">
      <c r="A832" s="9" t="s">
        <v>304</v>
      </c>
      <c r="B832" s="2">
        <v>23</v>
      </c>
      <c r="C832" s="3" t="s">
        <v>95</v>
      </c>
      <c r="D832" s="3" t="s">
        <v>96</v>
      </c>
      <c r="E832" s="2" t="s">
        <v>66</v>
      </c>
      <c r="F832" s="2">
        <v>13</v>
      </c>
      <c r="G832" s="2" t="s">
        <v>68</v>
      </c>
      <c r="H832" s="2">
        <v>3</v>
      </c>
      <c r="I832" s="8">
        <v>145.31</v>
      </c>
      <c r="J832" s="8">
        <v>42900</v>
      </c>
      <c r="K832" s="3">
        <v>0</v>
      </c>
      <c r="L832" s="3" t="s">
        <v>3</v>
      </c>
      <c r="M832" s="9" t="s">
        <v>0</v>
      </c>
      <c r="N832" s="9" t="s">
        <v>23</v>
      </c>
      <c r="O832" s="9" t="s">
        <v>305</v>
      </c>
      <c r="S832" s="9" t="s">
        <v>158</v>
      </c>
      <c r="T832" s="10" t="s">
        <v>68</v>
      </c>
      <c r="U832" s="10">
        <v>3</v>
      </c>
      <c r="V832" s="10">
        <v>141.83000000000001</v>
      </c>
      <c r="W832" s="10" t="s">
        <v>710</v>
      </c>
      <c r="X832" s="17">
        <v>44571</v>
      </c>
      <c r="Y832" s="17">
        <v>44936</v>
      </c>
      <c r="Z832" s="19" t="s">
        <v>772</v>
      </c>
      <c r="AA832" s="210">
        <v>40858.800000000003</v>
      </c>
      <c r="AB832" s="9">
        <v>48</v>
      </c>
      <c r="AC832" s="9">
        <v>6</v>
      </c>
      <c r="AD832" s="17">
        <v>44757</v>
      </c>
      <c r="AE832" s="56">
        <v>625</v>
      </c>
      <c r="AF832" s="56"/>
      <c r="AG832" s="9" t="s">
        <v>134</v>
      </c>
      <c r="AH832" s="156">
        <v>44769</v>
      </c>
      <c r="AI832" s="60">
        <v>41974515</v>
      </c>
      <c r="AJ832" s="11" t="s">
        <v>2408</v>
      </c>
      <c r="AK832" s="157" t="s">
        <v>316</v>
      </c>
      <c r="AL832" s="157">
        <v>625</v>
      </c>
      <c r="AM832" s="157"/>
      <c r="AN832" s="157" t="s">
        <v>2404</v>
      </c>
      <c r="AO832" s="22"/>
      <c r="AP832" s="127"/>
      <c r="AQ832" s="22"/>
      <c r="AR832" s="22"/>
      <c r="AS832" s="22"/>
      <c r="AT832" s="22"/>
      <c r="AU832" s="22"/>
      <c r="AV832" s="22"/>
      <c r="AW832" s="17">
        <v>44757</v>
      </c>
      <c r="AX832" s="9">
        <v>795</v>
      </c>
      <c r="BA832" s="11">
        <v>625</v>
      </c>
      <c r="BB832" s="11" t="s">
        <v>1348</v>
      </c>
      <c r="BD832" s="9"/>
      <c r="CS832" s="11">
        <f t="shared" si="61"/>
        <v>625</v>
      </c>
      <c r="CT832" s="22">
        <f t="shared" si="62"/>
        <v>625</v>
      </c>
      <c r="CU832" s="22">
        <f t="shared" si="60"/>
        <v>0</v>
      </c>
      <c r="CV832" s="26">
        <f t="shared" si="63"/>
        <v>0</v>
      </c>
    </row>
    <row r="833" spans="1:100" x14ac:dyDescent="0.2">
      <c r="A833" s="9" t="s">
        <v>304</v>
      </c>
      <c r="B833" s="2">
        <v>23</v>
      </c>
      <c r="C833" s="3" t="s">
        <v>95</v>
      </c>
      <c r="D833" s="3" t="s">
        <v>96</v>
      </c>
      <c r="E833" s="2" t="s">
        <v>66</v>
      </c>
      <c r="F833" s="2">
        <v>13</v>
      </c>
      <c r="G833" s="2" t="s">
        <v>68</v>
      </c>
      <c r="H833" s="2">
        <v>3</v>
      </c>
      <c r="I833" s="8">
        <v>145.31</v>
      </c>
      <c r="J833" s="8">
        <v>42900</v>
      </c>
      <c r="K833" s="3">
        <v>0</v>
      </c>
      <c r="L833" s="3" t="s">
        <v>3</v>
      </c>
      <c r="M833" s="9" t="s">
        <v>0</v>
      </c>
      <c r="N833" s="9" t="s">
        <v>23</v>
      </c>
      <c r="O833" s="9" t="s">
        <v>305</v>
      </c>
      <c r="S833" s="9" t="s">
        <v>158</v>
      </c>
      <c r="T833" s="10" t="s">
        <v>68</v>
      </c>
      <c r="U833" s="10">
        <v>3</v>
      </c>
      <c r="V833" s="10">
        <v>141.83000000000001</v>
      </c>
      <c r="W833" s="10" t="s">
        <v>710</v>
      </c>
      <c r="X833" s="17">
        <v>44571</v>
      </c>
      <c r="Y833" s="17">
        <v>44936</v>
      </c>
      <c r="Z833" s="19" t="s">
        <v>772</v>
      </c>
      <c r="AA833" s="210">
        <v>40858.800000000003</v>
      </c>
      <c r="AB833" s="9">
        <v>48</v>
      </c>
      <c r="AC833" s="9">
        <v>7</v>
      </c>
      <c r="AD833" s="17">
        <v>44788</v>
      </c>
      <c r="AE833" s="56">
        <v>625</v>
      </c>
      <c r="AF833" s="56"/>
      <c r="AG833" s="9" t="s">
        <v>134</v>
      </c>
      <c r="AH833" s="156">
        <v>44795</v>
      </c>
      <c r="AI833" s="60">
        <v>41974515</v>
      </c>
      <c r="AJ833" s="11" t="s">
        <v>2408</v>
      </c>
      <c r="AK833" s="157" t="s">
        <v>317</v>
      </c>
      <c r="AL833" s="157">
        <v>625</v>
      </c>
      <c r="AM833" s="157"/>
      <c r="AN833" s="157" t="s">
        <v>2405</v>
      </c>
      <c r="AO833" s="22"/>
      <c r="AP833" s="127"/>
      <c r="AQ833" s="22"/>
      <c r="AR833" s="22"/>
      <c r="AS833" s="22"/>
      <c r="AT833" s="22"/>
      <c r="AU833" s="22"/>
      <c r="AV833" s="22"/>
      <c r="AW833" s="42">
        <v>44785</v>
      </c>
      <c r="AX833" s="36">
        <v>849</v>
      </c>
      <c r="AY833" s="36"/>
      <c r="AZ833" s="36"/>
      <c r="BA833" s="40">
        <v>625</v>
      </c>
      <c r="BD833" s="9"/>
      <c r="CS833" s="11">
        <f t="shared" si="61"/>
        <v>625</v>
      </c>
      <c r="CT833" s="22">
        <f t="shared" si="62"/>
        <v>625</v>
      </c>
      <c r="CU833" s="22">
        <f t="shared" si="60"/>
        <v>0</v>
      </c>
      <c r="CV833" s="26">
        <f t="shared" si="63"/>
        <v>0</v>
      </c>
    </row>
    <row r="834" spans="1:100" x14ac:dyDescent="0.2">
      <c r="A834" s="9" t="s">
        <v>304</v>
      </c>
      <c r="B834" s="2">
        <v>23</v>
      </c>
      <c r="C834" s="3" t="s">
        <v>95</v>
      </c>
      <c r="D834" s="3" t="s">
        <v>96</v>
      </c>
      <c r="E834" s="2" t="s">
        <v>66</v>
      </c>
      <c r="F834" s="2">
        <v>13</v>
      </c>
      <c r="G834" s="2" t="s">
        <v>68</v>
      </c>
      <c r="H834" s="2">
        <v>3</v>
      </c>
      <c r="I834" s="8">
        <v>145.31</v>
      </c>
      <c r="J834" s="8">
        <v>42900</v>
      </c>
      <c r="K834" s="3">
        <v>0</v>
      </c>
      <c r="L834" s="3" t="s">
        <v>3</v>
      </c>
      <c r="M834" s="9" t="s">
        <v>0</v>
      </c>
      <c r="N834" s="9" t="s">
        <v>23</v>
      </c>
      <c r="O834" s="9" t="s">
        <v>305</v>
      </c>
      <c r="S834" s="9" t="s">
        <v>158</v>
      </c>
      <c r="T834" s="10" t="s">
        <v>68</v>
      </c>
      <c r="U834" s="10">
        <v>3</v>
      </c>
      <c r="V834" s="10">
        <v>141.83000000000001</v>
      </c>
      <c r="W834" s="10" t="s">
        <v>710</v>
      </c>
      <c r="X834" s="17">
        <v>44571</v>
      </c>
      <c r="Y834" s="17">
        <v>44936</v>
      </c>
      <c r="Z834" s="19" t="s">
        <v>772</v>
      </c>
      <c r="AA834" s="210">
        <v>40858.800000000003</v>
      </c>
      <c r="AB834" s="9">
        <v>48</v>
      </c>
      <c r="AC834" s="9">
        <v>8</v>
      </c>
      <c r="AD834" s="17">
        <v>44819</v>
      </c>
      <c r="AE834" s="56">
        <v>625</v>
      </c>
      <c r="AF834" s="56"/>
      <c r="AG834" s="9" t="s">
        <v>134</v>
      </c>
      <c r="AH834" s="156">
        <v>44820</v>
      </c>
      <c r="AI834" s="60">
        <v>41974515</v>
      </c>
      <c r="AJ834" s="11" t="s">
        <v>2408</v>
      </c>
      <c r="AK834" s="157" t="s">
        <v>318</v>
      </c>
      <c r="AL834" s="157">
        <v>625</v>
      </c>
      <c r="AM834" s="157"/>
      <c r="AN834" s="157" t="s">
        <v>2406</v>
      </c>
      <c r="AO834" s="22"/>
      <c r="AP834" s="127"/>
      <c r="AQ834" s="22"/>
      <c r="AR834" s="22"/>
      <c r="AS834" s="22"/>
      <c r="AT834" s="22"/>
      <c r="AU834" s="22"/>
      <c r="AV834" s="22"/>
      <c r="AW834" s="42">
        <v>44819</v>
      </c>
      <c r="AX834" s="36">
        <v>945</v>
      </c>
      <c r="AY834" s="36"/>
      <c r="AZ834" s="36"/>
      <c r="BA834" s="40">
        <v>625</v>
      </c>
      <c r="BD834" s="9"/>
      <c r="CS834" s="11">
        <f t="shared" si="61"/>
        <v>625</v>
      </c>
      <c r="CT834" s="22">
        <f t="shared" si="62"/>
        <v>625</v>
      </c>
      <c r="CU834" s="22">
        <f t="shared" si="60"/>
        <v>0</v>
      </c>
      <c r="CV834" s="26">
        <f t="shared" si="63"/>
        <v>0</v>
      </c>
    </row>
    <row r="835" spans="1:100" x14ac:dyDescent="0.2">
      <c r="A835" s="9" t="s">
        <v>304</v>
      </c>
      <c r="B835" s="2">
        <v>23</v>
      </c>
      <c r="C835" s="3" t="s">
        <v>95</v>
      </c>
      <c r="D835" s="3" t="s">
        <v>96</v>
      </c>
      <c r="E835" s="2" t="s">
        <v>66</v>
      </c>
      <c r="F835" s="2">
        <v>13</v>
      </c>
      <c r="G835" s="2" t="s">
        <v>68</v>
      </c>
      <c r="H835" s="2">
        <v>3</v>
      </c>
      <c r="I835" s="8">
        <v>145.31</v>
      </c>
      <c r="J835" s="8">
        <v>42900</v>
      </c>
      <c r="K835" s="3">
        <v>0</v>
      </c>
      <c r="L835" s="3" t="s">
        <v>3</v>
      </c>
      <c r="M835" s="9" t="s">
        <v>0</v>
      </c>
      <c r="N835" s="9" t="s">
        <v>23</v>
      </c>
      <c r="O835" s="9" t="s">
        <v>305</v>
      </c>
      <c r="S835" s="9" t="s">
        <v>158</v>
      </c>
      <c r="T835" s="10" t="s">
        <v>68</v>
      </c>
      <c r="U835" s="10">
        <v>3</v>
      </c>
      <c r="V835" s="10">
        <v>141.83000000000001</v>
      </c>
      <c r="W835" s="10" t="s">
        <v>710</v>
      </c>
      <c r="X835" s="17">
        <v>44571</v>
      </c>
      <c r="Y835" s="17">
        <v>44936</v>
      </c>
      <c r="Z835" s="19" t="s">
        <v>772</v>
      </c>
      <c r="AA835" s="210">
        <v>40858.800000000003</v>
      </c>
      <c r="AB835" s="9">
        <v>48</v>
      </c>
      <c r="AC835" s="9">
        <v>9</v>
      </c>
      <c r="AD835" s="17">
        <v>44849</v>
      </c>
      <c r="AE835" s="56">
        <v>625</v>
      </c>
      <c r="AF835" s="56"/>
      <c r="AG835" s="9" t="s">
        <v>134</v>
      </c>
      <c r="AH835" s="156">
        <v>44853</v>
      </c>
      <c r="AI835" s="60">
        <v>41974515</v>
      </c>
      <c r="AJ835" s="11" t="s">
        <v>2408</v>
      </c>
      <c r="AK835" s="157" t="s">
        <v>319</v>
      </c>
      <c r="AL835" s="157">
        <v>625</v>
      </c>
      <c r="AM835" s="157"/>
      <c r="AN835" s="157" t="s">
        <v>2407</v>
      </c>
      <c r="AO835" s="22"/>
      <c r="AP835" s="127"/>
      <c r="AQ835" s="22"/>
      <c r="AR835" s="22"/>
      <c r="AS835" s="22"/>
      <c r="AT835" s="22"/>
      <c r="AU835" s="22"/>
      <c r="AV835" s="22"/>
      <c r="AW835" s="42">
        <v>44848</v>
      </c>
      <c r="AX835" s="36">
        <v>1016</v>
      </c>
      <c r="AY835" s="36"/>
      <c r="AZ835" s="36"/>
      <c r="BA835" s="40">
        <v>625</v>
      </c>
      <c r="BD835" s="9"/>
      <c r="CS835" s="11">
        <f t="shared" si="61"/>
        <v>625</v>
      </c>
      <c r="CT835" s="22">
        <f t="shared" si="62"/>
        <v>625</v>
      </c>
      <c r="CU835" s="22">
        <f t="shared" si="60"/>
        <v>0</v>
      </c>
      <c r="CV835" s="26">
        <f t="shared" si="63"/>
        <v>0</v>
      </c>
    </row>
    <row r="836" spans="1:100" x14ac:dyDescent="0.2">
      <c r="A836" s="9" t="s">
        <v>304</v>
      </c>
      <c r="B836" s="2">
        <v>23</v>
      </c>
      <c r="C836" s="3" t="s">
        <v>95</v>
      </c>
      <c r="D836" s="3" t="s">
        <v>96</v>
      </c>
      <c r="E836" s="2" t="s">
        <v>66</v>
      </c>
      <c r="F836" s="2">
        <v>13</v>
      </c>
      <c r="G836" s="2" t="s">
        <v>68</v>
      </c>
      <c r="H836" s="2">
        <v>3</v>
      </c>
      <c r="I836" s="8">
        <v>145.31</v>
      </c>
      <c r="J836" s="8">
        <v>42900</v>
      </c>
      <c r="K836" s="3">
        <v>0</v>
      </c>
      <c r="L836" s="3" t="s">
        <v>3</v>
      </c>
      <c r="M836" s="9" t="s">
        <v>0</v>
      </c>
      <c r="N836" s="9" t="s">
        <v>23</v>
      </c>
      <c r="O836" s="9" t="s">
        <v>305</v>
      </c>
      <c r="S836" s="9" t="s">
        <v>158</v>
      </c>
      <c r="T836" s="10" t="s">
        <v>68</v>
      </c>
      <c r="U836" s="10">
        <v>3</v>
      </c>
      <c r="V836" s="10">
        <v>141.83000000000001</v>
      </c>
      <c r="W836" s="10" t="s">
        <v>710</v>
      </c>
      <c r="X836" s="17">
        <v>44571</v>
      </c>
      <c r="Y836" s="17">
        <v>44936</v>
      </c>
      <c r="Z836" s="19" t="s">
        <v>772</v>
      </c>
      <c r="AA836" s="210">
        <v>40858.800000000003</v>
      </c>
      <c r="AB836" s="9">
        <v>48</v>
      </c>
      <c r="AC836" s="9">
        <v>10</v>
      </c>
      <c r="AD836" s="17">
        <v>44941</v>
      </c>
      <c r="AE836" s="56">
        <v>625</v>
      </c>
      <c r="AF836" s="56"/>
      <c r="AG836" s="9" t="s">
        <v>134</v>
      </c>
      <c r="AH836" s="127">
        <v>44942</v>
      </c>
      <c r="AI836" s="60">
        <v>41974515</v>
      </c>
      <c r="AJ836" s="11" t="s">
        <v>2408</v>
      </c>
      <c r="AK836" s="17" t="s">
        <v>320</v>
      </c>
      <c r="AL836" s="22">
        <v>625</v>
      </c>
      <c r="AM836" s="22"/>
      <c r="AN836" s="22" t="s">
        <v>2418</v>
      </c>
      <c r="AO836" s="22"/>
      <c r="AW836" s="42">
        <v>44942</v>
      </c>
      <c r="AX836" s="36">
        <v>1156</v>
      </c>
      <c r="AY836" s="36"/>
      <c r="AZ836" s="36"/>
      <c r="BA836" s="40">
        <v>625</v>
      </c>
      <c r="BD836" s="9"/>
      <c r="CS836" s="11">
        <f t="shared" si="61"/>
        <v>625</v>
      </c>
      <c r="CT836" s="22">
        <f t="shared" si="62"/>
        <v>625</v>
      </c>
      <c r="CU836" s="22">
        <f t="shared" si="60"/>
        <v>0</v>
      </c>
      <c r="CV836" s="26">
        <f t="shared" si="63"/>
        <v>0</v>
      </c>
    </row>
    <row r="837" spans="1:100" x14ac:dyDescent="0.2">
      <c r="A837" s="9" t="s">
        <v>304</v>
      </c>
      <c r="B837" s="2">
        <v>23</v>
      </c>
      <c r="C837" s="3" t="s">
        <v>95</v>
      </c>
      <c r="D837" s="3" t="s">
        <v>96</v>
      </c>
      <c r="E837" s="2" t="s">
        <v>66</v>
      </c>
      <c r="F837" s="2">
        <v>13</v>
      </c>
      <c r="G837" s="2" t="s">
        <v>68</v>
      </c>
      <c r="H837" s="2">
        <v>3</v>
      </c>
      <c r="I837" s="8">
        <v>145.31</v>
      </c>
      <c r="J837" s="8">
        <v>42900</v>
      </c>
      <c r="K837" s="3">
        <v>0</v>
      </c>
      <c r="L837" s="3" t="s">
        <v>3</v>
      </c>
      <c r="M837" s="9" t="s">
        <v>0</v>
      </c>
      <c r="N837" s="9" t="s">
        <v>23</v>
      </c>
      <c r="O837" s="9" t="s">
        <v>305</v>
      </c>
      <c r="S837" s="9" t="s">
        <v>158</v>
      </c>
      <c r="T837" s="10" t="s">
        <v>68</v>
      </c>
      <c r="U837" s="10">
        <v>3</v>
      </c>
      <c r="V837" s="10">
        <v>141.83000000000001</v>
      </c>
      <c r="W837" s="10" t="s">
        <v>710</v>
      </c>
      <c r="X837" s="17">
        <v>44571</v>
      </c>
      <c r="Y837" s="17">
        <v>44936</v>
      </c>
      <c r="Z837" s="19" t="s">
        <v>772</v>
      </c>
      <c r="AA837" s="210">
        <v>40858.800000000003</v>
      </c>
      <c r="AB837" s="9">
        <v>48</v>
      </c>
      <c r="AC837" s="9">
        <v>11</v>
      </c>
      <c r="AD837" s="17">
        <v>44972</v>
      </c>
      <c r="AE837" s="56">
        <v>625</v>
      </c>
      <c r="AF837" s="56"/>
      <c r="AG837" s="9" t="s">
        <v>134</v>
      </c>
      <c r="AH837" s="64">
        <v>44977</v>
      </c>
      <c r="AI837" s="60">
        <v>41974515</v>
      </c>
      <c r="AJ837" s="11" t="s">
        <v>2408</v>
      </c>
      <c r="AK837" s="17" t="s">
        <v>321</v>
      </c>
      <c r="AL837" s="11">
        <v>625</v>
      </c>
      <c r="AN837" s="11" t="s">
        <v>2419</v>
      </c>
      <c r="AW837" s="42">
        <v>44973</v>
      </c>
      <c r="AX837" s="36">
        <v>1223</v>
      </c>
      <c r="AY837" s="36"/>
      <c r="AZ837" s="36"/>
      <c r="BA837" s="40">
        <v>625</v>
      </c>
      <c r="BD837" s="9"/>
      <c r="CS837" s="11">
        <f t="shared" si="61"/>
        <v>625</v>
      </c>
      <c r="CT837" s="22">
        <f t="shared" si="62"/>
        <v>625</v>
      </c>
      <c r="CU837" s="22">
        <f t="shared" si="60"/>
        <v>0</v>
      </c>
      <c r="CV837" s="26">
        <f t="shared" si="63"/>
        <v>0</v>
      </c>
    </row>
    <row r="838" spans="1:100" x14ac:dyDescent="0.2">
      <c r="A838" s="9" t="s">
        <v>304</v>
      </c>
      <c r="B838" s="2">
        <v>23</v>
      </c>
      <c r="C838" s="3" t="s">
        <v>95</v>
      </c>
      <c r="D838" s="3" t="s">
        <v>96</v>
      </c>
      <c r="E838" s="2" t="s">
        <v>66</v>
      </c>
      <c r="F838" s="2">
        <v>13</v>
      </c>
      <c r="G838" s="2" t="s">
        <v>68</v>
      </c>
      <c r="H838" s="2">
        <v>3</v>
      </c>
      <c r="I838" s="20">
        <v>145.31</v>
      </c>
      <c r="J838" s="20">
        <v>42900</v>
      </c>
      <c r="K838" s="3">
        <v>0</v>
      </c>
      <c r="L838" s="3" t="s">
        <v>3</v>
      </c>
      <c r="M838" s="9" t="s">
        <v>0</v>
      </c>
      <c r="N838" s="9" t="s">
        <v>23</v>
      </c>
      <c r="O838" s="9" t="s">
        <v>305</v>
      </c>
      <c r="S838" s="9" t="s">
        <v>158</v>
      </c>
      <c r="T838" s="10" t="s">
        <v>68</v>
      </c>
      <c r="U838" s="10">
        <v>3</v>
      </c>
      <c r="V838" s="10">
        <v>141.83000000000001</v>
      </c>
      <c r="W838" s="10" t="s">
        <v>710</v>
      </c>
      <c r="X838" s="17">
        <v>44571</v>
      </c>
      <c r="Y838" s="17">
        <v>44936</v>
      </c>
      <c r="Z838" s="19" t="s">
        <v>772</v>
      </c>
      <c r="AA838" s="207">
        <v>40858.800000000003</v>
      </c>
      <c r="AB838" s="9">
        <v>48</v>
      </c>
      <c r="AC838" s="117" t="s">
        <v>2433</v>
      </c>
      <c r="AD838" s="17">
        <v>45000</v>
      </c>
      <c r="AE838" s="54">
        <f>1250+(625*14)</f>
        <v>10000</v>
      </c>
      <c r="AF838" s="54"/>
      <c r="AG838" s="9" t="s">
        <v>134</v>
      </c>
      <c r="AH838" s="158">
        <v>45002</v>
      </c>
      <c r="AI838" s="104">
        <v>41974515</v>
      </c>
      <c r="AJ838" s="22" t="s">
        <v>2408</v>
      </c>
      <c r="AK838" s="164" t="s">
        <v>322</v>
      </c>
      <c r="AL838" s="157">
        <v>10000</v>
      </c>
      <c r="AM838" s="157"/>
      <c r="AN838" s="157" t="s">
        <v>2421</v>
      </c>
      <c r="AO838" s="157"/>
      <c r="AP838" s="127"/>
      <c r="AQ838" s="127"/>
      <c r="AR838" s="127"/>
      <c r="AS838" s="22"/>
      <c r="AT838" s="22"/>
      <c r="AU838" s="22"/>
      <c r="AV838" s="22"/>
      <c r="AW838" s="162">
        <v>45002</v>
      </c>
      <c r="AX838" s="165">
        <v>1335</v>
      </c>
      <c r="AY838" s="161"/>
      <c r="AZ838" s="161"/>
      <c r="BA838" s="161">
        <v>3000</v>
      </c>
      <c r="BB838" s="161"/>
      <c r="BC838" s="162">
        <v>45001</v>
      </c>
      <c r="BD838" s="163">
        <v>1323</v>
      </c>
      <c r="BE838" s="161"/>
      <c r="BF838" s="161"/>
      <c r="BG838" s="161">
        <v>7000</v>
      </c>
      <c r="BH838" s="157"/>
      <c r="CS838" s="11">
        <f t="shared" si="61"/>
        <v>10000</v>
      </c>
      <c r="CT838" s="22">
        <f t="shared" si="62"/>
        <v>10000</v>
      </c>
      <c r="CU838" s="22">
        <f t="shared" si="60"/>
        <v>0</v>
      </c>
      <c r="CV838" s="26">
        <f t="shared" si="63"/>
        <v>0</v>
      </c>
    </row>
    <row r="839" spans="1:100" x14ac:dyDescent="0.2">
      <c r="A839" s="9" t="s">
        <v>304</v>
      </c>
      <c r="B839" s="2">
        <v>23</v>
      </c>
      <c r="C839" s="3" t="s">
        <v>95</v>
      </c>
      <c r="D839" s="3" t="s">
        <v>96</v>
      </c>
      <c r="E839" s="2" t="s">
        <v>66</v>
      </c>
      <c r="F839" s="2">
        <v>13</v>
      </c>
      <c r="G839" s="2" t="s">
        <v>68</v>
      </c>
      <c r="H839" s="2">
        <v>3</v>
      </c>
      <c r="I839" s="20">
        <v>145.31</v>
      </c>
      <c r="J839" s="20">
        <v>42900</v>
      </c>
      <c r="K839" s="3">
        <v>0</v>
      </c>
      <c r="L839" s="3" t="s">
        <v>3</v>
      </c>
      <c r="M839" s="9" t="s">
        <v>0</v>
      </c>
      <c r="N839" s="9" t="s">
        <v>23</v>
      </c>
      <c r="O839" s="9" t="s">
        <v>305</v>
      </c>
      <c r="S839" s="9" t="s">
        <v>158</v>
      </c>
      <c r="T839" s="10" t="s">
        <v>68</v>
      </c>
      <c r="U839" s="10">
        <v>3</v>
      </c>
      <c r="V839" s="10">
        <v>141.83000000000001</v>
      </c>
      <c r="W839" s="10" t="s">
        <v>710</v>
      </c>
      <c r="X839" s="17">
        <v>44571</v>
      </c>
      <c r="Y839" s="17">
        <v>44936</v>
      </c>
      <c r="Z839" s="19" t="s">
        <v>772</v>
      </c>
      <c r="AA839" s="207">
        <v>40858.800000000003</v>
      </c>
      <c r="AB839" s="9">
        <v>48</v>
      </c>
      <c r="AC839" s="117" t="s">
        <v>2434</v>
      </c>
      <c r="AD839" s="17">
        <v>45458</v>
      </c>
      <c r="AE839" s="54">
        <f>625*16</f>
        <v>10000</v>
      </c>
      <c r="AF839" s="54"/>
      <c r="AG839" s="9" t="s">
        <v>134</v>
      </c>
      <c r="AH839" s="127">
        <v>45014</v>
      </c>
      <c r="AI839" s="104">
        <v>41974515</v>
      </c>
      <c r="AJ839" s="22" t="s">
        <v>2408</v>
      </c>
      <c r="AK839" s="158" t="s">
        <v>310</v>
      </c>
      <c r="AL839" s="22">
        <v>10000</v>
      </c>
      <c r="AM839" s="22"/>
      <c r="AN839" s="22" t="s">
        <v>2423</v>
      </c>
      <c r="AO839" s="157"/>
      <c r="AP839" s="157"/>
      <c r="AQ839" s="157"/>
      <c r="AR839" s="157"/>
      <c r="AS839" s="157"/>
      <c r="AT839" s="157"/>
      <c r="AU839" s="157"/>
      <c r="AV839" s="157"/>
      <c r="AW839" s="159">
        <v>45013</v>
      </c>
      <c r="AX839" s="160">
        <v>1349</v>
      </c>
      <c r="AY839" s="160"/>
      <c r="AZ839" s="160"/>
      <c r="BA839" s="161">
        <v>7000</v>
      </c>
      <c r="BB839" s="161"/>
      <c r="BC839" s="159">
        <v>45014</v>
      </c>
      <c r="BD839" s="160"/>
      <c r="BE839" s="160">
        <v>1352</v>
      </c>
      <c r="BF839" s="160"/>
      <c r="BG839" s="160">
        <v>3000</v>
      </c>
      <c r="BH839" s="164"/>
      <c r="CS839" s="11">
        <f t="shared" si="61"/>
        <v>10000</v>
      </c>
      <c r="CT839" s="22">
        <f t="shared" si="62"/>
        <v>10000</v>
      </c>
      <c r="CU839" s="22">
        <f t="shared" si="60"/>
        <v>0</v>
      </c>
      <c r="CV839" s="26">
        <f t="shared" si="63"/>
        <v>0</v>
      </c>
    </row>
    <row r="840" spans="1:100" x14ac:dyDescent="0.2">
      <c r="A840" s="9" t="s">
        <v>304</v>
      </c>
      <c r="B840" s="2">
        <v>23</v>
      </c>
      <c r="C840" s="3" t="s">
        <v>95</v>
      </c>
      <c r="D840" s="3" t="s">
        <v>96</v>
      </c>
      <c r="E840" s="2" t="s">
        <v>66</v>
      </c>
      <c r="F840" s="2">
        <v>13</v>
      </c>
      <c r="G840" s="2" t="s">
        <v>68</v>
      </c>
      <c r="H840" s="2">
        <v>3</v>
      </c>
      <c r="I840" s="20">
        <v>145.31</v>
      </c>
      <c r="J840" s="20">
        <v>42900</v>
      </c>
      <c r="K840" s="3">
        <v>0</v>
      </c>
      <c r="L840" s="3" t="s">
        <v>3</v>
      </c>
      <c r="M840" s="9" t="s">
        <v>0</v>
      </c>
      <c r="N840" s="9" t="s">
        <v>23</v>
      </c>
      <c r="O840" s="9" t="s">
        <v>305</v>
      </c>
      <c r="S840" s="9" t="s">
        <v>158</v>
      </c>
      <c r="T840" s="10" t="s">
        <v>68</v>
      </c>
      <c r="U840" s="10">
        <v>3</v>
      </c>
      <c r="V840" s="10">
        <v>141.83000000000001</v>
      </c>
      <c r="W840" s="10" t="s">
        <v>710</v>
      </c>
      <c r="X840" s="17">
        <v>44571</v>
      </c>
      <c r="Y840" s="17">
        <v>44936</v>
      </c>
      <c r="Z840" s="19" t="s">
        <v>772</v>
      </c>
      <c r="AA840" s="207">
        <v>40858.800000000003</v>
      </c>
      <c r="AB840" s="9">
        <v>48</v>
      </c>
      <c r="AC840" s="9">
        <v>43</v>
      </c>
      <c r="AD840" s="17">
        <v>45945</v>
      </c>
      <c r="AE840" s="54">
        <v>625</v>
      </c>
      <c r="AF840" s="54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9"/>
      <c r="BA840" s="22"/>
      <c r="BB840" s="22"/>
      <c r="BD840" s="9"/>
      <c r="CS840" s="11">
        <f t="shared" si="61"/>
        <v>0</v>
      </c>
      <c r="CT840" s="22">
        <f t="shared" si="62"/>
        <v>0</v>
      </c>
      <c r="CU840" s="22">
        <f t="shared" si="60"/>
        <v>0</v>
      </c>
      <c r="CV840" s="26">
        <f t="shared" si="63"/>
        <v>625</v>
      </c>
    </row>
    <row r="841" spans="1:100" x14ac:dyDescent="0.2">
      <c r="A841" s="9" t="s">
        <v>304</v>
      </c>
      <c r="B841" s="2">
        <v>23</v>
      </c>
      <c r="C841" s="3" t="s">
        <v>95</v>
      </c>
      <c r="D841" s="3" t="s">
        <v>96</v>
      </c>
      <c r="E841" s="2" t="s">
        <v>66</v>
      </c>
      <c r="F841" s="2">
        <v>13</v>
      </c>
      <c r="G841" s="2" t="s">
        <v>68</v>
      </c>
      <c r="H841" s="2">
        <v>3</v>
      </c>
      <c r="I841" s="8">
        <v>145.31</v>
      </c>
      <c r="J841" s="8">
        <v>42900</v>
      </c>
      <c r="K841" s="3">
        <v>0</v>
      </c>
      <c r="L841" s="3" t="s">
        <v>3</v>
      </c>
      <c r="M841" s="9" t="s">
        <v>0</v>
      </c>
      <c r="N841" s="9" t="s">
        <v>23</v>
      </c>
      <c r="O841" s="9" t="s">
        <v>305</v>
      </c>
      <c r="S841" s="9" t="s">
        <v>158</v>
      </c>
      <c r="T841" s="10" t="s">
        <v>68</v>
      </c>
      <c r="U841" s="10">
        <v>3</v>
      </c>
      <c r="V841" s="10">
        <v>141.83000000000001</v>
      </c>
      <c r="W841" s="10" t="s">
        <v>710</v>
      </c>
      <c r="X841" s="17">
        <v>44571</v>
      </c>
      <c r="Y841" s="17">
        <v>44936</v>
      </c>
      <c r="Z841" s="19" t="s">
        <v>772</v>
      </c>
      <c r="AA841" s="210">
        <v>40858.800000000003</v>
      </c>
      <c r="AB841" s="9">
        <v>48</v>
      </c>
      <c r="AC841" s="9">
        <v>44</v>
      </c>
      <c r="AD841" s="17">
        <v>45976</v>
      </c>
      <c r="AE841" s="56">
        <v>625</v>
      </c>
      <c r="AF841" s="56"/>
      <c r="AP841" s="11"/>
      <c r="AQ841" s="11"/>
      <c r="AR841" s="11"/>
      <c r="AW841" s="9"/>
      <c r="BD841" s="9"/>
      <c r="CS841" s="11">
        <f t="shared" si="61"/>
        <v>0</v>
      </c>
      <c r="CT841" s="22">
        <f t="shared" si="62"/>
        <v>0</v>
      </c>
      <c r="CU841" s="22">
        <f t="shared" si="60"/>
        <v>0</v>
      </c>
      <c r="CV841" s="26">
        <f t="shared" si="63"/>
        <v>625</v>
      </c>
    </row>
    <row r="842" spans="1:100" x14ac:dyDescent="0.2">
      <c r="A842" s="9" t="s">
        <v>304</v>
      </c>
      <c r="B842" s="2">
        <v>23</v>
      </c>
      <c r="C842" s="3" t="s">
        <v>95</v>
      </c>
      <c r="D842" s="3" t="s">
        <v>96</v>
      </c>
      <c r="E842" s="2" t="s">
        <v>66</v>
      </c>
      <c r="F842" s="2">
        <v>13</v>
      </c>
      <c r="G842" s="2" t="s">
        <v>68</v>
      </c>
      <c r="H842" s="2">
        <v>3</v>
      </c>
      <c r="I842" s="8">
        <v>145.31</v>
      </c>
      <c r="J842" s="8">
        <v>42900</v>
      </c>
      <c r="K842" s="3">
        <v>0</v>
      </c>
      <c r="L842" s="3" t="s">
        <v>3</v>
      </c>
      <c r="M842" s="9" t="s">
        <v>0</v>
      </c>
      <c r="N842" s="9" t="s">
        <v>23</v>
      </c>
      <c r="O842" s="9" t="s">
        <v>305</v>
      </c>
      <c r="S842" s="9" t="s">
        <v>158</v>
      </c>
      <c r="T842" s="10" t="s">
        <v>68</v>
      </c>
      <c r="U842" s="10">
        <v>3</v>
      </c>
      <c r="V842" s="10">
        <v>141.83000000000001</v>
      </c>
      <c r="W842" s="10" t="s">
        <v>710</v>
      </c>
      <c r="X842" s="17">
        <v>44571</v>
      </c>
      <c r="Y842" s="17">
        <v>44936</v>
      </c>
      <c r="Z842" s="19" t="s">
        <v>772</v>
      </c>
      <c r="AA842" s="210">
        <v>40858.800000000003</v>
      </c>
      <c r="AB842" s="9">
        <v>48</v>
      </c>
      <c r="AC842" s="9">
        <v>45</v>
      </c>
      <c r="AD842" s="17">
        <v>46006</v>
      </c>
      <c r="AE842" s="56">
        <v>625</v>
      </c>
      <c r="AF842" s="56"/>
      <c r="AP842" s="11"/>
      <c r="AQ842" s="11"/>
      <c r="AR842" s="11"/>
      <c r="AW842" s="9"/>
      <c r="BD842" s="9"/>
      <c r="CS842" s="11">
        <f t="shared" si="61"/>
        <v>0</v>
      </c>
      <c r="CT842" s="22">
        <f t="shared" si="62"/>
        <v>0</v>
      </c>
      <c r="CU842" s="22">
        <f t="shared" si="60"/>
        <v>0</v>
      </c>
      <c r="CV842" s="26">
        <f t="shared" si="63"/>
        <v>625</v>
      </c>
    </row>
    <row r="843" spans="1:100" x14ac:dyDescent="0.2">
      <c r="A843" s="9" t="s">
        <v>304</v>
      </c>
      <c r="B843" s="2">
        <v>23</v>
      </c>
      <c r="C843" s="3" t="s">
        <v>95</v>
      </c>
      <c r="D843" s="3" t="s">
        <v>96</v>
      </c>
      <c r="E843" s="2" t="s">
        <v>66</v>
      </c>
      <c r="F843" s="2">
        <v>13</v>
      </c>
      <c r="G843" s="2" t="s">
        <v>68</v>
      </c>
      <c r="H843" s="2">
        <v>3</v>
      </c>
      <c r="I843" s="8">
        <v>145.31</v>
      </c>
      <c r="J843" s="8">
        <v>42900</v>
      </c>
      <c r="K843" s="3">
        <v>0</v>
      </c>
      <c r="L843" s="3" t="s">
        <v>3</v>
      </c>
      <c r="M843" s="9" t="s">
        <v>0</v>
      </c>
      <c r="N843" s="9" t="s">
        <v>23</v>
      </c>
      <c r="O843" s="9" t="s">
        <v>305</v>
      </c>
      <c r="S843" s="9" t="s">
        <v>158</v>
      </c>
      <c r="T843" s="10" t="s">
        <v>68</v>
      </c>
      <c r="U843" s="10">
        <v>3</v>
      </c>
      <c r="V843" s="10">
        <v>141.83000000000001</v>
      </c>
      <c r="W843" s="10" t="s">
        <v>710</v>
      </c>
      <c r="X843" s="17">
        <v>44571</v>
      </c>
      <c r="Y843" s="17">
        <v>44936</v>
      </c>
      <c r="Z843" s="19" t="s">
        <v>772</v>
      </c>
      <c r="AA843" s="210">
        <v>40858.800000000003</v>
      </c>
      <c r="AB843" s="9">
        <v>48</v>
      </c>
      <c r="AC843" s="9">
        <v>46</v>
      </c>
      <c r="AD843" s="17">
        <v>46037</v>
      </c>
      <c r="AE843" s="56">
        <v>625</v>
      </c>
      <c r="AF843" s="56"/>
      <c r="AP843" s="11"/>
      <c r="AQ843" s="11"/>
      <c r="AR843" s="11"/>
      <c r="AW843" s="9"/>
      <c r="BD843" s="9"/>
      <c r="CS843" s="11">
        <f t="shared" si="61"/>
        <v>0</v>
      </c>
      <c r="CT843" s="22">
        <f t="shared" si="62"/>
        <v>0</v>
      </c>
      <c r="CU843" s="22">
        <f t="shared" si="60"/>
        <v>0</v>
      </c>
      <c r="CV843" s="26">
        <f t="shared" si="63"/>
        <v>625</v>
      </c>
    </row>
    <row r="844" spans="1:100" x14ac:dyDescent="0.2">
      <c r="A844" s="9" t="s">
        <v>304</v>
      </c>
      <c r="B844" s="2">
        <v>23</v>
      </c>
      <c r="C844" s="3" t="s">
        <v>95</v>
      </c>
      <c r="D844" s="3" t="s">
        <v>96</v>
      </c>
      <c r="E844" s="2" t="s">
        <v>66</v>
      </c>
      <c r="F844" s="2">
        <v>13</v>
      </c>
      <c r="G844" s="2" t="s">
        <v>68</v>
      </c>
      <c r="H844" s="2">
        <v>3</v>
      </c>
      <c r="I844" s="8">
        <v>145.31</v>
      </c>
      <c r="J844" s="8">
        <v>42900</v>
      </c>
      <c r="K844" s="3">
        <v>0</v>
      </c>
      <c r="L844" s="3" t="s">
        <v>3</v>
      </c>
      <c r="M844" s="9" t="s">
        <v>0</v>
      </c>
      <c r="N844" s="9" t="s">
        <v>23</v>
      </c>
      <c r="O844" s="9" t="s">
        <v>305</v>
      </c>
      <c r="S844" s="9" t="s">
        <v>158</v>
      </c>
      <c r="T844" s="10" t="s">
        <v>68</v>
      </c>
      <c r="U844" s="10">
        <v>3</v>
      </c>
      <c r="V844" s="10">
        <v>141.83000000000001</v>
      </c>
      <c r="W844" s="10" t="s">
        <v>710</v>
      </c>
      <c r="X844" s="17">
        <v>44571</v>
      </c>
      <c r="Y844" s="17">
        <v>44936</v>
      </c>
      <c r="Z844" s="19" t="s">
        <v>772</v>
      </c>
      <c r="AA844" s="210">
        <v>40858.800000000003</v>
      </c>
      <c r="AB844" s="9">
        <v>48</v>
      </c>
      <c r="AC844" s="9">
        <v>47</v>
      </c>
      <c r="AD844" s="17">
        <v>46068</v>
      </c>
      <c r="AE844" s="56">
        <v>625</v>
      </c>
      <c r="AF844" s="56"/>
      <c r="AP844" s="11"/>
      <c r="AQ844" s="11"/>
      <c r="AR844" s="11"/>
      <c r="AW844" s="9"/>
      <c r="BD844" s="9"/>
      <c r="CS844" s="11">
        <f t="shared" si="61"/>
        <v>0</v>
      </c>
      <c r="CT844" s="22">
        <f t="shared" si="62"/>
        <v>0</v>
      </c>
      <c r="CU844" s="22">
        <f t="shared" si="60"/>
        <v>0</v>
      </c>
      <c r="CV844" s="26">
        <f t="shared" si="63"/>
        <v>625</v>
      </c>
    </row>
    <row r="845" spans="1:100" x14ac:dyDescent="0.2">
      <c r="A845" s="9" t="s">
        <v>304</v>
      </c>
      <c r="B845" s="2">
        <v>23</v>
      </c>
      <c r="C845" s="3" t="s">
        <v>95</v>
      </c>
      <c r="D845" s="3" t="s">
        <v>96</v>
      </c>
      <c r="E845" s="2" t="s">
        <v>66</v>
      </c>
      <c r="F845" s="2">
        <v>13</v>
      </c>
      <c r="G845" s="2" t="s">
        <v>68</v>
      </c>
      <c r="H845" s="2">
        <v>3</v>
      </c>
      <c r="I845" s="8">
        <v>145.31</v>
      </c>
      <c r="J845" s="8">
        <v>42900</v>
      </c>
      <c r="K845" s="3">
        <v>0</v>
      </c>
      <c r="L845" s="3" t="s">
        <v>3</v>
      </c>
      <c r="M845" s="9" t="s">
        <v>0</v>
      </c>
      <c r="N845" s="9" t="s">
        <v>23</v>
      </c>
      <c r="O845" s="9" t="s">
        <v>305</v>
      </c>
      <c r="S845" s="9" t="s">
        <v>158</v>
      </c>
      <c r="T845" s="10" t="s">
        <v>68</v>
      </c>
      <c r="U845" s="10">
        <v>3</v>
      </c>
      <c r="V845" s="10">
        <v>141.83000000000001</v>
      </c>
      <c r="W845" s="10" t="s">
        <v>710</v>
      </c>
      <c r="X845" s="17">
        <v>44571</v>
      </c>
      <c r="Y845" s="17">
        <v>44936</v>
      </c>
      <c r="Z845" s="19" t="s">
        <v>772</v>
      </c>
      <c r="AA845" s="210">
        <v>40858.800000000003</v>
      </c>
      <c r="AB845" s="9">
        <v>48</v>
      </c>
      <c r="AC845" s="9">
        <v>48</v>
      </c>
      <c r="AD845" s="17">
        <v>46096</v>
      </c>
      <c r="AE845" s="56">
        <v>858.8</v>
      </c>
      <c r="AF845" s="56"/>
      <c r="AP845" s="11"/>
      <c r="AQ845" s="11"/>
      <c r="AR845" s="11"/>
      <c r="AW845" s="9"/>
      <c r="BD845" s="9"/>
      <c r="CS845" s="11">
        <f t="shared" si="61"/>
        <v>0</v>
      </c>
      <c r="CT845" s="22">
        <f t="shared" si="62"/>
        <v>0</v>
      </c>
      <c r="CU845" s="22">
        <f t="shared" si="60"/>
        <v>0</v>
      </c>
      <c r="CV845" s="26">
        <f t="shared" si="63"/>
        <v>858.8</v>
      </c>
    </row>
    <row r="846" spans="1:100" x14ac:dyDescent="0.2">
      <c r="A846" s="9" t="s">
        <v>304</v>
      </c>
      <c r="B846" s="2">
        <v>23</v>
      </c>
      <c r="C846" s="3" t="s">
        <v>95</v>
      </c>
      <c r="D846" s="3" t="s">
        <v>96</v>
      </c>
      <c r="E846" s="2" t="s">
        <v>66</v>
      </c>
      <c r="F846" s="2">
        <v>13</v>
      </c>
      <c r="G846" s="2" t="s">
        <v>68</v>
      </c>
      <c r="H846" s="2">
        <v>3</v>
      </c>
      <c r="I846" s="8">
        <v>145.31</v>
      </c>
      <c r="J846" s="8">
        <v>42900</v>
      </c>
      <c r="K846" s="3">
        <v>0</v>
      </c>
      <c r="L846" s="3" t="s">
        <v>3</v>
      </c>
      <c r="M846" s="9" t="s">
        <v>0</v>
      </c>
      <c r="N846" s="9" t="s">
        <v>23</v>
      </c>
      <c r="O846" s="9" t="s">
        <v>305</v>
      </c>
      <c r="S846" s="48" t="s">
        <v>306</v>
      </c>
      <c r="V846" s="10">
        <v>12.5</v>
      </c>
      <c r="W846" s="10" t="s">
        <v>710</v>
      </c>
      <c r="X846" s="17">
        <v>44571</v>
      </c>
      <c r="Y846" s="17">
        <v>44936</v>
      </c>
      <c r="Z846" s="19" t="s">
        <v>772</v>
      </c>
      <c r="AA846" s="210">
        <v>5000</v>
      </c>
      <c r="AB846" s="9">
        <v>60</v>
      </c>
      <c r="AC846" s="9">
        <v>1</v>
      </c>
      <c r="AD846" s="17">
        <v>44985</v>
      </c>
      <c r="AE846" s="56">
        <v>83.33</v>
      </c>
      <c r="AF846" s="56"/>
      <c r="AG846" s="9" t="s">
        <v>134</v>
      </c>
      <c r="AH846" s="127">
        <v>44977</v>
      </c>
      <c r="AI846" s="104">
        <v>41974515</v>
      </c>
      <c r="AJ846" s="127" t="s">
        <v>2408</v>
      </c>
      <c r="AK846" s="158" t="s">
        <v>307</v>
      </c>
      <c r="AL846" s="22">
        <v>84</v>
      </c>
      <c r="AM846" s="22"/>
      <c r="AN846" s="22" t="s">
        <v>2420</v>
      </c>
      <c r="AO846" s="22"/>
      <c r="AP846" s="11"/>
      <c r="AQ846" s="11"/>
      <c r="AR846" s="11"/>
      <c r="AW846" s="42">
        <v>44973</v>
      </c>
      <c r="AX846" s="36">
        <v>1223</v>
      </c>
      <c r="AY846" s="36"/>
      <c r="AZ846" s="36"/>
      <c r="BA846" s="40">
        <v>84</v>
      </c>
      <c r="BD846" s="9"/>
      <c r="CS846" s="11">
        <f t="shared" si="61"/>
        <v>84</v>
      </c>
      <c r="CT846" s="22">
        <f t="shared" si="62"/>
        <v>84</v>
      </c>
      <c r="CU846" s="22">
        <f t="shared" si="60"/>
        <v>0</v>
      </c>
      <c r="CV846" s="26">
        <f t="shared" si="63"/>
        <v>-0.67000000000000171</v>
      </c>
    </row>
    <row r="847" spans="1:100" x14ac:dyDescent="0.2">
      <c r="A847" s="9" t="s">
        <v>304</v>
      </c>
      <c r="B847" s="2">
        <v>23</v>
      </c>
      <c r="C847" s="3" t="s">
        <v>95</v>
      </c>
      <c r="D847" s="3" t="s">
        <v>96</v>
      </c>
      <c r="E847" s="2" t="s">
        <v>66</v>
      </c>
      <c r="F847" s="2">
        <v>13</v>
      </c>
      <c r="G847" s="2" t="s">
        <v>68</v>
      </c>
      <c r="H847" s="2">
        <v>3</v>
      </c>
      <c r="I847" s="8">
        <v>145.31</v>
      </c>
      <c r="J847" s="8">
        <v>42900</v>
      </c>
      <c r="K847" s="3">
        <v>0</v>
      </c>
      <c r="L847" s="3" t="s">
        <v>3</v>
      </c>
      <c r="M847" s="9" t="s">
        <v>0</v>
      </c>
      <c r="N847" s="9" t="s">
        <v>23</v>
      </c>
      <c r="O847" s="9" t="s">
        <v>305</v>
      </c>
      <c r="S847" s="48" t="s">
        <v>306</v>
      </c>
      <c r="V847" s="10">
        <v>12.5</v>
      </c>
      <c r="W847" s="10" t="s">
        <v>710</v>
      </c>
      <c r="X847" s="17">
        <v>44571</v>
      </c>
      <c r="Y847" s="17">
        <v>44936</v>
      </c>
      <c r="Z847" s="19" t="s">
        <v>772</v>
      </c>
      <c r="AA847" s="210">
        <v>5000</v>
      </c>
      <c r="AB847" s="9">
        <v>60</v>
      </c>
      <c r="AC847" s="9">
        <v>2</v>
      </c>
      <c r="AD847" s="17">
        <v>45013</v>
      </c>
      <c r="AE847" s="56">
        <v>83.33</v>
      </c>
      <c r="AF847" s="56"/>
      <c r="AG847" s="9" t="s">
        <v>134</v>
      </c>
      <c r="AH847" s="127">
        <v>45002</v>
      </c>
      <c r="AI847" s="104">
        <v>41974515</v>
      </c>
      <c r="AJ847" s="127" t="s">
        <v>2408</v>
      </c>
      <c r="AK847" s="158" t="s">
        <v>308</v>
      </c>
      <c r="AL847" s="22">
        <v>84</v>
      </c>
      <c r="AM847" s="22"/>
      <c r="AN847" s="22" t="s">
        <v>2422</v>
      </c>
      <c r="AO847" s="22"/>
      <c r="AP847" s="11"/>
      <c r="AQ847" s="11"/>
      <c r="AR847" s="11"/>
      <c r="AW847" s="42">
        <v>45002</v>
      </c>
      <c r="AX847" s="36">
        <v>1335</v>
      </c>
      <c r="AY847" s="36"/>
      <c r="AZ847" s="36"/>
      <c r="BA847" s="40">
        <v>84</v>
      </c>
      <c r="BD847" s="9"/>
      <c r="CS847" s="11">
        <f t="shared" si="61"/>
        <v>84</v>
      </c>
      <c r="CT847" s="22">
        <f t="shared" si="62"/>
        <v>84</v>
      </c>
      <c r="CU847" s="22">
        <f t="shared" si="60"/>
        <v>0</v>
      </c>
      <c r="CV847" s="26">
        <f t="shared" si="63"/>
        <v>-0.67000000000000171</v>
      </c>
    </row>
    <row r="848" spans="1:100" x14ac:dyDescent="0.2">
      <c r="A848" s="9" t="s">
        <v>304</v>
      </c>
      <c r="B848" s="2">
        <v>23</v>
      </c>
      <c r="C848" s="3" t="s">
        <v>95</v>
      </c>
      <c r="D848" s="3" t="s">
        <v>96</v>
      </c>
      <c r="E848" s="2" t="s">
        <v>66</v>
      </c>
      <c r="F848" s="2">
        <v>13</v>
      </c>
      <c r="G848" s="2" t="s">
        <v>68</v>
      </c>
      <c r="H848" s="2">
        <v>3</v>
      </c>
      <c r="I848" s="8">
        <v>145.31</v>
      </c>
      <c r="J848" s="8">
        <v>42900</v>
      </c>
      <c r="K848" s="3">
        <v>0</v>
      </c>
      <c r="L848" s="3" t="s">
        <v>3</v>
      </c>
      <c r="M848" s="9" t="s">
        <v>0</v>
      </c>
      <c r="N848" s="9" t="s">
        <v>23</v>
      </c>
      <c r="O848" s="9" t="s">
        <v>305</v>
      </c>
      <c r="S848" s="48" t="s">
        <v>306</v>
      </c>
      <c r="V848" s="10">
        <v>12.5</v>
      </c>
      <c r="W848" s="10" t="s">
        <v>710</v>
      </c>
      <c r="X848" s="17">
        <v>44571</v>
      </c>
      <c r="Y848" s="17">
        <v>44936</v>
      </c>
      <c r="Z848" s="19" t="s">
        <v>772</v>
      </c>
      <c r="AA848" s="210">
        <v>5000</v>
      </c>
      <c r="AB848" s="9">
        <v>60</v>
      </c>
      <c r="AC848" s="9">
        <v>3</v>
      </c>
      <c r="AD848" s="17">
        <v>45044</v>
      </c>
      <c r="AE848" s="56">
        <v>83.33</v>
      </c>
      <c r="AF848" s="56"/>
      <c r="AG848" s="9" t="s">
        <v>134</v>
      </c>
      <c r="AH848" s="156">
        <v>45031</v>
      </c>
      <c r="AI848" s="104">
        <v>41974515</v>
      </c>
      <c r="AJ848" s="127" t="s">
        <v>2408</v>
      </c>
      <c r="AK848" s="158" t="s">
        <v>2409</v>
      </c>
      <c r="AL848" s="157">
        <v>100</v>
      </c>
      <c r="AM848" s="157"/>
      <c r="AN848" s="157" t="s">
        <v>2424</v>
      </c>
      <c r="AO848" s="22"/>
      <c r="AP848" s="11"/>
      <c r="AQ848" s="11"/>
      <c r="AR848" s="11"/>
      <c r="AW848" s="42">
        <v>45030</v>
      </c>
      <c r="AX848" s="36">
        <v>1408</v>
      </c>
      <c r="AY848" s="36"/>
      <c r="AZ848" s="36"/>
      <c r="BA848" s="161">
        <v>100</v>
      </c>
      <c r="BD848" s="9"/>
      <c r="CS848" s="11">
        <f t="shared" si="61"/>
        <v>100</v>
      </c>
      <c r="CT848" s="22">
        <f t="shared" si="62"/>
        <v>100</v>
      </c>
      <c r="CU848" s="22">
        <f t="shared" si="60"/>
        <v>0</v>
      </c>
      <c r="CV848" s="26">
        <f t="shared" si="63"/>
        <v>-16.670000000000002</v>
      </c>
    </row>
    <row r="849" spans="1:100" x14ac:dyDescent="0.2">
      <c r="A849" s="9" t="s">
        <v>304</v>
      </c>
      <c r="B849" s="2">
        <v>23</v>
      </c>
      <c r="C849" s="3" t="s">
        <v>95</v>
      </c>
      <c r="D849" s="3" t="s">
        <v>96</v>
      </c>
      <c r="E849" s="2" t="s">
        <v>66</v>
      </c>
      <c r="F849" s="2">
        <v>13</v>
      </c>
      <c r="G849" s="2" t="s">
        <v>68</v>
      </c>
      <c r="H849" s="2">
        <v>3</v>
      </c>
      <c r="I849" s="8">
        <v>145.31</v>
      </c>
      <c r="J849" s="8">
        <v>42900</v>
      </c>
      <c r="K849" s="3">
        <v>0</v>
      </c>
      <c r="L849" s="3" t="s">
        <v>3</v>
      </c>
      <c r="M849" s="9" t="s">
        <v>0</v>
      </c>
      <c r="N849" s="9" t="s">
        <v>23</v>
      </c>
      <c r="O849" s="9" t="s">
        <v>305</v>
      </c>
      <c r="S849" s="48" t="s">
        <v>306</v>
      </c>
      <c r="V849" s="10">
        <v>12.5</v>
      </c>
      <c r="W849" s="10" t="s">
        <v>710</v>
      </c>
      <c r="X849" s="17">
        <v>44571</v>
      </c>
      <c r="Y849" s="17">
        <v>44936</v>
      </c>
      <c r="Z849" s="19" t="s">
        <v>772</v>
      </c>
      <c r="AA849" s="210">
        <v>5000</v>
      </c>
      <c r="AB849" s="9">
        <v>60</v>
      </c>
      <c r="AC849" s="9">
        <v>4</v>
      </c>
      <c r="AD849" s="17">
        <v>45074</v>
      </c>
      <c r="AE849" s="56">
        <v>83.33</v>
      </c>
      <c r="AF849" s="56"/>
      <c r="AG849" s="9" t="s">
        <v>134</v>
      </c>
      <c r="AH849" s="156">
        <v>45063</v>
      </c>
      <c r="AI849" s="104">
        <v>41974515</v>
      </c>
      <c r="AJ849" s="127" t="s">
        <v>2408</v>
      </c>
      <c r="AK849" s="158" t="s">
        <v>2410</v>
      </c>
      <c r="AL849" s="157">
        <v>100</v>
      </c>
      <c r="AM849" s="157"/>
      <c r="AN849" s="157" t="s">
        <v>2425</v>
      </c>
      <c r="AO849" s="22"/>
      <c r="AP849" s="11"/>
      <c r="AQ849" s="11"/>
      <c r="AR849" s="11"/>
      <c r="AW849" s="42">
        <v>45061</v>
      </c>
      <c r="AX849" s="36">
        <v>1514</v>
      </c>
      <c r="AY849" s="36"/>
      <c r="AZ849" s="36"/>
      <c r="BA849" s="161">
        <v>100</v>
      </c>
      <c r="BD849" s="9"/>
      <c r="CS849" s="11">
        <f t="shared" si="61"/>
        <v>100</v>
      </c>
      <c r="CT849" s="22">
        <f t="shared" si="62"/>
        <v>100</v>
      </c>
      <c r="CU849" s="22">
        <f t="shared" si="60"/>
        <v>0</v>
      </c>
      <c r="CV849" s="26">
        <f t="shared" si="63"/>
        <v>-16.670000000000002</v>
      </c>
    </row>
    <row r="850" spans="1:100" x14ac:dyDescent="0.2">
      <c r="A850" s="9" t="s">
        <v>304</v>
      </c>
      <c r="B850" s="2">
        <v>23</v>
      </c>
      <c r="C850" s="3" t="s">
        <v>95</v>
      </c>
      <c r="D850" s="3" t="s">
        <v>96</v>
      </c>
      <c r="E850" s="2" t="s">
        <v>66</v>
      </c>
      <c r="F850" s="2">
        <v>13</v>
      </c>
      <c r="G850" s="2" t="s">
        <v>68</v>
      </c>
      <c r="H850" s="2">
        <v>3</v>
      </c>
      <c r="I850" s="8">
        <v>145.31</v>
      </c>
      <c r="J850" s="8">
        <v>42900</v>
      </c>
      <c r="K850" s="3">
        <v>0</v>
      </c>
      <c r="L850" s="3" t="s">
        <v>3</v>
      </c>
      <c r="M850" s="9" t="s">
        <v>0</v>
      </c>
      <c r="N850" s="9" t="s">
        <v>23</v>
      </c>
      <c r="O850" s="9" t="s">
        <v>305</v>
      </c>
      <c r="S850" s="48" t="s">
        <v>306</v>
      </c>
      <c r="V850" s="10">
        <v>12.5</v>
      </c>
      <c r="W850" s="10" t="s">
        <v>710</v>
      </c>
      <c r="X850" s="17">
        <v>44571</v>
      </c>
      <c r="Y850" s="17">
        <v>44936</v>
      </c>
      <c r="Z850" s="19" t="s">
        <v>772</v>
      </c>
      <c r="AA850" s="210">
        <v>5000</v>
      </c>
      <c r="AB850" s="9">
        <v>60</v>
      </c>
      <c r="AC850" s="9">
        <v>5</v>
      </c>
      <c r="AD850" s="17">
        <v>45105</v>
      </c>
      <c r="AE850" s="56">
        <v>83.33</v>
      </c>
      <c r="AF850" s="56"/>
      <c r="AI850" s="104"/>
      <c r="AJ850" s="127"/>
      <c r="AL850" s="22"/>
      <c r="AM850" s="22"/>
      <c r="AN850" s="22"/>
      <c r="AO850" s="22"/>
      <c r="AP850" s="11"/>
      <c r="AQ850" s="11"/>
      <c r="AR850" s="11"/>
      <c r="AW850" s="9"/>
      <c r="BD850" s="9"/>
      <c r="CS850" s="11">
        <f t="shared" si="61"/>
        <v>0</v>
      </c>
      <c r="CT850" s="22">
        <f t="shared" si="62"/>
        <v>0</v>
      </c>
      <c r="CU850" s="22">
        <f t="shared" si="60"/>
        <v>0</v>
      </c>
      <c r="CV850" s="26">
        <f t="shared" si="63"/>
        <v>83.33</v>
      </c>
    </row>
    <row r="851" spans="1:100" x14ac:dyDescent="0.2">
      <c r="A851" s="9" t="s">
        <v>304</v>
      </c>
      <c r="B851" s="2">
        <v>23</v>
      </c>
      <c r="C851" s="3" t="s">
        <v>95</v>
      </c>
      <c r="D851" s="3" t="s">
        <v>96</v>
      </c>
      <c r="E851" s="2" t="s">
        <v>66</v>
      </c>
      <c r="F851" s="2">
        <v>13</v>
      </c>
      <c r="G851" s="2" t="s">
        <v>68</v>
      </c>
      <c r="H851" s="2">
        <v>3</v>
      </c>
      <c r="I851" s="8">
        <v>145.31</v>
      </c>
      <c r="J851" s="8">
        <v>42900</v>
      </c>
      <c r="K851" s="3">
        <v>0</v>
      </c>
      <c r="L851" s="3" t="s">
        <v>3</v>
      </c>
      <c r="M851" s="9" t="s">
        <v>0</v>
      </c>
      <c r="N851" s="9" t="s">
        <v>23</v>
      </c>
      <c r="O851" s="9" t="s">
        <v>305</v>
      </c>
      <c r="S851" s="48" t="s">
        <v>306</v>
      </c>
      <c r="V851" s="10">
        <v>12.5</v>
      </c>
      <c r="W851" s="10" t="s">
        <v>710</v>
      </c>
      <c r="X851" s="17">
        <v>44571</v>
      </c>
      <c r="Y851" s="17">
        <v>44936</v>
      </c>
      <c r="Z851" s="19" t="s">
        <v>772</v>
      </c>
      <c r="AA851" s="210">
        <v>5000</v>
      </c>
      <c r="AB851" s="9">
        <v>60</v>
      </c>
      <c r="AC851" s="9">
        <v>6</v>
      </c>
      <c r="AD851" s="17">
        <v>45135</v>
      </c>
      <c r="AE851" s="56">
        <v>83.33</v>
      </c>
      <c r="AF851" s="56"/>
      <c r="AG851" s="9" t="s">
        <v>134</v>
      </c>
      <c r="AH851" s="156">
        <v>45099</v>
      </c>
      <c r="AI851" s="104">
        <v>41974515</v>
      </c>
      <c r="AJ851" s="127" t="s">
        <v>2408</v>
      </c>
      <c r="AK851" s="158" t="s">
        <v>2411</v>
      </c>
      <c r="AL851" s="157">
        <v>100</v>
      </c>
      <c r="AM851" s="157"/>
      <c r="AN851" s="157" t="s">
        <v>2426</v>
      </c>
      <c r="AO851" s="22"/>
      <c r="AP851" s="11"/>
      <c r="AQ851" s="11"/>
      <c r="AR851" s="11"/>
      <c r="AW851" s="42">
        <v>45092</v>
      </c>
      <c r="AX851" s="36">
        <v>1630</v>
      </c>
      <c r="AY851" s="36"/>
      <c r="AZ851" s="36"/>
      <c r="BA851" s="161">
        <v>100</v>
      </c>
      <c r="BD851" s="9"/>
      <c r="CS851" s="11">
        <f t="shared" si="61"/>
        <v>100</v>
      </c>
      <c r="CT851" s="22">
        <f t="shared" si="62"/>
        <v>100</v>
      </c>
      <c r="CU851" s="22">
        <f t="shared" si="60"/>
        <v>0</v>
      </c>
      <c r="CV851" s="26">
        <f t="shared" si="63"/>
        <v>-16.670000000000002</v>
      </c>
    </row>
    <row r="852" spans="1:100" x14ac:dyDescent="0.2">
      <c r="A852" s="9" t="s">
        <v>304</v>
      </c>
      <c r="B852" s="2">
        <v>23</v>
      </c>
      <c r="C852" s="3" t="s">
        <v>95</v>
      </c>
      <c r="D852" s="3" t="s">
        <v>96</v>
      </c>
      <c r="E852" s="2" t="s">
        <v>66</v>
      </c>
      <c r="F852" s="2">
        <v>13</v>
      </c>
      <c r="G852" s="2" t="s">
        <v>68</v>
      </c>
      <c r="H852" s="2">
        <v>3</v>
      </c>
      <c r="I852" s="8">
        <v>145.31</v>
      </c>
      <c r="J852" s="8">
        <v>42900</v>
      </c>
      <c r="K852" s="3">
        <v>0</v>
      </c>
      <c r="L852" s="3" t="s">
        <v>3</v>
      </c>
      <c r="M852" s="9" t="s">
        <v>0</v>
      </c>
      <c r="N852" s="9" t="s">
        <v>23</v>
      </c>
      <c r="O852" s="9" t="s">
        <v>305</v>
      </c>
      <c r="S852" s="48" t="s">
        <v>306</v>
      </c>
      <c r="V852" s="10">
        <v>12.5</v>
      </c>
      <c r="W852" s="10" t="s">
        <v>710</v>
      </c>
      <c r="X852" s="17">
        <v>44571</v>
      </c>
      <c r="Y852" s="17">
        <v>44936</v>
      </c>
      <c r="Z852" s="19" t="s">
        <v>772</v>
      </c>
      <c r="AA852" s="210">
        <v>5000</v>
      </c>
      <c r="AB852" s="9">
        <v>60</v>
      </c>
      <c r="AC852" s="9">
        <v>7</v>
      </c>
      <c r="AD852" s="17">
        <v>45166</v>
      </c>
      <c r="AE852" s="56">
        <v>83.33</v>
      </c>
      <c r="AF852" s="56"/>
      <c r="AG852" s="9" t="s">
        <v>134</v>
      </c>
      <c r="AH852" s="156">
        <v>45125</v>
      </c>
      <c r="AI852" s="104">
        <v>41974515</v>
      </c>
      <c r="AJ852" s="127" t="s">
        <v>2408</v>
      </c>
      <c r="AK852" s="158" t="s">
        <v>2412</v>
      </c>
      <c r="AL852" s="157">
        <v>100.08</v>
      </c>
      <c r="AM852" s="157"/>
      <c r="AN852" s="157" t="s">
        <v>2427</v>
      </c>
      <c r="AO852" s="22"/>
      <c r="AP852" s="11"/>
      <c r="AQ852" s="11"/>
      <c r="AR852" s="11"/>
      <c r="AW852" s="42">
        <v>45124</v>
      </c>
      <c r="AX852" s="36">
        <v>1710</v>
      </c>
      <c r="AY852" s="36"/>
      <c r="AZ852" s="36"/>
      <c r="BA852" s="161">
        <v>100</v>
      </c>
      <c r="BD852" s="9"/>
      <c r="CS852" s="11">
        <f t="shared" si="61"/>
        <v>100.08</v>
      </c>
      <c r="CT852" s="22">
        <f t="shared" si="62"/>
        <v>100</v>
      </c>
      <c r="CU852" s="22">
        <f t="shared" si="60"/>
        <v>7.9999999999998295E-2</v>
      </c>
      <c r="CV852" s="26">
        <f t="shared" si="63"/>
        <v>-16.75</v>
      </c>
    </row>
    <row r="853" spans="1:100" x14ac:dyDescent="0.2">
      <c r="A853" s="9" t="s">
        <v>304</v>
      </c>
      <c r="B853" s="2">
        <v>23</v>
      </c>
      <c r="C853" s="3" t="s">
        <v>95</v>
      </c>
      <c r="D853" s="3" t="s">
        <v>96</v>
      </c>
      <c r="E853" s="2" t="s">
        <v>66</v>
      </c>
      <c r="F853" s="2">
        <v>13</v>
      </c>
      <c r="G853" s="2" t="s">
        <v>68</v>
      </c>
      <c r="H853" s="2">
        <v>3</v>
      </c>
      <c r="I853" s="8">
        <v>145.31</v>
      </c>
      <c r="J853" s="8">
        <v>42900</v>
      </c>
      <c r="K853" s="3">
        <v>0</v>
      </c>
      <c r="L853" s="3" t="s">
        <v>3</v>
      </c>
      <c r="M853" s="9" t="s">
        <v>0</v>
      </c>
      <c r="N853" s="9" t="s">
        <v>23</v>
      </c>
      <c r="O853" s="9" t="s">
        <v>305</v>
      </c>
      <c r="S853" s="48" t="s">
        <v>306</v>
      </c>
      <c r="V853" s="10">
        <v>12.5</v>
      </c>
      <c r="W853" s="10" t="s">
        <v>710</v>
      </c>
      <c r="X853" s="17">
        <v>44571</v>
      </c>
      <c r="Y853" s="17">
        <v>44936</v>
      </c>
      <c r="Z853" s="19" t="s">
        <v>772</v>
      </c>
      <c r="AA853" s="210">
        <v>5000</v>
      </c>
      <c r="AB853" s="9">
        <v>60</v>
      </c>
      <c r="AC853" s="9">
        <v>8</v>
      </c>
      <c r="AD853" s="17">
        <v>45197</v>
      </c>
      <c r="AE853" s="56">
        <v>83.33</v>
      </c>
      <c r="AF853" s="56"/>
      <c r="AG853" s="9" t="s">
        <v>134</v>
      </c>
      <c r="AH853" s="156">
        <v>45154</v>
      </c>
      <c r="AI853" s="104">
        <v>41974515</v>
      </c>
      <c r="AJ853" s="127" t="s">
        <v>2408</v>
      </c>
      <c r="AK853" s="158" t="s">
        <v>2413</v>
      </c>
      <c r="AL853" s="157">
        <v>100</v>
      </c>
      <c r="AM853" s="157"/>
      <c r="AN853" s="157" t="s">
        <v>2428</v>
      </c>
      <c r="AO853" s="22"/>
      <c r="AP853" s="11"/>
      <c r="AQ853" s="11"/>
      <c r="AR853" s="11"/>
      <c r="AW853" s="42">
        <v>45154</v>
      </c>
      <c r="AX853" s="36">
        <v>1820</v>
      </c>
      <c r="AY853" s="36"/>
      <c r="AZ853" s="36"/>
      <c r="BA853" s="161">
        <v>100</v>
      </c>
      <c r="BD853" s="9"/>
      <c r="CS853" s="11">
        <f t="shared" si="61"/>
        <v>100</v>
      </c>
      <c r="CT853" s="22">
        <f t="shared" si="62"/>
        <v>100</v>
      </c>
      <c r="CU853" s="22">
        <f t="shared" si="60"/>
        <v>0</v>
      </c>
      <c r="CV853" s="26">
        <f t="shared" si="63"/>
        <v>-16.670000000000002</v>
      </c>
    </row>
    <row r="854" spans="1:100" x14ac:dyDescent="0.2">
      <c r="A854" s="9" t="s">
        <v>304</v>
      </c>
      <c r="B854" s="2">
        <v>23</v>
      </c>
      <c r="C854" s="3" t="s">
        <v>95</v>
      </c>
      <c r="D854" s="3" t="s">
        <v>96</v>
      </c>
      <c r="E854" s="2" t="s">
        <v>66</v>
      </c>
      <c r="F854" s="2">
        <v>13</v>
      </c>
      <c r="G854" s="2" t="s">
        <v>68</v>
      </c>
      <c r="H854" s="2">
        <v>3</v>
      </c>
      <c r="I854" s="8">
        <v>145.31</v>
      </c>
      <c r="J854" s="8">
        <v>42900</v>
      </c>
      <c r="K854" s="3">
        <v>0</v>
      </c>
      <c r="L854" s="3" t="s">
        <v>3</v>
      </c>
      <c r="M854" s="9" t="s">
        <v>0</v>
      </c>
      <c r="N854" s="9" t="s">
        <v>23</v>
      </c>
      <c r="O854" s="9" t="s">
        <v>305</v>
      </c>
      <c r="S854" s="48" t="s">
        <v>306</v>
      </c>
      <c r="V854" s="10">
        <v>12.5</v>
      </c>
      <c r="W854" s="10" t="s">
        <v>710</v>
      </c>
      <c r="X854" s="17">
        <v>44571</v>
      </c>
      <c r="Y854" s="17">
        <v>44936</v>
      </c>
      <c r="Z854" s="19" t="s">
        <v>772</v>
      </c>
      <c r="AA854" s="210">
        <v>5000</v>
      </c>
      <c r="AB854" s="9">
        <v>60</v>
      </c>
      <c r="AC854" s="9">
        <v>9</v>
      </c>
      <c r="AD854" s="17">
        <v>45227</v>
      </c>
      <c r="AE854" s="56">
        <v>83.33</v>
      </c>
      <c r="AF854" s="56"/>
      <c r="AG854" s="9" t="s">
        <v>134</v>
      </c>
      <c r="AH854" s="156">
        <v>45188</v>
      </c>
      <c r="AI854" s="104">
        <v>41974515</v>
      </c>
      <c r="AJ854" s="127" t="s">
        <v>2408</v>
      </c>
      <c r="AK854" s="158" t="s">
        <v>2414</v>
      </c>
      <c r="AL854" s="157">
        <v>100</v>
      </c>
      <c r="AM854" s="157"/>
      <c r="AN854" s="157" t="s">
        <v>2429</v>
      </c>
      <c r="AO854" s="22"/>
      <c r="AP854" s="11"/>
      <c r="AQ854" s="11"/>
      <c r="AR854" s="11"/>
      <c r="AW854" s="42">
        <v>45184</v>
      </c>
      <c r="AX854" s="36">
        <v>1899</v>
      </c>
      <c r="AY854" s="36"/>
      <c r="AZ854" s="36"/>
      <c r="BA854" s="161">
        <v>100</v>
      </c>
      <c r="BD854" s="9"/>
      <c r="CS854" s="11">
        <f t="shared" si="61"/>
        <v>100</v>
      </c>
      <c r="CT854" s="22">
        <f t="shared" si="62"/>
        <v>100</v>
      </c>
      <c r="CU854" s="22">
        <f t="shared" si="60"/>
        <v>0</v>
      </c>
      <c r="CV854" s="26">
        <f t="shared" si="63"/>
        <v>-16.670000000000002</v>
      </c>
    </row>
    <row r="855" spans="1:100" x14ac:dyDescent="0.2">
      <c r="A855" s="9" t="s">
        <v>304</v>
      </c>
      <c r="B855" s="2">
        <v>23</v>
      </c>
      <c r="C855" s="3" t="s">
        <v>95</v>
      </c>
      <c r="D855" s="3" t="s">
        <v>96</v>
      </c>
      <c r="E855" s="2" t="s">
        <v>66</v>
      </c>
      <c r="F855" s="2">
        <v>13</v>
      </c>
      <c r="G855" s="2" t="s">
        <v>68</v>
      </c>
      <c r="H855" s="2">
        <v>3</v>
      </c>
      <c r="I855" s="8">
        <v>145.31</v>
      </c>
      <c r="J855" s="8">
        <v>42900</v>
      </c>
      <c r="K855" s="3">
        <v>0</v>
      </c>
      <c r="L855" s="3" t="s">
        <v>3</v>
      </c>
      <c r="M855" s="9" t="s">
        <v>0</v>
      </c>
      <c r="N855" s="9" t="s">
        <v>23</v>
      </c>
      <c r="O855" s="9" t="s">
        <v>305</v>
      </c>
      <c r="S855" s="48" t="s">
        <v>306</v>
      </c>
      <c r="V855" s="10">
        <v>12.5</v>
      </c>
      <c r="W855" s="10" t="s">
        <v>710</v>
      </c>
      <c r="X855" s="17">
        <v>44571</v>
      </c>
      <c r="Y855" s="17">
        <v>44936</v>
      </c>
      <c r="Z855" s="19" t="s">
        <v>772</v>
      </c>
      <c r="AA855" s="210">
        <v>5000</v>
      </c>
      <c r="AB855" s="9">
        <v>60</v>
      </c>
      <c r="AC855" s="9">
        <v>10</v>
      </c>
      <c r="AD855" s="17">
        <v>45258</v>
      </c>
      <c r="AE855" s="56">
        <v>83.33</v>
      </c>
      <c r="AF855" s="56"/>
      <c r="AG855" s="9" t="s">
        <v>134</v>
      </c>
      <c r="AH855" s="156">
        <v>45217</v>
      </c>
      <c r="AI855" s="104" t="s">
        <v>23</v>
      </c>
      <c r="AJ855" s="127" t="s">
        <v>2408</v>
      </c>
      <c r="AK855" s="158" t="s">
        <v>2415</v>
      </c>
      <c r="AL855" s="157">
        <v>100</v>
      </c>
      <c r="AM855" s="157"/>
      <c r="AN855" s="157" t="s">
        <v>2430</v>
      </c>
      <c r="AO855" s="22"/>
      <c r="AP855" s="11"/>
      <c r="AQ855" s="11"/>
      <c r="AR855" s="11"/>
      <c r="AW855" s="42">
        <v>45215</v>
      </c>
      <c r="AX855" s="36">
        <v>1976</v>
      </c>
      <c r="AY855" s="36"/>
      <c r="AZ855" s="36"/>
      <c r="BA855" s="161">
        <v>100</v>
      </c>
      <c r="BD855" s="9"/>
      <c r="CS855" s="11">
        <f t="shared" si="61"/>
        <v>100</v>
      </c>
      <c r="CT855" s="22">
        <f t="shared" si="62"/>
        <v>100</v>
      </c>
      <c r="CU855" s="22">
        <f t="shared" si="60"/>
        <v>0</v>
      </c>
      <c r="CV855" s="26">
        <f t="shared" si="63"/>
        <v>-16.670000000000002</v>
      </c>
    </row>
    <row r="856" spans="1:100" x14ac:dyDescent="0.2">
      <c r="A856" s="9" t="s">
        <v>304</v>
      </c>
      <c r="B856" s="2">
        <v>23</v>
      </c>
      <c r="C856" s="3" t="s">
        <v>95</v>
      </c>
      <c r="D856" s="3" t="s">
        <v>96</v>
      </c>
      <c r="E856" s="2" t="s">
        <v>66</v>
      </c>
      <c r="F856" s="2">
        <v>13</v>
      </c>
      <c r="G856" s="2" t="s">
        <v>68</v>
      </c>
      <c r="H856" s="2">
        <v>3</v>
      </c>
      <c r="I856" s="8">
        <v>145.31</v>
      </c>
      <c r="J856" s="8">
        <v>42900</v>
      </c>
      <c r="K856" s="3">
        <v>0</v>
      </c>
      <c r="L856" s="3" t="s">
        <v>3</v>
      </c>
      <c r="M856" s="9" t="s">
        <v>0</v>
      </c>
      <c r="N856" s="9" t="s">
        <v>23</v>
      </c>
      <c r="O856" s="9" t="s">
        <v>305</v>
      </c>
      <c r="S856" s="48" t="s">
        <v>306</v>
      </c>
      <c r="V856" s="10">
        <v>12.5</v>
      </c>
      <c r="W856" s="10" t="s">
        <v>710</v>
      </c>
      <c r="X856" s="17">
        <v>44571</v>
      </c>
      <c r="Y856" s="17">
        <v>44936</v>
      </c>
      <c r="Z856" s="19" t="s">
        <v>772</v>
      </c>
      <c r="AA856" s="210">
        <v>5000</v>
      </c>
      <c r="AB856" s="9">
        <v>60</v>
      </c>
      <c r="AC856" s="9">
        <v>11</v>
      </c>
      <c r="AD856" s="17">
        <v>45288</v>
      </c>
      <c r="AE856" s="56">
        <v>83.33</v>
      </c>
      <c r="AF856" s="56"/>
      <c r="AG856" s="9" t="s">
        <v>134</v>
      </c>
      <c r="AH856" s="156">
        <v>45246</v>
      </c>
      <c r="AI856" s="104">
        <v>41974515</v>
      </c>
      <c r="AJ856" s="127" t="s">
        <v>2408</v>
      </c>
      <c r="AK856" s="158" t="s">
        <v>2416</v>
      </c>
      <c r="AL856" s="157">
        <v>100</v>
      </c>
      <c r="AM856" s="157"/>
      <c r="AN856" s="157" t="s">
        <v>2431</v>
      </c>
      <c r="AO856" s="22"/>
      <c r="AP856" s="11"/>
      <c r="AQ856" s="11"/>
      <c r="AR856" s="11"/>
      <c r="AW856" s="42">
        <v>45246</v>
      </c>
      <c r="AX856" s="36">
        <v>2055</v>
      </c>
      <c r="AY856" s="36"/>
      <c r="AZ856" s="36"/>
      <c r="BA856" s="161">
        <v>100</v>
      </c>
      <c r="BD856" s="9"/>
      <c r="CS856" s="11">
        <f t="shared" si="61"/>
        <v>100</v>
      </c>
      <c r="CT856" s="22">
        <f t="shared" si="62"/>
        <v>100</v>
      </c>
      <c r="CU856" s="22">
        <f t="shared" si="60"/>
        <v>0</v>
      </c>
      <c r="CV856" s="26">
        <f t="shared" si="63"/>
        <v>-16.670000000000002</v>
      </c>
    </row>
    <row r="857" spans="1:100" x14ac:dyDescent="0.2">
      <c r="A857" s="9" t="s">
        <v>304</v>
      </c>
      <c r="B857" s="2">
        <v>23</v>
      </c>
      <c r="C857" s="3" t="s">
        <v>95</v>
      </c>
      <c r="D857" s="3" t="s">
        <v>96</v>
      </c>
      <c r="E857" s="2" t="s">
        <v>66</v>
      </c>
      <c r="F857" s="2">
        <v>13</v>
      </c>
      <c r="G857" s="2" t="s">
        <v>68</v>
      </c>
      <c r="H857" s="2">
        <v>3</v>
      </c>
      <c r="I857" s="8">
        <v>145.31</v>
      </c>
      <c r="J857" s="8">
        <v>42900</v>
      </c>
      <c r="K857" s="3">
        <v>0</v>
      </c>
      <c r="L857" s="3" t="s">
        <v>3</v>
      </c>
      <c r="M857" s="9" t="s">
        <v>0</v>
      </c>
      <c r="N857" s="9" t="s">
        <v>23</v>
      </c>
      <c r="O857" s="9" t="s">
        <v>305</v>
      </c>
      <c r="S857" s="48" t="s">
        <v>306</v>
      </c>
      <c r="V857" s="10">
        <v>12.5</v>
      </c>
      <c r="W857" s="10" t="s">
        <v>710</v>
      </c>
      <c r="X857" s="17">
        <v>44571</v>
      </c>
      <c r="Y857" s="17">
        <v>44936</v>
      </c>
      <c r="Z857" s="19" t="s">
        <v>772</v>
      </c>
      <c r="AA857" s="210">
        <v>5000</v>
      </c>
      <c r="AB857" s="9">
        <v>60</v>
      </c>
      <c r="AC857" s="9">
        <v>12</v>
      </c>
      <c r="AD857" s="17">
        <v>45319</v>
      </c>
      <c r="AE857" s="56">
        <v>83.33</v>
      </c>
      <c r="AF857" s="56"/>
      <c r="AG857" s="9" t="s">
        <v>134</v>
      </c>
      <c r="AH857" s="156">
        <v>45276</v>
      </c>
      <c r="AI857" s="104">
        <v>41974515</v>
      </c>
      <c r="AJ857" s="127" t="s">
        <v>2408</v>
      </c>
      <c r="AK857" s="158" t="s">
        <v>2417</v>
      </c>
      <c r="AL857" s="157">
        <v>100</v>
      </c>
      <c r="AM857" s="157"/>
      <c r="AN857" s="157" t="s">
        <v>2432</v>
      </c>
      <c r="AO857" s="22"/>
      <c r="AP857" s="11"/>
      <c r="AQ857" s="11"/>
      <c r="AR857" s="11"/>
      <c r="AW857" s="42">
        <v>45275</v>
      </c>
      <c r="AX857" s="36">
        <v>2118</v>
      </c>
      <c r="AY857" s="36"/>
      <c r="AZ857" s="36"/>
      <c r="BA857" s="161">
        <v>100</v>
      </c>
      <c r="BD857" s="9"/>
      <c r="CS857" s="11">
        <f t="shared" si="61"/>
        <v>100</v>
      </c>
      <c r="CT857" s="22">
        <f t="shared" si="62"/>
        <v>100</v>
      </c>
      <c r="CU857" s="22">
        <f t="shared" si="60"/>
        <v>0</v>
      </c>
      <c r="CV857" s="26">
        <f t="shared" si="63"/>
        <v>-16.670000000000002</v>
      </c>
    </row>
    <row r="858" spans="1:100" x14ac:dyDescent="0.2">
      <c r="A858" s="9" t="s">
        <v>304</v>
      </c>
      <c r="B858" s="2">
        <v>23</v>
      </c>
      <c r="C858" s="3" t="s">
        <v>95</v>
      </c>
      <c r="D858" s="3" t="s">
        <v>96</v>
      </c>
      <c r="E858" s="2" t="s">
        <v>66</v>
      </c>
      <c r="F858" s="2">
        <v>13</v>
      </c>
      <c r="G858" s="2" t="s">
        <v>68</v>
      </c>
      <c r="H858" s="2">
        <v>3</v>
      </c>
      <c r="I858" s="8">
        <v>145.31</v>
      </c>
      <c r="J858" s="8">
        <v>42900</v>
      </c>
      <c r="K858" s="3">
        <v>0</v>
      </c>
      <c r="L858" s="3" t="s">
        <v>3</v>
      </c>
      <c r="M858" s="9" t="s">
        <v>0</v>
      </c>
      <c r="N858" s="9" t="s">
        <v>23</v>
      </c>
      <c r="O858" s="9" t="s">
        <v>305</v>
      </c>
      <c r="S858" s="48" t="s">
        <v>306</v>
      </c>
      <c r="V858" s="10">
        <v>12.5</v>
      </c>
      <c r="W858" s="10" t="s">
        <v>710</v>
      </c>
      <c r="X858" s="17">
        <v>44571</v>
      </c>
      <c r="Y858" s="17">
        <v>44936</v>
      </c>
      <c r="Z858" s="19" t="s">
        <v>772</v>
      </c>
      <c r="AA858" s="210">
        <v>5000</v>
      </c>
      <c r="AB858" s="9">
        <v>60</v>
      </c>
      <c r="AC858" s="9">
        <v>13</v>
      </c>
      <c r="AD858" s="17">
        <v>45350</v>
      </c>
      <c r="AE858" s="56">
        <v>83.33</v>
      </c>
      <c r="AF858" s="56"/>
      <c r="AG858" s="9" t="s">
        <v>134</v>
      </c>
      <c r="AH858" s="17">
        <v>45315</v>
      </c>
      <c r="AI858" s="104">
        <v>41974515</v>
      </c>
      <c r="AJ858" s="127" t="s">
        <v>2408</v>
      </c>
      <c r="AK858" s="9" t="s">
        <v>2435</v>
      </c>
      <c r="AL858" s="22">
        <v>100</v>
      </c>
      <c r="AM858" s="22"/>
      <c r="AN858" s="22" t="s">
        <v>2446</v>
      </c>
      <c r="AO858" s="22"/>
      <c r="AP858" s="11"/>
      <c r="AQ858" s="11"/>
      <c r="AR858" s="11"/>
      <c r="AW858" s="42">
        <v>45308</v>
      </c>
      <c r="AX858" s="36">
        <v>2225</v>
      </c>
      <c r="AY858" s="36"/>
      <c r="AZ858" s="36"/>
      <c r="BA858" s="161">
        <v>100</v>
      </c>
      <c r="BD858" s="9"/>
      <c r="CS858" s="11">
        <f t="shared" si="61"/>
        <v>100</v>
      </c>
      <c r="CT858" s="22">
        <f t="shared" si="62"/>
        <v>100</v>
      </c>
      <c r="CU858" s="22">
        <f t="shared" si="60"/>
        <v>0</v>
      </c>
      <c r="CV858" s="26">
        <f t="shared" si="63"/>
        <v>-16.670000000000002</v>
      </c>
    </row>
    <row r="859" spans="1:100" x14ac:dyDescent="0.2">
      <c r="A859" s="9" t="s">
        <v>304</v>
      </c>
      <c r="B859" s="2">
        <v>23</v>
      </c>
      <c r="C859" s="3" t="s">
        <v>95</v>
      </c>
      <c r="D859" s="3" t="s">
        <v>96</v>
      </c>
      <c r="E859" s="2" t="s">
        <v>66</v>
      </c>
      <c r="F859" s="2">
        <v>13</v>
      </c>
      <c r="G859" s="2" t="s">
        <v>68</v>
      </c>
      <c r="H859" s="2">
        <v>3</v>
      </c>
      <c r="I859" s="8">
        <v>145.31</v>
      </c>
      <c r="J859" s="8">
        <v>42900</v>
      </c>
      <c r="K859" s="3">
        <v>0</v>
      </c>
      <c r="L859" s="3" t="s">
        <v>3</v>
      </c>
      <c r="M859" s="9" t="s">
        <v>0</v>
      </c>
      <c r="N859" s="9" t="s">
        <v>23</v>
      </c>
      <c r="O859" s="9" t="s">
        <v>305</v>
      </c>
      <c r="S859" s="48" t="s">
        <v>306</v>
      </c>
      <c r="V859" s="10">
        <v>12.5</v>
      </c>
      <c r="W859" s="10" t="s">
        <v>710</v>
      </c>
      <c r="X859" s="17">
        <v>44571</v>
      </c>
      <c r="Y859" s="17">
        <v>44936</v>
      </c>
      <c r="Z859" s="19" t="s">
        <v>772</v>
      </c>
      <c r="AA859" s="210">
        <v>5000</v>
      </c>
      <c r="AB859" s="9">
        <v>60</v>
      </c>
      <c r="AC859" s="9">
        <v>14</v>
      </c>
      <c r="AD859" s="17">
        <v>45379</v>
      </c>
      <c r="AE859" s="56">
        <v>83.33</v>
      </c>
      <c r="AF859" s="56"/>
      <c r="AG859" s="9" t="s">
        <v>134</v>
      </c>
      <c r="AH859" s="17">
        <v>45336</v>
      </c>
      <c r="AI859" s="104">
        <v>41974515</v>
      </c>
      <c r="AJ859" s="127" t="s">
        <v>2408</v>
      </c>
      <c r="AK859" s="9" t="s">
        <v>2436</v>
      </c>
      <c r="AL859" s="22">
        <v>100</v>
      </c>
      <c r="AM859" s="22"/>
      <c r="AN859" s="22" t="s">
        <v>2447</v>
      </c>
      <c r="AO859" s="22"/>
      <c r="AP859" s="11"/>
      <c r="AQ859" s="11"/>
      <c r="AR859" s="11"/>
      <c r="AW859" s="42">
        <v>45336</v>
      </c>
      <c r="AX859" s="36">
        <v>2309</v>
      </c>
      <c r="AY859" s="36"/>
      <c r="AZ859" s="36"/>
      <c r="BA859" s="161">
        <v>100</v>
      </c>
      <c r="BD859" s="9"/>
      <c r="CS859" s="11">
        <f t="shared" si="61"/>
        <v>100</v>
      </c>
      <c r="CT859" s="22">
        <f t="shared" si="62"/>
        <v>100</v>
      </c>
      <c r="CU859" s="22">
        <f t="shared" si="60"/>
        <v>0</v>
      </c>
      <c r="CV859" s="26">
        <f t="shared" si="63"/>
        <v>-16.670000000000002</v>
      </c>
    </row>
    <row r="860" spans="1:100" x14ac:dyDescent="0.2">
      <c r="A860" s="9" t="s">
        <v>304</v>
      </c>
      <c r="B860" s="2">
        <v>23</v>
      </c>
      <c r="C860" s="3" t="s">
        <v>95</v>
      </c>
      <c r="D860" s="3" t="s">
        <v>96</v>
      </c>
      <c r="E860" s="2" t="s">
        <v>66</v>
      </c>
      <c r="F860" s="2">
        <v>13</v>
      </c>
      <c r="G860" s="2" t="s">
        <v>68</v>
      </c>
      <c r="H860" s="2">
        <v>3</v>
      </c>
      <c r="I860" s="8">
        <v>145.31</v>
      </c>
      <c r="J860" s="8">
        <v>42900</v>
      </c>
      <c r="K860" s="3">
        <v>0</v>
      </c>
      <c r="L860" s="3" t="s">
        <v>3</v>
      </c>
      <c r="M860" s="9" t="s">
        <v>0</v>
      </c>
      <c r="N860" s="9" t="s">
        <v>23</v>
      </c>
      <c r="O860" s="9" t="s">
        <v>305</v>
      </c>
      <c r="S860" s="48" t="s">
        <v>306</v>
      </c>
      <c r="V860" s="10">
        <v>12.5</v>
      </c>
      <c r="W860" s="10" t="s">
        <v>710</v>
      </c>
      <c r="X860" s="17">
        <v>44571</v>
      </c>
      <c r="Y860" s="17">
        <v>44936</v>
      </c>
      <c r="Z860" s="19" t="s">
        <v>772</v>
      </c>
      <c r="AA860" s="210">
        <v>5000</v>
      </c>
      <c r="AB860" s="9">
        <v>60</v>
      </c>
      <c r="AC860" s="9">
        <v>15</v>
      </c>
      <c r="AD860" s="17">
        <v>45410</v>
      </c>
      <c r="AE860" s="56">
        <v>83.33</v>
      </c>
      <c r="AF860" s="56"/>
      <c r="AG860" s="9" t="s">
        <v>134</v>
      </c>
      <c r="AH860" s="17">
        <v>45371</v>
      </c>
      <c r="AI860" s="104">
        <v>41974515</v>
      </c>
      <c r="AJ860" s="127" t="s">
        <v>2408</v>
      </c>
      <c r="AK860" s="9" t="s">
        <v>2437</v>
      </c>
      <c r="AL860" s="22">
        <v>100</v>
      </c>
      <c r="AM860" s="22"/>
      <c r="AN860" s="22" t="s">
        <v>2448</v>
      </c>
      <c r="AO860" s="22"/>
      <c r="AP860" s="11"/>
      <c r="AQ860" s="11"/>
      <c r="AR860" s="11"/>
      <c r="AW860" s="42">
        <v>45369</v>
      </c>
      <c r="AX860" s="36">
        <v>2433</v>
      </c>
      <c r="AY860" s="36"/>
      <c r="AZ860" s="36"/>
      <c r="BA860" s="161">
        <v>100</v>
      </c>
      <c r="BD860" s="9"/>
      <c r="CS860" s="11">
        <f t="shared" si="61"/>
        <v>100</v>
      </c>
      <c r="CT860" s="22">
        <f t="shared" si="62"/>
        <v>100</v>
      </c>
      <c r="CU860" s="22">
        <f t="shared" ref="CU860:CU923" si="64">+CS860-CT860</f>
        <v>0</v>
      </c>
      <c r="CV860" s="26">
        <f t="shared" si="63"/>
        <v>-16.670000000000002</v>
      </c>
    </row>
    <row r="861" spans="1:100" x14ac:dyDescent="0.2">
      <c r="A861" s="9" t="s">
        <v>304</v>
      </c>
      <c r="B861" s="2">
        <v>23</v>
      </c>
      <c r="C861" s="3" t="s">
        <v>95</v>
      </c>
      <c r="D861" s="3" t="s">
        <v>96</v>
      </c>
      <c r="E861" s="2" t="s">
        <v>66</v>
      </c>
      <c r="F861" s="2">
        <v>13</v>
      </c>
      <c r="G861" s="2" t="s">
        <v>68</v>
      </c>
      <c r="H861" s="2">
        <v>3</v>
      </c>
      <c r="I861" s="8">
        <v>145.31</v>
      </c>
      <c r="J861" s="8">
        <v>42900</v>
      </c>
      <c r="K861" s="3">
        <v>0</v>
      </c>
      <c r="L861" s="3" t="s">
        <v>3</v>
      </c>
      <c r="M861" s="9" t="s">
        <v>0</v>
      </c>
      <c r="N861" s="9" t="s">
        <v>23</v>
      </c>
      <c r="O861" s="9" t="s">
        <v>305</v>
      </c>
      <c r="S861" s="48" t="s">
        <v>306</v>
      </c>
      <c r="V861" s="10">
        <v>12.5</v>
      </c>
      <c r="W861" s="10" t="s">
        <v>710</v>
      </c>
      <c r="X861" s="17">
        <v>44571</v>
      </c>
      <c r="Y861" s="17">
        <v>44936</v>
      </c>
      <c r="Z861" s="19" t="s">
        <v>772</v>
      </c>
      <c r="AA861" s="210">
        <v>5000</v>
      </c>
      <c r="AB861" s="9">
        <v>60</v>
      </c>
      <c r="AC861" s="9">
        <v>16</v>
      </c>
      <c r="AD861" s="17">
        <v>45440</v>
      </c>
      <c r="AE861" s="56">
        <v>83.33</v>
      </c>
      <c r="AF861" s="56"/>
      <c r="AG861" s="9" t="s">
        <v>134</v>
      </c>
      <c r="AH861" s="17">
        <v>45399</v>
      </c>
      <c r="AI861" s="104">
        <v>41974515</v>
      </c>
      <c r="AJ861" s="127" t="s">
        <v>2408</v>
      </c>
      <c r="AK861" s="9" t="s">
        <v>2438</v>
      </c>
      <c r="AL861" s="22">
        <v>100</v>
      </c>
      <c r="AM861" s="22"/>
      <c r="AN861" s="22" t="s">
        <v>2449</v>
      </c>
      <c r="AO861" s="22"/>
      <c r="AP861" s="11"/>
      <c r="AQ861" s="11"/>
      <c r="AR861" s="11"/>
      <c r="AW861" s="42">
        <v>45398</v>
      </c>
      <c r="AX861" s="36">
        <v>2540</v>
      </c>
      <c r="AY861" s="36"/>
      <c r="AZ861" s="36"/>
      <c r="BA861" s="161">
        <v>100</v>
      </c>
      <c r="BD861" s="9"/>
      <c r="CS861" s="11">
        <f t="shared" si="61"/>
        <v>100</v>
      </c>
      <c r="CT861" s="22">
        <f t="shared" si="62"/>
        <v>100</v>
      </c>
      <c r="CU861" s="22">
        <f t="shared" si="64"/>
        <v>0</v>
      </c>
      <c r="CV861" s="26">
        <f t="shared" si="63"/>
        <v>-16.670000000000002</v>
      </c>
    </row>
    <row r="862" spans="1:100" x14ac:dyDescent="0.2">
      <c r="A862" s="9" t="s">
        <v>304</v>
      </c>
      <c r="B862" s="2">
        <v>23</v>
      </c>
      <c r="C862" s="3" t="s">
        <v>95</v>
      </c>
      <c r="D862" s="3" t="s">
        <v>96</v>
      </c>
      <c r="E862" s="2" t="s">
        <v>66</v>
      </c>
      <c r="F862" s="2">
        <v>13</v>
      </c>
      <c r="G862" s="2" t="s">
        <v>68</v>
      </c>
      <c r="H862" s="2">
        <v>3</v>
      </c>
      <c r="I862" s="8">
        <v>145.31</v>
      </c>
      <c r="J862" s="8">
        <v>42900</v>
      </c>
      <c r="K862" s="3">
        <v>0</v>
      </c>
      <c r="L862" s="3" t="s">
        <v>3</v>
      </c>
      <c r="M862" s="9" t="s">
        <v>0</v>
      </c>
      <c r="N862" s="9" t="s">
        <v>23</v>
      </c>
      <c r="O862" s="9" t="s">
        <v>305</v>
      </c>
      <c r="S862" s="48" t="s">
        <v>306</v>
      </c>
      <c r="V862" s="10">
        <v>12.5</v>
      </c>
      <c r="W862" s="10" t="s">
        <v>710</v>
      </c>
      <c r="X862" s="17">
        <v>44571</v>
      </c>
      <c r="Y862" s="17">
        <v>44936</v>
      </c>
      <c r="Z862" s="19" t="s">
        <v>772</v>
      </c>
      <c r="AA862" s="210">
        <v>5000</v>
      </c>
      <c r="AB862" s="9">
        <v>60</v>
      </c>
      <c r="AC862" s="9">
        <v>17</v>
      </c>
      <c r="AD862" s="17">
        <v>45471</v>
      </c>
      <c r="AE862" s="56">
        <v>83.33</v>
      </c>
      <c r="AF862" s="56"/>
      <c r="AG862" s="9" t="s">
        <v>134</v>
      </c>
      <c r="AH862" s="17">
        <v>45434</v>
      </c>
      <c r="AI862" s="104">
        <v>41974515</v>
      </c>
      <c r="AJ862" s="127" t="s">
        <v>2408</v>
      </c>
      <c r="AK862" s="9" t="s">
        <v>2439</v>
      </c>
      <c r="AL862" s="22">
        <v>100</v>
      </c>
      <c r="AM862" s="22"/>
      <c r="AN862" s="22" t="s">
        <v>2450</v>
      </c>
      <c r="AO862" s="22"/>
      <c r="AP862" s="11"/>
      <c r="AQ862" s="11"/>
      <c r="AR862" s="11"/>
      <c r="AW862" s="42">
        <v>45433</v>
      </c>
      <c r="AX862" s="36">
        <v>2677</v>
      </c>
      <c r="AY862" s="36"/>
      <c r="AZ862" s="36"/>
      <c r="BA862" s="161">
        <v>100</v>
      </c>
      <c r="BD862" s="9"/>
      <c r="CS862" s="11">
        <f t="shared" si="61"/>
        <v>100</v>
      </c>
      <c r="CT862" s="22">
        <f t="shared" si="62"/>
        <v>100</v>
      </c>
      <c r="CU862" s="22">
        <f t="shared" si="64"/>
        <v>0</v>
      </c>
      <c r="CV862" s="26">
        <f t="shared" si="63"/>
        <v>-16.670000000000002</v>
      </c>
    </row>
    <row r="863" spans="1:100" x14ac:dyDescent="0.2">
      <c r="A863" s="9" t="s">
        <v>304</v>
      </c>
      <c r="B863" s="2">
        <v>23</v>
      </c>
      <c r="C863" s="3" t="s">
        <v>95</v>
      </c>
      <c r="D863" s="3" t="s">
        <v>96</v>
      </c>
      <c r="E863" s="2" t="s">
        <v>66</v>
      </c>
      <c r="F863" s="2">
        <v>13</v>
      </c>
      <c r="G863" s="2" t="s">
        <v>68</v>
      </c>
      <c r="H863" s="2">
        <v>3</v>
      </c>
      <c r="I863" s="8">
        <v>145.31</v>
      </c>
      <c r="J863" s="8">
        <v>42900</v>
      </c>
      <c r="K863" s="3">
        <v>0</v>
      </c>
      <c r="L863" s="3" t="s">
        <v>3</v>
      </c>
      <c r="M863" s="9" t="s">
        <v>0</v>
      </c>
      <c r="N863" s="9" t="s">
        <v>23</v>
      </c>
      <c r="O863" s="9" t="s">
        <v>305</v>
      </c>
      <c r="S863" s="48" t="s">
        <v>306</v>
      </c>
      <c r="V863" s="10">
        <v>12.5</v>
      </c>
      <c r="W863" s="10" t="s">
        <v>710</v>
      </c>
      <c r="X863" s="17">
        <v>44571</v>
      </c>
      <c r="Y863" s="17">
        <v>44936</v>
      </c>
      <c r="Z863" s="19" t="s">
        <v>772</v>
      </c>
      <c r="AA863" s="210">
        <v>5000</v>
      </c>
      <c r="AB863" s="9">
        <v>60</v>
      </c>
      <c r="AC863" s="9">
        <v>18</v>
      </c>
      <c r="AD863" s="17">
        <v>45501</v>
      </c>
      <c r="AE863" s="56">
        <v>83.33</v>
      </c>
      <c r="AF863" s="56"/>
      <c r="AG863" s="9" t="s">
        <v>134</v>
      </c>
      <c r="AH863" s="17">
        <v>45467</v>
      </c>
      <c r="AI863" s="104">
        <v>41974515</v>
      </c>
      <c r="AJ863" s="127" t="s">
        <v>2408</v>
      </c>
      <c r="AK863" s="9" t="s">
        <v>2440</v>
      </c>
      <c r="AL863" s="11">
        <v>100</v>
      </c>
      <c r="AN863" s="11" t="s">
        <v>2451</v>
      </c>
      <c r="AP863" s="11"/>
      <c r="AQ863" s="11"/>
      <c r="AR863" s="11"/>
      <c r="AW863" s="42">
        <v>45464</v>
      </c>
      <c r="AX863" s="36">
        <v>2806</v>
      </c>
      <c r="AY863" s="36"/>
      <c r="AZ863" s="36"/>
      <c r="BA863" s="161">
        <v>100</v>
      </c>
      <c r="BD863" s="9"/>
      <c r="CS863" s="11">
        <f t="shared" si="61"/>
        <v>100</v>
      </c>
      <c r="CT863" s="22">
        <f t="shared" si="62"/>
        <v>100</v>
      </c>
      <c r="CU863" s="22">
        <f t="shared" si="64"/>
        <v>0</v>
      </c>
      <c r="CV863" s="26">
        <f t="shared" si="63"/>
        <v>-16.670000000000002</v>
      </c>
    </row>
    <row r="864" spans="1:100" x14ac:dyDescent="0.2">
      <c r="A864" s="9" t="s">
        <v>304</v>
      </c>
      <c r="B864" s="2">
        <v>23</v>
      </c>
      <c r="C864" s="3" t="s">
        <v>95</v>
      </c>
      <c r="D864" s="3" t="s">
        <v>96</v>
      </c>
      <c r="E864" s="2" t="s">
        <v>66</v>
      </c>
      <c r="F864" s="2">
        <v>13</v>
      </c>
      <c r="G864" s="2" t="s">
        <v>68</v>
      </c>
      <c r="H864" s="2">
        <v>3</v>
      </c>
      <c r="I864" s="8">
        <v>145.31</v>
      </c>
      <c r="J864" s="8">
        <v>42900</v>
      </c>
      <c r="K864" s="3">
        <v>0</v>
      </c>
      <c r="L864" s="3" t="s">
        <v>3</v>
      </c>
      <c r="M864" s="9" t="s">
        <v>0</v>
      </c>
      <c r="N864" s="9" t="s">
        <v>23</v>
      </c>
      <c r="O864" s="9" t="s">
        <v>305</v>
      </c>
      <c r="S864" s="48" t="s">
        <v>306</v>
      </c>
      <c r="V864" s="10">
        <v>12.5</v>
      </c>
      <c r="W864" s="10" t="s">
        <v>710</v>
      </c>
      <c r="X864" s="17">
        <v>44571</v>
      </c>
      <c r="Y864" s="17">
        <v>44936</v>
      </c>
      <c r="Z864" s="19" t="s">
        <v>772</v>
      </c>
      <c r="AA864" s="210">
        <v>5000</v>
      </c>
      <c r="AB864" s="9">
        <v>60</v>
      </c>
      <c r="AC864" s="9">
        <v>19</v>
      </c>
      <c r="AD864" s="17">
        <v>45532</v>
      </c>
      <c r="AE864" s="56">
        <v>83.33</v>
      </c>
      <c r="AF864" s="56"/>
      <c r="AG864" s="9" t="s">
        <v>134</v>
      </c>
      <c r="AH864" s="17">
        <v>45519</v>
      </c>
      <c r="AI864" s="104">
        <v>41974515</v>
      </c>
      <c r="AJ864" s="127" t="s">
        <v>2408</v>
      </c>
      <c r="AK864" s="9" t="s">
        <v>2441</v>
      </c>
      <c r="AL864" s="11">
        <v>100</v>
      </c>
      <c r="AN864" s="11" t="s">
        <v>2452</v>
      </c>
      <c r="AP864" s="11"/>
      <c r="AQ864" s="11"/>
      <c r="AR864" s="11"/>
      <c r="AW864" s="42">
        <v>45518</v>
      </c>
      <c r="AX864" s="36">
        <v>3039</v>
      </c>
      <c r="AY864" s="36"/>
      <c r="AZ864" s="36"/>
      <c r="BA864" s="161">
        <v>100</v>
      </c>
      <c r="BD864" s="9"/>
      <c r="CS864" s="11">
        <f t="shared" si="61"/>
        <v>100</v>
      </c>
      <c r="CT864" s="22">
        <f t="shared" si="62"/>
        <v>100</v>
      </c>
      <c r="CU864" s="22">
        <f t="shared" si="64"/>
        <v>0</v>
      </c>
      <c r="CV864" s="26">
        <f t="shared" si="63"/>
        <v>-16.670000000000002</v>
      </c>
    </row>
    <row r="865" spans="1:100" x14ac:dyDescent="0.2">
      <c r="A865" s="9" t="s">
        <v>304</v>
      </c>
      <c r="B865" s="2">
        <v>23</v>
      </c>
      <c r="C865" s="3" t="s">
        <v>95</v>
      </c>
      <c r="D865" s="3" t="s">
        <v>96</v>
      </c>
      <c r="E865" s="2" t="s">
        <v>66</v>
      </c>
      <c r="F865" s="2">
        <v>13</v>
      </c>
      <c r="G865" s="2" t="s">
        <v>68</v>
      </c>
      <c r="H865" s="2">
        <v>3</v>
      </c>
      <c r="I865" s="8">
        <v>145.31</v>
      </c>
      <c r="J865" s="8">
        <v>42900</v>
      </c>
      <c r="K865" s="3">
        <v>0</v>
      </c>
      <c r="L865" s="3" t="s">
        <v>3</v>
      </c>
      <c r="M865" s="9" t="s">
        <v>0</v>
      </c>
      <c r="N865" s="9" t="s">
        <v>23</v>
      </c>
      <c r="O865" s="9" t="s">
        <v>305</v>
      </c>
      <c r="S865" s="48" t="s">
        <v>306</v>
      </c>
      <c r="V865" s="10">
        <v>12.5</v>
      </c>
      <c r="W865" s="10" t="s">
        <v>710</v>
      </c>
      <c r="X865" s="17">
        <v>44571</v>
      </c>
      <c r="Y865" s="17">
        <v>44936</v>
      </c>
      <c r="Z865" s="19" t="s">
        <v>772</v>
      </c>
      <c r="AA865" s="210">
        <v>5000</v>
      </c>
      <c r="AB865" s="9">
        <v>60</v>
      </c>
      <c r="AC865" s="9">
        <v>20</v>
      </c>
      <c r="AD865" s="17">
        <v>45563</v>
      </c>
      <c r="AE865" s="56">
        <v>83.33</v>
      </c>
      <c r="AF865" s="56"/>
      <c r="AG865" s="9" t="s">
        <v>134</v>
      </c>
      <c r="AH865" s="17">
        <v>45555</v>
      </c>
      <c r="AI865" s="104">
        <v>41974515</v>
      </c>
      <c r="AJ865" s="127" t="s">
        <v>2408</v>
      </c>
      <c r="AK865" s="9" t="s">
        <v>2442</v>
      </c>
      <c r="AL865" s="11">
        <v>100</v>
      </c>
      <c r="AN865" s="11" t="s">
        <v>2453</v>
      </c>
      <c r="AP865" s="11"/>
      <c r="AQ865" s="11"/>
      <c r="AR865" s="11"/>
      <c r="AW865" s="42">
        <v>45527</v>
      </c>
      <c r="AX865" s="36">
        <v>3075</v>
      </c>
      <c r="AY865" s="36"/>
      <c r="AZ865" s="36"/>
      <c r="BA865" s="161">
        <v>100</v>
      </c>
      <c r="BD865" s="9"/>
      <c r="CS865" s="11">
        <f t="shared" si="61"/>
        <v>100</v>
      </c>
      <c r="CT865" s="22">
        <f t="shared" si="62"/>
        <v>100</v>
      </c>
      <c r="CU865" s="22">
        <f t="shared" si="64"/>
        <v>0</v>
      </c>
      <c r="CV865" s="26">
        <f t="shared" si="63"/>
        <v>-16.670000000000002</v>
      </c>
    </row>
    <row r="866" spans="1:100" x14ac:dyDescent="0.2">
      <c r="A866" s="9" t="s">
        <v>304</v>
      </c>
      <c r="B866" s="2">
        <v>23</v>
      </c>
      <c r="C866" s="3" t="s">
        <v>95</v>
      </c>
      <c r="D866" s="3" t="s">
        <v>96</v>
      </c>
      <c r="E866" s="2" t="s">
        <v>66</v>
      </c>
      <c r="F866" s="2">
        <v>13</v>
      </c>
      <c r="G866" s="2" t="s">
        <v>68</v>
      </c>
      <c r="H866" s="2">
        <v>3</v>
      </c>
      <c r="I866" s="8">
        <v>145.31</v>
      </c>
      <c r="J866" s="8">
        <v>42900</v>
      </c>
      <c r="K866" s="3">
        <v>0</v>
      </c>
      <c r="L866" s="3" t="s">
        <v>3</v>
      </c>
      <c r="M866" s="9" t="s">
        <v>0</v>
      </c>
      <c r="N866" s="9" t="s">
        <v>23</v>
      </c>
      <c r="O866" s="9" t="s">
        <v>305</v>
      </c>
      <c r="S866" s="48" t="s">
        <v>306</v>
      </c>
      <c r="V866" s="10">
        <v>12.5</v>
      </c>
      <c r="W866" s="10" t="s">
        <v>710</v>
      </c>
      <c r="X866" s="17">
        <v>44571</v>
      </c>
      <c r="Y866" s="17">
        <v>44936</v>
      </c>
      <c r="Z866" s="19" t="s">
        <v>772</v>
      </c>
      <c r="AA866" s="210">
        <v>5000</v>
      </c>
      <c r="AB866" s="9">
        <v>60</v>
      </c>
      <c r="AC866" s="9">
        <v>21</v>
      </c>
      <c r="AD866" s="17">
        <v>45593</v>
      </c>
      <c r="AE866" s="56">
        <v>83.33</v>
      </c>
      <c r="AF866" s="56"/>
      <c r="AG866" s="9" t="s">
        <v>134</v>
      </c>
      <c r="AH866" s="17">
        <v>45555</v>
      </c>
      <c r="AI866" s="104">
        <v>41974515</v>
      </c>
      <c r="AJ866" s="127" t="s">
        <v>2408</v>
      </c>
      <c r="AK866" s="9" t="s">
        <v>2443</v>
      </c>
      <c r="AL866" s="11">
        <v>100</v>
      </c>
      <c r="AN866" s="11" t="s">
        <v>2454</v>
      </c>
      <c r="AP866" s="11"/>
      <c r="AQ866" s="11"/>
      <c r="AR866" s="11"/>
      <c r="AW866" s="42">
        <v>45553</v>
      </c>
      <c r="AX866" s="36">
        <v>3180</v>
      </c>
      <c r="AY866" s="36"/>
      <c r="AZ866" s="36"/>
      <c r="BA866" s="161">
        <v>100</v>
      </c>
      <c r="BD866" s="9"/>
      <c r="CS866" s="11">
        <f t="shared" si="61"/>
        <v>100</v>
      </c>
      <c r="CT866" s="22">
        <f t="shared" si="62"/>
        <v>100</v>
      </c>
      <c r="CU866" s="22">
        <f t="shared" si="64"/>
        <v>0</v>
      </c>
      <c r="CV866" s="26">
        <f t="shared" si="63"/>
        <v>-16.670000000000002</v>
      </c>
    </row>
    <row r="867" spans="1:100" x14ac:dyDescent="0.2">
      <c r="A867" s="9" t="s">
        <v>304</v>
      </c>
      <c r="B867" s="2">
        <v>23</v>
      </c>
      <c r="C867" s="3" t="s">
        <v>95</v>
      </c>
      <c r="D867" s="3" t="s">
        <v>96</v>
      </c>
      <c r="E867" s="2" t="s">
        <v>66</v>
      </c>
      <c r="F867" s="2">
        <v>13</v>
      </c>
      <c r="G867" s="2" t="s">
        <v>68</v>
      </c>
      <c r="H867" s="2">
        <v>3</v>
      </c>
      <c r="I867" s="8">
        <v>145.31</v>
      </c>
      <c r="J867" s="8">
        <v>42900</v>
      </c>
      <c r="K867" s="3">
        <v>0</v>
      </c>
      <c r="L867" s="3" t="s">
        <v>3</v>
      </c>
      <c r="M867" s="9" t="s">
        <v>0</v>
      </c>
      <c r="N867" s="9" t="s">
        <v>23</v>
      </c>
      <c r="O867" s="9" t="s">
        <v>305</v>
      </c>
      <c r="S867" s="48" t="s">
        <v>306</v>
      </c>
      <c r="V867" s="10">
        <v>12.5</v>
      </c>
      <c r="W867" s="10" t="s">
        <v>710</v>
      </c>
      <c r="X867" s="17">
        <v>44571</v>
      </c>
      <c r="Y867" s="17">
        <v>44936</v>
      </c>
      <c r="Z867" s="19" t="s">
        <v>772</v>
      </c>
      <c r="AA867" s="210">
        <v>5000</v>
      </c>
      <c r="AB867" s="9">
        <v>60</v>
      </c>
      <c r="AC867" s="9">
        <v>22</v>
      </c>
      <c r="AD867" s="17">
        <v>45624</v>
      </c>
      <c r="AE867" s="56">
        <v>83.33</v>
      </c>
      <c r="AF867" s="56"/>
      <c r="AG867" s="9" t="s">
        <v>134</v>
      </c>
      <c r="AH867" s="17">
        <v>45580</v>
      </c>
      <c r="AI867" s="104">
        <v>41974515</v>
      </c>
      <c r="AJ867" s="127" t="s">
        <v>2408</v>
      </c>
      <c r="AK867" s="9" t="s">
        <v>2444</v>
      </c>
      <c r="AL867" s="11">
        <v>100</v>
      </c>
      <c r="AN867" s="11" t="s">
        <v>2455</v>
      </c>
      <c r="AP867" s="11"/>
      <c r="AQ867" s="11"/>
      <c r="AR867" s="11"/>
      <c r="AW867" s="42">
        <v>45580</v>
      </c>
      <c r="AX867" s="36">
        <v>3282</v>
      </c>
      <c r="AY867" s="36"/>
      <c r="AZ867" s="36"/>
      <c r="BA867" s="161">
        <v>100</v>
      </c>
      <c r="BD867" s="9"/>
      <c r="CS867" s="11">
        <f t="shared" si="61"/>
        <v>100</v>
      </c>
      <c r="CT867" s="22">
        <f t="shared" si="62"/>
        <v>100</v>
      </c>
      <c r="CU867" s="22">
        <f t="shared" si="64"/>
        <v>0</v>
      </c>
      <c r="CV867" s="26">
        <f t="shared" si="63"/>
        <v>-16.670000000000002</v>
      </c>
    </row>
    <row r="868" spans="1:100" x14ac:dyDescent="0.2">
      <c r="A868" s="9" t="s">
        <v>304</v>
      </c>
      <c r="B868" s="2">
        <v>23</v>
      </c>
      <c r="C868" s="3" t="s">
        <v>95</v>
      </c>
      <c r="D868" s="3" t="s">
        <v>96</v>
      </c>
      <c r="E868" s="2" t="s">
        <v>66</v>
      </c>
      <c r="F868" s="2">
        <v>13</v>
      </c>
      <c r="G868" s="2" t="s">
        <v>68</v>
      </c>
      <c r="H868" s="2">
        <v>3</v>
      </c>
      <c r="I868" s="8">
        <v>145.31</v>
      </c>
      <c r="J868" s="8">
        <v>42900</v>
      </c>
      <c r="K868" s="3">
        <v>0</v>
      </c>
      <c r="L868" s="3" t="s">
        <v>3</v>
      </c>
      <c r="M868" s="9" t="s">
        <v>0</v>
      </c>
      <c r="N868" s="9" t="s">
        <v>23</v>
      </c>
      <c r="O868" s="9" t="s">
        <v>305</v>
      </c>
      <c r="S868" s="48" t="s">
        <v>306</v>
      </c>
      <c r="V868" s="10">
        <v>12.5</v>
      </c>
      <c r="W868" s="10" t="s">
        <v>710</v>
      </c>
      <c r="X868" s="17">
        <v>44571</v>
      </c>
      <c r="Y868" s="17">
        <v>44936</v>
      </c>
      <c r="Z868" s="19" t="s">
        <v>772</v>
      </c>
      <c r="AA868" s="210">
        <v>5000</v>
      </c>
      <c r="AB868" s="9">
        <v>60</v>
      </c>
      <c r="AC868" s="9">
        <v>23</v>
      </c>
      <c r="AD868" s="17">
        <v>45654</v>
      </c>
      <c r="AE868" s="56">
        <v>83.33</v>
      </c>
      <c r="AF868" s="56"/>
      <c r="AG868" s="9" t="s">
        <v>134</v>
      </c>
      <c r="AH868" s="17">
        <v>45618</v>
      </c>
      <c r="AI868" s="104">
        <v>41974515</v>
      </c>
      <c r="AJ868" s="127" t="s">
        <v>2408</v>
      </c>
      <c r="AK868" s="9" t="s">
        <v>2445</v>
      </c>
      <c r="AL868" s="11">
        <v>100</v>
      </c>
      <c r="AN868" s="11" t="s">
        <v>2456</v>
      </c>
      <c r="AP868" s="11"/>
      <c r="AQ868" s="11"/>
      <c r="AR868" s="11"/>
      <c r="AW868" s="42">
        <v>45618</v>
      </c>
      <c r="AX868" s="36">
        <v>3433</v>
      </c>
      <c r="AY868" s="36"/>
      <c r="AZ868" s="36"/>
      <c r="BA868" s="161">
        <v>100</v>
      </c>
      <c r="BD868" s="9"/>
      <c r="CS868" s="11">
        <f t="shared" si="61"/>
        <v>100</v>
      </c>
      <c r="CT868" s="22">
        <f t="shared" si="62"/>
        <v>100</v>
      </c>
      <c r="CU868" s="22">
        <f t="shared" si="64"/>
        <v>0</v>
      </c>
      <c r="CV868" s="26">
        <f t="shared" si="63"/>
        <v>-16.670000000000002</v>
      </c>
    </row>
    <row r="869" spans="1:100" x14ac:dyDescent="0.2">
      <c r="A869" s="9" t="s">
        <v>304</v>
      </c>
      <c r="B869" s="2">
        <v>23</v>
      </c>
      <c r="C869" s="3" t="s">
        <v>95</v>
      </c>
      <c r="D869" s="3" t="s">
        <v>96</v>
      </c>
      <c r="E869" s="2" t="s">
        <v>66</v>
      </c>
      <c r="F869" s="2">
        <v>13</v>
      </c>
      <c r="G869" s="2" t="s">
        <v>68</v>
      </c>
      <c r="H869" s="2">
        <v>3</v>
      </c>
      <c r="I869" s="8">
        <v>145.31</v>
      </c>
      <c r="J869" s="8">
        <v>42900</v>
      </c>
      <c r="K869" s="3">
        <v>0</v>
      </c>
      <c r="L869" s="3" t="s">
        <v>3</v>
      </c>
      <c r="M869" s="9" t="s">
        <v>0</v>
      </c>
      <c r="N869" s="9" t="s">
        <v>23</v>
      </c>
      <c r="O869" s="9" t="s">
        <v>305</v>
      </c>
      <c r="S869" s="48" t="s">
        <v>306</v>
      </c>
      <c r="V869" s="10">
        <v>12.5</v>
      </c>
      <c r="W869" s="10" t="s">
        <v>710</v>
      </c>
      <c r="X869" s="17">
        <v>44571</v>
      </c>
      <c r="Y869" s="17">
        <v>44936</v>
      </c>
      <c r="Z869" s="19" t="s">
        <v>772</v>
      </c>
      <c r="AA869" s="210">
        <v>5000</v>
      </c>
      <c r="AB869" s="9">
        <v>60</v>
      </c>
      <c r="AC869" s="9">
        <v>24</v>
      </c>
      <c r="AD869" s="17">
        <v>45685</v>
      </c>
      <c r="AE869" s="56">
        <v>83.33</v>
      </c>
      <c r="AF869" s="56"/>
      <c r="AG869" s="9" t="s">
        <v>134</v>
      </c>
      <c r="AH869" s="17">
        <v>45749</v>
      </c>
      <c r="AI869" s="104">
        <v>41974515</v>
      </c>
      <c r="AJ869" s="127" t="s">
        <v>2408</v>
      </c>
      <c r="AK869" s="9" t="s">
        <v>2457</v>
      </c>
      <c r="AL869" s="11">
        <v>100</v>
      </c>
      <c r="AN869" s="11" t="s">
        <v>2466</v>
      </c>
      <c r="AP869" s="11"/>
      <c r="AQ869" s="11"/>
      <c r="AR869" s="11"/>
      <c r="AW869" s="42">
        <v>45749</v>
      </c>
      <c r="AX869" s="36">
        <v>3958</v>
      </c>
      <c r="AY869" s="36"/>
      <c r="AZ869" s="36"/>
      <c r="BA869" s="161">
        <v>100</v>
      </c>
      <c r="BD869" s="9"/>
      <c r="CS869" s="11">
        <f t="shared" si="61"/>
        <v>100</v>
      </c>
      <c r="CT869" s="22">
        <f t="shared" si="62"/>
        <v>100</v>
      </c>
      <c r="CU869" s="22">
        <f t="shared" si="64"/>
        <v>0</v>
      </c>
      <c r="CV869" s="26">
        <f t="shared" si="63"/>
        <v>-16.670000000000002</v>
      </c>
    </row>
    <row r="870" spans="1:100" x14ac:dyDescent="0.2">
      <c r="A870" s="9" t="s">
        <v>304</v>
      </c>
      <c r="B870" s="2">
        <v>23</v>
      </c>
      <c r="C870" s="3" t="s">
        <v>95</v>
      </c>
      <c r="D870" s="3" t="s">
        <v>96</v>
      </c>
      <c r="E870" s="2" t="s">
        <v>66</v>
      </c>
      <c r="F870" s="2">
        <v>13</v>
      </c>
      <c r="G870" s="2" t="s">
        <v>68</v>
      </c>
      <c r="H870" s="2">
        <v>3</v>
      </c>
      <c r="I870" s="8">
        <v>145.31</v>
      </c>
      <c r="J870" s="8">
        <v>42900</v>
      </c>
      <c r="K870" s="3">
        <v>0</v>
      </c>
      <c r="L870" s="3" t="s">
        <v>3</v>
      </c>
      <c r="M870" s="9" t="s">
        <v>0</v>
      </c>
      <c r="N870" s="9" t="s">
        <v>23</v>
      </c>
      <c r="O870" s="9" t="s">
        <v>305</v>
      </c>
      <c r="S870" s="48" t="s">
        <v>306</v>
      </c>
      <c r="V870" s="10">
        <v>12.5</v>
      </c>
      <c r="W870" s="10" t="s">
        <v>710</v>
      </c>
      <c r="X870" s="17">
        <v>44571</v>
      </c>
      <c r="Y870" s="17">
        <v>44936</v>
      </c>
      <c r="Z870" s="19" t="s">
        <v>772</v>
      </c>
      <c r="AA870" s="210">
        <v>5000</v>
      </c>
      <c r="AB870" s="9">
        <v>60</v>
      </c>
      <c r="AC870" s="9">
        <v>25</v>
      </c>
      <c r="AD870" s="17">
        <v>45716</v>
      </c>
      <c r="AE870" s="56">
        <v>83.33</v>
      </c>
      <c r="AF870" s="56"/>
      <c r="AG870" s="9" t="s">
        <v>134</v>
      </c>
      <c r="AH870" s="17">
        <v>45749</v>
      </c>
      <c r="AI870" s="104">
        <v>41974515</v>
      </c>
      <c r="AJ870" s="127" t="s">
        <v>2408</v>
      </c>
      <c r="AK870" s="9" t="s">
        <v>2458</v>
      </c>
      <c r="AL870" s="11">
        <v>100</v>
      </c>
      <c r="AN870" s="11" t="s">
        <v>2467</v>
      </c>
      <c r="AP870" s="11"/>
      <c r="AQ870" s="11"/>
      <c r="AR870" s="11"/>
      <c r="AW870" s="42">
        <v>45749</v>
      </c>
      <c r="AX870" s="36">
        <v>3958</v>
      </c>
      <c r="AY870" s="36"/>
      <c r="AZ870" s="36"/>
      <c r="BA870" s="161">
        <v>100</v>
      </c>
      <c r="BD870" s="9"/>
      <c r="CS870" s="11">
        <f t="shared" si="61"/>
        <v>100</v>
      </c>
      <c r="CT870" s="22">
        <f t="shared" si="62"/>
        <v>100</v>
      </c>
      <c r="CU870" s="22">
        <f t="shared" si="64"/>
        <v>0</v>
      </c>
      <c r="CV870" s="26">
        <f t="shared" si="63"/>
        <v>-16.670000000000002</v>
      </c>
    </row>
    <row r="871" spans="1:100" x14ac:dyDescent="0.2">
      <c r="A871" s="9" t="s">
        <v>304</v>
      </c>
      <c r="B871" s="2">
        <v>23</v>
      </c>
      <c r="C871" s="3" t="s">
        <v>95</v>
      </c>
      <c r="D871" s="3" t="s">
        <v>96</v>
      </c>
      <c r="E871" s="2" t="s">
        <v>66</v>
      </c>
      <c r="F871" s="2">
        <v>13</v>
      </c>
      <c r="G871" s="2" t="s">
        <v>68</v>
      </c>
      <c r="H871" s="2">
        <v>3</v>
      </c>
      <c r="I871" s="8">
        <v>145.31</v>
      </c>
      <c r="J871" s="8">
        <v>42900</v>
      </c>
      <c r="K871" s="3">
        <v>0</v>
      </c>
      <c r="L871" s="3" t="s">
        <v>3</v>
      </c>
      <c r="M871" s="9" t="s">
        <v>0</v>
      </c>
      <c r="N871" s="9" t="s">
        <v>23</v>
      </c>
      <c r="O871" s="9" t="s">
        <v>305</v>
      </c>
      <c r="S871" s="48" t="s">
        <v>306</v>
      </c>
      <c r="V871" s="10">
        <v>12.5</v>
      </c>
      <c r="W871" s="10" t="s">
        <v>710</v>
      </c>
      <c r="X871" s="17">
        <v>44571</v>
      </c>
      <c r="Y871" s="17">
        <v>44936</v>
      </c>
      <c r="Z871" s="19" t="s">
        <v>772</v>
      </c>
      <c r="AA871" s="210">
        <v>5000</v>
      </c>
      <c r="AB871" s="9">
        <v>60</v>
      </c>
      <c r="AC871" s="9">
        <v>26</v>
      </c>
      <c r="AD871" s="17">
        <v>45744</v>
      </c>
      <c r="AE871" s="56">
        <v>83.33</v>
      </c>
      <c r="AF871" s="56"/>
      <c r="AG871" s="9" t="s">
        <v>134</v>
      </c>
      <c r="AH871" s="17">
        <v>45749</v>
      </c>
      <c r="AI871" s="104">
        <v>41974515</v>
      </c>
      <c r="AJ871" s="127" t="s">
        <v>2408</v>
      </c>
      <c r="AK871" s="9" t="s">
        <v>2459</v>
      </c>
      <c r="AL871" s="11">
        <v>100</v>
      </c>
      <c r="AN871" s="11" t="s">
        <v>2468</v>
      </c>
      <c r="AP871" s="11"/>
      <c r="AQ871" s="11"/>
      <c r="AR871" s="11"/>
      <c r="AW871" s="42">
        <v>45749</v>
      </c>
      <c r="AX871" s="36">
        <v>3958</v>
      </c>
      <c r="AY871" s="36"/>
      <c r="AZ871" s="36"/>
      <c r="BA871" s="161">
        <v>100</v>
      </c>
      <c r="BD871" s="9"/>
      <c r="CS871" s="11">
        <f t="shared" si="61"/>
        <v>100</v>
      </c>
      <c r="CT871" s="22">
        <f t="shared" si="62"/>
        <v>100</v>
      </c>
      <c r="CU871" s="22">
        <f t="shared" si="64"/>
        <v>0</v>
      </c>
      <c r="CV871" s="26">
        <f t="shared" si="63"/>
        <v>-16.670000000000002</v>
      </c>
    </row>
    <row r="872" spans="1:100" x14ac:dyDescent="0.2">
      <c r="A872" s="9" t="s">
        <v>304</v>
      </c>
      <c r="B872" s="2">
        <v>23</v>
      </c>
      <c r="C872" s="3" t="s">
        <v>95</v>
      </c>
      <c r="D872" s="3" t="s">
        <v>96</v>
      </c>
      <c r="E872" s="2" t="s">
        <v>66</v>
      </c>
      <c r="F872" s="2">
        <v>13</v>
      </c>
      <c r="G872" s="2" t="s">
        <v>68</v>
      </c>
      <c r="H872" s="2">
        <v>3</v>
      </c>
      <c r="I872" s="8">
        <v>145.31</v>
      </c>
      <c r="J872" s="8">
        <v>42900</v>
      </c>
      <c r="K872" s="3">
        <v>0</v>
      </c>
      <c r="L872" s="3" t="s">
        <v>3</v>
      </c>
      <c r="M872" s="9" t="s">
        <v>0</v>
      </c>
      <c r="N872" s="9" t="s">
        <v>23</v>
      </c>
      <c r="O872" s="9" t="s">
        <v>305</v>
      </c>
      <c r="S872" s="48" t="s">
        <v>306</v>
      </c>
      <c r="V872" s="10">
        <v>12.5</v>
      </c>
      <c r="W872" s="10" t="s">
        <v>710</v>
      </c>
      <c r="X872" s="17">
        <v>44571</v>
      </c>
      <c r="Y872" s="17">
        <v>44936</v>
      </c>
      <c r="Z872" s="19" t="s">
        <v>772</v>
      </c>
      <c r="AA872" s="210">
        <v>5000</v>
      </c>
      <c r="AB872" s="9">
        <v>60</v>
      </c>
      <c r="AC872" s="9">
        <v>27</v>
      </c>
      <c r="AD872" s="17">
        <v>45775</v>
      </c>
      <c r="AE872" s="56">
        <v>83.33</v>
      </c>
      <c r="AF872" s="56"/>
      <c r="AG872" s="9" t="s">
        <v>134</v>
      </c>
      <c r="AH872" s="17">
        <v>45749</v>
      </c>
      <c r="AI872" s="104">
        <v>41974515</v>
      </c>
      <c r="AJ872" s="127" t="s">
        <v>2408</v>
      </c>
      <c r="AK872" s="9" t="s">
        <v>2460</v>
      </c>
      <c r="AL872" s="11">
        <v>100</v>
      </c>
      <c r="AN872" s="11" t="s">
        <v>2469</v>
      </c>
      <c r="AP872" s="11"/>
      <c r="AQ872" s="11"/>
      <c r="AR872" s="11"/>
      <c r="AW872" s="42">
        <v>45749</v>
      </c>
      <c r="AX872" s="36">
        <v>3958</v>
      </c>
      <c r="AY872" s="36"/>
      <c r="AZ872" s="36"/>
      <c r="BA872" s="161">
        <v>100</v>
      </c>
      <c r="BD872" s="9"/>
      <c r="CS872" s="11">
        <f t="shared" si="61"/>
        <v>100</v>
      </c>
      <c r="CT872" s="22">
        <f t="shared" si="62"/>
        <v>100</v>
      </c>
      <c r="CU872" s="22">
        <f t="shared" si="64"/>
        <v>0</v>
      </c>
      <c r="CV872" s="26">
        <f t="shared" si="63"/>
        <v>-16.670000000000002</v>
      </c>
    </row>
    <row r="873" spans="1:100" x14ac:dyDescent="0.2">
      <c r="A873" s="9" t="s">
        <v>304</v>
      </c>
      <c r="B873" s="2">
        <v>23</v>
      </c>
      <c r="C873" s="3" t="s">
        <v>95</v>
      </c>
      <c r="D873" s="3" t="s">
        <v>96</v>
      </c>
      <c r="E873" s="2" t="s">
        <v>66</v>
      </c>
      <c r="F873" s="2">
        <v>13</v>
      </c>
      <c r="G873" s="2" t="s">
        <v>68</v>
      </c>
      <c r="H873" s="2">
        <v>3</v>
      </c>
      <c r="I873" s="8">
        <v>145.31</v>
      </c>
      <c r="J873" s="8">
        <v>42900</v>
      </c>
      <c r="K873" s="3">
        <v>0</v>
      </c>
      <c r="L873" s="3" t="s">
        <v>3</v>
      </c>
      <c r="M873" s="9" t="s">
        <v>0</v>
      </c>
      <c r="N873" s="9" t="s">
        <v>23</v>
      </c>
      <c r="O873" s="9" t="s">
        <v>305</v>
      </c>
      <c r="S873" s="48" t="s">
        <v>306</v>
      </c>
      <c r="V873" s="10">
        <v>12.5</v>
      </c>
      <c r="W873" s="10" t="s">
        <v>710</v>
      </c>
      <c r="X873" s="17">
        <v>44571</v>
      </c>
      <c r="Y873" s="17">
        <v>44936</v>
      </c>
      <c r="Z873" s="19" t="s">
        <v>772</v>
      </c>
      <c r="AA873" s="210">
        <v>5000</v>
      </c>
      <c r="AB873" s="9">
        <v>60</v>
      </c>
      <c r="AC873" s="9">
        <v>28</v>
      </c>
      <c r="AD873" s="17">
        <v>45805</v>
      </c>
      <c r="AE873" s="56">
        <v>83.33</v>
      </c>
      <c r="AF873" s="56"/>
      <c r="AG873" s="9" t="s">
        <v>134</v>
      </c>
      <c r="AH873" s="17">
        <v>45827</v>
      </c>
      <c r="AI873" s="104">
        <v>41974515</v>
      </c>
      <c r="AJ873" s="127" t="s">
        <v>2408</v>
      </c>
      <c r="AK873" s="9" t="s">
        <v>2461</v>
      </c>
      <c r="AL873" s="11">
        <v>100</v>
      </c>
      <c r="AN873" s="11" t="s">
        <v>2470</v>
      </c>
      <c r="AP873" s="11"/>
      <c r="AQ873" s="11"/>
      <c r="AR873" s="11"/>
      <c r="AW873" s="42">
        <v>45827</v>
      </c>
      <c r="AX873" s="36">
        <v>4321</v>
      </c>
      <c r="AY873" s="36"/>
      <c r="AZ873" s="36"/>
      <c r="BA873" s="161">
        <v>100</v>
      </c>
      <c r="BD873" s="9"/>
      <c r="CS873" s="11">
        <f t="shared" si="61"/>
        <v>100</v>
      </c>
      <c r="CT873" s="22">
        <f t="shared" si="62"/>
        <v>100</v>
      </c>
      <c r="CU873" s="22">
        <f t="shared" si="64"/>
        <v>0</v>
      </c>
      <c r="CV873" s="26">
        <f t="shared" si="63"/>
        <v>-16.670000000000002</v>
      </c>
    </row>
    <row r="874" spans="1:100" x14ac:dyDescent="0.2">
      <c r="A874" s="9" t="s">
        <v>304</v>
      </c>
      <c r="B874" s="2">
        <v>23</v>
      </c>
      <c r="C874" s="3" t="s">
        <v>95</v>
      </c>
      <c r="D874" s="3" t="s">
        <v>96</v>
      </c>
      <c r="E874" s="2" t="s">
        <v>66</v>
      </c>
      <c r="F874" s="2">
        <v>13</v>
      </c>
      <c r="G874" s="2" t="s">
        <v>68</v>
      </c>
      <c r="H874" s="2">
        <v>3</v>
      </c>
      <c r="I874" s="8">
        <v>145.31</v>
      </c>
      <c r="J874" s="8">
        <v>42900</v>
      </c>
      <c r="K874" s="3">
        <v>0</v>
      </c>
      <c r="L874" s="3" t="s">
        <v>3</v>
      </c>
      <c r="M874" s="9" t="s">
        <v>0</v>
      </c>
      <c r="N874" s="9" t="s">
        <v>23</v>
      </c>
      <c r="O874" s="9" t="s">
        <v>305</v>
      </c>
      <c r="S874" s="48" t="s">
        <v>306</v>
      </c>
      <c r="V874" s="10">
        <v>12.5</v>
      </c>
      <c r="W874" s="10" t="s">
        <v>710</v>
      </c>
      <c r="X874" s="17">
        <v>44571</v>
      </c>
      <c r="Y874" s="17">
        <v>44936</v>
      </c>
      <c r="Z874" s="19" t="s">
        <v>772</v>
      </c>
      <c r="AA874" s="210">
        <v>5000</v>
      </c>
      <c r="AB874" s="9">
        <v>60</v>
      </c>
      <c r="AC874" s="9">
        <v>29</v>
      </c>
      <c r="AD874" s="17">
        <v>45836</v>
      </c>
      <c r="AE874" s="56">
        <v>83.33</v>
      </c>
      <c r="AF874" s="56"/>
      <c r="AG874" s="9" t="s">
        <v>134</v>
      </c>
      <c r="AH874" s="17">
        <v>45827</v>
      </c>
      <c r="AI874" s="104">
        <v>41974515</v>
      </c>
      <c r="AJ874" s="127" t="s">
        <v>2408</v>
      </c>
      <c r="AK874" s="9" t="s">
        <v>2462</v>
      </c>
      <c r="AL874" s="11">
        <v>100</v>
      </c>
      <c r="AN874" s="11" t="s">
        <v>2471</v>
      </c>
      <c r="AP874" s="11"/>
      <c r="AQ874" s="11"/>
      <c r="AR874" s="11"/>
      <c r="AW874" s="42">
        <v>45827</v>
      </c>
      <c r="AX874" s="36">
        <v>4321</v>
      </c>
      <c r="AY874" s="36"/>
      <c r="AZ874" s="36"/>
      <c r="BA874" s="161">
        <v>100</v>
      </c>
      <c r="BD874" s="9"/>
      <c r="CS874" s="11">
        <f t="shared" si="61"/>
        <v>100</v>
      </c>
      <c r="CT874" s="22">
        <f t="shared" si="62"/>
        <v>100</v>
      </c>
      <c r="CU874" s="22">
        <f t="shared" si="64"/>
        <v>0</v>
      </c>
      <c r="CV874" s="26">
        <f t="shared" si="63"/>
        <v>-16.670000000000002</v>
      </c>
    </row>
    <row r="875" spans="1:100" x14ac:dyDescent="0.2">
      <c r="A875" s="9" t="s">
        <v>304</v>
      </c>
      <c r="B875" s="2">
        <v>23</v>
      </c>
      <c r="C875" s="3" t="s">
        <v>95</v>
      </c>
      <c r="D875" s="3" t="s">
        <v>96</v>
      </c>
      <c r="E875" s="2" t="s">
        <v>66</v>
      </c>
      <c r="F875" s="2">
        <v>13</v>
      </c>
      <c r="G875" s="2" t="s">
        <v>68</v>
      </c>
      <c r="H875" s="2">
        <v>3</v>
      </c>
      <c r="I875" s="8">
        <v>145.31</v>
      </c>
      <c r="J875" s="8">
        <v>42900</v>
      </c>
      <c r="K875" s="3">
        <v>0</v>
      </c>
      <c r="L875" s="3" t="s">
        <v>3</v>
      </c>
      <c r="M875" s="9" t="s">
        <v>0</v>
      </c>
      <c r="N875" s="9" t="s">
        <v>23</v>
      </c>
      <c r="O875" s="9" t="s">
        <v>305</v>
      </c>
      <c r="S875" s="48" t="s">
        <v>306</v>
      </c>
      <c r="V875" s="10">
        <v>12.5</v>
      </c>
      <c r="W875" s="10" t="s">
        <v>710</v>
      </c>
      <c r="X875" s="17">
        <v>44571</v>
      </c>
      <c r="Y875" s="17">
        <v>44936</v>
      </c>
      <c r="Z875" s="19" t="s">
        <v>772</v>
      </c>
      <c r="AA875" s="210">
        <v>5000</v>
      </c>
      <c r="AB875" s="9">
        <v>60</v>
      </c>
      <c r="AC875" s="9">
        <v>30</v>
      </c>
      <c r="AD875" s="17">
        <v>45866</v>
      </c>
      <c r="AE875" s="56">
        <v>83.33</v>
      </c>
      <c r="AF875" s="56"/>
      <c r="AG875" s="9" t="s">
        <v>134</v>
      </c>
      <c r="AH875" s="17">
        <v>45827</v>
      </c>
      <c r="AI875" s="104">
        <v>41974515</v>
      </c>
      <c r="AJ875" s="127" t="s">
        <v>2408</v>
      </c>
      <c r="AK875" s="9" t="s">
        <v>2463</v>
      </c>
      <c r="AL875" s="11">
        <v>100</v>
      </c>
      <c r="AN875" s="11" t="s">
        <v>2472</v>
      </c>
      <c r="AP875" s="11"/>
      <c r="AQ875" s="11"/>
      <c r="AR875" s="11"/>
      <c r="AW875" s="42">
        <v>45827</v>
      </c>
      <c r="AX875" s="36">
        <v>4321</v>
      </c>
      <c r="AY875" s="36"/>
      <c r="AZ875" s="36"/>
      <c r="BA875" s="161">
        <v>100</v>
      </c>
      <c r="BD875" s="9"/>
      <c r="CS875" s="11">
        <f t="shared" si="61"/>
        <v>100</v>
      </c>
      <c r="CT875" s="22">
        <f t="shared" si="62"/>
        <v>100</v>
      </c>
      <c r="CU875" s="22">
        <f t="shared" si="64"/>
        <v>0</v>
      </c>
      <c r="CV875" s="26">
        <f t="shared" si="63"/>
        <v>-16.670000000000002</v>
      </c>
    </row>
    <row r="876" spans="1:100" x14ac:dyDescent="0.2">
      <c r="A876" s="9" t="s">
        <v>304</v>
      </c>
      <c r="B876" s="2">
        <v>23</v>
      </c>
      <c r="C876" s="3" t="s">
        <v>95</v>
      </c>
      <c r="D876" s="3" t="s">
        <v>96</v>
      </c>
      <c r="E876" s="2" t="s">
        <v>66</v>
      </c>
      <c r="F876" s="2">
        <v>13</v>
      </c>
      <c r="G876" s="2" t="s">
        <v>68</v>
      </c>
      <c r="H876" s="2">
        <v>3</v>
      </c>
      <c r="I876" s="8">
        <v>145.31</v>
      </c>
      <c r="J876" s="8">
        <v>42900</v>
      </c>
      <c r="K876" s="3">
        <v>0</v>
      </c>
      <c r="L876" s="3" t="s">
        <v>3</v>
      </c>
      <c r="M876" s="9" t="s">
        <v>0</v>
      </c>
      <c r="N876" s="9" t="s">
        <v>23</v>
      </c>
      <c r="O876" s="9" t="s">
        <v>305</v>
      </c>
      <c r="S876" s="48" t="s">
        <v>306</v>
      </c>
      <c r="V876" s="10">
        <v>12.5</v>
      </c>
      <c r="W876" s="10" t="s">
        <v>710</v>
      </c>
      <c r="X876" s="17">
        <v>44571</v>
      </c>
      <c r="Y876" s="17">
        <v>44936</v>
      </c>
      <c r="Z876" s="19" t="s">
        <v>772</v>
      </c>
      <c r="AA876" s="210">
        <v>5000</v>
      </c>
      <c r="AB876" s="9">
        <v>60</v>
      </c>
      <c r="AC876" s="9">
        <v>31</v>
      </c>
      <c r="AD876" s="17">
        <v>45897</v>
      </c>
      <c r="AE876" s="56">
        <v>83.33</v>
      </c>
      <c r="AF876" s="56"/>
      <c r="AG876" s="9" t="s">
        <v>134</v>
      </c>
      <c r="AH876" s="17">
        <v>45827</v>
      </c>
      <c r="AI876" s="104">
        <v>41974515</v>
      </c>
      <c r="AJ876" s="127" t="s">
        <v>2408</v>
      </c>
      <c r="AK876" s="9" t="s">
        <v>2464</v>
      </c>
      <c r="AL876" s="11">
        <v>100</v>
      </c>
      <c r="AN876" s="11" t="s">
        <v>2473</v>
      </c>
      <c r="AP876" s="11"/>
      <c r="AQ876" s="11"/>
      <c r="AR876" s="11"/>
      <c r="AW876" s="42">
        <v>45827</v>
      </c>
      <c r="AX876" s="36">
        <v>4321</v>
      </c>
      <c r="AY876" s="36"/>
      <c r="AZ876" s="36"/>
      <c r="BA876" s="161">
        <v>100</v>
      </c>
      <c r="BD876" s="9"/>
      <c r="CS876" s="11">
        <f t="shared" si="61"/>
        <v>100</v>
      </c>
      <c r="CT876" s="22">
        <f t="shared" si="62"/>
        <v>100</v>
      </c>
      <c r="CU876" s="22">
        <f t="shared" si="64"/>
        <v>0</v>
      </c>
      <c r="CV876" s="26">
        <f t="shared" si="63"/>
        <v>-16.670000000000002</v>
      </c>
    </row>
    <row r="877" spans="1:100" x14ac:dyDescent="0.2">
      <c r="A877" s="9" t="s">
        <v>304</v>
      </c>
      <c r="B877" s="2">
        <v>23</v>
      </c>
      <c r="C877" s="3" t="s">
        <v>95</v>
      </c>
      <c r="D877" s="3" t="s">
        <v>96</v>
      </c>
      <c r="E877" s="2" t="s">
        <v>66</v>
      </c>
      <c r="F877" s="2">
        <v>13</v>
      </c>
      <c r="G877" s="2" t="s">
        <v>68</v>
      </c>
      <c r="H877" s="2">
        <v>3</v>
      </c>
      <c r="I877" s="8">
        <v>145.31</v>
      </c>
      <c r="J877" s="8">
        <v>42900</v>
      </c>
      <c r="K877" s="3">
        <v>0</v>
      </c>
      <c r="L877" s="3" t="s">
        <v>3</v>
      </c>
      <c r="M877" s="9" t="s">
        <v>0</v>
      </c>
      <c r="N877" s="9" t="s">
        <v>23</v>
      </c>
      <c r="O877" s="9" t="s">
        <v>305</v>
      </c>
      <c r="S877" s="48" t="s">
        <v>306</v>
      </c>
      <c r="V877" s="10">
        <v>12.5</v>
      </c>
      <c r="W877" s="10" t="s">
        <v>710</v>
      </c>
      <c r="X877" s="17">
        <v>44571</v>
      </c>
      <c r="Y877" s="17">
        <v>44936</v>
      </c>
      <c r="Z877" s="19" t="s">
        <v>772</v>
      </c>
      <c r="AA877" s="210">
        <v>5000</v>
      </c>
      <c r="AB877" s="9">
        <v>60</v>
      </c>
      <c r="AC877" s="9">
        <v>32</v>
      </c>
      <c r="AD877" s="17">
        <v>45928</v>
      </c>
      <c r="AE877" s="56">
        <v>83.33</v>
      </c>
      <c r="AF877" s="56"/>
      <c r="AG877" s="9" t="s">
        <v>134</v>
      </c>
      <c r="AH877" s="17">
        <v>45887</v>
      </c>
      <c r="AI877" s="104">
        <v>41974515</v>
      </c>
      <c r="AJ877" s="127" t="s">
        <v>2408</v>
      </c>
      <c r="AK877" s="9" t="s">
        <v>2465</v>
      </c>
      <c r="AL877" s="11">
        <v>100</v>
      </c>
      <c r="AN877" s="11" t="s">
        <v>2474</v>
      </c>
      <c r="AP877" s="11"/>
      <c r="AQ877" s="11"/>
      <c r="AR877" s="11"/>
      <c r="AW877" s="42">
        <v>45887</v>
      </c>
      <c r="AX877" s="36">
        <v>4586</v>
      </c>
      <c r="AY877" s="36"/>
      <c r="AZ877" s="36"/>
      <c r="BA877" s="161">
        <v>100</v>
      </c>
      <c r="BD877" s="9"/>
      <c r="CS877" s="11">
        <f t="shared" si="61"/>
        <v>100</v>
      </c>
      <c r="CT877" s="22">
        <f t="shared" si="62"/>
        <v>100</v>
      </c>
      <c r="CU877" s="22">
        <f t="shared" si="64"/>
        <v>0</v>
      </c>
      <c r="CV877" s="26">
        <f t="shared" si="63"/>
        <v>-16.670000000000002</v>
      </c>
    </row>
    <row r="878" spans="1:100" x14ac:dyDescent="0.2">
      <c r="A878" s="9" t="s">
        <v>304</v>
      </c>
      <c r="B878" s="2">
        <v>23</v>
      </c>
      <c r="C878" s="3" t="s">
        <v>95</v>
      </c>
      <c r="D878" s="3" t="s">
        <v>96</v>
      </c>
      <c r="E878" s="2" t="s">
        <v>66</v>
      </c>
      <c r="F878" s="2">
        <v>13</v>
      </c>
      <c r="G878" s="2" t="s">
        <v>68</v>
      </c>
      <c r="H878" s="2">
        <v>3</v>
      </c>
      <c r="I878" s="8">
        <v>145.31</v>
      </c>
      <c r="J878" s="8">
        <v>42900</v>
      </c>
      <c r="K878" s="3">
        <v>0</v>
      </c>
      <c r="L878" s="3" t="s">
        <v>3</v>
      </c>
      <c r="M878" s="9" t="s">
        <v>0</v>
      </c>
      <c r="N878" s="9" t="s">
        <v>23</v>
      </c>
      <c r="O878" s="9" t="s">
        <v>305</v>
      </c>
      <c r="S878" s="48" t="s">
        <v>306</v>
      </c>
      <c r="V878" s="10">
        <v>12.5</v>
      </c>
      <c r="W878" s="10" t="s">
        <v>710</v>
      </c>
      <c r="X878" s="17">
        <v>44571</v>
      </c>
      <c r="Y878" s="17">
        <v>44936</v>
      </c>
      <c r="Z878" s="19" t="s">
        <v>772</v>
      </c>
      <c r="AA878" s="210">
        <v>5000</v>
      </c>
      <c r="AB878" s="9">
        <v>60</v>
      </c>
      <c r="AC878" s="9">
        <v>33</v>
      </c>
      <c r="AD878" s="17">
        <v>45958</v>
      </c>
      <c r="AE878" s="56">
        <v>83.33</v>
      </c>
      <c r="AF878" s="56"/>
      <c r="AP878" s="11"/>
      <c r="AQ878" s="11"/>
      <c r="AR878" s="11"/>
      <c r="AW878" s="9"/>
      <c r="BD878" s="9"/>
      <c r="CS878" s="11">
        <f t="shared" si="61"/>
        <v>0</v>
      </c>
      <c r="CT878" s="22">
        <f t="shared" si="62"/>
        <v>0</v>
      </c>
      <c r="CU878" s="22">
        <f t="shared" si="64"/>
        <v>0</v>
      </c>
      <c r="CV878" s="26">
        <f t="shared" si="63"/>
        <v>83.33</v>
      </c>
    </row>
    <row r="879" spans="1:100" x14ac:dyDescent="0.2">
      <c r="A879" s="9" t="s">
        <v>304</v>
      </c>
      <c r="B879" s="2">
        <v>23</v>
      </c>
      <c r="C879" s="3" t="s">
        <v>95</v>
      </c>
      <c r="D879" s="3" t="s">
        <v>96</v>
      </c>
      <c r="E879" s="2" t="s">
        <v>66</v>
      </c>
      <c r="F879" s="2">
        <v>13</v>
      </c>
      <c r="G879" s="2" t="s">
        <v>68</v>
      </c>
      <c r="H879" s="2">
        <v>3</v>
      </c>
      <c r="I879" s="8">
        <v>145.31</v>
      </c>
      <c r="J879" s="8">
        <v>42900</v>
      </c>
      <c r="K879" s="3">
        <v>0</v>
      </c>
      <c r="L879" s="3" t="s">
        <v>3</v>
      </c>
      <c r="M879" s="9" t="s">
        <v>0</v>
      </c>
      <c r="N879" s="9" t="s">
        <v>23</v>
      </c>
      <c r="O879" s="9" t="s">
        <v>305</v>
      </c>
      <c r="S879" s="48" t="s">
        <v>306</v>
      </c>
      <c r="V879" s="10">
        <v>12.5</v>
      </c>
      <c r="W879" s="10" t="s">
        <v>710</v>
      </c>
      <c r="X879" s="17">
        <v>44571</v>
      </c>
      <c r="Y879" s="17">
        <v>44936</v>
      </c>
      <c r="Z879" s="19" t="s">
        <v>772</v>
      </c>
      <c r="AA879" s="210">
        <v>5000</v>
      </c>
      <c r="AB879" s="9">
        <v>60</v>
      </c>
      <c r="AC879" s="9">
        <v>34</v>
      </c>
      <c r="AD879" s="17">
        <v>45989</v>
      </c>
      <c r="AE879" s="56">
        <v>83.33</v>
      </c>
      <c r="AF879" s="56"/>
      <c r="AP879" s="11"/>
      <c r="AQ879" s="11"/>
      <c r="AR879" s="11"/>
      <c r="AW879" s="9"/>
      <c r="BD879" s="9"/>
      <c r="CS879" s="11">
        <f t="shared" si="61"/>
        <v>0</v>
      </c>
      <c r="CT879" s="22">
        <f t="shared" si="62"/>
        <v>0</v>
      </c>
      <c r="CU879" s="22">
        <f t="shared" si="64"/>
        <v>0</v>
      </c>
      <c r="CV879" s="26">
        <f t="shared" si="63"/>
        <v>83.33</v>
      </c>
    </row>
    <row r="880" spans="1:100" x14ac:dyDescent="0.2">
      <c r="A880" s="9" t="s">
        <v>304</v>
      </c>
      <c r="B880" s="2">
        <v>23</v>
      </c>
      <c r="C880" s="3" t="s">
        <v>95</v>
      </c>
      <c r="D880" s="3" t="s">
        <v>96</v>
      </c>
      <c r="E880" s="2" t="s">
        <v>66</v>
      </c>
      <c r="F880" s="2">
        <v>13</v>
      </c>
      <c r="G880" s="2" t="s">
        <v>68</v>
      </c>
      <c r="H880" s="2">
        <v>3</v>
      </c>
      <c r="I880" s="8">
        <v>145.31</v>
      </c>
      <c r="J880" s="8">
        <v>42900</v>
      </c>
      <c r="K880" s="3">
        <v>0</v>
      </c>
      <c r="L880" s="3" t="s">
        <v>3</v>
      </c>
      <c r="M880" s="9" t="s">
        <v>0</v>
      </c>
      <c r="N880" s="9" t="s">
        <v>23</v>
      </c>
      <c r="O880" s="9" t="s">
        <v>305</v>
      </c>
      <c r="S880" s="48" t="s">
        <v>306</v>
      </c>
      <c r="V880" s="10">
        <v>12.5</v>
      </c>
      <c r="W880" s="10" t="s">
        <v>710</v>
      </c>
      <c r="X880" s="17">
        <v>44571</v>
      </c>
      <c r="Y880" s="17">
        <v>44936</v>
      </c>
      <c r="Z880" s="19" t="s">
        <v>772</v>
      </c>
      <c r="AA880" s="210">
        <v>5000</v>
      </c>
      <c r="AB880" s="9">
        <v>60</v>
      </c>
      <c r="AC880" s="9">
        <v>35</v>
      </c>
      <c r="AD880" s="17">
        <v>46019</v>
      </c>
      <c r="AE880" s="56">
        <v>83.33</v>
      </c>
      <c r="AF880" s="56"/>
      <c r="AP880" s="11"/>
      <c r="AQ880" s="11"/>
      <c r="AR880" s="11"/>
      <c r="AW880" s="9"/>
      <c r="BD880" s="9"/>
      <c r="CS880" s="11">
        <f t="shared" si="61"/>
        <v>0</v>
      </c>
      <c r="CT880" s="22">
        <f t="shared" si="62"/>
        <v>0</v>
      </c>
      <c r="CU880" s="22">
        <f t="shared" si="64"/>
        <v>0</v>
      </c>
      <c r="CV880" s="26">
        <f t="shared" si="63"/>
        <v>83.33</v>
      </c>
    </row>
    <row r="881" spans="1:100" x14ac:dyDescent="0.2">
      <c r="A881" s="9" t="s">
        <v>304</v>
      </c>
      <c r="B881" s="2">
        <v>23</v>
      </c>
      <c r="C881" s="3" t="s">
        <v>95</v>
      </c>
      <c r="D881" s="3" t="s">
        <v>96</v>
      </c>
      <c r="E881" s="2" t="s">
        <v>66</v>
      </c>
      <c r="F881" s="2">
        <v>13</v>
      </c>
      <c r="G881" s="2" t="s">
        <v>68</v>
      </c>
      <c r="H881" s="2">
        <v>3</v>
      </c>
      <c r="I881" s="8">
        <v>145.31</v>
      </c>
      <c r="J881" s="8">
        <v>42900</v>
      </c>
      <c r="K881" s="3">
        <v>0</v>
      </c>
      <c r="L881" s="3" t="s">
        <v>3</v>
      </c>
      <c r="M881" s="9" t="s">
        <v>0</v>
      </c>
      <c r="N881" s="9" t="s">
        <v>23</v>
      </c>
      <c r="O881" s="9" t="s">
        <v>305</v>
      </c>
      <c r="S881" s="48" t="s">
        <v>306</v>
      </c>
      <c r="V881" s="10">
        <v>12.5</v>
      </c>
      <c r="W881" s="10" t="s">
        <v>710</v>
      </c>
      <c r="X881" s="17">
        <v>44571</v>
      </c>
      <c r="Y881" s="17">
        <v>44936</v>
      </c>
      <c r="Z881" s="19" t="s">
        <v>772</v>
      </c>
      <c r="AA881" s="210">
        <v>5000</v>
      </c>
      <c r="AB881" s="9">
        <v>60</v>
      </c>
      <c r="AC881" s="9">
        <v>36</v>
      </c>
      <c r="AD881" s="17">
        <v>46050</v>
      </c>
      <c r="AE881" s="56">
        <v>83.33</v>
      </c>
      <c r="AF881" s="56"/>
      <c r="AP881" s="11"/>
      <c r="AQ881" s="11"/>
      <c r="AR881" s="11"/>
      <c r="AW881" s="9"/>
      <c r="BD881" s="9"/>
      <c r="CS881" s="11">
        <f t="shared" si="61"/>
        <v>0</v>
      </c>
      <c r="CT881" s="22">
        <f t="shared" si="62"/>
        <v>0</v>
      </c>
      <c r="CU881" s="22">
        <f t="shared" si="64"/>
        <v>0</v>
      </c>
      <c r="CV881" s="26">
        <f t="shared" si="63"/>
        <v>83.33</v>
      </c>
    </row>
    <row r="882" spans="1:100" x14ac:dyDescent="0.2">
      <c r="A882" s="9" t="s">
        <v>304</v>
      </c>
      <c r="B882" s="2">
        <v>23</v>
      </c>
      <c r="C882" s="3" t="s">
        <v>95</v>
      </c>
      <c r="D882" s="3" t="s">
        <v>96</v>
      </c>
      <c r="E882" s="2" t="s">
        <v>66</v>
      </c>
      <c r="F882" s="2">
        <v>13</v>
      </c>
      <c r="G882" s="2" t="s">
        <v>68</v>
      </c>
      <c r="H882" s="2">
        <v>3</v>
      </c>
      <c r="I882" s="8">
        <v>145.31</v>
      </c>
      <c r="J882" s="8">
        <v>42900</v>
      </c>
      <c r="K882" s="3">
        <v>0</v>
      </c>
      <c r="L882" s="3" t="s">
        <v>3</v>
      </c>
      <c r="M882" s="9" t="s">
        <v>0</v>
      </c>
      <c r="N882" s="9" t="s">
        <v>23</v>
      </c>
      <c r="O882" s="9" t="s">
        <v>305</v>
      </c>
      <c r="S882" s="48" t="s">
        <v>306</v>
      </c>
      <c r="V882" s="10">
        <v>12.5</v>
      </c>
      <c r="W882" s="10" t="s">
        <v>710</v>
      </c>
      <c r="X882" s="17">
        <v>44571</v>
      </c>
      <c r="Y882" s="17">
        <v>44936</v>
      </c>
      <c r="Z882" s="19" t="s">
        <v>772</v>
      </c>
      <c r="AA882" s="210">
        <v>5000</v>
      </c>
      <c r="AB882" s="9">
        <v>60</v>
      </c>
      <c r="AC882" s="9">
        <v>37</v>
      </c>
      <c r="AD882" s="17">
        <v>46081</v>
      </c>
      <c r="AE882" s="56">
        <v>83.33</v>
      </c>
      <c r="AF882" s="56"/>
      <c r="AP882" s="11"/>
      <c r="AQ882" s="11"/>
      <c r="AR882" s="11"/>
      <c r="AW882" s="9"/>
      <c r="BD882" s="9"/>
      <c r="CS882" s="11">
        <f t="shared" si="61"/>
        <v>0</v>
      </c>
      <c r="CT882" s="22">
        <f t="shared" si="62"/>
        <v>0</v>
      </c>
      <c r="CU882" s="22">
        <f t="shared" si="64"/>
        <v>0</v>
      </c>
      <c r="CV882" s="26">
        <f t="shared" si="63"/>
        <v>83.33</v>
      </c>
    </row>
    <row r="883" spans="1:100" x14ac:dyDescent="0.2">
      <c r="A883" s="9" t="s">
        <v>304</v>
      </c>
      <c r="B883" s="2">
        <v>23</v>
      </c>
      <c r="C883" s="3" t="s">
        <v>95</v>
      </c>
      <c r="D883" s="3" t="s">
        <v>96</v>
      </c>
      <c r="E883" s="2" t="s">
        <v>66</v>
      </c>
      <c r="F883" s="2">
        <v>13</v>
      </c>
      <c r="G883" s="2" t="s">
        <v>68</v>
      </c>
      <c r="H883" s="2">
        <v>3</v>
      </c>
      <c r="I883" s="8">
        <v>145.31</v>
      </c>
      <c r="J883" s="8">
        <v>42900</v>
      </c>
      <c r="K883" s="3">
        <v>0</v>
      </c>
      <c r="L883" s="3" t="s">
        <v>3</v>
      </c>
      <c r="M883" s="9" t="s">
        <v>0</v>
      </c>
      <c r="N883" s="9" t="s">
        <v>23</v>
      </c>
      <c r="O883" s="9" t="s">
        <v>305</v>
      </c>
      <c r="S883" s="48" t="s">
        <v>306</v>
      </c>
      <c r="V883" s="10">
        <v>12.5</v>
      </c>
      <c r="W883" s="10" t="s">
        <v>710</v>
      </c>
      <c r="X883" s="17">
        <v>44571</v>
      </c>
      <c r="Y883" s="17">
        <v>44936</v>
      </c>
      <c r="Z883" s="19" t="s">
        <v>772</v>
      </c>
      <c r="AA883" s="210">
        <v>5000</v>
      </c>
      <c r="AB883" s="9">
        <v>60</v>
      </c>
      <c r="AC883" s="9">
        <v>38</v>
      </c>
      <c r="AD883" s="17">
        <v>46109</v>
      </c>
      <c r="AE883" s="56">
        <v>83.33</v>
      </c>
      <c r="AF883" s="56"/>
      <c r="AP883" s="11"/>
      <c r="AQ883" s="11"/>
      <c r="AR883" s="11"/>
      <c r="AW883" s="9"/>
      <c r="BD883" s="9"/>
      <c r="CS883" s="11">
        <f t="shared" si="61"/>
        <v>0</v>
      </c>
      <c r="CT883" s="22">
        <f t="shared" si="62"/>
        <v>0</v>
      </c>
      <c r="CU883" s="22">
        <f t="shared" si="64"/>
        <v>0</v>
      </c>
      <c r="CV883" s="26">
        <f t="shared" si="63"/>
        <v>83.33</v>
      </c>
    </row>
    <row r="884" spans="1:100" x14ac:dyDescent="0.2">
      <c r="A884" s="9" t="s">
        <v>304</v>
      </c>
      <c r="B884" s="2">
        <v>23</v>
      </c>
      <c r="C884" s="3" t="s">
        <v>95</v>
      </c>
      <c r="D884" s="3" t="s">
        <v>96</v>
      </c>
      <c r="E884" s="2" t="s">
        <v>66</v>
      </c>
      <c r="F884" s="2">
        <v>13</v>
      </c>
      <c r="G884" s="2" t="s">
        <v>68</v>
      </c>
      <c r="H884" s="2">
        <v>3</v>
      </c>
      <c r="I884" s="8">
        <v>145.31</v>
      </c>
      <c r="J884" s="8">
        <v>42900</v>
      </c>
      <c r="K884" s="3">
        <v>0</v>
      </c>
      <c r="L884" s="3" t="s">
        <v>3</v>
      </c>
      <c r="M884" s="9" t="s">
        <v>0</v>
      </c>
      <c r="N884" s="9" t="s">
        <v>23</v>
      </c>
      <c r="O884" s="9" t="s">
        <v>305</v>
      </c>
      <c r="S884" s="48" t="s">
        <v>306</v>
      </c>
      <c r="V884" s="10">
        <v>12.5</v>
      </c>
      <c r="W884" s="10" t="s">
        <v>710</v>
      </c>
      <c r="X884" s="17">
        <v>44571</v>
      </c>
      <c r="Y884" s="17">
        <v>44936</v>
      </c>
      <c r="Z884" s="19" t="s">
        <v>772</v>
      </c>
      <c r="AA884" s="210">
        <v>5000</v>
      </c>
      <c r="AB884" s="9">
        <v>60</v>
      </c>
      <c r="AC884" s="9">
        <v>39</v>
      </c>
      <c r="AD884" s="17">
        <v>46140</v>
      </c>
      <c r="AE884" s="56">
        <v>83.33</v>
      </c>
      <c r="AF884" s="56"/>
      <c r="AP884" s="11"/>
      <c r="AQ884" s="11"/>
      <c r="AR884" s="11"/>
      <c r="AW884" s="9"/>
      <c r="BD884" s="9"/>
      <c r="CS884" s="11">
        <f t="shared" si="61"/>
        <v>0</v>
      </c>
      <c r="CT884" s="22">
        <f t="shared" si="62"/>
        <v>0</v>
      </c>
      <c r="CU884" s="22">
        <f t="shared" si="64"/>
        <v>0</v>
      </c>
      <c r="CV884" s="26">
        <f t="shared" si="63"/>
        <v>83.33</v>
      </c>
    </row>
    <row r="885" spans="1:100" x14ac:dyDescent="0.2">
      <c r="A885" s="9" t="s">
        <v>304</v>
      </c>
      <c r="B885" s="2">
        <v>23</v>
      </c>
      <c r="C885" s="3" t="s">
        <v>95</v>
      </c>
      <c r="D885" s="3" t="s">
        <v>96</v>
      </c>
      <c r="E885" s="2" t="s">
        <v>66</v>
      </c>
      <c r="F885" s="2">
        <v>13</v>
      </c>
      <c r="G885" s="2" t="s">
        <v>68</v>
      </c>
      <c r="H885" s="2">
        <v>3</v>
      </c>
      <c r="I885" s="8">
        <v>145.31</v>
      </c>
      <c r="J885" s="8">
        <v>42900</v>
      </c>
      <c r="K885" s="3">
        <v>0</v>
      </c>
      <c r="L885" s="3" t="s">
        <v>3</v>
      </c>
      <c r="M885" s="9" t="s">
        <v>0</v>
      </c>
      <c r="N885" s="9" t="s">
        <v>23</v>
      </c>
      <c r="O885" s="9" t="s">
        <v>305</v>
      </c>
      <c r="S885" s="48" t="s">
        <v>306</v>
      </c>
      <c r="V885" s="10">
        <v>12.5</v>
      </c>
      <c r="W885" s="10" t="s">
        <v>710</v>
      </c>
      <c r="X885" s="17">
        <v>44571</v>
      </c>
      <c r="Y885" s="17">
        <v>44936</v>
      </c>
      <c r="Z885" s="19" t="s">
        <v>772</v>
      </c>
      <c r="AA885" s="210">
        <v>5000</v>
      </c>
      <c r="AB885" s="9">
        <v>60</v>
      </c>
      <c r="AC885" s="9">
        <v>40</v>
      </c>
      <c r="AD885" s="17">
        <v>46170</v>
      </c>
      <c r="AE885" s="56">
        <v>83.33</v>
      </c>
      <c r="AF885" s="56"/>
      <c r="AP885" s="11"/>
      <c r="AQ885" s="11"/>
      <c r="AR885" s="11"/>
      <c r="AW885" s="9"/>
      <c r="BD885" s="9"/>
      <c r="CS885" s="11">
        <f t="shared" si="61"/>
        <v>0</v>
      </c>
      <c r="CT885" s="22">
        <f t="shared" si="62"/>
        <v>0</v>
      </c>
      <c r="CU885" s="22">
        <f t="shared" si="64"/>
        <v>0</v>
      </c>
      <c r="CV885" s="26">
        <f t="shared" si="63"/>
        <v>83.33</v>
      </c>
    </row>
    <row r="886" spans="1:100" x14ac:dyDescent="0.2">
      <c r="A886" s="9" t="s">
        <v>304</v>
      </c>
      <c r="B886" s="2">
        <v>23</v>
      </c>
      <c r="C886" s="3" t="s">
        <v>95</v>
      </c>
      <c r="D886" s="3" t="s">
        <v>96</v>
      </c>
      <c r="E886" s="2" t="s">
        <v>66</v>
      </c>
      <c r="F886" s="2">
        <v>13</v>
      </c>
      <c r="G886" s="2" t="s">
        <v>68</v>
      </c>
      <c r="H886" s="2">
        <v>3</v>
      </c>
      <c r="I886" s="8">
        <v>145.31</v>
      </c>
      <c r="J886" s="8">
        <v>42900</v>
      </c>
      <c r="K886" s="3">
        <v>0</v>
      </c>
      <c r="L886" s="3" t="s">
        <v>3</v>
      </c>
      <c r="M886" s="9" t="s">
        <v>0</v>
      </c>
      <c r="N886" s="9" t="s">
        <v>23</v>
      </c>
      <c r="O886" s="9" t="s">
        <v>305</v>
      </c>
      <c r="S886" s="48" t="s">
        <v>306</v>
      </c>
      <c r="V886" s="10">
        <v>12.5</v>
      </c>
      <c r="W886" s="10" t="s">
        <v>710</v>
      </c>
      <c r="X886" s="17">
        <v>44571</v>
      </c>
      <c r="Y886" s="17">
        <v>44936</v>
      </c>
      <c r="Z886" s="19" t="s">
        <v>772</v>
      </c>
      <c r="AA886" s="210">
        <v>5000</v>
      </c>
      <c r="AB886" s="9">
        <v>60</v>
      </c>
      <c r="AC886" s="9">
        <v>41</v>
      </c>
      <c r="AD886" s="17">
        <v>46201</v>
      </c>
      <c r="AE886" s="56">
        <v>83.33</v>
      </c>
      <c r="AF886" s="56"/>
      <c r="AP886" s="11"/>
      <c r="AQ886" s="11"/>
      <c r="AR886" s="11"/>
      <c r="AW886" s="9"/>
      <c r="BD886" s="9"/>
      <c r="CS886" s="11">
        <f t="shared" si="61"/>
        <v>0</v>
      </c>
      <c r="CT886" s="22">
        <f t="shared" si="62"/>
        <v>0</v>
      </c>
      <c r="CU886" s="22">
        <f t="shared" si="64"/>
        <v>0</v>
      </c>
      <c r="CV886" s="26">
        <f t="shared" si="63"/>
        <v>83.33</v>
      </c>
    </row>
    <row r="887" spans="1:100" x14ac:dyDescent="0.2">
      <c r="A887" s="9" t="s">
        <v>304</v>
      </c>
      <c r="B887" s="2">
        <v>23</v>
      </c>
      <c r="C887" s="3" t="s">
        <v>95</v>
      </c>
      <c r="D887" s="3" t="s">
        <v>96</v>
      </c>
      <c r="E887" s="2" t="s">
        <v>66</v>
      </c>
      <c r="F887" s="2">
        <v>13</v>
      </c>
      <c r="G887" s="2" t="s">
        <v>68</v>
      </c>
      <c r="H887" s="2">
        <v>3</v>
      </c>
      <c r="I887" s="8">
        <v>145.31</v>
      </c>
      <c r="J887" s="8">
        <v>42900</v>
      </c>
      <c r="K887" s="3">
        <v>0</v>
      </c>
      <c r="L887" s="3" t="s">
        <v>3</v>
      </c>
      <c r="M887" s="9" t="s">
        <v>0</v>
      </c>
      <c r="N887" s="9" t="s">
        <v>23</v>
      </c>
      <c r="O887" s="9" t="s">
        <v>305</v>
      </c>
      <c r="S887" s="48" t="s">
        <v>306</v>
      </c>
      <c r="V887" s="10">
        <v>12.5</v>
      </c>
      <c r="W887" s="10" t="s">
        <v>710</v>
      </c>
      <c r="X887" s="17">
        <v>44571</v>
      </c>
      <c r="Y887" s="17">
        <v>44936</v>
      </c>
      <c r="Z887" s="19" t="s">
        <v>772</v>
      </c>
      <c r="AA887" s="210">
        <v>5000</v>
      </c>
      <c r="AB887" s="9">
        <v>60</v>
      </c>
      <c r="AC887" s="9">
        <v>42</v>
      </c>
      <c r="AD887" s="17">
        <v>46231</v>
      </c>
      <c r="AE887" s="56">
        <v>83.33</v>
      </c>
      <c r="AF887" s="56"/>
      <c r="AP887" s="11"/>
      <c r="AQ887" s="11"/>
      <c r="AR887" s="11"/>
      <c r="AW887" s="9"/>
      <c r="BD887" s="9"/>
      <c r="CS887" s="11">
        <f t="shared" si="61"/>
        <v>0</v>
      </c>
      <c r="CT887" s="22">
        <f t="shared" si="62"/>
        <v>0</v>
      </c>
      <c r="CU887" s="22">
        <f t="shared" si="64"/>
        <v>0</v>
      </c>
      <c r="CV887" s="26">
        <f t="shared" si="63"/>
        <v>83.33</v>
      </c>
    </row>
    <row r="888" spans="1:100" x14ac:dyDescent="0.2">
      <c r="A888" s="9" t="s">
        <v>304</v>
      </c>
      <c r="B888" s="2">
        <v>23</v>
      </c>
      <c r="C888" s="3" t="s">
        <v>95</v>
      </c>
      <c r="D888" s="3" t="s">
        <v>96</v>
      </c>
      <c r="E888" s="2" t="s">
        <v>66</v>
      </c>
      <c r="F888" s="2">
        <v>13</v>
      </c>
      <c r="G888" s="2" t="s">
        <v>68</v>
      </c>
      <c r="H888" s="2">
        <v>3</v>
      </c>
      <c r="I888" s="8">
        <v>145.31</v>
      </c>
      <c r="J888" s="8">
        <v>42900</v>
      </c>
      <c r="K888" s="3">
        <v>0</v>
      </c>
      <c r="L888" s="3" t="s">
        <v>3</v>
      </c>
      <c r="M888" s="9" t="s">
        <v>0</v>
      </c>
      <c r="N888" s="9" t="s">
        <v>23</v>
      </c>
      <c r="O888" s="9" t="s">
        <v>305</v>
      </c>
      <c r="S888" s="48" t="s">
        <v>306</v>
      </c>
      <c r="V888" s="10">
        <v>12.5</v>
      </c>
      <c r="W888" s="10" t="s">
        <v>710</v>
      </c>
      <c r="X888" s="17">
        <v>44571</v>
      </c>
      <c r="Y888" s="17">
        <v>44936</v>
      </c>
      <c r="Z888" s="19" t="s">
        <v>772</v>
      </c>
      <c r="AA888" s="210">
        <v>5000</v>
      </c>
      <c r="AB888" s="9">
        <v>60</v>
      </c>
      <c r="AC888" s="9">
        <v>43</v>
      </c>
      <c r="AD888" s="17">
        <v>46262</v>
      </c>
      <c r="AE888" s="56">
        <v>83.33</v>
      </c>
      <c r="AF888" s="56"/>
      <c r="AP888" s="11"/>
      <c r="AQ888" s="11"/>
      <c r="AR888" s="11"/>
      <c r="AW888" s="9"/>
      <c r="BD888" s="9"/>
      <c r="CS888" s="11">
        <f t="shared" si="61"/>
        <v>0</v>
      </c>
      <c r="CT888" s="22">
        <f t="shared" si="62"/>
        <v>0</v>
      </c>
      <c r="CU888" s="22">
        <f t="shared" si="64"/>
        <v>0</v>
      </c>
      <c r="CV888" s="26">
        <f t="shared" si="63"/>
        <v>83.33</v>
      </c>
    </row>
    <row r="889" spans="1:100" x14ac:dyDescent="0.2">
      <c r="A889" s="9" t="s">
        <v>304</v>
      </c>
      <c r="B889" s="2">
        <v>23</v>
      </c>
      <c r="C889" s="3" t="s">
        <v>95</v>
      </c>
      <c r="D889" s="3" t="s">
        <v>96</v>
      </c>
      <c r="E889" s="2" t="s">
        <v>66</v>
      </c>
      <c r="F889" s="2">
        <v>13</v>
      </c>
      <c r="G889" s="2" t="s">
        <v>68</v>
      </c>
      <c r="H889" s="2">
        <v>3</v>
      </c>
      <c r="I889" s="8">
        <v>145.31</v>
      </c>
      <c r="J889" s="8">
        <v>42900</v>
      </c>
      <c r="K889" s="3">
        <v>0</v>
      </c>
      <c r="L889" s="3" t="s">
        <v>3</v>
      </c>
      <c r="M889" s="9" t="s">
        <v>0</v>
      </c>
      <c r="N889" s="9" t="s">
        <v>23</v>
      </c>
      <c r="O889" s="9" t="s">
        <v>305</v>
      </c>
      <c r="S889" s="48" t="s">
        <v>306</v>
      </c>
      <c r="V889" s="10">
        <v>12.5</v>
      </c>
      <c r="W889" s="10" t="s">
        <v>710</v>
      </c>
      <c r="X889" s="17">
        <v>44571</v>
      </c>
      <c r="Y889" s="17">
        <v>44936</v>
      </c>
      <c r="Z889" s="19" t="s">
        <v>772</v>
      </c>
      <c r="AA889" s="210">
        <v>5000</v>
      </c>
      <c r="AB889" s="9">
        <v>60</v>
      </c>
      <c r="AC889" s="9">
        <v>44</v>
      </c>
      <c r="AD889" s="17">
        <v>46293</v>
      </c>
      <c r="AE889" s="56">
        <v>83.33</v>
      </c>
      <c r="AF889" s="56"/>
      <c r="AP889" s="11"/>
      <c r="AQ889" s="11"/>
      <c r="AR889" s="11"/>
      <c r="AW889" s="9"/>
      <c r="BD889" s="9"/>
      <c r="CS889" s="11">
        <f t="shared" ref="CS889:CS952" si="65">+AL889+AT889</f>
        <v>0</v>
      </c>
      <c r="CT889" s="22">
        <f t="shared" ref="CT889:CT952" si="66">+BA889+BG889+BM889+BS889+BY889+CE889+CK889+CQ889</f>
        <v>0</v>
      </c>
      <c r="CU889" s="22">
        <f t="shared" si="64"/>
        <v>0</v>
      </c>
      <c r="CV889" s="26">
        <f t="shared" ref="CV889:CV952" si="67">+AE889-AL889-AT889</f>
        <v>83.33</v>
      </c>
    </row>
    <row r="890" spans="1:100" x14ac:dyDescent="0.2">
      <c r="A890" s="9" t="s">
        <v>304</v>
      </c>
      <c r="B890" s="2">
        <v>23</v>
      </c>
      <c r="C890" s="3" t="s">
        <v>95</v>
      </c>
      <c r="D890" s="3" t="s">
        <v>96</v>
      </c>
      <c r="E890" s="2" t="s">
        <v>66</v>
      </c>
      <c r="F890" s="2">
        <v>13</v>
      </c>
      <c r="G890" s="2" t="s">
        <v>68</v>
      </c>
      <c r="H890" s="2">
        <v>3</v>
      </c>
      <c r="I890" s="8">
        <v>145.31</v>
      </c>
      <c r="J890" s="8">
        <v>42900</v>
      </c>
      <c r="K890" s="3">
        <v>0</v>
      </c>
      <c r="L890" s="3" t="s">
        <v>3</v>
      </c>
      <c r="M890" s="9" t="s">
        <v>0</v>
      </c>
      <c r="N890" s="9" t="s">
        <v>23</v>
      </c>
      <c r="O890" s="9" t="s">
        <v>305</v>
      </c>
      <c r="S890" s="48" t="s">
        <v>306</v>
      </c>
      <c r="V890" s="10">
        <v>12.5</v>
      </c>
      <c r="W890" s="10" t="s">
        <v>710</v>
      </c>
      <c r="X890" s="17">
        <v>44571</v>
      </c>
      <c r="Y890" s="17">
        <v>44936</v>
      </c>
      <c r="Z890" s="19" t="s">
        <v>772</v>
      </c>
      <c r="AA890" s="210">
        <v>5000</v>
      </c>
      <c r="AB890" s="9">
        <v>60</v>
      </c>
      <c r="AC890" s="9">
        <v>45</v>
      </c>
      <c r="AD890" s="17">
        <v>46323</v>
      </c>
      <c r="AE890" s="56">
        <v>83.33</v>
      </c>
      <c r="AF890" s="56"/>
      <c r="AP890" s="11"/>
      <c r="AQ890" s="11"/>
      <c r="AR890" s="11"/>
      <c r="AW890" s="9"/>
      <c r="BD890" s="9"/>
      <c r="CS890" s="11">
        <f t="shared" si="65"/>
        <v>0</v>
      </c>
      <c r="CT890" s="22">
        <f t="shared" si="66"/>
        <v>0</v>
      </c>
      <c r="CU890" s="22">
        <f t="shared" si="64"/>
        <v>0</v>
      </c>
      <c r="CV890" s="26">
        <f t="shared" si="67"/>
        <v>83.33</v>
      </c>
    </row>
    <row r="891" spans="1:100" x14ac:dyDescent="0.2">
      <c r="A891" s="9" t="s">
        <v>304</v>
      </c>
      <c r="B891" s="2">
        <v>23</v>
      </c>
      <c r="C891" s="3" t="s">
        <v>95</v>
      </c>
      <c r="D891" s="3" t="s">
        <v>96</v>
      </c>
      <c r="E891" s="2" t="s">
        <v>66</v>
      </c>
      <c r="F891" s="2">
        <v>13</v>
      </c>
      <c r="G891" s="2" t="s">
        <v>68</v>
      </c>
      <c r="H891" s="2">
        <v>3</v>
      </c>
      <c r="I891" s="8">
        <v>145.31</v>
      </c>
      <c r="J891" s="8">
        <v>42900</v>
      </c>
      <c r="K891" s="3">
        <v>0</v>
      </c>
      <c r="L891" s="3" t="s">
        <v>3</v>
      </c>
      <c r="M891" s="9" t="s">
        <v>0</v>
      </c>
      <c r="N891" s="9" t="s">
        <v>23</v>
      </c>
      <c r="O891" s="9" t="s">
        <v>305</v>
      </c>
      <c r="S891" s="48" t="s">
        <v>306</v>
      </c>
      <c r="V891" s="10">
        <v>12.5</v>
      </c>
      <c r="W891" s="10" t="s">
        <v>710</v>
      </c>
      <c r="X891" s="17">
        <v>44571</v>
      </c>
      <c r="Y891" s="17">
        <v>44936</v>
      </c>
      <c r="Z891" s="19" t="s">
        <v>772</v>
      </c>
      <c r="AA891" s="210">
        <v>5000</v>
      </c>
      <c r="AB891" s="9">
        <v>60</v>
      </c>
      <c r="AC891" s="9">
        <v>46</v>
      </c>
      <c r="AD891" s="17">
        <v>46354</v>
      </c>
      <c r="AE891" s="56">
        <v>83.33</v>
      </c>
      <c r="AF891" s="56"/>
      <c r="AP891" s="11"/>
      <c r="AQ891" s="11"/>
      <c r="AR891" s="11"/>
      <c r="AW891" s="9"/>
      <c r="BD891" s="9"/>
      <c r="CS891" s="11">
        <f t="shared" si="65"/>
        <v>0</v>
      </c>
      <c r="CT891" s="22">
        <f t="shared" si="66"/>
        <v>0</v>
      </c>
      <c r="CU891" s="22">
        <f t="shared" si="64"/>
        <v>0</v>
      </c>
      <c r="CV891" s="26">
        <f t="shared" si="67"/>
        <v>83.33</v>
      </c>
    </row>
    <row r="892" spans="1:100" x14ac:dyDescent="0.2">
      <c r="A892" s="9" t="s">
        <v>304</v>
      </c>
      <c r="B892" s="2">
        <v>23</v>
      </c>
      <c r="C892" s="3" t="s">
        <v>95</v>
      </c>
      <c r="D892" s="3" t="s">
        <v>96</v>
      </c>
      <c r="E892" s="2" t="s">
        <v>66</v>
      </c>
      <c r="F892" s="2">
        <v>13</v>
      </c>
      <c r="G892" s="2" t="s">
        <v>68</v>
      </c>
      <c r="H892" s="2">
        <v>3</v>
      </c>
      <c r="I892" s="8">
        <v>145.31</v>
      </c>
      <c r="J892" s="8">
        <v>42900</v>
      </c>
      <c r="K892" s="3">
        <v>0</v>
      </c>
      <c r="L892" s="3" t="s">
        <v>3</v>
      </c>
      <c r="M892" s="9" t="s">
        <v>0</v>
      </c>
      <c r="N892" s="9" t="s">
        <v>23</v>
      </c>
      <c r="O892" s="9" t="s">
        <v>305</v>
      </c>
      <c r="S892" s="48" t="s">
        <v>306</v>
      </c>
      <c r="V892" s="10">
        <v>12.5</v>
      </c>
      <c r="W892" s="10" t="s">
        <v>710</v>
      </c>
      <c r="X892" s="17">
        <v>44571</v>
      </c>
      <c r="Y892" s="17">
        <v>44936</v>
      </c>
      <c r="Z892" s="19" t="s">
        <v>772</v>
      </c>
      <c r="AA892" s="210">
        <v>5000</v>
      </c>
      <c r="AB892" s="9">
        <v>60</v>
      </c>
      <c r="AC892" s="9">
        <v>47</v>
      </c>
      <c r="AD892" s="17">
        <v>46384</v>
      </c>
      <c r="AE892" s="56">
        <v>83.33</v>
      </c>
      <c r="AF892" s="56"/>
      <c r="AP892" s="11"/>
      <c r="AQ892" s="11"/>
      <c r="AR892" s="11"/>
      <c r="AW892" s="9"/>
      <c r="BD892" s="9"/>
      <c r="CS892" s="11">
        <f t="shared" si="65"/>
        <v>0</v>
      </c>
      <c r="CT892" s="22">
        <f t="shared" si="66"/>
        <v>0</v>
      </c>
      <c r="CU892" s="22">
        <f t="shared" si="64"/>
        <v>0</v>
      </c>
      <c r="CV892" s="26">
        <f t="shared" si="67"/>
        <v>83.33</v>
      </c>
    </row>
    <row r="893" spans="1:100" x14ac:dyDescent="0.2">
      <c r="A893" s="9" t="s">
        <v>304</v>
      </c>
      <c r="B893" s="2">
        <v>23</v>
      </c>
      <c r="C893" s="3" t="s">
        <v>95</v>
      </c>
      <c r="D893" s="3" t="s">
        <v>96</v>
      </c>
      <c r="E893" s="2" t="s">
        <v>66</v>
      </c>
      <c r="F893" s="2">
        <v>13</v>
      </c>
      <c r="G893" s="2" t="s">
        <v>68</v>
      </c>
      <c r="H893" s="2">
        <v>3</v>
      </c>
      <c r="I893" s="8">
        <v>145.31</v>
      </c>
      <c r="J893" s="8">
        <v>42900</v>
      </c>
      <c r="K893" s="3">
        <v>0</v>
      </c>
      <c r="L893" s="3" t="s">
        <v>3</v>
      </c>
      <c r="M893" s="9" t="s">
        <v>0</v>
      </c>
      <c r="N893" s="9" t="s">
        <v>23</v>
      </c>
      <c r="O893" s="9" t="s">
        <v>305</v>
      </c>
      <c r="S893" s="48" t="s">
        <v>306</v>
      </c>
      <c r="V893" s="10">
        <v>12.5</v>
      </c>
      <c r="W893" s="10" t="s">
        <v>710</v>
      </c>
      <c r="X893" s="17">
        <v>44571</v>
      </c>
      <c r="Y893" s="17">
        <v>44936</v>
      </c>
      <c r="Z893" s="19" t="s">
        <v>772</v>
      </c>
      <c r="AA893" s="210">
        <v>5000</v>
      </c>
      <c r="AB893" s="9">
        <v>60</v>
      </c>
      <c r="AC893" s="9">
        <v>48</v>
      </c>
      <c r="AD893" s="17">
        <v>46415</v>
      </c>
      <c r="AE893" s="56">
        <v>83.33</v>
      </c>
      <c r="AF893" s="56"/>
      <c r="AP893" s="11"/>
      <c r="AQ893" s="11"/>
      <c r="AR893" s="11"/>
      <c r="AW893" s="9"/>
      <c r="BD893" s="9"/>
      <c r="CS893" s="11">
        <f t="shared" si="65"/>
        <v>0</v>
      </c>
      <c r="CT893" s="22">
        <f t="shared" si="66"/>
        <v>0</v>
      </c>
      <c r="CU893" s="22">
        <f t="shared" si="64"/>
        <v>0</v>
      </c>
      <c r="CV893" s="26">
        <f t="shared" si="67"/>
        <v>83.33</v>
      </c>
    </row>
    <row r="894" spans="1:100" x14ac:dyDescent="0.2">
      <c r="A894" s="9" t="s">
        <v>304</v>
      </c>
      <c r="B894" s="2">
        <v>23</v>
      </c>
      <c r="C894" s="3" t="s">
        <v>95</v>
      </c>
      <c r="D894" s="3" t="s">
        <v>96</v>
      </c>
      <c r="E894" s="2" t="s">
        <v>66</v>
      </c>
      <c r="F894" s="2">
        <v>13</v>
      </c>
      <c r="G894" s="2" t="s">
        <v>68</v>
      </c>
      <c r="H894" s="2">
        <v>3</v>
      </c>
      <c r="I894" s="8">
        <v>145.31</v>
      </c>
      <c r="J894" s="8">
        <v>42900</v>
      </c>
      <c r="K894" s="3">
        <v>0</v>
      </c>
      <c r="L894" s="3" t="s">
        <v>3</v>
      </c>
      <c r="M894" s="9" t="s">
        <v>0</v>
      </c>
      <c r="N894" s="9" t="s">
        <v>23</v>
      </c>
      <c r="O894" s="9" t="s">
        <v>305</v>
      </c>
      <c r="S894" s="48" t="s">
        <v>306</v>
      </c>
      <c r="V894" s="10">
        <v>12.5</v>
      </c>
      <c r="W894" s="10" t="s">
        <v>710</v>
      </c>
      <c r="X894" s="17">
        <v>44571</v>
      </c>
      <c r="Y894" s="17">
        <v>44936</v>
      </c>
      <c r="Z894" s="19" t="s">
        <v>772</v>
      </c>
      <c r="AA894" s="210">
        <v>5000</v>
      </c>
      <c r="AB894" s="9">
        <v>60</v>
      </c>
      <c r="AC894" s="9">
        <v>49</v>
      </c>
      <c r="AD894" s="17">
        <v>46446</v>
      </c>
      <c r="AE894" s="56">
        <v>83.33</v>
      </c>
      <c r="AF894" s="56"/>
      <c r="AP894" s="11"/>
      <c r="AQ894" s="11"/>
      <c r="AR894" s="11"/>
      <c r="AW894" s="9"/>
      <c r="BD894" s="9"/>
      <c r="CS894" s="11">
        <f t="shared" si="65"/>
        <v>0</v>
      </c>
      <c r="CT894" s="22">
        <f t="shared" si="66"/>
        <v>0</v>
      </c>
      <c r="CU894" s="22">
        <f t="shared" si="64"/>
        <v>0</v>
      </c>
      <c r="CV894" s="26">
        <f t="shared" si="67"/>
        <v>83.33</v>
      </c>
    </row>
    <row r="895" spans="1:100" x14ac:dyDescent="0.2">
      <c r="A895" s="9" t="s">
        <v>304</v>
      </c>
      <c r="B895" s="2">
        <v>23</v>
      </c>
      <c r="C895" s="3" t="s">
        <v>95</v>
      </c>
      <c r="D895" s="3" t="s">
        <v>96</v>
      </c>
      <c r="E895" s="2" t="s">
        <v>66</v>
      </c>
      <c r="F895" s="2">
        <v>13</v>
      </c>
      <c r="G895" s="2" t="s">
        <v>68</v>
      </c>
      <c r="H895" s="2">
        <v>3</v>
      </c>
      <c r="I895" s="8">
        <v>145.31</v>
      </c>
      <c r="J895" s="8">
        <v>42900</v>
      </c>
      <c r="K895" s="3">
        <v>0</v>
      </c>
      <c r="L895" s="3" t="s">
        <v>3</v>
      </c>
      <c r="M895" s="9" t="s">
        <v>0</v>
      </c>
      <c r="N895" s="9" t="s">
        <v>23</v>
      </c>
      <c r="O895" s="9" t="s">
        <v>305</v>
      </c>
      <c r="S895" s="48" t="s">
        <v>306</v>
      </c>
      <c r="V895" s="10">
        <v>12.5</v>
      </c>
      <c r="W895" s="10" t="s">
        <v>710</v>
      </c>
      <c r="X895" s="17">
        <v>44571</v>
      </c>
      <c r="Y895" s="17">
        <v>44936</v>
      </c>
      <c r="Z895" s="19" t="s">
        <v>772</v>
      </c>
      <c r="AA895" s="210">
        <v>5000</v>
      </c>
      <c r="AB895" s="9">
        <v>60</v>
      </c>
      <c r="AC895" s="9">
        <v>50</v>
      </c>
      <c r="AD895" s="17">
        <v>46474</v>
      </c>
      <c r="AE895" s="56">
        <v>83.33</v>
      </c>
      <c r="AF895" s="56"/>
      <c r="AP895" s="11"/>
      <c r="AQ895" s="11"/>
      <c r="AR895" s="11"/>
      <c r="AW895" s="9"/>
      <c r="BD895" s="9"/>
      <c r="CS895" s="11">
        <f t="shared" si="65"/>
        <v>0</v>
      </c>
      <c r="CT895" s="22">
        <f t="shared" si="66"/>
        <v>0</v>
      </c>
      <c r="CU895" s="22">
        <f t="shared" si="64"/>
        <v>0</v>
      </c>
      <c r="CV895" s="26">
        <f t="shared" si="67"/>
        <v>83.33</v>
      </c>
    </row>
    <row r="896" spans="1:100" x14ac:dyDescent="0.2">
      <c r="A896" s="9" t="s">
        <v>304</v>
      </c>
      <c r="B896" s="2">
        <v>23</v>
      </c>
      <c r="C896" s="3" t="s">
        <v>95</v>
      </c>
      <c r="D896" s="3" t="s">
        <v>96</v>
      </c>
      <c r="E896" s="2" t="s">
        <v>66</v>
      </c>
      <c r="F896" s="2">
        <v>13</v>
      </c>
      <c r="G896" s="2" t="s">
        <v>68</v>
      </c>
      <c r="H896" s="2">
        <v>3</v>
      </c>
      <c r="I896" s="8">
        <v>145.31</v>
      </c>
      <c r="J896" s="8">
        <v>42900</v>
      </c>
      <c r="K896" s="3">
        <v>0</v>
      </c>
      <c r="L896" s="3" t="s">
        <v>3</v>
      </c>
      <c r="M896" s="9" t="s">
        <v>0</v>
      </c>
      <c r="N896" s="9" t="s">
        <v>23</v>
      </c>
      <c r="O896" s="9" t="s">
        <v>305</v>
      </c>
      <c r="S896" s="48" t="s">
        <v>306</v>
      </c>
      <c r="V896" s="10">
        <v>12.5</v>
      </c>
      <c r="W896" s="10" t="s">
        <v>710</v>
      </c>
      <c r="X896" s="17">
        <v>44571</v>
      </c>
      <c r="Y896" s="17">
        <v>44936</v>
      </c>
      <c r="Z896" s="19" t="s">
        <v>772</v>
      </c>
      <c r="AA896" s="210">
        <v>5000</v>
      </c>
      <c r="AB896" s="9">
        <v>60</v>
      </c>
      <c r="AC896" s="9">
        <v>51</v>
      </c>
      <c r="AD896" s="17">
        <v>46505</v>
      </c>
      <c r="AE896" s="56">
        <v>83.33</v>
      </c>
      <c r="AF896" s="56"/>
      <c r="AP896" s="11"/>
      <c r="AQ896" s="11"/>
      <c r="AR896" s="11"/>
      <c r="AW896" s="9"/>
      <c r="BD896" s="9"/>
      <c r="CS896" s="11">
        <f t="shared" si="65"/>
        <v>0</v>
      </c>
      <c r="CT896" s="22">
        <f t="shared" si="66"/>
        <v>0</v>
      </c>
      <c r="CU896" s="22">
        <f t="shared" si="64"/>
        <v>0</v>
      </c>
      <c r="CV896" s="26">
        <f t="shared" si="67"/>
        <v>83.33</v>
      </c>
    </row>
    <row r="897" spans="1:100" x14ac:dyDescent="0.2">
      <c r="A897" s="9" t="s">
        <v>304</v>
      </c>
      <c r="B897" s="2">
        <v>23</v>
      </c>
      <c r="C897" s="3" t="s">
        <v>95</v>
      </c>
      <c r="D897" s="3" t="s">
        <v>96</v>
      </c>
      <c r="E897" s="2" t="s">
        <v>66</v>
      </c>
      <c r="F897" s="2">
        <v>13</v>
      </c>
      <c r="G897" s="2" t="s">
        <v>68</v>
      </c>
      <c r="H897" s="2">
        <v>3</v>
      </c>
      <c r="I897" s="8">
        <v>145.31</v>
      </c>
      <c r="J897" s="8">
        <v>42900</v>
      </c>
      <c r="K897" s="3">
        <v>0</v>
      </c>
      <c r="L897" s="3" t="s">
        <v>3</v>
      </c>
      <c r="M897" s="9" t="s">
        <v>0</v>
      </c>
      <c r="N897" s="9" t="s">
        <v>23</v>
      </c>
      <c r="O897" s="9" t="s">
        <v>305</v>
      </c>
      <c r="S897" s="48" t="s">
        <v>306</v>
      </c>
      <c r="V897" s="10">
        <v>12.5</v>
      </c>
      <c r="W897" s="10" t="s">
        <v>710</v>
      </c>
      <c r="X897" s="17">
        <v>44571</v>
      </c>
      <c r="Y897" s="17">
        <v>44936</v>
      </c>
      <c r="Z897" s="19" t="s">
        <v>772</v>
      </c>
      <c r="AA897" s="210">
        <v>5000</v>
      </c>
      <c r="AB897" s="9">
        <v>60</v>
      </c>
      <c r="AC897" s="9">
        <v>52</v>
      </c>
      <c r="AD897" s="17">
        <v>46535</v>
      </c>
      <c r="AE897" s="56">
        <v>83.33</v>
      </c>
      <c r="AF897" s="56"/>
      <c r="AP897" s="11"/>
      <c r="AQ897" s="11"/>
      <c r="AR897" s="11"/>
      <c r="AW897" s="9"/>
      <c r="BD897" s="9"/>
      <c r="CS897" s="11">
        <f t="shared" si="65"/>
        <v>0</v>
      </c>
      <c r="CT897" s="22">
        <f t="shared" si="66"/>
        <v>0</v>
      </c>
      <c r="CU897" s="22">
        <f t="shared" si="64"/>
        <v>0</v>
      </c>
      <c r="CV897" s="26">
        <f t="shared" si="67"/>
        <v>83.33</v>
      </c>
    </row>
    <row r="898" spans="1:100" x14ac:dyDescent="0.2">
      <c r="A898" s="9" t="s">
        <v>304</v>
      </c>
      <c r="B898" s="2">
        <v>23</v>
      </c>
      <c r="C898" s="3" t="s">
        <v>95</v>
      </c>
      <c r="D898" s="3" t="s">
        <v>96</v>
      </c>
      <c r="E898" s="2" t="s">
        <v>66</v>
      </c>
      <c r="F898" s="2">
        <v>13</v>
      </c>
      <c r="G898" s="2" t="s">
        <v>68</v>
      </c>
      <c r="H898" s="2">
        <v>3</v>
      </c>
      <c r="I898" s="8">
        <v>145.31</v>
      </c>
      <c r="J898" s="8">
        <v>42900</v>
      </c>
      <c r="K898" s="3">
        <v>0</v>
      </c>
      <c r="L898" s="3" t="s">
        <v>3</v>
      </c>
      <c r="M898" s="9" t="s">
        <v>0</v>
      </c>
      <c r="N898" s="9" t="s">
        <v>23</v>
      </c>
      <c r="O898" s="9" t="s">
        <v>305</v>
      </c>
      <c r="S898" s="48" t="s">
        <v>306</v>
      </c>
      <c r="V898" s="10">
        <v>12.5</v>
      </c>
      <c r="W898" s="10" t="s">
        <v>710</v>
      </c>
      <c r="X898" s="17">
        <v>44571</v>
      </c>
      <c r="Y898" s="17">
        <v>44936</v>
      </c>
      <c r="Z898" s="19" t="s">
        <v>772</v>
      </c>
      <c r="AA898" s="210">
        <v>5000</v>
      </c>
      <c r="AB898" s="9">
        <v>60</v>
      </c>
      <c r="AC898" s="9">
        <v>53</v>
      </c>
      <c r="AD898" s="17">
        <v>46566</v>
      </c>
      <c r="AE898" s="56">
        <v>83.33</v>
      </c>
      <c r="AF898" s="56"/>
      <c r="AP898" s="11"/>
      <c r="AQ898" s="11"/>
      <c r="AR898" s="11"/>
      <c r="AW898" s="9"/>
      <c r="BD898" s="9"/>
      <c r="CS898" s="11">
        <f t="shared" si="65"/>
        <v>0</v>
      </c>
      <c r="CT898" s="22">
        <f t="shared" si="66"/>
        <v>0</v>
      </c>
      <c r="CU898" s="22">
        <f t="shared" si="64"/>
        <v>0</v>
      </c>
      <c r="CV898" s="26">
        <f t="shared" si="67"/>
        <v>83.33</v>
      </c>
    </row>
    <row r="899" spans="1:100" x14ac:dyDescent="0.2">
      <c r="A899" s="9" t="s">
        <v>304</v>
      </c>
      <c r="B899" s="2">
        <v>23</v>
      </c>
      <c r="C899" s="3" t="s">
        <v>95</v>
      </c>
      <c r="D899" s="3" t="s">
        <v>96</v>
      </c>
      <c r="E899" s="2" t="s">
        <v>66</v>
      </c>
      <c r="F899" s="2">
        <v>13</v>
      </c>
      <c r="G899" s="2" t="s">
        <v>68</v>
      </c>
      <c r="H899" s="2">
        <v>3</v>
      </c>
      <c r="I899" s="8">
        <v>145.31</v>
      </c>
      <c r="J899" s="8">
        <v>42900</v>
      </c>
      <c r="K899" s="3">
        <v>0</v>
      </c>
      <c r="L899" s="3" t="s">
        <v>3</v>
      </c>
      <c r="M899" s="9" t="s">
        <v>0</v>
      </c>
      <c r="N899" s="9" t="s">
        <v>23</v>
      </c>
      <c r="O899" s="9" t="s">
        <v>305</v>
      </c>
      <c r="S899" s="48" t="s">
        <v>306</v>
      </c>
      <c r="V899" s="10">
        <v>12.5</v>
      </c>
      <c r="W899" s="10" t="s">
        <v>710</v>
      </c>
      <c r="X899" s="17">
        <v>44571</v>
      </c>
      <c r="Y899" s="17">
        <v>44936</v>
      </c>
      <c r="Z899" s="19" t="s">
        <v>772</v>
      </c>
      <c r="AA899" s="210">
        <v>5000</v>
      </c>
      <c r="AB899" s="9">
        <v>60</v>
      </c>
      <c r="AC899" s="9">
        <v>54</v>
      </c>
      <c r="AD899" s="17">
        <v>46596</v>
      </c>
      <c r="AE899" s="56">
        <v>83.33</v>
      </c>
      <c r="AF899" s="56"/>
      <c r="AP899" s="11"/>
      <c r="AQ899" s="11"/>
      <c r="AR899" s="11"/>
      <c r="AW899" s="9"/>
      <c r="BD899" s="9"/>
      <c r="CS899" s="11">
        <f t="shared" si="65"/>
        <v>0</v>
      </c>
      <c r="CT899" s="22">
        <f t="shared" si="66"/>
        <v>0</v>
      </c>
      <c r="CU899" s="22">
        <f t="shared" si="64"/>
        <v>0</v>
      </c>
      <c r="CV899" s="26">
        <f t="shared" si="67"/>
        <v>83.33</v>
      </c>
    </row>
    <row r="900" spans="1:100" x14ac:dyDescent="0.2">
      <c r="A900" s="9" t="s">
        <v>304</v>
      </c>
      <c r="B900" s="2">
        <v>23</v>
      </c>
      <c r="C900" s="3" t="s">
        <v>95</v>
      </c>
      <c r="D900" s="3" t="s">
        <v>96</v>
      </c>
      <c r="E900" s="2" t="s">
        <v>66</v>
      </c>
      <c r="F900" s="2">
        <v>13</v>
      </c>
      <c r="G900" s="2" t="s">
        <v>68</v>
      </c>
      <c r="H900" s="2">
        <v>3</v>
      </c>
      <c r="I900" s="8">
        <v>145.31</v>
      </c>
      <c r="J900" s="8">
        <v>42900</v>
      </c>
      <c r="K900" s="3">
        <v>0</v>
      </c>
      <c r="L900" s="3" t="s">
        <v>3</v>
      </c>
      <c r="M900" s="9" t="s">
        <v>0</v>
      </c>
      <c r="N900" s="9" t="s">
        <v>23</v>
      </c>
      <c r="O900" s="9" t="s">
        <v>305</v>
      </c>
      <c r="S900" s="48" t="s">
        <v>306</v>
      </c>
      <c r="V900" s="10">
        <v>12.5</v>
      </c>
      <c r="W900" s="10" t="s">
        <v>710</v>
      </c>
      <c r="X900" s="17">
        <v>44571</v>
      </c>
      <c r="Y900" s="17">
        <v>44936</v>
      </c>
      <c r="Z900" s="19" t="s">
        <v>772</v>
      </c>
      <c r="AA900" s="210">
        <v>5000</v>
      </c>
      <c r="AB900" s="9">
        <v>60</v>
      </c>
      <c r="AC900" s="9">
        <v>55</v>
      </c>
      <c r="AD900" s="17">
        <v>46627</v>
      </c>
      <c r="AE900" s="56">
        <v>83.33</v>
      </c>
      <c r="AF900" s="56"/>
      <c r="AP900" s="11"/>
      <c r="AQ900" s="11"/>
      <c r="AR900" s="11"/>
      <c r="AW900" s="9"/>
      <c r="BD900" s="9"/>
      <c r="CS900" s="11">
        <f t="shared" si="65"/>
        <v>0</v>
      </c>
      <c r="CT900" s="22">
        <f t="shared" si="66"/>
        <v>0</v>
      </c>
      <c r="CU900" s="22">
        <f t="shared" si="64"/>
        <v>0</v>
      </c>
      <c r="CV900" s="26">
        <f t="shared" si="67"/>
        <v>83.33</v>
      </c>
    </row>
    <row r="901" spans="1:100" x14ac:dyDescent="0.2">
      <c r="A901" s="9" t="s">
        <v>304</v>
      </c>
      <c r="B901" s="2">
        <v>23</v>
      </c>
      <c r="C901" s="3" t="s">
        <v>95</v>
      </c>
      <c r="D901" s="3" t="s">
        <v>96</v>
      </c>
      <c r="E901" s="2" t="s">
        <v>66</v>
      </c>
      <c r="F901" s="2">
        <v>13</v>
      </c>
      <c r="G901" s="2" t="s">
        <v>68</v>
      </c>
      <c r="H901" s="2">
        <v>3</v>
      </c>
      <c r="I901" s="8">
        <v>145.31</v>
      </c>
      <c r="J901" s="8">
        <v>42900</v>
      </c>
      <c r="K901" s="3">
        <v>0</v>
      </c>
      <c r="L901" s="3" t="s">
        <v>3</v>
      </c>
      <c r="M901" s="9" t="s">
        <v>0</v>
      </c>
      <c r="N901" s="9" t="s">
        <v>23</v>
      </c>
      <c r="O901" s="9" t="s">
        <v>305</v>
      </c>
      <c r="S901" s="48" t="s">
        <v>306</v>
      </c>
      <c r="V901" s="10">
        <v>12.5</v>
      </c>
      <c r="W901" s="10" t="s">
        <v>710</v>
      </c>
      <c r="X901" s="17">
        <v>44571</v>
      </c>
      <c r="Y901" s="17">
        <v>44936</v>
      </c>
      <c r="Z901" s="19" t="s">
        <v>772</v>
      </c>
      <c r="AA901" s="210">
        <v>5000</v>
      </c>
      <c r="AB901" s="9">
        <v>60</v>
      </c>
      <c r="AC901" s="9">
        <v>56</v>
      </c>
      <c r="AD901" s="17">
        <v>46658</v>
      </c>
      <c r="AE901" s="56">
        <v>83.33</v>
      </c>
      <c r="AF901" s="56"/>
      <c r="AP901" s="11"/>
      <c r="AQ901" s="11"/>
      <c r="AR901" s="11"/>
      <c r="AW901" s="9"/>
      <c r="BD901" s="9"/>
      <c r="CS901" s="11">
        <f t="shared" si="65"/>
        <v>0</v>
      </c>
      <c r="CT901" s="22">
        <f t="shared" si="66"/>
        <v>0</v>
      </c>
      <c r="CU901" s="22">
        <f t="shared" si="64"/>
        <v>0</v>
      </c>
      <c r="CV901" s="26">
        <f t="shared" si="67"/>
        <v>83.33</v>
      </c>
    </row>
    <row r="902" spans="1:100" x14ac:dyDescent="0.2">
      <c r="A902" s="9" t="s">
        <v>304</v>
      </c>
      <c r="B902" s="2">
        <v>23</v>
      </c>
      <c r="C902" s="3" t="s">
        <v>95</v>
      </c>
      <c r="D902" s="3" t="s">
        <v>96</v>
      </c>
      <c r="E902" s="2" t="s">
        <v>66</v>
      </c>
      <c r="F902" s="2">
        <v>13</v>
      </c>
      <c r="G902" s="2" t="s">
        <v>68</v>
      </c>
      <c r="H902" s="2">
        <v>3</v>
      </c>
      <c r="I902" s="8">
        <v>145.31</v>
      </c>
      <c r="J902" s="8">
        <v>42900</v>
      </c>
      <c r="K902" s="3">
        <v>0</v>
      </c>
      <c r="L902" s="3" t="s">
        <v>3</v>
      </c>
      <c r="M902" s="9" t="s">
        <v>0</v>
      </c>
      <c r="N902" s="9" t="s">
        <v>23</v>
      </c>
      <c r="O902" s="9" t="s">
        <v>305</v>
      </c>
      <c r="S902" s="48" t="s">
        <v>306</v>
      </c>
      <c r="V902" s="10">
        <v>12.5</v>
      </c>
      <c r="W902" s="10" t="s">
        <v>710</v>
      </c>
      <c r="X902" s="17">
        <v>44571</v>
      </c>
      <c r="Y902" s="17">
        <v>44936</v>
      </c>
      <c r="Z902" s="19" t="s">
        <v>772</v>
      </c>
      <c r="AA902" s="210">
        <v>5000</v>
      </c>
      <c r="AB902" s="9">
        <v>60</v>
      </c>
      <c r="AC902" s="9">
        <v>57</v>
      </c>
      <c r="AD902" s="17">
        <v>46688</v>
      </c>
      <c r="AE902" s="56">
        <v>83.33</v>
      </c>
      <c r="AF902" s="56"/>
      <c r="AP902" s="11"/>
      <c r="AQ902" s="11"/>
      <c r="AR902" s="11"/>
      <c r="AW902" s="9"/>
      <c r="BD902" s="9"/>
      <c r="CS902" s="11">
        <f t="shared" si="65"/>
        <v>0</v>
      </c>
      <c r="CT902" s="22">
        <f t="shared" si="66"/>
        <v>0</v>
      </c>
      <c r="CU902" s="22">
        <f t="shared" si="64"/>
        <v>0</v>
      </c>
      <c r="CV902" s="26">
        <f t="shared" si="67"/>
        <v>83.33</v>
      </c>
    </row>
    <row r="903" spans="1:100" x14ac:dyDescent="0.2">
      <c r="A903" s="9" t="s">
        <v>304</v>
      </c>
      <c r="B903" s="2">
        <v>23</v>
      </c>
      <c r="C903" s="3" t="s">
        <v>95</v>
      </c>
      <c r="D903" s="3" t="s">
        <v>96</v>
      </c>
      <c r="E903" s="2" t="s">
        <v>66</v>
      </c>
      <c r="F903" s="2">
        <v>13</v>
      </c>
      <c r="G903" s="2" t="s">
        <v>68</v>
      </c>
      <c r="H903" s="2">
        <v>3</v>
      </c>
      <c r="I903" s="8">
        <v>145.31</v>
      </c>
      <c r="J903" s="8">
        <v>42900</v>
      </c>
      <c r="K903" s="3">
        <v>0</v>
      </c>
      <c r="L903" s="3" t="s">
        <v>3</v>
      </c>
      <c r="M903" s="9" t="s">
        <v>0</v>
      </c>
      <c r="N903" s="9" t="s">
        <v>23</v>
      </c>
      <c r="O903" s="9" t="s">
        <v>305</v>
      </c>
      <c r="S903" s="48" t="s">
        <v>306</v>
      </c>
      <c r="V903" s="10">
        <v>12.5</v>
      </c>
      <c r="W903" s="10" t="s">
        <v>710</v>
      </c>
      <c r="X903" s="17">
        <v>44571</v>
      </c>
      <c r="Y903" s="17">
        <v>44936</v>
      </c>
      <c r="Z903" s="19" t="s">
        <v>772</v>
      </c>
      <c r="AA903" s="210">
        <v>5000</v>
      </c>
      <c r="AB903" s="9">
        <v>60</v>
      </c>
      <c r="AC903" s="9">
        <v>58</v>
      </c>
      <c r="AD903" s="17">
        <v>46719</v>
      </c>
      <c r="AE903" s="56">
        <v>83.33</v>
      </c>
      <c r="AF903" s="56"/>
      <c r="AP903" s="11"/>
      <c r="AQ903" s="11"/>
      <c r="AR903" s="11"/>
      <c r="AW903" s="9"/>
      <c r="BD903" s="9"/>
      <c r="CS903" s="11">
        <f t="shared" si="65"/>
        <v>0</v>
      </c>
      <c r="CT903" s="22">
        <f t="shared" si="66"/>
        <v>0</v>
      </c>
      <c r="CU903" s="22">
        <f t="shared" si="64"/>
        <v>0</v>
      </c>
      <c r="CV903" s="26">
        <f t="shared" si="67"/>
        <v>83.33</v>
      </c>
    </row>
    <row r="904" spans="1:100" x14ac:dyDescent="0.2">
      <c r="A904" s="9" t="s">
        <v>304</v>
      </c>
      <c r="B904" s="2">
        <v>23</v>
      </c>
      <c r="C904" s="3" t="s">
        <v>95</v>
      </c>
      <c r="D904" s="3" t="s">
        <v>96</v>
      </c>
      <c r="E904" s="2" t="s">
        <v>66</v>
      </c>
      <c r="F904" s="2">
        <v>13</v>
      </c>
      <c r="G904" s="2" t="s">
        <v>68</v>
      </c>
      <c r="H904" s="2">
        <v>3</v>
      </c>
      <c r="I904" s="8">
        <v>145.31</v>
      </c>
      <c r="J904" s="8">
        <v>42900</v>
      </c>
      <c r="K904" s="3">
        <v>0</v>
      </c>
      <c r="L904" s="3" t="s">
        <v>3</v>
      </c>
      <c r="M904" s="9" t="s">
        <v>0</v>
      </c>
      <c r="N904" s="9" t="s">
        <v>23</v>
      </c>
      <c r="O904" s="9" t="s">
        <v>305</v>
      </c>
      <c r="S904" s="48" t="s">
        <v>306</v>
      </c>
      <c r="V904" s="10">
        <v>12.5</v>
      </c>
      <c r="W904" s="10" t="s">
        <v>710</v>
      </c>
      <c r="X904" s="17">
        <v>44571</v>
      </c>
      <c r="Y904" s="17">
        <v>44936</v>
      </c>
      <c r="Z904" s="19" t="s">
        <v>772</v>
      </c>
      <c r="AA904" s="210">
        <v>5000</v>
      </c>
      <c r="AB904" s="9">
        <v>60</v>
      </c>
      <c r="AC904" s="9">
        <v>59</v>
      </c>
      <c r="AD904" s="17">
        <v>46749</v>
      </c>
      <c r="AE904" s="56">
        <v>83.33</v>
      </c>
      <c r="AF904" s="56"/>
      <c r="AP904" s="11"/>
      <c r="AQ904" s="11"/>
      <c r="AR904" s="11"/>
      <c r="AW904" s="9"/>
      <c r="BD904" s="9"/>
      <c r="CS904" s="11">
        <f t="shared" si="65"/>
        <v>0</v>
      </c>
      <c r="CT904" s="22">
        <f t="shared" si="66"/>
        <v>0</v>
      </c>
      <c r="CU904" s="22">
        <f t="shared" si="64"/>
        <v>0</v>
      </c>
      <c r="CV904" s="26">
        <f t="shared" si="67"/>
        <v>83.33</v>
      </c>
    </row>
    <row r="905" spans="1:100" x14ac:dyDescent="0.2">
      <c r="A905" s="9" t="s">
        <v>304</v>
      </c>
      <c r="B905" s="2">
        <v>23</v>
      </c>
      <c r="C905" s="3" t="s">
        <v>95</v>
      </c>
      <c r="D905" s="3" t="s">
        <v>96</v>
      </c>
      <c r="E905" s="2" t="s">
        <v>66</v>
      </c>
      <c r="F905" s="2">
        <v>13</v>
      </c>
      <c r="G905" s="2" t="s">
        <v>68</v>
      </c>
      <c r="H905" s="2">
        <v>3</v>
      </c>
      <c r="I905" s="8">
        <v>145.31</v>
      </c>
      <c r="J905" s="8">
        <v>42900</v>
      </c>
      <c r="K905" s="3">
        <v>0</v>
      </c>
      <c r="L905" s="3" t="s">
        <v>3</v>
      </c>
      <c r="M905" s="9" t="s">
        <v>0</v>
      </c>
      <c r="N905" s="9" t="s">
        <v>23</v>
      </c>
      <c r="O905" s="9" t="s">
        <v>305</v>
      </c>
      <c r="S905" s="48" t="s">
        <v>306</v>
      </c>
      <c r="V905" s="10">
        <v>12.5</v>
      </c>
      <c r="W905" s="10" t="s">
        <v>710</v>
      </c>
      <c r="X905" s="17">
        <v>44571</v>
      </c>
      <c r="Y905" s="17">
        <v>44936</v>
      </c>
      <c r="Z905" s="19" t="s">
        <v>772</v>
      </c>
      <c r="AA905" s="210">
        <v>5000</v>
      </c>
      <c r="AB905" s="9">
        <v>60</v>
      </c>
      <c r="AC905" s="9">
        <v>60</v>
      </c>
      <c r="AD905" s="17">
        <v>46780</v>
      </c>
      <c r="AE905" s="56">
        <v>83.33</v>
      </c>
      <c r="AF905" s="56"/>
      <c r="AP905" s="11"/>
      <c r="AQ905" s="11"/>
      <c r="AR905" s="11"/>
      <c r="AW905" s="9"/>
      <c r="BD905" s="9"/>
      <c r="CS905" s="11">
        <f t="shared" si="65"/>
        <v>0</v>
      </c>
      <c r="CT905" s="22">
        <f t="shared" si="66"/>
        <v>0</v>
      </c>
      <c r="CU905" s="22">
        <f t="shared" si="64"/>
        <v>0</v>
      </c>
      <c r="CV905" s="26">
        <f t="shared" si="67"/>
        <v>83.33</v>
      </c>
    </row>
    <row r="906" spans="1:100" x14ac:dyDescent="0.2">
      <c r="A906" s="9" t="s">
        <v>244</v>
      </c>
      <c r="B906" s="2">
        <v>96</v>
      </c>
      <c r="C906" s="3" t="s">
        <v>95</v>
      </c>
      <c r="D906" s="3" t="s">
        <v>96</v>
      </c>
      <c r="E906" s="2"/>
      <c r="F906" s="2"/>
      <c r="G906" s="2" t="s">
        <v>78</v>
      </c>
      <c r="H906" s="2">
        <v>1</v>
      </c>
      <c r="I906" s="8">
        <v>129.13999999999999</v>
      </c>
      <c r="J906" s="8">
        <v>36900</v>
      </c>
      <c r="K906" s="3">
        <v>0</v>
      </c>
      <c r="L906" s="3" t="s">
        <v>3</v>
      </c>
      <c r="M906" s="9" t="s">
        <v>0</v>
      </c>
      <c r="N906" s="9" t="s">
        <v>24</v>
      </c>
      <c r="O906" s="9" t="s">
        <v>323</v>
      </c>
      <c r="P906" s="9" t="s">
        <v>0</v>
      </c>
      <c r="Q906" s="30" t="s">
        <v>324</v>
      </c>
      <c r="R906" s="9" t="s">
        <v>325</v>
      </c>
      <c r="S906" s="9" t="s">
        <v>158</v>
      </c>
      <c r="T906" s="10" t="s">
        <v>78</v>
      </c>
      <c r="U906" s="10">
        <v>1</v>
      </c>
      <c r="V906" s="10">
        <v>129.13999999999999</v>
      </c>
      <c r="W906" s="10" t="s">
        <v>710</v>
      </c>
      <c r="X906" s="17">
        <v>44721</v>
      </c>
      <c r="Y906" s="17">
        <v>45121</v>
      </c>
      <c r="Z906" s="19" t="s">
        <v>772</v>
      </c>
      <c r="AA906" s="212">
        <v>48360</v>
      </c>
      <c r="AB906" s="9">
        <v>72</v>
      </c>
      <c r="AC906" s="9">
        <v>0</v>
      </c>
      <c r="AD906" s="17">
        <v>44721</v>
      </c>
      <c r="AE906" s="56">
        <v>3000</v>
      </c>
      <c r="AF906" s="56"/>
      <c r="AG906" s="9" t="s">
        <v>134</v>
      </c>
      <c r="AH906" s="17">
        <v>44721</v>
      </c>
      <c r="AI906" s="30" t="s">
        <v>324</v>
      </c>
      <c r="AJ906" s="17" t="s">
        <v>2335</v>
      </c>
      <c r="AK906" s="9" t="s">
        <v>326</v>
      </c>
      <c r="AL906" s="11">
        <v>3000</v>
      </c>
      <c r="AN906" s="11" t="s">
        <v>2334</v>
      </c>
      <c r="AP906" s="11"/>
      <c r="AQ906" s="11"/>
      <c r="AR906" s="11"/>
      <c r="AW906" s="17">
        <v>44721</v>
      </c>
      <c r="AX906" s="9">
        <v>713</v>
      </c>
      <c r="BA906" s="11">
        <v>3000</v>
      </c>
      <c r="BB906" s="11" t="s">
        <v>1704</v>
      </c>
      <c r="BD906" s="9"/>
      <c r="CS906" s="11">
        <f t="shared" si="65"/>
        <v>3000</v>
      </c>
      <c r="CT906" s="22">
        <f t="shared" si="66"/>
        <v>3000</v>
      </c>
      <c r="CU906" s="22">
        <f t="shared" si="64"/>
        <v>0</v>
      </c>
      <c r="CV906" s="26">
        <f t="shared" si="67"/>
        <v>0</v>
      </c>
    </row>
    <row r="907" spans="1:100" x14ac:dyDescent="0.2">
      <c r="A907" s="9" t="s">
        <v>244</v>
      </c>
      <c r="B907" s="2">
        <v>96</v>
      </c>
      <c r="C907" s="3" t="s">
        <v>95</v>
      </c>
      <c r="D907" s="3" t="s">
        <v>96</v>
      </c>
      <c r="E907" s="2"/>
      <c r="F907" s="2"/>
      <c r="G907" s="2" t="s">
        <v>78</v>
      </c>
      <c r="H907" s="2">
        <v>1</v>
      </c>
      <c r="I907" s="8">
        <v>129.13999999999999</v>
      </c>
      <c r="J907" s="8">
        <v>36900</v>
      </c>
      <c r="K907" s="3">
        <v>0</v>
      </c>
      <c r="L907" s="3" t="s">
        <v>3</v>
      </c>
      <c r="M907" s="9" t="s">
        <v>0</v>
      </c>
      <c r="N907" s="9" t="s">
        <v>24</v>
      </c>
      <c r="O907" s="9" t="s">
        <v>323</v>
      </c>
      <c r="P907" s="9" t="s">
        <v>0</v>
      </c>
      <c r="Q907" s="30" t="s">
        <v>324</v>
      </c>
      <c r="R907" s="9" t="s">
        <v>325</v>
      </c>
      <c r="S907" s="9" t="s">
        <v>158</v>
      </c>
      <c r="T907" s="10" t="s">
        <v>78</v>
      </c>
      <c r="U907" s="10">
        <v>1</v>
      </c>
      <c r="V907" s="10">
        <v>129.13999999999999</v>
      </c>
      <c r="W907" s="10" t="s">
        <v>710</v>
      </c>
      <c r="X907" s="17">
        <v>44721</v>
      </c>
      <c r="Y907" s="17">
        <v>45121</v>
      </c>
      <c r="Z907" s="19" t="s">
        <v>772</v>
      </c>
      <c r="AA907" s="212">
        <v>48360</v>
      </c>
      <c r="AB907" s="9">
        <v>72</v>
      </c>
      <c r="AC907" s="9">
        <v>1</v>
      </c>
      <c r="AD907" s="17">
        <v>44925</v>
      </c>
      <c r="AE907" s="56">
        <v>630</v>
      </c>
      <c r="AF907" s="56"/>
      <c r="AG907" s="9" t="s">
        <v>134</v>
      </c>
      <c r="AH907" s="17">
        <v>44925</v>
      </c>
      <c r="AI907" s="30" t="s">
        <v>24</v>
      </c>
      <c r="AJ907" s="17" t="s">
        <v>2336</v>
      </c>
      <c r="AK907" s="9" t="s">
        <v>327</v>
      </c>
      <c r="AL907" s="11">
        <v>630</v>
      </c>
      <c r="AN907" s="11" t="s">
        <v>2337</v>
      </c>
      <c r="AP907" s="11"/>
      <c r="AQ907" s="11"/>
      <c r="AR907" s="11"/>
      <c r="AW907" s="17">
        <v>44925</v>
      </c>
      <c r="AX907" s="9">
        <v>1122</v>
      </c>
      <c r="BA907" s="11">
        <v>630</v>
      </c>
      <c r="BB907" s="11" t="s">
        <v>1704</v>
      </c>
      <c r="BD907" s="9"/>
      <c r="CS907" s="11">
        <f t="shared" si="65"/>
        <v>630</v>
      </c>
      <c r="CT907" s="22">
        <f t="shared" si="66"/>
        <v>630</v>
      </c>
      <c r="CU907" s="22">
        <f t="shared" si="64"/>
        <v>0</v>
      </c>
      <c r="CV907" s="26">
        <f t="shared" si="67"/>
        <v>0</v>
      </c>
    </row>
    <row r="908" spans="1:100" x14ac:dyDescent="0.2">
      <c r="A908" s="9" t="s">
        <v>244</v>
      </c>
      <c r="B908" s="2">
        <v>96</v>
      </c>
      <c r="C908" s="3" t="s">
        <v>95</v>
      </c>
      <c r="D908" s="3" t="s">
        <v>96</v>
      </c>
      <c r="E908" s="2"/>
      <c r="F908" s="2"/>
      <c r="G908" s="2" t="s">
        <v>78</v>
      </c>
      <c r="H908" s="2">
        <v>1</v>
      </c>
      <c r="I908" s="8">
        <v>129.13999999999999</v>
      </c>
      <c r="J908" s="8">
        <v>36900</v>
      </c>
      <c r="K908" s="3">
        <v>0</v>
      </c>
      <c r="L908" s="3" t="s">
        <v>3</v>
      </c>
      <c r="M908" s="9" t="s">
        <v>0</v>
      </c>
      <c r="N908" s="9" t="s">
        <v>24</v>
      </c>
      <c r="O908" s="9" t="s">
        <v>323</v>
      </c>
      <c r="P908" s="9" t="s">
        <v>0</v>
      </c>
      <c r="Q908" s="30" t="s">
        <v>324</v>
      </c>
      <c r="R908" s="9" t="s">
        <v>325</v>
      </c>
      <c r="S908" s="9" t="s">
        <v>158</v>
      </c>
      <c r="T908" s="10" t="s">
        <v>78</v>
      </c>
      <c r="U908" s="10">
        <v>1</v>
      </c>
      <c r="V908" s="10">
        <v>129.13999999999999</v>
      </c>
      <c r="W908" s="10" t="s">
        <v>710</v>
      </c>
      <c r="X908" s="17">
        <v>44721</v>
      </c>
      <c r="Y908" s="17">
        <v>45121</v>
      </c>
      <c r="Z908" s="19" t="s">
        <v>772</v>
      </c>
      <c r="AA908" s="212">
        <v>48360</v>
      </c>
      <c r="AB908" s="9">
        <v>72</v>
      </c>
      <c r="AC908" s="9">
        <v>2</v>
      </c>
      <c r="AD908" s="17">
        <v>44956</v>
      </c>
      <c r="AE908" s="56">
        <v>630</v>
      </c>
      <c r="AF908" s="56"/>
      <c r="AG908" s="9" t="s">
        <v>134</v>
      </c>
      <c r="AH908" s="17">
        <v>44957</v>
      </c>
      <c r="AI908" s="30" t="s">
        <v>24</v>
      </c>
      <c r="AJ908" s="17" t="s">
        <v>2336</v>
      </c>
      <c r="AK908" s="9" t="s">
        <v>2338</v>
      </c>
      <c r="AL908" s="11">
        <v>630</v>
      </c>
      <c r="AN908" s="11" t="s">
        <v>2346</v>
      </c>
      <c r="AP908" s="11"/>
      <c r="AQ908" s="11"/>
      <c r="AR908" s="11"/>
      <c r="AW908" s="42">
        <v>44957</v>
      </c>
      <c r="AX908" s="36">
        <v>1175</v>
      </c>
      <c r="AY908" s="36"/>
      <c r="AZ908" s="36"/>
      <c r="BA908" s="40">
        <v>630</v>
      </c>
      <c r="BB908" s="9"/>
      <c r="BD908" s="9"/>
      <c r="CS908" s="11">
        <f t="shared" si="65"/>
        <v>630</v>
      </c>
      <c r="CT908" s="22">
        <f t="shared" si="66"/>
        <v>630</v>
      </c>
      <c r="CU908" s="22">
        <f t="shared" si="64"/>
        <v>0</v>
      </c>
      <c r="CV908" s="26">
        <f t="shared" si="67"/>
        <v>0</v>
      </c>
    </row>
    <row r="909" spans="1:100" x14ac:dyDescent="0.2">
      <c r="A909" s="9" t="s">
        <v>244</v>
      </c>
      <c r="B909" s="2">
        <v>96</v>
      </c>
      <c r="C909" s="3" t="s">
        <v>95</v>
      </c>
      <c r="D909" s="3" t="s">
        <v>96</v>
      </c>
      <c r="E909" s="2"/>
      <c r="F909" s="2"/>
      <c r="G909" s="2" t="s">
        <v>78</v>
      </c>
      <c r="H909" s="2">
        <v>1</v>
      </c>
      <c r="I909" s="8">
        <v>129.13999999999999</v>
      </c>
      <c r="J909" s="8">
        <v>36900</v>
      </c>
      <c r="K909" s="3">
        <v>0</v>
      </c>
      <c r="L909" s="3" t="s">
        <v>3</v>
      </c>
      <c r="M909" s="9" t="s">
        <v>0</v>
      </c>
      <c r="N909" s="9" t="s">
        <v>24</v>
      </c>
      <c r="O909" s="9" t="s">
        <v>323</v>
      </c>
      <c r="P909" s="9" t="s">
        <v>0</v>
      </c>
      <c r="Q909" s="30" t="s">
        <v>324</v>
      </c>
      <c r="R909" s="9" t="s">
        <v>325</v>
      </c>
      <c r="S909" s="9" t="s">
        <v>158</v>
      </c>
      <c r="T909" s="10" t="s">
        <v>78</v>
      </c>
      <c r="U909" s="10">
        <v>1</v>
      </c>
      <c r="V909" s="10">
        <v>129.13999999999999</v>
      </c>
      <c r="W909" s="10" t="s">
        <v>710</v>
      </c>
      <c r="X909" s="17">
        <v>44721</v>
      </c>
      <c r="Y909" s="17">
        <v>45121</v>
      </c>
      <c r="Z909" s="19" t="s">
        <v>772</v>
      </c>
      <c r="AA909" s="212">
        <v>48360</v>
      </c>
      <c r="AB909" s="9">
        <v>72</v>
      </c>
      <c r="AC909" s="9">
        <v>3</v>
      </c>
      <c r="AD909" s="17">
        <v>44985</v>
      </c>
      <c r="AE909" s="56">
        <v>630</v>
      </c>
      <c r="AF909" s="56"/>
      <c r="AG909" s="9" t="s">
        <v>134</v>
      </c>
      <c r="AH909" s="17">
        <v>44986</v>
      </c>
      <c r="AI909" s="30" t="s">
        <v>24</v>
      </c>
      <c r="AJ909" s="17" t="s">
        <v>2336</v>
      </c>
      <c r="AK909" s="9" t="s">
        <v>328</v>
      </c>
      <c r="AL909" s="11">
        <v>630</v>
      </c>
      <c r="AN909" s="11" t="s">
        <v>2347</v>
      </c>
      <c r="AP909" s="11"/>
      <c r="AQ909" s="11"/>
      <c r="AR909" s="11"/>
      <c r="AW909" s="42">
        <v>44985</v>
      </c>
      <c r="AX909" s="36">
        <v>1253</v>
      </c>
      <c r="AY909" s="36"/>
      <c r="AZ909" s="36"/>
      <c r="BA909" s="40">
        <v>630</v>
      </c>
      <c r="BD909" s="9"/>
      <c r="CS909" s="11">
        <f t="shared" si="65"/>
        <v>630</v>
      </c>
      <c r="CT909" s="22">
        <f t="shared" si="66"/>
        <v>630</v>
      </c>
      <c r="CU909" s="22">
        <f t="shared" si="64"/>
        <v>0</v>
      </c>
      <c r="CV909" s="26">
        <f t="shared" si="67"/>
        <v>0</v>
      </c>
    </row>
    <row r="910" spans="1:100" x14ac:dyDescent="0.2">
      <c r="A910" s="9" t="s">
        <v>244</v>
      </c>
      <c r="B910" s="2">
        <v>96</v>
      </c>
      <c r="C910" s="3" t="s">
        <v>95</v>
      </c>
      <c r="D910" s="3" t="s">
        <v>96</v>
      </c>
      <c r="E910" s="2"/>
      <c r="F910" s="2"/>
      <c r="G910" s="2" t="s">
        <v>78</v>
      </c>
      <c r="H910" s="2">
        <v>1</v>
      </c>
      <c r="I910" s="8">
        <v>129.13999999999999</v>
      </c>
      <c r="J910" s="8">
        <v>36900</v>
      </c>
      <c r="K910" s="3">
        <v>0</v>
      </c>
      <c r="L910" s="3" t="s">
        <v>3</v>
      </c>
      <c r="M910" s="9" t="s">
        <v>0</v>
      </c>
      <c r="N910" s="9" t="s">
        <v>24</v>
      </c>
      <c r="O910" s="9" t="s">
        <v>323</v>
      </c>
      <c r="P910" s="9" t="s">
        <v>0</v>
      </c>
      <c r="Q910" s="30" t="s">
        <v>324</v>
      </c>
      <c r="R910" s="9" t="s">
        <v>325</v>
      </c>
      <c r="S910" s="9" t="s">
        <v>158</v>
      </c>
      <c r="T910" s="10" t="s">
        <v>78</v>
      </c>
      <c r="U910" s="10">
        <v>1</v>
      </c>
      <c r="V910" s="10">
        <v>129.13999999999999</v>
      </c>
      <c r="W910" s="10" t="s">
        <v>710</v>
      </c>
      <c r="X910" s="17">
        <v>44721</v>
      </c>
      <c r="Y910" s="17">
        <v>45121</v>
      </c>
      <c r="Z910" s="19" t="s">
        <v>772</v>
      </c>
      <c r="AA910" s="212">
        <v>48360</v>
      </c>
      <c r="AB910" s="9">
        <v>72</v>
      </c>
      <c r="AC910" s="9">
        <v>4</v>
      </c>
      <c r="AD910" s="17">
        <v>45015</v>
      </c>
      <c r="AE910" s="56">
        <v>630</v>
      </c>
      <c r="AF910" s="56"/>
      <c r="AG910" s="9" t="s">
        <v>134</v>
      </c>
      <c r="AH910" s="17">
        <v>45015</v>
      </c>
      <c r="AI910" s="30" t="s">
        <v>24</v>
      </c>
      <c r="AJ910" s="17" t="s">
        <v>2336</v>
      </c>
      <c r="AK910" s="9" t="s">
        <v>2339</v>
      </c>
      <c r="AL910" s="11">
        <v>630</v>
      </c>
      <c r="AN910" s="11" t="s">
        <v>2348</v>
      </c>
      <c r="AP910" s="11"/>
      <c r="AQ910" s="11"/>
      <c r="AR910" s="11"/>
      <c r="AW910" s="42">
        <v>45016</v>
      </c>
      <c r="AX910" s="36">
        <v>1361</v>
      </c>
      <c r="AY910" s="36"/>
      <c r="AZ910" s="36"/>
      <c r="BA910" s="40">
        <v>630</v>
      </c>
      <c r="BD910" s="9"/>
      <c r="CS910" s="11">
        <f t="shared" si="65"/>
        <v>630</v>
      </c>
      <c r="CT910" s="22">
        <f t="shared" si="66"/>
        <v>630</v>
      </c>
      <c r="CU910" s="22">
        <f t="shared" si="64"/>
        <v>0</v>
      </c>
      <c r="CV910" s="26">
        <f t="shared" si="67"/>
        <v>0</v>
      </c>
    </row>
    <row r="911" spans="1:100" x14ac:dyDescent="0.2">
      <c r="A911" s="9" t="s">
        <v>244</v>
      </c>
      <c r="B911" s="2">
        <v>96</v>
      </c>
      <c r="C911" s="3" t="s">
        <v>95</v>
      </c>
      <c r="D911" s="3" t="s">
        <v>96</v>
      </c>
      <c r="E911" s="2"/>
      <c r="F911" s="2"/>
      <c r="G911" s="2" t="s">
        <v>78</v>
      </c>
      <c r="H911" s="2">
        <v>1</v>
      </c>
      <c r="I911" s="8">
        <v>129.13999999999999</v>
      </c>
      <c r="J911" s="8">
        <v>36900</v>
      </c>
      <c r="K911" s="3">
        <v>0</v>
      </c>
      <c r="L911" s="3" t="s">
        <v>3</v>
      </c>
      <c r="M911" s="9" t="s">
        <v>0</v>
      </c>
      <c r="N911" s="9" t="s">
        <v>24</v>
      </c>
      <c r="O911" s="9" t="s">
        <v>323</v>
      </c>
      <c r="P911" s="9" t="s">
        <v>0</v>
      </c>
      <c r="Q911" s="30" t="s">
        <v>324</v>
      </c>
      <c r="R911" s="9" t="s">
        <v>325</v>
      </c>
      <c r="S911" s="9" t="s">
        <v>158</v>
      </c>
      <c r="T911" s="10" t="s">
        <v>78</v>
      </c>
      <c r="U911" s="10">
        <v>1</v>
      </c>
      <c r="V911" s="10">
        <v>129.13999999999999</v>
      </c>
      <c r="W911" s="10" t="s">
        <v>710</v>
      </c>
      <c r="X911" s="17">
        <v>44721</v>
      </c>
      <c r="Y911" s="17">
        <v>45121</v>
      </c>
      <c r="Z911" s="19" t="s">
        <v>772</v>
      </c>
      <c r="AA911" s="212">
        <v>48360</v>
      </c>
      <c r="AB911" s="9">
        <v>72</v>
      </c>
      <c r="AC911" s="9">
        <v>5</v>
      </c>
      <c r="AD911" s="17">
        <v>45046</v>
      </c>
      <c r="AE911" s="56">
        <v>630</v>
      </c>
      <c r="AF911" s="56"/>
      <c r="AG911" s="9" t="s">
        <v>134</v>
      </c>
      <c r="AH911" s="17">
        <v>45048</v>
      </c>
      <c r="AI911" s="30" t="s">
        <v>24</v>
      </c>
      <c r="AJ911" s="17" t="s">
        <v>2336</v>
      </c>
      <c r="AK911" s="9" t="s">
        <v>329</v>
      </c>
      <c r="AL911" s="11">
        <v>630</v>
      </c>
      <c r="AN911" s="11" t="s">
        <v>2349</v>
      </c>
      <c r="AP911" s="11"/>
      <c r="AQ911" s="11"/>
      <c r="AR911" s="11"/>
      <c r="AW911" s="42">
        <v>45048</v>
      </c>
      <c r="AX911" s="36">
        <v>1449</v>
      </c>
      <c r="AY911" s="36"/>
      <c r="AZ911" s="36"/>
      <c r="BA911" s="40">
        <v>630</v>
      </c>
      <c r="BD911" s="9"/>
      <c r="CS911" s="11">
        <f t="shared" si="65"/>
        <v>630</v>
      </c>
      <c r="CT911" s="22">
        <f t="shared" si="66"/>
        <v>630</v>
      </c>
      <c r="CU911" s="22">
        <f t="shared" si="64"/>
        <v>0</v>
      </c>
      <c r="CV911" s="26">
        <f t="shared" si="67"/>
        <v>0</v>
      </c>
    </row>
    <row r="912" spans="1:100" x14ac:dyDescent="0.2">
      <c r="A912" s="9" t="s">
        <v>244</v>
      </c>
      <c r="B912" s="2">
        <v>96</v>
      </c>
      <c r="C912" s="3" t="s">
        <v>95</v>
      </c>
      <c r="D912" s="3" t="s">
        <v>96</v>
      </c>
      <c r="E912" s="2"/>
      <c r="F912" s="2"/>
      <c r="G912" s="2" t="s">
        <v>78</v>
      </c>
      <c r="H912" s="2">
        <v>1</v>
      </c>
      <c r="I912" s="8">
        <v>129.13999999999999</v>
      </c>
      <c r="J912" s="8">
        <v>36900</v>
      </c>
      <c r="K912" s="3">
        <v>0</v>
      </c>
      <c r="L912" s="3" t="s">
        <v>3</v>
      </c>
      <c r="M912" s="9" t="s">
        <v>0</v>
      </c>
      <c r="N912" s="9" t="s">
        <v>24</v>
      </c>
      <c r="O912" s="9" t="s">
        <v>323</v>
      </c>
      <c r="P912" s="9" t="s">
        <v>0</v>
      </c>
      <c r="Q912" s="30" t="s">
        <v>324</v>
      </c>
      <c r="R912" s="9" t="s">
        <v>325</v>
      </c>
      <c r="S912" s="9" t="s">
        <v>158</v>
      </c>
      <c r="T912" s="10" t="s">
        <v>78</v>
      </c>
      <c r="U912" s="10">
        <v>1</v>
      </c>
      <c r="V912" s="10">
        <v>129.13999999999999</v>
      </c>
      <c r="W912" s="10" t="s">
        <v>710</v>
      </c>
      <c r="X912" s="17">
        <v>44721</v>
      </c>
      <c r="Y912" s="17">
        <v>45121</v>
      </c>
      <c r="Z912" s="19" t="s">
        <v>772</v>
      </c>
      <c r="AA912" s="212">
        <v>48360</v>
      </c>
      <c r="AB912" s="9">
        <v>72</v>
      </c>
      <c r="AC912" s="9">
        <v>6</v>
      </c>
      <c r="AD912" s="17">
        <v>45076</v>
      </c>
      <c r="AE912" s="56">
        <v>630</v>
      </c>
      <c r="AF912" s="56"/>
      <c r="AG912" s="9" t="s">
        <v>134</v>
      </c>
      <c r="AH912" s="17">
        <v>45076</v>
      </c>
      <c r="AI912" s="30" t="s">
        <v>24</v>
      </c>
      <c r="AJ912" s="17" t="s">
        <v>2336</v>
      </c>
      <c r="AK912" s="9" t="s">
        <v>330</v>
      </c>
      <c r="AL912" s="11">
        <v>630</v>
      </c>
      <c r="AN912" s="11" t="s">
        <v>2350</v>
      </c>
      <c r="AP912" s="11"/>
      <c r="AQ912" s="11"/>
      <c r="AR912" s="11"/>
      <c r="AW912" s="42">
        <v>45077</v>
      </c>
      <c r="AX912" s="36">
        <v>1558</v>
      </c>
      <c r="AY912" s="36"/>
      <c r="AZ912" s="36"/>
      <c r="BA912" s="40">
        <v>630</v>
      </c>
      <c r="BD912" s="9"/>
      <c r="CS912" s="11">
        <f t="shared" si="65"/>
        <v>630</v>
      </c>
      <c r="CT912" s="22">
        <f t="shared" si="66"/>
        <v>630</v>
      </c>
      <c r="CU912" s="22">
        <f t="shared" si="64"/>
        <v>0</v>
      </c>
      <c r="CV912" s="26">
        <f t="shared" si="67"/>
        <v>0</v>
      </c>
    </row>
    <row r="913" spans="1:100" x14ac:dyDescent="0.2">
      <c r="A913" s="9" t="s">
        <v>244</v>
      </c>
      <c r="B913" s="2">
        <v>96</v>
      </c>
      <c r="C913" s="3" t="s">
        <v>95</v>
      </c>
      <c r="D913" s="3" t="s">
        <v>96</v>
      </c>
      <c r="E913" s="2"/>
      <c r="F913" s="2"/>
      <c r="G913" s="2" t="s">
        <v>78</v>
      </c>
      <c r="H913" s="2">
        <v>1</v>
      </c>
      <c r="I913" s="8">
        <v>129.13999999999999</v>
      </c>
      <c r="J913" s="8">
        <v>36900</v>
      </c>
      <c r="K913" s="3">
        <v>0</v>
      </c>
      <c r="L913" s="3" t="s">
        <v>3</v>
      </c>
      <c r="M913" s="9" t="s">
        <v>0</v>
      </c>
      <c r="N913" s="9" t="s">
        <v>24</v>
      </c>
      <c r="O913" s="9" t="s">
        <v>323</v>
      </c>
      <c r="P913" s="9" t="s">
        <v>0</v>
      </c>
      <c r="Q913" s="30" t="s">
        <v>324</v>
      </c>
      <c r="R913" s="9" t="s">
        <v>325</v>
      </c>
      <c r="S913" s="9" t="s">
        <v>158</v>
      </c>
      <c r="T913" s="10" t="s">
        <v>78</v>
      </c>
      <c r="U913" s="10">
        <v>1</v>
      </c>
      <c r="V913" s="10">
        <v>129.13999999999999</v>
      </c>
      <c r="W913" s="10" t="s">
        <v>710</v>
      </c>
      <c r="X913" s="17">
        <v>44721</v>
      </c>
      <c r="Y913" s="17">
        <v>45121</v>
      </c>
      <c r="Z913" s="19" t="s">
        <v>772</v>
      </c>
      <c r="AA913" s="212">
        <v>48360</v>
      </c>
      <c r="AB913" s="9">
        <v>72</v>
      </c>
      <c r="AC913" s="9">
        <v>7</v>
      </c>
      <c r="AD913" s="17">
        <v>45107</v>
      </c>
      <c r="AE913" s="56">
        <v>630</v>
      </c>
      <c r="AF913" s="56"/>
      <c r="AG913" s="9" t="s">
        <v>134</v>
      </c>
      <c r="AH913" s="17">
        <v>45108</v>
      </c>
      <c r="AI913" s="30" t="s">
        <v>24</v>
      </c>
      <c r="AJ913" s="17" t="s">
        <v>2336</v>
      </c>
      <c r="AK913" s="9" t="s">
        <v>331</v>
      </c>
      <c r="AL913" s="11">
        <v>630</v>
      </c>
      <c r="AN913" s="11" t="s">
        <v>2351</v>
      </c>
      <c r="AP913" s="11"/>
      <c r="AQ913" s="11"/>
      <c r="AR913" s="11"/>
      <c r="AW913" s="42">
        <v>45110</v>
      </c>
      <c r="AX913" s="36">
        <v>1669</v>
      </c>
      <c r="AY913" s="36"/>
      <c r="AZ913" s="36"/>
      <c r="BA913" s="40">
        <v>630</v>
      </c>
      <c r="BD913" s="9"/>
      <c r="CS913" s="11">
        <f t="shared" si="65"/>
        <v>630</v>
      </c>
      <c r="CT913" s="22">
        <f t="shared" si="66"/>
        <v>630</v>
      </c>
      <c r="CU913" s="22">
        <f t="shared" si="64"/>
        <v>0</v>
      </c>
      <c r="CV913" s="26">
        <f t="shared" si="67"/>
        <v>0</v>
      </c>
    </row>
    <row r="914" spans="1:100" x14ac:dyDescent="0.2">
      <c r="A914" s="9" t="s">
        <v>244</v>
      </c>
      <c r="B914" s="2">
        <v>96</v>
      </c>
      <c r="C914" s="3" t="s">
        <v>95</v>
      </c>
      <c r="D914" s="3" t="s">
        <v>96</v>
      </c>
      <c r="E914" s="2"/>
      <c r="F914" s="2"/>
      <c r="G914" s="2" t="s">
        <v>78</v>
      </c>
      <c r="H914" s="2">
        <v>1</v>
      </c>
      <c r="I914" s="8">
        <v>129.13999999999999</v>
      </c>
      <c r="J914" s="8">
        <v>36900</v>
      </c>
      <c r="K914" s="3">
        <v>0</v>
      </c>
      <c r="L914" s="3" t="s">
        <v>3</v>
      </c>
      <c r="M914" s="9" t="s">
        <v>0</v>
      </c>
      <c r="N914" s="9" t="s">
        <v>24</v>
      </c>
      <c r="O914" s="9" t="s">
        <v>323</v>
      </c>
      <c r="P914" s="9" t="s">
        <v>0</v>
      </c>
      <c r="Q914" s="30" t="s">
        <v>324</v>
      </c>
      <c r="R914" s="9" t="s">
        <v>325</v>
      </c>
      <c r="S914" s="9" t="s">
        <v>158</v>
      </c>
      <c r="T914" s="10" t="s">
        <v>78</v>
      </c>
      <c r="U914" s="10">
        <v>1</v>
      </c>
      <c r="V914" s="10">
        <v>129.13999999999999</v>
      </c>
      <c r="W914" s="10" t="s">
        <v>710</v>
      </c>
      <c r="X914" s="17">
        <v>44721</v>
      </c>
      <c r="Y914" s="17">
        <v>45121</v>
      </c>
      <c r="Z914" s="19" t="s">
        <v>772</v>
      </c>
      <c r="AA914" s="212">
        <v>48360</v>
      </c>
      <c r="AB914" s="9">
        <v>72</v>
      </c>
      <c r="AC914" s="9">
        <v>8</v>
      </c>
      <c r="AD914" s="17">
        <v>45137</v>
      </c>
      <c r="AE914" s="56">
        <v>630</v>
      </c>
      <c r="AF914" s="56"/>
      <c r="AG914" s="9" t="s">
        <v>134</v>
      </c>
      <c r="AH914" s="17">
        <v>45139</v>
      </c>
      <c r="AI914" s="30" t="s">
        <v>24</v>
      </c>
      <c r="AJ914" s="17" t="s">
        <v>2336</v>
      </c>
      <c r="AK914" s="9" t="s">
        <v>2340</v>
      </c>
      <c r="AL914" s="11">
        <v>630</v>
      </c>
      <c r="AN914" s="11" t="s">
        <v>2352</v>
      </c>
      <c r="AP914" s="11"/>
      <c r="AQ914" s="11"/>
      <c r="AR914" s="11"/>
      <c r="AW914" s="42">
        <v>45140</v>
      </c>
      <c r="AX914" s="36">
        <v>1775</v>
      </c>
      <c r="AY914" s="36"/>
      <c r="AZ914" s="36"/>
      <c r="BA914" s="40">
        <v>630</v>
      </c>
      <c r="BD914" s="9"/>
      <c r="CS914" s="11">
        <f t="shared" si="65"/>
        <v>630</v>
      </c>
      <c r="CT914" s="22">
        <f t="shared" si="66"/>
        <v>630</v>
      </c>
      <c r="CU914" s="22">
        <f t="shared" si="64"/>
        <v>0</v>
      </c>
      <c r="CV914" s="26">
        <f t="shared" si="67"/>
        <v>0</v>
      </c>
    </row>
    <row r="915" spans="1:100" x14ac:dyDescent="0.2">
      <c r="A915" s="9" t="s">
        <v>244</v>
      </c>
      <c r="B915" s="2">
        <v>96</v>
      </c>
      <c r="C915" s="3" t="s">
        <v>95</v>
      </c>
      <c r="D915" s="3" t="s">
        <v>96</v>
      </c>
      <c r="E915" s="2"/>
      <c r="F915" s="2"/>
      <c r="G915" s="2" t="s">
        <v>78</v>
      </c>
      <c r="H915" s="2">
        <v>1</v>
      </c>
      <c r="I915" s="8">
        <v>129.13999999999999</v>
      </c>
      <c r="J915" s="8">
        <v>36900</v>
      </c>
      <c r="K915" s="3">
        <v>0</v>
      </c>
      <c r="L915" s="3" t="s">
        <v>3</v>
      </c>
      <c r="M915" s="9" t="s">
        <v>0</v>
      </c>
      <c r="N915" s="9" t="s">
        <v>24</v>
      </c>
      <c r="O915" s="9" t="s">
        <v>323</v>
      </c>
      <c r="P915" s="9" t="s">
        <v>0</v>
      </c>
      <c r="Q915" s="30" t="s">
        <v>324</v>
      </c>
      <c r="R915" s="9" t="s">
        <v>325</v>
      </c>
      <c r="S915" s="9" t="s">
        <v>158</v>
      </c>
      <c r="T915" s="10" t="s">
        <v>78</v>
      </c>
      <c r="U915" s="10">
        <v>1</v>
      </c>
      <c r="V915" s="10">
        <v>129.13999999999999</v>
      </c>
      <c r="W915" s="10" t="s">
        <v>710</v>
      </c>
      <c r="X915" s="17">
        <v>44721</v>
      </c>
      <c r="Y915" s="17">
        <v>45121</v>
      </c>
      <c r="Z915" s="19" t="s">
        <v>772</v>
      </c>
      <c r="AA915" s="212">
        <v>48360</v>
      </c>
      <c r="AB915" s="9">
        <v>72</v>
      </c>
      <c r="AC915" s="9">
        <v>9</v>
      </c>
      <c r="AD915" s="17">
        <v>45168</v>
      </c>
      <c r="AE915" s="56">
        <v>630</v>
      </c>
      <c r="AF915" s="56"/>
      <c r="AG915" s="9" t="s">
        <v>134</v>
      </c>
      <c r="AH915" s="17">
        <v>45174</v>
      </c>
      <c r="AI915" s="30" t="s">
        <v>24</v>
      </c>
      <c r="AJ915" s="17" t="s">
        <v>2336</v>
      </c>
      <c r="AK915" s="9" t="s">
        <v>2341</v>
      </c>
      <c r="AL915" s="11">
        <v>630</v>
      </c>
      <c r="AN915" s="11" t="s">
        <v>2353</v>
      </c>
      <c r="AP915" s="11"/>
      <c r="AQ915" s="11"/>
      <c r="AR915" s="11"/>
      <c r="AW915" s="42">
        <v>45170</v>
      </c>
      <c r="AX915" s="36">
        <v>1866</v>
      </c>
      <c r="AY915" s="36"/>
      <c r="AZ915" s="36"/>
      <c r="BA915" s="40">
        <v>630</v>
      </c>
      <c r="BD915" s="9"/>
      <c r="CS915" s="11">
        <f t="shared" si="65"/>
        <v>630</v>
      </c>
      <c r="CT915" s="22">
        <f t="shared" si="66"/>
        <v>630</v>
      </c>
      <c r="CU915" s="22">
        <f t="shared" si="64"/>
        <v>0</v>
      </c>
      <c r="CV915" s="26">
        <f t="shared" si="67"/>
        <v>0</v>
      </c>
    </row>
    <row r="916" spans="1:100" x14ac:dyDescent="0.2">
      <c r="A916" s="9" t="s">
        <v>244</v>
      </c>
      <c r="B916" s="2">
        <v>96</v>
      </c>
      <c r="C916" s="3" t="s">
        <v>95</v>
      </c>
      <c r="D916" s="3" t="s">
        <v>96</v>
      </c>
      <c r="E916" s="2"/>
      <c r="F916" s="2"/>
      <c r="G916" s="2" t="s">
        <v>78</v>
      </c>
      <c r="H916" s="2">
        <v>1</v>
      </c>
      <c r="I916" s="8">
        <v>129.13999999999999</v>
      </c>
      <c r="J916" s="8">
        <v>36900</v>
      </c>
      <c r="K916" s="3">
        <v>0</v>
      </c>
      <c r="L916" s="3" t="s">
        <v>3</v>
      </c>
      <c r="M916" s="9" t="s">
        <v>0</v>
      </c>
      <c r="N916" s="9" t="s">
        <v>24</v>
      </c>
      <c r="O916" s="9" t="s">
        <v>323</v>
      </c>
      <c r="P916" s="9" t="s">
        <v>0</v>
      </c>
      <c r="Q916" s="30" t="s">
        <v>324</v>
      </c>
      <c r="R916" s="9" t="s">
        <v>325</v>
      </c>
      <c r="S916" s="9" t="s">
        <v>158</v>
      </c>
      <c r="T916" s="10" t="s">
        <v>78</v>
      </c>
      <c r="U916" s="10">
        <v>1</v>
      </c>
      <c r="V916" s="10">
        <v>129.13999999999999</v>
      </c>
      <c r="W916" s="10" t="s">
        <v>710</v>
      </c>
      <c r="X916" s="17">
        <v>44721</v>
      </c>
      <c r="Y916" s="17">
        <v>45121</v>
      </c>
      <c r="Z916" s="19" t="s">
        <v>772</v>
      </c>
      <c r="AA916" s="212">
        <v>48360</v>
      </c>
      <c r="AB916" s="9">
        <v>72</v>
      </c>
      <c r="AC916" s="9">
        <v>10</v>
      </c>
      <c r="AD916" s="17">
        <v>45199</v>
      </c>
      <c r="AE916" s="56">
        <v>630</v>
      </c>
      <c r="AF916" s="56"/>
      <c r="AG916" s="9" t="s">
        <v>134</v>
      </c>
      <c r="AH916" s="17">
        <v>45199</v>
      </c>
      <c r="AI916" s="30" t="s">
        <v>24</v>
      </c>
      <c r="AJ916" s="17" t="s">
        <v>2336</v>
      </c>
      <c r="AK916" s="9" t="s">
        <v>2342</v>
      </c>
      <c r="AL916" s="11">
        <v>630</v>
      </c>
      <c r="AN916" s="11" t="s">
        <v>2354</v>
      </c>
      <c r="AP916" s="11"/>
      <c r="AQ916" s="11"/>
      <c r="AR916" s="11"/>
      <c r="AW916" s="42">
        <v>45201</v>
      </c>
      <c r="AX916" s="36">
        <v>1937</v>
      </c>
      <c r="AY916" s="36"/>
      <c r="AZ916" s="36"/>
      <c r="BA916" s="40">
        <v>630</v>
      </c>
      <c r="BD916" s="9"/>
      <c r="CS916" s="11">
        <f t="shared" si="65"/>
        <v>630</v>
      </c>
      <c r="CT916" s="22">
        <f t="shared" si="66"/>
        <v>630</v>
      </c>
      <c r="CU916" s="22">
        <f t="shared" si="64"/>
        <v>0</v>
      </c>
      <c r="CV916" s="26">
        <f t="shared" si="67"/>
        <v>0</v>
      </c>
    </row>
    <row r="917" spans="1:100" x14ac:dyDescent="0.2">
      <c r="A917" s="9" t="s">
        <v>244</v>
      </c>
      <c r="B917" s="2">
        <v>96</v>
      </c>
      <c r="C917" s="3" t="s">
        <v>95</v>
      </c>
      <c r="D917" s="3" t="s">
        <v>96</v>
      </c>
      <c r="E917" s="2"/>
      <c r="F917" s="2"/>
      <c r="G917" s="2" t="s">
        <v>78</v>
      </c>
      <c r="H917" s="2">
        <v>1</v>
      </c>
      <c r="I917" s="8">
        <v>129.13999999999999</v>
      </c>
      <c r="J917" s="8">
        <v>36900</v>
      </c>
      <c r="K917" s="3">
        <v>0</v>
      </c>
      <c r="L917" s="3" t="s">
        <v>3</v>
      </c>
      <c r="M917" s="9" t="s">
        <v>0</v>
      </c>
      <c r="N917" s="9" t="s">
        <v>24</v>
      </c>
      <c r="O917" s="9" t="s">
        <v>323</v>
      </c>
      <c r="P917" s="9" t="s">
        <v>0</v>
      </c>
      <c r="Q917" s="30" t="s">
        <v>324</v>
      </c>
      <c r="R917" s="9" t="s">
        <v>325</v>
      </c>
      <c r="S917" s="9" t="s">
        <v>158</v>
      </c>
      <c r="T917" s="10" t="s">
        <v>78</v>
      </c>
      <c r="U917" s="10">
        <v>1</v>
      </c>
      <c r="V917" s="10">
        <v>129.13999999999999</v>
      </c>
      <c r="W917" s="10" t="s">
        <v>710</v>
      </c>
      <c r="X917" s="17">
        <v>44721</v>
      </c>
      <c r="Y917" s="17">
        <v>45121</v>
      </c>
      <c r="Z917" s="19" t="s">
        <v>772</v>
      </c>
      <c r="AA917" s="212">
        <v>48360</v>
      </c>
      <c r="AB917" s="9">
        <v>72</v>
      </c>
      <c r="AC917" s="9">
        <v>11</v>
      </c>
      <c r="AD917" s="17">
        <v>45229</v>
      </c>
      <c r="AE917" s="56">
        <v>630</v>
      </c>
      <c r="AF917" s="56"/>
      <c r="AG917" s="9" t="s">
        <v>134</v>
      </c>
      <c r="AH917" s="17">
        <v>45229</v>
      </c>
      <c r="AI917" s="30" t="s">
        <v>24</v>
      </c>
      <c r="AJ917" s="17" t="s">
        <v>2336</v>
      </c>
      <c r="AK917" s="9" t="s">
        <v>2343</v>
      </c>
      <c r="AL917" s="11">
        <v>630</v>
      </c>
      <c r="AN917" s="11" t="s">
        <v>2355</v>
      </c>
      <c r="AP917" s="11"/>
      <c r="AQ917" s="11"/>
      <c r="AR917" s="11"/>
      <c r="AW917" s="42">
        <v>45232</v>
      </c>
      <c r="AX917" s="36">
        <v>2014</v>
      </c>
      <c r="AY917" s="36"/>
      <c r="AZ917" s="36"/>
      <c r="BA917" s="40">
        <v>630</v>
      </c>
      <c r="BD917" s="9"/>
      <c r="CS917" s="11">
        <f t="shared" si="65"/>
        <v>630</v>
      </c>
      <c r="CT917" s="22">
        <f t="shared" si="66"/>
        <v>630</v>
      </c>
      <c r="CU917" s="22">
        <f t="shared" si="64"/>
        <v>0</v>
      </c>
      <c r="CV917" s="26">
        <f t="shared" si="67"/>
        <v>0</v>
      </c>
    </row>
    <row r="918" spans="1:100" x14ac:dyDescent="0.2">
      <c r="A918" s="9" t="s">
        <v>244</v>
      </c>
      <c r="B918" s="2">
        <v>96</v>
      </c>
      <c r="C918" s="3" t="s">
        <v>95</v>
      </c>
      <c r="D918" s="3" t="s">
        <v>96</v>
      </c>
      <c r="E918" s="2"/>
      <c r="F918" s="2"/>
      <c r="G918" s="2" t="s">
        <v>78</v>
      </c>
      <c r="H918" s="2">
        <v>1</v>
      </c>
      <c r="I918" s="8">
        <v>129.13999999999999</v>
      </c>
      <c r="J918" s="8">
        <v>36900</v>
      </c>
      <c r="K918" s="3">
        <v>0</v>
      </c>
      <c r="L918" s="3" t="s">
        <v>3</v>
      </c>
      <c r="M918" s="9" t="s">
        <v>0</v>
      </c>
      <c r="N918" s="9" t="s">
        <v>24</v>
      </c>
      <c r="O918" s="9" t="s">
        <v>323</v>
      </c>
      <c r="P918" s="9" t="s">
        <v>0</v>
      </c>
      <c r="Q918" s="30" t="s">
        <v>324</v>
      </c>
      <c r="R918" s="9" t="s">
        <v>325</v>
      </c>
      <c r="S918" s="9" t="s">
        <v>158</v>
      </c>
      <c r="T918" s="10" t="s">
        <v>78</v>
      </c>
      <c r="U918" s="10">
        <v>1</v>
      </c>
      <c r="V918" s="10">
        <v>129.13999999999999</v>
      </c>
      <c r="W918" s="10" t="s">
        <v>710</v>
      </c>
      <c r="X918" s="17">
        <v>44721</v>
      </c>
      <c r="Y918" s="17">
        <v>45121</v>
      </c>
      <c r="Z918" s="19" t="s">
        <v>772</v>
      </c>
      <c r="AA918" s="212">
        <v>48360</v>
      </c>
      <c r="AB918" s="9">
        <v>72</v>
      </c>
      <c r="AC918" s="9">
        <v>12</v>
      </c>
      <c r="AD918" s="17">
        <v>45260</v>
      </c>
      <c r="AE918" s="56">
        <v>630</v>
      </c>
      <c r="AF918" s="56"/>
      <c r="AG918" s="9" t="s">
        <v>134</v>
      </c>
      <c r="AH918" s="17">
        <v>45264</v>
      </c>
      <c r="AI918" s="30" t="s">
        <v>24</v>
      </c>
      <c r="AJ918" s="17" t="s">
        <v>2336</v>
      </c>
      <c r="AK918" s="9" t="s">
        <v>2344</v>
      </c>
      <c r="AL918" s="11">
        <v>630</v>
      </c>
      <c r="AN918" s="11" t="s">
        <v>2356</v>
      </c>
      <c r="AP918" s="11"/>
      <c r="AQ918" s="11"/>
      <c r="AR918" s="11"/>
      <c r="AW918" s="42">
        <v>45264</v>
      </c>
      <c r="AX918" s="36">
        <v>2096</v>
      </c>
      <c r="AY918" s="36"/>
      <c r="AZ918" s="36"/>
      <c r="BA918" s="40">
        <v>630</v>
      </c>
      <c r="BD918" s="9"/>
      <c r="CS918" s="11">
        <f t="shared" si="65"/>
        <v>630</v>
      </c>
      <c r="CT918" s="22">
        <f t="shared" si="66"/>
        <v>630</v>
      </c>
      <c r="CU918" s="22">
        <f t="shared" si="64"/>
        <v>0</v>
      </c>
      <c r="CV918" s="26">
        <f t="shared" si="67"/>
        <v>0</v>
      </c>
    </row>
    <row r="919" spans="1:100" x14ac:dyDescent="0.2">
      <c r="A919" s="9" t="s">
        <v>244</v>
      </c>
      <c r="B919" s="2">
        <v>96</v>
      </c>
      <c r="C919" s="3" t="s">
        <v>95</v>
      </c>
      <c r="D919" s="3" t="s">
        <v>96</v>
      </c>
      <c r="E919" s="2"/>
      <c r="F919" s="2"/>
      <c r="G919" s="2" t="s">
        <v>78</v>
      </c>
      <c r="H919" s="2">
        <v>1</v>
      </c>
      <c r="I919" s="8">
        <v>129.13999999999999</v>
      </c>
      <c r="J919" s="8">
        <v>36900</v>
      </c>
      <c r="K919" s="3">
        <v>0</v>
      </c>
      <c r="L919" s="3" t="s">
        <v>3</v>
      </c>
      <c r="M919" s="9" t="s">
        <v>0</v>
      </c>
      <c r="N919" s="9" t="s">
        <v>24</v>
      </c>
      <c r="O919" s="9" t="s">
        <v>323</v>
      </c>
      <c r="P919" s="9" t="s">
        <v>0</v>
      </c>
      <c r="Q919" s="30" t="s">
        <v>324</v>
      </c>
      <c r="R919" s="9" t="s">
        <v>325</v>
      </c>
      <c r="S919" s="9" t="s">
        <v>158</v>
      </c>
      <c r="T919" s="10" t="s">
        <v>78</v>
      </c>
      <c r="U919" s="10">
        <v>1</v>
      </c>
      <c r="V919" s="10">
        <v>129.13999999999999</v>
      </c>
      <c r="W919" s="10" t="s">
        <v>710</v>
      </c>
      <c r="X919" s="17">
        <v>44721</v>
      </c>
      <c r="Y919" s="17">
        <v>45121</v>
      </c>
      <c r="Z919" s="19" t="s">
        <v>772</v>
      </c>
      <c r="AA919" s="212">
        <v>48360</v>
      </c>
      <c r="AB919" s="9">
        <v>72</v>
      </c>
      <c r="AC919" s="9">
        <v>13</v>
      </c>
      <c r="AD919" s="17">
        <v>45290</v>
      </c>
      <c r="AE919" s="56">
        <v>630</v>
      </c>
      <c r="AF919" s="56"/>
      <c r="AG919" s="9" t="s">
        <v>134</v>
      </c>
      <c r="AH919" s="17">
        <v>45290</v>
      </c>
      <c r="AI919" s="30" t="s">
        <v>24</v>
      </c>
      <c r="AJ919" s="17" t="s">
        <v>2336</v>
      </c>
      <c r="AK919" s="9" t="s">
        <v>2345</v>
      </c>
      <c r="AL919" s="11">
        <v>630</v>
      </c>
      <c r="AN919" s="11" t="s">
        <v>2357</v>
      </c>
      <c r="AP919" s="11"/>
      <c r="AQ919" s="11"/>
      <c r="AR919" s="11"/>
      <c r="AW919" s="42">
        <v>45290</v>
      </c>
      <c r="AX919" s="36">
        <v>2171</v>
      </c>
      <c r="AY919" s="36"/>
      <c r="AZ919" s="36"/>
      <c r="BA919" s="40">
        <v>630</v>
      </c>
      <c r="BD919" s="9"/>
      <c r="CS919" s="11">
        <f t="shared" si="65"/>
        <v>630</v>
      </c>
      <c r="CT919" s="22">
        <f t="shared" si="66"/>
        <v>630</v>
      </c>
      <c r="CU919" s="22">
        <f t="shared" si="64"/>
        <v>0</v>
      </c>
      <c r="CV919" s="26">
        <f t="shared" si="67"/>
        <v>0</v>
      </c>
    </row>
    <row r="920" spans="1:100" x14ac:dyDescent="0.2">
      <c r="A920" s="9" t="s">
        <v>244</v>
      </c>
      <c r="B920" s="2">
        <v>96</v>
      </c>
      <c r="C920" s="3" t="s">
        <v>95</v>
      </c>
      <c r="D920" s="3" t="s">
        <v>96</v>
      </c>
      <c r="E920" s="2"/>
      <c r="F920" s="2"/>
      <c r="G920" s="2" t="s">
        <v>78</v>
      </c>
      <c r="H920" s="2">
        <v>1</v>
      </c>
      <c r="I920" s="8">
        <v>129.13999999999999</v>
      </c>
      <c r="J920" s="8">
        <v>36900</v>
      </c>
      <c r="K920" s="3">
        <v>0</v>
      </c>
      <c r="L920" s="3" t="s">
        <v>3</v>
      </c>
      <c r="M920" s="9" t="s">
        <v>0</v>
      </c>
      <c r="N920" s="9" t="s">
        <v>24</v>
      </c>
      <c r="O920" s="9" t="s">
        <v>323</v>
      </c>
      <c r="P920" s="9" t="s">
        <v>0</v>
      </c>
      <c r="Q920" s="30" t="s">
        <v>324</v>
      </c>
      <c r="R920" s="9" t="s">
        <v>325</v>
      </c>
      <c r="S920" s="9" t="s">
        <v>158</v>
      </c>
      <c r="T920" s="10" t="s">
        <v>78</v>
      </c>
      <c r="U920" s="10">
        <v>1</v>
      </c>
      <c r="V920" s="10">
        <v>129.13999999999999</v>
      </c>
      <c r="W920" s="10" t="s">
        <v>710</v>
      </c>
      <c r="X920" s="17">
        <v>44721</v>
      </c>
      <c r="Y920" s="17">
        <v>45121</v>
      </c>
      <c r="Z920" s="19" t="s">
        <v>772</v>
      </c>
      <c r="AA920" s="212">
        <v>48360</v>
      </c>
      <c r="AB920" s="9">
        <v>72</v>
      </c>
      <c r="AC920" s="9">
        <v>14</v>
      </c>
      <c r="AD920" s="17">
        <v>45321</v>
      </c>
      <c r="AE920" s="56">
        <v>630</v>
      </c>
      <c r="AF920" s="56"/>
      <c r="AG920" s="9" t="s">
        <v>134</v>
      </c>
      <c r="AH920" s="17">
        <v>45322</v>
      </c>
      <c r="AI920" s="30" t="s">
        <v>24</v>
      </c>
      <c r="AJ920" s="17" t="s">
        <v>2336</v>
      </c>
      <c r="AK920" s="9" t="s">
        <v>2358</v>
      </c>
      <c r="AL920" s="11">
        <v>629.5</v>
      </c>
      <c r="AN920" s="11" t="s">
        <v>2369</v>
      </c>
      <c r="AP920" s="11"/>
      <c r="AQ920" s="11"/>
      <c r="AR920" s="11"/>
      <c r="AW920" s="42">
        <v>45322</v>
      </c>
      <c r="AX920" s="36">
        <v>2256</v>
      </c>
      <c r="AY920" s="36"/>
      <c r="AZ920" s="36"/>
      <c r="BA920" s="40">
        <v>630</v>
      </c>
      <c r="BD920" s="9"/>
      <c r="CS920" s="11">
        <f t="shared" si="65"/>
        <v>629.5</v>
      </c>
      <c r="CT920" s="22">
        <f t="shared" si="66"/>
        <v>630</v>
      </c>
      <c r="CU920" s="22">
        <f t="shared" si="64"/>
        <v>-0.5</v>
      </c>
      <c r="CV920" s="26">
        <f t="shared" si="67"/>
        <v>0.5</v>
      </c>
    </row>
    <row r="921" spans="1:100" x14ac:dyDescent="0.2">
      <c r="A921" s="9" t="s">
        <v>244</v>
      </c>
      <c r="B921" s="2">
        <v>96</v>
      </c>
      <c r="C921" s="3" t="s">
        <v>95</v>
      </c>
      <c r="D921" s="3" t="s">
        <v>96</v>
      </c>
      <c r="E921" s="2"/>
      <c r="F921" s="2"/>
      <c r="G921" s="2" t="s">
        <v>78</v>
      </c>
      <c r="H921" s="2">
        <v>1</v>
      </c>
      <c r="I921" s="8">
        <v>129.13999999999999</v>
      </c>
      <c r="J921" s="8">
        <v>36900</v>
      </c>
      <c r="K921" s="3">
        <v>0</v>
      </c>
      <c r="L921" s="3" t="s">
        <v>3</v>
      </c>
      <c r="M921" s="9" t="s">
        <v>0</v>
      </c>
      <c r="N921" s="9" t="s">
        <v>24</v>
      </c>
      <c r="O921" s="9" t="s">
        <v>323</v>
      </c>
      <c r="P921" s="9" t="s">
        <v>0</v>
      </c>
      <c r="Q921" s="30" t="s">
        <v>324</v>
      </c>
      <c r="R921" s="9" t="s">
        <v>325</v>
      </c>
      <c r="S921" s="9" t="s">
        <v>158</v>
      </c>
      <c r="T921" s="10" t="s">
        <v>78</v>
      </c>
      <c r="U921" s="10">
        <v>1</v>
      </c>
      <c r="V921" s="10">
        <v>129.13999999999999</v>
      </c>
      <c r="W921" s="10" t="s">
        <v>710</v>
      </c>
      <c r="X921" s="17">
        <v>44721</v>
      </c>
      <c r="Y921" s="17">
        <v>45121</v>
      </c>
      <c r="Z921" s="19" t="s">
        <v>772</v>
      </c>
      <c r="AA921" s="212">
        <v>48360</v>
      </c>
      <c r="AB921" s="9">
        <v>72</v>
      </c>
      <c r="AC921" s="9">
        <v>15</v>
      </c>
      <c r="AD921" s="17">
        <v>45351</v>
      </c>
      <c r="AE921" s="56">
        <v>630</v>
      </c>
      <c r="AF921" s="56"/>
      <c r="AG921" s="9" t="s">
        <v>134</v>
      </c>
      <c r="AH921" s="17">
        <v>45357</v>
      </c>
      <c r="AI921" s="30" t="s">
        <v>24</v>
      </c>
      <c r="AJ921" s="17" t="s">
        <v>2336</v>
      </c>
      <c r="AK921" s="9" t="s">
        <v>2359</v>
      </c>
      <c r="AL921" s="11">
        <v>630</v>
      </c>
      <c r="AN921" s="11" t="s">
        <v>2370</v>
      </c>
      <c r="AP921" s="11"/>
      <c r="AQ921" s="11"/>
      <c r="AR921" s="11"/>
      <c r="AW921" s="42">
        <v>45352</v>
      </c>
      <c r="AX921" s="36">
        <v>2377</v>
      </c>
      <c r="AY921" s="36"/>
      <c r="AZ921" s="36"/>
      <c r="BA921" s="40">
        <v>630</v>
      </c>
      <c r="BD921" s="9"/>
      <c r="CS921" s="11">
        <f t="shared" si="65"/>
        <v>630</v>
      </c>
      <c r="CT921" s="22">
        <f t="shared" si="66"/>
        <v>630</v>
      </c>
      <c r="CU921" s="22">
        <f t="shared" si="64"/>
        <v>0</v>
      </c>
      <c r="CV921" s="26">
        <f t="shared" si="67"/>
        <v>0</v>
      </c>
    </row>
    <row r="922" spans="1:100" x14ac:dyDescent="0.2">
      <c r="A922" s="9" t="s">
        <v>244</v>
      </c>
      <c r="B922" s="2">
        <v>96</v>
      </c>
      <c r="C922" s="3" t="s">
        <v>95</v>
      </c>
      <c r="D922" s="3" t="s">
        <v>96</v>
      </c>
      <c r="E922" s="2"/>
      <c r="F922" s="2"/>
      <c r="G922" s="2" t="s">
        <v>78</v>
      </c>
      <c r="H922" s="2">
        <v>1</v>
      </c>
      <c r="I922" s="8">
        <v>129.13999999999999</v>
      </c>
      <c r="J922" s="8">
        <v>36900</v>
      </c>
      <c r="K922" s="3">
        <v>0</v>
      </c>
      <c r="L922" s="3" t="s">
        <v>3</v>
      </c>
      <c r="M922" s="9" t="s">
        <v>0</v>
      </c>
      <c r="N922" s="9" t="s">
        <v>24</v>
      </c>
      <c r="O922" s="9" t="s">
        <v>323</v>
      </c>
      <c r="P922" s="9" t="s">
        <v>0</v>
      </c>
      <c r="Q922" s="30" t="s">
        <v>324</v>
      </c>
      <c r="R922" s="9" t="s">
        <v>325</v>
      </c>
      <c r="S922" s="9" t="s">
        <v>158</v>
      </c>
      <c r="T922" s="10" t="s">
        <v>78</v>
      </c>
      <c r="U922" s="10">
        <v>1</v>
      </c>
      <c r="V922" s="10">
        <v>129.13999999999999</v>
      </c>
      <c r="W922" s="10" t="s">
        <v>710</v>
      </c>
      <c r="X922" s="17">
        <v>44721</v>
      </c>
      <c r="Y922" s="17">
        <v>45121</v>
      </c>
      <c r="Z922" s="19" t="s">
        <v>772</v>
      </c>
      <c r="AA922" s="212">
        <v>48360</v>
      </c>
      <c r="AB922" s="9">
        <v>72</v>
      </c>
      <c r="AC922" s="9">
        <v>16</v>
      </c>
      <c r="AD922" s="17">
        <v>45381</v>
      </c>
      <c r="AE922" s="56">
        <v>630</v>
      </c>
      <c r="AF922" s="56"/>
      <c r="AG922" s="9" t="s">
        <v>134</v>
      </c>
      <c r="AH922" s="17">
        <v>45383</v>
      </c>
      <c r="AI922" s="30" t="s">
        <v>24</v>
      </c>
      <c r="AJ922" s="17" t="s">
        <v>2336</v>
      </c>
      <c r="AK922" s="9" t="s">
        <v>2360</v>
      </c>
      <c r="AL922" s="11">
        <v>630</v>
      </c>
      <c r="AN922" s="11" t="s">
        <v>2371</v>
      </c>
      <c r="AP922" s="11"/>
      <c r="AQ922" s="11"/>
      <c r="AR922" s="11"/>
      <c r="AW922" s="42">
        <v>45383</v>
      </c>
      <c r="AX922" s="36">
        <v>2503</v>
      </c>
      <c r="AY922" s="36"/>
      <c r="AZ922" s="36"/>
      <c r="BA922" s="40">
        <v>630</v>
      </c>
      <c r="BD922" s="9"/>
      <c r="CS922" s="11">
        <f t="shared" si="65"/>
        <v>630</v>
      </c>
      <c r="CT922" s="22">
        <f t="shared" si="66"/>
        <v>630</v>
      </c>
      <c r="CU922" s="22">
        <f t="shared" si="64"/>
        <v>0</v>
      </c>
      <c r="CV922" s="26">
        <f t="shared" si="67"/>
        <v>0</v>
      </c>
    </row>
    <row r="923" spans="1:100" x14ac:dyDescent="0.2">
      <c r="A923" s="9" t="s">
        <v>244</v>
      </c>
      <c r="B923" s="2">
        <v>96</v>
      </c>
      <c r="C923" s="3" t="s">
        <v>95</v>
      </c>
      <c r="D923" s="3" t="s">
        <v>96</v>
      </c>
      <c r="E923" s="2"/>
      <c r="F923" s="2"/>
      <c r="G923" s="2" t="s">
        <v>78</v>
      </c>
      <c r="H923" s="2">
        <v>1</v>
      </c>
      <c r="I923" s="8">
        <v>129.13999999999999</v>
      </c>
      <c r="J923" s="8">
        <v>36900</v>
      </c>
      <c r="K923" s="3">
        <v>0</v>
      </c>
      <c r="L923" s="3" t="s">
        <v>3</v>
      </c>
      <c r="M923" s="9" t="s">
        <v>0</v>
      </c>
      <c r="N923" s="9" t="s">
        <v>24</v>
      </c>
      <c r="O923" s="9" t="s">
        <v>323</v>
      </c>
      <c r="P923" s="9" t="s">
        <v>0</v>
      </c>
      <c r="Q923" s="30" t="s">
        <v>324</v>
      </c>
      <c r="R923" s="9" t="s">
        <v>325</v>
      </c>
      <c r="S923" s="9" t="s">
        <v>158</v>
      </c>
      <c r="T923" s="10" t="s">
        <v>78</v>
      </c>
      <c r="U923" s="10">
        <v>1</v>
      </c>
      <c r="V923" s="10">
        <v>129.13999999999999</v>
      </c>
      <c r="W923" s="10" t="s">
        <v>710</v>
      </c>
      <c r="X923" s="17">
        <v>44721</v>
      </c>
      <c r="Y923" s="17">
        <v>45121</v>
      </c>
      <c r="Z923" s="19" t="s">
        <v>772</v>
      </c>
      <c r="AA923" s="212">
        <v>48360</v>
      </c>
      <c r="AB923" s="9">
        <v>72</v>
      </c>
      <c r="AC923" s="9">
        <v>17</v>
      </c>
      <c r="AD923" s="17">
        <v>45412</v>
      </c>
      <c r="AE923" s="56">
        <v>630</v>
      </c>
      <c r="AF923" s="56"/>
      <c r="AG923" s="9" t="s">
        <v>134</v>
      </c>
      <c r="AH923" s="17">
        <v>45415</v>
      </c>
      <c r="AI923" s="30" t="s">
        <v>24</v>
      </c>
      <c r="AJ923" s="17" t="s">
        <v>2336</v>
      </c>
      <c r="AK923" s="9" t="s">
        <v>2361</v>
      </c>
      <c r="AL923" s="11">
        <v>630</v>
      </c>
      <c r="AN923" s="11" t="s">
        <v>2372</v>
      </c>
      <c r="AP923" s="11"/>
      <c r="AQ923" s="11"/>
      <c r="AR923" s="11"/>
      <c r="AW923" s="42">
        <v>45418</v>
      </c>
      <c r="AX923" s="36">
        <v>2627</v>
      </c>
      <c r="AY923" s="36"/>
      <c r="AZ923" s="36"/>
      <c r="BA923" s="40">
        <v>630</v>
      </c>
      <c r="BD923" s="9"/>
      <c r="CS923" s="11">
        <f t="shared" si="65"/>
        <v>630</v>
      </c>
      <c r="CT923" s="22">
        <f t="shared" si="66"/>
        <v>630</v>
      </c>
      <c r="CU923" s="22">
        <f t="shared" si="64"/>
        <v>0</v>
      </c>
      <c r="CV923" s="26">
        <f t="shared" si="67"/>
        <v>0</v>
      </c>
    </row>
    <row r="924" spans="1:100" x14ac:dyDescent="0.2">
      <c r="A924" s="9" t="s">
        <v>244</v>
      </c>
      <c r="B924" s="2">
        <v>96</v>
      </c>
      <c r="C924" s="3" t="s">
        <v>95</v>
      </c>
      <c r="D924" s="3" t="s">
        <v>96</v>
      </c>
      <c r="E924" s="2"/>
      <c r="F924" s="2"/>
      <c r="G924" s="2" t="s">
        <v>78</v>
      </c>
      <c r="H924" s="2">
        <v>1</v>
      </c>
      <c r="I924" s="8">
        <v>129.13999999999999</v>
      </c>
      <c r="J924" s="8">
        <v>36900</v>
      </c>
      <c r="K924" s="3">
        <v>0</v>
      </c>
      <c r="L924" s="3" t="s">
        <v>3</v>
      </c>
      <c r="M924" s="9" t="s">
        <v>0</v>
      </c>
      <c r="N924" s="9" t="s">
        <v>24</v>
      </c>
      <c r="O924" s="9" t="s">
        <v>323</v>
      </c>
      <c r="P924" s="9" t="s">
        <v>0</v>
      </c>
      <c r="Q924" s="30" t="s">
        <v>324</v>
      </c>
      <c r="R924" s="9" t="s">
        <v>325</v>
      </c>
      <c r="S924" s="9" t="s">
        <v>158</v>
      </c>
      <c r="T924" s="10" t="s">
        <v>78</v>
      </c>
      <c r="U924" s="10">
        <v>1</v>
      </c>
      <c r="V924" s="10">
        <v>129.13999999999999</v>
      </c>
      <c r="W924" s="10" t="s">
        <v>710</v>
      </c>
      <c r="X924" s="17">
        <v>44721</v>
      </c>
      <c r="Y924" s="17">
        <v>45121</v>
      </c>
      <c r="Z924" s="19" t="s">
        <v>772</v>
      </c>
      <c r="AA924" s="212">
        <v>48360</v>
      </c>
      <c r="AB924" s="9">
        <v>72</v>
      </c>
      <c r="AC924" s="9">
        <v>18</v>
      </c>
      <c r="AD924" s="17">
        <v>45442</v>
      </c>
      <c r="AE924" s="56">
        <v>630</v>
      </c>
      <c r="AF924" s="56"/>
      <c r="AG924" s="9" t="s">
        <v>134</v>
      </c>
      <c r="AH924" s="17">
        <v>45444</v>
      </c>
      <c r="AI924" s="30" t="s">
        <v>24</v>
      </c>
      <c r="AJ924" s="17" t="s">
        <v>2336</v>
      </c>
      <c r="AK924" s="9" t="s">
        <v>2362</v>
      </c>
      <c r="AL924" s="11">
        <v>630</v>
      </c>
      <c r="AN924" s="11" t="s">
        <v>2373</v>
      </c>
      <c r="AP924" s="11"/>
      <c r="AQ924" s="11"/>
      <c r="AR924" s="11"/>
      <c r="AW924" s="42">
        <v>45446</v>
      </c>
      <c r="AX924" s="36">
        <v>2728</v>
      </c>
      <c r="AY924" s="36"/>
      <c r="AZ924" s="36"/>
      <c r="BA924" s="40">
        <v>630</v>
      </c>
      <c r="BD924" s="9"/>
      <c r="CS924" s="11">
        <f t="shared" si="65"/>
        <v>630</v>
      </c>
      <c r="CT924" s="22">
        <f t="shared" si="66"/>
        <v>630</v>
      </c>
      <c r="CU924" s="22">
        <f t="shared" ref="CU924:CU987" si="68">+CS924-CT924</f>
        <v>0</v>
      </c>
      <c r="CV924" s="26">
        <f t="shared" si="67"/>
        <v>0</v>
      </c>
    </row>
    <row r="925" spans="1:100" x14ac:dyDescent="0.2">
      <c r="A925" s="9" t="s">
        <v>244</v>
      </c>
      <c r="B925" s="2">
        <v>96</v>
      </c>
      <c r="C925" s="3" t="s">
        <v>95</v>
      </c>
      <c r="D925" s="3" t="s">
        <v>96</v>
      </c>
      <c r="E925" s="2"/>
      <c r="F925" s="2"/>
      <c r="G925" s="2" t="s">
        <v>78</v>
      </c>
      <c r="H925" s="2">
        <v>1</v>
      </c>
      <c r="I925" s="8">
        <v>129.13999999999999</v>
      </c>
      <c r="J925" s="8">
        <v>36900</v>
      </c>
      <c r="K925" s="3">
        <v>0</v>
      </c>
      <c r="L925" s="3" t="s">
        <v>3</v>
      </c>
      <c r="M925" s="9" t="s">
        <v>0</v>
      </c>
      <c r="N925" s="9" t="s">
        <v>24</v>
      </c>
      <c r="O925" s="9" t="s">
        <v>323</v>
      </c>
      <c r="P925" s="9" t="s">
        <v>0</v>
      </c>
      <c r="Q925" s="30" t="s">
        <v>324</v>
      </c>
      <c r="R925" s="9" t="s">
        <v>325</v>
      </c>
      <c r="S925" s="9" t="s">
        <v>158</v>
      </c>
      <c r="T925" s="10" t="s">
        <v>78</v>
      </c>
      <c r="U925" s="10">
        <v>1</v>
      </c>
      <c r="V925" s="10">
        <v>129.13999999999999</v>
      </c>
      <c r="W925" s="10" t="s">
        <v>710</v>
      </c>
      <c r="X925" s="17">
        <v>44721</v>
      </c>
      <c r="Y925" s="17">
        <v>45121</v>
      </c>
      <c r="Z925" s="19" t="s">
        <v>772</v>
      </c>
      <c r="AA925" s="212">
        <v>48360</v>
      </c>
      <c r="AB925" s="9">
        <v>72</v>
      </c>
      <c r="AC925" s="9">
        <v>19</v>
      </c>
      <c r="AD925" s="17">
        <v>45473</v>
      </c>
      <c r="AE925" s="56">
        <v>630</v>
      </c>
      <c r="AF925" s="56"/>
      <c r="AG925" s="9" t="s">
        <v>134</v>
      </c>
      <c r="AH925" s="17">
        <v>45474</v>
      </c>
      <c r="AI925" s="30" t="s">
        <v>24</v>
      </c>
      <c r="AJ925" s="17" t="s">
        <v>2336</v>
      </c>
      <c r="AK925" s="9" t="s">
        <v>2363</v>
      </c>
      <c r="AL925" s="11">
        <v>630</v>
      </c>
      <c r="AN925" s="11" t="s">
        <v>2374</v>
      </c>
      <c r="AP925" s="11"/>
      <c r="AQ925" s="11"/>
      <c r="AR925" s="11"/>
      <c r="AW925" s="42">
        <v>45475</v>
      </c>
      <c r="AX925" s="36">
        <v>2839</v>
      </c>
      <c r="AY925" s="36"/>
      <c r="AZ925" s="36"/>
      <c r="BA925" s="40">
        <v>630</v>
      </c>
      <c r="BD925" s="9"/>
      <c r="CS925" s="11">
        <f t="shared" si="65"/>
        <v>630</v>
      </c>
      <c r="CT925" s="22">
        <f t="shared" si="66"/>
        <v>630</v>
      </c>
      <c r="CU925" s="22">
        <f t="shared" si="68"/>
        <v>0</v>
      </c>
      <c r="CV925" s="26">
        <f t="shared" si="67"/>
        <v>0</v>
      </c>
    </row>
    <row r="926" spans="1:100" x14ac:dyDescent="0.2">
      <c r="A926" s="9" t="s">
        <v>244</v>
      </c>
      <c r="B926" s="2">
        <v>96</v>
      </c>
      <c r="C926" s="3" t="s">
        <v>95</v>
      </c>
      <c r="D926" s="3" t="s">
        <v>96</v>
      </c>
      <c r="E926" s="2"/>
      <c r="F926" s="2"/>
      <c r="G926" s="2" t="s">
        <v>78</v>
      </c>
      <c r="H926" s="2">
        <v>1</v>
      </c>
      <c r="I926" s="8">
        <v>129.13999999999999</v>
      </c>
      <c r="J926" s="8">
        <v>36900</v>
      </c>
      <c r="K926" s="3">
        <v>0</v>
      </c>
      <c r="L926" s="3" t="s">
        <v>3</v>
      </c>
      <c r="M926" s="9" t="s">
        <v>0</v>
      </c>
      <c r="N926" s="9" t="s">
        <v>24</v>
      </c>
      <c r="O926" s="9" t="s">
        <v>323</v>
      </c>
      <c r="P926" s="9" t="s">
        <v>0</v>
      </c>
      <c r="Q926" s="30" t="s">
        <v>324</v>
      </c>
      <c r="R926" s="9" t="s">
        <v>325</v>
      </c>
      <c r="S926" s="9" t="s">
        <v>158</v>
      </c>
      <c r="T926" s="10" t="s">
        <v>78</v>
      </c>
      <c r="U926" s="10">
        <v>1</v>
      </c>
      <c r="V926" s="10">
        <v>129.13999999999999</v>
      </c>
      <c r="W926" s="10" t="s">
        <v>710</v>
      </c>
      <c r="X926" s="17">
        <v>44721</v>
      </c>
      <c r="Y926" s="17">
        <v>45121</v>
      </c>
      <c r="Z926" s="19" t="s">
        <v>772</v>
      </c>
      <c r="AA926" s="212">
        <v>48360</v>
      </c>
      <c r="AB926" s="9">
        <v>72</v>
      </c>
      <c r="AC926" s="9">
        <v>20</v>
      </c>
      <c r="AD926" s="17">
        <v>45503</v>
      </c>
      <c r="AE926" s="56">
        <v>630</v>
      </c>
      <c r="AF926" s="56"/>
      <c r="AG926" s="9" t="s">
        <v>134</v>
      </c>
      <c r="AH926" s="17">
        <v>45504</v>
      </c>
      <c r="AI926" s="30" t="s">
        <v>24</v>
      </c>
      <c r="AJ926" s="17" t="s">
        <v>2336</v>
      </c>
      <c r="AK926" s="9" t="s">
        <v>2364</v>
      </c>
      <c r="AL926" s="11">
        <v>630</v>
      </c>
      <c r="AN926" s="11" t="s">
        <v>2375</v>
      </c>
      <c r="AP926" s="11"/>
      <c r="AQ926" s="11"/>
      <c r="AR926" s="11"/>
      <c r="AW926" s="42">
        <v>45505</v>
      </c>
      <c r="AX926" s="36">
        <v>2970</v>
      </c>
      <c r="AY926" s="36"/>
      <c r="AZ926" s="36"/>
      <c r="BA926" s="40">
        <v>630</v>
      </c>
      <c r="BD926" s="9"/>
      <c r="CS926" s="11">
        <f t="shared" si="65"/>
        <v>630</v>
      </c>
      <c r="CT926" s="22">
        <f t="shared" si="66"/>
        <v>630</v>
      </c>
      <c r="CU926" s="22">
        <f t="shared" si="68"/>
        <v>0</v>
      </c>
      <c r="CV926" s="26">
        <f t="shared" si="67"/>
        <v>0</v>
      </c>
    </row>
    <row r="927" spans="1:100" x14ac:dyDescent="0.2">
      <c r="A927" s="9" t="s">
        <v>244</v>
      </c>
      <c r="B927" s="2">
        <v>96</v>
      </c>
      <c r="C927" s="3" t="s">
        <v>95</v>
      </c>
      <c r="D927" s="3" t="s">
        <v>96</v>
      </c>
      <c r="E927" s="2"/>
      <c r="F927" s="2"/>
      <c r="G927" s="2" t="s">
        <v>78</v>
      </c>
      <c r="H927" s="2">
        <v>1</v>
      </c>
      <c r="I927" s="8">
        <v>129.13999999999999</v>
      </c>
      <c r="J927" s="8">
        <v>36900</v>
      </c>
      <c r="K927" s="3">
        <v>0</v>
      </c>
      <c r="L927" s="3" t="s">
        <v>3</v>
      </c>
      <c r="M927" s="9" t="s">
        <v>0</v>
      </c>
      <c r="N927" s="9" t="s">
        <v>24</v>
      </c>
      <c r="O927" s="9" t="s">
        <v>323</v>
      </c>
      <c r="P927" s="9" t="s">
        <v>0</v>
      </c>
      <c r="Q927" s="30" t="s">
        <v>324</v>
      </c>
      <c r="R927" s="9" t="s">
        <v>325</v>
      </c>
      <c r="S927" s="9" t="s">
        <v>158</v>
      </c>
      <c r="T927" s="10" t="s">
        <v>78</v>
      </c>
      <c r="U927" s="10">
        <v>1</v>
      </c>
      <c r="V927" s="10">
        <v>129.13999999999999</v>
      </c>
      <c r="W927" s="10" t="s">
        <v>710</v>
      </c>
      <c r="X927" s="17">
        <v>44721</v>
      </c>
      <c r="Y927" s="17">
        <v>45121</v>
      </c>
      <c r="Z927" s="19" t="s">
        <v>772</v>
      </c>
      <c r="AA927" s="212">
        <v>48360</v>
      </c>
      <c r="AB927" s="9">
        <v>72</v>
      </c>
      <c r="AC927" s="9">
        <v>21</v>
      </c>
      <c r="AD927" s="17">
        <v>45534</v>
      </c>
      <c r="AE927" s="56">
        <v>630</v>
      </c>
      <c r="AF927" s="56"/>
      <c r="AG927" s="9" t="s">
        <v>134</v>
      </c>
      <c r="AH927" s="17">
        <v>45533</v>
      </c>
      <c r="AI927" s="30" t="s">
        <v>24</v>
      </c>
      <c r="AJ927" s="17" t="s">
        <v>2336</v>
      </c>
      <c r="AK927" s="9" t="s">
        <v>2365</v>
      </c>
      <c r="AL927" s="11">
        <v>630</v>
      </c>
      <c r="AN927" s="11" t="s">
        <v>2376</v>
      </c>
      <c r="AP927" s="11"/>
      <c r="AQ927" s="11"/>
      <c r="AR927" s="11"/>
      <c r="AW927" s="42">
        <v>45537</v>
      </c>
      <c r="AX927" s="36">
        <v>3099</v>
      </c>
      <c r="AY927" s="36"/>
      <c r="AZ927" s="36"/>
      <c r="BA927" s="40">
        <v>630</v>
      </c>
      <c r="BD927" s="9"/>
      <c r="CS927" s="11">
        <f t="shared" si="65"/>
        <v>630</v>
      </c>
      <c r="CT927" s="22">
        <f t="shared" si="66"/>
        <v>630</v>
      </c>
      <c r="CU927" s="22">
        <f t="shared" si="68"/>
        <v>0</v>
      </c>
      <c r="CV927" s="26">
        <f t="shared" si="67"/>
        <v>0</v>
      </c>
    </row>
    <row r="928" spans="1:100" x14ac:dyDescent="0.2">
      <c r="A928" s="9" t="s">
        <v>244</v>
      </c>
      <c r="B928" s="2">
        <v>96</v>
      </c>
      <c r="C928" s="3" t="s">
        <v>95</v>
      </c>
      <c r="D928" s="3" t="s">
        <v>96</v>
      </c>
      <c r="E928" s="2"/>
      <c r="F928" s="2"/>
      <c r="G928" s="2" t="s">
        <v>78</v>
      </c>
      <c r="H928" s="2">
        <v>1</v>
      </c>
      <c r="I928" s="8">
        <v>129.13999999999999</v>
      </c>
      <c r="J928" s="8">
        <v>36900</v>
      </c>
      <c r="K928" s="3">
        <v>0</v>
      </c>
      <c r="L928" s="3" t="s">
        <v>3</v>
      </c>
      <c r="M928" s="9" t="s">
        <v>0</v>
      </c>
      <c r="N928" s="9" t="s">
        <v>24</v>
      </c>
      <c r="O928" s="9" t="s">
        <v>323</v>
      </c>
      <c r="P928" s="9" t="s">
        <v>0</v>
      </c>
      <c r="Q928" s="30" t="s">
        <v>324</v>
      </c>
      <c r="R928" s="9" t="s">
        <v>325</v>
      </c>
      <c r="S928" s="9" t="s">
        <v>158</v>
      </c>
      <c r="T928" s="10" t="s">
        <v>78</v>
      </c>
      <c r="U928" s="10">
        <v>1</v>
      </c>
      <c r="V928" s="10">
        <v>129.13999999999999</v>
      </c>
      <c r="W928" s="10" t="s">
        <v>710</v>
      </c>
      <c r="X928" s="17">
        <v>44721</v>
      </c>
      <c r="Y928" s="17">
        <v>45121</v>
      </c>
      <c r="Z928" s="19" t="s">
        <v>772</v>
      </c>
      <c r="AA928" s="212">
        <v>48360</v>
      </c>
      <c r="AB928" s="9">
        <v>72</v>
      </c>
      <c r="AC928" s="9">
        <v>22</v>
      </c>
      <c r="AD928" s="17">
        <v>45565</v>
      </c>
      <c r="AE928" s="56">
        <v>630</v>
      </c>
      <c r="AF928" s="56"/>
      <c r="AG928" s="9" t="s">
        <v>134</v>
      </c>
      <c r="AH928" s="17">
        <v>45566</v>
      </c>
      <c r="AI928" s="30" t="s">
        <v>24</v>
      </c>
      <c r="AJ928" s="17" t="s">
        <v>2336</v>
      </c>
      <c r="AK928" s="9" t="s">
        <v>2366</v>
      </c>
      <c r="AL928" s="11">
        <v>630</v>
      </c>
      <c r="AN928" s="11" t="s">
        <v>2377</v>
      </c>
      <c r="AP928" s="11"/>
      <c r="AQ928" s="11"/>
      <c r="AR928" s="11"/>
      <c r="AW928" s="42">
        <v>45566</v>
      </c>
      <c r="AX928" s="36">
        <v>3215</v>
      </c>
      <c r="AY928" s="36"/>
      <c r="AZ928" s="36"/>
      <c r="BA928" s="40">
        <v>630</v>
      </c>
      <c r="BD928" s="9"/>
      <c r="CS928" s="11">
        <f t="shared" si="65"/>
        <v>630</v>
      </c>
      <c r="CT928" s="22">
        <f t="shared" si="66"/>
        <v>630</v>
      </c>
      <c r="CU928" s="22">
        <f t="shared" si="68"/>
        <v>0</v>
      </c>
      <c r="CV928" s="26">
        <f t="shared" si="67"/>
        <v>0</v>
      </c>
    </row>
    <row r="929" spans="1:100" x14ac:dyDescent="0.2">
      <c r="A929" s="9" t="s">
        <v>244</v>
      </c>
      <c r="B929" s="2">
        <v>96</v>
      </c>
      <c r="C929" s="3" t="s">
        <v>95</v>
      </c>
      <c r="D929" s="3" t="s">
        <v>96</v>
      </c>
      <c r="E929" s="2"/>
      <c r="F929" s="2"/>
      <c r="G929" s="2" t="s">
        <v>78</v>
      </c>
      <c r="H929" s="2">
        <v>1</v>
      </c>
      <c r="I929" s="8">
        <v>129.13999999999999</v>
      </c>
      <c r="J929" s="8">
        <v>36900</v>
      </c>
      <c r="K929" s="3">
        <v>0</v>
      </c>
      <c r="L929" s="3" t="s">
        <v>3</v>
      </c>
      <c r="M929" s="9" t="s">
        <v>0</v>
      </c>
      <c r="N929" s="9" t="s">
        <v>24</v>
      </c>
      <c r="O929" s="9" t="s">
        <v>323</v>
      </c>
      <c r="P929" s="9" t="s">
        <v>0</v>
      </c>
      <c r="Q929" s="30" t="s">
        <v>324</v>
      </c>
      <c r="R929" s="9" t="s">
        <v>325</v>
      </c>
      <c r="S929" s="9" t="s">
        <v>158</v>
      </c>
      <c r="T929" s="10" t="s">
        <v>78</v>
      </c>
      <c r="U929" s="10">
        <v>1</v>
      </c>
      <c r="V929" s="10">
        <v>129.13999999999999</v>
      </c>
      <c r="W929" s="10" t="s">
        <v>710</v>
      </c>
      <c r="X929" s="17">
        <v>44721</v>
      </c>
      <c r="Y929" s="17">
        <v>45121</v>
      </c>
      <c r="Z929" s="19" t="s">
        <v>772</v>
      </c>
      <c r="AA929" s="212">
        <v>48360</v>
      </c>
      <c r="AB929" s="9">
        <v>72</v>
      </c>
      <c r="AC929" s="9">
        <v>23</v>
      </c>
      <c r="AD929" s="17">
        <v>45595</v>
      </c>
      <c r="AE929" s="56">
        <v>630</v>
      </c>
      <c r="AF929" s="56"/>
      <c r="AG929" s="9" t="s">
        <v>134</v>
      </c>
      <c r="AH929" s="17">
        <v>45600</v>
      </c>
      <c r="AI929" s="30" t="s">
        <v>24</v>
      </c>
      <c r="AJ929" s="17" t="s">
        <v>2336</v>
      </c>
      <c r="AK929" s="9" t="s">
        <v>2367</v>
      </c>
      <c r="AL929" s="11">
        <v>630</v>
      </c>
      <c r="AN929" s="11" t="s">
        <v>2378</v>
      </c>
      <c r="AP929" s="11"/>
      <c r="AQ929" s="11"/>
      <c r="AR929" s="11"/>
      <c r="AW929" s="42">
        <v>45600</v>
      </c>
      <c r="AX929" s="36">
        <v>3358</v>
      </c>
      <c r="AY929" s="36"/>
      <c r="AZ929" s="36"/>
      <c r="BA929" s="40">
        <v>630</v>
      </c>
      <c r="BD929" s="9"/>
      <c r="CS929" s="11">
        <f t="shared" si="65"/>
        <v>630</v>
      </c>
      <c r="CT929" s="22">
        <f t="shared" si="66"/>
        <v>630</v>
      </c>
      <c r="CU929" s="22">
        <f t="shared" si="68"/>
        <v>0</v>
      </c>
      <c r="CV929" s="26">
        <f t="shared" si="67"/>
        <v>0</v>
      </c>
    </row>
    <row r="930" spans="1:100" x14ac:dyDescent="0.2">
      <c r="A930" s="9" t="s">
        <v>244</v>
      </c>
      <c r="B930" s="2">
        <v>96</v>
      </c>
      <c r="C930" s="3" t="s">
        <v>95</v>
      </c>
      <c r="D930" s="3" t="s">
        <v>96</v>
      </c>
      <c r="E930" s="2"/>
      <c r="F930" s="2"/>
      <c r="G930" s="2" t="s">
        <v>78</v>
      </c>
      <c r="H930" s="2">
        <v>1</v>
      </c>
      <c r="I930" s="8">
        <v>129.13999999999999</v>
      </c>
      <c r="J930" s="8">
        <v>36900</v>
      </c>
      <c r="K930" s="3">
        <v>0</v>
      </c>
      <c r="L930" s="3" t="s">
        <v>3</v>
      </c>
      <c r="M930" s="9" t="s">
        <v>0</v>
      </c>
      <c r="N930" s="9" t="s">
        <v>24</v>
      </c>
      <c r="O930" s="9" t="s">
        <v>323</v>
      </c>
      <c r="P930" s="9" t="s">
        <v>0</v>
      </c>
      <c r="Q930" s="30" t="s">
        <v>324</v>
      </c>
      <c r="R930" s="9" t="s">
        <v>325</v>
      </c>
      <c r="S930" s="9" t="s">
        <v>158</v>
      </c>
      <c r="T930" s="10" t="s">
        <v>78</v>
      </c>
      <c r="U930" s="10">
        <v>1</v>
      </c>
      <c r="V930" s="10">
        <v>129.13999999999999</v>
      </c>
      <c r="W930" s="10" t="s">
        <v>710</v>
      </c>
      <c r="X930" s="17">
        <v>44721</v>
      </c>
      <c r="Y930" s="17">
        <v>45121</v>
      </c>
      <c r="Z930" s="19" t="s">
        <v>772</v>
      </c>
      <c r="AA930" s="212">
        <v>48360</v>
      </c>
      <c r="AB930" s="9">
        <v>72</v>
      </c>
      <c r="AC930" s="9">
        <v>24</v>
      </c>
      <c r="AD930" s="17">
        <v>45626</v>
      </c>
      <c r="AE930" s="56">
        <v>630</v>
      </c>
      <c r="AF930" s="56"/>
      <c r="AG930" s="9" t="s">
        <v>134</v>
      </c>
      <c r="AH930" s="17">
        <v>45628</v>
      </c>
      <c r="AI930" s="30" t="s">
        <v>24</v>
      </c>
      <c r="AJ930" s="17" t="s">
        <v>2336</v>
      </c>
      <c r="AK930" s="9" t="s">
        <v>2368</v>
      </c>
      <c r="AL930" s="11">
        <v>630</v>
      </c>
      <c r="AN930" s="11" t="s">
        <v>2379</v>
      </c>
      <c r="AP930" s="11"/>
      <c r="AQ930" s="11"/>
      <c r="AR930" s="11"/>
      <c r="AW930" s="42">
        <v>45628</v>
      </c>
      <c r="AX930" s="36">
        <v>3462</v>
      </c>
      <c r="AY930" s="36"/>
      <c r="AZ930" s="36"/>
      <c r="BA930" s="40">
        <v>630</v>
      </c>
      <c r="BD930" s="9"/>
      <c r="CS930" s="11">
        <f t="shared" si="65"/>
        <v>630</v>
      </c>
      <c r="CT930" s="22">
        <f t="shared" si="66"/>
        <v>630</v>
      </c>
      <c r="CU930" s="22">
        <f t="shared" si="68"/>
        <v>0</v>
      </c>
      <c r="CV930" s="26">
        <f t="shared" si="67"/>
        <v>0</v>
      </c>
    </row>
    <row r="931" spans="1:100" x14ac:dyDescent="0.2">
      <c r="A931" s="9" t="s">
        <v>244</v>
      </c>
      <c r="B931" s="2">
        <v>96</v>
      </c>
      <c r="C931" s="3" t="s">
        <v>95</v>
      </c>
      <c r="D931" s="3" t="s">
        <v>96</v>
      </c>
      <c r="E931" s="2"/>
      <c r="F931" s="2"/>
      <c r="G931" s="2" t="s">
        <v>78</v>
      </c>
      <c r="H931" s="2">
        <v>1</v>
      </c>
      <c r="I931" s="8">
        <v>129.13999999999999</v>
      </c>
      <c r="J931" s="8">
        <v>36900</v>
      </c>
      <c r="K931" s="3">
        <v>0</v>
      </c>
      <c r="L931" s="3" t="s">
        <v>3</v>
      </c>
      <c r="M931" s="9" t="s">
        <v>0</v>
      </c>
      <c r="N931" s="9" t="s">
        <v>24</v>
      </c>
      <c r="O931" s="9" t="s">
        <v>323</v>
      </c>
      <c r="P931" s="9" t="s">
        <v>0</v>
      </c>
      <c r="Q931" s="30" t="s">
        <v>324</v>
      </c>
      <c r="R931" s="9" t="s">
        <v>325</v>
      </c>
      <c r="S931" s="9" t="s">
        <v>158</v>
      </c>
      <c r="T931" s="10" t="s">
        <v>78</v>
      </c>
      <c r="U931" s="10">
        <v>1</v>
      </c>
      <c r="V931" s="10">
        <v>129.13999999999999</v>
      </c>
      <c r="W931" s="10" t="s">
        <v>710</v>
      </c>
      <c r="X931" s="17">
        <v>44721</v>
      </c>
      <c r="Y931" s="17">
        <v>45121</v>
      </c>
      <c r="Z931" s="19" t="s">
        <v>772</v>
      </c>
      <c r="AA931" s="212">
        <v>48360</v>
      </c>
      <c r="AB931" s="9">
        <v>72</v>
      </c>
      <c r="AC931" s="9">
        <v>25</v>
      </c>
      <c r="AD931" s="17">
        <v>45656</v>
      </c>
      <c r="AE931" s="56">
        <v>630</v>
      </c>
      <c r="AF931" s="56"/>
      <c r="AG931" s="9" t="s">
        <v>134</v>
      </c>
      <c r="AH931" s="17">
        <v>45659</v>
      </c>
      <c r="AI931" s="30" t="s">
        <v>24</v>
      </c>
      <c r="AJ931" s="17" t="s">
        <v>2336</v>
      </c>
      <c r="AK931" s="9" t="s">
        <v>2380</v>
      </c>
      <c r="AL931" s="11">
        <v>630</v>
      </c>
      <c r="AN931" s="11" t="s">
        <v>2389</v>
      </c>
      <c r="AP931" s="11"/>
      <c r="AQ931" s="11"/>
      <c r="AR931" s="11"/>
      <c r="AW931" s="42">
        <v>45660</v>
      </c>
      <c r="AX931" s="36">
        <v>3568</v>
      </c>
      <c r="AY931" s="36"/>
      <c r="AZ931" s="36"/>
      <c r="BA931" s="40">
        <v>630</v>
      </c>
      <c r="BD931" s="9"/>
      <c r="CS931" s="11">
        <f t="shared" si="65"/>
        <v>630</v>
      </c>
      <c r="CT931" s="22">
        <f t="shared" si="66"/>
        <v>630</v>
      </c>
      <c r="CU931" s="22">
        <f t="shared" si="68"/>
        <v>0</v>
      </c>
      <c r="CV931" s="26">
        <f t="shared" si="67"/>
        <v>0</v>
      </c>
    </row>
    <row r="932" spans="1:100" x14ac:dyDescent="0.2">
      <c r="A932" s="9" t="s">
        <v>244</v>
      </c>
      <c r="B932" s="2">
        <v>96</v>
      </c>
      <c r="C932" s="3" t="s">
        <v>95</v>
      </c>
      <c r="D932" s="3" t="s">
        <v>96</v>
      </c>
      <c r="E932" s="2"/>
      <c r="F932" s="2"/>
      <c r="G932" s="2" t="s">
        <v>78</v>
      </c>
      <c r="H932" s="2">
        <v>1</v>
      </c>
      <c r="I932" s="8">
        <v>129.13999999999999</v>
      </c>
      <c r="J932" s="8">
        <v>36900</v>
      </c>
      <c r="K932" s="3">
        <v>0</v>
      </c>
      <c r="L932" s="3" t="s">
        <v>3</v>
      </c>
      <c r="M932" s="9" t="s">
        <v>0</v>
      </c>
      <c r="N932" s="9" t="s">
        <v>24</v>
      </c>
      <c r="O932" s="9" t="s">
        <v>323</v>
      </c>
      <c r="P932" s="9" t="s">
        <v>0</v>
      </c>
      <c r="Q932" s="30" t="s">
        <v>324</v>
      </c>
      <c r="R932" s="9" t="s">
        <v>325</v>
      </c>
      <c r="S932" s="9" t="s">
        <v>158</v>
      </c>
      <c r="T932" s="10" t="s">
        <v>78</v>
      </c>
      <c r="U932" s="10">
        <v>1</v>
      </c>
      <c r="V932" s="10">
        <v>129.13999999999999</v>
      </c>
      <c r="W932" s="10" t="s">
        <v>710</v>
      </c>
      <c r="X932" s="17">
        <v>44721</v>
      </c>
      <c r="Y932" s="17">
        <v>45121</v>
      </c>
      <c r="Z932" s="19" t="s">
        <v>772</v>
      </c>
      <c r="AA932" s="212">
        <v>48360</v>
      </c>
      <c r="AB932" s="9">
        <v>72</v>
      </c>
      <c r="AC932" s="9">
        <v>26</v>
      </c>
      <c r="AD932" s="17">
        <v>45687</v>
      </c>
      <c r="AE932" s="56">
        <v>630</v>
      </c>
      <c r="AF932" s="56"/>
      <c r="AG932" s="9" t="s">
        <v>134</v>
      </c>
      <c r="AH932" s="17">
        <v>45688</v>
      </c>
      <c r="AI932" s="30" t="s">
        <v>24</v>
      </c>
      <c r="AJ932" s="17" t="s">
        <v>2336</v>
      </c>
      <c r="AK932" s="9" t="s">
        <v>2381</v>
      </c>
      <c r="AL932" s="11">
        <v>630</v>
      </c>
      <c r="AN932" s="11" t="s">
        <v>2390</v>
      </c>
      <c r="AP932" s="11"/>
      <c r="AQ932" s="11"/>
      <c r="AR932" s="11"/>
      <c r="AW932" s="42">
        <v>45691</v>
      </c>
      <c r="AX932" s="36">
        <v>3688</v>
      </c>
      <c r="AY932" s="36"/>
      <c r="AZ932" s="36"/>
      <c r="BA932" s="40">
        <v>630</v>
      </c>
      <c r="BD932" s="9"/>
      <c r="CS932" s="11">
        <f t="shared" si="65"/>
        <v>630</v>
      </c>
      <c r="CT932" s="22">
        <f t="shared" si="66"/>
        <v>630</v>
      </c>
      <c r="CU932" s="22">
        <f t="shared" si="68"/>
        <v>0</v>
      </c>
      <c r="CV932" s="26">
        <f t="shared" si="67"/>
        <v>0</v>
      </c>
    </row>
    <row r="933" spans="1:100" x14ac:dyDescent="0.2">
      <c r="A933" s="9" t="s">
        <v>244</v>
      </c>
      <c r="B933" s="2">
        <v>96</v>
      </c>
      <c r="C933" s="3" t="s">
        <v>95</v>
      </c>
      <c r="D933" s="3" t="s">
        <v>96</v>
      </c>
      <c r="E933" s="2"/>
      <c r="F933" s="2"/>
      <c r="G933" s="2" t="s">
        <v>78</v>
      </c>
      <c r="H933" s="2">
        <v>1</v>
      </c>
      <c r="I933" s="8">
        <v>129.13999999999999</v>
      </c>
      <c r="J933" s="8">
        <v>36900</v>
      </c>
      <c r="K933" s="3">
        <v>0</v>
      </c>
      <c r="L933" s="3" t="s">
        <v>3</v>
      </c>
      <c r="M933" s="9" t="s">
        <v>0</v>
      </c>
      <c r="N933" s="9" t="s">
        <v>24</v>
      </c>
      <c r="O933" s="9" t="s">
        <v>323</v>
      </c>
      <c r="P933" s="9" t="s">
        <v>0</v>
      </c>
      <c r="Q933" s="30" t="s">
        <v>324</v>
      </c>
      <c r="R933" s="9" t="s">
        <v>325</v>
      </c>
      <c r="S933" s="9" t="s">
        <v>158</v>
      </c>
      <c r="T933" s="10" t="s">
        <v>78</v>
      </c>
      <c r="U933" s="10">
        <v>1</v>
      </c>
      <c r="V933" s="10">
        <v>129.13999999999999</v>
      </c>
      <c r="W933" s="10" t="s">
        <v>710</v>
      </c>
      <c r="X933" s="17">
        <v>44721</v>
      </c>
      <c r="Y933" s="17">
        <v>45121</v>
      </c>
      <c r="Z933" s="19" t="s">
        <v>772</v>
      </c>
      <c r="AA933" s="212">
        <v>48360</v>
      </c>
      <c r="AB933" s="9">
        <v>72</v>
      </c>
      <c r="AC933" s="9">
        <v>27</v>
      </c>
      <c r="AD933" s="17">
        <v>45716</v>
      </c>
      <c r="AE933" s="56">
        <v>630</v>
      </c>
      <c r="AF933" s="56"/>
      <c r="AG933" s="9" t="s">
        <v>134</v>
      </c>
      <c r="AH933" s="17">
        <v>45719</v>
      </c>
      <c r="AI933" s="30" t="s">
        <v>24</v>
      </c>
      <c r="AJ933" s="17" t="s">
        <v>2336</v>
      </c>
      <c r="AK933" s="9" t="s">
        <v>2382</v>
      </c>
      <c r="AL933" s="11">
        <v>630</v>
      </c>
      <c r="AN933" s="11" t="s">
        <v>2391</v>
      </c>
      <c r="AP933" s="11"/>
      <c r="AQ933" s="11"/>
      <c r="AR933" s="11"/>
      <c r="AW933" s="42">
        <v>45719</v>
      </c>
      <c r="AX933" s="36">
        <v>3829</v>
      </c>
      <c r="AY933" s="36"/>
      <c r="AZ933" s="36"/>
      <c r="BA933" s="40">
        <v>630</v>
      </c>
      <c r="BD933" s="9"/>
      <c r="CS933" s="11">
        <f t="shared" si="65"/>
        <v>630</v>
      </c>
      <c r="CT933" s="22">
        <f t="shared" si="66"/>
        <v>630</v>
      </c>
      <c r="CU933" s="22">
        <f t="shared" si="68"/>
        <v>0</v>
      </c>
      <c r="CV933" s="26">
        <f t="shared" si="67"/>
        <v>0</v>
      </c>
    </row>
    <row r="934" spans="1:100" x14ac:dyDescent="0.2">
      <c r="A934" s="9" t="s">
        <v>244</v>
      </c>
      <c r="B934" s="2">
        <v>96</v>
      </c>
      <c r="C934" s="3" t="s">
        <v>95</v>
      </c>
      <c r="D934" s="3" t="s">
        <v>96</v>
      </c>
      <c r="E934" s="2"/>
      <c r="F934" s="2"/>
      <c r="G934" s="2" t="s">
        <v>78</v>
      </c>
      <c r="H934" s="2">
        <v>1</v>
      </c>
      <c r="I934" s="8">
        <v>129.13999999999999</v>
      </c>
      <c r="J934" s="8">
        <v>36900</v>
      </c>
      <c r="K934" s="3">
        <v>0</v>
      </c>
      <c r="L934" s="3" t="s">
        <v>3</v>
      </c>
      <c r="M934" s="9" t="s">
        <v>0</v>
      </c>
      <c r="N934" s="9" t="s">
        <v>24</v>
      </c>
      <c r="O934" s="9" t="s">
        <v>323</v>
      </c>
      <c r="P934" s="9" t="s">
        <v>0</v>
      </c>
      <c r="Q934" s="30" t="s">
        <v>324</v>
      </c>
      <c r="R934" s="9" t="s">
        <v>325</v>
      </c>
      <c r="S934" s="9" t="s">
        <v>158</v>
      </c>
      <c r="T934" s="10" t="s">
        <v>78</v>
      </c>
      <c r="U934" s="10">
        <v>1</v>
      </c>
      <c r="V934" s="10">
        <v>129.13999999999999</v>
      </c>
      <c r="W934" s="10" t="s">
        <v>710</v>
      </c>
      <c r="X934" s="17">
        <v>44721</v>
      </c>
      <c r="Y934" s="17">
        <v>45121</v>
      </c>
      <c r="Z934" s="19" t="s">
        <v>772</v>
      </c>
      <c r="AA934" s="212">
        <v>48360</v>
      </c>
      <c r="AB934" s="9">
        <v>72</v>
      </c>
      <c r="AC934" s="9">
        <v>28</v>
      </c>
      <c r="AD934" s="17">
        <v>45746</v>
      </c>
      <c r="AE934" s="56">
        <v>630</v>
      </c>
      <c r="AF934" s="56"/>
      <c r="AG934" s="9" t="s">
        <v>134</v>
      </c>
      <c r="AH934" s="17">
        <v>45747</v>
      </c>
      <c r="AI934" s="30" t="s">
        <v>24</v>
      </c>
      <c r="AJ934" s="17" t="s">
        <v>2336</v>
      </c>
      <c r="AK934" s="9" t="s">
        <v>2383</v>
      </c>
      <c r="AL934" s="11">
        <v>630</v>
      </c>
      <c r="AN934" s="11" t="s">
        <v>2392</v>
      </c>
      <c r="AP934" s="11"/>
      <c r="AQ934" s="11"/>
      <c r="AR934" s="11"/>
      <c r="AW934" s="42">
        <v>45748</v>
      </c>
      <c r="AX934" s="36">
        <v>3954</v>
      </c>
      <c r="AY934" s="36"/>
      <c r="AZ934" s="36"/>
      <c r="BA934" s="40">
        <v>630</v>
      </c>
      <c r="BD934" s="9"/>
      <c r="CS934" s="11">
        <f t="shared" si="65"/>
        <v>630</v>
      </c>
      <c r="CT934" s="22">
        <f t="shared" si="66"/>
        <v>630</v>
      </c>
      <c r="CU934" s="22">
        <f t="shared" si="68"/>
        <v>0</v>
      </c>
      <c r="CV934" s="26">
        <f t="shared" si="67"/>
        <v>0</v>
      </c>
    </row>
    <row r="935" spans="1:100" x14ac:dyDescent="0.2">
      <c r="A935" s="9" t="s">
        <v>244</v>
      </c>
      <c r="B935" s="2">
        <v>96</v>
      </c>
      <c r="C935" s="3" t="s">
        <v>95</v>
      </c>
      <c r="D935" s="3" t="s">
        <v>96</v>
      </c>
      <c r="E935" s="2"/>
      <c r="F935" s="2"/>
      <c r="G935" s="2" t="s">
        <v>78</v>
      </c>
      <c r="H935" s="2">
        <v>1</v>
      </c>
      <c r="I935" s="8">
        <v>129.13999999999999</v>
      </c>
      <c r="J935" s="8">
        <v>36900</v>
      </c>
      <c r="K935" s="3">
        <v>0</v>
      </c>
      <c r="L935" s="3" t="s">
        <v>3</v>
      </c>
      <c r="M935" s="9" t="s">
        <v>0</v>
      </c>
      <c r="N935" s="9" t="s">
        <v>24</v>
      </c>
      <c r="O935" s="9" t="s">
        <v>323</v>
      </c>
      <c r="P935" s="9" t="s">
        <v>0</v>
      </c>
      <c r="Q935" s="30" t="s">
        <v>324</v>
      </c>
      <c r="R935" s="9" t="s">
        <v>325</v>
      </c>
      <c r="S935" s="9" t="s">
        <v>158</v>
      </c>
      <c r="T935" s="10" t="s">
        <v>78</v>
      </c>
      <c r="U935" s="10">
        <v>1</v>
      </c>
      <c r="V935" s="10">
        <v>129.13999999999999</v>
      </c>
      <c r="W935" s="10" t="s">
        <v>710</v>
      </c>
      <c r="X935" s="17">
        <v>44721</v>
      </c>
      <c r="Y935" s="17">
        <v>45121</v>
      </c>
      <c r="Z935" s="19" t="s">
        <v>772</v>
      </c>
      <c r="AA935" s="212">
        <v>48360</v>
      </c>
      <c r="AB935" s="9">
        <v>72</v>
      </c>
      <c r="AC935" s="9">
        <v>29</v>
      </c>
      <c r="AD935" s="17">
        <v>45777</v>
      </c>
      <c r="AE935" s="56">
        <v>630</v>
      </c>
      <c r="AF935" s="56"/>
      <c r="AG935" s="9" t="s">
        <v>134</v>
      </c>
      <c r="AH935" s="17">
        <v>45777</v>
      </c>
      <c r="AI935" s="30" t="s">
        <v>24</v>
      </c>
      <c r="AJ935" s="17" t="s">
        <v>2336</v>
      </c>
      <c r="AK935" s="9" t="s">
        <v>2384</v>
      </c>
      <c r="AL935" s="11">
        <v>630</v>
      </c>
      <c r="AN935" s="11" t="s">
        <v>2393</v>
      </c>
      <c r="AP935" s="11"/>
      <c r="AQ935" s="11"/>
      <c r="AR935" s="11"/>
      <c r="AW935" s="42">
        <v>45779</v>
      </c>
      <c r="AX935" s="36">
        <v>4093</v>
      </c>
      <c r="AY935" s="36"/>
      <c r="AZ935" s="36"/>
      <c r="BA935" s="40">
        <v>630</v>
      </c>
      <c r="BD935" s="9"/>
      <c r="CS935" s="11">
        <f t="shared" si="65"/>
        <v>630</v>
      </c>
      <c r="CT935" s="22">
        <f t="shared" si="66"/>
        <v>630</v>
      </c>
      <c r="CU935" s="22">
        <f t="shared" si="68"/>
        <v>0</v>
      </c>
      <c r="CV935" s="26">
        <f t="shared" si="67"/>
        <v>0</v>
      </c>
    </row>
    <row r="936" spans="1:100" x14ac:dyDescent="0.2">
      <c r="A936" s="9" t="s">
        <v>244</v>
      </c>
      <c r="B936" s="2">
        <v>96</v>
      </c>
      <c r="C936" s="3" t="s">
        <v>95</v>
      </c>
      <c r="D936" s="3" t="s">
        <v>96</v>
      </c>
      <c r="E936" s="2"/>
      <c r="F936" s="2"/>
      <c r="G936" s="2" t="s">
        <v>78</v>
      </c>
      <c r="H936" s="2">
        <v>1</v>
      </c>
      <c r="I936" s="8">
        <v>129.13999999999999</v>
      </c>
      <c r="J936" s="8">
        <v>36900</v>
      </c>
      <c r="K936" s="3">
        <v>0</v>
      </c>
      <c r="L936" s="3" t="s">
        <v>3</v>
      </c>
      <c r="M936" s="9" t="s">
        <v>0</v>
      </c>
      <c r="N936" s="9" t="s">
        <v>24</v>
      </c>
      <c r="O936" s="9" t="s">
        <v>323</v>
      </c>
      <c r="P936" s="9" t="s">
        <v>0</v>
      </c>
      <c r="Q936" s="30" t="s">
        <v>324</v>
      </c>
      <c r="R936" s="9" t="s">
        <v>325</v>
      </c>
      <c r="S936" s="9" t="s">
        <v>158</v>
      </c>
      <c r="T936" s="10" t="s">
        <v>78</v>
      </c>
      <c r="U936" s="10">
        <v>1</v>
      </c>
      <c r="V936" s="10">
        <v>129.13999999999999</v>
      </c>
      <c r="W936" s="10" t="s">
        <v>710</v>
      </c>
      <c r="X936" s="17">
        <v>44721</v>
      </c>
      <c r="Y936" s="17">
        <v>45121</v>
      </c>
      <c r="Z936" s="19" t="s">
        <v>772</v>
      </c>
      <c r="AA936" s="212">
        <v>48360</v>
      </c>
      <c r="AB936" s="9">
        <v>72</v>
      </c>
      <c r="AC936" s="9">
        <v>30</v>
      </c>
      <c r="AD936" s="17">
        <v>45807</v>
      </c>
      <c r="AE936" s="56">
        <v>630</v>
      </c>
      <c r="AF936" s="56"/>
      <c r="AG936" s="9" t="s">
        <v>134</v>
      </c>
      <c r="AH936" s="17">
        <v>45807</v>
      </c>
      <c r="AI936" s="30" t="s">
        <v>24</v>
      </c>
      <c r="AJ936" s="17" t="s">
        <v>2336</v>
      </c>
      <c r="AK936" s="9" t="s">
        <v>2385</v>
      </c>
      <c r="AL936" s="11">
        <v>630</v>
      </c>
      <c r="AN936" s="11" t="s">
        <v>2394</v>
      </c>
      <c r="AP936" s="11"/>
      <c r="AQ936" s="11"/>
      <c r="AR936" s="11"/>
      <c r="AW936" s="42">
        <v>45810</v>
      </c>
      <c r="AX936" s="36">
        <v>4252</v>
      </c>
      <c r="AY936" s="36"/>
      <c r="AZ936" s="36"/>
      <c r="BA936" s="40">
        <v>630</v>
      </c>
      <c r="BD936" s="9"/>
      <c r="CS936" s="11">
        <f t="shared" si="65"/>
        <v>630</v>
      </c>
      <c r="CT936" s="22">
        <f t="shared" si="66"/>
        <v>630</v>
      </c>
      <c r="CU936" s="22">
        <f t="shared" si="68"/>
        <v>0</v>
      </c>
      <c r="CV936" s="26">
        <f t="shared" si="67"/>
        <v>0</v>
      </c>
    </row>
    <row r="937" spans="1:100" x14ac:dyDescent="0.2">
      <c r="A937" s="9" t="s">
        <v>244</v>
      </c>
      <c r="B937" s="2">
        <v>96</v>
      </c>
      <c r="C937" s="3" t="s">
        <v>95</v>
      </c>
      <c r="D937" s="3" t="s">
        <v>96</v>
      </c>
      <c r="E937" s="2"/>
      <c r="F937" s="2"/>
      <c r="G937" s="2" t="s">
        <v>78</v>
      </c>
      <c r="H937" s="2">
        <v>1</v>
      </c>
      <c r="I937" s="8">
        <v>129.13999999999999</v>
      </c>
      <c r="J937" s="8">
        <v>36900</v>
      </c>
      <c r="K937" s="3">
        <v>0</v>
      </c>
      <c r="L937" s="3" t="s">
        <v>3</v>
      </c>
      <c r="M937" s="9" t="s">
        <v>0</v>
      </c>
      <c r="N937" s="9" t="s">
        <v>24</v>
      </c>
      <c r="O937" s="9" t="s">
        <v>323</v>
      </c>
      <c r="P937" s="9" t="s">
        <v>0</v>
      </c>
      <c r="Q937" s="30" t="s">
        <v>324</v>
      </c>
      <c r="R937" s="9" t="s">
        <v>325</v>
      </c>
      <c r="S937" s="9" t="s">
        <v>158</v>
      </c>
      <c r="T937" s="10" t="s">
        <v>78</v>
      </c>
      <c r="U937" s="10">
        <v>1</v>
      </c>
      <c r="V937" s="10">
        <v>129.13999999999999</v>
      </c>
      <c r="W937" s="10" t="s">
        <v>710</v>
      </c>
      <c r="X937" s="17">
        <v>44721</v>
      </c>
      <c r="Y937" s="17">
        <v>45121</v>
      </c>
      <c r="Z937" s="19" t="s">
        <v>772</v>
      </c>
      <c r="AA937" s="212">
        <v>48360</v>
      </c>
      <c r="AB937" s="9">
        <v>72</v>
      </c>
      <c r="AC937" s="9">
        <v>31</v>
      </c>
      <c r="AD937" s="17">
        <v>45838</v>
      </c>
      <c r="AE937" s="56">
        <v>630</v>
      </c>
      <c r="AF937" s="56"/>
      <c r="AG937" s="9" t="s">
        <v>134</v>
      </c>
      <c r="AH937" s="17">
        <v>45839</v>
      </c>
      <c r="AI937" s="30" t="s">
        <v>24</v>
      </c>
      <c r="AJ937" s="17" t="s">
        <v>2336</v>
      </c>
      <c r="AK937" s="9" t="s">
        <v>2386</v>
      </c>
      <c r="AL937" s="11">
        <v>630</v>
      </c>
      <c r="AN937" s="11" t="s">
        <v>2395</v>
      </c>
      <c r="AP937" s="11"/>
      <c r="AQ937" s="11"/>
      <c r="AR937" s="11"/>
      <c r="AW937" s="42">
        <v>45840</v>
      </c>
      <c r="AX937" s="36">
        <v>4364</v>
      </c>
      <c r="AY937" s="36"/>
      <c r="AZ937" s="36"/>
      <c r="BA937" s="40">
        <v>630</v>
      </c>
      <c r="BD937" s="9"/>
      <c r="CS937" s="11">
        <f t="shared" si="65"/>
        <v>630</v>
      </c>
      <c r="CT937" s="22">
        <f t="shared" si="66"/>
        <v>630</v>
      </c>
      <c r="CU937" s="22">
        <f t="shared" si="68"/>
        <v>0</v>
      </c>
      <c r="CV937" s="26">
        <f t="shared" si="67"/>
        <v>0</v>
      </c>
    </row>
    <row r="938" spans="1:100" x14ac:dyDescent="0.2">
      <c r="A938" s="9" t="s">
        <v>244</v>
      </c>
      <c r="B938" s="2">
        <v>96</v>
      </c>
      <c r="C938" s="3" t="s">
        <v>95</v>
      </c>
      <c r="D938" s="3" t="s">
        <v>96</v>
      </c>
      <c r="E938" s="2"/>
      <c r="F938" s="2"/>
      <c r="G938" s="2" t="s">
        <v>78</v>
      </c>
      <c r="H938" s="2">
        <v>1</v>
      </c>
      <c r="I938" s="8">
        <v>129.13999999999999</v>
      </c>
      <c r="J938" s="8">
        <v>36900</v>
      </c>
      <c r="K938" s="3">
        <v>0</v>
      </c>
      <c r="L938" s="3" t="s">
        <v>3</v>
      </c>
      <c r="M938" s="9" t="s">
        <v>0</v>
      </c>
      <c r="N938" s="9" t="s">
        <v>24</v>
      </c>
      <c r="O938" s="9" t="s">
        <v>323</v>
      </c>
      <c r="P938" s="9" t="s">
        <v>0</v>
      </c>
      <c r="Q938" s="30" t="s">
        <v>324</v>
      </c>
      <c r="R938" s="9" t="s">
        <v>325</v>
      </c>
      <c r="S938" s="9" t="s">
        <v>158</v>
      </c>
      <c r="T938" s="10" t="s">
        <v>78</v>
      </c>
      <c r="U938" s="10">
        <v>1</v>
      </c>
      <c r="V938" s="10">
        <v>129.13999999999999</v>
      </c>
      <c r="W938" s="10" t="s">
        <v>710</v>
      </c>
      <c r="X938" s="17">
        <v>44721</v>
      </c>
      <c r="Y938" s="17">
        <v>45121</v>
      </c>
      <c r="Z938" s="19" t="s">
        <v>772</v>
      </c>
      <c r="AA938" s="212">
        <v>48360</v>
      </c>
      <c r="AB938" s="9">
        <v>72</v>
      </c>
      <c r="AC938" s="9">
        <v>32</v>
      </c>
      <c r="AD938" s="17">
        <v>45868</v>
      </c>
      <c r="AE938" s="56">
        <v>630</v>
      </c>
      <c r="AF938" s="56"/>
      <c r="AG938" s="9" t="s">
        <v>134</v>
      </c>
      <c r="AH938" s="17">
        <v>45869</v>
      </c>
      <c r="AI938" s="30" t="s">
        <v>24</v>
      </c>
      <c r="AJ938" s="17" t="s">
        <v>2336</v>
      </c>
      <c r="AK938" s="9" t="s">
        <v>2387</v>
      </c>
      <c r="AL938" s="11">
        <v>630</v>
      </c>
      <c r="AN938" s="11" t="s">
        <v>2396</v>
      </c>
      <c r="AP938" s="11"/>
      <c r="AQ938" s="11"/>
      <c r="AR938" s="11"/>
      <c r="AW938" s="17">
        <v>45870</v>
      </c>
      <c r="BA938" s="11">
        <v>630</v>
      </c>
      <c r="BB938" s="11" t="s">
        <v>1704</v>
      </c>
      <c r="BD938" s="9"/>
      <c r="CS938" s="11">
        <f t="shared" si="65"/>
        <v>630</v>
      </c>
      <c r="CT938" s="22">
        <f t="shared" si="66"/>
        <v>630</v>
      </c>
      <c r="CU938" s="22">
        <f t="shared" si="68"/>
        <v>0</v>
      </c>
      <c r="CV938" s="26">
        <f t="shared" si="67"/>
        <v>0</v>
      </c>
    </row>
    <row r="939" spans="1:100" x14ac:dyDescent="0.2">
      <c r="A939" s="9" t="s">
        <v>244</v>
      </c>
      <c r="B939" s="2">
        <v>96</v>
      </c>
      <c r="C939" s="3" t="s">
        <v>95</v>
      </c>
      <c r="D939" s="3" t="s">
        <v>96</v>
      </c>
      <c r="E939" s="2"/>
      <c r="F939" s="2"/>
      <c r="G939" s="2" t="s">
        <v>78</v>
      </c>
      <c r="H939" s="2">
        <v>1</v>
      </c>
      <c r="I939" s="8">
        <v>129.13999999999999</v>
      </c>
      <c r="J939" s="8">
        <v>36900</v>
      </c>
      <c r="K939" s="3">
        <v>0</v>
      </c>
      <c r="L939" s="3" t="s">
        <v>3</v>
      </c>
      <c r="M939" s="9" t="s">
        <v>0</v>
      </c>
      <c r="N939" s="9" t="s">
        <v>24</v>
      </c>
      <c r="O939" s="9" t="s">
        <v>323</v>
      </c>
      <c r="P939" s="9" t="s">
        <v>0</v>
      </c>
      <c r="Q939" s="30" t="s">
        <v>324</v>
      </c>
      <c r="R939" s="9" t="s">
        <v>325</v>
      </c>
      <c r="S939" s="9" t="s">
        <v>158</v>
      </c>
      <c r="T939" s="10" t="s">
        <v>78</v>
      </c>
      <c r="U939" s="10">
        <v>1</v>
      </c>
      <c r="V939" s="10">
        <v>129.13999999999999</v>
      </c>
      <c r="W939" s="10" t="s">
        <v>710</v>
      </c>
      <c r="X939" s="17">
        <v>44721</v>
      </c>
      <c r="Y939" s="17">
        <v>45121</v>
      </c>
      <c r="Z939" s="19" t="s">
        <v>772</v>
      </c>
      <c r="AA939" s="212">
        <v>48360</v>
      </c>
      <c r="AB939" s="9">
        <v>72</v>
      </c>
      <c r="AC939" s="9">
        <v>33</v>
      </c>
      <c r="AD939" s="17">
        <v>45899</v>
      </c>
      <c r="AE939" s="56">
        <v>630</v>
      </c>
      <c r="AF939" s="56"/>
      <c r="AG939" s="9" t="s">
        <v>134</v>
      </c>
      <c r="AH939" s="17">
        <v>45901</v>
      </c>
      <c r="AI939" s="30" t="s">
        <v>24</v>
      </c>
      <c r="AJ939" s="17" t="s">
        <v>2336</v>
      </c>
      <c r="AK939" s="9" t="s">
        <v>2388</v>
      </c>
      <c r="AL939" s="11">
        <v>630</v>
      </c>
      <c r="AN939" s="11" t="s">
        <v>2397</v>
      </c>
      <c r="AP939" s="11"/>
      <c r="AQ939" s="11"/>
      <c r="AR939" s="11"/>
      <c r="AW939" s="42">
        <v>45902</v>
      </c>
      <c r="AX939" s="36">
        <v>4655</v>
      </c>
      <c r="AY939" s="36"/>
      <c r="AZ939" s="36"/>
      <c r="BA939" s="40">
        <v>630</v>
      </c>
      <c r="BD939" s="9"/>
      <c r="CS939" s="11">
        <f t="shared" si="65"/>
        <v>630</v>
      </c>
      <c r="CT939" s="22">
        <f t="shared" si="66"/>
        <v>630</v>
      </c>
      <c r="CU939" s="22">
        <f t="shared" si="68"/>
        <v>0</v>
      </c>
      <c r="CV939" s="26">
        <f t="shared" si="67"/>
        <v>0</v>
      </c>
    </row>
    <row r="940" spans="1:100" x14ac:dyDescent="0.2">
      <c r="A940" s="9" t="s">
        <v>244</v>
      </c>
      <c r="B940" s="2">
        <v>96</v>
      </c>
      <c r="C940" s="3" t="s">
        <v>95</v>
      </c>
      <c r="D940" s="3" t="s">
        <v>96</v>
      </c>
      <c r="E940" s="2"/>
      <c r="F940" s="2"/>
      <c r="G940" s="2" t="s">
        <v>78</v>
      </c>
      <c r="H940" s="2">
        <v>1</v>
      </c>
      <c r="I940" s="8">
        <v>129.13999999999999</v>
      </c>
      <c r="J940" s="8">
        <v>36900</v>
      </c>
      <c r="K940" s="3">
        <v>0</v>
      </c>
      <c r="L940" s="3" t="s">
        <v>3</v>
      </c>
      <c r="M940" s="9" t="s">
        <v>0</v>
      </c>
      <c r="N940" s="9" t="s">
        <v>24</v>
      </c>
      <c r="O940" s="9" t="s">
        <v>323</v>
      </c>
      <c r="P940" s="9" t="s">
        <v>0</v>
      </c>
      <c r="Q940" s="30" t="s">
        <v>324</v>
      </c>
      <c r="R940" s="9" t="s">
        <v>325</v>
      </c>
      <c r="S940" s="9" t="s">
        <v>158</v>
      </c>
      <c r="T940" s="10" t="s">
        <v>78</v>
      </c>
      <c r="U940" s="10">
        <v>1</v>
      </c>
      <c r="V940" s="10">
        <v>129.13999999999999</v>
      </c>
      <c r="W940" s="10" t="s">
        <v>710</v>
      </c>
      <c r="X940" s="17">
        <v>44721</v>
      </c>
      <c r="Y940" s="17">
        <v>45121</v>
      </c>
      <c r="Z940" s="19" t="s">
        <v>772</v>
      </c>
      <c r="AA940" s="212">
        <v>48360</v>
      </c>
      <c r="AB940" s="9">
        <v>72</v>
      </c>
      <c r="AC940" s="9">
        <v>34</v>
      </c>
      <c r="AD940" s="17">
        <v>45930</v>
      </c>
      <c r="AE940" s="56">
        <v>630</v>
      </c>
      <c r="AF940" s="56"/>
      <c r="AP940" s="11"/>
      <c r="AQ940" s="11"/>
      <c r="AR940" s="11"/>
      <c r="AW940" s="17"/>
      <c r="BD940" s="9"/>
      <c r="CS940" s="11">
        <f t="shared" si="65"/>
        <v>0</v>
      </c>
      <c r="CT940" s="22">
        <f t="shared" si="66"/>
        <v>0</v>
      </c>
      <c r="CU940" s="22">
        <f t="shared" si="68"/>
        <v>0</v>
      </c>
      <c r="CV940" s="26">
        <f t="shared" si="67"/>
        <v>630</v>
      </c>
    </row>
    <row r="941" spans="1:100" x14ac:dyDescent="0.2">
      <c r="A941" s="9" t="s">
        <v>244</v>
      </c>
      <c r="B941" s="2">
        <v>96</v>
      </c>
      <c r="C941" s="3" t="s">
        <v>95</v>
      </c>
      <c r="D941" s="3" t="s">
        <v>96</v>
      </c>
      <c r="E941" s="2"/>
      <c r="F941" s="2"/>
      <c r="G941" s="2" t="s">
        <v>78</v>
      </c>
      <c r="H941" s="2">
        <v>1</v>
      </c>
      <c r="I941" s="8">
        <v>129.13999999999999</v>
      </c>
      <c r="J941" s="8">
        <v>36900</v>
      </c>
      <c r="K941" s="3">
        <v>0</v>
      </c>
      <c r="L941" s="3" t="s">
        <v>3</v>
      </c>
      <c r="M941" s="9" t="s">
        <v>0</v>
      </c>
      <c r="N941" s="9" t="s">
        <v>24</v>
      </c>
      <c r="O941" s="9" t="s">
        <v>323</v>
      </c>
      <c r="P941" s="9" t="s">
        <v>0</v>
      </c>
      <c r="Q941" s="30" t="s">
        <v>324</v>
      </c>
      <c r="R941" s="9" t="s">
        <v>325</v>
      </c>
      <c r="S941" s="9" t="s">
        <v>158</v>
      </c>
      <c r="T941" s="10" t="s">
        <v>78</v>
      </c>
      <c r="U941" s="10">
        <v>1</v>
      </c>
      <c r="V941" s="10">
        <v>129.13999999999999</v>
      </c>
      <c r="W941" s="10" t="s">
        <v>710</v>
      </c>
      <c r="X941" s="17">
        <v>44721</v>
      </c>
      <c r="Y941" s="17">
        <v>45121</v>
      </c>
      <c r="Z941" s="19" t="s">
        <v>772</v>
      </c>
      <c r="AA941" s="212">
        <v>48360</v>
      </c>
      <c r="AB941" s="9">
        <v>72</v>
      </c>
      <c r="AC941" s="9">
        <v>35</v>
      </c>
      <c r="AD941" s="17">
        <v>45960</v>
      </c>
      <c r="AE941" s="56">
        <v>630</v>
      </c>
      <c r="AF941" s="56"/>
      <c r="AP941" s="11"/>
      <c r="AQ941" s="11"/>
      <c r="AR941" s="11"/>
      <c r="AW941" s="9"/>
      <c r="BD941" s="9"/>
      <c r="CS941" s="11">
        <f t="shared" si="65"/>
        <v>0</v>
      </c>
      <c r="CT941" s="22">
        <f t="shared" si="66"/>
        <v>0</v>
      </c>
      <c r="CU941" s="22">
        <f t="shared" si="68"/>
        <v>0</v>
      </c>
      <c r="CV941" s="26">
        <f t="shared" si="67"/>
        <v>630</v>
      </c>
    </row>
    <row r="942" spans="1:100" x14ac:dyDescent="0.2">
      <c r="A942" s="9" t="s">
        <v>244</v>
      </c>
      <c r="B942" s="2">
        <v>96</v>
      </c>
      <c r="C942" s="3" t="s">
        <v>95</v>
      </c>
      <c r="D942" s="3" t="s">
        <v>96</v>
      </c>
      <c r="E942" s="2"/>
      <c r="F942" s="2"/>
      <c r="G942" s="2" t="s">
        <v>78</v>
      </c>
      <c r="H942" s="2">
        <v>1</v>
      </c>
      <c r="I942" s="8">
        <v>129.13999999999999</v>
      </c>
      <c r="J942" s="8">
        <v>36900</v>
      </c>
      <c r="K942" s="3">
        <v>0</v>
      </c>
      <c r="L942" s="3" t="s">
        <v>3</v>
      </c>
      <c r="M942" s="9" t="s">
        <v>0</v>
      </c>
      <c r="N942" s="9" t="s">
        <v>24</v>
      </c>
      <c r="O942" s="9" t="s">
        <v>323</v>
      </c>
      <c r="P942" s="9" t="s">
        <v>0</v>
      </c>
      <c r="Q942" s="30" t="s">
        <v>324</v>
      </c>
      <c r="R942" s="9" t="s">
        <v>325</v>
      </c>
      <c r="S942" s="9" t="s">
        <v>158</v>
      </c>
      <c r="T942" s="10" t="s">
        <v>78</v>
      </c>
      <c r="U942" s="10">
        <v>1</v>
      </c>
      <c r="V942" s="10">
        <v>129.13999999999999</v>
      </c>
      <c r="W942" s="10" t="s">
        <v>710</v>
      </c>
      <c r="X942" s="17">
        <v>44721</v>
      </c>
      <c r="Y942" s="17">
        <v>45121</v>
      </c>
      <c r="Z942" s="19" t="s">
        <v>772</v>
      </c>
      <c r="AA942" s="212">
        <v>48360</v>
      </c>
      <c r="AB942" s="9">
        <v>72</v>
      </c>
      <c r="AC942" s="9">
        <v>36</v>
      </c>
      <c r="AD942" s="17">
        <v>45991</v>
      </c>
      <c r="AE942" s="56">
        <v>630</v>
      </c>
      <c r="AF942" s="56"/>
      <c r="AP942" s="11"/>
      <c r="AQ942" s="11"/>
      <c r="AR942" s="11"/>
      <c r="AW942" s="9"/>
      <c r="BD942" s="9"/>
      <c r="CS942" s="11">
        <f t="shared" si="65"/>
        <v>0</v>
      </c>
      <c r="CT942" s="22">
        <f t="shared" si="66"/>
        <v>0</v>
      </c>
      <c r="CU942" s="22">
        <f t="shared" si="68"/>
        <v>0</v>
      </c>
      <c r="CV942" s="26">
        <f t="shared" si="67"/>
        <v>630</v>
      </c>
    </row>
    <row r="943" spans="1:100" x14ac:dyDescent="0.2">
      <c r="A943" s="9" t="s">
        <v>244</v>
      </c>
      <c r="B943" s="2">
        <v>96</v>
      </c>
      <c r="C943" s="3" t="s">
        <v>95</v>
      </c>
      <c r="D943" s="3" t="s">
        <v>96</v>
      </c>
      <c r="E943" s="2"/>
      <c r="F943" s="2"/>
      <c r="G943" s="2" t="s">
        <v>78</v>
      </c>
      <c r="H943" s="2">
        <v>1</v>
      </c>
      <c r="I943" s="8">
        <v>129.13999999999999</v>
      </c>
      <c r="J943" s="8">
        <v>36900</v>
      </c>
      <c r="K943" s="3">
        <v>0</v>
      </c>
      <c r="L943" s="3" t="s">
        <v>3</v>
      </c>
      <c r="M943" s="9" t="s">
        <v>0</v>
      </c>
      <c r="N943" s="9" t="s">
        <v>24</v>
      </c>
      <c r="O943" s="9" t="s">
        <v>323</v>
      </c>
      <c r="P943" s="9" t="s">
        <v>0</v>
      </c>
      <c r="Q943" s="30" t="s">
        <v>324</v>
      </c>
      <c r="R943" s="9" t="s">
        <v>325</v>
      </c>
      <c r="S943" s="9" t="s">
        <v>158</v>
      </c>
      <c r="T943" s="10" t="s">
        <v>78</v>
      </c>
      <c r="U943" s="10">
        <v>1</v>
      </c>
      <c r="V943" s="10">
        <v>129.13999999999999</v>
      </c>
      <c r="W943" s="10" t="s">
        <v>710</v>
      </c>
      <c r="X943" s="17">
        <v>44721</v>
      </c>
      <c r="Y943" s="17">
        <v>45121</v>
      </c>
      <c r="Z943" s="19" t="s">
        <v>772</v>
      </c>
      <c r="AA943" s="212">
        <v>48360</v>
      </c>
      <c r="AB943" s="9">
        <v>72</v>
      </c>
      <c r="AC943" s="9">
        <v>37</v>
      </c>
      <c r="AD943" s="17">
        <v>46021</v>
      </c>
      <c r="AE943" s="56">
        <v>630</v>
      </c>
      <c r="AF943" s="56"/>
      <c r="AP943" s="11"/>
      <c r="AQ943" s="11"/>
      <c r="AR943" s="11"/>
      <c r="AW943" s="9"/>
      <c r="BD943" s="9"/>
      <c r="CS943" s="11">
        <f t="shared" si="65"/>
        <v>0</v>
      </c>
      <c r="CT943" s="22">
        <f t="shared" si="66"/>
        <v>0</v>
      </c>
      <c r="CU943" s="22">
        <f t="shared" si="68"/>
        <v>0</v>
      </c>
      <c r="CV943" s="26">
        <f t="shared" si="67"/>
        <v>630</v>
      </c>
    </row>
    <row r="944" spans="1:100" x14ac:dyDescent="0.2">
      <c r="A944" s="9" t="s">
        <v>244</v>
      </c>
      <c r="B944" s="2">
        <v>96</v>
      </c>
      <c r="C944" s="3" t="s">
        <v>95</v>
      </c>
      <c r="D944" s="3" t="s">
        <v>96</v>
      </c>
      <c r="E944" s="2"/>
      <c r="F944" s="2"/>
      <c r="G944" s="2" t="s">
        <v>78</v>
      </c>
      <c r="H944" s="2">
        <v>1</v>
      </c>
      <c r="I944" s="8">
        <v>129.13999999999999</v>
      </c>
      <c r="J944" s="8">
        <v>36900</v>
      </c>
      <c r="K944" s="3">
        <v>0</v>
      </c>
      <c r="L944" s="3" t="s">
        <v>3</v>
      </c>
      <c r="M944" s="9" t="s">
        <v>0</v>
      </c>
      <c r="N944" s="9" t="s">
        <v>24</v>
      </c>
      <c r="O944" s="9" t="s">
        <v>323</v>
      </c>
      <c r="P944" s="9" t="s">
        <v>0</v>
      </c>
      <c r="Q944" s="30" t="s">
        <v>324</v>
      </c>
      <c r="R944" s="9" t="s">
        <v>325</v>
      </c>
      <c r="S944" s="9" t="s">
        <v>158</v>
      </c>
      <c r="T944" s="10" t="s">
        <v>78</v>
      </c>
      <c r="U944" s="10">
        <v>1</v>
      </c>
      <c r="V944" s="10">
        <v>129.13999999999999</v>
      </c>
      <c r="W944" s="10" t="s">
        <v>710</v>
      </c>
      <c r="X944" s="17">
        <v>44721</v>
      </c>
      <c r="Y944" s="17">
        <v>45121</v>
      </c>
      <c r="Z944" s="19" t="s">
        <v>772</v>
      </c>
      <c r="AA944" s="212">
        <v>48360</v>
      </c>
      <c r="AB944" s="9">
        <v>72</v>
      </c>
      <c r="AC944" s="9">
        <v>38</v>
      </c>
      <c r="AD944" s="17">
        <v>46052</v>
      </c>
      <c r="AE944" s="56">
        <v>630</v>
      </c>
      <c r="AF944" s="56"/>
      <c r="AP944" s="11"/>
      <c r="AQ944" s="11"/>
      <c r="AR944" s="11"/>
      <c r="AW944" s="9"/>
      <c r="BD944" s="9"/>
      <c r="CS944" s="11">
        <f t="shared" si="65"/>
        <v>0</v>
      </c>
      <c r="CT944" s="22">
        <f t="shared" si="66"/>
        <v>0</v>
      </c>
      <c r="CU944" s="22">
        <f t="shared" si="68"/>
        <v>0</v>
      </c>
      <c r="CV944" s="26">
        <f t="shared" si="67"/>
        <v>630</v>
      </c>
    </row>
    <row r="945" spans="1:100" x14ac:dyDescent="0.2">
      <c r="A945" s="9" t="s">
        <v>244</v>
      </c>
      <c r="B945" s="2">
        <v>96</v>
      </c>
      <c r="C945" s="3" t="s">
        <v>95</v>
      </c>
      <c r="D945" s="3" t="s">
        <v>96</v>
      </c>
      <c r="E945" s="2"/>
      <c r="F945" s="2"/>
      <c r="G945" s="2" t="s">
        <v>78</v>
      </c>
      <c r="H945" s="2">
        <v>1</v>
      </c>
      <c r="I945" s="8">
        <v>129.13999999999999</v>
      </c>
      <c r="J945" s="8">
        <v>36900</v>
      </c>
      <c r="K945" s="3">
        <v>0</v>
      </c>
      <c r="L945" s="3" t="s">
        <v>3</v>
      </c>
      <c r="M945" s="9" t="s">
        <v>0</v>
      </c>
      <c r="N945" s="9" t="s">
        <v>24</v>
      </c>
      <c r="O945" s="9" t="s">
        <v>323</v>
      </c>
      <c r="P945" s="9" t="s">
        <v>0</v>
      </c>
      <c r="Q945" s="30" t="s">
        <v>324</v>
      </c>
      <c r="R945" s="9" t="s">
        <v>325</v>
      </c>
      <c r="S945" s="9" t="s">
        <v>158</v>
      </c>
      <c r="T945" s="10" t="s">
        <v>78</v>
      </c>
      <c r="U945" s="10">
        <v>1</v>
      </c>
      <c r="V945" s="10">
        <v>129.13999999999999</v>
      </c>
      <c r="W945" s="10" t="s">
        <v>710</v>
      </c>
      <c r="X945" s="17">
        <v>44721</v>
      </c>
      <c r="Y945" s="17">
        <v>45121</v>
      </c>
      <c r="Z945" s="19" t="s">
        <v>772</v>
      </c>
      <c r="AA945" s="212">
        <v>48360</v>
      </c>
      <c r="AB945" s="9">
        <v>72</v>
      </c>
      <c r="AC945" s="9">
        <v>39</v>
      </c>
      <c r="AD945" s="17">
        <v>46081</v>
      </c>
      <c r="AE945" s="56">
        <v>630</v>
      </c>
      <c r="AF945" s="56"/>
      <c r="AP945" s="11"/>
      <c r="AQ945" s="11"/>
      <c r="AR945" s="11"/>
      <c r="AW945" s="9"/>
      <c r="BD945" s="9"/>
      <c r="CS945" s="11">
        <f t="shared" si="65"/>
        <v>0</v>
      </c>
      <c r="CT945" s="22">
        <f t="shared" si="66"/>
        <v>0</v>
      </c>
      <c r="CU945" s="22">
        <f t="shared" si="68"/>
        <v>0</v>
      </c>
      <c r="CV945" s="26">
        <f t="shared" si="67"/>
        <v>630</v>
      </c>
    </row>
    <row r="946" spans="1:100" x14ac:dyDescent="0.2">
      <c r="A946" s="9" t="s">
        <v>244</v>
      </c>
      <c r="B946" s="2">
        <v>96</v>
      </c>
      <c r="C946" s="3" t="s">
        <v>95</v>
      </c>
      <c r="D946" s="3" t="s">
        <v>96</v>
      </c>
      <c r="E946" s="2"/>
      <c r="F946" s="2"/>
      <c r="G946" s="2" t="s">
        <v>78</v>
      </c>
      <c r="H946" s="2">
        <v>1</v>
      </c>
      <c r="I946" s="8">
        <v>129.13999999999999</v>
      </c>
      <c r="J946" s="8">
        <v>36900</v>
      </c>
      <c r="K946" s="3">
        <v>0</v>
      </c>
      <c r="L946" s="3" t="s">
        <v>3</v>
      </c>
      <c r="M946" s="9" t="s">
        <v>0</v>
      </c>
      <c r="N946" s="9" t="s">
        <v>24</v>
      </c>
      <c r="O946" s="9" t="s">
        <v>323</v>
      </c>
      <c r="P946" s="9" t="s">
        <v>0</v>
      </c>
      <c r="Q946" s="30" t="s">
        <v>324</v>
      </c>
      <c r="R946" s="9" t="s">
        <v>325</v>
      </c>
      <c r="S946" s="9" t="s">
        <v>158</v>
      </c>
      <c r="T946" s="10" t="s">
        <v>78</v>
      </c>
      <c r="U946" s="10">
        <v>1</v>
      </c>
      <c r="V946" s="10">
        <v>129.13999999999999</v>
      </c>
      <c r="W946" s="10" t="s">
        <v>710</v>
      </c>
      <c r="X946" s="17">
        <v>44721</v>
      </c>
      <c r="Y946" s="17">
        <v>45121</v>
      </c>
      <c r="Z946" s="19" t="s">
        <v>772</v>
      </c>
      <c r="AA946" s="212">
        <v>48360</v>
      </c>
      <c r="AB946" s="9">
        <v>72</v>
      </c>
      <c r="AC946" s="9">
        <v>40</v>
      </c>
      <c r="AD946" s="17">
        <v>46111</v>
      </c>
      <c r="AE946" s="56">
        <v>630</v>
      </c>
      <c r="AF946" s="56"/>
      <c r="AP946" s="11"/>
      <c r="AQ946" s="11"/>
      <c r="AR946" s="11"/>
      <c r="AW946" s="9"/>
      <c r="BD946" s="9"/>
      <c r="CS946" s="11">
        <f t="shared" si="65"/>
        <v>0</v>
      </c>
      <c r="CT946" s="22">
        <f t="shared" si="66"/>
        <v>0</v>
      </c>
      <c r="CU946" s="22">
        <f t="shared" si="68"/>
        <v>0</v>
      </c>
      <c r="CV946" s="26">
        <f t="shared" si="67"/>
        <v>630</v>
      </c>
    </row>
    <row r="947" spans="1:100" x14ac:dyDescent="0.2">
      <c r="A947" s="9" t="s">
        <v>244</v>
      </c>
      <c r="B947" s="2">
        <v>96</v>
      </c>
      <c r="C947" s="3" t="s">
        <v>95</v>
      </c>
      <c r="D947" s="3" t="s">
        <v>96</v>
      </c>
      <c r="E947" s="2"/>
      <c r="F947" s="2"/>
      <c r="G947" s="2" t="s">
        <v>78</v>
      </c>
      <c r="H947" s="2">
        <v>1</v>
      </c>
      <c r="I947" s="8">
        <v>129.13999999999999</v>
      </c>
      <c r="J947" s="8">
        <v>36900</v>
      </c>
      <c r="K947" s="3">
        <v>0</v>
      </c>
      <c r="L947" s="3" t="s">
        <v>3</v>
      </c>
      <c r="M947" s="9" t="s">
        <v>0</v>
      </c>
      <c r="N947" s="9" t="s">
        <v>24</v>
      </c>
      <c r="O947" s="9" t="s">
        <v>323</v>
      </c>
      <c r="P947" s="9" t="s">
        <v>0</v>
      </c>
      <c r="Q947" s="30" t="s">
        <v>324</v>
      </c>
      <c r="R947" s="9" t="s">
        <v>325</v>
      </c>
      <c r="S947" s="9" t="s">
        <v>158</v>
      </c>
      <c r="T947" s="10" t="s">
        <v>78</v>
      </c>
      <c r="U947" s="10">
        <v>1</v>
      </c>
      <c r="V947" s="10">
        <v>129.13999999999999</v>
      </c>
      <c r="W947" s="10" t="s">
        <v>710</v>
      </c>
      <c r="X947" s="17">
        <v>44721</v>
      </c>
      <c r="Y947" s="17">
        <v>45121</v>
      </c>
      <c r="Z947" s="19" t="s">
        <v>772</v>
      </c>
      <c r="AA947" s="212">
        <v>48360</v>
      </c>
      <c r="AB947" s="9">
        <v>72</v>
      </c>
      <c r="AC947" s="9">
        <v>41</v>
      </c>
      <c r="AD947" s="17">
        <v>46142</v>
      </c>
      <c r="AE947" s="56">
        <v>630</v>
      </c>
      <c r="AF947" s="56"/>
      <c r="AP947" s="11"/>
      <c r="AQ947" s="11"/>
      <c r="AR947" s="11"/>
      <c r="AW947" s="9"/>
      <c r="BD947" s="9"/>
      <c r="CS947" s="11">
        <f t="shared" si="65"/>
        <v>0</v>
      </c>
      <c r="CT947" s="22">
        <f t="shared" si="66"/>
        <v>0</v>
      </c>
      <c r="CU947" s="22">
        <f t="shared" si="68"/>
        <v>0</v>
      </c>
      <c r="CV947" s="26">
        <f t="shared" si="67"/>
        <v>630</v>
      </c>
    </row>
    <row r="948" spans="1:100" x14ac:dyDescent="0.2">
      <c r="A948" s="9" t="s">
        <v>244</v>
      </c>
      <c r="B948" s="2">
        <v>96</v>
      </c>
      <c r="C948" s="3" t="s">
        <v>95</v>
      </c>
      <c r="D948" s="3" t="s">
        <v>96</v>
      </c>
      <c r="E948" s="2"/>
      <c r="F948" s="2"/>
      <c r="G948" s="2" t="s">
        <v>78</v>
      </c>
      <c r="H948" s="2">
        <v>1</v>
      </c>
      <c r="I948" s="8">
        <v>129.13999999999999</v>
      </c>
      <c r="J948" s="8">
        <v>36900</v>
      </c>
      <c r="K948" s="3">
        <v>0</v>
      </c>
      <c r="L948" s="3" t="s">
        <v>3</v>
      </c>
      <c r="M948" s="9" t="s">
        <v>0</v>
      </c>
      <c r="N948" s="9" t="s">
        <v>24</v>
      </c>
      <c r="O948" s="9" t="s">
        <v>323</v>
      </c>
      <c r="P948" s="9" t="s">
        <v>0</v>
      </c>
      <c r="Q948" s="30" t="s">
        <v>324</v>
      </c>
      <c r="R948" s="9" t="s">
        <v>325</v>
      </c>
      <c r="S948" s="9" t="s">
        <v>158</v>
      </c>
      <c r="T948" s="10" t="s">
        <v>78</v>
      </c>
      <c r="U948" s="10">
        <v>1</v>
      </c>
      <c r="V948" s="10">
        <v>129.13999999999999</v>
      </c>
      <c r="W948" s="10" t="s">
        <v>710</v>
      </c>
      <c r="X948" s="17">
        <v>44721</v>
      </c>
      <c r="Y948" s="17">
        <v>45121</v>
      </c>
      <c r="Z948" s="19" t="s">
        <v>772</v>
      </c>
      <c r="AA948" s="212">
        <v>48360</v>
      </c>
      <c r="AB948" s="9">
        <v>72</v>
      </c>
      <c r="AC948" s="9">
        <v>42</v>
      </c>
      <c r="AD948" s="17">
        <v>46172</v>
      </c>
      <c r="AE948" s="56">
        <v>630</v>
      </c>
      <c r="AF948" s="56"/>
      <c r="AP948" s="11"/>
      <c r="AQ948" s="11"/>
      <c r="AR948" s="11"/>
      <c r="AW948" s="9"/>
      <c r="BD948" s="9"/>
      <c r="CS948" s="11">
        <f t="shared" si="65"/>
        <v>0</v>
      </c>
      <c r="CT948" s="22">
        <f t="shared" si="66"/>
        <v>0</v>
      </c>
      <c r="CU948" s="22">
        <f t="shared" si="68"/>
        <v>0</v>
      </c>
      <c r="CV948" s="26">
        <f t="shared" si="67"/>
        <v>630</v>
      </c>
    </row>
    <row r="949" spans="1:100" x14ac:dyDescent="0.2">
      <c r="A949" s="9" t="s">
        <v>244</v>
      </c>
      <c r="B949" s="2">
        <v>96</v>
      </c>
      <c r="C949" s="3" t="s">
        <v>95</v>
      </c>
      <c r="D949" s="3" t="s">
        <v>96</v>
      </c>
      <c r="E949" s="2"/>
      <c r="F949" s="2"/>
      <c r="G949" s="2" t="s">
        <v>78</v>
      </c>
      <c r="H949" s="2">
        <v>1</v>
      </c>
      <c r="I949" s="8">
        <v>129.13999999999999</v>
      </c>
      <c r="J949" s="8">
        <v>36900</v>
      </c>
      <c r="K949" s="3">
        <v>0</v>
      </c>
      <c r="L949" s="3" t="s">
        <v>3</v>
      </c>
      <c r="M949" s="9" t="s">
        <v>0</v>
      </c>
      <c r="N949" s="9" t="s">
        <v>24</v>
      </c>
      <c r="O949" s="9" t="s">
        <v>323</v>
      </c>
      <c r="P949" s="9" t="s">
        <v>0</v>
      </c>
      <c r="Q949" s="30" t="s">
        <v>324</v>
      </c>
      <c r="R949" s="9" t="s">
        <v>325</v>
      </c>
      <c r="S949" s="9" t="s">
        <v>158</v>
      </c>
      <c r="T949" s="10" t="s">
        <v>78</v>
      </c>
      <c r="U949" s="10">
        <v>1</v>
      </c>
      <c r="V949" s="10">
        <v>129.13999999999999</v>
      </c>
      <c r="W949" s="10" t="s">
        <v>710</v>
      </c>
      <c r="X949" s="17">
        <v>44721</v>
      </c>
      <c r="Y949" s="17">
        <v>45121</v>
      </c>
      <c r="Z949" s="19" t="s">
        <v>772</v>
      </c>
      <c r="AA949" s="212">
        <v>48360</v>
      </c>
      <c r="AB949" s="9">
        <v>72</v>
      </c>
      <c r="AC949" s="9">
        <v>43</v>
      </c>
      <c r="AD949" s="17">
        <v>46203</v>
      </c>
      <c r="AE949" s="56">
        <v>630</v>
      </c>
      <c r="AF949" s="56"/>
      <c r="AP949" s="11"/>
      <c r="AQ949" s="11"/>
      <c r="AR949" s="11"/>
      <c r="AW949" s="9"/>
      <c r="BD949" s="9"/>
      <c r="CS949" s="11">
        <f t="shared" si="65"/>
        <v>0</v>
      </c>
      <c r="CT949" s="22">
        <f t="shared" si="66"/>
        <v>0</v>
      </c>
      <c r="CU949" s="22">
        <f t="shared" si="68"/>
        <v>0</v>
      </c>
      <c r="CV949" s="26">
        <f t="shared" si="67"/>
        <v>630</v>
      </c>
    </row>
    <row r="950" spans="1:100" x14ac:dyDescent="0.2">
      <c r="A950" s="9" t="s">
        <v>244</v>
      </c>
      <c r="B950" s="2">
        <v>96</v>
      </c>
      <c r="C950" s="3" t="s">
        <v>95</v>
      </c>
      <c r="D950" s="3" t="s">
        <v>96</v>
      </c>
      <c r="E950" s="2"/>
      <c r="F950" s="2"/>
      <c r="G950" s="2" t="s">
        <v>78</v>
      </c>
      <c r="H950" s="2">
        <v>1</v>
      </c>
      <c r="I950" s="8">
        <v>129.13999999999999</v>
      </c>
      <c r="J950" s="8">
        <v>36900</v>
      </c>
      <c r="K950" s="3">
        <v>0</v>
      </c>
      <c r="L950" s="3" t="s">
        <v>3</v>
      </c>
      <c r="M950" s="9" t="s">
        <v>0</v>
      </c>
      <c r="N950" s="9" t="s">
        <v>24</v>
      </c>
      <c r="O950" s="9" t="s">
        <v>323</v>
      </c>
      <c r="P950" s="9" t="s">
        <v>0</v>
      </c>
      <c r="Q950" s="30" t="s">
        <v>324</v>
      </c>
      <c r="R950" s="9" t="s">
        <v>325</v>
      </c>
      <c r="S950" s="9" t="s">
        <v>158</v>
      </c>
      <c r="T950" s="10" t="s">
        <v>78</v>
      </c>
      <c r="U950" s="10">
        <v>1</v>
      </c>
      <c r="V950" s="10">
        <v>129.13999999999999</v>
      </c>
      <c r="W950" s="10" t="s">
        <v>710</v>
      </c>
      <c r="X950" s="17">
        <v>44721</v>
      </c>
      <c r="Y950" s="17">
        <v>45121</v>
      </c>
      <c r="Z950" s="19" t="s">
        <v>772</v>
      </c>
      <c r="AA950" s="212">
        <v>48360</v>
      </c>
      <c r="AB950" s="9">
        <v>72</v>
      </c>
      <c r="AC950" s="9">
        <v>44</v>
      </c>
      <c r="AD950" s="17">
        <v>46233</v>
      </c>
      <c r="AE950" s="56">
        <v>630</v>
      </c>
      <c r="AF950" s="56"/>
      <c r="AP950" s="11"/>
      <c r="AQ950" s="11"/>
      <c r="AR950" s="11"/>
      <c r="AW950" s="9"/>
      <c r="BD950" s="9"/>
      <c r="CS950" s="11">
        <f t="shared" si="65"/>
        <v>0</v>
      </c>
      <c r="CT950" s="22">
        <f t="shared" si="66"/>
        <v>0</v>
      </c>
      <c r="CU950" s="22">
        <f t="shared" si="68"/>
        <v>0</v>
      </c>
      <c r="CV950" s="26">
        <f t="shared" si="67"/>
        <v>630</v>
      </c>
    </row>
    <row r="951" spans="1:100" x14ac:dyDescent="0.2">
      <c r="A951" s="9" t="s">
        <v>244</v>
      </c>
      <c r="B951" s="2">
        <v>96</v>
      </c>
      <c r="C951" s="3" t="s">
        <v>95</v>
      </c>
      <c r="D951" s="3" t="s">
        <v>96</v>
      </c>
      <c r="E951" s="2"/>
      <c r="F951" s="2"/>
      <c r="G951" s="2" t="s">
        <v>78</v>
      </c>
      <c r="H951" s="2">
        <v>1</v>
      </c>
      <c r="I951" s="8">
        <v>129.13999999999999</v>
      </c>
      <c r="J951" s="8">
        <v>36900</v>
      </c>
      <c r="K951" s="3">
        <v>0</v>
      </c>
      <c r="L951" s="3" t="s">
        <v>3</v>
      </c>
      <c r="M951" s="9" t="s">
        <v>0</v>
      </c>
      <c r="N951" s="9" t="s">
        <v>24</v>
      </c>
      <c r="O951" s="9" t="s">
        <v>323</v>
      </c>
      <c r="P951" s="9" t="s">
        <v>0</v>
      </c>
      <c r="Q951" s="30" t="s">
        <v>324</v>
      </c>
      <c r="R951" s="9" t="s">
        <v>325</v>
      </c>
      <c r="S951" s="9" t="s">
        <v>158</v>
      </c>
      <c r="T951" s="10" t="s">
        <v>78</v>
      </c>
      <c r="U951" s="10">
        <v>1</v>
      </c>
      <c r="V951" s="10">
        <v>129.13999999999999</v>
      </c>
      <c r="W951" s="10" t="s">
        <v>710</v>
      </c>
      <c r="X951" s="17">
        <v>44721</v>
      </c>
      <c r="Y951" s="17">
        <v>45121</v>
      </c>
      <c r="Z951" s="19" t="s">
        <v>772</v>
      </c>
      <c r="AA951" s="212">
        <v>48360</v>
      </c>
      <c r="AB951" s="9">
        <v>72</v>
      </c>
      <c r="AC951" s="9">
        <v>45</v>
      </c>
      <c r="AD951" s="17">
        <v>46264</v>
      </c>
      <c r="AE951" s="56">
        <v>630</v>
      </c>
      <c r="AF951" s="56"/>
      <c r="AP951" s="11"/>
      <c r="AQ951" s="11"/>
      <c r="AR951" s="11"/>
      <c r="AW951" s="9"/>
      <c r="BD951" s="9"/>
      <c r="CS951" s="11">
        <f t="shared" si="65"/>
        <v>0</v>
      </c>
      <c r="CT951" s="22">
        <f t="shared" si="66"/>
        <v>0</v>
      </c>
      <c r="CU951" s="22">
        <f t="shared" si="68"/>
        <v>0</v>
      </c>
      <c r="CV951" s="26">
        <f t="shared" si="67"/>
        <v>630</v>
      </c>
    </row>
    <row r="952" spans="1:100" x14ac:dyDescent="0.2">
      <c r="A952" s="9" t="s">
        <v>244</v>
      </c>
      <c r="B952" s="2">
        <v>96</v>
      </c>
      <c r="C952" s="3" t="s">
        <v>95</v>
      </c>
      <c r="D952" s="3" t="s">
        <v>96</v>
      </c>
      <c r="E952" s="2"/>
      <c r="F952" s="2"/>
      <c r="G952" s="2" t="s">
        <v>78</v>
      </c>
      <c r="H952" s="2">
        <v>1</v>
      </c>
      <c r="I952" s="8">
        <v>129.13999999999999</v>
      </c>
      <c r="J952" s="8">
        <v>36900</v>
      </c>
      <c r="K952" s="3">
        <v>0</v>
      </c>
      <c r="L952" s="3" t="s">
        <v>3</v>
      </c>
      <c r="M952" s="9" t="s">
        <v>0</v>
      </c>
      <c r="N952" s="9" t="s">
        <v>24</v>
      </c>
      <c r="O952" s="9" t="s">
        <v>323</v>
      </c>
      <c r="P952" s="9" t="s">
        <v>0</v>
      </c>
      <c r="Q952" s="30" t="s">
        <v>324</v>
      </c>
      <c r="R952" s="9" t="s">
        <v>325</v>
      </c>
      <c r="S952" s="9" t="s">
        <v>158</v>
      </c>
      <c r="T952" s="10" t="s">
        <v>78</v>
      </c>
      <c r="U952" s="10">
        <v>1</v>
      </c>
      <c r="V952" s="10">
        <v>129.13999999999999</v>
      </c>
      <c r="W952" s="10" t="s">
        <v>710</v>
      </c>
      <c r="X952" s="17">
        <v>44721</v>
      </c>
      <c r="Y952" s="17">
        <v>45121</v>
      </c>
      <c r="Z952" s="19" t="s">
        <v>772</v>
      </c>
      <c r="AA952" s="212">
        <v>48360</v>
      </c>
      <c r="AB952" s="9">
        <v>72</v>
      </c>
      <c r="AC952" s="9">
        <v>46</v>
      </c>
      <c r="AD952" s="17">
        <v>46295</v>
      </c>
      <c r="AE952" s="56">
        <v>630</v>
      </c>
      <c r="AF952" s="56"/>
      <c r="AP952" s="11"/>
      <c r="AQ952" s="11"/>
      <c r="AR952" s="11"/>
      <c r="AW952" s="9"/>
      <c r="BD952" s="9"/>
      <c r="CS952" s="11">
        <f t="shared" si="65"/>
        <v>0</v>
      </c>
      <c r="CT952" s="22">
        <f t="shared" si="66"/>
        <v>0</v>
      </c>
      <c r="CU952" s="22">
        <f t="shared" si="68"/>
        <v>0</v>
      </c>
      <c r="CV952" s="26">
        <f t="shared" si="67"/>
        <v>630</v>
      </c>
    </row>
    <row r="953" spans="1:100" x14ac:dyDescent="0.2">
      <c r="A953" s="9" t="s">
        <v>244</v>
      </c>
      <c r="B953" s="2">
        <v>96</v>
      </c>
      <c r="C953" s="3" t="s">
        <v>95</v>
      </c>
      <c r="D953" s="3" t="s">
        <v>96</v>
      </c>
      <c r="E953" s="2"/>
      <c r="F953" s="2"/>
      <c r="G953" s="2" t="s">
        <v>78</v>
      </c>
      <c r="H953" s="2">
        <v>1</v>
      </c>
      <c r="I953" s="8">
        <v>129.13999999999999</v>
      </c>
      <c r="J953" s="8">
        <v>36900</v>
      </c>
      <c r="K953" s="3">
        <v>0</v>
      </c>
      <c r="L953" s="3" t="s">
        <v>3</v>
      </c>
      <c r="M953" s="9" t="s">
        <v>0</v>
      </c>
      <c r="N953" s="9" t="s">
        <v>24</v>
      </c>
      <c r="O953" s="9" t="s">
        <v>323</v>
      </c>
      <c r="P953" s="9" t="s">
        <v>0</v>
      </c>
      <c r="Q953" s="30" t="s">
        <v>324</v>
      </c>
      <c r="R953" s="9" t="s">
        <v>325</v>
      </c>
      <c r="S953" s="9" t="s">
        <v>158</v>
      </c>
      <c r="T953" s="10" t="s">
        <v>78</v>
      </c>
      <c r="U953" s="10">
        <v>1</v>
      </c>
      <c r="V953" s="10">
        <v>129.13999999999999</v>
      </c>
      <c r="W953" s="10" t="s">
        <v>710</v>
      </c>
      <c r="X953" s="17">
        <v>44721</v>
      </c>
      <c r="Y953" s="17">
        <v>45121</v>
      </c>
      <c r="Z953" s="19" t="s">
        <v>772</v>
      </c>
      <c r="AA953" s="212">
        <v>48360</v>
      </c>
      <c r="AB953" s="9">
        <v>72</v>
      </c>
      <c r="AC953" s="9">
        <v>47</v>
      </c>
      <c r="AD953" s="17">
        <v>46325</v>
      </c>
      <c r="AE953" s="56">
        <v>630</v>
      </c>
      <c r="AF953" s="56"/>
      <c r="AP953" s="11"/>
      <c r="AQ953" s="11"/>
      <c r="AR953" s="11"/>
      <c r="AW953" s="9"/>
      <c r="BD953" s="9"/>
      <c r="CS953" s="11">
        <f t="shared" ref="CS953:CS1016" si="69">+AL953+AT953</f>
        <v>0</v>
      </c>
      <c r="CT953" s="22">
        <f t="shared" ref="CT953:CT1016" si="70">+BA953+BG953+BM953+BS953+BY953+CE953+CK953+CQ953</f>
        <v>0</v>
      </c>
      <c r="CU953" s="22">
        <f t="shared" si="68"/>
        <v>0</v>
      </c>
      <c r="CV953" s="26">
        <f t="shared" ref="CV953:CV1016" si="71">+AE953-AL953-AT953</f>
        <v>630</v>
      </c>
    </row>
    <row r="954" spans="1:100" x14ac:dyDescent="0.2">
      <c r="A954" s="9" t="s">
        <v>244</v>
      </c>
      <c r="B954" s="2">
        <v>96</v>
      </c>
      <c r="C954" s="3" t="s">
        <v>95</v>
      </c>
      <c r="D954" s="3" t="s">
        <v>96</v>
      </c>
      <c r="E954" s="2"/>
      <c r="F954" s="2"/>
      <c r="G954" s="2" t="s">
        <v>78</v>
      </c>
      <c r="H954" s="2">
        <v>1</v>
      </c>
      <c r="I954" s="8">
        <v>129.13999999999999</v>
      </c>
      <c r="J954" s="8">
        <v>36900</v>
      </c>
      <c r="K954" s="3">
        <v>0</v>
      </c>
      <c r="L954" s="3" t="s">
        <v>3</v>
      </c>
      <c r="M954" s="9" t="s">
        <v>0</v>
      </c>
      <c r="N954" s="9" t="s">
        <v>24</v>
      </c>
      <c r="O954" s="9" t="s">
        <v>323</v>
      </c>
      <c r="P954" s="9" t="s">
        <v>0</v>
      </c>
      <c r="Q954" s="30" t="s">
        <v>324</v>
      </c>
      <c r="R954" s="9" t="s">
        <v>325</v>
      </c>
      <c r="S954" s="9" t="s">
        <v>158</v>
      </c>
      <c r="T954" s="10" t="s">
        <v>78</v>
      </c>
      <c r="U954" s="10">
        <v>1</v>
      </c>
      <c r="V954" s="10">
        <v>129.13999999999999</v>
      </c>
      <c r="W954" s="10" t="s">
        <v>710</v>
      </c>
      <c r="X954" s="17">
        <v>44721</v>
      </c>
      <c r="Y954" s="17">
        <v>45121</v>
      </c>
      <c r="Z954" s="19" t="s">
        <v>772</v>
      </c>
      <c r="AA954" s="212">
        <v>48360</v>
      </c>
      <c r="AB954" s="9">
        <v>72</v>
      </c>
      <c r="AC954" s="9">
        <v>48</v>
      </c>
      <c r="AD954" s="17">
        <v>46356</v>
      </c>
      <c r="AE954" s="56">
        <v>630</v>
      </c>
      <c r="AF954" s="56"/>
      <c r="AP954" s="11"/>
      <c r="AQ954" s="11"/>
      <c r="AR954" s="11"/>
      <c r="AW954" s="9"/>
      <c r="BD954" s="9"/>
      <c r="CS954" s="11">
        <f t="shared" si="69"/>
        <v>0</v>
      </c>
      <c r="CT954" s="22">
        <f t="shared" si="70"/>
        <v>0</v>
      </c>
      <c r="CU954" s="22">
        <f t="shared" si="68"/>
        <v>0</v>
      </c>
      <c r="CV954" s="26">
        <f t="shared" si="71"/>
        <v>630</v>
      </c>
    </row>
    <row r="955" spans="1:100" x14ac:dyDescent="0.2">
      <c r="A955" s="9" t="s">
        <v>244</v>
      </c>
      <c r="B955" s="2">
        <v>96</v>
      </c>
      <c r="C955" s="3" t="s">
        <v>95</v>
      </c>
      <c r="D955" s="3" t="s">
        <v>96</v>
      </c>
      <c r="E955" s="2"/>
      <c r="F955" s="2"/>
      <c r="G955" s="2" t="s">
        <v>78</v>
      </c>
      <c r="H955" s="2">
        <v>1</v>
      </c>
      <c r="I955" s="8">
        <v>129.13999999999999</v>
      </c>
      <c r="J955" s="8">
        <v>36900</v>
      </c>
      <c r="K955" s="3">
        <v>0</v>
      </c>
      <c r="L955" s="3" t="s">
        <v>3</v>
      </c>
      <c r="M955" s="9" t="s">
        <v>0</v>
      </c>
      <c r="N955" s="9" t="s">
        <v>24</v>
      </c>
      <c r="O955" s="9" t="s">
        <v>323</v>
      </c>
      <c r="P955" s="9" t="s">
        <v>0</v>
      </c>
      <c r="Q955" s="30" t="s">
        <v>324</v>
      </c>
      <c r="R955" s="9" t="s">
        <v>325</v>
      </c>
      <c r="S955" s="9" t="s">
        <v>158</v>
      </c>
      <c r="T955" s="10" t="s">
        <v>78</v>
      </c>
      <c r="U955" s="10">
        <v>1</v>
      </c>
      <c r="V955" s="10">
        <v>129.13999999999999</v>
      </c>
      <c r="W955" s="10" t="s">
        <v>710</v>
      </c>
      <c r="X955" s="17">
        <v>44721</v>
      </c>
      <c r="Y955" s="17">
        <v>45121</v>
      </c>
      <c r="Z955" s="19" t="s">
        <v>772</v>
      </c>
      <c r="AA955" s="212">
        <v>48360</v>
      </c>
      <c r="AB955" s="9">
        <v>72</v>
      </c>
      <c r="AC955" s="9">
        <v>49</v>
      </c>
      <c r="AD955" s="17">
        <v>46386</v>
      </c>
      <c r="AE955" s="56">
        <v>630</v>
      </c>
      <c r="AF955" s="56"/>
      <c r="AP955" s="11"/>
      <c r="AQ955" s="11"/>
      <c r="AR955" s="11"/>
      <c r="AW955" s="9"/>
      <c r="BD955" s="9"/>
      <c r="CS955" s="11">
        <f t="shared" si="69"/>
        <v>0</v>
      </c>
      <c r="CT955" s="22">
        <f t="shared" si="70"/>
        <v>0</v>
      </c>
      <c r="CU955" s="22">
        <f t="shared" si="68"/>
        <v>0</v>
      </c>
      <c r="CV955" s="26">
        <f t="shared" si="71"/>
        <v>630</v>
      </c>
    </row>
    <row r="956" spans="1:100" x14ac:dyDescent="0.2">
      <c r="A956" s="9" t="s">
        <v>244</v>
      </c>
      <c r="B956" s="2">
        <v>96</v>
      </c>
      <c r="C956" s="3" t="s">
        <v>95</v>
      </c>
      <c r="D956" s="3" t="s">
        <v>96</v>
      </c>
      <c r="E956" s="2"/>
      <c r="F956" s="2"/>
      <c r="G956" s="2" t="s">
        <v>78</v>
      </c>
      <c r="H956" s="2">
        <v>1</v>
      </c>
      <c r="I956" s="8">
        <v>129.13999999999999</v>
      </c>
      <c r="J956" s="8">
        <v>36900</v>
      </c>
      <c r="K956" s="3">
        <v>0</v>
      </c>
      <c r="L956" s="3" t="s">
        <v>3</v>
      </c>
      <c r="M956" s="9" t="s">
        <v>0</v>
      </c>
      <c r="N956" s="9" t="s">
        <v>24</v>
      </c>
      <c r="O956" s="9" t="s">
        <v>323</v>
      </c>
      <c r="P956" s="9" t="s">
        <v>0</v>
      </c>
      <c r="Q956" s="30" t="s">
        <v>324</v>
      </c>
      <c r="R956" s="9" t="s">
        <v>325</v>
      </c>
      <c r="S956" s="9" t="s">
        <v>158</v>
      </c>
      <c r="T956" s="10" t="s">
        <v>78</v>
      </c>
      <c r="U956" s="10">
        <v>1</v>
      </c>
      <c r="V956" s="10">
        <v>129.13999999999999</v>
      </c>
      <c r="W956" s="10" t="s">
        <v>710</v>
      </c>
      <c r="X956" s="17">
        <v>44721</v>
      </c>
      <c r="Y956" s="17">
        <v>45121</v>
      </c>
      <c r="Z956" s="19" t="s">
        <v>772</v>
      </c>
      <c r="AA956" s="212">
        <v>48360</v>
      </c>
      <c r="AB956" s="9">
        <v>72</v>
      </c>
      <c r="AC956" s="9">
        <v>50</v>
      </c>
      <c r="AD956" s="17">
        <v>46417</v>
      </c>
      <c r="AE956" s="56">
        <v>630</v>
      </c>
      <c r="AF956" s="56"/>
      <c r="AP956" s="11"/>
      <c r="AQ956" s="11"/>
      <c r="AR956" s="11"/>
      <c r="AW956" s="9"/>
      <c r="BD956" s="9"/>
      <c r="CS956" s="11">
        <f t="shared" si="69"/>
        <v>0</v>
      </c>
      <c r="CT956" s="22">
        <f t="shared" si="70"/>
        <v>0</v>
      </c>
      <c r="CU956" s="22">
        <f t="shared" si="68"/>
        <v>0</v>
      </c>
      <c r="CV956" s="26">
        <f t="shared" si="71"/>
        <v>630</v>
      </c>
    </row>
    <row r="957" spans="1:100" x14ac:dyDescent="0.2">
      <c r="A957" s="9" t="s">
        <v>244</v>
      </c>
      <c r="B957" s="2">
        <v>96</v>
      </c>
      <c r="C957" s="3" t="s">
        <v>95</v>
      </c>
      <c r="D957" s="3" t="s">
        <v>96</v>
      </c>
      <c r="E957" s="2"/>
      <c r="F957" s="2"/>
      <c r="G957" s="2" t="s">
        <v>78</v>
      </c>
      <c r="H957" s="2">
        <v>1</v>
      </c>
      <c r="I957" s="8">
        <v>129.13999999999999</v>
      </c>
      <c r="J957" s="8">
        <v>36900</v>
      </c>
      <c r="K957" s="3">
        <v>0</v>
      </c>
      <c r="L957" s="3" t="s">
        <v>3</v>
      </c>
      <c r="M957" s="9" t="s">
        <v>0</v>
      </c>
      <c r="N957" s="9" t="s">
        <v>24</v>
      </c>
      <c r="O957" s="9" t="s">
        <v>323</v>
      </c>
      <c r="P957" s="9" t="s">
        <v>0</v>
      </c>
      <c r="Q957" s="30" t="s">
        <v>324</v>
      </c>
      <c r="R957" s="9" t="s">
        <v>325</v>
      </c>
      <c r="S957" s="9" t="s">
        <v>158</v>
      </c>
      <c r="T957" s="10" t="s">
        <v>78</v>
      </c>
      <c r="U957" s="10">
        <v>1</v>
      </c>
      <c r="V957" s="10">
        <v>129.13999999999999</v>
      </c>
      <c r="W957" s="10" t="s">
        <v>710</v>
      </c>
      <c r="X957" s="17">
        <v>44721</v>
      </c>
      <c r="Y957" s="17">
        <v>45121</v>
      </c>
      <c r="Z957" s="19" t="s">
        <v>772</v>
      </c>
      <c r="AA957" s="212">
        <v>48360</v>
      </c>
      <c r="AB957" s="9">
        <v>72</v>
      </c>
      <c r="AC957" s="9">
        <v>51</v>
      </c>
      <c r="AD957" s="17">
        <v>46446</v>
      </c>
      <c r="AE957" s="56">
        <v>630</v>
      </c>
      <c r="AF957" s="56"/>
      <c r="AP957" s="11"/>
      <c r="AQ957" s="11"/>
      <c r="AR957" s="11"/>
      <c r="AW957" s="9"/>
      <c r="BD957" s="9"/>
      <c r="CS957" s="11">
        <f t="shared" si="69"/>
        <v>0</v>
      </c>
      <c r="CT957" s="22">
        <f t="shared" si="70"/>
        <v>0</v>
      </c>
      <c r="CU957" s="22">
        <f t="shared" si="68"/>
        <v>0</v>
      </c>
      <c r="CV957" s="26">
        <f t="shared" si="71"/>
        <v>630</v>
      </c>
    </row>
    <row r="958" spans="1:100" x14ac:dyDescent="0.2">
      <c r="A958" s="9" t="s">
        <v>244</v>
      </c>
      <c r="B958" s="2">
        <v>96</v>
      </c>
      <c r="C958" s="3" t="s">
        <v>95</v>
      </c>
      <c r="D958" s="3" t="s">
        <v>96</v>
      </c>
      <c r="E958" s="2"/>
      <c r="F958" s="2"/>
      <c r="G958" s="2" t="s">
        <v>78</v>
      </c>
      <c r="H958" s="2">
        <v>1</v>
      </c>
      <c r="I958" s="8">
        <v>129.13999999999999</v>
      </c>
      <c r="J958" s="8">
        <v>36900</v>
      </c>
      <c r="K958" s="3">
        <v>0</v>
      </c>
      <c r="L958" s="3" t="s">
        <v>3</v>
      </c>
      <c r="M958" s="9" t="s">
        <v>0</v>
      </c>
      <c r="N958" s="9" t="s">
        <v>24</v>
      </c>
      <c r="O958" s="9" t="s">
        <v>323</v>
      </c>
      <c r="P958" s="9" t="s">
        <v>0</v>
      </c>
      <c r="Q958" s="30" t="s">
        <v>324</v>
      </c>
      <c r="R958" s="9" t="s">
        <v>325</v>
      </c>
      <c r="S958" s="9" t="s">
        <v>158</v>
      </c>
      <c r="T958" s="10" t="s">
        <v>78</v>
      </c>
      <c r="U958" s="10">
        <v>1</v>
      </c>
      <c r="V958" s="10">
        <v>129.13999999999999</v>
      </c>
      <c r="W958" s="10" t="s">
        <v>710</v>
      </c>
      <c r="X958" s="17">
        <v>44721</v>
      </c>
      <c r="Y958" s="17">
        <v>45121</v>
      </c>
      <c r="Z958" s="19" t="s">
        <v>772</v>
      </c>
      <c r="AA958" s="212">
        <v>48360</v>
      </c>
      <c r="AB958" s="9">
        <v>72</v>
      </c>
      <c r="AC958" s="9">
        <v>52</v>
      </c>
      <c r="AD958" s="17">
        <v>46476</v>
      </c>
      <c r="AE958" s="56">
        <v>630</v>
      </c>
      <c r="AF958" s="56"/>
      <c r="AP958" s="11"/>
      <c r="AQ958" s="11"/>
      <c r="AR958" s="11"/>
      <c r="AW958" s="9"/>
      <c r="BD958" s="9"/>
      <c r="CS958" s="11">
        <f t="shared" si="69"/>
        <v>0</v>
      </c>
      <c r="CT958" s="22">
        <f t="shared" si="70"/>
        <v>0</v>
      </c>
      <c r="CU958" s="22">
        <f t="shared" si="68"/>
        <v>0</v>
      </c>
      <c r="CV958" s="26">
        <f t="shared" si="71"/>
        <v>630</v>
      </c>
    </row>
    <row r="959" spans="1:100" x14ac:dyDescent="0.2">
      <c r="A959" s="9" t="s">
        <v>244</v>
      </c>
      <c r="B959" s="2">
        <v>96</v>
      </c>
      <c r="C959" s="3" t="s">
        <v>95</v>
      </c>
      <c r="D959" s="3" t="s">
        <v>96</v>
      </c>
      <c r="E959" s="2"/>
      <c r="F959" s="2"/>
      <c r="G959" s="2" t="s">
        <v>78</v>
      </c>
      <c r="H959" s="2">
        <v>1</v>
      </c>
      <c r="I959" s="8">
        <v>129.13999999999999</v>
      </c>
      <c r="J959" s="8">
        <v>36900</v>
      </c>
      <c r="K959" s="3">
        <v>0</v>
      </c>
      <c r="L959" s="3" t="s">
        <v>3</v>
      </c>
      <c r="M959" s="9" t="s">
        <v>0</v>
      </c>
      <c r="N959" s="9" t="s">
        <v>24</v>
      </c>
      <c r="O959" s="9" t="s">
        <v>323</v>
      </c>
      <c r="P959" s="9" t="s">
        <v>0</v>
      </c>
      <c r="Q959" s="30" t="s">
        <v>324</v>
      </c>
      <c r="R959" s="9" t="s">
        <v>325</v>
      </c>
      <c r="S959" s="9" t="s">
        <v>158</v>
      </c>
      <c r="T959" s="10" t="s">
        <v>78</v>
      </c>
      <c r="U959" s="10">
        <v>1</v>
      </c>
      <c r="V959" s="10">
        <v>129.13999999999999</v>
      </c>
      <c r="W959" s="10" t="s">
        <v>710</v>
      </c>
      <c r="X959" s="17">
        <v>44721</v>
      </c>
      <c r="Y959" s="17">
        <v>45121</v>
      </c>
      <c r="Z959" s="19" t="s">
        <v>772</v>
      </c>
      <c r="AA959" s="212">
        <v>48360</v>
      </c>
      <c r="AB959" s="9">
        <v>72</v>
      </c>
      <c r="AC959" s="9">
        <v>53</v>
      </c>
      <c r="AD959" s="17">
        <v>46507</v>
      </c>
      <c r="AE959" s="56">
        <v>630</v>
      </c>
      <c r="AF959" s="56"/>
      <c r="AP959" s="11"/>
      <c r="AQ959" s="11"/>
      <c r="AR959" s="11"/>
      <c r="AW959" s="9"/>
      <c r="BD959" s="9"/>
      <c r="CS959" s="11">
        <f t="shared" si="69"/>
        <v>0</v>
      </c>
      <c r="CT959" s="22">
        <f t="shared" si="70"/>
        <v>0</v>
      </c>
      <c r="CU959" s="22">
        <f t="shared" si="68"/>
        <v>0</v>
      </c>
      <c r="CV959" s="26">
        <f t="shared" si="71"/>
        <v>630</v>
      </c>
    </row>
    <row r="960" spans="1:100" x14ac:dyDescent="0.2">
      <c r="A960" s="9" t="s">
        <v>244</v>
      </c>
      <c r="B960" s="2">
        <v>96</v>
      </c>
      <c r="C960" s="3" t="s">
        <v>95</v>
      </c>
      <c r="D960" s="3" t="s">
        <v>96</v>
      </c>
      <c r="E960" s="2"/>
      <c r="F960" s="2"/>
      <c r="G960" s="2" t="s">
        <v>78</v>
      </c>
      <c r="H960" s="2">
        <v>1</v>
      </c>
      <c r="I960" s="8">
        <v>129.13999999999999</v>
      </c>
      <c r="J960" s="8">
        <v>36900</v>
      </c>
      <c r="K960" s="3">
        <v>0</v>
      </c>
      <c r="L960" s="3" t="s">
        <v>3</v>
      </c>
      <c r="M960" s="9" t="s">
        <v>0</v>
      </c>
      <c r="N960" s="9" t="s">
        <v>24</v>
      </c>
      <c r="O960" s="9" t="s">
        <v>323</v>
      </c>
      <c r="P960" s="9" t="s">
        <v>0</v>
      </c>
      <c r="Q960" s="30" t="s">
        <v>324</v>
      </c>
      <c r="R960" s="9" t="s">
        <v>325</v>
      </c>
      <c r="S960" s="9" t="s">
        <v>158</v>
      </c>
      <c r="T960" s="10" t="s">
        <v>78</v>
      </c>
      <c r="U960" s="10">
        <v>1</v>
      </c>
      <c r="V960" s="10">
        <v>129.13999999999999</v>
      </c>
      <c r="W960" s="10" t="s">
        <v>710</v>
      </c>
      <c r="X960" s="17">
        <v>44721</v>
      </c>
      <c r="Y960" s="17">
        <v>45121</v>
      </c>
      <c r="Z960" s="19" t="s">
        <v>772</v>
      </c>
      <c r="AA960" s="212">
        <v>48360</v>
      </c>
      <c r="AB960" s="9">
        <v>72</v>
      </c>
      <c r="AC960" s="9">
        <v>54</v>
      </c>
      <c r="AD960" s="17">
        <v>46537</v>
      </c>
      <c r="AE960" s="56">
        <v>630</v>
      </c>
      <c r="AF960" s="56"/>
      <c r="AP960" s="11"/>
      <c r="AQ960" s="11"/>
      <c r="AR960" s="11"/>
      <c r="AW960" s="9"/>
      <c r="BD960" s="9"/>
      <c r="CS960" s="11">
        <f t="shared" si="69"/>
        <v>0</v>
      </c>
      <c r="CT960" s="22">
        <f t="shared" si="70"/>
        <v>0</v>
      </c>
      <c r="CU960" s="22">
        <f t="shared" si="68"/>
        <v>0</v>
      </c>
      <c r="CV960" s="26">
        <f t="shared" si="71"/>
        <v>630</v>
      </c>
    </row>
    <row r="961" spans="1:100" x14ac:dyDescent="0.2">
      <c r="A961" s="9" t="s">
        <v>244</v>
      </c>
      <c r="B961" s="2">
        <v>96</v>
      </c>
      <c r="C961" s="3" t="s">
        <v>95</v>
      </c>
      <c r="D961" s="3" t="s">
        <v>96</v>
      </c>
      <c r="E961" s="2"/>
      <c r="F961" s="2"/>
      <c r="G961" s="2" t="s">
        <v>78</v>
      </c>
      <c r="H961" s="2">
        <v>1</v>
      </c>
      <c r="I961" s="8">
        <v>129.13999999999999</v>
      </c>
      <c r="J961" s="8">
        <v>36900</v>
      </c>
      <c r="K961" s="3">
        <v>0</v>
      </c>
      <c r="L961" s="3" t="s">
        <v>3</v>
      </c>
      <c r="M961" s="9" t="s">
        <v>0</v>
      </c>
      <c r="N961" s="9" t="s">
        <v>24</v>
      </c>
      <c r="O961" s="9" t="s">
        <v>323</v>
      </c>
      <c r="P961" s="9" t="s">
        <v>0</v>
      </c>
      <c r="Q961" s="30" t="s">
        <v>324</v>
      </c>
      <c r="R961" s="9" t="s">
        <v>325</v>
      </c>
      <c r="S961" s="9" t="s">
        <v>158</v>
      </c>
      <c r="T961" s="10" t="s">
        <v>78</v>
      </c>
      <c r="U961" s="10">
        <v>1</v>
      </c>
      <c r="V961" s="10">
        <v>129.13999999999999</v>
      </c>
      <c r="W961" s="10" t="s">
        <v>710</v>
      </c>
      <c r="X961" s="17">
        <v>44721</v>
      </c>
      <c r="Y961" s="17">
        <v>45121</v>
      </c>
      <c r="Z961" s="19" t="s">
        <v>772</v>
      </c>
      <c r="AA961" s="212">
        <v>48360</v>
      </c>
      <c r="AB961" s="9">
        <v>72</v>
      </c>
      <c r="AC961" s="9">
        <v>55</v>
      </c>
      <c r="AD961" s="17">
        <v>46568</v>
      </c>
      <c r="AE961" s="56">
        <v>630</v>
      </c>
      <c r="AF961" s="56"/>
      <c r="AP961" s="11"/>
      <c r="AQ961" s="11"/>
      <c r="AR961" s="11"/>
      <c r="AW961" s="9"/>
      <c r="BD961" s="9"/>
      <c r="CS961" s="11">
        <f t="shared" si="69"/>
        <v>0</v>
      </c>
      <c r="CT961" s="22">
        <f t="shared" si="70"/>
        <v>0</v>
      </c>
      <c r="CU961" s="22">
        <f t="shared" si="68"/>
        <v>0</v>
      </c>
      <c r="CV961" s="26">
        <f t="shared" si="71"/>
        <v>630</v>
      </c>
    </row>
    <row r="962" spans="1:100" x14ac:dyDescent="0.2">
      <c r="A962" s="9" t="s">
        <v>244</v>
      </c>
      <c r="B962" s="2">
        <v>96</v>
      </c>
      <c r="C962" s="3" t="s">
        <v>95</v>
      </c>
      <c r="D962" s="3" t="s">
        <v>96</v>
      </c>
      <c r="E962" s="2"/>
      <c r="F962" s="2"/>
      <c r="G962" s="2" t="s">
        <v>78</v>
      </c>
      <c r="H962" s="2">
        <v>1</v>
      </c>
      <c r="I962" s="8">
        <v>129.13999999999999</v>
      </c>
      <c r="J962" s="8">
        <v>36900</v>
      </c>
      <c r="K962" s="3">
        <v>0</v>
      </c>
      <c r="L962" s="3" t="s">
        <v>3</v>
      </c>
      <c r="M962" s="9" t="s">
        <v>0</v>
      </c>
      <c r="N962" s="9" t="s">
        <v>24</v>
      </c>
      <c r="O962" s="9" t="s">
        <v>323</v>
      </c>
      <c r="P962" s="9" t="s">
        <v>0</v>
      </c>
      <c r="Q962" s="30" t="s">
        <v>324</v>
      </c>
      <c r="R962" s="9" t="s">
        <v>325</v>
      </c>
      <c r="S962" s="9" t="s">
        <v>158</v>
      </c>
      <c r="T962" s="10" t="s">
        <v>78</v>
      </c>
      <c r="U962" s="10">
        <v>1</v>
      </c>
      <c r="V962" s="10">
        <v>129.13999999999999</v>
      </c>
      <c r="W962" s="10" t="s">
        <v>710</v>
      </c>
      <c r="X962" s="17">
        <v>44721</v>
      </c>
      <c r="Y962" s="17">
        <v>45121</v>
      </c>
      <c r="Z962" s="19" t="s">
        <v>772</v>
      </c>
      <c r="AA962" s="212">
        <v>48360</v>
      </c>
      <c r="AB962" s="9">
        <v>72</v>
      </c>
      <c r="AC962" s="9">
        <v>56</v>
      </c>
      <c r="AD962" s="17">
        <v>46598</v>
      </c>
      <c r="AE962" s="56">
        <v>630</v>
      </c>
      <c r="AF962" s="56"/>
      <c r="AP962" s="11"/>
      <c r="AQ962" s="11"/>
      <c r="AR962" s="11"/>
      <c r="AW962" s="9"/>
      <c r="BD962" s="9"/>
      <c r="CS962" s="11">
        <f t="shared" si="69"/>
        <v>0</v>
      </c>
      <c r="CT962" s="22">
        <f t="shared" si="70"/>
        <v>0</v>
      </c>
      <c r="CU962" s="22">
        <f t="shared" si="68"/>
        <v>0</v>
      </c>
      <c r="CV962" s="26">
        <f t="shared" si="71"/>
        <v>630</v>
      </c>
    </row>
    <row r="963" spans="1:100" x14ac:dyDescent="0.2">
      <c r="A963" s="9" t="s">
        <v>244</v>
      </c>
      <c r="B963" s="2">
        <v>96</v>
      </c>
      <c r="C963" s="3" t="s">
        <v>95</v>
      </c>
      <c r="D963" s="3" t="s">
        <v>96</v>
      </c>
      <c r="E963" s="2"/>
      <c r="F963" s="2"/>
      <c r="G963" s="2" t="s">
        <v>78</v>
      </c>
      <c r="H963" s="2">
        <v>1</v>
      </c>
      <c r="I963" s="8">
        <v>129.13999999999999</v>
      </c>
      <c r="J963" s="8">
        <v>36900</v>
      </c>
      <c r="K963" s="3">
        <v>0</v>
      </c>
      <c r="L963" s="3" t="s">
        <v>3</v>
      </c>
      <c r="M963" s="9" t="s">
        <v>0</v>
      </c>
      <c r="N963" s="9" t="s">
        <v>24</v>
      </c>
      <c r="O963" s="9" t="s">
        <v>323</v>
      </c>
      <c r="P963" s="9" t="s">
        <v>0</v>
      </c>
      <c r="Q963" s="30" t="s">
        <v>324</v>
      </c>
      <c r="R963" s="9" t="s">
        <v>325</v>
      </c>
      <c r="S963" s="9" t="s">
        <v>158</v>
      </c>
      <c r="T963" s="10" t="s">
        <v>78</v>
      </c>
      <c r="U963" s="10">
        <v>1</v>
      </c>
      <c r="V963" s="10">
        <v>129.13999999999999</v>
      </c>
      <c r="W963" s="10" t="s">
        <v>710</v>
      </c>
      <c r="X963" s="17">
        <v>44721</v>
      </c>
      <c r="Y963" s="17">
        <v>45121</v>
      </c>
      <c r="Z963" s="19" t="s">
        <v>772</v>
      </c>
      <c r="AA963" s="212">
        <v>48360</v>
      </c>
      <c r="AB963" s="9">
        <v>72</v>
      </c>
      <c r="AC963" s="9">
        <v>57</v>
      </c>
      <c r="AD963" s="17">
        <v>46629</v>
      </c>
      <c r="AE963" s="56">
        <v>630</v>
      </c>
      <c r="AF963" s="56"/>
      <c r="AP963" s="11"/>
      <c r="AQ963" s="11"/>
      <c r="AR963" s="11"/>
      <c r="AW963" s="9"/>
      <c r="BD963" s="9"/>
      <c r="CS963" s="11">
        <f t="shared" si="69"/>
        <v>0</v>
      </c>
      <c r="CT963" s="22">
        <f t="shared" si="70"/>
        <v>0</v>
      </c>
      <c r="CU963" s="22">
        <f t="shared" si="68"/>
        <v>0</v>
      </c>
      <c r="CV963" s="26">
        <f t="shared" si="71"/>
        <v>630</v>
      </c>
    </row>
    <row r="964" spans="1:100" x14ac:dyDescent="0.2">
      <c r="A964" s="9" t="s">
        <v>244</v>
      </c>
      <c r="B964" s="2">
        <v>96</v>
      </c>
      <c r="C964" s="3" t="s">
        <v>95</v>
      </c>
      <c r="D964" s="3" t="s">
        <v>96</v>
      </c>
      <c r="E964" s="2"/>
      <c r="F964" s="2"/>
      <c r="G964" s="2" t="s">
        <v>78</v>
      </c>
      <c r="H964" s="2">
        <v>1</v>
      </c>
      <c r="I964" s="8">
        <v>129.13999999999999</v>
      </c>
      <c r="J964" s="8">
        <v>36900</v>
      </c>
      <c r="K964" s="3">
        <v>0</v>
      </c>
      <c r="L964" s="3" t="s">
        <v>3</v>
      </c>
      <c r="M964" s="9" t="s">
        <v>0</v>
      </c>
      <c r="N964" s="9" t="s">
        <v>24</v>
      </c>
      <c r="O964" s="9" t="s">
        <v>323</v>
      </c>
      <c r="P964" s="9" t="s">
        <v>0</v>
      </c>
      <c r="Q964" s="30" t="s">
        <v>324</v>
      </c>
      <c r="R964" s="9" t="s">
        <v>325</v>
      </c>
      <c r="S964" s="9" t="s">
        <v>158</v>
      </c>
      <c r="T964" s="10" t="s">
        <v>78</v>
      </c>
      <c r="U964" s="10">
        <v>1</v>
      </c>
      <c r="V964" s="10">
        <v>129.13999999999999</v>
      </c>
      <c r="W964" s="10" t="s">
        <v>710</v>
      </c>
      <c r="X964" s="17">
        <v>44721</v>
      </c>
      <c r="Y964" s="17">
        <v>45121</v>
      </c>
      <c r="Z964" s="19" t="s">
        <v>772</v>
      </c>
      <c r="AA964" s="212">
        <v>48360</v>
      </c>
      <c r="AB964" s="9">
        <v>72</v>
      </c>
      <c r="AC964" s="9">
        <v>58</v>
      </c>
      <c r="AD964" s="17">
        <v>46660</v>
      </c>
      <c r="AE964" s="56">
        <v>630</v>
      </c>
      <c r="AF964" s="56"/>
      <c r="AP964" s="11"/>
      <c r="AQ964" s="11"/>
      <c r="AR964" s="11"/>
      <c r="AW964" s="9"/>
      <c r="BD964" s="9"/>
      <c r="CS964" s="11">
        <f t="shared" si="69"/>
        <v>0</v>
      </c>
      <c r="CT964" s="22">
        <f t="shared" si="70"/>
        <v>0</v>
      </c>
      <c r="CU964" s="22">
        <f t="shared" si="68"/>
        <v>0</v>
      </c>
      <c r="CV964" s="26">
        <f t="shared" si="71"/>
        <v>630</v>
      </c>
    </row>
    <row r="965" spans="1:100" x14ac:dyDescent="0.2">
      <c r="A965" s="9" t="s">
        <v>244</v>
      </c>
      <c r="B965" s="2">
        <v>96</v>
      </c>
      <c r="C965" s="3" t="s">
        <v>95</v>
      </c>
      <c r="D965" s="3" t="s">
        <v>96</v>
      </c>
      <c r="E965" s="2"/>
      <c r="F965" s="2"/>
      <c r="G965" s="2" t="s">
        <v>78</v>
      </c>
      <c r="H965" s="2">
        <v>1</v>
      </c>
      <c r="I965" s="8">
        <v>129.13999999999999</v>
      </c>
      <c r="J965" s="8">
        <v>36900</v>
      </c>
      <c r="K965" s="3">
        <v>0</v>
      </c>
      <c r="L965" s="3" t="s">
        <v>3</v>
      </c>
      <c r="M965" s="9" t="s">
        <v>0</v>
      </c>
      <c r="N965" s="9" t="s">
        <v>24</v>
      </c>
      <c r="O965" s="9" t="s">
        <v>323</v>
      </c>
      <c r="P965" s="9" t="s">
        <v>0</v>
      </c>
      <c r="Q965" s="30" t="s">
        <v>324</v>
      </c>
      <c r="R965" s="9" t="s">
        <v>325</v>
      </c>
      <c r="S965" s="9" t="s">
        <v>158</v>
      </c>
      <c r="T965" s="10" t="s">
        <v>78</v>
      </c>
      <c r="U965" s="10">
        <v>1</v>
      </c>
      <c r="V965" s="10">
        <v>129.13999999999999</v>
      </c>
      <c r="W965" s="10" t="s">
        <v>710</v>
      </c>
      <c r="X965" s="17">
        <v>44721</v>
      </c>
      <c r="Y965" s="17">
        <v>45121</v>
      </c>
      <c r="Z965" s="19" t="s">
        <v>772</v>
      </c>
      <c r="AA965" s="212">
        <v>48360</v>
      </c>
      <c r="AB965" s="9">
        <v>72</v>
      </c>
      <c r="AC965" s="9">
        <v>59</v>
      </c>
      <c r="AD965" s="17">
        <v>46690</v>
      </c>
      <c r="AE965" s="56">
        <v>630</v>
      </c>
      <c r="AF965" s="56"/>
      <c r="AP965" s="11"/>
      <c r="AQ965" s="11"/>
      <c r="AR965" s="11"/>
      <c r="AW965" s="9"/>
      <c r="BD965" s="9"/>
      <c r="CS965" s="11">
        <f t="shared" si="69"/>
        <v>0</v>
      </c>
      <c r="CT965" s="22">
        <f t="shared" si="70"/>
        <v>0</v>
      </c>
      <c r="CU965" s="22">
        <f t="shared" si="68"/>
        <v>0</v>
      </c>
      <c r="CV965" s="26">
        <f t="shared" si="71"/>
        <v>630</v>
      </c>
    </row>
    <row r="966" spans="1:100" x14ac:dyDescent="0.2">
      <c r="A966" s="9" t="s">
        <v>244</v>
      </c>
      <c r="B966" s="2">
        <v>96</v>
      </c>
      <c r="C966" s="3" t="s">
        <v>95</v>
      </c>
      <c r="D966" s="3" t="s">
        <v>96</v>
      </c>
      <c r="E966" s="2"/>
      <c r="F966" s="2"/>
      <c r="G966" s="2" t="s">
        <v>78</v>
      </c>
      <c r="H966" s="2">
        <v>1</v>
      </c>
      <c r="I966" s="8">
        <v>129.13999999999999</v>
      </c>
      <c r="J966" s="8">
        <v>36900</v>
      </c>
      <c r="K966" s="3">
        <v>0</v>
      </c>
      <c r="L966" s="3" t="s">
        <v>3</v>
      </c>
      <c r="M966" s="9" t="s">
        <v>0</v>
      </c>
      <c r="N966" s="9" t="s">
        <v>24</v>
      </c>
      <c r="O966" s="9" t="s">
        <v>323</v>
      </c>
      <c r="P966" s="9" t="s">
        <v>0</v>
      </c>
      <c r="Q966" s="30" t="s">
        <v>324</v>
      </c>
      <c r="R966" s="9" t="s">
        <v>325</v>
      </c>
      <c r="S966" s="9" t="s">
        <v>158</v>
      </c>
      <c r="T966" s="10" t="s">
        <v>78</v>
      </c>
      <c r="U966" s="10">
        <v>1</v>
      </c>
      <c r="V966" s="10">
        <v>129.13999999999999</v>
      </c>
      <c r="W966" s="10" t="s">
        <v>710</v>
      </c>
      <c r="X966" s="17">
        <v>44721</v>
      </c>
      <c r="Y966" s="17">
        <v>45121</v>
      </c>
      <c r="Z966" s="19" t="s">
        <v>772</v>
      </c>
      <c r="AA966" s="212">
        <v>48360</v>
      </c>
      <c r="AB966" s="9">
        <v>72</v>
      </c>
      <c r="AC966" s="9">
        <v>60</v>
      </c>
      <c r="AD966" s="17">
        <v>46721</v>
      </c>
      <c r="AE966" s="56">
        <v>630</v>
      </c>
      <c r="AF966" s="56"/>
      <c r="AP966" s="11"/>
      <c r="AQ966" s="11"/>
      <c r="AR966" s="11"/>
      <c r="AW966" s="9"/>
      <c r="BD966" s="9"/>
      <c r="CS966" s="11">
        <f t="shared" si="69"/>
        <v>0</v>
      </c>
      <c r="CT966" s="22">
        <f t="shared" si="70"/>
        <v>0</v>
      </c>
      <c r="CU966" s="22">
        <f t="shared" si="68"/>
        <v>0</v>
      </c>
      <c r="CV966" s="26">
        <f t="shared" si="71"/>
        <v>630</v>
      </c>
    </row>
    <row r="967" spans="1:100" x14ac:dyDescent="0.2">
      <c r="A967" s="9" t="s">
        <v>244</v>
      </c>
      <c r="B967" s="2">
        <v>96</v>
      </c>
      <c r="C967" s="3" t="s">
        <v>95</v>
      </c>
      <c r="D967" s="3" t="s">
        <v>96</v>
      </c>
      <c r="E967" s="2"/>
      <c r="F967" s="2"/>
      <c r="G967" s="2" t="s">
        <v>78</v>
      </c>
      <c r="H967" s="2">
        <v>1</v>
      </c>
      <c r="I967" s="8">
        <v>129.13999999999999</v>
      </c>
      <c r="J967" s="8">
        <v>36900</v>
      </c>
      <c r="K967" s="3">
        <v>0</v>
      </c>
      <c r="L967" s="3" t="s">
        <v>3</v>
      </c>
      <c r="M967" s="9" t="s">
        <v>0</v>
      </c>
      <c r="N967" s="9" t="s">
        <v>24</v>
      </c>
      <c r="O967" s="9" t="s">
        <v>323</v>
      </c>
      <c r="P967" s="9" t="s">
        <v>0</v>
      </c>
      <c r="Q967" s="30" t="s">
        <v>324</v>
      </c>
      <c r="R967" s="9" t="s">
        <v>325</v>
      </c>
      <c r="S967" s="9" t="s">
        <v>158</v>
      </c>
      <c r="T967" s="10" t="s">
        <v>78</v>
      </c>
      <c r="U967" s="10">
        <v>1</v>
      </c>
      <c r="V967" s="10">
        <v>129.13999999999999</v>
      </c>
      <c r="W967" s="10" t="s">
        <v>710</v>
      </c>
      <c r="X967" s="17">
        <v>44721</v>
      </c>
      <c r="Y967" s="17">
        <v>45121</v>
      </c>
      <c r="Z967" s="19" t="s">
        <v>772</v>
      </c>
      <c r="AA967" s="212">
        <v>48360</v>
      </c>
      <c r="AB967" s="9">
        <v>72</v>
      </c>
      <c r="AC967" s="9">
        <v>61</v>
      </c>
      <c r="AD967" s="17">
        <v>46751</v>
      </c>
      <c r="AE967" s="56">
        <v>630</v>
      </c>
      <c r="AF967" s="56"/>
      <c r="AP967" s="11"/>
      <c r="AQ967" s="11"/>
      <c r="AR967" s="11"/>
      <c r="AW967" s="9"/>
      <c r="BD967" s="9"/>
      <c r="CS967" s="11">
        <f t="shared" si="69"/>
        <v>0</v>
      </c>
      <c r="CT967" s="22">
        <f t="shared" si="70"/>
        <v>0</v>
      </c>
      <c r="CU967" s="22">
        <f t="shared" si="68"/>
        <v>0</v>
      </c>
      <c r="CV967" s="26">
        <f t="shared" si="71"/>
        <v>630</v>
      </c>
    </row>
    <row r="968" spans="1:100" x14ac:dyDescent="0.2">
      <c r="A968" s="9" t="s">
        <v>244</v>
      </c>
      <c r="B968" s="2">
        <v>96</v>
      </c>
      <c r="C968" s="3" t="s">
        <v>95</v>
      </c>
      <c r="D968" s="3" t="s">
        <v>96</v>
      </c>
      <c r="E968" s="2"/>
      <c r="F968" s="2"/>
      <c r="G968" s="2" t="s">
        <v>78</v>
      </c>
      <c r="H968" s="2">
        <v>1</v>
      </c>
      <c r="I968" s="8">
        <v>129.13999999999999</v>
      </c>
      <c r="J968" s="8">
        <v>36900</v>
      </c>
      <c r="K968" s="3">
        <v>0</v>
      </c>
      <c r="L968" s="3" t="s">
        <v>3</v>
      </c>
      <c r="M968" s="9" t="s">
        <v>0</v>
      </c>
      <c r="N968" s="9" t="s">
        <v>24</v>
      </c>
      <c r="O968" s="9" t="s">
        <v>323</v>
      </c>
      <c r="P968" s="9" t="s">
        <v>0</v>
      </c>
      <c r="Q968" s="30" t="s">
        <v>324</v>
      </c>
      <c r="R968" s="9" t="s">
        <v>325</v>
      </c>
      <c r="S968" s="9" t="s">
        <v>158</v>
      </c>
      <c r="T968" s="10" t="s">
        <v>78</v>
      </c>
      <c r="U968" s="10">
        <v>1</v>
      </c>
      <c r="V968" s="10">
        <v>129.13999999999999</v>
      </c>
      <c r="W968" s="10" t="s">
        <v>710</v>
      </c>
      <c r="X968" s="17">
        <v>44721</v>
      </c>
      <c r="Y968" s="17">
        <v>45121</v>
      </c>
      <c r="Z968" s="19" t="s">
        <v>772</v>
      </c>
      <c r="AA968" s="212">
        <v>48360</v>
      </c>
      <c r="AB968" s="9">
        <v>72</v>
      </c>
      <c r="AC968" s="9">
        <v>62</v>
      </c>
      <c r="AD968" s="17">
        <v>46782</v>
      </c>
      <c r="AE968" s="56">
        <v>630</v>
      </c>
      <c r="AF968" s="56"/>
      <c r="AP968" s="11"/>
      <c r="AQ968" s="11"/>
      <c r="AR968" s="11"/>
      <c r="AW968" s="9"/>
      <c r="BD968" s="9"/>
      <c r="CS968" s="11">
        <f t="shared" si="69"/>
        <v>0</v>
      </c>
      <c r="CT968" s="22">
        <f t="shared" si="70"/>
        <v>0</v>
      </c>
      <c r="CU968" s="22">
        <f t="shared" si="68"/>
        <v>0</v>
      </c>
      <c r="CV968" s="26">
        <f t="shared" si="71"/>
        <v>630</v>
      </c>
    </row>
    <row r="969" spans="1:100" x14ac:dyDescent="0.2">
      <c r="A969" s="9" t="s">
        <v>244</v>
      </c>
      <c r="B969" s="2">
        <v>96</v>
      </c>
      <c r="C969" s="3" t="s">
        <v>95</v>
      </c>
      <c r="D969" s="3" t="s">
        <v>96</v>
      </c>
      <c r="E969" s="2"/>
      <c r="F969" s="2"/>
      <c r="G969" s="2" t="s">
        <v>78</v>
      </c>
      <c r="H969" s="2">
        <v>1</v>
      </c>
      <c r="I969" s="8">
        <v>129.13999999999999</v>
      </c>
      <c r="J969" s="8">
        <v>36900</v>
      </c>
      <c r="K969" s="3">
        <v>0</v>
      </c>
      <c r="L969" s="3" t="s">
        <v>3</v>
      </c>
      <c r="M969" s="9" t="s">
        <v>0</v>
      </c>
      <c r="N969" s="9" t="s">
        <v>24</v>
      </c>
      <c r="O969" s="9" t="s">
        <v>323</v>
      </c>
      <c r="P969" s="9" t="s">
        <v>0</v>
      </c>
      <c r="Q969" s="30" t="s">
        <v>324</v>
      </c>
      <c r="R969" s="9" t="s">
        <v>325</v>
      </c>
      <c r="S969" s="9" t="s">
        <v>158</v>
      </c>
      <c r="T969" s="10" t="s">
        <v>78</v>
      </c>
      <c r="U969" s="10">
        <v>1</v>
      </c>
      <c r="V969" s="10">
        <v>129.13999999999999</v>
      </c>
      <c r="W969" s="10" t="s">
        <v>710</v>
      </c>
      <c r="X969" s="17">
        <v>44721</v>
      </c>
      <c r="Y969" s="17">
        <v>45121</v>
      </c>
      <c r="Z969" s="19" t="s">
        <v>772</v>
      </c>
      <c r="AA969" s="212">
        <v>48360</v>
      </c>
      <c r="AB969" s="9">
        <v>72</v>
      </c>
      <c r="AC969" s="9">
        <v>63</v>
      </c>
      <c r="AD969" s="17">
        <v>46812</v>
      </c>
      <c r="AE969" s="56">
        <v>630</v>
      </c>
      <c r="AF969" s="56"/>
      <c r="AP969" s="11"/>
      <c r="AQ969" s="11"/>
      <c r="AR969" s="11"/>
      <c r="AW969" s="9"/>
      <c r="BD969" s="9"/>
      <c r="CS969" s="11">
        <f t="shared" si="69"/>
        <v>0</v>
      </c>
      <c r="CT969" s="22">
        <f t="shared" si="70"/>
        <v>0</v>
      </c>
      <c r="CU969" s="22">
        <f t="shared" si="68"/>
        <v>0</v>
      </c>
      <c r="CV969" s="26">
        <f t="shared" si="71"/>
        <v>630</v>
      </c>
    </row>
    <row r="970" spans="1:100" x14ac:dyDescent="0.2">
      <c r="A970" s="9" t="s">
        <v>244</v>
      </c>
      <c r="B970" s="2">
        <v>96</v>
      </c>
      <c r="C970" s="3" t="s">
        <v>95</v>
      </c>
      <c r="D970" s="3" t="s">
        <v>96</v>
      </c>
      <c r="E970" s="2"/>
      <c r="F970" s="2"/>
      <c r="G970" s="2" t="s">
        <v>78</v>
      </c>
      <c r="H970" s="2">
        <v>1</v>
      </c>
      <c r="I970" s="8">
        <v>129.13999999999999</v>
      </c>
      <c r="J970" s="8">
        <v>36900</v>
      </c>
      <c r="K970" s="3">
        <v>0</v>
      </c>
      <c r="L970" s="3" t="s">
        <v>3</v>
      </c>
      <c r="M970" s="9" t="s">
        <v>0</v>
      </c>
      <c r="N970" s="9" t="s">
        <v>24</v>
      </c>
      <c r="O970" s="9" t="s">
        <v>323</v>
      </c>
      <c r="P970" s="9" t="s">
        <v>0</v>
      </c>
      <c r="Q970" s="30" t="s">
        <v>324</v>
      </c>
      <c r="R970" s="9" t="s">
        <v>325</v>
      </c>
      <c r="S970" s="9" t="s">
        <v>158</v>
      </c>
      <c r="T970" s="10" t="s">
        <v>78</v>
      </c>
      <c r="U970" s="10">
        <v>1</v>
      </c>
      <c r="V970" s="10">
        <v>129.13999999999999</v>
      </c>
      <c r="W970" s="10" t="s">
        <v>710</v>
      </c>
      <c r="X970" s="17">
        <v>44721</v>
      </c>
      <c r="Y970" s="17">
        <v>45121</v>
      </c>
      <c r="Z970" s="19" t="s">
        <v>772</v>
      </c>
      <c r="AA970" s="212">
        <v>48360</v>
      </c>
      <c r="AB970" s="9">
        <v>72</v>
      </c>
      <c r="AC970" s="9">
        <v>64</v>
      </c>
      <c r="AD970" s="17">
        <v>46842</v>
      </c>
      <c r="AE970" s="56">
        <v>630</v>
      </c>
      <c r="AF970" s="56"/>
      <c r="AP970" s="11"/>
      <c r="AQ970" s="11"/>
      <c r="AR970" s="11"/>
      <c r="AW970" s="9"/>
      <c r="BD970" s="9"/>
      <c r="CS970" s="11">
        <f t="shared" si="69"/>
        <v>0</v>
      </c>
      <c r="CT970" s="22">
        <f t="shared" si="70"/>
        <v>0</v>
      </c>
      <c r="CU970" s="22">
        <f t="shared" si="68"/>
        <v>0</v>
      </c>
      <c r="CV970" s="26">
        <f t="shared" si="71"/>
        <v>630</v>
      </c>
    </row>
    <row r="971" spans="1:100" x14ac:dyDescent="0.2">
      <c r="A971" s="9" t="s">
        <v>244</v>
      </c>
      <c r="B971" s="2">
        <v>96</v>
      </c>
      <c r="C971" s="3" t="s">
        <v>95</v>
      </c>
      <c r="D971" s="3" t="s">
        <v>96</v>
      </c>
      <c r="E971" s="2"/>
      <c r="F971" s="2"/>
      <c r="G971" s="2" t="s">
        <v>78</v>
      </c>
      <c r="H971" s="2">
        <v>1</v>
      </c>
      <c r="I971" s="8">
        <v>129.13999999999999</v>
      </c>
      <c r="J971" s="8">
        <v>36900</v>
      </c>
      <c r="K971" s="3">
        <v>0</v>
      </c>
      <c r="L971" s="3" t="s">
        <v>3</v>
      </c>
      <c r="M971" s="9" t="s">
        <v>0</v>
      </c>
      <c r="N971" s="9" t="s">
        <v>24</v>
      </c>
      <c r="O971" s="9" t="s">
        <v>323</v>
      </c>
      <c r="P971" s="9" t="s">
        <v>0</v>
      </c>
      <c r="Q971" s="30" t="s">
        <v>324</v>
      </c>
      <c r="R971" s="9" t="s">
        <v>325</v>
      </c>
      <c r="S971" s="9" t="s">
        <v>158</v>
      </c>
      <c r="T971" s="10" t="s">
        <v>78</v>
      </c>
      <c r="U971" s="10">
        <v>1</v>
      </c>
      <c r="V971" s="10">
        <v>129.13999999999999</v>
      </c>
      <c r="W971" s="10" t="s">
        <v>710</v>
      </c>
      <c r="X971" s="17">
        <v>44721</v>
      </c>
      <c r="Y971" s="17">
        <v>45121</v>
      </c>
      <c r="Z971" s="19" t="s">
        <v>772</v>
      </c>
      <c r="AA971" s="212">
        <v>48360</v>
      </c>
      <c r="AB971" s="9">
        <v>72</v>
      </c>
      <c r="AC971" s="9">
        <v>65</v>
      </c>
      <c r="AD971" s="17">
        <v>46873</v>
      </c>
      <c r="AE971" s="56">
        <v>630</v>
      </c>
      <c r="AF971" s="56"/>
      <c r="AP971" s="11"/>
      <c r="AQ971" s="11"/>
      <c r="AR971" s="11"/>
      <c r="AW971" s="9"/>
      <c r="BD971" s="9"/>
      <c r="CS971" s="11">
        <f t="shared" si="69"/>
        <v>0</v>
      </c>
      <c r="CT971" s="22">
        <f t="shared" si="70"/>
        <v>0</v>
      </c>
      <c r="CU971" s="22">
        <f t="shared" si="68"/>
        <v>0</v>
      </c>
      <c r="CV971" s="26">
        <f t="shared" si="71"/>
        <v>630</v>
      </c>
    </row>
    <row r="972" spans="1:100" x14ac:dyDescent="0.2">
      <c r="A972" s="9" t="s">
        <v>244</v>
      </c>
      <c r="B972" s="2">
        <v>96</v>
      </c>
      <c r="C972" s="3" t="s">
        <v>95</v>
      </c>
      <c r="D972" s="3" t="s">
        <v>96</v>
      </c>
      <c r="E972" s="2"/>
      <c r="F972" s="2"/>
      <c r="G972" s="2" t="s">
        <v>78</v>
      </c>
      <c r="H972" s="2">
        <v>1</v>
      </c>
      <c r="I972" s="8">
        <v>129.13999999999999</v>
      </c>
      <c r="J972" s="8">
        <v>36900</v>
      </c>
      <c r="K972" s="3">
        <v>0</v>
      </c>
      <c r="L972" s="3" t="s">
        <v>3</v>
      </c>
      <c r="M972" s="9" t="s">
        <v>0</v>
      </c>
      <c r="N972" s="9" t="s">
        <v>24</v>
      </c>
      <c r="O972" s="9" t="s">
        <v>323</v>
      </c>
      <c r="P972" s="9" t="s">
        <v>0</v>
      </c>
      <c r="Q972" s="30" t="s">
        <v>324</v>
      </c>
      <c r="R972" s="9" t="s">
        <v>325</v>
      </c>
      <c r="S972" s="9" t="s">
        <v>158</v>
      </c>
      <c r="T972" s="10" t="s">
        <v>78</v>
      </c>
      <c r="U972" s="10">
        <v>1</v>
      </c>
      <c r="V972" s="10">
        <v>129.13999999999999</v>
      </c>
      <c r="W972" s="10" t="s">
        <v>710</v>
      </c>
      <c r="X972" s="17">
        <v>44721</v>
      </c>
      <c r="Y972" s="17">
        <v>45121</v>
      </c>
      <c r="Z972" s="19" t="s">
        <v>772</v>
      </c>
      <c r="AA972" s="212">
        <v>48360</v>
      </c>
      <c r="AB972" s="9">
        <v>72</v>
      </c>
      <c r="AC972" s="9">
        <v>66</v>
      </c>
      <c r="AD972" s="17">
        <v>46903</v>
      </c>
      <c r="AE972" s="56">
        <v>630</v>
      </c>
      <c r="AF972" s="56"/>
      <c r="AP972" s="11"/>
      <c r="AQ972" s="11"/>
      <c r="AR972" s="11"/>
      <c r="AW972" s="9"/>
      <c r="BD972" s="9"/>
      <c r="CS972" s="11">
        <f t="shared" si="69"/>
        <v>0</v>
      </c>
      <c r="CT972" s="22">
        <f t="shared" si="70"/>
        <v>0</v>
      </c>
      <c r="CU972" s="22">
        <f t="shared" si="68"/>
        <v>0</v>
      </c>
      <c r="CV972" s="26">
        <f t="shared" si="71"/>
        <v>630</v>
      </c>
    </row>
    <row r="973" spans="1:100" x14ac:dyDescent="0.2">
      <c r="A973" s="9" t="s">
        <v>244</v>
      </c>
      <c r="B973" s="2">
        <v>96</v>
      </c>
      <c r="C973" s="3" t="s">
        <v>95</v>
      </c>
      <c r="D973" s="3" t="s">
        <v>96</v>
      </c>
      <c r="E973" s="2"/>
      <c r="F973" s="2"/>
      <c r="G973" s="2" t="s">
        <v>78</v>
      </c>
      <c r="H973" s="2">
        <v>1</v>
      </c>
      <c r="I973" s="8">
        <v>129.13999999999999</v>
      </c>
      <c r="J973" s="8">
        <v>36900</v>
      </c>
      <c r="K973" s="3">
        <v>0</v>
      </c>
      <c r="L973" s="3" t="s">
        <v>3</v>
      </c>
      <c r="M973" s="9" t="s">
        <v>0</v>
      </c>
      <c r="N973" s="9" t="s">
        <v>24</v>
      </c>
      <c r="O973" s="9" t="s">
        <v>323</v>
      </c>
      <c r="P973" s="9" t="s">
        <v>0</v>
      </c>
      <c r="Q973" s="30" t="s">
        <v>324</v>
      </c>
      <c r="R973" s="9" t="s">
        <v>325</v>
      </c>
      <c r="S973" s="9" t="s">
        <v>158</v>
      </c>
      <c r="T973" s="10" t="s">
        <v>78</v>
      </c>
      <c r="U973" s="10">
        <v>1</v>
      </c>
      <c r="V973" s="10">
        <v>129.13999999999999</v>
      </c>
      <c r="W973" s="10" t="s">
        <v>710</v>
      </c>
      <c r="X973" s="17">
        <v>44721</v>
      </c>
      <c r="Y973" s="17">
        <v>45121</v>
      </c>
      <c r="Z973" s="19" t="s">
        <v>772</v>
      </c>
      <c r="AA973" s="212">
        <v>48360</v>
      </c>
      <c r="AB973" s="9">
        <v>72</v>
      </c>
      <c r="AC973" s="9">
        <v>67</v>
      </c>
      <c r="AD973" s="17">
        <v>46934</v>
      </c>
      <c r="AE973" s="56">
        <v>630</v>
      </c>
      <c r="AF973" s="56"/>
      <c r="AP973" s="11"/>
      <c r="AQ973" s="11"/>
      <c r="AR973" s="11"/>
      <c r="AW973" s="9"/>
      <c r="BD973" s="9"/>
      <c r="CS973" s="11">
        <f t="shared" si="69"/>
        <v>0</v>
      </c>
      <c r="CT973" s="22">
        <f t="shared" si="70"/>
        <v>0</v>
      </c>
      <c r="CU973" s="22">
        <f t="shared" si="68"/>
        <v>0</v>
      </c>
      <c r="CV973" s="26">
        <f t="shared" si="71"/>
        <v>630</v>
      </c>
    </row>
    <row r="974" spans="1:100" x14ac:dyDescent="0.2">
      <c r="A974" s="9" t="s">
        <v>244</v>
      </c>
      <c r="B974" s="2">
        <v>96</v>
      </c>
      <c r="C974" s="3" t="s">
        <v>95</v>
      </c>
      <c r="D974" s="3" t="s">
        <v>96</v>
      </c>
      <c r="E974" s="2"/>
      <c r="F974" s="2"/>
      <c r="G974" s="2" t="s">
        <v>78</v>
      </c>
      <c r="H974" s="2">
        <v>1</v>
      </c>
      <c r="I974" s="8">
        <v>129.13999999999999</v>
      </c>
      <c r="J974" s="8">
        <v>36900</v>
      </c>
      <c r="K974" s="3">
        <v>0</v>
      </c>
      <c r="L974" s="3" t="s">
        <v>3</v>
      </c>
      <c r="M974" s="9" t="s">
        <v>0</v>
      </c>
      <c r="N974" s="9" t="s">
        <v>24</v>
      </c>
      <c r="O974" s="9" t="s">
        <v>323</v>
      </c>
      <c r="P974" s="9" t="s">
        <v>0</v>
      </c>
      <c r="Q974" s="30" t="s">
        <v>324</v>
      </c>
      <c r="R974" s="9" t="s">
        <v>325</v>
      </c>
      <c r="S974" s="9" t="s">
        <v>158</v>
      </c>
      <c r="T974" s="10" t="s">
        <v>78</v>
      </c>
      <c r="U974" s="10">
        <v>1</v>
      </c>
      <c r="V974" s="10">
        <v>129.13999999999999</v>
      </c>
      <c r="W974" s="10" t="s">
        <v>710</v>
      </c>
      <c r="X974" s="17">
        <v>44721</v>
      </c>
      <c r="Y974" s="17">
        <v>45121</v>
      </c>
      <c r="Z974" s="19" t="s">
        <v>772</v>
      </c>
      <c r="AA974" s="212">
        <v>48360</v>
      </c>
      <c r="AB974" s="9">
        <v>72</v>
      </c>
      <c r="AC974" s="9">
        <v>68</v>
      </c>
      <c r="AD974" s="17">
        <v>46964</v>
      </c>
      <c r="AE974" s="56">
        <v>630</v>
      </c>
      <c r="AF974" s="56"/>
      <c r="AP974" s="11"/>
      <c r="AQ974" s="11"/>
      <c r="AR974" s="11"/>
      <c r="AW974" s="9"/>
      <c r="BD974" s="9"/>
      <c r="CS974" s="11">
        <f t="shared" si="69"/>
        <v>0</v>
      </c>
      <c r="CT974" s="22">
        <f t="shared" si="70"/>
        <v>0</v>
      </c>
      <c r="CU974" s="22">
        <f t="shared" si="68"/>
        <v>0</v>
      </c>
      <c r="CV974" s="26">
        <f t="shared" si="71"/>
        <v>630</v>
      </c>
    </row>
    <row r="975" spans="1:100" x14ac:dyDescent="0.2">
      <c r="A975" s="9" t="s">
        <v>244</v>
      </c>
      <c r="B975" s="2">
        <v>96</v>
      </c>
      <c r="C975" s="3" t="s">
        <v>95</v>
      </c>
      <c r="D975" s="3" t="s">
        <v>96</v>
      </c>
      <c r="E975" s="2"/>
      <c r="F975" s="2"/>
      <c r="G975" s="2" t="s">
        <v>78</v>
      </c>
      <c r="H975" s="2">
        <v>1</v>
      </c>
      <c r="I975" s="8">
        <v>129.13999999999999</v>
      </c>
      <c r="J975" s="8">
        <v>36900</v>
      </c>
      <c r="K975" s="3">
        <v>0</v>
      </c>
      <c r="L975" s="3" t="s">
        <v>3</v>
      </c>
      <c r="M975" s="9" t="s">
        <v>0</v>
      </c>
      <c r="N975" s="9" t="s">
        <v>24</v>
      </c>
      <c r="O975" s="9" t="s">
        <v>323</v>
      </c>
      <c r="P975" s="9" t="s">
        <v>0</v>
      </c>
      <c r="Q975" s="30" t="s">
        <v>324</v>
      </c>
      <c r="R975" s="9" t="s">
        <v>325</v>
      </c>
      <c r="S975" s="9" t="s">
        <v>158</v>
      </c>
      <c r="T975" s="10" t="s">
        <v>78</v>
      </c>
      <c r="U975" s="10">
        <v>1</v>
      </c>
      <c r="V975" s="10">
        <v>129.13999999999999</v>
      </c>
      <c r="W975" s="10" t="s">
        <v>710</v>
      </c>
      <c r="X975" s="17">
        <v>44721</v>
      </c>
      <c r="Y975" s="17">
        <v>45121</v>
      </c>
      <c r="Z975" s="19" t="s">
        <v>772</v>
      </c>
      <c r="AA975" s="212">
        <v>48360</v>
      </c>
      <c r="AB975" s="9">
        <v>72</v>
      </c>
      <c r="AC975" s="9">
        <v>69</v>
      </c>
      <c r="AD975" s="17">
        <v>46995</v>
      </c>
      <c r="AE975" s="56">
        <v>630</v>
      </c>
      <c r="AF975" s="56"/>
      <c r="AP975" s="11"/>
      <c r="AQ975" s="11"/>
      <c r="AR975" s="11"/>
      <c r="AW975" s="9"/>
      <c r="BD975" s="9"/>
      <c r="CS975" s="11">
        <f t="shared" si="69"/>
        <v>0</v>
      </c>
      <c r="CT975" s="22">
        <f t="shared" si="70"/>
        <v>0</v>
      </c>
      <c r="CU975" s="22">
        <f t="shared" si="68"/>
        <v>0</v>
      </c>
      <c r="CV975" s="26">
        <f t="shared" si="71"/>
        <v>630</v>
      </c>
    </row>
    <row r="976" spans="1:100" x14ac:dyDescent="0.2">
      <c r="A976" s="9" t="s">
        <v>244</v>
      </c>
      <c r="B976" s="2">
        <v>96</v>
      </c>
      <c r="C976" s="3" t="s">
        <v>95</v>
      </c>
      <c r="D976" s="3" t="s">
        <v>96</v>
      </c>
      <c r="E976" s="2"/>
      <c r="F976" s="2"/>
      <c r="G976" s="2" t="s">
        <v>78</v>
      </c>
      <c r="H976" s="2">
        <v>1</v>
      </c>
      <c r="I976" s="8">
        <v>129.13999999999999</v>
      </c>
      <c r="J976" s="8">
        <v>36900</v>
      </c>
      <c r="K976" s="3">
        <v>0</v>
      </c>
      <c r="L976" s="3" t="s">
        <v>3</v>
      </c>
      <c r="M976" s="9" t="s">
        <v>0</v>
      </c>
      <c r="N976" s="9" t="s">
        <v>24</v>
      </c>
      <c r="O976" s="9" t="s">
        <v>323</v>
      </c>
      <c r="P976" s="9" t="s">
        <v>0</v>
      </c>
      <c r="Q976" s="30" t="s">
        <v>324</v>
      </c>
      <c r="R976" s="9" t="s">
        <v>325</v>
      </c>
      <c r="S976" s="9" t="s">
        <v>158</v>
      </c>
      <c r="T976" s="10" t="s">
        <v>78</v>
      </c>
      <c r="U976" s="10">
        <v>1</v>
      </c>
      <c r="V976" s="10">
        <v>129.13999999999999</v>
      </c>
      <c r="W976" s="10" t="s">
        <v>710</v>
      </c>
      <c r="X976" s="17">
        <v>44721</v>
      </c>
      <c r="Y976" s="17">
        <v>45121</v>
      </c>
      <c r="Z976" s="19" t="s">
        <v>772</v>
      </c>
      <c r="AA976" s="212">
        <v>48360</v>
      </c>
      <c r="AB976" s="9">
        <v>72</v>
      </c>
      <c r="AC976" s="9">
        <v>70</v>
      </c>
      <c r="AD976" s="17">
        <v>47026</v>
      </c>
      <c r="AE976" s="56">
        <v>630</v>
      </c>
      <c r="AF976" s="56"/>
      <c r="AP976" s="11"/>
      <c r="AQ976" s="11"/>
      <c r="AR976" s="11"/>
      <c r="AW976" s="9"/>
      <c r="BD976" s="9"/>
      <c r="CS976" s="11">
        <f t="shared" si="69"/>
        <v>0</v>
      </c>
      <c r="CT976" s="22">
        <f t="shared" si="70"/>
        <v>0</v>
      </c>
      <c r="CU976" s="22">
        <f t="shared" si="68"/>
        <v>0</v>
      </c>
      <c r="CV976" s="26">
        <f t="shared" si="71"/>
        <v>630</v>
      </c>
    </row>
    <row r="977" spans="1:103" x14ac:dyDescent="0.2">
      <c r="A977" s="9" t="s">
        <v>244</v>
      </c>
      <c r="B977" s="2">
        <v>96</v>
      </c>
      <c r="C977" s="3" t="s">
        <v>95</v>
      </c>
      <c r="D977" s="3" t="s">
        <v>96</v>
      </c>
      <c r="E977" s="2"/>
      <c r="F977" s="2"/>
      <c r="G977" s="2" t="s">
        <v>78</v>
      </c>
      <c r="H977" s="2">
        <v>1</v>
      </c>
      <c r="I977" s="8">
        <v>129.13999999999999</v>
      </c>
      <c r="J977" s="8">
        <v>36900</v>
      </c>
      <c r="K977" s="3">
        <v>0</v>
      </c>
      <c r="L977" s="3" t="s">
        <v>3</v>
      </c>
      <c r="M977" s="9" t="s">
        <v>0</v>
      </c>
      <c r="N977" s="9" t="s">
        <v>24</v>
      </c>
      <c r="O977" s="9" t="s">
        <v>323</v>
      </c>
      <c r="P977" s="9" t="s">
        <v>0</v>
      </c>
      <c r="Q977" s="30" t="s">
        <v>324</v>
      </c>
      <c r="R977" s="9" t="s">
        <v>325</v>
      </c>
      <c r="S977" s="9" t="s">
        <v>158</v>
      </c>
      <c r="T977" s="10" t="s">
        <v>78</v>
      </c>
      <c r="U977" s="10">
        <v>1</v>
      </c>
      <c r="V977" s="10">
        <v>129.13999999999999</v>
      </c>
      <c r="W977" s="10" t="s">
        <v>710</v>
      </c>
      <c r="X977" s="17">
        <v>44721</v>
      </c>
      <c r="Y977" s="17">
        <v>45121</v>
      </c>
      <c r="Z977" s="19" t="s">
        <v>772</v>
      </c>
      <c r="AA977" s="212">
        <v>48360</v>
      </c>
      <c r="AB977" s="9">
        <v>72</v>
      </c>
      <c r="AC977" s="9">
        <v>71</v>
      </c>
      <c r="AD977" s="17">
        <v>47056</v>
      </c>
      <c r="AE977" s="56">
        <v>630</v>
      </c>
      <c r="AF977" s="56"/>
      <c r="AP977" s="11"/>
      <c r="AQ977" s="11"/>
      <c r="AR977" s="11"/>
      <c r="AW977" s="9"/>
      <c r="BD977" s="9"/>
      <c r="CS977" s="11">
        <f t="shared" si="69"/>
        <v>0</v>
      </c>
      <c r="CT977" s="22">
        <f t="shared" si="70"/>
        <v>0</v>
      </c>
      <c r="CU977" s="22">
        <f t="shared" si="68"/>
        <v>0</v>
      </c>
      <c r="CV977" s="26">
        <f t="shared" si="71"/>
        <v>630</v>
      </c>
    </row>
    <row r="978" spans="1:103" x14ac:dyDescent="0.2">
      <c r="A978" s="9" t="s">
        <v>244</v>
      </c>
      <c r="B978" s="2">
        <v>96</v>
      </c>
      <c r="C978" s="3" t="s">
        <v>95</v>
      </c>
      <c r="D978" s="3" t="s">
        <v>96</v>
      </c>
      <c r="E978" s="2"/>
      <c r="F978" s="2"/>
      <c r="G978" s="2" t="s">
        <v>78</v>
      </c>
      <c r="H978" s="2">
        <v>1</v>
      </c>
      <c r="I978" s="8">
        <v>129.13999999999999</v>
      </c>
      <c r="J978" s="8">
        <v>36900</v>
      </c>
      <c r="K978" s="3">
        <v>0</v>
      </c>
      <c r="L978" s="3" t="s">
        <v>3</v>
      </c>
      <c r="M978" s="9" t="s">
        <v>0</v>
      </c>
      <c r="N978" s="9" t="s">
        <v>24</v>
      </c>
      <c r="O978" s="9" t="s">
        <v>323</v>
      </c>
      <c r="P978" s="9" t="s">
        <v>0</v>
      </c>
      <c r="Q978" s="30" t="s">
        <v>324</v>
      </c>
      <c r="R978" s="9" t="s">
        <v>325</v>
      </c>
      <c r="S978" s="9" t="s">
        <v>158</v>
      </c>
      <c r="T978" s="10" t="s">
        <v>78</v>
      </c>
      <c r="U978" s="10">
        <v>1</v>
      </c>
      <c r="V978" s="10">
        <v>129.13999999999999</v>
      </c>
      <c r="W978" s="10" t="s">
        <v>710</v>
      </c>
      <c r="X978" s="17">
        <v>44721</v>
      </c>
      <c r="Y978" s="17">
        <v>45121</v>
      </c>
      <c r="Z978" s="19" t="s">
        <v>772</v>
      </c>
      <c r="AA978" s="212">
        <v>48360</v>
      </c>
      <c r="AB978" s="9">
        <v>72</v>
      </c>
      <c r="AC978" s="9">
        <v>72</v>
      </c>
      <c r="AD978" s="17">
        <v>47087</v>
      </c>
      <c r="AE978" s="56">
        <v>630</v>
      </c>
      <c r="AF978" s="56"/>
      <c r="AP978" s="11"/>
      <c r="AQ978" s="11"/>
      <c r="AR978" s="11"/>
      <c r="AW978" s="9"/>
      <c r="BD978" s="9"/>
      <c r="CS978" s="11">
        <f t="shared" si="69"/>
        <v>0</v>
      </c>
      <c r="CT978" s="22">
        <f t="shared" si="70"/>
        <v>0</v>
      </c>
      <c r="CU978" s="22">
        <f t="shared" si="68"/>
        <v>0</v>
      </c>
      <c r="CV978" s="26">
        <f t="shared" si="71"/>
        <v>630</v>
      </c>
    </row>
    <row r="979" spans="1:103" x14ac:dyDescent="0.2">
      <c r="A979" s="9" t="s">
        <v>332</v>
      </c>
      <c r="B979" s="2">
        <v>142</v>
      </c>
      <c r="C979" s="3" t="s">
        <v>95</v>
      </c>
      <c r="D979" s="3" t="s">
        <v>96</v>
      </c>
      <c r="E979" s="2"/>
      <c r="F979" s="2"/>
      <c r="G979" s="2" t="s">
        <v>84</v>
      </c>
      <c r="H979" s="2">
        <v>5</v>
      </c>
      <c r="I979" s="8">
        <v>120.12</v>
      </c>
      <c r="J979" s="8">
        <v>35900</v>
      </c>
      <c r="K979" s="3">
        <v>0</v>
      </c>
      <c r="L979" s="3" t="s">
        <v>3</v>
      </c>
      <c r="M979" s="9" t="s">
        <v>0</v>
      </c>
      <c r="N979" s="9" t="s">
        <v>25</v>
      </c>
      <c r="O979" s="9" t="s">
        <v>333</v>
      </c>
      <c r="S979" s="9" t="s">
        <v>158</v>
      </c>
      <c r="T979" s="10" t="s">
        <v>84</v>
      </c>
      <c r="U979" s="10">
        <v>5</v>
      </c>
      <c r="V979" s="10">
        <v>120.12</v>
      </c>
      <c r="W979" s="10" t="s">
        <v>710</v>
      </c>
      <c r="X979" s="17">
        <v>44851</v>
      </c>
      <c r="Y979" s="17">
        <v>44851</v>
      </c>
      <c r="Z979" s="19" t="s">
        <v>772</v>
      </c>
      <c r="AA979" s="210">
        <v>48260</v>
      </c>
      <c r="AB979" s="9">
        <v>96</v>
      </c>
      <c r="AC979" s="9">
        <v>0</v>
      </c>
      <c r="AD979" s="17">
        <v>44851</v>
      </c>
      <c r="AE979" s="56">
        <v>250.5</v>
      </c>
      <c r="AF979" s="56"/>
      <c r="AG979" s="9" t="s">
        <v>134</v>
      </c>
      <c r="AH979" s="17">
        <v>44851</v>
      </c>
      <c r="AI979" s="9">
        <v>47356469</v>
      </c>
      <c r="AJ979" s="9" t="s">
        <v>2251</v>
      </c>
      <c r="AK979" s="9" t="s">
        <v>334</v>
      </c>
      <c r="AL979" s="11">
        <v>250.51</v>
      </c>
      <c r="AN979" s="11" t="s">
        <v>2247</v>
      </c>
      <c r="AP979" s="11"/>
      <c r="AQ979" s="11"/>
      <c r="AR979" s="11"/>
      <c r="AW979" s="17">
        <v>44851</v>
      </c>
      <c r="AX979" s="9" t="s">
        <v>335</v>
      </c>
      <c r="AY979" s="9">
        <v>1000</v>
      </c>
      <c r="AZ979" s="9">
        <v>3.992</v>
      </c>
      <c r="BA979" s="11">
        <f>+AY979/AZ979</f>
        <v>250.50100200400803</v>
      </c>
      <c r="BB979" s="11" t="s">
        <v>1348</v>
      </c>
      <c r="BD979" s="9"/>
      <c r="CS979" s="11">
        <f t="shared" si="69"/>
        <v>250.51</v>
      </c>
      <c r="CT979" s="22">
        <f t="shared" si="70"/>
        <v>250.50100200400803</v>
      </c>
      <c r="CU979" s="22">
        <f t="shared" si="68"/>
        <v>8.9979959919617158E-3</v>
      </c>
      <c r="CV979" s="26">
        <f t="shared" si="71"/>
        <v>-9.9999999999909051E-3</v>
      </c>
    </row>
    <row r="980" spans="1:103" x14ac:dyDescent="0.2">
      <c r="A980" s="9" t="s">
        <v>332</v>
      </c>
      <c r="B980" s="2">
        <v>142</v>
      </c>
      <c r="C980" s="3" t="s">
        <v>95</v>
      </c>
      <c r="D980" s="3" t="s">
        <v>96</v>
      </c>
      <c r="E980" s="2"/>
      <c r="F980" s="2"/>
      <c r="G980" s="2" t="s">
        <v>84</v>
      </c>
      <c r="H980" s="2">
        <v>5</v>
      </c>
      <c r="I980" s="8">
        <v>120.12</v>
      </c>
      <c r="J980" s="8">
        <v>35900</v>
      </c>
      <c r="K980" s="3">
        <v>0</v>
      </c>
      <c r="L980" s="3" t="s">
        <v>3</v>
      </c>
      <c r="M980" s="9" t="s">
        <v>0</v>
      </c>
      <c r="N980" s="9" t="s">
        <v>25</v>
      </c>
      <c r="O980" s="9" t="s">
        <v>333</v>
      </c>
      <c r="S980" s="9" t="s">
        <v>158</v>
      </c>
      <c r="T980" s="10" t="s">
        <v>84</v>
      </c>
      <c r="U980" s="10">
        <v>5</v>
      </c>
      <c r="V980" s="10">
        <v>120.12</v>
      </c>
      <c r="W980" s="10" t="s">
        <v>710</v>
      </c>
      <c r="X980" s="17">
        <v>44851</v>
      </c>
      <c r="Y980" s="17">
        <v>44851</v>
      </c>
      <c r="Z980" s="19" t="s">
        <v>772</v>
      </c>
      <c r="AA980" s="210">
        <v>48260</v>
      </c>
      <c r="AB980" s="9">
        <v>96</v>
      </c>
      <c r="AC980" s="9">
        <v>0</v>
      </c>
      <c r="AD980" s="17">
        <v>44853</v>
      </c>
      <c r="AE980" s="56">
        <v>4749.5</v>
      </c>
      <c r="AF980" s="56"/>
      <c r="AG980" s="9" t="s">
        <v>134</v>
      </c>
      <c r="AH980" s="17">
        <v>44853</v>
      </c>
      <c r="AI980" s="9">
        <v>47356469</v>
      </c>
      <c r="AJ980" s="9" t="s">
        <v>2251</v>
      </c>
      <c r="AK980" s="9" t="s">
        <v>336</v>
      </c>
      <c r="AL980" s="11">
        <v>4749.5</v>
      </c>
      <c r="AN980" s="11" t="s">
        <v>2248</v>
      </c>
      <c r="AP980" s="11"/>
      <c r="AQ980" s="11"/>
      <c r="AR980" s="11"/>
      <c r="AW980" s="42">
        <v>44854</v>
      </c>
      <c r="AX980" s="155">
        <v>17111</v>
      </c>
      <c r="AY980" s="36">
        <v>8898.26</v>
      </c>
      <c r="AZ980" s="36">
        <v>3.9790000000000001</v>
      </c>
      <c r="BA980" s="40">
        <f>+AY980/AZ980</f>
        <v>2236.3056044232221</v>
      </c>
      <c r="BC980" s="17">
        <v>44853</v>
      </c>
      <c r="BD980" s="9" t="s">
        <v>337</v>
      </c>
      <c r="BE980" s="9">
        <v>10000</v>
      </c>
      <c r="BF980" s="9">
        <v>3.9790000000000001</v>
      </c>
      <c r="BG980" s="9">
        <f>+BE980/BF980</f>
        <v>2513.1942699170645</v>
      </c>
      <c r="CS980" s="11">
        <f t="shared" si="69"/>
        <v>4749.5</v>
      </c>
      <c r="CT980" s="22">
        <f t="shared" si="70"/>
        <v>4749.4998743402866</v>
      </c>
      <c r="CU980" s="22">
        <f t="shared" si="68"/>
        <v>1.2565971337608062E-4</v>
      </c>
      <c r="CV980" s="26">
        <f t="shared" si="71"/>
        <v>0</v>
      </c>
    </row>
    <row r="981" spans="1:103" x14ac:dyDescent="0.2">
      <c r="A981" s="9" t="s">
        <v>332</v>
      </c>
      <c r="B981" s="2">
        <v>142</v>
      </c>
      <c r="C981" s="3" t="s">
        <v>95</v>
      </c>
      <c r="D981" s="3" t="s">
        <v>96</v>
      </c>
      <c r="E981" s="2"/>
      <c r="F981" s="2"/>
      <c r="G981" s="2" t="s">
        <v>84</v>
      </c>
      <c r="H981" s="2">
        <v>5</v>
      </c>
      <c r="I981" s="8">
        <v>120.12</v>
      </c>
      <c r="J981" s="8">
        <v>35900</v>
      </c>
      <c r="K981" s="3">
        <v>0</v>
      </c>
      <c r="L981" s="3" t="s">
        <v>3</v>
      </c>
      <c r="M981" s="9" t="s">
        <v>0</v>
      </c>
      <c r="N981" s="9" t="s">
        <v>25</v>
      </c>
      <c r="O981" s="9" t="s">
        <v>333</v>
      </c>
      <c r="S981" s="9" t="s">
        <v>158</v>
      </c>
      <c r="T981" s="10" t="s">
        <v>84</v>
      </c>
      <c r="U981" s="10">
        <v>5</v>
      </c>
      <c r="V981" s="10">
        <v>120.12</v>
      </c>
      <c r="W981" s="10" t="s">
        <v>710</v>
      </c>
      <c r="X981" s="17">
        <v>44851</v>
      </c>
      <c r="Y981" s="17">
        <v>44851</v>
      </c>
      <c r="Z981" s="19" t="s">
        <v>772</v>
      </c>
      <c r="AA981" s="210">
        <v>48260</v>
      </c>
      <c r="AB981" s="9">
        <v>96</v>
      </c>
      <c r="AC981" s="9">
        <v>1</v>
      </c>
      <c r="AD981" s="17">
        <v>44910</v>
      </c>
      <c r="AE981" s="56">
        <v>200</v>
      </c>
      <c r="AF981" s="56"/>
      <c r="AG981" s="9" t="s">
        <v>134</v>
      </c>
      <c r="AH981" s="17">
        <v>44907</v>
      </c>
      <c r="AI981" s="9">
        <v>47356469</v>
      </c>
      <c r="AJ981" s="9" t="s">
        <v>2251</v>
      </c>
      <c r="AK981" s="9" t="s">
        <v>338</v>
      </c>
      <c r="AL981" s="11">
        <v>200</v>
      </c>
      <c r="AN981" s="11" t="s">
        <v>2249</v>
      </c>
      <c r="AP981" s="11"/>
      <c r="AQ981" s="11"/>
      <c r="AR981" s="11"/>
      <c r="AW981" s="42">
        <v>44907</v>
      </c>
      <c r="AX981" s="36">
        <v>1095</v>
      </c>
      <c r="AY981" s="36"/>
      <c r="AZ981" s="36"/>
      <c r="BA981" s="40">
        <v>200</v>
      </c>
      <c r="BD981" s="9"/>
      <c r="CS981" s="11">
        <f t="shared" si="69"/>
        <v>200</v>
      </c>
      <c r="CT981" s="22">
        <f t="shared" si="70"/>
        <v>200</v>
      </c>
      <c r="CU981" s="22">
        <f t="shared" si="68"/>
        <v>0</v>
      </c>
      <c r="CV981" s="26">
        <f t="shared" si="71"/>
        <v>0</v>
      </c>
    </row>
    <row r="982" spans="1:103" x14ac:dyDescent="0.2">
      <c r="A982" s="9" t="s">
        <v>332</v>
      </c>
      <c r="B982" s="2">
        <v>142</v>
      </c>
      <c r="C982" s="3" t="s">
        <v>95</v>
      </c>
      <c r="D982" s="3" t="s">
        <v>96</v>
      </c>
      <c r="E982" s="2"/>
      <c r="F982" s="2"/>
      <c r="G982" s="2" t="s">
        <v>84</v>
      </c>
      <c r="H982" s="2">
        <v>5</v>
      </c>
      <c r="I982" s="8">
        <v>120.12</v>
      </c>
      <c r="J982" s="8">
        <v>35900</v>
      </c>
      <c r="K982" s="3">
        <v>0</v>
      </c>
      <c r="L982" s="3" t="s">
        <v>3</v>
      </c>
      <c r="M982" s="9" t="s">
        <v>0</v>
      </c>
      <c r="N982" s="9" t="s">
        <v>25</v>
      </c>
      <c r="O982" s="9" t="s">
        <v>333</v>
      </c>
      <c r="S982" s="9" t="s">
        <v>158</v>
      </c>
      <c r="T982" s="10" t="s">
        <v>84</v>
      </c>
      <c r="U982" s="10">
        <v>5</v>
      </c>
      <c r="V982" s="10">
        <v>120.12</v>
      </c>
      <c r="W982" s="10" t="s">
        <v>710</v>
      </c>
      <c r="X982" s="17">
        <v>44851</v>
      </c>
      <c r="Y982" s="17">
        <v>44851</v>
      </c>
      <c r="Z982" s="19" t="s">
        <v>772</v>
      </c>
      <c r="AA982" s="210">
        <v>48260</v>
      </c>
      <c r="AB982" s="9">
        <v>96</v>
      </c>
      <c r="AC982" s="9">
        <v>2</v>
      </c>
      <c r="AD982" s="17">
        <v>44941</v>
      </c>
      <c r="AE982" s="56">
        <v>200</v>
      </c>
      <c r="AF982" s="56"/>
      <c r="AG982" s="9" t="s">
        <v>134</v>
      </c>
      <c r="AH982" s="17">
        <v>44924</v>
      </c>
      <c r="AI982" s="9">
        <v>47356469</v>
      </c>
      <c r="AJ982" s="9" t="s">
        <v>2251</v>
      </c>
      <c r="AK982" s="9" t="s">
        <v>2246</v>
      </c>
      <c r="AL982" s="11">
        <v>200</v>
      </c>
      <c r="AN982" s="11" t="s">
        <v>2250</v>
      </c>
      <c r="AP982" s="11"/>
      <c r="AQ982" s="11"/>
      <c r="AR982" s="11"/>
      <c r="AW982" s="9"/>
      <c r="BB982" s="11" t="s">
        <v>1347</v>
      </c>
      <c r="BD982" s="9"/>
      <c r="CS982" s="11">
        <f t="shared" si="69"/>
        <v>200</v>
      </c>
      <c r="CT982" s="22">
        <f t="shared" si="70"/>
        <v>0</v>
      </c>
      <c r="CU982" s="22">
        <f t="shared" si="68"/>
        <v>200</v>
      </c>
      <c r="CV982" s="26">
        <f t="shared" si="71"/>
        <v>0</v>
      </c>
      <c r="CW982" s="9" t="s">
        <v>3494</v>
      </c>
      <c r="CY982" s="9" t="s">
        <v>3493</v>
      </c>
    </row>
    <row r="983" spans="1:103" x14ac:dyDescent="0.2">
      <c r="A983" s="9" t="s">
        <v>332</v>
      </c>
      <c r="B983" s="2">
        <v>142</v>
      </c>
      <c r="C983" s="3" t="s">
        <v>95</v>
      </c>
      <c r="D983" s="3" t="s">
        <v>96</v>
      </c>
      <c r="E983" s="2"/>
      <c r="F983" s="2"/>
      <c r="G983" s="2" t="s">
        <v>84</v>
      </c>
      <c r="H983" s="2">
        <v>5</v>
      </c>
      <c r="I983" s="8">
        <v>120.12</v>
      </c>
      <c r="J983" s="8">
        <v>35900</v>
      </c>
      <c r="K983" s="3">
        <v>0</v>
      </c>
      <c r="L983" s="3" t="s">
        <v>3</v>
      </c>
      <c r="M983" s="9" t="s">
        <v>0</v>
      </c>
      <c r="N983" s="9" t="s">
        <v>25</v>
      </c>
      <c r="O983" s="9" t="s">
        <v>333</v>
      </c>
      <c r="S983" s="9" t="s">
        <v>158</v>
      </c>
      <c r="T983" s="10" t="s">
        <v>84</v>
      </c>
      <c r="U983" s="10">
        <v>5</v>
      </c>
      <c r="V983" s="10">
        <v>120.12</v>
      </c>
      <c r="W983" s="10" t="s">
        <v>710</v>
      </c>
      <c r="X983" s="17">
        <v>44851</v>
      </c>
      <c r="Y983" s="17">
        <v>44851</v>
      </c>
      <c r="Z983" s="19" t="s">
        <v>772</v>
      </c>
      <c r="AA983" s="210">
        <v>48260</v>
      </c>
      <c r="AB983" s="9">
        <v>96</v>
      </c>
      <c r="AC983" s="9">
        <v>3</v>
      </c>
      <c r="AD983" s="17">
        <v>44972</v>
      </c>
      <c r="AE983" s="56">
        <v>200</v>
      </c>
      <c r="AF983" s="56"/>
      <c r="AG983" s="9" t="s">
        <v>134</v>
      </c>
      <c r="AH983" s="17">
        <v>44963</v>
      </c>
      <c r="AI983" s="9">
        <v>47356469</v>
      </c>
      <c r="AJ983" s="9" t="s">
        <v>2251</v>
      </c>
      <c r="AK983" s="9" t="s">
        <v>339</v>
      </c>
      <c r="AL983" s="11">
        <v>200</v>
      </c>
      <c r="AN983" s="11" t="s">
        <v>2261</v>
      </c>
      <c r="AP983" s="11"/>
      <c r="AQ983" s="11"/>
      <c r="AR983" s="11"/>
      <c r="AW983" s="42">
        <v>44963</v>
      </c>
      <c r="AX983" s="36">
        <v>1205</v>
      </c>
      <c r="AY983" s="36"/>
      <c r="AZ983" s="36"/>
      <c r="BA983" s="40">
        <v>200</v>
      </c>
      <c r="BD983" s="9"/>
      <c r="CS983" s="11">
        <f t="shared" si="69"/>
        <v>200</v>
      </c>
      <c r="CT983" s="22">
        <f t="shared" si="70"/>
        <v>200</v>
      </c>
      <c r="CU983" s="22">
        <f t="shared" si="68"/>
        <v>0</v>
      </c>
      <c r="CV983" s="26">
        <f t="shared" si="71"/>
        <v>0</v>
      </c>
    </row>
    <row r="984" spans="1:103" x14ac:dyDescent="0.2">
      <c r="A984" s="9" t="s">
        <v>332</v>
      </c>
      <c r="B984" s="2">
        <v>142</v>
      </c>
      <c r="C984" s="3" t="s">
        <v>95</v>
      </c>
      <c r="D984" s="3" t="s">
        <v>96</v>
      </c>
      <c r="E984" s="2"/>
      <c r="F984" s="2"/>
      <c r="G984" s="2" t="s">
        <v>84</v>
      </c>
      <c r="H984" s="2">
        <v>5</v>
      </c>
      <c r="I984" s="8">
        <v>120.12</v>
      </c>
      <c r="J984" s="8">
        <v>35900</v>
      </c>
      <c r="K984" s="3">
        <v>0</v>
      </c>
      <c r="L984" s="3" t="s">
        <v>3</v>
      </c>
      <c r="M984" s="9" t="s">
        <v>0</v>
      </c>
      <c r="N984" s="9" t="s">
        <v>25</v>
      </c>
      <c r="O984" s="9" t="s">
        <v>333</v>
      </c>
      <c r="S984" s="9" t="s">
        <v>158</v>
      </c>
      <c r="T984" s="10" t="s">
        <v>84</v>
      </c>
      <c r="U984" s="10">
        <v>5</v>
      </c>
      <c r="V984" s="10">
        <v>120.12</v>
      </c>
      <c r="W984" s="10" t="s">
        <v>710</v>
      </c>
      <c r="X984" s="17">
        <v>44851</v>
      </c>
      <c r="Y984" s="17">
        <v>44851</v>
      </c>
      <c r="Z984" s="19" t="s">
        <v>772</v>
      </c>
      <c r="AA984" s="210">
        <v>48260</v>
      </c>
      <c r="AB984" s="9">
        <v>96</v>
      </c>
      <c r="AC984" s="9">
        <v>4</v>
      </c>
      <c r="AD984" s="17">
        <v>45000</v>
      </c>
      <c r="AE984" s="56">
        <v>200</v>
      </c>
      <c r="AF984" s="56"/>
      <c r="AG984" s="9" t="s">
        <v>134</v>
      </c>
      <c r="AH984" s="17">
        <v>44994</v>
      </c>
      <c r="AI984" s="9">
        <v>47356469</v>
      </c>
      <c r="AJ984" s="9" t="s">
        <v>2251</v>
      </c>
      <c r="AK984" s="9" t="s">
        <v>340</v>
      </c>
      <c r="AL984" s="11">
        <v>200</v>
      </c>
      <c r="AN984" s="11" t="s">
        <v>2262</v>
      </c>
      <c r="AP984" s="11"/>
      <c r="AQ984" s="11"/>
      <c r="AR984" s="11"/>
      <c r="AW984" s="42">
        <v>44994</v>
      </c>
      <c r="AX984" s="36">
        <v>1302</v>
      </c>
      <c r="AY984" s="36"/>
      <c r="AZ984" s="36"/>
      <c r="BA984" s="40">
        <v>200</v>
      </c>
      <c r="BD984" s="9"/>
      <c r="CS984" s="11">
        <f t="shared" si="69"/>
        <v>200</v>
      </c>
      <c r="CT984" s="22">
        <f t="shared" si="70"/>
        <v>200</v>
      </c>
      <c r="CU984" s="22">
        <f t="shared" si="68"/>
        <v>0</v>
      </c>
      <c r="CV984" s="26">
        <f t="shared" si="71"/>
        <v>0</v>
      </c>
    </row>
    <row r="985" spans="1:103" x14ac:dyDescent="0.2">
      <c r="A985" s="9" t="s">
        <v>332</v>
      </c>
      <c r="B985" s="2">
        <v>142</v>
      </c>
      <c r="C985" s="3" t="s">
        <v>95</v>
      </c>
      <c r="D985" s="3" t="s">
        <v>96</v>
      </c>
      <c r="E985" s="2"/>
      <c r="F985" s="2"/>
      <c r="G985" s="2" t="s">
        <v>84</v>
      </c>
      <c r="H985" s="2">
        <v>5</v>
      </c>
      <c r="I985" s="8">
        <v>120.12</v>
      </c>
      <c r="J985" s="8">
        <v>35900</v>
      </c>
      <c r="K985" s="3">
        <v>0</v>
      </c>
      <c r="L985" s="3" t="s">
        <v>3</v>
      </c>
      <c r="M985" s="9" t="s">
        <v>0</v>
      </c>
      <c r="N985" s="9" t="s">
        <v>25</v>
      </c>
      <c r="O985" s="9" t="s">
        <v>333</v>
      </c>
      <c r="S985" s="9" t="s">
        <v>158</v>
      </c>
      <c r="T985" s="10" t="s">
        <v>84</v>
      </c>
      <c r="U985" s="10">
        <v>5</v>
      </c>
      <c r="V985" s="10">
        <v>120.12</v>
      </c>
      <c r="W985" s="10" t="s">
        <v>710</v>
      </c>
      <c r="X985" s="17">
        <v>44851</v>
      </c>
      <c r="Y985" s="17">
        <v>44851</v>
      </c>
      <c r="Z985" s="19" t="s">
        <v>772</v>
      </c>
      <c r="AA985" s="210">
        <v>48260</v>
      </c>
      <c r="AB985" s="9">
        <v>96</v>
      </c>
      <c r="AC985" s="9">
        <v>5</v>
      </c>
      <c r="AD985" s="17">
        <v>45031</v>
      </c>
      <c r="AE985" s="56">
        <v>200</v>
      </c>
      <c r="AF985" s="56"/>
      <c r="AG985" s="9" t="s">
        <v>134</v>
      </c>
      <c r="AH985" s="17">
        <v>45029</v>
      </c>
      <c r="AI985" s="9">
        <v>47356469</v>
      </c>
      <c r="AJ985" s="9" t="s">
        <v>2251</v>
      </c>
      <c r="AK985" s="9" t="s">
        <v>2252</v>
      </c>
      <c r="AL985" s="11">
        <v>200</v>
      </c>
      <c r="AN985" s="11" t="s">
        <v>2263</v>
      </c>
      <c r="AP985" s="11"/>
      <c r="AQ985" s="11"/>
      <c r="AR985" s="11"/>
      <c r="AW985" s="42">
        <v>45029</v>
      </c>
      <c r="AX985" s="36">
        <v>1406</v>
      </c>
      <c r="AY985" s="36"/>
      <c r="AZ985" s="36"/>
      <c r="BA985" s="40">
        <v>200</v>
      </c>
      <c r="BD985" s="9"/>
      <c r="CS985" s="11">
        <f t="shared" si="69"/>
        <v>200</v>
      </c>
      <c r="CT985" s="22">
        <f t="shared" si="70"/>
        <v>200</v>
      </c>
      <c r="CU985" s="22">
        <f t="shared" si="68"/>
        <v>0</v>
      </c>
      <c r="CV985" s="26">
        <f t="shared" si="71"/>
        <v>0</v>
      </c>
    </row>
    <row r="986" spans="1:103" x14ac:dyDescent="0.2">
      <c r="A986" s="9" t="s">
        <v>332</v>
      </c>
      <c r="B986" s="2">
        <v>142</v>
      </c>
      <c r="C986" s="3" t="s">
        <v>95</v>
      </c>
      <c r="D986" s="3" t="s">
        <v>96</v>
      </c>
      <c r="E986" s="2"/>
      <c r="F986" s="2"/>
      <c r="G986" s="2" t="s">
        <v>84</v>
      </c>
      <c r="H986" s="2">
        <v>5</v>
      </c>
      <c r="I986" s="8">
        <v>120.12</v>
      </c>
      <c r="J986" s="8">
        <v>35900</v>
      </c>
      <c r="K986" s="3">
        <v>0</v>
      </c>
      <c r="L986" s="3" t="s">
        <v>3</v>
      </c>
      <c r="M986" s="9" t="s">
        <v>0</v>
      </c>
      <c r="N986" s="9" t="s">
        <v>25</v>
      </c>
      <c r="O986" s="9" t="s">
        <v>333</v>
      </c>
      <c r="S986" s="9" t="s">
        <v>158</v>
      </c>
      <c r="T986" s="10" t="s">
        <v>84</v>
      </c>
      <c r="U986" s="10">
        <v>5</v>
      </c>
      <c r="V986" s="10">
        <v>120.12</v>
      </c>
      <c r="W986" s="10" t="s">
        <v>710</v>
      </c>
      <c r="X986" s="17">
        <v>44851</v>
      </c>
      <c r="Y986" s="17">
        <v>44851</v>
      </c>
      <c r="Z986" s="19" t="s">
        <v>772</v>
      </c>
      <c r="AA986" s="210">
        <v>48260</v>
      </c>
      <c r="AB986" s="9">
        <v>96</v>
      </c>
      <c r="AC986" s="9">
        <v>6</v>
      </c>
      <c r="AD986" s="17">
        <v>45061</v>
      </c>
      <c r="AE986" s="56">
        <v>200</v>
      </c>
      <c r="AF986" s="56"/>
      <c r="AG986" s="9" t="s">
        <v>134</v>
      </c>
      <c r="AH986" s="17">
        <v>45061</v>
      </c>
      <c r="AI986" s="9">
        <v>47356469</v>
      </c>
      <c r="AJ986" s="9" t="s">
        <v>2251</v>
      </c>
      <c r="AK986" s="9" t="s">
        <v>2253</v>
      </c>
      <c r="AL986" s="11">
        <v>200</v>
      </c>
      <c r="AN986" s="11" t="s">
        <v>2264</v>
      </c>
      <c r="AP986" s="11"/>
      <c r="AQ986" s="11"/>
      <c r="AR986" s="11"/>
      <c r="AW986" s="42">
        <v>45057</v>
      </c>
      <c r="AX986" s="36">
        <v>1501</v>
      </c>
      <c r="AY986" s="36"/>
      <c r="AZ986" s="36"/>
      <c r="BA986" s="40">
        <v>200</v>
      </c>
      <c r="BD986" s="9"/>
      <c r="CS986" s="11">
        <f t="shared" si="69"/>
        <v>200</v>
      </c>
      <c r="CT986" s="22">
        <f t="shared" si="70"/>
        <v>200</v>
      </c>
      <c r="CU986" s="22">
        <f t="shared" si="68"/>
        <v>0</v>
      </c>
      <c r="CV986" s="26">
        <f t="shared" si="71"/>
        <v>0</v>
      </c>
    </row>
    <row r="987" spans="1:103" x14ac:dyDescent="0.2">
      <c r="A987" s="9" t="s">
        <v>332</v>
      </c>
      <c r="B987" s="2">
        <v>142</v>
      </c>
      <c r="C987" s="3" t="s">
        <v>95</v>
      </c>
      <c r="D987" s="3" t="s">
        <v>96</v>
      </c>
      <c r="E987" s="2"/>
      <c r="F987" s="2"/>
      <c r="G987" s="2" t="s">
        <v>84</v>
      </c>
      <c r="H987" s="2">
        <v>5</v>
      </c>
      <c r="I987" s="8">
        <v>120.12</v>
      </c>
      <c r="J987" s="8">
        <v>35900</v>
      </c>
      <c r="K987" s="3">
        <v>0</v>
      </c>
      <c r="L987" s="3" t="s">
        <v>3</v>
      </c>
      <c r="M987" s="9" t="s">
        <v>0</v>
      </c>
      <c r="N987" s="9" t="s">
        <v>25</v>
      </c>
      <c r="O987" s="9" t="s">
        <v>333</v>
      </c>
      <c r="S987" s="9" t="s">
        <v>158</v>
      </c>
      <c r="T987" s="10" t="s">
        <v>84</v>
      </c>
      <c r="U987" s="10">
        <v>5</v>
      </c>
      <c r="V987" s="10">
        <v>120.12</v>
      </c>
      <c r="W987" s="10" t="s">
        <v>710</v>
      </c>
      <c r="X987" s="17">
        <v>44851</v>
      </c>
      <c r="Y987" s="17">
        <v>44851</v>
      </c>
      <c r="Z987" s="19" t="s">
        <v>772</v>
      </c>
      <c r="AA987" s="210">
        <v>48260</v>
      </c>
      <c r="AB987" s="9">
        <v>96</v>
      </c>
      <c r="AC987" s="9">
        <v>7</v>
      </c>
      <c r="AD987" s="17">
        <v>45092</v>
      </c>
      <c r="AE987" s="56">
        <v>200</v>
      </c>
      <c r="AF987" s="56"/>
      <c r="AG987" s="9" t="s">
        <v>134</v>
      </c>
      <c r="AH987" s="17">
        <v>45128</v>
      </c>
      <c r="AI987" s="9">
        <v>47356469</v>
      </c>
      <c r="AJ987" s="9" t="s">
        <v>2251</v>
      </c>
      <c r="AK987" s="9" t="s">
        <v>2255</v>
      </c>
      <c r="AL987" s="11">
        <v>200</v>
      </c>
      <c r="AN987" s="11" t="s">
        <v>2266</v>
      </c>
      <c r="AP987" s="11"/>
      <c r="AQ987" s="11"/>
      <c r="AR987" s="11"/>
      <c r="AW987" s="9"/>
      <c r="BB987" s="11" t="s">
        <v>1347</v>
      </c>
      <c r="BD987" s="9"/>
      <c r="CS987" s="11">
        <f t="shared" si="69"/>
        <v>200</v>
      </c>
      <c r="CT987" s="22">
        <f t="shared" si="70"/>
        <v>0</v>
      </c>
      <c r="CU987" s="22">
        <f t="shared" si="68"/>
        <v>200</v>
      </c>
      <c r="CV987" s="26">
        <f t="shared" si="71"/>
        <v>0</v>
      </c>
      <c r="CW987" s="9" t="s">
        <v>3494</v>
      </c>
      <c r="CY987" s="9" t="s">
        <v>3493</v>
      </c>
    </row>
    <row r="988" spans="1:103" ht="12.75" x14ac:dyDescent="0.2">
      <c r="A988" s="9" t="s">
        <v>332</v>
      </c>
      <c r="B988" s="2">
        <v>142</v>
      </c>
      <c r="C988" s="3" t="s">
        <v>95</v>
      </c>
      <c r="D988" s="3" t="s">
        <v>96</v>
      </c>
      <c r="E988" s="2"/>
      <c r="F988" s="2"/>
      <c r="G988" s="2" t="s">
        <v>84</v>
      </c>
      <c r="H988" s="2">
        <v>5</v>
      </c>
      <c r="I988" s="8">
        <v>120.12</v>
      </c>
      <c r="J988" s="8">
        <v>35900</v>
      </c>
      <c r="K988" s="3">
        <v>0</v>
      </c>
      <c r="L988" s="3" t="s">
        <v>3</v>
      </c>
      <c r="M988" s="9" t="s">
        <v>0</v>
      </c>
      <c r="N988" s="9" t="s">
        <v>25</v>
      </c>
      <c r="O988" s="9" t="s">
        <v>333</v>
      </c>
      <c r="S988" s="9" t="s">
        <v>158</v>
      </c>
      <c r="T988" s="10" t="s">
        <v>84</v>
      </c>
      <c r="U988" s="10">
        <v>5</v>
      </c>
      <c r="V988" s="10">
        <v>120.12</v>
      </c>
      <c r="W988" s="10" t="s">
        <v>710</v>
      </c>
      <c r="X988" s="17">
        <v>44851</v>
      </c>
      <c r="Y988" s="17">
        <v>44851</v>
      </c>
      <c r="Z988" s="19" t="s">
        <v>772</v>
      </c>
      <c r="AA988" s="210">
        <v>48260</v>
      </c>
      <c r="AB988" s="9">
        <v>96</v>
      </c>
      <c r="AC988" s="9">
        <v>8</v>
      </c>
      <c r="AD988" s="17">
        <v>45122</v>
      </c>
      <c r="AE988" s="56">
        <v>200</v>
      </c>
      <c r="AF988" s="56"/>
      <c r="AG988" s="9" t="s">
        <v>134</v>
      </c>
      <c r="AH988" s="17">
        <v>45125</v>
      </c>
      <c r="AI988" s="9">
        <v>47356469</v>
      </c>
      <c r="AJ988" s="9" t="s">
        <v>2251</v>
      </c>
      <c r="AK988" s="9" t="s">
        <v>2254</v>
      </c>
      <c r="AL988" s="11">
        <v>200.17</v>
      </c>
      <c r="AN988" s="11" t="s">
        <v>2265</v>
      </c>
      <c r="AP988" s="11"/>
      <c r="AQ988" s="11"/>
      <c r="AR988" s="11"/>
      <c r="AW988" s="108">
        <v>45124</v>
      </c>
      <c r="AX988" s="109">
        <v>1713</v>
      </c>
      <c r="AY988" s="36"/>
      <c r="AZ988" s="36"/>
      <c r="BA988" s="40">
        <v>200</v>
      </c>
      <c r="BD988" s="9"/>
      <c r="CS988" s="11">
        <f t="shared" si="69"/>
        <v>200.17</v>
      </c>
      <c r="CT988" s="22">
        <f t="shared" si="70"/>
        <v>200</v>
      </c>
      <c r="CU988" s="22">
        <f t="shared" ref="CU988:CU1051" si="72">+CS988-CT988</f>
        <v>0.16999999999998749</v>
      </c>
      <c r="CV988" s="26">
        <f t="shared" si="71"/>
        <v>-0.16999999999998749</v>
      </c>
    </row>
    <row r="989" spans="1:103" x14ac:dyDescent="0.2">
      <c r="A989" s="9" t="s">
        <v>332</v>
      </c>
      <c r="B989" s="2">
        <v>142</v>
      </c>
      <c r="C989" s="3" t="s">
        <v>95</v>
      </c>
      <c r="D989" s="3" t="s">
        <v>96</v>
      </c>
      <c r="E989" s="2"/>
      <c r="F989" s="2"/>
      <c r="G989" s="2" t="s">
        <v>84</v>
      </c>
      <c r="H989" s="2">
        <v>5</v>
      </c>
      <c r="I989" s="8">
        <v>120.12</v>
      </c>
      <c r="J989" s="8">
        <v>35900</v>
      </c>
      <c r="K989" s="3">
        <v>0</v>
      </c>
      <c r="L989" s="3" t="s">
        <v>3</v>
      </c>
      <c r="M989" s="9" t="s">
        <v>0</v>
      </c>
      <c r="N989" s="9" t="s">
        <v>25</v>
      </c>
      <c r="O989" s="9" t="s">
        <v>333</v>
      </c>
      <c r="S989" s="9" t="s">
        <v>158</v>
      </c>
      <c r="T989" s="10" t="s">
        <v>84</v>
      </c>
      <c r="U989" s="10">
        <v>5</v>
      </c>
      <c r="V989" s="10">
        <v>120.12</v>
      </c>
      <c r="W989" s="10" t="s">
        <v>710</v>
      </c>
      <c r="X989" s="17">
        <v>44851</v>
      </c>
      <c r="Y989" s="17">
        <v>44851</v>
      </c>
      <c r="Z989" s="19" t="s">
        <v>772</v>
      </c>
      <c r="AA989" s="210">
        <v>48260</v>
      </c>
      <c r="AB989" s="9">
        <v>96</v>
      </c>
      <c r="AC989" s="9">
        <v>9</v>
      </c>
      <c r="AD989" s="17">
        <v>45153</v>
      </c>
      <c r="AE989" s="56">
        <v>200</v>
      </c>
      <c r="AF989" s="56"/>
      <c r="AG989" s="9" t="s">
        <v>134</v>
      </c>
      <c r="AH989" s="17">
        <v>45154</v>
      </c>
      <c r="AI989" s="9">
        <v>47356469</v>
      </c>
      <c r="AJ989" s="9" t="s">
        <v>2251</v>
      </c>
      <c r="AK989" s="9" t="s">
        <v>2256</v>
      </c>
      <c r="AL989" s="11">
        <v>200</v>
      </c>
      <c r="AN989" s="11" t="s">
        <v>2267</v>
      </c>
      <c r="AP989" s="11"/>
      <c r="AQ989" s="11"/>
      <c r="AR989" s="11"/>
      <c r="AW989" s="42">
        <v>45153</v>
      </c>
      <c r="AX989" s="36">
        <v>1813</v>
      </c>
      <c r="AY989" s="36"/>
      <c r="AZ989" s="36"/>
      <c r="BA989" s="40">
        <v>200</v>
      </c>
      <c r="BD989" s="9"/>
      <c r="CS989" s="11">
        <f t="shared" si="69"/>
        <v>200</v>
      </c>
      <c r="CT989" s="22">
        <f t="shared" si="70"/>
        <v>200</v>
      </c>
      <c r="CU989" s="22">
        <f t="shared" si="72"/>
        <v>0</v>
      </c>
      <c r="CV989" s="26">
        <f t="shared" si="71"/>
        <v>0</v>
      </c>
    </row>
    <row r="990" spans="1:103" x14ac:dyDescent="0.2">
      <c r="A990" s="9" t="s">
        <v>332</v>
      </c>
      <c r="B990" s="2">
        <v>142</v>
      </c>
      <c r="C990" s="3" t="s">
        <v>95</v>
      </c>
      <c r="D990" s="3" t="s">
        <v>96</v>
      </c>
      <c r="E990" s="2"/>
      <c r="F990" s="2"/>
      <c r="G990" s="2" t="s">
        <v>84</v>
      </c>
      <c r="H990" s="2">
        <v>5</v>
      </c>
      <c r="I990" s="8">
        <v>120.12</v>
      </c>
      <c r="J990" s="8">
        <v>35900</v>
      </c>
      <c r="K990" s="3">
        <v>0</v>
      </c>
      <c r="L990" s="3" t="s">
        <v>3</v>
      </c>
      <c r="M990" s="9" t="s">
        <v>0</v>
      </c>
      <c r="N990" s="9" t="s">
        <v>25</v>
      </c>
      <c r="O990" s="9" t="s">
        <v>333</v>
      </c>
      <c r="S990" s="9" t="s">
        <v>158</v>
      </c>
      <c r="T990" s="10" t="s">
        <v>84</v>
      </c>
      <c r="U990" s="10">
        <v>5</v>
      </c>
      <c r="V990" s="10">
        <v>120.12</v>
      </c>
      <c r="W990" s="10" t="s">
        <v>710</v>
      </c>
      <c r="X990" s="17">
        <v>44851</v>
      </c>
      <c r="Y990" s="17">
        <v>44851</v>
      </c>
      <c r="Z990" s="19" t="s">
        <v>772</v>
      </c>
      <c r="AA990" s="210">
        <v>48260</v>
      </c>
      <c r="AB990" s="9">
        <v>96</v>
      </c>
      <c r="AC990" s="9">
        <v>10</v>
      </c>
      <c r="AD990" s="17">
        <v>45184</v>
      </c>
      <c r="AE990" s="56">
        <v>200</v>
      </c>
      <c r="AF990" s="56"/>
      <c r="AG990" s="9" t="s">
        <v>134</v>
      </c>
      <c r="AH990" s="17">
        <v>45194</v>
      </c>
      <c r="AI990" s="9">
        <v>47356469</v>
      </c>
      <c r="AJ990" s="9" t="s">
        <v>2251</v>
      </c>
      <c r="AK990" s="9" t="s">
        <v>2257</v>
      </c>
      <c r="AL990" s="11">
        <v>200</v>
      </c>
      <c r="AN990" s="11" t="s">
        <v>2268</v>
      </c>
      <c r="AP990" s="11"/>
      <c r="AQ990" s="11"/>
      <c r="AR990" s="11"/>
      <c r="AW990" s="42">
        <v>45194</v>
      </c>
      <c r="AX990" s="36">
        <v>1923</v>
      </c>
      <c r="AY990" s="36"/>
      <c r="AZ990" s="36"/>
      <c r="BA990" s="40">
        <v>200</v>
      </c>
      <c r="BD990" s="9"/>
      <c r="CS990" s="11">
        <f t="shared" si="69"/>
        <v>200</v>
      </c>
      <c r="CT990" s="22">
        <f t="shared" si="70"/>
        <v>200</v>
      </c>
      <c r="CU990" s="22">
        <f t="shared" si="72"/>
        <v>0</v>
      </c>
      <c r="CV990" s="26">
        <f t="shared" si="71"/>
        <v>0</v>
      </c>
    </row>
    <row r="991" spans="1:103" x14ac:dyDescent="0.2">
      <c r="A991" s="9" t="s">
        <v>332</v>
      </c>
      <c r="B991" s="2">
        <v>142</v>
      </c>
      <c r="C991" s="3" t="s">
        <v>95</v>
      </c>
      <c r="D991" s="3" t="s">
        <v>96</v>
      </c>
      <c r="E991" s="2"/>
      <c r="F991" s="2"/>
      <c r="G991" s="2" t="s">
        <v>84</v>
      </c>
      <c r="H991" s="2">
        <v>5</v>
      </c>
      <c r="I991" s="8">
        <v>120.12</v>
      </c>
      <c r="J991" s="8">
        <v>35900</v>
      </c>
      <c r="K991" s="3">
        <v>0</v>
      </c>
      <c r="L991" s="3" t="s">
        <v>3</v>
      </c>
      <c r="M991" s="9" t="s">
        <v>0</v>
      </c>
      <c r="N991" s="9" t="s">
        <v>25</v>
      </c>
      <c r="O991" s="9" t="s">
        <v>333</v>
      </c>
      <c r="S991" s="9" t="s">
        <v>158</v>
      </c>
      <c r="T991" s="10" t="s">
        <v>84</v>
      </c>
      <c r="U991" s="10">
        <v>5</v>
      </c>
      <c r="V991" s="10">
        <v>120.12</v>
      </c>
      <c r="W991" s="10" t="s">
        <v>710</v>
      </c>
      <c r="X991" s="17">
        <v>44851</v>
      </c>
      <c r="Y991" s="17">
        <v>44851</v>
      </c>
      <c r="Z991" s="19" t="s">
        <v>772</v>
      </c>
      <c r="AA991" s="210">
        <v>48260</v>
      </c>
      <c r="AB991" s="9">
        <v>96</v>
      </c>
      <c r="AC991" s="9">
        <v>11</v>
      </c>
      <c r="AD991" s="17">
        <v>45214</v>
      </c>
      <c r="AE991" s="56">
        <v>200</v>
      </c>
      <c r="AF991" s="56"/>
      <c r="AG991" s="9" t="s">
        <v>134</v>
      </c>
      <c r="AH991" s="17">
        <v>45225</v>
      </c>
      <c r="AI991" s="9">
        <v>47356469</v>
      </c>
      <c r="AJ991" s="9" t="s">
        <v>2251</v>
      </c>
      <c r="AK991" s="9" t="s">
        <v>2258</v>
      </c>
      <c r="AL991" s="11">
        <v>200</v>
      </c>
      <c r="AN991" s="11" t="s">
        <v>2269</v>
      </c>
      <c r="AP991" s="11"/>
      <c r="AQ991" s="11"/>
      <c r="AR991" s="11"/>
      <c r="AW991" s="42">
        <v>45225</v>
      </c>
      <c r="AX991" s="36">
        <v>1991</v>
      </c>
      <c r="AY991" s="36"/>
      <c r="AZ991" s="36"/>
      <c r="BA991" s="40">
        <v>200</v>
      </c>
      <c r="BD991" s="9"/>
      <c r="CS991" s="11">
        <f t="shared" si="69"/>
        <v>200</v>
      </c>
      <c r="CT991" s="22">
        <f t="shared" si="70"/>
        <v>200</v>
      </c>
      <c r="CU991" s="22">
        <f t="shared" si="72"/>
        <v>0</v>
      </c>
      <c r="CV991" s="26">
        <f t="shared" si="71"/>
        <v>0</v>
      </c>
    </row>
    <row r="992" spans="1:103" x14ac:dyDescent="0.2">
      <c r="A992" s="9" t="s">
        <v>332</v>
      </c>
      <c r="B992" s="2">
        <v>142</v>
      </c>
      <c r="C992" s="3" t="s">
        <v>95</v>
      </c>
      <c r="D992" s="3" t="s">
        <v>96</v>
      </c>
      <c r="E992" s="2"/>
      <c r="F992" s="2"/>
      <c r="G992" s="2" t="s">
        <v>84</v>
      </c>
      <c r="H992" s="2">
        <v>5</v>
      </c>
      <c r="I992" s="8">
        <v>120.12</v>
      </c>
      <c r="J992" s="8">
        <v>35900</v>
      </c>
      <c r="K992" s="3">
        <v>0</v>
      </c>
      <c r="L992" s="3" t="s">
        <v>3</v>
      </c>
      <c r="M992" s="9" t="s">
        <v>0</v>
      </c>
      <c r="N992" s="9" t="s">
        <v>25</v>
      </c>
      <c r="O992" s="9" t="s">
        <v>333</v>
      </c>
      <c r="S992" s="9" t="s">
        <v>158</v>
      </c>
      <c r="T992" s="10" t="s">
        <v>84</v>
      </c>
      <c r="U992" s="10">
        <v>5</v>
      </c>
      <c r="V992" s="10">
        <v>120.12</v>
      </c>
      <c r="W992" s="10" t="s">
        <v>710</v>
      </c>
      <c r="X992" s="17">
        <v>44851</v>
      </c>
      <c r="Y992" s="17">
        <v>44851</v>
      </c>
      <c r="Z992" s="19" t="s">
        <v>772</v>
      </c>
      <c r="AA992" s="210">
        <v>48260</v>
      </c>
      <c r="AB992" s="9">
        <v>96</v>
      </c>
      <c r="AC992" s="9">
        <v>12</v>
      </c>
      <c r="AD992" s="17">
        <v>45245</v>
      </c>
      <c r="AE992" s="56">
        <v>200</v>
      </c>
      <c r="AF992" s="56"/>
      <c r="AG992" s="9" t="s">
        <v>134</v>
      </c>
      <c r="AH992" s="17">
        <v>45255</v>
      </c>
      <c r="AI992" s="9">
        <v>47356469</v>
      </c>
      <c r="AJ992" s="9" t="s">
        <v>2251</v>
      </c>
      <c r="AK992" s="9" t="s">
        <v>2259</v>
      </c>
      <c r="AL992" s="11">
        <v>200</v>
      </c>
      <c r="AN992" s="11" t="s">
        <v>2270</v>
      </c>
      <c r="AP992" s="11"/>
      <c r="AQ992" s="11"/>
      <c r="AR992" s="11"/>
      <c r="AW992" s="42">
        <v>45254</v>
      </c>
      <c r="AX992" s="36">
        <v>2073</v>
      </c>
      <c r="AY992" s="36"/>
      <c r="AZ992" s="36"/>
      <c r="BA992" s="40">
        <v>200</v>
      </c>
      <c r="BD992" s="9"/>
      <c r="CS992" s="11">
        <f t="shared" si="69"/>
        <v>200</v>
      </c>
      <c r="CT992" s="22">
        <f t="shared" si="70"/>
        <v>200</v>
      </c>
      <c r="CU992" s="22">
        <f t="shared" si="72"/>
        <v>0</v>
      </c>
      <c r="CV992" s="26">
        <f t="shared" si="71"/>
        <v>0</v>
      </c>
    </row>
    <row r="993" spans="1:101" x14ac:dyDescent="0.2">
      <c r="A993" s="9" t="s">
        <v>332</v>
      </c>
      <c r="B993" s="2">
        <v>142</v>
      </c>
      <c r="C993" s="3" t="s">
        <v>95</v>
      </c>
      <c r="D993" s="3" t="s">
        <v>96</v>
      </c>
      <c r="E993" s="2"/>
      <c r="F993" s="2"/>
      <c r="G993" s="2" t="s">
        <v>84</v>
      </c>
      <c r="H993" s="2">
        <v>5</v>
      </c>
      <c r="I993" s="8">
        <v>120.12</v>
      </c>
      <c r="J993" s="8">
        <v>35900</v>
      </c>
      <c r="K993" s="3">
        <v>0</v>
      </c>
      <c r="L993" s="3" t="s">
        <v>3</v>
      </c>
      <c r="M993" s="9" t="s">
        <v>0</v>
      </c>
      <c r="N993" s="9" t="s">
        <v>25</v>
      </c>
      <c r="O993" s="9" t="s">
        <v>333</v>
      </c>
      <c r="S993" s="9" t="s">
        <v>158</v>
      </c>
      <c r="T993" s="10" t="s">
        <v>84</v>
      </c>
      <c r="U993" s="10">
        <v>5</v>
      </c>
      <c r="V993" s="10">
        <v>120.12</v>
      </c>
      <c r="W993" s="10" t="s">
        <v>710</v>
      </c>
      <c r="X993" s="17">
        <v>44851</v>
      </c>
      <c r="Y993" s="17">
        <v>44851</v>
      </c>
      <c r="Z993" s="19" t="s">
        <v>772</v>
      </c>
      <c r="AA993" s="210">
        <v>48260</v>
      </c>
      <c r="AB993" s="9">
        <v>96</v>
      </c>
      <c r="AC993" s="9">
        <v>13</v>
      </c>
      <c r="AD993" s="17">
        <v>45275</v>
      </c>
      <c r="AE993" s="56">
        <v>200</v>
      </c>
      <c r="AF993" s="56"/>
      <c r="AG993" s="9" t="s">
        <v>134</v>
      </c>
      <c r="AH993" s="17">
        <v>45276</v>
      </c>
      <c r="AI993" s="9">
        <v>47356469</v>
      </c>
      <c r="AJ993" s="9" t="s">
        <v>2251</v>
      </c>
      <c r="AK993" s="9" t="s">
        <v>2260</v>
      </c>
      <c r="AL993" s="11">
        <v>200</v>
      </c>
      <c r="AN993" s="11" t="s">
        <v>2271</v>
      </c>
      <c r="AP993" s="11"/>
      <c r="AQ993" s="11"/>
      <c r="AR993" s="11"/>
      <c r="AW993" s="42">
        <v>45275</v>
      </c>
      <c r="AX993" s="36">
        <v>2117</v>
      </c>
      <c r="AY993" s="36"/>
      <c r="AZ993" s="36"/>
      <c r="BA993" s="40">
        <v>200</v>
      </c>
      <c r="BD993" s="9"/>
      <c r="CS993" s="11">
        <f t="shared" si="69"/>
        <v>200</v>
      </c>
      <c r="CT993" s="22">
        <f t="shared" si="70"/>
        <v>200</v>
      </c>
      <c r="CU993" s="22">
        <f t="shared" si="72"/>
        <v>0</v>
      </c>
      <c r="CV993" s="26">
        <f t="shared" si="71"/>
        <v>0</v>
      </c>
    </row>
    <row r="994" spans="1:101" s="27" customFormat="1" x14ac:dyDescent="0.2">
      <c r="A994" s="27" t="s">
        <v>332</v>
      </c>
      <c r="B994" s="67">
        <v>142</v>
      </c>
      <c r="C994" s="68" t="s">
        <v>95</v>
      </c>
      <c r="D994" s="68" t="s">
        <v>96</v>
      </c>
      <c r="E994" s="67"/>
      <c r="F994" s="67"/>
      <c r="G994" s="67" t="s">
        <v>84</v>
      </c>
      <c r="H994" s="67">
        <v>5</v>
      </c>
      <c r="I994" s="217">
        <v>120.12</v>
      </c>
      <c r="J994" s="217">
        <v>35900</v>
      </c>
      <c r="K994" s="68">
        <v>0</v>
      </c>
      <c r="L994" s="68" t="s">
        <v>3</v>
      </c>
      <c r="M994" s="27" t="s">
        <v>0</v>
      </c>
      <c r="N994" s="27" t="s">
        <v>25</v>
      </c>
      <c r="O994" s="27" t="s">
        <v>333</v>
      </c>
      <c r="Q994" s="218"/>
      <c r="S994" s="27" t="s">
        <v>158</v>
      </c>
      <c r="T994" s="69" t="s">
        <v>84</v>
      </c>
      <c r="U994" s="69">
        <v>5</v>
      </c>
      <c r="V994" s="69">
        <v>120.12</v>
      </c>
      <c r="W994" s="69" t="s">
        <v>710</v>
      </c>
      <c r="X994" s="70">
        <v>44851</v>
      </c>
      <c r="Y994" s="70">
        <v>44851</v>
      </c>
      <c r="Z994" s="219" t="s">
        <v>772</v>
      </c>
      <c r="AA994" s="214">
        <v>48260</v>
      </c>
      <c r="AB994" s="27">
        <v>96</v>
      </c>
      <c r="AC994" s="27">
        <v>14</v>
      </c>
      <c r="AD994" s="70">
        <v>45306</v>
      </c>
      <c r="AE994" s="220">
        <v>200</v>
      </c>
      <c r="AF994" s="220">
        <v>50</v>
      </c>
      <c r="AG994" s="27" t="s">
        <v>134</v>
      </c>
      <c r="AH994" s="70">
        <v>45317</v>
      </c>
      <c r="AI994" s="27">
        <v>47356469</v>
      </c>
      <c r="AJ994" s="27" t="s">
        <v>2251</v>
      </c>
      <c r="AK994" s="27" t="s">
        <v>2272</v>
      </c>
      <c r="AL994" s="28">
        <v>200</v>
      </c>
      <c r="AM994" s="28"/>
      <c r="AN994" s="28" t="s">
        <v>2294</v>
      </c>
      <c r="AO994" s="28"/>
      <c r="AP994" s="70">
        <v>45317</v>
      </c>
      <c r="AQ994" s="27">
        <v>47356469</v>
      </c>
      <c r="AR994" s="27" t="s">
        <v>2251</v>
      </c>
      <c r="AS994" s="27" t="s">
        <v>2273</v>
      </c>
      <c r="AT994" s="28">
        <v>50</v>
      </c>
      <c r="AU994" s="28"/>
      <c r="AV994" s="28" t="s">
        <v>2295</v>
      </c>
      <c r="AW994" s="70">
        <v>45316</v>
      </c>
      <c r="AX994" s="27">
        <v>2242</v>
      </c>
      <c r="BA994" s="28">
        <v>250</v>
      </c>
      <c r="BB994" s="28"/>
      <c r="CS994" s="28">
        <f t="shared" si="69"/>
        <v>250</v>
      </c>
      <c r="CT994" s="28">
        <f t="shared" si="70"/>
        <v>250</v>
      </c>
      <c r="CU994" s="28">
        <f t="shared" si="72"/>
        <v>0</v>
      </c>
      <c r="CV994" s="222">
        <f t="shared" si="71"/>
        <v>-50</v>
      </c>
      <c r="CW994" s="27" t="s">
        <v>3500</v>
      </c>
    </row>
    <row r="995" spans="1:101" s="27" customFormat="1" x14ac:dyDescent="0.2">
      <c r="A995" s="27" t="s">
        <v>332</v>
      </c>
      <c r="B995" s="67">
        <v>142</v>
      </c>
      <c r="C995" s="68" t="s">
        <v>95</v>
      </c>
      <c r="D995" s="68" t="s">
        <v>96</v>
      </c>
      <c r="E995" s="67"/>
      <c r="F995" s="67"/>
      <c r="G995" s="67" t="s">
        <v>84</v>
      </c>
      <c r="H995" s="67">
        <v>5</v>
      </c>
      <c r="I995" s="217">
        <v>120.12</v>
      </c>
      <c r="J995" s="217">
        <v>35900</v>
      </c>
      <c r="K995" s="68">
        <v>0</v>
      </c>
      <c r="L995" s="68" t="s">
        <v>3</v>
      </c>
      <c r="M995" s="27" t="s">
        <v>0</v>
      </c>
      <c r="N995" s="27" t="s">
        <v>25</v>
      </c>
      <c r="O995" s="27" t="s">
        <v>333</v>
      </c>
      <c r="Q995" s="218"/>
      <c r="S995" s="27" t="s">
        <v>158</v>
      </c>
      <c r="T995" s="69" t="s">
        <v>84</v>
      </c>
      <c r="U995" s="69">
        <v>5</v>
      </c>
      <c r="V995" s="69">
        <v>120.12</v>
      </c>
      <c r="W995" s="69" t="s">
        <v>710</v>
      </c>
      <c r="X995" s="70">
        <v>44851</v>
      </c>
      <c r="Y995" s="70">
        <v>44851</v>
      </c>
      <c r="Z995" s="219" t="s">
        <v>772</v>
      </c>
      <c r="AA995" s="214">
        <v>48260</v>
      </c>
      <c r="AB995" s="27">
        <v>96</v>
      </c>
      <c r="AC995" s="27">
        <v>15</v>
      </c>
      <c r="AD995" s="70">
        <v>45337</v>
      </c>
      <c r="AE995" s="220">
        <v>200</v>
      </c>
      <c r="AF995" s="220">
        <v>40</v>
      </c>
      <c r="AG995" s="27" t="s">
        <v>134</v>
      </c>
      <c r="AH995" s="70">
        <v>45348</v>
      </c>
      <c r="AI995" s="27">
        <v>47356469</v>
      </c>
      <c r="AJ995" s="27" t="s">
        <v>2251</v>
      </c>
      <c r="AK995" s="27" t="s">
        <v>2274</v>
      </c>
      <c r="AL995" s="28">
        <v>200</v>
      </c>
      <c r="AM995" s="28"/>
      <c r="AN995" s="28" t="s">
        <v>2296</v>
      </c>
      <c r="AO995" s="28"/>
      <c r="AP995" s="70">
        <v>45348</v>
      </c>
      <c r="AQ995" s="27">
        <v>47356469</v>
      </c>
      <c r="AR995" s="27" t="s">
        <v>2251</v>
      </c>
      <c r="AS995" s="27" t="s">
        <v>2275</v>
      </c>
      <c r="AT995" s="28">
        <v>40</v>
      </c>
      <c r="AU995" s="28"/>
      <c r="AV995" s="28" t="s">
        <v>2297</v>
      </c>
      <c r="AW995" s="70">
        <v>45345</v>
      </c>
      <c r="AX995" s="27">
        <v>2338</v>
      </c>
      <c r="BA995" s="28">
        <v>240</v>
      </c>
      <c r="BB995" s="28"/>
      <c r="CS995" s="28">
        <f t="shared" si="69"/>
        <v>240</v>
      </c>
      <c r="CT995" s="28">
        <f t="shared" si="70"/>
        <v>240</v>
      </c>
      <c r="CU995" s="28">
        <f t="shared" si="72"/>
        <v>0</v>
      </c>
      <c r="CV995" s="222">
        <f t="shared" si="71"/>
        <v>-40</v>
      </c>
      <c r="CW995" s="27" t="s">
        <v>3500</v>
      </c>
    </row>
    <row r="996" spans="1:101" s="27" customFormat="1" ht="12.75" x14ac:dyDescent="0.2">
      <c r="A996" s="27" t="s">
        <v>332</v>
      </c>
      <c r="B996" s="67">
        <v>142</v>
      </c>
      <c r="C996" s="68" t="s">
        <v>95</v>
      </c>
      <c r="D996" s="68" t="s">
        <v>96</v>
      </c>
      <c r="E996" s="67"/>
      <c r="F996" s="67"/>
      <c r="G996" s="67" t="s">
        <v>84</v>
      </c>
      <c r="H996" s="67">
        <v>5</v>
      </c>
      <c r="I996" s="217">
        <v>120.12</v>
      </c>
      <c r="J996" s="217">
        <v>35900</v>
      </c>
      <c r="K996" s="68">
        <v>0</v>
      </c>
      <c r="L996" s="68" t="s">
        <v>3</v>
      </c>
      <c r="M996" s="27" t="s">
        <v>0</v>
      </c>
      <c r="N996" s="27" t="s">
        <v>25</v>
      </c>
      <c r="O996" s="27" t="s">
        <v>333</v>
      </c>
      <c r="Q996" s="218"/>
      <c r="S996" s="27" t="s">
        <v>158</v>
      </c>
      <c r="T996" s="69" t="s">
        <v>84</v>
      </c>
      <c r="U996" s="69">
        <v>5</v>
      </c>
      <c r="V996" s="69">
        <v>120.12</v>
      </c>
      <c r="W996" s="69" t="s">
        <v>710</v>
      </c>
      <c r="X996" s="70">
        <v>44851</v>
      </c>
      <c r="Y996" s="70">
        <v>44851</v>
      </c>
      <c r="Z996" s="219" t="s">
        <v>772</v>
      </c>
      <c r="AA996" s="214">
        <v>48260</v>
      </c>
      <c r="AB996" s="27">
        <v>96</v>
      </c>
      <c r="AC996" s="27">
        <v>16</v>
      </c>
      <c r="AD996" s="70">
        <v>45366</v>
      </c>
      <c r="AE996" s="220">
        <v>200</v>
      </c>
      <c r="AF996" s="220">
        <v>50</v>
      </c>
      <c r="AG996" s="27" t="s">
        <v>134</v>
      </c>
      <c r="AH996" s="70">
        <v>45377</v>
      </c>
      <c r="AI996" s="27">
        <v>47356469</v>
      </c>
      <c r="AJ996" s="27" t="s">
        <v>2251</v>
      </c>
      <c r="AK996" s="27" t="s">
        <v>2276</v>
      </c>
      <c r="AL996" s="28">
        <v>200</v>
      </c>
      <c r="AM996" s="28"/>
      <c r="AN996" s="28" t="s">
        <v>2298</v>
      </c>
      <c r="AO996" s="28"/>
      <c r="AP996" s="70">
        <v>45377</v>
      </c>
      <c r="AQ996" s="27">
        <v>47356469</v>
      </c>
      <c r="AR996" s="27" t="s">
        <v>2251</v>
      </c>
      <c r="AS996" s="27" t="s">
        <v>2277</v>
      </c>
      <c r="AT996" s="28">
        <v>50</v>
      </c>
      <c r="AU996" s="28"/>
      <c r="AV996" s="28" t="s">
        <v>2299</v>
      </c>
      <c r="AW996" s="70">
        <v>45376</v>
      </c>
      <c r="AX996" s="27">
        <v>2471</v>
      </c>
      <c r="BA996" s="145">
        <v>250</v>
      </c>
      <c r="BB996" s="28"/>
      <c r="CS996" s="28">
        <f t="shared" si="69"/>
        <v>250</v>
      </c>
      <c r="CT996" s="28">
        <f t="shared" si="70"/>
        <v>250</v>
      </c>
      <c r="CU996" s="28">
        <f t="shared" si="72"/>
        <v>0</v>
      </c>
      <c r="CV996" s="222">
        <f t="shared" si="71"/>
        <v>-50</v>
      </c>
      <c r="CW996" s="27" t="s">
        <v>3500</v>
      </c>
    </row>
    <row r="997" spans="1:101" s="27" customFormat="1" x14ac:dyDescent="0.2">
      <c r="A997" s="27" t="s">
        <v>332</v>
      </c>
      <c r="B997" s="67">
        <v>142</v>
      </c>
      <c r="C997" s="68" t="s">
        <v>95</v>
      </c>
      <c r="D997" s="68" t="s">
        <v>96</v>
      </c>
      <c r="E997" s="67"/>
      <c r="F997" s="67"/>
      <c r="G997" s="67" t="s">
        <v>84</v>
      </c>
      <c r="H997" s="67">
        <v>5</v>
      </c>
      <c r="I997" s="217">
        <v>120.12</v>
      </c>
      <c r="J997" s="217">
        <v>35900</v>
      </c>
      <c r="K997" s="68">
        <v>0</v>
      </c>
      <c r="L997" s="68" t="s">
        <v>3</v>
      </c>
      <c r="M997" s="27" t="s">
        <v>0</v>
      </c>
      <c r="N997" s="27" t="s">
        <v>25</v>
      </c>
      <c r="O997" s="27" t="s">
        <v>333</v>
      </c>
      <c r="Q997" s="218"/>
      <c r="S997" s="27" t="s">
        <v>158</v>
      </c>
      <c r="T997" s="69" t="s">
        <v>84</v>
      </c>
      <c r="U997" s="69">
        <v>5</v>
      </c>
      <c r="V997" s="69">
        <v>120.12</v>
      </c>
      <c r="W997" s="69" t="s">
        <v>710</v>
      </c>
      <c r="X997" s="70">
        <v>44851</v>
      </c>
      <c r="Y997" s="70">
        <v>44851</v>
      </c>
      <c r="Z997" s="219" t="s">
        <v>772</v>
      </c>
      <c r="AA997" s="214">
        <v>48260</v>
      </c>
      <c r="AB997" s="27">
        <v>96</v>
      </c>
      <c r="AC997" s="27">
        <v>17</v>
      </c>
      <c r="AD997" s="70">
        <v>45397</v>
      </c>
      <c r="AE997" s="220">
        <v>200</v>
      </c>
      <c r="AF997" s="220">
        <v>50</v>
      </c>
      <c r="AG997" s="27" t="s">
        <v>134</v>
      </c>
      <c r="AH997" s="70">
        <v>45408</v>
      </c>
      <c r="AI997" s="27">
        <v>47356469</v>
      </c>
      <c r="AJ997" s="27" t="s">
        <v>2251</v>
      </c>
      <c r="AK997" s="27" t="s">
        <v>2278</v>
      </c>
      <c r="AL997" s="28">
        <v>200</v>
      </c>
      <c r="AM997" s="28"/>
      <c r="AN997" s="28" t="s">
        <v>2300</v>
      </c>
      <c r="AO997" s="28"/>
      <c r="AP997" s="70">
        <v>45408</v>
      </c>
      <c r="AQ997" s="27">
        <v>47356469</v>
      </c>
      <c r="AR997" s="27" t="s">
        <v>2251</v>
      </c>
      <c r="AS997" s="27" t="s">
        <v>2279</v>
      </c>
      <c r="AT997" s="28">
        <v>50</v>
      </c>
      <c r="AU997" s="28"/>
      <c r="AV997" s="28" t="s">
        <v>2301</v>
      </c>
      <c r="AW997" s="70">
        <v>45407</v>
      </c>
      <c r="AX997" s="27">
        <v>2577</v>
      </c>
      <c r="BA997" s="28">
        <v>250</v>
      </c>
      <c r="BB997" s="28"/>
      <c r="CS997" s="28">
        <f t="shared" si="69"/>
        <v>250</v>
      </c>
      <c r="CT997" s="28">
        <f t="shared" si="70"/>
        <v>250</v>
      </c>
      <c r="CU997" s="28">
        <f t="shared" si="72"/>
        <v>0</v>
      </c>
      <c r="CV997" s="222">
        <f t="shared" si="71"/>
        <v>-50</v>
      </c>
      <c r="CW997" s="27" t="s">
        <v>3500</v>
      </c>
    </row>
    <row r="998" spans="1:101" s="27" customFormat="1" x14ac:dyDescent="0.2">
      <c r="A998" s="27" t="s">
        <v>332</v>
      </c>
      <c r="B998" s="67">
        <v>142</v>
      </c>
      <c r="C998" s="68" t="s">
        <v>95</v>
      </c>
      <c r="D998" s="68" t="s">
        <v>96</v>
      </c>
      <c r="E998" s="67"/>
      <c r="F998" s="67"/>
      <c r="G998" s="67" t="s">
        <v>84</v>
      </c>
      <c r="H998" s="67">
        <v>5</v>
      </c>
      <c r="I998" s="217">
        <v>120.12</v>
      </c>
      <c r="J998" s="217">
        <v>35900</v>
      </c>
      <c r="K998" s="68">
        <v>0</v>
      </c>
      <c r="L998" s="68" t="s">
        <v>3</v>
      </c>
      <c r="M998" s="27" t="s">
        <v>0</v>
      </c>
      <c r="N998" s="27" t="s">
        <v>25</v>
      </c>
      <c r="O998" s="27" t="s">
        <v>333</v>
      </c>
      <c r="Q998" s="218"/>
      <c r="S998" s="27" t="s">
        <v>158</v>
      </c>
      <c r="T998" s="69" t="s">
        <v>84</v>
      </c>
      <c r="U998" s="69">
        <v>5</v>
      </c>
      <c r="V998" s="69">
        <v>120.12</v>
      </c>
      <c r="W998" s="69" t="s">
        <v>710</v>
      </c>
      <c r="X998" s="70">
        <v>44851</v>
      </c>
      <c r="Y998" s="70">
        <v>44851</v>
      </c>
      <c r="Z998" s="219" t="s">
        <v>772</v>
      </c>
      <c r="AA998" s="214">
        <v>48260</v>
      </c>
      <c r="AB998" s="27">
        <v>96</v>
      </c>
      <c r="AC998" s="27">
        <v>18</v>
      </c>
      <c r="AD998" s="70">
        <v>45427</v>
      </c>
      <c r="AE998" s="220">
        <v>200</v>
      </c>
      <c r="AF998" s="220">
        <v>40</v>
      </c>
      <c r="AG998" s="27" t="s">
        <v>134</v>
      </c>
      <c r="AH998" s="70">
        <v>45436</v>
      </c>
      <c r="AI998" s="27">
        <v>47356469</v>
      </c>
      <c r="AJ998" s="27" t="s">
        <v>2251</v>
      </c>
      <c r="AK998" s="27" t="s">
        <v>2280</v>
      </c>
      <c r="AL998" s="28">
        <v>200</v>
      </c>
      <c r="AM998" s="28"/>
      <c r="AN998" s="28" t="s">
        <v>2302</v>
      </c>
      <c r="AO998" s="28"/>
      <c r="AP998" s="70">
        <v>45436</v>
      </c>
      <c r="AQ998" s="27">
        <v>47356469</v>
      </c>
      <c r="AR998" s="27" t="s">
        <v>2251</v>
      </c>
      <c r="AS998" s="27" t="s">
        <v>2281</v>
      </c>
      <c r="AT998" s="28">
        <v>40</v>
      </c>
      <c r="AU998" s="28"/>
      <c r="AV998" s="28" t="s">
        <v>2303</v>
      </c>
      <c r="AW998" s="70">
        <v>45436</v>
      </c>
      <c r="AX998" s="27">
        <v>2684</v>
      </c>
      <c r="BA998" s="28">
        <v>240</v>
      </c>
      <c r="BB998" s="28"/>
      <c r="CS998" s="28">
        <f t="shared" si="69"/>
        <v>240</v>
      </c>
      <c r="CT998" s="28">
        <f t="shared" si="70"/>
        <v>240</v>
      </c>
      <c r="CU998" s="28">
        <f t="shared" si="72"/>
        <v>0</v>
      </c>
      <c r="CV998" s="222">
        <f t="shared" si="71"/>
        <v>-40</v>
      </c>
      <c r="CW998" s="27" t="s">
        <v>3500</v>
      </c>
    </row>
    <row r="999" spans="1:101" ht="12.75" x14ac:dyDescent="0.2">
      <c r="A999" s="9" t="s">
        <v>332</v>
      </c>
      <c r="B999" s="2">
        <v>142</v>
      </c>
      <c r="C999" s="3" t="s">
        <v>95</v>
      </c>
      <c r="D999" s="3" t="s">
        <v>96</v>
      </c>
      <c r="E999" s="2"/>
      <c r="F999" s="2"/>
      <c r="G999" s="2" t="s">
        <v>84</v>
      </c>
      <c r="H999" s="2">
        <v>5</v>
      </c>
      <c r="I999" s="8">
        <v>120.12</v>
      </c>
      <c r="J999" s="8">
        <v>35900</v>
      </c>
      <c r="K999" s="3">
        <v>0</v>
      </c>
      <c r="L999" s="3" t="s">
        <v>3</v>
      </c>
      <c r="M999" s="9" t="s">
        <v>0</v>
      </c>
      <c r="N999" s="9" t="s">
        <v>25</v>
      </c>
      <c r="O999" s="9" t="s">
        <v>333</v>
      </c>
      <c r="S999" s="9" t="s">
        <v>158</v>
      </c>
      <c r="T999" s="10" t="s">
        <v>84</v>
      </c>
      <c r="U999" s="10">
        <v>5</v>
      </c>
      <c r="V999" s="10">
        <v>120.12</v>
      </c>
      <c r="W999" s="10" t="s">
        <v>710</v>
      </c>
      <c r="X999" s="17">
        <v>44851</v>
      </c>
      <c r="Y999" s="17">
        <v>44851</v>
      </c>
      <c r="Z999" s="19" t="s">
        <v>772</v>
      </c>
      <c r="AA999" s="210">
        <v>48260</v>
      </c>
      <c r="AB999" s="9">
        <v>96</v>
      </c>
      <c r="AC999" s="9">
        <v>19</v>
      </c>
      <c r="AD999" s="17">
        <v>45458</v>
      </c>
      <c r="AE999" s="56">
        <v>200</v>
      </c>
      <c r="AF999" s="56"/>
      <c r="AG999" s="9" t="s">
        <v>134</v>
      </c>
      <c r="AH999" s="17">
        <v>45460</v>
      </c>
      <c r="AI999" s="9">
        <v>47356469</v>
      </c>
      <c r="AJ999" s="9" t="s">
        <v>2251</v>
      </c>
      <c r="AK999" s="9" t="s">
        <v>2282</v>
      </c>
      <c r="AL999" s="11">
        <v>200</v>
      </c>
      <c r="AN999" s="11" t="s">
        <v>2304</v>
      </c>
      <c r="AP999" s="11"/>
      <c r="AQ999" s="11"/>
      <c r="AR999" s="11"/>
      <c r="AW999" s="108">
        <v>45460</v>
      </c>
      <c r="AX999" s="109">
        <v>2798</v>
      </c>
      <c r="AY999" s="36"/>
      <c r="AZ999" s="36"/>
      <c r="BA999" s="40">
        <v>200</v>
      </c>
      <c r="BD999" s="9"/>
      <c r="CS999" s="11">
        <f t="shared" si="69"/>
        <v>200</v>
      </c>
      <c r="CT999" s="22">
        <f t="shared" si="70"/>
        <v>200</v>
      </c>
      <c r="CU999" s="22">
        <f t="shared" si="72"/>
        <v>0</v>
      </c>
      <c r="CV999" s="26">
        <f t="shared" si="71"/>
        <v>0</v>
      </c>
    </row>
    <row r="1000" spans="1:101" s="27" customFormat="1" ht="12.75" x14ac:dyDescent="0.2">
      <c r="A1000" s="27" t="s">
        <v>332</v>
      </c>
      <c r="B1000" s="67">
        <v>142</v>
      </c>
      <c r="C1000" s="68" t="s">
        <v>95</v>
      </c>
      <c r="D1000" s="68" t="s">
        <v>96</v>
      </c>
      <c r="E1000" s="67"/>
      <c r="F1000" s="67"/>
      <c r="G1000" s="67" t="s">
        <v>84</v>
      </c>
      <c r="H1000" s="67">
        <v>5</v>
      </c>
      <c r="I1000" s="217">
        <v>120.12</v>
      </c>
      <c r="J1000" s="217">
        <v>35900</v>
      </c>
      <c r="K1000" s="68">
        <v>0</v>
      </c>
      <c r="L1000" s="68" t="s">
        <v>3</v>
      </c>
      <c r="M1000" s="27" t="s">
        <v>0</v>
      </c>
      <c r="N1000" s="27" t="s">
        <v>25</v>
      </c>
      <c r="O1000" s="27" t="s">
        <v>333</v>
      </c>
      <c r="Q1000" s="218"/>
      <c r="S1000" s="27" t="s">
        <v>158</v>
      </c>
      <c r="T1000" s="69" t="s">
        <v>84</v>
      </c>
      <c r="U1000" s="69">
        <v>5</v>
      </c>
      <c r="V1000" s="69">
        <v>120.12</v>
      </c>
      <c r="W1000" s="69" t="s">
        <v>710</v>
      </c>
      <c r="X1000" s="70">
        <v>44851</v>
      </c>
      <c r="Y1000" s="70">
        <v>44851</v>
      </c>
      <c r="Z1000" s="219" t="s">
        <v>772</v>
      </c>
      <c r="AA1000" s="214">
        <v>48260</v>
      </c>
      <c r="AB1000" s="27">
        <v>96</v>
      </c>
      <c r="AC1000" s="27">
        <v>20</v>
      </c>
      <c r="AD1000" s="70">
        <v>45488</v>
      </c>
      <c r="AE1000" s="220">
        <v>200</v>
      </c>
      <c r="AF1000" s="220">
        <v>50</v>
      </c>
      <c r="AG1000" s="27" t="s">
        <v>134</v>
      </c>
      <c r="AH1000" s="70">
        <v>45498</v>
      </c>
      <c r="AI1000" s="27">
        <v>47356469</v>
      </c>
      <c r="AJ1000" s="27" t="s">
        <v>2251</v>
      </c>
      <c r="AK1000" s="27" t="s">
        <v>2283</v>
      </c>
      <c r="AL1000" s="28">
        <v>200</v>
      </c>
      <c r="AM1000" s="28"/>
      <c r="AN1000" s="28" t="s">
        <v>2305</v>
      </c>
      <c r="AO1000" s="28"/>
      <c r="AP1000" s="70">
        <v>45498</v>
      </c>
      <c r="AQ1000" s="27">
        <v>47356469</v>
      </c>
      <c r="AR1000" s="27" t="s">
        <v>2251</v>
      </c>
      <c r="AS1000" s="27" t="s">
        <v>2284</v>
      </c>
      <c r="AT1000" s="28">
        <v>50</v>
      </c>
      <c r="AU1000" s="28"/>
      <c r="AV1000" s="28" t="s">
        <v>2306</v>
      </c>
      <c r="AW1000" s="144">
        <v>45498</v>
      </c>
      <c r="AX1000" s="146">
        <v>2937</v>
      </c>
      <c r="BA1000" s="28">
        <v>250</v>
      </c>
      <c r="BB1000" s="28"/>
      <c r="CS1000" s="28">
        <f t="shared" si="69"/>
        <v>250</v>
      </c>
      <c r="CT1000" s="28">
        <f t="shared" si="70"/>
        <v>250</v>
      </c>
      <c r="CU1000" s="28">
        <f t="shared" si="72"/>
        <v>0</v>
      </c>
      <c r="CV1000" s="222">
        <f t="shared" si="71"/>
        <v>-50</v>
      </c>
      <c r="CW1000" s="27" t="s">
        <v>3500</v>
      </c>
    </row>
    <row r="1001" spans="1:101" s="27" customFormat="1" ht="12.75" x14ac:dyDescent="0.2">
      <c r="A1001" s="27" t="s">
        <v>332</v>
      </c>
      <c r="B1001" s="67">
        <v>142</v>
      </c>
      <c r="C1001" s="68" t="s">
        <v>95</v>
      </c>
      <c r="D1001" s="68" t="s">
        <v>96</v>
      </c>
      <c r="E1001" s="67"/>
      <c r="F1001" s="67"/>
      <c r="G1001" s="67" t="s">
        <v>84</v>
      </c>
      <c r="H1001" s="67">
        <v>5</v>
      </c>
      <c r="I1001" s="217">
        <v>120.12</v>
      </c>
      <c r="J1001" s="217">
        <v>35900</v>
      </c>
      <c r="K1001" s="68">
        <v>0</v>
      </c>
      <c r="L1001" s="68" t="s">
        <v>3</v>
      </c>
      <c r="M1001" s="27" t="s">
        <v>0</v>
      </c>
      <c r="N1001" s="27" t="s">
        <v>25</v>
      </c>
      <c r="O1001" s="27" t="s">
        <v>333</v>
      </c>
      <c r="Q1001" s="218"/>
      <c r="S1001" s="27" t="s">
        <v>158</v>
      </c>
      <c r="T1001" s="69" t="s">
        <v>84</v>
      </c>
      <c r="U1001" s="69">
        <v>5</v>
      </c>
      <c r="V1001" s="69">
        <v>120.12</v>
      </c>
      <c r="W1001" s="69" t="s">
        <v>710</v>
      </c>
      <c r="X1001" s="70">
        <v>44851</v>
      </c>
      <c r="Y1001" s="70">
        <v>44851</v>
      </c>
      <c r="Z1001" s="219" t="s">
        <v>772</v>
      </c>
      <c r="AA1001" s="214">
        <v>48260</v>
      </c>
      <c r="AB1001" s="27">
        <v>96</v>
      </c>
      <c r="AC1001" s="27">
        <v>21</v>
      </c>
      <c r="AD1001" s="70">
        <v>45519</v>
      </c>
      <c r="AE1001" s="220">
        <v>200</v>
      </c>
      <c r="AF1001" s="220">
        <v>40</v>
      </c>
      <c r="AG1001" s="27" t="s">
        <v>134</v>
      </c>
      <c r="AH1001" s="70">
        <v>45530</v>
      </c>
      <c r="AI1001" s="27">
        <v>47356469</v>
      </c>
      <c r="AJ1001" s="27" t="s">
        <v>2251</v>
      </c>
      <c r="AK1001" s="27" t="s">
        <v>2285</v>
      </c>
      <c r="AL1001" s="28">
        <v>200</v>
      </c>
      <c r="AM1001" s="28"/>
      <c r="AN1001" s="28" t="s">
        <v>2307</v>
      </c>
      <c r="AO1001" s="28"/>
      <c r="AP1001" s="70">
        <v>45530</v>
      </c>
      <c r="AQ1001" s="27">
        <v>47356469</v>
      </c>
      <c r="AR1001" s="27" t="s">
        <v>2251</v>
      </c>
      <c r="AS1001" s="27" t="s">
        <v>2286</v>
      </c>
      <c r="AT1001" s="28">
        <v>40</v>
      </c>
      <c r="AU1001" s="28"/>
      <c r="AV1001" s="28" t="s">
        <v>2308</v>
      </c>
      <c r="AW1001" s="144">
        <v>45527</v>
      </c>
      <c r="AX1001" s="146">
        <v>3076</v>
      </c>
      <c r="BA1001" s="28">
        <v>240</v>
      </c>
      <c r="BB1001" s="28"/>
      <c r="CS1001" s="28">
        <f t="shared" si="69"/>
        <v>240</v>
      </c>
      <c r="CT1001" s="28">
        <f t="shared" si="70"/>
        <v>240</v>
      </c>
      <c r="CU1001" s="28">
        <f t="shared" si="72"/>
        <v>0</v>
      </c>
      <c r="CV1001" s="222">
        <f t="shared" si="71"/>
        <v>-40</v>
      </c>
      <c r="CW1001" s="27" t="s">
        <v>3500</v>
      </c>
    </row>
    <row r="1002" spans="1:101" s="27" customFormat="1" ht="12.75" x14ac:dyDescent="0.2">
      <c r="A1002" s="27" t="s">
        <v>332</v>
      </c>
      <c r="B1002" s="67">
        <v>142</v>
      </c>
      <c r="C1002" s="68" t="s">
        <v>95</v>
      </c>
      <c r="D1002" s="68" t="s">
        <v>96</v>
      </c>
      <c r="E1002" s="67"/>
      <c r="F1002" s="67"/>
      <c r="G1002" s="67" t="s">
        <v>84</v>
      </c>
      <c r="H1002" s="67">
        <v>5</v>
      </c>
      <c r="I1002" s="217">
        <v>120.12</v>
      </c>
      <c r="J1002" s="217">
        <v>35900</v>
      </c>
      <c r="K1002" s="68">
        <v>0</v>
      </c>
      <c r="L1002" s="68" t="s">
        <v>3</v>
      </c>
      <c r="M1002" s="27" t="s">
        <v>0</v>
      </c>
      <c r="N1002" s="27" t="s">
        <v>25</v>
      </c>
      <c r="O1002" s="27" t="s">
        <v>333</v>
      </c>
      <c r="Q1002" s="218"/>
      <c r="S1002" s="27" t="s">
        <v>158</v>
      </c>
      <c r="T1002" s="69" t="s">
        <v>84</v>
      </c>
      <c r="U1002" s="69">
        <v>5</v>
      </c>
      <c r="V1002" s="69">
        <v>120.12</v>
      </c>
      <c r="W1002" s="69" t="s">
        <v>710</v>
      </c>
      <c r="X1002" s="70">
        <v>44851</v>
      </c>
      <c r="Y1002" s="70">
        <v>44851</v>
      </c>
      <c r="Z1002" s="219" t="s">
        <v>772</v>
      </c>
      <c r="AA1002" s="214">
        <v>48260</v>
      </c>
      <c r="AB1002" s="27">
        <v>96</v>
      </c>
      <c r="AC1002" s="27">
        <v>22</v>
      </c>
      <c r="AD1002" s="70">
        <v>45550</v>
      </c>
      <c r="AE1002" s="220">
        <v>200</v>
      </c>
      <c r="AF1002" s="220">
        <v>50</v>
      </c>
      <c r="AG1002" s="27" t="s">
        <v>134</v>
      </c>
      <c r="AH1002" s="70">
        <v>45560</v>
      </c>
      <c r="AI1002" s="27">
        <v>47356469</v>
      </c>
      <c r="AJ1002" s="27" t="s">
        <v>2251</v>
      </c>
      <c r="AK1002" s="27" t="s">
        <v>2287</v>
      </c>
      <c r="AL1002" s="28">
        <v>200</v>
      </c>
      <c r="AM1002" s="28"/>
      <c r="AN1002" s="28" t="s">
        <v>2309</v>
      </c>
      <c r="AO1002" s="28"/>
      <c r="AP1002" s="70">
        <v>45560</v>
      </c>
      <c r="AQ1002" s="27">
        <v>47356469</v>
      </c>
      <c r="AR1002" s="27" t="s">
        <v>2251</v>
      </c>
      <c r="AS1002" s="27" t="s">
        <v>2288</v>
      </c>
      <c r="AT1002" s="28">
        <v>50</v>
      </c>
      <c r="AU1002" s="28"/>
      <c r="AV1002" s="28" t="s">
        <v>2310</v>
      </c>
      <c r="AW1002" s="144">
        <v>45560</v>
      </c>
      <c r="AX1002" s="146">
        <v>3197</v>
      </c>
      <c r="BA1002" s="145">
        <v>250</v>
      </c>
      <c r="BB1002" s="28"/>
      <c r="CS1002" s="28">
        <f t="shared" si="69"/>
        <v>250</v>
      </c>
      <c r="CT1002" s="28">
        <f t="shared" si="70"/>
        <v>250</v>
      </c>
      <c r="CU1002" s="28">
        <f t="shared" si="72"/>
        <v>0</v>
      </c>
      <c r="CV1002" s="222">
        <f t="shared" si="71"/>
        <v>-50</v>
      </c>
      <c r="CW1002" s="27" t="s">
        <v>3500</v>
      </c>
    </row>
    <row r="1003" spans="1:101" s="27" customFormat="1" ht="12.75" x14ac:dyDescent="0.2">
      <c r="A1003" s="27" t="s">
        <v>332</v>
      </c>
      <c r="B1003" s="67">
        <v>142</v>
      </c>
      <c r="C1003" s="68" t="s">
        <v>95</v>
      </c>
      <c r="D1003" s="68" t="s">
        <v>96</v>
      </c>
      <c r="E1003" s="67"/>
      <c r="F1003" s="67"/>
      <c r="G1003" s="67" t="s">
        <v>84</v>
      </c>
      <c r="H1003" s="67">
        <v>5</v>
      </c>
      <c r="I1003" s="217">
        <v>120.12</v>
      </c>
      <c r="J1003" s="217">
        <v>35900</v>
      </c>
      <c r="K1003" s="68">
        <v>0</v>
      </c>
      <c r="L1003" s="68" t="s">
        <v>3</v>
      </c>
      <c r="M1003" s="27" t="s">
        <v>0</v>
      </c>
      <c r="N1003" s="27" t="s">
        <v>25</v>
      </c>
      <c r="O1003" s="27" t="s">
        <v>333</v>
      </c>
      <c r="Q1003" s="218"/>
      <c r="S1003" s="27" t="s">
        <v>158</v>
      </c>
      <c r="T1003" s="69" t="s">
        <v>84</v>
      </c>
      <c r="U1003" s="69">
        <v>5</v>
      </c>
      <c r="V1003" s="69">
        <v>120.12</v>
      </c>
      <c r="W1003" s="69" t="s">
        <v>710</v>
      </c>
      <c r="X1003" s="70">
        <v>44851</v>
      </c>
      <c r="Y1003" s="70">
        <v>44851</v>
      </c>
      <c r="Z1003" s="219" t="s">
        <v>772</v>
      </c>
      <c r="AA1003" s="214">
        <v>48260</v>
      </c>
      <c r="AB1003" s="27">
        <v>96</v>
      </c>
      <c r="AC1003" s="27">
        <v>23</v>
      </c>
      <c r="AD1003" s="70">
        <v>45580</v>
      </c>
      <c r="AE1003" s="220">
        <v>200</v>
      </c>
      <c r="AF1003" s="220">
        <v>50</v>
      </c>
      <c r="AG1003" s="27" t="s">
        <v>134</v>
      </c>
      <c r="AH1003" s="70">
        <v>45590</v>
      </c>
      <c r="AI1003" s="27">
        <v>47356469</v>
      </c>
      <c r="AJ1003" s="27" t="s">
        <v>2251</v>
      </c>
      <c r="AK1003" s="27" t="s">
        <v>2289</v>
      </c>
      <c r="AL1003" s="28">
        <v>200</v>
      </c>
      <c r="AM1003" s="28"/>
      <c r="AN1003" s="28" t="s">
        <v>2311</v>
      </c>
      <c r="AO1003" s="28"/>
      <c r="AP1003" s="70">
        <v>45590</v>
      </c>
      <c r="AQ1003" s="27">
        <v>47356469</v>
      </c>
      <c r="AR1003" s="27" t="s">
        <v>2251</v>
      </c>
      <c r="AS1003" s="27" t="s">
        <v>2290</v>
      </c>
      <c r="AT1003" s="28">
        <v>50</v>
      </c>
      <c r="AU1003" s="28"/>
      <c r="AV1003" s="28" t="s">
        <v>2312</v>
      </c>
      <c r="AW1003" s="144">
        <v>45590</v>
      </c>
      <c r="AX1003" s="146">
        <v>3317</v>
      </c>
      <c r="BA1003" s="28">
        <v>250</v>
      </c>
      <c r="BB1003" s="28"/>
      <c r="CS1003" s="28">
        <f t="shared" si="69"/>
        <v>250</v>
      </c>
      <c r="CT1003" s="28">
        <f t="shared" si="70"/>
        <v>250</v>
      </c>
      <c r="CU1003" s="28">
        <f t="shared" si="72"/>
        <v>0</v>
      </c>
      <c r="CV1003" s="222">
        <f t="shared" si="71"/>
        <v>-50</v>
      </c>
      <c r="CW1003" s="27" t="s">
        <v>3500</v>
      </c>
    </row>
    <row r="1004" spans="1:101" s="27" customFormat="1" ht="12.75" x14ac:dyDescent="0.2">
      <c r="A1004" s="27" t="s">
        <v>332</v>
      </c>
      <c r="B1004" s="67">
        <v>142</v>
      </c>
      <c r="C1004" s="68" t="s">
        <v>95</v>
      </c>
      <c r="D1004" s="68" t="s">
        <v>96</v>
      </c>
      <c r="E1004" s="67"/>
      <c r="F1004" s="67"/>
      <c r="G1004" s="67" t="s">
        <v>84</v>
      </c>
      <c r="H1004" s="67">
        <v>5</v>
      </c>
      <c r="I1004" s="217">
        <v>120.12</v>
      </c>
      <c r="J1004" s="217">
        <v>35900</v>
      </c>
      <c r="K1004" s="68">
        <v>0</v>
      </c>
      <c r="L1004" s="68" t="s">
        <v>3</v>
      </c>
      <c r="M1004" s="27" t="s">
        <v>0</v>
      </c>
      <c r="N1004" s="27" t="s">
        <v>25</v>
      </c>
      <c r="O1004" s="27" t="s">
        <v>333</v>
      </c>
      <c r="Q1004" s="218"/>
      <c r="S1004" s="27" t="s">
        <v>158</v>
      </c>
      <c r="T1004" s="69" t="s">
        <v>84</v>
      </c>
      <c r="U1004" s="69">
        <v>5</v>
      </c>
      <c r="V1004" s="69">
        <v>120.12</v>
      </c>
      <c r="W1004" s="69" t="s">
        <v>710</v>
      </c>
      <c r="X1004" s="70">
        <v>44851</v>
      </c>
      <c r="Y1004" s="70">
        <v>44851</v>
      </c>
      <c r="Z1004" s="219" t="s">
        <v>772</v>
      </c>
      <c r="AA1004" s="214">
        <v>48260</v>
      </c>
      <c r="AB1004" s="27">
        <v>96</v>
      </c>
      <c r="AC1004" s="27">
        <v>24</v>
      </c>
      <c r="AD1004" s="70">
        <v>45611</v>
      </c>
      <c r="AE1004" s="220">
        <v>200</v>
      </c>
      <c r="AF1004" s="220">
        <v>50</v>
      </c>
      <c r="AG1004" s="27" t="s">
        <v>134</v>
      </c>
      <c r="AH1004" s="70">
        <v>45621</v>
      </c>
      <c r="AI1004" s="27">
        <v>47356469</v>
      </c>
      <c r="AJ1004" s="27" t="s">
        <v>2251</v>
      </c>
      <c r="AK1004" s="27" t="s">
        <v>2291</v>
      </c>
      <c r="AL1004" s="28">
        <v>200</v>
      </c>
      <c r="AM1004" s="28"/>
      <c r="AN1004" s="28" t="s">
        <v>2313</v>
      </c>
      <c r="AO1004" s="28"/>
      <c r="AP1004" s="70">
        <v>45621</v>
      </c>
      <c r="AQ1004" s="27">
        <v>47356469</v>
      </c>
      <c r="AR1004" s="27" t="s">
        <v>2251</v>
      </c>
      <c r="AS1004" s="27" t="s">
        <v>2292</v>
      </c>
      <c r="AT1004" s="28">
        <v>50</v>
      </c>
      <c r="AU1004" s="28"/>
      <c r="AV1004" s="28" t="s">
        <v>2314</v>
      </c>
      <c r="AW1004" s="144">
        <v>45621</v>
      </c>
      <c r="AX1004" s="146">
        <v>3443</v>
      </c>
      <c r="BA1004" s="28">
        <v>250</v>
      </c>
      <c r="BB1004" s="28"/>
      <c r="CS1004" s="28">
        <f t="shared" si="69"/>
        <v>250</v>
      </c>
      <c r="CT1004" s="28">
        <f t="shared" si="70"/>
        <v>250</v>
      </c>
      <c r="CU1004" s="28">
        <f t="shared" si="72"/>
        <v>0</v>
      </c>
      <c r="CV1004" s="222">
        <f t="shared" si="71"/>
        <v>-50</v>
      </c>
      <c r="CW1004" s="27" t="s">
        <v>3500</v>
      </c>
    </row>
    <row r="1005" spans="1:101" ht="12.75" x14ac:dyDescent="0.2">
      <c r="A1005" s="9" t="s">
        <v>332</v>
      </c>
      <c r="B1005" s="2">
        <v>142</v>
      </c>
      <c r="C1005" s="3" t="s">
        <v>95</v>
      </c>
      <c r="D1005" s="3" t="s">
        <v>96</v>
      </c>
      <c r="E1005" s="2"/>
      <c r="F1005" s="2"/>
      <c r="G1005" s="2" t="s">
        <v>84</v>
      </c>
      <c r="H1005" s="2">
        <v>5</v>
      </c>
      <c r="I1005" s="8">
        <v>120.12</v>
      </c>
      <c r="J1005" s="8">
        <v>35900</v>
      </c>
      <c r="K1005" s="3">
        <v>0</v>
      </c>
      <c r="L1005" s="3" t="s">
        <v>3</v>
      </c>
      <c r="M1005" s="9" t="s">
        <v>0</v>
      </c>
      <c r="N1005" s="9" t="s">
        <v>25</v>
      </c>
      <c r="O1005" s="9" t="s">
        <v>333</v>
      </c>
      <c r="S1005" s="9" t="s">
        <v>158</v>
      </c>
      <c r="T1005" s="10" t="s">
        <v>84</v>
      </c>
      <c r="U1005" s="10">
        <v>5</v>
      </c>
      <c r="V1005" s="10">
        <v>120.12</v>
      </c>
      <c r="W1005" s="10" t="s">
        <v>710</v>
      </c>
      <c r="X1005" s="17">
        <v>44851</v>
      </c>
      <c r="Y1005" s="17">
        <v>44851</v>
      </c>
      <c r="Z1005" s="19" t="s">
        <v>772</v>
      </c>
      <c r="AA1005" s="210">
        <v>48260</v>
      </c>
      <c r="AB1005" s="9">
        <v>96</v>
      </c>
      <c r="AC1005" s="9">
        <v>25</v>
      </c>
      <c r="AD1005" s="17">
        <v>45641</v>
      </c>
      <c r="AE1005" s="56">
        <v>534.16999999999996</v>
      </c>
      <c r="AF1005" s="56"/>
      <c r="AG1005" s="9" t="s">
        <v>134</v>
      </c>
      <c r="AH1005" s="17">
        <v>45652</v>
      </c>
      <c r="AI1005" s="9">
        <v>47356469</v>
      </c>
      <c r="AJ1005" s="9" t="s">
        <v>2251</v>
      </c>
      <c r="AK1005" s="9" t="s">
        <v>2293</v>
      </c>
      <c r="AL1005" s="11">
        <v>200</v>
      </c>
      <c r="AN1005" s="11" t="s">
        <v>2315</v>
      </c>
      <c r="AP1005" s="11"/>
      <c r="AQ1005" s="11"/>
      <c r="AR1005" s="11"/>
      <c r="AW1005" s="108">
        <v>45650</v>
      </c>
      <c r="AX1005" s="109">
        <v>3524</v>
      </c>
      <c r="AY1005" s="36"/>
      <c r="AZ1005" s="36"/>
      <c r="BA1005" s="40">
        <v>200</v>
      </c>
      <c r="BD1005" s="9"/>
      <c r="CS1005" s="11">
        <f t="shared" si="69"/>
        <v>200</v>
      </c>
      <c r="CT1005" s="22">
        <f t="shared" si="70"/>
        <v>200</v>
      </c>
      <c r="CU1005" s="22">
        <f t="shared" si="72"/>
        <v>0</v>
      </c>
      <c r="CV1005" s="26">
        <f t="shared" si="71"/>
        <v>334.16999999999996</v>
      </c>
      <c r="CW1005" s="9" t="s">
        <v>3501</v>
      </c>
    </row>
    <row r="1006" spans="1:101" ht="12.75" x14ac:dyDescent="0.2">
      <c r="A1006" s="9" t="s">
        <v>332</v>
      </c>
      <c r="B1006" s="2">
        <v>142</v>
      </c>
      <c r="C1006" s="3" t="s">
        <v>95</v>
      </c>
      <c r="D1006" s="3" t="s">
        <v>96</v>
      </c>
      <c r="E1006" s="2"/>
      <c r="F1006" s="2"/>
      <c r="G1006" s="2" t="s">
        <v>84</v>
      </c>
      <c r="H1006" s="2">
        <v>5</v>
      </c>
      <c r="I1006" s="8">
        <v>120.12</v>
      </c>
      <c r="J1006" s="8">
        <v>35900</v>
      </c>
      <c r="K1006" s="3">
        <v>0</v>
      </c>
      <c r="L1006" s="3" t="s">
        <v>3</v>
      </c>
      <c r="M1006" s="9" t="s">
        <v>0</v>
      </c>
      <c r="N1006" s="9" t="s">
        <v>25</v>
      </c>
      <c r="O1006" s="9" t="s">
        <v>333</v>
      </c>
      <c r="S1006" s="9" t="s">
        <v>158</v>
      </c>
      <c r="T1006" s="10" t="s">
        <v>84</v>
      </c>
      <c r="U1006" s="10">
        <v>5</v>
      </c>
      <c r="V1006" s="10">
        <v>120.12</v>
      </c>
      <c r="W1006" s="10" t="s">
        <v>710</v>
      </c>
      <c r="X1006" s="17">
        <v>44851</v>
      </c>
      <c r="Y1006" s="17">
        <v>44851</v>
      </c>
      <c r="Z1006" s="19" t="s">
        <v>772</v>
      </c>
      <c r="AA1006" s="210">
        <v>48260</v>
      </c>
      <c r="AB1006" s="9">
        <v>96</v>
      </c>
      <c r="AC1006" s="9">
        <v>26</v>
      </c>
      <c r="AD1006" s="17">
        <v>45672</v>
      </c>
      <c r="AE1006" s="56">
        <v>534.16999999999996</v>
      </c>
      <c r="AF1006" s="56"/>
      <c r="AG1006" s="9" t="s">
        <v>134</v>
      </c>
      <c r="AH1006" s="17">
        <v>45681</v>
      </c>
      <c r="AI1006" s="9">
        <v>47356469</v>
      </c>
      <c r="AJ1006" s="9" t="s">
        <v>2251</v>
      </c>
      <c r="AK1006" s="9" t="s">
        <v>2316</v>
      </c>
      <c r="AL1006" s="11">
        <v>200</v>
      </c>
      <c r="AN1006" s="11" t="s">
        <v>2325</v>
      </c>
      <c r="AP1006" s="11"/>
      <c r="AQ1006" s="11"/>
      <c r="AR1006" s="11"/>
      <c r="AW1006" s="108">
        <v>45681</v>
      </c>
      <c r="AX1006" s="109">
        <v>3652</v>
      </c>
      <c r="AY1006" s="36"/>
      <c r="AZ1006" s="36"/>
      <c r="BA1006" s="40">
        <v>200</v>
      </c>
      <c r="BD1006" s="9"/>
      <c r="CS1006" s="11">
        <f t="shared" si="69"/>
        <v>200</v>
      </c>
      <c r="CT1006" s="22">
        <f t="shared" si="70"/>
        <v>200</v>
      </c>
      <c r="CU1006" s="22">
        <f t="shared" si="72"/>
        <v>0</v>
      </c>
      <c r="CV1006" s="26">
        <f t="shared" si="71"/>
        <v>334.16999999999996</v>
      </c>
      <c r="CW1006" s="9" t="s">
        <v>3501</v>
      </c>
    </row>
    <row r="1007" spans="1:101" ht="12.75" x14ac:dyDescent="0.2">
      <c r="A1007" s="9" t="s">
        <v>332</v>
      </c>
      <c r="B1007" s="2">
        <v>142</v>
      </c>
      <c r="C1007" s="3" t="s">
        <v>95</v>
      </c>
      <c r="D1007" s="3" t="s">
        <v>96</v>
      </c>
      <c r="E1007" s="2"/>
      <c r="F1007" s="2"/>
      <c r="G1007" s="2" t="s">
        <v>84</v>
      </c>
      <c r="H1007" s="2">
        <v>5</v>
      </c>
      <c r="I1007" s="8">
        <v>120.12</v>
      </c>
      <c r="J1007" s="8">
        <v>35900</v>
      </c>
      <c r="K1007" s="3">
        <v>0</v>
      </c>
      <c r="L1007" s="3" t="s">
        <v>3</v>
      </c>
      <c r="M1007" s="9" t="s">
        <v>0</v>
      </c>
      <c r="N1007" s="9" t="s">
        <v>25</v>
      </c>
      <c r="O1007" s="9" t="s">
        <v>333</v>
      </c>
      <c r="S1007" s="9" t="s">
        <v>158</v>
      </c>
      <c r="T1007" s="10" t="s">
        <v>84</v>
      </c>
      <c r="U1007" s="10">
        <v>5</v>
      </c>
      <c r="V1007" s="10">
        <v>120.12</v>
      </c>
      <c r="W1007" s="10" t="s">
        <v>710</v>
      </c>
      <c r="X1007" s="17">
        <v>44851</v>
      </c>
      <c r="Y1007" s="17">
        <v>44851</v>
      </c>
      <c r="Z1007" s="19" t="s">
        <v>772</v>
      </c>
      <c r="AA1007" s="210">
        <v>48260</v>
      </c>
      <c r="AB1007" s="9">
        <v>96</v>
      </c>
      <c r="AC1007" s="9">
        <v>27</v>
      </c>
      <c r="AD1007" s="17">
        <v>45703</v>
      </c>
      <c r="AE1007" s="56">
        <v>534.16999999999996</v>
      </c>
      <c r="AF1007" s="56"/>
      <c r="AG1007" s="9" t="s">
        <v>134</v>
      </c>
      <c r="AH1007" s="17">
        <v>45721</v>
      </c>
      <c r="AI1007" s="9">
        <v>47356469</v>
      </c>
      <c r="AJ1007" s="9" t="s">
        <v>2251</v>
      </c>
      <c r="AK1007" s="9" t="s">
        <v>2317</v>
      </c>
      <c r="AL1007" s="11">
        <v>200</v>
      </c>
      <c r="AN1007" s="11" t="s">
        <v>2326</v>
      </c>
      <c r="AP1007" s="11"/>
      <c r="AQ1007" s="11"/>
      <c r="AR1007" s="11"/>
      <c r="AW1007" s="108">
        <v>45720</v>
      </c>
      <c r="AX1007" s="109">
        <v>3851</v>
      </c>
      <c r="AY1007" s="36"/>
      <c r="AZ1007" s="36"/>
      <c r="BA1007" s="40">
        <v>200</v>
      </c>
      <c r="BD1007" s="9"/>
      <c r="CS1007" s="11">
        <f t="shared" si="69"/>
        <v>200</v>
      </c>
      <c r="CT1007" s="22">
        <f t="shared" si="70"/>
        <v>200</v>
      </c>
      <c r="CU1007" s="22">
        <f t="shared" si="72"/>
        <v>0</v>
      </c>
      <c r="CV1007" s="26">
        <f t="shared" si="71"/>
        <v>334.16999999999996</v>
      </c>
      <c r="CW1007" s="9" t="s">
        <v>3501</v>
      </c>
    </row>
    <row r="1008" spans="1:101" ht="12.75" x14ac:dyDescent="0.2">
      <c r="A1008" s="9" t="s">
        <v>332</v>
      </c>
      <c r="B1008" s="2">
        <v>142</v>
      </c>
      <c r="C1008" s="3" t="s">
        <v>95</v>
      </c>
      <c r="D1008" s="3" t="s">
        <v>96</v>
      </c>
      <c r="E1008" s="2"/>
      <c r="F1008" s="2"/>
      <c r="G1008" s="2" t="s">
        <v>84</v>
      </c>
      <c r="H1008" s="2">
        <v>5</v>
      </c>
      <c r="I1008" s="8">
        <v>120.12</v>
      </c>
      <c r="J1008" s="8">
        <v>35900</v>
      </c>
      <c r="K1008" s="3">
        <v>0</v>
      </c>
      <c r="L1008" s="3" t="s">
        <v>3</v>
      </c>
      <c r="M1008" s="9" t="s">
        <v>0</v>
      </c>
      <c r="N1008" s="9" t="s">
        <v>25</v>
      </c>
      <c r="O1008" s="9" t="s">
        <v>333</v>
      </c>
      <c r="S1008" s="9" t="s">
        <v>158</v>
      </c>
      <c r="T1008" s="10" t="s">
        <v>84</v>
      </c>
      <c r="U1008" s="10">
        <v>5</v>
      </c>
      <c r="V1008" s="10">
        <v>120.12</v>
      </c>
      <c r="W1008" s="10" t="s">
        <v>710</v>
      </c>
      <c r="X1008" s="17">
        <v>44851</v>
      </c>
      <c r="Y1008" s="17">
        <v>44851</v>
      </c>
      <c r="Z1008" s="19" t="s">
        <v>772</v>
      </c>
      <c r="AA1008" s="210">
        <v>48260</v>
      </c>
      <c r="AB1008" s="9">
        <v>96</v>
      </c>
      <c r="AC1008" s="9">
        <v>28</v>
      </c>
      <c r="AD1008" s="17">
        <v>45731</v>
      </c>
      <c r="AE1008" s="56">
        <v>534.16999999999996</v>
      </c>
      <c r="AF1008" s="56"/>
      <c r="AG1008" s="9" t="s">
        <v>134</v>
      </c>
      <c r="AH1008" s="17">
        <v>45742</v>
      </c>
      <c r="AI1008" s="9">
        <v>47356469</v>
      </c>
      <c r="AJ1008" s="9" t="s">
        <v>2251</v>
      </c>
      <c r="AK1008" s="9" t="s">
        <v>2318</v>
      </c>
      <c r="AL1008" s="11">
        <v>200</v>
      </c>
      <c r="AN1008" s="11" t="s">
        <v>2327</v>
      </c>
      <c r="AP1008" s="11"/>
      <c r="AQ1008" s="11"/>
      <c r="AR1008" s="11"/>
      <c r="AW1008" s="108">
        <v>45741</v>
      </c>
      <c r="AX1008" s="109">
        <v>3921</v>
      </c>
      <c r="AY1008" s="36"/>
      <c r="AZ1008" s="36"/>
      <c r="BA1008" s="40">
        <v>200</v>
      </c>
      <c r="BD1008" s="9"/>
      <c r="CS1008" s="11">
        <f t="shared" si="69"/>
        <v>200</v>
      </c>
      <c r="CT1008" s="22">
        <f t="shared" si="70"/>
        <v>200</v>
      </c>
      <c r="CU1008" s="22">
        <f t="shared" si="72"/>
        <v>0</v>
      </c>
      <c r="CV1008" s="26">
        <f t="shared" si="71"/>
        <v>334.16999999999996</v>
      </c>
      <c r="CW1008" s="9" t="s">
        <v>3501</v>
      </c>
    </row>
    <row r="1009" spans="1:101" ht="12.75" x14ac:dyDescent="0.2">
      <c r="A1009" s="9" t="s">
        <v>332</v>
      </c>
      <c r="B1009" s="2">
        <v>142</v>
      </c>
      <c r="C1009" s="3" t="s">
        <v>95</v>
      </c>
      <c r="D1009" s="3" t="s">
        <v>96</v>
      </c>
      <c r="E1009" s="2"/>
      <c r="F1009" s="2"/>
      <c r="G1009" s="2" t="s">
        <v>84</v>
      </c>
      <c r="H1009" s="2">
        <v>5</v>
      </c>
      <c r="I1009" s="8">
        <v>120.12</v>
      </c>
      <c r="J1009" s="8">
        <v>35900</v>
      </c>
      <c r="K1009" s="3">
        <v>0</v>
      </c>
      <c r="L1009" s="3" t="s">
        <v>3</v>
      </c>
      <c r="M1009" s="9" t="s">
        <v>0</v>
      </c>
      <c r="N1009" s="9" t="s">
        <v>25</v>
      </c>
      <c r="O1009" s="9" t="s">
        <v>333</v>
      </c>
      <c r="S1009" s="9" t="s">
        <v>158</v>
      </c>
      <c r="T1009" s="10" t="s">
        <v>84</v>
      </c>
      <c r="U1009" s="10">
        <v>5</v>
      </c>
      <c r="V1009" s="10">
        <v>120.12</v>
      </c>
      <c r="W1009" s="10" t="s">
        <v>710</v>
      </c>
      <c r="X1009" s="17">
        <v>44851</v>
      </c>
      <c r="Y1009" s="17">
        <v>44851</v>
      </c>
      <c r="Z1009" s="19" t="s">
        <v>772</v>
      </c>
      <c r="AA1009" s="210">
        <v>48260</v>
      </c>
      <c r="AB1009" s="9">
        <v>96</v>
      </c>
      <c r="AC1009" s="9">
        <v>29</v>
      </c>
      <c r="AD1009" s="17">
        <v>45762</v>
      </c>
      <c r="AE1009" s="56">
        <v>534.16999999999996</v>
      </c>
      <c r="AF1009" s="56"/>
      <c r="AG1009" s="9" t="s">
        <v>134</v>
      </c>
      <c r="AH1009" s="17">
        <v>45791</v>
      </c>
      <c r="AI1009" s="9">
        <v>47356469</v>
      </c>
      <c r="AJ1009" s="9" t="s">
        <v>2251</v>
      </c>
      <c r="AK1009" s="9" t="s">
        <v>2319</v>
      </c>
      <c r="AL1009" s="11">
        <v>200</v>
      </c>
      <c r="AN1009" s="11" t="s">
        <v>2328</v>
      </c>
      <c r="AP1009" s="11"/>
      <c r="AQ1009" s="11"/>
      <c r="AR1009" s="11"/>
      <c r="AW1009" s="108">
        <v>45791</v>
      </c>
      <c r="AX1009" s="109">
        <v>4163</v>
      </c>
      <c r="AY1009" s="36"/>
      <c r="AZ1009" s="36"/>
      <c r="BA1009" s="40">
        <v>200</v>
      </c>
      <c r="BD1009" s="9"/>
      <c r="CS1009" s="11">
        <f t="shared" si="69"/>
        <v>200</v>
      </c>
      <c r="CT1009" s="22">
        <f t="shared" si="70"/>
        <v>200</v>
      </c>
      <c r="CU1009" s="22">
        <f t="shared" si="72"/>
        <v>0</v>
      </c>
      <c r="CV1009" s="26">
        <f t="shared" si="71"/>
        <v>334.16999999999996</v>
      </c>
      <c r="CW1009" s="9" t="s">
        <v>3501</v>
      </c>
    </row>
    <row r="1010" spans="1:101" ht="12.75" x14ac:dyDescent="0.2">
      <c r="A1010" s="9" t="s">
        <v>332</v>
      </c>
      <c r="B1010" s="2">
        <v>142</v>
      </c>
      <c r="C1010" s="3" t="s">
        <v>95</v>
      </c>
      <c r="D1010" s="3" t="s">
        <v>96</v>
      </c>
      <c r="E1010" s="2"/>
      <c r="F1010" s="2"/>
      <c r="G1010" s="2" t="s">
        <v>84</v>
      </c>
      <c r="H1010" s="2">
        <v>5</v>
      </c>
      <c r="I1010" s="8">
        <v>120.12</v>
      </c>
      <c r="J1010" s="8">
        <v>35900</v>
      </c>
      <c r="K1010" s="3">
        <v>0</v>
      </c>
      <c r="L1010" s="3" t="s">
        <v>3</v>
      </c>
      <c r="M1010" s="9" t="s">
        <v>0</v>
      </c>
      <c r="N1010" s="9" t="s">
        <v>25</v>
      </c>
      <c r="O1010" s="9" t="s">
        <v>333</v>
      </c>
      <c r="S1010" s="9" t="s">
        <v>158</v>
      </c>
      <c r="T1010" s="10" t="s">
        <v>84</v>
      </c>
      <c r="U1010" s="10">
        <v>5</v>
      </c>
      <c r="V1010" s="10">
        <v>120.12</v>
      </c>
      <c r="W1010" s="10" t="s">
        <v>710</v>
      </c>
      <c r="X1010" s="17">
        <v>44851</v>
      </c>
      <c r="Y1010" s="17">
        <v>44851</v>
      </c>
      <c r="Z1010" s="19" t="s">
        <v>772</v>
      </c>
      <c r="AA1010" s="210">
        <v>48260</v>
      </c>
      <c r="AB1010" s="9">
        <v>96</v>
      </c>
      <c r="AC1010" s="9">
        <v>30</v>
      </c>
      <c r="AD1010" s="17">
        <v>45792</v>
      </c>
      <c r="AE1010" s="56">
        <v>534.16999999999996</v>
      </c>
      <c r="AF1010" s="56"/>
      <c r="AG1010" s="9" t="s">
        <v>134</v>
      </c>
      <c r="AH1010" s="17">
        <v>45803</v>
      </c>
      <c r="AI1010" s="9">
        <v>47356469</v>
      </c>
      <c r="AJ1010" s="9" t="s">
        <v>2251</v>
      </c>
      <c r="AK1010" s="9" t="s">
        <v>2320</v>
      </c>
      <c r="AL1010" s="11">
        <v>200</v>
      </c>
      <c r="AN1010" s="11" t="s">
        <v>2329</v>
      </c>
      <c r="AP1010" s="11"/>
      <c r="AQ1010" s="11"/>
      <c r="AR1010" s="11"/>
      <c r="AW1010" s="108">
        <v>45803</v>
      </c>
      <c r="AX1010" s="109">
        <v>4217</v>
      </c>
      <c r="AY1010" s="36"/>
      <c r="AZ1010" s="36"/>
      <c r="BA1010" s="40">
        <v>200</v>
      </c>
      <c r="BD1010" s="9"/>
      <c r="CS1010" s="11">
        <f t="shared" si="69"/>
        <v>200</v>
      </c>
      <c r="CT1010" s="22">
        <f t="shared" si="70"/>
        <v>200</v>
      </c>
      <c r="CU1010" s="22">
        <f t="shared" si="72"/>
        <v>0</v>
      </c>
      <c r="CV1010" s="26">
        <f t="shared" si="71"/>
        <v>334.16999999999996</v>
      </c>
      <c r="CW1010" s="9" t="s">
        <v>3501</v>
      </c>
    </row>
    <row r="1011" spans="1:101" x14ac:dyDescent="0.2">
      <c r="A1011" s="9" t="s">
        <v>332</v>
      </c>
      <c r="B1011" s="2">
        <v>142</v>
      </c>
      <c r="C1011" s="3" t="s">
        <v>95</v>
      </c>
      <c r="D1011" s="3" t="s">
        <v>96</v>
      </c>
      <c r="E1011" s="2"/>
      <c r="F1011" s="2"/>
      <c r="G1011" s="2" t="s">
        <v>84</v>
      </c>
      <c r="H1011" s="2">
        <v>5</v>
      </c>
      <c r="I1011" s="8">
        <v>120.12</v>
      </c>
      <c r="J1011" s="8">
        <v>35900</v>
      </c>
      <c r="K1011" s="3">
        <v>0</v>
      </c>
      <c r="L1011" s="3" t="s">
        <v>3</v>
      </c>
      <c r="M1011" s="9" t="s">
        <v>0</v>
      </c>
      <c r="N1011" s="9" t="s">
        <v>25</v>
      </c>
      <c r="O1011" s="9" t="s">
        <v>333</v>
      </c>
      <c r="S1011" s="9" t="s">
        <v>158</v>
      </c>
      <c r="T1011" s="10" t="s">
        <v>84</v>
      </c>
      <c r="U1011" s="10">
        <v>5</v>
      </c>
      <c r="V1011" s="10">
        <v>120.12</v>
      </c>
      <c r="W1011" s="10" t="s">
        <v>710</v>
      </c>
      <c r="X1011" s="17">
        <v>44851</v>
      </c>
      <c r="Y1011" s="17">
        <v>44851</v>
      </c>
      <c r="Z1011" s="19" t="s">
        <v>772</v>
      </c>
      <c r="AA1011" s="210">
        <v>48260</v>
      </c>
      <c r="AB1011" s="9">
        <v>96</v>
      </c>
      <c r="AC1011" s="9">
        <v>31</v>
      </c>
      <c r="AD1011" s="17">
        <v>45823</v>
      </c>
      <c r="AE1011" s="56">
        <v>534.16999999999996</v>
      </c>
      <c r="AF1011" s="56"/>
      <c r="AG1011" s="9" t="s">
        <v>134</v>
      </c>
      <c r="AH1011" s="17">
        <v>45852</v>
      </c>
      <c r="AI1011" s="9">
        <v>47356469</v>
      </c>
      <c r="AJ1011" s="9" t="s">
        <v>2251</v>
      </c>
      <c r="AK1011" s="9" t="s">
        <v>2321</v>
      </c>
      <c r="AL1011" s="11">
        <v>200</v>
      </c>
      <c r="AN1011" s="11" t="s">
        <v>2330</v>
      </c>
      <c r="AP1011" s="11"/>
      <c r="AQ1011" s="11"/>
      <c r="AR1011" s="11"/>
      <c r="AW1011" s="42">
        <v>45835</v>
      </c>
      <c r="AX1011" s="36">
        <v>4347</v>
      </c>
      <c r="AY1011" s="36"/>
      <c r="AZ1011" s="36"/>
      <c r="BA1011" s="40">
        <v>100</v>
      </c>
      <c r="BC1011" s="42">
        <v>45849</v>
      </c>
      <c r="BD1011" s="36">
        <v>4408</v>
      </c>
      <c r="BE1011" s="36"/>
      <c r="BF1011" s="36"/>
      <c r="BG1011" s="36">
        <v>100</v>
      </c>
      <c r="BH1011" s="36"/>
      <c r="CS1011" s="11">
        <f t="shared" si="69"/>
        <v>200</v>
      </c>
      <c r="CT1011" s="22">
        <f t="shared" si="70"/>
        <v>200</v>
      </c>
      <c r="CU1011" s="22">
        <f t="shared" si="72"/>
        <v>0</v>
      </c>
      <c r="CV1011" s="26">
        <f t="shared" si="71"/>
        <v>334.16999999999996</v>
      </c>
      <c r="CW1011" s="9" t="s">
        <v>3501</v>
      </c>
    </row>
    <row r="1012" spans="1:101" ht="12.75" x14ac:dyDescent="0.2">
      <c r="A1012" s="9" t="s">
        <v>332</v>
      </c>
      <c r="B1012" s="2">
        <v>142</v>
      </c>
      <c r="C1012" s="3" t="s">
        <v>95</v>
      </c>
      <c r="D1012" s="3" t="s">
        <v>96</v>
      </c>
      <c r="E1012" s="2"/>
      <c r="F1012" s="2"/>
      <c r="G1012" s="2" t="s">
        <v>84</v>
      </c>
      <c r="H1012" s="2">
        <v>5</v>
      </c>
      <c r="I1012" s="8">
        <v>120.12</v>
      </c>
      <c r="J1012" s="8">
        <v>35900</v>
      </c>
      <c r="K1012" s="3">
        <v>0</v>
      </c>
      <c r="L1012" s="3" t="s">
        <v>3</v>
      </c>
      <c r="M1012" s="9" t="s">
        <v>0</v>
      </c>
      <c r="N1012" s="9" t="s">
        <v>25</v>
      </c>
      <c r="O1012" s="9" t="s">
        <v>333</v>
      </c>
      <c r="S1012" s="9" t="s">
        <v>158</v>
      </c>
      <c r="T1012" s="10" t="s">
        <v>84</v>
      </c>
      <c r="U1012" s="10">
        <v>5</v>
      </c>
      <c r="V1012" s="10">
        <v>120.12</v>
      </c>
      <c r="W1012" s="10" t="s">
        <v>710</v>
      </c>
      <c r="X1012" s="17">
        <v>44851</v>
      </c>
      <c r="Y1012" s="17">
        <v>44851</v>
      </c>
      <c r="Z1012" s="19" t="s">
        <v>772</v>
      </c>
      <c r="AA1012" s="210">
        <v>48260</v>
      </c>
      <c r="AB1012" s="9">
        <v>96</v>
      </c>
      <c r="AC1012" s="9">
        <v>32</v>
      </c>
      <c r="AD1012" s="17">
        <v>45853</v>
      </c>
      <c r="AE1012" s="56">
        <v>534.16999999999996</v>
      </c>
      <c r="AF1012" s="56"/>
      <c r="AG1012" s="9" t="s">
        <v>134</v>
      </c>
      <c r="AH1012" s="17">
        <v>45863</v>
      </c>
      <c r="AI1012" s="9">
        <v>47356469</v>
      </c>
      <c r="AJ1012" s="9" t="s">
        <v>2251</v>
      </c>
      <c r="AK1012" s="9" t="s">
        <v>2322</v>
      </c>
      <c r="AL1012" s="11">
        <v>200</v>
      </c>
      <c r="AN1012" s="11" t="s">
        <v>2331</v>
      </c>
      <c r="AP1012" s="11"/>
      <c r="AQ1012" s="11"/>
      <c r="AR1012" s="11"/>
      <c r="AW1012" s="108">
        <v>45863</v>
      </c>
      <c r="AX1012" s="109">
        <v>4473</v>
      </c>
      <c r="AY1012" s="36"/>
      <c r="AZ1012" s="36"/>
      <c r="BA1012" s="40">
        <v>200</v>
      </c>
      <c r="BD1012" s="9"/>
      <c r="CS1012" s="11">
        <f t="shared" si="69"/>
        <v>200</v>
      </c>
      <c r="CT1012" s="22">
        <f t="shared" si="70"/>
        <v>200</v>
      </c>
      <c r="CU1012" s="22">
        <f t="shared" si="72"/>
        <v>0</v>
      </c>
      <c r="CV1012" s="26">
        <f t="shared" si="71"/>
        <v>334.16999999999996</v>
      </c>
      <c r="CW1012" s="9" t="s">
        <v>3501</v>
      </c>
    </row>
    <row r="1013" spans="1:101" ht="12.75" x14ac:dyDescent="0.2">
      <c r="A1013" s="9" t="s">
        <v>332</v>
      </c>
      <c r="B1013" s="2">
        <v>142</v>
      </c>
      <c r="C1013" s="3" t="s">
        <v>95</v>
      </c>
      <c r="D1013" s="3" t="s">
        <v>96</v>
      </c>
      <c r="E1013" s="2"/>
      <c r="F1013" s="2"/>
      <c r="G1013" s="2" t="s">
        <v>84</v>
      </c>
      <c r="H1013" s="2">
        <v>5</v>
      </c>
      <c r="I1013" s="8">
        <v>120.12</v>
      </c>
      <c r="J1013" s="8">
        <v>35900</v>
      </c>
      <c r="K1013" s="3">
        <v>0</v>
      </c>
      <c r="L1013" s="3" t="s">
        <v>3</v>
      </c>
      <c r="M1013" s="9" t="s">
        <v>0</v>
      </c>
      <c r="N1013" s="9" t="s">
        <v>25</v>
      </c>
      <c r="O1013" s="9" t="s">
        <v>333</v>
      </c>
      <c r="S1013" s="9" t="s">
        <v>158</v>
      </c>
      <c r="T1013" s="10" t="s">
        <v>84</v>
      </c>
      <c r="U1013" s="10">
        <v>5</v>
      </c>
      <c r="V1013" s="10">
        <v>120.12</v>
      </c>
      <c r="W1013" s="10" t="s">
        <v>710</v>
      </c>
      <c r="X1013" s="17">
        <v>44851</v>
      </c>
      <c r="Y1013" s="17">
        <v>44851</v>
      </c>
      <c r="Z1013" s="19" t="s">
        <v>772</v>
      </c>
      <c r="AA1013" s="210">
        <v>48260</v>
      </c>
      <c r="AB1013" s="9">
        <v>96</v>
      </c>
      <c r="AC1013" s="9">
        <v>33</v>
      </c>
      <c r="AD1013" s="17">
        <v>45884</v>
      </c>
      <c r="AE1013" s="56">
        <v>534.16999999999996</v>
      </c>
      <c r="AF1013" s="56"/>
      <c r="AG1013" s="9" t="s">
        <v>134</v>
      </c>
      <c r="AH1013" s="17">
        <v>45895</v>
      </c>
      <c r="AI1013" s="9">
        <v>47356469</v>
      </c>
      <c r="AJ1013" s="9" t="s">
        <v>2251</v>
      </c>
      <c r="AK1013" s="9" t="s">
        <v>2323</v>
      </c>
      <c r="AL1013" s="11">
        <v>200</v>
      </c>
      <c r="AN1013" s="11" t="s">
        <v>2332</v>
      </c>
      <c r="AP1013" s="11"/>
      <c r="AQ1013" s="11"/>
      <c r="AR1013" s="11"/>
      <c r="AW1013" s="108">
        <v>45894</v>
      </c>
      <c r="AX1013" s="109">
        <v>4609</v>
      </c>
      <c r="AY1013" s="36"/>
      <c r="AZ1013" s="36"/>
      <c r="BA1013" s="40">
        <v>200</v>
      </c>
      <c r="BD1013" s="9"/>
      <c r="CS1013" s="11">
        <f t="shared" si="69"/>
        <v>200</v>
      </c>
      <c r="CT1013" s="22">
        <f t="shared" si="70"/>
        <v>200</v>
      </c>
      <c r="CU1013" s="22">
        <f t="shared" si="72"/>
        <v>0</v>
      </c>
      <c r="CV1013" s="26">
        <f t="shared" si="71"/>
        <v>334.16999999999996</v>
      </c>
      <c r="CW1013" s="9" t="s">
        <v>3501</v>
      </c>
    </row>
    <row r="1014" spans="1:101" ht="12.75" x14ac:dyDescent="0.2">
      <c r="A1014" s="9" t="s">
        <v>332</v>
      </c>
      <c r="B1014" s="2">
        <v>142</v>
      </c>
      <c r="C1014" s="3" t="s">
        <v>95</v>
      </c>
      <c r="D1014" s="3" t="s">
        <v>96</v>
      </c>
      <c r="E1014" s="2"/>
      <c r="F1014" s="2"/>
      <c r="G1014" s="2" t="s">
        <v>84</v>
      </c>
      <c r="H1014" s="2">
        <v>5</v>
      </c>
      <c r="I1014" s="8">
        <v>120.12</v>
      </c>
      <c r="J1014" s="8">
        <v>35900</v>
      </c>
      <c r="K1014" s="3">
        <v>0</v>
      </c>
      <c r="L1014" s="3" t="s">
        <v>3</v>
      </c>
      <c r="M1014" s="9" t="s">
        <v>0</v>
      </c>
      <c r="N1014" s="9" t="s">
        <v>25</v>
      </c>
      <c r="O1014" s="9" t="s">
        <v>333</v>
      </c>
      <c r="S1014" s="9" t="s">
        <v>158</v>
      </c>
      <c r="T1014" s="10" t="s">
        <v>84</v>
      </c>
      <c r="U1014" s="10">
        <v>5</v>
      </c>
      <c r="V1014" s="10">
        <v>120.12</v>
      </c>
      <c r="W1014" s="10" t="s">
        <v>710</v>
      </c>
      <c r="X1014" s="17">
        <v>44851</v>
      </c>
      <c r="Y1014" s="17">
        <v>44851</v>
      </c>
      <c r="Z1014" s="19" t="s">
        <v>772</v>
      </c>
      <c r="AA1014" s="210">
        <v>48260</v>
      </c>
      <c r="AB1014" s="9">
        <v>96</v>
      </c>
      <c r="AC1014" s="9">
        <v>34</v>
      </c>
      <c r="AD1014" s="17">
        <v>45915</v>
      </c>
      <c r="AE1014" s="56">
        <v>534.16999999999996</v>
      </c>
      <c r="AF1014" s="56"/>
      <c r="AG1014" s="9" t="s">
        <v>134</v>
      </c>
      <c r="AH1014" s="17">
        <v>45925</v>
      </c>
      <c r="AI1014" s="9">
        <v>47356469</v>
      </c>
      <c r="AJ1014" s="9" t="s">
        <v>2251</v>
      </c>
      <c r="AK1014" s="9" t="s">
        <v>2324</v>
      </c>
      <c r="AL1014" s="11">
        <v>200</v>
      </c>
      <c r="AN1014" s="11" t="s">
        <v>2333</v>
      </c>
      <c r="AP1014" s="11"/>
      <c r="AQ1014" s="11"/>
      <c r="AR1014" s="11"/>
      <c r="AW1014" s="108">
        <v>45925</v>
      </c>
      <c r="AX1014" s="109">
        <v>4800</v>
      </c>
      <c r="AY1014" s="36"/>
      <c r="AZ1014" s="36"/>
      <c r="BA1014" s="40">
        <v>200</v>
      </c>
      <c r="BD1014" s="9"/>
      <c r="CS1014" s="11">
        <f t="shared" si="69"/>
        <v>200</v>
      </c>
      <c r="CT1014" s="22">
        <f t="shared" si="70"/>
        <v>200</v>
      </c>
      <c r="CU1014" s="22">
        <f t="shared" si="72"/>
        <v>0</v>
      </c>
      <c r="CV1014" s="26">
        <f t="shared" si="71"/>
        <v>334.16999999999996</v>
      </c>
      <c r="CW1014" s="9" t="s">
        <v>3501</v>
      </c>
    </row>
    <row r="1015" spans="1:101" x14ac:dyDescent="0.2">
      <c r="A1015" s="9" t="s">
        <v>332</v>
      </c>
      <c r="B1015" s="2">
        <v>142</v>
      </c>
      <c r="C1015" s="3" t="s">
        <v>95</v>
      </c>
      <c r="D1015" s="3" t="s">
        <v>96</v>
      </c>
      <c r="E1015" s="2"/>
      <c r="F1015" s="2"/>
      <c r="G1015" s="2" t="s">
        <v>84</v>
      </c>
      <c r="H1015" s="2">
        <v>5</v>
      </c>
      <c r="I1015" s="8">
        <v>120.12</v>
      </c>
      <c r="J1015" s="8">
        <v>35900</v>
      </c>
      <c r="K1015" s="3">
        <v>0</v>
      </c>
      <c r="L1015" s="3" t="s">
        <v>3</v>
      </c>
      <c r="M1015" s="9" t="s">
        <v>0</v>
      </c>
      <c r="N1015" s="9" t="s">
        <v>25</v>
      </c>
      <c r="O1015" s="9" t="s">
        <v>333</v>
      </c>
      <c r="S1015" s="9" t="s">
        <v>158</v>
      </c>
      <c r="T1015" s="10" t="s">
        <v>84</v>
      </c>
      <c r="U1015" s="10">
        <v>5</v>
      </c>
      <c r="V1015" s="10">
        <v>120.12</v>
      </c>
      <c r="W1015" s="10" t="s">
        <v>710</v>
      </c>
      <c r="X1015" s="17">
        <v>44851</v>
      </c>
      <c r="Y1015" s="17">
        <v>44851</v>
      </c>
      <c r="Z1015" s="19" t="s">
        <v>772</v>
      </c>
      <c r="AA1015" s="210">
        <v>48260</v>
      </c>
      <c r="AB1015" s="9">
        <v>96</v>
      </c>
      <c r="AC1015" s="9">
        <v>35</v>
      </c>
      <c r="AD1015" s="17">
        <v>45945</v>
      </c>
      <c r="AE1015" s="56">
        <v>534.16999999999996</v>
      </c>
      <c r="AF1015" s="56"/>
      <c r="AP1015" s="11"/>
      <c r="AQ1015" s="11"/>
      <c r="AR1015" s="11"/>
      <c r="AW1015" s="9"/>
      <c r="BD1015" s="9"/>
      <c r="CS1015" s="11">
        <f t="shared" si="69"/>
        <v>0</v>
      </c>
      <c r="CT1015" s="22">
        <f t="shared" si="70"/>
        <v>0</v>
      </c>
      <c r="CU1015" s="22">
        <f t="shared" si="72"/>
        <v>0</v>
      </c>
      <c r="CV1015" s="26">
        <f t="shared" si="71"/>
        <v>534.16999999999996</v>
      </c>
    </row>
    <row r="1016" spans="1:101" x14ac:dyDescent="0.2">
      <c r="A1016" s="9" t="s">
        <v>332</v>
      </c>
      <c r="B1016" s="2">
        <v>142</v>
      </c>
      <c r="C1016" s="3" t="s">
        <v>95</v>
      </c>
      <c r="D1016" s="3" t="s">
        <v>96</v>
      </c>
      <c r="E1016" s="2"/>
      <c r="F1016" s="2"/>
      <c r="G1016" s="2" t="s">
        <v>84</v>
      </c>
      <c r="H1016" s="2">
        <v>5</v>
      </c>
      <c r="I1016" s="8">
        <v>120.12</v>
      </c>
      <c r="J1016" s="8">
        <v>35900</v>
      </c>
      <c r="K1016" s="3">
        <v>0</v>
      </c>
      <c r="L1016" s="3" t="s">
        <v>3</v>
      </c>
      <c r="M1016" s="9" t="s">
        <v>0</v>
      </c>
      <c r="N1016" s="9" t="s">
        <v>25</v>
      </c>
      <c r="O1016" s="9" t="s">
        <v>333</v>
      </c>
      <c r="S1016" s="9" t="s">
        <v>158</v>
      </c>
      <c r="T1016" s="10" t="s">
        <v>84</v>
      </c>
      <c r="U1016" s="10">
        <v>5</v>
      </c>
      <c r="V1016" s="10">
        <v>120.12</v>
      </c>
      <c r="W1016" s="10" t="s">
        <v>710</v>
      </c>
      <c r="X1016" s="17">
        <v>44851</v>
      </c>
      <c r="Y1016" s="17">
        <v>44851</v>
      </c>
      <c r="Z1016" s="19" t="s">
        <v>772</v>
      </c>
      <c r="AA1016" s="210">
        <v>48260</v>
      </c>
      <c r="AB1016" s="9">
        <v>96</v>
      </c>
      <c r="AC1016" s="9">
        <v>36</v>
      </c>
      <c r="AD1016" s="17">
        <v>45976</v>
      </c>
      <c r="AE1016" s="56">
        <v>534.16999999999996</v>
      </c>
      <c r="AF1016" s="56"/>
      <c r="AP1016" s="11"/>
      <c r="AQ1016" s="11"/>
      <c r="AR1016" s="11"/>
      <c r="AW1016" s="9"/>
      <c r="BD1016" s="9"/>
      <c r="CS1016" s="11">
        <f t="shared" si="69"/>
        <v>0</v>
      </c>
      <c r="CT1016" s="22">
        <f t="shared" si="70"/>
        <v>0</v>
      </c>
      <c r="CU1016" s="22">
        <f t="shared" si="72"/>
        <v>0</v>
      </c>
      <c r="CV1016" s="26">
        <f t="shared" si="71"/>
        <v>534.16999999999996</v>
      </c>
    </row>
    <row r="1017" spans="1:101" x14ac:dyDescent="0.2">
      <c r="A1017" s="9" t="s">
        <v>332</v>
      </c>
      <c r="B1017" s="2">
        <v>142</v>
      </c>
      <c r="C1017" s="3" t="s">
        <v>95</v>
      </c>
      <c r="D1017" s="3" t="s">
        <v>96</v>
      </c>
      <c r="E1017" s="2"/>
      <c r="F1017" s="2"/>
      <c r="G1017" s="2" t="s">
        <v>84</v>
      </c>
      <c r="H1017" s="2">
        <v>5</v>
      </c>
      <c r="I1017" s="8">
        <v>120.12</v>
      </c>
      <c r="J1017" s="8">
        <v>35900</v>
      </c>
      <c r="K1017" s="3">
        <v>0</v>
      </c>
      <c r="L1017" s="3" t="s">
        <v>3</v>
      </c>
      <c r="M1017" s="9" t="s">
        <v>0</v>
      </c>
      <c r="N1017" s="9" t="s">
        <v>25</v>
      </c>
      <c r="O1017" s="9" t="s">
        <v>333</v>
      </c>
      <c r="S1017" s="9" t="s">
        <v>158</v>
      </c>
      <c r="T1017" s="10" t="s">
        <v>84</v>
      </c>
      <c r="U1017" s="10">
        <v>5</v>
      </c>
      <c r="V1017" s="10">
        <v>120.12</v>
      </c>
      <c r="W1017" s="10" t="s">
        <v>710</v>
      </c>
      <c r="X1017" s="17">
        <v>44851</v>
      </c>
      <c r="Y1017" s="17">
        <v>44851</v>
      </c>
      <c r="Z1017" s="19" t="s">
        <v>772</v>
      </c>
      <c r="AA1017" s="210">
        <v>48260</v>
      </c>
      <c r="AB1017" s="9">
        <v>96</v>
      </c>
      <c r="AC1017" s="9">
        <v>37</v>
      </c>
      <c r="AD1017" s="17">
        <v>46006</v>
      </c>
      <c r="AE1017" s="56">
        <v>534.16999999999996</v>
      </c>
      <c r="AF1017" s="56"/>
      <c r="AP1017" s="11"/>
      <c r="AQ1017" s="11"/>
      <c r="AR1017" s="11"/>
      <c r="AW1017" s="9"/>
      <c r="BD1017" s="9"/>
      <c r="CS1017" s="11">
        <f t="shared" ref="CS1017:CS1080" si="73">+AL1017+AT1017</f>
        <v>0</v>
      </c>
      <c r="CT1017" s="22">
        <f t="shared" ref="CT1017:CT1080" si="74">+BA1017+BG1017+BM1017+BS1017+BY1017+CE1017+CK1017+CQ1017</f>
        <v>0</v>
      </c>
      <c r="CU1017" s="22">
        <f t="shared" si="72"/>
        <v>0</v>
      </c>
      <c r="CV1017" s="26">
        <f t="shared" ref="CV1017:CV1080" si="75">+AE1017-AL1017-AT1017</f>
        <v>534.16999999999996</v>
      </c>
    </row>
    <row r="1018" spans="1:101" x14ac:dyDescent="0.2">
      <c r="A1018" s="9" t="s">
        <v>332</v>
      </c>
      <c r="B1018" s="2">
        <v>142</v>
      </c>
      <c r="C1018" s="3" t="s">
        <v>95</v>
      </c>
      <c r="D1018" s="3" t="s">
        <v>96</v>
      </c>
      <c r="E1018" s="2"/>
      <c r="F1018" s="2"/>
      <c r="G1018" s="2" t="s">
        <v>84</v>
      </c>
      <c r="H1018" s="2">
        <v>5</v>
      </c>
      <c r="I1018" s="8">
        <v>120.12</v>
      </c>
      <c r="J1018" s="8">
        <v>35900</v>
      </c>
      <c r="K1018" s="3">
        <v>0</v>
      </c>
      <c r="L1018" s="3" t="s">
        <v>3</v>
      </c>
      <c r="M1018" s="9" t="s">
        <v>0</v>
      </c>
      <c r="N1018" s="9" t="s">
        <v>25</v>
      </c>
      <c r="O1018" s="9" t="s">
        <v>333</v>
      </c>
      <c r="S1018" s="9" t="s">
        <v>158</v>
      </c>
      <c r="T1018" s="10" t="s">
        <v>84</v>
      </c>
      <c r="U1018" s="10">
        <v>5</v>
      </c>
      <c r="V1018" s="10">
        <v>120.12</v>
      </c>
      <c r="W1018" s="10" t="s">
        <v>710</v>
      </c>
      <c r="X1018" s="17">
        <v>44851</v>
      </c>
      <c r="Y1018" s="17">
        <v>44851</v>
      </c>
      <c r="Z1018" s="19" t="s">
        <v>772</v>
      </c>
      <c r="AA1018" s="210">
        <v>48260</v>
      </c>
      <c r="AB1018" s="9">
        <v>96</v>
      </c>
      <c r="AC1018" s="9">
        <v>38</v>
      </c>
      <c r="AD1018" s="17">
        <v>46037</v>
      </c>
      <c r="AE1018" s="56">
        <v>534.16999999999996</v>
      </c>
      <c r="AF1018" s="56"/>
      <c r="AP1018" s="11"/>
      <c r="AQ1018" s="11"/>
      <c r="AR1018" s="11"/>
      <c r="AW1018" s="9"/>
      <c r="BD1018" s="9"/>
      <c r="CS1018" s="11">
        <f t="shared" si="73"/>
        <v>0</v>
      </c>
      <c r="CT1018" s="22">
        <f t="shared" si="74"/>
        <v>0</v>
      </c>
      <c r="CU1018" s="22">
        <f t="shared" si="72"/>
        <v>0</v>
      </c>
      <c r="CV1018" s="26">
        <f t="shared" si="75"/>
        <v>534.16999999999996</v>
      </c>
    </row>
    <row r="1019" spans="1:101" x14ac:dyDescent="0.2">
      <c r="A1019" s="9" t="s">
        <v>332</v>
      </c>
      <c r="B1019" s="2">
        <v>142</v>
      </c>
      <c r="C1019" s="3" t="s">
        <v>95</v>
      </c>
      <c r="D1019" s="3" t="s">
        <v>96</v>
      </c>
      <c r="E1019" s="2"/>
      <c r="F1019" s="2"/>
      <c r="G1019" s="2" t="s">
        <v>84</v>
      </c>
      <c r="H1019" s="2">
        <v>5</v>
      </c>
      <c r="I1019" s="8">
        <v>120.12</v>
      </c>
      <c r="J1019" s="8">
        <v>35900</v>
      </c>
      <c r="K1019" s="3">
        <v>0</v>
      </c>
      <c r="L1019" s="3" t="s">
        <v>3</v>
      </c>
      <c r="M1019" s="9" t="s">
        <v>0</v>
      </c>
      <c r="N1019" s="9" t="s">
        <v>25</v>
      </c>
      <c r="O1019" s="9" t="s">
        <v>333</v>
      </c>
      <c r="S1019" s="9" t="s">
        <v>158</v>
      </c>
      <c r="T1019" s="10" t="s">
        <v>84</v>
      </c>
      <c r="U1019" s="10">
        <v>5</v>
      </c>
      <c r="V1019" s="10">
        <v>120.12</v>
      </c>
      <c r="W1019" s="10" t="s">
        <v>710</v>
      </c>
      <c r="X1019" s="17">
        <v>44851</v>
      </c>
      <c r="Y1019" s="17">
        <v>44851</v>
      </c>
      <c r="Z1019" s="19" t="s">
        <v>772</v>
      </c>
      <c r="AA1019" s="210">
        <v>48260</v>
      </c>
      <c r="AB1019" s="9">
        <v>96</v>
      </c>
      <c r="AC1019" s="9">
        <v>39</v>
      </c>
      <c r="AD1019" s="17">
        <v>46068</v>
      </c>
      <c r="AE1019" s="56">
        <v>534.16999999999996</v>
      </c>
      <c r="AF1019" s="56"/>
      <c r="AP1019" s="11"/>
      <c r="AQ1019" s="11"/>
      <c r="AR1019" s="11"/>
      <c r="AW1019" s="9"/>
      <c r="BD1019" s="9"/>
      <c r="CS1019" s="11">
        <f t="shared" si="73"/>
        <v>0</v>
      </c>
      <c r="CT1019" s="22">
        <f t="shared" si="74"/>
        <v>0</v>
      </c>
      <c r="CU1019" s="22">
        <f t="shared" si="72"/>
        <v>0</v>
      </c>
      <c r="CV1019" s="26">
        <f t="shared" si="75"/>
        <v>534.16999999999996</v>
      </c>
    </row>
    <row r="1020" spans="1:101" x14ac:dyDescent="0.2">
      <c r="A1020" s="9" t="s">
        <v>332</v>
      </c>
      <c r="B1020" s="2">
        <v>142</v>
      </c>
      <c r="C1020" s="3" t="s">
        <v>95</v>
      </c>
      <c r="D1020" s="3" t="s">
        <v>96</v>
      </c>
      <c r="E1020" s="2"/>
      <c r="F1020" s="2"/>
      <c r="G1020" s="2" t="s">
        <v>84</v>
      </c>
      <c r="H1020" s="2">
        <v>5</v>
      </c>
      <c r="I1020" s="8">
        <v>120.12</v>
      </c>
      <c r="J1020" s="8">
        <v>35900</v>
      </c>
      <c r="K1020" s="3">
        <v>0</v>
      </c>
      <c r="L1020" s="3" t="s">
        <v>3</v>
      </c>
      <c r="M1020" s="9" t="s">
        <v>0</v>
      </c>
      <c r="N1020" s="9" t="s">
        <v>25</v>
      </c>
      <c r="O1020" s="9" t="s">
        <v>333</v>
      </c>
      <c r="S1020" s="9" t="s">
        <v>158</v>
      </c>
      <c r="T1020" s="10" t="s">
        <v>84</v>
      </c>
      <c r="U1020" s="10">
        <v>5</v>
      </c>
      <c r="V1020" s="10">
        <v>120.12</v>
      </c>
      <c r="W1020" s="10" t="s">
        <v>710</v>
      </c>
      <c r="X1020" s="17">
        <v>44851</v>
      </c>
      <c r="Y1020" s="17">
        <v>44851</v>
      </c>
      <c r="Z1020" s="19" t="s">
        <v>772</v>
      </c>
      <c r="AA1020" s="210">
        <v>48260</v>
      </c>
      <c r="AB1020" s="9">
        <v>96</v>
      </c>
      <c r="AC1020" s="9">
        <v>40</v>
      </c>
      <c r="AD1020" s="17">
        <v>46096</v>
      </c>
      <c r="AE1020" s="56">
        <v>534.16999999999996</v>
      </c>
      <c r="AF1020" s="56"/>
      <c r="AP1020" s="11"/>
      <c r="AQ1020" s="11"/>
      <c r="AR1020" s="11"/>
      <c r="AW1020" s="9"/>
      <c r="BD1020" s="9"/>
      <c r="CS1020" s="11">
        <f t="shared" si="73"/>
        <v>0</v>
      </c>
      <c r="CT1020" s="22">
        <f t="shared" si="74"/>
        <v>0</v>
      </c>
      <c r="CU1020" s="22">
        <f t="shared" si="72"/>
        <v>0</v>
      </c>
      <c r="CV1020" s="26">
        <f t="shared" si="75"/>
        <v>534.16999999999996</v>
      </c>
    </row>
    <row r="1021" spans="1:101" x14ac:dyDescent="0.2">
      <c r="A1021" s="9" t="s">
        <v>332</v>
      </c>
      <c r="B1021" s="2">
        <v>142</v>
      </c>
      <c r="C1021" s="3" t="s">
        <v>95</v>
      </c>
      <c r="D1021" s="3" t="s">
        <v>96</v>
      </c>
      <c r="E1021" s="2"/>
      <c r="F1021" s="2"/>
      <c r="G1021" s="2" t="s">
        <v>84</v>
      </c>
      <c r="H1021" s="2">
        <v>5</v>
      </c>
      <c r="I1021" s="8">
        <v>120.12</v>
      </c>
      <c r="J1021" s="8">
        <v>35900</v>
      </c>
      <c r="K1021" s="3">
        <v>0</v>
      </c>
      <c r="L1021" s="3" t="s">
        <v>3</v>
      </c>
      <c r="M1021" s="9" t="s">
        <v>0</v>
      </c>
      <c r="N1021" s="9" t="s">
        <v>25</v>
      </c>
      <c r="O1021" s="9" t="s">
        <v>333</v>
      </c>
      <c r="S1021" s="9" t="s">
        <v>158</v>
      </c>
      <c r="T1021" s="10" t="s">
        <v>84</v>
      </c>
      <c r="U1021" s="10">
        <v>5</v>
      </c>
      <c r="V1021" s="10">
        <v>120.12</v>
      </c>
      <c r="W1021" s="10" t="s">
        <v>710</v>
      </c>
      <c r="X1021" s="17">
        <v>44851</v>
      </c>
      <c r="Y1021" s="17">
        <v>44851</v>
      </c>
      <c r="Z1021" s="19" t="s">
        <v>772</v>
      </c>
      <c r="AA1021" s="210">
        <v>48260</v>
      </c>
      <c r="AB1021" s="9">
        <v>96</v>
      </c>
      <c r="AC1021" s="9">
        <v>41</v>
      </c>
      <c r="AD1021" s="17">
        <v>46127</v>
      </c>
      <c r="AE1021" s="56">
        <v>534.16999999999996</v>
      </c>
      <c r="AF1021" s="56"/>
      <c r="AP1021" s="11"/>
      <c r="AQ1021" s="11"/>
      <c r="AR1021" s="11"/>
      <c r="AW1021" s="9"/>
      <c r="BD1021" s="9"/>
      <c r="CS1021" s="11">
        <f t="shared" si="73"/>
        <v>0</v>
      </c>
      <c r="CT1021" s="22">
        <f t="shared" si="74"/>
        <v>0</v>
      </c>
      <c r="CU1021" s="22">
        <f t="shared" si="72"/>
        <v>0</v>
      </c>
      <c r="CV1021" s="26">
        <f t="shared" si="75"/>
        <v>534.16999999999996</v>
      </c>
    </row>
    <row r="1022" spans="1:101" x14ac:dyDescent="0.2">
      <c r="A1022" s="9" t="s">
        <v>332</v>
      </c>
      <c r="B1022" s="2">
        <v>142</v>
      </c>
      <c r="C1022" s="3" t="s">
        <v>95</v>
      </c>
      <c r="D1022" s="3" t="s">
        <v>96</v>
      </c>
      <c r="E1022" s="2"/>
      <c r="F1022" s="2"/>
      <c r="G1022" s="2" t="s">
        <v>84</v>
      </c>
      <c r="H1022" s="2">
        <v>5</v>
      </c>
      <c r="I1022" s="8">
        <v>120.12</v>
      </c>
      <c r="J1022" s="8">
        <v>35900</v>
      </c>
      <c r="K1022" s="3">
        <v>0</v>
      </c>
      <c r="L1022" s="3" t="s">
        <v>3</v>
      </c>
      <c r="M1022" s="9" t="s">
        <v>0</v>
      </c>
      <c r="N1022" s="9" t="s">
        <v>25</v>
      </c>
      <c r="O1022" s="9" t="s">
        <v>333</v>
      </c>
      <c r="S1022" s="9" t="s">
        <v>158</v>
      </c>
      <c r="T1022" s="10" t="s">
        <v>84</v>
      </c>
      <c r="U1022" s="10">
        <v>5</v>
      </c>
      <c r="V1022" s="10">
        <v>120.12</v>
      </c>
      <c r="W1022" s="10" t="s">
        <v>710</v>
      </c>
      <c r="X1022" s="17">
        <v>44851</v>
      </c>
      <c r="Y1022" s="17">
        <v>44851</v>
      </c>
      <c r="Z1022" s="19" t="s">
        <v>772</v>
      </c>
      <c r="AA1022" s="210">
        <v>48260</v>
      </c>
      <c r="AB1022" s="9">
        <v>96</v>
      </c>
      <c r="AC1022" s="9">
        <v>42</v>
      </c>
      <c r="AD1022" s="17">
        <v>46157</v>
      </c>
      <c r="AE1022" s="56">
        <v>534.16999999999996</v>
      </c>
      <c r="AF1022" s="56"/>
      <c r="AP1022" s="11"/>
      <c r="AQ1022" s="11"/>
      <c r="AR1022" s="11"/>
      <c r="AW1022" s="9"/>
      <c r="BD1022" s="9"/>
      <c r="CS1022" s="11">
        <f t="shared" si="73"/>
        <v>0</v>
      </c>
      <c r="CT1022" s="22">
        <f t="shared" si="74"/>
        <v>0</v>
      </c>
      <c r="CU1022" s="22">
        <f t="shared" si="72"/>
        <v>0</v>
      </c>
      <c r="CV1022" s="26">
        <f t="shared" si="75"/>
        <v>534.16999999999996</v>
      </c>
    </row>
    <row r="1023" spans="1:101" x14ac:dyDescent="0.2">
      <c r="A1023" s="9" t="s">
        <v>332</v>
      </c>
      <c r="B1023" s="2">
        <v>142</v>
      </c>
      <c r="C1023" s="3" t="s">
        <v>95</v>
      </c>
      <c r="D1023" s="3" t="s">
        <v>96</v>
      </c>
      <c r="E1023" s="2"/>
      <c r="F1023" s="2"/>
      <c r="G1023" s="2" t="s">
        <v>84</v>
      </c>
      <c r="H1023" s="2">
        <v>5</v>
      </c>
      <c r="I1023" s="8">
        <v>120.12</v>
      </c>
      <c r="J1023" s="8">
        <v>35900</v>
      </c>
      <c r="K1023" s="3">
        <v>0</v>
      </c>
      <c r="L1023" s="3" t="s">
        <v>3</v>
      </c>
      <c r="M1023" s="9" t="s">
        <v>0</v>
      </c>
      <c r="N1023" s="9" t="s">
        <v>25</v>
      </c>
      <c r="O1023" s="9" t="s">
        <v>333</v>
      </c>
      <c r="S1023" s="9" t="s">
        <v>158</v>
      </c>
      <c r="T1023" s="10" t="s">
        <v>84</v>
      </c>
      <c r="U1023" s="10">
        <v>5</v>
      </c>
      <c r="V1023" s="10">
        <v>120.12</v>
      </c>
      <c r="W1023" s="10" t="s">
        <v>710</v>
      </c>
      <c r="X1023" s="17">
        <v>44851</v>
      </c>
      <c r="Y1023" s="17">
        <v>44851</v>
      </c>
      <c r="Z1023" s="19" t="s">
        <v>772</v>
      </c>
      <c r="AA1023" s="210">
        <v>48260</v>
      </c>
      <c r="AB1023" s="9">
        <v>96</v>
      </c>
      <c r="AC1023" s="9">
        <v>43</v>
      </c>
      <c r="AD1023" s="17">
        <v>46188</v>
      </c>
      <c r="AE1023" s="56">
        <v>534.16999999999996</v>
      </c>
      <c r="AF1023" s="56"/>
      <c r="AP1023" s="11"/>
      <c r="AQ1023" s="11"/>
      <c r="AR1023" s="11"/>
      <c r="AW1023" s="9"/>
      <c r="BD1023" s="9"/>
      <c r="CS1023" s="11">
        <f t="shared" si="73"/>
        <v>0</v>
      </c>
      <c r="CT1023" s="22">
        <f t="shared" si="74"/>
        <v>0</v>
      </c>
      <c r="CU1023" s="22">
        <f t="shared" si="72"/>
        <v>0</v>
      </c>
      <c r="CV1023" s="26">
        <f t="shared" si="75"/>
        <v>534.16999999999996</v>
      </c>
    </row>
    <row r="1024" spans="1:101" x14ac:dyDescent="0.2">
      <c r="A1024" s="9" t="s">
        <v>332</v>
      </c>
      <c r="B1024" s="2">
        <v>142</v>
      </c>
      <c r="C1024" s="3" t="s">
        <v>95</v>
      </c>
      <c r="D1024" s="3" t="s">
        <v>96</v>
      </c>
      <c r="E1024" s="2"/>
      <c r="F1024" s="2"/>
      <c r="G1024" s="2" t="s">
        <v>84</v>
      </c>
      <c r="H1024" s="2">
        <v>5</v>
      </c>
      <c r="I1024" s="8">
        <v>120.12</v>
      </c>
      <c r="J1024" s="8">
        <v>35900</v>
      </c>
      <c r="K1024" s="3">
        <v>0</v>
      </c>
      <c r="L1024" s="3" t="s">
        <v>3</v>
      </c>
      <c r="M1024" s="9" t="s">
        <v>0</v>
      </c>
      <c r="N1024" s="9" t="s">
        <v>25</v>
      </c>
      <c r="O1024" s="9" t="s">
        <v>333</v>
      </c>
      <c r="S1024" s="9" t="s">
        <v>158</v>
      </c>
      <c r="T1024" s="10" t="s">
        <v>84</v>
      </c>
      <c r="U1024" s="10">
        <v>5</v>
      </c>
      <c r="V1024" s="10">
        <v>120.12</v>
      </c>
      <c r="W1024" s="10" t="s">
        <v>710</v>
      </c>
      <c r="X1024" s="17">
        <v>44851</v>
      </c>
      <c r="Y1024" s="17">
        <v>44851</v>
      </c>
      <c r="Z1024" s="19" t="s">
        <v>772</v>
      </c>
      <c r="AA1024" s="210">
        <v>48260</v>
      </c>
      <c r="AB1024" s="9">
        <v>96</v>
      </c>
      <c r="AC1024" s="9">
        <v>44</v>
      </c>
      <c r="AD1024" s="17">
        <v>46218</v>
      </c>
      <c r="AE1024" s="56">
        <v>534.16999999999996</v>
      </c>
      <c r="AF1024" s="56"/>
      <c r="AP1024" s="11"/>
      <c r="AQ1024" s="11"/>
      <c r="AR1024" s="11"/>
      <c r="AW1024" s="9"/>
      <c r="BD1024" s="9"/>
      <c r="CS1024" s="11">
        <f t="shared" si="73"/>
        <v>0</v>
      </c>
      <c r="CT1024" s="22">
        <f t="shared" si="74"/>
        <v>0</v>
      </c>
      <c r="CU1024" s="22">
        <f t="shared" si="72"/>
        <v>0</v>
      </c>
      <c r="CV1024" s="26">
        <f t="shared" si="75"/>
        <v>534.16999999999996</v>
      </c>
    </row>
    <row r="1025" spans="1:100" x14ac:dyDescent="0.2">
      <c r="A1025" s="9" t="s">
        <v>332</v>
      </c>
      <c r="B1025" s="2">
        <v>142</v>
      </c>
      <c r="C1025" s="3" t="s">
        <v>95</v>
      </c>
      <c r="D1025" s="3" t="s">
        <v>96</v>
      </c>
      <c r="E1025" s="2"/>
      <c r="F1025" s="2"/>
      <c r="G1025" s="2" t="s">
        <v>84</v>
      </c>
      <c r="H1025" s="2">
        <v>5</v>
      </c>
      <c r="I1025" s="8">
        <v>120.12</v>
      </c>
      <c r="J1025" s="8">
        <v>35900</v>
      </c>
      <c r="K1025" s="3">
        <v>0</v>
      </c>
      <c r="L1025" s="3" t="s">
        <v>3</v>
      </c>
      <c r="M1025" s="9" t="s">
        <v>0</v>
      </c>
      <c r="N1025" s="9" t="s">
        <v>25</v>
      </c>
      <c r="O1025" s="9" t="s">
        <v>333</v>
      </c>
      <c r="S1025" s="9" t="s">
        <v>158</v>
      </c>
      <c r="T1025" s="10" t="s">
        <v>84</v>
      </c>
      <c r="U1025" s="10">
        <v>5</v>
      </c>
      <c r="V1025" s="10">
        <v>120.12</v>
      </c>
      <c r="W1025" s="10" t="s">
        <v>710</v>
      </c>
      <c r="X1025" s="17">
        <v>44851</v>
      </c>
      <c r="Y1025" s="17">
        <v>44851</v>
      </c>
      <c r="Z1025" s="19" t="s">
        <v>772</v>
      </c>
      <c r="AA1025" s="210">
        <v>48260</v>
      </c>
      <c r="AB1025" s="9">
        <v>96</v>
      </c>
      <c r="AC1025" s="9">
        <v>45</v>
      </c>
      <c r="AD1025" s="17">
        <v>46249</v>
      </c>
      <c r="AE1025" s="56">
        <v>534.16999999999996</v>
      </c>
      <c r="AF1025" s="56"/>
      <c r="AP1025" s="11"/>
      <c r="AQ1025" s="11"/>
      <c r="AR1025" s="11"/>
      <c r="AW1025" s="9"/>
      <c r="BD1025" s="9"/>
      <c r="CS1025" s="11">
        <f t="shared" si="73"/>
        <v>0</v>
      </c>
      <c r="CT1025" s="22">
        <f t="shared" si="74"/>
        <v>0</v>
      </c>
      <c r="CU1025" s="22">
        <f t="shared" si="72"/>
        <v>0</v>
      </c>
      <c r="CV1025" s="26">
        <f t="shared" si="75"/>
        <v>534.16999999999996</v>
      </c>
    </row>
    <row r="1026" spans="1:100" x14ac:dyDescent="0.2">
      <c r="A1026" s="9" t="s">
        <v>332</v>
      </c>
      <c r="B1026" s="2">
        <v>142</v>
      </c>
      <c r="C1026" s="3" t="s">
        <v>95</v>
      </c>
      <c r="D1026" s="3" t="s">
        <v>96</v>
      </c>
      <c r="E1026" s="2"/>
      <c r="F1026" s="2"/>
      <c r="G1026" s="2" t="s">
        <v>84</v>
      </c>
      <c r="H1026" s="2">
        <v>5</v>
      </c>
      <c r="I1026" s="8">
        <v>120.12</v>
      </c>
      <c r="J1026" s="8">
        <v>35900</v>
      </c>
      <c r="K1026" s="3">
        <v>0</v>
      </c>
      <c r="L1026" s="3" t="s">
        <v>3</v>
      </c>
      <c r="M1026" s="9" t="s">
        <v>0</v>
      </c>
      <c r="N1026" s="9" t="s">
        <v>25</v>
      </c>
      <c r="O1026" s="9" t="s">
        <v>333</v>
      </c>
      <c r="S1026" s="9" t="s">
        <v>158</v>
      </c>
      <c r="T1026" s="10" t="s">
        <v>84</v>
      </c>
      <c r="U1026" s="10">
        <v>5</v>
      </c>
      <c r="V1026" s="10">
        <v>120.12</v>
      </c>
      <c r="W1026" s="10" t="s">
        <v>710</v>
      </c>
      <c r="X1026" s="17">
        <v>44851</v>
      </c>
      <c r="Y1026" s="17">
        <v>44851</v>
      </c>
      <c r="Z1026" s="19" t="s">
        <v>772</v>
      </c>
      <c r="AA1026" s="210">
        <v>48260</v>
      </c>
      <c r="AB1026" s="9">
        <v>96</v>
      </c>
      <c r="AC1026" s="9">
        <v>46</v>
      </c>
      <c r="AD1026" s="17">
        <v>46280</v>
      </c>
      <c r="AE1026" s="56">
        <v>534.16999999999996</v>
      </c>
      <c r="AF1026" s="56"/>
      <c r="AP1026" s="11"/>
      <c r="AQ1026" s="11"/>
      <c r="AR1026" s="11"/>
      <c r="AW1026" s="9"/>
      <c r="BD1026" s="9"/>
      <c r="CS1026" s="11">
        <f t="shared" si="73"/>
        <v>0</v>
      </c>
      <c r="CT1026" s="22">
        <f t="shared" si="74"/>
        <v>0</v>
      </c>
      <c r="CU1026" s="22">
        <f t="shared" si="72"/>
        <v>0</v>
      </c>
      <c r="CV1026" s="26">
        <f t="shared" si="75"/>
        <v>534.16999999999996</v>
      </c>
    </row>
    <row r="1027" spans="1:100" x14ac:dyDescent="0.2">
      <c r="A1027" s="9" t="s">
        <v>332</v>
      </c>
      <c r="B1027" s="2">
        <v>142</v>
      </c>
      <c r="C1027" s="3" t="s">
        <v>95</v>
      </c>
      <c r="D1027" s="3" t="s">
        <v>96</v>
      </c>
      <c r="E1027" s="2"/>
      <c r="F1027" s="2"/>
      <c r="G1027" s="2" t="s">
        <v>84</v>
      </c>
      <c r="H1027" s="2">
        <v>5</v>
      </c>
      <c r="I1027" s="8">
        <v>120.12</v>
      </c>
      <c r="J1027" s="8">
        <v>35900</v>
      </c>
      <c r="K1027" s="3">
        <v>0</v>
      </c>
      <c r="L1027" s="3" t="s">
        <v>3</v>
      </c>
      <c r="M1027" s="9" t="s">
        <v>0</v>
      </c>
      <c r="N1027" s="9" t="s">
        <v>25</v>
      </c>
      <c r="O1027" s="9" t="s">
        <v>333</v>
      </c>
      <c r="S1027" s="9" t="s">
        <v>158</v>
      </c>
      <c r="T1027" s="10" t="s">
        <v>84</v>
      </c>
      <c r="U1027" s="10">
        <v>5</v>
      </c>
      <c r="V1027" s="10">
        <v>120.12</v>
      </c>
      <c r="W1027" s="10" t="s">
        <v>710</v>
      </c>
      <c r="X1027" s="17">
        <v>44851</v>
      </c>
      <c r="Y1027" s="17">
        <v>44851</v>
      </c>
      <c r="Z1027" s="19" t="s">
        <v>772</v>
      </c>
      <c r="AA1027" s="210">
        <v>48260</v>
      </c>
      <c r="AB1027" s="9">
        <v>96</v>
      </c>
      <c r="AC1027" s="9">
        <v>47</v>
      </c>
      <c r="AD1027" s="17">
        <v>46310</v>
      </c>
      <c r="AE1027" s="56">
        <v>534.16999999999996</v>
      </c>
      <c r="AF1027" s="56"/>
      <c r="AP1027" s="11"/>
      <c r="AQ1027" s="11"/>
      <c r="AR1027" s="11"/>
      <c r="AW1027" s="9"/>
      <c r="BD1027" s="9"/>
      <c r="CS1027" s="11">
        <f t="shared" si="73"/>
        <v>0</v>
      </c>
      <c r="CT1027" s="22">
        <f t="shared" si="74"/>
        <v>0</v>
      </c>
      <c r="CU1027" s="22">
        <f t="shared" si="72"/>
        <v>0</v>
      </c>
      <c r="CV1027" s="26">
        <f t="shared" si="75"/>
        <v>534.16999999999996</v>
      </c>
    </row>
    <row r="1028" spans="1:100" x14ac:dyDescent="0.2">
      <c r="A1028" s="9" t="s">
        <v>332</v>
      </c>
      <c r="B1028" s="2">
        <v>142</v>
      </c>
      <c r="C1028" s="3" t="s">
        <v>95</v>
      </c>
      <c r="D1028" s="3" t="s">
        <v>96</v>
      </c>
      <c r="E1028" s="2"/>
      <c r="F1028" s="2"/>
      <c r="G1028" s="2" t="s">
        <v>84</v>
      </c>
      <c r="H1028" s="2">
        <v>5</v>
      </c>
      <c r="I1028" s="8">
        <v>120.12</v>
      </c>
      <c r="J1028" s="8">
        <v>35900</v>
      </c>
      <c r="K1028" s="3">
        <v>0</v>
      </c>
      <c r="L1028" s="3" t="s">
        <v>3</v>
      </c>
      <c r="M1028" s="9" t="s">
        <v>0</v>
      </c>
      <c r="N1028" s="9" t="s">
        <v>25</v>
      </c>
      <c r="O1028" s="9" t="s">
        <v>333</v>
      </c>
      <c r="S1028" s="9" t="s">
        <v>158</v>
      </c>
      <c r="T1028" s="10" t="s">
        <v>84</v>
      </c>
      <c r="U1028" s="10">
        <v>5</v>
      </c>
      <c r="V1028" s="10">
        <v>120.12</v>
      </c>
      <c r="W1028" s="10" t="s">
        <v>710</v>
      </c>
      <c r="X1028" s="17">
        <v>44851</v>
      </c>
      <c r="Y1028" s="17">
        <v>44851</v>
      </c>
      <c r="Z1028" s="19" t="s">
        <v>772</v>
      </c>
      <c r="AA1028" s="210">
        <v>48260</v>
      </c>
      <c r="AB1028" s="9">
        <v>96</v>
      </c>
      <c r="AC1028" s="9">
        <v>48</v>
      </c>
      <c r="AD1028" s="17">
        <v>46341</v>
      </c>
      <c r="AE1028" s="56">
        <v>534.16999999999996</v>
      </c>
      <c r="AF1028" s="56"/>
      <c r="AP1028" s="11"/>
      <c r="AQ1028" s="11"/>
      <c r="AR1028" s="11"/>
      <c r="AW1028" s="9"/>
      <c r="BD1028" s="9"/>
      <c r="CS1028" s="11">
        <f t="shared" si="73"/>
        <v>0</v>
      </c>
      <c r="CT1028" s="22">
        <f t="shared" si="74"/>
        <v>0</v>
      </c>
      <c r="CU1028" s="22">
        <f t="shared" si="72"/>
        <v>0</v>
      </c>
      <c r="CV1028" s="26">
        <f t="shared" si="75"/>
        <v>534.16999999999996</v>
      </c>
    </row>
    <row r="1029" spans="1:100" x14ac:dyDescent="0.2">
      <c r="A1029" s="9" t="s">
        <v>332</v>
      </c>
      <c r="B1029" s="2">
        <v>142</v>
      </c>
      <c r="C1029" s="3" t="s">
        <v>95</v>
      </c>
      <c r="D1029" s="3" t="s">
        <v>96</v>
      </c>
      <c r="E1029" s="2"/>
      <c r="F1029" s="2"/>
      <c r="G1029" s="2" t="s">
        <v>84</v>
      </c>
      <c r="H1029" s="2">
        <v>5</v>
      </c>
      <c r="I1029" s="8">
        <v>120.12</v>
      </c>
      <c r="J1029" s="8">
        <v>35900</v>
      </c>
      <c r="K1029" s="3">
        <v>0</v>
      </c>
      <c r="L1029" s="3" t="s">
        <v>3</v>
      </c>
      <c r="M1029" s="9" t="s">
        <v>0</v>
      </c>
      <c r="N1029" s="9" t="s">
        <v>25</v>
      </c>
      <c r="O1029" s="9" t="s">
        <v>333</v>
      </c>
      <c r="S1029" s="9" t="s">
        <v>158</v>
      </c>
      <c r="T1029" s="10" t="s">
        <v>84</v>
      </c>
      <c r="U1029" s="10">
        <v>5</v>
      </c>
      <c r="V1029" s="10">
        <v>120.12</v>
      </c>
      <c r="W1029" s="10" t="s">
        <v>710</v>
      </c>
      <c r="X1029" s="17">
        <v>44851</v>
      </c>
      <c r="Y1029" s="17">
        <v>44851</v>
      </c>
      <c r="Z1029" s="19" t="s">
        <v>772</v>
      </c>
      <c r="AA1029" s="210">
        <v>48260</v>
      </c>
      <c r="AB1029" s="9">
        <v>96</v>
      </c>
      <c r="AC1029" s="9">
        <v>49</v>
      </c>
      <c r="AD1029" s="17">
        <v>46371</v>
      </c>
      <c r="AE1029" s="56">
        <v>534.16999999999996</v>
      </c>
      <c r="AF1029" s="56"/>
      <c r="AP1029" s="11"/>
      <c r="AQ1029" s="11"/>
      <c r="AR1029" s="11"/>
      <c r="AW1029" s="9"/>
      <c r="BD1029" s="9"/>
      <c r="CS1029" s="11">
        <f t="shared" si="73"/>
        <v>0</v>
      </c>
      <c r="CT1029" s="22">
        <f t="shared" si="74"/>
        <v>0</v>
      </c>
      <c r="CU1029" s="22">
        <f t="shared" si="72"/>
        <v>0</v>
      </c>
      <c r="CV1029" s="26">
        <f t="shared" si="75"/>
        <v>534.16999999999996</v>
      </c>
    </row>
    <row r="1030" spans="1:100" x14ac:dyDescent="0.2">
      <c r="A1030" s="9" t="s">
        <v>332</v>
      </c>
      <c r="B1030" s="2">
        <v>142</v>
      </c>
      <c r="C1030" s="3" t="s">
        <v>95</v>
      </c>
      <c r="D1030" s="3" t="s">
        <v>96</v>
      </c>
      <c r="E1030" s="2"/>
      <c r="F1030" s="2"/>
      <c r="G1030" s="2" t="s">
        <v>84</v>
      </c>
      <c r="H1030" s="2">
        <v>5</v>
      </c>
      <c r="I1030" s="8">
        <v>120.12</v>
      </c>
      <c r="J1030" s="8">
        <v>35900</v>
      </c>
      <c r="K1030" s="3">
        <v>0</v>
      </c>
      <c r="L1030" s="3" t="s">
        <v>3</v>
      </c>
      <c r="M1030" s="9" t="s">
        <v>0</v>
      </c>
      <c r="N1030" s="9" t="s">
        <v>25</v>
      </c>
      <c r="O1030" s="9" t="s">
        <v>333</v>
      </c>
      <c r="S1030" s="9" t="s">
        <v>158</v>
      </c>
      <c r="T1030" s="10" t="s">
        <v>84</v>
      </c>
      <c r="U1030" s="10">
        <v>5</v>
      </c>
      <c r="V1030" s="10">
        <v>120.12</v>
      </c>
      <c r="W1030" s="10" t="s">
        <v>710</v>
      </c>
      <c r="X1030" s="17">
        <v>44851</v>
      </c>
      <c r="Y1030" s="17">
        <v>44851</v>
      </c>
      <c r="Z1030" s="19" t="s">
        <v>772</v>
      </c>
      <c r="AA1030" s="210">
        <v>48260</v>
      </c>
      <c r="AB1030" s="9">
        <v>96</v>
      </c>
      <c r="AC1030" s="9">
        <v>50</v>
      </c>
      <c r="AD1030" s="17">
        <v>46402</v>
      </c>
      <c r="AE1030" s="56">
        <v>534.16999999999996</v>
      </c>
      <c r="AF1030" s="56"/>
      <c r="AP1030" s="11"/>
      <c r="AQ1030" s="11"/>
      <c r="AR1030" s="11"/>
      <c r="AW1030" s="9"/>
      <c r="BD1030" s="9"/>
      <c r="CS1030" s="11">
        <f t="shared" si="73"/>
        <v>0</v>
      </c>
      <c r="CT1030" s="22">
        <f t="shared" si="74"/>
        <v>0</v>
      </c>
      <c r="CU1030" s="22">
        <f t="shared" si="72"/>
        <v>0</v>
      </c>
      <c r="CV1030" s="26">
        <f t="shared" si="75"/>
        <v>534.16999999999996</v>
      </c>
    </row>
    <row r="1031" spans="1:100" x14ac:dyDescent="0.2">
      <c r="A1031" s="9" t="s">
        <v>332</v>
      </c>
      <c r="B1031" s="2">
        <v>142</v>
      </c>
      <c r="C1031" s="3" t="s">
        <v>95</v>
      </c>
      <c r="D1031" s="3" t="s">
        <v>96</v>
      </c>
      <c r="E1031" s="2"/>
      <c r="F1031" s="2"/>
      <c r="G1031" s="2" t="s">
        <v>84</v>
      </c>
      <c r="H1031" s="2">
        <v>5</v>
      </c>
      <c r="I1031" s="8">
        <v>120.12</v>
      </c>
      <c r="J1031" s="8">
        <v>35900</v>
      </c>
      <c r="K1031" s="3">
        <v>0</v>
      </c>
      <c r="L1031" s="3" t="s">
        <v>3</v>
      </c>
      <c r="M1031" s="9" t="s">
        <v>0</v>
      </c>
      <c r="N1031" s="9" t="s">
        <v>25</v>
      </c>
      <c r="O1031" s="9" t="s">
        <v>333</v>
      </c>
      <c r="S1031" s="9" t="s">
        <v>158</v>
      </c>
      <c r="T1031" s="10" t="s">
        <v>84</v>
      </c>
      <c r="U1031" s="10">
        <v>5</v>
      </c>
      <c r="V1031" s="10">
        <v>120.12</v>
      </c>
      <c r="W1031" s="10" t="s">
        <v>710</v>
      </c>
      <c r="X1031" s="17">
        <v>44851</v>
      </c>
      <c r="Y1031" s="17">
        <v>44851</v>
      </c>
      <c r="Z1031" s="19" t="s">
        <v>772</v>
      </c>
      <c r="AA1031" s="210">
        <v>48260</v>
      </c>
      <c r="AB1031" s="9">
        <v>96</v>
      </c>
      <c r="AC1031" s="9">
        <v>51</v>
      </c>
      <c r="AD1031" s="17">
        <v>46433</v>
      </c>
      <c r="AE1031" s="56">
        <v>534.16999999999996</v>
      </c>
      <c r="AF1031" s="56"/>
      <c r="AP1031" s="11"/>
      <c r="AQ1031" s="11"/>
      <c r="AR1031" s="11"/>
      <c r="AW1031" s="9"/>
      <c r="BD1031" s="9"/>
      <c r="CS1031" s="11">
        <f t="shared" si="73"/>
        <v>0</v>
      </c>
      <c r="CT1031" s="22">
        <f t="shared" si="74"/>
        <v>0</v>
      </c>
      <c r="CU1031" s="22">
        <f t="shared" si="72"/>
        <v>0</v>
      </c>
      <c r="CV1031" s="26">
        <f t="shared" si="75"/>
        <v>534.16999999999996</v>
      </c>
    </row>
    <row r="1032" spans="1:100" x14ac:dyDescent="0.2">
      <c r="A1032" s="9" t="s">
        <v>332</v>
      </c>
      <c r="B1032" s="2">
        <v>142</v>
      </c>
      <c r="C1032" s="3" t="s">
        <v>95</v>
      </c>
      <c r="D1032" s="3" t="s">
        <v>96</v>
      </c>
      <c r="E1032" s="2"/>
      <c r="F1032" s="2"/>
      <c r="G1032" s="2" t="s">
        <v>84</v>
      </c>
      <c r="H1032" s="2">
        <v>5</v>
      </c>
      <c r="I1032" s="8">
        <v>120.12</v>
      </c>
      <c r="J1032" s="8">
        <v>35900</v>
      </c>
      <c r="K1032" s="3">
        <v>0</v>
      </c>
      <c r="L1032" s="3" t="s">
        <v>3</v>
      </c>
      <c r="M1032" s="9" t="s">
        <v>0</v>
      </c>
      <c r="N1032" s="9" t="s">
        <v>25</v>
      </c>
      <c r="O1032" s="9" t="s">
        <v>333</v>
      </c>
      <c r="S1032" s="9" t="s">
        <v>158</v>
      </c>
      <c r="T1032" s="10" t="s">
        <v>84</v>
      </c>
      <c r="U1032" s="10">
        <v>5</v>
      </c>
      <c r="V1032" s="10">
        <v>120.12</v>
      </c>
      <c r="W1032" s="10" t="s">
        <v>710</v>
      </c>
      <c r="X1032" s="17">
        <v>44851</v>
      </c>
      <c r="Y1032" s="17">
        <v>44851</v>
      </c>
      <c r="Z1032" s="19" t="s">
        <v>772</v>
      </c>
      <c r="AA1032" s="210">
        <v>48260</v>
      </c>
      <c r="AB1032" s="9">
        <v>96</v>
      </c>
      <c r="AC1032" s="9">
        <v>52</v>
      </c>
      <c r="AD1032" s="17">
        <v>46461</v>
      </c>
      <c r="AE1032" s="56">
        <v>534.16999999999996</v>
      </c>
      <c r="AF1032" s="56"/>
      <c r="AP1032" s="11"/>
      <c r="AQ1032" s="11"/>
      <c r="AR1032" s="11"/>
      <c r="AW1032" s="9"/>
      <c r="BD1032" s="9"/>
      <c r="CS1032" s="11">
        <f t="shared" si="73"/>
        <v>0</v>
      </c>
      <c r="CT1032" s="22">
        <f t="shared" si="74"/>
        <v>0</v>
      </c>
      <c r="CU1032" s="22">
        <f t="shared" si="72"/>
        <v>0</v>
      </c>
      <c r="CV1032" s="26">
        <f t="shared" si="75"/>
        <v>534.16999999999996</v>
      </c>
    </row>
    <row r="1033" spans="1:100" x14ac:dyDescent="0.2">
      <c r="A1033" s="9" t="s">
        <v>332</v>
      </c>
      <c r="B1033" s="2">
        <v>142</v>
      </c>
      <c r="C1033" s="3" t="s">
        <v>95</v>
      </c>
      <c r="D1033" s="3" t="s">
        <v>96</v>
      </c>
      <c r="E1033" s="2"/>
      <c r="F1033" s="2"/>
      <c r="G1033" s="2" t="s">
        <v>84</v>
      </c>
      <c r="H1033" s="2">
        <v>5</v>
      </c>
      <c r="I1033" s="8">
        <v>120.12</v>
      </c>
      <c r="J1033" s="8">
        <v>35900</v>
      </c>
      <c r="K1033" s="3">
        <v>0</v>
      </c>
      <c r="L1033" s="3" t="s">
        <v>3</v>
      </c>
      <c r="M1033" s="9" t="s">
        <v>0</v>
      </c>
      <c r="N1033" s="9" t="s">
        <v>25</v>
      </c>
      <c r="O1033" s="9" t="s">
        <v>333</v>
      </c>
      <c r="S1033" s="9" t="s">
        <v>158</v>
      </c>
      <c r="T1033" s="10" t="s">
        <v>84</v>
      </c>
      <c r="U1033" s="10">
        <v>5</v>
      </c>
      <c r="V1033" s="10">
        <v>120.12</v>
      </c>
      <c r="W1033" s="10" t="s">
        <v>710</v>
      </c>
      <c r="X1033" s="17">
        <v>44851</v>
      </c>
      <c r="Y1033" s="17">
        <v>44851</v>
      </c>
      <c r="Z1033" s="19" t="s">
        <v>772</v>
      </c>
      <c r="AA1033" s="210">
        <v>48260</v>
      </c>
      <c r="AB1033" s="9">
        <v>96</v>
      </c>
      <c r="AC1033" s="9">
        <v>53</v>
      </c>
      <c r="AD1033" s="17">
        <v>46492</v>
      </c>
      <c r="AE1033" s="56">
        <v>534.16999999999996</v>
      </c>
      <c r="AF1033" s="56"/>
      <c r="AP1033" s="11"/>
      <c r="AQ1033" s="11"/>
      <c r="AR1033" s="11"/>
      <c r="AW1033" s="9"/>
      <c r="BD1033" s="9"/>
      <c r="CS1033" s="11">
        <f t="shared" si="73"/>
        <v>0</v>
      </c>
      <c r="CT1033" s="22">
        <f t="shared" si="74"/>
        <v>0</v>
      </c>
      <c r="CU1033" s="22">
        <f t="shared" si="72"/>
        <v>0</v>
      </c>
      <c r="CV1033" s="26">
        <f t="shared" si="75"/>
        <v>534.16999999999996</v>
      </c>
    </row>
    <row r="1034" spans="1:100" x14ac:dyDescent="0.2">
      <c r="A1034" s="9" t="s">
        <v>332</v>
      </c>
      <c r="B1034" s="2">
        <v>142</v>
      </c>
      <c r="C1034" s="3" t="s">
        <v>95</v>
      </c>
      <c r="D1034" s="3" t="s">
        <v>96</v>
      </c>
      <c r="E1034" s="2"/>
      <c r="F1034" s="2"/>
      <c r="G1034" s="2" t="s">
        <v>84</v>
      </c>
      <c r="H1034" s="2">
        <v>5</v>
      </c>
      <c r="I1034" s="8">
        <v>120.12</v>
      </c>
      <c r="J1034" s="8">
        <v>35900</v>
      </c>
      <c r="K1034" s="3">
        <v>0</v>
      </c>
      <c r="L1034" s="3" t="s">
        <v>3</v>
      </c>
      <c r="M1034" s="9" t="s">
        <v>0</v>
      </c>
      <c r="N1034" s="9" t="s">
        <v>25</v>
      </c>
      <c r="O1034" s="9" t="s">
        <v>333</v>
      </c>
      <c r="S1034" s="9" t="s">
        <v>158</v>
      </c>
      <c r="T1034" s="10" t="s">
        <v>84</v>
      </c>
      <c r="U1034" s="10">
        <v>5</v>
      </c>
      <c r="V1034" s="10">
        <v>120.12</v>
      </c>
      <c r="W1034" s="10" t="s">
        <v>710</v>
      </c>
      <c r="X1034" s="17">
        <v>44851</v>
      </c>
      <c r="Y1034" s="17">
        <v>44851</v>
      </c>
      <c r="Z1034" s="19" t="s">
        <v>772</v>
      </c>
      <c r="AA1034" s="210">
        <v>48260</v>
      </c>
      <c r="AB1034" s="9">
        <v>96</v>
      </c>
      <c r="AC1034" s="9">
        <v>54</v>
      </c>
      <c r="AD1034" s="17">
        <v>46522</v>
      </c>
      <c r="AE1034" s="56">
        <v>534.16999999999996</v>
      </c>
      <c r="AF1034" s="56"/>
      <c r="AP1034" s="11"/>
      <c r="AQ1034" s="11"/>
      <c r="AR1034" s="11"/>
      <c r="AW1034" s="9"/>
      <c r="BD1034" s="9"/>
      <c r="CS1034" s="11">
        <f t="shared" si="73"/>
        <v>0</v>
      </c>
      <c r="CT1034" s="22">
        <f t="shared" si="74"/>
        <v>0</v>
      </c>
      <c r="CU1034" s="22">
        <f t="shared" si="72"/>
        <v>0</v>
      </c>
      <c r="CV1034" s="26">
        <f t="shared" si="75"/>
        <v>534.16999999999996</v>
      </c>
    </row>
    <row r="1035" spans="1:100" x14ac:dyDescent="0.2">
      <c r="A1035" s="9" t="s">
        <v>332</v>
      </c>
      <c r="B1035" s="2">
        <v>142</v>
      </c>
      <c r="C1035" s="3" t="s">
        <v>95</v>
      </c>
      <c r="D1035" s="3" t="s">
        <v>96</v>
      </c>
      <c r="E1035" s="2"/>
      <c r="F1035" s="2"/>
      <c r="G1035" s="2" t="s">
        <v>84</v>
      </c>
      <c r="H1035" s="2">
        <v>5</v>
      </c>
      <c r="I1035" s="8">
        <v>120.12</v>
      </c>
      <c r="J1035" s="8">
        <v>35900</v>
      </c>
      <c r="K1035" s="3">
        <v>0</v>
      </c>
      <c r="L1035" s="3" t="s">
        <v>3</v>
      </c>
      <c r="M1035" s="9" t="s">
        <v>0</v>
      </c>
      <c r="N1035" s="9" t="s">
        <v>25</v>
      </c>
      <c r="O1035" s="9" t="s">
        <v>333</v>
      </c>
      <c r="S1035" s="9" t="s">
        <v>158</v>
      </c>
      <c r="T1035" s="10" t="s">
        <v>84</v>
      </c>
      <c r="U1035" s="10">
        <v>5</v>
      </c>
      <c r="V1035" s="10">
        <v>120.12</v>
      </c>
      <c r="W1035" s="10" t="s">
        <v>710</v>
      </c>
      <c r="X1035" s="17">
        <v>44851</v>
      </c>
      <c r="Y1035" s="17">
        <v>44851</v>
      </c>
      <c r="Z1035" s="19" t="s">
        <v>772</v>
      </c>
      <c r="AA1035" s="210">
        <v>48260</v>
      </c>
      <c r="AB1035" s="9">
        <v>96</v>
      </c>
      <c r="AC1035" s="9">
        <v>55</v>
      </c>
      <c r="AD1035" s="17">
        <v>46553</v>
      </c>
      <c r="AE1035" s="56">
        <v>534.16999999999996</v>
      </c>
      <c r="AF1035" s="56"/>
      <c r="AP1035" s="11"/>
      <c r="AQ1035" s="11"/>
      <c r="AR1035" s="11"/>
      <c r="AW1035" s="9"/>
      <c r="BD1035" s="9"/>
      <c r="CS1035" s="11">
        <f t="shared" si="73"/>
        <v>0</v>
      </c>
      <c r="CT1035" s="22">
        <f t="shared" si="74"/>
        <v>0</v>
      </c>
      <c r="CU1035" s="22">
        <f t="shared" si="72"/>
        <v>0</v>
      </c>
      <c r="CV1035" s="26">
        <f t="shared" si="75"/>
        <v>534.16999999999996</v>
      </c>
    </row>
    <row r="1036" spans="1:100" x14ac:dyDescent="0.2">
      <c r="A1036" s="9" t="s">
        <v>332</v>
      </c>
      <c r="B1036" s="2">
        <v>142</v>
      </c>
      <c r="C1036" s="3" t="s">
        <v>95</v>
      </c>
      <c r="D1036" s="3" t="s">
        <v>96</v>
      </c>
      <c r="E1036" s="2"/>
      <c r="F1036" s="2"/>
      <c r="G1036" s="2" t="s">
        <v>84</v>
      </c>
      <c r="H1036" s="2">
        <v>5</v>
      </c>
      <c r="I1036" s="8">
        <v>120.12</v>
      </c>
      <c r="J1036" s="8">
        <v>35900</v>
      </c>
      <c r="K1036" s="3">
        <v>0</v>
      </c>
      <c r="L1036" s="3" t="s">
        <v>3</v>
      </c>
      <c r="M1036" s="9" t="s">
        <v>0</v>
      </c>
      <c r="N1036" s="9" t="s">
        <v>25</v>
      </c>
      <c r="O1036" s="9" t="s">
        <v>333</v>
      </c>
      <c r="S1036" s="9" t="s">
        <v>158</v>
      </c>
      <c r="T1036" s="10" t="s">
        <v>84</v>
      </c>
      <c r="U1036" s="10">
        <v>5</v>
      </c>
      <c r="V1036" s="10">
        <v>120.12</v>
      </c>
      <c r="W1036" s="10" t="s">
        <v>710</v>
      </c>
      <c r="X1036" s="17">
        <v>44851</v>
      </c>
      <c r="Y1036" s="17">
        <v>44851</v>
      </c>
      <c r="Z1036" s="19" t="s">
        <v>772</v>
      </c>
      <c r="AA1036" s="210">
        <v>48260</v>
      </c>
      <c r="AB1036" s="9">
        <v>96</v>
      </c>
      <c r="AC1036" s="9">
        <v>56</v>
      </c>
      <c r="AD1036" s="17">
        <v>46583</v>
      </c>
      <c r="AE1036" s="56">
        <v>534.16999999999996</v>
      </c>
      <c r="AF1036" s="56"/>
      <c r="AP1036" s="11"/>
      <c r="AQ1036" s="11"/>
      <c r="AR1036" s="11"/>
      <c r="AW1036" s="9"/>
      <c r="BD1036" s="9"/>
      <c r="CS1036" s="11">
        <f t="shared" si="73"/>
        <v>0</v>
      </c>
      <c r="CT1036" s="22">
        <f t="shared" si="74"/>
        <v>0</v>
      </c>
      <c r="CU1036" s="22">
        <f t="shared" si="72"/>
        <v>0</v>
      </c>
      <c r="CV1036" s="26">
        <f t="shared" si="75"/>
        <v>534.16999999999996</v>
      </c>
    </row>
    <row r="1037" spans="1:100" x14ac:dyDescent="0.2">
      <c r="A1037" s="9" t="s">
        <v>332</v>
      </c>
      <c r="B1037" s="2">
        <v>142</v>
      </c>
      <c r="C1037" s="3" t="s">
        <v>95</v>
      </c>
      <c r="D1037" s="3" t="s">
        <v>96</v>
      </c>
      <c r="E1037" s="2"/>
      <c r="F1037" s="2"/>
      <c r="G1037" s="2" t="s">
        <v>84</v>
      </c>
      <c r="H1037" s="2">
        <v>5</v>
      </c>
      <c r="I1037" s="8">
        <v>120.12</v>
      </c>
      <c r="J1037" s="8">
        <v>35900</v>
      </c>
      <c r="K1037" s="3">
        <v>0</v>
      </c>
      <c r="L1037" s="3" t="s">
        <v>3</v>
      </c>
      <c r="M1037" s="9" t="s">
        <v>0</v>
      </c>
      <c r="N1037" s="9" t="s">
        <v>25</v>
      </c>
      <c r="O1037" s="9" t="s">
        <v>333</v>
      </c>
      <c r="S1037" s="9" t="s">
        <v>158</v>
      </c>
      <c r="T1037" s="10" t="s">
        <v>84</v>
      </c>
      <c r="U1037" s="10">
        <v>5</v>
      </c>
      <c r="V1037" s="10">
        <v>120.12</v>
      </c>
      <c r="W1037" s="10" t="s">
        <v>710</v>
      </c>
      <c r="X1037" s="17">
        <v>44851</v>
      </c>
      <c r="Y1037" s="17">
        <v>44851</v>
      </c>
      <c r="Z1037" s="19" t="s">
        <v>772</v>
      </c>
      <c r="AA1037" s="210">
        <v>48260</v>
      </c>
      <c r="AB1037" s="9">
        <v>96</v>
      </c>
      <c r="AC1037" s="9">
        <v>57</v>
      </c>
      <c r="AD1037" s="17">
        <v>46614</v>
      </c>
      <c r="AE1037" s="56">
        <v>534.16999999999996</v>
      </c>
      <c r="AF1037" s="56"/>
      <c r="AP1037" s="11"/>
      <c r="AQ1037" s="11"/>
      <c r="AR1037" s="11"/>
      <c r="AW1037" s="9"/>
      <c r="BD1037" s="9"/>
      <c r="CS1037" s="11">
        <f t="shared" si="73"/>
        <v>0</v>
      </c>
      <c r="CT1037" s="22">
        <f t="shared" si="74"/>
        <v>0</v>
      </c>
      <c r="CU1037" s="22">
        <f t="shared" si="72"/>
        <v>0</v>
      </c>
      <c r="CV1037" s="26">
        <f t="shared" si="75"/>
        <v>534.16999999999996</v>
      </c>
    </row>
    <row r="1038" spans="1:100" x14ac:dyDescent="0.2">
      <c r="A1038" s="9" t="s">
        <v>332</v>
      </c>
      <c r="B1038" s="2">
        <v>142</v>
      </c>
      <c r="C1038" s="3" t="s">
        <v>95</v>
      </c>
      <c r="D1038" s="3" t="s">
        <v>96</v>
      </c>
      <c r="E1038" s="2"/>
      <c r="F1038" s="2"/>
      <c r="G1038" s="2" t="s">
        <v>84</v>
      </c>
      <c r="H1038" s="2">
        <v>5</v>
      </c>
      <c r="I1038" s="8">
        <v>120.12</v>
      </c>
      <c r="J1038" s="8">
        <v>35900</v>
      </c>
      <c r="K1038" s="3">
        <v>0</v>
      </c>
      <c r="L1038" s="3" t="s">
        <v>3</v>
      </c>
      <c r="M1038" s="9" t="s">
        <v>0</v>
      </c>
      <c r="N1038" s="9" t="s">
        <v>25</v>
      </c>
      <c r="O1038" s="9" t="s">
        <v>333</v>
      </c>
      <c r="S1038" s="9" t="s">
        <v>158</v>
      </c>
      <c r="T1038" s="10" t="s">
        <v>84</v>
      </c>
      <c r="U1038" s="10">
        <v>5</v>
      </c>
      <c r="V1038" s="10">
        <v>120.12</v>
      </c>
      <c r="W1038" s="10" t="s">
        <v>710</v>
      </c>
      <c r="X1038" s="17">
        <v>44851</v>
      </c>
      <c r="Y1038" s="17">
        <v>44851</v>
      </c>
      <c r="Z1038" s="19" t="s">
        <v>772</v>
      </c>
      <c r="AA1038" s="210">
        <v>48260</v>
      </c>
      <c r="AB1038" s="9">
        <v>96</v>
      </c>
      <c r="AC1038" s="9">
        <v>58</v>
      </c>
      <c r="AD1038" s="17">
        <v>46645</v>
      </c>
      <c r="AE1038" s="56">
        <v>534.16999999999996</v>
      </c>
      <c r="AF1038" s="56"/>
      <c r="AP1038" s="11"/>
      <c r="AQ1038" s="11"/>
      <c r="AR1038" s="11"/>
      <c r="AW1038" s="9"/>
      <c r="BD1038" s="9"/>
      <c r="CS1038" s="11">
        <f t="shared" si="73"/>
        <v>0</v>
      </c>
      <c r="CT1038" s="22">
        <f t="shared" si="74"/>
        <v>0</v>
      </c>
      <c r="CU1038" s="22">
        <f t="shared" si="72"/>
        <v>0</v>
      </c>
      <c r="CV1038" s="26">
        <f t="shared" si="75"/>
        <v>534.16999999999996</v>
      </c>
    </row>
    <row r="1039" spans="1:100" x14ac:dyDescent="0.2">
      <c r="A1039" s="9" t="s">
        <v>332</v>
      </c>
      <c r="B1039" s="2">
        <v>142</v>
      </c>
      <c r="C1039" s="3" t="s">
        <v>95</v>
      </c>
      <c r="D1039" s="3" t="s">
        <v>96</v>
      </c>
      <c r="E1039" s="2"/>
      <c r="F1039" s="2"/>
      <c r="G1039" s="2" t="s">
        <v>84</v>
      </c>
      <c r="H1039" s="2">
        <v>5</v>
      </c>
      <c r="I1039" s="8">
        <v>120.12</v>
      </c>
      <c r="J1039" s="8">
        <v>35900</v>
      </c>
      <c r="K1039" s="3">
        <v>0</v>
      </c>
      <c r="L1039" s="3" t="s">
        <v>3</v>
      </c>
      <c r="M1039" s="9" t="s">
        <v>0</v>
      </c>
      <c r="N1039" s="9" t="s">
        <v>25</v>
      </c>
      <c r="O1039" s="9" t="s">
        <v>333</v>
      </c>
      <c r="S1039" s="9" t="s">
        <v>158</v>
      </c>
      <c r="T1039" s="10" t="s">
        <v>84</v>
      </c>
      <c r="U1039" s="10">
        <v>5</v>
      </c>
      <c r="V1039" s="10">
        <v>120.12</v>
      </c>
      <c r="W1039" s="10" t="s">
        <v>710</v>
      </c>
      <c r="X1039" s="17">
        <v>44851</v>
      </c>
      <c r="Y1039" s="17">
        <v>44851</v>
      </c>
      <c r="Z1039" s="19" t="s">
        <v>772</v>
      </c>
      <c r="AA1039" s="210">
        <v>48260</v>
      </c>
      <c r="AB1039" s="9">
        <v>96</v>
      </c>
      <c r="AC1039" s="9">
        <v>59</v>
      </c>
      <c r="AD1039" s="17">
        <v>46675</v>
      </c>
      <c r="AE1039" s="56">
        <v>534.16999999999996</v>
      </c>
      <c r="AF1039" s="56"/>
      <c r="AP1039" s="11"/>
      <c r="AQ1039" s="11"/>
      <c r="AR1039" s="11"/>
      <c r="AW1039" s="9"/>
      <c r="BD1039" s="9"/>
      <c r="CS1039" s="11">
        <f t="shared" si="73"/>
        <v>0</v>
      </c>
      <c r="CT1039" s="22">
        <f t="shared" si="74"/>
        <v>0</v>
      </c>
      <c r="CU1039" s="22">
        <f t="shared" si="72"/>
        <v>0</v>
      </c>
      <c r="CV1039" s="26">
        <f t="shared" si="75"/>
        <v>534.16999999999996</v>
      </c>
    </row>
    <row r="1040" spans="1:100" x14ac:dyDescent="0.2">
      <c r="A1040" s="9" t="s">
        <v>332</v>
      </c>
      <c r="B1040" s="2">
        <v>142</v>
      </c>
      <c r="C1040" s="3" t="s">
        <v>95</v>
      </c>
      <c r="D1040" s="3" t="s">
        <v>96</v>
      </c>
      <c r="E1040" s="2"/>
      <c r="F1040" s="2"/>
      <c r="G1040" s="2" t="s">
        <v>84</v>
      </c>
      <c r="H1040" s="2">
        <v>5</v>
      </c>
      <c r="I1040" s="8">
        <v>120.12</v>
      </c>
      <c r="J1040" s="8">
        <v>35900</v>
      </c>
      <c r="K1040" s="3">
        <v>0</v>
      </c>
      <c r="L1040" s="3" t="s">
        <v>3</v>
      </c>
      <c r="M1040" s="9" t="s">
        <v>0</v>
      </c>
      <c r="N1040" s="9" t="s">
        <v>25</v>
      </c>
      <c r="O1040" s="9" t="s">
        <v>333</v>
      </c>
      <c r="S1040" s="9" t="s">
        <v>158</v>
      </c>
      <c r="T1040" s="10" t="s">
        <v>84</v>
      </c>
      <c r="U1040" s="10">
        <v>5</v>
      </c>
      <c r="V1040" s="10">
        <v>120.12</v>
      </c>
      <c r="W1040" s="10" t="s">
        <v>710</v>
      </c>
      <c r="X1040" s="17">
        <v>44851</v>
      </c>
      <c r="Y1040" s="17">
        <v>44851</v>
      </c>
      <c r="Z1040" s="19" t="s">
        <v>772</v>
      </c>
      <c r="AA1040" s="210">
        <v>48260</v>
      </c>
      <c r="AB1040" s="9">
        <v>96</v>
      </c>
      <c r="AC1040" s="9">
        <v>60</v>
      </c>
      <c r="AD1040" s="17">
        <v>46706</v>
      </c>
      <c r="AE1040" s="56">
        <v>534.16999999999996</v>
      </c>
      <c r="AF1040" s="56"/>
      <c r="AP1040" s="11"/>
      <c r="AQ1040" s="11"/>
      <c r="AR1040" s="11"/>
      <c r="AW1040" s="9"/>
      <c r="BD1040" s="9"/>
      <c r="CS1040" s="11">
        <f t="shared" si="73"/>
        <v>0</v>
      </c>
      <c r="CT1040" s="22">
        <f t="shared" si="74"/>
        <v>0</v>
      </c>
      <c r="CU1040" s="22">
        <f t="shared" si="72"/>
        <v>0</v>
      </c>
      <c r="CV1040" s="26">
        <f t="shared" si="75"/>
        <v>534.16999999999996</v>
      </c>
    </row>
    <row r="1041" spans="1:100" x14ac:dyDescent="0.2">
      <c r="A1041" s="9" t="s">
        <v>332</v>
      </c>
      <c r="B1041" s="2">
        <v>142</v>
      </c>
      <c r="C1041" s="3" t="s">
        <v>95</v>
      </c>
      <c r="D1041" s="3" t="s">
        <v>96</v>
      </c>
      <c r="E1041" s="2"/>
      <c r="F1041" s="2"/>
      <c r="G1041" s="2" t="s">
        <v>84</v>
      </c>
      <c r="H1041" s="2">
        <v>5</v>
      </c>
      <c r="I1041" s="8">
        <v>120.12</v>
      </c>
      <c r="J1041" s="8">
        <v>35900</v>
      </c>
      <c r="K1041" s="3">
        <v>0</v>
      </c>
      <c r="L1041" s="3" t="s">
        <v>3</v>
      </c>
      <c r="M1041" s="9" t="s">
        <v>0</v>
      </c>
      <c r="N1041" s="9" t="s">
        <v>25</v>
      </c>
      <c r="O1041" s="9" t="s">
        <v>333</v>
      </c>
      <c r="S1041" s="9" t="s">
        <v>158</v>
      </c>
      <c r="T1041" s="10" t="s">
        <v>84</v>
      </c>
      <c r="U1041" s="10">
        <v>5</v>
      </c>
      <c r="V1041" s="10">
        <v>120.12</v>
      </c>
      <c r="W1041" s="10" t="s">
        <v>710</v>
      </c>
      <c r="X1041" s="17">
        <v>44851</v>
      </c>
      <c r="Y1041" s="17">
        <v>44851</v>
      </c>
      <c r="Z1041" s="19" t="s">
        <v>772</v>
      </c>
      <c r="AA1041" s="210">
        <v>48260</v>
      </c>
      <c r="AB1041" s="9">
        <v>96</v>
      </c>
      <c r="AC1041" s="9">
        <v>61</v>
      </c>
      <c r="AD1041" s="17">
        <v>46736</v>
      </c>
      <c r="AE1041" s="56">
        <v>534.16999999999996</v>
      </c>
      <c r="AF1041" s="56"/>
      <c r="AP1041" s="11"/>
      <c r="AQ1041" s="11"/>
      <c r="AR1041" s="11"/>
      <c r="AW1041" s="9"/>
      <c r="BD1041" s="9"/>
      <c r="CS1041" s="11">
        <f t="shared" si="73"/>
        <v>0</v>
      </c>
      <c r="CT1041" s="22">
        <f t="shared" si="74"/>
        <v>0</v>
      </c>
      <c r="CU1041" s="22">
        <f t="shared" si="72"/>
        <v>0</v>
      </c>
      <c r="CV1041" s="26">
        <f t="shared" si="75"/>
        <v>534.16999999999996</v>
      </c>
    </row>
    <row r="1042" spans="1:100" x14ac:dyDescent="0.2">
      <c r="A1042" s="9" t="s">
        <v>332</v>
      </c>
      <c r="B1042" s="2">
        <v>142</v>
      </c>
      <c r="C1042" s="3" t="s">
        <v>95</v>
      </c>
      <c r="D1042" s="3" t="s">
        <v>96</v>
      </c>
      <c r="E1042" s="2"/>
      <c r="F1042" s="2"/>
      <c r="G1042" s="2" t="s">
        <v>84</v>
      </c>
      <c r="H1042" s="2">
        <v>5</v>
      </c>
      <c r="I1042" s="8">
        <v>120.12</v>
      </c>
      <c r="J1042" s="8">
        <v>35900</v>
      </c>
      <c r="K1042" s="3">
        <v>0</v>
      </c>
      <c r="L1042" s="3" t="s">
        <v>3</v>
      </c>
      <c r="M1042" s="9" t="s">
        <v>0</v>
      </c>
      <c r="N1042" s="9" t="s">
        <v>25</v>
      </c>
      <c r="O1042" s="9" t="s">
        <v>333</v>
      </c>
      <c r="S1042" s="9" t="s">
        <v>158</v>
      </c>
      <c r="T1042" s="10" t="s">
        <v>84</v>
      </c>
      <c r="U1042" s="10">
        <v>5</v>
      </c>
      <c r="V1042" s="10">
        <v>120.12</v>
      </c>
      <c r="W1042" s="10" t="s">
        <v>710</v>
      </c>
      <c r="X1042" s="17">
        <v>44851</v>
      </c>
      <c r="Y1042" s="17">
        <v>44851</v>
      </c>
      <c r="Z1042" s="19" t="s">
        <v>772</v>
      </c>
      <c r="AA1042" s="210">
        <v>48260</v>
      </c>
      <c r="AB1042" s="9">
        <v>96</v>
      </c>
      <c r="AC1042" s="9">
        <v>62</v>
      </c>
      <c r="AD1042" s="17">
        <v>46767</v>
      </c>
      <c r="AE1042" s="56">
        <v>534.16999999999996</v>
      </c>
      <c r="AF1042" s="56"/>
      <c r="AP1042" s="11"/>
      <c r="AQ1042" s="11"/>
      <c r="AR1042" s="11"/>
      <c r="AW1042" s="9"/>
      <c r="BD1042" s="9"/>
      <c r="CS1042" s="11">
        <f t="shared" si="73"/>
        <v>0</v>
      </c>
      <c r="CT1042" s="22">
        <f t="shared" si="74"/>
        <v>0</v>
      </c>
      <c r="CU1042" s="22">
        <f t="shared" si="72"/>
        <v>0</v>
      </c>
      <c r="CV1042" s="26">
        <f t="shared" si="75"/>
        <v>534.16999999999996</v>
      </c>
    </row>
    <row r="1043" spans="1:100" x14ac:dyDescent="0.2">
      <c r="A1043" s="9" t="s">
        <v>332</v>
      </c>
      <c r="B1043" s="2">
        <v>142</v>
      </c>
      <c r="C1043" s="3" t="s">
        <v>95</v>
      </c>
      <c r="D1043" s="3" t="s">
        <v>96</v>
      </c>
      <c r="E1043" s="2"/>
      <c r="F1043" s="2"/>
      <c r="G1043" s="2" t="s">
        <v>84</v>
      </c>
      <c r="H1043" s="2">
        <v>5</v>
      </c>
      <c r="I1043" s="8">
        <v>120.12</v>
      </c>
      <c r="J1043" s="8">
        <v>35900</v>
      </c>
      <c r="K1043" s="3">
        <v>0</v>
      </c>
      <c r="L1043" s="3" t="s">
        <v>3</v>
      </c>
      <c r="M1043" s="9" t="s">
        <v>0</v>
      </c>
      <c r="N1043" s="9" t="s">
        <v>25</v>
      </c>
      <c r="O1043" s="9" t="s">
        <v>333</v>
      </c>
      <c r="S1043" s="9" t="s">
        <v>158</v>
      </c>
      <c r="T1043" s="10" t="s">
        <v>84</v>
      </c>
      <c r="U1043" s="10">
        <v>5</v>
      </c>
      <c r="V1043" s="10">
        <v>120.12</v>
      </c>
      <c r="W1043" s="10" t="s">
        <v>710</v>
      </c>
      <c r="X1043" s="17">
        <v>44851</v>
      </c>
      <c r="Y1043" s="17">
        <v>44851</v>
      </c>
      <c r="Z1043" s="19" t="s">
        <v>772</v>
      </c>
      <c r="AA1043" s="210">
        <v>48260</v>
      </c>
      <c r="AB1043" s="9">
        <v>96</v>
      </c>
      <c r="AC1043" s="9">
        <v>63</v>
      </c>
      <c r="AD1043" s="17">
        <v>46798</v>
      </c>
      <c r="AE1043" s="56">
        <v>534.16999999999996</v>
      </c>
      <c r="AF1043" s="56"/>
      <c r="AP1043" s="11"/>
      <c r="AQ1043" s="11"/>
      <c r="AR1043" s="11"/>
      <c r="AW1043" s="9"/>
      <c r="BD1043" s="9"/>
      <c r="CS1043" s="11">
        <f t="shared" si="73"/>
        <v>0</v>
      </c>
      <c r="CT1043" s="22">
        <f t="shared" si="74"/>
        <v>0</v>
      </c>
      <c r="CU1043" s="22">
        <f t="shared" si="72"/>
        <v>0</v>
      </c>
      <c r="CV1043" s="26">
        <f t="shared" si="75"/>
        <v>534.16999999999996</v>
      </c>
    </row>
    <row r="1044" spans="1:100" x14ac:dyDescent="0.2">
      <c r="A1044" s="9" t="s">
        <v>332</v>
      </c>
      <c r="B1044" s="2">
        <v>142</v>
      </c>
      <c r="C1044" s="3" t="s">
        <v>95</v>
      </c>
      <c r="D1044" s="3" t="s">
        <v>96</v>
      </c>
      <c r="E1044" s="2"/>
      <c r="F1044" s="2"/>
      <c r="G1044" s="2" t="s">
        <v>84</v>
      </c>
      <c r="H1044" s="2">
        <v>5</v>
      </c>
      <c r="I1044" s="8">
        <v>120.12</v>
      </c>
      <c r="J1044" s="8">
        <v>35900</v>
      </c>
      <c r="K1044" s="3">
        <v>0</v>
      </c>
      <c r="L1044" s="3" t="s">
        <v>3</v>
      </c>
      <c r="M1044" s="9" t="s">
        <v>0</v>
      </c>
      <c r="N1044" s="9" t="s">
        <v>25</v>
      </c>
      <c r="O1044" s="9" t="s">
        <v>333</v>
      </c>
      <c r="S1044" s="9" t="s">
        <v>158</v>
      </c>
      <c r="T1044" s="10" t="s">
        <v>84</v>
      </c>
      <c r="U1044" s="10">
        <v>5</v>
      </c>
      <c r="V1044" s="10">
        <v>120.12</v>
      </c>
      <c r="W1044" s="10" t="s">
        <v>710</v>
      </c>
      <c r="X1044" s="17">
        <v>44851</v>
      </c>
      <c r="Y1044" s="17">
        <v>44851</v>
      </c>
      <c r="Z1044" s="19" t="s">
        <v>772</v>
      </c>
      <c r="AA1044" s="210">
        <v>48260</v>
      </c>
      <c r="AB1044" s="9">
        <v>96</v>
      </c>
      <c r="AC1044" s="9">
        <v>64</v>
      </c>
      <c r="AD1044" s="17">
        <v>46827</v>
      </c>
      <c r="AE1044" s="56">
        <v>534.16999999999996</v>
      </c>
      <c r="AF1044" s="56"/>
      <c r="AP1044" s="11"/>
      <c r="AQ1044" s="11"/>
      <c r="AR1044" s="11"/>
      <c r="AW1044" s="9"/>
      <c r="BD1044" s="9"/>
      <c r="CS1044" s="11">
        <f t="shared" si="73"/>
        <v>0</v>
      </c>
      <c r="CT1044" s="22">
        <f t="shared" si="74"/>
        <v>0</v>
      </c>
      <c r="CU1044" s="22">
        <f t="shared" si="72"/>
        <v>0</v>
      </c>
      <c r="CV1044" s="26">
        <f t="shared" si="75"/>
        <v>534.16999999999996</v>
      </c>
    </row>
    <row r="1045" spans="1:100" x14ac:dyDescent="0.2">
      <c r="A1045" s="9" t="s">
        <v>332</v>
      </c>
      <c r="B1045" s="2">
        <v>142</v>
      </c>
      <c r="C1045" s="3" t="s">
        <v>95</v>
      </c>
      <c r="D1045" s="3" t="s">
        <v>96</v>
      </c>
      <c r="E1045" s="2"/>
      <c r="F1045" s="2"/>
      <c r="G1045" s="2" t="s">
        <v>84</v>
      </c>
      <c r="H1045" s="2">
        <v>5</v>
      </c>
      <c r="I1045" s="8">
        <v>120.12</v>
      </c>
      <c r="J1045" s="8">
        <v>35900</v>
      </c>
      <c r="K1045" s="3">
        <v>0</v>
      </c>
      <c r="L1045" s="3" t="s">
        <v>3</v>
      </c>
      <c r="M1045" s="9" t="s">
        <v>0</v>
      </c>
      <c r="N1045" s="9" t="s">
        <v>25</v>
      </c>
      <c r="O1045" s="9" t="s">
        <v>333</v>
      </c>
      <c r="S1045" s="9" t="s">
        <v>158</v>
      </c>
      <c r="T1045" s="10" t="s">
        <v>84</v>
      </c>
      <c r="U1045" s="10">
        <v>5</v>
      </c>
      <c r="V1045" s="10">
        <v>120.12</v>
      </c>
      <c r="W1045" s="10" t="s">
        <v>710</v>
      </c>
      <c r="X1045" s="17">
        <v>44851</v>
      </c>
      <c r="Y1045" s="17">
        <v>44851</v>
      </c>
      <c r="Z1045" s="19" t="s">
        <v>772</v>
      </c>
      <c r="AA1045" s="210">
        <v>48260</v>
      </c>
      <c r="AB1045" s="9">
        <v>96</v>
      </c>
      <c r="AC1045" s="9">
        <v>65</v>
      </c>
      <c r="AD1045" s="17">
        <v>46858</v>
      </c>
      <c r="AE1045" s="56">
        <v>534.16999999999996</v>
      </c>
      <c r="AF1045" s="56"/>
      <c r="AP1045" s="11"/>
      <c r="AQ1045" s="11"/>
      <c r="AR1045" s="11"/>
      <c r="AW1045" s="9"/>
      <c r="BD1045" s="9"/>
      <c r="CS1045" s="11">
        <f t="shared" si="73"/>
        <v>0</v>
      </c>
      <c r="CT1045" s="22">
        <f t="shared" si="74"/>
        <v>0</v>
      </c>
      <c r="CU1045" s="22">
        <f t="shared" si="72"/>
        <v>0</v>
      </c>
      <c r="CV1045" s="26">
        <f t="shared" si="75"/>
        <v>534.16999999999996</v>
      </c>
    </row>
    <row r="1046" spans="1:100" x14ac:dyDescent="0.2">
      <c r="A1046" s="9" t="s">
        <v>332</v>
      </c>
      <c r="B1046" s="2">
        <v>142</v>
      </c>
      <c r="C1046" s="3" t="s">
        <v>95</v>
      </c>
      <c r="D1046" s="3" t="s">
        <v>96</v>
      </c>
      <c r="E1046" s="2"/>
      <c r="F1046" s="2"/>
      <c r="G1046" s="2" t="s">
        <v>84</v>
      </c>
      <c r="H1046" s="2">
        <v>5</v>
      </c>
      <c r="I1046" s="8">
        <v>120.12</v>
      </c>
      <c r="J1046" s="8">
        <v>35900</v>
      </c>
      <c r="K1046" s="3">
        <v>0</v>
      </c>
      <c r="L1046" s="3" t="s">
        <v>3</v>
      </c>
      <c r="M1046" s="9" t="s">
        <v>0</v>
      </c>
      <c r="N1046" s="9" t="s">
        <v>25</v>
      </c>
      <c r="O1046" s="9" t="s">
        <v>333</v>
      </c>
      <c r="S1046" s="9" t="s">
        <v>158</v>
      </c>
      <c r="T1046" s="10" t="s">
        <v>84</v>
      </c>
      <c r="U1046" s="10">
        <v>5</v>
      </c>
      <c r="V1046" s="10">
        <v>120.12</v>
      </c>
      <c r="W1046" s="10" t="s">
        <v>710</v>
      </c>
      <c r="X1046" s="17">
        <v>44851</v>
      </c>
      <c r="Y1046" s="17">
        <v>44851</v>
      </c>
      <c r="Z1046" s="19" t="s">
        <v>772</v>
      </c>
      <c r="AA1046" s="210">
        <v>48260</v>
      </c>
      <c r="AB1046" s="9">
        <v>96</v>
      </c>
      <c r="AC1046" s="9">
        <v>66</v>
      </c>
      <c r="AD1046" s="17">
        <v>46888</v>
      </c>
      <c r="AE1046" s="56">
        <v>534.16999999999996</v>
      </c>
      <c r="AF1046" s="56"/>
      <c r="AP1046" s="11"/>
      <c r="AQ1046" s="11"/>
      <c r="AR1046" s="11"/>
      <c r="AW1046" s="9"/>
      <c r="BD1046" s="9"/>
      <c r="CS1046" s="11">
        <f t="shared" si="73"/>
        <v>0</v>
      </c>
      <c r="CT1046" s="22">
        <f t="shared" si="74"/>
        <v>0</v>
      </c>
      <c r="CU1046" s="22">
        <f t="shared" si="72"/>
        <v>0</v>
      </c>
      <c r="CV1046" s="26">
        <f t="shared" si="75"/>
        <v>534.16999999999996</v>
      </c>
    </row>
    <row r="1047" spans="1:100" x14ac:dyDescent="0.2">
      <c r="A1047" s="9" t="s">
        <v>332</v>
      </c>
      <c r="B1047" s="2">
        <v>142</v>
      </c>
      <c r="C1047" s="3" t="s">
        <v>95</v>
      </c>
      <c r="D1047" s="3" t="s">
        <v>96</v>
      </c>
      <c r="E1047" s="2"/>
      <c r="F1047" s="2"/>
      <c r="G1047" s="2" t="s">
        <v>84</v>
      </c>
      <c r="H1047" s="2">
        <v>5</v>
      </c>
      <c r="I1047" s="8">
        <v>120.12</v>
      </c>
      <c r="J1047" s="8">
        <v>35900</v>
      </c>
      <c r="K1047" s="3">
        <v>0</v>
      </c>
      <c r="L1047" s="3" t="s">
        <v>3</v>
      </c>
      <c r="M1047" s="9" t="s">
        <v>0</v>
      </c>
      <c r="N1047" s="9" t="s">
        <v>25</v>
      </c>
      <c r="O1047" s="9" t="s">
        <v>333</v>
      </c>
      <c r="S1047" s="9" t="s">
        <v>158</v>
      </c>
      <c r="T1047" s="10" t="s">
        <v>84</v>
      </c>
      <c r="U1047" s="10">
        <v>5</v>
      </c>
      <c r="V1047" s="10">
        <v>120.12</v>
      </c>
      <c r="W1047" s="10" t="s">
        <v>710</v>
      </c>
      <c r="X1047" s="17">
        <v>44851</v>
      </c>
      <c r="Y1047" s="17">
        <v>44851</v>
      </c>
      <c r="Z1047" s="19" t="s">
        <v>772</v>
      </c>
      <c r="AA1047" s="210">
        <v>48260</v>
      </c>
      <c r="AB1047" s="9">
        <v>96</v>
      </c>
      <c r="AC1047" s="9">
        <v>67</v>
      </c>
      <c r="AD1047" s="17">
        <v>46919</v>
      </c>
      <c r="AE1047" s="56">
        <v>534.16999999999996</v>
      </c>
      <c r="AF1047" s="56"/>
      <c r="AP1047" s="11"/>
      <c r="AQ1047" s="11"/>
      <c r="AR1047" s="11"/>
      <c r="AW1047" s="9"/>
      <c r="BD1047" s="9"/>
      <c r="CS1047" s="11">
        <f t="shared" si="73"/>
        <v>0</v>
      </c>
      <c r="CT1047" s="22">
        <f t="shared" si="74"/>
        <v>0</v>
      </c>
      <c r="CU1047" s="22">
        <f t="shared" si="72"/>
        <v>0</v>
      </c>
      <c r="CV1047" s="26">
        <f t="shared" si="75"/>
        <v>534.16999999999996</v>
      </c>
    </row>
    <row r="1048" spans="1:100" x14ac:dyDescent="0.2">
      <c r="A1048" s="9" t="s">
        <v>332</v>
      </c>
      <c r="B1048" s="2">
        <v>142</v>
      </c>
      <c r="C1048" s="3" t="s">
        <v>95</v>
      </c>
      <c r="D1048" s="3" t="s">
        <v>96</v>
      </c>
      <c r="E1048" s="2"/>
      <c r="F1048" s="2"/>
      <c r="G1048" s="2" t="s">
        <v>84</v>
      </c>
      <c r="H1048" s="2">
        <v>5</v>
      </c>
      <c r="I1048" s="8">
        <v>120.12</v>
      </c>
      <c r="J1048" s="8">
        <v>35900</v>
      </c>
      <c r="K1048" s="3">
        <v>0</v>
      </c>
      <c r="L1048" s="3" t="s">
        <v>3</v>
      </c>
      <c r="M1048" s="9" t="s">
        <v>0</v>
      </c>
      <c r="N1048" s="9" t="s">
        <v>25</v>
      </c>
      <c r="O1048" s="9" t="s">
        <v>333</v>
      </c>
      <c r="S1048" s="9" t="s">
        <v>158</v>
      </c>
      <c r="T1048" s="10" t="s">
        <v>84</v>
      </c>
      <c r="U1048" s="10">
        <v>5</v>
      </c>
      <c r="V1048" s="10">
        <v>120.12</v>
      </c>
      <c r="W1048" s="10" t="s">
        <v>710</v>
      </c>
      <c r="X1048" s="17">
        <v>44851</v>
      </c>
      <c r="Y1048" s="17">
        <v>44851</v>
      </c>
      <c r="Z1048" s="19" t="s">
        <v>772</v>
      </c>
      <c r="AA1048" s="210">
        <v>48260</v>
      </c>
      <c r="AB1048" s="9">
        <v>96</v>
      </c>
      <c r="AC1048" s="9">
        <v>68</v>
      </c>
      <c r="AD1048" s="17">
        <v>46949</v>
      </c>
      <c r="AE1048" s="56">
        <v>534.16999999999996</v>
      </c>
      <c r="AF1048" s="56"/>
      <c r="AP1048" s="11"/>
      <c r="AQ1048" s="11"/>
      <c r="AR1048" s="11"/>
      <c r="AW1048" s="9"/>
      <c r="BD1048" s="9"/>
      <c r="CS1048" s="11">
        <f t="shared" si="73"/>
        <v>0</v>
      </c>
      <c r="CT1048" s="22">
        <f t="shared" si="74"/>
        <v>0</v>
      </c>
      <c r="CU1048" s="22">
        <f t="shared" si="72"/>
        <v>0</v>
      </c>
      <c r="CV1048" s="26">
        <f t="shared" si="75"/>
        <v>534.16999999999996</v>
      </c>
    </row>
    <row r="1049" spans="1:100" x14ac:dyDescent="0.2">
      <c r="A1049" s="9" t="s">
        <v>332</v>
      </c>
      <c r="B1049" s="2">
        <v>142</v>
      </c>
      <c r="C1049" s="3" t="s">
        <v>95</v>
      </c>
      <c r="D1049" s="3" t="s">
        <v>96</v>
      </c>
      <c r="E1049" s="2"/>
      <c r="F1049" s="2"/>
      <c r="G1049" s="2" t="s">
        <v>84</v>
      </c>
      <c r="H1049" s="2">
        <v>5</v>
      </c>
      <c r="I1049" s="8">
        <v>120.12</v>
      </c>
      <c r="J1049" s="8">
        <v>35900</v>
      </c>
      <c r="K1049" s="3">
        <v>0</v>
      </c>
      <c r="L1049" s="3" t="s">
        <v>3</v>
      </c>
      <c r="M1049" s="9" t="s">
        <v>0</v>
      </c>
      <c r="N1049" s="9" t="s">
        <v>25</v>
      </c>
      <c r="O1049" s="9" t="s">
        <v>333</v>
      </c>
      <c r="S1049" s="9" t="s">
        <v>158</v>
      </c>
      <c r="T1049" s="10" t="s">
        <v>84</v>
      </c>
      <c r="U1049" s="10">
        <v>5</v>
      </c>
      <c r="V1049" s="10">
        <v>120.12</v>
      </c>
      <c r="W1049" s="10" t="s">
        <v>710</v>
      </c>
      <c r="X1049" s="17">
        <v>44851</v>
      </c>
      <c r="Y1049" s="17">
        <v>44851</v>
      </c>
      <c r="Z1049" s="19" t="s">
        <v>772</v>
      </c>
      <c r="AA1049" s="210">
        <v>48260</v>
      </c>
      <c r="AB1049" s="9">
        <v>96</v>
      </c>
      <c r="AC1049" s="9">
        <v>69</v>
      </c>
      <c r="AD1049" s="17">
        <v>46980</v>
      </c>
      <c r="AE1049" s="56">
        <v>534.16999999999996</v>
      </c>
      <c r="AF1049" s="56"/>
      <c r="AP1049" s="11"/>
      <c r="AQ1049" s="11"/>
      <c r="AR1049" s="11"/>
      <c r="AW1049" s="9"/>
      <c r="BD1049" s="9"/>
      <c r="CS1049" s="11">
        <f t="shared" si="73"/>
        <v>0</v>
      </c>
      <c r="CT1049" s="22">
        <f t="shared" si="74"/>
        <v>0</v>
      </c>
      <c r="CU1049" s="22">
        <f t="shared" si="72"/>
        <v>0</v>
      </c>
      <c r="CV1049" s="26">
        <f t="shared" si="75"/>
        <v>534.16999999999996</v>
      </c>
    </row>
    <row r="1050" spans="1:100" x14ac:dyDescent="0.2">
      <c r="A1050" s="9" t="s">
        <v>332</v>
      </c>
      <c r="B1050" s="2">
        <v>142</v>
      </c>
      <c r="C1050" s="3" t="s">
        <v>95</v>
      </c>
      <c r="D1050" s="3" t="s">
        <v>96</v>
      </c>
      <c r="E1050" s="2"/>
      <c r="F1050" s="2"/>
      <c r="G1050" s="2" t="s">
        <v>84</v>
      </c>
      <c r="H1050" s="2">
        <v>5</v>
      </c>
      <c r="I1050" s="8">
        <v>120.12</v>
      </c>
      <c r="J1050" s="8">
        <v>35900</v>
      </c>
      <c r="K1050" s="3">
        <v>0</v>
      </c>
      <c r="L1050" s="3" t="s">
        <v>3</v>
      </c>
      <c r="M1050" s="9" t="s">
        <v>0</v>
      </c>
      <c r="N1050" s="9" t="s">
        <v>25</v>
      </c>
      <c r="O1050" s="9" t="s">
        <v>333</v>
      </c>
      <c r="S1050" s="9" t="s">
        <v>158</v>
      </c>
      <c r="T1050" s="10" t="s">
        <v>84</v>
      </c>
      <c r="U1050" s="10">
        <v>5</v>
      </c>
      <c r="V1050" s="10">
        <v>120.12</v>
      </c>
      <c r="W1050" s="10" t="s">
        <v>710</v>
      </c>
      <c r="X1050" s="17">
        <v>44851</v>
      </c>
      <c r="Y1050" s="17">
        <v>44851</v>
      </c>
      <c r="Z1050" s="19" t="s">
        <v>772</v>
      </c>
      <c r="AA1050" s="210">
        <v>48260</v>
      </c>
      <c r="AB1050" s="9">
        <v>96</v>
      </c>
      <c r="AC1050" s="9">
        <v>70</v>
      </c>
      <c r="AD1050" s="17">
        <v>47011</v>
      </c>
      <c r="AE1050" s="56">
        <v>534.16999999999996</v>
      </c>
      <c r="AF1050" s="56"/>
      <c r="AP1050" s="11"/>
      <c r="AQ1050" s="11"/>
      <c r="AR1050" s="11"/>
      <c r="AW1050" s="9"/>
      <c r="BD1050" s="9"/>
      <c r="CS1050" s="11">
        <f t="shared" si="73"/>
        <v>0</v>
      </c>
      <c r="CT1050" s="22">
        <f t="shared" si="74"/>
        <v>0</v>
      </c>
      <c r="CU1050" s="22">
        <f t="shared" si="72"/>
        <v>0</v>
      </c>
      <c r="CV1050" s="26">
        <f t="shared" si="75"/>
        <v>534.16999999999996</v>
      </c>
    </row>
    <row r="1051" spans="1:100" x14ac:dyDescent="0.2">
      <c r="A1051" s="9" t="s">
        <v>332</v>
      </c>
      <c r="B1051" s="2">
        <v>142</v>
      </c>
      <c r="C1051" s="3" t="s">
        <v>95</v>
      </c>
      <c r="D1051" s="3" t="s">
        <v>96</v>
      </c>
      <c r="E1051" s="2"/>
      <c r="F1051" s="2"/>
      <c r="G1051" s="2" t="s">
        <v>84</v>
      </c>
      <c r="H1051" s="2">
        <v>5</v>
      </c>
      <c r="I1051" s="8">
        <v>120.12</v>
      </c>
      <c r="J1051" s="8">
        <v>35900</v>
      </c>
      <c r="K1051" s="3">
        <v>0</v>
      </c>
      <c r="L1051" s="3" t="s">
        <v>3</v>
      </c>
      <c r="M1051" s="9" t="s">
        <v>0</v>
      </c>
      <c r="N1051" s="9" t="s">
        <v>25</v>
      </c>
      <c r="O1051" s="9" t="s">
        <v>333</v>
      </c>
      <c r="S1051" s="9" t="s">
        <v>158</v>
      </c>
      <c r="T1051" s="10" t="s">
        <v>84</v>
      </c>
      <c r="U1051" s="10">
        <v>5</v>
      </c>
      <c r="V1051" s="10">
        <v>120.12</v>
      </c>
      <c r="W1051" s="10" t="s">
        <v>710</v>
      </c>
      <c r="X1051" s="17">
        <v>44851</v>
      </c>
      <c r="Y1051" s="17">
        <v>44851</v>
      </c>
      <c r="Z1051" s="19" t="s">
        <v>772</v>
      </c>
      <c r="AA1051" s="210">
        <v>48260</v>
      </c>
      <c r="AB1051" s="9">
        <v>96</v>
      </c>
      <c r="AC1051" s="9">
        <v>71</v>
      </c>
      <c r="AD1051" s="17">
        <v>47041</v>
      </c>
      <c r="AE1051" s="56">
        <v>534.16999999999996</v>
      </c>
      <c r="AF1051" s="56"/>
      <c r="AP1051" s="11"/>
      <c r="AQ1051" s="11"/>
      <c r="AR1051" s="11"/>
      <c r="AW1051" s="9"/>
      <c r="BD1051" s="9"/>
      <c r="CS1051" s="11">
        <f t="shared" si="73"/>
        <v>0</v>
      </c>
      <c r="CT1051" s="22">
        <f t="shared" si="74"/>
        <v>0</v>
      </c>
      <c r="CU1051" s="22">
        <f t="shared" si="72"/>
        <v>0</v>
      </c>
      <c r="CV1051" s="26">
        <f t="shared" si="75"/>
        <v>534.16999999999996</v>
      </c>
    </row>
    <row r="1052" spans="1:100" x14ac:dyDescent="0.2">
      <c r="A1052" s="9" t="s">
        <v>332</v>
      </c>
      <c r="B1052" s="2">
        <v>142</v>
      </c>
      <c r="C1052" s="3" t="s">
        <v>95</v>
      </c>
      <c r="D1052" s="3" t="s">
        <v>96</v>
      </c>
      <c r="E1052" s="2"/>
      <c r="F1052" s="2"/>
      <c r="G1052" s="2" t="s">
        <v>84</v>
      </c>
      <c r="H1052" s="2">
        <v>5</v>
      </c>
      <c r="I1052" s="8">
        <v>120.12</v>
      </c>
      <c r="J1052" s="8">
        <v>35900</v>
      </c>
      <c r="K1052" s="3">
        <v>0</v>
      </c>
      <c r="L1052" s="3" t="s">
        <v>3</v>
      </c>
      <c r="M1052" s="9" t="s">
        <v>0</v>
      </c>
      <c r="N1052" s="9" t="s">
        <v>25</v>
      </c>
      <c r="O1052" s="9" t="s">
        <v>333</v>
      </c>
      <c r="S1052" s="9" t="s">
        <v>158</v>
      </c>
      <c r="T1052" s="10" t="s">
        <v>84</v>
      </c>
      <c r="U1052" s="10">
        <v>5</v>
      </c>
      <c r="V1052" s="10">
        <v>120.12</v>
      </c>
      <c r="W1052" s="10" t="s">
        <v>710</v>
      </c>
      <c r="X1052" s="17">
        <v>44851</v>
      </c>
      <c r="Y1052" s="17">
        <v>44851</v>
      </c>
      <c r="Z1052" s="19" t="s">
        <v>772</v>
      </c>
      <c r="AA1052" s="210">
        <v>48260</v>
      </c>
      <c r="AB1052" s="9">
        <v>96</v>
      </c>
      <c r="AC1052" s="9">
        <v>72</v>
      </c>
      <c r="AD1052" s="17">
        <v>47072</v>
      </c>
      <c r="AE1052" s="56">
        <v>534.16999999999996</v>
      </c>
      <c r="AF1052" s="56"/>
      <c r="AP1052" s="11"/>
      <c r="AQ1052" s="11"/>
      <c r="AR1052" s="11"/>
      <c r="AW1052" s="9"/>
      <c r="BD1052" s="9"/>
      <c r="CS1052" s="11">
        <f t="shared" si="73"/>
        <v>0</v>
      </c>
      <c r="CT1052" s="22">
        <f t="shared" si="74"/>
        <v>0</v>
      </c>
      <c r="CU1052" s="22">
        <f t="shared" ref="CU1052:CU1115" si="76">+CS1052-CT1052</f>
        <v>0</v>
      </c>
      <c r="CV1052" s="26">
        <f t="shared" si="75"/>
        <v>534.16999999999996</v>
      </c>
    </row>
    <row r="1053" spans="1:100" x14ac:dyDescent="0.2">
      <c r="A1053" s="9" t="s">
        <v>332</v>
      </c>
      <c r="B1053" s="2">
        <v>142</v>
      </c>
      <c r="C1053" s="3" t="s">
        <v>95</v>
      </c>
      <c r="D1053" s="3" t="s">
        <v>96</v>
      </c>
      <c r="E1053" s="2"/>
      <c r="F1053" s="2"/>
      <c r="G1053" s="2" t="s">
        <v>84</v>
      </c>
      <c r="H1053" s="2">
        <v>5</v>
      </c>
      <c r="I1053" s="8">
        <v>120.12</v>
      </c>
      <c r="J1053" s="8">
        <v>35900</v>
      </c>
      <c r="K1053" s="3">
        <v>0</v>
      </c>
      <c r="L1053" s="3" t="s">
        <v>3</v>
      </c>
      <c r="M1053" s="9" t="s">
        <v>0</v>
      </c>
      <c r="N1053" s="9" t="s">
        <v>25</v>
      </c>
      <c r="O1053" s="9" t="s">
        <v>333</v>
      </c>
      <c r="S1053" s="9" t="s">
        <v>158</v>
      </c>
      <c r="T1053" s="10" t="s">
        <v>84</v>
      </c>
      <c r="U1053" s="10">
        <v>5</v>
      </c>
      <c r="V1053" s="10">
        <v>120.12</v>
      </c>
      <c r="W1053" s="10" t="s">
        <v>710</v>
      </c>
      <c r="X1053" s="17">
        <v>44851</v>
      </c>
      <c r="Y1053" s="17">
        <v>44851</v>
      </c>
      <c r="Z1053" s="19" t="s">
        <v>772</v>
      </c>
      <c r="AA1053" s="210">
        <v>48260</v>
      </c>
      <c r="AB1053" s="9">
        <v>96</v>
      </c>
      <c r="AC1053" s="9">
        <v>73</v>
      </c>
      <c r="AD1053" s="17">
        <v>47102</v>
      </c>
      <c r="AE1053" s="56">
        <v>534.16999999999996</v>
      </c>
      <c r="AF1053" s="56"/>
      <c r="AP1053" s="11"/>
      <c r="AQ1053" s="11"/>
      <c r="AR1053" s="11"/>
      <c r="AW1053" s="9"/>
      <c r="BD1053" s="9"/>
      <c r="CS1053" s="11">
        <f t="shared" si="73"/>
        <v>0</v>
      </c>
      <c r="CT1053" s="22">
        <f t="shared" si="74"/>
        <v>0</v>
      </c>
      <c r="CU1053" s="22">
        <f t="shared" si="76"/>
        <v>0</v>
      </c>
      <c r="CV1053" s="26">
        <f t="shared" si="75"/>
        <v>534.16999999999996</v>
      </c>
    </row>
    <row r="1054" spans="1:100" x14ac:dyDescent="0.2">
      <c r="A1054" s="9" t="s">
        <v>332</v>
      </c>
      <c r="B1054" s="2">
        <v>142</v>
      </c>
      <c r="C1054" s="3" t="s">
        <v>95</v>
      </c>
      <c r="D1054" s="3" t="s">
        <v>96</v>
      </c>
      <c r="E1054" s="2"/>
      <c r="F1054" s="2"/>
      <c r="G1054" s="2" t="s">
        <v>84</v>
      </c>
      <c r="H1054" s="2">
        <v>5</v>
      </c>
      <c r="I1054" s="8">
        <v>120.12</v>
      </c>
      <c r="J1054" s="8">
        <v>35900</v>
      </c>
      <c r="K1054" s="3">
        <v>0</v>
      </c>
      <c r="L1054" s="3" t="s">
        <v>3</v>
      </c>
      <c r="M1054" s="9" t="s">
        <v>0</v>
      </c>
      <c r="N1054" s="9" t="s">
        <v>25</v>
      </c>
      <c r="O1054" s="9" t="s">
        <v>333</v>
      </c>
      <c r="S1054" s="9" t="s">
        <v>158</v>
      </c>
      <c r="T1054" s="10" t="s">
        <v>84</v>
      </c>
      <c r="U1054" s="10">
        <v>5</v>
      </c>
      <c r="V1054" s="10">
        <v>120.12</v>
      </c>
      <c r="W1054" s="10" t="s">
        <v>710</v>
      </c>
      <c r="X1054" s="17">
        <v>44851</v>
      </c>
      <c r="Y1054" s="17">
        <v>44851</v>
      </c>
      <c r="Z1054" s="19" t="s">
        <v>772</v>
      </c>
      <c r="AA1054" s="210">
        <v>48260</v>
      </c>
      <c r="AB1054" s="9">
        <v>96</v>
      </c>
      <c r="AC1054" s="9">
        <v>74</v>
      </c>
      <c r="AD1054" s="17">
        <v>47133</v>
      </c>
      <c r="AE1054" s="56">
        <v>534.16999999999996</v>
      </c>
      <c r="AF1054" s="56"/>
      <c r="AP1054" s="11"/>
      <c r="AQ1054" s="11"/>
      <c r="AR1054" s="11"/>
      <c r="AW1054" s="9"/>
      <c r="BD1054" s="9"/>
      <c r="CS1054" s="11">
        <f t="shared" si="73"/>
        <v>0</v>
      </c>
      <c r="CT1054" s="22">
        <f t="shared" si="74"/>
        <v>0</v>
      </c>
      <c r="CU1054" s="22">
        <f t="shared" si="76"/>
        <v>0</v>
      </c>
      <c r="CV1054" s="26">
        <f t="shared" si="75"/>
        <v>534.16999999999996</v>
      </c>
    </row>
    <row r="1055" spans="1:100" x14ac:dyDescent="0.2">
      <c r="A1055" s="9" t="s">
        <v>332</v>
      </c>
      <c r="B1055" s="2">
        <v>142</v>
      </c>
      <c r="C1055" s="3" t="s">
        <v>95</v>
      </c>
      <c r="D1055" s="3" t="s">
        <v>96</v>
      </c>
      <c r="E1055" s="2"/>
      <c r="F1055" s="2"/>
      <c r="G1055" s="2" t="s">
        <v>84</v>
      </c>
      <c r="H1055" s="2">
        <v>5</v>
      </c>
      <c r="I1055" s="8">
        <v>120.12</v>
      </c>
      <c r="J1055" s="8">
        <v>35900</v>
      </c>
      <c r="K1055" s="3">
        <v>0</v>
      </c>
      <c r="L1055" s="3" t="s">
        <v>3</v>
      </c>
      <c r="M1055" s="9" t="s">
        <v>0</v>
      </c>
      <c r="N1055" s="9" t="s">
        <v>25</v>
      </c>
      <c r="O1055" s="9" t="s">
        <v>333</v>
      </c>
      <c r="S1055" s="9" t="s">
        <v>158</v>
      </c>
      <c r="T1055" s="10" t="s">
        <v>84</v>
      </c>
      <c r="U1055" s="10">
        <v>5</v>
      </c>
      <c r="V1055" s="10">
        <v>120.12</v>
      </c>
      <c r="W1055" s="10" t="s">
        <v>710</v>
      </c>
      <c r="X1055" s="17">
        <v>44851</v>
      </c>
      <c r="Y1055" s="17">
        <v>44851</v>
      </c>
      <c r="Z1055" s="19" t="s">
        <v>772</v>
      </c>
      <c r="AA1055" s="210">
        <v>48260</v>
      </c>
      <c r="AB1055" s="9">
        <v>96</v>
      </c>
      <c r="AC1055" s="9">
        <v>75</v>
      </c>
      <c r="AD1055" s="17">
        <v>47164</v>
      </c>
      <c r="AE1055" s="56">
        <v>534.16999999999996</v>
      </c>
      <c r="AF1055" s="56"/>
      <c r="AP1055" s="11"/>
      <c r="AQ1055" s="11"/>
      <c r="AR1055" s="11"/>
      <c r="AW1055" s="9"/>
      <c r="BD1055" s="9"/>
      <c r="CS1055" s="11">
        <f t="shared" si="73"/>
        <v>0</v>
      </c>
      <c r="CT1055" s="22">
        <f t="shared" si="74"/>
        <v>0</v>
      </c>
      <c r="CU1055" s="22">
        <f t="shared" si="76"/>
        <v>0</v>
      </c>
      <c r="CV1055" s="26">
        <f t="shared" si="75"/>
        <v>534.16999999999996</v>
      </c>
    </row>
    <row r="1056" spans="1:100" x14ac:dyDescent="0.2">
      <c r="A1056" s="9" t="s">
        <v>332</v>
      </c>
      <c r="B1056" s="2">
        <v>142</v>
      </c>
      <c r="C1056" s="3" t="s">
        <v>95</v>
      </c>
      <c r="D1056" s="3" t="s">
        <v>96</v>
      </c>
      <c r="E1056" s="2"/>
      <c r="F1056" s="2"/>
      <c r="G1056" s="2" t="s">
        <v>84</v>
      </c>
      <c r="H1056" s="2">
        <v>5</v>
      </c>
      <c r="I1056" s="8">
        <v>120.12</v>
      </c>
      <c r="J1056" s="8">
        <v>35900</v>
      </c>
      <c r="K1056" s="3">
        <v>0</v>
      </c>
      <c r="L1056" s="3" t="s">
        <v>3</v>
      </c>
      <c r="M1056" s="9" t="s">
        <v>0</v>
      </c>
      <c r="N1056" s="9" t="s">
        <v>25</v>
      </c>
      <c r="O1056" s="9" t="s">
        <v>333</v>
      </c>
      <c r="S1056" s="9" t="s">
        <v>158</v>
      </c>
      <c r="T1056" s="10" t="s">
        <v>84</v>
      </c>
      <c r="U1056" s="10">
        <v>5</v>
      </c>
      <c r="V1056" s="10">
        <v>120.12</v>
      </c>
      <c r="W1056" s="10" t="s">
        <v>710</v>
      </c>
      <c r="X1056" s="17">
        <v>44851</v>
      </c>
      <c r="Y1056" s="17">
        <v>44851</v>
      </c>
      <c r="Z1056" s="19" t="s">
        <v>772</v>
      </c>
      <c r="AA1056" s="210">
        <v>48260</v>
      </c>
      <c r="AB1056" s="9">
        <v>96</v>
      </c>
      <c r="AC1056" s="9">
        <v>76</v>
      </c>
      <c r="AD1056" s="17">
        <v>47192</v>
      </c>
      <c r="AE1056" s="56">
        <v>534.16999999999996</v>
      </c>
      <c r="AF1056" s="56"/>
      <c r="AP1056" s="11"/>
      <c r="AQ1056" s="11"/>
      <c r="AR1056" s="11"/>
      <c r="AW1056" s="9"/>
      <c r="BD1056" s="9"/>
      <c r="CS1056" s="11">
        <f t="shared" si="73"/>
        <v>0</v>
      </c>
      <c r="CT1056" s="22">
        <f t="shared" si="74"/>
        <v>0</v>
      </c>
      <c r="CU1056" s="22">
        <f t="shared" si="76"/>
        <v>0</v>
      </c>
      <c r="CV1056" s="26">
        <f t="shared" si="75"/>
        <v>534.16999999999996</v>
      </c>
    </row>
    <row r="1057" spans="1:100" x14ac:dyDescent="0.2">
      <c r="A1057" s="9" t="s">
        <v>332</v>
      </c>
      <c r="B1057" s="2">
        <v>142</v>
      </c>
      <c r="C1057" s="3" t="s">
        <v>95</v>
      </c>
      <c r="D1057" s="3" t="s">
        <v>96</v>
      </c>
      <c r="E1057" s="2"/>
      <c r="F1057" s="2"/>
      <c r="G1057" s="2" t="s">
        <v>84</v>
      </c>
      <c r="H1057" s="2">
        <v>5</v>
      </c>
      <c r="I1057" s="8">
        <v>120.12</v>
      </c>
      <c r="J1057" s="8">
        <v>35900</v>
      </c>
      <c r="K1057" s="3">
        <v>0</v>
      </c>
      <c r="L1057" s="3" t="s">
        <v>3</v>
      </c>
      <c r="M1057" s="9" t="s">
        <v>0</v>
      </c>
      <c r="N1057" s="9" t="s">
        <v>25</v>
      </c>
      <c r="O1057" s="9" t="s">
        <v>333</v>
      </c>
      <c r="S1057" s="9" t="s">
        <v>158</v>
      </c>
      <c r="T1057" s="10" t="s">
        <v>84</v>
      </c>
      <c r="U1057" s="10">
        <v>5</v>
      </c>
      <c r="V1057" s="10">
        <v>120.12</v>
      </c>
      <c r="W1057" s="10" t="s">
        <v>710</v>
      </c>
      <c r="X1057" s="17">
        <v>44851</v>
      </c>
      <c r="Y1057" s="17">
        <v>44851</v>
      </c>
      <c r="Z1057" s="19" t="s">
        <v>772</v>
      </c>
      <c r="AA1057" s="210">
        <v>48260</v>
      </c>
      <c r="AB1057" s="9">
        <v>96</v>
      </c>
      <c r="AC1057" s="9">
        <v>77</v>
      </c>
      <c r="AD1057" s="17">
        <v>47223</v>
      </c>
      <c r="AE1057" s="56">
        <v>534.16999999999996</v>
      </c>
      <c r="AF1057" s="56"/>
      <c r="AP1057" s="11"/>
      <c r="AQ1057" s="11"/>
      <c r="AR1057" s="11"/>
      <c r="AW1057" s="9"/>
      <c r="BD1057" s="9"/>
      <c r="CS1057" s="11">
        <f t="shared" si="73"/>
        <v>0</v>
      </c>
      <c r="CT1057" s="22">
        <f t="shared" si="74"/>
        <v>0</v>
      </c>
      <c r="CU1057" s="22">
        <f t="shared" si="76"/>
        <v>0</v>
      </c>
      <c r="CV1057" s="26">
        <f t="shared" si="75"/>
        <v>534.16999999999996</v>
      </c>
    </row>
    <row r="1058" spans="1:100" x14ac:dyDescent="0.2">
      <c r="A1058" s="9" t="s">
        <v>332</v>
      </c>
      <c r="B1058" s="2">
        <v>142</v>
      </c>
      <c r="C1058" s="3" t="s">
        <v>95</v>
      </c>
      <c r="D1058" s="3" t="s">
        <v>96</v>
      </c>
      <c r="E1058" s="2"/>
      <c r="F1058" s="2"/>
      <c r="G1058" s="2" t="s">
        <v>84</v>
      </c>
      <c r="H1058" s="2">
        <v>5</v>
      </c>
      <c r="I1058" s="8">
        <v>120.12</v>
      </c>
      <c r="J1058" s="8">
        <v>35900</v>
      </c>
      <c r="K1058" s="3">
        <v>0</v>
      </c>
      <c r="L1058" s="3" t="s">
        <v>3</v>
      </c>
      <c r="M1058" s="9" t="s">
        <v>0</v>
      </c>
      <c r="N1058" s="9" t="s">
        <v>25</v>
      </c>
      <c r="O1058" s="9" t="s">
        <v>333</v>
      </c>
      <c r="S1058" s="9" t="s">
        <v>158</v>
      </c>
      <c r="T1058" s="10" t="s">
        <v>84</v>
      </c>
      <c r="U1058" s="10">
        <v>5</v>
      </c>
      <c r="V1058" s="10">
        <v>120.12</v>
      </c>
      <c r="W1058" s="10" t="s">
        <v>710</v>
      </c>
      <c r="X1058" s="17">
        <v>44851</v>
      </c>
      <c r="Y1058" s="17">
        <v>44851</v>
      </c>
      <c r="Z1058" s="19" t="s">
        <v>772</v>
      </c>
      <c r="AA1058" s="210">
        <v>48260</v>
      </c>
      <c r="AB1058" s="9">
        <v>96</v>
      </c>
      <c r="AC1058" s="9">
        <v>78</v>
      </c>
      <c r="AD1058" s="17">
        <v>47253</v>
      </c>
      <c r="AE1058" s="56">
        <v>534.16999999999996</v>
      </c>
      <c r="AF1058" s="56"/>
      <c r="AP1058" s="11"/>
      <c r="AQ1058" s="11"/>
      <c r="AR1058" s="11"/>
      <c r="AW1058" s="9"/>
      <c r="BD1058" s="9"/>
      <c r="CS1058" s="11">
        <f t="shared" si="73"/>
        <v>0</v>
      </c>
      <c r="CT1058" s="22">
        <f t="shared" si="74"/>
        <v>0</v>
      </c>
      <c r="CU1058" s="22">
        <f t="shared" si="76"/>
        <v>0</v>
      </c>
      <c r="CV1058" s="26">
        <f t="shared" si="75"/>
        <v>534.16999999999996</v>
      </c>
    </row>
    <row r="1059" spans="1:100" x14ac:dyDescent="0.2">
      <c r="A1059" s="9" t="s">
        <v>332</v>
      </c>
      <c r="B1059" s="2">
        <v>142</v>
      </c>
      <c r="C1059" s="3" t="s">
        <v>95</v>
      </c>
      <c r="D1059" s="3" t="s">
        <v>96</v>
      </c>
      <c r="E1059" s="2"/>
      <c r="F1059" s="2"/>
      <c r="G1059" s="2" t="s">
        <v>84</v>
      </c>
      <c r="H1059" s="2">
        <v>5</v>
      </c>
      <c r="I1059" s="8">
        <v>120.12</v>
      </c>
      <c r="J1059" s="8">
        <v>35900</v>
      </c>
      <c r="K1059" s="3">
        <v>0</v>
      </c>
      <c r="L1059" s="3" t="s">
        <v>3</v>
      </c>
      <c r="M1059" s="9" t="s">
        <v>0</v>
      </c>
      <c r="N1059" s="9" t="s">
        <v>25</v>
      </c>
      <c r="O1059" s="9" t="s">
        <v>333</v>
      </c>
      <c r="S1059" s="9" t="s">
        <v>158</v>
      </c>
      <c r="T1059" s="10" t="s">
        <v>84</v>
      </c>
      <c r="U1059" s="10">
        <v>5</v>
      </c>
      <c r="V1059" s="10">
        <v>120.12</v>
      </c>
      <c r="W1059" s="10" t="s">
        <v>710</v>
      </c>
      <c r="X1059" s="17">
        <v>44851</v>
      </c>
      <c r="Y1059" s="17">
        <v>44851</v>
      </c>
      <c r="Z1059" s="19" t="s">
        <v>772</v>
      </c>
      <c r="AA1059" s="210">
        <v>48260</v>
      </c>
      <c r="AB1059" s="9">
        <v>96</v>
      </c>
      <c r="AC1059" s="9">
        <v>79</v>
      </c>
      <c r="AD1059" s="17">
        <v>47284</v>
      </c>
      <c r="AE1059" s="56">
        <v>534.16999999999996</v>
      </c>
      <c r="AF1059" s="56"/>
      <c r="AP1059" s="11"/>
      <c r="AQ1059" s="11"/>
      <c r="AR1059" s="11"/>
      <c r="AW1059" s="9"/>
      <c r="BD1059" s="9"/>
      <c r="CS1059" s="11">
        <f t="shared" si="73"/>
        <v>0</v>
      </c>
      <c r="CT1059" s="22">
        <f t="shared" si="74"/>
        <v>0</v>
      </c>
      <c r="CU1059" s="22">
        <f t="shared" si="76"/>
        <v>0</v>
      </c>
      <c r="CV1059" s="26">
        <f t="shared" si="75"/>
        <v>534.16999999999996</v>
      </c>
    </row>
    <row r="1060" spans="1:100" x14ac:dyDescent="0.2">
      <c r="A1060" s="9" t="s">
        <v>332</v>
      </c>
      <c r="B1060" s="2">
        <v>142</v>
      </c>
      <c r="C1060" s="3" t="s">
        <v>95</v>
      </c>
      <c r="D1060" s="3" t="s">
        <v>96</v>
      </c>
      <c r="E1060" s="2"/>
      <c r="F1060" s="2"/>
      <c r="G1060" s="2" t="s">
        <v>84</v>
      </c>
      <c r="H1060" s="2">
        <v>5</v>
      </c>
      <c r="I1060" s="8">
        <v>120.12</v>
      </c>
      <c r="J1060" s="8">
        <v>35900</v>
      </c>
      <c r="K1060" s="3">
        <v>0</v>
      </c>
      <c r="L1060" s="3" t="s">
        <v>3</v>
      </c>
      <c r="M1060" s="9" t="s">
        <v>0</v>
      </c>
      <c r="N1060" s="9" t="s">
        <v>25</v>
      </c>
      <c r="O1060" s="9" t="s">
        <v>333</v>
      </c>
      <c r="S1060" s="9" t="s">
        <v>158</v>
      </c>
      <c r="T1060" s="10" t="s">
        <v>84</v>
      </c>
      <c r="U1060" s="10">
        <v>5</v>
      </c>
      <c r="V1060" s="10">
        <v>120.12</v>
      </c>
      <c r="W1060" s="10" t="s">
        <v>710</v>
      </c>
      <c r="X1060" s="17">
        <v>44851</v>
      </c>
      <c r="Y1060" s="17">
        <v>44851</v>
      </c>
      <c r="Z1060" s="19" t="s">
        <v>772</v>
      </c>
      <c r="AA1060" s="210">
        <v>48260</v>
      </c>
      <c r="AB1060" s="9">
        <v>96</v>
      </c>
      <c r="AC1060" s="9">
        <v>80</v>
      </c>
      <c r="AD1060" s="17">
        <v>47314</v>
      </c>
      <c r="AE1060" s="56">
        <v>534.16999999999996</v>
      </c>
      <c r="AF1060" s="56"/>
      <c r="AP1060" s="11"/>
      <c r="AQ1060" s="11"/>
      <c r="AR1060" s="11"/>
      <c r="AW1060" s="9"/>
      <c r="BD1060" s="9"/>
      <c r="CS1060" s="11">
        <f t="shared" si="73"/>
        <v>0</v>
      </c>
      <c r="CT1060" s="22">
        <f t="shared" si="74"/>
        <v>0</v>
      </c>
      <c r="CU1060" s="22">
        <f t="shared" si="76"/>
        <v>0</v>
      </c>
      <c r="CV1060" s="26">
        <f t="shared" si="75"/>
        <v>534.16999999999996</v>
      </c>
    </row>
    <row r="1061" spans="1:100" x14ac:dyDescent="0.2">
      <c r="A1061" s="9" t="s">
        <v>332</v>
      </c>
      <c r="B1061" s="2">
        <v>142</v>
      </c>
      <c r="C1061" s="3" t="s">
        <v>95</v>
      </c>
      <c r="D1061" s="3" t="s">
        <v>96</v>
      </c>
      <c r="E1061" s="2"/>
      <c r="F1061" s="2"/>
      <c r="G1061" s="2" t="s">
        <v>84</v>
      </c>
      <c r="H1061" s="2">
        <v>5</v>
      </c>
      <c r="I1061" s="8">
        <v>120.12</v>
      </c>
      <c r="J1061" s="8">
        <v>35900</v>
      </c>
      <c r="K1061" s="3">
        <v>0</v>
      </c>
      <c r="L1061" s="3" t="s">
        <v>3</v>
      </c>
      <c r="M1061" s="9" t="s">
        <v>0</v>
      </c>
      <c r="N1061" s="9" t="s">
        <v>25</v>
      </c>
      <c r="O1061" s="9" t="s">
        <v>333</v>
      </c>
      <c r="S1061" s="9" t="s">
        <v>158</v>
      </c>
      <c r="T1061" s="10" t="s">
        <v>84</v>
      </c>
      <c r="U1061" s="10">
        <v>5</v>
      </c>
      <c r="V1061" s="10">
        <v>120.12</v>
      </c>
      <c r="W1061" s="10" t="s">
        <v>710</v>
      </c>
      <c r="X1061" s="17">
        <v>44851</v>
      </c>
      <c r="Y1061" s="17">
        <v>44851</v>
      </c>
      <c r="Z1061" s="19" t="s">
        <v>772</v>
      </c>
      <c r="AA1061" s="210">
        <v>48260</v>
      </c>
      <c r="AB1061" s="9">
        <v>96</v>
      </c>
      <c r="AC1061" s="9">
        <v>81</v>
      </c>
      <c r="AD1061" s="17">
        <v>47345</v>
      </c>
      <c r="AE1061" s="56">
        <v>534.16999999999996</v>
      </c>
      <c r="AF1061" s="56"/>
      <c r="AP1061" s="11"/>
      <c r="AQ1061" s="11"/>
      <c r="AR1061" s="11"/>
      <c r="AW1061" s="9"/>
      <c r="BD1061" s="9"/>
      <c r="CS1061" s="11">
        <f t="shared" si="73"/>
        <v>0</v>
      </c>
      <c r="CT1061" s="22">
        <f t="shared" si="74"/>
        <v>0</v>
      </c>
      <c r="CU1061" s="22">
        <f t="shared" si="76"/>
        <v>0</v>
      </c>
      <c r="CV1061" s="26">
        <f t="shared" si="75"/>
        <v>534.16999999999996</v>
      </c>
    </row>
    <row r="1062" spans="1:100" x14ac:dyDescent="0.2">
      <c r="A1062" s="9" t="s">
        <v>332</v>
      </c>
      <c r="B1062" s="2">
        <v>142</v>
      </c>
      <c r="C1062" s="3" t="s">
        <v>95</v>
      </c>
      <c r="D1062" s="3" t="s">
        <v>96</v>
      </c>
      <c r="E1062" s="2"/>
      <c r="F1062" s="2"/>
      <c r="G1062" s="2" t="s">
        <v>84</v>
      </c>
      <c r="H1062" s="2">
        <v>5</v>
      </c>
      <c r="I1062" s="8">
        <v>120.12</v>
      </c>
      <c r="J1062" s="8">
        <v>35900</v>
      </c>
      <c r="K1062" s="3">
        <v>0</v>
      </c>
      <c r="L1062" s="3" t="s">
        <v>3</v>
      </c>
      <c r="M1062" s="9" t="s">
        <v>0</v>
      </c>
      <c r="N1062" s="9" t="s">
        <v>25</v>
      </c>
      <c r="O1062" s="9" t="s">
        <v>333</v>
      </c>
      <c r="S1062" s="9" t="s">
        <v>158</v>
      </c>
      <c r="T1062" s="10" t="s">
        <v>84</v>
      </c>
      <c r="U1062" s="10">
        <v>5</v>
      </c>
      <c r="V1062" s="10">
        <v>120.12</v>
      </c>
      <c r="W1062" s="10" t="s">
        <v>710</v>
      </c>
      <c r="X1062" s="17">
        <v>44851</v>
      </c>
      <c r="Y1062" s="17">
        <v>44851</v>
      </c>
      <c r="Z1062" s="19" t="s">
        <v>772</v>
      </c>
      <c r="AA1062" s="210">
        <v>48260</v>
      </c>
      <c r="AB1062" s="9">
        <v>96</v>
      </c>
      <c r="AC1062" s="9">
        <v>82</v>
      </c>
      <c r="AD1062" s="17">
        <v>47376</v>
      </c>
      <c r="AE1062" s="56">
        <v>534.16999999999996</v>
      </c>
      <c r="AF1062" s="56"/>
      <c r="AP1062" s="11"/>
      <c r="AQ1062" s="11"/>
      <c r="AR1062" s="11"/>
      <c r="AW1062" s="9"/>
      <c r="BD1062" s="9"/>
      <c r="CS1062" s="11">
        <f t="shared" si="73"/>
        <v>0</v>
      </c>
      <c r="CT1062" s="22">
        <f t="shared" si="74"/>
        <v>0</v>
      </c>
      <c r="CU1062" s="22">
        <f t="shared" si="76"/>
        <v>0</v>
      </c>
      <c r="CV1062" s="26">
        <f t="shared" si="75"/>
        <v>534.16999999999996</v>
      </c>
    </row>
    <row r="1063" spans="1:100" x14ac:dyDescent="0.2">
      <c r="A1063" s="9" t="s">
        <v>332</v>
      </c>
      <c r="B1063" s="2">
        <v>142</v>
      </c>
      <c r="C1063" s="3" t="s">
        <v>95</v>
      </c>
      <c r="D1063" s="3" t="s">
        <v>96</v>
      </c>
      <c r="E1063" s="2"/>
      <c r="F1063" s="2"/>
      <c r="G1063" s="2" t="s">
        <v>84</v>
      </c>
      <c r="H1063" s="2">
        <v>5</v>
      </c>
      <c r="I1063" s="8">
        <v>120.12</v>
      </c>
      <c r="J1063" s="8">
        <v>35900</v>
      </c>
      <c r="K1063" s="3">
        <v>0</v>
      </c>
      <c r="L1063" s="3" t="s">
        <v>3</v>
      </c>
      <c r="M1063" s="9" t="s">
        <v>0</v>
      </c>
      <c r="N1063" s="9" t="s">
        <v>25</v>
      </c>
      <c r="O1063" s="9" t="s">
        <v>333</v>
      </c>
      <c r="S1063" s="9" t="s">
        <v>158</v>
      </c>
      <c r="T1063" s="10" t="s">
        <v>84</v>
      </c>
      <c r="U1063" s="10">
        <v>5</v>
      </c>
      <c r="V1063" s="10">
        <v>120.12</v>
      </c>
      <c r="W1063" s="10" t="s">
        <v>710</v>
      </c>
      <c r="X1063" s="17">
        <v>44851</v>
      </c>
      <c r="Y1063" s="17">
        <v>44851</v>
      </c>
      <c r="Z1063" s="19" t="s">
        <v>772</v>
      </c>
      <c r="AA1063" s="210">
        <v>48260</v>
      </c>
      <c r="AB1063" s="9">
        <v>96</v>
      </c>
      <c r="AC1063" s="9">
        <v>83</v>
      </c>
      <c r="AD1063" s="17">
        <v>47406</v>
      </c>
      <c r="AE1063" s="56">
        <v>534.16999999999996</v>
      </c>
      <c r="AF1063" s="56"/>
      <c r="AP1063" s="11"/>
      <c r="AQ1063" s="11"/>
      <c r="AR1063" s="11"/>
      <c r="AW1063" s="9"/>
      <c r="BD1063" s="9"/>
      <c r="CS1063" s="11">
        <f t="shared" si="73"/>
        <v>0</v>
      </c>
      <c r="CT1063" s="22">
        <f t="shared" si="74"/>
        <v>0</v>
      </c>
      <c r="CU1063" s="22">
        <f t="shared" si="76"/>
        <v>0</v>
      </c>
      <c r="CV1063" s="26">
        <f t="shared" si="75"/>
        <v>534.16999999999996</v>
      </c>
    </row>
    <row r="1064" spans="1:100" x14ac:dyDescent="0.2">
      <c r="A1064" s="9" t="s">
        <v>332</v>
      </c>
      <c r="B1064" s="2">
        <v>142</v>
      </c>
      <c r="C1064" s="3" t="s">
        <v>95</v>
      </c>
      <c r="D1064" s="3" t="s">
        <v>96</v>
      </c>
      <c r="E1064" s="2"/>
      <c r="F1064" s="2"/>
      <c r="G1064" s="2" t="s">
        <v>84</v>
      </c>
      <c r="H1064" s="2">
        <v>5</v>
      </c>
      <c r="I1064" s="8">
        <v>120.12</v>
      </c>
      <c r="J1064" s="8">
        <v>35900</v>
      </c>
      <c r="K1064" s="3">
        <v>0</v>
      </c>
      <c r="L1064" s="3" t="s">
        <v>3</v>
      </c>
      <c r="M1064" s="9" t="s">
        <v>0</v>
      </c>
      <c r="N1064" s="9" t="s">
        <v>25</v>
      </c>
      <c r="O1064" s="9" t="s">
        <v>333</v>
      </c>
      <c r="S1064" s="9" t="s">
        <v>158</v>
      </c>
      <c r="T1064" s="10" t="s">
        <v>84</v>
      </c>
      <c r="U1064" s="10">
        <v>5</v>
      </c>
      <c r="V1064" s="10">
        <v>120.12</v>
      </c>
      <c r="W1064" s="10" t="s">
        <v>710</v>
      </c>
      <c r="X1064" s="17">
        <v>44851</v>
      </c>
      <c r="Y1064" s="17">
        <v>44851</v>
      </c>
      <c r="Z1064" s="19" t="s">
        <v>772</v>
      </c>
      <c r="AA1064" s="210">
        <v>48260</v>
      </c>
      <c r="AB1064" s="9">
        <v>96</v>
      </c>
      <c r="AC1064" s="9">
        <v>84</v>
      </c>
      <c r="AD1064" s="17">
        <v>47437</v>
      </c>
      <c r="AE1064" s="56">
        <v>534.16999999999996</v>
      </c>
      <c r="AF1064" s="56"/>
      <c r="AP1064" s="11"/>
      <c r="AQ1064" s="11"/>
      <c r="AR1064" s="11"/>
      <c r="AW1064" s="9"/>
      <c r="BD1064" s="9"/>
      <c r="CS1064" s="11">
        <f t="shared" si="73"/>
        <v>0</v>
      </c>
      <c r="CT1064" s="22">
        <f t="shared" si="74"/>
        <v>0</v>
      </c>
      <c r="CU1064" s="22">
        <f t="shared" si="76"/>
        <v>0</v>
      </c>
      <c r="CV1064" s="26">
        <f t="shared" si="75"/>
        <v>534.16999999999996</v>
      </c>
    </row>
    <row r="1065" spans="1:100" x14ac:dyDescent="0.2">
      <c r="A1065" s="9" t="s">
        <v>332</v>
      </c>
      <c r="B1065" s="2">
        <v>142</v>
      </c>
      <c r="C1065" s="3" t="s">
        <v>95</v>
      </c>
      <c r="D1065" s="3" t="s">
        <v>96</v>
      </c>
      <c r="E1065" s="2"/>
      <c r="F1065" s="2"/>
      <c r="G1065" s="2" t="s">
        <v>84</v>
      </c>
      <c r="H1065" s="2">
        <v>5</v>
      </c>
      <c r="I1065" s="8">
        <v>120.12</v>
      </c>
      <c r="J1065" s="8">
        <v>35900</v>
      </c>
      <c r="K1065" s="3">
        <v>0</v>
      </c>
      <c r="L1065" s="3" t="s">
        <v>3</v>
      </c>
      <c r="M1065" s="9" t="s">
        <v>0</v>
      </c>
      <c r="N1065" s="9" t="s">
        <v>25</v>
      </c>
      <c r="O1065" s="9" t="s">
        <v>333</v>
      </c>
      <c r="S1065" s="9" t="s">
        <v>158</v>
      </c>
      <c r="T1065" s="10" t="s">
        <v>84</v>
      </c>
      <c r="U1065" s="10">
        <v>5</v>
      </c>
      <c r="V1065" s="10">
        <v>120.12</v>
      </c>
      <c r="W1065" s="10" t="s">
        <v>710</v>
      </c>
      <c r="X1065" s="17">
        <v>44851</v>
      </c>
      <c r="Y1065" s="17">
        <v>44851</v>
      </c>
      <c r="Z1065" s="19" t="s">
        <v>772</v>
      </c>
      <c r="AA1065" s="210">
        <v>48260</v>
      </c>
      <c r="AB1065" s="9">
        <v>96</v>
      </c>
      <c r="AC1065" s="9">
        <v>85</v>
      </c>
      <c r="AD1065" s="17">
        <v>47467</v>
      </c>
      <c r="AE1065" s="56">
        <v>534.16999999999996</v>
      </c>
      <c r="AF1065" s="56"/>
      <c r="AP1065" s="11"/>
      <c r="AQ1065" s="11"/>
      <c r="AR1065" s="11"/>
      <c r="AW1065" s="9"/>
      <c r="BD1065" s="9"/>
      <c r="CS1065" s="11">
        <f t="shared" si="73"/>
        <v>0</v>
      </c>
      <c r="CT1065" s="22">
        <f t="shared" si="74"/>
        <v>0</v>
      </c>
      <c r="CU1065" s="22">
        <f t="shared" si="76"/>
        <v>0</v>
      </c>
      <c r="CV1065" s="26">
        <f t="shared" si="75"/>
        <v>534.16999999999996</v>
      </c>
    </row>
    <row r="1066" spans="1:100" x14ac:dyDescent="0.2">
      <c r="A1066" s="9" t="s">
        <v>332</v>
      </c>
      <c r="B1066" s="2">
        <v>142</v>
      </c>
      <c r="C1066" s="3" t="s">
        <v>95</v>
      </c>
      <c r="D1066" s="3" t="s">
        <v>96</v>
      </c>
      <c r="E1066" s="2"/>
      <c r="F1066" s="2"/>
      <c r="G1066" s="2" t="s">
        <v>84</v>
      </c>
      <c r="H1066" s="2">
        <v>5</v>
      </c>
      <c r="I1066" s="8">
        <v>120.12</v>
      </c>
      <c r="J1066" s="8">
        <v>35900</v>
      </c>
      <c r="K1066" s="3">
        <v>0</v>
      </c>
      <c r="L1066" s="3" t="s">
        <v>3</v>
      </c>
      <c r="M1066" s="9" t="s">
        <v>0</v>
      </c>
      <c r="N1066" s="9" t="s">
        <v>25</v>
      </c>
      <c r="O1066" s="9" t="s">
        <v>333</v>
      </c>
      <c r="S1066" s="9" t="s">
        <v>158</v>
      </c>
      <c r="T1066" s="10" t="s">
        <v>84</v>
      </c>
      <c r="U1066" s="10">
        <v>5</v>
      </c>
      <c r="V1066" s="10">
        <v>120.12</v>
      </c>
      <c r="W1066" s="10" t="s">
        <v>710</v>
      </c>
      <c r="X1066" s="17">
        <v>44851</v>
      </c>
      <c r="Y1066" s="17">
        <v>44851</v>
      </c>
      <c r="Z1066" s="19" t="s">
        <v>772</v>
      </c>
      <c r="AA1066" s="210">
        <v>48260</v>
      </c>
      <c r="AB1066" s="9">
        <v>96</v>
      </c>
      <c r="AC1066" s="9">
        <v>86</v>
      </c>
      <c r="AD1066" s="17">
        <v>47498</v>
      </c>
      <c r="AE1066" s="56">
        <v>534.16999999999996</v>
      </c>
      <c r="AF1066" s="56"/>
      <c r="AP1066" s="11"/>
      <c r="AQ1066" s="11"/>
      <c r="AR1066" s="11"/>
      <c r="AW1066" s="9"/>
      <c r="BD1066" s="9"/>
      <c r="CS1066" s="11">
        <f t="shared" si="73"/>
        <v>0</v>
      </c>
      <c r="CT1066" s="22">
        <f t="shared" si="74"/>
        <v>0</v>
      </c>
      <c r="CU1066" s="22">
        <f t="shared" si="76"/>
        <v>0</v>
      </c>
      <c r="CV1066" s="26">
        <f t="shared" si="75"/>
        <v>534.16999999999996</v>
      </c>
    </row>
    <row r="1067" spans="1:100" x14ac:dyDescent="0.2">
      <c r="A1067" s="9" t="s">
        <v>332</v>
      </c>
      <c r="B1067" s="2">
        <v>142</v>
      </c>
      <c r="C1067" s="3" t="s">
        <v>95</v>
      </c>
      <c r="D1067" s="3" t="s">
        <v>96</v>
      </c>
      <c r="E1067" s="2"/>
      <c r="F1067" s="2"/>
      <c r="G1067" s="2" t="s">
        <v>84</v>
      </c>
      <c r="H1067" s="2">
        <v>5</v>
      </c>
      <c r="I1067" s="8">
        <v>120.12</v>
      </c>
      <c r="J1067" s="8">
        <v>35900</v>
      </c>
      <c r="K1067" s="3">
        <v>0</v>
      </c>
      <c r="L1067" s="3" t="s">
        <v>3</v>
      </c>
      <c r="M1067" s="9" t="s">
        <v>0</v>
      </c>
      <c r="N1067" s="9" t="s">
        <v>25</v>
      </c>
      <c r="O1067" s="9" t="s">
        <v>333</v>
      </c>
      <c r="S1067" s="9" t="s">
        <v>158</v>
      </c>
      <c r="T1067" s="10" t="s">
        <v>84</v>
      </c>
      <c r="U1067" s="10">
        <v>5</v>
      </c>
      <c r="V1067" s="10">
        <v>120.12</v>
      </c>
      <c r="W1067" s="10" t="s">
        <v>710</v>
      </c>
      <c r="X1067" s="17">
        <v>44851</v>
      </c>
      <c r="Y1067" s="17">
        <v>44851</v>
      </c>
      <c r="Z1067" s="19" t="s">
        <v>772</v>
      </c>
      <c r="AA1067" s="210">
        <v>48260</v>
      </c>
      <c r="AB1067" s="9">
        <v>96</v>
      </c>
      <c r="AC1067" s="9">
        <v>87</v>
      </c>
      <c r="AD1067" s="17">
        <v>47529</v>
      </c>
      <c r="AE1067" s="56">
        <v>534.16999999999996</v>
      </c>
      <c r="AF1067" s="56"/>
      <c r="AP1067" s="11"/>
      <c r="AQ1067" s="11"/>
      <c r="AR1067" s="11"/>
      <c r="AW1067" s="9"/>
      <c r="BD1067" s="9"/>
      <c r="CS1067" s="11">
        <f t="shared" si="73"/>
        <v>0</v>
      </c>
      <c r="CT1067" s="22">
        <f t="shared" si="74"/>
        <v>0</v>
      </c>
      <c r="CU1067" s="22">
        <f t="shared" si="76"/>
        <v>0</v>
      </c>
      <c r="CV1067" s="26">
        <f t="shared" si="75"/>
        <v>534.16999999999996</v>
      </c>
    </row>
    <row r="1068" spans="1:100" x14ac:dyDescent="0.2">
      <c r="A1068" s="9" t="s">
        <v>332</v>
      </c>
      <c r="B1068" s="2">
        <v>142</v>
      </c>
      <c r="C1068" s="3" t="s">
        <v>95</v>
      </c>
      <c r="D1068" s="3" t="s">
        <v>96</v>
      </c>
      <c r="E1068" s="2"/>
      <c r="F1068" s="2"/>
      <c r="G1068" s="2" t="s">
        <v>84</v>
      </c>
      <c r="H1068" s="2">
        <v>5</v>
      </c>
      <c r="I1068" s="8">
        <v>120.12</v>
      </c>
      <c r="J1068" s="8">
        <v>35900</v>
      </c>
      <c r="K1068" s="3">
        <v>0</v>
      </c>
      <c r="L1068" s="3" t="s">
        <v>3</v>
      </c>
      <c r="M1068" s="9" t="s">
        <v>0</v>
      </c>
      <c r="N1068" s="9" t="s">
        <v>25</v>
      </c>
      <c r="O1068" s="9" t="s">
        <v>333</v>
      </c>
      <c r="S1068" s="9" t="s">
        <v>158</v>
      </c>
      <c r="T1068" s="10" t="s">
        <v>84</v>
      </c>
      <c r="U1068" s="10">
        <v>5</v>
      </c>
      <c r="V1068" s="10">
        <v>120.12</v>
      </c>
      <c r="W1068" s="10" t="s">
        <v>710</v>
      </c>
      <c r="X1068" s="17">
        <v>44851</v>
      </c>
      <c r="Y1068" s="17">
        <v>44851</v>
      </c>
      <c r="Z1068" s="19" t="s">
        <v>772</v>
      </c>
      <c r="AA1068" s="210">
        <v>48260</v>
      </c>
      <c r="AB1068" s="9">
        <v>96</v>
      </c>
      <c r="AC1068" s="9">
        <v>88</v>
      </c>
      <c r="AD1068" s="17">
        <v>47557</v>
      </c>
      <c r="AE1068" s="56">
        <v>534.16999999999996</v>
      </c>
      <c r="AF1068" s="56"/>
      <c r="AP1068" s="11"/>
      <c r="AQ1068" s="11"/>
      <c r="AR1068" s="11"/>
      <c r="AW1068" s="9"/>
      <c r="BD1068" s="9"/>
      <c r="CS1068" s="11">
        <f t="shared" si="73"/>
        <v>0</v>
      </c>
      <c r="CT1068" s="22">
        <f t="shared" si="74"/>
        <v>0</v>
      </c>
      <c r="CU1068" s="22">
        <f t="shared" si="76"/>
        <v>0</v>
      </c>
      <c r="CV1068" s="26">
        <f t="shared" si="75"/>
        <v>534.16999999999996</v>
      </c>
    </row>
    <row r="1069" spans="1:100" x14ac:dyDescent="0.2">
      <c r="A1069" s="9" t="s">
        <v>332</v>
      </c>
      <c r="B1069" s="2">
        <v>142</v>
      </c>
      <c r="C1069" s="3" t="s">
        <v>95</v>
      </c>
      <c r="D1069" s="3" t="s">
        <v>96</v>
      </c>
      <c r="E1069" s="2"/>
      <c r="F1069" s="2"/>
      <c r="G1069" s="2" t="s">
        <v>84</v>
      </c>
      <c r="H1069" s="2">
        <v>5</v>
      </c>
      <c r="I1069" s="8">
        <v>120.12</v>
      </c>
      <c r="J1069" s="8">
        <v>35900</v>
      </c>
      <c r="K1069" s="3">
        <v>0</v>
      </c>
      <c r="L1069" s="3" t="s">
        <v>3</v>
      </c>
      <c r="M1069" s="9" t="s">
        <v>0</v>
      </c>
      <c r="N1069" s="9" t="s">
        <v>25</v>
      </c>
      <c r="O1069" s="9" t="s">
        <v>333</v>
      </c>
      <c r="S1069" s="9" t="s">
        <v>158</v>
      </c>
      <c r="T1069" s="10" t="s">
        <v>84</v>
      </c>
      <c r="U1069" s="10">
        <v>5</v>
      </c>
      <c r="V1069" s="10">
        <v>120.12</v>
      </c>
      <c r="W1069" s="10" t="s">
        <v>710</v>
      </c>
      <c r="X1069" s="17">
        <v>44851</v>
      </c>
      <c r="Y1069" s="17">
        <v>44851</v>
      </c>
      <c r="Z1069" s="19" t="s">
        <v>772</v>
      </c>
      <c r="AA1069" s="210">
        <v>48260</v>
      </c>
      <c r="AB1069" s="9">
        <v>96</v>
      </c>
      <c r="AC1069" s="9">
        <v>89</v>
      </c>
      <c r="AD1069" s="17">
        <v>47588</v>
      </c>
      <c r="AE1069" s="56">
        <v>534.16999999999996</v>
      </c>
      <c r="AF1069" s="56"/>
      <c r="AP1069" s="11"/>
      <c r="AQ1069" s="11"/>
      <c r="AR1069" s="11"/>
      <c r="AW1069" s="9"/>
      <c r="BD1069" s="9"/>
      <c r="CS1069" s="11">
        <f t="shared" si="73"/>
        <v>0</v>
      </c>
      <c r="CT1069" s="22">
        <f t="shared" si="74"/>
        <v>0</v>
      </c>
      <c r="CU1069" s="22">
        <f t="shared" si="76"/>
        <v>0</v>
      </c>
      <c r="CV1069" s="26">
        <f t="shared" si="75"/>
        <v>534.16999999999996</v>
      </c>
    </row>
    <row r="1070" spans="1:100" x14ac:dyDescent="0.2">
      <c r="A1070" s="9" t="s">
        <v>332</v>
      </c>
      <c r="B1070" s="2">
        <v>142</v>
      </c>
      <c r="C1070" s="3" t="s">
        <v>95</v>
      </c>
      <c r="D1070" s="3" t="s">
        <v>96</v>
      </c>
      <c r="E1070" s="2"/>
      <c r="F1070" s="2"/>
      <c r="G1070" s="2" t="s">
        <v>84</v>
      </c>
      <c r="H1070" s="2">
        <v>5</v>
      </c>
      <c r="I1070" s="8">
        <v>120.12</v>
      </c>
      <c r="J1070" s="8">
        <v>35900</v>
      </c>
      <c r="K1070" s="3">
        <v>0</v>
      </c>
      <c r="L1070" s="3" t="s">
        <v>3</v>
      </c>
      <c r="M1070" s="9" t="s">
        <v>0</v>
      </c>
      <c r="N1070" s="9" t="s">
        <v>25</v>
      </c>
      <c r="O1070" s="9" t="s">
        <v>333</v>
      </c>
      <c r="S1070" s="9" t="s">
        <v>158</v>
      </c>
      <c r="T1070" s="10" t="s">
        <v>84</v>
      </c>
      <c r="U1070" s="10">
        <v>5</v>
      </c>
      <c r="V1070" s="10">
        <v>120.12</v>
      </c>
      <c r="W1070" s="10" t="s">
        <v>710</v>
      </c>
      <c r="X1070" s="17">
        <v>44851</v>
      </c>
      <c r="Y1070" s="17">
        <v>44851</v>
      </c>
      <c r="Z1070" s="19" t="s">
        <v>772</v>
      </c>
      <c r="AA1070" s="210">
        <v>48260</v>
      </c>
      <c r="AB1070" s="9">
        <v>96</v>
      </c>
      <c r="AC1070" s="9">
        <v>90</v>
      </c>
      <c r="AD1070" s="17">
        <v>47618</v>
      </c>
      <c r="AE1070" s="56">
        <v>534.16999999999996</v>
      </c>
      <c r="AF1070" s="56"/>
      <c r="AP1070" s="11"/>
      <c r="AQ1070" s="11"/>
      <c r="AR1070" s="11"/>
      <c r="AW1070" s="9"/>
      <c r="BD1070" s="9"/>
      <c r="CS1070" s="11">
        <f t="shared" si="73"/>
        <v>0</v>
      </c>
      <c r="CT1070" s="22">
        <f t="shared" si="74"/>
        <v>0</v>
      </c>
      <c r="CU1070" s="22">
        <f t="shared" si="76"/>
        <v>0</v>
      </c>
      <c r="CV1070" s="26">
        <f t="shared" si="75"/>
        <v>534.16999999999996</v>
      </c>
    </row>
    <row r="1071" spans="1:100" x14ac:dyDescent="0.2">
      <c r="A1071" s="9" t="s">
        <v>332</v>
      </c>
      <c r="B1071" s="2">
        <v>142</v>
      </c>
      <c r="C1071" s="3" t="s">
        <v>95</v>
      </c>
      <c r="D1071" s="3" t="s">
        <v>96</v>
      </c>
      <c r="E1071" s="2"/>
      <c r="F1071" s="2"/>
      <c r="G1071" s="2" t="s">
        <v>84</v>
      </c>
      <c r="H1071" s="2">
        <v>5</v>
      </c>
      <c r="I1071" s="8">
        <v>120.12</v>
      </c>
      <c r="J1071" s="8">
        <v>35900</v>
      </c>
      <c r="K1071" s="3">
        <v>0</v>
      </c>
      <c r="L1071" s="3" t="s">
        <v>3</v>
      </c>
      <c r="M1071" s="9" t="s">
        <v>0</v>
      </c>
      <c r="N1071" s="9" t="s">
        <v>25</v>
      </c>
      <c r="O1071" s="9" t="s">
        <v>333</v>
      </c>
      <c r="S1071" s="9" t="s">
        <v>158</v>
      </c>
      <c r="T1071" s="10" t="s">
        <v>84</v>
      </c>
      <c r="U1071" s="10">
        <v>5</v>
      </c>
      <c r="V1071" s="10">
        <v>120.12</v>
      </c>
      <c r="W1071" s="10" t="s">
        <v>710</v>
      </c>
      <c r="X1071" s="17">
        <v>44851</v>
      </c>
      <c r="Y1071" s="17">
        <v>44851</v>
      </c>
      <c r="Z1071" s="19" t="s">
        <v>772</v>
      </c>
      <c r="AA1071" s="210">
        <v>48260</v>
      </c>
      <c r="AB1071" s="9">
        <v>96</v>
      </c>
      <c r="AC1071" s="9">
        <v>91</v>
      </c>
      <c r="AD1071" s="17">
        <v>47649</v>
      </c>
      <c r="AE1071" s="56">
        <v>534.16999999999996</v>
      </c>
      <c r="AF1071" s="56"/>
      <c r="AP1071" s="11"/>
      <c r="AQ1071" s="11"/>
      <c r="AR1071" s="11"/>
      <c r="AW1071" s="9"/>
      <c r="BD1071" s="9"/>
      <c r="CS1071" s="11">
        <f t="shared" si="73"/>
        <v>0</v>
      </c>
      <c r="CT1071" s="22">
        <f t="shared" si="74"/>
        <v>0</v>
      </c>
      <c r="CU1071" s="22">
        <f t="shared" si="76"/>
        <v>0</v>
      </c>
      <c r="CV1071" s="26">
        <f t="shared" si="75"/>
        <v>534.16999999999996</v>
      </c>
    </row>
    <row r="1072" spans="1:100" x14ac:dyDescent="0.2">
      <c r="A1072" s="9" t="s">
        <v>332</v>
      </c>
      <c r="B1072" s="2">
        <v>142</v>
      </c>
      <c r="C1072" s="3" t="s">
        <v>95</v>
      </c>
      <c r="D1072" s="3" t="s">
        <v>96</v>
      </c>
      <c r="E1072" s="2"/>
      <c r="F1072" s="2"/>
      <c r="G1072" s="2" t="s">
        <v>84</v>
      </c>
      <c r="H1072" s="2">
        <v>5</v>
      </c>
      <c r="I1072" s="8">
        <v>120.12</v>
      </c>
      <c r="J1072" s="8">
        <v>35900</v>
      </c>
      <c r="K1072" s="3">
        <v>0</v>
      </c>
      <c r="L1072" s="3" t="s">
        <v>3</v>
      </c>
      <c r="M1072" s="9" t="s">
        <v>0</v>
      </c>
      <c r="N1072" s="9" t="s">
        <v>25</v>
      </c>
      <c r="O1072" s="9" t="s">
        <v>333</v>
      </c>
      <c r="S1072" s="9" t="s">
        <v>158</v>
      </c>
      <c r="T1072" s="10" t="s">
        <v>84</v>
      </c>
      <c r="U1072" s="10">
        <v>5</v>
      </c>
      <c r="V1072" s="10">
        <v>120.12</v>
      </c>
      <c r="W1072" s="10" t="s">
        <v>710</v>
      </c>
      <c r="X1072" s="17">
        <v>44851</v>
      </c>
      <c r="Y1072" s="17">
        <v>44851</v>
      </c>
      <c r="Z1072" s="19" t="s">
        <v>772</v>
      </c>
      <c r="AA1072" s="210">
        <v>48260</v>
      </c>
      <c r="AB1072" s="9">
        <v>96</v>
      </c>
      <c r="AC1072" s="9">
        <v>92</v>
      </c>
      <c r="AD1072" s="17">
        <v>47679</v>
      </c>
      <c r="AE1072" s="56">
        <v>534.16999999999996</v>
      </c>
      <c r="AF1072" s="56"/>
      <c r="AP1072" s="11"/>
      <c r="AQ1072" s="11"/>
      <c r="AR1072" s="11"/>
      <c r="AW1072" s="9"/>
      <c r="BD1072" s="9"/>
      <c r="CS1072" s="11">
        <f t="shared" si="73"/>
        <v>0</v>
      </c>
      <c r="CT1072" s="22">
        <f t="shared" si="74"/>
        <v>0</v>
      </c>
      <c r="CU1072" s="22">
        <f t="shared" si="76"/>
        <v>0</v>
      </c>
      <c r="CV1072" s="26">
        <f t="shared" si="75"/>
        <v>534.16999999999996</v>
      </c>
    </row>
    <row r="1073" spans="1:103" x14ac:dyDescent="0.2">
      <c r="A1073" s="9" t="s">
        <v>332</v>
      </c>
      <c r="B1073" s="2">
        <v>142</v>
      </c>
      <c r="C1073" s="3" t="s">
        <v>95</v>
      </c>
      <c r="D1073" s="3" t="s">
        <v>96</v>
      </c>
      <c r="E1073" s="2"/>
      <c r="F1073" s="2"/>
      <c r="G1073" s="2" t="s">
        <v>84</v>
      </c>
      <c r="H1073" s="2">
        <v>5</v>
      </c>
      <c r="I1073" s="8">
        <v>120.12</v>
      </c>
      <c r="J1073" s="8">
        <v>35900</v>
      </c>
      <c r="K1073" s="3">
        <v>0</v>
      </c>
      <c r="L1073" s="3" t="s">
        <v>3</v>
      </c>
      <c r="M1073" s="9" t="s">
        <v>0</v>
      </c>
      <c r="N1073" s="9" t="s">
        <v>25</v>
      </c>
      <c r="O1073" s="9" t="s">
        <v>333</v>
      </c>
      <c r="S1073" s="9" t="s">
        <v>158</v>
      </c>
      <c r="T1073" s="10" t="s">
        <v>84</v>
      </c>
      <c r="U1073" s="10">
        <v>5</v>
      </c>
      <c r="V1073" s="10">
        <v>120.12</v>
      </c>
      <c r="W1073" s="10" t="s">
        <v>710</v>
      </c>
      <c r="X1073" s="17">
        <v>44851</v>
      </c>
      <c r="Y1073" s="17">
        <v>44851</v>
      </c>
      <c r="Z1073" s="19" t="s">
        <v>772</v>
      </c>
      <c r="AA1073" s="210">
        <v>48260</v>
      </c>
      <c r="AB1073" s="9">
        <v>96</v>
      </c>
      <c r="AC1073" s="9">
        <v>93</v>
      </c>
      <c r="AD1073" s="17">
        <v>47710</v>
      </c>
      <c r="AE1073" s="56">
        <v>534.16999999999996</v>
      </c>
      <c r="AF1073" s="56"/>
      <c r="AP1073" s="11"/>
      <c r="AQ1073" s="11"/>
      <c r="AR1073" s="11"/>
      <c r="AW1073" s="9"/>
      <c r="BD1073" s="9"/>
      <c r="CS1073" s="11">
        <f t="shared" si="73"/>
        <v>0</v>
      </c>
      <c r="CT1073" s="22">
        <f t="shared" si="74"/>
        <v>0</v>
      </c>
      <c r="CU1073" s="22">
        <f t="shared" si="76"/>
        <v>0</v>
      </c>
      <c r="CV1073" s="26">
        <f t="shared" si="75"/>
        <v>534.16999999999996</v>
      </c>
    </row>
    <row r="1074" spans="1:103" x14ac:dyDescent="0.2">
      <c r="A1074" s="9" t="s">
        <v>332</v>
      </c>
      <c r="B1074" s="2">
        <v>142</v>
      </c>
      <c r="C1074" s="3" t="s">
        <v>95</v>
      </c>
      <c r="D1074" s="3" t="s">
        <v>96</v>
      </c>
      <c r="E1074" s="2"/>
      <c r="F1074" s="2"/>
      <c r="G1074" s="2" t="s">
        <v>84</v>
      </c>
      <c r="H1074" s="2">
        <v>5</v>
      </c>
      <c r="I1074" s="8">
        <v>120.12</v>
      </c>
      <c r="J1074" s="8">
        <v>35900</v>
      </c>
      <c r="K1074" s="3">
        <v>0</v>
      </c>
      <c r="L1074" s="3" t="s">
        <v>3</v>
      </c>
      <c r="M1074" s="9" t="s">
        <v>0</v>
      </c>
      <c r="N1074" s="9" t="s">
        <v>25</v>
      </c>
      <c r="O1074" s="9" t="s">
        <v>333</v>
      </c>
      <c r="S1074" s="9" t="s">
        <v>158</v>
      </c>
      <c r="T1074" s="10" t="s">
        <v>84</v>
      </c>
      <c r="U1074" s="10">
        <v>5</v>
      </c>
      <c r="V1074" s="10">
        <v>120.12</v>
      </c>
      <c r="W1074" s="10" t="s">
        <v>710</v>
      </c>
      <c r="X1074" s="17">
        <v>44851</v>
      </c>
      <c r="Y1074" s="17">
        <v>44851</v>
      </c>
      <c r="Z1074" s="19" t="s">
        <v>772</v>
      </c>
      <c r="AA1074" s="210">
        <v>48260</v>
      </c>
      <c r="AB1074" s="9">
        <v>96</v>
      </c>
      <c r="AC1074" s="9">
        <v>94</v>
      </c>
      <c r="AD1074" s="17">
        <v>47741</v>
      </c>
      <c r="AE1074" s="56">
        <v>534.16999999999996</v>
      </c>
      <c r="AF1074" s="56"/>
      <c r="AP1074" s="11"/>
      <c r="AQ1074" s="11"/>
      <c r="AR1074" s="11"/>
      <c r="AW1074" s="9"/>
      <c r="BD1074" s="9"/>
      <c r="CS1074" s="11">
        <f t="shared" si="73"/>
        <v>0</v>
      </c>
      <c r="CT1074" s="22">
        <f t="shared" si="74"/>
        <v>0</v>
      </c>
      <c r="CU1074" s="22">
        <f t="shared" si="76"/>
        <v>0</v>
      </c>
      <c r="CV1074" s="26">
        <f t="shared" si="75"/>
        <v>534.16999999999996</v>
      </c>
    </row>
    <row r="1075" spans="1:103" x14ac:dyDescent="0.2">
      <c r="A1075" s="9" t="s">
        <v>332</v>
      </c>
      <c r="B1075" s="2">
        <v>142</v>
      </c>
      <c r="C1075" s="3" t="s">
        <v>95</v>
      </c>
      <c r="D1075" s="3" t="s">
        <v>96</v>
      </c>
      <c r="E1075" s="2"/>
      <c r="F1075" s="2"/>
      <c r="G1075" s="2" t="s">
        <v>84</v>
      </c>
      <c r="H1075" s="2">
        <v>5</v>
      </c>
      <c r="I1075" s="8">
        <v>120.12</v>
      </c>
      <c r="J1075" s="8">
        <v>35900</v>
      </c>
      <c r="K1075" s="3">
        <v>0</v>
      </c>
      <c r="L1075" s="3" t="s">
        <v>3</v>
      </c>
      <c r="M1075" s="9" t="s">
        <v>0</v>
      </c>
      <c r="N1075" s="9" t="s">
        <v>25</v>
      </c>
      <c r="O1075" s="9" t="s">
        <v>333</v>
      </c>
      <c r="S1075" s="9" t="s">
        <v>158</v>
      </c>
      <c r="T1075" s="10" t="s">
        <v>84</v>
      </c>
      <c r="U1075" s="10">
        <v>5</v>
      </c>
      <c r="V1075" s="10">
        <v>120.12</v>
      </c>
      <c r="W1075" s="10" t="s">
        <v>710</v>
      </c>
      <c r="X1075" s="17">
        <v>44851</v>
      </c>
      <c r="Y1075" s="17">
        <v>44851</v>
      </c>
      <c r="Z1075" s="19" t="s">
        <v>772</v>
      </c>
      <c r="AA1075" s="210">
        <v>48260</v>
      </c>
      <c r="AB1075" s="9">
        <v>96</v>
      </c>
      <c r="AC1075" s="9">
        <v>95</v>
      </c>
      <c r="AD1075" s="17">
        <v>47771</v>
      </c>
      <c r="AE1075" s="56">
        <v>534.16999999999996</v>
      </c>
      <c r="AF1075" s="56"/>
      <c r="AP1075" s="11"/>
      <c r="AQ1075" s="11"/>
      <c r="AR1075" s="11"/>
      <c r="AW1075" s="9"/>
      <c r="BD1075" s="9"/>
      <c r="CS1075" s="11">
        <f t="shared" si="73"/>
        <v>0</v>
      </c>
      <c r="CT1075" s="22">
        <f t="shared" si="74"/>
        <v>0</v>
      </c>
      <c r="CU1075" s="22">
        <f t="shared" si="76"/>
        <v>0</v>
      </c>
      <c r="CV1075" s="26">
        <f t="shared" si="75"/>
        <v>534.16999999999996</v>
      </c>
    </row>
    <row r="1076" spans="1:103" x14ac:dyDescent="0.2">
      <c r="A1076" s="9" t="s">
        <v>332</v>
      </c>
      <c r="B1076" s="2">
        <v>142</v>
      </c>
      <c r="C1076" s="3" t="s">
        <v>95</v>
      </c>
      <c r="D1076" s="3" t="s">
        <v>96</v>
      </c>
      <c r="E1076" s="2"/>
      <c r="F1076" s="2"/>
      <c r="G1076" s="2" t="s">
        <v>84</v>
      </c>
      <c r="H1076" s="2">
        <v>5</v>
      </c>
      <c r="I1076" s="8">
        <v>120.12</v>
      </c>
      <c r="J1076" s="8">
        <v>35900</v>
      </c>
      <c r="K1076" s="3">
        <v>0</v>
      </c>
      <c r="L1076" s="3" t="s">
        <v>3</v>
      </c>
      <c r="M1076" s="9" t="s">
        <v>0</v>
      </c>
      <c r="N1076" s="9" t="s">
        <v>25</v>
      </c>
      <c r="O1076" s="9" t="s">
        <v>333</v>
      </c>
      <c r="S1076" s="9" t="s">
        <v>158</v>
      </c>
      <c r="T1076" s="10" t="s">
        <v>84</v>
      </c>
      <c r="U1076" s="10">
        <v>5</v>
      </c>
      <c r="V1076" s="10">
        <v>120.12</v>
      </c>
      <c r="W1076" s="10" t="s">
        <v>710</v>
      </c>
      <c r="X1076" s="17">
        <v>44851</v>
      </c>
      <c r="Y1076" s="17">
        <v>44851</v>
      </c>
      <c r="Z1076" s="19" t="s">
        <v>772</v>
      </c>
      <c r="AA1076" s="210">
        <v>48260</v>
      </c>
      <c r="AB1076" s="9">
        <v>96</v>
      </c>
      <c r="AC1076" s="9">
        <v>96</v>
      </c>
      <c r="AD1076" s="17">
        <v>47802</v>
      </c>
      <c r="AE1076" s="56">
        <v>534.16999999999996</v>
      </c>
      <c r="AF1076" s="56"/>
      <c r="AP1076" s="11"/>
      <c r="AQ1076" s="11"/>
      <c r="AR1076" s="11"/>
      <c r="AW1076" s="9"/>
      <c r="BD1076" s="9"/>
      <c r="CS1076" s="11">
        <f t="shared" si="73"/>
        <v>0</v>
      </c>
      <c r="CT1076" s="22">
        <f t="shared" si="74"/>
        <v>0</v>
      </c>
      <c r="CU1076" s="22">
        <f t="shared" si="76"/>
        <v>0</v>
      </c>
      <c r="CV1076" s="26">
        <f t="shared" si="75"/>
        <v>534.16999999999996</v>
      </c>
    </row>
    <row r="1077" spans="1:103" x14ac:dyDescent="0.2">
      <c r="A1077" s="9" t="s">
        <v>341</v>
      </c>
      <c r="B1077" s="2">
        <v>54</v>
      </c>
      <c r="C1077" s="3" t="s">
        <v>95</v>
      </c>
      <c r="D1077" s="3" t="s">
        <v>96</v>
      </c>
      <c r="E1077" s="2" t="s">
        <v>67</v>
      </c>
      <c r="F1077" s="2">
        <v>15</v>
      </c>
      <c r="G1077" s="2" t="s">
        <v>71</v>
      </c>
      <c r="H1077" s="2">
        <v>6</v>
      </c>
      <c r="I1077" s="8">
        <v>125.55</v>
      </c>
      <c r="J1077" s="8">
        <v>35900</v>
      </c>
      <c r="K1077" s="3">
        <v>0</v>
      </c>
      <c r="L1077" s="3" t="s">
        <v>3</v>
      </c>
      <c r="M1077" s="9" t="s">
        <v>0</v>
      </c>
      <c r="N1077" s="9" t="s">
        <v>26</v>
      </c>
      <c r="O1077" s="9" t="s">
        <v>2245</v>
      </c>
      <c r="S1077" s="9" t="s">
        <v>158</v>
      </c>
      <c r="T1077" s="10" t="s">
        <v>71</v>
      </c>
      <c r="U1077" s="10">
        <v>6</v>
      </c>
      <c r="V1077" s="10">
        <v>125.55</v>
      </c>
      <c r="W1077" s="10" t="s">
        <v>710</v>
      </c>
      <c r="X1077" s="17">
        <v>44586</v>
      </c>
      <c r="Y1077" s="17">
        <v>44691</v>
      </c>
      <c r="Z1077" s="19" t="s">
        <v>772</v>
      </c>
      <c r="AA1077" s="210">
        <v>33210</v>
      </c>
      <c r="AB1077" s="9">
        <v>2</v>
      </c>
      <c r="AC1077" s="9">
        <v>1</v>
      </c>
      <c r="AD1077" s="17">
        <v>45688</v>
      </c>
      <c r="AE1077" s="56">
        <v>13972.23</v>
      </c>
      <c r="AF1077" s="56"/>
      <c r="AG1077" s="9" t="s">
        <v>134</v>
      </c>
      <c r="AH1077" s="17">
        <v>44586</v>
      </c>
      <c r="AI1077" s="104">
        <v>76210520</v>
      </c>
      <c r="AJ1077" s="22" t="s">
        <v>2242</v>
      </c>
      <c r="AK1077" s="9" t="s">
        <v>342</v>
      </c>
      <c r="AL1077" s="11">
        <v>6000</v>
      </c>
      <c r="AM1077" s="22"/>
      <c r="AN1077" s="22" t="s">
        <v>2240</v>
      </c>
      <c r="AO1077" s="11" t="s">
        <v>134</v>
      </c>
      <c r="AP1077" s="64">
        <v>44592</v>
      </c>
      <c r="AQ1077" s="104">
        <v>76210520</v>
      </c>
      <c r="AR1077" s="64" t="s">
        <v>2242</v>
      </c>
      <c r="AS1077" s="11" t="s">
        <v>343</v>
      </c>
      <c r="AT1077" s="11">
        <v>7972.23</v>
      </c>
      <c r="AV1077" s="11" t="s">
        <v>2241</v>
      </c>
      <c r="AW1077" s="17">
        <v>44586</v>
      </c>
      <c r="AX1077" s="9">
        <v>416</v>
      </c>
      <c r="BA1077" s="11">
        <v>6000</v>
      </c>
      <c r="BC1077" s="17">
        <v>44592</v>
      </c>
      <c r="BD1077" s="9">
        <v>426</v>
      </c>
      <c r="BG1077" s="9">
        <v>7972.23</v>
      </c>
      <c r="CS1077" s="11">
        <f t="shared" si="73"/>
        <v>13972.23</v>
      </c>
      <c r="CT1077" s="22">
        <f t="shared" si="74"/>
        <v>13972.23</v>
      </c>
      <c r="CU1077" s="22">
        <f t="shared" si="76"/>
        <v>0</v>
      </c>
      <c r="CV1077" s="26">
        <f t="shared" si="75"/>
        <v>0</v>
      </c>
    </row>
    <row r="1078" spans="1:103" x14ac:dyDescent="0.2">
      <c r="A1078" s="9" t="s">
        <v>341</v>
      </c>
      <c r="B1078" s="2">
        <v>54</v>
      </c>
      <c r="C1078" s="3" t="s">
        <v>95</v>
      </c>
      <c r="D1078" s="3" t="s">
        <v>96</v>
      </c>
      <c r="E1078" s="2" t="s">
        <v>67</v>
      </c>
      <c r="F1078" s="2">
        <v>15</v>
      </c>
      <c r="G1078" s="2" t="s">
        <v>71</v>
      </c>
      <c r="H1078" s="2">
        <v>6</v>
      </c>
      <c r="I1078" s="8">
        <v>125.55</v>
      </c>
      <c r="J1078" s="8">
        <v>35900</v>
      </c>
      <c r="K1078" s="3">
        <v>0</v>
      </c>
      <c r="L1078" s="3" t="s">
        <v>3</v>
      </c>
      <c r="M1078" s="9" t="s">
        <v>0</v>
      </c>
      <c r="N1078" s="9" t="s">
        <v>26</v>
      </c>
      <c r="O1078" s="9" t="s">
        <v>2245</v>
      </c>
      <c r="S1078" s="9" t="s">
        <v>158</v>
      </c>
      <c r="T1078" s="10" t="s">
        <v>71</v>
      </c>
      <c r="U1078" s="10">
        <v>6</v>
      </c>
      <c r="V1078" s="10">
        <v>125.55</v>
      </c>
      <c r="W1078" s="10" t="s">
        <v>710</v>
      </c>
      <c r="X1078" s="17">
        <v>44586</v>
      </c>
      <c r="Y1078" s="17">
        <v>44691</v>
      </c>
      <c r="Z1078" s="19" t="s">
        <v>772</v>
      </c>
      <c r="AA1078" s="210">
        <v>33210</v>
      </c>
      <c r="AB1078" s="9">
        <v>2</v>
      </c>
      <c r="AC1078" s="9">
        <v>2</v>
      </c>
      <c r="AD1078" s="17">
        <v>44691</v>
      </c>
      <c r="AE1078" s="56">
        <v>19237.77</v>
      </c>
      <c r="AF1078" s="56"/>
      <c r="AG1078" s="9" t="s">
        <v>134</v>
      </c>
      <c r="AH1078" s="17">
        <v>44691</v>
      </c>
      <c r="AI1078" s="104">
        <v>76189427</v>
      </c>
      <c r="AJ1078" s="17" t="s">
        <v>2244</v>
      </c>
      <c r="AK1078" s="9" t="s">
        <v>344</v>
      </c>
      <c r="AL1078" s="11">
        <v>19237.77</v>
      </c>
      <c r="AN1078" s="11" t="s">
        <v>2243</v>
      </c>
      <c r="AP1078" s="11"/>
      <c r="AQ1078" s="11"/>
      <c r="AR1078" s="11"/>
      <c r="AW1078" s="17">
        <v>44691</v>
      </c>
      <c r="AX1078" s="9">
        <v>634</v>
      </c>
      <c r="BA1078" s="11">
        <v>19237.77</v>
      </c>
      <c r="BD1078" s="9"/>
      <c r="CS1078" s="11">
        <f t="shared" si="73"/>
        <v>19237.77</v>
      </c>
      <c r="CT1078" s="22">
        <f t="shared" si="74"/>
        <v>19237.77</v>
      </c>
      <c r="CU1078" s="22">
        <f t="shared" si="76"/>
        <v>0</v>
      </c>
      <c r="CV1078" s="26">
        <f t="shared" si="75"/>
        <v>0</v>
      </c>
    </row>
    <row r="1079" spans="1:103" x14ac:dyDescent="0.2">
      <c r="A1079" s="9" t="s">
        <v>345</v>
      </c>
      <c r="B1079" s="2">
        <v>143</v>
      </c>
      <c r="C1079" s="3" t="s">
        <v>95</v>
      </c>
      <c r="D1079" s="3" t="s">
        <v>96</v>
      </c>
      <c r="E1079" s="2" t="s">
        <v>72</v>
      </c>
      <c r="F1079" s="2">
        <v>16</v>
      </c>
      <c r="G1079" s="2" t="s">
        <v>84</v>
      </c>
      <c r="H1079" s="2">
        <v>6</v>
      </c>
      <c r="I1079" s="8">
        <v>120.12</v>
      </c>
      <c r="J1079" s="8">
        <v>35900</v>
      </c>
      <c r="K1079" s="3">
        <v>0</v>
      </c>
      <c r="L1079" s="3" t="s">
        <v>3</v>
      </c>
      <c r="M1079" s="9" t="s">
        <v>0</v>
      </c>
      <c r="N1079" s="9" t="s">
        <v>27</v>
      </c>
      <c r="O1079" s="9" t="s">
        <v>346</v>
      </c>
      <c r="P1079" s="9" t="s">
        <v>0</v>
      </c>
      <c r="Q1079" s="9">
        <v>43761098</v>
      </c>
      <c r="R1079" s="9" t="s">
        <v>347</v>
      </c>
      <c r="S1079" s="9" t="s">
        <v>158</v>
      </c>
      <c r="T1079" s="10" t="s">
        <v>84</v>
      </c>
      <c r="U1079" s="10">
        <v>6</v>
      </c>
      <c r="V1079" s="10">
        <v>120.12</v>
      </c>
      <c r="W1079" s="10" t="s">
        <v>710</v>
      </c>
      <c r="X1079" s="17">
        <v>44789</v>
      </c>
      <c r="Y1079" s="17">
        <v>44791</v>
      </c>
      <c r="Z1079" s="19" t="s">
        <v>772</v>
      </c>
      <c r="AA1079" s="210">
        <v>43450</v>
      </c>
      <c r="AB1079" s="9">
        <v>120</v>
      </c>
      <c r="AC1079" s="9">
        <v>0</v>
      </c>
      <c r="AD1079" s="17">
        <v>44789</v>
      </c>
      <c r="AE1079" s="56">
        <v>10000</v>
      </c>
      <c r="AF1079" s="56"/>
      <c r="AG1079" s="9" t="s">
        <v>134</v>
      </c>
      <c r="AH1079" s="17">
        <v>44789</v>
      </c>
      <c r="AI1079" s="17"/>
      <c r="AJ1079" s="17"/>
      <c r="AK1079" s="9" t="s">
        <v>348</v>
      </c>
      <c r="AM1079" s="194">
        <v>38560</v>
      </c>
      <c r="AN1079" s="11" t="s">
        <v>2220</v>
      </c>
      <c r="AP1079" s="11"/>
      <c r="AQ1079" s="11"/>
      <c r="AR1079" s="11"/>
      <c r="AW1079" s="17">
        <v>44789</v>
      </c>
      <c r="AX1079" s="9">
        <v>265871</v>
      </c>
      <c r="AY1079" s="11">
        <v>24400</v>
      </c>
      <c r="AZ1079" s="9">
        <v>3.8559999999999999</v>
      </c>
      <c r="BA1079" s="11">
        <f>+AY1079/AZ1079</f>
        <v>6327.8008298755185</v>
      </c>
      <c r="BC1079" s="17">
        <v>44789</v>
      </c>
      <c r="BD1079" s="9">
        <v>413190</v>
      </c>
      <c r="BE1079" s="9">
        <v>14160</v>
      </c>
      <c r="BF1079" s="9">
        <v>3.8029999999999999</v>
      </c>
      <c r="BG1079" s="11">
        <f>+BE1079/BF1079</f>
        <v>3723.376281882724</v>
      </c>
      <c r="BH1079" s="11"/>
      <c r="CS1079" s="11">
        <f t="shared" si="73"/>
        <v>0</v>
      </c>
      <c r="CT1079" s="22">
        <f t="shared" si="74"/>
        <v>10051.177111758243</v>
      </c>
      <c r="CU1079" s="22">
        <f t="shared" si="76"/>
        <v>-10051.177111758243</v>
      </c>
      <c r="CV1079" s="26">
        <f t="shared" si="75"/>
        <v>10000</v>
      </c>
      <c r="CW1079" s="9" t="s">
        <v>3498</v>
      </c>
      <c r="CY1079" s="9" t="s">
        <v>3493</v>
      </c>
    </row>
    <row r="1080" spans="1:103" x14ac:dyDescent="0.2">
      <c r="A1080" s="9" t="s">
        <v>345</v>
      </c>
      <c r="B1080" s="2">
        <v>143</v>
      </c>
      <c r="C1080" s="3" t="s">
        <v>95</v>
      </c>
      <c r="D1080" s="3" t="s">
        <v>96</v>
      </c>
      <c r="E1080" s="2" t="s">
        <v>72</v>
      </c>
      <c r="F1080" s="2">
        <v>16</v>
      </c>
      <c r="G1080" s="2" t="s">
        <v>84</v>
      </c>
      <c r="H1080" s="2">
        <v>6</v>
      </c>
      <c r="I1080" s="20">
        <v>120.12</v>
      </c>
      <c r="J1080" s="20">
        <v>35900</v>
      </c>
      <c r="K1080" s="3">
        <v>0</v>
      </c>
      <c r="L1080" s="3" t="s">
        <v>3</v>
      </c>
      <c r="M1080" s="9" t="s">
        <v>0</v>
      </c>
      <c r="N1080" s="9" t="s">
        <v>27</v>
      </c>
      <c r="O1080" s="9" t="s">
        <v>346</v>
      </c>
      <c r="P1080" s="9" t="s">
        <v>0</v>
      </c>
      <c r="Q1080" s="9">
        <v>43761098</v>
      </c>
      <c r="R1080" s="9" t="s">
        <v>347</v>
      </c>
      <c r="S1080" s="9" t="s">
        <v>158</v>
      </c>
      <c r="T1080" s="10" t="s">
        <v>84</v>
      </c>
      <c r="U1080" s="10">
        <v>6</v>
      </c>
      <c r="V1080" s="10">
        <v>120.12</v>
      </c>
      <c r="W1080" s="10" t="s">
        <v>710</v>
      </c>
      <c r="X1080" s="17">
        <v>44789</v>
      </c>
      <c r="Y1080" s="17">
        <v>44791</v>
      </c>
      <c r="Z1080" s="19" t="s">
        <v>772</v>
      </c>
      <c r="AA1080" s="207">
        <v>43450</v>
      </c>
      <c r="AB1080" s="9">
        <v>120</v>
      </c>
      <c r="AC1080" s="30" t="s">
        <v>2221</v>
      </c>
      <c r="AD1080" s="17">
        <v>44956</v>
      </c>
      <c r="AE1080" s="54">
        <f>278.75*4</f>
        <v>1115</v>
      </c>
      <c r="AF1080" s="54"/>
      <c r="AG1080" s="9" t="s">
        <v>134</v>
      </c>
      <c r="AH1080" s="17">
        <v>44998</v>
      </c>
      <c r="AI1080" s="17"/>
      <c r="AJ1080" s="17"/>
      <c r="AK1080" s="9" t="s">
        <v>349</v>
      </c>
      <c r="AL1080" s="22">
        <v>1115</v>
      </c>
      <c r="AM1080" s="22"/>
      <c r="AN1080" s="22" t="s">
        <v>2191</v>
      </c>
      <c r="AO1080" s="22"/>
      <c r="AP1080" s="22"/>
      <c r="AQ1080" s="22"/>
      <c r="AR1080" s="22"/>
      <c r="AS1080" s="22"/>
      <c r="AT1080" s="22"/>
      <c r="AU1080" s="22"/>
      <c r="AV1080" s="22"/>
      <c r="AW1080" s="17">
        <v>44998</v>
      </c>
      <c r="AX1080" s="9">
        <v>927365</v>
      </c>
      <c r="AY1080" s="86">
        <v>4240</v>
      </c>
      <c r="AZ1080" s="9">
        <v>3.8029999999999999</v>
      </c>
      <c r="BA1080" s="22">
        <f>+AY1080/AZ1080</f>
        <v>1114.9092821456745</v>
      </c>
      <c r="BB1080" s="22"/>
      <c r="BD1080" s="9"/>
      <c r="CS1080" s="11">
        <f t="shared" si="73"/>
        <v>1115</v>
      </c>
      <c r="CT1080" s="22">
        <f t="shared" si="74"/>
        <v>1114.9092821456745</v>
      </c>
      <c r="CU1080" s="22">
        <f t="shared" si="76"/>
        <v>9.0717854325475855E-2</v>
      </c>
      <c r="CV1080" s="26">
        <f t="shared" si="75"/>
        <v>0</v>
      </c>
    </row>
    <row r="1081" spans="1:103" x14ac:dyDescent="0.2">
      <c r="A1081" s="9" t="s">
        <v>345</v>
      </c>
      <c r="B1081" s="2">
        <v>143</v>
      </c>
      <c r="C1081" s="3" t="s">
        <v>95</v>
      </c>
      <c r="D1081" s="3" t="s">
        <v>96</v>
      </c>
      <c r="E1081" s="2" t="s">
        <v>72</v>
      </c>
      <c r="F1081" s="2">
        <v>16</v>
      </c>
      <c r="G1081" s="2" t="s">
        <v>84</v>
      </c>
      <c r="H1081" s="2">
        <v>6</v>
      </c>
      <c r="I1081" s="8">
        <v>120.12</v>
      </c>
      <c r="J1081" s="8">
        <v>35900</v>
      </c>
      <c r="K1081" s="3">
        <v>0</v>
      </c>
      <c r="L1081" s="3" t="s">
        <v>3</v>
      </c>
      <c r="M1081" s="9" t="s">
        <v>0</v>
      </c>
      <c r="N1081" s="9" t="s">
        <v>27</v>
      </c>
      <c r="O1081" s="9" t="s">
        <v>346</v>
      </c>
      <c r="P1081" s="9" t="s">
        <v>0</v>
      </c>
      <c r="Q1081" s="9">
        <v>43761098</v>
      </c>
      <c r="R1081" s="9" t="s">
        <v>347</v>
      </c>
      <c r="S1081" s="9" t="s">
        <v>158</v>
      </c>
      <c r="T1081" s="10" t="s">
        <v>84</v>
      </c>
      <c r="U1081" s="10">
        <v>6</v>
      </c>
      <c r="V1081" s="10">
        <v>120.12</v>
      </c>
      <c r="W1081" s="10" t="s">
        <v>710</v>
      </c>
      <c r="X1081" s="17">
        <v>44789</v>
      </c>
      <c r="Y1081" s="17">
        <v>44791</v>
      </c>
      <c r="Z1081" s="19" t="s">
        <v>772</v>
      </c>
      <c r="AA1081" s="210">
        <v>43450</v>
      </c>
      <c r="AB1081" s="9">
        <v>120</v>
      </c>
      <c r="AC1081" s="9">
        <v>5</v>
      </c>
      <c r="AD1081" s="17">
        <v>45076</v>
      </c>
      <c r="AE1081" s="56">
        <v>278.75</v>
      </c>
      <c r="AF1081" s="56"/>
      <c r="AG1081" s="9" t="s">
        <v>134</v>
      </c>
      <c r="AH1081" s="17">
        <v>45077</v>
      </c>
      <c r="AI1081" s="17"/>
      <c r="AJ1081" s="17"/>
      <c r="AK1081" s="9" t="s">
        <v>350</v>
      </c>
      <c r="AL1081" s="11">
        <v>278</v>
      </c>
      <c r="AN1081" s="11" t="s">
        <v>2192</v>
      </c>
      <c r="AP1081" s="11"/>
      <c r="AQ1081" s="11"/>
      <c r="AR1081" s="11"/>
      <c r="AW1081" s="17">
        <v>45076</v>
      </c>
      <c r="AX1081" s="9">
        <v>490531</v>
      </c>
      <c r="AY1081" s="86">
        <v>1039.74</v>
      </c>
      <c r="AZ1081" s="9">
        <v>3.7</v>
      </c>
      <c r="BA1081" s="22">
        <f>+AY1081/AZ1081</f>
        <v>281.01081081081082</v>
      </c>
      <c r="BD1081" s="9"/>
      <c r="CS1081" s="11">
        <f t="shared" ref="CS1081:CS1144" si="77">+AL1081+AT1081</f>
        <v>278</v>
      </c>
      <c r="CT1081" s="22">
        <f t="shared" ref="CT1081:CT1144" si="78">+BA1081+BG1081+BM1081+BS1081+BY1081+CE1081+CK1081+CQ1081</f>
        <v>281.01081081081082</v>
      </c>
      <c r="CU1081" s="22">
        <f t="shared" si="76"/>
        <v>-3.010810810810824</v>
      </c>
      <c r="CV1081" s="26">
        <f t="shared" ref="CV1081:CV1144" si="79">+AE1081-AL1081-AT1081</f>
        <v>0.75</v>
      </c>
    </row>
    <row r="1082" spans="1:103" x14ac:dyDescent="0.2">
      <c r="A1082" s="9" t="s">
        <v>345</v>
      </c>
      <c r="B1082" s="2">
        <v>143</v>
      </c>
      <c r="C1082" s="3" t="s">
        <v>95</v>
      </c>
      <c r="D1082" s="3" t="s">
        <v>96</v>
      </c>
      <c r="E1082" s="2" t="s">
        <v>72</v>
      </c>
      <c r="F1082" s="2">
        <v>16</v>
      </c>
      <c r="G1082" s="2" t="s">
        <v>84</v>
      </c>
      <c r="H1082" s="2">
        <v>6</v>
      </c>
      <c r="I1082" s="8">
        <v>120.12</v>
      </c>
      <c r="J1082" s="8">
        <v>35900</v>
      </c>
      <c r="K1082" s="3">
        <v>0</v>
      </c>
      <c r="L1082" s="3" t="s">
        <v>3</v>
      </c>
      <c r="M1082" s="9" t="s">
        <v>0</v>
      </c>
      <c r="N1082" s="9" t="s">
        <v>27</v>
      </c>
      <c r="O1082" s="9" t="s">
        <v>346</v>
      </c>
      <c r="P1082" s="9" t="s">
        <v>0</v>
      </c>
      <c r="Q1082" s="9">
        <v>43761098</v>
      </c>
      <c r="R1082" s="9" t="s">
        <v>347</v>
      </c>
      <c r="S1082" s="9" t="s">
        <v>158</v>
      </c>
      <c r="T1082" s="10" t="s">
        <v>84</v>
      </c>
      <c r="U1082" s="10">
        <v>6</v>
      </c>
      <c r="V1082" s="10">
        <v>120.12</v>
      </c>
      <c r="W1082" s="10" t="s">
        <v>710</v>
      </c>
      <c r="X1082" s="17">
        <v>44789</v>
      </c>
      <c r="Y1082" s="17">
        <v>44791</v>
      </c>
      <c r="Z1082" s="19" t="s">
        <v>772</v>
      </c>
      <c r="AA1082" s="210">
        <v>43450</v>
      </c>
      <c r="AB1082" s="9">
        <v>120</v>
      </c>
      <c r="AC1082" s="9">
        <v>6</v>
      </c>
      <c r="AD1082" s="17">
        <v>45107</v>
      </c>
      <c r="AE1082" s="56">
        <v>278.75</v>
      </c>
      <c r="AF1082" s="56"/>
      <c r="AG1082" s="9" t="s">
        <v>134</v>
      </c>
      <c r="AH1082" s="17">
        <v>45107</v>
      </c>
      <c r="AI1082" s="17"/>
      <c r="AJ1082" s="17"/>
      <c r="AK1082" s="9" t="s">
        <v>2185</v>
      </c>
      <c r="AL1082" s="11">
        <v>279</v>
      </c>
      <c r="AN1082" s="11" t="s">
        <v>2193</v>
      </c>
      <c r="AP1082" s="11"/>
      <c r="AQ1082" s="11"/>
      <c r="AR1082" s="11"/>
      <c r="AW1082" s="17">
        <v>45107</v>
      </c>
      <c r="AX1082" s="9">
        <v>1657</v>
      </c>
      <c r="AY1082" s="86"/>
      <c r="BA1082" s="22">
        <v>279</v>
      </c>
      <c r="BD1082" s="9"/>
      <c r="CS1082" s="11">
        <f t="shared" si="77"/>
        <v>279</v>
      </c>
      <c r="CT1082" s="22">
        <f t="shared" si="78"/>
        <v>279</v>
      </c>
      <c r="CU1082" s="22">
        <f t="shared" si="76"/>
        <v>0</v>
      </c>
      <c r="CV1082" s="26">
        <f t="shared" si="79"/>
        <v>-0.25</v>
      </c>
    </row>
    <row r="1083" spans="1:103" x14ac:dyDescent="0.2">
      <c r="A1083" s="9" t="s">
        <v>345</v>
      </c>
      <c r="B1083" s="2">
        <v>143</v>
      </c>
      <c r="C1083" s="3" t="s">
        <v>95</v>
      </c>
      <c r="D1083" s="3" t="s">
        <v>96</v>
      </c>
      <c r="E1083" s="2" t="s">
        <v>72</v>
      </c>
      <c r="F1083" s="2">
        <v>16</v>
      </c>
      <c r="G1083" s="2" t="s">
        <v>84</v>
      </c>
      <c r="H1083" s="2">
        <v>6</v>
      </c>
      <c r="I1083" s="8">
        <v>120.12</v>
      </c>
      <c r="J1083" s="8">
        <v>35900</v>
      </c>
      <c r="K1083" s="3">
        <v>0</v>
      </c>
      <c r="L1083" s="3" t="s">
        <v>3</v>
      </c>
      <c r="M1083" s="9" t="s">
        <v>0</v>
      </c>
      <c r="N1083" s="9" t="s">
        <v>27</v>
      </c>
      <c r="O1083" s="9" t="s">
        <v>346</v>
      </c>
      <c r="P1083" s="9" t="s">
        <v>0</v>
      </c>
      <c r="Q1083" s="9">
        <v>43761098</v>
      </c>
      <c r="R1083" s="9" t="s">
        <v>347</v>
      </c>
      <c r="S1083" s="9" t="s">
        <v>158</v>
      </c>
      <c r="T1083" s="10" t="s">
        <v>84</v>
      </c>
      <c r="U1083" s="10">
        <v>6</v>
      </c>
      <c r="V1083" s="10">
        <v>120.12</v>
      </c>
      <c r="W1083" s="10" t="s">
        <v>710</v>
      </c>
      <c r="X1083" s="17">
        <v>44789</v>
      </c>
      <c r="Y1083" s="17">
        <v>44791</v>
      </c>
      <c r="Z1083" s="19" t="s">
        <v>772</v>
      </c>
      <c r="AA1083" s="210">
        <v>43450</v>
      </c>
      <c r="AB1083" s="9">
        <v>120</v>
      </c>
      <c r="AC1083" s="9">
        <v>7</v>
      </c>
      <c r="AD1083" s="17">
        <v>45137</v>
      </c>
      <c r="AE1083" s="56">
        <v>278.75</v>
      </c>
      <c r="AF1083" s="56"/>
      <c r="AG1083" s="9" t="s">
        <v>134</v>
      </c>
      <c r="AH1083" s="17">
        <v>45138</v>
      </c>
      <c r="AI1083" s="17"/>
      <c r="AJ1083" s="17"/>
      <c r="AK1083" s="9" t="s">
        <v>2186</v>
      </c>
      <c r="AL1083" s="11">
        <v>278.77999999999997</v>
      </c>
      <c r="AN1083" s="11" t="s">
        <v>2194</v>
      </c>
      <c r="AP1083" s="11"/>
      <c r="AQ1083" s="11"/>
      <c r="AR1083" s="11"/>
      <c r="AW1083" s="17">
        <v>45132</v>
      </c>
      <c r="AX1083" s="9">
        <v>658121</v>
      </c>
      <c r="AY1083" s="86">
        <v>1012</v>
      </c>
      <c r="AZ1083" s="9">
        <v>3.63</v>
      </c>
      <c r="BA1083" s="22">
        <f>+AY1083/AZ1083</f>
        <v>278.78787878787881</v>
      </c>
      <c r="BD1083" s="9"/>
      <c r="CS1083" s="11">
        <f t="shared" si="77"/>
        <v>278.77999999999997</v>
      </c>
      <c r="CT1083" s="22">
        <f t="shared" si="78"/>
        <v>278.78787878787881</v>
      </c>
      <c r="CU1083" s="22">
        <f t="shared" si="76"/>
        <v>-7.8787878788375565E-3</v>
      </c>
      <c r="CV1083" s="26">
        <f t="shared" si="79"/>
        <v>-2.9999999999972715E-2</v>
      </c>
    </row>
    <row r="1084" spans="1:103" x14ac:dyDescent="0.2">
      <c r="A1084" s="9" t="s">
        <v>345</v>
      </c>
      <c r="B1084" s="2">
        <v>143</v>
      </c>
      <c r="C1084" s="3" t="s">
        <v>95</v>
      </c>
      <c r="D1084" s="3" t="s">
        <v>96</v>
      </c>
      <c r="E1084" s="2" t="s">
        <v>72</v>
      </c>
      <c r="F1084" s="2">
        <v>16</v>
      </c>
      <c r="G1084" s="2" t="s">
        <v>84</v>
      </c>
      <c r="H1084" s="2">
        <v>6</v>
      </c>
      <c r="I1084" s="8">
        <v>120.12</v>
      </c>
      <c r="J1084" s="8">
        <v>35900</v>
      </c>
      <c r="K1084" s="3">
        <v>0</v>
      </c>
      <c r="L1084" s="3" t="s">
        <v>3</v>
      </c>
      <c r="M1084" s="9" t="s">
        <v>0</v>
      </c>
      <c r="N1084" s="9" t="s">
        <v>27</v>
      </c>
      <c r="O1084" s="9" t="s">
        <v>346</v>
      </c>
      <c r="P1084" s="9" t="s">
        <v>0</v>
      </c>
      <c r="Q1084" s="9">
        <v>43761098</v>
      </c>
      <c r="R1084" s="9" t="s">
        <v>347</v>
      </c>
      <c r="S1084" s="9" t="s">
        <v>158</v>
      </c>
      <c r="T1084" s="10" t="s">
        <v>84</v>
      </c>
      <c r="U1084" s="10">
        <v>6</v>
      </c>
      <c r="V1084" s="10">
        <v>120.12</v>
      </c>
      <c r="W1084" s="10" t="s">
        <v>710</v>
      </c>
      <c r="X1084" s="17">
        <v>44789</v>
      </c>
      <c r="Y1084" s="17">
        <v>44791</v>
      </c>
      <c r="Z1084" s="19" t="s">
        <v>772</v>
      </c>
      <c r="AA1084" s="210">
        <v>43450</v>
      </c>
      <c r="AB1084" s="9">
        <v>120</v>
      </c>
      <c r="AC1084" s="9">
        <v>8</v>
      </c>
      <c r="AD1084" s="17">
        <v>45168</v>
      </c>
      <c r="AE1084" s="56">
        <v>278.75</v>
      </c>
      <c r="AF1084" s="56"/>
      <c r="AG1084" s="9" t="s">
        <v>134</v>
      </c>
      <c r="AH1084" s="17">
        <v>45171</v>
      </c>
      <c r="AI1084" s="17"/>
      <c r="AJ1084" s="17"/>
      <c r="AK1084" s="9" t="s">
        <v>2187</v>
      </c>
      <c r="AL1084" s="11">
        <v>278.76</v>
      </c>
      <c r="AN1084" s="11" t="s">
        <v>2195</v>
      </c>
      <c r="AP1084" s="11"/>
      <c r="AQ1084" s="11"/>
      <c r="AR1084" s="11"/>
      <c r="AW1084" s="17">
        <v>45169</v>
      </c>
      <c r="AX1084" s="9">
        <v>829803</v>
      </c>
      <c r="AY1084" s="86">
        <v>1034.2</v>
      </c>
      <c r="AZ1084" s="9">
        <v>3.71</v>
      </c>
      <c r="BA1084" s="22">
        <f>+AY1084/AZ1084</f>
        <v>278.76010781671158</v>
      </c>
      <c r="BD1084" s="9"/>
      <c r="CS1084" s="11">
        <f t="shared" si="77"/>
        <v>278.76</v>
      </c>
      <c r="CT1084" s="22">
        <f t="shared" si="78"/>
        <v>278.76010781671158</v>
      </c>
      <c r="CU1084" s="22">
        <f t="shared" si="76"/>
        <v>-1.0781671159065809E-4</v>
      </c>
      <c r="CV1084" s="26">
        <f t="shared" si="79"/>
        <v>-9.9999999999909051E-3</v>
      </c>
    </row>
    <row r="1085" spans="1:103" x14ac:dyDescent="0.2">
      <c r="A1085" s="9" t="s">
        <v>345</v>
      </c>
      <c r="B1085" s="2">
        <v>143</v>
      </c>
      <c r="C1085" s="3" t="s">
        <v>95</v>
      </c>
      <c r="D1085" s="3" t="s">
        <v>96</v>
      </c>
      <c r="E1085" s="2" t="s">
        <v>72</v>
      </c>
      <c r="F1085" s="2">
        <v>16</v>
      </c>
      <c r="G1085" s="2" t="s">
        <v>84</v>
      </c>
      <c r="H1085" s="2">
        <v>6</v>
      </c>
      <c r="I1085" s="8">
        <v>120.12</v>
      </c>
      <c r="J1085" s="8">
        <v>35900</v>
      </c>
      <c r="K1085" s="3">
        <v>0</v>
      </c>
      <c r="L1085" s="3" t="s">
        <v>3</v>
      </c>
      <c r="M1085" s="9" t="s">
        <v>0</v>
      </c>
      <c r="N1085" s="9" t="s">
        <v>27</v>
      </c>
      <c r="O1085" s="9" t="s">
        <v>346</v>
      </c>
      <c r="P1085" s="9" t="s">
        <v>0</v>
      </c>
      <c r="Q1085" s="9">
        <v>43761098</v>
      </c>
      <c r="R1085" s="9" t="s">
        <v>347</v>
      </c>
      <c r="S1085" s="9" t="s">
        <v>158</v>
      </c>
      <c r="T1085" s="10" t="s">
        <v>84</v>
      </c>
      <c r="U1085" s="10">
        <v>6</v>
      </c>
      <c r="V1085" s="10">
        <v>120.12</v>
      </c>
      <c r="W1085" s="10" t="s">
        <v>710</v>
      </c>
      <c r="X1085" s="17">
        <v>44789</v>
      </c>
      <c r="Y1085" s="17">
        <v>44791</v>
      </c>
      <c r="Z1085" s="19" t="s">
        <v>772</v>
      </c>
      <c r="AA1085" s="210">
        <v>43450</v>
      </c>
      <c r="AB1085" s="9">
        <v>120</v>
      </c>
      <c r="AC1085" s="9">
        <v>9</v>
      </c>
      <c r="AD1085" s="17">
        <v>45199</v>
      </c>
      <c r="AE1085" s="56">
        <v>278.75</v>
      </c>
      <c r="AF1085" s="56"/>
      <c r="AG1085" s="9" t="s">
        <v>134</v>
      </c>
      <c r="AH1085" s="17">
        <v>45201</v>
      </c>
      <c r="AI1085" s="17"/>
      <c r="AJ1085" s="17"/>
      <c r="AK1085" s="9" t="s">
        <v>2188</v>
      </c>
      <c r="AL1085" s="11">
        <v>278.76</v>
      </c>
      <c r="AN1085" s="11" t="s">
        <v>2196</v>
      </c>
      <c r="AP1085" s="11"/>
      <c r="AQ1085" s="11"/>
      <c r="AR1085" s="11"/>
      <c r="AW1085" s="17">
        <v>45198</v>
      </c>
      <c r="AX1085" s="9">
        <v>290662</v>
      </c>
      <c r="AY1085" s="86">
        <v>1076</v>
      </c>
      <c r="AZ1085" s="9">
        <v>3.86</v>
      </c>
      <c r="BA1085" s="22">
        <f>+AY1085/AZ1085</f>
        <v>278.75647668393782</v>
      </c>
      <c r="BD1085" s="9"/>
      <c r="CS1085" s="11">
        <f t="shared" si="77"/>
        <v>278.76</v>
      </c>
      <c r="CT1085" s="22">
        <f t="shared" si="78"/>
        <v>278.75647668393782</v>
      </c>
      <c r="CU1085" s="22">
        <f t="shared" si="76"/>
        <v>3.5233160621714887E-3</v>
      </c>
      <c r="CV1085" s="26">
        <f t="shared" si="79"/>
        <v>-9.9999999999909051E-3</v>
      </c>
    </row>
    <row r="1086" spans="1:103" x14ac:dyDescent="0.2">
      <c r="A1086" s="9" t="s">
        <v>345</v>
      </c>
      <c r="B1086" s="2">
        <v>143</v>
      </c>
      <c r="C1086" s="3" t="s">
        <v>95</v>
      </c>
      <c r="D1086" s="3" t="s">
        <v>96</v>
      </c>
      <c r="E1086" s="2" t="s">
        <v>72</v>
      </c>
      <c r="F1086" s="2">
        <v>16</v>
      </c>
      <c r="G1086" s="2" t="s">
        <v>84</v>
      </c>
      <c r="H1086" s="2">
        <v>6</v>
      </c>
      <c r="I1086" s="8">
        <v>120.12</v>
      </c>
      <c r="J1086" s="8">
        <v>35900</v>
      </c>
      <c r="K1086" s="3">
        <v>0</v>
      </c>
      <c r="L1086" s="3" t="s">
        <v>3</v>
      </c>
      <c r="M1086" s="9" t="s">
        <v>0</v>
      </c>
      <c r="N1086" s="9" t="s">
        <v>27</v>
      </c>
      <c r="O1086" s="9" t="s">
        <v>346</v>
      </c>
      <c r="P1086" s="9" t="s">
        <v>0</v>
      </c>
      <c r="Q1086" s="9">
        <v>43761098</v>
      </c>
      <c r="R1086" s="9" t="s">
        <v>347</v>
      </c>
      <c r="S1086" s="9" t="s">
        <v>158</v>
      </c>
      <c r="T1086" s="10" t="s">
        <v>84</v>
      </c>
      <c r="U1086" s="10">
        <v>6</v>
      </c>
      <c r="V1086" s="10">
        <v>120.12</v>
      </c>
      <c r="W1086" s="10" t="s">
        <v>710</v>
      </c>
      <c r="X1086" s="17">
        <v>44789</v>
      </c>
      <c r="Y1086" s="17">
        <v>44791</v>
      </c>
      <c r="Z1086" s="19" t="s">
        <v>772</v>
      </c>
      <c r="AA1086" s="210">
        <v>43450</v>
      </c>
      <c r="AB1086" s="9">
        <v>120</v>
      </c>
      <c r="AC1086" s="9">
        <v>10</v>
      </c>
      <c r="AD1086" s="17">
        <v>45229</v>
      </c>
      <c r="AE1086" s="56">
        <v>278.75</v>
      </c>
      <c r="AF1086" s="56"/>
      <c r="AG1086" s="9" t="s">
        <v>134</v>
      </c>
      <c r="AH1086" s="17">
        <v>45232</v>
      </c>
      <c r="AI1086" s="17"/>
      <c r="AJ1086" s="17"/>
      <c r="AK1086" s="9" t="s">
        <v>2189</v>
      </c>
      <c r="AL1086" s="11">
        <v>278.75</v>
      </c>
      <c r="AN1086" s="11" t="s">
        <v>2197</v>
      </c>
      <c r="AP1086" s="11"/>
      <c r="AQ1086" s="11"/>
      <c r="AR1086" s="11"/>
      <c r="AW1086" s="17"/>
      <c r="AY1086" s="86"/>
      <c r="BA1086" s="22"/>
      <c r="BB1086" s="11" t="s">
        <v>1347</v>
      </c>
      <c r="BD1086" s="9"/>
      <c r="CS1086" s="11">
        <f t="shared" si="77"/>
        <v>278.75</v>
      </c>
      <c r="CT1086" s="22">
        <f t="shared" si="78"/>
        <v>0</v>
      </c>
      <c r="CU1086" s="22">
        <f t="shared" si="76"/>
        <v>278.75</v>
      </c>
      <c r="CV1086" s="26">
        <f t="shared" si="79"/>
        <v>0</v>
      </c>
      <c r="CW1086" s="9" t="s">
        <v>3494</v>
      </c>
      <c r="CY1086" s="9" t="s">
        <v>3493</v>
      </c>
    </row>
    <row r="1087" spans="1:103" x14ac:dyDescent="0.2">
      <c r="A1087" s="9" t="s">
        <v>345</v>
      </c>
      <c r="B1087" s="2">
        <v>143</v>
      </c>
      <c r="C1087" s="3" t="s">
        <v>95</v>
      </c>
      <c r="D1087" s="3" t="s">
        <v>96</v>
      </c>
      <c r="E1087" s="2" t="s">
        <v>72</v>
      </c>
      <c r="F1087" s="2">
        <v>16</v>
      </c>
      <c r="G1087" s="2" t="s">
        <v>84</v>
      </c>
      <c r="H1087" s="2">
        <v>6</v>
      </c>
      <c r="I1087" s="8">
        <v>120.12</v>
      </c>
      <c r="J1087" s="8">
        <v>35900</v>
      </c>
      <c r="K1087" s="3">
        <v>0</v>
      </c>
      <c r="L1087" s="3" t="s">
        <v>3</v>
      </c>
      <c r="M1087" s="9" t="s">
        <v>0</v>
      </c>
      <c r="N1087" s="9" t="s">
        <v>27</v>
      </c>
      <c r="O1087" s="9" t="s">
        <v>346</v>
      </c>
      <c r="P1087" s="9" t="s">
        <v>0</v>
      </c>
      <c r="Q1087" s="9">
        <v>43761098</v>
      </c>
      <c r="R1087" s="9" t="s">
        <v>347</v>
      </c>
      <c r="S1087" s="9" t="s">
        <v>158</v>
      </c>
      <c r="T1087" s="10" t="s">
        <v>84</v>
      </c>
      <c r="U1087" s="10">
        <v>6</v>
      </c>
      <c r="V1087" s="10">
        <v>120.12</v>
      </c>
      <c r="W1087" s="10" t="s">
        <v>710</v>
      </c>
      <c r="X1087" s="17">
        <v>44789</v>
      </c>
      <c r="Y1087" s="17">
        <v>44791</v>
      </c>
      <c r="Z1087" s="19" t="s">
        <v>772</v>
      </c>
      <c r="AA1087" s="210">
        <v>43450</v>
      </c>
      <c r="AB1087" s="9">
        <v>120</v>
      </c>
      <c r="AC1087" s="9">
        <v>11</v>
      </c>
      <c r="AD1087" s="17">
        <v>45260</v>
      </c>
      <c r="AE1087" s="56">
        <v>278.75</v>
      </c>
      <c r="AF1087" s="56"/>
      <c r="AG1087" s="9" t="s">
        <v>134</v>
      </c>
      <c r="AH1087" s="17">
        <v>45260</v>
      </c>
      <c r="AI1087" s="17"/>
      <c r="AJ1087" s="17"/>
      <c r="AK1087" s="9" t="s">
        <v>2190</v>
      </c>
      <c r="AL1087" s="11">
        <v>278.75</v>
      </c>
      <c r="AN1087" s="11" t="s">
        <v>2198</v>
      </c>
      <c r="AP1087" s="11"/>
      <c r="AQ1087" s="11"/>
      <c r="AR1087" s="11"/>
      <c r="AW1087" s="17">
        <v>45260</v>
      </c>
      <c r="AX1087" s="9">
        <v>319676</v>
      </c>
      <c r="AY1087" s="86">
        <v>1076</v>
      </c>
      <c r="AZ1087" s="9">
        <v>3.85</v>
      </c>
      <c r="BA1087" s="22">
        <f>+AY1087/AZ1087</f>
        <v>279.48051948051949</v>
      </c>
      <c r="BD1087" s="9"/>
      <c r="CS1087" s="11">
        <f t="shared" si="77"/>
        <v>278.75</v>
      </c>
      <c r="CT1087" s="22">
        <f t="shared" si="78"/>
        <v>279.48051948051949</v>
      </c>
      <c r="CU1087" s="22">
        <f t="shared" si="76"/>
        <v>-0.73051948051949012</v>
      </c>
      <c r="CV1087" s="26">
        <f t="shared" si="79"/>
        <v>0</v>
      </c>
    </row>
    <row r="1088" spans="1:103" x14ac:dyDescent="0.2">
      <c r="A1088" s="9" t="s">
        <v>345</v>
      </c>
      <c r="B1088" s="2">
        <v>143</v>
      </c>
      <c r="C1088" s="3" t="s">
        <v>95</v>
      </c>
      <c r="D1088" s="3" t="s">
        <v>96</v>
      </c>
      <c r="E1088" s="2" t="s">
        <v>72</v>
      </c>
      <c r="F1088" s="2">
        <v>16</v>
      </c>
      <c r="G1088" s="2" t="s">
        <v>84</v>
      </c>
      <c r="H1088" s="2">
        <v>6</v>
      </c>
      <c r="I1088" s="8">
        <v>120.12</v>
      </c>
      <c r="J1088" s="8">
        <v>35900</v>
      </c>
      <c r="K1088" s="3">
        <v>0</v>
      </c>
      <c r="L1088" s="3" t="s">
        <v>3</v>
      </c>
      <c r="M1088" s="9" t="s">
        <v>0</v>
      </c>
      <c r="N1088" s="9" t="s">
        <v>27</v>
      </c>
      <c r="O1088" s="9" t="s">
        <v>346</v>
      </c>
      <c r="P1088" s="9" t="s">
        <v>0</v>
      </c>
      <c r="Q1088" s="9">
        <v>43761098</v>
      </c>
      <c r="R1088" s="9" t="s">
        <v>347</v>
      </c>
      <c r="S1088" s="9" t="s">
        <v>158</v>
      </c>
      <c r="T1088" s="10" t="s">
        <v>84</v>
      </c>
      <c r="U1088" s="10">
        <v>6</v>
      </c>
      <c r="V1088" s="10">
        <v>120.12</v>
      </c>
      <c r="W1088" s="10" t="s">
        <v>710</v>
      </c>
      <c r="X1088" s="17">
        <v>44789</v>
      </c>
      <c r="Y1088" s="17">
        <v>44791</v>
      </c>
      <c r="Z1088" s="19" t="s">
        <v>772</v>
      </c>
      <c r="AA1088" s="210">
        <v>43450</v>
      </c>
      <c r="AB1088" s="9">
        <v>120</v>
      </c>
      <c r="AC1088" s="9">
        <v>12</v>
      </c>
      <c r="AD1088" s="17">
        <v>45290</v>
      </c>
      <c r="AE1088" s="56">
        <v>278.75</v>
      </c>
      <c r="AF1088" s="56"/>
      <c r="AG1088" s="9" t="s">
        <v>134</v>
      </c>
      <c r="AH1088" s="17">
        <v>45293</v>
      </c>
      <c r="AI1088" s="17"/>
      <c r="AJ1088" s="17"/>
      <c r="AK1088" s="9" t="s">
        <v>2165</v>
      </c>
      <c r="AL1088" s="11">
        <v>278.75</v>
      </c>
      <c r="AN1088" s="11" t="s">
        <v>2175</v>
      </c>
      <c r="AP1088" s="11"/>
      <c r="AQ1088" s="11"/>
      <c r="AR1088" s="11"/>
      <c r="AW1088" s="17">
        <v>45289</v>
      </c>
      <c r="AX1088" s="9">
        <v>303318</v>
      </c>
      <c r="AY1088" s="86">
        <v>1057</v>
      </c>
      <c r="AZ1088" s="9">
        <v>3.7130000000000001</v>
      </c>
      <c r="BA1088" s="22">
        <f>+AY1088/AZ1088</f>
        <v>284.67546458389444</v>
      </c>
      <c r="BD1088" s="9"/>
      <c r="CS1088" s="11">
        <f t="shared" si="77"/>
        <v>278.75</v>
      </c>
      <c r="CT1088" s="22">
        <f t="shared" si="78"/>
        <v>284.67546458389444</v>
      </c>
      <c r="CU1088" s="22">
        <f t="shared" si="76"/>
        <v>-5.9254645838944384</v>
      </c>
      <c r="CV1088" s="26">
        <f t="shared" si="79"/>
        <v>0</v>
      </c>
    </row>
    <row r="1089" spans="1:103" x14ac:dyDescent="0.2">
      <c r="A1089" s="9" t="s">
        <v>345</v>
      </c>
      <c r="B1089" s="2">
        <v>143</v>
      </c>
      <c r="C1089" s="3" t="s">
        <v>95</v>
      </c>
      <c r="D1089" s="3" t="s">
        <v>96</v>
      </c>
      <c r="E1089" s="2" t="s">
        <v>72</v>
      </c>
      <c r="F1089" s="2">
        <v>16</v>
      </c>
      <c r="G1089" s="2" t="s">
        <v>84</v>
      </c>
      <c r="H1089" s="2">
        <v>6</v>
      </c>
      <c r="I1089" s="8">
        <v>120.12</v>
      </c>
      <c r="J1089" s="8">
        <v>35900</v>
      </c>
      <c r="K1089" s="3">
        <v>0</v>
      </c>
      <c r="L1089" s="3" t="s">
        <v>3</v>
      </c>
      <c r="M1089" s="9" t="s">
        <v>0</v>
      </c>
      <c r="N1089" s="9" t="s">
        <v>27</v>
      </c>
      <c r="O1089" s="9" t="s">
        <v>346</v>
      </c>
      <c r="P1089" s="9" t="s">
        <v>0</v>
      </c>
      <c r="Q1089" s="9">
        <v>43761098</v>
      </c>
      <c r="R1089" s="9" t="s">
        <v>347</v>
      </c>
      <c r="S1089" s="9" t="s">
        <v>158</v>
      </c>
      <c r="T1089" s="10" t="s">
        <v>84</v>
      </c>
      <c r="U1089" s="10">
        <v>6</v>
      </c>
      <c r="V1089" s="10">
        <v>120.12</v>
      </c>
      <c r="W1089" s="10" t="s">
        <v>710</v>
      </c>
      <c r="X1089" s="17">
        <v>44789</v>
      </c>
      <c r="Y1089" s="17">
        <v>44791</v>
      </c>
      <c r="Z1089" s="19" t="s">
        <v>772</v>
      </c>
      <c r="AA1089" s="210">
        <v>43450</v>
      </c>
      <c r="AB1089" s="9">
        <v>120</v>
      </c>
      <c r="AC1089" s="9">
        <v>13</v>
      </c>
      <c r="AD1089" s="17">
        <v>45321</v>
      </c>
      <c r="AE1089" s="56">
        <v>278.75</v>
      </c>
      <c r="AF1089" s="56"/>
      <c r="AG1089" s="9" t="s">
        <v>134</v>
      </c>
      <c r="AH1089" s="17">
        <v>45352</v>
      </c>
      <c r="AI1089" s="17"/>
      <c r="AJ1089" s="17"/>
      <c r="AK1089" s="9" t="s">
        <v>2166</v>
      </c>
      <c r="AL1089" s="11">
        <v>279.64999999999998</v>
      </c>
      <c r="AN1089" s="11" t="s">
        <v>2176</v>
      </c>
      <c r="AP1089" s="11"/>
      <c r="AQ1089" s="11"/>
      <c r="AR1089" s="11"/>
      <c r="AW1089" s="17">
        <v>45352</v>
      </c>
      <c r="AX1089" s="9">
        <v>856318</v>
      </c>
      <c r="AY1089" s="86">
        <v>1062</v>
      </c>
      <c r="AZ1089" s="9">
        <v>3.79</v>
      </c>
      <c r="BA1089" s="22">
        <f>+AY1089/AZ1089</f>
        <v>280.21108179419525</v>
      </c>
      <c r="BD1089" s="9"/>
      <c r="CS1089" s="11">
        <f t="shared" si="77"/>
        <v>279.64999999999998</v>
      </c>
      <c r="CT1089" s="22">
        <f t="shared" si="78"/>
        <v>280.21108179419525</v>
      </c>
      <c r="CU1089" s="22">
        <f t="shared" si="76"/>
        <v>-0.5610817941952746</v>
      </c>
      <c r="CV1089" s="26">
        <f t="shared" si="79"/>
        <v>-0.89999999999997726</v>
      </c>
    </row>
    <row r="1090" spans="1:103" x14ac:dyDescent="0.2">
      <c r="A1090" s="9" t="s">
        <v>345</v>
      </c>
      <c r="B1090" s="2">
        <v>143</v>
      </c>
      <c r="C1090" s="3" t="s">
        <v>95</v>
      </c>
      <c r="D1090" s="3" t="s">
        <v>96</v>
      </c>
      <c r="E1090" s="2" t="s">
        <v>72</v>
      </c>
      <c r="F1090" s="2">
        <v>16</v>
      </c>
      <c r="G1090" s="2" t="s">
        <v>84</v>
      </c>
      <c r="H1090" s="2">
        <v>6</v>
      </c>
      <c r="I1090" s="8">
        <v>120.12</v>
      </c>
      <c r="J1090" s="8">
        <v>35900</v>
      </c>
      <c r="K1090" s="3">
        <v>0</v>
      </c>
      <c r="L1090" s="3" t="s">
        <v>3</v>
      </c>
      <c r="M1090" s="9" t="s">
        <v>0</v>
      </c>
      <c r="N1090" s="75">
        <v>18188938</v>
      </c>
      <c r="O1090" s="9" t="s">
        <v>346</v>
      </c>
      <c r="P1090" s="9" t="s">
        <v>0</v>
      </c>
      <c r="Q1090" s="9">
        <v>43761098</v>
      </c>
      <c r="R1090" s="9" t="s">
        <v>347</v>
      </c>
      <c r="S1090" s="9" t="s">
        <v>158</v>
      </c>
      <c r="T1090" s="10" t="s">
        <v>84</v>
      </c>
      <c r="U1090" s="10">
        <v>6</v>
      </c>
      <c r="V1090" s="10">
        <v>120.12</v>
      </c>
      <c r="W1090" s="10" t="s">
        <v>710</v>
      </c>
      <c r="X1090" s="17">
        <v>44789</v>
      </c>
      <c r="Y1090" s="17">
        <v>44791</v>
      </c>
      <c r="Z1090" s="19" t="s">
        <v>772</v>
      </c>
      <c r="AA1090" s="210">
        <v>43450</v>
      </c>
      <c r="AB1090" s="9">
        <v>120</v>
      </c>
      <c r="AC1090" s="9">
        <v>14</v>
      </c>
      <c r="AD1090" s="17">
        <v>45351</v>
      </c>
      <c r="AE1090" s="56">
        <v>278.75</v>
      </c>
      <c r="AF1090" s="56"/>
      <c r="AG1090" s="9" t="s">
        <v>134</v>
      </c>
      <c r="AH1090" s="17">
        <v>45352</v>
      </c>
      <c r="AI1090" s="17"/>
      <c r="AJ1090" s="17"/>
      <c r="AK1090" s="9" t="s">
        <v>2167</v>
      </c>
      <c r="AL1090" s="11">
        <v>279.64999999999998</v>
      </c>
      <c r="AN1090" s="11" t="s">
        <v>2177</v>
      </c>
      <c r="AP1090" s="11"/>
      <c r="AQ1090" s="11"/>
      <c r="AR1090" s="11"/>
      <c r="AW1090" s="17"/>
      <c r="AY1090" s="86"/>
      <c r="BA1090" s="22"/>
      <c r="BB1090" s="11" t="s">
        <v>1347</v>
      </c>
      <c r="BD1090" s="9"/>
      <c r="CS1090" s="11">
        <f t="shared" si="77"/>
        <v>279.64999999999998</v>
      </c>
      <c r="CT1090" s="22">
        <f t="shared" si="78"/>
        <v>0</v>
      </c>
      <c r="CU1090" s="22">
        <f t="shared" si="76"/>
        <v>279.64999999999998</v>
      </c>
      <c r="CV1090" s="26">
        <f t="shared" si="79"/>
        <v>-0.89999999999997726</v>
      </c>
      <c r="CW1090" s="9" t="s">
        <v>3494</v>
      </c>
      <c r="CY1090" s="9" t="s">
        <v>3493</v>
      </c>
    </row>
    <row r="1091" spans="1:103" x14ac:dyDescent="0.2">
      <c r="A1091" s="9" t="s">
        <v>345</v>
      </c>
      <c r="B1091" s="2">
        <v>143</v>
      </c>
      <c r="C1091" s="3" t="s">
        <v>95</v>
      </c>
      <c r="D1091" s="3" t="s">
        <v>96</v>
      </c>
      <c r="E1091" s="2" t="s">
        <v>72</v>
      </c>
      <c r="F1091" s="2">
        <v>16</v>
      </c>
      <c r="G1091" s="2" t="s">
        <v>84</v>
      </c>
      <c r="H1091" s="2">
        <v>6</v>
      </c>
      <c r="I1091" s="8">
        <v>120.12</v>
      </c>
      <c r="J1091" s="8">
        <v>35900</v>
      </c>
      <c r="K1091" s="3">
        <v>0</v>
      </c>
      <c r="L1091" s="3" t="s">
        <v>3</v>
      </c>
      <c r="M1091" s="9" t="s">
        <v>0</v>
      </c>
      <c r="N1091" s="9" t="s">
        <v>27</v>
      </c>
      <c r="O1091" s="9" t="s">
        <v>346</v>
      </c>
      <c r="P1091" s="9" t="s">
        <v>0</v>
      </c>
      <c r="Q1091" s="9">
        <v>43761098</v>
      </c>
      <c r="R1091" s="9" t="s">
        <v>347</v>
      </c>
      <c r="S1091" s="9" t="s">
        <v>158</v>
      </c>
      <c r="T1091" s="10" t="s">
        <v>84</v>
      </c>
      <c r="U1091" s="10">
        <v>6</v>
      </c>
      <c r="V1091" s="10">
        <v>120.12</v>
      </c>
      <c r="W1091" s="10" t="s">
        <v>710</v>
      </c>
      <c r="X1091" s="17">
        <v>44789</v>
      </c>
      <c r="Y1091" s="17">
        <v>44791</v>
      </c>
      <c r="Z1091" s="19" t="s">
        <v>772</v>
      </c>
      <c r="AA1091" s="210">
        <v>43450</v>
      </c>
      <c r="AB1091" s="9">
        <v>120</v>
      </c>
      <c r="AC1091" s="9">
        <v>15</v>
      </c>
      <c r="AD1091" s="17">
        <v>45381</v>
      </c>
      <c r="AE1091" s="56">
        <v>278.75</v>
      </c>
      <c r="AF1091" s="56"/>
      <c r="AG1091" s="9" t="s">
        <v>134</v>
      </c>
      <c r="AH1091" s="17">
        <v>45381</v>
      </c>
      <c r="AI1091" s="17"/>
      <c r="AJ1091" s="17"/>
      <c r="AK1091" s="9" t="s">
        <v>2168</v>
      </c>
      <c r="AL1091" s="11">
        <v>278.75</v>
      </c>
      <c r="AN1091" s="11" t="s">
        <v>2178</v>
      </c>
      <c r="AP1091" s="11"/>
      <c r="AQ1091" s="11"/>
      <c r="AR1091" s="11"/>
      <c r="AW1091" s="17">
        <v>45381</v>
      </c>
      <c r="AX1091" s="9">
        <v>522894</v>
      </c>
      <c r="AY1091" s="86">
        <v>1062</v>
      </c>
      <c r="AZ1091" s="9">
        <v>3.7210000000000001</v>
      </c>
      <c r="BA1091" s="22">
        <f>+AY1091/AZ1091</f>
        <v>285.40714861596342</v>
      </c>
      <c r="BD1091" s="9"/>
      <c r="CS1091" s="11">
        <f t="shared" si="77"/>
        <v>278.75</v>
      </c>
      <c r="CT1091" s="22">
        <f t="shared" si="78"/>
        <v>285.40714861596342</v>
      </c>
      <c r="CU1091" s="22">
        <f t="shared" si="76"/>
        <v>-6.6571486159634219</v>
      </c>
      <c r="CV1091" s="26">
        <f t="shared" si="79"/>
        <v>0</v>
      </c>
    </row>
    <row r="1092" spans="1:103" x14ac:dyDescent="0.2">
      <c r="A1092" s="9" t="s">
        <v>345</v>
      </c>
      <c r="B1092" s="2">
        <v>143</v>
      </c>
      <c r="C1092" s="3" t="s">
        <v>95</v>
      </c>
      <c r="D1092" s="3" t="s">
        <v>96</v>
      </c>
      <c r="E1092" s="2" t="s">
        <v>72</v>
      </c>
      <c r="F1092" s="2">
        <v>16</v>
      </c>
      <c r="G1092" s="2" t="s">
        <v>84</v>
      </c>
      <c r="H1092" s="2">
        <v>6</v>
      </c>
      <c r="I1092" s="8">
        <v>120.12</v>
      </c>
      <c r="J1092" s="8">
        <v>35900</v>
      </c>
      <c r="K1092" s="3">
        <v>0</v>
      </c>
      <c r="L1092" s="3" t="s">
        <v>3</v>
      </c>
      <c r="M1092" s="9" t="s">
        <v>0</v>
      </c>
      <c r="N1092" s="9" t="s">
        <v>27</v>
      </c>
      <c r="O1092" s="9" t="s">
        <v>346</v>
      </c>
      <c r="P1092" s="9" t="s">
        <v>0</v>
      </c>
      <c r="Q1092" s="9">
        <v>43761098</v>
      </c>
      <c r="R1092" s="9" t="s">
        <v>347</v>
      </c>
      <c r="S1092" s="9" t="s">
        <v>158</v>
      </c>
      <c r="T1092" s="10" t="s">
        <v>84</v>
      </c>
      <c r="U1092" s="10">
        <v>6</v>
      </c>
      <c r="V1092" s="10">
        <v>120.12</v>
      </c>
      <c r="W1092" s="10" t="s">
        <v>710</v>
      </c>
      <c r="X1092" s="17">
        <v>44789</v>
      </c>
      <c r="Y1092" s="17">
        <v>44791</v>
      </c>
      <c r="Z1092" s="19" t="s">
        <v>772</v>
      </c>
      <c r="AA1092" s="210">
        <v>43450</v>
      </c>
      <c r="AB1092" s="9">
        <v>120</v>
      </c>
      <c r="AC1092" s="9">
        <v>16</v>
      </c>
      <c r="AD1092" s="17">
        <v>45412</v>
      </c>
      <c r="AE1092" s="56">
        <v>278.75</v>
      </c>
      <c r="AF1092" s="56"/>
      <c r="AG1092" s="9" t="s">
        <v>134</v>
      </c>
      <c r="AH1092" s="17">
        <v>45411</v>
      </c>
      <c r="AI1092" s="17"/>
      <c r="AJ1092" s="17"/>
      <c r="AK1092" s="9" t="s">
        <v>2169</v>
      </c>
      <c r="AL1092" s="11">
        <v>278.75</v>
      </c>
      <c r="AN1092" s="11" t="s">
        <v>2179</v>
      </c>
      <c r="AP1092" s="11"/>
      <c r="AQ1092" s="11"/>
      <c r="AR1092" s="11"/>
      <c r="AW1092" s="17">
        <v>45411</v>
      </c>
      <c r="AX1092" s="9">
        <v>283581</v>
      </c>
      <c r="AY1092" s="86">
        <v>1051</v>
      </c>
      <c r="AZ1092" s="9">
        <v>3.7559999999999998</v>
      </c>
      <c r="BA1092" s="22">
        <f>+AY1092/AZ1092</f>
        <v>279.81895633652823</v>
      </c>
      <c r="BD1092" s="9"/>
      <c r="CS1092" s="11">
        <f t="shared" si="77"/>
        <v>278.75</v>
      </c>
      <c r="CT1092" s="22">
        <f t="shared" si="78"/>
        <v>279.81895633652823</v>
      </c>
      <c r="CU1092" s="22">
        <f t="shared" si="76"/>
        <v>-1.0689563365282311</v>
      </c>
      <c r="CV1092" s="26">
        <f t="shared" si="79"/>
        <v>0</v>
      </c>
    </row>
    <row r="1093" spans="1:103" x14ac:dyDescent="0.2">
      <c r="A1093" s="9" t="s">
        <v>345</v>
      </c>
      <c r="B1093" s="2">
        <v>143</v>
      </c>
      <c r="C1093" s="3" t="s">
        <v>95</v>
      </c>
      <c r="D1093" s="3" t="s">
        <v>96</v>
      </c>
      <c r="E1093" s="2" t="s">
        <v>72</v>
      </c>
      <c r="F1093" s="2">
        <v>16</v>
      </c>
      <c r="G1093" s="2" t="s">
        <v>84</v>
      </c>
      <c r="H1093" s="2">
        <v>6</v>
      </c>
      <c r="I1093" s="8">
        <v>120.12</v>
      </c>
      <c r="J1093" s="8">
        <v>35900</v>
      </c>
      <c r="K1093" s="3">
        <v>0</v>
      </c>
      <c r="L1093" s="3" t="s">
        <v>3</v>
      </c>
      <c r="M1093" s="9" t="s">
        <v>0</v>
      </c>
      <c r="N1093" s="9" t="s">
        <v>27</v>
      </c>
      <c r="O1093" s="9" t="s">
        <v>346</v>
      </c>
      <c r="P1093" s="9" t="s">
        <v>0</v>
      </c>
      <c r="Q1093" s="9">
        <v>43761098</v>
      </c>
      <c r="R1093" s="9" t="s">
        <v>347</v>
      </c>
      <c r="S1093" s="9" t="s">
        <v>158</v>
      </c>
      <c r="T1093" s="10" t="s">
        <v>84</v>
      </c>
      <c r="U1093" s="10">
        <v>6</v>
      </c>
      <c r="V1093" s="10">
        <v>120.12</v>
      </c>
      <c r="W1093" s="10" t="s">
        <v>710</v>
      </c>
      <c r="X1093" s="17">
        <v>44789</v>
      </c>
      <c r="Y1093" s="17">
        <v>44791</v>
      </c>
      <c r="Z1093" s="19" t="s">
        <v>772</v>
      </c>
      <c r="AA1093" s="210">
        <v>43450</v>
      </c>
      <c r="AB1093" s="9">
        <v>120</v>
      </c>
      <c r="AC1093" s="9">
        <v>17</v>
      </c>
      <c r="AD1093" s="17">
        <v>45442</v>
      </c>
      <c r="AE1093" s="56">
        <v>278.75</v>
      </c>
      <c r="AF1093" s="56"/>
      <c r="AG1093" s="9" t="s">
        <v>134</v>
      </c>
      <c r="AH1093" s="17">
        <v>45444</v>
      </c>
      <c r="AI1093" s="17"/>
      <c r="AJ1093" s="17"/>
      <c r="AK1093" s="9" t="s">
        <v>2170</v>
      </c>
      <c r="AL1093" s="11">
        <v>278.75</v>
      </c>
      <c r="AN1093" s="11" t="s">
        <v>2180</v>
      </c>
      <c r="AP1093" s="11"/>
      <c r="AQ1093" s="11"/>
      <c r="AR1093" s="11"/>
      <c r="AW1093" s="17">
        <v>45443</v>
      </c>
      <c r="AX1093" s="9">
        <v>628542</v>
      </c>
      <c r="AY1093" s="86">
        <v>1048</v>
      </c>
      <c r="AZ1093" s="9">
        <v>3.7410000000000001</v>
      </c>
      <c r="BA1093" s="22">
        <f>+AY1093/AZ1093</f>
        <v>280.13900026730818</v>
      </c>
      <c r="BD1093" s="9"/>
      <c r="CS1093" s="11">
        <f t="shared" si="77"/>
        <v>278.75</v>
      </c>
      <c r="CT1093" s="22">
        <f t="shared" si="78"/>
        <v>280.13900026730818</v>
      </c>
      <c r="CU1093" s="22">
        <f t="shared" si="76"/>
        <v>-1.3890002673081767</v>
      </c>
      <c r="CV1093" s="26">
        <f t="shared" si="79"/>
        <v>0</v>
      </c>
    </row>
    <row r="1094" spans="1:103" x14ac:dyDescent="0.2">
      <c r="A1094" s="9" t="s">
        <v>345</v>
      </c>
      <c r="B1094" s="2">
        <v>143</v>
      </c>
      <c r="C1094" s="3" t="s">
        <v>95</v>
      </c>
      <c r="D1094" s="3" t="s">
        <v>96</v>
      </c>
      <c r="E1094" s="2" t="s">
        <v>72</v>
      </c>
      <c r="F1094" s="2">
        <v>16</v>
      </c>
      <c r="G1094" s="2" t="s">
        <v>84</v>
      </c>
      <c r="H1094" s="2">
        <v>6</v>
      </c>
      <c r="I1094" s="8">
        <v>120.12</v>
      </c>
      <c r="J1094" s="8">
        <v>35900</v>
      </c>
      <c r="K1094" s="3">
        <v>0</v>
      </c>
      <c r="L1094" s="3" t="s">
        <v>3</v>
      </c>
      <c r="M1094" s="9" t="s">
        <v>0</v>
      </c>
      <c r="N1094" s="9" t="s">
        <v>27</v>
      </c>
      <c r="O1094" s="9" t="s">
        <v>346</v>
      </c>
      <c r="P1094" s="9" t="s">
        <v>0</v>
      </c>
      <c r="Q1094" s="9">
        <v>43761098</v>
      </c>
      <c r="R1094" s="9" t="s">
        <v>347</v>
      </c>
      <c r="S1094" s="9" t="s">
        <v>158</v>
      </c>
      <c r="T1094" s="10" t="s">
        <v>84</v>
      </c>
      <c r="U1094" s="10">
        <v>6</v>
      </c>
      <c r="V1094" s="10">
        <v>120.12</v>
      </c>
      <c r="W1094" s="10" t="s">
        <v>710</v>
      </c>
      <c r="X1094" s="17">
        <v>44789</v>
      </c>
      <c r="Y1094" s="17">
        <v>44791</v>
      </c>
      <c r="Z1094" s="19" t="s">
        <v>772</v>
      </c>
      <c r="AA1094" s="210">
        <v>43450</v>
      </c>
      <c r="AB1094" s="9">
        <v>120</v>
      </c>
      <c r="AC1094" s="9">
        <v>18</v>
      </c>
      <c r="AD1094" s="17">
        <v>45473</v>
      </c>
      <c r="AE1094" s="56">
        <v>278.75</v>
      </c>
      <c r="AF1094" s="56"/>
      <c r="AG1094" s="9" t="s">
        <v>134</v>
      </c>
      <c r="AH1094" s="17">
        <v>45533</v>
      </c>
      <c r="AI1094" s="17"/>
      <c r="AJ1094" s="17"/>
      <c r="AK1094" s="9" t="s">
        <v>2171</v>
      </c>
      <c r="AL1094" s="11">
        <v>278.75</v>
      </c>
      <c r="AN1094" s="11" t="s">
        <v>2181</v>
      </c>
      <c r="AP1094" s="11"/>
      <c r="AQ1094" s="11"/>
      <c r="AR1094" s="11"/>
      <c r="AW1094" s="17">
        <v>45533</v>
      </c>
      <c r="AX1094" s="9">
        <v>251102</v>
      </c>
      <c r="AY1094" s="86">
        <v>1043.3599999999999</v>
      </c>
      <c r="AZ1094" s="9">
        <v>3.7429999999999999</v>
      </c>
      <c r="BA1094" s="22">
        <f>+AY1094/AZ1094</f>
        <v>278.7496660432808</v>
      </c>
      <c r="BD1094" s="9"/>
      <c r="CS1094" s="11">
        <f t="shared" si="77"/>
        <v>278.75</v>
      </c>
      <c r="CT1094" s="22">
        <f t="shared" si="78"/>
        <v>278.7496660432808</v>
      </c>
      <c r="CU1094" s="22">
        <f t="shared" si="76"/>
        <v>3.3395671920288805E-4</v>
      </c>
      <c r="CV1094" s="26">
        <f t="shared" si="79"/>
        <v>0</v>
      </c>
    </row>
    <row r="1095" spans="1:103" x14ac:dyDescent="0.2">
      <c r="A1095" s="9" t="s">
        <v>345</v>
      </c>
      <c r="B1095" s="2">
        <v>143</v>
      </c>
      <c r="C1095" s="3" t="s">
        <v>95</v>
      </c>
      <c r="D1095" s="3" t="s">
        <v>96</v>
      </c>
      <c r="E1095" s="2" t="s">
        <v>72</v>
      </c>
      <c r="F1095" s="2">
        <v>16</v>
      </c>
      <c r="G1095" s="2" t="s">
        <v>84</v>
      </c>
      <c r="H1095" s="2">
        <v>6</v>
      </c>
      <c r="I1095" s="8">
        <v>120.12</v>
      </c>
      <c r="J1095" s="8">
        <v>35900</v>
      </c>
      <c r="K1095" s="3">
        <v>0</v>
      </c>
      <c r="L1095" s="3" t="s">
        <v>3</v>
      </c>
      <c r="M1095" s="9" t="s">
        <v>0</v>
      </c>
      <c r="N1095" s="9" t="s">
        <v>27</v>
      </c>
      <c r="O1095" s="9" t="s">
        <v>346</v>
      </c>
      <c r="P1095" s="9" t="s">
        <v>0</v>
      </c>
      <c r="Q1095" s="9">
        <v>43761098</v>
      </c>
      <c r="R1095" s="9" t="s">
        <v>347</v>
      </c>
      <c r="S1095" s="9" t="s">
        <v>158</v>
      </c>
      <c r="T1095" s="10" t="s">
        <v>84</v>
      </c>
      <c r="U1095" s="10">
        <v>6</v>
      </c>
      <c r="V1095" s="10">
        <v>120.12</v>
      </c>
      <c r="W1095" s="10" t="s">
        <v>710</v>
      </c>
      <c r="X1095" s="17">
        <v>44789</v>
      </c>
      <c r="Y1095" s="17">
        <v>44791</v>
      </c>
      <c r="Z1095" s="19" t="s">
        <v>772</v>
      </c>
      <c r="AA1095" s="210">
        <v>43450</v>
      </c>
      <c r="AB1095" s="9">
        <v>120</v>
      </c>
      <c r="AC1095" s="9">
        <v>19</v>
      </c>
      <c r="AD1095" s="17">
        <v>45503</v>
      </c>
      <c r="AE1095" s="56">
        <v>278.75</v>
      </c>
      <c r="AF1095" s="56"/>
      <c r="AG1095" s="9" t="s">
        <v>134</v>
      </c>
      <c r="AH1095" s="17">
        <v>45562</v>
      </c>
      <c r="AI1095" s="17"/>
      <c r="AJ1095" s="17"/>
      <c r="AK1095" s="9" t="s">
        <v>2172</v>
      </c>
      <c r="AL1095" s="11">
        <v>278.75</v>
      </c>
      <c r="AN1095" s="11" t="s">
        <v>2182</v>
      </c>
      <c r="AP1095" s="11"/>
      <c r="AQ1095" s="11"/>
      <c r="AR1095" s="11"/>
      <c r="AW1095" s="17">
        <v>45562</v>
      </c>
      <c r="AX1095" s="9">
        <v>936135</v>
      </c>
      <c r="AY1095" s="86">
        <v>1042.53</v>
      </c>
      <c r="AZ1095" s="9">
        <v>3.7370000000000001</v>
      </c>
      <c r="BA1095" s="22">
        <f>+AY1095/AZ1095</f>
        <v>278.97511372758896</v>
      </c>
      <c r="BD1095" s="9"/>
      <c r="CS1095" s="11">
        <f t="shared" si="77"/>
        <v>278.75</v>
      </c>
      <c r="CT1095" s="22">
        <f t="shared" si="78"/>
        <v>278.97511372758896</v>
      </c>
      <c r="CU1095" s="22">
        <f t="shared" si="76"/>
        <v>-0.22511372758896186</v>
      </c>
      <c r="CV1095" s="26">
        <f t="shared" si="79"/>
        <v>0</v>
      </c>
    </row>
    <row r="1096" spans="1:103" x14ac:dyDescent="0.2">
      <c r="A1096" s="9" t="s">
        <v>345</v>
      </c>
      <c r="B1096" s="2">
        <v>143</v>
      </c>
      <c r="C1096" s="3" t="s">
        <v>95</v>
      </c>
      <c r="D1096" s="3" t="s">
        <v>96</v>
      </c>
      <c r="E1096" s="2" t="s">
        <v>72</v>
      </c>
      <c r="F1096" s="2">
        <v>16</v>
      </c>
      <c r="G1096" s="2" t="s">
        <v>84</v>
      </c>
      <c r="H1096" s="2">
        <v>6</v>
      </c>
      <c r="I1096" s="8">
        <v>120.12</v>
      </c>
      <c r="J1096" s="8">
        <v>35900</v>
      </c>
      <c r="K1096" s="3">
        <v>0</v>
      </c>
      <c r="L1096" s="3" t="s">
        <v>3</v>
      </c>
      <c r="M1096" s="9" t="s">
        <v>0</v>
      </c>
      <c r="N1096" s="9" t="s">
        <v>27</v>
      </c>
      <c r="O1096" s="9" t="s">
        <v>346</v>
      </c>
      <c r="P1096" s="9" t="s">
        <v>0</v>
      </c>
      <c r="Q1096" s="9">
        <v>43761098</v>
      </c>
      <c r="R1096" s="9" t="s">
        <v>347</v>
      </c>
      <c r="S1096" s="9" t="s">
        <v>158</v>
      </c>
      <c r="T1096" s="10" t="s">
        <v>84</v>
      </c>
      <c r="U1096" s="10">
        <v>6</v>
      </c>
      <c r="V1096" s="10">
        <v>120.12</v>
      </c>
      <c r="W1096" s="10" t="s">
        <v>710</v>
      </c>
      <c r="X1096" s="17">
        <v>44789</v>
      </c>
      <c r="Y1096" s="17">
        <v>44791</v>
      </c>
      <c r="Z1096" s="19" t="s">
        <v>772</v>
      </c>
      <c r="AA1096" s="210">
        <v>43450</v>
      </c>
      <c r="AB1096" s="9">
        <v>120</v>
      </c>
      <c r="AC1096" s="9">
        <v>20</v>
      </c>
      <c r="AD1096" s="17">
        <v>45534</v>
      </c>
      <c r="AE1096" s="56">
        <v>278.75</v>
      </c>
      <c r="AF1096" s="56"/>
      <c r="AG1096" s="9" t="s">
        <v>134</v>
      </c>
      <c r="AH1096" s="17">
        <v>45595</v>
      </c>
      <c r="AI1096" s="17"/>
      <c r="AJ1096" s="17"/>
      <c r="AK1096" s="9" t="s">
        <v>2173</v>
      </c>
      <c r="AL1096" s="11">
        <v>100</v>
      </c>
      <c r="AN1096" s="11" t="s">
        <v>2183</v>
      </c>
      <c r="AP1096" s="11"/>
      <c r="AQ1096" s="11"/>
      <c r="AR1096" s="11"/>
      <c r="AW1096" s="17">
        <v>45595</v>
      </c>
      <c r="AX1096" s="9">
        <v>3335</v>
      </c>
      <c r="AY1096" s="86"/>
      <c r="BA1096" s="86">
        <v>100</v>
      </c>
      <c r="BD1096" s="9"/>
      <c r="CS1096" s="11">
        <f t="shared" si="77"/>
        <v>100</v>
      </c>
      <c r="CT1096" s="22">
        <f t="shared" si="78"/>
        <v>100</v>
      </c>
      <c r="CU1096" s="22">
        <f t="shared" si="76"/>
        <v>0</v>
      </c>
      <c r="CV1096" s="26">
        <f t="shared" si="79"/>
        <v>178.75</v>
      </c>
    </row>
    <row r="1097" spans="1:103" x14ac:dyDescent="0.2">
      <c r="A1097" s="9" t="s">
        <v>345</v>
      </c>
      <c r="B1097" s="2">
        <v>143</v>
      </c>
      <c r="C1097" s="3" t="s">
        <v>95</v>
      </c>
      <c r="D1097" s="3" t="s">
        <v>96</v>
      </c>
      <c r="E1097" s="2" t="s">
        <v>72</v>
      </c>
      <c r="F1097" s="2">
        <v>16</v>
      </c>
      <c r="G1097" s="2" t="s">
        <v>84</v>
      </c>
      <c r="H1097" s="2">
        <v>6</v>
      </c>
      <c r="I1097" s="8">
        <v>120.12</v>
      </c>
      <c r="J1097" s="8">
        <v>35900</v>
      </c>
      <c r="K1097" s="3">
        <v>0</v>
      </c>
      <c r="L1097" s="3" t="s">
        <v>3</v>
      </c>
      <c r="M1097" s="9" t="s">
        <v>0</v>
      </c>
      <c r="N1097" s="9" t="s">
        <v>27</v>
      </c>
      <c r="O1097" s="9" t="s">
        <v>346</v>
      </c>
      <c r="P1097" s="9" t="s">
        <v>0</v>
      </c>
      <c r="Q1097" s="9">
        <v>43761098</v>
      </c>
      <c r="R1097" s="9" t="s">
        <v>347</v>
      </c>
      <c r="S1097" s="9" t="s">
        <v>158</v>
      </c>
      <c r="T1097" s="10" t="s">
        <v>84</v>
      </c>
      <c r="U1097" s="10">
        <v>6</v>
      </c>
      <c r="V1097" s="10">
        <v>120.12</v>
      </c>
      <c r="W1097" s="10" t="s">
        <v>710</v>
      </c>
      <c r="X1097" s="17">
        <v>44789</v>
      </c>
      <c r="Y1097" s="17">
        <v>44791</v>
      </c>
      <c r="Z1097" s="19" t="s">
        <v>772</v>
      </c>
      <c r="AA1097" s="210">
        <v>43450</v>
      </c>
      <c r="AB1097" s="9">
        <v>120</v>
      </c>
      <c r="AC1097" s="9">
        <v>21</v>
      </c>
      <c r="AD1097" s="17">
        <v>45565</v>
      </c>
      <c r="AE1097" s="56">
        <v>278.75</v>
      </c>
      <c r="AF1097" s="56"/>
      <c r="AG1097" s="9" t="s">
        <v>134</v>
      </c>
      <c r="AH1097" s="17">
        <v>45628</v>
      </c>
      <c r="AI1097" s="17"/>
      <c r="AJ1097" s="17"/>
      <c r="AK1097" s="9" t="s">
        <v>2174</v>
      </c>
      <c r="AL1097" s="11">
        <v>100</v>
      </c>
      <c r="AN1097" s="11" t="s">
        <v>2184</v>
      </c>
      <c r="AP1097" s="11"/>
      <c r="AQ1097" s="11"/>
      <c r="AR1097" s="11"/>
      <c r="AW1097" s="17">
        <v>45626</v>
      </c>
      <c r="AX1097" s="9">
        <v>3460</v>
      </c>
      <c r="AY1097" s="86"/>
      <c r="BA1097" s="86">
        <v>100</v>
      </c>
      <c r="BD1097" s="9"/>
      <c r="CS1097" s="11">
        <f t="shared" si="77"/>
        <v>100</v>
      </c>
      <c r="CT1097" s="22">
        <f t="shared" si="78"/>
        <v>100</v>
      </c>
      <c r="CU1097" s="22">
        <f t="shared" si="76"/>
        <v>0</v>
      </c>
      <c r="CV1097" s="26">
        <f t="shared" si="79"/>
        <v>178.75</v>
      </c>
    </row>
    <row r="1098" spans="1:103" x14ac:dyDescent="0.2">
      <c r="A1098" s="9" t="s">
        <v>345</v>
      </c>
      <c r="B1098" s="2">
        <v>143</v>
      </c>
      <c r="C1098" s="3" t="s">
        <v>95</v>
      </c>
      <c r="D1098" s="3" t="s">
        <v>96</v>
      </c>
      <c r="E1098" s="2" t="s">
        <v>72</v>
      </c>
      <c r="F1098" s="2">
        <v>16</v>
      </c>
      <c r="G1098" s="2" t="s">
        <v>84</v>
      </c>
      <c r="H1098" s="2">
        <v>6</v>
      </c>
      <c r="I1098" s="8">
        <v>120.12</v>
      </c>
      <c r="J1098" s="8">
        <v>35900</v>
      </c>
      <c r="K1098" s="3">
        <v>0</v>
      </c>
      <c r="L1098" s="3" t="s">
        <v>3</v>
      </c>
      <c r="M1098" s="9" t="s">
        <v>0</v>
      </c>
      <c r="N1098" s="9" t="s">
        <v>27</v>
      </c>
      <c r="O1098" s="9" t="s">
        <v>346</v>
      </c>
      <c r="P1098" s="9" t="s">
        <v>0</v>
      </c>
      <c r="Q1098" s="9">
        <v>43761098</v>
      </c>
      <c r="R1098" s="9" t="s">
        <v>347</v>
      </c>
      <c r="S1098" s="9" t="s">
        <v>158</v>
      </c>
      <c r="T1098" s="10" t="s">
        <v>84</v>
      </c>
      <c r="U1098" s="10">
        <v>6</v>
      </c>
      <c r="V1098" s="10">
        <v>120.12</v>
      </c>
      <c r="W1098" s="10" t="s">
        <v>710</v>
      </c>
      <c r="X1098" s="17">
        <v>44789</v>
      </c>
      <c r="Y1098" s="17">
        <v>44791</v>
      </c>
      <c r="Z1098" s="19" t="s">
        <v>772</v>
      </c>
      <c r="AA1098" s="210">
        <v>43450</v>
      </c>
      <c r="AB1098" s="9">
        <v>120</v>
      </c>
      <c r="AC1098" s="9">
        <v>22</v>
      </c>
      <c r="AD1098" s="17">
        <v>45595</v>
      </c>
      <c r="AE1098" s="56">
        <v>278.75</v>
      </c>
      <c r="AF1098" s="56"/>
      <c r="AG1098" s="9" t="s">
        <v>134</v>
      </c>
      <c r="AH1098" s="17">
        <v>45659</v>
      </c>
      <c r="AI1098" s="17"/>
      <c r="AJ1098" s="17"/>
      <c r="AK1098" s="9" t="s">
        <v>2222</v>
      </c>
      <c r="AL1098" s="11">
        <v>100</v>
      </c>
      <c r="AM1098" s="9"/>
      <c r="AN1098" s="9" t="s">
        <v>2231</v>
      </c>
      <c r="AP1098" s="11"/>
      <c r="AQ1098" s="11"/>
      <c r="AR1098" s="11"/>
      <c r="AW1098" s="17">
        <v>45657</v>
      </c>
      <c r="AX1098" s="9">
        <v>3564</v>
      </c>
      <c r="AY1098" s="86"/>
      <c r="BA1098" s="86">
        <v>100</v>
      </c>
      <c r="BD1098" s="9"/>
      <c r="CS1098" s="11">
        <f t="shared" si="77"/>
        <v>100</v>
      </c>
      <c r="CT1098" s="22">
        <f t="shared" si="78"/>
        <v>100</v>
      </c>
      <c r="CU1098" s="22">
        <f t="shared" si="76"/>
        <v>0</v>
      </c>
      <c r="CV1098" s="26">
        <f t="shared" si="79"/>
        <v>178.75</v>
      </c>
    </row>
    <row r="1099" spans="1:103" x14ac:dyDescent="0.2">
      <c r="A1099" s="9" t="s">
        <v>345</v>
      </c>
      <c r="B1099" s="2">
        <v>143</v>
      </c>
      <c r="C1099" s="3" t="s">
        <v>95</v>
      </c>
      <c r="D1099" s="3" t="s">
        <v>96</v>
      </c>
      <c r="E1099" s="2" t="s">
        <v>72</v>
      </c>
      <c r="F1099" s="2">
        <v>16</v>
      </c>
      <c r="G1099" s="2" t="s">
        <v>84</v>
      </c>
      <c r="H1099" s="2">
        <v>6</v>
      </c>
      <c r="I1099" s="8">
        <v>120.12</v>
      </c>
      <c r="J1099" s="8">
        <v>35900</v>
      </c>
      <c r="K1099" s="3">
        <v>0</v>
      </c>
      <c r="L1099" s="3" t="s">
        <v>3</v>
      </c>
      <c r="M1099" s="9" t="s">
        <v>0</v>
      </c>
      <c r="N1099" s="9" t="s">
        <v>27</v>
      </c>
      <c r="O1099" s="9" t="s">
        <v>346</v>
      </c>
      <c r="P1099" s="9" t="s">
        <v>0</v>
      </c>
      <c r="Q1099" s="9">
        <v>43761098</v>
      </c>
      <c r="R1099" s="9" t="s">
        <v>347</v>
      </c>
      <c r="S1099" s="9" t="s">
        <v>158</v>
      </c>
      <c r="T1099" s="10" t="s">
        <v>84</v>
      </c>
      <c r="U1099" s="10">
        <v>6</v>
      </c>
      <c r="V1099" s="10">
        <v>120.12</v>
      </c>
      <c r="W1099" s="10" t="s">
        <v>710</v>
      </c>
      <c r="X1099" s="17">
        <v>44789</v>
      </c>
      <c r="Y1099" s="17">
        <v>44791</v>
      </c>
      <c r="Z1099" s="19" t="s">
        <v>772</v>
      </c>
      <c r="AA1099" s="210">
        <v>43450</v>
      </c>
      <c r="AB1099" s="9">
        <v>120</v>
      </c>
      <c r="AC1099" s="9">
        <v>23</v>
      </c>
      <c r="AD1099" s="17">
        <v>45626</v>
      </c>
      <c r="AE1099" s="56">
        <v>278.75</v>
      </c>
      <c r="AF1099" s="56"/>
      <c r="AG1099" s="9" t="s">
        <v>134</v>
      </c>
      <c r="AH1099" s="17">
        <v>45688</v>
      </c>
      <c r="AI1099" s="17"/>
      <c r="AJ1099" s="17"/>
      <c r="AK1099" s="9" t="s">
        <v>2223</v>
      </c>
      <c r="AL1099" s="11">
        <v>100</v>
      </c>
      <c r="AN1099" s="11" t="s">
        <v>2232</v>
      </c>
      <c r="AP1099" s="11"/>
      <c r="AQ1099" s="11"/>
      <c r="AR1099" s="11"/>
      <c r="AW1099" s="17">
        <v>45688</v>
      </c>
      <c r="AX1099" s="9">
        <v>3676</v>
      </c>
      <c r="AY1099" s="86"/>
      <c r="BA1099" s="86">
        <v>100</v>
      </c>
      <c r="BD1099" s="9"/>
      <c r="CS1099" s="11">
        <f t="shared" si="77"/>
        <v>100</v>
      </c>
      <c r="CT1099" s="22">
        <f t="shared" si="78"/>
        <v>100</v>
      </c>
      <c r="CU1099" s="22">
        <f t="shared" si="76"/>
        <v>0</v>
      </c>
      <c r="CV1099" s="26">
        <f t="shared" si="79"/>
        <v>178.75</v>
      </c>
    </row>
    <row r="1100" spans="1:103" x14ac:dyDescent="0.2">
      <c r="A1100" s="9" t="s">
        <v>345</v>
      </c>
      <c r="B1100" s="2">
        <v>143</v>
      </c>
      <c r="C1100" s="3" t="s">
        <v>95</v>
      </c>
      <c r="D1100" s="3" t="s">
        <v>96</v>
      </c>
      <c r="E1100" s="2" t="s">
        <v>72</v>
      </c>
      <c r="F1100" s="2">
        <v>16</v>
      </c>
      <c r="G1100" s="2" t="s">
        <v>84</v>
      </c>
      <c r="H1100" s="2">
        <v>6</v>
      </c>
      <c r="I1100" s="8">
        <v>120.12</v>
      </c>
      <c r="J1100" s="8">
        <v>35900</v>
      </c>
      <c r="K1100" s="3">
        <v>0</v>
      </c>
      <c r="L1100" s="3" t="s">
        <v>3</v>
      </c>
      <c r="M1100" s="9" t="s">
        <v>0</v>
      </c>
      <c r="N1100" s="9" t="s">
        <v>27</v>
      </c>
      <c r="O1100" s="9" t="s">
        <v>346</v>
      </c>
      <c r="P1100" s="9" t="s">
        <v>0</v>
      </c>
      <c r="Q1100" s="9">
        <v>43761098</v>
      </c>
      <c r="R1100" s="9" t="s">
        <v>347</v>
      </c>
      <c r="S1100" s="9" t="s">
        <v>158</v>
      </c>
      <c r="T1100" s="10" t="s">
        <v>84</v>
      </c>
      <c r="U1100" s="10">
        <v>6</v>
      </c>
      <c r="V1100" s="10">
        <v>120.12</v>
      </c>
      <c r="W1100" s="10" t="s">
        <v>710</v>
      </c>
      <c r="X1100" s="17">
        <v>44789</v>
      </c>
      <c r="Y1100" s="17">
        <v>44791</v>
      </c>
      <c r="Z1100" s="19" t="s">
        <v>772</v>
      </c>
      <c r="AA1100" s="210">
        <v>43450</v>
      </c>
      <c r="AB1100" s="9">
        <v>120</v>
      </c>
      <c r="AC1100" s="9">
        <v>24</v>
      </c>
      <c r="AD1100" s="17">
        <v>45656</v>
      </c>
      <c r="AE1100" s="56">
        <v>278.75</v>
      </c>
      <c r="AF1100" s="56"/>
      <c r="AG1100" s="9" t="s">
        <v>134</v>
      </c>
      <c r="AH1100" s="17">
        <v>45716</v>
      </c>
      <c r="AI1100" s="17"/>
      <c r="AJ1100" s="17"/>
      <c r="AK1100" s="9" t="s">
        <v>2224</v>
      </c>
      <c r="AL1100" s="11">
        <v>100</v>
      </c>
      <c r="AN1100" s="11" t="s">
        <v>2233</v>
      </c>
      <c r="AP1100" s="11"/>
      <c r="AQ1100" s="11"/>
      <c r="AR1100" s="11"/>
      <c r="AW1100" s="17">
        <v>45716</v>
      </c>
      <c r="AX1100" s="9">
        <v>3824</v>
      </c>
      <c r="AY1100" s="86"/>
      <c r="BA1100" s="86">
        <v>100</v>
      </c>
      <c r="BD1100" s="9"/>
      <c r="CS1100" s="11">
        <f t="shared" si="77"/>
        <v>100</v>
      </c>
      <c r="CT1100" s="22">
        <f t="shared" si="78"/>
        <v>100</v>
      </c>
      <c r="CU1100" s="22">
        <f t="shared" si="76"/>
        <v>0</v>
      </c>
      <c r="CV1100" s="26">
        <f t="shared" si="79"/>
        <v>178.75</v>
      </c>
    </row>
    <row r="1101" spans="1:103" x14ac:dyDescent="0.2">
      <c r="A1101" s="9" t="s">
        <v>345</v>
      </c>
      <c r="B1101" s="2">
        <v>143</v>
      </c>
      <c r="C1101" s="3" t="s">
        <v>95</v>
      </c>
      <c r="D1101" s="3" t="s">
        <v>96</v>
      </c>
      <c r="E1101" s="2" t="s">
        <v>72</v>
      </c>
      <c r="F1101" s="2">
        <v>16</v>
      </c>
      <c r="G1101" s="2" t="s">
        <v>84</v>
      </c>
      <c r="H1101" s="2">
        <v>6</v>
      </c>
      <c r="I1101" s="8">
        <v>120.12</v>
      </c>
      <c r="J1101" s="8">
        <v>35900</v>
      </c>
      <c r="K1101" s="3">
        <v>0</v>
      </c>
      <c r="L1101" s="3" t="s">
        <v>3</v>
      </c>
      <c r="M1101" s="9" t="s">
        <v>0</v>
      </c>
      <c r="N1101" s="9" t="s">
        <v>27</v>
      </c>
      <c r="O1101" s="9" t="s">
        <v>346</v>
      </c>
      <c r="P1101" s="9" t="s">
        <v>0</v>
      </c>
      <c r="Q1101" s="9">
        <v>43761098</v>
      </c>
      <c r="R1101" s="9" t="s">
        <v>347</v>
      </c>
      <c r="S1101" s="9" t="s">
        <v>158</v>
      </c>
      <c r="T1101" s="10" t="s">
        <v>84</v>
      </c>
      <c r="U1101" s="10">
        <v>6</v>
      </c>
      <c r="V1101" s="10">
        <v>120.12</v>
      </c>
      <c r="W1101" s="10" t="s">
        <v>710</v>
      </c>
      <c r="X1101" s="17">
        <v>44789</v>
      </c>
      <c r="Y1101" s="17">
        <v>44791</v>
      </c>
      <c r="Z1101" s="19" t="s">
        <v>772</v>
      </c>
      <c r="AA1101" s="210">
        <v>43450</v>
      </c>
      <c r="AB1101" s="9">
        <v>120</v>
      </c>
      <c r="AC1101" s="9">
        <v>25</v>
      </c>
      <c r="AD1101" s="17">
        <v>45687</v>
      </c>
      <c r="AE1101" s="56">
        <v>278.75</v>
      </c>
      <c r="AF1101" s="56"/>
      <c r="AG1101" s="9" t="s">
        <v>134</v>
      </c>
      <c r="AH1101" s="17">
        <v>45747</v>
      </c>
      <c r="AI1101" s="17"/>
      <c r="AJ1101" s="17"/>
      <c r="AK1101" s="9" t="s">
        <v>2225</v>
      </c>
      <c r="AL1101" s="11">
        <v>100</v>
      </c>
      <c r="AN1101" s="11" t="s">
        <v>2234</v>
      </c>
      <c r="AP1101" s="11"/>
      <c r="AQ1101" s="11"/>
      <c r="AR1101" s="11"/>
      <c r="AW1101" s="17">
        <v>45747</v>
      </c>
      <c r="AX1101" s="9">
        <v>3944</v>
      </c>
      <c r="AY1101" s="86"/>
      <c r="BA1101" s="86">
        <v>100</v>
      </c>
      <c r="BD1101" s="9"/>
      <c r="CS1101" s="11">
        <f t="shared" si="77"/>
        <v>100</v>
      </c>
      <c r="CT1101" s="22">
        <f t="shared" si="78"/>
        <v>100</v>
      </c>
      <c r="CU1101" s="22">
        <f t="shared" si="76"/>
        <v>0</v>
      </c>
      <c r="CV1101" s="26">
        <f t="shared" si="79"/>
        <v>178.75</v>
      </c>
    </row>
    <row r="1102" spans="1:103" x14ac:dyDescent="0.2">
      <c r="A1102" s="9" t="s">
        <v>345</v>
      </c>
      <c r="B1102" s="2">
        <v>143</v>
      </c>
      <c r="C1102" s="3" t="s">
        <v>95</v>
      </c>
      <c r="D1102" s="3" t="s">
        <v>96</v>
      </c>
      <c r="E1102" s="2" t="s">
        <v>72</v>
      </c>
      <c r="F1102" s="2">
        <v>16</v>
      </c>
      <c r="G1102" s="2" t="s">
        <v>84</v>
      </c>
      <c r="H1102" s="2">
        <v>6</v>
      </c>
      <c r="I1102" s="8">
        <v>120.12</v>
      </c>
      <c r="J1102" s="8">
        <v>35900</v>
      </c>
      <c r="K1102" s="3">
        <v>0</v>
      </c>
      <c r="L1102" s="3" t="s">
        <v>3</v>
      </c>
      <c r="M1102" s="9" t="s">
        <v>0</v>
      </c>
      <c r="N1102" s="9" t="s">
        <v>27</v>
      </c>
      <c r="O1102" s="9" t="s">
        <v>346</v>
      </c>
      <c r="P1102" s="9" t="s">
        <v>0</v>
      </c>
      <c r="Q1102" s="9">
        <v>43761098</v>
      </c>
      <c r="R1102" s="9" t="s">
        <v>347</v>
      </c>
      <c r="S1102" s="9" t="s">
        <v>158</v>
      </c>
      <c r="T1102" s="10" t="s">
        <v>84</v>
      </c>
      <c r="U1102" s="10">
        <v>6</v>
      </c>
      <c r="V1102" s="10">
        <v>120.12</v>
      </c>
      <c r="W1102" s="10" t="s">
        <v>710</v>
      </c>
      <c r="X1102" s="17">
        <v>44789</v>
      </c>
      <c r="Y1102" s="17">
        <v>44791</v>
      </c>
      <c r="Z1102" s="19" t="s">
        <v>772</v>
      </c>
      <c r="AA1102" s="210">
        <v>43450</v>
      </c>
      <c r="AB1102" s="9">
        <v>120</v>
      </c>
      <c r="AC1102" s="9">
        <v>26</v>
      </c>
      <c r="AD1102" s="17">
        <v>45716</v>
      </c>
      <c r="AE1102" s="56">
        <v>278.75</v>
      </c>
      <c r="AF1102" s="56"/>
      <c r="AG1102" s="9" t="s">
        <v>134</v>
      </c>
      <c r="AH1102" s="17">
        <v>45777</v>
      </c>
      <c r="AI1102" s="17"/>
      <c r="AJ1102" s="17"/>
      <c r="AK1102" s="9" t="s">
        <v>2226</v>
      </c>
      <c r="AL1102" s="11">
        <v>100</v>
      </c>
      <c r="AN1102" s="11" t="s">
        <v>2235</v>
      </c>
      <c r="AP1102" s="11"/>
      <c r="AQ1102" s="11"/>
      <c r="AR1102" s="11"/>
      <c r="AW1102" s="17">
        <v>45777</v>
      </c>
      <c r="AX1102" s="9">
        <v>4080</v>
      </c>
      <c r="AY1102" s="86"/>
      <c r="BA1102" s="86">
        <v>100</v>
      </c>
      <c r="BD1102" s="9"/>
      <c r="CS1102" s="11">
        <f t="shared" si="77"/>
        <v>100</v>
      </c>
      <c r="CT1102" s="22">
        <f t="shared" si="78"/>
        <v>100</v>
      </c>
      <c r="CU1102" s="22">
        <f t="shared" si="76"/>
        <v>0</v>
      </c>
      <c r="CV1102" s="26">
        <f t="shared" si="79"/>
        <v>178.75</v>
      </c>
    </row>
    <row r="1103" spans="1:103" x14ac:dyDescent="0.2">
      <c r="A1103" s="9" t="s">
        <v>345</v>
      </c>
      <c r="B1103" s="2">
        <v>143</v>
      </c>
      <c r="C1103" s="3" t="s">
        <v>95</v>
      </c>
      <c r="D1103" s="3" t="s">
        <v>96</v>
      </c>
      <c r="E1103" s="2" t="s">
        <v>72</v>
      </c>
      <c r="F1103" s="2">
        <v>16</v>
      </c>
      <c r="G1103" s="2" t="s">
        <v>84</v>
      </c>
      <c r="H1103" s="2">
        <v>6</v>
      </c>
      <c r="I1103" s="8">
        <v>120.12</v>
      </c>
      <c r="J1103" s="8">
        <v>35900</v>
      </c>
      <c r="K1103" s="3">
        <v>0</v>
      </c>
      <c r="L1103" s="3" t="s">
        <v>3</v>
      </c>
      <c r="M1103" s="9" t="s">
        <v>0</v>
      </c>
      <c r="N1103" s="9" t="s">
        <v>27</v>
      </c>
      <c r="O1103" s="9" t="s">
        <v>346</v>
      </c>
      <c r="P1103" s="9" t="s">
        <v>0</v>
      </c>
      <c r="Q1103" s="9">
        <v>43761098</v>
      </c>
      <c r="R1103" s="9" t="s">
        <v>347</v>
      </c>
      <c r="S1103" s="9" t="s">
        <v>158</v>
      </c>
      <c r="T1103" s="10" t="s">
        <v>84</v>
      </c>
      <c r="U1103" s="10">
        <v>6</v>
      </c>
      <c r="V1103" s="10">
        <v>120.12</v>
      </c>
      <c r="W1103" s="10" t="s">
        <v>710</v>
      </c>
      <c r="X1103" s="17">
        <v>44789</v>
      </c>
      <c r="Y1103" s="17">
        <v>44791</v>
      </c>
      <c r="Z1103" s="19" t="s">
        <v>772</v>
      </c>
      <c r="AA1103" s="210">
        <v>43450</v>
      </c>
      <c r="AB1103" s="9">
        <v>120</v>
      </c>
      <c r="AC1103" s="9">
        <v>27</v>
      </c>
      <c r="AD1103" s="17">
        <v>45746</v>
      </c>
      <c r="AE1103" s="56">
        <v>278.75</v>
      </c>
      <c r="AF1103" s="56"/>
      <c r="AG1103" s="9" t="s">
        <v>134</v>
      </c>
      <c r="AH1103" s="17">
        <v>45810</v>
      </c>
      <c r="AI1103" s="17"/>
      <c r="AJ1103" s="17"/>
      <c r="AK1103" s="9" t="s">
        <v>2227</v>
      </c>
      <c r="AL1103" s="11">
        <v>100</v>
      </c>
      <c r="AN1103" s="11" t="s">
        <v>2236</v>
      </c>
      <c r="AP1103" s="11"/>
      <c r="AQ1103" s="11"/>
      <c r="AR1103" s="11"/>
      <c r="AW1103" s="17">
        <v>45809</v>
      </c>
      <c r="AX1103" s="9">
        <v>4251</v>
      </c>
      <c r="AY1103" s="86"/>
      <c r="BA1103" s="86">
        <v>100</v>
      </c>
      <c r="BD1103" s="9"/>
      <c r="CS1103" s="11">
        <f t="shared" si="77"/>
        <v>100</v>
      </c>
      <c r="CT1103" s="22">
        <f t="shared" si="78"/>
        <v>100</v>
      </c>
      <c r="CU1103" s="22">
        <f t="shared" si="76"/>
        <v>0</v>
      </c>
      <c r="CV1103" s="26">
        <f t="shared" si="79"/>
        <v>178.75</v>
      </c>
    </row>
    <row r="1104" spans="1:103" x14ac:dyDescent="0.2">
      <c r="A1104" s="9" t="s">
        <v>345</v>
      </c>
      <c r="B1104" s="2">
        <v>143</v>
      </c>
      <c r="C1104" s="3" t="s">
        <v>95</v>
      </c>
      <c r="D1104" s="3" t="s">
        <v>96</v>
      </c>
      <c r="E1104" s="2" t="s">
        <v>72</v>
      </c>
      <c r="F1104" s="2">
        <v>16</v>
      </c>
      <c r="G1104" s="2" t="s">
        <v>84</v>
      </c>
      <c r="H1104" s="2">
        <v>6</v>
      </c>
      <c r="I1104" s="8">
        <v>120.12</v>
      </c>
      <c r="J1104" s="8">
        <v>35900</v>
      </c>
      <c r="K1104" s="3">
        <v>0</v>
      </c>
      <c r="L1104" s="3" t="s">
        <v>3</v>
      </c>
      <c r="M1104" s="9" t="s">
        <v>0</v>
      </c>
      <c r="N1104" s="9" t="s">
        <v>27</v>
      </c>
      <c r="O1104" s="9" t="s">
        <v>346</v>
      </c>
      <c r="P1104" s="9" t="s">
        <v>0</v>
      </c>
      <c r="Q1104" s="9">
        <v>43761098</v>
      </c>
      <c r="R1104" s="9" t="s">
        <v>347</v>
      </c>
      <c r="S1104" s="9" t="s">
        <v>158</v>
      </c>
      <c r="T1104" s="10" t="s">
        <v>84</v>
      </c>
      <c r="U1104" s="10">
        <v>6</v>
      </c>
      <c r="V1104" s="10">
        <v>120.12</v>
      </c>
      <c r="W1104" s="10" t="s">
        <v>710</v>
      </c>
      <c r="X1104" s="17">
        <v>44789</v>
      </c>
      <c r="Y1104" s="17">
        <v>44791</v>
      </c>
      <c r="Z1104" s="19" t="s">
        <v>772</v>
      </c>
      <c r="AA1104" s="210">
        <v>43450</v>
      </c>
      <c r="AB1104" s="9">
        <v>120</v>
      </c>
      <c r="AC1104" s="9">
        <v>28</v>
      </c>
      <c r="AD1104" s="17">
        <v>45777</v>
      </c>
      <c r="AE1104" s="56">
        <v>278.75</v>
      </c>
      <c r="AF1104" s="56"/>
      <c r="AG1104" s="9" t="s">
        <v>134</v>
      </c>
      <c r="AH1104" s="17">
        <v>45839</v>
      </c>
      <c r="AI1104" s="17"/>
      <c r="AJ1104" s="17"/>
      <c r="AK1104" s="9" t="s">
        <v>2228</v>
      </c>
      <c r="AL1104" s="11">
        <v>100</v>
      </c>
      <c r="AN1104" s="11" t="s">
        <v>2237</v>
      </c>
      <c r="AP1104" s="11"/>
      <c r="AQ1104" s="11"/>
      <c r="AR1104" s="11"/>
      <c r="AW1104" s="17">
        <v>45839</v>
      </c>
      <c r="AX1104" s="9">
        <v>4355</v>
      </c>
      <c r="AY1104" s="86"/>
      <c r="BA1104" s="86">
        <v>100</v>
      </c>
      <c r="BD1104" s="9"/>
      <c r="CS1104" s="11">
        <f t="shared" si="77"/>
        <v>100</v>
      </c>
      <c r="CT1104" s="22">
        <f t="shared" si="78"/>
        <v>100</v>
      </c>
      <c r="CU1104" s="22">
        <f t="shared" si="76"/>
        <v>0</v>
      </c>
      <c r="CV1104" s="26">
        <f t="shared" si="79"/>
        <v>178.75</v>
      </c>
    </row>
    <row r="1105" spans="1:100" x14ac:dyDescent="0.2">
      <c r="A1105" s="9" t="s">
        <v>345</v>
      </c>
      <c r="B1105" s="2">
        <v>143</v>
      </c>
      <c r="C1105" s="3" t="s">
        <v>95</v>
      </c>
      <c r="D1105" s="3" t="s">
        <v>96</v>
      </c>
      <c r="E1105" s="2" t="s">
        <v>72</v>
      </c>
      <c r="F1105" s="2">
        <v>16</v>
      </c>
      <c r="G1105" s="2" t="s">
        <v>84</v>
      </c>
      <c r="H1105" s="2">
        <v>6</v>
      </c>
      <c r="I1105" s="8">
        <v>120.12</v>
      </c>
      <c r="J1105" s="8">
        <v>35900</v>
      </c>
      <c r="K1105" s="3">
        <v>0</v>
      </c>
      <c r="L1105" s="3" t="s">
        <v>3</v>
      </c>
      <c r="M1105" s="9" t="s">
        <v>0</v>
      </c>
      <c r="N1105" s="9" t="s">
        <v>27</v>
      </c>
      <c r="O1105" s="9" t="s">
        <v>346</v>
      </c>
      <c r="P1105" s="9" t="s">
        <v>0</v>
      </c>
      <c r="Q1105" s="9">
        <v>43761098</v>
      </c>
      <c r="R1105" s="9" t="s">
        <v>347</v>
      </c>
      <c r="S1105" s="9" t="s">
        <v>158</v>
      </c>
      <c r="T1105" s="10" t="s">
        <v>84</v>
      </c>
      <c r="U1105" s="10">
        <v>6</v>
      </c>
      <c r="V1105" s="10">
        <v>120.12</v>
      </c>
      <c r="W1105" s="10" t="s">
        <v>710</v>
      </c>
      <c r="X1105" s="17">
        <v>44789</v>
      </c>
      <c r="Y1105" s="17">
        <v>44791</v>
      </c>
      <c r="Z1105" s="19" t="s">
        <v>772</v>
      </c>
      <c r="AA1105" s="210">
        <v>43450</v>
      </c>
      <c r="AB1105" s="9">
        <v>120</v>
      </c>
      <c r="AC1105" s="9">
        <v>29</v>
      </c>
      <c r="AD1105" s="17">
        <v>45807</v>
      </c>
      <c r="AE1105" s="56">
        <v>278.75</v>
      </c>
      <c r="AF1105" s="56"/>
      <c r="AG1105" s="9" t="s">
        <v>134</v>
      </c>
      <c r="AH1105" s="17">
        <v>45869</v>
      </c>
      <c r="AI1105" s="17"/>
      <c r="AJ1105" s="17"/>
      <c r="AK1105" s="9" t="s">
        <v>2229</v>
      </c>
      <c r="AL1105" s="11">
        <v>100</v>
      </c>
      <c r="AN1105" s="11" t="s">
        <v>2238</v>
      </c>
      <c r="AP1105" s="11"/>
      <c r="AQ1105" s="11"/>
      <c r="AR1105" s="11"/>
      <c r="AW1105" s="17">
        <v>45869</v>
      </c>
      <c r="AX1105" s="9">
        <v>4492</v>
      </c>
      <c r="AY1105" s="86"/>
      <c r="BA1105" s="86">
        <v>100</v>
      </c>
      <c r="BD1105" s="9"/>
      <c r="CS1105" s="11">
        <f t="shared" si="77"/>
        <v>100</v>
      </c>
      <c r="CT1105" s="22">
        <f t="shared" si="78"/>
        <v>100</v>
      </c>
      <c r="CU1105" s="22">
        <f t="shared" si="76"/>
        <v>0</v>
      </c>
      <c r="CV1105" s="26">
        <f t="shared" si="79"/>
        <v>178.75</v>
      </c>
    </row>
    <row r="1106" spans="1:100" x14ac:dyDescent="0.2">
      <c r="A1106" s="9" t="s">
        <v>345</v>
      </c>
      <c r="B1106" s="2">
        <v>143</v>
      </c>
      <c r="C1106" s="3" t="s">
        <v>95</v>
      </c>
      <c r="D1106" s="3" t="s">
        <v>96</v>
      </c>
      <c r="E1106" s="2" t="s">
        <v>72</v>
      </c>
      <c r="F1106" s="2">
        <v>16</v>
      </c>
      <c r="G1106" s="2" t="s">
        <v>84</v>
      </c>
      <c r="H1106" s="2">
        <v>6</v>
      </c>
      <c r="I1106" s="8">
        <v>120.12</v>
      </c>
      <c r="J1106" s="8">
        <v>35900</v>
      </c>
      <c r="K1106" s="3">
        <v>0</v>
      </c>
      <c r="L1106" s="3" t="s">
        <v>3</v>
      </c>
      <c r="M1106" s="9" t="s">
        <v>0</v>
      </c>
      <c r="N1106" s="9" t="s">
        <v>27</v>
      </c>
      <c r="O1106" s="9" t="s">
        <v>346</v>
      </c>
      <c r="P1106" s="9" t="s">
        <v>0</v>
      </c>
      <c r="Q1106" s="9">
        <v>43761098</v>
      </c>
      <c r="R1106" s="9" t="s">
        <v>347</v>
      </c>
      <c r="S1106" s="9" t="s">
        <v>158</v>
      </c>
      <c r="T1106" s="10" t="s">
        <v>84</v>
      </c>
      <c r="U1106" s="10">
        <v>6</v>
      </c>
      <c r="V1106" s="10">
        <v>120.12</v>
      </c>
      <c r="W1106" s="10" t="s">
        <v>710</v>
      </c>
      <c r="X1106" s="17">
        <v>44789</v>
      </c>
      <c r="Y1106" s="17">
        <v>44791</v>
      </c>
      <c r="Z1106" s="19" t="s">
        <v>772</v>
      </c>
      <c r="AA1106" s="210">
        <v>43450</v>
      </c>
      <c r="AB1106" s="9">
        <v>120</v>
      </c>
      <c r="AC1106" s="9">
        <v>30</v>
      </c>
      <c r="AD1106" s="17">
        <v>45838</v>
      </c>
      <c r="AE1106" s="56">
        <v>278.75</v>
      </c>
      <c r="AF1106" s="56"/>
      <c r="AG1106" s="9" t="s">
        <v>134</v>
      </c>
      <c r="AH1106" s="17">
        <v>45898</v>
      </c>
      <c r="AI1106" s="17"/>
      <c r="AJ1106" s="17"/>
      <c r="AK1106" s="9" t="s">
        <v>2230</v>
      </c>
      <c r="AL1106" s="11">
        <v>100</v>
      </c>
      <c r="AN1106" s="11" t="s">
        <v>2239</v>
      </c>
      <c r="AP1106" s="11"/>
      <c r="AQ1106" s="11"/>
      <c r="AR1106" s="11"/>
      <c r="AW1106" s="17">
        <v>45898</v>
      </c>
      <c r="AX1106" s="9">
        <v>4624</v>
      </c>
      <c r="AY1106" s="86"/>
      <c r="BA1106" s="86">
        <v>100</v>
      </c>
      <c r="BD1106" s="9"/>
      <c r="CS1106" s="11">
        <f t="shared" si="77"/>
        <v>100</v>
      </c>
      <c r="CT1106" s="22">
        <f t="shared" si="78"/>
        <v>100</v>
      </c>
      <c r="CU1106" s="22">
        <f t="shared" si="76"/>
        <v>0</v>
      </c>
      <c r="CV1106" s="26">
        <f t="shared" si="79"/>
        <v>178.75</v>
      </c>
    </row>
    <row r="1107" spans="1:100" ht="12.75" x14ac:dyDescent="0.2">
      <c r="A1107" s="9" t="s">
        <v>345</v>
      </c>
      <c r="B1107" s="2">
        <v>143</v>
      </c>
      <c r="C1107" s="3" t="s">
        <v>95</v>
      </c>
      <c r="D1107" s="3" t="s">
        <v>96</v>
      </c>
      <c r="E1107" s="2" t="s">
        <v>72</v>
      </c>
      <c r="F1107" s="2">
        <v>16</v>
      </c>
      <c r="G1107" s="2" t="s">
        <v>84</v>
      </c>
      <c r="H1107" s="2">
        <v>6</v>
      </c>
      <c r="I1107" s="8">
        <v>120.12</v>
      </c>
      <c r="J1107" s="8">
        <v>35900</v>
      </c>
      <c r="K1107" s="3">
        <v>0</v>
      </c>
      <c r="L1107" s="3" t="s">
        <v>3</v>
      </c>
      <c r="M1107" s="9" t="s">
        <v>0</v>
      </c>
      <c r="N1107" s="9" t="s">
        <v>27</v>
      </c>
      <c r="O1107" s="9" t="s">
        <v>346</v>
      </c>
      <c r="P1107" s="9" t="s">
        <v>0</v>
      </c>
      <c r="Q1107" s="9">
        <v>43761098</v>
      </c>
      <c r="R1107" s="9" t="s">
        <v>347</v>
      </c>
      <c r="S1107" s="9" t="s">
        <v>158</v>
      </c>
      <c r="T1107" s="10" t="s">
        <v>84</v>
      </c>
      <c r="U1107" s="10">
        <v>6</v>
      </c>
      <c r="V1107" s="10">
        <v>120.12</v>
      </c>
      <c r="W1107" s="10" t="s">
        <v>710</v>
      </c>
      <c r="X1107" s="17">
        <v>44789</v>
      </c>
      <c r="Y1107" s="17">
        <v>44791</v>
      </c>
      <c r="Z1107" s="19" t="s">
        <v>772</v>
      </c>
      <c r="AA1107" s="210">
        <v>43450</v>
      </c>
      <c r="AB1107" s="9">
        <v>120</v>
      </c>
      <c r="AC1107" s="9">
        <v>31</v>
      </c>
      <c r="AD1107" s="17">
        <v>45868</v>
      </c>
      <c r="AE1107" s="56">
        <v>278.75</v>
      </c>
      <c r="AF1107" s="56"/>
      <c r="AH1107" s="17"/>
      <c r="AI1107" s="17"/>
      <c r="AJ1107" s="17"/>
      <c r="AP1107" s="11"/>
      <c r="AQ1107" s="11"/>
      <c r="AR1107" s="11"/>
      <c r="AW1107" s="97"/>
      <c r="AX1107" s="148"/>
      <c r="AY1107" s="86"/>
      <c r="BD1107" s="9"/>
      <c r="CS1107" s="11">
        <f t="shared" si="77"/>
        <v>0</v>
      </c>
      <c r="CT1107" s="22">
        <f t="shared" si="78"/>
        <v>0</v>
      </c>
      <c r="CU1107" s="22">
        <f t="shared" si="76"/>
        <v>0</v>
      </c>
      <c r="CV1107" s="26">
        <f t="shared" si="79"/>
        <v>278.75</v>
      </c>
    </row>
    <row r="1108" spans="1:100" x14ac:dyDescent="0.2">
      <c r="A1108" s="9" t="s">
        <v>345</v>
      </c>
      <c r="B1108" s="2">
        <v>143</v>
      </c>
      <c r="C1108" s="3" t="s">
        <v>95</v>
      </c>
      <c r="D1108" s="3" t="s">
        <v>96</v>
      </c>
      <c r="E1108" s="2" t="s">
        <v>72</v>
      </c>
      <c r="F1108" s="2">
        <v>16</v>
      </c>
      <c r="G1108" s="2" t="s">
        <v>84</v>
      </c>
      <c r="H1108" s="2">
        <v>6</v>
      </c>
      <c r="I1108" s="8">
        <v>120.12</v>
      </c>
      <c r="J1108" s="8">
        <v>35900</v>
      </c>
      <c r="K1108" s="3">
        <v>0</v>
      </c>
      <c r="L1108" s="3" t="s">
        <v>3</v>
      </c>
      <c r="M1108" s="9" t="s">
        <v>0</v>
      </c>
      <c r="N1108" s="9" t="s">
        <v>27</v>
      </c>
      <c r="O1108" s="9" t="s">
        <v>346</v>
      </c>
      <c r="P1108" s="9" t="s">
        <v>0</v>
      </c>
      <c r="Q1108" s="9">
        <v>43761098</v>
      </c>
      <c r="R1108" s="9" t="s">
        <v>347</v>
      </c>
      <c r="S1108" s="9" t="s">
        <v>158</v>
      </c>
      <c r="T1108" s="10" t="s">
        <v>84</v>
      </c>
      <c r="U1108" s="10">
        <v>6</v>
      </c>
      <c r="V1108" s="10">
        <v>120.12</v>
      </c>
      <c r="W1108" s="10" t="s">
        <v>710</v>
      </c>
      <c r="X1108" s="17">
        <v>44789</v>
      </c>
      <c r="Y1108" s="17">
        <v>44791</v>
      </c>
      <c r="Z1108" s="19" t="s">
        <v>772</v>
      </c>
      <c r="AA1108" s="210">
        <v>43450</v>
      </c>
      <c r="AB1108" s="9">
        <v>120</v>
      </c>
      <c r="AC1108" s="9">
        <v>32</v>
      </c>
      <c r="AD1108" s="17">
        <v>45899</v>
      </c>
      <c r="AE1108" s="56">
        <v>278.75</v>
      </c>
      <c r="AF1108" s="56"/>
      <c r="AH1108" s="17"/>
      <c r="AI1108" s="17"/>
      <c r="AJ1108" s="17"/>
      <c r="AP1108" s="11"/>
      <c r="AQ1108" s="11"/>
      <c r="AR1108" s="11"/>
      <c r="AW1108" s="9"/>
      <c r="BD1108" s="9"/>
      <c r="CS1108" s="11">
        <f t="shared" si="77"/>
        <v>0</v>
      </c>
      <c r="CT1108" s="22">
        <f t="shared" si="78"/>
        <v>0</v>
      </c>
      <c r="CU1108" s="22">
        <f t="shared" si="76"/>
        <v>0</v>
      </c>
      <c r="CV1108" s="26">
        <f t="shared" si="79"/>
        <v>278.75</v>
      </c>
    </row>
    <row r="1109" spans="1:100" x14ac:dyDescent="0.2">
      <c r="A1109" s="9" t="s">
        <v>345</v>
      </c>
      <c r="B1109" s="2">
        <v>143</v>
      </c>
      <c r="C1109" s="3" t="s">
        <v>95</v>
      </c>
      <c r="D1109" s="3" t="s">
        <v>96</v>
      </c>
      <c r="E1109" s="2" t="s">
        <v>72</v>
      </c>
      <c r="F1109" s="2">
        <v>16</v>
      </c>
      <c r="G1109" s="2" t="s">
        <v>84</v>
      </c>
      <c r="H1109" s="2">
        <v>6</v>
      </c>
      <c r="I1109" s="8">
        <v>120.12</v>
      </c>
      <c r="J1109" s="8">
        <v>35900</v>
      </c>
      <c r="K1109" s="3">
        <v>0</v>
      </c>
      <c r="L1109" s="3" t="s">
        <v>3</v>
      </c>
      <c r="M1109" s="9" t="s">
        <v>0</v>
      </c>
      <c r="N1109" s="9" t="s">
        <v>27</v>
      </c>
      <c r="O1109" s="9" t="s">
        <v>346</v>
      </c>
      <c r="P1109" s="9" t="s">
        <v>0</v>
      </c>
      <c r="Q1109" s="9">
        <v>43761098</v>
      </c>
      <c r="R1109" s="9" t="s">
        <v>347</v>
      </c>
      <c r="S1109" s="9" t="s">
        <v>158</v>
      </c>
      <c r="T1109" s="10" t="s">
        <v>84</v>
      </c>
      <c r="U1109" s="10">
        <v>6</v>
      </c>
      <c r="V1109" s="10">
        <v>120.12</v>
      </c>
      <c r="W1109" s="10" t="s">
        <v>710</v>
      </c>
      <c r="X1109" s="17">
        <v>44789</v>
      </c>
      <c r="Y1109" s="17">
        <v>44791</v>
      </c>
      <c r="Z1109" s="19" t="s">
        <v>772</v>
      </c>
      <c r="AA1109" s="210">
        <v>43450</v>
      </c>
      <c r="AB1109" s="9">
        <v>120</v>
      </c>
      <c r="AC1109" s="9">
        <v>33</v>
      </c>
      <c r="AD1109" s="17">
        <v>45930</v>
      </c>
      <c r="AE1109" s="56">
        <v>278.75</v>
      </c>
      <c r="AF1109" s="56"/>
      <c r="AH1109" s="17"/>
      <c r="AI1109" s="17"/>
      <c r="AJ1109" s="17"/>
      <c r="AP1109" s="11"/>
      <c r="AQ1109" s="11"/>
      <c r="AR1109" s="11"/>
      <c r="AW1109" s="9"/>
      <c r="BD1109" s="9"/>
      <c r="CS1109" s="11">
        <f t="shared" si="77"/>
        <v>0</v>
      </c>
      <c r="CT1109" s="22">
        <f t="shared" si="78"/>
        <v>0</v>
      </c>
      <c r="CU1109" s="22">
        <f t="shared" si="76"/>
        <v>0</v>
      </c>
      <c r="CV1109" s="26">
        <f t="shared" si="79"/>
        <v>278.75</v>
      </c>
    </row>
    <row r="1110" spans="1:100" x14ac:dyDescent="0.2">
      <c r="A1110" s="9" t="s">
        <v>345</v>
      </c>
      <c r="B1110" s="2">
        <v>143</v>
      </c>
      <c r="C1110" s="3" t="s">
        <v>95</v>
      </c>
      <c r="D1110" s="3" t="s">
        <v>96</v>
      </c>
      <c r="E1110" s="2" t="s">
        <v>72</v>
      </c>
      <c r="F1110" s="2">
        <v>16</v>
      </c>
      <c r="G1110" s="2" t="s">
        <v>84</v>
      </c>
      <c r="H1110" s="2">
        <v>6</v>
      </c>
      <c r="I1110" s="8">
        <v>120.12</v>
      </c>
      <c r="J1110" s="8">
        <v>35900</v>
      </c>
      <c r="K1110" s="3">
        <v>0</v>
      </c>
      <c r="L1110" s="3" t="s">
        <v>3</v>
      </c>
      <c r="M1110" s="9" t="s">
        <v>0</v>
      </c>
      <c r="N1110" s="9" t="s">
        <v>27</v>
      </c>
      <c r="O1110" s="9" t="s">
        <v>346</v>
      </c>
      <c r="P1110" s="9" t="s">
        <v>0</v>
      </c>
      <c r="Q1110" s="9">
        <v>43761098</v>
      </c>
      <c r="R1110" s="9" t="s">
        <v>347</v>
      </c>
      <c r="S1110" s="9" t="s">
        <v>158</v>
      </c>
      <c r="T1110" s="10" t="s">
        <v>84</v>
      </c>
      <c r="U1110" s="10">
        <v>6</v>
      </c>
      <c r="V1110" s="10">
        <v>120.12</v>
      </c>
      <c r="W1110" s="10" t="s">
        <v>710</v>
      </c>
      <c r="X1110" s="17">
        <v>44789</v>
      </c>
      <c r="Y1110" s="17">
        <v>44791</v>
      </c>
      <c r="Z1110" s="19" t="s">
        <v>772</v>
      </c>
      <c r="AA1110" s="210">
        <v>43450</v>
      </c>
      <c r="AB1110" s="9">
        <v>120</v>
      </c>
      <c r="AC1110" s="9">
        <v>34</v>
      </c>
      <c r="AD1110" s="17">
        <v>45960</v>
      </c>
      <c r="AE1110" s="56">
        <v>278.75</v>
      </c>
      <c r="AF1110" s="56"/>
      <c r="AH1110" s="17"/>
      <c r="AI1110" s="17"/>
      <c r="AJ1110" s="17"/>
      <c r="AP1110" s="11"/>
      <c r="AQ1110" s="11"/>
      <c r="AR1110" s="11"/>
      <c r="AW1110" s="9"/>
      <c r="BD1110" s="9"/>
      <c r="CS1110" s="11">
        <f t="shared" si="77"/>
        <v>0</v>
      </c>
      <c r="CT1110" s="22">
        <f t="shared" si="78"/>
        <v>0</v>
      </c>
      <c r="CU1110" s="22">
        <f t="shared" si="76"/>
        <v>0</v>
      </c>
      <c r="CV1110" s="26">
        <f t="shared" si="79"/>
        <v>278.75</v>
      </c>
    </row>
    <row r="1111" spans="1:100" x14ac:dyDescent="0.2">
      <c r="A1111" s="9" t="s">
        <v>345</v>
      </c>
      <c r="B1111" s="2">
        <v>143</v>
      </c>
      <c r="C1111" s="3" t="s">
        <v>95</v>
      </c>
      <c r="D1111" s="3" t="s">
        <v>96</v>
      </c>
      <c r="E1111" s="2" t="s">
        <v>72</v>
      </c>
      <c r="F1111" s="2">
        <v>16</v>
      </c>
      <c r="G1111" s="2" t="s">
        <v>84</v>
      </c>
      <c r="H1111" s="2">
        <v>6</v>
      </c>
      <c r="I1111" s="8">
        <v>120.12</v>
      </c>
      <c r="J1111" s="8">
        <v>35900</v>
      </c>
      <c r="K1111" s="3">
        <v>0</v>
      </c>
      <c r="L1111" s="3" t="s">
        <v>3</v>
      </c>
      <c r="M1111" s="9" t="s">
        <v>0</v>
      </c>
      <c r="N1111" s="9" t="s">
        <v>27</v>
      </c>
      <c r="O1111" s="9" t="s">
        <v>346</v>
      </c>
      <c r="P1111" s="9" t="s">
        <v>0</v>
      </c>
      <c r="Q1111" s="9">
        <v>43761098</v>
      </c>
      <c r="R1111" s="9" t="s">
        <v>347</v>
      </c>
      <c r="S1111" s="9" t="s">
        <v>158</v>
      </c>
      <c r="T1111" s="10" t="s">
        <v>84</v>
      </c>
      <c r="U1111" s="10">
        <v>6</v>
      </c>
      <c r="V1111" s="10">
        <v>120.12</v>
      </c>
      <c r="W1111" s="10" t="s">
        <v>710</v>
      </c>
      <c r="X1111" s="17">
        <v>44789</v>
      </c>
      <c r="Y1111" s="17">
        <v>44791</v>
      </c>
      <c r="Z1111" s="19" t="s">
        <v>772</v>
      </c>
      <c r="AA1111" s="210">
        <v>43450</v>
      </c>
      <c r="AB1111" s="9">
        <v>120</v>
      </c>
      <c r="AC1111" s="9">
        <v>35</v>
      </c>
      <c r="AD1111" s="17">
        <v>45991</v>
      </c>
      <c r="AE1111" s="56">
        <v>278.75</v>
      </c>
      <c r="AF1111" s="56"/>
      <c r="AP1111" s="11"/>
      <c r="AQ1111" s="11"/>
      <c r="AR1111" s="11"/>
      <c r="AW1111" s="9"/>
      <c r="BD1111" s="9"/>
      <c r="CS1111" s="11">
        <f t="shared" si="77"/>
        <v>0</v>
      </c>
      <c r="CT1111" s="22">
        <f t="shared" si="78"/>
        <v>0</v>
      </c>
      <c r="CU1111" s="22">
        <f t="shared" si="76"/>
        <v>0</v>
      </c>
      <c r="CV1111" s="26">
        <f t="shared" si="79"/>
        <v>278.75</v>
      </c>
    </row>
    <row r="1112" spans="1:100" x14ac:dyDescent="0.2">
      <c r="A1112" s="9" t="s">
        <v>345</v>
      </c>
      <c r="B1112" s="2">
        <v>143</v>
      </c>
      <c r="C1112" s="3" t="s">
        <v>95</v>
      </c>
      <c r="D1112" s="3" t="s">
        <v>96</v>
      </c>
      <c r="E1112" s="2" t="s">
        <v>72</v>
      </c>
      <c r="F1112" s="2">
        <v>16</v>
      </c>
      <c r="G1112" s="2" t="s">
        <v>84</v>
      </c>
      <c r="H1112" s="2">
        <v>6</v>
      </c>
      <c r="I1112" s="8">
        <v>120.12</v>
      </c>
      <c r="J1112" s="8">
        <v>35900</v>
      </c>
      <c r="K1112" s="3">
        <v>0</v>
      </c>
      <c r="L1112" s="3" t="s">
        <v>3</v>
      </c>
      <c r="M1112" s="9" t="s">
        <v>0</v>
      </c>
      <c r="N1112" s="9" t="s">
        <v>27</v>
      </c>
      <c r="O1112" s="9" t="s">
        <v>346</v>
      </c>
      <c r="P1112" s="9" t="s">
        <v>0</v>
      </c>
      <c r="Q1112" s="9">
        <v>43761098</v>
      </c>
      <c r="R1112" s="9" t="s">
        <v>347</v>
      </c>
      <c r="S1112" s="9" t="s">
        <v>158</v>
      </c>
      <c r="T1112" s="10" t="s">
        <v>84</v>
      </c>
      <c r="U1112" s="10">
        <v>6</v>
      </c>
      <c r="V1112" s="10">
        <v>120.12</v>
      </c>
      <c r="W1112" s="10" t="s">
        <v>710</v>
      </c>
      <c r="X1112" s="17">
        <v>44789</v>
      </c>
      <c r="Y1112" s="17">
        <v>44791</v>
      </c>
      <c r="Z1112" s="19" t="s">
        <v>772</v>
      </c>
      <c r="AA1112" s="210">
        <v>43450</v>
      </c>
      <c r="AB1112" s="9">
        <v>120</v>
      </c>
      <c r="AC1112" s="9">
        <v>36</v>
      </c>
      <c r="AD1112" s="17">
        <v>46021</v>
      </c>
      <c r="AE1112" s="56">
        <v>278.75</v>
      </c>
      <c r="AF1112" s="56"/>
      <c r="AP1112" s="11"/>
      <c r="AQ1112" s="11"/>
      <c r="AR1112" s="11"/>
      <c r="AW1112" s="9"/>
      <c r="BD1112" s="9"/>
      <c r="CS1112" s="11">
        <f t="shared" si="77"/>
        <v>0</v>
      </c>
      <c r="CT1112" s="22">
        <f t="shared" si="78"/>
        <v>0</v>
      </c>
      <c r="CU1112" s="22">
        <f t="shared" si="76"/>
        <v>0</v>
      </c>
      <c r="CV1112" s="26">
        <f t="shared" si="79"/>
        <v>278.75</v>
      </c>
    </row>
    <row r="1113" spans="1:100" x14ac:dyDescent="0.2">
      <c r="A1113" s="9" t="s">
        <v>345</v>
      </c>
      <c r="B1113" s="2">
        <v>143</v>
      </c>
      <c r="C1113" s="3" t="s">
        <v>95</v>
      </c>
      <c r="D1113" s="3" t="s">
        <v>96</v>
      </c>
      <c r="E1113" s="2" t="s">
        <v>72</v>
      </c>
      <c r="F1113" s="2">
        <v>16</v>
      </c>
      <c r="G1113" s="2" t="s">
        <v>84</v>
      </c>
      <c r="H1113" s="2">
        <v>6</v>
      </c>
      <c r="I1113" s="8">
        <v>120.12</v>
      </c>
      <c r="J1113" s="8">
        <v>35900</v>
      </c>
      <c r="K1113" s="3">
        <v>0</v>
      </c>
      <c r="L1113" s="3" t="s">
        <v>3</v>
      </c>
      <c r="M1113" s="9" t="s">
        <v>0</v>
      </c>
      <c r="N1113" s="9" t="s">
        <v>27</v>
      </c>
      <c r="O1113" s="9" t="s">
        <v>346</v>
      </c>
      <c r="P1113" s="9" t="s">
        <v>0</v>
      </c>
      <c r="Q1113" s="9">
        <v>43761098</v>
      </c>
      <c r="R1113" s="9" t="s">
        <v>347</v>
      </c>
      <c r="S1113" s="9" t="s">
        <v>158</v>
      </c>
      <c r="T1113" s="10" t="s">
        <v>84</v>
      </c>
      <c r="U1113" s="10">
        <v>6</v>
      </c>
      <c r="V1113" s="10">
        <v>120.12</v>
      </c>
      <c r="W1113" s="10" t="s">
        <v>710</v>
      </c>
      <c r="X1113" s="17">
        <v>44789</v>
      </c>
      <c r="Y1113" s="17">
        <v>44791</v>
      </c>
      <c r="Z1113" s="19" t="s">
        <v>772</v>
      </c>
      <c r="AA1113" s="210">
        <v>43450</v>
      </c>
      <c r="AB1113" s="9">
        <v>120</v>
      </c>
      <c r="AC1113" s="9">
        <v>37</v>
      </c>
      <c r="AD1113" s="17">
        <v>46052</v>
      </c>
      <c r="AE1113" s="56">
        <v>278.75</v>
      </c>
      <c r="AF1113" s="56"/>
      <c r="AP1113" s="11"/>
      <c r="AQ1113" s="11"/>
      <c r="AR1113" s="11"/>
      <c r="AW1113" s="9"/>
      <c r="BD1113" s="9"/>
      <c r="CS1113" s="11">
        <f t="shared" si="77"/>
        <v>0</v>
      </c>
      <c r="CT1113" s="22">
        <f t="shared" si="78"/>
        <v>0</v>
      </c>
      <c r="CU1113" s="22">
        <f t="shared" si="76"/>
        <v>0</v>
      </c>
      <c r="CV1113" s="26">
        <f t="shared" si="79"/>
        <v>278.75</v>
      </c>
    </row>
    <row r="1114" spans="1:100" x14ac:dyDescent="0.2">
      <c r="A1114" s="9" t="s">
        <v>345</v>
      </c>
      <c r="B1114" s="2">
        <v>143</v>
      </c>
      <c r="C1114" s="3" t="s">
        <v>95</v>
      </c>
      <c r="D1114" s="3" t="s">
        <v>96</v>
      </c>
      <c r="E1114" s="2" t="s">
        <v>72</v>
      </c>
      <c r="F1114" s="2">
        <v>16</v>
      </c>
      <c r="G1114" s="2" t="s">
        <v>84</v>
      </c>
      <c r="H1114" s="2">
        <v>6</v>
      </c>
      <c r="I1114" s="8">
        <v>120.12</v>
      </c>
      <c r="J1114" s="8">
        <v>35900</v>
      </c>
      <c r="K1114" s="3">
        <v>0</v>
      </c>
      <c r="L1114" s="3" t="s">
        <v>3</v>
      </c>
      <c r="M1114" s="9" t="s">
        <v>0</v>
      </c>
      <c r="N1114" s="9" t="s">
        <v>27</v>
      </c>
      <c r="O1114" s="9" t="s">
        <v>346</v>
      </c>
      <c r="P1114" s="9" t="s">
        <v>0</v>
      </c>
      <c r="Q1114" s="9">
        <v>43761098</v>
      </c>
      <c r="R1114" s="9" t="s">
        <v>347</v>
      </c>
      <c r="S1114" s="9" t="s">
        <v>158</v>
      </c>
      <c r="T1114" s="10" t="s">
        <v>84</v>
      </c>
      <c r="U1114" s="10">
        <v>6</v>
      </c>
      <c r="V1114" s="10">
        <v>120.12</v>
      </c>
      <c r="W1114" s="10" t="s">
        <v>710</v>
      </c>
      <c r="X1114" s="17">
        <v>44789</v>
      </c>
      <c r="Y1114" s="17">
        <v>44791</v>
      </c>
      <c r="Z1114" s="19" t="s">
        <v>772</v>
      </c>
      <c r="AA1114" s="210">
        <v>43450</v>
      </c>
      <c r="AB1114" s="9">
        <v>120</v>
      </c>
      <c r="AC1114" s="9">
        <v>38</v>
      </c>
      <c r="AD1114" s="17">
        <v>46081</v>
      </c>
      <c r="AE1114" s="56">
        <v>278.75</v>
      </c>
      <c r="AF1114" s="56"/>
      <c r="AP1114" s="11"/>
      <c r="AQ1114" s="11"/>
      <c r="AR1114" s="11"/>
      <c r="AW1114" s="9"/>
      <c r="BD1114" s="9"/>
      <c r="CS1114" s="11">
        <f t="shared" si="77"/>
        <v>0</v>
      </c>
      <c r="CT1114" s="22">
        <f t="shared" si="78"/>
        <v>0</v>
      </c>
      <c r="CU1114" s="22">
        <f t="shared" si="76"/>
        <v>0</v>
      </c>
      <c r="CV1114" s="26">
        <f t="shared" si="79"/>
        <v>278.75</v>
      </c>
    </row>
    <row r="1115" spans="1:100" x14ac:dyDescent="0.2">
      <c r="A1115" s="9" t="s">
        <v>345</v>
      </c>
      <c r="B1115" s="2">
        <v>143</v>
      </c>
      <c r="C1115" s="3" t="s">
        <v>95</v>
      </c>
      <c r="D1115" s="3" t="s">
        <v>96</v>
      </c>
      <c r="E1115" s="2" t="s">
        <v>72</v>
      </c>
      <c r="F1115" s="2">
        <v>16</v>
      </c>
      <c r="G1115" s="2" t="s">
        <v>84</v>
      </c>
      <c r="H1115" s="2">
        <v>6</v>
      </c>
      <c r="I1115" s="8">
        <v>120.12</v>
      </c>
      <c r="J1115" s="8">
        <v>35900</v>
      </c>
      <c r="K1115" s="3">
        <v>0</v>
      </c>
      <c r="L1115" s="3" t="s">
        <v>3</v>
      </c>
      <c r="M1115" s="9" t="s">
        <v>0</v>
      </c>
      <c r="N1115" s="9" t="s">
        <v>27</v>
      </c>
      <c r="O1115" s="9" t="s">
        <v>346</v>
      </c>
      <c r="P1115" s="9" t="s">
        <v>0</v>
      </c>
      <c r="Q1115" s="9">
        <v>43761098</v>
      </c>
      <c r="R1115" s="9" t="s">
        <v>347</v>
      </c>
      <c r="S1115" s="9" t="s">
        <v>158</v>
      </c>
      <c r="T1115" s="10" t="s">
        <v>84</v>
      </c>
      <c r="U1115" s="10">
        <v>6</v>
      </c>
      <c r="V1115" s="10">
        <v>120.12</v>
      </c>
      <c r="W1115" s="10" t="s">
        <v>710</v>
      </c>
      <c r="X1115" s="17">
        <v>44789</v>
      </c>
      <c r="Y1115" s="17">
        <v>44791</v>
      </c>
      <c r="Z1115" s="19" t="s">
        <v>772</v>
      </c>
      <c r="AA1115" s="210">
        <v>43450</v>
      </c>
      <c r="AB1115" s="9">
        <v>120</v>
      </c>
      <c r="AC1115" s="9">
        <v>39</v>
      </c>
      <c r="AD1115" s="17">
        <v>46111</v>
      </c>
      <c r="AE1115" s="56">
        <v>278.75</v>
      </c>
      <c r="AF1115" s="56"/>
      <c r="AP1115" s="11"/>
      <c r="AQ1115" s="11"/>
      <c r="AR1115" s="11"/>
      <c r="AW1115" s="9"/>
      <c r="BD1115" s="9"/>
      <c r="CS1115" s="11">
        <f t="shared" si="77"/>
        <v>0</v>
      </c>
      <c r="CT1115" s="22">
        <f t="shared" si="78"/>
        <v>0</v>
      </c>
      <c r="CU1115" s="22">
        <f t="shared" si="76"/>
        <v>0</v>
      </c>
      <c r="CV1115" s="26">
        <f t="shared" si="79"/>
        <v>278.75</v>
      </c>
    </row>
    <row r="1116" spans="1:100" x14ac:dyDescent="0.2">
      <c r="A1116" s="9" t="s">
        <v>345</v>
      </c>
      <c r="B1116" s="2">
        <v>143</v>
      </c>
      <c r="C1116" s="3" t="s">
        <v>95</v>
      </c>
      <c r="D1116" s="3" t="s">
        <v>96</v>
      </c>
      <c r="E1116" s="2" t="s">
        <v>72</v>
      </c>
      <c r="F1116" s="2">
        <v>16</v>
      </c>
      <c r="G1116" s="2" t="s">
        <v>84</v>
      </c>
      <c r="H1116" s="2">
        <v>6</v>
      </c>
      <c r="I1116" s="8">
        <v>120.12</v>
      </c>
      <c r="J1116" s="8">
        <v>35900</v>
      </c>
      <c r="K1116" s="3">
        <v>0</v>
      </c>
      <c r="L1116" s="3" t="s">
        <v>3</v>
      </c>
      <c r="M1116" s="9" t="s">
        <v>0</v>
      </c>
      <c r="N1116" s="9" t="s">
        <v>27</v>
      </c>
      <c r="O1116" s="9" t="s">
        <v>346</v>
      </c>
      <c r="P1116" s="9" t="s">
        <v>0</v>
      </c>
      <c r="Q1116" s="9">
        <v>43761098</v>
      </c>
      <c r="R1116" s="9" t="s">
        <v>347</v>
      </c>
      <c r="S1116" s="9" t="s">
        <v>158</v>
      </c>
      <c r="T1116" s="10" t="s">
        <v>84</v>
      </c>
      <c r="U1116" s="10">
        <v>6</v>
      </c>
      <c r="V1116" s="10">
        <v>120.12</v>
      </c>
      <c r="W1116" s="10" t="s">
        <v>710</v>
      </c>
      <c r="X1116" s="17">
        <v>44789</v>
      </c>
      <c r="Y1116" s="17">
        <v>44791</v>
      </c>
      <c r="Z1116" s="19" t="s">
        <v>772</v>
      </c>
      <c r="AA1116" s="210">
        <v>43450</v>
      </c>
      <c r="AB1116" s="9">
        <v>120</v>
      </c>
      <c r="AC1116" s="9">
        <v>40</v>
      </c>
      <c r="AD1116" s="17">
        <v>46142</v>
      </c>
      <c r="AE1116" s="56">
        <v>278.75</v>
      </c>
      <c r="AF1116" s="56"/>
      <c r="AP1116" s="11"/>
      <c r="AQ1116" s="11"/>
      <c r="AR1116" s="11"/>
      <c r="AW1116" s="9"/>
      <c r="BD1116" s="9"/>
      <c r="CS1116" s="11">
        <f t="shared" si="77"/>
        <v>0</v>
      </c>
      <c r="CT1116" s="22">
        <f t="shared" si="78"/>
        <v>0</v>
      </c>
      <c r="CU1116" s="22">
        <f t="shared" ref="CU1116:CU1179" si="80">+CS1116-CT1116</f>
        <v>0</v>
      </c>
      <c r="CV1116" s="26">
        <f t="shared" si="79"/>
        <v>278.75</v>
      </c>
    </row>
    <row r="1117" spans="1:100" x14ac:dyDescent="0.2">
      <c r="A1117" s="9" t="s">
        <v>345</v>
      </c>
      <c r="B1117" s="2">
        <v>143</v>
      </c>
      <c r="C1117" s="3" t="s">
        <v>95</v>
      </c>
      <c r="D1117" s="3" t="s">
        <v>96</v>
      </c>
      <c r="E1117" s="2" t="s">
        <v>72</v>
      </c>
      <c r="F1117" s="2">
        <v>16</v>
      </c>
      <c r="G1117" s="2" t="s">
        <v>84</v>
      </c>
      <c r="H1117" s="2">
        <v>6</v>
      </c>
      <c r="I1117" s="8">
        <v>120.12</v>
      </c>
      <c r="J1117" s="8">
        <v>35900</v>
      </c>
      <c r="K1117" s="3">
        <v>0</v>
      </c>
      <c r="L1117" s="3" t="s">
        <v>3</v>
      </c>
      <c r="M1117" s="9" t="s">
        <v>0</v>
      </c>
      <c r="N1117" s="9" t="s">
        <v>27</v>
      </c>
      <c r="O1117" s="9" t="s">
        <v>346</v>
      </c>
      <c r="P1117" s="9" t="s">
        <v>0</v>
      </c>
      <c r="Q1117" s="9">
        <v>43761098</v>
      </c>
      <c r="R1117" s="9" t="s">
        <v>347</v>
      </c>
      <c r="S1117" s="9" t="s">
        <v>158</v>
      </c>
      <c r="T1117" s="10" t="s">
        <v>84</v>
      </c>
      <c r="U1117" s="10">
        <v>6</v>
      </c>
      <c r="V1117" s="10">
        <v>120.12</v>
      </c>
      <c r="W1117" s="10" t="s">
        <v>710</v>
      </c>
      <c r="X1117" s="17">
        <v>44789</v>
      </c>
      <c r="Y1117" s="17">
        <v>44791</v>
      </c>
      <c r="Z1117" s="19" t="s">
        <v>772</v>
      </c>
      <c r="AA1117" s="210">
        <v>43450</v>
      </c>
      <c r="AB1117" s="9">
        <v>120</v>
      </c>
      <c r="AC1117" s="9">
        <v>41</v>
      </c>
      <c r="AD1117" s="17">
        <v>46172</v>
      </c>
      <c r="AE1117" s="56">
        <v>278.75</v>
      </c>
      <c r="AF1117" s="56"/>
      <c r="AP1117" s="11"/>
      <c r="AQ1117" s="11"/>
      <c r="AR1117" s="11"/>
      <c r="AW1117" s="9"/>
      <c r="BD1117" s="9"/>
      <c r="CS1117" s="11">
        <f t="shared" si="77"/>
        <v>0</v>
      </c>
      <c r="CT1117" s="22">
        <f t="shared" si="78"/>
        <v>0</v>
      </c>
      <c r="CU1117" s="22">
        <f t="shared" si="80"/>
        <v>0</v>
      </c>
      <c r="CV1117" s="26">
        <f t="shared" si="79"/>
        <v>278.75</v>
      </c>
    </row>
    <row r="1118" spans="1:100" x14ac:dyDescent="0.2">
      <c r="A1118" s="9" t="s">
        <v>345</v>
      </c>
      <c r="B1118" s="2">
        <v>143</v>
      </c>
      <c r="C1118" s="3" t="s">
        <v>95</v>
      </c>
      <c r="D1118" s="3" t="s">
        <v>96</v>
      </c>
      <c r="E1118" s="2" t="s">
        <v>72</v>
      </c>
      <c r="F1118" s="2">
        <v>16</v>
      </c>
      <c r="G1118" s="2" t="s">
        <v>84</v>
      </c>
      <c r="H1118" s="2">
        <v>6</v>
      </c>
      <c r="I1118" s="8">
        <v>120.12</v>
      </c>
      <c r="J1118" s="8">
        <v>35900</v>
      </c>
      <c r="K1118" s="3">
        <v>0</v>
      </c>
      <c r="L1118" s="3" t="s">
        <v>3</v>
      </c>
      <c r="M1118" s="9" t="s">
        <v>0</v>
      </c>
      <c r="N1118" s="9" t="s">
        <v>27</v>
      </c>
      <c r="O1118" s="9" t="s">
        <v>346</v>
      </c>
      <c r="P1118" s="9" t="s">
        <v>0</v>
      </c>
      <c r="Q1118" s="9">
        <v>43761098</v>
      </c>
      <c r="R1118" s="9" t="s">
        <v>347</v>
      </c>
      <c r="S1118" s="9" t="s">
        <v>158</v>
      </c>
      <c r="T1118" s="10" t="s">
        <v>84</v>
      </c>
      <c r="U1118" s="10">
        <v>6</v>
      </c>
      <c r="V1118" s="10">
        <v>120.12</v>
      </c>
      <c r="W1118" s="10" t="s">
        <v>710</v>
      </c>
      <c r="X1118" s="17">
        <v>44789</v>
      </c>
      <c r="Y1118" s="17">
        <v>44791</v>
      </c>
      <c r="Z1118" s="19" t="s">
        <v>772</v>
      </c>
      <c r="AA1118" s="210">
        <v>43450</v>
      </c>
      <c r="AB1118" s="9">
        <v>120</v>
      </c>
      <c r="AC1118" s="9">
        <v>42</v>
      </c>
      <c r="AD1118" s="17">
        <v>46203</v>
      </c>
      <c r="AE1118" s="56">
        <v>278.75</v>
      </c>
      <c r="AF1118" s="56"/>
      <c r="AP1118" s="11"/>
      <c r="AQ1118" s="11"/>
      <c r="AR1118" s="11"/>
      <c r="AW1118" s="9"/>
      <c r="BD1118" s="9"/>
      <c r="CS1118" s="11">
        <f t="shared" si="77"/>
        <v>0</v>
      </c>
      <c r="CT1118" s="22">
        <f t="shared" si="78"/>
        <v>0</v>
      </c>
      <c r="CU1118" s="22">
        <f t="shared" si="80"/>
        <v>0</v>
      </c>
      <c r="CV1118" s="26">
        <f t="shared" si="79"/>
        <v>278.75</v>
      </c>
    </row>
    <row r="1119" spans="1:100" x14ac:dyDescent="0.2">
      <c r="A1119" s="9" t="s">
        <v>345</v>
      </c>
      <c r="B1119" s="2">
        <v>143</v>
      </c>
      <c r="C1119" s="3" t="s">
        <v>95</v>
      </c>
      <c r="D1119" s="3" t="s">
        <v>96</v>
      </c>
      <c r="E1119" s="2" t="s">
        <v>72</v>
      </c>
      <c r="F1119" s="2">
        <v>16</v>
      </c>
      <c r="G1119" s="2" t="s">
        <v>84</v>
      </c>
      <c r="H1119" s="2">
        <v>6</v>
      </c>
      <c r="I1119" s="8">
        <v>120.12</v>
      </c>
      <c r="J1119" s="8">
        <v>35900</v>
      </c>
      <c r="K1119" s="3">
        <v>0</v>
      </c>
      <c r="L1119" s="3" t="s">
        <v>3</v>
      </c>
      <c r="M1119" s="9" t="s">
        <v>0</v>
      </c>
      <c r="N1119" s="9" t="s">
        <v>27</v>
      </c>
      <c r="O1119" s="9" t="s">
        <v>346</v>
      </c>
      <c r="P1119" s="9" t="s">
        <v>0</v>
      </c>
      <c r="Q1119" s="9">
        <v>43761098</v>
      </c>
      <c r="R1119" s="9" t="s">
        <v>347</v>
      </c>
      <c r="S1119" s="9" t="s">
        <v>158</v>
      </c>
      <c r="T1119" s="10" t="s">
        <v>84</v>
      </c>
      <c r="U1119" s="10">
        <v>6</v>
      </c>
      <c r="V1119" s="10">
        <v>120.12</v>
      </c>
      <c r="W1119" s="10" t="s">
        <v>710</v>
      </c>
      <c r="X1119" s="17">
        <v>44789</v>
      </c>
      <c r="Y1119" s="17">
        <v>44791</v>
      </c>
      <c r="Z1119" s="19" t="s">
        <v>772</v>
      </c>
      <c r="AA1119" s="210">
        <v>43450</v>
      </c>
      <c r="AB1119" s="9">
        <v>120</v>
      </c>
      <c r="AC1119" s="9">
        <v>43</v>
      </c>
      <c r="AD1119" s="17">
        <v>46233</v>
      </c>
      <c r="AE1119" s="56">
        <v>278.75</v>
      </c>
      <c r="AF1119" s="56"/>
      <c r="AP1119" s="11"/>
      <c r="AQ1119" s="11"/>
      <c r="AR1119" s="11"/>
      <c r="AW1119" s="9"/>
      <c r="BD1119" s="9"/>
      <c r="CS1119" s="11">
        <f t="shared" si="77"/>
        <v>0</v>
      </c>
      <c r="CT1119" s="22">
        <f t="shared" si="78"/>
        <v>0</v>
      </c>
      <c r="CU1119" s="22">
        <f t="shared" si="80"/>
        <v>0</v>
      </c>
      <c r="CV1119" s="26">
        <f t="shared" si="79"/>
        <v>278.75</v>
      </c>
    </row>
    <row r="1120" spans="1:100" x14ac:dyDescent="0.2">
      <c r="A1120" s="9" t="s">
        <v>345</v>
      </c>
      <c r="B1120" s="2">
        <v>143</v>
      </c>
      <c r="C1120" s="3" t="s">
        <v>95</v>
      </c>
      <c r="D1120" s="3" t="s">
        <v>96</v>
      </c>
      <c r="E1120" s="2" t="s">
        <v>72</v>
      </c>
      <c r="F1120" s="2">
        <v>16</v>
      </c>
      <c r="G1120" s="2" t="s">
        <v>84</v>
      </c>
      <c r="H1120" s="2">
        <v>6</v>
      </c>
      <c r="I1120" s="8">
        <v>120.12</v>
      </c>
      <c r="J1120" s="8">
        <v>35900</v>
      </c>
      <c r="K1120" s="3">
        <v>0</v>
      </c>
      <c r="L1120" s="3" t="s">
        <v>3</v>
      </c>
      <c r="M1120" s="9" t="s">
        <v>0</v>
      </c>
      <c r="N1120" s="9" t="s">
        <v>27</v>
      </c>
      <c r="O1120" s="9" t="s">
        <v>346</v>
      </c>
      <c r="P1120" s="9" t="s">
        <v>0</v>
      </c>
      <c r="Q1120" s="9">
        <v>43761098</v>
      </c>
      <c r="R1120" s="9" t="s">
        <v>347</v>
      </c>
      <c r="S1120" s="9" t="s">
        <v>158</v>
      </c>
      <c r="T1120" s="10" t="s">
        <v>84</v>
      </c>
      <c r="U1120" s="10">
        <v>6</v>
      </c>
      <c r="V1120" s="10">
        <v>120.12</v>
      </c>
      <c r="W1120" s="10" t="s">
        <v>710</v>
      </c>
      <c r="X1120" s="17">
        <v>44789</v>
      </c>
      <c r="Y1120" s="17">
        <v>44791</v>
      </c>
      <c r="Z1120" s="19" t="s">
        <v>772</v>
      </c>
      <c r="AA1120" s="210">
        <v>43450</v>
      </c>
      <c r="AB1120" s="9">
        <v>120</v>
      </c>
      <c r="AC1120" s="9">
        <v>44</v>
      </c>
      <c r="AD1120" s="17">
        <v>46264</v>
      </c>
      <c r="AE1120" s="56">
        <v>278.75</v>
      </c>
      <c r="AF1120" s="56"/>
      <c r="AP1120" s="11"/>
      <c r="AQ1120" s="11"/>
      <c r="AR1120" s="11"/>
      <c r="AW1120" s="9"/>
      <c r="BD1120" s="9"/>
      <c r="CS1120" s="11">
        <f t="shared" si="77"/>
        <v>0</v>
      </c>
      <c r="CT1120" s="22">
        <f t="shared" si="78"/>
        <v>0</v>
      </c>
      <c r="CU1120" s="22">
        <f t="shared" si="80"/>
        <v>0</v>
      </c>
      <c r="CV1120" s="26">
        <f t="shared" si="79"/>
        <v>278.75</v>
      </c>
    </row>
    <row r="1121" spans="1:100" x14ac:dyDescent="0.2">
      <c r="A1121" s="9" t="s">
        <v>345</v>
      </c>
      <c r="B1121" s="2">
        <v>143</v>
      </c>
      <c r="C1121" s="3" t="s">
        <v>95</v>
      </c>
      <c r="D1121" s="3" t="s">
        <v>96</v>
      </c>
      <c r="E1121" s="2" t="s">
        <v>72</v>
      </c>
      <c r="F1121" s="2">
        <v>16</v>
      </c>
      <c r="G1121" s="2" t="s">
        <v>84</v>
      </c>
      <c r="H1121" s="2">
        <v>6</v>
      </c>
      <c r="I1121" s="8">
        <v>120.12</v>
      </c>
      <c r="J1121" s="8">
        <v>35900</v>
      </c>
      <c r="K1121" s="3">
        <v>0</v>
      </c>
      <c r="L1121" s="3" t="s">
        <v>3</v>
      </c>
      <c r="M1121" s="9" t="s">
        <v>0</v>
      </c>
      <c r="N1121" s="9" t="s">
        <v>27</v>
      </c>
      <c r="O1121" s="9" t="s">
        <v>346</v>
      </c>
      <c r="P1121" s="9" t="s">
        <v>0</v>
      </c>
      <c r="Q1121" s="9">
        <v>43761098</v>
      </c>
      <c r="R1121" s="9" t="s">
        <v>347</v>
      </c>
      <c r="S1121" s="9" t="s">
        <v>158</v>
      </c>
      <c r="T1121" s="10" t="s">
        <v>84</v>
      </c>
      <c r="U1121" s="10">
        <v>6</v>
      </c>
      <c r="V1121" s="10">
        <v>120.12</v>
      </c>
      <c r="W1121" s="10" t="s">
        <v>710</v>
      </c>
      <c r="X1121" s="17">
        <v>44789</v>
      </c>
      <c r="Y1121" s="17">
        <v>44791</v>
      </c>
      <c r="Z1121" s="19" t="s">
        <v>772</v>
      </c>
      <c r="AA1121" s="210">
        <v>43450</v>
      </c>
      <c r="AB1121" s="9">
        <v>120</v>
      </c>
      <c r="AC1121" s="9">
        <v>45</v>
      </c>
      <c r="AD1121" s="17">
        <v>46295</v>
      </c>
      <c r="AE1121" s="56">
        <v>278.75</v>
      </c>
      <c r="AF1121" s="56"/>
      <c r="AP1121" s="11"/>
      <c r="AQ1121" s="11"/>
      <c r="AR1121" s="11"/>
      <c r="AW1121" s="9"/>
      <c r="BD1121" s="9"/>
      <c r="CS1121" s="11">
        <f t="shared" si="77"/>
        <v>0</v>
      </c>
      <c r="CT1121" s="22">
        <f t="shared" si="78"/>
        <v>0</v>
      </c>
      <c r="CU1121" s="22">
        <f t="shared" si="80"/>
        <v>0</v>
      </c>
      <c r="CV1121" s="26">
        <f t="shared" si="79"/>
        <v>278.75</v>
      </c>
    </row>
    <row r="1122" spans="1:100" x14ac:dyDescent="0.2">
      <c r="A1122" s="9" t="s">
        <v>345</v>
      </c>
      <c r="B1122" s="2">
        <v>143</v>
      </c>
      <c r="C1122" s="3" t="s">
        <v>95</v>
      </c>
      <c r="D1122" s="3" t="s">
        <v>96</v>
      </c>
      <c r="E1122" s="2" t="s">
        <v>72</v>
      </c>
      <c r="F1122" s="2">
        <v>16</v>
      </c>
      <c r="G1122" s="2" t="s">
        <v>84</v>
      </c>
      <c r="H1122" s="2">
        <v>6</v>
      </c>
      <c r="I1122" s="8">
        <v>120.12</v>
      </c>
      <c r="J1122" s="8">
        <v>35900</v>
      </c>
      <c r="K1122" s="3">
        <v>0</v>
      </c>
      <c r="L1122" s="3" t="s">
        <v>3</v>
      </c>
      <c r="M1122" s="9" t="s">
        <v>0</v>
      </c>
      <c r="N1122" s="9" t="s">
        <v>27</v>
      </c>
      <c r="O1122" s="9" t="s">
        <v>346</v>
      </c>
      <c r="P1122" s="9" t="s">
        <v>0</v>
      </c>
      <c r="Q1122" s="9">
        <v>43761098</v>
      </c>
      <c r="R1122" s="9" t="s">
        <v>347</v>
      </c>
      <c r="S1122" s="9" t="s">
        <v>158</v>
      </c>
      <c r="T1122" s="10" t="s">
        <v>84</v>
      </c>
      <c r="U1122" s="10">
        <v>6</v>
      </c>
      <c r="V1122" s="10">
        <v>120.12</v>
      </c>
      <c r="W1122" s="10" t="s">
        <v>710</v>
      </c>
      <c r="X1122" s="17">
        <v>44789</v>
      </c>
      <c r="Y1122" s="17">
        <v>44791</v>
      </c>
      <c r="Z1122" s="19" t="s">
        <v>772</v>
      </c>
      <c r="AA1122" s="210">
        <v>43450</v>
      </c>
      <c r="AB1122" s="9">
        <v>120</v>
      </c>
      <c r="AC1122" s="9">
        <v>46</v>
      </c>
      <c r="AD1122" s="17">
        <v>46325</v>
      </c>
      <c r="AE1122" s="56">
        <v>278.75</v>
      </c>
      <c r="AF1122" s="56"/>
      <c r="AP1122" s="11"/>
      <c r="AQ1122" s="11"/>
      <c r="AR1122" s="11"/>
      <c r="AW1122" s="9"/>
      <c r="BD1122" s="9"/>
      <c r="CS1122" s="11">
        <f t="shared" si="77"/>
        <v>0</v>
      </c>
      <c r="CT1122" s="22">
        <f t="shared" si="78"/>
        <v>0</v>
      </c>
      <c r="CU1122" s="22">
        <f t="shared" si="80"/>
        <v>0</v>
      </c>
      <c r="CV1122" s="26">
        <f t="shared" si="79"/>
        <v>278.75</v>
      </c>
    </row>
    <row r="1123" spans="1:100" x14ac:dyDescent="0.2">
      <c r="A1123" s="9" t="s">
        <v>345</v>
      </c>
      <c r="B1123" s="2">
        <v>143</v>
      </c>
      <c r="C1123" s="3" t="s">
        <v>95</v>
      </c>
      <c r="D1123" s="3" t="s">
        <v>96</v>
      </c>
      <c r="E1123" s="2" t="s">
        <v>72</v>
      </c>
      <c r="F1123" s="2">
        <v>16</v>
      </c>
      <c r="G1123" s="2" t="s">
        <v>84</v>
      </c>
      <c r="H1123" s="2">
        <v>6</v>
      </c>
      <c r="I1123" s="8">
        <v>120.12</v>
      </c>
      <c r="J1123" s="8">
        <v>35900</v>
      </c>
      <c r="K1123" s="3">
        <v>0</v>
      </c>
      <c r="L1123" s="3" t="s">
        <v>3</v>
      </c>
      <c r="M1123" s="9" t="s">
        <v>0</v>
      </c>
      <c r="N1123" s="9" t="s">
        <v>27</v>
      </c>
      <c r="O1123" s="9" t="s">
        <v>346</v>
      </c>
      <c r="P1123" s="9" t="s">
        <v>0</v>
      </c>
      <c r="Q1123" s="9">
        <v>43761098</v>
      </c>
      <c r="R1123" s="9" t="s">
        <v>347</v>
      </c>
      <c r="S1123" s="9" t="s">
        <v>158</v>
      </c>
      <c r="T1123" s="10" t="s">
        <v>84</v>
      </c>
      <c r="U1123" s="10">
        <v>6</v>
      </c>
      <c r="V1123" s="10">
        <v>120.12</v>
      </c>
      <c r="W1123" s="10" t="s">
        <v>710</v>
      </c>
      <c r="X1123" s="17">
        <v>44789</v>
      </c>
      <c r="Y1123" s="17">
        <v>44791</v>
      </c>
      <c r="Z1123" s="19" t="s">
        <v>772</v>
      </c>
      <c r="AA1123" s="210">
        <v>43450</v>
      </c>
      <c r="AB1123" s="9">
        <v>120</v>
      </c>
      <c r="AC1123" s="9">
        <v>47</v>
      </c>
      <c r="AD1123" s="17">
        <v>46356</v>
      </c>
      <c r="AE1123" s="56">
        <v>278.75</v>
      </c>
      <c r="AF1123" s="56"/>
      <c r="AP1123" s="11"/>
      <c r="AQ1123" s="11"/>
      <c r="AR1123" s="11"/>
      <c r="AW1123" s="9"/>
      <c r="BD1123" s="9"/>
      <c r="CS1123" s="11">
        <f t="shared" si="77"/>
        <v>0</v>
      </c>
      <c r="CT1123" s="22">
        <f t="shared" si="78"/>
        <v>0</v>
      </c>
      <c r="CU1123" s="22">
        <f t="shared" si="80"/>
        <v>0</v>
      </c>
      <c r="CV1123" s="26">
        <f t="shared" si="79"/>
        <v>278.75</v>
      </c>
    </row>
    <row r="1124" spans="1:100" x14ac:dyDescent="0.2">
      <c r="A1124" s="9" t="s">
        <v>345</v>
      </c>
      <c r="B1124" s="2">
        <v>143</v>
      </c>
      <c r="C1124" s="3" t="s">
        <v>95</v>
      </c>
      <c r="D1124" s="3" t="s">
        <v>96</v>
      </c>
      <c r="E1124" s="2" t="s">
        <v>72</v>
      </c>
      <c r="F1124" s="2">
        <v>16</v>
      </c>
      <c r="G1124" s="2" t="s">
        <v>84</v>
      </c>
      <c r="H1124" s="2">
        <v>6</v>
      </c>
      <c r="I1124" s="8">
        <v>120.12</v>
      </c>
      <c r="J1124" s="8">
        <v>35900</v>
      </c>
      <c r="K1124" s="3">
        <v>0</v>
      </c>
      <c r="L1124" s="3" t="s">
        <v>3</v>
      </c>
      <c r="M1124" s="9" t="s">
        <v>0</v>
      </c>
      <c r="N1124" s="9" t="s">
        <v>27</v>
      </c>
      <c r="O1124" s="9" t="s">
        <v>346</v>
      </c>
      <c r="P1124" s="9" t="s">
        <v>0</v>
      </c>
      <c r="Q1124" s="9">
        <v>43761098</v>
      </c>
      <c r="R1124" s="9" t="s">
        <v>347</v>
      </c>
      <c r="S1124" s="9" t="s">
        <v>158</v>
      </c>
      <c r="T1124" s="10" t="s">
        <v>84</v>
      </c>
      <c r="U1124" s="10">
        <v>6</v>
      </c>
      <c r="V1124" s="10">
        <v>120.12</v>
      </c>
      <c r="W1124" s="10" t="s">
        <v>710</v>
      </c>
      <c r="X1124" s="17">
        <v>44789</v>
      </c>
      <c r="Y1124" s="17">
        <v>44791</v>
      </c>
      <c r="Z1124" s="19" t="s">
        <v>772</v>
      </c>
      <c r="AA1124" s="210">
        <v>43450</v>
      </c>
      <c r="AB1124" s="9">
        <v>120</v>
      </c>
      <c r="AC1124" s="9">
        <v>48</v>
      </c>
      <c r="AD1124" s="17">
        <v>46386</v>
      </c>
      <c r="AE1124" s="56">
        <v>278.75</v>
      </c>
      <c r="AF1124" s="56"/>
      <c r="AP1124" s="11"/>
      <c r="AQ1124" s="11"/>
      <c r="AR1124" s="11"/>
      <c r="AW1124" s="9"/>
      <c r="BD1124" s="9"/>
      <c r="CS1124" s="11">
        <f t="shared" si="77"/>
        <v>0</v>
      </c>
      <c r="CT1124" s="22">
        <f t="shared" si="78"/>
        <v>0</v>
      </c>
      <c r="CU1124" s="22">
        <f t="shared" si="80"/>
        <v>0</v>
      </c>
      <c r="CV1124" s="26">
        <f t="shared" si="79"/>
        <v>278.75</v>
      </c>
    </row>
    <row r="1125" spans="1:100" x14ac:dyDescent="0.2">
      <c r="A1125" s="9" t="s">
        <v>345</v>
      </c>
      <c r="B1125" s="2">
        <v>143</v>
      </c>
      <c r="C1125" s="3" t="s">
        <v>95</v>
      </c>
      <c r="D1125" s="3" t="s">
        <v>96</v>
      </c>
      <c r="E1125" s="2" t="s">
        <v>72</v>
      </c>
      <c r="F1125" s="2">
        <v>16</v>
      </c>
      <c r="G1125" s="2" t="s">
        <v>84</v>
      </c>
      <c r="H1125" s="2">
        <v>6</v>
      </c>
      <c r="I1125" s="8">
        <v>120.12</v>
      </c>
      <c r="J1125" s="8">
        <v>35900</v>
      </c>
      <c r="K1125" s="3">
        <v>0</v>
      </c>
      <c r="L1125" s="3" t="s">
        <v>3</v>
      </c>
      <c r="M1125" s="9" t="s">
        <v>0</v>
      </c>
      <c r="N1125" s="9" t="s">
        <v>27</v>
      </c>
      <c r="O1125" s="9" t="s">
        <v>346</v>
      </c>
      <c r="P1125" s="9" t="s">
        <v>0</v>
      </c>
      <c r="Q1125" s="9">
        <v>43761098</v>
      </c>
      <c r="R1125" s="9" t="s">
        <v>347</v>
      </c>
      <c r="S1125" s="9" t="s">
        <v>158</v>
      </c>
      <c r="T1125" s="10" t="s">
        <v>84</v>
      </c>
      <c r="U1125" s="10">
        <v>6</v>
      </c>
      <c r="V1125" s="10">
        <v>120.12</v>
      </c>
      <c r="W1125" s="10" t="s">
        <v>710</v>
      </c>
      <c r="X1125" s="17">
        <v>44789</v>
      </c>
      <c r="Y1125" s="17">
        <v>44791</v>
      </c>
      <c r="Z1125" s="19" t="s">
        <v>772</v>
      </c>
      <c r="AA1125" s="210">
        <v>43450</v>
      </c>
      <c r="AB1125" s="9">
        <v>120</v>
      </c>
      <c r="AC1125" s="9">
        <v>49</v>
      </c>
      <c r="AD1125" s="17">
        <v>46417</v>
      </c>
      <c r="AE1125" s="56">
        <v>278.75</v>
      </c>
      <c r="AF1125" s="56"/>
      <c r="AP1125" s="11"/>
      <c r="AQ1125" s="11"/>
      <c r="AR1125" s="11"/>
      <c r="AW1125" s="9"/>
      <c r="BD1125" s="9"/>
      <c r="CS1125" s="11">
        <f t="shared" si="77"/>
        <v>0</v>
      </c>
      <c r="CT1125" s="22">
        <f t="shared" si="78"/>
        <v>0</v>
      </c>
      <c r="CU1125" s="22">
        <f t="shared" si="80"/>
        <v>0</v>
      </c>
      <c r="CV1125" s="26">
        <f t="shared" si="79"/>
        <v>278.75</v>
      </c>
    </row>
    <row r="1126" spans="1:100" x14ac:dyDescent="0.2">
      <c r="A1126" s="9" t="s">
        <v>345</v>
      </c>
      <c r="B1126" s="2">
        <v>143</v>
      </c>
      <c r="C1126" s="3" t="s">
        <v>95</v>
      </c>
      <c r="D1126" s="3" t="s">
        <v>96</v>
      </c>
      <c r="E1126" s="2" t="s">
        <v>72</v>
      </c>
      <c r="F1126" s="2">
        <v>16</v>
      </c>
      <c r="G1126" s="2" t="s">
        <v>84</v>
      </c>
      <c r="H1126" s="2">
        <v>6</v>
      </c>
      <c r="I1126" s="8">
        <v>120.12</v>
      </c>
      <c r="J1126" s="8">
        <v>35900</v>
      </c>
      <c r="K1126" s="3">
        <v>0</v>
      </c>
      <c r="L1126" s="3" t="s">
        <v>3</v>
      </c>
      <c r="M1126" s="9" t="s">
        <v>0</v>
      </c>
      <c r="N1126" s="9" t="s">
        <v>27</v>
      </c>
      <c r="O1126" s="9" t="s">
        <v>346</v>
      </c>
      <c r="P1126" s="9" t="s">
        <v>0</v>
      </c>
      <c r="Q1126" s="9">
        <v>43761098</v>
      </c>
      <c r="R1126" s="9" t="s">
        <v>347</v>
      </c>
      <c r="S1126" s="9" t="s">
        <v>158</v>
      </c>
      <c r="T1126" s="10" t="s">
        <v>84</v>
      </c>
      <c r="U1126" s="10">
        <v>6</v>
      </c>
      <c r="V1126" s="10">
        <v>120.12</v>
      </c>
      <c r="W1126" s="10" t="s">
        <v>710</v>
      </c>
      <c r="X1126" s="17">
        <v>44789</v>
      </c>
      <c r="Y1126" s="17">
        <v>44791</v>
      </c>
      <c r="Z1126" s="19" t="s">
        <v>772</v>
      </c>
      <c r="AA1126" s="210">
        <v>43450</v>
      </c>
      <c r="AB1126" s="9">
        <v>120</v>
      </c>
      <c r="AC1126" s="9">
        <v>50</v>
      </c>
      <c r="AD1126" s="17">
        <v>46446</v>
      </c>
      <c r="AE1126" s="56">
        <v>278.75</v>
      </c>
      <c r="AF1126" s="56"/>
      <c r="AP1126" s="11"/>
      <c r="AQ1126" s="11"/>
      <c r="AR1126" s="11"/>
      <c r="AW1126" s="9"/>
      <c r="BD1126" s="9"/>
      <c r="CS1126" s="11">
        <f t="shared" si="77"/>
        <v>0</v>
      </c>
      <c r="CT1126" s="22">
        <f t="shared" si="78"/>
        <v>0</v>
      </c>
      <c r="CU1126" s="22">
        <f t="shared" si="80"/>
        <v>0</v>
      </c>
      <c r="CV1126" s="26">
        <f t="shared" si="79"/>
        <v>278.75</v>
      </c>
    </row>
    <row r="1127" spans="1:100" x14ac:dyDescent="0.2">
      <c r="A1127" s="9" t="s">
        <v>345</v>
      </c>
      <c r="B1127" s="2">
        <v>143</v>
      </c>
      <c r="C1127" s="3" t="s">
        <v>95</v>
      </c>
      <c r="D1127" s="3" t="s">
        <v>96</v>
      </c>
      <c r="E1127" s="2" t="s">
        <v>72</v>
      </c>
      <c r="F1127" s="2">
        <v>16</v>
      </c>
      <c r="G1127" s="2" t="s">
        <v>84</v>
      </c>
      <c r="H1127" s="2">
        <v>6</v>
      </c>
      <c r="I1127" s="8">
        <v>120.12</v>
      </c>
      <c r="J1127" s="8">
        <v>35900</v>
      </c>
      <c r="K1127" s="3">
        <v>0</v>
      </c>
      <c r="L1127" s="3" t="s">
        <v>3</v>
      </c>
      <c r="M1127" s="9" t="s">
        <v>0</v>
      </c>
      <c r="N1127" s="9" t="s">
        <v>27</v>
      </c>
      <c r="O1127" s="9" t="s">
        <v>346</v>
      </c>
      <c r="P1127" s="9" t="s">
        <v>0</v>
      </c>
      <c r="Q1127" s="9">
        <v>43761098</v>
      </c>
      <c r="R1127" s="9" t="s">
        <v>347</v>
      </c>
      <c r="S1127" s="9" t="s">
        <v>158</v>
      </c>
      <c r="T1127" s="10" t="s">
        <v>84</v>
      </c>
      <c r="U1127" s="10">
        <v>6</v>
      </c>
      <c r="V1127" s="10">
        <v>120.12</v>
      </c>
      <c r="W1127" s="10" t="s">
        <v>710</v>
      </c>
      <c r="X1127" s="17">
        <v>44789</v>
      </c>
      <c r="Y1127" s="17">
        <v>44791</v>
      </c>
      <c r="Z1127" s="19" t="s">
        <v>772</v>
      </c>
      <c r="AA1127" s="210">
        <v>43450</v>
      </c>
      <c r="AB1127" s="9">
        <v>120</v>
      </c>
      <c r="AC1127" s="9">
        <v>51</v>
      </c>
      <c r="AD1127" s="17">
        <v>46476</v>
      </c>
      <c r="AE1127" s="56">
        <v>278.75</v>
      </c>
      <c r="AF1127" s="56"/>
      <c r="AP1127" s="11"/>
      <c r="AQ1127" s="11"/>
      <c r="AR1127" s="11"/>
      <c r="AW1127" s="9"/>
      <c r="BD1127" s="9"/>
      <c r="CS1127" s="11">
        <f t="shared" si="77"/>
        <v>0</v>
      </c>
      <c r="CT1127" s="22">
        <f t="shared" si="78"/>
        <v>0</v>
      </c>
      <c r="CU1127" s="22">
        <f t="shared" si="80"/>
        <v>0</v>
      </c>
      <c r="CV1127" s="26">
        <f t="shared" si="79"/>
        <v>278.75</v>
      </c>
    </row>
    <row r="1128" spans="1:100" x14ac:dyDescent="0.2">
      <c r="A1128" s="9" t="s">
        <v>345</v>
      </c>
      <c r="B1128" s="2">
        <v>143</v>
      </c>
      <c r="C1128" s="3" t="s">
        <v>95</v>
      </c>
      <c r="D1128" s="3" t="s">
        <v>96</v>
      </c>
      <c r="E1128" s="2" t="s">
        <v>72</v>
      </c>
      <c r="F1128" s="2">
        <v>16</v>
      </c>
      <c r="G1128" s="2" t="s">
        <v>84</v>
      </c>
      <c r="H1128" s="2">
        <v>6</v>
      </c>
      <c r="I1128" s="8">
        <v>120.12</v>
      </c>
      <c r="J1128" s="8">
        <v>35900</v>
      </c>
      <c r="K1128" s="3">
        <v>0</v>
      </c>
      <c r="L1128" s="3" t="s">
        <v>3</v>
      </c>
      <c r="M1128" s="9" t="s">
        <v>0</v>
      </c>
      <c r="N1128" s="9" t="s">
        <v>27</v>
      </c>
      <c r="O1128" s="9" t="s">
        <v>346</v>
      </c>
      <c r="P1128" s="9" t="s">
        <v>0</v>
      </c>
      <c r="Q1128" s="9">
        <v>43761098</v>
      </c>
      <c r="R1128" s="9" t="s">
        <v>347</v>
      </c>
      <c r="S1128" s="9" t="s">
        <v>158</v>
      </c>
      <c r="T1128" s="10" t="s">
        <v>84</v>
      </c>
      <c r="U1128" s="10">
        <v>6</v>
      </c>
      <c r="V1128" s="10">
        <v>120.12</v>
      </c>
      <c r="W1128" s="10" t="s">
        <v>710</v>
      </c>
      <c r="X1128" s="17">
        <v>44789</v>
      </c>
      <c r="Y1128" s="17">
        <v>44791</v>
      </c>
      <c r="Z1128" s="19" t="s">
        <v>772</v>
      </c>
      <c r="AA1128" s="210">
        <v>43450</v>
      </c>
      <c r="AB1128" s="9">
        <v>120</v>
      </c>
      <c r="AC1128" s="9">
        <v>52</v>
      </c>
      <c r="AD1128" s="17">
        <v>46507</v>
      </c>
      <c r="AE1128" s="56">
        <v>278.75</v>
      </c>
      <c r="AF1128" s="56"/>
      <c r="AP1128" s="11"/>
      <c r="AQ1128" s="11"/>
      <c r="AR1128" s="11"/>
      <c r="AW1128" s="9"/>
      <c r="BD1128" s="9"/>
      <c r="CS1128" s="11">
        <f t="shared" si="77"/>
        <v>0</v>
      </c>
      <c r="CT1128" s="22">
        <f t="shared" si="78"/>
        <v>0</v>
      </c>
      <c r="CU1128" s="22">
        <f t="shared" si="80"/>
        <v>0</v>
      </c>
      <c r="CV1128" s="26">
        <f t="shared" si="79"/>
        <v>278.75</v>
      </c>
    </row>
    <row r="1129" spans="1:100" x14ac:dyDescent="0.2">
      <c r="A1129" s="9" t="s">
        <v>345</v>
      </c>
      <c r="B1129" s="2">
        <v>143</v>
      </c>
      <c r="C1129" s="3" t="s">
        <v>95</v>
      </c>
      <c r="D1129" s="3" t="s">
        <v>96</v>
      </c>
      <c r="E1129" s="2" t="s">
        <v>72</v>
      </c>
      <c r="F1129" s="2">
        <v>16</v>
      </c>
      <c r="G1129" s="2" t="s">
        <v>84</v>
      </c>
      <c r="H1129" s="2">
        <v>6</v>
      </c>
      <c r="I1129" s="8">
        <v>120.12</v>
      </c>
      <c r="J1129" s="8">
        <v>35900</v>
      </c>
      <c r="K1129" s="3">
        <v>0</v>
      </c>
      <c r="L1129" s="3" t="s">
        <v>3</v>
      </c>
      <c r="M1129" s="9" t="s">
        <v>0</v>
      </c>
      <c r="N1129" s="9" t="s">
        <v>27</v>
      </c>
      <c r="O1129" s="9" t="s">
        <v>346</v>
      </c>
      <c r="P1129" s="9" t="s">
        <v>0</v>
      </c>
      <c r="Q1129" s="9">
        <v>43761098</v>
      </c>
      <c r="R1129" s="9" t="s">
        <v>347</v>
      </c>
      <c r="S1129" s="9" t="s">
        <v>158</v>
      </c>
      <c r="T1129" s="10" t="s">
        <v>84</v>
      </c>
      <c r="U1129" s="10">
        <v>6</v>
      </c>
      <c r="V1129" s="10">
        <v>120.12</v>
      </c>
      <c r="W1129" s="10" t="s">
        <v>710</v>
      </c>
      <c r="X1129" s="17">
        <v>44789</v>
      </c>
      <c r="Y1129" s="17">
        <v>44791</v>
      </c>
      <c r="Z1129" s="19" t="s">
        <v>772</v>
      </c>
      <c r="AA1129" s="210">
        <v>43450</v>
      </c>
      <c r="AB1129" s="9">
        <v>120</v>
      </c>
      <c r="AC1129" s="9">
        <v>53</v>
      </c>
      <c r="AD1129" s="17">
        <v>46537</v>
      </c>
      <c r="AE1129" s="56">
        <v>278.75</v>
      </c>
      <c r="AF1129" s="56"/>
      <c r="AP1129" s="11"/>
      <c r="AQ1129" s="11"/>
      <c r="AR1129" s="11"/>
      <c r="AW1129" s="9"/>
      <c r="BD1129" s="9"/>
      <c r="CS1129" s="11">
        <f t="shared" si="77"/>
        <v>0</v>
      </c>
      <c r="CT1129" s="22">
        <f t="shared" si="78"/>
        <v>0</v>
      </c>
      <c r="CU1129" s="22">
        <f t="shared" si="80"/>
        <v>0</v>
      </c>
      <c r="CV1129" s="26">
        <f t="shared" si="79"/>
        <v>278.75</v>
      </c>
    </row>
    <row r="1130" spans="1:100" x14ac:dyDescent="0.2">
      <c r="A1130" s="9" t="s">
        <v>345</v>
      </c>
      <c r="B1130" s="2">
        <v>143</v>
      </c>
      <c r="C1130" s="3" t="s">
        <v>95</v>
      </c>
      <c r="D1130" s="3" t="s">
        <v>96</v>
      </c>
      <c r="E1130" s="2" t="s">
        <v>72</v>
      </c>
      <c r="F1130" s="2">
        <v>16</v>
      </c>
      <c r="G1130" s="2" t="s">
        <v>84</v>
      </c>
      <c r="H1130" s="2">
        <v>6</v>
      </c>
      <c r="I1130" s="8">
        <v>120.12</v>
      </c>
      <c r="J1130" s="8">
        <v>35900</v>
      </c>
      <c r="K1130" s="3">
        <v>0</v>
      </c>
      <c r="L1130" s="3" t="s">
        <v>3</v>
      </c>
      <c r="M1130" s="9" t="s">
        <v>0</v>
      </c>
      <c r="N1130" s="9" t="s">
        <v>27</v>
      </c>
      <c r="O1130" s="9" t="s">
        <v>346</v>
      </c>
      <c r="P1130" s="9" t="s">
        <v>0</v>
      </c>
      <c r="Q1130" s="9">
        <v>43761098</v>
      </c>
      <c r="R1130" s="9" t="s">
        <v>347</v>
      </c>
      <c r="S1130" s="9" t="s">
        <v>158</v>
      </c>
      <c r="T1130" s="10" t="s">
        <v>84</v>
      </c>
      <c r="U1130" s="10">
        <v>6</v>
      </c>
      <c r="V1130" s="10">
        <v>120.12</v>
      </c>
      <c r="W1130" s="10" t="s">
        <v>710</v>
      </c>
      <c r="X1130" s="17">
        <v>44789</v>
      </c>
      <c r="Y1130" s="17">
        <v>44791</v>
      </c>
      <c r="Z1130" s="19" t="s">
        <v>772</v>
      </c>
      <c r="AA1130" s="210">
        <v>43450</v>
      </c>
      <c r="AB1130" s="9">
        <v>120</v>
      </c>
      <c r="AC1130" s="9">
        <v>54</v>
      </c>
      <c r="AD1130" s="17">
        <v>46568</v>
      </c>
      <c r="AE1130" s="56">
        <v>278.75</v>
      </c>
      <c r="AF1130" s="56"/>
      <c r="AP1130" s="11"/>
      <c r="AQ1130" s="11"/>
      <c r="AR1130" s="11"/>
      <c r="AW1130" s="9"/>
      <c r="BD1130" s="9"/>
      <c r="CS1130" s="11">
        <f t="shared" si="77"/>
        <v>0</v>
      </c>
      <c r="CT1130" s="22">
        <f t="shared" si="78"/>
        <v>0</v>
      </c>
      <c r="CU1130" s="22">
        <f t="shared" si="80"/>
        <v>0</v>
      </c>
      <c r="CV1130" s="26">
        <f t="shared" si="79"/>
        <v>278.75</v>
      </c>
    </row>
    <row r="1131" spans="1:100" x14ac:dyDescent="0.2">
      <c r="A1131" s="9" t="s">
        <v>345</v>
      </c>
      <c r="B1131" s="2">
        <v>143</v>
      </c>
      <c r="C1131" s="3" t="s">
        <v>95</v>
      </c>
      <c r="D1131" s="3" t="s">
        <v>96</v>
      </c>
      <c r="E1131" s="2" t="s">
        <v>72</v>
      </c>
      <c r="F1131" s="2">
        <v>16</v>
      </c>
      <c r="G1131" s="2" t="s">
        <v>84</v>
      </c>
      <c r="H1131" s="2">
        <v>6</v>
      </c>
      <c r="I1131" s="8">
        <v>120.12</v>
      </c>
      <c r="J1131" s="8">
        <v>35900</v>
      </c>
      <c r="K1131" s="3">
        <v>0</v>
      </c>
      <c r="L1131" s="3" t="s">
        <v>3</v>
      </c>
      <c r="M1131" s="9" t="s">
        <v>0</v>
      </c>
      <c r="N1131" s="9" t="s">
        <v>27</v>
      </c>
      <c r="O1131" s="9" t="s">
        <v>346</v>
      </c>
      <c r="P1131" s="9" t="s">
        <v>0</v>
      </c>
      <c r="Q1131" s="9">
        <v>43761098</v>
      </c>
      <c r="R1131" s="9" t="s">
        <v>347</v>
      </c>
      <c r="S1131" s="9" t="s">
        <v>158</v>
      </c>
      <c r="T1131" s="10" t="s">
        <v>84</v>
      </c>
      <c r="U1131" s="10">
        <v>6</v>
      </c>
      <c r="V1131" s="10">
        <v>120.12</v>
      </c>
      <c r="W1131" s="10" t="s">
        <v>710</v>
      </c>
      <c r="X1131" s="17">
        <v>44789</v>
      </c>
      <c r="Y1131" s="17">
        <v>44791</v>
      </c>
      <c r="Z1131" s="19" t="s">
        <v>772</v>
      </c>
      <c r="AA1131" s="210">
        <v>43450</v>
      </c>
      <c r="AB1131" s="9">
        <v>120</v>
      </c>
      <c r="AC1131" s="9">
        <v>55</v>
      </c>
      <c r="AD1131" s="17">
        <v>46598</v>
      </c>
      <c r="AE1131" s="56">
        <v>278.75</v>
      </c>
      <c r="AF1131" s="56"/>
      <c r="AP1131" s="11"/>
      <c r="AQ1131" s="11"/>
      <c r="AR1131" s="11"/>
      <c r="AW1131" s="9"/>
      <c r="BD1131" s="9"/>
      <c r="CS1131" s="11">
        <f t="shared" si="77"/>
        <v>0</v>
      </c>
      <c r="CT1131" s="22">
        <f t="shared" si="78"/>
        <v>0</v>
      </c>
      <c r="CU1131" s="22">
        <f t="shared" si="80"/>
        <v>0</v>
      </c>
      <c r="CV1131" s="26">
        <f t="shared" si="79"/>
        <v>278.75</v>
      </c>
    </row>
    <row r="1132" spans="1:100" x14ac:dyDescent="0.2">
      <c r="A1132" s="9" t="s">
        <v>345</v>
      </c>
      <c r="B1132" s="2">
        <v>143</v>
      </c>
      <c r="C1132" s="3" t="s">
        <v>95</v>
      </c>
      <c r="D1132" s="3" t="s">
        <v>96</v>
      </c>
      <c r="E1132" s="2" t="s">
        <v>72</v>
      </c>
      <c r="F1132" s="2">
        <v>16</v>
      </c>
      <c r="G1132" s="2" t="s">
        <v>84</v>
      </c>
      <c r="H1132" s="2">
        <v>6</v>
      </c>
      <c r="I1132" s="8">
        <v>120.12</v>
      </c>
      <c r="J1132" s="8">
        <v>35900</v>
      </c>
      <c r="K1132" s="3">
        <v>0</v>
      </c>
      <c r="L1132" s="3" t="s">
        <v>3</v>
      </c>
      <c r="M1132" s="9" t="s">
        <v>0</v>
      </c>
      <c r="N1132" s="9" t="s">
        <v>27</v>
      </c>
      <c r="O1132" s="9" t="s">
        <v>346</v>
      </c>
      <c r="P1132" s="9" t="s">
        <v>0</v>
      </c>
      <c r="Q1132" s="9">
        <v>43761098</v>
      </c>
      <c r="R1132" s="9" t="s">
        <v>347</v>
      </c>
      <c r="S1132" s="9" t="s">
        <v>158</v>
      </c>
      <c r="T1132" s="10" t="s">
        <v>84</v>
      </c>
      <c r="U1132" s="10">
        <v>6</v>
      </c>
      <c r="V1132" s="10">
        <v>120.12</v>
      </c>
      <c r="W1132" s="10" t="s">
        <v>710</v>
      </c>
      <c r="X1132" s="17">
        <v>44789</v>
      </c>
      <c r="Y1132" s="17">
        <v>44791</v>
      </c>
      <c r="Z1132" s="19" t="s">
        <v>772</v>
      </c>
      <c r="AA1132" s="210">
        <v>43450</v>
      </c>
      <c r="AB1132" s="9">
        <v>120</v>
      </c>
      <c r="AC1132" s="9">
        <v>56</v>
      </c>
      <c r="AD1132" s="17">
        <v>46629</v>
      </c>
      <c r="AE1132" s="56">
        <v>278.75</v>
      </c>
      <c r="AF1132" s="56"/>
      <c r="AP1132" s="11"/>
      <c r="AQ1132" s="11"/>
      <c r="AR1132" s="11"/>
      <c r="AW1132" s="9"/>
      <c r="BD1132" s="9"/>
      <c r="CS1132" s="11">
        <f t="shared" si="77"/>
        <v>0</v>
      </c>
      <c r="CT1132" s="22">
        <f t="shared" si="78"/>
        <v>0</v>
      </c>
      <c r="CU1132" s="22">
        <f t="shared" si="80"/>
        <v>0</v>
      </c>
      <c r="CV1132" s="26">
        <f t="shared" si="79"/>
        <v>278.75</v>
      </c>
    </row>
    <row r="1133" spans="1:100" x14ac:dyDescent="0.2">
      <c r="A1133" s="9" t="s">
        <v>345</v>
      </c>
      <c r="B1133" s="2">
        <v>143</v>
      </c>
      <c r="C1133" s="3" t="s">
        <v>95</v>
      </c>
      <c r="D1133" s="3" t="s">
        <v>96</v>
      </c>
      <c r="E1133" s="2" t="s">
        <v>72</v>
      </c>
      <c r="F1133" s="2">
        <v>16</v>
      </c>
      <c r="G1133" s="2" t="s">
        <v>84</v>
      </c>
      <c r="H1133" s="2">
        <v>6</v>
      </c>
      <c r="I1133" s="8">
        <v>120.12</v>
      </c>
      <c r="J1133" s="8">
        <v>35900</v>
      </c>
      <c r="K1133" s="3">
        <v>0</v>
      </c>
      <c r="L1133" s="3" t="s">
        <v>3</v>
      </c>
      <c r="M1133" s="9" t="s">
        <v>0</v>
      </c>
      <c r="N1133" s="9" t="s">
        <v>27</v>
      </c>
      <c r="O1133" s="9" t="s">
        <v>346</v>
      </c>
      <c r="P1133" s="9" t="s">
        <v>0</v>
      </c>
      <c r="Q1133" s="9">
        <v>43761098</v>
      </c>
      <c r="R1133" s="9" t="s">
        <v>347</v>
      </c>
      <c r="S1133" s="9" t="s">
        <v>158</v>
      </c>
      <c r="T1133" s="10" t="s">
        <v>84</v>
      </c>
      <c r="U1133" s="10">
        <v>6</v>
      </c>
      <c r="V1133" s="10">
        <v>120.12</v>
      </c>
      <c r="W1133" s="10" t="s">
        <v>710</v>
      </c>
      <c r="X1133" s="17">
        <v>44789</v>
      </c>
      <c r="Y1133" s="17">
        <v>44791</v>
      </c>
      <c r="Z1133" s="19" t="s">
        <v>772</v>
      </c>
      <c r="AA1133" s="210">
        <v>43450</v>
      </c>
      <c r="AB1133" s="9">
        <v>120</v>
      </c>
      <c r="AC1133" s="9">
        <v>57</v>
      </c>
      <c r="AD1133" s="17">
        <v>46660</v>
      </c>
      <c r="AE1133" s="56">
        <v>278.75</v>
      </c>
      <c r="AF1133" s="56"/>
      <c r="AP1133" s="11"/>
      <c r="AQ1133" s="11"/>
      <c r="AR1133" s="11"/>
      <c r="AW1133" s="9"/>
      <c r="BD1133" s="9"/>
      <c r="CS1133" s="11">
        <f t="shared" si="77"/>
        <v>0</v>
      </c>
      <c r="CT1133" s="22">
        <f t="shared" si="78"/>
        <v>0</v>
      </c>
      <c r="CU1133" s="22">
        <f t="shared" si="80"/>
        <v>0</v>
      </c>
      <c r="CV1133" s="26">
        <f t="shared" si="79"/>
        <v>278.75</v>
      </c>
    </row>
    <row r="1134" spans="1:100" x14ac:dyDescent="0.2">
      <c r="A1134" s="9" t="s">
        <v>345</v>
      </c>
      <c r="B1134" s="2">
        <v>143</v>
      </c>
      <c r="C1134" s="3" t="s">
        <v>95</v>
      </c>
      <c r="D1134" s="3" t="s">
        <v>96</v>
      </c>
      <c r="E1134" s="2" t="s">
        <v>72</v>
      </c>
      <c r="F1134" s="2">
        <v>16</v>
      </c>
      <c r="G1134" s="2" t="s">
        <v>84</v>
      </c>
      <c r="H1134" s="2">
        <v>6</v>
      </c>
      <c r="I1134" s="8">
        <v>120.12</v>
      </c>
      <c r="J1134" s="8">
        <v>35900</v>
      </c>
      <c r="K1134" s="3">
        <v>0</v>
      </c>
      <c r="L1134" s="3" t="s">
        <v>3</v>
      </c>
      <c r="M1134" s="9" t="s">
        <v>0</v>
      </c>
      <c r="N1134" s="9" t="s">
        <v>27</v>
      </c>
      <c r="O1134" s="9" t="s">
        <v>346</v>
      </c>
      <c r="P1134" s="9" t="s">
        <v>0</v>
      </c>
      <c r="Q1134" s="9">
        <v>43761098</v>
      </c>
      <c r="R1134" s="9" t="s">
        <v>347</v>
      </c>
      <c r="S1134" s="9" t="s">
        <v>158</v>
      </c>
      <c r="T1134" s="10" t="s">
        <v>84</v>
      </c>
      <c r="U1134" s="10">
        <v>6</v>
      </c>
      <c r="V1134" s="10">
        <v>120.12</v>
      </c>
      <c r="W1134" s="10" t="s">
        <v>710</v>
      </c>
      <c r="X1134" s="17">
        <v>44789</v>
      </c>
      <c r="Y1134" s="17">
        <v>44791</v>
      </c>
      <c r="Z1134" s="19" t="s">
        <v>772</v>
      </c>
      <c r="AA1134" s="210">
        <v>43450</v>
      </c>
      <c r="AB1134" s="9">
        <v>120</v>
      </c>
      <c r="AC1134" s="9">
        <v>58</v>
      </c>
      <c r="AD1134" s="17">
        <v>46690</v>
      </c>
      <c r="AE1134" s="56">
        <v>278.75</v>
      </c>
      <c r="AF1134" s="56"/>
      <c r="AP1134" s="11"/>
      <c r="AQ1134" s="11"/>
      <c r="AR1134" s="11"/>
      <c r="AW1134" s="9"/>
      <c r="BD1134" s="9"/>
      <c r="CS1134" s="11">
        <f t="shared" si="77"/>
        <v>0</v>
      </c>
      <c r="CT1134" s="22">
        <f t="shared" si="78"/>
        <v>0</v>
      </c>
      <c r="CU1134" s="22">
        <f t="shared" si="80"/>
        <v>0</v>
      </c>
      <c r="CV1134" s="26">
        <f t="shared" si="79"/>
        <v>278.75</v>
      </c>
    </row>
    <row r="1135" spans="1:100" x14ac:dyDescent="0.2">
      <c r="A1135" s="9" t="s">
        <v>345</v>
      </c>
      <c r="B1135" s="2">
        <v>143</v>
      </c>
      <c r="C1135" s="3" t="s">
        <v>95</v>
      </c>
      <c r="D1135" s="3" t="s">
        <v>96</v>
      </c>
      <c r="E1135" s="2" t="s">
        <v>72</v>
      </c>
      <c r="F1135" s="2">
        <v>16</v>
      </c>
      <c r="G1135" s="2" t="s">
        <v>84</v>
      </c>
      <c r="H1135" s="2">
        <v>6</v>
      </c>
      <c r="I1135" s="8">
        <v>120.12</v>
      </c>
      <c r="J1135" s="8">
        <v>35900</v>
      </c>
      <c r="K1135" s="3">
        <v>0</v>
      </c>
      <c r="L1135" s="3" t="s">
        <v>3</v>
      </c>
      <c r="M1135" s="9" t="s">
        <v>0</v>
      </c>
      <c r="N1135" s="9" t="s">
        <v>27</v>
      </c>
      <c r="O1135" s="9" t="s">
        <v>346</v>
      </c>
      <c r="P1135" s="9" t="s">
        <v>0</v>
      </c>
      <c r="Q1135" s="9">
        <v>43761098</v>
      </c>
      <c r="R1135" s="9" t="s">
        <v>347</v>
      </c>
      <c r="S1135" s="9" t="s">
        <v>158</v>
      </c>
      <c r="T1135" s="10" t="s">
        <v>84</v>
      </c>
      <c r="U1135" s="10">
        <v>6</v>
      </c>
      <c r="V1135" s="10">
        <v>120.12</v>
      </c>
      <c r="W1135" s="10" t="s">
        <v>710</v>
      </c>
      <c r="X1135" s="17">
        <v>44789</v>
      </c>
      <c r="Y1135" s="17">
        <v>44791</v>
      </c>
      <c r="Z1135" s="19" t="s">
        <v>772</v>
      </c>
      <c r="AA1135" s="210">
        <v>43450</v>
      </c>
      <c r="AB1135" s="9">
        <v>120</v>
      </c>
      <c r="AC1135" s="9">
        <v>59</v>
      </c>
      <c r="AD1135" s="17">
        <v>46721</v>
      </c>
      <c r="AE1135" s="56">
        <v>278.75</v>
      </c>
      <c r="AF1135" s="56"/>
      <c r="AP1135" s="11"/>
      <c r="AQ1135" s="11"/>
      <c r="AR1135" s="11"/>
      <c r="AW1135" s="9"/>
      <c r="BD1135" s="9"/>
      <c r="CS1135" s="11">
        <f t="shared" si="77"/>
        <v>0</v>
      </c>
      <c r="CT1135" s="22">
        <f t="shared" si="78"/>
        <v>0</v>
      </c>
      <c r="CU1135" s="22">
        <f t="shared" si="80"/>
        <v>0</v>
      </c>
      <c r="CV1135" s="26">
        <f t="shared" si="79"/>
        <v>278.75</v>
      </c>
    </row>
    <row r="1136" spans="1:100" x14ac:dyDescent="0.2">
      <c r="A1136" s="9" t="s">
        <v>345</v>
      </c>
      <c r="B1136" s="2">
        <v>143</v>
      </c>
      <c r="C1136" s="3" t="s">
        <v>95</v>
      </c>
      <c r="D1136" s="3" t="s">
        <v>96</v>
      </c>
      <c r="E1136" s="2" t="s">
        <v>72</v>
      </c>
      <c r="F1136" s="2">
        <v>16</v>
      </c>
      <c r="G1136" s="2" t="s">
        <v>84</v>
      </c>
      <c r="H1136" s="2">
        <v>6</v>
      </c>
      <c r="I1136" s="8">
        <v>120.12</v>
      </c>
      <c r="J1136" s="8">
        <v>35900</v>
      </c>
      <c r="K1136" s="3">
        <v>0</v>
      </c>
      <c r="L1136" s="3" t="s">
        <v>3</v>
      </c>
      <c r="M1136" s="9" t="s">
        <v>0</v>
      </c>
      <c r="N1136" s="9" t="s">
        <v>27</v>
      </c>
      <c r="O1136" s="9" t="s">
        <v>346</v>
      </c>
      <c r="P1136" s="9" t="s">
        <v>0</v>
      </c>
      <c r="Q1136" s="9">
        <v>43761098</v>
      </c>
      <c r="R1136" s="9" t="s">
        <v>347</v>
      </c>
      <c r="S1136" s="9" t="s">
        <v>158</v>
      </c>
      <c r="T1136" s="10" t="s">
        <v>84</v>
      </c>
      <c r="U1136" s="10">
        <v>6</v>
      </c>
      <c r="V1136" s="10">
        <v>120.12</v>
      </c>
      <c r="W1136" s="10" t="s">
        <v>710</v>
      </c>
      <c r="X1136" s="17">
        <v>44789</v>
      </c>
      <c r="Y1136" s="17">
        <v>44791</v>
      </c>
      <c r="Z1136" s="19" t="s">
        <v>772</v>
      </c>
      <c r="AA1136" s="210">
        <v>43450</v>
      </c>
      <c r="AB1136" s="9">
        <v>120</v>
      </c>
      <c r="AC1136" s="9">
        <v>60</v>
      </c>
      <c r="AD1136" s="17">
        <v>46751</v>
      </c>
      <c r="AE1136" s="56">
        <v>278.75</v>
      </c>
      <c r="AF1136" s="56"/>
      <c r="AP1136" s="11"/>
      <c r="AQ1136" s="11"/>
      <c r="AR1136" s="11"/>
      <c r="AW1136" s="9"/>
      <c r="BD1136" s="9"/>
      <c r="CS1136" s="11">
        <f t="shared" si="77"/>
        <v>0</v>
      </c>
      <c r="CT1136" s="22">
        <f t="shared" si="78"/>
        <v>0</v>
      </c>
      <c r="CU1136" s="22">
        <f t="shared" si="80"/>
        <v>0</v>
      </c>
      <c r="CV1136" s="26">
        <f t="shared" si="79"/>
        <v>278.75</v>
      </c>
    </row>
    <row r="1137" spans="1:100" x14ac:dyDescent="0.2">
      <c r="A1137" s="9" t="s">
        <v>345</v>
      </c>
      <c r="B1137" s="2">
        <v>143</v>
      </c>
      <c r="C1137" s="3" t="s">
        <v>95</v>
      </c>
      <c r="D1137" s="3" t="s">
        <v>96</v>
      </c>
      <c r="E1137" s="2" t="s">
        <v>72</v>
      </c>
      <c r="F1137" s="2">
        <v>16</v>
      </c>
      <c r="G1137" s="2" t="s">
        <v>84</v>
      </c>
      <c r="H1137" s="2">
        <v>6</v>
      </c>
      <c r="I1137" s="8">
        <v>120.12</v>
      </c>
      <c r="J1137" s="8">
        <v>35900</v>
      </c>
      <c r="K1137" s="3">
        <v>0</v>
      </c>
      <c r="L1137" s="3" t="s">
        <v>3</v>
      </c>
      <c r="M1137" s="9" t="s">
        <v>0</v>
      </c>
      <c r="N1137" s="9" t="s">
        <v>27</v>
      </c>
      <c r="O1137" s="9" t="s">
        <v>346</v>
      </c>
      <c r="P1137" s="9" t="s">
        <v>0</v>
      </c>
      <c r="Q1137" s="9">
        <v>43761098</v>
      </c>
      <c r="R1137" s="9" t="s">
        <v>347</v>
      </c>
      <c r="S1137" s="9" t="s">
        <v>158</v>
      </c>
      <c r="T1137" s="10" t="s">
        <v>84</v>
      </c>
      <c r="U1137" s="10">
        <v>6</v>
      </c>
      <c r="V1137" s="10">
        <v>120.12</v>
      </c>
      <c r="W1137" s="10" t="s">
        <v>710</v>
      </c>
      <c r="X1137" s="17">
        <v>44789</v>
      </c>
      <c r="Y1137" s="17">
        <v>44791</v>
      </c>
      <c r="Z1137" s="19" t="s">
        <v>772</v>
      </c>
      <c r="AA1137" s="210">
        <v>43450</v>
      </c>
      <c r="AB1137" s="9">
        <v>120</v>
      </c>
      <c r="AC1137" s="9">
        <v>61</v>
      </c>
      <c r="AD1137" s="17">
        <v>46782</v>
      </c>
      <c r="AE1137" s="56">
        <v>278.75</v>
      </c>
      <c r="AF1137" s="56"/>
      <c r="AP1137" s="11"/>
      <c r="AQ1137" s="11"/>
      <c r="AR1137" s="11"/>
      <c r="AW1137" s="9"/>
      <c r="BD1137" s="9"/>
      <c r="CS1137" s="11">
        <f t="shared" si="77"/>
        <v>0</v>
      </c>
      <c r="CT1137" s="22">
        <f t="shared" si="78"/>
        <v>0</v>
      </c>
      <c r="CU1137" s="22">
        <f t="shared" si="80"/>
        <v>0</v>
      </c>
      <c r="CV1137" s="26">
        <f t="shared" si="79"/>
        <v>278.75</v>
      </c>
    </row>
    <row r="1138" spans="1:100" x14ac:dyDescent="0.2">
      <c r="A1138" s="9" t="s">
        <v>345</v>
      </c>
      <c r="B1138" s="2">
        <v>143</v>
      </c>
      <c r="C1138" s="3" t="s">
        <v>95</v>
      </c>
      <c r="D1138" s="3" t="s">
        <v>96</v>
      </c>
      <c r="E1138" s="2" t="s">
        <v>72</v>
      </c>
      <c r="F1138" s="2">
        <v>16</v>
      </c>
      <c r="G1138" s="2" t="s">
        <v>84</v>
      </c>
      <c r="H1138" s="2">
        <v>6</v>
      </c>
      <c r="I1138" s="8">
        <v>120.12</v>
      </c>
      <c r="J1138" s="8">
        <v>35900</v>
      </c>
      <c r="K1138" s="3">
        <v>0</v>
      </c>
      <c r="L1138" s="3" t="s">
        <v>3</v>
      </c>
      <c r="M1138" s="9" t="s">
        <v>0</v>
      </c>
      <c r="N1138" s="9" t="s">
        <v>27</v>
      </c>
      <c r="O1138" s="9" t="s">
        <v>346</v>
      </c>
      <c r="P1138" s="9" t="s">
        <v>0</v>
      </c>
      <c r="Q1138" s="9">
        <v>43761098</v>
      </c>
      <c r="R1138" s="9" t="s">
        <v>347</v>
      </c>
      <c r="S1138" s="9" t="s">
        <v>158</v>
      </c>
      <c r="T1138" s="10" t="s">
        <v>84</v>
      </c>
      <c r="U1138" s="10">
        <v>6</v>
      </c>
      <c r="V1138" s="10">
        <v>120.12</v>
      </c>
      <c r="W1138" s="10" t="s">
        <v>710</v>
      </c>
      <c r="X1138" s="17">
        <v>44789</v>
      </c>
      <c r="Y1138" s="17">
        <v>44791</v>
      </c>
      <c r="Z1138" s="19" t="s">
        <v>772</v>
      </c>
      <c r="AA1138" s="210">
        <v>43450</v>
      </c>
      <c r="AB1138" s="9">
        <v>120</v>
      </c>
      <c r="AC1138" s="9">
        <v>62</v>
      </c>
      <c r="AD1138" s="17">
        <v>46812</v>
      </c>
      <c r="AE1138" s="56">
        <v>278.75</v>
      </c>
      <c r="AF1138" s="56"/>
      <c r="AP1138" s="11"/>
      <c r="AQ1138" s="11"/>
      <c r="AR1138" s="11"/>
      <c r="AW1138" s="9"/>
      <c r="BD1138" s="9"/>
      <c r="CS1138" s="11">
        <f t="shared" si="77"/>
        <v>0</v>
      </c>
      <c r="CT1138" s="22">
        <f t="shared" si="78"/>
        <v>0</v>
      </c>
      <c r="CU1138" s="22">
        <f t="shared" si="80"/>
        <v>0</v>
      </c>
      <c r="CV1138" s="26">
        <f t="shared" si="79"/>
        <v>278.75</v>
      </c>
    </row>
    <row r="1139" spans="1:100" x14ac:dyDescent="0.2">
      <c r="A1139" s="9" t="s">
        <v>345</v>
      </c>
      <c r="B1139" s="2">
        <v>143</v>
      </c>
      <c r="C1139" s="3" t="s">
        <v>95</v>
      </c>
      <c r="D1139" s="3" t="s">
        <v>96</v>
      </c>
      <c r="E1139" s="2" t="s">
        <v>72</v>
      </c>
      <c r="F1139" s="2">
        <v>16</v>
      </c>
      <c r="G1139" s="2" t="s">
        <v>84</v>
      </c>
      <c r="H1139" s="2">
        <v>6</v>
      </c>
      <c r="I1139" s="8">
        <v>120.12</v>
      </c>
      <c r="J1139" s="8">
        <v>35900</v>
      </c>
      <c r="K1139" s="3">
        <v>0</v>
      </c>
      <c r="L1139" s="3" t="s">
        <v>3</v>
      </c>
      <c r="M1139" s="9" t="s">
        <v>0</v>
      </c>
      <c r="N1139" s="9" t="s">
        <v>27</v>
      </c>
      <c r="O1139" s="9" t="s">
        <v>346</v>
      </c>
      <c r="P1139" s="9" t="s">
        <v>0</v>
      </c>
      <c r="Q1139" s="9">
        <v>43761098</v>
      </c>
      <c r="R1139" s="9" t="s">
        <v>347</v>
      </c>
      <c r="S1139" s="9" t="s">
        <v>158</v>
      </c>
      <c r="T1139" s="10" t="s">
        <v>84</v>
      </c>
      <c r="U1139" s="10">
        <v>6</v>
      </c>
      <c r="V1139" s="10">
        <v>120.12</v>
      </c>
      <c r="W1139" s="10" t="s">
        <v>710</v>
      </c>
      <c r="X1139" s="17">
        <v>44789</v>
      </c>
      <c r="Y1139" s="17">
        <v>44791</v>
      </c>
      <c r="Z1139" s="19" t="s">
        <v>772</v>
      </c>
      <c r="AA1139" s="210">
        <v>43450</v>
      </c>
      <c r="AB1139" s="9">
        <v>120</v>
      </c>
      <c r="AC1139" s="9">
        <v>63</v>
      </c>
      <c r="AD1139" s="17">
        <v>46842</v>
      </c>
      <c r="AE1139" s="56">
        <v>278.75</v>
      </c>
      <c r="AF1139" s="56"/>
      <c r="AP1139" s="11"/>
      <c r="AQ1139" s="11"/>
      <c r="AR1139" s="11"/>
      <c r="AW1139" s="9"/>
      <c r="BD1139" s="9"/>
      <c r="CS1139" s="11">
        <f t="shared" si="77"/>
        <v>0</v>
      </c>
      <c r="CT1139" s="22">
        <f t="shared" si="78"/>
        <v>0</v>
      </c>
      <c r="CU1139" s="22">
        <f t="shared" si="80"/>
        <v>0</v>
      </c>
      <c r="CV1139" s="26">
        <f t="shared" si="79"/>
        <v>278.75</v>
      </c>
    </row>
    <row r="1140" spans="1:100" x14ac:dyDescent="0.2">
      <c r="A1140" s="9" t="s">
        <v>345</v>
      </c>
      <c r="B1140" s="2">
        <v>143</v>
      </c>
      <c r="C1140" s="3" t="s">
        <v>95</v>
      </c>
      <c r="D1140" s="3" t="s">
        <v>96</v>
      </c>
      <c r="E1140" s="2" t="s">
        <v>72</v>
      </c>
      <c r="F1140" s="2">
        <v>16</v>
      </c>
      <c r="G1140" s="2" t="s">
        <v>84</v>
      </c>
      <c r="H1140" s="2">
        <v>6</v>
      </c>
      <c r="I1140" s="8">
        <v>120.12</v>
      </c>
      <c r="J1140" s="8">
        <v>35900</v>
      </c>
      <c r="K1140" s="3">
        <v>0</v>
      </c>
      <c r="L1140" s="3" t="s">
        <v>3</v>
      </c>
      <c r="M1140" s="9" t="s">
        <v>0</v>
      </c>
      <c r="N1140" s="9" t="s">
        <v>27</v>
      </c>
      <c r="O1140" s="9" t="s">
        <v>346</v>
      </c>
      <c r="P1140" s="9" t="s">
        <v>0</v>
      </c>
      <c r="Q1140" s="9">
        <v>43761098</v>
      </c>
      <c r="R1140" s="9" t="s">
        <v>347</v>
      </c>
      <c r="S1140" s="9" t="s">
        <v>158</v>
      </c>
      <c r="T1140" s="10" t="s">
        <v>84</v>
      </c>
      <c r="U1140" s="10">
        <v>6</v>
      </c>
      <c r="V1140" s="10">
        <v>120.12</v>
      </c>
      <c r="W1140" s="10" t="s">
        <v>710</v>
      </c>
      <c r="X1140" s="17">
        <v>44789</v>
      </c>
      <c r="Y1140" s="17">
        <v>44791</v>
      </c>
      <c r="Z1140" s="19" t="s">
        <v>772</v>
      </c>
      <c r="AA1140" s="210">
        <v>43450</v>
      </c>
      <c r="AB1140" s="9">
        <v>120</v>
      </c>
      <c r="AC1140" s="9">
        <v>64</v>
      </c>
      <c r="AD1140" s="17">
        <v>46873</v>
      </c>
      <c r="AE1140" s="56">
        <v>278.75</v>
      </c>
      <c r="AF1140" s="56"/>
      <c r="AP1140" s="11"/>
      <c r="AQ1140" s="11"/>
      <c r="AR1140" s="11"/>
      <c r="AW1140" s="9"/>
      <c r="BD1140" s="9"/>
      <c r="CS1140" s="11">
        <f t="shared" si="77"/>
        <v>0</v>
      </c>
      <c r="CT1140" s="22">
        <f t="shared" si="78"/>
        <v>0</v>
      </c>
      <c r="CU1140" s="22">
        <f t="shared" si="80"/>
        <v>0</v>
      </c>
      <c r="CV1140" s="26">
        <f t="shared" si="79"/>
        <v>278.75</v>
      </c>
    </row>
    <row r="1141" spans="1:100" x14ac:dyDescent="0.2">
      <c r="A1141" s="9" t="s">
        <v>345</v>
      </c>
      <c r="B1141" s="2">
        <v>143</v>
      </c>
      <c r="C1141" s="3" t="s">
        <v>95</v>
      </c>
      <c r="D1141" s="3" t="s">
        <v>96</v>
      </c>
      <c r="E1141" s="2" t="s">
        <v>72</v>
      </c>
      <c r="F1141" s="2">
        <v>16</v>
      </c>
      <c r="G1141" s="2" t="s">
        <v>84</v>
      </c>
      <c r="H1141" s="2">
        <v>6</v>
      </c>
      <c r="I1141" s="8">
        <v>120.12</v>
      </c>
      <c r="J1141" s="8">
        <v>35900</v>
      </c>
      <c r="K1141" s="3">
        <v>0</v>
      </c>
      <c r="L1141" s="3" t="s">
        <v>3</v>
      </c>
      <c r="M1141" s="9" t="s">
        <v>0</v>
      </c>
      <c r="N1141" s="9" t="s">
        <v>27</v>
      </c>
      <c r="O1141" s="9" t="s">
        <v>346</v>
      </c>
      <c r="P1141" s="9" t="s">
        <v>0</v>
      </c>
      <c r="Q1141" s="9">
        <v>43761098</v>
      </c>
      <c r="R1141" s="9" t="s">
        <v>347</v>
      </c>
      <c r="S1141" s="9" t="s">
        <v>158</v>
      </c>
      <c r="T1141" s="10" t="s">
        <v>84</v>
      </c>
      <c r="U1141" s="10">
        <v>6</v>
      </c>
      <c r="V1141" s="10">
        <v>120.12</v>
      </c>
      <c r="W1141" s="10" t="s">
        <v>710</v>
      </c>
      <c r="X1141" s="17">
        <v>44789</v>
      </c>
      <c r="Y1141" s="17">
        <v>44791</v>
      </c>
      <c r="Z1141" s="19" t="s">
        <v>772</v>
      </c>
      <c r="AA1141" s="210">
        <v>43450</v>
      </c>
      <c r="AB1141" s="9">
        <v>120</v>
      </c>
      <c r="AC1141" s="9">
        <v>65</v>
      </c>
      <c r="AD1141" s="17">
        <v>46903</v>
      </c>
      <c r="AE1141" s="56">
        <v>278.75</v>
      </c>
      <c r="AF1141" s="56"/>
      <c r="AP1141" s="11"/>
      <c r="AQ1141" s="11"/>
      <c r="AR1141" s="11"/>
      <c r="AW1141" s="9"/>
      <c r="BD1141" s="9"/>
      <c r="CS1141" s="11">
        <f t="shared" si="77"/>
        <v>0</v>
      </c>
      <c r="CT1141" s="22">
        <f t="shared" si="78"/>
        <v>0</v>
      </c>
      <c r="CU1141" s="22">
        <f t="shared" si="80"/>
        <v>0</v>
      </c>
      <c r="CV1141" s="26">
        <f t="shared" si="79"/>
        <v>278.75</v>
      </c>
    </row>
    <row r="1142" spans="1:100" x14ac:dyDescent="0.2">
      <c r="A1142" s="9" t="s">
        <v>345</v>
      </c>
      <c r="B1142" s="2">
        <v>143</v>
      </c>
      <c r="C1142" s="3" t="s">
        <v>95</v>
      </c>
      <c r="D1142" s="3" t="s">
        <v>96</v>
      </c>
      <c r="E1142" s="2" t="s">
        <v>72</v>
      </c>
      <c r="F1142" s="2">
        <v>16</v>
      </c>
      <c r="G1142" s="2" t="s">
        <v>84</v>
      </c>
      <c r="H1142" s="2">
        <v>6</v>
      </c>
      <c r="I1142" s="8">
        <v>120.12</v>
      </c>
      <c r="J1142" s="8">
        <v>35900</v>
      </c>
      <c r="K1142" s="3">
        <v>0</v>
      </c>
      <c r="L1142" s="3" t="s">
        <v>3</v>
      </c>
      <c r="M1142" s="9" t="s">
        <v>0</v>
      </c>
      <c r="N1142" s="9" t="s">
        <v>27</v>
      </c>
      <c r="O1142" s="9" t="s">
        <v>346</v>
      </c>
      <c r="P1142" s="9" t="s">
        <v>0</v>
      </c>
      <c r="Q1142" s="9">
        <v>43761098</v>
      </c>
      <c r="R1142" s="9" t="s">
        <v>347</v>
      </c>
      <c r="S1142" s="9" t="s">
        <v>158</v>
      </c>
      <c r="T1142" s="10" t="s">
        <v>84</v>
      </c>
      <c r="U1142" s="10">
        <v>6</v>
      </c>
      <c r="V1142" s="10">
        <v>120.12</v>
      </c>
      <c r="W1142" s="10" t="s">
        <v>710</v>
      </c>
      <c r="X1142" s="17">
        <v>44789</v>
      </c>
      <c r="Y1142" s="17">
        <v>44791</v>
      </c>
      <c r="Z1142" s="19" t="s">
        <v>772</v>
      </c>
      <c r="AA1142" s="210">
        <v>43450</v>
      </c>
      <c r="AB1142" s="9">
        <v>120</v>
      </c>
      <c r="AC1142" s="9">
        <v>66</v>
      </c>
      <c r="AD1142" s="17">
        <v>46934</v>
      </c>
      <c r="AE1142" s="56">
        <v>278.75</v>
      </c>
      <c r="AF1142" s="56"/>
      <c r="AP1142" s="11"/>
      <c r="AQ1142" s="11"/>
      <c r="AR1142" s="11"/>
      <c r="AW1142" s="9"/>
      <c r="BD1142" s="9"/>
      <c r="CS1142" s="11">
        <f t="shared" si="77"/>
        <v>0</v>
      </c>
      <c r="CT1142" s="22">
        <f t="shared" si="78"/>
        <v>0</v>
      </c>
      <c r="CU1142" s="22">
        <f t="shared" si="80"/>
        <v>0</v>
      </c>
      <c r="CV1142" s="26">
        <f t="shared" si="79"/>
        <v>278.75</v>
      </c>
    </row>
    <row r="1143" spans="1:100" x14ac:dyDescent="0.2">
      <c r="A1143" s="9" t="s">
        <v>345</v>
      </c>
      <c r="B1143" s="2">
        <v>143</v>
      </c>
      <c r="C1143" s="3" t="s">
        <v>95</v>
      </c>
      <c r="D1143" s="3" t="s">
        <v>96</v>
      </c>
      <c r="E1143" s="2" t="s">
        <v>72</v>
      </c>
      <c r="F1143" s="2">
        <v>16</v>
      </c>
      <c r="G1143" s="2" t="s">
        <v>84</v>
      </c>
      <c r="H1143" s="2">
        <v>6</v>
      </c>
      <c r="I1143" s="8">
        <v>120.12</v>
      </c>
      <c r="J1143" s="8">
        <v>35900</v>
      </c>
      <c r="K1143" s="3">
        <v>0</v>
      </c>
      <c r="L1143" s="3" t="s">
        <v>3</v>
      </c>
      <c r="M1143" s="9" t="s">
        <v>0</v>
      </c>
      <c r="N1143" s="9" t="s">
        <v>27</v>
      </c>
      <c r="O1143" s="9" t="s">
        <v>346</v>
      </c>
      <c r="P1143" s="9" t="s">
        <v>0</v>
      </c>
      <c r="Q1143" s="9">
        <v>43761098</v>
      </c>
      <c r="R1143" s="9" t="s">
        <v>347</v>
      </c>
      <c r="S1143" s="9" t="s">
        <v>158</v>
      </c>
      <c r="T1143" s="10" t="s">
        <v>84</v>
      </c>
      <c r="U1143" s="10">
        <v>6</v>
      </c>
      <c r="V1143" s="10">
        <v>120.12</v>
      </c>
      <c r="W1143" s="10" t="s">
        <v>710</v>
      </c>
      <c r="X1143" s="17">
        <v>44789</v>
      </c>
      <c r="Y1143" s="17">
        <v>44791</v>
      </c>
      <c r="Z1143" s="19" t="s">
        <v>772</v>
      </c>
      <c r="AA1143" s="210">
        <v>43450</v>
      </c>
      <c r="AB1143" s="9">
        <v>120</v>
      </c>
      <c r="AC1143" s="9">
        <v>67</v>
      </c>
      <c r="AD1143" s="17">
        <v>46964</v>
      </c>
      <c r="AE1143" s="56">
        <v>278.75</v>
      </c>
      <c r="AF1143" s="56"/>
      <c r="AP1143" s="11"/>
      <c r="AQ1143" s="11"/>
      <c r="AR1143" s="11"/>
      <c r="AW1143" s="9"/>
      <c r="BD1143" s="9"/>
      <c r="CS1143" s="11">
        <f t="shared" si="77"/>
        <v>0</v>
      </c>
      <c r="CT1143" s="22">
        <f t="shared" si="78"/>
        <v>0</v>
      </c>
      <c r="CU1143" s="22">
        <f t="shared" si="80"/>
        <v>0</v>
      </c>
      <c r="CV1143" s="26">
        <f t="shared" si="79"/>
        <v>278.75</v>
      </c>
    </row>
    <row r="1144" spans="1:100" x14ac:dyDescent="0.2">
      <c r="A1144" s="9" t="s">
        <v>345</v>
      </c>
      <c r="B1144" s="2">
        <v>143</v>
      </c>
      <c r="C1144" s="3" t="s">
        <v>95</v>
      </c>
      <c r="D1144" s="3" t="s">
        <v>96</v>
      </c>
      <c r="E1144" s="2" t="s">
        <v>72</v>
      </c>
      <c r="F1144" s="2">
        <v>16</v>
      </c>
      <c r="G1144" s="2" t="s">
        <v>84</v>
      </c>
      <c r="H1144" s="2">
        <v>6</v>
      </c>
      <c r="I1144" s="8">
        <v>120.12</v>
      </c>
      <c r="J1144" s="8">
        <v>35900</v>
      </c>
      <c r="K1144" s="3">
        <v>0</v>
      </c>
      <c r="L1144" s="3" t="s">
        <v>3</v>
      </c>
      <c r="M1144" s="9" t="s">
        <v>0</v>
      </c>
      <c r="N1144" s="9" t="s">
        <v>27</v>
      </c>
      <c r="O1144" s="9" t="s">
        <v>346</v>
      </c>
      <c r="P1144" s="9" t="s">
        <v>0</v>
      </c>
      <c r="Q1144" s="9">
        <v>43761098</v>
      </c>
      <c r="R1144" s="9" t="s">
        <v>347</v>
      </c>
      <c r="S1144" s="9" t="s">
        <v>158</v>
      </c>
      <c r="T1144" s="10" t="s">
        <v>84</v>
      </c>
      <c r="U1144" s="10">
        <v>6</v>
      </c>
      <c r="V1144" s="10">
        <v>120.12</v>
      </c>
      <c r="W1144" s="10" t="s">
        <v>710</v>
      </c>
      <c r="X1144" s="17">
        <v>44789</v>
      </c>
      <c r="Y1144" s="17">
        <v>44791</v>
      </c>
      <c r="Z1144" s="19" t="s">
        <v>772</v>
      </c>
      <c r="AA1144" s="210">
        <v>43450</v>
      </c>
      <c r="AB1144" s="9">
        <v>120</v>
      </c>
      <c r="AC1144" s="9">
        <v>68</v>
      </c>
      <c r="AD1144" s="17">
        <v>46995</v>
      </c>
      <c r="AE1144" s="56">
        <v>278.75</v>
      </c>
      <c r="AF1144" s="56"/>
      <c r="AP1144" s="11"/>
      <c r="AQ1144" s="11"/>
      <c r="AR1144" s="11"/>
      <c r="AW1144" s="9"/>
      <c r="BD1144" s="9"/>
      <c r="CS1144" s="11">
        <f t="shared" si="77"/>
        <v>0</v>
      </c>
      <c r="CT1144" s="22">
        <f t="shared" si="78"/>
        <v>0</v>
      </c>
      <c r="CU1144" s="22">
        <f t="shared" si="80"/>
        <v>0</v>
      </c>
      <c r="CV1144" s="26">
        <f t="shared" si="79"/>
        <v>278.75</v>
      </c>
    </row>
    <row r="1145" spans="1:100" x14ac:dyDescent="0.2">
      <c r="A1145" s="9" t="s">
        <v>345</v>
      </c>
      <c r="B1145" s="2">
        <v>143</v>
      </c>
      <c r="C1145" s="3" t="s">
        <v>95</v>
      </c>
      <c r="D1145" s="3" t="s">
        <v>96</v>
      </c>
      <c r="E1145" s="2" t="s">
        <v>72</v>
      </c>
      <c r="F1145" s="2">
        <v>16</v>
      </c>
      <c r="G1145" s="2" t="s">
        <v>84</v>
      </c>
      <c r="H1145" s="2">
        <v>6</v>
      </c>
      <c r="I1145" s="8">
        <v>120.12</v>
      </c>
      <c r="J1145" s="8">
        <v>35900</v>
      </c>
      <c r="K1145" s="3">
        <v>0</v>
      </c>
      <c r="L1145" s="3" t="s">
        <v>3</v>
      </c>
      <c r="M1145" s="9" t="s">
        <v>0</v>
      </c>
      <c r="N1145" s="9" t="s">
        <v>27</v>
      </c>
      <c r="O1145" s="9" t="s">
        <v>346</v>
      </c>
      <c r="P1145" s="9" t="s">
        <v>0</v>
      </c>
      <c r="Q1145" s="9">
        <v>43761098</v>
      </c>
      <c r="R1145" s="9" t="s">
        <v>347</v>
      </c>
      <c r="S1145" s="9" t="s">
        <v>158</v>
      </c>
      <c r="T1145" s="10" t="s">
        <v>84</v>
      </c>
      <c r="U1145" s="10">
        <v>6</v>
      </c>
      <c r="V1145" s="10">
        <v>120.12</v>
      </c>
      <c r="W1145" s="10" t="s">
        <v>710</v>
      </c>
      <c r="X1145" s="17">
        <v>44789</v>
      </c>
      <c r="Y1145" s="17">
        <v>44791</v>
      </c>
      <c r="Z1145" s="19" t="s">
        <v>772</v>
      </c>
      <c r="AA1145" s="210">
        <v>43450</v>
      </c>
      <c r="AB1145" s="9">
        <v>120</v>
      </c>
      <c r="AC1145" s="9">
        <v>69</v>
      </c>
      <c r="AD1145" s="17">
        <v>47026</v>
      </c>
      <c r="AE1145" s="56">
        <v>278.75</v>
      </c>
      <c r="AF1145" s="56"/>
      <c r="AP1145" s="11"/>
      <c r="AQ1145" s="11"/>
      <c r="AR1145" s="11"/>
      <c r="AW1145" s="9"/>
      <c r="BD1145" s="9"/>
      <c r="CS1145" s="11">
        <f t="shared" ref="CS1145:CS1208" si="81">+AL1145+AT1145</f>
        <v>0</v>
      </c>
      <c r="CT1145" s="22">
        <f t="shared" ref="CT1145:CT1208" si="82">+BA1145+BG1145+BM1145+BS1145+BY1145+CE1145+CK1145+CQ1145</f>
        <v>0</v>
      </c>
      <c r="CU1145" s="22">
        <f t="shared" si="80"/>
        <v>0</v>
      </c>
      <c r="CV1145" s="26">
        <f t="shared" ref="CV1145:CV1208" si="83">+AE1145-AL1145-AT1145</f>
        <v>278.75</v>
      </c>
    </row>
    <row r="1146" spans="1:100" x14ac:dyDescent="0.2">
      <c r="A1146" s="9" t="s">
        <v>345</v>
      </c>
      <c r="B1146" s="2">
        <v>143</v>
      </c>
      <c r="C1146" s="3" t="s">
        <v>95</v>
      </c>
      <c r="D1146" s="3" t="s">
        <v>96</v>
      </c>
      <c r="E1146" s="2" t="s">
        <v>72</v>
      </c>
      <c r="F1146" s="2">
        <v>16</v>
      </c>
      <c r="G1146" s="2" t="s">
        <v>84</v>
      </c>
      <c r="H1146" s="2">
        <v>6</v>
      </c>
      <c r="I1146" s="8">
        <v>120.12</v>
      </c>
      <c r="J1146" s="8">
        <v>35900</v>
      </c>
      <c r="K1146" s="3">
        <v>0</v>
      </c>
      <c r="L1146" s="3" t="s">
        <v>3</v>
      </c>
      <c r="M1146" s="9" t="s">
        <v>0</v>
      </c>
      <c r="N1146" s="9" t="s">
        <v>27</v>
      </c>
      <c r="O1146" s="9" t="s">
        <v>346</v>
      </c>
      <c r="P1146" s="9" t="s">
        <v>0</v>
      </c>
      <c r="Q1146" s="9">
        <v>43761098</v>
      </c>
      <c r="R1146" s="9" t="s">
        <v>347</v>
      </c>
      <c r="S1146" s="9" t="s">
        <v>158</v>
      </c>
      <c r="T1146" s="10" t="s">
        <v>84</v>
      </c>
      <c r="U1146" s="10">
        <v>6</v>
      </c>
      <c r="V1146" s="10">
        <v>120.12</v>
      </c>
      <c r="W1146" s="10" t="s">
        <v>710</v>
      </c>
      <c r="X1146" s="17">
        <v>44789</v>
      </c>
      <c r="Y1146" s="17">
        <v>44791</v>
      </c>
      <c r="Z1146" s="19" t="s">
        <v>772</v>
      </c>
      <c r="AA1146" s="210">
        <v>43450</v>
      </c>
      <c r="AB1146" s="9">
        <v>120</v>
      </c>
      <c r="AC1146" s="9">
        <v>70</v>
      </c>
      <c r="AD1146" s="17">
        <v>47056</v>
      </c>
      <c r="AE1146" s="56">
        <v>278.75</v>
      </c>
      <c r="AF1146" s="56"/>
      <c r="AP1146" s="11"/>
      <c r="AQ1146" s="11"/>
      <c r="AR1146" s="11"/>
      <c r="AW1146" s="9"/>
      <c r="BD1146" s="9"/>
      <c r="CS1146" s="11">
        <f t="shared" si="81"/>
        <v>0</v>
      </c>
      <c r="CT1146" s="22">
        <f t="shared" si="82"/>
        <v>0</v>
      </c>
      <c r="CU1146" s="22">
        <f t="shared" si="80"/>
        <v>0</v>
      </c>
      <c r="CV1146" s="26">
        <f t="shared" si="83"/>
        <v>278.75</v>
      </c>
    </row>
    <row r="1147" spans="1:100" x14ac:dyDescent="0.2">
      <c r="A1147" s="9" t="s">
        <v>345</v>
      </c>
      <c r="B1147" s="2">
        <v>143</v>
      </c>
      <c r="C1147" s="3" t="s">
        <v>95</v>
      </c>
      <c r="D1147" s="3" t="s">
        <v>96</v>
      </c>
      <c r="E1147" s="2" t="s">
        <v>72</v>
      </c>
      <c r="F1147" s="2">
        <v>16</v>
      </c>
      <c r="G1147" s="2" t="s">
        <v>84</v>
      </c>
      <c r="H1147" s="2">
        <v>6</v>
      </c>
      <c r="I1147" s="8">
        <v>120.12</v>
      </c>
      <c r="J1147" s="8">
        <v>35900</v>
      </c>
      <c r="K1147" s="3">
        <v>0</v>
      </c>
      <c r="L1147" s="3" t="s">
        <v>3</v>
      </c>
      <c r="M1147" s="9" t="s">
        <v>0</v>
      </c>
      <c r="N1147" s="9" t="s">
        <v>27</v>
      </c>
      <c r="O1147" s="9" t="s">
        <v>346</v>
      </c>
      <c r="P1147" s="9" t="s">
        <v>0</v>
      </c>
      <c r="Q1147" s="9">
        <v>43761098</v>
      </c>
      <c r="R1147" s="9" t="s">
        <v>347</v>
      </c>
      <c r="S1147" s="9" t="s">
        <v>158</v>
      </c>
      <c r="T1147" s="10" t="s">
        <v>84</v>
      </c>
      <c r="U1147" s="10">
        <v>6</v>
      </c>
      <c r="V1147" s="10">
        <v>120.12</v>
      </c>
      <c r="W1147" s="10" t="s">
        <v>710</v>
      </c>
      <c r="X1147" s="17">
        <v>44789</v>
      </c>
      <c r="Y1147" s="17">
        <v>44791</v>
      </c>
      <c r="Z1147" s="19" t="s">
        <v>772</v>
      </c>
      <c r="AA1147" s="210">
        <v>43450</v>
      </c>
      <c r="AB1147" s="9">
        <v>120</v>
      </c>
      <c r="AC1147" s="9">
        <v>71</v>
      </c>
      <c r="AD1147" s="17">
        <v>47087</v>
      </c>
      <c r="AE1147" s="56">
        <v>278.75</v>
      </c>
      <c r="AF1147" s="56"/>
      <c r="AP1147" s="11"/>
      <c r="AQ1147" s="11"/>
      <c r="AR1147" s="11"/>
      <c r="AW1147" s="9"/>
      <c r="BD1147" s="9"/>
      <c r="CS1147" s="11">
        <f t="shared" si="81"/>
        <v>0</v>
      </c>
      <c r="CT1147" s="22">
        <f t="shared" si="82"/>
        <v>0</v>
      </c>
      <c r="CU1147" s="22">
        <f t="shared" si="80"/>
        <v>0</v>
      </c>
      <c r="CV1147" s="26">
        <f t="shared" si="83"/>
        <v>278.75</v>
      </c>
    </row>
    <row r="1148" spans="1:100" x14ac:dyDescent="0.2">
      <c r="A1148" s="9" t="s">
        <v>345</v>
      </c>
      <c r="B1148" s="2">
        <v>143</v>
      </c>
      <c r="C1148" s="3" t="s">
        <v>95</v>
      </c>
      <c r="D1148" s="3" t="s">
        <v>96</v>
      </c>
      <c r="E1148" s="2" t="s">
        <v>72</v>
      </c>
      <c r="F1148" s="2">
        <v>16</v>
      </c>
      <c r="G1148" s="2" t="s">
        <v>84</v>
      </c>
      <c r="H1148" s="2">
        <v>6</v>
      </c>
      <c r="I1148" s="8">
        <v>120.12</v>
      </c>
      <c r="J1148" s="8">
        <v>35900</v>
      </c>
      <c r="K1148" s="3">
        <v>0</v>
      </c>
      <c r="L1148" s="3" t="s">
        <v>3</v>
      </c>
      <c r="M1148" s="9" t="s">
        <v>0</v>
      </c>
      <c r="N1148" s="9" t="s">
        <v>27</v>
      </c>
      <c r="O1148" s="9" t="s">
        <v>346</v>
      </c>
      <c r="P1148" s="9" t="s">
        <v>0</v>
      </c>
      <c r="Q1148" s="9">
        <v>43761098</v>
      </c>
      <c r="R1148" s="9" t="s">
        <v>347</v>
      </c>
      <c r="S1148" s="9" t="s">
        <v>158</v>
      </c>
      <c r="T1148" s="10" t="s">
        <v>84</v>
      </c>
      <c r="U1148" s="10">
        <v>6</v>
      </c>
      <c r="V1148" s="10">
        <v>120.12</v>
      </c>
      <c r="W1148" s="10" t="s">
        <v>710</v>
      </c>
      <c r="X1148" s="17">
        <v>44789</v>
      </c>
      <c r="Y1148" s="17">
        <v>44791</v>
      </c>
      <c r="Z1148" s="19" t="s">
        <v>772</v>
      </c>
      <c r="AA1148" s="210">
        <v>43450</v>
      </c>
      <c r="AB1148" s="9">
        <v>120</v>
      </c>
      <c r="AC1148" s="9">
        <v>72</v>
      </c>
      <c r="AD1148" s="17">
        <v>47117</v>
      </c>
      <c r="AE1148" s="56">
        <v>278.75</v>
      </c>
      <c r="AF1148" s="56"/>
      <c r="AP1148" s="11"/>
      <c r="AQ1148" s="11"/>
      <c r="AR1148" s="11"/>
      <c r="AW1148" s="9"/>
      <c r="BD1148" s="9"/>
      <c r="CS1148" s="11">
        <f t="shared" si="81"/>
        <v>0</v>
      </c>
      <c r="CT1148" s="22">
        <f t="shared" si="82"/>
        <v>0</v>
      </c>
      <c r="CU1148" s="22">
        <f t="shared" si="80"/>
        <v>0</v>
      </c>
      <c r="CV1148" s="26">
        <f t="shared" si="83"/>
        <v>278.75</v>
      </c>
    </row>
    <row r="1149" spans="1:100" x14ac:dyDescent="0.2">
      <c r="A1149" s="9" t="s">
        <v>345</v>
      </c>
      <c r="B1149" s="2">
        <v>143</v>
      </c>
      <c r="C1149" s="3" t="s">
        <v>95</v>
      </c>
      <c r="D1149" s="3" t="s">
        <v>96</v>
      </c>
      <c r="E1149" s="2" t="s">
        <v>72</v>
      </c>
      <c r="F1149" s="2">
        <v>16</v>
      </c>
      <c r="G1149" s="2" t="s">
        <v>84</v>
      </c>
      <c r="H1149" s="2">
        <v>6</v>
      </c>
      <c r="I1149" s="8">
        <v>120.12</v>
      </c>
      <c r="J1149" s="8">
        <v>35900</v>
      </c>
      <c r="K1149" s="3">
        <v>0</v>
      </c>
      <c r="L1149" s="3" t="s">
        <v>3</v>
      </c>
      <c r="M1149" s="9" t="s">
        <v>0</v>
      </c>
      <c r="N1149" s="9" t="s">
        <v>27</v>
      </c>
      <c r="O1149" s="9" t="s">
        <v>346</v>
      </c>
      <c r="P1149" s="9" t="s">
        <v>0</v>
      </c>
      <c r="Q1149" s="9">
        <v>43761098</v>
      </c>
      <c r="R1149" s="9" t="s">
        <v>347</v>
      </c>
      <c r="S1149" s="9" t="s">
        <v>158</v>
      </c>
      <c r="T1149" s="10" t="s">
        <v>84</v>
      </c>
      <c r="U1149" s="10">
        <v>6</v>
      </c>
      <c r="V1149" s="10">
        <v>120.12</v>
      </c>
      <c r="W1149" s="10" t="s">
        <v>710</v>
      </c>
      <c r="X1149" s="17">
        <v>44789</v>
      </c>
      <c r="Y1149" s="17">
        <v>44791</v>
      </c>
      <c r="Z1149" s="19" t="s">
        <v>772</v>
      </c>
      <c r="AA1149" s="210">
        <v>43450</v>
      </c>
      <c r="AB1149" s="9">
        <v>120</v>
      </c>
      <c r="AC1149" s="9">
        <v>73</v>
      </c>
      <c r="AD1149" s="17">
        <v>47148</v>
      </c>
      <c r="AE1149" s="56">
        <v>278.75</v>
      </c>
      <c r="AF1149" s="56"/>
      <c r="AP1149" s="11"/>
      <c r="AQ1149" s="11"/>
      <c r="AR1149" s="11"/>
      <c r="AW1149" s="9"/>
      <c r="BD1149" s="9"/>
      <c r="CS1149" s="11">
        <f t="shared" si="81"/>
        <v>0</v>
      </c>
      <c r="CT1149" s="22">
        <f t="shared" si="82"/>
        <v>0</v>
      </c>
      <c r="CU1149" s="22">
        <f t="shared" si="80"/>
        <v>0</v>
      </c>
      <c r="CV1149" s="26">
        <f t="shared" si="83"/>
        <v>278.75</v>
      </c>
    </row>
    <row r="1150" spans="1:100" x14ac:dyDescent="0.2">
      <c r="A1150" s="9" t="s">
        <v>345</v>
      </c>
      <c r="B1150" s="2">
        <v>143</v>
      </c>
      <c r="C1150" s="3" t="s">
        <v>95</v>
      </c>
      <c r="D1150" s="3" t="s">
        <v>96</v>
      </c>
      <c r="E1150" s="2" t="s">
        <v>72</v>
      </c>
      <c r="F1150" s="2">
        <v>16</v>
      </c>
      <c r="G1150" s="2" t="s">
        <v>84</v>
      </c>
      <c r="H1150" s="2">
        <v>6</v>
      </c>
      <c r="I1150" s="8">
        <v>120.12</v>
      </c>
      <c r="J1150" s="8">
        <v>35900</v>
      </c>
      <c r="K1150" s="3">
        <v>0</v>
      </c>
      <c r="L1150" s="3" t="s">
        <v>3</v>
      </c>
      <c r="M1150" s="9" t="s">
        <v>0</v>
      </c>
      <c r="N1150" s="9" t="s">
        <v>27</v>
      </c>
      <c r="O1150" s="9" t="s">
        <v>346</v>
      </c>
      <c r="P1150" s="9" t="s">
        <v>0</v>
      </c>
      <c r="Q1150" s="9">
        <v>43761098</v>
      </c>
      <c r="R1150" s="9" t="s">
        <v>347</v>
      </c>
      <c r="S1150" s="9" t="s">
        <v>158</v>
      </c>
      <c r="T1150" s="10" t="s">
        <v>84</v>
      </c>
      <c r="U1150" s="10">
        <v>6</v>
      </c>
      <c r="V1150" s="10">
        <v>120.12</v>
      </c>
      <c r="W1150" s="10" t="s">
        <v>710</v>
      </c>
      <c r="X1150" s="17">
        <v>44789</v>
      </c>
      <c r="Y1150" s="17">
        <v>44791</v>
      </c>
      <c r="Z1150" s="19" t="s">
        <v>772</v>
      </c>
      <c r="AA1150" s="210">
        <v>43450</v>
      </c>
      <c r="AB1150" s="9">
        <v>120</v>
      </c>
      <c r="AC1150" s="9">
        <v>74</v>
      </c>
      <c r="AD1150" s="17">
        <v>47177</v>
      </c>
      <c r="AE1150" s="56">
        <v>278.75</v>
      </c>
      <c r="AF1150" s="56"/>
      <c r="AP1150" s="11"/>
      <c r="AQ1150" s="11"/>
      <c r="AR1150" s="11"/>
      <c r="AW1150" s="9"/>
      <c r="BD1150" s="9"/>
      <c r="CS1150" s="11">
        <f t="shared" si="81"/>
        <v>0</v>
      </c>
      <c r="CT1150" s="22">
        <f t="shared" si="82"/>
        <v>0</v>
      </c>
      <c r="CU1150" s="22">
        <f t="shared" si="80"/>
        <v>0</v>
      </c>
      <c r="CV1150" s="26">
        <f t="shared" si="83"/>
        <v>278.75</v>
      </c>
    </row>
    <row r="1151" spans="1:100" x14ac:dyDescent="0.2">
      <c r="A1151" s="9" t="s">
        <v>345</v>
      </c>
      <c r="B1151" s="2">
        <v>143</v>
      </c>
      <c r="C1151" s="3" t="s">
        <v>95</v>
      </c>
      <c r="D1151" s="3" t="s">
        <v>96</v>
      </c>
      <c r="E1151" s="2" t="s">
        <v>72</v>
      </c>
      <c r="F1151" s="2">
        <v>16</v>
      </c>
      <c r="G1151" s="2" t="s">
        <v>84</v>
      </c>
      <c r="H1151" s="2">
        <v>6</v>
      </c>
      <c r="I1151" s="8">
        <v>120.12</v>
      </c>
      <c r="J1151" s="8">
        <v>35900</v>
      </c>
      <c r="K1151" s="3">
        <v>0</v>
      </c>
      <c r="L1151" s="3" t="s">
        <v>3</v>
      </c>
      <c r="M1151" s="9" t="s">
        <v>0</v>
      </c>
      <c r="N1151" s="9" t="s">
        <v>27</v>
      </c>
      <c r="O1151" s="9" t="s">
        <v>346</v>
      </c>
      <c r="P1151" s="9" t="s">
        <v>0</v>
      </c>
      <c r="Q1151" s="9">
        <v>43761098</v>
      </c>
      <c r="R1151" s="9" t="s">
        <v>347</v>
      </c>
      <c r="S1151" s="9" t="s">
        <v>158</v>
      </c>
      <c r="T1151" s="10" t="s">
        <v>84</v>
      </c>
      <c r="U1151" s="10">
        <v>6</v>
      </c>
      <c r="V1151" s="10">
        <v>120.12</v>
      </c>
      <c r="W1151" s="10" t="s">
        <v>710</v>
      </c>
      <c r="X1151" s="17">
        <v>44789</v>
      </c>
      <c r="Y1151" s="17">
        <v>44791</v>
      </c>
      <c r="Z1151" s="19" t="s">
        <v>772</v>
      </c>
      <c r="AA1151" s="210">
        <v>43450</v>
      </c>
      <c r="AB1151" s="9">
        <v>120</v>
      </c>
      <c r="AC1151" s="9">
        <v>75</v>
      </c>
      <c r="AD1151" s="17">
        <v>47207</v>
      </c>
      <c r="AE1151" s="56">
        <v>278.75</v>
      </c>
      <c r="AF1151" s="56"/>
      <c r="AP1151" s="11"/>
      <c r="AQ1151" s="11"/>
      <c r="AR1151" s="11"/>
      <c r="AW1151" s="9"/>
      <c r="BD1151" s="9"/>
      <c r="CS1151" s="11">
        <f t="shared" si="81"/>
        <v>0</v>
      </c>
      <c r="CT1151" s="22">
        <f t="shared" si="82"/>
        <v>0</v>
      </c>
      <c r="CU1151" s="22">
        <f t="shared" si="80"/>
        <v>0</v>
      </c>
      <c r="CV1151" s="26">
        <f t="shared" si="83"/>
        <v>278.75</v>
      </c>
    </row>
    <row r="1152" spans="1:100" x14ac:dyDescent="0.2">
      <c r="A1152" s="9" t="s">
        <v>345</v>
      </c>
      <c r="B1152" s="2">
        <v>143</v>
      </c>
      <c r="C1152" s="3" t="s">
        <v>95</v>
      </c>
      <c r="D1152" s="3" t="s">
        <v>96</v>
      </c>
      <c r="E1152" s="2" t="s">
        <v>72</v>
      </c>
      <c r="F1152" s="2">
        <v>16</v>
      </c>
      <c r="G1152" s="2" t="s">
        <v>84</v>
      </c>
      <c r="H1152" s="2">
        <v>6</v>
      </c>
      <c r="I1152" s="8">
        <v>120.12</v>
      </c>
      <c r="J1152" s="8">
        <v>35900</v>
      </c>
      <c r="K1152" s="3">
        <v>0</v>
      </c>
      <c r="L1152" s="3" t="s">
        <v>3</v>
      </c>
      <c r="M1152" s="9" t="s">
        <v>0</v>
      </c>
      <c r="N1152" s="9" t="s">
        <v>27</v>
      </c>
      <c r="O1152" s="9" t="s">
        <v>346</v>
      </c>
      <c r="P1152" s="9" t="s">
        <v>0</v>
      </c>
      <c r="Q1152" s="9">
        <v>43761098</v>
      </c>
      <c r="R1152" s="9" t="s">
        <v>347</v>
      </c>
      <c r="S1152" s="9" t="s">
        <v>158</v>
      </c>
      <c r="T1152" s="10" t="s">
        <v>84</v>
      </c>
      <c r="U1152" s="10">
        <v>6</v>
      </c>
      <c r="V1152" s="10">
        <v>120.12</v>
      </c>
      <c r="W1152" s="10" t="s">
        <v>710</v>
      </c>
      <c r="X1152" s="17">
        <v>44789</v>
      </c>
      <c r="Y1152" s="17">
        <v>44791</v>
      </c>
      <c r="Z1152" s="19" t="s">
        <v>772</v>
      </c>
      <c r="AA1152" s="210">
        <v>43450</v>
      </c>
      <c r="AB1152" s="9">
        <v>120</v>
      </c>
      <c r="AC1152" s="9">
        <v>76</v>
      </c>
      <c r="AD1152" s="17">
        <v>47238</v>
      </c>
      <c r="AE1152" s="56">
        <v>278.75</v>
      </c>
      <c r="AF1152" s="56"/>
      <c r="AP1152" s="11"/>
      <c r="AQ1152" s="11"/>
      <c r="AR1152" s="11"/>
      <c r="AW1152" s="9"/>
      <c r="BD1152" s="9"/>
      <c r="CS1152" s="11">
        <f t="shared" si="81"/>
        <v>0</v>
      </c>
      <c r="CT1152" s="22">
        <f t="shared" si="82"/>
        <v>0</v>
      </c>
      <c r="CU1152" s="22">
        <f t="shared" si="80"/>
        <v>0</v>
      </c>
      <c r="CV1152" s="26">
        <f t="shared" si="83"/>
        <v>278.75</v>
      </c>
    </row>
    <row r="1153" spans="1:100" x14ac:dyDescent="0.2">
      <c r="A1153" s="9" t="s">
        <v>345</v>
      </c>
      <c r="B1153" s="2">
        <v>143</v>
      </c>
      <c r="C1153" s="3" t="s">
        <v>95</v>
      </c>
      <c r="D1153" s="3" t="s">
        <v>96</v>
      </c>
      <c r="E1153" s="2" t="s">
        <v>72</v>
      </c>
      <c r="F1153" s="2">
        <v>16</v>
      </c>
      <c r="G1153" s="2" t="s">
        <v>84</v>
      </c>
      <c r="H1153" s="2">
        <v>6</v>
      </c>
      <c r="I1153" s="8">
        <v>120.12</v>
      </c>
      <c r="J1153" s="8">
        <v>35900</v>
      </c>
      <c r="K1153" s="3">
        <v>0</v>
      </c>
      <c r="L1153" s="3" t="s">
        <v>3</v>
      </c>
      <c r="M1153" s="9" t="s">
        <v>0</v>
      </c>
      <c r="N1153" s="9" t="s">
        <v>27</v>
      </c>
      <c r="O1153" s="9" t="s">
        <v>346</v>
      </c>
      <c r="P1153" s="9" t="s">
        <v>0</v>
      </c>
      <c r="Q1153" s="9">
        <v>43761098</v>
      </c>
      <c r="R1153" s="9" t="s">
        <v>347</v>
      </c>
      <c r="S1153" s="9" t="s">
        <v>158</v>
      </c>
      <c r="T1153" s="10" t="s">
        <v>84</v>
      </c>
      <c r="U1153" s="10">
        <v>6</v>
      </c>
      <c r="V1153" s="10">
        <v>120.12</v>
      </c>
      <c r="W1153" s="10" t="s">
        <v>710</v>
      </c>
      <c r="X1153" s="17">
        <v>44789</v>
      </c>
      <c r="Y1153" s="17">
        <v>44791</v>
      </c>
      <c r="Z1153" s="19" t="s">
        <v>772</v>
      </c>
      <c r="AA1153" s="210">
        <v>43450</v>
      </c>
      <c r="AB1153" s="9">
        <v>120</v>
      </c>
      <c r="AC1153" s="9">
        <v>77</v>
      </c>
      <c r="AD1153" s="17">
        <v>47268</v>
      </c>
      <c r="AE1153" s="56">
        <v>278.75</v>
      </c>
      <c r="AF1153" s="56"/>
      <c r="AP1153" s="11"/>
      <c r="AQ1153" s="11"/>
      <c r="AR1153" s="11"/>
      <c r="AW1153" s="9"/>
      <c r="BD1153" s="9"/>
      <c r="CS1153" s="11">
        <f t="shared" si="81"/>
        <v>0</v>
      </c>
      <c r="CT1153" s="22">
        <f t="shared" si="82"/>
        <v>0</v>
      </c>
      <c r="CU1153" s="22">
        <f t="shared" si="80"/>
        <v>0</v>
      </c>
      <c r="CV1153" s="26">
        <f t="shared" si="83"/>
        <v>278.75</v>
      </c>
    </row>
    <row r="1154" spans="1:100" x14ac:dyDescent="0.2">
      <c r="A1154" s="9" t="s">
        <v>345</v>
      </c>
      <c r="B1154" s="2">
        <v>143</v>
      </c>
      <c r="C1154" s="3" t="s">
        <v>95</v>
      </c>
      <c r="D1154" s="3" t="s">
        <v>96</v>
      </c>
      <c r="E1154" s="2" t="s">
        <v>72</v>
      </c>
      <c r="F1154" s="2">
        <v>16</v>
      </c>
      <c r="G1154" s="2" t="s">
        <v>84</v>
      </c>
      <c r="H1154" s="2">
        <v>6</v>
      </c>
      <c r="I1154" s="8">
        <v>120.12</v>
      </c>
      <c r="J1154" s="8">
        <v>35900</v>
      </c>
      <c r="K1154" s="3">
        <v>0</v>
      </c>
      <c r="L1154" s="3" t="s">
        <v>3</v>
      </c>
      <c r="M1154" s="9" t="s">
        <v>0</v>
      </c>
      <c r="N1154" s="9" t="s">
        <v>27</v>
      </c>
      <c r="O1154" s="9" t="s">
        <v>346</v>
      </c>
      <c r="P1154" s="9" t="s">
        <v>0</v>
      </c>
      <c r="Q1154" s="9">
        <v>43761098</v>
      </c>
      <c r="R1154" s="9" t="s">
        <v>347</v>
      </c>
      <c r="S1154" s="9" t="s">
        <v>158</v>
      </c>
      <c r="T1154" s="10" t="s">
        <v>84</v>
      </c>
      <c r="U1154" s="10">
        <v>6</v>
      </c>
      <c r="V1154" s="10">
        <v>120.12</v>
      </c>
      <c r="W1154" s="10" t="s">
        <v>710</v>
      </c>
      <c r="X1154" s="17">
        <v>44789</v>
      </c>
      <c r="Y1154" s="17">
        <v>44791</v>
      </c>
      <c r="Z1154" s="19" t="s">
        <v>772</v>
      </c>
      <c r="AA1154" s="210">
        <v>43450</v>
      </c>
      <c r="AB1154" s="9">
        <v>120</v>
      </c>
      <c r="AC1154" s="9">
        <v>78</v>
      </c>
      <c r="AD1154" s="17">
        <v>47299</v>
      </c>
      <c r="AE1154" s="56">
        <v>278.75</v>
      </c>
      <c r="AF1154" s="56"/>
      <c r="AP1154" s="11"/>
      <c r="AQ1154" s="11"/>
      <c r="AR1154" s="11"/>
      <c r="AW1154" s="9"/>
      <c r="BD1154" s="9"/>
      <c r="CS1154" s="11">
        <f t="shared" si="81"/>
        <v>0</v>
      </c>
      <c r="CT1154" s="22">
        <f t="shared" si="82"/>
        <v>0</v>
      </c>
      <c r="CU1154" s="22">
        <f t="shared" si="80"/>
        <v>0</v>
      </c>
      <c r="CV1154" s="26">
        <f t="shared" si="83"/>
        <v>278.75</v>
      </c>
    </row>
    <row r="1155" spans="1:100" x14ac:dyDescent="0.2">
      <c r="A1155" s="9" t="s">
        <v>345</v>
      </c>
      <c r="B1155" s="2">
        <v>143</v>
      </c>
      <c r="C1155" s="3" t="s">
        <v>95</v>
      </c>
      <c r="D1155" s="3" t="s">
        <v>96</v>
      </c>
      <c r="E1155" s="2" t="s">
        <v>72</v>
      </c>
      <c r="F1155" s="2">
        <v>16</v>
      </c>
      <c r="G1155" s="2" t="s">
        <v>84</v>
      </c>
      <c r="H1155" s="2">
        <v>6</v>
      </c>
      <c r="I1155" s="8">
        <v>120.12</v>
      </c>
      <c r="J1155" s="8">
        <v>35900</v>
      </c>
      <c r="K1155" s="3">
        <v>0</v>
      </c>
      <c r="L1155" s="3" t="s">
        <v>3</v>
      </c>
      <c r="M1155" s="9" t="s">
        <v>0</v>
      </c>
      <c r="N1155" s="9" t="s">
        <v>27</v>
      </c>
      <c r="O1155" s="9" t="s">
        <v>346</v>
      </c>
      <c r="P1155" s="9" t="s">
        <v>0</v>
      </c>
      <c r="Q1155" s="9">
        <v>43761098</v>
      </c>
      <c r="R1155" s="9" t="s">
        <v>347</v>
      </c>
      <c r="S1155" s="9" t="s">
        <v>158</v>
      </c>
      <c r="T1155" s="10" t="s">
        <v>84</v>
      </c>
      <c r="U1155" s="10">
        <v>6</v>
      </c>
      <c r="V1155" s="10">
        <v>120.12</v>
      </c>
      <c r="W1155" s="10" t="s">
        <v>710</v>
      </c>
      <c r="X1155" s="17">
        <v>44789</v>
      </c>
      <c r="Y1155" s="17">
        <v>44791</v>
      </c>
      <c r="Z1155" s="19" t="s">
        <v>772</v>
      </c>
      <c r="AA1155" s="210">
        <v>43450</v>
      </c>
      <c r="AB1155" s="9">
        <v>120</v>
      </c>
      <c r="AC1155" s="9">
        <v>79</v>
      </c>
      <c r="AD1155" s="17">
        <v>47329</v>
      </c>
      <c r="AE1155" s="56">
        <v>278.75</v>
      </c>
      <c r="AF1155" s="56"/>
      <c r="AP1155" s="11"/>
      <c r="AQ1155" s="11"/>
      <c r="AR1155" s="11"/>
      <c r="AW1155" s="9"/>
      <c r="BD1155" s="9"/>
      <c r="CS1155" s="11">
        <f t="shared" si="81"/>
        <v>0</v>
      </c>
      <c r="CT1155" s="22">
        <f t="shared" si="82"/>
        <v>0</v>
      </c>
      <c r="CU1155" s="22">
        <f t="shared" si="80"/>
        <v>0</v>
      </c>
      <c r="CV1155" s="26">
        <f t="shared" si="83"/>
        <v>278.75</v>
      </c>
    </row>
    <row r="1156" spans="1:100" x14ac:dyDescent="0.2">
      <c r="A1156" s="9" t="s">
        <v>345</v>
      </c>
      <c r="B1156" s="2">
        <v>143</v>
      </c>
      <c r="C1156" s="3" t="s">
        <v>95</v>
      </c>
      <c r="D1156" s="3" t="s">
        <v>96</v>
      </c>
      <c r="E1156" s="2" t="s">
        <v>72</v>
      </c>
      <c r="F1156" s="2">
        <v>16</v>
      </c>
      <c r="G1156" s="2" t="s">
        <v>84</v>
      </c>
      <c r="H1156" s="2">
        <v>6</v>
      </c>
      <c r="I1156" s="8">
        <v>120.12</v>
      </c>
      <c r="J1156" s="8">
        <v>35900</v>
      </c>
      <c r="K1156" s="3">
        <v>0</v>
      </c>
      <c r="L1156" s="3" t="s">
        <v>3</v>
      </c>
      <c r="M1156" s="9" t="s">
        <v>0</v>
      </c>
      <c r="N1156" s="9" t="s">
        <v>27</v>
      </c>
      <c r="O1156" s="9" t="s">
        <v>346</v>
      </c>
      <c r="P1156" s="9" t="s">
        <v>0</v>
      </c>
      <c r="Q1156" s="9">
        <v>43761098</v>
      </c>
      <c r="R1156" s="9" t="s">
        <v>347</v>
      </c>
      <c r="S1156" s="9" t="s">
        <v>158</v>
      </c>
      <c r="T1156" s="10" t="s">
        <v>84</v>
      </c>
      <c r="U1156" s="10">
        <v>6</v>
      </c>
      <c r="V1156" s="10">
        <v>120.12</v>
      </c>
      <c r="W1156" s="10" t="s">
        <v>710</v>
      </c>
      <c r="X1156" s="17">
        <v>44789</v>
      </c>
      <c r="Y1156" s="17">
        <v>44791</v>
      </c>
      <c r="Z1156" s="19" t="s">
        <v>772</v>
      </c>
      <c r="AA1156" s="210">
        <v>43450</v>
      </c>
      <c r="AB1156" s="9">
        <v>120</v>
      </c>
      <c r="AC1156" s="9">
        <v>80</v>
      </c>
      <c r="AD1156" s="17">
        <v>47360</v>
      </c>
      <c r="AE1156" s="56">
        <v>278.75</v>
      </c>
      <c r="AF1156" s="56"/>
      <c r="AP1156" s="11"/>
      <c r="AQ1156" s="11"/>
      <c r="AR1156" s="11"/>
      <c r="AW1156" s="9"/>
      <c r="BD1156" s="9"/>
      <c r="CS1156" s="11">
        <f t="shared" si="81"/>
        <v>0</v>
      </c>
      <c r="CT1156" s="22">
        <f t="shared" si="82"/>
        <v>0</v>
      </c>
      <c r="CU1156" s="22">
        <f t="shared" si="80"/>
        <v>0</v>
      </c>
      <c r="CV1156" s="26">
        <f t="shared" si="83"/>
        <v>278.75</v>
      </c>
    </row>
    <row r="1157" spans="1:100" x14ac:dyDescent="0.2">
      <c r="A1157" s="9" t="s">
        <v>345</v>
      </c>
      <c r="B1157" s="2">
        <v>143</v>
      </c>
      <c r="C1157" s="3" t="s">
        <v>95</v>
      </c>
      <c r="D1157" s="3" t="s">
        <v>96</v>
      </c>
      <c r="E1157" s="2" t="s">
        <v>72</v>
      </c>
      <c r="F1157" s="2">
        <v>16</v>
      </c>
      <c r="G1157" s="2" t="s">
        <v>84</v>
      </c>
      <c r="H1157" s="2">
        <v>6</v>
      </c>
      <c r="I1157" s="8">
        <v>120.12</v>
      </c>
      <c r="J1157" s="8">
        <v>35900</v>
      </c>
      <c r="K1157" s="3">
        <v>0</v>
      </c>
      <c r="L1157" s="3" t="s">
        <v>3</v>
      </c>
      <c r="M1157" s="9" t="s">
        <v>0</v>
      </c>
      <c r="N1157" s="9" t="s">
        <v>27</v>
      </c>
      <c r="O1157" s="9" t="s">
        <v>346</v>
      </c>
      <c r="P1157" s="9" t="s">
        <v>0</v>
      </c>
      <c r="Q1157" s="9">
        <v>43761098</v>
      </c>
      <c r="R1157" s="9" t="s">
        <v>347</v>
      </c>
      <c r="S1157" s="9" t="s">
        <v>158</v>
      </c>
      <c r="T1157" s="10" t="s">
        <v>84</v>
      </c>
      <c r="U1157" s="10">
        <v>6</v>
      </c>
      <c r="V1157" s="10">
        <v>120.12</v>
      </c>
      <c r="W1157" s="10" t="s">
        <v>710</v>
      </c>
      <c r="X1157" s="17">
        <v>44789</v>
      </c>
      <c r="Y1157" s="17">
        <v>44791</v>
      </c>
      <c r="Z1157" s="19" t="s">
        <v>772</v>
      </c>
      <c r="AA1157" s="210">
        <v>43450</v>
      </c>
      <c r="AB1157" s="9">
        <v>120</v>
      </c>
      <c r="AC1157" s="9">
        <v>81</v>
      </c>
      <c r="AD1157" s="17">
        <v>47391</v>
      </c>
      <c r="AE1157" s="56">
        <v>278.75</v>
      </c>
      <c r="AF1157" s="56"/>
      <c r="AP1157" s="11"/>
      <c r="AQ1157" s="11"/>
      <c r="AR1157" s="11"/>
      <c r="AW1157" s="9"/>
      <c r="BD1157" s="9"/>
      <c r="CS1157" s="11">
        <f t="shared" si="81"/>
        <v>0</v>
      </c>
      <c r="CT1157" s="22">
        <f t="shared" si="82"/>
        <v>0</v>
      </c>
      <c r="CU1157" s="22">
        <f t="shared" si="80"/>
        <v>0</v>
      </c>
      <c r="CV1157" s="26">
        <f t="shared" si="83"/>
        <v>278.75</v>
      </c>
    </row>
    <row r="1158" spans="1:100" x14ac:dyDescent="0.2">
      <c r="A1158" s="9" t="s">
        <v>345</v>
      </c>
      <c r="B1158" s="2">
        <v>143</v>
      </c>
      <c r="C1158" s="3" t="s">
        <v>95</v>
      </c>
      <c r="D1158" s="3" t="s">
        <v>96</v>
      </c>
      <c r="E1158" s="2" t="s">
        <v>72</v>
      </c>
      <c r="F1158" s="2">
        <v>16</v>
      </c>
      <c r="G1158" s="2" t="s">
        <v>84</v>
      </c>
      <c r="H1158" s="2">
        <v>6</v>
      </c>
      <c r="I1158" s="8">
        <v>120.12</v>
      </c>
      <c r="J1158" s="8">
        <v>35900</v>
      </c>
      <c r="K1158" s="3">
        <v>0</v>
      </c>
      <c r="L1158" s="3" t="s">
        <v>3</v>
      </c>
      <c r="M1158" s="9" t="s">
        <v>0</v>
      </c>
      <c r="N1158" s="9" t="s">
        <v>27</v>
      </c>
      <c r="O1158" s="9" t="s">
        <v>346</v>
      </c>
      <c r="P1158" s="9" t="s">
        <v>0</v>
      </c>
      <c r="Q1158" s="9">
        <v>43761098</v>
      </c>
      <c r="R1158" s="9" t="s">
        <v>347</v>
      </c>
      <c r="S1158" s="9" t="s">
        <v>158</v>
      </c>
      <c r="T1158" s="10" t="s">
        <v>84</v>
      </c>
      <c r="U1158" s="10">
        <v>6</v>
      </c>
      <c r="V1158" s="10">
        <v>120.12</v>
      </c>
      <c r="W1158" s="10" t="s">
        <v>710</v>
      </c>
      <c r="X1158" s="17">
        <v>44789</v>
      </c>
      <c r="Y1158" s="17">
        <v>44791</v>
      </c>
      <c r="Z1158" s="19" t="s">
        <v>772</v>
      </c>
      <c r="AA1158" s="210">
        <v>43450</v>
      </c>
      <c r="AB1158" s="9">
        <v>120</v>
      </c>
      <c r="AC1158" s="9">
        <v>82</v>
      </c>
      <c r="AD1158" s="17">
        <v>47421</v>
      </c>
      <c r="AE1158" s="56">
        <v>278.75</v>
      </c>
      <c r="AF1158" s="56"/>
      <c r="AP1158" s="11"/>
      <c r="AQ1158" s="11"/>
      <c r="AR1158" s="11"/>
      <c r="AW1158" s="9"/>
      <c r="BD1158" s="9"/>
      <c r="CS1158" s="11">
        <f t="shared" si="81"/>
        <v>0</v>
      </c>
      <c r="CT1158" s="22">
        <f t="shared" si="82"/>
        <v>0</v>
      </c>
      <c r="CU1158" s="22">
        <f t="shared" si="80"/>
        <v>0</v>
      </c>
      <c r="CV1158" s="26">
        <f t="shared" si="83"/>
        <v>278.75</v>
      </c>
    </row>
    <row r="1159" spans="1:100" x14ac:dyDescent="0.2">
      <c r="A1159" s="9" t="s">
        <v>345</v>
      </c>
      <c r="B1159" s="2">
        <v>143</v>
      </c>
      <c r="C1159" s="3" t="s">
        <v>95</v>
      </c>
      <c r="D1159" s="3" t="s">
        <v>96</v>
      </c>
      <c r="E1159" s="2" t="s">
        <v>72</v>
      </c>
      <c r="F1159" s="2">
        <v>16</v>
      </c>
      <c r="G1159" s="2" t="s">
        <v>84</v>
      </c>
      <c r="H1159" s="2">
        <v>6</v>
      </c>
      <c r="I1159" s="8">
        <v>120.12</v>
      </c>
      <c r="J1159" s="8">
        <v>35900</v>
      </c>
      <c r="K1159" s="3">
        <v>0</v>
      </c>
      <c r="L1159" s="3" t="s">
        <v>3</v>
      </c>
      <c r="M1159" s="9" t="s">
        <v>0</v>
      </c>
      <c r="N1159" s="9" t="s">
        <v>27</v>
      </c>
      <c r="O1159" s="9" t="s">
        <v>346</v>
      </c>
      <c r="P1159" s="9" t="s">
        <v>0</v>
      </c>
      <c r="Q1159" s="9">
        <v>43761098</v>
      </c>
      <c r="R1159" s="9" t="s">
        <v>347</v>
      </c>
      <c r="S1159" s="9" t="s">
        <v>158</v>
      </c>
      <c r="T1159" s="10" t="s">
        <v>84</v>
      </c>
      <c r="U1159" s="10">
        <v>6</v>
      </c>
      <c r="V1159" s="10">
        <v>120.12</v>
      </c>
      <c r="W1159" s="10" t="s">
        <v>710</v>
      </c>
      <c r="X1159" s="17">
        <v>44789</v>
      </c>
      <c r="Y1159" s="17">
        <v>44791</v>
      </c>
      <c r="Z1159" s="19" t="s">
        <v>772</v>
      </c>
      <c r="AA1159" s="210">
        <v>43450</v>
      </c>
      <c r="AB1159" s="9">
        <v>120</v>
      </c>
      <c r="AC1159" s="9">
        <v>83</v>
      </c>
      <c r="AD1159" s="17">
        <v>47452</v>
      </c>
      <c r="AE1159" s="56">
        <v>278.75</v>
      </c>
      <c r="AF1159" s="56"/>
      <c r="AP1159" s="11"/>
      <c r="AQ1159" s="11"/>
      <c r="AR1159" s="11"/>
      <c r="AW1159" s="9"/>
      <c r="BD1159" s="9"/>
      <c r="CS1159" s="11">
        <f t="shared" si="81"/>
        <v>0</v>
      </c>
      <c r="CT1159" s="22">
        <f t="shared" si="82"/>
        <v>0</v>
      </c>
      <c r="CU1159" s="22">
        <f t="shared" si="80"/>
        <v>0</v>
      </c>
      <c r="CV1159" s="26">
        <f t="shared" si="83"/>
        <v>278.75</v>
      </c>
    </row>
    <row r="1160" spans="1:100" x14ac:dyDescent="0.2">
      <c r="A1160" s="9" t="s">
        <v>345</v>
      </c>
      <c r="B1160" s="2">
        <v>143</v>
      </c>
      <c r="C1160" s="3" t="s">
        <v>95</v>
      </c>
      <c r="D1160" s="3" t="s">
        <v>96</v>
      </c>
      <c r="E1160" s="2" t="s">
        <v>72</v>
      </c>
      <c r="F1160" s="2">
        <v>16</v>
      </c>
      <c r="G1160" s="2" t="s">
        <v>84</v>
      </c>
      <c r="H1160" s="2">
        <v>6</v>
      </c>
      <c r="I1160" s="8">
        <v>120.12</v>
      </c>
      <c r="J1160" s="8">
        <v>35900</v>
      </c>
      <c r="K1160" s="3">
        <v>0</v>
      </c>
      <c r="L1160" s="3" t="s">
        <v>3</v>
      </c>
      <c r="M1160" s="9" t="s">
        <v>0</v>
      </c>
      <c r="N1160" s="9" t="s">
        <v>27</v>
      </c>
      <c r="O1160" s="9" t="s">
        <v>346</v>
      </c>
      <c r="P1160" s="9" t="s">
        <v>0</v>
      </c>
      <c r="Q1160" s="9">
        <v>43761098</v>
      </c>
      <c r="R1160" s="9" t="s">
        <v>347</v>
      </c>
      <c r="S1160" s="9" t="s">
        <v>158</v>
      </c>
      <c r="T1160" s="10" t="s">
        <v>84</v>
      </c>
      <c r="U1160" s="10">
        <v>6</v>
      </c>
      <c r="V1160" s="10">
        <v>120.12</v>
      </c>
      <c r="W1160" s="10" t="s">
        <v>710</v>
      </c>
      <c r="X1160" s="17">
        <v>44789</v>
      </c>
      <c r="Y1160" s="17">
        <v>44791</v>
      </c>
      <c r="Z1160" s="19" t="s">
        <v>772</v>
      </c>
      <c r="AA1160" s="210">
        <v>43450</v>
      </c>
      <c r="AB1160" s="9">
        <v>120</v>
      </c>
      <c r="AC1160" s="9">
        <v>84</v>
      </c>
      <c r="AD1160" s="17">
        <v>47482</v>
      </c>
      <c r="AE1160" s="56">
        <v>278.75</v>
      </c>
      <c r="AF1160" s="56"/>
      <c r="AP1160" s="11"/>
      <c r="AQ1160" s="11"/>
      <c r="AR1160" s="11"/>
      <c r="AW1160" s="9"/>
      <c r="BD1160" s="9"/>
      <c r="CS1160" s="11">
        <f t="shared" si="81"/>
        <v>0</v>
      </c>
      <c r="CT1160" s="22">
        <f t="shared" si="82"/>
        <v>0</v>
      </c>
      <c r="CU1160" s="22">
        <f t="shared" si="80"/>
        <v>0</v>
      </c>
      <c r="CV1160" s="26">
        <f t="shared" si="83"/>
        <v>278.75</v>
      </c>
    </row>
    <row r="1161" spans="1:100" x14ac:dyDescent="0.2">
      <c r="A1161" s="9" t="s">
        <v>345</v>
      </c>
      <c r="B1161" s="2">
        <v>143</v>
      </c>
      <c r="C1161" s="3" t="s">
        <v>95</v>
      </c>
      <c r="D1161" s="3" t="s">
        <v>96</v>
      </c>
      <c r="E1161" s="2" t="s">
        <v>72</v>
      </c>
      <c r="F1161" s="2">
        <v>16</v>
      </c>
      <c r="G1161" s="2" t="s">
        <v>84</v>
      </c>
      <c r="H1161" s="2">
        <v>6</v>
      </c>
      <c r="I1161" s="8">
        <v>120.12</v>
      </c>
      <c r="J1161" s="8">
        <v>35900</v>
      </c>
      <c r="K1161" s="3">
        <v>0</v>
      </c>
      <c r="L1161" s="3" t="s">
        <v>3</v>
      </c>
      <c r="M1161" s="9" t="s">
        <v>0</v>
      </c>
      <c r="N1161" s="9" t="s">
        <v>27</v>
      </c>
      <c r="O1161" s="9" t="s">
        <v>346</v>
      </c>
      <c r="P1161" s="9" t="s">
        <v>0</v>
      </c>
      <c r="Q1161" s="9">
        <v>43761098</v>
      </c>
      <c r="R1161" s="9" t="s">
        <v>347</v>
      </c>
      <c r="S1161" s="9" t="s">
        <v>158</v>
      </c>
      <c r="T1161" s="10" t="s">
        <v>84</v>
      </c>
      <c r="U1161" s="10">
        <v>6</v>
      </c>
      <c r="V1161" s="10">
        <v>120.12</v>
      </c>
      <c r="W1161" s="10" t="s">
        <v>710</v>
      </c>
      <c r="X1161" s="17">
        <v>44789</v>
      </c>
      <c r="Y1161" s="17">
        <v>44791</v>
      </c>
      <c r="Z1161" s="19" t="s">
        <v>772</v>
      </c>
      <c r="AA1161" s="210">
        <v>43450</v>
      </c>
      <c r="AB1161" s="9">
        <v>120</v>
      </c>
      <c r="AC1161" s="9">
        <v>85</v>
      </c>
      <c r="AD1161" s="17">
        <v>47513</v>
      </c>
      <c r="AE1161" s="56">
        <v>278.75</v>
      </c>
      <c r="AF1161" s="56"/>
      <c r="AP1161" s="11"/>
      <c r="AQ1161" s="11"/>
      <c r="AR1161" s="11"/>
      <c r="AW1161" s="9"/>
      <c r="BD1161" s="9"/>
      <c r="CS1161" s="11">
        <f t="shared" si="81"/>
        <v>0</v>
      </c>
      <c r="CT1161" s="22">
        <f t="shared" si="82"/>
        <v>0</v>
      </c>
      <c r="CU1161" s="22">
        <f t="shared" si="80"/>
        <v>0</v>
      </c>
      <c r="CV1161" s="26">
        <f t="shared" si="83"/>
        <v>278.75</v>
      </c>
    </row>
    <row r="1162" spans="1:100" x14ac:dyDescent="0.2">
      <c r="A1162" s="9" t="s">
        <v>345</v>
      </c>
      <c r="B1162" s="2">
        <v>143</v>
      </c>
      <c r="C1162" s="3" t="s">
        <v>95</v>
      </c>
      <c r="D1162" s="3" t="s">
        <v>96</v>
      </c>
      <c r="E1162" s="2" t="s">
        <v>72</v>
      </c>
      <c r="F1162" s="2">
        <v>16</v>
      </c>
      <c r="G1162" s="2" t="s">
        <v>84</v>
      </c>
      <c r="H1162" s="2">
        <v>6</v>
      </c>
      <c r="I1162" s="8">
        <v>120.12</v>
      </c>
      <c r="J1162" s="8">
        <v>35900</v>
      </c>
      <c r="K1162" s="3">
        <v>0</v>
      </c>
      <c r="L1162" s="3" t="s">
        <v>3</v>
      </c>
      <c r="M1162" s="9" t="s">
        <v>0</v>
      </c>
      <c r="N1162" s="9" t="s">
        <v>27</v>
      </c>
      <c r="O1162" s="9" t="s">
        <v>346</v>
      </c>
      <c r="P1162" s="9" t="s">
        <v>0</v>
      </c>
      <c r="Q1162" s="9">
        <v>43761098</v>
      </c>
      <c r="R1162" s="9" t="s">
        <v>347</v>
      </c>
      <c r="S1162" s="9" t="s">
        <v>158</v>
      </c>
      <c r="T1162" s="10" t="s">
        <v>84</v>
      </c>
      <c r="U1162" s="10">
        <v>6</v>
      </c>
      <c r="V1162" s="10">
        <v>120.12</v>
      </c>
      <c r="W1162" s="10" t="s">
        <v>710</v>
      </c>
      <c r="X1162" s="17">
        <v>44789</v>
      </c>
      <c r="Y1162" s="17">
        <v>44791</v>
      </c>
      <c r="Z1162" s="19" t="s">
        <v>772</v>
      </c>
      <c r="AA1162" s="210">
        <v>43450</v>
      </c>
      <c r="AB1162" s="9">
        <v>120</v>
      </c>
      <c r="AC1162" s="9">
        <v>86</v>
      </c>
      <c r="AD1162" s="17">
        <v>47542</v>
      </c>
      <c r="AE1162" s="56">
        <v>278.75</v>
      </c>
      <c r="AF1162" s="56"/>
      <c r="AP1162" s="11"/>
      <c r="AQ1162" s="11"/>
      <c r="AR1162" s="11"/>
      <c r="AW1162" s="9"/>
      <c r="BD1162" s="9"/>
      <c r="CS1162" s="11">
        <f t="shared" si="81"/>
        <v>0</v>
      </c>
      <c r="CT1162" s="22">
        <f t="shared" si="82"/>
        <v>0</v>
      </c>
      <c r="CU1162" s="22">
        <f t="shared" si="80"/>
        <v>0</v>
      </c>
      <c r="CV1162" s="26">
        <f t="shared" si="83"/>
        <v>278.75</v>
      </c>
    </row>
    <row r="1163" spans="1:100" x14ac:dyDescent="0.2">
      <c r="A1163" s="9" t="s">
        <v>345</v>
      </c>
      <c r="B1163" s="2">
        <v>143</v>
      </c>
      <c r="C1163" s="3" t="s">
        <v>95</v>
      </c>
      <c r="D1163" s="3" t="s">
        <v>96</v>
      </c>
      <c r="E1163" s="2" t="s">
        <v>72</v>
      </c>
      <c r="F1163" s="2">
        <v>16</v>
      </c>
      <c r="G1163" s="2" t="s">
        <v>84</v>
      </c>
      <c r="H1163" s="2">
        <v>6</v>
      </c>
      <c r="I1163" s="8">
        <v>120.12</v>
      </c>
      <c r="J1163" s="8">
        <v>35900</v>
      </c>
      <c r="K1163" s="3">
        <v>0</v>
      </c>
      <c r="L1163" s="3" t="s">
        <v>3</v>
      </c>
      <c r="M1163" s="9" t="s">
        <v>0</v>
      </c>
      <c r="N1163" s="9" t="s">
        <v>27</v>
      </c>
      <c r="O1163" s="9" t="s">
        <v>346</v>
      </c>
      <c r="P1163" s="9" t="s">
        <v>0</v>
      </c>
      <c r="Q1163" s="9">
        <v>43761098</v>
      </c>
      <c r="R1163" s="9" t="s">
        <v>347</v>
      </c>
      <c r="S1163" s="9" t="s">
        <v>158</v>
      </c>
      <c r="T1163" s="10" t="s">
        <v>84</v>
      </c>
      <c r="U1163" s="10">
        <v>6</v>
      </c>
      <c r="V1163" s="10">
        <v>120.12</v>
      </c>
      <c r="W1163" s="10" t="s">
        <v>710</v>
      </c>
      <c r="X1163" s="17">
        <v>44789</v>
      </c>
      <c r="Y1163" s="17">
        <v>44791</v>
      </c>
      <c r="Z1163" s="19" t="s">
        <v>772</v>
      </c>
      <c r="AA1163" s="210">
        <v>43450</v>
      </c>
      <c r="AB1163" s="9">
        <v>120</v>
      </c>
      <c r="AC1163" s="9">
        <v>87</v>
      </c>
      <c r="AD1163" s="17">
        <v>47572</v>
      </c>
      <c r="AE1163" s="56">
        <v>278.75</v>
      </c>
      <c r="AF1163" s="56"/>
      <c r="AP1163" s="11"/>
      <c r="AQ1163" s="11"/>
      <c r="AR1163" s="11"/>
      <c r="AW1163" s="9"/>
      <c r="BD1163" s="9"/>
      <c r="CS1163" s="11">
        <f t="shared" si="81"/>
        <v>0</v>
      </c>
      <c r="CT1163" s="22">
        <f t="shared" si="82"/>
        <v>0</v>
      </c>
      <c r="CU1163" s="22">
        <f t="shared" si="80"/>
        <v>0</v>
      </c>
      <c r="CV1163" s="26">
        <f t="shared" si="83"/>
        <v>278.75</v>
      </c>
    </row>
    <row r="1164" spans="1:100" x14ac:dyDescent="0.2">
      <c r="A1164" s="9" t="s">
        <v>345</v>
      </c>
      <c r="B1164" s="2">
        <v>143</v>
      </c>
      <c r="C1164" s="3" t="s">
        <v>95</v>
      </c>
      <c r="D1164" s="3" t="s">
        <v>96</v>
      </c>
      <c r="E1164" s="2" t="s">
        <v>72</v>
      </c>
      <c r="F1164" s="2">
        <v>16</v>
      </c>
      <c r="G1164" s="2" t="s">
        <v>84</v>
      </c>
      <c r="H1164" s="2">
        <v>6</v>
      </c>
      <c r="I1164" s="8">
        <v>120.12</v>
      </c>
      <c r="J1164" s="8">
        <v>35900</v>
      </c>
      <c r="K1164" s="3">
        <v>0</v>
      </c>
      <c r="L1164" s="3" t="s">
        <v>3</v>
      </c>
      <c r="M1164" s="9" t="s">
        <v>0</v>
      </c>
      <c r="N1164" s="9" t="s">
        <v>27</v>
      </c>
      <c r="O1164" s="9" t="s">
        <v>346</v>
      </c>
      <c r="P1164" s="9" t="s">
        <v>0</v>
      </c>
      <c r="Q1164" s="9">
        <v>43761098</v>
      </c>
      <c r="R1164" s="9" t="s">
        <v>347</v>
      </c>
      <c r="S1164" s="9" t="s">
        <v>158</v>
      </c>
      <c r="T1164" s="10" t="s">
        <v>84</v>
      </c>
      <c r="U1164" s="10">
        <v>6</v>
      </c>
      <c r="V1164" s="10">
        <v>120.12</v>
      </c>
      <c r="W1164" s="10" t="s">
        <v>710</v>
      </c>
      <c r="X1164" s="17">
        <v>44789</v>
      </c>
      <c r="Y1164" s="17">
        <v>44791</v>
      </c>
      <c r="Z1164" s="19" t="s">
        <v>772</v>
      </c>
      <c r="AA1164" s="210">
        <v>43450</v>
      </c>
      <c r="AB1164" s="9">
        <v>120</v>
      </c>
      <c r="AC1164" s="9">
        <v>88</v>
      </c>
      <c r="AD1164" s="17">
        <v>47603</v>
      </c>
      <c r="AE1164" s="56">
        <v>278.75</v>
      </c>
      <c r="AF1164" s="56"/>
      <c r="AP1164" s="11"/>
      <c r="AQ1164" s="11"/>
      <c r="AR1164" s="11"/>
      <c r="AW1164" s="9"/>
      <c r="BD1164" s="9"/>
      <c r="CS1164" s="11">
        <f t="shared" si="81"/>
        <v>0</v>
      </c>
      <c r="CT1164" s="22">
        <f t="shared" si="82"/>
        <v>0</v>
      </c>
      <c r="CU1164" s="22">
        <f t="shared" si="80"/>
        <v>0</v>
      </c>
      <c r="CV1164" s="26">
        <f t="shared" si="83"/>
        <v>278.75</v>
      </c>
    </row>
    <row r="1165" spans="1:100" x14ac:dyDescent="0.2">
      <c r="A1165" s="9" t="s">
        <v>345</v>
      </c>
      <c r="B1165" s="2">
        <v>143</v>
      </c>
      <c r="C1165" s="3" t="s">
        <v>95</v>
      </c>
      <c r="D1165" s="3" t="s">
        <v>96</v>
      </c>
      <c r="E1165" s="2" t="s">
        <v>72</v>
      </c>
      <c r="F1165" s="2">
        <v>16</v>
      </c>
      <c r="G1165" s="2" t="s">
        <v>84</v>
      </c>
      <c r="H1165" s="2">
        <v>6</v>
      </c>
      <c r="I1165" s="8">
        <v>120.12</v>
      </c>
      <c r="J1165" s="8">
        <v>35900</v>
      </c>
      <c r="K1165" s="3">
        <v>0</v>
      </c>
      <c r="L1165" s="3" t="s">
        <v>3</v>
      </c>
      <c r="M1165" s="9" t="s">
        <v>0</v>
      </c>
      <c r="N1165" s="9" t="s">
        <v>27</v>
      </c>
      <c r="O1165" s="9" t="s">
        <v>346</v>
      </c>
      <c r="P1165" s="9" t="s">
        <v>0</v>
      </c>
      <c r="Q1165" s="9">
        <v>43761098</v>
      </c>
      <c r="R1165" s="9" t="s">
        <v>347</v>
      </c>
      <c r="S1165" s="9" t="s">
        <v>158</v>
      </c>
      <c r="T1165" s="10" t="s">
        <v>84</v>
      </c>
      <c r="U1165" s="10">
        <v>6</v>
      </c>
      <c r="V1165" s="10">
        <v>120.12</v>
      </c>
      <c r="W1165" s="10" t="s">
        <v>710</v>
      </c>
      <c r="X1165" s="17">
        <v>44789</v>
      </c>
      <c r="Y1165" s="17">
        <v>44791</v>
      </c>
      <c r="Z1165" s="19" t="s">
        <v>772</v>
      </c>
      <c r="AA1165" s="210">
        <v>43450</v>
      </c>
      <c r="AB1165" s="9">
        <v>120</v>
      </c>
      <c r="AC1165" s="9">
        <v>89</v>
      </c>
      <c r="AD1165" s="17">
        <v>47633</v>
      </c>
      <c r="AE1165" s="56">
        <v>278.75</v>
      </c>
      <c r="AF1165" s="56"/>
      <c r="AP1165" s="11"/>
      <c r="AQ1165" s="11"/>
      <c r="AR1165" s="11"/>
      <c r="AW1165" s="9"/>
      <c r="BD1165" s="9"/>
      <c r="CS1165" s="11">
        <f t="shared" si="81"/>
        <v>0</v>
      </c>
      <c r="CT1165" s="22">
        <f t="shared" si="82"/>
        <v>0</v>
      </c>
      <c r="CU1165" s="22">
        <f t="shared" si="80"/>
        <v>0</v>
      </c>
      <c r="CV1165" s="26">
        <f t="shared" si="83"/>
        <v>278.75</v>
      </c>
    </row>
    <row r="1166" spans="1:100" x14ac:dyDescent="0.2">
      <c r="A1166" s="9" t="s">
        <v>345</v>
      </c>
      <c r="B1166" s="2">
        <v>143</v>
      </c>
      <c r="C1166" s="3" t="s">
        <v>95</v>
      </c>
      <c r="D1166" s="3" t="s">
        <v>96</v>
      </c>
      <c r="E1166" s="2" t="s">
        <v>72</v>
      </c>
      <c r="F1166" s="2">
        <v>16</v>
      </c>
      <c r="G1166" s="2" t="s">
        <v>84</v>
      </c>
      <c r="H1166" s="2">
        <v>6</v>
      </c>
      <c r="I1166" s="8">
        <v>120.12</v>
      </c>
      <c r="J1166" s="8">
        <v>35900</v>
      </c>
      <c r="K1166" s="3">
        <v>0</v>
      </c>
      <c r="L1166" s="3" t="s">
        <v>3</v>
      </c>
      <c r="M1166" s="9" t="s">
        <v>0</v>
      </c>
      <c r="N1166" s="9" t="s">
        <v>27</v>
      </c>
      <c r="O1166" s="9" t="s">
        <v>346</v>
      </c>
      <c r="P1166" s="9" t="s">
        <v>0</v>
      </c>
      <c r="Q1166" s="9">
        <v>43761098</v>
      </c>
      <c r="R1166" s="9" t="s">
        <v>347</v>
      </c>
      <c r="S1166" s="9" t="s">
        <v>158</v>
      </c>
      <c r="T1166" s="10" t="s">
        <v>84</v>
      </c>
      <c r="U1166" s="10">
        <v>6</v>
      </c>
      <c r="V1166" s="10">
        <v>120.12</v>
      </c>
      <c r="W1166" s="10" t="s">
        <v>710</v>
      </c>
      <c r="X1166" s="17">
        <v>44789</v>
      </c>
      <c r="Y1166" s="17">
        <v>44791</v>
      </c>
      <c r="Z1166" s="19" t="s">
        <v>772</v>
      </c>
      <c r="AA1166" s="210">
        <v>43450</v>
      </c>
      <c r="AB1166" s="9">
        <v>120</v>
      </c>
      <c r="AC1166" s="9">
        <v>90</v>
      </c>
      <c r="AD1166" s="17">
        <v>47664</v>
      </c>
      <c r="AE1166" s="56">
        <v>278.75</v>
      </c>
      <c r="AF1166" s="56"/>
      <c r="AP1166" s="11"/>
      <c r="AQ1166" s="11"/>
      <c r="AR1166" s="11"/>
      <c r="AW1166" s="9"/>
      <c r="BD1166" s="9"/>
      <c r="CS1166" s="11">
        <f t="shared" si="81"/>
        <v>0</v>
      </c>
      <c r="CT1166" s="22">
        <f t="shared" si="82"/>
        <v>0</v>
      </c>
      <c r="CU1166" s="22">
        <f t="shared" si="80"/>
        <v>0</v>
      </c>
      <c r="CV1166" s="26">
        <f t="shared" si="83"/>
        <v>278.75</v>
      </c>
    </row>
    <row r="1167" spans="1:100" x14ac:dyDescent="0.2">
      <c r="A1167" s="9" t="s">
        <v>345</v>
      </c>
      <c r="B1167" s="2">
        <v>143</v>
      </c>
      <c r="C1167" s="3" t="s">
        <v>95</v>
      </c>
      <c r="D1167" s="3" t="s">
        <v>96</v>
      </c>
      <c r="E1167" s="2" t="s">
        <v>72</v>
      </c>
      <c r="F1167" s="2">
        <v>16</v>
      </c>
      <c r="G1167" s="2" t="s">
        <v>84</v>
      </c>
      <c r="H1167" s="2">
        <v>6</v>
      </c>
      <c r="I1167" s="8">
        <v>120.12</v>
      </c>
      <c r="J1167" s="8">
        <v>35900</v>
      </c>
      <c r="K1167" s="3">
        <v>0</v>
      </c>
      <c r="L1167" s="3" t="s">
        <v>3</v>
      </c>
      <c r="M1167" s="9" t="s">
        <v>0</v>
      </c>
      <c r="N1167" s="9" t="s">
        <v>27</v>
      </c>
      <c r="O1167" s="9" t="s">
        <v>346</v>
      </c>
      <c r="P1167" s="9" t="s">
        <v>0</v>
      </c>
      <c r="Q1167" s="9">
        <v>43761098</v>
      </c>
      <c r="R1167" s="9" t="s">
        <v>347</v>
      </c>
      <c r="S1167" s="9" t="s">
        <v>158</v>
      </c>
      <c r="T1167" s="10" t="s">
        <v>84</v>
      </c>
      <c r="U1167" s="10">
        <v>6</v>
      </c>
      <c r="V1167" s="10">
        <v>120.12</v>
      </c>
      <c r="W1167" s="10" t="s">
        <v>710</v>
      </c>
      <c r="X1167" s="17">
        <v>44789</v>
      </c>
      <c r="Y1167" s="17">
        <v>44791</v>
      </c>
      <c r="Z1167" s="19" t="s">
        <v>772</v>
      </c>
      <c r="AA1167" s="210">
        <v>43450</v>
      </c>
      <c r="AB1167" s="9">
        <v>120</v>
      </c>
      <c r="AC1167" s="9">
        <v>91</v>
      </c>
      <c r="AD1167" s="17">
        <v>47694</v>
      </c>
      <c r="AE1167" s="56">
        <v>278.75</v>
      </c>
      <c r="AF1167" s="56"/>
      <c r="AP1167" s="11"/>
      <c r="AQ1167" s="11"/>
      <c r="AR1167" s="11"/>
      <c r="AW1167" s="9"/>
      <c r="BD1167" s="9"/>
      <c r="CS1167" s="11">
        <f t="shared" si="81"/>
        <v>0</v>
      </c>
      <c r="CT1167" s="22">
        <f t="shared" si="82"/>
        <v>0</v>
      </c>
      <c r="CU1167" s="22">
        <f t="shared" si="80"/>
        <v>0</v>
      </c>
      <c r="CV1167" s="26">
        <f t="shared" si="83"/>
        <v>278.75</v>
      </c>
    </row>
    <row r="1168" spans="1:100" x14ac:dyDescent="0.2">
      <c r="A1168" s="9" t="s">
        <v>345</v>
      </c>
      <c r="B1168" s="2">
        <v>143</v>
      </c>
      <c r="C1168" s="3" t="s">
        <v>95</v>
      </c>
      <c r="D1168" s="3" t="s">
        <v>96</v>
      </c>
      <c r="E1168" s="2" t="s">
        <v>72</v>
      </c>
      <c r="F1168" s="2">
        <v>16</v>
      </c>
      <c r="G1168" s="2" t="s">
        <v>84</v>
      </c>
      <c r="H1168" s="2">
        <v>6</v>
      </c>
      <c r="I1168" s="8">
        <v>120.12</v>
      </c>
      <c r="J1168" s="8">
        <v>35900</v>
      </c>
      <c r="K1168" s="3">
        <v>0</v>
      </c>
      <c r="L1168" s="3" t="s">
        <v>3</v>
      </c>
      <c r="M1168" s="9" t="s">
        <v>0</v>
      </c>
      <c r="N1168" s="9" t="s">
        <v>27</v>
      </c>
      <c r="O1168" s="9" t="s">
        <v>346</v>
      </c>
      <c r="P1168" s="9" t="s">
        <v>0</v>
      </c>
      <c r="Q1168" s="9">
        <v>43761098</v>
      </c>
      <c r="R1168" s="9" t="s">
        <v>347</v>
      </c>
      <c r="S1168" s="9" t="s">
        <v>158</v>
      </c>
      <c r="T1168" s="10" t="s">
        <v>84</v>
      </c>
      <c r="U1168" s="10">
        <v>6</v>
      </c>
      <c r="V1168" s="10">
        <v>120.12</v>
      </c>
      <c r="W1168" s="10" t="s">
        <v>710</v>
      </c>
      <c r="X1168" s="17">
        <v>44789</v>
      </c>
      <c r="Y1168" s="17">
        <v>44791</v>
      </c>
      <c r="Z1168" s="19" t="s">
        <v>772</v>
      </c>
      <c r="AA1168" s="210">
        <v>43450</v>
      </c>
      <c r="AB1168" s="9">
        <v>120</v>
      </c>
      <c r="AC1168" s="9">
        <v>92</v>
      </c>
      <c r="AD1168" s="17">
        <v>47725</v>
      </c>
      <c r="AE1168" s="56">
        <v>278.75</v>
      </c>
      <c r="AF1168" s="56"/>
      <c r="AP1168" s="11"/>
      <c r="AQ1168" s="11"/>
      <c r="AR1168" s="11"/>
      <c r="AW1168" s="9"/>
      <c r="BD1168" s="9"/>
      <c r="CS1168" s="11">
        <f t="shared" si="81"/>
        <v>0</v>
      </c>
      <c r="CT1168" s="22">
        <f t="shared" si="82"/>
        <v>0</v>
      </c>
      <c r="CU1168" s="22">
        <f t="shared" si="80"/>
        <v>0</v>
      </c>
      <c r="CV1168" s="26">
        <f t="shared" si="83"/>
        <v>278.75</v>
      </c>
    </row>
    <row r="1169" spans="1:100" x14ac:dyDescent="0.2">
      <c r="A1169" s="9" t="s">
        <v>345</v>
      </c>
      <c r="B1169" s="2">
        <v>143</v>
      </c>
      <c r="C1169" s="3" t="s">
        <v>95</v>
      </c>
      <c r="D1169" s="3" t="s">
        <v>96</v>
      </c>
      <c r="E1169" s="2" t="s">
        <v>72</v>
      </c>
      <c r="F1169" s="2">
        <v>16</v>
      </c>
      <c r="G1169" s="2" t="s">
        <v>84</v>
      </c>
      <c r="H1169" s="2">
        <v>6</v>
      </c>
      <c r="I1169" s="8">
        <v>120.12</v>
      </c>
      <c r="J1169" s="8">
        <v>35900</v>
      </c>
      <c r="K1169" s="3">
        <v>0</v>
      </c>
      <c r="L1169" s="3" t="s">
        <v>3</v>
      </c>
      <c r="M1169" s="9" t="s">
        <v>0</v>
      </c>
      <c r="N1169" s="9" t="s">
        <v>27</v>
      </c>
      <c r="O1169" s="9" t="s">
        <v>346</v>
      </c>
      <c r="P1169" s="9" t="s">
        <v>0</v>
      </c>
      <c r="Q1169" s="9">
        <v>43761098</v>
      </c>
      <c r="R1169" s="9" t="s">
        <v>347</v>
      </c>
      <c r="S1169" s="9" t="s">
        <v>158</v>
      </c>
      <c r="T1169" s="10" t="s">
        <v>84</v>
      </c>
      <c r="U1169" s="10">
        <v>6</v>
      </c>
      <c r="V1169" s="10">
        <v>120.12</v>
      </c>
      <c r="W1169" s="10" t="s">
        <v>710</v>
      </c>
      <c r="X1169" s="17">
        <v>44789</v>
      </c>
      <c r="Y1169" s="17">
        <v>44791</v>
      </c>
      <c r="Z1169" s="19" t="s">
        <v>772</v>
      </c>
      <c r="AA1169" s="210">
        <v>43450</v>
      </c>
      <c r="AB1169" s="9">
        <v>120</v>
      </c>
      <c r="AC1169" s="9">
        <v>93</v>
      </c>
      <c r="AD1169" s="17">
        <v>47756</v>
      </c>
      <c r="AE1169" s="56">
        <v>278.75</v>
      </c>
      <c r="AF1169" s="56"/>
      <c r="AP1169" s="11"/>
      <c r="AQ1169" s="11"/>
      <c r="AR1169" s="11"/>
      <c r="AW1169" s="9"/>
      <c r="BD1169" s="9"/>
      <c r="CS1169" s="11">
        <f t="shared" si="81"/>
        <v>0</v>
      </c>
      <c r="CT1169" s="22">
        <f t="shared" si="82"/>
        <v>0</v>
      </c>
      <c r="CU1169" s="22">
        <f t="shared" si="80"/>
        <v>0</v>
      </c>
      <c r="CV1169" s="26">
        <f t="shared" si="83"/>
        <v>278.75</v>
      </c>
    </row>
    <row r="1170" spans="1:100" x14ac:dyDescent="0.2">
      <c r="A1170" s="9" t="s">
        <v>345</v>
      </c>
      <c r="B1170" s="2">
        <v>143</v>
      </c>
      <c r="C1170" s="3" t="s">
        <v>95</v>
      </c>
      <c r="D1170" s="3" t="s">
        <v>96</v>
      </c>
      <c r="E1170" s="2" t="s">
        <v>72</v>
      </c>
      <c r="F1170" s="2">
        <v>16</v>
      </c>
      <c r="G1170" s="2" t="s">
        <v>84</v>
      </c>
      <c r="H1170" s="2">
        <v>6</v>
      </c>
      <c r="I1170" s="8">
        <v>120.12</v>
      </c>
      <c r="J1170" s="8">
        <v>35900</v>
      </c>
      <c r="K1170" s="3">
        <v>0</v>
      </c>
      <c r="L1170" s="3" t="s">
        <v>3</v>
      </c>
      <c r="M1170" s="9" t="s">
        <v>0</v>
      </c>
      <c r="N1170" s="9" t="s">
        <v>27</v>
      </c>
      <c r="O1170" s="9" t="s">
        <v>346</v>
      </c>
      <c r="P1170" s="9" t="s">
        <v>0</v>
      </c>
      <c r="Q1170" s="9">
        <v>43761098</v>
      </c>
      <c r="R1170" s="9" t="s">
        <v>347</v>
      </c>
      <c r="S1170" s="9" t="s">
        <v>158</v>
      </c>
      <c r="T1170" s="10" t="s">
        <v>84</v>
      </c>
      <c r="U1170" s="10">
        <v>6</v>
      </c>
      <c r="V1170" s="10">
        <v>120.12</v>
      </c>
      <c r="W1170" s="10" t="s">
        <v>710</v>
      </c>
      <c r="X1170" s="17">
        <v>44789</v>
      </c>
      <c r="Y1170" s="17">
        <v>44791</v>
      </c>
      <c r="Z1170" s="19" t="s">
        <v>772</v>
      </c>
      <c r="AA1170" s="210">
        <v>43450</v>
      </c>
      <c r="AB1170" s="9">
        <v>120</v>
      </c>
      <c r="AC1170" s="9">
        <v>94</v>
      </c>
      <c r="AD1170" s="17">
        <v>47786</v>
      </c>
      <c r="AE1170" s="56">
        <v>278.75</v>
      </c>
      <c r="AF1170" s="56"/>
      <c r="AP1170" s="11"/>
      <c r="AQ1170" s="11"/>
      <c r="AR1170" s="11"/>
      <c r="AW1170" s="9"/>
      <c r="BD1170" s="9"/>
      <c r="CS1170" s="11">
        <f t="shared" si="81"/>
        <v>0</v>
      </c>
      <c r="CT1170" s="22">
        <f t="shared" si="82"/>
        <v>0</v>
      </c>
      <c r="CU1170" s="22">
        <f t="shared" si="80"/>
        <v>0</v>
      </c>
      <c r="CV1170" s="26">
        <f t="shared" si="83"/>
        <v>278.75</v>
      </c>
    </row>
    <row r="1171" spans="1:100" x14ac:dyDescent="0.2">
      <c r="A1171" s="9" t="s">
        <v>345</v>
      </c>
      <c r="B1171" s="2">
        <v>143</v>
      </c>
      <c r="C1171" s="3" t="s">
        <v>95</v>
      </c>
      <c r="D1171" s="3" t="s">
        <v>96</v>
      </c>
      <c r="E1171" s="2" t="s">
        <v>72</v>
      </c>
      <c r="F1171" s="2">
        <v>16</v>
      </c>
      <c r="G1171" s="2" t="s">
        <v>84</v>
      </c>
      <c r="H1171" s="2">
        <v>6</v>
      </c>
      <c r="I1171" s="8">
        <v>120.12</v>
      </c>
      <c r="J1171" s="8">
        <v>35900</v>
      </c>
      <c r="K1171" s="3">
        <v>0</v>
      </c>
      <c r="L1171" s="3" t="s">
        <v>3</v>
      </c>
      <c r="M1171" s="9" t="s">
        <v>0</v>
      </c>
      <c r="N1171" s="9" t="s">
        <v>27</v>
      </c>
      <c r="O1171" s="9" t="s">
        <v>346</v>
      </c>
      <c r="P1171" s="9" t="s">
        <v>0</v>
      </c>
      <c r="Q1171" s="9">
        <v>43761098</v>
      </c>
      <c r="R1171" s="9" t="s">
        <v>347</v>
      </c>
      <c r="S1171" s="9" t="s">
        <v>158</v>
      </c>
      <c r="T1171" s="10" t="s">
        <v>84</v>
      </c>
      <c r="U1171" s="10">
        <v>6</v>
      </c>
      <c r="V1171" s="10">
        <v>120.12</v>
      </c>
      <c r="W1171" s="10" t="s">
        <v>710</v>
      </c>
      <c r="X1171" s="17">
        <v>44789</v>
      </c>
      <c r="Y1171" s="17">
        <v>44791</v>
      </c>
      <c r="Z1171" s="19" t="s">
        <v>772</v>
      </c>
      <c r="AA1171" s="210">
        <v>43450</v>
      </c>
      <c r="AB1171" s="9">
        <v>120</v>
      </c>
      <c r="AC1171" s="9">
        <v>95</v>
      </c>
      <c r="AD1171" s="17">
        <v>47817</v>
      </c>
      <c r="AE1171" s="56">
        <v>278.75</v>
      </c>
      <c r="AF1171" s="56"/>
      <c r="AP1171" s="11"/>
      <c r="AQ1171" s="11"/>
      <c r="AR1171" s="11"/>
      <c r="AW1171" s="9"/>
      <c r="BD1171" s="9"/>
      <c r="CS1171" s="11">
        <f t="shared" si="81"/>
        <v>0</v>
      </c>
      <c r="CT1171" s="22">
        <f t="shared" si="82"/>
        <v>0</v>
      </c>
      <c r="CU1171" s="22">
        <f t="shared" si="80"/>
        <v>0</v>
      </c>
      <c r="CV1171" s="26">
        <f t="shared" si="83"/>
        <v>278.75</v>
      </c>
    </row>
    <row r="1172" spans="1:100" x14ac:dyDescent="0.2">
      <c r="A1172" s="9" t="s">
        <v>345</v>
      </c>
      <c r="B1172" s="2">
        <v>143</v>
      </c>
      <c r="C1172" s="3" t="s">
        <v>95</v>
      </c>
      <c r="D1172" s="3" t="s">
        <v>96</v>
      </c>
      <c r="E1172" s="2" t="s">
        <v>72</v>
      </c>
      <c r="F1172" s="2">
        <v>16</v>
      </c>
      <c r="G1172" s="2" t="s">
        <v>84</v>
      </c>
      <c r="H1172" s="2">
        <v>6</v>
      </c>
      <c r="I1172" s="8">
        <v>120.12</v>
      </c>
      <c r="J1172" s="8">
        <v>35900</v>
      </c>
      <c r="K1172" s="3">
        <v>0</v>
      </c>
      <c r="L1172" s="3" t="s">
        <v>3</v>
      </c>
      <c r="M1172" s="9" t="s">
        <v>0</v>
      </c>
      <c r="N1172" s="9" t="s">
        <v>27</v>
      </c>
      <c r="O1172" s="9" t="s">
        <v>346</v>
      </c>
      <c r="P1172" s="9" t="s">
        <v>0</v>
      </c>
      <c r="Q1172" s="9">
        <v>43761098</v>
      </c>
      <c r="R1172" s="9" t="s">
        <v>347</v>
      </c>
      <c r="S1172" s="9" t="s">
        <v>158</v>
      </c>
      <c r="T1172" s="10" t="s">
        <v>84</v>
      </c>
      <c r="U1172" s="10">
        <v>6</v>
      </c>
      <c r="V1172" s="10">
        <v>120.12</v>
      </c>
      <c r="W1172" s="10" t="s">
        <v>710</v>
      </c>
      <c r="X1172" s="17">
        <v>44789</v>
      </c>
      <c r="Y1172" s="17">
        <v>44791</v>
      </c>
      <c r="Z1172" s="19" t="s">
        <v>772</v>
      </c>
      <c r="AA1172" s="210">
        <v>43450</v>
      </c>
      <c r="AB1172" s="9">
        <v>120</v>
      </c>
      <c r="AC1172" s="9">
        <v>96</v>
      </c>
      <c r="AD1172" s="17">
        <v>47847</v>
      </c>
      <c r="AE1172" s="56">
        <v>278.75</v>
      </c>
      <c r="AF1172" s="56"/>
      <c r="AP1172" s="11"/>
      <c r="AQ1172" s="11"/>
      <c r="AR1172" s="11"/>
      <c r="AW1172" s="9"/>
      <c r="BD1172" s="9"/>
      <c r="CS1172" s="11">
        <f t="shared" si="81"/>
        <v>0</v>
      </c>
      <c r="CT1172" s="22">
        <f t="shared" si="82"/>
        <v>0</v>
      </c>
      <c r="CU1172" s="22">
        <f t="shared" si="80"/>
        <v>0</v>
      </c>
      <c r="CV1172" s="26">
        <f t="shared" si="83"/>
        <v>278.75</v>
      </c>
    </row>
    <row r="1173" spans="1:100" x14ac:dyDescent="0.2">
      <c r="A1173" s="9" t="s">
        <v>345</v>
      </c>
      <c r="B1173" s="2">
        <v>143</v>
      </c>
      <c r="C1173" s="3" t="s">
        <v>95</v>
      </c>
      <c r="D1173" s="3" t="s">
        <v>96</v>
      </c>
      <c r="E1173" s="2" t="s">
        <v>72</v>
      </c>
      <c r="F1173" s="2">
        <v>16</v>
      </c>
      <c r="G1173" s="2" t="s">
        <v>84</v>
      </c>
      <c r="H1173" s="2">
        <v>6</v>
      </c>
      <c r="I1173" s="8">
        <v>120.12</v>
      </c>
      <c r="J1173" s="8">
        <v>35900</v>
      </c>
      <c r="K1173" s="3">
        <v>0</v>
      </c>
      <c r="L1173" s="3" t="s">
        <v>3</v>
      </c>
      <c r="M1173" s="9" t="s">
        <v>0</v>
      </c>
      <c r="N1173" s="9" t="s">
        <v>27</v>
      </c>
      <c r="O1173" s="9" t="s">
        <v>346</v>
      </c>
      <c r="P1173" s="9" t="s">
        <v>0</v>
      </c>
      <c r="Q1173" s="9">
        <v>43761098</v>
      </c>
      <c r="R1173" s="9" t="s">
        <v>347</v>
      </c>
      <c r="S1173" s="9" t="s">
        <v>158</v>
      </c>
      <c r="T1173" s="10" t="s">
        <v>84</v>
      </c>
      <c r="U1173" s="10">
        <v>6</v>
      </c>
      <c r="V1173" s="10">
        <v>120.12</v>
      </c>
      <c r="W1173" s="10" t="s">
        <v>710</v>
      </c>
      <c r="X1173" s="17">
        <v>44789</v>
      </c>
      <c r="Y1173" s="17">
        <v>44791</v>
      </c>
      <c r="Z1173" s="19" t="s">
        <v>772</v>
      </c>
      <c r="AA1173" s="210">
        <v>43450</v>
      </c>
      <c r="AB1173" s="9">
        <v>120</v>
      </c>
      <c r="AC1173" s="9">
        <v>97</v>
      </c>
      <c r="AD1173" s="17">
        <v>47878</v>
      </c>
      <c r="AE1173" s="56">
        <v>278.75</v>
      </c>
      <c r="AF1173" s="56"/>
      <c r="AP1173" s="11"/>
      <c r="AQ1173" s="11"/>
      <c r="AR1173" s="11"/>
      <c r="AW1173" s="9"/>
      <c r="BD1173" s="9"/>
      <c r="CS1173" s="11">
        <f t="shared" si="81"/>
        <v>0</v>
      </c>
      <c r="CT1173" s="22">
        <f t="shared" si="82"/>
        <v>0</v>
      </c>
      <c r="CU1173" s="22">
        <f t="shared" si="80"/>
        <v>0</v>
      </c>
      <c r="CV1173" s="26">
        <f t="shared" si="83"/>
        <v>278.75</v>
      </c>
    </row>
    <row r="1174" spans="1:100" x14ac:dyDescent="0.2">
      <c r="A1174" s="9" t="s">
        <v>345</v>
      </c>
      <c r="B1174" s="2">
        <v>143</v>
      </c>
      <c r="C1174" s="3" t="s">
        <v>95</v>
      </c>
      <c r="D1174" s="3" t="s">
        <v>96</v>
      </c>
      <c r="E1174" s="2" t="s">
        <v>72</v>
      </c>
      <c r="F1174" s="2">
        <v>16</v>
      </c>
      <c r="G1174" s="2" t="s">
        <v>84</v>
      </c>
      <c r="H1174" s="2">
        <v>6</v>
      </c>
      <c r="I1174" s="8">
        <v>120.12</v>
      </c>
      <c r="J1174" s="8">
        <v>35900</v>
      </c>
      <c r="K1174" s="3">
        <v>0</v>
      </c>
      <c r="L1174" s="3" t="s">
        <v>3</v>
      </c>
      <c r="M1174" s="9" t="s">
        <v>0</v>
      </c>
      <c r="N1174" s="9" t="s">
        <v>27</v>
      </c>
      <c r="O1174" s="9" t="s">
        <v>346</v>
      </c>
      <c r="P1174" s="9" t="s">
        <v>0</v>
      </c>
      <c r="Q1174" s="9">
        <v>43761098</v>
      </c>
      <c r="R1174" s="9" t="s">
        <v>347</v>
      </c>
      <c r="S1174" s="9" t="s">
        <v>158</v>
      </c>
      <c r="T1174" s="10" t="s">
        <v>84</v>
      </c>
      <c r="U1174" s="10">
        <v>6</v>
      </c>
      <c r="V1174" s="10">
        <v>120.12</v>
      </c>
      <c r="W1174" s="10" t="s">
        <v>710</v>
      </c>
      <c r="X1174" s="17">
        <v>44789</v>
      </c>
      <c r="Y1174" s="17">
        <v>44791</v>
      </c>
      <c r="Z1174" s="19" t="s">
        <v>772</v>
      </c>
      <c r="AA1174" s="210">
        <v>43450</v>
      </c>
      <c r="AB1174" s="9">
        <v>120</v>
      </c>
      <c r="AC1174" s="9">
        <v>98</v>
      </c>
      <c r="AD1174" s="17">
        <v>47907</v>
      </c>
      <c r="AE1174" s="56">
        <v>278.75</v>
      </c>
      <c r="AF1174" s="56"/>
      <c r="AP1174" s="11"/>
      <c r="AQ1174" s="11"/>
      <c r="AR1174" s="11"/>
      <c r="AW1174" s="9"/>
      <c r="BD1174" s="9"/>
      <c r="CS1174" s="11">
        <f t="shared" si="81"/>
        <v>0</v>
      </c>
      <c r="CT1174" s="22">
        <f t="shared" si="82"/>
        <v>0</v>
      </c>
      <c r="CU1174" s="22">
        <f t="shared" si="80"/>
        <v>0</v>
      </c>
      <c r="CV1174" s="26">
        <f t="shared" si="83"/>
        <v>278.75</v>
      </c>
    </row>
    <row r="1175" spans="1:100" x14ac:dyDescent="0.2">
      <c r="A1175" s="9" t="s">
        <v>345</v>
      </c>
      <c r="B1175" s="2">
        <v>143</v>
      </c>
      <c r="C1175" s="3" t="s">
        <v>95</v>
      </c>
      <c r="D1175" s="3" t="s">
        <v>96</v>
      </c>
      <c r="E1175" s="2" t="s">
        <v>72</v>
      </c>
      <c r="F1175" s="2">
        <v>16</v>
      </c>
      <c r="G1175" s="2" t="s">
        <v>84</v>
      </c>
      <c r="H1175" s="2">
        <v>6</v>
      </c>
      <c r="I1175" s="8">
        <v>120.12</v>
      </c>
      <c r="J1175" s="8">
        <v>35900</v>
      </c>
      <c r="K1175" s="3">
        <v>0</v>
      </c>
      <c r="L1175" s="3" t="s">
        <v>3</v>
      </c>
      <c r="M1175" s="9" t="s">
        <v>0</v>
      </c>
      <c r="N1175" s="9">
        <v>18188938</v>
      </c>
      <c r="O1175" s="9" t="s">
        <v>346</v>
      </c>
      <c r="P1175" s="9" t="s">
        <v>0</v>
      </c>
      <c r="Q1175" s="9">
        <v>43761098</v>
      </c>
      <c r="R1175" s="9" t="s">
        <v>347</v>
      </c>
      <c r="S1175" s="9" t="s">
        <v>158</v>
      </c>
      <c r="T1175" s="10" t="s">
        <v>84</v>
      </c>
      <c r="U1175" s="10">
        <v>6</v>
      </c>
      <c r="V1175" s="10">
        <v>120.12</v>
      </c>
      <c r="W1175" s="10" t="s">
        <v>710</v>
      </c>
      <c r="X1175" s="17">
        <v>44789</v>
      </c>
      <c r="Y1175" s="17">
        <v>44791</v>
      </c>
      <c r="Z1175" s="19" t="s">
        <v>772</v>
      </c>
      <c r="AA1175" s="210">
        <v>43450</v>
      </c>
      <c r="AB1175" s="9">
        <v>120</v>
      </c>
      <c r="AC1175" s="9">
        <v>99</v>
      </c>
      <c r="AD1175" s="17">
        <v>47937</v>
      </c>
      <c r="AE1175" s="56">
        <v>278.75</v>
      </c>
      <c r="AF1175" s="56"/>
      <c r="AP1175" s="11"/>
      <c r="AQ1175" s="11"/>
      <c r="AR1175" s="11"/>
      <c r="AW1175" s="9"/>
      <c r="BD1175" s="9"/>
      <c r="CS1175" s="11">
        <f t="shared" si="81"/>
        <v>0</v>
      </c>
      <c r="CT1175" s="22">
        <f t="shared" si="82"/>
        <v>0</v>
      </c>
      <c r="CU1175" s="22">
        <f t="shared" si="80"/>
        <v>0</v>
      </c>
      <c r="CV1175" s="26">
        <f t="shared" si="83"/>
        <v>278.75</v>
      </c>
    </row>
    <row r="1176" spans="1:100" x14ac:dyDescent="0.2">
      <c r="A1176" s="9" t="s">
        <v>345</v>
      </c>
      <c r="B1176" s="2">
        <v>143</v>
      </c>
      <c r="C1176" s="3" t="s">
        <v>95</v>
      </c>
      <c r="D1176" s="3" t="s">
        <v>96</v>
      </c>
      <c r="E1176" s="2" t="s">
        <v>72</v>
      </c>
      <c r="F1176" s="2">
        <v>16</v>
      </c>
      <c r="G1176" s="2" t="s">
        <v>84</v>
      </c>
      <c r="H1176" s="2">
        <v>6</v>
      </c>
      <c r="I1176" s="8">
        <v>120.12</v>
      </c>
      <c r="J1176" s="8">
        <v>35900</v>
      </c>
      <c r="K1176" s="3">
        <v>0</v>
      </c>
      <c r="L1176" s="3" t="s">
        <v>3</v>
      </c>
      <c r="M1176" s="9" t="s">
        <v>0</v>
      </c>
      <c r="N1176" s="9" t="s">
        <v>27</v>
      </c>
      <c r="O1176" s="9" t="s">
        <v>346</v>
      </c>
      <c r="P1176" s="9" t="s">
        <v>0</v>
      </c>
      <c r="Q1176" s="9">
        <v>43761098</v>
      </c>
      <c r="R1176" s="9" t="s">
        <v>347</v>
      </c>
      <c r="S1176" s="9" t="s">
        <v>158</v>
      </c>
      <c r="T1176" s="10" t="s">
        <v>84</v>
      </c>
      <c r="U1176" s="10">
        <v>6</v>
      </c>
      <c r="V1176" s="10">
        <v>120.12</v>
      </c>
      <c r="W1176" s="10" t="s">
        <v>710</v>
      </c>
      <c r="X1176" s="17">
        <v>44789</v>
      </c>
      <c r="Y1176" s="17">
        <v>44791</v>
      </c>
      <c r="Z1176" s="19" t="s">
        <v>772</v>
      </c>
      <c r="AA1176" s="210">
        <v>43450</v>
      </c>
      <c r="AB1176" s="9">
        <v>120</v>
      </c>
      <c r="AC1176" s="9">
        <v>100</v>
      </c>
      <c r="AD1176" s="17">
        <v>47968</v>
      </c>
      <c r="AE1176" s="56">
        <v>278.75</v>
      </c>
      <c r="AF1176" s="56"/>
      <c r="AP1176" s="11"/>
      <c r="AQ1176" s="11"/>
      <c r="AR1176" s="11"/>
      <c r="AW1176" s="9"/>
      <c r="BD1176" s="9"/>
      <c r="CS1176" s="11">
        <f t="shared" si="81"/>
        <v>0</v>
      </c>
      <c r="CT1176" s="22">
        <f t="shared" si="82"/>
        <v>0</v>
      </c>
      <c r="CU1176" s="22">
        <f t="shared" si="80"/>
        <v>0</v>
      </c>
      <c r="CV1176" s="26">
        <f t="shared" si="83"/>
        <v>278.75</v>
      </c>
    </row>
    <row r="1177" spans="1:100" x14ac:dyDescent="0.2">
      <c r="A1177" s="9" t="s">
        <v>345</v>
      </c>
      <c r="B1177" s="2">
        <v>143</v>
      </c>
      <c r="C1177" s="3" t="s">
        <v>95</v>
      </c>
      <c r="D1177" s="3" t="s">
        <v>96</v>
      </c>
      <c r="E1177" s="2" t="s">
        <v>72</v>
      </c>
      <c r="F1177" s="2">
        <v>16</v>
      </c>
      <c r="G1177" s="2" t="s">
        <v>84</v>
      </c>
      <c r="H1177" s="2">
        <v>6</v>
      </c>
      <c r="I1177" s="8">
        <v>120.12</v>
      </c>
      <c r="J1177" s="8">
        <v>35900</v>
      </c>
      <c r="K1177" s="3">
        <v>0</v>
      </c>
      <c r="L1177" s="3" t="s">
        <v>3</v>
      </c>
      <c r="M1177" s="9" t="s">
        <v>0</v>
      </c>
      <c r="N1177" s="9" t="s">
        <v>27</v>
      </c>
      <c r="O1177" s="9" t="s">
        <v>346</v>
      </c>
      <c r="P1177" s="9" t="s">
        <v>0</v>
      </c>
      <c r="Q1177" s="9">
        <v>43761098</v>
      </c>
      <c r="R1177" s="9" t="s">
        <v>347</v>
      </c>
      <c r="S1177" s="9" t="s">
        <v>158</v>
      </c>
      <c r="T1177" s="10" t="s">
        <v>84</v>
      </c>
      <c r="U1177" s="10">
        <v>6</v>
      </c>
      <c r="V1177" s="10">
        <v>120.12</v>
      </c>
      <c r="W1177" s="10" t="s">
        <v>710</v>
      </c>
      <c r="X1177" s="17">
        <v>44789</v>
      </c>
      <c r="Y1177" s="17">
        <v>44791</v>
      </c>
      <c r="Z1177" s="19" t="s">
        <v>772</v>
      </c>
      <c r="AA1177" s="210">
        <v>43450</v>
      </c>
      <c r="AB1177" s="9">
        <v>120</v>
      </c>
      <c r="AC1177" s="9">
        <v>101</v>
      </c>
      <c r="AD1177" s="17">
        <v>47998</v>
      </c>
      <c r="AE1177" s="56">
        <v>278.75</v>
      </c>
      <c r="AF1177" s="56"/>
      <c r="AP1177" s="11"/>
      <c r="AQ1177" s="11"/>
      <c r="AR1177" s="11"/>
      <c r="AW1177" s="9"/>
      <c r="BD1177" s="9"/>
      <c r="CS1177" s="11">
        <f t="shared" si="81"/>
        <v>0</v>
      </c>
      <c r="CT1177" s="22">
        <f t="shared" si="82"/>
        <v>0</v>
      </c>
      <c r="CU1177" s="22">
        <f t="shared" si="80"/>
        <v>0</v>
      </c>
      <c r="CV1177" s="26">
        <f t="shared" si="83"/>
        <v>278.75</v>
      </c>
    </row>
    <row r="1178" spans="1:100" x14ac:dyDescent="0.2">
      <c r="A1178" s="9" t="s">
        <v>345</v>
      </c>
      <c r="B1178" s="2">
        <v>143</v>
      </c>
      <c r="C1178" s="3" t="s">
        <v>95</v>
      </c>
      <c r="D1178" s="3" t="s">
        <v>96</v>
      </c>
      <c r="E1178" s="2" t="s">
        <v>72</v>
      </c>
      <c r="F1178" s="2">
        <v>16</v>
      </c>
      <c r="G1178" s="2" t="s">
        <v>84</v>
      </c>
      <c r="H1178" s="2">
        <v>6</v>
      </c>
      <c r="I1178" s="8">
        <v>120.12</v>
      </c>
      <c r="J1178" s="8">
        <v>35900</v>
      </c>
      <c r="K1178" s="3">
        <v>0</v>
      </c>
      <c r="L1178" s="3" t="s">
        <v>3</v>
      </c>
      <c r="M1178" s="9" t="s">
        <v>0</v>
      </c>
      <c r="N1178" s="9" t="s">
        <v>27</v>
      </c>
      <c r="O1178" s="9" t="s">
        <v>346</v>
      </c>
      <c r="P1178" s="9" t="s">
        <v>0</v>
      </c>
      <c r="Q1178" s="9">
        <v>43761098</v>
      </c>
      <c r="R1178" s="9" t="s">
        <v>347</v>
      </c>
      <c r="S1178" s="9" t="s">
        <v>158</v>
      </c>
      <c r="T1178" s="10" t="s">
        <v>84</v>
      </c>
      <c r="U1178" s="10">
        <v>6</v>
      </c>
      <c r="V1178" s="10">
        <v>120.12</v>
      </c>
      <c r="W1178" s="10" t="s">
        <v>710</v>
      </c>
      <c r="X1178" s="17">
        <v>44789</v>
      </c>
      <c r="Y1178" s="17">
        <v>44791</v>
      </c>
      <c r="Z1178" s="19" t="s">
        <v>772</v>
      </c>
      <c r="AA1178" s="210">
        <v>43450</v>
      </c>
      <c r="AB1178" s="9">
        <v>120</v>
      </c>
      <c r="AC1178" s="9">
        <v>102</v>
      </c>
      <c r="AD1178" s="17">
        <v>48029</v>
      </c>
      <c r="AE1178" s="56">
        <v>278.75</v>
      </c>
      <c r="AF1178" s="56"/>
      <c r="AP1178" s="11"/>
      <c r="AQ1178" s="11"/>
      <c r="AR1178" s="11"/>
      <c r="AW1178" s="9"/>
      <c r="BD1178" s="9"/>
      <c r="CS1178" s="11">
        <f t="shared" si="81"/>
        <v>0</v>
      </c>
      <c r="CT1178" s="22">
        <f t="shared" si="82"/>
        <v>0</v>
      </c>
      <c r="CU1178" s="22">
        <f t="shared" si="80"/>
        <v>0</v>
      </c>
      <c r="CV1178" s="26">
        <f t="shared" si="83"/>
        <v>278.75</v>
      </c>
    </row>
    <row r="1179" spans="1:100" x14ac:dyDescent="0.2">
      <c r="A1179" s="9" t="s">
        <v>345</v>
      </c>
      <c r="B1179" s="2">
        <v>143</v>
      </c>
      <c r="C1179" s="3" t="s">
        <v>95</v>
      </c>
      <c r="D1179" s="3" t="s">
        <v>96</v>
      </c>
      <c r="E1179" s="2" t="s">
        <v>72</v>
      </c>
      <c r="F1179" s="2">
        <v>16</v>
      </c>
      <c r="G1179" s="2" t="s">
        <v>84</v>
      </c>
      <c r="H1179" s="2">
        <v>6</v>
      </c>
      <c r="I1179" s="8">
        <v>120.12</v>
      </c>
      <c r="J1179" s="8">
        <v>35900</v>
      </c>
      <c r="K1179" s="3">
        <v>0</v>
      </c>
      <c r="L1179" s="3" t="s">
        <v>3</v>
      </c>
      <c r="M1179" s="9" t="s">
        <v>0</v>
      </c>
      <c r="N1179" s="9" t="s">
        <v>27</v>
      </c>
      <c r="O1179" s="9" t="s">
        <v>346</v>
      </c>
      <c r="P1179" s="9" t="s">
        <v>0</v>
      </c>
      <c r="Q1179" s="9">
        <v>43761098</v>
      </c>
      <c r="R1179" s="9" t="s">
        <v>347</v>
      </c>
      <c r="S1179" s="9" t="s">
        <v>158</v>
      </c>
      <c r="T1179" s="10" t="s">
        <v>84</v>
      </c>
      <c r="U1179" s="10">
        <v>6</v>
      </c>
      <c r="V1179" s="10">
        <v>120.12</v>
      </c>
      <c r="W1179" s="10" t="s">
        <v>710</v>
      </c>
      <c r="X1179" s="17">
        <v>44789</v>
      </c>
      <c r="Y1179" s="17">
        <v>44791</v>
      </c>
      <c r="Z1179" s="19" t="s">
        <v>772</v>
      </c>
      <c r="AA1179" s="210">
        <v>43450</v>
      </c>
      <c r="AB1179" s="9">
        <v>120</v>
      </c>
      <c r="AC1179" s="9">
        <v>103</v>
      </c>
      <c r="AD1179" s="17">
        <v>48059</v>
      </c>
      <c r="AE1179" s="56">
        <v>278.75</v>
      </c>
      <c r="AF1179" s="56"/>
      <c r="AP1179" s="11"/>
      <c r="AQ1179" s="11"/>
      <c r="AR1179" s="11"/>
      <c r="AW1179" s="9"/>
      <c r="BD1179" s="9"/>
      <c r="CS1179" s="11">
        <f t="shared" si="81"/>
        <v>0</v>
      </c>
      <c r="CT1179" s="22">
        <f t="shared" si="82"/>
        <v>0</v>
      </c>
      <c r="CU1179" s="22">
        <f t="shared" si="80"/>
        <v>0</v>
      </c>
      <c r="CV1179" s="26">
        <f t="shared" si="83"/>
        <v>278.75</v>
      </c>
    </row>
    <row r="1180" spans="1:100" x14ac:dyDescent="0.2">
      <c r="A1180" s="9" t="s">
        <v>345</v>
      </c>
      <c r="B1180" s="2">
        <v>143</v>
      </c>
      <c r="C1180" s="3" t="s">
        <v>95</v>
      </c>
      <c r="D1180" s="3" t="s">
        <v>96</v>
      </c>
      <c r="E1180" s="2" t="s">
        <v>72</v>
      </c>
      <c r="F1180" s="2">
        <v>16</v>
      </c>
      <c r="G1180" s="2" t="s">
        <v>84</v>
      </c>
      <c r="H1180" s="2">
        <v>6</v>
      </c>
      <c r="I1180" s="8">
        <v>120.12</v>
      </c>
      <c r="J1180" s="8">
        <v>35900</v>
      </c>
      <c r="K1180" s="3">
        <v>0</v>
      </c>
      <c r="L1180" s="3" t="s">
        <v>3</v>
      </c>
      <c r="M1180" s="9" t="s">
        <v>0</v>
      </c>
      <c r="N1180" s="9" t="s">
        <v>27</v>
      </c>
      <c r="O1180" s="9" t="s">
        <v>346</v>
      </c>
      <c r="P1180" s="9" t="s">
        <v>0</v>
      </c>
      <c r="Q1180" s="9">
        <v>43761098</v>
      </c>
      <c r="R1180" s="9" t="s">
        <v>347</v>
      </c>
      <c r="S1180" s="9" t="s">
        <v>158</v>
      </c>
      <c r="T1180" s="10" t="s">
        <v>84</v>
      </c>
      <c r="U1180" s="10">
        <v>6</v>
      </c>
      <c r="V1180" s="10">
        <v>120.12</v>
      </c>
      <c r="W1180" s="10" t="s">
        <v>710</v>
      </c>
      <c r="X1180" s="17">
        <v>44789</v>
      </c>
      <c r="Y1180" s="17">
        <v>44791</v>
      </c>
      <c r="Z1180" s="19" t="s">
        <v>772</v>
      </c>
      <c r="AA1180" s="210">
        <v>43450</v>
      </c>
      <c r="AB1180" s="9">
        <v>120</v>
      </c>
      <c r="AC1180" s="9">
        <v>104</v>
      </c>
      <c r="AD1180" s="17">
        <v>48090</v>
      </c>
      <c r="AE1180" s="56">
        <v>278.75</v>
      </c>
      <c r="AF1180" s="56"/>
      <c r="AP1180" s="11"/>
      <c r="AQ1180" s="11"/>
      <c r="AR1180" s="11"/>
      <c r="AW1180" s="9"/>
      <c r="BD1180" s="9"/>
      <c r="CS1180" s="11">
        <f t="shared" si="81"/>
        <v>0</v>
      </c>
      <c r="CT1180" s="22">
        <f t="shared" si="82"/>
        <v>0</v>
      </c>
      <c r="CU1180" s="22">
        <f t="shared" ref="CU1180:CU1243" si="84">+CS1180-CT1180</f>
        <v>0</v>
      </c>
      <c r="CV1180" s="26">
        <f t="shared" si="83"/>
        <v>278.75</v>
      </c>
    </row>
    <row r="1181" spans="1:100" x14ac:dyDescent="0.2">
      <c r="A1181" s="9" t="s">
        <v>345</v>
      </c>
      <c r="B1181" s="2">
        <v>143</v>
      </c>
      <c r="C1181" s="3" t="s">
        <v>95</v>
      </c>
      <c r="D1181" s="3" t="s">
        <v>96</v>
      </c>
      <c r="E1181" s="2" t="s">
        <v>72</v>
      </c>
      <c r="F1181" s="2">
        <v>16</v>
      </c>
      <c r="G1181" s="2" t="s">
        <v>84</v>
      </c>
      <c r="H1181" s="2">
        <v>6</v>
      </c>
      <c r="I1181" s="8">
        <v>120.12</v>
      </c>
      <c r="J1181" s="8">
        <v>35900</v>
      </c>
      <c r="K1181" s="3">
        <v>0</v>
      </c>
      <c r="L1181" s="3" t="s">
        <v>3</v>
      </c>
      <c r="M1181" s="9" t="s">
        <v>0</v>
      </c>
      <c r="N1181" s="9" t="s">
        <v>27</v>
      </c>
      <c r="O1181" s="9" t="s">
        <v>346</v>
      </c>
      <c r="P1181" s="9" t="s">
        <v>0</v>
      </c>
      <c r="Q1181" s="9">
        <v>43761098</v>
      </c>
      <c r="R1181" s="9" t="s">
        <v>347</v>
      </c>
      <c r="S1181" s="9" t="s">
        <v>158</v>
      </c>
      <c r="T1181" s="10" t="s">
        <v>84</v>
      </c>
      <c r="U1181" s="10">
        <v>6</v>
      </c>
      <c r="V1181" s="10">
        <v>120.12</v>
      </c>
      <c r="W1181" s="10" t="s">
        <v>710</v>
      </c>
      <c r="X1181" s="17">
        <v>44789</v>
      </c>
      <c r="Y1181" s="17">
        <v>44791</v>
      </c>
      <c r="Z1181" s="19" t="s">
        <v>772</v>
      </c>
      <c r="AA1181" s="210">
        <v>43450</v>
      </c>
      <c r="AB1181" s="9">
        <v>120</v>
      </c>
      <c r="AC1181" s="9">
        <v>105</v>
      </c>
      <c r="AD1181" s="17">
        <v>48121</v>
      </c>
      <c r="AE1181" s="56">
        <v>278.75</v>
      </c>
      <c r="AF1181" s="56"/>
      <c r="AP1181" s="11"/>
      <c r="AQ1181" s="11"/>
      <c r="AR1181" s="11"/>
      <c r="AW1181" s="9"/>
      <c r="BD1181" s="9"/>
      <c r="CS1181" s="11">
        <f t="shared" si="81"/>
        <v>0</v>
      </c>
      <c r="CT1181" s="22">
        <f t="shared" si="82"/>
        <v>0</v>
      </c>
      <c r="CU1181" s="22">
        <f t="shared" si="84"/>
        <v>0</v>
      </c>
      <c r="CV1181" s="26">
        <f t="shared" si="83"/>
        <v>278.75</v>
      </c>
    </row>
    <row r="1182" spans="1:100" x14ac:dyDescent="0.2">
      <c r="A1182" s="9" t="s">
        <v>345</v>
      </c>
      <c r="B1182" s="2">
        <v>143</v>
      </c>
      <c r="C1182" s="3" t="s">
        <v>95</v>
      </c>
      <c r="D1182" s="3" t="s">
        <v>96</v>
      </c>
      <c r="E1182" s="2" t="s">
        <v>72</v>
      </c>
      <c r="F1182" s="2">
        <v>16</v>
      </c>
      <c r="G1182" s="2" t="s">
        <v>84</v>
      </c>
      <c r="H1182" s="2">
        <v>6</v>
      </c>
      <c r="I1182" s="8">
        <v>120.12</v>
      </c>
      <c r="J1182" s="8">
        <v>35900</v>
      </c>
      <c r="K1182" s="3">
        <v>0</v>
      </c>
      <c r="L1182" s="3" t="s">
        <v>3</v>
      </c>
      <c r="M1182" s="9" t="s">
        <v>0</v>
      </c>
      <c r="N1182" s="9" t="s">
        <v>27</v>
      </c>
      <c r="O1182" s="9" t="s">
        <v>346</v>
      </c>
      <c r="P1182" s="9" t="s">
        <v>0</v>
      </c>
      <c r="Q1182" s="9">
        <v>43761098</v>
      </c>
      <c r="R1182" s="9" t="s">
        <v>347</v>
      </c>
      <c r="S1182" s="9" t="s">
        <v>158</v>
      </c>
      <c r="T1182" s="10" t="s">
        <v>84</v>
      </c>
      <c r="U1182" s="10">
        <v>6</v>
      </c>
      <c r="V1182" s="10">
        <v>120.12</v>
      </c>
      <c r="W1182" s="10" t="s">
        <v>710</v>
      </c>
      <c r="X1182" s="17">
        <v>44789</v>
      </c>
      <c r="Y1182" s="17">
        <v>44791</v>
      </c>
      <c r="Z1182" s="19" t="s">
        <v>772</v>
      </c>
      <c r="AA1182" s="210">
        <v>43450</v>
      </c>
      <c r="AB1182" s="9">
        <v>120</v>
      </c>
      <c r="AC1182" s="9">
        <v>106</v>
      </c>
      <c r="AD1182" s="17">
        <v>48151</v>
      </c>
      <c r="AE1182" s="56">
        <v>278.75</v>
      </c>
      <c r="AF1182" s="56"/>
      <c r="AP1182" s="11"/>
      <c r="AQ1182" s="11"/>
      <c r="AR1182" s="11"/>
      <c r="AW1182" s="9"/>
      <c r="BD1182" s="9"/>
      <c r="CS1182" s="11">
        <f t="shared" si="81"/>
        <v>0</v>
      </c>
      <c r="CT1182" s="22">
        <f t="shared" si="82"/>
        <v>0</v>
      </c>
      <c r="CU1182" s="22">
        <f t="shared" si="84"/>
        <v>0</v>
      </c>
      <c r="CV1182" s="26">
        <f t="shared" si="83"/>
        <v>278.75</v>
      </c>
    </row>
    <row r="1183" spans="1:100" x14ac:dyDescent="0.2">
      <c r="A1183" s="9" t="s">
        <v>345</v>
      </c>
      <c r="B1183" s="2">
        <v>143</v>
      </c>
      <c r="C1183" s="3" t="s">
        <v>95</v>
      </c>
      <c r="D1183" s="3" t="s">
        <v>96</v>
      </c>
      <c r="E1183" s="2" t="s">
        <v>72</v>
      </c>
      <c r="F1183" s="2">
        <v>16</v>
      </c>
      <c r="G1183" s="2" t="s">
        <v>84</v>
      </c>
      <c r="H1183" s="2">
        <v>6</v>
      </c>
      <c r="I1183" s="8">
        <v>120.12</v>
      </c>
      <c r="J1183" s="8">
        <v>35900</v>
      </c>
      <c r="K1183" s="3">
        <v>0</v>
      </c>
      <c r="L1183" s="3" t="s">
        <v>3</v>
      </c>
      <c r="M1183" s="9" t="s">
        <v>0</v>
      </c>
      <c r="N1183" s="9" t="s">
        <v>27</v>
      </c>
      <c r="O1183" s="9" t="s">
        <v>346</v>
      </c>
      <c r="P1183" s="9" t="s">
        <v>0</v>
      </c>
      <c r="Q1183" s="9">
        <v>43761098</v>
      </c>
      <c r="R1183" s="9" t="s">
        <v>347</v>
      </c>
      <c r="S1183" s="9" t="s">
        <v>158</v>
      </c>
      <c r="T1183" s="10" t="s">
        <v>84</v>
      </c>
      <c r="U1183" s="10">
        <v>6</v>
      </c>
      <c r="V1183" s="10">
        <v>120.12</v>
      </c>
      <c r="W1183" s="10" t="s">
        <v>710</v>
      </c>
      <c r="X1183" s="17">
        <v>44789</v>
      </c>
      <c r="Y1183" s="17">
        <v>44791</v>
      </c>
      <c r="Z1183" s="19" t="s">
        <v>772</v>
      </c>
      <c r="AA1183" s="210">
        <v>43450</v>
      </c>
      <c r="AB1183" s="9">
        <v>120</v>
      </c>
      <c r="AC1183" s="9">
        <v>107</v>
      </c>
      <c r="AD1183" s="17">
        <v>48182</v>
      </c>
      <c r="AE1183" s="56">
        <v>278.75</v>
      </c>
      <c r="AF1183" s="56"/>
      <c r="AP1183" s="11"/>
      <c r="AQ1183" s="11"/>
      <c r="AR1183" s="11"/>
      <c r="AW1183" s="9"/>
      <c r="BD1183" s="9"/>
      <c r="CS1183" s="11">
        <f t="shared" si="81"/>
        <v>0</v>
      </c>
      <c r="CT1183" s="22">
        <f t="shared" si="82"/>
        <v>0</v>
      </c>
      <c r="CU1183" s="22">
        <f t="shared" si="84"/>
        <v>0</v>
      </c>
      <c r="CV1183" s="26">
        <f t="shared" si="83"/>
        <v>278.75</v>
      </c>
    </row>
    <row r="1184" spans="1:100" x14ac:dyDescent="0.2">
      <c r="A1184" s="9" t="s">
        <v>345</v>
      </c>
      <c r="B1184" s="2">
        <v>143</v>
      </c>
      <c r="C1184" s="3" t="s">
        <v>95</v>
      </c>
      <c r="D1184" s="3" t="s">
        <v>96</v>
      </c>
      <c r="E1184" s="2" t="s">
        <v>72</v>
      </c>
      <c r="F1184" s="2">
        <v>16</v>
      </c>
      <c r="G1184" s="2" t="s">
        <v>84</v>
      </c>
      <c r="H1184" s="2">
        <v>6</v>
      </c>
      <c r="I1184" s="8">
        <v>120.12</v>
      </c>
      <c r="J1184" s="8">
        <v>35900</v>
      </c>
      <c r="K1184" s="3">
        <v>0</v>
      </c>
      <c r="L1184" s="3" t="s">
        <v>3</v>
      </c>
      <c r="M1184" s="9" t="s">
        <v>0</v>
      </c>
      <c r="N1184" s="9" t="s">
        <v>27</v>
      </c>
      <c r="O1184" s="9" t="s">
        <v>346</v>
      </c>
      <c r="P1184" s="9" t="s">
        <v>0</v>
      </c>
      <c r="Q1184" s="9">
        <v>43761098</v>
      </c>
      <c r="R1184" s="9" t="s">
        <v>347</v>
      </c>
      <c r="S1184" s="9" t="s">
        <v>158</v>
      </c>
      <c r="T1184" s="10" t="s">
        <v>84</v>
      </c>
      <c r="U1184" s="10">
        <v>6</v>
      </c>
      <c r="V1184" s="10">
        <v>120.12</v>
      </c>
      <c r="W1184" s="10" t="s">
        <v>710</v>
      </c>
      <c r="X1184" s="17">
        <v>44789</v>
      </c>
      <c r="Y1184" s="17">
        <v>44791</v>
      </c>
      <c r="Z1184" s="19" t="s">
        <v>772</v>
      </c>
      <c r="AA1184" s="210">
        <v>43450</v>
      </c>
      <c r="AB1184" s="9">
        <v>120</v>
      </c>
      <c r="AC1184" s="9">
        <v>108</v>
      </c>
      <c r="AD1184" s="17">
        <v>48212</v>
      </c>
      <c r="AE1184" s="56">
        <v>278.75</v>
      </c>
      <c r="AF1184" s="56"/>
      <c r="AP1184" s="11"/>
      <c r="AQ1184" s="11"/>
      <c r="AR1184" s="11"/>
      <c r="AW1184" s="9"/>
      <c r="BD1184" s="9"/>
      <c r="CS1184" s="11">
        <f t="shared" si="81"/>
        <v>0</v>
      </c>
      <c r="CT1184" s="22">
        <f t="shared" si="82"/>
        <v>0</v>
      </c>
      <c r="CU1184" s="22">
        <f t="shared" si="84"/>
        <v>0</v>
      </c>
      <c r="CV1184" s="26">
        <f t="shared" si="83"/>
        <v>278.75</v>
      </c>
    </row>
    <row r="1185" spans="1:100" x14ac:dyDescent="0.2">
      <c r="A1185" s="9" t="s">
        <v>345</v>
      </c>
      <c r="B1185" s="2">
        <v>143</v>
      </c>
      <c r="C1185" s="3" t="s">
        <v>95</v>
      </c>
      <c r="D1185" s="3" t="s">
        <v>96</v>
      </c>
      <c r="E1185" s="2" t="s">
        <v>72</v>
      </c>
      <c r="F1185" s="2">
        <v>16</v>
      </c>
      <c r="G1185" s="2" t="s">
        <v>84</v>
      </c>
      <c r="H1185" s="2">
        <v>6</v>
      </c>
      <c r="I1185" s="8">
        <v>120.12</v>
      </c>
      <c r="J1185" s="8">
        <v>35900</v>
      </c>
      <c r="K1185" s="3">
        <v>0</v>
      </c>
      <c r="L1185" s="3" t="s">
        <v>3</v>
      </c>
      <c r="M1185" s="9" t="s">
        <v>0</v>
      </c>
      <c r="N1185" s="9" t="s">
        <v>27</v>
      </c>
      <c r="O1185" s="9" t="s">
        <v>346</v>
      </c>
      <c r="P1185" s="9" t="s">
        <v>0</v>
      </c>
      <c r="Q1185" s="9">
        <v>43761098</v>
      </c>
      <c r="R1185" s="9" t="s">
        <v>347</v>
      </c>
      <c r="S1185" s="9" t="s">
        <v>158</v>
      </c>
      <c r="T1185" s="10" t="s">
        <v>84</v>
      </c>
      <c r="U1185" s="10">
        <v>6</v>
      </c>
      <c r="V1185" s="10">
        <v>120.12</v>
      </c>
      <c r="W1185" s="10" t="s">
        <v>710</v>
      </c>
      <c r="X1185" s="17">
        <v>44789</v>
      </c>
      <c r="Y1185" s="17">
        <v>44791</v>
      </c>
      <c r="Z1185" s="19" t="s">
        <v>772</v>
      </c>
      <c r="AA1185" s="210">
        <v>43450</v>
      </c>
      <c r="AB1185" s="9">
        <v>120</v>
      </c>
      <c r="AC1185" s="9">
        <v>109</v>
      </c>
      <c r="AD1185" s="17">
        <v>48243</v>
      </c>
      <c r="AE1185" s="56">
        <v>278.75</v>
      </c>
      <c r="AF1185" s="56"/>
      <c r="AP1185" s="11"/>
      <c r="AQ1185" s="11"/>
      <c r="AR1185" s="11"/>
      <c r="AW1185" s="9"/>
      <c r="BD1185" s="9"/>
      <c r="CS1185" s="11">
        <f t="shared" si="81"/>
        <v>0</v>
      </c>
      <c r="CT1185" s="22">
        <f t="shared" si="82"/>
        <v>0</v>
      </c>
      <c r="CU1185" s="22">
        <f t="shared" si="84"/>
        <v>0</v>
      </c>
      <c r="CV1185" s="26">
        <f t="shared" si="83"/>
        <v>278.75</v>
      </c>
    </row>
    <row r="1186" spans="1:100" x14ac:dyDescent="0.2">
      <c r="A1186" s="9" t="s">
        <v>345</v>
      </c>
      <c r="B1186" s="2">
        <v>143</v>
      </c>
      <c r="C1186" s="3" t="s">
        <v>95</v>
      </c>
      <c r="D1186" s="3" t="s">
        <v>96</v>
      </c>
      <c r="E1186" s="2" t="s">
        <v>72</v>
      </c>
      <c r="F1186" s="2">
        <v>16</v>
      </c>
      <c r="G1186" s="2" t="s">
        <v>84</v>
      </c>
      <c r="H1186" s="2">
        <v>6</v>
      </c>
      <c r="I1186" s="8">
        <v>120.12</v>
      </c>
      <c r="J1186" s="8">
        <v>35900</v>
      </c>
      <c r="K1186" s="3">
        <v>0</v>
      </c>
      <c r="L1186" s="3" t="s">
        <v>3</v>
      </c>
      <c r="M1186" s="9" t="s">
        <v>0</v>
      </c>
      <c r="N1186" s="9" t="s">
        <v>27</v>
      </c>
      <c r="O1186" s="9" t="s">
        <v>346</v>
      </c>
      <c r="P1186" s="9" t="s">
        <v>0</v>
      </c>
      <c r="Q1186" s="9">
        <v>43761098</v>
      </c>
      <c r="R1186" s="9" t="s">
        <v>347</v>
      </c>
      <c r="S1186" s="9" t="s">
        <v>158</v>
      </c>
      <c r="T1186" s="10" t="s">
        <v>84</v>
      </c>
      <c r="U1186" s="10">
        <v>6</v>
      </c>
      <c r="V1186" s="10">
        <v>120.12</v>
      </c>
      <c r="W1186" s="10" t="s">
        <v>710</v>
      </c>
      <c r="X1186" s="17">
        <v>44789</v>
      </c>
      <c r="Y1186" s="17">
        <v>44791</v>
      </c>
      <c r="Z1186" s="19" t="s">
        <v>772</v>
      </c>
      <c r="AA1186" s="210">
        <v>43450</v>
      </c>
      <c r="AB1186" s="9">
        <v>120</v>
      </c>
      <c r="AC1186" s="9">
        <v>110</v>
      </c>
      <c r="AD1186" s="17">
        <v>48273</v>
      </c>
      <c r="AE1186" s="56">
        <v>278.75</v>
      </c>
      <c r="AF1186" s="56"/>
      <c r="AP1186" s="11"/>
      <c r="AQ1186" s="11"/>
      <c r="AR1186" s="11"/>
      <c r="AW1186" s="9"/>
      <c r="BD1186" s="9"/>
      <c r="CS1186" s="11">
        <f t="shared" si="81"/>
        <v>0</v>
      </c>
      <c r="CT1186" s="22">
        <f t="shared" si="82"/>
        <v>0</v>
      </c>
      <c r="CU1186" s="22">
        <f t="shared" si="84"/>
        <v>0</v>
      </c>
      <c r="CV1186" s="26">
        <f t="shared" si="83"/>
        <v>278.75</v>
      </c>
    </row>
    <row r="1187" spans="1:100" x14ac:dyDescent="0.2">
      <c r="A1187" s="9" t="s">
        <v>345</v>
      </c>
      <c r="B1187" s="2">
        <v>143</v>
      </c>
      <c r="C1187" s="3" t="s">
        <v>95</v>
      </c>
      <c r="D1187" s="3" t="s">
        <v>96</v>
      </c>
      <c r="E1187" s="2" t="s">
        <v>72</v>
      </c>
      <c r="F1187" s="2">
        <v>16</v>
      </c>
      <c r="G1187" s="2" t="s">
        <v>84</v>
      </c>
      <c r="H1187" s="2">
        <v>6</v>
      </c>
      <c r="I1187" s="8">
        <v>120.12</v>
      </c>
      <c r="J1187" s="8">
        <v>35900</v>
      </c>
      <c r="K1187" s="3">
        <v>0</v>
      </c>
      <c r="L1187" s="3" t="s">
        <v>3</v>
      </c>
      <c r="M1187" s="9" t="s">
        <v>0</v>
      </c>
      <c r="N1187" s="9" t="s">
        <v>27</v>
      </c>
      <c r="O1187" s="9" t="s">
        <v>346</v>
      </c>
      <c r="P1187" s="9" t="s">
        <v>0</v>
      </c>
      <c r="Q1187" s="9">
        <v>43761098</v>
      </c>
      <c r="R1187" s="9" t="s">
        <v>347</v>
      </c>
      <c r="S1187" s="9" t="s">
        <v>158</v>
      </c>
      <c r="T1187" s="10" t="s">
        <v>84</v>
      </c>
      <c r="U1187" s="10">
        <v>6</v>
      </c>
      <c r="V1187" s="10">
        <v>120.12</v>
      </c>
      <c r="W1187" s="10" t="s">
        <v>710</v>
      </c>
      <c r="X1187" s="17">
        <v>44789</v>
      </c>
      <c r="Y1187" s="17">
        <v>44791</v>
      </c>
      <c r="Z1187" s="19" t="s">
        <v>772</v>
      </c>
      <c r="AA1187" s="210">
        <v>43450</v>
      </c>
      <c r="AB1187" s="9">
        <v>120</v>
      </c>
      <c r="AC1187" s="9">
        <v>111</v>
      </c>
      <c r="AD1187" s="17">
        <v>48303</v>
      </c>
      <c r="AE1187" s="56">
        <v>278.75</v>
      </c>
      <c r="AF1187" s="56"/>
      <c r="AP1187" s="11"/>
      <c r="AQ1187" s="11"/>
      <c r="AR1187" s="11"/>
      <c r="AW1187" s="9"/>
      <c r="BD1187" s="9"/>
      <c r="CS1187" s="11">
        <f t="shared" si="81"/>
        <v>0</v>
      </c>
      <c r="CT1187" s="22">
        <f t="shared" si="82"/>
        <v>0</v>
      </c>
      <c r="CU1187" s="22">
        <f t="shared" si="84"/>
        <v>0</v>
      </c>
      <c r="CV1187" s="26">
        <f t="shared" si="83"/>
        <v>278.75</v>
      </c>
    </row>
    <row r="1188" spans="1:100" x14ac:dyDescent="0.2">
      <c r="A1188" s="9" t="s">
        <v>345</v>
      </c>
      <c r="B1188" s="2">
        <v>143</v>
      </c>
      <c r="C1188" s="3" t="s">
        <v>95</v>
      </c>
      <c r="D1188" s="3" t="s">
        <v>96</v>
      </c>
      <c r="E1188" s="2" t="s">
        <v>72</v>
      </c>
      <c r="F1188" s="2">
        <v>16</v>
      </c>
      <c r="G1188" s="2" t="s">
        <v>84</v>
      </c>
      <c r="H1188" s="2">
        <v>6</v>
      </c>
      <c r="I1188" s="8">
        <v>120.12</v>
      </c>
      <c r="J1188" s="8">
        <v>35900</v>
      </c>
      <c r="K1188" s="3">
        <v>0</v>
      </c>
      <c r="L1188" s="3" t="s">
        <v>3</v>
      </c>
      <c r="M1188" s="9" t="s">
        <v>0</v>
      </c>
      <c r="N1188" s="9" t="s">
        <v>27</v>
      </c>
      <c r="O1188" s="9" t="s">
        <v>346</v>
      </c>
      <c r="P1188" s="9" t="s">
        <v>0</v>
      </c>
      <c r="Q1188" s="9">
        <v>43761098</v>
      </c>
      <c r="R1188" s="9" t="s">
        <v>347</v>
      </c>
      <c r="S1188" s="9" t="s">
        <v>158</v>
      </c>
      <c r="T1188" s="10" t="s">
        <v>84</v>
      </c>
      <c r="U1188" s="10">
        <v>6</v>
      </c>
      <c r="V1188" s="10">
        <v>120.12</v>
      </c>
      <c r="W1188" s="10" t="s">
        <v>710</v>
      </c>
      <c r="X1188" s="17">
        <v>44789</v>
      </c>
      <c r="Y1188" s="17">
        <v>44791</v>
      </c>
      <c r="Z1188" s="19" t="s">
        <v>772</v>
      </c>
      <c r="AA1188" s="210">
        <v>43450</v>
      </c>
      <c r="AB1188" s="9">
        <v>120</v>
      </c>
      <c r="AC1188" s="9">
        <v>112</v>
      </c>
      <c r="AD1188" s="17">
        <v>48334</v>
      </c>
      <c r="AE1188" s="56">
        <v>278.75</v>
      </c>
      <c r="AF1188" s="56"/>
      <c r="AP1188" s="11"/>
      <c r="AQ1188" s="11"/>
      <c r="AR1188" s="11"/>
      <c r="AW1188" s="9"/>
      <c r="BD1188" s="9"/>
      <c r="CS1188" s="11">
        <f t="shared" si="81"/>
        <v>0</v>
      </c>
      <c r="CT1188" s="22">
        <f t="shared" si="82"/>
        <v>0</v>
      </c>
      <c r="CU1188" s="22">
        <f t="shared" si="84"/>
        <v>0</v>
      </c>
      <c r="CV1188" s="26">
        <f t="shared" si="83"/>
        <v>278.75</v>
      </c>
    </row>
    <row r="1189" spans="1:100" x14ac:dyDescent="0.2">
      <c r="A1189" s="9" t="s">
        <v>345</v>
      </c>
      <c r="B1189" s="2">
        <v>143</v>
      </c>
      <c r="C1189" s="3" t="s">
        <v>95</v>
      </c>
      <c r="D1189" s="3" t="s">
        <v>96</v>
      </c>
      <c r="E1189" s="2" t="s">
        <v>72</v>
      </c>
      <c r="F1189" s="2">
        <v>16</v>
      </c>
      <c r="G1189" s="2" t="s">
        <v>84</v>
      </c>
      <c r="H1189" s="2">
        <v>6</v>
      </c>
      <c r="I1189" s="8">
        <v>120.12</v>
      </c>
      <c r="J1189" s="8">
        <v>35900</v>
      </c>
      <c r="K1189" s="3">
        <v>0</v>
      </c>
      <c r="L1189" s="3" t="s">
        <v>3</v>
      </c>
      <c r="M1189" s="9" t="s">
        <v>0</v>
      </c>
      <c r="N1189" s="9" t="s">
        <v>27</v>
      </c>
      <c r="O1189" s="9" t="s">
        <v>346</v>
      </c>
      <c r="P1189" s="9" t="s">
        <v>0</v>
      </c>
      <c r="Q1189" s="9">
        <v>43761098</v>
      </c>
      <c r="R1189" s="9" t="s">
        <v>347</v>
      </c>
      <c r="S1189" s="9" t="s">
        <v>158</v>
      </c>
      <c r="T1189" s="10" t="s">
        <v>84</v>
      </c>
      <c r="U1189" s="10">
        <v>6</v>
      </c>
      <c r="V1189" s="10">
        <v>120.12</v>
      </c>
      <c r="W1189" s="10" t="s">
        <v>710</v>
      </c>
      <c r="X1189" s="17">
        <v>44789</v>
      </c>
      <c r="Y1189" s="17">
        <v>44791</v>
      </c>
      <c r="Z1189" s="19" t="s">
        <v>772</v>
      </c>
      <c r="AA1189" s="210">
        <v>43450</v>
      </c>
      <c r="AB1189" s="9">
        <v>120</v>
      </c>
      <c r="AC1189" s="9">
        <v>113</v>
      </c>
      <c r="AD1189" s="17">
        <v>48364</v>
      </c>
      <c r="AE1189" s="56">
        <v>278.75</v>
      </c>
      <c r="AF1189" s="56"/>
      <c r="AP1189" s="11"/>
      <c r="AQ1189" s="11"/>
      <c r="AR1189" s="11"/>
      <c r="AW1189" s="9"/>
      <c r="BD1189" s="9"/>
      <c r="CS1189" s="11">
        <f t="shared" si="81"/>
        <v>0</v>
      </c>
      <c r="CT1189" s="22">
        <f t="shared" si="82"/>
        <v>0</v>
      </c>
      <c r="CU1189" s="22">
        <f t="shared" si="84"/>
        <v>0</v>
      </c>
      <c r="CV1189" s="26">
        <f t="shared" si="83"/>
        <v>278.75</v>
      </c>
    </row>
    <row r="1190" spans="1:100" x14ac:dyDescent="0.2">
      <c r="A1190" s="9" t="s">
        <v>345</v>
      </c>
      <c r="B1190" s="2">
        <v>143</v>
      </c>
      <c r="C1190" s="3" t="s">
        <v>95</v>
      </c>
      <c r="D1190" s="3" t="s">
        <v>96</v>
      </c>
      <c r="E1190" s="2" t="s">
        <v>72</v>
      </c>
      <c r="F1190" s="2">
        <v>16</v>
      </c>
      <c r="G1190" s="2" t="s">
        <v>84</v>
      </c>
      <c r="H1190" s="2">
        <v>6</v>
      </c>
      <c r="I1190" s="8">
        <v>120.12</v>
      </c>
      <c r="J1190" s="8">
        <v>35900</v>
      </c>
      <c r="K1190" s="3">
        <v>0</v>
      </c>
      <c r="L1190" s="3" t="s">
        <v>3</v>
      </c>
      <c r="M1190" s="9" t="s">
        <v>0</v>
      </c>
      <c r="N1190" s="9" t="s">
        <v>27</v>
      </c>
      <c r="O1190" s="9" t="s">
        <v>346</v>
      </c>
      <c r="P1190" s="9" t="s">
        <v>0</v>
      </c>
      <c r="Q1190" s="9">
        <v>43761098</v>
      </c>
      <c r="R1190" s="9" t="s">
        <v>347</v>
      </c>
      <c r="S1190" s="9" t="s">
        <v>158</v>
      </c>
      <c r="T1190" s="10" t="s">
        <v>84</v>
      </c>
      <c r="U1190" s="10">
        <v>6</v>
      </c>
      <c r="V1190" s="10">
        <v>120.12</v>
      </c>
      <c r="W1190" s="10" t="s">
        <v>710</v>
      </c>
      <c r="X1190" s="17">
        <v>44789</v>
      </c>
      <c r="Y1190" s="17">
        <v>44791</v>
      </c>
      <c r="Z1190" s="19" t="s">
        <v>772</v>
      </c>
      <c r="AA1190" s="210">
        <v>43450</v>
      </c>
      <c r="AB1190" s="9">
        <v>120</v>
      </c>
      <c r="AC1190" s="9">
        <v>114</v>
      </c>
      <c r="AD1190" s="17">
        <v>48395</v>
      </c>
      <c r="AE1190" s="56">
        <v>278.75</v>
      </c>
      <c r="AF1190" s="56"/>
      <c r="AP1190" s="11"/>
      <c r="AQ1190" s="11"/>
      <c r="AR1190" s="11"/>
      <c r="AW1190" s="9"/>
      <c r="BD1190" s="9"/>
      <c r="CS1190" s="11">
        <f t="shared" si="81"/>
        <v>0</v>
      </c>
      <c r="CT1190" s="22">
        <f t="shared" si="82"/>
        <v>0</v>
      </c>
      <c r="CU1190" s="22">
        <f t="shared" si="84"/>
        <v>0</v>
      </c>
      <c r="CV1190" s="26">
        <f t="shared" si="83"/>
        <v>278.75</v>
      </c>
    </row>
    <row r="1191" spans="1:100" x14ac:dyDescent="0.2">
      <c r="A1191" s="9" t="s">
        <v>345</v>
      </c>
      <c r="B1191" s="2">
        <v>143</v>
      </c>
      <c r="C1191" s="3" t="s">
        <v>95</v>
      </c>
      <c r="D1191" s="3" t="s">
        <v>96</v>
      </c>
      <c r="E1191" s="2" t="s">
        <v>72</v>
      </c>
      <c r="F1191" s="2">
        <v>16</v>
      </c>
      <c r="G1191" s="2" t="s">
        <v>84</v>
      </c>
      <c r="H1191" s="2">
        <v>6</v>
      </c>
      <c r="I1191" s="8">
        <v>120.12</v>
      </c>
      <c r="J1191" s="8">
        <v>35900</v>
      </c>
      <c r="K1191" s="3">
        <v>0</v>
      </c>
      <c r="L1191" s="3" t="s">
        <v>3</v>
      </c>
      <c r="M1191" s="9" t="s">
        <v>0</v>
      </c>
      <c r="N1191" s="9" t="s">
        <v>27</v>
      </c>
      <c r="O1191" s="9" t="s">
        <v>346</v>
      </c>
      <c r="P1191" s="9" t="s">
        <v>0</v>
      </c>
      <c r="Q1191" s="9">
        <v>43761098</v>
      </c>
      <c r="R1191" s="9" t="s">
        <v>347</v>
      </c>
      <c r="S1191" s="9" t="s">
        <v>158</v>
      </c>
      <c r="T1191" s="10" t="s">
        <v>84</v>
      </c>
      <c r="U1191" s="10">
        <v>6</v>
      </c>
      <c r="V1191" s="10">
        <v>120.12</v>
      </c>
      <c r="W1191" s="10" t="s">
        <v>710</v>
      </c>
      <c r="X1191" s="17">
        <v>44789</v>
      </c>
      <c r="Y1191" s="17">
        <v>44791</v>
      </c>
      <c r="Z1191" s="19" t="s">
        <v>772</v>
      </c>
      <c r="AA1191" s="210">
        <v>43450</v>
      </c>
      <c r="AB1191" s="9">
        <v>120</v>
      </c>
      <c r="AC1191" s="9">
        <v>115</v>
      </c>
      <c r="AD1191" s="17">
        <v>48425</v>
      </c>
      <c r="AE1191" s="56">
        <v>278.75</v>
      </c>
      <c r="AF1191" s="56"/>
      <c r="AP1191" s="11"/>
      <c r="AQ1191" s="11"/>
      <c r="AR1191" s="11"/>
      <c r="AW1191" s="9"/>
      <c r="BD1191" s="9"/>
      <c r="CS1191" s="11">
        <f t="shared" si="81"/>
        <v>0</v>
      </c>
      <c r="CT1191" s="22">
        <f t="shared" si="82"/>
        <v>0</v>
      </c>
      <c r="CU1191" s="22">
        <f t="shared" si="84"/>
        <v>0</v>
      </c>
      <c r="CV1191" s="26">
        <f t="shared" si="83"/>
        <v>278.75</v>
      </c>
    </row>
    <row r="1192" spans="1:100" x14ac:dyDescent="0.2">
      <c r="A1192" s="9" t="s">
        <v>345</v>
      </c>
      <c r="B1192" s="2">
        <v>143</v>
      </c>
      <c r="C1192" s="3" t="s">
        <v>95</v>
      </c>
      <c r="D1192" s="3" t="s">
        <v>96</v>
      </c>
      <c r="E1192" s="2" t="s">
        <v>72</v>
      </c>
      <c r="F1192" s="2">
        <v>16</v>
      </c>
      <c r="G1192" s="2" t="s">
        <v>84</v>
      </c>
      <c r="H1192" s="2">
        <v>6</v>
      </c>
      <c r="I1192" s="8">
        <v>120.12</v>
      </c>
      <c r="J1192" s="8">
        <v>35900</v>
      </c>
      <c r="K1192" s="3">
        <v>0</v>
      </c>
      <c r="L1192" s="3" t="s">
        <v>3</v>
      </c>
      <c r="M1192" s="9" t="s">
        <v>0</v>
      </c>
      <c r="N1192" s="9" t="s">
        <v>27</v>
      </c>
      <c r="O1192" s="9" t="s">
        <v>346</v>
      </c>
      <c r="P1192" s="9" t="s">
        <v>0</v>
      </c>
      <c r="Q1192" s="9">
        <v>43761098</v>
      </c>
      <c r="R1192" s="9" t="s">
        <v>347</v>
      </c>
      <c r="S1192" s="9" t="s">
        <v>158</v>
      </c>
      <c r="T1192" s="10" t="s">
        <v>84</v>
      </c>
      <c r="U1192" s="10">
        <v>6</v>
      </c>
      <c r="V1192" s="10">
        <v>120.12</v>
      </c>
      <c r="W1192" s="10" t="s">
        <v>710</v>
      </c>
      <c r="X1192" s="17">
        <v>44789</v>
      </c>
      <c r="Y1192" s="17">
        <v>44791</v>
      </c>
      <c r="Z1192" s="19" t="s">
        <v>772</v>
      </c>
      <c r="AA1192" s="210">
        <v>43450</v>
      </c>
      <c r="AB1192" s="9">
        <v>120</v>
      </c>
      <c r="AC1192" s="9">
        <v>116</v>
      </c>
      <c r="AD1192" s="17">
        <v>48456</v>
      </c>
      <c r="AE1192" s="56">
        <v>278.75</v>
      </c>
      <c r="AF1192" s="56"/>
      <c r="AP1192" s="11"/>
      <c r="AQ1192" s="11"/>
      <c r="AR1192" s="11"/>
      <c r="AW1192" s="9"/>
      <c r="BD1192" s="9"/>
      <c r="CS1192" s="11">
        <f t="shared" si="81"/>
        <v>0</v>
      </c>
      <c r="CT1192" s="22">
        <f t="shared" si="82"/>
        <v>0</v>
      </c>
      <c r="CU1192" s="22">
        <f t="shared" si="84"/>
        <v>0</v>
      </c>
      <c r="CV1192" s="26">
        <f t="shared" si="83"/>
        <v>278.75</v>
      </c>
    </row>
    <row r="1193" spans="1:100" x14ac:dyDescent="0.2">
      <c r="A1193" s="9" t="s">
        <v>345</v>
      </c>
      <c r="B1193" s="2">
        <v>143</v>
      </c>
      <c r="C1193" s="3" t="s">
        <v>95</v>
      </c>
      <c r="D1193" s="3" t="s">
        <v>96</v>
      </c>
      <c r="E1193" s="2" t="s">
        <v>72</v>
      </c>
      <c r="F1193" s="2">
        <v>16</v>
      </c>
      <c r="G1193" s="2" t="s">
        <v>84</v>
      </c>
      <c r="H1193" s="2">
        <v>6</v>
      </c>
      <c r="I1193" s="8">
        <v>120.12</v>
      </c>
      <c r="J1193" s="8">
        <v>35900</v>
      </c>
      <c r="K1193" s="3">
        <v>0</v>
      </c>
      <c r="L1193" s="3" t="s">
        <v>3</v>
      </c>
      <c r="M1193" s="9" t="s">
        <v>0</v>
      </c>
      <c r="N1193" s="9" t="s">
        <v>27</v>
      </c>
      <c r="O1193" s="9" t="s">
        <v>346</v>
      </c>
      <c r="P1193" s="9" t="s">
        <v>0</v>
      </c>
      <c r="Q1193" s="9">
        <v>43761098</v>
      </c>
      <c r="R1193" s="9" t="s">
        <v>347</v>
      </c>
      <c r="S1193" s="9" t="s">
        <v>158</v>
      </c>
      <c r="T1193" s="10" t="s">
        <v>84</v>
      </c>
      <c r="U1193" s="10">
        <v>6</v>
      </c>
      <c r="V1193" s="10">
        <v>120.12</v>
      </c>
      <c r="W1193" s="10" t="s">
        <v>710</v>
      </c>
      <c r="X1193" s="17">
        <v>44789</v>
      </c>
      <c r="Y1193" s="17">
        <v>44791</v>
      </c>
      <c r="Z1193" s="19" t="s">
        <v>772</v>
      </c>
      <c r="AA1193" s="210">
        <v>43450</v>
      </c>
      <c r="AB1193" s="9">
        <v>120</v>
      </c>
      <c r="AC1193" s="9">
        <v>117</v>
      </c>
      <c r="AD1193" s="17">
        <v>48487</v>
      </c>
      <c r="AE1193" s="56">
        <v>278.75</v>
      </c>
      <c r="AF1193" s="56"/>
      <c r="AP1193" s="11"/>
      <c r="AQ1193" s="11"/>
      <c r="AR1193" s="11"/>
      <c r="AW1193" s="9"/>
      <c r="BD1193" s="9"/>
      <c r="CS1193" s="11">
        <f t="shared" si="81"/>
        <v>0</v>
      </c>
      <c r="CT1193" s="22">
        <f t="shared" si="82"/>
        <v>0</v>
      </c>
      <c r="CU1193" s="22">
        <f t="shared" si="84"/>
        <v>0</v>
      </c>
      <c r="CV1193" s="26">
        <f t="shared" si="83"/>
        <v>278.75</v>
      </c>
    </row>
    <row r="1194" spans="1:100" x14ac:dyDescent="0.2">
      <c r="A1194" s="9" t="s">
        <v>345</v>
      </c>
      <c r="B1194" s="2">
        <v>143</v>
      </c>
      <c r="C1194" s="3" t="s">
        <v>95</v>
      </c>
      <c r="D1194" s="3" t="s">
        <v>96</v>
      </c>
      <c r="E1194" s="2" t="s">
        <v>72</v>
      </c>
      <c r="F1194" s="2">
        <v>16</v>
      </c>
      <c r="G1194" s="2" t="s">
        <v>84</v>
      </c>
      <c r="H1194" s="2">
        <v>6</v>
      </c>
      <c r="I1194" s="8">
        <v>120.12</v>
      </c>
      <c r="J1194" s="8">
        <v>35900</v>
      </c>
      <c r="K1194" s="3">
        <v>0</v>
      </c>
      <c r="L1194" s="3" t="s">
        <v>3</v>
      </c>
      <c r="M1194" s="9" t="s">
        <v>0</v>
      </c>
      <c r="N1194" s="9" t="s">
        <v>27</v>
      </c>
      <c r="O1194" s="9" t="s">
        <v>346</v>
      </c>
      <c r="P1194" s="9" t="s">
        <v>0</v>
      </c>
      <c r="Q1194" s="9">
        <v>43761098</v>
      </c>
      <c r="R1194" s="9" t="s">
        <v>347</v>
      </c>
      <c r="S1194" s="9" t="s">
        <v>158</v>
      </c>
      <c r="T1194" s="10" t="s">
        <v>84</v>
      </c>
      <c r="U1194" s="10">
        <v>6</v>
      </c>
      <c r="V1194" s="10">
        <v>120.12</v>
      </c>
      <c r="W1194" s="10" t="s">
        <v>710</v>
      </c>
      <c r="X1194" s="17">
        <v>44789</v>
      </c>
      <c r="Y1194" s="17">
        <v>44791</v>
      </c>
      <c r="Z1194" s="19" t="s">
        <v>772</v>
      </c>
      <c r="AA1194" s="210">
        <v>43450</v>
      </c>
      <c r="AB1194" s="9">
        <v>120</v>
      </c>
      <c r="AC1194" s="9">
        <v>118</v>
      </c>
      <c r="AD1194" s="17">
        <v>48517</v>
      </c>
      <c r="AE1194" s="56">
        <v>278.75</v>
      </c>
      <c r="AF1194" s="56"/>
      <c r="AP1194" s="11"/>
      <c r="AQ1194" s="11"/>
      <c r="AR1194" s="11"/>
      <c r="AW1194" s="9"/>
      <c r="BD1194" s="9"/>
      <c r="CS1194" s="11">
        <f t="shared" si="81"/>
        <v>0</v>
      </c>
      <c r="CT1194" s="22">
        <f t="shared" si="82"/>
        <v>0</v>
      </c>
      <c r="CU1194" s="22">
        <f t="shared" si="84"/>
        <v>0</v>
      </c>
      <c r="CV1194" s="26">
        <f t="shared" si="83"/>
        <v>278.75</v>
      </c>
    </row>
    <row r="1195" spans="1:100" x14ac:dyDescent="0.2">
      <c r="A1195" s="9" t="s">
        <v>345</v>
      </c>
      <c r="B1195" s="2">
        <v>143</v>
      </c>
      <c r="C1195" s="3" t="s">
        <v>95</v>
      </c>
      <c r="D1195" s="3" t="s">
        <v>96</v>
      </c>
      <c r="E1195" s="2" t="s">
        <v>72</v>
      </c>
      <c r="F1195" s="2">
        <v>16</v>
      </c>
      <c r="G1195" s="2" t="s">
        <v>84</v>
      </c>
      <c r="H1195" s="2">
        <v>6</v>
      </c>
      <c r="I1195" s="8">
        <v>120.12</v>
      </c>
      <c r="J1195" s="8">
        <v>35900</v>
      </c>
      <c r="K1195" s="3">
        <v>0</v>
      </c>
      <c r="L1195" s="3" t="s">
        <v>3</v>
      </c>
      <c r="M1195" s="9" t="s">
        <v>0</v>
      </c>
      <c r="N1195" s="9" t="s">
        <v>27</v>
      </c>
      <c r="O1195" s="9" t="s">
        <v>346</v>
      </c>
      <c r="P1195" s="9" t="s">
        <v>0</v>
      </c>
      <c r="Q1195" s="9">
        <v>43761098</v>
      </c>
      <c r="R1195" s="9" t="s">
        <v>347</v>
      </c>
      <c r="S1195" s="9" t="s">
        <v>158</v>
      </c>
      <c r="T1195" s="10" t="s">
        <v>84</v>
      </c>
      <c r="U1195" s="10">
        <v>6</v>
      </c>
      <c r="V1195" s="10">
        <v>120.12</v>
      </c>
      <c r="W1195" s="10" t="s">
        <v>710</v>
      </c>
      <c r="X1195" s="17">
        <v>44789</v>
      </c>
      <c r="Y1195" s="17">
        <v>44791</v>
      </c>
      <c r="Z1195" s="19" t="s">
        <v>772</v>
      </c>
      <c r="AA1195" s="210">
        <v>43450</v>
      </c>
      <c r="AB1195" s="9">
        <v>120</v>
      </c>
      <c r="AC1195" s="9">
        <v>119</v>
      </c>
      <c r="AD1195" s="17">
        <v>48548</v>
      </c>
      <c r="AE1195" s="56">
        <v>278.75</v>
      </c>
      <c r="AF1195" s="56"/>
      <c r="AP1195" s="11"/>
      <c r="AQ1195" s="11"/>
      <c r="AR1195" s="11"/>
      <c r="AW1195" s="9"/>
      <c r="BD1195" s="9"/>
      <c r="CS1195" s="11">
        <f t="shared" si="81"/>
        <v>0</v>
      </c>
      <c r="CT1195" s="22">
        <f t="shared" si="82"/>
        <v>0</v>
      </c>
      <c r="CU1195" s="22">
        <f t="shared" si="84"/>
        <v>0</v>
      </c>
      <c r="CV1195" s="26">
        <f t="shared" si="83"/>
        <v>278.75</v>
      </c>
    </row>
    <row r="1196" spans="1:100" x14ac:dyDescent="0.2">
      <c r="A1196" s="9" t="s">
        <v>345</v>
      </c>
      <c r="B1196" s="2">
        <v>143</v>
      </c>
      <c r="C1196" s="3" t="s">
        <v>95</v>
      </c>
      <c r="D1196" s="3" t="s">
        <v>96</v>
      </c>
      <c r="E1196" s="2" t="s">
        <v>72</v>
      </c>
      <c r="F1196" s="2">
        <v>16</v>
      </c>
      <c r="G1196" s="2" t="s">
        <v>84</v>
      </c>
      <c r="H1196" s="2">
        <v>6</v>
      </c>
      <c r="I1196" s="8">
        <v>120.12</v>
      </c>
      <c r="J1196" s="8">
        <v>35900</v>
      </c>
      <c r="K1196" s="3">
        <v>0</v>
      </c>
      <c r="L1196" s="3" t="s">
        <v>3</v>
      </c>
      <c r="M1196" s="9" t="s">
        <v>0</v>
      </c>
      <c r="N1196" s="9" t="s">
        <v>27</v>
      </c>
      <c r="O1196" s="9" t="s">
        <v>346</v>
      </c>
      <c r="P1196" s="9" t="s">
        <v>0</v>
      </c>
      <c r="Q1196" s="9">
        <v>43761098</v>
      </c>
      <c r="R1196" s="9" t="s">
        <v>347</v>
      </c>
      <c r="S1196" s="9" t="s">
        <v>158</v>
      </c>
      <c r="T1196" s="10" t="s">
        <v>84</v>
      </c>
      <c r="U1196" s="10">
        <v>6</v>
      </c>
      <c r="V1196" s="10">
        <v>120.12</v>
      </c>
      <c r="W1196" s="10" t="s">
        <v>710</v>
      </c>
      <c r="X1196" s="17">
        <v>44789</v>
      </c>
      <c r="Y1196" s="17">
        <v>44791</v>
      </c>
      <c r="Z1196" s="19" t="s">
        <v>772</v>
      </c>
      <c r="AA1196" s="210">
        <v>43450</v>
      </c>
      <c r="AB1196" s="9">
        <v>120</v>
      </c>
      <c r="AC1196" s="9">
        <v>120</v>
      </c>
      <c r="AD1196" s="17">
        <v>48578</v>
      </c>
      <c r="AE1196" s="56">
        <v>278.75</v>
      </c>
      <c r="AF1196" s="56"/>
      <c r="AP1196" s="11"/>
      <c r="AQ1196" s="11"/>
      <c r="AR1196" s="11"/>
      <c r="AW1196" s="9"/>
      <c r="BD1196" s="9"/>
      <c r="CS1196" s="11">
        <f t="shared" si="81"/>
        <v>0</v>
      </c>
      <c r="CT1196" s="22">
        <f t="shared" si="82"/>
        <v>0</v>
      </c>
      <c r="CU1196" s="22">
        <f t="shared" si="84"/>
        <v>0</v>
      </c>
      <c r="CV1196" s="26">
        <f t="shared" si="83"/>
        <v>278.75</v>
      </c>
    </row>
    <row r="1197" spans="1:100" x14ac:dyDescent="0.2">
      <c r="A1197" s="9" t="s">
        <v>351</v>
      </c>
      <c r="B1197" s="2">
        <v>12</v>
      </c>
      <c r="C1197" s="3" t="s">
        <v>95</v>
      </c>
      <c r="D1197" s="3" t="s">
        <v>96</v>
      </c>
      <c r="E1197" s="2" t="s">
        <v>66</v>
      </c>
      <c r="F1197" s="2">
        <v>9</v>
      </c>
      <c r="G1197" s="2" t="s">
        <v>66</v>
      </c>
      <c r="H1197" s="2">
        <v>6</v>
      </c>
      <c r="I1197" s="8">
        <v>205.56</v>
      </c>
      <c r="J1197" s="8">
        <v>37900</v>
      </c>
      <c r="K1197" s="3">
        <v>0</v>
      </c>
      <c r="L1197" s="3" t="s">
        <v>3</v>
      </c>
      <c r="M1197" s="9" t="s">
        <v>0</v>
      </c>
      <c r="N1197" s="10">
        <v>40811527</v>
      </c>
      <c r="O1197" s="9" t="s">
        <v>2199</v>
      </c>
      <c r="Q1197" s="9"/>
      <c r="S1197" s="9" t="s">
        <v>158</v>
      </c>
      <c r="T1197" s="10" t="s">
        <v>66</v>
      </c>
      <c r="U1197" s="10">
        <v>6</v>
      </c>
      <c r="V1197" s="10">
        <v>209.85</v>
      </c>
      <c r="W1197" s="10" t="s">
        <v>710</v>
      </c>
      <c r="X1197" s="17">
        <v>44986</v>
      </c>
      <c r="Y1197" s="17">
        <v>45364</v>
      </c>
      <c r="Z1197" s="19" t="s">
        <v>772</v>
      </c>
      <c r="AA1197" s="213">
        <v>51000</v>
      </c>
      <c r="AB1197" s="9">
        <v>18</v>
      </c>
      <c r="AC1197" s="9">
        <v>0</v>
      </c>
      <c r="AD1197" s="17">
        <v>44986</v>
      </c>
      <c r="AE1197" s="56">
        <v>1583.11</v>
      </c>
      <c r="AF1197" s="56"/>
      <c r="AG1197" s="9" t="s">
        <v>134</v>
      </c>
      <c r="AH1197" s="17">
        <v>44986</v>
      </c>
      <c r="AI1197" s="17"/>
      <c r="AJ1197" s="17"/>
      <c r="AK1197" s="9" t="s">
        <v>352</v>
      </c>
      <c r="AM1197" s="194">
        <v>6000</v>
      </c>
      <c r="AN1197" s="11" t="s">
        <v>2206</v>
      </c>
      <c r="AP1197" s="11"/>
      <c r="AQ1197" s="11"/>
      <c r="AR1197" s="11"/>
      <c r="AW1197" s="17">
        <v>44986</v>
      </c>
      <c r="AX1197" s="9" t="s">
        <v>2217</v>
      </c>
      <c r="AY1197" s="11">
        <v>6000</v>
      </c>
      <c r="BD1197" s="9"/>
      <c r="CS1197" s="11">
        <f t="shared" si="81"/>
        <v>0</v>
      </c>
      <c r="CT1197" s="22">
        <f t="shared" si="82"/>
        <v>0</v>
      </c>
      <c r="CU1197" s="22">
        <f t="shared" si="84"/>
        <v>0</v>
      </c>
      <c r="CV1197" s="26">
        <f t="shared" si="83"/>
        <v>1583.11</v>
      </c>
    </row>
    <row r="1198" spans="1:100" x14ac:dyDescent="0.2">
      <c r="A1198" s="9" t="s">
        <v>351</v>
      </c>
      <c r="B1198" s="2">
        <v>12</v>
      </c>
      <c r="C1198" s="3" t="s">
        <v>95</v>
      </c>
      <c r="D1198" s="3" t="s">
        <v>96</v>
      </c>
      <c r="E1198" s="2" t="s">
        <v>66</v>
      </c>
      <c r="F1198" s="2">
        <v>9</v>
      </c>
      <c r="G1198" s="2" t="s">
        <v>66</v>
      </c>
      <c r="H1198" s="2">
        <v>6</v>
      </c>
      <c r="I1198" s="8">
        <v>205.56</v>
      </c>
      <c r="J1198" s="8">
        <v>37900</v>
      </c>
      <c r="K1198" s="3">
        <v>0</v>
      </c>
      <c r="L1198" s="3" t="s">
        <v>3</v>
      </c>
      <c r="M1198" s="9" t="s">
        <v>0</v>
      </c>
      <c r="N1198" s="10">
        <v>40811527</v>
      </c>
      <c r="O1198" s="9" t="s">
        <v>2199</v>
      </c>
      <c r="Q1198" s="9"/>
      <c r="S1198" s="9" t="s">
        <v>158</v>
      </c>
      <c r="T1198" s="10" t="s">
        <v>66</v>
      </c>
      <c r="U1198" s="10">
        <v>6</v>
      </c>
      <c r="V1198" s="10">
        <v>209.85</v>
      </c>
      <c r="W1198" s="10" t="s">
        <v>710</v>
      </c>
      <c r="X1198" s="17">
        <v>44986</v>
      </c>
      <c r="Y1198" s="17">
        <v>45364</v>
      </c>
      <c r="Z1198" s="19" t="s">
        <v>772</v>
      </c>
      <c r="AA1198" s="213">
        <v>51000</v>
      </c>
      <c r="AB1198" s="9">
        <v>18</v>
      </c>
      <c r="AC1198" s="9">
        <v>0</v>
      </c>
      <c r="AD1198" s="17">
        <v>44987</v>
      </c>
      <c r="AE1198" s="56">
        <v>23416.89</v>
      </c>
      <c r="AF1198" s="56"/>
      <c r="AG1198" s="9" t="s">
        <v>134</v>
      </c>
      <c r="AH1198" s="17">
        <v>44987</v>
      </c>
      <c r="AI1198" s="17"/>
      <c r="AJ1198" s="17"/>
      <c r="AK1198" s="9" t="s">
        <v>2200</v>
      </c>
      <c r="AM1198" s="194">
        <v>88750</v>
      </c>
      <c r="AN1198" s="11" t="s">
        <v>2207</v>
      </c>
      <c r="AS1198" s="9"/>
      <c r="AW1198" s="17">
        <v>44987</v>
      </c>
      <c r="AX1198" s="9" t="s">
        <v>2218</v>
      </c>
      <c r="AY1198" s="11">
        <v>88750</v>
      </c>
      <c r="BD1198" s="9"/>
      <c r="CS1198" s="11">
        <f t="shared" si="81"/>
        <v>0</v>
      </c>
      <c r="CT1198" s="22">
        <f t="shared" si="82"/>
        <v>0</v>
      </c>
      <c r="CU1198" s="22">
        <f t="shared" si="84"/>
        <v>0</v>
      </c>
      <c r="CV1198" s="26">
        <f t="shared" si="83"/>
        <v>23416.89</v>
      </c>
    </row>
    <row r="1199" spans="1:100" x14ac:dyDescent="0.2">
      <c r="A1199" s="9" t="s">
        <v>351</v>
      </c>
      <c r="B1199" s="2">
        <v>12</v>
      </c>
      <c r="C1199" s="3" t="s">
        <v>95</v>
      </c>
      <c r="D1199" s="3" t="s">
        <v>96</v>
      </c>
      <c r="E1199" s="2" t="s">
        <v>66</v>
      </c>
      <c r="F1199" s="2">
        <v>9</v>
      </c>
      <c r="G1199" s="2" t="s">
        <v>66</v>
      </c>
      <c r="H1199" s="2">
        <v>6</v>
      </c>
      <c r="I1199" s="8">
        <v>205.56</v>
      </c>
      <c r="J1199" s="8">
        <v>37900</v>
      </c>
      <c r="K1199" s="3">
        <v>0</v>
      </c>
      <c r="L1199" s="3" t="s">
        <v>3</v>
      </c>
      <c r="M1199" s="9" t="s">
        <v>0</v>
      </c>
      <c r="N1199" s="10">
        <v>40811527</v>
      </c>
      <c r="O1199" s="9" t="s">
        <v>2199</v>
      </c>
      <c r="Q1199" s="9"/>
      <c r="S1199" s="9" t="s">
        <v>158</v>
      </c>
      <c r="T1199" s="10" t="s">
        <v>66</v>
      </c>
      <c r="U1199" s="10">
        <v>6</v>
      </c>
      <c r="V1199" s="10">
        <v>209.85</v>
      </c>
      <c r="W1199" s="10" t="s">
        <v>710</v>
      </c>
      <c r="X1199" s="17">
        <v>44986</v>
      </c>
      <c r="Y1199" s="17">
        <v>45364</v>
      </c>
      <c r="Z1199" s="19" t="s">
        <v>772</v>
      </c>
      <c r="AA1199" s="213">
        <v>51000</v>
      </c>
      <c r="AB1199" s="9">
        <v>18</v>
      </c>
      <c r="AC1199" s="9">
        <v>1</v>
      </c>
      <c r="AD1199" s="17">
        <v>45082</v>
      </c>
      <c r="AE1199" s="56">
        <v>1600</v>
      </c>
      <c r="AF1199" s="56"/>
      <c r="AG1199" s="9" t="s">
        <v>134</v>
      </c>
      <c r="AH1199" s="17">
        <v>45083</v>
      </c>
      <c r="AI1199" s="17"/>
      <c r="AJ1199" s="17"/>
      <c r="AK1199" s="9" t="s">
        <v>2201</v>
      </c>
      <c r="AL1199" s="11">
        <v>1600</v>
      </c>
      <c r="AN1199" s="11" t="s">
        <v>2209</v>
      </c>
      <c r="AS1199" s="9"/>
      <c r="AW1199" s="17">
        <v>45083</v>
      </c>
      <c r="AX1199" s="9">
        <v>1596</v>
      </c>
      <c r="BA1199" s="11">
        <v>1600</v>
      </c>
      <c r="BD1199" s="9"/>
      <c r="CS1199" s="11">
        <f t="shared" si="81"/>
        <v>1600</v>
      </c>
      <c r="CT1199" s="22">
        <f t="shared" si="82"/>
        <v>1600</v>
      </c>
      <c r="CU1199" s="22">
        <f t="shared" si="84"/>
        <v>0</v>
      </c>
      <c r="CV1199" s="26">
        <f t="shared" si="83"/>
        <v>0</v>
      </c>
    </row>
    <row r="1200" spans="1:100" x14ac:dyDescent="0.2">
      <c r="A1200" s="9" t="s">
        <v>351</v>
      </c>
      <c r="B1200" s="2">
        <v>12</v>
      </c>
      <c r="C1200" s="3" t="s">
        <v>95</v>
      </c>
      <c r="D1200" s="3" t="s">
        <v>96</v>
      </c>
      <c r="E1200" s="2" t="s">
        <v>66</v>
      </c>
      <c r="F1200" s="2">
        <v>9</v>
      </c>
      <c r="G1200" s="2" t="s">
        <v>66</v>
      </c>
      <c r="H1200" s="2">
        <v>6</v>
      </c>
      <c r="I1200" s="8">
        <v>205.56</v>
      </c>
      <c r="J1200" s="8">
        <v>37900</v>
      </c>
      <c r="K1200" s="3">
        <v>0</v>
      </c>
      <c r="L1200" s="3" t="s">
        <v>3</v>
      </c>
      <c r="M1200" s="9" t="s">
        <v>0</v>
      </c>
      <c r="N1200" s="10">
        <v>40811527</v>
      </c>
      <c r="O1200" s="9" t="s">
        <v>2199</v>
      </c>
      <c r="Q1200" s="9"/>
      <c r="S1200" s="9" t="s">
        <v>158</v>
      </c>
      <c r="T1200" s="10" t="s">
        <v>66</v>
      </c>
      <c r="U1200" s="10">
        <v>6</v>
      </c>
      <c r="V1200" s="10">
        <v>209.85</v>
      </c>
      <c r="W1200" s="10" t="s">
        <v>710</v>
      </c>
      <c r="X1200" s="17">
        <v>44986</v>
      </c>
      <c r="Y1200" s="17">
        <v>45364</v>
      </c>
      <c r="Z1200" s="19" t="s">
        <v>772</v>
      </c>
      <c r="AA1200" s="213">
        <v>51000</v>
      </c>
      <c r="AB1200" s="9">
        <v>18</v>
      </c>
      <c r="AC1200" s="9">
        <v>2</v>
      </c>
      <c r="AD1200" s="17">
        <v>45112</v>
      </c>
      <c r="AE1200" s="56">
        <v>1600</v>
      </c>
      <c r="AF1200" s="56"/>
      <c r="AG1200" s="9" t="s">
        <v>134</v>
      </c>
      <c r="AH1200" s="17">
        <v>45114</v>
      </c>
      <c r="AI1200" s="17"/>
      <c r="AJ1200" s="17"/>
      <c r="AK1200" s="9" t="s">
        <v>2202</v>
      </c>
      <c r="AL1200" s="11">
        <v>1600</v>
      </c>
      <c r="AN1200" s="11" t="s">
        <v>2210</v>
      </c>
      <c r="AS1200" s="9"/>
      <c r="AW1200" s="17">
        <v>45113</v>
      </c>
      <c r="AX1200" s="9">
        <v>1678</v>
      </c>
      <c r="BA1200" s="11">
        <v>1600</v>
      </c>
      <c r="BD1200" s="9"/>
      <c r="CS1200" s="11">
        <f t="shared" si="81"/>
        <v>1600</v>
      </c>
      <c r="CT1200" s="22">
        <f t="shared" si="82"/>
        <v>1600</v>
      </c>
      <c r="CU1200" s="22">
        <f t="shared" si="84"/>
        <v>0</v>
      </c>
      <c r="CV1200" s="26">
        <f t="shared" si="83"/>
        <v>0</v>
      </c>
    </row>
    <row r="1201" spans="1:103" ht="12.75" x14ac:dyDescent="0.2">
      <c r="A1201" s="9" t="s">
        <v>351</v>
      </c>
      <c r="B1201" s="2">
        <v>12</v>
      </c>
      <c r="C1201" s="3" t="s">
        <v>95</v>
      </c>
      <c r="D1201" s="3" t="s">
        <v>96</v>
      </c>
      <c r="E1201" s="2" t="s">
        <v>66</v>
      </c>
      <c r="F1201" s="2">
        <v>9</v>
      </c>
      <c r="G1201" s="2" t="s">
        <v>66</v>
      </c>
      <c r="H1201" s="2">
        <v>6</v>
      </c>
      <c r="I1201" s="8">
        <v>205.56</v>
      </c>
      <c r="J1201" s="8">
        <v>37900</v>
      </c>
      <c r="K1201" s="3">
        <v>0</v>
      </c>
      <c r="L1201" s="3" t="s">
        <v>3</v>
      </c>
      <c r="M1201" s="9" t="s">
        <v>0</v>
      </c>
      <c r="N1201" s="10">
        <v>40811527</v>
      </c>
      <c r="O1201" s="9" t="s">
        <v>2199</v>
      </c>
      <c r="Q1201" s="9"/>
      <c r="S1201" s="9" t="s">
        <v>158</v>
      </c>
      <c r="T1201" s="10" t="s">
        <v>66</v>
      </c>
      <c r="U1201" s="10">
        <v>6</v>
      </c>
      <c r="V1201" s="10">
        <v>209.85</v>
      </c>
      <c r="W1201" s="10" t="s">
        <v>710</v>
      </c>
      <c r="X1201" s="17">
        <v>44986</v>
      </c>
      <c r="Y1201" s="17">
        <v>45364</v>
      </c>
      <c r="Z1201" s="19" t="s">
        <v>772</v>
      </c>
      <c r="AA1201" s="213">
        <v>51000</v>
      </c>
      <c r="AB1201" s="9">
        <v>18</v>
      </c>
      <c r="AC1201" s="9">
        <v>3</v>
      </c>
      <c r="AD1201" s="17">
        <v>45204</v>
      </c>
      <c r="AE1201" s="56">
        <v>1600</v>
      </c>
      <c r="AF1201" s="56"/>
      <c r="AG1201" s="9" t="s">
        <v>134</v>
      </c>
      <c r="AH1201" s="17">
        <v>45208</v>
      </c>
      <c r="AI1201" s="17"/>
      <c r="AJ1201" s="17"/>
      <c r="AK1201" s="9" t="s">
        <v>2203</v>
      </c>
      <c r="AL1201" s="11">
        <v>1600</v>
      </c>
      <c r="AN1201" s="11" t="s">
        <v>2211</v>
      </c>
      <c r="AS1201" s="9"/>
      <c r="AW1201" s="94">
        <v>45208</v>
      </c>
      <c r="AX1201" s="96">
        <v>1967</v>
      </c>
      <c r="BA1201" s="11">
        <v>1600</v>
      </c>
      <c r="BD1201" s="9"/>
      <c r="CS1201" s="11">
        <f t="shared" si="81"/>
        <v>1600</v>
      </c>
      <c r="CT1201" s="22">
        <f t="shared" si="82"/>
        <v>1600</v>
      </c>
      <c r="CU1201" s="22">
        <f t="shared" si="84"/>
        <v>0</v>
      </c>
      <c r="CV1201" s="26">
        <f t="shared" si="83"/>
        <v>0</v>
      </c>
    </row>
    <row r="1202" spans="1:103" x14ac:dyDescent="0.2">
      <c r="A1202" s="9" t="s">
        <v>351</v>
      </c>
      <c r="B1202" s="2">
        <v>12</v>
      </c>
      <c r="C1202" s="3" t="s">
        <v>95</v>
      </c>
      <c r="D1202" s="3" t="s">
        <v>96</v>
      </c>
      <c r="E1202" s="2" t="s">
        <v>66</v>
      </c>
      <c r="F1202" s="2">
        <v>9</v>
      </c>
      <c r="G1202" s="2" t="s">
        <v>66</v>
      </c>
      <c r="H1202" s="2">
        <v>6</v>
      </c>
      <c r="I1202" s="8">
        <v>205.56</v>
      </c>
      <c r="J1202" s="8">
        <v>37900</v>
      </c>
      <c r="K1202" s="3">
        <v>0</v>
      </c>
      <c r="L1202" s="3" t="s">
        <v>3</v>
      </c>
      <c r="M1202" s="9" t="s">
        <v>0</v>
      </c>
      <c r="N1202" s="10">
        <v>40811527</v>
      </c>
      <c r="O1202" s="9" t="s">
        <v>2199</v>
      </c>
      <c r="Q1202" s="9"/>
      <c r="S1202" s="9" t="s">
        <v>158</v>
      </c>
      <c r="T1202" s="10" t="s">
        <v>66</v>
      </c>
      <c r="U1202" s="10">
        <v>6</v>
      </c>
      <c r="V1202" s="10">
        <v>209.85</v>
      </c>
      <c r="W1202" s="10" t="s">
        <v>710</v>
      </c>
      <c r="X1202" s="17">
        <v>44986</v>
      </c>
      <c r="Y1202" s="17">
        <v>45364</v>
      </c>
      <c r="Z1202" s="19" t="s">
        <v>772</v>
      </c>
      <c r="AA1202" s="213">
        <v>51000</v>
      </c>
      <c r="AB1202" s="9">
        <v>18</v>
      </c>
      <c r="AC1202" s="9">
        <v>4</v>
      </c>
      <c r="AD1202" s="17">
        <v>45235</v>
      </c>
      <c r="AE1202" s="56">
        <v>1600</v>
      </c>
      <c r="AF1202" s="56"/>
      <c r="AG1202" s="9" t="s">
        <v>134</v>
      </c>
      <c r="AH1202" s="17">
        <v>45247</v>
      </c>
      <c r="AI1202" s="17"/>
      <c r="AJ1202" s="17"/>
      <c r="AK1202" s="9" t="s">
        <v>2204</v>
      </c>
      <c r="AL1202" s="11">
        <v>1600</v>
      </c>
      <c r="AN1202" s="11" t="s">
        <v>2212</v>
      </c>
      <c r="AS1202" s="9"/>
      <c r="AW1202" s="17">
        <v>45247</v>
      </c>
      <c r="AX1202" s="9">
        <v>2061</v>
      </c>
      <c r="BA1202" s="11">
        <v>1600</v>
      </c>
      <c r="BD1202" s="9"/>
      <c r="CS1202" s="11">
        <f t="shared" si="81"/>
        <v>1600</v>
      </c>
      <c r="CT1202" s="22">
        <f t="shared" si="82"/>
        <v>1600</v>
      </c>
      <c r="CU1202" s="22">
        <f t="shared" si="84"/>
        <v>0</v>
      </c>
      <c r="CV1202" s="26">
        <f t="shared" si="83"/>
        <v>0</v>
      </c>
    </row>
    <row r="1203" spans="1:103" x14ac:dyDescent="0.2">
      <c r="A1203" s="9" t="s">
        <v>351</v>
      </c>
      <c r="B1203" s="2">
        <v>12</v>
      </c>
      <c r="C1203" s="3" t="s">
        <v>95</v>
      </c>
      <c r="D1203" s="3" t="s">
        <v>96</v>
      </c>
      <c r="E1203" s="2" t="s">
        <v>66</v>
      </c>
      <c r="F1203" s="2">
        <v>9</v>
      </c>
      <c r="G1203" s="2" t="s">
        <v>66</v>
      </c>
      <c r="H1203" s="2">
        <v>6</v>
      </c>
      <c r="I1203" s="8">
        <v>205.56</v>
      </c>
      <c r="J1203" s="8">
        <v>37900</v>
      </c>
      <c r="K1203" s="3">
        <v>0</v>
      </c>
      <c r="L1203" s="3" t="s">
        <v>3</v>
      </c>
      <c r="M1203" s="9" t="s">
        <v>0</v>
      </c>
      <c r="N1203" s="10">
        <v>40811527</v>
      </c>
      <c r="O1203" s="9" t="s">
        <v>2199</v>
      </c>
      <c r="Q1203" s="9"/>
      <c r="S1203" s="9" t="s">
        <v>158</v>
      </c>
      <c r="T1203" s="10" t="s">
        <v>66</v>
      </c>
      <c r="U1203" s="10">
        <v>6</v>
      </c>
      <c r="V1203" s="10">
        <v>209.85</v>
      </c>
      <c r="W1203" s="10" t="s">
        <v>710</v>
      </c>
      <c r="X1203" s="17">
        <v>44986</v>
      </c>
      <c r="Y1203" s="17">
        <v>45364</v>
      </c>
      <c r="Z1203" s="19" t="s">
        <v>772</v>
      </c>
      <c r="AA1203" s="213">
        <v>51000</v>
      </c>
      <c r="AB1203" s="9">
        <v>18</v>
      </c>
      <c r="AC1203" s="9">
        <v>5</v>
      </c>
      <c r="AD1203" s="17">
        <v>45265</v>
      </c>
      <c r="AE1203" s="56">
        <v>1600</v>
      </c>
      <c r="AF1203" s="56"/>
      <c r="AG1203" s="9" t="s">
        <v>134</v>
      </c>
      <c r="AH1203" s="17">
        <v>45267</v>
      </c>
      <c r="AI1203" s="17"/>
      <c r="AJ1203" s="17"/>
      <c r="AK1203" s="9" t="s">
        <v>2205</v>
      </c>
      <c r="AL1203" s="11">
        <v>1600</v>
      </c>
      <c r="AN1203" s="11" t="s">
        <v>2213</v>
      </c>
      <c r="AS1203" s="9"/>
      <c r="AW1203" s="17">
        <v>45267</v>
      </c>
      <c r="AX1203" s="9">
        <v>2110</v>
      </c>
      <c r="BA1203" s="11">
        <v>1600</v>
      </c>
      <c r="BD1203" s="9"/>
      <c r="CS1203" s="11">
        <f t="shared" si="81"/>
        <v>1600</v>
      </c>
      <c r="CT1203" s="22">
        <f t="shared" si="82"/>
        <v>1600</v>
      </c>
      <c r="CU1203" s="22">
        <f t="shared" si="84"/>
        <v>0</v>
      </c>
      <c r="CV1203" s="26">
        <f t="shared" si="83"/>
        <v>0</v>
      </c>
    </row>
    <row r="1204" spans="1:103" x14ac:dyDescent="0.2">
      <c r="A1204" s="9" t="s">
        <v>351</v>
      </c>
      <c r="B1204" s="2">
        <v>12</v>
      </c>
      <c r="C1204" s="3" t="s">
        <v>95</v>
      </c>
      <c r="D1204" s="3" t="s">
        <v>96</v>
      </c>
      <c r="E1204" s="2" t="s">
        <v>66</v>
      </c>
      <c r="F1204" s="2">
        <v>9</v>
      </c>
      <c r="G1204" s="2" t="s">
        <v>66</v>
      </c>
      <c r="H1204" s="2">
        <v>6</v>
      </c>
      <c r="I1204" s="8">
        <v>205.56</v>
      </c>
      <c r="J1204" s="8">
        <v>37900</v>
      </c>
      <c r="K1204" s="3">
        <v>0</v>
      </c>
      <c r="L1204" s="3" t="s">
        <v>3</v>
      </c>
      <c r="M1204" s="9" t="s">
        <v>0</v>
      </c>
      <c r="N1204" s="10">
        <v>40811527</v>
      </c>
      <c r="O1204" s="9" t="s">
        <v>2199</v>
      </c>
      <c r="Q1204" s="9"/>
      <c r="S1204" s="9" t="s">
        <v>158</v>
      </c>
      <c r="T1204" s="10" t="s">
        <v>66</v>
      </c>
      <c r="U1204" s="10">
        <v>6</v>
      </c>
      <c r="V1204" s="10">
        <v>209.85</v>
      </c>
      <c r="W1204" s="10" t="s">
        <v>710</v>
      </c>
      <c r="X1204" s="17">
        <v>44986</v>
      </c>
      <c r="Y1204" s="17">
        <v>45364</v>
      </c>
      <c r="Z1204" s="19" t="s">
        <v>772</v>
      </c>
      <c r="AA1204" s="213">
        <v>51000</v>
      </c>
      <c r="AB1204" s="9">
        <v>18</v>
      </c>
      <c r="AC1204" s="117" t="s">
        <v>2216</v>
      </c>
      <c r="AD1204" s="17">
        <v>45296</v>
      </c>
      <c r="AE1204" s="56">
        <f>+(1600*5)+(1625*8)</f>
        <v>21000</v>
      </c>
      <c r="AF1204" s="56"/>
      <c r="AG1204" s="9" t="s">
        <v>134</v>
      </c>
      <c r="AH1204" s="17">
        <v>45348</v>
      </c>
      <c r="AI1204" s="17"/>
      <c r="AJ1204" s="17"/>
      <c r="AK1204" s="9" t="s">
        <v>2214</v>
      </c>
      <c r="AL1204" s="11">
        <v>21000</v>
      </c>
      <c r="AN1204" s="11" t="s">
        <v>2215</v>
      </c>
      <c r="AO1204" s="11" t="s">
        <v>899</v>
      </c>
      <c r="AP1204" s="64">
        <v>45348</v>
      </c>
      <c r="AS1204" s="9" t="s">
        <v>2219</v>
      </c>
      <c r="AT1204" s="11">
        <v>-3000</v>
      </c>
      <c r="AW1204" s="17">
        <v>45345</v>
      </c>
      <c r="AX1204" s="9">
        <v>33291</v>
      </c>
      <c r="AY1204" s="86">
        <v>30000</v>
      </c>
      <c r="AZ1204" s="9">
        <v>3.78</v>
      </c>
      <c r="BA1204" s="11">
        <f>+AY1204/AZ1204</f>
        <v>7936.5079365079373</v>
      </c>
      <c r="BC1204" s="17">
        <v>45346</v>
      </c>
      <c r="BD1204" s="9">
        <v>33337</v>
      </c>
      <c r="BE1204" s="86">
        <v>30000</v>
      </c>
      <c r="BF1204" s="9">
        <v>3.78</v>
      </c>
      <c r="BG1204" s="11">
        <f>+BE1204/BF1204</f>
        <v>7936.5079365079373</v>
      </c>
      <c r="BH1204" s="11"/>
      <c r="BI1204" s="17">
        <v>45347</v>
      </c>
      <c r="BJ1204" s="9">
        <v>33370</v>
      </c>
      <c r="BK1204" s="86">
        <v>8000</v>
      </c>
      <c r="BL1204" s="9">
        <v>3.78</v>
      </c>
      <c r="BM1204" s="11">
        <f>+BK1204/BL1204</f>
        <v>2116.4021164021165</v>
      </c>
      <c r="BN1204" s="11"/>
      <c r="CS1204" s="11">
        <f t="shared" si="81"/>
        <v>18000</v>
      </c>
      <c r="CT1204" s="22">
        <f t="shared" si="82"/>
        <v>17989.417989417991</v>
      </c>
      <c r="CU1204" s="22">
        <f t="shared" si="84"/>
        <v>10.582010582009389</v>
      </c>
      <c r="CV1204" s="26">
        <f t="shared" si="83"/>
        <v>3000</v>
      </c>
      <c r="CY1204" s="9" t="s">
        <v>3493</v>
      </c>
    </row>
    <row r="1205" spans="1:103" x14ac:dyDescent="0.2">
      <c r="A1205" s="9" t="s">
        <v>351</v>
      </c>
      <c r="B1205" s="2">
        <v>12</v>
      </c>
      <c r="C1205" s="3" t="s">
        <v>95</v>
      </c>
      <c r="D1205" s="3" t="s">
        <v>96</v>
      </c>
      <c r="E1205" s="2" t="s">
        <v>66</v>
      </c>
      <c r="F1205" s="2">
        <v>9</v>
      </c>
      <c r="G1205" s="2" t="s">
        <v>66</v>
      </c>
      <c r="H1205" s="2">
        <v>6</v>
      </c>
      <c r="I1205" s="8">
        <v>205.56</v>
      </c>
      <c r="J1205" s="8">
        <v>37900</v>
      </c>
      <c r="K1205" s="3">
        <v>0</v>
      </c>
      <c r="L1205" s="3" t="s">
        <v>3</v>
      </c>
      <c r="M1205" s="9" t="s">
        <v>0</v>
      </c>
      <c r="N1205" s="10">
        <v>40811527</v>
      </c>
      <c r="O1205" s="9" t="s">
        <v>2199</v>
      </c>
      <c r="Q1205" s="9"/>
      <c r="S1205" s="9" t="s">
        <v>354</v>
      </c>
      <c r="W1205" s="10" t="s">
        <v>710</v>
      </c>
      <c r="X1205" s="17">
        <v>44986</v>
      </c>
      <c r="Y1205" s="17">
        <v>44986</v>
      </c>
      <c r="Z1205" s="19" t="s">
        <v>772</v>
      </c>
      <c r="AA1205" s="210">
        <v>5000</v>
      </c>
      <c r="AB1205" s="9">
        <v>1</v>
      </c>
      <c r="AC1205" s="9">
        <v>1</v>
      </c>
      <c r="AD1205" s="17">
        <v>44986</v>
      </c>
      <c r="AE1205" s="56">
        <v>5000</v>
      </c>
      <c r="AF1205" s="56"/>
      <c r="AG1205" s="9" t="s">
        <v>134</v>
      </c>
      <c r="AH1205" s="17">
        <v>44987</v>
      </c>
      <c r="AI1205" s="17"/>
      <c r="AJ1205" s="17"/>
      <c r="AK1205" s="9" t="s">
        <v>353</v>
      </c>
      <c r="AM1205" s="194">
        <v>18950</v>
      </c>
      <c r="AN1205" s="11" t="s">
        <v>2208</v>
      </c>
      <c r="AP1205" s="11"/>
      <c r="AQ1205" s="11"/>
      <c r="AR1205" s="11"/>
      <c r="AW1205" s="17">
        <v>44987</v>
      </c>
      <c r="AX1205" s="9" t="s">
        <v>2218</v>
      </c>
      <c r="AY1205" s="11">
        <v>18950</v>
      </c>
      <c r="BD1205" s="9"/>
      <c r="CS1205" s="11">
        <f t="shared" si="81"/>
        <v>0</v>
      </c>
      <c r="CT1205" s="22">
        <f t="shared" si="82"/>
        <v>0</v>
      </c>
      <c r="CU1205" s="22">
        <f t="shared" si="84"/>
        <v>0</v>
      </c>
      <c r="CV1205" s="26">
        <f t="shared" si="83"/>
        <v>5000</v>
      </c>
    </row>
    <row r="1206" spans="1:103" x14ac:dyDescent="0.2">
      <c r="A1206" s="9" t="s">
        <v>355</v>
      </c>
      <c r="B1206" s="2">
        <v>109</v>
      </c>
      <c r="C1206" s="3" t="s">
        <v>95</v>
      </c>
      <c r="D1206" s="3" t="s">
        <v>96</v>
      </c>
      <c r="E1206" s="2"/>
      <c r="F1206" s="2"/>
      <c r="G1206" s="2" t="s">
        <v>79</v>
      </c>
      <c r="H1206" s="2">
        <v>7</v>
      </c>
      <c r="I1206" s="8">
        <v>130.13999999999999</v>
      </c>
      <c r="J1206" s="8">
        <v>72300</v>
      </c>
      <c r="K1206" s="3">
        <v>0</v>
      </c>
      <c r="L1206" s="3" t="s">
        <v>97</v>
      </c>
      <c r="M1206" s="9" t="s">
        <v>0</v>
      </c>
      <c r="N1206" s="9" t="s">
        <v>28</v>
      </c>
      <c r="O1206" s="9" t="s">
        <v>64</v>
      </c>
      <c r="S1206" s="9" t="s">
        <v>158</v>
      </c>
      <c r="T1206" s="10" t="s">
        <v>79</v>
      </c>
      <c r="U1206" s="10">
        <v>7</v>
      </c>
      <c r="V1206" s="10">
        <v>130.13</v>
      </c>
      <c r="W1206" s="10" t="s">
        <v>710</v>
      </c>
      <c r="X1206" s="17">
        <v>45057</v>
      </c>
      <c r="Y1206" s="17">
        <v>45057</v>
      </c>
      <c r="Z1206" s="19" t="s">
        <v>772</v>
      </c>
      <c r="AA1206" s="210">
        <v>40000</v>
      </c>
      <c r="AB1206" s="9">
        <v>24</v>
      </c>
      <c r="AC1206" s="9">
        <v>0</v>
      </c>
      <c r="AD1206" s="17">
        <v>45057</v>
      </c>
      <c r="AE1206" s="56">
        <v>5000</v>
      </c>
      <c r="AF1206" s="56"/>
      <c r="AG1206" s="9" t="s">
        <v>134</v>
      </c>
      <c r="AH1206" s="17">
        <v>45057</v>
      </c>
      <c r="AI1206" s="17"/>
      <c r="AJ1206" s="17"/>
      <c r="AK1206" s="9" t="s">
        <v>2113</v>
      </c>
      <c r="AL1206" s="11">
        <v>5000</v>
      </c>
      <c r="AN1206" s="11" t="s">
        <v>2121</v>
      </c>
      <c r="AP1206" s="11"/>
      <c r="AQ1206" s="11"/>
      <c r="AR1206" s="11"/>
      <c r="AW1206" s="17">
        <v>45058</v>
      </c>
      <c r="AX1206" s="9">
        <v>1504</v>
      </c>
      <c r="BA1206" s="11">
        <v>5000</v>
      </c>
      <c r="BD1206" s="9"/>
      <c r="CS1206" s="11">
        <f t="shared" si="81"/>
        <v>5000</v>
      </c>
      <c r="CT1206" s="22">
        <f t="shared" si="82"/>
        <v>5000</v>
      </c>
      <c r="CU1206" s="22">
        <f t="shared" si="84"/>
        <v>0</v>
      </c>
      <c r="CV1206" s="26">
        <f t="shared" si="83"/>
        <v>0</v>
      </c>
    </row>
    <row r="1207" spans="1:103" x14ac:dyDescent="0.2">
      <c r="A1207" s="9" t="s">
        <v>355</v>
      </c>
      <c r="B1207" s="2">
        <v>109</v>
      </c>
      <c r="C1207" s="3" t="s">
        <v>95</v>
      </c>
      <c r="D1207" s="3" t="s">
        <v>96</v>
      </c>
      <c r="E1207" s="2"/>
      <c r="F1207" s="2"/>
      <c r="G1207" s="2" t="s">
        <v>79</v>
      </c>
      <c r="H1207" s="2">
        <v>7</v>
      </c>
      <c r="I1207" s="8">
        <v>130.13999999999999</v>
      </c>
      <c r="J1207" s="8">
        <v>72300</v>
      </c>
      <c r="K1207" s="3">
        <v>0</v>
      </c>
      <c r="L1207" s="3" t="s">
        <v>97</v>
      </c>
      <c r="M1207" s="9" t="s">
        <v>0</v>
      </c>
      <c r="N1207" s="9" t="s">
        <v>28</v>
      </c>
      <c r="O1207" s="9" t="s">
        <v>64</v>
      </c>
      <c r="S1207" s="9" t="s">
        <v>158</v>
      </c>
      <c r="T1207" s="10" t="s">
        <v>79</v>
      </c>
      <c r="U1207" s="10">
        <v>7</v>
      </c>
      <c r="V1207" s="10">
        <v>130.13</v>
      </c>
      <c r="W1207" s="10" t="s">
        <v>710</v>
      </c>
      <c r="X1207" s="17">
        <v>45057</v>
      </c>
      <c r="Y1207" s="17">
        <v>45057</v>
      </c>
      <c r="Z1207" s="19" t="s">
        <v>772</v>
      </c>
      <c r="AA1207" s="210">
        <v>40000</v>
      </c>
      <c r="AB1207" s="9">
        <v>24</v>
      </c>
      <c r="AC1207" s="9">
        <v>0</v>
      </c>
      <c r="AD1207" s="17">
        <v>45058</v>
      </c>
      <c r="AE1207" s="56">
        <v>5000</v>
      </c>
      <c r="AF1207" s="56"/>
      <c r="AG1207" s="9" t="s">
        <v>134</v>
      </c>
      <c r="AH1207" s="17">
        <v>45058</v>
      </c>
      <c r="AI1207" s="17"/>
      <c r="AJ1207" s="17"/>
      <c r="AK1207" s="9" t="s">
        <v>2114</v>
      </c>
      <c r="AL1207" s="11">
        <v>5000</v>
      </c>
      <c r="AN1207" s="11" t="s">
        <v>2122</v>
      </c>
      <c r="AP1207" s="11"/>
      <c r="AQ1207" s="11"/>
      <c r="AR1207" s="11"/>
      <c r="AW1207" s="17">
        <v>45057</v>
      </c>
      <c r="AX1207" s="9">
        <v>1502</v>
      </c>
      <c r="BA1207" s="11">
        <v>5000</v>
      </c>
      <c r="BD1207" s="9"/>
      <c r="CS1207" s="11">
        <f t="shared" si="81"/>
        <v>5000</v>
      </c>
      <c r="CT1207" s="22">
        <f t="shared" si="82"/>
        <v>5000</v>
      </c>
      <c r="CU1207" s="22">
        <f t="shared" si="84"/>
        <v>0</v>
      </c>
      <c r="CV1207" s="26">
        <f t="shared" si="83"/>
        <v>0</v>
      </c>
    </row>
    <row r="1208" spans="1:103" x14ac:dyDescent="0.2">
      <c r="A1208" s="9" t="s">
        <v>355</v>
      </c>
      <c r="B1208" s="2">
        <v>109</v>
      </c>
      <c r="C1208" s="3" t="s">
        <v>95</v>
      </c>
      <c r="D1208" s="3" t="s">
        <v>96</v>
      </c>
      <c r="E1208" s="2"/>
      <c r="F1208" s="2"/>
      <c r="G1208" s="2" t="s">
        <v>79</v>
      </c>
      <c r="H1208" s="2">
        <v>7</v>
      </c>
      <c r="I1208" s="8">
        <v>130.13999999999999</v>
      </c>
      <c r="J1208" s="8">
        <v>72300</v>
      </c>
      <c r="K1208" s="3">
        <v>0</v>
      </c>
      <c r="L1208" s="3" t="s">
        <v>97</v>
      </c>
      <c r="M1208" s="9" t="s">
        <v>0</v>
      </c>
      <c r="N1208" s="9" t="s">
        <v>28</v>
      </c>
      <c r="O1208" s="9" t="s">
        <v>64</v>
      </c>
      <c r="S1208" s="9" t="s">
        <v>158</v>
      </c>
      <c r="T1208" s="10" t="s">
        <v>79</v>
      </c>
      <c r="U1208" s="10">
        <v>7</v>
      </c>
      <c r="V1208" s="10">
        <v>130.13</v>
      </c>
      <c r="W1208" s="10" t="s">
        <v>710</v>
      </c>
      <c r="X1208" s="17">
        <v>45057</v>
      </c>
      <c r="Y1208" s="17">
        <v>45057</v>
      </c>
      <c r="Z1208" s="19" t="s">
        <v>772</v>
      </c>
      <c r="AA1208" s="210">
        <v>40000</v>
      </c>
      <c r="AB1208" s="9">
        <v>24</v>
      </c>
      <c r="AC1208" s="9">
        <v>1</v>
      </c>
      <c r="AD1208" s="17">
        <v>45122</v>
      </c>
      <c r="AE1208" s="56">
        <v>1250</v>
      </c>
      <c r="AF1208" s="56"/>
      <c r="AG1208" s="9" t="s">
        <v>134</v>
      </c>
      <c r="AH1208" s="17">
        <v>45126</v>
      </c>
      <c r="AI1208" s="17"/>
      <c r="AJ1208" s="17"/>
      <c r="AK1208" s="9" t="s">
        <v>2115</v>
      </c>
      <c r="AL1208" s="11">
        <v>1250</v>
      </c>
      <c r="AN1208" s="11" t="s">
        <v>2123</v>
      </c>
      <c r="AP1208" s="11"/>
      <c r="AQ1208" s="11"/>
      <c r="AR1208" s="11"/>
      <c r="AW1208" s="17">
        <v>45122</v>
      </c>
      <c r="AX1208" s="9">
        <v>1708</v>
      </c>
      <c r="BA1208" s="11">
        <v>1250</v>
      </c>
      <c r="BD1208" s="9"/>
      <c r="CS1208" s="11">
        <f t="shared" si="81"/>
        <v>1250</v>
      </c>
      <c r="CT1208" s="22">
        <f t="shared" si="82"/>
        <v>1250</v>
      </c>
      <c r="CU1208" s="22">
        <f t="shared" si="84"/>
        <v>0</v>
      </c>
      <c r="CV1208" s="26">
        <f t="shared" si="83"/>
        <v>0</v>
      </c>
    </row>
    <row r="1209" spans="1:103" x14ac:dyDescent="0.2">
      <c r="A1209" s="9" t="s">
        <v>355</v>
      </c>
      <c r="B1209" s="2">
        <v>109</v>
      </c>
      <c r="C1209" s="3" t="s">
        <v>95</v>
      </c>
      <c r="D1209" s="3" t="s">
        <v>96</v>
      </c>
      <c r="E1209" s="2"/>
      <c r="F1209" s="2"/>
      <c r="G1209" s="2" t="s">
        <v>79</v>
      </c>
      <c r="H1209" s="2">
        <v>7</v>
      </c>
      <c r="I1209" s="8">
        <v>130.13999999999999</v>
      </c>
      <c r="J1209" s="8">
        <v>72300</v>
      </c>
      <c r="K1209" s="3">
        <v>0</v>
      </c>
      <c r="L1209" s="3" t="s">
        <v>97</v>
      </c>
      <c r="M1209" s="9" t="s">
        <v>0</v>
      </c>
      <c r="N1209" s="9" t="s">
        <v>28</v>
      </c>
      <c r="O1209" s="9" t="s">
        <v>64</v>
      </c>
      <c r="S1209" s="9" t="s">
        <v>158</v>
      </c>
      <c r="T1209" s="10" t="s">
        <v>79</v>
      </c>
      <c r="U1209" s="10">
        <v>7</v>
      </c>
      <c r="V1209" s="10">
        <v>130.13</v>
      </c>
      <c r="W1209" s="10" t="s">
        <v>710</v>
      </c>
      <c r="X1209" s="17">
        <v>45057</v>
      </c>
      <c r="Y1209" s="17">
        <v>45057</v>
      </c>
      <c r="Z1209" s="19" t="s">
        <v>772</v>
      </c>
      <c r="AA1209" s="210">
        <v>40000</v>
      </c>
      <c r="AB1209" s="9">
        <v>24</v>
      </c>
      <c r="AC1209" s="9">
        <v>2</v>
      </c>
      <c r="AD1209" s="17">
        <v>45153</v>
      </c>
      <c r="AE1209" s="56">
        <v>1250</v>
      </c>
      <c r="AF1209" s="56"/>
      <c r="AG1209" s="9" t="s">
        <v>134</v>
      </c>
      <c r="AH1209" s="17">
        <v>45154</v>
      </c>
      <c r="AI1209" s="17"/>
      <c r="AJ1209" s="17"/>
      <c r="AK1209" s="9" t="s">
        <v>2116</v>
      </c>
      <c r="AL1209" s="11">
        <v>1250</v>
      </c>
      <c r="AN1209" s="11" t="s">
        <v>2124</v>
      </c>
      <c r="AP1209" s="11"/>
      <c r="AQ1209" s="11"/>
      <c r="AR1209" s="11"/>
      <c r="AW1209" s="17">
        <v>45153</v>
      </c>
      <c r="AX1209" s="9">
        <v>1814</v>
      </c>
      <c r="BA1209" s="11">
        <v>1250</v>
      </c>
      <c r="BD1209" s="9"/>
      <c r="CS1209" s="11">
        <f t="shared" ref="CS1209:CS1272" si="85">+AL1209+AT1209</f>
        <v>1250</v>
      </c>
      <c r="CT1209" s="22">
        <f t="shared" ref="CT1209:CT1272" si="86">+BA1209+BG1209+BM1209+BS1209+BY1209+CE1209+CK1209+CQ1209</f>
        <v>1250</v>
      </c>
      <c r="CU1209" s="22">
        <f t="shared" si="84"/>
        <v>0</v>
      </c>
      <c r="CV1209" s="26">
        <f t="shared" ref="CV1209:CV1272" si="87">+AE1209-AL1209-AT1209</f>
        <v>0</v>
      </c>
    </row>
    <row r="1210" spans="1:103" x14ac:dyDescent="0.2">
      <c r="A1210" s="9" t="s">
        <v>355</v>
      </c>
      <c r="B1210" s="2">
        <v>109</v>
      </c>
      <c r="C1210" s="3" t="s">
        <v>95</v>
      </c>
      <c r="D1210" s="3" t="s">
        <v>96</v>
      </c>
      <c r="E1210" s="2"/>
      <c r="F1210" s="2"/>
      <c r="G1210" s="2" t="s">
        <v>79</v>
      </c>
      <c r="H1210" s="2">
        <v>7</v>
      </c>
      <c r="I1210" s="8">
        <v>130.13999999999999</v>
      </c>
      <c r="J1210" s="8">
        <v>72300</v>
      </c>
      <c r="K1210" s="3">
        <v>0</v>
      </c>
      <c r="L1210" s="3" t="s">
        <v>97</v>
      </c>
      <c r="M1210" s="9" t="s">
        <v>0</v>
      </c>
      <c r="N1210" s="9" t="s">
        <v>28</v>
      </c>
      <c r="O1210" s="9" t="s">
        <v>64</v>
      </c>
      <c r="S1210" s="9" t="s">
        <v>158</v>
      </c>
      <c r="T1210" s="10" t="s">
        <v>79</v>
      </c>
      <c r="U1210" s="10">
        <v>7</v>
      </c>
      <c r="V1210" s="10">
        <v>130.13</v>
      </c>
      <c r="W1210" s="10" t="s">
        <v>710</v>
      </c>
      <c r="X1210" s="17">
        <v>45057</v>
      </c>
      <c r="Y1210" s="17">
        <v>45057</v>
      </c>
      <c r="Z1210" s="19" t="s">
        <v>772</v>
      </c>
      <c r="AA1210" s="210">
        <v>40000</v>
      </c>
      <c r="AB1210" s="9">
        <v>24</v>
      </c>
      <c r="AC1210" s="9">
        <v>3</v>
      </c>
      <c r="AD1210" s="17">
        <v>45184</v>
      </c>
      <c r="AE1210" s="56">
        <v>1250</v>
      </c>
      <c r="AF1210" s="56"/>
      <c r="AG1210" s="9" t="s">
        <v>134</v>
      </c>
      <c r="AH1210" s="17">
        <v>45185</v>
      </c>
      <c r="AI1210" s="17"/>
      <c r="AJ1210" s="17"/>
      <c r="AK1210" s="9" t="s">
        <v>2117</v>
      </c>
      <c r="AL1210" s="11">
        <v>1250</v>
      </c>
      <c r="AN1210" s="11" t="s">
        <v>2125</v>
      </c>
      <c r="AP1210" s="11"/>
      <c r="AQ1210" s="11"/>
      <c r="AR1210" s="11"/>
      <c r="AW1210" s="17">
        <v>45184</v>
      </c>
      <c r="AX1210" s="9">
        <v>1900</v>
      </c>
      <c r="BA1210" s="11">
        <v>1250</v>
      </c>
      <c r="BD1210" s="9"/>
      <c r="CS1210" s="11">
        <f t="shared" si="85"/>
        <v>1250</v>
      </c>
      <c r="CT1210" s="22">
        <f t="shared" si="86"/>
        <v>1250</v>
      </c>
      <c r="CU1210" s="22">
        <f t="shared" si="84"/>
        <v>0</v>
      </c>
      <c r="CV1210" s="26">
        <f t="shared" si="87"/>
        <v>0</v>
      </c>
    </row>
    <row r="1211" spans="1:103" x14ac:dyDescent="0.2">
      <c r="A1211" s="9" t="s">
        <v>355</v>
      </c>
      <c r="B1211" s="2">
        <v>109</v>
      </c>
      <c r="C1211" s="3" t="s">
        <v>95</v>
      </c>
      <c r="D1211" s="3" t="s">
        <v>96</v>
      </c>
      <c r="E1211" s="2"/>
      <c r="F1211" s="2"/>
      <c r="G1211" s="2" t="s">
        <v>79</v>
      </c>
      <c r="H1211" s="2">
        <v>7</v>
      </c>
      <c r="I1211" s="8">
        <v>130.13999999999999</v>
      </c>
      <c r="J1211" s="8">
        <v>72300</v>
      </c>
      <c r="K1211" s="3">
        <v>0</v>
      </c>
      <c r="L1211" s="3" t="s">
        <v>97</v>
      </c>
      <c r="M1211" s="9" t="s">
        <v>0</v>
      </c>
      <c r="N1211" s="9" t="s">
        <v>28</v>
      </c>
      <c r="O1211" s="9" t="s">
        <v>64</v>
      </c>
      <c r="S1211" s="9" t="s">
        <v>158</v>
      </c>
      <c r="T1211" s="10" t="s">
        <v>79</v>
      </c>
      <c r="U1211" s="10">
        <v>7</v>
      </c>
      <c r="V1211" s="10">
        <v>130.13</v>
      </c>
      <c r="W1211" s="10" t="s">
        <v>710</v>
      </c>
      <c r="X1211" s="17">
        <v>45057</v>
      </c>
      <c r="Y1211" s="17">
        <v>45057</v>
      </c>
      <c r="Z1211" s="19" t="s">
        <v>772</v>
      </c>
      <c r="AA1211" s="210">
        <v>40000</v>
      </c>
      <c r="AB1211" s="9">
        <v>24</v>
      </c>
      <c r="AC1211" s="9">
        <v>4</v>
      </c>
      <c r="AD1211" s="17">
        <v>45214</v>
      </c>
      <c r="AE1211" s="56">
        <v>1250</v>
      </c>
      <c r="AF1211" s="56"/>
      <c r="AG1211" s="9" t="s">
        <v>134</v>
      </c>
      <c r="AH1211" s="17">
        <v>45215</v>
      </c>
      <c r="AI1211" s="17"/>
      <c r="AJ1211" s="17"/>
      <c r="AK1211" s="9" t="s">
        <v>2118</v>
      </c>
      <c r="AL1211" s="11">
        <v>1250</v>
      </c>
      <c r="AN1211" s="11" t="s">
        <v>2126</v>
      </c>
      <c r="AP1211" s="11"/>
      <c r="AQ1211" s="11"/>
      <c r="AR1211" s="11"/>
      <c r="AW1211" s="17">
        <v>45214</v>
      </c>
      <c r="AX1211" s="9">
        <v>1974</v>
      </c>
      <c r="BA1211" s="11">
        <v>1250</v>
      </c>
      <c r="BD1211" s="9"/>
      <c r="CS1211" s="11">
        <f t="shared" si="85"/>
        <v>1250</v>
      </c>
      <c r="CT1211" s="22">
        <f t="shared" si="86"/>
        <v>1250</v>
      </c>
      <c r="CU1211" s="22">
        <f t="shared" si="84"/>
        <v>0</v>
      </c>
      <c r="CV1211" s="26">
        <f t="shared" si="87"/>
        <v>0</v>
      </c>
    </row>
    <row r="1212" spans="1:103" x14ac:dyDescent="0.2">
      <c r="A1212" s="9" t="s">
        <v>355</v>
      </c>
      <c r="B1212" s="2">
        <v>109</v>
      </c>
      <c r="C1212" s="3" t="s">
        <v>95</v>
      </c>
      <c r="D1212" s="3" t="s">
        <v>96</v>
      </c>
      <c r="E1212" s="2"/>
      <c r="F1212" s="2"/>
      <c r="G1212" s="2" t="s">
        <v>79</v>
      </c>
      <c r="H1212" s="2">
        <v>7</v>
      </c>
      <c r="I1212" s="8">
        <v>130.13999999999999</v>
      </c>
      <c r="J1212" s="8">
        <v>72300</v>
      </c>
      <c r="K1212" s="3">
        <v>0</v>
      </c>
      <c r="L1212" s="3" t="s">
        <v>97</v>
      </c>
      <c r="M1212" s="9" t="s">
        <v>0</v>
      </c>
      <c r="N1212" s="9" t="s">
        <v>28</v>
      </c>
      <c r="O1212" s="9" t="s">
        <v>64</v>
      </c>
      <c r="S1212" s="9" t="s">
        <v>158</v>
      </c>
      <c r="T1212" s="10" t="s">
        <v>79</v>
      </c>
      <c r="U1212" s="10">
        <v>7</v>
      </c>
      <c r="V1212" s="10">
        <v>130.13</v>
      </c>
      <c r="W1212" s="10" t="s">
        <v>710</v>
      </c>
      <c r="X1212" s="17">
        <v>45057</v>
      </c>
      <c r="Y1212" s="17">
        <v>45057</v>
      </c>
      <c r="Z1212" s="19" t="s">
        <v>772</v>
      </c>
      <c r="AA1212" s="210">
        <v>40000</v>
      </c>
      <c r="AB1212" s="9">
        <v>24</v>
      </c>
      <c r="AC1212" s="9">
        <v>5</v>
      </c>
      <c r="AD1212" s="17">
        <v>45245</v>
      </c>
      <c r="AE1212" s="56">
        <v>1250</v>
      </c>
      <c r="AF1212" s="56"/>
      <c r="AG1212" s="9" t="s">
        <v>134</v>
      </c>
      <c r="AH1212" s="17">
        <v>45252</v>
      </c>
      <c r="AI1212" s="17"/>
      <c r="AJ1212" s="17"/>
      <c r="AK1212" s="9" t="s">
        <v>2119</v>
      </c>
      <c r="AL1212" s="11">
        <v>1250</v>
      </c>
      <c r="AN1212" s="11" t="s">
        <v>2127</v>
      </c>
      <c r="AP1212" s="11"/>
      <c r="AQ1212" s="11"/>
      <c r="AR1212" s="11"/>
      <c r="AW1212" s="17">
        <v>45246</v>
      </c>
      <c r="AX1212" s="9">
        <v>2056</v>
      </c>
      <c r="BA1212" s="11">
        <v>1250</v>
      </c>
      <c r="BD1212" s="9"/>
      <c r="CS1212" s="11">
        <f t="shared" si="85"/>
        <v>1250</v>
      </c>
      <c r="CT1212" s="22">
        <f t="shared" si="86"/>
        <v>1250</v>
      </c>
      <c r="CU1212" s="22">
        <f t="shared" si="84"/>
        <v>0</v>
      </c>
      <c r="CV1212" s="26">
        <f t="shared" si="87"/>
        <v>0</v>
      </c>
    </row>
    <row r="1213" spans="1:103" x14ac:dyDescent="0.2">
      <c r="A1213" s="9" t="s">
        <v>355</v>
      </c>
      <c r="B1213" s="2">
        <v>109</v>
      </c>
      <c r="C1213" s="3" t="s">
        <v>95</v>
      </c>
      <c r="D1213" s="3" t="s">
        <v>96</v>
      </c>
      <c r="E1213" s="2"/>
      <c r="F1213" s="2"/>
      <c r="G1213" s="2" t="s">
        <v>79</v>
      </c>
      <c r="H1213" s="2">
        <v>7</v>
      </c>
      <c r="I1213" s="8">
        <v>130.13999999999999</v>
      </c>
      <c r="J1213" s="8">
        <v>72300</v>
      </c>
      <c r="K1213" s="3">
        <v>0</v>
      </c>
      <c r="L1213" s="3" t="s">
        <v>97</v>
      </c>
      <c r="M1213" s="9" t="s">
        <v>0</v>
      </c>
      <c r="N1213" s="9">
        <v>40397060</v>
      </c>
      <c r="O1213" s="9" t="s">
        <v>64</v>
      </c>
      <c r="S1213" s="9" t="s">
        <v>158</v>
      </c>
      <c r="T1213" s="10" t="s">
        <v>79</v>
      </c>
      <c r="U1213" s="10">
        <v>7</v>
      </c>
      <c r="V1213" s="10">
        <v>130.13</v>
      </c>
      <c r="W1213" s="10" t="s">
        <v>710</v>
      </c>
      <c r="X1213" s="17">
        <v>45057</v>
      </c>
      <c r="Y1213" s="17">
        <v>45057</v>
      </c>
      <c r="Z1213" s="19" t="s">
        <v>772</v>
      </c>
      <c r="AA1213" s="210">
        <v>40000</v>
      </c>
      <c r="AB1213" s="9">
        <v>24</v>
      </c>
      <c r="AC1213" s="9">
        <v>6</v>
      </c>
      <c r="AD1213" s="17">
        <v>45275</v>
      </c>
      <c r="AE1213" s="56">
        <v>1250</v>
      </c>
      <c r="AF1213" s="56"/>
      <c r="AG1213" s="9" t="s">
        <v>134</v>
      </c>
      <c r="AH1213" s="17">
        <v>45279</v>
      </c>
      <c r="AI1213" s="17"/>
      <c r="AJ1213" s="17"/>
      <c r="AK1213" s="9" t="s">
        <v>2120</v>
      </c>
      <c r="AL1213" s="11">
        <v>1250</v>
      </c>
      <c r="AN1213" s="11" t="s">
        <v>2128</v>
      </c>
      <c r="AP1213" s="11"/>
      <c r="AQ1213" s="11"/>
      <c r="AR1213" s="11"/>
      <c r="AW1213" s="17">
        <v>45275</v>
      </c>
      <c r="AX1213" s="9">
        <v>2123</v>
      </c>
      <c r="BA1213" s="11">
        <v>1250</v>
      </c>
      <c r="BD1213" s="9"/>
      <c r="CS1213" s="11">
        <f t="shared" si="85"/>
        <v>1250</v>
      </c>
      <c r="CT1213" s="22">
        <f t="shared" si="86"/>
        <v>1250</v>
      </c>
      <c r="CU1213" s="22">
        <f t="shared" si="84"/>
        <v>0</v>
      </c>
      <c r="CV1213" s="26">
        <f t="shared" si="87"/>
        <v>0</v>
      </c>
    </row>
    <row r="1214" spans="1:103" x14ac:dyDescent="0.2">
      <c r="A1214" s="9" t="s">
        <v>355</v>
      </c>
      <c r="B1214" s="2">
        <v>109</v>
      </c>
      <c r="C1214" s="3" t="s">
        <v>95</v>
      </c>
      <c r="D1214" s="3" t="s">
        <v>96</v>
      </c>
      <c r="E1214" s="2"/>
      <c r="F1214" s="2"/>
      <c r="G1214" s="2" t="s">
        <v>79</v>
      </c>
      <c r="H1214" s="2">
        <v>7</v>
      </c>
      <c r="I1214" s="8">
        <v>130.13999999999999</v>
      </c>
      <c r="J1214" s="8">
        <v>72300</v>
      </c>
      <c r="K1214" s="3">
        <v>0</v>
      </c>
      <c r="L1214" s="3" t="s">
        <v>97</v>
      </c>
      <c r="M1214" s="9" t="s">
        <v>0</v>
      </c>
      <c r="N1214" s="9" t="s">
        <v>28</v>
      </c>
      <c r="O1214" s="9" t="s">
        <v>64</v>
      </c>
      <c r="S1214" s="9" t="s">
        <v>158</v>
      </c>
      <c r="T1214" s="10" t="s">
        <v>79</v>
      </c>
      <c r="U1214" s="10">
        <v>7</v>
      </c>
      <c r="V1214" s="10">
        <v>130.13</v>
      </c>
      <c r="W1214" s="10" t="s">
        <v>710</v>
      </c>
      <c r="X1214" s="17">
        <v>45057</v>
      </c>
      <c r="Y1214" s="17">
        <v>45057</v>
      </c>
      <c r="Z1214" s="19" t="s">
        <v>772</v>
      </c>
      <c r="AA1214" s="210">
        <v>40000</v>
      </c>
      <c r="AB1214" s="9">
        <v>24</v>
      </c>
      <c r="AC1214" s="9">
        <v>7</v>
      </c>
      <c r="AD1214" s="17">
        <v>45306</v>
      </c>
      <c r="AE1214" s="56">
        <v>1250</v>
      </c>
      <c r="AF1214" s="56"/>
      <c r="AG1214" s="9" t="s">
        <v>134</v>
      </c>
      <c r="AH1214" s="17">
        <v>45306</v>
      </c>
      <c r="AI1214" s="17"/>
      <c r="AJ1214" s="17"/>
      <c r="AK1214" s="9" t="s">
        <v>2129</v>
      </c>
      <c r="AL1214" s="11">
        <v>1250</v>
      </c>
      <c r="AN1214" s="11" t="s">
        <v>2141</v>
      </c>
      <c r="AP1214" s="11"/>
      <c r="AQ1214" s="11"/>
      <c r="AR1214" s="11"/>
      <c r="AW1214" s="17">
        <v>45306</v>
      </c>
      <c r="AX1214" s="9">
        <v>2215</v>
      </c>
      <c r="BA1214" s="11">
        <v>1250</v>
      </c>
      <c r="BD1214" s="9"/>
      <c r="CS1214" s="11">
        <f t="shared" si="85"/>
        <v>1250</v>
      </c>
      <c r="CT1214" s="22">
        <f t="shared" si="86"/>
        <v>1250</v>
      </c>
      <c r="CU1214" s="22">
        <f t="shared" si="84"/>
        <v>0</v>
      </c>
      <c r="CV1214" s="26">
        <f t="shared" si="87"/>
        <v>0</v>
      </c>
    </row>
    <row r="1215" spans="1:103" x14ac:dyDescent="0.2">
      <c r="A1215" s="9" t="s">
        <v>355</v>
      </c>
      <c r="B1215" s="2">
        <v>109</v>
      </c>
      <c r="C1215" s="3" t="s">
        <v>95</v>
      </c>
      <c r="D1215" s="3" t="s">
        <v>96</v>
      </c>
      <c r="E1215" s="2"/>
      <c r="F1215" s="2"/>
      <c r="G1215" s="2" t="s">
        <v>79</v>
      </c>
      <c r="H1215" s="2">
        <v>7</v>
      </c>
      <c r="I1215" s="8">
        <v>130.13999999999999</v>
      </c>
      <c r="J1215" s="8">
        <v>72300</v>
      </c>
      <c r="K1215" s="3">
        <v>0</v>
      </c>
      <c r="L1215" s="3" t="s">
        <v>97</v>
      </c>
      <c r="M1215" s="9" t="s">
        <v>0</v>
      </c>
      <c r="N1215" s="9" t="s">
        <v>28</v>
      </c>
      <c r="O1215" s="9" t="s">
        <v>64</v>
      </c>
      <c r="S1215" s="9" t="s">
        <v>158</v>
      </c>
      <c r="T1215" s="10" t="s">
        <v>79</v>
      </c>
      <c r="U1215" s="10">
        <v>7</v>
      </c>
      <c r="V1215" s="10">
        <v>130.13</v>
      </c>
      <c r="W1215" s="10" t="s">
        <v>710</v>
      </c>
      <c r="X1215" s="17">
        <v>45057</v>
      </c>
      <c r="Y1215" s="17">
        <v>45057</v>
      </c>
      <c r="Z1215" s="19" t="s">
        <v>772</v>
      </c>
      <c r="AA1215" s="210">
        <v>40000</v>
      </c>
      <c r="AB1215" s="9">
        <v>24</v>
      </c>
      <c r="AC1215" s="9">
        <v>8</v>
      </c>
      <c r="AD1215" s="17">
        <v>45337</v>
      </c>
      <c r="AE1215" s="56">
        <v>1250</v>
      </c>
      <c r="AF1215" s="56"/>
      <c r="AG1215" s="9" t="s">
        <v>134</v>
      </c>
      <c r="AH1215" s="17">
        <v>45338</v>
      </c>
      <c r="AI1215" s="17"/>
      <c r="AJ1215" s="17"/>
      <c r="AK1215" s="9" t="s">
        <v>2130</v>
      </c>
      <c r="AL1215" s="11">
        <v>1250</v>
      </c>
      <c r="AN1215" s="11" t="s">
        <v>2142</v>
      </c>
      <c r="AP1215" s="11"/>
      <c r="AQ1215" s="11"/>
      <c r="AR1215" s="11"/>
      <c r="AW1215" s="17">
        <v>45337</v>
      </c>
      <c r="AX1215" s="9">
        <v>2312</v>
      </c>
      <c r="BA1215" s="11">
        <v>1250</v>
      </c>
      <c r="BD1215" s="9"/>
      <c r="CS1215" s="11">
        <f t="shared" si="85"/>
        <v>1250</v>
      </c>
      <c r="CT1215" s="22">
        <f t="shared" si="86"/>
        <v>1250</v>
      </c>
      <c r="CU1215" s="22">
        <f t="shared" si="84"/>
        <v>0</v>
      </c>
      <c r="CV1215" s="26">
        <f t="shared" si="87"/>
        <v>0</v>
      </c>
    </row>
    <row r="1216" spans="1:103" x14ac:dyDescent="0.2">
      <c r="A1216" s="9" t="s">
        <v>355</v>
      </c>
      <c r="B1216" s="2">
        <v>109</v>
      </c>
      <c r="C1216" s="3" t="s">
        <v>95</v>
      </c>
      <c r="D1216" s="3" t="s">
        <v>96</v>
      </c>
      <c r="E1216" s="2"/>
      <c r="F1216" s="2"/>
      <c r="G1216" s="2" t="s">
        <v>79</v>
      </c>
      <c r="H1216" s="2">
        <v>7</v>
      </c>
      <c r="I1216" s="8">
        <v>130.13999999999999</v>
      </c>
      <c r="J1216" s="8">
        <v>72300</v>
      </c>
      <c r="K1216" s="3">
        <v>0</v>
      </c>
      <c r="L1216" s="3" t="s">
        <v>97</v>
      </c>
      <c r="M1216" s="9" t="s">
        <v>0</v>
      </c>
      <c r="N1216" s="9" t="s">
        <v>28</v>
      </c>
      <c r="O1216" s="9" t="s">
        <v>64</v>
      </c>
      <c r="S1216" s="9" t="s">
        <v>158</v>
      </c>
      <c r="T1216" s="10" t="s">
        <v>79</v>
      </c>
      <c r="U1216" s="10">
        <v>7</v>
      </c>
      <c r="V1216" s="10">
        <v>130.13</v>
      </c>
      <c r="W1216" s="10" t="s">
        <v>710</v>
      </c>
      <c r="X1216" s="17">
        <v>45057</v>
      </c>
      <c r="Y1216" s="17">
        <v>45057</v>
      </c>
      <c r="Z1216" s="19" t="s">
        <v>772</v>
      </c>
      <c r="AA1216" s="210">
        <v>40000</v>
      </c>
      <c r="AB1216" s="9">
        <v>24</v>
      </c>
      <c r="AC1216" s="9">
        <v>9</v>
      </c>
      <c r="AD1216" s="17">
        <v>45366</v>
      </c>
      <c r="AE1216" s="56">
        <v>1250</v>
      </c>
      <c r="AF1216" s="56"/>
      <c r="AG1216" s="9" t="s">
        <v>134</v>
      </c>
      <c r="AH1216" s="17">
        <v>45369</v>
      </c>
      <c r="AI1216" s="17"/>
      <c r="AJ1216" s="17"/>
      <c r="AK1216" s="9" t="s">
        <v>2131</v>
      </c>
      <c r="AL1216" s="11">
        <v>1250</v>
      </c>
      <c r="AN1216" s="11" t="s">
        <v>2143</v>
      </c>
      <c r="AP1216" s="11"/>
      <c r="AQ1216" s="11"/>
      <c r="AR1216" s="11"/>
      <c r="AW1216" s="17">
        <v>45366</v>
      </c>
      <c r="AX1216" s="9">
        <v>2427</v>
      </c>
      <c r="BA1216" s="11">
        <v>1250</v>
      </c>
      <c r="BD1216" s="9"/>
      <c r="CS1216" s="11">
        <f t="shared" si="85"/>
        <v>1250</v>
      </c>
      <c r="CT1216" s="22">
        <f t="shared" si="86"/>
        <v>1250</v>
      </c>
      <c r="CU1216" s="22">
        <f t="shared" si="84"/>
        <v>0</v>
      </c>
      <c r="CV1216" s="26">
        <f t="shared" si="87"/>
        <v>0</v>
      </c>
    </row>
    <row r="1217" spans="1:103" x14ac:dyDescent="0.2">
      <c r="A1217" s="9" t="s">
        <v>355</v>
      </c>
      <c r="B1217" s="2">
        <v>109</v>
      </c>
      <c r="C1217" s="3" t="s">
        <v>95</v>
      </c>
      <c r="D1217" s="3" t="s">
        <v>96</v>
      </c>
      <c r="E1217" s="2"/>
      <c r="F1217" s="2"/>
      <c r="G1217" s="2" t="s">
        <v>79</v>
      </c>
      <c r="H1217" s="2">
        <v>7</v>
      </c>
      <c r="I1217" s="8">
        <v>130.13999999999999</v>
      </c>
      <c r="J1217" s="8">
        <v>72300</v>
      </c>
      <c r="K1217" s="3">
        <v>0</v>
      </c>
      <c r="L1217" s="3" t="s">
        <v>97</v>
      </c>
      <c r="M1217" s="9" t="s">
        <v>0</v>
      </c>
      <c r="N1217" s="9" t="s">
        <v>28</v>
      </c>
      <c r="O1217" s="9" t="s">
        <v>64</v>
      </c>
      <c r="S1217" s="9" t="s">
        <v>158</v>
      </c>
      <c r="T1217" s="10" t="s">
        <v>79</v>
      </c>
      <c r="U1217" s="10">
        <v>7</v>
      </c>
      <c r="V1217" s="10">
        <v>130.13</v>
      </c>
      <c r="W1217" s="10" t="s">
        <v>710</v>
      </c>
      <c r="X1217" s="17">
        <v>45057</v>
      </c>
      <c r="Y1217" s="17">
        <v>45057</v>
      </c>
      <c r="Z1217" s="19" t="s">
        <v>772</v>
      </c>
      <c r="AA1217" s="210">
        <v>40000</v>
      </c>
      <c r="AB1217" s="9">
        <v>24</v>
      </c>
      <c r="AC1217" s="9">
        <v>10</v>
      </c>
      <c r="AD1217" s="17">
        <v>45397</v>
      </c>
      <c r="AE1217" s="56">
        <v>1250</v>
      </c>
      <c r="AF1217" s="56"/>
      <c r="AG1217" s="9" t="s">
        <v>134</v>
      </c>
      <c r="AH1217" s="17">
        <v>45397</v>
      </c>
      <c r="AI1217" s="17"/>
      <c r="AJ1217" s="17"/>
      <c r="AK1217" s="9" t="s">
        <v>2132</v>
      </c>
      <c r="AL1217" s="11">
        <v>1250</v>
      </c>
      <c r="AN1217" s="11" t="s">
        <v>2144</v>
      </c>
      <c r="AP1217" s="11"/>
      <c r="AQ1217" s="11"/>
      <c r="AR1217" s="11"/>
      <c r="AW1217" s="17">
        <v>45397</v>
      </c>
      <c r="AX1217" s="9">
        <v>2533</v>
      </c>
      <c r="BA1217" s="11">
        <v>1250</v>
      </c>
      <c r="BD1217" s="9"/>
      <c r="CS1217" s="11">
        <f t="shared" si="85"/>
        <v>1250</v>
      </c>
      <c r="CT1217" s="22">
        <f t="shared" si="86"/>
        <v>1250</v>
      </c>
      <c r="CU1217" s="22">
        <f t="shared" si="84"/>
        <v>0</v>
      </c>
      <c r="CV1217" s="26">
        <f t="shared" si="87"/>
        <v>0</v>
      </c>
    </row>
    <row r="1218" spans="1:103" x14ac:dyDescent="0.2">
      <c r="A1218" s="9" t="s">
        <v>355</v>
      </c>
      <c r="B1218" s="2">
        <v>109</v>
      </c>
      <c r="C1218" s="3" t="s">
        <v>95</v>
      </c>
      <c r="D1218" s="3" t="s">
        <v>96</v>
      </c>
      <c r="E1218" s="2"/>
      <c r="F1218" s="2"/>
      <c r="G1218" s="2" t="s">
        <v>79</v>
      </c>
      <c r="H1218" s="2">
        <v>7</v>
      </c>
      <c r="I1218" s="8">
        <v>130.13999999999999</v>
      </c>
      <c r="J1218" s="8">
        <v>72300</v>
      </c>
      <c r="K1218" s="3">
        <v>0</v>
      </c>
      <c r="L1218" s="3" t="s">
        <v>97</v>
      </c>
      <c r="M1218" s="9" t="s">
        <v>0</v>
      </c>
      <c r="N1218" s="9" t="s">
        <v>28</v>
      </c>
      <c r="O1218" s="9" t="s">
        <v>64</v>
      </c>
      <c r="S1218" s="9" t="s">
        <v>158</v>
      </c>
      <c r="T1218" s="10" t="s">
        <v>79</v>
      </c>
      <c r="U1218" s="10">
        <v>7</v>
      </c>
      <c r="V1218" s="10">
        <v>130.13</v>
      </c>
      <c r="W1218" s="10" t="s">
        <v>710</v>
      </c>
      <c r="X1218" s="17">
        <v>45057</v>
      </c>
      <c r="Y1218" s="17">
        <v>45057</v>
      </c>
      <c r="Z1218" s="19" t="s">
        <v>772</v>
      </c>
      <c r="AA1218" s="210">
        <v>40000</v>
      </c>
      <c r="AB1218" s="9">
        <v>24</v>
      </c>
      <c r="AC1218" s="9">
        <v>11</v>
      </c>
      <c r="AD1218" s="17">
        <v>45427</v>
      </c>
      <c r="AE1218" s="56">
        <v>1250</v>
      </c>
      <c r="AF1218" s="56"/>
      <c r="AG1218" s="9" t="s">
        <v>134</v>
      </c>
      <c r="AH1218" s="17">
        <v>45429</v>
      </c>
      <c r="AI1218" s="17"/>
      <c r="AJ1218" s="17"/>
      <c r="AK1218" s="9" t="s">
        <v>2133</v>
      </c>
      <c r="AL1218" s="11">
        <v>1250</v>
      </c>
      <c r="AN1218" s="11" t="s">
        <v>2145</v>
      </c>
      <c r="AP1218" s="11"/>
      <c r="AQ1218" s="11"/>
      <c r="AR1218" s="11"/>
      <c r="AW1218" s="17">
        <v>45428</v>
      </c>
      <c r="AX1218" s="9">
        <v>2662</v>
      </c>
      <c r="BA1218" s="11">
        <v>1250</v>
      </c>
      <c r="BD1218" s="9"/>
      <c r="CS1218" s="11">
        <f t="shared" si="85"/>
        <v>1250</v>
      </c>
      <c r="CT1218" s="22">
        <f t="shared" si="86"/>
        <v>1250</v>
      </c>
      <c r="CU1218" s="22">
        <f t="shared" si="84"/>
        <v>0</v>
      </c>
      <c r="CV1218" s="26">
        <f t="shared" si="87"/>
        <v>0</v>
      </c>
    </row>
    <row r="1219" spans="1:103" x14ac:dyDescent="0.2">
      <c r="A1219" s="9" t="s">
        <v>355</v>
      </c>
      <c r="B1219" s="2">
        <v>109</v>
      </c>
      <c r="C1219" s="3" t="s">
        <v>95</v>
      </c>
      <c r="D1219" s="3" t="s">
        <v>96</v>
      </c>
      <c r="E1219" s="2"/>
      <c r="F1219" s="2"/>
      <c r="G1219" s="2" t="s">
        <v>79</v>
      </c>
      <c r="H1219" s="2">
        <v>7</v>
      </c>
      <c r="I1219" s="8">
        <v>130.13999999999999</v>
      </c>
      <c r="J1219" s="8">
        <v>72300</v>
      </c>
      <c r="K1219" s="3">
        <v>0</v>
      </c>
      <c r="L1219" s="3" t="s">
        <v>97</v>
      </c>
      <c r="M1219" s="9" t="s">
        <v>0</v>
      </c>
      <c r="N1219" s="9" t="s">
        <v>28</v>
      </c>
      <c r="O1219" s="9" t="s">
        <v>64</v>
      </c>
      <c r="S1219" s="9" t="s">
        <v>158</v>
      </c>
      <c r="T1219" s="10" t="s">
        <v>79</v>
      </c>
      <c r="U1219" s="10">
        <v>7</v>
      </c>
      <c r="V1219" s="10">
        <v>130.13</v>
      </c>
      <c r="W1219" s="10" t="s">
        <v>710</v>
      </c>
      <c r="X1219" s="17">
        <v>45057</v>
      </c>
      <c r="Y1219" s="17">
        <v>45057</v>
      </c>
      <c r="Z1219" s="19" t="s">
        <v>772</v>
      </c>
      <c r="AA1219" s="210">
        <v>40000</v>
      </c>
      <c r="AB1219" s="9">
        <v>24</v>
      </c>
      <c r="AC1219" s="9">
        <v>12</v>
      </c>
      <c r="AD1219" s="17">
        <v>45458</v>
      </c>
      <c r="AE1219" s="56">
        <v>1250</v>
      </c>
      <c r="AF1219" s="56"/>
      <c r="AG1219" s="9" t="s">
        <v>134</v>
      </c>
      <c r="AH1219" s="17">
        <v>45460</v>
      </c>
      <c r="AI1219" s="17"/>
      <c r="AJ1219" s="17"/>
      <c r="AK1219" s="9" t="s">
        <v>2134</v>
      </c>
      <c r="AL1219" s="11">
        <v>1250</v>
      </c>
      <c r="AN1219" s="11" t="s">
        <v>2146</v>
      </c>
      <c r="AP1219" s="11"/>
      <c r="AQ1219" s="11"/>
      <c r="AR1219" s="11"/>
      <c r="AW1219" s="17">
        <v>45459</v>
      </c>
      <c r="AX1219" s="9">
        <v>2796</v>
      </c>
      <c r="BA1219" s="11">
        <v>1250</v>
      </c>
      <c r="BD1219" s="9"/>
      <c r="CS1219" s="11">
        <f t="shared" si="85"/>
        <v>1250</v>
      </c>
      <c r="CT1219" s="22">
        <f t="shared" si="86"/>
        <v>1250</v>
      </c>
      <c r="CU1219" s="22">
        <f t="shared" si="84"/>
        <v>0</v>
      </c>
      <c r="CV1219" s="26">
        <f t="shared" si="87"/>
        <v>0</v>
      </c>
    </row>
    <row r="1220" spans="1:103" x14ac:dyDescent="0.2">
      <c r="A1220" s="9" t="s">
        <v>355</v>
      </c>
      <c r="B1220" s="2">
        <v>109</v>
      </c>
      <c r="C1220" s="3" t="s">
        <v>95</v>
      </c>
      <c r="D1220" s="3" t="s">
        <v>96</v>
      </c>
      <c r="E1220" s="2"/>
      <c r="F1220" s="2"/>
      <c r="G1220" s="2" t="s">
        <v>79</v>
      </c>
      <c r="H1220" s="2">
        <v>7</v>
      </c>
      <c r="I1220" s="8">
        <v>130.13999999999999</v>
      </c>
      <c r="J1220" s="8">
        <v>72300</v>
      </c>
      <c r="K1220" s="3">
        <v>0</v>
      </c>
      <c r="L1220" s="3" t="s">
        <v>97</v>
      </c>
      <c r="M1220" s="9" t="s">
        <v>0</v>
      </c>
      <c r="N1220" s="9" t="s">
        <v>28</v>
      </c>
      <c r="O1220" s="9" t="s">
        <v>64</v>
      </c>
      <c r="S1220" s="9" t="s">
        <v>158</v>
      </c>
      <c r="T1220" s="10" t="s">
        <v>79</v>
      </c>
      <c r="U1220" s="10">
        <v>7</v>
      </c>
      <c r="V1220" s="10">
        <v>130.13</v>
      </c>
      <c r="W1220" s="10" t="s">
        <v>710</v>
      </c>
      <c r="X1220" s="17">
        <v>45057</v>
      </c>
      <c r="Y1220" s="17">
        <v>45057</v>
      </c>
      <c r="Z1220" s="19" t="s">
        <v>772</v>
      </c>
      <c r="AA1220" s="210">
        <v>40000</v>
      </c>
      <c r="AB1220" s="9">
        <v>24</v>
      </c>
      <c r="AC1220" s="9">
        <v>13</v>
      </c>
      <c r="AD1220" s="17">
        <v>45488</v>
      </c>
      <c r="AE1220" s="56">
        <v>1250</v>
      </c>
      <c r="AF1220" s="56"/>
      <c r="AG1220" s="9" t="s">
        <v>134</v>
      </c>
      <c r="AH1220" s="17">
        <v>45489</v>
      </c>
      <c r="AI1220" s="17"/>
      <c r="AJ1220" s="17"/>
      <c r="AK1220" s="9" t="s">
        <v>2135</v>
      </c>
      <c r="AL1220" s="11">
        <v>1250</v>
      </c>
      <c r="AN1220" s="11" t="s">
        <v>2147</v>
      </c>
      <c r="AP1220" s="11"/>
      <c r="AQ1220" s="11"/>
      <c r="AR1220" s="11"/>
      <c r="AW1220" s="17">
        <v>45488</v>
      </c>
      <c r="AX1220" s="9">
        <v>2912</v>
      </c>
      <c r="BA1220" s="11">
        <v>1250</v>
      </c>
      <c r="BD1220" s="9"/>
      <c r="CS1220" s="11">
        <f t="shared" si="85"/>
        <v>1250</v>
      </c>
      <c r="CT1220" s="22">
        <f t="shared" si="86"/>
        <v>1250</v>
      </c>
      <c r="CU1220" s="22">
        <f t="shared" si="84"/>
        <v>0</v>
      </c>
      <c r="CV1220" s="26">
        <f t="shared" si="87"/>
        <v>0</v>
      </c>
    </row>
    <row r="1221" spans="1:103" x14ac:dyDescent="0.2">
      <c r="A1221" s="9" t="s">
        <v>355</v>
      </c>
      <c r="B1221" s="2">
        <v>109</v>
      </c>
      <c r="C1221" s="3" t="s">
        <v>95</v>
      </c>
      <c r="D1221" s="3" t="s">
        <v>96</v>
      </c>
      <c r="E1221" s="2"/>
      <c r="F1221" s="2"/>
      <c r="G1221" s="2" t="s">
        <v>79</v>
      </c>
      <c r="H1221" s="2">
        <v>7</v>
      </c>
      <c r="I1221" s="8">
        <v>130.13999999999999</v>
      </c>
      <c r="J1221" s="8">
        <v>72300</v>
      </c>
      <c r="K1221" s="3">
        <v>0</v>
      </c>
      <c r="L1221" s="3" t="s">
        <v>97</v>
      </c>
      <c r="M1221" s="9" t="s">
        <v>0</v>
      </c>
      <c r="N1221" s="9" t="s">
        <v>28</v>
      </c>
      <c r="O1221" s="9" t="s">
        <v>64</v>
      </c>
      <c r="S1221" s="9" t="s">
        <v>158</v>
      </c>
      <c r="T1221" s="10" t="s">
        <v>79</v>
      </c>
      <c r="U1221" s="10">
        <v>7</v>
      </c>
      <c r="V1221" s="10">
        <v>130.13</v>
      </c>
      <c r="W1221" s="10" t="s">
        <v>710</v>
      </c>
      <c r="X1221" s="17">
        <v>45057</v>
      </c>
      <c r="Y1221" s="17">
        <v>45057</v>
      </c>
      <c r="Z1221" s="19" t="s">
        <v>772</v>
      </c>
      <c r="AA1221" s="210">
        <v>40000</v>
      </c>
      <c r="AB1221" s="9">
        <v>24</v>
      </c>
      <c r="AC1221" s="9">
        <v>14</v>
      </c>
      <c r="AD1221" s="17">
        <v>45519</v>
      </c>
      <c r="AE1221" s="56">
        <v>1250</v>
      </c>
      <c r="AF1221" s="56"/>
      <c r="AG1221" s="9" t="s">
        <v>134</v>
      </c>
      <c r="AH1221" s="17">
        <v>45519</v>
      </c>
      <c r="AI1221" s="17"/>
      <c r="AJ1221" s="17"/>
      <c r="AK1221" s="9" t="s">
        <v>2136</v>
      </c>
      <c r="AL1221" s="11">
        <v>1250</v>
      </c>
      <c r="AN1221" s="11" t="s">
        <v>2148</v>
      </c>
      <c r="AP1221" s="11"/>
      <c r="AQ1221" s="11"/>
      <c r="AR1221" s="11"/>
      <c r="AW1221" s="17">
        <v>45519</v>
      </c>
      <c r="AX1221" s="9">
        <v>3050</v>
      </c>
      <c r="BA1221" s="11">
        <v>1250</v>
      </c>
      <c r="BD1221" s="9"/>
      <c r="CS1221" s="11">
        <f t="shared" si="85"/>
        <v>1250</v>
      </c>
      <c r="CT1221" s="22">
        <f t="shared" si="86"/>
        <v>1250</v>
      </c>
      <c r="CU1221" s="22">
        <f t="shared" si="84"/>
        <v>0</v>
      </c>
      <c r="CV1221" s="26">
        <f t="shared" si="87"/>
        <v>0</v>
      </c>
    </row>
    <row r="1222" spans="1:103" x14ac:dyDescent="0.2">
      <c r="A1222" s="9" t="s">
        <v>355</v>
      </c>
      <c r="B1222" s="2">
        <v>109</v>
      </c>
      <c r="C1222" s="3" t="s">
        <v>95</v>
      </c>
      <c r="D1222" s="3" t="s">
        <v>96</v>
      </c>
      <c r="E1222" s="2"/>
      <c r="F1222" s="2"/>
      <c r="G1222" s="2" t="s">
        <v>79</v>
      </c>
      <c r="H1222" s="2">
        <v>7</v>
      </c>
      <c r="I1222" s="8">
        <v>130.13999999999999</v>
      </c>
      <c r="J1222" s="8">
        <v>72300</v>
      </c>
      <c r="K1222" s="3">
        <v>0</v>
      </c>
      <c r="L1222" s="3" t="s">
        <v>97</v>
      </c>
      <c r="M1222" s="9" t="s">
        <v>0</v>
      </c>
      <c r="N1222" s="9" t="s">
        <v>28</v>
      </c>
      <c r="O1222" s="9" t="s">
        <v>64</v>
      </c>
      <c r="S1222" s="9" t="s">
        <v>158</v>
      </c>
      <c r="T1222" s="10" t="s">
        <v>79</v>
      </c>
      <c r="U1222" s="10">
        <v>7</v>
      </c>
      <c r="V1222" s="10">
        <v>130.13</v>
      </c>
      <c r="W1222" s="10" t="s">
        <v>710</v>
      </c>
      <c r="X1222" s="17">
        <v>45057</v>
      </c>
      <c r="Y1222" s="17">
        <v>45057</v>
      </c>
      <c r="Z1222" s="19" t="s">
        <v>772</v>
      </c>
      <c r="AA1222" s="210">
        <v>40000</v>
      </c>
      <c r="AB1222" s="9">
        <v>24</v>
      </c>
      <c r="AC1222" s="9">
        <v>15</v>
      </c>
      <c r="AD1222" s="17">
        <v>45550</v>
      </c>
      <c r="AE1222" s="56">
        <v>1250</v>
      </c>
      <c r="AF1222" s="56"/>
      <c r="AG1222" s="9" t="s">
        <v>134</v>
      </c>
      <c r="AH1222" s="17">
        <v>45552</v>
      </c>
      <c r="AI1222" s="17"/>
      <c r="AJ1222" s="17"/>
      <c r="AK1222" s="9" t="s">
        <v>2137</v>
      </c>
      <c r="AL1222" s="11">
        <v>1250</v>
      </c>
      <c r="AN1222" s="11" t="s">
        <v>2149</v>
      </c>
      <c r="AP1222" s="11"/>
      <c r="AQ1222" s="11"/>
      <c r="AR1222" s="11"/>
      <c r="AW1222" s="17">
        <v>45551</v>
      </c>
      <c r="AX1222" s="9">
        <v>3168</v>
      </c>
      <c r="BA1222" s="11">
        <v>1250</v>
      </c>
      <c r="BD1222" s="9"/>
      <c r="CS1222" s="11">
        <f t="shared" si="85"/>
        <v>1250</v>
      </c>
      <c r="CT1222" s="22">
        <f t="shared" si="86"/>
        <v>1250</v>
      </c>
      <c r="CU1222" s="22">
        <f t="shared" si="84"/>
        <v>0</v>
      </c>
      <c r="CV1222" s="26">
        <f t="shared" si="87"/>
        <v>0</v>
      </c>
    </row>
    <row r="1223" spans="1:103" x14ac:dyDescent="0.2">
      <c r="A1223" s="9" t="s">
        <v>355</v>
      </c>
      <c r="B1223" s="2">
        <v>109</v>
      </c>
      <c r="C1223" s="3" t="s">
        <v>95</v>
      </c>
      <c r="D1223" s="3" t="s">
        <v>96</v>
      </c>
      <c r="E1223" s="2"/>
      <c r="F1223" s="2"/>
      <c r="G1223" s="2" t="s">
        <v>79</v>
      </c>
      <c r="H1223" s="2">
        <v>7</v>
      </c>
      <c r="I1223" s="8">
        <v>130.13999999999999</v>
      </c>
      <c r="J1223" s="8">
        <v>72300</v>
      </c>
      <c r="K1223" s="3">
        <v>0</v>
      </c>
      <c r="L1223" s="3" t="s">
        <v>97</v>
      </c>
      <c r="M1223" s="9" t="s">
        <v>0</v>
      </c>
      <c r="N1223" s="9" t="s">
        <v>28</v>
      </c>
      <c r="O1223" s="9" t="s">
        <v>64</v>
      </c>
      <c r="S1223" s="9" t="s">
        <v>158</v>
      </c>
      <c r="T1223" s="10" t="s">
        <v>79</v>
      </c>
      <c r="U1223" s="10">
        <v>7</v>
      </c>
      <c r="V1223" s="10">
        <v>130.13</v>
      </c>
      <c r="W1223" s="10" t="s">
        <v>710</v>
      </c>
      <c r="X1223" s="17">
        <v>45057</v>
      </c>
      <c r="Y1223" s="17">
        <v>45057</v>
      </c>
      <c r="Z1223" s="19" t="s">
        <v>772</v>
      </c>
      <c r="AA1223" s="210">
        <v>40000</v>
      </c>
      <c r="AB1223" s="9">
        <v>24</v>
      </c>
      <c r="AC1223" s="9">
        <v>16</v>
      </c>
      <c r="AD1223" s="17">
        <v>45580</v>
      </c>
      <c r="AE1223" s="56">
        <v>1250</v>
      </c>
      <c r="AF1223" s="56"/>
      <c r="AG1223" s="9" t="s">
        <v>134</v>
      </c>
      <c r="AH1223" s="17">
        <v>45580</v>
      </c>
      <c r="AI1223" s="17"/>
      <c r="AJ1223" s="17"/>
      <c r="AK1223" s="9" t="s">
        <v>2138</v>
      </c>
      <c r="AL1223" s="11">
        <v>1250</v>
      </c>
      <c r="AN1223" s="11" t="s">
        <v>2150</v>
      </c>
      <c r="AP1223" s="11"/>
      <c r="AQ1223" s="11"/>
      <c r="AR1223" s="11"/>
      <c r="AW1223" s="17">
        <v>45580</v>
      </c>
      <c r="AX1223" s="9">
        <v>3287</v>
      </c>
      <c r="BA1223" s="11">
        <v>1250</v>
      </c>
      <c r="BD1223" s="9"/>
      <c r="CS1223" s="11">
        <f t="shared" si="85"/>
        <v>1250</v>
      </c>
      <c r="CT1223" s="22">
        <f t="shared" si="86"/>
        <v>1250</v>
      </c>
      <c r="CU1223" s="22">
        <f t="shared" si="84"/>
        <v>0</v>
      </c>
      <c r="CV1223" s="26">
        <f t="shared" si="87"/>
        <v>0</v>
      </c>
    </row>
    <row r="1224" spans="1:103" x14ac:dyDescent="0.2">
      <c r="A1224" s="9" t="s">
        <v>355</v>
      </c>
      <c r="B1224" s="2">
        <v>109</v>
      </c>
      <c r="C1224" s="3" t="s">
        <v>95</v>
      </c>
      <c r="D1224" s="3" t="s">
        <v>96</v>
      </c>
      <c r="E1224" s="2"/>
      <c r="F1224" s="2"/>
      <c r="G1224" s="2" t="s">
        <v>79</v>
      </c>
      <c r="H1224" s="2">
        <v>7</v>
      </c>
      <c r="I1224" s="8">
        <v>130.13999999999999</v>
      </c>
      <c r="J1224" s="8">
        <v>72300</v>
      </c>
      <c r="K1224" s="3">
        <v>0</v>
      </c>
      <c r="L1224" s="3" t="s">
        <v>97</v>
      </c>
      <c r="M1224" s="9" t="s">
        <v>0</v>
      </c>
      <c r="N1224" s="9" t="s">
        <v>28</v>
      </c>
      <c r="O1224" s="9" t="s">
        <v>64</v>
      </c>
      <c r="S1224" s="9" t="s">
        <v>158</v>
      </c>
      <c r="T1224" s="10" t="s">
        <v>79</v>
      </c>
      <c r="U1224" s="10">
        <v>7</v>
      </c>
      <c r="V1224" s="10">
        <v>130.13</v>
      </c>
      <c r="W1224" s="10" t="s">
        <v>710</v>
      </c>
      <c r="X1224" s="17">
        <v>45057</v>
      </c>
      <c r="Y1224" s="17">
        <v>45057</v>
      </c>
      <c r="Z1224" s="19" t="s">
        <v>772</v>
      </c>
      <c r="AA1224" s="210">
        <v>40000</v>
      </c>
      <c r="AB1224" s="9">
        <v>24</v>
      </c>
      <c r="AC1224" s="9">
        <v>17</v>
      </c>
      <c r="AD1224" s="17">
        <v>45611</v>
      </c>
      <c r="AE1224" s="56">
        <v>1250</v>
      </c>
      <c r="AF1224" s="56"/>
      <c r="AG1224" s="9" t="s">
        <v>134</v>
      </c>
      <c r="AH1224" s="17">
        <v>45617</v>
      </c>
      <c r="AI1224" s="17"/>
      <c r="AJ1224" s="17"/>
      <c r="AK1224" s="9" t="s">
        <v>2139</v>
      </c>
      <c r="AL1224" s="11">
        <v>1250</v>
      </c>
      <c r="AN1224" s="11" t="s">
        <v>2151</v>
      </c>
      <c r="AP1224" s="11"/>
      <c r="AQ1224" s="11"/>
      <c r="AR1224" s="11"/>
      <c r="AW1224" s="17">
        <v>45612</v>
      </c>
      <c r="AX1224" s="9">
        <v>3410</v>
      </c>
      <c r="BA1224" s="11">
        <v>1250</v>
      </c>
      <c r="BD1224" s="9"/>
      <c r="CS1224" s="11">
        <f t="shared" si="85"/>
        <v>1250</v>
      </c>
      <c r="CT1224" s="22">
        <f t="shared" si="86"/>
        <v>1250</v>
      </c>
      <c r="CU1224" s="22">
        <f t="shared" si="84"/>
        <v>0</v>
      </c>
      <c r="CV1224" s="26">
        <f t="shared" si="87"/>
        <v>0</v>
      </c>
    </row>
    <row r="1225" spans="1:103" x14ac:dyDescent="0.2">
      <c r="A1225" s="9" t="s">
        <v>355</v>
      </c>
      <c r="B1225" s="2">
        <v>109</v>
      </c>
      <c r="C1225" s="3" t="s">
        <v>95</v>
      </c>
      <c r="D1225" s="3" t="s">
        <v>96</v>
      </c>
      <c r="E1225" s="2"/>
      <c r="F1225" s="2"/>
      <c r="G1225" s="2" t="s">
        <v>79</v>
      </c>
      <c r="H1225" s="2">
        <v>7</v>
      </c>
      <c r="I1225" s="8">
        <v>130.13999999999999</v>
      </c>
      <c r="J1225" s="8">
        <v>72300</v>
      </c>
      <c r="K1225" s="3">
        <v>0</v>
      </c>
      <c r="L1225" s="3" t="s">
        <v>97</v>
      </c>
      <c r="M1225" s="9" t="s">
        <v>0</v>
      </c>
      <c r="N1225" s="9" t="s">
        <v>28</v>
      </c>
      <c r="O1225" s="9" t="s">
        <v>64</v>
      </c>
      <c r="S1225" s="9" t="s">
        <v>158</v>
      </c>
      <c r="T1225" s="10" t="s">
        <v>79</v>
      </c>
      <c r="U1225" s="10">
        <v>7</v>
      </c>
      <c r="V1225" s="10">
        <v>130.13</v>
      </c>
      <c r="W1225" s="10" t="s">
        <v>710</v>
      </c>
      <c r="X1225" s="17">
        <v>45057</v>
      </c>
      <c r="Y1225" s="17">
        <v>45057</v>
      </c>
      <c r="Z1225" s="19" t="s">
        <v>772</v>
      </c>
      <c r="AA1225" s="210">
        <v>40000</v>
      </c>
      <c r="AB1225" s="9">
        <v>24</v>
      </c>
      <c r="AC1225" s="9">
        <v>18</v>
      </c>
      <c r="AD1225" s="17">
        <v>45641</v>
      </c>
      <c r="AE1225" s="56">
        <v>1250</v>
      </c>
      <c r="AF1225" s="56"/>
      <c r="AG1225" s="9" t="s">
        <v>134</v>
      </c>
      <c r="AH1225" s="17">
        <v>45642</v>
      </c>
      <c r="AI1225" s="17"/>
      <c r="AJ1225" s="17"/>
      <c r="AK1225" s="9" t="s">
        <v>2140</v>
      </c>
      <c r="AL1225" s="11">
        <v>1250</v>
      </c>
      <c r="AN1225" s="11" t="s">
        <v>2152</v>
      </c>
      <c r="AP1225" s="11"/>
      <c r="AQ1225" s="11"/>
      <c r="AR1225" s="11"/>
      <c r="AW1225" s="17">
        <v>45642</v>
      </c>
      <c r="AX1225" s="9">
        <v>3511</v>
      </c>
      <c r="BA1225" s="11">
        <v>1250</v>
      </c>
      <c r="BD1225" s="9"/>
      <c r="CS1225" s="11">
        <f t="shared" si="85"/>
        <v>1250</v>
      </c>
      <c r="CT1225" s="22">
        <f t="shared" si="86"/>
        <v>1250</v>
      </c>
      <c r="CU1225" s="22">
        <f t="shared" si="84"/>
        <v>0</v>
      </c>
      <c r="CV1225" s="26">
        <f t="shared" si="87"/>
        <v>0</v>
      </c>
    </row>
    <row r="1226" spans="1:103" x14ac:dyDescent="0.2">
      <c r="A1226" s="9" t="s">
        <v>355</v>
      </c>
      <c r="B1226" s="2">
        <v>109</v>
      </c>
      <c r="C1226" s="3" t="s">
        <v>95</v>
      </c>
      <c r="D1226" s="3" t="s">
        <v>96</v>
      </c>
      <c r="E1226" s="2"/>
      <c r="F1226" s="2"/>
      <c r="G1226" s="2" t="s">
        <v>79</v>
      </c>
      <c r="H1226" s="2">
        <v>7</v>
      </c>
      <c r="I1226" s="8">
        <v>130.13999999999999</v>
      </c>
      <c r="J1226" s="8">
        <v>72300</v>
      </c>
      <c r="K1226" s="3">
        <v>0</v>
      </c>
      <c r="L1226" s="3" t="s">
        <v>97</v>
      </c>
      <c r="M1226" s="9" t="s">
        <v>0</v>
      </c>
      <c r="N1226" s="9" t="s">
        <v>28</v>
      </c>
      <c r="O1226" s="9" t="s">
        <v>64</v>
      </c>
      <c r="S1226" s="9" t="s">
        <v>158</v>
      </c>
      <c r="T1226" s="10" t="s">
        <v>79</v>
      </c>
      <c r="U1226" s="10">
        <v>7</v>
      </c>
      <c r="V1226" s="10">
        <v>130.13</v>
      </c>
      <c r="W1226" s="10" t="s">
        <v>710</v>
      </c>
      <c r="X1226" s="17">
        <v>45057</v>
      </c>
      <c r="Y1226" s="17">
        <v>45057</v>
      </c>
      <c r="Z1226" s="19" t="s">
        <v>772</v>
      </c>
      <c r="AA1226" s="210">
        <v>40000</v>
      </c>
      <c r="AB1226" s="9">
        <v>24</v>
      </c>
      <c r="AC1226" s="9">
        <v>19</v>
      </c>
      <c r="AD1226" s="17">
        <v>45672</v>
      </c>
      <c r="AE1226" s="56">
        <v>1250</v>
      </c>
      <c r="AF1226" s="56"/>
      <c r="AG1226" s="9" t="s">
        <v>134</v>
      </c>
      <c r="AH1226" s="17">
        <v>45673</v>
      </c>
      <c r="AI1226" s="17"/>
      <c r="AJ1226" s="17"/>
      <c r="AK1226" s="9" t="s">
        <v>2153</v>
      </c>
      <c r="AL1226" s="11">
        <v>1250</v>
      </c>
      <c r="AN1226" s="11" t="s">
        <v>2159</v>
      </c>
      <c r="AP1226" s="11"/>
      <c r="AQ1226" s="11"/>
      <c r="AR1226" s="11"/>
      <c r="AW1226" s="17">
        <v>45672</v>
      </c>
      <c r="AX1226" s="9">
        <v>3611</v>
      </c>
      <c r="BA1226" s="11">
        <v>1250</v>
      </c>
      <c r="BD1226" s="9"/>
      <c r="CS1226" s="11">
        <f t="shared" si="85"/>
        <v>1250</v>
      </c>
      <c r="CT1226" s="22">
        <f t="shared" si="86"/>
        <v>1250</v>
      </c>
      <c r="CU1226" s="22">
        <f t="shared" si="84"/>
        <v>0</v>
      </c>
      <c r="CV1226" s="26">
        <f t="shared" si="87"/>
        <v>0</v>
      </c>
    </row>
    <row r="1227" spans="1:103" x14ac:dyDescent="0.2">
      <c r="A1227" s="9" t="s">
        <v>355</v>
      </c>
      <c r="B1227" s="2">
        <v>109</v>
      </c>
      <c r="C1227" s="3" t="s">
        <v>95</v>
      </c>
      <c r="D1227" s="3" t="s">
        <v>96</v>
      </c>
      <c r="E1227" s="2"/>
      <c r="F1227" s="2"/>
      <c r="G1227" s="2" t="s">
        <v>79</v>
      </c>
      <c r="H1227" s="2">
        <v>7</v>
      </c>
      <c r="I1227" s="8">
        <v>130.13999999999999</v>
      </c>
      <c r="J1227" s="8">
        <v>72300</v>
      </c>
      <c r="K1227" s="3">
        <v>0</v>
      </c>
      <c r="L1227" s="3" t="s">
        <v>97</v>
      </c>
      <c r="M1227" s="9" t="s">
        <v>0</v>
      </c>
      <c r="N1227" s="9" t="s">
        <v>28</v>
      </c>
      <c r="O1227" s="9" t="s">
        <v>64</v>
      </c>
      <c r="S1227" s="9" t="s">
        <v>158</v>
      </c>
      <c r="T1227" s="10" t="s">
        <v>79</v>
      </c>
      <c r="U1227" s="10">
        <v>7</v>
      </c>
      <c r="V1227" s="10">
        <v>130.13</v>
      </c>
      <c r="W1227" s="10" t="s">
        <v>710</v>
      </c>
      <c r="X1227" s="17">
        <v>45057</v>
      </c>
      <c r="Y1227" s="17">
        <v>45057</v>
      </c>
      <c r="Z1227" s="19" t="s">
        <v>772</v>
      </c>
      <c r="AA1227" s="210">
        <v>40000</v>
      </c>
      <c r="AB1227" s="9">
        <v>24</v>
      </c>
      <c r="AC1227" s="9">
        <v>20</v>
      </c>
      <c r="AD1227" s="17">
        <v>45703</v>
      </c>
      <c r="AE1227" s="56">
        <v>1250</v>
      </c>
      <c r="AF1227" s="56"/>
      <c r="AG1227" s="9" t="s">
        <v>134</v>
      </c>
      <c r="AH1227" s="17">
        <v>45705</v>
      </c>
      <c r="AI1227" s="17"/>
      <c r="AJ1227" s="17"/>
      <c r="AK1227" s="9" t="s">
        <v>2154</v>
      </c>
      <c r="AL1227" s="11">
        <v>1250</v>
      </c>
      <c r="AN1227" s="11" t="s">
        <v>2160</v>
      </c>
      <c r="AP1227" s="11"/>
      <c r="AQ1227" s="11"/>
      <c r="AR1227" s="11"/>
      <c r="AW1227" s="17">
        <v>45703</v>
      </c>
      <c r="AX1227" s="9">
        <v>3757</v>
      </c>
      <c r="BA1227" s="11">
        <v>1250</v>
      </c>
      <c r="BD1227" s="9"/>
      <c r="CS1227" s="11">
        <f t="shared" si="85"/>
        <v>1250</v>
      </c>
      <c r="CT1227" s="22">
        <f t="shared" si="86"/>
        <v>1250</v>
      </c>
      <c r="CU1227" s="22">
        <f t="shared" si="84"/>
        <v>0</v>
      </c>
      <c r="CV1227" s="26">
        <f t="shared" si="87"/>
        <v>0</v>
      </c>
    </row>
    <row r="1228" spans="1:103" x14ac:dyDescent="0.2">
      <c r="A1228" s="9" t="s">
        <v>355</v>
      </c>
      <c r="B1228" s="2">
        <v>109</v>
      </c>
      <c r="C1228" s="3" t="s">
        <v>95</v>
      </c>
      <c r="D1228" s="3" t="s">
        <v>96</v>
      </c>
      <c r="E1228" s="2"/>
      <c r="F1228" s="2"/>
      <c r="G1228" s="2" t="s">
        <v>79</v>
      </c>
      <c r="H1228" s="2">
        <v>7</v>
      </c>
      <c r="I1228" s="8">
        <v>130.13999999999999</v>
      </c>
      <c r="J1228" s="8">
        <v>72300</v>
      </c>
      <c r="K1228" s="3">
        <v>0</v>
      </c>
      <c r="L1228" s="3" t="s">
        <v>97</v>
      </c>
      <c r="M1228" s="9" t="s">
        <v>0</v>
      </c>
      <c r="N1228" s="9" t="s">
        <v>28</v>
      </c>
      <c r="O1228" s="9" t="s">
        <v>64</v>
      </c>
      <c r="S1228" s="9" t="s">
        <v>158</v>
      </c>
      <c r="T1228" s="10" t="s">
        <v>79</v>
      </c>
      <c r="U1228" s="10">
        <v>7</v>
      </c>
      <c r="V1228" s="10">
        <v>130.13</v>
      </c>
      <c r="W1228" s="10" t="s">
        <v>710</v>
      </c>
      <c r="X1228" s="17">
        <v>45057</v>
      </c>
      <c r="Y1228" s="17">
        <v>45057</v>
      </c>
      <c r="Z1228" s="19" t="s">
        <v>772</v>
      </c>
      <c r="AA1228" s="210">
        <v>40000</v>
      </c>
      <c r="AB1228" s="9">
        <v>24</v>
      </c>
      <c r="AC1228" s="9">
        <v>21</v>
      </c>
      <c r="AD1228" s="17">
        <v>45731</v>
      </c>
      <c r="AE1228" s="56">
        <v>1250</v>
      </c>
      <c r="AF1228" s="56"/>
      <c r="AG1228" s="9" t="s">
        <v>134</v>
      </c>
      <c r="AH1228" s="17">
        <v>45733</v>
      </c>
      <c r="AI1228" s="17"/>
      <c r="AJ1228" s="17"/>
      <c r="AK1228" s="9" t="s">
        <v>2155</v>
      </c>
      <c r="AL1228" s="11">
        <v>1250</v>
      </c>
      <c r="AN1228" s="11" t="s">
        <v>2161</v>
      </c>
      <c r="AP1228" s="11"/>
      <c r="AQ1228" s="11"/>
      <c r="AR1228" s="11"/>
      <c r="AW1228" s="17">
        <v>45732</v>
      </c>
      <c r="AX1228" s="9">
        <v>3888</v>
      </c>
      <c r="BA1228" s="11">
        <v>1250</v>
      </c>
      <c r="BD1228" s="9"/>
      <c r="CS1228" s="11">
        <f t="shared" si="85"/>
        <v>1250</v>
      </c>
      <c r="CT1228" s="22">
        <f t="shared" si="86"/>
        <v>1250</v>
      </c>
      <c r="CU1228" s="22">
        <f t="shared" si="84"/>
        <v>0</v>
      </c>
      <c r="CV1228" s="26">
        <f t="shared" si="87"/>
        <v>0</v>
      </c>
    </row>
    <row r="1229" spans="1:103" x14ac:dyDescent="0.2">
      <c r="A1229" s="9" t="s">
        <v>355</v>
      </c>
      <c r="B1229" s="2">
        <v>109</v>
      </c>
      <c r="C1229" s="3" t="s">
        <v>95</v>
      </c>
      <c r="D1229" s="3" t="s">
        <v>96</v>
      </c>
      <c r="E1229" s="2"/>
      <c r="F1229" s="2"/>
      <c r="G1229" s="2" t="s">
        <v>79</v>
      </c>
      <c r="H1229" s="2">
        <v>7</v>
      </c>
      <c r="I1229" s="8">
        <v>130.13999999999999</v>
      </c>
      <c r="J1229" s="8">
        <v>72300</v>
      </c>
      <c r="K1229" s="3">
        <v>0</v>
      </c>
      <c r="L1229" s="3" t="s">
        <v>97</v>
      </c>
      <c r="M1229" s="9" t="s">
        <v>0</v>
      </c>
      <c r="N1229" s="9" t="s">
        <v>28</v>
      </c>
      <c r="O1229" s="9" t="s">
        <v>64</v>
      </c>
      <c r="S1229" s="9" t="s">
        <v>158</v>
      </c>
      <c r="T1229" s="10" t="s">
        <v>79</v>
      </c>
      <c r="U1229" s="10">
        <v>7</v>
      </c>
      <c r="V1229" s="10">
        <v>130.13</v>
      </c>
      <c r="W1229" s="10" t="s">
        <v>710</v>
      </c>
      <c r="X1229" s="17">
        <v>45057</v>
      </c>
      <c r="Y1229" s="17">
        <v>45057</v>
      </c>
      <c r="Z1229" s="19" t="s">
        <v>772</v>
      </c>
      <c r="AA1229" s="210">
        <v>40000</v>
      </c>
      <c r="AB1229" s="9">
        <v>24</v>
      </c>
      <c r="AC1229" s="9">
        <v>22</v>
      </c>
      <c r="AD1229" s="17">
        <v>45762</v>
      </c>
      <c r="AE1229" s="56">
        <v>1250</v>
      </c>
      <c r="AF1229" s="56"/>
      <c r="AG1229" s="9" t="s">
        <v>134</v>
      </c>
      <c r="AH1229" s="17">
        <v>45762</v>
      </c>
      <c r="AI1229" s="17"/>
      <c r="AJ1229" s="17"/>
      <c r="AK1229" s="9" t="s">
        <v>2156</v>
      </c>
      <c r="AL1229" s="11">
        <v>1250</v>
      </c>
      <c r="AN1229" s="11" t="s">
        <v>2162</v>
      </c>
      <c r="AP1229" s="11"/>
      <c r="AQ1229" s="11"/>
      <c r="AR1229" s="11"/>
      <c r="AW1229" s="17">
        <v>45762</v>
      </c>
      <c r="AX1229" s="9">
        <v>4016</v>
      </c>
      <c r="BA1229" s="11">
        <v>1250</v>
      </c>
      <c r="BD1229" s="9"/>
      <c r="CS1229" s="11">
        <f t="shared" si="85"/>
        <v>1250</v>
      </c>
      <c r="CT1229" s="22">
        <f t="shared" si="86"/>
        <v>1250</v>
      </c>
      <c r="CU1229" s="22">
        <f t="shared" si="84"/>
        <v>0</v>
      </c>
      <c r="CV1229" s="26">
        <f t="shared" si="87"/>
        <v>0</v>
      </c>
    </row>
    <row r="1230" spans="1:103" x14ac:dyDescent="0.2">
      <c r="A1230" s="9" t="s">
        <v>355</v>
      </c>
      <c r="B1230" s="2">
        <v>109</v>
      </c>
      <c r="C1230" s="3" t="s">
        <v>95</v>
      </c>
      <c r="D1230" s="3" t="s">
        <v>96</v>
      </c>
      <c r="E1230" s="2"/>
      <c r="F1230" s="2"/>
      <c r="G1230" s="2" t="s">
        <v>79</v>
      </c>
      <c r="H1230" s="2">
        <v>7</v>
      </c>
      <c r="I1230" s="8">
        <v>130.13999999999999</v>
      </c>
      <c r="J1230" s="8">
        <v>72300</v>
      </c>
      <c r="K1230" s="3">
        <v>0</v>
      </c>
      <c r="L1230" s="3" t="s">
        <v>97</v>
      </c>
      <c r="M1230" s="9" t="s">
        <v>0</v>
      </c>
      <c r="N1230" s="9" t="s">
        <v>28</v>
      </c>
      <c r="O1230" s="9" t="s">
        <v>64</v>
      </c>
      <c r="S1230" s="9" t="s">
        <v>158</v>
      </c>
      <c r="T1230" s="10" t="s">
        <v>79</v>
      </c>
      <c r="U1230" s="10">
        <v>7</v>
      </c>
      <c r="V1230" s="10">
        <v>130.13</v>
      </c>
      <c r="W1230" s="10" t="s">
        <v>710</v>
      </c>
      <c r="X1230" s="17">
        <v>45057</v>
      </c>
      <c r="Y1230" s="17">
        <v>45057</v>
      </c>
      <c r="Z1230" s="19" t="s">
        <v>772</v>
      </c>
      <c r="AA1230" s="210">
        <v>40000</v>
      </c>
      <c r="AB1230" s="9">
        <v>24</v>
      </c>
      <c r="AC1230" s="9">
        <v>23</v>
      </c>
      <c r="AD1230" s="17">
        <v>45792</v>
      </c>
      <c r="AE1230" s="56">
        <v>1250</v>
      </c>
      <c r="AF1230" s="56"/>
      <c r="AG1230" s="9" t="s">
        <v>134</v>
      </c>
      <c r="AH1230" s="17">
        <v>45793</v>
      </c>
      <c r="AI1230" s="17"/>
      <c r="AJ1230" s="17"/>
      <c r="AK1230" s="9" t="s">
        <v>2157</v>
      </c>
      <c r="AL1230" s="11">
        <v>1250</v>
      </c>
      <c r="AN1230" s="11" t="s">
        <v>2163</v>
      </c>
      <c r="AP1230" s="11"/>
      <c r="AQ1230" s="11"/>
      <c r="AR1230" s="11"/>
      <c r="AW1230" s="17">
        <v>45792</v>
      </c>
      <c r="AX1230" s="9">
        <v>4175</v>
      </c>
      <c r="BA1230" s="11">
        <v>1250</v>
      </c>
      <c r="BD1230" s="9"/>
      <c r="CS1230" s="11">
        <f t="shared" si="85"/>
        <v>1250</v>
      </c>
      <c r="CT1230" s="22">
        <f t="shared" si="86"/>
        <v>1250</v>
      </c>
      <c r="CU1230" s="22">
        <f t="shared" si="84"/>
        <v>0</v>
      </c>
      <c r="CV1230" s="26">
        <f t="shared" si="87"/>
        <v>0</v>
      </c>
    </row>
    <row r="1231" spans="1:103" x14ac:dyDescent="0.2">
      <c r="A1231" s="9" t="s">
        <v>355</v>
      </c>
      <c r="B1231" s="2">
        <v>109</v>
      </c>
      <c r="C1231" s="3" t="s">
        <v>95</v>
      </c>
      <c r="D1231" s="3" t="s">
        <v>96</v>
      </c>
      <c r="E1231" s="2"/>
      <c r="F1231" s="2"/>
      <c r="G1231" s="2" t="s">
        <v>79</v>
      </c>
      <c r="H1231" s="2">
        <v>7</v>
      </c>
      <c r="I1231" s="8">
        <v>130.13999999999999</v>
      </c>
      <c r="J1231" s="8">
        <v>72300</v>
      </c>
      <c r="K1231" s="3">
        <v>0</v>
      </c>
      <c r="L1231" s="3" t="s">
        <v>97</v>
      </c>
      <c r="M1231" s="9" t="s">
        <v>0</v>
      </c>
      <c r="N1231" s="9" t="s">
        <v>28</v>
      </c>
      <c r="O1231" s="9" t="s">
        <v>64</v>
      </c>
      <c r="S1231" s="9" t="s">
        <v>158</v>
      </c>
      <c r="T1231" s="10" t="s">
        <v>79</v>
      </c>
      <c r="U1231" s="10">
        <v>7</v>
      </c>
      <c r="V1231" s="10">
        <v>130.13</v>
      </c>
      <c r="W1231" s="10" t="s">
        <v>710</v>
      </c>
      <c r="X1231" s="17">
        <v>45057</v>
      </c>
      <c r="Y1231" s="17">
        <v>45057</v>
      </c>
      <c r="Z1231" s="19" t="s">
        <v>772</v>
      </c>
      <c r="AA1231" s="210">
        <v>40000</v>
      </c>
      <c r="AB1231" s="9">
        <v>24</v>
      </c>
      <c r="AC1231" s="9">
        <v>24</v>
      </c>
      <c r="AD1231" s="17">
        <v>45823</v>
      </c>
      <c r="AE1231" s="56">
        <v>1250</v>
      </c>
      <c r="AF1231" s="56"/>
      <c r="AG1231" s="9" t="s">
        <v>134</v>
      </c>
      <c r="AH1231" s="17">
        <v>45825</v>
      </c>
      <c r="AI1231" s="17"/>
      <c r="AJ1231" s="17"/>
      <c r="AK1231" s="9" t="s">
        <v>2158</v>
      </c>
      <c r="AL1231" s="11">
        <v>1250</v>
      </c>
      <c r="AN1231" s="11" t="s">
        <v>2164</v>
      </c>
      <c r="AP1231" s="11"/>
      <c r="AQ1231" s="11"/>
      <c r="AR1231" s="11"/>
      <c r="AW1231" s="17">
        <v>45824</v>
      </c>
      <c r="AX1231" s="9">
        <v>4307</v>
      </c>
      <c r="BA1231" s="11">
        <v>1250</v>
      </c>
      <c r="BD1231" s="9"/>
      <c r="CS1231" s="11">
        <f t="shared" si="85"/>
        <v>1250</v>
      </c>
      <c r="CT1231" s="22">
        <f t="shared" si="86"/>
        <v>1250</v>
      </c>
      <c r="CU1231" s="22">
        <f t="shared" si="84"/>
        <v>0</v>
      </c>
      <c r="CV1231" s="26">
        <f t="shared" si="87"/>
        <v>0</v>
      </c>
    </row>
    <row r="1232" spans="1:103" x14ac:dyDescent="0.2">
      <c r="A1232" s="9" t="s">
        <v>356</v>
      </c>
      <c r="B1232" s="2">
        <v>67</v>
      </c>
      <c r="C1232" s="3" t="s">
        <v>95</v>
      </c>
      <c r="D1232" s="3" t="s">
        <v>96</v>
      </c>
      <c r="E1232" s="2" t="s">
        <v>68</v>
      </c>
      <c r="F1232" s="2">
        <v>11</v>
      </c>
      <c r="G1232" s="2" t="s">
        <v>73</v>
      </c>
      <c r="H1232" s="2">
        <v>1</v>
      </c>
      <c r="I1232" s="8">
        <v>120.73</v>
      </c>
      <c r="J1232" s="8">
        <v>38900</v>
      </c>
      <c r="K1232" s="3">
        <v>0</v>
      </c>
      <c r="L1232" s="3" t="s">
        <v>3</v>
      </c>
      <c r="M1232" s="9" t="s">
        <v>0</v>
      </c>
      <c r="N1232" s="9" t="s">
        <v>29</v>
      </c>
      <c r="O1232" s="9" t="s">
        <v>3513</v>
      </c>
      <c r="P1232" s="30" t="s">
        <v>0</v>
      </c>
      <c r="Q1232" s="9">
        <v>7490745</v>
      </c>
      <c r="R1232" s="9" t="s">
        <v>357</v>
      </c>
      <c r="S1232" s="9" t="s">
        <v>158</v>
      </c>
      <c r="T1232" s="10" t="s">
        <v>73</v>
      </c>
      <c r="U1232" s="10">
        <v>1</v>
      </c>
      <c r="V1232" s="10">
        <v>120.73</v>
      </c>
      <c r="W1232" s="10" t="s">
        <v>710</v>
      </c>
      <c r="X1232" s="17">
        <v>44640</v>
      </c>
      <c r="Y1232" s="17">
        <v>44952</v>
      </c>
      <c r="Z1232" s="19" t="s">
        <v>772</v>
      </c>
      <c r="AA1232" s="210">
        <v>54216</v>
      </c>
      <c r="AB1232" s="27">
        <v>60</v>
      </c>
      <c r="AC1232" s="27">
        <v>0</v>
      </c>
      <c r="AD1232" s="17">
        <v>44641</v>
      </c>
      <c r="AE1232" s="56">
        <v>100</v>
      </c>
      <c r="AF1232" s="56"/>
      <c r="AG1232" s="9" t="s">
        <v>134</v>
      </c>
      <c r="AH1232" s="17">
        <v>44641</v>
      </c>
      <c r="AI1232" s="17"/>
      <c r="AJ1232" s="17"/>
      <c r="AK1232" s="9" t="s">
        <v>3502</v>
      </c>
      <c r="AL1232" s="11">
        <v>100</v>
      </c>
      <c r="AN1232" s="11" t="s">
        <v>3503</v>
      </c>
      <c r="AP1232" s="11"/>
      <c r="AQ1232" s="11"/>
      <c r="AR1232" s="11"/>
      <c r="AW1232" s="17">
        <v>44641</v>
      </c>
      <c r="AX1232" s="9" t="s">
        <v>254</v>
      </c>
      <c r="BA1232" s="11">
        <v>100</v>
      </c>
      <c r="BD1232" s="9"/>
      <c r="CS1232" s="11">
        <f t="shared" si="85"/>
        <v>100</v>
      </c>
      <c r="CT1232" s="22">
        <f t="shared" si="86"/>
        <v>100</v>
      </c>
      <c r="CU1232" s="22">
        <f t="shared" si="84"/>
        <v>0</v>
      </c>
      <c r="CV1232" s="26">
        <f t="shared" si="87"/>
        <v>0</v>
      </c>
      <c r="CY1232" s="9" t="s">
        <v>3493</v>
      </c>
    </row>
    <row r="1233" spans="1:100" x14ac:dyDescent="0.2">
      <c r="A1233" s="9" t="s">
        <v>356</v>
      </c>
      <c r="B1233" s="2">
        <v>67</v>
      </c>
      <c r="C1233" s="3" t="s">
        <v>95</v>
      </c>
      <c r="D1233" s="3" t="s">
        <v>96</v>
      </c>
      <c r="E1233" s="2" t="s">
        <v>68</v>
      </c>
      <c r="F1233" s="2">
        <v>11</v>
      </c>
      <c r="G1233" s="2" t="s">
        <v>73</v>
      </c>
      <c r="H1233" s="2">
        <v>1</v>
      </c>
      <c r="I1233" s="8">
        <v>120.73</v>
      </c>
      <c r="J1233" s="8">
        <v>38900</v>
      </c>
      <c r="K1233" s="3">
        <v>0</v>
      </c>
      <c r="L1233" s="3" t="s">
        <v>3</v>
      </c>
      <c r="M1233" s="9" t="s">
        <v>0</v>
      </c>
      <c r="N1233" s="9" t="s">
        <v>29</v>
      </c>
      <c r="O1233" s="9" t="s">
        <v>3513</v>
      </c>
      <c r="P1233" s="30" t="s">
        <v>0</v>
      </c>
      <c r="Q1233" s="9">
        <v>7490745</v>
      </c>
      <c r="R1233" s="9" t="s">
        <v>357</v>
      </c>
      <c r="S1233" s="9" t="s">
        <v>158</v>
      </c>
      <c r="T1233" s="10" t="s">
        <v>73</v>
      </c>
      <c r="U1233" s="10">
        <v>1</v>
      </c>
      <c r="V1233" s="10">
        <v>120.73</v>
      </c>
      <c r="W1233" s="10" t="s">
        <v>710</v>
      </c>
      <c r="X1233" s="17">
        <v>44640</v>
      </c>
      <c r="Y1233" s="17">
        <v>44952</v>
      </c>
      <c r="Z1233" s="19" t="s">
        <v>772</v>
      </c>
      <c r="AA1233" s="210">
        <v>54216</v>
      </c>
      <c r="AB1233" s="27">
        <v>60</v>
      </c>
      <c r="AC1233" s="27">
        <v>0</v>
      </c>
      <c r="AD1233" s="17">
        <v>44641</v>
      </c>
      <c r="AE1233" s="56">
        <v>5900</v>
      </c>
      <c r="AF1233" s="56"/>
      <c r="AG1233" s="9" t="s">
        <v>134</v>
      </c>
      <c r="AH1233" s="17">
        <v>44641</v>
      </c>
      <c r="AI1233" s="17"/>
      <c r="AJ1233" s="17"/>
      <c r="AK1233" s="9" t="s">
        <v>358</v>
      </c>
      <c r="AL1233" s="11">
        <v>5900</v>
      </c>
      <c r="AN1233" s="11" t="s">
        <v>2106</v>
      </c>
      <c r="AP1233" s="11"/>
      <c r="AQ1233" s="11"/>
      <c r="AR1233" s="11"/>
      <c r="AW1233" s="42">
        <v>44641</v>
      </c>
      <c r="AX1233" s="36">
        <v>539</v>
      </c>
      <c r="AY1233" s="36"/>
      <c r="AZ1233" s="36"/>
      <c r="BA1233" s="40">
        <v>5900</v>
      </c>
      <c r="BD1233" s="9"/>
      <c r="CS1233" s="11">
        <f t="shared" si="85"/>
        <v>5900</v>
      </c>
      <c r="CT1233" s="22">
        <f t="shared" si="86"/>
        <v>5900</v>
      </c>
      <c r="CU1233" s="22">
        <f t="shared" si="84"/>
        <v>0</v>
      </c>
      <c r="CV1233" s="26">
        <f t="shared" si="87"/>
        <v>0</v>
      </c>
    </row>
    <row r="1234" spans="1:100" x14ac:dyDescent="0.2">
      <c r="A1234" s="9" t="s">
        <v>356</v>
      </c>
      <c r="B1234" s="2">
        <v>67</v>
      </c>
      <c r="C1234" s="3" t="s">
        <v>95</v>
      </c>
      <c r="D1234" s="3" t="s">
        <v>96</v>
      </c>
      <c r="E1234" s="2" t="s">
        <v>68</v>
      </c>
      <c r="F1234" s="2">
        <v>11</v>
      </c>
      <c r="G1234" s="2" t="s">
        <v>73</v>
      </c>
      <c r="H1234" s="2">
        <v>1</v>
      </c>
      <c r="I1234" s="8">
        <v>120.73</v>
      </c>
      <c r="J1234" s="8">
        <v>38900</v>
      </c>
      <c r="K1234" s="3">
        <v>0</v>
      </c>
      <c r="L1234" s="3" t="s">
        <v>3</v>
      </c>
      <c r="M1234" s="9" t="s">
        <v>0</v>
      </c>
      <c r="N1234" s="9" t="s">
        <v>29</v>
      </c>
      <c r="O1234" s="9" t="s">
        <v>3513</v>
      </c>
      <c r="P1234" s="30" t="s">
        <v>0</v>
      </c>
      <c r="Q1234" s="9">
        <v>7490745</v>
      </c>
      <c r="R1234" s="9" t="s">
        <v>357</v>
      </c>
      <c r="S1234" s="9" t="s">
        <v>158</v>
      </c>
      <c r="T1234" s="10" t="s">
        <v>73</v>
      </c>
      <c r="U1234" s="10">
        <v>1</v>
      </c>
      <c r="V1234" s="10">
        <v>120.73</v>
      </c>
      <c r="W1234" s="10" t="s">
        <v>710</v>
      </c>
      <c r="X1234" s="17">
        <v>44640</v>
      </c>
      <c r="Y1234" s="17">
        <v>44952</v>
      </c>
      <c r="Z1234" s="19" t="s">
        <v>772</v>
      </c>
      <c r="AA1234" s="210">
        <v>54216</v>
      </c>
      <c r="AB1234" s="27">
        <v>60</v>
      </c>
      <c r="AC1234" s="27">
        <v>1</v>
      </c>
      <c r="AD1234" s="17">
        <v>44686</v>
      </c>
      <c r="AE1234" s="56">
        <v>735</v>
      </c>
      <c r="AF1234" s="56"/>
      <c r="AG1234" s="9" t="s">
        <v>134</v>
      </c>
      <c r="AH1234" s="17">
        <v>44686</v>
      </c>
      <c r="AI1234" s="17"/>
      <c r="AJ1234" s="17"/>
      <c r="AK1234" s="9" t="s">
        <v>2110</v>
      </c>
      <c r="AL1234" s="11">
        <v>735</v>
      </c>
      <c r="AN1234" s="11" t="s">
        <v>2107</v>
      </c>
      <c r="AP1234" s="11"/>
      <c r="AQ1234" s="11"/>
      <c r="AR1234" s="11"/>
      <c r="AW1234" s="17">
        <v>44685</v>
      </c>
      <c r="AX1234" s="9">
        <v>611</v>
      </c>
      <c r="BA1234" s="11">
        <v>735</v>
      </c>
      <c r="BB1234" s="11" t="s">
        <v>1704</v>
      </c>
      <c r="BD1234" s="9"/>
      <c r="CS1234" s="11">
        <f t="shared" si="85"/>
        <v>735</v>
      </c>
      <c r="CT1234" s="22">
        <f t="shared" si="86"/>
        <v>735</v>
      </c>
      <c r="CU1234" s="22">
        <f t="shared" si="84"/>
        <v>0</v>
      </c>
      <c r="CV1234" s="26">
        <f t="shared" si="87"/>
        <v>0</v>
      </c>
    </row>
    <row r="1235" spans="1:100" x14ac:dyDescent="0.2">
      <c r="A1235" s="9" t="s">
        <v>356</v>
      </c>
      <c r="B1235" s="2">
        <v>67</v>
      </c>
      <c r="C1235" s="3" t="s">
        <v>95</v>
      </c>
      <c r="D1235" s="3" t="s">
        <v>96</v>
      </c>
      <c r="E1235" s="2" t="s">
        <v>68</v>
      </c>
      <c r="F1235" s="2">
        <v>11</v>
      </c>
      <c r="G1235" s="2" t="s">
        <v>73</v>
      </c>
      <c r="H1235" s="2">
        <v>1</v>
      </c>
      <c r="I1235" s="8">
        <v>120.73</v>
      </c>
      <c r="J1235" s="8">
        <v>38900</v>
      </c>
      <c r="K1235" s="3">
        <v>0</v>
      </c>
      <c r="L1235" s="3" t="s">
        <v>3</v>
      </c>
      <c r="M1235" s="9" t="s">
        <v>0</v>
      </c>
      <c r="N1235" s="9" t="s">
        <v>29</v>
      </c>
      <c r="O1235" s="9" t="s">
        <v>3513</v>
      </c>
      <c r="P1235" s="30" t="s">
        <v>0</v>
      </c>
      <c r="Q1235" s="9">
        <v>7490745</v>
      </c>
      <c r="R1235" s="9" t="s">
        <v>357</v>
      </c>
      <c r="S1235" s="9" t="s">
        <v>158</v>
      </c>
      <c r="T1235" s="10" t="s">
        <v>73</v>
      </c>
      <c r="U1235" s="10">
        <v>1</v>
      </c>
      <c r="V1235" s="10">
        <v>120.73</v>
      </c>
      <c r="W1235" s="10" t="s">
        <v>710</v>
      </c>
      <c r="X1235" s="17">
        <v>44640</v>
      </c>
      <c r="Y1235" s="17">
        <v>44952</v>
      </c>
      <c r="Z1235" s="19" t="s">
        <v>772</v>
      </c>
      <c r="AA1235" s="210">
        <v>54216</v>
      </c>
      <c r="AB1235" s="27">
        <v>60</v>
      </c>
      <c r="AC1235" s="27">
        <v>2</v>
      </c>
      <c r="AD1235" s="17">
        <v>44717</v>
      </c>
      <c r="AE1235" s="56">
        <v>735</v>
      </c>
      <c r="AF1235" s="56"/>
      <c r="AG1235" s="9" t="s">
        <v>134</v>
      </c>
      <c r="AH1235" s="17">
        <v>44721</v>
      </c>
      <c r="AI1235" s="17"/>
      <c r="AJ1235" s="17"/>
      <c r="AK1235" s="9" t="s">
        <v>359</v>
      </c>
      <c r="AL1235" s="11">
        <v>735</v>
      </c>
      <c r="AN1235" s="11" t="s">
        <v>2108</v>
      </c>
      <c r="AP1235" s="11"/>
      <c r="AQ1235" s="11"/>
      <c r="AR1235" s="11"/>
      <c r="AW1235" s="17">
        <v>44719</v>
      </c>
      <c r="AX1235" s="9">
        <v>696</v>
      </c>
      <c r="BA1235" s="11">
        <v>735</v>
      </c>
      <c r="BB1235" s="11" t="s">
        <v>1704</v>
      </c>
      <c r="BD1235" s="9"/>
      <c r="CS1235" s="11">
        <f t="shared" si="85"/>
        <v>735</v>
      </c>
      <c r="CT1235" s="22">
        <f t="shared" si="86"/>
        <v>735</v>
      </c>
      <c r="CU1235" s="22">
        <f t="shared" si="84"/>
        <v>0</v>
      </c>
      <c r="CV1235" s="26">
        <f t="shared" si="87"/>
        <v>0</v>
      </c>
    </row>
    <row r="1236" spans="1:100" x14ac:dyDescent="0.2">
      <c r="A1236" s="9" t="s">
        <v>356</v>
      </c>
      <c r="B1236" s="2">
        <v>67</v>
      </c>
      <c r="C1236" s="3" t="s">
        <v>95</v>
      </c>
      <c r="D1236" s="3" t="s">
        <v>96</v>
      </c>
      <c r="E1236" s="2" t="s">
        <v>68</v>
      </c>
      <c r="F1236" s="2">
        <v>11</v>
      </c>
      <c r="G1236" s="2" t="s">
        <v>73</v>
      </c>
      <c r="H1236" s="2">
        <v>1</v>
      </c>
      <c r="I1236" s="8">
        <v>120.73</v>
      </c>
      <c r="J1236" s="8">
        <v>38900</v>
      </c>
      <c r="K1236" s="3">
        <v>0</v>
      </c>
      <c r="L1236" s="3" t="s">
        <v>3</v>
      </c>
      <c r="M1236" s="9" t="s">
        <v>0</v>
      </c>
      <c r="N1236" s="9" t="s">
        <v>29</v>
      </c>
      <c r="O1236" s="9" t="s">
        <v>3513</v>
      </c>
      <c r="P1236" s="30" t="s">
        <v>0</v>
      </c>
      <c r="Q1236" s="9">
        <v>7490745</v>
      </c>
      <c r="R1236" s="9" t="s">
        <v>357</v>
      </c>
      <c r="S1236" s="9" t="s">
        <v>158</v>
      </c>
      <c r="T1236" s="10" t="s">
        <v>73</v>
      </c>
      <c r="U1236" s="10">
        <v>1</v>
      </c>
      <c r="V1236" s="10">
        <v>120.73</v>
      </c>
      <c r="W1236" s="10" t="s">
        <v>710</v>
      </c>
      <c r="X1236" s="17">
        <v>44640</v>
      </c>
      <c r="Y1236" s="17">
        <v>44952</v>
      </c>
      <c r="Z1236" s="19" t="s">
        <v>772</v>
      </c>
      <c r="AA1236" s="210">
        <v>54216</v>
      </c>
      <c r="AB1236" s="27">
        <v>60</v>
      </c>
      <c r="AC1236" s="27">
        <v>3</v>
      </c>
      <c r="AD1236" s="17">
        <v>44747</v>
      </c>
      <c r="AE1236" s="56">
        <v>735</v>
      </c>
      <c r="AF1236" s="56"/>
      <c r="AG1236" s="9" t="s">
        <v>134</v>
      </c>
      <c r="AH1236" s="17">
        <v>44749</v>
      </c>
      <c r="AI1236" s="17"/>
      <c r="AJ1236" s="17"/>
      <c r="AK1236" s="9" t="s">
        <v>360</v>
      </c>
      <c r="AL1236" s="11">
        <v>735</v>
      </c>
      <c r="AN1236" s="11" t="s">
        <v>2109</v>
      </c>
      <c r="AP1236" s="11"/>
      <c r="AQ1236" s="11"/>
      <c r="AR1236" s="11"/>
      <c r="AW1236" s="17">
        <v>44748</v>
      </c>
      <c r="AX1236" s="9">
        <v>774</v>
      </c>
      <c r="BA1236" s="11">
        <v>735</v>
      </c>
      <c r="BB1236" s="11" t="s">
        <v>1704</v>
      </c>
      <c r="BD1236" s="9"/>
      <c r="CS1236" s="11">
        <f t="shared" si="85"/>
        <v>735</v>
      </c>
      <c r="CT1236" s="22">
        <f t="shared" si="86"/>
        <v>735</v>
      </c>
      <c r="CU1236" s="22">
        <f t="shared" si="84"/>
        <v>0</v>
      </c>
      <c r="CV1236" s="26">
        <f t="shared" si="87"/>
        <v>0</v>
      </c>
    </row>
    <row r="1237" spans="1:100" x14ac:dyDescent="0.2">
      <c r="A1237" s="9" t="s">
        <v>356</v>
      </c>
      <c r="B1237" s="2">
        <v>67</v>
      </c>
      <c r="C1237" s="3" t="s">
        <v>95</v>
      </c>
      <c r="D1237" s="3" t="s">
        <v>96</v>
      </c>
      <c r="E1237" s="2" t="s">
        <v>68</v>
      </c>
      <c r="F1237" s="2">
        <v>11</v>
      </c>
      <c r="G1237" s="2" t="s">
        <v>73</v>
      </c>
      <c r="H1237" s="2">
        <v>1</v>
      </c>
      <c r="I1237" s="8">
        <v>120.73</v>
      </c>
      <c r="J1237" s="8">
        <v>38900</v>
      </c>
      <c r="K1237" s="3">
        <v>0</v>
      </c>
      <c r="L1237" s="3" t="s">
        <v>3</v>
      </c>
      <c r="M1237" s="9" t="s">
        <v>0</v>
      </c>
      <c r="N1237" s="9" t="s">
        <v>29</v>
      </c>
      <c r="O1237" s="9" t="s">
        <v>3513</v>
      </c>
      <c r="P1237" s="30" t="s">
        <v>0</v>
      </c>
      <c r="Q1237" s="9">
        <v>7490745</v>
      </c>
      <c r="R1237" s="9" t="s">
        <v>357</v>
      </c>
      <c r="S1237" s="9" t="s">
        <v>158</v>
      </c>
      <c r="T1237" s="10" t="s">
        <v>73</v>
      </c>
      <c r="U1237" s="10">
        <v>1</v>
      </c>
      <c r="V1237" s="10">
        <v>120.73</v>
      </c>
      <c r="W1237" s="10" t="s">
        <v>710</v>
      </c>
      <c r="X1237" s="17">
        <v>44640</v>
      </c>
      <c r="Y1237" s="17">
        <v>44952</v>
      </c>
      <c r="Z1237" s="19" t="s">
        <v>772</v>
      </c>
      <c r="AA1237" s="210">
        <v>54216</v>
      </c>
      <c r="AB1237" s="27">
        <v>60</v>
      </c>
      <c r="AC1237" s="27">
        <v>4</v>
      </c>
      <c r="AD1237" s="17">
        <v>44953</v>
      </c>
      <c r="AE1237" s="56">
        <v>735</v>
      </c>
      <c r="AF1237" s="56"/>
      <c r="AG1237" s="9" t="s">
        <v>134</v>
      </c>
      <c r="AH1237" s="17">
        <v>44953</v>
      </c>
      <c r="AI1237" s="17"/>
      <c r="AJ1237" s="17"/>
      <c r="AK1237" s="9" t="s">
        <v>2111</v>
      </c>
      <c r="AL1237" s="11">
        <v>735</v>
      </c>
      <c r="AN1237" s="11" t="s">
        <v>2112</v>
      </c>
      <c r="AP1237" s="11"/>
      <c r="AQ1237" s="11"/>
      <c r="AR1237" s="11"/>
      <c r="AW1237" s="42">
        <v>44953</v>
      </c>
      <c r="AX1237" s="36">
        <v>1171</v>
      </c>
      <c r="AY1237" s="36"/>
      <c r="AZ1237" s="36"/>
      <c r="BA1237" s="40">
        <v>735</v>
      </c>
      <c r="BD1237" s="9"/>
      <c r="CS1237" s="11">
        <f t="shared" si="85"/>
        <v>735</v>
      </c>
      <c r="CT1237" s="22">
        <f t="shared" si="86"/>
        <v>735</v>
      </c>
      <c r="CU1237" s="22">
        <f t="shared" si="84"/>
        <v>0</v>
      </c>
      <c r="CV1237" s="26">
        <f t="shared" si="87"/>
        <v>0</v>
      </c>
    </row>
    <row r="1238" spans="1:100" x14ac:dyDescent="0.2">
      <c r="A1238" s="9" t="s">
        <v>356</v>
      </c>
      <c r="B1238" s="2">
        <v>67</v>
      </c>
      <c r="C1238" s="3" t="s">
        <v>95</v>
      </c>
      <c r="D1238" s="3" t="s">
        <v>96</v>
      </c>
      <c r="E1238" s="2" t="s">
        <v>68</v>
      </c>
      <c r="F1238" s="2">
        <v>11</v>
      </c>
      <c r="G1238" s="2" t="s">
        <v>73</v>
      </c>
      <c r="H1238" s="2">
        <v>1</v>
      </c>
      <c r="I1238" s="8">
        <v>120.73</v>
      </c>
      <c r="J1238" s="8">
        <v>38900</v>
      </c>
      <c r="K1238" s="3">
        <v>0</v>
      </c>
      <c r="L1238" s="3" t="s">
        <v>3</v>
      </c>
      <c r="M1238" s="9" t="s">
        <v>0</v>
      </c>
      <c r="N1238" s="9" t="s">
        <v>29</v>
      </c>
      <c r="O1238" s="9" t="s">
        <v>3513</v>
      </c>
      <c r="P1238" s="30" t="s">
        <v>0</v>
      </c>
      <c r="Q1238" s="9">
        <v>7490745</v>
      </c>
      <c r="R1238" s="9" t="s">
        <v>357</v>
      </c>
      <c r="S1238" s="9" t="s">
        <v>158</v>
      </c>
      <c r="T1238" s="10" t="s">
        <v>73</v>
      </c>
      <c r="U1238" s="10">
        <v>1</v>
      </c>
      <c r="V1238" s="10">
        <v>120.73</v>
      </c>
      <c r="W1238" s="10" t="s">
        <v>710</v>
      </c>
      <c r="X1238" s="17">
        <v>44640</v>
      </c>
      <c r="Y1238" s="17">
        <v>44952</v>
      </c>
      <c r="Z1238" s="19" t="s">
        <v>772</v>
      </c>
      <c r="AA1238" s="210">
        <v>54216</v>
      </c>
      <c r="AB1238" s="27">
        <v>60</v>
      </c>
      <c r="AC1238" s="27">
        <v>5</v>
      </c>
      <c r="AD1238" s="17">
        <v>45122</v>
      </c>
      <c r="AE1238" s="56">
        <v>808.5</v>
      </c>
      <c r="AF1238" s="56"/>
      <c r="AP1238" s="11"/>
      <c r="AQ1238" s="11"/>
      <c r="AR1238" s="11"/>
      <c r="AW1238" s="9"/>
      <c r="BD1238" s="9"/>
      <c r="CS1238" s="11">
        <f t="shared" si="85"/>
        <v>0</v>
      </c>
      <c r="CT1238" s="22">
        <f t="shared" si="86"/>
        <v>0</v>
      </c>
      <c r="CU1238" s="22">
        <f t="shared" si="84"/>
        <v>0</v>
      </c>
      <c r="CV1238" s="26">
        <f t="shared" si="87"/>
        <v>808.5</v>
      </c>
    </row>
    <row r="1239" spans="1:100" x14ac:dyDescent="0.2">
      <c r="A1239" s="9" t="s">
        <v>356</v>
      </c>
      <c r="B1239" s="2">
        <v>67</v>
      </c>
      <c r="C1239" s="3" t="s">
        <v>95</v>
      </c>
      <c r="D1239" s="3" t="s">
        <v>96</v>
      </c>
      <c r="E1239" s="2" t="s">
        <v>68</v>
      </c>
      <c r="F1239" s="2">
        <v>11</v>
      </c>
      <c r="G1239" s="2" t="s">
        <v>73</v>
      </c>
      <c r="H1239" s="2">
        <v>1</v>
      </c>
      <c r="I1239" s="8">
        <v>120.73</v>
      </c>
      <c r="J1239" s="8">
        <v>38900</v>
      </c>
      <c r="K1239" s="3">
        <v>0</v>
      </c>
      <c r="L1239" s="3" t="s">
        <v>3</v>
      </c>
      <c r="M1239" s="9" t="s">
        <v>0</v>
      </c>
      <c r="N1239" s="9" t="s">
        <v>29</v>
      </c>
      <c r="O1239" s="9" t="s">
        <v>3513</v>
      </c>
      <c r="P1239" s="30" t="s">
        <v>0</v>
      </c>
      <c r="Q1239" s="9">
        <v>7490745</v>
      </c>
      <c r="R1239" s="9" t="s">
        <v>357</v>
      </c>
      <c r="S1239" s="9" t="s">
        <v>158</v>
      </c>
      <c r="T1239" s="10" t="s">
        <v>73</v>
      </c>
      <c r="U1239" s="10">
        <v>1</v>
      </c>
      <c r="V1239" s="10">
        <v>120.73</v>
      </c>
      <c r="W1239" s="10" t="s">
        <v>710</v>
      </c>
      <c r="X1239" s="17">
        <v>44640</v>
      </c>
      <c r="Y1239" s="17">
        <v>44952</v>
      </c>
      <c r="Z1239" s="19" t="s">
        <v>772</v>
      </c>
      <c r="AA1239" s="210">
        <v>54216</v>
      </c>
      <c r="AB1239" s="27">
        <v>60</v>
      </c>
      <c r="AC1239" s="27">
        <v>6</v>
      </c>
      <c r="AD1239" s="17">
        <v>45153</v>
      </c>
      <c r="AE1239" s="56">
        <v>808.5</v>
      </c>
      <c r="AF1239" s="56"/>
      <c r="AP1239" s="11"/>
      <c r="AQ1239" s="11"/>
      <c r="AR1239" s="11"/>
      <c r="AW1239" s="9"/>
      <c r="BD1239" s="9"/>
      <c r="CS1239" s="11">
        <f t="shared" si="85"/>
        <v>0</v>
      </c>
      <c r="CT1239" s="22">
        <f t="shared" si="86"/>
        <v>0</v>
      </c>
      <c r="CU1239" s="22">
        <f t="shared" si="84"/>
        <v>0</v>
      </c>
      <c r="CV1239" s="26">
        <f t="shared" si="87"/>
        <v>808.5</v>
      </c>
    </row>
    <row r="1240" spans="1:100" x14ac:dyDescent="0.2">
      <c r="A1240" s="9" t="s">
        <v>356</v>
      </c>
      <c r="B1240" s="2">
        <v>67</v>
      </c>
      <c r="C1240" s="3" t="s">
        <v>95</v>
      </c>
      <c r="D1240" s="3" t="s">
        <v>96</v>
      </c>
      <c r="E1240" s="2" t="s">
        <v>68</v>
      </c>
      <c r="F1240" s="2">
        <v>11</v>
      </c>
      <c r="G1240" s="2" t="s">
        <v>73</v>
      </c>
      <c r="H1240" s="2">
        <v>1</v>
      </c>
      <c r="I1240" s="8">
        <v>120.73</v>
      </c>
      <c r="J1240" s="8">
        <v>38900</v>
      </c>
      <c r="K1240" s="3">
        <v>0</v>
      </c>
      <c r="L1240" s="3" t="s">
        <v>3</v>
      </c>
      <c r="M1240" s="9" t="s">
        <v>0</v>
      </c>
      <c r="N1240" s="9" t="s">
        <v>29</v>
      </c>
      <c r="O1240" s="9" t="s">
        <v>3513</v>
      </c>
      <c r="P1240" s="30" t="s">
        <v>0</v>
      </c>
      <c r="Q1240" s="9">
        <v>7490745</v>
      </c>
      <c r="R1240" s="9" t="s">
        <v>357</v>
      </c>
      <c r="S1240" s="9" t="s">
        <v>158</v>
      </c>
      <c r="T1240" s="10" t="s">
        <v>73</v>
      </c>
      <c r="U1240" s="10">
        <v>1</v>
      </c>
      <c r="V1240" s="10">
        <v>120.73</v>
      </c>
      <c r="W1240" s="10" t="s">
        <v>710</v>
      </c>
      <c r="X1240" s="17">
        <v>44640</v>
      </c>
      <c r="Y1240" s="17">
        <v>44952</v>
      </c>
      <c r="Z1240" s="19" t="s">
        <v>772</v>
      </c>
      <c r="AA1240" s="210">
        <v>54216</v>
      </c>
      <c r="AB1240" s="27">
        <v>60</v>
      </c>
      <c r="AC1240" s="27">
        <v>7</v>
      </c>
      <c r="AD1240" s="17">
        <v>45184</v>
      </c>
      <c r="AE1240" s="56">
        <v>808.5</v>
      </c>
      <c r="AF1240" s="56"/>
      <c r="AP1240" s="11"/>
      <c r="AQ1240" s="11"/>
      <c r="AR1240" s="11"/>
      <c r="AW1240" s="9"/>
      <c r="BD1240" s="9"/>
      <c r="CS1240" s="11">
        <f t="shared" si="85"/>
        <v>0</v>
      </c>
      <c r="CT1240" s="22">
        <f t="shared" si="86"/>
        <v>0</v>
      </c>
      <c r="CU1240" s="22">
        <f t="shared" si="84"/>
        <v>0</v>
      </c>
      <c r="CV1240" s="26">
        <f t="shared" si="87"/>
        <v>808.5</v>
      </c>
    </row>
    <row r="1241" spans="1:100" x14ac:dyDescent="0.2">
      <c r="A1241" s="9" t="s">
        <v>356</v>
      </c>
      <c r="B1241" s="2">
        <v>67</v>
      </c>
      <c r="C1241" s="3" t="s">
        <v>95</v>
      </c>
      <c r="D1241" s="3" t="s">
        <v>96</v>
      </c>
      <c r="E1241" s="2" t="s">
        <v>68</v>
      </c>
      <c r="F1241" s="2">
        <v>11</v>
      </c>
      <c r="G1241" s="2" t="s">
        <v>73</v>
      </c>
      <c r="H1241" s="2">
        <v>1</v>
      </c>
      <c r="I1241" s="8">
        <v>120.73</v>
      </c>
      <c r="J1241" s="8">
        <v>38900</v>
      </c>
      <c r="K1241" s="3">
        <v>0</v>
      </c>
      <c r="L1241" s="3" t="s">
        <v>3</v>
      </c>
      <c r="M1241" s="9" t="s">
        <v>0</v>
      </c>
      <c r="N1241" s="9" t="s">
        <v>29</v>
      </c>
      <c r="O1241" s="9" t="s">
        <v>3513</v>
      </c>
      <c r="P1241" s="30" t="s">
        <v>0</v>
      </c>
      <c r="Q1241" s="9">
        <v>7490745</v>
      </c>
      <c r="R1241" s="9" t="s">
        <v>357</v>
      </c>
      <c r="S1241" s="9" t="s">
        <v>158</v>
      </c>
      <c r="T1241" s="10" t="s">
        <v>73</v>
      </c>
      <c r="U1241" s="10">
        <v>1</v>
      </c>
      <c r="V1241" s="10">
        <v>120.73</v>
      </c>
      <c r="W1241" s="10" t="s">
        <v>710</v>
      </c>
      <c r="X1241" s="17">
        <v>44640</v>
      </c>
      <c r="Y1241" s="17">
        <v>44952</v>
      </c>
      <c r="Z1241" s="19" t="s">
        <v>772</v>
      </c>
      <c r="AA1241" s="210">
        <v>54216</v>
      </c>
      <c r="AB1241" s="27">
        <v>60</v>
      </c>
      <c r="AC1241" s="27">
        <v>8</v>
      </c>
      <c r="AD1241" s="17">
        <v>45214</v>
      </c>
      <c r="AE1241" s="56">
        <v>808.5</v>
      </c>
      <c r="AF1241" s="56"/>
      <c r="AP1241" s="11"/>
      <c r="AQ1241" s="11"/>
      <c r="AR1241" s="11"/>
      <c r="AW1241" s="9"/>
      <c r="BD1241" s="9"/>
      <c r="CS1241" s="11">
        <f t="shared" si="85"/>
        <v>0</v>
      </c>
      <c r="CT1241" s="22">
        <f t="shared" si="86"/>
        <v>0</v>
      </c>
      <c r="CU1241" s="22">
        <f t="shared" si="84"/>
        <v>0</v>
      </c>
      <c r="CV1241" s="26">
        <f t="shared" si="87"/>
        <v>808.5</v>
      </c>
    </row>
    <row r="1242" spans="1:100" x14ac:dyDescent="0.2">
      <c r="A1242" s="9" t="s">
        <v>356</v>
      </c>
      <c r="B1242" s="2">
        <v>67</v>
      </c>
      <c r="C1242" s="3" t="s">
        <v>95</v>
      </c>
      <c r="D1242" s="3" t="s">
        <v>96</v>
      </c>
      <c r="E1242" s="2" t="s">
        <v>68</v>
      </c>
      <c r="F1242" s="2">
        <v>11</v>
      </c>
      <c r="G1242" s="2" t="s">
        <v>73</v>
      </c>
      <c r="H1242" s="2">
        <v>1</v>
      </c>
      <c r="I1242" s="8">
        <v>120.73</v>
      </c>
      <c r="J1242" s="8">
        <v>38900</v>
      </c>
      <c r="K1242" s="3">
        <v>0</v>
      </c>
      <c r="L1242" s="3" t="s">
        <v>3</v>
      </c>
      <c r="M1242" s="9" t="s">
        <v>0</v>
      </c>
      <c r="N1242" s="9" t="s">
        <v>29</v>
      </c>
      <c r="O1242" s="9" t="s">
        <v>3513</v>
      </c>
      <c r="P1242" s="30" t="s">
        <v>0</v>
      </c>
      <c r="Q1242" s="9">
        <v>7490745</v>
      </c>
      <c r="R1242" s="9" t="s">
        <v>357</v>
      </c>
      <c r="S1242" s="9" t="s">
        <v>158</v>
      </c>
      <c r="T1242" s="10" t="s">
        <v>73</v>
      </c>
      <c r="U1242" s="10">
        <v>1</v>
      </c>
      <c r="V1242" s="10">
        <v>120.73</v>
      </c>
      <c r="W1242" s="10" t="s">
        <v>710</v>
      </c>
      <c r="X1242" s="17">
        <v>44640</v>
      </c>
      <c r="Y1242" s="17">
        <v>44952</v>
      </c>
      <c r="Z1242" s="19" t="s">
        <v>772</v>
      </c>
      <c r="AA1242" s="210">
        <v>54216</v>
      </c>
      <c r="AB1242" s="27">
        <v>60</v>
      </c>
      <c r="AC1242" s="27">
        <v>9</v>
      </c>
      <c r="AD1242" s="17">
        <v>45245</v>
      </c>
      <c r="AE1242" s="56">
        <v>808.5</v>
      </c>
      <c r="AF1242" s="56"/>
      <c r="AP1242" s="11"/>
      <c r="AQ1242" s="11"/>
      <c r="AR1242" s="11"/>
      <c r="AW1242" s="9"/>
      <c r="BD1242" s="9"/>
      <c r="CS1242" s="11">
        <f t="shared" si="85"/>
        <v>0</v>
      </c>
      <c r="CT1242" s="22">
        <f t="shared" si="86"/>
        <v>0</v>
      </c>
      <c r="CU1242" s="22">
        <f t="shared" si="84"/>
        <v>0</v>
      </c>
      <c r="CV1242" s="26">
        <f t="shared" si="87"/>
        <v>808.5</v>
      </c>
    </row>
    <row r="1243" spans="1:100" x14ac:dyDescent="0.2">
      <c r="A1243" s="9" t="s">
        <v>356</v>
      </c>
      <c r="B1243" s="2">
        <v>67</v>
      </c>
      <c r="C1243" s="3" t="s">
        <v>95</v>
      </c>
      <c r="D1243" s="3" t="s">
        <v>96</v>
      </c>
      <c r="E1243" s="2" t="s">
        <v>68</v>
      </c>
      <c r="F1243" s="2">
        <v>11</v>
      </c>
      <c r="G1243" s="2" t="s">
        <v>73</v>
      </c>
      <c r="H1243" s="2">
        <v>1</v>
      </c>
      <c r="I1243" s="8">
        <v>120.73</v>
      </c>
      <c r="J1243" s="8">
        <v>38900</v>
      </c>
      <c r="K1243" s="3">
        <v>0</v>
      </c>
      <c r="L1243" s="3" t="s">
        <v>3</v>
      </c>
      <c r="M1243" s="9" t="s">
        <v>0</v>
      </c>
      <c r="N1243" s="9">
        <v>9799602</v>
      </c>
      <c r="O1243" s="9" t="s">
        <v>3513</v>
      </c>
      <c r="P1243" s="30" t="s">
        <v>0</v>
      </c>
      <c r="Q1243" s="9">
        <v>7490745</v>
      </c>
      <c r="R1243" s="9" t="s">
        <v>357</v>
      </c>
      <c r="S1243" s="9" t="s">
        <v>158</v>
      </c>
      <c r="T1243" s="10" t="s">
        <v>73</v>
      </c>
      <c r="U1243" s="10">
        <v>1</v>
      </c>
      <c r="V1243" s="10">
        <v>120.73</v>
      </c>
      <c r="W1243" s="10" t="s">
        <v>710</v>
      </c>
      <c r="X1243" s="17">
        <v>44640</v>
      </c>
      <c r="Y1243" s="17">
        <v>44952</v>
      </c>
      <c r="Z1243" s="19" t="s">
        <v>772</v>
      </c>
      <c r="AA1243" s="210">
        <v>54216</v>
      </c>
      <c r="AB1243" s="27">
        <v>60</v>
      </c>
      <c r="AC1243" s="27">
        <v>10</v>
      </c>
      <c r="AD1243" s="17">
        <v>45275</v>
      </c>
      <c r="AE1243" s="56">
        <v>808.5</v>
      </c>
      <c r="AF1243" s="56"/>
      <c r="AP1243" s="11"/>
      <c r="AQ1243" s="11"/>
      <c r="AR1243" s="11"/>
      <c r="AW1243" s="9"/>
      <c r="BD1243" s="9"/>
      <c r="CS1243" s="11">
        <f t="shared" si="85"/>
        <v>0</v>
      </c>
      <c r="CT1243" s="22">
        <f t="shared" si="86"/>
        <v>0</v>
      </c>
      <c r="CU1243" s="22">
        <f t="shared" si="84"/>
        <v>0</v>
      </c>
      <c r="CV1243" s="26">
        <f t="shared" si="87"/>
        <v>808.5</v>
      </c>
    </row>
    <row r="1244" spans="1:100" x14ac:dyDescent="0.2">
      <c r="A1244" s="9" t="s">
        <v>356</v>
      </c>
      <c r="B1244" s="2">
        <v>67</v>
      </c>
      <c r="C1244" s="3" t="s">
        <v>95</v>
      </c>
      <c r="D1244" s="3" t="s">
        <v>96</v>
      </c>
      <c r="E1244" s="2" t="s">
        <v>68</v>
      </c>
      <c r="F1244" s="2">
        <v>11</v>
      </c>
      <c r="G1244" s="2" t="s">
        <v>73</v>
      </c>
      <c r="H1244" s="2">
        <v>1</v>
      </c>
      <c r="I1244" s="8">
        <v>120.73</v>
      </c>
      <c r="J1244" s="8">
        <v>38900</v>
      </c>
      <c r="K1244" s="3">
        <v>0</v>
      </c>
      <c r="L1244" s="3" t="s">
        <v>3</v>
      </c>
      <c r="M1244" s="9" t="s">
        <v>0</v>
      </c>
      <c r="N1244" s="9" t="s">
        <v>29</v>
      </c>
      <c r="O1244" s="9" t="s">
        <v>3513</v>
      </c>
      <c r="P1244" s="30" t="s">
        <v>0</v>
      </c>
      <c r="Q1244" s="9">
        <v>7490745</v>
      </c>
      <c r="R1244" s="9" t="s">
        <v>357</v>
      </c>
      <c r="S1244" s="9" t="s">
        <v>158</v>
      </c>
      <c r="T1244" s="10" t="s">
        <v>73</v>
      </c>
      <c r="U1244" s="10">
        <v>1</v>
      </c>
      <c r="V1244" s="10">
        <v>120.73</v>
      </c>
      <c r="W1244" s="10" t="s">
        <v>710</v>
      </c>
      <c r="X1244" s="17">
        <v>44640</v>
      </c>
      <c r="Y1244" s="17">
        <v>44952</v>
      </c>
      <c r="Z1244" s="19" t="s">
        <v>772</v>
      </c>
      <c r="AA1244" s="210">
        <v>54216</v>
      </c>
      <c r="AB1244" s="27">
        <v>60</v>
      </c>
      <c r="AC1244" s="27">
        <v>11</v>
      </c>
      <c r="AD1244" s="17">
        <v>45306</v>
      </c>
      <c r="AE1244" s="56">
        <v>808.5</v>
      </c>
      <c r="AF1244" s="56"/>
      <c r="AP1244" s="11"/>
      <c r="AQ1244" s="11"/>
      <c r="AR1244" s="11"/>
      <c r="AW1244" s="9"/>
      <c r="BD1244" s="9"/>
      <c r="CS1244" s="11">
        <f t="shared" si="85"/>
        <v>0</v>
      </c>
      <c r="CT1244" s="22">
        <f t="shared" si="86"/>
        <v>0</v>
      </c>
      <c r="CU1244" s="22">
        <f t="shared" ref="CU1244:CU1307" si="88">+CS1244-CT1244</f>
        <v>0</v>
      </c>
      <c r="CV1244" s="26">
        <f t="shared" si="87"/>
        <v>808.5</v>
      </c>
    </row>
    <row r="1245" spans="1:100" x14ac:dyDescent="0.2">
      <c r="A1245" s="9" t="s">
        <v>356</v>
      </c>
      <c r="B1245" s="2">
        <v>67</v>
      </c>
      <c r="C1245" s="3" t="s">
        <v>95</v>
      </c>
      <c r="D1245" s="3" t="s">
        <v>96</v>
      </c>
      <c r="E1245" s="2" t="s">
        <v>68</v>
      </c>
      <c r="F1245" s="2">
        <v>11</v>
      </c>
      <c r="G1245" s="2" t="s">
        <v>73</v>
      </c>
      <c r="H1245" s="2">
        <v>1</v>
      </c>
      <c r="I1245" s="8">
        <v>120.73</v>
      </c>
      <c r="J1245" s="8">
        <v>38900</v>
      </c>
      <c r="K1245" s="3">
        <v>0</v>
      </c>
      <c r="L1245" s="3" t="s">
        <v>3</v>
      </c>
      <c r="M1245" s="9" t="s">
        <v>0</v>
      </c>
      <c r="N1245" s="9" t="s">
        <v>29</v>
      </c>
      <c r="O1245" s="9" t="s">
        <v>3513</v>
      </c>
      <c r="P1245" s="30" t="s">
        <v>0</v>
      </c>
      <c r="Q1245" s="9">
        <v>7490745</v>
      </c>
      <c r="R1245" s="9" t="s">
        <v>357</v>
      </c>
      <c r="S1245" s="9" t="s">
        <v>158</v>
      </c>
      <c r="T1245" s="10" t="s">
        <v>73</v>
      </c>
      <c r="U1245" s="10">
        <v>1</v>
      </c>
      <c r="V1245" s="10">
        <v>120.73</v>
      </c>
      <c r="W1245" s="10" t="s">
        <v>710</v>
      </c>
      <c r="X1245" s="17">
        <v>44640</v>
      </c>
      <c r="Y1245" s="17">
        <v>44952</v>
      </c>
      <c r="Z1245" s="19" t="s">
        <v>772</v>
      </c>
      <c r="AA1245" s="210">
        <v>54216</v>
      </c>
      <c r="AB1245" s="27">
        <v>60</v>
      </c>
      <c r="AC1245" s="27">
        <v>12</v>
      </c>
      <c r="AD1245" s="17">
        <v>45337</v>
      </c>
      <c r="AE1245" s="56">
        <v>808.5</v>
      </c>
      <c r="AF1245" s="56"/>
      <c r="AP1245" s="11"/>
      <c r="AQ1245" s="11"/>
      <c r="AR1245" s="11"/>
      <c r="AW1245" s="9"/>
      <c r="BD1245" s="9"/>
      <c r="CS1245" s="11">
        <f t="shared" si="85"/>
        <v>0</v>
      </c>
      <c r="CT1245" s="22">
        <f t="shared" si="86"/>
        <v>0</v>
      </c>
      <c r="CU1245" s="22">
        <f t="shared" si="88"/>
        <v>0</v>
      </c>
      <c r="CV1245" s="26">
        <f t="shared" si="87"/>
        <v>808.5</v>
      </c>
    </row>
    <row r="1246" spans="1:100" x14ac:dyDescent="0.2">
      <c r="A1246" s="9" t="s">
        <v>356</v>
      </c>
      <c r="B1246" s="2">
        <v>67</v>
      </c>
      <c r="C1246" s="3" t="s">
        <v>95</v>
      </c>
      <c r="D1246" s="3" t="s">
        <v>96</v>
      </c>
      <c r="E1246" s="2" t="s">
        <v>68</v>
      </c>
      <c r="F1246" s="2">
        <v>11</v>
      </c>
      <c r="G1246" s="2" t="s">
        <v>73</v>
      </c>
      <c r="H1246" s="2">
        <v>1</v>
      </c>
      <c r="I1246" s="8">
        <v>120.73</v>
      </c>
      <c r="J1246" s="8">
        <v>38900</v>
      </c>
      <c r="K1246" s="3">
        <v>0</v>
      </c>
      <c r="L1246" s="3" t="s">
        <v>3</v>
      </c>
      <c r="M1246" s="9" t="s">
        <v>0</v>
      </c>
      <c r="N1246" s="9" t="s">
        <v>29</v>
      </c>
      <c r="O1246" s="9" t="s">
        <v>3513</v>
      </c>
      <c r="P1246" s="30" t="s">
        <v>0</v>
      </c>
      <c r="Q1246" s="9">
        <v>7490745</v>
      </c>
      <c r="R1246" s="9" t="s">
        <v>357</v>
      </c>
      <c r="S1246" s="9" t="s">
        <v>158</v>
      </c>
      <c r="T1246" s="10" t="s">
        <v>73</v>
      </c>
      <c r="U1246" s="10">
        <v>1</v>
      </c>
      <c r="V1246" s="10">
        <v>120.73</v>
      </c>
      <c r="W1246" s="10" t="s">
        <v>710</v>
      </c>
      <c r="X1246" s="17">
        <v>44640</v>
      </c>
      <c r="Y1246" s="17">
        <v>44952</v>
      </c>
      <c r="Z1246" s="19" t="s">
        <v>772</v>
      </c>
      <c r="AA1246" s="210">
        <v>54216</v>
      </c>
      <c r="AB1246" s="27">
        <v>60</v>
      </c>
      <c r="AC1246" s="27">
        <v>13</v>
      </c>
      <c r="AD1246" s="17">
        <v>45366</v>
      </c>
      <c r="AE1246" s="56">
        <v>808.5</v>
      </c>
      <c r="AF1246" s="56"/>
      <c r="AP1246" s="11"/>
      <c r="AQ1246" s="11"/>
      <c r="AR1246" s="11"/>
      <c r="AW1246" s="9"/>
      <c r="BD1246" s="9"/>
      <c r="CS1246" s="11">
        <f t="shared" si="85"/>
        <v>0</v>
      </c>
      <c r="CT1246" s="22">
        <f t="shared" si="86"/>
        <v>0</v>
      </c>
      <c r="CU1246" s="22">
        <f t="shared" si="88"/>
        <v>0</v>
      </c>
      <c r="CV1246" s="26">
        <f t="shared" si="87"/>
        <v>808.5</v>
      </c>
    </row>
    <row r="1247" spans="1:100" x14ac:dyDescent="0.2">
      <c r="A1247" s="9" t="s">
        <v>356</v>
      </c>
      <c r="B1247" s="2">
        <v>67</v>
      </c>
      <c r="C1247" s="3" t="s">
        <v>95</v>
      </c>
      <c r="D1247" s="3" t="s">
        <v>96</v>
      </c>
      <c r="E1247" s="2" t="s">
        <v>68</v>
      </c>
      <c r="F1247" s="2">
        <v>11</v>
      </c>
      <c r="G1247" s="2" t="s">
        <v>73</v>
      </c>
      <c r="H1247" s="2">
        <v>1</v>
      </c>
      <c r="I1247" s="8">
        <v>120.73</v>
      </c>
      <c r="J1247" s="8">
        <v>38900</v>
      </c>
      <c r="K1247" s="3">
        <v>0</v>
      </c>
      <c r="L1247" s="3" t="s">
        <v>3</v>
      </c>
      <c r="M1247" s="9" t="s">
        <v>0</v>
      </c>
      <c r="N1247" s="9" t="s">
        <v>29</v>
      </c>
      <c r="O1247" s="9" t="s">
        <v>3513</v>
      </c>
      <c r="P1247" s="30" t="s">
        <v>0</v>
      </c>
      <c r="Q1247" s="9">
        <v>7490745</v>
      </c>
      <c r="R1247" s="9" t="s">
        <v>357</v>
      </c>
      <c r="S1247" s="9" t="s">
        <v>158</v>
      </c>
      <c r="T1247" s="10" t="s">
        <v>73</v>
      </c>
      <c r="U1247" s="10">
        <v>1</v>
      </c>
      <c r="V1247" s="10">
        <v>120.73</v>
      </c>
      <c r="W1247" s="10" t="s">
        <v>710</v>
      </c>
      <c r="X1247" s="17">
        <v>44640</v>
      </c>
      <c r="Y1247" s="17">
        <v>44952</v>
      </c>
      <c r="Z1247" s="19" t="s">
        <v>772</v>
      </c>
      <c r="AA1247" s="210">
        <v>54216</v>
      </c>
      <c r="AB1247" s="27">
        <v>60</v>
      </c>
      <c r="AC1247" s="27">
        <v>14</v>
      </c>
      <c r="AD1247" s="17">
        <v>45397</v>
      </c>
      <c r="AE1247" s="56">
        <v>808.5</v>
      </c>
      <c r="AF1247" s="56"/>
      <c r="AP1247" s="11"/>
      <c r="AQ1247" s="11"/>
      <c r="AR1247" s="11"/>
      <c r="AW1247" s="9"/>
      <c r="BD1247" s="9"/>
      <c r="CS1247" s="11">
        <f t="shared" si="85"/>
        <v>0</v>
      </c>
      <c r="CT1247" s="22">
        <f t="shared" si="86"/>
        <v>0</v>
      </c>
      <c r="CU1247" s="22">
        <f t="shared" si="88"/>
        <v>0</v>
      </c>
      <c r="CV1247" s="26">
        <f t="shared" si="87"/>
        <v>808.5</v>
      </c>
    </row>
    <row r="1248" spans="1:100" x14ac:dyDescent="0.2">
      <c r="A1248" s="9" t="s">
        <v>356</v>
      </c>
      <c r="B1248" s="2">
        <v>67</v>
      </c>
      <c r="C1248" s="3" t="s">
        <v>95</v>
      </c>
      <c r="D1248" s="3" t="s">
        <v>96</v>
      </c>
      <c r="E1248" s="2" t="s">
        <v>68</v>
      </c>
      <c r="F1248" s="2">
        <v>11</v>
      </c>
      <c r="G1248" s="2" t="s">
        <v>73</v>
      </c>
      <c r="H1248" s="2">
        <v>1</v>
      </c>
      <c r="I1248" s="8">
        <v>120.73</v>
      </c>
      <c r="J1248" s="8">
        <v>38900</v>
      </c>
      <c r="K1248" s="3">
        <v>0</v>
      </c>
      <c r="L1248" s="3" t="s">
        <v>3</v>
      </c>
      <c r="M1248" s="9" t="s">
        <v>0</v>
      </c>
      <c r="N1248" s="9" t="s">
        <v>29</v>
      </c>
      <c r="O1248" s="9" t="s">
        <v>3513</v>
      </c>
      <c r="P1248" s="30" t="s">
        <v>0</v>
      </c>
      <c r="Q1248" s="9">
        <v>7490745</v>
      </c>
      <c r="R1248" s="9" t="s">
        <v>357</v>
      </c>
      <c r="S1248" s="9" t="s">
        <v>158</v>
      </c>
      <c r="T1248" s="10" t="s">
        <v>73</v>
      </c>
      <c r="U1248" s="10">
        <v>1</v>
      </c>
      <c r="V1248" s="10">
        <v>120.73</v>
      </c>
      <c r="W1248" s="10" t="s">
        <v>710</v>
      </c>
      <c r="X1248" s="17">
        <v>44640</v>
      </c>
      <c r="Y1248" s="17">
        <v>44952</v>
      </c>
      <c r="Z1248" s="19" t="s">
        <v>772</v>
      </c>
      <c r="AA1248" s="210">
        <v>54216</v>
      </c>
      <c r="AB1248" s="27">
        <v>60</v>
      </c>
      <c r="AC1248" s="27">
        <v>15</v>
      </c>
      <c r="AD1248" s="17">
        <v>45427</v>
      </c>
      <c r="AE1248" s="56">
        <v>808.5</v>
      </c>
      <c r="AF1248" s="56"/>
      <c r="AP1248" s="11"/>
      <c r="AQ1248" s="11"/>
      <c r="AR1248" s="11"/>
      <c r="AW1248" s="9"/>
      <c r="BD1248" s="9"/>
      <c r="CS1248" s="11">
        <f t="shared" si="85"/>
        <v>0</v>
      </c>
      <c r="CT1248" s="22">
        <f t="shared" si="86"/>
        <v>0</v>
      </c>
      <c r="CU1248" s="22">
        <f t="shared" si="88"/>
        <v>0</v>
      </c>
      <c r="CV1248" s="26">
        <f t="shared" si="87"/>
        <v>808.5</v>
      </c>
    </row>
    <row r="1249" spans="1:100" x14ac:dyDescent="0.2">
      <c r="A1249" s="9" t="s">
        <v>356</v>
      </c>
      <c r="B1249" s="2">
        <v>67</v>
      </c>
      <c r="C1249" s="3" t="s">
        <v>95</v>
      </c>
      <c r="D1249" s="3" t="s">
        <v>96</v>
      </c>
      <c r="E1249" s="2" t="s">
        <v>68</v>
      </c>
      <c r="F1249" s="2">
        <v>11</v>
      </c>
      <c r="G1249" s="2" t="s">
        <v>73</v>
      </c>
      <c r="H1249" s="2">
        <v>1</v>
      </c>
      <c r="I1249" s="8">
        <v>120.73</v>
      </c>
      <c r="J1249" s="8">
        <v>38900</v>
      </c>
      <c r="K1249" s="3">
        <v>0</v>
      </c>
      <c r="L1249" s="3" t="s">
        <v>3</v>
      </c>
      <c r="M1249" s="9" t="s">
        <v>0</v>
      </c>
      <c r="N1249" s="9" t="s">
        <v>29</v>
      </c>
      <c r="O1249" s="9" t="s">
        <v>3513</v>
      </c>
      <c r="P1249" s="30" t="s">
        <v>0</v>
      </c>
      <c r="Q1249" s="9">
        <v>7490745</v>
      </c>
      <c r="R1249" s="9" t="s">
        <v>357</v>
      </c>
      <c r="S1249" s="9" t="s">
        <v>158</v>
      </c>
      <c r="T1249" s="10" t="s">
        <v>73</v>
      </c>
      <c r="U1249" s="10">
        <v>1</v>
      </c>
      <c r="V1249" s="10">
        <v>120.73</v>
      </c>
      <c r="W1249" s="10" t="s">
        <v>710</v>
      </c>
      <c r="X1249" s="17">
        <v>44640</v>
      </c>
      <c r="Y1249" s="17">
        <v>44952</v>
      </c>
      <c r="Z1249" s="19" t="s">
        <v>772</v>
      </c>
      <c r="AA1249" s="210">
        <v>54216</v>
      </c>
      <c r="AB1249" s="27">
        <v>60</v>
      </c>
      <c r="AC1249" s="27">
        <v>16</v>
      </c>
      <c r="AD1249" s="17">
        <v>45458</v>
      </c>
      <c r="AE1249" s="56">
        <v>808.5</v>
      </c>
      <c r="AF1249" s="56"/>
      <c r="AP1249" s="11"/>
      <c r="AQ1249" s="11"/>
      <c r="AR1249" s="11"/>
      <c r="AW1249" s="9"/>
      <c r="BD1249" s="9"/>
      <c r="CS1249" s="11">
        <f t="shared" si="85"/>
        <v>0</v>
      </c>
      <c r="CT1249" s="22">
        <f t="shared" si="86"/>
        <v>0</v>
      </c>
      <c r="CU1249" s="22">
        <f t="shared" si="88"/>
        <v>0</v>
      </c>
      <c r="CV1249" s="26">
        <f t="shared" si="87"/>
        <v>808.5</v>
      </c>
    </row>
    <row r="1250" spans="1:100" x14ac:dyDescent="0.2">
      <c r="A1250" s="9" t="s">
        <v>356</v>
      </c>
      <c r="B1250" s="2">
        <v>67</v>
      </c>
      <c r="C1250" s="3" t="s">
        <v>95</v>
      </c>
      <c r="D1250" s="3" t="s">
        <v>96</v>
      </c>
      <c r="E1250" s="2" t="s">
        <v>68</v>
      </c>
      <c r="F1250" s="2">
        <v>11</v>
      </c>
      <c r="G1250" s="2" t="s">
        <v>73</v>
      </c>
      <c r="H1250" s="2">
        <v>1</v>
      </c>
      <c r="I1250" s="8">
        <v>120.73</v>
      </c>
      <c r="J1250" s="8">
        <v>38900</v>
      </c>
      <c r="K1250" s="3">
        <v>0</v>
      </c>
      <c r="L1250" s="3" t="s">
        <v>3</v>
      </c>
      <c r="M1250" s="9" t="s">
        <v>0</v>
      </c>
      <c r="N1250" s="9" t="s">
        <v>29</v>
      </c>
      <c r="O1250" s="9" t="s">
        <v>3513</v>
      </c>
      <c r="P1250" s="30" t="s">
        <v>0</v>
      </c>
      <c r="Q1250" s="9">
        <v>7490745</v>
      </c>
      <c r="R1250" s="9" t="s">
        <v>357</v>
      </c>
      <c r="S1250" s="9" t="s">
        <v>158</v>
      </c>
      <c r="T1250" s="10" t="s">
        <v>73</v>
      </c>
      <c r="U1250" s="10">
        <v>1</v>
      </c>
      <c r="V1250" s="10">
        <v>120.73</v>
      </c>
      <c r="W1250" s="10" t="s">
        <v>710</v>
      </c>
      <c r="X1250" s="17">
        <v>44640</v>
      </c>
      <c r="Y1250" s="17">
        <v>44952</v>
      </c>
      <c r="Z1250" s="19" t="s">
        <v>772</v>
      </c>
      <c r="AA1250" s="210">
        <v>54216</v>
      </c>
      <c r="AB1250" s="27">
        <v>60</v>
      </c>
      <c r="AC1250" s="27">
        <v>17</v>
      </c>
      <c r="AD1250" s="17">
        <v>45488</v>
      </c>
      <c r="AE1250" s="56">
        <v>808.5</v>
      </c>
      <c r="AF1250" s="56"/>
      <c r="AP1250" s="11"/>
      <c r="AQ1250" s="11"/>
      <c r="AR1250" s="11"/>
      <c r="AW1250" s="9"/>
      <c r="BD1250" s="9"/>
      <c r="CS1250" s="11">
        <f t="shared" si="85"/>
        <v>0</v>
      </c>
      <c r="CT1250" s="22">
        <f t="shared" si="86"/>
        <v>0</v>
      </c>
      <c r="CU1250" s="22">
        <f t="shared" si="88"/>
        <v>0</v>
      </c>
      <c r="CV1250" s="26">
        <f t="shared" si="87"/>
        <v>808.5</v>
      </c>
    </row>
    <row r="1251" spans="1:100" x14ac:dyDescent="0.2">
      <c r="A1251" s="9" t="s">
        <v>356</v>
      </c>
      <c r="B1251" s="2">
        <v>67</v>
      </c>
      <c r="C1251" s="3" t="s">
        <v>95</v>
      </c>
      <c r="D1251" s="3" t="s">
        <v>96</v>
      </c>
      <c r="E1251" s="2" t="s">
        <v>68</v>
      </c>
      <c r="F1251" s="2">
        <v>11</v>
      </c>
      <c r="G1251" s="2" t="s">
        <v>73</v>
      </c>
      <c r="H1251" s="2">
        <v>1</v>
      </c>
      <c r="I1251" s="8">
        <v>120.73</v>
      </c>
      <c r="J1251" s="8">
        <v>38900</v>
      </c>
      <c r="K1251" s="3">
        <v>0</v>
      </c>
      <c r="L1251" s="3" t="s">
        <v>3</v>
      </c>
      <c r="M1251" s="9" t="s">
        <v>0</v>
      </c>
      <c r="N1251" s="9" t="s">
        <v>29</v>
      </c>
      <c r="O1251" s="9" t="s">
        <v>3513</v>
      </c>
      <c r="P1251" s="30" t="s">
        <v>0</v>
      </c>
      <c r="Q1251" s="9">
        <v>7490745</v>
      </c>
      <c r="R1251" s="9" t="s">
        <v>357</v>
      </c>
      <c r="S1251" s="9" t="s">
        <v>158</v>
      </c>
      <c r="T1251" s="10" t="s">
        <v>73</v>
      </c>
      <c r="U1251" s="10">
        <v>1</v>
      </c>
      <c r="V1251" s="10">
        <v>120.73</v>
      </c>
      <c r="W1251" s="10" t="s">
        <v>710</v>
      </c>
      <c r="X1251" s="17">
        <v>44640</v>
      </c>
      <c r="Y1251" s="17">
        <v>44952</v>
      </c>
      <c r="Z1251" s="19" t="s">
        <v>772</v>
      </c>
      <c r="AA1251" s="210">
        <v>54216</v>
      </c>
      <c r="AB1251" s="27">
        <v>60</v>
      </c>
      <c r="AC1251" s="27">
        <v>18</v>
      </c>
      <c r="AD1251" s="17">
        <v>45519</v>
      </c>
      <c r="AE1251" s="56">
        <v>808.5</v>
      </c>
      <c r="AF1251" s="56"/>
      <c r="AP1251" s="11"/>
      <c r="AQ1251" s="11"/>
      <c r="AR1251" s="11"/>
      <c r="AW1251" s="9"/>
      <c r="BD1251" s="9"/>
      <c r="CS1251" s="11">
        <f t="shared" si="85"/>
        <v>0</v>
      </c>
      <c r="CT1251" s="22">
        <f t="shared" si="86"/>
        <v>0</v>
      </c>
      <c r="CU1251" s="22">
        <f t="shared" si="88"/>
        <v>0</v>
      </c>
      <c r="CV1251" s="26">
        <f t="shared" si="87"/>
        <v>808.5</v>
      </c>
    </row>
    <row r="1252" spans="1:100" x14ac:dyDescent="0.2">
      <c r="A1252" s="9" t="s">
        <v>356</v>
      </c>
      <c r="B1252" s="2">
        <v>67</v>
      </c>
      <c r="C1252" s="3" t="s">
        <v>95</v>
      </c>
      <c r="D1252" s="3" t="s">
        <v>96</v>
      </c>
      <c r="E1252" s="2" t="s">
        <v>68</v>
      </c>
      <c r="F1252" s="2">
        <v>11</v>
      </c>
      <c r="G1252" s="2" t="s">
        <v>73</v>
      </c>
      <c r="H1252" s="2">
        <v>1</v>
      </c>
      <c r="I1252" s="8">
        <v>120.73</v>
      </c>
      <c r="J1252" s="8">
        <v>38900</v>
      </c>
      <c r="K1252" s="3">
        <v>0</v>
      </c>
      <c r="L1252" s="3" t="s">
        <v>3</v>
      </c>
      <c r="M1252" s="9" t="s">
        <v>0</v>
      </c>
      <c r="N1252" s="9" t="s">
        <v>29</v>
      </c>
      <c r="O1252" s="9" t="s">
        <v>3513</v>
      </c>
      <c r="P1252" s="30" t="s">
        <v>0</v>
      </c>
      <c r="Q1252" s="9">
        <v>7490745</v>
      </c>
      <c r="R1252" s="9" t="s">
        <v>357</v>
      </c>
      <c r="S1252" s="9" t="s">
        <v>158</v>
      </c>
      <c r="T1252" s="10" t="s">
        <v>73</v>
      </c>
      <c r="U1252" s="10">
        <v>1</v>
      </c>
      <c r="V1252" s="10">
        <v>120.73</v>
      </c>
      <c r="W1252" s="10" t="s">
        <v>710</v>
      </c>
      <c r="X1252" s="17">
        <v>44640</v>
      </c>
      <c r="Y1252" s="17">
        <v>44952</v>
      </c>
      <c r="Z1252" s="19" t="s">
        <v>772</v>
      </c>
      <c r="AA1252" s="210">
        <v>54216</v>
      </c>
      <c r="AB1252" s="27">
        <v>60</v>
      </c>
      <c r="AC1252" s="27">
        <v>19</v>
      </c>
      <c r="AD1252" s="17">
        <v>45550</v>
      </c>
      <c r="AE1252" s="56">
        <v>808.5</v>
      </c>
      <c r="AF1252" s="56"/>
      <c r="AP1252" s="11"/>
      <c r="AQ1252" s="11"/>
      <c r="AR1252" s="11"/>
      <c r="AW1252" s="9"/>
      <c r="BD1252" s="9"/>
      <c r="CS1252" s="11">
        <f t="shared" si="85"/>
        <v>0</v>
      </c>
      <c r="CT1252" s="22">
        <f t="shared" si="86"/>
        <v>0</v>
      </c>
      <c r="CU1252" s="22">
        <f t="shared" si="88"/>
        <v>0</v>
      </c>
      <c r="CV1252" s="26">
        <f t="shared" si="87"/>
        <v>808.5</v>
      </c>
    </row>
    <row r="1253" spans="1:100" x14ac:dyDescent="0.2">
      <c r="A1253" s="9" t="s">
        <v>356</v>
      </c>
      <c r="B1253" s="2">
        <v>67</v>
      </c>
      <c r="C1253" s="3" t="s">
        <v>95</v>
      </c>
      <c r="D1253" s="3" t="s">
        <v>96</v>
      </c>
      <c r="E1253" s="2" t="s">
        <v>68</v>
      </c>
      <c r="F1253" s="2">
        <v>11</v>
      </c>
      <c r="G1253" s="2" t="s">
        <v>73</v>
      </c>
      <c r="H1253" s="2">
        <v>1</v>
      </c>
      <c r="I1253" s="8">
        <v>120.73</v>
      </c>
      <c r="J1253" s="8">
        <v>38900</v>
      </c>
      <c r="K1253" s="3">
        <v>0</v>
      </c>
      <c r="L1253" s="3" t="s">
        <v>3</v>
      </c>
      <c r="M1253" s="9" t="s">
        <v>0</v>
      </c>
      <c r="N1253" s="9" t="s">
        <v>29</v>
      </c>
      <c r="O1253" s="9" t="s">
        <v>3513</v>
      </c>
      <c r="P1253" s="30" t="s">
        <v>0</v>
      </c>
      <c r="Q1253" s="9">
        <v>7490745</v>
      </c>
      <c r="R1253" s="9" t="s">
        <v>357</v>
      </c>
      <c r="S1253" s="9" t="s">
        <v>158</v>
      </c>
      <c r="T1253" s="10" t="s">
        <v>73</v>
      </c>
      <c r="U1253" s="10">
        <v>1</v>
      </c>
      <c r="V1253" s="10">
        <v>120.73</v>
      </c>
      <c r="W1253" s="10" t="s">
        <v>710</v>
      </c>
      <c r="X1253" s="17">
        <v>44640</v>
      </c>
      <c r="Y1253" s="17">
        <v>44952</v>
      </c>
      <c r="Z1253" s="19" t="s">
        <v>772</v>
      </c>
      <c r="AA1253" s="210">
        <v>54216</v>
      </c>
      <c r="AB1253" s="27">
        <v>60</v>
      </c>
      <c r="AC1253" s="27">
        <v>20</v>
      </c>
      <c r="AD1253" s="17">
        <v>45580</v>
      </c>
      <c r="AE1253" s="56">
        <v>808.5</v>
      </c>
      <c r="AF1253" s="56"/>
      <c r="AP1253" s="11"/>
      <c r="AQ1253" s="11"/>
      <c r="AR1253" s="11"/>
      <c r="AW1253" s="9"/>
      <c r="BD1253" s="9"/>
      <c r="CS1253" s="11">
        <f t="shared" si="85"/>
        <v>0</v>
      </c>
      <c r="CT1253" s="22">
        <f t="shared" si="86"/>
        <v>0</v>
      </c>
      <c r="CU1253" s="22">
        <f t="shared" si="88"/>
        <v>0</v>
      </c>
      <c r="CV1253" s="26">
        <f t="shared" si="87"/>
        <v>808.5</v>
      </c>
    </row>
    <row r="1254" spans="1:100" x14ac:dyDescent="0.2">
      <c r="A1254" s="9" t="s">
        <v>356</v>
      </c>
      <c r="B1254" s="2">
        <v>67</v>
      </c>
      <c r="C1254" s="3" t="s">
        <v>95</v>
      </c>
      <c r="D1254" s="3" t="s">
        <v>96</v>
      </c>
      <c r="E1254" s="2" t="s">
        <v>68</v>
      </c>
      <c r="F1254" s="2">
        <v>11</v>
      </c>
      <c r="G1254" s="2" t="s">
        <v>73</v>
      </c>
      <c r="H1254" s="2">
        <v>1</v>
      </c>
      <c r="I1254" s="8">
        <v>120.73</v>
      </c>
      <c r="J1254" s="8">
        <v>38900</v>
      </c>
      <c r="K1254" s="3">
        <v>0</v>
      </c>
      <c r="L1254" s="3" t="s">
        <v>3</v>
      </c>
      <c r="M1254" s="9" t="s">
        <v>0</v>
      </c>
      <c r="N1254" s="9" t="s">
        <v>29</v>
      </c>
      <c r="O1254" s="9" t="s">
        <v>3513</v>
      </c>
      <c r="P1254" s="30" t="s">
        <v>0</v>
      </c>
      <c r="Q1254" s="9">
        <v>7490745</v>
      </c>
      <c r="R1254" s="9" t="s">
        <v>357</v>
      </c>
      <c r="S1254" s="9" t="s">
        <v>158</v>
      </c>
      <c r="T1254" s="10" t="s">
        <v>73</v>
      </c>
      <c r="U1254" s="10">
        <v>1</v>
      </c>
      <c r="V1254" s="10">
        <v>120.73</v>
      </c>
      <c r="W1254" s="10" t="s">
        <v>710</v>
      </c>
      <c r="X1254" s="17">
        <v>44640</v>
      </c>
      <c r="Y1254" s="17">
        <v>44952</v>
      </c>
      <c r="Z1254" s="19" t="s">
        <v>772</v>
      </c>
      <c r="AA1254" s="210">
        <v>54216</v>
      </c>
      <c r="AB1254" s="27">
        <v>60</v>
      </c>
      <c r="AC1254" s="27">
        <v>21</v>
      </c>
      <c r="AD1254" s="17">
        <v>45611</v>
      </c>
      <c r="AE1254" s="56">
        <v>808.5</v>
      </c>
      <c r="AF1254" s="56"/>
      <c r="AP1254" s="11"/>
      <c r="AQ1254" s="11"/>
      <c r="AR1254" s="11"/>
      <c r="AW1254" s="9"/>
      <c r="BD1254" s="9"/>
      <c r="CS1254" s="11">
        <f t="shared" si="85"/>
        <v>0</v>
      </c>
      <c r="CT1254" s="22">
        <f t="shared" si="86"/>
        <v>0</v>
      </c>
      <c r="CU1254" s="22">
        <f t="shared" si="88"/>
        <v>0</v>
      </c>
      <c r="CV1254" s="26">
        <f t="shared" si="87"/>
        <v>808.5</v>
      </c>
    </row>
    <row r="1255" spans="1:100" x14ac:dyDescent="0.2">
      <c r="A1255" s="9" t="s">
        <v>356</v>
      </c>
      <c r="B1255" s="2">
        <v>67</v>
      </c>
      <c r="C1255" s="3" t="s">
        <v>95</v>
      </c>
      <c r="D1255" s="3" t="s">
        <v>96</v>
      </c>
      <c r="E1255" s="2" t="s">
        <v>68</v>
      </c>
      <c r="F1255" s="2">
        <v>11</v>
      </c>
      <c r="G1255" s="2" t="s">
        <v>73</v>
      </c>
      <c r="H1255" s="2">
        <v>1</v>
      </c>
      <c r="I1255" s="8">
        <v>120.73</v>
      </c>
      <c r="J1255" s="8">
        <v>38900</v>
      </c>
      <c r="K1255" s="3">
        <v>0</v>
      </c>
      <c r="L1255" s="3" t="s">
        <v>3</v>
      </c>
      <c r="M1255" s="9" t="s">
        <v>0</v>
      </c>
      <c r="N1255" s="9" t="s">
        <v>29</v>
      </c>
      <c r="O1255" s="9" t="s">
        <v>3513</v>
      </c>
      <c r="P1255" s="30" t="s">
        <v>0</v>
      </c>
      <c r="Q1255" s="9">
        <v>7490745</v>
      </c>
      <c r="R1255" s="9" t="s">
        <v>357</v>
      </c>
      <c r="S1255" s="9" t="s">
        <v>158</v>
      </c>
      <c r="T1255" s="10" t="s">
        <v>73</v>
      </c>
      <c r="U1255" s="10">
        <v>1</v>
      </c>
      <c r="V1255" s="10">
        <v>120.73</v>
      </c>
      <c r="W1255" s="10" t="s">
        <v>710</v>
      </c>
      <c r="X1255" s="17">
        <v>44640</v>
      </c>
      <c r="Y1255" s="17">
        <v>44952</v>
      </c>
      <c r="Z1255" s="19" t="s">
        <v>772</v>
      </c>
      <c r="AA1255" s="210">
        <v>54216</v>
      </c>
      <c r="AB1255" s="27">
        <v>60</v>
      </c>
      <c r="AC1255" s="27">
        <v>22</v>
      </c>
      <c r="AD1255" s="17">
        <v>45641</v>
      </c>
      <c r="AE1255" s="56">
        <v>808.5</v>
      </c>
      <c r="AF1255" s="56"/>
      <c r="AP1255" s="11"/>
      <c r="AQ1255" s="11"/>
      <c r="AR1255" s="11"/>
      <c r="AW1255" s="9"/>
      <c r="BD1255" s="9"/>
      <c r="CS1255" s="11">
        <f t="shared" si="85"/>
        <v>0</v>
      </c>
      <c r="CT1255" s="22">
        <f t="shared" si="86"/>
        <v>0</v>
      </c>
      <c r="CU1255" s="22">
        <f t="shared" si="88"/>
        <v>0</v>
      </c>
      <c r="CV1255" s="26">
        <f t="shared" si="87"/>
        <v>808.5</v>
      </c>
    </row>
    <row r="1256" spans="1:100" x14ac:dyDescent="0.2">
      <c r="A1256" s="9" t="s">
        <v>356</v>
      </c>
      <c r="B1256" s="2">
        <v>67</v>
      </c>
      <c r="C1256" s="3" t="s">
        <v>95</v>
      </c>
      <c r="D1256" s="3" t="s">
        <v>96</v>
      </c>
      <c r="E1256" s="2" t="s">
        <v>68</v>
      </c>
      <c r="F1256" s="2">
        <v>11</v>
      </c>
      <c r="G1256" s="2" t="s">
        <v>73</v>
      </c>
      <c r="H1256" s="2">
        <v>1</v>
      </c>
      <c r="I1256" s="8">
        <v>120.73</v>
      </c>
      <c r="J1256" s="8">
        <v>38900</v>
      </c>
      <c r="K1256" s="3">
        <v>0</v>
      </c>
      <c r="L1256" s="3" t="s">
        <v>3</v>
      </c>
      <c r="M1256" s="9" t="s">
        <v>0</v>
      </c>
      <c r="N1256" s="9" t="s">
        <v>29</v>
      </c>
      <c r="O1256" s="9" t="s">
        <v>3513</v>
      </c>
      <c r="P1256" s="30" t="s">
        <v>0</v>
      </c>
      <c r="Q1256" s="9">
        <v>7490745</v>
      </c>
      <c r="R1256" s="9" t="s">
        <v>357</v>
      </c>
      <c r="S1256" s="9" t="s">
        <v>158</v>
      </c>
      <c r="T1256" s="10" t="s">
        <v>73</v>
      </c>
      <c r="U1256" s="10">
        <v>1</v>
      </c>
      <c r="V1256" s="10">
        <v>120.73</v>
      </c>
      <c r="W1256" s="10" t="s">
        <v>710</v>
      </c>
      <c r="X1256" s="17">
        <v>44640</v>
      </c>
      <c r="Y1256" s="17">
        <v>44952</v>
      </c>
      <c r="Z1256" s="19" t="s">
        <v>772</v>
      </c>
      <c r="AA1256" s="210">
        <v>54216</v>
      </c>
      <c r="AB1256" s="27">
        <v>60</v>
      </c>
      <c r="AC1256" s="27">
        <v>23</v>
      </c>
      <c r="AD1256" s="17">
        <v>45672</v>
      </c>
      <c r="AE1256" s="56">
        <v>808.5</v>
      </c>
      <c r="AF1256" s="56"/>
      <c r="AP1256" s="11"/>
      <c r="AQ1256" s="11"/>
      <c r="AR1256" s="11"/>
      <c r="AW1256" s="9"/>
      <c r="BD1256" s="9"/>
      <c r="CS1256" s="11">
        <f t="shared" si="85"/>
        <v>0</v>
      </c>
      <c r="CT1256" s="22">
        <f t="shared" si="86"/>
        <v>0</v>
      </c>
      <c r="CU1256" s="22">
        <f t="shared" si="88"/>
        <v>0</v>
      </c>
      <c r="CV1256" s="26">
        <f t="shared" si="87"/>
        <v>808.5</v>
      </c>
    </row>
    <row r="1257" spans="1:100" x14ac:dyDescent="0.2">
      <c r="A1257" s="9" t="s">
        <v>356</v>
      </c>
      <c r="B1257" s="2">
        <v>67</v>
      </c>
      <c r="C1257" s="3" t="s">
        <v>95</v>
      </c>
      <c r="D1257" s="3" t="s">
        <v>96</v>
      </c>
      <c r="E1257" s="2" t="s">
        <v>68</v>
      </c>
      <c r="F1257" s="2">
        <v>11</v>
      </c>
      <c r="G1257" s="2" t="s">
        <v>73</v>
      </c>
      <c r="H1257" s="2">
        <v>1</v>
      </c>
      <c r="I1257" s="8">
        <v>120.73</v>
      </c>
      <c r="J1257" s="8">
        <v>38900</v>
      </c>
      <c r="K1257" s="3">
        <v>0</v>
      </c>
      <c r="L1257" s="3" t="s">
        <v>3</v>
      </c>
      <c r="M1257" s="9" t="s">
        <v>0</v>
      </c>
      <c r="N1257" s="9" t="s">
        <v>29</v>
      </c>
      <c r="O1257" s="9" t="s">
        <v>3513</v>
      </c>
      <c r="P1257" s="30" t="s">
        <v>0</v>
      </c>
      <c r="Q1257" s="9">
        <v>7490745</v>
      </c>
      <c r="R1257" s="9" t="s">
        <v>357</v>
      </c>
      <c r="S1257" s="9" t="s">
        <v>158</v>
      </c>
      <c r="T1257" s="10" t="s">
        <v>73</v>
      </c>
      <c r="U1257" s="10">
        <v>1</v>
      </c>
      <c r="V1257" s="10">
        <v>120.73</v>
      </c>
      <c r="W1257" s="10" t="s">
        <v>710</v>
      </c>
      <c r="X1257" s="17">
        <v>44640</v>
      </c>
      <c r="Y1257" s="17">
        <v>44952</v>
      </c>
      <c r="Z1257" s="19" t="s">
        <v>772</v>
      </c>
      <c r="AA1257" s="210">
        <v>54216</v>
      </c>
      <c r="AB1257" s="27">
        <v>60</v>
      </c>
      <c r="AC1257" s="27">
        <v>24</v>
      </c>
      <c r="AD1257" s="17">
        <v>45703</v>
      </c>
      <c r="AE1257" s="56">
        <v>808.5</v>
      </c>
      <c r="AF1257" s="56"/>
      <c r="AP1257" s="11"/>
      <c r="AQ1257" s="11"/>
      <c r="AR1257" s="11"/>
      <c r="AW1257" s="9"/>
      <c r="BD1257" s="9"/>
      <c r="CS1257" s="11">
        <f t="shared" si="85"/>
        <v>0</v>
      </c>
      <c r="CT1257" s="22">
        <f t="shared" si="86"/>
        <v>0</v>
      </c>
      <c r="CU1257" s="22">
        <f t="shared" si="88"/>
        <v>0</v>
      </c>
      <c r="CV1257" s="26">
        <f t="shared" si="87"/>
        <v>808.5</v>
      </c>
    </row>
    <row r="1258" spans="1:100" x14ac:dyDescent="0.2">
      <c r="A1258" s="9" t="s">
        <v>356</v>
      </c>
      <c r="B1258" s="2">
        <v>67</v>
      </c>
      <c r="C1258" s="3" t="s">
        <v>95</v>
      </c>
      <c r="D1258" s="3" t="s">
        <v>96</v>
      </c>
      <c r="E1258" s="2" t="s">
        <v>68</v>
      </c>
      <c r="F1258" s="2">
        <v>11</v>
      </c>
      <c r="G1258" s="2" t="s">
        <v>73</v>
      </c>
      <c r="H1258" s="2">
        <v>1</v>
      </c>
      <c r="I1258" s="8">
        <v>120.73</v>
      </c>
      <c r="J1258" s="8">
        <v>38900</v>
      </c>
      <c r="K1258" s="3">
        <v>0</v>
      </c>
      <c r="L1258" s="3" t="s">
        <v>3</v>
      </c>
      <c r="M1258" s="9" t="s">
        <v>0</v>
      </c>
      <c r="N1258" s="9" t="s">
        <v>29</v>
      </c>
      <c r="O1258" s="9" t="s">
        <v>3513</v>
      </c>
      <c r="P1258" s="30" t="s">
        <v>0</v>
      </c>
      <c r="Q1258" s="9">
        <v>7490745</v>
      </c>
      <c r="R1258" s="9" t="s">
        <v>357</v>
      </c>
      <c r="S1258" s="9" t="s">
        <v>158</v>
      </c>
      <c r="T1258" s="10" t="s">
        <v>73</v>
      </c>
      <c r="U1258" s="10">
        <v>1</v>
      </c>
      <c r="V1258" s="10">
        <v>120.73</v>
      </c>
      <c r="W1258" s="10" t="s">
        <v>710</v>
      </c>
      <c r="X1258" s="17">
        <v>44640</v>
      </c>
      <c r="Y1258" s="17">
        <v>44952</v>
      </c>
      <c r="Z1258" s="19" t="s">
        <v>772</v>
      </c>
      <c r="AA1258" s="210">
        <v>54216</v>
      </c>
      <c r="AB1258" s="27">
        <v>60</v>
      </c>
      <c r="AC1258" s="27">
        <v>25</v>
      </c>
      <c r="AD1258" s="17">
        <v>45731</v>
      </c>
      <c r="AE1258" s="56">
        <v>808.5</v>
      </c>
      <c r="AF1258" s="56"/>
      <c r="AP1258" s="11"/>
      <c r="AQ1258" s="11"/>
      <c r="AR1258" s="11"/>
      <c r="AW1258" s="9"/>
      <c r="BD1258" s="9"/>
      <c r="CS1258" s="11">
        <f t="shared" si="85"/>
        <v>0</v>
      </c>
      <c r="CT1258" s="22">
        <f t="shared" si="86"/>
        <v>0</v>
      </c>
      <c r="CU1258" s="22">
        <f t="shared" si="88"/>
        <v>0</v>
      </c>
      <c r="CV1258" s="26">
        <f t="shared" si="87"/>
        <v>808.5</v>
      </c>
    </row>
    <row r="1259" spans="1:100" x14ac:dyDescent="0.2">
      <c r="A1259" s="9" t="s">
        <v>356</v>
      </c>
      <c r="B1259" s="2">
        <v>67</v>
      </c>
      <c r="C1259" s="3" t="s">
        <v>95</v>
      </c>
      <c r="D1259" s="3" t="s">
        <v>96</v>
      </c>
      <c r="E1259" s="2" t="s">
        <v>68</v>
      </c>
      <c r="F1259" s="2">
        <v>11</v>
      </c>
      <c r="G1259" s="2" t="s">
        <v>73</v>
      </c>
      <c r="H1259" s="2">
        <v>1</v>
      </c>
      <c r="I1259" s="8">
        <v>120.73</v>
      </c>
      <c r="J1259" s="8">
        <v>38900</v>
      </c>
      <c r="K1259" s="3">
        <v>0</v>
      </c>
      <c r="L1259" s="3" t="s">
        <v>3</v>
      </c>
      <c r="M1259" s="9" t="s">
        <v>0</v>
      </c>
      <c r="N1259" s="9" t="s">
        <v>29</v>
      </c>
      <c r="O1259" s="9" t="s">
        <v>3513</v>
      </c>
      <c r="P1259" s="30" t="s">
        <v>0</v>
      </c>
      <c r="Q1259" s="9">
        <v>7490745</v>
      </c>
      <c r="R1259" s="9" t="s">
        <v>357</v>
      </c>
      <c r="S1259" s="9" t="s">
        <v>158</v>
      </c>
      <c r="T1259" s="10" t="s">
        <v>73</v>
      </c>
      <c r="U1259" s="10">
        <v>1</v>
      </c>
      <c r="V1259" s="10">
        <v>120.73</v>
      </c>
      <c r="W1259" s="10" t="s">
        <v>710</v>
      </c>
      <c r="X1259" s="17">
        <v>44640</v>
      </c>
      <c r="Y1259" s="17">
        <v>44952</v>
      </c>
      <c r="Z1259" s="19" t="s">
        <v>772</v>
      </c>
      <c r="AA1259" s="210">
        <v>54216</v>
      </c>
      <c r="AB1259" s="27">
        <v>60</v>
      </c>
      <c r="AC1259" s="27">
        <v>26</v>
      </c>
      <c r="AD1259" s="17">
        <v>45762</v>
      </c>
      <c r="AE1259" s="56">
        <v>808.5</v>
      </c>
      <c r="AF1259" s="56"/>
      <c r="AP1259" s="11"/>
      <c r="AQ1259" s="11"/>
      <c r="AR1259" s="11"/>
      <c r="AW1259" s="9"/>
      <c r="BD1259" s="9"/>
      <c r="CS1259" s="11">
        <f t="shared" si="85"/>
        <v>0</v>
      </c>
      <c r="CT1259" s="22">
        <f t="shared" si="86"/>
        <v>0</v>
      </c>
      <c r="CU1259" s="22">
        <f t="shared" si="88"/>
        <v>0</v>
      </c>
      <c r="CV1259" s="26">
        <f t="shared" si="87"/>
        <v>808.5</v>
      </c>
    </row>
    <row r="1260" spans="1:100" x14ac:dyDescent="0.2">
      <c r="A1260" s="9" t="s">
        <v>356</v>
      </c>
      <c r="B1260" s="2">
        <v>67</v>
      </c>
      <c r="C1260" s="3" t="s">
        <v>95</v>
      </c>
      <c r="D1260" s="3" t="s">
        <v>96</v>
      </c>
      <c r="E1260" s="2" t="s">
        <v>68</v>
      </c>
      <c r="F1260" s="2">
        <v>11</v>
      </c>
      <c r="G1260" s="2" t="s">
        <v>73</v>
      </c>
      <c r="H1260" s="2">
        <v>1</v>
      </c>
      <c r="I1260" s="8">
        <v>120.73</v>
      </c>
      <c r="J1260" s="8">
        <v>38900</v>
      </c>
      <c r="K1260" s="3">
        <v>0</v>
      </c>
      <c r="L1260" s="3" t="s">
        <v>3</v>
      </c>
      <c r="M1260" s="9" t="s">
        <v>0</v>
      </c>
      <c r="N1260" s="9" t="s">
        <v>29</v>
      </c>
      <c r="O1260" s="9" t="s">
        <v>3513</v>
      </c>
      <c r="P1260" s="30" t="s">
        <v>0</v>
      </c>
      <c r="Q1260" s="9">
        <v>7490745</v>
      </c>
      <c r="R1260" s="9" t="s">
        <v>357</v>
      </c>
      <c r="S1260" s="9" t="s">
        <v>158</v>
      </c>
      <c r="T1260" s="10" t="s">
        <v>73</v>
      </c>
      <c r="U1260" s="10">
        <v>1</v>
      </c>
      <c r="V1260" s="10">
        <v>120.73</v>
      </c>
      <c r="W1260" s="10" t="s">
        <v>710</v>
      </c>
      <c r="X1260" s="17">
        <v>44640</v>
      </c>
      <c r="Y1260" s="17">
        <v>44952</v>
      </c>
      <c r="Z1260" s="19" t="s">
        <v>772</v>
      </c>
      <c r="AA1260" s="210">
        <v>54216</v>
      </c>
      <c r="AB1260" s="27">
        <v>60</v>
      </c>
      <c r="AC1260" s="27">
        <v>27</v>
      </c>
      <c r="AD1260" s="17">
        <v>45792</v>
      </c>
      <c r="AE1260" s="56">
        <v>808.5</v>
      </c>
      <c r="AF1260" s="56"/>
      <c r="AP1260" s="11"/>
      <c r="AQ1260" s="11"/>
      <c r="AR1260" s="11"/>
      <c r="AW1260" s="9"/>
      <c r="BD1260" s="9"/>
      <c r="CS1260" s="11">
        <f t="shared" si="85"/>
        <v>0</v>
      </c>
      <c r="CT1260" s="22">
        <f t="shared" si="86"/>
        <v>0</v>
      </c>
      <c r="CU1260" s="22">
        <f t="shared" si="88"/>
        <v>0</v>
      </c>
      <c r="CV1260" s="26">
        <f t="shared" si="87"/>
        <v>808.5</v>
      </c>
    </row>
    <row r="1261" spans="1:100" x14ac:dyDescent="0.2">
      <c r="A1261" s="9" t="s">
        <v>356</v>
      </c>
      <c r="B1261" s="2">
        <v>67</v>
      </c>
      <c r="C1261" s="3" t="s">
        <v>95</v>
      </c>
      <c r="D1261" s="3" t="s">
        <v>96</v>
      </c>
      <c r="E1261" s="2" t="s">
        <v>68</v>
      </c>
      <c r="F1261" s="2">
        <v>11</v>
      </c>
      <c r="G1261" s="2" t="s">
        <v>73</v>
      </c>
      <c r="H1261" s="2">
        <v>1</v>
      </c>
      <c r="I1261" s="8">
        <v>120.73</v>
      </c>
      <c r="J1261" s="8">
        <v>38900</v>
      </c>
      <c r="K1261" s="3">
        <v>0</v>
      </c>
      <c r="L1261" s="3" t="s">
        <v>3</v>
      </c>
      <c r="M1261" s="9" t="s">
        <v>0</v>
      </c>
      <c r="N1261" s="9" t="s">
        <v>29</v>
      </c>
      <c r="O1261" s="9" t="s">
        <v>3513</v>
      </c>
      <c r="P1261" s="30" t="s">
        <v>0</v>
      </c>
      <c r="Q1261" s="9">
        <v>7490745</v>
      </c>
      <c r="R1261" s="9" t="s">
        <v>357</v>
      </c>
      <c r="S1261" s="9" t="s">
        <v>158</v>
      </c>
      <c r="T1261" s="10" t="s">
        <v>73</v>
      </c>
      <c r="U1261" s="10">
        <v>1</v>
      </c>
      <c r="V1261" s="10">
        <v>120.73</v>
      </c>
      <c r="W1261" s="10" t="s">
        <v>710</v>
      </c>
      <c r="X1261" s="17">
        <v>44640</v>
      </c>
      <c r="Y1261" s="17">
        <v>44952</v>
      </c>
      <c r="Z1261" s="19" t="s">
        <v>772</v>
      </c>
      <c r="AA1261" s="210">
        <v>54216</v>
      </c>
      <c r="AB1261" s="27">
        <v>60</v>
      </c>
      <c r="AC1261" s="27">
        <v>28</v>
      </c>
      <c r="AD1261" s="17">
        <v>45823</v>
      </c>
      <c r="AE1261" s="56">
        <v>808.5</v>
      </c>
      <c r="AF1261" s="56"/>
      <c r="AP1261" s="11"/>
      <c r="AQ1261" s="11"/>
      <c r="AR1261" s="11"/>
      <c r="AW1261" s="9"/>
      <c r="BD1261" s="9"/>
      <c r="CS1261" s="11">
        <f t="shared" si="85"/>
        <v>0</v>
      </c>
      <c r="CT1261" s="22">
        <f t="shared" si="86"/>
        <v>0</v>
      </c>
      <c r="CU1261" s="22">
        <f t="shared" si="88"/>
        <v>0</v>
      </c>
      <c r="CV1261" s="26">
        <f t="shared" si="87"/>
        <v>808.5</v>
      </c>
    </row>
    <row r="1262" spans="1:100" x14ac:dyDescent="0.2">
      <c r="A1262" s="9" t="s">
        <v>356</v>
      </c>
      <c r="B1262" s="2">
        <v>67</v>
      </c>
      <c r="C1262" s="3" t="s">
        <v>95</v>
      </c>
      <c r="D1262" s="3" t="s">
        <v>96</v>
      </c>
      <c r="E1262" s="2" t="s">
        <v>68</v>
      </c>
      <c r="F1262" s="2">
        <v>11</v>
      </c>
      <c r="G1262" s="2" t="s">
        <v>73</v>
      </c>
      <c r="H1262" s="2">
        <v>1</v>
      </c>
      <c r="I1262" s="8">
        <v>120.73</v>
      </c>
      <c r="J1262" s="8">
        <v>38900</v>
      </c>
      <c r="K1262" s="3">
        <v>0</v>
      </c>
      <c r="L1262" s="3" t="s">
        <v>3</v>
      </c>
      <c r="M1262" s="9" t="s">
        <v>0</v>
      </c>
      <c r="N1262" s="9" t="s">
        <v>29</v>
      </c>
      <c r="O1262" s="9" t="s">
        <v>3513</v>
      </c>
      <c r="P1262" s="30" t="s">
        <v>0</v>
      </c>
      <c r="Q1262" s="9">
        <v>7490745</v>
      </c>
      <c r="R1262" s="9" t="s">
        <v>357</v>
      </c>
      <c r="S1262" s="9" t="s">
        <v>158</v>
      </c>
      <c r="T1262" s="10" t="s">
        <v>73</v>
      </c>
      <c r="U1262" s="10">
        <v>1</v>
      </c>
      <c r="V1262" s="10">
        <v>120.73</v>
      </c>
      <c r="W1262" s="10" t="s">
        <v>710</v>
      </c>
      <c r="X1262" s="17">
        <v>44640</v>
      </c>
      <c r="Y1262" s="17">
        <v>44952</v>
      </c>
      <c r="Z1262" s="19" t="s">
        <v>772</v>
      </c>
      <c r="AA1262" s="210">
        <v>54216</v>
      </c>
      <c r="AB1262" s="27">
        <v>60</v>
      </c>
      <c r="AC1262" s="27">
        <v>29</v>
      </c>
      <c r="AD1262" s="17">
        <v>45853</v>
      </c>
      <c r="AE1262" s="56">
        <v>808.5</v>
      </c>
      <c r="AF1262" s="56"/>
      <c r="AP1262" s="11"/>
      <c r="AQ1262" s="11"/>
      <c r="AR1262" s="11"/>
      <c r="AW1262" s="9"/>
      <c r="BD1262" s="9"/>
      <c r="CS1262" s="11">
        <f t="shared" si="85"/>
        <v>0</v>
      </c>
      <c r="CT1262" s="22">
        <f t="shared" si="86"/>
        <v>0</v>
      </c>
      <c r="CU1262" s="22">
        <f t="shared" si="88"/>
        <v>0</v>
      </c>
      <c r="CV1262" s="26">
        <f t="shared" si="87"/>
        <v>808.5</v>
      </c>
    </row>
    <row r="1263" spans="1:100" x14ac:dyDescent="0.2">
      <c r="A1263" s="9" t="s">
        <v>356</v>
      </c>
      <c r="B1263" s="2">
        <v>67</v>
      </c>
      <c r="C1263" s="3" t="s">
        <v>95</v>
      </c>
      <c r="D1263" s="3" t="s">
        <v>96</v>
      </c>
      <c r="E1263" s="2" t="s">
        <v>68</v>
      </c>
      <c r="F1263" s="2">
        <v>11</v>
      </c>
      <c r="G1263" s="2" t="s">
        <v>73</v>
      </c>
      <c r="H1263" s="2">
        <v>1</v>
      </c>
      <c r="I1263" s="8">
        <v>120.73</v>
      </c>
      <c r="J1263" s="8">
        <v>38900</v>
      </c>
      <c r="K1263" s="3">
        <v>0</v>
      </c>
      <c r="L1263" s="3" t="s">
        <v>3</v>
      </c>
      <c r="M1263" s="9" t="s">
        <v>0</v>
      </c>
      <c r="N1263" s="9" t="s">
        <v>29</v>
      </c>
      <c r="O1263" s="9" t="s">
        <v>3513</v>
      </c>
      <c r="P1263" s="30" t="s">
        <v>0</v>
      </c>
      <c r="Q1263" s="9">
        <v>7490745</v>
      </c>
      <c r="R1263" s="9" t="s">
        <v>357</v>
      </c>
      <c r="S1263" s="9" t="s">
        <v>158</v>
      </c>
      <c r="T1263" s="10" t="s">
        <v>73</v>
      </c>
      <c r="U1263" s="10">
        <v>1</v>
      </c>
      <c r="V1263" s="10">
        <v>120.73</v>
      </c>
      <c r="W1263" s="10" t="s">
        <v>710</v>
      </c>
      <c r="X1263" s="17">
        <v>44640</v>
      </c>
      <c r="Y1263" s="17">
        <v>44952</v>
      </c>
      <c r="Z1263" s="19" t="s">
        <v>772</v>
      </c>
      <c r="AA1263" s="210">
        <v>54216</v>
      </c>
      <c r="AB1263" s="27">
        <v>60</v>
      </c>
      <c r="AC1263" s="27">
        <v>30</v>
      </c>
      <c r="AD1263" s="17">
        <v>45884</v>
      </c>
      <c r="AE1263" s="56">
        <v>808.5</v>
      </c>
      <c r="AF1263" s="56"/>
      <c r="AP1263" s="11"/>
      <c r="AQ1263" s="11"/>
      <c r="AR1263" s="11"/>
      <c r="AW1263" s="9"/>
      <c r="BD1263" s="9"/>
      <c r="CS1263" s="11">
        <f t="shared" si="85"/>
        <v>0</v>
      </c>
      <c r="CT1263" s="22">
        <f t="shared" si="86"/>
        <v>0</v>
      </c>
      <c r="CU1263" s="22">
        <f t="shared" si="88"/>
        <v>0</v>
      </c>
      <c r="CV1263" s="26">
        <f t="shared" si="87"/>
        <v>808.5</v>
      </c>
    </row>
    <row r="1264" spans="1:100" x14ac:dyDescent="0.2">
      <c r="A1264" s="9" t="s">
        <v>356</v>
      </c>
      <c r="B1264" s="2">
        <v>67</v>
      </c>
      <c r="C1264" s="3" t="s">
        <v>95</v>
      </c>
      <c r="D1264" s="3" t="s">
        <v>96</v>
      </c>
      <c r="E1264" s="2" t="s">
        <v>68</v>
      </c>
      <c r="F1264" s="2">
        <v>11</v>
      </c>
      <c r="G1264" s="2" t="s">
        <v>73</v>
      </c>
      <c r="H1264" s="2">
        <v>1</v>
      </c>
      <c r="I1264" s="8">
        <v>120.73</v>
      </c>
      <c r="J1264" s="8">
        <v>38900</v>
      </c>
      <c r="K1264" s="3">
        <v>0</v>
      </c>
      <c r="L1264" s="3" t="s">
        <v>3</v>
      </c>
      <c r="M1264" s="9" t="s">
        <v>0</v>
      </c>
      <c r="N1264" s="9" t="s">
        <v>29</v>
      </c>
      <c r="O1264" s="9" t="s">
        <v>3513</v>
      </c>
      <c r="P1264" s="30" t="s">
        <v>0</v>
      </c>
      <c r="Q1264" s="9">
        <v>7490745</v>
      </c>
      <c r="R1264" s="9" t="s">
        <v>357</v>
      </c>
      <c r="S1264" s="9" t="s">
        <v>158</v>
      </c>
      <c r="T1264" s="10" t="s">
        <v>73</v>
      </c>
      <c r="U1264" s="10">
        <v>1</v>
      </c>
      <c r="V1264" s="10">
        <v>120.73</v>
      </c>
      <c r="W1264" s="10" t="s">
        <v>710</v>
      </c>
      <c r="X1264" s="17">
        <v>44640</v>
      </c>
      <c r="Y1264" s="17">
        <v>44952</v>
      </c>
      <c r="Z1264" s="19" t="s">
        <v>772</v>
      </c>
      <c r="AA1264" s="210">
        <v>54216</v>
      </c>
      <c r="AB1264" s="27">
        <v>60</v>
      </c>
      <c r="AC1264" s="27">
        <v>31</v>
      </c>
      <c r="AD1264" s="17">
        <v>45915</v>
      </c>
      <c r="AE1264" s="56">
        <v>808.5</v>
      </c>
      <c r="AF1264" s="56"/>
      <c r="AP1264" s="11"/>
      <c r="AQ1264" s="11"/>
      <c r="AR1264" s="11"/>
      <c r="AW1264" s="9"/>
      <c r="BD1264" s="9"/>
      <c r="CS1264" s="11">
        <f t="shared" si="85"/>
        <v>0</v>
      </c>
      <c r="CT1264" s="22">
        <f t="shared" si="86"/>
        <v>0</v>
      </c>
      <c r="CU1264" s="22">
        <f t="shared" si="88"/>
        <v>0</v>
      </c>
      <c r="CV1264" s="26">
        <f t="shared" si="87"/>
        <v>808.5</v>
      </c>
    </row>
    <row r="1265" spans="1:100" x14ac:dyDescent="0.2">
      <c r="A1265" s="9" t="s">
        <v>356</v>
      </c>
      <c r="B1265" s="2">
        <v>67</v>
      </c>
      <c r="C1265" s="3" t="s">
        <v>95</v>
      </c>
      <c r="D1265" s="3" t="s">
        <v>96</v>
      </c>
      <c r="E1265" s="2" t="s">
        <v>68</v>
      </c>
      <c r="F1265" s="2">
        <v>11</v>
      </c>
      <c r="G1265" s="2" t="s">
        <v>73</v>
      </c>
      <c r="H1265" s="2">
        <v>1</v>
      </c>
      <c r="I1265" s="8">
        <v>120.73</v>
      </c>
      <c r="J1265" s="8">
        <v>38900</v>
      </c>
      <c r="K1265" s="3">
        <v>0</v>
      </c>
      <c r="L1265" s="3" t="s">
        <v>3</v>
      </c>
      <c r="M1265" s="9" t="s">
        <v>0</v>
      </c>
      <c r="N1265" s="9" t="s">
        <v>29</v>
      </c>
      <c r="O1265" s="9" t="s">
        <v>3513</v>
      </c>
      <c r="P1265" s="30" t="s">
        <v>0</v>
      </c>
      <c r="Q1265" s="9">
        <v>7490745</v>
      </c>
      <c r="R1265" s="9" t="s">
        <v>357</v>
      </c>
      <c r="S1265" s="9" t="s">
        <v>158</v>
      </c>
      <c r="T1265" s="10" t="s">
        <v>73</v>
      </c>
      <c r="U1265" s="10">
        <v>1</v>
      </c>
      <c r="V1265" s="10">
        <v>120.73</v>
      </c>
      <c r="W1265" s="10" t="s">
        <v>710</v>
      </c>
      <c r="X1265" s="17">
        <v>44640</v>
      </c>
      <c r="Y1265" s="17">
        <v>44952</v>
      </c>
      <c r="Z1265" s="19" t="s">
        <v>772</v>
      </c>
      <c r="AA1265" s="210">
        <v>54216</v>
      </c>
      <c r="AB1265" s="27">
        <v>60</v>
      </c>
      <c r="AC1265" s="27">
        <v>32</v>
      </c>
      <c r="AD1265" s="17">
        <v>45945</v>
      </c>
      <c r="AE1265" s="56">
        <v>808.5</v>
      </c>
      <c r="AF1265" s="56"/>
      <c r="AP1265" s="11"/>
      <c r="AQ1265" s="11"/>
      <c r="AR1265" s="11"/>
      <c r="AW1265" s="9"/>
      <c r="BD1265" s="9"/>
      <c r="CS1265" s="11">
        <f t="shared" si="85"/>
        <v>0</v>
      </c>
      <c r="CT1265" s="22">
        <f t="shared" si="86"/>
        <v>0</v>
      </c>
      <c r="CU1265" s="22">
        <f t="shared" si="88"/>
        <v>0</v>
      </c>
      <c r="CV1265" s="26">
        <f t="shared" si="87"/>
        <v>808.5</v>
      </c>
    </row>
    <row r="1266" spans="1:100" x14ac:dyDescent="0.2">
      <c r="A1266" s="9" t="s">
        <v>356</v>
      </c>
      <c r="B1266" s="2">
        <v>67</v>
      </c>
      <c r="C1266" s="3" t="s">
        <v>95</v>
      </c>
      <c r="D1266" s="3" t="s">
        <v>96</v>
      </c>
      <c r="E1266" s="2" t="s">
        <v>68</v>
      </c>
      <c r="F1266" s="2">
        <v>11</v>
      </c>
      <c r="G1266" s="2" t="s">
        <v>73</v>
      </c>
      <c r="H1266" s="2">
        <v>1</v>
      </c>
      <c r="I1266" s="8">
        <v>120.73</v>
      </c>
      <c r="J1266" s="8">
        <v>38900</v>
      </c>
      <c r="K1266" s="3">
        <v>0</v>
      </c>
      <c r="L1266" s="3" t="s">
        <v>3</v>
      </c>
      <c r="M1266" s="9" t="s">
        <v>0</v>
      </c>
      <c r="N1266" s="9" t="s">
        <v>29</v>
      </c>
      <c r="O1266" s="9" t="s">
        <v>3513</v>
      </c>
      <c r="P1266" s="30" t="s">
        <v>0</v>
      </c>
      <c r="Q1266" s="9">
        <v>7490745</v>
      </c>
      <c r="R1266" s="9" t="s">
        <v>357</v>
      </c>
      <c r="S1266" s="9" t="s">
        <v>158</v>
      </c>
      <c r="T1266" s="10" t="s">
        <v>73</v>
      </c>
      <c r="U1266" s="10">
        <v>1</v>
      </c>
      <c r="V1266" s="10">
        <v>120.73</v>
      </c>
      <c r="W1266" s="10" t="s">
        <v>710</v>
      </c>
      <c r="X1266" s="17">
        <v>44640</v>
      </c>
      <c r="Y1266" s="17">
        <v>44952</v>
      </c>
      <c r="Z1266" s="19" t="s">
        <v>772</v>
      </c>
      <c r="AA1266" s="210">
        <v>54216</v>
      </c>
      <c r="AB1266" s="27">
        <v>60</v>
      </c>
      <c r="AC1266" s="27">
        <v>33</v>
      </c>
      <c r="AD1266" s="17">
        <v>45976</v>
      </c>
      <c r="AE1266" s="56">
        <v>808.5</v>
      </c>
      <c r="AF1266" s="56"/>
      <c r="AP1266" s="11"/>
      <c r="AQ1266" s="11"/>
      <c r="AR1266" s="11"/>
      <c r="AW1266" s="9"/>
      <c r="BD1266" s="9"/>
      <c r="CS1266" s="11">
        <f t="shared" si="85"/>
        <v>0</v>
      </c>
      <c r="CT1266" s="22">
        <f t="shared" si="86"/>
        <v>0</v>
      </c>
      <c r="CU1266" s="22">
        <f t="shared" si="88"/>
        <v>0</v>
      </c>
      <c r="CV1266" s="26">
        <f t="shared" si="87"/>
        <v>808.5</v>
      </c>
    </row>
    <row r="1267" spans="1:100" x14ac:dyDescent="0.2">
      <c r="A1267" s="9" t="s">
        <v>356</v>
      </c>
      <c r="B1267" s="2">
        <v>67</v>
      </c>
      <c r="C1267" s="3" t="s">
        <v>95</v>
      </c>
      <c r="D1267" s="3" t="s">
        <v>96</v>
      </c>
      <c r="E1267" s="2" t="s">
        <v>68</v>
      </c>
      <c r="F1267" s="2">
        <v>11</v>
      </c>
      <c r="G1267" s="2" t="s">
        <v>73</v>
      </c>
      <c r="H1267" s="2">
        <v>1</v>
      </c>
      <c r="I1267" s="8">
        <v>120.73</v>
      </c>
      <c r="J1267" s="8">
        <v>38900</v>
      </c>
      <c r="K1267" s="3">
        <v>0</v>
      </c>
      <c r="L1267" s="3" t="s">
        <v>3</v>
      </c>
      <c r="M1267" s="9" t="s">
        <v>0</v>
      </c>
      <c r="N1267" s="9" t="s">
        <v>29</v>
      </c>
      <c r="O1267" s="9" t="s">
        <v>3513</v>
      </c>
      <c r="P1267" s="30" t="s">
        <v>0</v>
      </c>
      <c r="Q1267" s="9">
        <v>7490745</v>
      </c>
      <c r="R1267" s="9" t="s">
        <v>357</v>
      </c>
      <c r="S1267" s="9" t="s">
        <v>158</v>
      </c>
      <c r="T1267" s="10" t="s">
        <v>73</v>
      </c>
      <c r="U1267" s="10">
        <v>1</v>
      </c>
      <c r="V1267" s="10">
        <v>120.73</v>
      </c>
      <c r="W1267" s="10" t="s">
        <v>710</v>
      </c>
      <c r="X1267" s="17">
        <v>44640</v>
      </c>
      <c r="Y1267" s="17">
        <v>44952</v>
      </c>
      <c r="Z1267" s="19" t="s">
        <v>772</v>
      </c>
      <c r="AA1267" s="210">
        <v>54216</v>
      </c>
      <c r="AB1267" s="27">
        <v>60</v>
      </c>
      <c r="AC1267" s="27">
        <v>34</v>
      </c>
      <c r="AD1267" s="17">
        <v>46006</v>
      </c>
      <c r="AE1267" s="56">
        <v>808.5</v>
      </c>
      <c r="AF1267" s="56"/>
      <c r="AP1267" s="11"/>
      <c r="AQ1267" s="11"/>
      <c r="AR1267" s="11"/>
      <c r="AW1267" s="9"/>
      <c r="BD1267" s="9"/>
      <c r="CS1267" s="11">
        <f t="shared" si="85"/>
        <v>0</v>
      </c>
      <c r="CT1267" s="22">
        <f t="shared" si="86"/>
        <v>0</v>
      </c>
      <c r="CU1267" s="22">
        <f t="shared" si="88"/>
        <v>0</v>
      </c>
      <c r="CV1267" s="26">
        <f t="shared" si="87"/>
        <v>808.5</v>
      </c>
    </row>
    <row r="1268" spans="1:100" x14ac:dyDescent="0.2">
      <c r="A1268" s="9" t="s">
        <v>356</v>
      </c>
      <c r="B1268" s="2">
        <v>67</v>
      </c>
      <c r="C1268" s="3" t="s">
        <v>95</v>
      </c>
      <c r="D1268" s="3" t="s">
        <v>96</v>
      </c>
      <c r="E1268" s="2" t="s">
        <v>68</v>
      </c>
      <c r="F1268" s="2">
        <v>11</v>
      </c>
      <c r="G1268" s="2" t="s">
        <v>73</v>
      </c>
      <c r="H1268" s="2">
        <v>1</v>
      </c>
      <c r="I1268" s="8">
        <v>120.73</v>
      </c>
      <c r="J1268" s="8">
        <v>38900</v>
      </c>
      <c r="K1268" s="3">
        <v>0</v>
      </c>
      <c r="L1268" s="3" t="s">
        <v>3</v>
      </c>
      <c r="M1268" s="9" t="s">
        <v>0</v>
      </c>
      <c r="N1268" s="9" t="s">
        <v>29</v>
      </c>
      <c r="O1268" s="9" t="s">
        <v>3513</v>
      </c>
      <c r="P1268" s="30" t="s">
        <v>0</v>
      </c>
      <c r="Q1268" s="9">
        <v>7490745</v>
      </c>
      <c r="R1268" s="9" t="s">
        <v>357</v>
      </c>
      <c r="S1268" s="9" t="s">
        <v>158</v>
      </c>
      <c r="T1268" s="10" t="s">
        <v>73</v>
      </c>
      <c r="U1268" s="10">
        <v>1</v>
      </c>
      <c r="V1268" s="10">
        <v>120.73</v>
      </c>
      <c r="W1268" s="10" t="s">
        <v>710</v>
      </c>
      <c r="X1268" s="17">
        <v>44640</v>
      </c>
      <c r="Y1268" s="17">
        <v>44952</v>
      </c>
      <c r="Z1268" s="19" t="s">
        <v>772</v>
      </c>
      <c r="AA1268" s="210">
        <v>54216</v>
      </c>
      <c r="AB1268" s="27">
        <v>60</v>
      </c>
      <c r="AC1268" s="27">
        <v>35</v>
      </c>
      <c r="AD1268" s="17">
        <v>46037</v>
      </c>
      <c r="AE1268" s="56">
        <v>808.5</v>
      </c>
      <c r="AF1268" s="56"/>
      <c r="AP1268" s="11"/>
      <c r="AQ1268" s="11"/>
      <c r="AR1268" s="11"/>
      <c r="AW1268" s="9"/>
      <c r="BD1268" s="9"/>
      <c r="CS1268" s="11">
        <f t="shared" si="85"/>
        <v>0</v>
      </c>
      <c r="CT1268" s="22">
        <f t="shared" si="86"/>
        <v>0</v>
      </c>
      <c r="CU1268" s="22">
        <f t="shared" si="88"/>
        <v>0</v>
      </c>
      <c r="CV1268" s="26">
        <f t="shared" si="87"/>
        <v>808.5</v>
      </c>
    </row>
    <row r="1269" spans="1:100" x14ac:dyDescent="0.2">
      <c r="A1269" s="9" t="s">
        <v>356</v>
      </c>
      <c r="B1269" s="2">
        <v>67</v>
      </c>
      <c r="C1269" s="3" t="s">
        <v>95</v>
      </c>
      <c r="D1269" s="3" t="s">
        <v>96</v>
      </c>
      <c r="E1269" s="2" t="s">
        <v>68</v>
      </c>
      <c r="F1269" s="2">
        <v>11</v>
      </c>
      <c r="G1269" s="2" t="s">
        <v>73</v>
      </c>
      <c r="H1269" s="2">
        <v>1</v>
      </c>
      <c r="I1269" s="8">
        <v>120.73</v>
      </c>
      <c r="J1269" s="8">
        <v>38900</v>
      </c>
      <c r="K1269" s="3">
        <v>0</v>
      </c>
      <c r="L1269" s="3" t="s">
        <v>3</v>
      </c>
      <c r="M1269" s="9" t="s">
        <v>0</v>
      </c>
      <c r="N1269" s="9" t="s">
        <v>29</v>
      </c>
      <c r="O1269" s="9" t="s">
        <v>3513</v>
      </c>
      <c r="P1269" s="30" t="s">
        <v>0</v>
      </c>
      <c r="Q1269" s="9">
        <v>7490745</v>
      </c>
      <c r="R1269" s="9" t="s">
        <v>357</v>
      </c>
      <c r="S1269" s="9" t="s">
        <v>158</v>
      </c>
      <c r="T1269" s="10" t="s">
        <v>73</v>
      </c>
      <c r="U1269" s="10">
        <v>1</v>
      </c>
      <c r="V1269" s="10">
        <v>120.73</v>
      </c>
      <c r="W1269" s="10" t="s">
        <v>710</v>
      </c>
      <c r="X1269" s="17">
        <v>44640</v>
      </c>
      <c r="Y1269" s="17">
        <v>44952</v>
      </c>
      <c r="Z1269" s="19" t="s">
        <v>772</v>
      </c>
      <c r="AA1269" s="210">
        <v>54216</v>
      </c>
      <c r="AB1269" s="27">
        <v>60</v>
      </c>
      <c r="AC1269" s="27">
        <v>36</v>
      </c>
      <c r="AD1269" s="17">
        <v>46068</v>
      </c>
      <c r="AE1269" s="56">
        <v>808.5</v>
      </c>
      <c r="AF1269" s="56"/>
      <c r="AP1269" s="11"/>
      <c r="AQ1269" s="11"/>
      <c r="AR1269" s="11"/>
      <c r="AW1269" s="9"/>
      <c r="BD1269" s="9"/>
      <c r="CS1269" s="11">
        <f t="shared" si="85"/>
        <v>0</v>
      </c>
      <c r="CT1269" s="22">
        <f t="shared" si="86"/>
        <v>0</v>
      </c>
      <c r="CU1269" s="22">
        <f t="shared" si="88"/>
        <v>0</v>
      </c>
      <c r="CV1269" s="26">
        <f t="shared" si="87"/>
        <v>808.5</v>
      </c>
    </row>
    <row r="1270" spans="1:100" x14ac:dyDescent="0.2">
      <c r="A1270" s="9" t="s">
        <v>356</v>
      </c>
      <c r="B1270" s="2">
        <v>67</v>
      </c>
      <c r="C1270" s="3" t="s">
        <v>95</v>
      </c>
      <c r="D1270" s="3" t="s">
        <v>96</v>
      </c>
      <c r="E1270" s="2" t="s">
        <v>68</v>
      </c>
      <c r="F1270" s="2">
        <v>11</v>
      </c>
      <c r="G1270" s="2" t="s">
        <v>73</v>
      </c>
      <c r="H1270" s="2">
        <v>1</v>
      </c>
      <c r="I1270" s="8">
        <v>120.73</v>
      </c>
      <c r="J1270" s="8">
        <v>38900</v>
      </c>
      <c r="K1270" s="3">
        <v>0</v>
      </c>
      <c r="L1270" s="3" t="s">
        <v>3</v>
      </c>
      <c r="M1270" s="9" t="s">
        <v>0</v>
      </c>
      <c r="N1270" s="9" t="s">
        <v>29</v>
      </c>
      <c r="O1270" s="9" t="s">
        <v>3513</v>
      </c>
      <c r="P1270" s="30" t="s">
        <v>0</v>
      </c>
      <c r="Q1270" s="9">
        <v>7490745</v>
      </c>
      <c r="R1270" s="9" t="s">
        <v>357</v>
      </c>
      <c r="S1270" s="9" t="s">
        <v>158</v>
      </c>
      <c r="T1270" s="10" t="s">
        <v>73</v>
      </c>
      <c r="U1270" s="10">
        <v>1</v>
      </c>
      <c r="V1270" s="10">
        <v>120.73</v>
      </c>
      <c r="W1270" s="10" t="s">
        <v>710</v>
      </c>
      <c r="X1270" s="17">
        <v>44640</v>
      </c>
      <c r="Y1270" s="17">
        <v>44952</v>
      </c>
      <c r="Z1270" s="19" t="s">
        <v>772</v>
      </c>
      <c r="AA1270" s="210">
        <v>54216</v>
      </c>
      <c r="AB1270" s="27">
        <v>60</v>
      </c>
      <c r="AC1270" s="27">
        <v>37</v>
      </c>
      <c r="AD1270" s="17">
        <v>46096</v>
      </c>
      <c r="AE1270" s="56">
        <v>808.5</v>
      </c>
      <c r="AF1270" s="56"/>
      <c r="AP1270" s="11"/>
      <c r="AQ1270" s="11"/>
      <c r="AR1270" s="11"/>
      <c r="AW1270" s="9"/>
      <c r="BD1270" s="9"/>
      <c r="CS1270" s="11">
        <f t="shared" si="85"/>
        <v>0</v>
      </c>
      <c r="CT1270" s="22">
        <f t="shared" si="86"/>
        <v>0</v>
      </c>
      <c r="CU1270" s="22">
        <f t="shared" si="88"/>
        <v>0</v>
      </c>
      <c r="CV1270" s="26">
        <f t="shared" si="87"/>
        <v>808.5</v>
      </c>
    </row>
    <row r="1271" spans="1:100" x14ac:dyDescent="0.2">
      <c r="A1271" s="9" t="s">
        <v>356</v>
      </c>
      <c r="B1271" s="2">
        <v>67</v>
      </c>
      <c r="C1271" s="3" t="s">
        <v>95</v>
      </c>
      <c r="D1271" s="3" t="s">
        <v>96</v>
      </c>
      <c r="E1271" s="2" t="s">
        <v>68</v>
      </c>
      <c r="F1271" s="2">
        <v>11</v>
      </c>
      <c r="G1271" s="2" t="s">
        <v>73</v>
      </c>
      <c r="H1271" s="2">
        <v>1</v>
      </c>
      <c r="I1271" s="8">
        <v>120.73</v>
      </c>
      <c r="J1271" s="8">
        <v>38900</v>
      </c>
      <c r="K1271" s="3">
        <v>0</v>
      </c>
      <c r="L1271" s="3" t="s">
        <v>3</v>
      </c>
      <c r="M1271" s="9" t="s">
        <v>0</v>
      </c>
      <c r="N1271" s="9" t="s">
        <v>29</v>
      </c>
      <c r="O1271" s="9" t="s">
        <v>3513</v>
      </c>
      <c r="P1271" s="30" t="s">
        <v>0</v>
      </c>
      <c r="Q1271" s="9">
        <v>7490745</v>
      </c>
      <c r="R1271" s="9" t="s">
        <v>357</v>
      </c>
      <c r="S1271" s="9" t="s">
        <v>158</v>
      </c>
      <c r="T1271" s="10" t="s">
        <v>73</v>
      </c>
      <c r="U1271" s="10">
        <v>1</v>
      </c>
      <c r="V1271" s="10">
        <v>120.73</v>
      </c>
      <c r="W1271" s="10" t="s">
        <v>710</v>
      </c>
      <c r="X1271" s="17">
        <v>44640</v>
      </c>
      <c r="Y1271" s="17">
        <v>44952</v>
      </c>
      <c r="Z1271" s="19" t="s">
        <v>772</v>
      </c>
      <c r="AA1271" s="210">
        <v>54216</v>
      </c>
      <c r="AB1271" s="27">
        <v>60</v>
      </c>
      <c r="AC1271" s="27">
        <v>38</v>
      </c>
      <c r="AD1271" s="17">
        <v>46127</v>
      </c>
      <c r="AE1271" s="56">
        <v>808.5</v>
      </c>
      <c r="AF1271" s="56"/>
      <c r="AP1271" s="11"/>
      <c r="AQ1271" s="11"/>
      <c r="AR1271" s="11"/>
      <c r="AW1271" s="9"/>
      <c r="BD1271" s="9"/>
      <c r="CS1271" s="11">
        <f t="shared" si="85"/>
        <v>0</v>
      </c>
      <c r="CT1271" s="22">
        <f t="shared" si="86"/>
        <v>0</v>
      </c>
      <c r="CU1271" s="22">
        <f t="shared" si="88"/>
        <v>0</v>
      </c>
      <c r="CV1271" s="26">
        <f t="shared" si="87"/>
        <v>808.5</v>
      </c>
    </row>
    <row r="1272" spans="1:100" x14ac:dyDescent="0.2">
      <c r="A1272" s="9" t="s">
        <v>356</v>
      </c>
      <c r="B1272" s="2">
        <v>67</v>
      </c>
      <c r="C1272" s="3" t="s">
        <v>95</v>
      </c>
      <c r="D1272" s="3" t="s">
        <v>96</v>
      </c>
      <c r="E1272" s="2" t="s">
        <v>68</v>
      </c>
      <c r="F1272" s="2">
        <v>11</v>
      </c>
      <c r="G1272" s="2" t="s">
        <v>73</v>
      </c>
      <c r="H1272" s="2">
        <v>1</v>
      </c>
      <c r="I1272" s="8">
        <v>120.73</v>
      </c>
      <c r="J1272" s="8">
        <v>38900</v>
      </c>
      <c r="K1272" s="3">
        <v>0</v>
      </c>
      <c r="L1272" s="3" t="s">
        <v>3</v>
      </c>
      <c r="M1272" s="9" t="s">
        <v>0</v>
      </c>
      <c r="N1272" s="9" t="s">
        <v>29</v>
      </c>
      <c r="O1272" s="9" t="s">
        <v>3513</v>
      </c>
      <c r="P1272" s="30" t="s">
        <v>0</v>
      </c>
      <c r="Q1272" s="9">
        <v>7490745</v>
      </c>
      <c r="R1272" s="9" t="s">
        <v>357</v>
      </c>
      <c r="S1272" s="9" t="s">
        <v>158</v>
      </c>
      <c r="T1272" s="10" t="s">
        <v>73</v>
      </c>
      <c r="U1272" s="10">
        <v>1</v>
      </c>
      <c r="V1272" s="10">
        <v>120.73</v>
      </c>
      <c r="W1272" s="10" t="s">
        <v>710</v>
      </c>
      <c r="X1272" s="17">
        <v>44640</v>
      </c>
      <c r="Y1272" s="17">
        <v>44952</v>
      </c>
      <c r="Z1272" s="19" t="s">
        <v>772</v>
      </c>
      <c r="AA1272" s="210">
        <v>54216</v>
      </c>
      <c r="AB1272" s="27">
        <v>60</v>
      </c>
      <c r="AC1272" s="27">
        <v>39</v>
      </c>
      <c r="AD1272" s="17">
        <v>46157</v>
      </c>
      <c r="AE1272" s="56">
        <v>808.5</v>
      </c>
      <c r="AF1272" s="56"/>
      <c r="AP1272" s="11"/>
      <c r="AQ1272" s="11"/>
      <c r="AR1272" s="11"/>
      <c r="AW1272" s="9"/>
      <c r="BD1272" s="9"/>
      <c r="CS1272" s="11">
        <f t="shared" si="85"/>
        <v>0</v>
      </c>
      <c r="CT1272" s="22">
        <f t="shared" si="86"/>
        <v>0</v>
      </c>
      <c r="CU1272" s="22">
        <f t="shared" si="88"/>
        <v>0</v>
      </c>
      <c r="CV1272" s="26">
        <f t="shared" si="87"/>
        <v>808.5</v>
      </c>
    </row>
    <row r="1273" spans="1:100" x14ac:dyDescent="0.2">
      <c r="A1273" s="9" t="s">
        <v>356</v>
      </c>
      <c r="B1273" s="2">
        <v>67</v>
      </c>
      <c r="C1273" s="3" t="s">
        <v>95</v>
      </c>
      <c r="D1273" s="3" t="s">
        <v>96</v>
      </c>
      <c r="E1273" s="2" t="s">
        <v>68</v>
      </c>
      <c r="F1273" s="2">
        <v>11</v>
      </c>
      <c r="G1273" s="2" t="s">
        <v>73</v>
      </c>
      <c r="H1273" s="2">
        <v>1</v>
      </c>
      <c r="I1273" s="8">
        <v>120.73</v>
      </c>
      <c r="J1273" s="8">
        <v>38900</v>
      </c>
      <c r="K1273" s="3">
        <v>0</v>
      </c>
      <c r="L1273" s="3" t="s">
        <v>3</v>
      </c>
      <c r="M1273" s="9" t="s">
        <v>0</v>
      </c>
      <c r="N1273" s="9" t="s">
        <v>29</v>
      </c>
      <c r="O1273" s="9" t="s">
        <v>3513</v>
      </c>
      <c r="P1273" s="30" t="s">
        <v>0</v>
      </c>
      <c r="Q1273" s="9">
        <v>7490745</v>
      </c>
      <c r="R1273" s="9" t="s">
        <v>357</v>
      </c>
      <c r="S1273" s="9" t="s">
        <v>158</v>
      </c>
      <c r="T1273" s="10" t="s">
        <v>73</v>
      </c>
      <c r="U1273" s="10">
        <v>1</v>
      </c>
      <c r="V1273" s="10">
        <v>120.73</v>
      </c>
      <c r="W1273" s="10" t="s">
        <v>710</v>
      </c>
      <c r="X1273" s="17">
        <v>44640</v>
      </c>
      <c r="Y1273" s="17">
        <v>44952</v>
      </c>
      <c r="Z1273" s="19" t="s">
        <v>772</v>
      </c>
      <c r="AA1273" s="210">
        <v>54216</v>
      </c>
      <c r="AB1273" s="27">
        <v>60</v>
      </c>
      <c r="AC1273" s="27">
        <v>40</v>
      </c>
      <c r="AD1273" s="17">
        <v>46188</v>
      </c>
      <c r="AE1273" s="56">
        <v>808.5</v>
      </c>
      <c r="AF1273" s="56"/>
      <c r="AP1273" s="11"/>
      <c r="AQ1273" s="11"/>
      <c r="AR1273" s="11"/>
      <c r="AW1273" s="9"/>
      <c r="BD1273" s="9"/>
      <c r="CS1273" s="11">
        <f t="shared" ref="CS1273:CS1336" si="89">+AL1273+AT1273</f>
        <v>0</v>
      </c>
      <c r="CT1273" s="22">
        <f t="shared" ref="CT1273:CT1336" si="90">+BA1273+BG1273+BM1273+BS1273+BY1273+CE1273+CK1273+CQ1273</f>
        <v>0</v>
      </c>
      <c r="CU1273" s="22">
        <f t="shared" si="88"/>
        <v>0</v>
      </c>
      <c r="CV1273" s="26">
        <f t="shared" ref="CV1273:CV1336" si="91">+AE1273-AL1273-AT1273</f>
        <v>808.5</v>
      </c>
    </row>
    <row r="1274" spans="1:100" x14ac:dyDescent="0.2">
      <c r="A1274" s="9" t="s">
        <v>356</v>
      </c>
      <c r="B1274" s="2">
        <v>67</v>
      </c>
      <c r="C1274" s="3" t="s">
        <v>95</v>
      </c>
      <c r="D1274" s="3" t="s">
        <v>96</v>
      </c>
      <c r="E1274" s="2" t="s">
        <v>68</v>
      </c>
      <c r="F1274" s="2">
        <v>11</v>
      </c>
      <c r="G1274" s="2" t="s">
        <v>73</v>
      </c>
      <c r="H1274" s="2">
        <v>1</v>
      </c>
      <c r="I1274" s="8">
        <v>120.73</v>
      </c>
      <c r="J1274" s="8">
        <v>38900</v>
      </c>
      <c r="K1274" s="3">
        <v>0</v>
      </c>
      <c r="L1274" s="3" t="s">
        <v>3</v>
      </c>
      <c r="M1274" s="9" t="s">
        <v>0</v>
      </c>
      <c r="N1274" s="9" t="s">
        <v>29</v>
      </c>
      <c r="O1274" s="9" t="s">
        <v>3513</v>
      </c>
      <c r="P1274" s="30" t="s">
        <v>0</v>
      </c>
      <c r="Q1274" s="9">
        <v>7490745</v>
      </c>
      <c r="R1274" s="9" t="s">
        <v>357</v>
      </c>
      <c r="S1274" s="9" t="s">
        <v>158</v>
      </c>
      <c r="T1274" s="10" t="s">
        <v>73</v>
      </c>
      <c r="U1274" s="10">
        <v>1</v>
      </c>
      <c r="V1274" s="10">
        <v>120.73</v>
      </c>
      <c r="W1274" s="10" t="s">
        <v>710</v>
      </c>
      <c r="X1274" s="17">
        <v>44640</v>
      </c>
      <c r="Y1274" s="17">
        <v>44952</v>
      </c>
      <c r="Z1274" s="19" t="s">
        <v>772</v>
      </c>
      <c r="AA1274" s="210">
        <v>54216</v>
      </c>
      <c r="AB1274" s="27">
        <v>60</v>
      </c>
      <c r="AC1274" s="27">
        <v>41</v>
      </c>
      <c r="AD1274" s="17">
        <v>46218</v>
      </c>
      <c r="AE1274" s="56">
        <v>808.5</v>
      </c>
      <c r="AF1274" s="56"/>
      <c r="AP1274" s="11"/>
      <c r="AQ1274" s="11"/>
      <c r="AR1274" s="11"/>
      <c r="AW1274" s="9"/>
      <c r="BD1274" s="9"/>
      <c r="CS1274" s="11">
        <f t="shared" si="89"/>
        <v>0</v>
      </c>
      <c r="CT1274" s="22">
        <f t="shared" si="90"/>
        <v>0</v>
      </c>
      <c r="CU1274" s="22">
        <f t="shared" si="88"/>
        <v>0</v>
      </c>
      <c r="CV1274" s="26">
        <f t="shared" si="91"/>
        <v>808.5</v>
      </c>
    </row>
    <row r="1275" spans="1:100" x14ac:dyDescent="0.2">
      <c r="A1275" s="9" t="s">
        <v>356</v>
      </c>
      <c r="B1275" s="2">
        <v>67</v>
      </c>
      <c r="C1275" s="3" t="s">
        <v>95</v>
      </c>
      <c r="D1275" s="3" t="s">
        <v>96</v>
      </c>
      <c r="E1275" s="2" t="s">
        <v>68</v>
      </c>
      <c r="F1275" s="2">
        <v>11</v>
      </c>
      <c r="G1275" s="2" t="s">
        <v>73</v>
      </c>
      <c r="H1275" s="2">
        <v>1</v>
      </c>
      <c r="I1275" s="8">
        <v>120.73</v>
      </c>
      <c r="J1275" s="8">
        <v>38900</v>
      </c>
      <c r="K1275" s="3">
        <v>0</v>
      </c>
      <c r="L1275" s="3" t="s">
        <v>3</v>
      </c>
      <c r="M1275" s="9" t="s">
        <v>0</v>
      </c>
      <c r="N1275" s="9" t="s">
        <v>29</v>
      </c>
      <c r="O1275" s="9" t="s">
        <v>3513</v>
      </c>
      <c r="P1275" s="30" t="s">
        <v>0</v>
      </c>
      <c r="Q1275" s="9">
        <v>7490745</v>
      </c>
      <c r="R1275" s="9" t="s">
        <v>357</v>
      </c>
      <c r="S1275" s="9" t="s">
        <v>158</v>
      </c>
      <c r="T1275" s="10" t="s">
        <v>73</v>
      </c>
      <c r="U1275" s="10">
        <v>1</v>
      </c>
      <c r="V1275" s="10">
        <v>120.73</v>
      </c>
      <c r="W1275" s="10" t="s">
        <v>710</v>
      </c>
      <c r="X1275" s="17">
        <v>44640</v>
      </c>
      <c r="Y1275" s="17">
        <v>44952</v>
      </c>
      <c r="Z1275" s="19" t="s">
        <v>772</v>
      </c>
      <c r="AA1275" s="210">
        <v>54216</v>
      </c>
      <c r="AB1275" s="27">
        <v>60</v>
      </c>
      <c r="AC1275" s="27">
        <v>42</v>
      </c>
      <c r="AD1275" s="17">
        <v>46249</v>
      </c>
      <c r="AE1275" s="56">
        <v>808.5</v>
      </c>
      <c r="AF1275" s="56"/>
      <c r="AP1275" s="11"/>
      <c r="AQ1275" s="11"/>
      <c r="AR1275" s="11"/>
      <c r="AW1275" s="9"/>
      <c r="BD1275" s="9"/>
      <c r="CS1275" s="11">
        <f t="shared" si="89"/>
        <v>0</v>
      </c>
      <c r="CT1275" s="22">
        <f t="shared" si="90"/>
        <v>0</v>
      </c>
      <c r="CU1275" s="22">
        <f t="shared" si="88"/>
        <v>0</v>
      </c>
      <c r="CV1275" s="26">
        <f t="shared" si="91"/>
        <v>808.5</v>
      </c>
    </row>
    <row r="1276" spans="1:100" x14ac:dyDescent="0.2">
      <c r="A1276" s="9" t="s">
        <v>356</v>
      </c>
      <c r="B1276" s="2">
        <v>67</v>
      </c>
      <c r="C1276" s="3" t="s">
        <v>95</v>
      </c>
      <c r="D1276" s="3" t="s">
        <v>96</v>
      </c>
      <c r="E1276" s="2" t="s">
        <v>68</v>
      </c>
      <c r="F1276" s="2">
        <v>11</v>
      </c>
      <c r="G1276" s="2" t="s">
        <v>73</v>
      </c>
      <c r="H1276" s="2">
        <v>1</v>
      </c>
      <c r="I1276" s="8">
        <v>120.73</v>
      </c>
      <c r="J1276" s="8">
        <v>38900</v>
      </c>
      <c r="K1276" s="3">
        <v>0</v>
      </c>
      <c r="L1276" s="3" t="s">
        <v>3</v>
      </c>
      <c r="M1276" s="9" t="s">
        <v>0</v>
      </c>
      <c r="N1276" s="9" t="s">
        <v>29</v>
      </c>
      <c r="O1276" s="9" t="s">
        <v>3513</v>
      </c>
      <c r="P1276" s="30" t="s">
        <v>0</v>
      </c>
      <c r="Q1276" s="9">
        <v>7490745</v>
      </c>
      <c r="R1276" s="9" t="s">
        <v>357</v>
      </c>
      <c r="S1276" s="9" t="s">
        <v>158</v>
      </c>
      <c r="T1276" s="10" t="s">
        <v>73</v>
      </c>
      <c r="U1276" s="10">
        <v>1</v>
      </c>
      <c r="V1276" s="10">
        <v>120.73</v>
      </c>
      <c r="W1276" s="10" t="s">
        <v>710</v>
      </c>
      <c r="X1276" s="17">
        <v>44640</v>
      </c>
      <c r="Y1276" s="17">
        <v>44952</v>
      </c>
      <c r="Z1276" s="19" t="s">
        <v>772</v>
      </c>
      <c r="AA1276" s="210">
        <v>54216</v>
      </c>
      <c r="AB1276" s="27">
        <v>60</v>
      </c>
      <c r="AC1276" s="27">
        <v>43</v>
      </c>
      <c r="AD1276" s="17">
        <v>46280</v>
      </c>
      <c r="AE1276" s="56">
        <v>808.5</v>
      </c>
      <c r="AF1276" s="56"/>
      <c r="AP1276" s="11"/>
      <c r="AQ1276" s="11"/>
      <c r="AR1276" s="11"/>
      <c r="AW1276" s="9"/>
      <c r="BD1276" s="9"/>
      <c r="CS1276" s="11">
        <f t="shared" si="89"/>
        <v>0</v>
      </c>
      <c r="CT1276" s="22">
        <f t="shared" si="90"/>
        <v>0</v>
      </c>
      <c r="CU1276" s="22">
        <f t="shared" si="88"/>
        <v>0</v>
      </c>
      <c r="CV1276" s="26">
        <f t="shared" si="91"/>
        <v>808.5</v>
      </c>
    </row>
    <row r="1277" spans="1:100" x14ac:dyDescent="0.2">
      <c r="A1277" s="9" t="s">
        <v>356</v>
      </c>
      <c r="B1277" s="2">
        <v>67</v>
      </c>
      <c r="C1277" s="3" t="s">
        <v>95</v>
      </c>
      <c r="D1277" s="3" t="s">
        <v>96</v>
      </c>
      <c r="E1277" s="2" t="s">
        <v>68</v>
      </c>
      <c r="F1277" s="2">
        <v>11</v>
      </c>
      <c r="G1277" s="2" t="s">
        <v>73</v>
      </c>
      <c r="H1277" s="2">
        <v>1</v>
      </c>
      <c r="I1277" s="8">
        <v>120.73</v>
      </c>
      <c r="J1277" s="8">
        <v>38900</v>
      </c>
      <c r="K1277" s="3">
        <v>0</v>
      </c>
      <c r="L1277" s="3" t="s">
        <v>3</v>
      </c>
      <c r="M1277" s="9" t="s">
        <v>0</v>
      </c>
      <c r="N1277" s="9" t="s">
        <v>29</v>
      </c>
      <c r="O1277" s="9" t="s">
        <v>3513</v>
      </c>
      <c r="P1277" s="30" t="s">
        <v>0</v>
      </c>
      <c r="Q1277" s="9">
        <v>7490745</v>
      </c>
      <c r="R1277" s="9" t="s">
        <v>357</v>
      </c>
      <c r="S1277" s="9" t="s">
        <v>158</v>
      </c>
      <c r="T1277" s="10" t="s">
        <v>73</v>
      </c>
      <c r="U1277" s="10">
        <v>1</v>
      </c>
      <c r="V1277" s="10">
        <v>120.73</v>
      </c>
      <c r="W1277" s="10" t="s">
        <v>710</v>
      </c>
      <c r="X1277" s="17">
        <v>44640</v>
      </c>
      <c r="Y1277" s="17">
        <v>44952</v>
      </c>
      <c r="Z1277" s="19" t="s">
        <v>772</v>
      </c>
      <c r="AA1277" s="210">
        <v>54216</v>
      </c>
      <c r="AB1277" s="27">
        <v>60</v>
      </c>
      <c r="AC1277" s="27">
        <v>44</v>
      </c>
      <c r="AD1277" s="17">
        <v>46310</v>
      </c>
      <c r="AE1277" s="56">
        <v>808.5</v>
      </c>
      <c r="AF1277" s="56"/>
      <c r="AP1277" s="11"/>
      <c r="AQ1277" s="11"/>
      <c r="AR1277" s="11"/>
      <c r="AW1277" s="9"/>
      <c r="BD1277" s="9"/>
      <c r="CS1277" s="11">
        <f t="shared" si="89"/>
        <v>0</v>
      </c>
      <c r="CT1277" s="22">
        <f t="shared" si="90"/>
        <v>0</v>
      </c>
      <c r="CU1277" s="22">
        <f t="shared" si="88"/>
        <v>0</v>
      </c>
      <c r="CV1277" s="26">
        <f t="shared" si="91"/>
        <v>808.5</v>
      </c>
    </row>
    <row r="1278" spans="1:100" x14ac:dyDescent="0.2">
      <c r="A1278" s="9" t="s">
        <v>356</v>
      </c>
      <c r="B1278" s="2">
        <v>67</v>
      </c>
      <c r="C1278" s="3" t="s">
        <v>95</v>
      </c>
      <c r="D1278" s="3" t="s">
        <v>96</v>
      </c>
      <c r="E1278" s="2" t="s">
        <v>68</v>
      </c>
      <c r="F1278" s="2">
        <v>11</v>
      </c>
      <c r="G1278" s="2" t="s">
        <v>73</v>
      </c>
      <c r="H1278" s="2">
        <v>1</v>
      </c>
      <c r="I1278" s="8">
        <v>120.73</v>
      </c>
      <c r="J1278" s="8">
        <v>38900</v>
      </c>
      <c r="K1278" s="3">
        <v>0</v>
      </c>
      <c r="L1278" s="3" t="s">
        <v>3</v>
      </c>
      <c r="M1278" s="9" t="s">
        <v>0</v>
      </c>
      <c r="N1278" s="9" t="s">
        <v>29</v>
      </c>
      <c r="O1278" s="9" t="s">
        <v>3513</v>
      </c>
      <c r="P1278" s="30" t="s">
        <v>0</v>
      </c>
      <c r="Q1278" s="9">
        <v>7490745</v>
      </c>
      <c r="R1278" s="9" t="s">
        <v>357</v>
      </c>
      <c r="S1278" s="9" t="s">
        <v>158</v>
      </c>
      <c r="T1278" s="10" t="s">
        <v>73</v>
      </c>
      <c r="U1278" s="10">
        <v>1</v>
      </c>
      <c r="V1278" s="10">
        <v>120.73</v>
      </c>
      <c r="W1278" s="10" t="s">
        <v>710</v>
      </c>
      <c r="X1278" s="17">
        <v>44640</v>
      </c>
      <c r="Y1278" s="17">
        <v>44952</v>
      </c>
      <c r="Z1278" s="19" t="s">
        <v>772</v>
      </c>
      <c r="AA1278" s="210">
        <v>54216</v>
      </c>
      <c r="AB1278" s="27">
        <v>60</v>
      </c>
      <c r="AC1278" s="27">
        <v>45</v>
      </c>
      <c r="AD1278" s="17">
        <v>46341</v>
      </c>
      <c r="AE1278" s="56">
        <v>808.5</v>
      </c>
      <c r="AF1278" s="56"/>
      <c r="AP1278" s="11"/>
      <c r="AQ1278" s="11"/>
      <c r="AR1278" s="11"/>
      <c r="AW1278" s="9"/>
      <c r="BD1278" s="9"/>
      <c r="CS1278" s="11">
        <f t="shared" si="89"/>
        <v>0</v>
      </c>
      <c r="CT1278" s="22">
        <f t="shared" si="90"/>
        <v>0</v>
      </c>
      <c r="CU1278" s="22">
        <f t="shared" si="88"/>
        <v>0</v>
      </c>
      <c r="CV1278" s="26">
        <f t="shared" si="91"/>
        <v>808.5</v>
      </c>
    </row>
    <row r="1279" spans="1:100" x14ac:dyDescent="0.2">
      <c r="A1279" s="9" t="s">
        <v>356</v>
      </c>
      <c r="B1279" s="2">
        <v>67</v>
      </c>
      <c r="C1279" s="3" t="s">
        <v>95</v>
      </c>
      <c r="D1279" s="3" t="s">
        <v>96</v>
      </c>
      <c r="E1279" s="2" t="s">
        <v>68</v>
      </c>
      <c r="F1279" s="2">
        <v>11</v>
      </c>
      <c r="G1279" s="2" t="s">
        <v>73</v>
      </c>
      <c r="H1279" s="2">
        <v>1</v>
      </c>
      <c r="I1279" s="8">
        <v>120.73</v>
      </c>
      <c r="J1279" s="8">
        <v>38900</v>
      </c>
      <c r="K1279" s="3">
        <v>0</v>
      </c>
      <c r="L1279" s="3" t="s">
        <v>3</v>
      </c>
      <c r="M1279" s="9" t="s">
        <v>0</v>
      </c>
      <c r="N1279" s="9" t="s">
        <v>29</v>
      </c>
      <c r="O1279" s="9" t="s">
        <v>3513</v>
      </c>
      <c r="P1279" s="30" t="s">
        <v>0</v>
      </c>
      <c r="Q1279" s="9">
        <v>7490745</v>
      </c>
      <c r="R1279" s="9" t="s">
        <v>357</v>
      </c>
      <c r="S1279" s="9" t="s">
        <v>158</v>
      </c>
      <c r="T1279" s="10" t="s">
        <v>73</v>
      </c>
      <c r="U1279" s="10">
        <v>1</v>
      </c>
      <c r="V1279" s="10">
        <v>120.73</v>
      </c>
      <c r="W1279" s="10" t="s">
        <v>710</v>
      </c>
      <c r="X1279" s="17">
        <v>44640</v>
      </c>
      <c r="Y1279" s="17">
        <v>44952</v>
      </c>
      <c r="Z1279" s="19" t="s">
        <v>772</v>
      </c>
      <c r="AA1279" s="210">
        <v>54216</v>
      </c>
      <c r="AB1279" s="27">
        <v>60</v>
      </c>
      <c r="AC1279" s="27">
        <v>46</v>
      </c>
      <c r="AD1279" s="17">
        <v>46371</v>
      </c>
      <c r="AE1279" s="56">
        <v>808.5</v>
      </c>
      <c r="AF1279" s="56"/>
      <c r="AP1279" s="11"/>
      <c r="AQ1279" s="11"/>
      <c r="AR1279" s="11"/>
      <c r="AW1279" s="9"/>
      <c r="BD1279" s="9"/>
      <c r="CS1279" s="11">
        <f t="shared" si="89"/>
        <v>0</v>
      </c>
      <c r="CT1279" s="22">
        <f t="shared" si="90"/>
        <v>0</v>
      </c>
      <c r="CU1279" s="22">
        <f t="shared" si="88"/>
        <v>0</v>
      </c>
      <c r="CV1279" s="26">
        <f t="shared" si="91"/>
        <v>808.5</v>
      </c>
    </row>
    <row r="1280" spans="1:100" x14ac:dyDescent="0.2">
      <c r="A1280" s="9" t="s">
        <v>356</v>
      </c>
      <c r="B1280" s="2">
        <v>67</v>
      </c>
      <c r="C1280" s="3" t="s">
        <v>95</v>
      </c>
      <c r="D1280" s="3" t="s">
        <v>96</v>
      </c>
      <c r="E1280" s="2" t="s">
        <v>68</v>
      </c>
      <c r="F1280" s="2">
        <v>11</v>
      </c>
      <c r="G1280" s="2" t="s">
        <v>73</v>
      </c>
      <c r="H1280" s="2">
        <v>1</v>
      </c>
      <c r="I1280" s="8">
        <v>120.73</v>
      </c>
      <c r="J1280" s="8">
        <v>38900</v>
      </c>
      <c r="K1280" s="3">
        <v>0</v>
      </c>
      <c r="L1280" s="3" t="s">
        <v>3</v>
      </c>
      <c r="M1280" s="9" t="s">
        <v>0</v>
      </c>
      <c r="N1280" s="9" t="s">
        <v>29</v>
      </c>
      <c r="O1280" s="9" t="s">
        <v>3513</v>
      </c>
      <c r="P1280" s="30" t="s">
        <v>0</v>
      </c>
      <c r="Q1280" s="9">
        <v>7490745</v>
      </c>
      <c r="R1280" s="9" t="s">
        <v>357</v>
      </c>
      <c r="S1280" s="9" t="s">
        <v>158</v>
      </c>
      <c r="T1280" s="10" t="s">
        <v>73</v>
      </c>
      <c r="U1280" s="10">
        <v>1</v>
      </c>
      <c r="V1280" s="10">
        <v>120.73</v>
      </c>
      <c r="W1280" s="10" t="s">
        <v>710</v>
      </c>
      <c r="X1280" s="17">
        <v>44640</v>
      </c>
      <c r="Y1280" s="17">
        <v>44952</v>
      </c>
      <c r="Z1280" s="19" t="s">
        <v>772</v>
      </c>
      <c r="AA1280" s="210">
        <v>54216</v>
      </c>
      <c r="AB1280" s="27">
        <v>60</v>
      </c>
      <c r="AC1280" s="27">
        <v>47</v>
      </c>
      <c r="AD1280" s="17">
        <v>46402</v>
      </c>
      <c r="AE1280" s="56">
        <v>808.5</v>
      </c>
      <c r="AF1280" s="56"/>
      <c r="AP1280" s="11"/>
      <c r="AQ1280" s="11"/>
      <c r="AR1280" s="11"/>
      <c r="AW1280" s="9"/>
      <c r="BD1280" s="9"/>
      <c r="CS1280" s="11">
        <f t="shared" si="89"/>
        <v>0</v>
      </c>
      <c r="CT1280" s="22">
        <f t="shared" si="90"/>
        <v>0</v>
      </c>
      <c r="CU1280" s="22">
        <f t="shared" si="88"/>
        <v>0</v>
      </c>
      <c r="CV1280" s="26">
        <f t="shared" si="91"/>
        <v>808.5</v>
      </c>
    </row>
    <row r="1281" spans="1:100" x14ac:dyDescent="0.2">
      <c r="A1281" s="9" t="s">
        <v>356</v>
      </c>
      <c r="B1281" s="2">
        <v>67</v>
      </c>
      <c r="C1281" s="3" t="s">
        <v>95</v>
      </c>
      <c r="D1281" s="3" t="s">
        <v>96</v>
      </c>
      <c r="E1281" s="2" t="s">
        <v>68</v>
      </c>
      <c r="F1281" s="2">
        <v>11</v>
      </c>
      <c r="G1281" s="2" t="s">
        <v>73</v>
      </c>
      <c r="H1281" s="2">
        <v>1</v>
      </c>
      <c r="I1281" s="8">
        <v>120.73</v>
      </c>
      <c r="J1281" s="8">
        <v>38900</v>
      </c>
      <c r="K1281" s="3">
        <v>0</v>
      </c>
      <c r="L1281" s="3" t="s">
        <v>3</v>
      </c>
      <c r="M1281" s="9" t="s">
        <v>0</v>
      </c>
      <c r="N1281" s="9" t="s">
        <v>29</v>
      </c>
      <c r="O1281" s="9" t="s">
        <v>3513</v>
      </c>
      <c r="P1281" s="30" t="s">
        <v>0</v>
      </c>
      <c r="Q1281" s="9">
        <v>7490745</v>
      </c>
      <c r="R1281" s="9" t="s">
        <v>357</v>
      </c>
      <c r="S1281" s="9" t="s">
        <v>158</v>
      </c>
      <c r="T1281" s="10" t="s">
        <v>73</v>
      </c>
      <c r="U1281" s="10">
        <v>1</v>
      </c>
      <c r="V1281" s="10">
        <v>120.73</v>
      </c>
      <c r="W1281" s="10" t="s">
        <v>710</v>
      </c>
      <c r="X1281" s="17">
        <v>44640</v>
      </c>
      <c r="Y1281" s="17">
        <v>44952</v>
      </c>
      <c r="Z1281" s="19" t="s">
        <v>772</v>
      </c>
      <c r="AA1281" s="210">
        <v>54216</v>
      </c>
      <c r="AB1281" s="27">
        <v>60</v>
      </c>
      <c r="AC1281" s="27">
        <v>48</v>
      </c>
      <c r="AD1281" s="17">
        <v>46433</v>
      </c>
      <c r="AE1281" s="56">
        <v>808.5</v>
      </c>
      <c r="AF1281" s="56"/>
      <c r="AP1281" s="11"/>
      <c r="AQ1281" s="11"/>
      <c r="AR1281" s="11"/>
      <c r="AW1281" s="9"/>
      <c r="BD1281" s="9"/>
      <c r="CS1281" s="11">
        <f t="shared" si="89"/>
        <v>0</v>
      </c>
      <c r="CT1281" s="22">
        <f t="shared" si="90"/>
        <v>0</v>
      </c>
      <c r="CU1281" s="22">
        <f t="shared" si="88"/>
        <v>0</v>
      </c>
      <c r="CV1281" s="26">
        <f t="shared" si="91"/>
        <v>808.5</v>
      </c>
    </row>
    <row r="1282" spans="1:100" x14ac:dyDescent="0.2">
      <c r="A1282" s="9" t="s">
        <v>356</v>
      </c>
      <c r="B1282" s="2">
        <v>67</v>
      </c>
      <c r="C1282" s="3" t="s">
        <v>95</v>
      </c>
      <c r="D1282" s="3" t="s">
        <v>96</v>
      </c>
      <c r="E1282" s="2" t="s">
        <v>68</v>
      </c>
      <c r="F1282" s="2">
        <v>11</v>
      </c>
      <c r="G1282" s="2" t="s">
        <v>73</v>
      </c>
      <c r="H1282" s="2">
        <v>1</v>
      </c>
      <c r="I1282" s="8">
        <v>120.73</v>
      </c>
      <c r="J1282" s="8">
        <v>38900</v>
      </c>
      <c r="K1282" s="3">
        <v>0</v>
      </c>
      <c r="L1282" s="3" t="s">
        <v>3</v>
      </c>
      <c r="M1282" s="9" t="s">
        <v>0</v>
      </c>
      <c r="N1282" s="9" t="s">
        <v>29</v>
      </c>
      <c r="O1282" s="9" t="s">
        <v>3513</v>
      </c>
      <c r="P1282" s="30" t="s">
        <v>0</v>
      </c>
      <c r="Q1282" s="9">
        <v>7490745</v>
      </c>
      <c r="R1282" s="9" t="s">
        <v>357</v>
      </c>
      <c r="S1282" s="9" t="s">
        <v>158</v>
      </c>
      <c r="T1282" s="10" t="s">
        <v>73</v>
      </c>
      <c r="U1282" s="10">
        <v>1</v>
      </c>
      <c r="V1282" s="10">
        <v>120.73</v>
      </c>
      <c r="W1282" s="10" t="s">
        <v>710</v>
      </c>
      <c r="X1282" s="17">
        <v>44640</v>
      </c>
      <c r="Y1282" s="17">
        <v>44952</v>
      </c>
      <c r="Z1282" s="19" t="s">
        <v>772</v>
      </c>
      <c r="AA1282" s="210">
        <v>54216</v>
      </c>
      <c r="AB1282" s="27">
        <v>60</v>
      </c>
      <c r="AC1282" s="27">
        <v>49</v>
      </c>
      <c r="AD1282" s="17">
        <v>46461</v>
      </c>
      <c r="AE1282" s="56">
        <v>808.5</v>
      </c>
      <c r="AF1282" s="56"/>
      <c r="AP1282" s="11"/>
      <c r="AQ1282" s="11"/>
      <c r="AR1282" s="11"/>
      <c r="AW1282" s="9"/>
      <c r="BD1282" s="9"/>
      <c r="CS1282" s="11">
        <f t="shared" si="89"/>
        <v>0</v>
      </c>
      <c r="CT1282" s="22">
        <f t="shared" si="90"/>
        <v>0</v>
      </c>
      <c r="CU1282" s="22">
        <f t="shared" si="88"/>
        <v>0</v>
      </c>
      <c r="CV1282" s="26">
        <f t="shared" si="91"/>
        <v>808.5</v>
      </c>
    </row>
    <row r="1283" spans="1:100" x14ac:dyDescent="0.2">
      <c r="A1283" s="9" t="s">
        <v>356</v>
      </c>
      <c r="B1283" s="2">
        <v>67</v>
      </c>
      <c r="C1283" s="3" t="s">
        <v>95</v>
      </c>
      <c r="D1283" s="3" t="s">
        <v>96</v>
      </c>
      <c r="E1283" s="2" t="s">
        <v>68</v>
      </c>
      <c r="F1283" s="2">
        <v>11</v>
      </c>
      <c r="G1283" s="2" t="s">
        <v>73</v>
      </c>
      <c r="H1283" s="2">
        <v>1</v>
      </c>
      <c r="I1283" s="8">
        <v>120.73</v>
      </c>
      <c r="J1283" s="8">
        <v>38900</v>
      </c>
      <c r="K1283" s="3">
        <v>0</v>
      </c>
      <c r="L1283" s="3" t="s">
        <v>3</v>
      </c>
      <c r="M1283" s="9" t="s">
        <v>0</v>
      </c>
      <c r="N1283" s="9" t="s">
        <v>29</v>
      </c>
      <c r="O1283" s="9" t="s">
        <v>3513</v>
      </c>
      <c r="P1283" s="30" t="s">
        <v>0</v>
      </c>
      <c r="Q1283" s="9">
        <v>7490745</v>
      </c>
      <c r="R1283" s="9" t="s">
        <v>357</v>
      </c>
      <c r="S1283" s="9" t="s">
        <v>158</v>
      </c>
      <c r="T1283" s="10" t="s">
        <v>73</v>
      </c>
      <c r="U1283" s="10">
        <v>1</v>
      </c>
      <c r="V1283" s="10">
        <v>120.73</v>
      </c>
      <c r="W1283" s="10" t="s">
        <v>710</v>
      </c>
      <c r="X1283" s="17">
        <v>44640</v>
      </c>
      <c r="Y1283" s="17">
        <v>44952</v>
      </c>
      <c r="Z1283" s="19" t="s">
        <v>772</v>
      </c>
      <c r="AA1283" s="210">
        <v>54216</v>
      </c>
      <c r="AB1283" s="27">
        <v>60</v>
      </c>
      <c r="AC1283" s="27">
        <v>50</v>
      </c>
      <c r="AD1283" s="17">
        <v>46492</v>
      </c>
      <c r="AE1283" s="56">
        <v>808.5</v>
      </c>
      <c r="AF1283" s="56"/>
      <c r="AP1283" s="11"/>
      <c r="AQ1283" s="11"/>
      <c r="AR1283" s="11"/>
      <c r="AW1283" s="9"/>
      <c r="BD1283" s="9"/>
      <c r="CS1283" s="11">
        <f t="shared" si="89"/>
        <v>0</v>
      </c>
      <c r="CT1283" s="22">
        <f t="shared" si="90"/>
        <v>0</v>
      </c>
      <c r="CU1283" s="22">
        <f t="shared" si="88"/>
        <v>0</v>
      </c>
      <c r="CV1283" s="26">
        <f t="shared" si="91"/>
        <v>808.5</v>
      </c>
    </row>
    <row r="1284" spans="1:100" x14ac:dyDescent="0.2">
      <c r="A1284" s="9" t="s">
        <v>356</v>
      </c>
      <c r="B1284" s="2">
        <v>67</v>
      </c>
      <c r="C1284" s="3" t="s">
        <v>95</v>
      </c>
      <c r="D1284" s="3" t="s">
        <v>96</v>
      </c>
      <c r="E1284" s="2" t="s">
        <v>68</v>
      </c>
      <c r="F1284" s="2">
        <v>11</v>
      </c>
      <c r="G1284" s="2" t="s">
        <v>73</v>
      </c>
      <c r="H1284" s="2">
        <v>1</v>
      </c>
      <c r="I1284" s="8">
        <v>120.73</v>
      </c>
      <c r="J1284" s="8">
        <v>38900</v>
      </c>
      <c r="K1284" s="3">
        <v>0</v>
      </c>
      <c r="L1284" s="3" t="s">
        <v>3</v>
      </c>
      <c r="M1284" s="9" t="s">
        <v>0</v>
      </c>
      <c r="N1284" s="9" t="s">
        <v>29</v>
      </c>
      <c r="O1284" s="9" t="s">
        <v>3513</v>
      </c>
      <c r="P1284" s="30" t="s">
        <v>0</v>
      </c>
      <c r="Q1284" s="9">
        <v>7490745</v>
      </c>
      <c r="R1284" s="9" t="s">
        <v>357</v>
      </c>
      <c r="S1284" s="9" t="s">
        <v>158</v>
      </c>
      <c r="T1284" s="10" t="s">
        <v>73</v>
      </c>
      <c r="U1284" s="10">
        <v>1</v>
      </c>
      <c r="V1284" s="10">
        <v>120.73</v>
      </c>
      <c r="W1284" s="10" t="s">
        <v>710</v>
      </c>
      <c r="X1284" s="17">
        <v>44640</v>
      </c>
      <c r="Y1284" s="17">
        <v>44952</v>
      </c>
      <c r="Z1284" s="19" t="s">
        <v>772</v>
      </c>
      <c r="AA1284" s="210">
        <v>54216</v>
      </c>
      <c r="AB1284" s="27">
        <v>60</v>
      </c>
      <c r="AC1284" s="27">
        <v>51</v>
      </c>
      <c r="AD1284" s="17">
        <v>46522</v>
      </c>
      <c r="AE1284" s="56">
        <v>808.5</v>
      </c>
      <c r="AF1284" s="56"/>
      <c r="AP1284" s="11"/>
      <c r="AQ1284" s="11"/>
      <c r="AR1284" s="11"/>
      <c r="AW1284" s="9"/>
      <c r="BD1284" s="9"/>
      <c r="CS1284" s="11">
        <f t="shared" si="89"/>
        <v>0</v>
      </c>
      <c r="CT1284" s="22">
        <f t="shared" si="90"/>
        <v>0</v>
      </c>
      <c r="CU1284" s="22">
        <f t="shared" si="88"/>
        <v>0</v>
      </c>
      <c r="CV1284" s="26">
        <f t="shared" si="91"/>
        <v>808.5</v>
      </c>
    </row>
    <row r="1285" spans="1:100" x14ac:dyDescent="0.2">
      <c r="A1285" s="9" t="s">
        <v>356</v>
      </c>
      <c r="B1285" s="2">
        <v>67</v>
      </c>
      <c r="C1285" s="3" t="s">
        <v>95</v>
      </c>
      <c r="D1285" s="3" t="s">
        <v>96</v>
      </c>
      <c r="E1285" s="2" t="s">
        <v>68</v>
      </c>
      <c r="F1285" s="2">
        <v>11</v>
      </c>
      <c r="G1285" s="2" t="s">
        <v>73</v>
      </c>
      <c r="H1285" s="2">
        <v>1</v>
      </c>
      <c r="I1285" s="8">
        <v>120.73</v>
      </c>
      <c r="J1285" s="8">
        <v>38900</v>
      </c>
      <c r="K1285" s="3">
        <v>0</v>
      </c>
      <c r="L1285" s="3" t="s">
        <v>3</v>
      </c>
      <c r="M1285" s="9" t="s">
        <v>0</v>
      </c>
      <c r="N1285" s="9" t="s">
        <v>29</v>
      </c>
      <c r="O1285" s="9" t="s">
        <v>3513</v>
      </c>
      <c r="P1285" s="30" t="s">
        <v>0</v>
      </c>
      <c r="Q1285" s="9">
        <v>7490745</v>
      </c>
      <c r="R1285" s="9" t="s">
        <v>357</v>
      </c>
      <c r="S1285" s="9" t="s">
        <v>158</v>
      </c>
      <c r="T1285" s="10" t="s">
        <v>73</v>
      </c>
      <c r="U1285" s="10">
        <v>1</v>
      </c>
      <c r="V1285" s="10">
        <v>120.73</v>
      </c>
      <c r="W1285" s="10" t="s">
        <v>710</v>
      </c>
      <c r="X1285" s="17">
        <v>44640</v>
      </c>
      <c r="Y1285" s="17">
        <v>44952</v>
      </c>
      <c r="Z1285" s="19" t="s">
        <v>772</v>
      </c>
      <c r="AA1285" s="210">
        <v>54216</v>
      </c>
      <c r="AB1285" s="27">
        <v>60</v>
      </c>
      <c r="AC1285" s="27">
        <v>52</v>
      </c>
      <c r="AD1285" s="17">
        <v>46553</v>
      </c>
      <c r="AE1285" s="56">
        <v>808.5</v>
      </c>
      <c r="AF1285" s="56"/>
      <c r="AP1285" s="11"/>
      <c r="AQ1285" s="11"/>
      <c r="AR1285" s="11"/>
      <c r="AW1285" s="9"/>
      <c r="BD1285" s="9"/>
      <c r="CS1285" s="11">
        <f t="shared" si="89"/>
        <v>0</v>
      </c>
      <c r="CT1285" s="22">
        <f t="shared" si="90"/>
        <v>0</v>
      </c>
      <c r="CU1285" s="22">
        <f t="shared" si="88"/>
        <v>0</v>
      </c>
      <c r="CV1285" s="26">
        <f t="shared" si="91"/>
        <v>808.5</v>
      </c>
    </row>
    <row r="1286" spans="1:100" x14ac:dyDescent="0.2">
      <c r="A1286" s="9" t="s">
        <v>356</v>
      </c>
      <c r="B1286" s="2">
        <v>67</v>
      </c>
      <c r="C1286" s="3" t="s">
        <v>95</v>
      </c>
      <c r="D1286" s="3" t="s">
        <v>96</v>
      </c>
      <c r="E1286" s="2" t="s">
        <v>68</v>
      </c>
      <c r="F1286" s="2">
        <v>11</v>
      </c>
      <c r="G1286" s="2" t="s">
        <v>73</v>
      </c>
      <c r="H1286" s="2">
        <v>1</v>
      </c>
      <c r="I1286" s="8">
        <v>120.73</v>
      </c>
      <c r="J1286" s="8">
        <v>38900</v>
      </c>
      <c r="K1286" s="3">
        <v>0</v>
      </c>
      <c r="L1286" s="3" t="s">
        <v>3</v>
      </c>
      <c r="M1286" s="9" t="s">
        <v>0</v>
      </c>
      <c r="N1286" s="9" t="s">
        <v>29</v>
      </c>
      <c r="O1286" s="9" t="s">
        <v>3513</v>
      </c>
      <c r="P1286" s="30" t="s">
        <v>0</v>
      </c>
      <c r="Q1286" s="9">
        <v>7490745</v>
      </c>
      <c r="R1286" s="9" t="s">
        <v>357</v>
      </c>
      <c r="S1286" s="9" t="s">
        <v>158</v>
      </c>
      <c r="T1286" s="10" t="s">
        <v>73</v>
      </c>
      <c r="U1286" s="10">
        <v>1</v>
      </c>
      <c r="V1286" s="10">
        <v>120.73</v>
      </c>
      <c r="W1286" s="10" t="s">
        <v>710</v>
      </c>
      <c r="X1286" s="17">
        <v>44640</v>
      </c>
      <c r="Y1286" s="17">
        <v>44952</v>
      </c>
      <c r="Z1286" s="19" t="s">
        <v>772</v>
      </c>
      <c r="AA1286" s="210">
        <v>54216</v>
      </c>
      <c r="AB1286" s="27">
        <v>60</v>
      </c>
      <c r="AC1286" s="27">
        <v>53</v>
      </c>
      <c r="AD1286" s="17">
        <v>46583</v>
      </c>
      <c r="AE1286" s="56">
        <v>808.5</v>
      </c>
      <c r="AF1286" s="56"/>
      <c r="AP1286" s="11"/>
      <c r="AQ1286" s="11"/>
      <c r="AR1286" s="11"/>
      <c r="AW1286" s="9"/>
      <c r="BD1286" s="9"/>
      <c r="CS1286" s="11">
        <f t="shared" si="89"/>
        <v>0</v>
      </c>
      <c r="CT1286" s="22">
        <f t="shared" si="90"/>
        <v>0</v>
      </c>
      <c r="CU1286" s="22">
        <f t="shared" si="88"/>
        <v>0</v>
      </c>
      <c r="CV1286" s="26">
        <f t="shared" si="91"/>
        <v>808.5</v>
      </c>
    </row>
    <row r="1287" spans="1:100" x14ac:dyDescent="0.2">
      <c r="A1287" s="9" t="s">
        <v>356</v>
      </c>
      <c r="B1287" s="2">
        <v>67</v>
      </c>
      <c r="C1287" s="3" t="s">
        <v>95</v>
      </c>
      <c r="D1287" s="3" t="s">
        <v>96</v>
      </c>
      <c r="E1287" s="2" t="s">
        <v>68</v>
      </c>
      <c r="F1287" s="2">
        <v>11</v>
      </c>
      <c r="G1287" s="2" t="s">
        <v>73</v>
      </c>
      <c r="H1287" s="2">
        <v>1</v>
      </c>
      <c r="I1287" s="8">
        <v>120.73</v>
      </c>
      <c r="J1287" s="8">
        <v>38900</v>
      </c>
      <c r="K1287" s="3">
        <v>0</v>
      </c>
      <c r="L1287" s="3" t="s">
        <v>3</v>
      </c>
      <c r="M1287" s="9" t="s">
        <v>0</v>
      </c>
      <c r="N1287" s="9" t="s">
        <v>29</v>
      </c>
      <c r="O1287" s="9" t="s">
        <v>3513</v>
      </c>
      <c r="P1287" s="30" t="s">
        <v>0</v>
      </c>
      <c r="Q1287" s="9">
        <v>7490745</v>
      </c>
      <c r="R1287" s="9" t="s">
        <v>357</v>
      </c>
      <c r="S1287" s="9" t="s">
        <v>158</v>
      </c>
      <c r="T1287" s="10" t="s">
        <v>73</v>
      </c>
      <c r="U1287" s="10">
        <v>1</v>
      </c>
      <c r="V1287" s="10">
        <v>120.73</v>
      </c>
      <c r="W1287" s="10" t="s">
        <v>710</v>
      </c>
      <c r="X1287" s="17">
        <v>44640</v>
      </c>
      <c r="Y1287" s="17">
        <v>44952</v>
      </c>
      <c r="Z1287" s="19" t="s">
        <v>772</v>
      </c>
      <c r="AA1287" s="210">
        <v>54216</v>
      </c>
      <c r="AB1287" s="27">
        <v>60</v>
      </c>
      <c r="AC1287" s="27">
        <v>54</v>
      </c>
      <c r="AD1287" s="17">
        <v>46614</v>
      </c>
      <c r="AE1287" s="56">
        <v>808.5</v>
      </c>
      <c r="AF1287" s="56"/>
      <c r="AP1287" s="11"/>
      <c r="AQ1287" s="11"/>
      <c r="AR1287" s="11"/>
      <c r="AW1287" s="9"/>
      <c r="BD1287" s="9"/>
      <c r="CS1287" s="11">
        <f t="shared" si="89"/>
        <v>0</v>
      </c>
      <c r="CT1287" s="22">
        <f t="shared" si="90"/>
        <v>0</v>
      </c>
      <c r="CU1287" s="22">
        <f t="shared" si="88"/>
        <v>0</v>
      </c>
      <c r="CV1287" s="26">
        <f t="shared" si="91"/>
        <v>808.5</v>
      </c>
    </row>
    <row r="1288" spans="1:100" x14ac:dyDescent="0.2">
      <c r="A1288" s="9" t="s">
        <v>356</v>
      </c>
      <c r="B1288" s="2">
        <v>67</v>
      </c>
      <c r="C1288" s="3" t="s">
        <v>95</v>
      </c>
      <c r="D1288" s="3" t="s">
        <v>96</v>
      </c>
      <c r="E1288" s="2" t="s">
        <v>68</v>
      </c>
      <c r="F1288" s="2">
        <v>11</v>
      </c>
      <c r="G1288" s="2" t="s">
        <v>73</v>
      </c>
      <c r="H1288" s="2">
        <v>1</v>
      </c>
      <c r="I1288" s="8">
        <v>120.73</v>
      </c>
      <c r="J1288" s="8">
        <v>38900</v>
      </c>
      <c r="K1288" s="3">
        <v>0</v>
      </c>
      <c r="L1288" s="3" t="s">
        <v>3</v>
      </c>
      <c r="M1288" s="9" t="s">
        <v>0</v>
      </c>
      <c r="N1288" s="9" t="s">
        <v>29</v>
      </c>
      <c r="O1288" s="9" t="s">
        <v>3513</v>
      </c>
      <c r="P1288" s="30" t="s">
        <v>0</v>
      </c>
      <c r="Q1288" s="9">
        <v>7490745</v>
      </c>
      <c r="R1288" s="9" t="s">
        <v>357</v>
      </c>
      <c r="S1288" s="9" t="s">
        <v>158</v>
      </c>
      <c r="T1288" s="10" t="s">
        <v>73</v>
      </c>
      <c r="U1288" s="10">
        <v>1</v>
      </c>
      <c r="V1288" s="10">
        <v>120.73</v>
      </c>
      <c r="W1288" s="10" t="s">
        <v>710</v>
      </c>
      <c r="X1288" s="17">
        <v>44640</v>
      </c>
      <c r="Y1288" s="17">
        <v>44952</v>
      </c>
      <c r="Z1288" s="19" t="s">
        <v>772</v>
      </c>
      <c r="AA1288" s="210">
        <v>54216</v>
      </c>
      <c r="AB1288" s="27">
        <v>60</v>
      </c>
      <c r="AC1288" s="27">
        <v>55</v>
      </c>
      <c r="AD1288" s="17">
        <v>46645</v>
      </c>
      <c r="AE1288" s="56">
        <v>808.5</v>
      </c>
      <c r="AF1288" s="56"/>
      <c r="AP1288" s="11"/>
      <c r="AQ1288" s="11"/>
      <c r="AR1288" s="11"/>
      <c r="AW1288" s="9"/>
      <c r="BD1288" s="9"/>
      <c r="CS1288" s="11">
        <f t="shared" si="89"/>
        <v>0</v>
      </c>
      <c r="CT1288" s="22">
        <f t="shared" si="90"/>
        <v>0</v>
      </c>
      <c r="CU1288" s="22">
        <f t="shared" si="88"/>
        <v>0</v>
      </c>
      <c r="CV1288" s="26">
        <f t="shared" si="91"/>
        <v>808.5</v>
      </c>
    </row>
    <row r="1289" spans="1:100" x14ac:dyDescent="0.2">
      <c r="A1289" s="9" t="s">
        <v>356</v>
      </c>
      <c r="B1289" s="2">
        <v>67</v>
      </c>
      <c r="C1289" s="3" t="s">
        <v>95</v>
      </c>
      <c r="D1289" s="3" t="s">
        <v>96</v>
      </c>
      <c r="E1289" s="2" t="s">
        <v>68</v>
      </c>
      <c r="F1289" s="2">
        <v>11</v>
      </c>
      <c r="G1289" s="2" t="s">
        <v>73</v>
      </c>
      <c r="H1289" s="2">
        <v>1</v>
      </c>
      <c r="I1289" s="8">
        <v>120.73</v>
      </c>
      <c r="J1289" s="8">
        <v>38900</v>
      </c>
      <c r="K1289" s="3">
        <v>0</v>
      </c>
      <c r="L1289" s="3" t="s">
        <v>3</v>
      </c>
      <c r="M1289" s="9" t="s">
        <v>0</v>
      </c>
      <c r="N1289" s="9" t="s">
        <v>29</v>
      </c>
      <c r="O1289" s="9" t="s">
        <v>3513</v>
      </c>
      <c r="P1289" s="30" t="s">
        <v>0</v>
      </c>
      <c r="Q1289" s="9">
        <v>7490745</v>
      </c>
      <c r="R1289" s="9" t="s">
        <v>357</v>
      </c>
      <c r="S1289" s="9" t="s">
        <v>158</v>
      </c>
      <c r="T1289" s="10" t="s">
        <v>73</v>
      </c>
      <c r="U1289" s="10">
        <v>1</v>
      </c>
      <c r="V1289" s="10">
        <v>120.73</v>
      </c>
      <c r="W1289" s="10" t="s">
        <v>710</v>
      </c>
      <c r="X1289" s="17">
        <v>44640</v>
      </c>
      <c r="Y1289" s="17">
        <v>44952</v>
      </c>
      <c r="Z1289" s="19" t="s">
        <v>772</v>
      </c>
      <c r="AA1289" s="210">
        <v>54216</v>
      </c>
      <c r="AB1289" s="27">
        <v>60</v>
      </c>
      <c r="AC1289" s="27">
        <v>56</v>
      </c>
      <c r="AD1289" s="17">
        <v>46675</v>
      </c>
      <c r="AE1289" s="56">
        <v>808.5</v>
      </c>
      <c r="AF1289" s="56"/>
      <c r="AP1289" s="11"/>
      <c r="AQ1289" s="11"/>
      <c r="AR1289" s="11"/>
      <c r="AW1289" s="9"/>
      <c r="BD1289" s="9"/>
      <c r="CS1289" s="11">
        <f t="shared" si="89"/>
        <v>0</v>
      </c>
      <c r="CT1289" s="22">
        <f t="shared" si="90"/>
        <v>0</v>
      </c>
      <c r="CU1289" s="22">
        <f t="shared" si="88"/>
        <v>0</v>
      </c>
      <c r="CV1289" s="26">
        <f t="shared" si="91"/>
        <v>808.5</v>
      </c>
    </row>
    <row r="1290" spans="1:100" x14ac:dyDescent="0.2">
      <c r="A1290" s="9" t="s">
        <v>356</v>
      </c>
      <c r="B1290" s="2">
        <v>67</v>
      </c>
      <c r="C1290" s="3" t="s">
        <v>95</v>
      </c>
      <c r="D1290" s="3" t="s">
        <v>96</v>
      </c>
      <c r="E1290" s="2" t="s">
        <v>68</v>
      </c>
      <c r="F1290" s="2">
        <v>11</v>
      </c>
      <c r="G1290" s="2" t="s">
        <v>73</v>
      </c>
      <c r="H1290" s="2">
        <v>1</v>
      </c>
      <c r="I1290" s="8">
        <v>120.73</v>
      </c>
      <c r="J1290" s="8">
        <v>38900</v>
      </c>
      <c r="K1290" s="3">
        <v>0</v>
      </c>
      <c r="L1290" s="3" t="s">
        <v>3</v>
      </c>
      <c r="M1290" s="9" t="s">
        <v>0</v>
      </c>
      <c r="N1290" s="9" t="s">
        <v>29</v>
      </c>
      <c r="O1290" s="9" t="s">
        <v>3513</v>
      </c>
      <c r="P1290" s="30" t="s">
        <v>0</v>
      </c>
      <c r="Q1290" s="9">
        <v>7490745</v>
      </c>
      <c r="R1290" s="9" t="s">
        <v>357</v>
      </c>
      <c r="S1290" s="9" t="s">
        <v>158</v>
      </c>
      <c r="T1290" s="10" t="s">
        <v>73</v>
      </c>
      <c r="U1290" s="10">
        <v>1</v>
      </c>
      <c r="V1290" s="10">
        <v>120.73</v>
      </c>
      <c r="W1290" s="10" t="s">
        <v>710</v>
      </c>
      <c r="X1290" s="17">
        <v>44640</v>
      </c>
      <c r="Y1290" s="17">
        <v>44952</v>
      </c>
      <c r="Z1290" s="19" t="s">
        <v>772</v>
      </c>
      <c r="AA1290" s="210">
        <v>54216</v>
      </c>
      <c r="AB1290" s="27">
        <v>60</v>
      </c>
      <c r="AC1290" s="27">
        <v>57</v>
      </c>
      <c r="AD1290" s="17">
        <v>46706</v>
      </c>
      <c r="AE1290" s="56">
        <v>808.5</v>
      </c>
      <c r="AF1290" s="56"/>
      <c r="AP1290" s="11"/>
      <c r="AQ1290" s="11"/>
      <c r="AR1290" s="11"/>
      <c r="AW1290" s="9"/>
      <c r="BD1290" s="9"/>
      <c r="CS1290" s="11">
        <f t="shared" si="89"/>
        <v>0</v>
      </c>
      <c r="CT1290" s="22">
        <f t="shared" si="90"/>
        <v>0</v>
      </c>
      <c r="CU1290" s="22">
        <f t="shared" si="88"/>
        <v>0</v>
      </c>
      <c r="CV1290" s="26">
        <f t="shared" si="91"/>
        <v>808.5</v>
      </c>
    </row>
    <row r="1291" spans="1:100" x14ac:dyDescent="0.2">
      <c r="A1291" s="9" t="s">
        <v>356</v>
      </c>
      <c r="B1291" s="2">
        <v>67</v>
      </c>
      <c r="C1291" s="3" t="s">
        <v>95</v>
      </c>
      <c r="D1291" s="3" t="s">
        <v>96</v>
      </c>
      <c r="E1291" s="2" t="s">
        <v>68</v>
      </c>
      <c r="F1291" s="2">
        <v>11</v>
      </c>
      <c r="G1291" s="2" t="s">
        <v>73</v>
      </c>
      <c r="H1291" s="2">
        <v>1</v>
      </c>
      <c r="I1291" s="8">
        <v>120.73</v>
      </c>
      <c r="J1291" s="8">
        <v>38900</v>
      </c>
      <c r="K1291" s="3">
        <v>0</v>
      </c>
      <c r="L1291" s="3" t="s">
        <v>3</v>
      </c>
      <c r="M1291" s="9" t="s">
        <v>0</v>
      </c>
      <c r="N1291" s="9" t="s">
        <v>29</v>
      </c>
      <c r="O1291" s="9" t="s">
        <v>3513</v>
      </c>
      <c r="P1291" s="30" t="s">
        <v>0</v>
      </c>
      <c r="Q1291" s="9">
        <v>7490745</v>
      </c>
      <c r="R1291" s="9" t="s">
        <v>357</v>
      </c>
      <c r="S1291" s="9" t="s">
        <v>158</v>
      </c>
      <c r="T1291" s="10" t="s">
        <v>73</v>
      </c>
      <c r="U1291" s="10">
        <v>1</v>
      </c>
      <c r="V1291" s="10">
        <v>120.73</v>
      </c>
      <c r="W1291" s="10" t="s">
        <v>710</v>
      </c>
      <c r="X1291" s="17">
        <v>44640</v>
      </c>
      <c r="Y1291" s="17">
        <v>44952</v>
      </c>
      <c r="Z1291" s="19" t="s">
        <v>772</v>
      </c>
      <c r="AA1291" s="210">
        <v>54216</v>
      </c>
      <c r="AB1291" s="27">
        <v>60</v>
      </c>
      <c r="AC1291" s="27">
        <v>58</v>
      </c>
      <c r="AD1291" s="17">
        <v>46736</v>
      </c>
      <c r="AE1291" s="56">
        <v>808.5</v>
      </c>
      <c r="AF1291" s="56"/>
      <c r="AP1291" s="11"/>
      <c r="AQ1291" s="11"/>
      <c r="AR1291" s="11"/>
      <c r="AW1291" s="9"/>
      <c r="BD1291" s="9"/>
      <c r="CS1291" s="11">
        <f t="shared" si="89"/>
        <v>0</v>
      </c>
      <c r="CT1291" s="22">
        <f t="shared" si="90"/>
        <v>0</v>
      </c>
      <c r="CU1291" s="22">
        <f t="shared" si="88"/>
        <v>0</v>
      </c>
      <c r="CV1291" s="26">
        <f t="shared" si="91"/>
        <v>808.5</v>
      </c>
    </row>
    <row r="1292" spans="1:100" x14ac:dyDescent="0.2">
      <c r="A1292" s="9" t="s">
        <v>356</v>
      </c>
      <c r="B1292" s="2">
        <v>67</v>
      </c>
      <c r="C1292" s="3" t="s">
        <v>95</v>
      </c>
      <c r="D1292" s="3" t="s">
        <v>96</v>
      </c>
      <c r="E1292" s="2" t="s">
        <v>68</v>
      </c>
      <c r="F1292" s="2">
        <v>11</v>
      </c>
      <c r="G1292" s="2" t="s">
        <v>73</v>
      </c>
      <c r="H1292" s="2">
        <v>1</v>
      </c>
      <c r="I1292" s="8">
        <v>120.73</v>
      </c>
      <c r="J1292" s="8">
        <v>38900</v>
      </c>
      <c r="K1292" s="3">
        <v>0</v>
      </c>
      <c r="L1292" s="3" t="s">
        <v>3</v>
      </c>
      <c r="M1292" s="9" t="s">
        <v>0</v>
      </c>
      <c r="N1292" s="9" t="s">
        <v>29</v>
      </c>
      <c r="O1292" s="9" t="s">
        <v>3513</v>
      </c>
      <c r="P1292" s="30" t="s">
        <v>0</v>
      </c>
      <c r="Q1292" s="9">
        <v>7490745</v>
      </c>
      <c r="R1292" s="9" t="s">
        <v>357</v>
      </c>
      <c r="S1292" s="9" t="s">
        <v>158</v>
      </c>
      <c r="T1292" s="10" t="s">
        <v>73</v>
      </c>
      <c r="U1292" s="10">
        <v>1</v>
      </c>
      <c r="V1292" s="10">
        <v>120.73</v>
      </c>
      <c r="W1292" s="10" t="s">
        <v>710</v>
      </c>
      <c r="X1292" s="17">
        <v>44640</v>
      </c>
      <c r="Y1292" s="17">
        <v>44952</v>
      </c>
      <c r="Z1292" s="19" t="s">
        <v>772</v>
      </c>
      <c r="AA1292" s="210">
        <v>54216</v>
      </c>
      <c r="AB1292" s="27">
        <v>60</v>
      </c>
      <c r="AC1292" s="27">
        <v>59</v>
      </c>
      <c r="AD1292" s="17">
        <v>46767</v>
      </c>
      <c r="AE1292" s="56">
        <v>808.5</v>
      </c>
      <c r="AF1292" s="56"/>
      <c r="AP1292" s="11"/>
      <c r="AQ1292" s="11"/>
      <c r="AR1292" s="11"/>
      <c r="AW1292" s="9"/>
      <c r="BD1292" s="9"/>
      <c r="CS1292" s="11">
        <f t="shared" si="89"/>
        <v>0</v>
      </c>
      <c r="CT1292" s="22">
        <f t="shared" si="90"/>
        <v>0</v>
      </c>
      <c r="CU1292" s="22">
        <f t="shared" si="88"/>
        <v>0</v>
      </c>
      <c r="CV1292" s="26">
        <f t="shared" si="91"/>
        <v>808.5</v>
      </c>
    </row>
    <row r="1293" spans="1:100" x14ac:dyDescent="0.2">
      <c r="A1293" s="9" t="s">
        <v>356</v>
      </c>
      <c r="B1293" s="2">
        <v>67</v>
      </c>
      <c r="C1293" s="3" t="s">
        <v>95</v>
      </c>
      <c r="D1293" s="3" t="s">
        <v>96</v>
      </c>
      <c r="E1293" s="2" t="s">
        <v>68</v>
      </c>
      <c r="F1293" s="2">
        <v>11</v>
      </c>
      <c r="G1293" s="2" t="s">
        <v>73</v>
      </c>
      <c r="H1293" s="2">
        <v>1</v>
      </c>
      <c r="I1293" s="8">
        <v>120.73</v>
      </c>
      <c r="J1293" s="8">
        <v>38900</v>
      </c>
      <c r="K1293" s="3">
        <v>0</v>
      </c>
      <c r="L1293" s="3" t="s">
        <v>3</v>
      </c>
      <c r="M1293" s="9" t="s">
        <v>0</v>
      </c>
      <c r="N1293" s="9" t="s">
        <v>29</v>
      </c>
      <c r="O1293" s="9" t="s">
        <v>3513</v>
      </c>
      <c r="P1293" s="30" t="s">
        <v>0</v>
      </c>
      <c r="Q1293" s="9">
        <v>7490745</v>
      </c>
      <c r="R1293" s="9" t="s">
        <v>357</v>
      </c>
      <c r="S1293" s="9" t="s">
        <v>158</v>
      </c>
      <c r="T1293" s="10" t="s">
        <v>73</v>
      </c>
      <c r="U1293" s="10">
        <v>1</v>
      </c>
      <c r="V1293" s="10">
        <v>120.73</v>
      </c>
      <c r="W1293" s="10" t="s">
        <v>710</v>
      </c>
      <c r="X1293" s="17">
        <v>44640</v>
      </c>
      <c r="Y1293" s="17">
        <v>44952</v>
      </c>
      <c r="Z1293" s="19" t="s">
        <v>772</v>
      </c>
      <c r="AA1293" s="210">
        <v>54216</v>
      </c>
      <c r="AB1293" s="27">
        <v>60</v>
      </c>
      <c r="AC1293" s="27">
        <v>60</v>
      </c>
      <c r="AD1293" s="17">
        <v>46798</v>
      </c>
      <c r="AE1293" s="56">
        <v>808.5</v>
      </c>
      <c r="AF1293" s="56"/>
      <c r="AP1293" s="11"/>
      <c r="AQ1293" s="11"/>
      <c r="AR1293" s="11"/>
      <c r="AW1293" s="9"/>
      <c r="BD1293" s="9"/>
      <c r="CS1293" s="11">
        <f t="shared" si="89"/>
        <v>0</v>
      </c>
      <c r="CT1293" s="22">
        <f t="shared" si="90"/>
        <v>0</v>
      </c>
      <c r="CU1293" s="22">
        <f t="shared" si="88"/>
        <v>0</v>
      </c>
      <c r="CV1293" s="26">
        <f t="shared" si="91"/>
        <v>808.5</v>
      </c>
    </row>
    <row r="1294" spans="1:100" x14ac:dyDescent="0.2">
      <c r="A1294" s="9" t="s">
        <v>361</v>
      </c>
      <c r="B1294" s="2">
        <v>82</v>
      </c>
      <c r="C1294" s="3" t="s">
        <v>95</v>
      </c>
      <c r="D1294" s="68" t="s">
        <v>96</v>
      </c>
      <c r="E1294" s="67"/>
      <c r="F1294" s="67"/>
      <c r="G1294" s="2" t="s">
        <v>74</v>
      </c>
      <c r="H1294" s="2">
        <v>7</v>
      </c>
      <c r="I1294" s="20">
        <v>135</v>
      </c>
      <c r="J1294" s="20">
        <v>49900</v>
      </c>
      <c r="K1294" s="3">
        <v>0</v>
      </c>
      <c r="L1294" s="3" t="s">
        <v>3</v>
      </c>
      <c r="M1294" s="9" t="s">
        <v>0</v>
      </c>
      <c r="N1294" s="9" t="s">
        <v>30</v>
      </c>
      <c r="O1294" s="9" t="s">
        <v>3514</v>
      </c>
      <c r="P1294" s="9" t="s">
        <v>0</v>
      </c>
      <c r="Q1294" s="30" t="s">
        <v>363</v>
      </c>
      <c r="R1294" s="9" t="s">
        <v>364</v>
      </c>
      <c r="S1294" s="9" t="s">
        <v>158</v>
      </c>
      <c r="T1294" s="10" t="s">
        <v>74</v>
      </c>
      <c r="U1294" s="10">
        <v>6</v>
      </c>
      <c r="V1294" s="10">
        <v>135</v>
      </c>
      <c r="W1294" s="10" t="s">
        <v>710</v>
      </c>
      <c r="X1294" s="17">
        <v>44752</v>
      </c>
      <c r="Y1294" s="17">
        <v>45261</v>
      </c>
      <c r="Z1294" s="19" t="s">
        <v>772</v>
      </c>
      <c r="AA1294" s="207">
        <v>51080</v>
      </c>
      <c r="AB1294" s="9">
        <v>73</v>
      </c>
      <c r="AC1294" s="9">
        <v>0</v>
      </c>
      <c r="AD1294" s="17">
        <v>44754</v>
      </c>
      <c r="AE1294" s="54">
        <v>384</v>
      </c>
      <c r="AF1294" s="54"/>
      <c r="AG1294" s="9" t="s">
        <v>134</v>
      </c>
      <c r="AH1294" s="17">
        <v>44753</v>
      </c>
      <c r="AI1294" s="17"/>
      <c r="AJ1294" s="17"/>
      <c r="AK1294" s="9" t="s">
        <v>365</v>
      </c>
      <c r="AL1294" s="22"/>
      <c r="AM1294" s="197">
        <v>1500</v>
      </c>
      <c r="AN1294" s="76" t="s">
        <v>2104</v>
      </c>
      <c r="AO1294" s="22"/>
      <c r="AP1294" s="22"/>
      <c r="AQ1294" s="22"/>
      <c r="AR1294" s="22"/>
      <c r="AS1294" s="22"/>
      <c r="AT1294" s="22"/>
      <c r="AU1294" s="22"/>
      <c r="AV1294" s="22"/>
      <c r="AW1294" s="17">
        <v>44752</v>
      </c>
      <c r="AX1294" s="9">
        <v>610994</v>
      </c>
      <c r="AY1294" s="9">
        <v>1500</v>
      </c>
      <c r="BA1294" s="22"/>
      <c r="BB1294" s="22" t="s">
        <v>1704</v>
      </c>
      <c r="BD1294" s="9"/>
      <c r="CS1294" s="11">
        <f t="shared" si="89"/>
        <v>0</v>
      </c>
      <c r="CT1294" s="22">
        <f t="shared" si="90"/>
        <v>0</v>
      </c>
      <c r="CU1294" s="22">
        <f t="shared" si="88"/>
        <v>0</v>
      </c>
      <c r="CV1294" s="26">
        <f t="shared" si="91"/>
        <v>384</v>
      </c>
    </row>
    <row r="1295" spans="1:100" x14ac:dyDescent="0.2">
      <c r="A1295" s="9" t="s">
        <v>361</v>
      </c>
      <c r="B1295" s="2">
        <v>82</v>
      </c>
      <c r="C1295" s="3" t="s">
        <v>95</v>
      </c>
      <c r="D1295" s="3" t="s">
        <v>96</v>
      </c>
      <c r="E1295" s="2"/>
      <c r="F1295" s="2"/>
      <c r="G1295" s="2" t="s">
        <v>74</v>
      </c>
      <c r="H1295" s="2">
        <v>7</v>
      </c>
      <c r="I1295" s="20">
        <v>135</v>
      </c>
      <c r="J1295" s="20">
        <v>49900</v>
      </c>
      <c r="K1295" s="3">
        <v>0</v>
      </c>
      <c r="L1295" s="3" t="s">
        <v>3</v>
      </c>
      <c r="M1295" s="9" t="s">
        <v>0</v>
      </c>
      <c r="N1295" s="9" t="s">
        <v>30</v>
      </c>
      <c r="O1295" s="9" t="s">
        <v>3514</v>
      </c>
      <c r="P1295" s="9" t="s">
        <v>0</v>
      </c>
      <c r="Q1295" s="30" t="s">
        <v>363</v>
      </c>
      <c r="R1295" s="9" t="s">
        <v>364</v>
      </c>
      <c r="S1295" s="9" t="s">
        <v>158</v>
      </c>
      <c r="T1295" s="10" t="s">
        <v>74</v>
      </c>
      <c r="U1295" s="10">
        <v>6</v>
      </c>
      <c r="V1295" s="10">
        <v>135</v>
      </c>
      <c r="W1295" s="10" t="s">
        <v>710</v>
      </c>
      <c r="X1295" s="17">
        <v>44752</v>
      </c>
      <c r="Y1295" s="17">
        <v>45261</v>
      </c>
      <c r="Z1295" s="19" t="s">
        <v>772</v>
      </c>
      <c r="AA1295" s="207">
        <v>51080</v>
      </c>
      <c r="AB1295" s="9">
        <v>73</v>
      </c>
      <c r="AC1295" s="9">
        <v>0</v>
      </c>
      <c r="AD1295" s="17">
        <v>44957</v>
      </c>
      <c r="AE1295" s="55">
        <v>4616</v>
      </c>
      <c r="AF1295" s="55"/>
      <c r="AG1295" s="9" t="s">
        <v>134</v>
      </c>
      <c r="AH1295" s="17">
        <v>44754</v>
      </c>
      <c r="AI1295" s="17"/>
      <c r="AJ1295" s="17"/>
      <c r="AK1295" s="9" t="s">
        <v>366</v>
      </c>
      <c r="AL1295" s="22">
        <v>4616</v>
      </c>
      <c r="AM1295" s="22"/>
      <c r="AN1295" s="9" t="s">
        <v>2105</v>
      </c>
      <c r="AO1295" s="22"/>
      <c r="AP1295" s="22"/>
      <c r="AQ1295" s="22"/>
      <c r="AR1295" s="22"/>
      <c r="AS1295" s="22"/>
      <c r="AT1295" s="22"/>
      <c r="AU1295" s="22"/>
      <c r="AV1295" s="22"/>
      <c r="AW1295" s="17">
        <v>44754</v>
      </c>
      <c r="AX1295" s="9" t="s">
        <v>367</v>
      </c>
      <c r="BA1295" s="22">
        <v>4616</v>
      </c>
      <c r="BB1295" s="22" t="s">
        <v>1704</v>
      </c>
      <c r="BD1295" s="9"/>
      <c r="CS1295" s="11">
        <f t="shared" si="89"/>
        <v>4616</v>
      </c>
      <c r="CT1295" s="22">
        <f t="shared" si="90"/>
        <v>4616</v>
      </c>
      <c r="CU1295" s="22">
        <f t="shared" si="88"/>
        <v>0</v>
      </c>
      <c r="CV1295" s="26">
        <f t="shared" si="91"/>
        <v>0</v>
      </c>
    </row>
    <row r="1296" spans="1:100" x14ac:dyDescent="0.2">
      <c r="A1296" s="9" t="s">
        <v>361</v>
      </c>
      <c r="B1296" s="2">
        <v>82</v>
      </c>
      <c r="C1296" s="3" t="s">
        <v>95</v>
      </c>
      <c r="D1296" s="3" t="s">
        <v>96</v>
      </c>
      <c r="E1296" s="2"/>
      <c r="F1296" s="2"/>
      <c r="G1296" s="2" t="s">
        <v>74</v>
      </c>
      <c r="H1296" s="2">
        <v>7</v>
      </c>
      <c r="I1296" s="20">
        <v>135</v>
      </c>
      <c r="J1296" s="20">
        <v>49900</v>
      </c>
      <c r="K1296" s="3">
        <v>0</v>
      </c>
      <c r="L1296" s="3" t="s">
        <v>3</v>
      </c>
      <c r="M1296" s="9" t="s">
        <v>0</v>
      </c>
      <c r="N1296" s="75">
        <v>42112442</v>
      </c>
      <c r="O1296" s="9" t="s">
        <v>3514</v>
      </c>
      <c r="P1296" s="9" t="s">
        <v>0</v>
      </c>
      <c r="Q1296" s="30" t="s">
        <v>363</v>
      </c>
      <c r="R1296" s="9" t="s">
        <v>364</v>
      </c>
      <c r="S1296" s="9" t="s">
        <v>158</v>
      </c>
      <c r="T1296" s="10" t="s">
        <v>74</v>
      </c>
      <c r="U1296" s="10">
        <v>6</v>
      </c>
      <c r="V1296" s="10">
        <v>135</v>
      </c>
      <c r="W1296" s="10" t="s">
        <v>710</v>
      </c>
      <c r="X1296" s="17">
        <v>44752</v>
      </c>
      <c r="Y1296" s="17">
        <v>45261</v>
      </c>
      <c r="Z1296" s="19" t="s">
        <v>772</v>
      </c>
      <c r="AA1296" s="207">
        <v>51080</v>
      </c>
      <c r="AB1296" s="9">
        <v>73</v>
      </c>
      <c r="AC1296" s="9">
        <v>1</v>
      </c>
      <c r="AD1296" s="17">
        <v>44985</v>
      </c>
      <c r="AE1296" s="55">
        <v>320</v>
      </c>
      <c r="AF1296" s="55"/>
      <c r="AG1296" s="9" t="s">
        <v>134</v>
      </c>
      <c r="AH1296" s="17">
        <v>44958</v>
      </c>
      <c r="AI1296" s="17"/>
      <c r="AJ1296" s="17"/>
      <c r="AK1296" s="9" t="s">
        <v>368</v>
      </c>
      <c r="AL1296" s="22">
        <v>320</v>
      </c>
      <c r="AM1296" s="22"/>
      <c r="AN1296" s="22" t="s">
        <v>2088</v>
      </c>
      <c r="AO1296" s="22"/>
      <c r="AP1296" s="22"/>
      <c r="AQ1296" s="22"/>
      <c r="AR1296" s="22"/>
      <c r="AS1296" s="22"/>
      <c r="AT1296" s="22"/>
      <c r="AU1296" s="22"/>
      <c r="AV1296" s="22"/>
      <c r="AW1296" s="42">
        <v>44957</v>
      </c>
      <c r="AX1296" s="36">
        <v>1176</v>
      </c>
      <c r="AY1296" s="36"/>
      <c r="AZ1296" s="36"/>
      <c r="BA1296" s="40">
        <v>320</v>
      </c>
      <c r="BB1296" s="22"/>
      <c r="BD1296" s="9"/>
      <c r="CS1296" s="11">
        <f t="shared" si="89"/>
        <v>320</v>
      </c>
      <c r="CT1296" s="22">
        <f t="shared" si="90"/>
        <v>320</v>
      </c>
      <c r="CU1296" s="22">
        <f t="shared" si="88"/>
        <v>0</v>
      </c>
      <c r="CV1296" s="26">
        <f t="shared" si="91"/>
        <v>0</v>
      </c>
    </row>
    <row r="1297" spans="1:100" x14ac:dyDescent="0.2">
      <c r="A1297" s="9" t="s">
        <v>361</v>
      </c>
      <c r="B1297" s="2">
        <v>82</v>
      </c>
      <c r="C1297" s="3" t="s">
        <v>95</v>
      </c>
      <c r="D1297" s="3" t="s">
        <v>96</v>
      </c>
      <c r="E1297" s="2"/>
      <c r="F1297" s="2"/>
      <c r="G1297" s="2" t="s">
        <v>74</v>
      </c>
      <c r="H1297" s="2">
        <v>7</v>
      </c>
      <c r="I1297" s="20">
        <v>135</v>
      </c>
      <c r="J1297" s="20">
        <v>49900</v>
      </c>
      <c r="K1297" s="3">
        <v>0</v>
      </c>
      <c r="L1297" s="3" t="s">
        <v>3</v>
      </c>
      <c r="M1297" s="9" t="s">
        <v>0</v>
      </c>
      <c r="N1297" s="9" t="s">
        <v>30</v>
      </c>
      <c r="O1297" s="9" t="s">
        <v>3514</v>
      </c>
      <c r="P1297" s="9" t="s">
        <v>0</v>
      </c>
      <c r="Q1297" s="30" t="s">
        <v>363</v>
      </c>
      <c r="R1297" s="9" t="s">
        <v>364</v>
      </c>
      <c r="S1297" s="9" t="s">
        <v>158</v>
      </c>
      <c r="T1297" s="10" t="s">
        <v>74</v>
      </c>
      <c r="U1297" s="10">
        <v>6</v>
      </c>
      <c r="V1297" s="10">
        <v>135</v>
      </c>
      <c r="W1297" s="10" t="s">
        <v>710</v>
      </c>
      <c r="X1297" s="17">
        <v>44752</v>
      </c>
      <c r="Y1297" s="17">
        <v>45261</v>
      </c>
      <c r="Z1297" s="19" t="s">
        <v>772</v>
      </c>
      <c r="AA1297" s="207">
        <v>51080</v>
      </c>
      <c r="AB1297" s="9">
        <v>73</v>
      </c>
      <c r="AC1297" s="9">
        <v>2</v>
      </c>
      <c r="AD1297" s="17">
        <v>45016</v>
      </c>
      <c r="AE1297" s="55">
        <v>320</v>
      </c>
      <c r="AF1297" s="55"/>
      <c r="AG1297" s="9" t="s">
        <v>134</v>
      </c>
      <c r="AH1297" s="17">
        <v>44986</v>
      </c>
      <c r="AI1297" s="17"/>
      <c r="AJ1297" s="17"/>
      <c r="AK1297" s="9" t="s">
        <v>369</v>
      </c>
      <c r="AL1297" s="22">
        <v>320</v>
      </c>
      <c r="AM1297" s="22"/>
      <c r="AN1297" s="22" t="s">
        <v>2089</v>
      </c>
      <c r="AO1297" s="22"/>
      <c r="AP1297" s="22"/>
      <c r="AQ1297" s="22"/>
      <c r="AR1297" s="22"/>
      <c r="AS1297" s="22"/>
      <c r="AT1297" s="22"/>
      <c r="AU1297" s="22"/>
      <c r="AV1297" s="22"/>
      <c r="AW1297" s="42">
        <v>44985</v>
      </c>
      <c r="AX1297" s="36">
        <v>680857</v>
      </c>
      <c r="AY1297" s="36">
        <v>1238.4000000000001</v>
      </c>
      <c r="AZ1297" s="154">
        <v>3.87</v>
      </c>
      <c r="BA1297" s="40">
        <f>+AY1297/AZ1297</f>
        <v>320</v>
      </c>
      <c r="BB1297" s="22"/>
      <c r="BD1297" s="9"/>
      <c r="CS1297" s="11">
        <f t="shared" si="89"/>
        <v>320</v>
      </c>
      <c r="CT1297" s="22">
        <f t="shared" si="90"/>
        <v>320</v>
      </c>
      <c r="CU1297" s="22">
        <f t="shared" si="88"/>
        <v>0</v>
      </c>
      <c r="CV1297" s="26">
        <f t="shared" si="91"/>
        <v>0</v>
      </c>
    </row>
    <row r="1298" spans="1:100" x14ac:dyDescent="0.2">
      <c r="A1298" s="9" t="s">
        <v>361</v>
      </c>
      <c r="B1298" s="2">
        <v>82</v>
      </c>
      <c r="C1298" s="3" t="s">
        <v>95</v>
      </c>
      <c r="D1298" s="3" t="s">
        <v>96</v>
      </c>
      <c r="E1298" s="2"/>
      <c r="F1298" s="2"/>
      <c r="G1298" s="2" t="s">
        <v>74</v>
      </c>
      <c r="H1298" s="2">
        <v>7</v>
      </c>
      <c r="I1298" s="20">
        <v>135</v>
      </c>
      <c r="J1298" s="20">
        <v>49900</v>
      </c>
      <c r="K1298" s="3">
        <v>0</v>
      </c>
      <c r="L1298" s="3" t="s">
        <v>3</v>
      </c>
      <c r="M1298" s="9" t="s">
        <v>0</v>
      </c>
      <c r="N1298" s="9" t="s">
        <v>30</v>
      </c>
      <c r="O1298" s="9" t="s">
        <v>3514</v>
      </c>
      <c r="P1298" s="9" t="s">
        <v>0</v>
      </c>
      <c r="Q1298" s="30" t="s">
        <v>363</v>
      </c>
      <c r="R1298" s="9" t="s">
        <v>364</v>
      </c>
      <c r="S1298" s="9" t="s">
        <v>158</v>
      </c>
      <c r="T1298" s="10" t="s">
        <v>74</v>
      </c>
      <c r="U1298" s="10">
        <v>6</v>
      </c>
      <c r="V1298" s="10">
        <v>135</v>
      </c>
      <c r="W1298" s="10" t="s">
        <v>710</v>
      </c>
      <c r="X1298" s="17">
        <v>44752</v>
      </c>
      <c r="Y1298" s="17">
        <v>45261</v>
      </c>
      <c r="Z1298" s="19" t="s">
        <v>772</v>
      </c>
      <c r="AA1298" s="207">
        <v>51080</v>
      </c>
      <c r="AB1298" s="9">
        <v>73</v>
      </c>
      <c r="AC1298" s="9">
        <v>3</v>
      </c>
      <c r="AD1298" s="17">
        <v>45046</v>
      </c>
      <c r="AE1298" s="55">
        <v>320</v>
      </c>
      <c r="AF1298" s="55"/>
      <c r="AG1298" s="9" t="s">
        <v>134</v>
      </c>
      <c r="AH1298" s="17">
        <v>45016</v>
      </c>
      <c r="AI1298" s="17"/>
      <c r="AJ1298" s="17"/>
      <c r="AK1298" s="9" t="s">
        <v>2097</v>
      </c>
      <c r="AL1298" s="22">
        <v>320</v>
      </c>
      <c r="AM1298" s="22"/>
      <c r="AN1298" s="22" t="s">
        <v>2090</v>
      </c>
      <c r="AO1298" s="22"/>
      <c r="AP1298" s="22"/>
      <c r="AQ1298" s="22"/>
      <c r="AR1298" s="22"/>
      <c r="AS1298" s="22"/>
      <c r="AT1298" s="22"/>
      <c r="AU1298" s="22"/>
      <c r="AV1298" s="22"/>
      <c r="AW1298" s="42">
        <v>45016</v>
      </c>
      <c r="AX1298" s="36">
        <v>129095</v>
      </c>
      <c r="AY1298" s="36">
        <v>1202.8800000000001</v>
      </c>
      <c r="AZ1298" s="36">
        <v>3.7589999999999999</v>
      </c>
      <c r="BA1298" s="40">
        <f>+AY1298/AZ1298</f>
        <v>320.00000000000006</v>
      </c>
      <c r="BB1298" s="22"/>
      <c r="BD1298" s="9"/>
      <c r="CS1298" s="11">
        <f t="shared" si="89"/>
        <v>320</v>
      </c>
      <c r="CT1298" s="22">
        <f t="shared" si="90"/>
        <v>320.00000000000006</v>
      </c>
      <c r="CU1298" s="22">
        <f t="shared" si="88"/>
        <v>0</v>
      </c>
      <c r="CV1298" s="26">
        <f t="shared" si="91"/>
        <v>0</v>
      </c>
    </row>
    <row r="1299" spans="1:100" x14ac:dyDescent="0.2">
      <c r="A1299" s="9" t="s">
        <v>361</v>
      </c>
      <c r="B1299" s="2">
        <v>82</v>
      </c>
      <c r="C1299" s="3" t="s">
        <v>95</v>
      </c>
      <c r="D1299" s="3" t="s">
        <v>96</v>
      </c>
      <c r="E1299" s="2"/>
      <c r="F1299" s="2"/>
      <c r="G1299" s="2" t="s">
        <v>74</v>
      </c>
      <c r="H1299" s="2">
        <v>7</v>
      </c>
      <c r="I1299" s="20">
        <v>135</v>
      </c>
      <c r="J1299" s="20">
        <v>49900</v>
      </c>
      <c r="K1299" s="3">
        <v>0</v>
      </c>
      <c r="L1299" s="3" t="s">
        <v>3</v>
      </c>
      <c r="M1299" s="9" t="s">
        <v>0</v>
      </c>
      <c r="N1299" s="9" t="s">
        <v>30</v>
      </c>
      <c r="O1299" s="9" t="s">
        <v>3514</v>
      </c>
      <c r="P1299" s="9" t="s">
        <v>0</v>
      </c>
      <c r="Q1299" s="30" t="s">
        <v>363</v>
      </c>
      <c r="R1299" s="9" t="s">
        <v>364</v>
      </c>
      <c r="S1299" s="9" t="s">
        <v>158</v>
      </c>
      <c r="T1299" s="10" t="s">
        <v>74</v>
      </c>
      <c r="U1299" s="10">
        <v>6</v>
      </c>
      <c r="V1299" s="10">
        <v>135</v>
      </c>
      <c r="W1299" s="10" t="s">
        <v>710</v>
      </c>
      <c r="X1299" s="17">
        <v>44752</v>
      </c>
      <c r="Y1299" s="17">
        <v>45261</v>
      </c>
      <c r="Z1299" s="19" t="s">
        <v>772</v>
      </c>
      <c r="AA1299" s="207">
        <v>51080</v>
      </c>
      <c r="AB1299" s="9">
        <v>73</v>
      </c>
      <c r="AC1299" s="9">
        <v>4</v>
      </c>
      <c r="AD1299" s="17">
        <v>45077</v>
      </c>
      <c r="AE1299" s="55">
        <v>640</v>
      </c>
      <c r="AF1299" s="55"/>
      <c r="AG1299" s="9" t="s">
        <v>134</v>
      </c>
      <c r="AH1299" s="17">
        <v>45107</v>
      </c>
      <c r="AI1299" s="17"/>
      <c r="AJ1299" s="17"/>
      <c r="AK1299" s="9" t="s">
        <v>2098</v>
      </c>
      <c r="AL1299" s="22">
        <v>640</v>
      </c>
      <c r="AM1299" s="22"/>
      <c r="AN1299" s="22" t="s">
        <v>2091</v>
      </c>
      <c r="AO1299" s="22"/>
      <c r="AP1299" s="22"/>
      <c r="AQ1299" s="22"/>
      <c r="AR1299" s="22"/>
      <c r="AS1299" s="22"/>
      <c r="AT1299" s="22"/>
      <c r="AU1299" s="22"/>
      <c r="AV1299" s="22"/>
      <c r="AW1299" s="42">
        <v>45107</v>
      </c>
      <c r="AX1299" s="36">
        <v>1658</v>
      </c>
      <c r="AY1299" s="36"/>
      <c r="AZ1299" s="36"/>
      <c r="BA1299" s="40">
        <v>640</v>
      </c>
      <c r="BB1299" s="22"/>
      <c r="BD1299" s="9"/>
      <c r="CS1299" s="11">
        <f t="shared" si="89"/>
        <v>640</v>
      </c>
      <c r="CT1299" s="22">
        <f t="shared" si="90"/>
        <v>640</v>
      </c>
      <c r="CU1299" s="22">
        <f t="shared" si="88"/>
        <v>0</v>
      </c>
      <c r="CV1299" s="26">
        <f t="shared" si="91"/>
        <v>0</v>
      </c>
    </row>
    <row r="1300" spans="1:100" x14ac:dyDescent="0.2">
      <c r="A1300" s="9" t="s">
        <v>361</v>
      </c>
      <c r="B1300" s="2">
        <v>82</v>
      </c>
      <c r="C1300" s="3" t="s">
        <v>95</v>
      </c>
      <c r="D1300" s="3" t="s">
        <v>96</v>
      </c>
      <c r="E1300" s="2"/>
      <c r="F1300" s="2"/>
      <c r="G1300" s="2" t="s">
        <v>74</v>
      </c>
      <c r="H1300" s="2">
        <v>7</v>
      </c>
      <c r="I1300" s="20">
        <v>135</v>
      </c>
      <c r="J1300" s="20">
        <v>49900</v>
      </c>
      <c r="K1300" s="3">
        <v>0</v>
      </c>
      <c r="L1300" s="3" t="s">
        <v>3</v>
      </c>
      <c r="M1300" s="9" t="s">
        <v>0</v>
      </c>
      <c r="N1300" s="9" t="s">
        <v>30</v>
      </c>
      <c r="O1300" s="9" t="s">
        <v>3514</v>
      </c>
      <c r="P1300" s="9" t="s">
        <v>0</v>
      </c>
      <c r="Q1300" s="30" t="s">
        <v>363</v>
      </c>
      <c r="R1300" s="9" t="s">
        <v>364</v>
      </c>
      <c r="S1300" s="9" t="s">
        <v>158</v>
      </c>
      <c r="T1300" s="10" t="s">
        <v>74</v>
      </c>
      <c r="U1300" s="10">
        <v>6</v>
      </c>
      <c r="V1300" s="10">
        <v>135</v>
      </c>
      <c r="W1300" s="10" t="s">
        <v>710</v>
      </c>
      <c r="X1300" s="17">
        <v>44752</v>
      </c>
      <c r="Y1300" s="17">
        <v>45261</v>
      </c>
      <c r="Z1300" s="19" t="s">
        <v>772</v>
      </c>
      <c r="AA1300" s="207">
        <v>51080</v>
      </c>
      <c r="AB1300" s="9">
        <v>73</v>
      </c>
      <c r="AC1300" s="9">
        <v>5</v>
      </c>
      <c r="AD1300" s="17">
        <v>45107</v>
      </c>
      <c r="AE1300" s="55">
        <v>640</v>
      </c>
      <c r="AF1300" s="55"/>
      <c r="AG1300" s="9" t="s">
        <v>134</v>
      </c>
      <c r="AH1300" s="17">
        <v>45050</v>
      </c>
      <c r="AI1300" s="17"/>
      <c r="AJ1300" s="17"/>
      <c r="AK1300" s="9" t="s">
        <v>2099</v>
      </c>
      <c r="AL1300" s="22">
        <v>640</v>
      </c>
      <c r="AM1300" s="22"/>
      <c r="AN1300" s="22" t="s">
        <v>2092</v>
      </c>
      <c r="AO1300" s="22"/>
      <c r="AP1300" s="22"/>
      <c r="AQ1300" s="22"/>
      <c r="AR1300" s="22"/>
      <c r="AS1300" s="22"/>
      <c r="AT1300" s="22"/>
      <c r="AU1300" s="22"/>
      <c r="AV1300" s="22"/>
      <c r="AW1300" s="42">
        <v>45049</v>
      </c>
      <c r="AX1300" s="36">
        <v>1471</v>
      </c>
      <c r="AY1300" s="36"/>
      <c r="AZ1300" s="36"/>
      <c r="BA1300" s="40">
        <v>640</v>
      </c>
      <c r="BB1300" s="22"/>
      <c r="BD1300" s="9"/>
      <c r="CS1300" s="11">
        <f t="shared" si="89"/>
        <v>640</v>
      </c>
      <c r="CT1300" s="22">
        <f t="shared" si="90"/>
        <v>640</v>
      </c>
      <c r="CU1300" s="22">
        <f t="shared" si="88"/>
        <v>0</v>
      </c>
      <c r="CV1300" s="26">
        <f t="shared" si="91"/>
        <v>0</v>
      </c>
    </row>
    <row r="1301" spans="1:100" x14ac:dyDescent="0.2">
      <c r="A1301" s="9" t="s">
        <v>361</v>
      </c>
      <c r="B1301" s="2">
        <v>82</v>
      </c>
      <c r="C1301" s="3" t="s">
        <v>95</v>
      </c>
      <c r="D1301" s="3" t="s">
        <v>96</v>
      </c>
      <c r="E1301" s="2"/>
      <c r="F1301" s="2"/>
      <c r="G1301" s="2" t="s">
        <v>74</v>
      </c>
      <c r="H1301" s="2">
        <v>7</v>
      </c>
      <c r="I1301" s="20">
        <v>135</v>
      </c>
      <c r="J1301" s="20">
        <v>49900</v>
      </c>
      <c r="K1301" s="3">
        <v>0</v>
      </c>
      <c r="L1301" s="3" t="s">
        <v>3</v>
      </c>
      <c r="M1301" s="9" t="s">
        <v>0</v>
      </c>
      <c r="N1301" s="9" t="s">
        <v>30</v>
      </c>
      <c r="O1301" s="9" t="s">
        <v>3514</v>
      </c>
      <c r="P1301" s="9" t="s">
        <v>0</v>
      </c>
      <c r="Q1301" s="30" t="s">
        <v>363</v>
      </c>
      <c r="R1301" s="9" t="s">
        <v>364</v>
      </c>
      <c r="S1301" s="9" t="s">
        <v>158</v>
      </c>
      <c r="T1301" s="10" t="s">
        <v>74</v>
      </c>
      <c r="U1301" s="10">
        <v>6</v>
      </c>
      <c r="V1301" s="10">
        <v>135</v>
      </c>
      <c r="W1301" s="10" t="s">
        <v>710</v>
      </c>
      <c r="X1301" s="17">
        <v>44752</v>
      </c>
      <c r="Y1301" s="17">
        <v>45261</v>
      </c>
      <c r="Z1301" s="19" t="s">
        <v>772</v>
      </c>
      <c r="AA1301" s="207">
        <v>51080</v>
      </c>
      <c r="AB1301" s="9">
        <v>73</v>
      </c>
      <c r="AC1301" s="9">
        <v>6</v>
      </c>
      <c r="AD1301" s="17">
        <v>45138</v>
      </c>
      <c r="AE1301" s="55">
        <v>640</v>
      </c>
      <c r="AF1301" s="55"/>
      <c r="AG1301" s="9" t="s">
        <v>134</v>
      </c>
      <c r="AH1301" s="17">
        <v>45077</v>
      </c>
      <c r="AI1301" s="17"/>
      <c r="AJ1301" s="17"/>
      <c r="AK1301" s="9" t="s">
        <v>2100</v>
      </c>
      <c r="AL1301" s="22">
        <v>640</v>
      </c>
      <c r="AM1301" s="22"/>
      <c r="AN1301" s="22" t="s">
        <v>2093</v>
      </c>
      <c r="AO1301" s="22"/>
      <c r="AP1301" s="22"/>
      <c r="AQ1301" s="22"/>
      <c r="AR1301" s="22"/>
      <c r="AS1301" s="22"/>
      <c r="AT1301" s="22"/>
      <c r="AU1301" s="22"/>
      <c r="AV1301" s="22"/>
      <c r="AW1301" s="42">
        <v>45076</v>
      </c>
      <c r="AX1301" s="36">
        <v>1554</v>
      </c>
      <c r="AY1301" s="36"/>
      <c r="AZ1301" s="36"/>
      <c r="BA1301" s="40">
        <v>640</v>
      </c>
      <c r="BB1301" s="22"/>
      <c r="BD1301" s="9"/>
      <c r="CS1301" s="11">
        <f t="shared" si="89"/>
        <v>640</v>
      </c>
      <c r="CT1301" s="22">
        <f t="shared" si="90"/>
        <v>640</v>
      </c>
      <c r="CU1301" s="22">
        <f t="shared" si="88"/>
        <v>0</v>
      </c>
      <c r="CV1301" s="26">
        <f t="shared" si="91"/>
        <v>0</v>
      </c>
    </row>
    <row r="1302" spans="1:100" x14ac:dyDescent="0.2">
      <c r="A1302" s="9" t="s">
        <v>361</v>
      </c>
      <c r="B1302" s="2">
        <v>82</v>
      </c>
      <c r="C1302" s="3" t="s">
        <v>95</v>
      </c>
      <c r="D1302" s="3" t="s">
        <v>96</v>
      </c>
      <c r="E1302" s="2"/>
      <c r="F1302" s="2"/>
      <c r="G1302" s="2" t="s">
        <v>74</v>
      </c>
      <c r="H1302" s="2">
        <v>7</v>
      </c>
      <c r="I1302" s="20">
        <v>135</v>
      </c>
      <c r="J1302" s="20">
        <v>49900</v>
      </c>
      <c r="K1302" s="3">
        <v>0</v>
      </c>
      <c r="L1302" s="3" t="s">
        <v>3</v>
      </c>
      <c r="M1302" s="9" t="s">
        <v>0</v>
      </c>
      <c r="N1302" s="9" t="s">
        <v>30</v>
      </c>
      <c r="O1302" s="9" t="s">
        <v>3514</v>
      </c>
      <c r="P1302" s="9" t="s">
        <v>0</v>
      </c>
      <c r="Q1302" s="30" t="s">
        <v>363</v>
      </c>
      <c r="R1302" s="9" t="s">
        <v>364</v>
      </c>
      <c r="S1302" s="9" t="s">
        <v>158</v>
      </c>
      <c r="T1302" s="10" t="s">
        <v>74</v>
      </c>
      <c r="U1302" s="10">
        <v>6</v>
      </c>
      <c r="V1302" s="10">
        <v>135</v>
      </c>
      <c r="W1302" s="10" t="s">
        <v>710</v>
      </c>
      <c r="X1302" s="17">
        <v>44752</v>
      </c>
      <c r="Y1302" s="17">
        <v>45261</v>
      </c>
      <c r="Z1302" s="19" t="s">
        <v>772</v>
      </c>
      <c r="AA1302" s="207">
        <v>51080</v>
      </c>
      <c r="AB1302" s="9">
        <v>73</v>
      </c>
      <c r="AC1302" s="9">
        <v>7</v>
      </c>
      <c r="AD1302" s="17">
        <v>45169</v>
      </c>
      <c r="AE1302" s="55">
        <v>640</v>
      </c>
      <c r="AF1302" s="55"/>
      <c r="AG1302" s="9" t="s">
        <v>134</v>
      </c>
      <c r="AH1302" s="17">
        <v>45141</v>
      </c>
      <c r="AI1302" s="17"/>
      <c r="AJ1302" s="17"/>
      <c r="AK1302" s="9" t="s">
        <v>2102</v>
      </c>
      <c r="AL1302" s="22">
        <v>640</v>
      </c>
      <c r="AM1302" s="22"/>
      <c r="AN1302" s="22" t="s">
        <v>2095</v>
      </c>
      <c r="AO1302" s="22"/>
      <c r="AP1302" s="22"/>
      <c r="AQ1302" s="22"/>
      <c r="AR1302" s="22"/>
      <c r="AS1302" s="22"/>
      <c r="AT1302" s="22"/>
      <c r="AU1302" s="22"/>
      <c r="AV1302" s="22"/>
      <c r="AW1302" s="42">
        <v>45138</v>
      </c>
      <c r="AX1302" s="36">
        <v>1762</v>
      </c>
      <c r="AY1302" s="36"/>
      <c r="AZ1302" s="36"/>
      <c r="BA1302" s="40">
        <v>640</v>
      </c>
      <c r="BB1302" s="22"/>
      <c r="BD1302" s="9"/>
      <c r="CS1302" s="11">
        <f t="shared" si="89"/>
        <v>640</v>
      </c>
      <c r="CT1302" s="22">
        <f t="shared" si="90"/>
        <v>640</v>
      </c>
      <c r="CU1302" s="22">
        <f t="shared" si="88"/>
        <v>0</v>
      </c>
      <c r="CV1302" s="26">
        <f t="shared" si="91"/>
        <v>0</v>
      </c>
    </row>
    <row r="1303" spans="1:100" x14ac:dyDescent="0.2">
      <c r="A1303" s="9" t="s">
        <v>361</v>
      </c>
      <c r="B1303" s="2">
        <v>82</v>
      </c>
      <c r="C1303" s="3" t="s">
        <v>95</v>
      </c>
      <c r="D1303" s="3" t="s">
        <v>96</v>
      </c>
      <c r="E1303" s="2"/>
      <c r="F1303" s="2"/>
      <c r="G1303" s="2" t="s">
        <v>74</v>
      </c>
      <c r="H1303" s="2">
        <v>7</v>
      </c>
      <c r="I1303" s="20">
        <v>135</v>
      </c>
      <c r="J1303" s="20">
        <v>49900</v>
      </c>
      <c r="K1303" s="3">
        <v>0</v>
      </c>
      <c r="L1303" s="3" t="s">
        <v>3</v>
      </c>
      <c r="M1303" s="9" t="s">
        <v>0</v>
      </c>
      <c r="N1303" s="9" t="s">
        <v>30</v>
      </c>
      <c r="O1303" s="9" t="s">
        <v>3514</v>
      </c>
      <c r="P1303" s="9" t="s">
        <v>0</v>
      </c>
      <c r="Q1303" s="30" t="s">
        <v>363</v>
      </c>
      <c r="R1303" s="9" t="s">
        <v>364</v>
      </c>
      <c r="S1303" s="9" t="s">
        <v>158</v>
      </c>
      <c r="T1303" s="10" t="s">
        <v>74</v>
      </c>
      <c r="U1303" s="10">
        <v>6</v>
      </c>
      <c r="V1303" s="10">
        <v>135</v>
      </c>
      <c r="W1303" s="10" t="s">
        <v>710</v>
      </c>
      <c r="X1303" s="17">
        <v>44752</v>
      </c>
      <c r="Y1303" s="17">
        <v>45261</v>
      </c>
      <c r="Z1303" s="19" t="s">
        <v>772</v>
      </c>
      <c r="AA1303" s="207">
        <v>51080</v>
      </c>
      <c r="AB1303" s="9">
        <v>73</v>
      </c>
      <c r="AC1303" s="9">
        <v>8</v>
      </c>
      <c r="AD1303" s="17">
        <v>45199</v>
      </c>
      <c r="AE1303" s="55">
        <v>640</v>
      </c>
      <c r="AF1303" s="55"/>
      <c r="AG1303" s="9" t="s">
        <v>134</v>
      </c>
      <c r="AH1303" s="17">
        <v>45174</v>
      </c>
      <c r="AI1303" s="17"/>
      <c r="AJ1303" s="17"/>
      <c r="AK1303" s="9" t="s">
        <v>2103</v>
      </c>
      <c r="AL1303" s="22">
        <v>640</v>
      </c>
      <c r="AM1303" s="22"/>
      <c r="AN1303" s="22" t="s">
        <v>2096</v>
      </c>
      <c r="AO1303" s="22"/>
      <c r="AP1303" s="22"/>
      <c r="AQ1303" s="22"/>
      <c r="AR1303" s="22"/>
      <c r="AS1303" s="22"/>
      <c r="AT1303" s="22"/>
      <c r="AU1303" s="22"/>
      <c r="AV1303" s="22"/>
      <c r="AW1303" s="42">
        <v>45170</v>
      </c>
      <c r="AX1303" s="36">
        <v>1867</v>
      </c>
      <c r="AY1303" s="36"/>
      <c r="AZ1303" s="36"/>
      <c r="BA1303" s="40">
        <v>640</v>
      </c>
      <c r="BB1303" s="22"/>
      <c r="BD1303" s="9"/>
      <c r="CS1303" s="11">
        <f t="shared" si="89"/>
        <v>640</v>
      </c>
      <c r="CT1303" s="22">
        <f t="shared" si="90"/>
        <v>640</v>
      </c>
      <c r="CU1303" s="22">
        <f t="shared" si="88"/>
        <v>0</v>
      </c>
      <c r="CV1303" s="26">
        <f t="shared" si="91"/>
        <v>0</v>
      </c>
    </row>
    <row r="1304" spans="1:100" x14ac:dyDescent="0.2">
      <c r="A1304" s="9" t="s">
        <v>361</v>
      </c>
      <c r="B1304" s="2">
        <v>82</v>
      </c>
      <c r="C1304" s="3" t="s">
        <v>95</v>
      </c>
      <c r="D1304" s="3" t="s">
        <v>96</v>
      </c>
      <c r="E1304" s="2"/>
      <c r="F1304" s="2"/>
      <c r="G1304" s="2" t="s">
        <v>74</v>
      </c>
      <c r="H1304" s="2">
        <v>7</v>
      </c>
      <c r="I1304" s="20">
        <v>135</v>
      </c>
      <c r="J1304" s="20">
        <v>49900</v>
      </c>
      <c r="K1304" s="3">
        <v>0</v>
      </c>
      <c r="L1304" s="3" t="s">
        <v>3</v>
      </c>
      <c r="M1304" s="9" t="s">
        <v>0</v>
      </c>
      <c r="N1304" s="9" t="s">
        <v>30</v>
      </c>
      <c r="O1304" s="9" t="s">
        <v>3514</v>
      </c>
      <c r="P1304" s="9" t="s">
        <v>0</v>
      </c>
      <c r="Q1304" s="30" t="s">
        <v>363</v>
      </c>
      <c r="R1304" s="9" t="s">
        <v>364</v>
      </c>
      <c r="S1304" s="9" t="s">
        <v>158</v>
      </c>
      <c r="T1304" s="10" t="s">
        <v>74</v>
      </c>
      <c r="U1304" s="10">
        <v>6</v>
      </c>
      <c r="V1304" s="10">
        <v>135</v>
      </c>
      <c r="W1304" s="10" t="s">
        <v>710</v>
      </c>
      <c r="X1304" s="17">
        <v>44752</v>
      </c>
      <c r="Y1304" s="17">
        <v>45261</v>
      </c>
      <c r="Z1304" s="19" t="s">
        <v>772</v>
      </c>
      <c r="AA1304" s="207">
        <v>51080</v>
      </c>
      <c r="AB1304" s="9">
        <v>73</v>
      </c>
      <c r="AC1304" s="9">
        <v>9</v>
      </c>
      <c r="AD1304" s="17">
        <v>45230</v>
      </c>
      <c r="AE1304" s="55">
        <v>640</v>
      </c>
      <c r="AF1304" s="55"/>
      <c r="AG1304" s="9" t="s">
        <v>134</v>
      </c>
      <c r="AH1304" s="17">
        <v>45222</v>
      </c>
      <c r="AI1304" s="17"/>
      <c r="AJ1304" s="17"/>
      <c r="AK1304" s="9" t="s">
        <v>2101</v>
      </c>
      <c r="AL1304" s="22">
        <v>640</v>
      </c>
      <c r="AM1304" s="22"/>
      <c r="AN1304" s="22" t="s">
        <v>2094</v>
      </c>
      <c r="AO1304" s="22"/>
      <c r="AP1304" s="22"/>
      <c r="AQ1304" s="22"/>
      <c r="AR1304" s="22"/>
      <c r="AS1304" s="22"/>
      <c r="AT1304" s="22"/>
      <c r="AU1304" s="22"/>
      <c r="AV1304" s="22"/>
      <c r="AW1304" s="42">
        <v>45201</v>
      </c>
      <c r="AX1304" s="36">
        <v>1938</v>
      </c>
      <c r="AY1304" s="36"/>
      <c r="AZ1304" s="36"/>
      <c r="BA1304" s="40">
        <v>640</v>
      </c>
      <c r="BB1304" s="22"/>
      <c r="BD1304" s="9"/>
      <c r="CS1304" s="11">
        <f t="shared" si="89"/>
        <v>640</v>
      </c>
      <c r="CT1304" s="22">
        <f t="shared" si="90"/>
        <v>640</v>
      </c>
      <c r="CU1304" s="22">
        <f t="shared" si="88"/>
        <v>0</v>
      </c>
      <c r="CV1304" s="26">
        <f t="shared" si="91"/>
        <v>0</v>
      </c>
    </row>
    <row r="1305" spans="1:100" x14ac:dyDescent="0.2">
      <c r="A1305" s="9" t="s">
        <v>361</v>
      </c>
      <c r="B1305" s="2">
        <v>82</v>
      </c>
      <c r="C1305" s="3" t="s">
        <v>95</v>
      </c>
      <c r="D1305" s="3" t="s">
        <v>96</v>
      </c>
      <c r="E1305" s="2"/>
      <c r="F1305" s="2"/>
      <c r="G1305" s="2" t="s">
        <v>74</v>
      </c>
      <c r="H1305" s="2">
        <v>7</v>
      </c>
      <c r="I1305" s="20">
        <v>135</v>
      </c>
      <c r="J1305" s="20">
        <v>49900</v>
      </c>
      <c r="K1305" s="3">
        <v>0</v>
      </c>
      <c r="L1305" s="3" t="s">
        <v>3</v>
      </c>
      <c r="M1305" s="9" t="s">
        <v>0</v>
      </c>
      <c r="N1305" s="9" t="s">
        <v>30</v>
      </c>
      <c r="O1305" s="9" t="s">
        <v>3514</v>
      </c>
      <c r="P1305" s="9" t="s">
        <v>0</v>
      </c>
      <c r="Q1305" s="30" t="s">
        <v>363</v>
      </c>
      <c r="R1305" s="9" t="s">
        <v>364</v>
      </c>
      <c r="S1305" s="9" t="s">
        <v>158</v>
      </c>
      <c r="T1305" s="10" t="s">
        <v>74</v>
      </c>
      <c r="U1305" s="10">
        <v>6</v>
      </c>
      <c r="V1305" s="10">
        <v>135</v>
      </c>
      <c r="W1305" s="10" t="s">
        <v>710</v>
      </c>
      <c r="X1305" s="17">
        <v>44752</v>
      </c>
      <c r="Y1305" s="17">
        <v>45261</v>
      </c>
      <c r="Z1305" s="19" t="s">
        <v>772</v>
      </c>
      <c r="AA1305" s="207">
        <v>51080</v>
      </c>
      <c r="AB1305" s="9">
        <v>73</v>
      </c>
      <c r="AC1305" s="9">
        <v>10</v>
      </c>
      <c r="AD1305" s="17">
        <v>45230</v>
      </c>
      <c r="AE1305" s="54">
        <v>640</v>
      </c>
      <c r="AF1305" s="54"/>
      <c r="AL1305" s="9"/>
      <c r="AM1305" s="9"/>
      <c r="AN1305" s="9"/>
      <c r="AO1305" s="9"/>
      <c r="AP1305" s="9"/>
      <c r="AQ1305" s="9"/>
      <c r="AR1305" s="9"/>
      <c r="AS1305" s="9"/>
      <c r="AT1305" s="9"/>
      <c r="AU1305" s="9"/>
      <c r="AV1305" s="9"/>
      <c r="AW1305" s="9"/>
      <c r="BA1305" s="9"/>
      <c r="BB1305" s="22"/>
      <c r="BD1305" s="9"/>
      <c r="CS1305" s="11">
        <f t="shared" si="89"/>
        <v>0</v>
      </c>
      <c r="CT1305" s="22">
        <f t="shared" si="90"/>
        <v>0</v>
      </c>
      <c r="CU1305" s="22">
        <f t="shared" si="88"/>
        <v>0</v>
      </c>
      <c r="CV1305" s="26">
        <f t="shared" si="91"/>
        <v>640</v>
      </c>
    </row>
    <row r="1306" spans="1:100" x14ac:dyDescent="0.2">
      <c r="A1306" s="9" t="s">
        <v>361</v>
      </c>
      <c r="B1306" s="2">
        <v>82</v>
      </c>
      <c r="C1306" s="3" t="s">
        <v>95</v>
      </c>
      <c r="D1306" s="3" t="s">
        <v>96</v>
      </c>
      <c r="E1306" s="2"/>
      <c r="F1306" s="2"/>
      <c r="G1306" s="2" t="s">
        <v>74</v>
      </c>
      <c r="H1306" s="2">
        <v>7</v>
      </c>
      <c r="I1306" s="20">
        <v>135</v>
      </c>
      <c r="J1306" s="20">
        <v>49900</v>
      </c>
      <c r="K1306" s="3">
        <v>0</v>
      </c>
      <c r="L1306" s="3" t="s">
        <v>3</v>
      </c>
      <c r="M1306" s="9" t="s">
        <v>0</v>
      </c>
      <c r="N1306" s="9" t="s">
        <v>30</v>
      </c>
      <c r="O1306" s="9" t="s">
        <v>3514</v>
      </c>
      <c r="P1306" s="9" t="s">
        <v>0</v>
      </c>
      <c r="Q1306" s="30" t="s">
        <v>363</v>
      </c>
      <c r="R1306" s="9" t="s">
        <v>364</v>
      </c>
      <c r="S1306" s="9" t="s">
        <v>158</v>
      </c>
      <c r="T1306" s="10" t="s">
        <v>74</v>
      </c>
      <c r="U1306" s="10">
        <v>6</v>
      </c>
      <c r="V1306" s="10">
        <v>135</v>
      </c>
      <c r="W1306" s="10" t="s">
        <v>710</v>
      </c>
      <c r="X1306" s="17">
        <v>44752</v>
      </c>
      <c r="Y1306" s="17">
        <v>45261</v>
      </c>
      <c r="Z1306" s="19" t="s">
        <v>772</v>
      </c>
      <c r="AA1306" s="207">
        <v>51080</v>
      </c>
      <c r="AB1306" s="9">
        <v>73</v>
      </c>
      <c r="AC1306" s="9">
        <v>11</v>
      </c>
      <c r="AD1306" s="17">
        <v>45260</v>
      </c>
      <c r="AE1306" s="54">
        <v>640</v>
      </c>
      <c r="AF1306" s="54"/>
      <c r="AL1306" s="9"/>
      <c r="AM1306" s="9"/>
      <c r="AN1306" s="9"/>
      <c r="AO1306" s="9"/>
      <c r="AP1306" s="9"/>
      <c r="AQ1306" s="9"/>
      <c r="AR1306" s="9"/>
      <c r="AS1306" s="9"/>
      <c r="AT1306" s="9"/>
      <c r="AU1306" s="9"/>
      <c r="AV1306" s="9"/>
      <c r="AW1306" s="9"/>
      <c r="BA1306" s="9"/>
      <c r="BB1306" s="22"/>
      <c r="BD1306" s="9"/>
      <c r="CS1306" s="11">
        <f t="shared" si="89"/>
        <v>0</v>
      </c>
      <c r="CT1306" s="22">
        <f t="shared" si="90"/>
        <v>0</v>
      </c>
      <c r="CU1306" s="22">
        <f t="shared" si="88"/>
        <v>0</v>
      </c>
      <c r="CV1306" s="26">
        <f t="shared" si="91"/>
        <v>640</v>
      </c>
    </row>
    <row r="1307" spans="1:100" x14ac:dyDescent="0.2">
      <c r="A1307" s="9" t="s">
        <v>361</v>
      </c>
      <c r="B1307" s="2">
        <v>82</v>
      </c>
      <c r="C1307" s="3" t="s">
        <v>95</v>
      </c>
      <c r="D1307" s="3" t="s">
        <v>96</v>
      </c>
      <c r="E1307" s="2"/>
      <c r="F1307" s="2"/>
      <c r="G1307" s="2" t="s">
        <v>74</v>
      </c>
      <c r="H1307" s="2">
        <v>7</v>
      </c>
      <c r="I1307" s="20">
        <v>135</v>
      </c>
      <c r="J1307" s="20">
        <v>49900</v>
      </c>
      <c r="K1307" s="3">
        <v>0</v>
      </c>
      <c r="L1307" s="3" t="s">
        <v>3</v>
      </c>
      <c r="M1307" s="9" t="s">
        <v>0</v>
      </c>
      <c r="N1307" s="9" t="s">
        <v>30</v>
      </c>
      <c r="O1307" s="9" t="s">
        <v>3514</v>
      </c>
      <c r="P1307" s="9" t="s">
        <v>0</v>
      </c>
      <c r="Q1307" s="30" t="s">
        <v>363</v>
      </c>
      <c r="R1307" s="9" t="s">
        <v>364</v>
      </c>
      <c r="S1307" s="9" t="s">
        <v>158</v>
      </c>
      <c r="T1307" s="10" t="s">
        <v>74</v>
      </c>
      <c r="U1307" s="10">
        <v>6</v>
      </c>
      <c r="V1307" s="10">
        <v>135</v>
      </c>
      <c r="W1307" s="10" t="s">
        <v>710</v>
      </c>
      <c r="X1307" s="17">
        <v>44752</v>
      </c>
      <c r="Y1307" s="17">
        <v>45261</v>
      </c>
      <c r="Z1307" s="19" t="s">
        <v>772</v>
      </c>
      <c r="AA1307" s="207">
        <v>51080</v>
      </c>
      <c r="AB1307" s="9">
        <v>73</v>
      </c>
      <c r="AC1307" s="9">
        <v>12</v>
      </c>
      <c r="AD1307" s="17">
        <v>45291</v>
      </c>
      <c r="AE1307" s="54">
        <v>640</v>
      </c>
      <c r="AF1307" s="54"/>
      <c r="AL1307" s="22"/>
      <c r="AM1307" s="22"/>
      <c r="AN1307" s="22"/>
      <c r="AO1307" s="22"/>
      <c r="AP1307" s="22"/>
      <c r="AQ1307" s="22"/>
      <c r="AR1307" s="22"/>
      <c r="AS1307" s="22"/>
      <c r="AT1307" s="22"/>
      <c r="AU1307" s="22"/>
      <c r="AV1307" s="22"/>
      <c r="AW1307" s="9"/>
      <c r="BA1307" s="22"/>
      <c r="BB1307" s="22"/>
      <c r="BD1307" s="9"/>
      <c r="CS1307" s="11">
        <f t="shared" si="89"/>
        <v>0</v>
      </c>
      <c r="CT1307" s="22">
        <f t="shared" si="90"/>
        <v>0</v>
      </c>
      <c r="CU1307" s="22">
        <f t="shared" si="88"/>
        <v>0</v>
      </c>
      <c r="CV1307" s="26">
        <f t="shared" si="91"/>
        <v>640</v>
      </c>
    </row>
    <row r="1308" spans="1:100" x14ac:dyDescent="0.2">
      <c r="A1308" s="9" t="s">
        <v>361</v>
      </c>
      <c r="B1308" s="2">
        <v>82</v>
      </c>
      <c r="C1308" s="3" t="s">
        <v>95</v>
      </c>
      <c r="D1308" s="3" t="s">
        <v>96</v>
      </c>
      <c r="E1308" s="2"/>
      <c r="F1308" s="2"/>
      <c r="G1308" s="2" t="s">
        <v>74</v>
      </c>
      <c r="H1308" s="2">
        <v>7</v>
      </c>
      <c r="I1308" s="20">
        <v>135</v>
      </c>
      <c r="J1308" s="20">
        <v>49900</v>
      </c>
      <c r="K1308" s="3">
        <v>0</v>
      </c>
      <c r="L1308" s="3" t="s">
        <v>3</v>
      </c>
      <c r="M1308" s="9" t="s">
        <v>0</v>
      </c>
      <c r="N1308" s="9" t="s">
        <v>30</v>
      </c>
      <c r="O1308" s="9" t="s">
        <v>3514</v>
      </c>
      <c r="P1308" s="9" t="s">
        <v>0</v>
      </c>
      <c r="Q1308" s="30" t="s">
        <v>363</v>
      </c>
      <c r="R1308" s="9" t="s">
        <v>364</v>
      </c>
      <c r="S1308" s="9" t="s">
        <v>158</v>
      </c>
      <c r="T1308" s="10" t="s">
        <v>74</v>
      </c>
      <c r="U1308" s="10">
        <v>6</v>
      </c>
      <c r="V1308" s="10">
        <v>135</v>
      </c>
      <c r="W1308" s="10" t="s">
        <v>710</v>
      </c>
      <c r="X1308" s="17">
        <v>44752</v>
      </c>
      <c r="Y1308" s="17">
        <v>45261</v>
      </c>
      <c r="Z1308" s="19" t="s">
        <v>772</v>
      </c>
      <c r="AA1308" s="207">
        <v>51080</v>
      </c>
      <c r="AB1308" s="9">
        <v>73</v>
      </c>
      <c r="AC1308" s="9">
        <v>13</v>
      </c>
      <c r="AD1308" s="17">
        <v>45322</v>
      </c>
      <c r="AE1308" s="54">
        <v>640</v>
      </c>
      <c r="AF1308" s="54"/>
      <c r="AL1308" s="22"/>
      <c r="AM1308" s="22"/>
      <c r="AN1308" s="22"/>
      <c r="AO1308" s="22"/>
      <c r="AP1308" s="22"/>
      <c r="AQ1308" s="22"/>
      <c r="AR1308" s="22"/>
      <c r="AS1308" s="22"/>
      <c r="AT1308" s="22"/>
      <c r="AU1308" s="22"/>
      <c r="AV1308" s="22"/>
      <c r="AW1308" s="9"/>
      <c r="BA1308" s="22"/>
      <c r="BB1308" s="22"/>
      <c r="BD1308" s="9"/>
      <c r="CS1308" s="11">
        <f t="shared" si="89"/>
        <v>0</v>
      </c>
      <c r="CT1308" s="22">
        <f t="shared" si="90"/>
        <v>0</v>
      </c>
      <c r="CU1308" s="22">
        <f t="shared" ref="CU1308:CU1371" si="92">+CS1308-CT1308</f>
        <v>0</v>
      </c>
      <c r="CV1308" s="26">
        <f t="shared" si="91"/>
        <v>640</v>
      </c>
    </row>
    <row r="1309" spans="1:100" x14ac:dyDescent="0.2">
      <c r="A1309" s="9" t="s">
        <v>361</v>
      </c>
      <c r="B1309" s="2">
        <v>82</v>
      </c>
      <c r="C1309" s="3" t="s">
        <v>95</v>
      </c>
      <c r="D1309" s="3" t="s">
        <v>96</v>
      </c>
      <c r="E1309" s="2"/>
      <c r="F1309" s="2"/>
      <c r="G1309" s="2" t="s">
        <v>74</v>
      </c>
      <c r="H1309" s="2">
        <v>7</v>
      </c>
      <c r="I1309" s="20">
        <v>135</v>
      </c>
      <c r="J1309" s="20">
        <v>49900</v>
      </c>
      <c r="K1309" s="3">
        <v>0</v>
      </c>
      <c r="L1309" s="3" t="s">
        <v>3</v>
      </c>
      <c r="M1309" s="9" t="s">
        <v>0</v>
      </c>
      <c r="N1309" s="9" t="s">
        <v>30</v>
      </c>
      <c r="O1309" s="9" t="s">
        <v>3514</v>
      </c>
      <c r="P1309" s="9" t="s">
        <v>0</v>
      </c>
      <c r="Q1309" s="30" t="s">
        <v>363</v>
      </c>
      <c r="R1309" s="9" t="s">
        <v>364</v>
      </c>
      <c r="S1309" s="9" t="s">
        <v>158</v>
      </c>
      <c r="T1309" s="10" t="s">
        <v>74</v>
      </c>
      <c r="U1309" s="10">
        <v>6</v>
      </c>
      <c r="V1309" s="10">
        <v>135</v>
      </c>
      <c r="W1309" s="10" t="s">
        <v>710</v>
      </c>
      <c r="X1309" s="17">
        <v>44752</v>
      </c>
      <c r="Y1309" s="17">
        <v>45261</v>
      </c>
      <c r="Z1309" s="19" t="s">
        <v>772</v>
      </c>
      <c r="AA1309" s="207">
        <v>51080</v>
      </c>
      <c r="AB1309" s="9">
        <v>73</v>
      </c>
      <c r="AC1309" s="9">
        <v>14</v>
      </c>
      <c r="AD1309" s="17">
        <v>45351</v>
      </c>
      <c r="AE1309" s="54">
        <v>640</v>
      </c>
      <c r="AF1309" s="54"/>
      <c r="AL1309" s="22"/>
      <c r="AM1309" s="22"/>
      <c r="AN1309" s="22"/>
      <c r="AO1309" s="22"/>
      <c r="AP1309" s="22"/>
      <c r="AQ1309" s="22"/>
      <c r="AR1309" s="22"/>
      <c r="AS1309" s="22"/>
      <c r="AT1309" s="22"/>
      <c r="AU1309" s="22"/>
      <c r="AV1309" s="22"/>
      <c r="AW1309" s="9"/>
      <c r="BA1309" s="22"/>
      <c r="BB1309" s="22"/>
      <c r="BD1309" s="9"/>
      <c r="CS1309" s="11">
        <f t="shared" si="89"/>
        <v>0</v>
      </c>
      <c r="CT1309" s="22">
        <f t="shared" si="90"/>
        <v>0</v>
      </c>
      <c r="CU1309" s="22">
        <f t="shared" si="92"/>
        <v>0</v>
      </c>
      <c r="CV1309" s="26">
        <f t="shared" si="91"/>
        <v>640</v>
      </c>
    </row>
    <row r="1310" spans="1:100" x14ac:dyDescent="0.2">
      <c r="A1310" s="9" t="s">
        <v>361</v>
      </c>
      <c r="B1310" s="2">
        <v>82</v>
      </c>
      <c r="C1310" s="3" t="s">
        <v>95</v>
      </c>
      <c r="D1310" s="3" t="s">
        <v>96</v>
      </c>
      <c r="E1310" s="2"/>
      <c r="F1310" s="2"/>
      <c r="G1310" s="2" t="s">
        <v>74</v>
      </c>
      <c r="H1310" s="2">
        <v>7</v>
      </c>
      <c r="I1310" s="20">
        <v>135</v>
      </c>
      <c r="J1310" s="20">
        <v>49900</v>
      </c>
      <c r="K1310" s="3">
        <v>0</v>
      </c>
      <c r="L1310" s="3" t="s">
        <v>3</v>
      </c>
      <c r="M1310" s="9" t="s">
        <v>0</v>
      </c>
      <c r="N1310" s="9" t="s">
        <v>30</v>
      </c>
      <c r="O1310" s="9" t="s">
        <v>3514</v>
      </c>
      <c r="P1310" s="9" t="s">
        <v>0</v>
      </c>
      <c r="Q1310" s="30" t="s">
        <v>363</v>
      </c>
      <c r="R1310" s="9" t="s">
        <v>364</v>
      </c>
      <c r="S1310" s="9" t="s">
        <v>158</v>
      </c>
      <c r="T1310" s="10" t="s">
        <v>74</v>
      </c>
      <c r="U1310" s="10">
        <v>6</v>
      </c>
      <c r="V1310" s="10">
        <v>135</v>
      </c>
      <c r="W1310" s="10" t="s">
        <v>710</v>
      </c>
      <c r="X1310" s="17">
        <v>44752</v>
      </c>
      <c r="Y1310" s="17">
        <v>45261</v>
      </c>
      <c r="Z1310" s="19" t="s">
        <v>772</v>
      </c>
      <c r="AA1310" s="207">
        <v>51080</v>
      </c>
      <c r="AB1310" s="9">
        <v>73</v>
      </c>
      <c r="AC1310" s="9">
        <v>15</v>
      </c>
      <c r="AD1310" s="17">
        <v>45382</v>
      </c>
      <c r="AE1310" s="54">
        <v>640</v>
      </c>
      <c r="AF1310" s="54"/>
      <c r="AL1310" s="22"/>
      <c r="AM1310" s="22"/>
      <c r="AN1310" s="22"/>
      <c r="AO1310" s="22"/>
      <c r="AP1310" s="22"/>
      <c r="AQ1310" s="22"/>
      <c r="AR1310" s="22"/>
      <c r="AS1310" s="22"/>
      <c r="AT1310" s="22"/>
      <c r="AU1310" s="22"/>
      <c r="AV1310" s="22"/>
      <c r="AW1310" s="9"/>
      <c r="BA1310" s="22"/>
      <c r="BB1310" s="22"/>
      <c r="BD1310" s="9"/>
      <c r="CS1310" s="11">
        <f t="shared" si="89"/>
        <v>0</v>
      </c>
      <c r="CT1310" s="22">
        <f t="shared" si="90"/>
        <v>0</v>
      </c>
      <c r="CU1310" s="22">
        <f t="shared" si="92"/>
        <v>0</v>
      </c>
      <c r="CV1310" s="26">
        <f t="shared" si="91"/>
        <v>640</v>
      </c>
    </row>
    <row r="1311" spans="1:100" x14ac:dyDescent="0.2">
      <c r="A1311" s="9" t="s">
        <v>361</v>
      </c>
      <c r="B1311" s="2">
        <v>82</v>
      </c>
      <c r="C1311" s="3" t="s">
        <v>95</v>
      </c>
      <c r="D1311" s="3" t="s">
        <v>96</v>
      </c>
      <c r="E1311" s="2"/>
      <c r="F1311" s="2"/>
      <c r="G1311" s="2" t="s">
        <v>74</v>
      </c>
      <c r="H1311" s="2">
        <v>7</v>
      </c>
      <c r="I1311" s="20">
        <v>135</v>
      </c>
      <c r="J1311" s="20">
        <v>49900</v>
      </c>
      <c r="K1311" s="3">
        <v>0</v>
      </c>
      <c r="L1311" s="3" t="s">
        <v>3</v>
      </c>
      <c r="M1311" s="9" t="s">
        <v>0</v>
      </c>
      <c r="N1311" s="9" t="s">
        <v>30</v>
      </c>
      <c r="O1311" s="9" t="s">
        <v>3514</v>
      </c>
      <c r="P1311" s="9" t="s">
        <v>0</v>
      </c>
      <c r="Q1311" s="30" t="s">
        <v>363</v>
      </c>
      <c r="R1311" s="9" t="s">
        <v>364</v>
      </c>
      <c r="S1311" s="9" t="s">
        <v>158</v>
      </c>
      <c r="T1311" s="10" t="s">
        <v>74</v>
      </c>
      <c r="U1311" s="10">
        <v>6</v>
      </c>
      <c r="V1311" s="10">
        <v>135</v>
      </c>
      <c r="W1311" s="10" t="s">
        <v>710</v>
      </c>
      <c r="X1311" s="17">
        <v>44752</v>
      </c>
      <c r="Y1311" s="17">
        <v>45261</v>
      </c>
      <c r="Z1311" s="19" t="s">
        <v>772</v>
      </c>
      <c r="AA1311" s="207">
        <v>51080</v>
      </c>
      <c r="AB1311" s="9">
        <v>73</v>
      </c>
      <c r="AC1311" s="9">
        <v>16</v>
      </c>
      <c r="AD1311" s="17">
        <v>45412</v>
      </c>
      <c r="AE1311" s="54">
        <v>640</v>
      </c>
      <c r="AF1311" s="54"/>
      <c r="AL1311" s="22"/>
      <c r="AM1311" s="22"/>
      <c r="AN1311" s="22"/>
      <c r="AO1311" s="22"/>
      <c r="AP1311" s="22"/>
      <c r="AQ1311" s="22"/>
      <c r="AR1311" s="22"/>
      <c r="AS1311" s="22"/>
      <c r="AT1311" s="22"/>
      <c r="AU1311" s="22"/>
      <c r="AV1311" s="22"/>
      <c r="AW1311" s="9"/>
      <c r="BA1311" s="22"/>
      <c r="BB1311" s="22"/>
      <c r="BD1311" s="9"/>
      <c r="CS1311" s="11">
        <f t="shared" si="89"/>
        <v>0</v>
      </c>
      <c r="CT1311" s="22">
        <f t="shared" si="90"/>
        <v>0</v>
      </c>
      <c r="CU1311" s="22">
        <f t="shared" si="92"/>
        <v>0</v>
      </c>
      <c r="CV1311" s="26">
        <f t="shared" si="91"/>
        <v>640</v>
      </c>
    </row>
    <row r="1312" spans="1:100" x14ac:dyDescent="0.2">
      <c r="A1312" s="9" t="s">
        <v>361</v>
      </c>
      <c r="B1312" s="2">
        <v>82</v>
      </c>
      <c r="C1312" s="3" t="s">
        <v>95</v>
      </c>
      <c r="D1312" s="3" t="s">
        <v>96</v>
      </c>
      <c r="E1312" s="2"/>
      <c r="F1312" s="2"/>
      <c r="G1312" s="2" t="s">
        <v>74</v>
      </c>
      <c r="H1312" s="2">
        <v>7</v>
      </c>
      <c r="I1312" s="20">
        <v>135</v>
      </c>
      <c r="J1312" s="20">
        <v>49900</v>
      </c>
      <c r="K1312" s="3">
        <v>0</v>
      </c>
      <c r="L1312" s="3" t="s">
        <v>3</v>
      </c>
      <c r="M1312" s="9" t="s">
        <v>0</v>
      </c>
      <c r="N1312" s="9" t="s">
        <v>30</v>
      </c>
      <c r="O1312" s="9" t="s">
        <v>3514</v>
      </c>
      <c r="P1312" s="9" t="s">
        <v>0</v>
      </c>
      <c r="Q1312" s="30" t="s">
        <v>363</v>
      </c>
      <c r="R1312" s="9" t="s">
        <v>364</v>
      </c>
      <c r="S1312" s="9" t="s">
        <v>158</v>
      </c>
      <c r="T1312" s="10" t="s">
        <v>74</v>
      </c>
      <c r="U1312" s="10">
        <v>6</v>
      </c>
      <c r="V1312" s="10">
        <v>135</v>
      </c>
      <c r="W1312" s="10" t="s">
        <v>710</v>
      </c>
      <c r="X1312" s="17">
        <v>44752</v>
      </c>
      <c r="Y1312" s="17">
        <v>45261</v>
      </c>
      <c r="Z1312" s="19" t="s">
        <v>772</v>
      </c>
      <c r="AA1312" s="207">
        <v>51080</v>
      </c>
      <c r="AB1312" s="9">
        <v>73</v>
      </c>
      <c r="AC1312" s="9">
        <v>17</v>
      </c>
      <c r="AD1312" s="17">
        <v>45443</v>
      </c>
      <c r="AE1312" s="54">
        <v>640</v>
      </c>
      <c r="AF1312" s="54"/>
      <c r="AL1312" s="22"/>
      <c r="AM1312" s="22"/>
      <c r="AN1312" s="22"/>
      <c r="AO1312" s="22"/>
      <c r="AP1312" s="22"/>
      <c r="AQ1312" s="22"/>
      <c r="AR1312" s="22"/>
      <c r="AS1312" s="22"/>
      <c r="AT1312" s="22"/>
      <c r="AU1312" s="22"/>
      <c r="AV1312" s="22"/>
      <c r="AW1312" s="9"/>
      <c r="BA1312" s="22"/>
      <c r="BB1312" s="22"/>
      <c r="BD1312" s="9"/>
      <c r="CS1312" s="11">
        <f t="shared" si="89"/>
        <v>0</v>
      </c>
      <c r="CT1312" s="22">
        <f t="shared" si="90"/>
        <v>0</v>
      </c>
      <c r="CU1312" s="22">
        <f t="shared" si="92"/>
        <v>0</v>
      </c>
      <c r="CV1312" s="26">
        <f t="shared" si="91"/>
        <v>640</v>
      </c>
    </row>
    <row r="1313" spans="1:100" x14ac:dyDescent="0.2">
      <c r="A1313" s="9" t="s">
        <v>361</v>
      </c>
      <c r="B1313" s="2">
        <v>82</v>
      </c>
      <c r="C1313" s="3" t="s">
        <v>95</v>
      </c>
      <c r="D1313" s="3" t="s">
        <v>96</v>
      </c>
      <c r="E1313" s="2"/>
      <c r="F1313" s="2"/>
      <c r="G1313" s="2" t="s">
        <v>74</v>
      </c>
      <c r="H1313" s="2">
        <v>7</v>
      </c>
      <c r="I1313" s="20">
        <v>135</v>
      </c>
      <c r="J1313" s="20">
        <v>49900</v>
      </c>
      <c r="K1313" s="3">
        <v>0</v>
      </c>
      <c r="L1313" s="3" t="s">
        <v>3</v>
      </c>
      <c r="M1313" s="9" t="s">
        <v>0</v>
      </c>
      <c r="N1313" s="9" t="s">
        <v>30</v>
      </c>
      <c r="O1313" s="9" t="s">
        <v>3514</v>
      </c>
      <c r="P1313" s="9" t="s">
        <v>0</v>
      </c>
      <c r="Q1313" s="30" t="s">
        <v>363</v>
      </c>
      <c r="R1313" s="9" t="s">
        <v>364</v>
      </c>
      <c r="S1313" s="9" t="s">
        <v>158</v>
      </c>
      <c r="T1313" s="10" t="s">
        <v>74</v>
      </c>
      <c r="U1313" s="10">
        <v>6</v>
      </c>
      <c r="V1313" s="10">
        <v>135</v>
      </c>
      <c r="W1313" s="10" t="s">
        <v>710</v>
      </c>
      <c r="X1313" s="17">
        <v>44752</v>
      </c>
      <c r="Y1313" s="17">
        <v>45261</v>
      </c>
      <c r="Z1313" s="19" t="s">
        <v>772</v>
      </c>
      <c r="AA1313" s="207">
        <v>51080</v>
      </c>
      <c r="AB1313" s="9">
        <v>73</v>
      </c>
      <c r="AC1313" s="9">
        <v>18</v>
      </c>
      <c r="AD1313" s="17">
        <v>45473</v>
      </c>
      <c r="AE1313" s="54">
        <v>640</v>
      </c>
      <c r="AF1313" s="54"/>
      <c r="AL1313" s="22"/>
      <c r="AM1313" s="22"/>
      <c r="AN1313" s="22"/>
      <c r="AO1313" s="22"/>
      <c r="AP1313" s="22"/>
      <c r="AQ1313" s="22"/>
      <c r="AR1313" s="22"/>
      <c r="AS1313" s="22"/>
      <c r="AT1313" s="22"/>
      <c r="AU1313" s="22"/>
      <c r="AV1313" s="22"/>
      <c r="AW1313" s="9"/>
      <c r="BA1313" s="22"/>
      <c r="BB1313" s="22"/>
      <c r="BD1313" s="9"/>
      <c r="CS1313" s="11">
        <f t="shared" si="89"/>
        <v>0</v>
      </c>
      <c r="CT1313" s="22">
        <f t="shared" si="90"/>
        <v>0</v>
      </c>
      <c r="CU1313" s="22">
        <f t="shared" si="92"/>
        <v>0</v>
      </c>
      <c r="CV1313" s="26">
        <f t="shared" si="91"/>
        <v>640</v>
      </c>
    </row>
    <row r="1314" spans="1:100" x14ac:dyDescent="0.2">
      <c r="A1314" s="9" t="s">
        <v>361</v>
      </c>
      <c r="B1314" s="2">
        <v>82</v>
      </c>
      <c r="C1314" s="3" t="s">
        <v>95</v>
      </c>
      <c r="D1314" s="3" t="s">
        <v>96</v>
      </c>
      <c r="E1314" s="2"/>
      <c r="F1314" s="2"/>
      <c r="G1314" s="2" t="s">
        <v>74</v>
      </c>
      <c r="H1314" s="2">
        <v>7</v>
      </c>
      <c r="I1314" s="20">
        <v>135</v>
      </c>
      <c r="J1314" s="20">
        <v>49900</v>
      </c>
      <c r="K1314" s="3">
        <v>0</v>
      </c>
      <c r="L1314" s="3" t="s">
        <v>3</v>
      </c>
      <c r="M1314" s="9" t="s">
        <v>0</v>
      </c>
      <c r="N1314" s="9" t="s">
        <v>30</v>
      </c>
      <c r="O1314" s="9" t="s">
        <v>3514</v>
      </c>
      <c r="P1314" s="9" t="s">
        <v>0</v>
      </c>
      <c r="Q1314" s="30" t="s">
        <v>363</v>
      </c>
      <c r="R1314" s="9" t="s">
        <v>364</v>
      </c>
      <c r="S1314" s="9" t="s">
        <v>158</v>
      </c>
      <c r="T1314" s="10" t="s">
        <v>74</v>
      </c>
      <c r="U1314" s="10">
        <v>6</v>
      </c>
      <c r="V1314" s="10">
        <v>135</v>
      </c>
      <c r="W1314" s="10" t="s">
        <v>710</v>
      </c>
      <c r="X1314" s="17">
        <v>44752</v>
      </c>
      <c r="Y1314" s="17">
        <v>45261</v>
      </c>
      <c r="Z1314" s="19" t="s">
        <v>772</v>
      </c>
      <c r="AA1314" s="207">
        <v>51080</v>
      </c>
      <c r="AB1314" s="9">
        <v>73</v>
      </c>
      <c r="AC1314" s="9">
        <v>19</v>
      </c>
      <c r="AD1314" s="17">
        <v>45504</v>
      </c>
      <c r="AE1314" s="54">
        <v>640</v>
      </c>
      <c r="AF1314" s="54"/>
      <c r="AL1314" s="22"/>
      <c r="AM1314" s="22"/>
      <c r="AN1314" s="22"/>
      <c r="AO1314" s="22"/>
      <c r="AP1314" s="22"/>
      <c r="AQ1314" s="22"/>
      <c r="AR1314" s="22"/>
      <c r="AS1314" s="22"/>
      <c r="AT1314" s="22"/>
      <c r="AU1314" s="22"/>
      <c r="AV1314" s="22"/>
      <c r="AW1314" s="9"/>
      <c r="BA1314" s="22"/>
      <c r="BB1314" s="22"/>
      <c r="BD1314" s="9"/>
      <c r="CS1314" s="11">
        <f t="shared" si="89"/>
        <v>0</v>
      </c>
      <c r="CT1314" s="22">
        <f t="shared" si="90"/>
        <v>0</v>
      </c>
      <c r="CU1314" s="22">
        <f t="shared" si="92"/>
        <v>0</v>
      </c>
      <c r="CV1314" s="26">
        <f t="shared" si="91"/>
        <v>640</v>
      </c>
    </row>
    <row r="1315" spans="1:100" x14ac:dyDescent="0.2">
      <c r="A1315" s="9" t="s">
        <v>361</v>
      </c>
      <c r="B1315" s="2">
        <v>82</v>
      </c>
      <c r="C1315" s="3" t="s">
        <v>95</v>
      </c>
      <c r="D1315" s="3" t="s">
        <v>96</v>
      </c>
      <c r="E1315" s="2"/>
      <c r="F1315" s="2"/>
      <c r="G1315" s="2" t="s">
        <v>74</v>
      </c>
      <c r="H1315" s="2">
        <v>7</v>
      </c>
      <c r="I1315" s="20">
        <v>135</v>
      </c>
      <c r="J1315" s="20">
        <v>49900</v>
      </c>
      <c r="K1315" s="3">
        <v>0</v>
      </c>
      <c r="L1315" s="3" t="s">
        <v>3</v>
      </c>
      <c r="M1315" s="9" t="s">
        <v>0</v>
      </c>
      <c r="N1315" s="9" t="s">
        <v>30</v>
      </c>
      <c r="O1315" s="9" t="s">
        <v>3514</v>
      </c>
      <c r="P1315" s="9" t="s">
        <v>0</v>
      </c>
      <c r="Q1315" s="30" t="s">
        <v>363</v>
      </c>
      <c r="R1315" s="9" t="s">
        <v>364</v>
      </c>
      <c r="S1315" s="9" t="s">
        <v>158</v>
      </c>
      <c r="T1315" s="10" t="s">
        <v>74</v>
      </c>
      <c r="U1315" s="10">
        <v>6</v>
      </c>
      <c r="V1315" s="10">
        <v>135</v>
      </c>
      <c r="W1315" s="10" t="s">
        <v>710</v>
      </c>
      <c r="X1315" s="17">
        <v>44752</v>
      </c>
      <c r="Y1315" s="17">
        <v>45261</v>
      </c>
      <c r="Z1315" s="19" t="s">
        <v>772</v>
      </c>
      <c r="AA1315" s="207">
        <v>51080</v>
      </c>
      <c r="AB1315" s="9">
        <v>73</v>
      </c>
      <c r="AC1315" s="9">
        <v>20</v>
      </c>
      <c r="AD1315" s="17">
        <v>45535</v>
      </c>
      <c r="AE1315" s="54">
        <v>640</v>
      </c>
      <c r="AF1315" s="54"/>
      <c r="AL1315" s="22"/>
      <c r="AM1315" s="22"/>
      <c r="AN1315" s="22"/>
      <c r="AO1315" s="22"/>
      <c r="AP1315" s="22"/>
      <c r="AQ1315" s="22"/>
      <c r="AR1315" s="22"/>
      <c r="AS1315" s="22"/>
      <c r="AT1315" s="22"/>
      <c r="AU1315" s="22"/>
      <c r="AV1315" s="22"/>
      <c r="AW1315" s="9"/>
      <c r="BA1315" s="22"/>
      <c r="BB1315" s="22"/>
      <c r="BD1315" s="9"/>
      <c r="CS1315" s="11">
        <f t="shared" si="89"/>
        <v>0</v>
      </c>
      <c r="CT1315" s="22">
        <f t="shared" si="90"/>
        <v>0</v>
      </c>
      <c r="CU1315" s="22">
        <f t="shared" si="92"/>
        <v>0</v>
      </c>
      <c r="CV1315" s="26">
        <f t="shared" si="91"/>
        <v>640</v>
      </c>
    </row>
    <row r="1316" spans="1:100" x14ac:dyDescent="0.2">
      <c r="A1316" s="9" t="s">
        <v>361</v>
      </c>
      <c r="B1316" s="2">
        <v>82</v>
      </c>
      <c r="C1316" s="3" t="s">
        <v>95</v>
      </c>
      <c r="D1316" s="3" t="s">
        <v>96</v>
      </c>
      <c r="E1316" s="2"/>
      <c r="F1316" s="2"/>
      <c r="G1316" s="2" t="s">
        <v>74</v>
      </c>
      <c r="H1316" s="2">
        <v>7</v>
      </c>
      <c r="I1316" s="20">
        <v>135</v>
      </c>
      <c r="J1316" s="20">
        <v>49900</v>
      </c>
      <c r="K1316" s="3">
        <v>0</v>
      </c>
      <c r="L1316" s="3" t="s">
        <v>3</v>
      </c>
      <c r="M1316" s="9" t="s">
        <v>0</v>
      </c>
      <c r="N1316" s="9" t="s">
        <v>30</v>
      </c>
      <c r="O1316" s="9" t="s">
        <v>3514</v>
      </c>
      <c r="P1316" s="9" t="s">
        <v>0</v>
      </c>
      <c r="Q1316" s="30" t="s">
        <v>363</v>
      </c>
      <c r="R1316" s="9" t="s">
        <v>364</v>
      </c>
      <c r="S1316" s="9" t="s">
        <v>158</v>
      </c>
      <c r="T1316" s="10" t="s">
        <v>74</v>
      </c>
      <c r="U1316" s="10">
        <v>6</v>
      </c>
      <c r="V1316" s="10">
        <v>135</v>
      </c>
      <c r="W1316" s="10" t="s">
        <v>710</v>
      </c>
      <c r="X1316" s="17">
        <v>44752</v>
      </c>
      <c r="Y1316" s="17">
        <v>45261</v>
      </c>
      <c r="Z1316" s="19" t="s">
        <v>772</v>
      </c>
      <c r="AA1316" s="207">
        <v>51080</v>
      </c>
      <c r="AB1316" s="9">
        <v>73</v>
      </c>
      <c r="AC1316" s="9">
        <v>21</v>
      </c>
      <c r="AD1316" s="17">
        <v>45565</v>
      </c>
      <c r="AE1316" s="54">
        <v>640</v>
      </c>
      <c r="AF1316" s="54"/>
      <c r="AL1316" s="22"/>
      <c r="AM1316" s="22"/>
      <c r="AN1316" s="22"/>
      <c r="AO1316" s="22"/>
      <c r="AP1316" s="22"/>
      <c r="AQ1316" s="22"/>
      <c r="AR1316" s="22"/>
      <c r="AS1316" s="22"/>
      <c r="AT1316" s="22"/>
      <c r="AU1316" s="22"/>
      <c r="AV1316" s="22"/>
      <c r="AW1316" s="9"/>
      <c r="BA1316" s="22"/>
      <c r="BB1316" s="22"/>
      <c r="BD1316" s="9"/>
      <c r="CS1316" s="11">
        <f t="shared" si="89"/>
        <v>0</v>
      </c>
      <c r="CT1316" s="22">
        <f t="shared" si="90"/>
        <v>0</v>
      </c>
      <c r="CU1316" s="22">
        <f t="shared" si="92"/>
        <v>0</v>
      </c>
      <c r="CV1316" s="26">
        <f t="shared" si="91"/>
        <v>640</v>
      </c>
    </row>
    <row r="1317" spans="1:100" x14ac:dyDescent="0.2">
      <c r="A1317" s="9" t="s">
        <v>361</v>
      </c>
      <c r="B1317" s="2">
        <v>82</v>
      </c>
      <c r="C1317" s="3" t="s">
        <v>95</v>
      </c>
      <c r="D1317" s="3" t="s">
        <v>96</v>
      </c>
      <c r="E1317" s="2"/>
      <c r="F1317" s="2"/>
      <c r="G1317" s="2" t="s">
        <v>74</v>
      </c>
      <c r="H1317" s="2">
        <v>7</v>
      </c>
      <c r="I1317" s="20">
        <v>135</v>
      </c>
      <c r="J1317" s="20">
        <v>49900</v>
      </c>
      <c r="K1317" s="3">
        <v>0</v>
      </c>
      <c r="L1317" s="3" t="s">
        <v>3</v>
      </c>
      <c r="M1317" s="9" t="s">
        <v>0</v>
      </c>
      <c r="N1317" s="9" t="s">
        <v>30</v>
      </c>
      <c r="O1317" s="9" t="s">
        <v>3514</v>
      </c>
      <c r="P1317" s="9" t="s">
        <v>0</v>
      </c>
      <c r="Q1317" s="30" t="s">
        <v>363</v>
      </c>
      <c r="R1317" s="9" t="s">
        <v>364</v>
      </c>
      <c r="S1317" s="9" t="s">
        <v>158</v>
      </c>
      <c r="T1317" s="10" t="s">
        <v>74</v>
      </c>
      <c r="U1317" s="10">
        <v>6</v>
      </c>
      <c r="V1317" s="10">
        <v>135</v>
      </c>
      <c r="W1317" s="10" t="s">
        <v>710</v>
      </c>
      <c r="X1317" s="17">
        <v>44752</v>
      </c>
      <c r="Y1317" s="17">
        <v>45261</v>
      </c>
      <c r="Z1317" s="19" t="s">
        <v>772</v>
      </c>
      <c r="AA1317" s="207">
        <v>51080</v>
      </c>
      <c r="AB1317" s="9">
        <v>73</v>
      </c>
      <c r="AC1317" s="9">
        <v>22</v>
      </c>
      <c r="AD1317" s="17">
        <v>45596</v>
      </c>
      <c r="AE1317" s="54">
        <v>640</v>
      </c>
      <c r="AF1317" s="54"/>
      <c r="AL1317" s="22"/>
      <c r="AM1317" s="22"/>
      <c r="AN1317" s="22"/>
      <c r="AO1317" s="22"/>
      <c r="AP1317" s="22"/>
      <c r="AQ1317" s="22"/>
      <c r="AR1317" s="22"/>
      <c r="AS1317" s="22"/>
      <c r="AT1317" s="22"/>
      <c r="AU1317" s="22"/>
      <c r="AV1317" s="22"/>
      <c r="AW1317" s="9"/>
      <c r="BA1317" s="22"/>
      <c r="BB1317" s="22"/>
      <c r="BD1317" s="9"/>
      <c r="CS1317" s="11">
        <f t="shared" si="89"/>
        <v>0</v>
      </c>
      <c r="CT1317" s="22">
        <f t="shared" si="90"/>
        <v>0</v>
      </c>
      <c r="CU1317" s="22">
        <f t="shared" si="92"/>
        <v>0</v>
      </c>
      <c r="CV1317" s="26">
        <f t="shared" si="91"/>
        <v>640</v>
      </c>
    </row>
    <row r="1318" spans="1:100" x14ac:dyDescent="0.2">
      <c r="A1318" s="9" t="s">
        <v>361</v>
      </c>
      <c r="B1318" s="2">
        <v>82</v>
      </c>
      <c r="C1318" s="3" t="s">
        <v>95</v>
      </c>
      <c r="D1318" s="3" t="s">
        <v>96</v>
      </c>
      <c r="E1318" s="2"/>
      <c r="F1318" s="2"/>
      <c r="G1318" s="2" t="s">
        <v>74</v>
      </c>
      <c r="H1318" s="2">
        <v>7</v>
      </c>
      <c r="I1318" s="20">
        <v>135</v>
      </c>
      <c r="J1318" s="20">
        <v>49900</v>
      </c>
      <c r="K1318" s="3">
        <v>0</v>
      </c>
      <c r="L1318" s="3" t="s">
        <v>3</v>
      </c>
      <c r="M1318" s="9" t="s">
        <v>0</v>
      </c>
      <c r="N1318" s="9" t="s">
        <v>30</v>
      </c>
      <c r="O1318" s="9" t="s">
        <v>3514</v>
      </c>
      <c r="P1318" s="9" t="s">
        <v>0</v>
      </c>
      <c r="Q1318" s="30" t="s">
        <v>363</v>
      </c>
      <c r="R1318" s="9" t="s">
        <v>364</v>
      </c>
      <c r="S1318" s="9" t="s">
        <v>158</v>
      </c>
      <c r="T1318" s="10" t="s">
        <v>74</v>
      </c>
      <c r="U1318" s="10">
        <v>6</v>
      </c>
      <c r="V1318" s="10">
        <v>135</v>
      </c>
      <c r="W1318" s="10" t="s">
        <v>710</v>
      </c>
      <c r="X1318" s="17">
        <v>44752</v>
      </c>
      <c r="Y1318" s="17">
        <v>45261</v>
      </c>
      <c r="Z1318" s="19" t="s">
        <v>772</v>
      </c>
      <c r="AA1318" s="207">
        <v>51080</v>
      </c>
      <c r="AB1318" s="9">
        <v>73</v>
      </c>
      <c r="AC1318" s="9">
        <v>23</v>
      </c>
      <c r="AD1318" s="17">
        <v>45626</v>
      </c>
      <c r="AE1318" s="54">
        <v>640</v>
      </c>
      <c r="AF1318" s="54"/>
      <c r="AL1318" s="22"/>
      <c r="AM1318" s="22"/>
      <c r="AN1318" s="22"/>
      <c r="AO1318" s="22"/>
      <c r="AP1318" s="22"/>
      <c r="AQ1318" s="22"/>
      <c r="AR1318" s="22"/>
      <c r="AS1318" s="22"/>
      <c r="AT1318" s="22"/>
      <c r="AU1318" s="22"/>
      <c r="AV1318" s="22"/>
      <c r="AW1318" s="9"/>
      <c r="BA1318" s="22"/>
      <c r="BB1318" s="22"/>
      <c r="BD1318" s="9"/>
      <c r="CS1318" s="11">
        <f t="shared" si="89"/>
        <v>0</v>
      </c>
      <c r="CT1318" s="22">
        <f t="shared" si="90"/>
        <v>0</v>
      </c>
      <c r="CU1318" s="22">
        <f t="shared" si="92"/>
        <v>0</v>
      </c>
      <c r="CV1318" s="26">
        <f t="shared" si="91"/>
        <v>640</v>
      </c>
    </row>
    <row r="1319" spans="1:100" x14ac:dyDescent="0.2">
      <c r="A1319" s="9" t="s">
        <v>361</v>
      </c>
      <c r="B1319" s="2">
        <v>82</v>
      </c>
      <c r="C1319" s="3" t="s">
        <v>95</v>
      </c>
      <c r="D1319" s="3" t="s">
        <v>96</v>
      </c>
      <c r="E1319" s="2"/>
      <c r="F1319" s="2"/>
      <c r="G1319" s="2" t="s">
        <v>74</v>
      </c>
      <c r="H1319" s="2">
        <v>7</v>
      </c>
      <c r="I1319" s="20">
        <v>135</v>
      </c>
      <c r="J1319" s="20">
        <v>49900</v>
      </c>
      <c r="K1319" s="3">
        <v>0</v>
      </c>
      <c r="L1319" s="3" t="s">
        <v>3</v>
      </c>
      <c r="M1319" s="9" t="s">
        <v>0</v>
      </c>
      <c r="N1319" s="9" t="s">
        <v>30</v>
      </c>
      <c r="O1319" s="9" t="s">
        <v>3514</v>
      </c>
      <c r="P1319" s="9" t="s">
        <v>0</v>
      </c>
      <c r="Q1319" s="30" t="s">
        <v>363</v>
      </c>
      <c r="R1319" s="9" t="s">
        <v>364</v>
      </c>
      <c r="S1319" s="9" t="s">
        <v>158</v>
      </c>
      <c r="T1319" s="10" t="s">
        <v>74</v>
      </c>
      <c r="U1319" s="10">
        <v>6</v>
      </c>
      <c r="V1319" s="10">
        <v>135</v>
      </c>
      <c r="W1319" s="10" t="s">
        <v>710</v>
      </c>
      <c r="X1319" s="17">
        <v>44752</v>
      </c>
      <c r="Y1319" s="17">
        <v>45261</v>
      </c>
      <c r="Z1319" s="19" t="s">
        <v>772</v>
      </c>
      <c r="AA1319" s="207">
        <v>51080</v>
      </c>
      <c r="AB1319" s="9">
        <v>73</v>
      </c>
      <c r="AC1319" s="9">
        <v>24</v>
      </c>
      <c r="AD1319" s="17">
        <v>45657</v>
      </c>
      <c r="AE1319" s="54">
        <v>640</v>
      </c>
      <c r="AF1319" s="54"/>
      <c r="AL1319" s="22"/>
      <c r="AM1319" s="22"/>
      <c r="AN1319" s="22"/>
      <c r="AO1319" s="22"/>
      <c r="AP1319" s="22"/>
      <c r="AQ1319" s="22"/>
      <c r="AR1319" s="22"/>
      <c r="AS1319" s="22"/>
      <c r="AT1319" s="22"/>
      <c r="AU1319" s="22"/>
      <c r="AV1319" s="22"/>
      <c r="AW1319" s="9"/>
      <c r="BA1319" s="22"/>
      <c r="BB1319" s="22"/>
      <c r="BD1319" s="9"/>
      <c r="CS1319" s="11">
        <f t="shared" si="89"/>
        <v>0</v>
      </c>
      <c r="CT1319" s="22">
        <f t="shared" si="90"/>
        <v>0</v>
      </c>
      <c r="CU1319" s="22">
        <f t="shared" si="92"/>
        <v>0</v>
      </c>
      <c r="CV1319" s="26">
        <f t="shared" si="91"/>
        <v>640</v>
      </c>
    </row>
    <row r="1320" spans="1:100" x14ac:dyDescent="0.2">
      <c r="A1320" s="9" t="s">
        <v>361</v>
      </c>
      <c r="B1320" s="2">
        <v>82</v>
      </c>
      <c r="C1320" s="3" t="s">
        <v>95</v>
      </c>
      <c r="D1320" s="3" t="s">
        <v>96</v>
      </c>
      <c r="E1320" s="2"/>
      <c r="F1320" s="2"/>
      <c r="G1320" s="2" t="s">
        <v>74</v>
      </c>
      <c r="H1320" s="2">
        <v>7</v>
      </c>
      <c r="I1320" s="20">
        <v>135</v>
      </c>
      <c r="J1320" s="20">
        <v>49900</v>
      </c>
      <c r="K1320" s="3">
        <v>0</v>
      </c>
      <c r="L1320" s="3" t="s">
        <v>3</v>
      </c>
      <c r="M1320" s="9" t="s">
        <v>0</v>
      </c>
      <c r="N1320" s="9" t="s">
        <v>30</v>
      </c>
      <c r="O1320" s="9" t="s">
        <v>3514</v>
      </c>
      <c r="P1320" s="9" t="s">
        <v>0</v>
      </c>
      <c r="Q1320" s="30" t="s">
        <v>363</v>
      </c>
      <c r="R1320" s="9" t="s">
        <v>364</v>
      </c>
      <c r="S1320" s="9" t="s">
        <v>158</v>
      </c>
      <c r="T1320" s="10" t="s">
        <v>74</v>
      </c>
      <c r="U1320" s="10">
        <v>6</v>
      </c>
      <c r="V1320" s="10">
        <v>135</v>
      </c>
      <c r="W1320" s="10" t="s">
        <v>710</v>
      </c>
      <c r="X1320" s="17">
        <v>44752</v>
      </c>
      <c r="Y1320" s="17">
        <v>45261</v>
      </c>
      <c r="Z1320" s="19" t="s">
        <v>772</v>
      </c>
      <c r="AA1320" s="207">
        <v>51080</v>
      </c>
      <c r="AB1320" s="9">
        <v>73</v>
      </c>
      <c r="AC1320" s="9">
        <v>25</v>
      </c>
      <c r="AD1320" s="17">
        <v>45688</v>
      </c>
      <c r="AE1320" s="54">
        <v>640</v>
      </c>
      <c r="AF1320" s="54"/>
      <c r="AL1320" s="22"/>
      <c r="AM1320" s="22"/>
      <c r="AN1320" s="22"/>
      <c r="AO1320" s="22"/>
      <c r="AP1320" s="22"/>
      <c r="AQ1320" s="22"/>
      <c r="AR1320" s="22"/>
      <c r="AS1320" s="22"/>
      <c r="AT1320" s="22"/>
      <c r="AU1320" s="22"/>
      <c r="AV1320" s="22"/>
      <c r="AW1320" s="9"/>
      <c r="BA1320" s="22"/>
      <c r="BB1320" s="22"/>
      <c r="BD1320" s="9"/>
      <c r="CS1320" s="11">
        <f t="shared" si="89"/>
        <v>0</v>
      </c>
      <c r="CT1320" s="22">
        <f t="shared" si="90"/>
        <v>0</v>
      </c>
      <c r="CU1320" s="22">
        <f t="shared" si="92"/>
        <v>0</v>
      </c>
      <c r="CV1320" s="26">
        <f t="shared" si="91"/>
        <v>640</v>
      </c>
    </row>
    <row r="1321" spans="1:100" x14ac:dyDescent="0.2">
      <c r="A1321" s="9" t="s">
        <v>361</v>
      </c>
      <c r="B1321" s="2">
        <v>82</v>
      </c>
      <c r="C1321" s="3" t="s">
        <v>95</v>
      </c>
      <c r="D1321" s="3" t="s">
        <v>96</v>
      </c>
      <c r="E1321" s="2"/>
      <c r="F1321" s="2"/>
      <c r="G1321" s="2" t="s">
        <v>74</v>
      </c>
      <c r="H1321" s="2">
        <v>7</v>
      </c>
      <c r="I1321" s="20">
        <v>135</v>
      </c>
      <c r="J1321" s="20">
        <v>49900</v>
      </c>
      <c r="K1321" s="3">
        <v>0</v>
      </c>
      <c r="L1321" s="3" t="s">
        <v>3</v>
      </c>
      <c r="M1321" s="9" t="s">
        <v>0</v>
      </c>
      <c r="N1321" s="9" t="s">
        <v>30</v>
      </c>
      <c r="O1321" s="9" t="s">
        <v>3514</v>
      </c>
      <c r="P1321" s="9" t="s">
        <v>0</v>
      </c>
      <c r="Q1321" s="30" t="s">
        <v>363</v>
      </c>
      <c r="R1321" s="9" t="s">
        <v>364</v>
      </c>
      <c r="S1321" s="9" t="s">
        <v>158</v>
      </c>
      <c r="T1321" s="10" t="s">
        <v>74</v>
      </c>
      <c r="U1321" s="10">
        <v>6</v>
      </c>
      <c r="V1321" s="10">
        <v>135</v>
      </c>
      <c r="W1321" s="10" t="s">
        <v>710</v>
      </c>
      <c r="X1321" s="17">
        <v>44752</v>
      </c>
      <c r="Y1321" s="17">
        <v>45261</v>
      </c>
      <c r="Z1321" s="19" t="s">
        <v>772</v>
      </c>
      <c r="AA1321" s="207">
        <v>51080</v>
      </c>
      <c r="AB1321" s="9">
        <v>73</v>
      </c>
      <c r="AC1321" s="9">
        <v>26</v>
      </c>
      <c r="AD1321" s="17">
        <v>45716</v>
      </c>
      <c r="AE1321" s="54">
        <v>640</v>
      </c>
      <c r="AF1321" s="54"/>
      <c r="AL1321" s="22"/>
      <c r="AM1321" s="22"/>
      <c r="AN1321" s="22"/>
      <c r="AO1321" s="22"/>
      <c r="AP1321" s="22"/>
      <c r="AQ1321" s="22"/>
      <c r="AR1321" s="22"/>
      <c r="AS1321" s="22"/>
      <c r="AT1321" s="22"/>
      <c r="AU1321" s="22"/>
      <c r="AV1321" s="22"/>
      <c r="AW1321" s="9"/>
      <c r="BA1321" s="22"/>
      <c r="BB1321" s="22"/>
      <c r="BD1321" s="9"/>
      <c r="CS1321" s="11">
        <f t="shared" si="89"/>
        <v>0</v>
      </c>
      <c r="CT1321" s="22">
        <f t="shared" si="90"/>
        <v>0</v>
      </c>
      <c r="CU1321" s="22">
        <f t="shared" si="92"/>
        <v>0</v>
      </c>
      <c r="CV1321" s="26">
        <f t="shared" si="91"/>
        <v>640</v>
      </c>
    </row>
    <row r="1322" spans="1:100" x14ac:dyDescent="0.2">
      <c r="A1322" s="9" t="s">
        <v>361</v>
      </c>
      <c r="B1322" s="2">
        <v>82</v>
      </c>
      <c r="C1322" s="3" t="s">
        <v>95</v>
      </c>
      <c r="D1322" s="3" t="s">
        <v>96</v>
      </c>
      <c r="E1322" s="2"/>
      <c r="F1322" s="2"/>
      <c r="G1322" s="2" t="s">
        <v>74</v>
      </c>
      <c r="H1322" s="2">
        <v>7</v>
      </c>
      <c r="I1322" s="20">
        <v>135</v>
      </c>
      <c r="J1322" s="20">
        <v>49900</v>
      </c>
      <c r="K1322" s="3">
        <v>0</v>
      </c>
      <c r="L1322" s="3" t="s">
        <v>3</v>
      </c>
      <c r="M1322" s="9" t="s">
        <v>0</v>
      </c>
      <c r="N1322" s="9" t="s">
        <v>30</v>
      </c>
      <c r="O1322" s="9" t="s">
        <v>3514</v>
      </c>
      <c r="P1322" s="9" t="s">
        <v>0</v>
      </c>
      <c r="Q1322" s="30" t="s">
        <v>363</v>
      </c>
      <c r="R1322" s="9" t="s">
        <v>364</v>
      </c>
      <c r="S1322" s="9" t="s">
        <v>158</v>
      </c>
      <c r="T1322" s="10" t="s">
        <v>74</v>
      </c>
      <c r="U1322" s="10">
        <v>6</v>
      </c>
      <c r="V1322" s="10">
        <v>135</v>
      </c>
      <c r="W1322" s="10" t="s">
        <v>710</v>
      </c>
      <c r="X1322" s="17">
        <v>44752</v>
      </c>
      <c r="Y1322" s="17">
        <v>45261</v>
      </c>
      <c r="Z1322" s="19" t="s">
        <v>772</v>
      </c>
      <c r="AA1322" s="207">
        <v>51080</v>
      </c>
      <c r="AB1322" s="9">
        <v>73</v>
      </c>
      <c r="AC1322" s="9">
        <v>27</v>
      </c>
      <c r="AD1322" s="17">
        <v>45747</v>
      </c>
      <c r="AE1322" s="54">
        <v>640</v>
      </c>
      <c r="AF1322" s="54"/>
      <c r="AL1322" s="22"/>
      <c r="AM1322" s="22"/>
      <c r="AN1322" s="22"/>
      <c r="AO1322" s="22"/>
      <c r="AP1322" s="22"/>
      <c r="AQ1322" s="22"/>
      <c r="AR1322" s="22"/>
      <c r="AS1322" s="22"/>
      <c r="AT1322" s="22"/>
      <c r="AU1322" s="22"/>
      <c r="AV1322" s="22"/>
      <c r="AW1322" s="9"/>
      <c r="BA1322" s="22"/>
      <c r="BB1322" s="22"/>
      <c r="BD1322" s="9"/>
      <c r="CS1322" s="11">
        <f t="shared" si="89"/>
        <v>0</v>
      </c>
      <c r="CT1322" s="22">
        <f t="shared" si="90"/>
        <v>0</v>
      </c>
      <c r="CU1322" s="22">
        <f t="shared" si="92"/>
        <v>0</v>
      </c>
      <c r="CV1322" s="26">
        <f t="shared" si="91"/>
        <v>640</v>
      </c>
    </row>
    <row r="1323" spans="1:100" x14ac:dyDescent="0.2">
      <c r="A1323" s="9" t="s">
        <v>361</v>
      </c>
      <c r="B1323" s="2">
        <v>82</v>
      </c>
      <c r="C1323" s="3" t="s">
        <v>95</v>
      </c>
      <c r="D1323" s="3" t="s">
        <v>96</v>
      </c>
      <c r="E1323" s="2"/>
      <c r="F1323" s="2"/>
      <c r="G1323" s="2" t="s">
        <v>74</v>
      </c>
      <c r="H1323" s="2">
        <v>7</v>
      </c>
      <c r="I1323" s="20">
        <v>135</v>
      </c>
      <c r="J1323" s="20">
        <v>49900</v>
      </c>
      <c r="K1323" s="3">
        <v>0</v>
      </c>
      <c r="L1323" s="3" t="s">
        <v>3</v>
      </c>
      <c r="M1323" s="9" t="s">
        <v>0</v>
      </c>
      <c r="N1323" s="9" t="s">
        <v>30</v>
      </c>
      <c r="O1323" s="9" t="s">
        <v>3514</v>
      </c>
      <c r="P1323" s="9" t="s">
        <v>0</v>
      </c>
      <c r="Q1323" s="30" t="s">
        <v>363</v>
      </c>
      <c r="R1323" s="9" t="s">
        <v>364</v>
      </c>
      <c r="S1323" s="9" t="s">
        <v>158</v>
      </c>
      <c r="T1323" s="10" t="s">
        <v>74</v>
      </c>
      <c r="U1323" s="10">
        <v>6</v>
      </c>
      <c r="V1323" s="10">
        <v>135</v>
      </c>
      <c r="W1323" s="10" t="s">
        <v>710</v>
      </c>
      <c r="X1323" s="17">
        <v>44752</v>
      </c>
      <c r="Y1323" s="17">
        <v>45261</v>
      </c>
      <c r="Z1323" s="19" t="s">
        <v>772</v>
      </c>
      <c r="AA1323" s="207">
        <v>51080</v>
      </c>
      <c r="AB1323" s="9">
        <v>73</v>
      </c>
      <c r="AC1323" s="9">
        <v>28</v>
      </c>
      <c r="AD1323" s="17">
        <v>45777</v>
      </c>
      <c r="AE1323" s="54">
        <v>640</v>
      </c>
      <c r="AF1323" s="54"/>
      <c r="AL1323" s="22"/>
      <c r="AM1323" s="22"/>
      <c r="AN1323" s="22"/>
      <c r="AO1323" s="22"/>
      <c r="AP1323" s="22"/>
      <c r="AQ1323" s="22"/>
      <c r="AR1323" s="22"/>
      <c r="AS1323" s="22"/>
      <c r="AT1323" s="22"/>
      <c r="AU1323" s="22"/>
      <c r="AV1323" s="22"/>
      <c r="AW1323" s="9"/>
      <c r="BA1323" s="22"/>
      <c r="BB1323" s="22"/>
      <c r="BD1323" s="9"/>
      <c r="CS1323" s="11">
        <f t="shared" si="89"/>
        <v>0</v>
      </c>
      <c r="CT1323" s="22">
        <f t="shared" si="90"/>
        <v>0</v>
      </c>
      <c r="CU1323" s="22">
        <f t="shared" si="92"/>
        <v>0</v>
      </c>
      <c r="CV1323" s="26">
        <f t="shared" si="91"/>
        <v>640</v>
      </c>
    </row>
    <row r="1324" spans="1:100" x14ac:dyDescent="0.2">
      <c r="A1324" s="9" t="s">
        <v>361</v>
      </c>
      <c r="B1324" s="2">
        <v>82</v>
      </c>
      <c r="C1324" s="3" t="s">
        <v>95</v>
      </c>
      <c r="D1324" s="3" t="s">
        <v>96</v>
      </c>
      <c r="E1324" s="2"/>
      <c r="F1324" s="2"/>
      <c r="G1324" s="2" t="s">
        <v>74</v>
      </c>
      <c r="H1324" s="2">
        <v>7</v>
      </c>
      <c r="I1324" s="20">
        <v>135</v>
      </c>
      <c r="J1324" s="20">
        <v>49900</v>
      </c>
      <c r="K1324" s="3">
        <v>0</v>
      </c>
      <c r="L1324" s="3" t="s">
        <v>3</v>
      </c>
      <c r="M1324" s="9" t="s">
        <v>0</v>
      </c>
      <c r="N1324" s="9" t="s">
        <v>30</v>
      </c>
      <c r="O1324" s="9" t="s">
        <v>3514</v>
      </c>
      <c r="P1324" s="9" t="s">
        <v>0</v>
      </c>
      <c r="Q1324" s="30" t="s">
        <v>363</v>
      </c>
      <c r="R1324" s="9" t="s">
        <v>364</v>
      </c>
      <c r="S1324" s="9" t="s">
        <v>158</v>
      </c>
      <c r="T1324" s="10" t="s">
        <v>74</v>
      </c>
      <c r="U1324" s="10">
        <v>6</v>
      </c>
      <c r="V1324" s="10">
        <v>135</v>
      </c>
      <c r="W1324" s="10" t="s">
        <v>710</v>
      </c>
      <c r="X1324" s="17">
        <v>44752</v>
      </c>
      <c r="Y1324" s="17">
        <v>45261</v>
      </c>
      <c r="Z1324" s="19" t="s">
        <v>772</v>
      </c>
      <c r="AA1324" s="207">
        <v>51080</v>
      </c>
      <c r="AB1324" s="9">
        <v>73</v>
      </c>
      <c r="AC1324" s="9">
        <v>29</v>
      </c>
      <c r="AD1324" s="17">
        <v>45808</v>
      </c>
      <c r="AE1324" s="54">
        <v>640</v>
      </c>
      <c r="AF1324" s="54"/>
      <c r="AL1324" s="22"/>
      <c r="AM1324" s="22"/>
      <c r="AN1324" s="22"/>
      <c r="AO1324" s="22"/>
      <c r="AP1324" s="22"/>
      <c r="AQ1324" s="22"/>
      <c r="AR1324" s="22"/>
      <c r="AS1324" s="22"/>
      <c r="AT1324" s="22"/>
      <c r="AU1324" s="22"/>
      <c r="AV1324" s="22"/>
      <c r="AW1324" s="9"/>
      <c r="BA1324" s="22"/>
      <c r="BB1324" s="22"/>
      <c r="BD1324" s="9"/>
      <c r="CS1324" s="11">
        <f t="shared" si="89"/>
        <v>0</v>
      </c>
      <c r="CT1324" s="22">
        <f t="shared" si="90"/>
        <v>0</v>
      </c>
      <c r="CU1324" s="22">
        <f t="shared" si="92"/>
        <v>0</v>
      </c>
      <c r="CV1324" s="26">
        <f t="shared" si="91"/>
        <v>640</v>
      </c>
    </row>
    <row r="1325" spans="1:100" x14ac:dyDescent="0.2">
      <c r="A1325" s="9" t="s">
        <v>361</v>
      </c>
      <c r="B1325" s="2">
        <v>82</v>
      </c>
      <c r="C1325" s="3" t="s">
        <v>95</v>
      </c>
      <c r="D1325" s="3" t="s">
        <v>96</v>
      </c>
      <c r="E1325" s="2"/>
      <c r="F1325" s="2"/>
      <c r="G1325" s="2" t="s">
        <v>74</v>
      </c>
      <c r="H1325" s="2">
        <v>7</v>
      </c>
      <c r="I1325" s="20">
        <v>135</v>
      </c>
      <c r="J1325" s="20">
        <v>49900</v>
      </c>
      <c r="K1325" s="3">
        <v>0</v>
      </c>
      <c r="L1325" s="3" t="s">
        <v>3</v>
      </c>
      <c r="M1325" s="9" t="s">
        <v>0</v>
      </c>
      <c r="N1325" s="9" t="s">
        <v>30</v>
      </c>
      <c r="O1325" s="9" t="s">
        <v>3514</v>
      </c>
      <c r="P1325" s="9" t="s">
        <v>0</v>
      </c>
      <c r="Q1325" s="30" t="s">
        <v>363</v>
      </c>
      <c r="R1325" s="9" t="s">
        <v>364</v>
      </c>
      <c r="S1325" s="9" t="s">
        <v>158</v>
      </c>
      <c r="T1325" s="10" t="s">
        <v>74</v>
      </c>
      <c r="U1325" s="10">
        <v>6</v>
      </c>
      <c r="V1325" s="10">
        <v>135</v>
      </c>
      <c r="W1325" s="10" t="s">
        <v>710</v>
      </c>
      <c r="X1325" s="17">
        <v>44752</v>
      </c>
      <c r="Y1325" s="17">
        <v>45261</v>
      </c>
      <c r="Z1325" s="19" t="s">
        <v>772</v>
      </c>
      <c r="AA1325" s="207">
        <v>51080</v>
      </c>
      <c r="AB1325" s="9">
        <v>73</v>
      </c>
      <c r="AC1325" s="9">
        <v>30</v>
      </c>
      <c r="AD1325" s="17">
        <v>45838</v>
      </c>
      <c r="AE1325" s="54">
        <v>640</v>
      </c>
      <c r="AF1325" s="54"/>
      <c r="AL1325" s="22"/>
      <c r="AM1325" s="22"/>
      <c r="AN1325" s="22"/>
      <c r="AO1325" s="22"/>
      <c r="AP1325" s="22"/>
      <c r="AQ1325" s="22"/>
      <c r="AR1325" s="22"/>
      <c r="AS1325" s="22"/>
      <c r="AT1325" s="22"/>
      <c r="AU1325" s="22"/>
      <c r="AV1325" s="22"/>
      <c r="AW1325" s="9"/>
      <c r="BA1325" s="22"/>
      <c r="BB1325" s="22"/>
      <c r="BD1325" s="9"/>
      <c r="CS1325" s="11">
        <f t="shared" si="89"/>
        <v>0</v>
      </c>
      <c r="CT1325" s="22">
        <f t="shared" si="90"/>
        <v>0</v>
      </c>
      <c r="CU1325" s="22">
        <f t="shared" si="92"/>
        <v>0</v>
      </c>
      <c r="CV1325" s="26">
        <f t="shared" si="91"/>
        <v>640</v>
      </c>
    </row>
    <row r="1326" spans="1:100" x14ac:dyDescent="0.2">
      <c r="A1326" s="9" t="s">
        <v>361</v>
      </c>
      <c r="B1326" s="2">
        <v>82</v>
      </c>
      <c r="C1326" s="3" t="s">
        <v>95</v>
      </c>
      <c r="D1326" s="3" t="s">
        <v>96</v>
      </c>
      <c r="E1326" s="2"/>
      <c r="F1326" s="2"/>
      <c r="G1326" s="2" t="s">
        <v>74</v>
      </c>
      <c r="H1326" s="2">
        <v>7</v>
      </c>
      <c r="I1326" s="20">
        <v>135</v>
      </c>
      <c r="J1326" s="20">
        <v>49900</v>
      </c>
      <c r="K1326" s="3">
        <v>0</v>
      </c>
      <c r="L1326" s="3" t="s">
        <v>3</v>
      </c>
      <c r="M1326" s="9" t="s">
        <v>0</v>
      </c>
      <c r="N1326" s="9" t="s">
        <v>30</v>
      </c>
      <c r="O1326" s="9" t="s">
        <v>3514</v>
      </c>
      <c r="P1326" s="9" t="s">
        <v>0</v>
      </c>
      <c r="Q1326" s="30" t="s">
        <v>363</v>
      </c>
      <c r="R1326" s="9" t="s">
        <v>364</v>
      </c>
      <c r="S1326" s="9" t="s">
        <v>158</v>
      </c>
      <c r="T1326" s="10" t="s">
        <v>74</v>
      </c>
      <c r="U1326" s="10">
        <v>6</v>
      </c>
      <c r="V1326" s="10">
        <v>135</v>
      </c>
      <c r="W1326" s="10" t="s">
        <v>710</v>
      </c>
      <c r="X1326" s="17">
        <v>44752</v>
      </c>
      <c r="Y1326" s="17">
        <v>45261</v>
      </c>
      <c r="Z1326" s="19" t="s">
        <v>772</v>
      </c>
      <c r="AA1326" s="207">
        <v>51080</v>
      </c>
      <c r="AB1326" s="9">
        <v>73</v>
      </c>
      <c r="AC1326" s="9">
        <v>31</v>
      </c>
      <c r="AD1326" s="17">
        <v>45869</v>
      </c>
      <c r="AE1326" s="54">
        <v>640</v>
      </c>
      <c r="AF1326" s="54"/>
      <c r="AL1326" s="22"/>
      <c r="AM1326" s="22"/>
      <c r="AN1326" s="22"/>
      <c r="AO1326" s="22"/>
      <c r="AP1326" s="22"/>
      <c r="AQ1326" s="22"/>
      <c r="AR1326" s="22"/>
      <c r="AS1326" s="22"/>
      <c r="AT1326" s="22"/>
      <c r="AU1326" s="22"/>
      <c r="AV1326" s="22"/>
      <c r="AW1326" s="9"/>
      <c r="BA1326" s="22"/>
      <c r="BB1326" s="22"/>
      <c r="BD1326" s="9"/>
      <c r="CS1326" s="11">
        <f t="shared" si="89"/>
        <v>0</v>
      </c>
      <c r="CT1326" s="22">
        <f t="shared" si="90"/>
        <v>0</v>
      </c>
      <c r="CU1326" s="22">
        <f t="shared" si="92"/>
        <v>0</v>
      </c>
      <c r="CV1326" s="26">
        <f t="shared" si="91"/>
        <v>640</v>
      </c>
    </row>
    <row r="1327" spans="1:100" x14ac:dyDescent="0.2">
      <c r="A1327" s="9" t="s">
        <v>361</v>
      </c>
      <c r="B1327" s="2">
        <v>82</v>
      </c>
      <c r="C1327" s="3" t="s">
        <v>95</v>
      </c>
      <c r="D1327" s="3" t="s">
        <v>96</v>
      </c>
      <c r="E1327" s="2"/>
      <c r="F1327" s="2"/>
      <c r="G1327" s="2" t="s">
        <v>74</v>
      </c>
      <c r="H1327" s="2">
        <v>7</v>
      </c>
      <c r="I1327" s="20">
        <v>135</v>
      </c>
      <c r="J1327" s="20">
        <v>49900</v>
      </c>
      <c r="K1327" s="3">
        <v>0</v>
      </c>
      <c r="L1327" s="3" t="s">
        <v>3</v>
      </c>
      <c r="M1327" s="9" t="s">
        <v>0</v>
      </c>
      <c r="N1327" s="9" t="s">
        <v>30</v>
      </c>
      <c r="O1327" s="9" t="s">
        <v>3514</v>
      </c>
      <c r="P1327" s="9" t="s">
        <v>0</v>
      </c>
      <c r="Q1327" s="30" t="s">
        <v>363</v>
      </c>
      <c r="R1327" s="9" t="s">
        <v>364</v>
      </c>
      <c r="S1327" s="9" t="s">
        <v>158</v>
      </c>
      <c r="T1327" s="10" t="s">
        <v>74</v>
      </c>
      <c r="U1327" s="10">
        <v>6</v>
      </c>
      <c r="V1327" s="10">
        <v>135</v>
      </c>
      <c r="W1327" s="10" t="s">
        <v>710</v>
      </c>
      <c r="X1327" s="17">
        <v>44752</v>
      </c>
      <c r="Y1327" s="17">
        <v>45261</v>
      </c>
      <c r="Z1327" s="19" t="s">
        <v>772</v>
      </c>
      <c r="AA1327" s="207">
        <v>51080</v>
      </c>
      <c r="AB1327" s="9">
        <v>73</v>
      </c>
      <c r="AC1327" s="9">
        <v>32</v>
      </c>
      <c r="AD1327" s="17">
        <v>45900</v>
      </c>
      <c r="AE1327" s="54">
        <v>640</v>
      </c>
      <c r="AF1327" s="54"/>
      <c r="AL1327" s="22"/>
      <c r="AM1327" s="22"/>
      <c r="AN1327" s="22"/>
      <c r="AO1327" s="22"/>
      <c r="AP1327" s="22"/>
      <c r="AQ1327" s="22"/>
      <c r="AR1327" s="22"/>
      <c r="AS1327" s="22"/>
      <c r="AT1327" s="22"/>
      <c r="AU1327" s="22"/>
      <c r="AV1327" s="22"/>
      <c r="AW1327" s="9"/>
      <c r="BA1327" s="22"/>
      <c r="BB1327" s="22"/>
      <c r="BD1327" s="9"/>
      <c r="CS1327" s="11">
        <f t="shared" si="89"/>
        <v>0</v>
      </c>
      <c r="CT1327" s="22">
        <f t="shared" si="90"/>
        <v>0</v>
      </c>
      <c r="CU1327" s="22">
        <f t="shared" si="92"/>
        <v>0</v>
      </c>
      <c r="CV1327" s="26">
        <f t="shared" si="91"/>
        <v>640</v>
      </c>
    </row>
    <row r="1328" spans="1:100" x14ac:dyDescent="0.2">
      <c r="A1328" s="9" t="s">
        <v>361</v>
      </c>
      <c r="B1328" s="2">
        <v>82</v>
      </c>
      <c r="C1328" s="3" t="s">
        <v>95</v>
      </c>
      <c r="D1328" s="3" t="s">
        <v>96</v>
      </c>
      <c r="E1328" s="2"/>
      <c r="F1328" s="2"/>
      <c r="G1328" s="2" t="s">
        <v>74</v>
      </c>
      <c r="H1328" s="2">
        <v>7</v>
      </c>
      <c r="I1328" s="20">
        <v>135</v>
      </c>
      <c r="J1328" s="20">
        <v>49900</v>
      </c>
      <c r="K1328" s="3">
        <v>0</v>
      </c>
      <c r="L1328" s="3" t="s">
        <v>3</v>
      </c>
      <c r="M1328" s="9" t="s">
        <v>0</v>
      </c>
      <c r="N1328" s="9" t="s">
        <v>30</v>
      </c>
      <c r="O1328" s="9" t="s">
        <v>3514</v>
      </c>
      <c r="P1328" s="9" t="s">
        <v>0</v>
      </c>
      <c r="Q1328" s="30" t="s">
        <v>363</v>
      </c>
      <c r="R1328" s="9" t="s">
        <v>364</v>
      </c>
      <c r="S1328" s="9" t="s">
        <v>158</v>
      </c>
      <c r="T1328" s="10" t="s">
        <v>74</v>
      </c>
      <c r="U1328" s="10">
        <v>6</v>
      </c>
      <c r="V1328" s="10">
        <v>135</v>
      </c>
      <c r="W1328" s="10" t="s">
        <v>710</v>
      </c>
      <c r="X1328" s="17">
        <v>44752</v>
      </c>
      <c r="Y1328" s="17">
        <v>45261</v>
      </c>
      <c r="Z1328" s="19" t="s">
        <v>772</v>
      </c>
      <c r="AA1328" s="207">
        <v>51080</v>
      </c>
      <c r="AB1328" s="9">
        <v>73</v>
      </c>
      <c r="AC1328" s="9">
        <v>33</v>
      </c>
      <c r="AD1328" s="17">
        <v>45930</v>
      </c>
      <c r="AE1328" s="54">
        <v>640</v>
      </c>
      <c r="AF1328" s="54"/>
      <c r="AL1328" s="22"/>
      <c r="AM1328" s="22"/>
      <c r="AN1328" s="22"/>
      <c r="AO1328" s="22"/>
      <c r="AP1328" s="22"/>
      <c r="AQ1328" s="22"/>
      <c r="AR1328" s="22"/>
      <c r="AS1328" s="22"/>
      <c r="AT1328" s="22"/>
      <c r="AU1328" s="22"/>
      <c r="AV1328" s="22"/>
      <c r="AW1328" s="9"/>
      <c r="BA1328" s="22"/>
      <c r="BB1328" s="22"/>
      <c r="BD1328" s="9"/>
      <c r="CS1328" s="11">
        <f t="shared" si="89"/>
        <v>0</v>
      </c>
      <c r="CT1328" s="22">
        <f t="shared" si="90"/>
        <v>0</v>
      </c>
      <c r="CU1328" s="22">
        <f t="shared" si="92"/>
        <v>0</v>
      </c>
      <c r="CV1328" s="26">
        <f t="shared" si="91"/>
        <v>640</v>
      </c>
    </row>
    <row r="1329" spans="1:100" x14ac:dyDescent="0.2">
      <c r="A1329" s="9" t="s">
        <v>361</v>
      </c>
      <c r="B1329" s="2">
        <v>82</v>
      </c>
      <c r="C1329" s="3" t="s">
        <v>95</v>
      </c>
      <c r="D1329" s="3" t="s">
        <v>96</v>
      </c>
      <c r="E1329" s="2"/>
      <c r="F1329" s="2"/>
      <c r="G1329" s="2" t="s">
        <v>74</v>
      </c>
      <c r="H1329" s="2">
        <v>7</v>
      </c>
      <c r="I1329" s="20">
        <v>135</v>
      </c>
      <c r="J1329" s="20">
        <v>49900</v>
      </c>
      <c r="K1329" s="3">
        <v>0</v>
      </c>
      <c r="L1329" s="3" t="s">
        <v>3</v>
      </c>
      <c r="M1329" s="9" t="s">
        <v>0</v>
      </c>
      <c r="N1329" s="9" t="s">
        <v>30</v>
      </c>
      <c r="O1329" s="9" t="s">
        <v>3514</v>
      </c>
      <c r="P1329" s="9" t="s">
        <v>0</v>
      </c>
      <c r="Q1329" s="30" t="s">
        <v>363</v>
      </c>
      <c r="R1329" s="9" t="s">
        <v>364</v>
      </c>
      <c r="S1329" s="9" t="s">
        <v>158</v>
      </c>
      <c r="T1329" s="10" t="s">
        <v>74</v>
      </c>
      <c r="U1329" s="10">
        <v>6</v>
      </c>
      <c r="V1329" s="10">
        <v>135</v>
      </c>
      <c r="W1329" s="10" t="s">
        <v>710</v>
      </c>
      <c r="X1329" s="17">
        <v>44752</v>
      </c>
      <c r="Y1329" s="17">
        <v>45261</v>
      </c>
      <c r="Z1329" s="19" t="s">
        <v>772</v>
      </c>
      <c r="AA1329" s="207">
        <v>51080</v>
      </c>
      <c r="AB1329" s="9">
        <v>73</v>
      </c>
      <c r="AC1329" s="9">
        <v>34</v>
      </c>
      <c r="AD1329" s="17">
        <v>45961</v>
      </c>
      <c r="AE1329" s="54">
        <v>640</v>
      </c>
      <c r="AF1329" s="54"/>
      <c r="AL1329" s="22"/>
      <c r="AM1329" s="22"/>
      <c r="AN1329" s="22"/>
      <c r="AO1329" s="22"/>
      <c r="AP1329" s="22"/>
      <c r="AQ1329" s="22"/>
      <c r="AR1329" s="22"/>
      <c r="AS1329" s="22"/>
      <c r="AT1329" s="22"/>
      <c r="AU1329" s="22"/>
      <c r="AV1329" s="22"/>
      <c r="AW1329" s="9"/>
      <c r="BA1329" s="22"/>
      <c r="BB1329" s="22"/>
      <c r="BD1329" s="9"/>
      <c r="CS1329" s="11">
        <f t="shared" si="89"/>
        <v>0</v>
      </c>
      <c r="CT1329" s="22">
        <f t="shared" si="90"/>
        <v>0</v>
      </c>
      <c r="CU1329" s="22">
        <f t="shared" si="92"/>
        <v>0</v>
      </c>
      <c r="CV1329" s="26">
        <f t="shared" si="91"/>
        <v>640</v>
      </c>
    </row>
    <row r="1330" spans="1:100" x14ac:dyDescent="0.2">
      <c r="A1330" s="9" t="s">
        <v>361</v>
      </c>
      <c r="B1330" s="2">
        <v>82</v>
      </c>
      <c r="C1330" s="3" t="s">
        <v>95</v>
      </c>
      <c r="D1330" s="3" t="s">
        <v>96</v>
      </c>
      <c r="E1330" s="2"/>
      <c r="F1330" s="2"/>
      <c r="G1330" s="2" t="s">
        <v>74</v>
      </c>
      <c r="H1330" s="2">
        <v>7</v>
      </c>
      <c r="I1330" s="20">
        <v>135</v>
      </c>
      <c r="J1330" s="20">
        <v>49900</v>
      </c>
      <c r="K1330" s="3">
        <v>0</v>
      </c>
      <c r="L1330" s="3" t="s">
        <v>3</v>
      </c>
      <c r="M1330" s="9" t="s">
        <v>0</v>
      </c>
      <c r="N1330" s="9" t="s">
        <v>30</v>
      </c>
      <c r="O1330" s="9" t="s">
        <v>3514</v>
      </c>
      <c r="P1330" s="9" t="s">
        <v>0</v>
      </c>
      <c r="Q1330" s="30" t="s">
        <v>363</v>
      </c>
      <c r="R1330" s="9" t="s">
        <v>364</v>
      </c>
      <c r="S1330" s="9" t="s">
        <v>158</v>
      </c>
      <c r="T1330" s="10" t="s">
        <v>74</v>
      </c>
      <c r="U1330" s="10">
        <v>6</v>
      </c>
      <c r="V1330" s="10">
        <v>135</v>
      </c>
      <c r="W1330" s="10" t="s">
        <v>710</v>
      </c>
      <c r="X1330" s="17">
        <v>44752</v>
      </c>
      <c r="Y1330" s="17">
        <v>45261</v>
      </c>
      <c r="Z1330" s="19" t="s">
        <v>772</v>
      </c>
      <c r="AA1330" s="207">
        <v>51080</v>
      </c>
      <c r="AB1330" s="9">
        <v>73</v>
      </c>
      <c r="AC1330" s="9">
        <v>35</v>
      </c>
      <c r="AD1330" s="17">
        <v>45991</v>
      </c>
      <c r="AE1330" s="54">
        <v>640</v>
      </c>
      <c r="AF1330" s="54"/>
      <c r="AL1330" s="22"/>
      <c r="AM1330" s="22"/>
      <c r="AN1330" s="22"/>
      <c r="AO1330" s="22"/>
      <c r="AP1330" s="22"/>
      <c r="AQ1330" s="22"/>
      <c r="AR1330" s="22"/>
      <c r="AS1330" s="22"/>
      <c r="AT1330" s="22"/>
      <c r="AU1330" s="22"/>
      <c r="AV1330" s="22"/>
      <c r="AW1330" s="9"/>
      <c r="BA1330" s="22"/>
      <c r="BB1330" s="22"/>
      <c r="BD1330" s="9"/>
      <c r="CS1330" s="11">
        <f t="shared" si="89"/>
        <v>0</v>
      </c>
      <c r="CT1330" s="22">
        <f t="shared" si="90"/>
        <v>0</v>
      </c>
      <c r="CU1330" s="22">
        <f t="shared" si="92"/>
        <v>0</v>
      </c>
      <c r="CV1330" s="26">
        <f t="shared" si="91"/>
        <v>640</v>
      </c>
    </row>
    <row r="1331" spans="1:100" x14ac:dyDescent="0.2">
      <c r="A1331" s="9" t="s">
        <v>361</v>
      </c>
      <c r="B1331" s="2">
        <v>82</v>
      </c>
      <c r="C1331" s="3" t="s">
        <v>95</v>
      </c>
      <c r="D1331" s="3" t="s">
        <v>96</v>
      </c>
      <c r="E1331" s="2"/>
      <c r="F1331" s="2"/>
      <c r="G1331" s="2" t="s">
        <v>74</v>
      </c>
      <c r="H1331" s="2">
        <v>7</v>
      </c>
      <c r="I1331" s="20">
        <v>135</v>
      </c>
      <c r="J1331" s="20">
        <v>49900</v>
      </c>
      <c r="K1331" s="3">
        <v>0</v>
      </c>
      <c r="L1331" s="3" t="s">
        <v>3</v>
      </c>
      <c r="M1331" s="9" t="s">
        <v>0</v>
      </c>
      <c r="N1331" s="9" t="s">
        <v>30</v>
      </c>
      <c r="O1331" s="9" t="s">
        <v>3514</v>
      </c>
      <c r="P1331" s="9" t="s">
        <v>0</v>
      </c>
      <c r="Q1331" s="30" t="s">
        <v>363</v>
      </c>
      <c r="R1331" s="9" t="s">
        <v>364</v>
      </c>
      <c r="S1331" s="9" t="s">
        <v>158</v>
      </c>
      <c r="T1331" s="10" t="s">
        <v>74</v>
      </c>
      <c r="U1331" s="10">
        <v>6</v>
      </c>
      <c r="V1331" s="10">
        <v>135</v>
      </c>
      <c r="W1331" s="10" t="s">
        <v>710</v>
      </c>
      <c r="X1331" s="17">
        <v>44752</v>
      </c>
      <c r="Y1331" s="17">
        <v>45261</v>
      </c>
      <c r="Z1331" s="19" t="s">
        <v>772</v>
      </c>
      <c r="AA1331" s="207">
        <v>51080</v>
      </c>
      <c r="AB1331" s="9">
        <v>73</v>
      </c>
      <c r="AC1331" s="9">
        <v>36</v>
      </c>
      <c r="AD1331" s="17">
        <v>46022</v>
      </c>
      <c r="AE1331" s="54">
        <v>640</v>
      </c>
      <c r="AF1331" s="54"/>
      <c r="AL1331" s="22"/>
      <c r="AM1331" s="22"/>
      <c r="AN1331" s="22"/>
      <c r="AO1331" s="22"/>
      <c r="AP1331" s="22"/>
      <c r="AQ1331" s="22"/>
      <c r="AR1331" s="22"/>
      <c r="AS1331" s="22"/>
      <c r="AT1331" s="22"/>
      <c r="AU1331" s="22"/>
      <c r="AV1331" s="22"/>
      <c r="AW1331" s="9"/>
      <c r="BA1331" s="22"/>
      <c r="BB1331" s="22"/>
      <c r="BD1331" s="9"/>
      <c r="CS1331" s="11">
        <f t="shared" si="89"/>
        <v>0</v>
      </c>
      <c r="CT1331" s="22">
        <f t="shared" si="90"/>
        <v>0</v>
      </c>
      <c r="CU1331" s="22">
        <f t="shared" si="92"/>
        <v>0</v>
      </c>
      <c r="CV1331" s="26">
        <f t="shared" si="91"/>
        <v>640</v>
      </c>
    </row>
    <row r="1332" spans="1:100" x14ac:dyDescent="0.2">
      <c r="A1332" s="9" t="s">
        <v>361</v>
      </c>
      <c r="B1332" s="2">
        <v>82</v>
      </c>
      <c r="C1332" s="3" t="s">
        <v>95</v>
      </c>
      <c r="D1332" s="3" t="s">
        <v>96</v>
      </c>
      <c r="E1332" s="2"/>
      <c r="F1332" s="2"/>
      <c r="G1332" s="2" t="s">
        <v>74</v>
      </c>
      <c r="H1332" s="2">
        <v>7</v>
      </c>
      <c r="I1332" s="20">
        <v>135</v>
      </c>
      <c r="J1332" s="20">
        <v>49900</v>
      </c>
      <c r="K1332" s="3">
        <v>0</v>
      </c>
      <c r="L1332" s="3" t="s">
        <v>3</v>
      </c>
      <c r="M1332" s="9" t="s">
        <v>0</v>
      </c>
      <c r="N1332" s="9" t="s">
        <v>30</v>
      </c>
      <c r="O1332" s="9" t="s">
        <v>3514</v>
      </c>
      <c r="P1332" s="9" t="s">
        <v>0</v>
      </c>
      <c r="Q1332" s="30" t="s">
        <v>363</v>
      </c>
      <c r="R1332" s="9" t="s">
        <v>364</v>
      </c>
      <c r="S1332" s="9" t="s">
        <v>158</v>
      </c>
      <c r="T1332" s="10" t="s">
        <v>74</v>
      </c>
      <c r="U1332" s="10">
        <v>6</v>
      </c>
      <c r="V1332" s="10">
        <v>135</v>
      </c>
      <c r="W1332" s="10" t="s">
        <v>710</v>
      </c>
      <c r="X1332" s="17">
        <v>44752</v>
      </c>
      <c r="Y1332" s="17">
        <v>45261</v>
      </c>
      <c r="Z1332" s="19" t="s">
        <v>772</v>
      </c>
      <c r="AA1332" s="207">
        <v>51080</v>
      </c>
      <c r="AB1332" s="9">
        <v>73</v>
      </c>
      <c r="AC1332" s="9">
        <v>37</v>
      </c>
      <c r="AD1332" s="17">
        <v>46053</v>
      </c>
      <c r="AE1332" s="54">
        <v>640</v>
      </c>
      <c r="AF1332" s="54"/>
      <c r="AL1332" s="22"/>
      <c r="AM1332" s="22"/>
      <c r="AN1332" s="22"/>
      <c r="AO1332" s="22"/>
      <c r="AP1332" s="22"/>
      <c r="AQ1332" s="22"/>
      <c r="AR1332" s="22"/>
      <c r="AS1332" s="22"/>
      <c r="AT1332" s="22"/>
      <c r="AU1332" s="22"/>
      <c r="AV1332" s="22"/>
      <c r="AW1332" s="9"/>
      <c r="BA1332" s="22"/>
      <c r="BB1332" s="22"/>
      <c r="BD1332" s="9"/>
      <c r="CS1332" s="11">
        <f t="shared" si="89"/>
        <v>0</v>
      </c>
      <c r="CT1332" s="22">
        <f t="shared" si="90"/>
        <v>0</v>
      </c>
      <c r="CU1332" s="22">
        <f t="shared" si="92"/>
        <v>0</v>
      </c>
      <c r="CV1332" s="26">
        <f t="shared" si="91"/>
        <v>640</v>
      </c>
    </row>
    <row r="1333" spans="1:100" x14ac:dyDescent="0.2">
      <c r="A1333" s="9" t="s">
        <v>361</v>
      </c>
      <c r="B1333" s="2">
        <v>82</v>
      </c>
      <c r="C1333" s="3" t="s">
        <v>95</v>
      </c>
      <c r="D1333" s="3" t="s">
        <v>96</v>
      </c>
      <c r="E1333" s="2"/>
      <c r="F1333" s="2"/>
      <c r="G1333" s="2" t="s">
        <v>74</v>
      </c>
      <c r="H1333" s="2">
        <v>7</v>
      </c>
      <c r="I1333" s="20">
        <v>135</v>
      </c>
      <c r="J1333" s="20">
        <v>49900</v>
      </c>
      <c r="K1333" s="3">
        <v>0</v>
      </c>
      <c r="L1333" s="3" t="s">
        <v>3</v>
      </c>
      <c r="M1333" s="9" t="s">
        <v>0</v>
      </c>
      <c r="N1333" s="9" t="s">
        <v>30</v>
      </c>
      <c r="O1333" s="9" t="s">
        <v>3514</v>
      </c>
      <c r="P1333" s="9" t="s">
        <v>0</v>
      </c>
      <c r="Q1333" s="30" t="s">
        <v>363</v>
      </c>
      <c r="R1333" s="9" t="s">
        <v>364</v>
      </c>
      <c r="S1333" s="9" t="s">
        <v>158</v>
      </c>
      <c r="T1333" s="10" t="s">
        <v>74</v>
      </c>
      <c r="U1333" s="10">
        <v>6</v>
      </c>
      <c r="V1333" s="10">
        <v>135</v>
      </c>
      <c r="W1333" s="10" t="s">
        <v>710</v>
      </c>
      <c r="X1333" s="17">
        <v>44752</v>
      </c>
      <c r="Y1333" s="17">
        <v>45261</v>
      </c>
      <c r="Z1333" s="19" t="s">
        <v>772</v>
      </c>
      <c r="AA1333" s="207">
        <v>51080</v>
      </c>
      <c r="AB1333" s="9">
        <v>73</v>
      </c>
      <c r="AC1333" s="9">
        <v>38</v>
      </c>
      <c r="AD1333" s="17">
        <v>46081</v>
      </c>
      <c r="AE1333" s="54">
        <v>640</v>
      </c>
      <c r="AF1333" s="54"/>
      <c r="AL1333" s="22"/>
      <c r="AM1333" s="22"/>
      <c r="AN1333" s="22"/>
      <c r="AO1333" s="22"/>
      <c r="AP1333" s="22"/>
      <c r="AQ1333" s="22"/>
      <c r="AR1333" s="22"/>
      <c r="AS1333" s="22"/>
      <c r="AT1333" s="22"/>
      <c r="AU1333" s="22"/>
      <c r="AV1333" s="22"/>
      <c r="AW1333" s="9"/>
      <c r="BA1333" s="22"/>
      <c r="BB1333" s="22"/>
      <c r="BD1333" s="9"/>
      <c r="CS1333" s="11">
        <f t="shared" si="89"/>
        <v>0</v>
      </c>
      <c r="CT1333" s="22">
        <f t="shared" si="90"/>
        <v>0</v>
      </c>
      <c r="CU1333" s="22">
        <f t="shared" si="92"/>
        <v>0</v>
      </c>
      <c r="CV1333" s="26">
        <f t="shared" si="91"/>
        <v>640</v>
      </c>
    </row>
    <row r="1334" spans="1:100" x14ac:dyDescent="0.2">
      <c r="A1334" s="9" t="s">
        <v>361</v>
      </c>
      <c r="B1334" s="2">
        <v>82</v>
      </c>
      <c r="C1334" s="3" t="s">
        <v>95</v>
      </c>
      <c r="D1334" s="3" t="s">
        <v>96</v>
      </c>
      <c r="E1334" s="2"/>
      <c r="F1334" s="2"/>
      <c r="G1334" s="2" t="s">
        <v>74</v>
      </c>
      <c r="H1334" s="2">
        <v>7</v>
      </c>
      <c r="I1334" s="20">
        <v>135</v>
      </c>
      <c r="J1334" s="20">
        <v>49900</v>
      </c>
      <c r="K1334" s="3">
        <v>0</v>
      </c>
      <c r="L1334" s="3" t="s">
        <v>3</v>
      </c>
      <c r="M1334" s="9" t="s">
        <v>0</v>
      </c>
      <c r="N1334" s="9" t="s">
        <v>30</v>
      </c>
      <c r="O1334" s="9" t="s">
        <v>3514</v>
      </c>
      <c r="P1334" s="9" t="s">
        <v>0</v>
      </c>
      <c r="Q1334" s="30" t="s">
        <v>363</v>
      </c>
      <c r="R1334" s="9" t="s">
        <v>364</v>
      </c>
      <c r="S1334" s="9" t="s">
        <v>158</v>
      </c>
      <c r="T1334" s="10" t="s">
        <v>74</v>
      </c>
      <c r="U1334" s="10">
        <v>6</v>
      </c>
      <c r="V1334" s="10">
        <v>135</v>
      </c>
      <c r="W1334" s="10" t="s">
        <v>710</v>
      </c>
      <c r="X1334" s="17">
        <v>44752</v>
      </c>
      <c r="Y1334" s="17">
        <v>45261</v>
      </c>
      <c r="Z1334" s="19" t="s">
        <v>772</v>
      </c>
      <c r="AA1334" s="207">
        <v>51080</v>
      </c>
      <c r="AB1334" s="9">
        <v>73</v>
      </c>
      <c r="AC1334" s="9">
        <v>39</v>
      </c>
      <c r="AD1334" s="17">
        <v>46112</v>
      </c>
      <c r="AE1334" s="54">
        <v>640</v>
      </c>
      <c r="AF1334" s="54"/>
      <c r="AL1334" s="22"/>
      <c r="AM1334" s="22"/>
      <c r="AN1334" s="22"/>
      <c r="AO1334" s="22"/>
      <c r="AP1334" s="22"/>
      <c r="AQ1334" s="22"/>
      <c r="AR1334" s="22"/>
      <c r="AS1334" s="22"/>
      <c r="AT1334" s="22"/>
      <c r="AU1334" s="22"/>
      <c r="AV1334" s="22"/>
      <c r="AW1334" s="9"/>
      <c r="BA1334" s="22"/>
      <c r="BB1334" s="22"/>
      <c r="BD1334" s="9"/>
      <c r="CS1334" s="11">
        <f t="shared" si="89"/>
        <v>0</v>
      </c>
      <c r="CT1334" s="22">
        <f t="shared" si="90"/>
        <v>0</v>
      </c>
      <c r="CU1334" s="22">
        <f t="shared" si="92"/>
        <v>0</v>
      </c>
      <c r="CV1334" s="26">
        <f t="shared" si="91"/>
        <v>640</v>
      </c>
    </row>
    <row r="1335" spans="1:100" x14ac:dyDescent="0.2">
      <c r="A1335" s="9" t="s">
        <v>361</v>
      </c>
      <c r="B1335" s="2">
        <v>82</v>
      </c>
      <c r="C1335" s="3" t="s">
        <v>95</v>
      </c>
      <c r="D1335" s="3" t="s">
        <v>96</v>
      </c>
      <c r="E1335" s="2"/>
      <c r="F1335" s="2"/>
      <c r="G1335" s="2" t="s">
        <v>74</v>
      </c>
      <c r="H1335" s="2">
        <v>7</v>
      </c>
      <c r="I1335" s="20">
        <v>135</v>
      </c>
      <c r="J1335" s="20">
        <v>49900</v>
      </c>
      <c r="K1335" s="3">
        <v>0</v>
      </c>
      <c r="L1335" s="3" t="s">
        <v>3</v>
      </c>
      <c r="M1335" s="9" t="s">
        <v>0</v>
      </c>
      <c r="N1335" s="9" t="s">
        <v>30</v>
      </c>
      <c r="O1335" s="9" t="s">
        <v>3514</v>
      </c>
      <c r="P1335" s="9" t="s">
        <v>0</v>
      </c>
      <c r="Q1335" s="30" t="s">
        <v>363</v>
      </c>
      <c r="R1335" s="9" t="s">
        <v>364</v>
      </c>
      <c r="S1335" s="9" t="s">
        <v>158</v>
      </c>
      <c r="T1335" s="10" t="s">
        <v>74</v>
      </c>
      <c r="U1335" s="10">
        <v>6</v>
      </c>
      <c r="V1335" s="10">
        <v>135</v>
      </c>
      <c r="W1335" s="10" t="s">
        <v>710</v>
      </c>
      <c r="X1335" s="17">
        <v>44752</v>
      </c>
      <c r="Y1335" s="17">
        <v>45261</v>
      </c>
      <c r="Z1335" s="19" t="s">
        <v>772</v>
      </c>
      <c r="AA1335" s="207">
        <v>51080</v>
      </c>
      <c r="AB1335" s="9">
        <v>73</v>
      </c>
      <c r="AC1335" s="9">
        <v>40</v>
      </c>
      <c r="AD1335" s="17">
        <v>46142</v>
      </c>
      <c r="AE1335" s="54">
        <v>640</v>
      </c>
      <c r="AF1335" s="54"/>
      <c r="AL1335" s="22"/>
      <c r="AM1335" s="22"/>
      <c r="AN1335" s="22"/>
      <c r="AO1335" s="22"/>
      <c r="AP1335" s="22"/>
      <c r="AQ1335" s="22"/>
      <c r="AR1335" s="22"/>
      <c r="AS1335" s="22"/>
      <c r="AT1335" s="22"/>
      <c r="AU1335" s="22"/>
      <c r="AV1335" s="22"/>
      <c r="AW1335" s="9"/>
      <c r="BA1335" s="22"/>
      <c r="BB1335" s="22"/>
      <c r="BD1335" s="9"/>
      <c r="CS1335" s="11">
        <f t="shared" si="89"/>
        <v>0</v>
      </c>
      <c r="CT1335" s="22">
        <f t="shared" si="90"/>
        <v>0</v>
      </c>
      <c r="CU1335" s="22">
        <f t="shared" si="92"/>
        <v>0</v>
      </c>
      <c r="CV1335" s="26">
        <f t="shared" si="91"/>
        <v>640</v>
      </c>
    </row>
    <row r="1336" spans="1:100" x14ac:dyDescent="0.2">
      <c r="A1336" s="9" t="s">
        <v>361</v>
      </c>
      <c r="B1336" s="2">
        <v>82</v>
      </c>
      <c r="C1336" s="3" t="s">
        <v>95</v>
      </c>
      <c r="D1336" s="3" t="s">
        <v>96</v>
      </c>
      <c r="E1336" s="2"/>
      <c r="F1336" s="2"/>
      <c r="G1336" s="2" t="s">
        <v>74</v>
      </c>
      <c r="H1336" s="2">
        <v>7</v>
      </c>
      <c r="I1336" s="20">
        <v>135</v>
      </c>
      <c r="J1336" s="20">
        <v>49900</v>
      </c>
      <c r="K1336" s="3">
        <v>0</v>
      </c>
      <c r="L1336" s="3" t="s">
        <v>3</v>
      </c>
      <c r="M1336" s="9" t="s">
        <v>0</v>
      </c>
      <c r="N1336" s="9" t="s">
        <v>30</v>
      </c>
      <c r="O1336" s="9" t="s">
        <v>3514</v>
      </c>
      <c r="P1336" s="9" t="s">
        <v>0</v>
      </c>
      <c r="Q1336" s="30" t="s">
        <v>363</v>
      </c>
      <c r="R1336" s="9" t="s">
        <v>364</v>
      </c>
      <c r="S1336" s="9" t="s">
        <v>158</v>
      </c>
      <c r="T1336" s="10" t="s">
        <v>74</v>
      </c>
      <c r="U1336" s="10">
        <v>6</v>
      </c>
      <c r="V1336" s="10">
        <v>135</v>
      </c>
      <c r="W1336" s="10" t="s">
        <v>710</v>
      </c>
      <c r="X1336" s="17">
        <v>44752</v>
      </c>
      <c r="Y1336" s="17">
        <v>45261</v>
      </c>
      <c r="Z1336" s="19" t="s">
        <v>772</v>
      </c>
      <c r="AA1336" s="207">
        <v>51080</v>
      </c>
      <c r="AB1336" s="9">
        <v>73</v>
      </c>
      <c r="AC1336" s="9">
        <v>41</v>
      </c>
      <c r="AD1336" s="17">
        <v>46173</v>
      </c>
      <c r="AE1336" s="54">
        <v>640</v>
      </c>
      <c r="AF1336" s="54"/>
      <c r="AL1336" s="22"/>
      <c r="AM1336" s="22"/>
      <c r="AN1336" s="22"/>
      <c r="AO1336" s="22"/>
      <c r="AP1336" s="22"/>
      <c r="AQ1336" s="22"/>
      <c r="AR1336" s="22"/>
      <c r="AS1336" s="22"/>
      <c r="AT1336" s="22"/>
      <c r="AU1336" s="22"/>
      <c r="AV1336" s="22"/>
      <c r="AW1336" s="9"/>
      <c r="BA1336" s="22"/>
      <c r="BB1336" s="22"/>
      <c r="BD1336" s="9"/>
      <c r="CS1336" s="11">
        <f t="shared" si="89"/>
        <v>0</v>
      </c>
      <c r="CT1336" s="22">
        <f t="shared" si="90"/>
        <v>0</v>
      </c>
      <c r="CU1336" s="22">
        <f t="shared" si="92"/>
        <v>0</v>
      </c>
      <c r="CV1336" s="26">
        <f t="shared" si="91"/>
        <v>640</v>
      </c>
    </row>
    <row r="1337" spans="1:100" x14ac:dyDescent="0.2">
      <c r="A1337" s="9" t="s">
        <v>361</v>
      </c>
      <c r="B1337" s="2">
        <v>82</v>
      </c>
      <c r="C1337" s="3" t="s">
        <v>95</v>
      </c>
      <c r="D1337" s="3" t="s">
        <v>96</v>
      </c>
      <c r="E1337" s="2"/>
      <c r="F1337" s="2"/>
      <c r="G1337" s="2" t="s">
        <v>74</v>
      </c>
      <c r="H1337" s="2">
        <v>7</v>
      </c>
      <c r="I1337" s="20">
        <v>135</v>
      </c>
      <c r="J1337" s="20">
        <v>49900</v>
      </c>
      <c r="K1337" s="3">
        <v>0</v>
      </c>
      <c r="L1337" s="3" t="s">
        <v>3</v>
      </c>
      <c r="M1337" s="9" t="s">
        <v>0</v>
      </c>
      <c r="N1337" s="9" t="s">
        <v>30</v>
      </c>
      <c r="O1337" s="9" t="s">
        <v>3514</v>
      </c>
      <c r="P1337" s="9" t="s">
        <v>0</v>
      </c>
      <c r="Q1337" s="30" t="s">
        <v>363</v>
      </c>
      <c r="R1337" s="9" t="s">
        <v>364</v>
      </c>
      <c r="S1337" s="9" t="s">
        <v>158</v>
      </c>
      <c r="T1337" s="10" t="s">
        <v>74</v>
      </c>
      <c r="U1337" s="10">
        <v>6</v>
      </c>
      <c r="V1337" s="10">
        <v>135</v>
      </c>
      <c r="W1337" s="10" t="s">
        <v>710</v>
      </c>
      <c r="X1337" s="17">
        <v>44752</v>
      </c>
      <c r="Y1337" s="17">
        <v>45261</v>
      </c>
      <c r="Z1337" s="19" t="s">
        <v>772</v>
      </c>
      <c r="AA1337" s="207">
        <v>51080</v>
      </c>
      <c r="AB1337" s="9">
        <v>73</v>
      </c>
      <c r="AC1337" s="9">
        <v>42</v>
      </c>
      <c r="AD1337" s="17">
        <v>46203</v>
      </c>
      <c r="AE1337" s="54">
        <v>640</v>
      </c>
      <c r="AF1337" s="54"/>
      <c r="AL1337" s="22"/>
      <c r="AM1337" s="22"/>
      <c r="AN1337" s="22"/>
      <c r="AO1337" s="22"/>
      <c r="AP1337" s="22"/>
      <c r="AQ1337" s="22"/>
      <c r="AR1337" s="22"/>
      <c r="AS1337" s="22"/>
      <c r="AT1337" s="22"/>
      <c r="AU1337" s="22"/>
      <c r="AV1337" s="22"/>
      <c r="AW1337" s="9"/>
      <c r="BA1337" s="22"/>
      <c r="BB1337" s="22"/>
      <c r="BD1337" s="9"/>
      <c r="CS1337" s="11">
        <f t="shared" ref="CS1337:CS1400" si="93">+AL1337+AT1337</f>
        <v>0</v>
      </c>
      <c r="CT1337" s="22">
        <f t="shared" ref="CT1337:CT1400" si="94">+BA1337+BG1337+BM1337+BS1337+BY1337+CE1337+CK1337+CQ1337</f>
        <v>0</v>
      </c>
      <c r="CU1337" s="22">
        <f t="shared" si="92"/>
        <v>0</v>
      </c>
      <c r="CV1337" s="26">
        <f t="shared" ref="CV1337:CV1400" si="95">+AE1337-AL1337-AT1337</f>
        <v>640</v>
      </c>
    </row>
    <row r="1338" spans="1:100" x14ac:dyDescent="0.2">
      <c r="A1338" s="9" t="s">
        <v>361</v>
      </c>
      <c r="B1338" s="2">
        <v>82</v>
      </c>
      <c r="C1338" s="3" t="s">
        <v>95</v>
      </c>
      <c r="D1338" s="3" t="s">
        <v>96</v>
      </c>
      <c r="E1338" s="2"/>
      <c r="F1338" s="2"/>
      <c r="G1338" s="2" t="s">
        <v>74</v>
      </c>
      <c r="H1338" s="2">
        <v>7</v>
      </c>
      <c r="I1338" s="20">
        <v>135</v>
      </c>
      <c r="J1338" s="20">
        <v>49900</v>
      </c>
      <c r="K1338" s="3">
        <v>0</v>
      </c>
      <c r="L1338" s="3" t="s">
        <v>3</v>
      </c>
      <c r="M1338" s="9" t="s">
        <v>0</v>
      </c>
      <c r="N1338" s="9" t="s">
        <v>30</v>
      </c>
      <c r="O1338" s="9" t="s">
        <v>3514</v>
      </c>
      <c r="P1338" s="9" t="s">
        <v>0</v>
      </c>
      <c r="Q1338" s="30" t="s">
        <v>363</v>
      </c>
      <c r="R1338" s="9" t="s">
        <v>364</v>
      </c>
      <c r="S1338" s="9" t="s">
        <v>158</v>
      </c>
      <c r="T1338" s="10" t="s">
        <v>74</v>
      </c>
      <c r="U1338" s="10">
        <v>6</v>
      </c>
      <c r="V1338" s="10">
        <v>135</v>
      </c>
      <c r="W1338" s="10" t="s">
        <v>710</v>
      </c>
      <c r="X1338" s="17">
        <v>44752</v>
      </c>
      <c r="Y1338" s="17">
        <v>45261</v>
      </c>
      <c r="Z1338" s="19" t="s">
        <v>772</v>
      </c>
      <c r="AA1338" s="207">
        <v>51080</v>
      </c>
      <c r="AB1338" s="9">
        <v>73</v>
      </c>
      <c r="AC1338" s="9">
        <v>43</v>
      </c>
      <c r="AD1338" s="17">
        <v>46234</v>
      </c>
      <c r="AE1338" s="54">
        <v>640</v>
      </c>
      <c r="AF1338" s="54"/>
      <c r="AL1338" s="22"/>
      <c r="AM1338" s="22"/>
      <c r="AN1338" s="22"/>
      <c r="AO1338" s="22"/>
      <c r="AP1338" s="22"/>
      <c r="AQ1338" s="22"/>
      <c r="AR1338" s="22"/>
      <c r="AS1338" s="22"/>
      <c r="AT1338" s="22"/>
      <c r="AU1338" s="22"/>
      <c r="AV1338" s="22"/>
      <c r="AW1338" s="9"/>
      <c r="BA1338" s="22"/>
      <c r="BB1338" s="22"/>
      <c r="BD1338" s="9"/>
      <c r="CS1338" s="11">
        <f t="shared" si="93"/>
        <v>0</v>
      </c>
      <c r="CT1338" s="22">
        <f t="shared" si="94"/>
        <v>0</v>
      </c>
      <c r="CU1338" s="22">
        <f t="shared" si="92"/>
        <v>0</v>
      </c>
      <c r="CV1338" s="26">
        <f t="shared" si="95"/>
        <v>640</v>
      </c>
    </row>
    <row r="1339" spans="1:100" x14ac:dyDescent="0.2">
      <c r="A1339" s="9" t="s">
        <v>361</v>
      </c>
      <c r="B1339" s="2">
        <v>82</v>
      </c>
      <c r="C1339" s="3" t="s">
        <v>95</v>
      </c>
      <c r="D1339" s="3" t="s">
        <v>96</v>
      </c>
      <c r="E1339" s="2"/>
      <c r="F1339" s="2"/>
      <c r="G1339" s="2" t="s">
        <v>74</v>
      </c>
      <c r="H1339" s="2">
        <v>7</v>
      </c>
      <c r="I1339" s="20">
        <v>135</v>
      </c>
      <c r="J1339" s="20">
        <v>49900</v>
      </c>
      <c r="K1339" s="3">
        <v>0</v>
      </c>
      <c r="L1339" s="3" t="s">
        <v>3</v>
      </c>
      <c r="M1339" s="9" t="s">
        <v>0</v>
      </c>
      <c r="N1339" s="9" t="s">
        <v>30</v>
      </c>
      <c r="O1339" s="9" t="s">
        <v>3514</v>
      </c>
      <c r="P1339" s="9" t="s">
        <v>0</v>
      </c>
      <c r="Q1339" s="30" t="s">
        <v>363</v>
      </c>
      <c r="R1339" s="9" t="s">
        <v>364</v>
      </c>
      <c r="S1339" s="9" t="s">
        <v>158</v>
      </c>
      <c r="T1339" s="10" t="s">
        <v>74</v>
      </c>
      <c r="U1339" s="10">
        <v>6</v>
      </c>
      <c r="V1339" s="10">
        <v>135</v>
      </c>
      <c r="W1339" s="10" t="s">
        <v>710</v>
      </c>
      <c r="X1339" s="17">
        <v>44752</v>
      </c>
      <c r="Y1339" s="17">
        <v>45261</v>
      </c>
      <c r="Z1339" s="19" t="s">
        <v>772</v>
      </c>
      <c r="AA1339" s="207">
        <v>51080</v>
      </c>
      <c r="AB1339" s="9">
        <v>73</v>
      </c>
      <c r="AC1339" s="9">
        <v>44</v>
      </c>
      <c r="AD1339" s="17">
        <v>46265</v>
      </c>
      <c r="AE1339" s="54">
        <v>640</v>
      </c>
      <c r="AF1339" s="54"/>
      <c r="AL1339" s="22"/>
      <c r="AM1339" s="22"/>
      <c r="AN1339" s="22"/>
      <c r="AO1339" s="22"/>
      <c r="AP1339" s="22"/>
      <c r="AQ1339" s="22"/>
      <c r="AR1339" s="22"/>
      <c r="AS1339" s="22"/>
      <c r="AT1339" s="22"/>
      <c r="AU1339" s="22"/>
      <c r="AV1339" s="22"/>
      <c r="AW1339" s="9"/>
      <c r="BA1339" s="22"/>
      <c r="BB1339" s="22"/>
      <c r="BD1339" s="9"/>
      <c r="CS1339" s="11">
        <f t="shared" si="93"/>
        <v>0</v>
      </c>
      <c r="CT1339" s="22">
        <f t="shared" si="94"/>
        <v>0</v>
      </c>
      <c r="CU1339" s="22">
        <f t="shared" si="92"/>
        <v>0</v>
      </c>
      <c r="CV1339" s="26">
        <f t="shared" si="95"/>
        <v>640</v>
      </c>
    </row>
    <row r="1340" spans="1:100" x14ac:dyDescent="0.2">
      <c r="A1340" s="9" t="s">
        <v>361</v>
      </c>
      <c r="B1340" s="2">
        <v>82</v>
      </c>
      <c r="C1340" s="3" t="s">
        <v>95</v>
      </c>
      <c r="D1340" s="3" t="s">
        <v>96</v>
      </c>
      <c r="E1340" s="2"/>
      <c r="F1340" s="2"/>
      <c r="G1340" s="2" t="s">
        <v>74</v>
      </c>
      <c r="H1340" s="2">
        <v>7</v>
      </c>
      <c r="I1340" s="20">
        <v>135</v>
      </c>
      <c r="J1340" s="20">
        <v>49900</v>
      </c>
      <c r="K1340" s="3">
        <v>0</v>
      </c>
      <c r="L1340" s="3" t="s">
        <v>3</v>
      </c>
      <c r="M1340" s="9" t="s">
        <v>0</v>
      </c>
      <c r="N1340" s="9" t="s">
        <v>30</v>
      </c>
      <c r="O1340" s="9" t="s">
        <v>3514</v>
      </c>
      <c r="P1340" s="9" t="s">
        <v>0</v>
      </c>
      <c r="Q1340" s="30" t="s">
        <v>363</v>
      </c>
      <c r="R1340" s="9" t="s">
        <v>364</v>
      </c>
      <c r="S1340" s="9" t="s">
        <v>158</v>
      </c>
      <c r="T1340" s="10" t="s">
        <v>74</v>
      </c>
      <c r="U1340" s="10">
        <v>6</v>
      </c>
      <c r="V1340" s="10">
        <v>135</v>
      </c>
      <c r="W1340" s="10" t="s">
        <v>710</v>
      </c>
      <c r="X1340" s="17">
        <v>44752</v>
      </c>
      <c r="Y1340" s="17">
        <v>45261</v>
      </c>
      <c r="Z1340" s="19" t="s">
        <v>772</v>
      </c>
      <c r="AA1340" s="207">
        <v>51080</v>
      </c>
      <c r="AB1340" s="9">
        <v>73</v>
      </c>
      <c r="AC1340" s="9">
        <v>45</v>
      </c>
      <c r="AD1340" s="17">
        <v>46295</v>
      </c>
      <c r="AE1340" s="54">
        <v>640</v>
      </c>
      <c r="AF1340" s="54"/>
      <c r="AL1340" s="22"/>
      <c r="AM1340" s="22"/>
      <c r="AN1340" s="22"/>
      <c r="AO1340" s="22"/>
      <c r="AP1340" s="22"/>
      <c r="AQ1340" s="22"/>
      <c r="AR1340" s="22"/>
      <c r="AS1340" s="22"/>
      <c r="AT1340" s="22"/>
      <c r="AU1340" s="22"/>
      <c r="AV1340" s="22"/>
      <c r="AW1340" s="9"/>
      <c r="BA1340" s="22"/>
      <c r="BB1340" s="22"/>
      <c r="BD1340" s="9"/>
      <c r="CS1340" s="11">
        <f t="shared" si="93"/>
        <v>0</v>
      </c>
      <c r="CT1340" s="22">
        <f t="shared" si="94"/>
        <v>0</v>
      </c>
      <c r="CU1340" s="22">
        <f t="shared" si="92"/>
        <v>0</v>
      </c>
      <c r="CV1340" s="26">
        <f t="shared" si="95"/>
        <v>640</v>
      </c>
    </row>
    <row r="1341" spans="1:100" x14ac:dyDescent="0.2">
      <c r="A1341" s="9" t="s">
        <v>361</v>
      </c>
      <c r="B1341" s="2">
        <v>82</v>
      </c>
      <c r="C1341" s="3" t="s">
        <v>95</v>
      </c>
      <c r="D1341" s="3" t="s">
        <v>96</v>
      </c>
      <c r="E1341" s="2"/>
      <c r="F1341" s="2"/>
      <c r="G1341" s="2" t="s">
        <v>74</v>
      </c>
      <c r="H1341" s="2">
        <v>7</v>
      </c>
      <c r="I1341" s="20">
        <v>135</v>
      </c>
      <c r="J1341" s="20">
        <v>49900</v>
      </c>
      <c r="K1341" s="3">
        <v>0</v>
      </c>
      <c r="L1341" s="3" t="s">
        <v>3</v>
      </c>
      <c r="M1341" s="9" t="s">
        <v>0</v>
      </c>
      <c r="N1341" s="9" t="s">
        <v>30</v>
      </c>
      <c r="O1341" s="9" t="s">
        <v>3514</v>
      </c>
      <c r="P1341" s="9" t="s">
        <v>0</v>
      </c>
      <c r="Q1341" s="30" t="s">
        <v>363</v>
      </c>
      <c r="R1341" s="9" t="s">
        <v>364</v>
      </c>
      <c r="S1341" s="9" t="s">
        <v>158</v>
      </c>
      <c r="T1341" s="10" t="s">
        <v>74</v>
      </c>
      <c r="U1341" s="10">
        <v>6</v>
      </c>
      <c r="V1341" s="10">
        <v>135</v>
      </c>
      <c r="W1341" s="10" t="s">
        <v>710</v>
      </c>
      <c r="X1341" s="17">
        <v>44752</v>
      </c>
      <c r="Y1341" s="17">
        <v>45261</v>
      </c>
      <c r="Z1341" s="19" t="s">
        <v>772</v>
      </c>
      <c r="AA1341" s="207">
        <v>51080</v>
      </c>
      <c r="AB1341" s="9">
        <v>73</v>
      </c>
      <c r="AC1341" s="9">
        <v>46</v>
      </c>
      <c r="AD1341" s="17">
        <v>46326</v>
      </c>
      <c r="AE1341" s="54">
        <v>640</v>
      </c>
      <c r="AF1341" s="54"/>
      <c r="AL1341" s="22"/>
      <c r="AM1341" s="22"/>
      <c r="AN1341" s="22"/>
      <c r="AO1341" s="22"/>
      <c r="AP1341" s="22"/>
      <c r="AQ1341" s="22"/>
      <c r="AR1341" s="22"/>
      <c r="AS1341" s="22"/>
      <c r="AT1341" s="22"/>
      <c r="AU1341" s="22"/>
      <c r="AV1341" s="22"/>
      <c r="AW1341" s="9"/>
      <c r="BA1341" s="22"/>
      <c r="BB1341" s="22"/>
      <c r="BD1341" s="9"/>
      <c r="CS1341" s="11">
        <f t="shared" si="93"/>
        <v>0</v>
      </c>
      <c r="CT1341" s="22">
        <f t="shared" si="94"/>
        <v>0</v>
      </c>
      <c r="CU1341" s="22">
        <f t="shared" si="92"/>
        <v>0</v>
      </c>
      <c r="CV1341" s="26">
        <f t="shared" si="95"/>
        <v>640</v>
      </c>
    </row>
    <row r="1342" spans="1:100" x14ac:dyDescent="0.2">
      <c r="A1342" s="9" t="s">
        <v>361</v>
      </c>
      <c r="B1342" s="2">
        <v>82</v>
      </c>
      <c r="C1342" s="3" t="s">
        <v>95</v>
      </c>
      <c r="D1342" s="3" t="s">
        <v>96</v>
      </c>
      <c r="E1342" s="2"/>
      <c r="F1342" s="2"/>
      <c r="G1342" s="2" t="s">
        <v>74</v>
      </c>
      <c r="H1342" s="2">
        <v>7</v>
      </c>
      <c r="I1342" s="20">
        <v>135</v>
      </c>
      <c r="J1342" s="20">
        <v>49900</v>
      </c>
      <c r="K1342" s="3">
        <v>0</v>
      </c>
      <c r="L1342" s="3" t="s">
        <v>3</v>
      </c>
      <c r="M1342" s="9" t="s">
        <v>0</v>
      </c>
      <c r="N1342" s="9" t="s">
        <v>30</v>
      </c>
      <c r="O1342" s="9" t="s">
        <v>3514</v>
      </c>
      <c r="P1342" s="9" t="s">
        <v>0</v>
      </c>
      <c r="Q1342" s="30" t="s">
        <v>363</v>
      </c>
      <c r="R1342" s="9" t="s">
        <v>364</v>
      </c>
      <c r="S1342" s="9" t="s">
        <v>158</v>
      </c>
      <c r="T1342" s="10" t="s">
        <v>74</v>
      </c>
      <c r="U1342" s="10">
        <v>6</v>
      </c>
      <c r="V1342" s="10">
        <v>135</v>
      </c>
      <c r="W1342" s="10" t="s">
        <v>710</v>
      </c>
      <c r="X1342" s="17">
        <v>44752</v>
      </c>
      <c r="Y1342" s="17">
        <v>45261</v>
      </c>
      <c r="Z1342" s="19" t="s">
        <v>772</v>
      </c>
      <c r="AA1342" s="207">
        <v>51080</v>
      </c>
      <c r="AB1342" s="9">
        <v>73</v>
      </c>
      <c r="AC1342" s="9">
        <v>47</v>
      </c>
      <c r="AD1342" s="17">
        <v>46356</v>
      </c>
      <c r="AE1342" s="54">
        <v>640</v>
      </c>
      <c r="AF1342" s="54"/>
      <c r="AL1342" s="22"/>
      <c r="AM1342" s="22"/>
      <c r="AN1342" s="22"/>
      <c r="AO1342" s="22"/>
      <c r="AP1342" s="22"/>
      <c r="AQ1342" s="22"/>
      <c r="AR1342" s="22"/>
      <c r="AS1342" s="22"/>
      <c r="AT1342" s="22"/>
      <c r="AU1342" s="22"/>
      <c r="AV1342" s="22"/>
      <c r="AW1342" s="9"/>
      <c r="BA1342" s="22"/>
      <c r="BB1342" s="22"/>
      <c r="BD1342" s="9"/>
      <c r="CS1342" s="11">
        <f t="shared" si="93"/>
        <v>0</v>
      </c>
      <c r="CT1342" s="22">
        <f t="shared" si="94"/>
        <v>0</v>
      </c>
      <c r="CU1342" s="22">
        <f t="shared" si="92"/>
        <v>0</v>
      </c>
      <c r="CV1342" s="26">
        <f t="shared" si="95"/>
        <v>640</v>
      </c>
    </row>
    <row r="1343" spans="1:100" x14ac:dyDescent="0.2">
      <c r="A1343" s="9" t="s">
        <v>361</v>
      </c>
      <c r="B1343" s="2">
        <v>82</v>
      </c>
      <c r="C1343" s="3" t="s">
        <v>95</v>
      </c>
      <c r="D1343" s="3" t="s">
        <v>96</v>
      </c>
      <c r="E1343" s="2"/>
      <c r="F1343" s="2"/>
      <c r="G1343" s="2" t="s">
        <v>74</v>
      </c>
      <c r="H1343" s="2">
        <v>7</v>
      </c>
      <c r="I1343" s="20">
        <v>135</v>
      </c>
      <c r="J1343" s="20">
        <v>49900</v>
      </c>
      <c r="K1343" s="3">
        <v>0</v>
      </c>
      <c r="L1343" s="3" t="s">
        <v>3</v>
      </c>
      <c r="M1343" s="9" t="s">
        <v>0</v>
      </c>
      <c r="N1343" s="9" t="s">
        <v>30</v>
      </c>
      <c r="O1343" s="9" t="s">
        <v>3514</v>
      </c>
      <c r="P1343" s="9" t="s">
        <v>0</v>
      </c>
      <c r="Q1343" s="30" t="s">
        <v>363</v>
      </c>
      <c r="R1343" s="9" t="s">
        <v>364</v>
      </c>
      <c r="S1343" s="9" t="s">
        <v>158</v>
      </c>
      <c r="T1343" s="10" t="s">
        <v>74</v>
      </c>
      <c r="U1343" s="10">
        <v>6</v>
      </c>
      <c r="V1343" s="10">
        <v>135</v>
      </c>
      <c r="W1343" s="10" t="s">
        <v>710</v>
      </c>
      <c r="X1343" s="17">
        <v>44752</v>
      </c>
      <c r="Y1343" s="17">
        <v>45261</v>
      </c>
      <c r="Z1343" s="19" t="s">
        <v>772</v>
      </c>
      <c r="AA1343" s="207">
        <v>51080</v>
      </c>
      <c r="AB1343" s="9">
        <v>73</v>
      </c>
      <c r="AC1343" s="9">
        <v>48</v>
      </c>
      <c r="AD1343" s="17">
        <v>46387</v>
      </c>
      <c r="AE1343" s="54">
        <v>640</v>
      </c>
      <c r="AF1343" s="54"/>
      <c r="AL1343" s="22"/>
      <c r="AM1343" s="22"/>
      <c r="AN1343" s="22"/>
      <c r="AO1343" s="22"/>
      <c r="AP1343" s="22"/>
      <c r="AQ1343" s="22"/>
      <c r="AR1343" s="22"/>
      <c r="AS1343" s="22"/>
      <c r="AT1343" s="22"/>
      <c r="AU1343" s="22"/>
      <c r="AV1343" s="22"/>
      <c r="AW1343" s="9"/>
      <c r="BA1343" s="22"/>
      <c r="BB1343" s="22"/>
      <c r="BD1343" s="9"/>
      <c r="CS1343" s="11">
        <f t="shared" si="93"/>
        <v>0</v>
      </c>
      <c r="CT1343" s="22">
        <f t="shared" si="94"/>
        <v>0</v>
      </c>
      <c r="CU1343" s="22">
        <f t="shared" si="92"/>
        <v>0</v>
      </c>
      <c r="CV1343" s="26">
        <f t="shared" si="95"/>
        <v>640</v>
      </c>
    </row>
    <row r="1344" spans="1:100" x14ac:dyDescent="0.2">
      <c r="A1344" s="9" t="s">
        <v>361</v>
      </c>
      <c r="B1344" s="2">
        <v>82</v>
      </c>
      <c r="C1344" s="3" t="s">
        <v>95</v>
      </c>
      <c r="D1344" s="3" t="s">
        <v>96</v>
      </c>
      <c r="E1344" s="2"/>
      <c r="F1344" s="2"/>
      <c r="G1344" s="2" t="s">
        <v>74</v>
      </c>
      <c r="H1344" s="2">
        <v>7</v>
      </c>
      <c r="I1344" s="20">
        <v>135</v>
      </c>
      <c r="J1344" s="20">
        <v>49900</v>
      </c>
      <c r="K1344" s="3">
        <v>0</v>
      </c>
      <c r="L1344" s="3" t="s">
        <v>3</v>
      </c>
      <c r="M1344" s="9" t="s">
        <v>0</v>
      </c>
      <c r="N1344" s="9" t="s">
        <v>30</v>
      </c>
      <c r="O1344" s="9" t="s">
        <v>3514</v>
      </c>
      <c r="P1344" s="9" t="s">
        <v>0</v>
      </c>
      <c r="Q1344" s="30" t="s">
        <v>363</v>
      </c>
      <c r="R1344" s="9" t="s">
        <v>364</v>
      </c>
      <c r="S1344" s="9" t="s">
        <v>158</v>
      </c>
      <c r="T1344" s="10" t="s">
        <v>74</v>
      </c>
      <c r="U1344" s="10">
        <v>6</v>
      </c>
      <c r="V1344" s="10">
        <v>135</v>
      </c>
      <c r="W1344" s="10" t="s">
        <v>710</v>
      </c>
      <c r="X1344" s="17">
        <v>44752</v>
      </c>
      <c r="Y1344" s="17">
        <v>45261</v>
      </c>
      <c r="Z1344" s="19" t="s">
        <v>772</v>
      </c>
      <c r="AA1344" s="207">
        <v>51080</v>
      </c>
      <c r="AB1344" s="9">
        <v>73</v>
      </c>
      <c r="AC1344" s="9">
        <v>49</v>
      </c>
      <c r="AD1344" s="17">
        <v>46418</v>
      </c>
      <c r="AE1344" s="54">
        <v>640</v>
      </c>
      <c r="AF1344" s="54"/>
      <c r="AL1344" s="22"/>
      <c r="AM1344" s="22"/>
      <c r="AN1344" s="22"/>
      <c r="AO1344" s="22"/>
      <c r="AP1344" s="22"/>
      <c r="AQ1344" s="22"/>
      <c r="AR1344" s="22"/>
      <c r="AS1344" s="22"/>
      <c r="AT1344" s="22"/>
      <c r="AU1344" s="22"/>
      <c r="AV1344" s="22"/>
      <c r="AW1344" s="9"/>
      <c r="BA1344" s="22"/>
      <c r="BB1344" s="22"/>
      <c r="BD1344" s="9"/>
      <c r="CS1344" s="11">
        <f t="shared" si="93"/>
        <v>0</v>
      </c>
      <c r="CT1344" s="22">
        <f t="shared" si="94"/>
        <v>0</v>
      </c>
      <c r="CU1344" s="22">
        <f t="shared" si="92"/>
        <v>0</v>
      </c>
      <c r="CV1344" s="26">
        <f t="shared" si="95"/>
        <v>640</v>
      </c>
    </row>
    <row r="1345" spans="1:100" x14ac:dyDescent="0.2">
      <c r="A1345" s="9" t="s">
        <v>361</v>
      </c>
      <c r="B1345" s="2">
        <v>82</v>
      </c>
      <c r="C1345" s="3" t="s">
        <v>95</v>
      </c>
      <c r="D1345" s="3" t="s">
        <v>96</v>
      </c>
      <c r="E1345" s="2"/>
      <c r="F1345" s="2"/>
      <c r="G1345" s="2" t="s">
        <v>74</v>
      </c>
      <c r="H1345" s="2">
        <v>7</v>
      </c>
      <c r="I1345" s="20">
        <v>135</v>
      </c>
      <c r="J1345" s="20">
        <v>49900</v>
      </c>
      <c r="K1345" s="3">
        <v>0</v>
      </c>
      <c r="L1345" s="3" t="s">
        <v>3</v>
      </c>
      <c r="M1345" s="9" t="s">
        <v>0</v>
      </c>
      <c r="N1345" s="9" t="s">
        <v>30</v>
      </c>
      <c r="O1345" s="9" t="s">
        <v>3514</v>
      </c>
      <c r="P1345" s="9" t="s">
        <v>0</v>
      </c>
      <c r="Q1345" s="30" t="s">
        <v>363</v>
      </c>
      <c r="R1345" s="9" t="s">
        <v>364</v>
      </c>
      <c r="S1345" s="9" t="s">
        <v>158</v>
      </c>
      <c r="T1345" s="10" t="s">
        <v>74</v>
      </c>
      <c r="U1345" s="10">
        <v>6</v>
      </c>
      <c r="V1345" s="10">
        <v>135</v>
      </c>
      <c r="W1345" s="10" t="s">
        <v>710</v>
      </c>
      <c r="X1345" s="17">
        <v>44752</v>
      </c>
      <c r="Y1345" s="17">
        <v>45261</v>
      </c>
      <c r="Z1345" s="19" t="s">
        <v>772</v>
      </c>
      <c r="AA1345" s="207">
        <v>51080</v>
      </c>
      <c r="AB1345" s="9">
        <v>73</v>
      </c>
      <c r="AC1345" s="9">
        <v>50</v>
      </c>
      <c r="AD1345" s="17">
        <v>46446</v>
      </c>
      <c r="AE1345" s="54">
        <v>640</v>
      </c>
      <c r="AF1345" s="54"/>
      <c r="AL1345" s="22"/>
      <c r="AM1345" s="22"/>
      <c r="AN1345" s="22"/>
      <c r="AO1345" s="22"/>
      <c r="AP1345" s="22"/>
      <c r="AQ1345" s="22"/>
      <c r="AR1345" s="22"/>
      <c r="AS1345" s="22"/>
      <c r="AT1345" s="22"/>
      <c r="AU1345" s="22"/>
      <c r="AV1345" s="22"/>
      <c r="AW1345" s="9"/>
      <c r="BA1345" s="22"/>
      <c r="BB1345" s="22"/>
      <c r="BD1345" s="9"/>
      <c r="CS1345" s="11">
        <f t="shared" si="93"/>
        <v>0</v>
      </c>
      <c r="CT1345" s="22">
        <f t="shared" si="94"/>
        <v>0</v>
      </c>
      <c r="CU1345" s="22">
        <f t="shared" si="92"/>
        <v>0</v>
      </c>
      <c r="CV1345" s="26">
        <f t="shared" si="95"/>
        <v>640</v>
      </c>
    </row>
    <row r="1346" spans="1:100" x14ac:dyDescent="0.2">
      <c r="A1346" s="9" t="s">
        <v>361</v>
      </c>
      <c r="B1346" s="2">
        <v>82</v>
      </c>
      <c r="C1346" s="3" t="s">
        <v>95</v>
      </c>
      <c r="D1346" s="3" t="s">
        <v>96</v>
      </c>
      <c r="E1346" s="2"/>
      <c r="F1346" s="2"/>
      <c r="G1346" s="2" t="s">
        <v>74</v>
      </c>
      <c r="H1346" s="2">
        <v>7</v>
      </c>
      <c r="I1346" s="20">
        <v>135</v>
      </c>
      <c r="J1346" s="20">
        <v>49900</v>
      </c>
      <c r="K1346" s="3">
        <v>0</v>
      </c>
      <c r="L1346" s="3" t="s">
        <v>3</v>
      </c>
      <c r="M1346" s="9" t="s">
        <v>0</v>
      </c>
      <c r="N1346" s="9" t="s">
        <v>30</v>
      </c>
      <c r="O1346" s="9" t="s">
        <v>3514</v>
      </c>
      <c r="P1346" s="9" t="s">
        <v>0</v>
      </c>
      <c r="Q1346" s="30" t="s">
        <v>363</v>
      </c>
      <c r="R1346" s="9" t="s">
        <v>364</v>
      </c>
      <c r="S1346" s="9" t="s">
        <v>158</v>
      </c>
      <c r="T1346" s="10" t="s">
        <v>74</v>
      </c>
      <c r="U1346" s="10">
        <v>6</v>
      </c>
      <c r="V1346" s="10">
        <v>135</v>
      </c>
      <c r="W1346" s="10" t="s">
        <v>710</v>
      </c>
      <c r="X1346" s="17">
        <v>44752</v>
      </c>
      <c r="Y1346" s="17">
        <v>45261</v>
      </c>
      <c r="Z1346" s="19" t="s">
        <v>772</v>
      </c>
      <c r="AA1346" s="207">
        <v>51080</v>
      </c>
      <c r="AB1346" s="9">
        <v>73</v>
      </c>
      <c r="AC1346" s="9">
        <v>51</v>
      </c>
      <c r="AD1346" s="17">
        <v>46477</v>
      </c>
      <c r="AE1346" s="54">
        <v>640</v>
      </c>
      <c r="AF1346" s="54"/>
      <c r="AL1346" s="22"/>
      <c r="AM1346" s="22"/>
      <c r="AN1346" s="22"/>
      <c r="AO1346" s="22"/>
      <c r="AP1346" s="22"/>
      <c r="AQ1346" s="22"/>
      <c r="AR1346" s="22"/>
      <c r="AS1346" s="22"/>
      <c r="AT1346" s="22"/>
      <c r="AU1346" s="22"/>
      <c r="AV1346" s="22"/>
      <c r="AW1346" s="9"/>
      <c r="BA1346" s="22"/>
      <c r="BB1346" s="22"/>
      <c r="BD1346" s="9"/>
      <c r="CS1346" s="11">
        <f t="shared" si="93"/>
        <v>0</v>
      </c>
      <c r="CT1346" s="22">
        <f t="shared" si="94"/>
        <v>0</v>
      </c>
      <c r="CU1346" s="22">
        <f t="shared" si="92"/>
        <v>0</v>
      </c>
      <c r="CV1346" s="26">
        <f t="shared" si="95"/>
        <v>640</v>
      </c>
    </row>
    <row r="1347" spans="1:100" x14ac:dyDescent="0.2">
      <c r="A1347" s="9" t="s">
        <v>361</v>
      </c>
      <c r="B1347" s="2">
        <v>82</v>
      </c>
      <c r="C1347" s="3" t="s">
        <v>95</v>
      </c>
      <c r="D1347" s="3" t="s">
        <v>96</v>
      </c>
      <c r="E1347" s="2"/>
      <c r="F1347" s="2"/>
      <c r="G1347" s="2" t="s">
        <v>74</v>
      </c>
      <c r="H1347" s="2">
        <v>7</v>
      </c>
      <c r="I1347" s="20">
        <v>135</v>
      </c>
      <c r="J1347" s="20">
        <v>49900</v>
      </c>
      <c r="K1347" s="3">
        <v>0</v>
      </c>
      <c r="L1347" s="3" t="s">
        <v>3</v>
      </c>
      <c r="M1347" s="9" t="s">
        <v>0</v>
      </c>
      <c r="N1347" s="9" t="s">
        <v>30</v>
      </c>
      <c r="O1347" s="9" t="s">
        <v>3514</v>
      </c>
      <c r="P1347" s="9" t="s">
        <v>0</v>
      </c>
      <c r="Q1347" s="30" t="s">
        <v>363</v>
      </c>
      <c r="R1347" s="9" t="s">
        <v>364</v>
      </c>
      <c r="S1347" s="9" t="s">
        <v>158</v>
      </c>
      <c r="T1347" s="10" t="s">
        <v>74</v>
      </c>
      <c r="U1347" s="10">
        <v>6</v>
      </c>
      <c r="V1347" s="10">
        <v>135</v>
      </c>
      <c r="W1347" s="10" t="s">
        <v>710</v>
      </c>
      <c r="X1347" s="17">
        <v>44752</v>
      </c>
      <c r="Y1347" s="17">
        <v>45261</v>
      </c>
      <c r="Z1347" s="19" t="s">
        <v>772</v>
      </c>
      <c r="AA1347" s="207">
        <v>51080</v>
      </c>
      <c r="AB1347" s="9">
        <v>73</v>
      </c>
      <c r="AC1347" s="9">
        <v>52</v>
      </c>
      <c r="AD1347" s="17">
        <v>46507</v>
      </c>
      <c r="AE1347" s="54">
        <v>640</v>
      </c>
      <c r="AF1347" s="54"/>
      <c r="AL1347" s="22"/>
      <c r="AM1347" s="22"/>
      <c r="AN1347" s="22"/>
      <c r="AO1347" s="22"/>
      <c r="AP1347" s="22"/>
      <c r="AQ1347" s="22"/>
      <c r="AR1347" s="22"/>
      <c r="AS1347" s="22"/>
      <c r="AT1347" s="22"/>
      <c r="AU1347" s="22"/>
      <c r="AV1347" s="22"/>
      <c r="AW1347" s="9"/>
      <c r="BA1347" s="22"/>
      <c r="BB1347" s="22"/>
      <c r="BD1347" s="9"/>
      <c r="CS1347" s="11">
        <f t="shared" si="93"/>
        <v>0</v>
      </c>
      <c r="CT1347" s="22">
        <f t="shared" si="94"/>
        <v>0</v>
      </c>
      <c r="CU1347" s="22">
        <f t="shared" si="92"/>
        <v>0</v>
      </c>
      <c r="CV1347" s="26">
        <f t="shared" si="95"/>
        <v>640</v>
      </c>
    </row>
    <row r="1348" spans="1:100" x14ac:dyDescent="0.2">
      <c r="A1348" s="9" t="s">
        <v>361</v>
      </c>
      <c r="B1348" s="2">
        <v>82</v>
      </c>
      <c r="C1348" s="3" t="s">
        <v>95</v>
      </c>
      <c r="D1348" s="3" t="s">
        <v>96</v>
      </c>
      <c r="E1348" s="2"/>
      <c r="F1348" s="2"/>
      <c r="G1348" s="2" t="s">
        <v>74</v>
      </c>
      <c r="H1348" s="2">
        <v>7</v>
      </c>
      <c r="I1348" s="20">
        <v>135</v>
      </c>
      <c r="J1348" s="20">
        <v>49900</v>
      </c>
      <c r="K1348" s="3">
        <v>0</v>
      </c>
      <c r="L1348" s="3" t="s">
        <v>3</v>
      </c>
      <c r="M1348" s="9" t="s">
        <v>0</v>
      </c>
      <c r="N1348" s="9" t="s">
        <v>30</v>
      </c>
      <c r="O1348" s="9" t="s">
        <v>3514</v>
      </c>
      <c r="P1348" s="9" t="s">
        <v>0</v>
      </c>
      <c r="Q1348" s="30" t="s">
        <v>363</v>
      </c>
      <c r="R1348" s="9" t="s">
        <v>364</v>
      </c>
      <c r="S1348" s="9" t="s">
        <v>158</v>
      </c>
      <c r="T1348" s="10" t="s">
        <v>74</v>
      </c>
      <c r="U1348" s="10">
        <v>6</v>
      </c>
      <c r="V1348" s="10">
        <v>135</v>
      </c>
      <c r="W1348" s="10" t="s">
        <v>710</v>
      </c>
      <c r="X1348" s="17">
        <v>44752</v>
      </c>
      <c r="Y1348" s="17">
        <v>45261</v>
      </c>
      <c r="Z1348" s="19" t="s">
        <v>772</v>
      </c>
      <c r="AA1348" s="207">
        <v>51080</v>
      </c>
      <c r="AB1348" s="9">
        <v>73</v>
      </c>
      <c r="AC1348" s="9">
        <v>53</v>
      </c>
      <c r="AD1348" s="17">
        <v>46538</v>
      </c>
      <c r="AE1348" s="54">
        <v>640</v>
      </c>
      <c r="AF1348" s="54"/>
      <c r="AL1348" s="22"/>
      <c r="AM1348" s="22"/>
      <c r="AN1348" s="22"/>
      <c r="AO1348" s="22"/>
      <c r="AP1348" s="22"/>
      <c r="AQ1348" s="22"/>
      <c r="AR1348" s="22"/>
      <c r="AS1348" s="22"/>
      <c r="AT1348" s="22"/>
      <c r="AU1348" s="22"/>
      <c r="AV1348" s="22"/>
      <c r="AW1348" s="9"/>
      <c r="BA1348" s="22"/>
      <c r="BB1348" s="22"/>
      <c r="BD1348" s="9"/>
      <c r="CS1348" s="11">
        <f t="shared" si="93"/>
        <v>0</v>
      </c>
      <c r="CT1348" s="22">
        <f t="shared" si="94"/>
        <v>0</v>
      </c>
      <c r="CU1348" s="22">
        <f t="shared" si="92"/>
        <v>0</v>
      </c>
      <c r="CV1348" s="26">
        <f t="shared" si="95"/>
        <v>640</v>
      </c>
    </row>
    <row r="1349" spans="1:100" x14ac:dyDescent="0.2">
      <c r="A1349" s="9" t="s">
        <v>361</v>
      </c>
      <c r="B1349" s="2">
        <v>82</v>
      </c>
      <c r="C1349" s="3" t="s">
        <v>95</v>
      </c>
      <c r="D1349" s="3" t="s">
        <v>96</v>
      </c>
      <c r="E1349" s="2"/>
      <c r="F1349" s="2"/>
      <c r="G1349" s="2" t="s">
        <v>74</v>
      </c>
      <c r="H1349" s="2">
        <v>7</v>
      </c>
      <c r="I1349" s="20">
        <v>135</v>
      </c>
      <c r="J1349" s="20">
        <v>49900</v>
      </c>
      <c r="K1349" s="3">
        <v>0</v>
      </c>
      <c r="L1349" s="3" t="s">
        <v>3</v>
      </c>
      <c r="M1349" s="9" t="s">
        <v>0</v>
      </c>
      <c r="N1349" s="9" t="s">
        <v>30</v>
      </c>
      <c r="O1349" s="9" t="s">
        <v>3514</v>
      </c>
      <c r="P1349" s="9" t="s">
        <v>0</v>
      </c>
      <c r="Q1349" s="30" t="s">
        <v>363</v>
      </c>
      <c r="R1349" s="9" t="s">
        <v>364</v>
      </c>
      <c r="S1349" s="9" t="s">
        <v>158</v>
      </c>
      <c r="T1349" s="10" t="s">
        <v>74</v>
      </c>
      <c r="U1349" s="10">
        <v>6</v>
      </c>
      <c r="V1349" s="10">
        <v>135</v>
      </c>
      <c r="W1349" s="10" t="s">
        <v>710</v>
      </c>
      <c r="X1349" s="17">
        <v>44752</v>
      </c>
      <c r="Y1349" s="17">
        <v>45261</v>
      </c>
      <c r="Z1349" s="19" t="s">
        <v>772</v>
      </c>
      <c r="AA1349" s="207">
        <v>51080</v>
      </c>
      <c r="AB1349" s="9">
        <v>73</v>
      </c>
      <c r="AC1349" s="9">
        <v>54</v>
      </c>
      <c r="AD1349" s="17">
        <v>46568</v>
      </c>
      <c r="AE1349" s="54">
        <v>640</v>
      </c>
      <c r="AF1349" s="54"/>
      <c r="AL1349" s="22"/>
      <c r="AM1349" s="22"/>
      <c r="AN1349" s="22"/>
      <c r="AO1349" s="22"/>
      <c r="AP1349" s="22"/>
      <c r="AQ1349" s="22"/>
      <c r="AR1349" s="22"/>
      <c r="AS1349" s="22"/>
      <c r="AT1349" s="22"/>
      <c r="AU1349" s="22"/>
      <c r="AV1349" s="22"/>
      <c r="AW1349" s="9"/>
      <c r="BA1349" s="22"/>
      <c r="BB1349" s="22"/>
      <c r="BD1349" s="9"/>
      <c r="CS1349" s="11">
        <f t="shared" si="93"/>
        <v>0</v>
      </c>
      <c r="CT1349" s="22">
        <f t="shared" si="94"/>
        <v>0</v>
      </c>
      <c r="CU1349" s="22">
        <f t="shared" si="92"/>
        <v>0</v>
      </c>
      <c r="CV1349" s="26">
        <f t="shared" si="95"/>
        <v>640</v>
      </c>
    </row>
    <row r="1350" spans="1:100" x14ac:dyDescent="0.2">
      <c r="A1350" s="9" t="s">
        <v>361</v>
      </c>
      <c r="B1350" s="2">
        <v>82</v>
      </c>
      <c r="C1350" s="3" t="s">
        <v>95</v>
      </c>
      <c r="D1350" s="3" t="s">
        <v>96</v>
      </c>
      <c r="E1350" s="2"/>
      <c r="F1350" s="2"/>
      <c r="G1350" s="2" t="s">
        <v>74</v>
      </c>
      <c r="H1350" s="2">
        <v>7</v>
      </c>
      <c r="I1350" s="20">
        <v>135</v>
      </c>
      <c r="J1350" s="20">
        <v>49900</v>
      </c>
      <c r="K1350" s="3">
        <v>0</v>
      </c>
      <c r="L1350" s="3" t="s">
        <v>3</v>
      </c>
      <c r="M1350" s="9" t="s">
        <v>0</v>
      </c>
      <c r="N1350" s="9" t="s">
        <v>30</v>
      </c>
      <c r="O1350" s="9" t="s">
        <v>3514</v>
      </c>
      <c r="P1350" s="9" t="s">
        <v>0</v>
      </c>
      <c r="Q1350" s="30" t="s">
        <v>363</v>
      </c>
      <c r="R1350" s="9" t="s">
        <v>364</v>
      </c>
      <c r="S1350" s="9" t="s">
        <v>158</v>
      </c>
      <c r="T1350" s="10" t="s">
        <v>74</v>
      </c>
      <c r="U1350" s="10">
        <v>6</v>
      </c>
      <c r="V1350" s="10">
        <v>135</v>
      </c>
      <c r="W1350" s="10" t="s">
        <v>710</v>
      </c>
      <c r="X1350" s="17">
        <v>44752</v>
      </c>
      <c r="Y1350" s="17">
        <v>45261</v>
      </c>
      <c r="Z1350" s="19" t="s">
        <v>772</v>
      </c>
      <c r="AA1350" s="207">
        <v>51080</v>
      </c>
      <c r="AB1350" s="9">
        <v>73</v>
      </c>
      <c r="AC1350" s="9">
        <v>55</v>
      </c>
      <c r="AD1350" s="17">
        <v>46599</v>
      </c>
      <c r="AE1350" s="54">
        <v>640</v>
      </c>
      <c r="AF1350" s="54"/>
      <c r="AL1350" s="22"/>
      <c r="AM1350" s="22"/>
      <c r="AN1350" s="22"/>
      <c r="AO1350" s="22"/>
      <c r="AP1350" s="22"/>
      <c r="AQ1350" s="22"/>
      <c r="AR1350" s="22"/>
      <c r="AS1350" s="22"/>
      <c r="AT1350" s="22"/>
      <c r="AU1350" s="22"/>
      <c r="AV1350" s="22"/>
      <c r="AW1350" s="9"/>
      <c r="BA1350" s="22"/>
      <c r="BB1350" s="22"/>
      <c r="BD1350" s="9"/>
      <c r="CS1350" s="11">
        <f t="shared" si="93"/>
        <v>0</v>
      </c>
      <c r="CT1350" s="22">
        <f t="shared" si="94"/>
        <v>0</v>
      </c>
      <c r="CU1350" s="22">
        <f t="shared" si="92"/>
        <v>0</v>
      </c>
      <c r="CV1350" s="26">
        <f t="shared" si="95"/>
        <v>640</v>
      </c>
    </row>
    <row r="1351" spans="1:100" x14ac:dyDescent="0.2">
      <c r="A1351" s="9" t="s">
        <v>361</v>
      </c>
      <c r="B1351" s="2">
        <v>82</v>
      </c>
      <c r="C1351" s="3" t="s">
        <v>95</v>
      </c>
      <c r="D1351" s="3" t="s">
        <v>96</v>
      </c>
      <c r="E1351" s="2"/>
      <c r="F1351" s="2"/>
      <c r="G1351" s="2" t="s">
        <v>74</v>
      </c>
      <c r="H1351" s="2">
        <v>7</v>
      </c>
      <c r="I1351" s="20">
        <v>135</v>
      </c>
      <c r="J1351" s="20">
        <v>49900</v>
      </c>
      <c r="K1351" s="3">
        <v>0</v>
      </c>
      <c r="L1351" s="3" t="s">
        <v>3</v>
      </c>
      <c r="M1351" s="9" t="s">
        <v>0</v>
      </c>
      <c r="N1351" s="9" t="s">
        <v>30</v>
      </c>
      <c r="O1351" s="9" t="s">
        <v>3514</v>
      </c>
      <c r="P1351" s="9" t="s">
        <v>0</v>
      </c>
      <c r="Q1351" s="30" t="s">
        <v>363</v>
      </c>
      <c r="R1351" s="9" t="s">
        <v>364</v>
      </c>
      <c r="S1351" s="9" t="s">
        <v>158</v>
      </c>
      <c r="T1351" s="10" t="s">
        <v>74</v>
      </c>
      <c r="U1351" s="10">
        <v>6</v>
      </c>
      <c r="V1351" s="10">
        <v>135</v>
      </c>
      <c r="W1351" s="10" t="s">
        <v>710</v>
      </c>
      <c r="X1351" s="17">
        <v>44752</v>
      </c>
      <c r="Y1351" s="17">
        <v>45261</v>
      </c>
      <c r="Z1351" s="19" t="s">
        <v>772</v>
      </c>
      <c r="AA1351" s="207">
        <v>51080</v>
      </c>
      <c r="AB1351" s="9">
        <v>73</v>
      </c>
      <c r="AC1351" s="9">
        <v>56</v>
      </c>
      <c r="AD1351" s="17">
        <v>46630</v>
      </c>
      <c r="AE1351" s="54">
        <v>640</v>
      </c>
      <c r="AF1351" s="54"/>
      <c r="AL1351" s="22"/>
      <c r="AM1351" s="22"/>
      <c r="AN1351" s="22"/>
      <c r="AO1351" s="22"/>
      <c r="AP1351" s="22"/>
      <c r="AQ1351" s="22"/>
      <c r="AR1351" s="22"/>
      <c r="AS1351" s="22"/>
      <c r="AT1351" s="22"/>
      <c r="AU1351" s="22"/>
      <c r="AV1351" s="22"/>
      <c r="AW1351" s="9"/>
      <c r="BA1351" s="22"/>
      <c r="BB1351" s="22"/>
      <c r="BD1351" s="9"/>
      <c r="CS1351" s="11">
        <f t="shared" si="93"/>
        <v>0</v>
      </c>
      <c r="CT1351" s="22">
        <f t="shared" si="94"/>
        <v>0</v>
      </c>
      <c r="CU1351" s="22">
        <f t="shared" si="92"/>
        <v>0</v>
      </c>
      <c r="CV1351" s="26">
        <f t="shared" si="95"/>
        <v>640</v>
      </c>
    </row>
    <row r="1352" spans="1:100" x14ac:dyDescent="0.2">
      <c r="A1352" s="9" t="s">
        <v>361</v>
      </c>
      <c r="B1352" s="2">
        <v>82</v>
      </c>
      <c r="C1352" s="3" t="s">
        <v>95</v>
      </c>
      <c r="D1352" s="3" t="s">
        <v>96</v>
      </c>
      <c r="E1352" s="2"/>
      <c r="F1352" s="2"/>
      <c r="G1352" s="2" t="s">
        <v>74</v>
      </c>
      <c r="H1352" s="2">
        <v>7</v>
      </c>
      <c r="I1352" s="20">
        <v>135</v>
      </c>
      <c r="J1352" s="20">
        <v>49900</v>
      </c>
      <c r="K1352" s="3">
        <v>0</v>
      </c>
      <c r="L1352" s="3" t="s">
        <v>3</v>
      </c>
      <c r="M1352" s="9" t="s">
        <v>0</v>
      </c>
      <c r="N1352" s="9" t="s">
        <v>30</v>
      </c>
      <c r="O1352" s="9" t="s">
        <v>3514</v>
      </c>
      <c r="P1352" s="9" t="s">
        <v>0</v>
      </c>
      <c r="Q1352" s="30" t="s">
        <v>363</v>
      </c>
      <c r="R1352" s="9" t="s">
        <v>364</v>
      </c>
      <c r="S1352" s="9" t="s">
        <v>158</v>
      </c>
      <c r="T1352" s="10" t="s">
        <v>74</v>
      </c>
      <c r="U1352" s="10">
        <v>6</v>
      </c>
      <c r="V1352" s="10">
        <v>135</v>
      </c>
      <c r="W1352" s="10" t="s">
        <v>710</v>
      </c>
      <c r="X1352" s="17">
        <v>44752</v>
      </c>
      <c r="Y1352" s="17">
        <v>45261</v>
      </c>
      <c r="Z1352" s="19" t="s">
        <v>772</v>
      </c>
      <c r="AA1352" s="207">
        <v>51080</v>
      </c>
      <c r="AB1352" s="9">
        <v>73</v>
      </c>
      <c r="AC1352" s="9">
        <v>57</v>
      </c>
      <c r="AD1352" s="17">
        <v>46660</v>
      </c>
      <c r="AE1352" s="54">
        <v>640</v>
      </c>
      <c r="AF1352" s="54"/>
      <c r="AL1352" s="22"/>
      <c r="AM1352" s="22"/>
      <c r="AN1352" s="22"/>
      <c r="AO1352" s="22"/>
      <c r="AP1352" s="22"/>
      <c r="AQ1352" s="22"/>
      <c r="AR1352" s="22"/>
      <c r="AS1352" s="22"/>
      <c r="AT1352" s="22"/>
      <c r="AU1352" s="22"/>
      <c r="AV1352" s="22"/>
      <c r="AW1352" s="9"/>
      <c r="BA1352" s="22"/>
      <c r="BB1352" s="22"/>
      <c r="BD1352" s="9"/>
      <c r="CS1352" s="11">
        <f t="shared" si="93"/>
        <v>0</v>
      </c>
      <c r="CT1352" s="22">
        <f t="shared" si="94"/>
        <v>0</v>
      </c>
      <c r="CU1352" s="22">
        <f t="shared" si="92"/>
        <v>0</v>
      </c>
      <c r="CV1352" s="26">
        <f t="shared" si="95"/>
        <v>640</v>
      </c>
    </row>
    <row r="1353" spans="1:100" x14ac:dyDescent="0.2">
      <c r="A1353" s="9" t="s">
        <v>361</v>
      </c>
      <c r="B1353" s="2">
        <v>82</v>
      </c>
      <c r="C1353" s="3" t="s">
        <v>95</v>
      </c>
      <c r="D1353" s="3" t="s">
        <v>96</v>
      </c>
      <c r="E1353" s="2"/>
      <c r="F1353" s="2"/>
      <c r="G1353" s="2" t="s">
        <v>74</v>
      </c>
      <c r="H1353" s="2">
        <v>7</v>
      </c>
      <c r="I1353" s="20">
        <v>135</v>
      </c>
      <c r="J1353" s="20">
        <v>49900</v>
      </c>
      <c r="K1353" s="3">
        <v>0</v>
      </c>
      <c r="L1353" s="3" t="s">
        <v>3</v>
      </c>
      <c r="M1353" s="9" t="s">
        <v>0</v>
      </c>
      <c r="N1353" s="9" t="s">
        <v>30</v>
      </c>
      <c r="O1353" s="9" t="s">
        <v>3514</v>
      </c>
      <c r="P1353" s="9" t="s">
        <v>0</v>
      </c>
      <c r="Q1353" s="30" t="s">
        <v>363</v>
      </c>
      <c r="R1353" s="9" t="s">
        <v>364</v>
      </c>
      <c r="S1353" s="9" t="s">
        <v>158</v>
      </c>
      <c r="T1353" s="10" t="s">
        <v>74</v>
      </c>
      <c r="U1353" s="10">
        <v>6</v>
      </c>
      <c r="V1353" s="10">
        <v>135</v>
      </c>
      <c r="W1353" s="10" t="s">
        <v>710</v>
      </c>
      <c r="X1353" s="17">
        <v>44752</v>
      </c>
      <c r="Y1353" s="17">
        <v>45261</v>
      </c>
      <c r="Z1353" s="19" t="s">
        <v>772</v>
      </c>
      <c r="AA1353" s="207">
        <v>51080</v>
      </c>
      <c r="AB1353" s="9">
        <v>73</v>
      </c>
      <c r="AC1353" s="9">
        <v>58</v>
      </c>
      <c r="AD1353" s="17">
        <v>46691</v>
      </c>
      <c r="AE1353" s="54">
        <v>640</v>
      </c>
      <c r="AF1353" s="54"/>
      <c r="AL1353" s="22"/>
      <c r="AM1353" s="22"/>
      <c r="AN1353" s="22"/>
      <c r="AO1353" s="22"/>
      <c r="AP1353" s="22"/>
      <c r="AQ1353" s="22"/>
      <c r="AR1353" s="22"/>
      <c r="AS1353" s="22"/>
      <c r="AT1353" s="22"/>
      <c r="AU1353" s="22"/>
      <c r="AV1353" s="22"/>
      <c r="AW1353" s="9"/>
      <c r="BA1353" s="22"/>
      <c r="BB1353" s="22"/>
      <c r="BD1353" s="9"/>
      <c r="CS1353" s="11">
        <f t="shared" si="93"/>
        <v>0</v>
      </c>
      <c r="CT1353" s="22">
        <f t="shared" si="94"/>
        <v>0</v>
      </c>
      <c r="CU1353" s="22">
        <f t="shared" si="92"/>
        <v>0</v>
      </c>
      <c r="CV1353" s="26">
        <f t="shared" si="95"/>
        <v>640</v>
      </c>
    </row>
    <row r="1354" spans="1:100" x14ac:dyDescent="0.2">
      <c r="A1354" s="9" t="s">
        <v>361</v>
      </c>
      <c r="B1354" s="2">
        <v>82</v>
      </c>
      <c r="C1354" s="3" t="s">
        <v>95</v>
      </c>
      <c r="D1354" s="3" t="s">
        <v>96</v>
      </c>
      <c r="E1354" s="2"/>
      <c r="F1354" s="2"/>
      <c r="G1354" s="2" t="s">
        <v>74</v>
      </c>
      <c r="H1354" s="2">
        <v>7</v>
      </c>
      <c r="I1354" s="20">
        <v>135</v>
      </c>
      <c r="J1354" s="20">
        <v>49900</v>
      </c>
      <c r="K1354" s="3">
        <v>0</v>
      </c>
      <c r="L1354" s="3" t="s">
        <v>3</v>
      </c>
      <c r="M1354" s="9" t="s">
        <v>0</v>
      </c>
      <c r="N1354" s="9" t="s">
        <v>30</v>
      </c>
      <c r="O1354" s="9" t="s">
        <v>3514</v>
      </c>
      <c r="P1354" s="9" t="s">
        <v>0</v>
      </c>
      <c r="Q1354" s="30" t="s">
        <v>363</v>
      </c>
      <c r="R1354" s="9" t="s">
        <v>364</v>
      </c>
      <c r="S1354" s="9" t="s">
        <v>158</v>
      </c>
      <c r="T1354" s="10" t="s">
        <v>74</v>
      </c>
      <c r="U1354" s="10">
        <v>6</v>
      </c>
      <c r="V1354" s="10">
        <v>135</v>
      </c>
      <c r="W1354" s="10" t="s">
        <v>710</v>
      </c>
      <c r="X1354" s="17">
        <v>44752</v>
      </c>
      <c r="Y1354" s="17">
        <v>45261</v>
      </c>
      <c r="Z1354" s="19" t="s">
        <v>772</v>
      </c>
      <c r="AA1354" s="207">
        <v>51080</v>
      </c>
      <c r="AB1354" s="9">
        <v>73</v>
      </c>
      <c r="AC1354" s="9">
        <v>59</v>
      </c>
      <c r="AD1354" s="17">
        <v>46721</v>
      </c>
      <c r="AE1354" s="54">
        <v>640</v>
      </c>
      <c r="AF1354" s="54"/>
      <c r="AL1354" s="22"/>
      <c r="AM1354" s="22"/>
      <c r="AN1354" s="22"/>
      <c r="AO1354" s="22"/>
      <c r="AP1354" s="22"/>
      <c r="AQ1354" s="22"/>
      <c r="AR1354" s="22"/>
      <c r="AS1354" s="22"/>
      <c r="AT1354" s="22"/>
      <c r="AU1354" s="22"/>
      <c r="AV1354" s="22"/>
      <c r="AW1354" s="9"/>
      <c r="BA1354" s="22"/>
      <c r="BB1354" s="22"/>
      <c r="BD1354" s="9"/>
      <c r="CS1354" s="11">
        <f t="shared" si="93"/>
        <v>0</v>
      </c>
      <c r="CT1354" s="22">
        <f t="shared" si="94"/>
        <v>0</v>
      </c>
      <c r="CU1354" s="22">
        <f t="shared" si="92"/>
        <v>0</v>
      </c>
      <c r="CV1354" s="26">
        <f t="shared" si="95"/>
        <v>640</v>
      </c>
    </row>
    <row r="1355" spans="1:100" x14ac:dyDescent="0.2">
      <c r="A1355" s="9" t="s">
        <v>361</v>
      </c>
      <c r="B1355" s="2">
        <v>82</v>
      </c>
      <c r="C1355" s="3" t="s">
        <v>95</v>
      </c>
      <c r="D1355" s="3" t="s">
        <v>96</v>
      </c>
      <c r="E1355" s="2"/>
      <c r="F1355" s="2"/>
      <c r="G1355" s="2" t="s">
        <v>74</v>
      </c>
      <c r="H1355" s="2">
        <v>7</v>
      </c>
      <c r="I1355" s="20">
        <v>135</v>
      </c>
      <c r="J1355" s="20">
        <v>49900</v>
      </c>
      <c r="K1355" s="3">
        <v>0</v>
      </c>
      <c r="L1355" s="3" t="s">
        <v>3</v>
      </c>
      <c r="M1355" s="9" t="s">
        <v>0</v>
      </c>
      <c r="N1355" s="9" t="s">
        <v>30</v>
      </c>
      <c r="O1355" s="9" t="s">
        <v>3514</v>
      </c>
      <c r="P1355" s="9" t="s">
        <v>0</v>
      </c>
      <c r="Q1355" s="30" t="s">
        <v>363</v>
      </c>
      <c r="R1355" s="9" t="s">
        <v>364</v>
      </c>
      <c r="S1355" s="9" t="s">
        <v>158</v>
      </c>
      <c r="T1355" s="10" t="s">
        <v>74</v>
      </c>
      <c r="U1355" s="10">
        <v>6</v>
      </c>
      <c r="V1355" s="10">
        <v>135</v>
      </c>
      <c r="W1355" s="10" t="s">
        <v>710</v>
      </c>
      <c r="X1355" s="17">
        <v>44752</v>
      </c>
      <c r="Y1355" s="17">
        <v>45261</v>
      </c>
      <c r="Z1355" s="19" t="s">
        <v>772</v>
      </c>
      <c r="AA1355" s="207">
        <v>51080</v>
      </c>
      <c r="AB1355" s="9">
        <v>73</v>
      </c>
      <c r="AC1355" s="9">
        <v>60</v>
      </c>
      <c r="AD1355" s="17">
        <v>46752</v>
      </c>
      <c r="AE1355" s="54">
        <v>640</v>
      </c>
      <c r="AF1355" s="54"/>
      <c r="AL1355" s="22"/>
      <c r="AM1355" s="22"/>
      <c r="AN1355" s="22"/>
      <c r="AO1355" s="22"/>
      <c r="AP1355" s="22"/>
      <c r="AQ1355" s="22"/>
      <c r="AR1355" s="22"/>
      <c r="AS1355" s="22"/>
      <c r="AT1355" s="22"/>
      <c r="AU1355" s="22"/>
      <c r="AV1355" s="22"/>
      <c r="AW1355" s="9"/>
      <c r="BA1355" s="22"/>
      <c r="BB1355" s="22"/>
      <c r="BD1355" s="9"/>
      <c r="CS1355" s="11">
        <f t="shared" si="93"/>
        <v>0</v>
      </c>
      <c r="CT1355" s="22">
        <f t="shared" si="94"/>
        <v>0</v>
      </c>
      <c r="CU1355" s="22">
        <f t="shared" si="92"/>
        <v>0</v>
      </c>
      <c r="CV1355" s="26">
        <f t="shared" si="95"/>
        <v>640</v>
      </c>
    </row>
    <row r="1356" spans="1:100" x14ac:dyDescent="0.2">
      <c r="A1356" s="9" t="s">
        <v>361</v>
      </c>
      <c r="B1356" s="2">
        <v>82</v>
      </c>
      <c r="C1356" s="3" t="s">
        <v>95</v>
      </c>
      <c r="D1356" s="3" t="s">
        <v>96</v>
      </c>
      <c r="E1356" s="2"/>
      <c r="F1356" s="2"/>
      <c r="G1356" s="2" t="s">
        <v>74</v>
      </c>
      <c r="H1356" s="2">
        <v>7</v>
      </c>
      <c r="I1356" s="20">
        <v>135</v>
      </c>
      <c r="J1356" s="20">
        <v>49900</v>
      </c>
      <c r="K1356" s="3">
        <v>0</v>
      </c>
      <c r="L1356" s="3" t="s">
        <v>3</v>
      </c>
      <c r="M1356" s="9" t="s">
        <v>0</v>
      </c>
      <c r="N1356" s="9" t="s">
        <v>30</v>
      </c>
      <c r="O1356" s="9" t="s">
        <v>3514</v>
      </c>
      <c r="P1356" s="9" t="s">
        <v>0</v>
      </c>
      <c r="Q1356" s="30" t="s">
        <v>363</v>
      </c>
      <c r="R1356" s="9" t="s">
        <v>364</v>
      </c>
      <c r="S1356" s="9" t="s">
        <v>158</v>
      </c>
      <c r="T1356" s="10" t="s">
        <v>74</v>
      </c>
      <c r="U1356" s="10">
        <v>6</v>
      </c>
      <c r="V1356" s="10">
        <v>135</v>
      </c>
      <c r="W1356" s="10" t="s">
        <v>710</v>
      </c>
      <c r="X1356" s="17">
        <v>44752</v>
      </c>
      <c r="Y1356" s="17">
        <v>45261</v>
      </c>
      <c r="Z1356" s="19" t="s">
        <v>772</v>
      </c>
      <c r="AA1356" s="207">
        <v>51080</v>
      </c>
      <c r="AB1356" s="9">
        <v>73</v>
      </c>
      <c r="AC1356" s="9">
        <v>61</v>
      </c>
      <c r="AD1356" s="17">
        <v>46783</v>
      </c>
      <c r="AE1356" s="54">
        <v>640</v>
      </c>
      <c r="AF1356" s="54"/>
      <c r="AL1356" s="22"/>
      <c r="AM1356" s="22"/>
      <c r="AN1356" s="22"/>
      <c r="AO1356" s="22"/>
      <c r="AP1356" s="22"/>
      <c r="AQ1356" s="22"/>
      <c r="AR1356" s="22"/>
      <c r="AS1356" s="22"/>
      <c r="AT1356" s="22"/>
      <c r="AU1356" s="22"/>
      <c r="AV1356" s="22"/>
      <c r="AW1356" s="9"/>
      <c r="BA1356" s="22"/>
      <c r="BB1356" s="22"/>
      <c r="BD1356" s="9"/>
      <c r="CS1356" s="11">
        <f t="shared" si="93"/>
        <v>0</v>
      </c>
      <c r="CT1356" s="22">
        <f t="shared" si="94"/>
        <v>0</v>
      </c>
      <c r="CU1356" s="22">
        <f t="shared" si="92"/>
        <v>0</v>
      </c>
      <c r="CV1356" s="26">
        <f t="shared" si="95"/>
        <v>640</v>
      </c>
    </row>
    <row r="1357" spans="1:100" x14ac:dyDescent="0.2">
      <c r="A1357" s="9" t="s">
        <v>361</v>
      </c>
      <c r="B1357" s="2">
        <v>82</v>
      </c>
      <c r="C1357" s="3" t="s">
        <v>95</v>
      </c>
      <c r="D1357" s="3" t="s">
        <v>96</v>
      </c>
      <c r="E1357" s="2"/>
      <c r="F1357" s="2"/>
      <c r="G1357" s="2" t="s">
        <v>74</v>
      </c>
      <c r="H1357" s="2">
        <v>7</v>
      </c>
      <c r="I1357" s="20">
        <v>135</v>
      </c>
      <c r="J1357" s="20">
        <v>49900</v>
      </c>
      <c r="K1357" s="3">
        <v>0</v>
      </c>
      <c r="L1357" s="3" t="s">
        <v>3</v>
      </c>
      <c r="M1357" s="9" t="s">
        <v>0</v>
      </c>
      <c r="N1357" s="9" t="s">
        <v>30</v>
      </c>
      <c r="O1357" s="9" t="s">
        <v>3514</v>
      </c>
      <c r="P1357" s="9" t="s">
        <v>0</v>
      </c>
      <c r="Q1357" s="30" t="s">
        <v>363</v>
      </c>
      <c r="R1357" s="9" t="s">
        <v>364</v>
      </c>
      <c r="S1357" s="9" t="s">
        <v>158</v>
      </c>
      <c r="T1357" s="10" t="s">
        <v>74</v>
      </c>
      <c r="U1357" s="10">
        <v>6</v>
      </c>
      <c r="V1357" s="10">
        <v>135</v>
      </c>
      <c r="W1357" s="10" t="s">
        <v>710</v>
      </c>
      <c r="X1357" s="17">
        <v>44752</v>
      </c>
      <c r="Y1357" s="17">
        <v>45261</v>
      </c>
      <c r="Z1357" s="19" t="s">
        <v>772</v>
      </c>
      <c r="AA1357" s="207">
        <v>51080</v>
      </c>
      <c r="AB1357" s="9">
        <v>73</v>
      </c>
      <c r="AC1357" s="9">
        <v>62</v>
      </c>
      <c r="AD1357" s="17">
        <v>46812</v>
      </c>
      <c r="AE1357" s="54">
        <v>640</v>
      </c>
      <c r="AF1357" s="54"/>
      <c r="AL1357" s="22"/>
      <c r="AM1357" s="22"/>
      <c r="AN1357" s="22"/>
      <c r="AO1357" s="22"/>
      <c r="AP1357" s="22"/>
      <c r="AQ1357" s="22"/>
      <c r="AR1357" s="22"/>
      <c r="AS1357" s="22"/>
      <c r="AT1357" s="22"/>
      <c r="AU1357" s="22"/>
      <c r="AV1357" s="22"/>
      <c r="AW1357" s="9"/>
      <c r="BA1357" s="22"/>
      <c r="BB1357" s="22"/>
      <c r="BD1357" s="9"/>
      <c r="CS1357" s="11">
        <f t="shared" si="93"/>
        <v>0</v>
      </c>
      <c r="CT1357" s="22">
        <f t="shared" si="94"/>
        <v>0</v>
      </c>
      <c r="CU1357" s="22">
        <f t="shared" si="92"/>
        <v>0</v>
      </c>
      <c r="CV1357" s="26">
        <f t="shared" si="95"/>
        <v>640</v>
      </c>
    </row>
    <row r="1358" spans="1:100" x14ac:dyDescent="0.2">
      <c r="A1358" s="9" t="s">
        <v>361</v>
      </c>
      <c r="B1358" s="2">
        <v>82</v>
      </c>
      <c r="C1358" s="3" t="s">
        <v>95</v>
      </c>
      <c r="D1358" s="3" t="s">
        <v>96</v>
      </c>
      <c r="E1358" s="2"/>
      <c r="F1358" s="2"/>
      <c r="G1358" s="2" t="s">
        <v>74</v>
      </c>
      <c r="H1358" s="2">
        <v>7</v>
      </c>
      <c r="I1358" s="20">
        <v>135</v>
      </c>
      <c r="J1358" s="20">
        <v>49900</v>
      </c>
      <c r="K1358" s="3">
        <v>0</v>
      </c>
      <c r="L1358" s="3" t="s">
        <v>3</v>
      </c>
      <c r="M1358" s="9" t="s">
        <v>0</v>
      </c>
      <c r="N1358" s="9" t="s">
        <v>30</v>
      </c>
      <c r="O1358" s="9" t="s">
        <v>3514</v>
      </c>
      <c r="P1358" s="9" t="s">
        <v>0</v>
      </c>
      <c r="Q1358" s="30" t="s">
        <v>363</v>
      </c>
      <c r="R1358" s="9" t="s">
        <v>364</v>
      </c>
      <c r="S1358" s="9" t="s">
        <v>158</v>
      </c>
      <c r="T1358" s="10" t="s">
        <v>74</v>
      </c>
      <c r="U1358" s="10">
        <v>6</v>
      </c>
      <c r="V1358" s="10">
        <v>135</v>
      </c>
      <c r="W1358" s="10" t="s">
        <v>710</v>
      </c>
      <c r="X1358" s="17">
        <v>44752</v>
      </c>
      <c r="Y1358" s="17">
        <v>45261</v>
      </c>
      <c r="Z1358" s="19" t="s">
        <v>772</v>
      </c>
      <c r="AA1358" s="207">
        <v>51080</v>
      </c>
      <c r="AB1358" s="9">
        <v>73</v>
      </c>
      <c r="AC1358" s="9">
        <v>63</v>
      </c>
      <c r="AD1358" s="17">
        <v>46843</v>
      </c>
      <c r="AE1358" s="54">
        <v>640</v>
      </c>
      <c r="AF1358" s="54"/>
      <c r="AL1358" s="22"/>
      <c r="AM1358" s="22"/>
      <c r="AN1358" s="22"/>
      <c r="AO1358" s="22"/>
      <c r="AP1358" s="22"/>
      <c r="AQ1358" s="22"/>
      <c r="AR1358" s="22"/>
      <c r="AS1358" s="22"/>
      <c r="AT1358" s="22"/>
      <c r="AU1358" s="22"/>
      <c r="AV1358" s="22"/>
      <c r="AW1358" s="9"/>
      <c r="BA1358" s="22"/>
      <c r="BB1358" s="22"/>
      <c r="BD1358" s="9"/>
      <c r="CS1358" s="11">
        <f t="shared" si="93"/>
        <v>0</v>
      </c>
      <c r="CT1358" s="22">
        <f t="shared" si="94"/>
        <v>0</v>
      </c>
      <c r="CU1358" s="22">
        <f t="shared" si="92"/>
        <v>0</v>
      </c>
      <c r="CV1358" s="26">
        <f t="shared" si="95"/>
        <v>640</v>
      </c>
    </row>
    <row r="1359" spans="1:100" x14ac:dyDescent="0.2">
      <c r="A1359" s="9" t="s">
        <v>361</v>
      </c>
      <c r="B1359" s="2">
        <v>82</v>
      </c>
      <c r="C1359" s="3" t="s">
        <v>95</v>
      </c>
      <c r="D1359" s="3" t="s">
        <v>96</v>
      </c>
      <c r="E1359" s="2"/>
      <c r="F1359" s="2"/>
      <c r="G1359" s="2" t="s">
        <v>74</v>
      </c>
      <c r="H1359" s="2">
        <v>7</v>
      </c>
      <c r="I1359" s="20">
        <v>135</v>
      </c>
      <c r="J1359" s="20">
        <v>49900</v>
      </c>
      <c r="K1359" s="3">
        <v>0</v>
      </c>
      <c r="L1359" s="3" t="s">
        <v>3</v>
      </c>
      <c r="M1359" s="9" t="s">
        <v>0</v>
      </c>
      <c r="N1359" s="9" t="s">
        <v>30</v>
      </c>
      <c r="O1359" s="9" t="s">
        <v>3514</v>
      </c>
      <c r="P1359" s="9" t="s">
        <v>0</v>
      </c>
      <c r="Q1359" s="30" t="s">
        <v>363</v>
      </c>
      <c r="R1359" s="9" t="s">
        <v>364</v>
      </c>
      <c r="S1359" s="9" t="s">
        <v>158</v>
      </c>
      <c r="T1359" s="10" t="s">
        <v>74</v>
      </c>
      <c r="U1359" s="10">
        <v>6</v>
      </c>
      <c r="V1359" s="10">
        <v>135</v>
      </c>
      <c r="W1359" s="10" t="s">
        <v>710</v>
      </c>
      <c r="X1359" s="17">
        <v>44752</v>
      </c>
      <c r="Y1359" s="17">
        <v>45261</v>
      </c>
      <c r="Z1359" s="19" t="s">
        <v>772</v>
      </c>
      <c r="AA1359" s="207">
        <v>51080</v>
      </c>
      <c r="AB1359" s="9">
        <v>73</v>
      </c>
      <c r="AC1359" s="9">
        <v>64</v>
      </c>
      <c r="AD1359" s="17">
        <v>46873</v>
      </c>
      <c r="AE1359" s="54">
        <v>640</v>
      </c>
      <c r="AF1359" s="54"/>
      <c r="AL1359" s="22"/>
      <c r="AM1359" s="22"/>
      <c r="AN1359" s="22"/>
      <c r="AO1359" s="22"/>
      <c r="AP1359" s="22"/>
      <c r="AQ1359" s="22"/>
      <c r="AR1359" s="22"/>
      <c r="AS1359" s="22"/>
      <c r="AT1359" s="22"/>
      <c r="AU1359" s="22"/>
      <c r="AV1359" s="22"/>
      <c r="AW1359" s="9"/>
      <c r="BA1359" s="22"/>
      <c r="BB1359" s="22"/>
      <c r="BD1359" s="9"/>
      <c r="CS1359" s="11">
        <f t="shared" si="93"/>
        <v>0</v>
      </c>
      <c r="CT1359" s="22">
        <f t="shared" si="94"/>
        <v>0</v>
      </c>
      <c r="CU1359" s="22">
        <f t="shared" si="92"/>
        <v>0</v>
      </c>
      <c r="CV1359" s="26">
        <f t="shared" si="95"/>
        <v>640</v>
      </c>
    </row>
    <row r="1360" spans="1:100" x14ac:dyDescent="0.2">
      <c r="A1360" s="9" t="s">
        <v>361</v>
      </c>
      <c r="B1360" s="2">
        <v>82</v>
      </c>
      <c r="C1360" s="3" t="s">
        <v>95</v>
      </c>
      <c r="D1360" s="3" t="s">
        <v>96</v>
      </c>
      <c r="E1360" s="2"/>
      <c r="F1360" s="2"/>
      <c r="G1360" s="2" t="s">
        <v>74</v>
      </c>
      <c r="H1360" s="2">
        <v>7</v>
      </c>
      <c r="I1360" s="20">
        <v>135</v>
      </c>
      <c r="J1360" s="20">
        <v>49900</v>
      </c>
      <c r="K1360" s="3">
        <v>0</v>
      </c>
      <c r="L1360" s="3" t="s">
        <v>3</v>
      </c>
      <c r="M1360" s="9" t="s">
        <v>0</v>
      </c>
      <c r="N1360" s="9" t="s">
        <v>30</v>
      </c>
      <c r="O1360" s="9" t="s">
        <v>3514</v>
      </c>
      <c r="P1360" s="9" t="s">
        <v>0</v>
      </c>
      <c r="Q1360" s="30" t="s">
        <v>363</v>
      </c>
      <c r="R1360" s="9" t="s">
        <v>364</v>
      </c>
      <c r="S1360" s="9" t="s">
        <v>158</v>
      </c>
      <c r="T1360" s="10" t="s">
        <v>74</v>
      </c>
      <c r="U1360" s="10">
        <v>6</v>
      </c>
      <c r="V1360" s="10">
        <v>135</v>
      </c>
      <c r="W1360" s="10" t="s">
        <v>710</v>
      </c>
      <c r="X1360" s="17">
        <v>44752</v>
      </c>
      <c r="Y1360" s="17">
        <v>45261</v>
      </c>
      <c r="Z1360" s="19" t="s">
        <v>772</v>
      </c>
      <c r="AA1360" s="207">
        <v>51080</v>
      </c>
      <c r="AB1360" s="9">
        <v>73</v>
      </c>
      <c r="AC1360" s="9">
        <v>65</v>
      </c>
      <c r="AD1360" s="17">
        <v>46904</v>
      </c>
      <c r="AE1360" s="54">
        <v>640</v>
      </c>
      <c r="AF1360" s="54"/>
      <c r="AL1360" s="22"/>
      <c r="AM1360" s="22"/>
      <c r="AN1360" s="22"/>
      <c r="AO1360" s="22"/>
      <c r="AP1360" s="22"/>
      <c r="AQ1360" s="22"/>
      <c r="AR1360" s="22"/>
      <c r="AS1360" s="22"/>
      <c r="AT1360" s="22"/>
      <c r="AU1360" s="22"/>
      <c r="AV1360" s="22"/>
      <c r="AW1360" s="9"/>
      <c r="BA1360" s="22"/>
      <c r="BB1360" s="22"/>
      <c r="BD1360" s="9"/>
      <c r="CS1360" s="11">
        <f t="shared" si="93"/>
        <v>0</v>
      </c>
      <c r="CT1360" s="22">
        <f t="shared" si="94"/>
        <v>0</v>
      </c>
      <c r="CU1360" s="22">
        <f t="shared" si="92"/>
        <v>0</v>
      </c>
      <c r="CV1360" s="26">
        <f t="shared" si="95"/>
        <v>640</v>
      </c>
    </row>
    <row r="1361" spans="1:100" x14ac:dyDescent="0.2">
      <c r="A1361" s="9" t="s">
        <v>361</v>
      </c>
      <c r="B1361" s="2">
        <v>82</v>
      </c>
      <c r="C1361" s="3" t="s">
        <v>95</v>
      </c>
      <c r="D1361" s="3" t="s">
        <v>96</v>
      </c>
      <c r="E1361" s="2"/>
      <c r="F1361" s="2"/>
      <c r="G1361" s="2" t="s">
        <v>74</v>
      </c>
      <c r="H1361" s="2">
        <v>7</v>
      </c>
      <c r="I1361" s="20">
        <v>135</v>
      </c>
      <c r="J1361" s="20">
        <v>49900</v>
      </c>
      <c r="K1361" s="3">
        <v>0</v>
      </c>
      <c r="L1361" s="3" t="s">
        <v>3</v>
      </c>
      <c r="M1361" s="9" t="s">
        <v>0</v>
      </c>
      <c r="N1361" s="9" t="s">
        <v>30</v>
      </c>
      <c r="O1361" s="9" t="s">
        <v>3514</v>
      </c>
      <c r="P1361" s="9" t="s">
        <v>0</v>
      </c>
      <c r="Q1361" s="30" t="s">
        <v>363</v>
      </c>
      <c r="R1361" s="9" t="s">
        <v>364</v>
      </c>
      <c r="S1361" s="9" t="s">
        <v>158</v>
      </c>
      <c r="T1361" s="10" t="s">
        <v>74</v>
      </c>
      <c r="U1361" s="10">
        <v>6</v>
      </c>
      <c r="V1361" s="10">
        <v>135</v>
      </c>
      <c r="W1361" s="10" t="s">
        <v>710</v>
      </c>
      <c r="X1361" s="17">
        <v>44752</v>
      </c>
      <c r="Y1361" s="17">
        <v>45261</v>
      </c>
      <c r="Z1361" s="19" t="s">
        <v>772</v>
      </c>
      <c r="AA1361" s="207">
        <v>51080</v>
      </c>
      <c r="AB1361" s="9">
        <v>73</v>
      </c>
      <c r="AC1361" s="9">
        <v>66</v>
      </c>
      <c r="AD1361" s="17">
        <v>46934</v>
      </c>
      <c r="AE1361" s="54">
        <v>640</v>
      </c>
      <c r="AF1361" s="54"/>
      <c r="AL1361" s="22"/>
      <c r="AM1361" s="22"/>
      <c r="AN1361" s="22"/>
      <c r="AO1361" s="22"/>
      <c r="AP1361" s="22"/>
      <c r="AQ1361" s="22"/>
      <c r="AR1361" s="22"/>
      <c r="AS1361" s="22"/>
      <c r="AT1361" s="22"/>
      <c r="AU1361" s="22"/>
      <c r="AV1361" s="22"/>
      <c r="AW1361" s="9"/>
      <c r="BA1361" s="22"/>
      <c r="BB1361" s="22"/>
      <c r="BD1361" s="9"/>
      <c r="CS1361" s="11">
        <f t="shared" si="93"/>
        <v>0</v>
      </c>
      <c r="CT1361" s="22">
        <f t="shared" si="94"/>
        <v>0</v>
      </c>
      <c r="CU1361" s="22">
        <f t="shared" si="92"/>
        <v>0</v>
      </c>
      <c r="CV1361" s="26">
        <f t="shared" si="95"/>
        <v>640</v>
      </c>
    </row>
    <row r="1362" spans="1:100" x14ac:dyDescent="0.2">
      <c r="A1362" s="9" t="s">
        <v>361</v>
      </c>
      <c r="B1362" s="2">
        <v>82</v>
      </c>
      <c r="C1362" s="3" t="s">
        <v>95</v>
      </c>
      <c r="D1362" s="3" t="s">
        <v>96</v>
      </c>
      <c r="E1362" s="2"/>
      <c r="F1362" s="2"/>
      <c r="G1362" s="2" t="s">
        <v>74</v>
      </c>
      <c r="H1362" s="2">
        <v>7</v>
      </c>
      <c r="I1362" s="20">
        <v>135</v>
      </c>
      <c r="J1362" s="20">
        <v>49900</v>
      </c>
      <c r="K1362" s="3">
        <v>0</v>
      </c>
      <c r="L1362" s="3" t="s">
        <v>3</v>
      </c>
      <c r="M1362" s="9" t="s">
        <v>0</v>
      </c>
      <c r="N1362" s="9" t="s">
        <v>30</v>
      </c>
      <c r="O1362" s="9" t="s">
        <v>3514</v>
      </c>
      <c r="P1362" s="9" t="s">
        <v>0</v>
      </c>
      <c r="Q1362" s="30" t="s">
        <v>363</v>
      </c>
      <c r="R1362" s="9" t="s">
        <v>364</v>
      </c>
      <c r="S1362" s="9" t="s">
        <v>158</v>
      </c>
      <c r="T1362" s="10" t="s">
        <v>74</v>
      </c>
      <c r="U1362" s="10">
        <v>6</v>
      </c>
      <c r="V1362" s="10">
        <v>135</v>
      </c>
      <c r="W1362" s="10" t="s">
        <v>710</v>
      </c>
      <c r="X1362" s="17">
        <v>44752</v>
      </c>
      <c r="Y1362" s="17">
        <v>45261</v>
      </c>
      <c r="Z1362" s="19" t="s">
        <v>772</v>
      </c>
      <c r="AA1362" s="207">
        <v>51080</v>
      </c>
      <c r="AB1362" s="9">
        <v>73</v>
      </c>
      <c r="AC1362" s="9">
        <v>67</v>
      </c>
      <c r="AD1362" s="17">
        <v>46965</v>
      </c>
      <c r="AE1362" s="54">
        <v>640</v>
      </c>
      <c r="AF1362" s="54"/>
      <c r="AL1362" s="22"/>
      <c r="AM1362" s="22"/>
      <c r="AN1362" s="22"/>
      <c r="AO1362" s="22"/>
      <c r="AP1362" s="22"/>
      <c r="AQ1362" s="22"/>
      <c r="AR1362" s="22"/>
      <c r="AS1362" s="22"/>
      <c r="AT1362" s="22"/>
      <c r="AU1362" s="22"/>
      <c r="AV1362" s="22"/>
      <c r="AW1362" s="9"/>
      <c r="BA1362" s="22"/>
      <c r="BB1362" s="22"/>
      <c r="BD1362" s="9"/>
      <c r="CS1362" s="11">
        <f t="shared" si="93"/>
        <v>0</v>
      </c>
      <c r="CT1362" s="22">
        <f t="shared" si="94"/>
        <v>0</v>
      </c>
      <c r="CU1362" s="22">
        <f t="shared" si="92"/>
        <v>0</v>
      </c>
      <c r="CV1362" s="26">
        <f t="shared" si="95"/>
        <v>640</v>
      </c>
    </row>
    <row r="1363" spans="1:100" x14ac:dyDescent="0.2">
      <c r="A1363" s="9" t="s">
        <v>361</v>
      </c>
      <c r="B1363" s="2">
        <v>82</v>
      </c>
      <c r="C1363" s="3" t="s">
        <v>95</v>
      </c>
      <c r="D1363" s="3" t="s">
        <v>96</v>
      </c>
      <c r="E1363" s="2"/>
      <c r="F1363" s="2"/>
      <c r="G1363" s="2" t="s">
        <v>74</v>
      </c>
      <c r="H1363" s="2">
        <v>7</v>
      </c>
      <c r="I1363" s="20">
        <v>135</v>
      </c>
      <c r="J1363" s="20">
        <v>49900</v>
      </c>
      <c r="K1363" s="3">
        <v>0</v>
      </c>
      <c r="L1363" s="3" t="s">
        <v>3</v>
      </c>
      <c r="M1363" s="9" t="s">
        <v>0</v>
      </c>
      <c r="N1363" s="9" t="s">
        <v>30</v>
      </c>
      <c r="O1363" s="9" t="s">
        <v>3514</v>
      </c>
      <c r="P1363" s="9" t="s">
        <v>0</v>
      </c>
      <c r="Q1363" s="30" t="s">
        <v>363</v>
      </c>
      <c r="R1363" s="9" t="s">
        <v>364</v>
      </c>
      <c r="S1363" s="9" t="s">
        <v>158</v>
      </c>
      <c r="T1363" s="10" t="s">
        <v>74</v>
      </c>
      <c r="U1363" s="10">
        <v>6</v>
      </c>
      <c r="V1363" s="10">
        <v>135</v>
      </c>
      <c r="W1363" s="10" t="s">
        <v>710</v>
      </c>
      <c r="X1363" s="17">
        <v>44752</v>
      </c>
      <c r="Y1363" s="17">
        <v>45261</v>
      </c>
      <c r="Z1363" s="19" t="s">
        <v>772</v>
      </c>
      <c r="AA1363" s="207">
        <v>51080</v>
      </c>
      <c r="AB1363" s="9">
        <v>73</v>
      </c>
      <c r="AC1363" s="9">
        <v>68</v>
      </c>
      <c r="AD1363" s="17">
        <v>46996</v>
      </c>
      <c r="AE1363" s="54">
        <v>640</v>
      </c>
      <c r="AF1363" s="54"/>
      <c r="AL1363" s="22"/>
      <c r="AM1363" s="22"/>
      <c r="AN1363" s="22"/>
      <c r="AO1363" s="22"/>
      <c r="AP1363" s="22"/>
      <c r="AQ1363" s="22"/>
      <c r="AR1363" s="22"/>
      <c r="AS1363" s="22"/>
      <c r="AT1363" s="22"/>
      <c r="AU1363" s="22"/>
      <c r="AV1363" s="22"/>
      <c r="AW1363" s="9"/>
      <c r="BA1363" s="22"/>
      <c r="BB1363" s="22"/>
      <c r="BD1363" s="9"/>
      <c r="CS1363" s="11">
        <f t="shared" si="93"/>
        <v>0</v>
      </c>
      <c r="CT1363" s="22">
        <f t="shared" si="94"/>
        <v>0</v>
      </c>
      <c r="CU1363" s="22">
        <f t="shared" si="92"/>
        <v>0</v>
      </c>
      <c r="CV1363" s="26">
        <f t="shared" si="95"/>
        <v>640</v>
      </c>
    </row>
    <row r="1364" spans="1:100" x14ac:dyDescent="0.2">
      <c r="A1364" s="9" t="s">
        <v>361</v>
      </c>
      <c r="B1364" s="2">
        <v>82</v>
      </c>
      <c r="C1364" s="3" t="s">
        <v>95</v>
      </c>
      <c r="D1364" s="3" t="s">
        <v>96</v>
      </c>
      <c r="E1364" s="2"/>
      <c r="F1364" s="2"/>
      <c r="G1364" s="2" t="s">
        <v>74</v>
      </c>
      <c r="H1364" s="2">
        <v>7</v>
      </c>
      <c r="I1364" s="20">
        <v>135</v>
      </c>
      <c r="J1364" s="20">
        <v>49900</v>
      </c>
      <c r="K1364" s="3">
        <v>0</v>
      </c>
      <c r="L1364" s="3" t="s">
        <v>3</v>
      </c>
      <c r="M1364" s="9" t="s">
        <v>0</v>
      </c>
      <c r="N1364" s="9" t="s">
        <v>30</v>
      </c>
      <c r="O1364" s="9" t="s">
        <v>3514</v>
      </c>
      <c r="P1364" s="9" t="s">
        <v>0</v>
      </c>
      <c r="Q1364" s="30" t="s">
        <v>363</v>
      </c>
      <c r="R1364" s="9" t="s">
        <v>364</v>
      </c>
      <c r="S1364" s="9" t="s">
        <v>158</v>
      </c>
      <c r="T1364" s="10" t="s">
        <v>74</v>
      </c>
      <c r="U1364" s="10">
        <v>6</v>
      </c>
      <c r="V1364" s="10">
        <v>135</v>
      </c>
      <c r="W1364" s="10" t="s">
        <v>710</v>
      </c>
      <c r="X1364" s="17">
        <v>44752</v>
      </c>
      <c r="Y1364" s="17">
        <v>45261</v>
      </c>
      <c r="Z1364" s="19" t="s">
        <v>772</v>
      </c>
      <c r="AA1364" s="207">
        <v>51080</v>
      </c>
      <c r="AB1364" s="9">
        <v>73</v>
      </c>
      <c r="AC1364" s="9">
        <v>69</v>
      </c>
      <c r="AD1364" s="17">
        <v>47026</v>
      </c>
      <c r="AE1364" s="54">
        <v>640</v>
      </c>
      <c r="AF1364" s="54"/>
      <c r="AL1364" s="22"/>
      <c r="AM1364" s="22"/>
      <c r="AN1364" s="22"/>
      <c r="AO1364" s="22"/>
      <c r="AP1364" s="22"/>
      <c r="AQ1364" s="22"/>
      <c r="AR1364" s="22"/>
      <c r="AS1364" s="22"/>
      <c r="AT1364" s="22"/>
      <c r="AU1364" s="22"/>
      <c r="AV1364" s="22"/>
      <c r="AW1364" s="9"/>
      <c r="BA1364" s="22"/>
      <c r="BB1364" s="22"/>
      <c r="BD1364" s="9"/>
      <c r="CS1364" s="11">
        <f t="shared" si="93"/>
        <v>0</v>
      </c>
      <c r="CT1364" s="22">
        <f t="shared" si="94"/>
        <v>0</v>
      </c>
      <c r="CU1364" s="22">
        <f t="shared" si="92"/>
        <v>0</v>
      </c>
      <c r="CV1364" s="26">
        <f t="shared" si="95"/>
        <v>640</v>
      </c>
    </row>
    <row r="1365" spans="1:100" x14ac:dyDescent="0.2">
      <c r="A1365" s="9" t="s">
        <v>361</v>
      </c>
      <c r="B1365" s="2">
        <v>82</v>
      </c>
      <c r="C1365" s="3" t="s">
        <v>95</v>
      </c>
      <c r="D1365" s="3" t="s">
        <v>96</v>
      </c>
      <c r="E1365" s="2"/>
      <c r="F1365" s="2"/>
      <c r="G1365" s="2" t="s">
        <v>74</v>
      </c>
      <c r="H1365" s="2">
        <v>7</v>
      </c>
      <c r="I1365" s="20">
        <v>135</v>
      </c>
      <c r="J1365" s="20">
        <v>49900</v>
      </c>
      <c r="K1365" s="3">
        <v>0</v>
      </c>
      <c r="L1365" s="3" t="s">
        <v>3</v>
      </c>
      <c r="M1365" s="9" t="s">
        <v>0</v>
      </c>
      <c r="N1365" s="9" t="s">
        <v>30</v>
      </c>
      <c r="O1365" s="9" t="s">
        <v>3514</v>
      </c>
      <c r="P1365" s="9" t="s">
        <v>0</v>
      </c>
      <c r="Q1365" s="30" t="s">
        <v>363</v>
      </c>
      <c r="R1365" s="9" t="s">
        <v>364</v>
      </c>
      <c r="S1365" s="9" t="s">
        <v>158</v>
      </c>
      <c r="T1365" s="10" t="s">
        <v>74</v>
      </c>
      <c r="U1365" s="10">
        <v>6</v>
      </c>
      <c r="V1365" s="10">
        <v>135</v>
      </c>
      <c r="W1365" s="10" t="s">
        <v>710</v>
      </c>
      <c r="X1365" s="17">
        <v>44752</v>
      </c>
      <c r="Y1365" s="17">
        <v>45261</v>
      </c>
      <c r="Z1365" s="19" t="s">
        <v>772</v>
      </c>
      <c r="AA1365" s="207">
        <v>51080</v>
      </c>
      <c r="AB1365" s="9">
        <v>73</v>
      </c>
      <c r="AC1365" s="9">
        <v>70</v>
      </c>
      <c r="AD1365" s="17">
        <v>47057</v>
      </c>
      <c r="AE1365" s="54">
        <v>640</v>
      </c>
      <c r="AF1365" s="54"/>
      <c r="AL1365" s="22"/>
      <c r="AM1365" s="22"/>
      <c r="AN1365" s="22"/>
      <c r="AO1365" s="22"/>
      <c r="AP1365" s="22"/>
      <c r="AQ1365" s="22"/>
      <c r="AR1365" s="22"/>
      <c r="AS1365" s="22"/>
      <c r="AT1365" s="22"/>
      <c r="AU1365" s="22"/>
      <c r="AV1365" s="22"/>
      <c r="AW1365" s="9"/>
      <c r="BA1365" s="22"/>
      <c r="BB1365" s="22"/>
      <c r="BD1365" s="9"/>
      <c r="CS1365" s="11">
        <f t="shared" si="93"/>
        <v>0</v>
      </c>
      <c r="CT1365" s="22">
        <f t="shared" si="94"/>
        <v>0</v>
      </c>
      <c r="CU1365" s="22">
        <f t="shared" si="92"/>
        <v>0</v>
      </c>
      <c r="CV1365" s="26">
        <f t="shared" si="95"/>
        <v>640</v>
      </c>
    </row>
    <row r="1366" spans="1:100" x14ac:dyDescent="0.2">
      <c r="A1366" s="9" t="s">
        <v>361</v>
      </c>
      <c r="B1366" s="2">
        <v>82</v>
      </c>
      <c r="C1366" s="3" t="s">
        <v>95</v>
      </c>
      <c r="D1366" s="3" t="s">
        <v>96</v>
      </c>
      <c r="E1366" s="2"/>
      <c r="F1366" s="2"/>
      <c r="G1366" s="2" t="s">
        <v>74</v>
      </c>
      <c r="H1366" s="2">
        <v>7</v>
      </c>
      <c r="I1366" s="20">
        <v>135</v>
      </c>
      <c r="J1366" s="20">
        <v>49900</v>
      </c>
      <c r="K1366" s="3">
        <v>0</v>
      </c>
      <c r="L1366" s="3" t="s">
        <v>3</v>
      </c>
      <c r="M1366" s="9" t="s">
        <v>0</v>
      </c>
      <c r="N1366" s="9" t="s">
        <v>30</v>
      </c>
      <c r="O1366" s="9" t="s">
        <v>3514</v>
      </c>
      <c r="P1366" s="9" t="s">
        <v>0</v>
      </c>
      <c r="Q1366" s="30" t="s">
        <v>363</v>
      </c>
      <c r="R1366" s="9" t="s">
        <v>364</v>
      </c>
      <c r="S1366" s="9" t="s">
        <v>158</v>
      </c>
      <c r="T1366" s="10" t="s">
        <v>74</v>
      </c>
      <c r="U1366" s="10">
        <v>6</v>
      </c>
      <c r="V1366" s="10">
        <v>135</v>
      </c>
      <c r="W1366" s="10" t="s">
        <v>710</v>
      </c>
      <c r="X1366" s="17">
        <v>44752</v>
      </c>
      <c r="Y1366" s="17">
        <v>45261</v>
      </c>
      <c r="Z1366" s="19" t="s">
        <v>772</v>
      </c>
      <c r="AA1366" s="207">
        <v>51080</v>
      </c>
      <c r="AB1366" s="9">
        <v>73</v>
      </c>
      <c r="AC1366" s="9">
        <v>71</v>
      </c>
      <c r="AD1366" s="17">
        <v>47087</v>
      </c>
      <c r="AE1366" s="54">
        <v>640</v>
      </c>
      <c r="AF1366" s="54"/>
      <c r="AL1366" s="22"/>
      <c r="AM1366" s="22"/>
      <c r="AN1366" s="22"/>
      <c r="AO1366" s="22"/>
      <c r="AP1366" s="22"/>
      <c r="AQ1366" s="22"/>
      <c r="AR1366" s="22"/>
      <c r="AS1366" s="22"/>
      <c r="AT1366" s="22"/>
      <c r="AU1366" s="22"/>
      <c r="AV1366" s="22"/>
      <c r="AW1366" s="9"/>
      <c r="BA1366" s="22"/>
      <c r="BB1366" s="22"/>
      <c r="BD1366" s="9"/>
      <c r="CS1366" s="11">
        <f t="shared" si="93"/>
        <v>0</v>
      </c>
      <c r="CT1366" s="22">
        <f t="shared" si="94"/>
        <v>0</v>
      </c>
      <c r="CU1366" s="22">
        <f t="shared" si="92"/>
        <v>0</v>
      </c>
      <c r="CV1366" s="26">
        <f t="shared" si="95"/>
        <v>640</v>
      </c>
    </row>
    <row r="1367" spans="1:100" x14ac:dyDescent="0.2">
      <c r="A1367" s="9" t="s">
        <v>361</v>
      </c>
      <c r="B1367" s="2">
        <v>82</v>
      </c>
      <c r="C1367" s="3" t="s">
        <v>95</v>
      </c>
      <c r="D1367" s="3" t="s">
        <v>96</v>
      </c>
      <c r="E1367" s="2"/>
      <c r="F1367" s="2"/>
      <c r="G1367" s="2" t="s">
        <v>74</v>
      </c>
      <c r="H1367" s="2">
        <v>7</v>
      </c>
      <c r="I1367" s="20">
        <v>135</v>
      </c>
      <c r="J1367" s="20">
        <v>49900</v>
      </c>
      <c r="K1367" s="3">
        <v>0</v>
      </c>
      <c r="L1367" s="3" t="s">
        <v>3</v>
      </c>
      <c r="M1367" s="9" t="s">
        <v>0</v>
      </c>
      <c r="N1367" s="9" t="s">
        <v>30</v>
      </c>
      <c r="O1367" s="9" t="s">
        <v>3514</v>
      </c>
      <c r="P1367" s="9" t="s">
        <v>0</v>
      </c>
      <c r="Q1367" s="30" t="s">
        <v>363</v>
      </c>
      <c r="R1367" s="9" t="s">
        <v>364</v>
      </c>
      <c r="S1367" s="9" t="s">
        <v>158</v>
      </c>
      <c r="T1367" s="10" t="s">
        <v>74</v>
      </c>
      <c r="U1367" s="10">
        <v>6</v>
      </c>
      <c r="V1367" s="10">
        <v>135</v>
      </c>
      <c r="W1367" s="10" t="s">
        <v>710</v>
      </c>
      <c r="X1367" s="17">
        <v>44752</v>
      </c>
      <c r="Y1367" s="17">
        <v>45261</v>
      </c>
      <c r="Z1367" s="19" t="s">
        <v>772</v>
      </c>
      <c r="AA1367" s="207">
        <v>51080</v>
      </c>
      <c r="AB1367" s="9">
        <v>73</v>
      </c>
      <c r="AC1367" s="9">
        <v>72</v>
      </c>
      <c r="AD1367" s="17">
        <v>47118</v>
      </c>
      <c r="AE1367" s="54">
        <v>640</v>
      </c>
      <c r="AF1367" s="54"/>
      <c r="AL1367" s="22"/>
      <c r="AM1367" s="22"/>
      <c r="AN1367" s="22"/>
      <c r="AO1367" s="22"/>
      <c r="AP1367" s="22"/>
      <c r="AQ1367" s="22"/>
      <c r="AR1367" s="22"/>
      <c r="AS1367" s="22"/>
      <c r="AT1367" s="22"/>
      <c r="AU1367" s="22"/>
      <c r="AV1367" s="22"/>
      <c r="AW1367" s="9"/>
      <c r="BA1367" s="22"/>
      <c r="BB1367" s="22"/>
      <c r="BD1367" s="9"/>
      <c r="CS1367" s="11">
        <f t="shared" si="93"/>
        <v>0</v>
      </c>
      <c r="CT1367" s="22">
        <f t="shared" si="94"/>
        <v>0</v>
      </c>
      <c r="CU1367" s="22">
        <f t="shared" si="92"/>
        <v>0</v>
      </c>
      <c r="CV1367" s="26">
        <f t="shared" si="95"/>
        <v>640</v>
      </c>
    </row>
    <row r="1368" spans="1:100" x14ac:dyDescent="0.2">
      <c r="A1368" s="9" t="s">
        <v>361</v>
      </c>
      <c r="B1368" s="2">
        <v>82</v>
      </c>
      <c r="C1368" s="3" t="s">
        <v>95</v>
      </c>
      <c r="D1368" s="3" t="s">
        <v>96</v>
      </c>
      <c r="E1368" s="2"/>
      <c r="F1368" s="2"/>
      <c r="G1368" s="2" t="s">
        <v>74</v>
      </c>
      <c r="H1368" s="2">
        <v>7</v>
      </c>
      <c r="I1368" s="20">
        <v>135</v>
      </c>
      <c r="J1368" s="20">
        <v>49900</v>
      </c>
      <c r="K1368" s="3">
        <v>0</v>
      </c>
      <c r="L1368" s="3" t="s">
        <v>3</v>
      </c>
      <c r="M1368" s="9" t="s">
        <v>0</v>
      </c>
      <c r="N1368" s="9" t="s">
        <v>30</v>
      </c>
      <c r="O1368" s="9" t="s">
        <v>3514</v>
      </c>
      <c r="P1368" s="9" t="s">
        <v>0</v>
      </c>
      <c r="Q1368" s="30" t="s">
        <v>363</v>
      </c>
      <c r="R1368" s="9" t="s">
        <v>364</v>
      </c>
      <c r="S1368" s="9" t="s">
        <v>158</v>
      </c>
      <c r="T1368" s="10" t="s">
        <v>74</v>
      </c>
      <c r="U1368" s="10">
        <v>6</v>
      </c>
      <c r="V1368" s="10">
        <v>135</v>
      </c>
      <c r="W1368" s="10" t="s">
        <v>710</v>
      </c>
      <c r="X1368" s="17">
        <v>44752</v>
      </c>
      <c r="Y1368" s="17">
        <v>45261</v>
      </c>
      <c r="Z1368" s="19" t="s">
        <v>772</v>
      </c>
      <c r="AA1368" s="207">
        <v>51080</v>
      </c>
      <c r="AB1368" s="9">
        <v>73</v>
      </c>
      <c r="AC1368" s="9">
        <v>73</v>
      </c>
      <c r="AD1368" s="17">
        <v>47149</v>
      </c>
      <c r="AE1368" s="54">
        <v>960</v>
      </c>
      <c r="AF1368" s="54"/>
      <c r="AL1368" s="22"/>
      <c r="AM1368" s="22"/>
      <c r="AN1368" s="22"/>
      <c r="AO1368" s="22"/>
      <c r="AP1368" s="22"/>
      <c r="AQ1368" s="22"/>
      <c r="AR1368" s="22"/>
      <c r="AS1368" s="22"/>
      <c r="AT1368" s="22"/>
      <c r="AU1368" s="22"/>
      <c r="AV1368" s="22"/>
      <c r="AW1368" s="9"/>
      <c r="BA1368" s="22"/>
      <c r="BB1368" s="22"/>
      <c r="BD1368" s="9"/>
      <c r="CS1368" s="11">
        <f t="shared" si="93"/>
        <v>0</v>
      </c>
      <c r="CT1368" s="22">
        <f t="shared" si="94"/>
        <v>0</v>
      </c>
      <c r="CU1368" s="22">
        <f t="shared" si="92"/>
        <v>0</v>
      </c>
      <c r="CV1368" s="26">
        <f t="shared" si="95"/>
        <v>960</v>
      </c>
    </row>
    <row r="1369" spans="1:100" x14ac:dyDescent="0.2">
      <c r="A1369" s="9" t="s">
        <v>361</v>
      </c>
      <c r="B1369" s="2">
        <v>82</v>
      </c>
      <c r="C1369" s="3" t="s">
        <v>95</v>
      </c>
      <c r="D1369" s="3" t="s">
        <v>96</v>
      </c>
      <c r="E1369" s="2"/>
      <c r="F1369" s="2"/>
      <c r="G1369" s="2" t="s">
        <v>74</v>
      </c>
      <c r="H1369" s="2">
        <v>7</v>
      </c>
      <c r="I1369" s="20">
        <v>135</v>
      </c>
      <c r="J1369" s="20">
        <v>49900</v>
      </c>
      <c r="K1369" s="3">
        <v>0</v>
      </c>
      <c r="L1369" s="3" t="s">
        <v>3</v>
      </c>
      <c r="M1369" s="9" t="s">
        <v>0</v>
      </c>
      <c r="N1369" s="9" t="s">
        <v>30</v>
      </c>
      <c r="O1369" s="9" t="s">
        <v>3514</v>
      </c>
      <c r="P1369" s="9" t="s">
        <v>0</v>
      </c>
      <c r="Q1369" s="30" t="s">
        <v>363</v>
      </c>
      <c r="R1369" s="9" t="s">
        <v>364</v>
      </c>
      <c r="S1369" s="9" t="s">
        <v>370</v>
      </c>
      <c r="V1369" s="10">
        <v>12.5</v>
      </c>
      <c r="W1369" s="10" t="s">
        <v>710</v>
      </c>
      <c r="X1369" s="17">
        <v>44752</v>
      </c>
      <c r="Y1369" s="17">
        <v>44950</v>
      </c>
      <c r="Z1369" s="19" t="s">
        <v>772</v>
      </c>
      <c r="AA1369" s="207">
        <v>6000</v>
      </c>
      <c r="AB1369" s="9">
        <v>61</v>
      </c>
      <c r="AC1369" s="9">
        <v>0</v>
      </c>
      <c r="AD1369" s="17">
        <v>44803</v>
      </c>
      <c r="AE1369" s="54">
        <v>100</v>
      </c>
      <c r="AF1369" s="54"/>
      <c r="AL1369" s="22"/>
      <c r="AM1369" s="22"/>
      <c r="AN1369" s="22"/>
      <c r="AO1369" s="22"/>
      <c r="AP1369" s="22"/>
      <c r="AQ1369" s="22"/>
      <c r="AR1369" s="22"/>
      <c r="AS1369" s="22"/>
      <c r="AT1369" s="22"/>
      <c r="AU1369" s="22"/>
      <c r="AV1369" s="22"/>
      <c r="AW1369" s="9"/>
      <c r="BA1369" s="22"/>
      <c r="BB1369" s="22"/>
      <c r="BD1369" s="9"/>
      <c r="CS1369" s="11">
        <f t="shared" si="93"/>
        <v>0</v>
      </c>
      <c r="CT1369" s="22">
        <f t="shared" si="94"/>
        <v>0</v>
      </c>
      <c r="CU1369" s="22">
        <f t="shared" si="92"/>
        <v>0</v>
      </c>
      <c r="CV1369" s="26">
        <f t="shared" si="95"/>
        <v>100</v>
      </c>
    </row>
    <row r="1370" spans="1:100" x14ac:dyDescent="0.2">
      <c r="A1370" s="9" t="s">
        <v>361</v>
      </c>
      <c r="B1370" s="2">
        <v>82</v>
      </c>
      <c r="C1370" s="3" t="s">
        <v>95</v>
      </c>
      <c r="D1370" s="3" t="s">
        <v>96</v>
      </c>
      <c r="E1370" s="2"/>
      <c r="F1370" s="2"/>
      <c r="G1370" s="2" t="s">
        <v>74</v>
      </c>
      <c r="H1370" s="2">
        <v>7</v>
      </c>
      <c r="I1370" s="20">
        <v>135</v>
      </c>
      <c r="J1370" s="20">
        <v>49900</v>
      </c>
      <c r="K1370" s="3">
        <v>0</v>
      </c>
      <c r="L1370" s="3" t="s">
        <v>3</v>
      </c>
      <c r="M1370" s="9" t="s">
        <v>0</v>
      </c>
      <c r="N1370" s="9" t="s">
        <v>30</v>
      </c>
      <c r="O1370" s="9" t="s">
        <v>3514</v>
      </c>
      <c r="P1370" s="9" t="s">
        <v>0</v>
      </c>
      <c r="Q1370" s="30" t="s">
        <v>363</v>
      </c>
      <c r="R1370" s="9" t="s">
        <v>364</v>
      </c>
      <c r="S1370" s="9" t="s">
        <v>370</v>
      </c>
      <c r="V1370" s="10">
        <v>12.5</v>
      </c>
      <c r="W1370" s="10" t="s">
        <v>710</v>
      </c>
      <c r="X1370" s="17">
        <v>44752</v>
      </c>
      <c r="Y1370" s="17">
        <v>44950</v>
      </c>
      <c r="Z1370" s="19" t="s">
        <v>772</v>
      </c>
      <c r="AA1370" s="207">
        <v>6000</v>
      </c>
      <c r="AB1370" s="9">
        <v>61</v>
      </c>
      <c r="AC1370" s="9">
        <v>1</v>
      </c>
      <c r="AD1370" s="17">
        <v>44957</v>
      </c>
      <c r="AE1370" s="54">
        <v>100</v>
      </c>
      <c r="AF1370" s="54"/>
      <c r="AL1370" s="22"/>
      <c r="AM1370" s="22"/>
      <c r="AN1370" s="22"/>
      <c r="AO1370" s="22"/>
      <c r="AP1370" s="22"/>
      <c r="AQ1370" s="22"/>
      <c r="AR1370" s="22"/>
      <c r="AS1370" s="22"/>
      <c r="AT1370" s="22"/>
      <c r="AU1370" s="22"/>
      <c r="AV1370" s="22"/>
      <c r="AW1370" s="9"/>
      <c r="BA1370" s="22"/>
      <c r="BB1370" s="22"/>
      <c r="BD1370" s="9"/>
      <c r="CS1370" s="11">
        <f t="shared" si="93"/>
        <v>0</v>
      </c>
      <c r="CT1370" s="22">
        <f t="shared" si="94"/>
        <v>0</v>
      </c>
      <c r="CU1370" s="22">
        <f t="shared" si="92"/>
        <v>0</v>
      </c>
      <c r="CV1370" s="26">
        <f t="shared" si="95"/>
        <v>100</v>
      </c>
    </row>
    <row r="1371" spans="1:100" x14ac:dyDescent="0.2">
      <c r="A1371" s="9" t="s">
        <v>361</v>
      </c>
      <c r="B1371" s="2">
        <v>82</v>
      </c>
      <c r="C1371" s="3" t="s">
        <v>95</v>
      </c>
      <c r="D1371" s="3" t="s">
        <v>96</v>
      </c>
      <c r="E1371" s="2"/>
      <c r="F1371" s="2"/>
      <c r="G1371" s="2" t="s">
        <v>74</v>
      </c>
      <c r="H1371" s="2">
        <v>7</v>
      </c>
      <c r="I1371" s="20">
        <v>135</v>
      </c>
      <c r="J1371" s="20">
        <v>49900</v>
      </c>
      <c r="K1371" s="3">
        <v>0</v>
      </c>
      <c r="L1371" s="3" t="s">
        <v>3</v>
      </c>
      <c r="M1371" s="9" t="s">
        <v>0</v>
      </c>
      <c r="N1371" s="9" t="s">
        <v>30</v>
      </c>
      <c r="O1371" s="9" t="s">
        <v>3514</v>
      </c>
      <c r="P1371" s="9" t="s">
        <v>0</v>
      </c>
      <c r="Q1371" s="30" t="s">
        <v>363</v>
      </c>
      <c r="R1371" s="9" t="s">
        <v>364</v>
      </c>
      <c r="S1371" s="9" t="s">
        <v>370</v>
      </c>
      <c r="V1371" s="10">
        <v>12.5</v>
      </c>
      <c r="W1371" s="10" t="s">
        <v>710</v>
      </c>
      <c r="X1371" s="17">
        <v>44752</v>
      </c>
      <c r="Y1371" s="17">
        <v>44950</v>
      </c>
      <c r="Z1371" s="19" t="s">
        <v>772</v>
      </c>
      <c r="AA1371" s="207">
        <v>6000</v>
      </c>
      <c r="AB1371" s="9">
        <v>61</v>
      </c>
      <c r="AC1371" s="9">
        <v>2</v>
      </c>
      <c r="AD1371" s="17">
        <v>44985</v>
      </c>
      <c r="AE1371" s="54">
        <v>100</v>
      </c>
      <c r="AF1371" s="54"/>
      <c r="AL1371" s="22"/>
      <c r="AM1371" s="22"/>
      <c r="AN1371" s="22"/>
      <c r="AO1371" s="22"/>
      <c r="AP1371" s="22"/>
      <c r="AQ1371" s="22"/>
      <c r="AR1371" s="22"/>
      <c r="AS1371" s="22"/>
      <c r="AT1371" s="22"/>
      <c r="AU1371" s="22"/>
      <c r="AV1371" s="22"/>
      <c r="AW1371" s="9"/>
      <c r="BA1371" s="22"/>
      <c r="BB1371" s="22"/>
      <c r="BD1371" s="9"/>
      <c r="CS1371" s="11">
        <f t="shared" si="93"/>
        <v>0</v>
      </c>
      <c r="CT1371" s="22">
        <f t="shared" si="94"/>
        <v>0</v>
      </c>
      <c r="CU1371" s="22">
        <f t="shared" si="92"/>
        <v>0</v>
      </c>
      <c r="CV1371" s="26">
        <f t="shared" si="95"/>
        <v>100</v>
      </c>
    </row>
    <row r="1372" spans="1:100" x14ac:dyDescent="0.2">
      <c r="A1372" s="9" t="s">
        <v>361</v>
      </c>
      <c r="B1372" s="2">
        <v>82</v>
      </c>
      <c r="C1372" s="3" t="s">
        <v>95</v>
      </c>
      <c r="D1372" s="3" t="s">
        <v>96</v>
      </c>
      <c r="E1372" s="2"/>
      <c r="F1372" s="2"/>
      <c r="G1372" s="2" t="s">
        <v>74</v>
      </c>
      <c r="H1372" s="2">
        <v>7</v>
      </c>
      <c r="I1372" s="20">
        <v>135</v>
      </c>
      <c r="J1372" s="20">
        <v>49900</v>
      </c>
      <c r="K1372" s="3">
        <v>0</v>
      </c>
      <c r="L1372" s="3" t="s">
        <v>3</v>
      </c>
      <c r="M1372" s="9" t="s">
        <v>0</v>
      </c>
      <c r="N1372" s="9" t="s">
        <v>30</v>
      </c>
      <c r="O1372" s="9" t="s">
        <v>3514</v>
      </c>
      <c r="P1372" s="9" t="s">
        <v>0</v>
      </c>
      <c r="Q1372" s="30" t="s">
        <v>363</v>
      </c>
      <c r="R1372" s="9" t="s">
        <v>364</v>
      </c>
      <c r="S1372" s="9" t="s">
        <v>370</v>
      </c>
      <c r="V1372" s="10">
        <v>12.5</v>
      </c>
      <c r="W1372" s="10" t="s">
        <v>710</v>
      </c>
      <c r="X1372" s="17">
        <v>44752</v>
      </c>
      <c r="Y1372" s="17">
        <v>44950</v>
      </c>
      <c r="Z1372" s="19" t="s">
        <v>772</v>
      </c>
      <c r="AA1372" s="207">
        <v>6000</v>
      </c>
      <c r="AB1372" s="9">
        <v>61</v>
      </c>
      <c r="AC1372" s="9">
        <v>3</v>
      </c>
      <c r="AD1372" s="17">
        <v>45016</v>
      </c>
      <c r="AE1372" s="54">
        <v>100</v>
      </c>
      <c r="AF1372" s="54"/>
      <c r="AL1372" s="22"/>
      <c r="AM1372" s="22"/>
      <c r="AN1372" s="22"/>
      <c r="AO1372" s="22"/>
      <c r="AP1372" s="22"/>
      <c r="AQ1372" s="22"/>
      <c r="AR1372" s="22"/>
      <c r="AS1372" s="22"/>
      <c r="AT1372" s="22"/>
      <c r="AU1372" s="22"/>
      <c r="AV1372" s="22"/>
      <c r="AW1372" s="9"/>
      <c r="BA1372" s="22"/>
      <c r="BB1372" s="22"/>
      <c r="BD1372" s="9"/>
      <c r="CS1372" s="11">
        <f t="shared" si="93"/>
        <v>0</v>
      </c>
      <c r="CT1372" s="22">
        <f t="shared" si="94"/>
        <v>0</v>
      </c>
      <c r="CU1372" s="22">
        <f t="shared" ref="CU1372:CU1430" si="96">+CS1372-CT1372</f>
        <v>0</v>
      </c>
      <c r="CV1372" s="26">
        <f t="shared" si="95"/>
        <v>100</v>
      </c>
    </row>
    <row r="1373" spans="1:100" x14ac:dyDescent="0.2">
      <c r="A1373" s="9" t="s">
        <v>361</v>
      </c>
      <c r="B1373" s="2">
        <v>82</v>
      </c>
      <c r="C1373" s="3" t="s">
        <v>95</v>
      </c>
      <c r="D1373" s="3" t="s">
        <v>96</v>
      </c>
      <c r="E1373" s="2"/>
      <c r="F1373" s="2"/>
      <c r="G1373" s="2" t="s">
        <v>74</v>
      </c>
      <c r="H1373" s="2">
        <v>7</v>
      </c>
      <c r="I1373" s="20">
        <v>135</v>
      </c>
      <c r="J1373" s="20">
        <v>49900</v>
      </c>
      <c r="K1373" s="3">
        <v>0</v>
      </c>
      <c r="L1373" s="3" t="s">
        <v>3</v>
      </c>
      <c r="M1373" s="9" t="s">
        <v>0</v>
      </c>
      <c r="N1373" s="9" t="s">
        <v>30</v>
      </c>
      <c r="O1373" s="9" t="s">
        <v>3514</v>
      </c>
      <c r="P1373" s="9" t="s">
        <v>0</v>
      </c>
      <c r="Q1373" s="30" t="s">
        <v>363</v>
      </c>
      <c r="R1373" s="9" t="s">
        <v>364</v>
      </c>
      <c r="S1373" s="9" t="s">
        <v>370</v>
      </c>
      <c r="V1373" s="10">
        <v>12.5</v>
      </c>
      <c r="W1373" s="10" t="s">
        <v>710</v>
      </c>
      <c r="X1373" s="17">
        <v>44752</v>
      </c>
      <c r="Y1373" s="17">
        <v>44950</v>
      </c>
      <c r="Z1373" s="19" t="s">
        <v>772</v>
      </c>
      <c r="AA1373" s="207">
        <v>6000</v>
      </c>
      <c r="AB1373" s="9">
        <v>61</v>
      </c>
      <c r="AC1373" s="9">
        <v>4</v>
      </c>
      <c r="AD1373" s="17">
        <v>45046</v>
      </c>
      <c r="AE1373" s="54">
        <v>100</v>
      </c>
      <c r="AF1373" s="54"/>
      <c r="AL1373" s="22"/>
      <c r="AM1373" s="22"/>
      <c r="AN1373" s="22"/>
      <c r="AO1373" s="22"/>
      <c r="AP1373" s="22"/>
      <c r="AQ1373" s="22"/>
      <c r="AR1373" s="22"/>
      <c r="AS1373" s="22"/>
      <c r="AT1373" s="22"/>
      <c r="AU1373" s="22"/>
      <c r="AV1373" s="22"/>
      <c r="AW1373" s="9"/>
      <c r="BA1373" s="22"/>
      <c r="BB1373" s="22"/>
      <c r="BD1373" s="9"/>
      <c r="CS1373" s="11">
        <f t="shared" si="93"/>
        <v>0</v>
      </c>
      <c r="CT1373" s="22">
        <f t="shared" si="94"/>
        <v>0</v>
      </c>
      <c r="CU1373" s="22">
        <f t="shared" si="96"/>
        <v>0</v>
      </c>
      <c r="CV1373" s="26">
        <f t="shared" si="95"/>
        <v>100</v>
      </c>
    </row>
    <row r="1374" spans="1:100" x14ac:dyDescent="0.2">
      <c r="A1374" s="9" t="s">
        <v>361</v>
      </c>
      <c r="B1374" s="2">
        <v>82</v>
      </c>
      <c r="C1374" s="3" t="s">
        <v>95</v>
      </c>
      <c r="D1374" s="3" t="s">
        <v>96</v>
      </c>
      <c r="E1374" s="2"/>
      <c r="F1374" s="2"/>
      <c r="G1374" s="2" t="s">
        <v>74</v>
      </c>
      <c r="H1374" s="2">
        <v>7</v>
      </c>
      <c r="I1374" s="20">
        <v>135</v>
      </c>
      <c r="J1374" s="20">
        <v>49900</v>
      </c>
      <c r="K1374" s="3">
        <v>0</v>
      </c>
      <c r="L1374" s="3" t="s">
        <v>3</v>
      </c>
      <c r="M1374" s="9" t="s">
        <v>0</v>
      </c>
      <c r="N1374" s="9" t="s">
        <v>30</v>
      </c>
      <c r="O1374" s="9" t="s">
        <v>3514</v>
      </c>
      <c r="P1374" s="9" t="s">
        <v>0</v>
      </c>
      <c r="Q1374" s="30" t="s">
        <v>363</v>
      </c>
      <c r="R1374" s="9" t="s">
        <v>364</v>
      </c>
      <c r="S1374" s="9" t="s">
        <v>370</v>
      </c>
      <c r="V1374" s="10">
        <v>12.5</v>
      </c>
      <c r="W1374" s="10" t="s">
        <v>710</v>
      </c>
      <c r="X1374" s="17">
        <v>44752</v>
      </c>
      <c r="Y1374" s="17">
        <v>44950</v>
      </c>
      <c r="Z1374" s="19" t="s">
        <v>772</v>
      </c>
      <c r="AA1374" s="207">
        <v>6000</v>
      </c>
      <c r="AB1374" s="9">
        <v>61</v>
      </c>
      <c r="AC1374" s="9">
        <v>5</v>
      </c>
      <c r="AD1374" s="17">
        <v>45077</v>
      </c>
      <c r="AE1374" s="54">
        <v>100</v>
      </c>
      <c r="AF1374" s="54"/>
      <c r="AL1374" s="22"/>
      <c r="AM1374" s="22"/>
      <c r="AN1374" s="22"/>
      <c r="AO1374" s="22"/>
      <c r="AP1374" s="22"/>
      <c r="AQ1374" s="22"/>
      <c r="AR1374" s="22"/>
      <c r="AS1374" s="22"/>
      <c r="AT1374" s="22"/>
      <c r="AU1374" s="22"/>
      <c r="AV1374" s="22"/>
      <c r="AW1374" s="9"/>
      <c r="BA1374" s="22"/>
      <c r="BB1374" s="22"/>
      <c r="BD1374" s="9"/>
      <c r="CS1374" s="11">
        <f t="shared" si="93"/>
        <v>0</v>
      </c>
      <c r="CT1374" s="22">
        <f t="shared" si="94"/>
        <v>0</v>
      </c>
      <c r="CU1374" s="22">
        <f t="shared" si="96"/>
        <v>0</v>
      </c>
      <c r="CV1374" s="26">
        <f t="shared" si="95"/>
        <v>100</v>
      </c>
    </row>
    <row r="1375" spans="1:100" x14ac:dyDescent="0.2">
      <c r="A1375" s="9" t="s">
        <v>361</v>
      </c>
      <c r="B1375" s="2">
        <v>82</v>
      </c>
      <c r="C1375" s="3" t="s">
        <v>95</v>
      </c>
      <c r="D1375" s="3" t="s">
        <v>96</v>
      </c>
      <c r="E1375" s="2"/>
      <c r="F1375" s="2"/>
      <c r="G1375" s="2" t="s">
        <v>74</v>
      </c>
      <c r="H1375" s="2">
        <v>7</v>
      </c>
      <c r="I1375" s="20">
        <v>135</v>
      </c>
      <c r="J1375" s="20">
        <v>49900</v>
      </c>
      <c r="K1375" s="3">
        <v>0</v>
      </c>
      <c r="L1375" s="3" t="s">
        <v>3</v>
      </c>
      <c r="M1375" s="9" t="s">
        <v>0</v>
      </c>
      <c r="N1375" s="9" t="s">
        <v>30</v>
      </c>
      <c r="O1375" s="9" t="s">
        <v>3514</v>
      </c>
      <c r="P1375" s="9" t="s">
        <v>0</v>
      </c>
      <c r="Q1375" s="30" t="s">
        <v>363</v>
      </c>
      <c r="R1375" s="9" t="s">
        <v>364</v>
      </c>
      <c r="S1375" s="9" t="s">
        <v>370</v>
      </c>
      <c r="V1375" s="10">
        <v>12.5</v>
      </c>
      <c r="W1375" s="10" t="s">
        <v>710</v>
      </c>
      <c r="X1375" s="17">
        <v>44752</v>
      </c>
      <c r="Y1375" s="17">
        <v>44950</v>
      </c>
      <c r="Z1375" s="19" t="s">
        <v>772</v>
      </c>
      <c r="AA1375" s="207">
        <v>6000</v>
      </c>
      <c r="AB1375" s="9">
        <v>61</v>
      </c>
      <c r="AC1375" s="9">
        <v>6</v>
      </c>
      <c r="AD1375" s="17">
        <v>45107</v>
      </c>
      <c r="AE1375" s="54">
        <v>100</v>
      </c>
      <c r="AF1375" s="54"/>
      <c r="AL1375" s="22"/>
      <c r="AM1375" s="22"/>
      <c r="AN1375" s="22"/>
      <c r="AO1375" s="22"/>
      <c r="AP1375" s="22"/>
      <c r="AQ1375" s="22"/>
      <c r="AR1375" s="22"/>
      <c r="AS1375" s="22"/>
      <c r="AT1375" s="22"/>
      <c r="AU1375" s="22"/>
      <c r="AV1375" s="22"/>
      <c r="AW1375" s="9"/>
      <c r="BA1375" s="22"/>
      <c r="BB1375" s="22"/>
      <c r="BD1375" s="9"/>
      <c r="CS1375" s="11">
        <f t="shared" si="93"/>
        <v>0</v>
      </c>
      <c r="CT1375" s="22">
        <f t="shared" si="94"/>
        <v>0</v>
      </c>
      <c r="CU1375" s="22">
        <f t="shared" si="96"/>
        <v>0</v>
      </c>
      <c r="CV1375" s="26">
        <f t="shared" si="95"/>
        <v>100</v>
      </c>
    </row>
    <row r="1376" spans="1:100" x14ac:dyDescent="0.2">
      <c r="A1376" s="9" t="s">
        <v>361</v>
      </c>
      <c r="B1376" s="2">
        <v>82</v>
      </c>
      <c r="C1376" s="3" t="s">
        <v>95</v>
      </c>
      <c r="D1376" s="3" t="s">
        <v>96</v>
      </c>
      <c r="E1376" s="2"/>
      <c r="F1376" s="2"/>
      <c r="G1376" s="2" t="s">
        <v>74</v>
      </c>
      <c r="H1376" s="2">
        <v>7</v>
      </c>
      <c r="I1376" s="20">
        <v>135</v>
      </c>
      <c r="J1376" s="20">
        <v>49900</v>
      </c>
      <c r="K1376" s="3">
        <v>0</v>
      </c>
      <c r="L1376" s="3" t="s">
        <v>3</v>
      </c>
      <c r="M1376" s="9" t="s">
        <v>0</v>
      </c>
      <c r="N1376" s="9" t="s">
        <v>30</v>
      </c>
      <c r="O1376" s="9" t="s">
        <v>3514</v>
      </c>
      <c r="P1376" s="9" t="s">
        <v>0</v>
      </c>
      <c r="Q1376" s="30" t="s">
        <v>363</v>
      </c>
      <c r="R1376" s="9" t="s">
        <v>364</v>
      </c>
      <c r="S1376" s="9" t="s">
        <v>370</v>
      </c>
      <c r="V1376" s="10">
        <v>12.5</v>
      </c>
      <c r="W1376" s="10" t="s">
        <v>710</v>
      </c>
      <c r="X1376" s="17">
        <v>44752</v>
      </c>
      <c r="Y1376" s="17">
        <v>44950</v>
      </c>
      <c r="Z1376" s="19" t="s">
        <v>772</v>
      </c>
      <c r="AA1376" s="207">
        <v>6000</v>
      </c>
      <c r="AB1376" s="9">
        <v>61</v>
      </c>
      <c r="AC1376" s="9">
        <v>7</v>
      </c>
      <c r="AD1376" s="17">
        <v>45138</v>
      </c>
      <c r="AE1376" s="54">
        <v>100</v>
      </c>
      <c r="AF1376" s="54"/>
      <c r="AL1376" s="22"/>
      <c r="AM1376" s="22"/>
      <c r="AN1376" s="22"/>
      <c r="AO1376" s="22"/>
      <c r="AP1376" s="22"/>
      <c r="AQ1376" s="22"/>
      <c r="AR1376" s="22"/>
      <c r="AS1376" s="22"/>
      <c r="AT1376" s="22"/>
      <c r="AU1376" s="22"/>
      <c r="AV1376" s="22"/>
      <c r="AW1376" s="9"/>
      <c r="BA1376" s="22"/>
      <c r="BB1376" s="22"/>
      <c r="BD1376" s="9"/>
      <c r="CS1376" s="11">
        <f t="shared" si="93"/>
        <v>0</v>
      </c>
      <c r="CT1376" s="22">
        <f t="shared" si="94"/>
        <v>0</v>
      </c>
      <c r="CU1376" s="22">
        <f t="shared" si="96"/>
        <v>0</v>
      </c>
      <c r="CV1376" s="26">
        <f t="shared" si="95"/>
        <v>100</v>
      </c>
    </row>
    <row r="1377" spans="1:100" x14ac:dyDescent="0.2">
      <c r="A1377" s="9" t="s">
        <v>361</v>
      </c>
      <c r="B1377" s="2">
        <v>82</v>
      </c>
      <c r="C1377" s="3" t="s">
        <v>95</v>
      </c>
      <c r="D1377" s="3" t="s">
        <v>96</v>
      </c>
      <c r="E1377" s="2"/>
      <c r="F1377" s="2"/>
      <c r="G1377" s="2" t="s">
        <v>74</v>
      </c>
      <c r="H1377" s="2">
        <v>7</v>
      </c>
      <c r="I1377" s="20">
        <v>135</v>
      </c>
      <c r="J1377" s="20">
        <v>49900</v>
      </c>
      <c r="K1377" s="3">
        <v>0</v>
      </c>
      <c r="L1377" s="3" t="s">
        <v>3</v>
      </c>
      <c r="M1377" s="9" t="s">
        <v>0</v>
      </c>
      <c r="N1377" s="9" t="s">
        <v>30</v>
      </c>
      <c r="O1377" s="9" t="s">
        <v>3514</v>
      </c>
      <c r="P1377" s="9" t="s">
        <v>0</v>
      </c>
      <c r="Q1377" s="30" t="s">
        <v>363</v>
      </c>
      <c r="R1377" s="9" t="s">
        <v>364</v>
      </c>
      <c r="S1377" s="9" t="s">
        <v>370</v>
      </c>
      <c r="V1377" s="10">
        <v>12.5</v>
      </c>
      <c r="W1377" s="10" t="s">
        <v>710</v>
      </c>
      <c r="X1377" s="17">
        <v>44752</v>
      </c>
      <c r="Y1377" s="17">
        <v>44950</v>
      </c>
      <c r="Z1377" s="19" t="s">
        <v>772</v>
      </c>
      <c r="AA1377" s="207">
        <v>6000</v>
      </c>
      <c r="AB1377" s="9">
        <v>61</v>
      </c>
      <c r="AC1377" s="9">
        <v>8</v>
      </c>
      <c r="AD1377" s="17">
        <v>45169</v>
      </c>
      <c r="AE1377" s="54">
        <v>100</v>
      </c>
      <c r="AF1377" s="54"/>
      <c r="AL1377" s="22"/>
      <c r="AM1377" s="22"/>
      <c r="AN1377" s="22"/>
      <c r="AO1377" s="22"/>
      <c r="AP1377" s="22"/>
      <c r="AQ1377" s="22"/>
      <c r="AR1377" s="22"/>
      <c r="AS1377" s="22"/>
      <c r="AT1377" s="22"/>
      <c r="AU1377" s="22"/>
      <c r="AV1377" s="22"/>
      <c r="AW1377" s="9"/>
      <c r="BA1377" s="22"/>
      <c r="BB1377" s="22"/>
      <c r="BD1377" s="9"/>
      <c r="CS1377" s="11">
        <f t="shared" si="93"/>
        <v>0</v>
      </c>
      <c r="CT1377" s="22">
        <f t="shared" si="94"/>
        <v>0</v>
      </c>
      <c r="CU1377" s="22">
        <f t="shared" si="96"/>
        <v>0</v>
      </c>
      <c r="CV1377" s="26">
        <f t="shared" si="95"/>
        <v>100</v>
      </c>
    </row>
    <row r="1378" spans="1:100" x14ac:dyDescent="0.2">
      <c r="A1378" s="9" t="s">
        <v>361</v>
      </c>
      <c r="B1378" s="2">
        <v>82</v>
      </c>
      <c r="C1378" s="3" t="s">
        <v>95</v>
      </c>
      <c r="D1378" s="3" t="s">
        <v>96</v>
      </c>
      <c r="E1378" s="2"/>
      <c r="F1378" s="2"/>
      <c r="G1378" s="2" t="s">
        <v>74</v>
      </c>
      <c r="H1378" s="2">
        <v>7</v>
      </c>
      <c r="I1378" s="20">
        <v>135</v>
      </c>
      <c r="J1378" s="20">
        <v>49900</v>
      </c>
      <c r="K1378" s="3">
        <v>0</v>
      </c>
      <c r="L1378" s="3" t="s">
        <v>3</v>
      </c>
      <c r="M1378" s="9" t="s">
        <v>0</v>
      </c>
      <c r="N1378" s="9" t="s">
        <v>30</v>
      </c>
      <c r="O1378" s="9" t="s">
        <v>3514</v>
      </c>
      <c r="P1378" s="9" t="s">
        <v>0</v>
      </c>
      <c r="Q1378" s="30" t="s">
        <v>363</v>
      </c>
      <c r="R1378" s="9" t="s">
        <v>364</v>
      </c>
      <c r="S1378" s="9" t="s">
        <v>370</v>
      </c>
      <c r="V1378" s="10">
        <v>12.5</v>
      </c>
      <c r="W1378" s="10" t="s">
        <v>710</v>
      </c>
      <c r="X1378" s="17">
        <v>44752</v>
      </c>
      <c r="Y1378" s="17">
        <v>44950</v>
      </c>
      <c r="Z1378" s="19" t="s">
        <v>772</v>
      </c>
      <c r="AA1378" s="207">
        <v>6000</v>
      </c>
      <c r="AB1378" s="9">
        <v>61</v>
      </c>
      <c r="AC1378" s="9">
        <v>9</v>
      </c>
      <c r="AD1378" s="17">
        <v>45199</v>
      </c>
      <c r="AE1378" s="54">
        <v>100</v>
      </c>
      <c r="AF1378" s="54"/>
      <c r="AL1378" s="22"/>
      <c r="AM1378" s="22"/>
      <c r="AN1378" s="22"/>
      <c r="AO1378" s="22"/>
      <c r="AP1378" s="22"/>
      <c r="AQ1378" s="22"/>
      <c r="AR1378" s="22"/>
      <c r="AS1378" s="22"/>
      <c r="AT1378" s="22"/>
      <c r="AU1378" s="22"/>
      <c r="AV1378" s="22"/>
      <c r="AW1378" s="9"/>
      <c r="BA1378" s="22"/>
      <c r="BB1378" s="22"/>
      <c r="BD1378" s="9"/>
      <c r="CS1378" s="11">
        <f t="shared" si="93"/>
        <v>0</v>
      </c>
      <c r="CT1378" s="22">
        <f t="shared" si="94"/>
        <v>0</v>
      </c>
      <c r="CU1378" s="22">
        <f t="shared" si="96"/>
        <v>0</v>
      </c>
      <c r="CV1378" s="26">
        <f t="shared" si="95"/>
        <v>100</v>
      </c>
    </row>
    <row r="1379" spans="1:100" x14ac:dyDescent="0.2">
      <c r="A1379" s="9" t="s">
        <v>361</v>
      </c>
      <c r="B1379" s="2">
        <v>82</v>
      </c>
      <c r="C1379" s="3" t="s">
        <v>95</v>
      </c>
      <c r="D1379" s="3" t="s">
        <v>96</v>
      </c>
      <c r="E1379" s="2"/>
      <c r="F1379" s="2"/>
      <c r="G1379" s="2" t="s">
        <v>74</v>
      </c>
      <c r="H1379" s="2">
        <v>7</v>
      </c>
      <c r="I1379" s="20">
        <v>135</v>
      </c>
      <c r="J1379" s="20">
        <v>49900</v>
      </c>
      <c r="K1379" s="3">
        <v>0</v>
      </c>
      <c r="L1379" s="3" t="s">
        <v>3</v>
      </c>
      <c r="M1379" s="9" t="s">
        <v>0</v>
      </c>
      <c r="N1379" s="9" t="s">
        <v>30</v>
      </c>
      <c r="O1379" s="9" t="s">
        <v>3514</v>
      </c>
      <c r="P1379" s="9" t="s">
        <v>0</v>
      </c>
      <c r="Q1379" s="30" t="s">
        <v>363</v>
      </c>
      <c r="R1379" s="9" t="s">
        <v>364</v>
      </c>
      <c r="S1379" s="9" t="s">
        <v>370</v>
      </c>
      <c r="V1379" s="10">
        <v>12.5</v>
      </c>
      <c r="W1379" s="10" t="s">
        <v>710</v>
      </c>
      <c r="X1379" s="17">
        <v>44752</v>
      </c>
      <c r="Y1379" s="17">
        <v>44950</v>
      </c>
      <c r="Z1379" s="19" t="s">
        <v>772</v>
      </c>
      <c r="AA1379" s="207">
        <v>6000</v>
      </c>
      <c r="AB1379" s="9">
        <v>61</v>
      </c>
      <c r="AC1379" s="9">
        <v>10</v>
      </c>
      <c r="AD1379" s="17">
        <v>45230</v>
      </c>
      <c r="AE1379" s="54">
        <v>100</v>
      </c>
      <c r="AF1379" s="54"/>
      <c r="AL1379" s="22"/>
      <c r="AM1379" s="22"/>
      <c r="AN1379" s="22"/>
      <c r="AO1379" s="22"/>
      <c r="AP1379" s="22"/>
      <c r="AQ1379" s="22"/>
      <c r="AR1379" s="22"/>
      <c r="AS1379" s="22"/>
      <c r="AT1379" s="22"/>
      <c r="AU1379" s="22"/>
      <c r="AV1379" s="22"/>
      <c r="AW1379" s="9"/>
      <c r="BA1379" s="22"/>
      <c r="BB1379" s="22"/>
      <c r="BD1379" s="9"/>
      <c r="CS1379" s="11">
        <f t="shared" si="93"/>
        <v>0</v>
      </c>
      <c r="CT1379" s="22">
        <f t="shared" si="94"/>
        <v>0</v>
      </c>
      <c r="CU1379" s="22">
        <f t="shared" si="96"/>
        <v>0</v>
      </c>
      <c r="CV1379" s="26">
        <f t="shared" si="95"/>
        <v>100</v>
      </c>
    </row>
    <row r="1380" spans="1:100" x14ac:dyDescent="0.2">
      <c r="A1380" s="9" t="s">
        <v>361</v>
      </c>
      <c r="B1380" s="2">
        <v>82</v>
      </c>
      <c r="C1380" s="3" t="s">
        <v>95</v>
      </c>
      <c r="D1380" s="3" t="s">
        <v>96</v>
      </c>
      <c r="E1380" s="2"/>
      <c r="F1380" s="2"/>
      <c r="G1380" s="2" t="s">
        <v>74</v>
      </c>
      <c r="H1380" s="2">
        <v>7</v>
      </c>
      <c r="I1380" s="20">
        <v>135</v>
      </c>
      <c r="J1380" s="20">
        <v>49900</v>
      </c>
      <c r="K1380" s="3">
        <v>0</v>
      </c>
      <c r="L1380" s="3" t="s">
        <v>3</v>
      </c>
      <c r="M1380" s="9" t="s">
        <v>0</v>
      </c>
      <c r="N1380" s="9" t="s">
        <v>30</v>
      </c>
      <c r="O1380" s="9" t="s">
        <v>3514</v>
      </c>
      <c r="P1380" s="9" t="s">
        <v>0</v>
      </c>
      <c r="Q1380" s="30" t="s">
        <v>363</v>
      </c>
      <c r="R1380" s="9" t="s">
        <v>364</v>
      </c>
      <c r="S1380" s="9" t="s">
        <v>370</v>
      </c>
      <c r="V1380" s="10">
        <v>12.5</v>
      </c>
      <c r="W1380" s="10" t="s">
        <v>710</v>
      </c>
      <c r="X1380" s="17">
        <v>44752</v>
      </c>
      <c r="Y1380" s="17">
        <v>44950</v>
      </c>
      <c r="Z1380" s="19" t="s">
        <v>772</v>
      </c>
      <c r="AA1380" s="207">
        <v>6000</v>
      </c>
      <c r="AB1380" s="9">
        <v>61</v>
      </c>
      <c r="AC1380" s="9">
        <v>11</v>
      </c>
      <c r="AD1380" s="17">
        <v>45260</v>
      </c>
      <c r="AE1380" s="54">
        <v>100</v>
      </c>
      <c r="AF1380" s="54"/>
      <c r="AL1380" s="22"/>
      <c r="AM1380" s="22"/>
      <c r="AN1380" s="22"/>
      <c r="AO1380" s="22"/>
      <c r="AP1380" s="22"/>
      <c r="AQ1380" s="22"/>
      <c r="AR1380" s="22"/>
      <c r="AS1380" s="22"/>
      <c r="AT1380" s="22"/>
      <c r="AU1380" s="22"/>
      <c r="AV1380" s="22"/>
      <c r="AW1380" s="9"/>
      <c r="BA1380" s="22"/>
      <c r="BB1380" s="22"/>
      <c r="BD1380" s="9"/>
      <c r="CS1380" s="11">
        <f t="shared" si="93"/>
        <v>0</v>
      </c>
      <c r="CT1380" s="22">
        <f t="shared" si="94"/>
        <v>0</v>
      </c>
      <c r="CU1380" s="22">
        <f t="shared" si="96"/>
        <v>0</v>
      </c>
      <c r="CV1380" s="26">
        <f t="shared" si="95"/>
        <v>100</v>
      </c>
    </row>
    <row r="1381" spans="1:100" x14ac:dyDescent="0.2">
      <c r="A1381" s="9" t="s">
        <v>361</v>
      </c>
      <c r="B1381" s="2">
        <v>82</v>
      </c>
      <c r="C1381" s="3" t="s">
        <v>95</v>
      </c>
      <c r="D1381" s="3" t="s">
        <v>96</v>
      </c>
      <c r="E1381" s="2"/>
      <c r="F1381" s="2"/>
      <c r="G1381" s="2" t="s">
        <v>74</v>
      </c>
      <c r="H1381" s="2">
        <v>7</v>
      </c>
      <c r="I1381" s="20">
        <v>135</v>
      </c>
      <c r="J1381" s="20">
        <v>49900</v>
      </c>
      <c r="K1381" s="3">
        <v>0</v>
      </c>
      <c r="L1381" s="3" t="s">
        <v>3</v>
      </c>
      <c r="M1381" s="9" t="s">
        <v>0</v>
      </c>
      <c r="N1381" s="9" t="s">
        <v>30</v>
      </c>
      <c r="O1381" s="9" t="s">
        <v>3514</v>
      </c>
      <c r="P1381" s="9" t="s">
        <v>0</v>
      </c>
      <c r="Q1381" s="30" t="s">
        <v>363</v>
      </c>
      <c r="R1381" s="9" t="s">
        <v>364</v>
      </c>
      <c r="S1381" s="9" t="s">
        <v>370</v>
      </c>
      <c r="V1381" s="10">
        <v>12.5</v>
      </c>
      <c r="W1381" s="10" t="s">
        <v>710</v>
      </c>
      <c r="X1381" s="17">
        <v>44752</v>
      </c>
      <c r="Y1381" s="17">
        <v>44950</v>
      </c>
      <c r="Z1381" s="19" t="s">
        <v>772</v>
      </c>
      <c r="AA1381" s="207">
        <v>6000</v>
      </c>
      <c r="AB1381" s="9">
        <v>61</v>
      </c>
      <c r="AC1381" s="9">
        <v>12</v>
      </c>
      <c r="AD1381" s="17">
        <v>45291</v>
      </c>
      <c r="AE1381" s="54">
        <v>100</v>
      </c>
      <c r="AF1381" s="54"/>
      <c r="AL1381" s="22"/>
      <c r="AM1381" s="22"/>
      <c r="AN1381" s="22"/>
      <c r="AO1381" s="22"/>
      <c r="AP1381" s="22"/>
      <c r="AQ1381" s="22"/>
      <c r="AR1381" s="22"/>
      <c r="AS1381" s="22"/>
      <c r="AT1381" s="22"/>
      <c r="AU1381" s="22"/>
      <c r="AV1381" s="22"/>
      <c r="AW1381" s="9"/>
      <c r="BA1381" s="22"/>
      <c r="BB1381" s="22"/>
      <c r="BD1381" s="9"/>
      <c r="CS1381" s="11">
        <f t="shared" si="93"/>
        <v>0</v>
      </c>
      <c r="CT1381" s="22">
        <f t="shared" si="94"/>
        <v>0</v>
      </c>
      <c r="CU1381" s="22">
        <f t="shared" si="96"/>
        <v>0</v>
      </c>
      <c r="CV1381" s="26">
        <f t="shared" si="95"/>
        <v>100</v>
      </c>
    </row>
    <row r="1382" spans="1:100" x14ac:dyDescent="0.2">
      <c r="A1382" s="9" t="s">
        <v>361</v>
      </c>
      <c r="B1382" s="2">
        <v>82</v>
      </c>
      <c r="C1382" s="3" t="s">
        <v>95</v>
      </c>
      <c r="D1382" s="3" t="s">
        <v>96</v>
      </c>
      <c r="E1382" s="2"/>
      <c r="F1382" s="2"/>
      <c r="G1382" s="2" t="s">
        <v>74</v>
      </c>
      <c r="H1382" s="2">
        <v>7</v>
      </c>
      <c r="I1382" s="20">
        <v>135</v>
      </c>
      <c r="J1382" s="20">
        <v>49900</v>
      </c>
      <c r="K1382" s="3">
        <v>0</v>
      </c>
      <c r="L1382" s="3" t="s">
        <v>3</v>
      </c>
      <c r="M1382" s="9" t="s">
        <v>0</v>
      </c>
      <c r="N1382" s="9" t="s">
        <v>30</v>
      </c>
      <c r="O1382" s="9" t="s">
        <v>3514</v>
      </c>
      <c r="P1382" s="9" t="s">
        <v>0</v>
      </c>
      <c r="Q1382" s="30" t="s">
        <v>363</v>
      </c>
      <c r="R1382" s="9" t="s">
        <v>364</v>
      </c>
      <c r="S1382" s="9" t="s">
        <v>370</v>
      </c>
      <c r="V1382" s="10">
        <v>12.5</v>
      </c>
      <c r="W1382" s="10" t="s">
        <v>710</v>
      </c>
      <c r="X1382" s="17">
        <v>44752</v>
      </c>
      <c r="Y1382" s="17">
        <v>44950</v>
      </c>
      <c r="Z1382" s="19" t="s">
        <v>772</v>
      </c>
      <c r="AA1382" s="207">
        <v>6000</v>
      </c>
      <c r="AB1382" s="9">
        <v>61</v>
      </c>
      <c r="AC1382" s="9">
        <v>13</v>
      </c>
      <c r="AD1382" s="17">
        <v>45322</v>
      </c>
      <c r="AE1382" s="54">
        <v>100</v>
      </c>
      <c r="AF1382" s="54"/>
      <c r="AL1382" s="22"/>
      <c r="AM1382" s="22"/>
      <c r="AN1382" s="22"/>
      <c r="AO1382" s="22"/>
      <c r="AP1382" s="22"/>
      <c r="AQ1382" s="22"/>
      <c r="AR1382" s="22"/>
      <c r="AS1382" s="22"/>
      <c r="AT1382" s="22"/>
      <c r="AU1382" s="22"/>
      <c r="AV1382" s="22"/>
      <c r="AW1382" s="9"/>
      <c r="BA1382" s="22"/>
      <c r="BB1382" s="22"/>
      <c r="BD1382" s="9"/>
      <c r="CS1382" s="11">
        <f t="shared" si="93"/>
        <v>0</v>
      </c>
      <c r="CT1382" s="22">
        <f t="shared" si="94"/>
        <v>0</v>
      </c>
      <c r="CU1382" s="22">
        <f t="shared" si="96"/>
        <v>0</v>
      </c>
      <c r="CV1382" s="26">
        <f t="shared" si="95"/>
        <v>100</v>
      </c>
    </row>
    <row r="1383" spans="1:100" x14ac:dyDescent="0.2">
      <c r="A1383" s="9" t="s">
        <v>361</v>
      </c>
      <c r="B1383" s="2">
        <v>82</v>
      </c>
      <c r="C1383" s="3" t="s">
        <v>95</v>
      </c>
      <c r="D1383" s="3" t="s">
        <v>96</v>
      </c>
      <c r="E1383" s="2"/>
      <c r="F1383" s="2"/>
      <c r="G1383" s="2" t="s">
        <v>74</v>
      </c>
      <c r="H1383" s="2">
        <v>7</v>
      </c>
      <c r="I1383" s="20">
        <v>135</v>
      </c>
      <c r="J1383" s="20">
        <v>49900</v>
      </c>
      <c r="K1383" s="3">
        <v>0</v>
      </c>
      <c r="L1383" s="3" t="s">
        <v>3</v>
      </c>
      <c r="M1383" s="9" t="s">
        <v>0</v>
      </c>
      <c r="N1383" s="9" t="s">
        <v>30</v>
      </c>
      <c r="O1383" s="9" t="s">
        <v>3514</v>
      </c>
      <c r="P1383" s="9" t="s">
        <v>0</v>
      </c>
      <c r="Q1383" s="30" t="s">
        <v>363</v>
      </c>
      <c r="R1383" s="9" t="s">
        <v>364</v>
      </c>
      <c r="S1383" s="9" t="s">
        <v>370</v>
      </c>
      <c r="V1383" s="10">
        <v>12.5</v>
      </c>
      <c r="W1383" s="10" t="s">
        <v>710</v>
      </c>
      <c r="X1383" s="17">
        <v>44752</v>
      </c>
      <c r="Y1383" s="17">
        <v>44950</v>
      </c>
      <c r="Z1383" s="19" t="s">
        <v>772</v>
      </c>
      <c r="AA1383" s="207">
        <v>6000</v>
      </c>
      <c r="AB1383" s="9">
        <v>61</v>
      </c>
      <c r="AC1383" s="9">
        <v>14</v>
      </c>
      <c r="AD1383" s="17">
        <v>45351</v>
      </c>
      <c r="AE1383" s="54">
        <v>100</v>
      </c>
      <c r="AF1383" s="54"/>
      <c r="AL1383" s="22"/>
      <c r="AM1383" s="22"/>
      <c r="AN1383" s="22"/>
      <c r="AO1383" s="22"/>
      <c r="AP1383" s="22"/>
      <c r="AQ1383" s="22"/>
      <c r="AR1383" s="22"/>
      <c r="AS1383" s="22"/>
      <c r="AT1383" s="22"/>
      <c r="AU1383" s="22"/>
      <c r="AV1383" s="22"/>
      <c r="AW1383" s="9"/>
      <c r="BA1383" s="22"/>
      <c r="BB1383" s="22"/>
      <c r="BD1383" s="9"/>
      <c r="CS1383" s="11">
        <f t="shared" si="93"/>
        <v>0</v>
      </c>
      <c r="CT1383" s="22">
        <f t="shared" si="94"/>
        <v>0</v>
      </c>
      <c r="CU1383" s="22">
        <f t="shared" si="96"/>
        <v>0</v>
      </c>
      <c r="CV1383" s="26">
        <f t="shared" si="95"/>
        <v>100</v>
      </c>
    </row>
    <row r="1384" spans="1:100" x14ac:dyDescent="0.2">
      <c r="A1384" s="9" t="s">
        <v>361</v>
      </c>
      <c r="B1384" s="2">
        <v>82</v>
      </c>
      <c r="C1384" s="3" t="s">
        <v>95</v>
      </c>
      <c r="D1384" s="3" t="s">
        <v>96</v>
      </c>
      <c r="E1384" s="2"/>
      <c r="F1384" s="2"/>
      <c r="G1384" s="2" t="s">
        <v>74</v>
      </c>
      <c r="H1384" s="2">
        <v>7</v>
      </c>
      <c r="I1384" s="20">
        <v>135</v>
      </c>
      <c r="J1384" s="20">
        <v>49900</v>
      </c>
      <c r="K1384" s="3">
        <v>0</v>
      </c>
      <c r="L1384" s="3" t="s">
        <v>3</v>
      </c>
      <c r="M1384" s="9" t="s">
        <v>0</v>
      </c>
      <c r="N1384" s="9" t="s">
        <v>30</v>
      </c>
      <c r="O1384" s="9" t="s">
        <v>3514</v>
      </c>
      <c r="P1384" s="9" t="s">
        <v>0</v>
      </c>
      <c r="Q1384" s="30" t="s">
        <v>363</v>
      </c>
      <c r="R1384" s="9" t="s">
        <v>364</v>
      </c>
      <c r="S1384" s="9" t="s">
        <v>370</v>
      </c>
      <c r="V1384" s="10">
        <v>12.5</v>
      </c>
      <c r="W1384" s="10" t="s">
        <v>710</v>
      </c>
      <c r="X1384" s="17">
        <v>44752</v>
      </c>
      <c r="Y1384" s="17">
        <v>44950</v>
      </c>
      <c r="Z1384" s="19" t="s">
        <v>772</v>
      </c>
      <c r="AA1384" s="207">
        <v>6000</v>
      </c>
      <c r="AB1384" s="9">
        <v>61</v>
      </c>
      <c r="AC1384" s="9">
        <v>15</v>
      </c>
      <c r="AD1384" s="17">
        <v>45382</v>
      </c>
      <c r="AE1384" s="54">
        <v>100</v>
      </c>
      <c r="AF1384" s="54"/>
      <c r="AL1384" s="22"/>
      <c r="AM1384" s="22"/>
      <c r="AN1384" s="22"/>
      <c r="AO1384" s="22"/>
      <c r="AP1384" s="22"/>
      <c r="AQ1384" s="22"/>
      <c r="AR1384" s="22"/>
      <c r="AS1384" s="22"/>
      <c r="AT1384" s="22"/>
      <c r="AU1384" s="22"/>
      <c r="AV1384" s="22"/>
      <c r="AW1384" s="9"/>
      <c r="BA1384" s="22"/>
      <c r="BB1384" s="22"/>
      <c r="BD1384" s="9"/>
      <c r="CS1384" s="11">
        <f t="shared" si="93"/>
        <v>0</v>
      </c>
      <c r="CT1384" s="22">
        <f t="shared" si="94"/>
        <v>0</v>
      </c>
      <c r="CU1384" s="22">
        <f t="shared" si="96"/>
        <v>0</v>
      </c>
      <c r="CV1384" s="26">
        <f t="shared" si="95"/>
        <v>100</v>
      </c>
    </row>
    <row r="1385" spans="1:100" x14ac:dyDescent="0.2">
      <c r="A1385" s="9" t="s">
        <v>361</v>
      </c>
      <c r="B1385" s="2">
        <v>82</v>
      </c>
      <c r="C1385" s="3" t="s">
        <v>95</v>
      </c>
      <c r="D1385" s="3" t="s">
        <v>96</v>
      </c>
      <c r="E1385" s="2"/>
      <c r="F1385" s="2"/>
      <c r="G1385" s="2" t="s">
        <v>74</v>
      </c>
      <c r="H1385" s="2">
        <v>7</v>
      </c>
      <c r="I1385" s="20">
        <v>135</v>
      </c>
      <c r="J1385" s="20">
        <v>49900</v>
      </c>
      <c r="K1385" s="3">
        <v>0</v>
      </c>
      <c r="L1385" s="3" t="s">
        <v>3</v>
      </c>
      <c r="M1385" s="9" t="s">
        <v>0</v>
      </c>
      <c r="N1385" s="9" t="s">
        <v>30</v>
      </c>
      <c r="O1385" s="9" t="s">
        <v>3514</v>
      </c>
      <c r="P1385" s="9" t="s">
        <v>0</v>
      </c>
      <c r="Q1385" s="30" t="s">
        <v>363</v>
      </c>
      <c r="R1385" s="9" t="s">
        <v>364</v>
      </c>
      <c r="S1385" s="9" t="s">
        <v>370</v>
      </c>
      <c r="V1385" s="10">
        <v>12.5</v>
      </c>
      <c r="W1385" s="10" t="s">
        <v>710</v>
      </c>
      <c r="X1385" s="17">
        <v>44752</v>
      </c>
      <c r="Y1385" s="17">
        <v>44950</v>
      </c>
      <c r="Z1385" s="19" t="s">
        <v>772</v>
      </c>
      <c r="AA1385" s="207">
        <v>6000</v>
      </c>
      <c r="AB1385" s="9">
        <v>61</v>
      </c>
      <c r="AC1385" s="9">
        <v>16</v>
      </c>
      <c r="AD1385" s="17">
        <v>45412</v>
      </c>
      <c r="AE1385" s="54">
        <v>100</v>
      </c>
      <c r="AF1385" s="54"/>
      <c r="AL1385" s="22"/>
      <c r="AM1385" s="22"/>
      <c r="AN1385" s="22"/>
      <c r="AO1385" s="22"/>
      <c r="AP1385" s="22"/>
      <c r="AQ1385" s="22"/>
      <c r="AR1385" s="22"/>
      <c r="AS1385" s="22"/>
      <c r="AT1385" s="22"/>
      <c r="AU1385" s="22"/>
      <c r="AV1385" s="22"/>
      <c r="AW1385" s="9"/>
      <c r="BA1385" s="22"/>
      <c r="BB1385" s="22"/>
      <c r="BD1385" s="9"/>
      <c r="CS1385" s="11">
        <f t="shared" si="93"/>
        <v>0</v>
      </c>
      <c r="CT1385" s="22">
        <f t="shared" si="94"/>
        <v>0</v>
      </c>
      <c r="CU1385" s="22">
        <f t="shared" si="96"/>
        <v>0</v>
      </c>
      <c r="CV1385" s="26">
        <f t="shared" si="95"/>
        <v>100</v>
      </c>
    </row>
    <row r="1386" spans="1:100" x14ac:dyDescent="0.2">
      <c r="A1386" s="9" t="s">
        <v>361</v>
      </c>
      <c r="B1386" s="2">
        <v>82</v>
      </c>
      <c r="C1386" s="3" t="s">
        <v>95</v>
      </c>
      <c r="D1386" s="3" t="s">
        <v>96</v>
      </c>
      <c r="E1386" s="2"/>
      <c r="F1386" s="2"/>
      <c r="G1386" s="2" t="s">
        <v>74</v>
      </c>
      <c r="H1386" s="2">
        <v>7</v>
      </c>
      <c r="I1386" s="20">
        <v>135</v>
      </c>
      <c r="J1386" s="20">
        <v>49900</v>
      </c>
      <c r="K1386" s="3">
        <v>0</v>
      </c>
      <c r="L1386" s="3" t="s">
        <v>3</v>
      </c>
      <c r="M1386" s="9" t="s">
        <v>0</v>
      </c>
      <c r="N1386" s="9" t="s">
        <v>30</v>
      </c>
      <c r="O1386" s="9" t="s">
        <v>3514</v>
      </c>
      <c r="P1386" s="9" t="s">
        <v>0</v>
      </c>
      <c r="Q1386" s="30" t="s">
        <v>363</v>
      </c>
      <c r="R1386" s="9" t="s">
        <v>364</v>
      </c>
      <c r="S1386" s="9" t="s">
        <v>370</v>
      </c>
      <c r="V1386" s="10">
        <v>12.5</v>
      </c>
      <c r="W1386" s="10" t="s">
        <v>710</v>
      </c>
      <c r="X1386" s="17">
        <v>44752</v>
      </c>
      <c r="Y1386" s="17">
        <v>44950</v>
      </c>
      <c r="Z1386" s="19" t="s">
        <v>772</v>
      </c>
      <c r="AA1386" s="207">
        <v>6000</v>
      </c>
      <c r="AB1386" s="9">
        <v>61</v>
      </c>
      <c r="AC1386" s="9">
        <v>17</v>
      </c>
      <c r="AD1386" s="17">
        <v>45443</v>
      </c>
      <c r="AE1386" s="54">
        <v>100</v>
      </c>
      <c r="AF1386" s="54"/>
      <c r="AL1386" s="22"/>
      <c r="AM1386" s="22"/>
      <c r="AN1386" s="22"/>
      <c r="AO1386" s="22"/>
      <c r="AP1386" s="22"/>
      <c r="AQ1386" s="22"/>
      <c r="AR1386" s="22"/>
      <c r="AS1386" s="22"/>
      <c r="AT1386" s="22"/>
      <c r="AU1386" s="22"/>
      <c r="AV1386" s="22"/>
      <c r="AW1386" s="9"/>
      <c r="BA1386" s="22"/>
      <c r="BB1386" s="22"/>
      <c r="BD1386" s="9"/>
      <c r="CS1386" s="11">
        <f t="shared" si="93"/>
        <v>0</v>
      </c>
      <c r="CT1386" s="22">
        <f t="shared" si="94"/>
        <v>0</v>
      </c>
      <c r="CU1386" s="22">
        <f t="shared" si="96"/>
        <v>0</v>
      </c>
      <c r="CV1386" s="26">
        <f t="shared" si="95"/>
        <v>100</v>
      </c>
    </row>
    <row r="1387" spans="1:100" x14ac:dyDescent="0.2">
      <c r="A1387" s="9" t="s">
        <v>361</v>
      </c>
      <c r="B1387" s="2">
        <v>82</v>
      </c>
      <c r="C1387" s="3" t="s">
        <v>95</v>
      </c>
      <c r="D1387" s="3" t="s">
        <v>96</v>
      </c>
      <c r="E1387" s="2"/>
      <c r="F1387" s="2"/>
      <c r="G1387" s="2" t="s">
        <v>74</v>
      </c>
      <c r="H1387" s="2">
        <v>7</v>
      </c>
      <c r="I1387" s="20">
        <v>135</v>
      </c>
      <c r="J1387" s="20">
        <v>49900</v>
      </c>
      <c r="K1387" s="3">
        <v>0</v>
      </c>
      <c r="L1387" s="3" t="s">
        <v>3</v>
      </c>
      <c r="M1387" s="9" t="s">
        <v>0</v>
      </c>
      <c r="N1387" s="9" t="s">
        <v>30</v>
      </c>
      <c r="O1387" s="9" t="s">
        <v>3514</v>
      </c>
      <c r="P1387" s="9" t="s">
        <v>0</v>
      </c>
      <c r="Q1387" s="30" t="s">
        <v>363</v>
      </c>
      <c r="R1387" s="9" t="s">
        <v>364</v>
      </c>
      <c r="S1387" s="9" t="s">
        <v>370</v>
      </c>
      <c r="V1387" s="10">
        <v>12.5</v>
      </c>
      <c r="W1387" s="10" t="s">
        <v>710</v>
      </c>
      <c r="X1387" s="17">
        <v>44752</v>
      </c>
      <c r="Y1387" s="17">
        <v>44950</v>
      </c>
      <c r="Z1387" s="19" t="s">
        <v>772</v>
      </c>
      <c r="AA1387" s="207">
        <v>6000</v>
      </c>
      <c r="AB1387" s="9">
        <v>61</v>
      </c>
      <c r="AC1387" s="9">
        <v>18</v>
      </c>
      <c r="AD1387" s="17">
        <v>45473</v>
      </c>
      <c r="AE1387" s="54">
        <v>100</v>
      </c>
      <c r="AF1387" s="54"/>
      <c r="AL1387" s="22"/>
      <c r="AM1387" s="22"/>
      <c r="AN1387" s="22"/>
      <c r="AO1387" s="22"/>
      <c r="AP1387" s="22"/>
      <c r="AQ1387" s="22"/>
      <c r="AR1387" s="22"/>
      <c r="AS1387" s="22"/>
      <c r="AT1387" s="22"/>
      <c r="AU1387" s="22"/>
      <c r="AV1387" s="22"/>
      <c r="AW1387" s="9"/>
      <c r="BA1387" s="22"/>
      <c r="BB1387" s="22"/>
      <c r="BD1387" s="9"/>
      <c r="CS1387" s="11">
        <f t="shared" si="93"/>
        <v>0</v>
      </c>
      <c r="CT1387" s="22">
        <f t="shared" si="94"/>
        <v>0</v>
      </c>
      <c r="CU1387" s="22">
        <f t="shared" si="96"/>
        <v>0</v>
      </c>
      <c r="CV1387" s="26">
        <f t="shared" si="95"/>
        <v>100</v>
      </c>
    </row>
    <row r="1388" spans="1:100" x14ac:dyDescent="0.2">
      <c r="A1388" s="9" t="s">
        <v>361</v>
      </c>
      <c r="B1388" s="2">
        <v>82</v>
      </c>
      <c r="C1388" s="3" t="s">
        <v>95</v>
      </c>
      <c r="D1388" s="3" t="s">
        <v>96</v>
      </c>
      <c r="E1388" s="2"/>
      <c r="F1388" s="2"/>
      <c r="G1388" s="2" t="s">
        <v>74</v>
      </c>
      <c r="H1388" s="2">
        <v>7</v>
      </c>
      <c r="I1388" s="20">
        <v>135</v>
      </c>
      <c r="J1388" s="20">
        <v>49900</v>
      </c>
      <c r="K1388" s="3">
        <v>0</v>
      </c>
      <c r="L1388" s="3" t="s">
        <v>3</v>
      </c>
      <c r="M1388" s="9" t="s">
        <v>0</v>
      </c>
      <c r="N1388" s="9" t="s">
        <v>30</v>
      </c>
      <c r="O1388" s="9" t="s">
        <v>3514</v>
      </c>
      <c r="P1388" s="9" t="s">
        <v>0</v>
      </c>
      <c r="Q1388" s="30" t="s">
        <v>363</v>
      </c>
      <c r="R1388" s="9" t="s">
        <v>364</v>
      </c>
      <c r="S1388" s="9" t="s">
        <v>370</v>
      </c>
      <c r="V1388" s="10">
        <v>12.5</v>
      </c>
      <c r="W1388" s="10" t="s">
        <v>710</v>
      </c>
      <c r="X1388" s="17">
        <v>44752</v>
      </c>
      <c r="Y1388" s="17">
        <v>44950</v>
      </c>
      <c r="Z1388" s="19" t="s">
        <v>772</v>
      </c>
      <c r="AA1388" s="207">
        <v>6000</v>
      </c>
      <c r="AB1388" s="9">
        <v>61</v>
      </c>
      <c r="AC1388" s="9">
        <v>19</v>
      </c>
      <c r="AD1388" s="17">
        <v>45504</v>
      </c>
      <c r="AE1388" s="54">
        <v>100</v>
      </c>
      <c r="AF1388" s="54"/>
      <c r="AL1388" s="22"/>
      <c r="AM1388" s="22"/>
      <c r="AN1388" s="22"/>
      <c r="AO1388" s="22"/>
      <c r="AP1388" s="22"/>
      <c r="AQ1388" s="22"/>
      <c r="AR1388" s="22"/>
      <c r="AS1388" s="22"/>
      <c r="AT1388" s="22"/>
      <c r="AU1388" s="22"/>
      <c r="AV1388" s="22"/>
      <c r="AW1388" s="9"/>
      <c r="BA1388" s="22"/>
      <c r="BB1388" s="22"/>
      <c r="BD1388" s="9"/>
      <c r="CS1388" s="11">
        <f t="shared" si="93"/>
        <v>0</v>
      </c>
      <c r="CT1388" s="22">
        <f t="shared" si="94"/>
        <v>0</v>
      </c>
      <c r="CU1388" s="22">
        <f t="shared" si="96"/>
        <v>0</v>
      </c>
      <c r="CV1388" s="26">
        <f t="shared" si="95"/>
        <v>100</v>
      </c>
    </row>
    <row r="1389" spans="1:100" x14ac:dyDescent="0.2">
      <c r="A1389" s="9" t="s">
        <v>361</v>
      </c>
      <c r="B1389" s="2">
        <v>82</v>
      </c>
      <c r="C1389" s="3" t="s">
        <v>95</v>
      </c>
      <c r="D1389" s="3" t="s">
        <v>96</v>
      </c>
      <c r="E1389" s="2"/>
      <c r="F1389" s="2"/>
      <c r="G1389" s="2" t="s">
        <v>74</v>
      </c>
      <c r="H1389" s="2">
        <v>7</v>
      </c>
      <c r="I1389" s="20">
        <v>135</v>
      </c>
      <c r="J1389" s="20">
        <v>49900</v>
      </c>
      <c r="K1389" s="3">
        <v>0</v>
      </c>
      <c r="L1389" s="3" t="s">
        <v>3</v>
      </c>
      <c r="M1389" s="9" t="s">
        <v>0</v>
      </c>
      <c r="N1389" s="9" t="s">
        <v>30</v>
      </c>
      <c r="O1389" s="9" t="s">
        <v>3514</v>
      </c>
      <c r="P1389" s="9" t="s">
        <v>0</v>
      </c>
      <c r="Q1389" s="30" t="s">
        <v>363</v>
      </c>
      <c r="R1389" s="9" t="s">
        <v>364</v>
      </c>
      <c r="S1389" s="9" t="s">
        <v>370</v>
      </c>
      <c r="V1389" s="10">
        <v>12.5</v>
      </c>
      <c r="W1389" s="10" t="s">
        <v>710</v>
      </c>
      <c r="X1389" s="17">
        <v>44752</v>
      </c>
      <c r="Y1389" s="17">
        <v>44950</v>
      </c>
      <c r="Z1389" s="19" t="s">
        <v>772</v>
      </c>
      <c r="AA1389" s="207">
        <v>6000</v>
      </c>
      <c r="AB1389" s="9">
        <v>61</v>
      </c>
      <c r="AC1389" s="9">
        <v>20</v>
      </c>
      <c r="AD1389" s="17">
        <v>45535</v>
      </c>
      <c r="AE1389" s="54">
        <v>100</v>
      </c>
      <c r="AF1389" s="54"/>
      <c r="AL1389" s="22"/>
      <c r="AM1389" s="22"/>
      <c r="AN1389" s="22"/>
      <c r="AO1389" s="22"/>
      <c r="AP1389" s="22"/>
      <c r="AQ1389" s="22"/>
      <c r="AR1389" s="22"/>
      <c r="AS1389" s="22"/>
      <c r="AT1389" s="22"/>
      <c r="AU1389" s="22"/>
      <c r="AV1389" s="22"/>
      <c r="AW1389" s="9"/>
      <c r="BA1389" s="22"/>
      <c r="BB1389" s="22"/>
      <c r="BD1389" s="9"/>
      <c r="CS1389" s="11">
        <f t="shared" si="93"/>
        <v>0</v>
      </c>
      <c r="CT1389" s="22">
        <f t="shared" si="94"/>
        <v>0</v>
      </c>
      <c r="CU1389" s="22">
        <f t="shared" si="96"/>
        <v>0</v>
      </c>
      <c r="CV1389" s="26">
        <f t="shared" si="95"/>
        <v>100</v>
      </c>
    </row>
    <row r="1390" spans="1:100" x14ac:dyDescent="0.2">
      <c r="A1390" s="9" t="s">
        <v>361</v>
      </c>
      <c r="B1390" s="2">
        <v>82</v>
      </c>
      <c r="C1390" s="3" t="s">
        <v>95</v>
      </c>
      <c r="D1390" s="3" t="s">
        <v>96</v>
      </c>
      <c r="E1390" s="2"/>
      <c r="F1390" s="2"/>
      <c r="G1390" s="2" t="s">
        <v>74</v>
      </c>
      <c r="H1390" s="2">
        <v>7</v>
      </c>
      <c r="I1390" s="20">
        <v>135</v>
      </c>
      <c r="J1390" s="20">
        <v>49900</v>
      </c>
      <c r="K1390" s="3">
        <v>0</v>
      </c>
      <c r="L1390" s="3" t="s">
        <v>3</v>
      </c>
      <c r="M1390" s="9" t="s">
        <v>0</v>
      </c>
      <c r="N1390" s="9" t="s">
        <v>30</v>
      </c>
      <c r="O1390" s="9" t="s">
        <v>3514</v>
      </c>
      <c r="P1390" s="9" t="s">
        <v>0</v>
      </c>
      <c r="Q1390" s="30" t="s">
        <v>363</v>
      </c>
      <c r="R1390" s="9" t="s">
        <v>364</v>
      </c>
      <c r="S1390" s="9" t="s">
        <v>370</v>
      </c>
      <c r="V1390" s="10">
        <v>12.5</v>
      </c>
      <c r="W1390" s="10" t="s">
        <v>710</v>
      </c>
      <c r="X1390" s="17">
        <v>44752</v>
      </c>
      <c r="Y1390" s="17">
        <v>44950</v>
      </c>
      <c r="Z1390" s="19" t="s">
        <v>772</v>
      </c>
      <c r="AA1390" s="207">
        <v>6000</v>
      </c>
      <c r="AB1390" s="9">
        <v>61</v>
      </c>
      <c r="AC1390" s="9">
        <v>21</v>
      </c>
      <c r="AD1390" s="17">
        <v>45565</v>
      </c>
      <c r="AE1390" s="54">
        <v>100</v>
      </c>
      <c r="AF1390" s="54"/>
      <c r="AL1390" s="22"/>
      <c r="AM1390" s="22"/>
      <c r="AN1390" s="22"/>
      <c r="AO1390" s="22"/>
      <c r="AP1390" s="22"/>
      <c r="AQ1390" s="22"/>
      <c r="AR1390" s="22"/>
      <c r="AS1390" s="22"/>
      <c r="AT1390" s="22"/>
      <c r="AU1390" s="22"/>
      <c r="AV1390" s="22"/>
      <c r="AW1390" s="9"/>
      <c r="BA1390" s="22"/>
      <c r="BB1390" s="22"/>
      <c r="BD1390" s="9"/>
      <c r="CS1390" s="11">
        <f t="shared" si="93"/>
        <v>0</v>
      </c>
      <c r="CT1390" s="22">
        <f t="shared" si="94"/>
        <v>0</v>
      </c>
      <c r="CU1390" s="22">
        <f t="shared" si="96"/>
        <v>0</v>
      </c>
      <c r="CV1390" s="26">
        <f t="shared" si="95"/>
        <v>100</v>
      </c>
    </row>
    <row r="1391" spans="1:100" x14ac:dyDescent="0.2">
      <c r="A1391" s="9" t="s">
        <v>361</v>
      </c>
      <c r="B1391" s="2">
        <v>82</v>
      </c>
      <c r="C1391" s="3" t="s">
        <v>95</v>
      </c>
      <c r="D1391" s="3" t="s">
        <v>96</v>
      </c>
      <c r="E1391" s="2"/>
      <c r="F1391" s="2"/>
      <c r="G1391" s="2" t="s">
        <v>74</v>
      </c>
      <c r="H1391" s="2">
        <v>7</v>
      </c>
      <c r="I1391" s="20">
        <v>135</v>
      </c>
      <c r="J1391" s="20">
        <v>49900</v>
      </c>
      <c r="K1391" s="3">
        <v>0</v>
      </c>
      <c r="L1391" s="3" t="s">
        <v>3</v>
      </c>
      <c r="M1391" s="9" t="s">
        <v>0</v>
      </c>
      <c r="N1391" s="9" t="s">
        <v>30</v>
      </c>
      <c r="O1391" s="9" t="s">
        <v>3514</v>
      </c>
      <c r="P1391" s="9" t="s">
        <v>0</v>
      </c>
      <c r="Q1391" s="30" t="s">
        <v>363</v>
      </c>
      <c r="R1391" s="9" t="s">
        <v>364</v>
      </c>
      <c r="S1391" s="9" t="s">
        <v>370</v>
      </c>
      <c r="V1391" s="10">
        <v>12.5</v>
      </c>
      <c r="W1391" s="10" t="s">
        <v>710</v>
      </c>
      <c r="X1391" s="17">
        <v>44752</v>
      </c>
      <c r="Y1391" s="17">
        <v>44950</v>
      </c>
      <c r="Z1391" s="19" t="s">
        <v>772</v>
      </c>
      <c r="AA1391" s="207">
        <v>6000</v>
      </c>
      <c r="AB1391" s="9">
        <v>61</v>
      </c>
      <c r="AC1391" s="9">
        <v>22</v>
      </c>
      <c r="AD1391" s="17">
        <v>45596</v>
      </c>
      <c r="AE1391" s="54">
        <v>100</v>
      </c>
      <c r="AF1391" s="54"/>
      <c r="AL1391" s="22"/>
      <c r="AM1391" s="22"/>
      <c r="AN1391" s="22"/>
      <c r="AO1391" s="22"/>
      <c r="AP1391" s="22"/>
      <c r="AQ1391" s="22"/>
      <c r="AR1391" s="22"/>
      <c r="AS1391" s="22"/>
      <c r="AT1391" s="22"/>
      <c r="AU1391" s="22"/>
      <c r="AV1391" s="22"/>
      <c r="AW1391" s="9"/>
      <c r="BA1391" s="22"/>
      <c r="BB1391" s="22"/>
      <c r="BD1391" s="9"/>
      <c r="CS1391" s="11">
        <f t="shared" si="93"/>
        <v>0</v>
      </c>
      <c r="CT1391" s="22">
        <f t="shared" si="94"/>
        <v>0</v>
      </c>
      <c r="CU1391" s="22">
        <f t="shared" si="96"/>
        <v>0</v>
      </c>
      <c r="CV1391" s="26">
        <f t="shared" si="95"/>
        <v>100</v>
      </c>
    </row>
    <row r="1392" spans="1:100" x14ac:dyDescent="0.2">
      <c r="A1392" s="9" t="s">
        <v>361</v>
      </c>
      <c r="B1392" s="2">
        <v>82</v>
      </c>
      <c r="C1392" s="3" t="s">
        <v>95</v>
      </c>
      <c r="D1392" s="3" t="s">
        <v>96</v>
      </c>
      <c r="E1392" s="2"/>
      <c r="F1392" s="2"/>
      <c r="G1392" s="2" t="s">
        <v>74</v>
      </c>
      <c r="H1392" s="2">
        <v>7</v>
      </c>
      <c r="I1392" s="20">
        <v>135</v>
      </c>
      <c r="J1392" s="20">
        <v>49900</v>
      </c>
      <c r="K1392" s="3">
        <v>0</v>
      </c>
      <c r="L1392" s="3" t="s">
        <v>3</v>
      </c>
      <c r="M1392" s="9" t="s">
        <v>0</v>
      </c>
      <c r="N1392" s="9" t="s">
        <v>30</v>
      </c>
      <c r="O1392" s="9" t="s">
        <v>3514</v>
      </c>
      <c r="P1392" s="9" t="s">
        <v>0</v>
      </c>
      <c r="Q1392" s="30" t="s">
        <v>363</v>
      </c>
      <c r="R1392" s="9" t="s">
        <v>364</v>
      </c>
      <c r="S1392" s="9" t="s">
        <v>370</v>
      </c>
      <c r="V1392" s="10">
        <v>12.5</v>
      </c>
      <c r="W1392" s="10" t="s">
        <v>710</v>
      </c>
      <c r="X1392" s="17">
        <v>44752</v>
      </c>
      <c r="Y1392" s="17">
        <v>44950</v>
      </c>
      <c r="Z1392" s="19" t="s">
        <v>772</v>
      </c>
      <c r="AA1392" s="207">
        <v>6000</v>
      </c>
      <c r="AB1392" s="9">
        <v>61</v>
      </c>
      <c r="AC1392" s="9">
        <v>23</v>
      </c>
      <c r="AD1392" s="17">
        <v>45626</v>
      </c>
      <c r="AE1392" s="54">
        <v>100</v>
      </c>
      <c r="AF1392" s="54"/>
      <c r="AL1392" s="22"/>
      <c r="AM1392" s="22"/>
      <c r="AN1392" s="22"/>
      <c r="AO1392" s="22"/>
      <c r="AP1392" s="22"/>
      <c r="AQ1392" s="22"/>
      <c r="AR1392" s="22"/>
      <c r="AS1392" s="22"/>
      <c r="AT1392" s="22"/>
      <c r="AU1392" s="22"/>
      <c r="AV1392" s="22"/>
      <c r="AW1392" s="9"/>
      <c r="BA1392" s="22"/>
      <c r="BB1392" s="22"/>
      <c r="BD1392" s="9"/>
      <c r="CS1392" s="11">
        <f t="shared" si="93"/>
        <v>0</v>
      </c>
      <c r="CT1392" s="22">
        <f t="shared" si="94"/>
        <v>0</v>
      </c>
      <c r="CU1392" s="22">
        <f t="shared" si="96"/>
        <v>0</v>
      </c>
      <c r="CV1392" s="26">
        <f t="shared" si="95"/>
        <v>100</v>
      </c>
    </row>
    <row r="1393" spans="1:100" ht="15" customHeight="1" x14ac:dyDescent="0.2">
      <c r="A1393" s="9" t="s">
        <v>361</v>
      </c>
      <c r="B1393" s="2">
        <v>82</v>
      </c>
      <c r="C1393" s="3" t="s">
        <v>95</v>
      </c>
      <c r="D1393" s="3" t="s">
        <v>96</v>
      </c>
      <c r="E1393" s="2"/>
      <c r="F1393" s="2"/>
      <c r="G1393" s="2" t="s">
        <v>74</v>
      </c>
      <c r="H1393" s="2">
        <v>7</v>
      </c>
      <c r="I1393" s="20">
        <v>135</v>
      </c>
      <c r="J1393" s="20">
        <v>49900</v>
      </c>
      <c r="K1393" s="3">
        <v>0</v>
      </c>
      <c r="L1393" s="3" t="s">
        <v>3</v>
      </c>
      <c r="M1393" s="9" t="s">
        <v>0</v>
      </c>
      <c r="N1393" s="9" t="s">
        <v>30</v>
      </c>
      <c r="O1393" s="9" t="s">
        <v>3514</v>
      </c>
      <c r="P1393" s="9" t="s">
        <v>0</v>
      </c>
      <c r="Q1393" s="30" t="s">
        <v>363</v>
      </c>
      <c r="R1393" s="9" t="s">
        <v>364</v>
      </c>
      <c r="S1393" s="9" t="s">
        <v>370</v>
      </c>
      <c r="V1393" s="10">
        <v>12.5</v>
      </c>
      <c r="W1393" s="10" t="s">
        <v>710</v>
      </c>
      <c r="X1393" s="17">
        <v>44752</v>
      </c>
      <c r="Y1393" s="17">
        <v>44950</v>
      </c>
      <c r="Z1393" s="19" t="s">
        <v>772</v>
      </c>
      <c r="AA1393" s="207">
        <v>6000</v>
      </c>
      <c r="AB1393" s="9">
        <v>61</v>
      </c>
      <c r="AC1393" s="9">
        <v>24</v>
      </c>
      <c r="AD1393" s="17">
        <v>45657</v>
      </c>
      <c r="AE1393" s="54">
        <v>100</v>
      </c>
      <c r="AF1393" s="54"/>
      <c r="AL1393" s="22"/>
      <c r="AM1393" s="22"/>
      <c r="AN1393" s="22"/>
      <c r="AO1393" s="22"/>
      <c r="AP1393" s="22"/>
      <c r="AQ1393" s="22"/>
      <c r="AR1393" s="22"/>
      <c r="AS1393" s="22"/>
      <c r="AT1393" s="22"/>
      <c r="AU1393" s="22"/>
      <c r="AV1393" s="22"/>
      <c r="AW1393" s="9"/>
      <c r="BA1393" s="22"/>
      <c r="BB1393" s="22"/>
      <c r="BD1393" s="9"/>
      <c r="CS1393" s="11">
        <f t="shared" si="93"/>
        <v>0</v>
      </c>
      <c r="CT1393" s="22">
        <f t="shared" si="94"/>
        <v>0</v>
      </c>
      <c r="CU1393" s="22">
        <f t="shared" si="96"/>
        <v>0</v>
      </c>
      <c r="CV1393" s="26">
        <f t="shared" si="95"/>
        <v>100</v>
      </c>
    </row>
    <row r="1394" spans="1:100" ht="15" customHeight="1" x14ac:dyDescent="0.2">
      <c r="A1394" s="9" t="s">
        <v>361</v>
      </c>
      <c r="B1394" s="2">
        <v>82</v>
      </c>
      <c r="C1394" s="3" t="s">
        <v>95</v>
      </c>
      <c r="D1394" s="3" t="s">
        <v>96</v>
      </c>
      <c r="E1394" s="2"/>
      <c r="F1394" s="2"/>
      <c r="G1394" s="2" t="s">
        <v>74</v>
      </c>
      <c r="H1394" s="2">
        <v>7</v>
      </c>
      <c r="I1394" s="20">
        <v>135</v>
      </c>
      <c r="J1394" s="20">
        <v>49900</v>
      </c>
      <c r="K1394" s="3">
        <v>0</v>
      </c>
      <c r="L1394" s="3" t="s">
        <v>3</v>
      </c>
      <c r="M1394" s="9" t="s">
        <v>0</v>
      </c>
      <c r="N1394" s="9" t="s">
        <v>30</v>
      </c>
      <c r="O1394" s="9" t="s">
        <v>3514</v>
      </c>
      <c r="P1394" s="9" t="s">
        <v>0</v>
      </c>
      <c r="Q1394" s="30" t="s">
        <v>363</v>
      </c>
      <c r="R1394" s="9" t="s">
        <v>364</v>
      </c>
      <c r="S1394" s="9" t="s">
        <v>370</v>
      </c>
      <c r="V1394" s="10">
        <v>12.5</v>
      </c>
      <c r="W1394" s="10" t="s">
        <v>710</v>
      </c>
      <c r="X1394" s="17">
        <v>44752</v>
      </c>
      <c r="Y1394" s="17">
        <v>44950</v>
      </c>
      <c r="Z1394" s="19" t="s">
        <v>772</v>
      </c>
      <c r="AA1394" s="207">
        <v>6000</v>
      </c>
      <c r="AB1394" s="9">
        <v>61</v>
      </c>
      <c r="AC1394" s="9">
        <v>25</v>
      </c>
      <c r="AD1394" s="17">
        <v>45688</v>
      </c>
      <c r="AE1394" s="54">
        <v>100</v>
      </c>
      <c r="AF1394" s="54"/>
      <c r="AL1394" s="22"/>
      <c r="AM1394" s="22"/>
      <c r="AN1394" s="22"/>
      <c r="AO1394" s="22"/>
      <c r="AP1394" s="22"/>
      <c r="AQ1394" s="22"/>
      <c r="AR1394" s="22"/>
      <c r="AS1394" s="22"/>
      <c r="AT1394" s="22"/>
      <c r="AU1394" s="22"/>
      <c r="AV1394" s="22"/>
      <c r="AW1394" s="9"/>
      <c r="BA1394" s="22"/>
      <c r="BB1394" s="22"/>
      <c r="BD1394" s="9"/>
      <c r="CS1394" s="11">
        <f t="shared" si="93"/>
        <v>0</v>
      </c>
      <c r="CT1394" s="22">
        <f t="shared" si="94"/>
        <v>0</v>
      </c>
      <c r="CU1394" s="22">
        <f t="shared" si="96"/>
        <v>0</v>
      </c>
      <c r="CV1394" s="26">
        <f t="shared" si="95"/>
        <v>100</v>
      </c>
    </row>
    <row r="1395" spans="1:100" ht="15" customHeight="1" x14ac:dyDescent="0.2">
      <c r="A1395" s="9" t="s">
        <v>361</v>
      </c>
      <c r="B1395" s="2">
        <v>82</v>
      </c>
      <c r="C1395" s="3" t="s">
        <v>95</v>
      </c>
      <c r="D1395" s="3" t="s">
        <v>96</v>
      </c>
      <c r="E1395" s="2"/>
      <c r="F1395" s="2"/>
      <c r="G1395" s="2" t="s">
        <v>74</v>
      </c>
      <c r="H1395" s="2">
        <v>7</v>
      </c>
      <c r="I1395" s="20">
        <v>135</v>
      </c>
      <c r="J1395" s="20">
        <v>49900</v>
      </c>
      <c r="K1395" s="3">
        <v>0</v>
      </c>
      <c r="L1395" s="3" t="s">
        <v>3</v>
      </c>
      <c r="M1395" s="9" t="s">
        <v>0</v>
      </c>
      <c r="N1395" s="9" t="s">
        <v>30</v>
      </c>
      <c r="O1395" s="9" t="s">
        <v>3514</v>
      </c>
      <c r="P1395" s="9" t="s">
        <v>0</v>
      </c>
      <c r="Q1395" s="30" t="s">
        <v>363</v>
      </c>
      <c r="R1395" s="9" t="s">
        <v>364</v>
      </c>
      <c r="S1395" s="9" t="s">
        <v>370</v>
      </c>
      <c r="V1395" s="10">
        <v>12.5</v>
      </c>
      <c r="W1395" s="10" t="s">
        <v>710</v>
      </c>
      <c r="X1395" s="17">
        <v>44752</v>
      </c>
      <c r="Y1395" s="17">
        <v>44950</v>
      </c>
      <c r="Z1395" s="19" t="s">
        <v>772</v>
      </c>
      <c r="AA1395" s="207">
        <v>6000</v>
      </c>
      <c r="AB1395" s="9">
        <v>61</v>
      </c>
      <c r="AC1395" s="9">
        <v>26</v>
      </c>
      <c r="AD1395" s="17">
        <v>45716</v>
      </c>
      <c r="AE1395" s="54">
        <v>100</v>
      </c>
      <c r="AF1395" s="54"/>
      <c r="AL1395" s="22"/>
      <c r="AM1395" s="22"/>
      <c r="AN1395" s="22"/>
      <c r="AO1395" s="22"/>
      <c r="AP1395" s="22"/>
      <c r="AQ1395" s="22"/>
      <c r="AR1395" s="22"/>
      <c r="AS1395" s="22"/>
      <c r="AT1395" s="22"/>
      <c r="AU1395" s="22"/>
      <c r="AV1395" s="22"/>
      <c r="AW1395" s="9"/>
      <c r="BA1395" s="22"/>
      <c r="BB1395" s="22"/>
      <c r="BD1395" s="9"/>
      <c r="CS1395" s="11">
        <f t="shared" si="93"/>
        <v>0</v>
      </c>
      <c r="CT1395" s="22">
        <f t="shared" si="94"/>
        <v>0</v>
      </c>
      <c r="CU1395" s="22">
        <f t="shared" si="96"/>
        <v>0</v>
      </c>
      <c r="CV1395" s="26">
        <f t="shared" si="95"/>
        <v>100</v>
      </c>
    </row>
    <row r="1396" spans="1:100" ht="15" customHeight="1" x14ac:dyDescent="0.2">
      <c r="A1396" s="9" t="s">
        <v>361</v>
      </c>
      <c r="B1396" s="2">
        <v>82</v>
      </c>
      <c r="C1396" s="3" t="s">
        <v>95</v>
      </c>
      <c r="D1396" s="3" t="s">
        <v>96</v>
      </c>
      <c r="E1396" s="2"/>
      <c r="F1396" s="2"/>
      <c r="G1396" s="2" t="s">
        <v>74</v>
      </c>
      <c r="H1396" s="2">
        <v>7</v>
      </c>
      <c r="I1396" s="20">
        <v>135</v>
      </c>
      <c r="J1396" s="20">
        <v>49900</v>
      </c>
      <c r="K1396" s="3">
        <v>0</v>
      </c>
      <c r="L1396" s="3" t="s">
        <v>3</v>
      </c>
      <c r="M1396" s="9" t="s">
        <v>0</v>
      </c>
      <c r="N1396" s="9" t="s">
        <v>30</v>
      </c>
      <c r="O1396" s="9" t="s">
        <v>3514</v>
      </c>
      <c r="P1396" s="9" t="s">
        <v>0</v>
      </c>
      <c r="Q1396" s="30" t="s">
        <v>363</v>
      </c>
      <c r="R1396" s="9" t="s">
        <v>364</v>
      </c>
      <c r="S1396" s="9" t="s">
        <v>370</v>
      </c>
      <c r="V1396" s="10">
        <v>12.5</v>
      </c>
      <c r="W1396" s="10" t="s">
        <v>710</v>
      </c>
      <c r="X1396" s="17">
        <v>44752</v>
      </c>
      <c r="Y1396" s="17">
        <v>44950</v>
      </c>
      <c r="Z1396" s="19" t="s">
        <v>772</v>
      </c>
      <c r="AA1396" s="207">
        <v>6000</v>
      </c>
      <c r="AB1396" s="9">
        <v>61</v>
      </c>
      <c r="AC1396" s="9">
        <v>27</v>
      </c>
      <c r="AD1396" s="17">
        <v>45747</v>
      </c>
      <c r="AE1396" s="54">
        <v>100</v>
      </c>
      <c r="AF1396" s="54"/>
      <c r="AL1396" s="22"/>
      <c r="AM1396" s="22"/>
      <c r="AN1396" s="22"/>
      <c r="AO1396" s="22"/>
      <c r="AP1396" s="22"/>
      <c r="AQ1396" s="22"/>
      <c r="AR1396" s="22"/>
      <c r="AS1396" s="22"/>
      <c r="AT1396" s="22"/>
      <c r="AU1396" s="22"/>
      <c r="AV1396" s="22"/>
      <c r="AW1396" s="9"/>
      <c r="BA1396" s="22"/>
      <c r="BB1396" s="22"/>
      <c r="BD1396" s="9"/>
      <c r="CS1396" s="11">
        <f t="shared" si="93"/>
        <v>0</v>
      </c>
      <c r="CT1396" s="22">
        <f t="shared" si="94"/>
        <v>0</v>
      </c>
      <c r="CU1396" s="22">
        <f t="shared" si="96"/>
        <v>0</v>
      </c>
      <c r="CV1396" s="26">
        <f t="shared" si="95"/>
        <v>100</v>
      </c>
    </row>
    <row r="1397" spans="1:100" ht="15" customHeight="1" x14ac:dyDescent="0.2">
      <c r="A1397" s="9" t="s">
        <v>361</v>
      </c>
      <c r="B1397" s="2">
        <v>82</v>
      </c>
      <c r="C1397" s="3" t="s">
        <v>95</v>
      </c>
      <c r="D1397" s="3" t="s">
        <v>96</v>
      </c>
      <c r="E1397" s="2"/>
      <c r="F1397" s="2"/>
      <c r="G1397" s="2" t="s">
        <v>74</v>
      </c>
      <c r="H1397" s="2">
        <v>7</v>
      </c>
      <c r="I1397" s="20">
        <v>135</v>
      </c>
      <c r="J1397" s="20">
        <v>49900</v>
      </c>
      <c r="K1397" s="3">
        <v>0</v>
      </c>
      <c r="L1397" s="3" t="s">
        <v>3</v>
      </c>
      <c r="M1397" s="9" t="s">
        <v>0</v>
      </c>
      <c r="N1397" s="9" t="s">
        <v>30</v>
      </c>
      <c r="O1397" s="9" t="s">
        <v>3514</v>
      </c>
      <c r="P1397" s="9" t="s">
        <v>0</v>
      </c>
      <c r="Q1397" s="30" t="s">
        <v>363</v>
      </c>
      <c r="R1397" s="9" t="s">
        <v>364</v>
      </c>
      <c r="S1397" s="9" t="s">
        <v>370</v>
      </c>
      <c r="V1397" s="10">
        <v>12.5</v>
      </c>
      <c r="W1397" s="10" t="s">
        <v>710</v>
      </c>
      <c r="X1397" s="17">
        <v>44752</v>
      </c>
      <c r="Y1397" s="17">
        <v>44950</v>
      </c>
      <c r="Z1397" s="19" t="s">
        <v>772</v>
      </c>
      <c r="AA1397" s="207">
        <v>6000</v>
      </c>
      <c r="AB1397" s="9">
        <v>61</v>
      </c>
      <c r="AC1397" s="9">
        <v>28</v>
      </c>
      <c r="AD1397" s="17">
        <v>45777</v>
      </c>
      <c r="AE1397" s="54">
        <v>100</v>
      </c>
      <c r="AF1397" s="54"/>
      <c r="AL1397" s="22"/>
      <c r="AM1397" s="22"/>
      <c r="AN1397" s="22"/>
      <c r="AO1397" s="22"/>
      <c r="AP1397" s="22"/>
      <c r="AQ1397" s="22"/>
      <c r="AR1397" s="22"/>
      <c r="AS1397" s="22"/>
      <c r="AT1397" s="22"/>
      <c r="AU1397" s="22"/>
      <c r="AV1397" s="22"/>
      <c r="AW1397" s="9"/>
      <c r="BA1397" s="22"/>
      <c r="BB1397" s="22"/>
      <c r="BD1397" s="9"/>
      <c r="CS1397" s="11">
        <f t="shared" si="93"/>
        <v>0</v>
      </c>
      <c r="CT1397" s="22">
        <f t="shared" si="94"/>
        <v>0</v>
      </c>
      <c r="CU1397" s="22">
        <f t="shared" si="96"/>
        <v>0</v>
      </c>
      <c r="CV1397" s="26">
        <f t="shared" si="95"/>
        <v>100</v>
      </c>
    </row>
    <row r="1398" spans="1:100" x14ac:dyDescent="0.2">
      <c r="A1398" s="9" t="s">
        <v>361</v>
      </c>
      <c r="B1398" s="2">
        <v>82</v>
      </c>
      <c r="C1398" s="3" t="s">
        <v>95</v>
      </c>
      <c r="D1398" s="3" t="s">
        <v>96</v>
      </c>
      <c r="E1398" s="2"/>
      <c r="F1398" s="2"/>
      <c r="G1398" s="2" t="s">
        <v>74</v>
      </c>
      <c r="H1398" s="2">
        <v>7</v>
      </c>
      <c r="I1398" s="20">
        <v>135</v>
      </c>
      <c r="J1398" s="20">
        <v>49900</v>
      </c>
      <c r="K1398" s="3">
        <v>0</v>
      </c>
      <c r="L1398" s="3" t="s">
        <v>3</v>
      </c>
      <c r="M1398" s="9" t="s">
        <v>0</v>
      </c>
      <c r="N1398" s="9" t="s">
        <v>30</v>
      </c>
      <c r="O1398" s="9" t="s">
        <v>3514</v>
      </c>
      <c r="P1398" s="9" t="s">
        <v>0</v>
      </c>
      <c r="Q1398" s="30" t="s">
        <v>363</v>
      </c>
      <c r="R1398" s="9" t="s">
        <v>364</v>
      </c>
      <c r="S1398" s="9" t="s">
        <v>370</v>
      </c>
      <c r="V1398" s="10">
        <v>12.5</v>
      </c>
      <c r="W1398" s="10" t="s">
        <v>710</v>
      </c>
      <c r="X1398" s="17">
        <v>44752</v>
      </c>
      <c r="Y1398" s="17">
        <v>44950</v>
      </c>
      <c r="Z1398" s="19" t="s">
        <v>772</v>
      </c>
      <c r="AA1398" s="207">
        <v>6000</v>
      </c>
      <c r="AB1398" s="9">
        <v>61</v>
      </c>
      <c r="AC1398" s="9">
        <v>29</v>
      </c>
      <c r="AD1398" s="17">
        <v>45808</v>
      </c>
      <c r="AE1398" s="54">
        <v>100</v>
      </c>
      <c r="AF1398" s="54"/>
      <c r="AL1398" s="22"/>
      <c r="AM1398" s="22"/>
      <c r="AN1398" s="22"/>
      <c r="AO1398" s="22"/>
      <c r="AP1398" s="22"/>
      <c r="AQ1398" s="22"/>
      <c r="AR1398" s="22"/>
      <c r="AS1398" s="22"/>
      <c r="AT1398" s="22"/>
      <c r="AU1398" s="22"/>
      <c r="AV1398" s="22"/>
      <c r="AW1398" s="9"/>
      <c r="BA1398" s="22"/>
      <c r="BB1398" s="22"/>
      <c r="BD1398" s="9"/>
      <c r="CS1398" s="11">
        <f t="shared" si="93"/>
        <v>0</v>
      </c>
      <c r="CT1398" s="22">
        <f t="shared" si="94"/>
        <v>0</v>
      </c>
      <c r="CU1398" s="22">
        <f t="shared" si="96"/>
        <v>0</v>
      </c>
      <c r="CV1398" s="26">
        <f t="shared" si="95"/>
        <v>100</v>
      </c>
    </row>
    <row r="1399" spans="1:100" x14ac:dyDescent="0.2">
      <c r="A1399" s="9" t="s">
        <v>361</v>
      </c>
      <c r="B1399" s="2">
        <v>82</v>
      </c>
      <c r="C1399" s="3" t="s">
        <v>95</v>
      </c>
      <c r="D1399" s="3" t="s">
        <v>96</v>
      </c>
      <c r="E1399" s="2"/>
      <c r="F1399" s="2"/>
      <c r="G1399" s="2" t="s">
        <v>74</v>
      </c>
      <c r="H1399" s="2">
        <v>7</v>
      </c>
      <c r="I1399" s="20">
        <v>135</v>
      </c>
      <c r="J1399" s="20">
        <v>49900</v>
      </c>
      <c r="K1399" s="3">
        <v>0</v>
      </c>
      <c r="L1399" s="3" t="s">
        <v>3</v>
      </c>
      <c r="M1399" s="9" t="s">
        <v>0</v>
      </c>
      <c r="N1399" s="9" t="s">
        <v>30</v>
      </c>
      <c r="O1399" s="9" t="s">
        <v>3514</v>
      </c>
      <c r="P1399" s="9" t="s">
        <v>0</v>
      </c>
      <c r="Q1399" s="30" t="s">
        <v>363</v>
      </c>
      <c r="R1399" s="9" t="s">
        <v>364</v>
      </c>
      <c r="S1399" s="9" t="s">
        <v>370</v>
      </c>
      <c r="V1399" s="10">
        <v>12.5</v>
      </c>
      <c r="W1399" s="10" t="s">
        <v>710</v>
      </c>
      <c r="X1399" s="17">
        <v>44752</v>
      </c>
      <c r="Y1399" s="17">
        <v>44950</v>
      </c>
      <c r="Z1399" s="19" t="s">
        <v>772</v>
      </c>
      <c r="AA1399" s="207">
        <v>6000</v>
      </c>
      <c r="AB1399" s="9">
        <v>61</v>
      </c>
      <c r="AC1399" s="9">
        <v>30</v>
      </c>
      <c r="AD1399" s="17">
        <v>45838</v>
      </c>
      <c r="AE1399" s="54">
        <v>100</v>
      </c>
      <c r="AF1399" s="54"/>
      <c r="AL1399" s="22"/>
      <c r="AM1399" s="22"/>
      <c r="AN1399" s="22"/>
      <c r="AO1399" s="22"/>
      <c r="AP1399" s="22"/>
      <c r="AQ1399" s="22"/>
      <c r="AR1399" s="22"/>
      <c r="AS1399" s="22"/>
      <c r="AT1399" s="22"/>
      <c r="AU1399" s="22"/>
      <c r="AV1399" s="22"/>
      <c r="AW1399" s="9"/>
      <c r="BA1399" s="22"/>
      <c r="BB1399" s="22"/>
      <c r="BD1399" s="9"/>
      <c r="CS1399" s="11">
        <f t="shared" si="93"/>
        <v>0</v>
      </c>
      <c r="CT1399" s="22">
        <f t="shared" si="94"/>
        <v>0</v>
      </c>
      <c r="CU1399" s="22">
        <f t="shared" si="96"/>
        <v>0</v>
      </c>
      <c r="CV1399" s="26">
        <f t="shared" si="95"/>
        <v>100</v>
      </c>
    </row>
    <row r="1400" spans="1:100" x14ac:dyDescent="0.2">
      <c r="A1400" s="9" t="s">
        <v>361</v>
      </c>
      <c r="B1400" s="2">
        <v>82</v>
      </c>
      <c r="C1400" s="3" t="s">
        <v>95</v>
      </c>
      <c r="D1400" s="3" t="s">
        <v>96</v>
      </c>
      <c r="E1400" s="2"/>
      <c r="F1400" s="2"/>
      <c r="G1400" s="2" t="s">
        <v>74</v>
      </c>
      <c r="H1400" s="2">
        <v>7</v>
      </c>
      <c r="I1400" s="20">
        <v>135</v>
      </c>
      <c r="J1400" s="20">
        <v>49900</v>
      </c>
      <c r="K1400" s="3">
        <v>0</v>
      </c>
      <c r="L1400" s="3" t="s">
        <v>3</v>
      </c>
      <c r="M1400" s="9" t="s">
        <v>0</v>
      </c>
      <c r="N1400" s="9" t="s">
        <v>30</v>
      </c>
      <c r="O1400" s="9" t="s">
        <v>3514</v>
      </c>
      <c r="P1400" s="9" t="s">
        <v>0</v>
      </c>
      <c r="Q1400" s="30" t="s">
        <v>363</v>
      </c>
      <c r="R1400" s="9" t="s">
        <v>364</v>
      </c>
      <c r="S1400" s="9" t="s">
        <v>370</v>
      </c>
      <c r="V1400" s="10">
        <v>12.5</v>
      </c>
      <c r="W1400" s="10" t="s">
        <v>710</v>
      </c>
      <c r="X1400" s="17">
        <v>44752</v>
      </c>
      <c r="Y1400" s="17">
        <v>44950</v>
      </c>
      <c r="Z1400" s="19" t="s">
        <v>772</v>
      </c>
      <c r="AA1400" s="207">
        <v>6000</v>
      </c>
      <c r="AB1400" s="9">
        <v>61</v>
      </c>
      <c r="AC1400" s="9">
        <v>31</v>
      </c>
      <c r="AD1400" s="17">
        <v>45869</v>
      </c>
      <c r="AE1400" s="54">
        <v>100</v>
      </c>
      <c r="AF1400" s="54"/>
      <c r="AL1400" s="22"/>
      <c r="AM1400" s="22"/>
      <c r="AN1400" s="22"/>
      <c r="AO1400" s="22"/>
      <c r="AP1400" s="22"/>
      <c r="AQ1400" s="22"/>
      <c r="AR1400" s="22"/>
      <c r="AS1400" s="22"/>
      <c r="AT1400" s="22"/>
      <c r="AU1400" s="22"/>
      <c r="AV1400" s="22"/>
      <c r="AW1400" s="9"/>
      <c r="BA1400" s="22"/>
      <c r="BB1400" s="22"/>
      <c r="BD1400" s="9"/>
      <c r="CS1400" s="11">
        <f t="shared" si="93"/>
        <v>0</v>
      </c>
      <c r="CT1400" s="22">
        <f t="shared" si="94"/>
        <v>0</v>
      </c>
      <c r="CU1400" s="22">
        <f t="shared" si="96"/>
        <v>0</v>
      </c>
      <c r="CV1400" s="26">
        <f t="shared" si="95"/>
        <v>100</v>
      </c>
    </row>
    <row r="1401" spans="1:100" x14ac:dyDescent="0.2">
      <c r="A1401" s="9" t="s">
        <v>361</v>
      </c>
      <c r="B1401" s="2">
        <v>82</v>
      </c>
      <c r="C1401" s="3" t="s">
        <v>95</v>
      </c>
      <c r="D1401" s="3" t="s">
        <v>96</v>
      </c>
      <c r="E1401" s="2"/>
      <c r="F1401" s="2"/>
      <c r="G1401" s="2" t="s">
        <v>74</v>
      </c>
      <c r="H1401" s="2">
        <v>7</v>
      </c>
      <c r="I1401" s="20">
        <v>135</v>
      </c>
      <c r="J1401" s="20">
        <v>49900</v>
      </c>
      <c r="K1401" s="3">
        <v>0</v>
      </c>
      <c r="L1401" s="3" t="s">
        <v>3</v>
      </c>
      <c r="M1401" s="9" t="s">
        <v>0</v>
      </c>
      <c r="N1401" s="9" t="s">
        <v>30</v>
      </c>
      <c r="O1401" s="9" t="s">
        <v>3514</v>
      </c>
      <c r="P1401" s="9" t="s">
        <v>0</v>
      </c>
      <c r="Q1401" s="30" t="s">
        <v>363</v>
      </c>
      <c r="R1401" s="9" t="s">
        <v>364</v>
      </c>
      <c r="S1401" s="9" t="s">
        <v>370</v>
      </c>
      <c r="V1401" s="10">
        <v>12.5</v>
      </c>
      <c r="W1401" s="10" t="s">
        <v>710</v>
      </c>
      <c r="X1401" s="17">
        <v>44752</v>
      </c>
      <c r="Y1401" s="17">
        <v>44950</v>
      </c>
      <c r="Z1401" s="19" t="s">
        <v>772</v>
      </c>
      <c r="AA1401" s="207">
        <v>6000</v>
      </c>
      <c r="AB1401" s="9">
        <v>61</v>
      </c>
      <c r="AC1401" s="9">
        <v>32</v>
      </c>
      <c r="AD1401" s="17">
        <v>45900</v>
      </c>
      <c r="AE1401" s="54">
        <v>100</v>
      </c>
      <c r="AF1401" s="54"/>
      <c r="AL1401" s="22"/>
      <c r="AM1401" s="22"/>
      <c r="AN1401" s="22"/>
      <c r="AO1401" s="22"/>
      <c r="AP1401" s="22"/>
      <c r="AQ1401" s="22"/>
      <c r="AR1401" s="22"/>
      <c r="AS1401" s="22"/>
      <c r="AT1401" s="22"/>
      <c r="AU1401" s="22"/>
      <c r="AV1401" s="22"/>
      <c r="AW1401" s="9"/>
      <c r="BA1401" s="22"/>
      <c r="BB1401" s="22"/>
      <c r="BD1401" s="9"/>
      <c r="CS1401" s="11">
        <f t="shared" ref="CS1401:CS1430" si="97">+AL1401+AT1401</f>
        <v>0</v>
      </c>
      <c r="CT1401" s="22">
        <f t="shared" ref="CT1401:CT1430" si="98">+BA1401+BG1401+BM1401+BS1401+BY1401+CE1401+CK1401+CQ1401</f>
        <v>0</v>
      </c>
      <c r="CU1401" s="22">
        <f t="shared" si="96"/>
        <v>0</v>
      </c>
      <c r="CV1401" s="26">
        <f t="shared" ref="CV1401:CV1464" si="99">+AE1401-AL1401-AT1401</f>
        <v>100</v>
      </c>
    </row>
    <row r="1402" spans="1:100" x14ac:dyDescent="0.2">
      <c r="A1402" s="9" t="s">
        <v>361</v>
      </c>
      <c r="B1402" s="2">
        <v>82</v>
      </c>
      <c r="C1402" s="3" t="s">
        <v>95</v>
      </c>
      <c r="D1402" s="3" t="s">
        <v>96</v>
      </c>
      <c r="E1402" s="2"/>
      <c r="F1402" s="2"/>
      <c r="G1402" s="2" t="s">
        <v>74</v>
      </c>
      <c r="H1402" s="2">
        <v>7</v>
      </c>
      <c r="I1402" s="20">
        <v>135</v>
      </c>
      <c r="J1402" s="20">
        <v>49900</v>
      </c>
      <c r="K1402" s="3">
        <v>0</v>
      </c>
      <c r="L1402" s="3" t="s">
        <v>3</v>
      </c>
      <c r="M1402" s="9" t="s">
        <v>0</v>
      </c>
      <c r="N1402" s="9" t="s">
        <v>30</v>
      </c>
      <c r="O1402" s="9" t="s">
        <v>3514</v>
      </c>
      <c r="P1402" s="9" t="s">
        <v>0</v>
      </c>
      <c r="Q1402" s="30" t="s">
        <v>363</v>
      </c>
      <c r="R1402" s="9" t="s">
        <v>364</v>
      </c>
      <c r="S1402" s="9" t="s">
        <v>370</v>
      </c>
      <c r="V1402" s="10">
        <v>12.5</v>
      </c>
      <c r="W1402" s="10" t="s">
        <v>710</v>
      </c>
      <c r="X1402" s="17">
        <v>44752</v>
      </c>
      <c r="Y1402" s="17">
        <v>44950</v>
      </c>
      <c r="Z1402" s="19" t="s">
        <v>772</v>
      </c>
      <c r="AA1402" s="207">
        <v>6000</v>
      </c>
      <c r="AB1402" s="9">
        <v>61</v>
      </c>
      <c r="AC1402" s="9">
        <v>33</v>
      </c>
      <c r="AD1402" s="17">
        <v>45930</v>
      </c>
      <c r="AE1402" s="54">
        <v>100</v>
      </c>
      <c r="AF1402" s="54"/>
      <c r="AL1402" s="22"/>
      <c r="AM1402" s="22"/>
      <c r="AN1402" s="22"/>
      <c r="AO1402" s="22"/>
      <c r="AP1402" s="22"/>
      <c r="AQ1402" s="22"/>
      <c r="AR1402" s="22"/>
      <c r="AS1402" s="22"/>
      <c r="AT1402" s="22"/>
      <c r="AU1402" s="22"/>
      <c r="AV1402" s="22"/>
      <c r="AW1402" s="9"/>
      <c r="BA1402" s="22"/>
      <c r="BB1402" s="22"/>
      <c r="BD1402" s="9"/>
      <c r="CS1402" s="11">
        <f t="shared" si="97"/>
        <v>0</v>
      </c>
      <c r="CT1402" s="22">
        <f t="shared" si="98"/>
        <v>0</v>
      </c>
      <c r="CU1402" s="22">
        <f t="shared" si="96"/>
        <v>0</v>
      </c>
      <c r="CV1402" s="26">
        <f t="shared" si="99"/>
        <v>100</v>
      </c>
    </row>
    <row r="1403" spans="1:100" x14ac:dyDescent="0.2">
      <c r="A1403" s="9" t="s">
        <v>361</v>
      </c>
      <c r="B1403" s="2">
        <v>82</v>
      </c>
      <c r="C1403" s="3" t="s">
        <v>95</v>
      </c>
      <c r="D1403" s="3" t="s">
        <v>96</v>
      </c>
      <c r="E1403" s="2"/>
      <c r="F1403" s="2"/>
      <c r="G1403" s="2" t="s">
        <v>74</v>
      </c>
      <c r="H1403" s="2">
        <v>7</v>
      </c>
      <c r="I1403" s="20">
        <v>135</v>
      </c>
      <c r="J1403" s="20">
        <v>49900</v>
      </c>
      <c r="K1403" s="3">
        <v>0</v>
      </c>
      <c r="L1403" s="3" t="s">
        <v>3</v>
      </c>
      <c r="M1403" s="9" t="s">
        <v>0</v>
      </c>
      <c r="N1403" s="9" t="s">
        <v>30</v>
      </c>
      <c r="O1403" s="9" t="s">
        <v>3514</v>
      </c>
      <c r="P1403" s="9" t="s">
        <v>0</v>
      </c>
      <c r="Q1403" s="30" t="s">
        <v>363</v>
      </c>
      <c r="R1403" s="9" t="s">
        <v>364</v>
      </c>
      <c r="S1403" s="9" t="s">
        <v>370</v>
      </c>
      <c r="V1403" s="10">
        <v>12.5</v>
      </c>
      <c r="W1403" s="10" t="s">
        <v>710</v>
      </c>
      <c r="X1403" s="17">
        <v>44752</v>
      </c>
      <c r="Y1403" s="17">
        <v>44950</v>
      </c>
      <c r="Z1403" s="19" t="s">
        <v>772</v>
      </c>
      <c r="AA1403" s="207">
        <v>6000</v>
      </c>
      <c r="AB1403" s="9">
        <v>61</v>
      </c>
      <c r="AC1403" s="9">
        <v>34</v>
      </c>
      <c r="AD1403" s="17">
        <v>45961</v>
      </c>
      <c r="AE1403" s="54">
        <v>100</v>
      </c>
      <c r="AF1403" s="54"/>
      <c r="AL1403" s="22"/>
      <c r="AM1403" s="22"/>
      <c r="AN1403" s="22"/>
      <c r="AO1403" s="22"/>
      <c r="AP1403" s="22"/>
      <c r="AQ1403" s="22"/>
      <c r="AR1403" s="22"/>
      <c r="AS1403" s="22"/>
      <c r="AT1403" s="22"/>
      <c r="AU1403" s="22"/>
      <c r="AV1403" s="22"/>
      <c r="AW1403" s="9"/>
      <c r="BA1403" s="22"/>
      <c r="BB1403" s="22"/>
      <c r="BD1403" s="9"/>
      <c r="CS1403" s="11">
        <f t="shared" si="97"/>
        <v>0</v>
      </c>
      <c r="CT1403" s="22">
        <f t="shared" si="98"/>
        <v>0</v>
      </c>
      <c r="CU1403" s="22">
        <f t="shared" si="96"/>
        <v>0</v>
      </c>
      <c r="CV1403" s="26">
        <f t="shared" si="99"/>
        <v>100</v>
      </c>
    </row>
    <row r="1404" spans="1:100" x14ac:dyDescent="0.2">
      <c r="A1404" s="9" t="s">
        <v>361</v>
      </c>
      <c r="B1404" s="2">
        <v>82</v>
      </c>
      <c r="C1404" s="3" t="s">
        <v>95</v>
      </c>
      <c r="D1404" s="3" t="s">
        <v>96</v>
      </c>
      <c r="E1404" s="2"/>
      <c r="F1404" s="2"/>
      <c r="G1404" s="2" t="s">
        <v>74</v>
      </c>
      <c r="H1404" s="2">
        <v>7</v>
      </c>
      <c r="I1404" s="20">
        <v>135</v>
      </c>
      <c r="J1404" s="20">
        <v>49900</v>
      </c>
      <c r="K1404" s="3">
        <v>0</v>
      </c>
      <c r="L1404" s="3" t="s">
        <v>3</v>
      </c>
      <c r="M1404" s="9" t="s">
        <v>0</v>
      </c>
      <c r="N1404" s="9" t="s">
        <v>30</v>
      </c>
      <c r="O1404" s="9" t="s">
        <v>3514</v>
      </c>
      <c r="P1404" s="9" t="s">
        <v>0</v>
      </c>
      <c r="Q1404" s="30" t="s">
        <v>363</v>
      </c>
      <c r="R1404" s="9" t="s">
        <v>364</v>
      </c>
      <c r="S1404" s="9" t="s">
        <v>370</v>
      </c>
      <c r="V1404" s="10">
        <v>12.5</v>
      </c>
      <c r="W1404" s="10" t="s">
        <v>710</v>
      </c>
      <c r="X1404" s="17">
        <v>44752</v>
      </c>
      <c r="Y1404" s="17">
        <v>44950</v>
      </c>
      <c r="Z1404" s="19" t="s">
        <v>772</v>
      </c>
      <c r="AA1404" s="207">
        <v>6000</v>
      </c>
      <c r="AB1404" s="9">
        <v>61</v>
      </c>
      <c r="AC1404" s="9">
        <v>35</v>
      </c>
      <c r="AD1404" s="17">
        <v>45991</v>
      </c>
      <c r="AE1404" s="54">
        <v>100</v>
      </c>
      <c r="AF1404" s="54"/>
      <c r="AL1404" s="22"/>
      <c r="AM1404" s="22"/>
      <c r="AN1404" s="22"/>
      <c r="AO1404" s="22"/>
      <c r="AP1404" s="22"/>
      <c r="AQ1404" s="22"/>
      <c r="AR1404" s="22"/>
      <c r="AS1404" s="22"/>
      <c r="AT1404" s="22"/>
      <c r="AU1404" s="22"/>
      <c r="AV1404" s="22"/>
      <c r="AW1404" s="9"/>
      <c r="BA1404" s="22"/>
      <c r="BB1404" s="22"/>
      <c r="BD1404" s="9"/>
      <c r="CS1404" s="11">
        <f t="shared" si="97"/>
        <v>0</v>
      </c>
      <c r="CT1404" s="22">
        <f t="shared" si="98"/>
        <v>0</v>
      </c>
      <c r="CU1404" s="22">
        <f t="shared" si="96"/>
        <v>0</v>
      </c>
      <c r="CV1404" s="26">
        <f t="shared" si="99"/>
        <v>100</v>
      </c>
    </row>
    <row r="1405" spans="1:100" x14ac:dyDescent="0.2">
      <c r="A1405" s="9" t="s">
        <v>361</v>
      </c>
      <c r="B1405" s="2">
        <v>82</v>
      </c>
      <c r="C1405" s="3" t="s">
        <v>95</v>
      </c>
      <c r="D1405" s="3" t="s">
        <v>96</v>
      </c>
      <c r="E1405" s="2"/>
      <c r="F1405" s="2"/>
      <c r="G1405" s="2" t="s">
        <v>74</v>
      </c>
      <c r="H1405" s="2">
        <v>7</v>
      </c>
      <c r="I1405" s="20">
        <v>135</v>
      </c>
      <c r="J1405" s="20">
        <v>49900</v>
      </c>
      <c r="K1405" s="3">
        <v>0</v>
      </c>
      <c r="L1405" s="3" t="s">
        <v>3</v>
      </c>
      <c r="M1405" s="9" t="s">
        <v>0</v>
      </c>
      <c r="N1405" s="9" t="s">
        <v>30</v>
      </c>
      <c r="O1405" s="9" t="s">
        <v>3514</v>
      </c>
      <c r="P1405" s="9" t="s">
        <v>0</v>
      </c>
      <c r="Q1405" s="30" t="s">
        <v>363</v>
      </c>
      <c r="R1405" s="9" t="s">
        <v>364</v>
      </c>
      <c r="S1405" s="9" t="s">
        <v>370</v>
      </c>
      <c r="V1405" s="10">
        <v>12.5</v>
      </c>
      <c r="W1405" s="10" t="s">
        <v>710</v>
      </c>
      <c r="X1405" s="17">
        <v>44752</v>
      </c>
      <c r="Y1405" s="17">
        <v>44950</v>
      </c>
      <c r="Z1405" s="19" t="s">
        <v>772</v>
      </c>
      <c r="AA1405" s="207">
        <v>6000</v>
      </c>
      <c r="AB1405" s="9">
        <v>61</v>
      </c>
      <c r="AC1405" s="9">
        <v>36</v>
      </c>
      <c r="AD1405" s="17">
        <v>46022</v>
      </c>
      <c r="AE1405" s="54">
        <v>100</v>
      </c>
      <c r="AF1405" s="54"/>
      <c r="AL1405" s="22"/>
      <c r="AM1405" s="22"/>
      <c r="AN1405" s="22"/>
      <c r="AO1405" s="22"/>
      <c r="AP1405" s="22"/>
      <c r="AQ1405" s="22"/>
      <c r="AR1405" s="22"/>
      <c r="AS1405" s="22"/>
      <c r="AT1405" s="22"/>
      <c r="AU1405" s="22"/>
      <c r="AV1405" s="22"/>
      <c r="AW1405" s="9"/>
      <c r="BA1405" s="22"/>
      <c r="BB1405" s="22"/>
      <c r="BD1405" s="9"/>
      <c r="CS1405" s="11">
        <f t="shared" si="97"/>
        <v>0</v>
      </c>
      <c r="CT1405" s="22">
        <f t="shared" si="98"/>
        <v>0</v>
      </c>
      <c r="CU1405" s="22">
        <f t="shared" si="96"/>
        <v>0</v>
      </c>
      <c r="CV1405" s="26">
        <f t="shared" si="99"/>
        <v>100</v>
      </c>
    </row>
    <row r="1406" spans="1:100" x14ac:dyDescent="0.2">
      <c r="A1406" s="9" t="s">
        <v>361</v>
      </c>
      <c r="B1406" s="2">
        <v>82</v>
      </c>
      <c r="C1406" s="3" t="s">
        <v>95</v>
      </c>
      <c r="D1406" s="3" t="s">
        <v>96</v>
      </c>
      <c r="E1406" s="2"/>
      <c r="F1406" s="2"/>
      <c r="G1406" s="2" t="s">
        <v>74</v>
      </c>
      <c r="H1406" s="2">
        <v>7</v>
      </c>
      <c r="I1406" s="20">
        <v>135</v>
      </c>
      <c r="J1406" s="20">
        <v>49900</v>
      </c>
      <c r="K1406" s="3">
        <v>0</v>
      </c>
      <c r="L1406" s="3" t="s">
        <v>3</v>
      </c>
      <c r="M1406" s="9" t="s">
        <v>0</v>
      </c>
      <c r="N1406" s="9" t="s">
        <v>30</v>
      </c>
      <c r="O1406" s="9" t="s">
        <v>3514</v>
      </c>
      <c r="P1406" s="9" t="s">
        <v>0</v>
      </c>
      <c r="Q1406" s="30" t="s">
        <v>363</v>
      </c>
      <c r="R1406" s="9" t="s">
        <v>364</v>
      </c>
      <c r="S1406" s="9" t="s">
        <v>370</v>
      </c>
      <c r="V1406" s="10">
        <v>12.5</v>
      </c>
      <c r="W1406" s="10" t="s">
        <v>710</v>
      </c>
      <c r="X1406" s="17">
        <v>44752</v>
      </c>
      <c r="Y1406" s="17">
        <v>44950</v>
      </c>
      <c r="Z1406" s="19" t="s">
        <v>772</v>
      </c>
      <c r="AA1406" s="207">
        <v>6000</v>
      </c>
      <c r="AB1406" s="9">
        <v>61</v>
      </c>
      <c r="AC1406" s="9">
        <v>37</v>
      </c>
      <c r="AD1406" s="17">
        <v>46053</v>
      </c>
      <c r="AE1406" s="54">
        <v>100</v>
      </c>
      <c r="AF1406" s="54"/>
      <c r="AL1406" s="22"/>
      <c r="AM1406" s="22"/>
      <c r="AN1406" s="22"/>
      <c r="AO1406" s="22"/>
      <c r="AP1406" s="22"/>
      <c r="AQ1406" s="22"/>
      <c r="AR1406" s="22"/>
      <c r="AS1406" s="22"/>
      <c r="AT1406" s="22"/>
      <c r="AU1406" s="22"/>
      <c r="AV1406" s="22"/>
      <c r="AW1406" s="9"/>
      <c r="BA1406" s="22"/>
      <c r="BB1406" s="22"/>
      <c r="BD1406" s="9"/>
      <c r="CS1406" s="11">
        <f t="shared" si="97"/>
        <v>0</v>
      </c>
      <c r="CT1406" s="22">
        <f t="shared" si="98"/>
        <v>0</v>
      </c>
      <c r="CU1406" s="22">
        <f t="shared" si="96"/>
        <v>0</v>
      </c>
      <c r="CV1406" s="26">
        <f t="shared" si="99"/>
        <v>100</v>
      </c>
    </row>
    <row r="1407" spans="1:100" x14ac:dyDescent="0.2">
      <c r="A1407" s="9" t="s">
        <v>361</v>
      </c>
      <c r="B1407" s="2">
        <v>82</v>
      </c>
      <c r="C1407" s="3" t="s">
        <v>95</v>
      </c>
      <c r="D1407" s="3" t="s">
        <v>96</v>
      </c>
      <c r="E1407" s="2"/>
      <c r="F1407" s="2"/>
      <c r="G1407" s="2" t="s">
        <v>74</v>
      </c>
      <c r="H1407" s="2">
        <v>7</v>
      </c>
      <c r="I1407" s="20">
        <v>135</v>
      </c>
      <c r="J1407" s="20">
        <v>49900</v>
      </c>
      <c r="K1407" s="3">
        <v>0</v>
      </c>
      <c r="L1407" s="3" t="s">
        <v>3</v>
      </c>
      <c r="M1407" s="9" t="s">
        <v>0</v>
      </c>
      <c r="N1407" s="9" t="s">
        <v>30</v>
      </c>
      <c r="O1407" s="9" t="s">
        <v>3514</v>
      </c>
      <c r="P1407" s="9" t="s">
        <v>0</v>
      </c>
      <c r="Q1407" s="30" t="s">
        <v>363</v>
      </c>
      <c r="R1407" s="9" t="s">
        <v>364</v>
      </c>
      <c r="S1407" s="9" t="s">
        <v>370</v>
      </c>
      <c r="V1407" s="10">
        <v>12.5</v>
      </c>
      <c r="W1407" s="10" t="s">
        <v>710</v>
      </c>
      <c r="X1407" s="17">
        <v>44752</v>
      </c>
      <c r="Y1407" s="17">
        <v>44950</v>
      </c>
      <c r="Z1407" s="19" t="s">
        <v>772</v>
      </c>
      <c r="AA1407" s="207">
        <v>6000</v>
      </c>
      <c r="AB1407" s="9">
        <v>61</v>
      </c>
      <c r="AC1407" s="9">
        <v>38</v>
      </c>
      <c r="AD1407" s="17">
        <v>46081</v>
      </c>
      <c r="AE1407" s="54">
        <v>100</v>
      </c>
      <c r="AF1407" s="54"/>
      <c r="AL1407" s="22"/>
      <c r="AM1407" s="22"/>
      <c r="AN1407" s="22"/>
      <c r="AO1407" s="22"/>
      <c r="AP1407" s="22"/>
      <c r="AQ1407" s="22"/>
      <c r="AR1407" s="22"/>
      <c r="AS1407" s="22"/>
      <c r="AT1407" s="22"/>
      <c r="AU1407" s="22"/>
      <c r="AV1407" s="22"/>
      <c r="AW1407" s="9"/>
      <c r="BA1407" s="22"/>
      <c r="BB1407" s="22"/>
      <c r="BD1407" s="9"/>
      <c r="CS1407" s="11">
        <f t="shared" si="97"/>
        <v>0</v>
      </c>
      <c r="CT1407" s="22">
        <f t="shared" si="98"/>
        <v>0</v>
      </c>
      <c r="CU1407" s="22">
        <f t="shared" si="96"/>
        <v>0</v>
      </c>
      <c r="CV1407" s="26">
        <f t="shared" si="99"/>
        <v>100</v>
      </c>
    </row>
    <row r="1408" spans="1:100" x14ac:dyDescent="0.2">
      <c r="A1408" s="9" t="s">
        <v>361</v>
      </c>
      <c r="B1408" s="2">
        <v>82</v>
      </c>
      <c r="C1408" s="3" t="s">
        <v>95</v>
      </c>
      <c r="D1408" s="3" t="s">
        <v>96</v>
      </c>
      <c r="E1408" s="2"/>
      <c r="F1408" s="2"/>
      <c r="G1408" s="2" t="s">
        <v>74</v>
      </c>
      <c r="H1408" s="2">
        <v>7</v>
      </c>
      <c r="I1408" s="20">
        <v>135</v>
      </c>
      <c r="J1408" s="20">
        <v>49900</v>
      </c>
      <c r="K1408" s="3">
        <v>0</v>
      </c>
      <c r="L1408" s="3" t="s">
        <v>3</v>
      </c>
      <c r="M1408" s="9" t="s">
        <v>0</v>
      </c>
      <c r="N1408" s="9" t="s">
        <v>30</v>
      </c>
      <c r="O1408" s="9" t="s">
        <v>3514</v>
      </c>
      <c r="P1408" s="9" t="s">
        <v>0</v>
      </c>
      <c r="Q1408" s="30" t="s">
        <v>363</v>
      </c>
      <c r="R1408" s="9" t="s">
        <v>364</v>
      </c>
      <c r="S1408" s="9" t="s">
        <v>370</v>
      </c>
      <c r="V1408" s="10">
        <v>12.5</v>
      </c>
      <c r="W1408" s="10" t="s">
        <v>710</v>
      </c>
      <c r="X1408" s="17">
        <v>44752</v>
      </c>
      <c r="Y1408" s="17">
        <v>44950</v>
      </c>
      <c r="Z1408" s="19" t="s">
        <v>772</v>
      </c>
      <c r="AA1408" s="207">
        <v>6000</v>
      </c>
      <c r="AB1408" s="9">
        <v>61</v>
      </c>
      <c r="AC1408" s="9">
        <v>39</v>
      </c>
      <c r="AD1408" s="17">
        <v>46112</v>
      </c>
      <c r="AE1408" s="54">
        <v>100</v>
      </c>
      <c r="AF1408" s="54"/>
      <c r="AL1408" s="22"/>
      <c r="AM1408" s="22"/>
      <c r="AN1408" s="22"/>
      <c r="AO1408" s="22"/>
      <c r="AP1408" s="22"/>
      <c r="AQ1408" s="22"/>
      <c r="AR1408" s="22"/>
      <c r="AS1408" s="22"/>
      <c r="AT1408" s="22"/>
      <c r="AU1408" s="22"/>
      <c r="AV1408" s="22"/>
      <c r="AW1408" s="9"/>
      <c r="BA1408" s="22"/>
      <c r="BB1408" s="22"/>
      <c r="BD1408" s="9"/>
      <c r="CS1408" s="11">
        <f t="shared" si="97"/>
        <v>0</v>
      </c>
      <c r="CT1408" s="22">
        <f t="shared" si="98"/>
        <v>0</v>
      </c>
      <c r="CU1408" s="22">
        <f t="shared" si="96"/>
        <v>0</v>
      </c>
      <c r="CV1408" s="26">
        <f t="shared" si="99"/>
        <v>100</v>
      </c>
    </row>
    <row r="1409" spans="1:100" x14ac:dyDescent="0.2">
      <c r="A1409" s="9" t="s">
        <v>361</v>
      </c>
      <c r="B1409" s="2">
        <v>82</v>
      </c>
      <c r="C1409" s="3" t="s">
        <v>95</v>
      </c>
      <c r="D1409" s="3" t="s">
        <v>96</v>
      </c>
      <c r="E1409" s="2"/>
      <c r="F1409" s="2"/>
      <c r="G1409" s="2" t="s">
        <v>74</v>
      </c>
      <c r="H1409" s="2">
        <v>7</v>
      </c>
      <c r="I1409" s="20">
        <v>135</v>
      </c>
      <c r="J1409" s="20">
        <v>49900</v>
      </c>
      <c r="K1409" s="3">
        <v>0</v>
      </c>
      <c r="L1409" s="3" t="s">
        <v>3</v>
      </c>
      <c r="M1409" s="9" t="s">
        <v>0</v>
      </c>
      <c r="N1409" s="9" t="s">
        <v>30</v>
      </c>
      <c r="O1409" s="9" t="s">
        <v>3514</v>
      </c>
      <c r="P1409" s="9" t="s">
        <v>0</v>
      </c>
      <c r="Q1409" s="30" t="s">
        <v>363</v>
      </c>
      <c r="R1409" s="9" t="s">
        <v>364</v>
      </c>
      <c r="S1409" s="9" t="s">
        <v>370</v>
      </c>
      <c r="V1409" s="10">
        <v>12.5</v>
      </c>
      <c r="W1409" s="10" t="s">
        <v>710</v>
      </c>
      <c r="X1409" s="17">
        <v>44752</v>
      </c>
      <c r="Y1409" s="17">
        <v>44950</v>
      </c>
      <c r="Z1409" s="19" t="s">
        <v>772</v>
      </c>
      <c r="AA1409" s="207">
        <v>6000</v>
      </c>
      <c r="AB1409" s="9">
        <v>61</v>
      </c>
      <c r="AC1409" s="9">
        <v>40</v>
      </c>
      <c r="AD1409" s="17">
        <v>46142</v>
      </c>
      <c r="AE1409" s="54">
        <v>100</v>
      </c>
      <c r="AF1409" s="54"/>
      <c r="AL1409" s="22"/>
      <c r="AM1409" s="22"/>
      <c r="AN1409" s="22"/>
      <c r="AO1409" s="22"/>
      <c r="AP1409" s="22"/>
      <c r="AQ1409" s="22"/>
      <c r="AR1409" s="22"/>
      <c r="AS1409" s="22"/>
      <c r="AT1409" s="22"/>
      <c r="AU1409" s="22"/>
      <c r="AV1409" s="22"/>
      <c r="AW1409" s="9"/>
      <c r="BA1409" s="22"/>
      <c r="BB1409" s="22"/>
      <c r="BD1409" s="9"/>
      <c r="CS1409" s="11">
        <f t="shared" si="97"/>
        <v>0</v>
      </c>
      <c r="CT1409" s="22">
        <f t="shared" si="98"/>
        <v>0</v>
      </c>
      <c r="CU1409" s="22">
        <f t="shared" si="96"/>
        <v>0</v>
      </c>
      <c r="CV1409" s="26">
        <f t="shared" si="99"/>
        <v>100</v>
      </c>
    </row>
    <row r="1410" spans="1:100" x14ac:dyDescent="0.2">
      <c r="A1410" s="9" t="s">
        <v>361</v>
      </c>
      <c r="B1410" s="2">
        <v>82</v>
      </c>
      <c r="C1410" s="3" t="s">
        <v>95</v>
      </c>
      <c r="D1410" s="3" t="s">
        <v>96</v>
      </c>
      <c r="E1410" s="2"/>
      <c r="F1410" s="2"/>
      <c r="G1410" s="2" t="s">
        <v>74</v>
      </c>
      <c r="H1410" s="2">
        <v>7</v>
      </c>
      <c r="I1410" s="20">
        <v>135</v>
      </c>
      <c r="J1410" s="20">
        <v>49900</v>
      </c>
      <c r="K1410" s="3">
        <v>0</v>
      </c>
      <c r="L1410" s="3" t="s">
        <v>3</v>
      </c>
      <c r="M1410" s="9" t="s">
        <v>0</v>
      </c>
      <c r="N1410" s="9" t="s">
        <v>30</v>
      </c>
      <c r="O1410" s="9" t="s">
        <v>3514</v>
      </c>
      <c r="P1410" s="9" t="s">
        <v>0</v>
      </c>
      <c r="Q1410" s="30" t="s">
        <v>363</v>
      </c>
      <c r="R1410" s="9" t="s">
        <v>364</v>
      </c>
      <c r="S1410" s="9" t="s">
        <v>370</v>
      </c>
      <c r="V1410" s="10">
        <v>12.5</v>
      </c>
      <c r="W1410" s="10" t="s">
        <v>710</v>
      </c>
      <c r="X1410" s="17">
        <v>44752</v>
      </c>
      <c r="Y1410" s="17">
        <v>44950</v>
      </c>
      <c r="Z1410" s="19" t="s">
        <v>772</v>
      </c>
      <c r="AA1410" s="207">
        <v>6000</v>
      </c>
      <c r="AB1410" s="9">
        <v>61</v>
      </c>
      <c r="AC1410" s="9">
        <v>41</v>
      </c>
      <c r="AD1410" s="17">
        <v>46173</v>
      </c>
      <c r="AE1410" s="54">
        <v>100</v>
      </c>
      <c r="AF1410" s="54"/>
      <c r="AL1410" s="22"/>
      <c r="AM1410" s="22"/>
      <c r="AN1410" s="22"/>
      <c r="AO1410" s="22"/>
      <c r="AP1410" s="22"/>
      <c r="AQ1410" s="22"/>
      <c r="AR1410" s="22"/>
      <c r="AS1410" s="22"/>
      <c r="AT1410" s="22"/>
      <c r="AU1410" s="22"/>
      <c r="AV1410" s="22"/>
      <c r="AW1410" s="9"/>
      <c r="BA1410" s="22"/>
      <c r="BB1410" s="22"/>
      <c r="BD1410" s="9"/>
      <c r="CS1410" s="11">
        <f t="shared" si="97"/>
        <v>0</v>
      </c>
      <c r="CT1410" s="22">
        <f t="shared" si="98"/>
        <v>0</v>
      </c>
      <c r="CU1410" s="22">
        <f t="shared" si="96"/>
        <v>0</v>
      </c>
      <c r="CV1410" s="26">
        <f t="shared" si="99"/>
        <v>100</v>
      </c>
    </row>
    <row r="1411" spans="1:100" x14ac:dyDescent="0.2">
      <c r="A1411" s="9" t="s">
        <v>361</v>
      </c>
      <c r="B1411" s="2">
        <v>82</v>
      </c>
      <c r="C1411" s="3" t="s">
        <v>95</v>
      </c>
      <c r="D1411" s="3" t="s">
        <v>96</v>
      </c>
      <c r="E1411" s="2"/>
      <c r="F1411" s="2"/>
      <c r="G1411" s="2" t="s">
        <v>74</v>
      </c>
      <c r="H1411" s="2">
        <v>7</v>
      </c>
      <c r="I1411" s="20">
        <v>135</v>
      </c>
      <c r="J1411" s="20">
        <v>49900</v>
      </c>
      <c r="K1411" s="3">
        <v>0</v>
      </c>
      <c r="L1411" s="3" t="s">
        <v>3</v>
      </c>
      <c r="M1411" s="9" t="s">
        <v>0</v>
      </c>
      <c r="N1411" s="9" t="s">
        <v>30</v>
      </c>
      <c r="O1411" s="9" t="s">
        <v>3514</v>
      </c>
      <c r="P1411" s="9" t="s">
        <v>0</v>
      </c>
      <c r="Q1411" s="30" t="s">
        <v>363</v>
      </c>
      <c r="R1411" s="9" t="s">
        <v>364</v>
      </c>
      <c r="S1411" s="9" t="s">
        <v>370</v>
      </c>
      <c r="V1411" s="10">
        <v>12.5</v>
      </c>
      <c r="W1411" s="10" t="s">
        <v>710</v>
      </c>
      <c r="X1411" s="17">
        <v>44752</v>
      </c>
      <c r="Y1411" s="17">
        <v>44950</v>
      </c>
      <c r="Z1411" s="19" t="s">
        <v>772</v>
      </c>
      <c r="AA1411" s="207">
        <v>6000</v>
      </c>
      <c r="AB1411" s="9">
        <v>61</v>
      </c>
      <c r="AC1411" s="9">
        <v>42</v>
      </c>
      <c r="AD1411" s="17">
        <v>46203</v>
      </c>
      <c r="AE1411" s="54">
        <v>100</v>
      </c>
      <c r="AF1411" s="54"/>
      <c r="AL1411" s="22"/>
      <c r="AM1411" s="22"/>
      <c r="AN1411" s="22"/>
      <c r="AO1411" s="22"/>
      <c r="AP1411" s="22"/>
      <c r="AQ1411" s="22"/>
      <c r="AR1411" s="22"/>
      <c r="AS1411" s="22"/>
      <c r="AT1411" s="22"/>
      <c r="AU1411" s="22"/>
      <c r="AV1411" s="22"/>
      <c r="AW1411" s="9"/>
      <c r="BA1411" s="22"/>
      <c r="BB1411" s="22"/>
      <c r="BD1411" s="9"/>
      <c r="CS1411" s="11">
        <f t="shared" si="97"/>
        <v>0</v>
      </c>
      <c r="CT1411" s="22">
        <f t="shared" si="98"/>
        <v>0</v>
      </c>
      <c r="CU1411" s="22">
        <f t="shared" si="96"/>
        <v>0</v>
      </c>
      <c r="CV1411" s="26">
        <f t="shared" si="99"/>
        <v>100</v>
      </c>
    </row>
    <row r="1412" spans="1:100" x14ac:dyDescent="0.2">
      <c r="A1412" s="9" t="s">
        <v>361</v>
      </c>
      <c r="B1412" s="2">
        <v>82</v>
      </c>
      <c r="C1412" s="3" t="s">
        <v>95</v>
      </c>
      <c r="D1412" s="3" t="s">
        <v>96</v>
      </c>
      <c r="E1412" s="2"/>
      <c r="F1412" s="2"/>
      <c r="G1412" s="2" t="s">
        <v>74</v>
      </c>
      <c r="H1412" s="2">
        <v>7</v>
      </c>
      <c r="I1412" s="20">
        <v>135</v>
      </c>
      <c r="J1412" s="20">
        <v>49900</v>
      </c>
      <c r="K1412" s="3">
        <v>0</v>
      </c>
      <c r="L1412" s="3" t="s">
        <v>3</v>
      </c>
      <c r="M1412" s="9" t="s">
        <v>0</v>
      </c>
      <c r="N1412" s="9" t="s">
        <v>30</v>
      </c>
      <c r="O1412" s="9" t="s">
        <v>3514</v>
      </c>
      <c r="P1412" s="9" t="s">
        <v>0</v>
      </c>
      <c r="Q1412" s="30" t="s">
        <v>363</v>
      </c>
      <c r="R1412" s="9" t="s">
        <v>364</v>
      </c>
      <c r="S1412" s="9" t="s">
        <v>370</v>
      </c>
      <c r="V1412" s="10">
        <v>12.5</v>
      </c>
      <c r="W1412" s="10" t="s">
        <v>710</v>
      </c>
      <c r="X1412" s="17">
        <v>44752</v>
      </c>
      <c r="Y1412" s="17">
        <v>44950</v>
      </c>
      <c r="Z1412" s="19" t="s">
        <v>772</v>
      </c>
      <c r="AA1412" s="207">
        <v>6000</v>
      </c>
      <c r="AB1412" s="9">
        <v>61</v>
      </c>
      <c r="AC1412" s="9">
        <v>43</v>
      </c>
      <c r="AD1412" s="17">
        <v>46234</v>
      </c>
      <c r="AE1412" s="54">
        <v>100</v>
      </c>
      <c r="AF1412" s="54"/>
      <c r="AL1412" s="22"/>
      <c r="AM1412" s="22"/>
      <c r="AN1412" s="22"/>
      <c r="AO1412" s="22"/>
      <c r="AP1412" s="22"/>
      <c r="AQ1412" s="22"/>
      <c r="AR1412" s="22"/>
      <c r="AS1412" s="22"/>
      <c r="AT1412" s="22"/>
      <c r="AU1412" s="22"/>
      <c r="AV1412" s="22"/>
      <c r="AW1412" s="9"/>
      <c r="BA1412" s="22"/>
      <c r="BB1412" s="22"/>
      <c r="BD1412" s="9"/>
      <c r="CS1412" s="11">
        <f t="shared" si="97"/>
        <v>0</v>
      </c>
      <c r="CT1412" s="22">
        <f t="shared" si="98"/>
        <v>0</v>
      </c>
      <c r="CU1412" s="22">
        <f t="shared" si="96"/>
        <v>0</v>
      </c>
      <c r="CV1412" s="26">
        <f t="shared" si="99"/>
        <v>100</v>
      </c>
    </row>
    <row r="1413" spans="1:100" x14ac:dyDescent="0.2">
      <c r="A1413" s="9" t="s">
        <v>361</v>
      </c>
      <c r="B1413" s="2">
        <v>82</v>
      </c>
      <c r="C1413" s="3" t="s">
        <v>95</v>
      </c>
      <c r="D1413" s="3" t="s">
        <v>96</v>
      </c>
      <c r="E1413" s="2"/>
      <c r="F1413" s="2"/>
      <c r="G1413" s="2" t="s">
        <v>74</v>
      </c>
      <c r="H1413" s="2">
        <v>7</v>
      </c>
      <c r="I1413" s="20">
        <v>135</v>
      </c>
      <c r="J1413" s="20">
        <v>49900</v>
      </c>
      <c r="K1413" s="3">
        <v>0</v>
      </c>
      <c r="L1413" s="3" t="s">
        <v>3</v>
      </c>
      <c r="M1413" s="9" t="s">
        <v>0</v>
      </c>
      <c r="N1413" s="9" t="s">
        <v>30</v>
      </c>
      <c r="O1413" s="9" t="s">
        <v>3514</v>
      </c>
      <c r="P1413" s="9" t="s">
        <v>0</v>
      </c>
      <c r="Q1413" s="30" t="s">
        <v>363</v>
      </c>
      <c r="R1413" s="9" t="s">
        <v>364</v>
      </c>
      <c r="S1413" s="9" t="s">
        <v>370</v>
      </c>
      <c r="V1413" s="10">
        <v>12.5</v>
      </c>
      <c r="W1413" s="10" t="s">
        <v>710</v>
      </c>
      <c r="X1413" s="17">
        <v>44752</v>
      </c>
      <c r="Y1413" s="17">
        <v>44950</v>
      </c>
      <c r="Z1413" s="19" t="s">
        <v>772</v>
      </c>
      <c r="AA1413" s="207">
        <v>6000</v>
      </c>
      <c r="AB1413" s="9">
        <v>61</v>
      </c>
      <c r="AC1413" s="9">
        <v>44</v>
      </c>
      <c r="AD1413" s="17">
        <v>46265</v>
      </c>
      <c r="AE1413" s="54">
        <v>100</v>
      </c>
      <c r="AF1413" s="54"/>
      <c r="AL1413" s="22"/>
      <c r="AM1413" s="22"/>
      <c r="AN1413" s="22"/>
      <c r="AO1413" s="22"/>
      <c r="AP1413" s="22"/>
      <c r="AQ1413" s="22"/>
      <c r="AR1413" s="22"/>
      <c r="AS1413" s="22"/>
      <c r="AT1413" s="22"/>
      <c r="AU1413" s="22"/>
      <c r="AV1413" s="22"/>
      <c r="AW1413" s="9"/>
      <c r="BA1413" s="22"/>
      <c r="BB1413" s="22"/>
      <c r="BD1413" s="9"/>
      <c r="CS1413" s="11">
        <f t="shared" si="97"/>
        <v>0</v>
      </c>
      <c r="CT1413" s="22">
        <f t="shared" si="98"/>
        <v>0</v>
      </c>
      <c r="CU1413" s="22">
        <f t="shared" si="96"/>
        <v>0</v>
      </c>
      <c r="CV1413" s="26">
        <f t="shared" si="99"/>
        <v>100</v>
      </c>
    </row>
    <row r="1414" spans="1:100" x14ac:dyDescent="0.2">
      <c r="A1414" s="9" t="s">
        <v>361</v>
      </c>
      <c r="B1414" s="2">
        <v>82</v>
      </c>
      <c r="C1414" s="3" t="s">
        <v>95</v>
      </c>
      <c r="D1414" s="3" t="s">
        <v>96</v>
      </c>
      <c r="E1414" s="2"/>
      <c r="F1414" s="2"/>
      <c r="G1414" s="2" t="s">
        <v>74</v>
      </c>
      <c r="H1414" s="2">
        <v>7</v>
      </c>
      <c r="I1414" s="20">
        <v>135</v>
      </c>
      <c r="J1414" s="20">
        <v>49900</v>
      </c>
      <c r="K1414" s="3">
        <v>0</v>
      </c>
      <c r="L1414" s="3" t="s">
        <v>3</v>
      </c>
      <c r="M1414" s="9" t="s">
        <v>0</v>
      </c>
      <c r="N1414" s="9" t="s">
        <v>30</v>
      </c>
      <c r="O1414" s="9" t="s">
        <v>3514</v>
      </c>
      <c r="P1414" s="9" t="s">
        <v>0</v>
      </c>
      <c r="Q1414" s="30" t="s">
        <v>363</v>
      </c>
      <c r="R1414" s="9" t="s">
        <v>364</v>
      </c>
      <c r="S1414" s="9" t="s">
        <v>370</v>
      </c>
      <c r="V1414" s="10">
        <v>12.5</v>
      </c>
      <c r="W1414" s="10" t="s">
        <v>710</v>
      </c>
      <c r="X1414" s="17">
        <v>44752</v>
      </c>
      <c r="Y1414" s="17">
        <v>44950</v>
      </c>
      <c r="Z1414" s="19" t="s">
        <v>772</v>
      </c>
      <c r="AA1414" s="207">
        <v>6000</v>
      </c>
      <c r="AB1414" s="9">
        <v>61</v>
      </c>
      <c r="AC1414" s="9">
        <v>45</v>
      </c>
      <c r="AD1414" s="17">
        <v>46295</v>
      </c>
      <c r="AE1414" s="54">
        <v>100</v>
      </c>
      <c r="AF1414" s="54"/>
      <c r="AL1414" s="22"/>
      <c r="AM1414" s="22"/>
      <c r="AN1414" s="22"/>
      <c r="AO1414" s="22"/>
      <c r="AP1414" s="22"/>
      <c r="AQ1414" s="22"/>
      <c r="AR1414" s="22"/>
      <c r="AS1414" s="22"/>
      <c r="AT1414" s="22"/>
      <c r="AU1414" s="22"/>
      <c r="AV1414" s="22"/>
      <c r="AW1414" s="9"/>
      <c r="BA1414" s="22"/>
      <c r="BB1414" s="22"/>
      <c r="BD1414" s="9"/>
      <c r="CS1414" s="11">
        <f t="shared" si="97"/>
        <v>0</v>
      </c>
      <c r="CT1414" s="22">
        <f t="shared" si="98"/>
        <v>0</v>
      </c>
      <c r="CU1414" s="22">
        <f t="shared" si="96"/>
        <v>0</v>
      </c>
      <c r="CV1414" s="26">
        <f t="shared" si="99"/>
        <v>100</v>
      </c>
    </row>
    <row r="1415" spans="1:100" x14ac:dyDescent="0.2">
      <c r="A1415" s="9" t="s">
        <v>361</v>
      </c>
      <c r="B1415" s="2">
        <v>82</v>
      </c>
      <c r="C1415" s="3" t="s">
        <v>95</v>
      </c>
      <c r="D1415" s="3" t="s">
        <v>96</v>
      </c>
      <c r="E1415" s="2"/>
      <c r="F1415" s="2"/>
      <c r="G1415" s="2" t="s">
        <v>74</v>
      </c>
      <c r="H1415" s="2">
        <v>7</v>
      </c>
      <c r="I1415" s="20">
        <v>135</v>
      </c>
      <c r="J1415" s="20">
        <v>49900</v>
      </c>
      <c r="K1415" s="3">
        <v>0</v>
      </c>
      <c r="L1415" s="3" t="s">
        <v>3</v>
      </c>
      <c r="M1415" s="9" t="s">
        <v>0</v>
      </c>
      <c r="N1415" s="9" t="s">
        <v>30</v>
      </c>
      <c r="O1415" s="9" t="s">
        <v>3514</v>
      </c>
      <c r="P1415" s="9" t="s">
        <v>0</v>
      </c>
      <c r="Q1415" s="30" t="s">
        <v>363</v>
      </c>
      <c r="R1415" s="9" t="s">
        <v>364</v>
      </c>
      <c r="S1415" s="9" t="s">
        <v>370</v>
      </c>
      <c r="V1415" s="10">
        <v>12.5</v>
      </c>
      <c r="W1415" s="10" t="s">
        <v>710</v>
      </c>
      <c r="X1415" s="17">
        <v>44752</v>
      </c>
      <c r="Y1415" s="17">
        <v>44950</v>
      </c>
      <c r="Z1415" s="19" t="s">
        <v>772</v>
      </c>
      <c r="AA1415" s="207">
        <v>6000</v>
      </c>
      <c r="AB1415" s="9">
        <v>61</v>
      </c>
      <c r="AC1415" s="9">
        <v>46</v>
      </c>
      <c r="AD1415" s="17">
        <v>46326</v>
      </c>
      <c r="AE1415" s="54">
        <v>100</v>
      </c>
      <c r="AF1415" s="54"/>
      <c r="AL1415" s="22"/>
      <c r="AM1415" s="22"/>
      <c r="AN1415" s="22"/>
      <c r="AO1415" s="22"/>
      <c r="AP1415" s="22"/>
      <c r="AQ1415" s="22"/>
      <c r="AR1415" s="22"/>
      <c r="AS1415" s="22"/>
      <c r="AT1415" s="22"/>
      <c r="AU1415" s="22"/>
      <c r="AV1415" s="22"/>
      <c r="AW1415" s="9"/>
      <c r="BA1415" s="22"/>
      <c r="BB1415" s="22"/>
      <c r="BD1415" s="9"/>
      <c r="CS1415" s="11">
        <f t="shared" si="97"/>
        <v>0</v>
      </c>
      <c r="CT1415" s="22">
        <f t="shared" si="98"/>
        <v>0</v>
      </c>
      <c r="CU1415" s="22">
        <f t="shared" si="96"/>
        <v>0</v>
      </c>
      <c r="CV1415" s="26">
        <f t="shared" si="99"/>
        <v>100</v>
      </c>
    </row>
    <row r="1416" spans="1:100" x14ac:dyDescent="0.2">
      <c r="A1416" s="9" t="s">
        <v>361</v>
      </c>
      <c r="B1416" s="2">
        <v>82</v>
      </c>
      <c r="C1416" s="3" t="s">
        <v>95</v>
      </c>
      <c r="D1416" s="3" t="s">
        <v>96</v>
      </c>
      <c r="E1416" s="2"/>
      <c r="F1416" s="2"/>
      <c r="G1416" s="2" t="s">
        <v>74</v>
      </c>
      <c r="H1416" s="2">
        <v>7</v>
      </c>
      <c r="I1416" s="20">
        <v>135</v>
      </c>
      <c r="J1416" s="20">
        <v>49900</v>
      </c>
      <c r="K1416" s="3">
        <v>0</v>
      </c>
      <c r="L1416" s="3" t="s">
        <v>3</v>
      </c>
      <c r="M1416" s="9" t="s">
        <v>0</v>
      </c>
      <c r="N1416" s="9" t="s">
        <v>30</v>
      </c>
      <c r="O1416" s="9" t="s">
        <v>3514</v>
      </c>
      <c r="P1416" s="9" t="s">
        <v>0</v>
      </c>
      <c r="Q1416" s="30" t="s">
        <v>363</v>
      </c>
      <c r="R1416" s="9" t="s">
        <v>364</v>
      </c>
      <c r="S1416" s="9" t="s">
        <v>370</v>
      </c>
      <c r="V1416" s="10">
        <v>12.5</v>
      </c>
      <c r="W1416" s="10" t="s">
        <v>710</v>
      </c>
      <c r="X1416" s="17">
        <v>44752</v>
      </c>
      <c r="Y1416" s="17">
        <v>44950</v>
      </c>
      <c r="Z1416" s="19" t="s">
        <v>772</v>
      </c>
      <c r="AA1416" s="207">
        <v>6000</v>
      </c>
      <c r="AB1416" s="9">
        <v>61</v>
      </c>
      <c r="AC1416" s="9">
        <v>47</v>
      </c>
      <c r="AD1416" s="17">
        <v>46356</v>
      </c>
      <c r="AE1416" s="54">
        <v>100</v>
      </c>
      <c r="AF1416" s="54"/>
      <c r="AL1416" s="22"/>
      <c r="AM1416" s="22"/>
      <c r="AN1416" s="22"/>
      <c r="AO1416" s="22"/>
      <c r="AP1416" s="22"/>
      <c r="AQ1416" s="22"/>
      <c r="AR1416" s="22"/>
      <c r="AS1416" s="22"/>
      <c r="AT1416" s="22"/>
      <c r="AU1416" s="22"/>
      <c r="AV1416" s="22"/>
      <c r="AW1416" s="9"/>
      <c r="BA1416" s="22"/>
      <c r="BB1416" s="22"/>
      <c r="BD1416" s="9"/>
      <c r="CS1416" s="11">
        <f t="shared" si="97"/>
        <v>0</v>
      </c>
      <c r="CT1416" s="22">
        <f t="shared" si="98"/>
        <v>0</v>
      </c>
      <c r="CU1416" s="22">
        <f t="shared" si="96"/>
        <v>0</v>
      </c>
      <c r="CV1416" s="26">
        <f t="shared" si="99"/>
        <v>100</v>
      </c>
    </row>
    <row r="1417" spans="1:100" x14ac:dyDescent="0.2">
      <c r="A1417" s="9" t="s">
        <v>361</v>
      </c>
      <c r="B1417" s="2">
        <v>82</v>
      </c>
      <c r="C1417" s="3" t="s">
        <v>95</v>
      </c>
      <c r="D1417" s="3" t="s">
        <v>96</v>
      </c>
      <c r="E1417" s="2"/>
      <c r="F1417" s="2"/>
      <c r="G1417" s="2" t="s">
        <v>74</v>
      </c>
      <c r="H1417" s="2">
        <v>7</v>
      </c>
      <c r="I1417" s="20">
        <v>135</v>
      </c>
      <c r="J1417" s="20">
        <v>49900</v>
      </c>
      <c r="K1417" s="3">
        <v>0</v>
      </c>
      <c r="L1417" s="3" t="s">
        <v>3</v>
      </c>
      <c r="M1417" s="9" t="s">
        <v>0</v>
      </c>
      <c r="N1417" s="9" t="s">
        <v>30</v>
      </c>
      <c r="O1417" s="9" t="s">
        <v>3514</v>
      </c>
      <c r="P1417" s="9" t="s">
        <v>0</v>
      </c>
      <c r="Q1417" s="30" t="s">
        <v>363</v>
      </c>
      <c r="R1417" s="9" t="s">
        <v>364</v>
      </c>
      <c r="S1417" s="9" t="s">
        <v>370</v>
      </c>
      <c r="V1417" s="10">
        <v>12.5</v>
      </c>
      <c r="W1417" s="10" t="s">
        <v>710</v>
      </c>
      <c r="X1417" s="17">
        <v>44752</v>
      </c>
      <c r="Y1417" s="17">
        <v>44950</v>
      </c>
      <c r="Z1417" s="19" t="s">
        <v>772</v>
      </c>
      <c r="AA1417" s="207">
        <v>6000</v>
      </c>
      <c r="AB1417" s="9">
        <v>61</v>
      </c>
      <c r="AC1417" s="9">
        <v>48</v>
      </c>
      <c r="AD1417" s="17">
        <v>46387</v>
      </c>
      <c r="AE1417" s="54">
        <v>100</v>
      </c>
      <c r="AF1417" s="54"/>
      <c r="AL1417" s="22"/>
      <c r="AM1417" s="22"/>
      <c r="AN1417" s="22"/>
      <c r="AO1417" s="22"/>
      <c r="AP1417" s="22"/>
      <c r="AQ1417" s="22"/>
      <c r="AR1417" s="22"/>
      <c r="AS1417" s="22"/>
      <c r="AT1417" s="22"/>
      <c r="AU1417" s="22"/>
      <c r="AV1417" s="22"/>
      <c r="AW1417" s="9"/>
      <c r="BA1417" s="22"/>
      <c r="BB1417" s="22"/>
      <c r="BD1417" s="9"/>
      <c r="CS1417" s="11">
        <f t="shared" si="97"/>
        <v>0</v>
      </c>
      <c r="CT1417" s="22">
        <f t="shared" si="98"/>
        <v>0</v>
      </c>
      <c r="CU1417" s="22">
        <f t="shared" si="96"/>
        <v>0</v>
      </c>
      <c r="CV1417" s="26">
        <f t="shared" si="99"/>
        <v>100</v>
      </c>
    </row>
    <row r="1418" spans="1:100" x14ac:dyDescent="0.2">
      <c r="A1418" s="9" t="s">
        <v>361</v>
      </c>
      <c r="B1418" s="2">
        <v>82</v>
      </c>
      <c r="C1418" s="3" t="s">
        <v>95</v>
      </c>
      <c r="D1418" s="3" t="s">
        <v>96</v>
      </c>
      <c r="E1418" s="2"/>
      <c r="F1418" s="2"/>
      <c r="G1418" s="2" t="s">
        <v>74</v>
      </c>
      <c r="H1418" s="2">
        <v>7</v>
      </c>
      <c r="I1418" s="20">
        <v>135</v>
      </c>
      <c r="J1418" s="20">
        <v>49900</v>
      </c>
      <c r="K1418" s="3">
        <v>0</v>
      </c>
      <c r="L1418" s="3" t="s">
        <v>3</v>
      </c>
      <c r="M1418" s="9" t="s">
        <v>0</v>
      </c>
      <c r="N1418" s="9" t="s">
        <v>30</v>
      </c>
      <c r="O1418" s="9" t="s">
        <v>3514</v>
      </c>
      <c r="P1418" s="9" t="s">
        <v>0</v>
      </c>
      <c r="Q1418" s="30" t="s">
        <v>363</v>
      </c>
      <c r="R1418" s="9" t="s">
        <v>364</v>
      </c>
      <c r="S1418" s="9" t="s">
        <v>370</v>
      </c>
      <c r="V1418" s="10">
        <v>12.5</v>
      </c>
      <c r="W1418" s="10" t="s">
        <v>710</v>
      </c>
      <c r="X1418" s="17">
        <v>44752</v>
      </c>
      <c r="Y1418" s="17">
        <v>44950</v>
      </c>
      <c r="Z1418" s="19" t="s">
        <v>772</v>
      </c>
      <c r="AA1418" s="207">
        <v>6000</v>
      </c>
      <c r="AB1418" s="9">
        <v>61</v>
      </c>
      <c r="AC1418" s="9">
        <v>49</v>
      </c>
      <c r="AD1418" s="17">
        <v>46418</v>
      </c>
      <c r="AE1418" s="54">
        <v>100</v>
      </c>
      <c r="AF1418" s="54"/>
      <c r="AL1418" s="22"/>
      <c r="AM1418" s="22"/>
      <c r="AN1418" s="22"/>
      <c r="AO1418" s="22"/>
      <c r="AP1418" s="22"/>
      <c r="AQ1418" s="22"/>
      <c r="AR1418" s="22"/>
      <c r="AS1418" s="22"/>
      <c r="AT1418" s="22"/>
      <c r="AU1418" s="22"/>
      <c r="AV1418" s="22"/>
      <c r="AW1418" s="9"/>
      <c r="BA1418" s="22"/>
      <c r="BB1418" s="22"/>
      <c r="BD1418" s="9"/>
      <c r="CS1418" s="11">
        <f t="shared" si="97"/>
        <v>0</v>
      </c>
      <c r="CT1418" s="22">
        <f t="shared" si="98"/>
        <v>0</v>
      </c>
      <c r="CU1418" s="22">
        <f t="shared" si="96"/>
        <v>0</v>
      </c>
      <c r="CV1418" s="26">
        <f t="shared" si="99"/>
        <v>100</v>
      </c>
    </row>
    <row r="1419" spans="1:100" x14ac:dyDescent="0.2">
      <c r="A1419" s="9" t="s">
        <v>361</v>
      </c>
      <c r="B1419" s="2">
        <v>82</v>
      </c>
      <c r="C1419" s="3" t="s">
        <v>95</v>
      </c>
      <c r="D1419" s="3" t="s">
        <v>96</v>
      </c>
      <c r="E1419" s="2"/>
      <c r="F1419" s="2"/>
      <c r="G1419" s="2" t="s">
        <v>74</v>
      </c>
      <c r="H1419" s="2">
        <v>7</v>
      </c>
      <c r="I1419" s="20">
        <v>135</v>
      </c>
      <c r="J1419" s="20">
        <v>49900</v>
      </c>
      <c r="K1419" s="3">
        <v>0</v>
      </c>
      <c r="L1419" s="3" t="s">
        <v>3</v>
      </c>
      <c r="M1419" s="9" t="s">
        <v>0</v>
      </c>
      <c r="N1419" s="9" t="s">
        <v>30</v>
      </c>
      <c r="O1419" s="9" t="s">
        <v>3514</v>
      </c>
      <c r="P1419" s="9" t="s">
        <v>0</v>
      </c>
      <c r="Q1419" s="30" t="s">
        <v>363</v>
      </c>
      <c r="R1419" s="9" t="s">
        <v>364</v>
      </c>
      <c r="S1419" s="9" t="s">
        <v>370</v>
      </c>
      <c r="V1419" s="10">
        <v>12.5</v>
      </c>
      <c r="W1419" s="10" t="s">
        <v>710</v>
      </c>
      <c r="X1419" s="17">
        <v>44752</v>
      </c>
      <c r="Y1419" s="17">
        <v>44950</v>
      </c>
      <c r="Z1419" s="19" t="s">
        <v>772</v>
      </c>
      <c r="AA1419" s="207">
        <v>6000</v>
      </c>
      <c r="AB1419" s="9">
        <v>61</v>
      </c>
      <c r="AC1419" s="9">
        <v>50</v>
      </c>
      <c r="AD1419" s="17">
        <v>46446</v>
      </c>
      <c r="AE1419" s="54">
        <v>100</v>
      </c>
      <c r="AF1419" s="54"/>
      <c r="AL1419" s="22"/>
      <c r="AM1419" s="22"/>
      <c r="AN1419" s="22"/>
      <c r="AO1419" s="22"/>
      <c r="AP1419" s="22"/>
      <c r="AQ1419" s="22"/>
      <c r="AR1419" s="22"/>
      <c r="AS1419" s="22"/>
      <c r="AT1419" s="22"/>
      <c r="AU1419" s="22"/>
      <c r="AV1419" s="22"/>
      <c r="AW1419" s="9"/>
      <c r="BA1419" s="22"/>
      <c r="BB1419" s="22"/>
      <c r="BD1419" s="9"/>
      <c r="CS1419" s="11">
        <f t="shared" si="97"/>
        <v>0</v>
      </c>
      <c r="CT1419" s="22">
        <f t="shared" si="98"/>
        <v>0</v>
      </c>
      <c r="CU1419" s="22">
        <f t="shared" si="96"/>
        <v>0</v>
      </c>
      <c r="CV1419" s="26">
        <f t="shared" si="99"/>
        <v>100</v>
      </c>
    </row>
    <row r="1420" spans="1:100" x14ac:dyDescent="0.2">
      <c r="A1420" s="9" t="s">
        <v>361</v>
      </c>
      <c r="B1420" s="2">
        <v>82</v>
      </c>
      <c r="C1420" s="3" t="s">
        <v>95</v>
      </c>
      <c r="D1420" s="3" t="s">
        <v>96</v>
      </c>
      <c r="E1420" s="2"/>
      <c r="F1420" s="2"/>
      <c r="G1420" s="2" t="s">
        <v>74</v>
      </c>
      <c r="H1420" s="2">
        <v>7</v>
      </c>
      <c r="I1420" s="20">
        <v>135</v>
      </c>
      <c r="J1420" s="20">
        <v>49900</v>
      </c>
      <c r="K1420" s="3">
        <v>0</v>
      </c>
      <c r="L1420" s="3" t="s">
        <v>3</v>
      </c>
      <c r="M1420" s="9" t="s">
        <v>0</v>
      </c>
      <c r="N1420" s="9" t="s">
        <v>30</v>
      </c>
      <c r="O1420" s="9" t="s">
        <v>3514</v>
      </c>
      <c r="P1420" s="9" t="s">
        <v>0</v>
      </c>
      <c r="Q1420" s="30" t="s">
        <v>363</v>
      </c>
      <c r="R1420" s="9" t="s">
        <v>364</v>
      </c>
      <c r="S1420" s="9" t="s">
        <v>370</v>
      </c>
      <c r="V1420" s="10">
        <v>12.5</v>
      </c>
      <c r="W1420" s="10" t="s">
        <v>710</v>
      </c>
      <c r="X1420" s="17">
        <v>44752</v>
      </c>
      <c r="Y1420" s="17">
        <v>44950</v>
      </c>
      <c r="Z1420" s="19" t="s">
        <v>772</v>
      </c>
      <c r="AA1420" s="207">
        <v>6000</v>
      </c>
      <c r="AB1420" s="9">
        <v>61</v>
      </c>
      <c r="AC1420" s="9">
        <v>51</v>
      </c>
      <c r="AD1420" s="17">
        <v>46477</v>
      </c>
      <c r="AE1420" s="54">
        <v>100</v>
      </c>
      <c r="AF1420" s="54"/>
      <c r="AL1420" s="22"/>
      <c r="AM1420" s="22"/>
      <c r="AN1420" s="22"/>
      <c r="AO1420" s="22"/>
      <c r="AP1420" s="22"/>
      <c r="AQ1420" s="22"/>
      <c r="AR1420" s="22"/>
      <c r="AS1420" s="22"/>
      <c r="AT1420" s="22"/>
      <c r="AU1420" s="22"/>
      <c r="AV1420" s="22"/>
      <c r="AW1420" s="9"/>
      <c r="BA1420" s="22"/>
      <c r="BB1420" s="22"/>
      <c r="BD1420" s="9"/>
      <c r="CS1420" s="11">
        <f t="shared" si="97"/>
        <v>0</v>
      </c>
      <c r="CT1420" s="22">
        <f t="shared" si="98"/>
        <v>0</v>
      </c>
      <c r="CU1420" s="22">
        <f t="shared" si="96"/>
        <v>0</v>
      </c>
      <c r="CV1420" s="26">
        <f t="shared" si="99"/>
        <v>100</v>
      </c>
    </row>
    <row r="1421" spans="1:100" x14ac:dyDescent="0.2">
      <c r="A1421" s="9" t="s">
        <v>361</v>
      </c>
      <c r="B1421" s="2">
        <v>82</v>
      </c>
      <c r="C1421" s="3" t="s">
        <v>95</v>
      </c>
      <c r="D1421" s="3" t="s">
        <v>96</v>
      </c>
      <c r="E1421" s="2"/>
      <c r="F1421" s="2"/>
      <c r="G1421" s="2" t="s">
        <v>74</v>
      </c>
      <c r="H1421" s="2">
        <v>7</v>
      </c>
      <c r="I1421" s="20">
        <v>135</v>
      </c>
      <c r="J1421" s="20">
        <v>49900</v>
      </c>
      <c r="K1421" s="3">
        <v>0</v>
      </c>
      <c r="L1421" s="3" t="s">
        <v>3</v>
      </c>
      <c r="M1421" s="9" t="s">
        <v>0</v>
      </c>
      <c r="N1421" s="9" t="s">
        <v>30</v>
      </c>
      <c r="O1421" s="9" t="s">
        <v>3514</v>
      </c>
      <c r="P1421" s="9" t="s">
        <v>0</v>
      </c>
      <c r="Q1421" s="30" t="s">
        <v>363</v>
      </c>
      <c r="R1421" s="9" t="s">
        <v>364</v>
      </c>
      <c r="S1421" s="9" t="s">
        <v>370</v>
      </c>
      <c r="V1421" s="10">
        <v>12.5</v>
      </c>
      <c r="W1421" s="10" t="s">
        <v>710</v>
      </c>
      <c r="X1421" s="17">
        <v>44752</v>
      </c>
      <c r="Y1421" s="17">
        <v>44950</v>
      </c>
      <c r="Z1421" s="19" t="s">
        <v>772</v>
      </c>
      <c r="AA1421" s="207">
        <v>6000</v>
      </c>
      <c r="AB1421" s="9">
        <v>61</v>
      </c>
      <c r="AC1421" s="9">
        <v>52</v>
      </c>
      <c r="AD1421" s="17">
        <v>46507</v>
      </c>
      <c r="AE1421" s="54">
        <v>100</v>
      </c>
      <c r="AF1421" s="54"/>
      <c r="AL1421" s="22"/>
      <c r="AM1421" s="22"/>
      <c r="AN1421" s="22"/>
      <c r="AO1421" s="22"/>
      <c r="AP1421" s="22"/>
      <c r="AQ1421" s="22"/>
      <c r="AR1421" s="22"/>
      <c r="AS1421" s="22"/>
      <c r="AT1421" s="22"/>
      <c r="AU1421" s="22"/>
      <c r="AV1421" s="22"/>
      <c r="AW1421" s="9"/>
      <c r="BA1421" s="22"/>
      <c r="BB1421" s="22"/>
      <c r="BD1421" s="9"/>
      <c r="CS1421" s="11">
        <f t="shared" si="97"/>
        <v>0</v>
      </c>
      <c r="CT1421" s="22">
        <f t="shared" si="98"/>
        <v>0</v>
      </c>
      <c r="CU1421" s="22">
        <f t="shared" si="96"/>
        <v>0</v>
      </c>
      <c r="CV1421" s="26">
        <f t="shared" si="99"/>
        <v>100</v>
      </c>
    </row>
    <row r="1422" spans="1:100" x14ac:dyDescent="0.2">
      <c r="A1422" s="9" t="s">
        <v>361</v>
      </c>
      <c r="B1422" s="2">
        <v>82</v>
      </c>
      <c r="C1422" s="3" t="s">
        <v>95</v>
      </c>
      <c r="D1422" s="3" t="s">
        <v>96</v>
      </c>
      <c r="E1422" s="2"/>
      <c r="F1422" s="2"/>
      <c r="G1422" s="2" t="s">
        <v>74</v>
      </c>
      <c r="H1422" s="2">
        <v>7</v>
      </c>
      <c r="I1422" s="20">
        <v>135</v>
      </c>
      <c r="J1422" s="20">
        <v>49900</v>
      </c>
      <c r="K1422" s="3">
        <v>0</v>
      </c>
      <c r="L1422" s="3" t="s">
        <v>3</v>
      </c>
      <c r="M1422" s="9" t="s">
        <v>0</v>
      </c>
      <c r="N1422" s="9" t="s">
        <v>30</v>
      </c>
      <c r="O1422" s="9" t="s">
        <v>3514</v>
      </c>
      <c r="P1422" s="9" t="s">
        <v>0</v>
      </c>
      <c r="Q1422" s="30" t="s">
        <v>363</v>
      </c>
      <c r="R1422" s="9" t="s">
        <v>364</v>
      </c>
      <c r="S1422" s="9" t="s">
        <v>370</v>
      </c>
      <c r="V1422" s="10">
        <v>12.5</v>
      </c>
      <c r="W1422" s="10" t="s">
        <v>710</v>
      </c>
      <c r="X1422" s="17">
        <v>44752</v>
      </c>
      <c r="Y1422" s="17">
        <v>44950</v>
      </c>
      <c r="Z1422" s="19" t="s">
        <v>772</v>
      </c>
      <c r="AA1422" s="207">
        <v>6000</v>
      </c>
      <c r="AB1422" s="9">
        <v>61</v>
      </c>
      <c r="AC1422" s="9">
        <v>53</v>
      </c>
      <c r="AD1422" s="17">
        <v>46538</v>
      </c>
      <c r="AE1422" s="54">
        <v>100</v>
      </c>
      <c r="AF1422" s="54"/>
      <c r="AL1422" s="22"/>
      <c r="AM1422" s="22"/>
      <c r="AN1422" s="22"/>
      <c r="AO1422" s="22"/>
      <c r="AP1422" s="22"/>
      <c r="AQ1422" s="22"/>
      <c r="AR1422" s="22"/>
      <c r="AS1422" s="22"/>
      <c r="AT1422" s="22"/>
      <c r="AU1422" s="22"/>
      <c r="AV1422" s="22"/>
      <c r="AW1422" s="9"/>
      <c r="BA1422" s="22"/>
      <c r="BB1422" s="22"/>
      <c r="BD1422" s="9"/>
      <c r="CS1422" s="11">
        <f t="shared" si="97"/>
        <v>0</v>
      </c>
      <c r="CT1422" s="22">
        <f t="shared" si="98"/>
        <v>0</v>
      </c>
      <c r="CU1422" s="22">
        <f t="shared" si="96"/>
        <v>0</v>
      </c>
      <c r="CV1422" s="26">
        <f t="shared" si="99"/>
        <v>100</v>
      </c>
    </row>
    <row r="1423" spans="1:100" x14ac:dyDescent="0.2">
      <c r="A1423" s="9" t="s">
        <v>361</v>
      </c>
      <c r="B1423" s="2">
        <v>82</v>
      </c>
      <c r="C1423" s="3" t="s">
        <v>95</v>
      </c>
      <c r="D1423" s="3" t="s">
        <v>96</v>
      </c>
      <c r="E1423" s="2"/>
      <c r="F1423" s="2"/>
      <c r="G1423" s="2" t="s">
        <v>74</v>
      </c>
      <c r="H1423" s="2">
        <v>7</v>
      </c>
      <c r="I1423" s="20">
        <v>135</v>
      </c>
      <c r="J1423" s="20">
        <v>49900</v>
      </c>
      <c r="K1423" s="3">
        <v>0</v>
      </c>
      <c r="L1423" s="3" t="s">
        <v>3</v>
      </c>
      <c r="M1423" s="9" t="s">
        <v>0</v>
      </c>
      <c r="N1423" s="9" t="s">
        <v>30</v>
      </c>
      <c r="O1423" s="9" t="s">
        <v>3514</v>
      </c>
      <c r="P1423" s="9" t="s">
        <v>0</v>
      </c>
      <c r="Q1423" s="30" t="s">
        <v>363</v>
      </c>
      <c r="R1423" s="9" t="s">
        <v>364</v>
      </c>
      <c r="S1423" s="9" t="s">
        <v>370</v>
      </c>
      <c r="V1423" s="10">
        <v>12.5</v>
      </c>
      <c r="W1423" s="10" t="s">
        <v>710</v>
      </c>
      <c r="X1423" s="17">
        <v>44752</v>
      </c>
      <c r="Y1423" s="17">
        <v>44950</v>
      </c>
      <c r="Z1423" s="19" t="s">
        <v>772</v>
      </c>
      <c r="AA1423" s="207">
        <v>6000</v>
      </c>
      <c r="AB1423" s="9">
        <v>61</v>
      </c>
      <c r="AC1423" s="9">
        <v>54</v>
      </c>
      <c r="AD1423" s="17">
        <v>46568</v>
      </c>
      <c r="AE1423" s="54">
        <v>100</v>
      </c>
      <c r="AF1423" s="54"/>
      <c r="AL1423" s="22"/>
      <c r="AM1423" s="22"/>
      <c r="AN1423" s="22"/>
      <c r="AO1423" s="22"/>
      <c r="AP1423" s="22"/>
      <c r="AQ1423" s="22"/>
      <c r="AR1423" s="22"/>
      <c r="AS1423" s="22"/>
      <c r="AT1423" s="22"/>
      <c r="AU1423" s="22"/>
      <c r="AV1423" s="22"/>
      <c r="AW1423" s="9"/>
      <c r="BA1423" s="22"/>
      <c r="BB1423" s="22"/>
      <c r="BD1423" s="9"/>
      <c r="CS1423" s="11">
        <f t="shared" si="97"/>
        <v>0</v>
      </c>
      <c r="CT1423" s="22">
        <f t="shared" si="98"/>
        <v>0</v>
      </c>
      <c r="CU1423" s="22">
        <f t="shared" si="96"/>
        <v>0</v>
      </c>
      <c r="CV1423" s="26">
        <f t="shared" si="99"/>
        <v>100</v>
      </c>
    </row>
    <row r="1424" spans="1:100" x14ac:dyDescent="0.2">
      <c r="A1424" s="9" t="s">
        <v>361</v>
      </c>
      <c r="B1424" s="2">
        <v>82</v>
      </c>
      <c r="C1424" s="3" t="s">
        <v>95</v>
      </c>
      <c r="D1424" s="3" t="s">
        <v>96</v>
      </c>
      <c r="E1424" s="2"/>
      <c r="F1424" s="2"/>
      <c r="G1424" s="2" t="s">
        <v>74</v>
      </c>
      <c r="H1424" s="2">
        <v>7</v>
      </c>
      <c r="I1424" s="20">
        <v>135</v>
      </c>
      <c r="J1424" s="20">
        <v>49900</v>
      </c>
      <c r="K1424" s="3">
        <v>0</v>
      </c>
      <c r="L1424" s="3" t="s">
        <v>3</v>
      </c>
      <c r="M1424" s="9" t="s">
        <v>0</v>
      </c>
      <c r="N1424" s="9" t="s">
        <v>30</v>
      </c>
      <c r="O1424" s="9" t="s">
        <v>3514</v>
      </c>
      <c r="P1424" s="9" t="s">
        <v>0</v>
      </c>
      <c r="Q1424" s="30" t="s">
        <v>363</v>
      </c>
      <c r="R1424" s="9" t="s">
        <v>364</v>
      </c>
      <c r="S1424" s="9" t="s">
        <v>370</v>
      </c>
      <c r="V1424" s="10">
        <v>12.5</v>
      </c>
      <c r="W1424" s="10" t="s">
        <v>710</v>
      </c>
      <c r="X1424" s="17">
        <v>44752</v>
      </c>
      <c r="Y1424" s="17">
        <v>44950</v>
      </c>
      <c r="Z1424" s="19" t="s">
        <v>772</v>
      </c>
      <c r="AA1424" s="207">
        <v>6000</v>
      </c>
      <c r="AB1424" s="9">
        <v>61</v>
      </c>
      <c r="AC1424" s="9">
        <v>55</v>
      </c>
      <c r="AD1424" s="17">
        <v>46599</v>
      </c>
      <c r="AE1424" s="54">
        <v>100</v>
      </c>
      <c r="AF1424" s="54"/>
      <c r="AL1424" s="22"/>
      <c r="AM1424" s="22"/>
      <c r="AN1424" s="22"/>
      <c r="AO1424" s="22"/>
      <c r="AP1424" s="22"/>
      <c r="AQ1424" s="22"/>
      <c r="AR1424" s="22"/>
      <c r="AS1424" s="22"/>
      <c r="AT1424" s="22"/>
      <c r="AU1424" s="22"/>
      <c r="AV1424" s="22"/>
      <c r="AW1424" s="9"/>
      <c r="BA1424" s="22"/>
      <c r="BB1424" s="22"/>
      <c r="BD1424" s="9"/>
      <c r="CS1424" s="11">
        <f t="shared" si="97"/>
        <v>0</v>
      </c>
      <c r="CT1424" s="22">
        <f t="shared" si="98"/>
        <v>0</v>
      </c>
      <c r="CU1424" s="22">
        <f t="shared" si="96"/>
        <v>0</v>
      </c>
      <c r="CV1424" s="26">
        <f t="shared" si="99"/>
        <v>100</v>
      </c>
    </row>
    <row r="1425" spans="1:100" x14ac:dyDescent="0.2">
      <c r="A1425" s="9" t="s">
        <v>361</v>
      </c>
      <c r="B1425" s="2">
        <v>82</v>
      </c>
      <c r="C1425" s="3" t="s">
        <v>95</v>
      </c>
      <c r="D1425" s="3" t="s">
        <v>96</v>
      </c>
      <c r="E1425" s="2"/>
      <c r="F1425" s="2"/>
      <c r="G1425" s="2" t="s">
        <v>74</v>
      </c>
      <c r="H1425" s="2">
        <v>7</v>
      </c>
      <c r="I1425" s="20">
        <v>135</v>
      </c>
      <c r="J1425" s="20">
        <v>49900</v>
      </c>
      <c r="K1425" s="3">
        <v>0</v>
      </c>
      <c r="L1425" s="3" t="s">
        <v>3</v>
      </c>
      <c r="M1425" s="9" t="s">
        <v>0</v>
      </c>
      <c r="N1425" s="9" t="s">
        <v>30</v>
      </c>
      <c r="O1425" s="9" t="s">
        <v>3514</v>
      </c>
      <c r="P1425" s="9" t="s">
        <v>0</v>
      </c>
      <c r="Q1425" s="30" t="s">
        <v>363</v>
      </c>
      <c r="R1425" s="9" t="s">
        <v>364</v>
      </c>
      <c r="S1425" s="9" t="s">
        <v>370</v>
      </c>
      <c r="V1425" s="10">
        <v>12.5</v>
      </c>
      <c r="W1425" s="10" t="s">
        <v>710</v>
      </c>
      <c r="X1425" s="17">
        <v>44752</v>
      </c>
      <c r="Y1425" s="17">
        <v>44950</v>
      </c>
      <c r="Z1425" s="19" t="s">
        <v>772</v>
      </c>
      <c r="AA1425" s="207">
        <v>6000</v>
      </c>
      <c r="AB1425" s="9">
        <v>61</v>
      </c>
      <c r="AC1425" s="9">
        <v>56</v>
      </c>
      <c r="AD1425" s="17">
        <v>46630</v>
      </c>
      <c r="AE1425" s="54">
        <v>100</v>
      </c>
      <c r="AF1425" s="54"/>
      <c r="AL1425" s="22"/>
      <c r="AM1425" s="22"/>
      <c r="AN1425" s="22"/>
      <c r="AO1425" s="22"/>
      <c r="AP1425" s="22"/>
      <c r="AQ1425" s="22"/>
      <c r="AR1425" s="22"/>
      <c r="AS1425" s="22"/>
      <c r="AT1425" s="22"/>
      <c r="AU1425" s="22"/>
      <c r="AV1425" s="22"/>
      <c r="AW1425" s="9"/>
      <c r="BA1425" s="22"/>
      <c r="BB1425" s="22"/>
      <c r="BD1425" s="9"/>
      <c r="CS1425" s="11">
        <f t="shared" si="97"/>
        <v>0</v>
      </c>
      <c r="CT1425" s="22">
        <f t="shared" si="98"/>
        <v>0</v>
      </c>
      <c r="CU1425" s="22">
        <f t="shared" si="96"/>
        <v>0</v>
      </c>
      <c r="CV1425" s="26">
        <f t="shared" si="99"/>
        <v>100</v>
      </c>
    </row>
    <row r="1426" spans="1:100" x14ac:dyDescent="0.2">
      <c r="A1426" s="9" t="s">
        <v>361</v>
      </c>
      <c r="B1426" s="2">
        <v>82</v>
      </c>
      <c r="C1426" s="3" t="s">
        <v>95</v>
      </c>
      <c r="D1426" s="3" t="s">
        <v>96</v>
      </c>
      <c r="E1426" s="2"/>
      <c r="F1426" s="2"/>
      <c r="G1426" s="2" t="s">
        <v>74</v>
      </c>
      <c r="H1426" s="2">
        <v>7</v>
      </c>
      <c r="I1426" s="20">
        <v>135</v>
      </c>
      <c r="J1426" s="20">
        <v>49900</v>
      </c>
      <c r="K1426" s="3">
        <v>0</v>
      </c>
      <c r="L1426" s="3" t="s">
        <v>3</v>
      </c>
      <c r="M1426" s="9" t="s">
        <v>0</v>
      </c>
      <c r="N1426" s="9" t="s">
        <v>30</v>
      </c>
      <c r="O1426" s="9" t="s">
        <v>3514</v>
      </c>
      <c r="P1426" s="9" t="s">
        <v>0</v>
      </c>
      <c r="Q1426" s="30" t="s">
        <v>363</v>
      </c>
      <c r="R1426" s="9" t="s">
        <v>364</v>
      </c>
      <c r="S1426" s="9" t="s">
        <v>370</v>
      </c>
      <c r="V1426" s="10">
        <v>12.5</v>
      </c>
      <c r="W1426" s="10" t="s">
        <v>710</v>
      </c>
      <c r="X1426" s="17">
        <v>44752</v>
      </c>
      <c r="Y1426" s="17">
        <v>44950</v>
      </c>
      <c r="Z1426" s="19" t="s">
        <v>772</v>
      </c>
      <c r="AA1426" s="207">
        <v>6000</v>
      </c>
      <c r="AB1426" s="9">
        <v>61</v>
      </c>
      <c r="AC1426" s="9">
        <v>57</v>
      </c>
      <c r="AD1426" s="17">
        <v>46660</v>
      </c>
      <c r="AE1426" s="54">
        <v>100</v>
      </c>
      <c r="AF1426" s="54"/>
      <c r="AL1426" s="22"/>
      <c r="AM1426" s="22"/>
      <c r="AN1426" s="22"/>
      <c r="AO1426" s="22"/>
      <c r="AP1426" s="22"/>
      <c r="AQ1426" s="22"/>
      <c r="AR1426" s="22"/>
      <c r="AS1426" s="22"/>
      <c r="AT1426" s="22"/>
      <c r="AU1426" s="22"/>
      <c r="AV1426" s="22"/>
      <c r="AW1426" s="9"/>
      <c r="BA1426" s="22"/>
      <c r="BB1426" s="22"/>
      <c r="BD1426" s="9"/>
      <c r="CS1426" s="11">
        <f t="shared" si="97"/>
        <v>0</v>
      </c>
      <c r="CT1426" s="22">
        <f t="shared" si="98"/>
        <v>0</v>
      </c>
      <c r="CU1426" s="22">
        <f t="shared" si="96"/>
        <v>0</v>
      </c>
      <c r="CV1426" s="26">
        <f t="shared" si="99"/>
        <v>100</v>
      </c>
    </row>
    <row r="1427" spans="1:100" x14ac:dyDescent="0.2">
      <c r="A1427" s="9" t="s">
        <v>361</v>
      </c>
      <c r="B1427" s="2">
        <v>82</v>
      </c>
      <c r="C1427" s="3" t="s">
        <v>95</v>
      </c>
      <c r="D1427" s="3" t="s">
        <v>96</v>
      </c>
      <c r="E1427" s="2"/>
      <c r="F1427" s="2"/>
      <c r="G1427" s="2" t="s">
        <v>74</v>
      </c>
      <c r="H1427" s="2">
        <v>7</v>
      </c>
      <c r="I1427" s="20">
        <v>135</v>
      </c>
      <c r="J1427" s="20">
        <v>49900</v>
      </c>
      <c r="K1427" s="3">
        <v>0</v>
      </c>
      <c r="L1427" s="3" t="s">
        <v>3</v>
      </c>
      <c r="M1427" s="9" t="s">
        <v>0</v>
      </c>
      <c r="N1427" s="9" t="s">
        <v>30</v>
      </c>
      <c r="O1427" s="9" t="s">
        <v>3514</v>
      </c>
      <c r="P1427" s="9" t="s">
        <v>0</v>
      </c>
      <c r="Q1427" s="30" t="s">
        <v>363</v>
      </c>
      <c r="R1427" s="9" t="s">
        <v>364</v>
      </c>
      <c r="S1427" s="9" t="s">
        <v>370</v>
      </c>
      <c r="V1427" s="10">
        <v>12.5</v>
      </c>
      <c r="W1427" s="10" t="s">
        <v>710</v>
      </c>
      <c r="X1427" s="17">
        <v>44752</v>
      </c>
      <c r="Y1427" s="17">
        <v>44950</v>
      </c>
      <c r="Z1427" s="19" t="s">
        <v>772</v>
      </c>
      <c r="AA1427" s="207">
        <v>6000</v>
      </c>
      <c r="AB1427" s="9">
        <v>61</v>
      </c>
      <c r="AC1427" s="9">
        <v>58</v>
      </c>
      <c r="AD1427" s="17">
        <v>46691</v>
      </c>
      <c r="AE1427" s="54">
        <v>100</v>
      </c>
      <c r="AF1427" s="54"/>
      <c r="AL1427" s="22"/>
      <c r="AM1427" s="22"/>
      <c r="AN1427" s="22"/>
      <c r="AO1427" s="22"/>
      <c r="AP1427" s="22"/>
      <c r="AQ1427" s="22"/>
      <c r="AR1427" s="22"/>
      <c r="AS1427" s="22"/>
      <c r="AT1427" s="22"/>
      <c r="AU1427" s="22"/>
      <c r="AV1427" s="22"/>
      <c r="AW1427" s="9"/>
      <c r="BA1427" s="22"/>
      <c r="BB1427" s="22"/>
      <c r="BD1427" s="9"/>
      <c r="CS1427" s="11">
        <f t="shared" si="97"/>
        <v>0</v>
      </c>
      <c r="CT1427" s="22">
        <f t="shared" si="98"/>
        <v>0</v>
      </c>
      <c r="CU1427" s="22">
        <f t="shared" si="96"/>
        <v>0</v>
      </c>
      <c r="CV1427" s="26">
        <f t="shared" si="99"/>
        <v>100</v>
      </c>
    </row>
    <row r="1428" spans="1:100" x14ac:dyDescent="0.2">
      <c r="A1428" s="9" t="s">
        <v>361</v>
      </c>
      <c r="B1428" s="2">
        <v>82</v>
      </c>
      <c r="C1428" s="3" t="s">
        <v>95</v>
      </c>
      <c r="D1428" s="3" t="s">
        <v>96</v>
      </c>
      <c r="E1428" s="2"/>
      <c r="F1428" s="2"/>
      <c r="G1428" s="2" t="s">
        <v>74</v>
      </c>
      <c r="H1428" s="2">
        <v>7</v>
      </c>
      <c r="I1428" s="20">
        <v>135</v>
      </c>
      <c r="J1428" s="20">
        <v>49900</v>
      </c>
      <c r="K1428" s="3">
        <v>0</v>
      </c>
      <c r="L1428" s="3" t="s">
        <v>3</v>
      </c>
      <c r="M1428" s="9" t="s">
        <v>0</v>
      </c>
      <c r="N1428" s="9" t="s">
        <v>30</v>
      </c>
      <c r="O1428" s="9" t="s">
        <v>3514</v>
      </c>
      <c r="P1428" s="9" t="s">
        <v>0</v>
      </c>
      <c r="Q1428" s="30" t="s">
        <v>363</v>
      </c>
      <c r="R1428" s="9" t="s">
        <v>364</v>
      </c>
      <c r="S1428" s="9" t="s">
        <v>370</v>
      </c>
      <c r="V1428" s="10">
        <v>12.5</v>
      </c>
      <c r="W1428" s="10" t="s">
        <v>710</v>
      </c>
      <c r="X1428" s="17">
        <v>44752</v>
      </c>
      <c r="Y1428" s="17">
        <v>44950</v>
      </c>
      <c r="Z1428" s="19" t="s">
        <v>772</v>
      </c>
      <c r="AA1428" s="207">
        <v>6000</v>
      </c>
      <c r="AB1428" s="9">
        <v>61</v>
      </c>
      <c r="AC1428" s="9">
        <v>59</v>
      </c>
      <c r="AD1428" s="17">
        <v>46721</v>
      </c>
      <c r="AE1428" s="54">
        <v>100</v>
      </c>
      <c r="AF1428" s="54"/>
      <c r="AL1428" s="22"/>
      <c r="AM1428" s="22"/>
      <c r="AN1428" s="22"/>
      <c r="AO1428" s="22"/>
      <c r="AP1428" s="22"/>
      <c r="AQ1428" s="22"/>
      <c r="AR1428" s="22"/>
      <c r="AS1428" s="22"/>
      <c r="AT1428" s="22"/>
      <c r="AU1428" s="22"/>
      <c r="AV1428" s="22"/>
      <c r="AW1428" s="9"/>
      <c r="BA1428" s="22"/>
      <c r="BB1428" s="22"/>
      <c r="BD1428" s="9"/>
      <c r="CS1428" s="11">
        <f t="shared" si="97"/>
        <v>0</v>
      </c>
      <c r="CT1428" s="22">
        <f t="shared" si="98"/>
        <v>0</v>
      </c>
      <c r="CU1428" s="22">
        <f t="shared" si="96"/>
        <v>0</v>
      </c>
      <c r="CV1428" s="26">
        <f t="shared" si="99"/>
        <v>100</v>
      </c>
    </row>
    <row r="1429" spans="1:100" x14ac:dyDescent="0.2">
      <c r="A1429" s="9" t="s">
        <v>361</v>
      </c>
      <c r="B1429" s="2">
        <v>82</v>
      </c>
      <c r="C1429" s="3" t="s">
        <v>95</v>
      </c>
      <c r="D1429" s="3" t="s">
        <v>96</v>
      </c>
      <c r="E1429" s="2"/>
      <c r="F1429" s="2"/>
      <c r="G1429" s="2" t="s">
        <v>74</v>
      </c>
      <c r="H1429" s="2">
        <v>7</v>
      </c>
      <c r="I1429" s="20">
        <v>135</v>
      </c>
      <c r="J1429" s="20">
        <v>49900</v>
      </c>
      <c r="K1429" s="3">
        <v>0</v>
      </c>
      <c r="L1429" s="3" t="s">
        <v>3</v>
      </c>
      <c r="M1429" s="9" t="s">
        <v>0</v>
      </c>
      <c r="N1429" s="9" t="s">
        <v>30</v>
      </c>
      <c r="O1429" s="9" t="s">
        <v>3514</v>
      </c>
      <c r="P1429" s="9" t="s">
        <v>0</v>
      </c>
      <c r="Q1429" s="30" t="s">
        <v>363</v>
      </c>
      <c r="R1429" s="9" t="s">
        <v>364</v>
      </c>
      <c r="S1429" s="9" t="s">
        <v>370</v>
      </c>
      <c r="V1429" s="10">
        <v>12.5</v>
      </c>
      <c r="W1429" s="10" t="s">
        <v>710</v>
      </c>
      <c r="X1429" s="17">
        <v>44752</v>
      </c>
      <c r="Y1429" s="17">
        <v>44950</v>
      </c>
      <c r="Z1429" s="19" t="s">
        <v>772</v>
      </c>
      <c r="AA1429" s="207">
        <v>6000</v>
      </c>
      <c r="AB1429" s="9">
        <v>61</v>
      </c>
      <c r="AC1429" s="9">
        <v>60</v>
      </c>
      <c r="AD1429" s="17">
        <v>46752</v>
      </c>
      <c r="AE1429" s="54">
        <v>150</v>
      </c>
      <c r="AF1429" s="54"/>
      <c r="AL1429" s="22"/>
      <c r="AM1429" s="22"/>
      <c r="AN1429" s="22"/>
      <c r="AO1429" s="22"/>
      <c r="AP1429" s="22"/>
      <c r="AQ1429" s="22"/>
      <c r="AR1429" s="22"/>
      <c r="AS1429" s="22"/>
      <c r="AT1429" s="22"/>
      <c r="AU1429" s="22"/>
      <c r="AV1429" s="22"/>
      <c r="AW1429" s="9"/>
      <c r="BA1429" s="22"/>
      <c r="BB1429" s="22"/>
      <c r="BD1429" s="9"/>
      <c r="CS1429" s="11">
        <f t="shared" si="97"/>
        <v>0</v>
      </c>
      <c r="CT1429" s="22">
        <f t="shared" si="98"/>
        <v>0</v>
      </c>
      <c r="CU1429" s="22">
        <f t="shared" si="96"/>
        <v>0</v>
      </c>
      <c r="CV1429" s="26">
        <f t="shared" si="99"/>
        <v>150</v>
      </c>
    </row>
    <row r="1430" spans="1:100" x14ac:dyDescent="0.2">
      <c r="A1430" s="9" t="s">
        <v>361</v>
      </c>
      <c r="B1430" s="2">
        <v>82</v>
      </c>
      <c r="C1430" s="3" t="s">
        <v>95</v>
      </c>
      <c r="D1430" s="3" t="s">
        <v>96</v>
      </c>
      <c r="E1430" s="2"/>
      <c r="F1430" s="2"/>
      <c r="G1430" s="2" t="s">
        <v>74</v>
      </c>
      <c r="H1430" s="2">
        <v>7</v>
      </c>
      <c r="I1430" s="20">
        <v>135</v>
      </c>
      <c r="J1430" s="20">
        <v>49900</v>
      </c>
      <c r="K1430" s="3">
        <v>0</v>
      </c>
      <c r="L1430" s="3" t="s">
        <v>3</v>
      </c>
      <c r="M1430" s="9" t="s">
        <v>0</v>
      </c>
      <c r="N1430" s="9" t="s">
        <v>30</v>
      </c>
      <c r="O1430" s="9" t="s">
        <v>3514</v>
      </c>
      <c r="P1430" s="9" t="s">
        <v>0</v>
      </c>
      <c r="Q1430" s="30" t="s">
        <v>363</v>
      </c>
      <c r="R1430" s="9" t="s">
        <v>364</v>
      </c>
      <c r="S1430" s="9" t="s">
        <v>370</v>
      </c>
      <c r="V1430" s="10">
        <v>12.5</v>
      </c>
      <c r="W1430" s="10" t="s">
        <v>710</v>
      </c>
      <c r="X1430" s="17">
        <v>44752</v>
      </c>
      <c r="Y1430" s="17">
        <v>44950</v>
      </c>
      <c r="Z1430" s="19" t="s">
        <v>772</v>
      </c>
      <c r="AA1430" s="207">
        <v>6000</v>
      </c>
      <c r="AB1430" s="9">
        <v>61</v>
      </c>
      <c r="AC1430" s="9">
        <v>61</v>
      </c>
      <c r="AD1430" s="17">
        <v>46783</v>
      </c>
      <c r="AE1430" s="54">
        <v>150</v>
      </c>
      <c r="AF1430" s="54"/>
      <c r="AL1430" s="22"/>
      <c r="AM1430" s="22"/>
      <c r="AN1430" s="22"/>
      <c r="AO1430" s="22"/>
      <c r="AP1430" s="22"/>
      <c r="AQ1430" s="22"/>
      <c r="AR1430" s="22"/>
      <c r="AS1430" s="22"/>
      <c r="AT1430" s="22"/>
      <c r="AU1430" s="22"/>
      <c r="AV1430" s="22"/>
      <c r="AW1430" s="9"/>
      <c r="BA1430" s="22"/>
      <c r="BB1430" s="22"/>
      <c r="BD1430" s="9"/>
      <c r="CS1430" s="11">
        <f t="shared" si="97"/>
        <v>0</v>
      </c>
      <c r="CT1430" s="22">
        <f t="shared" si="98"/>
        <v>0</v>
      </c>
      <c r="CU1430" s="22">
        <f t="shared" si="96"/>
        <v>0</v>
      </c>
      <c r="CV1430" s="26">
        <f t="shared" si="99"/>
        <v>150</v>
      </c>
    </row>
    <row r="1431" spans="1:100" x14ac:dyDescent="0.2">
      <c r="A1431" s="9" t="s">
        <v>371</v>
      </c>
      <c r="B1431" s="2">
        <v>68</v>
      </c>
      <c r="C1431" s="38" t="s">
        <v>95</v>
      </c>
      <c r="D1431" s="38" t="s">
        <v>96</v>
      </c>
      <c r="E1431" s="37"/>
      <c r="F1431" s="37"/>
      <c r="G1431" s="2" t="s">
        <v>73</v>
      </c>
      <c r="H1431" s="2">
        <v>2</v>
      </c>
      <c r="I1431" s="20">
        <v>120.73</v>
      </c>
      <c r="J1431" s="20">
        <v>35900</v>
      </c>
      <c r="K1431" s="3">
        <v>0</v>
      </c>
      <c r="L1431" s="3" t="s">
        <v>3</v>
      </c>
      <c r="M1431" s="9" t="s">
        <v>0</v>
      </c>
      <c r="N1431" s="9" t="s">
        <v>31</v>
      </c>
      <c r="O1431" s="9" t="s">
        <v>372</v>
      </c>
      <c r="P1431" s="9" t="s">
        <v>0</v>
      </c>
      <c r="Q1431" s="39" t="s">
        <v>373</v>
      </c>
      <c r="R1431" s="36" t="s">
        <v>374</v>
      </c>
      <c r="S1431" s="9" t="s">
        <v>158</v>
      </c>
      <c r="T1431" s="10" t="s">
        <v>68</v>
      </c>
      <c r="U1431" s="10">
        <v>12</v>
      </c>
      <c r="V1431" s="10">
        <v>120.73</v>
      </c>
      <c r="W1431" s="10" t="s">
        <v>710</v>
      </c>
      <c r="X1431" s="17">
        <v>44684</v>
      </c>
      <c r="Y1431" s="17">
        <v>44728</v>
      </c>
      <c r="Z1431" s="17"/>
      <c r="AA1431" s="207">
        <v>31000</v>
      </c>
      <c r="AB1431" s="9">
        <v>25</v>
      </c>
      <c r="AC1431" s="9">
        <v>1</v>
      </c>
      <c r="AD1431" s="17">
        <v>44687</v>
      </c>
      <c r="AE1431" s="54">
        <v>500</v>
      </c>
      <c r="AF1431" s="54"/>
      <c r="AG1431" s="9" t="s">
        <v>134</v>
      </c>
      <c r="AH1431" s="18">
        <v>44687</v>
      </c>
      <c r="AI1431" s="18"/>
      <c r="AJ1431" s="18"/>
      <c r="AK1431" s="10" t="s">
        <v>378</v>
      </c>
      <c r="AL1431" s="22">
        <v>500</v>
      </c>
      <c r="AM1431" s="22"/>
      <c r="AN1431" s="22" t="s">
        <v>2026</v>
      </c>
      <c r="AO1431" s="9"/>
      <c r="AP1431" s="18"/>
      <c r="AQ1431" s="18"/>
      <c r="AR1431" s="18"/>
      <c r="AS1431" s="10"/>
      <c r="AT1431" s="22"/>
      <c r="AU1431" s="22"/>
      <c r="AV1431" s="22"/>
      <c r="AW1431" s="17">
        <v>44687</v>
      </c>
      <c r="AX1431" s="9" t="s">
        <v>376</v>
      </c>
      <c r="BA1431" s="22">
        <v>500</v>
      </c>
      <c r="BB1431" s="22" t="s">
        <v>1348</v>
      </c>
      <c r="BD1431" s="9"/>
      <c r="CT1431" s="22">
        <f t="shared" ref="CT1431:CT1462" si="100">+BA1431+BG1431+BM1431+BS1431+BY1431+CE1431+CK1431</f>
        <v>500</v>
      </c>
      <c r="CU1431" s="22">
        <f t="shared" ref="CU1431:CU1462" si="101">+AL1431+AT1431-CT1431</f>
        <v>0</v>
      </c>
      <c r="CV1431" s="26">
        <f t="shared" si="99"/>
        <v>0</v>
      </c>
    </row>
    <row r="1432" spans="1:100" ht="15" customHeight="1" x14ac:dyDescent="0.2">
      <c r="A1432" s="9" t="s">
        <v>371</v>
      </c>
      <c r="B1432" s="2">
        <v>68</v>
      </c>
      <c r="C1432" s="38" t="s">
        <v>95</v>
      </c>
      <c r="D1432" s="38" t="s">
        <v>96</v>
      </c>
      <c r="E1432" s="37"/>
      <c r="F1432" s="37"/>
      <c r="G1432" s="2" t="s">
        <v>73</v>
      </c>
      <c r="H1432" s="2">
        <v>2</v>
      </c>
      <c r="I1432" s="20">
        <v>120.73</v>
      </c>
      <c r="J1432" s="20">
        <v>35900</v>
      </c>
      <c r="K1432" s="3">
        <v>0</v>
      </c>
      <c r="L1432" s="3" t="s">
        <v>3</v>
      </c>
      <c r="M1432" s="9" t="s">
        <v>0</v>
      </c>
      <c r="N1432" s="9" t="s">
        <v>31</v>
      </c>
      <c r="O1432" s="9" t="s">
        <v>372</v>
      </c>
      <c r="P1432" s="9" t="s">
        <v>0</v>
      </c>
      <c r="Q1432" s="39" t="s">
        <v>373</v>
      </c>
      <c r="R1432" s="36" t="s">
        <v>374</v>
      </c>
      <c r="S1432" s="9" t="s">
        <v>158</v>
      </c>
      <c r="T1432" s="10" t="s">
        <v>68</v>
      </c>
      <c r="U1432" s="10">
        <v>12</v>
      </c>
      <c r="V1432" s="10">
        <v>120.73</v>
      </c>
      <c r="W1432" s="10" t="s">
        <v>710</v>
      </c>
      <c r="X1432" s="17">
        <v>44684</v>
      </c>
      <c r="Y1432" s="17">
        <v>44728</v>
      </c>
      <c r="Z1432" s="17"/>
      <c r="AA1432" s="207">
        <v>31000</v>
      </c>
      <c r="AB1432" s="9">
        <v>25</v>
      </c>
      <c r="AC1432" s="9">
        <v>1</v>
      </c>
      <c r="AD1432" s="17">
        <v>44687</v>
      </c>
      <c r="AE1432" s="54">
        <v>5500</v>
      </c>
      <c r="AF1432" s="54"/>
      <c r="AG1432" s="9" t="s">
        <v>134</v>
      </c>
      <c r="AH1432" s="18">
        <v>44686</v>
      </c>
      <c r="AI1432" s="18"/>
      <c r="AJ1432" s="18"/>
      <c r="AK1432" s="10" t="s">
        <v>377</v>
      </c>
      <c r="AL1432" s="22">
        <v>5500</v>
      </c>
      <c r="AM1432" s="22"/>
      <c r="AN1432" s="22" t="s">
        <v>2025</v>
      </c>
      <c r="AO1432" s="22"/>
      <c r="AP1432" s="22"/>
      <c r="AQ1432" s="22"/>
      <c r="AR1432" s="22"/>
      <c r="AS1432" s="22"/>
      <c r="AT1432" s="22"/>
      <c r="AU1432" s="22"/>
      <c r="AV1432" s="22"/>
      <c r="AW1432" s="17">
        <v>44685</v>
      </c>
      <c r="AX1432" s="9">
        <v>612</v>
      </c>
      <c r="BA1432" s="22">
        <v>2500</v>
      </c>
      <c r="BB1432" s="22"/>
      <c r="BC1432" s="17">
        <v>44685</v>
      </c>
      <c r="BD1432" s="9" t="s">
        <v>375</v>
      </c>
      <c r="BG1432" s="9">
        <v>1200</v>
      </c>
      <c r="BI1432" s="17">
        <v>44686</v>
      </c>
      <c r="BJ1432" s="9">
        <v>614</v>
      </c>
      <c r="BM1432" s="9">
        <v>1800</v>
      </c>
      <c r="CT1432" s="22">
        <f t="shared" si="100"/>
        <v>5500</v>
      </c>
      <c r="CU1432" s="22">
        <f t="shared" si="101"/>
        <v>0</v>
      </c>
      <c r="CV1432" s="26">
        <f t="shared" si="99"/>
        <v>0</v>
      </c>
    </row>
    <row r="1433" spans="1:100" ht="15" customHeight="1" x14ac:dyDescent="0.2">
      <c r="A1433" s="9" t="s">
        <v>371</v>
      </c>
      <c r="B1433" s="2">
        <v>68</v>
      </c>
      <c r="C1433" s="38" t="s">
        <v>95</v>
      </c>
      <c r="D1433" s="38" t="s">
        <v>96</v>
      </c>
      <c r="E1433" s="37"/>
      <c r="F1433" s="37"/>
      <c r="G1433" s="2" t="s">
        <v>73</v>
      </c>
      <c r="H1433" s="2">
        <v>2</v>
      </c>
      <c r="I1433" s="20">
        <v>120.73</v>
      </c>
      <c r="J1433" s="20">
        <v>35900</v>
      </c>
      <c r="K1433" s="3">
        <v>0</v>
      </c>
      <c r="L1433" s="3" t="s">
        <v>3</v>
      </c>
      <c r="M1433" s="9" t="s">
        <v>0</v>
      </c>
      <c r="N1433" s="9" t="s">
        <v>31</v>
      </c>
      <c r="O1433" s="9" t="s">
        <v>372</v>
      </c>
      <c r="P1433" s="9" t="s">
        <v>0</v>
      </c>
      <c r="Q1433" s="39" t="s">
        <v>373</v>
      </c>
      <c r="R1433" s="36" t="s">
        <v>374</v>
      </c>
      <c r="S1433" s="9" t="s">
        <v>158</v>
      </c>
      <c r="T1433" s="10" t="s">
        <v>68</v>
      </c>
      <c r="U1433" s="10">
        <v>12</v>
      </c>
      <c r="V1433" s="10">
        <v>120.73</v>
      </c>
      <c r="W1433" s="10" t="s">
        <v>710</v>
      </c>
      <c r="X1433" s="17">
        <v>44684</v>
      </c>
      <c r="Y1433" s="17">
        <v>44728</v>
      </c>
      <c r="Z1433" s="17"/>
      <c r="AA1433" s="207">
        <v>31000</v>
      </c>
      <c r="AB1433" s="9">
        <v>25</v>
      </c>
      <c r="AC1433" s="117" t="s">
        <v>2087</v>
      </c>
      <c r="AD1433" s="17">
        <v>44687</v>
      </c>
      <c r="AE1433" s="54">
        <f>275+275+50</f>
        <v>600</v>
      </c>
      <c r="AF1433" s="54"/>
      <c r="AG1433" s="9" t="s">
        <v>134</v>
      </c>
      <c r="AH1433" s="18">
        <v>44734</v>
      </c>
      <c r="AI1433" s="18"/>
      <c r="AJ1433" s="18"/>
      <c r="AK1433" s="10" t="s">
        <v>379</v>
      </c>
      <c r="AL1433" s="22">
        <v>600</v>
      </c>
      <c r="AM1433" s="22"/>
      <c r="AN1433" s="22" t="s">
        <v>2027</v>
      </c>
      <c r="AO1433" s="22"/>
      <c r="AP1433" s="22"/>
      <c r="AQ1433" s="22"/>
      <c r="AR1433" s="22"/>
      <c r="AS1433" s="22"/>
      <c r="AT1433" s="22"/>
      <c r="AU1433" s="22"/>
      <c r="AV1433" s="22"/>
      <c r="AW1433" s="17">
        <v>44686</v>
      </c>
      <c r="AX1433" s="9">
        <v>614</v>
      </c>
      <c r="BA1433" s="22">
        <v>500</v>
      </c>
      <c r="BB1433" s="22"/>
      <c r="BC1433" s="17">
        <v>44684</v>
      </c>
      <c r="BD1433" s="9">
        <v>614</v>
      </c>
      <c r="BG1433" s="9">
        <v>100</v>
      </c>
      <c r="CT1433" s="22">
        <f t="shared" si="100"/>
        <v>600</v>
      </c>
      <c r="CU1433" s="22">
        <f t="shared" si="101"/>
        <v>0</v>
      </c>
      <c r="CV1433" s="26">
        <f t="shared" si="99"/>
        <v>0</v>
      </c>
    </row>
    <row r="1434" spans="1:100" ht="15" customHeight="1" x14ac:dyDescent="0.2">
      <c r="A1434" s="9" t="s">
        <v>371</v>
      </c>
      <c r="B1434" s="2">
        <v>68</v>
      </c>
      <c r="C1434" s="38" t="s">
        <v>95</v>
      </c>
      <c r="D1434" s="38" t="s">
        <v>96</v>
      </c>
      <c r="E1434" s="37"/>
      <c r="F1434" s="37"/>
      <c r="G1434" s="2" t="s">
        <v>73</v>
      </c>
      <c r="H1434" s="2">
        <v>2</v>
      </c>
      <c r="I1434" s="20">
        <v>120.73</v>
      </c>
      <c r="J1434" s="20">
        <v>35900</v>
      </c>
      <c r="K1434" s="3">
        <v>0</v>
      </c>
      <c r="L1434" s="3" t="s">
        <v>3</v>
      </c>
      <c r="M1434" s="9" t="s">
        <v>0</v>
      </c>
      <c r="N1434" s="9" t="s">
        <v>31</v>
      </c>
      <c r="O1434" s="9" t="s">
        <v>372</v>
      </c>
      <c r="P1434" s="9" t="s">
        <v>0</v>
      </c>
      <c r="Q1434" s="39" t="s">
        <v>373</v>
      </c>
      <c r="R1434" s="36" t="s">
        <v>374</v>
      </c>
      <c r="S1434" s="9" t="s">
        <v>158</v>
      </c>
      <c r="T1434" s="10" t="s">
        <v>68</v>
      </c>
      <c r="U1434" s="10">
        <v>12</v>
      </c>
      <c r="V1434" s="10">
        <v>120.73</v>
      </c>
      <c r="W1434" s="10" t="s">
        <v>710</v>
      </c>
      <c r="X1434" s="17">
        <v>44684</v>
      </c>
      <c r="Y1434" s="17">
        <v>44728</v>
      </c>
      <c r="Z1434" s="17"/>
      <c r="AA1434" s="207">
        <v>31000</v>
      </c>
      <c r="AB1434" s="9">
        <v>25</v>
      </c>
      <c r="AC1434" s="9">
        <v>4</v>
      </c>
      <c r="AD1434" s="17">
        <v>44962</v>
      </c>
      <c r="AE1434" s="54">
        <f>275-50</f>
        <v>225</v>
      </c>
      <c r="AF1434" s="54"/>
      <c r="AG1434" s="9" t="s">
        <v>134</v>
      </c>
      <c r="AH1434" s="18">
        <v>44970</v>
      </c>
      <c r="AI1434" s="18"/>
      <c r="AJ1434" s="18"/>
      <c r="AK1434" s="10" t="s">
        <v>380</v>
      </c>
      <c r="AL1434" s="22">
        <v>225</v>
      </c>
      <c r="AM1434" s="22"/>
      <c r="AN1434" s="22" t="s">
        <v>2036</v>
      </c>
      <c r="AO1434" s="22"/>
      <c r="AP1434" s="127"/>
      <c r="AQ1434" s="127"/>
      <c r="AR1434" s="127"/>
      <c r="AS1434" s="22"/>
      <c r="AT1434" s="22"/>
      <c r="AU1434" s="22"/>
      <c r="AV1434" s="22"/>
      <c r="AW1434" s="42">
        <v>44962</v>
      </c>
      <c r="AX1434" s="36">
        <v>1203</v>
      </c>
      <c r="AY1434" s="36"/>
      <c r="AZ1434" s="36"/>
      <c r="BA1434" s="40">
        <v>225</v>
      </c>
      <c r="BB1434" s="22"/>
      <c r="BD1434" s="9"/>
      <c r="CT1434" s="22">
        <f t="shared" si="100"/>
        <v>225</v>
      </c>
      <c r="CU1434" s="22">
        <f t="shared" si="101"/>
        <v>0</v>
      </c>
      <c r="CV1434" s="26">
        <f t="shared" si="99"/>
        <v>0</v>
      </c>
    </row>
    <row r="1435" spans="1:100" ht="15" customHeight="1" x14ac:dyDescent="0.2">
      <c r="A1435" s="9" t="s">
        <v>371</v>
      </c>
      <c r="B1435" s="2">
        <v>68</v>
      </c>
      <c r="C1435" s="38" t="s">
        <v>95</v>
      </c>
      <c r="D1435" s="38" t="s">
        <v>96</v>
      </c>
      <c r="E1435" s="37"/>
      <c r="F1435" s="37"/>
      <c r="G1435" s="2" t="s">
        <v>73</v>
      </c>
      <c r="H1435" s="2">
        <v>2</v>
      </c>
      <c r="I1435" s="20">
        <v>120.73</v>
      </c>
      <c r="J1435" s="20">
        <v>35900</v>
      </c>
      <c r="K1435" s="3">
        <v>0</v>
      </c>
      <c r="L1435" s="3" t="s">
        <v>3</v>
      </c>
      <c r="M1435" s="9" t="s">
        <v>0</v>
      </c>
      <c r="N1435" s="9" t="s">
        <v>31</v>
      </c>
      <c r="O1435" s="9" t="s">
        <v>372</v>
      </c>
      <c r="P1435" s="9" t="s">
        <v>0</v>
      </c>
      <c r="Q1435" s="39" t="s">
        <v>373</v>
      </c>
      <c r="R1435" s="36" t="s">
        <v>374</v>
      </c>
      <c r="S1435" s="9" t="s">
        <v>158</v>
      </c>
      <c r="T1435" s="10" t="s">
        <v>68</v>
      </c>
      <c r="U1435" s="10">
        <v>12</v>
      </c>
      <c r="V1435" s="10">
        <v>120.73</v>
      </c>
      <c r="W1435" s="10" t="s">
        <v>710</v>
      </c>
      <c r="X1435" s="17">
        <v>44684</v>
      </c>
      <c r="Y1435" s="17">
        <v>44728</v>
      </c>
      <c r="Z1435" s="17"/>
      <c r="AA1435" s="207">
        <v>31000</v>
      </c>
      <c r="AB1435" s="9">
        <v>25</v>
      </c>
      <c r="AC1435" s="9">
        <v>5</v>
      </c>
      <c r="AD1435" s="17">
        <v>44990</v>
      </c>
      <c r="AE1435" s="54">
        <v>275</v>
      </c>
      <c r="AF1435" s="54"/>
      <c r="AG1435" s="9" t="s">
        <v>134</v>
      </c>
      <c r="AH1435" s="18">
        <v>45009</v>
      </c>
      <c r="AI1435" s="18"/>
      <c r="AJ1435" s="18"/>
      <c r="AK1435" s="10" t="s">
        <v>2028</v>
      </c>
      <c r="AL1435" s="22">
        <v>275</v>
      </c>
      <c r="AM1435" s="22"/>
      <c r="AN1435" s="22" t="s">
        <v>2037</v>
      </c>
      <c r="AO1435" s="22"/>
      <c r="AP1435" s="22"/>
      <c r="AQ1435" s="22"/>
      <c r="AR1435" s="22"/>
      <c r="AS1435" s="22"/>
      <c r="AT1435" s="22"/>
      <c r="AU1435" s="22"/>
      <c r="AV1435" s="22"/>
      <c r="AW1435" s="42">
        <v>44987</v>
      </c>
      <c r="AX1435" s="36">
        <v>1283</v>
      </c>
      <c r="AY1435" s="36"/>
      <c r="AZ1435" s="36"/>
      <c r="BA1435" s="40">
        <v>275</v>
      </c>
      <c r="BB1435" s="22"/>
      <c r="BD1435" s="9"/>
      <c r="CT1435" s="22">
        <f t="shared" si="100"/>
        <v>275</v>
      </c>
      <c r="CU1435" s="22">
        <f t="shared" si="101"/>
        <v>0</v>
      </c>
      <c r="CV1435" s="26">
        <f t="shared" si="99"/>
        <v>0</v>
      </c>
    </row>
    <row r="1436" spans="1:100" ht="15" customHeight="1" x14ac:dyDescent="0.2">
      <c r="A1436" s="9" t="s">
        <v>371</v>
      </c>
      <c r="B1436" s="2">
        <v>68</v>
      </c>
      <c r="C1436" s="38" t="s">
        <v>95</v>
      </c>
      <c r="D1436" s="38" t="s">
        <v>96</v>
      </c>
      <c r="E1436" s="37"/>
      <c r="F1436" s="37"/>
      <c r="G1436" s="2" t="s">
        <v>73</v>
      </c>
      <c r="H1436" s="2">
        <v>2</v>
      </c>
      <c r="I1436" s="20">
        <v>120.73</v>
      </c>
      <c r="J1436" s="20">
        <v>35900</v>
      </c>
      <c r="K1436" s="3">
        <v>0</v>
      </c>
      <c r="L1436" s="3" t="s">
        <v>3</v>
      </c>
      <c r="M1436" s="9" t="s">
        <v>0</v>
      </c>
      <c r="N1436" s="9" t="s">
        <v>31</v>
      </c>
      <c r="O1436" s="9" t="s">
        <v>372</v>
      </c>
      <c r="P1436" s="9" t="s">
        <v>0</v>
      </c>
      <c r="Q1436" s="39" t="s">
        <v>373</v>
      </c>
      <c r="R1436" s="36" t="s">
        <v>374</v>
      </c>
      <c r="S1436" s="9" t="s">
        <v>158</v>
      </c>
      <c r="T1436" s="10" t="s">
        <v>68</v>
      </c>
      <c r="U1436" s="10">
        <v>12</v>
      </c>
      <c r="V1436" s="10">
        <v>120.73</v>
      </c>
      <c r="W1436" s="10" t="s">
        <v>710</v>
      </c>
      <c r="X1436" s="17">
        <v>44684</v>
      </c>
      <c r="Y1436" s="17">
        <v>44728</v>
      </c>
      <c r="Z1436" s="17"/>
      <c r="AA1436" s="207">
        <v>31000</v>
      </c>
      <c r="AB1436" s="9">
        <v>25</v>
      </c>
      <c r="AC1436" s="9">
        <v>6</v>
      </c>
      <c r="AD1436" s="17">
        <v>45021</v>
      </c>
      <c r="AE1436" s="54">
        <v>275</v>
      </c>
      <c r="AF1436" s="54"/>
      <c r="AG1436" s="9" t="s">
        <v>134</v>
      </c>
      <c r="AH1436" s="18">
        <v>45016</v>
      </c>
      <c r="AI1436" s="18"/>
      <c r="AJ1436" s="18"/>
      <c r="AK1436" s="10" t="s">
        <v>2029</v>
      </c>
      <c r="AL1436" s="22">
        <v>275</v>
      </c>
      <c r="AM1436" s="9"/>
      <c r="AN1436" s="9" t="s">
        <v>2038</v>
      </c>
      <c r="AO1436" s="22"/>
      <c r="AP1436" s="22"/>
      <c r="AQ1436" s="22"/>
      <c r="AR1436" s="22"/>
      <c r="AS1436" s="22"/>
      <c r="AT1436" s="22"/>
      <c r="AU1436" s="22"/>
      <c r="AV1436" s="22"/>
      <c r="AW1436" s="17">
        <v>45015</v>
      </c>
      <c r="AX1436" s="9">
        <v>1360</v>
      </c>
      <c r="BA1436" s="22">
        <v>275</v>
      </c>
      <c r="BB1436" s="22"/>
      <c r="BD1436" s="9"/>
      <c r="CT1436" s="22">
        <f t="shared" si="100"/>
        <v>275</v>
      </c>
      <c r="CU1436" s="22">
        <f t="shared" si="101"/>
        <v>0</v>
      </c>
      <c r="CV1436" s="26">
        <f t="shared" si="99"/>
        <v>0</v>
      </c>
    </row>
    <row r="1437" spans="1:100" x14ac:dyDescent="0.2">
      <c r="A1437" s="9" t="s">
        <v>371</v>
      </c>
      <c r="B1437" s="2">
        <v>68</v>
      </c>
      <c r="C1437" s="38" t="s">
        <v>95</v>
      </c>
      <c r="D1437" s="38" t="s">
        <v>96</v>
      </c>
      <c r="E1437" s="37"/>
      <c r="F1437" s="37"/>
      <c r="G1437" s="2" t="s">
        <v>73</v>
      </c>
      <c r="H1437" s="2">
        <v>2</v>
      </c>
      <c r="I1437" s="20">
        <v>120.73</v>
      </c>
      <c r="J1437" s="20">
        <v>35900</v>
      </c>
      <c r="K1437" s="3">
        <v>0</v>
      </c>
      <c r="L1437" s="3" t="s">
        <v>3</v>
      </c>
      <c r="M1437" s="9" t="s">
        <v>0</v>
      </c>
      <c r="N1437" s="9" t="s">
        <v>31</v>
      </c>
      <c r="O1437" s="9" t="s">
        <v>372</v>
      </c>
      <c r="P1437" s="9" t="s">
        <v>0</v>
      </c>
      <c r="Q1437" s="39" t="s">
        <v>373</v>
      </c>
      <c r="R1437" s="36" t="s">
        <v>374</v>
      </c>
      <c r="S1437" s="9" t="s">
        <v>158</v>
      </c>
      <c r="T1437" s="10" t="s">
        <v>68</v>
      </c>
      <c r="U1437" s="10">
        <v>12</v>
      </c>
      <c r="V1437" s="10">
        <v>120.73</v>
      </c>
      <c r="W1437" s="10" t="s">
        <v>710</v>
      </c>
      <c r="X1437" s="17">
        <v>44684</v>
      </c>
      <c r="Y1437" s="17">
        <v>44728</v>
      </c>
      <c r="Z1437" s="17"/>
      <c r="AA1437" s="207">
        <v>31000</v>
      </c>
      <c r="AB1437" s="9">
        <v>25</v>
      </c>
      <c r="AC1437" s="9">
        <v>7</v>
      </c>
      <c r="AD1437" s="17">
        <v>45051</v>
      </c>
      <c r="AE1437" s="54">
        <v>275</v>
      </c>
      <c r="AF1437" s="54"/>
      <c r="AG1437" s="9" t="s">
        <v>134</v>
      </c>
      <c r="AH1437" s="18">
        <v>45050</v>
      </c>
      <c r="AI1437" s="18"/>
      <c r="AJ1437" s="18"/>
      <c r="AK1437" s="10" t="s">
        <v>2047</v>
      </c>
      <c r="AL1437" s="22">
        <v>275</v>
      </c>
      <c r="AM1437" s="22"/>
      <c r="AN1437" s="22" t="s">
        <v>2039</v>
      </c>
      <c r="AO1437" s="22"/>
      <c r="AP1437" s="22"/>
      <c r="AQ1437" s="22"/>
      <c r="AR1437" s="22"/>
      <c r="AS1437" s="22"/>
      <c r="AT1437" s="22"/>
      <c r="AU1437" s="22"/>
      <c r="AV1437" s="22"/>
      <c r="AW1437" s="17">
        <v>45048</v>
      </c>
      <c r="AX1437" s="9">
        <v>1450</v>
      </c>
      <c r="BA1437" s="22">
        <v>275</v>
      </c>
      <c r="BB1437" s="22"/>
      <c r="BD1437" s="9"/>
      <c r="CT1437" s="22">
        <f t="shared" si="100"/>
        <v>275</v>
      </c>
      <c r="CU1437" s="22">
        <f t="shared" si="101"/>
        <v>0</v>
      </c>
      <c r="CV1437" s="26">
        <f t="shared" si="99"/>
        <v>0</v>
      </c>
    </row>
    <row r="1438" spans="1:100" x14ac:dyDescent="0.2">
      <c r="A1438" s="9" t="s">
        <v>371</v>
      </c>
      <c r="B1438" s="2">
        <v>68</v>
      </c>
      <c r="C1438" s="38" t="s">
        <v>95</v>
      </c>
      <c r="D1438" s="38" t="s">
        <v>96</v>
      </c>
      <c r="E1438" s="37"/>
      <c r="F1438" s="37"/>
      <c r="G1438" s="2" t="s">
        <v>73</v>
      </c>
      <c r="H1438" s="2">
        <v>2</v>
      </c>
      <c r="I1438" s="20">
        <v>120.73</v>
      </c>
      <c r="J1438" s="20">
        <v>35900</v>
      </c>
      <c r="K1438" s="3">
        <v>0</v>
      </c>
      <c r="L1438" s="3" t="s">
        <v>3</v>
      </c>
      <c r="M1438" s="9" t="s">
        <v>0</v>
      </c>
      <c r="N1438" s="9" t="s">
        <v>31</v>
      </c>
      <c r="O1438" s="9" t="s">
        <v>372</v>
      </c>
      <c r="P1438" s="9" t="s">
        <v>0</v>
      </c>
      <c r="Q1438" s="39" t="s">
        <v>373</v>
      </c>
      <c r="R1438" s="36" t="s">
        <v>374</v>
      </c>
      <c r="S1438" s="9" t="s">
        <v>158</v>
      </c>
      <c r="T1438" s="10" t="s">
        <v>68</v>
      </c>
      <c r="U1438" s="10">
        <v>12</v>
      </c>
      <c r="V1438" s="10">
        <v>120.73</v>
      </c>
      <c r="W1438" s="10" t="s">
        <v>710</v>
      </c>
      <c r="X1438" s="17">
        <v>44684</v>
      </c>
      <c r="Y1438" s="17">
        <v>44728</v>
      </c>
      <c r="Z1438" s="17"/>
      <c r="AA1438" s="207">
        <v>31000</v>
      </c>
      <c r="AB1438" s="9">
        <v>25</v>
      </c>
      <c r="AC1438" s="9">
        <v>8</v>
      </c>
      <c r="AD1438" s="17">
        <v>45082</v>
      </c>
      <c r="AE1438" s="54">
        <v>275</v>
      </c>
      <c r="AF1438" s="54"/>
      <c r="AG1438" s="9" t="s">
        <v>134</v>
      </c>
      <c r="AH1438" s="18">
        <v>45110</v>
      </c>
      <c r="AI1438" s="18"/>
      <c r="AJ1438" s="18"/>
      <c r="AK1438" s="10" t="s">
        <v>2048</v>
      </c>
      <c r="AL1438" s="22">
        <v>275</v>
      </c>
      <c r="AM1438" s="22"/>
      <c r="AN1438" s="22" t="s">
        <v>2040</v>
      </c>
      <c r="AO1438" s="22"/>
      <c r="AP1438" s="22"/>
      <c r="AQ1438" s="22"/>
      <c r="AR1438" s="22"/>
      <c r="AS1438" s="22"/>
      <c r="AT1438" s="22"/>
      <c r="AU1438" s="22"/>
      <c r="AV1438" s="22"/>
      <c r="AW1438" s="17">
        <v>45108</v>
      </c>
      <c r="AX1438" s="9">
        <v>1661</v>
      </c>
      <c r="BA1438" s="22">
        <v>275</v>
      </c>
      <c r="BB1438" s="22"/>
      <c r="BD1438" s="9"/>
      <c r="CT1438" s="22">
        <f t="shared" si="100"/>
        <v>275</v>
      </c>
      <c r="CU1438" s="22">
        <f t="shared" si="101"/>
        <v>0</v>
      </c>
      <c r="CV1438" s="26">
        <f t="shared" si="99"/>
        <v>0</v>
      </c>
    </row>
    <row r="1439" spans="1:100" x14ac:dyDescent="0.2">
      <c r="A1439" s="9" t="s">
        <v>371</v>
      </c>
      <c r="B1439" s="2">
        <v>68</v>
      </c>
      <c r="C1439" s="38" t="s">
        <v>95</v>
      </c>
      <c r="D1439" s="38" t="s">
        <v>96</v>
      </c>
      <c r="E1439" s="37"/>
      <c r="F1439" s="37"/>
      <c r="G1439" s="2" t="s">
        <v>73</v>
      </c>
      <c r="H1439" s="2">
        <v>2</v>
      </c>
      <c r="I1439" s="20">
        <v>120.73</v>
      </c>
      <c r="J1439" s="20">
        <v>35900</v>
      </c>
      <c r="K1439" s="3">
        <v>0</v>
      </c>
      <c r="L1439" s="3" t="s">
        <v>3</v>
      </c>
      <c r="M1439" s="9" t="s">
        <v>0</v>
      </c>
      <c r="N1439" s="9" t="s">
        <v>31</v>
      </c>
      <c r="O1439" s="9" t="s">
        <v>372</v>
      </c>
      <c r="P1439" s="9" t="s">
        <v>0</v>
      </c>
      <c r="Q1439" s="39" t="s">
        <v>373</v>
      </c>
      <c r="R1439" s="36" t="s">
        <v>374</v>
      </c>
      <c r="S1439" s="9" t="s">
        <v>158</v>
      </c>
      <c r="T1439" s="10" t="s">
        <v>68</v>
      </c>
      <c r="U1439" s="10">
        <v>12</v>
      </c>
      <c r="V1439" s="10">
        <v>120.73</v>
      </c>
      <c r="W1439" s="10" t="s">
        <v>710</v>
      </c>
      <c r="X1439" s="17">
        <v>44684</v>
      </c>
      <c r="Y1439" s="17">
        <v>44728</v>
      </c>
      <c r="Z1439" s="17"/>
      <c r="AA1439" s="207">
        <v>31000</v>
      </c>
      <c r="AB1439" s="9">
        <v>25</v>
      </c>
      <c r="AC1439" s="9">
        <v>9</v>
      </c>
      <c r="AD1439" s="17">
        <v>45112</v>
      </c>
      <c r="AE1439" s="54">
        <v>275</v>
      </c>
      <c r="AF1439" s="54"/>
      <c r="AG1439" s="9" t="s">
        <v>134</v>
      </c>
      <c r="AH1439" s="18">
        <v>45110</v>
      </c>
      <c r="AI1439" s="18"/>
      <c r="AJ1439" s="18"/>
      <c r="AK1439" s="10" t="s">
        <v>2030</v>
      </c>
      <c r="AL1439" s="22">
        <v>275</v>
      </c>
      <c r="AM1439" s="22"/>
      <c r="AN1439" s="22" t="s">
        <v>2041</v>
      </c>
      <c r="AO1439" s="22"/>
      <c r="AP1439" s="22"/>
      <c r="AQ1439" s="22"/>
      <c r="AR1439" s="22"/>
      <c r="AS1439" s="22"/>
      <c r="AT1439" s="22"/>
      <c r="AU1439" s="22"/>
      <c r="AV1439" s="22"/>
      <c r="AW1439" s="17">
        <v>45080</v>
      </c>
      <c r="AX1439" s="9">
        <v>1581</v>
      </c>
      <c r="BA1439" s="22">
        <v>275</v>
      </c>
      <c r="BB1439" s="22"/>
      <c r="BD1439" s="9"/>
      <c r="CT1439" s="22">
        <f t="shared" si="100"/>
        <v>275</v>
      </c>
      <c r="CU1439" s="22">
        <f t="shared" si="101"/>
        <v>0</v>
      </c>
      <c r="CV1439" s="26">
        <f t="shared" si="99"/>
        <v>0</v>
      </c>
    </row>
    <row r="1440" spans="1:100" x14ac:dyDescent="0.2">
      <c r="A1440" s="9" t="s">
        <v>371</v>
      </c>
      <c r="B1440" s="2">
        <v>68</v>
      </c>
      <c r="C1440" s="38" t="s">
        <v>95</v>
      </c>
      <c r="D1440" s="38" t="s">
        <v>96</v>
      </c>
      <c r="E1440" s="37"/>
      <c r="F1440" s="37"/>
      <c r="G1440" s="2" t="s">
        <v>73</v>
      </c>
      <c r="H1440" s="2">
        <v>2</v>
      </c>
      <c r="I1440" s="20">
        <v>120.73</v>
      </c>
      <c r="J1440" s="20">
        <v>35900</v>
      </c>
      <c r="K1440" s="3">
        <v>0</v>
      </c>
      <c r="L1440" s="3" t="s">
        <v>3</v>
      </c>
      <c r="M1440" s="9" t="s">
        <v>0</v>
      </c>
      <c r="N1440" s="9" t="s">
        <v>31</v>
      </c>
      <c r="O1440" s="9" t="s">
        <v>372</v>
      </c>
      <c r="P1440" s="9" t="s">
        <v>0</v>
      </c>
      <c r="Q1440" s="39" t="s">
        <v>373</v>
      </c>
      <c r="R1440" s="36" t="s">
        <v>374</v>
      </c>
      <c r="S1440" s="9" t="s">
        <v>158</v>
      </c>
      <c r="T1440" s="10" t="s">
        <v>68</v>
      </c>
      <c r="U1440" s="10">
        <v>12</v>
      </c>
      <c r="V1440" s="10">
        <v>120.73</v>
      </c>
      <c r="W1440" s="10" t="s">
        <v>710</v>
      </c>
      <c r="X1440" s="17">
        <v>44684</v>
      </c>
      <c r="Y1440" s="17">
        <v>44728</v>
      </c>
      <c r="Z1440" s="17"/>
      <c r="AA1440" s="207">
        <v>31000</v>
      </c>
      <c r="AB1440" s="9">
        <v>25</v>
      </c>
      <c r="AC1440" s="9">
        <v>10</v>
      </c>
      <c r="AD1440" s="17">
        <v>45143</v>
      </c>
      <c r="AE1440" s="54">
        <v>275</v>
      </c>
      <c r="AF1440" s="54"/>
      <c r="AG1440" s="9" t="s">
        <v>134</v>
      </c>
      <c r="AH1440" s="18">
        <v>45141</v>
      </c>
      <c r="AI1440" s="18"/>
      <c r="AJ1440" s="18"/>
      <c r="AK1440" s="10" t="s">
        <v>2031</v>
      </c>
      <c r="AL1440" s="22">
        <v>275</v>
      </c>
      <c r="AM1440" s="22"/>
      <c r="AN1440" s="22" t="s">
        <v>2042</v>
      </c>
      <c r="AO1440" s="22"/>
      <c r="AP1440" s="22"/>
      <c r="AQ1440" s="22"/>
      <c r="AR1440" s="22"/>
      <c r="AS1440" s="22"/>
      <c r="AT1440" s="22"/>
      <c r="AU1440" s="22"/>
      <c r="AV1440" s="22"/>
      <c r="AW1440" s="17">
        <v>45134</v>
      </c>
      <c r="AX1440" s="9">
        <v>1752</v>
      </c>
      <c r="BA1440" s="22">
        <v>275</v>
      </c>
      <c r="BB1440" s="22"/>
      <c r="BD1440" s="9"/>
      <c r="CT1440" s="22">
        <f t="shared" si="100"/>
        <v>275</v>
      </c>
      <c r="CU1440" s="22">
        <f t="shared" si="101"/>
        <v>0</v>
      </c>
      <c r="CV1440" s="26">
        <f t="shared" si="99"/>
        <v>0</v>
      </c>
    </row>
    <row r="1441" spans="1:100" x14ac:dyDescent="0.2">
      <c r="A1441" s="9" t="s">
        <v>371</v>
      </c>
      <c r="B1441" s="2">
        <v>68</v>
      </c>
      <c r="C1441" s="38" t="s">
        <v>95</v>
      </c>
      <c r="D1441" s="38" t="s">
        <v>96</v>
      </c>
      <c r="E1441" s="37"/>
      <c r="F1441" s="37"/>
      <c r="G1441" s="2" t="s">
        <v>73</v>
      </c>
      <c r="H1441" s="2">
        <v>2</v>
      </c>
      <c r="I1441" s="20">
        <v>120.73</v>
      </c>
      <c r="J1441" s="20">
        <v>35900</v>
      </c>
      <c r="K1441" s="3">
        <v>0</v>
      </c>
      <c r="L1441" s="3" t="s">
        <v>3</v>
      </c>
      <c r="M1441" s="9" t="s">
        <v>0</v>
      </c>
      <c r="N1441" s="9" t="s">
        <v>31</v>
      </c>
      <c r="O1441" s="9" t="s">
        <v>372</v>
      </c>
      <c r="P1441" s="9" t="s">
        <v>0</v>
      </c>
      <c r="Q1441" s="39" t="s">
        <v>373</v>
      </c>
      <c r="R1441" s="36" t="s">
        <v>374</v>
      </c>
      <c r="S1441" s="9" t="s">
        <v>158</v>
      </c>
      <c r="T1441" s="10" t="s">
        <v>68</v>
      </c>
      <c r="U1441" s="10">
        <v>12</v>
      </c>
      <c r="V1441" s="10">
        <v>120.73</v>
      </c>
      <c r="W1441" s="10" t="s">
        <v>710</v>
      </c>
      <c r="X1441" s="17">
        <v>44684</v>
      </c>
      <c r="Y1441" s="17">
        <v>44728</v>
      </c>
      <c r="Z1441" s="17"/>
      <c r="AA1441" s="207">
        <v>31000</v>
      </c>
      <c r="AB1441" s="9">
        <v>25</v>
      </c>
      <c r="AC1441" s="9">
        <v>11</v>
      </c>
      <c r="AD1441" s="17">
        <v>45174</v>
      </c>
      <c r="AE1441" s="54">
        <v>275</v>
      </c>
      <c r="AF1441" s="54"/>
      <c r="AG1441" s="9" t="s">
        <v>134</v>
      </c>
      <c r="AH1441" s="18">
        <v>45166</v>
      </c>
      <c r="AI1441" s="18"/>
      <c r="AJ1441" s="18"/>
      <c r="AK1441" s="10" t="s">
        <v>2032</v>
      </c>
      <c r="AL1441" s="22">
        <v>275</v>
      </c>
      <c r="AM1441" s="22"/>
      <c r="AN1441" s="22" t="s">
        <v>2043</v>
      </c>
      <c r="AO1441" s="22"/>
      <c r="AP1441" s="22"/>
      <c r="AQ1441" s="22"/>
      <c r="AR1441" s="22"/>
      <c r="AS1441" s="22"/>
      <c r="AT1441" s="22"/>
      <c r="AU1441" s="22"/>
      <c r="AV1441" s="22"/>
      <c r="AW1441" s="17">
        <v>45163</v>
      </c>
      <c r="AX1441" s="9">
        <v>1849</v>
      </c>
      <c r="BA1441" s="22">
        <v>275</v>
      </c>
      <c r="BB1441" s="22"/>
      <c r="BD1441" s="9"/>
      <c r="CT1441" s="22">
        <f t="shared" si="100"/>
        <v>275</v>
      </c>
      <c r="CU1441" s="22">
        <f t="shared" si="101"/>
        <v>0</v>
      </c>
      <c r="CV1441" s="26">
        <f t="shared" si="99"/>
        <v>0</v>
      </c>
    </row>
    <row r="1442" spans="1:100" x14ac:dyDescent="0.2">
      <c r="A1442" s="9" t="s">
        <v>371</v>
      </c>
      <c r="B1442" s="2">
        <v>68</v>
      </c>
      <c r="C1442" s="38" t="s">
        <v>95</v>
      </c>
      <c r="D1442" s="38" t="s">
        <v>96</v>
      </c>
      <c r="E1442" s="37"/>
      <c r="F1442" s="37"/>
      <c r="G1442" s="2" t="s">
        <v>73</v>
      </c>
      <c r="H1442" s="2">
        <v>2</v>
      </c>
      <c r="I1442" s="20">
        <v>120.73</v>
      </c>
      <c r="J1442" s="20">
        <v>35900</v>
      </c>
      <c r="K1442" s="3">
        <v>0</v>
      </c>
      <c r="L1442" s="3" t="s">
        <v>3</v>
      </c>
      <c r="M1442" s="9" t="s">
        <v>0</v>
      </c>
      <c r="N1442" s="9" t="s">
        <v>31</v>
      </c>
      <c r="O1442" s="9" t="s">
        <v>372</v>
      </c>
      <c r="P1442" s="9" t="s">
        <v>0</v>
      </c>
      <c r="Q1442" s="39" t="s">
        <v>373</v>
      </c>
      <c r="R1442" s="36" t="s">
        <v>374</v>
      </c>
      <c r="S1442" s="9" t="s">
        <v>158</v>
      </c>
      <c r="T1442" s="10" t="s">
        <v>68</v>
      </c>
      <c r="U1442" s="10">
        <v>12</v>
      </c>
      <c r="V1442" s="10">
        <v>120.73</v>
      </c>
      <c r="W1442" s="10" t="s">
        <v>710</v>
      </c>
      <c r="X1442" s="17">
        <v>44684</v>
      </c>
      <c r="Y1442" s="17">
        <v>44728</v>
      </c>
      <c r="Z1442" s="17"/>
      <c r="AA1442" s="207">
        <v>31000</v>
      </c>
      <c r="AB1442" s="9">
        <v>25</v>
      </c>
      <c r="AC1442" s="9">
        <v>12</v>
      </c>
      <c r="AD1442" s="17">
        <v>45204</v>
      </c>
      <c r="AE1442" s="54">
        <v>275</v>
      </c>
      <c r="AF1442" s="54"/>
      <c r="AG1442" s="9" t="s">
        <v>134</v>
      </c>
      <c r="AH1442" s="18">
        <v>45239</v>
      </c>
      <c r="AI1442" s="18"/>
      <c r="AJ1442" s="18"/>
      <c r="AK1442" s="10" t="s">
        <v>2033</v>
      </c>
      <c r="AL1442" s="22">
        <v>275</v>
      </c>
      <c r="AM1442" s="22"/>
      <c r="AN1442" s="22" t="s">
        <v>2044</v>
      </c>
      <c r="AO1442" s="22"/>
      <c r="AP1442" s="22"/>
      <c r="AQ1442" s="22"/>
      <c r="AR1442" s="22"/>
      <c r="AS1442" s="22"/>
      <c r="AT1442" s="22"/>
      <c r="AU1442" s="22"/>
      <c r="AV1442" s="22"/>
      <c r="AW1442" s="17">
        <v>45199</v>
      </c>
      <c r="AX1442" s="9">
        <v>1931</v>
      </c>
      <c r="BA1442" s="22">
        <v>275</v>
      </c>
      <c r="BB1442" s="22"/>
      <c r="BD1442" s="9"/>
      <c r="CT1442" s="22">
        <f t="shared" si="100"/>
        <v>275</v>
      </c>
      <c r="CU1442" s="22">
        <f t="shared" si="101"/>
        <v>0</v>
      </c>
      <c r="CV1442" s="26">
        <f t="shared" si="99"/>
        <v>0</v>
      </c>
    </row>
    <row r="1443" spans="1:100" x14ac:dyDescent="0.2">
      <c r="A1443" s="9" t="s">
        <v>371</v>
      </c>
      <c r="B1443" s="2">
        <v>68</v>
      </c>
      <c r="C1443" s="38" t="s">
        <v>95</v>
      </c>
      <c r="D1443" s="38" t="s">
        <v>96</v>
      </c>
      <c r="E1443" s="37"/>
      <c r="F1443" s="37"/>
      <c r="G1443" s="2" t="s">
        <v>73</v>
      </c>
      <c r="H1443" s="2">
        <v>2</v>
      </c>
      <c r="I1443" s="20">
        <v>120.73</v>
      </c>
      <c r="J1443" s="20">
        <v>35900</v>
      </c>
      <c r="K1443" s="3">
        <v>0</v>
      </c>
      <c r="L1443" s="3" t="s">
        <v>3</v>
      </c>
      <c r="M1443" s="9" t="s">
        <v>0</v>
      </c>
      <c r="N1443" s="9" t="s">
        <v>31</v>
      </c>
      <c r="O1443" s="9" t="s">
        <v>372</v>
      </c>
      <c r="P1443" s="9" t="s">
        <v>0</v>
      </c>
      <c r="Q1443" s="39" t="s">
        <v>373</v>
      </c>
      <c r="R1443" s="36" t="s">
        <v>374</v>
      </c>
      <c r="S1443" s="9" t="s">
        <v>158</v>
      </c>
      <c r="T1443" s="10" t="s">
        <v>68</v>
      </c>
      <c r="U1443" s="10">
        <v>12</v>
      </c>
      <c r="V1443" s="10">
        <v>120.73</v>
      </c>
      <c r="W1443" s="10" t="s">
        <v>710</v>
      </c>
      <c r="X1443" s="17">
        <v>44684</v>
      </c>
      <c r="Y1443" s="17">
        <v>44728</v>
      </c>
      <c r="Z1443" s="17"/>
      <c r="AA1443" s="207">
        <v>31000</v>
      </c>
      <c r="AB1443" s="9">
        <v>25</v>
      </c>
      <c r="AC1443" s="9">
        <v>13</v>
      </c>
      <c r="AD1443" s="17">
        <v>45235</v>
      </c>
      <c r="AE1443" s="54">
        <v>275</v>
      </c>
      <c r="AF1443" s="54"/>
      <c r="AG1443" s="9" t="s">
        <v>134</v>
      </c>
      <c r="AH1443" s="18">
        <v>45239</v>
      </c>
      <c r="AI1443" s="18"/>
      <c r="AJ1443" s="18"/>
      <c r="AK1443" s="10" t="s">
        <v>2034</v>
      </c>
      <c r="AL1443" s="22">
        <v>275</v>
      </c>
      <c r="AM1443" s="22"/>
      <c r="AN1443" s="22" t="s">
        <v>2045</v>
      </c>
      <c r="AO1443" s="22"/>
      <c r="AP1443" s="22"/>
      <c r="AQ1443" s="22"/>
      <c r="AR1443" s="22"/>
      <c r="AS1443" s="22"/>
      <c r="AT1443" s="22"/>
      <c r="AU1443" s="22"/>
      <c r="AV1443" s="22"/>
      <c r="AW1443" s="17">
        <v>45234</v>
      </c>
      <c r="AX1443" s="9">
        <v>2030</v>
      </c>
      <c r="BA1443" s="22">
        <v>275</v>
      </c>
      <c r="BB1443" s="22"/>
      <c r="BD1443" s="9"/>
      <c r="CT1443" s="22">
        <f t="shared" si="100"/>
        <v>275</v>
      </c>
      <c r="CU1443" s="22">
        <f t="shared" si="101"/>
        <v>0</v>
      </c>
      <c r="CV1443" s="26">
        <f t="shared" si="99"/>
        <v>0</v>
      </c>
    </row>
    <row r="1444" spans="1:100" x14ac:dyDescent="0.2">
      <c r="A1444" s="9" t="s">
        <v>371</v>
      </c>
      <c r="B1444" s="2">
        <v>68</v>
      </c>
      <c r="C1444" s="38" t="s">
        <v>95</v>
      </c>
      <c r="D1444" s="38" t="s">
        <v>96</v>
      </c>
      <c r="E1444" s="37"/>
      <c r="F1444" s="37"/>
      <c r="G1444" s="2" t="s">
        <v>73</v>
      </c>
      <c r="H1444" s="2">
        <v>2</v>
      </c>
      <c r="I1444" s="20">
        <v>120.73</v>
      </c>
      <c r="J1444" s="20">
        <v>35900</v>
      </c>
      <c r="K1444" s="3">
        <v>0</v>
      </c>
      <c r="L1444" s="3" t="s">
        <v>3</v>
      </c>
      <c r="M1444" s="9" t="s">
        <v>0</v>
      </c>
      <c r="N1444" s="9" t="s">
        <v>31</v>
      </c>
      <c r="O1444" s="9" t="s">
        <v>372</v>
      </c>
      <c r="P1444" s="9" t="s">
        <v>0</v>
      </c>
      <c r="Q1444" s="39" t="s">
        <v>373</v>
      </c>
      <c r="R1444" s="36" t="s">
        <v>374</v>
      </c>
      <c r="S1444" s="9" t="s">
        <v>158</v>
      </c>
      <c r="T1444" s="10" t="s">
        <v>68</v>
      </c>
      <c r="U1444" s="10">
        <v>12</v>
      </c>
      <c r="V1444" s="10">
        <v>120.73</v>
      </c>
      <c r="W1444" s="10" t="s">
        <v>710</v>
      </c>
      <c r="X1444" s="17">
        <v>44684</v>
      </c>
      <c r="Y1444" s="17">
        <v>44728</v>
      </c>
      <c r="Z1444" s="17"/>
      <c r="AA1444" s="207">
        <v>31000</v>
      </c>
      <c r="AB1444" s="9">
        <v>25</v>
      </c>
      <c r="AC1444" s="9">
        <v>14</v>
      </c>
      <c r="AD1444" s="17">
        <v>45265</v>
      </c>
      <c r="AE1444" s="54">
        <v>275</v>
      </c>
      <c r="AF1444" s="54"/>
      <c r="AG1444" s="9" t="s">
        <v>134</v>
      </c>
      <c r="AH1444" s="18">
        <v>45267</v>
      </c>
      <c r="AI1444" s="18"/>
      <c r="AJ1444" s="18"/>
      <c r="AK1444" s="10" t="s">
        <v>2035</v>
      </c>
      <c r="AL1444" s="22">
        <v>275</v>
      </c>
      <c r="AM1444" s="22"/>
      <c r="AN1444" s="22" t="s">
        <v>2046</v>
      </c>
      <c r="AO1444" s="22"/>
      <c r="AP1444" s="22"/>
      <c r="AQ1444" s="22"/>
      <c r="AR1444" s="22"/>
      <c r="AS1444" s="22"/>
      <c r="AT1444" s="22"/>
      <c r="AU1444" s="22"/>
      <c r="AV1444" s="22"/>
      <c r="AW1444" s="17">
        <v>45265</v>
      </c>
      <c r="AX1444" s="9">
        <v>2101</v>
      </c>
      <c r="BA1444" s="22">
        <v>275</v>
      </c>
      <c r="BB1444" s="22"/>
      <c r="BD1444" s="9"/>
      <c r="CT1444" s="22">
        <f t="shared" si="100"/>
        <v>275</v>
      </c>
      <c r="CU1444" s="22">
        <f t="shared" si="101"/>
        <v>0</v>
      </c>
      <c r="CV1444" s="26">
        <f t="shared" si="99"/>
        <v>0</v>
      </c>
    </row>
    <row r="1445" spans="1:100" x14ac:dyDescent="0.2">
      <c r="A1445" s="9" t="s">
        <v>371</v>
      </c>
      <c r="B1445" s="2">
        <v>68</v>
      </c>
      <c r="C1445" s="38" t="s">
        <v>95</v>
      </c>
      <c r="D1445" s="38" t="s">
        <v>96</v>
      </c>
      <c r="E1445" s="37"/>
      <c r="F1445" s="37"/>
      <c r="G1445" s="2" t="s">
        <v>73</v>
      </c>
      <c r="H1445" s="2">
        <v>2</v>
      </c>
      <c r="I1445" s="20">
        <v>120.73</v>
      </c>
      <c r="J1445" s="20">
        <v>35900</v>
      </c>
      <c r="K1445" s="3">
        <v>0</v>
      </c>
      <c r="L1445" s="3" t="s">
        <v>3</v>
      </c>
      <c r="M1445" s="9" t="s">
        <v>0</v>
      </c>
      <c r="N1445" s="9" t="s">
        <v>31</v>
      </c>
      <c r="O1445" s="9" t="s">
        <v>372</v>
      </c>
      <c r="P1445" s="9" t="s">
        <v>0</v>
      </c>
      <c r="Q1445" s="39" t="s">
        <v>373</v>
      </c>
      <c r="R1445" s="36" t="s">
        <v>374</v>
      </c>
      <c r="S1445" s="9" t="s">
        <v>158</v>
      </c>
      <c r="T1445" s="10" t="s">
        <v>68</v>
      </c>
      <c r="U1445" s="10">
        <v>12</v>
      </c>
      <c r="V1445" s="10">
        <v>120.73</v>
      </c>
      <c r="W1445" s="10" t="s">
        <v>710</v>
      </c>
      <c r="X1445" s="17">
        <v>44684</v>
      </c>
      <c r="Y1445" s="17">
        <v>44728</v>
      </c>
      <c r="Z1445" s="17"/>
      <c r="AA1445" s="207">
        <v>31000</v>
      </c>
      <c r="AB1445" s="9">
        <v>25</v>
      </c>
      <c r="AC1445" s="9">
        <v>15</v>
      </c>
      <c r="AD1445" s="17">
        <v>45296</v>
      </c>
      <c r="AE1445" s="54">
        <v>275</v>
      </c>
      <c r="AF1445" s="54"/>
      <c r="AG1445" s="9" t="s">
        <v>134</v>
      </c>
      <c r="AH1445" s="18">
        <v>45293</v>
      </c>
      <c r="AI1445" s="18"/>
      <c r="AJ1445" s="18"/>
      <c r="AK1445" s="10" t="s">
        <v>2049</v>
      </c>
      <c r="AL1445" s="22">
        <v>275</v>
      </c>
      <c r="AM1445" s="22"/>
      <c r="AN1445" s="22" t="s">
        <v>2059</v>
      </c>
      <c r="AO1445" s="22"/>
      <c r="AP1445" s="22"/>
      <c r="AQ1445" s="22"/>
      <c r="AR1445" s="22"/>
      <c r="AS1445" s="22"/>
      <c r="AT1445" s="22"/>
      <c r="AU1445" s="22"/>
      <c r="AV1445" s="22"/>
      <c r="AW1445" s="17">
        <v>45289</v>
      </c>
      <c r="AX1445" s="9">
        <v>2149</v>
      </c>
      <c r="BA1445" s="22">
        <v>275</v>
      </c>
      <c r="BB1445" s="22"/>
      <c r="BD1445" s="9"/>
      <c r="CT1445" s="22">
        <f t="shared" si="100"/>
        <v>275</v>
      </c>
      <c r="CU1445" s="22">
        <f t="shared" si="101"/>
        <v>0</v>
      </c>
      <c r="CV1445" s="26">
        <f t="shared" si="99"/>
        <v>0</v>
      </c>
    </row>
    <row r="1446" spans="1:100" x14ac:dyDescent="0.2">
      <c r="A1446" s="9" t="s">
        <v>371</v>
      </c>
      <c r="B1446" s="2">
        <v>68</v>
      </c>
      <c r="C1446" s="38" t="s">
        <v>95</v>
      </c>
      <c r="D1446" s="38" t="s">
        <v>96</v>
      </c>
      <c r="E1446" s="37"/>
      <c r="F1446" s="37"/>
      <c r="G1446" s="2" t="s">
        <v>73</v>
      </c>
      <c r="H1446" s="2">
        <v>2</v>
      </c>
      <c r="I1446" s="20">
        <v>120.73</v>
      </c>
      <c r="J1446" s="20">
        <v>35900</v>
      </c>
      <c r="K1446" s="3">
        <v>0</v>
      </c>
      <c r="L1446" s="3" t="s">
        <v>3</v>
      </c>
      <c r="M1446" s="9" t="s">
        <v>0</v>
      </c>
      <c r="N1446" s="9" t="s">
        <v>31</v>
      </c>
      <c r="O1446" s="9" t="s">
        <v>372</v>
      </c>
      <c r="P1446" s="9" t="s">
        <v>0</v>
      </c>
      <c r="Q1446" s="39" t="s">
        <v>373</v>
      </c>
      <c r="R1446" s="36" t="s">
        <v>374</v>
      </c>
      <c r="S1446" s="9" t="s">
        <v>158</v>
      </c>
      <c r="T1446" s="10" t="s">
        <v>68</v>
      </c>
      <c r="U1446" s="10">
        <v>12</v>
      </c>
      <c r="V1446" s="10">
        <v>120.73</v>
      </c>
      <c r="W1446" s="10" t="s">
        <v>710</v>
      </c>
      <c r="X1446" s="17">
        <v>44684</v>
      </c>
      <c r="Y1446" s="17">
        <v>44728</v>
      </c>
      <c r="Z1446" s="17"/>
      <c r="AA1446" s="207">
        <v>31000</v>
      </c>
      <c r="AB1446" s="9">
        <v>25</v>
      </c>
      <c r="AC1446" s="9">
        <v>16</v>
      </c>
      <c r="AD1446" s="17">
        <v>45327</v>
      </c>
      <c r="AE1446" s="54">
        <v>275</v>
      </c>
      <c r="AF1446" s="54"/>
      <c r="AG1446" s="9" t="s">
        <v>134</v>
      </c>
      <c r="AH1446" s="18">
        <v>45334</v>
      </c>
      <c r="AI1446" s="18"/>
      <c r="AJ1446" s="18"/>
      <c r="AK1446" s="10" t="s">
        <v>2050</v>
      </c>
      <c r="AL1446" s="22">
        <v>275</v>
      </c>
      <c r="AM1446" s="22"/>
      <c r="AN1446" s="22" t="s">
        <v>2060</v>
      </c>
      <c r="AO1446" s="22"/>
      <c r="AP1446" s="22"/>
      <c r="AQ1446" s="22"/>
      <c r="AR1446" s="22"/>
      <c r="AS1446" s="22"/>
      <c r="AT1446" s="22"/>
      <c r="AU1446" s="22"/>
      <c r="AV1446" s="22"/>
      <c r="AW1446" s="17">
        <v>45325</v>
      </c>
      <c r="AX1446" s="9">
        <v>2278</v>
      </c>
      <c r="BA1446" s="22">
        <v>275</v>
      </c>
      <c r="BB1446" s="22"/>
      <c r="BD1446" s="9"/>
      <c r="CT1446" s="22">
        <f t="shared" si="100"/>
        <v>275</v>
      </c>
      <c r="CU1446" s="22">
        <f t="shared" si="101"/>
        <v>0</v>
      </c>
      <c r="CV1446" s="26">
        <f t="shared" si="99"/>
        <v>0</v>
      </c>
    </row>
    <row r="1447" spans="1:100" x14ac:dyDescent="0.2">
      <c r="A1447" s="9" t="s">
        <v>371</v>
      </c>
      <c r="B1447" s="2">
        <v>68</v>
      </c>
      <c r="C1447" s="38" t="s">
        <v>95</v>
      </c>
      <c r="D1447" s="38" t="s">
        <v>96</v>
      </c>
      <c r="E1447" s="37"/>
      <c r="F1447" s="37"/>
      <c r="G1447" s="2" t="s">
        <v>73</v>
      </c>
      <c r="H1447" s="2">
        <v>2</v>
      </c>
      <c r="I1447" s="20">
        <v>120.73</v>
      </c>
      <c r="J1447" s="20">
        <v>35900</v>
      </c>
      <c r="K1447" s="3">
        <v>0</v>
      </c>
      <c r="L1447" s="3" t="s">
        <v>3</v>
      </c>
      <c r="M1447" s="9" t="s">
        <v>0</v>
      </c>
      <c r="N1447" s="9" t="s">
        <v>31</v>
      </c>
      <c r="O1447" s="9" t="s">
        <v>372</v>
      </c>
      <c r="P1447" s="9" t="s">
        <v>0</v>
      </c>
      <c r="Q1447" s="39" t="s">
        <v>373</v>
      </c>
      <c r="R1447" s="36" t="s">
        <v>374</v>
      </c>
      <c r="S1447" s="9" t="s">
        <v>158</v>
      </c>
      <c r="T1447" s="10" t="s">
        <v>68</v>
      </c>
      <c r="U1447" s="10">
        <v>12</v>
      </c>
      <c r="V1447" s="10">
        <v>120.73</v>
      </c>
      <c r="W1447" s="10" t="s">
        <v>710</v>
      </c>
      <c r="X1447" s="17">
        <v>44684</v>
      </c>
      <c r="Y1447" s="17">
        <v>44728</v>
      </c>
      <c r="Z1447" s="17"/>
      <c r="AA1447" s="207">
        <v>31000</v>
      </c>
      <c r="AB1447" s="9">
        <v>25</v>
      </c>
      <c r="AC1447" s="9">
        <v>17</v>
      </c>
      <c r="AD1447" s="17">
        <v>45356</v>
      </c>
      <c r="AE1447" s="54">
        <v>275</v>
      </c>
      <c r="AF1447" s="54"/>
      <c r="AG1447" s="9" t="s">
        <v>134</v>
      </c>
      <c r="AH1447" s="18">
        <v>45355</v>
      </c>
      <c r="AI1447" s="18"/>
      <c r="AJ1447" s="18"/>
      <c r="AK1447" s="10" t="s">
        <v>2051</v>
      </c>
      <c r="AL1447" s="22">
        <v>275</v>
      </c>
      <c r="AM1447" s="22"/>
      <c r="AN1447" s="22" t="s">
        <v>2061</v>
      </c>
      <c r="AO1447" s="22"/>
      <c r="AP1447" s="22"/>
      <c r="AQ1447" s="22"/>
      <c r="AR1447" s="22"/>
      <c r="AS1447" s="22"/>
      <c r="AT1447" s="22"/>
      <c r="AU1447" s="22"/>
      <c r="AV1447" s="22"/>
      <c r="AW1447" s="17">
        <v>45346</v>
      </c>
      <c r="AX1447" s="9">
        <v>2339</v>
      </c>
      <c r="BA1447" s="22">
        <v>275</v>
      </c>
      <c r="BB1447" s="22"/>
      <c r="BD1447" s="9"/>
      <c r="CT1447" s="22">
        <f t="shared" si="100"/>
        <v>275</v>
      </c>
      <c r="CU1447" s="22">
        <f t="shared" si="101"/>
        <v>0</v>
      </c>
      <c r="CV1447" s="26">
        <f t="shared" si="99"/>
        <v>0</v>
      </c>
    </row>
    <row r="1448" spans="1:100" x14ac:dyDescent="0.2">
      <c r="A1448" s="9" t="s">
        <v>371</v>
      </c>
      <c r="B1448" s="2">
        <v>68</v>
      </c>
      <c r="C1448" s="38" t="s">
        <v>95</v>
      </c>
      <c r="D1448" s="38" t="s">
        <v>96</v>
      </c>
      <c r="E1448" s="37"/>
      <c r="F1448" s="37"/>
      <c r="G1448" s="2" t="s">
        <v>73</v>
      </c>
      <c r="H1448" s="2">
        <v>2</v>
      </c>
      <c r="I1448" s="20">
        <v>120.73</v>
      </c>
      <c r="J1448" s="20">
        <v>35900</v>
      </c>
      <c r="K1448" s="3">
        <v>0</v>
      </c>
      <c r="L1448" s="3" t="s">
        <v>3</v>
      </c>
      <c r="M1448" s="9" t="s">
        <v>0</v>
      </c>
      <c r="N1448" s="9" t="s">
        <v>31</v>
      </c>
      <c r="O1448" s="9" t="s">
        <v>372</v>
      </c>
      <c r="P1448" s="9" t="s">
        <v>0</v>
      </c>
      <c r="Q1448" s="39" t="s">
        <v>373</v>
      </c>
      <c r="R1448" s="36" t="s">
        <v>374</v>
      </c>
      <c r="S1448" s="9" t="s">
        <v>158</v>
      </c>
      <c r="T1448" s="10" t="s">
        <v>68</v>
      </c>
      <c r="U1448" s="10">
        <v>12</v>
      </c>
      <c r="V1448" s="10">
        <v>120.73</v>
      </c>
      <c r="W1448" s="10" t="s">
        <v>710</v>
      </c>
      <c r="X1448" s="17">
        <v>44684</v>
      </c>
      <c r="Y1448" s="17">
        <v>44728</v>
      </c>
      <c r="Z1448" s="17"/>
      <c r="AA1448" s="207">
        <v>31000</v>
      </c>
      <c r="AB1448" s="9">
        <v>25</v>
      </c>
      <c r="AC1448" s="9">
        <v>18</v>
      </c>
      <c r="AD1448" s="17">
        <v>45387</v>
      </c>
      <c r="AE1448" s="54">
        <v>275</v>
      </c>
      <c r="AF1448" s="54"/>
      <c r="AG1448" s="9" t="s">
        <v>134</v>
      </c>
      <c r="AH1448" s="18">
        <v>45381</v>
      </c>
      <c r="AI1448" s="18"/>
      <c r="AJ1448" s="18"/>
      <c r="AK1448" s="10" t="s">
        <v>2052</v>
      </c>
      <c r="AL1448" s="22">
        <v>275</v>
      </c>
      <c r="AM1448" s="22"/>
      <c r="AN1448" s="22" t="s">
        <v>2062</v>
      </c>
      <c r="AO1448" s="22"/>
      <c r="AP1448" s="22"/>
      <c r="AQ1448" s="22"/>
      <c r="AR1448" s="22"/>
      <c r="AS1448" s="22"/>
      <c r="AT1448" s="22"/>
      <c r="AU1448" s="22"/>
      <c r="AV1448" s="22"/>
      <c r="AW1448" s="17">
        <v>45379</v>
      </c>
      <c r="AX1448" s="9">
        <v>2490</v>
      </c>
      <c r="BA1448" s="22">
        <v>275</v>
      </c>
      <c r="BB1448" s="22"/>
      <c r="BD1448" s="9"/>
      <c r="CT1448" s="22">
        <f t="shared" si="100"/>
        <v>275</v>
      </c>
      <c r="CU1448" s="22">
        <f t="shared" si="101"/>
        <v>0</v>
      </c>
      <c r="CV1448" s="26">
        <f t="shared" si="99"/>
        <v>0</v>
      </c>
    </row>
    <row r="1449" spans="1:100" x14ac:dyDescent="0.2">
      <c r="A1449" s="9" t="s">
        <v>371</v>
      </c>
      <c r="B1449" s="2">
        <v>68</v>
      </c>
      <c r="C1449" s="38" t="s">
        <v>95</v>
      </c>
      <c r="D1449" s="38" t="s">
        <v>96</v>
      </c>
      <c r="E1449" s="37"/>
      <c r="F1449" s="37"/>
      <c r="G1449" s="2" t="s">
        <v>73</v>
      </c>
      <c r="H1449" s="2">
        <v>2</v>
      </c>
      <c r="I1449" s="20">
        <v>120.73</v>
      </c>
      <c r="J1449" s="20">
        <v>35900</v>
      </c>
      <c r="K1449" s="3">
        <v>0</v>
      </c>
      <c r="L1449" s="3" t="s">
        <v>3</v>
      </c>
      <c r="M1449" s="9" t="s">
        <v>0</v>
      </c>
      <c r="N1449" s="9" t="s">
        <v>31</v>
      </c>
      <c r="O1449" s="9" t="s">
        <v>372</v>
      </c>
      <c r="P1449" s="9" t="s">
        <v>0</v>
      </c>
      <c r="Q1449" s="39" t="s">
        <v>373</v>
      </c>
      <c r="R1449" s="36" t="s">
        <v>374</v>
      </c>
      <c r="S1449" s="9" t="s">
        <v>158</v>
      </c>
      <c r="T1449" s="10" t="s">
        <v>68</v>
      </c>
      <c r="U1449" s="10">
        <v>12</v>
      </c>
      <c r="V1449" s="10">
        <v>120.73</v>
      </c>
      <c r="W1449" s="10" t="s">
        <v>710</v>
      </c>
      <c r="X1449" s="17">
        <v>44684</v>
      </c>
      <c r="Y1449" s="17">
        <v>44728</v>
      </c>
      <c r="Z1449" s="17"/>
      <c r="AA1449" s="207">
        <v>31000</v>
      </c>
      <c r="AB1449" s="9">
        <v>25</v>
      </c>
      <c r="AC1449" s="9">
        <v>19</v>
      </c>
      <c r="AD1449" s="17">
        <v>45417</v>
      </c>
      <c r="AE1449" s="54">
        <v>275</v>
      </c>
      <c r="AF1449" s="54"/>
      <c r="AG1449" s="9" t="s">
        <v>134</v>
      </c>
      <c r="AH1449" s="18">
        <v>45415</v>
      </c>
      <c r="AI1449" s="18"/>
      <c r="AJ1449" s="18"/>
      <c r="AK1449" s="10" t="s">
        <v>2053</v>
      </c>
      <c r="AL1449" s="22">
        <v>275</v>
      </c>
      <c r="AM1449" s="22"/>
      <c r="AN1449" s="22" t="s">
        <v>2063</v>
      </c>
      <c r="AO1449" s="22"/>
      <c r="AP1449" s="22"/>
      <c r="AQ1449" s="22"/>
      <c r="AR1449" s="22"/>
      <c r="AS1449" s="22"/>
      <c r="AT1449" s="22"/>
      <c r="AU1449" s="22"/>
      <c r="AV1449" s="22"/>
      <c r="AW1449" s="17">
        <v>45414</v>
      </c>
      <c r="AX1449" s="9">
        <v>2604</v>
      </c>
      <c r="BA1449" s="22">
        <v>275</v>
      </c>
      <c r="BB1449" s="22"/>
      <c r="BD1449" s="9"/>
      <c r="CT1449" s="22">
        <f t="shared" si="100"/>
        <v>275</v>
      </c>
      <c r="CU1449" s="22">
        <f t="shared" si="101"/>
        <v>0</v>
      </c>
      <c r="CV1449" s="26">
        <f t="shared" si="99"/>
        <v>0</v>
      </c>
    </row>
    <row r="1450" spans="1:100" x14ac:dyDescent="0.2">
      <c r="A1450" s="9" t="s">
        <v>371</v>
      </c>
      <c r="B1450" s="2">
        <v>68</v>
      </c>
      <c r="C1450" s="38" t="s">
        <v>95</v>
      </c>
      <c r="D1450" s="38" t="s">
        <v>96</v>
      </c>
      <c r="E1450" s="37"/>
      <c r="F1450" s="37"/>
      <c r="G1450" s="2" t="s">
        <v>73</v>
      </c>
      <c r="H1450" s="2">
        <v>2</v>
      </c>
      <c r="I1450" s="20">
        <v>120.73</v>
      </c>
      <c r="J1450" s="20">
        <v>35900</v>
      </c>
      <c r="K1450" s="3">
        <v>0</v>
      </c>
      <c r="L1450" s="3" t="s">
        <v>3</v>
      </c>
      <c r="M1450" s="9" t="s">
        <v>0</v>
      </c>
      <c r="N1450" s="9" t="s">
        <v>31</v>
      </c>
      <c r="O1450" s="9" t="s">
        <v>372</v>
      </c>
      <c r="P1450" s="9" t="s">
        <v>0</v>
      </c>
      <c r="Q1450" s="39" t="s">
        <v>373</v>
      </c>
      <c r="R1450" s="36" t="s">
        <v>374</v>
      </c>
      <c r="S1450" s="9" t="s">
        <v>158</v>
      </c>
      <c r="T1450" s="10" t="s">
        <v>68</v>
      </c>
      <c r="U1450" s="10">
        <v>12</v>
      </c>
      <c r="V1450" s="10">
        <v>120.73</v>
      </c>
      <c r="W1450" s="10" t="s">
        <v>710</v>
      </c>
      <c r="X1450" s="17">
        <v>44684</v>
      </c>
      <c r="Y1450" s="17">
        <v>44728</v>
      </c>
      <c r="Z1450" s="17"/>
      <c r="AA1450" s="207">
        <v>31000</v>
      </c>
      <c r="AB1450" s="9">
        <v>25</v>
      </c>
      <c r="AC1450" s="9">
        <v>20</v>
      </c>
      <c r="AD1450" s="17">
        <v>45448</v>
      </c>
      <c r="AE1450" s="54">
        <v>275</v>
      </c>
      <c r="AF1450" s="54"/>
      <c r="AG1450" s="9" t="s">
        <v>134</v>
      </c>
      <c r="AH1450" s="18">
        <v>45444</v>
      </c>
      <c r="AI1450" s="18"/>
      <c r="AJ1450" s="18"/>
      <c r="AK1450" s="10" t="s">
        <v>2054</v>
      </c>
      <c r="AL1450" s="22">
        <v>275</v>
      </c>
      <c r="AM1450" s="22"/>
      <c r="AN1450" s="22" t="s">
        <v>2064</v>
      </c>
      <c r="AO1450" s="22"/>
      <c r="AP1450" s="22"/>
      <c r="AQ1450" s="22"/>
      <c r="AR1450" s="22"/>
      <c r="AS1450" s="22"/>
      <c r="AT1450" s="22"/>
      <c r="AU1450" s="22"/>
      <c r="AV1450" s="22"/>
      <c r="AW1450" s="17">
        <v>45443</v>
      </c>
      <c r="AX1450" s="9">
        <v>2711</v>
      </c>
      <c r="BA1450" s="22">
        <v>275</v>
      </c>
      <c r="BB1450" s="22"/>
      <c r="BD1450" s="9"/>
      <c r="CT1450" s="22">
        <f t="shared" si="100"/>
        <v>275</v>
      </c>
      <c r="CU1450" s="22">
        <f t="shared" si="101"/>
        <v>0</v>
      </c>
      <c r="CV1450" s="26">
        <f t="shared" si="99"/>
        <v>0</v>
      </c>
    </row>
    <row r="1451" spans="1:100" x14ac:dyDescent="0.2">
      <c r="A1451" s="9" t="s">
        <v>371</v>
      </c>
      <c r="B1451" s="2">
        <v>68</v>
      </c>
      <c r="C1451" s="38" t="s">
        <v>95</v>
      </c>
      <c r="D1451" s="38" t="s">
        <v>96</v>
      </c>
      <c r="E1451" s="37"/>
      <c r="F1451" s="37"/>
      <c r="G1451" s="2" t="s">
        <v>73</v>
      </c>
      <c r="H1451" s="2">
        <v>2</v>
      </c>
      <c r="I1451" s="20">
        <v>120.73</v>
      </c>
      <c r="J1451" s="20">
        <v>35900</v>
      </c>
      <c r="K1451" s="3">
        <v>0</v>
      </c>
      <c r="L1451" s="3" t="s">
        <v>3</v>
      </c>
      <c r="M1451" s="9" t="s">
        <v>0</v>
      </c>
      <c r="N1451" s="9" t="s">
        <v>31</v>
      </c>
      <c r="O1451" s="9" t="s">
        <v>372</v>
      </c>
      <c r="P1451" s="9" t="s">
        <v>0</v>
      </c>
      <c r="Q1451" s="39" t="s">
        <v>373</v>
      </c>
      <c r="R1451" s="36" t="s">
        <v>374</v>
      </c>
      <c r="S1451" s="9" t="s">
        <v>158</v>
      </c>
      <c r="T1451" s="10" t="s">
        <v>68</v>
      </c>
      <c r="U1451" s="10">
        <v>12</v>
      </c>
      <c r="V1451" s="10">
        <v>120.73</v>
      </c>
      <c r="W1451" s="10" t="s">
        <v>710</v>
      </c>
      <c r="X1451" s="17">
        <v>44684</v>
      </c>
      <c r="Y1451" s="17">
        <v>44728</v>
      </c>
      <c r="Z1451" s="17"/>
      <c r="AA1451" s="207">
        <v>31000</v>
      </c>
      <c r="AB1451" s="9">
        <v>25</v>
      </c>
      <c r="AC1451" s="9">
        <v>21</v>
      </c>
      <c r="AD1451" s="17">
        <v>45478</v>
      </c>
      <c r="AE1451" s="54">
        <v>275</v>
      </c>
      <c r="AF1451" s="54"/>
      <c r="AG1451" s="9" t="s">
        <v>134</v>
      </c>
      <c r="AH1451" s="18">
        <v>45477</v>
      </c>
      <c r="AI1451" s="18"/>
      <c r="AJ1451" s="18"/>
      <c r="AK1451" s="10" t="s">
        <v>2055</v>
      </c>
      <c r="AL1451" s="22">
        <v>275</v>
      </c>
      <c r="AM1451" s="22"/>
      <c r="AN1451" s="22" t="s">
        <v>2065</v>
      </c>
      <c r="AO1451" s="22"/>
      <c r="AP1451" s="22"/>
      <c r="AQ1451" s="22"/>
      <c r="AR1451" s="22"/>
      <c r="AS1451" s="22"/>
      <c r="AT1451" s="22"/>
      <c r="AU1451" s="22"/>
      <c r="AV1451" s="22"/>
      <c r="AW1451" s="17">
        <v>45475</v>
      </c>
      <c r="AX1451" s="9">
        <v>2842</v>
      </c>
      <c r="BA1451" s="22">
        <v>275</v>
      </c>
      <c r="BB1451" s="22"/>
      <c r="BD1451" s="9"/>
      <c r="CT1451" s="22">
        <f t="shared" si="100"/>
        <v>275</v>
      </c>
      <c r="CU1451" s="22">
        <f t="shared" si="101"/>
        <v>0</v>
      </c>
      <c r="CV1451" s="26">
        <f t="shared" si="99"/>
        <v>0</v>
      </c>
    </row>
    <row r="1452" spans="1:100" x14ac:dyDescent="0.2">
      <c r="A1452" s="9" t="s">
        <v>371</v>
      </c>
      <c r="B1452" s="2">
        <v>68</v>
      </c>
      <c r="C1452" s="38" t="s">
        <v>95</v>
      </c>
      <c r="D1452" s="38" t="s">
        <v>96</v>
      </c>
      <c r="E1452" s="37"/>
      <c r="F1452" s="37"/>
      <c r="G1452" s="2" t="s">
        <v>73</v>
      </c>
      <c r="H1452" s="2">
        <v>2</v>
      </c>
      <c r="I1452" s="20">
        <v>120.73</v>
      </c>
      <c r="J1452" s="20">
        <v>35900</v>
      </c>
      <c r="K1452" s="3">
        <v>0</v>
      </c>
      <c r="L1452" s="3" t="s">
        <v>3</v>
      </c>
      <c r="M1452" s="9" t="s">
        <v>0</v>
      </c>
      <c r="N1452" s="9" t="s">
        <v>31</v>
      </c>
      <c r="O1452" s="9" t="s">
        <v>372</v>
      </c>
      <c r="P1452" s="9" t="s">
        <v>0</v>
      </c>
      <c r="Q1452" s="39" t="s">
        <v>373</v>
      </c>
      <c r="R1452" s="36" t="s">
        <v>374</v>
      </c>
      <c r="S1452" s="9" t="s">
        <v>158</v>
      </c>
      <c r="T1452" s="10" t="s">
        <v>68</v>
      </c>
      <c r="U1452" s="10">
        <v>12</v>
      </c>
      <c r="V1452" s="10">
        <v>120.73</v>
      </c>
      <c r="W1452" s="10" t="s">
        <v>710</v>
      </c>
      <c r="X1452" s="17">
        <v>44684</v>
      </c>
      <c r="Y1452" s="17">
        <v>44728</v>
      </c>
      <c r="Z1452" s="17"/>
      <c r="AA1452" s="207">
        <v>31000</v>
      </c>
      <c r="AB1452" s="9">
        <v>25</v>
      </c>
      <c r="AC1452" s="9">
        <v>22</v>
      </c>
      <c r="AD1452" s="17">
        <v>45509</v>
      </c>
      <c r="AE1452" s="54">
        <v>275</v>
      </c>
      <c r="AF1452" s="54"/>
      <c r="AG1452" s="9" t="s">
        <v>134</v>
      </c>
      <c r="AH1452" s="18">
        <v>45504</v>
      </c>
      <c r="AI1452" s="18"/>
      <c r="AJ1452" s="18"/>
      <c r="AK1452" s="10" t="s">
        <v>2056</v>
      </c>
      <c r="AL1452" s="22">
        <v>275</v>
      </c>
      <c r="AM1452" s="22"/>
      <c r="AN1452" s="22" t="s">
        <v>2066</v>
      </c>
      <c r="AO1452" s="22"/>
      <c r="AP1452" s="22"/>
      <c r="AQ1452" s="22"/>
      <c r="AR1452" s="22"/>
      <c r="AS1452" s="22"/>
      <c r="AT1452" s="22"/>
      <c r="AU1452" s="22"/>
      <c r="AV1452" s="22"/>
      <c r="AW1452" s="17">
        <v>45503</v>
      </c>
      <c r="AX1452" s="9">
        <v>2953</v>
      </c>
      <c r="BA1452" s="22">
        <v>275</v>
      </c>
      <c r="BB1452" s="22"/>
      <c r="BD1452" s="9"/>
      <c r="CT1452" s="22">
        <f t="shared" si="100"/>
        <v>275</v>
      </c>
      <c r="CU1452" s="22">
        <f t="shared" si="101"/>
        <v>0</v>
      </c>
      <c r="CV1452" s="26">
        <f t="shared" si="99"/>
        <v>0</v>
      </c>
    </row>
    <row r="1453" spans="1:100" x14ac:dyDescent="0.2">
      <c r="A1453" s="9" t="s">
        <v>371</v>
      </c>
      <c r="B1453" s="2">
        <v>68</v>
      </c>
      <c r="C1453" s="38" t="s">
        <v>95</v>
      </c>
      <c r="D1453" s="38" t="s">
        <v>96</v>
      </c>
      <c r="E1453" s="37"/>
      <c r="F1453" s="37"/>
      <c r="G1453" s="2" t="s">
        <v>73</v>
      </c>
      <c r="H1453" s="2">
        <v>2</v>
      </c>
      <c r="I1453" s="20">
        <v>120.73</v>
      </c>
      <c r="J1453" s="20">
        <v>35900</v>
      </c>
      <c r="K1453" s="3">
        <v>0</v>
      </c>
      <c r="L1453" s="3" t="s">
        <v>3</v>
      </c>
      <c r="M1453" s="9" t="s">
        <v>0</v>
      </c>
      <c r="N1453" s="9" t="s">
        <v>31</v>
      </c>
      <c r="O1453" s="9" t="s">
        <v>372</v>
      </c>
      <c r="P1453" s="9" t="s">
        <v>0</v>
      </c>
      <c r="Q1453" s="39" t="s">
        <v>373</v>
      </c>
      <c r="R1453" s="36" t="s">
        <v>374</v>
      </c>
      <c r="S1453" s="9" t="s">
        <v>158</v>
      </c>
      <c r="T1453" s="10" t="s">
        <v>68</v>
      </c>
      <c r="U1453" s="10">
        <v>12</v>
      </c>
      <c r="V1453" s="10">
        <v>120.73</v>
      </c>
      <c r="W1453" s="10" t="s">
        <v>710</v>
      </c>
      <c r="X1453" s="17">
        <v>44684</v>
      </c>
      <c r="Y1453" s="17">
        <v>44728</v>
      </c>
      <c r="Z1453" s="17"/>
      <c r="AA1453" s="207">
        <v>31000</v>
      </c>
      <c r="AB1453" s="9">
        <v>25</v>
      </c>
      <c r="AC1453" s="9">
        <v>23</v>
      </c>
      <c r="AD1453" s="17">
        <v>45540</v>
      </c>
      <c r="AE1453" s="54">
        <v>275</v>
      </c>
      <c r="AF1453" s="54"/>
      <c r="AG1453" s="9" t="s">
        <v>134</v>
      </c>
      <c r="AH1453" s="18">
        <v>45541</v>
      </c>
      <c r="AI1453" s="18"/>
      <c r="AJ1453" s="18"/>
      <c r="AK1453" s="10" t="s">
        <v>2057</v>
      </c>
      <c r="AL1453" s="22">
        <v>275</v>
      </c>
      <c r="AM1453" s="22"/>
      <c r="AN1453" s="22" t="s">
        <v>2067</v>
      </c>
      <c r="AO1453" s="22"/>
      <c r="AP1453" s="22"/>
      <c r="AQ1453" s="22"/>
      <c r="AR1453" s="22"/>
      <c r="AS1453" s="22"/>
      <c r="AT1453" s="22"/>
      <c r="AU1453" s="22"/>
      <c r="AV1453" s="22"/>
      <c r="AW1453" s="17">
        <v>45541</v>
      </c>
      <c r="AX1453" s="9">
        <v>3126</v>
      </c>
      <c r="BA1453" s="22">
        <v>275</v>
      </c>
      <c r="BB1453" s="22"/>
      <c r="BD1453" s="9"/>
      <c r="CT1453" s="22">
        <f t="shared" si="100"/>
        <v>275</v>
      </c>
      <c r="CU1453" s="22">
        <f t="shared" si="101"/>
        <v>0</v>
      </c>
      <c r="CV1453" s="26">
        <f t="shared" si="99"/>
        <v>0</v>
      </c>
    </row>
    <row r="1454" spans="1:100" x14ac:dyDescent="0.2">
      <c r="A1454" s="9" t="s">
        <v>371</v>
      </c>
      <c r="B1454" s="2">
        <v>68</v>
      </c>
      <c r="C1454" s="38" t="s">
        <v>95</v>
      </c>
      <c r="D1454" s="38" t="s">
        <v>96</v>
      </c>
      <c r="E1454" s="37"/>
      <c r="F1454" s="37"/>
      <c r="G1454" s="2" t="s">
        <v>73</v>
      </c>
      <c r="H1454" s="2">
        <v>2</v>
      </c>
      <c r="I1454" s="20">
        <v>120.73</v>
      </c>
      <c r="J1454" s="20">
        <v>35900</v>
      </c>
      <c r="K1454" s="3">
        <v>0</v>
      </c>
      <c r="L1454" s="3" t="s">
        <v>3</v>
      </c>
      <c r="M1454" s="9" t="s">
        <v>0</v>
      </c>
      <c r="N1454" s="9" t="s">
        <v>31</v>
      </c>
      <c r="O1454" s="9" t="s">
        <v>372</v>
      </c>
      <c r="P1454" s="9" t="s">
        <v>0</v>
      </c>
      <c r="Q1454" s="39" t="s">
        <v>373</v>
      </c>
      <c r="R1454" s="36" t="s">
        <v>374</v>
      </c>
      <c r="S1454" s="9" t="s">
        <v>158</v>
      </c>
      <c r="T1454" s="10" t="s">
        <v>68</v>
      </c>
      <c r="U1454" s="10">
        <v>12</v>
      </c>
      <c r="V1454" s="10">
        <v>120.73</v>
      </c>
      <c r="W1454" s="10" t="s">
        <v>710</v>
      </c>
      <c r="X1454" s="17">
        <v>44684</v>
      </c>
      <c r="Y1454" s="17">
        <v>44728</v>
      </c>
      <c r="Z1454" s="17"/>
      <c r="AA1454" s="207">
        <v>31000</v>
      </c>
      <c r="AB1454" s="9">
        <v>25</v>
      </c>
      <c r="AC1454" s="9">
        <v>24</v>
      </c>
      <c r="AD1454" s="17">
        <v>45570</v>
      </c>
      <c r="AE1454" s="54">
        <v>275</v>
      </c>
      <c r="AF1454" s="54"/>
      <c r="AG1454" s="9" t="s">
        <v>134</v>
      </c>
      <c r="AH1454" s="18">
        <v>45575</v>
      </c>
      <c r="AI1454" s="18"/>
      <c r="AJ1454" s="18"/>
      <c r="AK1454" s="10" t="s">
        <v>2058</v>
      </c>
      <c r="AL1454" s="22">
        <v>275</v>
      </c>
      <c r="AM1454" s="22"/>
      <c r="AN1454" s="22" t="s">
        <v>2068</v>
      </c>
      <c r="AO1454" s="22"/>
      <c r="AP1454" s="22"/>
      <c r="AQ1454" s="22"/>
      <c r="AR1454" s="22"/>
      <c r="AS1454" s="22"/>
      <c r="AT1454" s="22"/>
      <c r="AU1454" s="22"/>
      <c r="AV1454" s="22"/>
      <c r="AW1454" s="17">
        <v>45575</v>
      </c>
      <c r="AX1454" s="9">
        <v>3269</v>
      </c>
      <c r="BA1454" s="22">
        <v>275</v>
      </c>
      <c r="BB1454" s="22"/>
      <c r="BD1454" s="9"/>
      <c r="CT1454" s="22">
        <f t="shared" si="100"/>
        <v>275</v>
      </c>
      <c r="CU1454" s="22">
        <f t="shared" si="101"/>
        <v>0</v>
      </c>
      <c r="CV1454" s="26">
        <f t="shared" si="99"/>
        <v>0</v>
      </c>
    </row>
    <row r="1455" spans="1:100" x14ac:dyDescent="0.2">
      <c r="A1455" s="9" t="s">
        <v>371</v>
      </c>
      <c r="B1455" s="2">
        <v>68</v>
      </c>
      <c r="C1455" s="38" t="s">
        <v>95</v>
      </c>
      <c r="D1455" s="38" t="s">
        <v>96</v>
      </c>
      <c r="E1455" s="37"/>
      <c r="F1455" s="37"/>
      <c r="G1455" s="2" t="s">
        <v>73</v>
      </c>
      <c r="H1455" s="2">
        <v>2</v>
      </c>
      <c r="I1455" s="20">
        <v>120.73</v>
      </c>
      <c r="J1455" s="20">
        <v>35900</v>
      </c>
      <c r="K1455" s="3">
        <v>0</v>
      </c>
      <c r="L1455" s="3" t="s">
        <v>3</v>
      </c>
      <c r="M1455" s="9" t="s">
        <v>0</v>
      </c>
      <c r="N1455" s="9" t="s">
        <v>31</v>
      </c>
      <c r="O1455" s="9" t="s">
        <v>372</v>
      </c>
      <c r="Q1455" s="39"/>
      <c r="R1455" s="36"/>
      <c r="S1455" s="9" t="s">
        <v>158</v>
      </c>
      <c r="T1455" s="10" t="s">
        <v>68</v>
      </c>
      <c r="U1455" s="10">
        <v>12</v>
      </c>
      <c r="V1455" s="10">
        <v>120.73</v>
      </c>
      <c r="W1455" s="10" t="s">
        <v>710</v>
      </c>
      <c r="X1455" s="17">
        <v>44684</v>
      </c>
      <c r="Y1455" s="17">
        <v>44728</v>
      </c>
      <c r="Z1455" s="17"/>
      <c r="AA1455" s="207">
        <v>31000</v>
      </c>
      <c r="AB1455" s="9">
        <v>25</v>
      </c>
      <c r="AC1455" s="9">
        <v>25</v>
      </c>
      <c r="AD1455" s="17">
        <v>45601</v>
      </c>
      <c r="AE1455" s="54">
        <v>275</v>
      </c>
      <c r="AF1455" s="54"/>
      <c r="AG1455" s="9" t="s">
        <v>134</v>
      </c>
      <c r="AH1455" s="18">
        <v>45670</v>
      </c>
      <c r="AI1455" s="18"/>
      <c r="AJ1455" s="18"/>
      <c r="AK1455" s="10" t="s">
        <v>2069</v>
      </c>
      <c r="AL1455" s="22">
        <v>275</v>
      </c>
      <c r="AM1455" s="22"/>
      <c r="AN1455" s="22" t="s">
        <v>2078</v>
      </c>
      <c r="AO1455" s="22"/>
      <c r="AP1455" s="22"/>
      <c r="AQ1455" s="22"/>
      <c r="AR1455" s="22"/>
      <c r="AS1455" s="22"/>
      <c r="AT1455" s="22"/>
      <c r="AU1455" s="22"/>
      <c r="AV1455" s="22"/>
      <c r="AW1455" s="17">
        <v>45661</v>
      </c>
      <c r="AX1455" s="9">
        <v>3576</v>
      </c>
      <c r="BA1455" s="22">
        <v>275</v>
      </c>
      <c r="BB1455" s="22"/>
      <c r="BD1455" s="9"/>
      <c r="CT1455" s="22">
        <f t="shared" si="100"/>
        <v>275</v>
      </c>
      <c r="CU1455" s="22">
        <f t="shared" si="101"/>
        <v>0</v>
      </c>
      <c r="CV1455" s="26">
        <f t="shared" si="99"/>
        <v>0</v>
      </c>
    </row>
    <row r="1456" spans="1:100" x14ac:dyDescent="0.2">
      <c r="A1456" s="9" t="s">
        <v>371</v>
      </c>
      <c r="B1456" s="2">
        <v>68</v>
      </c>
      <c r="C1456" s="38" t="s">
        <v>95</v>
      </c>
      <c r="D1456" s="38" t="s">
        <v>96</v>
      </c>
      <c r="E1456" s="37"/>
      <c r="F1456" s="37"/>
      <c r="G1456" s="2" t="s">
        <v>73</v>
      </c>
      <c r="H1456" s="2">
        <v>2</v>
      </c>
      <c r="I1456" s="20">
        <v>120.73</v>
      </c>
      <c r="J1456" s="20">
        <v>35900</v>
      </c>
      <c r="K1456" s="3">
        <v>0</v>
      </c>
      <c r="L1456" s="3" t="s">
        <v>3</v>
      </c>
      <c r="M1456" s="9" t="s">
        <v>0</v>
      </c>
      <c r="N1456" s="9" t="s">
        <v>31</v>
      </c>
      <c r="O1456" s="9" t="s">
        <v>372</v>
      </c>
      <c r="Q1456" s="39"/>
      <c r="R1456" s="36"/>
      <c r="S1456" s="9" t="s">
        <v>158</v>
      </c>
      <c r="T1456" s="10" t="s">
        <v>68</v>
      </c>
      <c r="U1456" s="10">
        <v>12</v>
      </c>
      <c r="V1456" s="10">
        <v>120.73</v>
      </c>
      <c r="W1456" s="10" t="s">
        <v>710</v>
      </c>
      <c r="X1456" s="17">
        <v>44684</v>
      </c>
      <c r="Y1456" s="17">
        <v>44728</v>
      </c>
      <c r="Z1456" s="17"/>
      <c r="AA1456" s="207">
        <v>31000</v>
      </c>
      <c r="AB1456" s="9">
        <v>25</v>
      </c>
      <c r="AC1456" s="9">
        <v>26</v>
      </c>
      <c r="AD1456" s="17">
        <v>45631</v>
      </c>
      <c r="AE1456" s="54">
        <v>275</v>
      </c>
      <c r="AF1456" s="54"/>
      <c r="AG1456" s="9" t="s">
        <v>134</v>
      </c>
      <c r="AH1456" s="18">
        <v>45694</v>
      </c>
      <c r="AI1456" s="18"/>
      <c r="AJ1456" s="18"/>
      <c r="AK1456" s="10" t="s">
        <v>2070</v>
      </c>
      <c r="AL1456" s="22">
        <v>275</v>
      </c>
      <c r="AM1456" s="22"/>
      <c r="AN1456" s="22" t="s">
        <v>2079</v>
      </c>
      <c r="AO1456" s="22"/>
      <c r="AP1456" s="22"/>
      <c r="AQ1456" s="22"/>
      <c r="AR1456" s="22"/>
      <c r="AS1456" s="22"/>
      <c r="AT1456" s="22"/>
      <c r="AU1456" s="22"/>
      <c r="AV1456" s="22"/>
      <c r="AW1456" s="17">
        <v>45693</v>
      </c>
      <c r="AX1456" s="9">
        <v>3699</v>
      </c>
      <c r="BA1456" s="22">
        <v>275</v>
      </c>
      <c r="BB1456" s="22"/>
      <c r="BD1456" s="9"/>
      <c r="CT1456" s="22">
        <f t="shared" si="100"/>
        <v>275</v>
      </c>
      <c r="CU1456" s="22">
        <f t="shared" si="101"/>
        <v>0</v>
      </c>
      <c r="CV1456" s="26">
        <f t="shared" si="99"/>
        <v>0</v>
      </c>
    </row>
    <row r="1457" spans="1:103" x14ac:dyDescent="0.2">
      <c r="A1457" s="9" t="s">
        <v>371</v>
      </c>
      <c r="B1457" s="2">
        <v>68</v>
      </c>
      <c r="C1457" s="38" t="s">
        <v>95</v>
      </c>
      <c r="D1457" s="38" t="s">
        <v>96</v>
      </c>
      <c r="E1457" s="37"/>
      <c r="F1457" s="37"/>
      <c r="G1457" s="2" t="s">
        <v>73</v>
      </c>
      <c r="H1457" s="2">
        <v>2</v>
      </c>
      <c r="I1457" s="20">
        <v>120.73</v>
      </c>
      <c r="J1457" s="20">
        <v>35900</v>
      </c>
      <c r="K1457" s="3">
        <v>0</v>
      </c>
      <c r="L1457" s="3" t="s">
        <v>3</v>
      </c>
      <c r="M1457" s="9" t="s">
        <v>0</v>
      </c>
      <c r="N1457" s="9" t="s">
        <v>31</v>
      </c>
      <c r="O1457" s="9" t="s">
        <v>372</v>
      </c>
      <c r="Q1457" s="39"/>
      <c r="R1457" s="36"/>
      <c r="S1457" s="9" t="s">
        <v>158</v>
      </c>
      <c r="T1457" s="10" t="s">
        <v>68</v>
      </c>
      <c r="U1457" s="10">
        <v>12</v>
      </c>
      <c r="V1457" s="10">
        <v>120.73</v>
      </c>
      <c r="W1457" s="10" t="s">
        <v>710</v>
      </c>
      <c r="X1457" s="17">
        <v>44684</v>
      </c>
      <c r="Y1457" s="17">
        <v>44728</v>
      </c>
      <c r="Z1457" s="17"/>
      <c r="AA1457" s="207">
        <v>31000</v>
      </c>
      <c r="AB1457" s="9">
        <v>25</v>
      </c>
      <c r="AC1457" s="9">
        <v>27</v>
      </c>
      <c r="AD1457" s="17">
        <v>45662</v>
      </c>
      <c r="AE1457" s="54">
        <v>275</v>
      </c>
      <c r="AF1457" s="54"/>
      <c r="AG1457" s="9" t="s">
        <v>134</v>
      </c>
      <c r="AH1457" s="18">
        <v>45728</v>
      </c>
      <c r="AI1457" s="18"/>
      <c r="AJ1457" s="18"/>
      <c r="AK1457" s="10" t="s">
        <v>2071</v>
      </c>
      <c r="AL1457" s="22">
        <v>275</v>
      </c>
      <c r="AM1457" s="22"/>
      <c r="AN1457" s="22" t="s">
        <v>2080</v>
      </c>
      <c r="AO1457" s="22"/>
      <c r="AP1457" s="22"/>
      <c r="AQ1457" s="22"/>
      <c r="AR1457" s="22"/>
      <c r="AS1457" s="22"/>
      <c r="AT1457" s="22"/>
      <c r="AU1457" s="22"/>
      <c r="AV1457" s="22"/>
      <c r="AW1457" s="17">
        <v>45728</v>
      </c>
      <c r="AX1457" s="9">
        <v>3864</v>
      </c>
      <c r="BA1457" s="22">
        <v>275</v>
      </c>
      <c r="BB1457" s="22"/>
      <c r="BD1457" s="9"/>
      <c r="CT1457" s="22">
        <f t="shared" si="100"/>
        <v>275</v>
      </c>
      <c r="CU1457" s="22">
        <f t="shared" si="101"/>
        <v>0</v>
      </c>
      <c r="CV1457" s="26">
        <f t="shared" si="99"/>
        <v>0</v>
      </c>
    </row>
    <row r="1458" spans="1:103" x14ac:dyDescent="0.2">
      <c r="A1458" s="9" t="s">
        <v>371</v>
      </c>
      <c r="B1458" s="2">
        <v>68</v>
      </c>
      <c r="C1458" s="38" t="s">
        <v>95</v>
      </c>
      <c r="D1458" s="38" t="s">
        <v>96</v>
      </c>
      <c r="E1458" s="37"/>
      <c r="F1458" s="37"/>
      <c r="G1458" s="2" t="s">
        <v>73</v>
      </c>
      <c r="H1458" s="2">
        <v>2</v>
      </c>
      <c r="I1458" s="20">
        <v>120.73</v>
      </c>
      <c r="J1458" s="20">
        <v>35900</v>
      </c>
      <c r="K1458" s="3">
        <v>0</v>
      </c>
      <c r="L1458" s="3" t="s">
        <v>3</v>
      </c>
      <c r="M1458" s="9" t="s">
        <v>0</v>
      </c>
      <c r="N1458" s="9" t="s">
        <v>31</v>
      </c>
      <c r="O1458" s="9" t="s">
        <v>372</v>
      </c>
      <c r="Q1458" s="39"/>
      <c r="R1458" s="36"/>
      <c r="S1458" s="9" t="s">
        <v>158</v>
      </c>
      <c r="T1458" s="10" t="s">
        <v>68</v>
      </c>
      <c r="U1458" s="10">
        <v>12</v>
      </c>
      <c r="V1458" s="10">
        <v>120.73</v>
      </c>
      <c r="W1458" s="10" t="s">
        <v>710</v>
      </c>
      <c r="X1458" s="17">
        <v>44684</v>
      </c>
      <c r="Y1458" s="17">
        <v>44728</v>
      </c>
      <c r="Z1458" s="17"/>
      <c r="AA1458" s="207">
        <v>31000</v>
      </c>
      <c r="AB1458" s="9">
        <v>25</v>
      </c>
      <c r="AC1458" s="9">
        <v>28</v>
      </c>
      <c r="AD1458" s="17">
        <v>45693</v>
      </c>
      <c r="AE1458" s="54">
        <v>275</v>
      </c>
      <c r="AF1458" s="54"/>
      <c r="AG1458" s="9" t="s">
        <v>134</v>
      </c>
      <c r="AH1458" s="18">
        <v>45762</v>
      </c>
      <c r="AI1458" s="18"/>
      <c r="AJ1458" s="18"/>
      <c r="AK1458" s="10" t="s">
        <v>2072</v>
      </c>
      <c r="AL1458" s="22">
        <v>275</v>
      </c>
      <c r="AM1458" s="22"/>
      <c r="AN1458" s="22" t="s">
        <v>2081</v>
      </c>
      <c r="AO1458" s="22"/>
      <c r="AP1458" s="22"/>
      <c r="AQ1458" s="22"/>
      <c r="AR1458" s="22"/>
      <c r="AS1458" s="22"/>
      <c r="AT1458" s="22"/>
      <c r="AU1458" s="22"/>
      <c r="AV1458" s="22"/>
      <c r="AW1458" s="17">
        <v>45758</v>
      </c>
      <c r="AX1458" s="9">
        <v>4004</v>
      </c>
      <c r="BA1458" s="22">
        <v>275</v>
      </c>
      <c r="BB1458" s="22"/>
      <c r="BD1458" s="9"/>
      <c r="CT1458" s="22">
        <f t="shared" si="100"/>
        <v>275</v>
      </c>
      <c r="CU1458" s="22">
        <f t="shared" si="101"/>
        <v>0</v>
      </c>
      <c r="CV1458" s="26">
        <f t="shared" si="99"/>
        <v>0</v>
      </c>
    </row>
    <row r="1459" spans="1:103" x14ac:dyDescent="0.2">
      <c r="A1459" s="9" t="s">
        <v>371</v>
      </c>
      <c r="B1459" s="2">
        <v>68</v>
      </c>
      <c r="C1459" s="38" t="s">
        <v>95</v>
      </c>
      <c r="D1459" s="38" t="s">
        <v>96</v>
      </c>
      <c r="E1459" s="37"/>
      <c r="F1459" s="37"/>
      <c r="G1459" s="2" t="s">
        <v>73</v>
      </c>
      <c r="H1459" s="2">
        <v>2</v>
      </c>
      <c r="I1459" s="20">
        <v>120.73</v>
      </c>
      <c r="J1459" s="20">
        <v>35900</v>
      </c>
      <c r="K1459" s="3">
        <v>0</v>
      </c>
      <c r="L1459" s="3" t="s">
        <v>3</v>
      </c>
      <c r="M1459" s="9" t="s">
        <v>0</v>
      </c>
      <c r="N1459" s="9" t="s">
        <v>31</v>
      </c>
      <c r="O1459" s="9" t="s">
        <v>372</v>
      </c>
      <c r="Q1459" s="39"/>
      <c r="R1459" s="36"/>
      <c r="S1459" s="9" t="s">
        <v>158</v>
      </c>
      <c r="T1459" s="10" t="s">
        <v>68</v>
      </c>
      <c r="U1459" s="10">
        <v>12</v>
      </c>
      <c r="V1459" s="10">
        <v>120.73</v>
      </c>
      <c r="W1459" s="10" t="s">
        <v>710</v>
      </c>
      <c r="X1459" s="17">
        <v>44684</v>
      </c>
      <c r="Y1459" s="17">
        <v>44728</v>
      </c>
      <c r="Z1459" s="17"/>
      <c r="AA1459" s="207">
        <v>31000</v>
      </c>
      <c r="AB1459" s="9">
        <v>25</v>
      </c>
      <c r="AC1459" s="9">
        <v>29</v>
      </c>
      <c r="AD1459" s="17">
        <v>45721</v>
      </c>
      <c r="AE1459" s="54">
        <v>2000</v>
      </c>
      <c r="AF1459" s="54"/>
      <c r="AG1459" s="9" t="s">
        <v>134</v>
      </c>
      <c r="AH1459" s="18">
        <v>45783</v>
      </c>
      <c r="AI1459" s="18"/>
      <c r="AJ1459" s="18"/>
      <c r="AK1459" s="10" t="s">
        <v>2073</v>
      </c>
      <c r="AL1459" s="22">
        <v>2000</v>
      </c>
      <c r="AM1459" s="22"/>
      <c r="AN1459" s="22" t="s">
        <v>2082</v>
      </c>
      <c r="AO1459" s="22"/>
      <c r="AP1459" s="22"/>
      <c r="AQ1459" s="22"/>
      <c r="AR1459" s="22"/>
      <c r="AS1459" s="22"/>
      <c r="AT1459" s="22"/>
      <c r="AU1459" s="22"/>
      <c r="AV1459" s="22"/>
      <c r="AW1459" s="17">
        <v>45780</v>
      </c>
      <c r="AX1459" s="9">
        <v>4104</v>
      </c>
      <c r="BA1459" s="22">
        <v>2000</v>
      </c>
      <c r="BB1459" s="22"/>
      <c r="BD1459" s="9"/>
      <c r="CT1459" s="22">
        <f t="shared" si="100"/>
        <v>2000</v>
      </c>
      <c r="CU1459" s="22">
        <f t="shared" si="101"/>
        <v>0</v>
      </c>
      <c r="CV1459" s="26">
        <f t="shared" si="99"/>
        <v>0</v>
      </c>
    </row>
    <row r="1460" spans="1:103" x14ac:dyDescent="0.2">
      <c r="A1460" s="9" t="s">
        <v>371</v>
      </c>
      <c r="B1460" s="2">
        <v>68</v>
      </c>
      <c r="C1460" s="38" t="s">
        <v>95</v>
      </c>
      <c r="D1460" s="38" t="s">
        <v>96</v>
      </c>
      <c r="E1460" s="37"/>
      <c r="F1460" s="37"/>
      <c r="G1460" s="2" t="s">
        <v>73</v>
      </c>
      <c r="H1460" s="2">
        <v>2</v>
      </c>
      <c r="I1460" s="20">
        <v>120.73</v>
      </c>
      <c r="J1460" s="20">
        <v>35900</v>
      </c>
      <c r="K1460" s="3">
        <v>0</v>
      </c>
      <c r="L1460" s="3" t="s">
        <v>3</v>
      </c>
      <c r="M1460" s="9" t="s">
        <v>0</v>
      </c>
      <c r="N1460" s="9" t="s">
        <v>31</v>
      </c>
      <c r="O1460" s="9" t="s">
        <v>372</v>
      </c>
      <c r="Q1460" s="39"/>
      <c r="R1460" s="36"/>
      <c r="S1460" s="9" t="s">
        <v>158</v>
      </c>
      <c r="T1460" s="10" t="s">
        <v>68</v>
      </c>
      <c r="U1460" s="10">
        <v>12</v>
      </c>
      <c r="V1460" s="10">
        <v>120.73</v>
      </c>
      <c r="W1460" s="10" t="s">
        <v>710</v>
      </c>
      <c r="X1460" s="17">
        <v>44684</v>
      </c>
      <c r="Y1460" s="17">
        <v>44728</v>
      </c>
      <c r="Z1460" s="17"/>
      <c r="AA1460" s="207">
        <v>31000</v>
      </c>
      <c r="AB1460" s="9">
        <v>25</v>
      </c>
      <c r="AC1460" s="9">
        <v>30</v>
      </c>
      <c r="AD1460" s="17">
        <v>45752</v>
      </c>
      <c r="AE1460" s="54">
        <v>275</v>
      </c>
      <c r="AF1460" s="54"/>
      <c r="AG1460" s="9" t="s">
        <v>134</v>
      </c>
      <c r="AH1460" s="18">
        <v>45817</v>
      </c>
      <c r="AI1460" s="18"/>
      <c r="AJ1460" s="18"/>
      <c r="AK1460" s="10" t="s">
        <v>2074</v>
      </c>
      <c r="AL1460" s="22">
        <v>275</v>
      </c>
      <c r="AM1460" s="22"/>
      <c r="AN1460" s="22" t="s">
        <v>2083</v>
      </c>
      <c r="AO1460" s="22"/>
      <c r="AP1460" s="22"/>
      <c r="AQ1460" s="22"/>
      <c r="AR1460" s="22"/>
      <c r="AS1460" s="22"/>
      <c r="AT1460" s="22"/>
      <c r="AU1460" s="22"/>
      <c r="AV1460" s="22"/>
      <c r="AW1460" s="17">
        <v>45809</v>
      </c>
      <c r="AX1460" s="9">
        <v>4250</v>
      </c>
      <c r="BA1460" s="22">
        <v>275</v>
      </c>
      <c r="BB1460" s="22"/>
      <c r="BD1460" s="9"/>
      <c r="CT1460" s="22">
        <f t="shared" si="100"/>
        <v>275</v>
      </c>
      <c r="CU1460" s="22">
        <f t="shared" si="101"/>
        <v>0</v>
      </c>
      <c r="CV1460" s="26">
        <f t="shared" si="99"/>
        <v>0</v>
      </c>
    </row>
    <row r="1461" spans="1:103" x14ac:dyDescent="0.2">
      <c r="A1461" s="9" t="s">
        <v>371</v>
      </c>
      <c r="B1461" s="2">
        <v>68</v>
      </c>
      <c r="C1461" s="38" t="s">
        <v>95</v>
      </c>
      <c r="D1461" s="38" t="s">
        <v>96</v>
      </c>
      <c r="E1461" s="37"/>
      <c r="F1461" s="37"/>
      <c r="G1461" s="2" t="s">
        <v>73</v>
      </c>
      <c r="H1461" s="2">
        <v>2</v>
      </c>
      <c r="I1461" s="20">
        <v>120.73</v>
      </c>
      <c r="J1461" s="20">
        <v>35900</v>
      </c>
      <c r="K1461" s="3">
        <v>0</v>
      </c>
      <c r="L1461" s="3" t="s">
        <v>3</v>
      </c>
      <c r="M1461" s="9" t="s">
        <v>0</v>
      </c>
      <c r="N1461" s="9" t="s">
        <v>31</v>
      </c>
      <c r="O1461" s="9" t="s">
        <v>372</v>
      </c>
      <c r="Q1461" s="39"/>
      <c r="R1461" s="36"/>
      <c r="S1461" s="9" t="s">
        <v>158</v>
      </c>
      <c r="T1461" s="10" t="s">
        <v>68</v>
      </c>
      <c r="U1461" s="10">
        <v>12</v>
      </c>
      <c r="V1461" s="10">
        <v>120.73</v>
      </c>
      <c r="W1461" s="10" t="s">
        <v>710</v>
      </c>
      <c r="X1461" s="17">
        <v>44684</v>
      </c>
      <c r="Y1461" s="17">
        <v>44728</v>
      </c>
      <c r="Z1461" s="17"/>
      <c r="AA1461" s="207">
        <v>31000</v>
      </c>
      <c r="AB1461" s="9">
        <v>25</v>
      </c>
      <c r="AC1461" s="9">
        <v>31</v>
      </c>
      <c r="AD1461" s="17">
        <v>45782</v>
      </c>
      <c r="AE1461" s="54">
        <v>275</v>
      </c>
      <c r="AF1461" s="54"/>
      <c r="AG1461" s="9" t="s">
        <v>134</v>
      </c>
      <c r="AH1461" s="18">
        <v>45846</v>
      </c>
      <c r="AI1461" s="18"/>
      <c r="AJ1461" s="18"/>
      <c r="AK1461" s="10" t="s">
        <v>2075</v>
      </c>
      <c r="AL1461" s="22">
        <v>275</v>
      </c>
      <c r="AM1461" s="22"/>
      <c r="AN1461" s="22" t="s">
        <v>2084</v>
      </c>
      <c r="AO1461" s="22"/>
      <c r="AP1461" s="22"/>
      <c r="AQ1461" s="22"/>
      <c r="AR1461" s="22"/>
      <c r="AS1461" s="22"/>
      <c r="AT1461" s="22"/>
      <c r="AU1461" s="22"/>
      <c r="AV1461" s="22"/>
      <c r="AW1461" s="17">
        <v>45845</v>
      </c>
      <c r="AX1461" s="9">
        <v>4377</v>
      </c>
      <c r="BA1461" s="22">
        <v>275</v>
      </c>
      <c r="BB1461" s="22"/>
      <c r="BD1461" s="9"/>
      <c r="CT1461" s="22">
        <f t="shared" si="100"/>
        <v>275</v>
      </c>
      <c r="CU1461" s="22">
        <f t="shared" si="101"/>
        <v>0</v>
      </c>
      <c r="CV1461" s="26">
        <f t="shared" si="99"/>
        <v>0</v>
      </c>
    </row>
    <row r="1462" spans="1:103" x14ac:dyDescent="0.2">
      <c r="A1462" s="9" t="s">
        <v>371</v>
      </c>
      <c r="B1462" s="2">
        <v>68</v>
      </c>
      <c r="C1462" s="38" t="s">
        <v>95</v>
      </c>
      <c r="D1462" s="38" t="s">
        <v>96</v>
      </c>
      <c r="E1462" s="37"/>
      <c r="F1462" s="37"/>
      <c r="G1462" s="2" t="s">
        <v>73</v>
      </c>
      <c r="H1462" s="2">
        <v>2</v>
      </c>
      <c r="I1462" s="20">
        <v>120.73</v>
      </c>
      <c r="J1462" s="20">
        <v>35900</v>
      </c>
      <c r="K1462" s="3">
        <v>0</v>
      </c>
      <c r="L1462" s="3" t="s">
        <v>3</v>
      </c>
      <c r="M1462" s="9" t="s">
        <v>0</v>
      </c>
      <c r="N1462" s="9" t="s">
        <v>31</v>
      </c>
      <c r="O1462" s="9" t="s">
        <v>372</v>
      </c>
      <c r="Q1462" s="39"/>
      <c r="R1462" s="36"/>
      <c r="S1462" s="9" t="s">
        <v>158</v>
      </c>
      <c r="T1462" s="10" t="s">
        <v>68</v>
      </c>
      <c r="U1462" s="10">
        <v>12</v>
      </c>
      <c r="V1462" s="10">
        <v>120.73</v>
      </c>
      <c r="W1462" s="10" t="s">
        <v>710</v>
      </c>
      <c r="X1462" s="17">
        <v>44684</v>
      </c>
      <c r="Y1462" s="17">
        <v>44728</v>
      </c>
      <c r="Z1462" s="17"/>
      <c r="AA1462" s="207">
        <v>31000</v>
      </c>
      <c r="AB1462" s="9">
        <v>25</v>
      </c>
      <c r="AC1462" s="9">
        <v>32</v>
      </c>
      <c r="AD1462" s="17">
        <v>45813</v>
      </c>
      <c r="AE1462" s="54">
        <v>275</v>
      </c>
      <c r="AF1462" s="54"/>
      <c r="AG1462" s="9" t="s">
        <v>134</v>
      </c>
      <c r="AH1462" s="18">
        <v>45873</v>
      </c>
      <c r="AI1462" s="18"/>
      <c r="AJ1462" s="18"/>
      <c r="AK1462" s="10" t="s">
        <v>2076</v>
      </c>
      <c r="AL1462" s="22">
        <v>275</v>
      </c>
      <c r="AM1462" s="22"/>
      <c r="AN1462" s="22" t="s">
        <v>2085</v>
      </c>
      <c r="AO1462" s="22"/>
      <c r="AP1462" s="22"/>
      <c r="AQ1462" s="22"/>
      <c r="AR1462" s="22"/>
      <c r="AS1462" s="22"/>
      <c r="AT1462" s="22"/>
      <c r="AU1462" s="22"/>
      <c r="AV1462" s="22"/>
      <c r="AW1462" s="17">
        <v>45872</v>
      </c>
      <c r="AX1462" s="9">
        <v>4518</v>
      </c>
      <c r="BA1462" s="22">
        <v>275</v>
      </c>
      <c r="BB1462" s="22"/>
      <c r="BD1462" s="9"/>
      <c r="CT1462" s="22">
        <f t="shared" si="100"/>
        <v>275</v>
      </c>
      <c r="CU1462" s="22">
        <f t="shared" si="101"/>
        <v>0</v>
      </c>
      <c r="CV1462" s="26">
        <f t="shared" si="99"/>
        <v>0</v>
      </c>
    </row>
    <row r="1463" spans="1:103" x14ac:dyDescent="0.2">
      <c r="A1463" s="9" t="s">
        <v>371</v>
      </c>
      <c r="B1463" s="2">
        <v>68</v>
      </c>
      <c r="C1463" s="38" t="s">
        <v>95</v>
      </c>
      <c r="D1463" s="38" t="s">
        <v>96</v>
      </c>
      <c r="E1463" s="37"/>
      <c r="F1463" s="37"/>
      <c r="G1463" s="2" t="s">
        <v>73</v>
      </c>
      <c r="H1463" s="2">
        <v>2</v>
      </c>
      <c r="I1463" s="20">
        <v>120.73</v>
      </c>
      <c r="J1463" s="20">
        <v>35900</v>
      </c>
      <c r="K1463" s="3">
        <v>0</v>
      </c>
      <c r="L1463" s="3" t="s">
        <v>3</v>
      </c>
      <c r="M1463" s="9" t="s">
        <v>0</v>
      </c>
      <c r="N1463" s="9" t="s">
        <v>31</v>
      </c>
      <c r="O1463" s="9" t="s">
        <v>372</v>
      </c>
      <c r="Q1463" s="39"/>
      <c r="R1463" s="36"/>
      <c r="S1463" s="9" t="s">
        <v>158</v>
      </c>
      <c r="T1463" s="10" t="s">
        <v>68</v>
      </c>
      <c r="U1463" s="10">
        <v>12</v>
      </c>
      <c r="V1463" s="10">
        <v>120.73</v>
      </c>
      <c r="W1463" s="10" t="s">
        <v>710</v>
      </c>
      <c r="X1463" s="17">
        <v>44684</v>
      </c>
      <c r="Y1463" s="17">
        <v>44728</v>
      </c>
      <c r="Z1463" s="17"/>
      <c r="AA1463" s="207">
        <v>31000</v>
      </c>
      <c r="AB1463" s="9">
        <v>25</v>
      </c>
      <c r="AC1463" s="9">
        <v>33</v>
      </c>
      <c r="AD1463" s="17">
        <v>45843</v>
      </c>
      <c r="AE1463" s="54">
        <v>275</v>
      </c>
      <c r="AF1463" s="54"/>
      <c r="AG1463" s="9" t="s">
        <v>134</v>
      </c>
      <c r="AH1463" s="18">
        <v>45908</v>
      </c>
      <c r="AI1463" s="18"/>
      <c r="AJ1463" s="18"/>
      <c r="AK1463" s="10" t="s">
        <v>2077</v>
      </c>
      <c r="AL1463" s="22">
        <v>275</v>
      </c>
      <c r="AM1463" s="22"/>
      <c r="AN1463" s="22" t="s">
        <v>2086</v>
      </c>
      <c r="AO1463" s="22"/>
      <c r="AP1463" s="22"/>
      <c r="AQ1463" s="22"/>
      <c r="AR1463" s="22"/>
      <c r="AS1463" s="22"/>
      <c r="AT1463" s="22"/>
      <c r="AU1463" s="22"/>
      <c r="AV1463" s="22"/>
      <c r="AW1463" s="17">
        <v>45904</v>
      </c>
      <c r="AX1463" s="9">
        <v>4669</v>
      </c>
      <c r="BA1463" s="22">
        <v>275</v>
      </c>
      <c r="BB1463" s="22"/>
      <c r="BD1463" s="9"/>
      <c r="CT1463" s="22">
        <f t="shared" ref="CT1463:CT1494" si="102">+BA1463+BG1463+BM1463+BS1463+BY1463+CE1463+CK1463</f>
        <v>275</v>
      </c>
      <c r="CU1463" s="22">
        <f t="shared" ref="CU1463:CU1494" si="103">+AL1463+AT1463-CT1463</f>
        <v>0</v>
      </c>
      <c r="CV1463" s="26">
        <f t="shared" si="99"/>
        <v>0</v>
      </c>
    </row>
    <row r="1464" spans="1:103" x14ac:dyDescent="0.2">
      <c r="A1464" s="9" t="s">
        <v>371</v>
      </c>
      <c r="B1464" s="2">
        <v>68</v>
      </c>
      <c r="C1464" s="38" t="s">
        <v>95</v>
      </c>
      <c r="D1464" s="38" t="s">
        <v>96</v>
      </c>
      <c r="E1464" s="37"/>
      <c r="F1464" s="37"/>
      <c r="G1464" s="2" t="s">
        <v>73</v>
      </c>
      <c r="H1464" s="2">
        <v>2</v>
      </c>
      <c r="I1464" s="20">
        <v>120.73</v>
      </c>
      <c r="J1464" s="20">
        <v>35900</v>
      </c>
      <c r="K1464" s="3">
        <v>0</v>
      </c>
      <c r="L1464" s="3" t="s">
        <v>3</v>
      </c>
      <c r="M1464" s="9" t="s">
        <v>0</v>
      </c>
      <c r="N1464" s="9" t="s">
        <v>31</v>
      </c>
      <c r="O1464" s="9" t="s">
        <v>372</v>
      </c>
      <c r="Q1464" s="39"/>
      <c r="R1464" s="36"/>
      <c r="S1464" s="9" t="s">
        <v>158</v>
      </c>
      <c r="T1464" s="10" t="s">
        <v>68</v>
      </c>
      <c r="U1464" s="10">
        <v>12</v>
      </c>
      <c r="V1464" s="10">
        <v>120.73</v>
      </c>
      <c r="W1464" s="10" t="s">
        <v>710</v>
      </c>
      <c r="X1464" s="17">
        <v>44684</v>
      </c>
      <c r="Y1464" s="17">
        <v>44728</v>
      </c>
      <c r="Z1464" s="17"/>
      <c r="AA1464" s="207">
        <v>31000</v>
      </c>
      <c r="AB1464" s="9">
        <v>25</v>
      </c>
      <c r="AC1464" s="9">
        <v>34</v>
      </c>
      <c r="AD1464" s="17">
        <v>45874</v>
      </c>
      <c r="AE1464" s="54">
        <v>275</v>
      </c>
      <c r="AF1464" s="54"/>
      <c r="AL1464" s="9"/>
      <c r="AM1464" s="9"/>
      <c r="AN1464" s="9"/>
      <c r="AO1464" s="22"/>
      <c r="AP1464" s="22"/>
      <c r="AQ1464" s="22"/>
      <c r="AR1464" s="22"/>
      <c r="AS1464" s="22"/>
      <c r="AT1464" s="22"/>
      <c r="AU1464" s="22"/>
      <c r="AV1464" s="22"/>
      <c r="AW1464" s="9"/>
      <c r="BA1464" s="22"/>
      <c r="BB1464" s="22"/>
      <c r="BD1464" s="9"/>
      <c r="CT1464" s="22">
        <f t="shared" si="102"/>
        <v>0</v>
      </c>
      <c r="CU1464" s="22">
        <f t="shared" si="103"/>
        <v>0</v>
      </c>
      <c r="CV1464" s="26">
        <f t="shared" si="99"/>
        <v>275</v>
      </c>
    </row>
    <row r="1465" spans="1:103" x14ac:dyDescent="0.2">
      <c r="A1465" s="9" t="s">
        <v>371</v>
      </c>
      <c r="B1465" s="2">
        <v>68</v>
      </c>
      <c r="C1465" s="38" t="s">
        <v>95</v>
      </c>
      <c r="D1465" s="38" t="s">
        <v>96</v>
      </c>
      <c r="E1465" s="37"/>
      <c r="F1465" s="37"/>
      <c r="G1465" s="2" t="s">
        <v>73</v>
      </c>
      <c r="H1465" s="2">
        <v>2</v>
      </c>
      <c r="I1465" s="20">
        <v>120.73</v>
      </c>
      <c r="J1465" s="20">
        <v>35900</v>
      </c>
      <c r="K1465" s="3">
        <v>0</v>
      </c>
      <c r="L1465" s="3" t="s">
        <v>3</v>
      </c>
      <c r="M1465" s="9" t="s">
        <v>0</v>
      </c>
      <c r="N1465" s="9" t="s">
        <v>31</v>
      </c>
      <c r="O1465" s="9" t="s">
        <v>372</v>
      </c>
      <c r="Q1465" s="39"/>
      <c r="R1465" s="36"/>
      <c r="S1465" s="9" t="s">
        <v>158</v>
      </c>
      <c r="T1465" s="10" t="s">
        <v>68</v>
      </c>
      <c r="U1465" s="10">
        <v>12</v>
      </c>
      <c r="V1465" s="10">
        <v>120.73</v>
      </c>
      <c r="W1465" s="10" t="s">
        <v>710</v>
      </c>
      <c r="X1465" s="17">
        <v>44684</v>
      </c>
      <c r="Y1465" s="17">
        <v>44728</v>
      </c>
      <c r="Z1465" s="17"/>
      <c r="AA1465" s="207">
        <v>31000</v>
      </c>
      <c r="AB1465" s="9">
        <v>25</v>
      </c>
      <c r="AC1465" s="9">
        <v>35</v>
      </c>
      <c r="AD1465" s="17">
        <v>45905</v>
      </c>
      <c r="AE1465" s="54">
        <v>275</v>
      </c>
      <c r="AF1465" s="54"/>
      <c r="AH1465" s="17"/>
      <c r="AI1465" s="17"/>
      <c r="AJ1465" s="17"/>
      <c r="AK1465" s="10"/>
      <c r="AL1465" s="22"/>
      <c r="AM1465" s="22"/>
      <c r="AN1465" s="22"/>
      <c r="AO1465" s="22"/>
      <c r="AP1465" s="22"/>
      <c r="AQ1465" s="22"/>
      <c r="AR1465" s="22"/>
      <c r="AS1465" s="22"/>
      <c r="AT1465" s="22"/>
      <c r="AU1465" s="22"/>
      <c r="AV1465" s="22"/>
      <c r="AW1465" s="9"/>
      <c r="BA1465" s="22"/>
      <c r="BB1465" s="22"/>
      <c r="BD1465" s="9"/>
      <c r="CT1465" s="22">
        <f t="shared" si="102"/>
        <v>0</v>
      </c>
      <c r="CU1465" s="22">
        <f t="shared" si="103"/>
        <v>0</v>
      </c>
      <c r="CV1465" s="26">
        <f t="shared" ref="CV1465:CV1528" si="104">+AE1465-AL1465-AT1465</f>
        <v>275</v>
      </c>
    </row>
    <row r="1466" spans="1:103" x14ac:dyDescent="0.2">
      <c r="A1466" s="9" t="s">
        <v>371</v>
      </c>
      <c r="B1466" s="2">
        <v>68</v>
      </c>
      <c r="C1466" s="38" t="s">
        <v>95</v>
      </c>
      <c r="D1466" s="38" t="s">
        <v>96</v>
      </c>
      <c r="E1466" s="37"/>
      <c r="F1466" s="37"/>
      <c r="G1466" s="2" t="s">
        <v>73</v>
      </c>
      <c r="H1466" s="2">
        <v>2</v>
      </c>
      <c r="I1466" s="20">
        <v>120.73</v>
      </c>
      <c r="J1466" s="20">
        <v>35900</v>
      </c>
      <c r="K1466" s="3">
        <v>0</v>
      </c>
      <c r="L1466" s="3" t="s">
        <v>3</v>
      </c>
      <c r="M1466" s="9" t="s">
        <v>0</v>
      </c>
      <c r="N1466" s="9" t="s">
        <v>31</v>
      </c>
      <c r="O1466" s="9" t="s">
        <v>372</v>
      </c>
      <c r="Q1466" s="39"/>
      <c r="R1466" s="36"/>
      <c r="S1466" s="9" t="s">
        <v>158</v>
      </c>
      <c r="T1466" s="10" t="s">
        <v>68</v>
      </c>
      <c r="U1466" s="10">
        <v>12</v>
      </c>
      <c r="V1466" s="10">
        <v>120.73</v>
      </c>
      <c r="W1466" s="10" t="s">
        <v>710</v>
      </c>
      <c r="X1466" s="17">
        <v>44684</v>
      </c>
      <c r="Y1466" s="17">
        <v>44728</v>
      </c>
      <c r="Z1466" s="17"/>
      <c r="AA1466" s="207">
        <v>31000</v>
      </c>
      <c r="AB1466" s="9">
        <v>25</v>
      </c>
      <c r="AC1466" s="9">
        <v>36</v>
      </c>
      <c r="AD1466" s="17">
        <v>45935</v>
      </c>
      <c r="AE1466" s="54">
        <v>275</v>
      </c>
      <c r="AF1466" s="54"/>
      <c r="AH1466" s="17"/>
      <c r="AI1466" s="17"/>
      <c r="AJ1466" s="17"/>
      <c r="AK1466" s="10"/>
      <c r="AL1466" s="22"/>
      <c r="AM1466" s="22"/>
      <c r="AN1466" s="22"/>
      <c r="AO1466" s="22"/>
      <c r="AP1466" s="22"/>
      <c r="AQ1466" s="22"/>
      <c r="AR1466" s="22"/>
      <c r="AS1466" s="22"/>
      <c r="AT1466" s="22"/>
      <c r="AU1466" s="22"/>
      <c r="AV1466" s="22"/>
      <c r="AW1466" s="9"/>
      <c r="BA1466" s="22"/>
      <c r="BB1466" s="22"/>
      <c r="BD1466" s="9"/>
      <c r="CT1466" s="22">
        <f t="shared" si="102"/>
        <v>0</v>
      </c>
      <c r="CU1466" s="22">
        <f t="shared" si="103"/>
        <v>0</v>
      </c>
      <c r="CV1466" s="26">
        <f t="shared" si="104"/>
        <v>275</v>
      </c>
    </row>
    <row r="1467" spans="1:103" x14ac:dyDescent="0.2">
      <c r="A1467" s="9" t="s">
        <v>371</v>
      </c>
      <c r="B1467" s="2">
        <v>68</v>
      </c>
      <c r="C1467" s="38" t="s">
        <v>95</v>
      </c>
      <c r="D1467" s="38" t="s">
        <v>96</v>
      </c>
      <c r="E1467" s="37"/>
      <c r="F1467" s="37"/>
      <c r="G1467" s="2" t="s">
        <v>73</v>
      </c>
      <c r="H1467" s="2">
        <v>2</v>
      </c>
      <c r="I1467" s="20">
        <v>120.73</v>
      </c>
      <c r="J1467" s="20">
        <v>35900</v>
      </c>
      <c r="K1467" s="3">
        <v>0</v>
      </c>
      <c r="L1467" s="3" t="s">
        <v>3</v>
      </c>
      <c r="M1467" s="9" t="s">
        <v>0</v>
      </c>
      <c r="N1467" s="9" t="s">
        <v>31</v>
      </c>
      <c r="O1467" s="9" t="s">
        <v>372</v>
      </c>
      <c r="Q1467" s="39"/>
      <c r="R1467" s="36"/>
      <c r="S1467" s="9" t="s">
        <v>158</v>
      </c>
      <c r="T1467" s="10" t="s">
        <v>68</v>
      </c>
      <c r="U1467" s="10">
        <v>12</v>
      </c>
      <c r="V1467" s="10">
        <v>120.73</v>
      </c>
      <c r="W1467" s="10" t="s">
        <v>710</v>
      </c>
      <c r="X1467" s="17">
        <v>44684</v>
      </c>
      <c r="Y1467" s="17">
        <v>44728</v>
      </c>
      <c r="Z1467" s="17"/>
      <c r="AA1467" s="207">
        <v>31000</v>
      </c>
      <c r="AB1467" s="9">
        <v>25</v>
      </c>
      <c r="AC1467" s="9">
        <v>36</v>
      </c>
      <c r="AD1467" s="17">
        <v>45966</v>
      </c>
      <c r="AE1467" s="54">
        <v>275</v>
      </c>
      <c r="AF1467" s="54"/>
      <c r="AH1467" s="17"/>
      <c r="AI1467" s="17"/>
      <c r="AJ1467" s="17"/>
      <c r="AK1467" s="10"/>
      <c r="AL1467" s="22"/>
      <c r="AM1467" s="22"/>
      <c r="AN1467" s="22"/>
      <c r="AO1467" s="22"/>
      <c r="AP1467" s="22"/>
      <c r="AQ1467" s="22"/>
      <c r="AR1467" s="22"/>
      <c r="AS1467" s="22"/>
      <c r="AT1467" s="22"/>
      <c r="AU1467" s="22"/>
      <c r="AV1467" s="22"/>
      <c r="AW1467" s="9"/>
      <c r="BA1467" s="22"/>
      <c r="BB1467" s="22"/>
      <c r="BD1467" s="9"/>
      <c r="CT1467" s="22">
        <f t="shared" si="102"/>
        <v>0</v>
      </c>
      <c r="CU1467" s="22">
        <f t="shared" si="103"/>
        <v>0</v>
      </c>
      <c r="CV1467" s="26">
        <f t="shared" si="104"/>
        <v>275</v>
      </c>
    </row>
    <row r="1468" spans="1:103" x14ac:dyDescent="0.2">
      <c r="A1468" s="9" t="s">
        <v>371</v>
      </c>
      <c r="B1468" s="2">
        <v>68</v>
      </c>
      <c r="C1468" s="38" t="s">
        <v>95</v>
      </c>
      <c r="D1468" s="38" t="s">
        <v>96</v>
      </c>
      <c r="E1468" s="37"/>
      <c r="F1468" s="37"/>
      <c r="G1468" s="2" t="s">
        <v>73</v>
      </c>
      <c r="H1468" s="2">
        <v>2</v>
      </c>
      <c r="I1468" s="20">
        <v>120.73</v>
      </c>
      <c r="J1468" s="20">
        <v>35900</v>
      </c>
      <c r="K1468" s="3">
        <v>0</v>
      </c>
      <c r="L1468" s="3" t="s">
        <v>3</v>
      </c>
      <c r="M1468" s="9" t="s">
        <v>0</v>
      </c>
      <c r="N1468" s="9" t="s">
        <v>31</v>
      </c>
      <c r="O1468" s="9" t="s">
        <v>372</v>
      </c>
      <c r="P1468" s="9" t="s">
        <v>0</v>
      </c>
      <c r="Q1468" s="39" t="s">
        <v>373</v>
      </c>
      <c r="R1468" s="36" t="s">
        <v>374</v>
      </c>
      <c r="S1468" s="9" t="s">
        <v>158</v>
      </c>
      <c r="T1468" s="10" t="s">
        <v>68</v>
      </c>
      <c r="U1468" s="10">
        <v>12</v>
      </c>
      <c r="V1468" s="10">
        <v>120.73</v>
      </c>
      <c r="W1468" s="10" t="s">
        <v>710</v>
      </c>
      <c r="X1468" s="17">
        <v>44684</v>
      </c>
      <c r="Y1468" s="17">
        <v>44728</v>
      </c>
      <c r="Z1468" s="17"/>
      <c r="AA1468" s="207">
        <v>31000</v>
      </c>
      <c r="AB1468" s="9">
        <v>25</v>
      </c>
      <c r="AC1468" s="9">
        <v>25</v>
      </c>
      <c r="AD1468" s="17">
        <v>45996</v>
      </c>
      <c r="AE1468" s="54">
        <f>13650-275</f>
        <v>13375</v>
      </c>
      <c r="AF1468" s="54"/>
      <c r="AL1468" s="9"/>
      <c r="AM1468" s="9"/>
      <c r="AN1468" s="9"/>
      <c r="AO1468" s="22"/>
      <c r="AP1468" s="22"/>
      <c r="AQ1468" s="22"/>
      <c r="AR1468" s="22"/>
      <c r="AS1468" s="22"/>
      <c r="AT1468" s="22"/>
      <c r="AU1468" s="22"/>
      <c r="AV1468" s="22"/>
      <c r="AW1468" s="9"/>
      <c r="BA1468" s="22"/>
      <c r="BB1468" s="22"/>
      <c r="BD1468" s="9"/>
      <c r="CT1468" s="22">
        <f t="shared" si="102"/>
        <v>0</v>
      </c>
      <c r="CU1468" s="22">
        <f t="shared" si="103"/>
        <v>0</v>
      </c>
      <c r="CV1468" s="26">
        <f t="shared" si="104"/>
        <v>13375</v>
      </c>
    </row>
    <row r="1469" spans="1:103" x14ac:dyDescent="0.2">
      <c r="A1469" s="9" t="s">
        <v>381</v>
      </c>
      <c r="B1469" s="2">
        <v>141</v>
      </c>
      <c r="C1469" s="3" t="s">
        <v>95</v>
      </c>
      <c r="D1469" s="3" t="s">
        <v>96</v>
      </c>
      <c r="E1469" s="2"/>
      <c r="F1469" s="2"/>
      <c r="G1469" s="2" t="s">
        <v>84</v>
      </c>
      <c r="H1469" s="2">
        <v>4</v>
      </c>
      <c r="I1469" s="8">
        <v>120.12</v>
      </c>
      <c r="J1469" s="8">
        <v>35900</v>
      </c>
      <c r="K1469" s="3">
        <v>0</v>
      </c>
      <c r="L1469" s="3" t="s">
        <v>3</v>
      </c>
      <c r="M1469" s="9" t="s">
        <v>0</v>
      </c>
      <c r="N1469" s="9" t="s">
        <v>32</v>
      </c>
      <c r="O1469" s="9" t="s">
        <v>382</v>
      </c>
      <c r="S1469" s="9" t="s">
        <v>158</v>
      </c>
      <c r="T1469" s="10" t="s">
        <v>84</v>
      </c>
      <c r="U1469" s="10">
        <v>4</v>
      </c>
      <c r="V1469" s="10">
        <v>120.12</v>
      </c>
      <c r="W1469" s="10" t="s">
        <v>710</v>
      </c>
      <c r="X1469" s="17">
        <v>44850</v>
      </c>
      <c r="Y1469" s="17">
        <v>45631</v>
      </c>
      <c r="Z1469" s="17"/>
      <c r="AA1469" s="210">
        <v>24000</v>
      </c>
      <c r="AB1469" s="9">
        <v>1</v>
      </c>
      <c r="AC1469" s="9">
        <v>0</v>
      </c>
      <c r="AD1469" s="17">
        <v>44850</v>
      </c>
      <c r="AE1469" s="56">
        <v>1000</v>
      </c>
      <c r="AF1469" s="56"/>
      <c r="AG1469" s="9" t="s">
        <v>134</v>
      </c>
      <c r="AH1469" s="18">
        <v>44850</v>
      </c>
      <c r="AI1469" s="116">
        <v>10678356</v>
      </c>
      <c r="AJ1469" s="181" t="s">
        <v>3226</v>
      </c>
      <c r="AK1469" s="9" t="s">
        <v>3222</v>
      </c>
      <c r="AL1469" s="22">
        <v>1000</v>
      </c>
      <c r="AM1469" s="22"/>
      <c r="AN1469" s="9" t="s">
        <v>3224</v>
      </c>
      <c r="AO1469" s="22"/>
      <c r="AP1469" s="22"/>
      <c r="AQ1469" s="22"/>
      <c r="AR1469" s="22"/>
      <c r="AS1469" s="22"/>
      <c r="AT1469" s="22"/>
      <c r="AU1469" s="22"/>
      <c r="AV1469" s="22"/>
      <c r="AW1469" s="42">
        <v>44851</v>
      </c>
      <c r="AX1469" s="36">
        <v>1018</v>
      </c>
      <c r="AY1469" s="36"/>
      <c r="AZ1469" s="36"/>
      <c r="BA1469" s="40">
        <v>1000</v>
      </c>
      <c r="BD1469" s="9"/>
      <c r="CT1469" s="22">
        <f t="shared" si="102"/>
        <v>1000</v>
      </c>
      <c r="CU1469" s="22">
        <f t="shared" si="103"/>
        <v>0</v>
      </c>
      <c r="CV1469" s="26">
        <f t="shared" si="104"/>
        <v>0</v>
      </c>
    </row>
    <row r="1470" spans="1:103" x14ac:dyDescent="0.2">
      <c r="A1470" s="9" t="s">
        <v>381</v>
      </c>
      <c r="B1470" s="2">
        <v>141</v>
      </c>
      <c r="C1470" s="3" t="s">
        <v>95</v>
      </c>
      <c r="D1470" s="3" t="s">
        <v>96</v>
      </c>
      <c r="E1470" s="2"/>
      <c r="F1470" s="2"/>
      <c r="G1470" s="2" t="s">
        <v>84</v>
      </c>
      <c r="H1470" s="2">
        <v>4</v>
      </c>
      <c r="I1470" s="8">
        <v>120.12</v>
      </c>
      <c r="J1470" s="8">
        <v>35900</v>
      </c>
      <c r="K1470" s="3">
        <v>0</v>
      </c>
      <c r="L1470" s="3" t="s">
        <v>3</v>
      </c>
      <c r="M1470" s="9" t="s">
        <v>0</v>
      </c>
      <c r="N1470" s="9" t="s">
        <v>32</v>
      </c>
      <c r="O1470" s="9" t="s">
        <v>382</v>
      </c>
      <c r="S1470" s="9" t="s">
        <v>158</v>
      </c>
      <c r="T1470" s="10" t="s">
        <v>84</v>
      </c>
      <c r="U1470" s="10">
        <v>4</v>
      </c>
      <c r="V1470" s="10">
        <v>120.12</v>
      </c>
      <c r="W1470" s="10" t="s">
        <v>710</v>
      </c>
      <c r="X1470" s="17">
        <v>44850</v>
      </c>
      <c r="Y1470" s="17">
        <v>45631</v>
      </c>
      <c r="Z1470" s="17"/>
      <c r="AA1470" s="210">
        <v>24000</v>
      </c>
      <c r="AB1470" s="9">
        <v>1</v>
      </c>
      <c r="AC1470" s="9">
        <v>0</v>
      </c>
      <c r="AD1470" s="17">
        <v>44854</v>
      </c>
      <c r="AE1470" s="56">
        <v>4000</v>
      </c>
      <c r="AF1470" s="56"/>
      <c r="AG1470" s="9" t="s">
        <v>134</v>
      </c>
      <c r="AH1470" s="18">
        <v>44854</v>
      </c>
      <c r="AI1470" s="116">
        <v>10678356</v>
      </c>
      <c r="AJ1470" s="181" t="s">
        <v>3226</v>
      </c>
      <c r="AK1470" s="9" t="s">
        <v>3223</v>
      </c>
      <c r="AL1470" s="22">
        <v>4000</v>
      </c>
      <c r="AM1470" s="22"/>
      <c r="AN1470" s="9" t="s">
        <v>3225</v>
      </c>
      <c r="AO1470" s="22"/>
      <c r="AP1470" s="22"/>
      <c r="AQ1470" s="22"/>
      <c r="AR1470" s="22"/>
      <c r="AS1470" s="22"/>
      <c r="AT1470" s="22"/>
      <c r="AU1470" s="22"/>
      <c r="AV1470" s="22"/>
      <c r="AW1470" s="9"/>
      <c r="BB1470" s="11" t="s">
        <v>2024</v>
      </c>
      <c r="BD1470" s="9"/>
      <c r="CT1470" s="22">
        <f t="shared" si="102"/>
        <v>0</v>
      </c>
      <c r="CU1470" s="22">
        <f t="shared" si="103"/>
        <v>4000</v>
      </c>
      <c r="CV1470" s="26">
        <f t="shared" si="104"/>
        <v>0</v>
      </c>
      <c r="CW1470" s="9" t="s">
        <v>3494</v>
      </c>
      <c r="CY1470" s="9" t="s">
        <v>3493</v>
      </c>
    </row>
    <row r="1471" spans="1:103" x14ac:dyDescent="0.2">
      <c r="A1471" s="9" t="s">
        <v>381</v>
      </c>
      <c r="B1471" s="2">
        <v>141</v>
      </c>
      <c r="C1471" s="3" t="s">
        <v>95</v>
      </c>
      <c r="D1471" s="3" t="s">
        <v>96</v>
      </c>
      <c r="E1471" s="2"/>
      <c r="F1471" s="2"/>
      <c r="G1471" s="2" t="s">
        <v>84</v>
      </c>
      <c r="H1471" s="2">
        <v>4</v>
      </c>
      <c r="I1471" s="8">
        <v>120.12</v>
      </c>
      <c r="J1471" s="8">
        <v>35900</v>
      </c>
      <c r="K1471" s="3">
        <v>0</v>
      </c>
      <c r="L1471" s="3" t="s">
        <v>3</v>
      </c>
      <c r="M1471" s="9" t="s">
        <v>0</v>
      </c>
      <c r="N1471" s="9" t="s">
        <v>32</v>
      </c>
      <c r="O1471" s="9" t="s">
        <v>382</v>
      </c>
      <c r="S1471" s="9" t="s">
        <v>158</v>
      </c>
      <c r="T1471" s="10" t="s">
        <v>84</v>
      </c>
      <c r="U1471" s="10">
        <v>4</v>
      </c>
      <c r="V1471" s="10">
        <v>120.12</v>
      </c>
      <c r="W1471" s="10" t="s">
        <v>710</v>
      </c>
      <c r="X1471" s="17">
        <v>44850</v>
      </c>
      <c r="Y1471" s="17">
        <v>45631</v>
      </c>
      <c r="Z1471" s="17"/>
      <c r="AA1471" s="210">
        <v>24000</v>
      </c>
      <c r="AB1471" s="9">
        <v>1</v>
      </c>
      <c r="AC1471" s="9">
        <v>1</v>
      </c>
      <c r="AD1471" s="17">
        <v>44885</v>
      </c>
      <c r="AE1471" s="56">
        <v>10000</v>
      </c>
      <c r="AF1471" s="56"/>
      <c r="AG1471" s="9" t="s">
        <v>134</v>
      </c>
      <c r="AH1471" s="18">
        <v>44894</v>
      </c>
      <c r="AI1471" s="116">
        <v>10678356</v>
      </c>
      <c r="AJ1471" s="181" t="s">
        <v>3226</v>
      </c>
      <c r="AK1471" s="9" t="s">
        <v>384</v>
      </c>
      <c r="AL1471" s="22">
        <v>10000</v>
      </c>
      <c r="AM1471" s="22"/>
      <c r="AN1471" s="22" t="s">
        <v>2010</v>
      </c>
      <c r="AO1471" s="22"/>
      <c r="AP1471" s="22"/>
      <c r="AQ1471" s="22"/>
      <c r="AR1471" s="22"/>
      <c r="AS1471" s="22"/>
      <c r="AT1471" s="22"/>
      <c r="AU1471" s="22"/>
      <c r="AV1471" s="22"/>
      <c r="AW1471" s="17">
        <v>44894</v>
      </c>
      <c r="AX1471" s="9">
        <v>694392</v>
      </c>
      <c r="AY1471" s="9">
        <v>38300</v>
      </c>
      <c r="AZ1471" s="9">
        <v>3.83</v>
      </c>
      <c r="BA1471" s="11">
        <f>+AY1471/AZ1471</f>
        <v>10000</v>
      </c>
      <c r="BB1471" s="11" t="s">
        <v>1348</v>
      </c>
      <c r="BD1471" s="9"/>
      <c r="CT1471" s="22">
        <f t="shared" si="102"/>
        <v>10000</v>
      </c>
      <c r="CU1471" s="22">
        <f t="shared" si="103"/>
        <v>0</v>
      </c>
      <c r="CV1471" s="26">
        <f t="shared" si="104"/>
        <v>0</v>
      </c>
    </row>
    <row r="1472" spans="1:103" x14ac:dyDescent="0.2">
      <c r="A1472" s="9" t="s">
        <v>381</v>
      </c>
      <c r="B1472" s="2">
        <v>141</v>
      </c>
      <c r="C1472" s="3" t="s">
        <v>95</v>
      </c>
      <c r="D1472" s="3" t="s">
        <v>96</v>
      </c>
      <c r="E1472" s="2"/>
      <c r="F1472" s="2"/>
      <c r="G1472" s="2" t="s">
        <v>84</v>
      </c>
      <c r="H1472" s="2">
        <v>4</v>
      </c>
      <c r="I1472" s="8">
        <v>120.12</v>
      </c>
      <c r="J1472" s="8">
        <v>35900</v>
      </c>
      <c r="K1472" s="3">
        <v>0</v>
      </c>
      <c r="L1472" s="3" t="s">
        <v>3</v>
      </c>
      <c r="M1472" s="9" t="s">
        <v>0</v>
      </c>
      <c r="N1472" s="9" t="s">
        <v>32</v>
      </c>
      <c r="O1472" s="9" t="s">
        <v>382</v>
      </c>
      <c r="S1472" s="9" t="s">
        <v>158</v>
      </c>
      <c r="T1472" s="10" t="s">
        <v>84</v>
      </c>
      <c r="U1472" s="10">
        <v>4</v>
      </c>
      <c r="V1472" s="10">
        <v>120.12</v>
      </c>
      <c r="W1472" s="10" t="s">
        <v>710</v>
      </c>
      <c r="X1472" s="17">
        <v>44850</v>
      </c>
      <c r="Y1472" s="17">
        <v>45631</v>
      </c>
      <c r="Z1472" s="17"/>
      <c r="AA1472" s="210">
        <v>24000</v>
      </c>
      <c r="AB1472" s="9">
        <v>1</v>
      </c>
      <c r="AC1472" s="9">
        <v>1</v>
      </c>
      <c r="AD1472" s="17">
        <v>44885</v>
      </c>
      <c r="AE1472" s="56">
        <v>9000</v>
      </c>
      <c r="AF1472" s="56"/>
      <c r="AG1472" s="9" t="s">
        <v>134</v>
      </c>
      <c r="AH1472" s="18">
        <v>44908</v>
      </c>
      <c r="AI1472" s="116">
        <v>10678356</v>
      </c>
      <c r="AJ1472" s="181" t="s">
        <v>3226</v>
      </c>
      <c r="AK1472" s="9" t="s">
        <v>385</v>
      </c>
      <c r="AL1472" s="22">
        <v>9000</v>
      </c>
      <c r="AM1472" s="22"/>
      <c r="AN1472" s="22" t="s">
        <v>2011</v>
      </c>
      <c r="AO1472" s="22"/>
      <c r="AP1472" s="22"/>
      <c r="AQ1472" s="22"/>
      <c r="AR1472" s="22"/>
      <c r="AS1472" s="22"/>
      <c r="AT1472" s="22"/>
      <c r="AU1472" s="22"/>
      <c r="AV1472" s="22"/>
      <c r="AW1472" s="17">
        <v>44908</v>
      </c>
      <c r="AX1472" s="9">
        <v>1096</v>
      </c>
      <c r="BA1472" s="11">
        <v>5000</v>
      </c>
      <c r="BB1472" s="11" t="s">
        <v>1348</v>
      </c>
      <c r="BC1472" s="17">
        <v>44908</v>
      </c>
      <c r="BD1472" s="9">
        <v>1098</v>
      </c>
      <c r="BG1472" s="9">
        <v>4000</v>
      </c>
      <c r="CT1472" s="22">
        <f t="shared" si="102"/>
        <v>9000</v>
      </c>
      <c r="CU1472" s="22">
        <f t="shared" si="103"/>
        <v>0</v>
      </c>
      <c r="CV1472" s="26">
        <f t="shared" si="104"/>
        <v>0</v>
      </c>
    </row>
    <row r="1473" spans="1:100" x14ac:dyDescent="0.2">
      <c r="A1473" s="9" t="s">
        <v>381</v>
      </c>
      <c r="B1473" s="2">
        <v>141</v>
      </c>
      <c r="C1473" s="3" t="s">
        <v>95</v>
      </c>
      <c r="D1473" s="3" t="s">
        <v>96</v>
      </c>
      <c r="E1473" s="2"/>
      <c r="F1473" s="2"/>
      <c r="G1473" s="2" t="s">
        <v>84</v>
      </c>
      <c r="H1473" s="2">
        <v>4</v>
      </c>
      <c r="I1473" s="8">
        <v>120.12</v>
      </c>
      <c r="J1473" s="8">
        <v>35900</v>
      </c>
      <c r="K1473" s="3">
        <v>0</v>
      </c>
      <c r="L1473" s="3" t="s">
        <v>3</v>
      </c>
      <c r="M1473" s="9" t="s">
        <v>0</v>
      </c>
      <c r="N1473" s="9" t="s">
        <v>32</v>
      </c>
      <c r="O1473" s="9" t="s">
        <v>382</v>
      </c>
      <c r="S1473" s="9" t="s">
        <v>383</v>
      </c>
      <c r="V1473" s="10">
        <v>12.5</v>
      </c>
      <c r="W1473" s="10" t="s">
        <v>710</v>
      </c>
      <c r="X1473" s="17">
        <v>44850</v>
      </c>
      <c r="Y1473" s="17">
        <v>44854</v>
      </c>
      <c r="Z1473" s="17"/>
      <c r="AA1473" s="210">
        <v>5000</v>
      </c>
      <c r="AB1473" s="9">
        <v>60</v>
      </c>
      <c r="AC1473" s="9">
        <v>1</v>
      </c>
      <c r="AD1473" s="17">
        <v>44941</v>
      </c>
      <c r="AE1473" s="56">
        <v>83.34</v>
      </c>
      <c r="AF1473" s="56"/>
      <c r="AG1473" s="9" t="s">
        <v>134</v>
      </c>
      <c r="AH1473" s="18">
        <v>44979</v>
      </c>
      <c r="AI1473" s="116">
        <v>10678356</v>
      </c>
      <c r="AJ1473" s="181" t="s">
        <v>3226</v>
      </c>
      <c r="AK1473" s="9" t="s">
        <v>387</v>
      </c>
      <c r="AL1473" s="22">
        <v>83.33</v>
      </c>
      <c r="AM1473" s="22"/>
      <c r="AN1473" s="22" t="s">
        <v>2012</v>
      </c>
      <c r="AO1473" s="22"/>
      <c r="AP1473" s="22"/>
      <c r="AQ1473" s="22"/>
      <c r="AR1473" s="22"/>
      <c r="AS1473" s="22"/>
      <c r="AT1473" s="22"/>
      <c r="AU1473" s="22"/>
      <c r="AV1473" s="22"/>
      <c r="AW1473" s="42">
        <v>44977</v>
      </c>
      <c r="AX1473" s="36">
        <v>1235</v>
      </c>
      <c r="AY1473" s="36"/>
      <c r="AZ1473" s="36"/>
      <c r="BA1473" s="40">
        <v>83.33</v>
      </c>
      <c r="BD1473" s="9"/>
      <c r="CT1473" s="22">
        <f t="shared" si="102"/>
        <v>83.33</v>
      </c>
      <c r="CU1473" s="22">
        <f t="shared" si="103"/>
        <v>0</v>
      </c>
      <c r="CV1473" s="26">
        <f t="shared" si="104"/>
        <v>1.0000000000005116E-2</v>
      </c>
    </row>
    <row r="1474" spans="1:100" x14ac:dyDescent="0.2">
      <c r="A1474" s="9" t="s">
        <v>381</v>
      </c>
      <c r="B1474" s="2">
        <v>141</v>
      </c>
      <c r="C1474" s="3" t="s">
        <v>95</v>
      </c>
      <c r="D1474" s="3" t="s">
        <v>96</v>
      </c>
      <c r="E1474" s="2"/>
      <c r="F1474" s="2"/>
      <c r="G1474" s="2" t="s">
        <v>84</v>
      </c>
      <c r="H1474" s="2">
        <v>4</v>
      </c>
      <c r="I1474" s="8">
        <v>120.12</v>
      </c>
      <c r="J1474" s="8">
        <v>35900</v>
      </c>
      <c r="K1474" s="3">
        <v>0</v>
      </c>
      <c r="L1474" s="3" t="s">
        <v>3</v>
      </c>
      <c r="M1474" s="9" t="s">
        <v>0</v>
      </c>
      <c r="N1474" s="9" t="s">
        <v>32</v>
      </c>
      <c r="O1474" s="9" t="s">
        <v>382</v>
      </c>
      <c r="S1474" s="9" t="s">
        <v>383</v>
      </c>
      <c r="V1474" s="10">
        <v>12.5</v>
      </c>
      <c r="W1474" s="10" t="s">
        <v>710</v>
      </c>
      <c r="X1474" s="17">
        <v>44850</v>
      </c>
      <c r="Y1474" s="17">
        <v>44854</v>
      </c>
      <c r="Z1474" s="17"/>
      <c r="AA1474" s="210">
        <v>5000</v>
      </c>
      <c r="AB1474" s="9">
        <v>60</v>
      </c>
      <c r="AC1474" s="9">
        <v>2</v>
      </c>
      <c r="AD1474" s="17">
        <v>44972</v>
      </c>
      <c r="AE1474" s="56">
        <v>83.34</v>
      </c>
      <c r="AF1474" s="56"/>
      <c r="AG1474" s="9" t="s">
        <v>134</v>
      </c>
      <c r="AH1474" s="18">
        <v>44979</v>
      </c>
      <c r="AI1474" s="116">
        <v>10678356</v>
      </c>
      <c r="AJ1474" s="181" t="s">
        <v>3226</v>
      </c>
      <c r="AK1474" s="9" t="s">
        <v>388</v>
      </c>
      <c r="AL1474" s="22">
        <v>83.33</v>
      </c>
      <c r="AM1474" s="22"/>
      <c r="AN1474" s="22" t="s">
        <v>2013</v>
      </c>
      <c r="AO1474" s="22"/>
      <c r="AP1474" s="22"/>
      <c r="AQ1474" s="22"/>
      <c r="AR1474" s="22"/>
      <c r="AS1474" s="22"/>
      <c r="AT1474" s="22"/>
      <c r="AU1474" s="22"/>
      <c r="AV1474" s="22"/>
      <c r="AW1474" s="42">
        <v>44977</v>
      </c>
      <c r="AX1474" s="36">
        <v>1235</v>
      </c>
      <c r="AY1474" s="36"/>
      <c r="AZ1474" s="36"/>
      <c r="BA1474" s="40">
        <v>83.33</v>
      </c>
      <c r="BD1474" s="9"/>
      <c r="CT1474" s="22">
        <f t="shared" si="102"/>
        <v>83.33</v>
      </c>
      <c r="CU1474" s="22">
        <f t="shared" si="103"/>
        <v>0</v>
      </c>
      <c r="CV1474" s="26">
        <f t="shared" si="104"/>
        <v>1.0000000000005116E-2</v>
      </c>
    </row>
    <row r="1475" spans="1:100" x14ac:dyDescent="0.2">
      <c r="A1475" s="9" t="s">
        <v>381</v>
      </c>
      <c r="B1475" s="2">
        <v>141</v>
      </c>
      <c r="C1475" s="3" t="s">
        <v>95</v>
      </c>
      <c r="D1475" s="3" t="s">
        <v>96</v>
      </c>
      <c r="E1475" s="2"/>
      <c r="F1475" s="2"/>
      <c r="G1475" s="2" t="s">
        <v>84</v>
      </c>
      <c r="H1475" s="2">
        <v>4</v>
      </c>
      <c r="I1475" s="8">
        <v>120.12</v>
      </c>
      <c r="J1475" s="8">
        <v>35900</v>
      </c>
      <c r="K1475" s="3">
        <v>0</v>
      </c>
      <c r="L1475" s="3" t="s">
        <v>3</v>
      </c>
      <c r="M1475" s="9" t="s">
        <v>0</v>
      </c>
      <c r="N1475" s="9" t="s">
        <v>32</v>
      </c>
      <c r="O1475" s="9" t="s">
        <v>382</v>
      </c>
      <c r="S1475" s="9" t="s">
        <v>383</v>
      </c>
      <c r="V1475" s="10">
        <v>12.5</v>
      </c>
      <c r="W1475" s="10" t="s">
        <v>710</v>
      </c>
      <c r="X1475" s="17">
        <v>44850</v>
      </c>
      <c r="Y1475" s="17">
        <v>44854</v>
      </c>
      <c r="Z1475" s="17"/>
      <c r="AA1475" s="210">
        <v>5000</v>
      </c>
      <c r="AB1475" s="9">
        <v>60</v>
      </c>
      <c r="AC1475" s="9">
        <v>3</v>
      </c>
      <c r="AD1475" s="17">
        <v>45000</v>
      </c>
      <c r="AE1475" s="56">
        <v>83.34</v>
      </c>
      <c r="AF1475" s="56"/>
      <c r="AG1475" s="9" t="s">
        <v>134</v>
      </c>
      <c r="AH1475" s="18">
        <v>44979</v>
      </c>
      <c r="AI1475" s="116">
        <v>10678356</v>
      </c>
      <c r="AJ1475" s="181" t="s">
        <v>3226</v>
      </c>
      <c r="AK1475" s="9" t="s">
        <v>389</v>
      </c>
      <c r="AL1475" s="22">
        <v>83.33</v>
      </c>
      <c r="AM1475" s="22"/>
      <c r="AN1475" s="22" t="s">
        <v>2014</v>
      </c>
      <c r="AO1475" s="22"/>
      <c r="AP1475" s="22"/>
      <c r="AQ1475" s="22"/>
      <c r="AR1475" s="22"/>
      <c r="AS1475" s="22"/>
      <c r="AT1475" s="22"/>
      <c r="AU1475" s="22"/>
      <c r="AV1475" s="22"/>
      <c r="AW1475" s="42">
        <v>44977</v>
      </c>
      <c r="AX1475" s="36">
        <v>1235</v>
      </c>
      <c r="AY1475" s="36"/>
      <c r="AZ1475" s="36"/>
      <c r="BA1475" s="40">
        <v>83.33</v>
      </c>
      <c r="BD1475" s="9"/>
      <c r="CT1475" s="22">
        <f t="shared" si="102"/>
        <v>83.33</v>
      </c>
      <c r="CU1475" s="22">
        <f t="shared" si="103"/>
        <v>0</v>
      </c>
      <c r="CV1475" s="26">
        <f t="shared" si="104"/>
        <v>1.0000000000005116E-2</v>
      </c>
    </row>
    <row r="1476" spans="1:100" x14ac:dyDescent="0.2">
      <c r="A1476" s="9" t="s">
        <v>381</v>
      </c>
      <c r="B1476" s="2">
        <v>141</v>
      </c>
      <c r="C1476" s="3" t="s">
        <v>95</v>
      </c>
      <c r="D1476" s="3" t="s">
        <v>96</v>
      </c>
      <c r="E1476" s="2"/>
      <c r="F1476" s="2"/>
      <c r="G1476" s="2" t="s">
        <v>84</v>
      </c>
      <c r="H1476" s="2">
        <v>4</v>
      </c>
      <c r="I1476" s="8">
        <v>120.12</v>
      </c>
      <c r="J1476" s="8">
        <v>35900</v>
      </c>
      <c r="K1476" s="3">
        <v>0</v>
      </c>
      <c r="L1476" s="3" t="s">
        <v>3</v>
      </c>
      <c r="M1476" s="9" t="s">
        <v>0</v>
      </c>
      <c r="N1476" s="9" t="s">
        <v>32</v>
      </c>
      <c r="O1476" s="9" t="s">
        <v>382</v>
      </c>
      <c r="S1476" s="9" t="s">
        <v>383</v>
      </c>
      <c r="V1476" s="10">
        <v>12.5</v>
      </c>
      <c r="W1476" s="10" t="s">
        <v>710</v>
      </c>
      <c r="X1476" s="17">
        <v>44850</v>
      </c>
      <c r="Y1476" s="17">
        <v>44854</v>
      </c>
      <c r="Z1476" s="17"/>
      <c r="AA1476" s="210">
        <v>5000</v>
      </c>
      <c r="AB1476" s="9">
        <v>60</v>
      </c>
      <c r="AC1476" s="9">
        <v>4</v>
      </c>
      <c r="AD1476" s="17">
        <v>45031</v>
      </c>
      <c r="AE1476" s="54">
        <v>83.34</v>
      </c>
      <c r="AF1476" s="54"/>
      <c r="AG1476" s="9" t="s">
        <v>134</v>
      </c>
      <c r="AH1476" s="18">
        <v>44979</v>
      </c>
      <c r="AI1476" s="116">
        <v>10678356</v>
      </c>
      <c r="AJ1476" s="181" t="s">
        <v>3226</v>
      </c>
      <c r="AK1476" s="9" t="s">
        <v>390</v>
      </c>
      <c r="AL1476" s="22">
        <v>83.33</v>
      </c>
      <c r="AM1476" s="22"/>
      <c r="AN1476" s="22" t="s">
        <v>2015</v>
      </c>
      <c r="AO1476" s="22"/>
      <c r="AP1476" s="22"/>
      <c r="AQ1476" s="22"/>
      <c r="AR1476" s="22"/>
      <c r="AS1476" s="22"/>
      <c r="AT1476" s="22"/>
      <c r="AU1476" s="22"/>
      <c r="AV1476" s="22"/>
      <c r="AW1476" s="42">
        <v>44977</v>
      </c>
      <c r="AX1476" s="36">
        <v>1235</v>
      </c>
      <c r="AY1476" s="36"/>
      <c r="AZ1476" s="36"/>
      <c r="BA1476" s="40">
        <v>83.33</v>
      </c>
      <c r="BD1476" s="9"/>
      <c r="CT1476" s="22">
        <f t="shared" si="102"/>
        <v>83.33</v>
      </c>
      <c r="CU1476" s="22">
        <f t="shared" si="103"/>
        <v>0</v>
      </c>
      <c r="CV1476" s="26">
        <f t="shared" si="104"/>
        <v>1.0000000000005116E-2</v>
      </c>
    </row>
    <row r="1477" spans="1:100" x14ac:dyDescent="0.2">
      <c r="A1477" s="9" t="s">
        <v>381</v>
      </c>
      <c r="B1477" s="2">
        <v>141</v>
      </c>
      <c r="C1477" s="3" t="s">
        <v>95</v>
      </c>
      <c r="D1477" s="3" t="s">
        <v>96</v>
      </c>
      <c r="E1477" s="2"/>
      <c r="F1477" s="2"/>
      <c r="G1477" s="2" t="s">
        <v>84</v>
      </c>
      <c r="H1477" s="2">
        <v>4</v>
      </c>
      <c r="I1477" s="8">
        <v>120.12</v>
      </c>
      <c r="J1477" s="8">
        <v>35900</v>
      </c>
      <c r="K1477" s="3">
        <v>0</v>
      </c>
      <c r="L1477" s="3" t="s">
        <v>3</v>
      </c>
      <c r="M1477" s="9" t="s">
        <v>0</v>
      </c>
      <c r="N1477" s="9" t="s">
        <v>32</v>
      </c>
      <c r="O1477" s="9" t="s">
        <v>382</v>
      </c>
      <c r="S1477" s="9" t="s">
        <v>383</v>
      </c>
      <c r="V1477" s="10">
        <v>12.5</v>
      </c>
      <c r="W1477" s="10" t="s">
        <v>710</v>
      </c>
      <c r="X1477" s="17">
        <v>44850</v>
      </c>
      <c r="Y1477" s="17">
        <v>44854</v>
      </c>
      <c r="Z1477" s="17"/>
      <c r="AA1477" s="210">
        <v>5000</v>
      </c>
      <c r="AB1477" s="9">
        <v>60</v>
      </c>
      <c r="AC1477" s="9">
        <v>5</v>
      </c>
      <c r="AD1477" s="17">
        <v>45061</v>
      </c>
      <c r="AE1477" s="54">
        <v>83.34</v>
      </c>
      <c r="AF1477" s="54"/>
      <c r="AG1477" s="9" t="s">
        <v>134</v>
      </c>
      <c r="AH1477" s="18">
        <v>44979</v>
      </c>
      <c r="AI1477" s="116">
        <v>10678356</v>
      </c>
      <c r="AJ1477" s="181" t="s">
        <v>3226</v>
      </c>
      <c r="AK1477" s="9" t="s">
        <v>391</v>
      </c>
      <c r="AL1477" s="22">
        <v>83.33</v>
      </c>
      <c r="AM1477" s="22"/>
      <c r="AN1477" s="22" t="s">
        <v>2016</v>
      </c>
      <c r="AO1477" s="22"/>
      <c r="AP1477" s="22"/>
      <c r="AQ1477" s="22"/>
      <c r="AR1477" s="22"/>
      <c r="AS1477" s="22"/>
      <c r="AT1477" s="22"/>
      <c r="AU1477" s="22"/>
      <c r="AV1477" s="22"/>
      <c r="AW1477" s="42">
        <v>44977</v>
      </c>
      <c r="AX1477" s="36">
        <v>1235</v>
      </c>
      <c r="AY1477" s="36"/>
      <c r="AZ1477" s="36"/>
      <c r="BA1477" s="40">
        <v>83.33</v>
      </c>
      <c r="BD1477" s="9"/>
      <c r="CT1477" s="22">
        <f t="shared" si="102"/>
        <v>83.33</v>
      </c>
      <c r="CU1477" s="22">
        <f t="shared" si="103"/>
        <v>0</v>
      </c>
      <c r="CV1477" s="26">
        <f t="shared" si="104"/>
        <v>1.0000000000005116E-2</v>
      </c>
    </row>
    <row r="1478" spans="1:100" x14ac:dyDescent="0.2">
      <c r="A1478" s="9" t="s">
        <v>381</v>
      </c>
      <c r="B1478" s="2">
        <v>141</v>
      </c>
      <c r="C1478" s="3" t="s">
        <v>95</v>
      </c>
      <c r="D1478" s="3" t="s">
        <v>96</v>
      </c>
      <c r="E1478" s="2"/>
      <c r="F1478" s="2"/>
      <c r="G1478" s="2" t="s">
        <v>84</v>
      </c>
      <c r="H1478" s="2">
        <v>4</v>
      </c>
      <c r="I1478" s="8">
        <v>120.12</v>
      </c>
      <c r="J1478" s="8">
        <v>35900</v>
      </c>
      <c r="K1478" s="3">
        <v>0</v>
      </c>
      <c r="L1478" s="3" t="s">
        <v>3</v>
      </c>
      <c r="M1478" s="9" t="s">
        <v>0</v>
      </c>
      <c r="N1478" s="9" t="s">
        <v>32</v>
      </c>
      <c r="O1478" s="9" t="s">
        <v>382</v>
      </c>
      <c r="S1478" s="9" t="s">
        <v>383</v>
      </c>
      <c r="V1478" s="10">
        <v>12.5</v>
      </c>
      <c r="W1478" s="10" t="s">
        <v>710</v>
      </c>
      <c r="X1478" s="17">
        <v>44850</v>
      </c>
      <c r="Y1478" s="17">
        <v>44854</v>
      </c>
      <c r="Z1478" s="17"/>
      <c r="AA1478" s="210">
        <v>5000</v>
      </c>
      <c r="AB1478" s="9">
        <v>60</v>
      </c>
      <c r="AC1478" s="9">
        <v>6</v>
      </c>
      <c r="AD1478" s="17">
        <v>45092</v>
      </c>
      <c r="AE1478" s="54">
        <v>83.34</v>
      </c>
      <c r="AF1478" s="54"/>
      <c r="AG1478" s="9" t="s">
        <v>134</v>
      </c>
      <c r="AH1478" s="18">
        <v>44979</v>
      </c>
      <c r="AI1478" s="116">
        <v>10678356</v>
      </c>
      <c r="AJ1478" s="181" t="s">
        <v>3226</v>
      </c>
      <c r="AK1478" s="9" t="s">
        <v>386</v>
      </c>
      <c r="AL1478" s="22">
        <v>83.33</v>
      </c>
      <c r="AM1478" s="22"/>
      <c r="AN1478" s="22" t="s">
        <v>2017</v>
      </c>
      <c r="AO1478" s="22"/>
      <c r="AP1478" s="22"/>
      <c r="AQ1478" s="22"/>
      <c r="AR1478" s="22"/>
      <c r="AS1478" s="22"/>
      <c r="AT1478" s="22"/>
      <c r="AU1478" s="22"/>
      <c r="AV1478" s="22"/>
      <c r="AW1478" s="42">
        <v>44977</v>
      </c>
      <c r="AX1478" s="36">
        <v>1235</v>
      </c>
      <c r="AY1478" s="36"/>
      <c r="AZ1478" s="36"/>
      <c r="BA1478" s="40">
        <v>83.33</v>
      </c>
      <c r="BD1478" s="9"/>
      <c r="CT1478" s="22">
        <f t="shared" si="102"/>
        <v>83.33</v>
      </c>
      <c r="CU1478" s="22">
        <f t="shared" si="103"/>
        <v>0</v>
      </c>
      <c r="CV1478" s="26">
        <f t="shared" si="104"/>
        <v>1.0000000000005116E-2</v>
      </c>
    </row>
    <row r="1479" spans="1:100" x14ac:dyDescent="0.2">
      <c r="A1479" s="9" t="s">
        <v>381</v>
      </c>
      <c r="B1479" s="2">
        <v>141</v>
      </c>
      <c r="C1479" s="3" t="s">
        <v>95</v>
      </c>
      <c r="D1479" s="3" t="s">
        <v>96</v>
      </c>
      <c r="E1479" s="2"/>
      <c r="F1479" s="2"/>
      <c r="G1479" s="2" t="s">
        <v>84</v>
      </c>
      <c r="H1479" s="2">
        <v>4</v>
      </c>
      <c r="I1479" s="8">
        <v>120.12</v>
      </c>
      <c r="J1479" s="8">
        <v>35900</v>
      </c>
      <c r="K1479" s="3">
        <v>0</v>
      </c>
      <c r="L1479" s="3" t="s">
        <v>3</v>
      </c>
      <c r="M1479" s="9" t="s">
        <v>0</v>
      </c>
      <c r="N1479" s="9" t="s">
        <v>32</v>
      </c>
      <c r="O1479" s="9" t="s">
        <v>382</v>
      </c>
      <c r="S1479" s="9" t="s">
        <v>383</v>
      </c>
      <c r="V1479" s="10">
        <v>12.5</v>
      </c>
      <c r="W1479" s="10" t="s">
        <v>710</v>
      </c>
      <c r="X1479" s="17">
        <v>44850</v>
      </c>
      <c r="Y1479" s="17">
        <v>44854</v>
      </c>
      <c r="Z1479" s="17"/>
      <c r="AA1479" s="210">
        <v>5000</v>
      </c>
      <c r="AB1479" s="9">
        <v>60</v>
      </c>
      <c r="AC1479" s="9">
        <v>7</v>
      </c>
      <c r="AD1479" s="17">
        <v>45122</v>
      </c>
      <c r="AE1479" s="54">
        <v>83.34</v>
      </c>
      <c r="AF1479" s="54"/>
      <c r="AG1479" s="9" t="s">
        <v>134</v>
      </c>
      <c r="AH1479" s="18">
        <v>44979</v>
      </c>
      <c r="AI1479" s="116">
        <v>10678356</v>
      </c>
      <c r="AJ1479" s="181" t="s">
        <v>3226</v>
      </c>
      <c r="AK1479" s="9" t="s">
        <v>392</v>
      </c>
      <c r="AL1479" s="22">
        <v>83.33</v>
      </c>
      <c r="AM1479" s="22"/>
      <c r="AN1479" s="22" t="s">
        <v>2018</v>
      </c>
      <c r="AO1479" s="22"/>
      <c r="AP1479" s="22"/>
      <c r="AQ1479" s="22"/>
      <c r="AR1479" s="22"/>
      <c r="AS1479" s="22"/>
      <c r="AT1479" s="22"/>
      <c r="AU1479" s="22"/>
      <c r="AV1479" s="22"/>
      <c r="AW1479" s="42">
        <v>44977</v>
      </c>
      <c r="AX1479" s="36">
        <v>1235</v>
      </c>
      <c r="AY1479" s="36"/>
      <c r="AZ1479" s="36"/>
      <c r="BA1479" s="40">
        <v>83.33</v>
      </c>
      <c r="BD1479" s="9"/>
      <c r="CT1479" s="22">
        <f t="shared" si="102"/>
        <v>83.33</v>
      </c>
      <c r="CU1479" s="22">
        <f t="shared" si="103"/>
        <v>0</v>
      </c>
      <c r="CV1479" s="26">
        <f t="shared" si="104"/>
        <v>1.0000000000005116E-2</v>
      </c>
    </row>
    <row r="1480" spans="1:100" x14ac:dyDescent="0.2">
      <c r="A1480" s="9" t="s">
        <v>381</v>
      </c>
      <c r="B1480" s="2">
        <v>141</v>
      </c>
      <c r="C1480" s="3" t="s">
        <v>95</v>
      </c>
      <c r="D1480" s="3" t="s">
        <v>96</v>
      </c>
      <c r="E1480" s="2"/>
      <c r="F1480" s="2"/>
      <c r="G1480" s="2" t="s">
        <v>84</v>
      </c>
      <c r="H1480" s="2">
        <v>4</v>
      </c>
      <c r="I1480" s="8">
        <v>120.12</v>
      </c>
      <c r="J1480" s="8">
        <v>35900</v>
      </c>
      <c r="K1480" s="3">
        <v>0</v>
      </c>
      <c r="L1480" s="3" t="s">
        <v>3</v>
      </c>
      <c r="M1480" s="9" t="s">
        <v>0</v>
      </c>
      <c r="N1480" s="9" t="s">
        <v>32</v>
      </c>
      <c r="O1480" s="9" t="s">
        <v>382</v>
      </c>
      <c r="S1480" s="9" t="s">
        <v>383</v>
      </c>
      <c r="V1480" s="10">
        <v>12.5</v>
      </c>
      <c r="W1480" s="10" t="s">
        <v>710</v>
      </c>
      <c r="X1480" s="17">
        <v>44850</v>
      </c>
      <c r="Y1480" s="17">
        <v>44854</v>
      </c>
      <c r="Z1480" s="17"/>
      <c r="AA1480" s="210">
        <v>5000</v>
      </c>
      <c r="AB1480" s="9">
        <v>60</v>
      </c>
      <c r="AC1480" s="9">
        <v>8</v>
      </c>
      <c r="AD1480" s="17">
        <v>45153</v>
      </c>
      <c r="AE1480" s="54">
        <v>83.34</v>
      </c>
      <c r="AF1480" s="54"/>
      <c r="AG1480" s="9" t="s">
        <v>134</v>
      </c>
      <c r="AH1480" s="18">
        <v>44979</v>
      </c>
      <c r="AI1480" s="116">
        <v>10678356</v>
      </c>
      <c r="AJ1480" s="181" t="s">
        <v>3226</v>
      </c>
      <c r="AK1480" s="9" t="s">
        <v>393</v>
      </c>
      <c r="AL1480" s="22">
        <v>83.33</v>
      </c>
      <c r="AM1480" s="22"/>
      <c r="AN1480" s="22" t="s">
        <v>2019</v>
      </c>
      <c r="AO1480" s="22"/>
      <c r="AP1480" s="22"/>
      <c r="AQ1480" s="22"/>
      <c r="AR1480" s="22"/>
      <c r="AS1480" s="22"/>
      <c r="AT1480" s="22"/>
      <c r="AU1480" s="22"/>
      <c r="AV1480" s="22"/>
      <c r="AW1480" s="42">
        <v>44977</v>
      </c>
      <c r="AX1480" s="36">
        <v>1235</v>
      </c>
      <c r="AY1480" s="36"/>
      <c r="AZ1480" s="36"/>
      <c r="BA1480" s="40">
        <v>83.33</v>
      </c>
      <c r="BD1480" s="9"/>
      <c r="CT1480" s="22">
        <f t="shared" si="102"/>
        <v>83.33</v>
      </c>
      <c r="CU1480" s="22">
        <f t="shared" si="103"/>
        <v>0</v>
      </c>
      <c r="CV1480" s="26">
        <f t="shared" si="104"/>
        <v>1.0000000000005116E-2</v>
      </c>
    </row>
    <row r="1481" spans="1:100" x14ac:dyDescent="0.2">
      <c r="A1481" s="9" t="s">
        <v>381</v>
      </c>
      <c r="B1481" s="2">
        <v>141</v>
      </c>
      <c r="C1481" s="3" t="s">
        <v>95</v>
      </c>
      <c r="D1481" s="3" t="s">
        <v>96</v>
      </c>
      <c r="E1481" s="2"/>
      <c r="F1481" s="2"/>
      <c r="G1481" s="2" t="s">
        <v>84</v>
      </c>
      <c r="H1481" s="2">
        <v>4</v>
      </c>
      <c r="I1481" s="8">
        <v>120.12</v>
      </c>
      <c r="J1481" s="8">
        <v>35900</v>
      </c>
      <c r="K1481" s="3">
        <v>0</v>
      </c>
      <c r="L1481" s="3" t="s">
        <v>3</v>
      </c>
      <c r="M1481" s="9" t="s">
        <v>0</v>
      </c>
      <c r="N1481" s="9" t="s">
        <v>32</v>
      </c>
      <c r="O1481" s="9" t="s">
        <v>382</v>
      </c>
      <c r="S1481" s="9" t="s">
        <v>383</v>
      </c>
      <c r="V1481" s="10">
        <v>12.5</v>
      </c>
      <c r="W1481" s="10" t="s">
        <v>710</v>
      </c>
      <c r="X1481" s="17">
        <v>44850</v>
      </c>
      <c r="Y1481" s="17">
        <v>44854</v>
      </c>
      <c r="Z1481" s="17"/>
      <c r="AA1481" s="210">
        <v>5000</v>
      </c>
      <c r="AB1481" s="9">
        <v>60</v>
      </c>
      <c r="AC1481" s="9">
        <v>9</v>
      </c>
      <c r="AD1481" s="17">
        <v>45184</v>
      </c>
      <c r="AE1481" s="54">
        <v>83.34</v>
      </c>
      <c r="AF1481" s="54"/>
      <c r="AG1481" s="9" t="s">
        <v>134</v>
      </c>
      <c r="AH1481" s="18">
        <v>44979</v>
      </c>
      <c r="AI1481" s="116">
        <v>10678356</v>
      </c>
      <c r="AJ1481" s="181" t="s">
        <v>3226</v>
      </c>
      <c r="AK1481" s="9" t="s">
        <v>394</v>
      </c>
      <c r="AL1481" s="22">
        <v>83.33</v>
      </c>
      <c r="AM1481" s="22"/>
      <c r="AN1481" s="22" t="s">
        <v>2020</v>
      </c>
      <c r="AO1481" s="22"/>
      <c r="AP1481" s="22"/>
      <c r="AQ1481" s="22"/>
      <c r="AR1481" s="22"/>
      <c r="AS1481" s="22"/>
      <c r="AT1481" s="22"/>
      <c r="AU1481" s="22"/>
      <c r="AV1481" s="22"/>
      <c r="AW1481" s="42">
        <v>44977</v>
      </c>
      <c r="AX1481" s="36">
        <v>1235</v>
      </c>
      <c r="AY1481" s="36"/>
      <c r="AZ1481" s="36"/>
      <c r="BA1481" s="40">
        <v>83.33</v>
      </c>
      <c r="BD1481" s="9"/>
      <c r="CT1481" s="22">
        <f t="shared" si="102"/>
        <v>83.33</v>
      </c>
      <c r="CU1481" s="22">
        <f t="shared" si="103"/>
        <v>0</v>
      </c>
      <c r="CV1481" s="26">
        <f t="shared" si="104"/>
        <v>1.0000000000005116E-2</v>
      </c>
    </row>
    <row r="1482" spans="1:100" x14ac:dyDescent="0.2">
      <c r="A1482" s="9" t="s">
        <v>381</v>
      </c>
      <c r="B1482" s="2">
        <v>141</v>
      </c>
      <c r="C1482" s="3" t="s">
        <v>95</v>
      </c>
      <c r="D1482" s="3" t="s">
        <v>96</v>
      </c>
      <c r="E1482" s="2"/>
      <c r="F1482" s="2"/>
      <c r="G1482" s="2" t="s">
        <v>84</v>
      </c>
      <c r="H1482" s="2">
        <v>4</v>
      </c>
      <c r="I1482" s="8">
        <v>120.12</v>
      </c>
      <c r="J1482" s="8">
        <v>35900</v>
      </c>
      <c r="K1482" s="3">
        <v>0</v>
      </c>
      <c r="L1482" s="3" t="s">
        <v>3</v>
      </c>
      <c r="M1482" s="9" t="s">
        <v>0</v>
      </c>
      <c r="N1482" s="9" t="s">
        <v>32</v>
      </c>
      <c r="O1482" s="9" t="s">
        <v>382</v>
      </c>
      <c r="S1482" s="9" t="s">
        <v>383</v>
      </c>
      <c r="V1482" s="10">
        <v>12.5</v>
      </c>
      <c r="W1482" s="10" t="s">
        <v>710</v>
      </c>
      <c r="X1482" s="17">
        <v>44850</v>
      </c>
      <c r="Y1482" s="17">
        <v>44854</v>
      </c>
      <c r="Z1482" s="17"/>
      <c r="AA1482" s="210">
        <v>5000</v>
      </c>
      <c r="AB1482" s="9">
        <v>60</v>
      </c>
      <c r="AC1482" s="9">
        <v>10</v>
      </c>
      <c r="AD1482" s="17">
        <v>45214</v>
      </c>
      <c r="AE1482" s="54">
        <v>83.34</v>
      </c>
      <c r="AF1482" s="54"/>
      <c r="AG1482" s="9" t="s">
        <v>134</v>
      </c>
      <c r="AH1482" s="18">
        <v>44979</v>
      </c>
      <c r="AI1482" s="116">
        <v>10678356</v>
      </c>
      <c r="AJ1482" s="181" t="s">
        <v>3226</v>
      </c>
      <c r="AK1482" s="9" t="s">
        <v>395</v>
      </c>
      <c r="AL1482" s="22">
        <v>83.33</v>
      </c>
      <c r="AM1482" s="22"/>
      <c r="AN1482" s="22" t="s">
        <v>2021</v>
      </c>
      <c r="AO1482" s="22"/>
      <c r="AP1482" s="22"/>
      <c r="AQ1482" s="22"/>
      <c r="AR1482" s="22"/>
      <c r="AS1482" s="22"/>
      <c r="AT1482" s="22"/>
      <c r="AU1482" s="22"/>
      <c r="AV1482" s="22"/>
      <c r="AW1482" s="42">
        <v>44977</v>
      </c>
      <c r="AX1482" s="36">
        <v>1235</v>
      </c>
      <c r="AY1482" s="36"/>
      <c r="AZ1482" s="36"/>
      <c r="BA1482" s="40">
        <v>83.33</v>
      </c>
      <c r="BD1482" s="9"/>
      <c r="CT1482" s="22">
        <f t="shared" si="102"/>
        <v>83.33</v>
      </c>
      <c r="CU1482" s="22">
        <f t="shared" si="103"/>
        <v>0</v>
      </c>
      <c r="CV1482" s="26">
        <f t="shared" si="104"/>
        <v>1.0000000000005116E-2</v>
      </c>
    </row>
    <row r="1483" spans="1:100" x14ac:dyDescent="0.2">
      <c r="A1483" s="9" t="s">
        <v>381</v>
      </c>
      <c r="B1483" s="2">
        <v>141</v>
      </c>
      <c r="C1483" s="3" t="s">
        <v>95</v>
      </c>
      <c r="D1483" s="3" t="s">
        <v>96</v>
      </c>
      <c r="E1483" s="2"/>
      <c r="F1483" s="2"/>
      <c r="G1483" s="2" t="s">
        <v>84</v>
      </c>
      <c r="H1483" s="2">
        <v>4</v>
      </c>
      <c r="I1483" s="8">
        <v>120.12</v>
      </c>
      <c r="J1483" s="8">
        <v>35900</v>
      </c>
      <c r="K1483" s="3">
        <v>0</v>
      </c>
      <c r="L1483" s="3" t="s">
        <v>3</v>
      </c>
      <c r="M1483" s="9" t="s">
        <v>0</v>
      </c>
      <c r="N1483" s="9" t="s">
        <v>32</v>
      </c>
      <c r="O1483" s="9" t="s">
        <v>382</v>
      </c>
      <c r="S1483" s="9" t="s">
        <v>383</v>
      </c>
      <c r="V1483" s="10">
        <v>12.5</v>
      </c>
      <c r="W1483" s="10" t="s">
        <v>710</v>
      </c>
      <c r="X1483" s="17">
        <v>44850</v>
      </c>
      <c r="Y1483" s="17">
        <v>44854</v>
      </c>
      <c r="Z1483" s="17"/>
      <c r="AA1483" s="210">
        <v>5000</v>
      </c>
      <c r="AB1483" s="9">
        <v>60</v>
      </c>
      <c r="AC1483" s="9">
        <v>11</v>
      </c>
      <c r="AD1483" s="17">
        <v>45245</v>
      </c>
      <c r="AE1483" s="54">
        <v>83.34</v>
      </c>
      <c r="AF1483" s="54"/>
      <c r="AG1483" s="9" t="s">
        <v>134</v>
      </c>
      <c r="AH1483" s="18">
        <v>44979</v>
      </c>
      <c r="AI1483" s="116">
        <v>10678356</v>
      </c>
      <c r="AJ1483" s="181" t="s">
        <v>3226</v>
      </c>
      <c r="AK1483" s="9" t="s">
        <v>396</v>
      </c>
      <c r="AL1483" s="22">
        <v>83.33</v>
      </c>
      <c r="AM1483" s="22"/>
      <c r="AN1483" s="22" t="s">
        <v>2022</v>
      </c>
      <c r="AO1483" s="22"/>
      <c r="AP1483" s="22"/>
      <c r="AQ1483" s="22"/>
      <c r="AR1483" s="22"/>
      <c r="AS1483" s="22"/>
      <c r="AT1483" s="22"/>
      <c r="AU1483" s="22"/>
      <c r="AV1483" s="22"/>
      <c r="AW1483" s="42">
        <v>44977</v>
      </c>
      <c r="AX1483" s="36">
        <v>1235</v>
      </c>
      <c r="AY1483" s="36"/>
      <c r="AZ1483" s="36"/>
      <c r="BA1483" s="40">
        <v>83.33</v>
      </c>
      <c r="BD1483" s="9"/>
      <c r="CT1483" s="22">
        <f t="shared" si="102"/>
        <v>83.33</v>
      </c>
      <c r="CU1483" s="22">
        <f t="shared" si="103"/>
        <v>0</v>
      </c>
      <c r="CV1483" s="26">
        <f t="shared" si="104"/>
        <v>1.0000000000005116E-2</v>
      </c>
    </row>
    <row r="1484" spans="1:100" x14ac:dyDescent="0.2">
      <c r="A1484" s="9" t="s">
        <v>381</v>
      </c>
      <c r="B1484" s="2">
        <v>141</v>
      </c>
      <c r="C1484" s="3" t="s">
        <v>95</v>
      </c>
      <c r="D1484" s="3" t="s">
        <v>96</v>
      </c>
      <c r="E1484" s="2"/>
      <c r="F1484" s="2"/>
      <c r="G1484" s="2" t="s">
        <v>84</v>
      </c>
      <c r="H1484" s="2">
        <v>4</v>
      </c>
      <c r="I1484" s="8">
        <v>120.12</v>
      </c>
      <c r="J1484" s="8">
        <v>35900</v>
      </c>
      <c r="K1484" s="3">
        <v>0</v>
      </c>
      <c r="L1484" s="3" t="s">
        <v>3</v>
      </c>
      <c r="M1484" s="9" t="s">
        <v>0</v>
      </c>
      <c r="N1484" s="9" t="s">
        <v>32</v>
      </c>
      <c r="O1484" s="9" t="s">
        <v>382</v>
      </c>
      <c r="S1484" s="9" t="s">
        <v>383</v>
      </c>
      <c r="V1484" s="10">
        <v>12.5</v>
      </c>
      <c r="W1484" s="10" t="s">
        <v>710</v>
      </c>
      <c r="X1484" s="17">
        <v>44850</v>
      </c>
      <c r="Y1484" s="17">
        <v>44854</v>
      </c>
      <c r="Z1484" s="17"/>
      <c r="AA1484" s="210">
        <v>5000</v>
      </c>
      <c r="AB1484" s="9">
        <v>60</v>
      </c>
      <c r="AC1484" s="9">
        <v>12</v>
      </c>
      <c r="AD1484" s="17">
        <v>45275</v>
      </c>
      <c r="AE1484" s="54">
        <v>83.34</v>
      </c>
      <c r="AF1484" s="54"/>
      <c r="AG1484" s="9" t="s">
        <v>134</v>
      </c>
      <c r="AH1484" s="18">
        <v>44979</v>
      </c>
      <c r="AI1484" s="116">
        <v>10678356</v>
      </c>
      <c r="AJ1484" s="181" t="s">
        <v>3226</v>
      </c>
      <c r="AK1484" s="9" t="s">
        <v>397</v>
      </c>
      <c r="AL1484" s="22">
        <v>83.33</v>
      </c>
      <c r="AM1484" s="22"/>
      <c r="AN1484" s="22" t="s">
        <v>2023</v>
      </c>
      <c r="AO1484" s="22"/>
      <c r="AP1484" s="22"/>
      <c r="AQ1484" s="22"/>
      <c r="AR1484" s="22"/>
      <c r="AS1484" s="22"/>
      <c r="AT1484" s="22"/>
      <c r="AU1484" s="22"/>
      <c r="AV1484" s="22"/>
      <c r="AW1484" s="42">
        <v>44977</v>
      </c>
      <c r="AX1484" s="36">
        <v>1235</v>
      </c>
      <c r="AY1484" s="36"/>
      <c r="AZ1484" s="36"/>
      <c r="BA1484" s="40">
        <v>83.37</v>
      </c>
      <c r="BD1484" s="9"/>
      <c r="CT1484" s="22">
        <f t="shared" si="102"/>
        <v>83.37</v>
      </c>
      <c r="CU1484" s="22">
        <f t="shared" si="103"/>
        <v>-4.0000000000006253E-2</v>
      </c>
      <c r="CV1484" s="26">
        <f t="shared" si="104"/>
        <v>1.0000000000005116E-2</v>
      </c>
    </row>
    <row r="1485" spans="1:100" x14ac:dyDescent="0.2">
      <c r="A1485" s="9" t="s">
        <v>381</v>
      </c>
      <c r="B1485" s="2">
        <v>141</v>
      </c>
      <c r="C1485" s="3" t="s">
        <v>95</v>
      </c>
      <c r="D1485" s="3" t="s">
        <v>96</v>
      </c>
      <c r="E1485" s="2"/>
      <c r="F1485" s="2"/>
      <c r="G1485" s="2" t="s">
        <v>84</v>
      </c>
      <c r="H1485" s="2">
        <v>4</v>
      </c>
      <c r="I1485" s="8">
        <v>120.12</v>
      </c>
      <c r="J1485" s="8">
        <v>35900</v>
      </c>
      <c r="K1485" s="3">
        <v>0</v>
      </c>
      <c r="L1485" s="3" t="s">
        <v>3</v>
      </c>
      <c r="M1485" s="9" t="s">
        <v>0</v>
      </c>
      <c r="N1485" s="9" t="s">
        <v>32</v>
      </c>
      <c r="O1485" s="9" t="s">
        <v>382</v>
      </c>
      <c r="S1485" s="9" t="s">
        <v>383</v>
      </c>
      <c r="V1485" s="10">
        <v>12.5</v>
      </c>
      <c r="W1485" s="10" t="s">
        <v>710</v>
      </c>
      <c r="X1485" s="17">
        <v>44850</v>
      </c>
      <c r="Y1485" s="17">
        <v>44854</v>
      </c>
      <c r="Z1485" s="17"/>
      <c r="AA1485" s="210">
        <v>5000</v>
      </c>
      <c r="AB1485" s="9">
        <v>60</v>
      </c>
      <c r="AC1485" s="9">
        <v>13</v>
      </c>
      <c r="AD1485" s="17">
        <v>45306</v>
      </c>
      <c r="AE1485" s="54">
        <v>83.34</v>
      </c>
      <c r="AF1485" s="54"/>
      <c r="AL1485" s="9"/>
      <c r="AM1485" s="9"/>
      <c r="AN1485" s="9"/>
      <c r="AO1485" s="9"/>
      <c r="AP1485" s="9"/>
      <c r="AQ1485" s="9"/>
      <c r="AR1485" s="9"/>
      <c r="AS1485" s="9"/>
      <c r="AT1485" s="9"/>
      <c r="AU1485" s="9"/>
      <c r="AV1485" s="9"/>
      <c r="AW1485" s="9"/>
      <c r="BD1485" s="9"/>
      <c r="CT1485" s="22">
        <f t="shared" si="102"/>
        <v>0</v>
      </c>
      <c r="CU1485" s="22">
        <f t="shared" si="103"/>
        <v>0</v>
      </c>
      <c r="CV1485" s="26">
        <f t="shared" si="104"/>
        <v>83.34</v>
      </c>
    </row>
    <row r="1486" spans="1:100" x14ac:dyDescent="0.2">
      <c r="A1486" s="9" t="s">
        <v>381</v>
      </c>
      <c r="B1486" s="2">
        <v>141</v>
      </c>
      <c r="C1486" s="3" t="s">
        <v>95</v>
      </c>
      <c r="D1486" s="3" t="s">
        <v>96</v>
      </c>
      <c r="E1486" s="2"/>
      <c r="F1486" s="2"/>
      <c r="G1486" s="2" t="s">
        <v>84</v>
      </c>
      <c r="H1486" s="2">
        <v>4</v>
      </c>
      <c r="I1486" s="8">
        <v>120.12</v>
      </c>
      <c r="J1486" s="8">
        <v>35900</v>
      </c>
      <c r="K1486" s="3">
        <v>0</v>
      </c>
      <c r="L1486" s="3" t="s">
        <v>3</v>
      </c>
      <c r="M1486" s="9" t="s">
        <v>0</v>
      </c>
      <c r="N1486" s="9" t="s">
        <v>32</v>
      </c>
      <c r="O1486" s="9" t="s">
        <v>382</v>
      </c>
      <c r="S1486" s="9" t="s">
        <v>383</v>
      </c>
      <c r="V1486" s="10">
        <v>12.5</v>
      </c>
      <c r="W1486" s="10" t="s">
        <v>710</v>
      </c>
      <c r="X1486" s="17">
        <v>44850</v>
      </c>
      <c r="Y1486" s="17">
        <v>44854</v>
      </c>
      <c r="Z1486" s="17"/>
      <c r="AA1486" s="210">
        <v>5000</v>
      </c>
      <c r="AB1486" s="9">
        <v>60</v>
      </c>
      <c r="AC1486" s="9">
        <v>14</v>
      </c>
      <c r="AD1486" s="17">
        <v>45337</v>
      </c>
      <c r="AE1486" s="54">
        <v>83.34</v>
      </c>
      <c r="AF1486" s="54"/>
      <c r="AL1486" s="9"/>
      <c r="AM1486" s="9"/>
      <c r="AN1486" s="9"/>
      <c r="AO1486" s="9"/>
      <c r="AP1486" s="9"/>
      <c r="AQ1486" s="9"/>
      <c r="AR1486" s="9"/>
      <c r="AS1486" s="9"/>
      <c r="AT1486" s="9"/>
      <c r="AU1486" s="9"/>
      <c r="AV1486" s="9"/>
      <c r="AW1486" s="9"/>
      <c r="BD1486" s="9"/>
      <c r="CT1486" s="22">
        <f t="shared" si="102"/>
        <v>0</v>
      </c>
      <c r="CU1486" s="22">
        <f t="shared" si="103"/>
        <v>0</v>
      </c>
      <c r="CV1486" s="26">
        <f t="shared" si="104"/>
        <v>83.34</v>
      </c>
    </row>
    <row r="1487" spans="1:100" x14ac:dyDescent="0.2">
      <c r="A1487" s="9" t="s">
        <v>381</v>
      </c>
      <c r="B1487" s="2">
        <v>141</v>
      </c>
      <c r="C1487" s="3" t="s">
        <v>95</v>
      </c>
      <c r="D1487" s="3" t="s">
        <v>96</v>
      </c>
      <c r="E1487" s="2"/>
      <c r="F1487" s="2"/>
      <c r="G1487" s="2" t="s">
        <v>84</v>
      </c>
      <c r="H1487" s="2">
        <v>4</v>
      </c>
      <c r="I1487" s="8">
        <v>120.12</v>
      </c>
      <c r="J1487" s="8">
        <v>35900</v>
      </c>
      <c r="K1487" s="3">
        <v>0</v>
      </c>
      <c r="L1487" s="3" t="s">
        <v>3</v>
      </c>
      <c r="M1487" s="9" t="s">
        <v>0</v>
      </c>
      <c r="N1487" s="9" t="s">
        <v>32</v>
      </c>
      <c r="O1487" s="9" t="s">
        <v>382</v>
      </c>
      <c r="S1487" s="9" t="s">
        <v>383</v>
      </c>
      <c r="V1487" s="10">
        <v>12.5</v>
      </c>
      <c r="W1487" s="10" t="s">
        <v>710</v>
      </c>
      <c r="X1487" s="17">
        <v>44850</v>
      </c>
      <c r="Y1487" s="17">
        <v>44854</v>
      </c>
      <c r="Z1487" s="17"/>
      <c r="AA1487" s="210">
        <v>5000</v>
      </c>
      <c r="AB1487" s="9">
        <v>60</v>
      </c>
      <c r="AC1487" s="9">
        <v>15</v>
      </c>
      <c r="AD1487" s="17">
        <v>45366</v>
      </c>
      <c r="AE1487" s="54">
        <v>83.34</v>
      </c>
      <c r="AF1487" s="54"/>
      <c r="AL1487" s="9"/>
      <c r="AM1487" s="9"/>
      <c r="AN1487" s="9"/>
      <c r="AO1487" s="9"/>
      <c r="AP1487" s="9"/>
      <c r="AQ1487" s="9"/>
      <c r="AR1487" s="9"/>
      <c r="AS1487" s="9"/>
      <c r="AT1487" s="9"/>
      <c r="AU1487" s="9"/>
      <c r="AV1487" s="9"/>
      <c r="AW1487" s="9"/>
      <c r="BD1487" s="9"/>
      <c r="CT1487" s="22">
        <f t="shared" si="102"/>
        <v>0</v>
      </c>
      <c r="CU1487" s="22">
        <f t="shared" si="103"/>
        <v>0</v>
      </c>
      <c r="CV1487" s="26">
        <f t="shared" si="104"/>
        <v>83.34</v>
      </c>
    </row>
    <row r="1488" spans="1:100" x14ac:dyDescent="0.2">
      <c r="A1488" s="9" t="s">
        <v>381</v>
      </c>
      <c r="B1488" s="2">
        <v>141</v>
      </c>
      <c r="C1488" s="3" t="s">
        <v>95</v>
      </c>
      <c r="D1488" s="3" t="s">
        <v>96</v>
      </c>
      <c r="E1488" s="2"/>
      <c r="F1488" s="2"/>
      <c r="G1488" s="2" t="s">
        <v>84</v>
      </c>
      <c r="H1488" s="2">
        <v>4</v>
      </c>
      <c r="I1488" s="8">
        <v>120.12</v>
      </c>
      <c r="J1488" s="8">
        <v>35900</v>
      </c>
      <c r="K1488" s="3">
        <v>0</v>
      </c>
      <c r="L1488" s="3" t="s">
        <v>3</v>
      </c>
      <c r="M1488" s="9" t="s">
        <v>0</v>
      </c>
      <c r="N1488" s="9" t="s">
        <v>32</v>
      </c>
      <c r="O1488" s="9" t="s">
        <v>382</v>
      </c>
      <c r="S1488" s="9" t="s">
        <v>383</v>
      </c>
      <c r="V1488" s="10">
        <v>12.5</v>
      </c>
      <c r="W1488" s="10" t="s">
        <v>710</v>
      </c>
      <c r="X1488" s="17">
        <v>44850</v>
      </c>
      <c r="Y1488" s="17">
        <v>44854</v>
      </c>
      <c r="Z1488" s="17"/>
      <c r="AA1488" s="210">
        <v>5000</v>
      </c>
      <c r="AB1488" s="9">
        <v>60</v>
      </c>
      <c r="AC1488" s="9">
        <v>16</v>
      </c>
      <c r="AD1488" s="17">
        <v>45397</v>
      </c>
      <c r="AE1488" s="54">
        <v>83.34</v>
      </c>
      <c r="AF1488" s="54"/>
      <c r="AL1488" s="9"/>
      <c r="AM1488" s="9"/>
      <c r="AN1488" s="9"/>
      <c r="AO1488" s="9"/>
      <c r="AP1488" s="9"/>
      <c r="AQ1488" s="9"/>
      <c r="AR1488" s="9"/>
      <c r="AS1488" s="9"/>
      <c r="AT1488" s="9"/>
      <c r="AU1488" s="9"/>
      <c r="AV1488" s="9"/>
      <c r="AW1488" s="9"/>
      <c r="BD1488" s="9"/>
      <c r="CT1488" s="22">
        <f t="shared" si="102"/>
        <v>0</v>
      </c>
      <c r="CU1488" s="22">
        <f t="shared" si="103"/>
        <v>0</v>
      </c>
      <c r="CV1488" s="26">
        <f t="shared" si="104"/>
        <v>83.34</v>
      </c>
    </row>
    <row r="1489" spans="1:100" x14ac:dyDescent="0.2">
      <c r="A1489" s="9" t="s">
        <v>381</v>
      </c>
      <c r="B1489" s="2">
        <v>141</v>
      </c>
      <c r="C1489" s="3" t="s">
        <v>95</v>
      </c>
      <c r="D1489" s="3" t="s">
        <v>96</v>
      </c>
      <c r="E1489" s="2"/>
      <c r="F1489" s="2"/>
      <c r="G1489" s="2" t="s">
        <v>84</v>
      </c>
      <c r="H1489" s="2">
        <v>4</v>
      </c>
      <c r="I1489" s="8">
        <v>120.12</v>
      </c>
      <c r="J1489" s="8">
        <v>35900</v>
      </c>
      <c r="K1489" s="3">
        <v>0</v>
      </c>
      <c r="L1489" s="3" t="s">
        <v>3</v>
      </c>
      <c r="M1489" s="9" t="s">
        <v>0</v>
      </c>
      <c r="N1489" s="9" t="s">
        <v>32</v>
      </c>
      <c r="O1489" s="9" t="s">
        <v>382</v>
      </c>
      <c r="S1489" s="9" t="s">
        <v>383</v>
      </c>
      <c r="V1489" s="10">
        <v>12.5</v>
      </c>
      <c r="W1489" s="10" t="s">
        <v>710</v>
      </c>
      <c r="X1489" s="17">
        <v>44850</v>
      </c>
      <c r="Y1489" s="17">
        <v>44854</v>
      </c>
      <c r="Z1489" s="17"/>
      <c r="AA1489" s="210">
        <v>5000</v>
      </c>
      <c r="AB1489" s="9">
        <v>60</v>
      </c>
      <c r="AC1489" s="9">
        <v>17</v>
      </c>
      <c r="AD1489" s="17">
        <v>45427</v>
      </c>
      <c r="AE1489" s="54">
        <v>83.34</v>
      </c>
      <c r="AF1489" s="54"/>
      <c r="AL1489" s="9"/>
      <c r="AM1489" s="9"/>
      <c r="AN1489" s="9"/>
      <c r="AO1489" s="9"/>
      <c r="AP1489" s="9"/>
      <c r="AQ1489" s="9"/>
      <c r="AR1489" s="9"/>
      <c r="AS1489" s="9"/>
      <c r="AT1489" s="9"/>
      <c r="AU1489" s="9"/>
      <c r="AV1489" s="9"/>
      <c r="AW1489" s="9"/>
      <c r="BD1489" s="9"/>
      <c r="CT1489" s="22">
        <f t="shared" si="102"/>
        <v>0</v>
      </c>
      <c r="CU1489" s="22">
        <f t="shared" si="103"/>
        <v>0</v>
      </c>
      <c r="CV1489" s="26">
        <f t="shared" si="104"/>
        <v>83.34</v>
      </c>
    </row>
    <row r="1490" spans="1:100" x14ac:dyDescent="0.2">
      <c r="A1490" s="9" t="s">
        <v>381</v>
      </c>
      <c r="B1490" s="2">
        <v>141</v>
      </c>
      <c r="C1490" s="3" t="s">
        <v>95</v>
      </c>
      <c r="D1490" s="3" t="s">
        <v>96</v>
      </c>
      <c r="E1490" s="2"/>
      <c r="F1490" s="2"/>
      <c r="G1490" s="2" t="s">
        <v>84</v>
      </c>
      <c r="H1490" s="2">
        <v>4</v>
      </c>
      <c r="I1490" s="8">
        <v>120.12</v>
      </c>
      <c r="J1490" s="8">
        <v>35900</v>
      </c>
      <c r="K1490" s="3">
        <v>0</v>
      </c>
      <c r="L1490" s="3" t="s">
        <v>3</v>
      </c>
      <c r="M1490" s="9" t="s">
        <v>0</v>
      </c>
      <c r="N1490" s="9" t="s">
        <v>32</v>
      </c>
      <c r="O1490" s="9" t="s">
        <v>382</v>
      </c>
      <c r="S1490" s="9" t="s">
        <v>383</v>
      </c>
      <c r="V1490" s="10">
        <v>12.5</v>
      </c>
      <c r="W1490" s="10" t="s">
        <v>710</v>
      </c>
      <c r="X1490" s="17">
        <v>44850</v>
      </c>
      <c r="Y1490" s="17">
        <v>44854</v>
      </c>
      <c r="Z1490" s="17"/>
      <c r="AA1490" s="210">
        <v>5000</v>
      </c>
      <c r="AB1490" s="9">
        <v>60</v>
      </c>
      <c r="AC1490" s="9">
        <v>18</v>
      </c>
      <c r="AD1490" s="17">
        <v>45458</v>
      </c>
      <c r="AE1490" s="54">
        <v>83.34</v>
      </c>
      <c r="AF1490" s="54"/>
      <c r="AP1490" s="11"/>
      <c r="AQ1490" s="11"/>
      <c r="AR1490" s="11"/>
      <c r="AW1490" s="9"/>
      <c r="BD1490" s="9"/>
      <c r="CT1490" s="22">
        <f t="shared" si="102"/>
        <v>0</v>
      </c>
      <c r="CU1490" s="22">
        <f t="shared" si="103"/>
        <v>0</v>
      </c>
      <c r="CV1490" s="26">
        <f t="shared" si="104"/>
        <v>83.34</v>
      </c>
    </row>
    <row r="1491" spans="1:100" x14ac:dyDescent="0.2">
      <c r="A1491" s="9" t="s">
        <v>381</v>
      </c>
      <c r="B1491" s="2">
        <v>141</v>
      </c>
      <c r="C1491" s="3" t="s">
        <v>95</v>
      </c>
      <c r="D1491" s="3" t="s">
        <v>96</v>
      </c>
      <c r="E1491" s="2"/>
      <c r="F1491" s="2"/>
      <c r="G1491" s="2" t="s">
        <v>84</v>
      </c>
      <c r="H1491" s="2">
        <v>4</v>
      </c>
      <c r="I1491" s="8">
        <v>120.12</v>
      </c>
      <c r="J1491" s="8">
        <v>35900</v>
      </c>
      <c r="K1491" s="3">
        <v>0</v>
      </c>
      <c r="L1491" s="3" t="s">
        <v>3</v>
      </c>
      <c r="M1491" s="9" t="s">
        <v>0</v>
      </c>
      <c r="N1491" s="9" t="s">
        <v>32</v>
      </c>
      <c r="O1491" s="9" t="s">
        <v>382</v>
      </c>
      <c r="S1491" s="9" t="s">
        <v>383</v>
      </c>
      <c r="V1491" s="10">
        <v>12.5</v>
      </c>
      <c r="W1491" s="10" t="s">
        <v>710</v>
      </c>
      <c r="X1491" s="17">
        <v>44850</v>
      </c>
      <c r="Y1491" s="17">
        <v>44854</v>
      </c>
      <c r="Z1491" s="17"/>
      <c r="AA1491" s="210">
        <v>5000</v>
      </c>
      <c r="AB1491" s="9">
        <v>60</v>
      </c>
      <c r="AC1491" s="9">
        <v>19</v>
      </c>
      <c r="AD1491" s="17">
        <v>45488</v>
      </c>
      <c r="AE1491" s="54">
        <v>83.34</v>
      </c>
      <c r="AF1491" s="54"/>
      <c r="AP1491" s="11"/>
      <c r="AQ1491" s="11"/>
      <c r="AR1491" s="11"/>
      <c r="AW1491" s="9"/>
      <c r="BD1491" s="9"/>
      <c r="CT1491" s="22">
        <f t="shared" si="102"/>
        <v>0</v>
      </c>
      <c r="CU1491" s="22">
        <f t="shared" si="103"/>
        <v>0</v>
      </c>
      <c r="CV1491" s="26">
        <f t="shared" si="104"/>
        <v>83.34</v>
      </c>
    </row>
    <row r="1492" spans="1:100" x14ac:dyDescent="0.2">
      <c r="A1492" s="9" t="s">
        <v>381</v>
      </c>
      <c r="B1492" s="2">
        <v>141</v>
      </c>
      <c r="C1492" s="3" t="s">
        <v>95</v>
      </c>
      <c r="D1492" s="3" t="s">
        <v>96</v>
      </c>
      <c r="E1492" s="2"/>
      <c r="F1492" s="2"/>
      <c r="G1492" s="2" t="s">
        <v>84</v>
      </c>
      <c r="H1492" s="2">
        <v>4</v>
      </c>
      <c r="I1492" s="8">
        <v>120.12</v>
      </c>
      <c r="J1492" s="8">
        <v>35900</v>
      </c>
      <c r="K1492" s="3">
        <v>0</v>
      </c>
      <c r="L1492" s="3" t="s">
        <v>3</v>
      </c>
      <c r="M1492" s="9" t="s">
        <v>0</v>
      </c>
      <c r="N1492" s="9" t="s">
        <v>32</v>
      </c>
      <c r="O1492" s="9" t="s">
        <v>382</v>
      </c>
      <c r="S1492" s="9" t="s">
        <v>383</v>
      </c>
      <c r="V1492" s="10">
        <v>12.5</v>
      </c>
      <c r="W1492" s="10" t="s">
        <v>710</v>
      </c>
      <c r="X1492" s="17">
        <v>44850</v>
      </c>
      <c r="Y1492" s="17">
        <v>44854</v>
      </c>
      <c r="Z1492" s="17"/>
      <c r="AA1492" s="210">
        <v>5000</v>
      </c>
      <c r="AB1492" s="9">
        <v>60</v>
      </c>
      <c r="AC1492" s="9">
        <v>20</v>
      </c>
      <c r="AD1492" s="17">
        <v>45519</v>
      </c>
      <c r="AE1492" s="56">
        <v>83.34</v>
      </c>
      <c r="AF1492" s="56"/>
      <c r="AP1492" s="11"/>
      <c r="AQ1492" s="11"/>
      <c r="AR1492" s="11"/>
      <c r="AW1492" s="9"/>
      <c r="BD1492" s="9"/>
      <c r="CT1492" s="22">
        <f t="shared" si="102"/>
        <v>0</v>
      </c>
      <c r="CU1492" s="22">
        <f t="shared" si="103"/>
        <v>0</v>
      </c>
      <c r="CV1492" s="26">
        <f t="shared" si="104"/>
        <v>83.34</v>
      </c>
    </row>
    <row r="1493" spans="1:100" x14ac:dyDescent="0.2">
      <c r="A1493" s="9" t="s">
        <v>381</v>
      </c>
      <c r="B1493" s="2">
        <v>141</v>
      </c>
      <c r="C1493" s="3" t="s">
        <v>95</v>
      </c>
      <c r="D1493" s="3" t="s">
        <v>96</v>
      </c>
      <c r="E1493" s="2"/>
      <c r="F1493" s="2"/>
      <c r="G1493" s="2" t="s">
        <v>84</v>
      </c>
      <c r="H1493" s="2">
        <v>4</v>
      </c>
      <c r="I1493" s="8">
        <v>120.12</v>
      </c>
      <c r="J1493" s="8">
        <v>35900</v>
      </c>
      <c r="K1493" s="3">
        <v>0</v>
      </c>
      <c r="L1493" s="3" t="s">
        <v>3</v>
      </c>
      <c r="M1493" s="9" t="s">
        <v>0</v>
      </c>
      <c r="N1493" s="9" t="s">
        <v>32</v>
      </c>
      <c r="O1493" s="9" t="s">
        <v>382</v>
      </c>
      <c r="S1493" s="9" t="s">
        <v>383</v>
      </c>
      <c r="V1493" s="10">
        <v>12.5</v>
      </c>
      <c r="W1493" s="10" t="s">
        <v>710</v>
      </c>
      <c r="X1493" s="17">
        <v>44850</v>
      </c>
      <c r="Y1493" s="17">
        <v>44854</v>
      </c>
      <c r="Z1493" s="17"/>
      <c r="AA1493" s="210">
        <v>5000</v>
      </c>
      <c r="AB1493" s="9">
        <v>60</v>
      </c>
      <c r="AC1493" s="9">
        <v>21</v>
      </c>
      <c r="AD1493" s="17">
        <v>45550</v>
      </c>
      <c r="AE1493" s="56">
        <v>83.34</v>
      </c>
      <c r="AF1493" s="56"/>
      <c r="AP1493" s="11"/>
      <c r="AQ1493" s="11"/>
      <c r="AR1493" s="11"/>
      <c r="AW1493" s="9"/>
      <c r="BD1493" s="9"/>
      <c r="CT1493" s="22">
        <f t="shared" si="102"/>
        <v>0</v>
      </c>
      <c r="CU1493" s="22">
        <f t="shared" si="103"/>
        <v>0</v>
      </c>
      <c r="CV1493" s="26">
        <f t="shared" si="104"/>
        <v>83.34</v>
      </c>
    </row>
    <row r="1494" spans="1:100" x14ac:dyDescent="0.2">
      <c r="A1494" s="9" t="s">
        <v>381</v>
      </c>
      <c r="B1494" s="2">
        <v>141</v>
      </c>
      <c r="C1494" s="3" t="s">
        <v>95</v>
      </c>
      <c r="D1494" s="3" t="s">
        <v>96</v>
      </c>
      <c r="E1494" s="2"/>
      <c r="F1494" s="2"/>
      <c r="G1494" s="2" t="s">
        <v>84</v>
      </c>
      <c r="H1494" s="2">
        <v>4</v>
      </c>
      <c r="I1494" s="8">
        <v>120.12</v>
      </c>
      <c r="J1494" s="8">
        <v>35900</v>
      </c>
      <c r="K1494" s="3">
        <v>0</v>
      </c>
      <c r="L1494" s="3" t="s">
        <v>3</v>
      </c>
      <c r="M1494" s="9" t="s">
        <v>0</v>
      </c>
      <c r="N1494" s="9" t="s">
        <v>32</v>
      </c>
      <c r="O1494" s="9" t="s">
        <v>382</v>
      </c>
      <c r="S1494" s="9" t="s">
        <v>383</v>
      </c>
      <c r="V1494" s="10">
        <v>12.5</v>
      </c>
      <c r="W1494" s="10" t="s">
        <v>710</v>
      </c>
      <c r="X1494" s="17">
        <v>44850</v>
      </c>
      <c r="Y1494" s="17">
        <v>44854</v>
      </c>
      <c r="Z1494" s="17"/>
      <c r="AA1494" s="210">
        <v>5000</v>
      </c>
      <c r="AB1494" s="9">
        <v>60</v>
      </c>
      <c r="AC1494" s="9">
        <v>22</v>
      </c>
      <c r="AD1494" s="17">
        <v>45580</v>
      </c>
      <c r="AE1494" s="56">
        <v>83.34</v>
      </c>
      <c r="AF1494" s="56"/>
      <c r="AP1494" s="11"/>
      <c r="AQ1494" s="11"/>
      <c r="AR1494" s="11"/>
      <c r="AW1494" s="9"/>
      <c r="BD1494" s="9"/>
      <c r="CT1494" s="22">
        <f t="shared" si="102"/>
        <v>0</v>
      </c>
      <c r="CU1494" s="22">
        <f t="shared" si="103"/>
        <v>0</v>
      </c>
      <c r="CV1494" s="26">
        <f t="shared" si="104"/>
        <v>83.34</v>
      </c>
    </row>
    <row r="1495" spans="1:100" x14ac:dyDescent="0.2">
      <c r="A1495" s="9" t="s">
        <v>381</v>
      </c>
      <c r="B1495" s="2">
        <v>141</v>
      </c>
      <c r="C1495" s="3" t="s">
        <v>95</v>
      </c>
      <c r="D1495" s="3" t="s">
        <v>96</v>
      </c>
      <c r="E1495" s="2"/>
      <c r="F1495" s="2"/>
      <c r="G1495" s="2" t="s">
        <v>84</v>
      </c>
      <c r="H1495" s="2">
        <v>4</v>
      </c>
      <c r="I1495" s="8">
        <v>120.12</v>
      </c>
      <c r="J1495" s="8">
        <v>35900</v>
      </c>
      <c r="K1495" s="3">
        <v>0</v>
      </c>
      <c r="L1495" s="3" t="s">
        <v>3</v>
      </c>
      <c r="M1495" s="9" t="s">
        <v>0</v>
      </c>
      <c r="N1495" s="9" t="s">
        <v>32</v>
      </c>
      <c r="O1495" s="9" t="s">
        <v>382</v>
      </c>
      <c r="S1495" s="9" t="s">
        <v>383</v>
      </c>
      <c r="V1495" s="10">
        <v>12.5</v>
      </c>
      <c r="W1495" s="10" t="s">
        <v>710</v>
      </c>
      <c r="X1495" s="17">
        <v>44850</v>
      </c>
      <c r="Y1495" s="17">
        <v>44854</v>
      </c>
      <c r="Z1495" s="17"/>
      <c r="AA1495" s="210">
        <v>5000</v>
      </c>
      <c r="AB1495" s="9">
        <v>60</v>
      </c>
      <c r="AC1495" s="9">
        <v>23</v>
      </c>
      <c r="AD1495" s="17">
        <v>45611</v>
      </c>
      <c r="AE1495" s="56">
        <v>83.34</v>
      </c>
      <c r="AF1495" s="56"/>
      <c r="AJ1495" s="17"/>
      <c r="AP1495" s="11"/>
      <c r="AQ1495" s="11"/>
      <c r="AR1495" s="11"/>
      <c r="AW1495" s="9"/>
      <c r="BD1495" s="9"/>
      <c r="CT1495" s="22">
        <f t="shared" ref="CT1495:CT1526" si="105">+BA1495+BG1495+BM1495+BS1495+BY1495+CE1495+CK1495</f>
        <v>0</v>
      </c>
      <c r="CU1495" s="22">
        <f t="shared" ref="CU1495:CU1526" si="106">+AL1495+AT1495-CT1495</f>
        <v>0</v>
      </c>
      <c r="CV1495" s="26">
        <f t="shared" si="104"/>
        <v>83.34</v>
      </c>
    </row>
    <row r="1496" spans="1:100" x14ac:dyDescent="0.2">
      <c r="A1496" s="9" t="s">
        <v>381</v>
      </c>
      <c r="B1496" s="2">
        <v>141</v>
      </c>
      <c r="C1496" s="3" t="s">
        <v>95</v>
      </c>
      <c r="D1496" s="3" t="s">
        <v>96</v>
      </c>
      <c r="E1496" s="2"/>
      <c r="F1496" s="2"/>
      <c r="G1496" s="2" t="s">
        <v>84</v>
      </c>
      <c r="H1496" s="2">
        <v>4</v>
      </c>
      <c r="I1496" s="8">
        <v>120.12</v>
      </c>
      <c r="J1496" s="8">
        <v>35900</v>
      </c>
      <c r="K1496" s="3">
        <v>0</v>
      </c>
      <c r="L1496" s="3" t="s">
        <v>3</v>
      </c>
      <c r="M1496" s="9" t="s">
        <v>0</v>
      </c>
      <c r="N1496" s="9" t="s">
        <v>32</v>
      </c>
      <c r="O1496" s="9" t="s">
        <v>382</v>
      </c>
      <c r="S1496" s="9" t="s">
        <v>383</v>
      </c>
      <c r="V1496" s="10">
        <v>12.5</v>
      </c>
      <c r="W1496" s="10" t="s">
        <v>710</v>
      </c>
      <c r="X1496" s="17">
        <v>44850</v>
      </c>
      <c r="Y1496" s="17">
        <v>44854</v>
      </c>
      <c r="Z1496" s="17"/>
      <c r="AA1496" s="210">
        <v>5000</v>
      </c>
      <c r="AB1496" s="9">
        <v>60</v>
      </c>
      <c r="AC1496" s="9">
        <v>24</v>
      </c>
      <c r="AD1496" s="17">
        <v>45641</v>
      </c>
      <c r="AE1496" s="56">
        <v>83.34</v>
      </c>
      <c r="AF1496" s="56"/>
      <c r="AJ1496" s="17"/>
      <c r="AP1496" s="11"/>
      <c r="AQ1496" s="11"/>
      <c r="AR1496" s="11"/>
      <c r="AW1496" s="9"/>
      <c r="BD1496" s="9"/>
      <c r="CT1496" s="22">
        <f t="shared" si="105"/>
        <v>0</v>
      </c>
      <c r="CU1496" s="22">
        <f t="shared" si="106"/>
        <v>0</v>
      </c>
      <c r="CV1496" s="26">
        <f t="shared" si="104"/>
        <v>83.34</v>
      </c>
    </row>
    <row r="1497" spans="1:100" x14ac:dyDescent="0.2">
      <c r="A1497" s="9" t="s">
        <v>381</v>
      </c>
      <c r="B1497" s="2">
        <v>141</v>
      </c>
      <c r="C1497" s="3" t="s">
        <v>95</v>
      </c>
      <c r="D1497" s="3" t="s">
        <v>96</v>
      </c>
      <c r="E1497" s="2"/>
      <c r="F1497" s="2"/>
      <c r="G1497" s="2" t="s">
        <v>84</v>
      </c>
      <c r="H1497" s="2">
        <v>4</v>
      </c>
      <c r="I1497" s="8">
        <v>120.12</v>
      </c>
      <c r="J1497" s="8">
        <v>35900</v>
      </c>
      <c r="K1497" s="3">
        <v>0</v>
      </c>
      <c r="L1497" s="3" t="s">
        <v>3</v>
      </c>
      <c r="M1497" s="9" t="s">
        <v>0</v>
      </c>
      <c r="N1497" s="9" t="s">
        <v>32</v>
      </c>
      <c r="O1497" s="9" t="s">
        <v>382</v>
      </c>
      <c r="S1497" s="9" t="s">
        <v>383</v>
      </c>
      <c r="V1497" s="10">
        <v>12.5</v>
      </c>
      <c r="W1497" s="10" t="s">
        <v>710</v>
      </c>
      <c r="X1497" s="17">
        <v>44850</v>
      </c>
      <c r="Y1497" s="17">
        <v>44854</v>
      </c>
      <c r="Z1497" s="17"/>
      <c r="AA1497" s="210">
        <v>5000</v>
      </c>
      <c r="AB1497" s="9">
        <v>60</v>
      </c>
      <c r="AC1497" s="9">
        <v>25</v>
      </c>
      <c r="AD1497" s="17">
        <v>45672</v>
      </c>
      <c r="AE1497" s="56">
        <v>83.34</v>
      </c>
      <c r="AF1497" s="56"/>
      <c r="AP1497" s="11"/>
      <c r="AQ1497" s="11"/>
      <c r="AR1497" s="11"/>
      <c r="AW1497" s="9"/>
      <c r="BD1497" s="9"/>
      <c r="CT1497" s="22">
        <f t="shared" si="105"/>
        <v>0</v>
      </c>
      <c r="CU1497" s="22">
        <f t="shared" si="106"/>
        <v>0</v>
      </c>
      <c r="CV1497" s="26">
        <f t="shared" si="104"/>
        <v>83.34</v>
      </c>
    </row>
    <row r="1498" spans="1:100" x14ac:dyDescent="0.2">
      <c r="A1498" s="9" t="s">
        <v>381</v>
      </c>
      <c r="B1498" s="2">
        <v>141</v>
      </c>
      <c r="C1498" s="3" t="s">
        <v>95</v>
      </c>
      <c r="D1498" s="3" t="s">
        <v>96</v>
      </c>
      <c r="E1498" s="2"/>
      <c r="F1498" s="2"/>
      <c r="G1498" s="2" t="s">
        <v>84</v>
      </c>
      <c r="H1498" s="2">
        <v>4</v>
      </c>
      <c r="I1498" s="8">
        <v>120.12</v>
      </c>
      <c r="J1498" s="8">
        <v>35900</v>
      </c>
      <c r="K1498" s="3">
        <v>0</v>
      </c>
      <c r="L1498" s="3" t="s">
        <v>3</v>
      </c>
      <c r="M1498" s="9" t="s">
        <v>0</v>
      </c>
      <c r="N1498" s="9" t="s">
        <v>32</v>
      </c>
      <c r="O1498" s="9" t="s">
        <v>382</v>
      </c>
      <c r="S1498" s="9" t="s">
        <v>383</v>
      </c>
      <c r="V1498" s="10">
        <v>12.5</v>
      </c>
      <c r="W1498" s="10" t="s">
        <v>710</v>
      </c>
      <c r="X1498" s="17">
        <v>44850</v>
      </c>
      <c r="Y1498" s="17">
        <v>44854</v>
      </c>
      <c r="Z1498" s="17"/>
      <c r="AA1498" s="210">
        <v>5000</v>
      </c>
      <c r="AB1498" s="9">
        <v>60</v>
      </c>
      <c r="AC1498" s="9">
        <v>26</v>
      </c>
      <c r="AD1498" s="17">
        <v>45703</v>
      </c>
      <c r="AE1498" s="56">
        <v>83.34</v>
      </c>
      <c r="AF1498" s="56"/>
      <c r="AP1498" s="11"/>
      <c r="AQ1498" s="11"/>
      <c r="AR1498" s="11"/>
      <c r="AW1498" s="9"/>
      <c r="BD1498" s="9"/>
      <c r="CT1498" s="22">
        <f t="shared" si="105"/>
        <v>0</v>
      </c>
      <c r="CU1498" s="22">
        <f t="shared" si="106"/>
        <v>0</v>
      </c>
      <c r="CV1498" s="26">
        <f t="shared" si="104"/>
        <v>83.34</v>
      </c>
    </row>
    <row r="1499" spans="1:100" x14ac:dyDescent="0.2">
      <c r="A1499" s="9" t="s">
        <v>381</v>
      </c>
      <c r="B1499" s="2">
        <v>141</v>
      </c>
      <c r="C1499" s="3" t="s">
        <v>95</v>
      </c>
      <c r="D1499" s="3" t="s">
        <v>96</v>
      </c>
      <c r="E1499" s="2"/>
      <c r="F1499" s="2"/>
      <c r="G1499" s="2" t="s">
        <v>84</v>
      </c>
      <c r="H1499" s="2">
        <v>4</v>
      </c>
      <c r="I1499" s="8">
        <v>120.12</v>
      </c>
      <c r="J1499" s="8">
        <v>35900</v>
      </c>
      <c r="K1499" s="3">
        <v>0</v>
      </c>
      <c r="L1499" s="3" t="s">
        <v>3</v>
      </c>
      <c r="M1499" s="9" t="s">
        <v>0</v>
      </c>
      <c r="N1499" s="9" t="s">
        <v>32</v>
      </c>
      <c r="O1499" s="9" t="s">
        <v>382</v>
      </c>
      <c r="S1499" s="9" t="s">
        <v>383</v>
      </c>
      <c r="V1499" s="10">
        <v>12.5</v>
      </c>
      <c r="W1499" s="10" t="s">
        <v>710</v>
      </c>
      <c r="X1499" s="17">
        <v>44850</v>
      </c>
      <c r="Y1499" s="17">
        <v>44854</v>
      </c>
      <c r="Z1499" s="17"/>
      <c r="AA1499" s="210">
        <v>5000</v>
      </c>
      <c r="AB1499" s="9">
        <v>60</v>
      </c>
      <c r="AC1499" s="9">
        <v>27</v>
      </c>
      <c r="AD1499" s="17">
        <v>45731</v>
      </c>
      <c r="AE1499" s="56">
        <v>83.34</v>
      </c>
      <c r="AF1499" s="56"/>
      <c r="AP1499" s="11"/>
      <c r="AQ1499" s="11"/>
      <c r="AR1499" s="11"/>
      <c r="AW1499" s="9"/>
      <c r="BD1499" s="9"/>
      <c r="CT1499" s="22">
        <f t="shared" si="105"/>
        <v>0</v>
      </c>
      <c r="CU1499" s="22">
        <f t="shared" si="106"/>
        <v>0</v>
      </c>
      <c r="CV1499" s="26">
        <f t="shared" si="104"/>
        <v>83.34</v>
      </c>
    </row>
    <row r="1500" spans="1:100" x14ac:dyDescent="0.2">
      <c r="A1500" s="9" t="s">
        <v>381</v>
      </c>
      <c r="B1500" s="2">
        <v>141</v>
      </c>
      <c r="C1500" s="3" t="s">
        <v>95</v>
      </c>
      <c r="D1500" s="3" t="s">
        <v>96</v>
      </c>
      <c r="E1500" s="2"/>
      <c r="F1500" s="2"/>
      <c r="G1500" s="2" t="s">
        <v>84</v>
      </c>
      <c r="H1500" s="2">
        <v>4</v>
      </c>
      <c r="I1500" s="8">
        <v>120.12</v>
      </c>
      <c r="J1500" s="8">
        <v>35900</v>
      </c>
      <c r="K1500" s="3">
        <v>0</v>
      </c>
      <c r="L1500" s="3" t="s">
        <v>3</v>
      </c>
      <c r="M1500" s="9" t="s">
        <v>0</v>
      </c>
      <c r="N1500" s="9" t="s">
        <v>32</v>
      </c>
      <c r="O1500" s="9" t="s">
        <v>382</v>
      </c>
      <c r="S1500" s="9" t="s">
        <v>383</v>
      </c>
      <c r="V1500" s="10">
        <v>12.5</v>
      </c>
      <c r="W1500" s="10" t="s">
        <v>710</v>
      </c>
      <c r="X1500" s="17">
        <v>44850</v>
      </c>
      <c r="Y1500" s="17">
        <v>44854</v>
      </c>
      <c r="Z1500" s="17"/>
      <c r="AA1500" s="210">
        <v>5000</v>
      </c>
      <c r="AB1500" s="9">
        <v>60</v>
      </c>
      <c r="AC1500" s="9">
        <v>28</v>
      </c>
      <c r="AD1500" s="17">
        <v>45762</v>
      </c>
      <c r="AE1500" s="56">
        <v>83.34</v>
      </c>
      <c r="AF1500" s="56"/>
      <c r="AP1500" s="11"/>
      <c r="AQ1500" s="11"/>
      <c r="AR1500" s="11"/>
      <c r="AW1500" s="9"/>
      <c r="BD1500" s="9"/>
      <c r="CT1500" s="22">
        <f t="shared" si="105"/>
        <v>0</v>
      </c>
      <c r="CU1500" s="22">
        <f t="shared" si="106"/>
        <v>0</v>
      </c>
      <c r="CV1500" s="26">
        <f t="shared" si="104"/>
        <v>83.34</v>
      </c>
    </row>
    <row r="1501" spans="1:100" x14ac:dyDescent="0.2">
      <c r="A1501" s="9" t="s">
        <v>381</v>
      </c>
      <c r="B1501" s="2">
        <v>141</v>
      </c>
      <c r="C1501" s="3" t="s">
        <v>95</v>
      </c>
      <c r="D1501" s="3" t="s">
        <v>96</v>
      </c>
      <c r="E1501" s="2"/>
      <c r="F1501" s="2"/>
      <c r="G1501" s="2" t="s">
        <v>84</v>
      </c>
      <c r="H1501" s="2">
        <v>4</v>
      </c>
      <c r="I1501" s="8">
        <v>120.12</v>
      </c>
      <c r="J1501" s="8">
        <v>35900</v>
      </c>
      <c r="K1501" s="3">
        <v>0</v>
      </c>
      <c r="L1501" s="3" t="s">
        <v>3</v>
      </c>
      <c r="M1501" s="9" t="s">
        <v>0</v>
      </c>
      <c r="N1501" s="9" t="s">
        <v>32</v>
      </c>
      <c r="O1501" s="9" t="s">
        <v>382</v>
      </c>
      <c r="S1501" s="9" t="s">
        <v>383</v>
      </c>
      <c r="V1501" s="10">
        <v>12.5</v>
      </c>
      <c r="W1501" s="10" t="s">
        <v>710</v>
      </c>
      <c r="X1501" s="17">
        <v>44850</v>
      </c>
      <c r="Y1501" s="17">
        <v>44854</v>
      </c>
      <c r="Z1501" s="17"/>
      <c r="AA1501" s="210">
        <v>5000</v>
      </c>
      <c r="AB1501" s="9">
        <v>60</v>
      </c>
      <c r="AC1501" s="9">
        <v>29</v>
      </c>
      <c r="AD1501" s="17">
        <v>45792</v>
      </c>
      <c r="AE1501" s="56">
        <v>83.34</v>
      </c>
      <c r="AF1501" s="56"/>
      <c r="AP1501" s="11"/>
      <c r="AQ1501" s="11"/>
      <c r="AR1501" s="11"/>
      <c r="AW1501" s="9"/>
      <c r="BD1501" s="9"/>
      <c r="CT1501" s="22">
        <f t="shared" si="105"/>
        <v>0</v>
      </c>
      <c r="CU1501" s="22">
        <f t="shared" si="106"/>
        <v>0</v>
      </c>
      <c r="CV1501" s="26">
        <f t="shared" si="104"/>
        <v>83.34</v>
      </c>
    </row>
    <row r="1502" spans="1:100" x14ac:dyDescent="0.2">
      <c r="A1502" s="9" t="s">
        <v>381</v>
      </c>
      <c r="B1502" s="2">
        <v>141</v>
      </c>
      <c r="C1502" s="3" t="s">
        <v>95</v>
      </c>
      <c r="D1502" s="3" t="s">
        <v>96</v>
      </c>
      <c r="E1502" s="2"/>
      <c r="F1502" s="2"/>
      <c r="G1502" s="2" t="s">
        <v>84</v>
      </c>
      <c r="H1502" s="2">
        <v>4</v>
      </c>
      <c r="I1502" s="8">
        <v>120.12</v>
      </c>
      <c r="J1502" s="8">
        <v>35900</v>
      </c>
      <c r="K1502" s="3">
        <v>0</v>
      </c>
      <c r="L1502" s="3" t="s">
        <v>3</v>
      </c>
      <c r="M1502" s="9" t="s">
        <v>0</v>
      </c>
      <c r="N1502" s="9" t="s">
        <v>32</v>
      </c>
      <c r="O1502" s="9" t="s">
        <v>382</v>
      </c>
      <c r="S1502" s="9" t="s">
        <v>383</v>
      </c>
      <c r="V1502" s="10">
        <v>12.5</v>
      </c>
      <c r="W1502" s="10" t="s">
        <v>710</v>
      </c>
      <c r="X1502" s="17">
        <v>44850</v>
      </c>
      <c r="Y1502" s="17">
        <v>44854</v>
      </c>
      <c r="Z1502" s="17"/>
      <c r="AA1502" s="210">
        <v>5000</v>
      </c>
      <c r="AB1502" s="9">
        <v>60</v>
      </c>
      <c r="AC1502" s="9">
        <v>30</v>
      </c>
      <c r="AD1502" s="17">
        <v>45823</v>
      </c>
      <c r="AE1502" s="56">
        <v>83.34</v>
      </c>
      <c r="AF1502" s="56"/>
      <c r="AP1502" s="11"/>
      <c r="AQ1502" s="11"/>
      <c r="AR1502" s="11"/>
      <c r="AW1502" s="9"/>
      <c r="BD1502" s="9"/>
      <c r="CT1502" s="22">
        <f t="shared" si="105"/>
        <v>0</v>
      </c>
      <c r="CU1502" s="22">
        <f t="shared" si="106"/>
        <v>0</v>
      </c>
      <c r="CV1502" s="26">
        <f t="shared" si="104"/>
        <v>83.34</v>
      </c>
    </row>
    <row r="1503" spans="1:100" x14ac:dyDescent="0.2">
      <c r="A1503" s="9" t="s">
        <v>381</v>
      </c>
      <c r="B1503" s="2">
        <v>141</v>
      </c>
      <c r="C1503" s="3" t="s">
        <v>95</v>
      </c>
      <c r="D1503" s="3" t="s">
        <v>96</v>
      </c>
      <c r="E1503" s="2"/>
      <c r="F1503" s="2"/>
      <c r="G1503" s="2" t="s">
        <v>84</v>
      </c>
      <c r="H1503" s="2">
        <v>4</v>
      </c>
      <c r="I1503" s="8">
        <v>120.12</v>
      </c>
      <c r="J1503" s="8">
        <v>35900</v>
      </c>
      <c r="K1503" s="3">
        <v>0</v>
      </c>
      <c r="L1503" s="3" t="s">
        <v>3</v>
      </c>
      <c r="M1503" s="9" t="s">
        <v>0</v>
      </c>
      <c r="N1503" s="9" t="s">
        <v>32</v>
      </c>
      <c r="O1503" s="9" t="s">
        <v>382</v>
      </c>
      <c r="S1503" s="9" t="s">
        <v>383</v>
      </c>
      <c r="V1503" s="10">
        <v>12.5</v>
      </c>
      <c r="W1503" s="10" t="s">
        <v>710</v>
      </c>
      <c r="X1503" s="17">
        <v>44850</v>
      </c>
      <c r="Y1503" s="17">
        <v>44854</v>
      </c>
      <c r="Z1503" s="17"/>
      <c r="AA1503" s="210">
        <v>5000</v>
      </c>
      <c r="AB1503" s="9">
        <v>60</v>
      </c>
      <c r="AC1503" s="9">
        <v>31</v>
      </c>
      <c r="AD1503" s="17">
        <v>45853</v>
      </c>
      <c r="AE1503" s="56">
        <v>83.34</v>
      </c>
      <c r="AF1503" s="56"/>
      <c r="AP1503" s="11"/>
      <c r="AQ1503" s="11"/>
      <c r="AR1503" s="11"/>
      <c r="AW1503" s="9"/>
      <c r="BD1503" s="9"/>
      <c r="CT1503" s="22">
        <f t="shared" si="105"/>
        <v>0</v>
      </c>
      <c r="CU1503" s="22">
        <f t="shared" si="106"/>
        <v>0</v>
      </c>
      <c r="CV1503" s="26">
        <f t="shared" si="104"/>
        <v>83.34</v>
      </c>
    </row>
    <row r="1504" spans="1:100" x14ac:dyDescent="0.2">
      <c r="A1504" s="9" t="s">
        <v>381</v>
      </c>
      <c r="B1504" s="2">
        <v>141</v>
      </c>
      <c r="C1504" s="3" t="s">
        <v>95</v>
      </c>
      <c r="D1504" s="3" t="s">
        <v>96</v>
      </c>
      <c r="E1504" s="2"/>
      <c r="F1504" s="2"/>
      <c r="G1504" s="2" t="s">
        <v>84</v>
      </c>
      <c r="H1504" s="2">
        <v>4</v>
      </c>
      <c r="I1504" s="8">
        <v>120.12</v>
      </c>
      <c r="J1504" s="8">
        <v>35900</v>
      </c>
      <c r="K1504" s="3">
        <v>0</v>
      </c>
      <c r="L1504" s="3" t="s">
        <v>3</v>
      </c>
      <c r="M1504" s="9" t="s">
        <v>0</v>
      </c>
      <c r="N1504" s="9" t="s">
        <v>32</v>
      </c>
      <c r="O1504" s="9" t="s">
        <v>382</v>
      </c>
      <c r="S1504" s="9" t="s">
        <v>383</v>
      </c>
      <c r="V1504" s="10">
        <v>12.5</v>
      </c>
      <c r="W1504" s="10" t="s">
        <v>710</v>
      </c>
      <c r="X1504" s="17">
        <v>44850</v>
      </c>
      <c r="Y1504" s="17">
        <v>44854</v>
      </c>
      <c r="Z1504" s="17"/>
      <c r="AA1504" s="210">
        <v>5000</v>
      </c>
      <c r="AB1504" s="9">
        <v>60</v>
      </c>
      <c r="AC1504" s="9">
        <v>32</v>
      </c>
      <c r="AD1504" s="17">
        <v>45884</v>
      </c>
      <c r="AE1504" s="56">
        <v>83.34</v>
      </c>
      <c r="AF1504" s="56"/>
      <c r="AP1504" s="11"/>
      <c r="AQ1504" s="11"/>
      <c r="AR1504" s="11"/>
      <c r="AW1504" s="9"/>
      <c r="BD1504" s="9"/>
      <c r="CT1504" s="22">
        <f t="shared" si="105"/>
        <v>0</v>
      </c>
      <c r="CU1504" s="22">
        <f t="shared" si="106"/>
        <v>0</v>
      </c>
      <c r="CV1504" s="26">
        <f t="shared" si="104"/>
        <v>83.34</v>
      </c>
    </row>
    <row r="1505" spans="1:100" x14ac:dyDescent="0.2">
      <c r="A1505" s="9" t="s">
        <v>381</v>
      </c>
      <c r="B1505" s="2">
        <v>141</v>
      </c>
      <c r="C1505" s="3" t="s">
        <v>95</v>
      </c>
      <c r="D1505" s="3" t="s">
        <v>96</v>
      </c>
      <c r="E1505" s="2"/>
      <c r="F1505" s="2"/>
      <c r="G1505" s="2" t="s">
        <v>84</v>
      </c>
      <c r="H1505" s="2">
        <v>4</v>
      </c>
      <c r="I1505" s="8">
        <v>120.12</v>
      </c>
      <c r="J1505" s="8">
        <v>35900</v>
      </c>
      <c r="K1505" s="3">
        <v>0</v>
      </c>
      <c r="L1505" s="3" t="s">
        <v>3</v>
      </c>
      <c r="M1505" s="9" t="s">
        <v>0</v>
      </c>
      <c r="N1505" s="9" t="s">
        <v>32</v>
      </c>
      <c r="O1505" s="9" t="s">
        <v>382</v>
      </c>
      <c r="S1505" s="9" t="s">
        <v>383</v>
      </c>
      <c r="V1505" s="10">
        <v>12.5</v>
      </c>
      <c r="W1505" s="10" t="s">
        <v>710</v>
      </c>
      <c r="X1505" s="17">
        <v>44850</v>
      </c>
      <c r="Y1505" s="17">
        <v>44854</v>
      </c>
      <c r="Z1505" s="17"/>
      <c r="AA1505" s="210">
        <v>5000</v>
      </c>
      <c r="AB1505" s="9">
        <v>60</v>
      </c>
      <c r="AC1505" s="9">
        <v>33</v>
      </c>
      <c r="AD1505" s="17">
        <v>45915</v>
      </c>
      <c r="AE1505" s="56">
        <v>83.34</v>
      </c>
      <c r="AF1505" s="56"/>
      <c r="AP1505" s="11"/>
      <c r="AQ1505" s="11"/>
      <c r="AR1505" s="11"/>
      <c r="AW1505" s="9"/>
      <c r="BD1505" s="9"/>
      <c r="CT1505" s="22">
        <f t="shared" si="105"/>
        <v>0</v>
      </c>
      <c r="CU1505" s="22">
        <f t="shared" si="106"/>
        <v>0</v>
      </c>
      <c r="CV1505" s="26">
        <f t="shared" si="104"/>
        <v>83.34</v>
      </c>
    </row>
    <row r="1506" spans="1:100" x14ac:dyDescent="0.2">
      <c r="A1506" s="9" t="s">
        <v>381</v>
      </c>
      <c r="B1506" s="2">
        <v>141</v>
      </c>
      <c r="C1506" s="3" t="s">
        <v>95</v>
      </c>
      <c r="D1506" s="3" t="s">
        <v>96</v>
      </c>
      <c r="E1506" s="2"/>
      <c r="F1506" s="2"/>
      <c r="G1506" s="2" t="s">
        <v>84</v>
      </c>
      <c r="H1506" s="2">
        <v>4</v>
      </c>
      <c r="I1506" s="8">
        <v>120.12</v>
      </c>
      <c r="J1506" s="8">
        <v>35900</v>
      </c>
      <c r="K1506" s="3">
        <v>0</v>
      </c>
      <c r="L1506" s="3" t="s">
        <v>3</v>
      </c>
      <c r="M1506" s="9" t="s">
        <v>0</v>
      </c>
      <c r="N1506" s="9" t="s">
        <v>32</v>
      </c>
      <c r="O1506" s="9" t="s">
        <v>382</v>
      </c>
      <c r="S1506" s="9" t="s">
        <v>383</v>
      </c>
      <c r="V1506" s="10">
        <v>12.5</v>
      </c>
      <c r="W1506" s="10" t="s">
        <v>710</v>
      </c>
      <c r="X1506" s="17">
        <v>44850</v>
      </c>
      <c r="Y1506" s="17">
        <v>44854</v>
      </c>
      <c r="Z1506" s="17"/>
      <c r="AA1506" s="210">
        <v>5000</v>
      </c>
      <c r="AB1506" s="9">
        <v>60</v>
      </c>
      <c r="AC1506" s="9">
        <v>34</v>
      </c>
      <c r="AD1506" s="17">
        <v>45945</v>
      </c>
      <c r="AE1506" s="56">
        <v>83.34</v>
      </c>
      <c r="AF1506" s="56"/>
      <c r="AP1506" s="11"/>
      <c r="AQ1506" s="11"/>
      <c r="AR1506" s="11"/>
      <c r="AW1506" s="9"/>
      <c r="BD1506" s="9"/>
      <c r="CT1506" s="22">
        <f t="shared" si="105"/>
        <v>0</v>
      </c>
      <c r="CU1506" s="22">
        <f t="shared" si="106"/>
        <v>0</v>
      </c>
      <c r="CV1506" s="26">
        <f t="shared" si="104"/>
        <v>83.34</v>
      </c>
    </row>
    <row r="1507" spans="1:100" x14ac:dyDescent="0.2">
      <c r="A1507" s="9" t="s">
        <v>381</v>
      </c>
      <c r="B1507" s="2">
        <v>141</v>
      </c>
      <c r="C1507" s="3" t="s">
        <v>95</v>
      </c>
      <c r="D1507" s="3" t="s">
        <v>96</v>
      </c>
      <c r="E1507" s="2"/>
      <c r="F1507" s="2"/>
      <c r="G1507" s="2" t="s">
        <v>84</v>
      </c>
      <c r="H1507" s="2">
        <v>4</v>
      </c>
      <c r="I1507" s="8">
        <v>120.12</v>
      </c>
      <c r="J1507" s="8">
        <v>35900</v>
      </c>
      <c r="K1507" s="3">
        <v>0</v>
      </c>
      <c r="L1507" s="3" t="s">
        <v>3</v>
      </c>
      <c r="M1507" s="9" t="s">
        <v>0</v>
      </c>
      <c r="N1507" s="9" t="s">
        <v>32</v>
      </c>
      <c r="O1507" s="9" t="s">
        <v>382</v>
      </c>
      <c r="S1507" s="9" t="s">
        <v>383</v>
      </c>
      <c r="V1507" s="10">
        <v>12.5</v>
      </c>
      <c r="W1507" s="10" t="s">
        <v>710</v>
      </c>
      <c r="X1507" s="17">
        <v>44850</v>
      </c>
      <c r="Y1507" s="17">
        <v>44854</v>
      </c>
      <c r="Z1507" s="17"/>
      <c r="AA1507" s="210">
        <v>5000</v>
      </c>
      <c r="AB1507" s="9">
        <v>60</v>
      </c>
      <c r="AC1507" s="9">
        <v>35</v>
      </c>
      <c r="AD1507" s="17">
        <v>45976</v>
      </c>
      <c r="AE1507" s="56">
        <v>83.34</v>
      </c>
      <c r="AF1507" s="56"/>
      <c r="AP1507" s="11"/>
      <c r="AQ1507" s="11"/>
      <c r="AR1507" s="11"/>
      <c r="AW1507" s="9"/>
      <c r="BD1507" s="9"/>
      <c r="CT1507" s="22">
        <f t="shared" si="105"/>
        <v>0</v>
      </c>
      <c r="CU1507" s="22">
        <f t="shared" si="106"/>
        <v>0</v>
      </c>
      <c r="CV1507" s="26">
        <f t="shared" si="104"/>
        <v>83.34</v>
      </c>
    </row>
    <row r="1508" spans="1:100" x14ac:dyDescent="0.2">
      <c r="A1508" s="9" t="s">
        <v>381</v>
      </c>
      <c r="B1508" s="2">
        <v>141</v>
      </c>
      <c r="C1508" s="3" t="s">
        <v>95</v>
      </c>
      <c r="D1508" s="3" t="s">
        <v>96</v>
      </c>
      <c r="E1508" s="2"/>
      <c r="F1508" s="2"/>
      <c r="G1508" s="2" t="s">
        <v>84</v>
      </c>
      <c r="H1508" s="2">
        <v>4</v>
      </c>
      <c r="I1508" s="8">
        <v>120.12</v>
      </c>
      <c r="J1508" s="8">
        <v>35900</v>
      </c>
      <c r="K1508" s="3">
        <v>0</v>
      </c>
      <c r="L1508" s="3" t="s">
        <v>3</v>
      </c>
      <c r="M1508" s="9" t="s">
        <v>0</v>
      </c>
      <c r="N1508" s="9" t="s">
        <v>32</v>
      </c>
      <c r="O1508" s="9" t="s">
        <v>382</v>
      </c>
      <c r="S1508" s="9" t="s">
        <v>383</v>
      </c>
      <c r="V1508" s="10">
        <v>12.5</v>
      </c>
      <c r="W1508" s="10" t="s">
        <v>710</v>
      </c>
      <c r="X1508" s="17">
        <v>44850</v>
      </c>
      <c r="Y1508" s="17">
        <v>44854</v>
      </c>
      <c r="Z1508" s="17"/>
      <c r="AA1508" s="210">
        <v>5000</v>
      </c>
      <c r="AB1508" s="9">
        <v>60</v>
      </c>
      <c r="AC1508" s="9">
        <v>36</v>
      </c>
      <c r="AD1508" s="17">
        <v>46006</v>
      </c>
      <c r="AE1508" s="56">
        <v>83.34</v>
      </c>
      <c r="AF1508" s="56"/>
      <c r="AP1508" s="11"/>
      <c r="AQ1508" s="11"/>
      <c r="AR1508" s="11"/>
      <c r="AW1508" s="9"/>
      <c r="BD1508" s="9"/>
      <c r="CT1508" s="22">
        <f t="shared" si="105"/>
        <v>0</v>
      </c>
      <c r="CU1508" s="22">
        <f t="shared" si="106"/>
        <v>0</v>
      </c>
      <c r="CV1508" s="26">
        <f t="shared" si="104"/>
        <v>83.34</v>
      </c>
    </row>
    <row r="1509" spans="1:100" x14ac:dyDescent="0.2">
      <c r="A1509" s="9" t="s">
        <v>381</v>
      </c>
      <c r="B1509" s="2">
        <v>141</v>
      </c>
      <c r="C1509" s="3" t="s">
        <v>95</v>
      </c>
      <c r="D1509" s="3" t="s">
        <v>96</v>
      </c>
      <c r="E1509" s="2"/>
      <c r="F1509" s="2"/>
      <c r="G1509" s="2" t="s">
        <v>84</v>
      </c>
      <c r="H1509" s="2">
        <v>4</v>
      </c>
      <c r="I1509" s="8">
        <v>120.12</v>
      </c>
      <c r="J1509" s="8">
        <v>35900</v>
      </c>
      <c r="K1509" s="3">
        <v>0</v>
      </c>
      <c r="L1509" s="3" t="s">
        <v>3</v>
      </c>
      <c r="M1509" s="9" t="s">
        <v>0</v>
      </c>
      <c r="N1509" s="9" t="s">
        <v>32</v>
      </c>
      <c r="O1509" s="9" t="s">
        <v>382</v>
      </c>
      <c r="S1509" s="9" t="s">
        <v>383</v>
      </c>
      <c r="V1509" s="10">
        <v>12.5</v>
      </c>
      <c r="W1509" s="10" t="s">
        <v>710</v>
      </c>
      <c r="X1509" s="17">
        <v>44850</v>
      </c>
      <c r="Y1509" s="17">
        <v>44854</v>
      </c>
      <c r="Z1509" s="17"/>
      <c r="AA1509" s="210">
        <v>5000</v>
      </c>
      <c r="AB1509" s="9">
        <v>60</v>
      </c>
      <c r="AC1509" s="9">
        <v>37</v>
      </c>
      <c r="AD1509" s="17">
        <v>46037</v>
      </c>
      <c r="AE1509" s="56">
        <v>83.34</v>
      </c>
      <c r="AF1509" s="56"/>
      <c r="AP1509" s="11"/>
      <c r="AQ1509" s="11"/>
      <c r="AR1509" s="11"/>
      <c r="AW1509" s="9"/>
      <c r="BD1509" s="9"/>
      <c r="CT1509" s="22">
        <f t="shared" si="105"/>
        <v>0</v>
      </c>
      <c r="CU1509" s="22">
        <f t="shared" si="106"/>
        <v>0</v>
      </c>
      <c r="CV1509" s="26">
        <f t="shared" si="104"/>
        <v>83.34</v>
      </c>
    </row>
    <row r="1510" spans="1:100" x14ac:dyDescent="0.2">
      <c r="A1510" s="9" t="s">
        <v>381</v>
      </c>
      <c r="B1510" s="2">
        <v>141</v>
      </c>
      <c r="C1510" s="3" t="s">
        <v>95</v>
      </c>
      <c r="D1510" s="3" t="s">
        <v>96</v>
      </c>
      <c r="E1510" s="2"/>
      <c r="F1510" s="2"/>
      <c r="G1510" s="2" t="s">
        <v>84</v>
      </c>
      <c r="H1510" s="2">
        <v>4</v>
      </c>
      <c r="I1510" s="8">
        <v>120.12</v>
      </c>
      <c r="J1510" s="8">
        <v>35900</v>
      </c>
      <c r="K1510" s="3">
        <v>0</v>
      </c>
      <c r="L1510" s="3" t="s">
        <v>3</v>
      </c>
      <c r="M1510" s="9" t="s">
        <v>0</v>
      </c>
      <c r="N1510" s="9" t="s">
        <v>32</v>
      </c>
      <c r="O1510" s="9" t="s">
        <v>382</v>
      </c>
      <c r="S1510" s="9" t="s">
        <v>383</v>
      </c>
      <c r="V1510" s="10">
        <v>12.5</v>
      </c>
      <c r="W1510" s="10" t="s">
        <v>710</v>
      </c>
      <c r="X1510" s="17">
        <v>44850</v>
      </c>
      <c r="Y1510" s="17">
        <v>44854</v>
      </c>
      <c r="Z1510" s="17"/>
      <c r="AA1510" s="210">
        <v>5000</v>
      </c>
      <c r="AB1510" s="9">
        <v>60</v>
      </c>
      <c r="AC1510" s="9">
        <v>38</v>
      </c>
      <c r="AD1510" s="17">
        <v>46068</v>
      </c>
      <c r="AE1510" s="56">
        <v>83.34</v>
      </c>
      <c r="AF1510" s="56"/>
      <c r="AP1510" s="11"/>
      <c r="AQ1510" s="11"/>
      <c r="AR1510" s="11"/>
      <c r="AW1510" s="9"/>
      <c r="BD1510" s="9"/>
      <c r="CT1510" s="22">
        <f t="shared" si="105"/>
        <v>0</v>
      </c>
      <c r="CU1510" s="22">
        <f t="shared" si="106"/>
        <v>0</v>
      </c>
      <c r="CV1510" s="26">
        <f t="shared" si="104"/>
        <v>83.34</v>
      </c>
    </row>
    <row r="1511" spans="1:100" x14ac:dyDescent="0.2">
      <c r="A1511" s="9" t="s">
        <v>381</v>
      </c>
      <c r="B1511" s="2">
        <v>141</v>
      </c>
      <c r="C1511" s="3" t="s">
        <v>95</v>
      </c>
      <c r="D1511" s="3" t="s">
        <v>96</v>
      </c>
      <c r="E1511" s="2"/>
      <c r="F1511" s="2"/>
      <c r="G1511" s="2" t="s">
        <v>84</v>
      </c>
      <c r="H1511" s="2">
        <v>4</v>
      </c>
      <c r="I1511" s="8">
        <v>120.12</v>
      </c>
      <c r="J1511" s="8">
        <v>35900</v>
      </c>
      <c r="K1511" s="3">
        <v>0</v>
      </c>
      <c r="L1511" s="3" t="s">
        <v>3</v>
      </c>
      <c r="M1511" s="9" t="s">
        <v>0</v>
      </c>
      <c r="N1511" s="9" t="s">
        <v>32</v>
      </c>
      <c r="O1511" s="9" t="s">
        <v>382</v>
      </c>
      <c r="S1511" s="9" t="s">
        <v>383</v>
      </c>
      <c r="V1511" s="10">
        <v>12.5</v>
      </c>
      <c r="W1511" s="10" t="s">
        <v>710</v>
      </c>
      <c r="X1511" s="17">
        <v>44850</v>
      </c>
      <c r="Y1511" s="17">
        <v>44854</v>
      </c>
      <c r="Z1511" s="17"/>
      <c r="AA1511" s="210">
        <v>5000</v>
      </c>
      <c r="AB1511" s="9">
        <v>60</v>
      </c>
      <c r="AC1511" s="9">
        <v>39</v>
      </c>
      <c r="AD1511" s="17">
        <v>46096</v>
      </c>
      <c r="AE1511" s="56">
        <v>83.34</v>
      </c>
      <c r="AF1511" s="56"/>
      <c r="AP1511" s="11"/>
      <c r="AQ1511" s="11"/>
      <c r="AR1511" s="11"/>
      <c r="AW1511" s="9"/>
      <c r="BD1511" s="9"/>
      <c r="CT1511" s="22">
        <f t="shared" si="105"/>
        <v>0</v>
      </c>
      <c r="CU1511" s="22">
        <f t="shared" si="106"/>
        <v>0</v>
      </c>
      <c r="CV1511" s="26">
        <f t="shared" si="104"/>
        <v>83.34</v>
      </c>
    </row>
    <row r="1512" spans="1:100" x14ac:dyDescent="0.2">
      <c r="A1512" s="9" t="s">
        <v>381</v>
      </c>
      <c r="B1512" s="2">
        <v>141</v>
      </c>
      <c r="C1512" s="3" t="s">
        <v>95</v>
      </c>
      <c r="D1512" s="3" t="s">
        <v>96</v>
      </c>
      <c r="E1512" s="2"/>
      <c r="F1512" s="2"/>
      <c r="G1512" s="2" t="s">
        <v>84</v>
      </c>
      <c r="H1512" s="2">
        <v>4</v>
      </c>
      <c r="I1512" s="8">
        <v>120.12</v>
      </c>
      <c r="J1512" s="8">
        <v>35900</v>
      </c>
      <c r="K1512" s="3">
        <v>0</v>
      </c>
      <c r="L1512" s="3" t="s">
        <v>3</v>
      </c>
      <c r="M1512" s="9" t="s">
        <v>0</v>
      </c>
      <c r="N1512" s="9" t="s">
        <v>32</v>
      </c>
      <c r="O1512" s="9" t="s">
        <v>382</v>
      </c>
      <c r="S1512" s="9" t="s">
        <v>383</v>
      </c>
      <c r="V1512" s="10">
        <v>12.5</v>
      </c>
      <c r="W1512" s="10" t="s">
        <v>710</v>
      </c>
      <c r="X1512" s="17">
        <v>44850</v>
      </c>
      <c r="Y1512" s="17">
        <v>44854</v>
      </c>
      <c r="Z1512" s="17"/>
      <c r="AA1512" s="210">
        <v>5000</v>
      </c>
      <c r="AB1512" s="9">
        <v>60</v>
      </c>
      <c r="AC1512" s="9">
        <v>40</v>
      </c>
      <c r="AD1512" s="17">
        <v>46127</v>
      </c>
      <c r="AE1512" s="56">
        <v>83.34</v>
      </c>
      <c r="AF1512" s="56"/>
      <c r="AP1512" s="11"/>
      <c r="AQ1512" s="11"/>
      <c r="AR1512" s="11"/>
      <c r="AW1512" s="9"/>
      <c r="BD1512" s="9"/>
      <c r="CT1512" s="22">
        <f t="shared" si="105"/>
        <v>0</v>
      </c>
      <c r="CU1512" s="22">
        <f t="shared" si="106"/>
        <v>0</v>
      </c>
      <c r="CV1512" s="26">
        <f t="shared" si="104"/>
        <v>83.34</v>
      </c>
    </row>
    <row r="1513" spans="1:100" x14ac:dyDescent="0.2">
      <c r="A1513" s="9" t="s">
        <v>381</v>
      </c>
      <c r="B1513" s="2">
        <v>141</v>
      </c>
      <c r="C1513" s="3" t="s">
        <v>95</v>
      </c>
      <c r="D1513" s="3" t="s">
        <v>96</v>
      </c>
      <c r="E1513" s="2"/>
      <c r="F1513" s="2"/>
      <c r="G1513" s="2" t="s">
        <v>84</v>
      </c>
      <c r="H1513" s="2">
        <v>4</v>
      </c>
      <c r="I1513" s="8">
        <v>120.12</v>
      </c>
      <c r="J1513" s="8">
        <v>35900</v>
      </c>
      <c r="K1513" s="3">
        <v>0</v>
      </c>
      <c r="L1513" s="3" t="s">
        <v>3</v>
      </c>
      <c r="M1513" s="9" t="s">
        <v>0</v>
      </c>
      <c r="N1513" s="9" t="s">
        <v>32</v>
      </c>
      <c r="O1513" s="9" t="s">
        <v>382</v>
      </c>
      <c r="S1513" s="9" t="s">
        <v>383</v>
      </c>
      <c r="V1513" s="10">
        <v>12.5</v>
      </c>
      <c r="W1513" s="10" t="s">
        <v>710</v>
      </c>
      <c r="X1513" s="17">
        <v>44850</v>
      </c>
      <c r="Y1513" s="17">
        <v>44854</v>
      </c>
      <c r="Z1513" s="17"/>
      <c r="AA1513" s="210">
        <v>5000</v>
      </c>
      <c r="AB1513" s="9">
        <v>60</v>
      </c>
      <c r="AC1513" s="9">
        <v>41</v>
      </c>
      <c r="AD1513" s="17">
        <v>46157</v>
      </c>
      <c r="AE1513" s="56">
        <v>83.34</v>
      </c>
      <c r="AF1513" s="56"/>
      <c r="AP1513" s="11"/>
      <c r="AQ1513" s="11"/>
      <c r="AR1513" s="11"/>
      <c r="AW1513" s="9"/>
      <c r="BD1513" s="9"/>
      <c r="CT1513" s="22">
        <f t="shared" si="105"/>
        <v>0</v>
      </c>
      <c r="CU1513" s="22">
        <f t="shared" si="106"/>
        <v>0</v>
      </c>
      <c r="CV1513" s="26">
        <f t="shared" si="104"/>
        <v>83.34</v>
      </c>
    </row>
    <row r="1514" spans="1:100" x14ac:dyDescent="0.2">
      <c r="A1514" s="9" t="s">
        <v>381</v>
      </c>
      <c r="B1514" s="2">
        <v>141</v>
      </c>
      <c r="C1514" s="3" t="s">
        <v>95</v>
      </c>
      <c r="D1514" s="3" t="s">
        <v>96</v>
      </c>
      <c r="E1514" s="2"/>
      <c r="F1514" s="2"/>
      <c r="G1514" s="2" t="s">
        <v>84</v>
      </c>
      <c r="H1514" s="2">
        <v>4</v>
      </c>
      <c r="I1514" s="8">
        <v>120.12</v>
      </c>
      <c r="J1514" s="8">
        <v>35900</v>
      </c>
      <c r="K1514" s="3">
        <v>0</v>
      </c>
      <c r="L1514" s="3" t="s">
        <v>3</v>
      </c>
      <c r="M1514" s="9" t="s">
        <v>0</v>
      </c>
      <c r="N1514" s="9" t="s">
        <v>32</v>
      </c>
      <c r="O1514" s="9" t="s">
        <v>382</v>
      </c>
      <c r="S1514" s="9" t="s">
        <v>383</v>
      </c>
      <c r="V1514" s="10">
        <v>12.5</v>
      </c>
      <c r="W1514" s="10" t="s">
        <v>710</v>
      </c>
      <c r="X1514" s="17">
        <v>44850</v>
      </c>
      <c r="Y1514" s="17">
        <v>44854</v>
      </c>
      <c r="Z1514" s="17"/>
      <c r="AA1514" s="210">
        <v>5000</v>
      </c>
      <c r="AB1514" s="9">
        <v>60</v>
      </c>
      <c r="AC1514" s="9">
        <v>42</v>
      </c>
      <c r="AD1514" s="17">
        <v>46188</v>
      </c>
      <c r="AE1514" s="56">
        <v>83.34</v>
      </c>
      <c r="AF1514" s="56"/>
      <c r="AP1514" s="11"/>
      <c r="AQ1514" s="11"/>
      <c r="AR1514" s="11"/>
      <c r="AW1514" s="9"/>
      <c r="BD1514" s="9"/>
      <c r="CT1514" s="22">
        <f t="shared" si="105"/>
        <v>0</v>
      </c>
      <c r="CU1514" s="22">
        <f t="shared" si="106"/>
        <v>0</v>
      </c>
      <c r="CV1514" s="26">
        <f t="shared" si="104"/>
        <v>83.34</v>
      </c>
    </row>
    <row r="1515" spans="1:100" x14ac:dyDescent="0.2">
      <c r="A1515" s="9" t="s">
        <v>381</v>
      </c>
      <c r="B1515" s="2">
        <v>141</v>
      </c>
      <c r="C1515" s="3" t="s">
        <v>95</v>
      </c>
      <c r="D1515" s="3" t="s">
        <v>96</v>
      </c>
      <c r="E1515" s="2"/>
      <c r="F1515" s="2"/>
      <c r="G1515" s="2" t="s">
        <v>84</v>
      </c>
      <c r="H1515" s="2">
        <v>4</v>
      </c>
      <c r="I1515" s="8">
        <v>120.12</v>
      </c>
      <c r="J1515" s="8">
        <v>35900</v>
      </c>
      <c r="K1515" s="3">
        <v>0</v>
      </c>
      <c r="L1515" s="3" t="s">
        <v>3</v>
      </c>
      <c r="M1515" s="9" t="s">
        <v>0</v>
      </c>
      <c r="N1515" s="9" t="s">
        <v>32</v>
      </c>
      <c r="O1515" s="9" t="s">
        <v>382</v>
      </c>
      <c r="S1515" s="9" t="s">
        <v>383</v>
      </c>
      <c r="V1515" s="10">
        <v>12.5</v>
      </c>
      <c r="W1515" s="10" t="s">
        <v>710</v>
      </c>
      <c r="X1515" s="17">
        <v>44850</v>
      </c>
      <c r="Y1515" s="17">
        <v>44854</v>
      </c>
      <c r="Z1515" s="17"/>
      <c r="AA1515" s="210">
        <v>5000</v>
      </c>
      <c r="AB1515" s="9">
        <v>60</v>
      </c>
      <c r="AC1515" s="9">
        <v>43</v>
      </c>
      <c r="AD1515" s="17">
        <v>46218</v>
      </c>
      <c r="AE1515" s="56">
        <v>83.34</v>
      </c>
      <c r="AF1515" s="56"/>
      <c r="AP1515" s="11"/>
      <c r="AQ1515" s="11"/>
      <c r="AR1515" s="11"/>
      <c r="AW1515" s="9"/>
      <c r="BD1515" s="9"/>
      <c r="CT1515" s="22">
        <f t="shared" si="105"/>
        <v>0</v>
      </c>
      <c r="CU1515" s="22">
        <f t="shared" si="106"/>
        <v>0</v>
      </c>
      <c r="CV1515" s="26">
        <f t="shared" si="104"/>
        <v>83.34</v>
      </c>
    </row>
    <row r="1516" spans="1:100" x14ac:dyDescent="0.2">
      <c r="A1516" s="9" t="s">
        <v>381</v>
      </c>
      <c r="B1516" s="2">
        <v>141</v>
      </c>
      <c r="C1516" s="3" t="s">
        <v>95</v>
      </c>
      <c r="D1516" s="3" t="s">
        <v>96</v>
      </c>
      <c r="E1516" s="2"/>
      <c r="F1516" s="2"/>
      <c r="G1516" s="2" t="s">
        <v>84</v>
      </c>
      <c r="H1516" s="2">
        <v>4</v>
      </c>
      <c r="I1516" s="8">
        <v>120.12</v>
      </c>
      <c r="J1516" s="8">
        <v>35900</v>
      </c>
      <c r="K1516" s="3">
        <v>0</v>
      </c>
      <c r="L1516" s="3" t="s">
        <v>3</v>
      </c>
      <c r="M1516" s="9" t="s">
        <v>0</v>
      </c>
      <c r="N1516" s="9" t="s">
        <v>32</v>
      </c>
      <c r="O1516" s="9" t="s">
        <v>382</v>
      </c>
      <c r="S1516" s="9" t="s">
        <v>383</v>
      </c>
      <c r="V1516" s="10">
        <v>12.5</v>
      </c>
      <c r="W1516" s="10" t="s">
        <v>710</v>
      </c>
      <c r="X1516" s="17">
        <v>44850</v>
      </c>
      <c r="Y1516" s="17">
        <v>44854</v>
      </c>
      <c r="Z1516" s="17"/>
      <c r="AA1516" s="210">
        <v>5000</v>
      </c>
      <c r="AB1516" s="9">
        <v>60</v>
      </c>
      <c r="AC1516" s="9">
        <v>44</v>
      </c>
      <c r="AD1516" s="17">
        <v>46249</v>
      </c>
      <c r="AE1516" s="56">
        <v>83.34</v>
      </c>
      <c r="AF1516" s="56"/>
      <c r="AP1516" s="11"/>
      <c r="AQ1516" s="11"/>
      <c r="AR1516" s="11"/>
      <c r="AW1516" s="9"/>
      <c r="BD1516" s="9"/>
      <c r="CT1516" s="22">
        <f t="shared" si="105"/>
        <v>0</v>
      </c>
      <c r="CU1516" s="22">
        <f t="shared" si="106"/>
        <v>0</v>
      </c>
      <c r="CV1516" s="26">
        <f t="shared" si="104"/>
        <v>83.34</v>
      </c>
    </row>
    <row r="1517" spans="1:100" x14ac:dyDescent="0.2">
      <c r="A1517" s="9" t="s">
        <v>381</v>
      </c>
      <c r="B1517" s="2">
        <v>141</v>
      </c>
      <c r="C1517" s="3" t="s">
        <v>95</v>
      </c>
      <c r="D1517" s="3" t="s">
        <v>96</v>
      </c>
      <c r="E1517" s="2"/>
      <c r="F1517" s="2"/>
      <c r="G1517" s="2" t="s">
        <v>84</v>
      </c>
      <c r="H1517" s="2">
        <v>4</v>
      </c>
      <c r="I1517" s="8">
        <v>120.12</v>
      </c>
      <c r="J1517" s="8">
        <v>35900</v>
      </c>
      <c r="K1517" s="3">
        <v>0</v>
      </c>
      <c r="L1517" s="3" t="s">
        <v>3</v>
      </c>
      <c r="M1517" s="9" t="s">
        <v>0</v>
      </c>
      <c r="N1517" s="9" t="s">
        <v>32</v>
      </c>
      <c r="O1517" s="9" t="s">
        <v>382</v>
      </c>
      <c r="S1517" s="9" t="s">
        <v>383</v>
      </c>
      <c r="V1517" s="10">
        <v>12.5</v>
      </c>
      <c r="W1517" s="10" t="s">
        <v>710</v>
      </c>
      <c r="X1517" s="17">
        <v>44850</v>
      </c>
      <c r="Y1517" s="17">
        <v>44854</v>
      </c>
      <c r="Z1517" s="17"/>
      <c r="AA1517" s="210">
        <v>5000</v>
      </c>
      <c r="AB1517" s="9">
        <v>60</v>
      </c>
      <c r="AC1517" s="9">
        <v>45</v>
      </c>
      <c r="AD1517" s="17">
        <v>46280</v>
      </c>
      <c r="AE1517" s="56">
        <v>83.34</v>
      </c>
      <c r="AF1517" s="56"/>
      <c r="AP1517" s="11"/>
      <c r="AQ1517" s="11"/>
      <c r="AR1517" s="11"/>
      <c r="AW1517" s="9"/>
      <c r="BD1517" s="9"/>
      <c r="CT1517" s="22">
        <f t="shared" si="105"/>
        <v>0</v>
      </c>
      <c r="CU1517" s="22">
        <f t="shared" si="106"/>
        <v>0</v>
      </c>
      <c r="CV1517" s="26">
        <f t="shared" si="104"/>
        <v>83.34</v>
      </c>
    </row>
    <row r="1518" spans="1:100" x14ac:dyDescent="0.2">
      <c r="A1518" s="9" t="s">
        <v>381</v>
      </c>
      <c r="B1518" s="2">
        <v>141</v>
      </c>
      <c r="C1518" s="3" t="s">
        <v>95</v>
      </c>
      <c r="D1518" s="3" t="s">
        <v>96</v>
      </c>
      <c r="E1518" s="2"/>
      <c r="F1518" s="2"/>
      <c r="G1518" s="2" t="s">
        <v>84</v>
      </c>
      <c r="H1518" s="2">
        <v>4</v>
      </c>
      <c r="I1518" s="8">
        <v>120.12</v>
      </c>
      <c r="J1518" s="8">
        <v>35900</v>
      </c>
      <c r="K1518" s="3">
        <v>0</v>
      </c>
      <c r="L1518" s="3" t="s">
        <v>3</v>
      </c>
      <c r="M1518" s="9" t="s">
        <v>0</v>
      </c>
      <c r="N1518" s="9" t="s">
        <v>32</v>
      </c>
      <c r="O1518" s="9" t="s">
        <v>382</v>
      </c>
      <c r="S1518" s="9" t="s">
        <v>383</v>
      </c>
      <c r="V1518" s="10">
        <v>12.5</v>
      </c>
      <c r="W1518" s="10" t="s">
        <v>710</v>
      </c>
      <c r="X1518" s="17">
        <v>44850</v>
      </c>
      <c r="Y1518" s="17">
        <v>44854</v>
      </c>
      <c r="Z1518" s="17"/>
      <c r="AA1518" s="210">
        <v>5000</v>
      </c>
      <c r="AB1518" s="9">
        <v>60</v>
      </c>
      <c r="AC1518" s="9">
        <v>46</v>
      </c>
      <c r="AD1518" s="17">
        <v>46310</v>
      </c>
      <c r="AE1518" s="56">
        <v>83.34</v>
      </c>
      <c r="AF1518" s="56"/>
      <c r="AP1518" s="11"/>
      <c r="AQ1518" s="11"/>
      <c r="AR1518" s="11"/>
      <c r="AW1518" s="9"/>
      <c r="BD1518" s="9"/>
      <c r="CT1518" s="22">
        <f t="shared" si="105"/>
        <v>0</v>
      </c>
      <c r="CU1518" s="22">
        <f t="shared" si="106"/>
        <v>0</v>
      </c>
      <c r="CV1518" s="26">
        <f t="shared" si="104"/>
        <v>83.34</v>
      </c>
    </row>
    <row r="1519" spans="1:100" x14ac:dyDescent="0.2">
      <c r="A1519" s="9" t="s">
        <v>381</v>
      </c>
      <c r="B1519" s="2">
        <v>141</v>
      </c>
      <c r="C1519" s="3" t="s">
        <v>95</v>
      </c>
      <c r="D1519" s="3" t="s">
        <v>96</v>
      </c>
      <c r="E1519" s="2"/>
      <c r="F1519" s="2"/>
      <c r="G1519" s="2" t="s">
        <v>84</v>
      </c>
      <c r="H1519" s="2">
        <v>4</v>
      </c>
      <c r="I1519" s="8">
        <v>120.12</v>
      </c>
      <c r="J1519" s="8">
        <v>35900</v>
      </c>
      <c r="K1519" s="3">
        <v>0</v>
      </c>
      <c r="L1519" s="3" t="s">
        <v>3</v>
      </c>
      <c r="M1519" s="9" t="s">
        <v>0</v>
      </c>
      <c r="N1519" s="9" t="s">
        <v>32</v>
      </c>
      <c r="O1519" s="9" t="s">
        <v>382</v>
      </c>
      <c r="S1519" s="9" t="s">
        <v>383</v>
      </c>
      <c r="V1519" s="10">
        <v>12.5</v>
      </c>
      <c r="W1519" s="10" t="s">
        <v>710</v>
      </c>
      <c r="X1519" s="17">
        <v>44850</v>
      </c>
      <c r="Y1519" s="17">
        <v>44854</v>
      </c>
      <c r="Z1519" s="17"/>
      <c r="AA1519" s="210">
        <v>5000</v>
      </c>
      <c r="AB1519" s="9">
        <v>60</v>
      </c>
      <c r="AC1519" s="9">
        <v>47</v>
      </c>
      <c r="AD1519" s="17">
        <v>46341</v>
      </c>
      <c r="AE1519" s="56">
        <v>83.34</v>
      </c>
      <c r="AF1519" s="56"/>
      <c r="AP1519" s="11"/>
      <c r="AQ1519" s="11"/>
      <c r="AR1519" s="11"/>
      <c r="AW1519" s="9"/>
      <c r="BD1519" s="9"/>
      <c r="CT1519" s="22">
        <f t="shared" si="105"/>
        <v>0</v>
      </c>
      <c r="CU1519" s="22">
        <f t="shared" si="106"/>
        <v>0</v>
      </c>
      <c r="CV1519" s="26">
        <f t="shared" si="104"/>
        <v>83.34</v>
      </c>
    </row>
    <row r="1520" spans="1:100" x14ac:dyDescent="0.2">
      <c r="A1520" s="9" t="s">
        <v>381</v>
      </c>
      <c r="B1520" s="2">
        <v>141</v>
      </c>
      <c r="C1520" s="3" t="s">
        <v>95</v>
      </c>
      <c r="D1520" s="3" t="s">
        <v>96</v>
      </c>
      <c r="E1520" s="2"/>
      <c r="F1520" s="2"/>
      <c r="G1520" s="2" t="s">
        <v>84</v>
      </c>
      <c r="H1520" s="2">
        <v>4</v>
      </c>
      <c r="I1520" s="8">
        <v>120.12</v>
      </c>
      <c r="J1520" s="8">
        <v>35900</v>
      </c>
      <c r="K1520" s="3">
        <v>0</v>
      </c>
      <c r="L1520" s="3" t="s">
        <v>3</v>
      </c>
      <c r="M1520" s="9" t="s">
        <v>0</v>
      </c>
      <c r="N1520" s="9" t="s">
        <v>32</v>
      </c>
      <c r="O1520" s="9" t="s">
        <v>382</v>
      </c>
      <c r="S1520" s="9" t="s">
        <v>383</v>
      </c>
      <c r="V1520" s="10">
        <v>12.5</v>
      </c>
      <c r="W1520" s="10" t="s">
        <v>710</v>
      </c>
      <c r="X1520" s="17">
        <v>44850</v>
      </c>
      <c r="Y1520" s="17">
        <v>44854</v>
      </c>
      <c r="Z1520" s="17"/>
      <c r="AA1520" s="210">
        <v>5000</v>
      </c>
      <c r="AB1520" s="9">
        <v>60</v>
      </c>
      <c r="AC1520" s="9">
        <v>48</v>
      </c>
      <c r="AD1520" s="17">
        <v>46371</v>
      </c>
      <c r="AE1520" s="56">
        <v>83.34</v>
      </c>
      <c r="AF1520" s="56"/>
      <c r="AP1520" s="11"/>
      <c r="AQ1520" s="11"/>
      <c r="AR1520" s="11"/>
      <c r="AW1520" s="9"/>
      <c r="BD1520" s="9"/>
      <c r="CT1520" s="22">
        <f t="shared" si="105"/>
        <v>0</v>
      </c>
      <c r="CU1520" s="22">
        <f t="shared" si="106"/>
        <v>0</v>
      </c>
      <c r="CV1520" s="26">
        <f t="shared" si="104"/>
        <v>83.34</v>
      </c>
    </row>
    <row r="1521" spans="1:103" x14ac:dyDescent="0.2">
      <c r="A1521" s="9" t="s">
        <v>381</v>
      </c>
      <c r="B1521" s="2">
        <v>141</v>
      </c>
      <c r="C1521" s="3" t="s">
        <v>95</v>
      </c>
      <c r="D1521" s="3" t="s">
        <v>96</v>
      </c>
      <c r="E1521" s="2"/>
      <c r="F1521" s="2"/>
      <c r="G1521" s="2" t="s">
        <v>84</v>
      </c>
      <c r="H1521" s="2">
        <v>4</v>
      </c>
      <c r="I1521" s="8">
        <v>120.12</v>
      </c>
      <c r="J1521" s="8">
        <v>35900</v>
      </c>
      <c r="K1521" s="3">
        <v>0</v>
      </c>
      <c r="L1521" s="3" t="s">
        <v>3</v>
      </c>
      <c r="M1521" s="9" t="s">
        <v>0</v>
      </c>
      <c r="N1521" s="9" t="s">
        <v>32</v>
      </c>
      <c r="O1521" s="9" t="s">
        <v>382</v>
      </c>
      <c r="S1521" s="9" t="s">
        <v>383</v>
      </c>
      <c r="V1521" s="10">
        <v>12.5</v>
      </c>
      <c r="W1521" s="10" t="s">
        <v>710</v>
      </c>
      <c r="X1521" s="17">
        <v>44850</v>
      </c>
      <c r="Y1521" s="17">
        <v>44854</v>
      </c>
      <c r="Z1521" s="17"/>
      <c r="AA1521" s="210">
        <v>5000</v>
      </c>
      <c r="AB1521" s="9">
        <v>60</v>
      </c>
      <c r="AC1521" s="9">
        <v>49</v>
      </c>
      <c r="AD1521" s="17">
        <v>46402</v>
      </c>
      <c r="AE1521" s="56">
        <v>83.34</v>
      </c>
      <c r="AF1521" s="56"/>
      <c r="AP1521" s="11"/>
      <c r="AQ1521" s="11"/>
      <c r="AR1521" s="11"/>
      <c r="AW1521" s="9"/>
      <c r="BD1521" s="9"/>
      <c r="CT1521" s="22">
        <f t="shared" si="105"/>
        <v>0</v>
      </c>
      <c r="CU1521" s="22">
        <f t="shared" si="106"/>
        <v>0</v>
      </c>
      <c r="CV1521" s="26">
        <f t="shared" si="104"/>
        <v>83.34</v>
      </c>
    </row>
    <row r="1522" spans="1:103" x14ac:dyDescent="0.2">
      <c r="A1522" s="9" t="s">
        <v>381</v>
      </c>
      <c r="B1522" s="2">
        <v>141</v>
      </c>
      <c r="C1522" s="3" t="s">
        <v>95</v>
      </c>
      <c r="D1522" s="3" t="s">
        <v>96</v>
      </c>
      <c r="E1522" s="2"/>
      <c r="F1522" s="2"/>
      <c r="G1522" s="2" t="s">
        <v>84</v>
      </c>
      <c r="H1522" s="2">
        <v>4</v>
      </c>
      <c r="I1522" s="8">
        <v>120.12</v>
      </c>
      <c r="J1522" s="8">
        <v>35900</v>
      </c>
      <c r="K1522" s="3">
        <v>0</v>
      </c>
      <c r="L1522" s="3" t="s">
        <v>3</v>
      </c>
      <c r="M1522" s="9" t="s">
        <v>0</v>
      </c>
      <c r="N1522" s="9" t="s">
        <v>32</v>
      </c>
      <c r="O1522" s="9" t="s">
        <v>382</v>
      </c>
      <c r="S1522" s="9" t="s">
        <v>383</v>
      </c>
      <c r="V1522" s="10">
        <v>12.5</v>
      </c>
      <c r="W1522" s="10" t="s">
        <v>710</v>
      </c>
      <c r="X1522" s="17">
        <v>44850</v>
      </c>
      <c r="Y1522" s="17">
        <v>44854</v>
      </c>
      <c r="Z1522" s="17"/>
      <c r="AA1522" s="210">
        <v>5000</v>
      </c>
      <c r="AB1522" s="9">
        <v>60</v>
      </c>
      <c r="AC1522" s="9">
        <v>50</v>
      </c>
      <c r="AD1522" s="17">
        <v>46433</v>
      </c>
      <c r="AE1522" s="56">
        <v>83.34</v>
      </c>
      <c r="AF1522" s="56"/>
      <c r="AP1522" s="11"/>
      <c r="AQ1522" s="11"/>
      <c r="AR1522" s="11"/>
      <c r="AW1522" s="9"/>
      <c r="BD1522" s="9"/>
      <c r="CT1522" s="22">
        <f t="shared" si="105"/>
        <v>0</v>
      </c>
      <c r="CU1522" s="22">
        <f t="shared" si="106"/>
        <v>0</v>
      </c>
      <c r="CV1522" s="26">
        <f t="shared" si="104"/>
        <v>83.34</v>
      </c>
    </row>
    <row r="1523" spans="1:103" x14ac:dyDescent="0.2">
      <c r="A1523" s="9" t="s">
        <v>381</v>
      </c>
      <c r="B1523" s="2">
        <v>141</v>
      </c>
      <c r="C1523" s="3" t="s">
        <v>95</v>
      </c>
      <c r="D1523" s="3" t="s">
        <v>96</v>
      </c>
      <c r="E1523" s="2"/>
      <c r="F1523" s="2"/>
      <c r="G1523" s="2" t="s">
        <v>84</v>
      </c>
      <c r="H1523" s="2">
        <v>4</v>
      </c>
      <c r="I1523" s="8">
        <v>120.12</v>
      </c>
      <c r="J1523" s="8">
        <v>35900</v>
      </c>
      <c r="K1523" s="3">
        <v>0</v>
      </c>
      <c r="L1523" s="3" t="s">
        <v>3</v>
      </c>
      <c r="M1523" s="9" t="s">
        <v>0</v>
      </c>
      <c r="N1523" s="9" t="s">
        <v>32</v>
      </c>
      <c r="O1523" s="9" t="s">
        <v>382</v>
      </c>
      <c r="S1523" s="9" t="s">
        <v>383</v>
      </c>
      <c r="V1523" s="10">
        <v>12.5</v>
      </c>
      <c r="W1523" s="10" t="s">
        <v>710</v>
      </c>
      <c r="X1523" s="17">
        <v>44850</v>
      </c>
      <c r="Y1523" s="17">
        <v>44854</v>
      </c>
      <c r="Z1523" s="17"/>
      <c r="AA1523" s="210">
        <v>5000</v>
      </c>
      <c r="AB1523" s="9">
        <v>60</v>
      </c>
      <c r="AC1523" s="9">
        <v>51</v>
      </c>
      <c r="AD1523" s="17">
        <v>46461</v>
      </c>
      <c r="AE1523" s="56">
        <v>83.34</v>
      </c>
      <c r="AF1523" s="56"/>
      <c r="AP1523" s="11"/>
      <c r="AQ1523" s="11"/>
      <c r="AR1523" s="11"/>
      <c r="AW1523" s="9"/>
      <c r="BD1523" s="9"/>
      <c r="CT1523" s="22">
        <f t="shared" si="105"/>
        <v>0</v>
      </c>
      <c r="CU1523" s="22">
        <f t="shared" si="106"/>
        <v>0</v>
      </c>
      <c r="CV1523" s="26">
        <f t="shared" si="104"/>
        <v>83.34</v>
      </c>
    </row>
    <row r="1524" spans="1:103" x14ac:dyDescent="0.2">
      <c r="A1524" s="9" t="s">
        <v>381</v>
      </c>
      <c r="B1524" s="2">
        <v>141</v>
      </c>
      <c r="C1524" s="3" t="s">
        <v>95</v>
      </c>
      <c r="D1524" s="3" t="s">
        <v>96</v>
      </c>
      <c r="E1524" s="2"/>
      <c r="F1524" s="2"/>
      <c r="G1524" s="2" t="s">
        <v>84</v>
      </c>
      <c r="H1524" s="2">
        <v>4</v>
      </c>
      <c r="I1524" s="8">
        <v>120.12</v>
      </c>
      <c r="J1524" s="8">
        <v>35900</v>
      </c>
      <c r="K1524" s="3">
        <v>0</v>
      </c>
      <c r="L1524" s="3" t="s">
        <v>3</v>
      </c>
      <c r="M1524" s="9" t="s">
        <v>0</v>
      </c>
      <c r="N1524" s="9" t="s">
        <v>32</v>
      </c>
      <c r="O1524" s="9" t="s">
        <v>382</v>
      </c>
      <c r="S1524" s="9" t="s">
        <v>383</v>
      </c>
      <c r="V1524" s="10">
        <v>12.5</v>
      </c>
      <c r="W1524" s="10" t="s">
        <v>710</v>
      </c>
      <c r="X1524" s="17">
        <v>44850</v>
      </c>
      <c r="Y1524" s="17">
        <v>44854</v>
      </c>
      <c r="Z1524" s="17"/>
      <c r="AA1524" s="210">
        <v>5000</v>
      </c>
      <c r="AB1524" s="9">
        <v>60</v>
      </c>
      <c r="AC1524" s="9">
        <v>52</v>
      </c>
      <c r="AD1524" s="17">
        <v>46492</v>
      </c>
      <c r="AE1524" s="56">
        <v>83.34</v>
      </c>
      <c r="AF1524" s="56"/>
      <c r="AP1524" s="11"/>
      <c r="AQ1524" s="11"/>
      <c r="AR1524" s="11"/>
      <c r="AW1524" s="9"/>
      <c r="BD1524" s="9"/>
      <c r="CT1524" s="22">
        <f t="shared" si="105"/>
        <v>0</v>
      </c>
      <c r="CU1524" s="22">
        <f t="shared" si="106"/>
        <v>0</v>
      </c>
      <c r="CV1524" s="26">
        <f t="shared" si="104"/>
        <v>83.34</v>
      </c>
    </row>
    <row r="1525" spans="1:103" x14ac:dyDescent="0.2">
      <c r="A1525" s="9" t="s">
        <v>381</v>
      </c>
      <c r="B1525" s="2">
        <v>141</v>
      </c>
      <c r="C1525" s="3" t="s">
        <v>95</v>
      </c>
      <c r="D1525" s="3" t="s">
        <v>96</v>
      </c>
      <c r="E1525" s="2"/>
      <c r="F1525" s="2"/>
      <c r="G1525" s="2" t="s">
        <v>84</v>
      </c>
      <c r="H1525" s="2">
        <v>4</v>
      </c>
      <c r="I1525" s="8">
        <v>120.12</v>
      </c>
      <c r="J1525" s="8">
        <v>35900</v>
      </c>
      <c r="K1525" s="3">
        <v>0</v>
      </c>
      <c r="L1525" s="3" t="s">
        <v>3</v>
      </c>
      <c r="M1525" s="9" t="s">
        <v>0</v>
      </c>
      <c r="N1525" s="9" t="s">
        <v>32</v>
      </c>
      <c r="O1525" s="9" t="s">
        <v>382</v>
      </c>
      <c r="S1525" s="9" t="s">
        <v>383</v>
      </c>
      <c r="V1525" s="10">
        <v>12.5</v>
      </c>
      <c r="W1525" s="10" t="s">
        <v>710</v>
      </c>
      <c r="X1525" s="17">
        <v>44850</v>
      </c>
      <c r="Y1525" s="17">
        <v>44854</v>
      </c>
      <c r="Z1525" s="17"/>
      <c r="AA1525" s="210">
        <v>5000</v>
      </c>
      <c r="AB1525" s="9">
        <v>60</v>
      </c>
      <c r="AC1525" s="9">
        <v>53</v>
      </c>
      <c r="AD1525" s="17">
        <v>46522</v>
      </c>
      <c r="AE1525" s="56">
        <v>83.34</v>
      </c>
      <c r="AF1525" s="56"/>
      <c r="AP1525" s="11"/>
      <c r="AQ1525" s="11"/>
      <c r="AR1525" s="11"/>
      <c r="AW1525" s="9"/>
      <c r="BD1525" s="9"/>
      <c r="CT1525" s="22">
        <f t="shared" si="105"/>
        <v>0</v>
      </c>
      <c r="CU1525" s="22">
        <f t="shared" si="106"/>
        <v>0</v>
      </c>
      <c r="CV1525" s="26">
        <f t="shared" si="104"/>
        <v>83.34</v>
      </c>
    </row>
    <row r="1526" spans="1:103" x14ac:dyDescent="0.2">
      <c r="A1526" s="9" t="s">
        <v>381</v>
      </c>
      <c r="B1526" s="2">
        <v>141</v>
      </c>
      <c r="C1526" s="3" t="s">
        <v>95</v>
      </c>
      <c r="D1526" s="3" t="s">
        <v>96</v>
      </c>
      <c r="E1526" s="2"/>
      <c r="F1526" s="2"/>
      <c r="G1526" s="2" t="s">
        <v>84</v>
      </c>
      <c r="H1526" s="2">
        <v>4</v>
      </c>
      <c r="I1526" s="8">
        <v>120.12</v>
      </c>
      <c r="J1526" s="8">
        <v>35900</v>
      </c>
      <c r="K1526" s="3">
        <v>0</v>
      </c>
      <c r="L1526" s="3" t="s">
        <v>3</v>
      </c>
      <c r="M1526" s="9" t="s">
        <v>0</v>
      </c>
      <c r="N1526" s="9" t="s">
        <v>32</v>
      </c>
      <c r="O1526" s="9" t="s">
        <v>382</v>
      </c>
      <c r="S1526" s="9" t="s">
        <v>383</v>
      </c>
      <c r="V1526" s="10">
        <v>12.5</v>
      </c>
      <c r="W1526" s="10" t="s">
        <v>710</v>
      </c>
      <c r="X1526" s="17">
        <v>44850</v>
      </c>
      <c r="Y1526" s="17">
        <v>44854</v>
      </c>
      <c r="Z1526" s="17"/>
      <c r="AA1526" s="210">
        <v>5000</v>
      </c>
      <c r="AB1526" s="9">
        <v>60</v>
      </c>
      <c r="AC1526" s="9">
        <v>54</v>
      </c>
      <c r="AD1526" s="17">
        <v>46553</v>
      </c>
      <c r="AE1526" s="56">
        <v>83.34</v>
      </c>
      <c r="AF1526" s="56"/>
      <c r="AP1526" s="11"/>
      <c r="AQ1526" s="11"/>
      <c r="AR1526" s="11"/>
      <c r="AW1526" s="9"/>
      <c r="BD1526" s="9"/>
      <c r="CT1526" s="22">
        <f t="shared" si="105"/>
        <v>0</v>
      </c>
      <c r="CU1526" s="22">
        <f t="shared" si="106"/>
        <v>0</v>
      </c>
      <c r="CV1526" s="26">
        <f t="shared" si="104"/>
        <v>83.34</v>
      </c>
    </row>
    <row r="1527" spans="1:103" x14ac:dyDescent="0.2">
      <c r="A1527" s="9" t="s">
        <v>381</v>
      </c>
      <c r="B1527" s="2">
        <v>141</v>
      </c>
      <c r="C1527" s="3" t="s">
        <v>95</v>
      </c>
      <c r="D1527" s="3" t="s">
        <v>96</v>
      </c>
      <c r="E1527" s="2"/>
      <c r="F1527" s="2"/>
      <c r="G1527" s="2" t="s">
        <v>84</v>
      </c>
      <c r="H1527" s="2">
        <v>4</v>
      </c>
      <c r="I1527" s="8">
        <v>120.12</v>
      </c>
      <c r="J1527" s="8">
        <v>35900</v>
      </c>
      <c r="K1527" s="3">
        <v>0</v>
      </c>
      <c r="L1527" s="3" t="s">
        <v>3</v>
      </c>
      <c r="M1527" s="9" t="s">
        <v>0</v>
      </c>
      <c r="N1527" s="9" t="s">
        <v>32</v>
      </c>
      <c r="O1527" s="9" t="s">
        <v>382</v>
      </c>
      <c r="S1527" s="9" t="s">
        <v>383</v>
      </c>
      <c r="V1527" s="10">
        <v>12.5</v>
      </c>
      <c r="W1527" s="10" t="s">
        <v>710</v>
      </c>
      <c r="X1527" s="17">
        <v>44850</v>
      </c>
      <c r="Y1527" s="17">
        <v>44854</v>
      </c>
      <c r="Z1527" s="17"/>
      <c r="AA1527" s="210">
        <v>5000</v>
      </c>
      <c r="AB1527" s="9">
        <v>60</v>
      </c>
      <c r="AC1527" s="9">
        <v>55</v>
      </c>
      <c r="AD1527" s="17">
        <v>46583</v>
      </c>
      <c r="AE1527" s="56">
        <v>83.34</v>
      </c>
      <c r="AF1527" s="56"/>
      <c r="AP1527" s="11"/>
      <c r="AQ1527" s="11"/>
      <c r="AR1527" s="11"/>
      <c r="AW1527" s="9"/>
      <c r="BD1527" s="9"/>
      <c r="CT1527" s="22">
        <f t="shared" ref="CT1527:CT1532" si="107">+BA1527+BG1527+BM1527+BS1527+BY1527+CE1527+CK1527</f>
        <v>0</v>
      </c>
      <c r="CU1527" s="22">
        <f t="shared" ref="CU1527:CU1532" si="108">+AL1527+AT1527-CT1527</f>
        <v>0</v>
      </c>
      <c r="CV1527" s="26">
        <f t="shared" si="104"/>
        <v>83.34</v>
      </c>
    </row>
    <row r="1528" spans="1:103" x14ac:dyDescent="0.2">
      <c r="A1528" s="9" t="s">
        <v>381</v>
      </c>
      <c r="B1528" s="2">
        <v>141</v>
      </c>
      <c r="C1528" s="3" t="s">
        <v>95</v>
      </c>
      <c r="D1528" s="3" t="s">
        <v>96</v>
      </c>
      <c r="E1528" s="2"/>
      <c r="F1528" s="2"/>
      <c r="G1528" s="2" t="s">
        <v>84</v>
      </c>
      <c r="H1528" s="2">
        <v>4</v>
      </c>
      <c r="I1528" s="8">
        <v>120.12</v>
      </c>
      <c r="J1528" s="8">
        <v>35900</v>
      </c>
      <c r="K1528" s="3">
        <v>0</v>
      </c>
      <c r="L1528" s="3" t="s">
        <v>3</v>
      </c>
      <c r="M1528" s="9" t="s">
        <v>0</v>
      </c>
      <c r="N1528" s="9" t="s">
        <v>32</v>
      </c>
      <c r="O1528" s="9" t="s">
        <v>382</v>
      </c>
      <c r="S1528" s="9" t="s">
        <v>383</v>
      </c>
      <c r="V1528" s="10">
        <v>12.5</v>
      </c>
      <c r="W1528" s="10" t="s">
        <v>710</v>
      </c>
      <c r="X1528" s="17">
        <v>44850</v>
      </c>
      <c r="Y1528" s="17">
        <v>44854</v>
      </c>
      <c r="Z1528" s="17"/>
      <c r="AA1528" s="210">
        <v>5000</v>
      </c>
      <c r="AB1528" s="9">
        <v>60</v>
      </c>
      <c r="AC1528" s="9">
        <v>56</v>
      </c>
      <c r="AD1528" s="17">
        <v>46614</v>
      </c>
      <c r="AE1528" s="56">
        <v>83.34</v>
      </c>
      <c r="AF1528" s="56"/>
      <c r="AP1528" s="11"/>
      <c r="AQ1528" s="11"/>
      <c r="AR1528" s="11"/>
      <c r="AW1528" s="9"/>
      <c r="BD1528" s="9"/>
      <c r="CT1528" s="22">
        <f t="shared" si="107"/>
        <v>0</v>
      </c>
      <c r="CU1528" s="22">
        <f t="shared" si="108"/>
        <v>0</v>
      </c>
      <c r="CV1528" s="26">
        <f t="shared" si="104"/>
        <v>83.34</v>
      </c>
    </row>
    <row r="1529" spans="1:103" x14ac:dyDescent="0.2">
      <c r="A1529" s="9" t="s">
        <v>381</v>
      </c>
      <c r="B1529" s="2">
        <v>141</v>
      </c>
      <c r="C1529" s="3" t="s">
        <v>95</v>
      </c>
      <c r="D1529" s="3" t="s">
        <v>96</v>
      </c>
      <c r="E1529" s="2"/>
      <c r="F1529" s="2"/>
      <c r="G1529" s="2" t="s">
        <v>84</v>
      </c>
      <c r="H1529" s="2">
        <v>4</v>
      </c>
      <c r="I1529" s="8">
        <v>120.12</v>
      </c>
      <c r="J1529" s="8">
        <v>35900</v>
      </c>
      <c r="K1529" s="3">
        <v>0</v>
      </c>
      <c r="L1529" s="3" t="s">
        <v>3</v>
      </c>
      <c r="M1529" s="9" t="s">
        <v>0</v>
      </c>
      <c r="N1529" s="9" t="s">
        <v>32</v>
      </c>
      <c r="O1529" s="9" t="s">
        <v>382</v>
      </c>
      <c r="S1529" s="9" t="s">
        <v>383</v>
      </c>
      <c r="V1529" s="10">
        <v>12.5</v>
      </c>
      <c r="W1529" s="10" t="s">
        <v>710</v>
      </c>
      <c r="X1529" s="17">
        <v>44850</v>
      </c>
      <c r="Y1529" s="17">
        <v>44854</v>
      </c>
      <c r="Z1529" s="17"/>
      <c r="AA1529" s="210">
        <v>5000</v>
      </c>
      <c r="AB1529" s="9">
        <v>60</v>
      </c>
      <c r="AC1529" s="9">
        <v>57</v>
      </c>
      <c r="AD1529" s="17">
        <v>46645</v>
      </c>
      <c r="AE1529" s="56">
        <v>83.34</v>
      </c>
      <c r="AF1529" s="56"/>
      <c r="AP1529" s="11"/>
      <c r="AQ1529" s="11"/>
      <c r="AR1529" s="11"/>
      <c r="AW1529" s="9"/>
      <c r="BD1529" s="9"/>
      <c r="CT1529" s="22">
        <f t="shared" si="107"/>
        <v>0</v>
      </c>
      <c r="CU1529" s="22">
        <f t="shared" si="108"/>
        <v>0</v>
      </c>
      <c r="CV1529" s="26">
        <f t="shared" ref="CV1529:CV1592" si="109">+AE1529-AL1529-AT1529</f>
        <v>83.34</v>
      </c>
    </row>
    <row r="1530" spans="1:103" x14ac:dyDescent="0.2">
      <c r="A1530" s="9" t="s">
        <v>381</v>
      </c>
      <c r="B1530" s="2">
        <v>141</v>
      </c>
      <c r="C1530" s="3" t="s">
        <v>95</v>
      </c>
      <c r="D1530" s="3" t="s">
        <v>96</v>
      </c>
      <c r="E1530" s="2"/>
      <c r="F1530" s="2"/>
      <c r="G1530" s="2" t="s">
        <v>84</v>
      </c>
      <c r="H1530" s="2">
        <v>4</v>
      </c>
      <c r="I1530" s="8">
        <v>120.12</v>
      </c>
      <c r="J1530" s="8">
        <v>35900</v>
      </c>
      <c r="K1530" s="3">
        <v>0</v>
      </c>
      <c r="L1530" s="3" t="s">
        <v>3</v>
      </c>
      <c r="M1530" s="9" t="s">
        <v>0</v>
      </c>
      <c r="N1530" s="9" t="s">
        <v>32</v>
      </c>
      <c r="O1530" s="9" t="s">
        <v>382</v>
      </c>
      <c r="S1530" s="9" t="s">
        <v>383</v>
      </c>
      <c r="V1530" s="10">
        <v>12.5</v>
      </c>
      <c r="W1530" s="10" t="s">
        <v>710</v>
      </c>
      <c r="X1530" s="17">
        <v>44850</v>
      </c>
      <c r="Y1530" s="17">
        <v>44854</v>
      </c>
      <c r="Z1530" s="17"/>
      <c r="AA1530" s="210">
        <v>5000</v>
      </c>
      <c r="AB1530" s="9">
        <v>60</v>
      </c>
      <c r="AC1530" s="9">
        <v>58</v>
      </c>
      <c r="AD1530" s="17">
        <v>46675</v>
      </c>
      <c r="AE1530" s="56">
        <v>83.34</v>
      </c>
      <c r="AF1530" s="56"/>
      <c r="AP1530" s="11"/>
      <c r="AQ1530" s="11"/>
      <c r="AR1530" s="11"/>
      <c r="AW1530" s="9"/>
      <c r="BD1530" s="9"/>
      <c r="CT1530" s="22">
        <f t="shared" si="107"/>
        <v>0</v>
      </c>
      <c r="CU1530" s="22">
        <f t="shared" si="108"/>
        <v>0</v>
      </c>
      <c r="CV1530" s="26">
        <f t="shared" si="109"/>
        <v>83.34</v>
      </c>
    </row>
    <row r="1531" spans="1:103" x14ac:dyDescent="0.2">
      <c r="A1531" s="9" t="s">
        <v>381</v>
      </c>
      <c r="B1531" s="2">
        <v>141</v>
      </c>
      <c r="C1531" s="3" t="s">
        <v>95</v>
      </c>
      <c r="D1531" s="3" t="s">
        <v>96</v>
      </c>
      <c r="E1531" s="2"/>
      <c r="F1531" s="2"/>
      <c r="G1531" s="2" t="s">
        <v>84</v>
      </c>
      <c r="H1531" s="2">
        <v>4</v>
      </c>
      <c r="I1531" s="8">
        <v>120.12</v>
      </c>
      <c r="J1531" s="8">
        <v>35900</v>
      </c>
      <c r="K1531" s="3">
        <v>0</v>
      </c>
      <c r="L1531" s="3" t="s">
        <v>3</v>
      </c>
      <c r="M1531" s="9" t="s">
        <v>0</v>
      </c>
      <c r="N1531" s="9" t="s">
        <v>32</v>
      </c>
      <c r="O1531" s="9" t="s">
        <v>382</v>
      </c>
      <c r="S1531" s="9" t="s">
        <v>383</v>
      </c>
      <c r="V1531" s="10">
        <v>12.5</v>
      </c>
      <c r="W1531" s="10" t="s">
        <v>710</v>
      </c>
      <c r="X1531" s="17">
        <v>44850</v>
      </c>
      <c r="Y1531" s="17">
        <v>44854</v>
      </c>
      <c r="Z1531" s="17"/>
      <c r="AA1531" s="210">
        <v>5000</v>
      </c>
      <c r="AB1531" s="9">
        <v>60</v>
      </c>
      <c r="AC1531" s="9">
        <v>59</v>
      </c>
      <c r="AD1531" s="17">
        <v>46706</v>
      </c>
      <c r="AE1531" s="56">
        <v>83.34</v>
      </c>
      <c r="AF1531" s="56"/>
      <c r="AP1531" s="11"/>
      <c r="AQ1531" s="11"/>
      <c r="AR1531" s="11"/>
      <c r="AW1531" s="9"/>
      <c r="BD1531" s="9"/>
      <c r="CT1531" s="22">
        <f t="shared" si="107"/>
        <v>0</v>
      </c>
      <c r="CU1531" s="22">
        <f t="shared" si="108"/>
        <v>0</v>
      </c>
      <c r="CV1531" s="26">
        <f t="shared" si="109"/>
        <v>83.34</v>
      </c>
    </row>
    <row r="1532" spans="1:103" x14ac:dyDescent="0.2">
      <c r="A1532" s="9" t="s">
        <v>381</v>
      </c>
      <c r="B1532" s="2">
        <v>141</v>
      </c>
      <c r="C1532" s="3" t="s">
        <v>95</v>
      </c>
      <c r="D1532" s="3" t="s">
        <v>96</v>
      </c>
      <c r="E1532" s="2"/>
      <c r="F1532" s="2"/>
      <c r="G1532" s="2" t="s">
        <v>84</v>
      </c>
      <c r="H1532" s="2">
        <v>4</v>
      </c>
      <c r="I1532" s="8">
        <v>120.12</v>
      </c>
      <c r="J1532" s="8">
        <v>35900</v>
      </c>
      <c r="K1532" s="3">
        <v>0</v>
      </c>
      <c r="L1532" s="3" t="s">
        <v>3</v>
      </c>
      <c r="M1532" s="9" t="s">
        <v>0</v>
      </c>
      <c r="N1532" s="9" t="s">
        <v>32</v>
      </c>
      <c r="O1532" s="9" t="s">
        <v>382</v>
      </c>
      <c r="S1532" s="9" t="s">
        <v>383</v>
      </c>
      <c r="V1532" s="10">
        <v>12.5</v>
      </c>
      <c r="W1532" s="10" t="s">
        <v>710</v>
      </c>
      <c r="X1532" s="17">
        <v>44850</v>
      </c>
      <c r="Y1532" s="17">
        <v>44854</v>
      </c>
      <c r="Z1532" s="17"/>
      <c r="AA1532" s="210">
        <v>5000</v>
      </c>
      <c r="AB1532" s="9">
        <v>60</v>
      </c>
      <c r="AC1532" s="9">
        <v>60</v>
      </c>
      <c r="AD1532" s="17">
        <v>46736</v>
      </c>
      <c r="AE1532" s="56">
        <v>83.34</v>
      </c>
      <c r="AF1532" s="56"/>
      <c r="AP1532" s="11"/>
      <c r="AQ1532" s="11"/>
      <c r="AR1532" s="11"/>
      <c r="AW1532" s="9"/>
      <c r="BD1532" s="9"/>
      <c r="CT1532" s="22">
        <f t="shared" si="107"/>
        <v>0</v>
      </c>
      <c r="CU1532" s="22">
        <f t="shared" si="108"/>
        <v>0</v>
      </c>
      <c r="CV1532" s="26">
        <f t="shared" si="109"/>
        <v>83.34</v>
      </c>
    </row>
    <row r="1533" spans="1:103" x14ac:dyDescent="0.2">
      <c r="A1533" s="9" t="s">
        <v>398</v>
      </c>
      <c r="B1533" s="2">
        <v>7</v>
      </c>
      <c r="C1533" s="3" t="s">
        <v>95</v>
      </c>
      <c r="D1533" s="3" t="s">
        <v>96</v>
      </c>
      <c r="E1533" s="2"/>
      <c r="F1533" s="2"/>
      <c r="G1533" s="2" t="s">
        <v>66</v>
      </c>
      <c r="H1533" s="2">
        <v>1</v>
      </c>
      <c r="I1533" s="8">
        <v>125.84</v>
      </c>
      <c r="J1533" s="8">
        <v>41900</v>
      </c>
      <c r="K1533" s="3">
        <v>0</v>
      </c>
      <c r="L1533" s="3" t="s">
        <v>3</v>
      </c>
      <c r="M1533" s="9" t="s">
        <v>0</v>
      </c>
      <c r="N1533" s="9" t="s">
        <v>33</v>
      </c>
      <c r="O1533" s="9" t="s">
        <v>3515</v>
      </c>
      <c r="S1533" s="9" t="s">
        <v>158</v>
      </c>
      <c r="T1533" s="10" t="s">
        <v>66</v>
      </c>
      <c r="U1533" s="10">
        <v>1</v>
      </c>
      <c r="V1533" s="10">
        <v>125.84</v>
      </c>
      <c r="W1533" s="10" t="s">
        <v>710</v>
      </c>
      <c r="X1533" s="17">
        <v>44608</v>
      </c>
      <c r="Y1533" s="17">
        <v>44931</v>
      </c>
      <c r="Z1533" s="19" t="s">
        <v>772</v>
      </c>
      <c r="AA1533" s="210">
        <v>35746.6</v>
      </c>
      <c r="AB1533" s="9">
        <v>14</v>
      </c>
      <c r="AC1533" s="9">
        <v>0</v>
      </c>
      <c r="AD1533" s="17">
        <v>44608</v>
      </c>
      <c r="AE1533" s="56">
        <v>3000</v>
      </c>
      <c r="AF1533" s="56"/>
      <c r="AG1533" s="10" t="s">
        <v>134</v>
      </c>
      <c r="AH1533" s="64">
        <v>44608</v>
      </c>
      <c r="AI1533" s="64"/>
      <c r="AJ1533" s="64"/>
      <c r="AK1533" s="11" t="s">
        <v>399</v>
      </c>
      <c r="AL1533" s="11">
        <v>3000</v>
      </c>
      <c r="AN1533" s="11" t="s">
        <v>1969</v>
      </c>
      <c r="AW1533" s="42">
        <v>44608</v>
      </c>
      <c r="AX1533" s="36">
        <v>459</v>
      </c>
      <c r="AY1533" s="36"/>
      <c r="AZ1533" s="36"/>
      <c r="BA1533" s="93">
        <v>3000</v>
      </c>
      <c r="BD1533" s="9"/>
      <c r="CS1533" s="11">
        <f t="shared" ref="CS1533:CS1596" si="110">+AL1533+AT1533</f>
        <v>3000</v>
      </c>
      <c r="CT1533" s="22">
        <f t="shared" ref="CT1533:CT1596" si="111">+BA1533+BG1533+BM1533+BS1533+BY1533+CE1533+CK1533+CQ1533</f>
        <v>3000</v>
      </c>
      <c r="CU1533" s="22">
        <f t="shared" ref="CU1533:CU1596" si="112">+CS1533-CT1533</f>
        <v>0</v>
      </c>
      <c r="CV1533" s="26">
        <f t="shared" si="109"/>
        <v>0</v>
      </c>
    </row>
    <row r="1534" spans="1:103" x14ac:dyDescent="0.2">
      <c r="A1534" s="9" t="s">
        <v>398</v>
      </c>
      <c r="B1534" s="2">
        <v>7</v>
      </c>
      <c r="C1534" s="3" t="s">
        <v>95</v>
      </c>
      <c r="D1534" s="3" t="s">
        <v>96</v>
      </c>
      <c r="E1534" s="2"/>
      <c r="F1534" s="2"/>
      <c r="G1534" s="2" t="s">
        <v>66</v>
      </c>
      <c r="H1534" s="2">
        <v>1</v>
      </c>
      <c r="I1534" s="8">
        <v>125.84</v>
      </c>
      <c r="J1534" s="8">
        <v>41900</v>
      </c>
      <c r="K1534" s="3">
        <v>0</v>
      </c>
      <c r="L1534" s="3" t="s">
        <v>3</v>
      </c>
      <c r="M1534" s="9" t="s">
        <v>0</v>
      </c>
      <c r="N1534" s="9" t="s">
        <v>33</v>
      </c>
      <c r="O1534" s="9" t="s">
        <v>3515</v>
      </c>
      <c r="S1534" s="9" t="s">
        <v>158</v>
      </c>
      <c r="T1534" s="10" t="s">
        <v>66</v>
      </c>
      <c r="U1534" s="10">
        <v>1</v>
      </c>
      <c r="V1534" s="10">
        <v>125.84</v>
      </c>
      <c r="W1534" s="10" t="s">
        <v>710</v>
      </c>
      <c r="X1534" s="17">
        <v>44608</v>
      </c>
      <c r="Y1534" s="17">
        <v>44931</v>
      </c>
      <c r="Z1534" s="19" t="s">
        <v>772</v>
      </c>
      <c r="AA1534" s="210">
        <v>35746.6</v>
      </c>
      <c r="AB1534" s="9">
        <v>14</v>
      </c>
      <c r="AC1534" s="9">
        <v>0</v>
      </c>
      <c r="AD1534" s="17">
        <v>44609</v>
      </c>
      <c r="AE1534" s="56">
        <v>2000</v>
      </c>
      <c r="AF1534" s="56"/>
      <c r="AG1534" s="10" t="s">
        <v>134</v>
      </c>
      <c r="AH1534" s="64">
        <v>44609</v>
      </c>
      <c r="AI1534" s="64"/>
      <c r="AJ1534" s="64"/>
      <c r="AK1534" s="11" t="s">
        <v>400</v>
      </c>
      <c r="AL1534" s="11">
        <v>2000</v>
      </c>
      <c r="AN1534" s="11" t="s">
        <v>1970</v>
      </c>
      <c r="AW1534" s="42">
        <v>44609</v>
      </c>
      <c r="AX1534" s="36">
        <v>461</v>
      </c>
      <c r="AY1534" s="36"/>
      <c r="AZ1534" s="36"/>
      <c r="BA1534" s="93">
        <v>1800</v>
      </c>
      <c r="BC1534" s="42">
        <v>44609</v>
      </c>
      <c r="BD1534" s="36">
        <v>463</v>
      </c>
      <c r="BE1534" s="36"/>
      <c r="BF1534" s="36"/>
      <c r="BG1534" s="93">
        <v>200</v>
      </c>
      <c r="BH1534" s="93"/>
      <c r="CS1534" s="11">
        <f t="shared" si="110"/>
        <v>2000</v>
      </c>
      <c r="CT1534" s="22">
        <f t="shared" si="111"/>
        <v>2000</v>
      </c>
      <c r="CU1534" s="22">
        <f t="shared" si="112"/>
        <v>0</v>
      </c>
      <c r="CV1534" s="26">
        <f t="shared" si="109"/>
        <v>0</v>
      </c>
    </row>
    <row r="1535" spans="1:103" x14ac:dyDescent="0.2">
      <c r="A1535" s="9" t="s">
        <v>398</v>
      </c>
      <c r="B1535" s="2">
        <v>7</v>
      </c>
      <c r="C1535" s="3" t="s">
        <v>95</v>
      </c>
      <c r="D1535" s="3" t="s">
        <v>96</v>
      </c>
      <c r="E1535" s="2"/>
      <c r="F1535" s="2"/>
      <c r="G1535" s="2" t="s">
        <v>66</v>
      </c>
      <c r="H1535" s="2">
        <v>1</v>
      </c>
      <c r="I1535" s="8">
        <v>125.84</v>
      </c>
      <c r="J1535" s="8">
        <v>41900</v>
      </c>
      <c r="K1535" s="3">
        <v>0</v>
      </c>
      <c r="L1535" s="3" t="s">
        <v>3</v>
      </c>
      <c r="M1535" s="9" t="s">
        <v>0</v>
      </c>
      <c r="N1535" s="9" t="s">
        <v>33</v>
      </c>
      <c r="O1535" s="9" t="s">
        <v>3515</v>
      </c>
      <c r="S1535" s="9" t="s">
        <v>158</v>
      </c>
      <c r="T1535" s="10" t="s">
        <v>66</v>
      </c>
      <c r="U1535" s="10">
        <v>1</v>
      </c>
      <c r="V1535" s="10">
        <v>125.84</v>
      </c>
      <c r="W1535" s="10" t="s">
        <v>710</v>
      </c>
      <c r="X1535" s="17">
        <v>44608</v>
      </c>
      <c r="Y1535" s="17">
        <v>44931</v>
      </c>
      <c r="Z1535" s="19" t="s">
        <v>772</v>
      </c>
      <c r="AA1535" s="210">
        <v>35746.6</v>
      </c>
      <c r="AB1535" s="9">
        <v>14</v>
      </c>
      <c r="AC1535" s="9">
        <v>1</v>
      </c>
      <c r="AD1535" s="17">
        <v>44640</v>
      </c>
      <c r="AE1535" s="56">
        <v>2207.14</v>
      </c>
      <c r="AF1535" s="56"/>
      <c r="AG1535" s="10" t="s">
        <v>134</v>
      </c>
      <c r="AH1535" s="64">
        <v>44639</v>
      </c>
      <c r="AI1535" s="64"/>
      <c r="AJ1535" s="64"/>
      <c r="AK1535" s="22" t="s">
        <v>403</v>
      </c>
      <c r="AL1535" s="22">
        <v>2207.14</v>
      </c>
      <c r="AM1535" s="22"/>
      <c r="AN1535" s="22" t="s">
        <v>1972</v>
      </c>
      <c r="AO1535" s="22"/>
      <c r="AP1535" s="127"/>
      <c r="AQ1535" s="127"/>
      <c r="AR1535" s="127"/>
      <c r="AS1535" s="22"/>
      <c r="AT1535" s="22"/>
      <c r="AU1535" s="22"/>
      <c r="AV1535" s="22"/>
      <c r="AW1535" s="42">
        <v>44638</v>
      </c>
      <c r="AX1535" s="36">
        <v>537</v>
      </c>
      <c r="AY1535" s="36"/>
      <c r="AZ1535" s="36"/>
      <c r="BA1535" s="93">
        <v>2207.1</v>
      </c>
      <c r="BD1535" s="9"/>
      <c r="CS1535" s="11">
        <f t="shared" si="110"/>
        <v>2207.14</v>
      </c>
      <c r="CT1535" s="22">
        <f t="shared" si="111"/>
        <v>2207.1</v>
      </c>
      <c r="CU1535" s="22">
        <f t="shared" si="112"/>
        <v>3.999999999996362E-2</v>
      </c>
      <c r="CV1535" s="26">
        <f t="shared" si="109"/>
        <v>0</v>
      </c>
    </row>
    <row r="1536" spans="1:103" x14ac:dyDescent="0.2">
      <c r="A1536" s="9" t="s">
        <v>398</v>
      </c>
      <c r="B1536" s="2">
        <v>7</v>
      </c>
      <c r="C1536" s="3" t="s">
        <v>95</v>
      </c>
      <c r="D1536" s="3" t="s">
        <v>96</v>
      </c>
      <c r="E1536" s="2"/>
      <c r="F1536" s="2"/>
      <c r="G1536" s="2" t="s">
        <v>66</v>
      </c>
      <c r="H1536" s="2">
        <v>1</v>
      </c>
      <c r="I1536" s="8">
        <v>125.84</v>
      </c>
      <c r="J1536" s="8">
        <v>41900</v>
      </c>
      <c r="K1536" s="3">
        <v>0</v>
      </c>
      <c r="L1536" s="3" t="s">
        <v>3</v>
      </c>
      <c r="M1536" s="9" t="s">
        <v>0</v>
      </c>
      <c r="N1536" s="9" t="s">
        <v>33</v>
      </c>
      <c r="O1536" s="9" t="s">
        <v>3515</v>
      </c>
      <c r="S1536" s="9" t="s">
        <v>158</v>
      </c>
      <c r="T1536" s="10" t="s">
        <v>66</v>
      </c>
      <c r="U1536" s="10">
        <v>1</v>
      </c>
      <c r="V1536" s="10">
        <v>125.84</v>
      </c>
      <c r="W1536" s="10" t="s">
        <v>710</v>
      </c>
      <c r="X1536" s="17">
        <v>44608</v>
      </c>
      <c r="Y1536" s="17">
        <v>44931</v>
      </c>
      <c r="Z1536" s="19" t="s">
        <v>772</v>
      </c>
      <c r="AA1536" s="210">
        <v>35746.6</v>
      </c>
      <c r="AB1536" s="9">
        <v>14</v>
      </c>
      <c r="AC1536" s="9">
        <v>2</v>
      </c>
      <c r="AD1536" s="17">
        <v>44671</v>
      </c>
      <c r="AE1536" s="56">
        <v>2207.14</v>
      </c>
      <c r="AF1536" s="56"/>
      <c r="AG1536" s="10" t="s">
        <v>134</v>
      </c>
      <c r="AH1536" s="64">
        <v>44667</v>
      </c>
      <c r="AI1536" s="64"/>
      <c r="AJ1536" s="64"/>
      <c r="AK1536" s="22" t="s">
        <v>404</v>
      </c>
      <c r="AL1536" s="22">
        <v>2207.14</v>
      </c>
      <c r="AM1536" s="22"/>
      <c r="AN1536" s="22" t="s">
        <v>1973</v>
      </c>
      <c r="AO1536" s="22"/>
      <c r="AP1536" s="127"/>
      <c r="AQ1536" s="127"/>
      <c r="AR1536" s="127"/>
      <c r="AS1536" s="22"/>
      <c r="AT1536" s="22"/>
      <c r="AU1536" s="22"/>
      <c r="AW1536" s="42">
        <v>44663</v>
      </c>
      <c r="AX1536" s="36">
        <v>569</v>
      </c>
      <c r="AY1536" s="36"/>
      <c r="AZ1536" s="36"/>
      <c r="BA1536" s="93">
        <v>2564.1999999999998</v>
      </c>
      <c r="BB1536" s="22" t="s">
        <v>2009</v>
      </c>
      <c r="BD1536" s="9"/>
      <c r="CS1536" s="11">
        <f t="shared" si="110"/>
        <v>2207.14</v>
      </c>
      <c r="CT1536" s="22">
        <f t="shared" si="111"/>
        <v>2564.1999999999998</v>
      </c>
      <c r="CU1536" s="22">
        <f t="shared" si="112"/>
        <v>-357.05999999999995</v>
      </c>
      <c r="CV1536" s="26">
        <f t="shared" si="109"/>
        <v>0</v>
      </c>
      <c r="CW1536" s="9" t="s">
        <v>3504</v>
      </c>
      <c r="CY1536" s="9" t="s">
        <v>3493</v>
      </c>
    </row>
    <row r="1537" spans="1:103" x14ac:dyDescent="0.2">
      <c r="A1537" s="9" t="s">
        <v>398</v>
      </c>
      <c r="B1537" s="2">
        <v>7</v>
      </c>
      <c r="C1537" s="3" t="s">
        <v>95</v>
      </c>
      <c r="D1537" s="3" t="s">
        <v>96</v>
      </c>
      <c r="E1537" s="2"/>
      <c r="F1537" s="2"/>
      <c r="G1537" s="2" t="s">
        <v>66</v>
      </c>
      <c r="H1537" s="2">
        <v>1</v>
      </c>
      <c r="I1537" s="8">
        <v>125.84</v>
      </c>
      <c r="J1537" s="8">
        <v>41900</v>
      </c>
      <c r="K1537" s="3">
        <v>0</v>
      </c>
      <c r="L1537" s="3" t="s">
        <v>3</v>
      </c>
      <c r="M1537" s="9" t="s">
        <v>0</v>
      </c>
      <c r="N1537" s="9" t="s">
        <v>33</v>
      </c>
      <c r="O1537" s="9" t="s">
        <v>3515</v>
      </c>
      <c r="S1537" s="9" t="s">
        <v>158</v>
      </c>
      <c r="T1537" s="10" t="s">
        <v>66</v>
      </c>
      <c r="U1537" s="10">
        <v>1</v>
      </c>
      <c r="V1537" s="10">
        <v>125.84</v>
      </c>
      <c r="W1537" s="10" t="s">
        <v>710</v>
      </c>
      <c r="X1537" s="17">
        <v>44608</v>
      </c>
      <c r="Y1537" s="17">
        <v>44931</v>
      </c>
      <c r="Z1537" s="19" t="s">
        <v>772</v>
      </c>
      <c r="AA1537" s="210">
        <v>35746.6</v>
      </c>
      <c r="AB1537" s="9">
        <v>14</v>
      </c>
      <c r="AC1537" s="9">
        <v>3</v>
      </c>
      <c r="AD1537" s="17">
        <v>44701</v>
      </c>
      <c r="AE1537" s="56">
        <v>2207.14</v>
      </c>
      <c r="AF1537" s="56"/>
      <c r="AG1537" s="10" t="s">
        <v>134</v>
      </c>
      <c r="AH1537" s="64">
        <v>44700</v>
      </c>
      <c r="AI1537" s="64"/>
      <c r="AJ1537" s="64"/>
      <c r="AK1537" s="22" t="s">
        <v>405</v>
      </c>
      <c r="AL1537" s="22">
        <v>2207.14</v>
      </c>
      <c r="AM1537" s="22"/>
      <c r="AN1537" s="22" t="s">
        <v>1974</v>
      </c>
      <c r="AO1537" s="22"/>
      <c r="AP1537" s="127"/>
      <c r="AQ1537" s="127"/>
      <c r="AR1537" s="127"/>
      <c r="AS1537" s="22"/>
      <c r="AT1537" s="22"/>
      <c r="AU1537" s="22"/>
      <c r="AV1537" s="22"/>
      <c r="AW1537" s="87">
        <v>44700</v>
      </c>
      <c r="AX1537" s="88">
        <v>653</v>
      </c>
      <c r="AY1537" s="88"/>
      <c r="AZ1537" s="88"/>
      <c r="BA1537" s="89">
        <v>2207.1</v>
      </c>
      <c r="BB1537" s="11" t="s">
        <v>1348</v>
      </c>
      <c r="BD1537" s="9"/>
      <c r="CS1537" s="11">
        <f t="shared" si="110"/>
        <v>2207.14</v>
      </c>
      <c r="CT1537" s="22">
        <f t="shared" si="111"/>
        <v>2207.1</v>
      </c>
      <c r="CU1537" s="22">
        <f t="shared" si="112"/>
        <v>3.999999999996362E-2</v>
      </c>
      <c r="CV1537" s="26">
        <f t="shared" si="109"/>
        <v>0</v>
      </c>
    </row>
    <row r="1538" spans="1:103" x14ac:dyDescent="0.2">
      <c r="A1538" s="9" t="s">
        <v>398</v>
      </c>
      <c r="B1538" s="2">
        <v>7</v>
      </c>
      <c r="C1538" s="3" t="s">
        <v>95</v>
      </c>
      <c r="D1538" s="3" t="s">
        <v>96</v>
      </c>
      <c r="E1538" s="2"/>
      <c r="F1538" s="2"/>
      <c r="G1538" s="2" t="s">
        <v>66</v>
      </c>
      <c r="H1538" s="2">
        <v>1</v>
      </c>
      <c r="I1538" s="8">
        <v>125.84</v>
      </c>
      <c r="J1538" s="8">
        <v>41900</v>
      </c>
      <c r="K1538" s="3">
        <v>0</v>
      </c>
      <c r="L1538" s="3" t="s">
        <v>3</v>
      </c>
      <c r="M1538" s="9" t="s">
        <v>0</v>
      </c>
      <c r="N1538" s="9" t="s">
        <v>33</v>
      </c>
      <c r="O1538" s="9" t="s">
        <v>3515</v>
      </c>
      <c r="S1538" s="9" t="s">
        <v>158</v>
      </c>
      <c r="T1538" s="10" t="s">
        <v>66</v>
      </c>
      <c r="U1538" s="10">
        <v>1</v>
      </c>
      <c r="V1538" s="10">
        <v>125.84</v>
      </c>
      <c r="W1538" s="10" t="s">
        <v>710</v>
      </c>
      <c r="X1538" s="17">
        <v>44608</v>
      </c>
      <c r="Y1538" s="17">
        <v>44931</v>
      </c>
      <c r="Z1538" s="19" t="s">
        <v>772</v>
      </c>
      <c r="AA1538" s="210">
        <v>35746.6</v>
      </c>
      <c r="AB1538" s="9">
        <v>14</v>
      </c>
      <c r="AC1538" s="9">
        <v>4</v>
      </c>
      <c r="AD1538" s="17">
        <v>44732</v>
      </c>
      <c r="AE1538" s="56">
        <v>2207.14</v>
      </c>
      <c r="AF1538" s="56"/>
      <c r="AG1538" s="10" t="s">
        <v>134</v>
      </c>
      <c r="AH1538" s="64">
        <v>44733</v>
      </c>
      <c r="AI1538" s="64"/>
      <c r="AJ1538" s="64"/>
      <c r="AK1538" s="22" t="s">
        <v>406</v>
      </c>
      <c r="AL1538" s="22">
        <v>2207.14</v>
      </c>
      <c r="AM1538" s="22"/>
      <c r="AN1538" s="22" t="s">
        <v>1977</v>
      </c>
      <c r="AO1538" s="22"/>
      <c r="AP1538" s="127"/>
      <c r="AQ1538" s="127"/>
      <c r="AR1538" s="127"/>
      <c r="AS1538" s="22"/>
      <c r="AT1538" s="22"/>
      <c r="AU1538" s="22"/>
      <c r="AV1538" s="22"/>
      <c r="AW1538" s="87">
        <v>44732</v>
      </c>
      <c r="AX1538" s="88">
        <v>733</v>
      </c>
      <c r="AY1538" s="88"/>
      <c r="AZ1538" s="88"/>
      <c r="BA1538" s="89">
        <v>2207.1</v>
      </c>
      <c r="BB1538" s="11" t="s">
        <v>1348</v>
      </c>
      <c r="BD1538" s="9"/>
      <c r="CS1538" s="11">
        <f t="shared" si="110"/>
        <v>2207.14</v>
      </c>
      <c r="CT1538" s="22">
        <f t="shared" si="111"/>
        <v>2207.1</v>
      </c>
      <c r="CU1538" s="22">
        <f t="shared" si="112"/>
        <v>3.999999999996362E-2</v>
      </c>
      <c r="CV1538" s="26">
        <f t="shared" si="109"/>
        <v>0</v>
      </c>
    </row>
    <row r="1539" spans="1:103" x14ac:dyDescent="0.2">
      <c r="A1539" s="9" t="s">
        <v>398</v>
      </c>
      <c r="B1539" s="2">
        <v>7</v>
      </c>
      <c r="C1539" s="3" t="s">
        <v>95</v>
      </c>
      <c r="D1539" s="3" t="s">
        <v>96</v>
      </c>
      <c r="E1539" s="2"/>
      <c r="F1539" s="2"/>
      <c r="G1539" s="2" t="s">
        <v>66</v>
      </c>
      <c r="H1539" s="2">
        <v>1</v>
      </c>
      <c r="I1539" s="8">
        <v>125.84</v>
      </c>
      <c r="J1539" s="8">
        <v>41900</v>
      </c>
      <c r="K1539" s="3">
        <v>0</v>
      </c>
      <c r="L1539" s="3" t="s">
        <v>3</v>
      </c>
      <c r="M1539" s="9" t="s">
        <v>0</v>
      </c>
      <c r="N1539" s="9" t="s">
        <v>33</v>
      </c>
      <c r="O1539" s="9" t="s">
        <v>3515</v>
      </c>
      <c r="S1539" s="9" t="s">
        <v>158</v>
      </c>
      <c r="T1539" s="10" t="s">
        <v>66</v>
      </c>
      <c r="U1539" s="10">
        <v>1</v>
      </c>
      <c r="V1539" s="10">
        <v>125.84</v>
      </c>
      <c r="W1539" s="10" t="s">
        <v>710</v>
      </c>
      <c r="X1539" s="17">
        <v>44608</v>
      </c>
      <c r="Y1539" s="17">
        <v>44931</v>
      </c>
      <c r="Z1539" s="19" t="s">
        <v>772</v>
      </c>
      <c r="AA1539" s="210">
        <v>35746.6</v>
      </c>
      <c r="AB1539" s="9">
        <v>14</v>
      </c>
      <c r="AC1539" s="9">
        <v>5</v>
      </c>
      <c r="AD1539" s="17">
        <v>44762</v>
      </c>
      <c r="AE1539" s="56">
        <v>2207.14</v>
      </c>
      <c r="AF1539" s="56"/>
      <c r="AG1539" s="10" t="s">
        <v>134</v>
      </c>
      <c r="AH1539" s="64">
        <v>44764</v>
      </c>
      <c r="AI1539" s="64"/>
      <c r="AJ1539" s="64"/>
      <c r="AK1539" s="22" t="s">
        <v>408</v>
      </c>
      <c r="AL1539" s="22">
        <v>2207.14</v>
      </c>
      <c r="AM1539" s="22"/>
      <c r="AN1539" s="22" t="s">
        <v>1979</v>
      </c>
      <c r="AO1539" s="22"/>
      <c r="AP1539" s="127"/>
      <c r="AQ1539" s="127"/>
      <c r="AR1539" s="127"/>
      <c r="AS1539" s="22"/>
      <c r="AT1539" s="22"/>
      <c r="AU1539" s="22"/>
      <c r="AV1539" s="22"/>
      <c r="AW1539" s="87">
        <v>44762</v>
      </c>
      <c r="AX1539" s="88">
        <v>807</v>
      </c>
      <c r="AY1539" s="88"/>
      <c r="AZ1539" s="88"/>
      <c r="BA1539" s="89">
        <v>2207.1</v>
      </c>
      <c r="BB1539" s="11" t="s">
        <v>1348</v>
      </c>
      <c r="BD1539" s="9"/>
      <c r="CS1539" s="11">
        <f t="shared" si="110"/>
        <v>2207.14</v>
      </c>
      <c r="CT1539" s="22">
        <f t="shared" si="111"/>
        <v>2207.1</v>
      </c>
      <c r="CU1539" s="22">
        <f t="shared" si="112"/>
        <v>3.999999999996362E-2</v>
      </c>
      <c r="CV1539" s="26">
        <f t="shared" si="109"/>
        <v>0</v>
      </c>
    </row>
    <row r="1540" spans="1:103" x14ac:dyDescent="0.2">
      <c r="A1540" s="9" t="s">
        <v>398</v>
      </c>
      <c r="B1540" s="2">
        <v>7</v>
      </c>
      <c r="C1540" s="3" t="s">
        <v>95</v>
      </c>
      <c r="D1540" s="3" t="s">
        <v>96</v>
      </c>
      <c r="E1540" s="2"/>
      <c r="F1540" s="2"/>
      <c r="G1540" s="2" t="s">
        <v>66</v>
      </c>
      <c r="H1540" s="2">
        <v>1</v>
      </c>
      <c r="I1540" s="8">
        <v>125.84</v>
      </c>
      <c r="J1540" s="8">
        <v>41900</v>
      </c>
      <c r="K1540" s="3">
        <v>0</v>
      </c>
      <c r="L1540" s="3" t="s">
        <v>3</v>
      </c>
      <c r="M1540" s="9" t="s">
        <v>0</v>
      </c>
      <c r="N1540" s="9" t="s">
        <v>33</v>
      </c>
      <c r="O1540" s="9" t="s">
        <v>3515</v>
      </c>
      <c r="S1540" s="9" t="s">
        <v>158</v>
      </c>
      <c r="T1540" s="10" t="s">
        <v>66</v>
      </c>
      <c r="U1540" s="10">
        <v>1</v>
      </c>
      <c r="V1540" s="10">
        <v>125.84</v>
      </c>
      <c r="W1540" s="10" t="s">
        <v>710</v>
      </c>
      <c r="X1540" s="17">
        <v>44608</v>
      </c>
      <c r="Y1540" s="17">
        <v>44931</v>
      </c>
      <c r="Z1540" s="19" t="s">
        <v>772</v>
      </c>
      <c r="AA1540" s="210">
        <v>35746.6</v>
      </c>
      <c r="AB1540" s="9">
        <v>14</v>
      </c>
      <c r="AC1540" s="9">
        <v>6</v>
      </c>
      <c r="AD1540" s="17">
        <v>44793</v>
      </c>
      <c r="AE1540" s="56">
        <v>2207.14</v>
      </c>
      <c r="AF1540" s="56"/>
      <c r="AG1540" s="10" t="s">
        <v>134</v>
      </c>
      <c r="AH1540" s="64">
        <v>44792</v>
      </c>
      <c r="AI1540" s="64"/>
      <c r="AJ1540" s="64"/>
      <c r="AK1540" s="22" t="s">
        <v>409</v>
      </c>
      <c r="AL1540" s="22">
        <v>2207.14</v>
      </c>
      <c r="AM1540" s="22"/>
      <c r="AN1540" s="22" t="s">
        <v>1981</v>
      </c>
      <c r="AO1540" s="22"/>
      <c r="AP1540" s="127"/>
      <c r="AQ1540" s="127"/>
      <c r="AR1540" s="127"/>
      <c r="AS1540" s="22"/>
      <c r="AT1540" s="22"/>
      <c r="AU1540" s="22"/>
      <c r="AV1540" s="22"/>
      <c r="AW1540" s="42">
        <v>44792</v>
      </c>
      <c r="AX1540" s="36">
        <v>866</v>
      </c>
      <c r="AY1540" s="36"/>
      <c r="AZ1540" s="36"/>
      <c r="BA1540" s="40">
        <v>1000</v>
      </c>
      <c r="BB1540" s="40"/>
      <c r="BC1540" s="42">
        <v>44792</v>
      </c>
      <c r="BD1540" s="36">
        <v>868</v>
      </c>
      <c r="BE1540" s="36"/>
      <c r="BF1540" s="36"/>
      <c r="BG1540" s="36">
        <v>1000</v>
      </c>
      <c r="BH1540" s="36"/>
      <c r="BI1540" s="42">
        <v>44792</v>
      </c>
      <c r="BJ1540" s="36">
        <v>872</v>
      </c>
      <c r="BK1540" s="36"/>
      <c r="BL1540" s="36"/>
      <c r="BM1540" s="36">
        <v>207.1</v>
      </c>
      <c r="BN1540" s="36"/>
      <c r="CS1540" s="11">
        <f t="shared" si="110"/>
        <v>2207.14</v>
      </c>
      <c r="CT1540" s="22">
        <f t="shared" si="111"/>
        <v>2207.1</v>
      </c>
      <c r="CU1540" s="22">
        <f t="shared" si="112"/>
        <v>3.999999999996362E-2</v>
      </c>
      <c r="CV1540" s="26">
        <f t="shared" si="109"/>
        <v>0</v>
      </c>
    </row>
    <row r="1541" spans="1:103" x14ac:dyDescent="0.2">
      <c r="A1541" s="9" t="s">
        <v>398</v>
      </c>
      <c r="B1541" s="2">
        <v>7</v>
      </c>
      <c r="C1541" s="3" t="s">
        <v>95</v>
      </c>
      <c r="D1541" s="3" t="s">
        <v>96</v>
      </c>
      <c r="E1541" s="2"/>
      <c r="F1541" s="2"/>
      <c r="G1541" s="2" t="s">
        <v>66</v>
      </c>
      <c r="H1541" s="2">
        <v>1</v>
      </c>
      <c r="I1541" s="8">
        <v>125.84</v>
      </c>
      <c r="J1541" s="8">
        <v>41900</v>
      </c>
      <c r="K1541" s="3">
        <v>0</v>
      </c>
      <c r="L1541" s="3" t="s">
        <v>3</v>
      </c>
      <c r="M1541" s="9" t="s">
        <v>0</v>
      </c>
      <c r="N1541" s="9" t="s">
        <v>33</v>
      </c>
      <c r="O1541" s="9" t="s">
        <v>3515</v>
      </c>
      <c r="S1541" s="9" t="s">
        <v>158</v>
      </c>
      <c r="T1541" s="10" t="s">
        <v>66</v>
      </c>
      <c r="U1541" s="10">
        <v>1</v>
      </c>
      <c r="V1541" s="10">
        <v>125.84</v>
      </c>
      <c r="W1541" s="10" t="s">
        <v>710</v>
      </c>
      <c r="X1541" s="17">
        <v>44608</v>
      </c>
      <c r="Y1541" s="17">
        <v>44931</v>
      </c>
      <c r="Z1541" s="19" t="s">
        <v>772</v>
      </c>
      <c r="AA1541" s="210">
        <v>35746.6</v>
      </c>
      <c r="AB1541" s="9">
        <v>14</v>
      </c>
      <c r="AC1541" s="9">
        <v>7</v>
      </c>
      <c r="AD1541" s="17">
        <v>44824</v>
      </c>
      <c r="AE1541" s="56">
        <v>2207.14</v>
      </c>
      <c r="AF1541" s="56"/>
      <c r="AG1541" s="10" t="s">
        <v>134</v>
      </c>
      <c r="AH1541" s="17">
        <v>44802</v>
      </c>
      <c r="AI1541" s="17"/>
      <c r="AJ1541" s="17"/>
      <c r="AK1541" s="9" t="s">
        <v>410</v>
      </c>
      <c r="AL1541" s="9">
        <v>2207.14</v>
      </c>
      <c r="AM1541" s="9"/>
      <c r="AN1541" s="9" t="s">
        <v>1984</v>
      </c>
      <c r="AO1541" s="22"/>
      <c r="AP1541" s="127"/>
      <c r="AQ1541" s="127"/>
      <c r="AR1541" s="127"/>
      <c r="AS1541" s="22"/>
      <c r="AT1541" s="22"/>
      <c r="AU1541" s="22"/>
      <c r="AV1541" s="22"/>
      <c r="AW1541" s="42">
        <v>44801</v>
      </c>
      <c r="AX1541" s="36">
        <v>900</v>
      </c>
      <c r="AY1541" s="36"/>
      <c r="AZ1541" s="36"/>
      <c r="BA1541" s="36">
        <v>2207.1</v>
      </c>
      <c r="BD1541" s="9"/>
      <c r="CS1541" s="11">
        <f t="shared" si="110"/>
        <v>2207.14</v>
      </c>
      <c r="CT1541" s="22">
        <f t="shared" si="111"/>
        <v>2207.1</v>
      </c>
      <c r="CU1541" s="22">
        <f t="shared" si="112"/>
        <v>3.999999999996362E-2</v>
      </c>
      <c r="CV1541" s="26">
        <f t="shared" si="109"/>
        <v>0</v>
      </c>
    </row>
    <row r="1542" spans="1:103" x14ac:dyDescent="0.2">
      <c r="A1542" s="9" t="s">
        <v>398</v>
      </c>
      <c r="B1542" s="2">
        <v>7</v>
      </c>
      <c r="C1542" s="3" t="s">
        <v>95</v>
      </c>
      <c r="D1542" s="3" t="s">
        <v>96</v>
      </c>
      <c r="E1542" s="2"/>
      <c r="F1542" s="2"/>
      <c r="G1542" s="2" t="s">
        <v>66</v>
      </c>
      <c r="H1542" s="2">
        <v>1</v>
      </c>
      <c r="I1542" s="8">
        <v>125.84</v>
      </c>
      <c r="J1542" s="8">
        <v>41900</v>
      </c>
      <c r="K1542" s="3">
        <v>0</v>
      </c>
      <c r="L1542" s="3" t="s">
        <v>3</v>
      </c>
      <c r="M1542" s="9" t="s">
        <v>0</v>
      </c>
      <c r="N1542" s="9" t="s">
        <v>33</v>
      </c>
      <c r="O1542" s="9" t="s">
        <v>3515</v>
      </c>
      <c r="S1542" s="9" t="s">
        <v>158</v>
      </c>
      <c r="T1542" s="10" t="s">
        <v>66</v>
      </c>
      <c r="U1542" s="10">
        <v>1</v>
      </c>
      <c r="V1542" s="10">
        <v>125.84</v>
      </c>
      <c r="W1542" s="10" t="s">
        <v>710</v>
      </c>
      <c r="X1542" s="17">
        <v>44608</v>
      </c>
      <c r="Y1542" s="17">
        <v>44931</v>
      </c>
      <c r="Z1542" s="19" t="s">
        <v>772</v>
      </c>
      <c r="AA1542" s="210">
        <v>35746.6</v>
      </c>
      <c r="AB1542" s="9">
        <v>14</v>
      </c>
      <c r="AC1542" s="9">
        <v>8</v>
      </c>
      <c r="AD1542" s="17">
        <v>44854</v>
      </c>
      <c r="AE1542" s="56">
        <v>2207.14</v>
      </c>
      <c r="AF1542" s="56"/>
      <c r="AG1542" s="10" t="s">
        <v>134</v>
      </c>
      <c r="AH1542" s="64">
        <v>44855</v>
      </c>
      <c r="AI1542" s="64"/>
      <c r="AJ1542" s="64"/>
      <c r="AK1542" s="22" t="s">
        <v>411</v>
      </c>
      <c r="AL1542" s="22">
        <v>2207.06</v>
      </c>
      <c r="AM1542" s="22"/>
      <c r="AN1542" s="22" t="s">
        <v>1987</v>
      </c>
      <c r="AO1542" s="22"/>
      <c r="AP1542" s="127"/>
      <c r="AQ1542" s="127"/>
      <c r="AR1542" s="127"/>
      <c r="AS1542" s="22"/>
      <c r="AT1542" s="22"/>
      <c r="AU1542" s="22"/>
      <c r="AV1542" s="22"/>
      <c r="AW1542" s="42">
        <v>44854</v>
      </c>
      <c r="AX1542" s="36">
        <v>1031</v>
      </c>
      <c r="AY1542" s="36"/>
      <c r="AZ1542" s="36"/>
      <c r="BA1542" s="36">
        <v>2207.1</v>
      </c>
      <c r="BD1542" s="9"/>
      <c r="CS1542" s="11">
        <f t="shared" si="110"/>
        <v>2207.06</v>
      </c>
      <c r="CT1542" s="22">
        <f t="shared" si="111"/>
        <v>2207.1</v>
      </c>
      <c r="CU1542" s="22">
        <f t="shared" si="112"/>
        <v>-3.999999999996362E-2</v>
      </c>
      <c r="CV1542" s="26">
        <f t="shared" si="109"/>
        <v>7.999999999992724E-2</v>
      </c>
    </row>
    <row r="1543" spans="1:103" x14ac:dyDescent="0.2">
      <c r="A1543" s="9" t="s">
        <v>398</v>
      </c>
      <c r="B1543" s="2">
        <v>7</v>
      </c>
      <c r="C1543" s="3" t="s">
        <v>95</v>
      </c>
      <c r="D1543" s="3" t="s">
        <v>96</v>
      </c>
      <c r="E1543" s="2"/>
      <c r="F1543" s="2"/>
      <c r="G1543" s="2" t="s">
        <v>66</v>
      </c>
      <c r="H1543" s="2">
        <v>1</v>
      </c>
      <c r="I1543" s="8">
        <v>125.84</v>
      </c>
      <c r="J1543" s="8">
        <v>41900</v>
      </c>
      <c r="K1543" s="3">
        <v>0</v>
      </c>
      <c r="L1543" s="3" t="s">
        <v>3</v>
      </c>
      <c r="M1543" s="9" t="s">
        <v>0</v>
      </c>
      <c r="N1543" s="9" t="s">
        <v>33</v>
      </c>
      <c r="O1543" s="9" t="s">
        <v>3515</v>
      </c>
      <c r="S1543" s="9" t="s">
        <v>158</v>
      </c>
      <c r="T1543" s="10" t="s">
        <v>66</v>
      </c>
      <c r="U1543" s="10">
        <v>1</v>
      </c>
      <c r="V1543" s="10">
        <v>125.84</v>
      </c>
      <c r="W1543" s="10" t="s">
        <v>710</v>
      </c>
      <c r="X1543" s="17">
        <v>44608</v>
      </c>
      <c r="Y1543" s="17">
        <v>44931</v>
      </c>
      <c r="Z1543" s="19" t="s">
        <v>772</v>
      </c>
      <c r="AA1543" s="210">
        <v>35746.6</v>
      </c>
      <c r="AB1543" s="9">
        <v>14</v>
      </c>
      <c r="AC1543" s="9">
        <v>9</v>
      </c>
      <c r="AD1543" s="17">
        <v>44915</v>
      </c>
      <c r="AE1543" s="56">
        <v>2207.14</v>
      </c>
      <c r="AF1543" s="56"/>
      <c r="AG1543" s="10" t="s">
        <v>134</v>
      </c>
      <c r="AH1543" s="64">
        <v>44922</v>
      </c>
      <c r="AI1543" s="64"/>
      <c r="AJ1543" s="64"/>
      <c r="AK1543" s="22" t="s">
        <v>412</v>
      </c>
      <c r="AL1543" s="22">
        <v>2160.81</v>
      </c>
      <c r="AM1543" s="22"/>
      <c r="AN1543" s="22" t="s">
        <v>1988</v>
      </c>
      <c r="AO1543" s="22"/>
      <c r="AP1543" s="127"/>
      <c r="AQ1543" s="127"/>
      <c r="AR1543" s="127"/>
      <c r="AS1543" s="22"/>
      <c r="AT1543" s="22"/>
      <c r="AU1543" s="22"/>
      <c r="AV1543" s="22"/>
      <c r="AW1543" s="87">
        <v>44921</v>
      </c>
      <c r="AX1543" s="88">
        <v>1113</v>
      </c>
      <c r="AY1543" s="88"/>
      <c r="AZ1543" s="88"/>
      <c r="BA1543" s="89">
        <v>2160.81</v>
      </c>
      <c r="BB1543" s="11" t="s">
        <v>1348</v>
      </c>
      <c r="BD1543" s="9"/>
      <c r="CS1543" s="11">
        <f t="shared" si="110"/>
        <v>2160.81</v>
      </c>
      <c r="CT1543" s="22">
        <f t="shared" si="111"/>
        <v>2160.81</v>
      </c>
      <c r="CU1543" s="22">
        <f t="shared" si="112"/>
        <v>0</v>
      </c>
      <c r="CV1543" s="26">
        <f t="shared" si="109"/>
        <v>46.329999999999927</v>
      </c>
      <c r="CX1543" s="9" t="s">
        <v>3505</v>
      </c>
    </row>
    <row r="1544" spans="1:103" x14ac:dyDescent="0.2">
      <c r="A1544" s="9" t="s">
        <v>398</v>
      </c>
      <c r="B1544" s="2">
        <v>7</v>
      </c>
      <c r="C1544" s="3" t="s">
        <v>95</v>
      </c>
      <c r="D1544" s="3" t="s">
        <v>96</v>
      </c>
      <c r="E1544" s="2"/>
      <c r="F1544" s="2"/>
      <c r="G1544" s="2" t="s">
        <v>66</v>
      </c>
      <c r="H1544" s="2">
        <v>1</v>
      </c>
      <c r="I1544" s="8">
        <v>125.84</v>
      </c>
      <c r="J1544" s="8">
        <v>41900</v>
      </c>
      <c r="K1544" s="3">
        <v>0</v>
      </c>
      <c r="L1544" s="3" t="s">
        <v>3</v>
      </c>
      <c r="M1544" s="9" t="s">
        <v>0</v>
      </c>
      <c r="N1544" s="9" t="s">
        <v>33</v>
      </c>
      <c r="O1544" s="9" t="s">
        <v>3515</v>
      </c>
      <c r="S1544" s="9" t="s">
        <v>158</v>
      </c>
      <c r="T1544" s="10" t="s">
        <v>66</v>
      </c>
      <c r="U1544" s="10">
        <v>1</v>
      </c>
      <c r="V1544" s="10">
        <v>125.84</v>
      </c>
      <c r="W1544" s="10" t="s">
        <v>710</v>
      </c>
      <c r="X1544" s="17">
        <v>44608</v>
      </c>
      <c r="Y1544" s="17">
        <v>44931</v>
      </c>
      <c r="Z1544" s="19" t="s">
        <v>772</v>
      </c>
      <c r="AA1544" s="210">
        <v>35746.6</v>
      </c>
      <c r="AB1544" s="9">
        <v>14</v>
      </c>
      <c r="AC1544" s="9">
        <v>10</v>
      </c>
      <c r="AD1544" s="17">
        <v>44946</v>
      </c>
      <c r="AE1544" s="56">
        <v>2207.14</v>
      </c>
      <c r="AF1544" s="56"/>
      <c r="AG1544" s="10" t="s">
        <v>134</v>
      </c>
      <c r="AH1544" s="64">
        <v>44949</v>
      </c>
      <c r="AI1544" s="64"/>
      <c r="AJ1544" s="64"/>
      <c r="AK1544" s="22" t="s">
        <v>1998</v>
      </c>
      <c r="AL1544" s="22">
        <v>2185.73</v>
      </c>
      <c r="AM1544" s="22"/>
      <c r="AN1544" s="22" t="s">
        <v>1993</v>
      </c>
      <c r="AO1544" s="22"/>
      <c r="AP1544" s="127"/>
      <c r="AQ1544" s="127"/>
      <c r="AR1544" s="127"/>
      <c r="AS1544" s="22"/>
      <c r="AT1544" s="22"/>
      <c r="AU1544" s="22"/>
      <c r="AV1544" s="104"/>
      <c r="AW1544" s="42">
        <v>44949</v>
      </c>
      <c r="AX1544" s="36">
        <v>1167</v>
      </c>
      <c r="AY1544" s="36"/>
      <c r="AZ1544" s="36"/>
      <c r="BA1544" s="93">
        <v>2542.87</v>
      </c>
      <c r="BD1544" s="9"/>
      <c r="CS1544" s="11">
        <f t="shared" si="110"/>
        <v>2185.73</v>
      </c>
      <c r="CT1544" s="22">
        <f t="shared" si="111"/>
        <v>2542.87</v>
      </c>
      <c r="CU1544" s="22">
        <f t="shared" si="112"/>
        <v>-357.13999999999987</v>
      </c>
      <c r="CV1544" s="26">
        <f t="shared" si="109"/>
        <v>21.409999999999854</v>
      </c>
      <c r="CW1544" s="9" t="s">
        <v>3504</v>
      </c>
      <c r="CX1544" s="9" t="s">
        <v>3505</v>
      </c>
      <c r="CY1544" s="9" t="s">
        <v>3493</v>
      </c>
    </row>
    <row r="1545" spans="1:103" x14ac:dyDescent="0.2">
      <c r="A1545" s="9" t="s">
        <v>398</v>
      </c>
      <c r="B1545" s="2">
        <v>7</v>
      </c>
      <c r="C1545" s="3" t="s">
        <v>95</v>
      </c>
      <c r="D1545" s="3" t="s">
        <v>96</v>
      </c>
      <c r="E1545" s="2"/>
      <c r="F1545" s="2"/>
      <c r="G1545" s="2" t="s">
        <v>66</v>
      </c>
      <c r="H1545" s="2">
        <v>1</v>
      </c>
      <c r="I1545" s="8">
        <v>125.84</v>
      </c>
      <c r="J1545" s="8">
        <v>41900</v>
      </c>
      <c r="K1545" s="3">
        <v>0</v>
      </c>
      <c r="L1545" s="3" t="s">
        <v>3</v>
      </c>
      <c r="M1545" s="9" t="s">
        <v>0</v>
      </c>
      <c r="N1545" s="9" t="s">
        <v>33</v>
      </c>
      <c r="O1545" s="9" t="s">
        <v>3515</v>
      </c>
      <c r="S1545" s="9" t="s">
        <v>158</v>
      </c>
      <c r="T1545" s="10" t="s">
        <v>66</v>
      </c>
      <c r="U1545" s="10">
        <v>1</v>
      </c>
      <c r="V1545" s="10">
        <v>125.84</v>
      </c>
      <c r="W1545" s="10" t="s">
        <v>710</v>
      </c>
      <c r="X1545" s="17">
        <v>44608</v>
      </c>
      <c r="Y1545" s="17">
        <v>44931</v>
      </c>
      <c r="Z1545" s="19" t="s">
        <v>772</v>
      </c>
      <c r="AA1545" s="210">
        <v>35746.6</v>
      </c>
      <c r="AB1545" s="9">
        <v>14</v>
      </c>
      <c r="AC1545" s="9">
        <v>11</v>
      </c>
      <c r="AD1545" s="17">
        <v>44977</v>
      </c>
      <c r="AE1545" s="56">
        <v>2207.14</v>
      </c>
      <c r="AF1545" s="56"/>
      <c r="AG1545" s="10" t="s">
        <v>134</v>
      </c>
      <c r="AH1545" s="64">
        <v>44979</v>
      </c>
      <c r="AI1545" s="64"/>
      <c r="AJ1545" s="64"/>
      <c r="AK1545" s="22" t="s">
        <v>413</v>
      </c>
      <c r="AL1545" s="22">
        <v>2185.73</v>
      </c>
      <c r="AM1545" s="22"/>
      <c r="AN1545" s="22" t="s">
        <v>2003</v>
      </c>
      <c r="AO1545" s="22"/>
      <c r="AP1545" s="127"/>
      <c r="AQ1545" s="127"/>
      <c r="AR1545" s="127"/>
      <c r="AS1545" s="22"/>
      <c r="AT1545" s="22"/>
      <c r="AU1545" s="22"/>
      <c r="AV1545" s="22"/>
      <c r="AW1545" s="42">
        <v>44978</v>
      </c>
      <c r="AX1545" s="36">
        <v>1239</v>
      </c>
      <c r="AY1545" s="36"/>
      <c r="AZ1545" s="36"/>
      <c r="BA1545" s="40">
        <v>2185.73</v>
      </c>
      <c r="BD1545" s="9"/>
      <c r="CS1545" s="11">
        <f t="shared" si="110"/>
        <v>2185.73</v>
      </c>
      <c r="CT1545" s="22">
        <f t="shared" si="111"/>
        <v>2185.73</v>
      </c>
      <c r="CU1545" s="22">
        <f t="shared" si="112"/>
        <v>0</v>
      </c>
      <c r="CV1545" s="26">
        <f t="shared" si="109"/>
        <v>21.409999999999854</v>
      </c>
      <c r="CX1545" s="9" t="s">
        <v>3505</v>
      </c>
    </row>
    <row r="1546" spans="1:103" x14ac:dyDescent="0.2">
      <c r="A1546" s="9" t="s">
        <v>398</v>
      </c>
      <c r="B1546" s="2">
        <v>7</v>
      </c>
      <c r="C1546" s="3" t="s">
        <v>95</v>
      </c>
      <c r="D1546" s="3" t="s">
        <v>96</v>
      </c>
      <c r="E1546" s="2"/>
      <c r="F1546" s="2"/>
      <c r="G1546" s="2" t="s">
        <v>66</v>
      </c>
      <c r="H1546" s="2">
        <v>1</v>
      </c>
      <c r="I1546" s="8">
        <v>125.84</v>
      </c>
      <c r="J1546" s="8">
        <v>41900</v>
      </c>
      <c r="K1546" s="3">
        <v>0</v>
      </c>
      <c r="L1546" s="3" t="s">
        <v>3</v>
      </c>
      <c r="M1546" s="9" t="s">
        <v>0</v>
      </c>
      <c r="N1546" s="9" t="s">
        <v>33</v>
      </c>
      <c r="O1546" s="9" t="s">
        <v>3515</v>
      </c>
      <c r="S1546" s="9" t="s">
        <v>158</v>
      </c>
      <c r="T1546" s="10" t="s">
        <v>66</v>
      </c>
      <c r="U1546" s="10">
        <v>1</v>
      </c>
      <c r="V1546" s="10">
        <v>125.84</v>
      </c>
      <c r="W1546" s="10" t="s">
        <v>710</v>
      </c>
      <c r="X1546" s="17">
        <v>44608</v>
      </c>
      <c r="Y1546" s="17">
        <v>44931</v>
      </c>
      <c r="Z1546" s="19" t="s">
        <v>772</v>
      </c>
      <c r="AA1546" s="210">
        <v>35746.6</v>
      </c>
      <c r="AB1546" s="9">
        <v>14</v>
      </c>
      <c r="AC1546" s="9">
        <v>12</v>
      </c>
      <c r="AD1546" s="17">
        <v>45005</v>
      </c>
      <c r="AE1546" s="56">
        <v>2207.14</v>
      </c>
      <c r="AF1546" s="56"/>
      <c r="AG1546" s="10" t="s">
        <v>134</v>
      </c>
      <c r="AH1546" s="64">
        <v>44993</v>
      </c>
      <c r="AI1546" s="64"/>
      <c r="AJ1546" s="64"/>
      <c r="AK1546" s="22" t="s">
        <v>2000</v>
      </c>
      <c r="AL1546" s="22">
        <v>2185.73</v>
      </c>
      <c r="AM1546" s="22"/>
      <c r="AN1546" s="22" t="s">
        <v>1995</v>
      </c>
      <c r="AO1546" s="22"/>
      <c r="AP1546" s="127"/>
      <c r="AQ1546" s="127"/>
      <c r="AR1546" s="127"/>
      <c r="AS1546" s="22"/>
      <c r="AT1546" s="22"/>
      <c r="AU1546" s="22"/>
      <c r="AV1546" s="22"/>
      <c r="AW1546" s="42">
        <v>44987</v>
      </c>
      <c r="AX1546" s="36">
        <v>1275</v>
      </c>
      <c r="AY1546" s="36">
        <v>1275</v>
      </c>
      <c r="AZ1546" s="36"/>
      <c r="BA1546" s="40">
        <v>2185.73</v>
      </c>
      <c r="BD1546" s="9"/>
      <c r="CS1546" s="11">
        <f t="shared" si="110"/>
        <v>2185.73</v>
      </c>
      <c r="CT1546" s="22">
        <f t="shared" si="111"/>
        <v>2185.73</v>
      </c>
      <c r="CU1546" s="22">
        <f t="shared" si="112"/>
        <v>0</v>
      </c>
      <c r="CV1546" s="26">
        <f t="shared" si="109"/>
        <v>21.409999999999854</v>
      </c>
      <c r="CX1546" s="9" t="s">
        <v>3505</v>
      </c>
    </row>
    <row r="1547" spans="1:103" x14ac:dyDescent="0.2">
      <c r="A1547" s="9" t="s">
        <v>398</v>
      </c>
      <c r="B1547" s="2">
        <v>7</v>
      </c>
      <c r="C1547" s="3" t="s">
        <v>95</v>
      </c>
      <c r="D1547" s="3" t="s">
        <v>96</v>
      </c>
      <c r="E1547" s="2"/>
      <c r="F1547" s="2"/>
      <c r="G1547" s="2" t="s">
        <v>66</v>
      </c>
      <c r="H1547" s="2">
        <v>1</v>
      </c>
      <c r="I1547" s="8">
        <v>125.84</v>
      </c>
      <c r="J1547" s="8">
        <v>41900</v>
      </c>
      <c r="K1547" s="3">
        <v>0</v>
      </c>
      <c r="L1547" s="3" t="s">
        <v>3</v>
      </c>
      <c r="M1547" s="9" t="s">
        <v>0</v>
      </c>
      <c r="N1547" s="9" t="s">
        <v>33</v>
      </c>
      <c r="O1547" s="9" t="s">
        <v>3515</v>
      </c>
      <c r="S1547" s="9" t="s">
        <v>158</v>
      </c>
      <c r="T1547" s="10" t="s">
        <v>66</v>
      </c>
      <c r="U1547" s="10">
        <v>1</v>
      </c>
      <c r="V1547" s="10">
        <v>125.84</v>
      </c>
      <c r="W1547" s="10" t="s">
        <v>710</v>
      </c>
      <c r="X1547" s="17">
        <v>44608</v>
      </c>
      <c r="Y1547" s="17">
        <v>44931</v>
      </c>
      <c r="Z1547" s="19" t="s">
        <v>772</v>
      </c>
      <c r="AA1547" s="210">
        <v>35746.6</v>
      </c>
      <c r="AB1547" s="9">
        <v>14</v>
      </c>
      <c r="AC1547" s="9">
        <v>13</v>
      </c>
      <c r="AD1547" s="17">
        <v>45036</v>
      </c>
      <c r="AE1547" s="56">
        <v>2207.14</v>
      </c>
      <c r="AF1547" s="56"/>
      <c r="AG1547" s="10" t="s">
        <v>134</v>
      </c>
      <c r="AH1547" s="64">
        <v>45049</v>
      </c>
      <c r="AI1547" s="64"/>
      <c r="AJ1547" s="64"/>
      <c r="AK1547" s="22" t="s">
        <v>414</v>
      </c>
      <c r="AL1547" s="22">
        <v>2185.73</v>
      </c>
      <c r="AM1547" s="22"/>
      <c r="AN1547" s="22" t="s">
        <v>2006</v>
      </c>
      <c r="AO1547" s="22"/>
      <c r="AP1547" s="127"/>
      <c r="AQ1547" s="127"/>
      <c r="AR1547" s="127"/>
      <c r="AS1547" s="22"/>
      <c r="AT1547" s="22"/>
      <c r="AU1547" s="22"/>
      <c r="AV1547" s="22"/>
      <c r="AW1547" s="42">
        <v>45041</v>
      </c>
      <c r="AX1547" s="36">
        <v>1440</v>
      </c>
      <c r="AY1547" s="36"/>
      <c r="AZ1547" s="36"/>
      <c r="BA1547" s="40">
        <v>1480</v>
      </c>
      <c r="BC1547" s="42">
        <v>45048</v>
      </c>
      <c r="BD1547" s="36">
        <v>1458</v>
      </c>
      <c r="BE1547" s="36"/>
      <c r="BF1547" s="36"/>
      <c r="BG1547" s="154">
        <f>+AL1547-BA1547</f>
        <v>705.73</v>
      </c>
      <c r="BH1547" s="154"/>
      <c r="CS1547" s="11">
        <f t="shared" si="110"/>
        <v>2185.73</v>
      </c>
      <c r="CT1547" s="22">
        <f t="shared" si="111"/>
        <v>2185.73</v>
      </c>
      <c r="CU1547" s="22">
        <f t="shared" si="112"/>
        <v>0</v>
      </c>
      <c r="CV1547" s="26">
        <f t="shared" si="109"/>
        <v>21.409999999999854</v>
      </c>
      <c r="CX1547" s="9" t="s">
        <v>3505</v>
      </c>
    </row>
    <row r="1548" spans="1:103" x14ac:dyDescent="0.2">
      <c r="A1548" s="9" t="s">
        <v>398</v>
      </c>
      <c r="B1548" s="2">
        <v>7</v>
      </c>
      <c r="C1548" s="3" t="s">
        <v>95</v>
      </c>
      <c r="D1548" s="3" t="s">
        <v>96</v>
      </c>
      <c r="E1548" s="2"/>
      <c r="F1548" s="2"/>
      <c r="G1548" s="2" t="s">
        <v>66</v>
      </c>
      <c r="H1548" s="2">
        <v>1</v>
      </c>
      <c r="I1548" s="8">
        <v>125.84</v>
      </c>
      <c r="J1548" s="8">
        <v>41900</v>
      </c>
      <c r="K1548" s="3">
        <v>0</v>
      </c>
      <c r="L1548" s="3" t="s">
        <v>3</v>
      </c>
      <c r="M1548" s="9" t="s">
        <v>0</v>
      </c>
      <c r="N1548" s="9" t="s">
        <v>33</v>
      </c>
      <c r="O1548" s="9" t="s">
        <v>3515</v>
      </c>
      <c r="S1548" s="9" t="s">
        <v>158</v>
      </c>
      <c r="T1548" s="10" t="s">
        <v>66</v>
      </c>
      <c r="U1548" s="10">
        <v>1</v>
      </c>
      <c r="V1548" s="10">
        <v>125.84</v>
      </c>
      <c r="W1548" s="10" t="s">
        <v>710</v>
      </c>
      <c r="X1548" s="17">
        <v>44608</v>
      </c>
      <c r="Y1548" s="17">
        <v>44931</v>
      </c>
      <c r="Z1548" s="19" t="s">
        <v>772</v>
      </c>
      <c r="AA1548" s="210">
        <v>35746.6</v>
      </c>
      <c r="AB1548" s="9">
        <v>14</v>
      </c>
      <c r="AC1548" s="9">
        <v>14</v>
      </c>
      <c r="AD1548" s="17">
        <v>45066</v>
      </c>
      <c r="AE1548" s="56">
        <v>2207.14</v>
      </c>
      <c r="AF1548" s="56"/>
      <c r="AG1548" s="10" t="s">
        <v>134</v>
      </c>
      <c r="AH1548" s="64">
        <v>45070</v>
      </c>
      <c r="AI1548" s="64"/>
      <c r="AJ1548" s="64"/>
      <c r="AK1548" s="22" t="s">
        <v>415</v>
      </c>
      <c r="AL1548" s="22">
        <v>2185.73</v>
      </c>
      <c r="AM1548" s="22"/>
      <c r="AN1548" s="22" t="s">
        <v>2007</v>
      </c>
      <c r="AO1548" s="9"/>
      <c r="AP1548" s="127"/>
      <c r="AQ1548" s="127"/>
      <c r="AR1548" s="127"/>
      <c r="AS1548" s="22"/>
      <c r="AT1548" s="22"/>
      <c r="AU1548" s="22"/>
      <c r="AV1548" s="22"/>
      <c r="AW1548" s="42">
        <v>45068</v>
      </c>
      <c r="AX1548" s="36">
        <v>1526</v>
      </c>
      <c r="AY1548" s="36"/>
      <c r="AZ1548" s="36"/>
      <c r="BA1548" s="40">
        <v>2185.73</v>
      </c>
      <c r="BB1548" s="9"/>
      <c r="BD1548" s="9"/>
      <c r="CS1548" s="11">
        <f t="shared" si="110"/>
        <v>2185.73</v>
      </c>
      <c r="CT1548" s="22">
        <f t="shared" si="111"/>
        <v>2185.73</v>
      </c>
      <c r="CU1548" s="22">
        <f t="shared" si="112"/>
        <v>0</v>
      </c>
      <c r="CV1548" s="26">
        <f t="shared" si="109"/>
        <v>21.409999999999854</v>
      </c>
      <c r="CX1548" s="9" t="s">
        <v>3505</v>
      </c>
    </row>
    <row r="1549" spans="1:103" x14ac:dyDescent="0.2">
      <c r="A1549" s="9" t="s">
        <v>398</v>
      </c>
      <c r="B1549" s="2">
        <v>7</v>
      </c>
      <c r="C1549" s="3" t="s">
        <v>95</v>
      </c>
      <c r="D1549" s="3" t="s">
        <v>96</v>
      </c>
      <c r="E1549" s="2"/>
      <c r="F1549" s="2"/>
      <c r="G1549" s="2" t="s">
        <v>66</v>
      </c>
      <c r="H1549" s="2">
        <v>1</v>
      </c>
      <c r="I1549" s="8">
        <v>125.84</v>
      </c>
      <c r="J1549" s="8">
        <v>41900</v>
      </c>
      <c r="K1549" s="3">
        <v>0</v>
      </c>
      <c r="L1549" s="3" t="s">
        <v>3</v>
      </c>
      <c r="M1549" s="9" t="s">
        <v>0</v>
      </c>
      <c r="N1549" s="9" t="s">
        <v>33</v>
      </c>
      <c r="O1549" s="9" t="s">
        <v>3515</v>
      </c>
      <c r="S1549" s="9" t="s">
        <v>401</v>
      </c>
      <c r="V1549" s="10">
        <v>12.5</v>
      </c>
      <c r="W1549" s="10" t="s">
        <v>710</v>
      </c>
      <c r="X1549" s="17">
        <v>44608</v>
      </c>
      <c r="Y1549" s="17">
        <v>44921</v>
      </c>
      <c r="Z1549" s="19" t="s">
        <v>772</v>
      </c>
      <c r="AA1549" s="210">
        <v>6000</v>
      </c>
      <c r="AB1549" s="9">
        <v>15</v>
      </c>
      <c r="AC1549" s="9">
        <v>1</v>
      </c>
      <c r="AD1549" s="17">
        <v>44609</v>
      </c>
      <c r="AE1549" s="56">
        <v>1000</v>
      </c>
      <c r="AF1549" s="56"/>
      <c r="AG1549" s="10" t="s">
        <v>134</v>
      </c>
      <c r="AH1549" s="127">
        <v>44609</v>
      </c>
      <c r="AI1549" s="127"/>
      <c r="AJ1549" s="127"/>
      <c r="AK1549" s="22" t="s">
        <v>402</v>
      </c>
      <c r="AL1549" s="22">
        <v>1000</v>
      </c>
      <c r="AM1549" s="22"/>
      <c r="AN1549" s="22" t="s">
        <v>1971</v>
      </c>
      <c r="AO1549" s="9"/>
      <c r="AP1549" s="127"/>
      <c r="AQ1549" s="127"/>
      <c r="AR1549" s="127"/>
      <c r="AS1549" s="22"/>
      <c r="AT1549" s="22"/>
      <c r="AU1549" s="22"/>
      <c r="AV1549" s="22"/>
      <c r="AW1549" s="42">
        <v>44609</v>
      </c>
      <c r="AX1549" s="36">
        <v>463</v>
      </c>
      <c r="AY1549" s="36"/>
      <c r="AZ1549" s="36"/>
      <c r="BA1549" s="93">
        <v>1000</v>
      </c>
      <c r="BD1549" s="9"/>
      <c r="CS1549" s="11">
        <f t="shared" si="110"/>
        <v>1000</v>
      </c>
      <c r="CT1549" s="22">
        <f t="shared" si="111"/>
        <v>1000</v>
      </c>
      <c r="CU1549" s="22">
        <f t="shared" si="112"/>
        <v>0</v>
      </c>
      <c r="CV1549" s="26">
        <f t="shared" si="109"/>
        <v>0</v>
      </c>
    </row>
    <row r="1550" spans="1:103" x14ac:dyDescent="0.2">
      <c r="A1550" s="9" t="s">
        <v>398</v>
      </c>
      <c r="B1550" s="2">
        <v>7</v>
      </c>
      <c r="C1550" s="3" t="s">
        <v>95</v>
      </c>
      <c r="D1550" s="3" t="s">
        <v>96</v>
      </c>
      <c r="E1550" s="2"/>
      <c r="F1550" s="2"/>
      <c r="G1550" s="2" t="s">
        <v>66</v>
      </c>
      <c r="H1550" s="2">
        <v>1</v>
      </c>
      <c r="I1550" s="8">
        <v>125.84</v>
      </c>
      <c r="J1550" s="8">
        <v>41900</v>
      </c>
      <c r="K1550" s="3">
        <v>0</v>
      </c>
      <c r="L1550" s="3" t="s">
        <v>3</v>
      </c>
      <c r="M1550" s="9" t="s">
        <v>0</v>
      </c>
      <c r="N1550" s="9" t="s">
        <v>33</v>
      </c>
      <c r="O1550" s="9" t="s">
        <v>3515</v>
      </c>
      <c r="S1550" s="9" t="s">
        <v>401</v>
      </c>
      <c r="V1550" s="10">
        <v>12.5</v>
      </c>
      <c r="W1550" s="10" t="s">
        <v>710</v>
      </c>
      <c r="X1550" s="17">
        <v>44608</v>
      </c>
      <c r="Y1550" s="17">
        <v>44921</v>
      </c>
      <c r="Z1550" s="19" t="s">
        <v>772</v>
      </c>
      <c r="AA1550" s="210">
        <v>6000</v>
      </c>
      <c r="AB1550" s="9">
        <v>15</v>
      </c>
      <c r="AC1550" s="9">
        <v>2</v>
      </c>
      <c r="AD1550" s="17">
        <v>44640</v>
      </c>
      <c r="AE1550" s="56">
        <v>357.14</v>
      </c>
      <c r="AF1550" s="56"/>
      <c r="AG1550" s="10" t="s">
        <v>134</v>
      </c>
      <c r="AH1550" s="127">
        <v>44711</v>
      </c>
      <c r="AI1550" s="127"/>
      <c r="AJ1550" s="127"/>
      <c r="AK1550" s="22" t="s">
        <v>1990</v>
      </c>
      <c r="AL1550" s="22">
        <v>357.14</v>
      </c>
      <c r="AM1550" s="22"/>
      <c r="AN1550" s="22" t="s">
        <v>1975</v>
      </c>
      <c r="AO1550" s="9"/>
      <c r="AP1550" s="127"/>
      <c r="AQ1550" s="127"/>
      <c r="AR1550" s="127"/>
      <c r="AS1550" s="22"/>
      <c r="AT1550" s="22"/>
      <c r="AU1550" s="22"/>
      <c r="AV1550" s="22" t="s">
        <v>2009</v>
      </c>
      <c r="AW1550" s="87">
        <v>44638</v>
      </c>
      <c r="AX1550" s="88">
        <v>537</v>
      </c>
      <c r="AY1550" s="88"/>
      <c r="AZ1550" s="88"/>
      <c r="BA1550" s="89">
        <v>357.1</v>
      </c>
      <c r="BB1550" s="11" t="s">
        <v>1348</v>
      </c>
      <c r="BD1550" s="9"/>
      <c r="CS1550" s="11">
        <f t="shared" si="110"/>
        <v>357.14</v>
      </c>
      <c r="CT1550" s="22">
        <f t="shared" si="111"/>
        <v>357.1</v>
      </c>
      <c r="CU1550" s="22">
        <f t="shared" si="112"/>
        <v>3.999999999996362E-2</v>
      </c>
      <c r="CV1550" s="26">
        <f t="shared" si="109"/>
        <v>0</v>
      </c>
    </row>
    <row r="1551" spans="1:103" x14ac:dyDescent="0.2">
      <c r="A1551" s="9" t="s">
        <v>398</v>
      </c>
      <c r="B1551" s="2">
        <v>7</v>
      </c>
      <c r="C1551" s="3" t="s">
        <v>95</v>
      </c>
      <c r="D1551" s="3" t="s">
        <v>96</v>
      </c>
      <c r="E1551" s="2"/>
      <c r="F1551" s="2"/>
      <c r="G1551" s="2" t="s">
        <v>66</v>
      </c>
      <c r="H1551" s="2">
        <v>1</v>
      </c>
      <c r="I1551" s="8">
        <v>125.84</v>
      </c>
      <c r="J1551" s="8">
        <v>41900</v>
      </c>
      <c r="K1551" s="3">
        <v>0</v>
      </c>
      <c r="L1551" s="3" t="s">
        <v>3</v>
      </c>
      <c r="M1551" s="9" t="s">
        <v>0</v>
      </c>
      <c r="N1551" s="75">
        <v>41763200</v>
      </c>
      <c r="O1551" s="9" t="s">
        <v>3515</v>
      </c>
      <c r="S1551" s="9" t="s">
        <v>401</v>
      </c>
      <c r="V1551" s="10">
        <v>12.5</v>
      </c>
      <c r="W1551" s="10" t="s">
        <v>710</v>
      </c>
      <c r="X1551" s="17">
        <v>44608</v>
      </c>
      <c r="Y1551" s="17">
        <v>44921</v>
      </c>
      <c r="Z1551" s="19" t="s">
        <v>772</v>
      </c>
      <c r="AA1551" s="210">
        <v>6000</v>
      </c>
      <c r="AB1551" s="9">
        <v>15</v>
      </c>
      <c r="AC1551" s="9">
        <v>3</v>
      </c>
      <c r="AD1551" s="17">
        <v>44671</v>
      </c>
      <c r="AE1551" s="56">
        <v>357.14</v>
      </c>
      <c r="AF1551" s="56"/>
      <c r="AG1551" s="10" t="s">
        <v>134</v>
      </c>
      <c r="AH1551" s="127">
        <v>44733</v>
      </c>
      <c r="AI1551" s="127"/>
      <c r="AJ1551" s="127"/>
      <c r="AK1551" s="22" t="s">
        <v>418</v>
      </c>
      <c r="AL1551" s="22">
        <v>357.14</v>
      </c>
      <c r="AM1551" s="22"/>
      <c r="AN1551" s="22" t="s">
        <v>1976</v>
      </c>
      <c r="AO1551" s="9"/>
      <c r="AP1551" s="127"/>
      <c r="AQ1551" s="127"/>
      <c r="AR1551" s="127"/>
      <c r="AS1551" s="22"/>
      <c r="AT1551" s="22"/>
      <c r="AU1551" s="22"/>
      <c r="AV1551" s="22"/>
      <c r="AW1551" s="87">
        <v>44700</v>
      </c>
      <c r="AX1551" s="88">
        <v>653</v>
      </c>
      <c r="AY1551" s="88"/>
      <c r="AZ1551" s="88"/>
      <c r="BA1551" s="89">
        <v>357.1</v>
      </c>
      <c r="BB1551" s="11" t="s">
        <v>1348</v>
      </c>
      <c r="BD1551" s="9"/>
      <c r="CS1551" s="11">
        <f t="shared" si="110"/>
        <v>357.14</v>
      </c>
      <c r="CT1551" s="22">
        <f t="shared" si="111"/>
        <v>357.1</v>
      </c>
      <c r="CU1551" s="22">
        <f t="shared" si="112"/>
        <v>3.999999999996362E-2</v>
      </c>
      <c r="CV1551" s="26">
        <f t="shared" si="109"/>
        <v>0</v>
      </c>
    </row>
    <row r="1552" spans="1:103" x14ac:dyDescent="0.2">
      <c r="A1552" s="9" t="s">
        <v>398</v>
      </c>
      <c r="B1552" s="2">
        <v>7</v>
      </c>
      <c r="C1552" s="3" t="s">
        <v>95</v>
      </c>
      <c r="D1552" s="3" t="s">
        <v>96</v>
      </c>
      <c r="E1552" s="2"/>
      <c r="F1552" s="2"/>
      <c r="G1552" s="2" t="s">
        <v>66</v>
      </c>
      <c r="H1552" s="2">
        <v>1</v>
      </c>
      <c r="I1552" s="8">
        <v>125.84</v>
      </c>
      <c r="J1552" s="8">
        <v>41900</v>
      </c>
      <c r="K1552" s="3">
        <v>0</v>
      </c>
      <c r="L1552" s="3" t="s">
        <v>3</v>
      </c>
      <c r="M1552" s="9" t="s">
        <v>0</v>
      </c>
      <c r="N1552" s="9" t="s">
        <v>33</v>
      </c>
      <c r="O1552" s="9" t="s">
        <v>3515</v>
      </c>
      <c r="S1552" s="9" t="s">
        <v>401</v>
      </c>
      <c r="V1552" s="10">
        <v>12.5</v>
      </c>
      <c r="W1552" s="10" t="s">
        <v>710</v>
      </c>
      <c r="X1552" s="17">
        <v>44608</v>
      </c>
      <c r="Y1552" s="17">
        <v>44921</v>
      </c>
      <c r="Z1552" s="19" t="s">
        <v>772</v>
      </c>
      <c r="AA1552" s="210">
        <v>6000</v>
      </c>
      <c r="AB1552" s="9">
        <v>15</v>
      </c>
      <c r="AC1552" s="9">
        <v>4</v>
      </c>
      <c r="AD1552" s="17">
        <v>44701</v>
      </c>
      <c r="AE1552" s="56">
        <v>357.14</v>
      </c>
      <c r="AF1552" s="56"/>
      <c r="AG1552" s="10" t="s">
        <v>134</v>
      </c>
      <c r="AH1552" s="127">
        <v>44733</v>
      </c>
      <c r="AI1552" s="127"/>
      <c r="AJ1552" s="127"/>
      <c r="AK1552" s="22" t="s">
        <v>407</v>
      </c>
      <c r="AL1552" s="22">
        <v>357.06</v>
      </c>
      <c r="AM1552" s="22"/>
      <c r="AN1552" s="22" t="s">
        <v>1978</v>
      </c>
      <c r="AO1552" s="9"/>
      <c r="AP1552" s="127"/>
      <c r="AQ1552" s="127"/>
      <c r="AR1552" s="127"/>
      <c r="AS1552" s="22"/>
      <c r="AT1552" s="22"/>
      <c r="AU1552" s="22"/>
      <c r="AV1552" s="22"/>
      <c r="AW1552" s="87">
        <v>44732</v>
      </c>
      <c r="AX1552" s="88">
        <v>733</v>
      </c>
      <c r="AY1552" s="88"/>
      <c r="AZ1552" s="88"/>
      <c r="BA1552" s="89">
        <v>357.1</v>
      </c>
      <c r="BB1552" s="11" t="s">
        <v>1348</v>
      </c>
      <c r="BD1552" s="9"/>
      <c r="CS1552" s="11">
        <f t="shared" si="110"/>
        <v>357.06</v>
      </c>
      <c r="CT1552" s="22">
        <f t="shared" si="111"/>
        <v>357.1</v>
      </c>
      <c r="CU1552" s="22">
        <f t="shared" si="112"/>
        <v>-4.0000000000020464E-2</v>
      </c>
      <c r="CV1552" s="26">
        <f t="shared" si="109"/>
        <v>7.9999999999984084E-2</v>
      </c>
    </row>
    <row r="1553" spans="1:103" x14ac:dyDescent="0.2">
      <c r="A1553" s="9" t="s">
        <v>398</v>
      </c>
      <c r="B1553" s="2">
        <v>7</v>
      </c>
      <c r="C1553" s="3" t="s">
        <v>95</v>
      </c>
      <c r="D1553" s="3" t="s">
        <v>96</v>
      </c>
      <c r="E1553" s="2"/>
      <c r="F1553" s="2"/>
      <c r="G1553" s="2" t="s">
        <v>66</v>
      </c>
      <c r="H1553" s="2">
        <v>1</v>
      </c>
      <c r="I1553" s="8">
        <v>125.84</v>
      </c>
      <c r="J1553" s="8">
        <v>41900</v>
      </c>
      <c r="K1553" s="3">
        <v>0</v>
      </c>
      <c r="L1553" s="3" t="s">
        <v>3</v>
      </c>
      <c r="M1553" s="9" t="s">
        <v>0</v>
      </c>
      <c r="N1553" s="9" t="s">
        <v>33</v>
      </c>
      <c r="O1553" s="9" t="s">
        <v>3515</v>
      </c>
      <c r="S1553" s="9" t="s">
        <v>401</v>
      </c>
      <c r="V1553" s="10">
        <v>12.5</v>
      </c>
      <c r="W1553" s="10" t="s">
        <v>710</v>
      </c>
      <c r="X1553" s="17">
        <v>44608</v>
      </c>
      <c r="Y1553" s="17">
        <v>44921</v>
      </c>
      <c r="Z1553" s="19" t="s">
        <v>772</v>
      </c>
      <c r="AA1553" s="210">
        <v>6000</v>
      </c>
      <c r="AB1553" s="9">
        <v>15</v>
      </c>
      <c r="AC1553" s="9">
        <v>5</v>
      </c>
      <c r="AD1553" s="17">
        <v>44732</v>
      </c>
      <c r="AE1553" s="56">
        <v>357.14</v>
      </c>
      <c r="AF1553" s="56"/>
      <c r="AG1553" s="10" t="s">
        <v>134</v>
      </c>
      <c r="AH1553" s="127">
        <v>44764</v>
      </c>
      <c r="AI1553" s="127"/>
      <c r="AJ1553" s="127"/>
      <c r="AK1553" s="22" t="s">
        <v>419</v>
      </c>
      <c r="AL1553" s="22">
        <v>357.06</v>
      </c>
      <c r="AM1553" s="22"/>
      <c r="AN1553" s="22" t="s">
        <v>1980</v>
      </c>
      <c r="AO1553" s="9"/>
      <c r="AP1553" s="127"/>
      <c r="AQ1553" s="127"/>
      <c r="AR1553" s="127"/>
      <c r="AS1553" s="22"/>
      <c r="AT1553" s="22"/>
      <c r="AU1553" s="22"/>
      <c r="AV1553" s="22"/>
      <c r="AW1553" s="87">
        <v>44762</v>
      </c>
      <c r="AX1553" s="88">
        <v>807</v>
      </c>
      <c r="AY1553" s="88"/>
      <c r="AZ1553" s="88"/>
      <c r="BA1553" s="89">
        <v>357.1</v>
      </c>
      <c r="BB1553" s="11" t="s">
        <v>1348</v>
      </c>
      <c r="BD1553" s="9"/>
      <c r="CS1553" s="11">
        <f t="shared" si="110"/>
        <v>357.06</v>
      </c>
      <c r="CT1553" s="22">
        <f t="shared" si="111"/>
        <v>357.1</v>
      </c>
      <c r="CU1553" s="22">
        <f t="shared" si="112"/>
        <v>-4.0000000000020464E-2</v>
      </c>
      <c r="CV1553" s="26">
        <f t="shared" si="109"/>
        <v>7.9999999999984084E-2</v>
      </c>
    </row>
    <row r="1554" spans="1:103" x14ac:dyDescent="0.2">
      <c r="A1554" s="9" t="s">
        <v>398</v>
      </c>
      <c r="B1554" s="2">
        <v>7</v>
      </c>
      <c r="C1554" s="3" t="s">
        <v>95</v>
      </c>
      <c r="D1554" s="3" t="s">
        <v>96</v>
      </c>
      <c r="E1554" s="2"/>
      <c r="F1554" s="2"/>
      <c r="G1554" s="2" t="s">
        <v>66</v>
      </c>
      <c r="H1554" s="2">
        <v>1</v>
      </c>
      <c r="I1554" s="8">
        <v>125.84</v>
      </c>
      <c r="J1554" s="8">
        <v>41900</v>
      </c>
      <c r="K1554" s="3">
        <v>0</v>
      </c>
      <c r="L1554" s="3" t="s">
        <v>3</v>
      </c>
      <c r="M1554" s="9" t="s">
        <v>0</v>
      </c>
      <c r="N1554" s="9" t="s">
        <v>33</v>
      </c>
      <c r="O1554" s="9" t="s">
        <v>3515</v>
      </c>
      <c r="S1554" s="9" t="s">
        <v>401</v>
      </c>
      <c r="V1554" s="10">
        <v>12.5</v>
      </c>
      <c r="W1554" s="10" t="s">
        <v>710</v>
      </c>
      <c r="X1554" s="17">
        <v>44608</v>
      </c>
      <c r="Y1554" s="17">
        <v>44921</v>
      </c>
      <c r="Z1554" s="19" t="s">
        <v>772</v>
      </c>
      <c r="AA1554" s="210">
        <v>6000</v>
      </c>
      <c r="AB1554" s="9">
        <v>15</v>
      </c>
      <c r="AC1554" s="9">
        <v>6</v>
      </c>
      <c r="AD1554" s="17">
        <v>44762</v>
      </c>
      <c r="AE1554" s="56">
        <v>357.14</v>
      </c>
      <c r="AF1554" s="56"/>
      <c r="AG1554" s="10" t="s">
        <v>134</v>
      </c>
      <c r="AH1554" s="127">
        <v>44793</v>
      </c>
      <c r="AI1554" s="127"/>
      <c r="AJ1554" s="127"/>
      <c r="AK1554" s="22" t="s">
        <v>420</v>
      </c>
      <c r="AL1554" s="22">
        <v>357.14</v>
      </c>
      <c r="AM1554" s="22"/>
      <c r="AN1554" s="22" t="s">
        <v>1982</v>
      </c>
      <c r="AO1554" s="9"/>
      <c r="AP1554" s="127"/>
      <c r="AQ1554" s="127"/>
      <c r="AR1554" s="127"/>
      <c r="AS1554" s="22"/>
      <c r="AT1554" s="22"/>
      <c r="AU1554" s="22"/>
      <c r="AV1554" s="22"/>
      <c r="AW1554" s="42">
        <v>44792</v>
      </c>
      <c r="AX1554" s="36">
        <v>872</v>
      </c>
      <c r="AY1554" s="36"/>
      <c r="AZ1554" s="36"/>
      <c r="BA1554" s="36">
        <v>357.1</v>
      </c>
      <c r="BD1554" s="9"/>
      <c r="CS1554" s="11">
        <f t="shared" si="110"/>
        <v>357.14</v>
      </c>
      <c r="CT1554" s="22">
        <f t="shared" si="111"/>
        <v>357.1</v>
      </c>
      <c r="CU1554" s="22">
        <f t="shared" si="112"/>
        <v>3.999999999996362E-2</v>
      </c>
      <c r="CV1554" s="26">
        <f t="shared" si="109"/>
        <v>0</v>
      </c>
    </row>
    <row r="1555" spans="1:103" x14ac:dyDescent="0.2">
      <c r="A1555" s="9" t="s">
        <v>398</v>
      </c>
      <c r="B1555" s="2">
        <v>7</v>
      </c>
      <c r="C1555" s="3" t="s">
        <v>95</v>
      </c>
      <c r="D1555" s="3" t="s">
        <v>96</v>
      </c>
      <c r="E1555" s="2"/>
      <c r="F1555" s="2"/>
      <c r="G1555" s="2" t="s">
        <v>66</v>
      </c>
      <c r="H1555" s="2">
        <v>1</v>
      </c>
      <c r="I1555" s="8">
        <v>125.84</v>
      </c>
      <c r="J1555" s="8">
        <v>41900</v>
      </c>
      <c r="K1555" s="3">
        <v>0</v>
      </c>
      <c r="L1555" s="3" t="s">
        <v>3</v>
      </c>
      <c r="M1555" s="9" t="s">
        <v>0</v>
      </c>
      <c r="N1555" s="9" t="s">
        <v>33</v>
      </c>
      <c r="O1555" s="9" t="s">
        <v>3515</v>
      </c>
      <c r="S1555" s="9" t="s">
        <v>401</v>
      </c>
      <c r="V1555" s="10">
        <v>12.5</v>
      </c>
      <c r="W1555" s="10" t="s">
        <v>710</v>
      </c>
      <c r="X1555" s="17">
        <v>44608</v>
      </c>
      <c r="Y1555" s="17">
        <v>44921</v>
      </c>
      <c r="Z1555" s="19" t="s">
        <v>772</v>
      </c>
      <c r="AA1555" s="210">
        <v>6000</v>
      </c>
      <c r="AB1555" s="9">
        <v>15</v>
      </c>
      <c r="AC1555" s="9">
        <v>7</v>
      </c>
      <c r="AD1555" s="17">
        <v>44793</v>
      </c>
      <c r="AE1555" s="56">
        <v>357.14</v>
      </c>
      <c r="AF1555" s="56"/>
      <c r="AG1555" s="10" t="s">
        <v>134</v>
      </c>
      <c r="AH1555" s="127">
        <v>44802</v>
      </c>
      <c r="AI1555" s="127"/>
      <c r="AJ1555" s="127"/>
      <c r="AK1555" s="22" t="s">
        <v>1991</v>
      </c>
      <c r="AL1555" s="22">
        <v>357.14</v>
      </c>
      <c r="AM1555" s="22"/>
      <c r="AN1555" s="22" t="s">
        <v>1983</v>
      </c>
      <c r="AO1555" s="9"/>
      <c r="AW1555" s="42">
        <v>44801</v>
      </c>
      <c r="AX1555" s="36">
        <v>900</v>
      </c>
      <c r="AY1555" s="36"/>
      <c r="AZ1555" s="36"/>
      <c r="BA1555" s="40">
        <v>357.1</v>
      </c>
      <c r="BD1555" s="9"/>
      <c r="CS1555" s="11">
        <f t="shared" si="110"/>
        <v>357.14</v>
      </c>
      <c r="CT1555" s="22">
        <f t="shared" si="111"/>
        <v>357.1</v>
      </c>
      <c r="CU1555" s="22">
        <f t="shared" si="112"/>
        <v>3.999999999996362E-2</v>
      </c>
      <c r="CV1555" s="26">
        <f t="shared" si="109"/>
        <v>0</v>
      </c>
    </row>
    <row r="1556" spans="1:103" x14ac:dyDescent="0.2">
      <c r="A1556" s="9" t="s">
        <v>398</v>
      </c>
      <c r="B1556" s="2">
        <v>7</v>
      </c>
      <c r="C1556" s="3" t="s">
        <v>95</v>
      </c>
      <c r="D1556" s="3" t="s">
        <v>96</v>
      </c>
      <c r="E1556" s="2"/>
      <c r="F1556" s="2"/>
      <c r="G1556" s="2" t="s">
        <v>66</v>
      </c>
      <c r="H1556" s="2">
        <v>1</v>
      </c>
      <c r="I1556" s="8">
        <v>125.84</v>
      </c>
      <c r="J1556" s="8">
        <v>41900</v>
      </c>
      <c r="K1556" s="3">
        <v>0</v>
      </c>
      <c r="L1556" s="3" t="s">
        <v>3</v>
      </c>
      <c r="M1556" s="9" t="s">
        <v>0</v>
      </c>
      <c r="N1556" s="9" t="s">
        <v>33</v>
      </c>
      <c r="O1556" s="9" t="s">
        <v>3515</v>
      </c>
      <c r="S1556" s="9" t="s">
        <v>401</v>
      </c>
      <c r="V1556" s="10">
        <v>12.5</v>
      </c>
      <c r="W1556" s="10" t="s">
        <v>710</v>
      </c>
      <c r="X1556" s="17">
        <v>44608</v>
      </c>
      <c r="Y1556" s="17">
        <v>44921</v>
      </c>
      <c r="Z1556" s="19" t="s">
        <v>772</v>
      </c>
      <c r="AA1556" s="210">
        <v>6000</v>
      </c>
      <c r="AB1556" s="9">
        <v>15</v>
      </c>
      <c r="AC1556" s="9">
        <v>8</v>
      </c>
      <c r="AD1556" s="17">
        <v>44824</v>
      </c>
      <c r="AE1556" s="56">
        <v>357.14</v>
      </c>
      <c r="AF1556" s="56"/>
      <c r="AG1556" s="10" t="s">
        <v>134</v>
      </c>
      <c r="AH1556" s="127">
        <v>44846</v>
      </c>
      <c r="AI1556" s="127"/>
      <c r="AJ1556" s="127"/>
      <c r="AK1556" s="22" t="s">
        <v>417</v>
      </c>
      <c r="AL1556" s="22">
        <v>357.14</v>
      </c>
      <c r="AM1556" s="22"/>
      <c r="AN1556" s="22" t="s">
        <v>1985</v>
      </c>
      <c r="AO1556" s="9"/>
      <c r="AW1556" s="17"/>
      <c r="BD1556" s="9"/>
      <c r="CS1556" s="11">
        <f t="shared" si="110"/>
        <v>357.14</v>
      </c>
      <c r="CT1556" s="22">
        <f t="shared" si="111"/>
        <v>0</v>
      </c>
      <c r="CU1556" s="22">
        <f t="shared" si="112"/>
        <v>357.14</v>
      </c>
      <c r="CV1556" s="26">
        <f t="shared" si="109"/>
        <v>0</v>
      </c>
      <c r="CW1556" s="9" t="s">
        <v>3504</v>
      </c>
      <c r="CY1556" s="9" t="s">
        <v>3493</v>
      </c>
    </row>
    <row r="1557" spans="1:103" x14ac:dyDescent="0.2">
      <c r="A1557" s="9" t="s">
        <v>398</v>
      </c>
      <c r="B1557" s="2">
        <v>7</v>
      </c>
      <c r="C1557" s="3" t="s">
        <v>95</v>
      </c>
      <c r="D1557" s="3" t="s">
        <v>96</v>
      </c>
      <c r="E1557" s="2"/>
      <c r="F1557" s="2"/>
      <c r="G1557" s="2" t="s">
        <v>66</v>
      </c>
      <c r="H1557" s="2">
        <v>1</v>
      </c>
      <c r="I1557" s="8">
        <v>125.84</v>
      </c>
      <c r="J1557" s="8">
        <v>41900</v>
      </c>
      <c r="K1557" s="3">
        <v>0</v>
      </c>
      <c r="L1557" s="3" t="s">
        <v>3</v>
      </c>
      <c r="M1557" s="9" t="s">
        <v>0</v>
      </c>
      <c r="N1557" s="9" t="s">
        <v>33</v>
      </c>
      <c r="O1557" s="9" t="s">
        <v>3515</v>
      </c>
      <c r="S1557" s="9" t="s">
        <v>401</v>
      </c>
      <c r="V1557" s="10">
        <v>12.5</v>
      </c>
      <c r="W1557" s="10" t="s">
        <v>710</v>
      </c>
      <c r="X1557" s="17">
        <v>44608</v>
      </c>
      <c r="Y1557" s="17">
        <v>44921</v>
      </c>
      <c r="Z1557" s="19" t="s">
        <v>772</v>
      </c>
      <c r="AA1557" s="210">
        <v>6000</v>
      </c>
      <c r="AB1557" s="9">
        <v>15</v>
      </c>
      <c r="AC1557" s="9">
        <v>9</v>
      </c>
      <c r="AD1557" s="17">
        <v>44854</v>
      </c>
      <c r="AE1557" s="56">
        <v>357.14</v>
      </c>
      <c r="AF1557" s="56"/>
      <c r="AG1557" s="10" t="s">
        <v>134</v>
      </c>
      <c r="AH1557" s="127">
        <v>44855</v>
      </c>
      <c r="AI1557" s="127"/>
      <c r="AJ1557" s="127"/>
      <c r="AK1557" s="22" t="s">
        <v>1992</v>
      </c>
      <c r="AL1557" s="22">
        <v>357.14</v>
      </c>
      <c r="AM1557" s="22"/>
      <c r="AN1557" s="22" t="s">
        <v>1986</v>
      </c>
      <c r="AO1557" s="9"/>
      <c r="AW1557" s="42">
        <v>44854</v>
      </c>
      <c r="AX1557" s="36">
        <v>1031</v>
      </c>
      <c r="AY1557" s="36"/>
      <c r="AZ1557" s="36"/>
      <c r="BA1557" s="40">
        <v>357.1</v>
      </c>
      <c r="BD1557" s="9"/>
      <c r="CS1557" s="11">
        <f t="shared" si="110"/>
        <v>357.14</v>
      </c>
      <c r="CT1557" s="22">
        <f t="shared" si="111"/>
        <v>357.1</v>
      </c>
      <c r="CU1557" s="22">
        <f t="shared" si="112"/>
        <v>3.999999999996362E-2</v>
      </c>
      <c r="CV1557" s="26">
        <f t="shared" si="109"/>
        <v>0</v>
      </c>
    </row>
    <row r="1558" spans="1:103" x14ac:dyDescent="0.2">
      <c r="A1558" s="9" t="s">
        <v>398</v>
      </c>
      <c r="B1558" s="2">
        <v>7</v>
      </c>
      <c r="C1558" s="3" t="s">
        <v>95</v>
      </c>
      <c r="D1558" s="3" t="s">
        <v>96</v>
      </c>
      <c r="E1558" s="2"/>
      <c r="F1558" s="2"/>
      <c r="G1558" s="2" t="s">
        <v>66</v>
      </c>
      <c r="H1558" s="2">
        <v>1</v>
      </c>
      <c r="I1558" s="8">
        <v>125.84</v>
      </c>
      <c r="J1558" s="8">
        <v>41900</v>
      </c>
      <c r="K1558" s="3">
        <v>0</v>
      </c>
      <c r="L1558" s="3" t="s">
        <v>3</v>
      </c>
      <c r="M1558" s="9" t="s">
        <v>0</v>
      </c>
      <c r="N1558" s="9" t="s">
        <v>33</v>
      </c>
      <c r="O1558" s="9" t="s">
        <v>3515</v>
      </c>
      <c r="S1558" s="9" t="s">
        <v>401</v>
      </c>
      <c r="V1558" s="10">
        <v>12.5</v>
      </c>
      <c r="W1558" s="10" t="s">
        <v>710</v>
      </c>
      <c r="X1558" s="17">
        <v>44608</v>
      </c>
      <c r="Y1558" s="17">
        <v>44921</v>
      </c>
      <c r="Z1558" s="19" t="s">
        <v>772</v>
      </c>
      <c r="AA1558" s="210">
        <v>6000</v>
      </c>
      <c r="AB1558" s="9">
        <v>15</v>
      </c>
      <c r="AC1558" s="9">
        <v>10</v>
      </c>
      <c r="AD1558" s="17">
        <v>44885</v>
      </c>
      <c r="AE1558" s="56">
        <v>357.14</v>
      </c>
      <c r="AF1558" s="56"/>
      <c r="AG1558" s="10" t="s">
        <v>134</v>
      </c>
      <c r="AH1558" s="127">
        <v>44922</v>
      </c>
      <c r="AI1558" s="127"/>
      <c r="AJ1558" s="127"/>
      <c r="AK1558" s="22" t="s">
        <v>421</v>
      </c>
      <c r="AL1558" s="22">
        <v>357.14</v>
      </c>
      <c r="AM1558" s="22"/>
      <c r="AN1558" s="22" t="s">
        <v>1989</v>
      </c>
      <c r="AO1558" s="9"/>
      <c r="AW1558" s="87">
        <v>44921</v>
      </c>
      <c r="AX1558" s="88">
        <v>1113</v>
      </c>
      <c r="AY1558" s="88"/>
      <c r="AZ1558" s="88"/>
      <c r="BA1558" s="89">
        <v>357.14</v>
      </c>
      <c r="BB1558" s="11" t="s">
        <v>1348</v>
      </c>
      <c r="BD1558" s="9"/>
      <c r="CS1558" s="11">
        <f t="shared" si="110"/>
        <v>357.14</v>
      </c>
      <c r="CT1558" s="22">
        <f t="shared" si="111"/>
        <v>357.14</v>
      </c>
      <c r="CU1558" s="22">
        <f t="shared" si="112"/>
        <v>0</v>
      </c>
      <c r="CV1558" s="26">
        <f t="shared" si="109"/>
        <v>0</v>
      </c>
    </row>
    <row r="1559" spans="1:103" x14ac:dyDescent="0.2">
      <c r="A1559" s="9" t="s">
        <v>398</v>
      </c>
      <c r="B1559" s="2">
        <v>7</v>
      </c>
      <c r="C1559" s="3" t="s">
        <v>95</v>
      </c>
      <c r="D1559" s="3" t="s">
        <v>96</v>
      </c>
      <c r="E1559" s="2"/>
      <c r="F1559" s="2"/>
      <c r="G1559" s="2" t="s">
        <v>66</v>
      </c>
      <c r="H1559" s="2">
        <v>1</v>
      </c>
      <c r="I1559" s="8">
        <v>125.84</v>
      </c>
      <c r="J1559" s="8">
        <v>41900</v>
      </c>
      <c r="K1559" s="3">
        <v>0</v>
      </c>
      <c r="L1559" s="3" t="s">
        <v>3</v>
      </c>
      <c r="M1559" s="9" t="s">
        <v>0</v>
      </c>
      <c r="N1559" s="9" t="s">
        <v>33</v>
      </c>
      <c r="O1559" s="9" t="s">
        <v>3515</v>
      </c>
      <c r="S1559" s="9" t="s">
        <v>401</v>
      </c>
      <c r="V1559" s="10">
        <v>12.5</v>
      </c>
      <c r="W1559" s="10" t="s">
        <v>710</v>
      </c>
      <c r="X1559" s="17">
        <v>44608</v>
      </c>
      <c r="Y1559" s="17">
        <v>44921</v>
      </c>
      <c r="Z1559" s="19" t="s">
        <v>772</v>
      </c>
      <c r="AA1559" s="210">
        <v>6000</v>
      </c>
      <c r="AB1559" s="9">
        <v>15</v>
      </c>
      <c r="AC1559" s="9">
        <v>11</v>
      </c>
      <c r="AD1559" s="17">
        <v>44915</v>
      </c>
      <c r="AE1559" s="56">
        <v>357.14</v>
      </c>
      <c r="AF1559" s="56"/>
      <c r="AG1559" s="10" t="s">
        <v>134</v>
      </c>
      <c r="AH1559" s="127">
        <v>44979</v>
      </c>
      <c r="AI1559" s="127"/>
      <c r="AJ1559" s="127"/>
      <c r="AK1559" s="22" t="s">
        <v>1999</v>
      </c>
      <c r="AL1559" s="22">
        <v>357.14</v>
      </c>
      <c r="AM1559" s="22"/>
      <c r="AN1559" s="22" t="s">
        <v>1994</v>
      </c>
      <c r="AO1559" s="9"/>
      <c r="AP1559" s="11"/>
      <c r="AQ1559" s="11"/>
      <c r="AR1559" s="11"/>
      <c r="AW1559" s="42">
        <v>44978</v>
      </c>
      <c r="AX1559" s="36">
        <v>1239</v>
      </c>
      <c r="AY1559" s="36"/>
      <c r="AZ1559" s="36"/>
      <c r="BA1559" s="40">
        <v>357.14</v>
      </c>
      <c r="BD1559" s="9"/>
      <c r="CS1559" s="11">
        <f t="shared" si="110"/>
        <v>357.14</v>
      </c>
      <c r="CT1559" s="22">
        <f t="shared" si="111"/>
        <v>357.14</v>
      </c>
      <c r="CU1559" s="22">
        <f t="shared" si="112"/>
        <v>0</v>
      </c>
      <c r="CV1559" s="26">
        <f t="shared" si="109"/>
        <v>0</v>
      </c>
    </row>
    <row r="1560" spans="1:103" x14ac:dyDescent="0.2">
      <c r="A1560" s="9" t="s">
        <v>398</v>
      </c>
      <c r="B1560" s="2">
        <v>7</v>
      </c>
      <c r="C1560" s="3" t="s">
        <v>95</v>
      </c>
      <c r="D1560" s="3" t="s">
        <v>96</v>
      </c>
      <c r="E1560" s="2"/>
      <c r="F1560" s="2"/>
      <c r="G1560" s="2" t="s">
        <v>66</v>
      </c>
      <c r="H1560" s="2">
        <v>1</v>
      </c>
      <c r="I1560" s="8">
        <v>125.84</v>
      </c>
      <c r="J1560" s="8">
        <v>41900</v>
      </c>
      <c r="K1560" s="3">
        <v>0</v>
      </c>
      <c r="L1560" s="3" t="s">
        <v>3</v>
      </c>
      <c r="M1560" s="9" t="s">
        <v>0</v>
      </c>
      <c r="N1560" s="9" t="s">
        <v>33</v>
      </c>
      <c r="O1560" s="9" t="s">
        <v>3515</v>
      </c>
      <c r="S1560" s="9" t="s">
        <v>401</v>
      </c>
      <c r="V1560" s="10">
        <v>12.5</v>
      </c>
      <c r="W1560" s="10" t="s">
        <v>710</v>
      </c>
      <c r="X1560" s="17">
        <v>44608</v>
      </c>
      <c r="Y1560" s="17">
        <v>44921</v>
      </c>
      <c r="Z1560" s="19" t="s">
        <v>772</v>
      </c>
      <c r="AA1560" s="210">
        <v>6000</v>
      </c>
      <c r="AB1560" s="9">
        <v>15</v>
      </c>
      <c r="AC1560" s="9">
        <v>12</v>
      </c>
      <c r="AD1560" s="17">
        <v>44946</v>
      </c>
      <c r="AE1560" s="56">
        <v>357.14</v>
      </c>
      <c r="AF1560" s="56"/>
      <c r="AG1560" s="10" t="s">
        <v>134</v>
      </c>
      <c r="AH1560" s="127">
        <v>44993</v>
      </c>
      <c r="AI1560" s="127"/>
      <c r="AJ1560" s="127"/>
      <c r="AK1560" s="22" t="s">
        <v>2008</v>
      </c>
      <c r="AL1560" s="22">
        <v>357.14</v>
      </c>
      <c r="AM1560" s="22"/>
      <c r="AN1560" s="22" t="s">
        <v>2004</v>
      </c>
      <c r="AO1560" s="9"/>
      <c r="AP1560" s="11"/>
      <c r="AQ1560" s="11"/>
      <c r="AR1560" s="11"/>
      <c r="AW1560" s="42">
        <v>44987</v>
      </c>
      <c r="AX1560" s="36">
        <v>1275</v>
      </c>
      <c r="AY1560" s="36">
        <v>1275</v>
      </c>
      <c r="AZ1560" s="36"/>
      <c r="BA1560" s="40">
        <v>357.14</v>
      </c>
      <c r="BD1560" s="9"/>
      <c r="CS1560" s="11">
        <f t="shared" si="110"/>
        <v>357.14</v>
      </c>
      <c r="CT1560" s="22">
        <f t="shared" si="111"/>
        <v>357.14</v>
      </c>
      <c r="CU1560" s="22">
        <f t="shared" si="112"/>
        <v>0</v>
      </c>
      <c r="CV1560" s="26">
        <f t="shared" si="109"/>
        <v>0</v>
      </c>
    </row>
    <row r="1561" spans="1:103" x14ac:dyDescent="0.2">
      <c r="A1561" s="9" t="s">
        <v>398</v>
      </c>
      <c r="B1561" s="2">
        <v>7</v>
      </c>
      <c r="C1561" s="3" t="s">
        <v>95</v>
      </c>
      <c r="D1561" s="3" t="s">
        <v>96</v>
      </c>
      <c r="E1561" s="2"/>
      <c r="F1561" s="2"/>
      <c r="G1561" s="2" t="s">
        <v>66</v>
      </c>
      <c r="H1561" s="2">
        <v>1</v>
      </c>
      <c r="I1561" s="8">
        <v>125.84</v>
      </c>
      <c r="J1561" s="8">
        <v>41900</v>
      </c>
      <c r="K1561" s="3">
        <v>0</v>
      </c>
      <c r="L1561" s="3" t="s">
        <v>3</v>
      </c>
      <c r="M1561" s="9" t="s">
        <v>0</v>
      </c>
      <c r="N1561" s="9" t="s">
        <v>33</v>
      </c>
      <c r="O1561" s="9" t="s">
        <v>3515</v>
      </c>
      <c r="S1561" s="9" t="s">
        <v>401</v>
      </c>
      <c r="V1561" s="10">
        <v>12.5</v>
      </c>
      <c r="W1561" s="10" t="s">
        <v>710</v>
      </c>
      <c r="X1561" s="17">
        <v>44608</v>
      </c>
      <c r="Y1561" s="17">
        <v>44921</v>
      </c>
      <c r="Z1561" s="19" t="s">
        <v>772</v>
      </c>
      <c r="AA1561" s="210">
        <v>6000</v>
      </c>
      <c r="AB1561" s="9">
        <v>15</v>
      </c>
      <c r="AC1561" s="9">
        <v>13</v>
      </c>
      <c r="AD1561" s="17">
        <v>44977</v>
      </c>
      <c r="AE1561" s="56">
        <v>357.14</v>
      </c>
      <c r="AF1561" s="56"/>
      <c r="AG1561" s="10" t="s">
        <v>134</v>
      </c>
      <c r="AH1561" s="127">
        <v>45035</v>
      </c>
      <c r="AI1561" s="127"/>
      <c r="AJ1561" s="127"/>
      <c r="AK1561" s="22" t="s">
        <v>416</v>
      </c>
      <c r="AL1561" s="22">
        <v>357.14</v>
      </c>
      <c r="AM1561" s="22"/>
      <c r="AN1561" s="22" t="s">
        <v>2005</v>
      </c>
      <c r="AP1561" s="11"/>
      <c r="AQ1561" s="11"/>
      <c r="AR1561" s="11"/>
      <c r="AW1561" s="17"/>
      <c r="BD1561" s="9"/>
      <c r="CS1561" s="11">
        <f t="shared" si="110"/>
        <v>357.14</v>
      </c>
      <c r="CT1561" s="22">
        <f t="shared" si="111"/>
        <v>0</v>
      </c>
      <c r="CU1561" s="22">
        <f t="shared" si="112"/>
        <v>357.14</v>
      </c>
      <c r="CV1561" s="26">
        <f t="shared" si="109"/>
        <v>0</v>
      </c>
      <c r="CW1561" s="9" t="s">
        <v>3504</v>
      </c>
      <c r="CY1561" s="9" t="s">
        <v>3493</v>
      </c>
    </row>
    <row r="1562" spans="1:103" x14ac:dyDescent="0.2">
      <c r="A1562" s="9" t="s">
        <v>398</v>
      </c>
      <c r="B1562" s="2">
        <v>7</v>
      </c>
      <c r="C1562" s="3" t="s">
        <v>95</v>
      </c>
      <c r="D1562" s="3" t="s">
        <v>96</v>
      </c>
      <c r="E1562" s="2"/>
      <c r="F1562" s="2"/>
      <c r="G1562" s="2" t="s">
        <v>66</v>
      </c>
      <c r="H1562" s="2">
        <v>1</v>
      </c>
      <c r="I1562" s="8">
        <v>125.84</v>
      </c>
      <c r="J1562" s="8">
        <v>41900</v>
      </c>
      <c r="K1562" s="3">
        <v>0</v>
      </c>
      <c r="L1562" s="3" t="s">
        <v>3</v>
      </c>
      <c r="M1562" s="9" t="s">
        <v>0</v>
      </c>
      <c r="N1562" s="9" t="s">
        <v>33</v>
      </c>
      <c r="O1562" s="9" t="s">
        <v>3515</v>
      </c>
      <c r="S1562" s="9" t="s">
        <v>401</v>
      </c>
      <c r="V1562" s="10">
        <v>12.5</v>
      </c>
      <c r="W1562" s="10" t="s">
        <v>710</v>
      </c>
      <c r="X1562" s="17">
        <v>44608</v>
      </c>
      <c r="Y1562" s="17">
        <v>44921</v>
      </c>
      <c r="Z1562" s="19" t="s">
        <v>772</v>
      </c>
      <c r="AA1562" s="210">
        <v>6000</v>
      </c>
      <c r="AB1562" s="9">
        <v>15</v>
      </c>
      <c r="AC1562" s="9">
        <v>14</v>
      </c>
      <c r="AD1562" s="17">
        <v>45005</v>
      </c>
      <c r="AE1562" s="56">
        <v>357.14</v>
      </c>
      <c r="AF1562" s="56"/>
      <c r="AG1562" s="10" t="s">
        <v>134</v>
      </c>
      <c r="AH1562" s="127">
        <v>45049</v>
      </c>
      <c r="AI1562" s="127"/>
      <c r="AJ1562" s="127"/>
      <c r="AK1562" s="22" t="s">
        <v>2001</v>
      </c>
      <c r="AL1562" s="22">
        <v>357.14</v>
      </c>
      <c r="AM1562" s="22"/>
      <c r="AN1562" s="22" t="s">
        <v>1996</v>
      </c>
      <c r="AP1562" s="11"/>
      <c r="AQ1562" s="11"/>
      <c r="AR1562" s="11"/>
      <c r="AW1562" s="42">
        <v>45048</v>
      </c>
      <c r="AX1562" s="36">
        <v>1458</v>
      </c>
      <c r="AY1562" s="36"/>
      <c r="AZ1562" s="36"/>
      <c r="BA1562" s="154">
        <v>239.27</v>
      </c>
      <c r="BC1562" s="42">
        <v>45048</v>
      </c>
      <c r="BD1562" s="36">
        <v>1459</v>
      </c>
      <c r="BE1562" s="36"/>
      <c r="BF1562" s="36"/>
      <c r="BG1562" s="36">
        <v>117.86999999999998</v>
      </c>
      <c r="BH1562" s="36"/>
      <c r="CS1562" s="11">
        <f t="shared" si="110"/>
        <v>357.14</v>
      </c>
      <c r="CT1562" s="22">
        <f t="shared" si="111"/>
        <v>357.14</v>
      </c>
      <c r="CU1562" s="22">
        <f t="shared" si="112"/>
        <v>0</v>
      </c>
      <c r="CV1562" s="26">
        <f t="shared" si="109"/>
        <v>0</v>
      </c>
    </row>
    <row r="1563" spans="1:103" x14ac:dyDescent="0.2">
      <c r="A1563" s="9" t="s">
        <v>398</v>
      </c>
      <c r="B1563" s="2">
        <v>7</v>
      </c>
      <c r="C1563" s="3" t="s">
        <v>95</v>
      </c>
      <c r="D1563" s="3" t="s">
        <v>96</v>
      </c>
      <c r="E1563" s="2"/>
      <c r="F1563" s="2"/>
      <c r="G1563" s="2" t="s">
        <v>66</v>
      </c>
      <c r="H1563" s="2">
        <v>1</v>
      </c>
      <c r="I1563" s="8">
        <v>125.84</v>
      </c>
      <c r="J1563" s="8">
        <v>41900</v>
      </c>
      <c r="K1563" s="3">
        <v>0</v>
      </c>
      <c r="L1563" s="3" t="s">
        <v>3</v>
      </c>
      <c r="M1563" s="9" t="s">
        <v>0</v>
      </c>
      <c r="N1563" s="9" t="s">
        <v>33</v>
      </c>
      <c r="O1563" s="9" t="s">
        <v>3515</v>
      </c>
      <c r="S1563" s="9" t="s">
        <v>401</v>
      </c>
      <c r="V1563" s="10">
        <v>12.5</v>
      </c>
      <c r="W1563" s="10" t="s">
        <v>710</v>
      </c>
      <c r="X1563" s="17">
        <v>44608</v>
      </c>
      <c r="Y1563" s="17">
        <v>44921</v>
      </c>
      <c r="Z1563" s="19" t="s">
        <v>772</v>
      </c>
      <c r="AA1563" s="210">
        <v>6000</v>
      </c>
      <c r="AB1563" s="9">
        <v>15</v>
      </c>
      <c r="AC1563" s="9">
        <v>15</v>
      </c>
      <c r="AD1563" s="17">
        <v>45036</v>
      </c>
      <c r="AE1563" s="56">
        <v>357.14</v>
      </c>
      <c r="AF1563" s="56"/>
      <c r="AG1563" s="10" t="s">
        <v>134</v>
      </c>
      <c r="AH1563" s="127">
        <v>45070</v>
      </c>
      <c r="AI1563" s="127"/>
      <c r="AJ1563" s="127"/>
      <c r="AK1563" s="22" t="s">
        <v>2002</v>
      </c>
      <c r="AL1563" s="22">
        <v>357.14</v>
      </c>
      <c r="AM1563" s="22"/>
      <c r="AN1563" s="22" t="s">
        <v>1997</v>
      </c>
      <c r="AP1563" s="11"/>
      <c r="AQ1563" s="11"/>
      <c r="AR1563" s="11"/>
      <c r="AW1563" s="42">
        <v>45068</v>
      </c>
      <c r="AX1563" s="36">
        <v>1526</v>
      </c>
      <c r="AY1563" s="36"/>
      <c r="AZ1563" s="36"/>
      <c r="BA1563" s="40">
        <v>357.14</v>
      </c>
      <c r="BD1563" s="9"/>
      <c r="CS1563" s="11">
        <f t="shared" si="110"/>
        <v>357.14</v>
      </c>
      <c r="CT1563" s="22">
        <f t="shared" si="111"/>
        <v>357.14</v>
      </c>
      <c r="CU1563" s="22">
        <f t="shared" si="112"/>
        <v>0</v>
      </c>
      <c r="CV1563" s="26">
        <f t="shared" si="109"/>
        <v>0</v>
      </c>
    </row>
    <row r="1564" spans="1:103" x14ac:dyDescent="0.2">
      <c r="A1564" s="9" t="s">
        <v>422</v>
      </c>
      <c r="B1564" s="2">
        <v>22</v>
      </c>
      <c r="C1564" s="3" t="s">
        <v>95</v>
      </c>
      <c r="D1564" s="3" t="s">
        <v>96</v>
      </c>
      <c r="E1564" s="2"/>
      <c r="F1564" s="2"/>
      <c r="G1564" s="2" t="s">
        <v>68</v>
      </c>
      <c r="H1564" s="2">
        <v>2</v>
      </c>
      <c r="I1564" s="8">
        <v>145.31</v>
      </c>
      <c r="J1564" s="8">
        <v>42900</v>
      </c>
      <c r="K1564" s="3">
        <v>0</v>
      </c>
      <c r="L1564" s="3" t="s">
        <v>3</v>
      </c>
      <c r="M1564" s="9" t="s">
        <v>0</v>
      </c>
      <c r="N1564" s="9" t="s">
        <v>34</v>
      </c>
      <c r="O1564" s="9" t="s">
        <v>423</v>
      </c>
      <c r="S1564" s="9" t="s">
        <v>158</v>
      </c>
      <c r="T1564" s="10" t="s">
        <v>68</v>
      </c>
      <c r="U1564" s="10">
        <v>2</v>
      </c>
      <c r="V1564" s="10">
        <v>141.83000000000001</v>
      </c>
      <c r="W1564" s="10" t="s">
        <v>710</v>
      </c>
      <c r="X1564" s="17">
        <v>44572</v>
      </c>
      <c r="Y1564" s="17">
        <v>44936</v>
      </c>
      <c r="Z1564" s="19" t="s">
        <v>772</v>
      </c>
      <c r="AA1564" s="210">
        <v>40858.800000000003</v>
      </c>
      <c r="AB1564" s="9">
        <v>48</v>
      </c>
      <c r="AC1564" s="9">
        <v>0</v>
      </c>
      <c r="AD1564" s="17">
        <v>44571</v>
      </c>
      <c r="AE1564" s="56">
        <v>10000</v>
      </c>
      <c r="AF1564" s="56"/>
      <c r="AG1564" s="9" t="s">
        <v>134</v>
      </c>
      <c r="AH1564" s="17">
        <v>44571</v>
      </c>
      <c r="AI1564" s="17"/>
      <c r="AJ1564" s="17"/>
      <c r="AK1564" s="9" t="s">
        <v>425</v>
      </c>
      <c r="AL1564" s="66"/>
      <c r="AM1564" s="194">
        <v>39390</v>
      </c>
      <c r="AN1564" s="11" t="s">
        <v>1834</v>
      </c>
      <c r="AP1564" s="11"/>
      <c r="AQ1564" s="11"/>
      <c r="AR1564" s="11"/>
      <c r="AW1564" s="17">
        <v>44562</v>
      </c>
      <c r="AX1564" s="9" t="s">
        <v>426</v>
      </c>
      <c r="AY1564" s="9">
        <v>39390</v>
      </c>
      <c r="AZ1564" s="9">
        <v>3.9390000000000001</v>
      </c>
      <c r="BA1564" s="11">
        <f>+AY1564/AZ1564</f>
        <v>10000</v>
      </c>
      <c r="BB1564" s="11" t="s">
        <v>1348</v>
      </c>
      <c r="BD1564" s="9"/>
      <c r="CS1564" s="11">
        <f t="shared" si="110"/>
        <v>0</v>
      </c>
      <c r="CT1564" s="22">
        <f t="shared" si="111"/>
        <v>10000</v>
      </c>
      <c r="CU1564" s="22">
        <f t="shared" si="112"/>
        <v>-10000</v>
      </c>
      <c r="CV1564" s="26">
        <f t="shared" si="109"/>
        <v>10000</v>
      </c>
      <c r="CY1564" s="9" t="s">
        <v>3493</v>
      </c>
    </row>
    <row r="1565" spans="1:103" ht="12.75" x14ac:dyDescent="0.2">
      <c r="A1565" s="9" t="s">
        <v>422</v>
      </c>
      <c r="B1565" s="2">
        <v>22</v>
      </c>
      <c r="C1565" s="3" t="s">
        <v>95</v>
      </c>
      <c r="D1565" s="3" t="s">
        <v>96</v>
      </c>
      <c r="E1565" s="2"/>
      <c r="F1565" s="2"/>
      <c r="G1565" s="2" t="s">
        <v>68</v>
      </c>
      <c r="H1565" s="2">
        <v>2</v>
      </c>
      <c r="I1565" s="8">
        <v>145.31</v>
      </c>
      <c r="J1565" s="8">
        <v>42900</v>
      </c>
      <c r="K1565" s="3">
        <v>0</v>
      </c>
      <c r="L1565" s="3" t="s">
        <v>3</v>
      </c>
      <c r="M1565" s="9" t="s">
        <v>0</v>
      </c>
      <c r="N1565" s="9" t="s">
        <v>34</v>
      </c>
      <c r="O1565" s="9" t="s">
        <v>423</v>
      </c>
      <c r="S1565" s="9" t="s">
        <v>158</v>
      </c>
      <c r="T1565" s="10" t="s">
        <v>68</v>
      </c>
      <c r="U1565" s="10">
        <v>2</v>
      </c>
      <c r="V1565" s="10">
        <v>141.83000000000001</v>
      </c>
      <c r="W1565" s="10" t="s">
        <v>710</v>
      </c>
      <c r="X1565" s="17">
        <v>44572</v>
      </c>
      <c r="Y1565" s="17">
        <v>44936</v>
      </c>
      <c r="Z1565" s="19" t="s">
        <v>772</v>
      </c>
      <c r="AA1565" s="210">
        <v>40858.800000000003</v>
      </c>
      <c r="AB1565" s="9">
        <v>48</v>
      </c>
      <c r="AC1565" s="9">
        <v>1</v>
      </c>
      <c r="AD1565" s="17">
        <v>44620</v>
      </c>
      <c r="AE1565" s="56">
        <v>625</v>
      </c>
      <c r="AF1565" s="56"/>
      <c r="AG1565" s="9" t="s">
        <v>134</v>
      </c>
      <c r="AH1565" s="17">
        <v>44621</v>
      </c>
      <c r="AI1565" s="17"/>
      <c r="AJ1565" s="17"/>
      <c r="AK1565" s="9" t="s">
        <v>427</v>
      </c>
      <c r="AL1565" s="11">
        <v>625</v>
      </c>
      <c r="AN1565" s="11" t="s">
        <v>1835</v>
      </c>
      <c r="AP1565" s="11"/>
      <c r="AQ1565" s="11"/>
      <c r="AR1565" s="11"/>
      <c r="AW1565" s="137">
        <v>44620</v>
      </c>
      <c r="AX1565" s="139">
        <v>477</v>
      </c>
      <c r="AY1565" s="139"/>
      <c r="BA1565" s="11">
        <v>625</v>
      </c>
      <c r="BD1565" s="9"/>
      <c r="CS1565" s="11">
        <f t="shared" si="110"/>
        <v>625</v>
      </c>
      <c r="CT1565" s="22">
        <f t="shared" si="111"/>
        <v>625</v>
      </c>
      <c r="CU1565" s="22">
        <f t="shared" si="112"/>
        <v>0</v>
      </c>
      <c r="CV1565" s="26">
        <f t="shared" si="109"/>
        <v>0</v>
      </c>
    </row>
    <row r="1566" spans="1:103" ht="12.75" x14ac:dyDescent="0.2">
      <c r="A1566" s="9" t="s">
        <v>422</v>
      </c>
      <c r="B1566" s="2">
        <v>22</v>
      </c>
      <c r="C1566" s="3" t="s">
        <v>95</v>
      </c>
      <c r="D1566" s="3" t="s">
        <v>96</v>
      </c>
      <c r="E1566" s="2"/>
      <c r="F1566" s="2"/>
      <c r="G1566" s="2" t="s">
        <v>68</v>
      </c>
      <c r="H1566" s="2">
        <v>2</v>
      </c>
      <c r="I1566" s="8">
        <v>145.31</v>
      </c>
      <c r="J1566" s="8">
        <v>42900</v>
      </c>
      <c r="K1566" s="3">
        <v>0</v>
      </c>
      <c r="L1566" s="3" t="s">
        <v>3</v>
      </c>
      <c r="M1566" s="9" t="s">
        <v>0</v>
      </c>
      <c r="N1566" s="9" t="s">
        <v>34</v>
      </c>
      <c r="O1566" s="9" t="s">
        <v>423</v>
      </c>
      <c r="S1566" s="9" t="s">
        <v>158</v>
      </c>
      <c r="T1566" s="10" t="s">
        <v>68</v>
      </c>
      <c r="U1566" s="10">
        <v>2</v>
      </c>
      <c r="V1566" s="10">
        <v>141.83000000000001</v>
      </c>
      <c r="W1566" s="10" t="s">
        <v>710</v>
      </c>
      <c r="X1566" s="17">
        <v>44572</v>
      </c>
      <c r="Y1566" s="17">
        <v>44936</v>
      </c>
      <c r="Z1566" s="19" t="s">
        <v>772</v>
      </c>
      <c r="AA1566" s="210">
        <v>40858.800000000003</v>
      </c>
      <c r="AB1566" s="9">
        <v>48</v>
      </c>
      <c r="AC1566" s="9">
        <v>2</v>
      </c>
      <c r="AD1566" s="17">
        <v>44650</v>
      </c>
      <c r="AE1566" s="56">
        <v>625</v>
      </c>
      <c r="AF1566" s="56"/>
      <c r="AG1566" s="9" t="s">
        <v>134</v>
      </c>
      <c r="AH1566" s="17">
        <v>44651</v>
      </c>
      <c r="AI1566" s="17"/>
      <c r="AJ1566" s="17"/>
      <c r="AK1566" s="9" t="s">
        <v>428</v>
      </c>
      <c r="AL1566" s="11">
        <v>625</v>
      </c>
      <c r="AN1566" s="11" t="s">
        <v>1836</v>
      </c>
      <c r="AP1566" s="11"/>
      <c r="AQ1566" s="11"/>
      <c r="AR1566" s="11"/>
      <c r="AW1566" s="137">
        <v>44651</v>
      </c>
      <c r="AX1566" s="139">
        <v>552</v>
      </c>
      <c r="AY1566" s="139"/>
      <c r="BA1566" s="11">
        <v>625</v>
      </c>
      <c r="BD1566" s="9"/>
      <c r="CS1566" s="11">
        <f t="shared" si="110"/>
        <v>625</v>
      </c>
      <c r="CT1566" s="22">
        <f t="shared" si="111"/>
        <v>625</v>
      </c>
      <c r="CU1566" s="22">
        <f t="shared" si="112"/>
        <v>0</v>
      </c>
      <c r="CV1566" s="26">
        <f t="shared" si="109"/>
        <v>0</v>
      </c>
    </row>
    <row r="1567" spans="1:103" x14ac:dyDescent="0.2">
      <c r="A1567" s="9" t="s">
        <v>422</v>
      </c>
      <c r="B1567" s="2">
        <v>22</v>
      </c>
      <c r="C1567" s="3" t="s">
        <v>95</v>
      </c>
      <c r="D1567" s="3" t="s">
        <v>96</v>
      </c>
      <c r="E1567" s="2"/>
      <c r="F1567" s="2"/>
      <c r="G1567" s="2" t="s">
        <v>68</v>
      </c>
      <c r="H1567" s="2">
        <v>2</v>
      </c>
      <c r="I1567" s="8">
        <v>145.31</v>
      </c>
      <c r="J1567" s="8">
        <v>42900</v>
      </c>
      <c r="K1567" s="3">
        <v>0</v>
      </c>
      <c r="L1567" s="3" t="s">
        <v>3</v>
      </c>
      <c r="M1567" s="9" t="s">
        <v>0</v>
      </c>
      <c r="N1567" s="9" t="s">
        <v>34</v>
      </c>
      <c r="O1567" s="9" t="s">
        <v>423</v>
      </c>
      <c r="S1567" s="9" t="s">
        <v>158</v>
      </c>
      <c r="T1567" s="10" t="s">
        <v>68</v>
      </c>
      <c r="U1567" s="10">
        <v>2</v>
      </c>
      <c r="V1567" s="10">
        <v>141.83000000000001</v>
      </c>
      <c r="W1567" s="10" t="s">
        <v>710</v>
      </c>
      <c r="X1567" s="17">
        <v>44572</v>
      </c>
      <c r="Y1567" s="17">
        <v>44936</v>
      </c>
      <c r="Z1567" s="19" t="s">
        <v>772</v>
      </c>
      <c r="AA1567" s="210">
        <v>40858.800000000003</v>
      </c>
      <c r="AB1567" s="9">
        <v>48</v>
      </c>
      <c r="AC1567" s="9">
        <v>3</v>
      </c>
      <c r="AD1567" s="17">
        <v>44681</v>
      </c>
      <c r="AE1567" s="56">
        <v>625</v>
      </c>
      <c r="AF1567" s="56"/>
      <c r="AG1567" s="9" t="s">
        <v>134</v>
      </c>
      <c r="AH1567" s="17">
        <v>44684</v>
      </c>
      <c r="AI1567" s="17"/>
      <c r="AJ1567" s="17"/>
      <c r="AK1567" s="9" t="s">
        <v>429</v>
      </c>
      <c r="AL1567" s="11">
        <v>625</v>
      </c>
      <c r="AN1567" s="11" t="s">
        <v>1837</v>
      </c>
      <c r="AP1567" s="11"/>
      <c r="AQ1567" s="11"/>
      <c r="AR1567" s="11"/>
      <c r="AW1567" s="17">
        <v>44681</v>
      </c>
      <c r="AX1567" s="9">
        <v>601</v>
      </c>
      <c r="BA1567" s="22">
        <v>625</v>
      </c>
      <c r="BB1567" s="11" t="s">
        <v>1348</v>
      </c>
      <c r="BD1567" s="9"/>
      <c r="CS1567" s="11">
        <f t="shared" si="110"/>
        <v>625</v>
      </c>
      <c r="CT1567" s="22">
        <f t="shared" si="111"/>
        <v>625</v>
      </c>
      <c r="CU1567" s="22">
        <f t="shared" si="112"/>
        <v>0</v>
      </c>
      <c r="CV1567" s="26">
        <f t="shared" si="109"/>
        <v>0</v>
      </c>
    </row>
    <row r="1568" spans="1:103" x14ac:dyDescent="0.2">
      <c r="A1568" s="9" t="s">
        <v>422</v>
      </c>
      <c r="B1568" s="2">
        <v>22</v>
      </c>
      <c r="C1568" s="3" t="s">
        <v>95</v>
      </c>
      <c r="D1568" s="3" t="s">
        <v>96</v>
      </c>
      <c r="E1568" s="2"/>
      <c r="F1568" s="2"/>
      <c r="G1568" s="2" t="s">
        <v>68</v>
      </c>
      <c r="H1568" s="2">
        <v>2</v>
      </c>
      <c r="I1568" s="8">
        <v>145.31</v>
      </c>
      <c r="J1568" s="8">
        <v>42900</v>
      </c>
      <c r="K1568" s="3">
        <v>0</v>
      </c>
      <c r="L1568" s="3" t="s">
        <v>3</v>
      </c>
      <c r="M1568" s="9" t="s">
        <v>0</v>
      </c>
      <c r="N1568" s="9" t="s">
        <v>34</v>
      </c>
      <c r="O1568" s="9" t="s">
        <v>423</v>
      </c>
      <c r="S1568" s="9" t="s">
        <v>158</v>
      </c>
      <c r="T1568" s="10" t="s">
        <v>68</v>
      </c>
      <c r="U1568" s="10">
        <v>2</v>
      </c>
      <c r="V1568" s="10">
        <v>141.83000000000001</v>
      </c>
      <c r="W1568" s="10" t="s">
        <v>710</v>
      </c>
      <c r="X1568" s="17">
        <v>44572</v>
      </c>
      <c r="Y1568" s="17">
        <v>44936</v>
      </c>
      <c r="Z1568" s="19" t="s">
        <v>772</v>
      </c>
      <c r="AA1568" s="210">
        <v>40858.800000000003</v>
      </c>
      <c r="AB1568" s="9">
        <v>48</v>
      </c>
      <c r="AC1568" s="9">
        <v>4</v>
      </c>
      <c r="AD1568" s="17">
        <v>44711</v>
      </c>
      <c r="AE1568" s="56">
        <v>625</v>
      </c>
      <c r="AF1568" s="56"/>
      <c r="AG1568" s="9" t="s">
        <v>134</v>
      </c>
      <c r="AH1568" s="17">
        <v>44712</v>
      </c>
      <c r="AI1568" s="17"/>
      <c r="AJ1568" s="17"/>
      <c r="AK1568" s="9" t="s">
        <v>430</v>
      </c>
      <c r="AL1568" s="11">
        <v>625</v>
      </c>
      <c r="AN1568" s="11" t="s">
        <v>1838</v>
      </c>
      <c r="AP1568" s="11"/>
      <c r="AQ1568" s="11"/>
      <c r="AR1568" s="11"/>
      <c r="AW1568" s="17">
        <v>44712</v>
      </c>
      <c r="AX1568" s="9">
        <v>674</v>
      </c>
      <c r="BA1568" s="22">
        <v>625</v>
      </c>
      <c r="BB1568" s="11" t="s">
        <v>1348</v>
      </c>
      <c r="BD1568" s="9"/>
      <c r="CS1568" s="11">
        <f t="shared" si="110"/>
        <v>625</v>
      </c>
      <c r="CT1568" s="22">
        <f t="shared" si="111"/>
        <v>625</v>
      </c>
      <c r="CU1568" s="22">
        <f t="shared" si="112"/>
        <v>0</v>
      </c>
      <c r="CV1568" s="26">
        <f t="shared" si="109"/>
        <v>0</v>
      </c>
    </row>
    <row r="1569" spans="1:103" x14ac:dyDescent="0.2">
      <c r="A1569" s="9" t="s">
        <v>422</v>
      </c>
      <c r="B1569" s="2">
        <v>22</v>
      </c>
      <c r="C1569" s="3" t="s">
        <v>95</v>
      </c>
      <c r="D1569" s="3" t="s">
        <v>96</v>
      </c>
      <c r="E1569" s="2"/>
      <c r="F1569" s="2"/>
      <c r="G1569" s="2" t="s">
        <v>68</v>
      </c>
      <c r="H1569" s="2">
        <v>2</v>
      </c>
      <c r="I1569" s="8">
        <v>145.31</v>
      </c>
      <c r="J1569" s="8">
        <v>42900</v>
      </c>
      <c r="K1569" s="3">
        <v>0</v>
      </c>
      <c r="L1569" s="3" t="s">
        <v>3</v>
      </c>
      <c r="M1569" s="9" t="s">
        <v>0</v>
      </c>
      <c r="N1569" s="9" t="s">
        <v>34</v>
      </c>
      <c r="O1569" s="9" t="s">
        <v>423</v>
      </c>
      <c r="S1569" s="9" t="s">
        <v>158</v>
      </c>
      <c r="T1569" s="10" t="s">
        <v>68</v>
      </c>
      <c r="U1569" s="10">
        <v>2</v>
      </c>
      <c r="V1569" s="10">
        <v>141.83000000000001</v>
      </c>
      <c r="W1569" s="10" t="s">
        <v>710</v>
      </c>
      <c r="X1569" s="17">
        <v>44572</v>
      </c>
      <c r="Y1569" s="17">
        <v>44936</v>
      </c>
      <c r="Z1569" s="19" t="s">
        <v>772</v>
      </c>
      <c r="AA1569" s="210">
        <v>40858.800000000003</v>
      </c>
      <c r="AB1569" s="9">
        <v>48</v>
      </c>
      <c r="AC1569" s="9">
        <v>5</v>
      </c>
      <c r="AD1569" s="17">
        <v>44742</v>
      </c>
      <c r="AE1569" s="56">
        <v>625</v>
      </c>
      <c r="AF1569" s="56"/>
      <c r="AG1569" s="9" t="s">
        <v>134</v>
      </c>
      <c r="AH1569" s="17">
        <v>44742</v>
      </c>
      <c r="AI1569" s="17"/>
      <c r="AJ1569" s="17"/>
      <c r="AK1569" s="9" t="s">
        <v>431</v>
      </c>
      <c r="AL1569" s="11">
        <v>625</v>
      </c>
      <c r="AN1569" s="11" t="s">
        <v>1839</v>
      </c>
      <c r="AP1569" s="11"/>
      <c r="AQ1569" s="11"/>
      <c r="AR1569" s="11"/>
      <c r="AW1569" s="17">
        <v>44742</v>
      </c>
      <c r="AX1569" s="9">
        <v>75890</v>
      </c>
      <c r="AY1569" s="9">
        <v>2367.5</v>
      </c>
      <c r="AZ1569" s="26">
        <f>+AY1569/BA1569</f>
        <v>3.7879999999999998</v>
      </c>
      <c r="BA1569" s="22">
        <v>625</v>
      </c>
      <c r="BB1569" s="11" t="s">
        <v>1348</v>
      </c>
      <c r="BD1569" s="9"/>
      <c r="CS1569" s="11">
        <f t="shared" si="110"/>
        <v>625</v>
      </c>
      <c r="CT1569" s="22">
        <f t="shared" si="111"/>
        <v>625</v>
      </c>
      <c r="CU1569" s="22">
        <f t="shared" si="112"/>
        <v>0</v>
      </c>
      <c r="CV1569" s="26">
        <f t="shared" si="109"/>
        <v>0</v>
      </c>
    </row>
    <row r="1570" spans="1:103" x14ac:dyDescent="0.2">
      <c r="A1570" s="9" t="s">
        <v>422</v>
      </c>
      <c r="B1570" s="2">
        <v>22</v>
      </c>
      <c r="C1570" s="3" t="s">
        <v>95</v>
      </c>
      <c r="D1570" s="3" t="s">
        <v>96</v>
      </c>
      <c r="E1570" s="2"/>
      <c r="F1570" s="2"/>
      <c r="G1570" s="2" t="s">
        <v>68</v>
      </c>
      <c r="H1570" s="2">
        <v>2</v>
      </c>
      <c r="I1570" s="8">
        <v>145.31</v>
      </c>
      <c r="J1570" s="8">
        <v>42900</v>
      </c>
      <c r="K1570" s="3">
        <v>0</v>
      </c>
      <c r="L1570" s="3" t="s">
        <v>3</v>
      </c>
      <c r="M1570" s="9" t="s">
        <v>0</v>
      </c>
      <c r="N1570" s="9" t="s">
        <v>34</v>
      </c>
      <c r="O1570" s="9" t="s">
        <v>423</v>
      </c>
      <c r="S1570" s="9" t="s">
        <v>158</v>
      </c>
      <c r="T1570" s="10" t="s">
        <v>68</v>
      </c>
      <c r="U1570" s="10">
        <v>2</v>
      </c>
      <c r="V1570" s="10">
        <v>141.83000000000001</v>
      </c>
      <c r="W1570" s="10" t="s">
        <v>710</v>
      </c>
      <c r="X1570" s="17">
        <v>44572</v>
      </c>
      <c r="Y1570" s="17">
        <v>44936</v>
      </c>
      <c r="Z1570" s="19" t="s">
        <v>772</v>
      </c>
      <c r="AA1570" s="210">
        <v>40858.800000000003</v>
      </c>
      <c r="AB1570" s="9">
        <v>48</v>
      </c>
      <c r="AC1570" s="9">
        <v>6</v>
      </c>
      <c r="AD1570" s="17">
        <v>44772</v>
      </c>
      <c r="AE1570" s="56">
        <v>625</v>
      </c>
      <c r="AF1570" s="56"/>
      <c r="AG1570" s="9" t="s">
        <v>134</v>
      </c>
      <c r="AH1570" s="17">
        <v>44772</v>
      </c>
      <c r="AI1570" s="17"/>
      <c r="AJ1570" s="17"/>
      <c r="AK1570" s="9" t="s">
        <v>432</v>
      </c>
      <c r="AL1570" s="11">
        <v>625</v>
      </c>
      <c r="AN1570" s="11" t="s">
        <v>1840</v>
      </c>
      <c r="AP1570" s="11"/>
      <c r="AQ1570" s="11"/>
      <c r="AR1570" s="11"/>
      <c r="AW1570" s="17">
        <v>44772</v>
      </c>
      <c r="AX1570" s="30" t="s">
        <v>1968</v>
      </c>
      <c r="AY1570" s="9">
        <v>2453.1999999999998</v>
      </c>
      <c r="AZ1570" s="9">
        <v>3.9249999999999998</v>
      </c>
      <c r="BA1570" s="22">
        <f>+AY1570/AZ1570</f>
        <v>625.01910828025473</v>
      </c>
      <c r="BB1570" s="11" t="s">
        <v>1348</v>
      </c>
      <c r="BD1570" s="9"/>
      <c r="CS1570" s="11">
        <f t="shared" si="110"/>
        <v>625</v>
      </c>
      <c r="CT1570" s="22">
        <f t="shared" si="111"/>
        <v>625.01910828025473</v>
      </c>
      <c r="CU1570" s="22">
        <f t="shared" si="112"/>
        <v>-1.9108280254727106E-2</v>
      </c>
      <c r="CV1570" s="26">
        <f t="shared" si="109"/>
        <v>0</v>
      </c>
    </row>
    <row r="1571" spans="1:103" x14ac:dyDescent="0.2">
      <c r="A1571" s="9" t="s">
        <v>422</v>
      </c>
      <c r="B1571" s="2">
        <v>22</v>
      </c>
      <c r="C1571" s="3" t="s">
        <v>95</v>
      </c>
      <c r="D1571" s="3" t="s">
        <v>96</v>
      </c>
      <c r="E1571" s="2"/>
      <c r="F1571" s="2"/>
      <c r="G1571" s="2" t="s">
        <v>68</v>
      </c>
      <c r="H1571" s="2">
        <v>2</v>
      </c>
      <c r="I1571" s="8">
        <v>145.31</v>
      </c>
      <c r="J1571" s="8">
        <v>42900</v>
      </c>
      <c r="K1571" s="3">
        <v>0</v>
      </c>
      <c r="L1571" s="3" t="s">
        <v>3</v>
      </c>
      <c r="M1571" s="9" t="s">
        <v>0</v>
      </c>
      <c r="N1571" s="9" t="s">
        <v>34</v>
      </c>
      <c r="O1571" s="9" t="s">
        <v>423</v>
      </c>
      <c r="S1571" s="9" t="s">
        <v>158</v>
      </c>
      <c r="T1571" s="10" t="s">
        <v>68</v>
      </c>
      <c r="U1571" s="10">
        <v>2</v>
      </c>
      <c r="V1571" s="10">
        <v>141.83000000000001</v>
      </c>
      <c r="W1571" s="10" t="s">
        <v>710</v>
      </c>
      <c r="X1571" s="17">
        <v>44572</v>
      </c>
      <c r="Y1571" s="17">
        <v>44936</v>
      </c>
      <c r="Z1571" s="19" t="s">
        <v>772</v>
      </c>
      <c r="AA1571" s="210">
        <v>40858.800000000003</v>
      </c>
      <c r="AB1571" s="9">
        <v>48</v>
      </c>
      <c r="AC1571" s="9">
        <v>7</v>
      </c>
      <c r="AD1571" s="17">
        <v>44803</v>
      </c>
      <c r="AE1571" s="56">
        <v>625</v>
      </c>
      <c r="AF1571" s="56"/>
      <c r="AG1571" s="9" t="s">
        <v>134</v>
      </c>
      <c r="AH1571" s="17">
        <v>44802</v>
      </c>
      <c r="AI1571" s="17"/>
      <c r="AJ1571" s="17"/>
      <c r="AK1571" s="9" t="s">
        <v>433</v>
      </c>
      <c r="AL1571" s="22">
        <v>625</v>
      </c>
      <c r="AM1571" s="22"/>
      <c r="AN1571" s="22" t="s">
        <v>1841</v>
      </c>
      <c r="AO1571" s="22"/>
      <c r="AP1571" s="11"/>
      <c r="AQ1571" s="11"/>
      <c r="AR1571" s="11"/>
      <c r="AW1571" s="17">
        <v>44802</v>
      </c>
      <c r="AX1571" s="9">
        <v>617564</v>
      </c>
      <c r="AY1571" s="9">
        <v>2404.4</v>
      </c>
      <c r="AZ1571" s="9">
        <v>3.847</v>
      </c>
      <c r="BA1571" s="22">
        <f>+AY1571/AZ1571</f>
        <v>625.00649857031453</v>
      </c>
      <c r="BD1571" s="9"/>
      <c r="CS1571" s="11">
        <f t="shared" si="110"/>
        <v>625</v>
      </c>
      <c r="CT1571" s="22">
        <f t="shared" si="111"/>
        <v>625.00649857031453</v>
      </c>
      <c r="CU1571" s="22">
        <f t="shared" si="112"/>
        <v>-6.4985703145339357E-3</v>
      </c>
      <c r="CV1571" s="26">
        <f t="shared" si="109"/>
        <v>0</v>
      </c>
    </row>
    <row r="1572" spans="1:103" x14ac:dyDescent="0.2">
      <c r="A1572" s="9" t="s">
        <v>422</v>
      </c>
      <c r="B1572" s="2">
        <v>22</v>
      </c>
      <c r="C1572" s="3" t="s">
        <v>95</v>
      </c>
      <c r="D1572" s="3" t="s">
        <v>96</v>
      </c>
      <c r="E1572" s="2"/>
      <c r="F1572" s="2"/>
      <c r="G1572" s="2" t="s">
        <v>68</v>
      </c>
      <c r="H1572" s="2">
        <v>2</v>
      </c>
      <c r="I1572" s="8">
        <v>145.31</v>
      </c>
      <c r="J1572" s="8">
        <v>42900</v>
      </c>
      <c r="K1572" s="3">
        <v>0</v>
      </c>
      <c r="L1572" s="3" t="s">
        <v>3</v>
      </c>
      <c r="M1572" s="9" t="s">
        <v>0</v>
      </c>
      <c r="N1572" s="9" t="s">
        <v>34</v>
      </c>
      <c r="O1572" s="9" t="s">
        <v>423</v>
      </c>
      <c r="S1572" s="9" t="s">
        <v>158</v>
      </c>
      <c r="T1572" s="10" t="s">
        <v>68</v>
      </c>
      <c r="U1572" s="10">
        <v>2</v>
      </c>
      <c r="V1572" s="10">
        <v>141.83000000000001</v>
      </c>
      <c r="W1572" s="10" t="s">
        <v>710</v>
      </c>
      <c r="X1572" s="17">
        <v>44572</v>
      </c>
      <c r="Y1572" s="17">
        <v>44936</v>
      </c>
      <c r="Z1572" s="19" t="s">
        <v>772</v>
      </c>
      <c r="AA1572" s="210">
        <v>40858.800000000003</v>
      </c>
      <c r="AB1572" s="9">
        <v>48</v>
      </c>
      <c r="AC1572" s="9">
        <v>8</v>
      </c>
      <c r="AD1572" s="17">
        <v>44834</v>
      </c>
      <c r="AE1572" s="56">
        <v>625</v>
      </c>
      <c r="AF1572" s="56"/>
      <c r="AG1572" s="9" t="s">
        <v>134</v>
      </c>
      <c r="AH1572" s="17">
        <v>44831</v>
      </c>
      <c r="AI1572" s="17"/>
      <c r="AJ1572" s="17"/>
      <c r="AK1572" s="9" t="s">
        <v>434</v>
      </c>
      <c r="AL1572" s="22">
        <v>625</v>
      </c>
      <c r="AM1572" s="22"/>
      <c r="AN1572" s="22" t="s">
        <v>1842</v>
      </c>
      <c r="AO1572" s="22"/>
      <c r="AP1572" s="11"/>
      <c r="AQ1572" s="11"/>
      <c r="AR1572" s="11"/>
      <c r="AW1572" s="27"/>
      <c r="AX1572" s="27"/>
      <c r="AY1572" s="27"/>
      <c r="AZ1572" s="27"/>
      <c r="BA1572" s="28"/>
      <c r="BB1572" s="11" t="s">
        <v>1348</v>
      </c>
      <c r="BD1572" s="9"/>
      <c r="CS1572" s="11">
        <f t="shared" si="110"/>
        <v>625</v>
      </c>
      <c r="CT1572" s="22">
        <f t="shared" si="111"/>
        <v>0</v>
      </c>
      <c r="CU1572" s="22">
        <f t="shared" si="112"/>
        <v>625</v>
      </c>
      <c r="CV1572" s="26">
        <f t="shared" si="109"/>
        <v>0</v>
      </c>
      <c r="CW1572" s="9" t="s">
        <v>3494</v>
      </c>
      <c r="CY1572" s="9" t="s">
        <v>3493</v>
      </c>
    </row>
    <row r="1573" spans="1:103" ht="12.75" x14ac:dyDescent="0.2">
      <c r="A1573" s="9" t="s">
        <v>422</v>
      </c>
      <c r="B1573" s="2">
        <v>22</v>
      </c>
      <c r="C1573" s="3" t="s">
        <v>95</v>
      </c>
      <c r="D1573" s="3" t="s">
        <v>96</v>
      </c>
      <c r="E1573" s="2"/>
      <c r="F1573" s="2"/>
      <c r="G1573" s="2" t="s">
        <v>68</v>
      </c>
      <c r="H1573" s="2">
        <v>2</v>
      </c>
      <c r="I1573" s="8">
        <v>145.31</v>
      </c>
      <c r="J1573" s="8">
        <v>42900</v>
      </c>
      <c r="K1573" s="3">
        <v>0</v>
      </c>
      <c r="L1573" s="3" t="s">
        <v>3</v>
      </c>
      <c r="M1573" s="9" t="s">
        <v>0</v>
      </c>
      <c r="N1573" s="9" t="s">
        <v>34</v>
      </c>
      <c r="O1573" s="9" t="s">
        <v>423</v>
      </c>
      <c r="S1573" s="9" t="s">
        <v>158</v>
      </c>
      <c r="T1573" s="10" t="s">
        <v>68</v>
      </c>
      <c r="U1573" s="10">
        <v>2</v>
      </c>
      <c r="V1573" s="10">
        <v>141.83000000000001</v>
      </c>
      <c r="W1573" s="10" t="s">
        <v>710</v>
      </c>
      <c r="X1573" s="17">
        <v>44572</v>
      </c>
      <c r="Y1573" s="17">
        <v>44936</v>
      </c>
      <c r="Z1573" s="19" t="s">
        <v>772</v>
      </c>
      <c r="AA1573" s="210">
        <v>40858.800000000003</v>
      </c>
      <c r="AB1573" s="9">
        <v>48</v>
      </c>
      <c r="AC1573" s="9">
        <v>9</v>
      </c>
      <c r="AD1573" s="17">
        <v>44864</v>
      </c>
      <c r="AE1573" s="56">
        <v>625</v>
      </c>
      <c r="AF1573" s="56"/>
      <c r="AG1573" s="9" t="s">
        <v>134</v>
      </c>
      <c r="AH1573" s="17">
        <v>44956</v>
      </c>
      <c r="AI1573" s="17"/>
      <c r="AJ1573" s="17"/>
      <c r="AK1573" s="9" t="s">
        <v>435</v>
      </c>
      <c r="AL1573" s="22">
        <v>625</v>
      </c>
      <c r="AM1573" s="22"/>
      <c r="AN1573" s="22" t="s">
        <v>1883</v>
      </c>
      <c r="AO1573" s="22"/>
      <c r="AP1573" s="11"/>
      <c r="AQ1573" s="11"/>
      <c r="AR1573" s="11"/>
      <c r="AW1573" s="94">
        <v>44956</v>
      </c>
      <c r="AX1573" s="96">
        <v>625</v>
      </c>
      <c r="AY1573" s="142">
        <v>1172</v>
      </c>
      <c r="BA1573" s="11">
        <v>625</v>
      </c>
      <c r="BD1573" s="9"/>
      <c r="CS1573" s="11">
        <f t="shared" si="110"/>
        <v>625</v>
      </c>
      <c r="CT1573" s="22">
        <f t="shared" si="111"/>
        <v>625</v>
      </c>
      <c r="CU1573" s="22">
        <f t="shared" si="112"/>
        <v>0</v>
      </c>
      <c r="CV1573" s="26">
        <f t="shared" si="109"/>
        <v>0</v>
      </c>
    </row>
    <row r="1574" spans="1:103" ht="12.75" x14ac:dyDescent="0.2">
      <c r="A1574" s="9" t="s">
        <v>422</v>
      </c>
      <c r="B1574" s="2">
        <v>22</v>
      </c>
      <c r="C1574" s="3" t="s">
        <v>95</v>
      </c>
      <c r="D1574" s="3" t="s">
        <v>96</v>
      </c>
      <c r="E1574" s="2"/>
      <c r="F1574" s="2"/>
      <c r="G1574" s="2" t="s">
        <v>68</v>
      </c>
      <c r="H1574" s="2">
        <v>2</v>
      </c>
      <c r="I1574" s="8">
        <v>145.31</v>
      </c>
      <c r="J1574" s="8">
        <v>42900</v>
      </c>
      <c r="K1574" s="3">
        <v>0</v>
      </c>
      <c r="L1574" s="3" t="s">
        <v>3</v>
      </c>
      <c r="M1574" s="9" t="s">
        <v>0</v>
      </c>
      <c r="N1574" s="9" t="s">
        <v>34</v>
      </c>
      <c r="O1574" s="9" t="s">
        <v>423</v>
      </c>
      <c r="S1574" s="9" t="s">
        <v>158</v>
      </c>
      <c r="T1574" s="10" t="s">
        <v>68</v>
      </c>
      <c r="U1574" s="10">
        <v>2</v>
      </c>
      <c r="V1574" s="10">
        <v>141.83000000000001</v>
      </c>
      <c r="W1574" s="10" t="s">
        <v>710</v>
      </c>
      <c r="X1574" s="17">
        <v>44572</v>
      </c>
      <c r="Y1574" s="17">
        <v>44936</v>
      </c>
      <c r="Z1574" s="19" t="s">
        <v>772</v>
      </c>
      <c r="AA1574" s="210">
        <v>40858.800000000003</v>
      </c>
      <c r="AB1574" s="9">
        <v>48</v>
      </c>
      <c r="AC1574" s="9">
        <v>10</v>
      </c>
      <c r="AD1574" s="17">
        <v>44895</v>
      </c>
      <c r="AE1574" s="56">
        <v>625</v>
      </c>
      <c r="AF1574" s="56"/>
      <c r="AG1574" s="9" t="s">
        <v>134</v>
      </c>
      <c r="AH1574" s="17">
        <v>44986</v>
      </c>
      <c r="AI1574" s="17"/>
      <c r="AJ1574" s="17"/>
      <c r="AK1574" s="9" t="s">
        <v>436</v>
      </c>
      <c r="AL1574" s="22">
        <v>625</v>
      </c>
      <c r="AM1574" s="22"/>
      <c r="AN1574" s="22" t="s">
        <v>1885</v>
      </c>
      <c r="AO1574" s="22"/>
      <c r="AP1574" s="11"/>
      <c r="AQ1574" s="11"/>
      <c r="AR1574" s="11"/>
      <c r="AW1574" s="94">
        <v>44984</v>
      </c>
      <c r="AX1574" s="96">
        <v>625</v>
      </c>
      <c r="AY1574" s="142">
        <v>1248</v>
      </c>
      <c r="BA1574" s="11">
        <v>625</v>
      </c>
      <c r="BD1574" s="9"/>
      <c r="CS1574" s="11">
        <f t="shared" si="110"/>
        <v>625</v>
      </c>
      <c r="CT1574" s="22">
        <f t="shared" si="111"/>
        <v>625</v>
      </c>
      <c r="CU1574" s="22">
        <f t="shared" si="112"/>
        <v>0</v>
      </c>
      <c r="CV1574" s="26">
        <f t="shared" si="109"/>
        <v>0</v>
      </c>
    </row>
    <row r="1575" spans="1:103" ht="12.75" x14ac:dyDescent="0.2">
      <c r="A1575" s="9" t="s">
        <v>422</v>
      </c>
      <c r="B1575" s="2">
        <v>22</v>
      </c>
      <c r="C1575" s="3" t="s">
        <v>95</v>
      </c>
      <c r="D1575" s="3" t="s">
        <v>96</v>
      </c>
      <c r="E1575" s="2"/>
      <c r="F1575" s="2"/>
      <c r="G1575" s="2" t="s">
        <v>68</v>
      </c>
      <c r="H1575" s="2">
        <v>2</v>
      </c>
      <c r="I1575" s="8">
        <v>145.31</v>
      </c>
      <c r="J1575" s="8">
        <v>42900</v>
      </c>
      <c r="K1575" s="3">
        <v>0</v>
      </c>
      <c r="L1575" s="3" t="s">
        <v>3</v>
      </c>
      <c r="M1575" s="9" t="s">
        <v>0</v>
      </c>
      <c r="N1575" s="9" t="s">
        <v>34</v>
      </c>
      <c r="O1575" s="9" t="s">
        <v>423</v>
      </c>
      <c r="S1575" s="9" t="s">
        <v>158</v>
      </c>
      <c r="T1575" s="10" t="s">
        <v>68</v>
      </c>
      <c r="U1575" s="10">
        <v>2</v>
      </c>
      <c r="V1575" s="10">
        <v>141.83000000000001</v>
      </c>
      <c r="W1575" s="10" t="s">
        <v>710</v>
      </c>
      <c r="X1575" s="17">
        <v>44572</v>
      </c>
      <c r="Y1575" s="17">
        <v>44936</v>
      </c>
      <c r="Z1575" s="19" t="s">
        <v>772</v>
      </c>
      <c r="AA1575" s="210">
        <v>40858.800000000003</v>
      </c>
      <c r="AB1575" s="9">
        <v>48</v>
      </c>
      <c r="AC1575" s="9">
        <v>11</v>
      </c>
      <c r="AD1575" s="17">
        <v>44925</v>
      </c>
      <c r="AE1575" s="56">
        <v>625</v>
      </c>
      <c r="AF1575" s="56"/>
      <c r="AG1575" s="9" t="s">
        <v>134</v>
      </c>
      <c r="AH1575" s="17">
        <v>45019</v>
      </c>
      <c r="AI1575" s="17"/>
      <c r="AJ1575" s="17"/>
      <c r="AK1575" s="9" t="s">
        <v>1866</v>
      </c>
      <c r="AL1575" s="22">
        <v>625</v>
      </c>
      <c r="AM1575" s="22"/>
      <c r="AN1575" s="22" t="s">
        <v>1887</v>
      </c>
      <c r="AO1575" s="22"/>
      <c r="AP1575" s="11"/>
      <c r="AQ1575" s="11"/>
      <c r="AR1575" s="11"/>
      <c r="AW1575" s="94">
        <v>45016</v>
      </c>
      <c r="AX1575" s="96">
        <v>1368</v>
      </c>
      <c r="AY1575" s="11"/>
      <c r="BA1575" s="142">
        <v>625</v>
      </c>
      <c r="BD1575" s="9"/>
      <c r="CS1575" s="11">
        <f t="shared" si="110"/>
        <v>625</v>
      </c>
      <c r="CT1575" s="22">
        <f t="shared" si="111"/>
        <v>625</v>
      </c>
      <c r="CU1575" s="22">
        <f t="shared" si="112"/>
        <v>0</v>
      </c>
      <c r="CV1575" s="26">
        <f t="shared" si="109"/>
        <v>0</v>
      </c>
    </row>
    <row r="1576" spans="1:103" ht="12.75" x14ac:dyDescent="0.2">
      <c r="A1576" s="9" t="s">
        <v>422</v>
      </c>
      <c r="B1576" s="2">
        <v>22</v>
      </c>
      <c r="C1576" s="3" t="s">
        <v>95</v>
      </c>
      <c r="D1576" s="3" t="s">
        <v>96</v>
      </c>
      <c r="E1576" s="2"/>
      <c r="F1576" s="2"/>
      <c r="G1576" s="2" t="s">
        <v>68</v>
      </c>
      <c r="H1576" s="2">
        <v>2</v>
      </c>
      <c r="I1576" s="8">
        <v>145.31</v>
      </c>
      <c r="J1576" s="8">
        <v>42900</v>
      </c>
      <c r="K1576" s="3">
        <v>0</v>
      </c>
      <c r="L1576" s="3" t="s">
        <v>3</v>
      </c>
      <c r="M1576" s="9" t="s">
        <v>0</v>
      </c>
      <c r="N1576" s="9" t="s">
        <v>34</v>
      </c>
      <c r="O1576" s="9" t="s">
        <v>423</v>
      </c>
      <c r="S1576" s="9" t="s">
        <v>158</v>
      </c>
      <c r="T1576" s="10" t="s">
        <v>68</v>
      </c>
      <c r="U1576" s="10">
        <v>2</v>
      </c>
      <c r="V1576" s="10">
        <v>141.83000000000001</v>
      </c>
      <c r="W1576" s="10" t="s">
        <v>710</v>
      </c>
      <c r="X1576" s="17">
        <v>44572</v>
      </c>
      <c r="Y1576" s="17">
        <v>44936</v>
      </c>
      <c r="Z1576" s="19" t="s">
        <v>772</v>
      </c>
      <c r="AA1576" s="210">
        <v>40858.800000000003</v>
      </c>
      <c r="AB1576" s="9">
        <v>48</v>
      </c>
      <c r="AC1576" s="9">
        <v>12</v>
      </c>
      <c r="AD1576" s="17">
        <v>44956</v>
      </c>
      <c r="AE1576" s="56">
        <v>1250</v>
      </c>
      <c r="AF1576" s="56"/>
      <c r="AG1576" s="9" t="s">
        <v>134</v>
      </c>
      <c r="AH1576" s="17">
        <v>45050</v>
      </c>
      <c r="AI1576" s="17"/>
      <c r="AJ1576" s="17"/>
      <c r="AK1576" s="9" t="s">
        <v>1868</v>
      </c>
      <c r="AL1576" s="22">
        <v>1250</v>
      </c>
      <c r="AM1576" s="22"/>
      <c r="AN1576" s="22" t="s">
        <v>1889</v>
      </c>
      <c r="AO1576" s="22"/>
      <c r="AP1576" s="11"/>
      <c r="AQ1576" s="11"/>
      <c r="AR1576" s="11"/>
      <c r="AW1576" s="94">
        <v>45048</v>
      </c>
      <c r="AX1576" s="96">
        <v>1451</v>
      </c>
      <c r="AY1576" s="142"/>
      <c r="BA1576" s="142">
        <v>1250</v>
      </c>
      <c r="BD1576" s="9"/>
      <c r="CS1576" s="11">
        <f t="shared" si="110"/>
        <v>1250</v>
      </c>
      <c r="CT1576" s="22">
        <f t="shared" si="111"/>
        <v>1250</v>
      </c>
      <c r="CU1576" s="22">
        <f t="shared" si="112"/>
        <v>0</v>
      </c>
      <c r="CV1576" s="26">
        <f t="shared" si="109"/>
        <v>0</v>
      </c>
    </row>
    <row r="1577" spans="1:103" ht="12.75" x14ac:dyDescent="0.2">
      <c r="A1577" s="9" t="s">
        <v>422</v>
      </c>
      <c r="B1577" s="2">
        <v>22</v>
      </c>
      <c r="C1577" s="3" t="s">
        <v>95</v>
      </c>
      <c r="D1577" s="3" t="s">
        <v>96</v>
      </c>
      <c r="E1577" s="2"/>
      <c r="F1577" s="2"/>
      <c r="G1577" s="2" t="s">
        <v>68</v>
      </c>
      <c r="H1577" s="2">
        <v>2</v>
      </c>
      <c r="I1577" s="8">
        <v>145.31</v>
      </c>
      <c r="J1577" s="8">
        <v>42900</v>
      </c>
      <c r="K1577" s="3">
        <v>0</v>
      </c>
      <c r="L1577" s="3" t="s">
        <v>3</v>
      </c>
      <c r="M1577" s="9" t="s">
        <v>0</v>
      </c>
      <c r="N1577" s="9" t="s">
        <v>34</v>
      </c>
      <c r="O1577" s="9" t="s">
        <v>423</v>
      </c>
      <c r="S1577" s="9" t="s">
        <v>158</v>
      </c>
      <c r="T1577" s="10" t="s">
        <v>68</v>
      </c>
      <c r="U1577" s="10">
        <v>2</v>
      </c>
      <c r="V1577" s="10">
        <v>141.83000000000001</v>
      </c>
      <c r="W1577" s="10" t="s">
        <v>710</v>
      </c>
      <c r="X1577" s="17">
        <v>44572</v>
      </c>
      <c r="Y1577" s="17">
        <v>44936</v>
      </c>
      <c r="Z1577" s="19" t="s">
        <v>772</v>
      </c>
      <c r="AA1577" s="210">
        <v>40858.800000000003</v>
      </c>
      <c r="AB1577" s="9">
        <v>48</v>
      </c>
      <c r="AC1577" s="9">
        <v>13</v>
      </c>
      <c r="AD1577" s="17">
        <v>44985</v>
      </c>
      <c r="AE1577" s="56">
        <v>625</v>
      </c>
      <c r="AF1577" s="56"/>
      <c r="AG1577" s="9" t="s">
        <v>134</v>
      </c>
      <c r="AH1577" s="17">
        <v>45079</v>
      </c>
      <c r="AI1577" s="17"/>
      <c r="AJ1577" s="17"/>
      <c r="AK1577" s="9" t="s">
        <v>1869</v>
      </c>
      <c r="AL1577" s="22">
        <v>625</v>
      </c>
      <c r="AM1577" s="22"/>
      <c r="AN1577" s="22" t="s">
        <v>1890</v>
      </c>
      <c r="AO1577" s="22"/>
      <c r="AP1577" s="11"/>
      <c r="AQ1577" s="11"/>
      <c r="AR1577" s="11"/>
      <c r="AW1577" s="94">
        <v>45076</v>
      </c>
      <c r="AX1577" s="96">
        <v>1553</v>
      </c>
      <c r="AY1577" s="142"/>
      <c r="BA1577" s="142">
        <v>625</v>
      </c>
      <c r="BD1577" s="9"/>
      <c r="CS1577" s="11">
        <f t="shared" si="110"/>
        <v>625</v>
      </c>
      <c r="CT1577" s="22">
        <f t="shared" si="111"/>
        <v>625</v>
      </c>
      <c r="CU1577" s="22">
        <f t="shared" si="112"/>
        <v>0</v>
      </c>
      <c r="CV1577" s="26">
        <f t="shared" si="109"/>
        <v>0</v>
      </c>
    </row>
    <row r="1578" spans="1:103" ht="12.75" x14ac:dyDescent="0.2">
      <c r="A1578" s="9" t="s">
        <v>422</v>
      </c>
      <c r="B1578" s="2">
        <v>22</v>
      </c>
      <c r="C1578" s="3" t="s">
        <v>95</v>
      </c>
      <c r="D1578" s="3" t="s">
        <v>96</v>
      </c>
      <c r="E1578" s="2"/>
      <c r="F1578" s="2"/>
      <c r="G1578" s="2" t="s">
        <v>68</v>
      </c>
      <c r="H1578" s="2">
        <v>2</v>
      </c>
      <c r="I1578" s="8">
        <v>145.31</v>
      </c>
      <c r="J1578" s="8">
        <v>42900</v>
      </c>
      <c r="K1578" s="3">
        <v>0</v>
      </c>
      <c r="L1578" s="3" t="s">
        <v>3</v>
      </c>
      <c r="M1578" s="9" t="s">
        <v>0</v>
      </c>
      <c r="N1578" s="9" t="s">
        <v>34</v>
      </c>
      <c r="O1578" s="9" t="s">
        <v>423</v>
      </c>
      <c r="S1578" s="9" t="s">
        <v>158</v>
      </c>
      <c r="T1578" s="10" t="s">
        <v>68</v>
      </c>
      <c r="U1578" s="10">
        <v>2</v>
      </c>
      <c r="V1578" s="10">
        <v>141.83000000000001</v>
      </c>
      <c r="W1578" s="10" t="s">
        <v>710</v>
      </c>
      <c r="X1578" s="17">
        <v>44572</v>
      </c>
      <c r="Y1578" s="17">
        <v>44936</v>
      </c>
      <c r="Z1578" s="19" t="s">
        <v>772</v>
      </c>
      <c r="AA1578" s="210">
        <v>40858.800000000003</v>
      </c>
      <c r="AB1578" s="9">
        <v>48</v>
      </c>
      <c r="AC1578" s="9">
        <v>14</v>
      </c>
      <c r="AD1578" s="17">
        <v>45015</v>
      </c>
      <c r="AE1578" s="56">
        <v>625</v>
      </c>
      <c r="AF1578" s="56"/>
      <c r="AG1578" s="9" t="s">
        <v>134</v>
      </c>
      <c r="AH1578" s="17">
        <v>45110</v>
      </c>
      <c r="AI1578" s="17"/>
      <c r="AJ1578" s="17"/>
      <c r="AK1578" s="9" t="s">
        <v>1871</v>
      </c>
      <c r="AL1578" s="22">
        <v>625</v>
      </c>
      <c r="AM1578" s="22"/>
      <c r="AN1578" s="22" t="s">
        <v>1892</v>
      </c>
      <c r="AO1578" s="22"/>
      <c r="AP1578" s="11"/>
      <c r="AQ1578" s="11"/>
      <c r="AR1578" s="11"/>
      <c r="AW1578" s="94">
        <v>45110</v>
      </c>
      <c r="AX1578" s="96">
        <v>1668</v>
      </c>
      <c r="AY1578" s="11"/>
      <c r="BA1578" s="142">
        <v>625</v>
      </c>
      <c r="BD1578" s="9"/>
      <c r="CS1578" s="11">
        <f t="shared" si="110"/>
        <v>625</v>
      </c>
      <c r="CT1578" s="22">
        <f t="shared" si="111"/>
        <v>625</v>
      </c>
      <c r="CU1578" s="22">
        <f t="shared" si="112"/>
        <v>0</v>
      </c>
      <c r="CV1578" s="26">
        <f t="shared" si="109"/>
        <v>0</v>
      </c>
    </row>
    <row r="1579" spans="1:103" ht="12.75" x14ac:dyDescent="0.2">
      <c r="A1579" s="9" t="s">
        <v>422</v>
      </c>
      <c r="B1579" s="2">
        <v>22</v>
      </c>
      <c r="C1579" s="3" t="s">
        <v>95</v>
      </c>
      <c r="D1579" s="3" t="s">
        <v>96</v>
      </c>
      <c r="E1579" s="2"/>
      <c r="F1579" s="2"/>
      <c r="G1579" s="2" t="s">
        <v>68</v>
      </c>
      <c r="H1579" s="2">
        <v>2</v>
      </c>
      <c r="I1579" s="8">
        <v>145.31</v>
      </c>
      <c r="J1579" s="8">
        <v>42900</v>
      </c>
      <c r="K1579" s="3">
        <v>0</v>
      </c>
      <c r="L1579" s="3" t="s">
        <v>3</v>
      </c>
      <c r="M1579" s="9" t="s">
        <v>0</v>
      </c>
      <c r="N1579" s="9" t="s">
        <v>34</v>
      </c>
      <c r="O1579" s="9" t="s">
        <v>423</v>
      </c>
      <c r="S1579" s="9" t="s">
        <v>158</v>
      </c>
      <c r="T1579" s="10" t="s">
        <v>68</v>
      </c>
      <c r="U1579" s="10">
        <v>2</v>
      </c>
      <c r="V1579" s="10">
        <v>141.83000000000001</v>
      </c>
      <c r="W1579" s="10" t="s">
        <v>710</v>
      </c>
      <c r="X1579" s="17">
        <v>44572</v>
      </c>
      <c r="Y1579" s="17">
        <v>44936</v>
      </c>
      <c r="Z1579" s="19" t="s">
        <v>772</v>
      </c>
      <c r="AA1579" s="210">
        <v>40858.800000000003</v>
      </c>
      <c r="AB1579" s="9">
        <v>48</v>
      </c>
      <c r="AC1579" s="9">
        <v>15</v>
      </c>
      <c r="AD1579" s="17">
        <v>45046</v>
      </c>
      <c r="AE1579" s="56">
        <v>625</v>
      </c>
      <c r="AF1579" s="56"/>
      <c r="AG1579" s="9" t="s">
        <v>134</v>
      </c>
      <c r="AH1579" s="17">
        <v>45145</v>
      </c>
      <c r="AI1579" s="17"/>
      <c r="AJ1579" s="17"/>
      <c r="AK1579" s="9" t="s">
        <v>1873</v>
      </c>
      <c r="AL1579" s="22">
        <v>625</v>
      </c>
      <c r="AM1579" s="22"/>
      <c r="AN1579" s="22" t="s">
        <v>1894</v>
      </c>
      <c r="AO1579" s="22"/>
      <c r="AP1579" s="11"/>
      <c r="AQ1579" s="11"/>
      <c r="AR1579" s="11"/>
      <c r="AW1579" s="94">
        <v>45138</v>
      </c>
      <c r="AX1579" s="96">
        <v>1761</v>
      </c>
      <c r="AY1579" s="11"/>
      <c r="BA1579" s="142">
        <v>625</v>
      </c>
      <c r="BD1579" s="9"/>
      <c r="CS1579" s="11">
        <f t="shared" si="110"/>
        <v>625</v>
      </c>
      <c r="CT1579" s="22">
        <f t="shared" si="111"/>
        <v>625</v>
      </c>
      <c r="CU1579" s="22">
        <f t="shared" si="112"/>
        <v>0</v>
      </c>
      <c r="CV1579" s="26">
        <f t="shared" si="109"/>
        <v>0</v>
      </c>
    </row>
    <row r="1580" spans="1:103" x14ac:dyDescent="0.2">
      <c r="A1580" s="9" t="s">
        <v>422</v>
      </c>
      <c r="B1580" s="2">
        <v>22</v>
      </c>
      <c r="C1580" s="3" t="s">
        <v>95</v>
      </c>
      <c r="D1580" s="3" t="s">
        <v>96</v>
      </c>
      <c r="E1580" s="2"/>
      <c r="F1580" s="2"/>
      <c r="G1580" s="2" t="s">
        <v>68</v>
      </c>
      <c r="H1580" s="2">
        <v>2</v>
      </c>
      <c r="I1580" s="8">
        <v>145.31</v>
      </c>
      <c r="J1580" s="8">
        <v>42900</v>
      </c>
      <c r="K1580" s="3">
        <v>0</v>
      </c>
      <c r="L1580" s="3" t="s">
        <v>3</v>
      </c>
      <c r="M1580" s="9" t="s">
        <v>0</v>
      </c>
      <c r="N1580" s="9" t="s">
        <v>34</v>
      </c>
      <c r="O1580" s="9" t="s">
        <v>423</v>
      </c>
      <c r="S1580" s="9" t="s">
        <v>158</v>
      </c>
      <c r="T1580" s="10" t="s">
        <v>68</v>
      </c>
      <c r="U1580" s="10">
        <v>2</v>
      </c>
      <c r="V1580" s="10">
        <v>141.83000000000001</v>
      </c>
      <c r="W1580" s="10" t="s">
        <v>710</v>
      </c>
      <c r="X1580" s="17">
        <v>44572</v>
      </c>
      <c r="Y1580" s="17">
        <v>44936</v>
      </c>
      <c r="Z1580" s="19" t="s">
        <v>772</v>
      </c>
      <c r="AA1580" s="210">
        <v>40858.800000000003</v>
      </c>
      <c r="AB1580" s="9">
        <v>48</v>
      </c>
      <c r="AC1580" s="9">
        <v>16</v>
      </c>
      <c r="AD1580" s="17">
        <v>45076</v>
      </c>
      <c r="AE1580" s="56">
        <v>625</v>
      </c>
      <c r="AF1580" s="56"/>
      <c r="AG1580" s="9" t="s">
        <v>134</v>
      </c>
      <c r="AH1580" s="17">
        <v>45174</v>
      </c>
      <c r="AI1580" s="17"/>
      <c r="AJ1580" s="17"/>
      <c r="AK1580" s="9" t="s">
        <v>1875</v>
      </c>
      <c r="AL1580" s="22">
        <v>625</v>
      </c>
      <c r="AM1580" s="22"/>
      <c r="AN1580" s="22" t="s">
        <v>1896</v>
      </c>
      <c r="AO1580" s="22"/>
      <c r="AW1580" s="17">
        <v>45169</v>
      </c>
      <c r="AX1580" s="10">
        <v>806740</v>
      </c>
      <c r="AY1580" s="11">
        <v>2318.75</v>
      </c>
      <c r="AZ1580" s="86">
        <v>3.71</v>
      </c>
      <c r="BA1580" s="11">
        <f>+AY1580/AZ1580</f>
        <v>625</v>
      </c>
      <c r="BD1580" s="9"/>
      <c r="CS1580" s="11">
        <f t="shared" si="110"/>
        <v>625</v>
      </c>
      <c r="CT1580" s="22">
        <f t="shared" si="111"/>
        <v>625</v>
      </c>
      <c r="CU1580" s="22">
        <f t="shared" si="112"/>
        <v>0</v>
      </c>
      <c r="CV1580" s="26">
        <f t="shared" si="109"/>
        <v>0</v>
      </c>
    </row>
    <row r="1581" spans="1:103" ht="12.75" x14ac:dyDescent="0.2">
      <c r="A1581" s="9" t="s">
        <v>422</v>
      </c>
      <c r="B1581" s="2">
        <v>22</v>
      </c>
      <c r="C1581" s="3" t="s">
        <v>95</v>
      </c>
      <c r="D1581" s="3" t="s">
        <v>96</v>
      </c>
      <c r="E1581" s="2"/>
      <c r="F1581" s="2"/>
      <c r="G1581" s="2" t="s">
        <v>68</v>
      </c>
      <c r="H1581" s="2">
        <v>2</v>
      </c>
      <c r="I1581" s="8">
        <v>145.31</v>
      </c>
      <c r="J1581" s="8">
        <v>42900</v>
      </c>
      <c r="K1581" s="3">
        <v>0</v>
      </c>
      <c r="L1581" s="3" t="s">
        <v>3</v>
      </c>
      <c r="M1581" s="9" t="s">
        <v>0</v>
      </c>
      <c r="N1581" s="9" t="s">
        <v>34</v>
      </c>
      <c r="O1581" s="9" t="s">
        <v>423</v>
      </c>
      <c r="S1581" s="9" t="s">
        <v>158</v>
      </c>
      <c r="T1581" s="10" t="s">
        <v>68</v>
      </c>
      <c r="U1581" s="10">
        <v>2</v>
      </c>
      <c r="V1581" s="10">
        <v>141.83000000000001</v>
      </c>
      <c r="W1581" s="10" t="s">
        <v>710</v>
      </c>
      <c r="X1581" s="17">
        <v>44572</v>
      </c>
      <c r="Y1581" s="17">
        <v>44936</v>
      </c>
      <c r="Z1581" s="19" t="s">
        <v>772</v>
      </c>
      <c r="AA1581" s="210">
        <v>40858.800000000003</v>
      </c>
      <c r="AB1581" s="9">
        <v>48</v>
      </c>
      <c r="AC1581" s="9">
        <v>17</v>
      </c>
      <c r="AD1581" s="17">
        <v>45107</v>
      </c>
      <c r="AE1581" s="56">
        <v>625</v>
      </c>
      <c r="AF1581" s="56"/>
      <c r="AG1581" s="9" t="s">
        <v>134</v>
      </c>
      <c r="AH1581" s="17">
        <v>45201</v>
      </c>
      <c r="AI1581" s="17"/>
      <c r="AJ1581" s="17"/>
      <c r="AK1581" s="9" t="s">
        <v>1878</v>
      </c>
      <c r="AL1581" s="22">
        <v>625</v>
      </c>
      <c r="AM1581" s="22"/>
      <c r="AN1581" s="22" t="s">
        <v>1899</v>
      </c>
      <c r="AO1581" s="22"/>
      <c r="AW1581" s="97">
        <v>45199</v>
      </c>
      <c r="AX1581" s="148">
        <v>930326</v>
      </c>
      <c r="AY1581" s="151">
        <v>2406.25</v>
      </c>
      <c r="AZ1581" s="9">
        <v>3.85</v>
      </c>
      <c r="BA1581" s="11">
        <f>+AY1581/AZ1581</f>
        <v>625</v>
      </c>
      <c r="BD1581" s="9"/>
      <c r="CS1581" s="11">
        <f t="shared" si="110"/>
        <v>625</v>
      </c>
      <c r="CT1581" s="22">
        <f t="shared" si="111"/>
        <v>625</v>
      </c>
      <c r="CU1581" s="22">
        <f t="shared" si="112"/>
        <v>0</v>
      </c>
      <c r="CV1581" s="26">
        <f t="shared" si="109"/>
        <v>0</v>
      </c>
    </row>
    <row r="1582" spans="1:103" x14ac:dyDescent="0.2">
      <c r="A1582" s="9" t="s">
        <v>422</v>
      </c>
      <c r="B1582" s="2">
        <v>22</v>
      </c>
      <c r="C1582" s="3" t="s">
        <v>95</v>
      </c>
      <c r="D1582" s="3" t="s">
        <v>96</v>
      </c>
      <c r="E1582" s="2"/>
      <c r="F1582" s="2"/>
      <c r="G1582" s="2" t="s">
        <v>68</v>
      </c>
      <c r="H1582" s="2">
        <v>2</v>
      </c>
      <c r="I1582" s="8">
        <v>145.31</v>
      </c>
      <c r="J1582" s="8">
        <v>42900</v>
      </c>
      <c r="K1582" s="3">
        <v>0</v>
      </c>
      <c r="L1582" s="3" t="s">
        <v>3</v>
      </c>
      <c r="M1582" s="9" t="s">
        <v>0</v>
      </c>
      <c r="N1582" s="9" t="s">
        <v>34</v>
      </c>
      <c r="O1582" s="9" t="s">
        <v>423</v>
      </c>
      <c r="S1582" s="9" t="s">
        <v>158</v>
      </c>
      <c r="T1582" s="10" t="s">
        <v>68</v>
      </c>
      <c r="U1582" s="10">
        <v>2</v>
      </c>
      <c r="V1582" s="10">
        <v>141.83000000000001</v>
      </c>
      <c r="W1582" s="10" t="s">
        <v>710</v>
      </c>
      <c r="X1582" s="17">
        <v>44572</v>
      </c>
      <c r="Y1582" s="17">
        <v>44936</v>
      </c>
      <c r="Z1582" s="19" t="s">
        <v>772</v>
      </c>
      <c r="AA1582" s="210">
        <v>40858.800000000003</v>
      </c>
      <c r="AB1582" s="9">
        <v>48</v>
      </c>
      <c r="AC1582" s="9">
        <v>18</v>
      </c>
      <c r="AD1582" s="17">
        <v>45137</v>
      </c>
      <c r="AE1582" s="56">
        <v>625</v>
      </c>
      <c r="AF1582" s="56"/>
      <c r="AG1582" s="9" t="s">
        <v>134</v>
      </c>
      <c r="AH1582" s="17">
        <v>45232</v>
      </c>
      <c r="AI1582" s="17"/>
      <c r="AJ1582" s="17"/>
      <c r="AK1582" s="9" t="s">
        <v>1879</v>
      </c>
      <c r="AL1582" s="22">
        <v>625</v>
      </c>
      <c r="AM1582" s="22"/>
      <c r="AN1582" s="22" t="s">
        <v>1900</v>
      </c>
      <c r="AO1582" s="22"/>
      <c r="AW1582" s="27"/>
      <c r="AX1582" s="69"/>
      <c r="AY1582" s="28"/>
      <c r="AZ1582" s="27"/>
      <c r="BA1582" s="28"/>
      <c r="BB1582" s="11" t="s">
        <v>1348</v>
      </c>
      <c r="BD1582" s="9"/>
      <c r="CS1582" s="11">
        <f t="shared" si="110"/>
        <v>625</v>
      </c>
      <c r="CT1582" s="22">
        <f t="shared" si="111"/>
        <v>0</v>
      </c>
      <c r="CU1582" s="22">
        <f t="shared" si="112"/>
        <v>625</v>
      </c>
      <c r="CV1582" s="26">
        <f t="shared" si="109"/>
        <v>0</v>
      </c>
      <c r="CW1582" s="9" t="s">
        <v>3494</v>
      </c>
      <c r="CY1582" s="9" t="s">
        <v>3493</v>
      </c>
    </row>
    <row r="1583" spans="1:103" ht="12.75" x14ac:dyDescent="0.2">
      <c r="A1583" s="9" t="s">
        <v>422</v>
      </c>
      <c r="B1583" s="2">
        <v>22</v>
      </c>
      <c r="C1583" s="3" t="s">
        <v>95</v>
      </c>
      <c r="D1583" s="3" t="s">
        <v>96</v>
      </c>
      <c r="E1583" s="2"/>
      <c r="F1583" s="2"/>
      <c r="G1583" s="2" t="s">
        <v>68</v>
      </c>
      <c r="H1583" s="2">
        <v>2</v>
      </c>
      <c r="I1583" s="8">
        <v>145.31</v>
      </c>
      <c r="J1583" s="8">
        <v>42900</v>
      </c>
      <c r="K1583" s="3">
        <v>0</v>
      </c>
      <c r="L1583" s="3" t="s">
        <v>3</v>
      </c>
      <c r="M1583" s="9" t="s">
        <v>0</v>
      </c>
      <c r="N1583" s="9" t="s">
        <v>34</v>
      </c>
      <c r="O1583" s="9" t="s">
        <v>423</v>
      </c>
      <c r="S1583" s="9" t="s">
        <v>158</v>
      </c>
      <c r="T1583" s="10" t="s">
        <v>68</v>
      </c>
      <c r="U1583" s="10">
        <v>2</v>
      </c>
      <c r="V1583" s="10">
        <v>141.83000000000001</v>
      </c>
      <c r="W1583" s="10" t="s">
        <v>710</v>
      </c>
      <c r="X1583" s="17">
        <v>44572</v>
      </c>
      <c r="Y1583" s="17">
        <v>44936</v>
      </c>
      <c r="Z1583" s="19" t="s">
        <v>772</v>
      </c>
      <c r="AA1583" s="210">
        <v>40858.800000000003</v>
      </c>
      <c r="AB1583" s="9">
        <v>48</v>
      </c>
      <c r="AC1583" s="9">
        <v>19</v>
      </c>
      <c r="AD1583" s="17">
        <v>45168</v>
      </c>
      <c r="AE1583" s="56">
        <v>625</v>
      </c>
      <c r="AF1583" s="56"/>
      <c r="AG1583" s="9" t="s">
        <v>134</v>
      </c>
      <c r="AH1583" s="17">
        <v>45267</v>
      </c>
      <c r="AI1583" s="17"/>
      <c r="AJ1583" s="17"/>
      <c r="AK1583" s="9" t="s">
        <v>1881</v>
      </c>
      <c r="AL1583" s="22">
        <v>625</v>
      </c>
      <c r="AM1583" s="22"/>
      <c r="AN1583" s="22" t="s">
        <v>1902</v>
      </c>
      <c r="AO1583" s="22"/>
      <c r="AW1583" s="97">
        <v>45265</v>
      </c>
      <c r="AX1583" s="149">
        <v>743324</v>
      </c>
      <c r="AY1583" s="152">
        <v>2343.75</v>
      </c>
      <c r="AZ1583" s="9">
        <v>3.75</v>
      </c>
      <c r="BA1583" s="11">
        <f>+AY1583/AZ1583</f>
        <v>625</v>
      </c>
      <c r="BD1583" s="9"/>
      <c r="CS1583" s="11">
        <f t="shared" si="110"/>
        <v>625</v>
      </c>
      <c r="CT1583" s="22">
        <f t="shared" si="111"/>
        <v>625</v>
      </c>
      <c r="CU1583" s="22">
        <f t="shared" si="112"/>
        <v>0</v>
      </c>
      <c r="CV1583" s="26">
        <f t="shared" si="109"/>
        <v>0</v>
      </c>
    </row>
    <row r="1584" spans="1:103" ht="12.75" x14ac:dyDescent="0.2">
      <c r="A1584" s="9" t="s">
        <v>422</v>
      </c>
      <c r="B1584" s="2">
        <v>22</v>
      </c>
      <c r="C1584" s="3" t="s">
        <v>95</v>
      </c>
      <c r="D1584" s="3" t="s">
        <v>96</v>
      </c>
      <c r="E1584" s="2"/>
      <c r="F1584" s="2"/>
      <c r="G1584" s="2" t="s">
        <v>68</v>
      </c>
      <c r="H1584" s="2">
        <v>2</v>
      </c>
      <c r="I1584" s="8">
        <v>145.31</v>
      </c>
      <c r="J1584" s="8">
        <v>42900</v>
      </c>
      <c r="K1584" s="3">
        <v>0</v>
      </c>
      <c r="L1584" s="3" t="s">
        <v>3</v>
      </c>
      <c r="M1584" s="9" t="s">
        <v>0</v>
      </c>
      <c r="N1584" s="9" t="s">
        <v>34</v>
      </c>
      <c r="O1584" s="9" t="s">
        <v>423</v>
      </c>
      <c r="S1584" s="9" t="s">
        <v>158</v>
      </c>
      <c r="T1584" s="10" t="s">
        <v>68</v>
      </c>
      <c r="U1584" s="10">
        <v>2</v>
      </c>
      <c r="V1584" s="10">
        <v>141.83000000000001</v>
      </c>
      <c r="W1584" s="10" t="s">
        <v>710</v>
      </c>
      <c r="X1584" s="17">
        <v>44572</v>
      </c>
      <c r="Y1584" s="17">
        <v>44936</v>
      </c>
      <c r="Z1584" s="19" t="s">
        <v>772</v>
      </c>
      <c r="AA1584" s="210">
        <v>40858.800000000003</v>
      </c>
      <c r="AB1584" s="9">
        <v>48</v>
      </c>
      <c r="AC1584" s="9">
        <v>20</v>
      </c>
      <c r="AD1584" s="17">
        <v>45199</v>
      </c>
      <c r="AE1584" s="56">
        <v>625</v>
      </c>
      <c r="AF1584" s="56"/>
      <c r="AG1584" s="9" t="s">
        <v>134</v>
      </c>
      <c r="AH1584" s="17">
        <v>45300</v>
      </c>
      <c r="AI1584" s="17"/>
      <c r="AJ1584" s="17"/>
      <c r="AK1584" s="9" t="s">
        <v>1843</v>
      </c>
      <c r="AL1584" s="22">
        <v>625</v>
      </c>
      <c r="AM1584" s="22"/>
      <c r="AN1584" s="22" t="s">
        <v>1904</v>
      </c>
      <c r="AO1584" s="22"/>
      <c r="AW1584" s="97">
        <v>45296</v>
      </c>
      <c r="AX1584" s="148">
        <v>2189</v>
      </c>
      <c r="AY1584" s="153"/>
      <c r="BA1584" s="126">
        <v>625</v>
      </c>
      <c r="BD1584" s="9"/>
      <c r="CS1584" s="11">
        <f t="shared" si="110"/>
        <v>625</v>
      </c>
      <c r="CT1584" s="22">
        <f t="shared" si="111"/>
        <v>625</v>
      </c>
      <c r="CU1584" s="22">
        <f t="shared" si="112"/>
        <v>0</v>
      </c>
      <c r="CV1584" s="26">
        <f t="shared" si="109"/>
        <v>0</v>
      </c>
    </row>
    <row r="1585" spans="1:100" ht="12.75" x14ac:dyDescent="0.2">
      <c r="A1585" s="9" t="s">
        <v>422</v>
      </c>
      <c r="B1585" s="2">
        <v>22</v>
      </c>
      <c r="C1585" s="3" t="s">
        <v>95</v>
      </c>
      <c r="D1585" s="3" t="s">
        <v>96</v>
      </c>
      <c r="E1585" s="2"/>
      <c r="F1585" s="2"/>
      <c r="G1585" s="2" t="s">
        <v>68</v>
      </c>
      <c r="H1585" s="2">
        <v>2</v>
      </c>
      <c r="I1585" s="8">
        <v>145.31</v>
      </c>
      <c r="J1585" s="8">
        <v>42900</v>
      </c>
      <c r="K1585" s="3">
        <v>0</v>
      </c>
      <c r="L1585" s="3" t="s">
        <v>3</v>
      </c>
      <c r="M1585" s="9" t="s">
        <v>0</v>
      </c>
      <c r="N1585" s="9" t="s">
        <v>34</v>
      </c>
      <c r="O1585" s="9" t="s">
        <v>423</v>
      </c>
      <c r="S1585" s="9" t="s">
        <v>158</v>
      </c>
      <c r="T1585" s="10" t="s">
        <v>68</v>
      </c>
      <c r="U1585" s="10">
        <v>2</v>
      </c>
      <c r="V1585" s="10">
        <v>141.83000000000001</v>
      </c>
      <c r="W1585" s="10" t="s">
        <v>710</v>
      </c>
      <c r="X1585" s="17">
        <v>44572</v>
      </c>
      <c r="Y1585" s="17">
        <v>44936</v>
      </c>
      <c r="Z1585" s="19" t="s">
        <v>772</v>
      </c>
      <c r="AA1585" s="210">
        <v>40858.800000000003</v>
      </c>
      <c r="AB1585" s="9">
        <v>48</v>
      </c>
      <c r="AC1585" s="9">
        <v>21</v>
      </c>
      <c r="AD1585" s="17">
        <v>45229</v>
      </c>
      <c r="AE1585" s="56">
        <v>625</v>
      </c>
      <c r="AF1585" s="56"/>
      <c r="AG1585" s="9" t="s">
        <v>134</v>
      </c>
      <c r="AH1585" s="17">
        <v>45334</v>
      </c>
      <c r="AI1585" s="17"/>
      <c r="AJ1585" s="17"/>
      <c r="AK1585" s="9" t="s">
        <v>1845</v>
      </c>
      <c r="AL1585" s="22">
        <v>625</v>
      </c>
      <c r="AM1585" s="22"/>
      <c r="AN1585" s="22" t="s">
        <v>1906</v>
      </c>
      <c r="AO1585" s="22"/>
      <c r="AW1585" s="97">
        <v>45323</v>
      </c>
      <c r="AX1585" s="148">
        <v>2262</v>
      </c>
      <c r="AY1585" s="153"/>
      <c r="BA1585" s="152">
        <v>625</v>
      </c>
      <c r="BD1585" s="9"/>
      <c r="CS1585" s="11">
        <f t="shared" si="110"/>
        <v>625</v>
      </c>
      <c r="CT1585" s="22">
        <f t="shared" si="111"/>
        <v>625</v>
      </c>
      <c r="CU1585" s="22">
        <f t="shared" si="112"/>
        <v>0</v>
      </c>
      <c r="CV1585" s="26">
        <f t="shared" si="109"/>
        <v>0</v>
      </c>
    </row>
    <row r="1586" spans="1:100" ht="12.75" x14ac:dyDescent="0.2">
      <c r="A1586" s="9" t="s">
        <v>422</v>
      </c>
      <c r="B1586" s="2">
        <v>22</v>
      </c>
      <c r="C1586" s="3" t="s">
        <v>95</v>
      </c>
      <c r="D1586" s="3" t="s">
        <v>96</v>
      </c>
      <c r="E1586" s="2"/>
      <c r="F1586" s="2"/>
      <c r="G1586" s="2" t="s">
        <v>68</v>
      </c>
      <c r="H1586" s="2">
        <v>2</v>
      </c>
      <c r="I1586" s="8">
        <v>145.31</v>
      </c>
      <c r="J1586" s="8">
        <v>42900</v>
      </c>
      <c r="K1586" s="3">
        <v>0</v>
      </c>
      <c r="L1586" s="3" t="s">
        <v>3</v>
      </c>
      <c r="M1586" s="9" t="s">
        <v>0</v>
      </c>
      <c r="N1586" s="9" t="s">
        <v>34</v>
      </c>
      <c r="O1586" s="9" t="s">
        <v>423</v>
      </c>
      <c r="S1586" s="9" t="s">
        <v>158</v>
      </c>
      <c r="T1586" s="10" t="s">
        <v>68</v>
      </c>
      <c r="U1586" s="10">
        <v>2</v>
      </c>
      <c r="V1586" s="10">
        <v>141.83000000000001</v>
      </c>
      <c r="W1586" s="10" t="s">
        <v>710</v>
      </c>
      <c r="X1586" s="17">
        <v>44572</v>
      </c>
      <c r="Y1586" s="17">
        <v>44936</v>
      </c>
      <c r="Z1586" s="19" t="s">
        <v>772</v>
      </c>
      <c r="AA1586" s="210">
        <v>40858.800000000003</v>
      </c>
      <c r="AB1586" s="9">
        <v>48</v>
      </c>
      <c r="AC1586" s="9">
        <v>22</v>
      </c>
      <c r="AD1586" s="17">
        <v>45260</v>
      </c>
      <c r="AE1586" s="56">
        <v>625</v>
      </c>
      <c r="AF1586" s="56"/>
      <c r="AG1586" s="9" t="s">
        <v>134</v>
      </c>
      <c r="AH1586" s="17">
        <v>45355</v>
      </c>
      <c r="AI1586" s="17"/>
      <c r="AJ1586" s="17"/>
      <c r="AK1586" s="9" t="s">
        <v>1847</v>
      </c>
      <c r="AL1586" s="22">
        <v>625</v>
      </c>
      <c r="AM1586" s="22"/>
      <c r="AN1586" s="22" t="s">
        <v>1908</v>
      </c>
      <c r="AO1586" s="22"/>
      <c r="AW1586" s="97">
        <v>45353</v>
      </c>
      <c r="AX1586" s="148">
        <v>829513</v>
      </c>
      <c r="AY1586" s="152">
        <v>2356.25</v>
      </c>
      <c r="AZ1586" s="98">
        <v>3.77</v>
      </c>
      <c r="BA1586" s="22">
        <f>+AY1586/AZ1586</f>
        <v>625</v>
      </c>
      <c r="BD1586" s="9"/>
      <c r="CS1586" s="11">
        <f t="shared" si="110"/>
        <v>625</v>
      </c>
      <c r="CT1586" s="22">
        <f t="shared" si="111"/>
        <v>625</v>
      </c>
      <c r="CU1586" s="22">
        <f t="shared" si="112"/>
        <v>0</v>
      </c>
      <c r="CV1586" s="26">
        <f t="shared" si="109"/>
        <v>0</v>
      </c>
    </row>
    <row r="1587" spans="1:100" ht="12.75" x14ac:dyDescent="0.2">
      <c r="A1587" s="9" t="s">
        <v>422</v>
      </c>
      <c r="B1587" s="2">
        <v>22</v>
      </c>
      <c r="C1587" s="3" t="s">
        <v>95</v>
      </c>
      <c r="D1587" s="3" t="s">
        <v>96</v>
      </c>
      <c r="E1587" s="2"/>
      <c r="F1587" s="2"/>
      <c r="G1587" s="2" t="s">
        <v>68</v>
      </c>
      <c r="H1587" s="2">
        <v>2</v>
      </c>
      <c r="I1587" s="8">
        <v>145.31</v>
      </c>
      <c r="J1587" s="8">
        <v>42900</v>
      </c>
      <c r="K1587" s="3">
        <v>0</v>
      </c>
      <c r="L1587" s="3" t="s">
        <v>3</v>
      </c>
      <c r="M1587" s="9" t="s">
        <v>0</v>
      </c>
      <c r="N1587" s="9" t="s">
        <v>34</v>
      </c>
      <c r="O1587" s="9" t="s">
        <v>423</v>
      </c>
      <c r="S1587" s="9" t="s">
        <v>158</v>
      </c>
      <c r="T1587" s="10" t="s">
        <v>68</v>
      </c>
      <c r="U1587" s="10">
        <v>2</v>
      </c>
      <c r="V1587" s="10">
        <v>141.83000000000001</v>
      </c>
      <c r="W1587" s="10" t="s">
        <v>710</v>
      </c>
      <c r="X1587" s="17">
        <v>44572</v>
      </c>
      <c r="Y1587" s="17">
        <v>44936</v>
      </c>
      <c r="Z1587" s="19" t="s">
        <v>772</v>
      </c>
      <c r="AA1587" s="210">
        <v>40858.800000000003</v>
      </c>
      <c r="AB1587" s="9">
        <v>48</v>
      </c>
      <c r="AC1587" s="9">
        <v>23</v>
      </c>
      <c r="AD1587" s="17">
        <v>45290</v>
      </c>
      <c r="AE1587" s="56">
        <v>625</v>
      </c>
      <c r="AF1587" s="56"/>
      <c r="AG1587" s="9" t="s">
        <v>134</v>
      </c>
      <c r="AH1587" s="17">
        <v>45397</v>
      </c>
      <c r="AI1587" s="17"/>
      <c r="AJ1587" s="17"/>
      <c r="AK1587" s="9" t="s">
        <v>1849</v>
      </c>
      <c r="AL1587" s="11">
        <v>625</v>
      </c>
      <c r="AN1587" s="11" t="s">
        <v>1910</v>
      </c>
      <c r="AW1587" s="97">
        <v>45397</v>
      </c>
      <c r="AX1587" s="148">
        <v>2528</v>
      </c>
      <c r="AY1587" s="22"/>
      <c r="BA1587" s="22">
        <v>625</v>
      </c>
      <c r="BD1587" s="9"/>
      <c r="CS1587" s="11">
        <f t="shared" si="110"/>
        <v>625</v>
      </c>
      <c r="CT1587" s="22">
        <f t="shared" si="111"/>
        <v>625</v>
      </c>
      <c r="CU1587" s="22">
        <f t="shared" si="112"/>
        <v>0</v>
      </c>
      <c r="CV1587" s="26">
        <f t="shared" si="109"/>
        <v>0</v>
      </c>
    </row>
    <row r="1588" spans="1:100" ht="12" customHeight="1" x14ac:dyDescent="0.25">
      <c r="A1588" s="9" t="s">
        <v>422</v>
      </c>
      <c r="B1588" s="2">
        <v>22</v>
      </c>
      <c r="C1588" s="3" t="s">
        <v>95</v>
      </c>
      <c r="D1588" s="3" t="s">
        <v>96</v>
      </c>
      <c r="E1588" s="2"/>
      <c r="F1588" s="2"/>
      <c r="G1588" s="2" t="s">
        <v>68</v>
      </c>
      <c r="H1588" s="2">
        <v>2</v>
      </c>
      <c r="I1588" s="8">
        <v>145.31</v>
      </c>
      <c r="J1588" s="8">
        <v>42900</v>
      </c>
      <c r="K1588" s="3">
        <v>0</v>
      </c>
      <c r="L1588" s="3" t="s">
        <v>3</v>
      </c>
      <c r="M1588" s="9" t="s">
        <v>0</v>
      </c>
      <c r="N1588" s="9" t="s">
        <v>34</v>
      </c>
      <c r="O1588" s="9" t="s">
        <v>423</v>
      </c>
      <c r="S1588" s="9" t="s">
        <v>158</v>
      </c>
      <c r="T1588" s="10" t="s">
        <v>68</v>
      </c>
      <c r="U1588" s="10">
        <v>2</v>
      </c>
      <c r="V1588" s="10">
        <v>141.83000000000001</v>
      </c>
      <c r="W1588" s="10" t="s">
        <v>710</v>
      </c>
      <c r="X1588" s="17">
        <v>44572</v>
      </c>
      <c r="Y1588" s="17">
        <v>44936</v>
      </c>
      <c r="Z1588" s="19" t="s">
        <v>772</v>
      </c>
      <c r="AA1588" s="210">
        <v>40858.800000000003</v>
      </c>
      <c r="AB1588" s="9">
        <v>48</v>
      </c>
      <c r="AC1588" s="9">
        <v>24</v>
      </c>
      <c r="AD1588" s="17">
        <v>45321</v>
      </c>
      <c r="AE1588" s="56">
        <v>625</v>
      </c>
      <c r="AF1588" s="56"/>
      <c r="AG1588" s="9" t="s">
        <v>134</v>
      </c>
      <c r="AH1588" s="17">
        <v>45444</v>
      </c>
      <c r="AI1588" s="17"/>
      <c r="AJ1588" s="17"/>
      <c r="AK1588" s="9" t="s">
        <v>1851</v>
      </c>
      <c r="AL1588" s="11">
        <v>625</v>
      </c>
      <c r="AN1588" s="11" t="s">
        <v>1912</v>
      </c>
      <c r="AW1588" s="17">
        <v>45443</v>
      </c>
      <c r="AX1588" s="150">
        <v>2712</v>
      </c>
      <c r="AY1588" s="22"/>
      <c r="BA1588" s="22">
        <v>625</v>
      </c>
      <c r="BC1588" s="17"/>
      <c r="BD1588" s="9"/>
      <c r="BG1588" s="11"/>
      <c r="BH1588" s="11"/>
      <c r="CS1588" s="11">
        <f t="shared" si="110"/>
        <v>625</v>
      </c>
      <c r="CT1588" s="22">
        <f t="shared" si="111"/>
        <v>625</v>
      </c>
      <c r="CU1588" s="22">
        <f t="shared" si="112"/>
        <v>0</v>
      </c>
      <c r="CV1588" s="26">
        <f t="shared" si="109"/>
        <v>0</v>
      </c>
    </row>
    <row r="1589" spans="1:100" ht="12" customHeight="1" x14ac:dyDescent="0.25">
      <c r="A1589" s="9" t="s">
        <v>422</v>
      </c>
      <c r="B1589" s="2">
        <v>22</v>
      </c>
      <c r="C1589" s="3" t="s">
        <v>95</v>
      </c>
      <c r="D1589" s="3" t="s">
        <v>96</v>
      </c>
      <c r="E1589" s="2"/>
      <c r="F1589" s="2"/>
      <c r="G1589" s="2" t="s">
        <v>68</v>
      </c>
      <c r="H1589" s="2">
        <v>2</v>
      </c>
      <c r="I1589" s="8">
        <v>145.31</v>
      </c>
      <c r="J1589" s="8">
        <v>42900</v>
      </c>
      <c r="K1589" s="3">
        <v>0</v>
      </c>
      <c r="L1589" s="3" t="s">
        <v>3</v>
      </c>
      <c r="M1589" s="9" t="s">
        <v>0</v>
      </c>
      <c r="N1589" s="9" t="s">
        <v>34</v>
      </c>
      <c r="O1589" s="9" t="s">
        <v>423</v>
      </c>
      <c r="S1589" s="9" t="s">
        <v>158</v>
      </c>
      <c r="T1589" s="10" t="s">
        <v>68</v>
      </c>
      <c r="U1589" s="10">
        <v>2</v>
      </c>
      <c r="V1589" s="10">
        <v>141.83000000000001</v>
      </c>
      <c r="W1589" s="10" t="s">
        <v>710</v>
      </c>
      <c r="X1589" s="17">
        <v>44572</v>
      </c>
      <c r="Y1589" s="17">
        <v>44936</v>
      </c>
      <c r="Z1589" s="19" t="s">
        <v>772</v>
      </c>
      <c r="AA1589" s="210">
        <v>40858.800000000003</v>
      </c>
      <c r="AB1589" s="9">
        <v>48</v>
      </c>
      <c r="AC1589" s="9">
        <v>25</v>
      </c>
      <c r="AD1589" s="17">
        <v>45351</v>
      </c>
      <c r="AE1589" s="56">
        <v>625</v>
      </c>
      <c r="AF1589" s="56"/>
      <c r="AG1589" s="9" t="s">
        <v>134</v>
      </c>
      <c r="AH1589" s="17">
        <v>45484</v>
      </c>
      <c r="AI1589" s="17"/>
      <c r="AJ1589" s="17"/>
      <c r="AK1589" s="9" t="s">
        <v>1853</v>
      </c>
      <c r="AL1589" s="11">
        <v>625</v>
      </c>
      <c r="AN1589" s="11" t="s">
        <v>1914</v>
      </c>
      <c r="AW1589" s="147">
        <v>45484</v>
      </c>
      <c r="AX1589" s="150">
        <v>980259</v>
      </c>
      <c r="AY1589" s="11">
        <v>2368.75</v>
      </c>
      <c r="AZ1589" s="9">
        <v>3.79</v>
      </c>
      <c r="BA1589" s="11">
        <f>+AY1589/AZ1589</f>
        <v>625</v>
      </c>
      <c r="BD1589" s="9"/>
      <c r="CS1589" s="11">
        <f t="shared" si="110"/>
        <v>625</v>
      </c>
      <c r="CT1589" s="22">
        <f t="shared" si="111"/>
        <v>625</v>
      </c>
      <c r="CU1589" s="22">
        <f t="shared" si="112"/>
        <v>0</v>
      </c>
      <c r="CV1589" s="26">
        <f t="shared" si="109"/>
        <v>0</v>
      </c>
    </row>
    <row r="1590" spans="1:100" ht="12" customHeight="1" x14ac:dyDescent="0.25">
      <c r="A1590" s="9" t="s">
        <v>422</v>
      </c>
      <c r="B1590" s="2">
        <v>22</v>
      </c>
      <c r="C1590" s="3" t="s">
        <v>95</v>
      </c>
      <c r="D1590" s="3" t="s">
        <v>96</v>
      </c>
      <c r="E1590" s="2"/>
      <c r="F1590" s="2"/>
      <c r="G1590" s="2" t="s">
        <v>68</v>
      </c>
      <c r="H1590" s="2">
        <v>2</v>
      </c>
      <c r="I1590" s="8">
        <v>145.31</v>
      </c>
      <c r="J1590" s="8">
        <v>42900</v>
      </c>
      <c r="K1590" s="3">
        <v>0</v>
      </c>
      <c r="L1590" s="3" t="s">
        <v>3</v>
      </c>
      <c r="M1590" s="9" t="s">
        <v>0</v>
      </c>
      <c r="N1590" s="9" t="s">
        <v>34</v>
      </c>
      <c r="O1590" s="9" t="s">
        <v>423</v>
      </c>
      <c r="S1590" s="9" t="s">
        <v>158</v>
      </c>
      <c r="T1590" s="10" t="s">
        <v>68</v>
      </c>
      <c r="U1590" s="10">
        <v>2</v>
      </c>
      <c r="V1590" s="10">
        <v>141.83000000000001</v>
      </c>
      <c r="W1590" s="10" t="s">
        <v>710</v>
      </c>
      <c r="X1590" s="17">
        <v>44572</v>
      </c>
      <c r="Y1590" s="17">
        <v>44936</v>
      </c>
      <c r="Z1590" s="19" t="s">
        <v>772</v>
      </c>
      <c r="AA1590" s="210">
        <v>40858.800000000003</v>
      </c>
      <c r="AB1590" s="9">
        <v>48</v>
      </c>
      <c r="AC1590" s="9">
        <v>26</v>
      </c>
      <c r="AD1590" s="17">
        <v>45381</v>
      </c>
      <c r="AE1590" s="56">
        <v>625</v>
      </c>
      <c r="AF1590" s="56"/>
      <c r="AG1590" s="9" t="s">
        <v>134</v>
      </c>
      <c r="AH1590" s="17">
        <v>45561</v>
      </c>
      <c r="AI1590" s="17"/>
      <c r="AJ1590" s="17"/>
      <c r="AK1590" s="9" t="s">
        <v>1855</v>
      </c>
      <c r="AL1590" s="11">
        <v>625</v>
      </c>
      <c r="AN1590" s="11" t="s">
        <v>1916</v>
      </c>
      <c r="AW1590" s="17">
        <v>45561</v>
      </c>
      <c r="AX1590" s="150">
        <v>3201</v>
      </c>
      <c r="BA1590" s="11">
        <v>625</v>
      </c>
      <c r="BD1590" s="9"/>
      <c r="CS1590" s="11">
        <f t="shared" si="110"/>
        <v>625</v>
      </c>
      <c r="CT1590" s="22">
        <f t="shared" si="111"/>
        <v>625</v>
      </c>
      <c r="CU1590" s="22">
        <f t="shared" si="112"/>
        <v>0</v>
      </c>
      <c r="CV1590" s="26">
        <f t="shared" si="109"/>
        <v>0</v>
      </c>
    </row>
    <row r="1591" spans="1:100" ht="12" customHeight="1" x14ac:dyDescent="0.25">
      <c r="A1591" s="9" t="s">
        <v>422</v>
      </c>
      <c r="B1591" s="2">
        <v>22</v>
      </c>
      <c r="C1591" s="3" t="s">
        <v>95</v>
      </c>
      <c r="D1591" s="3" t="s">
        <v>96</v>
      </c>
      <c r="E1591" s="2"/>
      <c r="F1591" s="2"/>
      <c r="G1591" s="2" t="s">
        <v>68</v>
      </c>
      <c r="H1591" s="2">
        <v>2</v>
      </c>
      <c r="I1591" s="8">
        <v>145.31</v>
      </c>
      <c r="J1591" s="8">
        <v>42900</v>
      </c>
      <c r="K1591" s="3">
        <v>0</v>
      </c>
      <c r="L1591" s="3" t="s">
        <v>3</v>
      </c>
      <c r="M1591" s="9" t="s">
        <v>0</v>
      </c>
      <c r="N1591" s="9" t="s">
        <v>34</v>
      </c>
      <c r="O1591" s="9" t="s">
        <v>423</v>
      </c>
      <c r="S1591" s="9" t="s">
        <v>158</v>
      </c>
      <c r="T1591" s="10" t="s">
        <v>68</v>
      </c>
      <c r="U1591" s="10">
        <v>2</v>
      </c>
      <c r="V1591" s="10">
        <v>141.83000000000001</v>
      </c>
      <c r="W1591" s="10" t="s">
        <v>710</v>
      </c>
      <c r="X1591" s="17">
        <v>44572</v>
      </c>
      <c r="Y1591" s="17">
        <v>44936</v>
      </c>
      <c r="Z1591" s="19" t="s">
        <v>772</v>
      </c>
      <c r="AA1591" s="210">
        <v>40858.800000000003</v>
      </c>
      <c r="AB1591" s="9">
        <v>48</v>
      </c>
      <c r="AC1591" s="9">
        <v>27</v>
      </c>
      <c r="AD1591" s="17">
        <v>45412</v>
      </c>
      <c r="AE1591" s="56">
        <v>625</v>
      </c>
      <c r="AF1591" s="56"/>
      <c r="AG1591" s="9" t="s">
        <v>134</v>
      </c>
      <c r="AH1591" s="17">
        <v>45561</v>
      </c>
      <c r="AI1591" s="17"/>
      <c r="AJ1591" s="17"/>
      <c r="AK1591" s="9" t="s">
        <v>1856</v>
      </c>
      <c r="AL1591" s="11">
        <v>625</v>
      </c>
      <c r="AN1591" s="11" t="s">
        <v>1917</v>
      </c>
      <c r="AW1591" s="17">
        <v>45561</v>
      </c>
      <c r="AX1591" s="150">
        <v>3201</v>
      </c>
      <c r="BA1591" s="11">
        <v>625</v>
      </c>
      <c r="BD1591" s="9"/>
      <c r="CS1591" s="11">
        <f t="shared" si="110"/>
        <v>625</v>
      </c>
      <c r="CT1591" s="22">
        <f t="shared" si="111"/>
        <v>625</v>
      </c>
      <c r="CU1591" s="22">
        <f t="shared" si="112"/>
        <v>0</v>
      </c>
      <c r="CV1591" s="26">
        <f t="shared" si="109"/>
        <v>0</v>
      </c>
    </row>
    <row r="1592" spans="1:100" ht="12" customHeight="1" x14ac:dyDescent="0.25">
      <c r="A1592" s="9" t="s">
        <v>422</v>
      </c>
      <c r="B1592" s="2">
        <v>22</v>
      </c>
      <c r="C1592" s="3" t="s">
        <v>95</v>
      </c>
      <c r="D1592" s="3" t="s">
        <v>96</v>
      </c>
      <c r="E1592" s="2"/>
      <c r="F1592" s="2"/>
      <c r="G1592" s="2" t="s">
        <v>68</v>
      </c>
      <c r="H1592" s="2">
        <v>2</v>
      </c>
      <c r="I1592" s="8">
        <v>145.31</v>
      </c>
      <c r="J1592" s="8">
        <v>42900</v>
      </c>
      <c r="K1592" s="3">
        <v>0</v>
      </c>
      <c r="L1592" s="3" t="s">
        <v>3</v>
      </c>
      <c r="M1592" s="9" t="s">
        <v>0</v>
      </c>
      <c r="N1592" s="9" t="s">
        <v>34</v>
      </c>
      <c r="O1592" s="9" t="s">
        <v>423</v>
      </c>
      <c r="S1592" s="9" t="s">
        <v>158</v>
      </c>
      <c r="T1592" s="10" t="s">
        <v>68</v>
      </c>
      <c r="U1592" s="10">
        <v>2</v>
      </c>
      <c r="V1592" s="10">
        <v>141.83000000000001</v>
      </c>
      <c r="W1592" s="10" t="s">
        <v>710</v>
      </c>
      <c r="X1592" s="17">
        <v>44572</v>
      </c>
      <c r="Y1592" s="17">
        <v>44936</v>
      </c>
      <c r="Z1592" s="19" t="s">
        <v>772</v>
      </c>
      <c r="AA1592" s="210">
        <v>40858.800000000003</v>
      </c>
      <c r="AB1592" s="9">
        <v>48</v>
      </c>
      <c r="AC1592" s="9">
        <v>28</v>
      </c>
      <c r="AD1592" s="17">
        <v>45442</v>
      </c>
      <c r="AE1592" s="56">
        <v>625</v>
      </c>
      <c r="AF1592" s="56"/>
      <c r="AG1592" s="9" t="s">
        <v>134</v>
      </c>
      <c r="AH1592" s="17">
        <v>45561</v>
      </c>
      <c r="AI1592" s="17"/>
      <c r="AJ1592" s="17"/>
      <c r="AK1592" s="9" t="s">
        <v>1857</v>
      </c>
      <c r="AL1592" s="11">
        <v>625</v>
      </c>
      <c r="AN1592" s="11" t="s">
        <v>1918</v>
      </c>
      <c r="AW1592" s="17">
        <v>45561</v>
      </c>
      <c r="AX1592" s="150">
        <v>3201</v>
      </c>
      <c r="BA1592" s="11">
        <v>625</v>
      </c>
      <c r="BD1592" s="9"/>
      <c r="CS1592" s="11">
        <f t="shared" si="110"/>
        <v>625</v>
      </c>
      <c r="CT1592" s="22">
        <f t="shared" si="111"/>
        <v>625</v>
      </c>
      <c r="CU1592" s="22">
        <f t="shared" si="112"/>
        <v>0</v>
      </c>
      <c r="CV1592" s="26">
        <f t="shared" si="109"/>
        <v>0</v>
      </c>
    </row>
    <row r="1593" spans="1:100" x14ac:dyDescent="0.2">
      <c r="A1593" s="9" t="s">
        <v>422</v>
      </c>
      <c r="B1593" s="2">
        <v>22</v>
      </c>
      <c r="C1593" s="3" t="s">
        <v>95</v>
      </c>
      <c r="D1593" s="3" t="s">
        <v>96</v>
      </c>
      <c r="E1593" s="2"/>
      <c r="F1593" s="2"/>
      <c r="G1593" s="2" t="s">
        <v>68</v>
      </c>
      <c r="H1593" s="2">
        <v>2</v>
      </c>
      <c r="I1593" s="8">
        <v>145.31</v>
      </c>
      <c r="J1593" s="8">
        <v>42900</v>
      </c>
      <c r="K1593" s="3">
        <v>0</v>
      </c>
      <c r="L1593" s="3" t="s">
        <v>3</v>
      </c>
      <c r="M1593" s="9" t="s">
        <v>0</v>
      </c>
      <c r="N1593" s="9" t="s">
        <v>34</v>
      </c>
      <c r="O1593" s="9" t="s">
        <v>423</v>
      </c>
      <c r="S1593" s="9" t="s">
        <v>158</v>
      </c>
      <c r="T1593" s="10" t="s">
        <v>68</v>
      </c>
      <c r="U1593" s="10">
        <v>2</v>
      </c>
      <c r="V1593" s="10">
        <v>141.83000000000001</v>
      </c>
      <c r="W1593" s="10" t="s">
        <v>710</v>
      </c>
      <c r="X1593" s="17">
        <v>44572</v>
      </c>
      <c r="Y1593" s="17">
        <v>44936</v>
      </c>
      <c r="Z1593" s="19" t="s">
        <v>772</v>
      </c>
      <c r="AA1593" s="210">
        <v>40858.800000000003</v>
      </c>
      <c r="AB1593" s="9">
        <v>48</v>
      </c>
      <c r="AC1593" s="9">
        <v>29</v>
      </c>
      <c r="AD1593" s="17">
        <v>45473</v>
      </c>
      <c r="AE1593" s="56">
        <v>625</v>
      </c>
      <c r="AF1593" s="56"/>
      <c r="AG1593" s="9" t="s">
        <v>134</v>
      </c>
      <c r="AH1593" s="17">
        <v>45628</v>
      </c>
      <c r="AI1593" s="17"/>
      <c r="AJ1593" s="17"/>
      <c r="AK1593" s="9" t="s">
        <v>1861</v>
      </c>
      <c r="AL1593" s="11">
        <v>625</v>
      </c>
      <c r="AN1593" s="11" t="s">
        <v>1922</v>
      </c>
      <c r="AW1593" s="17">
        <v>45628</v>
      </c>
      <c r="AX1593" s="10">
        <v>3463</v>
      </c>
      <c r="BA1593" s="11">
        <v>625</v>
      </c>
      <c r="BC1593" s="17"/>
      <c r="BD1593" s="9"/>
      <c r="BG1593" s="11"/>
      <c r="BH1593" s="11"/>
      <c r="CS1593" s="11">
        <f t="shared" si="110"/>
        <v>625</v>
      </c>
      <c r="CT1593" s="22">
        <f t="shared" si="111"/>
        <v>625</v>
      </c>
      <c r="CU1593" s="22">
        <f t="shared" si="112"/>
        <v>0</v>
      </c>
      <c r="CV1593" s="26">
        <f t="shared" ref="CV1593:CV1656" si="113">+AE1593-AL1593-AT1593</f>
        <v>0</v>
      </c>
    </row>
    <row r="1594" spans="1:100" x14ac:dyDescent="0.2">
      <c r="A1594" s="9" t="s">
        <v>422</v>
      </c>
      <c r="B1594" s="2">
        <v>22</v>
      </c>
      <c r="C1594" s="3" t="s">
        <v>95</v>
      </c>
      <c r="D1594" s="3" t="s">
        <v>96</v>
      </c>
      <c r="E1594" s="2"/>
      <c r="F1594" s="2"/>
      <c r="G1594" s="2" t="s">
        <v>68</v>
      </c>
      <c r="H1594" s="2">
        <v>2</v>
      </c>
      <c r="I1594" s="8">
        <v>145.31</v>
      </c>
      <c r="J1594" s="8">
        <v>42900</v>
      </c>
      <c r="K1594" s="3">
        <v>0</v>
      </c>
      <c r="L1594" s="3" t="s">
        <v>3</v>
      </c>
      <c r="M1594" s="9" t="s">
        <v>0</v>
      </c>
      <c r="N1594" s="9" t="s">
        <v>34</v>
      </c>
      <c r="O1594" s="9" t="s">
        <v>423</v>
      </c>
      <c r="S1594" s="9" t="s">
        <v>158</v>
      </c>
      <c r="T1594" s="10" t="s">
        <v>68</v>
      </c>
      <c r="U1594" s="10">
        <v>2</v>
      </c>
      <c r="V1594" s="10">
        <v>141.83000000000001</v>
      </c>
      <c r="W1594" s="10" t="s">
        <v>710</v>
      </c>
      <c r="X1594" s="17">
        <v>44572</v>
      </c>
      <c r="Y1594" s="17">
        <v>44936</v>
      </c>
      <c r="Z1594" s="19" t="s">
        <v>772</v>
      </c>
      <c r="AA1594" s="210">
        <v>40858.800000000003</v>
      </c>
      <c r="AB1594" s="9">
        <v>48</v>
      </c>
      <c r="AC1594" s="9">
        <v>30</v>
      </c>
      <c r="AD1594" s="17">
        <v>45503</v>
      </c>
      <c r="AE1594" s="56">
        <v>625</v>
      </c>
      <c r="AF1594" s="56"/>
      <c r="AG1594" s="9" t="s">
        <v>134</v>
      </c>
      <c r="AH1594" s="17">
        <v>45628</v>
      </c>
      <c r="AI1594" s="17"/>
      <c r="AJ1594" s="17"/>
      <c r="AK1594" s="9" t="s">
        <v>1862</v>
      </c>
      <c r="AL1594" s="11">
        <v>625</v>
      </c>
      <c r="AN1594" s="11" t="s">
        <v>1923</v>
      </c>
      <c r="AW1594" s="17">
        <v>45628</v>
      </c>
      <c r="AX1594" s="10">
        <v>3463</v>
      </c>
      <c r="BA1594" s="11">
        <v>625</v>
      </c>
      <c r="BC1594" s="17"/>
      <c r="BD1594" s="9"/>
      <c r="BG1594" s="11"/>
      <c r="BH1594" s="11"/>
      <c r="CS1594" s="11">
        <f t="shared" si="110"/>
        <v>625</v>
      </c>
      <c r="CT1594" s="22">
        <f t="shared" si="111"/>
        <v>625</v>
      </c>
      <c r="CU1594" s="22">
        <f t="shared" si="112"/>
        <v>0</v>
      </c>
      <c r="CV1594" s="26">
        <f t="shared" si="113"/>
        <v>0</v>
      </c>
    </row>
    <row r="1595" spans="1:100" ht="12.75" x14ac:dyDescent="0.2">
      <c r="A1595" s="9" t="s">
        <v>422</v>
      </c>
      <c r="B1595" s="2">
        <v>22</v>
      </c>
      <c r="C1595" s="3" t="s">
        <v>95</v>
      </c>
      <c r="D1595" s="3" t="s">
        <v>96</v>
      </c>
      <c r="E1595" s="2"/>
      <c r="F1595" s="2"/>
      <c r="G1595" s="2" t="s">
        <v>68</v>
      </c>
      <c r="H1595" s="2">
        <v>2</v>
      </c>
      <c r="I1595" s="8">
        <v>145.31</v>
      </c>
      <c r="J1595" s="8">
        <v>42900</v>
      </c>
      <c r="K1595" s="3">
        <v>0</v>
      </c>
      <c r="L1595" s="3" t="s">
        <v>3</v>
      </c>
      <c r="M1595" s="9" t="s">
        <v>0</v>
      </c>
      <c r="N1595" s="9" t="s">
        <v>34</v>
      </c>
      <c r="O1595" s="9" t="s">
        <v>423</v>
      </c>
      <c r="S1595" s="9" t="s">
        <v>158</v>
      </c>
      <c r="T1595" s="10" t="s">
        <v>68</v>
      </c>
      <c r="U1595" s="10">
        <v>2</v>
      </c>
      <c r="V1595" s="10">
        <v>141.83000000000001</v>
      </c>
      <c r="W1595" s="10" t="s">
        <v>710</v>
      </c>
      <c r="X1595" s="17">
        <v>44572</v>
      </c>
      <c r="Y1595" s="17">
        <v>44936</v>
      </c>
      <c r="Z1595" s="19" t="s">
        <v>772</v>
      </c>
      <c r="AA1595" s="210">
        <v>40858.800000000003</v>
      </c>
      <c r="AB1595" s="9">
        <v>48</v>
      </c>
      <c r="AC1595" s="9">
        <v>31</v>
      </c>
      <c r="AD1595" s="17">
        <v>45534</v>
      </c>
      <c r="AE1595" s="56">
        <v>625</v>
      </c>
      <c r="AF1595" s="56"/>
      <c r="AG1595" s="9" t="s">
        <v>134</v>
      </c>
      <c r="AH1595" s="64">
        <v>45749</v>
      </c>
      <c r="AI1595" s="64"/>
      <c r="AJ1595" s="64"/>
      <c r="AK1595" s="11" t="s">
        <v>1926</v>
      </c>
      <c r="AL1595" s="11">
        <v>625</v>
      </c>
      <c r="AN1595" s="11" t="s">
        <v>1947</v>
      </c>
      <c r="AW1595" s="94">
        <v>45749</v>
      </c>
      <c r="AX1595" s="96">
        <v>3956</v>
      </c>
      <c r="AY1595" s="142"/>
      <c r="BA1595" s="11">
        <v>621.20000000000005</v>
      </c>
      <c r="BC1595" s="17">
        <v>45749</v>
      </c>
      <c r="BD1595" s="9">
        <v>125411</v>
      </c>
      <c r="BE1595" s="9">
        <v>12.6</v>
      </c>
      <c r="BF1595" s="9">
        <v>3.32</v>
      </c>
      <c r="BG1595" s="11">
        <f>+BE1595/BF1595</f>
        <v>3.7951807228915664</v>
      </c>
      <c r="BH1595" s="11"/>
      <c r="CS1595" s="11">
        <f t="shared" si="110"/>
        <v>625</v>
      </c>
      <c r="CT1595" s="22">
        <f t="shared" si="111"/>
        <v>624.99518072289163</v>
      </c>
      <c r="CU1595" s="22">
        <f t="shared" si="112"/>
        <v>4.8192771083677144E-3</v>
      </c>
      <c r="CV1595" s="26">
        <f t="shared" si="113"/>
        <v>0</v>
      </c>
    </row>
    <row r="1596" spans="1:100" ht="12.75" x14ac:dyDescent="0.2">
      <c r="A1596" s="9" t="s">
        <v>422</v>
      </c>
      <c r="B1596" s="2">
        <v>22</v>
      </c>
      <c r="C1596" s="3" t="s">
        <v>95</v>
      </c>
      <c r="D1596" s="3" t="s">
        <v>96</v>
      </c>
      <c r="E1596" s="2"/>
      <c r="F1596" s="2"/>
      <c r="G1596" s="2" t="s">
        <v>68</v>
      </c>
      <c r="H1596" s="2">
        <v>2</v>
      </c>
      <c r="I1596" s="8">
        <v>145.31</v>
      </c>
      <c r="J1596" s="8">
        <v>42900</v>
      </c>
      <c r="K1596" s="3">
        <v>0</v>
      </c>
      <c r="L1596" s="3" t="s">
        <v>3</v>
      </c>
      <c r="M1596" s="9" t="s">
        <v>0</v>
      </c>
      <c r="N1596" s="9" t="s">
        <v>34</v>
      </c>
      <c r="O1596" s="9" t="s">
        <v>423</v>
      </c>
      <c r="S1596" s="9" t="s">
        <v>158</v>
      </c>
      <c r="T1596" s="10" t="s">
        <v>68</v>
      </c>
      <c r="U1596" s="10">
        <v>2</v>
      </c>
      <c r="V1596" s="10">
        <v>141.83000000000001</v>
      </c>
      <c r="W1596" s="10" t="s">
        <v>710</v>
      </c>
      <c r="X1596" s="17">
        <v>44572</v>
      </c>
      <c r="Y1596" s="17">
        <v>44936</v>
      </c>
      <c r="Z1596" s="19" t="s">
        <v>772</v>
      </c>
      <c r="AA1596" s="210">
        <v>40858.800000000003</v>
      </c>
      <c r="AB1596" s="9">
        <v>48</v>
      </c>
      <c r="AC1596" s="9">
        <v>32</v>
      </c>
      <c r="AD1596" s="17">
        <v>45565</v>
      </c>
      <c r="AE1596" s="56">
        <v>625</v>
      </c>
      <c r="AF1596" s="56"/>
      <c r="AG1596" s="9" t="s">
        <v>134</v>
      </c>
      <c r="AH1596" s="64">
        <v>45749</v>
      </c>
      <c r="AI1596" s="64"/>
      <c r="AJ1596" s="64"/>
      <c r="AK1596" s="11" t="s">
        <v>1927</v>
      </c>
      <c r="AL1596" s="11">
        <v>625</v>
      </c>
      <c r="AN1596" s="11" t="s">
        <v>1948</v>
      </c>
      <c r="AW1596" s="94">
        <v>45749</v>
      </c>
      <c r="AX1596" s="96">
        <v>3956</v>
      </c>
      <c r="AY1596" s="142"/>
      <c r="BA1596" s="11">
        <v>625</v>
      </c>
      <c r="BD1596" s="9"/>
      <c r="CS1596" s="11">
        <f t="shared" si="110"/>
        <v>625</v>
      </c>
      <c r="CT1596" s="22">
        <f t="shared" si="111"/>
        <v>625</v>
      </c>
      <c r="CU1596" s="22">
        <f t="shared" si="112"/>
        <v>0</v>
      </c>
      <c r="CV1596" s="26">
        <f t="shared" si="113"/>
        <v>0</v>
      </c>
    </row>
    <row r="1597" spans="1:100" ht="12.75" x14ac:dyDescent="0.2">
      <c r="A1597" s="9" t="s">
        <v>422</v>
      </c>
      <c r="B1597" s="2">
        <v>22</v>
      </c>
      <c r="C1597" s="3" t="s">
        <v>95</v>
      </c>
      <c r="D1597" s="3" t="s">
        <v>96</v>
      </c>
      <c r="E1597" s="2"/>
      <c r="F1597" s="2"/>
      <c r="G1597" s="2" t="s">
        <v>68</v>
      </c>
      <c r="H1597" s="2">
        <v>2</v>
      </c>
      <c r="I1597" s="8">
        <v>145.31</v>
      </c>
      <c r="J1597" s="8">
        <v>42900</v>
      </c>
      <c r="K1597" s="3">
        <v>0</v>
      </c>
      <c r="L1597" s="3" t="s">
        <v>3</v>
      </c>
      <c r="M1597" s="9" t="s">
        <v>0</v>
      </c>
      <c r="N1597" s="9" t="s">
        <v>34</v>
      </c>
      <c r="O1597" s="9" t="s">
        <v>423</v>
      </c>
      <c r="S1597" s="9" t="s">
        <v>158</v>
      </c>
      <c r="T1597" s="10" t="s">
        <v>68</v>
      </c>
      <c r="U1597" s="10">
        <v>2</v>
      </c>
      <c r="V1597" s="10">
        <v>141.83000000000001</v>
      </c>
      <c r="W1597" s="10" t="s">
        <v>710</v>
      </c>
      <c r="X1597" s="17">
        <v>44572</v>
      </c>
      <c r="Y1597" s="17">
        <v>44936</v>
      </c>
      <c r="Z1597" s="19" t="s">
        <v>772</v>
      </c>
      <c r="AA1597" s="210">
        <v>40858.800000000003</v>
      </c>
      <c r="AB1597" s="9">
        <v>48</v>
      </c>
      <c r="AC1597" s="9">
        <v>33</v>
      </c>
      <c r="AD1597" s="17">
        <v>45595</v>
      </c>
      <c r="AE1597" s="56">
        <v>625</v>
      </c>
      <c r="AF1597" s="56"/>
      <c r="AG1597" s="9" t="s">
        <v>134</v>
      </c>
      <c r="AH1597" s="64">
        <v>45749</v>
      </c>
      <c r="AI1597" s="64"/>
      <c r="AJ1597" s="64"/>
      <c r="AK1597" s="11" t="s">
        <v>1928</v>
      </c>
      <c r="AL1597" s="11">
        <v>625</v>
      </c>
      <c r="AN1597" s="11" t="s">
        <v>1949</v>
      </c>
      <c r="AW1597" s="94">
        <v>45749</v>
      </c>
      <c r="AX1597" s="96">
        <v>3956</v>
      </c>
      <c r="AY1597" s="142"/>
      <c r="BA1597" s="11">
        <v>625</v>
      </c>
      <c r="BD1597" s="9"/>
      <c r="CS1597" s="11">
        <f t="shared" ref="CS1597:CS1660" si="114">+AL1597+AT1597</f>
        <v>625</v>
      </c>
      <c r="CT1597" s="22">
        <f t="shared" ref="CT1597:CT1660" si="115">+BA1597+BG1597+BM1597+BS1597+BY1597+CE1597+CK1597+CQ1597</f>
        <v>625</v>
      </c>
      <c r="CU1597" s="22">
        <f t="shared" ref="CU1597:CU1660" si="116">+CS1597-CT1597</f>
        <v>0</v>
      </c>
      <c r="CV1597" s="26">
        <f t="shared" si="113"/>
        <v>0</v>
      </c>
    </row>
    <row r="1598" spans="1:100" ht="12.75" x14ac:dyDescent="0.2">
      <c r="A1598" s="9" t="s">
        <v>422</v>
      </c>
      <c r="B1598" s="2">
        <v>22</v>
      </c>
      <c r="C1598" s="3" t="s">
        <v>95</v>
      </c>
      <c r="D1598" s="3" t="s">
        <v>96</v>
      </c>
      <c r="E1598" s="2"/>
      <c r="F1598" s="2"/>
      <c r="G1598" s="2" t="s">
        <v>68</v>
      </c>
      <c r="H1598" s="2">
        <v>2</v>
      </c>
      <c r="I1598" s="8">
        <v>145.31</v>
      </c>
      <c r="J1598" s="8">
        <v>42900</v>
      </c>
      <c r="K1598" s="3">
        <v>0</v>
      </c>
      <c r="L1598" s="3" t="s">
        <v>3</v>
      </c>
      <c r="M1598" s="9" t="s">
        <v>0</v>
      </c>
      <c r="N1598" s="9" t="s">
        <v>34</v>
      </c>
      <c r="O1598" s="9" t="s">
        <v>423</v>
      </c>
      <c r="S1598" s="9" t="s">
        <v>158</v>
      </c>
      <c r="T1598" s="10" t="s">
        <v>68</v>
      </c>
      <c r="U1598" s="10">
        <v>2</v>
      </c>
      <c r="V1598" s="10">
        <v>141.83000000000001</v>
      </c>
      <c r="W1598" s="10" t="s">
        <v>710</v>
      </c>
      <c r="X1598" s="17">
        <v>44572</v>
      </c>
      <c r="Y1598" s="17">
        <v>44936</v>
      </c>
      <c r="Z1598" s="19" t="s">
        <v>772</v>
      </c>
      <c r="AA1598" s="210">
        <v>40858.800000000003</v>
      </c>
      <c r="AB1598" s="9">
        <v>48</v>
      </c>
      <c r="AC1598" s="9">
        <v>34</v>
      </c>
      <c r="AD1598" s="17">
        <v>45626</v>
      </c>
      <c r="AE1598" s="56">
        <v>625</v>
      </c>
      <c r="AF1598" s="56"/>
      <c r="AG1598" s="9" t="s">
        <v>134</v>
      </c>
      <c r="AH1598" s="64">
        <v>45749</v>
      </c>
      <c r="AI1598" s="64"/>
      <c r="AJ1598" s="64"/>
      <c r="AK1598" s="22" t="s">
        <v>1929</v>
      </c>
      <c r="AL1598" s="11">
        <v>625</v>
      </c>
      <c r="AN1598" s="11" t="s">
        <v>1950</v>
      </c>
      <c r="AW1598" s="94">
        <v>45749</v>
      </c>
      <c r="AX1598" s="96">
        <v>3956</v>
      </c>
      <c r="AY1598" s="142"/>
      <c r="BA1598" s="11">
        <v>625</v>
      </c>
      <c r="BD1598" s="9"/>
      <c r="CS1598" s="11">
        <f t="shared" si="114"/>
        <v>625</v>
      </c>
      <c r="CT1598" s="22">
        <f t="shared" si="115"/>
        <v>625</v>
      </c>
      <c r="CU1598" s="22">
        <f t="shared" si="116"/>
        <v>0</v>
      </c>
      <c r="CV1598" s="26">
        <f t="shared" si="113"/>
        <v>0</v>
      </c>
    </row>
    <row r="1599" spans="1:100" x14ac:dyDescent="0.2">
      <c r="A1599" s="9" t="s">
        <v>422</v>
      </c>
      <c r="B1599" s="2">
        <v>22</v>
      </c>
      <c r="C1599" s="3" t="s">
        <v>95</v>
      </c>
      <c r="D1599" s="3" t="s">
        <v>96</v>
      </c>
      <c r="E1599" s="2"/>
      <c r="F1599" s="2"/>
      <c r="G1599" s="2" t="s">
        <v>68</v>
      </c>
      <c r="H1599" s="2">
        <v>2</v>
      </c>
      <c r="I1599" s="8">
        <v>145.31</v>
      </c>
      <c r="J1599" s="8">
        <v>42900</v>
      </c>
      <c r="K1599" s="3">
        <v>0</v>
      </c>
      <c r="L1599" s="3" t="s">
        <v>3</v>
      </c>
      <c r="M1599" s="9" t="s">
        <v>0</v>
      </c>
      <c r="N1599" s="9" t="s">
        <v>34</v>
      </c>
      <c r="O1599" s="9" t="s">
        <v>423</v>
      </c>
      <c r="S1599" s="9" t="s">
        <v>158</v>
      </c>
      <c r="T1599" s="10" t="s">
        <v>68</v>
      </c>
      <c r="U1599" s="10">
        <v>2</v>
      </c>
      <c r="V1599" s="10">
        <v>141.83000000000001</v>
      </c>
      <c r="W1599" s="10" t="s">
        <v>710</v>
      </c>
      <c r="X1599" s="17">
        <v>44572</v>
      </c>
      <c r="Y1599" s="17">
        <v>44936</v>
      </c>
      <c r="Z1599" s="19" t="s">
        <v>772</v>
      </c>
      <c r="AA1599" s="210">
        <v>40858.800000000003</v>
      </c>
      <c r="AB1599" s="9">
        <v>48</v>
      </c>
      <c r="AC1599" s="9">
        <v>35</v>
      </c>
      <c r="AD1599" s="17">
        <v>45656</v>
      </c>
      <c r="AE1599" s="56">
        <v>625</v>
      </c>
      <c r="AF1599" s="56"/>
      <c r="AG1599" s="9" t="s">
        <v>134</v>
      </c>
      <c r="AH1599" s="64">
        <v>45827</v>
      </c>
      <c r="AI1599" s="64"/>
      <c r="AJ1599" s="64"/>
      <c r="AK1599" s="22" t="s">
        <v>1934</v>
      </c>
      <c r="AL1599" s="11">
        <v>625</v>
      </c>
      <c r="AN1599" s="11" t="s">
        <v>1955</v>
      </c>
      <c r="AW1599" s="17">
        <v>45824</v>
      </c>
      <c r="AX1599" s="10">
        <v>4299</v>
      </c>
      <c r="AY1599" s="11"/>
      <c r="BA1599" s="11">
        <v>603.34</v>
      </c>
      <c r="BC1599" s="17">
        <v>45824</v>
      </c>
      <c r="BD1599" s="9">
        <v>4301</v>
      </c>
      <c r="BG1599" s="9">
        <v>20</v>
      </c>
      <c r="BI1599" s="17">
        <v>45827</v>
      </c>
      <c r="BJ1599" s="9">
        <v>519391</v>
      </c>
      <c r="BK1599" s="9">
        <v>5.4</v>
      </c>
      <c r="BL1599" s="9">
        <v>3.6040000000000001</v>
      </c>
      <c r="BM1599" s="11">
        <f>+BK1599/BL1599</f>
        <v>1.4983351831298557</v>
      </c>
      <c r="BN1599" s="11"/>
      <c r="CS1599" s="11">
        <f t="shared" si="114"/>
        <v>625</v>
      </c>
      <c r="CT1599" s="22">
        <f t="shared" si="115"/>
        <v>624.83833518312986</v>
      </c>
      <c r="CU1599" s="22">
        <f t="shared" si="116"/>
        <v>0.16166481687014311</v>
      </c>
      <c r="CV1599" s="26">
        <f t="shared" si="113"/>
        <v>0</v>
      </c>
    </row>
    <row r="1600" spans="1:100" x14ac:dyDescent="0.2">
      <c r="A1600" s="9" t="s">
        <v>422</v>
      </c>
      <c r="B1600" s="2">
        <v>22</v>
      </c>
      <c r="C1600" s="3" t="s">
        <v>95</v>
      </c>
      <c r="D1600" s="3" t="s">
        <v>96</v>
      </c>
      <c r="E1600" s="2"/>
      <c r="F1600" s="2"/>
      <c r="G1600" s="2" t="s">
        <v>68</v>
      </c>
      <c r="H1600" s="2">
        <v>2</v>
      </c>
      <c r="I1600" s="8">
        <v>145.31</v>
      </c>
      <c r="J1600" s="8">
        <v>42900</v>
      </c>
      <c r="K1600" s="3">
        <v>0</v>
      </c>
      <c r="L1600" s="3" t="s">
        <v>3</v>
      </c>
      <c r="M1600" s="9" t="s">
        <v>0</v>
      </c>
      <c r="N1600" s="9" t="s">
        <v>34</v>
      </c>
      <c r="O1600" s="9" t="s">
        <v>423</v>
      </c>
      <c r="S1600" s="9" t="s">
        <v>158</v>
      </c>
      <c r="T1600" s="10" t="s">
        <v>68</v>
      </c>
      <c r="U1600" s="10">
        <v>2</v>
      </c>
      <c r="V1600" s="10">
        <v>141.83000000000001</v>
      </c>
      <c r="W1600" s="10" t="s">
        <v>710</v>
      </c>
      <c r="X1600" s="17">
        <v>44572</v>
      </c>
      <c r="Y1600" s="17">
        <v>44936</v>
      </c>
      <c r="Z1600" s="19" t="s">
        <v>772</v>
      </c>
      <c r="AA1600" s="210">
        <v>40858.800000000003</v>
      </c>
      <c r="AB1600" s="9">
        <v>48</v>
      </c>
      <c r="AC1600" s="9">
        <v>36</v>
      </c>
      <c r="AD1600" s="17">
        <v>45687</v>
      </c>
      <c r="AE1600" s="56">
        <v>625</v>
      </c>
      <c r="AF1600" s="56"/>
      <c r="AG1600" s="9" t="s">
        <v>134</v>
      </c>
      <c r="AH1600" s="64">
        <v>45827</v>
      </c>
      <c r="AI1600" s="64"/>
      <c r="AJ1600" s="64"/>
      <c r="AK1600" s="22" t="s">
        <v>1935</v>
      </c>
      <c r="AL1600" s="11">
        <v>625</v>
      </c>
      <c r="AN1600" s="11" t="s">
        <v>1956</v>
      </c>
      <c r="AW1600" s="17">
        <v>45824</v>
      </c>
      <c r="AX1600" s="10">
        <v>4299</v>
      </c>
      <c r="AY1600" s="11"/>
      <c r="BA1600" s="11">
        <v>625</v>
      </c>
      <c r="BD1600" s="9"/>
      <c r="CS1600" s="11">
        <f t="shared" si="114"/>
        <v>625</v>
      </c>
      <c r="CT1600" s="22">
        <f t="shared" si="115"/>
        <v>625</v>
      </c>
      <c r="CU1600" s="22">
        <f t="shared" si="116"/>
        <v>0</v>
      </c>
      <c r="CV1600" s="26">
        <f t="shared" si="113"/>
        <v>0</v>
      </c>
    </row>
    <row r="1601" spans="1:100" x14ac:dyDescent="0.2">
      <c r="A1601" s="9" t="s">
        <v>422</v>
      </c>
      <c r="B1601" s="2">
        <v>22</v>
      </c>
      <c r="C1601" s="3" t="s">
        <v>95</v>
      </c>
      <c r="D1601" s="3" t="s">
        <v>96</v>
      </c>
      <c r="E1601" s="2"/>
      <c r="F1601" s="2"/>
      <c r="G1601" s="2" t="s">
        <v>68</v>
      </c>
      <c r="H1601" s="2">
        <v>2</v>
      </c>
      <c r="I1601" s="8">
        <v>145.31</v>
      </c>
      <c r="J1601" s="8">
        <v>42900</v>
      </c>
      <c r="K1601" s="3">
        <v>0</v>
      </c>
      <c r="L1601" s="3" t="s">
        <v>3</v>
      </c>
      <c r="M1601" s="9" t="s">
        <v>0</v>
      </c>
      <c r="N1601" s="9" t="s">
        <v>34</v>
      </c>
      <c r="O1601" s="9" t="s">
        <v>423</v>
      </c>
      <c r="S1601" s="9" t="s">
        <v>158</v>
      </c>
      <c r="T1601" s="10" t="s">
        <v>68</v>
      </c>
      <c r="U1601" s="10">
        <v>2</v>
      </c>
      <c r="V1601" s="10">
        <v>141.83000000000001</v>
      </c>
      <c r="W1601" s="10" t="s">
        <v>710</v>
      </c>
      <c r="X1601" s="17">
        <v>44572</v>
      </c>
      <c r="Y1601" s="17">
        <v>44936</v>
      </c>
      <c r="Z1601" s="19" t="s">
        <v>772</v>
      </c>
      <c r="AA1601" s="210">
        <v>40858.800000000003</v>
      </c>
      <c r="AB1601" s="9">
        <v>48</v>
      </c>
      <c r="AC1601" s="9">
        <v>37</v>
      </c>
      <c r="AD1601" s="17">
        <v>45716</v>
      </c>
      <c r="AE1601" s="56">
        <v>625</v>
      </c>
      <c r="AF1601" s="56"/>
      <c r="AG1601" s="9" t="s">
        <v>134</v>
      </c>
      <c r="AH1601" s="64">
        <v>45860</v>
      </c>
      <c r="AI1601" s="64"/>
      <c r="AJ1601" s="64"/>
      <c r="AK1601" s="11" t="s">
        <v>1940</v>
      </c>
      <c r="AL1601" s="11">
        <v>625</v>
      </c>
      <c r="AN1601" s="11" t="s">
        <v>1961</v>
      </c>
      <c r="AW1601" s="17">
        <v>45860</v>
      </c>
      <c r="AX1601" s="10">
        <v>227378</v>
      </c>
      <c r="AY1601" s="11">
        <v>2228.75</v>
      </c>
      <c r="AZ1601" s="9">
        <v>3.5659999999999998</v>
      </c>
      <c r="BA1601" s="11">
        <f>+AY1601/AZ1601</f>
        <v>625</v>
      </c>
      <c r="BD1601" s="9"/>
      <c r="CS1601" s="11">
        <f t="shared" si="114"/>
        <v>625</v>
      </c>
      <c r="CT1601" s="22">
        <f t="shared" si="115"/>
        <v>625</v>
      </c>
      <c r="CU1601" s="22">
        <f t="shared" si="116"/>
        <v>0</v>
      </c>
      <c r="CV1601" s="26">
        <f t="shared" si="113"/>
        <v>0</v>
      </c>
    </row>
    <row r="1602" spans="1:100" x14ac:dyDescent="0.2">
      <c r="A1602" s="9" t="s">
        <v>422</v>
      </c>
      <c r="B1602" s="2">
        <v>22</v>
      </c>
      <c r="C1602" s="3" t="s">
        <v>95</v>
      </c>
      <c r="D1602" s="3" t="s">
        <v>96</v>
      </c>
      <c r="E1602" s="2"/>
      <c r="F1602" s="2"/>
      <c r="G1602" s="2" t="s">
        <v>68</v>
      </c>
      <c r="H1602" s="2">
        <v>2</v>
      </c>
      <c r="I1602" s="8">
        <v>145.31</v>
      </c>
      <c r="J1602" s="8">
        <v>42900</v>
      </c>
      <c r="K1602" s="3">
        <v>0</v>
      </c>
      <c r="L1602" s="3" t="s">
        <v>3</v>
      </c>
      <c r="M1602" s="9" t="s">
        <v>0</v>
      </c>
      <c r="N1602" s="9" t="s">
        <v>34</v>
      </c>
      <c r="O1602" s="9" t="s">
        <v>423</v>
      </c>
      <c r="S1602" s="9" t="s">
        <v>158</v>
      </c>
      <c r="T1602" s="10" t="s">
        <v>68</v>
      </c>
      <c r="U1602" s="10">
        <v>2</v>
      </c>
      <c r="V1602" s="10">
        <v>141.83000000000001</v>
      </c>
      <c r="W1602" s="10" t="s">
        <v>710</v>
      </c>
      <c r="X1602" s="17">
        <v>44572</v>
      </c>
      <c r="Y1602" s="17">
        <v>44936</v>
      </c>
      <c r="Z1602" s="19" t="s">
        <v>772</v>
      </c>
      <c r="AA1602" s="210">
        <v>40858.800000000003</v>
      </c>
      <c r="AB1602" s="9">
        <v>48</v>
      </c>
      <c r="AC1602" s="9">
        <v>38</v>
      </c>
      <c r="AD1602" s="17">
        <v>45746</v>
      </c>
      <c r="AE1602" s="56">
        <v>625</v>
      </c>
      <c r="AF1602" s="56"/>
      <c r="AG1602" s="9" t="s">
        <v>134</v>
      </c>
      <c r="AH1602" s="64">
        <v>45860</v>
      </c>
      <c r="AI1602" s="64"/>
      <c r="AJ1602" s="64"/>
      <c r="AK1602" s="11" t="s">
        <v>1941</v>
      </c>
      <c r="AL1602" s="11">
        <v>625</v>
      </c>
      <c r="AN1602" s="11" t="s">
        <v>1962</v>
      </c>
      <c r="AW1602" s="17">
        <v>45860</v>
      </c>
      <c r="AX1602" s="10">
        <v>215806</v>
      </c>
      <c r="AY1602" s="11">
        <v>2228.75</v>
      </c>
      <c r="AZ1602" s="9">
        <v>3.5659999999999998</v>
      </c>
      <c r="BA1602" s="11">
        <f>+AY1602/AZ1602</f>
        <v>625</v>
      </c>
      <c r="BD1602" s="9"/>
      <c r="CS1602" s="11">
        <f t="shared" si="114"/>
        <v>625</v>
      </c>
      <c r="CT1602" s="22">
        <f t="shared" si="115"/>
        <v>625</v>
      </c>
      <c r="CU1602" s="22">
        <f t="shared" si="116"/>
        <v>0</v>
      </c>
      <c r="CV1602" s="26">
        <f t="shared" si="113"/>
        <v>0</v>
      </c>
    </row>
    <row r="1603" spans="1:100" x14ac:dyDescent="0.2">
      <c r="A1603" s="9" t="s">
        <v>422</v>
      </c>
      <c r="B1603" s="2">
        <v>22</v>
      </c>
      <c r="C1603" s="3" t="s">
        <v>95</v>
      </c>
      <c r="D1603" s="3" t="s">
        <v>96</v>
      </c>
      <c r="E1603" s="2"/>
      <c r="F1603" s="2"/>
      <c r="G1603" s="2" t="s">
        <v>68</v>
      </c>
      <c r="H1603" s="2">
        <v>2</v>
      </c>
      <c r="I1603" s="8">
        <v>145.31</v>
      </c>
      <c r="J1603" s="8">
        <v>42900</v>
      </c>
      <c r="K1603" s="3">
        <v>0</v>
      </c>
      <c r="L1603" s="3" t="s">
        <v>3</v>
      </c>
      <c r="M1603" s="9" t="s">
        <v>0</v>
      </c>
      <c r="N1603" s="9" t="s">
        <v>34</v>
      </c>
      <c r="O1603" s="9" t="s">
        <v>423</v>
      </c>
      <c r="S1603" s="9" t="s">
        <v>158</v>
      </c>
      <c r="T1603" s="10" t="s">
        <v>68</v>
      </c>
      <c r="U1603" s="10">
        <v>2</v>
      </c>
      <c r="V1603" s="10">
        <v>141.83000000000001</v>
      </c>
      <c r="W1603" s="10" t="s">
        <v>710</v>
      </c>
      <c r="X1603" s="17">
        <v>44572</v>
      </c>
      <c r="Y1603" s="17">
        <v>44936</v>
      </c>
      <c r="Z1603" s="19" t="s">
        <v>772</v>
      </c>
      <c r="AA1603" s="210">
        <v>40858.800000000003</v>
      </c>
      <c r="AB1603" s="9">
        <v>48</v>
      </c>
      <c r="AC1603" s="9">
        <v>39</v>
      </c>
      <c r="AD1603" s="17">
        <v>45777</v>
      </c>
      <c r="AE1603" s="56">
        <v>625</v>
      </c>
      <c r="AF1603" s="56"/>
      <c r="AG1603" s="9" t="s">
        <v>134</v>
      </c>
      <c r="AH1603" s="64">
        <v>45929</v>
      </c>
      <c r="AI1603" s="64"/>
      <c r="AJ1603" s="64"/>
      <c r="AK1603" s="11" t="s">
        <v>1942</v>
      </c>
      <c r="AL1603" s="11">
        <v>625</v>
      </c>
      <c r="AN1603" s="11" t="s">
        <v>1963</v>
      </c>
      <c r="AW1603" s="17">
        <v>45929</v>
      </c>
      <c r="AX1603" s="10">
        <v>4824</v>
      </c>
      <c r="AY1603" s="11"/>
      <c r="BA1603" s="11">
        <v>625</v>
      </c>
      <c r="BD1603" s="9"/>
      <c r="CS1603" s="11">
        <f t="shared" si="114"/>
        <v>625</v>
      </c>
      <c r="CT1603" s="22">
        <f t="shared" si="115"/>
        <v>625</v>
      </c>
      <c r="CU1603" s="22">
        <f t="shared" si="116"/>
        <v>0</v>
      </c>
      <c r="CV1603" s="26">
        <f t="shared" si="113"/>
        <v>0</v>
      </c>
    </row>
    <row r="1604" spans="1:100" x14ac:dyDescent="0.2">
      <c r="A1604" s="9" t="s">
        <v>422</v>
      </c>
      <c r="B1604" s="2">
        <v>22</v>
      </c>
      <c r="C1604" s="3" t="s">
        <v>95</v>
      </c>
      <c r="D1604" s="3" t="s">
        <v>96</v>
      </c>
      <c r="E1604" s="2"/>
      <c r="F1604" s="2"/>
      <c r="G1604" s="2" t="s">
        <v>68</v>
      </c>
      <c r="H1604" s="2">
        <v>2</v>
      </c>
      <c r="I1604" s="8">
        <v>145.31</v>
      </c>
      <c r="J1604" s="8">
        <v>42900</v>
      </c>
      <c r="K1604" s="3">
        <v>0</v>
      </c>
      <c r="L1604" s="3" t="s">
        <v>3</v>
      </c>
      <c r="M1604" s="9" t="s">
        <v>0</v>
      </c>
      <c r="N1604" s="9" t="s">
        <v>34</v>
      </c>
      <c r="O1604" s="9" t="s">
        <v>423</v>
      </c>
      <c r="S1604" s="9" t="s">
        <v>158</v>
      </c>
      <c r="T1604" s="10" t="s">
        <v>68</v>
      </c>
      <c r="U1604" s="10">
        <v>2</v>
      </c>
      <c r="V1604" s="10">
        <v>141.83000000000001</v>
      </c>
      <c r="W1604" s="10" t="s">
        <v>710</v>
      </c>
      <c r="X1604" s="17">
        <v>44572</v>
      </c>
      <c r="Y1604" s="17">
        <v>44936</v>
      </c>
      <c r="Z1604" s="19" t="s">
        <v>772</v>
      </c>
      <c r="AA1604" s="210">
        <v>40858.800000000003</v>
      </c>
      <c r="AB1604" s="9">
        <v>48</v>
      </c>
      <c r="AC1604" s="9">
        <v>40</v>
      </c>
      <c r="AD1604" s="17">
        <v>45807</v>
      </c>
      <c r="AE1604" s="56">
        <v>625</v>
      </c>
      <c r="AF1604" s="56"/>
      <c r="AG1604" s="9" t="s">
        <v>134</v>
      </c>
      <c r="AH1604" s="64">
        <v>45929</v>
      </c>
      <c r="AI1604" s="64"/>
      <c r="AJ1604" s="64"/>
      <c r="AK1604" s="11" t="s">
        <v>1943</v>
      </c>
      <c r="AL1604" s="11">
        <v>625</v>
      </c>
      <c r="AN1604" s="11" t="s">
        <v>1964</v>
      </c>
      <c r="AW1604" s="17">
        <v>45929</v>
      </c>
      <c r="AX1604" s="10">
        <v>4824</v>
      </c>
      <c r="AY1604" s="11"/>
      <c r="BA1604" s="11">
        <v>625</v>
      </c>
      <c r="BD1604" s="9"/>
      <c r="CS1604" s="11">
        <f t="shared" si="114"/>
        <v>625</v>
      </c>
      <c r="CT1604" s="22">
        <f t="shared" si="115"/>
        <v>625</v>
      </c>
      <c r="CU1604" s="22">
        <f t="shared" si="116"/>
        <v>0</v>
      </c>
      <c r="CV1604" s="26">
        <f t="shared" si="113"/>
        <v>0</v>
      </c>
    </row>
    <row r="1605" spans="1:100" x14ac:dyDescent="0.2">
      <c r="A1605" s="9" t="s">
        <v>422</v>
      </c>
      <c r="B1605" s="2">
        <v>22</v>
      </c>
      <c r="C1605" s="3" t="s">
        <v>95</v>
      </c>
      <c r="D1605" s="3" t="s">
        <v>96</v>
      </c>
      <c r="E1605" s="2"/>
      <c r="F1605" s="2"/>
      <c r="G1605" s="2" t="s">
        <v>68</v>
      </c>
      <c r="H1605" s="2">
        <v>2</v>
      </c>
      <c r="I1605" s="8">
        <v>145.31</v>
      </c>
      <c r="J1605" s="8">
        <v>42900</v>
      </c>
      <c r="K1605" s="3">
        <v>0</v>
      </c>
      <c r="L1605" s="3" t="s">
        <v>3</v>
      </c>
      <c r="M1605" s="9" t="s">
        <v>0</v>
      </c>
      <c r="N1605" s="9" t="s">
        <v>34</v>
      </c>
      <c r="O1605" s="9" t="s">
        <v>423</v>
      </c>
      <c r="S1605" s="9" t="s">
        <v>158</v>
      </c>
      <c r="T1605" s="10" t="s">
        <v>68</v>
      </c>
      <c r="U1605" s="10">
        <v>2</v>
      </c>
      <c r="V1605" s="10">
        <v>141.83000000000001</v>
      </c>
      <c r="W1605" s="10" t="s">
        <v>710</v>
      </c>
      <c r="X1605" s="17">
        <v>44572</v>
      </c>
      <c r="Y1605" s="17">
        <v>44936</v>
      </c>
      <c r="Z1605" s="19" t="s">
        <v>772</v>
      </c>
      <c r="AA1605" s="210">
        <v>40858.800000000003</v>
      </c>
      <c r="AB1605" s="9">
        <v>48</v>
      </c>
      <c r="AC1605" s="9">
        <v>41</v>
      </c>
      <c r="AD1605" s="17">
        <v>45838</v>
      </c>
      <c r="AE1605" s="56">
        <v>625</v>
      </c>
      <c r="AF1605" s="56"/>
      <c r="AG1605" s="9" t="s">
        <v>134</v>
      </c>
      <c r="AH1605" s="64">
        <v>45929</v>
      </c>
      <c r="AI1605" s="64"/>
      <c r="AJ1605" s="64"/>
      <c r="AK1605" s="11" t="s">
        <v>1944</v>
      </c>
      <c r="AL1605" s="11">
        <v>3.34</v>
      </c>
      <c r="AN1605" s="11" t="s">
        <v>1965</v>
      </c>
      <c r="AW1605" s="17">
        <v>45929</v>
      </c>
      <c r="AX1605" s="10">
        <v>4824</v>
      </c>
      <c r="AY1605" s="11"/>
      <c r="BA1605" s="11">
        <v>3.34</v>
      </c>
      <c r="BD1605" s="9"/>
      <c r="CS1605" s="11">
        <f t="shared" si="114"/>
        <v>3.34</v>
      </c>
      <c r="CT1605" s="22">
        <f t="shared" si="115"/>
        <v>3.34</v>
      </c>
      <c r="CU1605" s="22">
        <f t="shared" si="116"/>
        <v>0</v>
      </c>
      <c r="CV1605" s="26">
        <f t="shared" si="113"/>
        <v>621.66</v>
      </c>
    </row>
    <row r="1606" spans="1:100" x14ac:dyDescent="0.2">
      <c r="A1606" s="9" t="s">
        <v>422</v>
      </c>
      <c r="B1606" s="2">
        <v>22</v>
      </c>
      <c r="C1606" s="3" t="s">
        <v>95</v>
      </c>
      <c r="D1606" s="3" t="s">
        <v>96</v>
      </c>
      <c r="E1606" s="2"/>
      <c r="F1606" s="2"/>
      <c r="G1606" s="2" t="s">
        <v>68</v>
      </c>
      <c r="H1606" s="2">
        <v>2</v>
      </c>
      <c r="I1606" s="8">
        <v>145.31</v>
      </c>
      <c r="J1606" s="8">
        <v>42900</v>
      </c>
      <c r="K1606" s="3">
        <v>0</v>
      </c>
      <c r="L1606" s="3" t="s">
        <v>3</v>
      </c>
      <c r="M1606" s="9" t="s">
        <v>0</v>
      </c>
      <c r="N1606" s="9" t="s">
        <v>34</v>
      </c>
      <c r="O1606" s="9" t="s">
        <v>423</v>
      </c>
      <c r="S1606" s="9" t="s">
        <v>158</v>
      </c>
      <c r="T1606" s="10" t="s">
        <v>68</v>
      </c>
      <c r="U1606" s="10">
        <v>2</v>
      </c>
      <c r="V1606" s="10">
        <v>141.83000000000001</v>
      </c>
      <c r="W1606" s="10" t="s">
        <v>710</v>
      </c>
      <c r="X1606" s="17">
        <v>44572</v>
      </c>
      <c r="Y1606" s="17">
        <v>44936</v>
      </c>
      <c r="Z1606" s="19" t="s">
        <v>772</v>
      </c>
      <c r="AA1606" s="210">
        <v>40858.800000000003</v>
      </c>
      <c r="AB1606" s="9">
        <v>48</v>
      </c>
      <c r="AC1606" s="9">
        <v>42</v>
      </c>
      <c r="AD1606" s="17">
        <v>45868</v>
      </c>
      <c r="AE1606" s="56">
        <v>625</v>
      </c>
      <c r="AF1606" s="56"/>
      <c r="AH1606" s="17"/>
      <c r="AI1606" s="17"/>
      <c r="AJ1606" s="17"/>
      <c r="AW1606" s="9"/>
      <c r="BD1606" s="9"/>
      <c r="CS1606" s="11">
        <f t="shared" si="114"/>
        <v>0</v>
      </c>
      <c r="CT1606" s="22">
        <f t="shared" si="115"/>
        <v>0</v>
      </c>
      <c r="CU1606" s="22">
        <f t="shared" si="116"/>
        <v>0</v>
      </c>
      <c r="CV1606" s="26">
        <f t="shared" si="113"/>
        <v>625</v>
      </c>
    </row>
    <row r="1607" spans="1:100" x14ac:dyDescent="0.2">
      <c r="A1607" s="9" t="s">
        <v>422</v>
      </c>
      <c r="B1607" s="2">
        <v>22</v>
      </c>
      <c r="C1607" s="3" t="s">
        <v>95</v>
      </c>
      <c r="D1607" s="3" t="s">
        <v>96</v>
      </c>
      <c r="E1607" s="2"/>
      <c r="F1607" s="2"/>
      <c r="G1607" s="2" t="s">
        <v>68</v>
      </c>
      <c r="H1607" s="2">
        <v>2</v>
      </c>
      <c r="I1607" s="8">
        <v>145.31</v>
      </c>
      <c r="J1607" s="8">
        <v>42900</v>
      </c>
      <c r="K1607" s="3">
        <v>0</v>
      </c>
      <c r="L1607" s="3" t="s">
        <v>3</v>
      </c>
      <c r="M1607" s="9" t="s">
        <v>0</v>
      </c>
      <c r="N1607" s="9" t="s">
        <v>34</v>
      </c>
      <c r="O1607" s="9" t="s">
        <v>423</v>
      </c>
      <c r="S1607" s="9" t="s">
        <v>158</v>
      </c>
      <c r="T1607" s="10" t="s">
        <v>68</v>
      </c>
      <c r="U1607" s="10">
        <v>2</v>
      </c>
      <c r="V1607" s="10">
        <v>141.83000000000001</v>
      </c>
      <c r="W1607" s="10" t="s">
        <v>710</v>
      </c>
      <c r="X1607" s="17">
        <v>44572</v>
      </c>
      <c r="Y1607" s="17">
        <v>44936</v>
      </c>
      <c r="Z1607" s="19" t="s">
        <v>772</v>
      </c>
      <c r="AA1607" s="210">
        <v>40858.800000000003</v>
      </c>
      <c r="AB1607" s="9">
        <v>48</v>
      </c>
      <c r="AC1607" s="9">
        <v>43</v>
      </c>
      <c r="AD1607" s="17">
        <v>45899</v>
      </c>
      <c r="AE1607" s="56">
        <v>625</v>
      </c>
      <c r="AF1607" s="56"/>
      <c r="AH1607" s="17"/>
      <c r="AI1607" s="17"/>
      <c r="AJ1607" s="17"/>
      <c r="AW1607" s="9"/>
      <c r="BD1607" s="9"/>
      <c r="CS1607" s="11">
        <f t="shared" si="114"/>
        <v>0</v>
      </c>
      <c r="CT1607" s="22">
        <f t="shared" si="115"/>
        <v>0</v>
      </c>
      <c r="CU1607" s="22">
        <f t="shared" si="116"/>
        <v>0</v>
      </c>
      <c r="CV1607" s="26">
        <f t="shared" si="113"/>
        <v>625</v>
      </c>
    </row>
    <row r="1608" spans="1:100" x14ac:dyDescent="0.2">
      <c r="A1608" s="9" t="s">
        <v>422</v>
      </c>
      <c r="B1608" s="2">
        <v>22</v>
      </c>
      <c r="C1608" s="3" t="s">
        <v>95</v>
      </c>
      <c r="D1608" s="3" t="s">
        <v>96</v>
      </c>
      <c r="E1608" s="2"/>
      <c r="F1608" s="2"/>
      <c r="G1608" s="2" t="s">
        <v>68</v>
      </c>
      <c r="H1608" s="2">
        <v>2</v>
      </c>
      <c r="I1608" s="8">
        <v>145.31</v>
      </c>
      <c r="J1608" s="8">
        <v>42900</v>
      </c>
      <c r="K1608" s="3">
        <v>0</v>
      </c>
      <c r="L1608" s="3" t="s">
        <v>3</v>
      </c>
      <c r="M1608" s="9" t="s">
        <v>0</v>
      </c>
      <c r="N1608" s="9" t="s">
        <v>34</v>
      </c>
      <c r="O1608" s="9" t="s">
        <v>423</v>
      </c>
      <c r="S1608" s="9" t="s">
        <v>158</v>
      </c>
      <c r="T1608" s="10" t="s">
        <v>68</v>
      </c>
      <c r="U1608" s="10">
        <v>2</v>
      </c>
      <c r="V1608" s="10">
        <v>141.83000000000001</v>
      </c>
      <c r="W1608" s="10" t="s">
        <v>710</v>
      </c>
      <c r="X1608" s="17">
        <v>44572</v>
      </c>
      <c r="Y1608" s="17">
        <v>44936</v>
      </c>
      <c r="Z1608" s="19" t="s">
        <v>772</v>
      </c>
      <c r="AA1608" s="210">
        <v>40858.800000000003</v>
      </c>
      <c r="AB1608" s="9">
        <v>48</v>
      </c>
      <c r="AC1608" s="9">
        <v>44</v>
      </c>
      <c r="AD1608" s="17">
        <v>45930</v>
      </c>
      <c r="AE1608" s="56">
        <v>625</v>
      </c>
      <c r="AF1608" s="56"/>
      <c r="AH1608" s="17"/>
      <c r="AI1608" s="17"/>
      <c r="AJ1608" s="17"/>
      <c r="AW1608" s="9"/>
      <c r="BD1608" s="9"/>
      <c r="CS1608" s="11">
        <f t="shared" si="114"/>
        <v>0</v>
      </c>
      <c r="CT1608" s="22">
        <f t="shared" si="115"/>
        <v>0</v>
      </c>
      <c r="CU1608" s="22">
        <f t="shared" si="116"/>
        <v>0</v>
      </c>
      <c r="CV1608" s="26">
        <f t="shared" si="113"/>
        <v>625</v>
      </c>
    </row>
    <row r="1609" spans="1:100" x14ac:dyDescent="0.2">
      <c r="A1609" s="9" t="s">
        <v>422</v>
      </c>
      <c r="B1609" s="2">
        <v>22</v>
      </c>
      <c r="C1609" s="3" t="s">
        <v>95</v>
      </c>
      <c r="D1609" s="3" t="s">
        <v>96</v>
      </c>
      <c r="E1609" s="2"/>
      <c r="F1609" s="2"/>
      <c r="G1609" s="2" t="s">
        <v>68</v>
      </c>
      <c r="H1609" s="2">
        <v>2</v>
      </c>
      <c r="I1609" s="8">
        <v>145.31</v>
      </c>
      <c r="J1609" s="8">
        <v>42900</v>
      </c>
      <c r="K1609" s="3">
        <v>0</v>
      </c>
      <c r="L1609" s="3" t="s">
        <v>3</v>
      </c>
      <c r="M1609" s="9" t="s">
        <v>0</v>
      </c>
      <c r="N1609" s="9" t="s">
        <v>34</v>
      </c>
      <c r="O1609" s="9" t="s">
        <v>423</v>
      </c>
      <c r="S1609" s="9" t="s">
        <v>158</v>
      </c>
      <c r="T1609" s="10" t="s">
        <v>68</v>
      </c>
      <c r="U1609" s="10">
        <v>2</v>
      </c>
      <c r="V1609" s="10">
        <v>141.83000000000001</v>
      </c>
      <c r="W1609" s="10" t="s">
        <v>710</v>
      </c>
      <c r="X1609" s="17">
        <v>44572</v>
      </c>
      <c r="Y1609" s="17">
        <v>44936</v>
      </c>
      <c r="Z1609" s="19" t="s">
        <v>772</v>
      </c>
      <c r="AA1609" s="210">
        <v>40858.800000000003</v>
      </c>
      <c r="AB1609" s="9">
        <v>48</v>
      </c>
      <c r="AC1609" s="9">
        <v>45</v>
      </c>
      <c r="AD1609" s="17">
        <v>45960</v>
      </c>
      <c r="AE1609" s="56">
        <v>625</v>
      </c>
      <c r="AF1609" s="56"/>
      <c r="AH1609" s="17"/>
      <c r="AI1609" s="17"/>
      <c r="AJ1609" s="17"/>
      <c r="AW1609" s="9"/>
      <c r="BD1609" s="9"/>
      <c r="CS1609" s="11">
        <f t="shared" si="114"/>
        <v>0</v>
      </c>
      <c r="CT1609" s="22">
        <f t="shared" si="115"/>
        <v>0</v>
      </c>
      <c r="CU1609" s="22">
        <f t="shared" si="116"/>
        <v>0</v>
      </c>
      <c r="CV1609" s="26">
        <f t="shared" si="113"/>
        <v>625</v>
      </c>
    </row>
    <row r="1610" spans="1:100" x14ac:dyDescent="0.2">
      <c r="A1610" s="9" t="s">
        <v>422</v>
      </c>
      <c r="B1610" s="2">
        <v>22</v>
      </c>
      <c r="C1610" s="3" t="s">
        <v>95</v>
      </c>
      <c r="D1610" s="3" t="s">
        <v>96</v>
      </c>
      <c r="E1610" s="2"/>
      <c r="F1610" s="2"/>
      <c r="G1610" s="2" t="s">
        <v>68</v>
      </c>
      <c r="H1610" s="2">
        <v>2</v>
      </c>
      <c r="I1610" s="8">
        <v>145.31</v>
      </c>
      <c r="J1610" s="8">
        <v>42900</v>
      </c>
      <c r="K1610" s="3">
        <v>0</v>
      </c>
      <c r="L1610" s="3" t="s">
        <v>3</v>
      </c>
      <c r="M1610" s="9" t="s">
        <v>0</v>
      </c>
      <c r="N1610" s="9" t="s">
        <v>34</v>
      </c>
      <c r="O1610" s="9" t="s">
        <v>423</v>
      </c>
      <c r="S1610" s="9" t="s">
        <v>158</v>
      </c>
      <c r="T1610" s="10" t="s">
        <v>68</v>
      </c>
      <c r="U1610" s="10">
        <v>2</v>
      </c>
      <c r="V1610" s="10">
        <v>141.83000000000001</v>
      </c>
      <c r="W1610" s="10" t="s">
        <v>710</v>
      </c>
      <c r="X1610" s="17">
        <v>44572</v>
      </c>
      <c r="Y1610" s="17">
        <v>44936</v>
      </c>
      <c r="Z1610" s="19" t="s">
        <v>772</v>
      </c>
      <c r="AA1610" s="210">
        <v>40858.800000000003</v>
      </c>
      <c r="AB1610" s="9">
        <v>48</v>
      </c>
      <c r="AC1610" s="9">
        <v>46</v>
      </c>
      <c r="AD1610" s="17">
        <v>45991</v>
      </c>
      <c r="AE1610" s="56">
        <v>625</v>
      </c>
      <c r="AF1610" s="56"/>
      <c r="AP1610" s="11"/>
      <c r="AQ1610" s="11"/>
      <c r="AR1610" s="11"/>
      <c r="AW1610" s="9"/>
      <c r="BD1610" s="9"/>
      <c r="CS1610" s="11">
        <f t="shared" si="114"/>
        <v>0</v>
      </c>
      <c r="CT1610" s="22">
        <f t="shared" si="115"/>
        <v>0</v>
      </c>
      <c r="CU1610" s="22">
        <f t="shared" si="116"/>
        <v>0</v>
      </c>
      <c r="CV1610" s="26">
        <f t="shared" si="113"/>
        <v>625</v>
      </c>
    </row>
    <row r="1611" spans="1:100" x14ac:dyDescent="0.2">
      <c r="A1611" s="9" t="s">
        <v>422</v>
      </c>
      <c r="B1611" s="2">
        <v>22</v>
      </c>
      <c r="C1611" s="3" t="s">
        <v>95</v>
      </c>
      <c r="D1611" s="3" t="s">
        <v>96</v>
      </c>
      <c r="E1611" s="2"/>
      <c r="F1611" s="2"/>
      <c r="G1611" s="2" t="s">
        <v>68</v>
      </c>
      <c r="H1611" s="2">
        <v>2</v>
      </c>
      <c r="I1611" s="8">
        <v>145.31</v>
      </c>
      <c r="J1611" s="8">
        <v>42900</v>
      </c>
      <c r="K1611" s="3">
        <v>0</v>
      </c>
      <c r="L1611" s="3" t="s">
        <v>3</v>
      </c>
      <c r="M1611" s="9" t="s">
        <v>0</v>
      </c>
      <c r="N1611" s="9" t="s">
        <v>34</v>
      </c>
      <c r="O1611" s="9" t="s">
        <v>423</v>
      </c>
      <c r="S1611" s="9" t="s">
        <v>158</v>
      </c>
      <c r="T1611" s="10" t="s">
        <v>68</v>
      </c>
      <c r="U1611" s="10">
        <v>2</v>
      </c>
      <c r="V1611" s="10">
        <v>141.83000000000001</v>
      </c>
      <c r="W1611" s="10" t="s">
        <v>710</v>
      </c>
      <c r="X1611" s="17">
        <v>44572</v>
      </c>
      <c r="Y1611" s="17">
        <v>44936</v>
      </c>
      <c r="Z1611" s="19" t="s">
        <v>772</v>
      </c>
      <c r="AA1611" s="210">
        <v>40858.800000000003</v>
      </c>
      <c r="AB1611" s="9">
        <v>48</v>
      </c>
      <c r="AC1611" s="9">
        <v>47</v>
      </c>
      <c r="AD1611" s="17">
        <v>46021</v>
      </c>
      <c r="AE1611" s="56">
        <v>625</v>
      </c>
      <c r="AF1611" s="56"/>
      <c r="AP1611" s="11"/>
      <c r="AQ1611" s="11"/>
      <c r="AR1611" s="11"/>
      <c r="AW1611" s="9"/>
      <c r="BD1611" s="9"/>
      <c r="CS1611" s="11">
        <f t="shared" si="114"/>
        <v>0</v>
      </c>
      <c r="CT1611" s="22">
        <f t="shared" si="115"/>
        <v>0</v>
      </c>
      <c r="CU1611" s="22">
        <f t="shared" si="116"/>
        <v>0</v>
      </c>
      <c r="CV1611" s="26">
        <f t="shared" si="113"/>
        <v>625</v>
      </c>
    </row>
    <row r="1612" spans="1:100" x14ac:dyDescent="0.2">
      <c r="A1612" s="9" t="s">
        <v>422</v>
      </c>
      <c r="B1612" s="2">
        <v>22</v>
      </c>
      <c r="C1612" s="3" t="s">
        <v>95</v>
      </c>
      <c r="D1612" s="3" t="s">
        <v>96</v>
      </c>
      <c r="E1612" s="2"/>
      <c r="F1612" s="2"/>
      <c r="G1612" s="2" t="s">
        <v>68</v>
      </c>
      <c r="H1612" s="2">
        <v>2</v>
      </c>
      <c r="I1612" s="8">
        <v>145.31</v>
      </c>
      <c r="J1612" s="8">
        <v>42900</v>
      </c>
      <c r="K1612" s="3">
        <v>0</v>
      </c>
      <c r="L1612" s="3" t="s">
        <v>3</v>
      </c>
      <c r="M1612" s="9" t="s">
        <v>0</v>
      </c>
      <c r="N1612" s="9" t="s">
        <v>34</v>
      </c>
      <c r="O1612" s="9" t="s">
        <v>423</v>
      </c>
      <c r="S1612" s="9" t="s">
        <v>158</v>
      </c>
      <c r="T1612" s="10" t="s">
        <v>68</v>
      </c>
      <c r="U1612" s="10">
        <v>2</v>
      </c>
      <c r="V1612" s="10">
        <v>141.83000000000001</v>
      </c>
      <c r="W1612" s="10" t="s">
        <v>710</v>
      </c>
      <c r="X1612" s="17">
        <v>44572</v>
      </c>
      <c r="Y1612" s="17">
        <v>44936</v>
      </c>
      <c r="Z1612" s="19" t="s">
        <v>772</v>
      </c>
      <c r="AA1612" s="210">
        <v>40858.800000000003</v>
      </c>
      <c r="AB1612" s="9">
        <v>48</v>
      </c>
      <c r="AC1612" s="9">
        <v>48</v>
      </c>
      <c r="AD1612" s="17">
        <v>46052</v>
      </c>
      <c r="AE1612" s="56">
        <v>858.8</v>
      </c>
      <c r="AF1612" s="56"/>
      <c r="AP1612" s="11"/>
      <c r="AQ1612" s="11"/>
      <c r="AR1612" s="11"/>
      <c r="AW1612" s="9"/>
      <c r="BD1612" s="9"/>
      <c r="CS1612" s="11">
        <f t="shared" si="114"/>
        <v>0</v>
      </c>
      <c r="CT1612" s="22">
        <f t="shared" si="115"/>
        <v>0</v>
      </c>
      <c r="CU1612" s="22">
        <f t="shared" si="116"/>
        <v>0</v>
      </c>
      <c r="CV1612" s="26">
        <f t="shared" si="113"/>
        <v>858.8</v>
      </c>
    </row>
    <row r="1613" spans="1:100" x14ac:dyDescent="0.2">
      <c r="A1613" s="9" t="s">
        <v>422</v>
      </c>
      <c r="B1613" s="2">
        <v>22</v>
      </c>
      <c r="C1613" s="3" t="s">
        <v>95</v>
      </c>
      <c r="D1613" s="3" t="s">
        <v>96</v>
      </c>
      <c r="E1613" s="2"/>
      <c r="F1613" s="2"/>
      <c r="G1613" s="2" t="s">
        <v>68</v>
      </c>
      <c r="H1613" s="2">
        <v>2</v>
      </c>
      <c r="I1613" s="8">
        <v>145.31</v>
      </c>
      <c r="J1613" s="8">
        <v>42900</v>
      </c>
      <c r="K1613" s="3">
        <v>0</v>
      </c>
      <c r="L1613" s="3" t="s">
        <v>3</v>
      </c>
      <c r="M1613" s="9" t="s">
        <v>0</v>
      </c>
      <c r="N1613" s="9" t="s">
        <v>34</v>
      </c>
      <c r="O1613" s="9" t="s">
        <v>423</v>
      </c>
      <c r="S1613" s="9" t="s">
        <v>424</v>
      </c>
      <c r="V1613" s="10">
        <v>12.5</v>
      </c>
      <c r="W1613" s="10" t="s">
        <v>710</v>
      </c>
      <c r="X1613" s="17">
        <v>44572</v>
      </c>
      <c r="Y1613" s="17">
        <v>44936</v>
      </c>
      <c r="Z1613" s="19" t="s">
        <v>772</v>
      </c>
      <c r="AA1613" s="210">
        <v>5000</v>
      </c>
      <c r="AB1613" s="9">
        <v>60</v>
      </c>
      <c r="AC1613" s="9">
        <v>1</v>
      </c>
      <c r="AD1613" s="17">
        <v>44985</v>
      </c>
      <c r="AE1613" s="56">
        <v>83.33</v>
      </c>
      <c r="AF1613" s="56"/>
      <c r="AG1613" s="9" t="s">
        <v>134</v>
      </c>
      <c r="AH1613" s="17">
        <v>44986</v>
      </c>
      <c r="AI1613" s="17"/>
      <c r="AJ1613" s="17"/>
      <c r="AK1613" s="9" t="s">
        <v>437</v>
      </c>
      <c r="AL1613" s="11">
        <v>83.33</v>
      </c>
      <c r="AN1613" s="11" t="s">
        <v>1884</v>
      </c>
      <c r="AP1613" s="11"/>
      <c r="AQ1613" s="11"/>
      <c r="AR1613" s="11"/>
      <c r="AW1613" s="17">
        <v>44984</v>
      </c>
      <c r="AX1613" s="10">
        <v>4998</v>
      </c>
      <c r="AY1613" s="11">
        <v>320.82</v>
      </c>
      <c r="AZ1613" s="9">
        <v>3.85</v>
      </c>
      <c r="BA1613" s="11">
        <f>+AY1613/AZ1613</f>
        <v>83.32987012987013</v>
      </c>
      <c r="BD1613" s="9"/>
      <c r="CS1613" s="11">
        <f t="shared" si="114"/>
        <v>83.33</v>
      </c>
      <c r="CT1613" s="22">
        <f t="shared" si="115"/>
        <v>83.32987012987013</v>
      </c>
      <c r="CU1613" s="22">
        <f t="shared" si="116"/>
        <v>1.2987012986798163E-4</v>
      </c>
      <c r="CV1613" s="26">
        <f t="shared" si="113"/>
        <v>0</v>
      </c>
    </row>
    <row r="1614" spans="1:100" ht="12.75" x14ac:dyDescent="0.2">
      <c r="A1614" s="9" t="s">
        <v>422</v>
      </c>
      <c r="B1614" s="2">
        <v>22</v>
      </c>
      <c r="C1614" s="3" t="s">
        <v>95</v>
      </c>
      <c r="D1614" s="3" t="s">
        <v>96</v>
      </c>
      <c r="E1614" s="2"/>
      <c r="F1614" s="2"/>
      <c r="G1614" s="2" t="s">
        <v>68</v>
      </c>
      <c r="H1614" s="2">
        <v>2</v>
      </c>
      <c r="I1614" s="8">
        <v>145.31</v>
      </c>
      <c r="J1614" s="8">
        <v>42900</v>
      </c>
      <c r="K1614" s="3">
        <v>0</v>
      </c>
      <c r="L1614" s="3" t="s">
        <v>3</v>
      </c>
      <c r="M1614" s="9" t="s">
        <v>0</v>
      </c>
      <c r="N1614" s="9" t="s">
        <v>34</v>
      </c>
      <c r="O1614" s="9" t="s">
        <v>423</v>
      </c>
      <c r="S1614" s="9" t="s">
        <v>424</v>
      </c>
      <c r="V1614" s="10">
        <v>12.5</v>
      </c>
      <c r="W1614" s="10" t="s">
        <v>710</v>
      </c>
      <c r="X1614" s="17">
        <v>44572</v>
      </c>
      <c r="Y1614" s="17">
        <v>44936</v>
      </c>
      <c r="Z1614" s="19" t="s">
        <v>772</v>
      </c>
      <c r="AA1614" s="210">
        <v>5000</v>
      </c>
      <c r="AB1614" s="9">
        <v>60</v>
      </c>
      <c r="AC1614" s="9">
        <v>2</v>
      </c>
      <c r="AD1614" s="17">
        <v>45015</v>
      </c>
      <c r="AE1614" s="56">
        <v>83.33</v>
      </c>
      <c r="AF1614" s="56"/>
      <c r="AG1614" s="9" t="s">
        <v>134</v>
      </c>
      <c r="AH1614" s="17">
        <v>45019</v>
      </c>
      <c r="AI1614" s="17"/>
      <c r="AJ1614" s="17"/>
      <c r="AK1614" s="9" t="s">
        <v>1865</v>
      </c>
      <c r="AL1614" s="11">
        <v>83.33</v>
      </c>
      <c r="AN1614" s="11" t="s">
        <v>1886</v>
      </c>
      <c r="AP1614" s="11"/>
      <c r="AQ1614" s="11"/>
      <c r="AR1614" s="11"/>
      <c r="AW1614" s="94">
        <v>45016</v>
      </c>
      <c r="AX1614" s="96">
        <v>1368</v>
      </c>
      <c r="AY1614" s="11"/>
      <c r="BA1614" s="142">
        <f>685-625</f>
        <v>60</v>
      </c>
      <c r="BC1614" s="97">
        <v>45016</v>
      </c>
      <c r="BD1614" s="148">
        <v>88.2</v>
      </c>
      <c r="BE1614" s="148">
        <v>653146</v>
      </c>
      <c r="BF1614" s="9">
        <v>3.75</v>
      </c>
      <c r="BG1614" s="9">
        <f>+BD1614/BF1614</f>
        <v>23.52</v>
      </c>
      <c r="CS1614" s="11">
        <f t="shared" si="114"/>
        <v>83.33</v>
      </c>
      <c r="CT1614" s="22">
        <f t="shared" si="115"/>
        <v>83.52</v>
      </c>
      <c r="CU1614" s="22">
        <f t="shared" si="116"/>
        <v>-0.18999999999999773</v>
      </c>
      <c r="CV1614" s="26">
        <f t="shared" si="113"/>
        <v>0</v>
      </c>
    </row>
    <row r="1615" spans="1:100" ht="12.75" x14ac:dyDescent="0.2">
      <c r="A1615" s="9" t="s">
        <v>422</v>
      </c>
      <c r="B1615" s="2">
        <v>22</v>
      </c>
      <c r="C1615" s="3" t="s">
        <v>95</v>
      </c>
      <c r="D1615" s="3" t="s">
        <v>96</v>
      </c>
      <c r="E1615" s="2"/>
      <c r="F1615" s="2"/>
      <c r="G1615" s="2" t="s">
        <v>68</v>
      </c>
      <c r="H1615" s="2">
        <v>2</v>
      </c>
      <c r="I1615" s="8">
        <v>145.31</v>
      </c>
      <c r="J1615" s="8">
        <v>42900</v>
      </c>
      <c r="K1615" s="3">
        <v>0</v>
      </c>
      <c r="L1615" s="3" t="s">
        <v>3</v>
      </c>
      <c r="M1615" s="9" t="s">
        <v>0</v>
      </c>
      <c r="N1615" s="9" t="s">
        <v>34</v>
      </c>
      <c r="O1615" s="9" t="s">
        <v>423</v>
      </c>
      <c r="S1615" s="9" t="s">
        <v>424</v>
      </c>
      <c r="V1615" s="10">
        <v>12.5</v>
      </c>
      <c r="W1615" s="10" t="s">
        <v>710</v>
      </c>
      <c r="X1615" s="17">
        <v>44572</v>
      </c>
      <c r="Y1615" s="17">
        <v>44936</v>
      </c>
      <c r="Z1615" s="19" t="s">
        <v>772</v>
      </c>
      <c r="AA1615" s="210">
        <v>5000</v>
      </c>
      <c r="AB1615" s="9">
        <v>60</v>
      </c>
      <c r="AC1615" s="9">
        <v>3</v>
      </c>
      <c r="AD1615" s="17">
        <v>45046</v>
      </c>
      <c r="AE1615" s="56">
        <v>83.33</v>
      </c>
      <c r="AF1615" s="56"/>
      <c r="AG1615" s="9" t="s">
        <v>134</v>
      </c>
      <c r="AH1615" s="17">
        <v>45050</v>
      </c>
      <c r="AI1615" s="17"/>
      <c r="AJ1615" s="17"/>
      <c r="AK1615" s="9" t="s">
        <v>1867</v>
      </c>
      <c r="AL1615" s="11">
        <v>83.33</v>
      </c>
      <c r="AN1615" s="11" t="s">
        <v>1888</v>
      </c>
      <c r="AP1615" s="11"/>
      <c r="AQ1615" s="11"/>
      <c r="AR1615" s="11"/>
      <c r="AW1615" s="94">
        <v>45048</v>
      </c>
      <c r="AX1615" s="96">
        <v>1451</v>
      </c>
      <c r="AY1615" s="142"/>
      <c r="BA1615" s="142">
        <f>1330-1250</f>
        <v>80</v>
      </c>
      <c r="BD1615" s="9"/>
      <c r="CS1615" s="11">
        <f t="shared" si="114"/>
        <v>83.33</v>
      </c>
      <c r="CT1615" s="22">
        <f t="shared" si="115"/>
        <v>80</v>
      </c>
      <c r="CU1615" s="22">
        <f t="shared" si="116"/>
        <v>3.3299999999999983</v>
      </c>
      <c r="CV1615" s="26">
        <f t="shared" si="113"/>
        <v>0</v>
      </c>
    </row>
    <row r="1616" spans="1:100" ht="12.75" x14ac:dyDescent="0.2">
      <c r="A1616" s="9" t="s">
        <v>422</v>
      </c>
      <c r="B1616" s="2">
        <v>22</v>
      </c>
      <c r="C1616" s="3" t="s">
        <v>95</v>
      </c>
      <c r="D1616" s="3" t="s">
        <v>96</v>
      </c>
      <c r="E1616" s="2"/>
      <c r="F1616" s="2"/>
      <c r="G1616" s="2" t="s">
        <v>68</v>
      </c>
      <c r="H1616" s="2">
        <v>2</v>
      </c>
      <c r="I1616" s="8">
        <v>145.31</v>
      </c>
      <c r="J1616" s="8">
        <v>42900</v>
      </c>
      <c r="K1616" s="3">
        <v>0</v>
      </c>
      <c r="L1616" s="3" t="s">
        <v>3</v>
      </c>
      <c r="M1616" s="9" t="s">
        <v>0</v>
      </c>
      <c r="N1616" s="9" t="s">
        <v>34</v>
      </c>
      <c r="O1616" s="9" t="s">
        <v>423</v>
      </c>
      <c r="S1616" s="9" t="s">
        <v>424</v>
      </c>
      <c r="V1616" s="10">
        <v>12.5</v>
      </c>
      <c r="W1616" s="10" t="s">
        <v>710</v>
      </c>
      <c r="X1616" s="17">
        <v>44572</v>
      </c>
      <c r="Y1616" s="17">
        <v>44936</v>
      </c>
      <c r="Z1616" s="19" t="s">
        <v>772</v>
      </c>
      <c r="AA1616" s="210">
        <v>5000</v>
      </c>
      <c r="AB1616" s="9">
        <v>60</v>
      </c>
      <c r="AC1616" s="9">
        <v>4</v>
      </c>
      <c r="AD1616" s="17">
        <v>45076</v>
      </c>
      <c r="AE1616" s="56">
        <v>83.33</v>
      </c>
      <c r="AF1616" s="56"/>
      <c r="AG1616" s="9" t="s">
        <v>134</v>
      </c>
      <c r="AH1616" s="17">
        <v>45079</v>
      </c>
      <c r="AI1616" s="17"/>
      <c r="AJ1616" s="17"/>
      <c r="AK1616" s="9" t="s">
        <v>1870</v>
      </c>
      <c r="AL1616" s="11">
        <v>83.33</v>
      </c>
      <c r="AN1616" s="11" t="s">
        <v>1891</v>
      </c>
      <c r="AP1616" s="11"/>
      <c r="AQ1616" s="11"/>
      <c r="AR1616" s="11"/>
      <c r="AW1616" s="94">
        <v>45076</v>
      </c>
      <c r="AX1616" s="96">
        <v>1553</v>
      </c>
      <c r="AY1616" s="142"/>
      <c r="BA1616" s="142">
        <f>705-625</f>
        <v>80</v>
      </c>
      <c r="BD1616" s="9"/>
      <c r="CS1616" s="11">
        <f t="shared" si="114"/>
        <v>83.33</v>
      </c>
      <c r="CT1616" s="22">
        <f t="shared" si="115"/>
        <v>80</v>
      </c>
      <c r="CU1616" s="22">
        <f t="shared" si="116"/>
        <v>3.3299999999999983</v>
      </c>
      <c r="CV1616" s="26">
        <f t="shared" si="113"/>
        <v>0</v>
      </c>
    </row>
    <row r="1617" spans="1:103" ht="12.75" x14ac:dyDescent="0.2">
      <c r="A1617" s="9" t="s">
        <v>422</v>
      </c>
      <c r="B1617" s="2">
        <v>22</v>
      </c>
      <c r="C1617" s="3" t="s">
        <v>95</v>
      </c>
      <c r="D1617" s="3" t="s">
        <v>96</v>
      </c>
      <c r="E1617" s="2"/>
      <c r="F1617" s="2"/>
      <c r="G1617" s="2" t="s">
        <v>68</v>
      </c>
      <c r="H1617" s="2">
        <v>2</v>
      </c>
      <c r="I1617" s="8">
        <v>145.31</v>
      </c>
      <c r="J1617" s="8">
        <v>42900</v>
      </c>
      <c r="K1617" s="3">
        <v>0</v>
      </c>
      <c r="L1617" s="3" t="s">
        <v>3</v>
      </c>
      <c r="M1617" s="9" t="s">
        <v>0</v>
      </c>
      <c r="N1617" s="9" t="s">
        <v>34</v>
      </c>
      <c r="O1617" s="9" t="s">
        <v>423</v>
      </c>
      <c r="S1617" s="9" t="s">
        <v>424</v>
      </c>
      <c r="V1617" s="10">
        <v>12.5</v>
      </c>
      <c r="W1617" s="10" t="s">
        <v>710</v>
      </c>
      <c r="X1617" s="17">
        <v>44572</v>
      </c>
      <c r="Y1617" s="17">
        <v>44936</v>
      </c>
      <c r="Z1617" s="19" t="s">
        <v>772</v>
      </c>
      <c r="AA1617" s="210">
        <v>5000</v>
      </c>
      <c r="AB1617" s="9">
        <v>60</v>
      </c>
      <c r="AC1617" s="9">
        <v>5</v>
      </c>
      <c r="AD1617" s="17">
        <v>45107</v>
      </c>
      <c r="AE1617" s="56">
        <v>83.33</v>
      </c>
      <c r="AF1617" s="56"/>
      <c r="AG1617" s="9" t="s">
        <v>134</v>
      </c>
      <c r="AH1617" s="17">
        <v>45110</v>
      </c>
      <c r="AI1617" s="17"/>
      <c r="AJ1617" s="17"/>
      <c r="AK1617" s="9" t="s">
        <v>1872</v>
      </c>
      <c r="AL1617" s="11">
        <v>83.33</v>
      </c>
      <c r="AN1617" s="11" t="s">
        <v>1893</v>
      </c>
      <c r="AP1617" s="11"/>
      <c r="AQ1617" s="11"/>
      <c r="AR1617" s="11"/>
      <c r="AW1617" s="94">
        <v>45110</v>
      </c>
      <c r="AX1617" s="96">
        <v>1668</v>
      </c>
      <c r="AY1617" s="11"/>
      <c r="BA1617" s="142">
        <f>700-625</f>
        <v>75</v>
      </c>
      <c r="BD1617" s="9"/>
      <c r="CS1617" s="11">
        <f t="shared" si="114"/>
        <v>83.33</v>
      </c>
      <c r="CT1617" s="22">
        <f t="shared" si="115"/>
        <v>75</v>
      </c>
      <c r="CU1617" s="22">
        <f t="shared" si="116"/>
        <v>8.3299999999999983</v>
      </c>
      <c r="CV1617" s="26">
        <f t="shared" si="113"/>
        <v>0</v>
      </c>
    </row>
    <row r="1618" spans="1:103" ht="12.75" x14ac:dyDescent="0.2">
      <c r="A1618" s="9" t="s">
        <v>422</v>
      </c>
      <c r="B1618" s="2">
        <v>22</v>
      </c>
      <c r="C1618" s="3" t="s">
        <v>95</v>
      </c>
      <c r="D1618" s="3" t="s">
        <v>96</v>
      </c>
      <c r="E1618" s="2"/>
      <c r="F1618" s="2"/>
      <c r="G1618" s="2" t="s">
        <v>68</v>
      </c>
      <c r="H1618" s="2">
        <v>2</v>
      </c>
      <c r="I1618" s="8">
        <v>145.31</v>
      </c>
      <c r="J1618" s="8">
        <v>42900</v>
      </c>
      <c r="K1618" s="3">
        <v>0</v>
      </c>
      <c r="L1618" s="3" t="s">
        <v>3</v>
      </c>
      <c r="M1618" s="9" t="s">
        <v>0</v>
      </c>
      <c r="N1618" s="9" t="s">
        <v>34</v>
      </c>
      <c r="O1618" s="9" t="s">
        <v>423</v>
      </c>
      <c r="S1618" s="9" t="s">
        <v>424</v>
      </c>
      <c r="V1618" s="10">
        <v>12.5</v>
      </c>
      <c r="W1618" s="10" t="s">
        <v>710</v>
      </c>
      <c r="X1618" s="17">
        <v>44572</v>
      </c>
      <c r="Y1618" s="17">
        <v>44936</v>
      </c>
      <c r="Z1618" s="19" t="s">
        <v>772</v>
      </c>
      <c r="AA1618" s="210">
        <v>5000</v>
      </c>
      <c r="AB1618" s="9">
        <v>60</v>
      </c>
      <c r="AC1618" s="9">
        <v>6</v>
      </c>
      <c r="AD1618" s="17">
        <v>45137</v>
      </c>
      <c r="AE1618" s="56">
        <v>83.33</v>
      </c>
      <c r="AF1618" s="56"/>
      <c r="AG1618" s="9" t="s">
        <v>134</v>
      </c>
      <c r="AH1618" s="17">
        <v>45146</v>
      </c>
      <c r="AI1618" s="17"/>
      <c r="AJ1618" s="17"/>
      <c r="AK1618" s="9" t="s">
        <v>1874</v>
      </c>
      <c r="AL1618" s="11">
        <v>83.33</v>
      </c>
      <c r="AN1618" s="11" t="s">
        <v>1895</v>
      </c>
      <c r="AP1618" s="11"/>
      <c r="AQ1618" s="11"/>
      <c r="AR1618" s="11"/>
      <c r="AW1618" s="94">
        <v>45138</v>
      </c>
      <c r="AX1618" s="96">
        <v>1761</v>
      </c>
      <c r="AY1618" s="11"/>
      <c r="BA1618" s="142">
        <f>705-625</f>
        <v>80</v>
      </c>
      <c r="BD1618" s="9"/>
      <c r="CS1618" s="11">
        <f t="shared" si="114"/>
        <v>83.33</v>
      </c>
      <c r="CT1618" s="22">
        <f t="shared" si="115"/>
        <v>80</v>
      </c>
      <c r="CU1618" s="22">
        <f t="shared" si="116"/>
        <v>3.3299999999999983</v>
      </c>
      <c r="CV1618" s="26">
        <f t="shared" si="113"/>
        <v>0</v>
      </c>
    </row>
    <row r="1619" spans="1:103" ht="12.75" x14ac:dyDescent="0.2">
      <c r="A1619" s="9" t="s">
        <v>422</v>
      </c>
      <c r="B1619" s="2">
        <v>22</v>
      </c>
      <c r="C1619" s="3" t="s">
        <v>95</v>
      </c>
      <c r="D1619" s="3" t="s">
        <v>96</v>
      </c>
      <c r="E1619" s="2"/>
      <c r="F1619" s="2"/>
      <c r="G1619" s="2" t="s">
        <v>68</v>
      </c>
      <c r="H1619" s="2">
        <v>2</v>
      </c>
      <c r="I1619" s="8">
        <v>145.31</v>
      </c>
      <c r="J1619" s="8">
        <v>42900</v>
      </c>
      <c r="K1619" s="3">
        <v>0</v>
      </c>
      <c r="L1619" s="3" t="s">
        <v>3</v>
      </c>
      <c r="M1619" s="9" t="s">
        <v>0</v>
      </c>
      <c r="N1619" s="9" t="s">
        <v>34</v>
      </c>
      <c r="O1619" s="9" t="s">
        <v>423</v>
      </c>
      <c r="S1619" s="9" t="s">
        <v>424</v>
      </c>
      <c r="V1619" s="10">
        <v>12.5</v>
      </c>
      <c r="W1619" s="10" t="s">
        <v>710</v>
      </c>
      <c r="X1619" s="17">
        <v>44572</v>
      </c>
      <c r="Y1619" s="17">
        <v>44936</v>
      </c>
      <c r="Z1619" s="19" t="s">
        <v>772</v>
      </c>
      <c r="AA1619" s="210">
        <v>5000</v>
      </c>
      <c r="AB1619" s="9">
        <v>60</v>
      </c>
      <c r="AC1619" s="9">
        <v>7</v>
      </c>
      <c r="AD1619" s="17">
        <v>45168</v>
      </c>
      <c r="AE1619" s="56">
        <v>83.33</v>
      </c>
      <c r="AF1619" s="56"/>
      <c r="AG1619" s="9" t="s">
        <v>134</v>
      </c>
      <c r="AH1619" s="17">
        <v>45174</v>
      </c>
      <c r="AI1619" s="17"/>
      <c r="AJ1619" s="17"/>
      <c r="AK1619" s="9" t="s">
        <v>1876</v>
      </c>
      <c r="AL1619" s="11">
        <v>83.33</v>
      </c>
      <c r="AN1619" s="11" t="s">
        <v>1897</v>
      </c>
      <c r="AP1619" s="11"/>
      <c r="AQ1619" s="11"/>
      <c r="AR1619" s="11"/>
      <c r="AW1619" s="17">
        <v>45169</v>
      </c>
      <c r="AX1619" s="10">
        <v>806740</v>
      </c>
      <c r="AY1619" s="142">
        <f>2627.9-2318.75</f>
        <v>309.15000000000009</v>
      </c>
      <c r="AZ1619" s="86">
        <v>3.71</v>
      </c>
      <c r="BA1619" s="11">
        <f>+AY1619/AZ1619</f>
        <v>83.328840970350427</v>
      </c>
      <c r="BD1619" s="9"/>
      <c r="CS1619" s="11">
        <f t="shared" si="114"/>
        <v>83.33</v>
      </c>
      <c r="CT1619" s="22">
        <f t="shared" si="115"/>
        <v>83.328840970350427</v>
      </c>
      <c r="CU1619" s="22">
        <f t="shared" si="116"/>
        <v>1.1590296495711527E-3</v>
      </c>
      <c r="CV1619" s="26">
        <f t="shared" si="113"/>
        <v>0</v>
      </c>
    </row>
    <row r="1620" spans="1:103" ht="12.75" x14ac:dyDescent="0.2">
      <c r="A1620" s="9" t="s">
        <v>422</v>
      </c>
      <c r="B1620" s="2">
        <v>22</v>
      </c>
      <c r="C1620" s="3" t="s">
        <v>95</v>
      </c>
      <c r="D1620" s="3" t="s">
        <v>96</v>
      </c>
      <c r="E1620" s="2"/>
      <c r="F1620" s="2"/>
      <c r="G1620" s="2" t="s">
        <v>68</v>
      </c>
      <c r="H1620" s="2">
        <v>2</v>
      </c>
      <c r="I1620" s="8">
        <v>145.31</v>
      </c>
      <c r="J1620" s="8">
        <v>42900</v>
      </c>
      <c r="K1620" s="3">
        <v>0</v>
      </c>
      <c r="L1620" s="3" t="s">
        <v>3</v>
      </c>
      <c r="M1620" s="9" t="s">
        <v>0</v>
      </c>
      <c r="N1620" s="9" t="s">
        <v>34</v>
      </c>
      <c r="O1620" s="9" t="s">
        <v>423</v>
      </c>
      <c r="S1620" s="9" t="s">
        <v>424</v>
      </c>
      <c r="V1620" s="10">
        <v>12.5</v>
      </c>
      <c r="W1620" s="10" t="s">
        <v>710</v>
      </c>
      <c r="X1620" s="17">
        <v>44572</v>
      </c>
      <c r="Y1620" s="17">
        <v>44936</v>
      </c>
      <c r="Z1620" s="19" t="s">
        <v>772</v>
      </c>
      <c r="AA1620" s="210">
        <v>5000</v>
      </c>
      <c r="AB1620" s="9">
        <v>60</v>
      </c>
      <c r="AC1620" s="9">
        <v>8</v>
      </c>
      <c r="AD1620" s="17">
        <v>45199</v>
      </c>
      <c r="AE1620" s="56">
        <v>83.33</v>
      </c>
      <c r="AF1620" s="56"/>
      <c r="AG1620" s="9" t="s">
        <v>134</v>
      </c>
      <c r="AH1620" s="17">
        <v>45201</v>
      </c>
      <c r="AI1620" s="17"/>
      <c r="AJ1620" s="17"/>
      <c r="AK1620" s="9" t="s">
        <v>1877</v>
      </c>
      <c r="AL1620" s="11">
        <v>83.33</v>
      </c>
      <c r="AN1620" s="11" t="s">
        <v>1898</v>
      </c>
      <c r="AP1620" s="11"/>
      <c r="AQ1620" s="11"/>
      <c r="AR1620" s="11"/>
      <c r="AW1620" s="97">
        <v>45199</v>
      </c>
      <c r="AX1620" s="148">
        <v>930326</v>
      </c>
      <c r="AY1620" s="151">
        <f>2705.82-2406.25</f>
        <v>299.57000000000016</v>
      </c>
      <c r="AZ1620" s="9">
        <v>3.85</v>
      </c>
      <c r="BA1620" s="11">
        <f>+AY1620/AZ1620</f>
        <v>77.810389610389649</v>
      </c>
      <c r="BD1620" s="9"/>
      <c r="CS1620" s="11">
        <f t="shared" si="114"/>
        <v>83.33</v>
      </c>
      <c r="CT1620" s="22">
        <f t="shared" si="115"/>
        <v>77.810389610389649</v>
      </c>
      <c r="CU1620" s="22">
        <f t="shared" si="116"/>
        <v>5.5196103896103494</v>
      </c>
      <c r="CV1620" s="26">
        <f t="shared" si="113"/>
        <v>0</v>
      </c>
    </row>
    <row r="1621" spans="1:103" x14ac:dyDescent="0.2">
      <c r="A1621" s="9" t="s">
        <v>422</v>
      </c>
      <c r="B1621" s="2">
        <v>22</v>
      </c>
      <c r="C1621" s="3" t="s">
        <v>95</v>
      </c>
      <c r="D1621" s="3" t="s">
        <v>96</v>
      </c>
      <c r="E1621" s="2"/>
      <c r="F1621" s="2"/>
      <c r="G1621" s="2" t="s">
        <v>68</v>
      </c>
      <c r="H1621" s="2">
        <v>2</v>
      </c>
      <c r="I1621" s="8">
        <v>145.31</v>
      </c>
      <c r="J1621" s="8">
        <v>42900</v>
      </c>
      <c r="K1621" s="3">
        <v>0</v>
      </c>
      <c r="L1621" s="3" t="s">
        <v>3</v>
      </c>
      <c r="M1621" s="9" t="s">
        <v>0</v>
      </c>
      <c r="N1621" s="9" t="s">
        <v>34</v>
      </c>
      <c r="O1621" s="9" t="s">
        <v>423</v>
      </c>
      <c r="S1621" s="9" t="s">
        <v>424</v>
      </c>
      <c r="V1621" s="10">
        <v>12.5</v>
      </c>
      <c r="W1621" s="10" t="s">
        <v>710</v>
      </c>
      <c r="X1621" s="17">
        <v>44572</v>
      </c>
      <c r="Y1621" s="17">
        <v>44936</v>
      </c>
      <c r="Z1621" s="19" t="s">
        <v>772</v>
      </c>
      <c r="AA1621" s="210">
        <v>5000</v>
      </c>
      <c r="AB1621" s="9">
        <v>60</v>
      </c>
      <c r="AC1621" s="9">
        <v>9</v>
      </c>
      <c r="AD1621" s="17">
        <v>45229</v>
      </c>
      <c r="AE1621" s="56">
        <v>83.33</v>
      </c>
      <c r="AF1621" s="56"/>
      <c r="AG1621" s="9" t="s">
        <v>134</v>
      </c>
      <c r="AH1621" s="17">
        <v>45232</v>
      </c>
      <c r="AI1621" s="17"/>
      <c r="AJ1621" s="17"/>
      <c r="AK1621" s="9" t="s">
        <v>1880</v>
      </c>
      <c r="AL1621" s="11">
        <v>83.33</v>
      </c>
      <c r="AN1621" s="11" t="s">
        <v>1901</v>
      </c>
      <c r="AP1621" s="11"/>
      <c r="AQ1621" s="11"/>
      <c r="AR1621" s="11"/>
      <c r="AW1621" s="27"/>
      <c r="AX1621" s="69"/>
      <c r="AY1621" s="28"/>
      <c r="AZ1621" s="27"/>
      <c r="BA1621" s="28"/>
      <c r="BB1621" s="11" t="s">
        <v>1348</v>
      </c>
      <c r="BD1621" s="9"/>
      <c r="CS1621" s="11">
        <f t="shared" si="114"/>
        <v>83.33</v>
      </c>
      <c r="CT1621" s="22">
        <f t="shared" si="115"/>
        <v>0</v>
      </c>
      <c r="CU1621" s="22">
        <f t="shared" si="116"/>
        <v>83.33</v>
      </c>
      <c r="CV1621" s="26">
        <f t="shared" si="113"/>
        <v>0</v>
      </c>
      <c r="CW1621" s="9" t="s">
        <v>3494</v>
      </c>
      <c r="CY1621" s="9" t="s">
        <v>3493</v>
      </c>
    </row>
    <row r="1622" spans="1:103" ht="12.75" x14ac:dyDescent="0.2">
      <c r="A1622" s="9" t="s">
        <v>422</v>
      </c>
      <c r="B1622" s="2">
        <v>22</v>
      </c>
      <c r="C1622" s="3" t="s">
        <v>95</v>
      </c>
      <c r="D1622" s="3" t="s">
        <v>96</v>
      </c>
      <c r="E1622" s="2"/>
      <c r="F1622" s="2"/>
      <c r="G1622" s="2" t="s">
        <v>68</v>
      </c>
      <c r="H1622" s="2">
        <v>2</v>
      </c>
      <c r="I1622" s="8">
        <v>145.31</v>
      </c>
      <c r="J1622" s="8">
        <v>42900</v>
      </c>
      <c r="K1622" s="3">
        <v>0</v>
      </c>
      <c r="L1622" s="3" t="s">
        <v>3</v>
      </c>
      <c r="M1622" s="9" t="s">
        <v>0</v>
      </c>
      <c r="N1622" s="9" t="s">
        <v>34</v>
      </c>
      <c r="O1622" s="9" t="s">
        <v>423</v>
      </c>
      <c r="S1622" s="9" t="s">
        <v>424</v>
      </c>
      <c r="V1622" s="10">
        <v>12.5</v>
      </c>
      <c r="W1622" s="10" t="s">
        <v>710</v>
      </c>
      <c r="X1622" s="17">
        <v>44572</v>
      </c>
      <c r="Y1622" s="17">
        <v>44936</v>
      </c>
      <c r="Z1622" s="19" t="s">
        <v>772</v>
      </c>
      <c r="AA1622" s="210">
        <v>5000</v>
      </c>
      <c r="AB1622" s="9">
        <v>60</v>
      </c>
      <c r="AC1622" s="9">
        <v>10</v>
      </c>
      <c r="AD1622" s="17">
        <v>45260</v>
      </c>
      <c r="AE1622" s="56">
        <v>83.33</v>
      </c>
      <c r="AF1622" s="56"/>
      <c r="AG1622" s="9" t="s">
        <v>134</v>
      </c>
      <c r="AH1622" s="17">
        <v>45267</v>
      </c>
      <c r="AI1622" s="17"/>
      <c r="AJ1622" s="17"/>
      <c r="AK1622" s="9" t="s">
        <v>1882</v>
      </c>
      <c r="AL1622" s="11">
        <v>83.33</v>
      </c>
      <c r="AN1622" s="11" t="s">
        <v>1903</v>
      </c>
      <c r="AP1622" s="11"/>
      <c r="AQ1622" s="11"/>
      <c r="AR1622" s="11"/>
      <c r="AW1622" s="97">
        <v>45265</v>
      </c>
      <c r="AX1622" s="149">
        <v>743324</v>
      </c>
      <c r="AY1622" s="152">
        <f>2649.2-2343.75</f>
        <v>305.44999999999982</v>
      </c>
      <c r="AZ1622" s="9">
        <v>3.75</v>
      </c>
      <c r="BA1622" s="11">
        <f>+AY1622/AZ1622</f>
        <v>81.453333333333291</v>
      </c>
      <c r="BD1622" s="9"/>
      <c r="CS1622" s="11">
        <f t="shared" si="114"/>
        <v>83.33</v>
      </c>
      <c r="CT1622" s="22">
        <f t="shared" si="115"/>
        <v>81.453333333333291</v>
      </c>
      <c r="CU1622" s="22">
        <f t="shared" si="116"/>
        <v>1.8766666666667078</v>
      </c>
      <c r="CV1622" s="26">
        <f t="shared" si="113"/>
        <v>0</v>
      </c>
    </row>
    <row r="1623" spans="1:103" ht="12.75" x14ac:dyDescent="0.2">
      <c r="A1623" s="9" t="s">
        <v>422</v>
      </c>
      <c r="B1623" s="2">
        <v>22</v>
      </c>
      <c r="C1623" s="3" t="s">
        <v>95</v>
      </c>
      <c r="D1623" s="3" t="s">
        <v>96</v>
      </c>
      <c r="E1623" s="2"/>
      <c r="F1623" s="2"/>
      <c r="G1623" s="2" t="s">
        <v>68</v>
      </c>
      <c r="H1623" s="2">
        <v>2</v>
      </c>
      <c r="I1623" s="8">
        <v>145.31</v>
      </c>
      <c r="J1623" s="8">
        <v>42900</v>
      </c>
      <c r="K1623" s="3">
        <v>0</v>
      </c>
      <c r="L1623" s="3" t="s">
        <v>3</v>
      </c>
      <c r="M1623" s="9" t="s">
        <v>0</v>
      </c>
      <c r="N1623" s="9" t="s">
        <v>34</v>
      </c>
      <c r="O1623" s="9" t="s">
        <v>423</v>
      </c>
      <c r="S1623" s="9" t="s">
        <v>424</v>
      </c>
      <c r="V1623" s="10">
        <v>12.5</v>
      </c>
      <c r="W1623" s="10" t="s">
        <v>710</v>
      </c>
      <c r="X1623" s="17">
        <v>44572</v>
      </c>
      <c r="Y1623" s="17">
        <v>44936</v>
      </c>
      <c r="Z1623" s="19" t="s">
        <v>772</v>
      </c>
      <c r="AA1623" s="210">
        <v>5000</v>
      </c>
      <c r="AB1623" s="9">
        <v>60</v>
      </c>
      <c r="AC1623" s="9">
        <v>11</v>
      </c>
      <c r="AD1623" s="17">
        <v>45290</v>
      </c>
      <c r="AE1623" s="56">
        <v>83.33</v>
      </c>
      <c r="AF1623" s="56"/>
      <c r="AG1623" s="9" t="s">
        <v>134</v>
      </c>
      <c r="AH1623" s="17">
        <v>45300</v>
      </c>
      <c r="AI1623" s="17"/>
      <c r="AJ1623" s="17"/>
      <c r="AK1623" s="9" t="s">
        <v>1844</v>
      </c>
      <c r="AL1623" s="11">
        <v>83.33</v>
      </c>
      <c r="AN1623" s="11" t="s">
        <v>1905</v>
      </c>
      <c r="AP1623" s="11"/>
      <c r="AQ1623" s="11"/>
      <c r="AR1623" s="11"/>
      <c r="AW1623" s="97">
        <v>45296</v>
      </c>
      <c r="AX1623" s="148">
        <v>2189</v>
      </c>
      <c r="AY1623" s="153"/>
      <c r="BA1623" s="126">
        <f>705-625</f>
        <v>80</v>
      </c>
      <c r="BD1623" s="9"/>
      <c r="CS1623" s="11">
        <f t="shared" si="114"/>
        <v>83.33</v>
      </c>
      <c r="CT1623" s="22">
        <f t="shared" si="115"/>
        <v>80</v>
      </c>
      <c r="CU1623" s="22">
        <f t="shared" si="116"/>
        <v>3.3299999999999983</v>
      </c>
      <c r="CV1623" s="26">
        <f t="shared" si="113"/>
        <v>0</v>
      </c>
    </row>
    <row r="1624" spans="1:103" ht="12.75" x14ac:dyDescent="0.2">
      <c r="A1624" s="9" t="s">
        <v>422</v>
      </c>
      <c r="B1624" s="2">
        <v>22</v>
      </c>
      <c r="C1624" s="3" t="s">
        <v>95</v>
      </c>
      <c r="D1624" s="3" t="s">
        <v>96</v>
      </c>
      <c r="E1624" s="2"/>
      <c r="F1624" s="2"/>
      <c r="G1624" s="2" t="s">
        <v>68</v>
      </c>
      <c r="H1624" s="2">
        <v>2</v>
      </c>
      <c r="I1624" s="8">
        <v>145.31</v>
      </c>
      <c r="J1624" s="8">
        <v>42900</v>
      </c>
      <c r="K1624" s="3">
        <v>0</v>
      </c>
      <c r="L1624" s="3" t="s">
        <v>3</v>
      </c>
      <c r="M1624" s="9" t="s">
        <v>0</v>
      </c>
      <c r="N1624" s="9" t="s">
        <v>34</v>
      </c>
      <c r="O1624" s="9" t="s">
        <v>423</v>
      </c>
      <c r="S1624" s="9" t="s">
        <v>424</v>
      </c>
      <c r="V1624" s="10">
        <v>12.5</v>
      </c>
      <c r="W1624" s="10" t="s">
        <v>710</v>
      </c>
      <c r="X1624" s="17">
        <v>44572</v>
      </c>
      <c r="Y1624" s="17">
        <v>44936</v>
      </c>
      <c r="Z1624" s="19" t="s">
        <v>772</v>
      </c>
      <c r="AA1624" s="210">
        <v>5000</v>
      </c>
      <c r="AB1624" s="9">
        <v>60</v>
      </c>
      <c r="AC1624" s="9">
        <v>12</v>
      </c>
      <c r="AD1624" s="17">
        <v>45321</v>
      </c>
      <c r="AE1624" s="56">
        <v>83.33</v>
      </c>
      <c r="AF1624" s="56"/>
      <c r="AG1624" s="9" t="s">
        <v>134</v>
      </c>
      <c r="AH1624" s="17">
        <v>45334</v>
      </c>
      <c r="AI1624" s="17"/>
      <c r="AJ1624" s="17"/>
      <c r="AK1624" s="9" t="s">
        <v>1846</v>
      </c>
      <c r="AL1624" s="11">
        <v>83.33</v>
      </c>
      <c r="AN1624" s="11" t="s">
        <v>1907</v>
      </c>
      <c r="AP1624" s="11"/>
      <c r="AQ1624" s="11"/>
      <c r="AR1624" s="11"/>
      <c r="AW1624" s="94">
        <v>45323</v>
      </c>
      <c r="AX1624" s="96">
        <v>2262</v>
      </c>
      <c r="AY1624" s="142"/>
      <c r="BA1624" s="126">
        <f>705-625</f>
        <v>80</v>
      </c>
      <c r="BD1624" s="9"/>
      <c r="CS1624" s="11">
        <f t="shared" si="114"/>
        <v>83.33</v>
      </c>
      <c r="CT1624" s="22">
        <f t="shared" si="115"/>
        <v>80</v>
      </c>
      <c r="CU1624" s="22">
        <f t="shared" si="116"/>
        <v>3.3299999999999983</v>
      </c>
      <c r="CV1624" s="26">
        <f t="shared" si="113"/>
        <v>0</v>
      </c>
    </row>
    <row r="1625" spans="1:103" ht="12.75" x14ac:dyDescent="0.2">
      <c r="A1625" s="9" t="s">
        <v>422</v>
      </c>
      <c r="B1625" s="2">
        <v>22</v>
      </c>
      <c r="C1625" s="3" t="s">
        <v>95</v>
      </c>
      <c r="D1625" s="3" t="s">
        <v>96</v>
      </c>
      <c r="E1625" s="2"/>
      <c r="F1625" s="2"/>
      <c r="G1625" s="2" t="s">
        <v>68</v>
      </c>
      <c r="H1625" s="2">
        <v>2</v>
      </c>
      <c r="I1625" s="8">
        <v>145.31</v>
      </c>
      <c r="J1625" s="8">
        <v>42900</v>
      </c>
      <c r="K1625" s="3">
        <v>0</v>
      </c>
      <c r="L1625" s="3" t="s">
        <v>3</v>
      </c>
      <c r="M1625" s="9" t="s">
        <v>0</v>
      </c>
      <c r="N1625" s="9" t="s">
        <v>34</v>
      </c>
      <c r="O1625" s="9" t="s">
        <v>423</v>
      </c>
      <c r="S1625" s="9" t="s">
        <v>424</v>
      </c>
      <c r="V1625" s="10">
        <v>12.5</v>
      </c>
      <c r="W1625" s="10" t="s">
        <v>710</v>
      </c>
      <c r="X1625" s="17">
        <v>44572</v>
      </c>
      <c r="Y1625" s="17">
        <v>44936</v>
      </c>
      <c r="Z1625" s="19" t="s">
        <v>772</v>
      </c>
      <c r="AA1625" s="210">
        <v>5000</v>
      </c>
      <c r="AB1625" s="9">
        <v>60</v>
      </c>
      <c r="AC1625" s="9">
        <v>13</v>
      </c>
      <c r="AD1625" s="17">
        <v>45351</v>
      </c>
      <c r="AE1625" s="56">
        <v>83.33</v>
      </c>
      <c r="AF1625" s="56"/>
      <c r="AG1625" s="9" t="s">
        <v>134</v>
      </c>
      <c r="AH1625" s="17">
        <v>45355</v>
      </c>
      <c r="AI1625" s="17"/>
      <c r="AJ1625" s="17"/>
      <c r="AK1625" s="9" t="s">
        <v>1848</v>
      </c>
      <c r="AL1625" s="11">
        <v>83.33</v>
      </c>
      <c r="AN1625" s="11" t="s">
        <v>1909</v>
      </c>
      <c r="AP1625" s="11"/>
      <c r="AQ1625" s="11"/>
      <c r="AR1625" s="11"/>
      <c r="AW1625" s="97">
        <v>45353</v>
      </c>
      <c r="AX1625" s="148">
        <v>829513</v>
      </c>
      <c r="AY1625" s="152">
        <f>2691.65-2356.25</f>
        <v>335.40000000000009</v>
      </c>
      <c r="AZ1625" s="98">
        <v>3.77</v>
      </c>
      <c r="BA1625" s="22">
        <f>+AY1625/AZ1625</f>
        <v>88.965517241379331</v>
      </c>
      <c r="BD1625" s="9"/>
      <c r="CS1625" s="11">
        <f t="shared" si="114"/>
        <v>83.33</v>
      </c>
      <c r="CT1625" s="22">
        <f t="shared" si="115"/>
        <v>88.965517241379331</v>
      </c>
      <c r="CU1625" s="22">
        <f t="shared" si="116"/>
        <v>-5.6355172413793326</v>
      </c>
      <c r="CV1625" s="26">
        <f t="shared" si="113"/>
        <v>0</v>
      </c>
    </row>
    <row r="1626" spans="1:103" ht="12.75" x14ac:dyDescent="0.2">
      <c r="A1626" s="9" t="s">
        <v>422</v>
      </c>
      <c r="B1626" s="2">
        <v>22</v>
      </c>
      <c r="C1626" s="3" t="s">
        <v>95</v>
      </c>
      <c r="D1626" s="3" t="s">
        <v>96</v>
      </c>
      <c r="E1626" s="2"/>
      <c r="F1626" s="2"/>
      <c r="G1626" s="2" t="s">
        <v>68</v>
      </c>
      <c r="H1626" s="2">
        <v>2</v>
      </c>
      <c r="I1626" s="8">
        <v>145.31</v>
      </c>
      <c r="J1626" s="8">
        <v>42900</v>
      </c>
      <c r="K1626" s="3">
        <v>0</v>
      </c>
      <c r="L1626" s="3" t="s">
        <v>3</v>
      </c>
      <c r="M1626" s="9" t="s">
        <v>0</v>
      </c>
      <c r="N1626" s="9" t="s">
        <v>34</v>
      </c>
      <c r="O1626" s="9" t="s">
        <v>423</v>
      </c>
      <c r="S1626" s="9" t="s">
        <v>424</v>
      </c>
      <c r="V1626" s="10">
        <v>12.5</v>
      </c>
      <c r="W1626" s="10" t="s">
        <v>710</v>
      </c>
      <c r="X1626" s="17">
        <v>44572</v>
      </c>
      <c r="Y1626" s="17">
        <v>44936</v>
      </c>
      <c r="Z1626" s="19" t="s">
        <v>772</v>
      </c>
      <c r="AA1626" s="210">
        <v>5000</v>
      </c>
      <c r="AB1626" s="9">
        <v>60</v>
      </c>
      <c r="AC1626" s="9">
        <v>14</v>
      </c>
      <c r="AD1626" s="17">
        <v>45381</v>
      </c>
      <c r="AE1626" s="56">
        <v>83.33</v>
      </c>
      <c r="AF1626" s="56"/>
      <c r="AG1626" s="9" t="s">
        <v>134</v>
      </c>
      <c r="AH1626" s="17">
        <v>45397</v>
      </c>
      <c r="AI1626" s="17"/>
      <c r="AJ1626" s="17"/>
      <c r="AK1626" s="9" t="s">
        <v>1850</v>
      </c>
      <c r="AL1626" s="11">
        <v>83.33</v>
      </c>
      <c r="AN1626" s="11" t="s">
        <v>1911</v>
      </c>
      <c r="AP1626" s="11"/>
      <c r="AQ1626" s="11"/>
      <c r="AR1626" s="11"/>
      <c r="AW1626" s="97">
        <v>45397</v>
      </c>
      <c r="AX1626" s="148">
        <v>2528</v>
      </c>
      <c r="AY1626" s="22"/>
      <c r="BA1626" s="22">
        <v>83.33</v>
      </c>
      <c r="BD1626" s="9"/>
      <c r="CS1626" s="11">
        <f t="shared" si="114"/>
        <v>83.33</v>
      </c>
      <c r="CT1626" s="22">
        <f t="shared" si="115"/>
        <v>83.33</v>
      </c>
      <c r="CU1626" s="22">
        <f t="shared" si="116"/>
        <v>0</v>
      </c>
      <c r="CV1626" s="26">
        <f t="shared" si="113"/>
        <v>0</v>
      </c>
    </row>
    <row r="1627" spans="1:103" ht="12" customHeight="1" x14ac:dyDescent="0.25">
      <c r="A1627" s="9" t="s">
        <v>422</v>
      </c>
      <c r="B1627" s="2">
        <v>22</v>
      </c>
      <c r="C1627" s="3" t="s">
        <v>95</v>
      </c>
      <c r="D1627" s="3" t="s">
        <v>96</v>
      </c>
      <c r="E1627" s="2"/>
      <c r="F1627" s="2"/>
      <c r="G1627" s="2" t="s">
        <v>68</v>
      </c>
      <c r="H1627" s="2">
        <v>2</v>
      </c>
      <c r="I1627" s="8">
        <v>145.31</v>
      </c>
      <c r="J1627" s="8">
        <v>42900</v>
      </c>
      <c r="K1627" s="3">
        <v>0</v>
      </c>
      <c r="L1627" s="3" t="s">
        <v>3</v>
      </c>
      <c r="M1627" s="9" t="s">
        <v>0</v>
      </c>
      <c r="N1627" s="9" t="s">
        <v>34</v>
      </c>
      <c r="O1627" s="9" t="s">
        <v>423</v>
      </c>
      <c r="S1627" s="9" t="s">
        <v>424</v>
      </c>
      <c r="V1627" s="10">
        <v>12.5</v>
      </c>
      <c r="W1627" s="10" t="s">
        <v>710</v>
      </c>
      <c r="X1627" s="17">
        <v>44572</v>
      </c>
      <c r="Y1627" s="17">
        <v>44936</v>
      </c>
      <c r="Z1627" s="19" t="s">
        <v>772</v>
      </c>
      <c r="AA1627" s="210">
        <v>5000</v>
      </c>
      <c r="AB1627" s="9">
        <v>60</v>
      </c>
      <c r="AC1627" s="9">
        <v>15</v>
      </c>
      <c r="AD1627" s="17">
        <v>45412</v>
      </c>
      <c r="AE1627" s="56">
        <v>83.33</v>
      </c>
      <c r="AF1627" s="56"/>
      <c r="AG1627" s="9" t="s">
        <v>134</v>
      </c>
      <c r="AH1627" s="17">
        <v>45444</v>
      </c>
      <c r="AI1627" s="17"/>
      <c r="AJ1627" s="17"/>
      <c r="AK1627" s="9" t="s">
        <v>1852</v>
      </c>
      <c r="AL1627" s="11">
        <v>83.33</v>
      </c>
      <c r="AN1627" s="11" t="s">
        <v>1913</v>
      </c>
      <c r="AP1627" s="11"/>
      <c r="AQ1627" s="11"/>
      <c r="AR1627" s="11"/>
      <c r="AW1627" s="17">
        <v>45443</v>
      </c>
      <c r="AX1627" s="150">
        <v>2712</v>
      </c>
      <c r="AY1627" s="22"/>
      <c r="BA1627" s="22">
        <f>705-625</f>
        <v>80</v>
      </c>
      <c r="BC1627" s="17">
        <v>45443</v>
      </c>
      <c r="BD1627" s="9">
        <v>2212653</v>
      </c>
      <c r="BE1627" s="9">
        <v>12.52</v>
      </c>
      <c r="BF1627" s="9">
        <v>3.76</v>
      </c>
      <c r="BG1627" s="11">
        <f>+BE1627/BF1627</f>
        <v>3.3297872340425534</v>
      </c>
      <c r="BH1627" s="11"/>
      <c r="CS1627" s="11">
        <f t="shared" si="114"/>
        <v>83.33</v>
      </c>
      <c r="CT1627" s="22">
        <f t="shared" si="115"/>
        <v>83.329787234042556</v>
      </c>
      <c r="CU1627" s="22">
        <f t="shared" si="116"/>
        <v>2.1276595744268434E-4</v>
      </c>
      <c r="CV1627" s="26">
        <f t="shared" si="113"/>
        <v>0</v>
      </c>
    </row>
    <row r="1628" spans="1:103" ht="12" customHeight="1" x14ac:dyDescent="0.25">
      <c r="A1628" s="9" t="s">
        <v>422</v>
      </c>
      <c r="B1628" s="2">
        <v>22</v>
      </c>
      <c r="C1628" s="3" t="s">
        <v>95</v>
      </c>
      <c r="D1628" s="3" t="s">
        <v>96</v>
      </c>
      <c r="E1628" s="2"/>
      <c r="F1628" s="2"/>
      <c r="G1628" s="2" t="s">
        <v>68</v>
      </c>
      <c r="H1628" s="2">
        <v>2</v>
      </c>
      <c r="I1628" s="8">
        <v>145.31</v>
      </c>
      <c r="J1628" s="8">
        <v>42900</v>
      </c>
      <c r="K1628" s="3">
        <v>0</v>
      </c>
      <c r="L1628" s="3" t="s">
        <v>3</v>
      </c>
      <c r="M1628" s="9" t="s">
        <v>0</v>
      </c>
      <c r="N1628" s="9" t="s">
        <v>34</v>
      </c>
      <c r="O1628" s="9" t="s">
        <v>423</v>
      </c>
      <c r="S1628" s="9" t="s">
        <v>424</v>
      </c>
      <c r="V1628" s="10">
        <v>12.5</v>
      </c>
      <c r="W1628" s="10" t="s">
        <v>710</v>
      </c>
      <c r="X1628" s="17">
        <v>44572</v>
      </c>
      <c r="Y1628" s="17">
        <v>44936</v>
      </c>
      <c r="Z1628" s="19" t="s">
        <v>772</v>
      </c>
      <c r="AA1628" s="210">
        <v>5000</v>
      </c>
      <c r="AB1628" s="9">
        <v>60</v>
      </c>
      <c r="AC1628" s="9">
        <v>16</v>
      </c>
      <c r="AD1628" s="17">
        <v>45442</v>
      </c>
      <c r="AE1628" s="56">
        <v>83.33</v>
      </c>
      <c r="AF1628" s="56"/>
      <c r="AG1628" s="9" t="s">
        <v>134</v>
      </c>
      <c r="AH1628" s="17">
        <v>45484</v>
      </c>
      <c r="AI1628" s="17"/>
      <c r="AJ1628" s="17"/>
      <c r="AK1628" s="9" t="s">
        <v>1854</v>
      </c>
      <c r="AL1628" s="11">
        <v>83.33</v>
      </c>
      <c r="AN1628" s="11" t="s">
        <v>1915</v>
      </c>
      <c r="AP1628" s="11"/>
      <c r="AQ1628" s="11"/>
      <c r="AR1628" s="11"/>
      <c r="AW1628" s="147">
        <v>45484</v>
      </c>
      <c r="AX1628" s="150">
        <v>980259</v>
      </c>
      <c r="AY1628" s="11">
        <f>2684.6-2368.75</f>
        <v>315.84999999999991</v>
      </c>
      <c r="AZ1628" s="9">
        <v>3.79</v>
      </c>
      <c r="BA1628" s="11">
        <f>+AY1628/AZ1628</f>
        <v>83.337730870712377</v>
      </c>
      <c r="BD1628" s="9"/>
      <c r="CS1628" s="11">
        <f t="shared" si="114"/>
        <v>83.33</v>
      </c>
      <c r="CT1628" s="22">
        <f t="shared" si="115"/>
        <v>83.337730870712377</v>
      </c>
      <c r="CU1628" s="22">
        <f t="shared" si="116"/>
        <v>-7.730870712379101E-3</v>
      </c>
      <c r="CV1628" s="26">
        <f t="shared" si="113"/>
        <v>0</v>
      </c>
    </row>
    <row r="1629" spans="1:103" ht="12" customHeight="1" x14ac:dyDescent="0.25">
      <c r="A1629" s="9" t="s">
        <v>422</v>
      </c>
      <c r="B1629" s="2">
        <v>22</v>
      </c>
      <c r="C1629" s="3" t="s">
        <v>95</v>
      </c>
      <c r="D1629" s="3" t="s">
        <v>96</v>
      </c>
      <c r="E1629" s="2"/>
      <c r="F1629" s="2"/>
      <c r="G1629" s="2" t="s">
        <v>68</v>
      </c>
      <c r="H1629" s="2">
        <v>2</v>
      </c>
      <c r="I1629" s="8">
        <v>145.31</v>
      </c>
      <c r="J1629" s="8">
        <v>42900</v>
      </c>
      <c r="K1629" s="3">
        <v>0</v>
      </c>
      <c r="L1629" s="3" t="s">
        <v>3</v>
      </c>
      <c r="M1629" s="9" t="s">
        <v>0</v>
      </c>
      <c r="N1629" s="9" t="s">
        <v>34</v>
      </c>
      <c r="O1629" s="9" t="s">
        <v>423</v>
      </c>
      <c r="S1629" s="9" t="s">
        <v>424</v>
      </c>
      <c r="V1629" s="10">
        <v>12.5</v>
      </c>
      <c r="W1629" s="10" t="s">
        <v>710</v>
      </c>
      <c r="X1629" s="17">
        <v>44572</v>
      </c>
      <c r="Y1629" s="17">
        <v>44936</v>
      </c>
      <c r="Z1629" s="19" t="s">
        <v>772</v>
      </c>
      <c r="AA1629" s="210">
        <v>5000</v>
      </c>
      <c r="AB1629" s="9">
        <v>60</v>
      </c>
      <c r="AC1629" s="9">
        <v>17</v>
      </c>
      <c r="AD1629" s="17">
        <v>45473</v>
      </c>
      <c r="AE1629" s="56">
        <v>83.33</v>
      </c>
      <c r="AF1629" s="56"/>
      <c r="AG1629" s="9" t="s">
        <v>134</v>
      </c>
      <c r="AH1629" s="17">
        <v>45561</v>
      </c>
      <c r="AI1629" s="17"/>
      <c r="AJ1629" s="17"/>
      <c r="AK1629" s="9" t="s">
        <v>1858</v>
      </c>
      <c r="AL1629" s="11">
        <v>83.33</v>
      </c>
      <c r="AN1629" s="11" t="s">
        <v>1919</v>
      </c>
      <c r="AP1629" s="11"/>
      <c r="AQ1629" s="11"/>
      <c r="AR1629" s="11"/>
      <c r="AW1629" s="17">
        <v>45561</v>
      </c>
      <c r="AX1629" s="150">
        <v>3201</v>
      </c>
      <c r="AY1629" s="11"/>
      <c r="BA1629" s="11">
        <v>83.33</v>
      </c>
      <c r="BD1629" s="9"/>
      <c r="CS1629" s="11">
        <f t="shared" si="114"/>
        <v>83.33</v>
      </c>
      <c r="CT1629" s="22">
        <f t="shared" si="115"/>
        <v>83.33</v>
      </c>
      <c r="CU1629" s="22">
        <f t="shared" si="116"/>
        <v>0</v>
      </c>
      <c r="CV1629" s="26">
        <f t="shared" si="113"/>
        <v>0</v>
      </c>
    </row>
    <row r="1630" spans="1:103" ht="12" customHeight="1" x14ac:dyDescent="0.25">
      <c r="A1630" s="9" t="s">
        <v>422</v>
      </c>
      <c r="B1630" s="2">
        <v>22</v>
      </c>
      <c r="C1630" s="3" t="s">
        <v>95</v>
      </c>
      <c r="D1630" s="3" t="s">
        <v>96</v>
      </c>
      <c r="E1630" s="2"/>
      <c r="F1630" s="2"/>
      <c r="G1630" s="2" t="s">
        <v>68</v>
      </c>
      <c r="H1630" s="2">
        <v>2</v>
      </c>
      <c r="I1630" s="8">
        <v>145.31</v>
      </c>
      <c r="J1630" s="8">
        <v>42900</v>
      </c>
      <c r="K1630" s="3">
        <v>0</v>
      </c>
      <c r="L1630" s="3" t="s">
        <v>3</v>
      </c>
      <c r="M1630" s="9" t="s">
        <v>0</v>
      </c>
      <c r="N1630" s="9" t="s">
        <v>34</v>
      </c>
      <c r="O1630" s="9" t="s">
        <v>423</v>
      </c>
      <c r="S1630" s="9" t="s">
        <v>424</v>
      </c>
      <c r="V1630" s="10">
        <v>12.5</v>
      </c>
      <c r="W1630" s="10" t="s">
        <v>710</v>
      </c>
      <c r="X1630" s="17">
        <v>44572</v>
      </c>
      <c r="Y1630" s="17">
        <v>44936</v>
      </c>
      <c r="Z1630" s="19" t="s">
        <v>772</v>
      </c>
      <c r="AA1630" s="210">
        <v>5000</v>
      </c>
      <c r="AB1630" s="9">
        <v>60</v>
      </c>
      <c r="AC1630" s="9">
        <v>18</v>
      </c>
      <c r="AD1630" s="17">
        <v>45503</v>
      </c>
      <c r="AE1630" s="56">
        <v>83.33</v>
      </c>
      <c r="AF1630" s="56"/>
      <c r="AG1630" s="9" t="s">
        <v>134</v>
      </c>
      <c r="AH1630" s="17">
        <v>45561</v>
      </c>
      <c r="AI1630" s="17"/>
      <c r="AJ1630" s="17"/>
      <c r="AK1630" s="9" t="s">
        <v>1859</v>
      </c>
      <c r="AL1630" s="11">
        <v>83.33</v>
      </c>
      <c r="AN1630" s="11" t="s">
        <v>1920</v>
      </c>
      <c r="AP1630" s="11"/>
      <c r="AQ1630" s="11"/>
      <c r="AR1630" s="11"/>
      <c r="AW1630" s="17">
        <v>45561</v>
      </c>
      <c r="AX1630" s="150">
        <v>3201</v>
      </c>
      <c r="AY1630" s="11"/>
      <c r="BA1630" s="11">
        <v>83.33</v>
      </c>
      <c r="BD1630" s="9"/>
      <c r="CS1630" s="11">
        <f t="shared" si="114"/>
        <v>83.33</v>
      </c>
      <c r="CT1630" s="22">
        <f t="shared" si="115"/>
        <v>83.33</v>
      </c>
      <c r="CU1630" s="22">
        <f t="shared" si="116"/>
        <v>0</v>
      </c>
      <c r="CV1630" s="26">
        <f t="shared" si="113"/>
        <v>0</v>
      </c>
    </row>
    <row r="1631" spans="1:103" ht="12" customHeight="1" x14ac:dyDescent="0.25">
      <c r="A1631" s="9" t="s">
        <v>422</v>
      </c>
      <c r="B1631" s="2">
        <v>22</v>
      </c>
      <c r="C1631" s="3" t="s">
        <v>95</v>
      </c>
      <c r="D1631" s="3" t="s">
        <v>96</v>
      </c>
      <c r="E1631" s="2"/>
      <c r="F1631" s="2"/>
      <c r="G1631" s="2" t="s">
        <v>68</v>
      </c>
      <c r="H1631" s="2">
        <v>2</v>
      </c>
      <c r="I1631" s="8">
        <v>145.31</v>
      </c>
      <c r="J1631" s="8">
        <v>42900</v>
      </c>
      <c r="K1631" s="3">
        <v>0</v>
      </c>
      <c r="L1631" s="3" t="s">
        <v>3</v>
      </c>
      <c r="M1631" s="9" t="s">
        <v>0</v>
      </c>
      <c r="N1631" s="9" t="s">
        <v>34</v>
      </c>
      <c r="O1631" s="9" t="s">
        <v>423</v>
      </c>
      <c r="S1631" s="9" t="s">
        <v>424</v>
      </c>
      <c r="V1631" s="10">
        <v>12.5</v>
      </c>
      <c r="W1631" s="10" t="s">
        <v>710</v>
      </c>
      <c r="X1631" s="17">
        <v>44572</v>
      </c>
      <c r="Y1631" s="17">
        <v>44936</v>
      </c>
      <c r="Z1631" s="19" t="s">
        <v>772</v>
      </c>
      <c r="AA1631" s="210">
        <v>5000</v>
      </c>
      <c r="AB1631" s="9">
        <v>60</v>
      </c>
      <c r="AC1631" s="9">
        <v>19</v>
      </c>
      <c r="AD1631" s="17">
        <v>45534</v>
      </c>
      <c r="AE1631" s="56">
        <v>83.33</v>
      </c>
      <c r="AF1631" s="56"/>
      <c r="AG1631" s="9" t="s">
        <v>134</v>
      </c>
      <c r="AH1631" s="17">
        <v>45561</v>
      </c>
      <c r="AI1631" s="17"/>
      <c r="AJ1631" s="17"/>
      <c r="AK1631" s="9" t="s">
        <v>1860</v>
      </c>
      <c r="AL1631" s="11">
        <v>83.33</v>
      </c>
      <c r="AN1631" s="11" t="s">
        <v>1921</v>
      </c>
      <c r="AP1631" s="11"/>
      <c r="AQ1631" s="11"/>
      <c r="AR1631" s="11"/>
      <c r="AW1631" s="17">
        <v>45561</v>
      </c>
      <c r="AX1631" s="150">
        <v>3201</v>
      </c>
      <c r="AY1631" s="11"/>
      <c r="BA1631" s="11">
        <v>83.34</v>
      </c>
      <c r="BD1631" s="9"/>
      <c r="CS1631" s="11">
        <f t="shared" si="114"/>
        <v>83.33</v>
      </c>
      <c r="CT1631" s="22">
        <f t="shared" si="115"/>
        <v>83.34</v>
      </c>
      <c r="CU1631" s="22">
        <f t="shared" si="116"/>
        <v>-1.0000000000005116E-2</v>
      </c>
      <c r="CV1631" s="26">
        <f t="shared" si="113"/>
        <v>0</v>
      </c>
    </row>
    <row r="1632" spans="1:103" x14ac:dyDescent="0.2">
      <c r="A1632" s="9" t="s">
        <v>422</v>
      </c>
      <c r="B1632" s="2">
        <v>22</v>
      </c>
      <c r="C1632" s="3" t="s">
        <v>95</v>
      </c>
      <c r="D1632" s="3" t="s">
        <v>96</v>
      </c>
      <c r="E1632" s="2"/>
      <c r="F1632" s="2"/>
      <c r="G1632" s="2" t="s">
        <v>68</v>
      </c>
      <c r="H1632" s="2">
        <v>2</v>
      </c>
      <c r="I1632" s="8">
        <v>145.31</v>
      </c>
      <c r="J1632" s="8">
        <v>42900</v>
      </c>
      <c r="K1632" s="3">
        <v>0</v>
      </c>
      <c r="L1632" s="3" t="s">
        <v>3</v>
      </c>
      <c r="M1632" s="9" t="s">
        <v>0</v>
      </c>
      <c r="N1632" s="9" t="s">
        <v>34</v>
      </c>
      <c r="O1632" s="9" t="s">
        <v>423</v>
      </c>
      <c r="S1632" s="9" t="s">
        <v>424</v>
      </c>
      <c r="V1632" s="10">
        <v>12.5</v>
      </c>
      <c r="W1632" s="10" t="s">
        <v>710</v>
      </c>
      <c r="X1632" s="17">
        <v>44572</v>
      </c>
      <c r="Y1632" s="17">
        <v>44936</v>
      </c>
      <c r="Z1632" s="19" t="s">
        <v>772</v>
      </c>
      <c r="AA1632" s="210">
        <v>5000</v>
      </c>
      <c r="AB1632" s="9">
        <v>60</v>
      </c>
      <c r="AC1632" s="9">
        <v>20</v>
      </c>
      <c r="AD1632" s="17">
        <v>45565</v>
      </c>
      <c r="AE1632" s="56">
        <v>83.33</v>
      </c>
      <c r="AF1632" s="56"/>
      <c r="AG1632" s="9" t="s">
        <v>134</v>
      </c>
      <c r="AH1632" s="17">
        <v>45628</v>
      </c>
      <c r="AI1632" s="17"/>
      <c r="AJ1632" s="17"/>
      <c r="AK1632" s="9" t="s">
        <v>1863</v>
      </c>
      <c r="AL1632" s="11">
        <v>83.33</v>
      </c>
      <c r="AN1632" s="11" t="s">
        <v>1924</v>
      </c>
      <c r="AP1632" s="11"/>
      <c r="AQ1632" s="11"/>
      <c r="AR1632" s="11"/>
      <c r="AW1632" s="17">
        <v>45628</v>
      </c>
      <c r="AX1632" s="10">
        <v>3463</v>
      </c>
      <c r="AY1632" s="11"/>
      <c r="BA1632" s="11">
        <v>83.33</v>
      </c>
      <c r="BC1632" s="17"/>
      <c r="BD1632" s="9"/>
      <c r="BG1632" s="11"/>
      <c r="BH1632" s="11"/>
      <c r="CS1632" s="11">
        <f t="shared" si="114"/>
        <v>83.33</v>
      </c>
      <c r="CT1632" s="22">
        <f t="shared" si="115"/>
        <v>83.33</v>
      </c>
      <c r="CU1632" s="22">
        <f t="shared" si="116"/>
        <v>0</v>
      </c>
      <c r="CV1632" s="26">
        <f t="shared" si="113"/>
        <v>0</v>
      </c>
    </row>
    <row r="1633" spans="1:100" x14ac:dyDescent="0.2">
      <c r="A1633" s="9" t="s">
        <v>422</v>
      </c>
      <c r="B1633" s="2">
        <v>22</v>
      </c>
      <c r="C1633" s="3" t="s">
        <v>95</v>
      </c>
      <c r="D1633" s="3" t="s">
        <v>96</v>
      </c>
      <c r="E1633" s="2"/>
      <c r="F1633" s="2"/>
      <c r="G1633" s="2" t="s">
        <v>68</v>
      </c>
      <c r="H1633" s="2">
        <v>2</v>
      </c>
      <c r="I1633" s="8">
        <v>145.31</v>
      </c>
      <c r="J1633" s="8">
        <v>42900</v>
      </c>
      <c r="K1633" s="3">
        <v>0</v>
      </c>
      <c r="L1633" s="3" t="s">
        <v>3</v>
      </c>
      <c r="M1633" s="9" t="s">
        <v>0</v>
      </c>
      <c r="N1633" s="9" t="s">
        <v>34</v>
      </c>
      <c r="O1633" s="9" t="s">
        <v>423</v>
      </c>
      <c r="S1633" s="9" t="s">
        <v>424</v>
      </c>
      <c r="V1633" s="10">
        <v>12.5</v>
      </c>
      <c r="W1633" s="10" t="s">
        <v>710</v>
      </c>
      <c r="X1633" s="17">
        <v>44572</v>
      </c>
      <c r="Y1633" s="17">
        <v>44936</v>
      </c>
      <c r="Z1633" s="19" t="s">
        <v>772</v>
      </c>
      <c r="AA1633" s="210">
        <v>5000</v>
      </c>
      <c r="AB1633" s="9">
        <v>60</v>
      </c>
      <c r="AC1633" s="9">
        <v>21</v>
      </c>
      <c r="AD1633" s="17">
        <v>45595</v>
      </c>
      <c r="AE1633" s="56">
        <v>83.33</v>
      </c>
      <c r="AF1633" s="56"/>
      <c r="AG1633" s="9" t="s">
        <v>134</v>
      </c>
      <c r="AH1633" s="17">
        <v>45628</v>
      </c>
      <c r="AI1633" s="17"/>
      <c r="AJ1633" s="17"/>
      <c r="AK1633" s="9" t="s">
        <v>1864</v>
      </c>
      <c r="AL1633" s="11">
        <v>83.33</v>
      </c>
      <c r="AN1633" s="11" t="s">
        <v>1925</v>
      </c>
      <c r="AP1633" s="11"/>
      <c r="AQ1633" s="11"/>
      <c r="AR1633" s="11"/>
      <c r="AW1633" s="17">
        <v>45628</v>
      </c>
      <c r="AX1633" s="10">
        <v>3463</v>
      </c>
      <c r="AY1633" s="11"/>
      <c r="BA1633" s="11">
        <v>81.67</v>
      </c>
      <c r="BC1633" s="17">
        <v>45628</v>
      </c>
      <c r="BD1633" s="9">
        <v>3096939</v>
      </c>
      <c r="BE1633" s="9">
        <v>6.38</v>
      </c>
      <c r="BF1633" s="9">
        <v>3.8450000000000002</v>
      </c>
      <c r="BG1633" s="11">
        <f>+BE1633/BF1633</f>
        <v>1.6592977893368008</v>
      </c>
      <c r="BH1633" s="11"/>
      <c r="CS1633" s="11">
        <f t="shared" si="114"/>
        <v>83.33</v>
      </c>
      <c r="CT1633" s="22">
        <f t="shared" si="115"/>
        <v>83.329297789336806</v>
      </c>
      <c r="CU1633" s="22">
        <f t="shared" si="116"/>
        <v>7.0221066319220427E-4</v>
      </c>
      <c r="CV1633" s="26">
        <f t="shared" si="113"/>
        <v>0</v>
      </c>
    </row>
    <row r="1634" spans="1:100" ht="12.75" x14ac:dyDescent="0.2">
      <c r="A1634" s="9" t="s">
        <v>422</v>
      </c>
      <c r="B1634" s="2">
        <v>22</v>
      </c>
      <c r="C1634" s="3" t="s">
        <v>95</v>
      </c>
      <c r="D1634" s="3" t="s">
        <v>96</v>
      </c>
      <c r="E1634" s="2"/>
      <c r="F1634" s="2"/>
      <c r="G1634" s="2" t="s">
        <v>68</v>
      </c>
      <c r="H1634" s="2">
        <v>2</v>
      </c>
      <c r="I1634" s="8">
        <v>145.31</v>
      </c>
      <c r="J1634" s="8">
        <v>42900</v>
      </c>
      <c r="K1634" s="3">
        <v>0</v>
      </c>
      <c r="L1634" s="3" t="s">
        <v>3</v>
      </c>
      <c r="M1634" s="9" t="s">
        <v>0</v>
      </c>
      <c r="N1634" s="9" t="s">
        <v>34</v>
      </c>
      <c r="O1634" s="9" t="s">
        <v>423</v>
      </c>
      <c r="S1634" s="9" t="s">
        <v>424</v>
      </c>
      <c r="V1634" s="10">
        <v>12.5</v>
      </c>
      <c r="W1634" s="10" t="s">
        <v>710</v>
      </c>
      <c r="X1634" s="17">
        <v>44572</v>
      </c>
      <c r="Y1634" s="17">
        <v>44936</v>
      </c>
      <c r="Z1634" s="19" t="s">
        <v>772</v>
      </c>
      <c r="AA1634" s="210">
        <v>5000</v>
      </c>
      <c r="AB1634" s="9">
        <v>60</v>
      </c>
      <c r="AC1634" s="9">
        <v>22</v>
      </c>
      <c r="AD1634" s="17">
        <v>45626</v>
      </c>
      <c r="AE1634" s="56">
        <v>83.33</v>
      </c>
      <c r="AF1634" s="56"/>
      <c r="AG1634" s="9" t="s">
        <v>134</v>
      </c>
      <c r="AH1634" s="64">
        <v>45749</v>
      </c>
      <c r="AI1634" s="64"/>
      <c r="AJ1634" s="64"/>
      <c r="AK1634" s="11" t="s">
        <v>1930</v>
      </c>
      <c r="AL1634" s="11">
        <v>83.33</v>
      </c>
      <c r="AN1634" s="11" t="s">
        <v>1951</v>
      </c>
      <c r="AP1634" s="11"/>
      <c r="AQ1634" s="11"/>
      <c r="AR1634" s="11"/>
      <c r="AW1634" s="94">
        <v>45749</v>
      </c>
      <c r="AX1634" s="96">
        <v>3956</v>
      </c>
      <c r="AY1634" s="142"/>
      <c r="BA1634" s="11">
        <v>83.45</v>
      </c>
      <c r="BD1634" s="9"/>
      <c r="CS1634" s="11">
        <f t="shared" si="114"/>
        <v>83.33</v>
      </c>
      <c r="CT1634" s="22">
        <f t="shared" si="115"/>
        <v>83.45</v>
      </c>
      <c r="CU1634" s="22">
        <f t="shared" si="116"/>
        <v>-0.12000000000000455</v>
      </c>
      <c r="CV1634" s="26">
        <f t="shared" si="113"/>
        <v>0</v>
      </c>
    </row>
    <row r="1635" spans="1:100" ht="12.75" x14ac:dyDescent="0.2">
      <c r="A1635" s="9" t="s">
        <v>422</v>
      </c>
      <c r="B1635" s="2">
        <v>22</v>
      </c>
      <c r="C1635" s="3" t="s">
        <v>95</v>
      </c>
      <c r="D1635" s="3" t="s">
        <v>96</v>
      </c>
      <c r="E1635" s="2"/>
      <c r="F1635" s="2"/>
      <c r="G1635" s="2" t="s">
        <v>68</v>
      </c>
      <c r="H1635" s="2">
        <v>2</v>
      </c>
      <c r="I1635" s="8">
        <v>145.31</v>
      </c>
      <c r="J1635" s="8">
        <v>42900</v>
      </c>
      <c r="K1635" s="3">
        <v>0</v>
      </c>
      <c r="L1635" s="3" t="s">
        <v>3</v>
      </c>
      <c r="M1635" s="9" t="s">
        <v>0</v>
      </c>
      <c r="N1635" s="9" t="s">
        <v>34</v>
      </c>
      <c r="O1635" s="9" t="s">
        <v>423</v>
      </c>
      <c r="S1635" s="9" t="s">
        <v>424</v>
      </c>
      <c r="V1635" s="10">
        <v>12.5</v>
      </c>
      <c r="W1635" s="10" t="s">
        <v>710</v>
      </c>
      <c r="X1635" s="17">
        <v>44572</v>
      </c>
      <c r="Y1635" s="17">
        <v>44936</v>
      </c>
      <c r="Z1635" s="19" t="s">
        <v>772</v>
      </c>
      <c r="AA1635" s="210">
        <v>5000</v>
      </c>
      <c r="AB1635" s="9">
        <v>60</v>
      </c>
      <c r="AC1635" s="9">
        <v>23</v>
      </c>
      <c r="AD1635" s="17">
        <v>45656</v>
      </c>
      <c r="AE1635" s="56">
        <v>83.33</v>
      </c>
      <c r="AF1635" s="56"/>
      <c r="AG1635" s="9" t="s">
        <v>134</v>
      </c>
      <c r="AH1635" s="64">
        <v>45749</v>
      </c>
      <c r="AI1635" s="64"/>
      <c r="AJ1635" s="64"/>
      <c r="AK1635" s="11" t="s">
        <v>1931</v>
      </c>
      <c r="AL1635" s="11">
        <v>83.33</v>
      </c>
      <c r="AN1635" s="11" t="s">
        <v>1952</v>
      </c>
      <c r="AP1635" s="11"/>
      <c r="AQ1635" s="11"/>
      <c r="AR1635" s="11"/>
      <c r="AW1635" s="94">
        <v>45749</v>
      </c>
      <c r="AX1635" s="96">
        <v>3956</v>
      </c>
      <c r="AY1635" s="142"/>
      <c r="BA1635" s="11">
        <v>83.45</v>
      </c>
      <c r="BD1635" s="9"/>
      <c r="CS1635" s="11">
        <f t="shared" si="114"/>
        <v>83.33</v>
      </c>
      <c r="CT1635" s="22">
        <f t="shared" si="115"/>
        <v>83.45</v>
      </c>
      <c r="CU1635" s="22">
        <f t="shared" si="116"/>
        <v>-0.12000000000000455</v>
      </c>
      <c r="CV1635" s="26">
        <f t="shared" si="113"/>
        <v>0</v>
      </c>
    </row>
    <row r="1636" spans="1:100" ht="12.75" x14ac:dyDescent="0.2">
      <c r="A1636" s="9" t="s">
        <v>422</v>
      </c>
      <c r="B1636" s="2">
        <v>22</v>
      </c>
      <c r="C1636" s="3" t="s">
        <v>95</v>
      </c>
      <c r="D1636" s="3" t="s">
        <v>96</v>
      </c>
      <c r="E1636" s="2"/>
      <c r="F1636" s="2"/>
      <c r="G1636" s="2" t="s">
        <v>68</v>
      </c>
      <c r="H1636" s="2">
        <v>2</v>
      </c>
      <c r="I1636" s="8">
        <v>145.31</v>
      </c>
      <c r="J1636" s="8">
        <v>42900</v>
      </c>
      <c r="K1636" s="3">
        <v>0</v>
      </c>
      <c r="L1636" s="3" t="s">
        <v>3</v>
      </c>
      <c r="M1636" s="9" t="s">
        <v>0</v>
      </c>
      <c r="N1636" s="9" t="s">
        <v>34</v>
      </c>
      <c r="O1636" s="9" t="s">
        <v>423</v>
      </c>
      <c r="S1636" s="9" t="s">
        <v>424</v>
      </c>
      <c r="V1636" s="10">
        <v>12.5</v>
      </c>
      <c r="W1636" s="10" t="s">
        <v>710</v>
      </c>
      <c r="X1636" s="17">
        <v>44572</v>
      </c>
      <c r="Y1636" s="17">
        <v>44936</v>
      </c>
      <c r="Z1636" s="19" t="s">
        <v>772</v>
      </c>
      <c r="AA1636" s="210">
        <v>5000</v>
      </c>
      <c r="AB1636" s="9">
        <v>60</v>
      </c>
      <c r="AC1636" s="9">
        <v>24</v>
      </c>
      <c r="AD1636" s="17">
        <v>45687</v>
      </c>
      <c r="AE1636" s="56">
        <v>83.33</v>
      </c>
      <c r="AF1636" s="56"/>
      <c r="AG1636" s="9" t="s">
        <v>134</v>
      </c>
      <c r="AH1636" s="64">
        <v>45749</v>
      </c>
      <c r="AI1636" s="64"/>
      <c r="AJ1636" s="64"/>
      <c r="AK1636" s="11" t="s">
        <v>1932</v>
      </c>
      <c r="AL1636" s="11">
        <v>83.33</v>
      </c>
      <c r="AN1636" s="11" t="s">
        <v>1953</v>
      </c>
      <c r="AP1636" s="11"/>
      <c r="AQ1636" s="11"/>
      <c r="AR1636" s="11"/>
      <c r="AW1636" s="94">
        <v>45749</v>
      </c>
      <c r="AX1636" s="96">
        <v>3956</v>
      </c>
      <c r="AY1636" s="142"/>
      <c r="BA1636" s="11">
        <v>83.45</v>
      </c>
      <c r="BD1636" s="9"/>
      <c r="CS1636" s="11">
        <f t="shared" si="114"/>
        <v>83.33</v>
      </c>
      <c r="CT1636" s="22">
        <f t="shared" si="115"/>
        <v>83.45</v>
      </c>
      <c r="CU1636" s="22">
        <f t="shared" si="116"/>
        <v>-0.12000000000000455</v>
      </c>
      <c r="CV1636" s="26">
        <f t="shared" si="113"/>
        <v>0</v>
      </c>
    </row>
    <row r="1637" spans="1:100" ht="12.75" x14ac:dyDescent="0.2">
      <c r="A1637" s="9" t="s">
        <v>422</v>
      </c>
      <c r="B1637" s="2">
        <v>22</v>
      </c>
      <c r="C1637" s="3" t="s">
        <v>95</v>
      </c>
      <c r="D1637" s="3" t="s">
        <v>96</v>
      </c>
      <c r="E1637" s="2"/>
      <c r="F1637" s="2"/>
      <c r="G1637" s="2" t="s">
        <v>68</v>
      </c>
      <c r="H1637" s="2">
        <v>2</v>
      </c>
      <c r="I1637" s="8">
        <v>145.31</v>
      </c>
      <c r="J1637" s="8">
        <v>42900</v>
      </c>
      <c r="K1637" s="3">
        <v>0</v>
      </c>
      <c r="L1637" s="3" t="s">
        <v>3</v>
      </c>
      <c r="M1637" s="9" t="s">
        <v>0</v>
      </c>
      <c r="N1637" s="9" t="s">
        <v>34</v>
      </c>
      <c r="O1637" s="9" t="s">
        <v>423</v>
      </c>
      <c r="S1637" s="9" t="s">
        <v>424</v>
      </c>
      <c r="V1637" s="10">
        <v>12.5</v>
      </c>
      <c r="W1637" s="10" t="s">
        <v>710</v>
      </c>
      <c r="X1637" s="17">
        <v>44572</v>
      </c>
      <c r="Y1637" s="17">
        <v>44936</v>
      </c>
      <c r="Z1637" s="19" t="s">
        <v>772</v>
      </c>
      <c r="AA1637" s="210">
        <v>5000</v>
      </c>
      <c r="AB1637" s="9">
        <v>60</v>
      </c>
      <c r="AC1637" s="9">
        <v>25</v>
      </c>
      <c r="AD1637" s="17">
        <v>45716</v>
      </c>
      <c r="AE1637" s="56">
        <v>83.33</v>
      </c>
      <c r="AF1637" s="56"/>
      <c r="AG1637" s="9" t="s">
        <v>134</v>
      </c>
      <c r="AH1637" s="64">
        <v>45749</v>
      </c>
      <c r="AI1637" s="64"/>
      <c r="AJ1637" s="64"/>
      <c r="AK1637" s="22" t="s">
        <v>1933</v>
      </c>
      <c r="AL1637" s="11">
        <v>83.33</v>
      </c>
      <c r="AN1637" s="11" t="s">
        <v>1954</v>
      </c>
      <c r="AP1637" s="11"/>
      <c r="AQ1637" s="11"/>
      <c r="AR1637" s="11"/>
      <c r="AW1637" s="94">
        <v>45749</v>
      </c>
      <c r="AX1637" s="96">
        <v>3956</v>
      </c>
      <c r="AY1637" s="142"/>
      <c r="BA1637" s="11">
        <v>83.45</v>
      </c>
      <c r="BD1637" s="9"/>
      <c r="CS1637" s="11">
        <f t="shared" si="114"/>
        <v>83.33</v>
      </c>
      <c r="CT1637" s="22">
        <f t="shared" si="115"/>
        <v>83.45</v>
      </c>
      <c r="CU1637" s="22">
        <f t="shared" si="116"/>
        <v>-0.12000000000000455</v>
      </c>
      <c r="CV1637" s="26">
        <f t="shared" si="113"/>
        <v>0</v>
      </c>
    </row>
    <row r="1638" spans="1:100" x14ac:dyDescent="0.2">
      <c r="A1638" s="9" t="s">
        <v>422</v>
      </c>
      <c r="B1638" s="2">
        <v>22</v>
      </c>
      <c r="C1638" s="3" t="s">
        <v>95</v>
      </c>
      <c r="D1638" s="3" t="s">
        <v>96</v>
      </c>
      <c r="E1638" s="2"/>
      <c r="F1638" s="2"/>
      <c r="G1638" s="2" t="s">
        <v>68</v>
      </c>
      <c r="H1638" s="2">
        <v>2</v>
      </c>
      <c r="I1638" s="8">
        <v>145.31</v>
      </c>
      <c r="J1638" s="8">
        <v>42900</v>
      </c>
      <c r="K1638" s="3">
        <v>0</v>
      </c>
      <c r="L1638" s="3" t="s">
        <v>3</v>
      </c>
      <c r="M1638" s="9" t="s">
        <v>0</v>
      </c>
      <c r="N1638" s="9" t="s">
        <v>34</v>
      </c>
      <c r="O1638" s="9" t="s">
        <v>423</v>
      </c>
      <c r="S1638" s="9" t="s">
        <v>424</v>
      </c>
      <c r="V1638" s="10">
        <v>12.5</v>
      </c>
      <c r="W1638" s="10" t="s">
        <v>710</v>
      </c>
      <c r="X1638" s="17">
        <v>44572</v>
      </c>
      <c r="Y1638" s="17">
        <v>44936</v>
      </c>
      <c r="Z1638" s="19" t="s">
        <v>772</v>
      </c>
      <c r="AA1638" s="210">
        <v>5000</v>
      </c>
      <c r="AB1638" s="9">
        <v>60</v>
      </c>
      <c r="AC1638" s="9">
        <v>26</v>
      </c>
      <c r="AD1638" s="17">
        <v>45746</v>
      </c>
      <c r="AE1638" s="56">
        <v>83.33</v>
      </c>
      <c r="AF1638" s="56"/>
      <c r="AG1638" s="9" t="s">
        <v>134</v>
      </c>
      <c r="AH1638" s="64">
        <v>45827</v>
      </c>
      <c r="AI1638" s="64"/>
      <c r="AJ1638" s="64"/>
      <c r="AK1638" s="22" t="s">
        <v>1936</v>
      </c>
      <c r="AL1638" s="11">
        <v>83.33</v>
      </c>
      <c r="AN1638" s="11" t="s">
        <v>1957</v>
      </c>
      <c r="AP1638" s="11"/>
      <c r="AQ1638" s="11"/>
      <c r="AR1638" s="11"/>
      <c r="AW1638" s="17">
        <v>45824</v>
      </c>
      <c r="AX1638" s="10">
        <v>4299</v>
      </c>
      <c r="AY1638" s="11"/>
      <c r="BA1638" s="11">
        <v>83.33</v>
      </c>
      <c r="BD1638" s="9"/>
      <c r="CS1638" s="11">
        <f t="shared" si="114"/>
        <v>83.33</v>
      </c>
      <c r="CT1638" s="22">
        <f t="shared" si="115"/>
        <v>83.33</v>
      </c>
      <c r="CU1638" s="22">
        <f t="shared" si="116"/>
        <v>0</v>
      </c>
      <c r="CV1638" s="26">
        <f t="shared" si="113"/>
        <v>0</v>
      </c>
    </row>
    <row r="1639" spans="1:100" x14ac:dyDescent="0.2">
      <c r="A1639" s="9" t="s">
        <v>422</v>
      </c>
      <c r="B1639" s="2">
        <v>22</v>
      </c>
      <c r="C1639" s="3" t="s">
        <v>95</v>
      </c>
      <c r="D1639" s="3" t="s">
        <v>96</v>
      </c>
      <c r="E1639" s="2"/>
      <c r="F1639" s="2"/>
      <c r="G1639" s="2" t="s">
        <v>68</v>
      </c>
      <c r="H1639" s="2">
        <v>2</v>
      </c>
      <c r="I1639" s="8">
        <v>145.31</v>
      </c>
      <c r="J1639" s="8">
        <v>42900</v>
      </c>
      <c r="K1639" s="3">
        <v>0</v>
      </c>
      <c r="L1639" s="3" t="s">
        <v>3</v>
      </c>
      <c r="M1639" s="9" t="s">
        <v>0</v>
      </c>
      <c r="N1639" s="9" t="s">
        <v>34</v>
      </c>
      <c r="O1639" s="9" t="s">
        <v>423</v>
      </c>
      <c r="S1639" s="9" t="s">
        <v>424</v>
      </c>
      <c r="V1639" s="10">
        <v>12.5</v>
      </c>
      <c r="W1639" s="10" t="s">
        <v>710</v>
      </c>
      <c r="X1639" s="17">
        <v>44572</v>
      </c>
      <c r="Y1639" s="17">
        <v>44936</v>
      </c>
      <c r="Z1639" s="19" t="s">
        <v>772</v>
      </c>
      <c r="AA1639" s="210">
        <v>5000</v>
      </c>
      <c r="AB1639" s="9">
        <v>60</v>
      </c>
      <c r="AC1639" s="9">
        <v>27</v>
      </c>
      <c r="AD1639" s="17">
        <v>45777</v>
      </c>
      <c r="AE1639" s="56">
        <v>83.33</v>
      </c>
      <c r="AF1639" s="56"/>
      <c r="AG1639" s="9" t="s">
        <v>134</v>
      </c>
      <c r="AH1639" s="64">
        <v>45827</v>
      </c>
      <c r="AI1639" s="64"/>
      <c r="AJ1639" s="64"/>
      <c r="AK1639" s="22" t="s">
        <v>1937</v>
      </c>
      <c r="AL1639" s="11">
        <v>83.33</v>
      </c>
      <c r="AN1639" s="11" t="s">
        <v>1958</v>
      </c>
      <c r="AP1639" s="11"/>
      <c r="AQ1639" s="11"/>
      <c r="AR1639" s="11"/>
      <c r="AW1639" s="17">
        <v>45824</v>
      </c>
      <c r="AX1639" s="10">
        <v>4299</v>
      </c>
      <c r="AY1639" s="11"/>
      <c r="BA1639" s="11">
        <v>83.33</v>
      </c>
      <c r="BD1639" s="9"/>
      <c r="CS1639" s="11">
        <f t="shared" si="114"/>
        <v>83.33</v>
      </c>
      <c r="CT1639" s="22">
        <f t="shared" si="115"/>
        <v>83.33</v>
      </c>
      <c r="CU1639" s="22">
        <f t="shared" si="116"/>
        <v>0</v>
      </c>
      <c r="CV1639" s="26">
        <f t="shared" si="113"/>
        <v>0</v>
      </c>
    </row>
    <row r="1640" spans="1:100" x14ac:dyDescent="0.2">
      <c r="A1640" s="9" t="s">
        <v>422</v>
      </c>
      <c r="B1640" s="2">
        <v>22</v>
      </c>
      <c r="C1640" s="3" t="s">
        <v>95</v>
      </c>
      <c r="D1640" s="3" t="s">
        <v>96</v>
      </c>
      <c r="E1640" s="2"/>
      <c r="F1640" s="2"/>
      <c r="G1640" s="2" t="s">
        <v>68</v>
      </c>
      <c r="H1640" s="2">
        <v>2</v>
      </c>
      <c r="I1640" s="8">
        <v>145.31</v>
      </c>
      <c r="J1640" s="8">
        <v>42900</v>
      </c>
      <c r="K1640" s="3">
        <v>0</v>
      </c>
      <c r="L1640" s="3" t="s">
        <v>3</v>
      </c>
      <c r="M1640" s="9" t="s">
        <v>0</v>
      </c>
      <c r="N1640" s="9" t="s">
        <v>34</v>
      </c>
      <c r="O1640" s="9" t="s">
        <v>423</v>
      </c>
      <c r="S1640" s="9" t="s">
        <v>424</v>
      </c>
      <c r="V1640" s="10">
        <v>12.5</v>
      </c>
      <c r="W1640" s="10" t="s">
        <v>710</v>
      </c>
      <c r="X1640" s="17">
        <v>44572</v>
      </c>
      <c r="Y1640" s="17">
        <v>44936</v>
      </c>
      <c r="Z1640" s="19" t="s">
        <v>772</v>
      </c>
      <c r="AA1640" s="210">
        <v>5000</v>
      </c>
      <c r="AB1640" s="9">
        <v>60</v>
      </c>
      <c r="AC1640" s="9">
        <v>28</v>
      </c>
      <c r="AD1640" s="17">
        <v>45807</v>
      </c>
      <c r="AE1640" s="56">
        <v>83.33</v>
      </c>
      <c r="AF1640" s="56"/>
      <c r="AG1640" s="9" t="s">
        <v>134</v>
      </c>
      <c r="AH1640" s="64">
        <v>45860</v>
      </c>
      <c r="AI1640" s="64"/>
      <c r="AJ1640" s="64"/>
      <c r="AK1640" s="22" t="s">
        <v>1938</v>
      </c>
      <c r="AL1640" s="11">
        <v>83.33</v>
      </c>
      <c r="AN1640" s="11" t="s">
        <v>1959</v>
      </c>
      <c r="AP1640" s="11"/>
      <c r="AQ1640" s="11"/>
      <c r="AR1640" s="11"/>
      <c r="AW1640" s="17">
        <v>45860</v>
      </c>
      <c r="AX1640" s="10">
        <v>215806</v>
      </c>
      <c r="AY1640" s="11">
        <f>2525.9-2228.75</f>
        <v>297.15000000000009</v>
      </c>
      <c r="AZ1640" s="9">
        <v>3.5659999999999998</v>
      </c>
      <c r="BA1640" s="11">
        <f>+AY1640/AZ1640</f>
        <v>83.32865956253508</v>
      </c>
      <c r="BD1640" s="9"/>
      <c r="CS1640" s="11">
        <f t="shared" si="114"/>
        <v>83.33</v>
      </c>
      <c r="CT1640" s="22">
        <f t="shared" si="115"/>
        <v>83.32865956253508</v>
      </c>
      <c r="CU1640" s="22">
        <f t="shared" si="116"/>
        <v>1.3404374649184092E-3</v>
      </c>
      <c r="CV1640" s="26">
        <f t="shared" si="113"/>
        <v>0</v>
      </c>
    </row>
    <row r="1641" spans="1:100" x14ac:dyDescent="0.2">
      <c r="A1641" s="9" t="s">
        <v>422</v>
      </c>
      <c r="B1641" s="2">
        <v>22</v>
      </c>
      <c r="C1641" s="3" t="s">
        <v>95</v>
      </c>
      <c r="D1641" s="3" t="s">
        <v>96</v>
      </c>
      <c r="E1641" s="2"/>
      <c r="F1641" s="2"/>
      <c r="G1641" s="2" t="s">
        <v>68</v>
      </c>
      <c r="H1641" s="2">
        <v>2</v>
      </c>
      <c r="I1641" s="8">
        <v>145.31</v>
      </c>
      <c r="J1641" s="8">
        <v>42900</v>
      </c>
      <c r="K1641" s="3">
        <v>0</v>
      </c>
      <c r="L1641" s="3" t="s">
        <v>3</v>
      </c>
      <c r="M1641" s="9" t="s">
        <v>0</v>
      </c>
      <c r="N1641" s="9" t="s">
        <v>34</v>
      </c>
      <c r="O1641" s="9" t="s">
        <v>423</v>
      </c>
      <c r="S1641" s="9" t="s">
        <v>424</v>
      </c>
      <c r="V1641" s="10">
        <v>12.5</v>
      </c>
      <c r="W1641" s="10" t="s">
        <v>710</v>
      </c>
      <c r="X1641" s="17">
        <v>44572</v>
      </c>
      <c r="Y1641" s="17">
        <v>44936</v>
      </c>
      <c r="Z1641" s="19" t="s">
        <v>772</v>
      </c>
      <c r="AA1641" s="210">
        <v>5000</v>
      </c>
      <c r="AB1641" s="9">
        <v>60</v>
      </c>
      <c r="AC1641" s="9">
        <v>29</v>
      </c>
      <c r="AD1641" s="17">
        <v>45838</v>
      </c>
      <c r="AE1641" s="56">
        <v>83.33</v>
      </c>
      <c r="AF1641" s="56"/>
      <c r="AG1641" s="9" t="s">
        <v>134</v>
      </c>
      <c r="AH1641" s="17">
        <v>45860</v>
      </c>
      <c r="AI1641" s="17"/>
      <c r="AJ1641" s="17"/>
      <c r="AK1641" s="11" t="s">
        <v>1939</v>
      </c>
      <c r="AL1641" s="11">
        <v>83.33</v>
      </c>
      <c r="AN1641" s="11" t="s">
        <v>1960</v>
      </c>
      <c r="AP1641" s="11"/>
      <c r="AQ1641" s="11"/>
      <c r="AR1641" s="11"/>
      <c r="AW1641" s="17">
        <v>45860</v>
      </c>
      <c r="AX1641" s="10">
        <v>227378</v>
      </c>
      <c r="AY1641" s="11">
        <f>2525.9-2228.75</f>
        <v>297.15000000000009</v>
      </c>
      <c r="AZ1641" s="9">
        <v>3.5659999999999998</v>
      </c>
      <c r="BA1641" s="11">
        <f>+AY1641/AZ1641</f>
        <v>83.32865956253508</v>
      </c>
      <c r="BD1641" s="9"/>
      <c r="CS1641" s="11">
        <f t="shared" si="114"/>
        <v>83.33</v>
      </c>
      <c r="CT1641" s="22">
        <f t="shared" si="115"/>
        <v>83.32865956253508</v>
      </c>
      <c r="CU1641" s="22">
        <f t="shared" si="116"/>
        <v>1.3404374649184092E-3</v>
      </c>
      <c r="CV1641" s="26">
        <f t="shared" si="113"/>
        <v>0</v>
      </c>
    </row>
    <row r="1642" spans="1:100" x14ac:dyDescent="0.2">
      <c r="A1642" s="9" t="s">
        <v>422</v>
      </c>
      <c r="B1642" s="2">
        <v>22</v>
      </c>
      <c r="C1642" s="3" t="s">
        <v>95</v>
      </c>
      <c r="D1642" s="3" t="s">
        <v>96</v>
      </c>
      <c r="E1642" s="2"/>
      <c r="F1642" s="2"/>
      <c r="G1642" s="2" t="s">
        <v>68</v>
      </c>
      <c r="H1642" s="2">
        <v>2</v>
      </c>
      <c r="I1642" s="8">
        <v>145.31</v>
      </c>
      <c r="J1642" s="8">
        <v>42900</v>
      </c>
      <c r="K1642" s="3">
        <v>0</v>
      </c>
      <c r="L1642" s="3" t="s">
        <v>3</v>
      </c>
      <c r="M1642" s="9" t="s">
        <v>0</v>
      </c>
      <c r="N1642" s="9" t="s">
        <v>34</v>
      </c>
      <c r="O1642" s="9" t="s">
        <v>423</v>
      </c>
      <c r="S1642" s="9" t="s">
        <v>424</v>
      </c>
      <c r="V1642" s="10">
        <v>12.5</v>
      </c>
      <c r="W1642" s="10" t="s">
        <v>710</v>
      </c>
      <c r="X1642" s="17">
        <v>44572</v>
      </c>
      <c r="Y1642" s="17">
        <v>44936</v>
      </c>
      <c r="Z1642" s="19" t="s">
        <v>772</v>
      </c>
      <c r="AA1642" s="210">
        <v>5000</v>
      </c>
      <c r="AB1642" s="9">
        <v>60</v>
      </c>
      <c r="AC1642" s="9">
        <v>30</v>
      </c>
      <c r="AD1642" s="17">
        <v>45868</v>
      </c>
      <c r="AE1642" s="56">
        <v>83.33</v>
      </c>
      <c r="AF1642" s="56"/>
      <c r="AG1642" s="9" t="s">
        <v>134</v>
      </c>
      <c r="AH1642" s="64">
        <v>45929</v>
      </c>
      <c r="AI1642" s="64"/>
      <c r="AJ1642" s="64"/>
      <c r="AK1642" s="11" t="s">
        <v>1945</v>
      </c>
      <c r="AL1642" s="11">
        <v>83.33</v>
      </c>
      <c r="AN1642" s="11" t="s">
        <v>1966</v>
      </c>
      <c r="AP1642" s="11"/>
      <c r="AQ1642" s="11"/>
      <c r="AR1642" s="11"/>
      <c r="AW1642" s="17">
        <v>45929</v>
      </c>
      <c r="AX1642" s="10">
        <v>4824</v>
      </c>
      <c r="AY1642" s="11"/>
      <c r="BA1642" s="11">
        <v>83.33</v>
      </c>
      <c r="BD1642" s="9"/>
      <c r="CS1642" s="11">
        <f t="shared" si="114"/>
        <v>83.33</v>
      </c>
      <c r="CT1642" s="22">
        <f t="shared" si="115"/>
        <v>83.33</v>
      </c>
      <c r="CU1642" s="22">
        <f t="shared" si="116"/>
        <v>0</v>
      </c>
      <c r="CV1642" s="26">
        <f t="shared" si="113"/>
        <v>0</v>
      </c>
    </row>
    <row r="1643" spans="1:100" x14ac:dyDescent="0.2">
      <c r="A1643" s="9" t="s">
        <v>422</v>
      </c>
      <c r="B1643" s="2">
        <v>22</v>
      </c>
      <c r="C1643" s="3" t="s">
        <v>95</v>
      </c>
      <c r="D1643" s="3" t="s">
        <v>96</v>
      </c>
      <c r="E1643" s="2"/>
      <c r="F1643" s="2"/>
      <c r="G1643" s="2" t="s">
        <v>68</v>
      </c>
      <c r="H1643" s="2">
        <v>2</v>
      </c>
      <c r="I1643" s="8">
        <v>145.31</v>
      </c>
      <c r="J1643" s="8">
        <v>42900</v>
      </c>
      <c r="K1643" s="3">
        <v>0</v>
      </c>
      <c r="L1643" s="3" t="s">
        <v>3</v>
      </c>
      <c r="M1643" s="9" t="s">
        <v>0</v>
      </c>
      <c r="N1643" s="9" t="s">
        <v>34</v>
      </c>
      <c r="O1643" s="9" t="s">
        <v>423</v>
      </c>
      <c r="S1643" s="9" t="s">
        <v>424</v>
      </c>
      <c r="V1643" s="10">
        <v>12.5</v>
      </c>
      <c r="W1643" s="10" t="s">
        <v>710</v>
      </c>
      <c r="X1643" s="17">
        <v>44572</v>
      </c>
      <c r="Y1643" s="17">
        <v>44936</v>
      </c>
      <c r="Z1643" s="19" t="s">
        <v>772</v>
      </c>
      <c r="AA1643" s="210">
        <v>5000</v>
      </c>
      <c r="AB1643" s="9">
        <v>60</v>
      </c>
      <c r="AC1643" s="9">
        <v>31</v>
      </c>
      <c r="AD1643" s="17">
        <v>45899</v>
      </c>
      <c r="AE1643" s="56">
        <v>83.33</v>
      </c>
      <c r="AF1643" s="56"/>
      <c r="AG1643" s="9" t="s">
        <v>134</v>
      </c>
      <c r="AH1643" s="64">
        <v>45929</v>
      </c>
      <c r="AI1643" s="64"/>
      <c r="AJ1643" s="64"/>
      <c r="AK1643" s="11" t="s">
        <v>1946</v>
      </c>
      <c r="AL1643" s="11">
        <v>83.33</v>
      </c>
      <c r="AN1643" s="11" t="s">
        <v>1967</v>
      </c>
      <c r="AP1643" s="11"/>
      <c r="AQ1643" s="11"/>
      <c r="AR1643" s="11"/>
      <c r="AW1643" s="17">
        <v>45929</v>
      </c>
      <c r="AX1643" s="10">
        <v>4824</v>
      </c>
      <c r="AY1643" s="11"/>
      <c r="BA1643" s="11">
        <v>83.33</v>
      </c>
      <c r="BD1643" s="9"/>
      <c r="CS1643" s="11">
        <f t="shared" si="114"/>
        <v>83.33</v>
      </c>
      <c r="CT1643" s="22">
        <f t="shared" si="115"/>
        <v>83.33</v>
      </c>
      <c r="CU1643" s="22">
        <f t="shared" si="116"/>
        <v>0</v>
      </c>
      <c r="CV1643" s="26">
        <f t="shared" si="113"/>
        <v>0</v>
      </c>
    </row>
    <row r="1644" spans="1:100" x14ac:dyDescent="0.2">
      <c r="A1644" s="9" t="s">
        <v>422</v>
      </c>
      <c r="B1644" s="2">
        <v>22</v>
      </c>
      <c r="C1644" s="3" t="s">
        <v>95</v>
      </c>
      <c r="D1644" s="3" t="s">
        <v>96</v>
      </c>
      <c r="E1644" s="2"/>
      <c r="F1644" s="2"/>
      <c r="G1644" s="2" t="s">
        <v>68</v>
      </c>
      <c r="H1644" s="2">
        <v>2</v>
      </c>
      <c r="I1644" s="8">
        <v>145.31</v>
      </c>
      <c r="J1644" s="8">
        <v>42900</v>
      </c>
      <c r="K1644" s="3">
        <v>0</v>
      </c>
      <c r="L1644" s="3" t="s">
        <v>3</v>
      </c>
      <c r="M1644" s="9" t="s">
        <v>0</v>
      </c>
      <c r="N1644" s="9" t="s">
        <v>34</v>
      </c>
      <c r="O1644" s="9" t="s">
        <v>423</v>
      </c>
      <c r="S1644" s="9" t="s">
        <v>424</v>
      </c>
      <c r="V1644" s="10">
        <v>12.5</v>
      </c>
      <c r="W1644" s="10" t="s">
        <v>710</v>
      </c>
      <c r="X1644" s="17">
        <v>44572</v>
      </c>
      <c r="Y1644" s="17">
        <v>44936</v>
      </c>
      <c r="Z1644" s="19" t="s">
        <v>772</v>
      </c>
      <c r="AA1644" s="210">
        <v>5000</v>
      </c>
      <c r="AB1644" s="9">
        <v>60</v>
      </c>
      <c r="AC1644" s="9">
        <v>32</v>
      </c>
      <c r="AD1644" s="17">
        <v>45930</v>
      </c>
      <c r="AE1644" s="56">
        <v>83.33</v>
      </c>
      <c r="AF1644" s="56"/>
      <c r="AP1644" s="11"/>
      <c r="AQ1644" s="11"/>
      <c r="AR1644" s="11"/>
      <c r="AW1644" s="9"/>
      <c r="BD1644" s="9"/>
      <c r="CS1644" s="11">
        <f t="shared" si="114"/>
        <v>0</v>
      </c>
      <c r="CT1644" s="22">
        <f t="shared" si="115"/>
        <v>0</v>
      </c>
      <c r="CU1644" s="22">
        <f t="shared" si="116"/>
        <v>0</v>
      </c>
      <c r="CV1644" s="26">
        <f t="shared" si="113"/>
        <v>83.33</v>
      </c>
    </row>
    <row r="1645" spans="1:100" x14ac:dyDescent="0.2">
      <c r="A1645" s="9" t="s">
        <v>422</v>
      </c>
      <c r="B1645" s="2">
        <v>22</v>
      </c>
      <c r="C1645" s="3" t="s">
        <v>95</v>
      </c>
      <c r="D1645" s="3" t="s">
        <v>96</v>
      </c>
      <c r="E1645" s="2"/>
      <c r="F1645" s="2"/>
      <c r="G1645" s="2" t="s">
        <v>68</v>
      </c>
      <c r="H1645" s="2">
        <v>2</v>
      </c>
      <c r="I1645" s="8">
        <v>145.31</v>
      </c>
      <c r="J1645" s="8">
        <v>42900</v>
      </c>
      <c r="K1645" s="3">
        <v>0</v>
      </c>
      <c r="L1645" s="3" t="s">
        <v>3</v>
      </c>
      <c r="M1645" s="9" t="s">
        <v>0</v>
      </c>
      <c r="N1645" s="9" t="s">
        <v>34</v>
      </c>
      <c r="O1645" s="9" t="s">
        <v>423</v>
      </c>
      <c r="S1645" s="9" t="s">
        <v>424</v>
      </c>
      <c r="V1645" s="10">
        <v>12.5</v>
      </c>
      <c r="W1645" s="10" t="s">
        <v>710</v>
      </c>
      <c r="X1645" s="17">
        <v>44572</v>
      </c>
      <c r="Y1645" s="17">
        <v>44936</v>
      </c>
      <c r="Z1645" s="19" t="s">
        <v>772</v>
      </c>
      <c r="AA1645" s="210">
        <v>5000</v>
      </c>
      <c r="AB1645" s="9">
        <v>60</v>
      </c>
      <c r="AC1645" s="9">
        <v>33</v>
      </c>
      <c r="AD1645" s="17">
        <v>45960</v>
      </c>
      <c r="AE1645" s="56">
        <v>83.33</v>
      </c>
      <c r="AF1645" s="56"/>
      <c r="AP1645" s="11"/>
      <c r="AQ1645" s="11"/>
      <c r="AR1645" s="11"/>
      <c r="AW1645" s="9"/>
      <c r="BD1645" s="9"/>
      <c r="CS1645" s="11">
        <f t="shared" si="114"/>
        <v>0</v>
      </c>
      <c r="CT1645" s="22">
        <f t="shared" si="115"/>
        <v>0</v>
      </c>
      <c r="CU1645" s="22">
        <f t="shared" si="116"/>
        <v>0</v>
      </c>
      <c r="CV1645" s="26">
        <f t="shared" si="113"/>
        <v>83.33</v>
      </c>
    </row>
    <row r="1646" spans="1:100" x14ac:dyDescent="0.2">
      <c r="A1646" s="9" t="s">
        <v>422</v>
      </c>
      <c r="B1646" s="2">
        <v>22</v>
      </c>
      <c r="C1646" s="3" t="s">
        <v>95</v>
      </c>
      <c r="D1646" s="3" t="s">
        <v>96</v>
      </c>
      <c r="E1646" s="2"/>
      <c r="F1646" s="2"/>
      <c r="G1646" s="2" t="s">
        <v>68</v>
      </c>
      <c r="H1646" s="2">
        <v>2</v>
      </c>
      <c r="I1646" s="8">
        <v>145.31</v>
      </c>
      <c r="J1646" s="8">
        <v>42900</v>
      </c>
      <c r="K1646" s="3">
        <v>0</v>
      </c>
      <c r="L1646" s="3" t="s">
        <v>3</v>
      </c>
      <c r="M1646" s="9" t="s">
        <v>0</v>
      </c>
      <c r="N1646" s="9" t="s">
        <v>34</v>
      </c>
      <c r="O1646" s="9" t="s">
        <v>423</v>
      </c>
      <c r="S1646" s="9" t="s">
        <v>424</v>
      </c>
      <c r="V1646" s="10">
        <v>12.5</v>
      </c>
      <c r="W1646" s="10" t="s">
        <v>710</v>
      </c>
      <c r="X1646" s="17">
        <v>44572</v>
      </c>
      <c r="Y1646" s="17">
        <v>44936</v>
      </c>
      <c r="Z1646" s="19" t="s">
        <v>772</v>
      </c>
      <c r="AA1646" s="210">
        <v>5000</v>
      </c>
      <c r="AB1646" s="9">
        <v>60</v>
      </c>
      <c r="AC1646" s="9">
        <v>34</v>
      </c>
      <c r="AD1646" s="17">
        <v>45991</v>
      </c>
      <c r="AE1646" s="56">
        <v>83.33</v>
      </c>
      <c r="AF1646" s="56"/>
      <c r="AP1646" s="11"/>
      <c r="AQ1646" s="11"/>
      <c r="AR1646" s="11"/>
      <c r="AW1646" s="9"/>
      <c r="BD1646" s="9"/>
      <c r="CS1646" s="11">
        <f t="shared" si="114"/>
        <v>0</v>
      </c>
      <c r="CT1646" s="22">
        <f t="shared" si="115"/>
        <v>0</v>
      </c>
      <c r="CU1646" s="22">
        <f t="shared" si="116"/>
        <v>0</v>
      </c>
      <c r="CV1646" s="26">
        <f t="shared" si="113"/>
        <v>83.33</v>
      </c>
    </row>
    <row r="1647" spans="1:100" x14ac:dyDescent="0.2">
      <c r="A1647" s="9" t="s">
        <v>422</v>
      </c>
      <c r="B1647" s="2">
        <v>22</v>
      </c>
      <c r="C1647" s="3" t="s">
        <v>95</v>
      </c>
      <c r="D1647" s="3" t="s">
        <v>96</v>
      </c>
      <c r="E1647" s="2"/>
      <c r="F1647" s="2"/>
      <c r="G1647" s="2" t="s">
        <v>68</v>
      </c>
      <c r="H1647" s="2">
        <v>2</v>
      </c>
      <c r="I1647" s="8">
        <v>145.31</v>
      </c>
      <c r="J1647" s="8">
        <v>42900</v>
      </c>
      <c r="K1647" s="3">
        <v>0</v>
      </c>
      <c r="L1647" s="3" t="s">
        <v>3</v>
      </c>
      <c r="M1647" s="9" t="s">
        <v>0</v>
      </c>
      <c r="N1647" s="9" t="s">
        <v>34</v>
      </c>
      <c r="O1647" s="9" t="s">
        <v>423</v>
      </c>
      <c r="S1647" s="9" t="s">
        <v>424</v>
      </c>
      <c r="V1647" s="10">
        <v>12.5</v>
      </c>
      <c r="W1647" s="10" t="s">
        <v>710</v>
      </c>
      <c r="X1647" s="17">
        <v>44572</v>
      </c>
      <c r="Y1647" s="17">
        <v>44936</v>
      </c>
      <c r="Z1647" s="19" t="s">
        <v>772</v>
      </c>
      <c r="AA1647" s="210">
        <v>5000</v>
      </c>
      <c r="AB1647" s="9">
        <v>60</v>
      </c>
      <c r="AC1647" s="9">
        <v>35</v>
      </c>
      <c r="AD1647" s="17">
        <v>46021</v>
      </c>
      <c r="AE1647" s="56">
        <v>83.33</v>
      </c>
      <c r="AF1647" s="56"/>
      <c r="AP1647" s="11"/>
      <c r="AQ1647" s="11"/>
      <c r="AR1647" s="11"/>
      <c r="AW1647" s="9"/>
      <c r="BD1647" s="9"/>
      <c r="CS1647" s="11">
        <f t="shared" si="114"/>
        <v>0</v>
      </c>
      <c r="CT1647" s="22">
        <f t="shared" si="115"/>
        <v>0</v>
      </c>
      <c r="CU1647" s="22">
        <f t="shared" si="116"/>
        <v>0</v>
      </c>
      <c r="CV1647" s="26">
        <f t="shared" si="113"/>
        <v>83.33</v>
      </c>
    </row>
    <row r="1648" spans="1:100" x14ac:dyDescent="0.2">
      <c r="A1648" s="9" t="s">
        <v>422</v>
      </c>
      <c r="B1648" s="2">
        <v>22</v>
      </c>
      <c r="C1648" s="3" t="s">
        <v>95</v>
      </c>
      <c r="D1648" s="3" t="s">
        <v>96</v>
      </c>
      <c r="E1648" s="2"/>
      <c r="F1648" s="2"/>
      <c r="G1648" s="2" t="s">
        <v>68</v>
      </c>
      <c r="H1648" s="2">
        <v>2</v>
      </c>
      <c r="I1648" s="8">
        <v>145.31</v>
      </c>
      <c r="J1648" s="8">
        <v>42900</v>
      </c>
      <c r="K1648" s="3">
        <v>0</v>
      </c>
      <c r="L1648" s="3" t="s">
        <v>3</v>
      </c>
      <c r="M1648" s="9" t="s">
        <v>0</v>
      </c>
      <c r="N1648" s="9" t="s">
        <v>34</v>
      </c>
      <c r="O1648" s="9" t="s">
        <v>423</v>
      </c>
      <c r="S1648" s="9" t="s">
        <v>424</v>
      </c>
      <c r="V1648" s="10">
        <v>12.5</v>
      </c>
      <c r="W1648" s="10" t="s">
        <v>710</v>
      </c>
      <c r="X1648" s="17">
        <v>44572</v>
      </c>
      <c r="Y1648" s="17">
        <v>44936</v>
      </c>
      <c r="Z1648" s="19" t="s">
        <v>772</v>
      </c>
      <c r="AA1648" s="210">
        <v>5000</v>
      </c>
      <c r="AB1648" s="9">
        <v>60</v>
      </c>
      <c r="AC1648" s="9">
        <v>36</v>
      </c>
      <c r="AD1648" s="17">
        <v>46052</v>
      </c>
      <c r="AE1648" s="56">
        <v>83.33</v>
      </c>
      <c r="AF1648" s="56"/>
      <c r="AP1648" s="11"/>
      <c r="AQ1648" s="11"/>
      <c r="AR1648" s="11"/>
      <c r="AW1648" s="9"/>
      <c r="BD1648" s="9"/>
      <c r="CS1648" s="11">
        <f t="shared" si="114"/>
        <v>0</v>
      </c>
      <c r="CT1648" s="22">
        <f t="shared" si="115"/>
        <v>0</v>
      </c>
      <c r="CU1648" s="22">
        <f t="shared" si="116"/>
        <v>0</v>
      </c>
      <c r="CV1648" s="26">
        <f t="shared" si="113"/>
        <v>83.33</v>
      </c>
    </row>
    <row r="1649" spans="1:100" x14ac:dyDescent="0.2">
      <c r="A1649" s="9" t="s">
        <v>422</v>
      </c>
      <c r="B1649" s="2">
        <v>22</v>
      </c>
      <c r="C1649" s="3" t="s">
        <v>95</v>
      </c>
      <c r="D1649" s="3" t="s">
        <v>96</v>
      </c>
      <c r="E1649" s="2"/>
      <c r="F1649" s="2"/>
      <c r="G1649" s="2" t="s">
        <v>68</v>
      </c>
      <c r="H1649" s="2">
        <v>2</v>
      </c>
      <c r="I1649" s="8">
        <v>145.31</v>
      </c>
      <c r="J1649" s="8">
        <v>42900</v>
      </c>
      <c r="K1649" s="3">
        <v>0</v>
      </c>
      <c r="L1649" s="3" t="s">
        <v>3</v>
      </c>
      <c r="M1649" s="9" t="s">
        <v>0</v>
      </c>
      <c r="N1649" s="9" t="s">
        <v>34</v>
      </c>
      <c r="O1649" s="9" t="s">
        <v>423</v>
      </c>
      <c r="S1649" s="9" t="s">
        <v>424</v>
      </c>
      <c r="V1649" s="10">
        <v>12.5</v>
      </c>
      <c r="W1649" s="10" t="s">
        <v>710</v>
      </c>
      <c r="X1649" s="17">
        <v>44572</v>
      </c>
      <c r="Y1649" s="17">
        <v>44936</v>
      </c>
      <c r="Z1649" s="19" t="s">
        <v>772</v>
      </c>
      <c r="AA1649" s="210">
        <v>5000</v>
      </c>
      <c r="AB1649" s="9">
        <v>60</v>
      </c>
      <c r="AC1649" s="9">
        <v>37</v>
      </c>
      <c r="AD1649" s="17">
        <v>46081</v>
      </c>
      <c r="AE1649" s="56">
        <v>83.33</v>
      </c>
      <c r="AF1649" s="56"/>
      <c r="AP1649" s="11"/>
      <c r="AQ1649" s="11"/>
      <c r="AR1649" s="11"/>
      <c r="AW1649" s="9"/>
      <c r="BD1649" s="9"/>
      <c r="CS1649" s="11">
        <f t="shared" si="114"/>
        <v>0</v>
      </c>
      <c r="CT1649" s="22">
        <f t="shared" si="115"/>
        <v>0</v>
      </c>
      <c r="CU1649" s="22">
        <f t="shared" si="116"/>
        <v>0</v>
      </c>
      <c r="CV1649" s="26">
        <f t="shared" si="113"/>
        <v>83.33</v>
      </c>
    </row>
    <row r="1650" spans="1:100" x14ac:dyDescent="0.2">
      <c r="A1650" s="9" t="s">
        <v>422</v>
      </c>
      <c r="B1650" s="2">
        <v>22</v>
      </c>
      <c r="C1650" s="3" t="s">
        <v>95</v>
      </c>
      <c r="D1650" s="3" t="s">
        <v>96</v>
      </c>
      <c r="E1650" s="2"/>
      <c r="F1650" s="2"/>
      <c r="G1650" s="2" t="s">
        <v>68</v>
      </c>
      <c r="H1650" s="2">
        <v>2</v>
      </c>
      <c r="I1650" s="8">
        <v>145.31</v>
      </c>
      <c r="J1650" s="8">
        <v>42900</v>
      </c>
      <c r="K1650" s="3">
        <v>0</v>
      </c>
      <c r="L1650" s="3" t="s">
        <v>3</v>
      </c>
      <c r="M1650" s="9" t="s">
        <v>0</v>
      </c>
      <c r="N1650" s="9" t="s">
        <v>34</v>
      </c>
      <c r="O1650" s="9" t="s">
        <v>423</v>
      </c>
      <c r="S1650" s="9" t="s">
        <v>424</v>
      </c>
      <c r="V1650" s="10">
        <v>12.5</v>
      </c>
      <c r="W1650" s="10" t="s">
        <v>710</v>
      </c>
      <c r="X1650" s="17">
        <v>44572</v>
      </c>
      <c r="Y1650" s="17">
        <v>44936</v>
      </c>
      <c r="Z1650" s="19" t="s">
        <v>772</v>
      </c>
      <c r="AA1650" s="210">
        <v>5000</v>
      </c>
      <c r="AB1650" s="9">
        <v>60</v>
      </c>
      <c r="AC1650" s="9">
        <v>38</v>
      </c>
      <c r="AD1650" s="17">
        <v>46111</v>
      </c>
      <c r="AE1650" s="56">
        <v>83.33</v>
      </c>
      <c r="AF1650" s="56"/>
      <c r="AP1650" s="11"/>
      <c r="AQ1650" s="11"/>
      <c r="AR1650" s="11"/>
      <c r="AW1650" s="9"/>
      <c r="BD1650" s="9"/>
      <c r="CS1650" s="11">
        <f t="shared" si="114"/>
        <v>0</v>
      </c>
      <c r="CT1650" s="22">
        <f t="shared" si="115"/>
        <v>0</v>
      </c>
      <c r="CU1650" s="22">
        <f t="shared" si="116"/>
        <v>0</v>
      </c>
      <c r="CV1650" s="26">
        <f t="shared" si="113"/>
        <v>83.33</v>
      </c>
    </row>
    <row r="1651" spans="1:100" x14ac:dyDescent="0.2">
      <c r="A1651" s="9" t="s">
        <v>422</v>
      </c>
      <c r="B1651" s="2">
        <v>22</v>
      </c>
      <c r="C1651" s="3" t="s">
        <v>95</v>
      </c>
      <c r="D1651" s="3" t="s">
        <v>96</v>
      </c>
      <c r="E1651" s="2"/>
      <c r="F1651" s="2"/>
      <c r="G1651" s="2" t="s">
        <v>68</v>
      </c>
      <c r="H1651" s="2">
        <v>2</v>
      </c>
      <c r="I1651" s="8">
        <v>145.31</v>
      </c>
      <c r="J1651" s="8">
        <v>42900</v>
      </c>
      <c r="K1651" s="3">
        <v>0</v>
      </c>
      <c r="L1651" s="3" t="s">
        <v>3</v>
      </c>
      <c r="M1651" s="9" t="s">
        <v>0</v>
      </c>
      <c r="N1651" s="9" t="s">
        <v>34</v>
      </c>
      <c r="O1651" s="9" t="s">
        <v>423</v>
      </c>
      <c r="S1651" s="9" t="s">
        <v>424</v>
      </c>
      <c r="V1651" s="10">
        <v>12.5</v>
      </c>
      <c r="W1651" s="10" t="s">
        <v>710</v>
      </c>
      <c r="X1651" s="17">
        <v>44572</v>
      </c>
      <c r="Y1651" s="17">
        <v>44936</v>
      </c>
      <c r="Z1651" s="19" t="s">
        <v>772</v>
      </c>
      <c r="AA1651" s="210">
        <v>5000</v>
      </c>
      <c r="AB1651" s="9">
        <v>60</v>
      </c>
      <c r="AC1651" s="9">
        <v>39</v>
      </c>
      <c r="AD1651" s="17">
        <v>46142</v>
      </c>
      <c r="AE1651" s="56">
        <v>83.33</v>
      </c>
      <c r="AF1651" s="56"/>
      <c r="AP1651" s="11"/>
      <c r="AQ1651" s="11"/>
      <c r="AR1651" s="11"/>
      <c r="AW1651" s="9"/>
      <c r="BD1651" s="9"/>
      <c r="CS1651" s="11">
        <f t="shared" si="114"/>
        <v>0</v>
      </c>
      <c r="CT1651" s="22">
        <f t="shared" si="115"/>
        <v>0</v>
      </c>
      <c r="CU1651" s="22">
        <f t="shared" si="116"/>
        <v>0</v>
      </c>
      <c r="CV1651" s="26">
        <f t="shared" si="113"/>
        <v>83.33</v>
      </c>
    </row>
    <row r="1652" spans="1:100" x14ac:dyDescent="0.2">
      <c r="A1652" s="9" t="s">
        <v>422</v>
      </c>
      <c r="B1652" s="2">
        <v>22</v>
      </c>
      <c r="C1652" s="3" t="s">
        <v>95</v>
      </c>
      <c r="D1652" s="3" t="s">
        <v>96</v>
      </c>
      <c r="E1652" s="2"/>
      <c r="F1652" s="2"/>
      <c r="G1652" s="2" t="s">
        <v>68</v>
      </c>
      <c r="H1652" s="2">
        <v>2</v>
      </c>
      <c r="I1652" s="8">
        <v>145.31</v>
      </c>
      <c r="J1652" s="8">
        <v>42900</v>
      </c>
      <c r="K1652" s="3">
        <v>0</v>
      </c>
      <c r="L1652" s="3" t="s">
        <v>3</v>
      </c>
      <c r="M1652" s="9" t="s">
        <v>0</v>
      </c>
      <c r="N1652" s="9" t="s">
        <v>34</v>
      </c>
      <c r="O1652" s="9" t="s">
        <v>423</v>
      </c>
      <c r="S1652" s="9" t="s">
        <v>424</v>
      </c>
      <c r="V1652" s="10">
        <v>12.5</v>
      </c>
      <c r="W1652" s="10" t="s">
        <v>710</v>
      </c>
      <c r="X1652" s="17">
        <v>44572</v>
      </c>
      <c r="Y1652" s="17">
        <v>44936</v>
      </c>
      <c r="Z1652" s="19" t="s">
        <v>772</v>
      </c>
      <c r="AA1652" s="210">
        <v>5000</v>
      </c>
      <c r="AB1652" s="9">
        <v>60</v>
      </c>
      <c r="AC1652" s="9">
        <v>40</v>
      </c>
      <c r="AD1652" s="17">
        <v>46172</v>
      </c>
      <c r="AE1652" s="56">
        <v>83.33</v>
      </c>
      <c r="AF1652" s="56"/>
      <c r="AP1652" s="11"/>
      <c r="AQ1652" s="11"/>
      <c r="AR1652" s="11"/>
      <c r="AW1652" s="9"/>
      <c r="BD1652" s="9"/>
      <c r="CS1652" s="11">
        <f t="shared" si="114"/>
        <v>0</v>
      </c>
      <c r="CT1652" s="22">
        <f t="shared" si="115"/>
        <v>0</v>
      </c>
      <c r="CU1652" s="22">
        <f t="shared" si="116"/>
        <v>0</v>
      </c>
      <c r="CV1652" s="26">
        <f t="shared" si="113"/>
        <v>83.33</v>
      </c>
    </row>
    <row r="1653" spans="1:100" x14ac:dyDescent="0.2">
      <c r="A1653" s="9" t="s">
        <v>422</v>
      </c>
      <c r="B1653" s="2">
        <v>22</v>
      </c>
      <c r="C1653" s="3" t="s">
        <v>95</v>
      </c>
      <c r="D1653" s="3" t="s">
        <v>96</v>
      </c>
      <c r="E1653" s="2"/>
      <c r="F1653" s="2"/>
      <c r="G1653" s="2" t="s">
        <v>68</v>
      </c>
      <c r="H1653" s="2">
        <v>2</v>
      </c>
      <c r="I1653" s="8">
        <v>145.31</v>
      </c>
      <c r="J1653" s="8">
        <v>42900</v>
      </c>
      <c r="K1653" s="3">
        <v>0</v>
      </c>
      <c r="L1653" s="3" t="s">
        <v>3</v>
      </c>
      <c r="M1653" s="9" t="s">
        <v>0</v>
      </c>
      <c r="N1653" s="9" t="s">
        <v>34</v>
      </c>
      <c r="O1653" s="9" t="s">
        <v>423</v>
      </c>
      <c r="S1653" s="9" t="s">
        <v>424</v>
      </c>
      <c r="V1653" s="10">
        <v>12.5</v>
      </c>
      <c r="W1653" s="10" t="s">
        <v>710</v>
      </c>
      <c r="X1653" s="17">
        <v>44572</v>
      </c>
      <c r="Y1653" s="17">
        <v>44936</v>
      </c>
      <c r="Z1653" s="19" t="s">
        <v>772</v>
      </c>
      <c r="AA1653" s="210">
        <v>5000</v>
      </c>
      <c r="AB1653" s="9">
        <v>60</v>
      </c>
      <c r="AC1653" s="9">
        <v>41</v>
      </c>
      <c r="AD1653" s="17">
        <v>46203</v>
      </c>
      <c r="AE1653" s="56">
        <v>83.33</v>
      </c>
      <c r="AF1653" s="56"/>
      <c r="AP1653" s="11"/>
      <c r="AQ1653" s="11"/>
      <c r="AR1653" s="11"/>
      <c r="AW1653" s="9"/>
      <c r="BD1653" s="9"/>
      <c r="CS1653" s="11">
        <f t="shared" si="114"/>
        <v>0</v>
      </c>
      <c r="CT1653" s="22">
        <f t="shared" si="115"/>
        <v>0</v>
      </c>
      <c r="CU1653" s="22">
        <f t="shared" si="116"/>
        <v>0</v>
      </c>
      <c r="CV1653" s="26">
        <f t="shared" si="113"/>
        <v>83.33</v>
      </c>
    </row>
    <row r="1654" spans="1:100" x14ac:dyDescent="0.2">
      <c r="A1654" s="9" t="s">
        <v>422</v>
      </c>
      <c r="B1654" s="2">
        <v>22</v>
      </c>
      <c r="C1654" s="3" t="s">
        <v>95</v>
      </c>
      <c r="D1654" s="3" t="s">
        <v>96</v>
      </c>
      <c r="E1654" s="2"/>
      <c r="F1654" s="2"/>
      <c r="G1654" s="2" t="s">
        <v>68</v>
      </c>
      <c r="H1654" s="2">
        <v>2</v>
      </c>
      <c r="I1654" s="8">
        <v>145.31</v>
      </c>
      <c r="J1654" s="8">
        <v>42900</v>
      </c>
      <c r="K1654" s="3">
        <v>0</v>
      </c>
      <c r="L1654" s="3" t="s">
        <v>3</v>
      </c>
      <c r="M1654" s="9" t="s">
        <v>0</v>
      </c>
      <c r="N1654" s="9" t="s">
        <v>34</v>
      </c>
      <c r="O1654" s="9" t="s">
        <v>423</v>
      </c>
      <c r="S1654" s="9" t="s">
        <v>424</v>
      </c>
      <c r="V1654" s="10">
        <v>12.5</v>
      </c>
      <c r="W1654" s="10" t="s">
        <v>710</v>
      </c>
      <c r="X1654" s="17">
        <v>44572</v>
      </c>
      <c r="Y1654" s="17">
        <v>44936</v>
      </c>
      <c r="Z1654" s="19" t="s">
        <v>772</v>
      </c>
      <c r="AA1654" s="210">
        <v>5000</v>
      </c>
      <c r="AB1654" s="9">
        <v>60</v>
      </c>
      <c r="AC1654" s="9">
        <v>42</v>
      </c>
      <c r="AD1654" s="17">
        <v>46233</v>
      </c>
      <c r="AE1654" s="56">
        <v>83.33</v>
      </c>
      <c r="AF1654" s="56"/>
      <c r="AP1654" s="11"/>
      <c r="AQ1654" s="11"/>
      <c r="AR1654" s="11"/>
      <c r="AW1654" s="9"/>
      <c r="BD1654" s="9"/>
      <c r="CS1654" s="11">
        <f t="shared" si="114"/>
        <v>0</v>
      </c>
      <c r="CT1654" s="22">
        <f t="shared" si="115"/>
        <v>0</v>
      </c>
      <c r="CU1654" s="22">
        <f t="shared" si="116"/>
        <v>0</v>
      </c>
      <c r="CV1654" s="26">
        <f t="shared" si="113"/>
        <v>83.33</v>
      </c>
    </row>
    <row r="1655" spans="1:100" x14ac:dyDescent="0.2">
      <c r="A1655" s="9" t="s">
        <v>422</v>
      </c>
      <c r="B1655" s="2">
        <v>22</v>
      </c>
      <c r="C1655" s="3" t="s">
        <v>95</v>
      </c>
      <c r="D1655" s="3" t="s">
        <v>96</v>
      </c>
      <c r="E1655" s="2"/>
      <c r="F1655" s="2"/>
      <c r="G1655" s="2" t="s">
        <v>68</v>
      </c>
      <c r="H1655" s="2">
        <v>2</v>
      </c>
      <c r="I1655" s="8">
        <v>145.31</v>
      </c>
      <c r="J1655" s="8">
        <v>42900</v>
      </c>
      <c r="K1655" s="3">
        <v>0</v>
      </c>
      <c r="L1655" s="3" t="s">
        <v>3</v>
      </c>
      <c r="M1655" s="9" t="s">
        <v>0</v>
      </c>
      <c r="N1655" s="9" t="s">
        <v>34</v>
      </c>
      <c r="O1655" s="9" t="s">
        <v>423</v>
      </c>
      <c r="S1655" s="9" t="s">
        <v>424</v>
      </c>
      <c r="V1655" s="10">
        <v>12.5</v>
      </c>
      <c r="W1655" s="10" t="s">
        <v>710</v>
      </c>
      <c r="X1655" s="17">
        <v>44572</v>
      </c>
      <c r="Y1655" s="17">
        <v>44936</v>
      </c>
      <c r="Z1655" s="19" t="s">
        <v>772</v>
      </c>
      <c r="AA1655" s="210">
        <v>5000</v>
      </c>
      <c r="AB1655" s="9">
        <v>60</v>
      </c>
      <c r="AC1655" s="9">
        <v>43</v>
      </c>
      <c r="AD1655" s="17">
        <v>46264</v>
      </c>
      <c r="AE1655" s="56">
        <v>83.33</v>
      </c>
      <c r="AF1655" s="56"/>
      <c r="AP1655" s="11"/>
      <c r="AQ1655" s="11"/>
      <c r="AR1655" s="11"/>
      <c r="AW1655" s="9"/>
      <c r="BD1655" s="9"/>
      <c r="CS1655" s="11">
        <f t="shared" si="114"/>
        <v>0</v>
      </c>
      <c r="CT1655" s="22">
        <f t="shared" si="115"/>
        <v>0</v>
      </c>
      <c r="CU1655" s="22">
        <f t="shared" si="116"/>
        <v>0</v>
      </c>
      <c r="CV1655" s="26">
        <f t="shared" si="113"/>
        <v>83.33</v>
      </c>
    </row>
    <row r="1656" spans="1:100" ht="15.75" customHeight="1" x14ac:dyDescent="0.2">
      <c r="A1656" s="9" t="s">
        <v>422</v>
      </c>
      <c r="B1656" s="2">
        <v>22</v>
      </c>
      <c r="C1656" s="3" t="s">
        <v>95</v>
      </c>
      <c r="D1656" s="3" t="s">
        <v>96</v>
      </c>
      <c r="E1656" s="2"/>
      <c r="F1656" s="2"/>
      <c r="G1656" s="2" t="s">
        <v>68</v>
      </c>
      <c r="H1656" s="2">
        <v>2</v>
      </c>
      <c r="I1656" s="8">
        <v>145.31</v>
      </c>
      <c r="J1656" s="8">
        <v>42900</v>
      </c>
      <c r="K1656" s="3">
        <v>0</v>
      </c>
      <c r="L1656" s="3" t="s">
        <v>3</v>
      </c>
      <c r="M1656" s="9" t="s">
        <v>0</v>
      </c>
      <c r="N1656" s="9" t="s">
        <v>34</v>
      </c>
      <c r="O1656" s="9" t="s">
        <v>423</v>
      </c>
      <c r="S1656" s="9" t="s">
        <v>424</v>
      </c>
      <c r="V1656" s="10">
        <v>12.5</v>
      </c>
      <c r="W1656" s="10" t="s">
        <v>710</v>
      </c>
      <c r="X1656" s="17">
        <v>44572</v>
      </c>
      <c r="Y1656" s="17">
        <v>44936</v>
      </c>
      <c r="Z1656" s="19" t="s">
        <v>772</v>
      </c>
      <c r="AA1656" s="210">
        <v>5000</v>
      </c>
      <c r="AB1656" s="9">
        <v>60</v>
      </c>
      <c r="AC1656" s="9">
        <v>44</v>
      </c>
      <c r="AD1656" s="17">
        <v>46295</v>
      </c>
      <c r="AE1656" s="56">
        <v>83.33</v>
      </c>
      <c r="AF1656" s="56"/>
      <c r="AP1656" s="11"/>
      <c r="AQ1656" s="11"/>
      <c r="AR1656" s="11"/>
      <c r="AW1656" s="9"/>
      <c r="BD1656" s="9"/>
      <c r="CS1656" s="11">
        <f t="shared" si="114"/>
        <v>0</v>
      </c>
      <c r="CT1656" s="22">
        <f t="shared" si="115"/>
        <v>0</v>
      </c>
      <c r="CU1656" s="22">
        <f t="shared" si="116"/>
        <v>0</v>
      </c>
      <c r="CV1656" s="26">
        <f t="shared" si="113"/>
        <v>83.33</v>
      </c>
    </row>
    <row r="1657" spans="1:100" x14ac:dyDescent="0.2">
      <c r="A1657" s="9" t="s">
        <v>422</v>
      </c>
      <c r="B1657" s="2">
        <v>22</v>
      </c>
      <c r="C1657" s="3" t="s">
        <v>95</v>
      </c>
      <c r="D1657" s="3" t="s">
        <v>96</v>
      </c>
      <c r="E1657" s="2"/>
      <c r="F1657" s="2"/>
      <c r="G1657" s="2" t="s">
        <v>68</v>
      </c>
      <c r="H1657" s="2">
        <v>2</v>
      </c>
      <c r="I1657" s="8">
        <v>145.31</v>
      </c>
      <c r="J1657" s="8">
        <v>42900</v>
      </c>
      <c r="K1657" s="3">
        <v>0</v>
      </c>
      <c r="L1657" s="3" t="s">
        <v>3</v>
      </c>
      <c r="M1657" s="9" t="s">
        <v>0</v>
      </c>
      <c r="N1657" s="9" t="s">
        <v>34</v>
      </c>
      <c r="O1657" s="9" t="s">
        <v>423</v>
      </c>
      <c r="S1657" s="9" t="s">
        <v>424</v>
      </c>
      <c r="V1657" s="10">
        <v>12.5</v>
      </c>
      <c r="W1657" s="10" t="s">
        <v>710</v>
      </c>
      <c r="X1657" s="17">
        <v>44572</v>
      </c>
      <c r="Y1657" s="17">
        <v>44936</v>
      </c>
      <c r="Z1657" s="19" t="s">
        <v>772</v>
      </c>
      <c r="AA1657" s="210">
        <v>5000</v>
      </c>
      <c r="AB1657" s="9">
        <v>60</v>
      </c>
      <c r="AC1657" s="9">
        <v>45</v>
      </c>
      <c r="AD1657" s="17">
        <v>46325</v>
      </c>
      <c r="AE1657" s="56">
        <v>83.33</v>
      </c>
      <c r="AF1657" s="56"/>
      <c r="AP1657" s="11"/>
      <c r="AQ1657" s="11"/>
      <c r="AR1657" s="11"/>
      <c r="AW1657" s="9"/>
      <c r="BD1657" s="9"/>
      <c r="CS1657" s="11">
        <f t="shared" si="114"/>
        <v>0</v>
      </c>
      <c r="CT1657" s="22">
        <f t="shared" si="115"/>
        <v>0</v>
      </c>
      <c r="CU1657" s="22">
        <f t="shared" si="116"/>
        <v>0</v>
      </c>
      <c r="CV1657" s="26">
        <f t="shared" ref="CV1657:CV1720" si="117">+AE1657-AL1657-AT1657</f>
        <v>83.33</v>
      </c>
    </row>
    <row r="1658" spans="1:100" x14ac:dyDescent="0.2">
      <c r="A1658" s="9" t="s">
        <v>422</v>
      </c>
      <c r="B1658" s="2">
        <v>22</v>
      </c>
      <c r="C1658" s="3" t="s">
        <v>95</v>
      </c>
      <c r="D1658" s="3" t="s">
        <v>96</v>
      </c>
      <c r="E1658" s="2"/>
      <c r="F1658" s="2"/>
      <c r="G1658" s="2" t="s">
        <v>68</v>
      </c>
      <c r="H1658" s="2">
        <v>2</v>
      </c>
      <c r="I1658" s="8">
        <v>145.31</v>
      </c>
      <c r="J1658" s="8">
        <v>42900</v>
      </c>
      <c r="K1658" s="3">
        <v>0</v>
      </c>
      <c r="L1658" s="3" t="s">
        <v>3</v>
      </c>
      <c r="M1658" s="9" t="s">
        <v>0</v>
      </c>
      <c r="N1658" s="9" t="s">
        <v>34</v>
      </c>
      <c r="O1658" s="9" t="s">
        <v>423</v>
      </c>
      <c r="S1658" s="9" t="s">
        <v>424</v>
      </c>
      <c r="V1658" s="10">
        <v>12.5</v>
      </c>
      <c r="W1658" s="10" t="s">
        <v>710</v>
      </c>
      <c r="X1658" s="17">
        <v>44572</v>
      </c>
      <c r="Y1658" s="17">
        <v>44936</v>
      </c>
      <c r="Z1658" s="19" t="s">
        <v>772</v>
      </c>
      <c r="AA1658" s="210">
        <v>5000</v>
      </c>
      <c r="AB1658" s="9">
        <v>60</v>
      </c>
      <c r="AC1658" s="9">
        <v>46</v>
      </c>
      <c r="AD1658" s="17">
        <v>46356</v>
      </c>
      <c r="AE1658" s="56">
        <v>83.33</v>
      </c>
      <c r="AF1658" s="56"/>
      <c r="AP1658" s="11"/>
      <c r="AQ1658" s="11"/>
      <c r="AR1658" s="11"/>
      <c r="AW1658" s="9"/>
      <c r="BD1658" s="9"/>
      <c r="CS1658" s="11">
        <f t="shared" si="114"/>
        <v>0</v>
      </c>
      <c r="CT1658" s="22">
        <f t="shared" si="115"/>
        <v>0</v>
      </c>
      <c r="CU1658" s="22">
        <f t="shared" si="116"/>
        <v>0</v>
      </c>
      <c r="CV1658" s="26">
        <f t="shared" si="117"/>
        <v>83.33</v>
      </c>
    </row>
    <row r="1659" spans="1:100" x14ac:dyDescent="0.2">
      <c r="A1659" s="9" t="s">
        <v>422</v>
      </c>
      <c r="B1659" s="2">
        <v>22</v>
      </c>
      <c r="C1659" s="3" t="s">
        <v>95</v>
      </c>
      <c r="D1659" s="3" t="s">
        <v>96</v>
      </c>
      <c r="E1659" s="2"/>
      <c r="F1659" s="2"/>
      <c r="G1659" s="2" t="s">
        <v>68</v>
      </c>
      <c r="H1659" s="2">
        <v>2</v>
      </c>
      <c r="I1659" s="8">
        <v>145.31</v>
      </c>
      <c r="J1659" s="8">
        <v>42900</v>
      </c>
      <c r="K1659" s="3">
        <v>0</v>
      </c>
      <c r="L1659" s="3" t="s">
        <v>3</v>
      </c>
      <c r="M1659" s="9" t="s">
        <v>0</v>
      </c>
      <c r="N1659" s="9" t="s">
        <v>34</v>
      </c>
      <c r="O1659" s="9" t="s">
        <v>423</v>
      </c>
      <c r="S1659" s="9" t="s">
        <v>424</v>
      </c>
      <c r="V1659" s="10">
        <v>12.5</v>
      </c>
      <c r="W1659" s="10" t="s">
        <v>710</v>
      </c>
      <c r="X1659" s="17">
        <v>44572</v>
      </c>
      <c r="Y1659" s="17">
        <v>44936</v>
      </c>
      <c r="Z1659" s="19" t="s">
        <v>772</v>
      </c>
      <c r="AA1659" s="210">
        <v>5000</v>
      </c>
      <c r="AB1659" s="9">
        <v>60</v>
      </c>
      <c r="AC1659" s="9">
        <v>47</v>
      </c>
      <c r="AD1659" s="17">
        <v>46386</v>
      </c>
      <c r="AE1659" s="56">
        <v>83.33</v>
      </c>
      <c r="AF1659" s="56"/>
      <c r="AP1659" s="11"/>
      <c r="AQ1659" s="11"/>
      <c r="AR1659" s="11"/>
      <c r="AW1659" s="9"/>
      <c r="BD1659" s="9"/>
      <c r="CS1659" s="11">
        <f t="shared" si="114"/>
        <v>0</v>
      </c>
      <c r="CT1659" s="22">
        <f t="shared" si="115"/>
        <v>0</v>
      </c>
      <c r="CU1659" s="22">
        <f t="shared" si="116"/>
        <v>0</v>
      </c>
      <c r="CV1659" s="26">
        <f t="shared" si="117"/>
        <v>83.33</v>
      </c>
    </row>
    <row r="1660" spans="1:100" x14ac:dyDescent="0.2">
      <c r="A1660" s="9" t="s">
        <v>422</v>
      </c>
      <c r="B1660" s="2">
        <v>22</v>
      </c>
      <c r="C1660" s="3" t="s">
        <v>95</v>
      </c>
      <c r="D1660" s="3" t="s">
        <v>96</v>
      </c>
      <c r="E1660" s="2"/>
      <c r="F1660" s="2"/>
      <c r="G1660" s="2" t="s">
        <v>68</v>
      </c>
      <c r="H1660" s="2">
        <v>2</v>
      </c>
      <c r="I1660" s="8">
        <v>145.31</v>
      </c>
      <c r="J1660" s="8">
        <v>42900</v>
      </c>
      <c r="K1660" s="3">
        <v>0</v>
      </c>
      <c r="L1660" s="3" t="s">
        <v>3</v>
      </c>
      <c r="M1660" s="9" t="s">
        <v>0</v>
      </c>
      <c r="N1660" s="9" t="s">
        <v>34</v>
      </c>
      <c r="O1660" s="9" t="s">
        <v>423</v>
      </c>
      <c r="S1660" s="9" t="s">
        <v>424</v>
      </c>
      <c r="V1660" s="10">
        <v>12.5</v>
      </c>
      <c r="W1660" s="10" t="s">
        <v>710</v>
      </c>
      <c r="X1660" s="17">
        <v>44572</v>
      </c>
      <c r="Y1660" s="17">
        <v>44936</v>
      </c>
      <c r="Z1660" s="19" t="s">
        <v>772</v>
      </c>
      <c r="AA1660" s="210">
        <v>5000</v>
      </c>
      <c r="AB1660" s="9">
        <v>60</v>
      </c>
      <c r="AC1660" s="9">
        <v>48</v>
      </c>
      <c r="AD1660" s="17">
        <v>46417</v>
      </c>
      <c r="AE1660" s="56">
        <v>83.33</v>
      </c>
      <c r="AF1660" s="56"/>
      <c r="AP1660" s="11"/>
      <c r="AQ1660" s="11"/>
      <c r="AR1660" s="11"/>
      <c r="AW1660" s="9"/>
      <c r="BD1660" s="9"/>
      <c r="CS1660" s="11">
        <f t="shared" si="114"/>
        <v>0</v>
      </c>
      <c r="CT1660" s="22">
        <f t="shared" si="115"/>
        <v>0</v>
      </c>
      <c r="CU1660" s="22">
        <f t="shared" si="116"/>
        <v>0</v>
      </c>
      <c r="CV1660" s="26">
        <f t="shared" si="117"/>
        <v>83.33</v>
      </c>
    </row>
    <row r="1661" spans="1:100" x14ac:dyDescent="0.2">
      <c r="A1661" s="9" t="s">
        <v>422</v>
      </c>
      <c r="B1661" s="2">
        <v>22</v>
      </c>
      <c r="C1661" s="3" t="s">
        <v>95</v>
      </c>
      <c r="D1661" s="3" t="s">
        <v>96</v>
      </c>
      <c r="E1661" s="2"/>
      <c r="F1661" s="2"/>
      <c r="G1661" s="2" t="s">
        <v>68</v>
      </c>
      <c r="H1661" s="2">
        <v>2</v>
      </c>
      <c r="I1661" s="8">
        <v>145.31</v>
      </c>
      <c r="J1661" s="8">
        <v>42900</v>
      </c>
      <c r="K1661" s="3">
        <v>0</v>
      </c>
      <c r="L1661" s="3" t="s">
        <v>3</v>
      </c>
      <c r="M1661" s="9" t="s">
        <v>0</v>
      </c>
      <c r="N1661" s="9" t="s">
        <v>34</v>
      </c>
      <c r="O1661" s="9" t="s">
        <v>423</v>
      </c>
      <c r="S1661" s="9" t="s">
        <v>424</v>
      </c>
      <c r="V1661" s="10">
        <v>12.5</v>
      </c>
      <c r="W1661" s="10" t="s">
        <v>710</v>
      </c>
      <c r="X1661" s="17">
        <v>44572</v>
      </c>
      <c r="Y1661" s="17">
        <v>44936</v>
      </c>
      <c r="Z1661" s="19" t="s">
        <v>772</v>
      </c>
      <c r="AA1661" s="210">
        <v>5000</v>
      </c>
      <c r="AB1661" s="9">
        <v>60</v>
      </c>
      <c r="AC1661" s="9">
        <v>49</v>
      </c>
      <c r="AD1661" s="17">
        <v>46446</v>
      </c>
      <c r="AE1661" s="56">
        <v>83.33</v>
      </c>
      <c r="AF1661" s="56"/>
      <c r="AP1661" s="11"/>
      <c r="AQ1661" s="11"/>
      <c r="AR1661" s="11"/>
      <c r="AW1661" s="9"/>
      <c r="BD1661" s="9"/>
      <c r="CS1661" s="11">
        <f t="shared" ref="CS1661:CS1724" si="118">+AL1661+AT1661</f>
        <v>0</v>
      </c>
      <c r="CT1661" s="22">
        <f t="shared" ref="CT1661:CT1724" si="119">+BA1661+BG1661+BM1661+BS1661+BY1661+CE1661+CK1661+CQ1661</f>
        <v>0</v>
      </c>
      <c r="CU1661" s="22">
        <f t="shared" ref="CU1661:CU1724" si="120">+CS1661-CT1661</f>
        <v>0</v>
      </c>
      <c r="CV1661" s="26">
        <f t="shared" si="117"/>
        <v>83.33</v>
      </c>
    </row>
    <row r="1662" spans="1:100" x14ac:dyDescent="0.2">
      <c r="A1662" s="9" t="s">
        <v>422</v>
      </c>
      <c r="B1662" s="2">
        <v>22</v>
      </c>
      <c r="C1662" s="3" t="s">
        <v>95</v>
      </c>
      <c r="D1662" s="3" t="s">
        <v>96</v>
      </c>
      <c r="E1662" s="2"/>
      <c r="F1662" s="2"/>
      <c r="G1662" s="2" t="s">
        <v>68</v>
      </c>
      <c r="H1662" s="2">
        <v>2</v>
      </c>
      <c r="I1662" s="8">
        <v>145.31</v>
      </c>
      <c r="J1662" s="8">
        <v>42900</v>
      </c>
      <c r="K1662" s="3">
        <v>0</v>
      </c>
      <c r="L1662" s="3" t="s">
        <v>3</v>
      </c>
      <c r="M1662" s="9" t="s">
        <v>0</v>
      </c>
      <c r="N1662" s="9" t="s">
        <v>34</v>
      </c>
      <c r="O1662" s="9" t="s">
        <v>423</v>
      </c>
      <c r="S1662" s="9" t="s">
        <v>424</v>
      </c>
      <c r="V1662" s="10">
        <v>12.5</v>
      </c>
      <c r="W1662" s="10" t="s">
        <v>710</v>
      </c>
      <c r="X1662" s="17">
        <v>44572</v>
      </c>
      <c r="Y1662" s="17">
        <v>44936</v>
      </c>
      <c r="Z1662" s="19" t="s">
        <v>772</v>
      </c>
      <c r="AA1662" s="210">
        <v>5000</v>
      </c>
      <c r="AB1662" s="9">
        <v>60</v>
      </c>
      <c r="AC1662" s="9">
        <v>50</v>
      </c>
      <c r="AD1662" s="17">
        <v>46476</v>
      </c>
      <c r="AE1662" s="56">
        <v>83.33</v>
      </c>
      <c r="AF1662" s="56"/>
      <c r="AP1662" s="11"/>
      <c r="AQ1662" s="11"/>
      <c r="AR1662" s="11"/>
      <c r="AW1662" s="9"/>
      <c r="BD1662" s="9"/>
      <c r="CS1662" s="11">
        <f t="shared" si="118"/>
        <v>0</v>
      </c>
      <c r="CT1662" s="22">
        <f t="shared" si="119"/>
        <v>0</v>
      </c>
      <c r="CU1662" s="22">
        <f t="shared" si="120"/>
        <v>0</v>
      </c>
      <c r="CV1662" s="26">
        <f t="shared" si="117"/>
        <v>83.33</v>
      </c>
    </row>
    <row r="1663" spans="1:100" x14ac:dyDescent="0.2">
      <c r="A1663" s="9" t="s">
        <v>422</v>
      </c>
      <c r="B1663" s="2">
        <v>22</v>
      </c>
      <c r="C1663" s="3" t="s">
        <v>95</v>
      </c>
      <c r="D1663" s="3" t="s">
        <v>96</v>
      </c>
      <c r="E1663" s="2"/>
      <c r="F1663" s="2"/>
      <c r="G1663" s="2" t="s">
        <v>68</v>
      </c>
      <c r="H1663" s="2">
        <v>2</v>
      </c>
      <c r="I1663" s="8">
        <v>145.31</v>
      </c>
      <c r="J1663" s="8">
        <v>42900</v>
      </c>
      <c r="K1663" s="3">
        <v>0</v>
      </c>
      <c r="L1663" s="3" t="s">
        <v>3</v>
      </c>
      <c r="M1663" s="9" t="s">
        <v>0</v>
      </c>
      <c r="N1663" s="9" t="s">
        <v>34</v>
      </c>
      <c r="O1663" s="9" t="s">
        <v>423</v>
      </c>
      <c r="S1663" s="9" t="s">
        <v>424</v>
      </c>
      <c r="V1663" s="10">
        <v>12.5</v>
      </c>
      <c r="W1663" s="10" t="s">
        <v>710</v>
      </c>
      <c r="X1663" s="17">
        <v>44572</v>
      </c>
      <c r="Y1663" s="17">
        <v>44936</v>
      </c>
      <c r="Z1663" s="19" t="s">
        <v>772</v>
      </c>
      <c r="AA1663" s="210">
        <v>5000</v>
      </c>
      <c r="AB1663" s="9">
        <v>60</v>
      </c>
      <c r="AC1663" s="9">
        <v>51</v>
      </c>
      <c r="AD1663" s="17">
        <v>46507</v>
      </c>
      <c r="AE1663" s="56">
        <v>83.33</v>
      </c>
      <c r="AF1663" s="56"/>
      <c r="AP1663" s="11"/>
      <c r="AQ1663" s="11"/>
      <c r="AR1663" s="11"/>
      <c r="AW1663" s="9"/>
      <c r="BD1663" s="9"/>
      <c r="CS1663" s="11">
        <f t="shared" si="118"/>
        <v>0</v>
      </c>
      <c r="CT1663" s="22">
        <f t="shared" si="119"/>
        <v>0</v>
      </c>
      <c r="CU1663" s="22">
        <f t="shared" si="120"/>
        <v>0</v>
      </c>
      <c r="CV1663" s="26">
        <f t="shared" si="117"/>
        <v>83.33</v>
      </c>
    </row>
    <row r="1664" spans="1:100" x14ac:dyDescent="0.2">
      <c r="A1664" s="9" t="s">
        <v>422</v>
      </c>
      <c r="B1664" s="2">
        <v>22</v>
      </c>
      <c r="C1664" s="3" t="s">
        <v>95</v>
      </c>
      <c r="D1664" s="3" t="s">
        <v>96</v>
      </c>
      <c r="E1664" s="2"/>
      <c r="F1664" s="2"/>
      <c r="G1664" s="2" t="s">
        <v>68</v>
      </c>
      <c r="H1664" s="2">
        <v>2</v>
      </c>
      <c r="I1664" s="8">
        <v>145.31</v>
      </c>
      <c r="J1664" s="8">
        <v>42900</v>
      </c>
      <c r="K1664" s="3">
        <v>0</v>
      </c>
      <c r="L1664" s="3" t="s">
        <v>3</v>
      </c>
      <c r="M1664" s="9" t="s">
        <v>0</v>
      </c>
      <c r="N1664" s="9" t="s">
        <v>34</v>
      </c>
      <c r="O1664" s="9" t="s">
        <v>423</v>
      </c>
      <c r="S1664" s="9" t="s">
        <v>424</v>
      </c>
      <c r="V1664" s="10">
        <v>12.5</v>
      </c>
      <c r="W1664" s="10" t="s">
        <v>710</v>
      </c>
      <c r="X1664" s="17">
        <v>44572</v>
      </c>
      <c r="Y1664" s="17">
        <v>44936</v>
      </c>
      <c r="Z1664" s="19" t="s">
        <v>772</v>
      </c>
      <c r="AA1664" s="210">
        <v>5000</v>
      </c>
      <c r="AB1664" s="9">
        <v>60</v>
      </c>
      <c r="AC1664" s="9">
        <v>52</v>
      </c>
      <c r="AD1664" s="17">
        <v>46537</v>
      </c>
      <c r="AE1664" s="56">
        <v>83.33</v>
      </c>
      <c r="AF1664" s="56"/>
      <c r="AP1664" s="11"/>
      <c r="AQ1664" s="11"/>
      <c r="AR1664" s="11"/>
      <c r="AW1664" s="9"/>
      <c r="BD1664" s="9"/>
      <c r="CS1664" s="11">
        <f t="shared" si="118"/>
        <v>0</v>
      </c>
      <c r="CT1664" s="22">
        <f t="shared" si="119"/>
        <v>0</v>
      </c>
      <c r="CU1664" s="22">
        <f t="shared" si="120"/>
        <v>0</v>
      </c>
      <c r="CV1664" s="26">
        <f t="shared" si="117"/>
        <v>83.33</v>
      </c>
    </row>
    <row r="1665" spans="1:100" x14ac:dyDescent="0.2">
      <c r="A1665" s="9" t="s">
        <v>422</v>
      </c>
      <c r="B1665" s="2">
        <v>22</v>
      </c>
      <c r="C1665" s="3" t="s">
        <v>95</v>
      </c>
      <c r="D1665" s="3" t="s">
        <v>96</v>
      </c>
      <c r="E1665" s="2"/>
      <c r="F1665" s="2"/>
      <c r="G1665" s="2" t="s">
        <v>68</v>
      </c>
      <c r="H1665" s="2">
        <v>2</v>
      </c>
      <c r="I1665" s="8">
        <v>145.31</v>
      </c>
      <c r="J1665" s="8">
        <v>42900</v>
      </c>
      <c r="K1665" s="3">
        <v>0</v>
      </c>
      <c r="L1665" s="3" t="s">
        <v>3</v>
      </c>
      <c r="M1665" s="9" t="s">
        <v>0</v>
      </c>
      <c r="N1665" s="9" t="s">
        <v>34</v>
      </c>
      <c r="O1665" s="9" t="s">
        <v>423</v>
      </c>
      <c r="S1665" s="9" t="s">
        <v>424</v>
      </c>
      <c r="V1665" s="10">
        <v>12.5</v>
      </c>
      <c r="W1665" s="10" t="s">
        <v>710</v>
      </c>
      <c r="X1665" s="17">
        <v>44572</v>
      </c>
      <c r="Y1665" s="17">
        <v>44936</v>
      </c>
      <c r="Z1665" s="19" t="s">
        <v>772</v>
      </c>
      <c r="AA1665" s="210">
        <v>5000</v>
      </c>
      <c r="AB1665" s="9">
        <v>60</v>
      </c>
      <c r="AC1665" s="9">
        <v>53</v>
      </c>
      <c r="AD1665" s="17">
        <v>46568</v>
      </c>
      <c r="AE1665" s="56">
        <v>83.33</v>
      </c>
      <c r="AF1665" s="56"/>
      <c r="AP1665" s="11"/>
      <c r="AQ1665" s="11"/>
      <c r="AR1665" s="11"/>
      <c r="AW1665" s="9"/>
      <c r="BD1665" s="9"/>
      <c r="CS1665" s="11">
        <f t="shared" si="118"/>
        <v>0</v>
      </c>
      <c r="CT1665" s="22">
        <f t="shared" si="119"/>
        <v>0</v>
      </c>
      <c r="CU1665" s="22">
        <f t="shared" si="120"/>
        <v>0</v>
      </c>
      <c r="CV1665" s="26">
        <f t="shared" si="117"/>
        <v>83.33</v>
      </c>
    </row>
    <row r="1666" spans="1:100" x14ac:dyDescent="0.2">
      <c r="A1666" s="9" t="s">
        <v>422</v>
      </c>
      <c r="B1666" s="2">
        <v>22</v>
      </c>
      <c r="C1666" s="3" t="s">
        <v>95</v>
      </c>
      <c r="D1666" s="3" t="s">
        <v>96</v>
      </c>
      <c r="E1666" s="2"/>
      <c r="F1666" s="2"/>
      <c r="G1666" s="2" t="s">
        <v>68</v>
      </c>
      <c r="H1666" s="2">
        <v>2</v>
      </c>
      <c r="I1666" s="8">
        <v>145.31</v>
      </c>
      <c r="J1666" s="8">
        <v>42900</v>
      </c>
      <c r="K1666" s="3">
        <v>0</v>
      </c>
      <c r="L1666" s="3" t="s">
        <v>3</v>
      </c>
      <c r="M1666" s="9" t="s">
        <v>0</v>
      </c>
      <c r="N1666" s="9" t="s">
        <v>34</v>
      </c>
      <c r="O1666" s="9" t="s">
        <v>423</v>
      </c>
      <c r="S1666" s="9" t="s">
        <v>424</v>
      </c>
      <c r="V1666" s="10">
        <v>12.5</v>
      </c>
      <c r="W1666" s="10" t="s">
        <v>710</v>
      </c>
      <c r="X1666" s="17">
        <v>44572</v>
      </c>
      <c r="Y1666" s="17">
        <v>44936</v>
      </c>
      <c r="Z1666" s="19" t="s">
        <v>772</v>
      </c>
      <c r="AA1666" s="210">
        <v>5000</v>
      </c>
      <c r="AB1666" s="9">
        <v>60</v>
      </c>
      <c r="AC1666" s="9">
        <v>54</v>
      </c>
      <c r="AD1666" s="17">
        <v>46598</v>
      </c>
      <c r="AE1666" s="56">
        <v>83.33</v>
      </c>
      <c r="AF1666" s="56"/>
      <c r="AP1666" s="11"/>
      <c r="AQ1666" s="11"/>
      <c r="AR1666" s="11"/>
      <c r="AW1666" s="9"/>
      <c r="BD1666" s="9"/>
      <c r="CS1666" s="11">
        <f t="shared" si="118"/>
        <v>0</v>
      </c>
      <c r="CT1666" s="22">
        <f t="shared" si="119"/>
        <v>0</v>
      </c>
      <c r="CU1666" s="22">
        <f t="shared" si="120"/>
        <v>0</v>
      </c>
      <c r="CV1666" s="26">
        <f t="shared" si="117"/>
        <v>83.33</v>
      </c>
    </row>
    <row r="1667" spans="1:100" x14ac:dyDescent="0.2">
      <c r="A1667" s="9" t="s">
        <v>422</v>
      </c>
      <c r="B1667" s="2">
        <v>22</v>
      </c>
      <c r="C1667" s="3" t="s">
        <v>95</v>
      </c>
      <c r="D1667" s="3" t="s">
        <v>96</v>
      </c>
      <c r="E1667" s="2"/>
      <c r="F1667" s="2"/>
      <c r="G1667" s="2" t="s">
        <v>68</v>
      </c>
      <c r="H1667" s="2">
        <v>2</v>
      </c>
      <c r="I1667" s="8">
        <v>145.31</v>
      </c>
      <c r="J1667" s="8">
        <v>42900</v>
      </c>
      <c r="K1667" s="3">
        <v>0</v>
      </c>
      <c r="L1667" s="3" t="s">
        <v>3</v>
      </c>
      <c r="M1667" s="9" t="s">
        <v>0</v>
      </c>
      <c r="N1667" s="9" t="s">
        <v>34</v>
      </c>
      <c r="O1667" s="9" t="s">
        <v>423</v>
      </c>
      <c r="S1667" s="9" t="s">
        <v>424</v>
      </c>
      <c r="V1667" s="10">
        <v>12.5</v>
      </c>
      <c r="W1667" s="10" t="s">
        <v>710</v>
      </c>
      <c r="X1667" s="17">
        <v>44572</v>
      </c>
      <c r="Y1667" s="17">
        <v>44936</v>
      </c>
      <c r="Z1667" s="19" t="s">
        <v>772</v>
      </c>
      <c r="AA1667" s="210">
        <v>5000</v>
      </c>
      <c r="AB1667" s="9">
        <v>60</v>
      </c>
      <c r="AC1667" s="9">
        <v>55</v>
      </c>
      <c r="AD1667" s="17">
        <v>46629</v>
      </c>
      <c r="AE1667" s="56">
        <v>83.33</v>
      </c>
      <c r="AF1667" s="56"/>
      <c r="AP1667" s="11"/>
      <c r="AQ1667" s="11"/>
      <c r="AR1667" s="11"/>
      <c r="AW1667" s="9"/>
      <c r="BD1667" s="9"/>
      <c r="CS1667" s="11">
        <f t="shared" si="118"/>
        <v>0</v>
      </c>
      <c r="CT1667" s="22">
        <f t="shared" si="119"/>
        <v>0</v>
      </c>
      <c r="CU1667" s="22">
        <f t="shared" si="120"/>
        <v>0</v>
      </c>
      <c r="CV1667" s="26">
        <f t="shared" si="117"/>
        <v>83.33</v>
      </c>
    </row>
    <row r="1668" spans="1:100" x14ac:dyDescent="0.2">
      <c r="A1668" s="9" t="s">
        <v>422</v>
      </c>
      <c r="B1668" s="2">
        <v>22</v>
      </c>
      <c r="C1668" s="3" t="s">
        <v>95</v>
      </c>
      <c r="D1668" s="3" t="s">
        <v>96</v>
      </c>
      <c r="E1668" s="2"/>
      <c r="F1668" s="2"/>
      <c r="G1668" s="2" t="s">
        <v>68</v>
      </c>
      <c r="H1668" s="2">
        <v>2</v>
      </c>
      <c r="I1668" s="8">
        <v>145.31</v>
      </c>
      <c r="J1668" s="8">
        <v>42900</v>
      </c>
      <c r="K1668" s="3">
        <v>0</v>
      </c>
      <c r="L1668" s="3" t="s">
        <v>3</v>
      </c>
      <c r="M1668" s="9" t="s">
        <v>0</v>
      </c>
      <c r="N1668" s="9" t="s">
        <v>34</v>
      </c>
      <c r="O1668" s="9" t="s">
        <v>423</v>
      </c>
      <c r="S1668" s="9" t="s">
        <v>424</v>
      </c>
      <c r="V1668" s="10">
        <v>12.5</v>
      </c>
      <c r="W1668" s="10" t="s">
        <v>710</v>
      </c>
      <c r="X1668" s="17">
        <v>44572</v>
      </c>
      <c r="Y1668" s="17">
        <v>44936</v>
      </c>
      <c r="Z1668" s="19" t="s">
        <v>772</v>
      </c>
      <c r="AA1668" s="210">
        <v>5000</v>
      </c>
      <c r="AB1668" s="9">
        <v>60</v>
      </c>
      <c r="AC1668" s="9">
        <v>56</v>
      </c>
      <c r="AD1668" s="17">
        <v>46660</v>
      </c>
      <c r="AE1668" s="56">
        <v>83.33</v>
      </c>
      <c r="AF1668" s="56"/>
      <c r="AP1668" s="11"/>
      <c r="AQ1668" s="11"/>
      <c r="AR1668" s="11"/>
      <c r="AW1668" s="9"/>
      <c r="BD1668" s="9"/>
      <c r="CS1668" s="11">
        <f t="shared" si="118"/>
        <v>0</v>
      </c>
      <c r="CT1668" s="22">
        <f t="shared" si="119"/>
        <v>0</v>
      </c>
      <c r="CU1668" s="22">
        <f t="shared" si="120"/>
        <v>0</v>
      </c>
      <c r="CV1668" s="26">
        <f t="shared" si="117"/>
        <v>83.33</v>
      </c>
    </row>
    <row r="1669" spans="1:100" x14ac:dyDescent="0.2">
      <c r="A1669" s="9" t="s">
        <v>422</v>
      </c>
      <c r="B1669" s="2">
        <v>22</v>
      </c>
      <c r="C1669" s="3" t="s">
        <v>95</v>
      </c>
      <c r="D1669" s="3" t="s">
        <v>96</v>
      </c>
      <c r="E1669" s="2"/>
      <c r="F1669" s="2"/>
      <c r="G1669" s="2" t="s">
        <v>68</v>
      </c>
      <c r="H1669" s="2">
        <v>2</v>
      </c>
      <c r="I1669" s="8">
        <v>145.31</v>
      </c>
      <c r="J1669" s="8">
        <v>42900</v>
      </c>
      <c r="K1669" s="3">
        <v>0</v>
      </c>
      <c r="L1669" s="3" t="s">
        <v>3</v>
      </c>
      <c r="M1669" s="9" t="s">
        <v>0</v>
      </c>
      <c r="N1669" s="9" t="s">
        <v>34</v>
      </c>
      <c r="O1669" s="9" t="s">
        <v>423</v>
      </c>
      <c r="S1669" s="9" t="s">
        <v>424</v>
      </c>
      <c r="V1669" s="10">
        <v>12.5</v>
      </c>
      <c r="W1669" s="10" t="s">
        <v>710</v>
      </c>
      <c r="X1669" s="17">
        <v>44572</v>
      </c>
      <c r="Y1669" s="17">
        <v>44936</v>
      </c>
      <c r="Z1669" s="19" t="s">
        <v>772</v>
      </c>
      <c r="AA1669" s="210">
        <v>5000</v>
      </c>
      <c r="AB1669" s="9">
        <v>60</v>
      </c>
      <c r="AC1669" s="9">
        <v>57</v>
      </c>
      <c r="AD1669" s="17">
        <v>46690</v>
      </c>
      <c r="AE1669" s="56">
        <v>83.33</v>
      </c>
      <c r="AF1669" s="56"/>
      <c r="AP1669" s="11"/>
      <c r="AQ1669" s="11"/>
      <c r="AR1669" s="11"/>
      <c r="AW1669" s="9"/>
      <c r="BD1669" s="9"/>
      <c r="CS1669" s="11">
        <f t="shared" si="118"/>
        <v>0</v>
      </c>
      <c r="CT1669" s="22">
        <f t="shared" si="119"/>
        <v>0</v>
      </c>
      <c r="CU1669" s="22">
        <f t="shared" si="120"/>
        <v>0</v>
      </c>
      <c r="CV1669" s="26">
        <f t="shared" si="117"/>
        <v>83.33</v>
      </c>
    </row>
    <row r="1670" spans="1:100" x14ac:dyDescent="0.2">
      <c r="A1670" s="9" t="s">
        <v>422</v>
      </c>
      <c r="B1670" s="2">
        <v>22</v>
      </c>
      <c r="C1670" s="3" t="s">
        <v>95</v>
      </c>
      <c r="D1670" s="3" t="s">
        <v>96</v>
      </c>
      <c r="E1670" s="2"/>
      <c r="F1670" s="2"/>
      <c r="G1670" s="2" t="s">
        <v>68</v>
      </c>
      <c r="H1670" s="2">
        <v>2</v>
      </c>
      <c r="I1670" s="8">
        <v>145.31</v>
      </c>
      <c r="J1670" s="8">
        <v>42900</v>
      </c>
      <c r="K1670" s="3">
        <v>0</v>
      </c>
      <c r="L1670" s="3" t="s">
        <v>3</v>
      </c>
      <c r="M1670" s="9" t="s">
        <v>0</v>
      </c>
      <c r="N1670" s="9" t="s">
        <v>34</v>
      </c>
      <c r="O1670" s="9" t="s">
        <v>423</v>
      </c>
      <c r="S1670" s="9" t="s">
        <v>424</v>
      </c>
      <c r="V1670" s="10">
        <v>12.5</v>
      </c>
      <c r="W1670" s="10" t="s">
        <v>710</v>
      </c>
      <c r="X1670" s="17">
        <v>44572</v>
      </c>
      <c r="Y1670" s="17">
        <v>44936</v>
      </c>
      <c r="Z1670" s="19" t="s">
        <v>772</v>
      </c>
      <c r="AA1670" s="210">
        <v>5000</v>
      </c>
      <c r="AB1670" s="9">
        <v>60</v>
      </c>
      <c r="AC1670" s="9">
        <v>58</v>
      </c>
      <c r="AD1670" s="17">
        <v>46721</v>
      </c>
      <c r="AE1670" s="56">
        <v>83.33</v>
      </c>
      <c r="AF1670" s="56"/>
      <c r="AP1670" s="11"/>
      <c r="AQ1670" s="11"/>
      <c r="AR1670" s="11"/>
      <c r="AW1670" s="9"/>
      <c r="BD1670" s="9"/>
      <c r="CS1670" s="11">
        <f t="shared" si="118"/>
        <v>0</v>
      </c>
      <c r="CT1670" s="22">
        <f t="shared" si="119"/>
        <v>0</v>
      </c>
      <c r="CU1670" s="22">
        <f t="shared" si="120"/>
        <v>0</v>
      </c>
      <c r="CV1670" s="26">
        <f t="shared" si="117"/>
        <v>83.33</v>
      </c>
    </row>
    <row r="1671" spans="1:100" x14ac:dyDescent="0.2">
      <c r="A1671" s="9" t="s">
        <v>422</v>
      </c>
      <c r="B1671" s="2">
        <v>22</v>
      </c>
      <c r="C1671" s="3" t="s">
        <v>95</v>
      </c>
      <c r="D1671" s="3" t="s">
        <v>96</v>
      </c>
      <c r="E1671" s="2"/>
      <c r="F1671" s="2"/>
      <c r="G1671" s="2" t="s">
        <v>68</v>
      </c>
      <c r="H1671" s="2">
        <v>2</v>
      </c>
      <c r="I1671" s="8">
        <v>145.31</v>
      </c>
      <c r="J1671" s="8">
        <v>42900</v>
      </c>
      <c r="K1671" s="3">
        <v>0</v>
      </c>
      <c r="L1671" s="3" t="s">
        <v>3</v>
      </c>
      <c r="M1671" s="9" t="s">
        <v>0</v>
      </c>
      <c r="N1671" s="9" t="s">
        <v>34</v>
      </c>
      <c r="O1671" s="9" t="s">
        <v>423</v>
      </c>
      <c r="S1671" s="9" t="s">
        <v>424</v>
      </c>
      <c r="V1671" s="10">
        <v>12.5</v>
      </c>
      <c r="W1671" s="10" t="s">
        <v>710</v>
      </c>
      <c r="X1671" s="17">
        <v>44572</v>
      </c>
      <c r="Y1671" s="17">
        <v>44936</v>
      </c>
      <c r="Z1671" s="19" t="s">
        <v>772</v>
      </c>
      <c r="AA1671" s="210">
        <v>5000</v>
      </c>
      <c r="AB1671" s="9">
        <v>60</v>
      </c>
      <c r="AC1671" s="9">
        <v>59</v>
      </c>
      <c r="AD1671" s="17">
        <v>46751</v>
      </c>
      <c r="AE1671" s="56">
        <v>83.33</v>
      </c>
      <c r="AF1671" s="56"/>
      <c r="AP1671" s="11"/>
      <c r="AQ1671" s="11"/>
      <c r="AR1671" s="11"/>
      <c r="AW1671" s="9"/>
      <c r="BD1671" s="9"/>
      <c r="CS1671" s="11">
        <f t="shared" si="118"/>
        <v>0</v>
      </c>
      <c r="CT1671" s="22">
        <f t="shared" si="119"/>
        <v>0</v>
      </c>
      <c r="CU1671" s="22">
        <f t="shared" si="120"/>
        <v>0</v>
      </c>
      <c r="CV1671" s="26">
        <f t="shared" si="117"/>
        <v>83.33</v>
      </c>
    </row>
    <row r="1672" spans="1:100" x14ac:dyDescent="0.2">
      <c r="A1672" s="9" t="s">
        <v>422</v>
      </c>
      <c r="B1672" s="2">
        <v>22</v>
      </c>
      <c r="C1672" s="3" t="s">
        <v>95</v>
      </c>
      <c r="D1672" s="3" t="s">
        <v>96</v>
      </c>
      <c r="E1672" s="2"/>
      <c r="F1672" s="2"/>
      <c r="G1672" s="2" t="s">
        <v>68</v>
      </c>
      <c r="H1672" s="2">
        <v>2</v>
      </c>
      <c r="I1672" s="8">
        <v>145.31</v>
      </c>
      <c r="J1672" s="8">
        <v>42900</v>
      </c>
      <c r="K1672" s="3">
        <v>0</v>
      </c>
      <c r="L1672" s="3" t="s">
        <v>3</v>
      </c>
      <c r="M1672" s="9" t="s">
        <v>0</v>
      </c>
      <c r="N1672" s="9" t="s">
        <v>34</v>
      </c>
      <c r="O1672" s="9" t="s">
        <v>423</v>
      </c>
      <c r="S1672" s="9" t="s">
        <v>424</v>
      </c>
      <c r="V1672" s="10">
        <v>12.5</v>
      </c>
      <c r="W1672" s="10" t="s">
        <v>710</v>
      </c>
      <c r="X1672" s="17">
        <v>44572</v>
      </c>
      <c r="Y1672" s="17">
        <v>44936</v>
      </c>
      <c r="Z1672" s="19" t="s">
        <v>772</v>
      </c>
      <c r="AA1672" s="210">
        <v>5000</v>
      </c>
      <c r="AB1672" s="9">
        <v>60</v>
      </c>
      <c r="AC1672" s="9">
        <v>60</v>
      </c>
      <c r="AD1672" s="17">
        <v>46782</v>
      </c>
      <c r="AE1672" s="56">
        <v>83.33</v>
      </c>
      <c r="AF1672" s="56"/>
      <c r="AP1672" s="11"/>
      <c r="AQ1672" s="11"/>
      <c r="AR1672" s="11"/>
      <c r="AW1672" s="9"/>
      <c r="BD1672" s="9"/>
      <c r="CS1672" s="11">
        <f t="shared" si="118"/>
        <v>0</v>
      </c>
      <c r="CT1672" s="22">
        <f t="shared" si="119"/>
        <v>0</v>
      </c>
      <c r="CU1672" s="22">
        <f t="shared" si="120"/>
        <v>0</v>
      </c>
      <c r="CV1672" s="26">
        <f t="shared" si="117"/>
        <v>83.33</v>
      </c>
    </row>
    <row r="1673" spans="1:100" ht="12.75" x14ac:dyDescent="0.2">
      <c r="A1673" s="9" t="s">
        <v>438</v>
      </c>
      <c r="B1673" s="2">
        <v>49</v>
      </c>
      <c r="C1673" s="3" t="s">
        <v>95</v>
      </c>
      <c r="D1673" s="3" t="s">
        <v>96</v>
      </c>
      <c r="E1673" s="2"/>
      <c r="F1673" s="2"/>
      <c r="G1673" s="2" t="s">
        <v>71</v>
      </c>
      <c r="H1673" s="2">
        <v>10</v>
      </c>
      <c r="I1673" s="8">
        <v>125.87</v>
      </c>
      <c r="J1673" s="8">
        <v>38900</v>
      </c>
      <c r="K1673" s="3">
        <v>0</v>
      </c>
      <c r="L1673" s="3" t="s">
        <v>3</v>
      </c>
      <c r="M1673" s="9" t="s">
        <v>0</v>
      </c>
      <c r="N1673" s="9" t="s">
        <v>35</v>
      </c>
      <c r="O1673" s="9" t="s">
        <v>439</v>
      </c>
      <c r="S1673" s="9" t="s">
        <v>158</v>
      </c>
      <c r="T1673" s="10" t="s">
        <v>71</v>
      </c>
      <c r="U1673" s="10">
        <v>10</v>
      </c>
      <c r="V1673" s="10">
        <v>125.87</v>
      </c>
      <c r="W1673" s="10"/>
      <c r="X1673" s="17">
        <v>45037</v>
      </c>
      <c r="Y1673" s="17">
        <v>45037</v>
      </c>
      <c r="Z1673" s="19" t="s">
        <v>772</v>
      </c>
      <c r="AA1673" s="210">
        <f t="shared" ref="AA1673:AA1705" si="121">55000-4000</f>
        <v>51000</v>
      </c>
      <c r="AB1673" s="9">
        <v>61</v>
      </c>
      <c r="AC1673" s="9">
        <v>0</v>
      </c>
      <c r="AD1673" s="17">
        <v>45037</v>
      </c>
      <c r="AE1673" s="56">
        <v>7000</v>
      </c>
      <c r="AF1673" s="56"/>
      <c r="AG1673" s="9" t="s">
        <v>134</v>
      </c>
      <c r="AH1673" s="17">
        <v>45037</v>
      </c>
      <c r="AI1673" s="17"/>
      <c r="AJ1673" s="17"/>
      <c r="AK1673" s="9" t="s">
        <v>1766</v>
      </c>
      <c r="AL1673" s="11">
        <v>7000</v>
      </c>
      <c r="AN1673" s="11" t="s">
        <v>1775</v>
      </c>
      <c r="AP1673" s="11"/>
      <c r="AQ1673" s="11"/>
      <c r="AR1673" s="11"/>
      <c r="AW1673" s="94">
        <v>45040</v>
      </c>
      <c r="AX1673" s="96">
        <v>1427</v>
      </c>
      <c r="BA1673" s="143">
        <v>7000</v>
      </c>
      <c r="BD1673" s="9"/>
      <c r="CS1673" s="11">
        <f t="shared" si="118"/>
        <v>7000</v>
      </c>
      <c r="CT1673" s="22">
        <f t="shared" si="119"/>
        <v>7000</v>
      </c>
      <c r="CU1673" s="22">
        <f t="shared" si="120"/>
        <v>0</v>
      </c>
      <c r="CV1673" s="26">
        <f t="shared" si="117"/>
        <v>0</v>
      </c>
    </row>
    <row r="1674" spans="1:100" ht="12.75" x14ac:dyDescent="0.2">
      <c r="A1674" s="9" t="s">
        <v>438</v>
      </c>
      <c r="B1674" s="2">
        <v>49</v>
      </c>
      <c r="C1674" s="3" t="s">
        <v>95</v>
      </c>
      <c r="D1674" s="3" t="s">
        <v>96</v>
      </c>
      <c r="E1674" s="2"/>
      <c r="F1674" s="2"/>
      <c r="G1674" s="2" t="s">
        <v>71</v>
      </c>
      <c r="H1674" s="2">
        <v>10</v>
      </c>
      <c r="I1674" s="8">
        <v>125.87</v>
      </c>
      <c r="J1674" s="8">
        <v>38900</v>
      </c>
      <c r="K1674" s="3">
        <v>0</v>
      </c>
      <c r="L1674" s="3" t="s">
        <v>3</v>
      </c>
      <c r="M1674" s="9" t="s">
        <v>0</v>
      </c>
      <c r="N1674" s="9" t="s">
        <v>35</v>
      </c>
      <c r="O1674" s="9" t="s">
        <v>439</v>
      </c>
      <c r="S1674" s="9" t="s">
        <v>158</v>
      </c>
      <c r="T1674" s="10" t="s">
        <v>71</v>
      </c>
      <c r="U1674" s="10">
        <v>10</v>
      </c>
      <c r="V1674" s="10">
        <v>125.87</v>
      </c>
      <c r="W1674" s="10"/>
      <c r="X1674" s="17">
        <v>45037</v>
      </c>
      <c r="Y1674" s="17">
        <v>45037</v>
      </c>
      <c r="Z1674" s="19" t="s">
        <v>772</v>
      </c>
      <c r="AA1674" s="210">
        <f t="shared" si="121"/>
        <v>51000</v>
      </c>
      <c r="AB1674" s="9">
        <v>61</v>
      </c>
      <c r="AC1674" s="9">
        <v>1</v>
      </c>
      <c r="AD1674" s="17">
        <v>45038</v>
      </c>
      <c r="AE1674" s="56">
        <v>3000</v>
      </c>
      <c r="AF1674" s="56"/>
      <c r="AG1674" s="9" t="s">
        <v>134</v>
      </c>
      <c r="AH1674" s="17">
        <v>45038</v>
      </c>
      <c r="AI1674" s="17"/>
      <c r="AJ1674" s="17"/>
      <c r="AK1674" s="9" t="s">
        <v>1767</v>
      </c>
      <c r="AL1674" s="11">
        <v>3000</v>
      </c>
      <c r="AN1674" s="11" t="s">
        <v>1776</v>
      </c>
      <c r="AP1674" s="11"/>
      <c r="AQ1674" s="11"/>
      <c r="AR1674" s="11"/>
      <c r="AW1674" s="94">
        <v>45040</v>
      </c>
      <c r="AX1674" s="96">
        <v>1434</v>
      </c>
      <c r="BA1674" s="143">
        <v>3000</v>
      </c>
      <c r="BD1674" s="9"/>
      <c r="CS1674" s="11">
        <f t="shared" si="118"/>
        <v>3000</v>
      </c>
      <c r="CT1674" s="22">
        <f t="shared" si="119"/>
        <v>3000</v>
      </c>
      <c r="CU1674" s="22">
        <f t="shared" si="120"/>
        <v>0</v>
      </c>
      <c r="CV1674" s="26">
        <f t="shared" si="117"/>
        <v>0</v>
      </c>
    </row>
    <row r="1675" spans="1:100" ht="12.75" x14ac:dyDescent="0.2">
      <c r="A1675" s="9" t="s">
        <v>438</v>
      </c>
      <c r="B1675" s="2">
        <v>49</v>
      </c>
      <c r="C1675" s="3" t="s">
        <v>95</v>
      </c>
      <c r="D1675" s="3" t="s">
        <v>96</v>
      </c>
      <c r="E1675" s="2"/>
      <c r="F1675" s="2"/>
      <c r="G1675" s="2" t="s">
        <v>71</v>
      </c>
      <c r="H1675" s="2">
        <v>10</v>
      </c>
      <c r="I1675" s="8">
        <v>125.87</v>
      </c>
      <c r="J1675" s="8">
        <v>38900</v>
      </c>
      <c r="K1675" s="3">
        <v>0</v>
      </c>
      <c r="L1675" s="3" t="s">
        <v>3</v>
      </c>
      <c r="M1675" s="9" t="s">
        <v>0</v>
      </c>
      <c r="N1675" s="9" t="s">
        <v>35</v>
      </c>
      <c r="O1675" s="9" t="s">
        <v>439</v>
      </c>
      <c r="S1675" s="9" t="s">
        <v>158</v>
      </c>
      <c r="T1675" s="10" t="s">
        <v>71</v>
      </c>
      <c r="U1675" s="10">
        <v>10</v>
      </c>
      <c r="V1675" s="10">
        <v>125.87</v>
      </c>
      <c r="W1675" s="10"/>
      <c r="X1675" s="17">
        <v>45037</v>
      </c>
      <c r="Y1675" s="17">
        <v>45037</v>
      </c>
      <c r="Z1675" s="19" t="s">
        <v>772</v>
      </c>
      <c r="AA1675" s="210">
        <f t="shared" si="121"/>
        <v>51000</v>
      </c>
      <c r="AB1675" s="9">
        <v>61</v>
      </c>
      <c r="AC1675" s="9">
        <v>2</v>
      </c>
      <c r="AD1675" s="17">
        <v>45112</v>
      </c>
      <c r="AE1675" s="56">
        <v>250</v>
      </c>
      <c r="AF1675" s="56"/>
      <c r="AG1675" s="9" t="s">
        <v>134</v>
      </c>
      <c r="AH1675" s="17">
        <v>45119</v>
      </c>
      <c r="AI1675" s="17"/>
      <c r="AJ1675" s="17"/>
      <c r="AK1675" s="9" t="s">
        <v>1769</v>
      </c>
      <c r="AL1675" s="11">
        <v>250</v>
      </c>
      <c r="AN1675" s="11" t="s">
        <v>1778</v>
      </c>
      <c r="AP1675" s="11"/>
      <c r="AQ1675" s="11"/>
      <c r="AR1675" s="11"/>
      <c r="AW1675" s="94">
        <v>45112</v>
      </c>
      <c r="AX1675" s="96">
        <v>1671</v>
      </c>
      <c r="BA1675" s="96">
        <v>250</v>
      </c>
      <c r="BD1675" s="9"/>
      <c r="CS1675" s="11">
        <f t="shared" si="118"/>
        <v>250</v>
      </c>
      <c r="CT1675" s="22">
        <f t="shared" si="119"/>
        <v>250</v>
      </c>
      <c r="CU1675" s="22">
        <f t="shared" si="120"/>
        <v>0</v>
      </c>
      <c r="CV1675" s="26">
        <f t="shared" si="117"/>
        <v>0</v>
      </c>
    </row>
    <row r="1676" spans="1:100" ht="12.75" x14ac:dyDescent="0.2">
      <c r="A1676" s="9" t="s">
        <v>438</v>
      </c>
      <c r="B1676" s="2">
        <v>49</v>
      </c>
      <c r="C1676" s="3" t="s">
        <v>95</v>
      </c>
      <c r="D1676" s="3" t="s">
        <v>96</v>
      </c>
      <c r="E1676" s="2"/>
      <c r="F1676" s="2"/>
      <c r="G1676" s="2" t="s">
        <v>71</v>
      </c>
      <c r="H1676" s="2">
        <v>10</v>
      </c>
      <c r="I1676" s="8">
        <v>125.87</v>
      </c>
      <c r="J1676" s="8">
        <v>38900</v>
      </c>
      <c r="K1676" s="3">
        <v>0</v>
      </c>
      <c r="L1676" s="3" t="s">
        <v>3</v>
      </c>
      <c r="M1676" s="9" t="s">
        <v>0</v>
      </c>
      <c r="N1676" s="9" t="s">
        <v>35</v>
      </c>
      <c r="O1676" s="9" t="s">
        <v>439</v>
      </c>
      <c r="S1676" s="9" t="s">
        <v>158</v>
      </c>
      <c r="T1676" s="10" t="s">
        <v>71</v>
      </c>
      <c r="U1676" s="10">
        <v>10</v>
      </c>
      <c r="V1676" s="10">
        <v>125.87</v>
      </c>
      <c r="W1676" s="10"/>
      <c r="X1676" s="17">
        <v>45037</v>
      </c>
      <c r="Y1676" s="17">
        <v>45037</v>
      </c>
      <c r="Z1676" s="19" t="s">
        <v>772</v>
      </c>
      <c r="AA1676" s="210">
        <f t="shared" si="121"/>
        <v>51000</v>
      </c>
      <c r="AB1676" s="9">
        <v>61</v>
      </c>
      <c r="AC1676" s="9">
        <v>3</v>
      </c>
      <c r="AD1676" s="17">
        <v>45143</v>
      </c>
      <c r="AE1676" s="56">
        <v>250</v>
      </c>
      <c r="AF1676" s="56"/>
      <c r="AG1676" s="9" t="s">
        <v>134</v>
      </c>
      <c r="AH1676" s="17">
        <v>45145</v>
      </c>
      <c r="AI1676" s="17"/>
      <c r="AJ1676" s="17"/>
      <c r="AK1676" s="9" t="s">
        <v>1770</v>
      </c>
      <c r="AL1676" s="11">
        <v>250</v>
      </c>
      <c r="AN1676" s="11" t="s">
        <v>1779</v>
      </c>
      <c r="AP1676" s="11"/>
      <c r="AQ1676" s="11"/>
      <c r="AR1676" s="11"/>
      <c r="AW1676" s="94">
        <v>45140</v>
      </c>
      <c r="AX1676" s="96">
        <v>1774</v>
      </c>
      <c r="BA1676" s="96">
        <v>250</v>
      </c>
      <c r="BD1676" s="9"/>
      <c r="CS1676" s="11">
        <f t="shared" si="118"/>
        <v>250</v>
      </c>
      <c r="CT1676" s="22">
        <f t="shared" si="119"/>
        <v>250</v>
      </c>
      <c r="CU1676" s="22">
        <f t="shared" si="120"/>
        <v>0</v>
      </c>
      <c r="CV1676" s="26">
        <f t="shared" si="117"/>
        <v>0</v>
      </c>
    </row>
    <row r="1677" spans="1:100" ht="12.75" x14ac:dyDescent="0.2">
      <c r="A1677" s="9" t="s">
        <v>438</v>
      </c>
      <c r="B1677" s="2">
        <v>49</v>
      </c>
      <c r="C1677" s="3" t="s">
        <v>95</v>
      </c>
      <c r="D1677" s="3" t="s">
        <v>96</v>
      </c>
      <c r="E1677" s="2"/>
      <c r="F1677" s="2"/>
      <c r="G1677" s="2" t="s">
        <v>71</v>
      </c>
      <c r="H1677" s="2">
        <v>10</v>
      </c>
      <c r="I1677" s="8">
        <v>125.87</v>
      </c>
      <c r="J1677" s="8">
        <v>38900</v>
      </c>
      <c r="K1677" s="3">
        <v>0</v>
      </c>
      <c r="L1677" s="3" t="s">
        <v>3</v>
      </c>
      <c r="M1677" s="9" t="s">
        <v>0</v>
      </c>
      <c r="N1677" s="9" t="s">
        <v>35</v>
      </c>
      <c r="O1677" s="9" t="s">
        <v>439</v>
      </c>
      <c r="S1677" s="9" t="s">
        <v>158</v>
      </c>
      <c r="T1677" s="10" t="s">
        <v>71</v>
      </c>
      <c r="U1677" s="10">
        <v>10</v>
      </c>
      <c r="V1677" s="10">
        <v>125.87</v>
      </c>
      <c r="W1677" s="10"/>
      <c r="X1677" s="17">
        <v>45037</v>
      </c>
      <c r="Y1677" s="17">
        <v>45037</v>
      </c>
      <c r="Z1677" s="19" t="s">
        <v>772</v>
      </c>
      <c r="AA1677" s="210">
        <f t="shared" si="121"/>
        <v>51000</v>
      </c>
      <c r="AB1677" s="9">
        <v>61</v>
      </c>
      <c r="AC1677" s="9">
        <v>4</v>
      </c>
      <c r="AD1677" s="17">
        <v>45174</v>
      </c>
      <c r="AE1677" s="56">
        <v>250</v>
      </c>
      <c r="AF1677" s="56"/>
      <c r="AG1677" s="9" t="s">
        <v>134</v>
      </c>
      <c r="AH1677" s="17">
        <v>45183</v>
      </c>
      <c r="AI1677" s="17"/>
      <c r="AJ1677" s="17"/>
      <c r="AK1677" s="9" t="s">
        <v>1771</v>
      </c>
      <c r="AL1677" s="11">
        <v>250</v>
      </c>
      <c r="AN1677" s="11" t="s">
        <v>1780</v>
      </c>
      <c r="AP1677" s="11"/>
      <c r="AQ1677" s="11"/>
      <c r="AR1677" s="11"/>
      <c r="AW1677" s="94">
        <v>45167</v>
      </c>
      <c r="AX1677" s="96">
        <v>1856</v>
      </c>
      <c r="BA1677" s="96">
        <v>250</v>
      </c>
      <c r="BD1677" s="9"/>
      <c r="CS1677" s="11">
        <f t="shared" si="118"/>
        <v>250</v>
      </c>
      <c r="CT1677" s="22">
        <f t="shared" si="119"/>
        <v>250</v>
      </c>
      <c r="CU1677" s="22">
        <f t="shared" si="120"/>
        <v>0</v>
      </c>
      <c r="CV1677" s="26">
        <f t="shared" si="117"/>
        <v>0</v>
      </c>
    </row>
    <row r="1678" spans="1:100" ht="12.75" x14ac:dyDescent="0.2">
      <c r="A1678" s="9" t="s">
        <v>438</v>
      </c>
      <c r="B1678" s="2">
        <v>49</v>
      </c>
      <c r="C1678" s="3" t="s">
        <v>95</v>
      </c>
      <c r="D1678" s="3" t="s">
        <v>96</v>
      </c>
      <c r="E1678" s="2"/>
      <c r="F1678" s="2"/>
      <c r="G1678" s="2" t="s">
        <v>71</v>
      </c>
      <c r="H1678" s="2">
        <v>10</v>
      </c>
      <c r="I1678" s="8">
        <v>125.87</v>
      </c>
      <c r="J1678" s="8">
        <v>38900</v>
      </c>
      <c r="K1678" s="3">
        <v>0</v>
      </c>
      <c r="L1678" s="3" t="s">
        <v>3</v>
      </c>
      <c r="M1678" s="9" t="s">
        <v>0</v>
      </c>
      <c r="N1678" s="9" t="s">
        <v>35</v>
      </c>
      <c r="O1678" s="9" t="s">
        <v>439</v>
      </c>
      <c r="S1678" s="9" t="s">
        <v>158</v>
      </c>
      <c r="T1678" s="10" t="s">
        <v>71</v>
      </c>
      <c r="U1678" s="10">
        <v>10</v>
      </c>
      <c r="V1678" s="10">
        <v>125.87</v>
      </c>
      <c r="W1678" s="10"/>
      <c r="X1678" s="17">
        <v>45037</v>
      </c>
      <c r="Y1678" s="17">
        <v>45037</v>
      </c>
      <c r="Z1678" s="19" t="s">
        <v>772</v>
      </c>
      <c r="AA1678" s="210">
        <f t="shared" si="121"/>
        <v>51000</v>
      </c>
      <c r="AB1678" s="9">
        <v>61</v>
      </c>
      <c r="AC1678" s="9">
        <v>5</v>
      </c>
      <c r="AD1678" s="17">
        <v>45204</v>
      </c>
      <c r="AE1678" s="56">
        <v>250</v>
      </c>
      <c r="AF1678" s="56"/>
      <c r="AG1678" s="9" t="s">
        <v>134</v>
      </c>
      <c r="AH1678" s="17">
        <v>45215</v>
      </c>
      <c r="AI1678" s="17"/>
      <c r="AJ1678" s="17"/>
      <c r="AK1678" s="9" t="s">
        <v>1772</v>
      </c>
      <c r="AL1678" s="11">
        <v>250</v>
      </c>
      <c r="AN1678" s="11" t="s">
        <v>1781</v>
      </c>
      <c r="AP1678" s="11"/>
      <c r="AQ1678" s="11"/>
      <c r="AR1678" s="11"/>
      <c r="AW1678" s="94">
        <v>45203</v>
      </c>
      <c r="AX1678" s="96">
        <v>1947</v>
      </c>
      <c r="BA1678" s="96">
        <v>250</v>
      </c>
      <c r="BD1678" s="9"/>
      <c r="CS1678" s="11">
        <f t="shared" si="118"/>
        <v>250</v>
      </c>
      <c r="CT1678" s="22">
        <f t="shared" si="119"/>
        <v>250</v>
      </c>
      <c r="CU1678" s="22">
        <f t="shared" si="120"/>
        <v>0</v>
      </c>
      <c r="CV1678" s="26">
        <f t="shared" si="117"/>
        <v>0</v>
      </c>
    </row>
    <row r="1679" spans="1:100" ht="12.75" x14ac:dyDescent="0.2">
      <c r="A1679" s="9" t="s">
        <v>438</v>
      </c>
      <c r="B1679" s="2">
        <v>49</v>
      </c>
      <c r="C1679" s="3" t="s">
        <v>95</v>
      </c>
      <c r="D1679" s="3" t="s">
        <v>96</v>
      </c>
      <c r="E1679" s="2"/>
      <c r="F1679" s="2"/>
      <c r="G1679" s="2" t="s">
        <v>71</v>
      </c>
      <c r="H1679" s="2">
        <v>10</v>
      </c>
      <c r="I1679" s="8">
        <v>125.87</v>
      </c>
      <c r="J1679" s="8">
        <v>38900</v>
      </c>
      <c r="K1679" s="3">
        <v>0</v>
      </c>
      <c r="L1679" s="3" t="s">
        <v>3</v>
      </c>
      <c r="M1679" s="9" t="s">
        <v>0</v>
      </c>
      <c r="N1679" s="9" t="s">
        <v>35</v>
      </c>
      <c r="O1679" s="9" t="s">
        <v>439</v>
      </c>
      <c r="S1679" s="9" t="s">
        <v>158</v>
      </c>
      <c r="T1679" s="10" t="s">
        <v>71</v>
      </c>
      <c r="U1679" s="10">
        <v>10</v>
      </c>
      <c r="V1679" s="10">
        <v>125.87</v>
      </c>
      <c r="W1679" s="10"/>
      <c r="X1679" s="17">
        <v>45037</v>
      </c>
      <c r="Y1679" s="17">
        <v>45037</v>
      </c>
      <c r="Z1679" s="19" t="s">
        <v>772</v>
      </c>
      <c r="AA1679" s="210">
        <f t="shared" si="121"/>
        <v>51000</v>
      </c>
      <c r="AB1679" s="9">
        <v>61</v>
      </c>
      <c r="AC1679" s="9">
        <v>6</v>
      </c>
      <c r="AD1679" s="17">
        <v>45235</v>
      </c>
      <c r="AE1679" s="56">
        <v>250</v>
      </c>
      <c r="AF1679" s="56"/>
      <c r="AG1679" s="9" t="s">
        <v>134</v>
      </c>
      <c r="AH1679" s="17">
        <v>45239</v>
      </c>
      <c r="AI1679" s="17"/>
      <c r="AJ1679" s="17"/>
      <c r="AK1679" s="9" t="s">
        <v>1773</v>
      </c>
      <c r="AL1679" s="11">
        <v>250</v>
      </c>
      <c r="AN1679" s="11" t="s">
        <v>1782</v>
      </c>
      <c r="AP1679" s="11"/>
      <c r="AQ1679" s="11"/>
      <c r="AR1679" s="11"/>
      <c r="AW1679" s="94">
        <v>45229</v>
      </c>
      <c r="AX1679" s="96">
        <v>2003</v>
      </c>
      <c r="BA1679" s="96">
        <v>250</v>
      </c>
      <c r="BD1679" s="9"/>
      <c r="CS1679" s="11">
        <f t="shared" si="118"/>
        <v>250</v>
      </c>
      <c r="CT1679" s="22">
        <f t="shared" si="119"/>
        <v>250</v>
      </c>
      <c r="CU1679" s="22">
        <f t="shared" si="120"/>
        <v>0</v>
      </c>
      <c r="CV1679" s="26">
        <f t="shared" si="117"/>
        <v>0</v>
      </c>
    </row>
    <row r="1680" spans="1:100" ht="12.75" x14ac:dyDescent="0.2">
      <c r="A1680" s="9" t="s">
        <v>438</v>
      </c>
      <c r="B1680" s="2">
        <v>49</v>
      </c>
      <c r="C1680" s="3" t="s">
        <v>95</v>
      </c>
      <c r="D1680" s="3" t="s">
        <v>96</v>
      </c>
      <c r="E1680" s="2"/>
      <c r="F1680" s="2"/>
      <c r="G1680" s="2" t="s">
        <v>71</v>
      </c>
      <c r="H1680" s="2">
        <v>10</v>
      </c>
      <c r="I1680" s="8">
        <v>125.87</v>
      </c>
      <c r="J1680" s="8">
        <v>38900</v>
      </c>
      <c r="K1680" s="3">
        <v>0</v>
      </c>
      <c r="L1680" s="3" t="s">
        <v>3</v>
      </c>
      <c r="M1680" s="9" t="s">
        <v>0</v>
      </c>
      <c r="N1680" s="9" t="s">
        <v>35</v>
      </c>
      <c r="O1680" s="9" t="s">
        <v>439</v>
      </c>
      <c r="S1680" s="9" t="s">
        <v>158</v>
      </c>
      <c r="T1680" s="10" t="s">
        <v>71</v>
      </c>
      <c r="U1680" s="10">
        <v>10</v>
      </c>
      <c r="V1680" s="10">
        <v>125.87</v>
      </c>
      <c r="W1680" s="10"/>
      <c r="X1680" s="17">
        <v>45037</v>
      </c>
      <c r="Y1680" s="17">
        <v>45037</v>
      </c>
      <c r="Z1680" s="19" t="s">
        <v>772</v>
      </c>
      <c r="AA1680" s="210">
        <f t="shared" si="121"/>
        <v>51000</v>
      </c>
      <c r="AB1680" s="9">
        <v>61</v>
      </c>
      <c r="AC1680" s="9">
        <v>7</v>
      </c>
      <c r="AD1680" s="17">
        <v>45265</v>
      </c>
      <c r="AE1680" s="56">
        <v>250</v>
      </c>
      <c r="AF1680" s="56"/>
      <c r="AG1680" s="9" t="s">
        <v>134</v>
      </c>
      <c r="AH1680" s="17">
        <v>45267</v>
      </c>
      <c r="AI1680" s="17"/>
      <c r="AJ1680" s="17"/>
      <c r="AK1680" s="9" t="s">
        <v>1774</v>
      </c>
      <c r="AL1680" s="11">
        <v>250</v>
      </c>
      <c r="AN1680" s="11" t="s">
        <v>1783</v>
      </c>
      <c r="AP1680" s="11"/>
      <c r="AQ1680" s="11"/>
      <c r="AR1680" s="11"/>
      <c r="AW1680" s="94">
        <v>45260</v>
      </c>
      <c r="AX1680" s="96">
        <v>2085</v>
      </c>
      <c r="BA1680" s="107">
        <v>250</v>
      </c>
      <c r="BD1680" s="9"/>
      <c r="CS1680" s="11">
        <f t="shared" si="118"/>
        <v>250</v>
      </c>
      <c r="CT1680" s="22">
        <f t="shared" si="119"/>
        <v>250</v>
      </c>
      <c r="CU1680" s="22">
        <f t="shared" si="120"/>
        <v>0</v>
      </c>
      <c r="CV1680" s="26">
        <f t="shared" si="117"/>
        <v>0</v>
      </c>
    </row>
    <row r="1681" spans="1:100" ht="12.75" x14ac:dyDescent="0.2">
      <c r="A1681" s="9" t="s">
        <v>438</v>
      </c>
      <c r="B1681" s="2">
        <v>49</v>
      </c>
      <c r="C1681" s="3" t="s">
        <v>95</v>
      </c>
      <c r="D1681" s="3" t="s">
        <v>96</v>
      </c>
      <c r="E1681" s="2"/>
      <c r="F1681" s="2"/>
      <c r="G1681" s="2" t="s">
        <v>71</v>
      </c>
      <c r="H1681" s="2">
        <v>10</v>
      </c>
      <c r="I1681" s="8">
        <v>125.87</v>
      </c>
      <c r="J1681" s="8">
        <v>38900</v>
      </c>
      <c r="K1681" s="3">
        <v>0</v>
      </c>
      <c r="L1681" s="3" t="s">
        <v>3</v>
      </c>
      <c r="M1681" s="9" t="s">
        <v>0</v>
      </c>
      <c r="N1681" s="9" t="s">
        <v>35</v>
      </c>
      <c r="O1681" s="9" t="s">
        <v>439</v>
      </c>
      <c r="S1681" s="9" t="s">
        <v>158</v>
      </c>
      <c r="T1681" s="10" t="s">
        <v>71</v>
      </c>
      <c r="U1681" s="10">
        <v>10</v>
      </c>
      <c r="V1681" s="10">
        <v>125.87</v>
      </c>
      <c r="W1681" s="10"/>
      <c r="X1681" s="17">
        <v>45037</v>
      </c>
      <c r="Y1681" s="17">
        <v>45037</v>
      </c>
      <c r="Z1681" s="19" t="s">
        <v>772</v>
      </c>
      <c r="AA1681" s="210">
        <f t="shared" si="121"/>
        <v>51000</v>
      </c>
      <c r="AB1681" s="9">
        <v>61</v>
      </c>
      <c r="AC1681" s="9">
        <v>8</v>
      </c>
      <c r="AD1681" s="17">
        <v>45296</v>
      </c>
      <c r="AE1681" s="56">
        <v>250</v>
      </c>
      <c r="AF1681" s="56"/>
      <c r="AG1681" s="9" t="s">
        <v>134</v>
      </c>
      <c r="AH1681" s="17">
        <v>45303</v>
      </c>
      <c r="AI1681" s="17"/>
      <c r="AJ1681" s="17"/>
      <c r="AK1681" s="9" t="s">
        <v>1784</v>
      </c>
      <c r="AL1681" s="11">
        <v>250</v>
      </c>
      <c r="AN1681" s="11" t="s">
        <v>1796</v>
      </c>
      <c r="AP1681" s="11"/>
      <c r="AQ1681" s="11"/>
      <c r="AR1681" s="11"/>
      <c r="AW1681" s="94">
        <v>45289</v>
      </c>
      <c r="AX1681" s="96">
        <v>2153</v>
      </c>
      <c r="BA1681" s="107">
        <v>250</v>
      </c>
      <c r="BD1681" s="9"/>
      <c r="CS1681" s="11">
        <f t="shared" si="118"/>
        <v>250</v>
      </c>
      <c r="CT1681" s="22">
        <f t="shared" si="119"/>
        <v>250</v>
      </c>
      <c r="CU1681" s="22">
        <f t="shared" si="120"/>
        <v>0</v>
      </c>
      <c r="CV1681" s="26">
        <f t="shared" si="117"/>
        <v>0</v>
      </c>
    </row>
    <row r="1682" spans="1:100" ht="12.75" x14ac:dyDescent="0.2">
      <c r="A1682" s="9" t="s">
        <v>438</v>
      </c>
      <c r="B1682" s="2">
        <v>49</v>
      </c>
      <c r="C1682" s="3" t="s">
        <v>95</v>
      </c>
      <c r="D1682" s="3" t="s">
        <v>96</v>
      </c>
      <c r="E1682" s="2"/>
      <c r="F1682" s="2"/>
      <c r="G1682" s="2" t="s">
        <v>71</v>
      </c>
      <c r="H1682" s="2">
        <v>10</v>
      </c>
      <c r="I1682" s="8">
        <v>125.87</v>
      </c>
      <c r="J1682" s="8">
        <v>38900</v>
      </c>
      <c r="K1682" s="3">
        <v>0</v>
      </c>
      <c r="L1682" s="3" t="s">
        <v>3</v>
      </c>
      <c r="M1682" s="9" t="s">
        <v>0</v>
      </c>
      <c r="N1682" s="9" t="s">
        <v>35</v>
      </c>
      <c r="O1682" s="9" t="s">
        <v>439</v>
      </c>
      <c r="S1682" s="9" t="s">
        <v>158</v>
      </c>
      <c r="T1682" s="10" t="s">
        <v>71</v>
      </c>
      <c r="U1682" s="10">
        <v>10</v>
      </c>
      <c r="V1682" s="10">
        <v>125.87</v>
      </c>
      <c r="W1682" s="10"/>
      <c r="X1682" s="17">
        <v>45037</v>
      </c>
      <c r="Y1682" s="17">
        <v>45037</v>
      </c>
      <c r="Z1682" s="19" t="s">
        <v>772</v>
      </c>
      <c r="AA1682" s="210">
        <f t="shared" si="121"/>
        <v>51000</v>
      </c>
      <c r="AB1682" s="9">
        <v>61</v>
      </c>
      <c r="AC1682" s="9">
        <v>9</v>
      </c>
      <c r="AD1682" s="17">
        <v>45327</v>
      </c>
      <c r="AE1682" s="56">
        <v>250</v>
      </c>
      <c r="AF1682" s="56"/>
      <c r="AG1682" s="9" t="s">
        <v>134</v>
      </c>
      <c r="AH1682" s="17">
        <v>45332</v>
      </c>
      <c r="AI1682" s="17"/>
      <c r="AJ1682" s="17"/>
      <c r="AK1682" s="9" t="s">
        <v>1785</v>
      </c>
      <c r="AL1682" s="11">
        <v>250</v>
      </c>
      <c r="AN1682" s="11" t="s">
        <v>1797</v>
      </c>
      <c r="AP1682" s="11"/>
      <c r="AQ1682" s="11"/>
      <c r="AR1682" s="11"/>
      <c r="AW1682" s="94">
        <v>45321</v>
      </c>
      <c r="AX1682" s="96">
        <v>2250</v>
      </c>
      <c r="BA1682" s="107">
        <v>250</v>
      </c>
      <c r="BD1682" s="9"/>
      <c r="CS1682" s="11">
        <f t="shared" si="118"/>
        <v>250</v>
      </c>
      <c r="CT1682" s="22">
        <f t="shared" si="119"/>
        <v>250</v>
      </c>
      <c r="CU1682" s="22">
        <f t="shared" si="120"/>
        <v>0</v>
      </c>
      <c r="CV1682" s="26">
        <f t="shared" si="117"/>
        <v>0</v>
      </c>
    </row>
    <row r="1683" spans="1:100" ht="12.75" x14ac:dyDescent="0.2">
      <c r="A1683" s="9" t="s">
        <v>438</v>
      </c>
      <c r="B1683" s="2">
        <v>49</v>
      </c>
      <c r="C1683" s="3" t="s">
        <v>95</v>
      </c>
      <c r="D1683" s="3" t="s">
        <v>96</v>
      </c>
      <c r="E1683" s="2"/>
      <c r="F1683" s="2"/>
      <c r="G1683" s="2" t="s">
        <v>71</v>
      </c>
      <c r="H1683" s="2">
        <v>10</v>
      </c>
      <c r="I1683" s="8">
        <v>125.87</v>
      </c>
      <c r="J1683" s="8">
        <v>38900</v>
      </c>
      <c r="K1683" s="3">
        <v>0</v>
      </c>
      <c r="L1683" s="3" t="s">
        <v>3</v>
      </c>
      <c r="M1683" s="9" t="s">
        <v>0</v>
      </c>
      <c r="N1683" s="9" t="s">
        <v>35</v>
      </c>
      <c r="O1683" s="9" t="s">
        <v>439</v>
      </c>
      <c r="S1683" s="9" t="s">
        <v>158</v>
      </c>
      <c r="T1683" s="10" t="s">
        <v>71</v>
      </c>
      <c r="U1683" s="10">
        <v>10</v>
      </c>
      <c r="V1683" s="10">
        <v>125.87</v>
      </c>
      <c r="W1683" s="10"/>
      <c r="X1683" s="17">
        <v>45037</v>
      </c>
      <c r="Y1683" s="17">
        <v>45037</v>
      </c>
      <c r="Z1683" s="19" t="s">
        <v>772</v>
      </c>
      <c r="AA1683" s="210">
        <f t="shared" si="121"/>
        <v>51000</v>
      </c>
      <c r="AB1683" s="9">
        <v>61</v>
      </c>
      <c r="AC1683" s="9">
        <v>10</v>
      </c>
      <c r="AD1683" s="17">
        <v>45356</v>
      </c>
      <c r="AE1683" s="56">
        <v>250</v>
      </c>
      <c r="AF1683" s="56"/>
      <c r="AG1683" s="9" t="s">
        <v>134</v>
      </c>
      <c r="AH1683" s="17">
        <v>45371</v>
      </c>
      <c r="AI1683" s="17"/>
      <c r="AJ1683" s="17"/>
      <c r="AK1683" s="9" t="s">
        <v>1786</v>
      </c>
      <c r="AL1683" s="11">
        <v>250</v>
      </c>
      <c r="AN1683" s="11" t="s">
        <v>1798</v>
      </c>
      <c r="AP1683" s="11"/>
      <c r="AQ1683" s="11"/>
      <c r="AR1683" s="11"/>
      <c r="AW1683" s="94">
        <v>45353</v>
      </c>
      <c r="AX1683" s="96">
        <v>2378</v>
      </c>
      <c r="BA1683" s="107">
        <v>250</v>
      </c>
      <c r="BD1683" s="9"/>
      <c r="CS1683" s="11">
        <f t="shared" si="118"/>
        <v>250</v>
      </c>
      <c r="CT1683" s="22">
        <f t="shared" si="119"/>
        <v>250</v>
      </c>
      <c r="CU1683" s="22">
        <f t="shared" si="120"/>
        <v>0</v>
      </c>
      <c r="CV1683" s="26">
        <f t="shared" si="117"/>
        <v>0</v>
      </c>
    </row>
    <row r="1684" spans="1:100" x14ac:dyDescent="0.2">
      <c r="A1684" s="9" t="s">
        <v>438</v>
      </c>
      <c r="B1684" s="2">
        <v>49</v>
      </c>
      <c r="C1684" s="3" t="s">
        <v>95</v>
      </c>
      <c r="D1684" s="3" t="s">
        <v>96</v>
      </c>
      <c r="E1684" s="2"/>
      <c r="F1684" s="2"/>
      <c r="G1684" s="2" t="s">
        <v>71</v>
      </c>
      <c r="H1684" s="2">
        <v>10</v>
      </c>
      <c r="I1684" s="8">
        <v>125.87</v>
      </c>
      <c r="J1684" s="8">
        <v>38900</v>
      </c>
      <c r="K1684" s="3">
        <v>0</v>
      </c>
      <c r="L1684" s="3" t="s">
        <v>3</v>
      </c>
      <c r="M1684" s="9" t="s">
        <v>0</v>
      </c>
      <c r="N1684" s="9" t="s">
        <v>35</v>
      </c>
      <c r="O1684" s="9" t="s">
        <v>439</v>
      </c>
      <c r="S1684" s="9" t="s">
        <v>158</v>
      </c>
      <c r="T1684" s="10" t="s">
        <v>71</v>
      </c>
      <c r="U1684" s="10">
        <v>10</v>
      </c>
      <c r="V1684" s="10">
        <v>125.87</v>
      </c>
      <c r="W1684" s="10"/>
      <c r="X1684" s="17">
        <v>45037</v>
      </c>
      <c r="Y1684" s="17">
        <v>45037</v>
      </c>
      <c r="Z1684" s="19" t="s">
        <v>772</v>
      </c>
      <c r="AA1684" s="210">
        <f t="shared" si="121"/>
        <v>51000</v>
      </c>
      <c r="AB1684" s="9">
        <v>61</v>
      </c>
      <c r="AC1684" s="9">
        <v>11</v>
      </c>
      <c r="AD1684" s="17">
        <v>45387</v>
      </c>
      <c r="AE1684" s="56">
        <v>250</v>
      </c>
      <c r="AF1684" s="56"/>
      <c r="AG1684" s="9" t="s">
        <v>134</v>
      </c>
      <c r="AH1684" s="17">
        <v>45399</v>
      </c>
      <c r="AI1684" s="17"/>
      <c r="AJ1684" s="17"/>
      <c r="AK1684" s="9" t="s">
        <v>1787</v>
      </c>
      <c r="AL1684" s="11">
        <v>250</v>
      </c>
      <c r="AN1684" s="11" t="s">
        <v>1799</v>
      </c>
      <c r="AP1684" s="11"/>
      <c r="AQ1684" s="11"/>
      <c r="AR1684" s="11"/>
      <c r="AW1684" s="17">
        <v>45397</v>
      </c>
      <c r="AX1684" s="9">
        <v>2537</v>
      </c>
      <c r="BA1684" s="9">
        <v>250</v>
      </c>
      <c r="BD1684" s="9"/>
      <c r="CS1684" s="11">
        <f t="shared" si="118"/>
        <v>250</v>
      </c>
      <c r="CT1684" s="22">
        <f t="shared" si="119"/>
        <v>250</v>
      </c>
      <c r="CU1684" s="22">
        <f t="shared" si="120"/>
        <v>0</v>
      </c>
      <c r="CV1684" s="26">
        <f t="shared" si="117"/>
        <v>0</v>
      </c>
    </row>
    <row r="1685" spans="1:100" ht="12.75" x14ac:dyDescent="0.2">
      <c r="A1685" s="9" t="s">
        <v>438</v>
      </c>
      <c r="B1685" s="2">
        <v>49</v>
      </c>
      <c r="C1685" s="3" t="s">
        <v>95</v>
      </c>
      <c r="D1685" s="3" t="s">
        <v>96</v>
      </c>
      <c r="E1685" s="2"/>
      <c r="F1685" s="2"/>
      <c r="G1685" s="2" t="s">
        <v>71</v>
      </c>
      <c r="H1685" s="2">
        <v>10</v>
      </c>
      <c r="I1685" s="8">
        <v>125.87</v>
      </c>
      <c r="J1685" s="8">
        <v>38900</v>
      </c>
      <c r="K1685" s="3">
        <v>0</v>
      </c>
      <c r="L1685" s="3" t="s">
        <v>3</v>
      </c>
      <c r="M1685" s="9" t="s">
        <v>0</v>
      </c>
      <c r="N1685" s="9" t="s">
        <v>35</v>
      </c>
      <c r="O1685" s="9" t="s">
        <v>439</v>
      </c>
      <c r="S1685" s="9" t="s">
        <v>158</v>
      </c>
      <c r="T1685" s="10" t="s">
        <v>71</v>
      </c>
      <c r="U1685" s="10">
        <v>10</v>
      </c>
      <c r="V1685" s="10">
        <v>125.87</v>
      </c>
      <c r="W1685" s="10"/>
      <c r="X1685" s="17">
        <v>45037</v>
      </c>
      <c r="Y1685" s="17">
        <v>45037</v>
      </c>
      <c r="Z1685" s="19" t="s">
        <v>772</v>
      </c>
      <c r="AA1685" s="210">
        <f t="shared" si="121"/>
        <v>51000</v>
      </c>
      <c r="AB1685" s="9">
        <v>61</v>
      </c>
      <c r="AC1685" s="9">
        <v>12</v>
      </c>
      <c r="AD1685" s="17">
        <v>45417</v>
      </c>
      <c r="AE1685" s="56">
        <v>250</v>
      </c>
      <c r="AF1685" s="56"/>
      <c r="AG1685" s="9" t="s">
        <v>134</v>
      </c>
      <c r="AH1685" s="17">
        <v>45418</v>
      </c>
      <c r="AI1685" s="17"/>
      <c r="AJ1685" s="17"/>
      <c r="AK1685" s="9" t="s">
        <v>1788</v>
      </c>
      <c r="AL1685" s="11">
        <v>250</v>
      </c>
      <c r="AN1685" s="11" t="s">
        <v>1800</v>
      </c>
      <c r="AP1685" s="11"/>
      <c r="AQ1685" s="11"/>
      <c r="AR1685" s="11"/>
      <c r="AW1685" s="144">
        <v>45411</v>
      </c>
      <c r="AX1685" s="146">
        <v>2579</v>
      </c>
      <c r="BA1685" s="145">
        <v>250</v>
      </c>
      <c r="BD1685" s="9"/>
      <c r="CS1685" s="11">
        <f t="shared" si="118"/>
        <v>250</v>
      </c>
      <c r="CT1685" s="22">
        <f t="shared" si="119"/>
        <v>250</v>
      </c>
      <c r="CU1685" s="22">
        <f t="shared" si="120"/>
        <v>0</v>
      </c>
      <c r="CV1685" s="26">
        <f t="shared" si="117"/>
        <v>0</v>
      </c>
    </row>
    <row r="1686" spans="1:100" ht="12.75" x14ac:dyDescent="0.2">
      <c r="A1686" s="9" t="s">
        <v>438</v>
      </c>
      <c r="B1686" s="2">
        <v>49</v>
      </c>
      <c r="C1686" s="3" t="s">
        <v>95</v>
      </c>
      <c r="D1686" s="3" t="s">
        <v>96</v>
      </c>
      <c r="E1686" s="2"/>
      <c r="F1686" s="2"/>
      <c r="G1686" s="2" t="s">
        <v>71</v>
      </c>
      <c r="H1686" s="2">
        <v>10</v>
      </c>
      <c r="I1686" s="8">
        <v>125.87</v>
      </c>
      <c r="J1686" s="8">
        <v>38900</v>
      </c>
      <c r="K1686" s="3">
        <v>0</v>
      </c>
      <c r="L1686" s="3" t="s">
        <v>3</v>
      </c>
      <c r="M1686" s="9" t="s">
        <v>0</v>
      </c>
      <c r="N1686" s="9" t="s">
        <v>35</v>
      </c>
      <c r="O1686" s="9" t="s">
        <v>439</v>
      </c>
      <c r="S1686" s="9" t="s">
        <v>158</v>
      </c>
      <c r="T1686" s="10" t="s">
        <v>71</v>
      </c>
      <c r="U1686" s="10">
        <v>10</v>
      </c>
      <c r="V1686" s="10">
        <v>125.87</v>
      </c>
      <c r="W1686" s="10"/>
      <c r="X1686" s="17">
        <v>45037</v>
      </c>
      <c r="Y1686" s="17">
        <v>45037</v>
      </c>
      <c r="Z1686" s="19" t="s">
        <v>772</v>
      </c>
      <c r="AA1686" s="210">
        <f t="shared" si="121"/>
        <v>51000</v>
      </c>
      <c r="AB1686" s="9">
        <v>61</v>
      </c>
      <c r="AC1686" s="9">
        <v>13</v>
      </c>
      <c r="AD1686" s="17">
        <v>45448</v>
      </c>
      <c r="AE1686" s="56">
        <v>250</v>
      </c>
      <c r="AF1686" s="56"/>
      <c r="AG1686" s="9" t="s">
        <v>134</v>
      </c>
      <c r="AH1686" s="17">
        <v>45447</v>
      </c>
      <c r="AI1686" s="17"/>
      <c r="AJ1686" s="17"/>
      <c r="AK1686" s="9" t="s">
        <v>1789</v>
      </c>
      <c r="AL1686" s="11">
        <v>250</v>
      </c>
      <c r="AN1686" s="11" t="s">
        <v>1801</v>
      </c>
      <c r="AP1686" s="11"/>
      <c r="AQ1686" s="11"/>
      <c r="AR1686" s="11"/>
      <c r="AW1686" s="94">
        <v>45447</v>
      </c>
      <c r="AX1686" s="96">
        <v>2741</v>
      </c>
      <c r="BA1686" s="107">
        <v>250</v>
      </c>
      <c r="BD1686" s="9"/>
      <c r="CS1686" s="11">
        <f t="shared" si="118"/>
        <v>250</v>
      </c>
      <c r="CT1686" s="22">
        <f t="shared" si="119"/>
        <v>250</v>
      </c>
      <c r="CU1686" s="22">
        <f t="shared" si="120"/>
        <v>0</v>
      </c>
      <c r="CV1686" s="26">
        <f t="shared" si="117"/>
        <v>0</v>
      </c>
    </row>
    <row r="1687" spans="1:100" ht="12.75" x14ac:dyDescent="0.2">
      <c r="A1687" s="9" t="s">
        <v>438</v>
      </c>
      <c r="B1687" s="2">
        <v>49</v>
      </c>
      <c r="C1687" s="3" t="s">
        <v>95</v>
      </c>
      <c r="D1687" s="3" t="s">
        <v>96</v>
      </c>
      <c r="E1687" s="2"/>
      <c r="F1687" s="2"/>
      <c r="G1687" s="2" t="s">
        <v>71</v>
      </c>
      <c r="H1687" s="2">
        <v>10</v>
      </c>
      <c r="I1687" s="8">
        <v>125.87</v>
      </c>
      <c r="J1687" s="8">
        <v>38900</v>
      </c>
      <c r="K1687" s="3">
        <v>0</v>
      </c>
      <c r="L1687" s="3" t="s">
        <v>3</v>
      </c>
      <c r="M1687" s="9" t="s">
        <v>0</v>
      </c>
      <c r="N1687" s="9" t="s">
        <v>35</v>
      </c>
      <c r="O1687" s="9" t="s">
        <v>439</v>
      </c>
      <c r="S1687" s="9" t="s">
        <v>158</v>
      </c>
      <c r="T1687" s="10" t="s">
        <v>71</v>
      </c>
      <c r="U1687" s="10">
        <v>10</v>
      </c>
      <c r="V1687" s="10">
        <v>125.87</v>
      </c>
      <c r="W1687" s="10"/>
      <c r="X1687" s="17">
        <v>45037</v>
      </c>
      <c r="Y1687" s="17">
        <v>45037</v>
      </c>
      <c r="Z1687" s="19" t="s">
        <v>772</v>
      </c>
      <c r="AA1687" s="210">
        <f t="shared" si="121"/>
        <v>51000</v>
      </c>
      <c r="AB1687" s="9">
        <v>61</v>
      </c>
      <c r="AC1687" s="9">
        <v>14</v>
      </c>
      <c r="AD1687" s="17">
        <v>45478</v>
      </c>
      <c r="AE1687" s="56">
        <v>875</v>
      </c>
      <c r="AF1687" s="56"/>
      <c r="AG1687" s="9" t="s">
        <v>134</v>
      </c>
      <c r="AH1687" s="17">
        <v>45477</v>
      </c>
      <c r="AI1687" s="17"/>
      <c r="AJ1687" s="17"/>
      <c r="AK1687" s="9" t="s">
        <v>1790</v>
      </c>
      <c r="AL1687" s="11">
        <v>875</v>
      </c>
      <c r="AN1687" s="11" t="s">
        <v>1802</v>
      </c>
      <c r="AP1687" s="11"/>
      <c r="AQ1687" s="11"/>
      <c r="AR1687" s="11"/>
      <c r="AW1687" s="94">
        <v>45477</v>
      </c>
      <c r="AX1687" s="96">
        <v>2853</v>
      </c>
      <c r="BA1687" s="107">
        <v>875</v>
      </c>
      <c r="BD1687" s="9"/>
      <c r="CS1687" s="11">
        <f t="shared" si="118"/>
        <v>875</v>
      </c>
      <c r="CT1687" s="22">
        <f t="shared" si="119"/>
        <v>875</v>
      </c>
      <c r="CU1687" s="22">
        <f t="shared" si="120"/>
        <v>0</v>
      </c>
      <c r="CV1687" s="26">
        <f t="shared" si="117"/>
        <v>0</v>
      </c>
    </row>
    <row r="1688" spans="1:100" ht="12.75" x14ac:dyDescent="0.2">
      <c r="A1688" s="9" t="s">
        <v>438</v>
      </c>
      <c r="B1688" s="2">
        <v>49</v>
      </c>
      <c r="C1688" s="3" t="s">
        <v>95</v>
      </c>
      <c r="D1688" s="3" t="s">
        <v>96</v>
      </c>
      <c r="E1688" s="2"/>
      <c r="F1688" s="2"/>
      <c r="G1688" s="2" t="s">
        <v>71</v>
      </c>
      <c r="H1688" s="2">
        <v>10</v>
      </c>
      <c r="I1688" s="8">
        <v>125.87</v>
      </c>
      <c r="J1688" s="8">
        <v>38900</v>
      </c>
      <c r="K1688" s="3">
        <v>0</v>
      </c>
      <c r="L1688" s="3" t="s">
        <v>3</v>
      </c>
      <c r="M1688" s="9" t="s">
        <v>0</v>
      </c>
      <c r="N1688" s="9" t="s">
        <v>35</v>
      </c>
      <c r="O1688" s="9" t="s">
        <v>439</v>
      </c>
      <c r="S1688" s="9" t="s">
        <v>158</v>
      </c>
      <c r="T1688" s="10" t="s">
        <v>71</v>
      </c>
      <c r="U1688" s="10">
        <v>10</v>
      </c>
      <c r="V1688" s="10">
        <v>125.87</v>
      </c>
      <c r="W1688" s="10"/>
      <c r="X1688" s="17">
        <v>45037</v>
      </c>
      <c r="Y1688" s="17">
        <v>45037</v>
      </c>
      <c r="Z1688" s="19" t="s">
        <v>772</v>
      </c>
      <c r="AA1688" s="210">
        <f t="shared" si="121"/>
        <v>51000</v>
      </c>
      <c r="AB1688" s="9">
        <v>61</v>
      </c>
      <c r="AC1688" s="9">
        <v>15</v>
      </c>
      <c r="AD1688" s="17">
        <v>45509</v>
      </c>
      <c r="AE1688" s="56">
        <v>875</v>
      </c>
      <c r="AF1688" s="56"/>
      <c r="AG1688" s="9" t="s">
        <v>134</v>
      </c>
      <c r="AH1688" s="17">
        <v>45511</v>
      </c>
      <c r="AI1688" s="17"/>
      <c r="AJ1688" s="17"/>
      <c r="AK1688" s="9" t="s">
        <v>1791</v>
      </c>
      <c r="AL1688" s="11">
        <v>875</v>
      </c>
      <c r="AN1688" s="11" t="s">
        <v>1803</v>
      </c>
      <c r="AP1688" s="11"/>
      <c r="AQ1688" s="11"/>
      <c r="AR1688" s="11"/>
      <c r="AW1688" s="94">
        <v>45508</v>
      </c>
      <c r="AX1688" s="96">
        <v>2990</v>
      </c>
      <c r="BA1688" s="107">
        <v>875</v>
      </c>
      <c r="BD1688" s="9"/>
      <c r="CS1688" s="11">
        <f t="shared" si="118"/>
        <v>875</v>
      </c>
      <c r="CT1688" s="22">
        <f t="shared" si="119"/>
        <v>875</v>
      </c>
      <c r="CU1688" s="22">
        <f t="shared" si="120"/>
        <v>0</v>
      </c>
      <c r="CV1688" s="26">
        <f t="shared" si="117"/>
        <v>0</v>
      </c>
    </row>
    <row r="1689" spans="1:100" ht="12.75" x14ac:dyDescent="0.2">
      <c r="A1689" s="9" t="s">
        <v>438</v>
      </c>
      <c r="B1689" s="2">
        <v>49</v>
      </c>
      <c r="C1689" s="3" t="s">
        <v>95</v>
      </c>
      <c r="D1689" s="3" t="s">
        <v>96</v>
      </c>
      <c r="E1689" s="2"/>
      <c r="F1689" s="2"/>
      <c r="G1689" s="2" t="s">
        <v>71</v>
      </c>
      <c r="H1689" s="2">
        <v>10</v>
      </c>
      <c r="I1689" s="8">
        <v>125.87</v>
      </c>
      <c r="J1689" s="8">
        <v>38900</v>
      </c>
      <c r="K1689" s="3">
        <v>0</v>
      </c>
      <c r="L1689" s="3" t="s">
        <v>3</v>
      </c>
      <c r="M1689" s="9" t="s">
        <v>0</v>
      </c>
      <c r="N1689" s="9" t="s">
        <v>35</v>
      </c>
      <c r="O1689" s="9" t="s">
        <v>439</v>
      </c>
      <c r="S1689" s="9" t="s">
        <v>158</v>
      </c>
      <c r="T1689" s="10" t="s">
        <v>71</v>
      </c>
      <c r="U1689" s="10">
        <v>10</v>
      </c>
      <c r="V1689" s="10">
        <v>125.87</v>
      </c>
      <c r="W1689" s="10"/>
      <c r="X1689" s="17">
        <v>45037</v>
      </c>
      <c r="Y1689" s="17">
        <v>45037</v>
      </c>
      <c r="Z1689" s="19" t="s">
        <v>772</v>
      </c>
      <c r="AA1689" s="210">
        <f t="shared" si="121"/>
        <v>51000</v>
      </c>
      <c r="AB1689" s="9">
        <v>61</v>
      </c>
      <c r="AC1689" s="9">
        <v>16</v>
      </c>
      <c r="AD1689" s="17">
        <v>45540</v>
      </c>
      <c r="AE1689" s="56">
        <v>875</v>
      </c>
      <c r="AF1689" s="56"/>
      <c r="AG1689" s="9" t="s">
        <v>134</v>
      </c>
      <c r="AH1689" s="17">
        <v>45540</v>
      </c>
      <c r="AI1689" s="17"/>
      <c r="AJ1689" s="17"/>
      <c r="AK1689" s="9" t="s">
        <v>1792</v>
      </c>
      <c r="AL1689" s="11">
        <v>875</v>
      </c>
      <c r="AN1689" s="11" t="s">
        <v>1804</v>
      </c>
      <c r="AP1689" s="11"/>
      <c r="AQ1689" s="11"/>
      <c r="AR1689" s="11"/>
      <c r="AW1689" s="94">
        <v>45533</v>
      </c>
      <c r="AX1689" s="96">
        <v>3091</v>
      </c>
      <c r="BA1689" s="107">
        <v>875</v>
      </c>
      <c r="BD1689" s="9"/>
      <c r="CS1689" s="11">
        <f t="shared" si="118"/>
        <v>875</v>
      </c>
      <c r="CT1689" s="22">
        <f t="shared" si="119"/>
        <v>875</v>
      </c>
      <c r="CU1689" s="22">
        <f t="shared" si="120"/>
        <v>0</v>
      </c>
      <c r="CV1689" s="26">
        <f t="shared" si="117"/>
        <v>0</v>
      </c>
    </row>
    <row r="1690" spans="1:100" ht="12.75" x14ac:dyDescent="0.2">
      <c r="A1690" s="9" t="s">
        <v>438</v>
      </c>
      <c r="B1690" s="2">
        <v>49</v>
      </c>
      <c r="C1690" s="3" t="s">
        <v>95</v>
      </c>
      <c r="D1690" s="3" t="s">
        <v>96</v>
      </c>
      <c r="E1690" s="2"/>
      <c r="F1690" s="2"/>
      <c r="G1690" s="2" t="s">
        <v>71</v>
      </c>
      <c r="H1690" s="2">
        <v>10</v>
      </c>
      <c r="I1690" s="8">
        <v>125.87</v>
      </c>
      <c r="J1690" s="8">
        <v>38900</v>
      </c>
      <c r="K1690" s="3">
        <v>0</v>
      </c>
      <c r="L1690" s="3" t="s">
        <v>3</v>
      </c>
      <c r="M1690" s="9" t="s">
        <v>0</v>
      </c>
      <c r="N1690" s="9" t="s">
        <v>35</v>
      </c>
      <c r="O1690" s="9" t="s">
        <v>439</v>
      </c>
      <c r="S1690" s="9" t="s">
        <v>158</v>
      </c>
      <c r="T1690" s="10" t="s">
        <v>71</v>
      </c>
      <c r="U1690" s="10">
        <v>10</v>
      </c>
      <c r="V1690" s="10">
        <v>125.87</v>
      </c>
      <c r="W1690" s="10"/>
      <c r="X1690" s="17">
        <v>45037</v>
      </c>
      <c r="Y1690" s="17">
        <v>45037</v>
      </c>
      <c r="Z1690" s="19" t="s">
        <v>772</v>
      </c>
      <c r="AA1690" s="210">
        <f t="shared" si="121"/>
        <v>51000</v>
      </c>
      <c r="AB1690" s="9">
        <v>61</v>
      </c>
      <c r="AC1690" s="9">
        <v>17</v>
      </c>
      <c r="AD1690" s="17">
        <v>45570</v>
      </c>
      <c r="AE1690" s="56">
        <v>875</v>
      </c>
      <c r="AF1690" s="56"/>
      <c r="AG1690" s="9" t="s">
        <v>134</v>
      </c>
      <c r="AH1690" s="17">
        <v>45572</v>
      </c>
      <c r="AI1690" s="17"/>
      <c r="AJ1690" s="17"/>
      <c r="AK1690" s="9" t="s">
        <v>1793</v>
      </c>
      <c r="AL1690" s="11">
        <v>875</v>
      </c>
      <c r="AN1690" s="11" t="s">
        <v>1805</v>
      </c>
      <c r="AP1690" s="11"/>
      <c r="AQ1690" s="11"/>
      <c r="AR1690" s="11"/>
      <c r="AW1690" s="94">
        <v>45572</v>
      </c>
      <c r="AX1690" s="96">
        <v>3254</v>
      </c>
      <c r="BA1690" s="107">
        <v>875</v>
      </c>
      <c r="BD1690" s="9"/>
      <c r="CS1690" s="11">
        <f t="shared" si="118"/>
        <v>875</v>
      </c>
      <c r="CT1690" s="22">
        <f t="shared" si="119"/>
        <v>875</v>
      </c>
      <c r="CU1690" s="22">
        <f t="shared" si="120"/>
        <v>0</v>
      </c>
      <c r="CV1690" s="26">
        <f t="shared" si="117"/>
        <v>0</v>
      </c>
    </row>
    <row r="1691" spans="1:100" ht="12.75" x14ac:dyDescent="0.2">
      <c r="A1691" s="9" t="s">
        <v>438</v>
      </c>
      <c r="B1691" s="2">
        <v>49</v>
      </c>
      <c r="C1691" s="3" t="s">
        <v>95</v>
      </c>
      <c r="D1691" s="3" t="s">
        <v>96</v>
      </c>
      <c r="E1691" s="2"/>
      <c r="F1691" s="2"/>
      <c r="G1691" s="2" t="s">
        <v>71</v>
      </c>
      <c r="H1691" s="2">
        <v>10</v>
      </c>
      <c r="I1691" s="8">
        <v>125.87</v>
      </c>
      <c r="J1691" s="8">
        <v>38900</v>
      </c>
      <c r="K1691" s="3">
        <v>0</v>
      </c>
      <c r="L1691" s="3" t="s">
        <v>3</v>
      </c>
      <c r="M1691" s="9" t="s">
        <v>0</v>
      </c>
      <c r="N1691" s="9" t="s">
        <v>35</v>
      </c>
      <c r="O1691" s="9" t="s">
        <v>439</v>
      </c>
      <c r="S1691" s="9" t="s">
        <v>158</v>
      </c>
      <c r="T1691" s="10" t="s">
        <v>71</v>
      </c>
      <c r="U1691" s="10">
        <v>10</v>
      </c>
      <c r="V1691" s="10">
        <v>125.87</v>
      </c>
      <c r="W1691" s="10"/>
      <c r="X1691" s="17">
        <v>45037</v>
      </c>
      <c r="Y1691" s="17">
        <v>45037</v>
      </c>
      <c r="Z1691" s="19" t="s">
        <v>772</v>
      </c>
      <c r="AA1691" s="210">
        <f t="shared" si="121"/>
        <v>51000</v>
      </c>
      <c r="AB1691" s="9">
        <v>61</v>
      </c>
      <c r="AC1691" s="9">
        <v>18</v>
      </c>
      <c r="AD1691" s="17">
        <v>45601</v>
      </c>
      <c r="AE1691" s="56">
        <v>875</v>
      </c>
      <c r="AF1691" s="56"/>
      <c r="AG1691" s="9" t="s">
        <v>134</v>
      </c>
      <c r="AH1691" s="17">
        <v>45601</v>
      </c>
      <c r="AI1691" s="17"/>
      <c r="AJ1691" s="17"/>
      <c r="AK1691" s="9" t="s">
        <v>1794</v>
      </c>
      <c r="AL1691" s="11">
        <v>875</v>
      </c>
      <c r="AN1691" s="11" t="s">
        <v>1806</v>
      </c>
      <c r="AP1691" s="11"/>
      <c r="AQ1691" s="11"/>
      <c r="AR1691" s="11"/>
      <c r="AW1691" s="94">
        <v>45596</v>
      </c>
      <c r="AX1691" s="96">
        <v>3338</v>
      </c>
      <c r="BA1691" s="107">
        <v>875</v>
      </c>
      <c r="BD1691" s="9"/>
      <c r="CS1691" s="11">
        <f t="shared" si="118"/>
        <v>875</v>
      </c>
      <c r="CT1691" s="22">
        <f t="shared" si="119"/>
        <v>875</v>
      </c>
      <c r="CU1691" s="22">
        <f t="shared" si="120"/>
        <v>0</v>
      </c>
      <c r="CV1691" s="26">
        <f t="shared" si="117"/>
        <v>0</v>
      </c>
    </row>
    <row r="1692" spans="1:100" ht="12.75" x14ac:dyDescent="0.2">
      <c r="A1692" s="9" t="s">
        <v>438</v>
      </c>
      <c r="B1692" s="2">
        <v>49</v>
      </c>
      <c r="C1692" s="3" t="s">
        <v>95</v>
      </c>
      <c r="D1692" s="3" t="s">
        <v>96</v>
      </c>
      <c r="E1692" s="2"/>
      <c r="F1692" s="2"/>
      <c r="G1692" s="2" t="s">
        <v>71</v>
      </c>
      <c r="H1692" s="2">
        <v>10</v>
      </c>
      <c r="I1692" s="8">
        <v>125.87</v>
      </c>
      <c r="J1692" s="8">
        <v>38900</v>
      </c>
      <c r="K1692" s="3">
        <v>0</v>
      </c>
      <c r="L1692" s="3" t="s">
        <v>3</v>
      </c>
      <c r="M1692" s="9" t="s">
        <v>0</v>
      </c>
      <c r="N1692" s="9" t="s">
        <v>35</v>
      </c>
      <c r="O1692" s="9" t="s">
        <v>439</v>
      </c>
      <c r="S1692" s="9" t="s">
        <v>158</v>
      </c>
      <c r="T1692" s="10" t="s">
        <v>71</v>
      </c>
      <c r="U1692" s="10">
        <v>10</v>
      </c>
      <c r="V1692" s="10">
        <v>125.87</v>
      </c>
      <c r="W1692" s="10"/>
      <c r="X1692" s="17">
        <v>45037</v>
      </c>
      <c r="Y1692" s="17">
        <v>45037</v>
      </c>
      <c r="Z1692" s="19" t="s">
        <v>772</v>
      </c>
      <c r="AA1692" s="210">
        <f t="shared" si="121"/>
        <v>51000</v>
      </c>
      <c r="AB1692" s="9">
        <v>61</v>
      </c>
      <c r="AC1692" s="9">
        <v>19</v>
      </c>
      <c r="AD1692" s="17">
        <v>45631</v>
      </c>
      <c r="AE1692" s="56">
        <v>875</v>
      </c>
      <c r="AF1692" s="56"/>
      <c r="AG1692" s="9" t="s">
        <v>134</v>
      </c>
      <c r="AH1692" s="17">
        <v>45629</v>
      </c>
      <c r="AI1692" s="17"/>
      <c r="AJ1692" s="17"/>
      <c r="AK1692" s="9" t="s">
        <v>1795</v>
      </c>
      <c r="AL1692" s="11">
        <v>875</v>
      </c>
      <c r="AN1692" s="11" t="s">
        <v>1807</v>
      </c>
      <c r="AP1692" s="11"/>
      <c r="AQ1692" s="11"/>
      <c r="AR1692" s="11"/>
      <c r="AW1692" s="94">
        <v>45629</v>
      </c>
      <c r="AX1692" s="96">
        <v>3468</v>
      </c>
      <c r="BA1692" s="107">
        <v>875</v>
      </c>
      <c r="BD1692" s="9"/>
      <c r="CS1692" s="11">
        <f t="shared" si="118"/>
        <v>875</v>
      </c>
      <c r="CT1692" s="22">
        <f t="shared" si="119"/>
        <v>875</v>
      </c>
      <c r="CU1692" s="22">
        <f t="shared" si="120"/>
        <v>0</v>
      </c>
      <c r="CV1692" s="26">
        <f t="shared" si="117"/>
        <v>0</v>
      </c>
    </row>
    <row r="1693" spans="1:100" ht="12.75" x14ac:dyDescent="0.2">
      <c r="A1693" s="9" t="s">
        <v>438</v>
      </c>
      <c r="B1693" s="2">
        <v>49</v>
      </c>
      <c r="C1693" s="3" t="s">
        <v>95</v>
      </c>
      <c r="D1693" s="3" t="s">
        <v>96</v>
      </c>
      <c r="E1693" s="2"/>
      <c r="F1693" s="2"/>
      <c r="G1693" s="2" t="s">
        <v>71</v>
      </c>
      <c r="H1693" s="2">
        <v>10</v>
      </c>
      <c r="I1693" s="8">
        <v>125.87</v>
      </c>
      <c r="J1693" s="8">
        <v>38900</v>
      </c>
      <c r="K1693" s="3">
        <v>0</v>
      </c>
      <c r="L1693" s="3" t="s">
        <v>3</v>
      </c>
      <c r="M1693" s="9" t="s">
        <v>0</v>
      </c>
      <c r="N1693" s="9" t="s">
        <v>35</v>
      </c>
      <c r="O1693" s="9" t="s">
        <v>439</v>
      </c>
      <c r="S1693" s="9" t="s">
        <v>158</v>
      </c>
      <c r="T1693" s="10" t="s">
        <v>71</v>
      </c>
      <c r="U1693" s="10">
        <v>10</v>
      </c>
      <c r="V1693" s="10">
        <v>125.87</v>
      </c>
      <c r="W1693" s="10"/>
      <c r="X1693" s="17">
        <v>45037</v>
      </c>
      <c r="Y1693" s="17">
        <v>45037</v>
      </c>
      <c r="Z1693" s="19" t="s">
        <v>772</v>
      </c>
      <c r="AA1693" s="210">
        <f t="shared" si="121"/>
        <v>51000</v>
      </c>
      <c r="AB1693" s="9">
        <v>61</v>
      </c>
      <c r="AC1693" s="9">
        <v>20</v>
      </c>
      <c r="AD1693" s="17">
        <v>45662</v>
      </c>
      <c r="AE1693" s="56">
        <v>875</v>
      </c>
      <c r="AF1693" s="56"/>
      <c r="AG1693" s="9" t="s">
        <v>134</v>
      </c>
      <c r="AH1693" s="17">
        <v>45672</v>
      </c>
      <c r="AI1693" s="17"/>
      <c r="AJ1693" s="17"/>
      <c r="AK1693" s="9" t="s">
        <v>1808</v>
      </c>
      <c r="AL1693" s="11">
        <v>875</v>
      </c>
      <c r="AN1693" s="11" t="s">
        <v>1821</v>
      </c>
      <c r="AP1693" s="11"/>
      <c r="AQ1693" s="11"/>
      <c r="AR1693" s="11"/>
      <c r="AW1693" s="94">
        <v>45660</v>
      </c>
      <c r="AX1693" s="96">
        <v>3573</v>
      </c>
      <c r="BA1693" s="107">
        <v>875</v>
      </c>
      <c r="BD1693" s="9"/>
      <c r="CS1693" s="11">
        <f t="shared" si="118"/>
        <v>875</v>
      </c>
      <c r="CT1693" s="22">
        <f t="shared" si="119"/>
        <v>875</v>
      </c>
      <c r="CU1693" s="22">
        <f t="shared" si="120"/>
        <v>0</v>
      </c>
      <c r="CV1693" s="26">
        <f t="shared" si="117"/>
        <v>0</v>
      </c>
    </row>
    <row r="1694" spans="1:100" ht="12.75" x14ac:dyDescent="0.2">
      <c r="A1694" s="9" t="s">
        <v>438</v>
      </c>
      <c r="B1694" s="2">
        <v>49</v>
      </c>
      <c r="C1694" s="3" t="s">
        <v>95</v>
      </c>
      <c r="D1694" s="3" t="s">
        <v>96</v>
      </c>
      <c r="E1694" s="2"/>
      <c r="F1694" s="2"/>
      <c r="G1694" s="2" t="s">
        <v>71</v>
      </c>
      <c r="H1694" s="2">
        <v>10</v>
      </c>
      <c r="I1694" s="8">
        <v>125.87</v>
      </c>
      <c r="J1694" s="8">
        <v>38900</v>
      </c>
      <c r="K1694" s="3">
        <v>0</v>
      </c>
      <c r="L1694" s="3" t="s">
        <v>3</v>
      </c>
      <c r="M1694" s="9" t="s">
        <v>0</v>
      </c>
      <c r="N1694" s="9" t="s">
        <v>35</v>
      </c>
      <c r="O1694" s="9" t="s">
        <v>439</v>
      </c>
      <c r="S1694" s="9" t="s">
        <v>158</v>
      </c>
      <c r="T1694" s="10" t="s">
        <v>71</v>
      </c>
      <c r="U1694" s="10">
        <v>10</v>
      </c>
      <c r="V1694" s="10">
        <v>125.87</v>
      </c>
      <c r="W1694" s="10"/>
      <c r="X1694" s="17">
        <v>45037</v>
      </c>
      <c r="Y1694" s="17">
        <v>45037</v>
      </c>
      <c r="Z1694" s="19" t="s">
        <v>772</v>
      </c>
      <c r="AA1694" s="210">
        <f t="shared" si="121"/>
        <v>51000</v>
      </c>
      <c r="AB1694" s="9">
        <v>61</v>
      </c>
      <c r="AC1694" s="9">
        <v>21</v>
      </c>
      <c r="AD1694" s="17">
        <v>45693</v>
      </c>
      <c r="AE1694" s="56">
        <v>875</v>
      </c>
      <c r="AF1694" s="56"/>
      <c r="AG1694" s="9" t="s">
        <v>134</v>
      </c>
      <c r="AH1694" s="17">
        <v>45693</v>
      </c>
      <c r="AI1694" s="17"/>
      <c r="AJ1694" s="17"/>
      <c r="AK1694" s="9" t="s">
        <v>1809</v>
      </c>
      <c r="AL1694" s="11">
        <v>875</v>
      </c>
      <c r="AN1694" s="11" t="s">
        <v>1822</v>
      </c>
      <c r="AP1694" s="11"/>
      <c r="AQ1694" s="11"/>
      <c r="AR1694" s="11"/>
      <c r="AW1694" s="94">
        <v>45685</v>
      </c>
      <c r="AX1694" s="96">
        <v>3661</v>
      </c>
      <c r="BA1694" s="107">
        <v>875</v>
      </c>
      <c r="BD1694" s="9"/>
      <c r="CS1694" s="11">
        <f t="shared" si="118"/>
        <v>875</v>
      </c>
      <c r="CT1694" s="22">
        <f t="shared" si="119"/>
        <v>875</v>
      </c>
      <c r="CU1694" s="22">
        <f t="shared" si="120"/>
        <v>0</v>
      </c>
      <c r="CV1694" s="26">
        <f t="shared" si="117"/>
        <v>0</v>
      </c>
    </row>
    <row r="1695" spans="1:100" ht="12.75" x14ac:dyDescent="0.2">
      <c r="A1695" s="9" t="s">
        <v>438</v>
      </c>
      <c r="B1695" s="2">
        <v>49</v>
      </c>
      <c r="C1695" s="3" t="s">
        <v>95</v>
      </c>
      <c r="D1695" s="3" t="s">
        <v>96</v>
      </c>
      <c r="E1695" s="2"/>
      <c r="F1695" s="2"/>
      <c r="G1695" s="2" t="s">
        <v>71</v>
      </c>
      <c r="H1695" s="2">
        <v>10</v>
      </c>
      <c r="I1695" s="8">
        <v>125.87</v>
      </c>
      <c r="J1695" s="8">
        <v>38900</v>
      </c>
      <c r="K1695" s="3">
        <v>0</v>
      </c>
      <c r="L1695" s="3" t="s">
        <v>3</v>
      </c>
      <c r="M1695" s="9" t="s">
        <v>0</v>
      </c>
      <c r="N1695" s="9" t="s">
        <v>35</v>
      </c>
      <c r="O1695" s="9" t="s">
        <v>439</v>
      </c>
      <c r="S1695" s="9" t="s">
        <v>158</v>
      </c>
      <c r="T1695" s="10" t="s">
        <v>71</v>
      </c>
      <c r="U1695" s="10">
        <v>10</v>
      </c>
      <c r="V1695" s="10">
        <v>125.87</v>
      </c>
      <c r="W1695" s="10"/>
      <c r="X1695" s="17">
        <v>45037</v>
      </c>
      <c r="Y1695" s="17">
        <v>45037</v>
      </c>
      <c r="Z1695" s="19" t="s">
        <v>772</v>
      </c>
      <c r="AA1695" s="210">
        <f t="shared" si="121"/>
        <v>51000</v>
      </c>
      <c r="AB1695" s="9">
        <v>61</v>
      </c>
      <c r="AC1695" s="9">
        <v>22</v>
      </c>
      <c r="AD1695" s="17">
        <v>45721</v>
      </c>
      <c r="AE1695" s="56">
        <v>875</v>
      </c>
      <c r="AF1695" s="56"/>
      <c r="AG1695" s="9" t="s">
        <v>134</v>
      </c>
      <c r="AH1695" s="17">
        <v>45721</v>
      </c>
      <c r="AI1695" s="17"/>
      <c r="AJ1695" s="17"/>
      <c r="AK1695" s="9" t="s">
        <v>1810</v>
      </c>
      <c r="AL1695" s="11">
        <v>875</v>
      </c>
      <c r="AN1695" s="11" t="s">
        <v>1823</v>
      </c>
      <c r="AP1695" s="11"/>
      <c r="AQ1695" s="11"/>
      <c r="AR1695" s="11"/>
      <c r="AW1695" s="94">
        <v>45720</v>
      </c>
      <c r="AX1695" s="96">
        <v>3850</v>
      </c>
      <c r="BA1695" s="107">
        <v>875</v>
      </c>
      <c r="BD1695" s="9"/>
      <c r="CS1695" s="11">
        <f t="shared" si="118"/>
        <v>875</v>
      </c>
      <c r="CT1695" s="22">
        <f t="shared" si="119"/>
        <v>875</v>
      </c>
      <c r="CU1695" s="22">
        <f t="shared" si="120"/>
        <v>0</v>
      </c>
      <c r="CV1695" s="26">
        <f t="shared" si="117"/>
        <v>0</v>
      </c>
    </row>
    <row r="1696" spans="1:100" ht="12.75" x14ac:dyDescent="0.2">
      <c r="A1696" s="9" t="s">
        <v>438</v>
      </c>
      <c r="B1696" s="2">
        <v>49</v>
      </c>
      <c r="C1696" s="3" t="s">
        <v>95</v>
      </c>
      <c r="D1696" s="3" t="s">
        <v>96</v>
      </c>
      <c r="E1696" s="2"/>
      <c r="F1696" s="2"/>
      <c r="G1696" s="2" t="s">
        <v>71</v>
      </c>
      <c r="H1696" s="2">
        <v>10</v>
      </c>
      <c r="I1696" s="8">
        <v>125.87</v>
      </c>
      <c r="J1696" s="8">
        <v>38900</v>
      </c>
      <c r="K1696" s="3">
        <v>0</v>
      </c>
      <c r="L1696" s="3" t="s">
        <v>3</v>
      </c>
      <c r="M1696" s="9" t="s">
        <v>0</v>
      </c>
      <c r="N1696" s="9" t="s">
        <v>35</v>
      </c>
      <c r="O1696" s="9" t="s">
        <v>439</v>
      </c>
      <c r="S1696" s="9" t="s">
        <v>158</v>
      </c>
      <c r="T1696" s="10" t="s">
        <v>71</v>
      </c>
      <c r="U1696" s="10">
        <v>10</v>
      </c>
      <c r="V1696" s="10">
        <v>125.87</v>
      </c>
      <c r="W1696" s="10"/>
      <c r="X1696" s="17">
        <v>45037</v>
      </c>
      <c r="Y1696" s="17">
        <v>45037</v>
      </c>
      <c r="Z1696" s="19" t="s">
        <v>772</v>
      </c>
      <c r="AA1696" s="210">
        <f t="shared" si="121"/>
        <v>51000</v>
      </c>
      <c r="AB1696" s="9">
        <v>61</v>
      </c>
      <c r="AC1696" s="9">
        <v>23</v>
      </c>
      <c r="AD1696" s="17">
        <v>45752</v>
      </c>
      <c r="AE1696" s="56">
        <v>875</v>
      </c>
      <c r="AF1696" s="56"/>
      <c r="AG1696" s="9" t="s">
        <v>134</v>
      </c>
      <c r="AH1696" s="17">
        <v>45762</v>
      </c>
      <c r="AI1696" s="17"/>
      <c r="AJ1696" s="17"/>
      <c r="AK1696" s="9" t="s">
        <v>1811</v>
      </c>
      <c r="AL1696" s="11">
        <v>875</v>
      </c>
      <c r="AN1696" s="11" t="s">
        <v>1824</v>
      </c>
      <c r="AP1696" s="11"/>
      <c r="AQ1696" s="11"/>
      <c r="AR1696" s="11"/>
      <c r="AW1696" s="94">
        <v>45761</v>
      </c>
      <c r="AX1696" s="96">
        <v>4012</v>
      </c>
      <c r="BA1696" s="107">
        <v>875</v>
      </c>
      <c r="BD1696" s="9"/>
      <c r="CS1696" s="11">
        <f t="shared" si="118"/>
        <v>875</v>
      </c>
      <c r="CT1696" s="22">
        <f t="shared" si="119"/>
        <v>875</v>
      </c>
      <c r="CU1696" s="22">
        <f t="shared" si="120"/>
        <v>0</v>
      </c>
      <c r="CV1696" s="26">
        <f t="shared" si="117"/>
        <v>0</v>
      </c>
    </row>
    <row r="1697" spans="1:101" ht="12.75" x14ac:dyDescent="0.2">
      <c r="A1697" s="9" t="s">
        <v>438</v>
      </c>
      <c r="B1697" s="2">
        <v>49</v>
      </c>
      <c r="C1697" s="3" t="s">
        <v>95</v>
      </c>
      <c r="D1697" s="3" t="s">
        <v>96</v>
      </c>
      <c r="E1697" s="2"/>
      <c r="F1697" s="2"/>
      <c r="G1697" s="2" t="s">
        <v>71</v>
      </c>
      <c r="H1697" s="2">
        <v>10</v>
      </c>
      <c r="I1697" s="8">
        <v>125.87</v>
      </c>
      <c r="J1697" s="8">
        <v>38900</v>
      </c>
      <c r="K1697" s="3">
        <v>0</v>
      </c>
      <c r="L1697" s="3" t="s">
        <v>3</v>
      </c>
      <c r="M1697" s="9" t="s">
        <v>0</v>
      </c>
      <c r="N1697" s="9" t="s">
        <v>35</v>
      </c>
      <c r="O1697" s="9" t="s">
        <v>439</v>
      </c>
      <c r="S1697" s="9" t="s">
        <v>158</v>
      </c>
      <c r="T1697" s="10" t="s">
        <v>71</v>
      </c>
      <c r="U1697" s="10">
        <v>10</v>
      </c>
      <c r="V1697" s="10">
        <v>125.87</v>
      </c>
      <c r="W1697" s="10"/>
      <c r="X1697" s="17">
        <v>45037</v>
      </c>
      <c r="Y1697" s="17">
        <v>45037</v>
      </c>
      <c r="Z1697" s="19" t="s">
        <v>772</v>
      </c>
      <c r="AA1697" s="210">
        <f t="shared" si="121"/>
        <v>51000</v>
      </c>
      <c r="AB1697" s="9">
        <v>61</v>
      </c>
      <c r="AC1697" s="9">
        <v>24</v>
      </c>
      <c r="AD1697" s="17">
        <v>45782</v>
      </c>
      <c r="AE1697" s="56">
        <v>875</v>
      </c>
      <c r="AF1697" s="56"/>
      <c r="AG1697" s="9" t="s">
        <v>134</v>
      </c>
      <c r="AH1697" s="17">
        <v>45785</v>
      </c>
      <c r="AI1697" s="17"/>
      <c r="AJ1697" s="17"/>
      <c r="AK1697" s="9" t="s">
        <v>1812</v>
      </c>
      <c r="AL1697" s="11">
        <v>875</v>
      </c>
      <c r="AN1697" s="11" t="s">
        <v>1825</v>
      </c>
      <c r="AP1697" s="11"/>
      <c r="AQ1697" s="11"/>
      <c r="AR1697" s="11"/>
      <c r="AW1697" s="94">
        <v>45784</v>
      </c>
      <c r="AX1697" s="96">
        <v>4132</v>
      </c>
      <c r="BA1697" s="107">
        <v>875</v>
      </c>
      <c r="BD1697" s="9"/>
      <c r="CS1697" s="11">
        <f t="shared" si="118"/>
        <v>875</v>
      </c>
      <c r="CT1697" s="22">
        <f t="shared" si="119"/>
        <v>875</v>
      </c>
      <c r="CU1697" s="22">
        <f t="shared" si="120"/>
        <v>0</v>
      </c>
      <c r="CV1697" s="26">
        <f t="shared" si="117"/>
        <v>0</v>
      </c>
    </row>
    <row r="1698" spans="1:101" ht="12.75" x14ac:dyDescent="0.2">
      <c r="A1698" s="9" t="s">
        <v>438</v>
      </c>
      <c r="B1698" s="2">
        <v>49</v>
      </c>
      <c r="C1698" s="3" t="s">
        <v>95</v>
      </c>
      <c r="D1698" s="3" t="s">
        <v>96</v>
      </c>
      <c r="E1698" s="2"/>
      <c r="F1698" s="2"/>
      <c r="G1698" s="2" t="s">
        <v>71</v>
      </c>
      <c r="H1698" s="2">
        <v>10</v>
      </c>
      <c r="I1698" s="8">
        <v>125.87</v>
      </c>
      <c r="J1698" s="8">
        <v>38900</v>
      </c>
      <c r="K1698" s="3">
        <v>0</v>
      </c>
      <c r="L1698" s="3" t="s">
        <v>3</v>
      </c>
      <c r="M1698" s="9" t="s">
        <v>0</v>
      </c>
      <c r="N1698" s="9" t="s">
        <v>35</v>
      </c>
      <c r="O1698" s="9" t="s">
        <v>439</v>
      </c>
      <c r="S1698" s="9" t="s">
        <v>158</v>
      </c>
      <c r="T1698" s="10" t="s">
        <v>71</v>
      </c>
      <c r="U1698" s="10">
        <v>10</v>
      </c>
      <c r="V1698" s="10">
        <v>125.87</v>
      </c>
      <c r="W1698" s="10"/>
      <c r="X1698" s="17">
        <v>45037</v>
      </c>
      <c r="Y1698" s="17">
        <v>45037</v>
      </c>
      <c r="Z1698" s="19" t="s">
        <v>772</v>
      </c>
      <c r="AA1698" s="210">
        <f t="shared" si="121"/>
        <v>51000</v>
      </c>
      <c r="AB1698" s="9">
        <v>61</v>
      </c>
      <c r="AC1698" s="9">
        <v>25</v>
      </c>
      <c r="AD1698" s="17">
        <v>45813</v>
      </c>
      <c r="AE1698" s="56">
        <v>875</v>
      </c>
      <c r="AF1698" s="56"/>
      <c r="AG1698" s="9" t="s">
        <v>134</v>
      </c>
      <c r="AH1698" s="17">
        <v>45814</v>
      </c>
      <c r="AI1698" s="17"/>
      <c r="AJ1698" s="17"/>
      <c r="AK1698" s="9" t="s">
        <v>1813</v>
      </c>
      <c r="AL1698" s="11">
        <v>875</v>
      </c>
      <c r="AN1698" s="11" t="s">
        <v>1826</v>
      </c>
      <c r="AP1698" s="11"/>
      <c r="AQ1698" s="11"/>
      <c r="AR1698" s="11"/>
      <c r="AW1698" s="94">
        <v>45813</v>
      </c>
      <c r="AX1698" s="96">
        <v>4272</v>
      </c>
      <c r="BA1698" s="107">
        <v>875</v>
      </c>
      <c r="BD1698" s="9"/>
      <c r="CS1698" s="11">
        <f t="shared" si="118"/>
        <v>875</v>
      </c>
      <c r="CT1698" s="22">
        <f t="shared" si="119"/>
        <v>875</v>
      </c>
      <c r="CU1698" s="22">
        <f t="shared" si="120"/>
        <v>0</v>
      </c>
      <c r="CV1698" s="26">
        <f t="shared" si="117"/>
        <v>0</v>
      </c>
    </row>
    <row r="1699" spans="1:101" ht="12.75" x14ac:dyDescent="0.2">
      <c r="A1699" s="9" t="s">
        <v>438</v>
      </c>
      <c r="B1699" s="2">
        <v>49</v>
      </c>
      <c r="C1699" s="3" t="s">
        <v>95</v>
      </c>
      <c r="D1699" s="3" t="s">
        <v>96</v>
      </c>
      <c r="E1699" s="2"/>
      <c r="F1699" s="2"/>
      <c r="G1699" s="2" t="s">
        <v>71</v>
      </c>
      <c r="H1699" s="2">
        <v>10</v>
      </c>
      <c r="I1699" s="8">
        <v>125.87</v>
      </c>
      <c r="J1699" s="8">
        <v>38900</v>
      </c>
      <c r="K1699" s="3">
        <v>0</v>
      </c>
      <c r="L1699" s="3" t="s">
        <v>3</v>
      </c>
      <c r="M1699" s="9" t="s">
        <v>0</v>
      </c>
      <c r="N1699" s="9" t="s">
        <v>35</v>
      </c>
      <c r="O1699" s="9" t="s">
        <v>439</v>
      </c>
      <c r="S1699" s="9" t="s">
        <v>158</v>
      </c>
      <c r="T1699" s="10" t="s">
        <v>71</v>
      </c>
      <c r="U1699" s="10">
        <v>10</v>
      </c>
      <c r="V1699" s="10">
        <v>125.87</v>
      </c>
      <c r="W1699" s="10"/>
      <c r="X1699" s="17">
        <v>45037</v>
      </c>
      <c r="Y1699" s="17">
        <v>45037</v>
      </c>
      <c r="Z1699" s="19" t="s">
        <v>772</v>
      </c>
      <c r="AA1699" s="210">
        <f t="shared" si="121"/>
        <v>51000</v>
      </c>
      <c r="AB1699" s="9">
        <v>61</v>
      </c>
      <c r="AC1699" s="9">
        <v>26</v>
      </c>
      <c r="AD1699" s="17">
        <v>45843</v>
      </c>
      <c r="AE1699" s="56">
        <v>875</v>
      </c>
      <c r="AF1699" s="56"/>
      <c r="AG1699" s="9" t="s">
        <v>134</v>
      </c>
      <c r="AH1699" s="17">
        <v>45825</v>
      </c>
      <c r="AI1699" s="17"/>
      <c r="AJ1699" s="17"/>
      <c r="AK1699" s="9" t="s">
        <v>1814</v>
      </c>
      <c r="AL1699" s="11">
        <v>875</v>
      </c>
      <c r="AN1699" s="11" t="s">
        <v>1827</v>
      </c>
      <c r="AP1699" s="11"/>
      <c r="AQ1699" s="11"/>
      <c r="AR1699" s="11"/>
      <c r="AW1699" s="94">
        <v>45824</v>
      </c>
      <c r="AX1699" s="96">
        <v>4302</v>
      </c>
      <c r="BA1699" s="107">
        <v>875</v>
      </c>
      <c r="BD1699" s="9"/>
      <c r="CS1699" s="11">
        <f t="shared" si="118"/>
        <v>875</v>
      </c>
      <c r="CT1699" s="22">
        <f t="shared" si="119"/>
        <v>875</v>
      </c>
      <c r="CU1699" s="22">
        <f t="shared" si="120"/>
        <v>0</v>
      </c>
      <c r="CV1699" s="26">
        <f t="shared" si="117"/>
        <v>0</v>
      </c>
    </row>
    <row r="1700" spans="1:101" ht="12.75" x14ac:dyDescent="0.2">
      <c r="A1700" s="9" t="s">
        <v>438</v>
      </c>
      <c r="B1700" s="2">
        <v>49</v>
      </c>
      <c r="C1700" s="3" t="s">
        <v>95</v>
      </c>
      <c r="D1700" s="3" t="s">
        <v>96</v>
      </c>
      <c r="E1700" s="2"/>
      <c r="F1700" s="2"/>
      <c r="G1700" s="2" t="s">
        <v>71</v>
      </c>
      <c r="H1700" s="2">
        <v>10</v>
      </c>
      <c r="I1700" s="8">
        <v>125.87</v>
      </c>
      <c r="J1700" s="8">
        <v>38900</v>
      </c>
      <c r="K1700" s="3">
        <v>0</v>
      </c>
      <c r="L1700" s="3" t="s">
        <v>3</v>
      </c>
      <c r="M1700" s="9" t="s">
        <v>0</v>
      </c>
      <c r="N1700" s="9" t="s">
        <v>35</v>
      </c>
      <c r="O1700" s="9" t="s">
        <v>439</v>
      </c>
      <c r="S1700" s="9" t="s">
        <v>158</v>
      </c>
      <c r="T1700" s="10" t="s">
        <v>71</v>
      </c>
      <c r="U1700" s="10">
        <v>10</v>
      </c>
      <c r="V1700" s="10">
        <v>125.87</v>
      </c>
      <c r="W1700" s="10"/>
      <c r="X1700" s="17">
        <v>45037</v>
      </c>
      <c r="Y1700" s="17">
        <v>45037</v>
      </c>
      <c r="Z1700" s="19" t="s">
        <v>772</v>
      </c>
      <c r="AA1700" s="210">
        <f t="shared" si="121"/>
        <v>51000</v>
      </c>
      <c r="AB1700" s="9">
        <v>61</v>
      </c>
      <c r="AC1700" s="9">
        <v>27</v>
      </c>
      <c r="AD1700" s="17">
        <v>45874</v>
      </c>
      <c r="AE1700" s="56">
        <v>875</v>
      </c>
      <c r="AF1700" s="56"/>
      <c r="AG1700" s="9" t="s">
        <v>134</v>
      </c>
      <c r="AH1700" s="17">
        <v>45876</v>
      </c>
      <c r="AI1700" s="17"/>
      <c r="AJ1700" s="17"/>
      <c r="AK1700" s="9" t="s">
        <v>1815</v>
      </c>
      <c r="AL1700" s="11">
        <v>875</v>
      </c>
      <c r="AN1700" s="11" t="s">
        <v>1828</v>
      </c>
      <c r="AP1700" s="11"/>
      <c r="AQ1700" s="11"/>
      <c r="AR1700" s="11"/>
      <c r="AW1700" s="94">
        <v>45875</v>
      </c>
      <c r="AX1700" s="96">
        <v>4533</v>
      </c>
      <c r="BA1700" s="107">
        <v>875</v>
      </c>
      <c r="BD1700" s="9"/>
      <c r="CS1700" s="11">
        <f t="shared" si="118"/>
        <v>875</v>
      </c>
      <c r="CT1700" s="22">
        <f t="shared" si="119"/>
        <v>875</v>
      </c>
      <c r="CU1700" s="22">
        <f t="shared" si="120"/>
        <v>0</v>
      </c>
      <c r="CV1700" s="26">
        <f t="shared" si="117"/>
        <v>0</v>
      </c>
    </row>
    <row r="1701" spans="1:101" ht="12.75" x14ac:dyDescent="0.2">
      <c r="A1701" s="9" t="s">
        <v>438</v>
      </c>
      <c r="B1701" s="2">
        <v>49</v>
      </c>
      <c r="C1701" s="3" t="s">
        <v>95</v>
      </c>
      <c r="D1701" s="3" t="s">
        <v>96</v>
      </c>
      <c r="E1701" s="2"/>
      <c r="F1701" s="2"/>
      <c r="G1701" s="2" t="s">
        <v>71</v>
      </c>
      <c r="H1701" s="2">
        <v>10</v>
      </c>
      <c r="I1701" s="8">
        <v>125.87</v>
      </c>
      <c r="J1701" s="8">
        <v>38900</v>
      </c>
      <c r="K1701" s="3">
        <v>0</v>
      </c>
      <c r="L1701" s="3" t="s">
        <v>3</v>
      </c>
      <c r="M1701" s="9" t="s">
        <v>0</v>
      </c>
      <c r="N1701" s="9" t="s">
        <v>35</v>
      </c>
      <c r="O1701" s="9" t="s">
        <v>439</v>
      </c>
      <c r="S1701" s="9" t="s">
        <v>158</v>
      </c>
      <c r="T1701" s="10" t="s">
        <v>71</v>
      </c>
      <c r="U1701" s="10">
        <v>10</v>
      </c>
      <c r="V1701" s="10">
        <v>125.87</v>
      </c>
      <c r="W1701" s="10"/>
      <c r="X1701" s="17">
        <v>45037</v>
      </c>
      <c r="Y1701" s="17">
        <v>45037</v>
      </c>
      <c r="Z1701" s="19" t="s">
        <v>772</v>
      </c>
      <c r="AA1701" s="210">
        <f t="shared" si="121"/>
        <v>51000</v>
      </c>
      <c r="AB1701" s="9">
        <v>61</v>
      </c>
      <c r="AC1701" s="9">
        <v>28</v>
      </c>
      <c r="AD1701" s="17">
        <v>45905</v>
      </c>
      <c r="AE1701" s="56">
        <v>875</v>
      </c>
      <c r="AF1701" s="56"/>
      <c r="AG1701" s="9" t="s">
        <v>134</v>
      </c>
      <c r="AH1701" s="17">
        <v>45906</v>
      </c>
      <c r="AI1701" s="17"/>
      <c r="AJ1701" s="17"/>
      <c r="AK1701" s="9" t="s">
        <v>1816</v>
      </c>
      <c r="AL1701" s="11">
        <v>875</v>
      </c>
      <c r="AN1701" s="11" t="s">
        <v>1829</v>
      </c>
      <c r="AP1701" s="11"/>
      <c r="AQ1701" s="11"/>
      <c r="AR1701" s="11"/>
      <c r="AW1701" s="94">
        <v>45906</v>
      </c>
      <c r="AX1701" s="96">
        <v>4682</v>
      </c>
      <c r="BA1701" s="107">
        <v>875</v>
      </c>
      <c r="BD1701" s="9"/>
      <c r="CS1701" s="11">
        <f t="shared" si="118"/>
        <v>875</v>
      </c>
      <c r="CT1701" s="22">
        <f t="shared" si="119"/>
        <v>875</v>
      </c>
      <c r="CU1701" s="22">
        <f t="shared" si="120"/>
        <v>0</v>
      </c>
      <c r="CV1701" s="26">
        <f t="shared" si="117"/>
        <v>0</v>
      </c>
    </row>
    <row r="1702" spans="1:101" x14ac:dyDescent="0.2">
      <c r="A1702" s="9" t="s">
        <v>438</v>
      </c>
      <c r="B1702" s="2">
        <v>49</v>
      </c>
      <c r="C1702" s="3" t="s">
        <v>95</v>
      </c>
      <c r="D1702" s="3" t="s">
        <v>96</v>
      </c>
      <c r="E1702" s="2"/>
      <c r="F1702" s="2"/>
      <c r="G1702" s="2" t="s">
        <v>71</v>
      </c>
      <c r="H1702" s="2">
        <v>10</v>
      </c>
      <c r="I1702" s="8">
        <v>125.87</v>
      </c>
      <c r="J1702" s="8">
        <v>38900</v>
      </c>
      <c r="K1702" s="3">
        <v>0</v>
      </c>
      <c r="L1702" s="3" t="s">
        <v>3</v>
      </c>
      <c r="M1702" s="9" t="s">
        <v>0</v>
      </c>
      <c r="N1702" s="9" t="s">
        <v>35</v>
      </c>
      <c r="O1702" s="9" t="s">
        <v>439</v>
      </c>
      <c r="S1702" s="9" t="s">
        <v>158</v>
      </c>
      <c r="T1702" s="10" t="s">
        <v>71</v>
      </c>
      <c r="U1702" s="10">
        <v>10</v>
      </c>
      <c r="V1702" s="10">
        <v>125.87</v>
      </c>
      <c r="W1702" s="10"/>
      <c r="X1702" s="17">
        <v>45037</v>
      </c>
      <c r="Y1702" s="17">
        <v>45037</v>
      </c>
      <c r="Z1702" s="19" t="s">
        <v>772</v>
      </c>
      <c r="AA1702" s="210">
        <f t="shared" si="121"/>
        <v>51000</v>
      </c>
      <c r="AB1702" s="9">
        <v>61</v>
      </c>
      <c r="AC1702" s="9">
        <v>29</v>
      </c>
      <c r="AD1702" s="17">
        <v>45918</v>
      </c>
      <c r="AE1702" s="56">
        <v>8375</v>
      </c>
      <c r="AF1702" s="56"/>
      <c r="AG1702" s="9" t="s">
        <v>134</v>
      </c>
      <c r="AH1702" s="17">
        <v>45918</v>
      </c>
      <c r="AI1702" s="17"/>
      <c r="AJ1702" s="17"/>
      <c r="AK1702" s="9" t="s">
        <v>1817</v>
      </c>
      <c r="AL1702" s="11">
        <v>8375</v>
      </c>
      <c r="AN1702" s="11" t="s">
        <v>1830</v>
      </c>
      <c r="AP1702" s="11"/>
      <c r="AQ1702" s="11"/>
      <c r="AR1702" s="11"/>
      <c r="AW1702" s="17">
        <v>45917</v>
      </c>
      <c r="AX1702" s="9">
        <v>4737</v>
      </c>
      <c r="BA1702" s="9">
        <v>875</v>
      </c>
      <c r="BC1702" s="17">
        <v>45918</v>
      </c>
      <c r="BD1702" s="9">
        <v>4743</v>
      </c>
      <c r="BG1702" s="86">
        <v>7500</v>
      </c>
      <c r="BH1702" s="86"/>
      <c r="CS1702" s="11">
        <f t="shared" si="118"/>
        <v>8375</v>
      </c>
      <c r="CT1702" s="22">
        <f t="shared" si="119"/>
        <v>8375</v>
      </c>
      <c r="CU1702" s="22">
        <f t="shared" si="120"/>
        <v>0</v>
      </c>
      <c r="CV1702" s="26">
        <f t="shared" si="117"/>
        <v>0</v>
      </c>
    </row>
    <row r="1703" spans="1:101" ht="12.75" x14ac:dyDescent="0.2">
      <c r="A1703" s="9" t="s">
        <v>438</v>
      </c>
      <c r="B1703" s="2">
        <v>49</v>
      </c>
      <c r="C1703" s="3" t="s">
        <v>95</v>
      </c>
      <c r="D1703" s="3" t="s">
        <v>96</v>
      </c>
      <c r="E1703" s="2"/>
      <c r="F1703" s="2"/>
      <c r="G1703" s="2" t="s">
        <v>71</v>
      </c>
      <c r="H1703" s="2">
        <v>10</v>
      </c>
      <c r="I1703" s="8">
        <v>125.87</v>
      </c>
      <c r="J1703" s="8">
        <v>38900</v>
      </c>
      <c r="K1703" s="3">
        <v>0</v>
      </c>
      <c r="L1703" s="3" t="s">
        <v>3</v>
      </c>
      <c r="M1703" s="9" t="s">
        <v>0</v>
      </c>
      <c r="N1703" s="9" t="s">
        <v>35</v>
      </c>
      <c r="O1703" s="9" t="s">
        <v>439</v>
      </c>
      <c r="S1703" s="9" t="s">
        <v>158</v>
      </c>
      <c r="T1703" s="10" t="s">
        <v>71</v>
      </c>
      <c r="U1703" s="10">
        <v>10</v>
      </c>
      <c r="V1703" s="10">
        <v>125.87</v>
      </c>
      <c r="W1703" s="10"/>
      <c r="X1703" s="17">
        <v>45037</v>
      </c>
      <c r="Y1703" s="17">
        <v>45037</v>
      </c>
      <c r="Z1703" s="19" t="s">
        <v>772</v>
      </c>
      <c r="AA1703" s="210">
        <f t="shared" si="121"/>
        <v>51000</v>
      </c>
      <c r="AB1703" s="9">
        <v>61</v>
      </c>
      <c r="AC1703" s="9">
        <v>30</v>
      </c>
      <c r="AD1703" s="17">
        <v>45919</v>
      </c>
      <c r="AE1703" s="56">
        <v>7500</v>
      </c>
      <c r="AF1703" s="56"/>
      <c r="AG1703" s="9" t="s">
        <v>134</v>
      </c>
      <c r="AH1703" s="17">
        <v>45919</v>
      </c>
      <c r="AI1703" s="17"/>
      <c r="AJ1703" s="17"/>
      <c r="AK1703" s="9" t="s">
        <v>1818</v>
      </c>
      <c r="AL1703" s="11">
        <v>7500</v>
      </c>
      <c r="AN1703" s="11" t="s">
        <v>1831</v>
      </c>
      <c r="AP1703" s="11"/>
      <c r="AQ1703" s="11"/>
      <c r="AR1703" s="11"/>
      <c r="AW1703" s="94">
        <v>45919</v>
      </c>
      <c r="AX1703" s="96">
        <v>4751</v>
      </c>
      <c r="BA1703" s="95">
        <v>7500</v>
      </c>
      <c r="BD1703" s="9"/>
      <c r="CS1703" s="11">
        <f t="shared" si="118"/>
        <v>7500</v>
      </c>
      <c r="CT1703" s="22">
        <f t="shared" si="119"/>
        <v>7500</v>
      </c>
      <c r="CU1703" s="22">
        <f t="shared" si="120"/>
        <v>0</v>
      </c>
      <c r="CV1703" s="26">
        <f t="shared" si="117"/>
        <v>0</v>
      </c>
    </row>
    <row r="1704" spans="1:101" ht="12.75" x14ac:dyDescent="0.2">
      <c r="A1704" s="9" t="s">
        <v>438</v>
      </c>
      <c r="B1704" s="2">
        <v>49</v>
      </c>
      <c r="C1704" s="3" t="s">
        <v>95</v>
      </c>
      <c r="D1704" s="3" t="s">
        <v>96</v>
      </c>
      <c r="E1704" s="2"/>
      <c r="F1704" s="2"/>
      <c r="G1704" s="2" t="s">
        <v>71</v>
      </c>
      <c r="H1704" s="2">
        <v>10</v>
      </c>
      <c r="I1704" s="8">
        <v>125.87</v>
      </c>
      <c r="J1704" s="8">
        <v>38900</v>
      </c>
      <c r="K1704" s="3">
        <v>0</v>
      </c>
      <c r="L1704" s="3" t="s">
        <v>3</v>
      </c>
      <c r="M1704" s="9" t="s">
        <v>0</v>
      </c>
      <c r="N1704" s="9" t="s">
        <v>35</v>
      </c>
      <c r="O1704" s="9" t="s">
        <v>439</v>
      </c>
      <c r="S1704" s="9" t="s">
        <v>158</v>
      </c>
      <c r="T1704" s="10" t="s">
        <v>71</v>
      </c>
      <c r="U1704" s="10">
        <v>10</v>
      </c>
      <c r="V1704" s="10">
        <v>125.87</v>
      </c>
      <c r="W1704" s="10"/>
      <c r="X1704" s="17">
        <v>45037</v>
      </c>
      <c r="Y1704" s="17">
        <v>45037</v>
      </c>
      <c r="Z1704" s="19" t="s">
        <v>772</v>
      </c>
      <c r="AA1704" s="210">
        <f t="shared" si="121"/>
        <v>51000</v>
      </c>
      <c r="AB1704" s="9">
        <v>61</v>
      </c>
      <c r="AC1704" s="9">
        <v>31</v>
      </c>
      <c r="AD1704" s="17">
        <v>45922</v>
      </c>
      <c r="AE1704" s="56">
        <v>7500</v>
      </c>
      <c r="AF1704" s="56"/>
      <c r="AG1704" s="9" t="s">
        <v>134</v>
      </c>
      <c r="AH1704" s="17">
        <v>45922</v>
      </c>
      <c r="AI1704" s="17"/>
      <c r="AJ1704" s="17"/>
      <c r="AK1704" s="9" t="s">
        <v>1819</v>
      </c>
      <c r="AL1704" s="11">
        <v>7500</v>
      </c>
      <c r="AN1704" s="11" t="s">
        <v>1832</v>
      </c>
      <c r="AP1704" s="11"/>
      <c r="AQ1704" s="11"/>
      <c r="AR1704" s="11"/>
      <c r="AW1704" s="94">
        <v>45920</v>
      </c>
      <c r="AX1704" s="96">
        <v>4761</v>
      </c>
      <c r="BA1704" s="95">
        <v>7500</v>
      </c>
      <c r="BD1704" s="9"/>
      <c r="CS1704" s="11">
        <f t="shared" si="118"/>
        <v>7500</v>
      </c>
      <c r="CT1704" s="22">
        <f t="shared" si="119"/>
        <v>7500</v>
      </c>
      <c r="CU1704" s="22">
        <f t="shared" si="120"/>
        <v>0</v>
      </c>
      <c r="CV1704" s="26">
        <f t="shared" si="117"/>
        <v>0</v>
      </c>
    </row>
    <row r="1705" spans="1:101" ht="12.75" x14ac:dyDescent="0.2">
      <c r="A1705" s="9" t="s">
        <v>438</v>
      </c>
      <c r="B1705" s="2">
        <v>49</v>
      </c>
      <c r="C1705" s="3" t="s">
        <v>95</v>
      </c>
      <c r="D1705" s="3" t="s">
        <v>96</v>
      </c>
      <c r="E1705" s="2"/>
      <c r="F1705" s="2"/>
      <c r="G1705" s="2" t="s">
        <v>71</v>
      </c>
      <c r="H1705" s="2">
        <v>10</v>
      </c>
      <c r="I1705" s="8">
        <v>125.87</v>
      </c>
      <c r="J1705" s="8">
        <v>38900</v>
      </c>
      <c r="K1705" s="3">
        <v>0</v>
      </c>
      <c r="L1705" s="3" t="s">
        <v>3</v>
      </c>
      <c r="M1705" s="9" t="s">
        <v>0</v>
      </c>
      <c r="N1705" s="9" t="s">
        <v>35</v>
      </c>
      <c r="O1705" s="9" t="s">
        <v>439</v>
      </c>
      <c r="S1705" s="9" t="s">
        <v>158</v>
      </c>
      <c r="T1705" s="10" t="s">
        <v>71</v>
      </c>
      <c r="U1705" s="10">
        <v>10</v>
      </c>
      <c r="V1705" s="10">
        <v>125.87</v>
      </c>
      <c r="W1705" s="10"/>
      <c r="X1705" s="17">
        <v>45037</v>
      </c>
      <c r="Y1705" s="17">
        <v>45037</v>
      </c>
      <c r="Z1705" s="19" t="s">
        <v>772</v>
      </c>
      <c r="AA1705" s="210">
        <f t="shared" si="121"/>
        <v>51000</v>
      </c>
      <c r="AB1705" s="9">
        <v>61</v>
      </c>
      <c r="AC1705" s="9">
        <v>32</v>
      </c>
      <c r="AD1705" s="17">
        <v>45922</v>
      </c>
      <c r="AE1705" s="56">
        <v>1500</v>
      </c>
      <c r="AF1705" s="56"/>
      <c r="AG1705" s="9" t="s">
        <v>134</v>
      </c>
      <c r="AH1705" s="17">
        <v>45922</v>
      </c>
      <c r="AI1705" s="17"/>
      <c r="AJ1705" s="17"/>
      <c r="AK1705" s="9" t="s">
        <v>1820</v>
      </c>
      <c r="AL1705" s="11">
        <v>1500</v>
      </c>
      <c r="AN1705" s="11" t="s">
        <v>1833</v>
      </c>
      <c r="AP1705" s="11"/>
      <c r="AQ1705" s="11"/>
      <c r="AR1705" s="11"/>
      <c r="AW1705" s="94">
        <v>45922</v>
      </c>
      <c r="AX1705" s="96">
        <v>4772</v>
      </c>
      <c r="BA1705" s="95">
        <v>1500</v>
      </c>
      <c r="BD1705" s="9"/>
      <c r="CS1705" s="11">
        <f t="shared" si="118"/>
        <v>1500</v>
      </c>
      <c r="CT1705" s="22">
        <f t="shared" si="119"/>
        <v>1500</v>
      </c>
      <c r="CU1705" s="22">
        <f t="shared" si="120"/>
        <v>0</v>
      </c>
      <c r="CV1705" s="26">
        <f t="shared" si="117"/>
        <v>0</v>
      </c>
    </row>
    <row r="1706" spans="1:101" ht="12.75" x14ac:dyDescent="0.2">
      <c r="A1706" s="9" t="s">
        <v>438</v>
      </c>
      <c r="B1706" s="2">
        <v>49</v>
      </c>
      <c r="C1706" s="3" t="s">
        <v>95</v>
      </c>
      <c r="D1706" s="3" t="s">
        <v>96</v>
      </c>
      <c r="E1706" s="2"/>
      <c r="F1706" s="2"/>
      <c r="G1706" s="2" t="s">
        <v>71</v>
      </c>
      <c r="H1706" s="2">
        <v>10</v>
      </c>
      <c r="I1706" s="8">
        <v>125.87</v>
      </c>
      <c r="J1706" s="8">
        <v>38900</v>
      </c>
      <c r="K1706" s="3">
        <v>0</v>
      </c>
      <c r="L1706" s="3" t="s">
        <v>3</v>
      </c>
      <c r="M1706" s="9" t="s">
        <v>0</v>
      </c>
      <c r="N1706" s="9" t="s">
        <v>35</v>
      </c>
      <c r="O1706" s="9" t="s">
        <v>439</v>
      </c>
      <c r="S1706" s="9" t="s">
        <v>440</v>
      </c>
      <c r="V1706" s="10">
        <v>12.5</v>
      </c>
      <c r="W1706" s="10"/>
      <c r="X1706" s="17">
        <v>45037</v>
      </c>
      <c r="Y1706" s="17">
        <v>45038</v>
      </c>
      <c r="Z1706" s="19" t="s">
        <v>772</v>
      </c>
      <c r="AA1706" s="210">
        <v>5000</v>
      </c>
      <c r="AB1706" s="9">
        <v>1</v>
      </c>
      <c r="AC1706" s="9">
        <v>1</v>
      </c>
      <c r="AD1706" s="17">
        <v>45038</v>
      </c>
      <c r="AE1706" s="56">
        <v>5000</v>
      </c>
      <c r="AF1706" s="56"/>
      <c r="AG1706" s="9" t="s">
        <v>134</v>
      </c>
      <c r="AH1706" s="17">
        <v>45038</v>
      </c>
      <c r="AI1706" s="17"/>
      <c r="AJ1706" s="17"/>
      <c r="AK1706" s="9" t="s">
        <v>1768</v>
      </c>
      <c r="AL1706" s="11">
        <v>5000</v>
      </c>
      <c r="AN1706" s="11" t="s">
        <v>1777</v>
      </c>
      <c r="AP1706" s="11"/>
      <c r="AQ1706" s="11"/>
      <c r="AR1706" s="11"/>
      <c r="AW1706" s="94">
        <v>45040</v>
      </c>
      <c r="AX1706" s="96">
        <v>1432</v>
      </c>
      <c r="BA1706" s="143">
        <v>5000</v>
      </c>
      <c r="BD1706" s="9"/>
      <c r="CS1706" s="11">
        <f t="shared" si="118"/>
        <v>5000</v>
      </c>
      <c r="CT1706" s="22">
        <f t="shared" si="119"/>
        <v>5000</v>
      </c>
      <c r="CU1706" s="22">
        <f t="shared" si="120"/>
        <v>0</v>
      </c>
      <c r="CV1706" s="26">
        <f t="shared" si="117"/>
        <v>0</v>
      </c>
    </row>
    <row r="1707" spans="1:101" x14ac:dyDescent="0.2">
      <c r="A1707" s="9" t="s">
        <v>441</v>
      </c>
      <c r="B1707" s="2">
        <v>13</v>
      </c>
      <c r="C1707" s="3" t="s">
        <v>95</v>
      </c>
      <c r="D1707" s="3" t="s">
        <v>96</v>
      </c>
      <c r="E1707" s="2"/>
      <c r="F1707" s="2"/>
      <c r="G1707" s="2" t="s">
        <v>67</v>
      </c>
      <c r="H1707" s="2">
        <v>1</v>
      </c>
      <c r="I1707" s="8">
        <v>139.91999999999999</v>
      </c>
      <c r="J1707" s="8">
        <v>44900</v>
      </c>
      <c r="K1707" s="3">
        <v>0</v>
      </c>
      <c r="L1707" s="3" t="s">
        <v>3</v>
      </c>
      <c r="M1707" s="9" t="s">
        <v>0</v>
      </c>
      <c r="N1707" s="9" t="s">
        <v>36</v>
      </c>
      <c r="O1707" s="9" t="s">
        <v>442</v>
      </c>
      <c r="S1707" s="9" t="s">
        <v>158</v>
      </c>
      <c r="T1707" s="10" t="s">
        <v>67</v>
      </c>
      <c r="U1707" s="10">
        <v>1</v>
      </c>
      <c r="V1707" s="10">
        <v>139.91999999999999</v>
      </c>
      <c r="W1707" s="10" t="s">
        <v>1189</v>
      </c>
      <c r="X1707" s="17">
        <v>44595</v>
      </c>
      <c r="Y1707" s="17">
        <v>45734</v>
      </c>
      <c r="Z1707" s="19" t="s">
        <v>772</v>
      </c>
      <c r="AA1707" s="210">
        <v>38650</v>
      </c>
      <c r="AB1707" s="9">
        <v>19</v>
      </c>
      <c r="AC1707" s="9">
        <v>1</v>
      </c>
      <c r="AD1707" s="17">
        <v>44595</v>
      </c>
      <c r="AE1707" s="56">
        <v>20000</v>
      </c>
      <c r="AF1707" s="56"/>
      <c r="AG1707" s="9" t="s">
        <v>134</v>
      </c>
      <c r="AH1707" s="17">
        <v>44595</v>
      </c>
      <c r="AI1707" s="17"/>
      <c r="AJ1707" s="17"/>
      <c r="AK1707" s="9" t="s">
        <v>443</v>
      </c>
      <c r="AL1707" s="11">
        <v>20000</v>
      </c>
      <c r="AN1707" s="11" t="s">
        <v>1738</v>
      </c>
      <c r="AP1707" s="11"/>
      <c r="AQ1707" s="11"/>
      <c r="AR1707" s="11"/>
      <c r="AW1707" s="17">
        <v>44595</v>
      </c>
      <c r="AX1707" s="9">
        <v>435</v>
      </c>
      <c r="BA1707" s="11">
        <v>20000</v>
      </c>
      <c r="BD1707" s="9"/>
      <c r="CS1707" s="11">
        <f t="shared" si="118"/>
        <v>20000</v>
      </c>
      <c r="CT1707" s="22">
        <f t="shared" si="119"/>
        <v>20000</v>
      </c>
      <c r="CU1707" s="22">
        <f t="shared" si="120"/>
        <v>0</v>
      </c>
      <c r="CV1707" s="26">
        <f t="shared" si="117"/>
        <v>0</v>
      </c>
    </row>
    <row r="1708" spans="1:101" x14ac:dyDescent="0.2">
      <c r="A1708" s="9" t="s">
        <v>441</v>
      </c>
      <c r="B1708" s="2">
        <v>13</v>
      </c>
      <c r="C1708" s="3" t="s">
        <v>95</v>
      </c>
      <c r="D1708" s="3" t="s">
        <v>96</v>
      </c>
      <c r="E1708" s="2"/>
      <c r="F1708" s="2"/>
      <c r="G1708" s="2" t="s">
        <v>67</v>
      </c>
      <c r="H1708" s="2">
        <v>1</v>
      </c>
      <c r="I1708" s="8">
        <v>139.91999999999999</v>
      </c>
      <c r="J1708" s="8">
        <v>44900</v>
      </c>
      <c r="K1708" s="3">
        <v>0</v>
      </c>
      <c r="L1708" s="3" t="s">
        <v>3</v>
      </c>
      <c r="M1708" s="9" t="s">
        <v>0</v>
      </c>
      <c r="N1708" s="9" t="s">
        <v>36</v>
      </c>
      <c r="O1708" s="9" t="s">
        <v>442</v>
      </c>
      <c r="S1708" s="9" t="s">
        <v>158</v>
      </c>
      <c r="T1708" s="10" t="s">
        <v>67</v>
      </c>
      <c r="U1708" s="10">
        <v>1</v>
      </c>
      <c r="V1708" s="10">
        <v>139.91999999999999</v>
      </c>
      <c r="W1708" s="10" t="s">
        <v>1189</v>
      </c>
      <c r="X1708" s="17">
        <v>44595</v>
      </c>
      <c r="Y1708" s="17">
        <v>45734</v>
      </c>
      <c r="Z1708" s="19" t="s">
        <v>772</v>
      </c>
      <c r="AA1708" s="210">
        <v>38650</v>
      </c>
      <c r="AB1708" s="9">
        <v>19</v>
      </c>
      <c r="AC1708" s="9">
        <v>2</v>
      </c>
      <c r="AD1708" s="17">
        <v>44681</v>
      </c>
      <c r="AE1708" s="56">
        <v>1027.78</v>
      </c>
      <c r="AF1708" s="56"/>
      <c r="AG1708" s="9" t="s">
        <v>134</v>
      </c>
      <c r="AH1708" s="17">
        <v>44680</v>
      </c>
      <c r="AI1708" s="17"/>
      <c r="AJ1708" s="17"/>
      <c r="AK1708" s="9" t="s">
        <v>1743</v>
      </c>
      <c r="AL1708" s="11">
        <v>1027.78</v>
      </c>
      <c r="AN1708" s="11" t="s">
        <v>1739</v>
      </c>
      <c r="AP1708" s="11"/>
      <c r="AQ1708" s="11"/>
      <c r="AR1708" s="11"/>
      <c r="AW1708" s="17">
        <v>44680</v>
      </c>
      <c r="AX1708" s="9">
        <v>596</v>
      </c>
      <c r="BA1708" s="86">
        <v>1027.78</v>
      </c>
      <c r="BD1708" s="9"/>
      <c r="CS1708" s="11">
        <f t="shared" si="118"/>
        <v>1027.78</v>
      </c>
      <c r="CT1708" s="22">
        <f t="shared" si="119"/>
        <v>1027.78</v>
      </c>
      <c r="CU1708" s="22">
        <f t="shared" si="120"/>
        <v>0</v>
      </c>
      <c r="CV1708" s="26">
        <f t="shared" si="117"/>
        <v>0</v>
      </c>
    </row>
    <row r="1709" spans="1:101" x14ac:dyDescent="0.2">
      <c r="A1709" s="9" t="s">
        <v>441</v>
      </c>
      <c r="B1709" s="2">
        <v>13</v>
      </c>
      <c r="C1709" s="3" t="s">
        <v>95</v>
      </c>
      <c r="D1709" s="3" t="s">
        <v>96</v>
      </c>
      <c r="E1709" s="2"/>
      <c r="F1709" s="2"/>
      <c r="G1709" s="2" t="s">
        <v>67</v>
      </c>
      <c r="H1709" s="2">
        <v>1</v>
      </c>
      <c r="I1709" s="8">
        <v>139.91999999999999</v>
      </c>
      <c r="J1709" s="8">
        <v>44900</v>
      </c>
      <c r="K1709" s="3">
        <v>0</v>
      </c>
      <c r="L1709" s="3" t="s">
        <v>3</v>
      </c>
      <c r="M1709" s="9" t="s">
        <v>0</v>
      </c>
      <c r="N1709" s="9" t="s">
        <v>36</v>
      </c>
      <c r="O1709" s="9" t="s">
        <v>442</v>
      </c>
      <c r="S1709" s="9" t="s">
        <v>158</v>
      </c>
      <c r="T1709" s="10" t="s">
        <v>67</v>
      </c>
      <c r="U1709" s="10">
        <v>1</v>
      </c>
      <c r="V1709" s="10">
        <v>139.91999999999999</v>
      </c>
      <c r="W1709" s="10" t="s">
        <v>1189</v>
      </c>
      <c r="X1709" s="17">
        <v>44595</v>
      </c>
      <c r="Y1709" s="17">
        <v>45734</v>
      </c>
      <c r="Z1709" s="19" t="s">
        <v>772</v>
      </c>
      <c r="AA1709" s="210">
        <v>38650</v>
      </c>
      <c r="AB1709" s="9">
        <v>19</v>
      </c>
      <c r="AC1709" s="9">
        <v>3</v>
      </c>
      <c r="AD1709" s="17">
        <v>44711</v>
      </c>
      <c r="AE1709" s="56">
        <v>1027.78</v>
      </c>
      <c r="AF1709" s="56"/>
      <c r="AG1709" s="9" t="s">
        <v>134</v>
      </c>
      <c r="AH1709" s="17">
        <v>44716</v>
      </c>
      <c r="AI1709" s="17"/>
      <c r="AJ1709" s="17"/>
      <c r="AK1709" s="9" t="s">
        <v>444</v>
      </c>
      <c r="AL1709" s="11">
        <v>1027.78</v>
      </c>
      <c r="AN1709" s="11" t="s">
        <v>1740</v>
      </c>
      <c r="AP1709" s="11"/>
      <c r="AQ1709" s="11"/>
      <c r="AR1709" s="11"/>
      <c r="AW1709" s="17">
        <v>44713</v>
      </c>
      <c r="AX1709" s="9">
        <v>679</v>
      </c>
      <c r="BA1709" s="11">
        <v>1027.78</v>
      </c>
      <c r="BB1709" s="11" t="s">
        <v>1348</v>
      </c>
      <c r="BD1709" s="9"/>
      <c r="CS1709" s="11">
        <f t="shared" si="118"/>
        <v>1027.78</v>
      </c>
      <c r="CT1709" s="22">
        <f t="shared" si="119"/>
        <v>1027.78</v>
      </c>
      <c r="CU1709" s="22">
        <f t="shared" si="120"/>
        <v>0</v>
      </c>
      <c r="CV1709" s="26">
        <f t="shared" si="117"/>
        <v>0</v>
      </c>
    </row>
    <row r="1710" spans="1:101" x14ac:dyDescent="0.2">
      <c r="A1710" s="9" t="s">
        <v>441</v>
      </c>
      <c r="B1710" s="2">
        <v>13</v>
      </c>
      <c r="C1710" s="3" t="s">
        <v>95</v>
      </c>
      <c r="D1710" s="3" t="s">
        <v>96</v>
      </c>
      <c r="E1710" s="2"/>
      <c r="F1710" s="2"/>
      <c r="G1710" s="2" t="s">
        <v>67</v>
      </c>
      <c r="H1710" s="2">
        <v>1</v>
      </c>
      <c r="I1710" s="8">
        <v>139.91999999999999</v>
      </c>
      <c r="J1710" s="8">
        <v>44900</v>
      </c>
      <c r="K1710" s="3">
        <v>0</v>
      </c>
      <c r="L1710" s="3" t="s">
        <v>3</v>
      </c>
      <c r="M1710" s="9" t="s">
        <v>0</v>
      </c>
      <c r="N1710" s="9" t="s">
        <v>36</v>
      </c>
      <c r="O1710" s="9" t="s">
        <v>442</v>
      </c>
      <c r="S1710" s="9" t="s">
        <v>158</v>
      </c>
      <c r="T1710" s="10" t="s">
        <v>67</v>
      </c>
      <c r="U1710" s="10">
        <v>1</v>
      </c>
      <c r="V1710" s="10">
        <v>139.91999999999999</v>
      </c>
      <c r="W1710" s="10" t="s">
        <v>1189</v>
      </c>
      <c r="X1710" s="17">
        <v>44595</v>
      </c>
      <c r="Y1710" s="17">
        <v>45734</v>
      </c>
      <c r="Z1710" s="19" t="s">
        <v>772</v>
      </c>
      <c r="AA1710" s="210">
        <v>38650</v>
      </c>
      <c r="AB1710" s="9">
        <v>19</v>
      </c>
      <c r="AC1710" s="9">
        <v>4</v>
      </c>
      <c r="AD1710" s="17">
        <v>44742</v>
      </c>
      <c r="AE1710" s="56">
        <v>1027.78</v>
      </c>
      <c r="AF1710" s="56"/>
      <c r="AG1710" s="9" t="s">
        <v>134</v>
      </c>
      <c r="AH1710" s="17">
        <v>44791</v>
      </c>
      <c r="AI1710" s="17"/>
      <c r="AJ1710" s="17"/>
      <c r="AK1710" s="9" t="s">
        <v>445</v>
      </c>
      <c r="AL1710" s="11">
        <v>1027.78</v>
      </c>
      <c r="AN1710" s="11" t="s">
        <v>1741</v>
      </c>
      <c r="AP1710" s="11"/>
      <c r="AQ1710" s="11"/>
      <c r="AR1710" s="11"/>
      <c r="AW1710" s="17">
        <v>44790</v>
      </c>
      <c r="AX1710" s="9">
        <v>858</v>
      </c>
      <c r="BA1710" s="11">
        <v>1027.78</v>
      </c>
      <c r="BD1710" s="9"/>
      <c r="CS1710" s="11">
        <f t="shared" si="118"/>
        <v>1027.78</v>
      </c>
      <c r="CT1710" s="22">
        <f t="shared" si="119"/>
        <v>1027.78</v>
      </c>
      <c r="CU1710" s="22">
        <f t="shared" si="120"/>
        <v>0</v>
      </c>
      <c r="CV1710" s="26">
        <f t="shared" si="117"/>
        <v>0</v>
      </c>
    </row>
    <row r="1711" spans="1:101" x14ac:dyDescent="0.2">
      <c r="A1711" s="9" t="s">
        <v>441</v>
      </c>
      <c r="B1711" s="2">
        <v>13</v>
      </c>
      <c r="C1711" s="3" t="s">
        <v>95</v>
      </c>
      <c r="D1711" s="3" t="s">
        <v>96</v>
      </c>
      <c r="E1711" s="2"/>
      <c r="F1711" s="2"/>
      <c r="G1711" s="2" t="s">
        <v>67</v>
      </c>
      <c r="H1711" s="2">
        <v>1</v>
      </c>
      <c r="I1711" s="8">
        <v>139.91999999999999</v>
      </c>
      <c r="J1711" s="8">
        <v>44900</v>
      </c>
      <c r="K1711" s="3">
        <v>0</v>
      </c>
      <c r="L1711" s="3" t="s">
        <v>3</v>
      </c>
      <c r="M1711" s="9" t="s">
        <v>0</v>
      </c>
      <c r="N1711" s="9" t="s">
        <v>36</v>
      </c>
      <c r="O1711" s="9" t="s">
        <v>442</v>
      </c>
      <c r="S1711" s="9" t="s">
        <v>158</v>
      </c>
      <c r="T1711" s="10" t="s">
        <v>67</v>
      </c>
      <c r="U1711" s="10">
        <v>1</v>
      </c>
      <c r="V1711" s="10">
        <v>139.91999999999999</v>
      </c>
      <c r="W1711" s="10" t="s">
        <v>1189</v>
      </c>
      <c r="X1711" s="17">
        <v>44595</v>
      </c>
      <c r="Y1711" s="17">
        <v>45734</v>
      </c>
      <c r="Z1711" s="19" t="s">
        <v>772</v>
      </c>
      <c r="AA1711" s="210">
        <v>38650</v>
      </c>
      <c r="AB1711" s="9">
        <v>19</v>
      </c>
      <c r="AC1711" s="9">
        <v>5</v>
      </c>
      <c r="AD1711" s="17">
        <v>44772</v>
      </c>
      <c r="AE1711" s="56">
        <v>1027.78</v>
      </c>
      <c r="AF1711" s="56"/>
      <c r="AG1711" s="9" t="s">
        <v>134</v>
      </c>
      <c r="AH1711" s="17">
        <v>44791</v>
      </c>
      <c r="AI1711" s="17"/>
      <c r="AJ1711" s="17"/>
      <c r="AK1711" s="9" t="s">
        <v>446</v>
      </c>
      <c r="AL1711" s="11">
        <v>1027.78</v>
      </c>
      <c r="AN1711" s="11" t="s">
        <v>1742</v>
      </c>
      <c r="AP1711" s="11"/>
      <c r="AQ1711" s="11"/>
      <c r="AR1711" s="11"/>
      <c r="AW1711" s="17">
        <v>44790</v>
      </c>
      <c r="AX1711" s="9">
        <v>860</v>
      </c>
      <c r="BA1711" s="11">
        <v>1027.78</v>
      </c>
      <c r="BD1711" s="9"/>
      <c r="CS1711" s="11">
        <f t="shared" si="118"/>
        <v>1027.78</v>
      </c>
      <c r="CT1711" s="22">
        <f t="shared" si="119"/>
        <v>1027.78</v>
      </c>
      <c r="CU1711" s="22">
        <f t="shared" si="120"/>
        <v>0</v>
      </c>
      <c r="CV1711" s="26">
        <f t="shared" si="117"/>
        <v>0</v>
      </c>
    </row>
    <row r="1712" spans="1:101" x14ac:dyDescent="0.2">
      <c r="A1712" s="9" t="s">
        <v>441</v>
      </c>
      <c r="B1712" s="2">
        <v>13</v>
      </c>
      <c r="C1712" s="3" t="s">
        <v>95</v>
      </c>
      <c r="D1712" s="3" t="s">
        <v>96</v>
      </c>
      <c r="E1712" s="2"/>
      <c r="F1712" s="2"/>
      <c r="G1712" s="2" t="s">
        <v>67</v>
      </c>
      <c r="H1712" s="2">
        <v>1</v>
      </c>
      <c r="I1712" s="8">
        <v>139.91999999999999</v>
      </c>
      <c r="J1712" s="8">
        <v>44900</v>
      </c>
      <c r="K1712" s="3">
        <v>0</v>
      </c>
      <c r="L1712" s="3" t="s">
        <v>3</v>
      </c>
      <c r="M1712" s="9" t="s">
        <v>0</v>
      </c>
      <c r="N1712" s="9" t="s">
        <v>36</v>
      </c>
      <c r="O1712" s="9" t="s">
        <v>442</v>
      </c>
      <c r="S1712" s="9" t="s">
        <v>158</v>
      </c>
      <c r="T1712" s="10" t="s">
        <v>67</v>
      </c>
      <c r="U1712" s="10">
        <v>1</v>
      </c>
      <c r="V1712" s="10">
        <v>139.91999999999999</v>
      </c>
      <c r="W1712" s="10" t="s">
        <v>1189</v>
      </c>
      <c r="X1712" s="17">
        <v>44595</v>
      </c>
      <c r="Y1712" s="17">
        <v>45734</v>
      </c>
      <c r="Z1712" s="19" t="s">
        <v>772</v>
      </c>
      <c r="AA1712" s="210">
        <v>38650</v>
      </c>
      <c r="AB1712" s="9">
        <v>19</v>
      </c>
      <c r="AC1712" s="9">
        <v>6</v>
      </c>
      <c r="AD1712" s="17">
        <v>44803</v>
      </c>
      <c r="AE1712" s="56">
        <v>1027.78</v>
      </c>
      <c r="AF1712" s="56"/>
      <c r="AG1712" s="9" t="s">
        <v>134</v>
      </c>
      <c r="AH1712" s="17">
        <v>44995</v>
      </c>
      <c r="AI1712" s="17"/>
      <c r="AJ1712" s="17"/>
      <c r="AK1712" s="9" t="s">
        <v>1753</v>
      </c>
      <c r="AL1712" s="11">
        <v>2500</v>
      </c>
      <c r="AN1712" s="11" t="s">
        <v>1744</v>
      </c>
      <c r="AP1712" s="11"/>
      <c r="AQ1712" s="11"/>
      <c r="AR1712" s="11"/>
      <c r="AW1712" s="17">
        <v>44994</v>
      </c>
      <c r="AX1712" s="9">
        <v>1306</v>
      </c>
      <c r="BA1712" s="11">
        <v>2500</v>
      </c>
      <c r="BD1712" s="9"/>
      <c r="CS1712" s="11">
        <f t="shared" si="118"/>
        <v>2500</v>
      </c>
      <c r="CT1712" s="22">
        <f t="shared" si="119"/>
        <v>2500</v>
      </c>
      <c r="CU1712" s="22">
        <f t="shared" si="120"/>
        <v>0</v>
      </c>
      <c r="CV1712" s="26">
        <f t="shared" si="117"/>
        <v>-1472.22</v>
      </c>
      <c r="CW1712" s="9" t="s">
        <v>3505</v>
      </c>
    </row>
    <row r="1713" spans="1:101" x14ac:dyDescent="0.2">
      <c r="A1713" s="9" t="s">
        <v>441</v>
      </c>
      <c r="B1713" s="2">
        <v>13</v>
      </c>
      <c r="C1713" s="3" t="s">
        <v>95</v>
      </c>
      <c r="D1713" s="3" t="s">
        <v>96</v>
      </c>
      <c r="E1713" s="2"/>
      <c r="F1713" s="2"/>
      <c r="G1713" s="2" t="s">
        <v>67</v>
      </c>
      <c r="H1713" s="2">
        <v>1</v>
      </c>
      <c r="I1713" s="8">
        <v>139.91999999999999</v>
      </c>
      <c r="J1713" s="8">
        <v>44900</v>
      </c>
      <c r="K1713" s="3">
        <v>0</v>
      </c>
      <c r="L1713" s="3" t="s">
        <v>3</v>
      </c>
      <c r="M1713" s="9" t="s">
        <v>0</v>
      </c>
      <c r="N1713" s="9" t="s">
        <v>36</v>
      </c>
      <c r="O1713" s="9" t="s">
        <v>442</v>
      </c>
      <c r="S1713" s="9" t="s">
        <v>158</v>
      </c>
      <c r="T1713" s="10" t="s">
        <v>67</v>
      </c>
      <c r="U1713" s="10">
        <v>1</v>
      </c>
      <c r="V1713" s="10">
        <v>139.91999999999999</v>
      </c>
      <c r="W1713" s="10" t="s">
        <v>1189</v>
      </c>
      <c r="X1713" s="17">
        <v>44595</v>
      </c>
      <c r="Y1713" s="17">
        <v>45734</v>
      </c>
      <c r="Z1713" s="19" t="s">
        <v>772</v>
      </c>
      <c r="AA1713" s="210">
        <v>38650</v>
      </c>
      <c r="AB1713" s="9">
        <v>19</v>
      </c>
      <c r="AC1713" s="9">
        <v>7</v>
      </c>
      <c r="AD1713" s="17">
        <v>44834</v>
      </c>
      <c r="AE1713" s="56">
        <v>1027.78</v>
      </c>
      <c r="AF1713" s="56"/>
      <c r="AG1713" s="9" t="s">
        <v>134</v>
      </c>
      <c r="AH1713" s="17">
        <v>45016</v>
      </c>
      <c r="AI1713" s="17"/>
      <c r="AJ1713" s="17"/>
      <c r="AK1713" s="9" t="s">
        <v>1754</v>
      </c>
      <c r="AL1713" s="11">
        <v>1094.5</v>
      </c>
      <c r="AN1713" s="11" t="s">
        <v>1745</v>
      </c>
      <c r="AP1713" s="11"/>
      <c r="AQ1713" s="11"/>
      <c r="AR1713" s="11"/>
      <c r="AW1713" s="17">
        <v>45016</v>
      </c>
      <c r="AX1713" s="9">
        <v>1369</v>
      </c>
      <c r="BA1713" s="11">
        <v>1094.5</v>
      </c>
      <c r="BD1713" s="9"/>
      <c r="CS1713" s="11">
        <f t="shared" si="118"/>
        <v>1094.5</v>
      </c>
      <c r="CT1713" s="22">
        <f t="shared" si="119"/>
        <v>1094.5</v>
      </c>
      <c r="CU1713" s="22">
        <f t="shared" si="120"/>
        <v>0</v>
      </c>
      <c r="CV1713" s="26">
        <f t="shared" si="117"/>
        <v>-66.720000000000027</v>
      </c>
      <c r="CW1713" s="9" t="s">
        <v>3505</v>
      </c>
    </row>
    <row r="1714" spans="1:101" x14ac:dyDescent="0.2">
      <c r="A1714" s="9" t="s">
        <v>441</v>
      </c>
      <c r="B1714" s="2">
        <v>13</v>
      </c>
      <c r="C1714" s="3" t="s">
        <v>95</v>
      </c>
      <c r="D1714" s="3" t="s">
        <v>96</v>
      </c>
      <c r="E1714" s="2"/>
      <c r="F1714" s="2"/>
      <c r="G1714" s="2" t="s">
        <v>67</v>
      </c>
      <c r="H1714" s="2">
        <v>1</v>
      </c>
      <c r="I1714" s="8">
        <v>139.91999999999999</v>
      </c>
      <c r="J1714" s="8">
        <v>44900</v>
      </c>
      <c r="K1714" s="3">
        <v>0</v>
      </c>
      <c r="L1714" s="3" t="s">
        <v>3</v>
      </c>
      <c r="M1714" s="9" t="s">
        <v>0</v>
      </c>
      <c r="N1714" s="9" t="s">
        <v>36</v>
      </c>
      <c r="O1714" s="9" t="s">
        <v>442</v>
      </c>
      <c r="S1714" s="9" t="s">
        <v>158</v>
      </c>
      <c r="T1714" s="10" t="s">
        <v>67</v>
      </c>
      <c r="U1714" s="10">
        <v>1</v>
      </c>
      <c r="V1714" s="10">
        <v>139.91999999999999</v>
      </c>
      <c r="W1714" s="10" t="s">
        <v>1189</v>
      </c>
      <c r="X1714" s="17">
        <v>44595</v>
      </c>
      <c r="Y1714" s="17">
        <v>45734</v>
      </c>
      <c r="Z1714" s="19" t="s">
        <v>772</v>
      </c>
      <c r="AA1714" s="210">
        <v>38650</v>
      </c>
      <c r="AB1714" s="9">
        <v>19</v>
      </c>
      <c r="AC1714" s="9">
        <v>8</v>
      </c>
      <c r="AD1714" s="17">
        <v>44864</v>
      </c>
      <c r="AE1714" s="56">
        <v>1027.78</v>
      </c>
      <c r="AF1714" s="56"/>
      <c r="AG1714" s="9" t="s">
        <v>134</v>
      </c>
      <c r="AH1714" s="17">
        <v>45049</v>
      </c>
      <c r="AI1714" s="17"/>
      <c r="AJ1714" s="17"/>
      <c r="AK1714" s="9" t="s">
        <v>1755</v>
      </c>
      <c r="AL1714" s="11">
        <v>1094.5</v>
      </c>
      <c r="AN1714" s="11" t="s">
        <v>1746</v>
      </c>
      <c r="AP1714" s="11"/>
      <c r="AQ1714" s="11"/>
      <c r="AR1714" s="11"/>
      <c r="AW1714" s="17">
        <v>45048</v>
      </c>
      <c r="AX1714" s="9">
        <v>1455</v>
      </c>
      <c r="BA1714" s="11">
        <v>1094.5</v>
      </c>
      <c r="BD1714" s="9"/>
      <c r="CS1714" s="11">
        <f t="shared" si="118"/>
        <v>1094.5</v>
      </c>
      <c r="CT1714" s="22">
        <f t="shared" si="119"/>
        <v>1094.5</v>
      </c>
      <c r="CU1714" s="22">
        <f t="shared" si="120"/>
        <v>0</v>
      </c>
      <c r="CV1714" s="26">
        <f t="shared" si="117"/>
        <v>-66.720000000000027</v>
      </c>
      <c r="CW1714" s="9" t="s">
        <v>3505</v>
      </c>
    </row>
    <row r="1715" spans="1:101" x14ac:dyDescent="0.2">
      <c r="A1715" s="9" t="s">
        <v>441</v>
      </c>
      <c r="B1715" s="2">
        <v>13</v>
      </c>
      <c r="C1715" s="3" t="s">
        <v>95</v>
      </c>
      <c r="D1715" s="3" t="s">
        <v>96</v>
      </c>
      <c r="E1715" s="2"/>
      <c r="F1715" s="2"/>
      <c r="G1715" s="2" t="s">
        <v>67</v>
      </c>
      <c r="H1715" s="2">
        <v>1</v>
      </c>
      <c r="I1715" s="8">
        <v>139.91999999999999</v>
      </c>
      <c r="J1715" s="8">
        <v>44900</v>
      </c>
      <c r="K1715" s="3">
        <v>0</v>
      </c>
      <c r="L1715" s="3" t="s">
        <v>3</v>
      </c>
      <c r="M1715" s="9" t="s">
        <v>0</v>
      </c>
      <c r="N1715" s="9" t="s">
        <v>36</v>
      </c>
      <c r="O1715" s="9" t="s">
        <v>442</v>
      </c>
      <c r="S1715" s="9" t="s">
        <v>158</v>
      </c>
      <c r="T1715" s="10" t="s">
        <v>67</v>
      </c>
      <c r="U1715" s="10">
        <v>1</v>
      </c>
      <c r="V1715" s="10">
        <v>139.91999999999999</v>
      </c>
      <c r="W1715" s="10" t="s">
        <v>1189</v>
      </c>
      <c r="X1715" s="17">
        <v>44595</v>
      </c>
      <c r="Y1715" s="17">
        <v>45734</v>
      </c>
      <c r="Z1715" s="19" t="s">
        <v>772</v>
      </c>
      <c r="AA1715" s="210">
        <v>38650</v>
      </c>
      <c r="AB1715" s="9">
        <v>19</v>
      </c>
      <c r="AC1715" s="9">
        <v>9</v>
      </c>
      <c r="AD1715" s="17">
        <v>44895</v>
      </c>
      <c r="AE1715" s="56">
        <v>1027.78</v>
      </c>
      <c r="AF1715" s="56"/>
      <c r="AG1715" s="9" t="s">
        <v>134</v>
      </c>
      <c r="AH1715" s="17">
        <v>45077</v>
      </c>
      <c r="AI1715" s="17"/>
      <c r="AJ1715" s="17"/>
      <c r="AK1715" s="9" t="s">
        <v>1756</v>
      </c>
      <c r="AL1715" s="11">
        <v>1094.55</v>
      </c>
      <c r="AN1715" s="11" t="s">
        <v>1747</v>
      </c>
      <c r="AP1715" s="11"/>
      <c r="AQ1715" s="11"/>
      <c r="AR1715" s="11"/>
      <c r="AW1715" s="17">
        <v>45077</v>
      </c>
      <c r="AX1715" s="9">
        <v>1559</v>
      </c>
      <c r="BA1715" s="11">
        <v>1094.5</v>
      </c>
      <c r="BD1715" s="9"/>
      <c r="CS1715" s="11">
        <f t="shared" si="118"/>
        <v>1094.55</v>
      </c>
      <c r="CT1715" s="22">
        <f t="shared" si="119"/>
        <v>1094.5</v>
      </c>
      <c r="CU1715" s="22">
        <f t="shared" si="120"/>
        <v>4.9999999999954525E-2</v>
      </c>
      <c r="CV1715" s="26">
        <f t="shared" si="117"/>
        <v>-66.769999999999982</v>
      </c>
      <c r="CW1715" s="9" t="s">
        <v>3505</v>
      </c>
    </row>
    <row r="1716" spans="1:101" x14ac:dyDescent="0.2">
      <c r="A1716" s="9" t="s">
        <v>441</v>
      </c>
      <c r="B1716" s="2">
        <v>13</v>
      </c>
      <c r="C1716" s="3" t="s">
        <v>95</v>
      </c>
      <c r="D1716" s="3" t="s">
        <v>96</v>
      </c>
      <c r="E1716" s="2"/>
      <c r="F1716" s="2"/>
      <c r="G1716" s="2" t="s">
        <v>67</v>
      </c>
      <c r="H1716" s="2">
        <v>1</v>
      </c>
      <c r="I1716" s="8">
        <v>139.91999999999999</v>
      </c>
      <c r="J1716" s="8">
        <v>44900</v>
      </c>
      <c r="K1716" s="3">
        <v>0</v>
      </c>
      <c r="L1716" s="3" t="s">
        <v>3</v>
      </c>
      <c r="M1716" s="9" t="s">
        <v>0</v>
      </c>
      <c r="N1716" s="9" t="s">
        <v>36</v>
      </c>
      <c r="O1716" s="9" t="s">
        <v>442</v>
      </c>
      <c r="S1716" s="9" t="s">
        <v>158</v>
      </c>
      <c r="T1716" s="10" t="s">
        <v>67</v>
      </c>
      <c r="U1716" s="10">
        <v>1</v>
      </c>
      <c r="V1716" s="10">
        <v>139.91999999999999</v>
      </c>
      <c r="W1716" s="10" t="s">
        <v>1189</v>
      </c>
      <c r="X1716" s="17">
        <v>44595</v>
      </c>
      <c r="Y1716" s="17">
        <v>45734</v>
      </c>
      <c r="Z1716" s="19" t="s">
        <v>772</v>
      </c>
      <c r="AA1716" s="210">
        <v>38650</v>
      </c>
      <c r="AB1716" s="9">
        <v>19</v>
      </c>
      <c r="AC1716" s="9">
        <v>10</v>
      </c>
      <c r="AD1716" s="17">
        <v>44925</v>
      </c>
      <c r="AE1716" s="56">
        <v>1027.78</v>
      </c>
      <c r="AF1716" s="56"/>
      <c r="AG1716" s="9" t="s">
        <v>134</v>
      </c>
      <c r="AH1716" s="17">
        <v>45121</v>
      </c>
      <c r="AI1716" s="17"/>
      <c r="AJ1716" s="17"/>
      <c r="AK1716" s="9" t="s">
        <v>1757</v>
      </c>
      <c r="AL1716" s="11">
        <v>1094.5</v>
      </c>
      <c r="AN1716" s="11" t="s">
        <v>1748</v>
      </c>
      <c r="AP1716" s="11"/>
      <c r="AQ1716" s="11"/>
      <c r="AR1716" s="11"/>
      <c r="AW1716" s="17">
        <v>45112</v>
      </c>
      <c r="AX1716" s="9">
        <v>1673</v>
      </c>
      <c r="BA1716" s="11">
        <v>1094.5</v>
      </c>
      <c r="BD1716" s="9"/>
      <c r="CS1716" s="11">
        <f t="shared" si="118"/>
        <v>1094.5</v>
      </c>
      <c r="CT1716" s="22">
        <f t="shared" si="119"/>
        <v>1094.5</v>
      </c>
      <c r="CU1716" s="22">
        <f t="shared" si="120"/>
        <v>0</v>
      </c>
      <c r="CV1716" s="26">
        <f t="shared" si="117"/>
        <v>-66.720000000000027</v>
      </c>
      <c r="CW1716" s="9" t="s">
        <v>3505</v>
      </c>
    </row>
    <row r="1717" spans="1:101" x14ac:dyDescent="0.2">
      <c r="A1717" s="9" t="s">
        <v>441</v>
      </c>
      <c r="B1717" s="2">
        <v>13</v>
      </c>
      <c r="C1717" s="3" t="s">
        <v>95</v>
      </c>
      <c r="D1717" s="3" t="s">
        <v>96</v>
      </c>
      <c r="E1717" s="2"/>
      <c r="F1717" s="2"/>
      <c r="G1717" s="2" t="s">
        <v>67</v>
      </c>
      <c r="H1717" s="2">
        <v>1</v>
      </c>
      <c r="I1717" s="8">
        <v>139.91999999999999</v>
      </c>
      <c r="J1717" s="8">
        <v>44900</v>
      </c>
      <c r="K1717" s="3">
        <v>0</v>
      </c>
      <c r="L1717" s="3" t="s">
        <v>3</v>
      </c>
      <c r="M1717" s="9" t="s">
        <v>0</v>
      </c>
      <c r="N1717" s="9" t="s">
        <v>36</v>
      </c>
      <c r="O1717" s="9" t="s">
        <v>442</v>
      </c>
      <c r="S1717" s="9" t="s">
        <v>158</v>
      </c>
      <c r="T1717" s="10" t="s">
        <v>67</v>
      </c>
      <c r="U1717" s="10">
        <v>1</v>
      </c>
      <c r="V1717" s="10">
        <v>139.91999999999999</v>
      </c>
      <c r="W1717" s="10" t="s">
        <v>1189</v>
      </c>
      <c r="X1717" s="17">
        <v>44595</v>
      </c>
      <c r="Y1717" s="17">
        <v>45734</v>
      </c>
      <c r="Z1717" s="19" t="s">
        <v>772</v>
      </c>
      <c r="AA1717" s="210">
        <v>38650</v>
      </c>
      <c r="AB1717" s="9">
        <v>19</v>
      </c>
      <c r="AC1717" s="9">
        <v>11</v>
      </c>
      <c r="AD1717" s="17">
        <v>44956</v>
      </c>
      <c r="AE1717" s="56">
        <v>1027.78</v>
      </c>
      <c r="AF1717" s="56"/>
      <c r="AG1717" s="9" t="s">
        <v>134</v>
      </c>
      <c r="AH1717" s="17">
        <v>45146</v>
      </c>
      <c r="AI1717" s="17"/>
      <c r="AJ1717" s="17"/>
      <c r="AK1717" s="9" t="s">
        <v>1758</v>
      </c>
      <c r="AL1717" s="11">
        <v>1094.5</v>
      </c>
      <c r="AN1717" s="11" t="s">
        <v>1749</v>
      </c>
      <c r="AP1717" s="11"/>
      <c r="AQ1717" s="11"/>
      <c r="AR1717" s="11"/>
      <c r="AW1717" s="17">
        <v>45146</v>
      </c>
      <c r="AX1717" s="9">
        <v>1799</v>
      </c>
      <c r="BA1717" s="11">
        <v>1094.5</v>
      </c>
      <c r="BD1717" s="9"/>
      <c r="CS1717" s="11">
        <f t="shared" si="118"/>
        <v>1094.5</v>
      </c>
      <c r="CT1717" s="22">
        <f t="shared" si="119"/>
        <v>1094.5</v>
      </c>
      <c r="CU1717" s="22">
        <f t="shared" si="120"/>
        <v>0</v>
      </c>
      <c r="CV1717" s="26">
        <f t="shared" si="117"/>
        <v>-66.720000000000027</v>
      </c>
      <c r="CW1717" s="9" t="s">
        <v>3505</v>
      </c>
    </row>
    <row r="1718" spans="1:101" x14ac:dyDescent="0.2">
      <c r="A1718" s="9" t="s">
        <v>441</v>
      </c>
      <c r="B1718" s="2">
        <v>13</v>
      </c>
      <c r="C1718" s="3" t="s">
        <v>95</v>
      </c>
      <c r="D1718" s="3" t="s">
        <v>96</v>
      </c>
      <c r="E1718" s="2"/>
      <c r="F1718" s="2"/>
      <c r="G1718" s="2" t="s">
        <v>67</v>
      </c>
      <c r="H1718" s="2">
        <v>1</v>
      </c>
      <c r="I1718" s="8">
        <v>139.91999999999999</v>
      </c>
      <c r="J1718" s="8">
        <v>44900</v>
      </c>
      <c r="K1718" s="3">
        <v>0</v>
      </c>
      <c r="L1718" s="3" t="s">
        <v>3</v>
      </c>
      <c r="M1718" s="9" t="s">
        <v>0</v>
      </c>
      <c r="N1718" s="9" t="s">
        <v>36</v>
      </c>
      <c r="O1718" s="9" t="s">
        <v>442</v>
      </c>
      <c r="S1718" s="9" t="s">
        <v>158</v>
      </c>
      <c r="T1718" s="10" t="s">
        <v>67</v>
      </c>
      <c r="U1718" s="10">
        <v>1</v>
      </c>
      <c r="V1718" s="10">
        <v>139.91999999999999</v>
      </c>
      <c r="W1718" s="10" t="s">
        <v>1189</v>
      </c>
      <c r="X1718" s="17">
        <v>44595</v>
      </c>
      <c r="Y1718" s="17">
        <v>45734</v>
      </c>
      <c r="Z1718" s="19" t="s">
        <v>772</v>
      </c>
      <c r="AA1718" s="210">
        <v>38650</v>
      </c>
      <c r="AB1718" s="9">
        <v>19</v>
      </c>
      <c r="AC1718" s="9">
        <v>12</v>
      </c>
      <c r="AD1718" s="17">
        <v>44985</v>
      </c>
      <c r="AE1718" s="56">
        <v>1027.78</v>
      </c>
      <c r="AF1718" s="56"/>
      <c r="AG1718" s="9" t="s">
        <v>134</v>
      </c>
      <c r="AH1718" s="17">
        <v>45182</v>
      </c>
      <c r="AI1718" s="17"/>
      <c r="AJ1718" s="17"/>
      <c r="AK1718" s="9" t="s">
        <v>1759</v>
      </c>
      <c r="AL1718" s="11">
        <v>1094.5</v>
      </c>
      <c r="AN1718" s="11" t="s">
        <v>1750</v>
      </c>
      <c r="AP1718" s="11"/>
      <c r="AQ1718" s="11"/>
      <c r="AR1718" s="11"/>
      <c r="AW1718" s="17">
        <v>45181</v>
      </c>
      <c r="AX1718" s="9">
        <v>1893</v>
      </c>
      <c r="BA1718" s="11">
        <v>1094.5</v>
      </c>
      <c r="BD1718" s="9"/>
      <c r="CS1718" s="11">
        <f t="shared" si="118"/>
        <v>1094.5</v>
      </c>
      <c r="CT1718" s="22">
        <f t="shared" si="119"/>
        <v>1094.5</v>
      </c>
      <c r="CU1718" s="22">
        <f t="shared" si="120"/>
        <v>0</v>
      </c>
      <c r="CV1718" s="26">
        <f t="shared" si="117"/>
        <v>-66.720000000000027</v>
      </c>
      <c r="CW1718" s="9" t="s">
        <v>3505</v>
      </c>
    </row>
    <row r="1719" spans="1:101" x14ac:dyDescent="0.2">
      <c r="A1719" s="9" t="s">
        <v>441</v>
      </c>
      <c r="B1719" s="2">
        <v>13</v>
      </c>
      <c r="C1719" s="3" t="s">
        <v>95</v>
      </c>
      <c r="D1719" s="3" t="s">
        <v>96</v>
      </c>
      <c r="E1719" s="2"/>
      <c r="F1719" s="2"/>
      <c r="G1719" s="2" t="s">
        <v>67</v>
      </c>
      <c r="H1719" s="2">
        <v>1</v>
      </c>
      <c r="I1719" s="8">
        <v>139.91999999999999</v>
      </c>
      <c r="J1719" s="8">
        <v>44900</v>
      </c>
      <c r="K1719" s="3">
        <v>0</v>
      </c>
      <c r="L1719" s="3" t="s">
        <v>3</v>
      </c>
      <c r="M1719" s="9" t="s">
        <v>0</v>
      </c>
      <c r="N1719" s="9" t="s">
        <v>36</v>
      </c>
      <c r="O1719" s="9" t="s">
        <v>442</v>
      </c>
      <c r="S1719" s="9" t="s">
        <v>158</v>
      </c>
      <c r="T1719" s="10" t="s">
        <v>67</v>
      </c>
      <c r="U1719" s="10">
        <v>1</v>
      </c>
      <c r="V1719" s="10">
        <v>139.91999999999999</v>
      </c>
      <c r="W1719" s="10" t="s">
        <v>1189</v>
      </c>
      <c r="X1719" s="17">
        <v>44595</v>
      </c>
      <c r="Y1719" s="17">
        <v>45734</v>
      </c>
      <c r="Z1719" s="19" t="s">
        <v>772</v>
      </c>
      <c r="AA1719" s="210">
        <v>38650</v>
      </c>
      <c r="AB1719" s="9">
        <v>19</v>
      </c>
      <c r="AC1719" s="9">
        <v>13</v>
      </c>
      <c r="AD1719" s="17">
        <v>45015</v>
      </c>
      <c r="AE1719" s="56">
        <v>1027.78</v>
      </c>
      <c r="AF1719" s="56"/>
      <c r="AG1719" s="9" t="s">
        <v>134</v>
      </c>
      <c r="AH1719" s="17">
        <v>45205</v>
      </c>
      <c r="AI1719" s="17"/>
      <c r="AJ1719" s="17"/>
      <c r="AK1719" s="9" t="s">
        <v>1760</v>
      </c>
      <c r="AL1719" s="11">
        <v>1094.5</v>
      </c>
      <c r="AN1719" s="11" t="s">
        <v>1751</v>
      </c>
      <c r="AP1719" s="11"/>
      <c r="AQ1719" s="11"/>
      <c r="AR1719" s="11"/>
      <c r="AW1719" s="17">
        <v>45204</v>
      </c>
      <c r="AX1719" s="9">
        <v>1952</v>
      </c>
      <c r="BA1719" s="11">
        <v>1094.5</v>
      </c>
      <c r="BD1719" s="9"/>
      <c r="CS1719" s="11">
        <f t="shared" si="118"/>
        <v>1094.5</v>
      </c>
      <c r="CT1719" s="22">
        <f t="shared" si="119"/>
        <v>1094.5</v>
      </c>
      <c r="CU1719" s="22">
        <f t="shared" si="120"/>
        <v>0</v>
      </c>
      <c r="CV1719" s="26">
        <f t="shared" si="117"/>
        <v>-66.720000000000027</v>
      </c>
      <c r="CW1719" s="9" t="s">
        <v>3505</v>
      </c>
    </row>
    <row r="1720" spans="1:101" x14ac:dyDescent="0.2">
      <c r="A1720" s="9" t="s">
        <v>441</v>
      </c>
      <c r="B1720" s="2">
        <v>13</v>
      </c>
      <c r="C1720" s="3" t="s">
        <v>95</v>
      </c>
      <c r="D1720" s="3" t="s">
        <v>96</v>
      </c>
      <c r="E1720" s="2"/>
      <c r="F1720" s="2"/>
      <c r="G1720" s="2" t="s">
        <v>67</v>
      </c>
      <c r="H1720" s="2">
        <v>1</v>
      </c>
      <c r="I1720" s="8">
        <v>139.91999999999999</v>
      </c>
      <c r="J1720" s="8">
        <v>44900</v>
      </c>
      <c r="K1720" s="3">
        <v>0</v>
      </c>
      <c r="L1720" s="3" t="s">
        <v>3</v>
      </c>
      <c r="M1720" s="9" t="s">
        <v>0</v>
      </c>
      <c r="N1720" s="9" t="s">
        <v>36</v>
      </c>
      <c r="O1720" s="9" t="s">
        <v>442</v>
      </c>
      <c r="S1720" s="9" t="s">
        <v>158</v>
      </c>
      <c r="T1720" s="10" t="s">
        <v>67</v>
      </c>
      <c r="U1720" s="10">
        <v>1</v>
      </c>
      <c r="V1720" s="10">
        <v>139.91999999999999</v>
      </c>
      <c r="W1720" s="10" t="s">
        <v>1189</v>
      </c>
      <c r="X1720" s="17">
        <v>44595</v>
      </c>
      <c r="Y1720" s="17">
        <v>45734</v>
      </c>
      <c r="Z1720" s="19" t="s">
        <v>772</v>
      </c>
      <c r="AA1720" s="210">
        <v>38650</v>
      </c>
      <c r="AB1720" s="9">
        <v>19</v>
      </c>
      <c r="AC1720" s="9">
        <v>14</v>
      </c>
      <c r="AD1720" s="17">
        <v>45046</v>
      </c>
      <c r="AE1720" s="56">
        <v>1027.78</v>
      </c>
      <c r="AF1720" s="56"/>
      <c r="AG1720" s="9" t="s">
        <v>134</v>
      </c>
      <c r="AH1720" s="17">
        <v>45240</v>
      </c>
      <c r="AI1720" s="17"/>
      <c r="AJ1720" s="17"/>
      <c r="AK1720" s="9" t="s">
        <v>1761</v>
      </c>
      <c r="AL1720" s="11">
        <v>1094.5</v>
      </c>
      <c r="AN1720" s="11" t="s">
        <v>1752</v>
      </c>
      <c r="AP1720" s="11"/>
      <c r="AQ1720" s="11"/>
      <c r="AR1720" s="11"/>
      <c r="AW1720" s="17">
        <v>45239</v>
      </c>
      <c r="AX1720" s="9">
        <v>2037</v>
      </c>
      <c r="BA1720" s="11">
        <v>1094.5</v>
      </c>
      <c r="BD1720" s="9"/>
      <c r="CS1720" s="11">
        <f t="shared" si="118"/>
        <v>1094.5</v>
      </c>
      <c r="CT1720" s="22">
        <f t="shared" si="119"/>
        <v>1094.5</v>
      </c>
      <c r="CU1720" s="22">
        <f t="shared" si="120"/>
        <v>0</v>
      </c>
      <c r="CV1720" s="26">
        <f t="shared" si="117"/>
        <v>-66.720000000000027</v>
      </c>
      <c r="CW1720" s="9" t="s">
        <v>3505</v>
      </c>
    </row>
    <row r="1721" spans="1:101" x14ac:dyDescent="0.2">
      <c r="A1721" s="9" t="s">
        <v>441</v>
      </c>
      <c r="B1721" s="2">
        <v>13</v>
      </c>
      <c r="C1721" s="3" t="s">
        <v>95</v>
      </c>
      <c r="D1721" s="3" t="s">
        <v>96</v>
      </c>
      <c r="E1721" s="2"/>
      <c r="F1721" s="2"/>
      <c r="G1721" s="2" t="s">
        <v>67</v>
      </c>
      <c r="H1721" s="2">
        <v>1</v>
      </c>
      <c r="I1721" s="8">
        <v>139.91999999999999</v>
      </c>
      <c r="J1721" s="8">
        <v>44900</v>
      </c>
      <c r="K1721" s="3">
        <v>0</v>
      </c>
      <c r="L1721" s="3" t="s">
        <v>3</v>
      </c>
      <c r="M1721" s="9" t="s">
        <v>0</v>
      </c>
      <c r="N1721" s="9" t="s">
        <v>36</v>
      </c>
      <c r="O1721" s="9" t="s">
        <v>442</v>
      </c>
      <c r="S1721" s="9" t="s">
        <v>158</v>
      </c>
      <c r="T1721" s="10" t="s">
        <v>67</v>
      </c>
      <c r="U1721" s="10">
        <v>1</v>
      </c>
      <c r="V1721" s="10">
        <v>139.91999999999999</v>
      </c>
      <c r="W1721" s="10" t="s">
        <v>1189</v>
      </c>
      <c r="X1721" s="17">
        <v>44595</v>
      </c>
      <c r="Y1721" s="17">
        <v>45734</v>
      </c>
      <c r="Z1721" s="19" t="s">
        <v>772</v>
      </c>
      <c r="AA1721" s="210">
        <v>38650</v>
      </c>
      <c r="AB1721" s="9">
        <v>19</v>
      </c>
      <c r="AC1721" s="9">
        <v>15</v>
      </c>
      <c r="AD1721" s="17">
        <v>45076</v>
      </c>
      <c r="AE1721" s="56">
        <v>1027.78</v>
      </c>
      <c r="AF1721" s="56"/>
      <c r="AG1721" s="9" t="s">
        <v>134</v>
      </c>
      <c r="AH1721" s="17">
        <v>45303</v>
      </c>
      <c r="AI1721" s="17"/>
      <c r="AJ1721" s="17"/>
      <c r="AK1721" s="9" t="s">
        <v>1762</v>
      </c>
      <c r="AL1721" s="11">
        <v>1094</v>
      </c>
      <c r="AN1721" s="11" t="s">
        <v>1764</v>
      </c>
      <c r="AP1721" s="11"/>
      <c r="AQ1721" s="11"/>
      <c r="AR1721" s="11"/>
      <c r="AW1721" s="17">
        <v>45303</v>
      </c>
      <c r="AX1721" s="9">
        <v>2207</v>
      </c>
      <c r="BA1721" s="11">
        <v>1094</v>
      </c>
      <c r="BD1721" s="9"/>
      <c r="CS1721" s="11">
        <f t="shared" si="118"/>
        <v>1094</v>
      </c>
      <c r="CT1721" s="22">
        <f t="shared" si="119"/>
        <v>1094</v>
      </c>
      <c r="CU1721" s="22">
        <f t="shared" si="120"/>
        <v>0</v>
      </c>
      <c r="CV1721" s="26">
        <f t="shared" ref="CV1721:CV1784" si="122">+AE1721-AL1721-AT1721</f>
        <v>-66.220000000000027</v>
      </c>
      <c r="CW1721" s="9" t="s">
        <v>3505</v>
      </c>
    </row>
    <row r="1722" spans="1:101" x14ac:dyDescent="0.2">
      <c r="A1722" s="9" t="s">
        <v>441</v>
      </c>
      <c r="B1722" s="2">
        <v>13</v>
      </c>
      <c r="C1722" s="3" t="s">
        <v>95</v>
      </c>
      <c r="D1722" s="3" t="s">
        <v>96</v>
      </c>
      <c r="E1722" s="2"/>
      <c r="F1722" s="2"/>
      <c r="G1722" s="2" t="s">
        <v>67</v>
      </c>
      <c r="H1722" s="2">
        <v>1</v>
      </c>
      <c r="I1722" s="8">
        <v>139.91999999999999</v>
      </c>
      <c r="J1722" s="8">
        <v>44900</v>
      </c>
      <c r="K1722" s="3">
        <v>0</v>
      </c>
      <c r="L1722" s="3" t="s">
        <v>3</v>
      </c>
      <c r="M1722" s="9" t="s">
        <v>0</v>
      </c>
      <c r="N1722" s="9" t="s">
        <v>36</v>
      </c>
      <c r="O1722" s="9" t="s">
        <v>442</v>
      </c>
      <c r="S1722" s="9" t="s">
        <v>158</v>
      </c>
      <c r="T1722" s="10" t="s">
        <v>67</v>
      </c>
      <c r="U1722" s="10">
        <v>1</v>
      </c>
      <c r="V1722" s="10">
        <v>139.91999999999999</v>
      </c>
      <c r="W1722" s="10" t="s">
        <v>1189</v>
      </c>
      <c r="X1722" s="17">
        <v>44595</v>
      </c>
      <c r="Y1722" s="17">
        <v>45734</v>
      </c>
      <c r="Z1722" s="19" t="s">
        <v>772</v>
      </c>
      <c r="AA1722" s="210">
        <v>38650</v>
      </c>
      <c r="AB1722" s="9">
        <v>19</v>
      </c>
      <c r="AC1722" s="9">
        <v>16</v>
      </c>
      <c r="AD1722" s="17">
        <v>45107</v>
      </c>
      <c r="AE1722" s="56">
        <v>1027.78</v>
      </c>
      <c r="AF1722" s="56"/>
      <c r="AG1722" s="9" t="s">
        <v>134</v>
      </c>
      <c r="AH1722" s="17">
        <v>45324</v>
      </c>
      <c r="AI1722" s="17"/>
      <c r="AJ1722" s="17"/>
      <c r="AK1722" s="9" t="s">
        <v>1763</v>
      </c>
      <c r="AL1722" s="11">
        <v>1095</v>
      </c>
      <c r="AN1722" s="11" t="s">
        <v>1765</v>
      </c>
      <c r="AP1722" s="11"/>
      <c r="AQ1722" s="11"/>
      <c r="AR1722" s="11"/>
      <c r="AW1722" s="17">
        <v>45323</v>
      </c>
      <c r="AX1722" s="9">
        <v>2263</v>
      </c>
      <c r="BA1722" s="11">
        <v>1095</v>
      </c>
      <c r="BD1722" s="9"/>
      <c r="CS1722" s="11">
        <f t="shared" si="118"/>
        <v>1095</v>
      </c>
      <c r="CT1722" s="22">
        <f t="shared" si="119"/>
        <v>1095</v>
      </c>
      <c r="CU1722" s="22">
        <f t="shared" si="120"/>
        <v>0</v>
      </c>
      <c r="CV1722" s="26">
        <f t="shared" si="122"/>
        <v>-67.220000000000027</v>
      </c>
      <c r="CW1722" s="9" t="s">
        <v>3505</v>
      </c>
    </row>
    <row r="1723" spans="1:101" x14ac:dyDescent="0.2">
      <c r="A1723" s="9" t="s">
        <v>441</v>
      </c>
      <c r="B1723" s="2">
        <v>13</v>
      </c>
      <c r="C1723" s="3" t="s">
        <v>95</v>
      </c>
      <c r="D1723" s="3" t="s">
        <v>96</v>
      </c>
      <c r="E1723" s="2"/>
      <c r="F1723" s="2"/>
      <c r="G1723" s="2" t="s">
        <v>67</v>
      </c>
      <c r="H1723" s="2">
        <v>1</v>
      </c>
      <c r="I1723" s="8">
        <v>139.91999999999999</v>
      </c>
      <c r="J1723" s="8">
        <v>44900</v>
      </c>
      <c r="K1723" s="3">
        <v>0</v>
      </c>
      <c r="L1723" s="3" t="s">
        <v>3</v>
      </c>
      <c r="M1723" s="9" t="s">
        <v>0</v>
      </c>
      <c r="N1723" s="9" t="s">
        <v>36</v>
      </c>
      <c r="O1723" s="9" t="s">
        <v>442</v>
      </c>
      <c r="S1723" s="9" t="s">
        <v>158</v>
      </c>
      <c r="T1723" s="10" t="s">
        <v>67</v>
      </c>
      <c r="U1723" s="10">
        <v>1</v>
      </c>
      <c r="V1723" s="10">
        <v>139.91999999999999</v>
      </c>
      <c r="W1723" s="10" t="s">
        <v>1189</v>
      </c>
      <c r="X1723" s="17">
        <v>44595</v>
      </c>
      <c r="Y1723" s="17">
        <v>45734</v>
      </c>
      <c r="Z1723" s="19" t="s">
        <v>772</v>
      </c>
      <c r="AA1723" s="210">
        <v>38650</v>
      </c>
      <c r="AB1723" s="9">
        <v>19</v>
      </c>
      <c r="AC1723" s="9">
        <v>17</v>
      </c>
      <c r="AD1723" s="17">
        <v>45137</v>
      </c>
      <c r="AE1723" s="56">
        <v>1027.78</v>
      </c>
      <c r="AF1723" s="56"/>
      <c r="AP1723" s="11"/>
      <c r="AQ1723" s="11"/>
      <c r="AR1723" s="11"/>
      <c r="AW1723" s="9"/>
      <c r="BD1723" s="9"/>
      <c r="CS1723" s="11">
        <f t="shared" si="118"/>
        <v>0</v>
      </c>
      <c r="CT1723" s="22">
        <f t="shared" si="119"/>
        <v>0</v>
      </c>
      <c r="CU1723" s="22">
        <f t="shared" si="120"/>
        <v>0</v>
      </c>
      <c r="CV1723" s="26">
        <f t="shared" si="122"/>
        <v>1027.78</v>
      </c>
    </row>
    <row r="1724" spans="1:101" x14ac:dyDescent="0.2">
      <c r="A1724" s="9" t="s">
        <v>441</v>
      </c>
      <c r="B1724" s="2">
        <v>13</v>
      </c>
      <c r="C1724" s="3" t="s">
        <v>95</v>
      </c>
      <c r="D1724" s="3" t="s">
        <v>96</v>
      </c>
      <c r="E1724" s="2"/>
      <c r="F1724" s="2"/>
      <c r="G1724" s="2" t="s">
        <v>67</v>
      </c>
      <c r="H1724" s="2">
        <v>1</v>
      </c>
      <c r="I1724" s="8">
        <v>139.91999999999999</v>
      </c>
      <c r="J1724" s="8">
        <v>44900</v>
      </c>
      <c r="K1724" s="3">
        <v>0</v>
      </c>
      <c r="L1724" s="3" t="s">
        <v>3</v>
      </c>
      <c r="M1724" s="9" t="s">
        <v>0</v>
      </c>
      <c r="N1724" s="9" t="s">
        <v>36</v>
      </c>
      <c r="O1724" s="9" t="s">
        <v>442</v>
      </c>
      <c r="S1724" s="9" t="s">
        <v>158</v>
      </c>
      <c r="T1724" s="10" t="s">
        <v>67</v>
      </c>
      <c r="U1724" s="10">
        <v>1</v>
      </c>
      <c r="V1724" s="10">
        <v>139.91999999999999</v>
      </c>
      <c r="W1724" s="10" t="s">
        <v>1189</v>
      </c>
      <c r="X1724" s="17">
        <v>44595</v>
      </c>
      <c r="Y1724" s="17">
        <v>45734</v>
      </c>
      <c r="Z1724" s="19" t="s">
        <v>772</v>
      </c>
      <c r="AA1724" s="210">
        <v>38650</v>
      </c>
      <c r="AB1724" s="9">
        <v>19</v>
      </c>
      <c r="AC1724" s="9">
        <v>18</v>
      </c>
      <c r="AD1724" s="17">
        <v>45168</v>
      </c>
      <c r="AE1724" s="56">
        <v>1027.78</v>
      </c>
      <c r="AF1724" s="56"/>
      <c r="AP1724" s="11"/>
      <c r="AQ1724" s="11"/>
      <c r="AR1724" s="11"/>
      <c r="AW1724" s="9"/>
      <c r="BD1724" s="9"/>
      <c r="CS1724" s="11">
        <f t="shared" si="118"/>
        <v>0</v>
      </c>
      <c r="CT1724" s="22">
        <f t="shared" si="119"/>
        <v>0</v>
      </c>
      <c r="CU1724" s="22">
        <f t="shared" si="120"/>
        <v>0</v>
      </c>
      <c r="CV1724" s="26">
        <f t="shared" si="122"/>
        <v>1027.78</v>
      </c>
    </row>
    <row r="1725" spans="1:101" x14ac:dyDescent="0.2">
      <c r="A1725" s="9" t="s">
        <v>441</v>
      </c>
      <c r="B1725" s="2">
        <v>13</v>
      </c>
      <c r="C1725" s="3" t="s">
        <v>95</v>
      </c>
      <c r="D1725" s="3" t="s">
        <v>96</v>
      </c>
      <c r="E1725" s="2"/>
      <c r="F1725" s="2"/>
      <c r="G1725" s="2" t="s">
        <v>67</v>
      </c>
      <c r="H1725" s="2">
        <v>1</v>
      </c>
      <c r="I1725" s="8">
        <v>139.91999999999999</v>
      </c>
      <c r="J1725" s="8">
        <v>44900</v>
      </c>
      <c r="K1725" s="3">
        <v>0</v>
      </c>
      <c r="L1725" s="3" t="s">
        <v>3</v>
      </c>
      <c r="M1725" s="9" t="s">
        <v>0</v>
      </c>
      <c r="N1725" s="9" t="s">
        <v>36</v>
      </c>
      <c r="O1725" s="9" t="s">
        <v>442</v>
      </c>
      <c r="S1725" s="9" t="s">
        <v>158</v>
      </c>
      <c r="T1725" s="10" t="s">
        <v>67</v>
      </c>
      <c r="U1725" s="10">
        <v>1</v>
      </c>
      <c r="V1725" s="10">
        <v>139.91999999999999</v>
      </c>
      <c r="W1725" s="10" t="s">
        <v>1189</v>
      </c>
      <c r="X1725" s="17">
        <v>44595</v>
      </c>
      <c r="Y1725" s="17">
        <v>45734</v>
      </c>
      <c r="Z1725" s="19" t="s">
        <v>772</v>
      </c>
      <c r="AA1725" s="210">
        <v>38650</v>
      </c>
      <c r="AB1725" s="9">
        <v>19</v>
      </c>
      <c r="AC1725" s="9">
        <v>19</v>
      </c>
      <c r="AD1725" s="17">
        <v>45199</v>
      </c>
      <c r="AE1725" s="56">
        <v>1027.78</v>
      </c>
      <c r="AF1725" s="56"/>
      <c r="AP1725" s="11"/>
      <c r="AQ1725" s="11"/>
      <c r="AR1725" s="11"/>
      <c r="AW1725" s="9"/>
      <c r="BD1725" s="9"/>
      <c r="CS1725" s="11">
        <f t="shared" ref="CS1725:CS1788" si="123">+AL1725+AT1725</f>
        <v>0</v>
      </c>
      <c r="CT1725" s="22">
        <f t="shared" ref="CT1725:CT1788" si="124">+BA1725+BG1725+BM1725+BS1725+BY1725+CE1725+CK1725+CQ1725</f>
        <v>0</v>
      </c>
      <c r="CU1725" s="22">
        <f t="shared" ref="CU1725:CU1788" si="125">+CS1725-CT1725</f>
        <v>0</v>
      </c>
      <c r="CV1725" s="26">
        <f t="shared" si="122"/>
        <v>1027.78</v>
      </c>
    </row>
    <row r="1726" spans="1:101" x14ac:dyDescent="0.2">
      <c r="A1726" s="9" t="s">
        <v>441</v>
      </c>
      <c r="B1726" s="2">
        <v>13</v>
      </c>
      <c r="C1726" s="3" t="s">
        <v>95</v>
      </c>
      <c r="D1726" s="3" t="s">
        <v>96</v>
      </c>
      <c r="E1726" s="2"/>
      <c r="F1726" s="2"/>
      <c r="G1726" s="2" t="s">
        <v>67</v>
      </c>
      <c r="H1726" s="2">
        <v>1</v>
      </c>
      <c r="I1726" s="8">
        <v>139.91999999999999</v>
      </c>
      <c r="J1726" s="8">
        <v>44900</v>
      </c>
      <c r="K1726" s="3">
        <v>0</v>
      </c>
      <c r="L1726" s="3" t="s">
        <v>3</v>
      </c>
      <c r="M1726" s="9" t="s">
        <v>0</v>
      </c>
      <c r="N1726" s="9" t="s">
        <v>36</v>
      </c>
      <c r="O1726" s="9" t="s">
        <v>442</v>
      </c>
      <c r="S1726" s="9" t="s">
        <v>447</v>
      </c>
      <c r="V1726" s="10">
        <v>12.5</v>
      </c>
      <c r="W1726" s="10" t="s">
        <v>1189</v>
      </c>
      <c r="X1726" s="17">
        <v>44595</v>
      </c>
      <c r="Y1726" s="17">
        <v>44595</v>
      </c>
      <c r="Z1726" s="19" t="s">
        <v>772</v>
      </c>
      <c r="AA1726" s="210">
        <v>5500</v>
      </c>
      <c r="AB1726" s="9">
        <v>24</v>
      </c>
      <c r="AC1726" s="9">
        <v>1</v>
      </c>
      <c r="AD1726" s="17">
        <v>45229</v>
      </c>
      <c r="AE1726" s="56">
        <v>229.17</v>
      </c>
      <c r="AF1726" s="56"/>
      <c r="AP1726" s="11"/>
      <c r="AQ1726" s="11"/>
      <c r="AR1726" s="11"/>
      <c r="AW1726" s="9"/>
      <c r="BD1726" s="9"/>
      <c r="CS1726" s="11">
        <f t="shared" si="123"/>
        <v>0</v>
      </c>
      <c r="CT1726" s="22">
        <f t="shared" si="124"/>
        <v>0</v>
      </c>
      <c r="CU1726" s="22">
        <f t="shared" si="125"/>
        <v>0</v>
      </c>
      <c r="CV1726" s="26">
        <f t="shared" si="122"/>
        <v>229.17</v>
      </c>
    </row>
    <row r="1727" spans="1:101" x14ac:dyDescent="0.2">
      <c r="A1727" s="9" t="s">
        <v>441</v>
      </c>
      <c r="B1727" s="2">
        <v>13</v>
      </c>
      <c r="C1727" s="3" t="s">
        <v>95</v>
      </c>
      <c r="D1727" s="3" t="s">
        <v>96</v>
      </c>
      <c r="E1727" s="2"/>
      <c r="F1727" s="2"/>
      <c r="G1727" s="2" t="s">
        <v>67</v>
      </c>
      <c r="H1727" s="2">
        <v>1</v>
      </c>
      <c r="I1727" s="8">
        <v>139.91999999999999</v>
      </c>
      <c r="J1727" s="8">
        <v>44900</v>
      </c>
      <c r="K1727" s="3">
        <v>0</v>
      </c>
      <c r="L1727" s="3" t="s">
        <v>3</v>
      </c>
      <c r="M1727" s="9" t="s">
        <v>0</v>
      </c>
      <c r="N1727" s="9" t="s">
        <v>36</v>
      </c>
      <c r="O1727" s="9" t="s">
        <v>442</v>
      </c>
      <c r="S1727" s="9" t="s">
        <v>447</v>
      </c>
      <c r="V1727" s="10">
        <v>12.5</v>
      </c>
      <c r="W1727" s="10" t="s">
        <v>1189</v>
      </c>
      <c r="X1727" s="17">
        <v>44595</v>
      </c>
      <c r="Y1727" s="17">
        <v>44595</v>
      </c>
      <c r="Z1727" s="19" t="s">
        <v>772</v>
      </c>
      <c r="AA1727" s="210">
        <v>5500</v>
      </c>
      <c r="AB1727" s="9">
        <v>24</v>
      </c>
      <c r="AC1727" s="9">
        <v>2</v>
      </c>
      <c r="AD1727" s="17">
        <v>45260</v>
      </c>
      <c r="AE1727" s="56">
        <v>229.17</v>
      </c>
      <c r="AF1727" s="56"/>
      <c r="AP1727" s="11"/>
      <c r="AQ1727" s="11"/>
      <c r="AR1727" s="11"/>
      <c r="AW1727" s="9"/>
      <c r="BD1727" s="9"/>
      <c r="CS1727" s="11">
        <f t="shared" si="123"/>
        <v>0</v>
      </c>
      <c r="CT1727" s="22">
        <f t="shared" si="124"/>
        <v>0</v>
      </c>
      <c r="CU1727" s="22">
        <f t="shared" si="125"/>
        <v>0</v>
      </c>
      <c r="CV1727" s="26">
        <f t="shared" si="122"/>
        <v>229.17</v>
      </c>
    </row>
    <row r="1728" spans="1:101" x14ac:dyDescent="0.2">
      <c r="A1728" s="9" t="s">
        <v>441</v>
      </c>
      <c r="B1728" s="2">
        <v>13</v>
      </c>
      <c r="C1728" s="3" t="s">
        <v>95</v>
      </c>
      <c r="D1728" s="3" t="s">
        <v>96</v>
      </c>
      <c r="E1728" s="2"/>
      <c r="F1728" s="2"/>
      <c r="G1728" s="2" t="s">
        <v>67</v>
      </c>
      <c r="H1728" s="2">
        <v>1</v>
      </c>
      <c r="I1728" s="8">
        <v>139.91999999999999</v>
      </c>
      <c r="J1728" s="8">
        <v>44900</v>
      </c>
      <c r="K1728" s="3">
        <v>0</v>
      </c>
      <c r="L1728" s="3" t="s">
        <v>3</v>
      </c>
      <c r="M1728" s="9" t="s">
        <v>0</v>
      </c>
      <c r="N1728" s="9" t="s">
        <v>36</v>
      </c>
      <c r="O1728" s="9" t="s">
        <v>442</v>
      </c>
      <c r="S1728" s="9" t="s">
        <v>447</v>
      </c>
      <c r="V1728" s="10">
        <v>12.5</v>
      </c>
      <c r="W1728" s="10" t="s">
        <v>1189</v>
      </c>
      <c r="X1728" s="17">
        <v>44595</v>
      </c>
      <c r="Y1728" s="17">
        <v>44595</v>
      </c>
      <c r="Z1728" s="19" t="s">
        <v>772</v>
      </c>
      <c r="AA1728" s="210">
        <v>5500</v>
      </c>
      <c r="AB1728" s="9">
        <v>24</v>
      </c>
      <c r="AC1728" s="9">
        <v>3</v>
      </c>
      <c r="AD1728" s="17">
        <v>45290</v>
      </c>
      <c r="AE1728" s="56">
        <v>229.17</v>
      </c>
      <c r="AF1728" s="56"/>
      <c r="AP1728" s="11"/>
      <c r="AQ1728" s="11"/>
      <c r="AR1728" s="11"/>
      <c r="AW1728" s="9"/>
      <c r="BD1728" s="9"/>
      <c r="CS1728" s="11">
        <f t="shared" si="123"/>
        <v>0</v>
      </c>
      <c r="CT1728" s="22">
        <f t="shared" si="124"/>
        <v>0</v>
      </c>
      <c r="CU1728" s="22">
        <f t="shared" si="125"/>
        <v>0</v>
      </c>
      <c r="CV1728" s="26">
        <f t="shared" si="122"/>
        <v>229.17</v>
      </c>
    </row>
    <row r="1729" spans="1:100" x14ac:dyDescent="0.2">
      <c r="A1729" s="9" t="s">
        <v>441</v>
      </c>
      <c r="B1729" s="2">
        <v>13</v>
      </c>
      <c r="C1729" s="3" t="s">
        <v>95</v>
      </c>
      <c r="D1729" s="3" t="s">
        <v>96</v>
      </c>
      <c r="E1729" s="2"/>
      <c r="F1729" s="2"/>
      <c r="G1729" s="2" t="s">
        <v>67</v>
      </c>
      <c r="H1729" s="2">
        <v>1</v>
      </c>
      <c r="I1729" s="8">
        <v>139.91999999999999</v>
      </c>
      <c r="J1729" s="8">
        <v>44900</v>
      </c>
      <c r="K1729" s="3">
        <v>0</v>
      </c>
      <c r="L1729" s="3" t="s">
        <v>3</v>
      </c>
      <c r="M1729" s="9" t="s">
        <v>0</v>
      </c>
      <c r="N1729" s="9" t="s">
        <v>36</v>
      </c>
      <c r="O1729" s="9" t="s">
        <v>442</v>
      </c>
      <c r="S1729" s="9" t="s">
        <v>447</v>
      </c>
      <c r="V1729" s="10">
        <v>12.5</v>
      </c>
      <c r="W1729" s="10" t="s">
        <v>1189</v>
      </c>
      <c r="X1729" s="17">
        <v>44595</v>
      </c>
      <c r="Y1729" s="17">
        <v>44595</v>
      </c>
      <c r="Z1729" s="19" t="s">
        <v>772</v>
      </c>
      <c r="AA1729" s="210">
        <v>5500</v>
      </c>
      <c r="AB1729" s="9">
        <v>24</v>
      </c>
      <c r="AC1729" s="9">
        <v>4</v>
      </c>
      <c r="AD1729" s="17">
        <v>45321</v>
      </c>
      <c r="AE1729" s="56">
        <v>229.17</v>
      </c>
      <c r="AF1729" s="56"/>
      <c r="AP1729" s="11"/>
      <c r="AQ1729" s="11"/>
      <c r="AR1729" s="11"/>
      <c r="AW1729" s="9"/>
      <c r="BD1729" s="9"/>
      <c r="CS1729" s="11">
        <f t="shared" si="123"/>
        <v>0</v>
      </c>
      <c r="CT1729" s="22">
        <f t="shared" si="124"/>
        <v>0</v>
      </c>
      <c r="CU1729" s="22">
        <f t="shared" si="125"/>
        <v>0</v>
      </c>
      <c r="CV1729" s="26">
        <f t="shared" si="122"/>
        <v>229.17</v>
      </c>
    </row>
    <row r="1730" spans="1:100" x14ac:dyDescent="0.2">
      <c r="A1730" s="9" t="s">
        <v>441</v>
      </c>
      <c r="B1730" s="2">
        <v>13</v>
      </c>
      <c r="C1730" s="3" t="s">
        <v>95</v>
      </c>
      <c r="D1730" s="3" t="s">
        <v>96</v>
      </c>
      <c r="E1730" s="2"/>
      <c r="F1730" s="2"/>
      <c r="G1730" s="2" t="s">
        <v>67</v>
      </c>
      <c r="H1730" s="2">
        <v>1</v>
      </c>
      <c r="I1730" s="8">
        <v>139.91999999999999</v>
      </c>
      <c r="J1730" s="8">
        <v>44900</v>
      </c>
      <c r="K1730" s="3">
        <v>0</v>
      </c>
      <c r="L1730" s="3" t="s">
        <v>3</v>
      </c>
      <c r="M1730" s="9" t="s">
        <v>0</v>
      </c>
      <c r="N1730" s="9" t="s">
        <v>36</v>
      </c>
      <c r="O1730" s="9" t="s">
        <v>442</v>
      </c>
      <c r="S1730" s="9" t="s">
        <v>447</v>
      </c>
      <c r="V1730" s="10">
        <v>12.5</v>
      </c>
      <c r="W1730" s="10" t="s">
        <v>1189</v>
      </c>
      <c r="X1730" s="17">
        <v>44595</v>
      </c>
      <c r="Y1730" s="17">
        <v>44595</v>
      </c>
      <c r="Z1730" s="19" t="s">
        <v>772</v>
      </c>
      <c r="AA1730" s="210">
        <v>5500</v>
      </c>
      <c r="AB1730" s="9">
        <v>24</v>
      </c>
      <c r="AC1730" s="9">
        <v>5</v>
      </c>
      <c r="AD1730" s="17">
        <v>45351</v>
      </c>
      <c r="AE1730" s="56">
        <v>229.17</v>
      </c>
      <c r="AF1730" s="56"/>
      <c r="AP1730" s="11"/>
      <c r="AQ1730" s="11"/>
      <c r="AR1730" s="11"/>
      <c r="AW1730" s="9"/>
      <c r="BD1730" s="9"/>
      <c r="CS1730" s="11">
        <f t="shared" si="123"/>
        <v>0</v>
      </c>
      <c r="CT1730" s="22">
        <f t="shared" si="124"/>
        <v>0</v>
      </c>
      <c r="CU1730" s="22">
        <f t="shared" si="125"/>
        <v>0</v>
      </c>
      <c r="CV1730" s="26">
        <f t="shared" si="122"/>
        <v>229.17</v>
      </c>
    </row>
    <row r="1731" spans="1:100" x14ac:dyDescent="0.2">
      <c r="A1731" s="9" t="s">
        <v>441</v>
      </c>
      <c r="B1731" s="2">
        <v>13</v>
      </c>
      <c r="C1731" s="3" t="s">
        <v>95</v>
      </c>
      <c r="D1731" s="3" t="s">
        <v>96</v>
      </c>
      <c r="E1731" s="2"/>
      <c r="F1731" s="2"/>
      <c r="G1731" s="2" t="s">
        <v>67</v>
      </c>
      <c r="H1731" s="2">
        <v>1</v>
      </c>
      <c r="I1731" s="8">
        <v>139.91999999999999</v>
      </c>
      <c r="J1731" s="8">
        <v>44900</v>
      </c>
      <c r="K1731" s="3">
        <v>0</v>
      </c>
      <c r="L1731" s="3" t="s">
        <v>3</v>
      </c>
      <c r="M1731" s="9" t="s">
        <v>0</v>
      </c>
      <c r="N1731" s="9" t="s">
        <v>36</v>
      </c>
      <c r="O1731" s="9" t="s">
        <v>442</v>
      </c>
      <c r="S1731" s="9" t="s">
        <v>447</v>
      </c>
      <c r="V1731" s="10">
        <v>12.5</v>
      </c>
      <c r="W1731" s="10" t="s">
        <v>1189</v>
      </c>
      <c r="X1731" s="17">
        <v>44595</v>
      </c>
      <c r="Y1731" s="17">
        <v>44595</v>
      </c>
      <c r="Z1731" s="19" t="s">
        <v>772</v>
      </c>
      <c r="AA1731" s="210">
        <v>5500</v>
      </c>
      <c r="AB1731" s="9">
        <v>24</v>
      </c>
      <c r="AC1731" s="9">
        <v>6</v>
      </c>
      <c r="AD1731" s="17">
        <v>45381</v>
      </c>
      <c r="AE1731" s="56">
        <v>229.17</v>
      </c>
      <c r="AF1731" s="56"/>
      <c r="AP1731" s="11"/>
      <c r="AQ1731" s="11"/>
      <c r="AR1731" s="11"/>
      <c r="AW1731" s="9"/>
      <c r="BD1731" s="9"/>
      <c r="CS1731" s="11">
        <f t="shared" si="123"/>
        <v>0</v>
      </c>
      <c r="CT1731" s="22">
        <f t="shared" si="124"/>
        <v>0</v>
      </c>
      <c r="CU1731" s="22">
        <f t="shared" si="125"/>
        <v>0</v>
      </c>
      <c r="CV1731" s="26">
        <f t="shared" si="122"/>
        <v>229.17</v>
      </c>
    </row>
    <row r="1732" spans="1:100" x14ac:dyDescent="0.2">
      <c r="A1732" s="9" t="s">
        <v>441</v>
      </c>
      <c r="B1732" s="2">
        <v>13</v>
      </c>
      <c r="C1732" s="3" t="s">
        <v>95</v>
      </c>
      <c r="D1732" s="3" t="s">
        <v>96</v>
      </c>
      <c r="E1732" s="2"/>
      <c r="F1732" s="2"/>
      <c r="G1732" s="2" t="s">
        <v>67</v>
      </c>
      <c r="H1732" s="2">
        <v>1</v>
      </c>
      <c r="I1732" s="8">
        <v>139.91999999999999</v>
      </c>
      <c r="J1732" s="8">
        <v>44900</v>
      </c>
      <c r="K1732" s="3">
        <v>0</v>
      </c>
      <c r="L1732" s="3" t="s">
        <v>3</v>
      </c>
      <c r="M1732" s="9" t="s">
        <v>0</v>
      </c>
      <c r="N1732" s="9" t="s">
        <v>36</v>
      </c>
      <c r="O1732" s="9" t="s">
        <v>442</v>
      </c>
      <c r="S1732" s="9" t="s">
        <v>447</v>
      </c>
      <c r="V1732" s="10">
        <v>12.5</v>
      </c>
      <c r="W1732" s="10" t="s">
        <v>1189</v>
      </c>
      <c r="X1732" s="17">
        <v>44595</v>
      </c>
      <c r="Y1732" s="17">
        <v>44595</v>
      </c>
      <c r="Z1732" s="19" t="s">
        <v>772</v>
      </c>
      <c r="AA1732" s="210">
        <v>5500</v>
      </c>
      <c r="AB1732" s="9">
        <v>24</v>
      </c>
      <c r="AC1732" s="9">
        <v>7</v>
      </c>
      <c r="AD1732" s="17">
        <v>45412</v>
      </c>
      <c r="AE1732" s="56">
        <v>229.17</v>
      </c>
      <c r="AF1732" s="56"/>
      <c r="AP1732" s="11"/>
      <c r="AQ1732" s="11"/>
      <c r="AR1732" s="11"/>
      <c r="AW1732" s="9"/>
      <c r="BD1732" s="9"/>
      <c r="CS1732" s="11">
        <f t="shared" si="123"/>
        <v>0</v>
      </c>
      <c r="CT1732" s="22">
        <f t="shared" si="124"/>
        <v>0</v>
      </c>
      <c r="CU1732" s="22">
        <f t="shared" si="125"/>
        <v>0</v>
      </c>
      <c r="CV1732" s="26">
        <f t="shared" si="122"/>
        <v>229.17</v>
      </c>
    </row>
    <row r="1733" spans="1:100" x14ac:dyDescent="0.2">
      <c r="A1733" s="9" t="s">
        <v>441</v>
      </c>
      <c r="B1733" s="2">
        <v>13</v>
      </c>
      <c r="C1733" s="3" t="s">
        <v>95</v>
      </c>
      <c r="D1733" s="3" t="s">
        <v>96</v>
      </c>
      <c r="E1733" s="2"/>
      <c r="F1733" s="2"/>
      <c r="G1733" s="2" t="s">
        <v>67</v>
      </c>
      <c r="H1733" s="2">
        <v>1</v>
      </c>
      <c r="I1733" s="8">
        <v>139.91999999999999</v>
      </c>
      <c r="J1733" s="8">
        <v>44900</v>
      </c>
      <c r="K1733" s="3">
        <v>0</v>
      </c>
      <c r="L1733" s="3" t="s">
        <v>3</v>
      </c>
      <c r="M1733" s="9" t="s">
        <v>0</v>
      </c>
      <c r="N1733" s="9" t="s">
        <v>36</v>
      </c>
      <c r="O1733" s="9" t="s">
        <v>442</v>
      </c>
      <c r="S1733" s="9" t="s">
        <v>447</v>
      </c>
      <c r="V1733" s="10">
        <v>12.5</v>
      </c>
      <c r="W1733" s="10" t="s">
        <v>1189</v>
      </c>
      <c r="X1733" s="17">
        <v>44595</v>
      </c>
      <c r="Y1733" s="17">
        <v>44595</v>
      </c>
      <c r="Z1733" s="19" t="s">
        <v>772</v>
      </c>
      <c r="AA1733" s="210">
        <v>5500</v>
      </c>
      <c r="AB1733" s="9">
        <v>24</v>
      </c>
      <c r="AC1733" s="9">
        <v>8</v>
      </c>
      <c r="AD1733" s="17">
        <v>45442</v>
      </c>
      <c r="AE1733" s="56">
        <v>229.17</v>
      </c>
      <c r="AF1733" s="56"/>
      <c r="AP1733" s="11"/>
      <c r="AQ1733" s="11"/>
      <c r="AR1733" s="11"/>
      <c r="AW1733" s="9"/>
      <c r="BD1733" s="9"/>
      <c r="CS1733" s="11">
        <f t="shared" si="123"/>
        <v>0</v>
      </c>
      <c r="CT1733" s="22">
        <f t="shared" si="124"/>
        <v>0</v>
      </c>
      <c r="CU1733" s="22">
        <f t="shared" si="125"/>
        <v>0</v>
      </c>
      <c r="CV1733" s="26">
        <f t="shared" si="122"/>
        <v>229.17</v>
      </c>
    </row>
    <row r="1734" spans="1:100" x14ac:dyDescent="0.2">
      <c r="A1734" s="9" t="s">
        <v>441</v>
      </c>
      <c r="B1734" s="2">
        <v>13</v>
      </c>
      <c r="C1734" s="3" t="s">
        <v>95</v>
      </c>
      <c r="D1734" s="3" t="s">
        <v>96</v>
      </c>
      <c r="E1734" s="2"/>
      <c r="F1734" s="2"/>
      <c r="G1734" s="2" t="s">
        <v>67</v>
      </c>
      <c r="H1734" s="2">
        <v>1</v>
      </c>
      <c r="I1734" s="8">
        <v>139.91999999999999</v>
      </c>
      <c r="J1734" s="8">
        <v>44900</v>
      </c>
      <c r="K1734" s="3">
        <v>0</v>
      </c>
      <c r="L1734" s="3" t="s">
        <v>3</v>
      </c>
      <c r="M1734" s="9" t="s">
        <v>0</v>
      </c>
      <c r="N1734" s="9" t="s">
        <v>36</v>
      </c>
      <c r="O1734" s="9" t="s">
        <v>442</v>
      </c>
      <c r="S1734" s="9" t="s">
        <v>447</v>
      </c>
      <c r="V1734" s="10">
        <v>12.5</v>
      </c>
      <c r="W1734" s="10" t="s">
        <v>1189</v>
      </c>
      <c r="X1734" s="17">
        <v>44595</v>
      </c>
      <c r="Y1734" s="17">
        <v>44595</v>
      </c>
      <c r="Z1734" s="19" t="s">
        <v>772</v>
      </c>
      <c r="AA1734" s="210">
        <v>5500</v>
      </c>
      <c r="AB1734" s="9">
        <v>24</v>
      </c>
      <c r="AC1734" s="9">
        <v>9</v>
      </c>
      <c r="AD1734" s="17">
        <v>45473</v>
      </c>
      <c r="AE1734" s="56">
        <v>229.17</v>
      </c>
      <c r="AF1734" s="56"/>
      <c r="AP1734" s="11"/>
      <c r="AQ1734" s="11"/>
      <c r="AR1734" s="11"/>
      <c r="AW1734" s="9"/>
      <c r="BD1734" s="9"/>
      <c r="CS1734" s="11">
        <f t="shared" si="123"/>
        <v>0</v>
      </c>
      <c r="CT1734" s="22">
        <f t="shared" si="124"/>
        <v>0</v>
      </c>
      <c r="CU1734" s="22">
        <f t="shared" si="125"/>
        <v>0</v>
      </c>
      <c r="CV1734" s="26">
        <f t="shared" si="122"/>
        <v>229.17</v>
      </c>
    </row>
    <row r="1735" spans="1:100" x14ac:dyDescent="0.2">
      <c r="A1735" s="9" t="s">
        <v>441</v>
      </c>
      <c r="B1735" s="2">
        <v>13</v>
      </c>
      <c r="C1735" s="3" t="s">
        <v>95</v>
      </c>
      <c r="D1735" s="3" t="s">
        <v>96</v>
      </c>
      <c r="E1735" s="2"/>
      <c r="F1735" s="2"/>
      <c r="G1735" s="2" t="s">
        <v>67</v>
      </c>
      <c r="H1735" s="2">
        <v>1</v>
      </c>
      <c r="I1735" s="8">
        <v>139.91999999999999</v>
      </c>
      <c r="J1735" s="8">
        <v>44900</v>
      </c>
      <c r="K1735" s="3">
        <v>0</v>
      </c>
      <c r="L1735" s="3" t="s">
        <v>3</v>
      </c>
      <c r="M1735" s="9" t="s">
        <v>0</v>
      </c>
      <c r="N1735" s="9" t="s">
        <v>36</v>
      </c>
      <c r="O1735" s="9" t="s">
        <v>442</v>
      </c>
      <c r="S1735" s="9" t="s">
        <v>447</v>
      </c>
      <c r="V1735" s="10">
        <v>12.5</v>
      </c>
      <c r="W1735" s="10" t="s">
        <v>1189</v>
      </c>
      <c r="X1735" s="17">
        <v>44595</v>
      </c>
      <c r="Y1735" s="17">
        <v>44595</v>
      </c>
      <c r="Z1735" s="19" t="s">
        <v>772</v>
      </c>
      <c r="AA1735" s="210">
        <v>5500</v>
      </c>
      <c r="AB1735" s="9">
        <v>24</v>
      </c>
      <c r="AC1735" s="9">
        <v>10</v>
      </c>
      <c r="AD1735" s="17">
        <v>45503</v>
      </c>
      <c r="AE1735" s="56">
        <v>229.17</v>
      </c>
      <c r="AF1735" s="56"/>
      <c r="AP1735" s="11"/>
      <c r="AQ1735" s="11"/>
      <c r="AR1735" s="11"/>
      <c r="AW1735" s="9"/>
      <c r="BD1735" s="9"/>
      <c r="CS1735" s="11">
        <f t="shared" si="123"/>
        <v>0</v>
      </c>
      <c r="CT1735" s="22">
        <f t="shared" si="124"/>
        <v>0</v>
      </c>
      <c r="CU1735" s="22">
        <f t="shared" si="125"/>
        <v>0</v>
      </c>
      <c r="CV1735" s="26">
        <f t="shared" si="122"/>
        <v>229.17</v>
      </c>
    </row>
    <row r="1736" spans="1:100" x14ac:dyDescent="0.2">
      <c r="A1736" s="9" t="s">
        <v>441</v>
      </c>
      <c r="B1736" s="2">
        <v>13</v>
      </c>
      <c r="C1736" s="3" t="s">
        <v>95</v>
      </c>
      <c r="D1736" s="3" t="s">
        <v>96</v>
      </c>
      <c r="E1736" s="2"/>
      <c r="F1736" s="2"/>
      <c r="G1736" s="2" t="s">
        <v>67</v>
      </c>
      <c r="H1736" s="2">
        <v>1</v>
      </c>
      <c r="I1736" s="8">
        <v>139.91999999999999</v>
      </c>
      <c r="J1736" s="8">
        <v>44900</v>
      </c>
      <c r="K1736" s="3">
        <v>0</v>
      </c>
      <c r="L1736" s="3" t="s">
        <v>3</v>
      </c>
      <c r="M1736" s="9" t="s">
        <v>0</v>
      </c>
      <c r="N1736" s="9" t="s">
        <v>36</v>
      </c>
      <c r="O1736" s="9" t="s">
        <v>442</v>
      </c>
      <c r="S1736" s="9" t="s">
        <v>447</v>
      </c>
      <c r="V1736" s="10">
        <v>12.5</v>
      </c>
      <c r="W1736" s="10" t="s">
        <v>1189</v>
      </c>
      <c r="X1736" s="17">
        <v>44595</v>
      </c>
      <c r="Y1736" s="17">
        <v>44595</v>
      </c>
      <c r="Z1736" s="19" t="s">
        <v>772</v>
      </c>
      <c r="AA1736" s="210">
        <v>5500</v>
      </c>
      <c r="AB1736" s="9">
        <v>24</v>
      </c>
      <c r="AC1736" s="9">
        <v>11</v>
      </c>
      <c r="AD1736" s="17">
        <v>45534</v>
      </c>
      <c r="AE1736" s="56">
        <v>229.17</v>
      </c>
      <c r="AF1736" s="56"/>
      <c r="AP1736" s="11"/>
      <c r="AQ1736" s="11"/>
      <c r="AR1736" s="11"/>
      <c r="AW1736" s="9"/>
      <c r="BD1736" s="9"/>
      <c r="CS1736" s="11">
        <f t="shared" si="123"/>
        <v>0</v>
      </c>
      <c r="CT1736" s="22">
        <f t="shared" si="124"/>
        <v>0</v>
      </c>
      <c r="CU1736" s="22">
        <f t="shared" si="125"/>
        <v>0</v>
      </c>
      <c r="CV1736" s="26">
        <f t="shared" si="122"/>
        <v>229.17</v>
      </c>
    </row>
    <row r="1737" spans="1:100" x14ac:dyDescent="0.2">
      <c r="A1737" s="9" t="s">
        <v>441</v>
      </c>
      <c r="B1737" s="2">
        <v>13</v>
      </c>
      <c r="C1737" s="3" t="s">
        <v>95</v>
      </c>
      <c r="D1737" s="3" t="s">
        <v>96</v>
      </c>
      <c r="E1737" s="2"/>
      <c r="F1737" s="2"/>
      <c r="G1737" s="2" t="s">
        <v>67</v>
      </c>
      <c r="H1737" s="2">
        <v>1</v>
      </c>
      <c r="I1737" s="8">
        <v>139.91999999999999</v>
      </c>
      <c r="J1737" s="8">
        <v>44900</v>
      </c>
      <c r="K1737" s="3">
        <v>0</v>
      </c>
      <c r="L1737" s="3" t="s">
        <v>3</v>
      </c>
      <c r="M1737" s="9" t="s">
        <v>0</v>
      </c>
      <c r="N1737" s="9" t="s">
        <v>36</v>
      </c>
      <c r="O1737" s="9" t="s">
        <v>442</v>
      </c>
      <c r="S1737" s="9" t="s">
        <v>447</v>
      </c>
      <c r="V1737" s="10">
        <v>12.5</v>
      </c>
      <c r="W1737" s="10" t="s">
        <v>1189</v>
      </c>
      <c r="X1737" s="17">
        <v>44595</v>
      </c>
      <c r="Y1737" s="17">
        <v>44595</v>
      </c>
      <c r="Z1737" s="19" t="s">
        <v>772</v>
      </c>
      <c r="AA1737" s="210">
        <v>5500</v>
      </c>
      <c r="AB1737" s="9">
        <v>24</v>
      </c>
      <c r="AC1737" s="9">
        <v>12</v>
      </c>
      <c r="AD1737" s="17">
        <v>45565</v>
      </c>
      <c r="AE1737" s="56">
        <v>229.17</v>
      </c>
      <c r="AF1737" s="56"/>
      <c r="AP1737" s="11"/>
      <c r="AQ1737" s="11"/>
      <c r="AR1737" s="11"/>
      <c r="AW1737" s="9"/>
      <c r="BD1737" s="9"/>
      <c r="CS1737" s="11">
        <f t="shared" si="123"/>
        <v>0</v>
      </c>
      <c r="CT1737" s="22">
        <f t="shared" si="124"/>
        <v>0</v>
      </c>
      <c r="CU1737" s="22">
        <f t="shared" si="125"/>
        <v>0</v>
      </c>
      <c r="CV1737" s="26">
        <f t="shared" si="122"/>
        <v>229.17</v>
      </c>
    </row>
    <row r="1738" spans="1:100" x14ac:dyDescent="0.2">
      <c r="A1738" s="9" t="s">
        <v>441</v>
      </c>
      <c r="B1738" s="2">
        <v>13</v>
      </c>
      <c r="C1738" s="3" t="s">
        <v>95</v>
      </c>
      <c r="D1738" s="3" t="s">
        <v>96</v>
      </c>
      <c r="E1738" s="2"/>
      <c r="F1738" s="2"/>
      <c r="G1738" s="2" t="s">
        <v>67</v>
      </c>
      <c r="H1738" s="2">
        <v>1</v>
      </c>
      <c r="I1738" s="8">
        <v>139.91999999999999</v>
      </c>
      <c r="J1738" s="8">
        <v>44900</v>
      </c>
      <c r="K1738" s="3">
        <v>0</v>
      </c>
      <c r="L1738" s="3" t="s">
        <v>3</v>
      </c>
      <c r="M1738" s="9" t="s">
        <v>0</v>
      </c>
      <c r="N1738" s="9" t="s">
        <v>36</v>
      </c>
      <c r="O1738" s="9" t="s">
        <v>442</v>
      </c>
      <c r="S1738" s="9" t="s">
        <v>447</v>
      </c>
      <c r="V1738" s="10">
        <v>12.5</v>
      </c>
      <c r="W1738" s="10" t="s">
        <v>1189</v>
      </c>
      <c r="X1738" s="17">
        <v>44595</v>
      </c>
      <c r="Y1738" s="17">
        <v>44595</v>
      </c>
      <c r="Z1738" s="19" t="s">
        <v>772</v>
      </c>
      <c r="AA1738" s="210">
        <v>5500</v>
      </c>
      <c r="AB1738" s="9">
        <v>24</v>
      </c>
      <c r="AC1738" s="9">
        <v>13</v>
      </c>
      <c r="AD1738" s="17">
        <v>45595</v>
      </c>
      <c r="AE1738" s="56">
        <v>229.17</v>
      </c>
      <c r="AF1738" s="56"/>
      <c r="AP1738" s="11"/>
      <c r="AQ1738" s="11"/>
      <c r="AR1738" s="11"/>
      <c r="AW1738" s="9"/>
      <c r="BD1738" s="9"/>
      <c r="CS1738" s="11">
        <f t="shared" si="123"/>
        <v>0</v>
      </c>
      <c r="CT1738" s="22">
        <f t="shared" si="124"/>
        <v>0</v>
      </c>
      <c r="CU1738" s="22">
        <f t="shared" si="125"/>
        <v>0</v>
      </c>
      <c r="CV1738" s="26">
        <f t="shared" si="122"/>
        <v>229.17</v>
      </c>
    </row>
    <row r="1739" spans="1:100" x14ac:dyDescent="0.2">
      <c r="A1739" s="9" t="s">
        <v>441</v>
      </c>
      <c r="B1739" s="2">
        <v>13</v>
      </c>
      <c r="C1739" s="3" t="s">
        <v>95</v>
      </c>
      <c r="D1739" s="3" t="s">
        <v>96</v>
      </c>
      <c r="E1739" s="2"/>
      <c r="F1739" s="2"/>
      <c r="G1739" s="2" t="s">
        <v>67</v>
      </c>
      <c r="H1739" s="2">
        <v>1</v>
      </c>
      <c r="I1739" s="8">
        <v>139.91999999999999</v>
      </c>
      <c r="J1739" s="8">
        <v>44900</v>
      </c>
      <c r="K1739" s="3">
        <v>0</v>
      </c>
      <c r="L1739" s="3" t="s">
        <v>3</v>
      </c>
      <c r="M1739" s="9" t="s">
        <v>0</v>
      </c>
      <c r="N1739" s="9" t="s">
        <v>36</v>
      </c>
      <c r="O1739" s="9" t="s">
        <v>442</v>
      </c>
      <c r="S1739" s="9" t="s">
        <v>447</v>
      </c>
      <c r="V1739" s="10">
        <v>12.5</v>
      </c>
      <c r="W1739" s="10" t="s">
        <v>1189</v>
      </c>
      <c r="X1739" s="17">
        <v>44595</v>
      </c>
      <c r="Y1739" s="17">
        <v>44595</v>
      </c>
      <c r="Z1739" s="19" t="s">
        <v>772</v>
      </c>
      <c r="AA1739" s="210">
        <v>5500</v>
      </c>
      <c r="AB1739" s="9">
        <v>24</v>
      </c>
      <c r="AC1739" s="9">
        <v>14</v>
      </c>
      <c r="AD1739" s="17">
        <v>45626</v>
      </c>
      <c r="AE1739" s="56">
        <v>229.17</v>
      </c>
      <c r="AF1739" s="56"/>
      <c r="AP1739" s="11"/>
      <c r="AQ1739" s="11"/>
      <c r="AR1739" s="11"/>
      <c r="AW1739" s="9"/>
      <c r="BD1739" s="9"/>
      <c r="CS1739" s="11">
        <f t="shared" si="123"/>
        <v>0</v>
      </c>
      <c r="CT1739" s="22">
        <f t="shared" si="124"/>
        <v>0</v>
      </c>
      <c r="CU1739" s="22">
        <f t="shared" si="125"/>
        <v>0</v>
      </c>
      <c r="CV1739" s="26">
        <f t="shared" si="122"/>
        <v>229.17</v>
      </c>
    </row>
    <row r="1740" spans="1:100" x14ac:dyDescent="0.2">
      <c r="A1740" s="9" t="s">
        <v>441</v>
      </c>
      <c r="B1740" s="2">
        <v>13</v>
      </c>
      <c r="C1740" s="3" t="s">
        <v>95</v>
      </c>
      <c r="D1740" s="3" t="s">
        <v>96</v>
      </c>
      <c r="E1740" s="2"/>
      <c r="F1740" s="2"/>
      <c r="G1740" s="2" t="s">
        <v>67</v>
      </c>
      <c r="H1740" s="2">
        <v>1</v>
      </c>
      <c r="I1740" s="8">
        <v>139.91999999999999</v>
      </c>
      <c r="J1740" s="8">
        <v>44900</v>
      </c>
      <c r="K1740" s="3">
        <v>0</v>
      </c>
      <c r="L1740" s="3" t="s">
        <v>3</v>
      </c>
      <c r="M1740" s="9" t="s">
        <v>0</v>
      </c>
      <c r="N1740" s="9" t="s">
        <v>36</v>
      </c>
      <c r="O1740" s="9" t="s">
        <v>442</v>
      </c>
      <c r="S1740" s="9" t="s">
        <v>447</v>
      </c>
      <c r="V1740" s="10">
        <v>12.5</v>
      </c>
      <c r="W1740" s="10" t="s">
        <v>1189</v>
      </c>
      <c r="X1740" s="17">
        <v>44595</v>
      </c>
      <c r="Y1740" s="17">
        <v>44595</v>
      </c>
      <c r="Z1740" s="19" t="s">
        <v>772</v>
      </c>
      <c r="AA1740" s="210">
        <v>5500</v>
      </c>
      <c r="AB1740" s="9">
        <v>24</v>
      </c>
      <c r="AC1740" s="9">
        <v>15</v>
      </c>
      <c r="AD1740" s="17">
        <v>45656</v>
      </c>
      <c r="AE1740" s="56">
        <v>229.17</v>
      </c>
      <c r="AF1740" s="56"/>
      <c r="AP1740" s="11"/>
      <c r="AQ1740" s="11"/>
      <c r="AR1740" s="11"/>
      <c r="AW1740" s="9"/>
      <c r="BD1740" s="9"/>
      <c r="CS1740" s="11">
        <f t="shared" si="123"/>
        <v>0</v>
      </c>
      <c r="CT1740" s="22">
        <f t="shared" si="124"/>
        <v>0</v>
      </c>
      <c r="CU1740" s="22">
        <f t="shared" si="125"/>
        <v>0</v>
      </c>
      <c r="CV1740" s="26">
        <f t="shared" si="122"/>
        <v>229.17</v>
      </c>
    </row>
    <row r="1741" spans="1:100" x14ac:dyDescent="0.2">
      <c r="A1741" s="9" t="s">
        <v>441</v>
      </c>
      <c r="B1741" s="2">
        <v>13</v>
      </c>
      <c r="C1741" s="3" t="s">
        <v>95</v>
      </c>
      <c r="D1741" s="3" t="s">
        <v>96</v>
      </c>
      <c r="E1741" s="2"/>
      <c r="F1741" s="2"/>
      <c r="G1741" s="2" t="s">
        <v>67</v>
      </c>
      <c r="H1741" s="2">
        <v>1</v>
      </c>
      <c r="I1741" s="8">
        <v>139.91999999999999</v>
      </c>
      <c r="J1741" s="8">
        <v>44900</v>
      </c>
      <c r="K1741" s="3">
        <v>0</v>
      </c>
      <c r="L1741" s="3" t="s">
        <v>3</v>
      </c>
      <c r="M1741" s="9" t="s">
        <v>0</v>
      </c>
      <c r="N1741" s="9" t="s">
        <v>36</v>
      </c>
      <c r="O1741" s="9" t="s">
        <v>442</v>
      </c>
      <c r="S1741" s="9" t="s">
        <v>447</v>
      </c>
      <c r="V1741" s="10">
        <v>12.5</v>
      </c>
      <c r="W1741" s="10" t="s">
        <v>1189</v>
      </c>
      <c r="X1741" s="17">
        <v>44595</v>
      </c>
      <c r="Y1741" s="17">
        <v>44595</v>
      </c>
      <c r="Z1741" s="19" t="s">
        <v>772</v>
      </c>
      <c r="AA1741" s="210">
        <v>5500</v>
      </c>
      <c r="AB1741" s="9">
        <v>24</v>
      </c>
      <c r="AC1741" s="9">
        <v>16</v>
      </c>
      <c r="AD1741" s="17">
        <v>45687</v>
      </c>
      <c r="AE1741" s="56">
        <v>229.17</v>
      </c>
      <c r="AF1741" s="56"/>
      <c r="AP1741" s="11"/>
      <c r="AQ1741" s="11"/>
      <c r="AR1741" s="11"/>
      <c r="AW1741" s="9"/>
      <c r="BD1741" s="9"/>
      <c r="CS1741" s="11">
        <f t="shared" si="123"/>
        <v>0</v>
      </c>
      <c r="CT1741" s="22">
        <f t="shared" si="124"/>
        <v>0</v>
      </c>
      <c r="CU1741" s="22">
        <f t="shared" si="125"/>
        <v>0</v>
      </c>
      <c r="CV1741" s="26">
        <f t="shared" si="122"/>
        <v>229.17</v>
      </c>
    </row>
    <row r="1742" spans="1:100" x14ac:dyDescent="0.2">
      <c r="A1742" s="9" t="s">
        <v>441</v>
      </c>
      <c r="B1742" s="2">
        <v>13</v>
      </c>
      <c r="C1742" s="3" t="s">
        <v>95</v>
      </c>
      <c r="D1742" s="3" t="s">
        <v>96</v>
      </c>
      <c r="E1742" s="2"/>
      <c r="F1742" s="2"/>
      <c r="G1742" s="2" t="s">
        <v>67</v>
      </c>
      <c r="H1742" s="2">
        <v>1</v>
      </c>
      <c r="I1742" s="8">
        <v>139.91999999999999</v>
      </c>
      <c r="J1742" s="8">
        <v>44900</v>
      </c>
      <c r="K1742" s="3">
        <v>0</v>
      </c>
      <c r="L1742" s="3" t="s">
        <v>3</v>
      </c>
      <c r="M1742" s="9" t="s">
        <v>0</v>
      </c>
      <c r="N1742" s="9" t="s">
        <v>36</v>
      </c>
      <c r="O1742" s="9" t="s">
        <v>442</v>
      </c>
      <c r="S1742" s="9" t="s">
        <v>447</v>
      </c>
      <c r="V1742" s="10">
        <v>12.5</v>
      </c>
      <c r="W1742" s="10" t="s">
        <v>1189</v>
      </c>
      <c r="X1742" s="17">
        <v>44595</v>
      </c>
      <c r="Y1742" s="17">
        <v>44595</v>
      </c>
      <c r="Z1742" s="19" t="s">
        <v>772</v>
      </c>
      <c r="AA1742" s="210">
        <v>5500</v>
      </c>
      <c r="AB1742" s="9">
        <v>24</v>
      </c>
      <c r="AC1742" s="9">
        <v>17</v>
      </c>
      <c r="AD1742" s="17">
        <v>45716</v>
      </c>
      <c r="AE1742" s="56">
        <v>229.17</v>
      </c>
      <c r="AF1742" s="56"/>
      <c r="AP1742" s="11"/>
      <c r="AQ1742" s="11"/>
      <c r="AR1742" s="11"/>
      <c r="AW1742" s="9"/>
      <c r="BD1742" s="9"/>
      <c r="CS1742" s="11">
        <f t="shared" si="123"/>
        <v>0</v>
      </c>
      <c r="CT1742" s="22">
        <f t="shared" si="124"/>
        <v>0</v>
      </c>
      <c r="CU1742" s="22">
        <f t="shared" si="125"/>
        <v>0</v>
      </c>
      <c r="CV1742" s="26">
        <f t="shared" si="122"/>
        <v>229.17</v>
      </c>
    </row>
    <row r="1743" spans="1:100" x14ac:dyDescent="0.2">
      <c r="A1743" s="9" t="s">
        <v>441</v>
      </c>
      <c r="B1743" s="2">
        <v>13</v>
      </c>
      <c r="C1743" s="3" t="s">
        <v>95</v>
      </c>
      <c r="D1743" s="3" t="s">
        <v>96</v>
      </c>
      <c r="E1743" s="2"/>
      <c r="F1743" s="2"/>
      <c r="G1743" s="2" t="s">
        <v>67</v>
      </c>
      <c r="H1743" s="2">
        <v>1</v>
      </c>
      <c r="I1743" s="8">
        <v>139.91999999999999</v>
      </c>
      <c r="J1743" s="8">
        <v>44900</v>
      </c>
      <c r="K1743" s="3">
        <v>0</v>
      </c>
      <c r="L1743" s="3" t="s">
        <v>3</v>
      </c>
      <c r="M1743" s="9" t="s">
        <v>0</v>
      </c>
      <c r="N1743" s="9" t="s">
        <v>36</v>
      </c>
      <c r="O1743" s="9" t="s">
        <v>442</v>
      </c>
      <c r="S1743" s="9" t="s">
        <v>447</v>
      </c>
      <c r="V1743" s="10">
        <v>12.5</v>
      </c>
      <c r="W1743" s="10" t="s">
        <v>1189</v>
      </c>
      <c r="X1743" s="17">
        <v>44595</v>
      </c>
      <c r="Y1743" s="17">
        <v>44595</v>
      </c>
      <c r="Z1743" s="19" t="s">
        <v>772</v>
      </c>
      <c r="AA1743" s="210">
        <v>5500</v>
      </c>
      <c r="AB1743" s="9">
        <v>24</v>
      </c>
      <c r="AC1743" s="9">
        <v>18</v>
      </c>
      <c r="AD1743" s="17">
        <v>45746</v>
      </c>
      <c r="AE1743" s="56">
        <v>229.17</v>
      </c>
      <c r="AF1743" s="56"/>
      <c r="AP1743" s="11"/>
      <c r="AQ1743" s="11"/>
      <c r="AR1743" s="11"/>
      <c r="AW1743" s="9"/>
      <c r="BD1743" s="9"/>
      <c r="CS1743" s="11">
        <f t="shared" si="123"/>
        <v>0</v>
      </c>
      <c r="CT1743" s="22">
        <f t="shared" si="124"/>
        <v>0</v>
      </c>
      <c r="CU1743" s="22">
        <f t="shared" si="125"/>
        <v>0</v>
      </c>
      <c r="CV1743" s="26">
        <f t="shared" si="122"/>
        <v>229.17</v>
      </c>
    </row>
    <row r="1744" spans="1:100" x14ac:dyDescent="0.2">
      <c r="A1744" s="9" t="s">
        <v>441</v>
      </c>
      <c r="B1744" s="2">
        <v>13</v>
      </c>
      <c r="C1744" s="3" t="s">
        <v>95</v>
      </c>
      <c r="D1744" s="3" t="s">
        <v>96</v>
      </c>
      <c r="E1744" s="2"/>
      <c r="F1744" s="2"/>
      <c r="G1744" s="2" t="s">
        <v>67</v>
      </c>
      <c r="H1744" s="2">
        <v>1</v>
      </c>
      <c r="I1744" s="8">
        <v>139.91999999999999</v>
      </c>
      <c r="J1744" s="8">
        <v>44900</v>
      </c>
      <c r="K1744" s="3">
        <v>0</v>
      </c>
      <c r="L1744" s="3" t="s">
        <v>3</v>
      </c>
      <c r="M1744" s="9" t="s">
        <v>0</v>
      </c>
      <c r="N1744" s="9" t="s">
        <v>36</v>
      </c>
      <c r="O1744" s="9" t="s">
        <v>442</v>
      </c>
      <c r="S1744" s="9" t="s">
        <v>447</v>
      </c>
      <c r="V1744" s="10">
        <v>12.5</v>
      </c>
      <c r="W1744" s="10" t="s">
        <v>1189</v>
      </c>
      <c r="X1744" s="17">
        <v>44595</v>
      </c>
      <c r="Y1744" s="17">
        <v>44595</v>
      </c>
      <c r="Z1744" s="19" t="s">
        <v>772</v>
      </c>
      <c r="AA1744" s="210">
        <v>5500</v>
      </c>
      <c r="AB1744" s="9">
        <v>24</v>
      </c>
      <c r="AC1744" s="9">
        <v>19</v>
      </c>
      <c r="AD1744" s="17">
        <v>45777</v>
      </c>
      <c r="AE1744" s="56">
        <v>229.17</v>
      </c>
      <c r="AF1744" s="56"/>
      <c r="AP1744" s="11"/>
      <c r="AQ1744" s="11"/>
      <c r="AR1744" s="11"/>
      <c r="AW1744" s="9"/>
      <c r="BD1744" s="9"/>
      <c r="CS1744" s="11">
        <f t="shared" si="123"/>
        <v>0</v>
      </c>
      <c r="CT1744" s="22">
        <f t="shared" si="124"/>
        <v>0</v>
      </c>
      <c r="CU1744" s="22">
        <f t="shared" si="125"/>
        <v>0</v>
      </c>
      <c r="CV1744" s="26">
        <f t="shared" si="122"/>
        <v>229.17</v>
      </c>
    </row>
    <row r="1745" spans="1:103" x14ac:dyDescent="0.2">
      <c r="A1745" s="9" t="s">
        <v>441</v>
      </c>
      <c r="B1745" s="2">
        <v>13</v>
      </c>
      <c r="C1745" s="3" t="s">
        <v>95</v>
      </c>
      <c r="D1745" s="3" t="s">
        <v>96</v>
      </c>
      <c r="E1745" s="2"/>
      <c r="F1745" s="2"/>
      <c r="G1745" s="2" t="s">
        <v>67</v>
      </c>
      <c r="H1745" s="2">
        <v>1</v>
      </c>
      <c r="I1745" s="8">
        <v>139.91999999999999</v>
      </c>
      <c r="J1745" s="8">
        <v>44900</v>
      </c>
      <c r="K1745" s="3">
        <v>0</v>
      </c>
      <c r="L1745" s="3" t="s">
        <v>3</v>
      </c>
      <c r="M1745" s="9" t="s">
        <v>0</v>
      </c>
      <c r="N1745" s="9" t="s">
        <v>36</v>
      </c>
      <c r="O1745" s="9" t="s">
        <v>442</v>
      </c>
      <c r="S1745" s="9" t="s">
        <v>447</v>
      </c>
      <c r="V1745" s="10">
        <v>12.5</v>
      </c>
      <c r="W1745" s="10" t="s">
        <v>1189</v>
      </c>
      <c r="X1745" s="17">
        <v>44595</v>
      </c>
      <c r="Y1745" s="17">
        <v>44595</v>
      </c>
      <c r="Z1745" s="19" t="s">
        <v>772</v>
      </c>
      <c r="AA1745" s="210">
        <v>5500</v>
      </c>
      <c r="AB1745" s="9">
        <v>24</v>
      </c>
      <c r="AC1745" s="9">
        <v>20</v>
      </c>
      <c r="AD1745" s="17">
        <v>45807</v>
      </c>
      <c r="AE1745" s="56">
        <v>229.17</v>
      </c>
      <c r="AF1745" s="56"/>
      <c r="AP1745" s="11"/>
      <c r="AQ1745" s="11"/>
      <c r="AR1745" s="11"/>
      <c r="AW1745" s="9"/>
      <c r="BD1745" s="9"/>
      <c r="CS1745" s="11">
        <f t="shared" si="123"/>
        <v>0</v>
      </c>
      <c r="CT1745" s="22">
        <f t="shared" si="124"/>
        <v>0</v>
      </c>
      <c r="CU1745" s="22">
        <f t="shared" si="125"/>
        <v>0</v>
      </c>
      <c r="CV1745" s="26">
        <f t="shared" si="122"/>
        <v>229.17</v>
      </c>
    </row>
    <row r="1746" spans="1:103" x14ac:dyDescent="0.2">
      <c r="A1746" s="9" t="s">
        <v>441</v>
      </c>
      <c r="B1746" s="2">
        <v>13</v>
      </c>
      <c r="C1746" s="3" t="s">
        <v>95</v>
      </c>
      <c r="D1746" s="3" t="s">
        <v>96</v>
      </c>
      <c r="E1746" s="2"/>
      <c r="F1746" s="2"/>
      <c r="G1746" s="2" t="s">
        <v>67</v>
      </c>
      <c r="H1746" s="2">
        <v>1</v>
      </c>
      <c r="I1746" s="8">
        <v>139.91999999999999</v>
      </c>
      <c r="J1746" s="8">
        <v>44900</v>
      </c>
      <c r="K1746" s="3">
        <v>0</v>
      </c>
      <c r="L1746" s="3" t="s">
        <v>3</v>
      </c>
      <c r="M1746" s="9" t="s">
        <v>0</v>
      </c>
      <c r="N1746" s="9" t="s">
        <v>36</v>
      </c>
      <c r="O1746" s="9" t="s">
        <v>442</v>
      </c>
      <c r="S1746" s="9" t="s">
        <v>447</v>
      </c>
      <c r="V1746" s="10">
        <v>12.5</v>
      </c>
      <c r="W1746" s="10" t="s">
        <v>1189</v>
      </c>
      <c r="X1746" s="17">
        <v>44595</v>
      </c>
      <c r="Y1746" s="17">
        <v>44595</v>
      </c>
      <c r="Z1746" s="19" t="s">
        <v>772</v>
      </c>
      <c r="AA1746" s="210">
        <v>5500</v>
      </c>
      <c r="AB1746" s="9">
        <v>24</v>
      </c>
      <c r="AC1746" s="9">
        <v>21</v>
      </c>
      <c r="AD1746" s="17">
        <v>45838</v>
      </c>
      <c r="AE1746" s="56">
        <v>229.17</v>
      </c>
      <c r="AF1746" s="56"/>
      <c r="AP1746" s="11"/>
      <c r="AQ1746" s="11"/>
      <c r="AR1746" s="11"/>
      <c r="AW1746" s="9"/>
      <c r="BD1746" s="9"/>
      <c r="CS1746" s="11">
        <f t="shared" si="123"/>
        <v>0</v>
      </c>
      <c r="CT1746" s="22">
        <f t="shared" si="124"/>
        <v>0</v>
      </c>
      <c r="CU1746" s="22">
        <f t="shared" si="125"/>
        <v>0</v>
      </c>
      <c r="CV1746" s="26">
        <f t="shared" si="122"/>
        <v>229.17</v>
      </c>
    </row>
    <row r="1747" spans="1:103" x14ac:dyDescent="0.2">
      <c r="A1747" s="9" t="s">
        <v>441</v>
      </c>
      <c r="B1747" s="2">
        <v>13</v>
      </c>
      <c r="C1747" s="3" t="s">
        <v>95</v>
      </c>
      <c r="D1747" s="3" t="s">
        <v>96</v>
      </c>
      <c r="E1747" s="2"/>
      <c r="F1747" s="2"/>
      <c r="G1747" s="2" t="s">
        <v>67</v>
      </c>
      <c r="H1747" s="2">
        <v>1</v>
      </c>
      <c r="I1747" s="8">
        <v>139.91999999999999</v>
      </c>
      <c r="J1747" s="8">
        <v>44900</v>
      </c>
      <c r="K1747" s="3">
        <v>0</v>
      </c>
      <c r="L1747" s="3" t="s">
        <v>3</v>
      </c>
      <c r="M1747" s="9" t="s">
        <v>0</v>
      </c>
      <c r="N1747" s="9" t="s">
        <v>36</v>
      </c>
      <c r="O1747" s="9" t="s">
        <v>442</v>
      </c>
      <c r="S1747" s="9" t="s">
        <v>447</v>
      </c>
      <c r="V1747" s="10">
        <v>12.5</v>
      </c>
      <c r="W1747" s="10" t="s">
        <v>1189</v>
      </c>
      <c r="X1747" s="17">
        <v>44595</v>
      </c>
      <c r="Y1747" s="17">
        <v>44595</v>
      </c>
      <c r="Z1747" s="19" t="s">
        <v>772</v>
      </c>
      <c r="AA1747" s="210">
        <v>5500</v>
      </c>
      <c r="AB1747" s="9">
        <v>24</v>
      </c>
      <c r="AC1747" s="9">
        <v>22</v>
      </c>
      <c r="AD1747" s="17">
        <v>45868</v>
      </c>
      <c r="AE1747" s="56">
        <v>229.17</v>
      </c>
      <c r="AF1747" s="56"/>
      <c r="AP1747" s="11"/>
      <c r="AQ1747" s="11"/>
      <c r="AR1747" s="11"/>
      <c r="AW1747" s="9"/>
      <c r="BD1747" s="9"/>
      <c r="CS1747" s="11">
        <f t="shared" si="123"/>
        <v>0</v>
      </c>
      <c r="CT1747" s="22">
        <f t="shared" si="124"/>
        <v>0</v>
      </c>
      <c r="CU1747" s="22">
        <f t="shared" si="125"/>
        <v>0</v>
      </c>
      <c r="CV1747" s="26">
        <f t="shared" si="122"/>
        <v>229.17</v>
      </c>
    </row>
    <row r="1748" spans="1:103" x14ac:dyDescent="0.2">
      <c r="A1748" s="9" t="s">
        <v>441</v>
      </c>
      <c r="B1748" s="2">
        <v>13</v>
      </c>
      <c r="C1748" s="3" t="s">
        <v>95</v>
      </c>
      <c r="D1748" s="3" t="s">
        <v>96</v>
      </c>
      <c r="E1748" s="2"/>
      <c r="F1748" s="2"/>
      <c r="G1748" s="2" t="s">
        <v>67</v>
      </c>
      <c r="H1748" s="2">
        <v>1</v>
      </c>
      <c r="I1748" s="8">
        <v>139.91999999999999</v>
      </c>
      <c r="J1748" s="8">
        <v>44900</v>
      </c>
      <c r="K1748" s="3">
        <v>0</v>
      </c>
      <c r="L1748" s="3" t="s">
        <v>3</v>
      </c>
      <c r="M1748" s="9" t="s">
        <v>0</v>
      </c>
      <c r="N1748" s="9" t="s">
        <v>36</v>
      </c>
      <c r="O1748" s="9" t="s">
        <v>442</v>
      </c>
      <c r="S1748" s="9" t="s">
        <v>447</v>
      </c>
      <c r="V1748" s="10">
        <v>12.5</v>
      </c>
      <c r="W1748" s="10" t="s">
        <v>1189</v>
      </c>
      <c r="X1748" s="17">
        <v>44595</v>
      </c>
      <c r="Y1748" s="17">
        <v>44595</v>
      </c>
      <c r="Z1748" s="19" t="s">
        <v>772</v>
      </c>
      <c r="AA1748" s="210">
        <v>5500</v>
      </c>
      <c r="AB1748" s="9">
        <v>24</v>
      </c>
      <c r="AC1748" s="9">
        <v>23</v>
      </c>
      <c r="AD1748" s="17">
        <v>45899</v>
      </c>
      <c r="AE1748" s="56">
        <v>229.17</v>
      </c>
      <c r="AF1748" s="56"/>
      <c r="AP1748" s="11"/>
      <c r="AQ1748" s="11"/>
      <c r="AR1748" s="11"/>
      <c r="AW1748" s="9"/>
      <c r="BD1748" s="9"/>
      <c r="CS1748" s="11">
        <f t="shared" si="123"/>
        <v>0</v>
      </c>
      <c r="CT1748" s="22">
        <f t="shared" si="124"/>
        <v>0</v>
      </c>
      <c r="CU1748" s="22">
        <f t="shared" si="125"/>
        <v>0</v>
      </c>
      <c r="CV1748" s="26">
        <f t="shared" si="122"/>
        <v>229.17</v>
      </c>
    </row>
    <row r="1749" spans="1:103" x14ac:dyDescent="0.2">
      <c r="A1749" s="9" t="s">
        <v>441</v>
      </c>
      <c r="B1749" s="2">
        <v>13</v>
      </c>
      <c r="C1749" s="3" t="s">
        <v>95</v>
      </c>
      <c r="D1749" s="3" t="s">
        <v>96</v>
      </c>
      <c r="E1749" s="2"/>
      <c r="F1749" s="2"/>
      <c r="G1749" s="2" t="s">
        <v>67</v>
      </c>
      <c r="H1749" s="2">
        <v>1</v>
      </c>
      <c r="I1749" s="8">
        <v>139.91999999999999</v>
      </c>
      <c r="J1749" s="8">
        <v>44900</v>
      </c>
      <c r="K1749" s="3">
        <v>0</v>
      </c>
      <c r="L1749" s="3" t="s">
        <v>3</v>
      </c>
      <c r="M1749" s="9" t="s">
        <v>0</v>
      </c>
      <c r="N1749" s="9" t="s">
        <v>36</v>
      </c>
      <c r="O1749" s="9" t="s">
        <v>442</v>
      </c>
      <c r="S1749" s="9" t="s">
        <v>447</v>
      </c>
      <c r="V1749" s="10">
        <v>12.5</v>
      </c>
      <c r="W1749" s="10" t="s">
        <v>1189</v>
      </c>
      <c r="X1749" s="17">
        <v>44595</v>
      </c>
      <c r="Y1749" s="17">
        <v>44595</v>
      </c>
      <c r="Z1749" s="19" t="s">
        <v>772</v>
      </c>
      <c r="AA1749" s="210">
        <v>5500</v>
      </c>
      <c r="AB1749" s="9">
        <v>24</v>
      </c>
      <c r="AC1749" s="9">
        <v>24</v>
      </c>
      <c r="AD1749" s="17">
        <v>45930</v>
      </c>
      <c r="AE1749" s="56">
        <v>229.17</v>
      </c>
      <c r="AF1749" s="56"/>
      <c r="AP1749" s="11"/>
      <c r="AQ1749" s="11"/>
      <c r="AR1749" s="11"/>
      <c r="AW1749" s="9"/>
      <c r="BD1749" s="9"/>
      <c r="CS1749" s="11">
        <f t="shared" si="123"/>
        <v>0</v>
      </c>
      <c r="CT1749" s="22">
        <f t="shared" si="124"/>
        <v>0</v>
      </c>
      <c r="CU1749" s="22">
        <f t="shared" si="125"/>
        <v>0</v>
      </c>
      <c r="CV1749" s="26">
        <f t="shared" si="122"/>
        <v>229.17</v>
      </c>
    </row>
    <row r="1750" spans="1:103" x14ac:dyDescent="0.2">
      <c r="A1750" s="9" t="s">
        <v>451</v>
      </c>
      <c r="B1750" s="2">
        <v>118</v>
      </c>
      <c r="C1750" s="3" t="s">
        <v>95</v>
      </c>
      <c r="D1750" s="3" t="s">
        <v>96</v>
      </c>
      <c r="E1750" s="2"/>
      <c r="F1750" s="2"/>
      <c r="G1750" s="2" t="s">
        <v>81</v>
      </c>
      <c r="H1750" s="2">
        <v>1</v>
      </c>
      <c r="I1750" s="8">
        <v>178.75</v>
      </c>
      <c r="J1750" s="8">
        <v>56900</v>
      </c>
      <c r="K1750" s="3">
        <v>0</v>
      </c>
      <c r="L1750" s="3" t="s">
        <v>3</v>
      </c>
      <c r="M1750" s="9" t="s">
        <v>0</v>
      </c>
      <c r="N1750" s="9" t="s">
        <v>37</v>
      </c>
      <c r="O1750" s="9" t="s">
        <v>452</v>
      </c>
      <c r="T1750" s="10" t="s">
        <v>81</v>
      </c>
      <c r="U1750" s="10">
        <v>1</v>
      </c>
      <c r="V1750" s="10">
        <v>178.75</v>
      </c>
      <c r="W1750" s="10" t="s">
        <v>710</v>
      </c>
      <c r="X1750" s="17">
        <v>44464</v>
      </c>
      <c r="Y1750" s="17">
        <v>45494</v>
      </c>
      <c r="Z1750" s="19" t="s">
        <v>772</v>
      </c>
      <c r="AA1750" s="210">
        <v>48418.03</v>
      </c>
      <c r="AB1750" s="9">
        <v>13</v>
      </c>
      <c r="AC1750" s="9">
        <v>1</v>
      </c>
      <c r="AD1750" s="17">
        <v>44464</v>
      </c>
      <c r="AE1750" s="56">
        <v>3999.9999999999995</v>
      </c>
      <c r="AF1750" s="56"/>
      <c r="AG1750" s="9" t="s">
        <v>134</v>
      </c>
      <c r="AH1750" s="17">
        <v>44464</v>
      </c>
      <c r="AI1750" s="17"/>
      <c r="AJ1750" s="17"/>
      <c r="AK1750" s="9" t="s">
        <v>453</v>
      </c>
      <c r="AL1750" s="76"/>
      <c r="AM1750" s="197">
        <v>16440</v>
      </c>
      <c r="AN1750" s="22" t="s">
        <v>1735</v>
      </c>
      <c r="AO1750" s="28"/>
      <c r="AP1750" s="70">
        <v>44464</v>
      </c>
      <c r="AQ1750" s="70"/>
      <c r="AR1750" s="70"/>
      <c r="AS1750" s="28" t="s">
        <v>1733</v>
      </c>
      <c r="AT1750" s="28"/>
      <c r="AU1750" s="28">
        <v>16440</v>
      </c>
      <c r="AV1750" s="28" t="s">
        <v>1734</v>
      </c>
      <c r="AW1750" s="17">
        <v>44466</v>
      </c>
      <c r="AX1750" s="9">
        <v>7628</v>
      </c>
      <c r="AY1750" s="11">
        <v>16440</v>
      </c>
      <c r="AZ1750" s="9">
        <v>4.1100000000000003</v>
      </c>
      <c r="BA1750" s="11">
        <f>+AY1750/AZ1750</f>
        <v>3999.9999999999995</v>
      </c>
      <c r="BD1750" s="9"/>
      <c r="CS1750" s="11">
        <f t="shared" si="123"/>
        <v>0</v>
      </c>
      <c r="CT1750" s="22">
        <f t="shared" si="124"/>
        <v>3999.9999999999995</v>
      </c>
      <c r="CU1750" s="22">
        <f t="shared" si="125"/>
        <v>-3999.9999999999995</v>
      </c>
      <c r="CV1750" s="26">
        <f t="shared" si="122"/>
        <v>3999.9999999999995</v>
      </c>
      <c r="CY1750" s="9" t="s">
        <v>3493</v>
      </c>
    </row>
    <row r="1751" spans="1:103" x14ac:dyDescent="0.2">
      <c r="A1751" s="9" t="s">
        <v>451</v>
      </c>
      <c r="B1751" s="2">
        <v>118</v>
      </c>
      <c r="C1751" s="3" t="s">
        <v>95</v>
      </c>
      <c r="D1751" s="3" t="s">
        <v>96</v>
      </c>
      <c r="E1751" s="2"/>
      <c r="F1751" s="2"/>
      <c r="G1751" s="2" t="s">
        <v>81</v>
      </c>
      <c r="H1751" s="2">
        <v>1</v>
      </c>
      <c r="I1751" s="8">
        <v>178.75</v>
      </c>
      <c r="J1751" s="8">
        <v>56900</v>
      </c>
      <c r="K1751" s="3">
        <v>0</v>
      </c>
      <c r="L1751" s="3" t="s">
        <v>3</v>
      </c>
      <c r="M1751" s="9" t="s">
        <v>0</v>
      </c>
      <c r="N1751" s="9" t="s">
        <v>37</v>
      </c>
      <c r="O1751" s="9" t="s">
        <v>452</v>
      </c>
      <c r="T1751" s="10" t="s">
        <v>81</v>
      </c>
      <c r="U1751" s="10">
        <v>1</v>
      </c>
      <c r="V1751" s="10">
        <v>178.75</v>
      </c>
      <c r="W1751" s="10" t="s">
        <v>710</v>
      </c>
      <c r="X1751" s="17">
        <v>44464</v>
      </c>
      <c r="Y1751" s="17">
        <v>45494</v>
      </c>
      <c r="Z1751" s="19" t="s">
        <v>772</v>
      </c>
      <c r="AA1751" s="210">
        <v>48418.03</v>
      </c>
      <c r="AB1751" s="9">
        <v>13</v>
      </c>
      <c r="AC1751" s="9">
        <v>2</v>
      </c>
      <c r="AD1751" s="17">
        <v>44586</v>
      </c>
      <c r="AE1751" s="56">
        <v>2251.3689700130381</v>
      </c>
      <c r="AF1751" s="56"/>
      <c r="AG1751" s="9" t="s">
        <v>134</v>
      </c>
      <c r="AH1751" s="17">
        <v>44586</v>
      </c>
      <c r="AI1751" s="17"/>
      <c r="AJ1751" s="17"/>
      <c r="AK1751" s="9" t="s">
        <v>458</v>
      </c>
      <c r="AL1751" s="22"/>
      <c r="AM1751" s="197">
        <v>8634.1200000000008</v>
      </c>
      <c r="AN1751" s="76" t="s">
        <v>1719</v>
      </c>
      <c r="AO1751" s="22"/>
      <c r="AP1751" s="22"/>
      <c r="AQ1751" s="22"/>
      <c r="AR1751" s="22"/>
      <c r="AS1751" s="22"/>
      <c r="AT1751" s="22"/>
      <c r="AU1751" s="22"/>
      <c r="AV1751" s="22"/>
      <c r="AW1751" s="17">
        <v>44586</v>
      </c>
      <c r="AX1751" s="9" t="s">
        <v>459</v>
      </c>
      <c r="AY1751" s="11">
        <v>8634</v>
      </c>
      <c r="AZ1751" s="9">
        <v>3.835</v>
      </c>
      <c r="BA1751" s="11">
        <f>+AY1751/AZ1751</f>
        <v>2251.3689700130381</v>
      </c>
      <c r="BB1751" s="11" t="s">
        <v>1704</v>
      </c>
      <c r="BD1751" s="9"/>
      <c r="CS1751" s="11">
        <f t="shared" si="123"/>
        <v>0</v>
      </c>
      <c r="CT1751" s="22">
        <f t="shared" si="124"/>
        <v>2251.3689700130381</v>
      </c>
      <c r="CU1751" s="22">
        <f t="shared" si="125"/>
        <v>-2251.3689700130381</v>
      </c>
      <c r="CV1751" s="26">
        <f t="shared" si="122"/>
        <v>2251.3689700130381</v>
      </c>
      <c r="CY1751" s="9" t="s">
        <v>3493</v>
      </c>
    </row>
    <row r="1752" spans="1:103" x14ac:dyDescent="0.2">
      <c r="A1752" s="9" t="s">
        <v>451</v>
      </c>
      <c r="B1752" s="2">
        <v>118</v>
      </c>
      <c r="C1752" s="3" t="s">
        <v>95</v>
      </c>
      <c r="D1752" s="3" t="s">
        <v>96</v>
      </c>
      <c r="E1752" s="2"/>
      <c r="F1752" s="2"/>
      <c r="G1752" s="2" t="s">
        <v>81</v>
      </c>
      <c r="H1752" s="2">
        <v>1</v>
      </c>
      <c r="I1752" s="8">
        <v>178.75</v>
      </c>
      <c r="J1752" s="8">
        <v>56900</v>
      </c>
      <c r="K1752" s="3">
        <v>0</v>
      </c>
      <c r="L1752" s="3" t="s">
        <v>3</v>
      </c>
      <c r="M1752" s="9" t="s">
        <v>0</v>
      </c>
      <c r="N1752" s="9" t="s">
        <v>37</v>
      </c>
      <c r="O1752" s="9" t="s">
        <v>452</v>
      </c>
      <c r="T1752" s="10" t="s">
        <v>81</v>
      </c>
      <c r="U1752" s="10">
        <v>1</v>
      </c>
      <c r="V1752" s="10">
        <v>178.75</v>
      </c>
      <c r="W1752" s="10" t="s">
        <v>710</v>
      </c>
      <c r="X1752" s="17">
        <v>44464</v>
      </c>
      <c r="Y1752" s="17">
        <v>45494</v>
      </c>
      <c r="Z1752" s="19" t="s">
        <v>772</v>
      </c>
      <c r="AA1752" s="210">
        <v>48418.03</v>
      </c>
      <c r="AB1752" s="9">
        <v>13</v>
      </c>
      <c r="AC1752" s="9">
        <v>3</v>
      </c>
      <c r="AD1752" s="17">
        <v>44618</v>
      </c>
      <c r="AE1752" s="56">
        <v>3833.3297900611215</v>
      </c>
      <c r="AF1752" s="56"/>
      <c r="AG1752" s="9" t="s">
        <v>134</v>
      </c>
      <c r="AH1752" s="17">
        <v>44618</v>
      </c>
      <c r="AI1752" s="17"/>
      <c r="AJ1752" s="17"/>
      <c r="AK1752" s="9" t="s">
        <v>460</v>
      </c>
      <c r="AL1752" s="22"/>
      <c r="AM1752" s="197">
        <v>14424.82</v>
      </c>
      <c r="AN1752" s="76" t="s">
        <v>1720</v>
      </c>
      <c r="AO1752" s="22"/>
      <c r="AP1752" s="22"/>
      <c r="AQ1752" s="22"/>
      <c r="AR1752" s="22"/>
      <c r="AS1752" s="22"/>
      <c r="AT1752" s="22"/>
      <c r="AU1752" s="22"/>
      <c r="AV1752" s="22"/>
      <c r="AW1752" s="17">
        <v>44618</v>
      </c>
      <c r="AX1752" s="9" t="s">
        <v>481</v>
      </c>
      <c r="AY1752" s="11">
        <v>14424.82</v>
      </c>
      <c r="AZ1752" s="9">
        <v>3.7629999999999999</v>
      </c>
      <c r="BA1752" s="11">
        <f>+AY1752/AZ1752</f>
        <v>3833.3297900611215</v>
      </c>
      <c r="BB1752" s="11" t="s">
        <v>1704</v>
      </c>
      <c r="BD1752" s="9"/>
      <c r="CS1752" s="11">
        <f t="shared" si="123"/>
        <v>0</v>
      </c>
      <c r="CT1752" s="22">
        <f t="shared" si="124"/>
        <v>3833.3297900611215</v>
      </c>
      <c r="CU1752" s="22">
        <f t="shared" si="125"/>
        <v>-3833.3297900611215</v>
      </c>
      <c r="CV1752" s="26">
        <f t="shared" si="122"/>
        <v>3833.3297900611215</v>
      </c>
      <c r="CY1752" s="9" t="s">
        <v>3493</v>
      </c>
    </row>
    <row r="1753" spans="1:103" x14ac:dyDescent="0.2">
      <c r="A1753" s="9" t="s">
        <v>451</v>
      </c>
      <c r="B1753" s="2">
        <v>118</v>
      </c>
      <c r="C1753" s="3" t="s">
        <v>95</v>
      </c>
      <c r="D1753" s="3" t="s">
        <v>96</v>
      </c>
      <c r="E1753" s="2"/>
      <c r="F1753" s="2"/>
      <c r="G1753" s="2" t="s">
        <v>81</v>
      </c>
      <c r="H1753" s="2">
        <v>1</v>
      </c>
      <c r="I1753" s="8">
        <v>178.75</v>
      </c>
      <c r="J1753" s="8">
        <v>56900</v>
      </c>
      <c r="K1753" s="3">
        <v>0</v>
      </c>
      <c r="L1753" s="3" t="s">
        <v>3</v>
      </c>
      <c r="M1753" s="9" t="s">
        <v>0</v>
      </c>
      <c r="N1753" s="9" t="s">
        <v>37</v>
      </c>
      <c r="O1753" s="9" t="s">
        <v>452</v>
      </c>
      <c r="T1753" s="10" t="s">
        <v>81</v>
      </c>
      <c r="U1753" s="10">
        <v>1</v>
      </c>
      <c r="V1753" s="10">
        <v>178.75</v>
      </c>
      <c r="W1753" s="10" t="s">
        <v>710</v>
      </c>
      <c r="X1753" s="17">
        <v>44464</v>
      </c>
      <c r="Y1753" s="17">
        <v>45494</v>
      </c>
      <c r="Z1753" s="19" t="s">
        <v>772</v>
      </c>
      <c r="AA1753" s="210">
        <v>48418.03</v>
      </c>
      <c r="AB1753" s="9">
        <v>13</v>
      </c>
      <c r="AC1753" s="9">
        <v>4</v>
      </c>
      <c r="AD1753" s="17">
        <v>44646</v>
      </c>
      <c r="AE1753" s="56">
        <v>3833.3306709265175</v>
      </c>
      <c r="AF1753" s="56"/>
      <c r="AG1753" s="9" t="s">
        <v>134</v>
      </c>
      <c r="AH1753" s="17">
        <v>44646</v>
      </c>
      <c r="AI1753" s="17"/>
      <c r="AJ1753" s="17"/>
      <c r="AK1753" s="9" t="s">
        <v>461</v>
      </c>
      <c r="AL1753" s="22"/>
      <c r="AM1753" s="197">
        <v>14397.99</v>
      </c>
      <c r="AN1753" s="76" t="s">
        <v>1721</v>
      </c>
      <c r="AO1753" s="22"/>
      <c r="AP1753" s="22"/>
      <c r="AQ1753" s="22"/>
      <c r="AR1753" s="22"/>
      <c r="AS1753" s="22"/>
      <c r="AT1753" s="22"/>
      <c r="AU1753" s="22"/>
      <c r="AV1753" s="22"/>
      <c r="AW1753" s="17">
        <v>44646</v>
      </c>
      <c r="AX1753" s="9" t="s">
        <v>480</v>
      </c>
      <c r="AY1753" s="11">
        <v>14397.99</v>
      </c>
      <c r="AZ1753" s="9">
        <v>3.7559999999999998</v>
      </c>
      <c r="BA1753" s="11">
        <f>+AY1753/AZ1753</f>
        <v>3833.3306709265175</v>
      </c>
      <c r="BB1753" s="11" t="s">
        <v>1704</v>
      </c>
      <c r="BD1753" s="9"/>
      <c r="CS1753" s="11">
        <f t="shared" si="123"/>
        <v>0</v>
      </c>
      <c r="CT1753" s="22">
        <f t="shared" si="124"/>
        <v>3833.3306709265175</v>
      </c>
      <c r="CU1753" s="22">
        <f t="shared" si="125"/>
        <v>-3833.3306709265175</v>
      </c>
      <c r="CV1753" s="26">
        <f t="shared" si="122"/>
        <v>3833.3306709265175</v>
      </c>
      <c r="CY1753" s="9" t="s">
        <v>3493</v>
      </c>
    </row>
    <row r="1754" spans="1:103" x14ac:dyDescent="0.2">
      <c r="A1754" s="9" t="s">
        <v>451</v>
      </c>
      <c r="B1754" s="2">
        <v>118</v>
      </c>
      <c r="C1754" s="3" t="s">
        <v>95</v>
      </c>
      <c r="D1754" s="3" t="s">
        <v>96</v>
      </c>
      <c r="E1754" s="2"/>
      <c r="F1754" s="2"/>
      <c r="G1754" s="2" t="s">
        <v>81</v>
      </c>
      <c r="H1754" s="2">
        <v>1</v>
      </c>
      <c r="I1754" s="8">
        <v>178.75</v>
      </c>
      <c r="J1754" s="8">
        <v>56900</v>
      </c>
      <c r="K1754" s="3">
        <v>0</v>
      </c>
      <c r="L1754" s="3" t="s">
        <v>3</v>
      </c>
      <c r="M1754" s="9" t="s">
        <v>0</v>
      </c>
      <c r="N1754" s="9" t="s">
        <v>37</v>
      </c>
      <c r="O1754" s="9" t="s">
        <v>452</v>
      </c>
      <c r="T1754" s="10" t="s">
        <v>81</v>
      </c>
      <c r="U1754" s="10">
        <v>1</v>
      </c>
      <c r="V1754" s="10">
        <v>178.75</v>
      </c>
      <c r="W1754" s="10" t="s">
        <v>710</v>
      </c>
      <c r="X1754" s="17">
        <v>44464</v>
      </c>
      <c r="Y1754" s="17">
        <v>45494</v>
      </c>
      <c r="Z1754" s="19" t="s">
        <v>772</v>
      </c>
      <c r="AA1754" s="210">
        <v>48418.03</v>
      </c>
      <c r="AB1754" s="9">
        <v>13</v>
      </c>
      <c r="AC1754" s="9">
        <v>5</v>
      </c>
      <c r="AD1754" s="17">
        <v>44677</v>
      </c>
      <c r="AE1754" s="56">
        <v>3833.328964613368</v>
      </c>
      <c r="AF1754" s="56"/>
      <c r="AG1754" s="9" t="s">
        <v>134</v>
      </c>
      <c r="AH1754" s="17">
        <v>44677</v>
      </c>
      <c r="AI1754" s="17"/>
      <c r="AJ1754" s="17"/>
      <c r="AK1754" s="9" t="s">
        <v>463</v>
      </c>
      <c r="AL1754" s="22"/>
      <c r="AM1754" s="197">
        <v>14624.15</v>
      </c>
      <c r="AN1754" s="76" t="s">
        <v>1722</v>
      </c>
      <c r="AO1754" s="22"/>
      <c r="AP1754" s="22"/>
      <c r="AQ1754" s="22"/>
      <c r="AR1754" s="22"/>
      <c r="AS1754" s="22"/>
      <c r="AT1754" s="22"/>
      <c r="AU1754" s="22"/>
      <c r="AV1754" s="22"/>
      <c r="AW1754" s="17">
        <v>44677</v>
      </c>
      <c r="AX1754" s="9" t="s">
        <v>479</v>
      </c>
      <c r="AY1754" s="11">
        <v>14624.15</v>
      </c>
      <c r="AZ1754" s="9">
        <v>3.8149999999999999</v>
      </c>
      <c r="BA1754" s="11">
        <f>+AY1754/AZ1754</f>
        <v>3833.328964613368</v>
      </c>
      <c r="BB1754" s="11" t="s">
        <v>1704</v>
      </c>
      <c r="BD1754" s="9"/>
      <c r="CS1754" s="11">
        <f t="shared" si="123"/>
        <v>0</v>
      </c>
      <c r="CT1754" s="22">
        <f t="shared" si="124"/>
        <v>3833.328964613368</v>
      </c>
      <c r="CU1754" s="22">
        <f t="shared" si="125"/>
        <v>-3833.328964613368</v>
      </c>
      <c r="CV1754" s="26">
        <f t="shared" si="122"/>
        <v>3833.328964613368</v>
      </c>
      <c r="CY1754" s="9" t="s">
        <v>3493</v>
      </c>
    </row>
    <row r="1755" spans="1:103" x14ac:dyDescent="0.2">
      <c r="A1755" s="9" t="s">
        <v>451</v>
      </c>
      <c r="B1755" s="2">
        <v>118</v>
      </c>
      <c r="C1755" s="3" t="s">
        <v>95</v>
      </c>
      <c r="D1755" s="3" t="s">
        <v>96</v>
      </c>
      <c r="E1755" s="2"/>
      <c r="F1755" s="2"/>
      <c r="G1755" s="2" t="s">
        <v>81</v>
      </c>
      <c r="H1755" s="2">
        <v>1</v>
      </c>
      <c r="I1755" s="8">
        <v>178.75</v>
      </c>
      <c r="J1755" s="8">
        <v>56900</v>
      </c>
      <c r="K1755" s="3">
        <v>0</v>
      </c>
      <c r="L1755" s="3" t="s">
        <v>3</v>
      </c>
      <c r="M1755" s="9" t="s">
        <v>0</v>
      </c>
      <c r="N1755" s="9" t="s">
        <v>37</v>
      </c>
      <c r="O1755" s="9" t="s">
        <v>452</v>
      </c>
      <c r="T1755" s="10" t="s">
        <v>81</v>
      </c>
      <c r="U1755" s="10">
        <v>1</v>
      </c>
      <c r="V1755" s="10">
        <v>178.75</v>
      </c>
      <c r="W1755" s="10" t="s">
        <v>710</v>
      </c>
      <c r="X1755" s="17">
        <v>44464</v>
      </c>
      <c r="Y1755" s="17">
        <v>45494</v>
      </c>
      <c r="Z1755" s="19" t="s">
        <v>772</v>
      </c>
      <c r="AA1755" s="210">
        <v>48418.03</v>
      </c>
      <c r="AB1755" s="9">
        <v>13</v>
      </c>
      <c r="AC1755" s="9">
        <v>6</v>
      </c>
      <c r="AD1755" s="17">
        <v>44706</v>
      </c>
      <c r="AE1755" s="56">
        <v>3833.33</v>
      </c>
      <c r="AF1755" s="56"/>
      <c r="AG1755" s="9" t="s">
        <v>134</v>
      </c>
      <c r="AH1755" s="17">
        <v>44709</v>
      </c>
      <c r="AI1755" s="17"/>
      <c r="AJ1755" s="17"/>
      <c r="AK1755" s="9" t="s">
        <v>462</v>
      </c>
      <c r="AL1755" s="22"/>
      <c r="AM1755" s="197">
        <v>14064.49</v>
      </c>
      <c r="AN1755" s="76" t="s">
        <v>1723</v>
      </c>
      <c r="AO1755" s="22"/>
      <c r="AP1755" s="22"/>
      <c r="AQ1755" s="22"/>
      <c r="AR1755" s="22"/>
      <c r="AS1755" s="22"/>
      <c r="AT1755" s="22"/>
      <c r="AU1755" s="22"/>
      <c r="AV1755" s="22"/>
      <c r="AW1755" s="17">
        <v>44706</v>
      </c>
      <c r="AX1755" s="9" t="s">
        <v>464</v>
      </c>
      <c r="AY1755" s="11">
        <v>14064.49</v>
      </c>
      <c r="AZ1755" s="26">
        <f t="shared" ref="AZ1755:AZ1762" si="126">+AY1755/BA1755</f>
        <v>3.6690005817396365</v>
      </c>
      <c r="BA1755" s="11">
        <v>3833.33</v>
      </c>
      <c r="BB1755" s="11" t="s">
        <v>1704</v>
      </c>
      <c r="BD1755" s="9"/>
      <c r="CS1755" s="11">
        <f t="shared" si="123"/>
        <v>0</v>
      </c>
      <c r="CT1755" s="22">
        <f t="shared" si="124"/>
        <v>3833.33</v>
      </c>
      <c r="CU1755" s="22">
        <f t="shared" si="125"/>
        <v>-3833.33</v>
      </c>
      <c r="CV1755" s="26">
        <f t="shared" si="122"/>
        <v>3833.33</v>
      </c>
      <c r="CY1755" s="9" t="s">
        <v>3493</v>
      </c>
    </row>
    <row r="1756" spans="1:103" x14ac:dyDescent="0.2">
      <c r="A1756" s="9" t="s">
        <v>451</v>
      </c>
      <c r="B1756" s="2">
        <v>118</v>
      </c>
      <c r="C1756" s="3" t="s">
        <v>95</v>
      </c>
      <c r="D1756" s="3" t="s">
        <v>96</v>
      </c>
      <c r="E1756" s="2"/>
      <c r="F1756" s="2"/>
      <c r="G1756" s="2" t="s">
        <v>81</v>
      </c>
      <c r="H1756" s="2">
        <v>1</v>
      </c>
      <c r="I1756" s="8">
        <v>178.75</v>
      </c>
      <c r="J1756" s="8">
        <v>56900</v>
      </c>
      <c r="K1756" s="3">
        <v>0</v>
      </c>
      <c r="L1756" s="3" t="s">
        <v>3</v>
      </c>
      <c r="M1756" s="9" t="s">
        <v>0</v>
      </c>
      <c r="N1756" s="9" t="s">
        <v>37</v>
      </c>
      <c r="O1756" s="9" t="s">
        <v>452</v>
      </c>
      <c r="T1756" s="10" t="s">
        <v>81</v>
      </c>
      <c r="U1756" s="10">
        <v>1</v>
      </c>
      <c r="V1756" s="10">
        <v>178.75</v>
      </c>
      <c r="W1756" s="10" t="s">
        <v>710</v>
      </c>
      <c r="X1756" s="17">
        <v>44464</v>
      </c>
      <c r="Y1756" s="17">
        <v>45494</v>
      </c>
      <c r="Z1756" s="19" t="s">
        <v>772</v>
      </c>
      <c r="AA1756" s="210">
        <v>48418.03</v>
      </c>
      <c r="AB1756" s="9">
        <v>13</v>
      </c>
      <c r="AC1756" s="9">
        <v>7</v>
      </c>
      <c r="AD1756" s="17">
        <v>44737</v>
      </c>
      <c r="AE1756" s="56">
        <v>3833.33</v>
      </c>
      <c r="AF1756" s="56"/>
      <c r="AG1756" s="9" t="s">
        <v>134</v>
      </c>
      <c r="AH1756" s="17">
        <v>44737</v>
      </c>
      <c r="AI1756" s="17"/>
      <c r="AJ1756" s="17"/>
      <c r="AK1756" s="9" t="s">
        <v>465</v>
      </c>
      <c r="AL1756" s="22"/>
      <c r="AM1756" s="197">
        <v>14386.49</v>
      </c>
      <c r="AN1756" s="76" t="s">
        <v>1724</v>
      </c>
      <c r="AO1756" s="22"/>
      <c r="AP1756" s="22"/>
      <c r="AQ1756" s="22"/>
      <c r="AR1756" s="22"/>
      <c r="AS1756" s="22"/>
      <c r="AT1756" s="22"/>
      <c r="AU1756" s="22"/>
      <c r="AV1756" s="22"/>
      <c r="AW1756" s="17">
        <v>44737</v>
      </c>
      <c r="AX1756" s="9" t="s">
        <v>466</v>
      </c>
      <c r="AY1756" s="11">
        <v>14386.49</v>
      </c>
      <c r="AZ1756" s="26">
        <f t="shared" si="126"/>
        <v>3.753000654783178</v>
      </c>
      <c r="BA1756" s="11">
        <v>3833.33</v>
      </c>
      <c r="BB1756" s="11" t="s">
        <v>1704</v>
      </c>
      <c r="BD1756" s="9"/>
      <c r="CS1756" s="11">
        <f t="shared" si="123"/>
        <v>0</v>
      </c>
      <c r="CT1756" s="22">
        <f t="shared" si="124"/>
        <v>3833.33</v>
      </c>
      <c r="CU1756" s="22">
        <f t="shared" si="125"/>
        <v>-3833.33</v>
      </c>
      <c r="CV1756" s="26">
        <f t="shared" si="122"/>
        <v>3833.33</v>
      </c>
      <c r="CY1756" s="9" t="s">
        <v>3493</v>
      </c>
    </row>
    <row r="1757" spans="1:103" x14ac:dyDescent="0.2">
      <c r="A1757" s="9" t="s">
        <v>451</v>
      </c>
      <c r="B1757" s="2">
        <v>118</v>
      </c>
      <c r="C1757" s="3" t="s">
        <v>95</v>
      </c>
      <c r="D1757" s="3" t="s">
        <v>96</v>
      </c>
      <c r="E1757" s="2"/>
      <c r="F1757" s="2"/>
      <c r="G1757" s="2" t="s">
        <v>81</v>
      </c>
      <c r="H1757" s="2">
        <v>1</v>
      </c>
      <c r="I1757" s="8">
        <v>178.75</v>
      </c>
      <c r="J1757" s="8">
        <v>56900</v>
      </c>
      <c r="K1757" s="3">
        <v>0</v>
      </c>
      <c r="L1757" s="3" t="s">
        <v>3</v>
      </c>
      <c r="M1757" s="9" t="s">
        <v>0</v>
      </c>
      <c r="N1757" s="9" t="s">
        <v>37</v>
      </c>
      <c r="O1757" s="9" t="s">
        <v>452</v>
      </c>
      <c r="T1757" s="10" t="s">
        <v>81</v>
      </c>
      <c r="U1757" s="10">
        <v>1</v>
      </c>
      <c r="V1757" s="10">
        <v>178.75</v>
      </c>
      <c r="W1757" s="10" t="s">
        <v>710</v>
      </c>
      <c r="X1757" s="17">
        <v>44464</v>
      </c>
      <c r="Y1757" s="17">
        <v>45494</v>
      </c>
      <c r="Z1757" s="19" t="s">
        <v>772</v>
      </c>
      <c r="AA1757" s="210">
        <v>48418.03</v>
      </c>
      <c r="AB1757" s="9">
        <v>13</v>
      </c>
      <c r="AC1757" s="9">
        <v>8</v>
      </c>
      <c r="AD1757" s="17">
        <v>44781</v>
      </c>
      <c r="AE1757" s="56">
        <v>3833.33</v>
      </c>
      <c r="AF1757" s="56"/>
      <c r="AG1757" s="9" t="s">
        <v>134</v>
      </c>
      <c r="AH1757" s="17">
        <v>44781</v>
      </c>
      <c r="AI1757" s="17"/>
      <c r="AJ1757" s="17"/>
      <c r="AK1757" s="9" t="s">
        <v>467</v>
      </c>
      <c r="AL1757" s="22"/>
      <c r="AM1757" s="197">
        <v>14969.15</v>
      </c>
      <c r="AN1757" s="76" t="s">
        <v>1725</v>
      </c>
      <c r="AO1757" s="22"/>
      <c r="AP1757" s="22"/>
      <c r="AQ1757" s="22"/>
      <c r="AR1757" s="22"/>
      <c r="AS1757" s="22"/>
      <c r="AT1757" s="22"/>
      <c r="AU1757" s="22"/>
      <c r="AV1757" s="22"/>
      <c r="AW1757" s="17">
        <v>44781</v>
      </c>
      <c r="AX1757" s="9" t="s">
        <v>468</v>
      </c>
      <c r="AY1757" s="11">
        <v>14969.15</v>
      </c>
      <c r="AZ1757" s="26">
        <f t="shared" si="126"/>
        <v>3.904999047825259</v>
      </c>
      <c r="BA1757" s="11">
        <v>3833.33</v>
      </c>
      <c r="BB1757" s="11" t="s">
        <v>1704</v>
      </c>
      <c r="BD1757" s="9"/>
      <c r="CS1757" s="11">
        <f t="shared" si="123"/>
        <v>0</v>
      </c>
      <c r="CT1757" s="22">
        <f t="shared" si="124"/>
        <v>3833.33</v>
      </c>
      <c r="CU1757" s="22">
        <f t="shared" si="125"/>
        <v>-3833.33</v>
      </c>
      <c r="CV1757" s="26">
        <f t="shared" si="122"/>
        <v>3833.33</v>
      </c>
      <c r="CY1757" s="9" t="s">
        <v>3493</v>
      </c>
    </row>
    <row r="1758" spans="1:103" x14ac:dyDescent="0.2">
      <c r="A1758" s="9" t="s">
        <v>451</v>
      </c>
      <c r="B1758" s="2">
        <v>118</v>
      </c>
      <c r="C1758" s="3" t="s">
        <v>95</v>
      </c>
      <c r="D1758" s="3" t="s">
        <v>96</v>
      </c>
      <c r="E1758" s="2"/>
      <c r="F1758" s="2"/>
      <c r="G1758" s="2" t="s">
        <v>81</v>
      </c>
      <c r="H1758" s="2">
        <v>1</v>
      </c>
      <c r="I1758" s="8">
        <v>178.75</v>
      </c>
      <c r="J1758" s="8">
        <v>56900</v>
      </c>
      <c r="K1758" s="3">
        <v>0</v>
      </c>
      <c r="L1758" s="3" t="s">
        <v>3</v>
      </c>
      <c r="M1758" s="9" t="s">
        <v>0</v>
      </c>
      <c r="N1758" s="9" t="s">
        <v>37</v>
      </c>
      <c r="O1758" s="9" t="s">
        <v>452</v>
      </c>
      <c r="T1758" s="10" t="s">
        <v>81</v>
      </c>
      <c r="U1758" s="10">
        <v>1</v>
      </c>
      <c r="V1758" s="10">
        <v>178.75</v>
      </c>
      <c r="W1758" s="10" t="s">
        <v>710</v>
      </c>
      <c r="X1758" s="17">
        <v>44464</v>
      </c>
      <c r="Y1758" s="17">
        <v>45494</v>
      </c>
      <c r="Z1758" s="19" t="s">
        <v>772</v>
      </c>
      <c r="AA1758" s="210">
        <v>48418.03</v>
      </c>
      <c r="AB1758" s="9">
        <v>13</v>
      </c>
      <c r="AC1758" s="9">
        <v>9</v>
      </c>
      <c r="AD1758" s="17">
        <v>44802</v>
      </c>
      <c r="AE1758" s="56">
        <v>3833.33</v>
      </c>
      <c r="AF1758" s="56"/>
      <c r="AG1758" s="9" t="s">
        <v>134</v>
      </c>
      <c r="AH1758" s="18">
        <v>44802</v>
      </c>
      <c r="AI1758" s="18"/>
      <c r="AJ1758" s="18"/>
      <c r="AK1758" s="9" t="s">
        <v>469</v>
      </c>
      <c r="AL1758" s="22">
        <v>3833.33</v>
      </c>
      <c r="AM1758" s="22"/>
      <c r="AN1758" s="22" t="s">
        <v>1726</v>
      </c>
      <c r="AO1758" s="22"/>
      <c r="AP1758" s="22"/>
      <c r="AQ1758" s="22"/>
      <c r="AR1758" s="22"/>
      <c r="AS1758" s="22"/>
      <c r="AT1758" s="22"/>
      <c r="AU1758" s="22"/>
      <c r="AV1758" s="22"/>
      <c r="AW1758" s="17">
        <v>44802</v>
      </c>
      <c r="AX1758" s="9" t="s">
        <v>470</v>
      </c>
      <c r="AY1758" s="11">
        <v>14746.82</v>
      </c>
      <c r="AZ1758" s="26">
        <f t="shared" si="126"/>
        <v>3.8469998669564061</v>
      </c>
      <c r="BA1758" s="11">
        <v>3833.33</v>
      </c>
      <c r="BB1758" s="11" t="s">
        <v>1704</v>
      </c>
      <c r="BD1758" s="9"/>
      <c r="CS1758" s="11">
        <f t="shared" si="123"/>
        <v>3833.33</v>
      </c>
      <c r="CT1758" s="22">
        <f t="shared" si="124"/>
        <v>3833.33</v>
      </c>
      <c r="CU1758" s="22">
        <f t="shared" si="125"/>
        <v>0</v>
      </c>
      <c r="CV1758" s="26">
        <f t="shared" si="122"/>
        <v>0</v>
      </c>
    </row>
    <row r="1759" spans="1:103" x14ac:dyDescent="0.2">
      <c r="A1759" s="9" t="s">
        <v>451</v>
      </c>
      <c r="B1759" s="2">
        <v>118</v>
      </c>
      <c r="C1759" s="3" t="s">
        <v>95</v>
      </c>
      <c r="D1759" s="3" t="s">
        <v>96</v>
      </c>
      <c r="E1759" s="2"/>
      <c r="F1759" s="2"/>
      <c r="G1759" s="2" t="s">
        <v>81</v>
      </c>
      <c r="H1759" s="2">
        <v>1</v>
      </c>
      <c r="I1759" s="8">
        <v>178.75</v>
      </c>
      <c r="J1759" s="8">
        <v>56900</v>
      </c>
      <c r="K1759" s="3">
        <v>0</v>
      </c>
      <c r="L1759" s="3" t="s">
        <v>3</v>
      </c>
      <c r="M1759" s="9" t="s">
        <v>0</v>
      </c>
      <c r="N1759" s="9" t="s">
        <v>37</v>
      </c>
      <c r="O1759" s="9" t="s">
        <v>452</v>
      </c>
      <c r="T1759" s="10" t="s">
        <v>81</v>
      </c>
      <c r="U1759" s="10">
        <v>1</v>
      </c>
      <c r="V1759" s="10">
        <v>178.75</v>
      </c>
      <c r="W1759" s="10" t="s">
        <v>710</v>
      </c>
      <c r="X1759" s="17">
        <v>44464</v>
      </c>
      <c r="Y1759" s="17">
        <v>45494</v>
      </c>
      <c r="Z1759" s="19" t="s">
        <v>772</v>
      </c>
      <c r="AA1759" s="210">
        <v>48418.03</v>
      </c>
      <c r="AB1759" s="9">
        <v>13</v>
      </c>
      <c r="AC1759" s="9">
        <v>10</v>
      </c>
      <c r="AD1759" s="17">
        <v>44833</v>
      </c>
      <c r="AE1759" s="56">
        <v>3833.33</v>
      </c>
      <c r="AF1759" s="56"/>
      <c r="AG1759" s="9" t="s">
        <v>134</v>
      </c>
      <c r="AH1759" s="18">
        <v>44833</v>
      </c>
      <c r="AI1759" s="18"/>
      <c r="AJ1759" s="18"/>
      <c r="AK1759" s="9" t="s">
        <v>471</v>
      </c>
      <c r="AL1759" s="22">
        <v>3833.33</v>
      </c>
      <c r="AM1759" s="22"/>
      <c r="AN1759" s="22" t="s">
        <v>1727</v>
      </c>
      <c r="AO1759" s="22"/>
      <c r="AP1759" s="22"/>
      <c r="AQ1759" s="22"/>
      <c r="AR1759" s="22"/>
      <c r="AS1759" s="22"/>
      <c r="AT1759" s="22"/>
      <c r="AU1759" s="22"/>
      <c r="AV1759" s="22"/>
      <c r="AW1759" s="17">
        <v>44833</v>
      </c>
      <c r="AX1759" s="9" t="s">
        <v>472</v>
      </c>
      <c r="AY1759" s="11">
        <v>15149.32</v>
      </c>
      <c r="AZ1759" s="26">
        <f t="shared" si="126"/>
        <v>3.9519999582608332</v>
      </c>
      <c r="BA1759" s="11">
        <v>3833.33</v>
      </c>
      <c r="BB1759" s="11" t="s">
        <v>1704</v>
      </c>
      <c r="BD1759" s="9"/>
      <c r="CS1759" s="11">
        <f t="shared" si="123"/>
        <v>3833.33</v>
      </c>
      <c r="CT1759" s="22">
        <f t="shared" si="124"/>
        <v>3833.33</v>
      </c>
      <c r="CU1759" s="22">
        <f t="shared" si="125"/>
        <v>0</v>
      </c>
      <c r="CV1759" s="26">
        <f t="shared" si="122"/>
        <v>0</v>
      </c>
    </row>
    <row r="1760" spans="1:103" x14ac:dyDescent="0.2">
      <c r="A1760" s="9" t="s">
        <v>451</v>
      </c>
      <c r="B1760" s="2">
        <v>118</v>
      </c>
      <c r="C1760" s="3" t="s">
        <v>95</v>
      </c>
      <c r="D1760" s="3" t="s">
        <v>96</v>
      </c>
      <c r="E1760" s="2"/>
      <c r="F1760" s="2"/>
      <c r="G1760" s="2" t="s">
        <v>81</v>
      </c>
      <c r="H1760" s="2">
        <v>1</v>
      </c>
      <c r="I1760" s="8">
        <v>178.75</v>
      </c>
      <c r="J1760" s="8">
        <v>56900</v>
      </c>
      <c r="K1760" s="3">
        <v>0</v>
      </c>
      <c r="L1760" s="3" t="s">
        <v>3</v>
      </c>
      <c r="M1760" s="9" t="s">
        <v>0</v>
      </c>
      <c r="N1760" s="9" t="s">
        <v>37</v>
      </c>
      <c r="O1760" s="9" t="s">
        <v>452</v>
      </c>
      <c r="T1760" s="10" t="s">
        <v>81</v>
      </c>
      <c r="U1760" s="10">
        <v>1</v>
      </c>
      <c r="V1760" s="10">
        <v>178.75</v>
      </c>
      <c r="W1760" s="10" t="s">
        <v>710</v>
      </c>
      <c r="X1760" s="17">
        <v>44464</v>
      </c>
      <c r="Y1760" s="17">
        <v>45494</v>
      </c>
      <c r="Z1760" s="19" t="s">
        <v>772</v>
      </c>
      <c r="AA1760" s="210">
        <v>48418.03</v>
      </c>
      <c r="AB1760" s="9">
        <v>13</v>
      </c>
      <c r="AC1760" s="9">
        <v>11</v>
      </c>
      <c r="AD1760" s="17">
        <v>44855</v>
      </c>
      <c r="AE1760" s="56">
        <v>3833.33</v>
      </c>
      <c r="AF1760" s="56"/>
      <c r="AG1760" s="9" t="s">
        <v>134</v>
      </c>
      <c r="AH1760" s="18">
        <v>44855</v>
      </c>
      <c r="AI1760" s="18"/>
      <c r="AJ1760" s="18"/>
      <c r="AK1760" s="9" t="s">
        <v>473</v>
      </c>
      <c r="AL1760" s="22">
        <v>3833.33</v>
      </c>
      <c r="AM1760" s="22"/>
      <c r="AN1760" s="22" t="s">
        <v>1728</v>
      </c>
      <c r="AO1760" s="22"/>
      <c r="AP1760" s="22"/>
      <c r="AQ1760" s="22"/>
      <c r="AR1760" s="22"/>
      <c r="AS1760" s="22"/>
      <c r="AT1760" s="22"/>
      <c r="AU1760" s="22"/>
      <c r="AV1760" s="22"/>
      <c r="AW1760" s="17">
        <v>44855</v>
      </c>
      <c r="AX1760" s="9" t="s">
        <v>474</v>
      </c>
      <c r="AY1760" s="11">
        <v>15248.98</v>
      </c>
      <c r="AZ1760" s="26">
        <f t="shared" si="126"/>
        <v>3.9779982417376014</v>
      </c>
      <c r="BA1760" s="11">
        <v>3833.33</v>
      </c>
      <c r="BB1760" s="11" t="s">
        <v>1704</v>
      </c>
      <c r="BD1760" s="9"/>
      <c r="CS1760" s="11">
        <f t="shared" si="123"/>
        <v>3833.33</v>
      </c>
      <c r="CT1760" s="22">
        <f t="shared" si="124"/>
        <v>3833.33</v>
      </c>
      <c r="CU1760" s="22">
        <f t="shared" si="125"/>
        <v>0</v>
      </c>
      <c r="CV1760" s="26">
        <f t="shared" si="122"/>
        <v>0</v>
      </c>
    </row>
    <row r="1761" spans="1:103" x14ac:dyDescent="0.2">
      <c r="A1761" s="9" t="s">
        <v>451</v>
      </c>
      <c r="B1761" s="2">
        <v>118</v>
      </c>
      <c r="C1761" s="3" t="s">
        <v>95</v>
      </c>
      <c r="D1761" s="3" t="s">
        <v>96</v>
      </c>
      <c r="E1761" s="2"/>
      <c r="F1761" s="2"/>
      <c r="G1761" s="2" t="s">
        <v>81</v>
      </c>
      <c r="H1761" s="2">
        <v>1</v>
      </c>
      <c r="I1761" s="8">
        <v>178.75</v>
      </c>
      <c r="J1761" s="8">
        <v>56900</v>
      </c>
      <c r="K1761" s="3">
        <v>0</v>
      </c>
      <c r="L1761" s="3" t="s">
        <v>3</v>
      </c>
      <c r="M1761" s="9" t="s">
        <v>0</v>
      </c>
      <c r="N1761" s="9" t="s">
        <v>37</v>
      </c>
      <c r="O1761" s="9" t="s">
        <v>452</v>
      </c>
      <c r="T1761" s="10" t="s">
        <v>81</v>
      </c>
      <c r="U1761" s="10">
        <v>1</v>
      </c>
      <c r="V1761" s="10">
        <v>178.75</v>
      </c>
      <c r="W1761" s="10" t="s">
        <v>710</v>
      </c>
      <c r="X1761" s="17">
        <v>44464</v>
      </c>
      <c r="Y1761" s="17">
        <v>45494</v>
      </c>
      <c r="Z1761" s="19" t="s">
        <v>772</v>
      </c>
      <c r="AA1761" s="210">
        <v>48418.03</v>
      </c>
      <c r="AB1761" s="9">
        <v>13</v>
      </c>
      <c r="AC1761" s="9">
        <v>12</v>
      </c>
      <c r="AD1761" s="17">
        <v>44905</v>
      </c>
      <c r="AE1761" s="56">
        <v>3833.33</v>
      </c>
      <c r="AF1761" s="56"/>
      <c r="AG1761" s="9" t="s">
        <v>134</v>
      </c>
      <c r="AH1761" s="18">
        <v>44905</v>
      </c>
      <c r="AI1761" s="18"/>
      <c r="AJ1761" s="18"/>
      <c r="AK1761" s="9" t="s">
        <v>475</v>
      </c>
      <c r="AL1761" s="22">
        <v>3833.33</v>
      </c>
      <c r="AM1761" s="22"/>
      <c r="AN1761" s="22" t="s">
        <v>1729</v>
      </c>
      <c r="AO1761" s="22"/>
      <c r="AP1761" s="22"/>
      <c r="AQ1761" s="22"/>
      <c r="AR1761" s="22"/>
      <c r="AS1761" s="22"/>
      <c r="AT1761" s="22"/>
      <c r="AU1761" s="22"/>
      <c r="AV1761" s="22"/>
      <c r="AW1761" s="17">
        <v>44905</v>
      </c>
      <c r="AX1761" s="9" t="s">
        <v>476</v>
      </c>
      <c r="AY1761" s="11">
        <v>14758.32</v>
      </c>
      <c r="AZ1761" s="26">
        <f t="shared" si="126"/>
        <v>3.8499998695651039</v>
      </c>
      <c r="BA1761" s="11">
        <v>3833.33</v>
      </c>
      <c r="BB1761" s="11" t="s">
        <v>1704</v>
      </c>
      <c r="BD1761" s="9"/>
      <c r="CS1761" s="11">
        <f t="shared" si="123"/>
        <v>3833.33</v>
      </c>
      <c r="CT1761" s="22">
        <f t="shared" si="124"/>
        <v>3833.33</v>
      </c>
      <c r="CU1761" s="22">
        <f t="shared" si="125"/>
        <v>0</v>
      </c>
      <c r="CV1761" s="26">
        <f t="shared" si="122"/>
        <v>0</v>
      </c>
    </row>
    <row r="1762" spans="1:103" x14ac:dyDescent="0.2">
      <c r="A1762" s="9" t="s">
        <v>451</v>
      </c>
      <c r="B1762" s="2">
        <v>118</v>
      </c>
      <c r="C1762" s="3" t="s">
        <v>95</v>
      </c>
      <c r="D1762" s="3" t="s">
        <v>96</v>
      </c>
      <c r="E1762" s="2"/>
      <c r="F1762" s="2"/>
      <c r="G1762" s="2" t="s">
        <v>81</v>
      </c>
      <c r="H1762" s="2">
        <v>1</v>
      </c>
      <c r="I1762" s="8">
        <v>178.75</v>
      </c>
      <c r="J1762" s="8">
        <v>56900</v>
      </c>
      <c r="K1762" s="3">
        <v>0</v>
      </c>
      <c r="L1762" s="3" t="s">
        <v>3</v>
      </c>
      <c r="M1762" s="9" t="s">
        <v>0</v>
      </c>
      <c r="N1762" s="9" t="s">
        <v>37</v>
      </c>
      <c r="O1762" s="9" t="s">
        <v>452</v>
      </c>
      <c r="T1762" s="10" t="s">
        <v>81</v>
      </c>
      <c r="U1762" s="10">
        <v>1</v>
      </c>
      <c r="V1762" s="10">
        <v>178.75</v>
      </c>
      <c r="W1762" s="10" t="s">
        <v>710</v>
      </c>
      <c r="X1762" s="17">
        <v>44464</v>
      </c>
      <c r="Y1762" s="17">
        <v>45494</v>
      </c>
      <c r="Z1762" s="19" t="s">
        <v>772</v>
      </c>
      <c r="AA1762" s="210">
        <v>48418.03</v>
      </c>
      <c r="AB1762" s="9">
        <v>13</v>
      </c>
      <c r="AC1762" s="9">
        <v>13</v>
      </c>
      <c r="AD1762" s="17">
        <v>44905</v>
      </c>
      <c r="AE1762" s="56">
        <v>3833.33</v>
      </c>
      <c r="AF1762" s="56"/>
      <c r="AG1762" s="9" t="s">
        <v>134</v>
      </c>
      <c r="AH1762" s="18">
        <v>44905</v>
      </c>
      <c r="AI1762" s="18"/>
      <c r="AJ1762" s="18"/>
      <c r="AK1762" s="9" t="s">
        <v>477</v>
      </c>
      <c r="AL1762" s="22">
        <v>3833.33</v>
      </c>
      <c r="AM1762" s="22"/>
      <c r="AN1762" s="22" t="s">
        <v>1730</v>
      </c>
      <c r="AO1762" s="22"/>
      <c r="AP1762" s="22"/>
      <c r="AQ1762" s="22"/>
      <c r="AR1762" s="22"/>
      <c r="AS1762" s="22"/>
      <c r="AT1762" s="22"/>
      <c r="AU1762" s="22"/>
      <c r="AV1762" s="22"/>
      <c r="AW1762" s="17">
        <v>44905</v>
      </c>
      <c r="AX1762" s="9" t="s">
        <v>478</v>
      </c>
      <c r="AY1762" s="11">
        <v>14758.32</v>
      </c>
      <c r="AZ1762" s="9">
        <f t="shared" si="126"/>
        <v>3.8499998695651039</v>
      </c>
      <c r="BA1762" s="11">
        <v>3833.33</v>
      </c>
      <c r="BB1762" s="11" t="s">
        <v>1704</v>
      </c>
      <c r="BD1762" s="9"/>
      <c r="CS1762" s="11">
        <f t="shared" si="123"/>
        <v>3833.33</v>
      </c>
      <c r="CT1762" s="22">
        <f t="shared" si="124"/>
        <v>3833.33</v>
      </c>
      <c r="CU1762" s="22">
        <f t="shared" si="125"/>
        <v>0</v>
      </c>
      <c r="CV1762" s="26">
        <f t="shared" si="122"/>
        <v>0</v>
      </c>
    </row>
    <row r="1763" spans="1:103" x14ac:dyDescent="0.2">
      <c r="A1763" s="9" t="s">
        <v>451</v>
      </c>
      <c r="B1763" s="2">
        <v>118</v>
      </c>
      <c r="C1763" s="3" t="s">
        <v>95</v>
      </c>
      <c r="D1763" s="3" t="s">
        <v>96</v>
      </c>
      <c r="E1763" s="2"/>
      <c r="F1763" s="2"/>
      <c r="G1763" s="2" t="s">
        <v>81</v>
      </c>
      <c r="H1763" s="2">
        <v>1</v>
      </c>
      <c r="I1763" s="8">
        <v>178.75</v>
      </c>
      <c r="J1763" s="8">
        <v>56900</v>
      </c>
      <c r="K1763" s="3">
        <v>0</v>
      </c>
      <c r="L1763" s="3" t="s">
        <v>3</v>
      </c>
      <c r="M1763" s="9" t="s">
        <v>0</v>
      </c>
      <c r="N1763" s="9" t="s">
        <v>37</v>
      </c>
      <c r="O1763" s="9" t="s">
        <v>452</v>
      </c>
      <c r="S1763" s="9" t="s">
        <v>454</v>
      </c>
      <c r="V1763" s="10">
        <v>12.5</v>
      </c>
      <c r="W1763" s="10" t="s">
        <v>710</v>
      </c>
      <c r="X1763" s="17">
        <v>44464</v>
      </c>
      <c r="Y1763" s="17">
        <v>45494</v>
      </c>
      <c r="Z1763" s="19" t="s">
        <v>772</v>
      </c>
      <c r="AA1763" s="210">
        <v>5000</v>
      </c>
      <c r="AB1763" s="9">
        <v>1</v>
      </c>
      <c r="AC1763" s="9">
        <v>1</v>
      </c>
      <c r="AD1763" s="17">
        <v>44855</v>
      </c>
      <c r="AE1763" s="56">
        <v>5000</v>
      </c>
      <c r="AF1763" s="56"/>
      <c r="AG1763" s="9" t="s">
        <v>134</v>
      </c>
      <c r="AH1763" s="17">
        <v>44464</v>
      </c>
      <c r="AI1763" s="17"/>
      <c r="AJ1763" s="17"/>
      <c r="AK1763" s="9" t="s">
        <v>456</v>
      </c>
      <c r="AL1763" s="22"/>
      <c r="AM1763" s="197">
        <v>20550</v>
      </c>
      <c r="AN1763" s="22" t="s">
        <v>1736</v>
      </c>
      <c r="AO1763" s="22"/>
      <c r="AP1763" s="22"/>
      <c r="AQ1763" s="22"/>
      <c r="AR1763" s="22"/>
      <c r="AS1763" s="22"/>
      <c r="AT1763" s="22"/>
      <c r="AU1763" s="22"/>
      <c r="AV1763" s="22"/>
      <c r="AW1763" s="17">
        <v>44466</v>
      </c>
      <c r="AX1763" s="9">
        <v>7628</v>
      </c>
      <c r="AY1763" s="11">
        <v>20550</v>
      </c>
      <c r="AZ1763" s="9">
        <v>4.1100000000000003</v>
      </c>
      <c r="BA1763" s="11">
        <f>+AY1763/AZ1763</f>
        <v>5000</v>
      </c>
      <c r="BD1763" s="9"/>
      <c r="CS1763" s="11">
        <f t="shared" si="123"/>
        <v>0</v>
      </c>
      <c r="CT1763" s="22">
        <f t="shared" si="124"/>
        <v>5000</v>
      </c>
      <c r="CU1763" s="22">
        <f t="shared" si="125"/>
        <v>-5000</v>
      </c>
      <c r="CV1763" s="26">
        <f t="shared" si="122"/>
        <v>5000</v>
      </c>
      <c r="CY1763" s="9" t="s">
        <v>3493</v>
      </c>
    </row>
    <row r="1764" spans="1:103" x14ac:dyDescent="0.2">
      <c r="A1764" s="9" t="s">
        <v>451</v>
      </c>
      <c r="B1764" s="2">
        <v>118</v>
      </c>
      <c r="C1764" s="3" t="s">
        <v>95</v>
      </c>
      <c r="D1764" s="3" t="s">
        <v>96</v>
      </c>
      <c r="E1764" s="2"/>
      <c r="F1764" s="2"/>
      <c r="G1764" s="2" t="s">
        <v>81</v>
      </c>
      <c r="H1764" s="2">
        <v>1</v>
      </c>
      <c r="I1764" s="8">
        <v>178.75</v>
      </c>
      <c r="J1764" s="8">
        <v>56900</v>
      </c>
      <c r="K1764" s="3">
        <v>0</v>
      </c>
      <c r="L1764" s="3" t="s">
        <v>3</v>
      </c>
      <c r="M1764" s="9" t="s">
        <v>0</v>
      </c>
      <c r="N1764" s="9" t="s">
        <v>37</v>
      </c>
      <c r="O1764" s="9" t="s">
        <v>452</v>
      </c>
      <c r="S1764" s="9" t="s">
        <v>455</v>
      </c>
      <c r="V1764" s="10">
        <v>12.5</v>
      </c>
      <c r="W1764" s="10" t="s">
        <v>710</v>
      </c>
      <c r="X1764" s="17">
        <v>44464</v>
      </c>
      <c r="Y1764" s="17">
        <v>45494</v>
      </c>
      <c r="Z1764" s="19" t="s">
        <v>772</v>
      </c>
      <c r="AA1764" s="210">
        <v>5000</v>
      </c>
      <c r="AB1764" s="9">
        <v>1</v>
      </c>
      <c r="AC1764" s="9">
        <v>1</v>
      </c>
      <c r="AD1764" s="17">
        <v>44855</v>
      </c>
      <c r="AE1764" s="56">
        <v>5000</v>
      </c>
      <c r="AF1764" s="56"/>
      <c r="AG1764" s="9" t="s">
        <v>134</v>
      </c>
      <c r="AH1764" s="17">
        <v>44464</v>
      </c>
      <c r="AI1764" s="17"/>
      <c r="AJ1764" s="17"/>
      <c r="AK1764" s="9" t="s">
        <v>457</v>
      </c>
      <c r="AL1764" s="22"/>
      <c r="AM1764" s="197">
        <v>20550</v>
      </c>
      <c r="AN1764" s="22" t="s">
        <v>1737</v>
      </c>
      <c r="AO1764" s="22"/>
      <c r="AP1764" s="22"/>
      <c r="AQ1764" s="22"/>
      <c r="AR1764" s="22"/>
      <c r="AS1764" s="22"/>
      <c r="AT1764" s="22"/>
      <c r="AU1764" s="22"/>
      <c r="AV1764" s="22"/>
      <c r="AW1764" s="17">
        <v>44466</v>
      </c>
      <c r="AX1764" s="9">
        <v>7628</v>
      </c>
      <c r="AY1764" s="11">
        <v>20550</v>
      </c>
      <c r="AZ1764" s="9">
        <v>4.1100000000000003</v>
      </c>
      <c r="BA1764" s="11">
        <f>+AY1764/AZ1764</f>
        <v>5000</v>
      </c>
      <c r="BD1764" s="9"/>
      <c r="CS1764" s="11">
        <f t="shared" si="123"/>
        <v>0</v>
      </c>
      <c r="CT1764" s="22">
        <f t="shared" si="124"/>
        <v>5000</v>
      </c>
      <c r="CU1764" s="22">
        <f t="shared" si="125"/>
        <v>-5000</v>
      </c>
      <c r="CV1764" s="26">
        <f t="shared" si="122"/>
        <v>5000</v>
      </c>
      <c r="CY1764" s="9" t="s">
        <v>3493</v>
      </c>
    </row>
    <row r="1765" spans="1:103" x14ac:dyDescent="0.2">
      <c r="A1765" s="9" t="s">
        <v>448</v>
      </c>
      <c r="B1765" s="2">
        <v>139</v>
      </c>
      <c r="C1765" s="3" t="s">
        <v>95</v>
      </c>
      <c r="D1765" s="3" t="s">
        <v>96</v>
      </c>
      <c r="E1765" s="2"/>
      <c r="F1765" s="2"/>
      <c r="G1765" s="2" t="s">
        <v>84</v>
      </c>
      <c r="H1765" s="2">
        <v>2</v>
      </c>
      <c r="I1765" s="8">
        <v>123.71</v>
      </c>
      <c r="J1765" s="8">
        <v>54982</v>
      </c>
      <c r="K1765" s="3">
        <v>0</v>
      </c>
      <c r="L1765" s="3" t="s">
        <v>3</v>
      </c>
      <c r="M1765" s="9" t="s">
        <v>0</v>
      </c>
      <c r="N1765" s="9" t="s">
        <v>38</v>
      </c>
      <c r="O1765" s="9" t="s">
        <v>449</v>
      </c>
      <c r="S1765" s="9" t="s">
        <v>158</v>
      </c>
      <c r="T1765" s="10" t="s">
        <v>72</v>
      </c>
      <c r="U1765" s="10">
        <v>12</v>
      </c>
      <c r="V1765" s="10">
        <v>120.12</v>
      </c>
      <c r="W1765" s="10"/>
      <c r="X1765" s="17">
        <v>44591</v>
      </c>
      <c r="Y1765" s="17">
        <v>44595</v>
      </c>
      <c r="Z1765" s="17" t="s">
        <v>772</v>
      </c>
      <c r="AA1765" s="210">
        <v>48500</v>
      </c>
      <c r="AB1765" s="9">
        <v>61</v>
      </c>
      <c r="AC1765" s="9">
        <v>1</v>
      </c>
      <c r="AD1765" s="17">
        <v>44591</v>
      </c>
      <c r="AE1765" s="56">
        <v>5000</v>
      </c>
      <c r="AF1765" s="56"/>
      <c r="AG1765" s="9" t="s">
        <v>134</v>
      </c>
      <c r="AH1765" s="17">
        <v>44591</v>
      </c>
      <c r="AI1765" s="17"/>
      <c r="AJ1765" s="17"/>
      <c r="AK1765" s="9" t="s">
        <v>1712</v>
      </c>
      <c r="AL1765" s="66"/>
      <c r="AM1765" s="198">
        <v>1154.7</v>
      </c>
      <c r="AN1765" s="11" t="s">
        <v>1705</v>
      </c>
      <c r="AP1765" s="17">
        <v>44593</v>
      </c>
      <c r="AQ1765" s="17"/>
      <c r="AR1765" s="17"/>
      <c r="AS1765" s="9" t="s">
        <v>1713</v>
      </c>
      <c r="AT1765" s="66"/>
      <c r="AU1765" s="198">
        <v>21888</v>
      </c>
      <c r="AV1765" s="11" t="s">
        <v>1706</v>
      </c>
      <c r="AW1765" s="17">
        <v>44592</v>
      </c>
      <c r="AX1765" s="9">
        <v>10247</v>
      </c>
      <c r="AY1765" s="9">
        <v>1154.7</v>
      </c>
      <c r="BC1765" s="17">
        <v>44592</v>
      </c>
      <c r="BD1765" s="9">
        <v>10289</v>
      </c>
      <c r="BE1765" s="86">
        <v>18400</v>
      </c>
      <c r="BI1765" s="17">
        <v>44593</v>
      </c>
      <c r="BJ1765" s="9">
        <v>10299</v>
      </c>
      <c r="BK1765" s="86">
        <v>3488</v>
      </c>
      <c r="CS1765" s="11">
        <f t="shared" si="123"/>
        <v>0</v>
      </c>
      <c r="CT1765" s="22">
        <f t="shared" si="124"/>
        <v>0</v>
      </c>
      <c r="CU1765" s="22">
        <f t="shared" si="125"/>
        <v>0</v>
      </c>
      <c r="CV1765" s="26">
        <f t="shared" si="122"/>
        <v>5000</v>
      </c>
      <c r="CY1765" s="9" t="s">
        <v>3493</v>
      </c>
    </row>
    <row r="1766" spans="1:103" ht="12.75" x14ac:dyDescent="0.2">
      <c r="A1766" s="9" t="s">
        <v>448</v>
      </c>
      <c r="B1766" s="2">
        <v>139</v>
      </c>
      <c r="C1766" s="3" t="s">
        <v>95</v>
      </c>
      <c r="D1766" s="3" t="s">
        <v>96</v>
      </c>
      <c r="E1766" s="2"/>
      <c r="F1766" s="2"/>
      <c r="G1766" s="2" t="s">
        <v>84</v>
      </c>
      <c r="H1766" s="2">
        <v>2</v>
      </c>
      <c r="I1766" s="8">
        <v>123.71</v>
      </c>
      <c r="J1766" s="8">
        <v>54982</v>
      </c>
      <c r="K1766" s="3">
        <v>0</v>
      </c>
      <c r="L1766" s="3" t="s">
        <v>3</v>
      </c>
      <c r="M1766" s="9" t="s">
        <v>0</v>
      </c>
      <c r="N1766" s="9" t="s">
        <v>38</v>
      </c>
      <c r="O1766" s="9" t="s">
        <v>449</v>
      </c>
      <c r="S1766" s="9" t="s">
        <v>158</v>
      </c>
      <c r="T1766" s="10" t="s">
        <v>72</v>
      </c>
      <c r="U1766" s="10">
        <v>12</v>
      </c>
      <c r="V1766" s="10">
        <v>120.12</v>
      </c>
      <c r="W1766" s="10"/>
      <c r="X1766" s="17">
        <v>44591</v>
      </c>
      <c r="Y1766" s="17">
        <v>44595</v>
      </c>
      <c r="Z1766" s="17" t="s">
        <v>772</v>
      </c>
      <c r="AA1766" s="210">
        <v>48500</v>
      </c>
      <c r="AB1766" s="9">
        <v>61</v>
      </c>
      <c r="AC1766" s="9">
        <v>2</v>
      </c>
      <c r="AD1766" s="17">
        <v>44656</v>
      </c>
      <c r="AE1766" s="56">
        <v>725</v>
      </c>
      <c r="AF1766" s="56"/>
      <c r="AG1766" s="9" t="s">
        <v>134</v>
      </c>
      <c r="AH1766" s="17">
        <v>44657</v>
      </c>
      <c r="AI1766" s="17"/>
      <c r="AJ1766" s="17"/>
      <c r="AK1766" s="9" t="s">
        <v>1714</v>
      </c>
      <c r="AL1766" s="11">
        <v>725</v>
      </c>
      <c r="AN1766" s="11" t="s">
        <v>1707</v>
      </c>
      <c r="AP1766" s="137"/>
      <c r="AQ1766" s="137"/>
      <c r="AR1766" s="137"/>
      <c r="AS1766" s="138"/>
      <c r="AT1766" s="139"/>
      <c r="AU1766" s="139"/>
      <c r="AW1766" s="137">
        <v>44656</v>
      </c>
      <c r="AX1766" s="139">
        <v>562</v>
      </c>
      <c r="AY1766" s="139"/>
      <c r="BA1766" s="138">
        <v>725</v>
      </c>
      <c r="BE1766" s="86"/>
      <c r="CS1766" s="11">
        <f t="shared" si="123"/>
        <v>725</v>
      </c>
      <c r="CT1766" s="22">
        <f t="shared" si="124"/>
        <v>725</v>
      </c>
      <c r="CU1766" s="22">
        <f t="shared" si="125"/>
        <v>0</v>
      </c>
      <c r="CV1766" s="26">
        <f t="shared" si="122"/>
        <v>0</v>
      </c>
      <c r="CY1766" s="9" t="s">
        <v>3493</v>
      </c>
    </row>
    <row r="1767" spans="1:103" x14ac:dyDescent="0.2">
      <c r="A1767" s="9" t="s">
        <v>448</v>
      </c>
      <c r="B1767" s="2">
        <v>139</v>
      </c>
      <c r="C1767" s="3" t="s">
        <v>95</v>
      </c>
      <c r="D1767" s="3" t="s">
        <v>96</v>
      </c>
      <c r="E1767" s="2"/>
      <c r="F1767" s="2"/>
      <c r="G1767" s="2" t="s">
        <v>84</v>
      </c>
      <c r="H1767" s="2">
        <v>2</v>
      </c>
      <c r="I1767" s="8">
        <v>123.71</v>
      </c>
      <c r="J1767" s="8">
        <v>54982</v>
      </c>
      <c r="K1767" s="3">
        <v>0</v>
      </c>
      <c r="L1767" s="3" t="s">
        <v>3</v>
      </c>
      <c r="M1767" s="9" t="s">
        <v>0</v>
      </c>
      <c r="N1767" s="9" t="s">
        <v>38</v>
      </c>
      <c r="O1767" s="9" t="s">
        <v>449</v>
      </c>
      <c r="S1767" s="9" t="s">
        <v>158</v>
      </c>
      <c r="T1767" s="10" t="s">
        <v>72</v>
      </c>
      <c r="U1767" s="10">
        <v>12</v>
      </c>
      <c r="V1767" s="10">
        <v>120.12</v>
      </c>
      <c r="W1767" s="10"/>
      <c r="X1767" s="17">
        <v>44591</v>
      </c>
      <c r="Y1767" s="17">
        <v>44595</v>
      </c>
      <c r="Z1767" s="17" t="s">
        <v>772</v>
      </c>
      <c r="AA1767" s="210">
        <v>48500</v>
      </c>
      <c r="AB1767" s="9">
        <v>61</v>
      </c>
      <c r="AC1767" s="9">
        <v>3</v>
      </c>
      <c r="AD1767" s="17">
        <v>44686</v>
      </c>
      <c r="AE1767" s="56">
        <v>725</v>
      </c>
      <c r="AF1767" s="56"/>
      <c r="AG1767" s="9" t="s">
        <v>134</v>
      </c>
      <c r="AH1767" s="17">
        <v>44694</v>
      </c>
      <c r="AI1767" s="17"/>
      <c r="AJ1767" s="17"/>
      <c r="AK1767" s="9" t="s">
        <v>1715</v>
      </c>
      <c r="AL1767" s="11">
        <v>725</v>
      </c>
      <c r="AN1767" s="11" t="s">
        <v>1708</v>
      </c>
      <c r="AP1767" s="11"/>
      <c r="AQ1767" s="11"/>
      <c r="AR1767" s="11"/>
      <c r="AW1767" s="27"/>
      <c r="AX1767" s="27"/>
      <c r="AY1767" s="27"/>
      <c r="AZ1767" s="27"/>
      <c r="BA1767" s="27"/>
      <c r="BB1767" s="28"/>
      <c r="BD1767" s="9"/>
      <c r="CS1767" s="11">
        <f t="shared" si="123"/>
        <v>725</v>
      </c>
      <c r="CT1767" s="22">
        <f t="shared" si="124"/>
        <v>0</v>
      </c>
      <c r="CU1767" s="22">
        <f t="shared" si="125"/>
        <v>725</v>
      </c>
      <c r="CV1767" s="26">
        <f t="shared" si="122"/>
        <v>0</v>
      </c>
      <c r="CW1767" s="9" t="s">
        <v>3494</v>
      </c>
      <c r="CY1767" s="9" t="s">
        <v>3493</v>
      </c>
    </row>
    <row r="1768" spans="1:103" x14ac:dyDescent="0.2">
      <c r="A1768" s="9" t="s">
        <v>448</v>
      </c>
      <c r="B1768" s="2">
        <v>139</v>
      </c>
      <c r="C1768" s="3" t="s">
        <v>95</v>
      </c>
      <c r="D1768" s="3" t="s">
        <v>96</v>
      </c>
      <c r="E1768" s="2"/>
      <c r="F1768" s="2"/>
      <c r="G1768" s="2" t="s">
        <v>84</v>
      </c>
      <c r="H1768" s="2">
        <v>2</v>
      </c>
      <c r="I1768" s="8">
        <v>123.71</v>
      </c>
      <c r="J1768" s="8">
        <v>54982</v>
      </c>
      <c r="K1768" s="3">
        <v>0</v>
      </c>
      <c r="L1768" s="3" t="s">
        <v>3</v>
      </c>
      <c r="M1768" s="9" t="s">
        <v>0</v>
      </c>
      <c r="N1768" s="9" t="s">
        <v>38</v>
      </c>
      <c r="O1768" s="9" t="s">
        <v>449</v>
      </c>
      <c r="S1768" s="9" t="s">
        <v>158</v>
      </c>
      <c r="T1768" s="10" t="s">
        <v>72</v>
      </c>
      <c r="U1768" s="10">
        <v>12</v>
      </c>
      <c r="V1768" s="10">
        <v>120.12</v>
      </c>
      <c r="W1768" s="10"/>
      <c r="X1768" s="17">
        <v>44591</v>
      </c>
      <c r="Y1768" s="17">
        <v>44595</v>
      </c>
      <c r="Z1768" s="17" t="s">
        <v>772</v>
      </c>
      <c r="AA1768" s="210">
        <v>48500</v>
      </c>
      <c r="AB1768" s="9">
        <v>61</v>
      </c>
      <c r="AC1768" s="9">
        <v>4</v>
      </c>
      <c r="AD1768" s="17">
        <v>44717</v>
      </c>
      <c r="AE1768" s="56">
        <v>725</v>
      </c>
      <c r="AF1768" s="56"/>
      <c r="AG1768" s="9" t="s">
        <v>134</v>
      </c>
      <c r="AH1768" s="17">
        <v>44747</v>
      </c>
      <c r="AI1768" s="17"/>
      <c r="AJ1768" s="17"/>
      <c r="AK1768" s="9" t="s">
        <v>1716</v>
      </c>
      <c r="AL1768" s="11">
        <v>725</v>
      </c>
      <c r="AN1768" s="11" t="s">
        <v>1709</v>
      </c>
      <c r="AP1768" s="11"/>
      <c r="AQ1768" s="11"/>
      <c r="AR1768" s="11"/>
      <c r="AW1768" s="27"/>
      <c r="AX1768" s="27"/>
      <c r="AY1768" s="27"/>
      <c r="AZ1768" s="27"/>
      <c r="BA1768" s="27"/>
      <c r="BB1768" s="28"/>
      <c r="BD1768" s="9"/>
      <c r="CS1768" s="11">
        <f t="shared" si="123"/>
        <v>725</v>
      </c>
      <c r="CT1768" s="22">
        <f t="shared" si="124"/>
        <v>0</v>
      </c>
      <c r="CU1768" s="22">
        <f t="shared" si="125"/>
        <v>725</v>
      </c>
      <c r="CV1768" s="26">
        <f t="shared" si="122"/>
        <v>0</v>
      </c>
      <c r="CW1768" s="9" t="s">
        <v>3494</v>
      </c>
      <c r="CY1768" s="9" t="s">
        <v>3493</v>
      </c>
    </row>
    <row r="1769" spans="1:103" ht="12.75" x14ac:dyDescent="0.2">
      <c r="A1769" s="9" t="s">
        <v>448</v>
      </c>
      <c r="B1769" s="2">
        <v>139</v>
      </c>
      <c r="C1769" s="3" t="s">
        <v>95</v>
      </c>
      <c r="D1769" s="3" t="s">
        <v>96</v>
      </c>
      <c r="E1769" s="2"/>
      <c r="F1769" s="2"/>
      <c r="G1769" s="2" t="s">
        <v>84</v>
      </c>
      <c r="H1769" s="2">
        <v>2</v>
      </c>
      <c r="I1769" s="8">
        <v>123.71</v>
      </c>
      <c r="J1769" s="8">
        <v>54982</v>
      </c>
      <c r="K1769" s="3">
        <v>0</v>
      </c>
      <c r="L1769" s="3" t="s">
        <v>3</v>
      </c>
      <c r="M1769" s="9" t="s">
        <v>0</v>
      </c>
      <c r="N1769" s="9" t="s">
        <v>38</v>
      </c>
      <c r="O1769" s="9" t="s">
        <v>449</v>
      </c>
      <c r="S1769" s="9" t="s">
        <v>158</v>
      </c>
      <c r="T1769" s="10" t="s">
        <v>72</v>
      </c>
      <c r="U1769" s="10">
        <v>12</v>
      </c>
      <c r="V1769" s="10">
        <v>120.12</v>
      </c>
      <c r="W1769" s="10"/>
      <c r="X1769" s="17">
        <v>44591</v>
      </c>
      <c r="Y1769" s="17">
        <v>44595</v>
      </c>
      <c r="Z1769" s="17" t="s">
        <v>772</v>
      </c>
      <c r="AA1769" s="210">
        <v>48500</v>
      </c>
      <c r="AB1769" s="9">
        <v>61</v>
      </c>
      <c r="AC1769" s="9">
        <v>5</v>
      </c>
      <c r="AD1769" s="17">
        <v>44747</v>
      </c>
      <c r="AE1769" s="56">
        <v>725</v>
      </c>
      <c r="AF1769" s="56"/>
      <c r="AG1769" s="9" t="s">
        <v>134</v>
      </c>
      <c r="AH1769" s="17">
        <v>44778</v>
      </c>
      <c r="AI1769" s="17"/>
      <c r="AJ1769" s="17"/>
      <c r="AK1769" s="9" t="s">
        <v>1717</v>
      </c>
      <c r="AL1769" s="11">
        <v>725</v>
      </c>
      <c r="AN1769" s="11" t="s">
        <v>1710</v>
      </c>
      <c r="AP1769" s="11"/>
      <c r="AQ1769" s="11"/>
      <c r="AR1769" s="11"/>
      <c r="AW1769" s="137">
        <v>44774</v>
      </c>
      <c r="AX1769" s="139">
        <v>826</v>
      </c>
      <c r="AY1769" s="139"/>
      <c r="BA1769" s="138">
        <v>725</v>
      </c>
      <c r="BD1769" s="9"/>
      <c r="CS1769" s="11">
        <f t="shared" si="123"/>
        <v>725</v>
      </c>
      <c r="CT1769" s="22">
        <f t="shared" si="124"/>
        <v>725</v>
      </c>
      <c r="CU1769" s="22">
        <f t="shared" si="125"/>
        <v>0</v>
      </c>
      <c r="CV1769" s="26">
        <f t="shared" si="122"/>
        <v>0</v>
      </c>
      <c r="CY1769" s="9" t="s">
        <v>3493</v>
      </c>
    </row>
    <row r="1770" spans="1:103" ht="12.75" x14ac:dyDescent="0.2">
      <c r="A1770" s="9" t="s">
        <v>448</v>
      </c>
      <c r="B1770" s="2">
        <v>139</v>
      </c>
      <c r="C1770" s="3" t="s">
        <v>95</v>
      </c>
      <c r="D1770" s="3" t="s">
        <v>96</v>
      </c>
      <c r="E1770" s="2"/>
      <c r="F1770" s="2"/>
      <c r="G1770" s="2" t="s">
        <v>84</v>
      </c>
      <c r="H1770" s="2">
        <v>2</v>
      </c>
      <c r="I1770" s="8">
        <v>123.71</v>
      </c>
      <c r="J1770" s="8">
        <v>54982</v>
      </c>
      <c r="K1770" s="3">
        <v>0</v>
      </c>
      <c r="L1770" s="3" t="s">
        <v>3</v>
      </c>
      <c r="M1770" s="9" t="s">
        <v>0</v>
      </c>
      <c r="N1770" s="9" t="s">
        <v>38</v>
      </c>
      <c r="O1770" s="9" t="s">
        <v>449</v>
      </c>
      <c r="S1770" s="9" t="s">
        <v>158</v>
      </c>
      <c r="T1770" s="10" t="s">
        <v>72</v>
      </c>
      <c r="U1770" s="10">
        <v>12</v>
      </c>
      <c r="V1770" s="10">
        <v>120.12</v>
      </c>
      <c r="W1770" s="10"/>
      <c r="X1770" s="17">
        <v>44591</v>
      </c>
      <c r="Y1770" s="17">
        <v>44595</v>
      </c>
      <c r="Z1770" s="17" t="s">
        <v>772</v>
      </c>
      <c r="AA1770" s="210">
        <v>48500</v>
      </c>
      <c r="AB1770" s="9">
        <v>61</v>
      </c>
      <c r="AC1770" s="9">
        <v>6</v>
      </c>
      <c r="AD1770" s="17">
        <v>44778</v>
      </c>
      <c r="AE1770" s="56">
        <v>725</v>
      </c>
      <c r="AF1770" s="56"/>
      <c r="AG1770" s="9" t="s">
        <v>134</v>
      </c>
      <c r="AH1770" s="17">
        <v>44798</v>
      </c>
      <c r="AI1770" s="17"/>
      <c r="AJ1770" s="17"/>
      <c r="AK1770" s="9" t="s">
        <v>1718</v>
      </c>
      <c r="AL1770" s="11">
        <v>725</v>
      </c>
      <c r="AN1770" s="11" t="s">
        <v>1711</v>
      </c>
      <c r="AP1770" s="11"/>
      <c r="AQ1770" s="11"/>
      <c r="AR1770" s="11"/>
      <c r="AW1770" s="137">
        <v>44796</v>
      </c>
      <c r="AX1770" s="139">
        <v>873</v>
      </c>
      <c r="AY1770" s="139"/>
      <c r="BA1770" s="138">
        <v>725</v>
      </c>
      <c r="BD1770" s="9"/>
      <c r="CS1770" s="11">
        <f t="shared" si="123"/>
        <v>725</v>
      </c>
      <c r="CT1770" s="22">
        <f t="shared" si="124"/>
        <v>725</v>
      </c>
      <c r="CU1770" s="22">
        <f t="shared" si="125"/>
        <v>0</v>
      </c>
      <c r="CV1770" s="26">
        <f t="shared" si="122"/>
        <v>0</v>
      </c>
      <c r="CY1770" s="9" t="s">
        <v>3493</v>
      </c>
    </row>
    <row r="1771" spans="1:103" x14ac:dyDescent="0.2">
      <c r="A1771" s="9" t="s">
        <v>448</v>
      </c>
      <c r="B1771" s="2">
        <v>139</v>
      </c>
      <c r="C1771" s="3" t="s">
        <v>95</v>
      </c>
      <c r="D1771" s="3" t="s">
        <v>96</v>
      </c>
      <c r="E1771" s="2"/>
      <c r="F1771" s="2"/>
      <c r="G1771" s="2" t="s">
        <v>84</v>
      </c>
      <c r="H1771" s="2">
        <v>2</v>
      </c>
      <c r="I1771" s="8">
        <v>123.71</v>
      </c>
      <c r="J1771" s="8">
        <v>54982</v>
      </c>
      <c r="K1771" s="3">
        <v>0</v>
      </c>
      <c r="L1771" s="3" t="s">
        <v>3</v>
      </c>
      <c r="M1771" s="9" t="s">
        <v>0</v>
      </c>
      <c r="N1771" s="9" t="s">
        <v>38</v>
      </c>
      <c r="O1771" s="9" t="s">
        <v>449</v>
      </c>
      <c r="S1771" s="9" t="s">
        <v>158</v>
      </c>
      <c r="T1771" s="10" t="s">
        <v>72</v>
      </c>
      <c r="U1771" s="10">
        <v>12</v>
      </c>
      <c r="V1771" s="10">
        <v>120.12</v>
      </c>
      <c r="W1771" s="10"/>
      <c r="X1771" s="17">
        <v>44591</v>
      </c>
      <c r="Y1771" s="17">
        <v>44595</v>
      </c>
      <c r="Z1771" s="17" t="s">
        <v>772</v>
      </c>
      <c r="AA1771" s="210">
        <v>48500</v>
      </c>
      <c r="AB1771" s="9">
        <v>61</v>
      </c>
      <c r="AC1771" s="9">
        <v>7</v>
      </c>
      <c r="AD1771" s="17">
        <v>44809</v>
      </c>
      <c r="AE1771" s="56">
        <v>725</v>
      </c>
      <c r="AF1771" s="56"/>
      <c r="AH1771" s="17"/>
      <c r="AI1771" s="17"/>
      <c r="AJ1771" s="17"/>
      <c r="AP1771" s="11"/>
      <c r="AQ1771" s="11"/>
      <c r="AR1771" s="11"/>
      <c r="AW1771" s="9"/>
      <c r="BD1771" s="9"/>
      <c r="CS1771" s="11">
        <f t="shared" si="123"/>
        <v>0</v>
      </c>
      <c r="CT1771" s="22">
        <f t="shared" si="124"/>
        <v>0</v>
      </c>
      <c r="CU1771" s="22">
        <f t="shared" si="125"/>
        <v>0</v>
      </c>
      <c r="CV1771" s="26">
        <f t="shared" si="122"/>
        <v>725</v>
      </c>
    </row>
    <row r="1772" spans="1:103" x14ac:dyDescent="0.2">
      <c r="A1772" s="9" t="s">
        <v>448</v>
      </c>
      <c r="B1772" s="2">
        <v>139</v>
      </c>
      <c r="C1772" s="3" t="s">
        <v>95</v>
      </c>
      <c r="D1772" s="3" t="s">
        <v>96</v>
      </c>
      <c r="E1772" s="2"/>
      <c r="F1772" s="2"/>
      <c r="G1772" s="2" t="s">
        <v>84</v>
      </c>
      <c r="H1772" s="2">
        <v>2</v>
      </c>
      <c r="I1772" s="8">
        <v>123.71</v>
      </c>
      <c r="J1772" s="8">
        <v>54982</v>
      </c>
      <c r="K1772" s="3">
        <v>0</v>
      </c>
      <c r="L1772" s="3" t="s">
        <v>3</v>
      </c>
      <c r="M1772" s="9" t="s">
        <v>0</v>
      </c>
      <c r="N1772" s="9" t="s">
        <v>38</v>
      </c>
      <c r="O1772" s="9" t="s">
        <v>449</v>
      </c>
      <c r="S1772" s="9" t="s">
        <v>158</v>
      </c>
      <c r="T1772" s="10" t="s">
        <v>72</v>
      </c>
      <c r="U1772" s="10">
        <v>12</v>
      </c>
      <c r="V1772" s="10">
        <v>120.12</v>
      </c>
      <c r="W1772" s="10"/>
      <c r="X1772" s="17">
        <v>44591</v>
      </c>
      <c r="Y1772" s="17">
        <v>44595</v>
      </c>
      <c r="Z1772" s="17" t="s">
        <v>772</v>
      </c>
      <c r="AA1772" s="210">
        <v>48500</v>
      </c>
      <c r="AB1772" s="9">
        <v>61</v>
      </c>
      <c r="AC1772" s="9">
        <v>8</v>
      </c>
      <c r="AD1772" s="17">
        <v>44839</v>
      </c>
      <c r="AE1772" s="56">
        <v>725</v>
      </c>
      <c r="AF1772" s="56"/>
      <c r="AP1772" s="11"/>
      <c r="AQ1772" s="11"/>
      <c r="AR1772" s="11"/>
      <c r="AW1772" s="9"/>
      <c r="BD1772" s="9"/>
      <c r="CS1772" s="11">
        <f t="shared" si="123"/>
        <v>0</v>
      </c>
      <c r="CT1772" s="22">
        <f t="shared" si="124"/>
        <v>0</v>
      </c>
      <c r="CU1772" s="22">
        <f t="shared" si="125"/>
        <v>0</v>
      </c>
      <c r="CV1772" s="26">
        <f t="shared" si="122"/>
        <v>725</v>
      </c>
    </row>
    <row r="1773" spans="1:103" x14ac:dyDescent="0.2">
      <c r="A1773" s="9" t="s">
        <v>448</v>
      </c>
      <c r="B1773" s="2">
        <v>139</v>
      </c>
      <c r="C1773" s="3" t="s">
        <v>95</v>
      </c>
      <c r="D1773" s="3" t="s">
        <v>96</v>
      </c>
      <c r="E1773" s="2"/>
      <c r="F1773" s="2"/>
      <c r="G1773" s="2" t="s">
        <v>84</v>
      </c>
      <c r="H1773" s="2">
        <v>2</v>
      </c>
      <c r="I1773" s="8">
        <v>123.71</v>
      </c>
      <c r="J1773" s="8">
        <v>54982</v>
      </c>
      <c r="K1773" s="3">
        <v>0</v>
      </c>
      <c r="L1773" s="3" t="s">
        <v>3</v>
      </c>
      <c r="M1773" s="9" t="s">
        <v>0</v>
      </c>
      <c r="N1773" s="9" t="s">
        <v>38</v>
      </c>
      <c r="O1773" s="9" t="s">
        <v>449</v>
      </c>
      <c r="S1773" s="9" t="s">
        <v>158</v>
      </c>
      <c r="T1773" s="10" t="s">
        <v>72</v>
      </c>
      <c r="U1773" s="10">
        <v>12</v>
      </c>
      <c r="V1773" s="10">
        <v>120.12</v>
      </c>
      <c r="W1773" s="10"/>
      <c r="X1773" s="17">
        <v>44591</v>
      </c>
      <c r="Y1773" s="17">
        <v>44595</v>
      </c>
      <c r="Z1773" s="17" t="s">
        <v>772</v>
      </c>
      <c r="AA1773" s="210">
        <v>48500</v>
      </c>
      <c r="AB1773" s="9">
        <v>61</v>
      </c>
      <c r="AC1773" s="9">
        <v>9</v>
      </c>
      <c r="AD1773" s="17">
        <v>44870</v>
      </c>
      <c r="AE1773" s="56">
        <v>725</v>
      </c>
      <c r="AF1773" s="56"/>
      <c r="AP1773" s="11"/>
      <c r="AQ1773" s="11"/>
      <c r="AR1773" s="11"/>
      <c r="AW1773" s="9"/>
      <c r="BD1773" s="9"/>
      <c r="CS1773" s="11">
        <f t="shared" si="123"/>
        <v>0</v>
      </c>
      <c r="CT1773" s="22">
        <f t="shared" si="124"/>
        <v>0</v>
      </c>
      <c r="CU1773" s="22">
        <f t="shared" si="125"/>
        <v>0</v>
      </c>
      <c r="CV1773" s="26">
        <f t="shared" si="122"/>
        <v>725</v>
      </c>
    </row>
    <row r="1774" spans="1:103" x14ac:dyDescent="0.2">
      <c r="A1774" s="9" t="s">
        <v>448</v>
      </c>
      <c r="B1774" s="2">
        <v>139</v>
      </c>
      <c r="C1774" s="3" t="s">
        <v>95</v>
      </c>
      <c r="D1774" s="3" t="s">
        <v>96</v>
      </c>
      <c r="E1774" s="2"/>
      <c r="F1774" s="2"/>
      <c r="G1774" s="2" t="s">
        <v>84</v>
      </c>
      <c r="H1774" s="2">
        <v>2</v>
      </c>
      <c r="I1774" s="8">
        <v>123.71</v>
      </c>
      <c r="J1774" s="8">
        <v>54982</v>
      </c>
      <c r="K1774" s="3">
        <v>0</v>
      </c>
      <c r="L1774" s="3" t="s">
        <v>3</v>
      </c>
      <c r="M1774" s="9" t="s">
        <v>0</v>
      </c>
      <c r="N1774" s="9" t="s">
        <v>38</v>
      </c>
      <c r="O1774" s="9" t="s">
        <v>449</v>
      </c>
      <c r="S1774" s="9" t="s">
        <v>158</v>
      </c>
      <c r="T1774" s="10" t="s">
        <v>72</v>
      </c>
      <c r="U1774" s="10">
        <v>12</v>
      </c>
      <c r="V1774" s="10">
        <v>120.12</v>
      </c>
      <c r="W1774" s="10"/>
      <c r="X1774" s="17">
        <v>44591</v>
      </c>
      <c r="Y1774" s="17">
        <v>44595</v>
      </c>
      <c r="Z1774" s="17" t="s">
        <v>772</v>
      </c>
      <c r="AA1774" s="210">
        <v>48500</v>
      </c>
      <c r="AB1774" s="9">
        <v>61</v>
      </c>
      <c r="AC1774" s="9">
        <v>10</v>
      </c>
      <c r="AD1774" s="17">
        <v>44900</v>
      </c>
      <c r="AE1774" s="56">
        <v>725</v>
      </c>
      <c r="AF1774" s="56"/>
      <c r="AP1774" s="11"/>
      <c r="AQ1774" s="11"/>
      <c r="AR1774" s="11"/>
      <c r="AW1774" s="9"/>
      <c r="BD1774" s="9"/>
      <c r="CS1774" s="11">
        <f t="shared" si="123"/>
        <v>0</v>
      </c>
      <c r="CT1774" s="22">
        <f t="shared" si="124"/>
        <v>0</v>
      </c>
      <c r="CU1774" s="22">
        <f t="shared" si="125"/>
        <v>0</v>
      </c>
      <c r="CV1774" s="26">
        <f t="shared" si="122"/>
        <v>725</v>
      </c>
    </row>
    <row r="1775" spans="1:103" x14ac:dyDescent="0.2">
      <c r="A1775" s="9" t="s">
        <v>448</v>
      </c>
      <c r="B1775" s="2">
        <v>139</v>
      </c>
      <c r="C1775" s="3" t="s">
        <v>95</v>
      </c>
      <c r="D1775" s="3" t="s">
        <v>96</v>
      </c>
      <c r="E1775" s="2"/>
      <c r="F1775" s="2"/>
      <c r="G1775" s="2" t="s">
        <v>84</v>
      </c>
      <c r="H1775" s="2">
        <v>2</v>
      </c>
      <c r="I1775" s="8">
        <v>123.71</v>
      </c>
      <c r="J1775" s="8">
        <v>54982</v>
      </c>
      <c r="K1775" s="3">
        <v>0</v>
      </c>
      <c r="L1775" s="3" t="s">
        <v>3</v>
      </c>
      <c r="M1775" s="9" t="s">
        <v>0</v>
      </c>
      <c r="N1775" s="9" t="s">
        <v>38</v>
      </c>
      <c r="O1775" s="9" t="s">
        <v>449</v>
      </c>
      <c r="S1775" s="9" t="s">
        <v>158</v>
      </c>
      <c r="T1775" s="10" t="s">
        <v>72</v>
      </c>
      <c r="U1775" s="10">
        <v>12</v>
      </c>
      <c r="V1775" s="10">
        <v>120.12</v>
      </c>
      <c r="W1775" s="10"/>
      <c r="X1775" s="17">
        <v>44591</v>
      </c>
      <c r="Y1775" s="17">
        <v>44595</v>
      </c>
      <c r="Z1775" s="17" t="s">
        <v>772</v>
      </c>
      <c r="AA1775" s="210">
        <v>48500</v>
      </c>
      <c r="AB1775" s="9">
        <v>61</v>
      </c>
      <c r="AC1775" s="9">
        <v>11</v>
      </c>
      <c r="AD1775" s="17">
        <v>44931</v>
      </c>
      <c r="AE1775" s="56">
        <v>725</v>
      </c>
      <c r="AF1775" s="56"/>
      <c r="AP1775" s="11"/>
      <c r="AQ1775" s="11"/>
      <c r="AR1775" s="11"/>
      <c r="AW1775" s="9"/>
      <c r="BD1775" s="9"/>
      <c r="CS1775" s="11">
        <f t="shared" si="123"/>
        <v>0</v>
      </c>
      <c r="CT1775" s="22">
        <f t="shared" si="124"/>
        <v>0</v>
      </c>
      <c r="CU1775" s="22">
        <f t="shared" si="125"/>
        <v>0</v>
      </c>
      <c r="CV1775" s="26">
        <f t="shared" si="122"/>
        <v>725</v>
      </c>
    </row>
    <row r="1776" spans="1:103" x14ac:dyDescent="0.2">
      <c r="A1776" s="9" t="s">
        <v>448</v>
      </c>
      <c r="B1776" s="2">
        <v>139</v>
      </c>
      <c r="C1776" s="3" t="s">
        <v>95</v>
      </c>
      <c r="D1776" s="3" t="s">
        <v>96</v>
      </c>
      <c r="E1776" s="2"/>
      <c r="F1776" s="2"/>
      <c r="G1776" s="2" t="s">
        <v>84</v>
      </c>
      <c r="H1776" s="2">
        <v>2</v>
      </c>
      <c r="I1776" s="8">
        <v>123.71</v>
      </c>
      <c r="J1776" s="8">
        <v>54982</v>
      </c>
      <c r="K1776" s="3">
        <v>0</v>
      </c>
      <c r="L1776" s="3" t="s">
        <v>3</v>
      </c>
      <c r="M1776" s="9" t="s">
        <v>0</v>
      </c>
      <c r="N1776" s="9" t="s">
        <v>38</v>
      </c>
      <c r="O1776" s="9" t="s">
        <v>449</v>
      </c>
      <c r="S1776" s="9" t="s">
        <v>158</v>
      </c>
      <c r="T1776" s="10" t="s">
        <v>72</v>
      </c>
      <c r="U1776" s="10">
        <v>12</v>
      </c>
      <c r="V1776" s="10">
        <v>120.12</v>
      </c>
      <c r="W1776" s="10"/>
      <c r="X1776" s="17">
        <v>44591</v>
      </c>
      <c r="Y1776" s="17">
        <v>44595</v>
      </c>
      <c r="Z1776" s="17" t="s">
        <v>772</v>
      </c>
      <c r="AA1776" s="210">
        <v>48500</v>
      </c>
      <c r="AB1776" s="9">
        <v>61</v>
      </c>
      <c r="AC1776" s="9">
        <v>12</v>
      </c>
      <c r="AD1776" s="17">
        <v>44962</v>
      </c>
      <c r="AE1776" s="56">
        <v>725</v>
      </c>
      <c r="AF1776" s="56"/>
      <c r="AP1776" s="11"/>
      <c r="AQ1776" s="11"/>
      <c r="AR1776" s="11"/>
      <c r="AW1776" s="9"/>
      <c r="BD1776" s="9"/>
      <c r="CS1776" s="11">
        <f t="shared" si="123"/>
        <v>0</v>
      </c>
      <c r="CT1776" s="22">
        <f t="shared" si="124"/>
        <v>0</v>
      </c>
      <c r="CU1776" s="22">
        <f t="shared" si="125"/>
        <v>0</v>
      </c>
      <c r="CV1776" s="26">
        <f t="shared" si="122"/>
        <v>725</v>
      </c>
    </row>
    <row r="1777" spans="1:100" x14ac:dyDescent="0.2">
      <c r="A1777" s="9" t="s">
        <v>448</v>
      </c>
      <c r="B1777" s="2">
        <v>139</v>
      </c>
      <c r="C1777" s="3" t="s">
        <v>95</v>
      </c>
      <c r="D1777" s="3" t="s">
        <v>96</v>
      </c>
      <c r="E1777" s="2"/>
      <c r="F1777" s="2"/>
      <c r="G1777" s="2" t="s">
        <v>84</v>
      </c>
      <c r="H1777" s="2">
        <v>2</v>
      </c>
      <c r="I1777" s="8">
        <v>123.71</v>
      </c>
      <c r="J1777" s="8">
        <v>54982</v>
      </c>
      <c r="K1777" s="3">
        <v>0</v>
      </c>
      <c r="L1777" s="3" t="s">
        <v>3</v>
      </c>
      <c r="M1777" s="9" t="s">
        <v>0</v>
      </c>
      <c r="N1777" s="9" t="s">
        <v>38</v>
      </c>
      <c r="O1777" s="9" t="s">
        <v>449</v>
      </c>
      <c r="S1777" s="9" t="s">
        <v>158</v>
      </c>
      <c r="T1777" s="10" t="s">
        <v>72</v>
      </c>
      <c r="U1777" s="10">
        <v>12</v>
      </c>
      <c r="V1777" s="10">
        <v>120.12</v>
      </c>
      <c r="W1777" s="10"/>
      <c r="X1777" s="17">
        <v>44591</v>
      </c>
      <c r="Y1777" s="17">
        <v>44595</v>
      </c>
      <c r="Z1777" s="17" t="s">
        <v>772</v>
      </c>
      <c r="AA1777" s="210">
        <v>48500</v>
      </c>
      <c r="AB1777" s="9">
        <v>61</v>
      </c>
      <c r="AC1777" s="9">
        <v>13</v>
      </c>
      <c r="AD1777" s="17">
        <v>44990</v>
      </c>
      <c r="AE1777" s="56">
        <v>725</v>
      </c>
      <c r="AF1777" s="56"/>
      <c r="AP1777" s="11"/>
      <c r="AQ1777" s="11"/>
      <c r="AR1777" s="11"/>
      <c r="AW1777" s="9"/>
      <c r="BD1777" s="9"/>
      <c r="CS1777" s="11">
        <f t="shared" si="123"/>
        <v>0</v>
      </c>
      <c r="CT1777" s="22">
        <f t="shared" si="124"/>
        <v>0</v>
      </c>
      <c r="CU1777" s="22">
        <f t="shared" si="125"/>
        <v>0</v>
      </c>
      <c r="CV1777" s="26">
        <f t="shared" si="122"/>
        <v>725</v>
      </c>
    </row>
    <row r="1778" spans="1:100" x14ac:dyDescent="0.2">
      <c r="A1778" s="9" t="s">
        <v>448</v>
      </c>
      <c r="B1778" s="2">
        <v>139</v>
      </c>
      <c r="C1778" s="3" t="s">
        <v>95</v>
      </c>
      <c r="D1778" s="3" t="s">
        <v>96</v>
      </c>
      <c r="E1778" s="2"/>
      <c r="F1778" s="2"/>
      <c r="G1778" s="2" t="s">
        <v>84</v>
      </c>
      <c r="H1778" s="2">
        <v>2</v>
      </c>
      <c r="I1778" s="8">
        <v>123.71</v>
      </c>
      <c r="J1778" s="8">
        <v>54982</v>
      </c>
      <c r="K1778" s="3">
        <v>0</v>
      </c>
      <c r="L1778" s="3" t="s">
        <v>3</v>
      </c>
      <c r="M1778" s="9" t="s">
        <v>0</v>
      </c>
      <c r="N1778" s="9" t="s">
        <v>38</v>
      </c>
      <c r="O1778" s="9" t="s">
        <v>449</v>
      </c>
      <c r="S1778" s="9" t="s">
        <v>158</v>
      </c>
      <c r="T1778" s="10" t="s">
        <v>72</v>
      </c>
      <c r="U1778" s="10">
        <v>12</v>
      </c>
      <c r="V1778" s="10">
        <v>120.12</v>
      </c>
      <c r="W1778" s="10"/>
      <c r="X1778" s="17">
        <v>44591</v>
      </c>
      <c r="Y1778" s="17">
        <v>44595</v>
      </c>
      <c r="Z1778" s="17" t="s">
        <v>772</v>
      </c>
      <c r="AA1778" s="210">
        <v>48500</v>
      </c>
      <c r="AB1778" s="9">
        <v>61</v>
      </c>
      <c r="AC1778" s="9">
        <v>14</v>
      </c>
      <c r="AD1778" s="17">
        <v>45021</v>
      </c>
      <c r="AE1778" s="56">
        <v>725</v>
      </c>
      <c r="AF1778" s="56"/>
      <c r="AP1778" s="11"/>
      <c r="AQ1778" s="11"/>
      <c r="AR1778" s="11"/>
      <c r="AW1778" s="9"/>
      <c r="BD1778" s="9"/>
      <c r="CS1778" s="11">
        <f t="shared" si="123"/>
        <v>0</v>
      </c>
      <c r="CT1778" s="22">
        <f t="shared" si="124"/>
        <v>0</v>
      </c>
      <c r="CU1778" s="22">
        <f t="shared" si="125"/>
        <v>0</v>
      </c>
      <c r="CV1778" s="26">
        <f t="shared" si="122"/>
        <v>725</v>
      </c>
    </row>
    <row r="1779" spans="1:100" x14ac:dyDescent="0.2">
      <c r="A1779" s="9" t="s">
        <v>448</v>
      </c>
      <c r="B1779" s="2">
        <v>139</v>
      </c>
      <c r="C1779" s="3" t="s">
        <v>95</v>
      </c>
      <c r="D1779" s="3" t="s">
        <v>96</v>
      </c>
      <c r="E1779" s="2"/>
      <c r="F1779" s="2"/>
      <c r="G1779" s="2" t="s">
        <v>84</v>
      </c>
      <c r="H1779" s="2">
        <v>2</v>
      </c>
      <c r="I1779" s="8">
        <v>123.71</v>
      </c>
      <c r="J1779" s="8">
        <v>54982</v>
      </c>
      <c r="K1779" s="3">
        <v>0</v>
      </c>
      <c r="L1779" s="3" t="s">
        <v>3</v>
      </c>
      <c r="M1779" s="9" t="s">
        <v>0</v>
      </c>
      <c r="N1779" s="9" t="s">
        <v>38</v>
      </c>
      <c r="O1779" s="9" t="s">
        <v>449</v>
      </c>
      <c r="S1779" s="9" t="s">
        <v>158</v>
      </c>
      <c r="T1779" s="10" t="s">
        <v>72</v>
      </c>
      <c r="U1779" s="10">
        <v>12</v>
      </c>
      <c r="V1779" s="10">
        <v>120.12</v>
      </c>
      <c r="W1779" s="10"/>
      <c r="X1779" s="17">
        <v>44591</v>
      </c>
      <c r="Y1779" s="17">
        <v>44595</v>
      </c>
      <c r="Z1779" s="17" t="s">
        <v>772</v>
      </c>
      <c r="AA1779" s="210">
        <v>48500</v>
      </c>
      <c r="AB1779" s="9">
        <v>61</v>
      </c>
      <c r="AC1779" s="9">
        <v>15</v>
      </c>
      <c r="AD1779" s="17">
        <v>45051</v>
      </c>
      <c r="AE1779" s="56">
        <v>725</v>
      </c>
      <c r="AF1779" s="56"/>
      <c r="AP1779" s="11"/>
      <c r="AQ1779" s="11"/>
      <c r="AR1779" s="11"/>
      <c r="AW1779" s="9"/>
      <c r="BD1779" s="9"/>
      <c r="CS1779" s="11">
        <f t="shared" si="123"/>
        <v>0</v>
      </c>
      <c r="CT1779" s="22">
        <f t="shared" si="124"/>
        <v>0</v>
      </c>
      <c r="CU1779" s="22">
        <f t="shared" si="125"/>
        <v>0</v>
      </c>
      <c r="CV1779" s="26">
        <f t="shared" si="122"/>
        <v>725</v>
      </c>
    </row>
    <row r="1780" spans="1:100" x14ac:dyDescent="0.2">
      <c r="A1780" s="9" t="s">
        <v>448</v>
      </c>
      <c r="B1780" s="2">
        <v>139</v>
      </c>
      <c r="C1780" s="3" t="s">
        <v>95</v>
      </c>
      <c r="D1780" s="3" t="s">
        <v>96</v>
      </c>
      <c r="E1780" s="2"/>
      <c r="F1780" s="2"/>
      <c r="G1780" s="2" t="s">
        <v>84</v>
      </c>
      <c r="H1780" s="2">
        <v>2</v>
      </c>
      <c r="I1780" s="8">
        <v>123.71</v>
      </c>
      <c r="J1780" s="8">
        <v>54982</v>
      </c>
      <c r="K1780" s="3">
        <v>0</v>
      </c>
      <c r="L1780" s="3" t="s">
        <v>3</v>
      </c>
      <c r="M1780" s="9" t="s">
        <v>0</v>
      </c>
      <c r="N1780" s="9" t="s">
        <v>38</v>
      </c>
      <c r="O1780" s="9" t="s">
        <v>449</v>
      </c>
      <c r="S1780" s="9" t="s">
        <v>158</v>
      </c>
      <c r="T1780" s="10" t="s">
        <v>72</v>
      </c>
      <c r="U1780" s="10">
        <v>12</v>
      </c>
      <c r="V1780" s="10">
        <v>120.12</v>
      </c>
      <c r="W1780" s="10"/>
      <c r="X1780" s="17">
        <v>44591</v>
      </c>
      <c r="Y1780" s="17">
        <v>44595</v>
      </c>
      <c r="Z1780" s="17" t="s">
        <v>772</v>
      </c>
      <c r="AA1780" s="210">
        <v>48500</v>
      </c>
      <c r="AB1780" s="9">
        <v>61</v>
      </c>
      <c r="AC1780" s="9">
        <v>16</v>
      </c>
      <c r="AD1780" s="17">
        <v>45082</v>
      </c>
      <c r="AE1780" s="56">
        <v>725</v>
      </c>
      <c r="AF1780" s="56"/>
      <c r="AP1780" s="11"/>
      <c r="AQ1780" s="11"/>
      <c r="AR1780" s="11"/>
      <c r="AW1780" s="9"/>
      <c r="BD1780" s="9"/>
      <c r="CS1780" s="11">
        <f t="shared" si="123"/>
        <v>0</v>
      </c>
      <c r="CT1780" s="22">
        <f t="shared" si="124"/>
        <v>0</v>
      </c>
      <c r="CU1780" s="22">
        <f t="shared" si="125"/>
        <v>0</v>
      </c>
      <c r="CV1780" s="26">
        <f t="shared" si="122"/>
        <v>725</v>
      </c>
    </row>
    <row r="1781" spans="1:100" x14ac:dyDescent="0.2">
      <c r="A1781" s="9" t="s">
        <v>448</v>
      </c>
      <c r="B1781" s="2">
        <v>139</v>
      </c>
      <c r="C1781" s="3" t="s">
        <v>95</v>
      </c>
      <c r="D1781" s="3" t="s">
        <v>96</v>
      </c>
      <c r="E1781" s="2"/>
      <c r="F1781" s="2"/>
      <c r="G1781" s="2" t="s">
        <v>84</v>
      </c>
      <c r="H1781" s="2">
        <v>2</v>
      </c>
      <c r="I1781" s="8">
        <v>123.71</v>
      </c>
      <c r="J1781" s="8">
        <v>54982</v>
      </c>
      <c r="K1781" s="3">
        <v>0</v>
      </c>
      <c r="L1781" s="3" t="s">
        <v>3</v>
      </c>
      <c r="M1781" s="9" t="s">
        <v>0</v>
      </c>
      <c r="N1781" s="9" t="s">
        <v>38</v>
      </c>
      <c r="O1781" s="9" t="s">
        <v>449</v>
      </c>
      <c r="S1781" s="9" t="s">
        <v>158</v>
      </c>
      <c r="T1781" s="10" t="s">
        <v>72</v>
      </c>
      <c r="U1781" s="10">
        <v>12</v>
      </c>
      <c r="V1781" s="10">
        <v>120.12</v>
      </c>
      <c r="W1781" s="10"/>
      <c r="X1781" s="17">
        <v>44591</v>
      </c>
      <c r="Y1781" s="17">
        <v>44595</v>
      </c>
      <c r="Z1781" s="17" t="s">
        <v>772</v>
      </c>
      <c r="AA1781" s="210">
        <v>48500</v>
      </c>
      <c r="AB1781" s="9">
        <v>61</v>
      </c>
      <c r="AC1781" s="9">
        <v>17</v>
      </c>
      <c r="AD1781" s="17">
        <v>45112</v>
      </c>
      <c r="AE1781" s="56">
        <v>725</v>
      </c>
      <c r="AF1781" s="56"/>
      <c r="AP1781" s="11"/>
      <c r="AQ1781" s="11"/>
      <c r="AR1781" s="11"/>
      <c r="AW1781" s="9"/>
      <c r="BD1781" s="9"/>
      <c r="CS1781" s="11">
        <f t="shared" si="123"/>
        <v>0</v>
      </c>
      <c r="CT1781" s="22">
        <f t="shared" si="124"/>
        <v>0</v>
      </c>
      <c r="CU1781" s="22">
        <f t="shared" si="125"/>
        <v>0</v>
      </c>
      <c r="CV1781" s="26">
        <f t="shared" si="122"/>
        <v>725</v>
      </c>
    </row>
    <row r="1782" spans="1:100" x14ac:dyDescent="0.2">
      <c r="A1782" s="9" t="s">
        <v>448</v>
      </c>
      <c r="B1782" s="2">
        <v>139</v>
      </c>
      <c r="C1782" s="3" t="s">
        <v>95</v>
      </c>
      <c r="D1782" s="3" t="s">
        <v>96</v>
      </c>
      <c r="E1782" s="2"/>
      <c r="F1782" s="2"/>
      <c r="G1782" s="2" t="s">
        <v>84</v>
      </c>
      <c r="H1782" s="2">
        <v>2</v>
      </c>
      <c r="I1782" s="8">
        <v>123.71</v>
      </c>
      <c r="J1782" s="8">
        <v>54982</v>
      </c>
      <c r="K1782" s="3">
        <v>0</v>
      </c>
      <c r="L1782" s="3" t="s">
        <v>3</v>
      </c>
      <c r="M1782" s="9" t="s">
        <v>0</v>
      </c>
      <c r="N1782" s="9" t="s">
        <v>38</v>
      </c>
      <c r="O1782" s="9" t="s">
        <v>449</v>
      </c>
      <c r="S1782" s="9" t="s">
        <v>158</v>
      </c>
      <c r="T1782" s="10" t="s">
        <v>72</v>
      </c>
      <c r="U1782" s="10">
        <v>12</v>
      </c>
      <c r="V1782" s="10">
        <v>120.12</v>
      </c>
      <c r="W1782" s="10"/>
      <c r="X1782" s="17">
        <v>44591</v>
      </c>
      <c r="Y1782" s="17">
        <v>44595</v>
      </c>
      <c r="Z1782" s="17" t="s">
        <v>772</v>
      </c>
      <c r="AA1782" s="210">
        <v>48500</v>
      </c>
      <c r="AB1782" s="9">
        <v>61</v>
      </c>
      <c r="AC1782" s="9">
        <v>18</v>
      </c>
      <c r="AD1782" s="17">
        <v>45143</v>
      </c>
      <c r="AE1782" s="56">
        <v>725</v>
      </c>
      <c r="AF1782" s="56"/>
      <c r="AP1782" s="11"/>
      <c r="AQ1782" s="11"/>
      <c r="AR1782" s="11"/>
      <c r="AW1782" s="9"/>
      <c r="BD1782" s="9"/>
      <c r="CS1782" s="11">
        <f t="shared" si="123"/>
        <v>0</v>
      </c>
      <c r="CT1782" s="22">
        <f t="shared" si="124"/>
        <v>0</v>
      </c>
      <c r="CU1782" s="22">
        <f t="shared" si="125"/>
        <v>0</v>
      </c>
      <c r="CV1782" s="26">
        <f t="shared" si="122"/>
        <v>725</v>
      </c>
    </row>
    <row r="1783" spans="1:100" x14ac:dyDescent="0.2">
      <c r="A1783" s="9" t="s">
        <v>448</v>
      </c>
      <c r="B1783" s="2">
        <v>139</v>
      </c>
      <c r="C1783" s="3" t="s">
        <v>95</v>
      </c>
      <c r="D1783" s="3" t="s">
        <v>96</v>
      </c>
      <c r="E1783" s="2"/>
      <c r="F1783" s="2"/>
      <c r="G1783" s="2" t="s">
        <v>84</v>
      </c>
      <c r="H1783" s="2">
        <v>2</v>
      </c>
      <c r="I1783" s="8">
        <v>123.71</v>
      </c>
      <c r="J1783" s="8">
        <v>54982</v>
      </c>
      <c r="K1783" s="3">
        <v>0</v>
      </c>
      <c r="L1783" s="3" t="s">
        <v>3</v>
      </c>
      <c r="M1783" s="9" t="s">
        <v>0</v>
      </c>
      <c r="N1783" s="9" t="s">
        <v>38</v>
      </c>
      <c r="O1783" s="9" t="s">
        <v>449</v>
      </c>
      <c r="S1783" s="9" t="s">
        <v>158</v>
      </c>
      <c r="T1783" s="10" t="s">
        <v>72</v>
      </c>
      <c r="U1783" s="10">
        <v>12</v>
      </c>
      <c r="V1783" s="10">
        <v>120.12</v>
      </c>
      <c r="W1783" s="10"/>
      <c r="X1783" s="17">
        <v>44591</v>
      </c>
      <c r="Y1783" s="17">
        <v>44595</v>
      </c>
      <c r="Z1783" s="17" t="s">
        <v>772</v>
      </c>
      <c r="AA1783" s="210">
        <v>48500</v>
      </c>
      <c r="AB1783" s="9">
        <v>61</v>
      </c>
      <c r="AC1783" s="9">
        <v>19</v>
      </c>
      <c r="AD1783" s="17">
        <v>45174</v>
      </c>
      <c r="AE1783" s="56">
        <v>725</v>
      </c>
      <c r="AF1783" s="56"/>
      <c r="AP1783" s="11"/>
      <c r="AQ1783" s="11"/>
      <c r="AR1783" s="11"/>
      <c r="AW1783" s="9"/>
      <c r="BD1783" s="9"/>
      <c r="CS1783" s="11">
        <f t="shared" si="123"/>
        <v>0</v>
      </c>
      <c r="CT1783" s="22">
        <f t="shared" si="124"/>
        <v>0</v>
      </c>
      <c r="CU1783" s="22">
        <f t="shared" si="125"/>
        <v>0</v>
      </c>
      <c r="CV1783" s="26">
        <f t="shared" si="122"/>
        <v>725</v>
      </c>
    </row>
    <row r="1784" spans="1:100" x14ac:dyDescent="0.2">
      <c r="A1784" s="9" t="s">
        <v>448</v>
      </c>
      <c r="B1784" s="2">
        <v>139</v>
      </c>
      <c r="C1784" s="3" t="s">
        <v>95</v>
      </c>
      <c r="D1784" s="3" t="s">
        <v>96</v>
      </c>
      <c r="E1784" s="2"/>
      <c r="F1784" s="2"/>
      <c r="G1784" s="2" t="s">
        <v>84</v>
      </c>
      <c r="H1784" s="2">
        <v>2</v>
      </c>
      <c r="I1784" s="8">
        <v>123.71</v>
      </c>
      <c r="J1784" s="8">
        <v>54982</v>
      </c>
      <c r="K1784" s="3">
        <v>0</v>
      </c>
      <c r="L1784" s="3" t="s">
        <v>3</v>
      </c>
      <c r="M1784" s="9" t="s">
        <v>0</v>
      </c>
      <c r="N1784" s="9" t="s">
        <v>38</v>
      </c>
      <c r="O1784" s="9" t="s">
        <v>449</v>
      </c>
      <c r="S1784" s="9" t="s">
        <v>158</v>
      </c>
      <c r="T1784" s="10" t="s">
        <v>72</v>
      </c>
      <c r="U1784" s="10">
        <v>12</v>
      </c>
      <c r="V1784" s="10">
        <v>120.12</v>
      </c>
      <c r="W1784" s="10"/>
      <c r="X1784" s="17">
        <v>44591</v>
      </c>
      <c r="Y1784" s="17">
        <v>44595</v>
      </c>
      <c r="Z1784" s="17" t="s">
        <v>772</v>
      </c>
      <c r="AA1784" s="210">
        <v>48500</v>
      </c>
      <c r="AB1784" s="9">
        <v>61</v>
      </c>
      <c r="AC1784" s="9">
        <v>20</v>
      </c>
      <c r="AD1784" s="17">
        <v>45204</v>
      </c>
      <c r="AE1784" s="56">
        <v>725</v>
      </c>
      <c r="AF1784" s="56"/>
      <c r="AP1784" s="11"/>
      <c r="AQ1784" s="11"/>
      <c r="AR1784" s="11"/>
      <c r="AW1784" s="9"/>
      <c r="BD1784" s="9"/>
      <c r="CS1784" s="11">
        <f t="shared" si="123"/>
        <v>0</v>
      </c>
      <c r="CT1784" s="22">
        <f t="shared" si="124"/>
        <v>0</v>
      </c>
      <c r="CU1784" s="22">
        <f t="shared" si="125"/>
        <v>0</v>
      </c>
      <c r="CV1784" s="26">
        <f t="shared" si="122"/>
        <v>725</v>
      </c>
    </row>
    <row r="1785" spans="1:100" x14ac:dyDescent="0.2">
      <c r="A1785" s="9" t="s">
        <v>448</v>
      </c>
      <c r="B1785" s="2">
        <v>139</v>
      </c>
      <c r="C1785" s="3" t="s">
        <v>95</v>
      </c>
      <c r="D1785" s="3" t="s">
        <v>96</v>
      </c>
      <c r="E1785" s="2"/>
      <c r="F1785" s="2"/>
      <c r="G1785" s="2" t="s">
        <v>84</v>
      </c>
      <c r="H1785" s="2">
        <v>2</v>
      </c>
      <c r="I1785" s="8">
        <v>123.71</v>
      </c>
      <c r="J1785" s="8">
        <v>54982</v>
      </c>
      <c r="K1785" s="3">
        <v>0</v>
      </c>
      <c r="L1785" s="3" t="s">
        <v>3</v>
      </c>
      <c r="M1785" s="9" t="s">
        <v>0</v>
      </c>
      <c r="N1785" s="9" t="s">
        <v>38</v>
      </c>
      <c r="O1785" s="9" t="s">
        <v>449</v>
      </c>
      <c r="S1785" s="9" t="s">
        <v>158</v>
      </c>
      <c r="T1785" s="10" t="s">
        <v>72</v>
      </c>
      <c r="U1785" s="10">
        <v>12</v>
      </c>
      <c r="V1785" s="10">
        <v>120.12</v>
      </c>
      <c r="W1785" s="10"/>
      <c r="X1785" s="17">
        <v>44591</v>
      </c>
      <c r="Y1785" s="17">
        <v>44595</v>
      </c>
      <c r="Z1785" s="17" t="s">
        <v>772</v>
      </c>
      <c r="AA1785" s="210">
        <v>48500</v>
      </c>
      <c r="AB1785" s="9">
        <v>61</v>
      </c>
      <c r="AC1785" s="9">
        <v>21</v>
      </c>
      <c r="AD1785" s="17">
        <v>45235</v>
      </c>
      <c r="AE1785" s="56">
        <v>725</v>
      </c>
      <c r="AF1785" s="56"/>
      <c r="AP1785" s="11"/>
      <c r="AQ1785" s="11"/>
      <c r="AR1785" s="11"/>
      <c r="AW1785" s="9"/>
      <c r="BD1785" s="9"/>
      <c r="CS1785" s="11">
        <f t="shared" si="123"/>
        <v>0</v>
      </c>
      <c r="CT1785" s="22">
        <f t="shared" si="124"/>
        <v>0</v>
      </c>
      <c r="CU1785" s="22">
        <f t="shared" si="125"/>
        <v>0</v>
      </c>
      <c r="CV1785" s="26">
        <f t="shared" ref="CV1785:CV1848" si="127">+AE1785-AL1785-AT1785</f>
        <v>725</v>
      </c>
    </row>
    <row r="1786" spans="1:100" x14ac:dyDescent="0.2">
      <c r="A1786" s="9" t="s">
        <v>448</v>
      </c>
      <c r="B1786" s="2">
        <v>139</v>
      </c>
      <c r="C1786" s="3" t="s">
        <v>95</v>
      </c>
      <c r="D1786" s="3" t="s">
        <v>96</v>
      </c>
      <c r="E1786" s="2"/>
      <c r="F1786" s="2"/>
      <c r="G1786" s="2" t="s">
        <v>84</v>
      </c>
      <c r="H1786" s="2">
        <v>2</v>
      </c>
      <c r="I1786" s="8">
        <v>123.71</v>
      </c>
      <c r="J1786" s="8">
        <v>54982</v>
      </c>
      <c r="K1786" s="3">
        <v>0</v>
      </c>
      <c r="L1786" s="3" t="s">
        <v>3</v>
      </c>
      <c r="M1786" s="9" t="s">
        <v>0</v>
      </c>
      <c r="N1786" s="9" t="s">
        <v>38</v>
      </c>
      <c r="O1786" s="9" t="s">
        <v>449</v>
      </c>
      <c r="S1786" s="9" t="s">
        <v>158</v>
      </c>
      <c r="T1786" s="10" t="s">
        <v>72</v>
      </c>
      <c r="U1786" s="10">
        <v>12</v>
      </c>
      <c r="V1786" s="10">
        <v>120.12</v>
      </c>
      <c r="W1786" s="10"/>
      <c r="X1786" s="17">
        <v>44591</v>
      </c>
      <c r="Y1786" s="17">
        <v>44595</v>
      </c>
      <c r="Z1786" s="17" t="s">
        <v>772</v>
      </c>
      <c r="AA1786" s="210">
        <v>48500</v>
      </c>
      <c r="AB1786" s="9">
        <v>61</v>
      </c>
      <c r="AC1786" s="9">
        <v>22</v>
      </c>
      <c r="AD1786" s="17">
        <v>45265</v>
      </c>
      <c r="AE1786" s="56">
        <v>725</v>
      </c>
      <c r="AF1786" s="56"/>
      <c r="AP1786" s="11"/>
      <c r="AQ1786" s="11"/>
      <c r="AR1786" s="11"/>
      <c r="AW1786" s="9"/>
      <c r="BD1786" s="9"/>
      <c r="CS1786" s="11">
        <f t="shared" si="123"/>
        <v>0</v>
      </c>
      <c r="CT1786" s="22">
        <f t="shared" si="124"/>
        <v>0</v>
      </c>
      <c r="CU1786" s="22">
        <f t="shared" si="125"/>
        <v>0</v>
      </c>
      <c r="CV1786" s="26">
        <f t="shared" si="127"/>
        <v>725</v>
      </c>
    </row>
    <row r="1787" spans="1:100" x14ac:dyDescent="0.2">
      <c r="A1787" s="9" t="s">
        <v>448</v>
      </c>
      <c r="B1787" s="2">
        <v>139</v>
      </c>
      <c r="C1787" s="3" t="s">
        <v>95</v>
      </c>
      <c r="D1787" s="3" t="s">
        <v>96</v>
      </c>
      <c r="E1787" s="2"/>
      <c r="F1787" s="2"/>
      <c r="G1787" s="2" t="s">
        <v>84</v>
      </c>
      <c r="H1787" s="2">
        <v>2</v>
      </c>
      <c r="I1787" s="8">
        <v>123.71</v>
      </c>
      <c r="J1787" s="8">
        <v>54982</v>
      </c>
      <c r="K1787" s="3">
        <v>0</v>
      </c>
      <c r="L1787" s="3" t="s">
        <v>3</v>
      </c>
      <c r="M1787" s="9" t="s">
        <v>0</v>
      </c>
      <c r="N1787" s="9" t="s">
        <v>38</v>
      </c>
      <c r="O1787" s="9" t="s">
        <v>449</v>
      </c>
      <c r="S1787" s="9" t="s">
        <v>158</v>
      </c>
      <c r="T1787" s="10" t="s">
        <v>72</v>
      </c>
      <c r="U1787" s="10">
        <v>12</v>
      </c>
      <c r="V1787" s="10">
        <v>120.12</v>
      </c>
      <c r="W1787" s="10"/>
      <c r="X1787" s="17">
        <v>44591</v>
      </c>
      <c r="Y1787" s="17">
        <v>44595</v>
      </c>
      <c r="Z1787" s="17" t="s">
        <v>772</v>
      </c>
      <c r="AA1787" s="210">
        <v>48500</v>
      </c>
      <c r="AB1787" s="9">
        <v>61</v>
      </c>
      <c r="AC1787" s="9">
        <v>23</v>
      </c>
      <c r="AD1787" s="17">
        <v>45296</v>
      </c>
      <c r="AE1787" s="56">
        <v>725</v>
      </c>
      <c r="AF1787" s="56"/>
      <c r="AP1787" s="11"/>
      <c r="AQ1787" s="11"/>
      <c r="AR1787" s="11"/>
      <c r="AW1787" s="9"/>
      <c r="BD1787" s="9"/>
      <c r="CS1787" s="11">
        <f t="shared" si="123"/>
        <v>0</v>
      </c>
      <c r="CT1787" s="22">
        <f t="shared" si="124"/>
        <v>0</v>
      </c>
      <c r="CU1787" s="22">
        <f t="shared" si="125"/>
        <v>0</v>
      </c>
      <c r="CV1787" s="26">
        <f t="shared" si="127"/>
        <v>725</v>
      </c>
    </row>
    <row r="1788" spans="1:100" x14ac:dyDescent="0.2">
      <c r="A1788" s="9" t="s">
        <v>448</v>
      </c>
      <c r="B1788" s="2">
        <v>139</v>
      </c>
      <c r="C1788" s="3" t="s">
        <v>95</v>
      </c>
      <c r="D1788" s="3" t="s">
        <v>96</v>
      </c>
      <c r="E1788" s="2"/>
      <c r="F1788" s="2"/>
      <c r="G1788" s="2" t="s">
        <v>84</v>
      </c>
      <c r="H1788" s="2">
        <v>2</v>
      </c>
      <c r="I1788" s="8">
        <v>123.71</v>
      </c>
      <c r="J1788" s="8">
        <v>54982</v>
      </c>
      <c r="K1788" s="3">
        <v>0</v>
      </c>
      <c r="L1788" s="3" t="s">
        <v>3</v>
      </c>
      <c r="M1788" s="9" t="s">
        <v>0</v>
      </c>
      <c r="N1788" s="9" t="s">
        <v>38</v>
      </c>
      <c r="O1788" s="9" t="s">
        <v>449</v>
      </c>
      <c r="S1788" s="9" t="s">
        <v>158</v>
      </c>
      <c r="T1788" s="10" t="s">
        <v>72</v>
      </c>
      <c r="U1788" s="10">
        <v>12</v>
      </c>
      <c r="V1788" s="10">
        <v>120.12</v>
      </c>
      <c r="W1788" s="10"/>
      <c r="X1788" s="17">
        <v>44591</v>
      </c>
      <c r="Y1788" s="17">
        <v>44595</v>
      </c>
      <c r="Z1788" s="17" t="s">
        <v>772</v>
      </c>
      <c r="AA1788" s="210">
        <v>48500</v>
      </c>
      <c r="AB1788" s="9">
        <v>61</v>
      </c>
      <c r="AC1788" s="9">
        <v>24</v>
      </c>
      <c r="AD1788" s="17">
        <v>45327</v>
      </c>
      <c r="AE1788" s="56">
        <v>725</v>
      </c>
      <c r="AF1788" s="56"/>
      <c r="AP1788" s="11"/>
      <c r="AQ1788" s="11"/>
      <c r="AR1788" s="11"/>
      <c r="AW1788" s="9"/>
      <c r="BD1788" s="9"/>
      <c r="CS1788" s="11">
        <f t="shared" si="123"/>
        <v>0</v>
      </c>
      <c r="CT1788" s="22">
        <f t="shared" si="124"/>
        <v>0</v>
      </c>
      <c r="CU1788" s="22">
        <f t="shared" si="125"/>
        <v>0</v>
      </c>
      <c r="CV1788" s="26">
        <f t="shared" si="127"/>
        <v>725</v>
      </c>
    </row>
    <row r="1789" spans="1:100" x14ac:dyDescent="0.2">
      <c r="A1789" s="9" t="s">
        <v>448</v>
      </c>
      <c r="B1789" s="2">
        <v>139</v>
      </c>
      <c r="C1789" s="3" t="s">
        <v>95</v>
      </c>
      <c r="D1789" s="3" t="s">
        <v>96</v>
      </c>
      <c r="E1789" s="2"/>
      <c r="F1789" s="2"/>
      <c r="G1789" s="2" t="s">
        <v>84</v>
      </c>
      <c r="H1789" s="2">
        <v>2</v>
      </c>
      <c r="I1789" s="8">
        <v>123.71</v>
      </c>
      <c r="J1789" s="8">
        <v>54982</v>
      </c>
      <c r="K1789" s="3">
        <v>0</v>
      </c>
      <c r="L1789" s="3" t="s">
        <v>3</v>
      </c>
      <c r="M1789" s="9" t="s">
        <v>0</v>
      </c>
      <c r="N1789" s="9" t="s">
        <v>38</v>
      </c>
      <c r="O1789" s="9" t="s">
        <v>449</v>
      </c>
      <c r="S1789" s="9" t="s">
        <v>158</v>
      </c>
      <c r="T1789" s="10" t="s">
        <v>72</v>
      </c>
      <c r="U1789" s="10">
        <v>12</v>
      </c>
      <c r="V1789" s="10">
        <v>120.12</v>
      </c>
      <c r="W1789" s="10"/>
      <c r="X1789" s="17">
        <v>44591</v>
      </c>
      <c r="Y1789" s="17">
        <v>44595</v>
      </c>
      <c r="Z1789" s="17" t="s">
        <v>772</v>
      </c>
      <c r="AA1789" s="210">
        <v>48500</v>
      </c>
      <c r="AB1789" s="9">
        <v>61</v>
      </c>
      <c r="AC1789" s="9">
        <v>25</v>
      </c>
      <c r="AD1789" s="17">
        <v>45356</v>
      </c>
      <c r="AE1789" s="56">
        <v>725</v>
      </c>
      <c r="AF1789" s="56"/>
      <c r="AP1789" s="11"/>
      <c r="AQ1789" s="11"/>
      <c r="AR1789" s="11"/>
      <c r="AW1789" s="9"/>
      <c r="BD1789" s="9"/>
      <c r="CS1789" s="11">
        <f t="shared" ref="CS1789:CS1852" si="128">+AL1789+AT1789</f>
        <v>0</v>
      </c>
      <c r="CT1789" s="22">
        <f t="shared" ref="CT1789:CT1852" si="129">+BA1789+BG1789+BM1789+BS1789+BY1789+CE1789+CK1789+CQ1789</f>
        <v>0</v>
      </c>
      <c r="CU1789" s="22">
        <f t="shared" ref="CU1789:CU1852" si="130">+CS1789-CT1789</f>
        <v>0</v>
      </c>
      <c r="CV1789" s="26">
        <f t="shared" si="127"/>
        <v>725</v>
      </c>
    </row>
    <row r="1790" spans="1:100" x14ac:dyDescent="0.2">
      <c r="A1790" s="9" t="s">
        <v>448</v>
      </c>
      <c r="B1790" s="2">
        <v>139</v>
      </c>
      <c r="C1790" s="3" t="s">
        <v>95</v>
      </c>
      <c r="D1790" s="3" t="s">
        <v>96</v>
      </c>
      <c r="E1790" s="2"/>
      <c r="F1790" s="2"/>
      <c r="G1790" s="2" t="s">
        <v>84</v>
      </c>
      <c r="H1790" s="2">
        <v>2</v>
      </c>
      <c r="I1790" s="8">
        <v>123.71</v>
      </c>
      <c r="J1790" s="8">
        <v>54982</v>
      </c>
      <c r="K1790" s="3">
        <v>0</v>
      </c>
      <c r="L1790" s="3" t="s">
        <v>3</v>
      </c>
      <c r="M1790" s="9" t="s">
        <v>0</v>
      </c>
      <c r="N1790" s="9" t="s">
        <v>38</v>
      </c>
      <c r="O1790" s="9" t="s">
        <v>449</v>
      </c>
      <c r="S1790" s="9" t="s">
        <v>158</v>
      </c>
      <c r="T1790" s="10" t="s">
        <v>72</v>
      </c>
      <c r="U1790" s="10">
        <v>12</v>
      </c>
      <c r="V1790" s="10">
        <v>120.12</v>
      </c>
      <c r="W1790" s="10"/>
      <c r="X1790" s="17">
        <v>44591</v>
      </c>
      <c r="Y1790" s="17">
        <v>44595</v>
      </c>
      <c r="Z1790" s="17" t="s">
        <v>772</v>
      </c>
      <c r="AA1790" s="210">
        <v>48500</v>
      </c>
      <c r="AB1790" s="9">
        <v>61</v>
      </c>
      <c r="AC1790" s="9">
        <v>26</v>
      </c>
      <c r="AD1790" s="17">
        <v>45387</v>
      </c>
      <c r="AE1790" s="56">
        <v>725</v>
      </c>
      <c r="AF1790" s="56"/>
      <c r="AP1790" s="11"/>
      <c r="AQ1790" s="11"/>
      <c r="AR1790" s="11"/>
      <c r="AW1790" s="9"/>
      <c r="BD1790" s="9"/>
      <c r="CS1790" s="11">
        <f t="shared" si="128"/>
        <v>0</v>
      </c>
      <c r="CT1790" s="22">
        <f t="shared" si="129"/>
        <v>0</v>
      </c>
      <c r="CU1790" s="22">
        <f t="shared" si="130"/>
        <v>0</v>
      </c>
      <c r="CV1790" s="26">
        <f t="shared" si="127"/>
        <v>725</v>
      </c>
    </row>
    <row r="1791" spans="1:100" x14ac:dyDescent="0.2">
      <c r="A1791" s="9" t="s">
        <v>448</v>
      </c>
      <c r="B1791" s="2">
        <v>139</v>
      </c>
      <c r="C1791" s="3" t="s">
        <v>95</v>
      </c>
      <c r="D1791" s="3" t="s">
        <v>96</v>
      </c>
      <c r="E1791" s="2"/>
      <c r="F1791" s="2"/>
      <c r="G1791" s="2" t="s">
        <v>84</v>
      </c>
      <c r="H1791" s="2">
        <v>2</v>
      </c>
      <c r="I1791" s="8">
        <v>123.71</v>
      </c>
      <c r="J1791" s="8">
        <v>54982</v>
      </c>
      <c r="K1791" s="3">
        <v>0</v>
      </c>
      <c r="L1791" s="3" t="s">
        <v>3</v>
      </c>
      <c r="M1791" s="9" t="s">
        <v>0</v>
      </c>
      <c r="N1791" s="9" t="s">
        <v>38</v>
      </c>
      <c r="O1791" s="9" t="s">
        <v>449</v>
      </c>
      <c r="S1791" s="9" t="s">
        <v>158</v>
      </c>
      <c r="T1791" s="10" t="s">
        <v>72</v>
      </c>
      <c r="U1791" s="10">
        <v>12</v>
      </c>
      <c r="V1791" s="10">
        <v>120.12</v>
      </c>
      <c r="W1791" s="10"/>
      <c r="X1791" s="17">
        <v>44591</v>
      </c>
      <c r="Y1791" s="17">
        <v>44595</v>
      </c>
      <c r="Z1791" s="17" t="s">
        <v>772</v>
      </c>
      <c r="AA1791" s="210">
        <v>48500</v>
      </c>
      <c r="AB1791" s="9">
        <v>61</v>
      </c>
      <c r="AC1791" s="9">
        <v>27</v>
      </c>
      <c r="AD1791" s="17">
        <v>45417</v>
      </c>
      <c r="AE1791" s="56">
        <v>725</v>
      </c>
      <c r="AF1791" s="56"/>
      <c r="AP1791" s="11"/>
      <c r="AQ1791" s="11"/>
      <c r="AR1791" s="11"/>
      <c r="AW1791" s="9"/>
      <c r="BD1791" s="9"/>
      <c r="CS1791" s="11">
        <f t="shared" si="128"/>
        <v>0</v>
      </c>
      <c r="CT1791" s="22">
        <f t="shared" si="129"/>
        <v>0</v>
      </c>
      <c r="CU1791" s="22">
        <f t="shared" si="130"/>
        <v>0</v>
      </c>
      <c r="CV1791" s="26">
        <f t="shared" si="127"/>
        <v>725</v>
      </c>
    </row>
    <row r="1792" spans="1:100" x14ac:dyDescent="0.2">
      <c r="A1792" s="9" t="s">
        <v>448</v>
      </c>
      <c r="B1792" s="2">
        <v>139</v>
      </c>
      <c r="C1792" s="3" t="s">
        <v>95</v>
      </c>
      <c r="D1792" s="3" t="s">
        <v>96</v>
      </c>
      <c r="E1792" s="2"/>
      <c r="F1792" s="2"/>
      <c r="G1792" s="2" t="s">
        <v>84</v>
      </c>
      <c r="H1792" s="2">
        <v>2</v>
      </c>
      <c r="I1792" s="8">
        <v>123.71</v>
      </c>
      <c r="J1792" s="8">
        <v>54982</v>
      </c>
      <c r="K1792" s="3">
        <v>0</v>
      </c>
      <c r="L1792" s="3" t="s">
        <v>3</v>
      </c>
      <c r="M1792" s="9" t="s">
        <v>0</v>
      </c>
      <c r="N1792" s="9" t="s">
        <v>38</v>
      </c>
      <c r="O1792" s="9" t="s">
        <v>449</v>
      </c>
      <c r="S1792" s="9" t="s">
        <v>158</v>
      </c>
      <c r="T1792" s="10" t="s">
        <v>72</v>
      </c>
      <c r="U1792" s="10">
        <v>12</v>
      </c>
      <c r="V1792" s="10">
        <v>120.12</v>
      </c>
      <c r="W1792" s="10"/>
      <c r="X1792" s="17">
        <v>44591</v>
      </c>
      <c r="Y1792" s="17">
        <v>44595</v>
      </c>
      <c r="Z1792" s="17" t="s">
        <v>772</v>
      </c>
      <c r="AA1792" s="210">
        <v>48500</v>
      </c>
      <c r="AB1792" s="9">
        <v>61</v>
      </c>
      <c r="AC1792" s="9">
        <v>28</v>
      </c>
      <c r="AD1792" s="17">
        <v>45448</v>
      </c>
      <c r="AE1792" s="56">
        <v>725</v>
      </c>
      <c r="AF1792" s="56"/>
      <c r="AP1792" s="11"/>
      <c r="AQ1792" s="11"/>
      <c r="AR1792" s="11"/>
      <c r="AW1792" s="9"/>
      <c r="BD1792" s="9"/>
      <c r="CS1792" s="11">
        <f t="shared" si="128"/>
        <v>0</v>
      </c>
      <c r="CT1792" s="22">
        <f t="shared" si="129"/>
        <v>0</v>
      </c>
      <c r="CU1792" s="22">
        <f t="shared" si="130"/>
        <v>0</v>
      </c>
      <c r="CV1792" s="26">
        <f t="shared" si="127"/>
        <v>725</v>
      </c>
    </row>
    <row r="1793" spans="1:100" x14ac:dyDescent="0.2">
      <c r="A1793" s="9" t="s">
        <v>448</v>
      </c>
      <c r="B1793" s="2">
        <v>139</v>
      </c>
      <c r="C1793" s="3" t="s">
        <v>95</v>
      </c>
      <c r="D1793" s="3" t="s">
        <v>96</v>
      </c>
      <c r="E1793" s="2"/>
      <c r="F1793" s="2"/>
      <c r="G1793" s="2" t="s">
        <v>84</v>
      </c>
      <c r="H1793" s="2">
        <v>2</v>
      </c>
      <c r="I1793" s="8">
        <v>123.71</v>
      </c>
      <c r="J1793" s="8">
        <v>54982</v>
      </c>
      <c r="K1793" s="3">
        <v>0</v>
      </c>
      <c r="L1793" s="3" t="s">
        <v>3</v>
      </c>
      <c r="M1793" s="9" t="s">
        <v>0</v>
      </c>
      <c r="N1793" s="9" t="s">
        <v>38</v>
      </c>
      <c r="O1793" s="9" t="s">
        <v>449</v>
      </c>
      <c r="S1793" s="9" t="s">
        <v>158</v>
      </c>
      <c r="T1793" s="10" t="s">
        <v>72</v>
      </c>
      <c r="U1793" s="10">
        <v>12</v>
      </c>
      <c r="V1793" s="10">
        <v>120.12</v>
      </c>
      <c r="W1793" s="10"/>
      <c r="X1793" s="17">
        <v>44591</v>
      </c>
      <c r="Y1793" s="17">
        <v>44595</v>
      </c>
      <c r="Z1793" s="17" t="s">
        <v>772</v>
      </c>
      <c r="AA1793" s="210">
        <v>48500</v>
      </c>
      <c r="AB1793" s="9">
        <v>61</v>
      </c>
      <c r="AC1793" s="9">
        <v>29</v>
      </c>
      <c r="AD1793" s="17">
        <v>45478</v>
      </c>
      <c r="AE1793" s="56">
        <v>725</v>
      </c>
      <c r="AF1793" s="56"/>
      <c r="AP1793" s="11"/>
      <c r="AQ1793" s="11"/>
      <c r="AR1793" s="11"/>
      <c r="AW1793" s="9"/>
      <c r="BD1793" s="9"/>
      <c r="CS1793" s="11">
        <f t="shared" si="128"/>
        <v>0</v>
      </c>
      <c r="CT1793" s="22">
        <f t="shared" si="129"/>
        <v>0</v>
      </c>
      <c r="CU1793" s="22">
        <f t="shared" si="130"/>
        <v>0</v>
      </c>
      <c r="CV1793" s="26">
        <f t="shared" si="127"/>
        <v>725</v>
      </c>
    </row>
    <row r="1794" spans="1:100" x14ac:dyDescent="0.2">
      <c r="A1794" s="9" t="s">
        <v>448</v>
      </c>
      <c r="B1794" s="2">
        <v>139</v>
      </c>
      <c r="C1794" s="3" t="s">
        <v>95</v>
      </c>
      <c r="D1794" s="3" t="s">
        <v>96</v>
      </c>
      <c r="E1794" s="2"/>
      <c r="F1794" s="2"/>
      <c r="G1794" s="2" t="s">
        <v>84</v>
      </c>
      <c r="H1794" s="2">
        <v>2</v>
      </c>
      <c r="I1794" s="8">
        <v>123.71</v>
      </c>
      <c r="J1794" s="8">
        <v>54982</v>
      </c>
      <c r="K1794" s="3">
        <v>0</v>
      </c>
      <c r="L1794" s="3" t="s">
        <v>3</v>
      </c>
      <c r="M1794" s="9" t="s">
        <v>0</v>
      </c>
      <c r="N1794" s="9" t="s">
        <v>38</v>
      </c>
      <c r="O1794" s="9" t="s">
        <v>449</v>
      </c>
      <c r="S1794" s="9" t="s">
        <v>158</v>
      </c>
      <c r="T1794" s="10" t="s">
        <v>72</v>
      </c>
      <c r="U1794" s="10">
        <v>12</v>
      </c>
      <c r="V1794" s="10">
        <v>120.12</v>
      </c>
      <c r="W1794" s="10"/>
      <c r="X1794" s="17">
        <v>44591</v>
      </c>
      <c r="Y1794" s="17">
        <v>44595</v>
      </c>
      <c r="Z1794" s="17" t="s">
        <v>772</v>
      </c>
      <c r="AA1794" s="210">
        <v>48500</v>
      </c>
      <c r="AB1794" s="9">
        <v>61</v>
      </c>
      <c r="AC1794" s="9">
        <v>30</v>
      </c>
      <c r="AD1794" s="17">
        <v>45509</v>
      </c>
      <c r="AE1794" s="56">
        <v>725</v>
      </c>
      <c r="AF1794" s="56"/>
      <c r="AP1794" s="11"/>
      <c r="AQ1794" s="11"/>
      <c r="AR1794" s="11"/>
      <c r="AW1794" s="9"/>
      <c r="BD1794" s="9"/>
      <c r="CS1794" s="11">
        <f t="shared" si="128"/>
        <v>0</v>
      </c>
      <c r="CT1794" s="22">
        <f t="shared" si="129"/>
        <v>0</v>
      </c>
      <c r="CU1794" s="22">
        <f t="shared" si="130"/>
        <v>0</v>
      </c>
      <c r="CV1794" s="26">
        <f t="shared" si="127"/>
        <v>725</v>
      </c>
    </row>
    <row r="1795" spans="1:100" x14ac:dyDescent="0.2">
      <c r="A1795" s="9" t="s">
        <v>448</v>
      </c>
      <c r="B1795" s="2">
        <v>139</v>
      </c>
      <c r="C1795" s="3" t="s">
        <v>95</v>
      </c>
      <c r="D1795" s="3" t="s">
        <v>96</v>
      </c>
      <c r="E1795" s="2"/>
      <c r="F1795" s="2"/>
      <c r="G1795" s="2" t="s">
        <v>84</v>
      </c>
      <c r="H1795" s="2">
        <v>2</v>
      </c>
      <c r="I1795" s="8">
        <v>123.71</v>
      </c>
      <c r="J1795" s="8">
        <v>54982</v>
      </c>
      <c r="K1795" s="3">
        <v>0</v>
      </c>
      <c r="L1795" s="3" t="s">
        <v>3</v>
      </c>
      <c r="M1795" s="9" t="s">
        <v>0</v>
      </c>
      <c r="N1795" s="9" t="s">
        <v>38</v>
      </c>
      <c r="O1795" s="9" t="s">
        <v>449</v>
      </c>
      <c r="S1795" s="9" t="s">
        <v>158</v>
      </c>
      <c r="T1795" s="10" t="s">
        <v>72</v>
      </c>
      <c r="U1795" s="10">
        <v>12</v>
      </c>
      <c r="V1795" s="10">
        <v>120.12</v>
      </c>
      <c r="W1795" s="10"/>
      <c r="X1795" s="17">
        <v>44591</v>
      </c>
      <c r="Y1795" s="17">
        <v>44595</v>
      </c>
      <c r="Z1795" s="17" t="s">
        <v>772</v>
      </c>
      <c r="AA1795" s="210">
        <v>48500</v>
      </c>
      <c r="AB1795" s="9">
        <v>61</v>
      </c>
      <c r="AC1795" s="9">
        <v>31</v>
      </c>
      <c r="AD1795" s="17">
        <v>45540</v>
      </c>
      <c r="AE1795" s="56">
        <v>725</v>
      </c>
      <c r="AF1795" s="56"/>
      <c r="AP1795" s="11"/>
      <c r="AQ1795" s="11"/>
      <c r="AR1795" s="11"/>
      <c r="AW1795" s="9"/>
      <c r="BD1795" s="9"/>
      <c r="CS1795" s="11">
        <f t="shared" si="128"/>
        <v>0</v>
      </c>
      <c r="CT1795" s="22">
        <f t="shared" si="129"/>
        <v>0</v>
      </c>
      <c r="CU1795" s="22">
        <f t="shared" si="130"/>
        <v>0</v>
      </c>
      <c r="CV1795" s="26">
        <f t="shared" si="127"/>
        <v>725</v>
      </c>
    </row>
    <row r="1796" spans="1:100" x14ac:dyDescent="0.2">
      <c r="A1796" s="9" t="s">
        <v>448</v>
      </c>
      <c r="B1796" s="2">
        <v>139</v>
      </c>
      <c r="C1796" s="3" t="s">
        <v>95</v>
      </c>
      <c r="D1796" s="3" t="s">
        <v>96</v>
      </c>
      <c r="E1796" s="2"/>
      <c r="F1796" s="2"/>
      <c r="G1796" s="2" t="s">
        <v>84</v>
      </c>
      <c r="H1796" s="2">
        <v>2</v>
      </c>
      <c r="I1796" s="8">
        <v>123.71</v>
      </c>
      <c r="J1796" s="8">
        <v>54982</v>
      </c>
      <c r="K1796" s="3">
        <v>0</v>
      </c>
      <c r="L1796" s="3" t="s">
        <v>3</v>
      </c>
      <c r="M1796" s="9" t="s">
        <v>0</v>
      </c>
      <c r="N1796" s="9" t="s">
        <v>38</v>
      </c>
      <c r="O1796" s="9" t="s">
        <v>449</v>
      </c>
      <c r="S1796" s="9" t="s">
        <v>158</v>
      </c>
      <c r="T1796" s="10" t="s">
        <v>72</v>
      </c>
      <c r="U1796" s="10">
        <v>12</v>
      </c>
      <c r="V1796" s="10">
        <v>120.12</v>
      </c>
      <c r="W1796" s="10"/>
      <c r="X1796" s="17">
        <v>44591</v>
      </c>
      <c r="Y1796" s="17">
        <v>44595</v>
      </c>
      <c r="Z1796" s="17" t="s">
        <v>772</v>
      </c>
      <c r="AA1796" s="210">
        <v>48500</v>
      </c>
      <c r="AB1796" s="9">
        <v>61</v>
      </c>
      <c r="AC1796" s="9">
        <v>32</v>
      </c>
      <c r="AD1796" s="17">
        <v>45570</v>
      </c>
      <c r="AE1796" s="56">
        <v>725</v>
      </c>
      <c r="AF1796" s="56"/>
      <c r="AP1796" s="11"/>
      <c r="AQ1796" s="11"/>
      <c r="AR1796" s="11"/>
      <c r="AW1796" s="9"/>
      <c r="BD1796" s="9"/>
      <c r="CS1796" s="11">
        <f t="shared" si="128"/>
        <v>0</v>
      </c>
      <c r="CT1796" s="22">
        <f t="shared" si="129"/>
        <v>0</v>
      </c>
      <c r="CU1796" s="22">
        <f t="shared" si="130"/>
        <v>0</v>
      </c>
      <c r="CV1796" s="26">
        <f t="shared" si="127"/>
        <v>725</v>
      </c>
    </row>
    <row r="1797" spans="1:100" x14ac:dyDescent="0.2">
      <c r="A1797" s="9" t="s">
        <v>448</v>
      </c>
      <c r="B1797" s="2">
        <v>139</v>
      </c>
      <c r="C1797" s="3" t="s">
        <v>95</v>
      </c>
      <c r="D1797" s="3" t="s">
        <v>96</v>
      </c>
      <c r="E1797" s="2"/>
      <c r="F1797" s="2"/>
      <c r="G1797" s="2" t="s">
        <v>84</v>
      </c>
      <c r="H1797" s="2">
        <v>2</v>
      </c>
      <c r="I1797" s="8">
        <v>123.71</v>
      </c>
      <c r="J1797" s="8">
        <v>54982</v>
      </c>
      <c r="K1797" s="3">
        <v>0</v>
      </c>
      <c r="L1797" s="3" t="s">
        <v>3</v>
      </c>
      <c r="M1797" s="9" t="s">
        <v>0</v>
      </c>
      <c r="N1797" s="9" t="s">
        <v>38</v>
      </c>
      <c r="O1797" s="9" t="s">
        <v>449</v>
      </c>
      <c r="S1797" s="9" t="s">
        <v>158</v>
      </c>
      <c r="T1797" s="10" t="s">
        <v>72</v>
      </c>
      <c r="U1797" s="10">
        <v>12</v>
      </c>
      <c r="V1797" s="10">
        <v>120.12</v>
      </c>
      <c r="W1797" s="10"/>
      <c r="X1797" s="17">
        <v>44591</v>
      </c>
      <c r="Y1797" s="17">
        <v>44595</v>
      </c>
      <c r="Z1797" s="17" t="s">
        <v>772</v>
      </c>
      <c r="AA1797" s="210">
        <v>48500</v>
      </c>
      <c r="AB1797" s="9">
        <v>61</v>
      </c>
      <c r="AC1797" s="9">
        <v>33</v>
      </c>
      <c r="AD1797" s="17">
        <v>45601</v>
      </c>
      <c r="AE1797" s="56">
        <v>725</v>
      </c>
      <c r="AF1797" s="56"/>
      <c r="AP1797" s="11"/>
      <c r="AQ1797" s="11"/>
      <c r="AR1797" s="11"/>
      <c r="AW1797" s="9"/>
      <c r="BD1797" s="9"/>
      <c r="CS1797" s="11">
        <f t="shared" si="128"/>
        <v>0</v>
      </c>
      <c r="CT1797" s="22">
        <f t="shared" si="129"/>
        <v>0</v>
      </c>
      <c r="CU1797" s="22">
        <f t="shared" si="130"/>
        <v>0</v>
      </c>
      <c r="CV1797" s="26">
        <f t="shared" si="127"/>
        <v>725</v>
      </c>
    </row>
    <row r="1798" spans="1:100" x14ac:dyDescent="0.2">
      <c r="A1798" s="9" t="s">
        <v>448</v>
      </c>
      <c r="B1798" s="2">
        <v>139</v>
      </c>
      <c r="C1798" s="3" t="s">
        <v>95</v>
      </c>
      <c r="D1798" s="3" t="s">
        <v>96</v>
      </c>
      <c r="E1798" s="2"/>
      <c r="F1798" s="2"/>
      <c r="G1798" s="2" t="s">
        <v>84</v>
      </c>
      <c r="H1798" s="2">
        <v>2</v>
      </c>
      <c r="I1798" s="8">
        <v>123.71</v>
      </c>
      <c r="J1798" s="8">
        <v>54982</v>
      </c>
      <c r="K1798" s="3">
        <v>0</v>
      </c>
      <c r="L1798" s="3" t="s">
        <v>3</v>
      </c>
      <c r="M1798" s="9" t="s">
        <v>0</v>
      </c>
      <c r="N1798" s="9" t="s">
        <v>38</v>
      </c>
      <c r="O1798" s="9" t="s">
        <v>449</v>
      </c>
      <c r="S1798" s="9" t="s">
        <v>158</v>
      </c>
      <c r="T1798" s="10" t="s">
        <v>72</v>
      </c>
      <c r="U1798" s="10">
        <v>12</v>
      </c>
      <c r="V1798" s="10">
        <v>120.12</v>
      </c>
      <c r="W1798" s="10"/>
      <c r="X1798" s="17">
        <v>44591</v>
      </c>
      <c r="Y1798" s="17">
        <v>44595</v>
      </c>
      <c r="Z1798" s="17" t="s">
        <v>772</v>
      </c>
      <c r="AA1798" s="210">
        <v>48500</v>
      </c>
      <c r="AB1798" s="9">
        <v>61</v>
      </c>
      <c r="AC1798" s="9">
        <v>34</v>
      </c>
      <c r="AD1798" s="17">
        <v>45631</v>
      </c>
      <c r="AE1798" s="56">
        <v>725</v>
      </c>
      <c r="AF1798" s="56"/>
      <c r="AP1798" s="11"/>
      <c r="AQ1798" s="11"/>
      <c r="AR1798" s="11"/>
      <c r="AW1798" s="9"/>
      <c r="BD1798" s="9"/>
      <c r="CS1798" s="11">
        <f t="shared" si="128"/>
        <v>0</v>
      </c>
      <c r="CT1798" s="22">
        <f t="shared" si="129"/>
        <v>0</v>
      </c>
      <c r="CU1798" s="22">
        <f t="shared" si="130"/>
        <v>0</v>
      </c>
      <c r="CV1798" s="26">
        <f t="shared" si="127"/>
        <v>725</v>
      </c>
    </row>
    <row r="1799" spans="1:100" x14ac:dyDescent="0.2">
      <c r="A1799" s="9" t="s">
        <v>448</v>
      </c>
      <c r="B1799" s="2">
        <v>139</v>
      </c>
      <c r="C1799" s="3" t="s">
        <v>95</v>
      </c>
      <c r="D1799" s="3" t="s">
        <v>96</v>
      </c>
      <c r="E1799" s="2"/>
      <c r="F1799" s="2"/>
      <c r="G1799" s="2" t="s">
        <v>84</v>
      </c>
      <c r="H1799" s="2">
        <v>2</v>
      </c>
      <c r="I1799" s="8">
        <v>123.71</v>
      </c>
      <c r="J1799" s="8">
        <v>54982</v>
      </c>
      <c r="K1799" s="3">
        <v>0</v>
      </c>
      <c r="L1799" s="3" t="s">
        <v>3</v>
      </c>
      <c r="M1799" s="9" t="s">
        <v>0</v>
      </c>
      <c r="N1799" s="9" t="s">
        <v>38</v>
      </c>
      <c r="O1799" s="9" t="s">
        <v>449</v>
      </c>
      <c r="S1799" s="9" t="s">
        <v>158</v>
      </c>
      <c r="T1799" s="10" t="s">
        <v>72</v>
      </c>
      <c r="U1799" s="10">
        <v>12</v>
      </c>
      <c r="V1799" s="10">
        <v>120.12</v>
      </c>
      <c r="W1799" s="10"/>
      <c r="X1799" s="17">
        <v>44591</v>
      </c>
      <c r="Y1799" s="17">
        <v>44595</v>
      </c>
      <c r="Z1799" s="17" t="s">
        <v>772</v>
      </c>
      <c r="AA1799" s="210">
        <v>48500</v>
      </c>
      <c r="AB1799" s="9">
        <v>61</v>
      </c>
      <c r="AC1799" s="9">
        <v>35</v>
      </c>
      <c r="AD1799" s="17">
        <v>45662</v>
      </c>
      <c r="AE1799" s="56">
        <v>725</v>
      </c>
      <c r="AF1799" s="56"/>
      <c r="AP1799" s="11"/>
      <c r="AQ1799" s="11"/>
      <c r="AR1799" s="11"/>
      <c r="AW1799" s="9"/>
      <c r="BD1799" s="9"/>
      <c r="CS1799" s="11">
        <f t="shared" si="128"/>
        <v>0</v>
      </c>
      <c r="CT1799" s="22">
        <f t="shared" si="129"/>
        <v>0</v>
      </c>
      <c r="CU1799" s="22">
        <f t="shared" si="130"/>
        <v>0</v>
      </c>
      <c r="CV1799" s="26">
        <f t="shared" si="127"/>
        <v>725</v>
      </c>
    </row>
    <row r="1800" spans="1:100" x14ac:dyDescent="0.2">
      <c r="A1800" s="9" t="s">
        <v>448</v>
      </c>
      <c r="B1800" s="2">
        <v>139</v>
      </c>
      <c r="C1800" s="3" t="s">
        <v>95</v>
      </c>
      <c r="D1800" s="3" t="s">
        <v>96</v>
      </c>
      <c r="E1800" s="2"/>
      <c r="F1800" s="2"/>
      <c r="G1800" s="2" t="s">
        <v>84</v>
      </c>
      <c r="H1800" s="2">
        <v>2</v>
      </c>
      <c r="I1800" s="8">
        <v>123.71</v>
      </c>
      <c r="J1800" s="8">
        <v>54982</v>
      </c>
      <c r="K1800" s="3">
        <v>0</v>
      </c>
      <c r="L1800" s="3" t="s">
        <v>3</v>
      </c>
      <c r="M1800" s="9" t="s">
        <v>0</v>
      </c>
      <c r="N1800" s="9" t="s">
        <v>38</v>
      </c>
      <c r="O1800" s="9" t="s">
        <v>449</v>
      </c>
      <c r="S1800" s="9" t="s">
        <v>158</v>
      </c>
      <c r="T1800" s="10" t="s">
        <v>72</v>
      </c>
      <c r="U1800" s="10">
        <v>12</v>
      </c>
      <c r="V1800" s="10">
        <v>120.12</v>
      </c>
      <c r="W1800" s="10"/>
      <c r="X1800" s="17">
        <v>44591</v>
      </c>
      <c r="Y1800" s="17">
        <v>44595</v>
      </c>
      <c r="Z1800" s="17" t="s">
        <v>772</v>
      </c>
      <c r="AA1800" s="210">
        <v>48500</v>
      </c>
      <c r="AB1800" s="9">
        <v>61</v>
      </c>
      <c r="AC1800" s="9">
        <v>36</v>
      </c>
      <c r="AD1800" s="17">
        <v>45693</v>
      </c>
      <c r="AE1800" s="56">
        <v>725</v>
      </c>
      <c r="AF1800" s="56"/>
      <c r="AP1800" s="11"/>
      <c r="AQ1800" s="11"/>
      <c r="AR1800" s="11"/>
      <c r="AW1800" s="9"/>
      <c r="BD1800" s="9"/>
      <c r="CS1800" s="11">
        <f t="shared" si="128"/>
        <v>0</v>
      </c>
      <c r="CT1800" s="22">
        <f t="shared" si="129"/>
        <v>0</v>
      </c>
      <c r="CU1800" s="22">
        <f t="shared" si="130"/>
        <v>0</v>
      </c>
      <c r="CV1800" s="26">
        <f t="shared" si="127"/>
        <v>725</v>
      </c>
    </row>
    <row r="1801" spans="1:100" x14ac:dyDescent="0.2">
      <c r="A1801" s="9" t="s">
        <v>448</v>
      </c>
      <c r="B1801" s="2">
        <v>139</v>
      </c>
      <c r="C1801" s="3" t="s">
        <v>95</v>
      </c>
      <c r="D1801" s="3" t="s">
        <v>96</v>
      </c>
      <c r="E1801" s="2"/>
      <c r="F1801" s="2"/>
      <c r="G1801" s="2" t="s">
        <v>84</v>
      </c>
      <c r="H1801" s="2">
        <v>2</v>
      </c>
      <c r="I1801" s="8">
        <v>123.71</v>
      </c>
      <c r="J1801" s="8">
        <v>54982</v>
      </c>
      <c r="K1801" s="3">
        <v>0</v>
      </c>
      <c r="L1801" s="3" t="s">
        <v>3</v>
      </c>
      <c r="M1801" s="9" t="s">
        <v>0</v>
      </c>
      <c r="N1801" s="9" t="s">
        <v>38</v>
      </c>
      <c r="O1801" s="9" t="s">
        <v>449</v>
      </c>
      <c r="S1801" s="9" t="s">
        <v>158</v>
      </c>
      <c r="T1801" s="10" t="s">
        <v>72</v>
      </c>
      <c r="U1801" s="10">
        <v>12</v>
      </c>
      <c r="V1801" s="10">
        <v>120.12</v>
      </c>
      <c r="W1801" s="10"/>
      <c r="X1801" s="17">
        <v>44591</v>
      </c>
      <c r="Y1801" s="17">
        <v>44595</v>
      </c>
      <c r="Z1801" s="17" t="s">
        <v>772</v>
      </c>
      <c r="AA1801" s="210">
        <v>48500</v>
      </c>
      <c r="AB1801" s="9">
        <v>61</v>
      </c>
      <c r="AC1801" s="9">
        <v>37</v>
      </c>
      <c r="AD1801" s="17">
        <v>45721</v>
      </c>
      <c r="AE1801" s="56">
        <v>725</v>
      </c>
      <c r="AF1801" s="56"/>
      <c r="AP1801" s="11"/>
      <c r="AQ1801" s="11"/>
      <c r="AR1801" s="11"/>
      <c r="AW1801" s="9"/>
      <c r="BD1801" s="9"/>
      <c r="CS1801" s="11">
        <f t="shared" si="128"/>
        <v>0</v>
      </c>
      <c r="CT1801" s="22">
        <f t="shared" si="129"/>
        <v>0</v>
      </c>
      <c r="CU1801" s="22">
        <f t="shared" si="130"/>
        <v>0</v>
      </c>
      <c r="CV1801" s="26">
        <f t="shared" si="127"/>
        <v>725</v>
      </c>
    </row>
    <row r="1802" spans="1:100" x14ac:dyDescent="0.2">
      <c r="A1802" s="9" t="s">
        <v>448</v>
      </c>
      <c r="B1802" s="2">
        <v>139</v>
      </c>
      <c r="C1802" s="3" t="s">
        <v>95</v>
      </c>
      <c r="D1802" s="3" t="s">
        <v>96</v>
      </c>
      <c r="E1802" s="2"/>
      <c r="F1802" s="2"/>
      <c r="G1802" s="2" t="s">
        <v>84</v>
      </c>
      <c r="H1802" s="2">
        <v>2</v>
      </c>
      <c r="I1802" s="8">
        <v>123.71</v>
      </c>
      <c r="J1802" s="8">
        <v>54982</v>
      </c>
      <c r="K1802" s="3">
        <v>0</v>
      </c>
      <c r="L1802" s="3" t="s">
        <v>3</v>
      </c>
      <c r="M1802" s="9" t="s">
        <v>0</v>
      </c>
      <c r="N1802" s="9" t="s">
        <v>38</v>
      </c>
      <c r="O1802" s="9" t="s">
        <v>449</v>
      </c>
      <c r="S1802" s="9" t="s">
        <v>158</v>
      </c>
      <c r="T1802" s="10" t="s">
        <v>72</v>
      </c>
      <c r="U1802" s="10">
        <v>12</v>
      </c>
      <c r="V1802" s="10">
        <v>120.12</v>
      </c>
      <c r="W1802" s="10"/>
      <c r="X1802" s="17">
        <v>44591</v>
      </c>
      <c r="Y1802" s="17">
        <v>44595</v>
      </c>
      <c r="Z1802" s="17" t="s">
        <v>772</v>
      </c>
      <c r="AA1802" s="210">
        <v>48500</v>
      </c>
      <c r="AB1802" s="9">
        <v>61</v>
      </c>
      <c r="AC1802" s="9">
        <v>38</v>
      </c>
      <c r="AD1802" s="17">
        <v>45752</v>
      </c>
      <c r="AE1802" s="56">
        <v>725</v>
      </c>
      <c r="AF1802" s="56"/>
      <c r="AP1802" s="11"/>
      <c r="AQ1802" s="11"/>
      <c r="AR1802" s="11"/>
      <c r="AW1802" s="9"/>
      <c r="BD1802" s="9"/>
      <c r="CS1802" s="11">
        <f t="shared" si="128"/>
        <v>0</v>
      </c>
      <c r="CT1802" s="22">
        <f t="shared" si="129"/>
        <v>0</v>
      </c>
      <c r="CU1802" s="22">
        <f t="shared" si="130"/>
        <v>0</v>
      </c>
      <c r="CV1802" s="26">
        <f t="shared" si="127"/>
        <v>725</v>
      </c>
    </row>
    <row r="1803" spans="1:100" x14ac:dyDescent="0.2">
      <c r="A1803" s="9" t="s">
        <v>448</v>
      </c>
      <c r="B1803" s="2">
        <v>139</v>
      </c>
      <c r="C1803" s="3" t="s">
        <v>95</v>
      </c>
      <c r="D1803" s="3" t="s">
        <v>96</v>
      </c>
      <c r="E1803" s="2"/>
      <c r="F1803" s="2"/>
      <c r="G1803" s="2" t="s">
        <v>84</v>
      </c>
      <c r="H1803" s="2">
        <v>2</v>
      </c>
      <c r="I1803" s="8">
        <v>123.71</v>
      </c>
      <c r="J1803" s="8">
        <v>54982</v>
      </c>
      <c r="K1803" s="3">
        <v>0</v>
      </c>
      <c r="L1803" s="3" t="s">
        <v>3</v>
      </c>
      <c r="M1803" s="9" t="s">
        <v>0</v>
      </c>
      <c r="N1803" s="9" t="s">
        <v>38</v>
      </c>
      <c r="O1803" s="9" t="s">
        <v>449</v>
      </c>
      <c r="S1803" s="9" t="s">
        <v>158</v>
      </c>
      <c r="T1803" s="10" t="s">
        <v>72</v>
      </c>
      <c r="U1803" s="10">
        <v>12</v>
      </c>
      <c r="V1803" s="10">
        <v>120.12</v>
      </c>
      <c r="W1803" s="10"/>
      <c r="X1803" s="17">
        <v>44591</v>
      </c>
      <c r="Y1803" s="17">
        <v>44595</v>
      </c>
      <c r="Z1803" s="17" t="s">
        <v>772</v>
      </c>
      <c r="AA1803" s="210">
        <v>48500</v>
      </c>
      <c r="AB1803" s="9">
        <v>61</v>
      </c>
      <c r="AC1803" s="9">
        <v>39</v>
      </c>
      <c r="AD1803" s="17">
        <v>45782</v>
      </c>
      <c r="AE1803" s="56">
        <v>725</v>
      </c>
      <c r="AF1803" s="56"/>
      <c r="AP1803" s="11"/>
      <c r="AQ1803" s="11"/>
      <c r="AR1803" s="11"/>
      <c r="AW1803" s="9"/>
      <c r="BD1803" s="9"/>
      <c r="CS1803" s="11">
        <f t="shared" si="128"/>
        <v>0</v>
      </c>
      <c r="CT1803" s="22">
        <f t="shared" si="129"/>
        <v>0</v>
      </c>
      <c r="CU1803" s="22">
        <f t="shared" si="130"/>
        <v>0</v>
      </c>
      <c r="CV1803" s="26">
        <f t="shared" si="127"/>
        <v>725</v>
      </c>
    </row>
    <row r="1804" spans="1:100" x14ac:dyDescent="0.2">
      <c r="A1804" s="9" t="s">
        <v>448</v>
      </c>
      <c r="B1804" s="2">
        <v>139</v>
      </c>
      <c r="C1804" s="3" t="s">
        <v>95</v>
      </c>
      <c r="D1804" s="3" t="s">
        <v>96</v>
      </c>
      <c r="E1804" s="2"/>
      <c r="F1804" s="2"/>
      <c r="G1804" s="2" t="s">
        <v>84</v>
      </c>
      <c r="H1804" s="2">
        <v>2</v>
      </c>
      <c r="I1804" s="8">
        <v>123.71</v>
      </c>
      <c r="J1804" s="8">
        <v>54982</v>
      </c>
      <c r="K1804" s="3">
        <v>0</v>
      </c>
      <c r="L1804" s="3" t="s">
        <v>3</v>
      </c>
      <c r="M1804" s="9" t="s">
        <v>0</v>
      </c>
      <c r="N1804" s="9" t="s">
        <v>38</v>
      </c>
      <c r="O1804" s="9" t="s">
        <v>449</v>
      </c>
      <c r="S1804" s="9" t="s">
        <v>158</v>
      </c>
      <c r="T1804" s="10" t="s">
        <v>72</v>
      </c>
      <c r="U1804" s="10">
        <v>12</v>
      </c>
      <c r="V1804" s="10">
        <v>120.12</v>
      </c>
      <c r="W1804" s="10"/>
      <c r="X1804" s="17">
        <v>44591</v>
      </c>
      <c r="Y1804" s="17">
        <v>44595</v>
      </c>
      <c r="Z1804" s="17" t="s">
        <v>772</v>
      </c>
      <c r="AA1804" s="210">
        <v>48500</v>
      </c>
      <c r="AB1804" s="9">
        <v>61</v>
      </c>
      <c r="AC1804" s="9">
        <v>40</v>
      </c>
      <c r="AD1804" s="17">
        <v>45813</v>
      </c>
      <c r="AE1804" s="56">
        <v>725</v>
      </c>
      <c r="AF1804" s="56"/>
      <c r="AP1804" s="11"/>
      <c r="AQ1804" s="11"/>
      <c r="AR1804" s="11"/>
      <c r="AW1804" s="9"/>
      <c r="BD1804" s="9"/>
      <c r="CS1804" s="11">
        <f t="shared" si="128"/>
        <v>0</v>
      </c>
      <c r="CT1804" s="22">
        <f t="shared" si="129"/>
        <v>0</v>
      </c>
      <c r="CU1804" s="22">
        <f t="shared" si="130"/>
        <v>0</v>
      </c>
      <c r="CV1804" s="26">
        <f t="shared" si="127"/>
        <v>725</v>
      </c>
    </row>
    <row r="1805" spans="1:100" x14ac:dyDescent="0.2">
      <c r="A1805" s="9" t="s">
        <v>448</v>
      </c>
      <c r="B1805" s="2">
        <v>139</v>
      </c>
      <c r="C1805" s="3" t="s">
        <v>95</v>
      </c>
      <c r="D1805" s="3" t="s">
        <v>96</v>
      </c>
      <c r="E1805" s="2"/>
      <c r="F1805" s="2"/>
      <c r="G1805" s="2" t="s">
        <v>84</v>
      </c>
      <c r="H1805" s="2">
        <v>2</v>
      </c>
      <c r="I1805" s="8">
        <v>123.71</v>
      </c>
      <c r="J1805" s="8">
        <v>54982</v>
      </c>
      <c r="K1805" s="3">
        <v>0</v>
      </c>
      <c r="L1805" s="3" t="s">
        <v>3</v>
      </c>
      <c r="M1805" s="9" t="s">
        <v>0</v>
      </c>
      <c r="N1805" s="9" t="s">
        <v>38</v>
      </c>
      <c r="O1805" s="9" t="s">
        <v>449</v>
      </c>
      <c r="S1805" s="9" t="s">
        <v>158</v>
      </c>
      <c r="T1805" s="10" t="s">
        <v>72</v>
      </c>
      <c r="U1805" s="10">
        <v>12</v>
      </c>
      <c r="V1805" s="10">
        <v>120.12</v>
      </c>
      <c r="W1805" s="10"/>
      <c r="X1805" s="17">
        <v>44591</v>
      </c>
      <c r="Y1805" s="17">
        <v>44595</v>
      </c>
      <c r="Z1805" s="17" t="s">
        <v>772</v>
      </c>
      <c r="AA1805" s="210">
        <v>48500</v>
      </c>
      <c r="AB1805" s="9">
        <v>61</v>
      </c>
      <c r="AC1805" s="9">
        <v>41</v>
      </c>
      <c r="AD1805" s="17">
        <v>45843</v>
      </c>
      <c r="AE1805" s="56">
        <v>725</v>
      </c>
      <c r="AF1805" s="56"/>
      <c r="AP1805" s="11"/>
      <c r="AQ1805" s="11"/>
      <c r="AR1805" s="11"/>
      <c r="AW1805" s="9"/>
      <c r="BD1805" s="9"/>
      <c r="CS1805" s="11">
        <f t="shared" si="128"/>
        <v>0</v>
      </c>
      <c r="CT1805" s="22">
        <f t="shared" si="129"/>
        <v>0</v>
      </c>
      <c r="CU1805" s="22">
        <f t="shared" si="130"/>
        <v>0</v>
      </c>
      <c r="CV1805" s="26">
        <f t="shared" si="127"/>
        <v>725</v>
      </c>
    </row>
    <row r="1806" spans="1:100" x14ac:dyDescent="0.2">
      <c r="A1806" s="9" t="s">
        <v>448</v>
      </c>
      <c r="B1806" s="2">
        <v>139</v>
      </c>
      <c r="C1806" s="3" t="s">
        <v>95</v>
      </c>
      <c r="D1806" s="3" t="s">
        <v>96</v>
      </c>
      <c r="E1806" s="2"/>
      <c r="F1806" s="2"/>
      <c r="G1806" s="2" t="s">
        <v>84</v>
      </c>
      <c r="H1806" s="2">
        <v>2</v>
      </c>
      <c r="I1806" s="8">
        <v>123.71</v>
      </c>
      <c r="J1806" s="8">
        <v>54982</v>
      </c>
      <c r="K1806" s="3">
        <v>0</v>
      </c>
      <c r="L1806" s="3" t="s">
        <v>3</v>
      </c>
      <c r="M1806" s="9" t="s">
        <v>0</v>
      </c>
      <c r="N1806" s="9" t="s">
        <v>38</v>
      </c>
      <c r="O1806" s="9" t="s">
        <v>449</v>
      </c>
      <c r="S1806" s="9" t="s">
        <v>158</v>
      </c>
      <c r="T1806" s="10" t="s">
        <v>72</v>
      </c>
      <c r="U1806" s="10">
        <v>12</v>
      </c>
      <c r="V1806" s="10">
        <v>120.12</v>
      </c>
      <c r="W1806" s="10"/>
      <c r="X1806" s="17">
        <v>44591</v>
      </c>
      <c r="Y1806" s="17">
        <v>44595</v>
      </c>
      <c r="Z1806" s="17" t="s">
        <v>772</v>
      </c>
      <c r="AA1806" s="210">
        <v>48500</v>
      </c>
      <c r="AB1806" s="9">
        <v>61</v>
      </c>
      <c r="AC1806" s="9">
        <v>42</v>
      </c>
      <c r="AD1806" s="17">
        <v>45874</v>
      </c>
      <c r="AE1806" s="56">
        <v>725</v>
      </c>
      <c r="AF1806" s="56"/>
      <c r="AP1806" s="11"/>
      <c r="AQ1806" s="11"/>
      <c r="AR1806" s="11"/>
      <c r="AW1806" s="9"/>
      <c r="BD1806" s="9"/>
      <c r="CS1806" s="11">
        <f t="shared" si="128"/>
        <v>0</v>
      </c>
      <c r="CT1806" s="22">
        <f t="shared" si="129"/>
        <v>0</v>
      </c>
      <c r="CU1806" s="22">
        <f t="shared" si="130"/>
        <v>0</v>
      </c>
      <c r="CV1806" s="26">
        <f t="shared" si="127"/>
        <v>725</v>
      </c>
    </row>
    <row r="1807" spans="1:100" x14ac:dyDescent="0.2">
      <c r="A1807" s="9" t="s">
        <v>448</v>
      </c>
      <c r="B1807" s="2">
        <v>139</v>
      </c>
      <c r="C1807" s="3" t="s">
        <v>95</v>
      </c>
      <c r="D1807" s="3" t="s">
        <v>96</v>
      </c>
      <c r="E1807" s="2"/>
      <c r="F1807" s="2"/>
      <c r="G1807" s="2" t="s">
        <v>84</v>
      </c>
      <c r="H1807" s="2">
        <v>2</v>
      </c>
      <c r="I1807" s="8">
        <v>123.71</v>
      </c>
      <c r="J1807" s="8">
        <v>54982</v>
      </c>
      <c r="K1807" s="3">
        <v>0</v>
      </c>
      <c r="L1807" s="3" t="s">
        <v>3</v>
      </c>
      <c r="M1807" s="9" t="s">
        <v>0</v>
      </c>
      <c r="N1807" s="9" t="s">
        <v>38</v>
      </c>
      <c r="O1807" s="9" t="s">
        <v>449</v>
      </c>
      <c r="S1807" s="9" t="s">
        <v>158</v>
      </c>
      <c r="T1807" s="10" t="s">
        <v>72</v>
      </c>
      <c r="U1807" s="10">
        <v>12</v>
      </c>
      <c r="V1807" s="10">
        <v>120.12</v>
      </c>
      <c r="W1807" s="10"/>
      <c r="X1807" s="17">
        <v>44591</v>
      </c>
      <c r="Y1807" s="17">
        <v>44595</v>
      </c>
      <c r="Z1807" s="17" t="s">
        <v>772</v>
      </c>
      <c r="AA1807" s="210">
        <v>48500</v>
      </c>
      <c r="AB1807" s="9">
        <v>61</v>
      </c>
      <c r="AC1807" s="9">
        <v>43</v>
      </c>
      <c r="AD1807" s="17">
        <v>45905</v>
      </c>
      <c r="AE1807" s="56">
        <v>725</v>
      </c>
      <c r="AF1807" s="56"/>
      <c r="AP1807" s="11"/>
      <c r="AQ1807" s="11"/>
      <c r="AR1807" s="11"/>
      <c r="AW1807" s="9"/>
      <c r="BD1807" s="9"/>
      <c r="CS1807" s="11">
        <f t="shared" si="128"/>
        <v>0</v>
      </c>
      <c r="CT1807" s="22">
        <f t="shared" si="129"/>
        <v>0</v>
      </c>
      <c r="CU1807" s="22">
        <f t="shared" si="130"/>
        <v>0</v>
      </c>
      <c r="CV1807" s="26">
        <f t="shared" si="127"/>
        <v>725</v>
      </c>
    </row>
    <row r="1808" spans="1:100" x14ac:dyDescent="0.2">
      <c r="A1808" s="9" t="s">
        <v>448</v>
      </c>
      <c r="B1808" s="2">
        <v>139</v>
      </c>
      <c r="C1808" s="3" t="s">
        <v>95</v>
      </c>
      <c r="D1808" s="3" t="s">
        <v>96</v>
      </c>
      <c r="E1808" s="2"/>
      <c r="F1808" s="2"/>
      <c r="G1808" s="2" t="s">
        <v>84</v>
      </c>
      <c r="H1808" s="2">
        <v>2</v>
      </c>
      <c r="I1808" s="8">
        <v>123.71</v>
      </c>
      <c r="J1808" s="8">
        <v>54982</v>
      </c>
      <c r="K1808" s="3">
        <v>0</v>
      </c>
      <c r="L1808" s="3" t="s">
        <v>3</v>
      </c>
      <c r="M1808" s="9" t="s">
        <v>0</v>
      </c>
      <c r="N1808" s="9" t="s">
        <v>38</v>
      </c>
      <c r="O1808" s="9" t="s">
        <v>449</v>
      </c>
      <c r="S1808" s="9" t="s">
        <v>158</v>
      </c>
      <c r="T1808" s="10" t="s">
        <v>72</v>
      </c>
      <c r="U1808" s="10">
        <v>12</v>
      </c>
      <c r="V1808" s="10">
        <v>120.12</v>
      </c>
      <c r="W1808" s="10"/>
      <c r="X1808" s="17">
        <v>44591</v>
      </c>
      <c r="Y1808" s="17">
        <v>44595</v>
      </c>
      <c r="Z1808" s="17" t="s">
        <v>772</v>
      </c>
      <c r="AA1808" s="210">
        <v>48500</v>
      </c>
      <c r="AB1808" s="9">
        <v>61</v>
      </c>
      <c r="AC1808" s="9">
        <v>44</v>
      </c>
      <c r="AD1808" s="17">
        <v>45935</v>
      </c>
      <c r="AE1808" s="56">
        <v>725</v>
      </c>
      <c r="AF1808" s="56"/>
      <c r="AP1808" s="11"/>
      <c r="AQ1808" s="11"/>
      <c r="AR1808" s="11"/>
      <c r="AW1808" s="9"/>
      <c r="BD1808" s="9"/>
      <c r="CS1808" s="11">
        <f t="shared" si="128"/>
        <v>0</v>
      </c>
      <c r="CT1808" s="22">
        <f t="shared" si="129"/>
        <v>0</v>
      </c>
      <c r="CU1808" s="22">
        <f t="shared" si="130"/>
        <v>0</v>
      </c>
      <c r="CV1808" s="26">
        <f t="shared" si="127"/>
        <v>725</v>
      </c>
    </row>
    <row r="1809" spans="1:100" x14ac:dyDescent="0.2">
      <c r="A1809" s="9" t="s">
        <v>448</v>
      </c>
      <c r="B1809" s="2">
        <v>139</v>
      </c>
      <c r="C1809" s="3" t="s">
        <v>95</v>
      </c>
      <c r="D1809" s="3" t="s">
        <v>96</v>
      </c>
      <c r="E1809" s="2"/>
      <c r="F1809" s="2"/>
      <c r="G1809" s="2" t="s">
        <v>84</v>
      </c>
      <c r="H1809" s="2">
        <v>2</v>
      </c>
      <c r="I1809" s="8">
        <v>123.71</v>
      </c>
      <c r="J1809" s="8">
        <v>54982</v>
      </c>
      <c r="K1809" s="3">
        <v>0</v>
      </c>
      <c r="L1809" s="3" t="s">
        <v>3</v>
      </c>
      <c r="M1809" s="9" t="s">
        <v>0</v>
      </c>
      <c r="N1809" s="9" t="s">
        <v>38</v>
      </c>
      <c r="O1809" s="9" t="s">
        <v>449</v>
      </c>
      <c r="S1809" s="9" t="s">
        <v>158</v>
      </c>
      <c r="T1809" s="10" t="s">
        <v>72</v>
      </c>
      <c r="U1809" s="10">
        <v>12</v>
      </c>
      <c r="V1809" s="10">
        <v>120.12</v>
      </c>
      <c r="W1809" s="10"/>
      <c r="X1809" s="17">
        <v>44591</v>
      </c>
      <c r="Y1809" s="17">
        <v>44595</v>
      </c>
      <c r="Z1809" s="17" t="s">
        <v>772</v>
      </c>
      <c r="AA1809" s="210">
        <v>48500</v>
      </c>
      <c r="AB1809" s="9">
        <v>61</v>
      </c>
      <c r="AC1809" s="9">
        <v>45</v>
      </c>
      <c r="AD1809" s="17">
        <v>45966</v>
      </c>
      <c r="AE1809" s="56">
        <v>725</v>
      </c>
      <c r="AF1809" s="56"/>
      <c r="AP1809" s="11"/>
      <c r="AQ1809" s="11"/>
      <c r="AR1809" s="11"/>
      <c r="AW1809" s="9"/>
      <c r="BD1809" s="9"/>
      <c r="CS1809" s="11">
        <f t="shared" si="128"/>
        <v>0</v>
      </c>
      <c r="CT1809" s="22">
        <f t="shared" si="129"/>
        <v>0</v>
      </c>
      <c r="CU1809" s="22">
        <f t="shared" si="130"/>
        <v>0</v>
      </c>
      <c r="CV1809" s="26">
        <f t="shared" si="127"/>
        <v>725</v>
      </c>
    </row>
    <row r="1810" spans="1:100" x14ac:dyDescent="0.2">
      <c r="A1810" s="9" t="s">
        <v>448</v>
      </c>
      <c r="B1810" s="2">
        <v>139</v>
      </c>
      <c r="C1810" s="3" t="s">
        <v>95</v>
      </c>
      <c r="D1810" s="3" t="s">
        <v>96</v>
      </c>
      <c r="E1810" s="2"/>
      <c r="F1810" s="2"/>
      <c r="G1810" s="2" t="s">
        <v>84</v>
      </c>
      <c r="H1810" s="2">
        <v>2</v>
      </c>
      <c r="I1810" s="8">
        <v>123.71</v>
      </c>
      <c r="J1810" s="8">
        <v>54982</v>
      </c>
      <c r="K1810" s="3">
        <v>0</v>
      </c>
      <c r="L1810" s="3" t="s">
        <v>3</v>
      </c>
      <c r="M1810" s="9" t="s">
        <v>0</v>
      </c>
      <c r="N1810" s="9" t="s">
        <v>38</v>
      </c>
      <c r="O1810" s="9" t="s">
        <v>449</v>
      </c>
      <c r="S1810" s="9" t="s">
        <v>158</v>
      </c>
      <c r="T1810" s="10" t="s">
        <v>72</v>
      </c>
      <c r="U1810" s="10">
        <v>12</v>
      </c>
      <c r="V1810" s="10">
        <v>120.12</v>
      </c>
      <c r="W1810" s="10"/>
      <c r="X1810" s="17">
        <v>44591</v>
      </c>
      <c r="Y1810" s="17">
        <v>44595</v>
      </c>
      <c r="Z1810" s="17" t="s">
        <v>772</v>
      </c>
      <c r="AA1810" s="210">
        <v>48500</v>
      </c>
      <c r="AB1810" s="9">
        <v>61</v>
      </c>
      <c r="AC1810" s="9">
        <v>46</v>
      </c>
      <c r="AD1810" s="17">
        <v>45996</v>
      </c>
      <c r="AE1810" s="56">
        <v>725</v>
      </c>
      <c r="AF1810" s="56"/>
      <c r="AP1810" s="11"/>
      <c r="AQ1810" s="11"/>
      <c r="AR1810" s="11"/>
      <c r="AW1810" s="9"/>
      <c r="BD1810" s="9"/>
      <c r="CS1810" s="11">
        <f t="shared" si="128"/>
        <v>0</v>
      </c>
      <c r="CT1810" s="22">
        <f t="shared" si="129"/>
        <v>0</v>
      </c>
      <c r="CU1810" s="22">
        <f t="shared" si="130"/>
        <v>0</v>
      </c>
      <c r="CV1810" s="26">
        <f t="shared" si="127"/>
        <v>725</v>
      </c>
    </row>
    <row r="1811" spans="1:100" x14ac:dyDescent="0.2">
      <c r="A1811" s="9" t="s">
        <v>448</v>
      </c>
      <c r="B1811" s="2">
        <v>139</v>
      </c>
      <c r="C1811" s="3" t="s">
        <v>95</v>
      </c>
      <c r="D1811" s="3" t="s">
        <v>96</v>
      </c>
      <c r="E1811" s="2"/>
      <c r="F1811" s="2"/>
      <c r="G1811" s="2" t="s">
        <v>84</v>
      </c>
      <c r="H1811" s="2">
        <v>2</v>
      </c>
      <c r="I1811" s="8">
        <v>123.71</v>
      </c>
      <c r="J1811" s="8">
        <v>54982</v>
      </c>
      <c r="K1811" s="3">
        <v>0</v>
      </c>
      <c r="L1811" s="3" t="s">
        <v>3</v>
      </c>
      <c r="M1811" s="9" t="s">
        <v>0</v>
      </c>
      <c r="N1811" s="9" t="s">
        <v>38</v>
      </c>
      <c r="O1811" s="9" t="s">
        <v>449</v>
      </c>
      <c r="S1811" s="9" t="s">
        <v>158</v>
      </c>
      <c r="T1811" s="10" t="s">
        <v>72</v>
      </c>
      <c r="U1811" s="10">
        <v>12</v>
      </c>
      <c r="V1811" s="10">
        <v>120.12</v>
      </c>
      <c r="W1811" s="10"/>
      <c r="X1811" s="17">
        <v>44591</v>
      </c>
      <c r="Y1811" s="17">
        <v>44595</v>
      </c>
      <c r="Z1811" s="17" t="s">
        <v>772</v>
      </c>
      <c r="AA1811" s="210">
        <v>48500</v>
      </c>
      <c r="AB1811" s="9">
        <v>61</v>
      </c>
      <c r="AC1811" s="9">
        <v>47</v>
      </c>
      <c r="AD1811" s="17">
        <v>46027</v>
      </c>
      <c r="AE1811" s="56">
        <v>725</v>
      </c>
      <c r="AF1811" s="56"/>
      <c r="AP1811" s="11"/>
      <c r="AQ1811" s="11"/>
      <c r="AR1811" s="11"/>
      <c r="AW1811" s="9"/>
      <c r="BD1811" s="9"/>
      <c r="CS1811" s="11">
        <f t="shared" si="128"/>
        <v>0</v>
      </c>
      <c r="CT1811" s="22">
        <f t="shared" si="129"/>
        <v>0</v>
      </c>
      <c r="CU1811" s="22">
        <f t="shared" si="130"/>
        <v>0</v>
      </c>
      <c r="CV1811" s="26">
        <f t="shared" si="127"/>
        <v>725</v>
      </c>
    </row>
    <row r="1812" spans="1:100" x14ac:dyDescent="0.2">
      <c r="A1812" s="9" t="s">
        <v>448</v>
      </c>
      <c r="B1812" s="2">
        <v>139</v>
      </c>
      <c r="C1812" s="3" t="s">
        <v>95</v>
      </c>
      <c r="D1812" s="3" t="s">
        <v>96</v>
      </c>
      <c r="E1812" s="2"/>
      <c r="F1812" s="2"/>
      <c r="G1812" s="2" t="s">
        <v>84</v>
      </c>
      <c r="H1812" s="2">
        <v>2</v>
      </c>
      <c r="I1812" s="8">
        <v>123.71</v>
      </c>
      <c r="J1812" s="8">
        <v>54982</v>
      </c>
      <c r="K1812" s="3">
        <v>0</v>
      </c>
      <c r="L1812" s="3" t="s">
        <v>3</v>
      </c>
      <c r="M1812" s="9" t="s">
        <v>0</v>
      </c>
      <c r="N1812" s="9" t="s">
        <v>38</v>
      </c>
      <c r="O1812" s="9" t="s">
        <v>449</v>
      </c>
      <c r="S1812" s="9" t="s">
        <v>158</v>
      </c>
      <c r="T1812" s="10" t="s">
        <v>72</v>
      </c>
      <c r="U1812" s="10">
        <v>12</v>
      </c>
      <c r="V1812" s="10">
        <v>120.12</v>
      </c>
      <c r="W1812" s="10"/>
      <c r="X1812" s="17">
        <v>44591</v>
      </c>
      <c r="Y1812" s="17">
        <v>44595</v>
      </c>
      <c r="Z1812" s="17" t="s">
        <v>772</v>
      </c>
      <c r="AA1812" s="210">
        <v>48500</v>
      </c>
      <c r="AB1812" s="9">
        <v>61</v>
      </c>
      <c r="AC1812" s="9">
        <v>48</v>
      </c>
      <c r="AD1812" s="17">
        <v>46058</v>
      </c>
      <c r="AE1812" s="56">
        <v>725</v>
      </c>
      <c r="AF1812" s="56"/>
      <c r="AP1812" s="11"/>
      <c r="AQ1812" s="11"/>
      <c r="AR1812" s="11"/>
      <c r="AW1812" s="9"/>
      <c r="BD1812" s="9"/>
      <c r="CS1812" s="11">
        <f t="shared" si="128"/>
        <v>0</v>
      </c>
      <c r="CT1812" s="22">
        <f t="shared" si="129"/>
        <v>0</v>
      </c>
      <c r="CU1812" s="22">
        <f t="shared" si="130"/>
        <v>0</v>
      </c>
      <c r="CV1812" s="26">
        <f t="shared" si="127"/>
        <v>725</v>
      </c>
    </row>
    <row r="1813" spans="1:100" x14ac:dyDescent="0.2">
      <c r="A1813" s="9" t="s">
        <v>448</v>
      </c>
      <c r="B1813" s="2">
        <v>139</v>
      </c>
      <c r="C1813" s="3" t="s">
        <v>95</v>
      </c>
      <c r="D1813" s="3" t="s">
        <v>96</v>
      </c>
      <c r="E1813" s="2"/>
      <c r="F1813" s="2"/>
      <c r="G1813" s="2" t="s">
        <v>84</v>
      </c>
      <c r="H1813" s="2">
        <v>2</v>
      </c>
      <c r="I1813" s="8">
        <v>123.71</v>
      </c>
      <c r="J1813" s="8">
        <v>54982</v>
      </c>
      <c r="K1813" s="3">
        <v>0</v>
      </c>
      <c r="L1813" s="3" t="s">
        <v>3</v>
      </c>
      <c r="M1813" s="9" t="s">
        <v>0</v>
      </c>
      <c r="N1813" s="9" t="s">
        <v>38</v>
      </c>
      <c r="O1813" s="9" t="s">
        <v>449</v>
      </c>
      <c r="S1813" s="9" t="s">
        <v>158</v>
      </c>
      <c r="T1813" s="10" t="s">
        <v>72</v>
      </c>
      <c r="U1813" s="10">
        <v>12</v>
      </c>
      <c r="V1813" s="10">
        <v>120.12</v>
      </c>
      <c r="W1813" s="10"/>
      <c r="X1813" s="17">
        <v>44591</v>
      </c>
      <c r="Y1813" s="17">
        <v>44595</v>
      </c>
      <c r="Z1813" s="17" t="s">
        <v>772</v>
      </c>
      <c r="AA1813" s="210">
        <v>48500</v>
      </c>
      <c r="AB1813" s="9">
        <v>61</v>
      </c>
      <c r="AC1813" s="9">
        <v>49</v>
      </c>
      <c r="AD1813" s="17">
        <v>46086</v>
      </c>
      <c r="AE1813" s="56">
        <v>725</v>
      </c>
      <c r="AF1813" s="56"/>
      <c r="AP1813" s="11"/>
      <c r="AQ1813" s="11"/>
      <c r="AR1813" s="11"/>
      <c r="AW1813" s="9"/>
      <c r="BD1813" s="9"/>
      <c r="CS1813" s="11">
        <f t="shared" si="128"/>
        <v>0</v>
      </c>
      <c r="CT1813" s="22">
        <f t="shared" si="129"/>
        <v>0</v>
      </c>
      <c r="CU1813" s="22">
        <f t="shared" si="130"/>
        <v>0</v>
      </c>
      <c r="CV1813" s="26">
        <f t="shared" si="127"/>
        <v>725</v>
      </c>
    </row>
    <row r="1814" spans="1:100" x14ac:dyDescent="0.2">
      <c r="A1814" s="9" t="s">
        <v>448</v>
      </c>
      <c r="B1814" s="2">
        <v>139</v>
      </c>
      <c r="C1814" s="3" t="s">
        <v>95</v>
      </c>
      <c r="D1814" s="3" t="s">
        <v>96</v>
      </c>
      <c r="E1814" s="2"/>
      <c r="F1814" s="2"/>
      <c r="G1814" s="2" t="s">
        <v>84</v>
      </c>
      <c r="H1814" s="2">
        <v>2</v>
      </c>
      <c r="I1814" s="8">
        <v>123.71</v>
      </c>
      <c r="J1814" s="8">
        <v>54982</v>
      </c>
      <c r="K1814" s="3">
        <v>0</v>
      </c>
      <c r="L1814" s="3" t="s">
        <v>3</v>
      </c>
      <c r="M1814" s="9" t="s">
        <v>0</v>
      </c>
      <c r="N1814" s="9" t="s">
        <v>38</v>
      </c>
      <c r="O1814" s="9" t="s">
        <v>449</v>
      </c>
      <c r="S1814" s="9" t="s">
        <v>158</v>
      </c>
      <c r="T1814" s="10" t="s">
        <v>72</v>
      </c>
      <c r="U1814" s="10">
        <v>12</v>
      </c>
      <c r="V1814" s="10">
        <v>120.12</v>
      </c>
      <c r="W1814" s="10"/>
      <c r="X1814" s="17">
        <v>44591</v>
      </c>
      <c r="Y1814" s="17">
        <v>44595</v>
      </c>
      <c r="Z1814" s="17" t="s">
        <v>772</v>
      </c>
      <c r="AA1814" s="210">
        <v>48500</v>
      </c>
      <c r="AB1814" s="9">
        <v>61</v>
      </c>
      <c r="AC1814" s="9">
        <v>50</v>
      </c>
      <c r="AD1814" s="17">
        <v>46117</v>
      </c>
      <c r="AE1814" s="56">
        <v>725</v>
      </c>
      <c r="AF1814" s="56"/>
      <c r="AP1814" s="11"/>
      <c r="AQ1814" s="11"/>
      <c r="AR1814" s="11"/>
      <c r="AW1814" s="9"/>
      <c r="BD1814" s="9"/>
      <c r="CS1814" s="11">
        <f t="shared" si="128"/>
        <v>0</v>
      </c>
      <c r="CT1814" s="22">
        <f t="shared" si="129"/>
        <v>0</v>
      </c>
      <c r="CU1814" s="22">
        <f t="shared" si="130"/>
        <v>0</v>
      </c>
      <c r="CV1814" s="26">
        <f t="shared" si="127"/>
        <v>725</v>
      </c>
    </row>
    <row r="1815" spans="1:100" x14ac:dyDescent="0.2">
      <c r="A1815" s="9" t="s">
        <v>448</v>
      </c>
      <c r="B1815" s="2">
        <v>139</v>
      </c>
      <c r="C1815" s="3" t="s">
        <v>95</v>
      </c>
      <c r="D1815" s="3" t="s">
        <v>96</v>
      </c>
      <c r="E1815" s="2"/>
      <c r="F1815" s="2"/>
      <c r="G1815" s="2" t="s">
        <v>84</v>
      </c>
      <c r="H1815" s="2">
        <v>2</v>
      </c>
      <c r="I1815" s="8">
        <v>123.71</v>
      </c>
      <c r="J1815" s="8">
        <v>54982</v>
      </c>
      <c r="K1815" s="3">
        <v>0</v>
      </c>
      <c r="L1815" s="3" t="s">
        <v>3</v>
      </c>
      <c r="M1815" s="9" t="s">
        <v>0</v>
      </c>
      <c r="N1815" s="9" t="s">
        <v>38</v>
      </c>
      <c r="O1815" s="9" t="s">
        <v>449</v>
      </c>
      <c r="S1815" s="9" t="s">
        <v>158</v>
      </c>
      <c r="T1815" s="10" t="s">
        <v>72</v>
      </c>
      <c r="U1815" s="10">
        <v>12</v>
      </c>
      <c r="V1815" s="10">
        <v>120.12</v>
      </c>
      <c r="W1815" s="10"/>
      <c r="X1815" s="17">
        <v>44591</v>
      </c>
      <c r="Y1815" s="17">
        <v>44595</v>
      </c>
      <c r="Z1815" s="17" t="s">
        <v>772</v>
      </c>
      <c r="AA1815" s="210">
        <v>48500</v>
      </c>
      <c r="AB1815" s="9">
        <v>61</v>
      </c>
      <c r="AC1815" s="9">
        <v>51</v>
      </c>
      <c r="AD1815" s="17">
        <v>46147</v>
      </c>
      <c r="AE1815" s="56">
        <v>725</v>
      </c>
      <c r="AF1815" s="56"/>
      <c r="AP1815" s="11"/>
      <c r="AQ1815" s="11"/>
      <c r="AR1815" s="11"/>
      <c r="AW1815" s="9"/>
      <c r="BD1815" s="9"/>
      <c r="CS1815" s="11">
        <f t="shared" si="128"/>
        <v>0</v>
      </c>
      <c r="CT1815" s="22">
        <f t="shared" si="129"/>
        <v>0</v>
      </c>
      <c r="CU1815" s="22">
        <f t="shared" si="130"/>
        <v>0</v>
      </c>
      <c r="CV1815" s="26">
        <f t="shared" si="127"/>
        <v>725</v>
      </c>
    </row>
    <row r="1816" spans="1:100" x14ac:dyDescent="0.2">
      <c r="A1816" s="9" t="s">
        <v>448</v>
      </c>
      <c r="B1816" s="2">
        <v>139</v>
      </c>
      <c r="C1816" s="3" t="s">
        <v>95</v>
      </c>
      <c r="D1816" s="3" t="s">
        <v>96</v>
      </c>
      <c r="E1816" s="2"/>
      <c r="F1816" s="2"/>
      <c r="G1816" s="2" t="s">
        <v>84</v>
      </c>
      <c r="H1816" s="2">
        <v>2</v>
      </c>
      <c r="I1816" s="8">
        <v>123.71</v>
      </c>
      <c r="J1816" s="8">
        <v>54982</v>
      </c>
      <c r="K1816" s="3">
        <v>0</v>
      </c>
      <c r="L1816" s="3" t="s">
        <v>3</v>
      </c>
      <c r="M1816" s="9" t="s">
        <v>0</v>
      </c>
      <c r="N1816" s="9" t="s">
        <v>38</v>
      </c>
      <c r="O1816" s="9" t="s">
        <v>449</v>
      </c>
      <c r="S1816" s="9" t="s">
        <v>158</v>
      </c>
      <c r="T1816" s="10" t="s">
        <v>72</v>
      </c>
      <c r="U1816" s="10">
        <v>12</v>
      </c>
      <c r="V1816" s="10">
        <v>120.12</v>
      </c>
      <c r="W1816" s="10"/>
      <c r="X1816" s="17">
        <v>44591</v>
      </c>
      <c r="Y1816" s="17">
        <v>44595</v>
      </c>
      <c r="Z1816" s="17" t="s">
        <v>772</v>
      </c>
      <c r="AA1816" s="210">
        <v>48500</v>
      </c>
      <c r="AB1816" s="9">
        <v>61</v>
      </c>
      <c r="AC1816" s="9">
        <v>52</v>
      </c>
      <c r="AD1816" s="17">
        <v>46178</v>
      </c>
      <c r="AE1816" s="56">
        <v>725</v>
      </c>
      <c r="AF1816" s="56"/>
      <c r="AP1816" s="11"/>
      <c r="AQ1816" s="11"/>
      <c r="AR1816" s="11"/>
      <c r="AW1816" s="9"/>
      <c r="BD1816" s="9"/>
      <c r="CS1816" s="11">
        <f t="shared" si="128"/>
        <v>0</v>
      </c>
      <c r="CT1816" s="22">
        <f t="shared" si="129"/>
        <v>0</v>
      </c>
      <c r="CU1816" s="22">
        <f t="shared" si="130"/>
        <v>0</v>
      </c>
      <c r="CV1816" s="26">
        <f t="shared" si="127"/>
        <v>725</v>
      </c>
    </row>
    <row r="1817" spans="1:100" x14ac:dyDescent="0.2">
      <c r="A1817" s="9" t="s">
        <v>448</v>
      </c>
      <c r="B1817" s="2">
        <v>139</v>
      </c>
      <c r="C1817" s="3" t="s">
        <v>95</v>
      </c>
      <c r="D1817" s="3" t="s">
        <v>96</v>
      </c>
      <c r="E1817" s="2"/>
      <c r="F1817" s="2"/>
      <c r="G1817" s="2" t="s">
        <v>84</v>
      </c>
      <c r="H1817" s="2">
        <v>2</v>
      </c>
      <c r="I1817" s="8">
        <v>123.71</v>
      </c>
      <c r="J1817" s="8">
        <v>54982</v>
      </c>
      <c r="K1817" s="3">
        <v>0</v>
      </c>
      <c r="L1817" s="3" t="s">
        <v>3</v>
      </c>
      <c r="M1817" s="9" t="s">
        <v>0</v>
      </c>
      <c r="N1817" s="9" t="s">
        <v>38</v>
      </c>
      <c r="O1817" s="9" t="s">
        <v>449</v>
      </c>
      <c r="S1817" s="9" t="s">
        <v>158</v>
      </c>
      <c r="T1817" s="10" t="s">
        <v>72</v>
      </c>
      <c r="U1817" s="10">
        <v>12</v>
      </c>
      <c r="V1817" s="10">
        <v>120.12</v>
      </c>
      <c r="W1817" s="10"/>
      <c r="X1817" s="17">
        <v>44591</v>
      </c>
      <c r="Y1817" s="17">
        <v>44595</v>
      </c>
      <c r="Z1817" s="17" t="s">
        <v>772</v>
      </c>
      <c r="AA1817" s="210">
        <v>48500</v>
      </c>
      <c r="AB1817" s="9">
        <v>61</v>
      </c>
      <c r="AC1817" s="9">
        <v>53</v>
      </c>
      <c r="AD1817" s="17">
        <v>46208</v>
      </c>
      <c r="AE1817" s="56">
        <v>725</v>
      </c>
      <c r="AF1817" s="56"/>
      <c r="AP1817" s="11"/>
      <c r="AQ1817" s="11"/>
      <c r="AR1817" s="11"/>
      <c r="AW1817" s="9"/>
      <c r="BD1817" s="9"/>
      <c r="CS1817" s="11">
        <f t="shared" si="128"/>
        <v>0</v>
      </c>
      <c r="CT1817" s="22">
        <f t="shared" si="129"/>
        <v>0</v>
      </c>
      <c r="CU1817" s="22">
        <f t="shared" si="130"/>
        <v>0</v>
      </c>
      <c r="CV1817" s="26">
        <f t="shared" si="127"/>
        <v>725</v>
      </c>
    </row>
    <row r="1818" spans="1:100" x14ac:dyDescent="0.2">
      <c r="A1818" s="9" t="s">
        <v>448</v>
      </c>
      <c r="B1818" s="2">
        <v>139</v>
      </c>
      <c r="C1818" s="3" t="s">
        <v>95</v>
      </c>
      <c r="D1818" s="3" t="s">
        <v>96</v>
      </c>
      <c r="E1818" s="2"/>
      <c r="F1818" s="2"/>
      <c r="G1818" s="2" t="s">
        <v>84</v>
      </c>
      <c r="H1818" s="2">
        <v>2</v>
      </c>
      <c r="I1818" s="8">
        <v>123.71</v>
      </c>
      <c r="J1818" s="8">
        <v>54982</v>
      </c>
      <c r="K1818" s="3">
        <v>0</v>
      </c>
      <c r="L1818" s="3" t="s">
        <v>3</v>
      </c>
      <c r="M1818" s="9" t="s">
        <v>0</v>
      </c>
      <c r="N1818" s="9" t="s">
        <v>38</v>
      </c>
      <c r="O1818" s="9" t="s">
        <v>449</v>
      </c>
      <c r="S1818" s="9" t="s">
        <v>158</v>
      </c>
      <c r="T1818" s="10" t="s">
        <v>72</v>
      </c>
      <c r="U1818" s="10">
        <v>12</v>
      </c>
      <c r="V1818" s="10">
        <v>120.12</v>
      </c>
      <c r="W1818" s="10"/>
      <c r="X1818" s="17">
        <v>44591</v>
      </c>
      <c r="Y1818" s="17">
        <v>44595</v>
      </c>
      <c r="Z1818" s="17" t="s">
        <v>772</v>
      </c>
      <c r="AA1818" s="210">
        <v>48500</v>
      </c>
      <c r="AB1818" s="9">
        <v>61</v>
      </c>
      <c r="AC1818" s="9">
        <v>54</v>
      </c>
      <c r="AD1818" s="17">
        <v>46239</v>
      </c>
      <c r="AE1818" s="56">
        <v>725</v>
      </c>
      <c r="AF1818" s="56"/>
      <c r="AP1818" s="11"/>
      <c r="AQ1818" s="11"/>
      <c r="AR1818" s="11"/>
      <c r="AW1818" s="9"/>
      <c r="BD1818" s="9"/>
      <c r="CS1818" s="11">
        <f t="shared" si="128"/>
        <v>0</v>
      </c>
      <c r="CT1818" s="22">
        <f t="shared" si="129"/>
        <v>0</v>
      </c>
      <c r="CU1818" s="22">
        <f t="shared" si="130"/>
        <v>0</v>
      </c>
      <c r="CV1818" s="26">
        <f t="shared" si="127"/>
        <v>725</v>
      </c>
    </row>
    <row r="1819" spans="1:100" x14ac:dyDescent="0.2">
      <c r="A1819" s="9" t="s">
        <v>448</v>
      </c>
      <c r="B1819" s="2">
        <v>139</v>
      </c>
      <c r="C1819" s="3" t="s">
        <v>95</v>
      </c>
      <c r="D1819" s="3" t="s">
        <v>96</v>
      </c>
      <c r="E1819" s="2"/>
      <c r="F1819" s="2"/>
      <c r="G1819" s="2" t="s">
        <v>84</v>
      </c>
      <c r="H1819" s="2">
        <v>2</v>
      </c>
      <c r="I1819" s="8">
        <v>123.71</v>
      </c>
      <c r="J1819" s="8">
        <v>54982</v>
      </c>
      <c r="K1819" s="3">
        <v>0</v>
      </c>
      <c r="L1819" s="3" t="s">
        <v>3</v>
      </c>
      <c r="M1819" s="9" t="s">
        <v>0</v>
      </c>
      <c r="N1819" s="9" t="s">
        <v>38</v>
      </c>
      <c r="O1819" s="9" t="s">
        <v>449</v>
      </c>
      <c r="S1819" s="9" t="s">
        <v>158</v>
      </c>
      <c r="T1819" s="10" t="s">
        <v>72</v>
      </c>
      <c r="U1819" s="10">
        <v>12</v>
      </c>
      <c r="V1819" s="10">
        <v>120.12</v>
      </c>
      <c r="W1819" s="10"/>
      <c r="X1819" s="17">
        <v>44591</v>
      </c>
      <c r="Y1819" s="17">
        <v>44595</v>
      </c>
      <c r="Z1819" s="17" t="s">
        <v>772</v>
      </c>
      <c r="AA1819" s="210">
        <v>48500</v>
      </c>
      <c r="AB1819" s="9">
        <v>61</v>
      </c>
      <c r="AC1819" s="9">
        <v>55</v>
      </c>
      <c r="AD1819" s="17">
        <v>46270</v>
      </c>
      <c r="AE1819" s="56">
        <v>725</v>
      </c>
      <c r="AF1819" s="56"/>
      <c r="AP1819" s="11"/>
      <c r="AQ1819" s="11"/>
      <c r="AR1819" s="11"/>
      <c r="AW1819" s="9"/>
      <c r="BD1819" s="9"/>
      <c r="CS1819" s="11">
        <f t="shared" si="128"/>
        <v>0</v>
      </c>
      <c r="CT1819" s="22">
        <f t="shared" si="129"/>
        <v>0</v>
      </c>
      <c r="CU1819" s="22">
        <f t="shared" si="130"/>
        <v>0</v>
      </c>
      <c r="CV1819" s="26">
        <f t="shared" si="127"/>
        <v>725</v>
      </c>
    </row>
    <row r="1820" spans="1:100" x14ac:dyDescent="0.2">
      <c r="A1820" s="9" t="s">
        <v>448</v>
      </c>
      <c r="B1820" s="2">
        <v>139</v>
      </c>
      <c r="C1820" s="3" t="s">
        <v>95</v>
      </c>
      <c r="D1820" s="3" t="s">
        <v>96</v>
      </c>
      <c r="E1820" s="2"/>
      <c r="F1820" s="2"/>
      <c r="G1820" s="2" t="s">
        <v>84</v>
      </c>
      <c r="H1820" s="2">
        <v>2</v>
      </c>
      <c r="I1820" s="8">
        <v>123.71</v>
      </c>
      <c r="J1820" s="8">
        <v>54982</v>
      </c>
      <c r="K1820" s="3">
        <v>0</v>
      </c>
      <c r="L1820" s="3" t="s">
        <v>3</v>
      </c>
      <c r="M1820" s="9" t="s">
        <v>0</v>
      </c>
      <c r="N1820" s="9" t="s">
        <v>38</v>
      </c>
      <c r="O1820" s="9" t="s">
        <v>449</v>
      </c>
      <c r="S1820" s="9" t="s">
        <v>158</v>
      </c>
      <c r="T1820" s="10" t="s">
        <v>72</v>
      </c>
      <c r="U1820" s="10">
        <v>12</v>
      </c>
      <c r="V1820" s="10">
        <v>120.12</v>
      </c>
      <c r="W1820" s="10"/>
      <c r="X1820" s="17">
        <v>44591</v>
      </c>
      <c r="Y1820" s="17">
        <v>44595</v>
      </c>
      <c r="Z1820" s="17" t="s">
        <v>772</v>
      </c>
      <c r="AA1820" s="210">
        <v>48500</v>
      </c>
      <c r="AB1820" s="9">
        <v>61</v>
      </c>
      <c r="AC1820" s="9">
        <v>56</v>
      </c>
      <c r="AD1820" s="17">
        <v>46300</v>
      </c>
      <c r="AE1820" s="56">
        <v>725</v>
      </c>
      <c r="AF1820" s="56"/>
      <c r="AP1820" s="11"/>
      <c r="AQ1820" s="11"/>
      <c r="AR1820" s="11"/>
      <c r="AW1820" s="9"/>
      <c r="BD1820" s="9"/>
      <c r="CS1820" s="11">
        <f t="shared" si="128"/>
        <v>0</v>
      </c>
      <c r="CT1820" s="22">
        <f t="shared" si="129"/>
        <v>0</v>
      </c>
      <c r="CU1820" s="22">
        <f t="shared" si="130"/>
        <v>0</v>
      </c>
      <c r="CV1820" s="26">
        <f t="shared" si="127"/>
        <v>725</v>
      </c>
    </row>
    <row r="1821" spans="1:100" x14ac:dyDescent="0.2">
      <c r="A1821" s="9" t="s">
        <v>448</v>
      </c>
      <c r="B1821" s="2">
        <v>139</v>
      </c>
      <c r="C1821" s="3" t="s">
        <v>95</v>
      </c>
      <c r="D1821" s="3" t="s">
        <v>96</v>
      </c>
      <c r="E1821" s="2"/>
      <c r="F1821" s="2"/>
      <c r="G1821" s="2" t="s">
        <v>84</v>
      </c>
      <c r="H1821" s="2">
        <v>2</v>
      </c>
      <c r="I1821" s="8">
        <v>123.71</v>
      </c>
      <c r="J1821" s="8">
        <v>54982</v>
      </c>
      <c r="K1821" s="3">
        <v>0</v>
      </c>
      <c r="L1821" s="3" t="s">
        <v>3</v>
      </c>
      <c r="M1821" s="9" t="s">
        <v>0</v>
      </c>
      <c r="N1821" s="9" t="s">
        <v>38</v>
      </c>
      <c r="O1821" s="9" t="s">
        <v>449</v>
      </c>
      <c r="S1821" s="9" t="s">
        <v>158</v>
      </c>
      <c r="T1821" s="10" t="s">
        <v>72</v>
      </c>
      <c r="U1821" s="10">
        <v>12</v>
      </c>
      <c r="V1821" s="10">
        <v>120.12</v>
      </c>
      <c r="W1821" s="10"/>
      <c r="X1821" s="17">
        <v>44591</v>
      </c>
      <c r="Y1821" s="17">
        <v>44595</v>
      </c>
      <c r="Z1821" s="17" t="s">
        <v>772</v>
      </c>
      <c r="AA1821" s="210">
        <v>48500</v>
      </c>
      <c r="AB1821" s="9">
        <v>61</v>
      </c>
      <c r="AC1821" s="9">
        <v>57</v>
      </c>
      <c r="AD1821" s="17">
        <v>46331</v>
      </c>
      <c r="AE1821" s="56">
        <v>725</v>
      </c>
      <c r="AF1821" s="56"/>
      <c r="AP1821" s="11"/>
      <c r="AQ1821" s="11"/>
      <c r="AR1821" s="11"/>
      <c r="AW1821" s="9"/>
      <c r="BD1821" s="9"/>
      <c r="CS1821" s="11">
        <f t="shared" si="128"/>
        <v>0</v>
      </c>
      <c r="CT1821" s="22">
        <f t="shared" si="129"/>
        <v>0</v>
      </c>
      <c r="CU1821" s="22">
        <f t="shared" si="130"/>
        <v>0</v>
      </c>
      <c r="CV1821" s="26">
        <f t="shared" si="127"/>
        <v>725</v>
      </c>
    </row>
    <row r="1822" spans="1:100" x14ac:dyDescent="0.2">
      <c r="A1822" s="9" t="s">
        <v>448</v>
      </c>
      <c r="B1822" s="2">
        <v>139</v>
      </c>
      <c r="C1822" s="3" t="s">
        <v>95</v>
      </c>
      <c r="D1822" s="3" t="s">
        <v>96</v>
      </c>
      <c r="E1822" s="2"/>
      <c r="F1822" s="2"/>
      <c r="G1822" s="2" t="s">
        <v>84</v>
      </c>
      <c r="H1822" s="2">
        <v>2</v>
      </c>
      <c r="I1822" s="8">
        <v>123.71</v>
      </c>
      <c r="J1822" s="8">
        <v>54982</v>
      </c>
      <c r="K1822" s="3">
        <v>0</v>
      </c>
      <c r="L1822" s="3" t="s">
        <v>3</v>
      </c>
      <c r="M1822" s="9" t="s">
        <v>0</v>
      </c>
      <c r="N1822" s="9" t="s">
        <v>38</v>
      </c>
      <c r="O1822" s="9" t="s">
        <v>449</v>
      </c>
      <c r="S1822" s="9" t="s">
        <v>158</v>
      </c>
      <c r="T1822" s="10" t="s">
        <v>72</v>
      </c>
      <c r="U1822" s="10">
        <v>12</v>
      </c>
      <c r="V1822" s="10">
        <v>120.12</v>
      </c>
      <c r="W1822" s="10"/>
      <c r="X1822" s="17">
        <v>44591</v>
      </c>
      <c r="Y1822" s="17">
        <v>44595</v>
      </c>
      <c r="Z1822" s="17" t="s">
        <v>772</v>
      </c>
      <c r="AA1822" s="210">
        <v>48500</v>
      </c>
      <c r="AB1822" s="9">
        <v>61</v>
      </c>
      <c r="AC1822" s="9">
        <v>58</v>
      </c>
      <c r="AD1822" s="17">
        <v>46361</v>
      </c>
      <c r="AE1822" s="56">
        <v>725</v>
      </c>
      <c r="AF1822" s="56"/>
      <c r="AP1822" s="11"/>
      <c r="AQ1822" s="11"/>
      <c r="AR1822" s="11"/>
      <c r="AW1822" s="9"/>
      <c r="BD1822" s="9"/>
      <c r="CS1822" s="11">
        <f t="shared" si="128"/>
        <v>0</v>
      </c>
      <c r="CT1822" s="22">
        <f t="shared" si="129"/>
        <v>0</v>
      </c>
      <c r="CU1822" s="22">
        <f t="shared" si="130"/>
        <v>0</v>
      </c>
      <c r="CV1822" s="26">
        <f t="shared" si="127"/>
        <v>725</v>
      </c>
    </row>
    <row r="1823" spans="1:100" x14ac:dyDescent="0.2">
      <c r="A1823" s="9" t="s">
        <v>448</v>
      </c>
      <c r="B1823" s="2">
        <v>139</v>
      </c>
      <c r="C1823" s="3" t="s">
        <v>95</v>
      </c>
      <c r="D1823" s="3" t="s">
        <v>96</v>
      </c>
      <c r="E1823" s="2"/>
      <c r="F1823" s="2"/>
      <c r="G1823" s="2" t="s">
        <v>84</v>
      </c>
      <c r="H1823" s="2">
        <v>2</v>
      </c>
      <c r="I1823" s="8">
        <v>123.71</v>
      </c>
      <c r="J1823" s="8">
        <v>54982</v>
      </c>
      <c r="K1823" s="3">
        <v>0</v>
      </c>
      <c r="L1823" s="3" t="s">
        <v>3</v>
      </c>
      <c r="M1823" s="9" t="s">
        <v>0</v>
      </c>
      <c r="N1823" s="9" t="s">
        <v>38</v>
      </c>
      <c r="O1823" s="9" t="s">
        <v>449</v>
      </c>
      <c r="S1823" s="9" t="s">
        <v>158</v>
      </c>
      <c r="T1823" s="10" t="s">
        <v>72</v>
      </c>
      <c r="U1823" s="10">
        <v>12</v>
      </c>
      <c r="V1823" s="10">
        <v>120.12</v>
      </c>
      <c r="W1823" s="10"/>
      <c r="X1823" s="17">
        <v>44591</v>
      </c>
      <c r="Y1823" s="17">
        <v>44595</v>
      </c>
      <c r="Z1823" s="17" t="s">
        <v>772</v>
      </c>
      <c r="AA1823" s="210">
        <v>48500</v>
      </c>
      <c r="AB1823" s="9">
        <v>61</v>
      </c>
      <c r="AC1823" s="9">
        <v>59</v>
      </c>
      <c r="AD1823" s="17">
        <v>46392</v>
      </c>
      <c r="AE1823" s="56">
        <v>725</v>
      </c>
      <c r="AF1823" s="56"/>
      <c r="AP1823" s="11"/>
      <c r="AQ1823" s="11"/>
      <c r="AR1823" s="11"/>
      <c r="AW1823" s="9"/>
      <c r="BD1823" s="9"/>
      <c r="CS1823" s="11">
        <f t="shared" si="128"/>
        <v>0</v>
      </c>
      <c r="CT1823" s="22">
        <f t="shared" si="129"/>
        <v>0</v>
      </c>
      <c r="CU1823" s="22">
        <f t="shared" si="130"/>
        <v>0</v>
      </c>
      <c r="CV1823" s="26">
        <f t="shared" si="127"/>
        <v>725</v>
      </c>
    </row>
    <row r="1824" spans="1:100" x14ac:dyDescent="0.2">
      <c r="A1824" s="9" t="s">
        <v>448</v>
      </c>
      <c r="B1824" s="2">
        <v>139</v>
      </c>
      <c r="C1824" s="3" t="s">
        <v>95</v>
      </c>
      <c r="D1824" s="3" t="s">
        <v>96</v>
      </c>
      <c r="E1824" s="2"/>
      <c r="F1824" s="2"/>
      <c r="G1824" s="2" t="s">
        <v>84</v>
      </c>
      <c r="H1824" s="2">
        <v>2</v>
      </c>
      <c r="I1824" s="8">
        <v>123.71</v>
      </c>
      <c r="J1824" s="8">
        <v>54982</v>
      </c>
      <c r="K1824" s="3">
        <v>0</v>
      </c>
      <c r="L1824" s="3" t="s">
        <v>3</v>
      </c>
      <c r="M1824" s="9" t="s">
        <v>0</v>
      </c>
      <c r="N1824" s="9" t="s">
        <v>38</v>
      </c>
      <c r="O1824" s="9" t="s">
        <v>449</v>
      </c>
      <c r="S1824" s="9" t="s">
        <v>158</v>
      </c>
      <c r="T1824" s="10" t="s">
        <v>72</v>
      </c>
      <c r="U1824" s="10">
        <v>12</v>
      </c>
      <c r="V1824" s="10">
        <v>120.12</v>
      </c>
      <c r="W1824" s="10"/>
      <c r="X1824" s="17">
        <v>44591</v>
      </c>
      <c r="Y1824" s="17">
        <v>44595</v>
      </c>
      <c r="Z1824" s="17" t="s">
        <v>772</v>
      </c>
      <c r="AA1824" s="210">
        <v>48500</v>
      </c>
      <c r="AB1824" s="9">
        <v>61</v>
      </c>
      <c r="AC1824" s="9">
        <v>60</v>
      </c>
      <c r="AD1824" s="17">
        <v>46423</v>
      </c>
      <c r="AE1824" s="56">
        <v>725</v>
      </c>
      <c r="AF1824" s="56"/>
      <c r="AP1824" s="11"/>
      <c r="AQ1824" s="11"/>
      <c r="AR1824" s="11"/>
      <c r="AW1824" s="9"/>
      <c r="BD1824" s="9"/>
      <c r="CS1824" s="11">
        <f t="shared" si="128"/>
        <v>0</v>
      </c>
      <c r="CT1824" s="22">
        <f t="shared" si="129"/>
        <v>0</v>
      </c>
      <c r="CU1824" s="22">
        <f t="shared" si="130"/>
        <v>0</v>
      </c>
      <c r="CV1824" s="26">
        <f t="shared" si="127"/>
        <v>725</v>
      </c>
    </row>
    <row r="1825" spans="1:100" x14ac:dyDescent="0.2">
      <c r="A1825" s="9" t="s">
        <v>448</v>
      </c>
      <c r="B1825" s="2">
        <v>139</v>
      </c>
      <c r="C1825" s="3" t="s">
        <v>95</v>
      </c>
      <c r="D1825" s="3" t="s">
        <v>96</v>
      </c>
      <c r="E1825" s="2"/>
      <c r="F1825" s="2"/>
      <c r="G1825" s="2" t="s">
        <v>84</v>
      </c>
      <c r="H1825" s="2">
        <v>2</v>
      </c>
      <c r="I1825" s="8">
        <v>123.71</v>
      </c>
      <c r="J1825" s="8">
        <v>54982</v>
      </c>
      <c r="K1825" s="3">
        <v>0</v>
      </c>
      <c r="L1825" s="3" t="s">
        <v>3</v>
      </c>
      <c r="M1825" s="9" t="s">
        <v>0</v>
      </c>
      <c r="N1825" s="9" t="s">
        <v>38</v>
      </c>
      <c r="O1825" s="9" t="s">
        <v>449</v>
      </c>
      <c r="S1825" s="9" t="s">
        <v>158</v>
      </c>
      <c r="T1825" s="10" t="s">
        <v>72</v>
      </c>
      <c r="U1825" s="10">
        <v>12</v>
      </c>
      <c r="V1825" s="10">
        <v>120.12</v>
      </c>
      <c r="W1825" s="10"/>
      <c r="X1825" s="17">
        <v>44591</v>
      </c>
      <c r="Y1825" s="17">
        <v>44595</v>
      </c>
      <c r="Z1825" s="17" t="s">
        <v>772</v>
      </c>
      <c r="AA1825" s="210">
        <v>48500</v>
      </c>
      <c r="AB1825" s="9">
        <v>61</v>
      </c>
      <c r="AC1825" s="9">
        <v>61</v>
      </c>
      <c r="AD1825" s="17">
        <v>46451</v>
      </c>
      <c r="AE1825" s="56">
        <v>725</v>
      </c>
      <c r="AF1825" s="56"/>
      <c r="AP1825" s="11"/>
      <c r="AQ1825" s="11"/>
      <c r="AR1825" s="11"/>
      <c r="AW1825" s="9"/>
      <c r="BD1825" s="9"/>
      <c r="CS1825" s="11">
        <f t="shared" si="128"/>
        <v>0</v>
      </c>
      <c r="CT1825" s="22">
        <f t="shared" si="129"/>
        <v>0</v>
      </c>
      <c r="CU1825" s="22">
        <f t="shared" si="130"/>
        <v>0</v>
      </c>
      <c r="CV1825" s="26">
        <f t="shared" si="127"/>
        <v>725</v>
      </c>
    </row>
    <row r="1826" spans="1:100" x14ac:dyDescent="0.2">
      <c r="A1826" s="9" t="s">
        <v>448</v>
      </c>
      <c r="B1826" s="2">
        <v>139</v>
      </c>
      <c r="C1826" s="3" t="s">
        <v>95</v>
      </c>
      <c r="D1826" s="3" t="s">
        <v>96</v>
      </c>
      <c r="E1826" s="2"/>
      <c r="F1826" s="2"/>
      <c r="G1826" s="2" t="s">
        <v>84</v>
      </c>
      <c r="H1826" s="2">
        <v>2</v>
      </c>
      <c r="I1826" s="8">
        <v>123.71</v>
      </c>
      <c r="J1826" s="8">
        <v>54982</v>
      </c>
      <c r="K1826" s="3">
        <v>0</v>
      </c>
      <c r="L1826" s="3" t="s">
        <v>3</v>
      </c>
      <c r="M1826" s="9" t="s">
        <v>0</v>
      </c>
      <c r="N1826" s="9" t="s">
        <v>38</v>
      </c>
      <c r="O1826" s="9" t="s">
        <v>449</v>
      </c>
      <c r="S1826" s="9" t="s">
        <v>450</v>
      </c>
      <c r="V1826" s="10">
        <v>12.5</v>
      </c>
      <c r="W1826" s="10"/>
      <c r="X1826" s="17">
        <v>44591</v>
      </c>
      <c r="Y1826" s="17">
        <v>44595</v>
      </c>
      <c r="Z1826" s="17" t="s">
        <v>772</v>
      </c>
      <c r="AA1826" s="214">
        <v>6000</v>
      </c>
      <c r="AB1826" s="9">
        <v>25</v>
      </c>
      <c r="AC1826" s="9">
        <v>1</v>
      </c>
      <c r="AD1826" s="17">
        <v>46147</v>
      </c>
      <c r="AE1826" s="56">
        <v>1000</v>
      </c>
      <c r="AF1826" s="56"/>
      <c r="AP1826" s="11"/>
      <c r="AQ1826" s="11"/>
      <c r="AR1826" s="11"/>
      <c r="AW1826" s="9"/>
      <c r="BD1826" s="9"/>
      <c r="CS1826" s="11">
        <f t="shared" si="128"/>
        <v>0</v>
      </c>
      <c r="CT1826" s="22">
        <f t="shared" si="129"/>
        <v>0</v>
      </c>
      <c r="CU1826" s="22">
        <f t="shared" si="130"/>
        <v>0</v>
      </c>
      <c r="CV1826" s="26">
        <f t="shared" si="127"/>
        <v>1000</v>
      </c>
    </row>
    <row r="1827" spans="1:100" x14ac:dyDescent="0.2">
      <c r="A1827" s="9" t="s">
        <v>448</v>
      </c>
      <c r="B1827" s="2">
        <v>139</v>
      </c>
      <c r="C1827" s="3" t="s">
        <v>95</v>
      </c>
      <c r="D1827" s="3" t="s">
        <v>96</v>
      </c>
      <c r="E1827" s="2"/>
      <c r="F1827" s="2"/>
      <c r="G1827" s="2" t="s">
        <v>84</v>
      </c>
      <c r="H1827" s="2">
        <v>2</v>
      </c>
      <c r="I1827" s="8">
        <v>123.71</v>
      </c>
      <c r="J1827" s="8">
        <v>54982</v>
      </c>
      <c r="K1827" s="3">
        <v>0</v>
      </c>
      <c r="L1827" s="3" t="s">
        <v>3</v>
      </c>
      <c r="M1827" s="9" t="s">
        <v>0</v>
      </c>
      <c r="N1827" s="9" t="s">
        <v>38</v>
      </c>
      <c r="O1827" s="9" t="s">
        <v>449</v>
      </c>
      <c r="S1827" s="9" t="s">
        <v>450</v>
      </c>
      <c r="V1827" s="10">
        <v>12.5</v>
      </c>
      <c r="W1827" s="10"/>
      <c r="X1827" s="17">
        <v>44591</v>
      </c>
      <c r="Y1827" s="17">
        <v>44595</v>
      </c>
      <c r="Z1827" s="17" t="s">
        <v>772</v>
      </c>
      <c r="AA1827" s="210">
        <v>6000</v>
      </c>
      <c r="AB1827" s="9">
        <v>25</v>
      </c>
      <c r="AC1827" s="9">
        <v>2</v>
      </c>
      <c r="AD1827" s="17">
        <v>46178</v>
      </c>
      <c r="AE1827" s="56">
        <v>250</v>
      </c>
      <c r="AF1827" s="56"/>
      <c r="AP1827" s="11"/>
      <c r="AQ1827" s="11"/>
      <c r="AR1827" s="11"/>
      <c r="AW1827" s="9"/>
      <c r="BD1827" s="9"/>
      <c r="CS1827" s="11">
        <f t="shared" si="128"/>
        <v>0</v>
      </c>
      <c r="CT1827" s="22">
        <f t="shared" si="129"/>
        <v>0</v>
      </c>
      <c r="CU1827" s="22">
        <f t="shared" si="130"/>
        <v>0</v>
      </c>
      <c r="CV1827" s="26">
        <f t="shared" si="127"/>
        <v>250</v>
      </c>
    </row>
    <row r="1828" spans="1:100" x14ac:dyDescent="0.2">
      <c r="A1828" s="9" t="s">
        <v>448</v>
      </c>
      <c r="B1828" s="2">
        <v>139</v>
      </c>
      <c r="C1828" s="3" t="s">
        <v>95</v>
      </c>
      <c r="D1828" s="3" t="s">
        <v>96</v>
      </c>
      <c r="E1828" s="2"/>
      <c r="F1828" s="2"/>
      <c r="G1828" s="2" t="s">
        <v>84</v>
      </c>
      <c r="H1828" s="2">
        <v>2</v>
      </c>
      <c r="I1828" s="8">
        <v>123.71</v>
      </c>
      <c r="J1828" s="8">
        <v>54982</v>
      </c>
      <c r="K1828" s="3">
        <v>0</v>
      </c>
      <c r="L1828" s="3" t="s">
        <v>3</v>
      </c>
      <c r="M1828" s="9" t="s">
        <v>0</v>
      </c>
      <c r="N1828" s="9" t="s">
        <v>38</v>
      </c>
      <c r="O1828" s="9" t="s">
        <v>449</v>
      </c>
      <c r="S1828" s="9" t="s">
        <v>450</v>
      </c>
      <c r="V1828" s="10">
        <v>12.5</v>
      </c>
      <c r="W1828" s="10"/>
      <c r="X1828" s="17">
        <v>44591</v>
      </c>
      <c r="Y1828" s="17">
        <v>44595</v>
      </c>
      <c r="Z1828" s="17" t="s">
        <v>772</v>
      </c>
      <c r="AA1828" s="210">
        <v>6000</v>
      </c>
      <c r="AB1828" s="9">
        <v>25</v>
      </c>
      <c r="AC1828" s="9">
        <v>3</v>
      </c>
      <c r="AD1828" s="17">
        <v>46208</v>
      </c>
      <c r="AE1828" s="56">
        <v>250</v>
      </c>
      <c r="AF1828" s="56"/>
      <c r="AP1828" s="11"/>
      <c r="AQ1828" s="11"/>
      <c r="AR1828" s="11"/>
      <c r="AW1828" s="9"/>
      <c r="BD1828" s="9"/>
      <c r="CS1828" s="11">
        <f t="shared" si="128"/>
        <v>0</v>
      </c>
      <c r="CT1828" s="22">
        <f t="shared" si="129"/>
        <v>0</v>
      </c>
      <c r="CU1828" s="22">
        <f t="shared" si="130"/>
        <v>0</v>
      </c>
      <c r="CV1828" s="26">
        <f t="shared" si="127"/>
        <v>250</v>
      </c>
    </row>
    <row r="1829" spans="1:100" x14ac:dyDescent="0.2">
      <c r="A1829" s="9" t="s">
        <v>448</v>
      </c>
      <c r="B1829" s="2">
        <v>139</v>
      </c>
      <c r="C1829" s="3" t="s">
        <v>95</v>
      </c>
      <c r="D1829" s="3" t="s">
        <v>96</v>
      </c>
      <c r="E1829" s="2"/>
      <c r="F1829" s="2"/>
      <c r="G1829" s="2" t="s">
        <v>84</v>
      </c>
      <c r="H1829" s="2">
        <v>2</v>
      </c>
      <c r="I1829" s="8">
        <v>123.71</v>
      </c>
      <c r="J1829" s="8">
        <v>54982</v>
      </c>
      <c r="K1829" s="3">
        <v>0</v>
      </c>
      <c r="L1829" s="3" t="s">
        <v>3</v>
      </c>
      <c r="M1829" s="9" t="s">
        <v>0</v>
      </c>
      <c r="N1829" s="9" t="s">
        <v>38</v>
      </c>
      <c r="O1829" s="9" t="s">
        <v>449</v>
      </c>
      <c r="S1829" s="9" t="s">
        <v>450</v>
      </c>
      <c r="T1829" s="2"/>
      <c r="U1829" s="2"/>
      <c r="V1829" s="2">
        <v>12.5</v>
      </c>
      <c r="W1829" s="10"/>
      <c r="X1829" s="17">
        <v>44591</v>
      </c>
      <c r="Y1829" s="17">
        <v>44595</v>
      </c>
      <c r="Z1829" s="17" t="s">
        <v>772</v>
      </c>
      <c r="AA1829" s="210">
        <v>6000</v>
      </c>
      <c r="AB1829" s="9">
        <v>25</v>
      </c>
      <c r="AC1829" s="9">
        <v>4</v>
      </c>
      <c r="AD1829" s="17">
        <v>46239</v>
      </c>
      <c r="AE1829" s="56">
        <v>250</v>
      </c>
      <c r="AF1829" s="56"/>
      <c r="AP1829" s="11"/>
      <c r="AQ1829" s="11"/>
      <c r="AR1829" s="11"/>
      <c r="AW1829" s="9"/>
      <c r="BD1829" s="9"/>
      <c r="CS1829" s="11">
        <f t="shared" si="128"/>
        <v>0</v>
      </c>
      <c r="CT1829" s="22">
        <f t="shared" si="129"/>
        <v>0</v>
      </c>
      <c r="CU1829" s="22">
        <f t="shared" si="130"/>
        <v>0</v>
      </c>
      <c r="CV1829" s="26">
        <f t="shared" si="127"/>
        <v>250</v>
      </c>
    </row>
    <row r="1830" spans="1:100" x14ac:dyDescent="0.2">
      <c r="A1830" s="9" t="s">
        <v>448</v>
      </c>
      <c r="B1830" s="2">
        <v>139</v>
      </c>
      <c r="C1830" s="3" t="s">
        <v>95</v>
      </c>
      <c r="D1830" s="3" t="s">
        <v>96</v>
      </c>
      <c r="E1830" s="2"/>
      <c r="F1830" s="2"/>
      <c r="G1830" s="2" t="s">
        <v>84</v>
      </c>
      <c r="H1830" s="2">
        <v>2</v>
      </c>
      <c r="I1830" s="8">
        <v>123.71</v>
      </c>
      <c r="J1830" s="8">
        <v>54982</v>
      </c>
      <c r="K1830" s="3">
        <v>0</v>
      </c>
      <c r="L1830" s="3" t="s">
        <v>3</v>
      </c>
      <c r="M1830" s="9" t="s">
        <v>0</v>
      </c>
      <c r="N1830" s="9" t="s">
        <v>38</v>
      </c>
      <c r="O1830" s="9" t="s">
        <v>449</v>
      </c>
      <c r="S1830" s="9" t="s">
        <v>450</v>
      </c>
      <c r="T1830" s="2"/>
      <c r="U1830" s="2"/>
      <c r="V1830" s="2">
        <v>12.5</v>
      </c>
      <c r="W1830" s="10"/>
      <c r="X1830" s="17">
        <v>44591</v>
      </c>
      <c r="Y1830" s="17">
        <v>44595</v>
      </c>
      <c r="Z1830" s="17" t="s">
        <v>772</v>
      </c>
      <c r="AA1830" s="210">
        <v>6000</v>
      </c>
      <c r="AB1830" s="9">
        <v>25</v>
      </c>
      <c r="AC1830" s="9">
        <v>5</v>
      </c>
      <c r="AD1830" s="17">
        <v>46270</v>
      </c>
      <c r="AE1830" s="56">
        <v>250</v>
      </c>
      <c r="AF1830" s="56"/>
      <c r="AP1830" s="11"/>
      <c r="AQ1830" s="11"/>
      <c r="AR1830" s="11"/>
      <c r="AW1830" s="9"/>
      <c r="BD1830" s="9"/>
      <c r="CS1830" s="11">
        <f t="shared" si="128"/>
        <v>0</v>
      </c>
      <c r="CT1830" s="22">
        <f t="shared" si="129"/>
        <v>0</v>
      </c>
      <c r="CU1830" s="22">
        <f t="shared" si="130"/>
        <v>0</v>
      </c>
      <c r="CV1830" s="26">
        <f t="shared" si="127"/>
        <v>250</v>
      </c>
    </row>
    <row r="1831" spans="1:100" x14ac:dyDescent="0.2">
      <c r="A1831" s="9" t="s">
        <v>448</v>
      </c>
      <c r="B1831" s="2">
        <v>139</v>
      </c>
      <c r="C1831" s="3" t="s">
        <v>95</v>
      </c>
      <c r="D1831" s="3" t="s">
        <v>96</v>
      </c>
      <c r="E1831" s="2"/>
      <c r="F1831" s="2"/>
      <c r="G1831" s="2" t="s">
        <v>84</v>
      </c>
      <c r="H1831" s="2">
        <v>2</v>
      </c>
      <c r="I1831" s="8">
        <v>123.71</v>
      </c>
      <c r="J1831" s="8">
        <v>54982</v>
      </c>
      <c r="K1831" s="3">
        <v>0</v>
      </c>
      <c r="L1831" s="3" t="s">
        <v>3</v>
      </c>
      <c r="M1831" s="9" t="s">
        <v>0</v>
      </c>
      <c r="N1831" s="9" t="s">
        <v>38</v>
      </c>
      <c r="O1831" s="9" t="s">
        <v>449</v>
      </c>
      <c r="S1831" s="9" t="s">
        <v>450</v>
      </c>
      <c r="T1831" s="2"/>
      <c r="U1831" s="2"/>
      <c r="V1831" s="2">
        <v>12.5</v>
      </c>
      <c r="W1831" s="10"/>
      <c r="X1831" s="17">
        <v>44591</v>
      </c>
      <c r="Y1831" s="17">
        <v>44595</v>
      </c>
      <c r="Z1831" s="17" t="s">
        <v>772</v>
      </c>
      <c r="AA1831" s="210">
        <v>6000</v>
      </c>
      <c r="AB1831" s="9">
        <v>25</v>
      </c>
      <c r="AC1831" s="9">
        <v>6</v>
      </c>
      <c r="AD1831" s="17">
        <v>46300</v>
      </c>
      <c r="AE1831" s="56">
        <v>250</v>
      </c>
      <c r="AF1831" s="56"/>
      <c r="AP1831" s="11"/>
      <c r="AQ1831" s="11"/>
      <c r="AR1831" s="11"/>
      <c r="AW1831" s="9"/>
      <c r="BD1831" s="9"/>
      <c r="CS1831" s="11">
        <f t="shared" si="128"/>
        <v>0</v>
      </c>
      <c r="CT1831" s="22">
        <f t="shared" si="129"/>
        <v>0</v>
      </c>
      <c r="CU1831" s="22">
        <f t="shared" si="130"/>
        <v>0</v>
      </c>
      <c r="CV1831" s="26">
        <f t="shared" si="127"/>
        <v>250</v>
      </c>
    </row>
    <row r="1832" spans="1:100" x14ac:dyDescent="0.2">
      <c r="A1832" s="9" t="s">
        <v>448</v>
      </c>
      <c r="B1832" s="2">
        <v>139</v>
      </c>
      <c r="C1832" s="3" t="s">
        <v>95</v>
      </c>
      <c r="D1832" s="3" t="s">
        <v>96</v>
      </c>
      <c r="E1832" s="2"/>
      <c r="F1832" s="2"/>
      <c r="G1832" s="2" t="s">
        <v>84</v>
      </c>
      <c r="H1832" s="2">
        <v>2</v>
      </c>
      <c r="I1832" s="8">
        <v>123.71</v>
      </c>
      <c r="J1832" s="8">
        <v>54982</v>
      </c>
      <c r="K1832" s="3">
        <v>0</v>
      </c>
      <c r="L1832" s="3" t="s">
        <v>3</v>
      </c>
      <c r="M1832" s="9" t="s">
        <v>0</v>
      </c>
      <c r="N1832" s="9" t="s">
        <v>38</v>
      </c>
      <c r="O1832" s="9" t="s">
        <v>449</v>
      </c>
      <c r="S1832" s="9" t="s">
        <v>450</v>
      </c>
      <c r="T1832" s="2"/>
      <c r="U1832" s="2"/>
      <c r="V1832" s="2">
        <v>12.5</v>
      </c>
      <c r="W1832" s="10"/>
      <c r="X1832" s="17">
        <v>44591</v>
      </c>
      <c r="Y1832" s="17">
        <v>44595</v>
      </c>
      <c r="Z1832" s="17" t="s">
        <v>772</v>
      </c>
      <c r="AA1832" s="210">
        <v>6000</v>
      </c>
      <c r="AB1832" s="9">
        <v>25</v>
      </c>
      <c r="AC1832" s="9">
        <v>7</v>
      </c>
      <c r="AD1832" s="17">
        <v>46331</v>
      </c>
      <c r="AE1832" s="56">
        <v>250</v>
      </c>
      <c r="AF1832" s="56"/>
      <c r="AP1832" s="11"/>
      <c r="AQ1832" s="11"/>
      <c r="AR1832" s="11"/>
      <c r="AW1832" s="9"/>
      <c r="BD1832" s="9"/>
      <c r="CS1832" s="11">
        <f t="shared" si="128"/>
        <v>0</v>
      </c>
      <c r="CT1832" s="22">
        <f t="shared" si="129"/>
        <v>0</v>
      </c>
      <c r="CU1832" s="22">
        <f t="shared" si="130"/>
        <v>0</v>
      </c>
      <c r="CV1832" s="26">
        <f t="shared" si="127"/>
        <v>250</v>
      </c>
    </row>
    <row r="1833" spans="1:100" x14ac:dyDescent="0.2">
      <c r="A1833" s="9" t="s">
        <v>448</v>
      </c>
      <c r="B1833" s="2">
        <v>139</v>
      </c>
      <c r="C1833" s="3" t="s">
        <v>95</v>
      </c>
      <c r="D1833" s="3" t="s">
        <v>96</v>
      </c>
      <c r="E1833" s="2"/>
      <c r="F1833" s="2"/>
      <c r="G1833" s="2" t="s">
        <v>84</v>
      </c>
      <c r="H1833" s="2">
        <v>2</v>
      </c>
      <c r="I1833" s="8">
        <v>123.71</v>
      </c>
      <c r="J1833" s="8">
        <v>54982</v>
      </c>
      <c r="K1833" s="3">
        <v>0</v>
      </c>
      <c r="L1833" s="3" t="s">
        <v>3</v>
      </c>
      <c r="M1833" s="9" t="s">
        <v>0</v>
      </c>
      <c r="N1833" s="9" t="s">
        <v>38</v>
      </c>
      <c r="O1833" s="9" t="s">
        <v>449</v>
      </c>
      <c r="S1833" s="9" t="s">
        <v>450</v>
      </c>
      <c r="T1833" s="2"/>
      <c r="U1833" s="2"/>
      <c r="V1833" s="2">
        <v>12.5</v>
      </c>
      <c r="W1833" s="10"/>
      <c r="X1833" s="17">
        <v>44591</v>
      </c>
      <c r="Y1833" s="17">
        <v>44595</v>
      </c>
      <c r="Z1833" s="17" t="s">
        <v>772</v>
      </c>
      <c r="AA1833" s="210">
        <v>6000</v>
      </c>
      <c r="AB1833" s="9">
        <v>25</v>
      </c>
      <c r="AC1833" s="9">
        <v>8</v>
      </c>
      <c r="AD1833" s="17">
        <v>46361</v>
      </c>
      <c r="AE1833" s="56">
        <v>250</v>
      </c>
      <c r="AF1833" s="56"/>
      <c r="AP1833" s="11"/>
      <c r="AQ1833" s="11"/>
      <c r="AR1833" s="11"/>
      <c r="AW1833" s="9"/>
      <c r="BD1833" s="9"/>
      <c r="CS1833" s="11">
        <f t="shared" si="128"/>
        <v>0</v>
      </c>
      <c r="CT1833" s="22">
        <f t="shared" si="129"/>
        <v>0</v>
      </c>
      <c r="CU1833" s="22">
        <f t="shared" si="130"/>
        <v>0</v>
      </c>
      <c r="CV1833" s="26">
        <f t="shared" si="127"/>
        <v>250</v>
      </c>
    </row>
    <row r="1834" spans="1:100" x14ac:dyDescent="0.2">
      <c r="A1834" s="9" t="s">
        <v>448</v>
      </c>
      <c r="B1834" s="2">
        <v>139</v>
      </c>
      <c r="C1834" s="3" t="s">
        <v>95</v>
      </c>
      <c r="D1834" s="3" t="s">
        <v>96</v>
      </c>
      <c r="E1834" s="2"/>
      <c r="F1834" s="2"/>
      <c r="G1834" s="2" t="s">
        <v>84</v>
      </c>
      <c r="H1834" s="2">
        <v>2</v>
      </c>
      <c r="I1834" s="8">
        <v>123.71</v>
      </c>
      <c r="J1834" s="8">
        <v>54982</v>
      </c>
      <c r="K1834" s="3">
        <v>0</v>
      </c>
      <c r="L1834" s="3" t="s">
        <v>3</v>
      </c>
      <c r="M1834" s="9" t="s">
        <v>0</v>
      </c>
      <c r="N1834" s="9" t="s">
        <v>38</v>
      </c>
      <c r="O1834" s="9" t="s">
        <v>449</v>
      </c>
      <c r="S1834" s="9" t="s">
        <v>450</v>
      </c>
      <c r="T1834" s="2"/>
      <c r="U1834" s="2"/>
      <c r="V1834" s="2">
        <v>12.5</v>
      </c>
      <c r="W1834" s="10"/>
      <c r="X1834" s="17">
        <v>44591</v>
      </c>
      <c r="Y1834" s="17">
        <v>44595</v>
      </c>
      <c r="Z1834" s="17" t="s">
        <v>772</v>
      </c>
      <c r="AA1834" s="210">
        <v>6000</v>
      </c>
      <c r="AB1834" s="9">
        <v>25</v>
      </c>
      <c r="AC1834" s="9">
        <v>9</v>
      </c>
      <c r="AD1834" s="17">
        <v>46392</v>
      </c>
      <c r="AE1834" s="56">
        <v>250</v>
      </c>
      <c r="AF1834" s="56"/>
      <c r="AP1834" s="11"/>
      <c r="AQ1834" s="11"/>
      <c r="AR1834" s="11"/>
      <c r="AW1834" s="9"/>
      <c r="BD1834" s="9"/>
      <c r="CS1834" s="11">
        <f t="shared" si="128"/>
        <v>0</v>
      </c>
      <c r="CT1834" s="22">
        <f t="shared" si="129"/>
        <v>0</v>
      </c>
      <c r="CU1834" s="22">
        <f t="shared" si="130"/>
        <v>0</v>
      </c>
      <c r="CV1834" s="26">
        <f t="shared" si="127"/>
        <v>250</v>
      </c>
    </row>
    <row r="1835" spans="1:100" x14ac:dyDescent="0.2">
      <c r="A1835" s="9" t="s">
        <v>448</v>
      </c>
      <c r="B1835" s="2">
        <v>139</v>
      </c>
      <c r="C1835" s="3" t="s">
        <v>95</v>
      </c>
      <c r="D1835" s="3" t="s">
        <v>96</v>
      </c>
      <c r="E1835" s="2"/>
      <c r="F1835" s="2"/>
      <c r="G1835" s="2" t="s">
        <v>84</v>
      </c>
      <c r="H1835" s="2">
        <v>2</v>
      </c>
      <c r="I1835" s="8">
        <v>123.71</v>
      </c>
      <c r="J1835" s="8">
        <v>54982</v>
      </c>
      <c r="K1835" s="3">
        <v>0</v>
      </c>
      <c r="L1835" s="3" t="s">
        <v>3</v>
      </c>
      <c r="M1835" s="9" t="s">
        <v>0</v>
      </c>
      <c r="N1835" s="9" t="s">
        <v>38</v>
      </c>
      <c r="O1835" s="9" t="s">
        <v>449</v>
      </c>
      <c r="S1835" s="9" t="s">
        <v>450</v>
      </c>
      <c r="T1835" s="2"/>
      <c r="U1835" s="2"/>
      <c r="V1835" s="2">
        <v>12.5</v>
      </c>
      <c r="W1835" s="10"/>
      <c r="X1835" s="17">
        <v>44591</v>
      </c>
      <c r="Y1835" s="17">
        <v>44595</v>
      </c>
      <c r="Z1835" s="17" t="s">
        <v>772</v>
      </c>
      <c r="AA1835" s="210">
        <v>6000</v>
      </c>
      <c r="AB1835" s="9">
        <v>25</v>
      </c>
      <c r="AC1835" s="9">
        <v>10</v>
      </c>
      <c r="AD1835" s="17">
        <v>46423</v>
      </c>
      <c r="AE1835" s="56">
        <v>250</v>
      </c>
      <c r="AF1835" s="56"/>
      <c r="AP1835" s="11"/>
      <c r="AQ1835" s="11"/>
      <c r="AR1835" s="11"/>
      <c r="AW1835" s="9"/>
      <c r="BD1835" s="9"/>
      <c r="CS1835" s="11">
        <f t="shared" si="128"/>
        <v>0</v>
      </c>
      <c r="CT1835" s="22">
        <f t="shared" si="129"/>
        <v>0</v>
      </c>
      <c r="CU1835" s="22">
        <f t="shared" si="130"/>
        <v>0</v>
      </c>
      <c r="CV1835" s="26">
        <f t="shared" si="127"/>
        <v>250</v>
      </c>
    </row>
    <row r="1836" spans="1:100" x14ac:dyDescent="0.2">
      <c r="A1836" s="9" t="s">
        <v>448</v>
      </c>
      <c r="B1836" s="2">
        <v>139</v>
      </c>
      <c r="C1836" s="3" t="s">
        <v>95</v>
      </c>
      <c r="D1836" s="3" t="s">
        <v>96</v>
      </c>
      <c r="E1836" s="2"/>
      <c r="F1836" s="2"/>
      <c r="G1836" s="2" t="s">
        <v>84</v>
      </c>
      <c r="H1836" s="2">
        <v>2</v>
      </c>
      <c r="I1836" s="8">
        <v>123.71</v>
      </c>
      <c r="J1836" s="8">
        <v>54982</v>
      </c>
      <c r="K1836" s="3">
        <v>0</v>
      </c>
      <c r="L1836" s="3" t="s">
        <v>3</v>
      </c>
      <c r="M1836" s="9" t="s">
        <v>0</v>
      </c>
      <c r="N1836" s="9" t="s">
        <v>38</v>
      </c>
      <c r="O1836" s="9" t="s">
        <v>449</v>
      </c>
      <c r="S1836" s="9" t="s">
        <v>450</v>
      </c>
      <c r="T1836" s="2"/>
      <c r="U1836" s="2"/>
      <c r="V1836" s="2">
        <v>12.5</v>
      </c>
      <c r="W1836" s="10"/>
      <c r="X1836" s="17">
        <v>44591</v>
      </c>
      <c r="Y1836" s="17">
        <v>44595</v>
      </c>
      <c r="Z1836" s="17" t="s">
        <v>772</v>
      </c>
      <c r="AA1836" s="210">
        <v>6000</v>
      </c>
      <c r="AB1836" s="9">
        <v>25</v>
      </c>
      <c r="AC1836" s="9">
        <v>11</v>
      </c>
      <c r="AD1836" s="17">
        <v>46451</v>
      </c>
      <c r="AE1836" s="56">
        <v>250</v>
      </c>
      <c r="AF1836" s="56"/>
      <c r="AP1836" s="11"/>
      <c r="AQ1836" s="11"/>
      <c r="AR1836" s="11"/>
      <c r="AW1836" s="9"/>
      <c r="BD1836" s="9"/>
      <c r="CS1836" s="11">
        <f t="shared" si="128"/>
        <v>0</v>
      </c>
      <c r="CT1836" s="22">
        <f t="shared" si="129"/>
        <v>0</v>
      </c>
      <c r="CU1836" s="22">
        <f t="shared" si="130"/>
        <v>0</v>
      </c>
      <c r="CV1836" s="26">
        <f t="shared" si="127"/>
        <v>250</v>
      </c>
    </row>
    <row r="1837" spans="1:100" x14ac:dyDescent="0.2">
      <c r="A1837" s="9" t="s">
        <v>448</v>
      </c>
      <c r="B1837" s="2">
        <v>139</v>
      </c>
      <c r="C1837" s="3" t="s">
        <v>95</v>
      </c>
      <c r="D1837" s="3" t="s">
        <v>96</v>
      </c>
      <c r="E1837" s="2"/>
      <c r="F1837" s="2"/>
      <c r="G1837" s="2" t="s">
        <v>84</v>
      </c>
      <c r="H1837" s="2">
        <v>2</v>
      </c>
      <c r="I1837" s="8">
        <v>123.71</v>
      </c>
      <c r="J1837" s="8">
        <v>54982</v>
      </c>
      <c r="K1837" s="3">
        <v>0</v>
      </c>
      <c r="L1837" s="3" t="s">
        <v>3</v>
      </c>
      <c r="M1837" s="9" t="s">
        <v>0</v>
      </c>
      <c r="N1837" s="9" t="s">
        <v>38</v>
      </c>
      <c r="O1837" s="9" t="s">
        <v>449</v>
      </c>
      <c r="S1837" s="9" t="s">
        <v>450</v>
      </c>
      <c r="T1837" s="2"/>
      <c r="U1837" s="2"/>
      <c r="V1837" s="2">
        <v>12.5</v>
      </c>
      <c r="W1837" s="10"/>
      <c r="X1837" s="17">
        <v>44591</v>
      </c>
      <c r="Y1837" s="17">
        <v>44595</v>
      </c>
      <c r="Z1837" s="17" t="s">
        <v>772</v>
      </c>
      <c r="AA1837" s="210">
        <v>6000</v>
      </c>
      <c r="AB1837" s="9">
        <v>25</v>
      </c>
      <c r="AC1837" s="9">
        <v>12</v>
      </c>
      <c r="AD1837" s="17">
        <v>46482</v>
      </c>
      <c r="AE1837" s="56">
        <v>250</v>
      </c>
      <c r="AF1837" s="56"/>
      <c r="AP1837" s="11"/>
      <c r="AQ1837" s="11"/>
      <c r="AR1837" s="11"/>
      <c r="AW1837" s="9"/>
      <c r="BD1837" s="9"/>
      <c r="CS1837" s="11">
        <f t="shared" si="128"/>
        <v>0</v>
      </c>
      <c r="CT1837" s="22">
        <f t="shared" si="129"/>
        <v>0</v>
      </c>
      <c r="CU1837" s="22">
        <f t="shared" si="130"/>
        <v>0</v>
      </c>
      <c r="CV1837" s="26">
        <f t="shared" si="127"/>
        <v>250</v>
      </c>
    </row>
    <row r="1838" spans="1:100" x14ac:dyDescent="0.2">
      <c r="A1838" s="9" t="s">
        <v>448</v>
      </c>
      <c r="B1838" s="2">
        <v>139</v>
      </c>
      <c r="C1838" s="3" t="s">
        <v>95</v>
      </c>
      <c r="D1838" s="3" t="s">
        <v>96</v>
      </c>
      <c r="E1838" s="2"/>
      <c r="F1838" s="2"/>
      <c r="G1838" s="2" t="s">
        <v>84</v>
      </c>
      <c r="H1838" s="2">
        <v>2</v>
      </c>
      <c r="I1838" s="8">
        <v>123.71</v>
      </c>
      <c r="J1838" s="8">
        <v>54982</v>
      </c>
      <c r="K1838" s="3">
        <v>0</v>
      </c>
      <c r="L1838" s="3" t="s">
        <v>3</v>
      </c>
      <c r="M1838" s="9" t="s">
        <v>0</v>
      </c>
      <c r="N1838" s="9" t="s">
        <v>38</v>
      </c>
      <c r="O1838" s="9" t="s">
        <v>449</v>
      </c>
      <c r="S1838" s="9" t="s">
        <v>450</v>
      </c>
      <c r="T1838" s="2"/>
      <c r="U1838" s="2"/>
      <c r="V1838" s="2">
        <v>12.5</v>
      </c>
      <c r="W1838" s="10"/>
      <c r="X1838" s="17">
        <v>44591</v>
      </c>
      <c r="Y1838" s="17">
        <v>44595</v>
      </c>
      <c r="Z1838" s="17" t="s">
        <v>772</v>
      </c>
      <c r="AA1838" s="210">
        <v>6000</v>
      </c>
      <c r="AB1838" s="9">
        <v>25</v>
      </c>
      <c r="AC1838" s="9">
        <v>13</v>
      </c>
      <c r="AD1838" s="17">
        <v>46512</v>
      </c>
      <c r="AE1838" s="56">
        <v>250</v>
      </c>
      <c r="AF1838" s="56"/>
      <c r="AP1838" s="11"/>
      <c r="AQ1838" s="11"/>
      <c r="AR1838" s="11"/>
      <c r="AW1838" s="9"/>
      <c r="BD1838" s="9"/>
      <c r="CS1838" s="11">
        <f t="shared" si="128"/>
        <v>0</v>
      </c>
      <c r="CT1838" s="22">
        <f t="shared" si="129"/>
        <v>0</v>
      </c>
      <c r="CU1838" s="22">
        <f t="shared" si="130"/>
        <v>0</v>
      </c>
      <c r="CV1838" s="26">
        <f t="shared" si="127"/>
        <v>250</v>
      </c>
    </row>
    <row r="1839" spans="1:100" x14ac:dyDescent="0.2">
      <c r="A1839" s="9" t="s">
        <v>448</v>
      </c>
      <c r="B1839" s="2">
        <v>139</v>
      </c>
      <c r="C1839" s="3" t="s">
        <v>95</v>
      </c>
      <c r="D1839" s="3" t="s">
        <v>96</v>
      </c>
      <c r="E1839" s="2"/>
      <c r="F1839" s="2"/>
      <c r="G1839" s="2" t="s">
        <v>84</v>
      </c>
      <c r="H1839" s="2">
        <v>2</v>
      </c>
      <c r="I1839" s="8">
        <v>123.71</v>
      </c>
      <c r="J1839" s="8">
        <v>54982</v>
      </c>
      <c r="K1839" s="3">
        <v>0</v>
      </c>
      <c r="L1839" s="3" t="s">
        <v>3</v>
      </c>
      <c r="M1839" s="9" t="s">
        <v>0</v>
      </c>
      <c r="N1839" s="9" t="s">
        <v>38</v>
      </c>
      <c r="O1839" s="9" t="s">
        <v>449</v>
      </c>
      <c r="S1839" s="9" t="s">
        <v>450</v>
      </c>
      <c r="T1839" s="2"/>
      <c r="U1839" s="2"/>
      <c r="V1839" s="2">
        <v>12.5</v>
      </c>
      <c r="W1839" s="10"/>
      <c r="X1839" s="17">
        <v>44591</v>
      </c>
      <c r="Y1839" s="17">
        <v>44595</v>
      </c>
      <c r="Z1839" s="17" t="s">
        <v>772</v>
      </c>
      <c r="AA1839" s="210">
        <v>6000</v>
      </c>
      <c r="AB1839" s="9">
        <v>25</v>
      </c>
      <c r="AC1839" s="9">
        <v>14</v>
      </c>
      <c r="AD1839" s="17">
        <v>46543</v>
      </c>
      <c r="AE1839" s="56">
        <v>250</v>
      </c>
      <c r="AF1839" s="56"/>
      <c r="AP1839" s="11"/>
      <c r="AQ1839" s="11"/>
      <c r="AR1839" s="11"/>
      <c r="AW1839" s="9"/>
      <c r="BD1839" s="9"/>
      <c r="CS1839" s="11">
        <f t="shared" si="128"/>
        <v>0</v>
      </c>
      <c r="CT1839" s="22">
        <f t="shared" si="129"/>
        <v>0</v>
      </c>
      <c r="CU1839" s="22">
        <f t="shared" si="130"/>
        <v>0</v>
      </c>
      <c r="CV1839" s="26">
        <f t="shared" si="127"/>
        <v>250</v>
      </c>
    </row>
    <row r="1840" spans="1:100" x14ac:dyDescent="0.2">
      <c r="A1840" s="9" t="s">
        <v>448</v>
      </c>
      <c r="B1840" s="2">
        <v>139</v>
      </c>
      <c r="C1840" s="3" t="s">
        <v>95</v>
      </c>
      <c r="D1840" s="3" t="s">
        <v>96</v>
      </c>
      <c r="E1840" s="2"/>
      <c r="F1840" s="2"/>
      <c r="G1840" s="2" t="s">
        <v>84</v>
      </c>
      <c r="H1840" s="2">
        <v>2</v>
      </c>
      <c r="I1840" s="8">
        <v>123.71</v>
      </c>
      <c r="J1840" s="8">
        <v>54982</v>
      </c>
      <c r="K1840" s="3">
        <v>0</v>
      </c>
      <c r="L1840" s="3" t="s">
        <v>3</v>
      </c>
      <c r="M1840" s="9" t="s">
        <v>0</v>
      </c>
      <c r="N1840" s="9" t="s">
        <v>38</v>
      </c>
      <c r="O1840" s="9" t="s">
        <v>449</v>
      </c>
      <c r="S1840" s="9" t="s">
        <v>450</v>
      </c>
      <c r="T1840" s="2"/>
      <c r="U1840" s="2"/>
      <c r="V1840" s="2">
        <v>12.5</v>
      </c>
      <c r="W1840" s="10"/>
      <c r="X1840" s="17">
        <v>44591</v>
      </c>
      <c r="Y1840" s="17">
        <v>44595</v>
      </c>
      <c r="Z1840" s="17" t="s">
        <v>772</v>
      </c>
      <c r="AA1840" s="210">
        <v>6000</v>
      </c>
      <c r="AB1840" s="9">
        <v>25</v>
      </c>
      <c r="AC1840" s="9">
        <v>15</v>
      </c>
      <c r="AD1840" s="17">
        <v>46573</v>
      </c>
      <c r="AE1840" s="56">
        <v>250</v>
      </c>
      <c r="AF1840" s="56"/>
      <c r="AP1840" s="11"/>
      <c r="AQ1840" s="11"/>
      <c r="AR1840" s="11"/>
      <c r="AW1840" s="9"/>
      <c r="BD1840" s="9"/>
      <c r="CS1840" s="11">
        <f t="shared" si="128"/>
        <v>0</v>
      </c>
      <c r="CT1840" s="22">
        <f t="shared" si="129"/>
        <v>0</v>
      </c>
      <c r="CU1840" s="22">
        <f t="shared" si="130"/>
        <v>0</v>
      </c>
      <c r="CV1840" s="26">
        <f t="shared" si="127"/>
        <v>250</v>
      </c>
    </row>
    <row r="1841" spans="1:103" x14ac:dyDescent="0.2">
      <c r="A1841" s="9" t="s">
        <v>448</v>
      </c>
      <c r="B1841" s="2">
        <v>139</v>
      </c>
      <c r="C1841" s="3" t="s">
        <v>95</v>
      </c>
      <c r="D1841" s="3" t="s">
        <v>96</v>
      </c>
      <c r="E1841" s="2"/>
      <c r="F1841" s="2"/>
      <c r="G1841" s="2" t="s">
        <v>84</v>
      </c>
      <c r="H1841" s="2">
        <v>2</v>
      </c>
      <c r="I1841" s="8">
        <v>123.71</v>
      </c>
      <c r="J1841" s="8">
        <v>54982</v>
      </c>
      <c r="K1841" s="3">
        <v>0</v>
      </c>
      <c r="L1841" s="3" t="s">
        <v>3</v>
      </c>
      <c r="M1841" s="9" t="s">
        <v>0</v>
      </c>
      <c r="N1841" s="9" t="s">
        <v>38</v>
      </c>
      <c r="O1841" s="9" t="s">
        <v>449</v>
      </c>
      <c r="S1841" s="9" t="s">
        <v>450</v>
      </c>
      <c r="T1841" s="2"/>
      <c r="U1841" s="2"/>
      <c r="V1841" s="2">
        <v>12.5</v>
      </c>
      <c r="W1841" s="10"/>
      <c r="X1841" s="17">
        <v>44591</v>
      </c>
      <c r="Y1841" s="17">
        <v>44595</v>
      </c>
      <c r="Z1841" s="17" t="s">
        <v>772</v>
      </c>
      <c r="AA1841" s="210">
        <v>6000</v>
      </c>
      <c r="AB1841" s="9">
        <v>25</v>
      </c>
      <c r="AC1841" s="9">
        <v>16</v>
      </c>
      <c r="AD1841" s="17">
        <v>46604</v>
      </c>
      <c r="AE1841" s="56">
        <v>250</v>
      </c>
      <c r="AF1841" s="56"/>
      <c r="AP1841" s="11"/>
      <c r="AQ1841" s="11"/>
      <c r="AR1841" s="11"/>
      <c r="AW1841" s="9"/>
      <c r="BD1841" s="9"/>
      <c r="CS1841" s="11">
        <f t="shared" si="128"/>
        <v>0</v>
      </c>
      <c r="CT1841" s="22">
        <f t="shared" si="129"/>
        <v>0</v>
      </c>
      <c r="CU1841" s="22">
        <f t="shared" si="130"/>
        <v>0</v>
      </c>
      <c r="CV1841" s="26">
        <f t="shared" si="127"/>
        <v>250</v>
      </c>
    </row>
    <row r="1842" spans="1:103" x14ac:dyDescent="0.2">
      <c r="A1842" s="9" t="s">
        <v>448</v>
      </c>
      <c r="B1842" s="2">
        <v>139</v>
      </c>
      <c r="C1842" s="3" t="s">
        <v>95</v>
      </c>
      <c r="D1842" s="3" t="s">
        <v>96</v>
      </c>
      <c r="E1842" s="2"/>
      <c r="F1842" s="2"/>
      <c r="G1842" s="2" t="s">
        <v>84</v>
      </c>
      <c r="H1842" s="2">
        <v>2</v>
      </c>
      <c r="I1842" s="8">
        <v>123.71</v>
      </c>
      <c r="J1842" s="8">
        <v>54982</v>
      </c>
      <c r="K1842" s="3">
        <v>0</v>
      </c>
      <c r="L1842" s="3" t="s">
        <v>3</v>
      </c>
      <c r="M1842" s="9" t="s">
        <v>0</v>
      </c>
      <c r="N1842" s="9" t="s">
        <v>38</v>
      </c>
      <c r="O1842" s="9" t="s">
        <v>449</v>
      </c>
      <c r="S1842" s="9" t="s">
        <v>450</v>
      </c>
      <c r="T1842" s="2"/>
      <c r="U1842" s="2"/>
      <c r="V1842" s="2">
        <v>12.5</v>
      </c>
      <c r="W1842" s="10"/>
      <c r="X1842" s="17">
        <v>44591</v>
      </c>
      <c r="Y1842" s="17">
        <v>44595</v>
      </c>
      <c r="Z1842" s="17" t="s">
        <v>772</v>
      </c>
      <c r="AA1842" s="210">
        <v>6000</v>
      </c>
      <c r="AB1842" s="9">
        <v>25</v>
      </c>
      <c r="AC1842" s="9">
        <v>17</v>
      </c>
      <c r="AD1842" s="17">
        <v>46635</v>
      </c>
      <c r="AE1842" s="56">
        <v>250</v>
      </c>
      <c r="AF1842" s="56"/>
      <c r="AP1842" s="11"/>
      <c r="AQ1842" s="11"/>
      <c r="AR1842" s="11"/>
      <c r="AW1842" s="9"/>
      <c r="BD1842" s="9"/>
      <c r="CS1842" s="11">
        <f t="shared" si="128"/>
        <v>0</v>
      </c>
      <c r="CT1842" s="22">
        <f t="shared" si="129"/>
        <v>0</v>
      </c>
      <c r="CU1842" s="22">
        <f t="shared" si="130"/>
        <v>0</v>
      </c>
      <c r="CV1842" s="26">
        <f t="shared" si="127"/>
        <v>250</v>
      </c>
    </row>
    <row r="1843" spans="1:103" x14ac:dyDescent="0.2">
      <c r="A1843" s="9" t="s">
        <v>448</v>
      </c>
      <c r="B1843" s="2">
        <v>139</v>
      </c>
      <c r="C1843" s="3" t="s">
        <v>95</v>
      </c>
      <c r="D1843" s="3" t="s">
        <v>96</v>
      </c>
      <c r="E1843" s="2"/>
      <c r="F1843" s="2"/>
      <c r="G1843" s="2" t="s">
        <v>84</v>
      </c>
      <c r="H1843" s="2">
        <v>2</v>
      </c>
      <c r="I1843" s="8">
        <v>123.71</v>
      </c>
      <c r="J1843" s="8">
        <v>54982</v>
      </c>
      <c r="K1843" s="3">
        <v>0</v>
      </c>
      <c r="L1843" s="3" t="s">
        <v>3</v>
      </c>
      <c r="M1843" s="9" t="s">
        <v>0</v>
      </c>
      <c r="N1843" s="9" t="s">
        <v>38</v>
      </c>
      <c r="O1843" s="9" t="s">
        <v>449</v>
      </c>
      <c r="S1843" s="9" t="s">
        <v>450</v>
      </c>
      <c r="T1843" s="2"/>
      <c r="U1843" s="2"/>
      <c r="V1843" s="2">
        <v>12.5</v>
      </c>
      <c r="W1843" s="10"/>
      <c r="X1843" s="17">
        <v>44591</v>
      </c>
      <c r="Y1843" s="17">
        <v>44595</v>
      </c>
      <c r="Z1843" s="17" t="s">
        <v>772</v>
      </c>
      <c r="AA1843" s="210">
        <v>6000</v>
      </c>
      <c r="AB1843" s="9">
        <v>25</v>
      </c>
      <c r="AC1843" s="9">
        <v>18</v>
      </c>
      <c r="AD1843" s="17">
        <v>46665</v>
      </c>
      <c r="AE1843" s="56">
        <v>250</v>
      </c>
      <c r="AF1843" s="56"/>
      <c r="AP1843" s="11"/>
      <c r="AQ1843" s="11"/>
      <c r="AR1843" s="11"/>
      <c r="AW1843" s="9"/>
      <c r="BD1843" s="9"/>
      <c r="CS1843" s="11">
        <f t="shared" si="128"/>
        <v>0</v>
      </c>
      <c r="CT1843" s="22">
        <f t="shared" si="129"/>
        <v>0</v>
      </c>
      <c r="CU1843" s="22">
        <f t="shared" si="130"/>
        <v>0</v>
      </c>
      <c r="CV1843" s="26">
        <f t="shared" si="127"/>
        <v>250</v>
      </c>
    </row>
    <row r="1844" spans="1:103" x14ac:dyDescent="0.2">
      <c r="A1844" s="9" t="s">
        <v>448</v>
      </c>
      <c r="B1844" s="2">
        <v>139</v>
      </c>
      <c r="C1844" s="3" t="s">
        <v>95</v>
      </c>
      <c r="D1844" s="3" t="s">
        <v>96</v>
      </c>
      <c r="E1844" s="2"/>
      <c r="F1844" s="2"/>
      <c r="G1844" s="2" t="s">
        <v>84</v>
      </c>
      <c r="H1844" s="2">
        <v>2</v>
      </c>
      <c r="I1844" s="8">
        <v>123.71</v>
      </c>
      <c r="J1844" s="8">
        <v>54982</v>
      </c>
      <c r="K1844" s="3">
        <v>0</v>
      </c>
      <c r="L1844" s="3" t="s">
        <v>3</v>
      </c>
      <c r="M1844" s="9" t="s">
        <v>0</v>
      </c>
      <c r="N1844" s="9" t="s">
        <v>38</v>
      </c>
      <c r="O1844" s="9" t="s">
        <v>449</v>
      </c>
      <c r="S1844" s="9" t="s">
        <v>450</v>
      </c>
      <c r="T1844" s="2"/>
      <c r="U1844" s="2"/>
      <c r="V1844" s="2">
        <v>12.5</v>
      </c>
      <c r="W1844" s="10"/>
      <c r="X1844" s="17">
        <v>44591</v>
      </c>
      <c r="Y1844" s="17">
        <v>44595</v>
      </c>
      <c r="Z1844" s="17" t="s">
        <v>772</v>
      </c>
      <c r="AA1844" s="210">
        <v>6000</v>
      </c>
      <c r="AB1844" s="9">
        <v>25</v>
      </c>
      <c r="AC1844" s="9">
        <v>19</v>
      </c>
      <c r="AD1844" s="17">
        <v>46696</v>
      </c>
      <c r="AE1844" s="56">
        <v>250</v>
      </c>
      <c r="AF1844" s="56"/>
      <c r="AP1844" s="11"/>
      <c r="AQ1844" s="11"/>
      <c r="AR1844" s="11"/>
      <c r="AW1844" s="9"/>
      <c r="BD1844" s="9"/>
      <c r="CS1844" s="11">
        <f t="shared" si="128"/>
        <v>0</v>
      </c>
      <c r="CT1844" s="22">
        <f t="shared" si="129"/>
        <v>0</v>
      </c>
      <c r="CU1844" s="22">
        <f t="shared" si="130"/>
        <v>0</v>
      </c>
      <c r="CV1844" s="26">
        <f t="shared" si="127"/>
        <v>250</v>
      </c>
    </row>
    <row r="1845" spans="1:103" x14ac:dyDescent="0.2">
      <c r="A1845" s="9" t="s">
        <v>448</v>
      </c>
      <c r="B1845" s="2">
        <v>139</v>
      </c>
      <c r="C1845" s="3" t="s">
        <v>95</v>
      </c>
      <c r="D1845" s="3" t="s">
        <v>96</v>
      </c>
      <c r="E1845" s="2"/>
      <c r="F1845" s="2"/>
      <c r="G1845" s="2" t="s">
        <v>84</v>
      </c>
      <c r="H1845" s="2">
        <v>2</v>
      </c>
      <c r="I1845" s="8">
        <v>123.71</v>
      </c>
      <c r="J1845" s="8">
        <v>54982</v>
      </c>
      <c r="K1845" s="3">
        <v>0</v>
      </c>
      <c r="L1845" s="3" t="s">
        <v>3</v>
      </c>
      <c r="M1845" s="9" t="s">
        <v>0</v>
      </c>
      <c r="N1845" s="9" t="s">
        <v>38</v>
      </c>
      <c r="O1845" s="9" t="s">
        <v>449</v>
      </c>
      <c r="S1845" s="9" t="s">
        <v>450</v>
      </c>
      <c r="T1845" s="2"/>
      <c r="U1845" s="2"/>
      <c r="V1845" s="2">
        <v>12.5</v>
      </c>
      <c r="W1845" s="10"/>
      <c r="X1845" s="17">
        <v>44591</v>
      </c>
      <c r="Y1845" s="17">
        <v>44595</v>
      </c>
      <c r="Z1845" s="17" t="s">
        <v>772</v>
      </c>
      <c r="AA1845" s="210">
        <v>6000</v>
      </c>
      <c r="AB1845" s="9">
        <v>25</v>
      </c>
      <c r="AC1845" s="9">
        <v>20</v>
      </c>
      <c r="AD1845" s="17">
        <v>46726</v>
      </c>
      <c r="AE1845" s="56">
        <v>250</v>
      </c>
      <c r="AF1845" s="56"/>
      <c r="AP1845" s="11"/>
      <c r="AQ1845" s="11"/>
      <c r="AR1845" s="11"/>
      <c r="AW1845" s="9"/>
      <c r="BD1845" s="9"/>
      <c r="CS1845" s="11">
        <f t="shared" si="128"/>
        <v>0</v>
      </c>
      <c r="CT1845" s="22">
        <f t="shared" si="129"/>
        <v>0</v>
      </c>
      <c r="CU1845" s="22">
        <f t="shared" si="130"/>
        <v>0</v>
      </c>
      <c r="CV1845" s="26">
        <f t="shared" si="127"/>
        <v>250</v>
      </c>
    </row>
    <row r="1846" spans="1:103" x14ac:dyDescent="0.2">
      <c r="A1846" s="9" t="s">
        <v>448</v>
      </c>
      <c r="B1846" s="2">
        <v>139</v>
      </c>
      <c r="C1846" s="3" t="s">
        <v>95</v>
      </c>
      <c r="D1846" s="3" t="s">
        <v>96</v>
      </c>
      <c r="E1846" s="2"/>
      <c r="F1846" s="2"/>
      <c r="G1846" s="2" t="s">
        <v>84</v>
      </c>
      <c r="H1846" s="2">
        <v>2</v>
      </c>
      <c r="I1846" s="8">
        <v>123.71</v>
      </c>
      <c r="J1846" s="8">
        <v>54982</v>
      </c>
      <c r="K1846" s="3">
        <v>0</v>
      </c>
      <c r="L1846" s="3" t="s">
        <v>3</v>
      </c>
      <c r="M1846" s="9" t="s">
        <v>0</v>
      </c>
      <c r="N1846" s="9" t="s">
        <v>38</v>
      </c>
      <c r="O1846" s="9" t="s">
        <v>449</v>
      </c>
      <c r="S1846" s="9" t="s">
        <v>450</v>
      </c>
      <c r="T1846" s="2"/>
      <c r="U1846" s="2"/>
      <c r="V1846" s="2">
        <v>12.5</v>
      </c>
      <c r="W1846" s="10"/>
      <c r="X1846" s="17">
        <v>44591</v>
      </c>
      <c r="Y1846" s="17">
        <v>44595</v>
      </c>
      <c r="Z1846" s="17" t="s">
        <v>772</v>
      </c>
      <c r="AA1846" s="210">
        <v>6000</v>
      </c>
      <c r="AB1846" s="9">
        <v>25</v>
      </c>
      <c r="AC1846" s="9">
        <v>21</v>
      </c>
      <c r="AD1846" s="17">
        <v>46757</v>
      </c>
      <c r="AE1846" s="56">
        <v>250</v>
      </c>
      <c r="AF1846" s="56"/>
      <c r="AP1846" s="11"/>
      <c r="AQ1846" s="11"/>
      <c r="AR1846" s="11"/>
      <c r="AW1846" s="9"/>
      <c r="BD1846" s="9"/>
      <c r="CS1846" s="11">
        <f t="shared" si="128"/>
        <v>0</v>
      </c>
      <c r="CT1846" s="22">
        <f t="shared" si="129"/>
        <v>0</v>
      </c>
      <c r="CU1846" s="22">
        <f t="shared" si="130"/>
        <v>0</v>
      </c>
      <c r="CV1846" s="26">
        <f t="shared" si="127"/>
        <v>250</v>
      </c>
    </row>
    <row r="1847" spans="1:103" x14ac:dyDescent="0.2">
      <c r="A1847" s="9" t="s">
        <v>448</v>
      </c>
      <c r="B1847" s="2">
        <v>139</v>
      </c>
      <c r="C1847" s="3" t="s">
        <v>95</v>
      </c>
      <c r="D1847" s="3" t="s">
        <v>96</v>
      </c>
      <c r="E1847" s="2"/>
      <c r="F1847" s="2"/>
      <c r="G1847" s="2" t="s">
        <v>84</v>
      </c>
      <c r="H1847" s="2">
        <v>2</v>
      </c>
      <c r="I1847" s="8">
        <v>123.71</v>
      </c>
      <c r="J1847" s="8">
        <v>54982</v>
      </c>
      <c r="K1847" s="3">
        <v>0</v>
      </c>
      <c r="L1847" s="3" t="s">
        <v>3</v>
      </c>
      <c r="M1847" s="9" t="s">
        <v>0</v>
      </c>
      <c r="N1847" s="9" t="s">
        <v>38</v>
      </c>
      <c r="O1847" s="9" t="s">
        <v>449</v>
      </c>
      <c r="S1847" s="9" t="s">
        <v>450</v>
      </c>
      <c r="T1847" s="2"/>
      <c r="U1847" s="2"/>
      <c r="V1847" s="2">
        <v>12.5</v>
      </c>
      <c r="W1847" s="10"/>
      <c r="X1847" s="17">
        <v>44591</v>
      </c>
      <c r="Y1847" s="17">
        <v>44595</v>
      </c>
      <c r="Z1847" s="17" t="s">
        <v>772</v>
      </c>
      <c r="AA1847" s="210">
        <v>6000</v>
      </c>
      <c r="AB1847" s="9">
        <v>25</v>
      </c>
      <c r="AC1847" s="9">
        <v>22</v>
      </c>
      <c r="AD1847" s="17">
        <v>46788</v>
      </c>
      <c r="AE1847" s="56">
        <v>250</v>
      </c>
      <c r="AF1847" s="56"/>
      <c r="AP1847" s="11"/>
      <c r="AQ1847" s="11"/>
      <c r="AR1847" s="11"/>
      <c r="AW1847" s="9"/>
      <c r="BD1847" s="9"/>
      <c r="CS1847" s="11">
        <f t="shared" si="128"/>
        <v>0</v>
      </c>
      <c r="CT1847" s="22">
        <f t="shared" si="129"/>
        <v>0</v>
      </c>
      <c r="CU1847" s="22">
        <f t="shared" si="130"/>
        <v>0</v>
      </c>
      <c r="CV1847" s="26">
        <f t="shared" si="127"/>
        <v>250</v>
      </c>
    </row>
    <row r="1848" spans="1:103" x14ac:dyDescent="0.2">
      <c r="A1848" s="9" t="s">
        <v>448</v>
      </c>
      <c r="B1848" s="2">
        <v>139</v>
      </c>
      <c r="C1848" s="3" t="s">
        <v>95</v>
      </c>
      <c r="D1848" s="3" t="s">
        <v>96</v>
      </c>
      <c r="E1848" s="2"/>
      <c r="F1848" s="2"/>
      <c r="G1848" s="2" t="s">
        <v>84</v>
      </c>
      <c r="H1848" s="2">
        <v>2</v>
      </c>
      <c r="I1848" s="8">
        <v>123.71</v>
      </c>
      <c r="J1848" s="8">
        <v>54982</v>
      </c>
      <c r="K1848" s="3">
        <v>0</v>
      </c>
      <c r="L1848" s="3" t="s">
        <v>3</v>
      </c>
      <c r="M1848" s="9" t="s">
        <v>0</v>
      </c>
      <c r="N1848" s="9" t="s">
        <v>38</v>
      </c>
      <c r="O1848" s="9" t="s">
        <v>449</v>
      </c>
      <c r="S1848" s="9" t="s">
        <v>450</v>
      </c>
      <c r="T1848" s="2"/>
      <c r="U1848" s="2"/>
      <c r="V1848" s="2">
        <v>12.5</v>
      </c>
      <c r="W1848" s="10"/>
      <c r="X1848" s="17">
        <v>44591</v>
      </c>
      <c r="Y1848" s="17">
        <v>44595</v>
      </c>
      <c r="Z1848" s="17" t="s">
        <v>772</v>
      </c>
      <c r="AA1848" s="210">
        <v>6000</v>
      </c>
      <c r="AB1848" s="9">
        <v>25</v>
      </c>
      <c r="AC1848" s="9">
        <v>23</v>
      </c>
      <c r="AD1848" s="17">
        <v>46817</v>
      </c>
      <c r="AE1848" s="56">
        <v>250</v>
      </c>
      <c r="AF1848" s="56"/>
      <c r="AP1848" s="11"/>
      <c r="AQ1848" s="11"/>
      <c r="AR1848" s="11"/>
      <c r="AW1848" s="9"/>
      <c r="BD1848" s="9"/>
      <c r="CS1848" s="11">
        <f t="shared" si="128"/>
        <v>0</v>
      </c>
      <c r="CT1848" s="22">
        <f t="shared" si="129"/>
        <v>0</v>
      </c>
      <c r="CU1848" s="22">
        <f t="shared" si="130"/>
        <v>0</v>
      </c>
      <c r="CV1848" s="26">
        <f t="shared" si="127"/>
        <v>250</v>
      </c>
    </row>
    <row r="1849" spans="1:103" x14ac:dyDescent="0.2">
      <c r="A1849" s="9" t="s">
        <v>448</v>
      </c>
      <c r="B1849" s="2">
        <v>139</v>
      </c>
      <c r="C1849" s="3" t="s">
        <v>95</v>
      </c>
      <c r="D1849" s="3" t="s">
        <v>96</v>
      </c>
      <c r="E1849" s="2"/>
      <c r="F1849" s="2"/>
      <c r="G1849" s="2" t="s">
        <v>84</v>
      </c>
      <c r="H1849" s="2">
        <v>2</v>
      </c>
      <c r="I1849" s="8">
        <v>123.71</v>
      </c>
      <c r="J1849" s="8">
        <v>54982</v>
      </c>
      <c r="K1849" s="3">
        <v>0</v>
      </c>
      <c r="L1849" s="3" t="s">
        <v>3</v>
      </c>
      <c r="M1849" s="9" t="s">
        <v>0</v>
      </c>
      <c r="N1849" s="9" t="s">
        <v>38</v>
      </c>
      <c r="O1849" s="9" t="s">
        <v>449</v>
      </c>
      <c r="S1849" s="9" t="s">
        <v>450</v>
      </c>
      <c r="T1849" s="2"/>
      <c r="U1849" s="2"/>
      <c r="V1849" s="2">
        <v>12.5</v>
      </c>
      <c r="W1849" s="10"/>
      <c r="X1849" s="17">
        <v>44591</v>
      </c>
      <c r="Y1849" s="17">
        <v>44595</v>
      </c>
      <c r="Z1849" s="17" t="s">
        <v>772</v>
      </c>
      <c r="AA1849" s="210">
        <v>6000</v>
      </c>
      <c r="AB1849" s="9">
        <v>25</v>
      </c>
      <c r="AC1849" s="9">
        <v>24</v>
      </c>
      <c r="AD1849" s="17">
        <v>46848</v>
      </c>
      <c r="AE1849" s="56">
        <v>250</v>
      </c>
      <c r="AF1849" s="56"/>
      <c r="AP1849" s="11"/>
      <c r="AQ1849" s="11"/>
      <c r="AR1849" s="11"/>
      <c r="AW1849" s="9"/>
      <c r="BD1849" s="9"/>
      <c r="CS1849" s="11">
        <f t="shared" si="128"/>
        <v>0</v>
      </c>
      <c r="CT1849" s="22">
        <f t="shared" si="129"/>
        <v>0</v>
      </c>
      <c r="CU1849" s="22">
        <f t="shared" si="130"/>
        <v>0</v>
      </c>
      <c r="CV1849" s="26">
        <f t="shared" ref="CV1849:CV1912" si="131">+AE1849-AL1849-AT1849</f>
        <v>250</v>
      </c>
    </row>
    <row r="1850" spans="1:103" x14ac:dyDescent="0.2">
      <c r="A1850" s="9" t="s">
        <v>448</v>
      </c>
      <c r="B1850" s="2">
        <v>139</v>
      </c>
      <c r="C1850" s="3" t="s">
        <v>95</v>
      </c>
      <c r="D1850" s="3" t="s">
        <v>96</v>
      </c>
      <c r="E1850" s="2"/>
      <c r="F1850" s="2"/>
      <c r="G1850" s="2" t="s">
        <v>84</v>
      </c>
      <c r="H1850" s="2">
        <v>2</v>
      </c>
      <c r="I1850" s="8">
        <v>123.71</v>
      </c>
      <c r="J1850" s="8">
        <v>54982</v>
      </c>
      <c r="K1850" s="3">
        <v>0</v>
      </c>
      <c r="L1850" s="3" t="s">
        <v>3</v>
      </c>
      <c r="M1850" s="9" t="s">
        <v>0</v>
      </c>
      <c r="N1850" s="9" t="s">
        <v>38</v>
      </c>
      <c r="O1850" s="9" t="s">
        <v>449</v>
      </c>
      <c r="S1850" s="9" t="s">
        <v>450</v>
      </c>
      <c r="T1850" s="2"/>
      <c r="U1850" s="2"/>
      <c r="V1850" s="2">
        <v>12.5</v>
      </c>
      <c r="W1850" s="10"/>
      <c r="X1850" s="17">
        <v>44591</v>
      </c>
      <c r="Y1850" s="17">
        <v>44595</v>
      </c>
      <c r="Z1850" s="17" t="s">
        <v>772</v>
      </c>
      <c r="AA1850" s="210">
        <v>6000</v>
      </c>
      <c r="AB1850" s="9">
        <v>25</v>
      </c>
      <c r="AC1850" s="9">
        <v>25</v>
      </c>
      <c r="AD1850" s="17">
        <v>46878</v>
      </c>
      <c r="AE1850" s="56">
        <v>250</v>
      </c>
      <c r="AF1850" s="56"/>
      <c r="AP1850" s="11"/>
      <c r="AQ1850" s="11"/>
      <c r="AR1850" s="11"/>
      <c r="AW1850" s="9"/>
      <c r="BD1850" s="9"/>
      <c r="CS1850" s="11">
        <f t="shared" si="128"/>
        <v>0</v>
      </c>
      <c r="CT1850" s="22">
        <f t="shared" si="129"/>
        <v>0</v>
      </c>
      <c r="CU1850" s="22">
        <f t="shared" si="130"/>
        <v>0</v>
      </c>
      <c r="CV1850" s="26">
        <f t="shared" si="131"/>
        <v>250</v>
      </c>
    </row>
    <row r="1851" spans="1:103" ht="24" x14ac:dyDescent="0.2">
      <c r="A1851" s="9" t="s">
        <v>482</v>
      </c>
      <c r="B1851" s="2">
        <v>107</v>
      </c>
      <c r="C1851" s="3" t="s">
        <v>95</v>
      </c>
      <c r="D1851" s="3" t="s">
        <v>96</v>
      </c>
      <c r="E1851" s="2" t="s">
        <v>486</v>
      </c>
      <c r="F1851" s="2">
        <v>2</v>
      </c>
      <c r="G1851" s="2" t="s">
        <v>79</v>
      </c>
      <c r="H1851" s="2">
        <v>5</v>
      </c>
      <c r="I1851" s="8">
        <v>136.85</v>
      </c>
      <c r="J1851" s="8">
        <v>42499</v>
      </c>
      <c r="K1851" s="3">
        <v>0</v>
      </c>
      <c r="L1851" s="3" t="s">
        <v>3</v>
      </c>
      <c r="M1851" s="9" t="s">
        <v>0</v>
      </c>
      <c r="N1851" s="9" t="s">
        <v>39</v>
      </c>
      <c r="O1851" s="9" t="s">
        <v>483</v>
      </c>
      <c r="P1851" s="9" t="s">
        <v>0</v>
      </c>
      <c r="Q1851" s="30" t="s">
        <v>484</v>
      </c>
      <c r="R1851" s="9" t="s">
        <v>485</v>
      </c>
      <c r="S1851" s="9" t="s">
        <v>158</v>
      </c>
      <c r="T1851" s="2" t="s">
        <v>79</v>
      </c>
      <c r="U1851" s="2">
        <v>5</v>
      </c>
      <c r="V1851" s="2">
        <v>130.13</v>
      </c>
      <c r="W1851" s="10"/>
      <c r="X1851" s="17">
        <v>44412</v>
      </c>
      <c r="Y1851" s="17">
        <v>44936</v>
      </c>
      <c r="Z1851" s="19" t="s">
        <v>772</v>
      </c>
      <c r="AA1851" s="210">
        <v>44732</v>
      </c>
      <c r="AB1851" s="9">
        <v>73</v>
      </c>
      <c r="AC1851" s="9">
        <v>0</v>
      </c>
      <c r="AD1851" s="17">
        <v>44412</v>
      </c>
      <c r="AE1851" s="56">
        <v>7500</v>
      </c>
      <c r="AF1851" s="56"/>
      <c r="AG1851" s="9" t="s">
        <v>134</v>
      </c>
      <c r="AH1851" s="127">
        <v>44413</v>
      </c>
      <c r="AI1851" s="127"/>
      <c r="AJ1851" s="127"/>
      <c r="AK1851" s="22" t="s">
        <v>493</v>
      </c>
      <c r="AL1851" s="76"/>
      <c r="AM1851" s="197">
        <v>30425</v>
      </c>
      <c r="AN1851" s="22" t="s">
        <v>1564</v>
      </c>
      <c r="AO1851" s="22"/>
      <c r="AW1851" s="17">
        <v>44412</v>
      </c>
      <c r="AX1851" s="9">
        <v>204</v>
      </c>
      <c r="AY1851" s="9">
        <f>+BA1851*AZ1851</f>
        <v>4100</v>
      </c>
      <c r="AZ1851" s="9">
        <v>4.0999999999999996</v>
      </c>
      <c r="BA1851" s="86">
        <v>1000</v>
      </c>
      <c r="BC1851" s="17">
        <v>44413</v>
      </c>
      <c r="BD1851" s="136" t="s">
        <v>1703</v>
      </c>
      <c r="BE1851" s="9">
        <v>26325</v>
      </c>
      <c r="CS1851" s="11">
        <f t="shared" si="128"/>
        <v>0</v>
      </c>
      <c r="CT1851" s="22">
        <f t="shared" si="129"/>
        <v>1000</v>
      </c>
      <c r="CU1851" s="22">
        <f t="shared" si="130"/>
        <v>-1000</v>
      </c>
      <c r="CV1851" s="26">
        <f t="shared" si="131"/>
        <v>7500</v>
      </c>
      <c r="CY1851" s="9" t="s">
        <v>3493</v>
      </c>
    </row>
    <row r="1852" spans="1:103" x14ac:dyDescent="0.2">
      <c r="A1852" s="9" t="s">
        <v>482</v>
      </c>
      <c r="B1852" s="2">
        <v>107</v>
      </c>
      <c r="C1852" s="3" t="s">
        <v>95</v>
      </c>
      <c r="D1852" s="3" t="s">
        <v>96</v>
      </c>
      <c r="E1852" s="2" t="s">
        <v>486</v>
      </c>
      <c r="F1852" s="2">
        <v>2</v>
      </c>
      <c r="G1852" s="2" t="s">
        <v>79</v>
      </c>
      <c r="H1852" s="2">
        <v>5</v>
      </c>
      <c r="I1852" s="8">
        <v>136.85</v>
      </c>
      <c r="J1852" s="8">
        <v>42499</v>
      </c>
      <c r="K1852" s="3">
        <v>0</v>
      </c>
      <c r="L1852" s="3" t="s">
        <v>3</v>
      </c>
      <c r="M1852" s="9" t="s">
        <v>0</v>
      </c>
      <c r="N1852" s="9" t="s">
        <v>39</v>
      </c>
      <c r="O1852" s="9" t="s">
        <v>483</v>
      </c>
      <c r="P1852" s="9" t="s">
        <v>0</v>
      </c>
      <c r="Q1852" s="30" t="s">
        <v>484</v>
      </c>
      <c r="R1852" s="9" t="s">
        <v>485</v>
      </c>
      <c r="S1852" s="9" t="s">
        <v>158</v>
      </c>
      <c r="T1852" s="2" t="s">
        <v>79</v>
      </c>
      <c r="U1852" s="2">
        <v>5</v>
      </c>
      <c r="V1852" s="2">
        <v>130.13</v>
      </c>
      <c r="W1852" s="10"/>
      <c r="X1852" s="17">
        <v>44412</v>
      </c>
      <c r="Y1852" s="17">
        <v>44936</v>
      </c>
      <c r="Z1852" s="19" t="s">
        <v>772</v>
      </c>
      <c r="AA1852" s="210">
        <v>44732</v>
      </c>
      <c r="AB1852" s="9">
        <v>73</v>
      </c>
      <c r="AC1852" s="9">
        <v>1</v>
      </c>
      <c r="AD1852" s="17">
        <v>44443</v>
      </c>
      <c r="AE1852" s="56">
        <v>500</v>
      </c>
      <c r="AF1852" s="56"/>
      <c r="AG1852" s="9" t="s">
        <v>134</v>
      </c>
      <c r="AH1852" s="127">
        <v>44509</v>
      </c>
      <c r="AI1852" s="127"/>
      <c r="AJ1852" s="127"/>
      <c r="AK1852" s="22" t="s">
        <v>494</v>
      </c>
      <c r="AL1852" s="22">
        <v>500</v>
      </c>
      <c r="AM1852" s="22"/>
      <c r="AN1852" s="22" t="s">
        <v>1566</v>
      </c>
      <c r="AO1852" s="22"/>
      <c r="AW1852" s="17">
        <v>44508</v>
      </c>
      <c r="AX1852" s="9">
        <v>310</v>
      </c>
      <c r="BA1852" s="11">
        <v>500</v>
      </c>
      <c r="BC1852" s="17"/>
      <c r="BD1852" s="9"/>
      <c r="CS1852" s="11">
        <f t="shared" si="128"/>
        <v>500</v>
      </c>
      <c r="CT1852" s="22">
        <f t="shared" si="129"/>
        <v>500</v>
      </c>
      <c r="CU1852" s="22">
        <f t="shared" si="130"/>
        <v>0</v>
      </c>
      <c r="CV1852" s="26">
        <f t="shared" si="131"/>
        <v>0</v>
      </c>
    </row>
    <row r="1853" spans="1:103" x14ac:dyDescent="0.2">
      <c r="A1853" s="9" t="s">
        <v>482</v>
      </c>
      <c r="B1853" s="2">
        <v>107</v>
      </c>
      <c r="C1853" s="3" t="s">
        <v>95</v>
      </c>
      <c r="D1853" s="3" t="s">
        <v>96</v>
      </c>
      <c r="E1853" s="2" t="s">
        <v>486</v>
      </c>
      <c r="F1853" s="2">
        <v>2</v>
      </c>
      <c r="G1853" s="2" t="s">
        <v>79</v>
      </c>
      <c r="H1853" s="2">
        <v>5</v>
      </c>
      <c r="I1853" s="8">
        <v>136.85</v>
      </c>
      <c r="J1853" s="8">
        <v>42499</v>
      </c>
      <c r="K1853" s="3">
        <v>0</v>
      </c>
      <c r="L1853" s="3" t="s">
        <v>3</v>
      </c>
      <c r="M1853" s="9" t="s">
        <v>0</v>
      </c>
      <c r="N1853" s="9" t="s">
        <v>39</v>
      </c>
      <c r="O1853" s="9" t="s">
        <v>483</v>
      </c>
      <c r="P1853" s="9" t="s">
        <v>0</v>
      </c>
      <c r="Q1853" s="30" t="s">
        <v>484</v>
      </c>
      <c r="R1853" s="9" t="s">
        <v>485</v>
      </c>
      <c r="S1853" s="9" t="s">
        <v>158</v>
      </c>
      <c r="T1853" s="2" t="s">
        <v>79</v>
      </c>
      <c r="U1853" s="2">
        <v>5</v>
      </c>
      <c r="V1853" s="2">
        <v>130.13</v>
      </c>
      <c r="W1853" s="10"/>
      <c r="X1853" s="17">
        <v>44412</v>
      </c>
      <c r="Y1853" s="17">
        <v>44936</v>
      </c>
      <c r="Z1853" s="19" t="s">
        <v>772</v>
      </c>
      <c r="AA1853" s="210">
        <v>44732</v>
      </c>
      <c r="AB1853" s="9">
        <v>73</v>
      </c>
      <c r="AC1853" s="9">
        <v>2</v>
      </c>
      <c r="AD1853" s="17">
        <v>44473</v>
      </c>
      <c r="AE1853" s="56">
        <v>500</v>
      </c>
      <c r="AF1853" s="56"/>
      <c r="AG1853" s="9" t="s">
        <v>134</v>
      </c>
      <c r="AH1853" s="127">
        <v>44509</v>
      </c>
      <c r="AI1853" s="127"/>
      <c r="AJ1853" s="127"/>
      <c r="AK1853" s="22" t="s">
        <v>495</v>
      </c>
      <c r="AL1853" s="22">
        <v>500</v>
      </c>
      <c r="AM1853" s="22"/>
      <c r="AN1853" s="22" t="s">
        <v>1565</v>
      </c>
      <c r="AO1853" s="22"/>
      <c r="AW1853" s="17">
        <v>44508</v>
      </c>
      <c r="AX1853" s="9">
        <v>311</v>
      </c>
      <c r="BA1853" s="11">
        <v>500</v>
      </c>
      <c r="BD1853" s="9"/>
      <c r="CS1853" s="11">
        <f t="shared" ref="CS1853:CS1916" si="132">+AL1853+AT1853</f>
        <v>500</v>
      </c>
      <c r="CT1853" s="22">
        <f t="shared" ref="CT1853:CT1916" si="133">+BA1853+BG1853+BM1853+BS1853+BY1853+CE1853+CK1853+CQ1853</f>
        <v>500</v>
      </c>
      <c r="CU1853" s="22">
        <f t="shared" ref="CU1853:CU1916" si="134">+CS1853-CT1853</f>
        <v>0</v>
      </c>
      <c r="CV1853" s="26">
        <f t="shared" si="131"/>
        <v>0</v>
      </c>
    </row>
    <row r="1854" spans="1:103" ht="12.75" x14ac:dyDescent="0.2">
      <c r="A1854" s="9" t="s">
        <v>482</v>
      </c>
      <c r="B1854" s="2">
        <v>107</v>
      </c>
      <c r="C1854" s="3" t="s">
        <v>95</v>
      </c>
      <c r="D1854" s="3" t="s">
        <v>96</v>
      </c>
      <c r="E1854" s="2" t="s">
        <v>486</v>
      </c>
      <c r="F1854" s="2">
        <v>2</v>
      </c>
      <c r="G1854" s="2" t="s">
        <v>79</v>
      </c>
      <c r="H1854" s="2">
        <v>5</v>
      </c>
      <c r="I1854" s="8">
        <v>136.85</v>
      </c>
      <c r="J1854" s="8">
        <v>42499</v>
      </c>
      <c r="K1854" s="3">
        <v>0</v>
      </c>
      <c r="L1854" s="3" t="s">
        <v>3</v>
      </c>
      <c r="M1854" s="9" t="s">
        <v>0</v>
      </c>
      <c r="N1854" s="9" t="s">
        <v>39</v>
      </c>
      <c r="O1854" s="9" t="s">
        <v>483</v>
      </c>
      <c r="P1854" s="9" t="s">
        <v>0</v>
      </c>
      <c r="Q1854" s="30" t="s">
        <v>484</v>
      </c>
      <c r="R1854" s="9" t="s">
        <v>485</v>
      </c>
      <c r="S1854" s="9" t="s">
        <v>158</v>
      </c>
      <c r="T1854" s="2" t="s">
        <v>79</v>
      </c>
      <c r="U1854" s="2">
        <v>5</v>
      </c>
      <c r="V1854" s="2">
        <v>130.13</v>
      </c>
      <c r="W1854" s="10"/>
      <c r="X1854" s="17">
        <v>44412</v>
      </c>
      <c r="Y1854" s="17">
        <v>44936</v>
      </c>
      <c r="Z1854" s="19" t="s">
        <v>772</v>
      </c>
      <c r="AA1854" s="210">
        <v>44732</v>
      </c>
      <c r="AB1854" s="9">
        <v>73</v>
      </c>
      <c r="AC1854" s="9">
        <v>3</v>
      </c>
      <c r="AD1854" s="17">
        <v>44504</v>
      </c>
      <c r="AE1854" s="56">
        <v>500</v>
      </c>
      <c r="AF1854" s="56"/>
      <c r="AG1854" s="9" t="s">
        <v>134</v>
      </c>
      <c r="AH1854" s="127">
        <v>44536</v>
      </c>
      <c r="AI1854" s="127"/>
      <c r="AJ1854" s="127"/>
      <c r="AK1854" s="22" t="s">
        <v>496</v>
      </c>
      <c r="AL1854" s="22">
        <v>500</v>
      </c>
      <c r="AM1854" s="22"/>
      <c r="AN1854" s="22" t="s">
        <v>1567</v>
      </c>
      <c r="AO1854" s="22"/>
      <c r="AW1854" s="17">
        <v>44534</v>
      </c>
      <c r="AX1854" s="9">
        <v>349</v>
      </c>
      <c r="BA1854" s="11">
        <v>500</v>
      </c>
      <c r="BC1854" s="137"/>
      <c r="BD1854" s="138"/>
      <c r="BE1854" s="139"/>
      <c r="CS1854" s="11">
        <f t="shared" si="132"/>
        <v>500</v>
      </c>
      <c r="CT1854" s="22">
        <f t="shared" si="133"/>
        <v>500</v>
      </c>
      <c r="CU1854" s="22">
        <f t="shared" si="134"/>
        <v>0</v>
      </c>
      <c r="CV1854" s="26">
        <f t="shared" si="131"/>
        <v>0</v>
      </c>
    </row>
    <row r="1855" spans="1:103" x14ac:dyDescent="0.2">
      <c r="A1855" s="9" t="s">
        <v>482</v>
      </c>
      <c r="B1855" s="2">
        <v>107</v>
      </c>
      <c r="C1855" s="3" t="s">
        <v>95</v>
      </c>
      <c r="D1855" s="3" t="s">
        <v>96</v>
      </c>
      <c r="E1855" s="2" t="s">
        <v>486</v>
      </c>
      <c r="F1855" s="2">
        <v>2</v>
      </c>
      <c r="G1855" s="2" t="s">
        <v>79</v>
      </c>
      <c r="H1855" s="2">
        <v>5</v>
      </c>
      <c r="I1855" s="8">
        <v>136.85</v>
      </c>
      <c r="J1855" s="8">
        <v>42499</v>
      </c>
      <c r="K1855" s="3">
        <v>0</v>
      </c>
      <c r="L1855" s="3" t="s">
        <v>3</v>
      </c>
      <c r="M1855" s="9" t="s">
        <v>0</v>
      </c>
      <c r="N1855" s="9" t="s">
        <v>39</v>
      </c>
      <c r="O1855" s="9" t="s">
        <v>483</v>
      </c>
      <c r="P1855" s="9" t="s">
        <v>0</v>
      </c>
      <c r="Q1855" s="30" t="s">
        <v>484</v>
      </c>
      <c r="R1855" s="9" t="s">
        <v>485</v>
      </c>
      <c r="S1855" s="9" t="s">
        <v>158</v>
      </c>
      <c r="T1855" s="2" t="s">
        <v>79</v>
      </c>
      <c r="U1855" s="2">
        <v>5</v>
      </c>
      <c r="V1855" s="2">
        <v>130.13</v>
      </c>
      <c r="W1855" s="10"/>
      <c r="X1855" s="17">
        <v>44412</v>
      </c>
      <c r="Y1855" s="17">
        <v>44936</v>
      </c>
      <c r="Z1855" s="19" t="s">
        <v>772</v>
      </c>
      <c r="AA1855" s="210">
        <v>44732</v>
      </c>
      <c r="AB1855" s="9">
        <v>73</v>
      </c>
      <c r="AC1855" s="9">
        <v>4</v>
      </c>
      <c r="AD1855" s="17">
        <v>44534</v>
      </c>
      <c r="AE1855" s="56">
        <v>500</v>
      </c>
      <c r="AF1855" s="56"/>
      <c r="AG1855" s="9" t="s">
        <v>134</v>
      </c>
      <c r="AH1855" s="127">
        <v>44536</v>
      </c>
      <c r="AI1855" s="127"/>
      <c r="AJ1855" s="127"/>
      <c r="AK1855" s="22" t="s">
        <v>497</v>
      </c>
      <c r="AL1855" s="22">
        <v>500</v>
      </c>
      <c r="AM1855" s="22"/>
      <c r="AN1855" s="22" t="s">
        <v>1568</v>
      </c>
      <c r="AO1855" s="22"/>
      <c r="AW1855" s="17">
        <v>44534</v>
      </c>
      <c r="AX1855" s="9">
        <v>350</v>
      </c>
      <c r="BA1855" s="11">
        <v>500</v>
      </c>
      <c r="BC1855" s="17"/>
      <c r="BD1855" s="9"/>
      <c r="CS1855" s="11">
        <f t="shared" si="132"/>
        <v>500</v>
      </c>
      <c r="CT1855" s="22">
        <f t="shared" si="133"/>
        <v>500</v>
      </c>
      <c r="CU1855" s="22">
        <f t="shared" si="134"/>
        <v>0</v>
      </c>
      <c r="CV1855" s="26">
        <f t="shared" si="131"/>
        <v>0</v>
      </c>
    </row>
    <row r="1856" spans="1:103" x14ac:dyDescent="0.2">
      <c r="A1856" s="9" t="s">
        <v>482</v>
      </c>
      <c r="B1856" s="2">
        <v>107</v>
      </c>
      <c r="C1856" s="3" t="s">
        <v>95</v>
      </c>
      <c r="D1856" s="3" t="s">
        <v>96</v>
      </c>
      <c r="E1856" s="2" t="s">
        <v>486</v>
      </c>
      <c r="F1856" s="2">
        <v>2</v>
      </c>
      <c r="G1856" s="2" t="s">
        <v>79</v>
      </c>
      <c r="H1856" s="2">
        <v>5</v>
      </c>
      <c r="I1856" s="8">
        <v>136.85</v>
      </c>
      <c r="J1856" s="8">
        <v>42499</v>
      </c>
      <c r="K1856" s="3">
        <v>0</v>
      </c>
      <c r="L1856" s="3" t="s">
        <v>3</v>
      </c>
      <c r="M1856" s="9" t="s">
        <v>0</v>
      </c>
      <c r="N1856" s="9" t="s">
        <v>39</v>
      </c>
      <c r="O1856" s="9" t="s">
        <v>483</v>
      </c>
      <c r="P1856" s="9" t="s">
        <v>0</v>
      </c>
      <c r="Q1856" s="30" t="s">
        <v>484</v>
      </c>
      <c r="R1856" s="9" t="s">
        <v>485</v>
      </c>
      <c r="S1856" s="9" t="s">
        <v>158</v>
      </c>
      <c r="T1856" s="2" t="s">
        <v>79</v>
      </c>
      <c r="U1856" s="2">
        <v>5</v>
      </c>
      <c r="V1856" s="2">
        <v>130.13</v>
      </c>
      <c r="W1856" s="10"/>
      <c r="X1856" s="17">
        <v>44412</v>
      </c>
      <c r="Y1856" s="17">
        <v>44936</v>
      </c>
      <c r="Z1856" s="19" t="s">
        <v>772</v>
      </c>
      <c r="AA1856" s="210">
        <v>44732</v>
      </c>
      <c r="AB1856" s="9">
        <v>73</v>
      </c>
      <c r="AC1856" s="9">
        <v>5</v>
      </c>
      <c r="AD1856" s="17">
        <v>44565</v>
      </c>
      <c r="AE1856" s="56">
        <v>500</v>
      </c>
      <c r="AF1856" s="56"/>
      <c r="AG1856" s="9" t="s">
        <v>134</v>
      </c>
      <c r="AH1856" s="127">
        <v>44589</v>
      </c>
      <c r="AI1856" s="127"/>
      <c r="AJ1856" s="127"/>
      <c r="AK1856" s="22" t="s">
        <v>1675</v>
      </c>
      <c r="AL1856" s="22">
        <v>500</v>
      </c>
      <c r="AM1856" s="22"/>
      <c r="AN1856" s="22" t="s">
        <v>1569</v>
      </c>
      <c r="AO1856" s="22"/>
      <c r="AW1856" s="17">
        <v>44568</v>
      </c>
      <c r="AX1856" s="9">
        <v>392</v>
      </c>
      <c r="BA1856" s="11">
        <v>500</v>
      </c>
      <c r="BB1856" s="11" t="s">
        <v>1704</v>
      </c>
      <c r="BD1856" s="9"/>
      <c r="CS1856" s="11">
        <f t="shared" si="132"/>
        <v>500</v>
      </c>
      <c r="CT1856" s="22">
        <f t="shared" si="133"/>
        <v>500</v>
      </c>
      <c r="CU1856" s="22">
        <f t="shared" si="134"/>
        <v>0</v>
      </c>
      <c r="CV1856" s="26">
        <f t="shared" si="131"/>
        <v>0</v>
      </c>
    </row>
    <row r="1857" spans="1:100" x14ac:dyDescent="0.2">
      <c r="A1857" s="9" t="s">
        <v>482</v>
      </c>
      <c r="B1857" s="2">
        <v>107</v>
      </c>
      <c r="C1857" s="3" t="s">
        <v>95</v>
      </c>
      <c r="D1857" s="3" t="s">
        <v>96</v>
      </c>
      <c r="E1857" s="2" t="s">
        <v>486</v>
      </c>
      <c r="F1857" s="2">
        <v>2</v>
      </c>
      <c r="G1857" s="2" t="s">
        <v>79</v>
      </c>
      <c r="H1857" s="2">
        <v>5</v>
      </c>
      <c r="I1857" s="8">
        <v>136.85</v>
      </c>
      <c r="J1857" s="8">
        <v>42499</v>
      </c>
      <c r="K1857" s="3">
        <v>0</v>
      </c>
      <c r="L1857" s="3" t="s">
        <v>3</v>
      </c>
      <c r="M1857" s="9" t="s">
        <v>0</v>
      </c>
      <c r="N1857" s="9" t="s">
        <v>39</v>
      </c>
      <c r="O1857" s="9" t="s">
        <v>483</v>
      </c>
      <c r="P1857" s="9" t="s">
        <v>0</v>
      </c>
      <c r="Q1857" s="30" t="s">
        <v>484</v>
      </c>
      <c r="R1857" s="9" t="s">
        <v>485</v>
      </c>
      <c r="S1857" s="9" t="s">
        <v>158</v>
      </c>
      <c r="T1857" s="2" t="s">
        <v>79</v>
      </c>
      <c r="U1857" s="2">
        <v>5</v>
      </c>
      <c r="V1857" s="2">
        <v>130.13</v>
      </c>
      <c r="W1857" s="10"/>
      <c r="X1857" s="17">
        <v>44412</v>
      </c>
      <c r="Y1857" s="17">
        <v>44936</v>
      </c>
      <c r="Z1857" s="19" t="s">
        <v>772</v>
      </c>
      <c r="AA1857" s="210">
        <v>44732</v>
      </c>
      <c r="AB1857" s="9">
        <v>73</v>
      </c>
      <c r="AC1857" s="9">
        <v>6</v>
      </c>
      <c r="AD1857" s="17">
        <v>44596</v>
      </c>
      <c r="AE1857" s="56">
        <v>500</v>
      </c>
      <c r="AF1857" s="56"/>
      <c r="AG1857" s="9" t="s">
        <v>134</v>
      </c>
      <c r="AH1857" s="127">
        <v>44603</v>
      </c>
      <c r="AI1857" s="127"/>
      <c r="AJ1857" s="127"/>
      <c r="AK1857" s="22" t="s">
        <v>498</v>
      </c>
      <c r="AL1857" s="22">
        <v>500</v>
      </c>
      <c r="AM1857" s="22"/>
      <c r="AN1857" s="22" t="s">
        <v>1570</v>
      </c>
      <c r="AO1857" s="22"/>
      <c r="AW1857" s="17">
        <v>44599</v>
      </c>
      <c r="AX1857" s="9">
        <v>438</v>
      </c>
      <c r="BA1857" s="11">
        <v>500</v>
      </c>
      <c r="BC1857" s="17"/>
      <c r="BD1857" s="9"/>
      <c r="CS1857" s="11">
        <f t="shared" si="132"/>
        <v>500</v>
      </c>
      <c r="CT1857" s="22">
        <f t="shared" si="133"/>
        <v>500</v>
      </c>
      <c r="CU1857" s="22">
        <f t="shared" si="134"/>
        <v>0</v>
      </c>
      <c r="CV1857" s="26">
        <f t="shared" si="131"/>
        <v>0</v>
      </c>
    </row>
    <row r="1858" spans="1:100" x14ac:dyDescent="0.2">
      <c r="A1858" s="9" t="s">
        <v>482</v>
      </c>
      <c r="B1858" s="2">
        <v>107</v>
      </c>
      <c r="C1858" s="3" t="s">
        <v>95</v>
      </c>
      <c r="D1858" s="3" t="s">
        <v>96</v>
      </c>
      <c r="E1858" s="2" t="s">
        <v>486</v>
      </c>
      <c r="F1858" s="2">
        <v>2</v>
      </c>
      <c r="G1858" s="2" t="s">
        <v>79</v>
      </c>
      <c r="H1858" s="2">
        <v>5</v>
      </c>
      <c r="I1858" s="8">
        <v>136.85</v>
      </c>
      <c r="J1858" s="8">
        <v>42499</v>
      </c>
      <c r="K1858" s="3">
        <v>0</v>
      </c>
      <c r="L1858" s="3" t="s">
        <v>3</v>
      </c>
      <c r="M1858" s="9" t="s">
        <v>0</v>
      </c>
      <c r="N1858" s="9" t="s">
        <v>39</v>
      </c>
      <c r="O1858" s="9" t="s">
        <v>483</v>
      </c>
      <c r="P1858" s="9" t="s">
        <v>0</v>
      </c>
      <c r="Q1858" s="30" t="s">
        <v>484</v>
      </c>
      <c r="R1858" s="9" t="s">
        <v>485</v>
      </c>
      <c r="S1858" s="9" t="s">
        <v>158</v>
      </c>
      <c r="T1858" s="2" t="s">
        <v>79</v>
      </c>
      <c r="U1858" s="2">
        <v>5</v>
      </c>
      <c r="V1858" s="2">
        <v>130.13</v>
      </c>
      <c r="W1858" s="10"/>
      <c r="X1858" s="17">
        <v>44412</v>
      </c>
      <c r="Y1858" s="17">
        <v>44936</v>
      </c>
      <c r="Z1858" s="19" t="s">
        <v>772</v>
      </c>
      <c r="AA1858" s="210">
        <v>44732</v>
      </c>
      <c r="AB1858" s="9">
        <v>73</v>
      </c>
      <c r="AC1858" s="9">
        <v>7</v>
      </c>
      <c r="AD1858" s="17">
        <v>44624</v>
      </c>
      <c r="AE1858" s="56">
        <v>500</v>
      </c>
      <c r="AF1858" s="56"/>
      <c r="AG1858" s="9" t="s">
        <v>134</v>
      </c>
      <c r="AH1858" s="127">
        <v>44630</v>
      </c>
      <c r="AI1858" s="127"/>
      <c r="AJ1858" s="127"/>
      <c r="AK1858" s="22" t="s">
        <v>499</v>
      </c>
      <c r="AL1858" s="22">
        <v>500</v>
      </c>
      <c r="AM1858" s="22"/>
      <c r="AN1858" s="22" t="s">
        <v>1571</v>
      </c>
      <c r="AO1858" s="22"/>
      <c r="AW1858" s="17">
        <v>44630</v>
      </c>
      <c r="AX1858" s="9">
        <v>521</v>
      </c>
      <c r="BA1858" s="11">
        <v>500</v>
      </c>
      <c r="BC1858" s="17"/>
      <c r="BD1858" s="9"/>
      <c r="CS1858" s="11">
        <f t="shared" si="132"/>
        <v>500</v>
      </c>
      <c r="CT1858" s="22">
        <f t="shared" si="133"/>
        <v>500</v>
      </c>
      <c r="CU1858" s="22">
        <f t="shared" si="134"/>
        <v>0</v>
      </c>
      <c r="CV1858" s="26">
        <f t="shared" si="131"/>
        <v>0</v>
      </c>
    </row>
    <row r="1859" spans="1:100" x14ac:dyDescent="0.2">
      <c r="A1859" s="9" t="s">
        <v>482</v>
      </c>
      <c r="B1859" s="2">
        <v>107</v>
      </c>
      <c r="C1859" s="3" t="s">
        <v>95</v>
      </c>
      <c r="D1859" s="3" t="s">
        <v>96</v>
      </c>
      <c r="E1859" s="2" t="s">
        <v>486</v>
      </c>
      <c r="F1859" s="2">
        <v>2</v>
      </c>
      <c r="G1859" s="2" t="s">
        <v>79</v>
      </c>
      <c r="H1859" s="2">
        <v>5</v>
      </c>
      <c r="I1859" s="8">
        <v>136.85</v>
      </c>
      <c r="J1859" s="8">
        <v>42499</v>
      </c>
      <c r="K1859" s="3">
        <v>0</v>
      </c>
      <c r="L1859" s="3" t="s">
        <v>3</v>
      </c>
      <c r="M1859" s="9" t="s">
        <v>0</v>
      </c>
      <c r="N1859" s="9" t="s">
        <v>39</v>
      </c>
      <c r="O1859" s="9" t="s">
        <v>483</v>
      </c>
      <c r="P1859" s="9" t="s">
        <v>0</v>
      </c>
      <c r="Q1859" s="30" t="s">
        <v>484</v>
      </c>
      <c r="R1859" s="9" t="s">
        <v>485</v>
      </c>
      <c r="S1859" s="9" t="s">
        <v>158</v>
      </c>
      <c r="T1859" s="2" t="s">
        <v>79</v>
      </c>
      <c r="U1859" s="2">
        <v>5</v>
      </c>
      <c r="V1859" s="2">
        <v>130.13</v>
      </c>
      <c r="W1859" s="10"/>
      <c r="X1859" s="17">
        <v>44412</v>
      </c>
      <c r="Y1859" s="17">
        <v>44936</v>
      </c>
      <c r="Z1859" s="19" t="s">
        <v>772</v>
      </c>
      <c r="AA1859" s="210">
        <v>44732</v>
      </c>
      <c r="AB1859" s="9">
        <v>73</v>
      </c>
      <c r="AC1859" s="9">
        <v>8</v>
      </c>
      <c r="AD1859" s="17">
        <v>44655</v>
      </c>
      <c r="AE1859" s="56">
        <v>500</v>
      </c>
      <c r="AF1859" s="56"/>
      <c r="AG1859" s="9" t="s">
        <v>134</v>
      </c>
      <c r="AH1859" s="127">
        <v>44662</v>
      </c>
      <c r="AI1859" s="127"/>
      <c r="AJ1859" s="127"/>
      <c r="AK1859" s="22" t="s">
        <v>500</v>
      </c>
      <c r="AL1859" s="22">
        <v>500</v>
      </c>
      <c r="AM1859" s="22"/>
      <c r="AN1859" s="22" t="s">
        <v>1572</v>
      </c>
      <c r="AO1859" s="22"/>
      <c r="AW1859" s="17">
        <v>44657</v>
      </c>
      <c r="AX1859" s="9">
        <v>563</v>
      </c>
      <c r="BA1859" s="11">
        <v>500</v>
      </c>
      <c r="BC1859" s="17"/>
      <c r="BD1859" s="9"/>
      <c r="CS1859" s="11">
        <f t="shared" si="132"/>
        <v>500</v>
      </c>
      <c r="CT1859" s="22">
        <f t="shared" si="133"/>
        <v>500</v>
      </c>
      <c r="CU1859" s="22">
        <f t="shared" si="134"/>
        <v>0</v>
      </c>
      <c r="CV1859" s="26">
        <f t="shared" si="131"/>
        <v>0</v>
      </c>
    </row>
    <row r="1860" spans="1:100" x14ac:dyDescent="0.2">
      <c r="A1860" s="9" t="s">
        <v>482</v>
      </c>
      <c r="B1860" s="2">
        <v>107</v>
      </c>
      <c r="C1860" s="3" t="s">
        <v>95</v>
      </c>
      <c r="D1860" s="3" t="s">
        <v>96</v>
      </c>
      <c r="E1860" s="2" t="s">
        <v>486</v>
      </c>
      <c r="F1860" s="2">
        <v>2</v>
      </c>
      <c r="G1860" s="2" t="s">
        <v>79</v>
      </c>
      <c r="H1860" s="2">
        <v>5</v>
      </c>
      <c r="I1860" s="8">
        <v>136.85</v>
      </c>
      <c r="J1860" s="8">
        <v>42499</v>
      </c>
      <c r="K1860" s="3">
        <v>0</v>
      </c>
      <c r="L1860" s="3" t="s">
        <v>3</v>
      </c>
      <c r="M1860" s="9" t="s">
        <v>0</v>
      </c>
      <c r="N1860" s="9" t="s">
        <v>39</v>
      </c>
      <c r="O1860" s="9" t="s">
        <v>483</v>
      </c>
      <c r="P1860" s="9" t="s">
        <v>0</v>
      </c>
      <c r="Q1860" s="30" t="s">
        <v>484</v>
      </c>
      <c r="R1860" s="9" t="s">
        <v>485</v>
      </c>
      <c r="S1860" s="9" t="s">
        <v>158</v>
      </c>
      <c r="T1860" s="2" t="s">
        <v>79</v>
      </c>
      <c r="U1860" s="2">
        <v>5</v>
      </c>
      <c r="V1860" s="2">
        <v>130.13</v>
      </c>
      <c r="W1860" s="10"/>
      <c r="X1860" s="17">
        <v>44412</v>
      </c>
      <c r="Y1860" s="17">
        <v>44936</v>
      </c>
      <c r="Z1860" s="19" t="s">
        <v>772</v>
      </c>
      <c r="AA1860" s="210">
        <v>44732</v>
      </c>
      <c r="AB1860" s="9">
        <v>73</v>
      </c>
      <c r="AC1860" s="9">
        <v>9</v>
      </c>
      <c r="AD1860" s="17">
        <v>44685</v>
      </c>
      <c r="AE1860" s="56">
        <v>500</v>
      </c>
      <c r="AF1860" s="56"/>
      <c r="AG1860" s="9" t="s">
        <v>134</v>
      </c>
      <c r="AH1860" s="127">
        <v>44685</v>
      </c>
      <c r="AI1860" s="127"/>
      <c r="AJ1860" s="127"/>
      <c r="AK1860" s="22" t="s">
        <v>501</v>
      </c>
      <c r="AL1860" s="22">
        <v>500</v>
      </c>
      <c r="AM1860" s="22"/>
      <c r="AN1860" s="22" t="s">
        <v>1573</v>
      </c>
      <c r="AO1860" s="22"/>
      <c r="AW1860" s="17">
        <v>44683</v>
      </c>
      <c r="AX1860" s="9">
        <v>604</v>
      </c>
      <c r="BA1860" s="11">
        <v>500</v>
      </c>
      <c r="BB1860" s="11" t="s">
        <v>1704</v>
      </c>
      <c r="BD1860" s="9"/>
      <c r="CS1860" s="11">
        <f t="shared" si="132"/>
        <v>500</v>
      </c>
      <c r="CT1860" s="22">
        <f t="shared" si="133"/>
        <v>500</v>
      </c>
      <c r="CU1860" s="22">
        <f t="shared" si="134"/>
        <v>0</v>
      </c>
      <c r="CV1860" s="26">
        <f t="shared" si="131"/>
        <v>0</v>
      </c>
    </row>
    <row r="1861" spans="1:100" x14ac:dyDescent="0.2">
      <c r="A1861" s="9" t="s">
        <v>482</v>
      </c>
      <c r="B1861" s="2">
        <v>107</v>
      </c>
      <c r="C1861" s="3" t="s">
        <v>95</v>
      </c>
      <c r="D1861" s="3" t="s">
        <v>96</v>
      </c>
      <c r="E1861" s="2" t="s">
        <v>486</v>
      </c>
      <c r="F1861" s="2">
        <v>2</v>
      </c>
      <c r="G1861" s="2" t="s">
        <v>79</v>
      </c>
      <c r="H1861" s="2">
        <v>5</v>
      </c>
      <c r="I1861" s="8">
        <v>136.85</v>
      </c>
      <c r="J1861" s="8">
        <v>42499</v>
      </c>
      <c r="K1861" s="3">
        <v>0</v>
      </c>
      <c r="L1861" s="3" t="s">
        <v>3</v>
      </c>
      <c r="M1861" s="9" t="s">
        <v>0</v>
      </c>
      <c r="N1861" s="9" t="s">
        <v>39</v>
      </c>
      <c r="O1861" s="9" t="s">
        <v>483</v>
      </c>
      <c r="P1861" s="9" t="s">
        <v>0</v>
      </c>
      <c r="Q1861" s="30" t="s">
        <v>484</v>
      </c>
      <c r="R1861" s="9" t="s">
        <v>485</v>
      </c>
      <c r="S1861" s="9" t="s">
        <v>158</v>
      </c>
      <c r="T1861" s="2" t="s">
        <v>79</v>
      </c>
      <c r="U1861" s="2">
        <v>5</v>
      </c>
      <c r="V1861" s="2">
        <v>130.13</v>
      </c>
      <c r="W1861" s="10"/>
      <c r="X1861" s="17">
        <v>44412</v>
      </c>
      <c r="Y1861" s="17">
        <v>44936</v>
      </c>
      <c r="Z1861" s="19" t="s">
        <v>772</v>
      </c>
      <c r="AA1861" s="210">
        <v>44732</v>
      </c>
      <c r="AB1861" s="9">
        <v>73</v>
      </c>
      <c r="AC1861" s="9">
        <v>10</v>
      </c>
      <c r="AD1861" s="17">
        <v>44716</v>
      </c>
      <c r="AE1861" s="56">
        <v>500</v>
      </c>
      <c r="AF1861" s="56"/>
      <c r="AG1861" s="9" t="s">
        <v>134</v>
      </c>
      <c r="AH1861" s="127">
        <v>44721</v>
      </c>
      <c r="AI1861" s="127"/>
      <c r="AJ1861" s="127"/>
      <c r="AK1861" s="22" t="s">
        <v>502</v>
      </c>
      <c r="AL1861" s="22">
        <v>500</v>
      </c>
      <c r="AM1861" s="22"/>
      <c r="AN1861" s="22" t="s">
        <v>1574</v>
      </c>
      <c r="AO1861" s="22"/>
      <c r="AW1861" s="17">
        <v>44719</v>
      </c>
      <c r="AX1861" s="9">
        <v>697</v>
      </c>
      <c r="BA1861" s="11">
        <v>500</v>
      </c>
      <c r="BB1861" s="11" t="s">
        <v>1704</v>
      </c>
      <c r="BD1861" s="9"/>
      <c r="CS1861" s="11">
        <f t="shared" si="132"/>
        <v>500</v>
      </c>
      <c r="CT1861" s="22">
        <f t="shared" si="133"/>
        <v>500</v>
      </c>
      <c r="CU1861" s="22">
        <f t="shared" si="134"/>
        <v>0</v>
      </c>
      <c r="CV1861" s="26">
        <f t="shared" si="131"/>
        <v>0</v>
      </c>
    </row>
    <row r="1862" spans="1:100" x14ac:dyDescent="0.2">
      <c r="A1862" s="9" t="s">
        <v>482</v>
      </c>
      <c r="B1862" s="2">
        <v>107</v>
      </c>
      <c r="C1862" s="3" t="s">
        <v>95</v>
      </c>
      <c r="D1862" s="3" t="s">
        <v>96</v>
      </c>
      <c r="E1862" s="2" t="s">
        <v>486</v>
      </c>
      <c r="F1862" s="2">
        <v>2</v>
      </c>
      <c r="G1862" s="2" t="s">
        <v>79</v>
      </c>
      <c r="H1862" s="2">
        <v>5</v>
      </c>
      <c r="I1862" s="8">
        <v>136.85</v>
      </c>
      <c r="J1862" s="8">
        <v>42499</v>
      </c>
      <c r="K1862" s="3">
        <v>0</v>
      </c>
      <c r="L1862" s="3" t="s">
        <v>3</v>
      </c>
      <c r="M1862" s="9" t="s">
        <v>0</v>
      </c>
      <c r="N1862" s="9" t="s">
        <v>39</v>
      </c>
      <c r="O1862" s="9" t="s">
        <v>483</v>
      </c>
      <c r="P1862" s="9" t="s">
        <v>0</v>
      </c>
      <c r="Q1862" s="30" t="s">
        <v>484</v>
      </c>
      <c r="R1862" s="9" t="s">
        <v>485</v>
      </c>
      <c r="S1862" s="9" t="s">
        <v>158</v>
      </c>
      <c r="T1862" s="2" t="s">
        <v>79</v>
      </c>
      <c r="U1862" s="2">
        <v>5</v>
      </c>
      <c r="V1862" s="2">
        <v>130.13</v>
      </c>
      <c r="W1862" s="10"/>
      <c r="X1862" s="17">
        <v>44412</v>
      </c>
      <c r="Y1862" s="17">
        <v>44936</v>
      </c>
      <c r="Z1862" s="19" t="s">
        <v>772</v>
      </c>
      <c r="AA1862" s="210">
        <v>44732</v>
      </c>
      <c r="AB1862" s="9">
        <v>73</v>
      </c>
      <c r="AC1862" s="9">
        <v>11</v>
      </c>
      <c r="AD1862" s="17">
        <v>44746</v>
      </c>
      <c r="AE1862" s="56">
        <v>500</v>
      </c>
      <c r="AF1862" s="56"/>
      <c r="AG1862" s="9" t="s">
        <v>134</v>
      </c>
      <c r="AH1862" s="127">
        <v>44742</v>
      </c>
      <c r="AI1862" s="127"/>
      <c r="AJ1862" s="127"/>
      <c r="AK1862" s="22" t="s">
        <v>503</v>
      </c>
      <c r="AL1862" s="22">
        <v>500</v>
      </c>
      <c r="AM1862" s="22"/>
      <c r="AN1862" s="22" t="s">
        <v>1575</v>
      </c>
      <c r="AO1862" s="22"/>
      <c r="AW1862" s="17">
        <v>44742</v>
      </c>
      <c r="AX1862" s="9">
        <v>741</v>
      </c>
      <c r="BA1862" s="11">
        <v>500</v>
      </c>
      <c r="BB1862" s="11" t="s">
        <v>1704</v>
      </c>
      <c r="BC1862" s="17"/>
      <c r="BD1862" s="9"/>
      <c r="CS1862" s="11">
        <f t="shared" si="132"/>
        <v>500</v>
      </c>
      <c r="CT1862" s="22">
        <f t="shared" si="133"/>
        <v>500</v>
      </c>
      <c r="CU1862" s="22">
        <f t="shared" si="134"/>
        <v>0</v>
      </c>
      <c r="CV1862" s="26">
        <f t="shared" si="131"/>
        <v>0</v>
      </c>
    </row>
    <row r="1863" spans="1:100" x14ac:dyDescent="0.2">
      <c r="A1863" s="9" t="s">
        <v>482</v>
      </c>
      <c r="B1863" s="2">
        <v>107</v>
      </c>
      <c r="C1863" s="3" t="s">
        <v>95</v>
      </c>
      <c r="D1863" s="3" t="s">
        <v>96</v>
      </c>
      <c r="E1863" s="2" t="s">
        <v>486</v>
      </c>
      <c r="F1863" s="2">
        <v>2</v>
      </c>
      <c r="G1863" s="2" t="s">
        <v>79</v>
      </c>
      <c r="H1863" s="2">
        <v>5</v>
      </c>
      <c r="I1863" s="8">
        <v>136.85</v>
      </c>
      <c r="J1863" s="8">
        <v>42499</v>
      </c>
      <c r="K1863" s="3">
        <v>0</v>
      </c>
      <c r="L1863" s="3" t="s">
        <v>3</v>
      </c>
      <c r="M1863" s="9" t="s">
        <v>0</v>
      </c>
      <c r="N1863" s="9" t="s">
        <v>39</v>
      </c>
      <c r="O1863" s="9" t="s">
        <v>483</v>
      </c>
      <c r="P1863" s="9" t="s">
        <v>0</v>
      </c>
      <c r="Q1863" s="30" t="s">
        <v>484</v>
      </c>
      <c r="R1863" s="9" t="s">
        <v>485</v>
      </c>
      <c r="S1863" s="9" t="s">
        <v>158</v>
      </c>
      <c r="T1863" s="2" t="s">
        <v>79</v>
      </c>
      <c r="U1863" s="2">
        <v>5</v>
      </c>
      <c r="V1863" s="2">
        <v>130.13</v>
      </c>
      <c r="W1863" s="10"/>
      <c r="X1863" s="17">
        <v>44412</v>
      </c>
      <c r="Y1863" s="17">
        <v>44936</v>
      </c>
      <c r="Z1863" s="19" t="s">
        <v>772</v>
      </c>
      <c r="AA1863" s="210">
        <v>44732</v>
      </c>
      <c r="AB1863" s="9">
        <v>73</v>
      </c>
      <c r="AC1863" s="9">
        <v>12</v>
      </c>
      <c r="AD1863" s="17">
        <v>44777</v>
      </c>
      <c r="AE1863" s="56">
        <v>500</v>
      </c>
      <c r="AF1863" s="56"/>
      <c r="AG1863" s="9" t="s">
        <v>134</v>
      </c>
      <c r="AH1863" s="127">
        <v>44799</v>
      </c>
      <c r="AI1863" s="127"/>
      <c r="AJ1863" s="127"/>
      <c r="AK1863" s="22" t="s">
        <v>504</v>
      </c>
      <c r="AL1863" s="22">
        <v>500</v>
      </c>
      <c r="AM1863" s="22"/>
      <c r="AN1863" s="22" t="s">
        <v>1576</v>
      </c>
      <c r="AO1863" s="22"/>
      <c r="AW1863" s="17">
        <v>44798</v>
      </c>
      <c r="AX1863" s="9">
        <v>895</v>
      </c>
      <c r="BA1863" s="11">
        <v>500</v>
      </c>
      <c r="BD1863" s="9"/>
      <c r="CS1863" s="11">
        <f t="shared" si="132"/>
        <v>500</v>
      </c>
      <c r="CT1863" s="22">
        <f t="shared" si="133"/>
        <v>500</v>
      </c>
      <c r="CU1863" s="22">
        <f t="shared" si="134"/>
        <v>0</v>
      </c>
      <c r="CV1863" s="26">
        <f t="shared" si="131"/>
        <v>0</v>
      </c>
    </row>
    <row r="1864" spans="1:100" x14ac:dyDescent="0.2">
      <c r="A1864" s="9" t="s">
        <v>482</v>
      </c>
      <c r="B1864" s="2">
        <v>107</v>
      </c>
      <c r="C1864" s="3" t="s">
        <v>95</v>
      </c>
      <c r="D1864" s="3" t="s">
        <v>96</v>
      </c>
      <c r="E1864" s="2" t="s">
        <v>486</v>
      </c>
      <c r="F1864" s="2">
        <v>2</v>
      </c>
      <c r="G1864" s="2" t="s">
        <v>79</v>
      </c>
      <c r="H1864" s="2">
        <v>5</v>
      </c>
      <c r="I1864" s="8">
        <v>136.85</v>
      </c>
      <c r="J1864" s="8">
        <v>42499</v>
      </c>
      <c r="K1864" s="3">
        <v>0</v>
      </c>
      <c r="L1864" s="3" t="s">
        <v>3</v>
      </c>
      <c r="M1864" s="9" t="s">
        <v>0</v>
      </c>
      <c r="N1864" s="9" t="s">
        <v>39</v>
      </c>
      <c r="O1864" s="9" t="s">
        <v>483</v>
      </c>
      <c r="P1864" s="9" t="s">
        <v>0</v>
      </c>
      <c r="Q1864" s="30" t="s">
        <v>484</v>
      </c>
      <c r="R1864" s="9" t="s">
        <v>485</v>
      </c>
      <c r="S1864" s="9" t="s">
        <v>158</v>
      </c>
      <c r="T1864" s="2" t="s">
        <v>79</v>
      </c>
      <c r="U1864" s="2">
        <v>5</v>
      </c>
      <c r="V1864" s="2">
        <v>130.13</v>
      </c>
      <c r="W1864" s="10"/>
      <c r="X1864" s="17">
        <v>44412</v>
      </c>
      <c r="Y1864" s="17">
        <v>44936</v>
      </c>
      <c r="Z1864" s="19" t="s">
        <v>772</v>
      </c>
      <c r="AA1864" s="210">
        <v>44732</v>
      </c>
      <c r="AB1864" s="9">
        <v>73</v>
      </c>
      <c r="AC1864" s="9">
        <v>13</v>
      </c>
      <c r="AD1864" s="17">
        <v>44808</v>
      </c>
      <c r="AE1864" s="56">
        <v>500</v>
      </c>
      <c r="AF1864" s="56"/>
      <c r="AG1864" s="9" t="s">
        <v>134</v>
      </c>
      <c r="AH1864" s="127">
        <v>44816</v>
      </c>
      <c r="AI1864" s="127"/>
      <c r="AJ1864" s="127"/>
      <c r="AK1864" s="22" t="s">
        <v>505</v>
      </c>
      <c r="AL1864" s="22">
        <v>500</v>
      </c>
      <c r="AM1864" s="22"/>
      <c r="AN1864" s="22" t="s">
        <v>1577</v>
      </c>
      <c r="AO1864" s="22"/>
      <c r="AW1864" s="17">
        <v>44815</v>
      </c>
      <c r="AX1864" s="9">
        <v>937</v>
      </c>
      <c r="BA1864" s="11">
        <v>500</v>
      </c>
      <c r="BD1864" s="9"/>
      <c r="CS1864" s="11">
        <f t="shared" si="132"/>
        <v>500</v>
      </c>
      <c r="CT1864" s="22">
        <f t="shared" si="133"/>
        <v>500</v>
      </c>
      <c r="CU1864" s="22">
        <f t="shared" si="134"/>
        <v>0</v>
      </c>
      <c r="CV1864" s="26">
        <f t="shared" si="131"/>
        <v>0</v>
      </c>
    </row>
    <row r="1865" spans="1:100" x14ac:dyDescent="0.2">
      <c r="A1865" s="9" t="s">
        <v>482</v>
      </c>
      <c r="B1865" s="2">
        <v>107</v>
      </c>
      <c r="C1865" s="3" t="s">
        <v>95</v>
      </c>
      <c r="D1865" s="3" t="s">
        <v>96</v>
      </c>
      <c r="E1865" s="2" t="s">
        <v>486</v>
      </c>
      <c r="F1865" s="2">
        <v>2</v>
      </c>
      <c r="G1865" s="2" t="s">
        <v>79</v>
      </c>
      <c r="H1865" s="2">
        <v>5</v>
      </c>
      <c r="I1865" s="8">
        <v>136.85</v>
      </c>
      <c r="J1865" s="8">
        <v>42499</v>
      </c>
      <c r="K1865" s="3">
        <v>0</v>
      </c>
      <c r="L1865" s="3" t="s">
        <v>3</v>
      </c>
      <c r="M1865" s="9" t="s">
        <v>0</v>
      </c>
      <c r="N1865" s="9" t="s">
        <v>39</v>
      </c>
      <c r="O1865" s="9" t="s">
        <v>483</v>
      </c>
      <c r="P1865" s="9" t="s">
        <v>0</v>
      </c>
      <c r="Q1865" s="30" t="s">
        <v>484</v>
      </c>
      <c r="R1865" s="9" t="s">
        <v>485</v>
      </c>
      <c r="S1865" s="9" t="s">
        <v>158</v>
      </c>
      <c r="T1865" s="2" t="s">
        <v>79</v>
      </c>
      <c r="U1865" s="2">
        <v>5</v>
      </c>
      <c r="V1865" s="2">
        <v>130.13</v>
      </c>
      <c r="W1865" s="10"/>
      <c r="X1865" s="17">
        <v>44412</v>
      </c>
      <c r="Y1865" s="17">
        <v>44936</v>
      </c>
      <c r="Z1865" s="19" t="s">
        <v>772</v>
      </c>
      <c r="AA1865" s="210">
        <v>44732</v>
      </c>
      <c r="AB1865" s="9">
        <v>73</v>
      </c>
      <c r="AC1865" s="9">
        <v>14</v>
      </c>
      <c r="AD1865" s="17">
        <v>44838</v>
      </c>
      <c r="AE1865" s="56">
        <v>500</v>
      </c>
      <c r="AF1865" s="56"/>
      <c r="AG1865" s="9" t="s">
        <v>134</v>
      </c>
      <c r="AH1865" s="127">
        <v>44846</v>
      </c>
      <c r="AI1865" s="127"/>
      <c r="AJ1865" s="127"/>
      <c r="AK1865" s="22" t="s">
        <v>506</v>
      </c>
      <c r="AL1865" s="22">
        <v>500</v>
      </c>
      <c r="AM1865" s="22"/>
      <c r="AN1865" s="22" t="s">
        <v>1578</v>
      </c>
      <c r="AO1865" s="22"/>
      <c r="AW1865" s="17">
        <v>44845</v>
      </c>
      <c r="AX1865" s="9">
        <v>998</v>
      </c>
      <c r="BA1865" s="11">
        <v>500</v>
      </c>
      <c r="BD1865" s="9"/>
      <c r="CS1865" s="11">
        <f t="shared" si="132"/>
        <v>500</v>
      </c>
      <c r="CT1865" s="22">
        <f t="shared" si="133"/>
        <v>500</v>
      </c>
      <c r="CU1865" s="22">
        <f t="shared" si="134"/>
        <v>0</v>
      </c>
      <c r="CV1865" s="26">
        <f t="shared" si="131"/>
        <v>0</v>
      </c>
    </row>
    <row r="1866" spans="1:100" x14ac:dyDescent="0.2">
      <c r="A1866" s="9" t="s">
        <v>482</v>
      </c>
      <c r="B1866" s="2">
        <v>107</v>
      </c>
      <c r="C1866" s="3" t="s">
        <v>95</v>
      </c>
      <c r="D1866" s="3" t="s">
        <v>96</v>
      </c>
      <c r="E1866" s="2" t="s">
        <v>486</v>
      </c>
      <c r="F1866" s="2">
        <v>2</v>
      </c>
      <c r="G1866" s="2" t="s">
        <v>79</v>
      </c>
      <c r="H1866" s="2">
        <v>5</v>
      </c>
      <c r="I1866" s="8">
        <v>136.85</v>
      </c>
      <c r="J1866" s="8">
        <v>42499</v>
      </c>
      <c r="K1866" s="3">
        <v>0</v>
      </c>
      <c r="L1866" s="3" t="s">
        <v>3</v>
      </c>
      <c r="M1866" s="9" t="s">
        <v>0</v>
      </c>
      <c r="N1866" s="9" t="s">
        <v>39</v>
      </c>
      <c r="O1866" s="9" t="s">
        <v>483</v>
      </c>
      <c r="P1866" s="9" t="s">
        <v>0</v>
      </c>
      <c r="Q1866" s="30" t="s">
        <v>484</v>
      </c>
      <c r="R1866" s="9" t="s">
        <v>485</v>
      </c>
      <c r="S1866" s="9" t="s">
        <v>158</v>
      </c>
      <c r="T1866" s="2" t="s">
        <v>79</v>
      </c>
      <c r="U1866" s="2">
        <v>5</v>
      </c>
      <c r="V1866" s="2">
        <v>130.13</v>
      </c>
      <c r="W1866" s="10"/>
      <c r="X1866" s="17">
        <v>44412</v>
      </c>
      <c r="Y1866" s="17">
        <v>44936</v>
      </c>
      <c r="Z1866" s="19" t="s">
        <v>772</v>
      </c>
      <c r="AA1866" s="210">
        <v>44732</v>
      </c>
      <c r="AB1866" s="9">
        <v>73</v>
      </c>
      <c r="AC1866" s="9">
        <v>15</v>
      </c>
      <c r="AD1866" s="17">
        <v>44869</v>
      </c>
      <c r="AE1866" s="56">
        <v>500</v>
      </c>
      <c r="AF1866" s="56"/>
      <c r="AG1866" s="9" t="s">
        <v>134</v>
      </c>
      <c r="AH1866" s="127">
        <v>44895</v>
      </c>
      <c r="AI1866" s="127"/>
      <c r="AJ1866" s="127"/>
      <c r="AK1866" s="22" t="s">
        <v>507</v>
      </c>
      <c r="AL1866" s="22">
        <v>500</v>
      </c>
      <c r="AM1866" s="22"/>
      <c r="AN1866" s="22" t="s">
        <v>1579</v>
      </c>
      <c r="AO1866" s="22"/>
      <c r="AW1866" s="17">
        <v>44892</v>
      </c>
      <c r="AX1866" s="9">
        <v>1075</v>
      </c>
      <c r="BA1866" s="11">
        <v>500</v>
      </c>
      <c r="BD1866" s="9"/>
      <c r="CS1866" s="11">
        <f t="shared" si="132"/>
        <v>500</v>
      </c>
      <c r="CT1866" s="22">
        <f t="shared" si="133"/>
        <v>500</v>
      </c>
      <c r="CU1866" s="22">
        <f t="shared" si="134"/>
        <v>0</v>
      </c>
      <c r="CV1866" s="26">
        <f t="shared" si="131"/>
        <v>0</v>
      </c>
    </row>
    <row r="1867" spans="1:100" x14ac:dyDescent="0.2">
      <c r="A1867" s="9" t="s">
        <v>482</v>
      </c>
      <c r="B1867" s="2">
        <v>107</v>
      </c>
      <c r="C1867" s="3" t="s">
        <v>95</v>
      </c>
      <c r="D1867" s="3" t="s">
        <v>96</v>
      </c>
      <c r="E1867" s="2" t="s">
        <v>486</v>
      </c>
      <c r="F1867" s="2">
        <v>2</v>
      </c>
      <c r="G1867" s="2" t="s">
        <v>79</v>
      </c>
      <c r="H1867" s="2">
        <v>5</v>
      </c>
      <c r="I1867" s="8">
        <v>136.85</v>
      </c>
      <c r="J1867" s="8">
        <v>42499</v>
      </c>
      <c r="K1867" s="3">
        <v>0</v>
      </c>
      <c r="L1867" s="3" t="s">
        <v>3</v>
      </c>
      <c r="M1867" s="9" t="s">
        <v>0</v>
      </c>
      <c r="N1867" s="9" t="s">
        <v>39</v>
      </c>
      <c r="O1867" s="9" t="s">
        <v>483</v>
      </c>
      <c r="P1867" s="9" t="s">
        <v>0</v>
      </c>
      <c r="Q1867" s="30" t="s">
        <v>484</v>
      </c>
      <c r="R1867" s="9" t="s">
        <v>485</v>
      </c>
      <c r="S1867" s="9" t="s">
        <v>158</v>
      </c>
      <c r="T1867" s="2" t="s">
        <v>79</v>
      </c>
      <c r="U1867" s="2">
        <v>5</v>
      </c>
      <c r="V1867" s="2">
        <v>130.13</v>
      </c>
      <c r="W1867" s="10"/>
      <c r="X1867" s="17">
        <v>44412</v>
      </c>
      <c r="Y1867" s="17">
        <v>44936</v>
      </c>
      <c r="Z1867" s="19" t="s">
        <v>772</v>
      </c>
      <c r="AA1867" s="210">
        <v>44732</v>
      </c>
      <c r="AB1867" s="9">
        <v>73</v>
      </c>
      <c r="AC1867" s="9">
        <v>16</v>
      </c>
      <c r="AD1867" s="17">
        <v>44899</v>
      </c>
      <c r="AE1867" s="56">
        <v>500</v>
      </c>
      <c r="AF1867" s="56"/>
      <c r="AG1867" s="9" t="s">
        <v>134</v>
      </c>
      <c r="AH1867" s="127">
        <v>44938</v>
      </c>
      <c r="AI1867" s="127"/>
      <c r="AJ1867" s="127"/>
      <c r="AK1867" s="22" t="s">
        <v>508</v>
      </c>
      <c r="AL1867" s="22">
        <v>500</v>
      </c>
      <c r="AM1867" s="22"/>
      <c r="AN1867" s="22" t="s">
        <v>1580</v>
      </c>
      <c r="AO1867" s="22"/>
      <c r="AW1867" s="17">
        <v>44936</v>
      </c>
      <c r="AX1867" s="9">
        <v>1140</v>
      </c>
      <c r="BA1867" s="11">
        <v>500</v>
      </c>
      <c r="BD1867" s="9"/>
      <c r="CS1867" s="11">
        <f t="shared" si="132"/>
        <v>500</v>
      </c>
      <c r="CT1867" s="22">
        <f t="shared" si="133"/>
        <v>500</v>
      </c>
      <c r="CU1867" s="22">
        <f t="shared" si="134"/>
        <v>0</v>
      </c>
      <c r="CV1867" s="26">
        <f t="shared" si="131"/>
        <v>0</v>
      </c>
    </row>
    <row r="1868" spans="1:100" x14ac:dyDescent="0.2">
      <c r="A1868" s="9" t="s">
        <v>482</v>
      </c>
      <c r="B1868" s="2">
        <v>107</v>
      </c>
      <c r="C1868" s="3" t="s">
        <v>95</v>
      </c>
      <c r="D1868" s="3" t="s">
        <v>96</v>
      </c>
      <c r="E1868" s="2" t="s">
        <v>486</v>
      </c>
      <c r="F1868" s="2">
        <v>2</v>
      </c>
      <c r="G1868" s="2" t="s">
        <v>79</v>
      </c>
      <c r="H1868" s="2">
        <v>5</v>
      </c>
      <c r="I1868" s="8">
        <v>136.85</v>
      </c>
      <c r="J1868" s="8">
        <v>42499</v>
      </c>
      <c r="K1868" s="3">
        <v>0</v>
      </c>
      <c r="L1868" s="3" t="s">
        <v>3</v>
      </c>
      <c r="M1868" s="9" t="s">
        <v>0</v>
      </c>
      <c r="N1868" s="9" t="s">
        <v>39</v>
      </c>
      <c r="O1868" s="9" t="s">
        <v>483</v>
      </c>
      <c r="P1868" s="9" t="s">
        <v>0</v>
      </c>
      <c r="Q1868" s="30" t="s">
        <v>484</v>
      </c>
      <c r="R1868" s="9" t="s">
        <v>485</v>
      </c>
      <c r="S1868" s="9" t="s">
        <v>158</v>
      </c>
      <c r="T1868" s="2" t="s">
        <v>79</v>
      </c>
      <c r="U1868" s="2">
        <v>5</v>
      </c>
      <c r="V1868" s="2">
        <v>130.13</v>
      </c>
      <c r="W1868" s="10"/>
      <c r="X1868" s="17">
        <v>44412</v>
      </c>
      <c r="Y1868" s="17">
        <v>44936</v>
      </c>
      <c r="Z1868" s="19" t="s">
        <v>772</v>
      </c>
      <c r="AA1868" s="210">
        <v>44732</v>
      </c>
      <c r="AB1868" s="9">
        <v>73</v>
      </c>
      <c r="AC1868" s="9">
        <v>17</v>
      </c>
      <c r="AD1868" s="17">
        <v>44930</v>
      </c>
      <c r="AE1868" s="56">
        <v>500</v>
      </c>
      <c r="AF1868" s="56"/>
      <c r="AG1868" s="9" t="s">
        <v>134</v>
      </c>
      <c r="AH1868" s="127">
        <v>44978</v>
      </c>
      <c r="AI1868" s="127"/>
      <c r="AJ1868" s="127"/>
      <c r="AK1868" s="22" t="s">
        <v>509</v>
      </c>
      <c r="AL1868" s="22">
        <v>500</v>
      </c>
      <c r="AM1868" s="22"/>
      <c r="AN1868" s="22" t="s">
        <v>1582</v>
      </c>
      <c r="AO1868" s="22"/>
      <c r="AW1868" s="17">
        <v>44943</v>
      </c>
      <c r="AX1868" s="9">
        <v>1159</v>
      </c>
      <c r="BA1868" s="11">
        <v>500</v>
      </c>
      <c r="BB1868" s="11" t="s">
        <v>1704</v>
      </c>
      <c r="BD1868" s="9"/>
      <c r="CS1868" s="11">
        <f t="shared" si="132"/>
        <v>500</v>
      </c>
      <c r="CT1868" s="22">
        <f t="shared" si="133"/>
        <v>500</v>
      </c>
      <c r="CU1868" s="22">
        <f t="shared" si="134"/>
        <v>0</v>
      </c>
      <c r="CV1868" s="26">
        <f t="shared" si="131"/>
        <v>0</v>
      </c>
    </row>
    <row r="1869" spans="1:100" x14ac:dyDescent="0.2">
      <c r="A1869" s="9" t="s">
        <v>482</v>
      </c>
      <c r="B1869" s="2">
        <v>107</v>
      </c>
      <c r="C1869" s="3" t="s">
        <v>95</v>
      </c>
      <c r="D1869" s="3" t="s">
        <v>96</v>
      </c>
      <c r="E1869" s="2" t="s">
        <v>486</v>
      </c>
      <c r="F1869" s="2">
        <v>2</v>
      </c>
      <c r="G1869" s="2" t="s">
        <v>79</v>
      </c>
      <c r="H1869" s="2">
        <v>5</v>
      </c>
      <c r="I1869" s="8">
        <v>136.85</v>
      </c>
      <c r="J1869" s="8">
        <v>42499</v>
      </c>
      <c r="K1869" s="3">
        <v>0</v>
      </c>
      <c r="L1869" s="3" t="s">
        <v>3</v>
      </c>
      <c r="M1869" s="9" t="s">
        <v>0</v>
      </c>
      <c r="N1869" s="9" t="s">
        <v>39</v>
      </c>
      <c r="O1869" s="9" t="s">
        <v>483</v>
      </c>
      <c r="P1869" s="9" t="s">
        <v>0</v>
      </c>
      <c r="Q1869" s="30" t="s">
        <v>484</v>
      </c>
      <c r="R1869" s="9" t="s">
        <v>485</v>
      </c>
      <c r="S1869" s="9" t="s">
        <v>158</v>
      </c>
      <c r="T1869" s="2" t="s">
        <v>79</v>
      </c>
      <c r="U1869" s="2">
        <v>5</v>
      </c>
      <c r="V1869" s="2">
        <v>130.13</v>
      </c>
      <c r="W1869" s="10"/>
      <c r="X1869" s="17">
        <v>44412</v>
      </c>
      <c r="Y1869" s="17">
        <v>44936</v>
      </c>
      <c r="Z1869" s="19" t="s">
        <v>772</v>
      </c>
      <c r="AA1869" s="210">
        <v>44732</v>
      </c>
      <c r="AB1869" s="9">
        <v>73</v>
      </c>
      <c r="AC1869" s="9">
        <v>18</v>
      </c>
      <c r="AD1869" s="17">
        <v>44961</v>
      </c>
      <c r="AE1869" s="56">
        <v>500</v>
      </c>
      <c r="AF1869" s="56"/>
      <c r="AG1869" s="9" t="s">
        <v>134</v>
      </c>
      <c r="AH1869" s="127">
        <v>44979</v>
      </c>
      <c r="AI1869" s="127"/>
      <c r="AJ1869" s="127"/>
      <c r="AK1869" s="22" t="s">
        <v>510</v>
      </c>
      <c r="AL1869" s="22">
        <v>500</v>
      </c>
      <c r="AM1869" s="22"/>
      <c r="AN1869" s="22" t="s">
        <v>1583</v>
      </c>
      <c r="AO1869" s="22"/>
      <c r="AW1869" s="17">
        <v>44977</v>
      </c>
      <c r="AX1869" s="9">
        <v>1233</v>
      </c>
      <c r="BA1869" s="11">
        <v>500</v>
      </c>
      <c r="BD1869" s="9"/>
      <c r="CS1869" s="11">
        <f t="shared" si="132"/>
        <v>500</v>
      </c>
      <c r="CT1869" s="22">
        <f t="shared" si="133"/>
        <v>500</v>
      </c>
      <c r="CU1869" s="22">
        <f t="shared" si="134"/>
        <v>0</v>
      </c>
      <c r="CV1869" s="26">
        <f t="shared" si="131"/>
        <v>0</v>
      </c>
    </row>
    <row r="1870" spans="1:100" x14ac:dyDescent="0.2">
      <c r="A1870" s="9" t="s">
        <v>482</v>
      </c>
      <c r="B1870" s="2">
        <v>107</v>
      </c>
      <c r="C1870" s="3" t="s">
        <v>95</v>
      </c>
      <c r="D1870" s="3" t="s">
        <v>96</v>
      </c>
      <c r="E1870" s="2" t="s">
        <v>486</v>
      </c>
      <c r="F1870" s="2">
        <v>2</v>
      </c>
      <c r="G1870" s="2" t="s">
        <v>79</v>
      </c>
      <c r="H1870" s="2">
        <v>5</v>
      </c>
      <c r="I1870" s="8">
        <v>136.85</v>
      </c>
      <c r="J1870" s="8">
        <v>42499</v>
      </c>
      <c r="K1870" s="3">
        <v>0</v>
      </c>
      <c r="L1870" s="3" t="s">
        <v>3</v>
      </c>
      <c r="M1870" s="9" t="s">
        <v>0</v>
      </c>
      <c r="N1870" s="9" t="s">
        <v>39</v>
      </c>
      <c r="O1870" s="9" t="s">
        <v>483</v>
      </c>
      <c r="P1870" s="9" t="s">
        <v>0</v>
      </c>
      <c r="Q1870" s="30" t="s">
        <v>484</v>
      </c>
      <c r="R1870" s="9" t="s">
        <v>485</v>
      </c>
      <c r="S1870" s="9" t="s">
        <v>158</v>
      </c>
      <c r="T1870" s="2" t="s">
        <v>79</v>
      </c>
      <c r="U1870" s="2">
        <v>5</v>
      </c>
      <c r="V1870" s="2">
        <v>130.13</v>
      </c>
      <c r="W1870" s="10"/>
      <c r="X1870" s="17">
        <v>44412</v>
      </c>
      <c r="Y1870" s="17">
        <v>44936</v>
      </c>
      <c r="Z1870" s="19" t="s">
        <v>772</v>
      </c>
      <c r="AA1870" s="210">
        <v>44732</v>
      </c>
      <c r="AB1870" s="9">
        <v>73</v>
      </c>
      <c r="AC1870" s="9">
        <v>19</v>
      </c>
      <c r="AD1870" s="17">
        <v>44989</v>
      </c>
      <c r="AE1870" s="56">
        <v>500</v>
      </c>
      <c r="AF1870" s="56"/>
      <c r="AG1870" s="9" t="s">
        <v>134</v>
      </c>
      <c r="AH1870" s="127">
        <v>44989</v>
      </c>
      <c r="AI1870" s="127"/>
      <c r="AJ1870" s="127"/>
      <c r="AK1870" s="22" t="s">
        <v>511</v>
      </c>
      <c r="AL1870" s="22">
        <v>500</v>
      </c>
      <c r="AM1870" s="22"/>
      <c r="AN1870" s="22" t="s">
        <v>1585</v>
      </c>
      <c r="AO1870" s="22"/>
      <c r="AW1870" s="17">
        <v>44989</v>
      </c>
      <c r="AX1870" s="9">
        <v>1290</v>
      </c>
      <c r="BA1870" s="11">
        <v>500</v>
      </c>
      <c r="BD1870" s="9"/>
      <c r="CS1870" s="11">
        <f t="shared" si="132"/>
        <v>500</v>
      </c>
      <c r="CT1870" s="22">
        <f t="shared" si="133"/>
        <v>500</v>
      </c>
      <c r="CU1870" s="22">
        <f t="shared" si="134"/>
        <v>0</v>
      </c>
      <c r="CV1870" s="26">
        <f t="shared" si="131"/>
        <v>0</v>
      </c>
    </row>
    <row r="1871" spans="1:100" x14ac:dyDescent="0.2">
      <c r="A1871" s="9" t="s">
        <v>482</v>
      </c>
      <c r="B1871" s="2">
        <v>107</v>
      </c>
      <c r="C1871" s="3" t="s">
        <v>95</v>
      </c>
      <c r="D1871" s="3" t="s">
        <v>96</v>
      </c>
      <c r="E1871" s="2" t="s">
        <v>486</v>
      </c>
      <c r="F1871" s="2">
        <v>2</v>
      </c>
      <c r="G1871" s="2" t="s">
        <v>79</v>
      </c>
      <c r="H1871" s="2">
        <v>5</v>
      </c>
      <c r="I1871" s="8">
        <v>136.85</v>
      </c>
      <c r="J1871" s="8">
        <v>42499</v>
      </c>
      <c r="K1871" s="3">
        <v>0</v>
      </c>
      <c r="L1871" s="3" t="s">
        <v>3</v>
      </c>
      <c r="M1871" s="9" t="s">
        <v>0</v>
      </c>
      <c r="N1871" s="9" t="s">
        <v>39</v>
      </c>
      <c r="O1871" s="9" t="s">
        <v>483</v>
      </c>
      <c r="P1871" s="9" t="s">
        <v>0</v>
      </c>
      <c r="Q1871" s="30" t="s">
        <v>484</v>
      </c>
      <c r="R1871" s="9" t="s">
        <v>485</v>
      </c>
      <c r="S1871" s="9" t="s">
        <v>158</v>
      </c>
      <c r="T1871" s="2" t="s">
        <v>79</v>
      </c>
      <c r="U1871" s="2">
        <v>5</v>
      </c>
      <c r="V1871" s="2">
        <v>130.13</v>
      </c>
      <c r="W1871" s="10"/>
      <c r="X1871" s="17">
        <v>44412</v>
      </c>
      <c r="Y1871" s="17">
        <v>44936</v>
      </c>
      <c r="Z1871" s="19" t="s">
        <v>772</v>
      </c>
      <c r="AA1871" s="210">
        <v>44732</v>
      </c>
      <c r="AB1871" s="9">
        <v>73</v>
      </c>
      <c r="AC1871" s="9">
        <v>20</v>
      </c>
      <c r="AD1871" s="17">
        <v>45020</v>
      </c>
      <c r="AE1871" s="56">
        <v>500</v>
      </c>
      <c r="AF1871" s="56"/>
      <c r="AG1871" s="9" t="s">
        <v>134</v>
      </c>
      <c r="AH1871" s="127">
        <v>45036</v>
      </c>
      <c r="AI1871" s="127"/>
      <c r="AJ1871" s="127"/>
      <c r="AK1871" s="22" t="s">
        <v>512</v>
      </c>
      <c r="AL1871" s="22">
        <v>500</v>
      </c>
      <c r="AM1871" s="22"/>
      <c r="AN1871" s="22" t="s">
        <v>1587</v>
      </c>
      <c r="AO1871" s="22"/>
      <c r="AW1871" s="17">
        <v>44670</v>
      </c>
      <c r="AX1871" s="9">
        <v>1417</v>
      </c>
      <c r="BA1871" s="11">
        <v>500</v>
      </c>
      <c r="BD1871" s="9"/>
      <c r="CS1871" s="11">
        <f t="shared" si="132"/>
        <v>500</v>
      </c>
      <c r="CT1871" s="22">
        <f t="shared" si="133"/>
        <v>500</v>
      </c>
      <c r="CU1871" s="22">
        <f t="shared" si="134"/>
        <v>0</v>
      </c>
      <c r="CV1871" s="26">
        <f t="shared" si="131"/>
        <v>0</v>
      </c>
    </row>
    <row r="1872" spans="1:100" x14ac:dyDescent="0.2">
      <c r="A1872" s="9" t="s">
        <v>482</v>
      </c>
      <c r="B1872" s="2">
        <v>107</v>
      </c>
      <c r="C1872" s="3" t="s">
        <v>95</v>
      </c>
      <c r="D1872" s="3" t="s">
        <v>96</v>
      </c>
      <c r="E1872" s="2" t="s">
        <v>486</v>
      </c>
      <c r="F1872" s="2">
        <v>2</v>
      </c>
      <c r="G1872" s="2" t="s">
        <v>79</v>
      </c>
      <c r="H1872" s="2">
        <v>5</v>
      </c>
      <c r="I1872" s="8">
        <v>136.85</v>
      </c>
      <c r="J1872" s="8">
        <v>42499</v>
      </c>
      <c r="K1872" s="3">
        <v>0</v>
      </c>
      <c r="L1872" s="3" t="s">
        <v>3</v>
      </c>
      <c r="M1872" s="9" t="s">
        <v>0</v>
      </c>
      <c r="N1872" s="9" t="s">
        <v>39</v>
      </c>
      <c r="O1872" s="9" t="s">
        <v>483</v>
      </c>
      <c r="P1872" s="9" t="s">
        <v>0</v>
      </c>
      <c r="Q1872" s="30" t="s">
        <v>484</v>
      </c>
      <c r="R1872" s="9" t="s">
        <v>485</v>
      </c>
      <c r="S1872" s="9" t="s">
        <v>158</v>
      </c>
      <c r="T1872" s="2" t="s">
        <v>79</v>
      </c>
      <c r="U1872" s="2">
        <v>5</v>
      </c>
      <c r="V1872" s="2">
        <v>130.13</v>
      </c>
      <c r="W1872" s="10"/>
      <c r="X1872" s="17">
        <v>44412</v>
      </c>
      <c r="Y1872" s="17">
        <v>44936</v>
      </c>
      <c r="Z1872" s="19" t="s">
        <v>772</v>
      </c>
      <c r="AA1872" s="210">
        <v>44732</v>
      </c>
      <c r="AB1872" s="9">
        <v>73</v>
      </c>
      <c r="AC1872" s="9">
        <v>21</v>
      </c>
      <c r="AD1872" s="17">
        <v>45050</v>
      </c>
      <c r="AE1872" s="56">
        <v>500</v>
      </c>
      <c r="AF1872" s="56"/>
      <c r="AG1872" s="9" t="s">
        <v>134</v>
      </c>
      <c r="AH1872" s="127">
        <v>45056</v>
      </c>
      <c r="AI1872" s="127"/>
      <c r="AJ1872" s="127"/>
      <c r="AK1872" s="22" t="s">
        <v>513</v>
      </c>
      <c r="AL1872" s="22">
        <v>500</v>
      </c>
      <c r="AM1872" s="22"/>
      <c r="AN1872" s="22" t="s">
        <v>1589</v>
      </c>
      <c r="AO1872" s="22"/>
      <c r="AW1872" s="17">
        <v>45052</v>
      </c>
      <c r="AX1872" s="9">
        <v>1490</v>
      </c>
      <c r="BA1872" s="11">
        <v>500</v>
      </c>
      <c r="BD1872" s="9"/>
      <c r="CS1872" s="11">
        <f t="shared" si="132"/>
        <v>500</v>
      </c>
      <c r="CT1872" s="22">
        <f t="shared" si="133"/>
        <v>500</v>
      </c>
      <c r="CU1872" s="22">
        <f t="shared" si="134"/>
        <v>0</v>
      </c>
      <c r="CV1872" s="26">
        <f t="shared" si="131"/>
        <v>0</v>
      </c>
    </row>
    <row r="1873" spans="1:100" x14ac:dyDescent="0.2">
      <c r="A1873" s="9" t="s">
        <v>482</v>
      </c>
      <c r="B1873" s="2">
        <v>107</v>
      </c>
      <c r="C1873" s="3" t="s">
        <v>95</v>
      </c>
      <c r="D1873" s="3" t="s">
        <v>96</v>
      </c>
      <c r="E1873" s="2" t="s">
        <v>486</v>
      </c>
      <c r="F1873" s="2">
        <v>2</v>
      </c>
      <c r="G1873" s="2" t="s">
        <v>79</v>
      </c>
      <c r="H1873" s="2">
        <v>5</v>
      </c>
      <c r="I1873" s="8">
        <v>136.85</v>
      </c>
      <c r="J1873" s="8">
        <v>42499</v>
      </c>
      <c r="K1873" s="3">
        <v>0</v>
      </c>
      <c r="L1873" s="3" t="s">
        <v>3</v>
      </c>
      <c r="M1873" s="9" t="s">
        <v>0</v>
      </c>
      <c r="N1873" s="9" t="s">
        <v>39</v>
      </c>
      <c r="O1873" s="9" t="s">
        <v>483</v>
      </c>
      <c r="P1873" s="9" t="s">
        <v>0</v>
      </c>
      <c r="Q1873" s="30" t="s">
        <v>484</v>
      </c>
      <c r="R1873" s="9" t="s">
        <v>485</v>
      </c>
      <c r="S1873" s="9" t="s">
        <v>158</v>
      </c>
      <c r="T1873" s="2" t="s">
        <v>79</v>
      </c>
      <c r="U1873" s="2">
        <v>5</v>
      </c>
      <c r="V1873" s="2">
        <v>130.13</v>
      </c>
      <c r="W1873" s="10"/>
      <c r="X1873" s="17">
        <v>44412</v>
      </c>
      <c r="Y1873" s="17">
        <v>44936</v>
      </c>
      <c r="Z1873" s="19" t="s">
        <v>772</v>
      </c>
      <c r="AA1873" s="210">
        <v>44732</v>
      </c>
      <c r="AB1873" s="9">
        <v>73</v>
      </c>
      <c r="AC1873" s="9">
        <v>22</v>
      </c>
      <c r="AD1873" s="17">
        <v>45081</v>
      </c>
      <c r="AE1873" s="56">
        <v>500</v>
      </c>
      <c r="AF1873" s="56"/>
      <c r="AG1873" s="9" t="s">
        <v>134</v>
      </c>
      <c r="AH1873" s="127">
        <v>45083</v>
      </c>
      <c r="AI1873" s="127"/>
      <c r="AJ1873" s="127"/>
      <c r="AK1873" s="22" t="s">
        <v>514</v>
      </c>
      <c r="AL1873" s="22">
        <v>500</v>
      </c>
      <c r="AM1873" s="22"/>
      <c r="AN1873" s="22" t="s">
        <v>1590</v>
      </c>
      <c r="AO1873" s="22"/>
      <c r="AW1873" s="17">
        <v>45082</v>
      </c>
      <c r="AX1873" s="9">
        <v>1590</v>
      </c>
      <c r="BA1873" s="11">
        <v>500</v>
      </c>
      <c r="BD1873" s="9"/>
      <c r="CS1873" s="11">
        <f t="shared" si="132"/>
        <v>500</v>
      </c>
      <c r="CT1873" s="22">
        <f t="shared" si="133"/>
        <v>500</v>
      </c>
      <c r="CU1873" s="22">
        <f t="shared" si="134"/>
        <v>0</v>
      </c>
      <c r="CV1873" s="26">
        <f t="shared" si="131"/>
        <v>0</v>
      </c>
    </row>
    <row r="1874" spans="1:100" x14ac:dyDescent="0.2">
      <c r="A1874" s="9" t="s">
        <v>482</v>
      </c>
      <c r="B1874" s="2">
        <v>107</v>
      </c>
      <c r="C1874" s="3" t="s">
        <v>95</v>
      </c>
      <c r="D1874" s="3" t="s">
        <v>96</v>
      </c>
      <c r="E1874" s="2" t="s">
        <v>486</v>
      </c>
      <c r="F1874" s="2">
        <v>2</v>
      </c>
      <c r="G1874" s="2" t="s">
        <v>79</v>
      </c>
      <c r="H1874" s="2">
        <v>5</v>
      </c>
      <c r="I1874" s="8">
        <v>136.85</v>
      </c>
      <c r="J1874" s="8">
        <v>42499</v>
      </c>
      <c r="K1874" s="3">
        <v>0</v>
      </c>
      <c r="L1874" s="3" t="s">
        <v>3</v>
      </c>
      <c r="M1874" s="9" t="s">
        <v>0</v>
      </c>
      <c r="N1874" s="9" t="s">
        <v>39</v>
      </c>
      <c r="O1874" s="9" t="s">
        <v>483</v>
      </c>
      <c r="P1874" s="9" t="s">
        <v>0</v>
      </c>
      <c r="Q1874" s="30" t="s">
        <v>484</v>
      </c>
      <c r="R1874" s="9" t="s">
        <v>485</v>
      </c>
      <c r="S1874" s="9" t="s">
        <v>158</v>
      </c>
      <c r="T1874" s="2" t="s">
        <v>79</v>
      </c>
      <c r="U1874" s="2">
        <v>5</v>
      </c>
      <c r="V1874" s="2">
        <v>130.13</v>
      </c>
      <c r="W1874" s="10"/>
      <c r="X1874" s="17">
        <v>44412</v>
      </c>
      <c r="Y1874" s="17">
        <v>44936</v>
      </c>
      <c r="Z1874" s="19" t="s">
        <v>772</v>
      </c>
      <c r="AA1874" s="210">
        <v>44732</v>
      </c>
      <c r="AB1874" s="9">
        <v>73</v>
      </c>
      <c r="AC1874" s="9">
        <v>23</v>
      </c>
      <c r="AD1874" s="17">
        <v>45111</v>
      </c>
      <c r="AE1874" s="56">
        <v>500</v>
      </c>
      <c r="AF1874" s="56"/>
      <c r="AG1874" s="9" t="s">
        <v>134</v>
      </c>
      <c r="AH1874" s="127">
        <v>45124</v>
      </c>
      <c r="AI1874" s="127"/>
      <c r="AJ1874" s="127"/>
      <c r="AK1874" s="22" t="s">
        <v>1676</v>
      </c>
      <c r="AL1874" s="22">
        <v>500</v>
      </c>
      <c r="AM1874" s="22"/>
      <c r="AN1874" s="22" t="s">
        <v>1594</v>
      </c>
      <c r="AO1874" s="22"/>
      <c r="AW1874" s="17">
        <v>45035</v>
      </c>
      <c r="AX1874" s="9">
        <v>1417</v>
      </c>
      <c r="BA1874" s="11">
        <v>500</v>
      </c>
      <c r="BD1874" s="9"/>
      <c r="CS1874" s="11">
        <f t="shared" si="132"/>
        <v>500</v>
      </c>
      <c r="CT1874" s="22">
        <f t="shared" si="133"/>
        <v>500</v>
      </c>
      <c r="CU1874" s="22">
        <f t="shared" si="134"/>
        <v>0</v>
      </c>
      <c r="CV1874" s="26">
        <f t="shared" si="131"/>
        <v>0</v>
      </c>
    </row>
    <row r="1875" spans="1:100" x14ac:dyDescent="0.2">
      <c r="A1875" s="9" t="s">
        <v>482</v>
      </c>
      <c r="B1875" s="2">
        <v>107</v>
      </c>
      <c r="C1875" s="3" t="s">
        <v>95</v>
      </c>
      <c r="D1875" s="3" t="s">
        <v>96</v>
      </c>
      <c r="E1875" s="2" t="s">
        <v>486</v>
      </c>
      <c r="F1875" s="2">
        <v>2</v>
      </c>
      <c r="G1875" s="2" t="s">
        <v>79</v>
      </c>
      <c r="H1875" s="2">
        <v>5</v>
      </c>
      <c r="I1875" s="8">
        <v>136.85</v>
      </c>
      <c r="J1875" s="8">
        <v>42499</v>
      </c>
      <c r="K1875" s="3">
        <v>0</v>
      </c>
      <c r="L1875" s="3" t="s">
        <v>3</v>
      </c>
      <c r="M1875" s="9" t="s">
        <v>0</v>
      </c>
      <c r="N1875" s="9" t="s">
        <v>39</v>
      </c>
      <c r="O1875" s="9" t="s">
        <v>483</v>
      </c>
      <c r="P1875" s="9" t="s">
        <v>0</v>
      </c>
      <c r="Q1875" s="30" t="s">
        <v>484</v>
      </c>
      <c r="R1875" s="9" t="s">
        <v>485</v>
      </c>
      <c r="S1875" s="9" t="s">
        <v>158</v>
      </c>
      <c r="T1875" s="2" t="s">
        <v>79</v>
      </c>
      <c r="U1875" s="2">
        <v>5</v>
      </c>
      <c r="V1875" s="2">
        <v>130.13</v>
      </c>
      <c r="W1875" s="10"/>
      <c r="X1875" s="17">
        <v>44412</v>
      </c>
      <c r="Y1875" s="17">
        <v>44936</v>
      </c>
      <c r="Z1875" s="19" t="s">
        <v>772</v>
      </c>
      <c r="AA1875" s="210">
        <v>44732</v>
      </c>
      <c r="AB1875" s="9">
        <v>73</v>
      </c>
      <c r="AC1875" s="9">
        <v>24</v>
      </c>
      <c r="AD1875" s="17">
        <v>45142</v>
      </c>
      <c r="AE1875" s="56">
        <v>500</v>
      </c>
      <c r="AF1875" s="56"/>
      <c r="AG1875" s="9" t="s">
        <v>134</v>
      </c>
      <c r="AH1875" s="127">
        <v>45146</v>
      </c>
      <c r="AI1875" s="127"/>
      <c r="AJ1875" s="127"/>
      <c r="AK1875" s="22" t="s">
        <v>1677</v>
      </c>
      <c r="AL1875" s="22">
        <v>500</v>
      </c>
      <c r="AM1875" s="22"/>
      <c r="AN1875" s="22" t="s">
        <v>1595</v>
      </c>
      <c r="AO1875" s="22"/>
      <c r="AW1875" s="17">
        <v>45144</v>
      </c>
      <c r="AX1875" s="9">
        <v>1796</v>
      </c>
      <c r="BA1875" s="11">
        <v>500</v>
      </c>
      <c r="BD1875" s="9"/>
      <c r="CS1875" s="11">
        <f t="shared" si="132"/>
        <v>500</v>
      </c>
      <c r="CT1875" s="22">
        <f t="shared" si="133"/>
        <v>500</v>
      </c>
      <c r="CU1875" s="22">
        <f t="shared" si="134"/>
        <v>0</v>
      </c>
      <c r="CV1875" s="26">
        <f t="shared" si="131"/>
        <v>0</v>
      </c>
    </row>
    <row r="1876" spans="1:100" x14ac:dyDescent="0.2">
      <c r="A1876" s="9" t="s">
        <v>482</v>
      </c>
      <c r="B1876" s="2">
        <v>107</v>
      </c>
      <c r="C1876" s="3" t="s">
        <v>95</v>
      </c>
      <c r="D1876" s="3" t="s">
        <v>96</v>
      </c>
      <c r="E1876" s="2" t="s">
        <v>486</v>
      </c>
      <c r="F1876" s="2">
        <v>2</v>
      </c>
      <c r="G1876" s="2" t="s">
        <v>79</v>
      </c>
      <c r="H1876" s="2">
        <v>5</v>
      </c>
      <c r="I1876" s="8">
        <v>136.85</v>
      </c>
      <c r="J1876" s="8">
        <v>42499</v>
      </c>
      <c r="K1876" s="3">
        <v>0</v>
      </c>
      <c r="L1876" s="3" t="s">
        <v>3</v>
      </c>
      <c r="M1876" s="9" t="s">
        <v>0</v>
      </c>
      <c r="N1876" s="9" t="s">
        <v>39</v>
      </c>
      <c r="O1876" s="9" t="s">
        <v>483</v>
      </c>
      <c r="P1876" s="9" t="s">
        <v>0</v>
      </c>
      <c r="Q1876" s="30" t="s">
        <v>484</v>
      </c>
      <c r="R1876" s="9" t="s">
        <v>485</v>
      </c>
      <c r="S1876" s="9" t="s">
        <v>158</v>
      </c>
      <c r="T1876" s="2" t="s">
        <v>79</v>
      </c>
      <c r="U1876" s="2">
        <v>5</v>
      </c>
      <c r="V1876" s="2">
        <v>130.13</v>
      </c>
      <c r="W1876" s="10"/>
      <c r="X1876" s="17">
        <v>44412</v>
      </c>
      <c r="Y1876" s="17">
        <v>44936</v>
      </c>
      <c r="Z1876" s="19" t="s">
        <v>772</v>
      </c>
      <c r="AA1876" s="210">
        <v>44732</v>
      </c>
      <c r="AB1876" s="9">
        <v>73</v>
      </c>
      <c r="AC1876" s="9">
        <v>25</v>
      </c>
      <c r="AD1876" s="17">
        <v>45173</v>
      </c>
      <c r="AE1876" s="56">
        <v>500</v>
      </c>
      <c r="AF1876" s="56"/>
      <c r="AG1876" s="9" t="s">
        <v>134</v>
      </c>
      <c r="AH1876" s="127">
        <v>45175</v>
      </c>
      <c r="AI1876" s="127"/>
      <c r="AJ1876" s="127"/>
      <c r="AK1876" s="22" t="s">
        <v>1678</v>
      </c>
      <c r="AL1876" s="22">
        <v>500</v>
      </c>
      <c r="AM1876" s="22"/>
      <c r="AN1876" s="22" t="s">
        <v>1598</v>
      </c>
      <c r="AO1876" s="22"/>
      <c r="AW1876" s="17">
        <v>45173</v>
      </c>
      <c r="AX1876" s="9">
        <v>1872</v>
      </c>
      <c r="BA1876" s="11">
        <v>500</v>
      </c>
      <c r="BD1876" s="9"/>
      <c r="CS1876" s="11">
        <f t="shared" si="132"/>
        <v>500</v>
      </c>
      <c r="CT1876" s="22">
        <f t="shared" si="133"/>
        <v>500</v>
      </c>
      <c r="CU1876" s="22">
        <f t="shared" si="134"/>
        <v>0</v>
      </c>
      <c r="CV1876" s="26">
        <f t="shared" si="131"/>
        <v>0</v>
      </c>
    </row>
    <row r="1877" spans="1:100" x14ac:dyDescent="0.2">
      <c r="A1877" s="9" t="s">
        <v>482</v>
      </c>
      <c r="B1877" s="2">
        <v>107</v>
      </c>
      <c r="C1877" s="3" t="s">
        <v>95</v>
      </c>
      <c r="D1877" s="3" t="s">
        <v>96</v>
      </c>
      <c r="E1877" s="2" t="s">
        <v>486</v>
      </c>
      <c r="F1877" s="2">
        <v>2</v>
      </c>
      <c r="G1877" s="2" t="s">
        <v>79</v>
      </c>
      <c r="H1877" s="2">
        <v>5</v>
      </c>
      <c r="I1877" s="8">
        <v>136.85</v>
      </c>
      <c r="J1877" s="8">
        <v>42499</v>
      </c>
      <c r="K1877" s="3">
        <v>0</v>
      </c>
      <c r="L1877" s="3" t="s">
        <v>3</v>
      </c>
      <c r="M1877" s="9" t="s">
        <v>0</v>
      </c>
      <c r="N1877" s="9" t="s">
        <v>39</v>
      </c>
      <c r="O1877" s="9" t="s">
        <v>483</v>
      </c>
      <c r="P1877" s="9" t="s">
        <v>0</v>
      </c>
      <c r="Q1877" s="30" t="s">
        <v>484</v>
      </c>
      <c r="R1877" s="9" t="s">
        <v>485</v>
      </c>
      <c r="S1877" s="9" t="s">
        <v>158</v>
      </c>
      <c r="T1877" s="2" t="s">
        <v>79</v>
      </c>
      <c r="U1877" s="2">
        <v>5</v>
      </c>
      <c r="V1877" s="2">
        <v>130.13</v>
      </c>
      <c r="W1877" s="10"/>
      <c r="X1877" s="17">
        <v>44412</v>
      </c>
      <c r="Y1877" s="17">
        <v>44936</v>
      </c>
      <c r="Z1877" s="19" t="s">
        <v>772</v>
      </c>
      <c r="AA1877" s="210">
        <v>44732</v>
      </c>
      <c r="AB1877" s="9">
        <v>73</v>
      </c>
      <c r="AC1877" s="9">
        <v>26</v>
      </c>
      <c r="AD1877" s="17">
        <v>45203</v>
      </c>
      <c r="AE1877" s="56">
        <v>500</v>
      </c>
      <c r="AF1877" s="56"/>
      <c r="AG1877" s="9" t="s">
        <v>134</v>
      </c>
      <c r="AH1877" s="127">
        <v>45224</v>
      </c>
      <c r="AI1877" s="127"/>
      <c r="AJ1877" s="127"/>
      <c r="AK1877" s="22" t="s">
        <v>1679</v>
      </c>
      <c r="AL1877" s="22">
        <v>500</v>
      </c>
      <c r="AM1877" s="22"/>
      <c r="AN1877" s="22" t="s">
        <v>1599</v>
      </c>
      <c r="AO1877" s="22"/>
      <c r="AW1877" s="17">
        <v>45224</v>
      </c>
      <c r="AX1877" s="9">
        <v>1990</v>
      </c>
      <c r="BA1877" s="11">
        <v>500</v>
      </c>
      <c r="BD1877" s="9"/>
      <c r="CS1877" s="11">
        <f t="shared" si="132"/>
        <v>500</v>
      </c>
      <c r="CT1877" s="22">
        <f t="shared" si="133"/>
        <v>500</v>
      </c>
      <c r="CU1877" s="22">
        <f t="shared" si="134"/>
        <v>0</v>
      </c>
      <c r="CV1877" s="26">
        <f t="shared" si="131"/>
        <v>0</v>
      </c>
    </row>
    <row r="1878" spans="1:100" x14ac:dyDescent="0.2">
      <c r="A1878" s="9" t="s">
        <v>482</v>
      </c>
      <c r="B1878" s="2">
        <v>107</v>
      </c>
      <c r="C1878" s="3" t="s">
        <v>95</v>
      </c>
      <c r="D1878" s="3" t="s">
        <v>96</v>
      </c>
      <c r="E1878" s="2" t="s">
        <v>486</v>
      </c>
      <c r="F1878" s="2">
        <v>2</v>
      </c>
      <c r="G1878" s="2" t="s">
        <v>79</v>
      </c>
      <c r="H1878" s="2">
        <v>5</v>
      </c>
      <c r="I1878" s="8">
        <v>136.85</v>
      </c>
      <c r="J1878" s="8">
        <v>42499</v>
      </c>
      <c r="K1878" s="3">
        <v>0</v>
      </c>
      <c r="L1878" s="3" t="s">
        <v>3</v>
      </c>
      <c r="M1878" s="9" t="s">
        <v>0</v>
      </c>
      <c r="N1878" s="9" t="s">
        <v>39</v>
      </c>
      <c r="O1878" s="9" t="s">
        <v>483</v>
      </c>
      <c r="P1878" s="9" t="s">
        <v>0</v>
      </c>
      <c r="Q1878" s="30" t="s">
        <v>484</v>
      </c>
      <c r="R1878" s="9" t="s">
        <v>485</v>
      </c>
      <c r="S1878" s="9" t="s">
        <v>158</v>
      </c>
      <c r="T1878" s="2" t="s">
        <v>79</v>
      </c>
      <c r="U1878" s="2">
        <v>5</v>
      </c>
      <c r="V1878" s="2">
        <v>130.13</v>
      </c>
      <c r="W1878" s="10"/>
      <c r="X1878" s="17">
        <v>44412</v>
      </c>
      <c r="Y1878" s="17">
        <v>44936</v>
      </c>
      <c r="Z1878" s="19" t="s">
        <v>772</v>
      </c>
      <c r="AA1878" s="210">
        <v>44732</v>
      </c>
      <c r="AB1878" s="9">
        <v>73</v>
      </c>
      <c r="AC1878" s="9">
        <v>27</v>
      </c>
      <c r="AD1878" s="17">
        <v>45234</v>
      </c>
      <c r="AE1878" s="56">
        <v>500</v>
      </c>
      <c r="AF1878" s="56"/>
      <c r="AG1878" s="9" t="s">
        <v>134</v>
      </c>
      <c r="AH1878" s="127">
        <v>45246</v>
      </c>
      <c r="AI1878" s="127"/>
      <c r="AJ1878" s="127"/>
      <c r="AK1878" s="22" t="s">
        <v>1680</v>
      </c>
      <c r="AL1878" s="22">
        <v>500</v>
      </c>
      <c r="AM1878" s="22"/>
      <c r="AN1878" s="22" t="s">
        <v>1602</v>
      </c>
      <c r="AO1878" s="22"/>
      <c r="AW1878" s="17">
        <v>45244</v>
      </c>
      <c r="AX1878" s="9">
        <v>2051</v>
      </c>
      <c r="BA1878" s="11">
        <v>500</v>
      </c>
      <c r="BD1878" s="9"/>
      <c r="CS1878" s="11">
        <f t="shared" si="132"/>
        <v>500</v>
      </c>
      <c r="CT1878" s="22">
        <f t="shared" si="133"/>
        <v>500</v>
      </c>
      <c r="CU1878" s="22">
        <f t="shared" si="134"/>
        <v>0</v>
      </c>
      <c r="CV1878" s="26">
        <f t="shared" si="131"/>
        <v>0</v>
      </c>
    </row>
    <row r="1879" spans="1:100" ht="12.75" x14ac:dyDescent="0.2">
      <c r="A1879" s="9" t="s">
        <v>482</v>
      </c>
      <c r="B1879" s="2">
        <v>107</v>
      </c>
      <c r="C1879" s="3" t="s">
        <v>95</v>
      </c>
      <c r="D1879" s="3" t="s">
        <v>96</v>
      </c>
      <c r="E1879" s="2" t="s">
        <v>486</v>
      </c>
      <c r="F1879" s="2">
        <v>2</v>
      </c>
      <c r="G1879" s="2" t="s">
        <v>79</v>
      </c>
      <c r="H1879" s="2">
        <v>5</v>
      </c>
      <c r="I1879" s="8">
        <v>136.85</v>
      </c>
      <c r="J1879" s="8">
        <v>42499</v>
      </c>
      <c r="K1879" s="3">
        <v>0</v>
      </c>
      <c r="L1879" s="3" t="s">
        <v>3</v>
      </c>
      <c r="M1879" s="9" t="s">
        <v>0</v>
      </c>
      <c r="N1879" s="9" t="s">
        <v>39</v>
      </c>
      <c r="O1879" s="9" t="s">
        <v>483</v>
      </c>
      <c r="P1879" s="9" t="s">
        <v>0</v>
      </c>
      <c r="Q1879" s="30" t="s">
        <v>484</v>
      </c>
      <c r="R1879" s="9" t="s">
        <v>485</v>
      </c>
      <c r="S1879" s="9" t="s">
        <v>158</v>
      </c>
      <c r="T1879" s="2" t="s">
        <v>79</v>
      </c>
      <c r="U1879" s="2">
        <v>5</v>
      </c>
      <c r="V1879" s="2">
        <v>130.13</v>
      </c>
      <c r="W1879" s="10"/>
      <c r="X1879" s="17">
        <v>44412</v>
      </c>
      <c r="Y1879" s="17">
        <v>44936</v>
      </c>
      <c r="Z1879" s="19" t="s">
        <v>772</v>
      </c>
      <c r="AA1879" s="210">
        <v>44732</v>
      </c>
      <c r="AB1879" s="9">
        <v>73</v>
      </c>
      <c r="AC1879" s="9">
        <v>28</v>
      </c>
      <c r="AD1879" s="17">
        <v>45264</v>
      </c>
      <c r="AE1879" s="56">
        <v>500</v>
      </c>
      <c r="AF1879" s="56"/>
      <c r="AG1879" s="9" t="s">
        <v>134</v>
      </c>
      <c r="AH1879" s="127">
        <v>45267</v>
      </c>
      <c r="AI1879" s="127"/>
      <c r="AJ1879" s="127"/>
      <c r="AK1879" s="22" t="s">
        <v>1681</v>
      </c>
      <c r="AL1879" s="22">
        <v>500</v>
      </c>
      <c r="AM1879" s="22"/>
      <c r="AN1879" s="22" t="s">
        <v>1604</v>
      </c>
      <c r="AO1879" s="22"/>
      <c r="AW1879" s="17">
        <v>45262</v>
      </c>
      <c r="AX1879" s="9">
        <v>2090</v>
      </c>
      <c r="AY1879" s="96"/>
      <c r="BA1879" s="126">
        <v>500</v>
      </c>
      <c r="BD1879" s="9"/>
      <c r="CS1879" s="11">
        <f t="shared" si="132"/>
        <v>500</v>
      </c>
      <c r="CT1879" s="22">
        <f t="shared" si="133"/>
        <v>500</v>
      </c>
      <c r="CU1879" s="22">
        <f t="shared" si="134"/>
        <v>0</v>
      </c>
      <c r="CV1879" s="26">
        <f t="shared" si="131"/>
        <v>0</v>
      </c>
    </row>
    <row r="1880" spans="1:100" ht="12.75" x14ac:dyDescent="0.2">
      <c r="A1880" s="9" t="s">
        <v>482</v>
      </c>
      <c r="B1880" s="2">
        <v>107</v>
      </c>
      <c r="C1880" s="3" t="s">
        <v>95</v>
      </c>
      <c r="D1880" s="3" t="s">
        <v>96</v>
      </c>
      <c r="E1880" s="2" t="s">
        <v>486</v>
      </c>
      <c r="F1880" s="2">
        <v>2</v>
      </c>
      <c r="G1880" s="2" t="s">
        <v>79</v>
      </c>
      <c r="H1880" s="2">
        <v>5</v>
      </c>
      <c r="I1880" s="8">
        <v>136.85</v>
      </c>
      <c r="J1880" s="8">
        <v>42499</v>
      </c>
      <c r="K1880" s="3">
        <v>0</v>
      </c>
      <c r="L1880" s="3" t="s">
        <v>3</v>
      </c>
      <c r="M1880" s="9" t="s">
        <v>0</v>
      </c>
      <c r="N1880" s="9" t="s">
        <v>39</v>
      </c>
      <c r="O1880" s="9" t="s">
        <v>483</v>
      </c>
      <c r="P1880" s="9" t="s">
        <v>0</v>
      </c>
      <c r="Q1880" s="30" t="s">
        <v>484</v>
      </c>
      <c r="R1880" s="9" t="s">
        <v>485</v>
      </c>
      <c r="S1880" s="9" t="s">
        <v>158</v>
      </c>
      <c r="T1880" s="2" t="s">
        <v>79</v>
      </c>
      <c r="U1880" s="2">
        <v>5</v>
      </c>
      <c r="V1880" s="2">
        <v>130.13</v>
      </c>
      <c r="W1880" s="10"/>
      <c r="X1880" s="17">
        <v>44412</v>
      </c>
      <c r="Y1880" s="17">
        <v>44936</v>
      </c>
      <c r="Z1880" s="19" t="s">
        <v>772</v>
      </c>
      <c r="AA1880" s="210">
        <v>44732</v>
      </c>
      <c r="AB1880" s="9">
        <v>73</v>
      </c>
      <c r="AC1880" s="9">
        <v>29</v>
      </c>
      <c r="AD1880" s="17">
        <v>45295</v>
      </c>
      <c r="AE1880" s="56">
        <v>500</v>
      </c>
      <c r="AF1880" s="56"/>
      <c r="AG1880" s="9" t="s">
        <v>134</v>
      </c>
      <c r="AH1880" s="127">
        <v>45302</v>
      </c>
      <c r="AI1880" s="127"/>
      <c r="AJ1880" s="127"/>
      <c r="AK1880" s="22" t="s">
        <v>1682</v>
      </c>
      <c r="AL1880" s="22">
        <v>500</v>
      </c>
      <c r="AM1880" s="22"/>
      <c r="AN1880" s="22" t="s">
        <v>1605</v>
      </c>
      <c r="AO1880" s="22"/>
      <c r="AW1880" s="17">
        <v>45296</v>
      </c>
      <c r="AX1880" s="9">
        <v>2186</v>
      </c>
      <c r="AY1880" s="96"/>
      <c r="BA1880" s="126">
        <v>500</v>
      </c>
      <c r="BD1880" s="9"/>
      <c r="CS1880" s="11">
        <f t="shared" si="132"/>
        <v>500</v>
      </c>
      <c r="CT1880" s="22">
        <f t="shared" si="133"/>
        <v>500</v>
      </c>
      <c r="CU1880" s="22">
        <f t="shared" si="134"/>
        <v>0</v>
      </c>
      <c r="CV1880" s="26">
        <f t="shared" si="131"/>
        <v>0</v>
      </c>
    </row>
    <row r="1881" spans="1:100" x14ac:dyDescent="0.2">
      <c r="A1881" s="9" t="s">
        <v>482</v>
      </c>
      <c r="B1881" s="2">
        <v>107</v>
      </c>
      <c r="C1881" s="3" t="s">
        <v>95</v>
      </c>
      <c r="D1881" s="3" t="s">
        <v>96</v>
      </c>
      <c r="E1881" s="2" t="s">
        <v>486</v>
      </c>
      <c r="F1881" s="2">
        <v>2</v>
      </c>
      <c r="G1881" s="2" t="s">
        <v>79</v>
      </c>
      <c r="H1881" s="2">
        <v>5</v>
      </c>
      <c r="I1881" s="8">
        <v>136.85</v>
      </c>
      <c r="J1881" s="8">
        <v>42499</v>
      </c>
      <c r="K1881" s="3">
        <v>0</v>
      </c>
      <c r="L1881" s="3" t="s">
        <v>3</v>
      </c>
      <c r="M1881" s="9" t="s">
        <v>0</v>
      </c>
      <c r="N1881" s="9" t="s">
        <v>39</v>
      </c>
      <c r="O1881" s="9" t="s">
        <v>483</v>
      </c>
      <c r="P1881" s="9" t="s">
        <v>0</v>
      </c>
      <c r="Q1881" s="30" t="s">
        <v>484</v>
      </c>
      <c r="R1881" s="9" t="s">
        <v>485</v>
      </c>
      <c r="S1881" s="9" t="s">
        <v>158</v>
      </c>
      <c r="T1881" s="2" t="s">
        <v>79</v>
      </c>
      <c r="U1881" s="2">
        <v>5</v>
      </c>
      <c r="V1881" s="2">
        <v>130.13</v>
      </c>
      <c r="W1881" s="10"/>
      <c r="X1881" s="17">
        <v>44412</v>
      </c>
      <c r="Y1881" s="17">
        <v>44936</v>
      </c>
      <c r="Z1881" s="19" t="s">
        <v>772</v>
      </c>
      <c r="AA1881" s="210">
        <v>44732</v>
      </c>
      <c r="AB1881" s="9">
        <v>73</v>
      </c>
      <c r="AC1881" s="9">
        <v>30</v>
      </c>
      <c r="AD1881" s="17">
        <v>45326</v>
      </c>
      <c r="AE1881" s="56">
        <v>500</v>
      </c>
      <c r="AF1881" s="56"/>
      <c r="AG1881" s="9" t="s">
        <v>134</v>
      </c>
      <c r="AH1881" s="127">
        <v>45341</v>
      </c>
      <c r="AI1881" s="127"/>
      <c r="AJ1881" s="127"/>
      <c r="AK1881" s="22" t="s">
        <v>1683</v>
      </c>
      <c r="AL1881" s="22">
        <v>500</v>
      </c>
      <c r="AM1881" s="22"/>
      <c r="AN1881" s="22" t="s">
        <v>1607</v>
      </c>
      <c r="AO1881" s="22"/>
      <c r="AW1881" s="17">
        <v>45339</v>
      </c>
      <c r="AX1881" s="9">
        <v>2323</v>
      </c>
      <c r="BA1881" s="11">
        <v>500</v>
      </c>
      <c r="BD1881" s="9"/>
      <c r="CS1881" s="11">
        <f t="shared" si="132"/>
        <v>500</v>
      </c>
      <c r="CT1881" s="22">
        <f t="shared" si="133"/>
        <v>500</v>
      </c>
      <c r="CU1881" s="22">
        <f t="shared" si="134"/>
        <v>0</v>
      </c>
      <c r="CV1881" s="26">
        <f t="shared" si="131"/>
        <v>0</v>
      </c>
    </row>
    <row r="1882" spans="1:100" x14ac:dyDescent="0.2">
      <c r="A1882" s="9" t="s">
        <v>482</v>
      </c>
      <c r="B1882" s="2">
        <v>107</v>
      </c>
      <c r="C1882" s="3" t="s">
        <v>95</v>
      </c>
      <c r="D1882" s="3" t="s">
        <v>96</v>
      </c>
      <c r="E1882" s="2" t="s">
        <v>486</v>
      </c>
      <c r="F1882" s="2">
        <v>2</v>
      </c>
      <c r="G1882" s="2" t="s">
        <v>79</v>
      </c>
      <c r="H1882" s="2">
        <v>5</v>
      </c>
      <c r="I1882" s="8">
        <v>136.85</v>
      </c>
      <c r="J1882" s="8">
        <v>42499</v>
      </c>
      <c r="K1882" s="3">
        <v>0</v>
      </c>
      <c r="L1882" s="3" t="s">
        <v>3</v>
      </c>
      <c r="M1882" s="9" t="s">
        <v>0</v>
      </c>
      <c r="N1882" s="9" t="s">
        <v>39</v>
      </c>
      <c r="O1882" s="9" t="s">
        <v>483</v>
      </c>
      <c r="P1882" s="9" t="s">
        <v>0</v>
      </c>
      <c r="Q1882" s="30" t="s">
        <v>484</v>
      </c>
      <c r="R1882" s="9" t="s">
        <v>485</v>
      </c>
      <c r="S1882" s="9" t="s">
        <v>158</v>
      </c>
      <c r="T1882" s="2" t="s">
        <v>79</v>
      </c>
      <c r="U1882" s="2">
        <v>5</v>
      </c>
      <c r="V1882" s="2">
        <v>130.13</v>
      </c>
      <c r="W1882" s="10"/>
      <c r="X1882" s="17">
        <v>44412</v>
      </c>
      <c r="Y1882" s="17">
        <v>44936</v>
      </c>
      <c r="Z1882" s="19" t="s">
        <v>772</v>
      </c>
      <c r="AA1882" s="210">
        <v>44732</v>
      </c>
      <c r="AB1882" s="9">
        <v>73</v>
      </c>
      <c r="AC1882" s="9">
        <v>31</v>
      </c>
      <c r="AD1882" s="17">
        <v>45355</v>
      </c>
      <c r="AE1882" s="56">
        <v>500</v>
      </c>
      <c r="AF1882" s="56"/>
      <c r="AG1882" s="9" t="s">
        <v>134</v>
      </c>
      <c r="AH1882" s="127">
        <v>45357</v>
      </c>
      <c r="AI1882" s="127"/>
      <c r="AJ1882" s="127"/>
      <c r="AK1882" s="22" t="s">
        <v>1684</v>
      </c>
      <c r="AL1882" s="22">
        <v>500</v>
      </c>
      <c r="AM1882" s="22"/>
      <c r="AN1882" s="22" t="s">
        <v>1610</v>
      </c>
      <c r="AO1882" s="22"/>
      <c r="AW1882" s="17">
        <v>45353</v>
      </c>
      <c r="AX1882" s="9">
        <v>2386</v>
      </c>
      <c r="BA1882" s="11">
        <v>500</v>
      </c>
      <c r="BD1882" s="9"/>
      <c r="CS1882" s="11">
        <f t="shared" si="132"/>
        <v>500</v>
      </c>
      <c r="CT1882" s="22">
        <f t="shared" si="133"/>
        <v>500</v>
      </c>
      <c r="CU1882" s="22">
        <f t="shared" si="134"/>
        <v>0</v>
      </c>
      <c r="CV1882" s="26">
        <f t="shared" si="131"/>
        <v>0</v>
      </c>
    </row>
    <row r="1883" spans="1:100" x14ac:dyDescent="0.2">
      <c r="A1883" s="9" t="s">
        <v>482</v>
      </c>
      <c r="B1883" s="2">
        <v>107</v>
      </c>
      <c r="C1883" s="3" t="s">
        <v>95</v>
      </c>
      <c r="D1883" s="3" t="s">
        <v>96</v>
      </c>
      <c r="E1883" s="2" t="s">
        <v>486</v>
      </c>
      <c r="F1883" s="2">
        <v>2</v>
      </c>
      <c r="G1883" s="2" t="s">
        <v>79</v>
      </c>
      <c r="H1883" s="2">
        <v>5</v>
      </c>
      <c r="I1883" s="8">
        <v>136.85</v>
      </c>
      <c r="J1883" s="8">
        <v>42499</v>
      </c>
      <c r="K1883" s="3">
        <v>0</v>
      </c>
      <c r="L1883" s="3" t="s">
        <v>3</v>
      </c>
      <c r="M1883" s="9" t="s">
        <v>0</v>
      </c>
      <c r="N1883" s="9" t="s">
        <v>39</v>
      </c>
      <c r="O1883" s="9" t="s">
        <v>483</v>
      </c>
      <c r="P1883" s="9" t="s">
        <v>0</v>
      </c>
      <c r="Q1883" s="30" t="s">
        <v>484</v>
      </c>
      <c r="R1883" s="9" t="s">
        <v>485</v>
      </c>
      <c r="S1883" s="9" t="s">
        <v>158</v>
      </c>
      <c r="T1883" s="2" t="s">
        <v>79</v>
      </c>
      <c r="U1883" s="2">
        <v>5</v>
      </c>
      <c r="V1883" s="2">
        <v>130.13</v>
      </c>
      <c r="W1883" s="10"/>
      <c r="X1883" s="17">
        <v>44412</v>
      </c>
      <c r="Y1883" s="17">
        <v>44936</v>
      </c>
      <c r="Z1883" s="19" t="s">
        <v>772</v>
      </c>
      <c r="AA1883" s="210">
        <v>44732</v>
      </c>
      <c r="AB1883" s="9">
        <v>73</v>
      </c>
      <c r="AC1883" s="9">
        <v>32</v>
      </c>
      <c r="AD1883" s="17">
        <v>45386</v>
      </c>
      <c r="AE1883" s="56">
        <v>500</v>
      </c>
      <c r="AF1883" s="56"/>
      <c r="AG1883" s="9" t="s">
        <v>134</v>
      </c>
      <c r="AH1883" s="127">
        <v>45425</v>
      </c>
      <c r="AI1883" s="127"/>
      <c r="AJ1883" s="127"/>
      <c r="AK1883" s="22" t="s">
        <v>1685</v>
      </c>
      <c r="AL1883" s="22">
        <v>500</v>
      </c>
      <c r="AM1883" s="22"/>
      <c r="AN1883" s="22" t="s">
        <v>1612</v>
      </c>
      <c r="AO1883" s="22"/>
      <c r="AW1883" s="17">
        <v>45384</v>
      </c>
      <c r="AX1883" s="9">
        <v>2507</v>
      </c>
      <c r="BA1883" s="11">
        <v>500</v>
      </c>
      <c r="BD1883" s="9"/>
      <c r="CS1883" s="11">
        <f t="shared" si="132"/>
        <v>500</v>
      </c>
      <c r="CT1883" s="22">
        <f t="shared" si="133"/>
        <v>500</v>
      </c>
      <c r="CU1883" s="22">
        <f t="shared" si="134"/>
        <v>0</v>
      </c>
      <c r="CV1883" s="26">
        <f t="shared" si="131"/>
        <v>0</v>
      </c>
    </row>
    <row r="1884" spans="1:100" x14ac:dyDescent="0.2">
      <c r="A1884" s="9" t="s">
        <v>482</v>
      </c>
      <c r="B1884" s="2">
        <v>107</v>
      </c>
      <c r="C1884" s="3" t="s">
        <v>95</v>
      </c>
      <c r="D1884" s="3" t="s">
        <v>96</v>
      </c>
      <c r="E1884" s="2" t="s">
        <v>486</v>
      </c>
      <c r="F1884" s="2">
        <v>2</v>
      </c>
      <c r="G1884" s="2" t="s">
        <v>79</v>
      </c>
      <c r="H1884" s="2">
        <v>5</v>
      </c>
      <c r="I1884" s="8">
        <v>136.85</v>
      </c>
      <c r="J1884" s="8">
        <v>42499</v>
      </c>
      <c r="K1884" s="3">
        <v>0</v>
      </c>
      <c r="L1884" s="3" t="s">
        <v>3</v>
      </c>
      <c r="M1884" s="9" t="s">
        <v>0</v>
      </c>
      <c r="N1884" s="9" t="s">
        <v>39</v>
      </c>
      <c r="O1884" s="9" t="s">
        <v>483</v>
      </c>
      <c r="P1884" s="9" t="s">
        <v>0</v>
      </c>
      <c r="Q1884" s="30" t="s">
        <v>484</v>
      </c>
      <c r="R1884" s="9" t="s">
        <v>485</v>
      </c>
      <c r="S1884" s="9" t="s">
        <v>158</v>
      </c>
      <c r="T1884" s="2" t="s">
        <v>79</v>
      </c>
      <c r="U1884" s="2">
        <v>5</v>
      </c>
      <c r="V1884" s="2">
        <v>130.13</v>
      </c>
      <c r="W1884" s="10"/>
      <c r="X1884" s="17">
        <v>44412</v>
      </c>
      <c r="Y1884" s="17">
        <v>44936</v>
      </c>
      <c r="Z1884" s="19" t="s">
        <v>772</v>
      </c>
      <c r="AA1884" s="210">
        <v>44732</v>
      </c>
      <c r="AB1884" s="9">
        <v>73</v>
      </c>
      <c r="AC1884" s="9">
        <v>33</v>
      </c>
      <c r="AD1884" s="17">
        <v>45416</v>
      </c>
      <c r="AE1884" s="56">
        <v>500</v>
      </c>
      <c r="AF1884" s="56"/>
      <c r="AG1884" s="9" t="s">
        <v>134</v>
      </c>
      <c r="AH1884" s="127">
        <v>45426</v>
      </c>
      <c r="AI1884" s="127"/>
      <c r="AJ1884" s="127"/>
      <c r="AK1884" s="22" t="s">
        <v>1686</v>
      </c>
      <c r="AL1884" s="22">
        <v>500</v>
      </c>
      <c r="AM1884" s="22"/>
      <c r="AN1884" s="22" t="s">
        <v>1613</v>
      </c>
      <c r="AO1884" s="22"/>
      <c r="AW1884" s="17">
        <v>45425</v>
      </c>
      <c r="AX1884" s="9">
        <v>2638</v>
      </c>
      <c r="BA1884" s="11">
        <v>500</v>
      </c>
      <c r="BD1884" s="9"/>
      <c r="CS1884" s="11">
        <f t="shared" si="132"/>
        <v>500</v>
      </c>
      <c r="CT1884" s="22">
        <f t="shared" si="133"/>
        <v>500</v>
      </c>
      <c r="CU1884" s="22">
        <f t="shared" si="134"/>
        <v>0</v>
      </c>
      <c r="CV1884" s="26">
        <f t="shared" si="131"/>
        <v>0</v>
      </c>
    </row>
    <row r="1885" spans="1:100" x14ac:dyDescent="0.2">
      <c r="A1885" s="9" t="s">
        <v>482</v>
      </c>
      <c r="B1885" s="2">
        <v>107</v>
      </c>
      <c r="C1885" s="3" t="s">
        <v>95</v>
      </c>
      <c r="D1885" s="3" t="s">
        <v>96</v>
      </c>
      <c r="E1885" s="2" t="s">
        <v>486</v>
      </c>
      <c r="F1885" s="2">
        <v>2</v>
      </c>
      <c r="G1885" s="2" t="s">
        <v>79</v>
      </c>
      <c r="H1885" s="2">
        <v>5</v>
      </c>
      <c r="I1885" s="8">
        <v>136.85</v>
      </c>
      <c r="J1885" s="8">
        <v>42499</v>
      </c>
      <c r="K1885" s="3">
        <v>0</v>
      </c>
      <c r="L1885" s="3" t="s">
        <v>3</v>
      </c>
      <c r="M1885" s="9" t="s">
        <v>0</v>
      </c>
      <c r="N1885" s="9" t="s">
        <v>39</v>
      </c>
      <c r="O1885" s="9" t="s">
        <v>483</v>
      </c>
      <c r="P1885" s="9" t="s">
        <v>0</v>
      </c>
      <c r="Q1885" s="30" t="s">
        <v>484</v>
      </c>
      <c r="R1885" s="9" t="s">
        <v>485</v>
      </c>
      <c r="S1885" s="9" t="s">
        <v>158</v>
      </c>
      <c r="T1885" s="2" t="s">
        <v>79</v>
      </c>
      <c r="U1885" s="2">
        <v>5</v>
      </c>
      <c r="V1885" s="2">
        <v>130.13</v>
      </c>
      <c r="W1885" s="10"/>
      <c r="X1885" s="17">
        <v>44412</v>
      </c>
      <c r="Y1885" s="17">
        <v>44936</v>
      </c>
      <c r="Z1885" s="19" t="s">
        <v>772</v>
      </c>
      <c r="AA1885" s="210">
        <v>44732</v>
      </c>
      <c r="AB1885" s="9">
        <v>73</v>
      </c>
      <c r="AC1885" s="9">
        <v>34</v>
      </c>
      <c r="AD1885" s="17">
        <v>45447</v>
      </c>
      <c r="AE1885" s="56">
        <v>500</v>
      </c>
      <c r="AF1885" s="56"/>
      <c r="AG1885" s="9" t="s">
        <v>134</v>
      </c>
      <c r="AH1885" s="127">
        <v>45453</v>
      </c>
      <c r="AI1885" s="127"/>
      <c r="AJ1885" s="127"/>
      <c r="AK1885" s="22" t="s">
        <v>1687</v>
      </c>
      <c r="AL1885" s="22">
        <v>500</v>
      </c>
      <c r="AM1885" s="22"/>
      <c r="AN1885" s="22" t="s">
        <v>1615</v>
      </c>
      <c r="AO1885" s="22"/>
      <c r="AW1885" s="17">
        <v>45449</v>
      </c>
      <c r="AX1885" s="9">
        <v>2759</v>
      </c>
      <c r="BA1885" s="11">
        <v>500</v>
      </c>
      <c r="BD1885" s="9"/>
      <c r="CS1885" s="11">
        <f t="shared" si="132"/>
        <v>500</v>
      </c>
      <c r="CT1885" s="22">
        <f t="shared" si="133"/>
        <v>500</v>
      </c>
      <c r="CU1885" s="22">
        <f t="shared" si="134"/>
        <v>0</v>
      </c>
      <c r="CV1885" s="26">
        <f t="shared" si="131"/>
        <v>0</v>
      </c>
    </row>
    <row r="1886" spans="1:100" x14ac:dyDescent="0.2">
      <c r="A1886" s="9" t="s">
        <v>482</v>
      </c>
      <c r="B1886" s="2">
        <v>107</v>
      </c>
      <c r="C1886" s="3" t="s">
        <v>95</v>
      </c>
      <c r="D1886" s="3" t="s">
        <v>96</v>
      </c>
      <c r="E1886" s="2" t="s">
        <v>486</v>
      </c>
      <c r="F1886" s="2">
        <v>2</v>
      </c>
      <c r="G1886" s="2" t="s">
        <v>79</v>
      </c>
      <c r="H1886" s="2">
        <v>5</v>
      </c>
      <c r="I1886" s="8">
        <v>136.85</v>
      </c>
      <c r="J1886" s="8">
        <v>42499</v>
      </c>
      <c r="K1886" s="3">
        <v>0</v>
      </c>
      <c r="L1886" s="3" t="s">
        <v>3</v>
      </c>
      <c r="M1886" s="9" t="s">
        <v>0</v>
      </c>
      <c r="N1886" s="9" t="s">
        <v>39</v>
      </c>
      <c r="O1886" s="9" t="s">
        <v>483</v>
      </c>
      <c r="P1886" s="9" t="s">
        <v>0</v>
      </c>
      <c r="Q1886" s="30" t="s">
        <v>484</v>
      </c>
      <c r="R1886" s="9" t="s">
        <v>485</v>
      </c>
      <c r="S1886" s="9" t="s">
        <v>158</v>
      </c>
      <c r="T1886" s="2" t="s">
        <v>79</v>
      </c>
      <c r="U1886" s="2">
        <v>5</v>
      </c>
      <c r="V1886" s="2">
        <v>130.13</v>
      </c>
      <c r="W1886" s="10"/>
      <c r="X1886" s="17">
        <v>44412</v>
      </c>
      <c r="Y1886" s="17">
        <v>44936</v>
      </c>
      <c r="Z1886" s="19" t="s">
        <v>772</v>
      </c>
      <c r="AA1886" s="210">
        <v>44732</v>
      </c>
      <c r="AB1886" s="9">
        <v>73</v>
      </c>
      <c r="AC1886" s="9">
        <v>35</v>
      </c>
      <c r="AD1886" s="17">
        <v>45477</v>
      </c>
      <c r="AE1886" s="56">
        <v>500</v>
      </c>
      <c r="AF1886" s="56"/>
      <c r="AG1886" s="9" t="s">
        <v>134</v>
      </c>
      <c r="AH1886" s="127">
        <v>45488</v>
      </c>
      <c r="AI1886" s="127"/>
      <c r="AJ1886" s="127"/>
      <c r="AK1886" s="22" t="s">
        <v>1688</v>
      </c>
      <c r="AL1886" s="22">
        <v>500</v>
      </c>
      <c r="AM1886" s="22"/>
      <c r="AN1886" s="22" t="s">
        <v>1617</v>
      </c>
      <c r="AO1886" s="22"/>
      <c r="AW1886" s="17">
        <v>45487</v>
      </c>
      <c r="AX1886" s="9">
        <v>2904</v>
      </c>
      <c r="BA1886" s="11">
        <v>500</v>
      </c>
      <c r="BD1886" s="9"/>
      <c r="CS1886" s="11">
        <f t="shared" si="132"/>
        <v>500</v>
      </c>
      <c r="CT1886" s="22">
        <f t="shared" si="133"/>
        <v>500</v>
      </c>
      <c r="CU1886" s="22">
        <f t="shared" si="134"/>
        <v>0</v>
      </c>
      <c r="CV1886" s="26">
        <f t="shared" si="131"/>
        <v>0</v>
      </c>
    </row>
    <row r="1887" spans="1:100" x14ac:dyDescent="0.2">
      <c r="A1887" s="9" t="s">
        <v>482</v>
      </c>
      <c r="B1887" s="2">
        <v>107</v>
      </c>
      <c r="C1887" s="3" t="s">
        <v>95</v>
      </c>
      <c r="D1887" s="3" t="s">
        <v>96</v>
      </c>
      <c r="E1887" s="2" t="s">
        <v>486</v>
      </c>
      <c r="F1887" s="2">
        <v>2</v>
      </c>
      <c r="G1887" s="2" t="s">
        <v>79</v>
      </c>
      <c r="H1887" s="2">
        <v>5</v>
      </c>
      <c r="I1887" s="8">
        <v>136.85</v>
      </c>
      <c r="J1887" s="8">
        <v>42499</v>
      </c>
      <c r="K1887" s="3">
        <v>0</v>
      </c>
      <c r="L1887" s="3" t="s">
        <v>3</v>
      </c>
      <c r="M1887" s="9" t="s">
        <v>0</v>
      </c>
      <c r="N1887" s="9" t="s">
        <v>39</v>
      </c>
      <c r="O1887" s="9" t="s">
        <v>483</v>
      </c>
      <c r="P1887" s="9" t="s">
        <v>0</v>
      </c>
      <c r="Q1887" s="30" t="s">
        <v>484</v>
      </c>
      <c r="R1887" s="9" t="s">
        <v>485</v>
      </c>
      <c r="S1887" s="9" t="s">
        <v>158</v>
      </c>
      <c r="T1887" s="2" t="s">
        <v>79</v>
      </c>
      <c r="U1887" s="2">
        <v>5</v>
      </c>
      <c r="V1887" s="2">
        <v>130.13</v>
      </c>
      <c r="W1887" s="10"/>
      <c r="X1887" s="17">
        <v>44412</v>
      </c>
      <c r="Y1887" s="17">
        <v>44936</v>
      </c>
      <c r="Z1887" s="19" t="s">
        <v>772</v>
      </c>
      <c r="AA1887" s="210">
        <v>44732</v>
      </c>
      <c r="AB1887" s="9">
        <v>73</v>
      </c>
      <c r="AC1887" s="9">
        <v>36</v>
      </c>
      <c r="AD1887" s="17">
        <v>45508</v>
      </c>
      <c r="AE1887" s="56">
        <v>500</v>
      </c>
      <c r="AF1887" s="56"/>
      <c r="AG1887" s="9" t="s">
        <v>134</v>
      </c>
      <c r="AH1887" s="127">
        <v>45505</v>
      </c>
      <c r="AI1887" s="127"/>
      <c r="AJ1887" s="127"/>
      <c r="AK1887" s="22" t="s">
        <v>1689</v>
      </c>
      <c r="AL1887" s="22">
        <v>500</v>
      </c>
      <c r="AM1887" s="22"/>
      <c r="AN1887" s="22" t="s">
        <v>1618</v>
      </c>
      <c r="AO1887" s="22"/>
      <c r="AW1887" s="17">
        <v>45505</v>
      </c>
      <c r="AX1887" s="9">
        <v>2975</v>
      </c>
      <c r="BA1887" s="11">
        <v>500</v>
      </c>
      <c r="BD1887" s="9"/>
      <c r="CS1887" s="11">
        <f t="shared" si="132"/>
        <v>500</v>
      </c>
      <c r="CT1887" s="22">
        <f t="shared" si="133"/>
        <v>500</v>
      </c>
      <c r="CU1887" s="22">
        <f t="shared" si="134"/>
        <v>0</v>
      </c>
      <c r="CV1887" s="26">
        <f t="shared" si="131"/>
        <v>0</v>
      </c>
    </row>
    <row r="1888" spans="1:100" x14ac:dyDescent="0.2">
      <c r="A1888" s="9" t="s">
        <v>482</v>
      </c>
      <c r="B1888" s="2">
        <v>107</v>
      </c>
      <c r="C1888" s="3" t="s">
        <v>95</v>
      </c>
      <c r="D1888" s="3" t="s">
        <v>96</v>
      </c>
      <c r="E1888" s="2" t="s">
        <v>486</v>
      </c>
      <c r="F1888" s="2">
        <v>2</v>
      </c>
      <c r="G1888" s="2" t="s">
        <v>79</v>
      </c>
      <c r="H1888" s="2">
        <v>5</v>
      </c>
      <c r="I1888" s="8">
        <v>136.85</v>
      </c>
      <c r="J1888" s="8">
        <v>42499</v>
      </c>
      <c r="K1888" s="3">
        <v>0</v>
      </c>
      <c r="L1888" s="3" t="s">
        <v>3</v>
      </c>
      <c r="M1888" s="9" t="s">
        <v>0</v>
      </c>
      <c r="N1888" s="9" t="s">
        <v>39</v>
      </c>
      <c r="O1888" s="9" t="s">
        <v>483</v>
      </c>
      <c r="P1888" s="9" t="s">
        <v>0</v>
      </c>
      <c r="Q1888" s="30" t="s">
        <v>484</v>
      </c>
      <c r="R1888" s="9" t="s">
        <v>485</v>
      </c>
      <c r="S1888" s="9" t="s">
        <v>158</v>
      </c>
      <c r="T1888" s="2" t="s">
        <v>79</v>
      </c>
      <c r="U1888" s="2">
        <v>5</v>
      </c>
      <c r="V1888" s="2">
        <v>130.13</v>
      </c>
      <c r="W1888" s="10"/>
      <c r="X1888" s="17">
        <v>44412</v>
      </c>
      <c r="Y1888" s="17">
        <v>44936</v>
      </c>
      <c r="Z1888" s="19" t="s">
        <v>772</v>
      </c>
      <c r="AA1888" s="210">
        <v>44732</v>
      </c>
      <c r="AB1888" s="9">
        <v>73</v>
      </c>
      <c r="AC1888" s="9">
        <v>37</v>
      </c>
      <c r="AD1888" s="17">
        <v>45539</v>
      </c>
      <c r="AE1888" s="56">
        <v>500</v>
      </c>
      <c r="AF1888" s="56"/>
      <c r="AG1888" s="9" t="s">
        <v>134</v>
      </c>
      <c r="AH1888" s="127">
        <v>45544</v>
      </c>
      <c r="AI1888" s="127"/>
      <c r="AJ1888" s="127"/>
      <c r="AK1888" s="22" t="s">
        <v>1690</v>
      </c>
      <c r="AL1888" s="22">
        <v>500</v>
      </c>
      <c r="AM1888" s="22"/>
      <c r="AN1888" s="22" t="s">
        <v>1622</v>
      </c>
      <c r="AO1888" s="22"/>
      <c r="AW1888" s="17">
        <v>45541</v>
      </c>
      <c r="AX1888" s="9">
        <v>3128</v>
      </c>
      <c r="BA1888" s="11">
        <v>500</v>
      </c>
      <c r="BD1888" s="9"/>
      <c r="CS1888" s="11">
        <f t="shared" si="132"/>
        <v>500</v>
      </c>
      <c r="CT1888" s="22">
        <f t="shared" si="133"/>
        <v>500</v>
      </c>
      <c r="CU1888" s="22">
        <f t="shared" si="134"/>
        <v>0</v>
      </c>
      <c r="CV1888" s="26">
        <f t="shared" si="131"/>
        <v>0</v>
      </c>
    </row>
    <row r="1889" spans="1:100" x14ac:dyDescent="0.2">
      <c r="A1889" s="9" t="s">
        <v>482</v>
      </c>
      <c r="B1889" s="2">
        <v>107</v>
      </c>
      <c r="C1889" s="3" t="s">
        <v>95</v>
      </c>
      <c r="D1889" s="3" t="s">
        <v>96</v>
      </c>
      <c r="E1889" s="2" t="s">
        <v>486</v>
      </c>
      <c r="F1889" s="2">
        <v>2</v>
      </c>
      <c r="G1889" s="2" t="s">
        <v>79</v>
      </c>
      <c r="H1889" s="2">
        <v>5</v>
      </c>
      <c r="I1889" s="8">
        <v>136.85</v>
      </c>
      <c r="J1889" s="8">
        <v>42499</v>
      </c>
      <c r="K1889" s="3">
        <v>0</v>
      </c>
      <c r="L1889" s="3" t="s">
        <v>3</v>
      </c>
      <c r="M1889" s="9" t="s">
        <v>0</v>
      </c>
      <c r="N1889" s="9" t="s">
        <v>39</v>
      </c>
      <c r="O1889" s="9" t="s">
        <v>483</v>
      </c>
      <c r="P1889" s="9" t="s">
        <v>0</v>
      </c>
      <c r="Q1889" s="30" t="s">
        <v>484</v>
      </c>
      <c r="R1889" s="9" t="s">
        <v>485</v>
      </c>
      <c r="S1889" s="9" t="s">
        <v>158</v>
      </c>
      <c r="T1889" s="2" t="s">
        <v>79</v>
      </c>
      <c r="U1889" s="2">
        <v>5</v>
      </c>
      <c r="V1889" s="2">
        <v>130.13</v>
      </c>
      <c r="W1889" s="10"/>
      <c r="X1889" s="17">
        <v>44412</v>
      </c>
      <c r="Y1889" s="17">
        <v>44936</v>
      </c>
      <c r="Z1889" s="19" t="s">
        <v>772</v>
      </c>
      <c r="AA1889" s="210">
        <v>44732</v>
      </c>
      <c r="AB1889" s="9">
        <v>73</v>
      </c>
      <c r="AC1889" s="9">
        <v>38</v>
      </c>
      <c r="AD1889" s="17">
        <v>45569</v>
      </c>
      <c r="AE1889" s="56">
        <v>500</v>
      </c>
      <c r="AF1889" s="56"/>
      <c r="AG1889" s="9" t="s">
        <v>134</v>
      </c>
      <c r="AH1889" s="127">
        <v>45566</v>
      </c>
      <c r="AI1889" s="127"/>
      <c r="AJ1889" s="127"/>
      <c r="AK1889" s="22" t="s">
        <v>1691</v>
      </c>
      <c r="AL1889" s="22">
        <v>500</v>
      </c>
      <c r="AM1889" s="22"/>
      <c r="AN1889" s="22" t="s">
        <v>1623</v>
      </c>
      <c r="AO1889" s="22"/>
      <c r="AW1889" s="17">
        <v>45566</v>
      </c>
      <c r="AX1889" s="9">
        <v>3224</v>
      </c>
      <c r="BA1889" s="11">
        <v>500</v>
      </c>
      <c r="BD1889" s="9"/>
      <c r="CS1889" s="11">
        <f t="shared" si="132"/>
        <v>500</v>
      </c>
      <c r="CT1889" s="22">
        <f t="shared" si="133"/>
        <v>500</v>
      </c>
      <c r="CU1889" s="22">
        <f t="shared" si="134"/>
        <v>0</v>
      </c>
      <c r="CV1889" s="26">
        <f t="shared" si="131"/>
        <v>0</v>
      </c>
    </row>
    <row r="1890" spans="1:100" x14ac:dyDescent="0.2">
      <c r="A1890" s="9" t="s">
        <v>482</v>
      </c>
      <c r="B1890" s="2">
        <v>107</v>
      </c>
      <c r="C1890" s="3" t="s">
        <v>95</v>
      </c>
      <c r="D1890" s="3" t="s">
        <v>96</v>
      </c>
      <c r="E1890" s="2" t="s">
        <v>486</v>
      </c>
      <c r="F1890" s="2">
        <v>2</v>
      </c>
      <c r="G1890" s="2" t="s">
        <v>79</v>
      </c>
      <c r="H1890" s="2">
        <v>5</v>
      </c>
      <c r="I1890" s="8">
        <v>136.85</v>
      </c>
      <c r="J1890" s="8">
        <v>42499</v>
      </c>
      <c r="K1890" s="3">
        <v>0</v>
      </c>
      <c r="L1890" s="3" t="s">
        <v>3</v>
      </c>
      <c r="M1890" s="9" t="s">
        <v>0</v>
      </c>
      <c r="N1890" s="9" t="s">
        <v>39</v>
      </c>
      <c r="O1890" s="9" t="s">
        <v>483</v>
      </c>
      <c r="P1890" s="9" t="s">
        <v>0</v>
      </c>
      <c r="Q1890" s="30" t="s">
        <v>484</v>
      </c>
      <c r="R1890" s="9" t="s">
        <v>485</v>
      </c>
      <c r="S1890" s="9" t="s">
        <v>158</v>
      </c>
      <c r="T1890" s="2" t="s">
        <v>79</v>
      </c>
      <c r="U1890" s="2">
        <v>5</v>
      </c>
      <c r="V1890" s="2">
        <v>130.13</v>
      </c>
      <c r="W1890" s="10"/>
      <c r="X1890" s="17">
        <v>44412</v>
      </c>
      <c r="Y1890" s="17">
        <v>44936</v>
      </c>
      <c r="Z1890" s="19" t="s">
        <v>772</v>
      </c>
      <c r="AA1890" s="210">
        <v>44732</v>
      </c>
      <c r="AB1890" s="9">
        <v>73</v>
      </c>
      <c r="AC1890" s="9">
        <v>39</v>
      </c>
      <c r="AD1890" s="17">
        <v>45600</v>
      </c>
      <c r="AE1890" s="56">
        <v>500</v>
      </c>
      <c r="AF1890" s="56"/>
      <c r="AG1890" s="9" t="s">
        <v>134</v>
      </c>
      <c r="AH1890" s="127">
        <v>45596</v>
      </c>
      <c r="AI1890" s="127"/>
      <c r="AJ1890" s="127"/>
      <c r="AK1890" s="22" t="s">
        <v>1692</v>
      </c>
      <c r="AL1890" s="22">
        <v>500</v>
      </c>
      <c r="AM1890" s="22"/>
      <c r="AN1890" s="22" t="s">
        <v>1625</v>
      </c>
      <c r="AO1890" s="22"/>
      <c r="AW1890" s="17">
        <v>45596</v>
      </c>
      <c r="AX1890" s="9">
        <v>3342</v>
      </c>
      <c r="BA1890" s="11">
        <v>500</v>
      </c>
      <c r="BD1890" s="9"/>
      <c r="CS1890" s="11">
        <f t="shared" si="132"/>
        <v>500</v>
      </c>
      <c r="CT1890" s="22">
        <f t="shared" si="133"/>
        <v>500</v>
      </c>
      <c r="CU1890" s="22">
        <f t="shared" si="134"/>
        <v>0</v>
      </c>
      <c r="CV1890" s="26">
        <f t="shared" si="131"/>
        <v>0</v>
      </c>
    </row>
    <row r="1891" spans="1:100" x14ac:dyDescent="0.2">
      <c r="A1891" s="9" t="s">
        <v>482</v>
      </c>
      <c r="B1891" s="2">
        <v>107</v>
      </c>
      <c r="C1891" s="3" t="s">
        <v>95</v>
      </c>
      <c r="D1891" s="3" t="s">
        <v>96</v>
      </c>
      <c r="E1891" s="2" t="s">
        <v>486</v>
      </c>
      <c r="F1891" s="2">
        <v>2</v>
      </c>
      <c r="G1891" s="2" t="s">
        <v>79</v>
      </c>
      <c r="H1891" s="2">
        <v>5</v>
      </c>
      <c r="I1891" s="8">
        <v>136.85</v>
      </c>
      <c r="J1891" s="8">
        <v>42499</v>
      </c>
      <c r="K1891" s="3">
        <v>0</v>
      </c>
      <c r="L1891" s="3" t="s">
        <v>3</v>
      </c>
      <c r="M1891" s="9" t="s">
        <v>0</v>
      </c>
      <c r="N1891" s="9" t="s">
        <v>39</v>
      </c>
      <c r="O1891" s="9" t="s">
        <v>483</v>
      </c>
      <c r="P1891" s="9" t="s">
        <v>0</v>
      </c>
      <c r="Q1891" s="30" t="s">
        <v>484</v>
      </c>
      <c r="R1891" s="9" t="s">
        <v>485</v>
      </c>
      <c r="S1891" s="9" t="s">
        <v>158</v>
      </c>
      <c r="T1891" s="2" t="s">
        <v>79</v>
      </c>
      <c r="U1891" s="2">
        <v>5</v>
      </c>
      <c r="V1891" s="2">
        <v>130.13</v>
      </c>
      <c r="W1891" s="10"/>
      <c r="X1891" s="17">
        <v>44412</v>
      </c>
      <c r="Y1891" s="17">
        <v>44936</v>
      </c>
      <c r="Z1891" s="19" t="s">
        <v>772</v>
      </c>
      <c r="AA1891" s="210">
        <v>44732</v>
      </c>
      <c r="AB1891" s="9">
        <v>73</v>
      </c>
      <c r="AC1891" s="9">
        <v>40</v>
      </c>
      <c r="AD1891" s="17">
        <v>45630</v>
      </c>
      <c r="AE1891" s="56">
        <v>500</v>
      </c>
      <c r="AF1891" s="56"/>
      <c r="AG1891" s="9" t="s">
        <v>134</v>
      </c>
      <c r="AH1891" s="127">
        <v>45636</v>
      </c>
      <c r="AI1891" s="127"/>
      <c r="AJ1891" s="127"/>
      <c r="AK1891" s="22" t="s">
        <v>1693</v>
      </c>
      <c r="AL1891" s="22">
        <v>500</v>
      </c>
      <c r="AM1891" s="22"/>
      <c r="AN1891" s="22" t="s">
        <v>1627</v>
      </c>
      <c r="AO1891" s="22"/>
      <c r="AW1891" s="17">
        <v>45636</v>
      </c>
      <c r="AX1891" s="9">
        <v>3494</v>
      </c>
      <c r="BA1891" s="11">
        <v>500</v>
      </c>
      <c r="BD1891" s="9"/>
      <c r="CS1891" s="11">
        <f t="shared" si="132"/>
        <v>500</v>
      </c>
      <c r="CT1891" s="22">
        <f t="shared" si="133"/>
        <v>500</v>
      </c>
      <c r="CU1891" s="22">
        <f t="shared" si="134"/>
        <v>0</v>
      </c>
      <c r="CV1891" s="26">
        <f t="shared" si="131"/>
        <v>0</v>
      </c>
    </row>
    <row r="1892" spans="1:100" x14ac:dyDescent="0.2">
      <c r="A1892" s="9" t="s">
        <v>482</v>
      </c>
      <c r="B1892" s="2">
        <v>107</v>
      </c>
      <c r="C1892" s="3" t="s">
        <v>95</v>
      </c>
      <c r="D1892" s="3" t="s">
        <v>96</v>
      </c>
      <c r="E1892" s="2" t="s">
        <v>486</v>
      </c>
      <c r="F1892" s="2">
        <v>2</v>
      </c>
      <c r="G1892" s="2" t="s">
        <v>79</v>
      </c>
      <c r="H1892" s="2">
        <v>5</v>
      </c>
      <c r="I1892" s="8">
        <v>136.85</v>
      </c>
      <c r="J1892" s="8">
        <v>42499</v>
      </c>
      <c r="K1892" s="3">
        <v>0</v>
      </c>
      <c r="L1892" s="3" t="s">
        <v>3</v>
      </c>
      <c r="M1892" s="9" t="s">
        <v>0</v>
      </c>
      <c r="N1892" s="9" t="s">
        <v>39</v>
      </c>
      <c r="O1892" s="9" t="s">
        <v>483</v>
      </c>
      <c r="P1892" s="9" t="s">
        <v>0</v>
      </c>
      <c r="Q1892" s="30" t="s">
        <v>484</v>
      </c>
      <c r="R1892" s="9" t="s">
        <v>485</v>
      </c>
      <c r="S1892" s="9" t="s">
        <v>158</v>
      </c>
      <c r="T1892" s="2" t="s">
        <v>79</v>
      </c>
      <c r="U1892" s="2">
        <v>5</v>
      </c>
      <c r="V1892" s="2">
        <v>130.13</v>
      </c>
      <c r="W1892" s="10"/>
      <c r="X1892" s="17">
        <v>44412</v>
      </c>
      <c r="Y1892" s="17">
        <v>44936</v>
      </c>
      <c r="Z1892" s="19" t="s">
        <v>772</v>
      </c>
      <c r="AA1892" s="210">
        <v>44732</v>
      </c>
      <c r="AB1892" s="9">
        <v>73</v>
      </c>
      <c r="AC1892" s="9">
        <v>41</v>
      </c>
      <c r="AD1892" s="17">
        <v>45661</v>
      </c>
      <c r="AE1892" s="56">
        <v>500</v>
      </c>
      <c r="AF1892" s="56"/>
      <c r="AG1892" s="9" t="s">
        <v>134</v>
      </c>
      <c r="AH1892" s="127">
        <v>45664</v>
      </c>
      <c r="AI1892" s="127"/>
      <c r="AJ1892" s="127"/>
      <c r="AK1892" s="22" t="s">
        <v>1694</v>
      </c>
      <c r="AL1892" s="22">
        <v>500</v>
      </c>
      <c r="AM1892" s="22"/>
      <c r="AN1892" s="22" t="s">
        <v>1629</v>
      </c>
      <c r="AO1892" s="22"/>
      <c r="AW1892" s="17">
        <v>45664</v>
      </c>
      <c r="AX1892" s="9">
        <v>3578</v>
      </c>
      <c r="BA1892" s="11">
        <v>500</v>
      </c>
      <c r="BD1892" s="9"/>
      <c r="CS1892" s="11">
        <f t="shared" si="132"/>
        <v>500</v>
      </c>
      <c r="CT1892" s="22">
        <f t="shared" si="133"/>
        <v>500</v>
      </c>
      <c r="CU1892" s="22">
        <f t="shared" si="134"/>
        <v>0</v>
      </c>
      <c r="CV1892" s="26">
        <f t="shared" si="131"/>
        <v>0</v>
      </c>
    </row>
    <row r="1893" spans="1:100" x14ac:dyDescent="0.2">
      <c r="A1893" s="9" t="s">
        <v>482</v>
      </c>
      <c r="B1893" s="2">
        <v>107</v>
      </c>
      <c r="C1893" s="3" t="s">
        <v>95</v>
      </c>
      <c r="D1893" s="3" t="s">
        <v>96</v>
      </c>
      <c r="E1893" s="2" t="s">
        <v>486</v>
      </c>
      <c r="F1893" s="2">
        <v>2</v>
      </c>
      <c r="G1893" s="2" t="s">
        <v>79</v>
      </c>
      <c r="H1893" s="2">
        <v>5</v>
      </c>
      <c r="I1893" s="8">
        <v>136.85</v>
      </c>
      <c r="J1893" s="8">
        <v>42499</v>
      </c>
      <c r="K1893" s="3">
        <v>0</v>
      </c>
      <c r="L1893" s="3" t="s">
        <v>3</v>
      </c>
      <c r="M1893" s="9" t="s">
        <v>0</v>
      </c>
      <c r="N1893" s="9" t="s">
        <v>39</v>
      </c>
      <c r="O1893" s="9" t="s">
        <v>483</v>
      </c>
      <c r="P1893" s="9" t="s">
        <v>0</v>
      </c>
      <c r="Q1893" s="30" t="s">
        <v>484</v>
      </c>
      <c r="R1893" s="9" t="s">
        <v>485</v>
      </c>
      <c r="S1893" s="9" t="s">
        <v>158</v>
      </c>
      <c r="T1893" s="10" t="s">
        <v>79</v>
      </c>
      <c r="U1893" s="10">
        <v>5</v>
      </c>
      <c r="V1893" s="10">
        <v>130.13</v>
      </c>
      <c r="W1893" s="10"/>
      <c r="X1893" s="17">
        <v>44412</v>
      </c>
      <c r="Y1893" s="17">
        <v>44936</v>
      </c>
      <c r="Z1893" s="19" t="s">
        <v>772</v>
      </c>
      <c r="AA1893" s="210">
        <v>44732</v>
      </c>
      <c r="AB1893" s="9">
        <v>73</v>
      </c>
      <c r="AC1893" s="9">
        <v>42</v>
      </c>
      <c r="AD1893" s="17">
        <v>45692</v>
      </c>
      <c r="AE1893" s="56">
        <v>500</v>
      </c>
      <c r="AF1893" s="56"/>
      <c r="AG1893" s="9" t="s">
        <v>134</v>
      </c>
      <c r="AH1893" s="127">
        <v>45688</v>
      </c>
      <c r="AI1893" s="127"/>
      <c r="AJ1893" s="127"/>
      <c r="AK1893" s="22" t="s">
        <v>1695</v>
      </c>
      <c r="AL1893" s="22">
        <v>500</v>
      </c>
      <c r="AM1893" s="22"/>
      <c r="AN1893" s="22" t="s">
        <v>1631</v>
      </c>
      <c r="AO1893" s="22"/>
      <c r="AW1893" s="17">
        <v>45688</v>
      </c>
      <c r="AX1893" s="9">
        <v>3675</v>
      </c>
      <c r="BA1893" s="11">
        <v>500</v>
      </c>
      <c r="BD1893" s="9"/>
      <c r="CS1893" s="11">
        <f t="shared" si="132"/>
        <v>500</v>
      </c>
      <c r="CT1893" s="22">
        <f t="shared" si="133"/>
        <v>500</v>
      </c>
      <c r="CU1893" s="22">
        <f t="shared" si="134"/>
        <v>0</v>
      </c>
      <c r="CV1893" s="26">
        <f t="shared" si="131"/>
        <v>0</v>
      </c>
    </row>
    <row r="1894" spans="1:100" x14ac:dyDescent="0.2">
      <c r="A1894" s="9" t="s">
        <v>482</v>
      </c>
      <c r="B1894" s="2">
        <v>107</v>
      </c>
      <c r="C1894" s="3" t="s">
        <v>95</v>
      </c>
      <c r="D1894" s="3" t="s">
        <v>96</v>
      </c>
      <c r="E1894" s="2" t="s">
        <v>486</v>
      </c>
      <c r="F1894" s="2">
        <v>2</v>
      </c>
      <c r="G1894" s="2" t="s">
        <v>79</v>
      </c>
      <c r="H1894" s="2">
        <v>5</v>
      </c>
      <c r="I1894" s="8">
        <v>136.85</v>
      </c>
      <c r="J1894" s="8">
        <v>42499</v>
      </c>
      <c r="K1894" s="3">
        <v>0</v>
      </c>
      <c r="L1894" s="3" t="s">
        <v>3</v>
      </c>
      <c r="M1894" s="9" t="s">
        <v>0</v>
      </c>
      <c r="N1894" s="9" t="s">
        <v>39</v>
      </c>
      <c r="O1894" s="9" t="s">
        <v>483</v>
      </c>
      <c r="P1894" s="9" t="s">
        <v>0</v>
      </c>
      <c r="Q1894" s="30" t="s">
        <v>484</v>
      </c>
      <c r="R1894" s="9" t="s">
        <v>485</v>
      </c>
      <c r="S1894" s="9" t="s">
        <v>158</v>
      </c>
      <c r="T1894" s="10" t="s">
        <v>79</v>
      </c>
      <c r="U1894" s="10">
        <v>5</v>
      </c>
      <c r="V1894" s="10">
        <v>130.13</v>
      </c>
      <c r="W1894" s="10"/>
      <c r="X1894" s="17">
        <v>44412</v>
      </c>
      <c r="Y1894" s="17">
        <v>44936</v>
      </c>
      <c r="Z1894" s="19" t="s">
        <v>772</v>
      </c>
      <c r="AA1894" s="210">
        <v>44732</v>
      </c>
      <c r="AB1894" s="9">
        <v>73</v>
      </c>
      <c r="AC1894" s="9">
        <v>43</v>
      </c>
      <c r="AD1894" s="17">
        <v>45720</v>
      </c>
      <c r="AE1894" s="56">
        <v>500</v>
      </c>
      <c r="AF1894" s="56"/>
      <c r="AG1894" s="9" t="s">
        <v>134</v>
      </c>
      <c r="AH1894" s="127">
        <v>45728</v>
      </c>
      <c r="AI1894" s="127"/>
      <c r="AJ1894" s="127"/>
      <c r="AK1894" s="22" t="s">
        <v>1696</v>
      </c>
      <c r="AL1894" s="22">
        <v>500</v>
      </c>
      <c r="AM1894" s="22"/>
      <c r="AN1894" s="22" t="s">
        <v>1633</v>
      </c>
      <c r="AO1894" s="22"/>
      <c r="AW1894" s="17">
        <v>45728</v>
      </c>
      <c r="AX1894" s="9">
        <v>3877</v>
      </c>
      <c r="BA1894" s="11">
        <v>500</v>
      </c>
      <c r="BD1894" s="9"/>
      <c r="CS1894" s="11">
        <f t="shared" si="132"/>
        <v>500</v>
      </c>
      <c r="CT1894" s="22">
        <f t="shared" si="133"/>
        <v>500</v>
      </c>
      <c r="CU1894" s="22">
        <f t="shared" si="134"/>
        <v>0</v>
      </c>
      <c r="CV1894" s="26">
        <f t="shared" si="131"/>
        <v>0</v>
      </c>
    </row>
    <row r="1895" spans="1:100" x14ac:dyDescent="0.2">
      <c r="A1895" s="9" t="s">
        <v>482</v>
      </c>
      <c r="B1895" s="2">
        <v>107</v>
      </c>
      <c r="C1895" s="3" t="s">
        <v>95</v>
      </c>
      <c r="D1895" s="3" t="s">
        <v>96</v>
      </c>
      <c r="E1895" s="2" t="s">
        <v>486</v>
      </c>
      <c r="F1895" s="2">
        <v>2</v>
      </c>
      <c r="G1895" s="2" t="s">
        <v>79</v>
      </c>
      <c r="H1895" s="2">
        <v>5</v>
      </c>
      <c r="I1895" s="8">
        <v>136.85</v>
      </c>
      <c r="J1895" s="8">
        <v>42499</v>
      </c>
      <c r="K1895" s="3">
        <v>0</v>
      </c>
      <c r="L1895" s="3" t="s">
        <v>3</v>
      </c>
      <c r="M1895" s="9" t="s">
        <v>0</v>
      </c>
      <c r="N1895" s="9" t="s">
        <v>39</v>
      </c>
      <c r="O1895" s="9" t="s">
        <v>483</v>
      </c>
      <c r="P1895" s="9" t="s">
        <v>0</v>
      </c>
      <c r="Q1895" s="30" t="s">
        <v>484</v>
      </c>
      <c r="R1895" s="9" t="s">
        <v>485</v>
      </c>
      <c r="S1895" s="9" t="s">
        <v>158</v>
      </c>
      <c r="T1895" s="10" t="s">
        <v>79</v>
      </c>
      <c r="U1895" s="10">
        <v>5</v>
      </c>
      <c r="V1895" s="10">
        <v>130.13</v>
      </c>
      <c r="W1895" s="10"/>
      <c r="X1895" s="17">
        <v>44412</v>
      </c>
      <c r="Y1895" s="17">
        <v>44936</v>
      </c>
      <c r="Z1895" s="19" t="s">
        <v>772</v>
      </c>
      <c r="AA1895" s="210">
        <v>44732</v>
      </c>
      <c r="AB1895" s="9">
        <v>73</v>
      </c>
      <c r="AC1895" s="9">
        <v>44</v>
      </c>
      <c r="AD1895" s="17">
        <v>45751</v>
      </c>
      <c r="AE1895" s="56">
        <v>500</v>
      </c>
      <c r="AF1895" s="56"/>
      <c r="AG1895" s="9" t="s">
        <v>134</v>
      </c>
      <c r="AH1895" s="127">
        <v>45762</v>
      </c>
      <c r="AI1895" s="127"/>
      <c r="AJ1895" s="127"/>
      <c r="AK1895" s="22" t="s">
        <v>1697</v>
      </c>
      <c r="AL1895" s="22">
        <v>500</v>
      </c>
      <c r="AM1895" s="22"/>
      <c r="AN1895" s="22" t="s">
        <v>1635</v>
      </c>
      <c r="AO1895" s="22"/>
      <c r="AW1895" s="17">
        <v>45762</v>
      </c>
      <c r="AX1895" s="9">
        <v>4015</v>
      </c>
      <c r="BA1895" s="11">
        <v>500</v>
      </c>
      <c r="BD1895" s="9"/>
      <c r="CS1895" s="11">
        <f t="shared" si="132"/>
        <v>500</v>
      </c>
      <c r="CT1895" s="22">
        <f t="shared" si="133"/>
        <v>500</v>
      </c>
      <c r="CU1895" s="22">
        <f t="shared" si="134"/>
        <v>0</v>
      </c>
      <c r="CV1895" s="26">
        <f t="shared" si="131"/>
        <v>0</v>
      </c>
    </row>
    <row r="1896" spans="1:100" x14ac:dyDescent="0.2">
      <c r="A1896" s="9" t="s">
        <v>482</v>
      </c>
      <c r="B1896" s="2">
        <v>107</v>
      </c>
      <c r="C1896" s="3" t="s">
        <v>95</v>
      </c>
      <c r="D1896" s="3" t="s">
        <v>96</v>
      </c>
      <c r="E1896" s="2" t="s">
        <v>486</v>
      </c>
      <c r="F1896" s="2">
        <v>2</v>
      </c>
      <c r="G1896" s="2" t="s">
        <v>79</v>
      </c>
      <c r="H1896" s="2">
        <v>5</v>
      </c>
      <c r="I1896" s="8">
        <v>136.85</v>
      </c>
      <c r="J1896" s="8">
        <v>42499</v>
      </c>
      <c r="K1896" s="3">
        <v>0</v>
      </c>
      <c r="L1896" s="3" t="s">
        <v>3</v>
      </c>
      <c r="M1896" s="9" t="s">
        <v>0</v>
      </c>
      <c r="N1896" s="9" t="s">
        <v>39</v>
      </c>
      <c r="O1896" s="9" t="s">
        <v>483</v>
      </c>
      <c r="P1896" s="9" t="s">
        <v>0</v>
      </c>
      <c r="Q1896" s="30" t="s">
        <v>484</v>
      </c>
      <c r="R1896" s="9" t="s">
        <v>485</v>
      </c>
      <c r="S1896" s="9" t="s">
        <v>158</v>
      </c>
      <c r="T1896" s="10" t="s">
        <v>79</v>
      </c>
      <c r="U1896" s="10">
        <v>5</v>
      </c>
      <c r="V1896" s="10">
        <v>130.13</v>
      </c>
      <c r="W1896" s="10"/>
      <c r="X1896" s="17">
        <v>44412</v>
      </c>
      <c r="Y1896" s="17">
        <v>44936</v>
      </c>
      <c r="Z1896" s="19" t="s">
        <v>772</v>
      </c>
      <c r="AA1896" s="210">
        <v>44732</v>
      </c>
      <c r="AB1896" s="9">
        <v>73</v>
      </c>
      <c r="AC1896" s="9">
        <v>45</v>
      </c>
      <c r="AD1896" s="17">
        <v>45781</v>
      </c>
      <c r="AE1896" s="56">
        <v>500</v>
      </c>
      <c r="AF1896" s="56"/>
      <c r="AG1896" s="9" t="s">
        <v>134</v>
      </c>
      <c r="AH1896" s="127">
        <v>45783</v>
      </c>
      <c r="AI1896" s="127"/>
      <c r="AJ1896" s="127"/>
      <c r="AK1896" s="22" t="s">
        <v>1698</v>
      </c>
      <c r="AL1896" s="22">
        <v>500</v>
      </c>
      <c r="AM1896" s="22"/>
      <c r="AN1896" s="22" t="s">
        <v>1638</v>
      </c>
      <c r="AO1896" s="22"/>
      <c r="AW1896" s="17">
        <v>45780</v>
      </c>
      <c r="AX1896" s="9">
        <v>4103</v>
      </c>
      <c r="BA1896" s="11">
        <v>500</v>
      </c>
      <c r="BD1896" s="9"/>
      <c r="CS1896" s="11">
        <f t="shared" si="132"/>
        <v>500</v>
      </c>
      <c r="CT1896" s="22">
        <f t="shared" si="133"/>
        <v>500</v>
      </c>
      <c r="CU1896" s="22">
        <f t="shared" si="134"/>
        <v>0</v>
      </c>
      <c r="CV1896" s="26">
        <f t="shared" si="131"/>
        <v>0</v>
      </c>
    </row>
    <row r="1897" spans="1:100" x14ac:dyDescent="0.2">
      <c r="A1897" s="9" t="s">
        <v>482</v>
      </c>
      <c r="B1897" s="2">
        <v>107</v>
      </c>
      <c r="C1897" s="3" t="s">
        <v>95</v>
      </c>
      <c r="D1897" s="3" t="s">
        <v>96</v>
      </c>
      <c r="E1897" s="2" t="s">
        <v>486</v>
      </c>
      <c r="F1897" s="2">
        <v>2</v>
      </c>
      <c r="G1897" s="2" t="s">
        <v>79</v>
      </c>
      <c r="H1897" s="2">
        <v>5</v>
      </c>
      <c r="I1897" s="8">
        <v>136.85</v>
      </c>
      <c r="J1897" s="8">
        <v>42499</v>
      </c>
      <c r="K1897" s="3">
        <v>0</v>
      </c>
      <c r="L1897" s="3" t="s">
        <v>3</v>
      </c>
      <c r="M1897" s="9" t="s">
        <v>0</v>
      </c>
      <c r="N1897" s="9" t="s">
        <v>39</v>
      </c>
      <c r="O1897" s="9" t="s">
        <v>483</v>
      </c>
      <c r="P1897" s="9" t="s">
        <v>0</v>
      </c>
      <c r="Q1897" s="30" t="s">
        <v>484</v>
      </c>
      <c r="R1897" s="9" t="s">
        <v>485</v>
      </c>
      <c r="S1897" s="9" t="s">
        <v>158</v>
      </c>
      <c r="T1897" s="10" t="s">
        <v>79</v>
      </c>
      <c r="U1897" s="10">
        <v>5</v>
      </c>
      <c r="V1897" s="10">
        <v>130.13</v>
      </c>
      <c r="W1897" s="10"/>
      <c r="X1897" s="17">
        <v>44412</v>
      </c>
      <c r="Y1897" s="17">
        <v>44936</v>
      </c>
      <c r="Z1897" s="19" t="s">
        <v>772</v>
      </c>
      <c r="AA1897" s="210">
        <v>44732</v>
      </c>
      <c r="AB1897" s="9">
        <v>73</v>
      </c>
      <c r="AC1897" s="9">
        <v>46</v>
      </c>
      <c r="AD1897" s="17">
        <v>45812</v>
      </c>
      <c r="AE1897" s="56">
        <v>500</v>
      </c>
      <c r="AF1897" s="56"/>
      <c r="AG1897" s="9" t="s">
        <v>134</v>
      </c>
      <c r="AH1897" s="127">
        <v>45826</v>
      </c>
      <c r="AI1897" s="127"/>
      <c r="AJ1897" s="127"/>
      <c r="AK1897" s="22" t="s">
        <v>1699</v>
      </c>
      <c r="AL1897" s="22">
        <v>500</v>
      </c>
      <c r="AM1897" s="22"/>
      <c r="AN1897" s="22" t="s">
        <v>1639</v>
      </c>
      <c r="AO1897" s="22"/>
      <c r="AW1897" s="17">
        <v>45825</v>
      </c>
      <c r="AX1897" s="9">
        <v>4316</v>
      </c>
      <c r="BA1897" s="11">
        <v>500</v>
      </c>
      <c r="BD1897" s="9"/>
      <c r="CS1897" s="11">
        <f t="shared" si="132"/>
        <v>500</v>
      </c>
      <c r="CT1897" s="22">
        <f t="shared" si="133"/>
        <v>500</v>
      </c>
      <c r="CU1897" s="22">
        <f t="shared" si="134"/>
        <v>0</v>
      </c>
      <c r="CV1897" s="26">
        <f t="shared" si="131"/>
        <v>0</v>
      </c>
    </row>
    <row r="1898" spans="1:100" x14ac:dyDescent="0.2">
      <c r="A1898" s="9" t="s">
        <v>482</v>
      </c>
      <c r="B1898" s="2">
        <v>107</v>
      </c>
      <c r="C1898" s="3" t="s">
        <v>95</v>
      </c>
      <c r="D1898" s="3" t="s">
        <v>96</v>
      </c>
      <c r="E1898" s="2" t="s">
        <v>486</v>
      </c>
      <c r="F1898" s="2">
        <v>2</v>
      </c>
      <c r="G1898" s="2" t="s">
        <v>79</v>
      </c>
      <c r="H1898" s="2">
        <v>5</v>
      </c>
      <c r="I1898" s="8">
        <v>136.85</v>
      </c>
      <c r="J1898" s="8">
        <v>42499</v>
      </c>
      <c r="K1898" s="3">
        <v>0</v>
      </c>
      <c r="L1898" s="3" t="s">
        <v>3</v>
      </c>
      <c r="M1898" s="9" t="s">
        <v>0</v>
      </c>
      <c r="N1898" s="9" t="s">
        <v>39</v>
      </c>
      <c r="O1898" s="9" t="s">
        <v>483</v>
      </c>
      <c r="P1898" s="9" t="s">
        <v>0</v>
      </c>
      <c r="Q1898" s="30" t="s">
        <v>484</v>
      </c>
      <c r="R1898" s="9" t="s">
        <v>485</v>
      </c>
      <c r="S1898" s="9" t="s">
        <v>158</v>
      </c>
      <c r="T1898" s="10" t="s">
        <v>79</v>
      </c>
      <c r="U1898" s="10">
        <v>5</v>
      </c>
      <c r="V1898" s="10">
        <v>130.13</v>
      </c>
      <c r="W1898" s="10"/>
      <c r="X1898" s="17">
        <v>44412</v>
      </c>
      <c r="Y1898" s="17">
        <v>44936</v>
      </c>
      <c r="Z1898" s="19" t="s">
        <v>772</v>
      </c>
      <c r="AA1898" s="210">
        <v>44732</v>
      </c>
      <c r="AB1898" s="9">
        <v>73</v>
      </c>
      <c r="AC1898" s="9">
        <v>47</v>
      </c>
      <c r="AD1898" s="17">
        <v>45842</v>
      </c>
      <c r="AE1898" s="56">
        <v>500</v>
      </c>
      <c r="AF1898" s="56"/>
      <c r="AG1898" s="9" t="s">
        <v>134</v>
      </c>
      <c r="AH1898" s="127">
        <v>45846</v>
      </c>
      <c r="AI1898" s="127"/>
      <c r="AJ1898" s="127"/>
      <c r="AK1898" s="22" t="s">
        <v>1700</v>
      </c>
      <c r="AL1898" s="22">
        <v>500</v>
      </c>
      <c r="AM1898" s="22"/>
      <c r="AN1898" s="22" t="s">
        <v>1642</v>
      </c>
      <c r="AO1898" s="22"/>
      <c r="AW1898" s="17">
        <v>45846</v>
      </c>
      <c r="AX1898" s="9">
        <v>4389</v>
      </c>
      <c r="BA1898" s="11">
        <v>500</v>
      </c>
      <c r="BD1898" s="9"/>
      <c r="CS1898" s="11">
        <f t="shared" si="132"/>
        <v>500</v>
      </c>
      <c r="CT1898" s="22">
        <f t="shared" si="133"/>
        <v>500</v>
      </c>
      <c r="CU1898" s="22">
        <f t="shared" si="134"/>
        <v>0</v>
      </c>
      <c r="CV1898" s="26">
        <f t="shared" si="131"/>
        <v>0</v>
      </c>
    </row>
    <row r="1899" spans="1:100" x14ac:dyDescent="0.2">
      <c r="A1899" s="9" t="s">
        <v>482</v>
      </c>
      <c r="B1899" s="2">
        <v>107</v>
      </c>
      <c r="C1899" s="3" t="s">
        <v>95</v>
      </c>
      <c r="D1899" s="3" t="s">
        <v>96</v>
      </c>
      <c r="E1899" s="2" t="s">
        <v>486</v>
      </c>
      <c r="F1899" s="2">
        <v>2</v>
      </c>
      <c r="G1899" s="2" t="s">
        <v>79</v>
      </c>
      <c r="H1899" s="2">
        <v>5</v>
      </c>
      <c r="I1899" s="8">
        <v>136.85</v>
      </c>
      <c r="J1899" s="8">
        <v>42499</v>
      </c>
      <c r="K1899" s="3">
        <v>0</v>
      </c>
      <c r="L1899" s="3" t="s">
        <v>3</v>
      </c>
      <c r="M1899" s="9" t="s">
        <v>0</v>
      </c>
      <c r="N1899" s="9" t="s">
        <v>39</v>
      </c>
      <c r="O1899" s="9" t="s">
        <v>483</v>
      </c>
      <c r="P1899" s="9" t="s">
        <v>0</v>
      </c>
      <c r="Q1899" s="30" t="s">
        <v>484</v>
      </c>
      <c r="R1899" s="9" t="s">
        <v>485</v>
      </c>
      <c r="S1899" s="9" t="s">
        <v>158</v>
      </c>
      <c r="T1899" s="10" t="s">
        <v>79</v>
      </c>
      <c r="U1899" s="10">
        <v>5</v>
      </c>
      <c r="V1899" s="10">
        <v>130.13</v>
      </c>
      <c r="W1899" s="10"/>
      <c r="X1899" s="17">
        <v>44412</v>
      </c>
      <c r="Y1899" s="17">
        <v>44936</v>
      </c>
      <c r="Z1899" s="19" t="s">
        <v>772</v>
      </c>
      <c r="AA1899" s="210">
        <v>44732</v>
      </c>
      <c r="AB1899" s="9">
        <v>73</v>
      </c>
      <c r="AC1899" s="9">
        <v>48</v>
      </c>
      <c r="AD1899" s="17">
        <v>45873</v>
      </c>
      <c r="AE1899" s="56">
        <v>500</v>
      </c>
      <c r="AF1899" s="56"/>
      <c r="AG1899" s="9" t="s">
        <v>134</v>
      </c>
      <c r="AH1899" s="127">
        <v>45888</v>
      </c>
      <c r="AI1899" s="127"/>
      <c r="AJ1899" s="127"/>
      <c r="AK1899" s="22" t="s">
        <v>1701</v>
      </c>
      <c r="AL1899" s="22">
        <v>500</v>
      </c>
      <c r="AM1899" s="22"/>
      <c r="AN1899" s="22" t="s">
        <v>1643</v>
      </c>
      <c r="AO1899" s="22"/>
      <c r="AW1899" s="17">
        <v>45888</v>
      </c>
      <c r="AX1899" s="9">
        <v>4592</v>
      </c>
      <c r="BA1899" s="11">
        <v>500</v>
      </c>
      <c r="BD1899" s="9"/>
      <c r="CS1899" s="11">
        <f t="shared" si="132"/>
        <v>500</v>
      </c>
      <c r="CT1899" s="22">
        <f t="shared" si="133"/>
        <v>500</v>
      </c>
      <c r="CU1899" s="22">
        <f t="shared" si="134"/>
        <v>0</v>
      </c>
      <c r="CV1899" s="26">
        <f t="shared" si="131"/>
        <v>0</v>
      </c>
    </row>
    <row r="1900" spans="1:100" x14ac:dyDescent="0.2">
      <c r="A1900" s="9" t="s">
        <v>482</v>
      </c>
      <c r="B1900" s="2">
        <v>107</v>
      </c>
      <c r="C1900" s="3" t="s">
        <v>95</v>
      </c>
      <c r="D1900" s="3" t="s">
        <v>96</v>
      </c>
      <c r="E1900" s="2" t="s">
        <v>486</v>
      </c>
      <c r="F1900" s="2">
        <v>2</v>
      </c>
      <c r="G1900" s="2" t="s">
        <v>79</v>
      </c>
      <c r="H1900" s="2">
        <v>5</v>
      </c>
      <c r="I1900" s="8">
        <v>136.85</v>
      </c>
      <c r="J1900" s="8">
        <v>42499</v>
      </c>
      <c r="K1900" s="3">
        <v>0</v>
      </c>
      <c r="L1900" s="3" t="s">
        <v>3</v>
      </c>
      <c r="M1900" s="9" t="s">
        <v>0</v>
      </c>
      <c r="N1900" s="9" t="s">
        <v>39</v>
      </c>
      <c r="O1900" s="9" t="s">
        <v>483</v>
      </c>
      <c r="P1900" s="9" t="s">
        <v>0</v>
      </c>
      <c r="Q1900" s="30" t="s">
        <v>484</v>
      </c>
      <c r="R1900" s="9" t="s">
        <v>485</v>
      </c>
      <c r="S1900" s="9" t="s">
        <v>158</v>
      </c>
      <c r="T1900" s="10" t="s">
        <v>79</v>
      </c>
      <c r="U1900" s="10">
        <v>5</v>
      </c>
      <c r="V1900" s="10">
        <v>130.13</v>
      </c>
      <c r="W1900" s="10"/>
      <c r="X1900" s="17">
        <v>44412</v>
      </c>
      <c r="Y1900" s="17">
        <v>44936</v>
      </c>
      <c r="Z1900" s="19" t="s">
        <v>772</v>
      </c>
      <c r="AA1900" s="210">
        <v>44732</v>
      </c>
      <c r="AB1900" s="9">
        <v>73</v>
      </c>
      <c r="AC1900" s="9">
        <v>49</v>
      </c>
      <c r="AD1900" s="17">
        <v>45904</v>
      </c>
      <c r="AE1900" s="56">
        <v>500</v>
      </c>
      <c r="AF1900" s="56"/>
      <c r="AG1900" s="9" t="s">
        <v>134</v>
      </c>
      <c r="AH1900" s="127">
        <v>45917</v>
      </c>
      <c r="AI1900" s="127"/>
      <c r="AJ1900" s="127"/>
      <c r="AK1900" s="22" t="s">
        <v>1702</v>
      </c>
      <c r="AL1900" s="22">
        <v>500</v>
      </c>
      <c r="AM1900" s="22"/>
      <c r="AN1900" s="22" t="s">
        <v>1645</v>
      </c>
      <c r="AO1900" s="22"/>
      <c r="AW1900" s="17">
        <v>45917</v>
      </c>
      <c r="AX1900" s="9">
        <v>4736</v>
      </c>
      <c r="BA1900" s="11">
        <v>500</v>
      </c>
      <c r="BD1900" s="9"/>
      <c r="CS1900" s="11">
        <f t="shared" si="132"/>
        <v>500</v>
      </c>
      <c r="CT1900" s="22">
        <f t="shared" si="133"/>
        <v>500</v>
      </c>
      <c r="CU1900" s="22">
        <f t="shared" si="134"/>
        <v>0</v>
      </c>
      <c r="CV1900" s="26">
        <f t="shared" si="131"/>
        <v>0</v>
      </c>
    </row>
    <row r="1901" spans="1:100" x14ac:dyDescent="0.2">
      <c r="A1901" s="9" t="s">
        <v>482</v>
      </c>
      <c r="B1901" s="2">
        <v>107</v>
      </c>
      <c r="C1901" s="3" t="s">
        <v>95</v>
      </c>
      <c r="D1901" s="3" t="s">
        <v>96</v>
      </c>
      <c r="E1901" s="2" t="s">
        <v>486</v>
      </c>
      <c r="F1901" s="2">
        <v>2</v>
      </c>
      <c r="G1901" s="2" t="s">
        <v>79</v>
      </c>
      <c r="H1901" s="2">
        <v>5</v>
      </c>
      <c r="I1901" s="8">
        <v>136.85</v>
      </c>
      <c r="J1901" s="8">
        <v>42499</v>
      </c>
      <c r="K1901" s="3">
        <v>0</v>
      </c>
      <c r="L1901" s="3" t="s">
        <v>3</v>
      </c>
      <c r="M1901" s="9" t="s">
        <v>0</v>
      </c>
      <c r="N1901" s="9" t="s">
        <v>39</v>
      </c>
      <c r="O1901" s="9" t="s">
        <v>483</v>
      </c>
      <c r="P1901" s="9" t="s">
        <v>0</v>
      </c>
      <c r="Q1901" s="30" t="s">
        <v>484</v>
      </c>
      <c r="R1901" s="9" t="s">
        <v>485</v>
      </c>
      <c r="S1901" s="9" t="s">
        <v>158</v>
      </c>
      <c r="T1901" s="10" t="s">
        <v>79</v>
      </c>
      <c r="U1901" s="10">
        <v>5</v>
      </c>
      <c r="V1901" s="10">
        <v>130.13</v>
      </c>
      <c r="W1901" s="10"/>
      <c r="X1901" s="17">
        <v>44412</v>
      </c>
      <c r="Y1901" s="17">
        <v>44936</v>
      </c>
      <c r="Z1901" s="19" t="s">
        <v>772</v>
      </c>
      <c r="AA1901" s="210">
        <v>44732</v>
      </c>
      <c r="AB1901" s="9">
        <v>73</v>
      </c>
      <c r="AC1901" s="9">
        <v>50</v>
      </c>
      <c r="AD1901" s="17">
        <v>45934</v>
      </c>
      <c r="AE1901" s="56">
        <v>500</v>
      </c>
      <c r="AF1901" s="56"/>
      <c r="AL1901" s="22"/>
      <c r="AM1901" s="22"/>
      <c r="AN1901" s="22"/>
      <c r="AO1901" s="22"/>
      <c r="AW1901" s="17"/>
      <c r="BD1901" s="9"/>
      <c r="CS1901" s="11">
        <f t="shared" si="132"/>
        <v>0</v>
      </c>
      <c r="CT1901" s="22">
        <f t="shared" si="133"/>
        <v>0</v>
      </c>
      <c r="CU1901" s="22">
        <f t="shared" si="134"/>
        <v>0</v>
      </c>
      <c r="CV1901" s="26">
        <f t="shared" si="131"/>
        <v>500</v>
      </c>
    </row>
    <row r="1902" spans="1:100" x14ac:dyDescent="0.2">
      <c r="A1902" s="9" t="s">
        <v>482</v>
      </c>
      <c r="B1902" s="2">
        <v>107</v>
      </c>
      <c r="C1902" s="3" t="s">
        <v>95</v>
      </c>
      <c r="D1902" s="3" t="s">
        <v>96</v>
      </c>
      <c r="E1902" s="2" t="s">
        <v>486</v>
      </c>
      <c r="F1902" s="2">
        <v>2</v>
      </c>
      <c r="G1902" s="2" t="s">
        <v>79</v>
      </c>
      <c r="H1902" s="2">
        <v>5</v>
      </c>
      <c r="I1902" s="8">
        <v>136.85</v>
      </c>
      <c r="J1902" s="8">
        <v>42499</v>
      </c>
      <c r="K1902" s="3">
        <v>0</v>
      </c>
      <c r="L1902" s="3" t="s">
        <v>3</v>
      </c>
      <c r="M1902" s="9" t="s">
        <v>0</v>
      </c>
      <c r="N1902" s="9" t="s">
        <v>39</v>
      </c>
      <c r="O1902" s="9" t="s">
        <v>483</v>
      </c>
      <c r="P1902" s="9" t="s">
        <v>0</v>
      </c>
      <c r="Q1902" s="30" t="s">
        <v>484</v>
      </c>
      <c r="R1902" s="9" t="s">
        <v>485</v>
      </c>
      <c r="S1902" s="9" t="s">
        <v>158</v>
      </c>
      <c r="T1902" s="10" t="s">
        <v>79</v>
      </c>
      <c r="U1902" s="10">
        <v>5</v>
      </c>
      <c r="V1902" s="10">
        <v>130.13</v>
      </c>
      <c r="W1902" s="10"/>
      <c r="X1902" s="17">
        <v>44412</v>
      </c>
      <c r="Y1902" s="17">
        <v>44936</v>
      </c>
      <c r="Z1902" s="19" t="s">
        <v>772</v>
      </c>
      <c r="AA1902" s="210">
        <v>44732</v>
      </c>
      <c r="AB1902" s="9">
        <v>73</v>
      </c>
      <c r="AC1902" s="9">
        <v>51</v>
      </c>
      <c r="AD1902" s="17">
        <v>45965</v>
      </c>
      <c r="AE1902" s="56">
        <v>500</v>
      </c>
      <c r="AF1902" s="56"/>
      <c r="AW1902" s="9"/>
      <c r="BD1902" s="9"/>
      <c r="CS1902" s="11">
        <f t="shared" si="132"/>
        <v>0</v>
      </c>
      <c r="CT1902" s="22">
        <f t="shared" si="133"/>
        <v>0</v>
      </c>
      <c r="CU1902" s="22">
        <f t="shared" si="134"/>
        <v>0</v>
      </c>
      <c r="CV1902" s="26">
        <f t="shared" si="131"/>
        <v>500</v>
      </c>
    </row>
    <row r="1903" spans="1:100" x14ac:dyDescent="0.2">
      <c r="A1903" s="9" t="s">
        <v>482</v>
      </c>
      <c r="B1903" s="2">
        <v>107</v>
      </c>
      <c r="C1903" s="3" t="s">
        <v>95</v>
      </c>
      <c r="D1903" s="3" t="s">
        <v>96</v>
      </c>
      <c r="E1903" s="2" t="s">
        <v>486</v>
      </c>
      <c r="F1903" s="2">
        <v>2</v>
      </c>
      <c r="G1903" s="2" t="s">
        <v>79</v>
      </c>
      <c r="H1903" s="2">
        <v>5</v>
      </c>
      <c r="I1903" s="8">
        <v>136.85</v>
      </c>
      <c r="J1903" s="8">
        <v>42499</v>
      </c>
      <c r="K1903" s="3">
        <v>0</v>
      </c>
      <c r="L1903" s="3" t="s">
        <v>3</v>
      </c>
      <c r="M1903" s="9" t="s">
        <v>0</v>
      </c>
      <c r="N1903" s="9" t="s">
        <v>39</v>
      </c>
      <c r="O1903" s="9" t="s">
        <v>483</v>
      </c>
      <c r="P1903" s="9" t="s">
        <v>0</v>
      </c>
      <c r="Q1903" s="30" t="s">
        <v>484</v>
      </c>
      <c r="R1903" s="9" t="s">
        <v>485</v>
      </c>
      <c r="S1903" s="9" t="s">
        <v>158</v>
      </c>
      <c r="T1903" s="10" t="s">
        <v>79</v>
      </c>
      <c r="U1903" s="10">
        <v>5</v>
      </c>
      <c r="V1903" s="10">
        <v>130.13</v>
      </c>
      <c r="W1903" s="10"/>
      <c r="X1903" s="17">
        <v>44412</v>
      </c>
      <c r="Y1903" s="17">
        <v>44936</v>
      </c>
      <c r="Z1903" s="19" t="s">
        <v>772</v>
      </c>
      <c r="AA1903" s="210">
        <v>44732</v>
      </c>
      <c r="AB1903" s="9">
        <v>73</v>
      </c>
      <c r="AC1903" s="9">
        <v>52</v>
      </c>
      <c r="AD1903" s="17">
        <v>45995</v>
      </c>
      <c r="AE1903" s="56">
        <v>500</v>
      </c>
      <c r="AF1903" s="56"/>
      <c r="AW1903" s="9"/>
      <c r="BD1903" s="9"/>
      <c r="CS1903" s="11">
        <f t="shared" si="132"/>
        <v>0</v>
      </c>
      <c r="CT1903" s="22">
        <f t="shared" si="133"/>
        <v>0</v>
      </c>
      <c r="CU1903" s="22">
        <f t="shared" si="134"/>
        <v>0</v>
      </c>
      <c r="CV1903" s="26">
        <f t="shared" si="131"/>
        <v>500</v>
      </c>
    </row>
    <row r="1904" spans="1:100" x14ac:dyDescent="0.2">
      <c r="A1904" s="9" t="s">
        <v>482</v>
      </c>
      <c r="B1904" s="2">
        <v>107</v>
      </c>
      <c r="C1904" s="3" t="s">
        <v>95</v>
      </c>
      <c r="D1904" s="3" t="s">
        <v>96</v>
      </c>
      <c r="E1904" s="2" t="s">
        <v>486</v>
      </c>
      <c r="F1904" s="2">
        <v>2</v>
      </c>
      <c r="G1904" s="2" t="s">
        <v>79</v>
      </c>
      <c r="H1904" s="2">
        <v>5</v>
      </c>
      <c r="I1904" s="8">
        <v>136.85</v>
      </c>
      <c r="J1904" s="8">
        <v>42499</v>
      </c>
      <c r="K1904" s="3">
        <v>0</v>
      </c>
      <c r="L1904" s="3" t="s">
        <v>3</v>
      </c>
      <c r="M1904" s="9" t="s">
        <v>0</v>
      </c>
      <c r="N1904" s="9" t="s">
        <v>39</v>
      </c>
      <c r="O1904" s="9" t="s">
        <v>483</v>
      </c>
      <c r="P1904" s="9" t="s">
        <v>0</v>
      </c>
      <c r="Q1904" s="30" t="s">
        <v>484</v>
      </c>
      <c r="R1904" s="9" t="s">
        <v>485</v>
      </c>
      <c r="S1904" s="9" t="s">
        <v>158</v>
      </c>
      <c r="T1904" s="10" t="s">
        <v>79</v>
      </c>
      <c r="U1904" s="10">
        <v>5</v>
      </c>
      <c r="V1904" s="10">
        <v>130.13</v>
      </c>
      <c r="W1904" s="10"/>
      <c r="X1904" s="17">
        <v>44412</v>
      </c>
      <c r="Y1904" s="17">
        <v>44936</v>
      </c>
      <c r="Z1904" s="19" t="s">
        <v>772</v>
      </c>
      <c r="AA1904" s="210">
        <v>44732</v>
      </c>
      <c r="AB1904" s="9">
        <v>73</v>
      </c>
      <c r="AC1904" s="9">
        <v>53</v>
      </c>
      <c r="AD1904" s="17">
        <v>46026</v>
      </c>
      <c r="AE1904" s="56">
        <v>500</v>
      </c>
      <c r="AF1904" s="56"/>
      <c r="AW1904" s="9"/>
      <c r="BD1904" s="9"/>
      <c r="CS1904" s="11">
        <f t="shared" si="132"/>
        <v>0</v>
      </c>
      <c r="CT1904" s="22">
        <f t="shared" si="133"/>
        <v>0</v>
      </c>
      <c r="CU1904" s="22">
        <f t="shared" si="134"/>
        <v>0</v>
      </c>
      <c r="CV1904" s="26">
        <f t="shared" si="131"/>
        <v>500</v>
      </c>
    </row>
    <row r="1905" spans="1:100" x14ac:dyDescent="0.2">
      <c r="A1905" s="9" t="s">
        <v>482</v>
      </c>
      <c r="B1905" s="2">
        <v>107</v>
      </c>
      <c r="C1905" s="3" t="s">
        <v>95</v>
      </c>
      <c r="D1905" s="3" t="s">
        <v>96</v>
      </c>
      <c r="E1905" s="2" t="s">
        <v>486</v>
      </c>
      <c r="F1905" s="2">
        <v>2</v>
      </c>
      <c r="G1905" s="2" t="s">
        <v>79</v>
      </c>
      <c r="H1905" s="2">
        <v>5</v>
      </c>
      <c r="I1905" s="8">
        <v>136.85</v>
      </c>
      <c r="J1905" s="8">
        <v>42499</v>
      </c>
      <c r="K1905" s="3">
        <v>0</v>
      </c>
      <c r="L1905" s="3" t="s">
        <v>3</v>
      </c>
      <c r="M1905" s="9" t="s">
        <v>0</v>
      </c>
      <c r="N1905" s="9" t="s">
        <v>39</v>
      </c>
      <c r="O1905" s="9" t="s">
        <v>483</v>
      </c>
      <c r="P1905" s="9" t="s">
        <v>0</v>
      </c>
      <c r="Q1905" s="30" t="s">
        <v>484</v>
      </c>
      <c r="R1905" s="9" t="s">
        <v>485</v>
      </c>
      <c r="S1905" s="9" t="s">
        <v>158</v>
      </c>
      <c r="T1905" s="10" t="s">
        <v>79</v>
      </c>
      <c r="U1905" s="10">
        <v>5</v>
      </c>
      <c r="V1905" s="10">
        <v>130.13</v>
      </c>
      <c r="W1905" s="10"/>
      <c r="X1905" s="17">
        <v>44412</v>
      </c>
      <c r="Y1905" s="17">
        <v>44936</v>
      </c>
      <c r="Z1905" s="19" t="s">
        <v>772</v>
      </c>
      <c r="AA1905" s="210">
        <v>44732</v>
      </c>
      <c r="AB1905" s="9">
        <v>73</v>
      </c>
      <c r="AC1905" s="9">
        <v>54</v>
      </c>
      <c r="AD1905" s="17">
        <v>46057</v>
      </c>
      <c r="AE1905" s="56">
        <v>500</v>
      </c>
      <c r="AF1905" s="56"/>
      <c r="AW1905" s="9"/>
      <c r="BD1905" s="9"/>
      <c r="CS1905" s="11">
        <f t="shared" si="132"/>
        <v>0</v>
      </c>
      <c r="CT1905" s="22">
        <f t="shared" si="133"/>
        <v>0</v>
      </c>
      <c r="CU1905" s="22">
        <f t="shared" si="134"/>
        <v>0</v>
      </c>
      <c r="CV1905" s="26">
        <f t="shared" si="131"/>
        <v>500</v>
      </c>
    </row>
    <row r="1906" spans="1:100" x14ac:dyDescent="0.2">
      <c r="A1906" s="9" t="s">
        <v>482</v>
      </c>
      <c r="B1906" s="2">
        <v>107</v>
      </c>
      <c r="C1906" s="3" t="s">
        <v>95</v>
      </c>
      <c r="D1906" s="3" t="s">
        <v>96</v>
      </c>
      <c r="E1906" s="2" t="s">
        <v>486</v>
      </c>
      <c r="F1906" s="2">
        <v>2</v>
      </c>
      <c r="G1906" s="2" t="s">
        <v>79</v>
      </c>
      <c r="H1906" s="2">
        <v>5</v>
      </c>
      <c r="I1906" s="8">
        <v>136.85</v>
      </c>
      <c r="J1906" s="8">
        <v>42499</v>
      </c>
      <c r="K1906" s="3">
        <v>0</v>
      </c>
      <c r="L1906" s="3" t="s">
        <v>3</v>
      </c>
      <c r="M1906" s="9" t="s">
        <v>0</v>
      </c>
      <c r="N1906" s="9" t="s">
        <v>39</v>
      </c>
      <c r="O1906" s="9" t="s">
        <v>483</v>
      </c>
      <c r="P1906" s="9" t="s">
        <v>0</v>
      </c>
      <c r="Q1906" s="30" t="s">
        <v>484</v>
      </c>
      <c r="R1906" s="9" t="s">
        <v>485</v>
      </c>
      <c r="S1906" s="9" t="s">
        <v>158</v>
      </c>
      <c r="T1906" s="10" t="s">
        <v>79</v>
      </c>
      <c r="U1906" s="10">
        <v>5</v>
      </c>
      <c r="V1906" s="10">
        <v>130.13</v>
      </c>
      <c r="W1906" s="10"/>
      <c r="X1906" s="17">
        <v>44412</v>
      </c>
      <c r="Y1906" s="17">
        <v>44936</v>
      </c>
      <c r="Z1906" s="19" t="s">
        <v>772</v>
      </c>
      <c r="AA1906" s="210">
        <v>44732</v>
      </c>
      <c r="AB1906" s="9">
        <v>73</v>
      </c>
      <c r="AC1906" s="9">
        <v>55</v>
      </c>
      <c r="AD1906" s="17">
        <v>46085</v>
      </c>
      <c r="AE1906" s="56">
        <v>500</v>
      </c>
      <c r="AF1906" s="56"/>
      <c r="AW1906" s="9"/>
      <c r="BD1906" s="9"/>
      <c r="CS1906" s="11">
        <f t="shared" si="132"/>
        <v>0</v>
      </c>
      <c r="CT1906" s="22">
        <f t="shared" si="133"/>
        <v>0</v>
      </c>
      <c r="CU1906" s="22">
        <f t="shared" si="134"/>
        <v>0</v>
      </c>
      <c r="CV1906" s="26">
        <f t="shared" si="131"/>
        <v>500</v>
      </c>
    </row>
    <row r="1907" spans="1:100" x14ac:dyDescent="0.2">
      <c r="A1907" s="9" t="s">
        <v>482</v>
      </c>
      <c r="B1907" s="2">
        <v>107</v>
      </c>
      <c r="C1907" s="3" t="s">
        <v>95</v>
      </c>
      <c r="D1907" s="3" t="s">
        <v>96</v>
      </c>
      <c r="E1907" s="2" t="s">
        <v>486</v>
      </c>
      <c r="F1907" s="2">
        <v>2</v>
      </c>
      <c r="G1907" s="2" t="s">
        <v>79</v>
      </c>
      <c r="H1907" s="2">
        <v>5</v>
      </c>
      <c r="I1907" s="8">
        <v>136.85</v>
      </c>
      <c r="J1907" s="8">
        <v>42499</v>
      </c>
      <c r="K1907" s="3">
        <v>0</v>
      </c>
      <c r="L1907" s="3" t="s">
        <v>3</v>
      </c>
      <c r="M1907" s="9" t="s">
        <v>0</v>
      </c>
      <c r="N1907" s="9" t="s">
        <v>39</v>
      </c>
      <c r="O1907" s="9" t="s">
        <v>483</v>
      </c>
      <c r="P1907" s="9" t="s">
        <v>0</v>
      </c>
      <c r="Q1907" s="30" t="s">
        <v>484</v>
      </c>
      <c r="R1907" s="9" t="s">
        <v>485</v>
      </c>
      <c r="S1907" s="9" t="s">
        <v>158</v>
      </c>
      <c r="T1907" s="10" t="s">
        <v>79</v>
      </c>
      <c r="U1907" s="10">
        <v>5</v>
      </c>
      <c r="V1907" s="10">
        <v>130.13</v>
      </c>
      <c r="W1907" s="10"/>
      <c r="X1907" s="17">
        <v>44412</v>
      </c>
      <c r="Y1907" s="17">
        <v>44936</v>
      </c>
      <c r="Z1907" s="19" t="s">
        <v>772</v>
      </c>
      <c r="AA1907" s="210">
        <v>44732</v>
      </c>
      <c r="AB1907" s="9">
        <v>73</v>
      </c>
      <c r="AC1907" s="9">
        <v>56</v>
      </c>
      <c r="AD1907" s="17">
        <v>46116</v>
      </c>
      <c r="AE1907" s="56">
        <v>500</v>
      </c>
      <c r="AF1907" s="56"/>
      <c r="AW1907" s="9"/>
      <c r="BD1907" s="9"/>
      <c r="CS1907" s="11">
        <f t="shared" si="132"/>
        <v>0</v>
      </c>
      <c r="CT1907" s="22">
        <f t="shared" si="133"/>
        <v>0</v>
      </c>
      <c r="CU1907" s="22">
        <f t="shared" si="134"/>
        <v>0</v>
      </c>
      <c r="CV1907" s="26">
        <f t="shared" si="131"/>
        <v>500</v>
      </c>
    </row>
    <row r="1908" spans="1:100" x14ac:dyDescent="0.2">
      <c r="A1908" s="9" t="s">
        <v>482</v>
      </c>
      <c r="B1908" s="2">
        <v>107</v>
      </c>
      <c r="C1908" s="3" t="s">
        <v>95</v>
      </c>
      <c r="D1908" s="3" t="s">
        <v>96</v>
      </c>
      <c r="E1908" s="2" t="s">
        <v>486</v>
      </c>
      <c r="F1908" s="2">
        <v>2</v>
      </c>
      <c r="G1908" s="2" t="s">
        <v>79</v>
      </c>
      <c r="H1908" s="2">
        <v>5</v>
      </c>
      <c r="I1908" s="8">
        <v>136.85</v>
      </c>
      <c r="J1908" s="8">
        <v>42499</v>
      </c>
      <c r="K1908" s="3">
        <v>0</v>
      </c>
      <c r="L1908" s="3" t="s">
        <v>3</v>
      </c>
      <c r="M1908" s="9" t="s">
        <v>0</v>
      </c>
      <c r="N1908" s="9" t="s">
        <v>39</v>
      </c>
      <c r="O1908" s="9" t="s">
        <v>483</v>
      </c>
      <c r="P1908" s="9" t="s">
        <v>0</v>
      </c>
      <c r="Q1908" s="30" t="s">
        <v>484</v>
      </c>
      <c r="R1908" s="9" t="s">
        <v>485</v>
      </c>
      <c r="S1908" s="9" t="s">
        <v>158</v>
      </c>
      <c r="T1908" s="10" t="s">
        <v>79</v>
      </c>
      <c r="U1908" s="10">
        <v>5</v>
      </c>
      <c r="V1908" s="10">
        <v>130.13</v>
      </c>
      <c r="W1908" s="10"/>
      <c r="X1908" s="17">
        <v>44412</v>
      </c>
      <c r="Y1908" s="17">
        <v>44936</v>
      </c>
      <c r="Z1908" s="19" t="s">
        <v>772</v>
      </c>
      <c r="AA1908" s="210">
        <v>44732</v>
      </c>
      <c r="AB1908" s="9">
        <v>73</v>
      </c>
      <c r="AC1908" s="9">
        <v>57</v>
      </c>
      <c r="AD1908" s="17">
        <v>46146</v>
      </c>
      <c r="AE1908" s="56">
        <v>500</v>
      </c>
      <c r="AF1908" s="56"/>
      <c r="AW1908" s="9"/>
      <c r="BD1908" s="9"/>
      <c r="CS1908" s="11">
        <f t="shared" si="132"/>
        <v>0</v>
      </c>
      <c r="CT1908" s="22">
        <f t="shared" si="133"/>
        <v>0</v>
      </c>
      <c r="CU1908" s="22">
        <f t="shared" si="134"/>
        <v>0</v>
      </c>
      <c r="CV1908" s="26">
        <f t="shared" si="131"/>
        <v>500</v>
      </c>
    </row>
    <row r="1909" spans="1:100" x14ac:dyDescent="0.2">
      <c r="A1909" s="9" t="s">
        <v>482</v>
      </c>
      <c r="B1909" s="2">
        <v>107</v>
      </c>
      <c r="C1909" s="3" t="s">
        <v>95</v>
      </c>
      <c r="D1909" s="3" t="s">
        <v>96</v>
      </c>
      <c r="E1909" s="2" t="s">
        <v>486</v>
      </c>
      <c r="F1909" s="2">
        <v>2</v>
      </c>
      <c r="G1909" s="2" t="s">
        <v>79</v>
      </c>
      <c r="H1909" s="2">
        <v>5</v>
      </c>
      <c r="I1909" s="8">
        <v>136.85</v>
      </c>
      <c r="J1909" s="8">
        <v>42499</v>
      </c>
      <c r="K1909" s="3">
        <v>0</v>
      </c>
      <c r="L1909" s="3" t="s">
        <v>3</v>
      </c>
      <c r="M1909" s="9" t="s">
        <v>0</v>
      </c>
      <c r="N1909" s="9" t="s">
        <v>39</v>
      </c>
      <c r="O1909" s="9" t="s">
        <v>483</v>
      </c>
      <c r="P1909" s="9" t="s">
        <v>0</v>
      </c>
      <c r="Q1909" s="30" t="s">
        <v>484</v>
      </c>
      <c r="R1909" s="9" t="s">
        <v>485</v>
      </c>
      <c r="S1909" s="9" t="s">
        <v>158</v>
      </c>
      <c r="T1909" s="10" t="s">
        <v>79</v>
      </c>
      <c r="U1909" s="10">
        <v>5</v>
      </c>
      <c r="V1909" s="10">
        <v>130.13</v>
      </c>
      <c r="W1909" s="10"/>
      <c r="X1909" s="17">
        <v>44412</v>
      </c>
      <c r="Y1909" s="17">
        <v>44936</v>
      </c>
      <c r="Z1909" s="19" t="s">
        <v>772</v>
      </c>
      <c r="AA1909" s="210">
        <v>44732</v>
      </c>
      <c r="AB1909" s="9">
        <v>73</v>
      </c>
      <c r="AC1909" s="9">
        <v>58</v>
      </c>
      <c r="AD1909" s="17">
        <v>46177</v>
      </c>
      <c r="AE1909" s="56">
        <v>500</v>
      </c>
      <c r="AF1909" s="56"/>
      <c r="AW1909" s="9"/>
      <c r="BD1909" s="9"/>
      <c r="CS1909" s="11">
        <f t="shared" si="132"/>
        <v>0</v>
      </c>
      <c r="CT1909" s="22">
        <f t="shared" si="133"/>
        <v>0</v>
      </c>
      <c r="CU1909" s="22">
        <f t="shared" si="134"/>
        <v>0</v>
      </c>
      <c r="CV1909" s="26">
        <f t="shared" si="131"/>
        <v>500</v>
      </c>
    </row>
    <row r="1910" spans="1:100" x14ac:dyDescent="0.2">
      <c r="A1910" s="9" t="s">
        <v>482</v>
      </c>
      <c r="B1910" s="2">
        <v>107</v>
      </c>
      <c r="C1910" s="3" t="s">
        <v>95</v>
      </c>
      <c r="D1910" s="3" t="s">
        <v>96</v>
      </c>
      <c r="E1910" s="2" t="s">
        <v>486</v>
      </c>
      <c r="F1910" s="2">
        <v>2</v>
      </c>
      <c r="G1910" s="2" t="s">
        <v>79</v>
      </c>
      <c r="H1910" s="2">
        <v>5</v>
      </c>
      <c r="I1910" s="8">
        <v>136.85</v>
      </c>
      <c r="J1910" s="8">
        <v>42499</v>
      </c>
      <c r="K1910" s="3">
        <v>0</v>
      </c>
      <c r="L1910" s="3" t="s">
        <v>3</v>
      </c>
      <c r="M1910" s="9" t="s">
        <v>0</v>
      </c>
      <c r="N1910" s="9" t="s">
        <v>39</v>
      </c>
      <c r="O1910" s="9" t="s">
        <v>483</v>
      </c>
      <c r="P1910" s="9" t="s">
        <v>0</v>
      </c>
      <c r="Q1910" s="30" t="s">
        <v>484</v>
      </c>
      <c r="R1910" s="9" t="s">
        <v>485</v>
      </c>
      <c r="S1910" s="9" t="s">
        <v>158</v>
      </c>
      <c r="T1910" s="10" t="s">
        <v>79</v>
      </c>
      <c r="U1910" s="10">
        <v>5</v>
      </c>
      <c r="V1910" s="10">
        <v>130.13</v>
      </c>
      <c r="W1910" s="10"/>
      <c r="X1910" s="17">
        <v>44412</v>
      </c>
      <c r="Y1910" s="17">
        <v>44936</v>
      </c>
      <c r="Z1910" s="19" t="s">
        <v>772</v>
      </c>
      <c r="AA1910" s="210">
        <v>44732</v>
      </c>
      <c r="AB1910" s="9">
        <v>73</v>
      </c>
      <c r="AC1910" s="9">
        <v>59</v>
      </c>
      <c r="AD1910" s="17">
        <v>46207</v>
      </c>
      <c r="AE1910" s="56">
        <v>500</v>
      </c>
      <c r="AF1910" s="56"/>
      <c r="AW1910" s="9"/>
      <c r="BD1910" s="9"/>
      <c r="CS1910" s="11">
        <f t="shared" si="132"/>
        <v>0</v>
      </c>
      <c r="CT1910" s="22">
        <f t="shared" si="133"/>
        <v>0</v>
      </c>
      <c r="CU1910" s="22">
        <f t="shared" si="134"/>
        <v>0</v>
      </c>
      <c r="CV1910" s="26">
        <f t="shared" si="131"/>
        <v>500</v>
      </c>
    </row>
    <row r="1911" spans="1:100" x14ac:dyDescent="0.2">
      <c r="A1911" s="9" t="s">
        <v>482</v>
      </c>
      <c r="B1911" s="2">
        <v>107</v>
      </c>
      <c r="C1911" s="3" t="s">
        <v>95</v>
      </c>
      <c r="D1911" s="3" t="s">
        <v>96</v>
      </c>
      <c r="E1911" s="2" t="s">
        <v>486</v>
      </c>
      <c r="F1911" s="2">
        <v>2</v>
      </c>
      <c r="G1911" s="2" t="s">
        <v>79</v>
      </c>
      <c r="H1911" s="2">
        <v>5</v>
      </c>
      <c r="I1911" s="8">
        <v>136.85</v>
      </c>
      <c r="J1911" s="8">
        <v>42499</v>
      </c>
      <c r="K1911" s="3">
        <v>0</v>
      </c>
      <c r="L1911" s="3" t="s">
        <v>3</v>
      </c>
      <c r="M1911" s="9" t="s">
        <v>0</v>
      </c>
      <c r="N1911" s="9" t="s">
        <v>39</v>
      </c>
      <c r="O1911" s="9" t="s">
        <v>483</v>
      </c>
      <c r="P1911" s="9" t="s">
        <v>0</v>
      </c>
      <c r="Q1911" s="30" t="s">
        <v>484</v>
      </c>
      <c r="R1911" s="9" t="s">
        <v>485</v>
      </c>
      <c r="S1911" s="9" t="s">
        <v>158</v>
      </c>
      <c r="T1911" s="10" t="s">
        <v>79</v>
      </c>
      <c r="U1911" s="10">
        <v>5</v>
      </c>
      <c r="V1911" s="10">
        <v>130.13</v>
      </c>
      <c r="W1911" s="10"/>
      <c r="X1911" s="17">
        <v>44412</v>
      </c>
      <c r="Y1911" s="17">
        <v>44936</v>
      </c>
      <c r="Z1911" s="19" t="s">
        <v>772</v>
      </c>
      <c r="AA1911" s="210">
        <v>44732</v>
      </c>
      <c r="AB1911" s="9">
        <v>73</v>
      </c>
      <c r="AC1911" s="9">
        <v>60</v>
      </c>
      <c r="AD1911" s="17">
        <v>46238</v>
      </c>
      <c r="AE1911" s="56">
        <v>500</v>
      </c>
      <c r="AF1911" s="56"/>
      <c r="AW1911" s="9"/>
      <c r="BD1911" s="9"/>
      <c r="CS1911" s="11">
        <f t="shared" si="132"/>
        <v>0</v>
      </c>
      <c r="CT1911" s="22">
        <f t="shared" si="133"/>
        <v>0</v>
      </c>
      <c r="CU1911" s="22">
        <f t="shared" si="134"/>
        <v>0</v>
      </c>
      <c r="CV1911" s="26">
        <f t="shared" si="131"/>
        <v>500</v>
      </c>
    </row>
    <row r="1912" spans="1:100" x14ac:dyDescent="0.2">
      <c r="A1912" s="9" t="s">
        <v>482</v>
      </c>
      <c r="B1912" s="2">
        <v>107</v>
      </c>
      <c r="C1912" s="3" t="s">
        <v>95</v>
      </c>
      <c r="D1912" s="3" t="s">
        <v>96</v>
      </c>
      <c r="E1912" s="2" t="s">
        <v>486</v>
      </c>
      <c r="F1912" s="2">
        <v>2</v>
      </c>
      <c r="G1912" s="2" t="s">
        <v>79</v>
      </c>
      <c r="H1912" s="2">
        <v>5</v>
      </c>
      <c r="I1912" s="8">
        <v>136.85</v>
      </c>
      <c r="J1912" s="8">
        <v>42499</v>
      </c>
      <c r="K1912" s="3">
        <v>0</v>
      </c>
      <c r="L1912" s="3" t="s">
        <v>3</v>
      </c>
      <c r="M1912" s="9" t="s">
        <v>0</v>
      </c>
      <c r="N1912" s="9" t="s">
        <v>39</v>
      </c>
      <c r="O1912" s="9" t="s">
        <v>483</v>
      </c>
      <c r="P1912" s="9" t="s">
        <v>0</v>
      </c>
      <c r="Q1912" s="30" t="s">
        <v>484</v>
      </c>
      <c r="R1912" s="9" t="s">
        <v>485</v>
      </c>
      <c r="S1912" s="9" t="s">
        <v>158</v>
      </c>
      <c r="T1912" s="10" t="s">
        <v>79</v>
      </c>
      <c r="U1912" s="10">
        <v>5</v>
      </c>
      <c r="V1912" s="10">
        <v>130.13</v>
      </c>
      <c r="W1912" s="10"/>
      <c r="X1912" s="17">
        <v>44412</v>
      </c>
      <c r="Y1912" s="17">
        <v>44936</v>
      </c>
      <c r="Z1912" s="19" t="s">
        <v>772</v>
      </c>
      <c r="AA1912" s="210">
        <v>44732</v>
      </c>
      <c r="AB1912" s="9">
        <v>73</v>
      </c>
      <c r="AC1912" s="9">
        <v>61</v>
      </c>
      <c r="AD1912" s="17">
        <v>46269</v>
      </c>
      <c r="AE1912" s="56">
        <v>600</v>
      </c>
      <c r="AF1912" s="56"/>
      <c r="AW1912" s="9"/>
      <c r="BD1912" s="9"/>
      <c r="CS1912" s="11">
        <f t="shared" si="132"/>
        <v>0</v>
      </c>
      <c r="CT1912" s="22">
        <f t="shared" si="133"/>
        <v>0</v>
      </c>
      <c r="CU1912" s="22">
        <f t="shared" si="134"/>
        <v>0</v>
      </c>
      <c r="CV1912" s="26">
        <f t="shared" si="131"/>
        <v>600</v>
      </c>
    </row>
    <row r="1913" spans="1:100" x14ac:dyDescent="0.2">
      <c r="A1913" s="9" t="s">
        <v>482</v>
      </c>
      <c r="B1913" s="2">
        <v>107</v>
      </c>
      <c r="C1913" s="3" t="s">
        <v>95</v>
      </c>
      <c r="D1913" s="3" t="s">
        <v>96</v>
      </c>
      <c r="E1913" s="2" t="s">
        <v>486</v>
      </c>
      <c r="F1913" s="2">
        <v>2</v>
      </c>
      <c r="G1913" s="2" t="s">
        <v>79</v>
      </c>
      <c r="H1913" s="2">
        <v>5</v>
      </c>
      <c r="I1913" s="8">
        <v>136.85</v>
      </c>
      <c r="J1913" s="8">
        <v>42499</v>
      </c>
      <c r="K1913" s="3">
        <v>0</v>
      </c>
      <c r="L1913" s="3" t="s">
        <v>3</v>
      </c>
      <c r="M1913" s="9" t="s">
        <v>0</v>
      </c>
      <c r="N1913" s="9" t="s">
        <v>39</v>
      </c>
      <c r="O1913" s="9" t="s">
        <v>483</v>
      </c>
      <c r="P1913" s="9" t="s">
        <v>0</v>
      </c>
      <c r="Q1913" s="30" t="s">
        <v>484</v>
      </c>
      <c r="R1913" s="9" t="s">
        <v>485</v>
      </c>
      <c r="S1913" s="9" t="s">
        <v>158</v>
      </c>
      <c r="T1913" s="10" t="s">
        <v>79</v>
      </c>
      <c r="U1913" s="10">
        <v>5</v>
      </c>
      <c r="V1913" s="10">
        <v>130.13</v>
      </c>
      <c r="W1913" s="10"/>
      <c r="X1913" s="17">
        <v>44412</v>
      </c>
      <c r="Y1913" s="17">
        <v>44936</v>
      </c>
      <c r="Z1913" s="19" t="s">
        <v>772</v>
      </c>
      <c r="AA1913" s="210">
        <v>44732</v>
      </c>
      <c r="AB1913" s="9">
        <v>73</v>
      </c>
      <c r="AC1913" s="9">
        <v>62</v>
      </c>
      <c r="AD1913" s="17">
        <v>46299</v>
      </c>
      <c r="AE1913" s="56">
        <v>600</v>
      </c>
      <c r="AF1913" s="56"/>
      <c r="AW1913" s="9"/>
      <c r="BD1913" s="9"/>
      <c r="CS1913" s="11">
        <f t="shared" si="132"/>
        <v>0</v>
      </c>
      <c r="CT1913" s="22">
        <f t="shared" si="133"/>
        <v>0</v>
      </c>
      <c r="CU1913" s="22">
        <f t="shared" si="134"/>
        <v>0</v>
      </c>
      <c r="CV1913" s="26">
        <f t="shared" ref="CV1913:CV1976" si="135">+AE1913-AL1913-AT1913</f>
        <v>600</v>
      </c>
    </row>
    <row r="1914" spans="1:100" x14ac:dyDescent="0.2">
      <c r="A1914" s="9" t="s">
        <v>482</v>
      </c>
      <c r="B1914" s="2">
        <v>107</v>
      </c>
      <c r="C1914" s="3" t="s">
        <v>95</v>
      </c>
      <c r="D1914" s="3" t="s">
        <v>96</v>
      </c>
      <c r="E1914" s="2" t="s">
        <v>486</v>
      </c>
      <c r="F1914" s="2">
        <v>2</v>
      </c>
      <c r="G1914" s="2" t="s">
        <v>79</v>
      </c>
      <c r="H1914" s="2">
        <v>5</v>
      </c>
      <c r="I1914" s="8">
        <v>136.85</v>
      </c>
      <c r="J1914" s="8">
        <v>42499</v>
      </c>
      <c r="K1914" s="3">
        <v>0</v>
      </c>
      <c r="L1914" s="3" t="s">
        <v>3</v>
      </c>
      <c r="M1914" s="9" t="s">
        <v>0</v>
      </c>
      <c r="N1914" s="9" t="s">
        <v>39</v>
      </c>
      <c r="O1914" s="9" t="s">
        <v>483</v>
      </c>
      <c r="P1914" s="9" t="s">
        <v>0</v>
      </c>
      <c r="Q1914" s="30" t="s">
        <v>484</v>
      </c>
      <c r="R1914" s="9" t="s">
        <v>485</v>
      </c>
      <c r="S1914" s="9" t="s">
        <v>158</v>
      </c>
      <c r="T1914" s="10" t="s">
        <v>79</v>
      </c>
      <c r="U1914" s="10">
        <v>5</v>
      </c>
      <c r="V1914" s="10">
        <v>130.13</v>
      </c>
      <c r="W1914" s="10"/>
      <c r="X1914" s="17">
        <v>44412</v>
      </c>
      <c r="Y1914" s="17">
        <v>44936</v>
      </c>
      <c r="Z1914" s="19" t="s">
        <v>772</v>
      </c>
      <c r="AA1914" s="210">
        <v>44732</v>
      </c>
      <c r="AB1914" s="9">
        <v>73</v>
      </c>
      <c r="AC1914" s="9">
        <v>63</v>
      </c>
      <c r="AD1914" s="17">
        <v>46330</v>
      </c>
      <c r="AE1914" s="56">
        <v>600</v>
      </c>
      <c r="AF1914" s="56"/>
      <c r="AW1914" s="9"/>
      <c r="BD1914" s="9"/>
      <c r="CS1914" s="11">
        <f t="shared" si="132"/>
        <v>0</v>
      </c>
      <c r="CT1914" s="22">
        <f t="shared" si="133"/>
        <v>0</v>
      </c>
      <c r="CU1914" s="22">
        <f t="shared" si="134"/>
        <v>0</v>
      </c>
      <c r="CV1914" s="26">
        <f t="shared" si="135"/>
        <v>600</v>
      </c>
    </row>
    <row r="1915" spans="1:100" x14ac:dyDescent="0.2">
      <c r="A1915" s="9" t="s">
        <v>482</v>
      </c>
      <c r="B1915" s="2">
        <v>107</v>
      </c>
      <c r="C1915" s="3" t="s">
        <v>95</v>
      </c>
      <c r="D1915" s="3" t="s">
        <v>96</v>
      </c>
      <c r="E1915" s="2" t="s">
        <v>486</v>
      </c>
      <c r="F1915" s="2">
        <v>2</v>
      </c>
      <c r="G1915" s="2" t="s">
        <v>79</v>
      </c>
      <c r="H1915" s="2">
        <v>5</v>
      </c>
      <c r="I1915" s="8">
        <v>136.85</v>
      </c>
      <c r="J1915" s="8">
        <v>42499</v>
      </c>
      <c r="K1915" s="3">
        <v>0</v>
      </c>
      <c r="L1915" s="3" t="s">
        <v>3</v>
      </c>
      <c r="M1915" s="9" t="s">
        <v>0</v>
      </c>
      <c r="N1915" s="9" t="s">
        <v>39</v>
      </c>
      <c r="O1915" s="9" t="s">
        <v>483</v>
      </c>
      <c r="P1915" s="9" t="s">
        <v>0</v>
      </c>
      <c r="Q1915" s="30" t="s">
        <v>484</v>
      </c>
      <c r="R1915" s="9" t="s">
        <v>485</v>
      </c>
      <c r="S1915" s="9" t="s">
        <v>158</v>
      </c>
      <c r="T1915" s="10" t="s">
        <v>79</v>
      </c>
      <c r="U1915" s="10">
        <v>5</v>
      </c>
      <c r="V1915" s="10">
        <v>130.13</v>
      </c>
      <c r="W1915" s="10"/>
      <c r="X1915" s="17">
        <v>44412</v>
      </c>
      <c r="Y1915" s="17">
        <v>44936</v>
      </c>
      <c r="Z1915" s="19" t="s">
        <v>772</v>
      </c>
      <c r="AA1915" s="210">
        <v>44732</v>
      </c>
      <c r="AB1915" s="9">
        <v>73</v>
      </c>
      <c r="AC1915" s="9">
        <v>64</v>
      </c>
      <c r="AD1915" s="17">
        <v>46360</v>
      </c>
      <c r="AE1915" s="56">
        <v>600</v>
      </c>
      <c r="AF1915" s="56"/>
      <c r="AW1915" s="9"/>
      <c r="BD1915" s="9"/>
      <c r="CS1915" s="11">
        <f t="shared" si="132"/>
        <v>0</v>
      </c>
      <c r="CT1915" s="22">
        <f t="shared" si="133"/>
        <v>0</v>
      </c>
      <c r="CU1915" s="22">
        <f t="shared" si="134"/>
        <v>0</v>
      </c>
      <c r="CV1915" s="26">
        <f t="shared" si="135"/>
        <v>600</v>
      </c>
    </row>
    <row r="1916" spans="1:100" x14ac:dyDescent="0.2">
      <c r="A1916" s="9" t="s">
        <v>482</v>
      </c>
      <c r="B1916" s="2">
        <v>107</v>
      </c>
      <c r="C1916" s="3" t="s">
        <v>95</v>
      </c>
      <c r="D1916" s="3" t="s">
        <v>96</v>
      </c>
      <c r="E1916" s="2" t="s">
        <v>486</v>
      </c>
      <c r="F1916" s="2">
        <v>2</v>
      </c>
      <c r="G1916" s="2" t="s">
        <v>79</v>
      </c>
      <c r="H1916" s="2">
        <v>5</v>
      </c>
      <c r="I1916" s="8">
        <v>136.85</v>
      </c>
      <c r="J1916" s="8">
        <v>42499</v>
      </c>
      <c r="K1916" s="3">
        <v>0</v>
      </c>
      <c r="L1916" s="3" t="s">
        <v>3</v>
      </c>
      <c r="M1916" s="9" t="s">
        <v>0</v>
      </c>
      <c r="N1916" s="9" t="s">
        <v>39</v>
      </c>
      <c r="O1916" s="9" t="s">
        <v>483</v>
      </c>
      <c r="P1916" s="9" t="s">
        <v>0</v>
      </c>
      <c r="Q1916" s="30" t="s">
        <v>484</v>
      </c>
      <c r="R1916" s="9" t="s">
        <v>485</v>
      </c>
      <c r="S1916" s="9" t="s">
        <v>158</v>
      </c>
      <c r="T1916" s="10" t="s">
        <v>79</v>
      </c>
      <c r="U1916" s="10">
        <v>5</v>
      </c>
      <c r="V1916" s="10">
        <v>130.13</v>
      </c>
      <c r="W1916" s="10"/>
      <c r="X1916" s="17">
        <v>44412</v>
      </c>
      <c r="Y1916" s="17">
        <v>44936</v>
      </c>
      <c r="Z1916" s="19" t="s">
        <v>772</v>
      </c>
      <c r="AA1916" s="210">
        <v>44732</v>
      </c>
      <c r="AB1916" s="9">
        <v>73</v>
      </c>
      <c r="AC1916" s="9">
        <v>65</v>
      </c>
      <c r="AD1916" s="17">
        <v>46391</v>
      </c>
      <c r="AE1916" s="56">
        <v>600</v>
      </c>
      <c r="AF1916" s="56"/>
      <c r="AW1916" s="9"/>
      <c r="BD1916" s="9"/>
      <c r="CS1916" s="11">
        <f t="shared" si="132"/>
        <v>0</v>
      </c>
      <c r="CT1916" s="22">
        <f t="shared" si="133"/>
        <v>0</v>
      </c>
      <c r="CU1916" s="22">
        <f t="shared" si="134"/>
        <v>0</v>
      </c>
      <c r="CV1916" s="26">
        <f t="shared" si="135"/>
        <v>600</v>
      </c>
    </row>
    <row r="1917" spans="1:100" x14ac:dyDescent="0.2">
      <c r="A1917" s="9" t="s">
        <v>482</v>
      </c>
      <c r="B1917" s="2">
        <v>107</v>
      </c>
      <c r="C1917" s="3" t="s">
        <v>95</v>
      </c>
      <c r="D1917" s="3" t="s">
        <v>96</v>
      </c>
      <c r="E1917" s="2" t="s">
        <v>486</v>
      </c>
      <c r="F1917" s="2">
        <v>2</v>
      </c>
      <c r="G1917" s="2" t="s">
        <v>79</v>
      </c>
      <c r="H1917" s="2">
        <v>5</v>
      </c>
      <c r="I1917" s="8">
        <v>136.85</v>
      </c>
      <c r="J1917" s="8">
        <v>42499</v>
      </c>
      <c r="K1917" s="3">
        <v>0</v>
      </c>
      <c r="L1917" s="3" t="s">
        <v>3</v>
      </c>
      <c r="M1917" s="9" t="s">
        <v>0</v>
      </c>
      <c r="N1917" s="9" t="s">
        <v>39</v>
      </c>
      <c r="O1917" s="9" t="s">
        <v>483</v>
      </c>
      <c r="P1917" s="9" t="s">
        <v>0</v>
      </c>
      <c r="Q1917" s="30" t="s">
        <v>484</v>
      </c>
      <c r="R1917" s="9" t="s">
        <v>485</v>
      </c>
      <c r="S1917" s="9" t="s">
        <v>158</v>
      </c>
      <c r="T1917" s="10" t="s">
        <v>79</v>
      </c>
      <c r="U1917" s="10">
        <v>5</v>
      </c>
      <c r="V1917" s="10">
        <v>130.13</v>
      </c>
      <c r="W1917" s="10"/>
      <c r="X1917" s="17">
        <v>44412</v>
      </c>
      <c r="Y1917" s="17">
        <v>44936</v>
      </c>
      <c r="Z1917" s="19" t="s">
        <v>772</v>
      </c>
      <c r="AA1917" s="210">
        <v>44732</v>
      </c>
      <c r="AB1917" s="9">
        <v>73</v>
      </c>
      <c r="AC1917" s="9">
        <v>66</v>
      </c>
      <c r="AD1917" s="17">
        <v>46422</v>
      </c>
      <c r="AE1917" s="56">
        <v>600</v>
      </c>
      <c r="AF1917" s="56"/>
      <c r="AW1917" s="9"/>
      <c r="BD1917" s="9"/>
      <c r="CS1917" s="11">
        <f t="shared" ref="CS1917:CS1980" si="136">+AL1917+AT1917</f>
        <v>0</v>
      </c>
      <c r="CT1917" s="22">
        <f t="shared" ref="CT1917:CT1980" si="137">+BA1917+BG1917+BM1917+BS1917+BY1917+CE1917+CK1917+CQ1917</f>
        <v>0</v>
      </c>
      <c r="CU1917" s="22">
        <f t="shared" ref="CU1917:CU1980" si="138">+CS1917-CT1917</f>
        <v>0</v>
      </c>
      <c r="CV1917" s="26">
        <f t="shared" si="135"/>
        <v>600</v>
      </c>
    </row>
    <row r="1918" spans="1:100" x14ac:dyDescent="0.2">
      <c r="A1918" s="9" t="s">
        <v>482</v>
      </c>
      <c r="B1918" s="2">
        <v>107</v>
      </c>
      <c r="C1918" s="3" t="s">
        <v>95</v>
      </c>
      <c r="D1918" s="3" t="s">
        <v>96</v>
      </c>
      <c r="E1918" s="2" t="s">
        <v>486</v>
      </c>
      <c r="F1918" s="2">
        <v>2</v>
      </c>
      <c r="G1918" s="2" t="s">
        <v>79</v>
      </c>
      <c r="H1918" s="2">
        <v>5</v>
      </c>
      <c r="I1918" s="8">
        <v>136.85</v>
      </c>
      <c r="J1918" s="8">
        <v>42499</v>
      </c>
      <c r="K1918" s="3">
        <v>0</v>
      </c>
      <c r="L1918" s="3" t="s">
        <v>3</v>
      </c>
      <c r="M1918" s="9" t="s">
        <v>0</v>
      </c>
      <c r="N1918" s="9" t="s">
        <v>39</v>
      </c>
      <c r="O1918" s="9" t="s">
        <v>483</v>
      </c>
      <c r="P1918" s="9" t="s">
        <v>0</v>
      </c>
      <c r="Q1918" s="30" t="s">
        <v>484</v>
      </c>
      <c r="R1918" s="9" t="s">
        <v>485</v>
      </c>
      <c r="S1918" s="9" t="s">
        <v>158</v>
      </c>
      <c r="T1918" s="10" t="s">
        <v>79</v>
      </c>
      <c r="U1918" s="10">
        <v>5</v>
      </c>
      <c r="V1918" s="10">
        <v>130.13</v>
      </c>
      <c r="W1918" s="10"/>
      <c r="X1918" s="17">
        <v>44412</v>
      </c>
      <c r="Y1918" s="17">
        <v>44936</v>
      </c>
      <c r="Z1918" s="19" t="s">
        <v>772</v>
      </c>
      <c r="AA1918" s="210">
        <v>44732</v>
      </c>
      <c r="AB1918" s="9">
        <v>73</v>
      </c>
      <c r="AC1918" s="9">
        <v>67</v>
      </c>
      <c r="AD1918" s="17">
        <v>46450</v>
      </c>
      <c r="AE1918" s="56">
        <v>600</v>
      </c>
      <c r="AF1918" s="56"/>
      <c r="AW1918" s="9"/>
      <c r="BD1918" s="9"/>
      <c r="CS1918" s="11">
        <f t="shared" si="136"/>
        <v>0</v>
      </c>
      <c r="CT1918" s="22">
        <f t="shared" si="137"/>
        <v>0</v>
      </c>
      <c r="CU1918" s="22">
        <f t="shared" si="138"/>
        <v>0</v>
      </c>
      <c r="CV1918" s="26">
        <f t="shared" si="135"/>
        <v>600</v>
      </c>
    </row>
    <row r="1919" spans="1:100" x14ac:dyDescent="0.2">
      <c r="A1919" s="9" t="s">
        <v>482</v>
      </c>
      <c r="B1919" s="2">
        <v>107</v>
      </c>
      <c r="C1919" s="3" t="s">
        <v>95</v>
      </c>
      <c r="D1919" s="3" t="s">
        <v>96</v>
      </c>
      <c r="E1919" s="2" t="s">
        <v>486</v>
      </c>
      <c r="F1919" s="2">
        <v>2</v>
      </c>
      <c r="G1919" s="2" t="s">
        <v>79</v>
      </c>
      <c r="H1919" s="2">
        <v>5</v>
      </c>
      <c r="I1919" s="8">
        <v>136.85</v>
      </c>
      <c r="J1919" s="8">
        <v>42499</v>
      </c>
      <c r="K1919" s="3">
        <v>0</v>
      </c>
      <c r="L1919" s="3" t="s">
        <v>3</v>
      </c>
      <c r="M1919" s="9" t="s">
        <v>0</v>
      </c>
      <c r="N1919" s="9" t="s">
        <v>39</v>
      </c>
      <c r="O1919" s="9" t="s">
        <v>483</v>
      </c>
      <c r="P1919" s="9" t="s">
        <v>0</v>
      </c>
      <c r="Q1919" s="30" t="s">
        <v>484</v>
      </c>
      <c r="R1919" s="9" t="s">
        <v>485</v>
      </c>
      <c r="S1919" s="9" t="s">
        <v>158</v>
      </c>
      <c r="T1919" s="10" t="s">
        <v>79</v>
      </c>
      <c r="U1919" s="10">
        <v>5</v>
      </c>
      <c r="V1919" s="10">
        <v>130.13</v>
      </c>
      <c r="W1919" s="10"/>
      <c r="X1919" s="17">
        <v>44412</v>
      </c>
      <c r="Y1919" s="17">
        <v>44936</v>
      </c>
      <c r="Z1919" s="19" t="s">
        <v>772</v>
      </c>
      <c r="AA1919" s="210">
        <v>44732</v>
      </c>
      <c r="AB1919" s="9">
        <v>73</v>
      </c>
      <c r="AC1919" s="9">
        <v>68</v>
      </c>
      <c r="AD1919" s="17">
        <v>46481</v>
      </c>
      <c r="AE1919" s="56">
        <v>600</v>
      </c>
      <c r="AF1919" s="56"/>
      <c r="AW1919" s="9"/>
      <c r="BD1919" s="9"/>
      <c r="CS1919" s="11">
        <f t="shared" si="136"/>
        <v>0</v>
      </c>
      <c r="CT1919" s="22">
        <f t="shared" si="137"/>
        <v>0</v>
      </c>
      <c r="CU1919" s="22">
        <f t="shared" si="138"/>
        <v>0</v>
      </c>
      <c r="CV1919" s="26">
        <f t="shared" si="135"/>
        <v>600</v>
      </c>
    </row>
    <row r="1920" spans="1:100" x14ac:dyDescent="0.2">
      <c r="A1920" s="9" t="s">
        <v>482</v>
      </c>
      <c r="B1920" s="2">
        <v>107</v>
      </c>
      <c r="C1920" s="3" t="s">
        <v>95</v>
      </c>
      <c r="D1920" s="3" t="s">
        <v>96</v>
      </c>
      <c r="E1920" s="2" t="s">
        <v>486</v>
      </c>
      <c r="F1920" s="2">
        <v>2</v>
      </c>
      <c r="G1920" s="2" t="s">
        <v>79</v>
      </c>
      <c r="H1920" s="2">
        <v>5</v>
      </c>
      <c r="I1920" s="8">
        <v>136.85</v>
      </c>
      <c r="J1920" s="8">
        <v>42499</v>
      </c>
      <c r="K1920" s="3">
        <v>0</v>
      </c>
      <c r="L1920" s="3" t="s">
        <v>3</v>
      </c>
      <c r="M1920" s="9" t="s">
        <v>0</v>
      </c>
      <c r="N1920" s="9" t="s">
        <v>39</v>
      </c>
      <c r="O1920" s="9" t="s">
        <v>483</v>
      </c>
      <c r="P1920" s="9" t="s">
        <v>0</v>
      </c>
      <c r="Q1920" s="30" t="s">
        <v>484</v>
      </c>
      <c r="R1920" s="9" t="s">
        <v>485</v>
      </c>
      <c r="S1920" s="9" t="s">
        <v>158</v>
      </c>
      <c r="T1920" s="10" t="s">
        <v>79</v>
      </c>
      <c r="U1920" s="10">
        <v>5</v>
      </c>
      <c r="V1920" s="10">
        <v>130.13</v>
      </c>
      <c r="W1920" s="10"/>
      <c r="X1920" s="17">
        <v>44412</v>
      </c>
      <c r="Y1920" s="17">
        <v>44936</v>
      </c>
      <c r="Z1920" s="19" t="s">
        <v>772</v>
      </c>
      <c r="AA1920" s="210">
        <v>44732</v>
      </c>
      <c r="AB1920" s="9">
        <v>73</v>
      </c>
      <c r="AC1920" s="9">
        <v>69</v>
      </c>
      <c r="AD1920" s="17">
        <v>46511</v>
      </c>
      <c r="AE1920" s="56">
        <v>600</v>
      </c>
      <c r="AF1920" s="56"/>
      <c r="AW1920" s="9"/>
      <c r="BD1920" s="9"/>
      <c r="CS1920" s="11">
        <f t="shared" si="136"/>
        <v>0</v>
      </c>
      <c r="CT1920" s="22">
        <f t="shared" si="137"/>
        <v>0</v>
      </c>
      <c r="CU1920" s="22">
        <f t="shared" si="138"/>
        <v>0</v>
      </c>
      <c r="CV1920" s="26">
        <f t="shared" si="135"/>
        <v>600</v>
      </c>
    </row>
    <row r="1921" spans="1:100" x14ac:dyDescent="0.2">
      <c r="A1921" s="9" t="s">
        <v>482</v>
      </c>
      <c r="B1921" s="2">
        <v>107</v>
      </c>
      <c r="C1921" s="3" t="s">
        <v>95</v>
      </c>
      <c r="D1921" s="3" t="s">
        <v>96</v>
      </c>
      <c r="E1921" s="2" t="s">
        <v>486</v>
      </c>
      <c r="F1921" s="2">
        <v>2</v>
      </c>
      <c r="G1921" s="2" t="s">
        <v>79</v>
      </c>
      <c r="H1921" s="2">
        <v>5</v>
      </c>
      <c r="I1921" s="8">
        <v>136.85</v>
      </c>
      <c r="J1921" s="8">
        <v>42499</v>
      </c>
      <c r="K1921" s="3">
        <v>0</v>
      </c>
      <c r="L1921" s="3" t="s">
        <v>3</v>
      </c>
      <c r="M1921" s="9" t="s">
        <v>0</v>
      </c>
      <c r="N1921" s="9" t="s">
        <v>39</v>
      </c>
      <c r="O1921" s="9" t="s">
        <v>483</v>
      </c>
      <c r="P1921" s="9" t="s">
        <v>0</v>
      </c>
      <c r="Q1921" s="30" t="s">
        <v>484</v>
      </c>
      <c r="R1921" s="9" t="s">
        <v>485</v>
      </c>
      <c r="S1921" s="9" t="s">
        <v>158</v>
      </c>
      <c r="T1921" s="10" t="s">
        <v>79</v>
      </c>
      <c r="U1921" s="10">
        <v>5</v>
      </c>
      <c r="V1921" s="10">
        <v>130.13</v>
      </c>
      <c r="W1921" s="10"/>
      <c r="X1921" s="17">
        <v>44412</v>
      </c>
      <c r="Y1921" s="17">
        <v>44936</v>
      </c>
      <c r="Z1921" s="19" t="s">
        <v>772</v>
      </c>
      <c r="AA1921" s="210">
        <v>44732</v>
      </c>
      <c r="AB1921" s="9">
        <v>73</v>
      </c>
      <c r="AC1921" s="9">
        <v>70</v>
      </c>
      <c r="AD1921" s="17">
        <v>46542</v>
      </c>
      <c r="AE1921" s="56">
        <v>600</v>
      </c>
      <c r="AF1921" s="56"/>
      <c r="AW1921" s="9"/>
      <c r="BD1921" s="9"/>
      <c r="CS1921" s="11">
        <f t="shared" si="136"/>
        <v>0</v>
      </c>
      <c r="CT1921" s="22">
        <f t="shared" si="137"/>
        <v>0</v>
      </c>
      <c r="CU1921" s="22">
        <f t="shared" si="138"/>
        <v>0</v>
      </c>
      <c r="CV1921" s="26">
        <f t="shared" si="135"/>
        <v>600</v>
      </c>
    </row>
    <row r="1922" spans="1:100" x14ac:dyDescent="0.2">
      <c r="A1922" s="9" t="s">
        <v>482</v>
      </c>
      <c r="B1922" s="2">
        <v>107</v>
      </c>
      <c r="C1922" s="3" t="s">
        <v>95</v>
      </c>
      <c r="D1922" s="3" t="s">
        <v>96</v>
      </c>
      <c r="E1922" s="2" t="s">
        <v>486</v>
      </c>
      <c r="F1922" s="2">
        <v>2</v>
      </c>
      <c r="G1922" s="2" t="s">
        <v>79</v>
      </c>
      <c r="H1922" s="2">
        <v>5</v>
      </c>
      <c r="I1922" s="8">
        <v>136.85</v>
      </c>
      <c r="J1922" s="8">
        <v>42499</v>
      </c>
      <c r="K1922" s="3">
        <v>0</v>
      </c>
      <c r="L1922" s="3" t="s">
        <v>3</v>
      </c>
      <c r="M1922" s="9" t="s">
        <v>0</v>
      </c>
      <c r="N1922" s="9" t="s">
        <v>39</v>
      </c>
      <c r="O1922" s="9" t="s">
        <v>483</v>
      </c>
      <c r="P1922" s="9" t="s">
        <v>0</v>
      </c>
      <c r="Q1922" s="30" t="s">
        <v>484</v>
      </c>
      <c r="R1922" s="9" t="s">
        <v>485</v>
      </c>
      <c r="S1922" s="9" t="s">
        <v>158</v>
      </c>
      <c r="T1922" s="10" t="s">
        <v>79</v>
      </c>
      <c r="U1922" s="10">
        <v>5</v>
      </c>
      <c r="V1922" s="10">
        <v>130.13</v>
      </c>
      <c r="W1922" s="10"/>
      <c r="X1922" s="17">
        <v>44412</v>
      </c>
      <c r="Y1922" s="17">
        <v>44936</v>
      </c>
      <c r="Z1922" s="19" t="s">
        <v>772</v>
      </c>
      <c r="AA1922" s="210">
        <v>44732</v>
      </c>
      <c r="AB1922" s="9">
        <v>73</v>
      </c>
      <c r="AC1922" s="9">
        <v>71</v>
      </c>
      <c r="AD1922" s="17">
        <v>46572</v>
      </c>
      <c r="AE1922" s="56">
        <v>600</v>
      </c>
      <c r="AF1922" s="64"/>
      <c r="AW1922" s="9"/>
      <c r="BD1922" s="9"/>
      <c r="CS1922" s="11">
        <f t="shared" si="136"/>
        <v>0</v>
      </c>
      <c r="CT1922" s="22">
        <f t="shared" si="137"/>
        <v>0</v>
      </c>
      <c r="CU1922" s="22">
        <f t="shared" si="138"/>
        <v>0</v>
      </c>
      <c r="CV1922" s="26">
        <f t="shared" si="135"/>
        <v>600</v>
      </c>
    </row>
    <row r="1923" spans="1:100" x14ac:dyDescent="0.2">
      <c r="A1923" s="9" t="s">
        <v>482</v>
      </c>
      <c r="B1923" s="2">
        <v>107</v>
      </c>
      <c r="C1923" s="3" t="s">
        <v>95</v>
      </c>
      <c r="D1923" s="3" t="s">
        <v>96</v>
      </c>
      <c r="E1923" s="2" t="s">
        <v>486</v>
      </c>
      <c r="F1923" s="2">
        <v>2</v>
      </c>
      <c r="G1923" s="2" t="s">
        <v>79</v>
      </c>
      <c r="H1923" s="2">
        <v>5</v>
      </c>
      <c r="I1923" s="8">
        <v>136.85</v>
      </c>
      <c r="J1923" s="8">
        <v>42499</v>
      </c>
      <c r="K1923" s="3">
        <v>0</v>
      </c>
      <c r="L1923" s="3" t="s">
        <v>3</v>
      </c>
      <c r="M1923" s="9" t="s">
        <v>0</v>
      </c>
      <c r="N1923" s="9" t="s">
        <v>39</v>
      </c>
      <c r="O1923" s="9" t="s">
        <v>483</v>
      </c>
      <c r="P1923" s="9" t="s">
        <v>0</v>
      </c>
      <c r="Q1923" s="30" t="s">
        <v>484</v>
      </c>
      <c r="R1923" s="9" t="s">
        <v>485</v>
      </c>
      <c r="S1923" s="9" t="s">
        <v>158</v>
      </c>
      <c r="T1923" s="10" t="s">
        <v>79</v>
      </c>
      <c r="U1923" s="10">
        <v>5</v>
      </c>
      <c r="V1923" s="10">
        <v>130.13</v>
      </c>
      <c r="W1923" s="10"/>
      <c r="X1923" s="17">
        <v>44412</v>
      </c>
      <c r="Y1923" s="17">
        <v>44936</v>
      </c>
      <c r="Z1923" s="19" t="s">
        <v>772</v>
      </c>
      <c r="AA1923" s="210">
        <v>44732</v>
      </c>
      <c r="AB1923" s="9">
        <v>73</v>
      </c>
      <c r="AC1923" s="9">
        <v>72</v>
      </c>
      <c r="AD1923" s="17">
        <v>46603</v>
      </c>
      <c r="AE1923" s="56">
        <v>632</v>
      </c>
      <c r="AF1923" s="56"/>
      <c r="AW1923" s="9"/>
      <c r="BD1923" s="9"/>
      <c r="CS1923" s="11">
        <f t="shared" si="136"/>
        <v>0</v>
      </c>
      <c r="CT1923" s="22">
        <f t="shared" si="137"/>
        <v>0</v>
      </c>
      <c r="CU1923" s="22">
        <f t="shared" si="138"/>
        <v>0</v>
      </c>
      <c r="CV1923" s="26">
        <f t="shared" si="135"/>
        <v>632</v>
      </c>
    </row>
    <row r="1924" spans="1:100" x14ac:dyDescent="0.2">
      <c r="A1924" s="9" t="s">
        <v>482</v>
      </c>
      <c r="B1924" s="2">
        <v>107</v>
      </c>
      <c r="C1924" s="3" t="s">
        <v>95</v>
      </c>
      <c r="D1924" s="3" t="s">
        <v>96</v>
      </c>
      <c r="E1924" s="2" t="s">
        <v>486</v>
      </c>
      <c r="F1924" s="2">
        <v>2</v>
      </c>
      <c r="G1924" s="2" t="s">
        <v>79</v>
      </c>
      <c r="H1924" s="2">
        <v>5</v>
      </c>
      <c r="I1924" s="8">
        <v>136.85</v>
      </c>
      <c r="J1924" s="8">
        <v>42499</v>
      </c>
      <c r="K1924" s="3">
        <v>0</v>
      </c>
      <c r="L1924" s="3" t="s">
        <v>3</v>
      </c>
      <c r="M1924" s="9" t="s">
        <v>0</v>
      </c>
      <c r="N1924" s="9" t="s">
        <v>39</v>
      </c>
      <c r="O1924" s="9" t="s">
        <v>483</v>
      </c>
      <c r="P1924" s="9" t="s">
        <v>0</v>
      </c>
      <c r="Q1924" s="30" t="s">
        <v>484</v>
      </c>
      <c r="R1924" s="9" t="s">
        <v>485</v>
      </c>
      <c r="S1924" s="9" t="s">
        <v>487</v>
      </c>
      <c r="V1924" s="10">
        <v>12.5</v>
      </c>
      <c r="W1924" s="10"/>
      <c r="X1924" s="17">
        <v>44412</v>
      </c>
      <c r="Y1924" s="17">
        <v>44936</v>
      </c>
      <c r="Z1924" s="19" t="s">
        <v>772</v>
      </c>
      <c r="AA1924" s="210">
        <v>5000</v>
      </c>
      <c r="AB1924" s="9">
        <v>44</v>
      </c>
      <c r="AC1924" s="9">
        <v>0</v>
      </c>
      <c r="AD1924" s="17">
        <v>44412</v>
      </c>
      <c r="AE1924" s="56">
        <v>1000</v>
      </c>
      <c r="AF1924" s="56"/>
      <c r="AG1924" s="10" t="s">
        <v>134</v>
      </c>
      <c r="AH1924" s="18">
        <v>44413</v>
      </c>
      <c r="AI1924" s="18"/>
      <c r="AJ1924" s="18"/>
      <c r="AK1924" s="10" t="s">
        <v>520</v>
      </c>
      <c r="AL1924" s="22">
        <f>+AM1924/4.1</f>
        <v>1000.0000000000001</v>
      </c>
      <c r="AM1924" s="66">
        <v>4100</v>
      </c>
      <c r="AN1924" s="11" t="s">
        <v>1563</v>
      </c>
      <c r="AW1924" s="18">
        <v>44412</v>
      </c>
      <c r="AX1924" s="9">
        <v>206</v>
      </c>
      <c r="BA1924" s="11">
        <v>1000</v>
      </c>
      <c r="BD1924" s="9"/>
      <c r="CS1924" s="11">
        <f t="shared" si="136"/>
        <v>1000.0000000000001</v>
      </c>
      <c r="CT1924" s="22">
        <f t="shared" si="137"/>
        <v>1000</v>
      </c>
      <c r="CU1924" s="22">
        <f t="shared" si="138"/>
        <v>0</v>
      </c>
      <c r="CV1924" s="26">
        <f t="shared" si="135"/>
        <v>-1.1368683772161603E-13</v>
      </c>
    </row>
    <row r="1925" spans="1:100" x14ac:dyDescent="0.2">
      <c r="A1925" s="9" t="s">
        <v>482</v>
      </c>
      <c r="B1925" s="2">
        <v>107</v>
      </c>
      <c r="C1925" s="3" t="s">
        <v>95</v>
      </c>
      <c r="D1925" s="3" t="s">
        <v>96</v>
      </c>
      <c r="E1925" s="2" t="s">
        <v>486</v>
      </c>
      <c r="F1925" s="2">
        <v>2</v>
      </c>
      <c r="G1925" s="2" t="s">
        <v>79</v>
      </c>
      <c r="H1925" s="2">
        <v>5</v>
      </c>
      <c r="I1925" s="8">
        <v>136.85</v>
      </c>
      <c r="J1925" s="8">
        <v>42499</v>
      </c>
      <c r="K1925" s="3">
        <v>0</v>
      </c>
      <c r="L1925" s="3" t="s">
        <v>3</v>
      </c>
      <c r="M1925" s="9" t="s">
        <v>0</v>
      </c>
      <c r="N1925" s="9" t="s">
        <v>39</v>
      </c>
      <c r="O1925" s="9" t="s">
        <v>483</v>
      </c>
      <c r="P1925" s="9" t="s">
        <v>0</v>
      </c>
      <c r="Q1925" s="30" t="s">
        <v>484</v>
      </c>
      <c r="R1925" s="9" t="s">
        <v>485</v>
      </c>
      <c r="S1925" s="9" t="s">
        <v>487</v>
      </c>
      <c r="V1925" s="10">
        <v>12.5</v>
      </c>
      <c r="W1925" s="10"/>
      <c r="X1925" s="17">
        <v>44412</v>
      </c>
      <c r="Y1925" s="17">
        <v>44936</v>
      </c>
      <c r="Z1925" s="19" t="s">
        <v>772</v>
      </c>
      <c r="AA1925" s="210">
        <v>5000</v>
      </c>
      <c r="AB1925" s="9">
        <v>44</v>
      </c>
      <c r="AC1925" s="9">
        <v>1</v>
      </c>
      <c r="AD1925" s="17">
        <v>44930</v>
      </c>
      <c r="AE1925" s="56">
        <v>355.52</v>
      </c>
      <c r="AF1925" s="127"/>
      <c r="AG1925" s="10" t="s">
        <v>134</v>
      </c>
      <c r="AH1925" s="131">
        <v>44949</v>
      </c>
      <c r="AI1925" s="131"/>
      <c r="AJ1925" s="131"/>
      <c r="AK1925" s="132" t="s">
        <v>516</v>
      </c>
      <c r="AL1925" s="22">
        <v>355.52</v>
      </c>
      <c r="AM1925" s="22"/>
      <c r="AN1925" s="22" t="s">
        <v>1581</v>
      </c>
      <c r="AO1925" s="22"/>
      <c r="AW1925" s="18">
        <v>44943</v>
      </c>
      <c r="AX1925" s="9">
        <v>1160</v>
      </c>
      <c r="BA1925" s="11">
        <v>355.52</v>
      </c>
      <c r="BD1925" s="9"/>
      <c r="CS1925" s="11">
        <f t="shared" si="136"/>
        <v>355.52</v>
      </c>
      <c r="CT1925" s="22">
        <f t="shared" si="137"/>
        <v>355.52</v>
      </c>
      <c r="CU1925" s="22">
        <f t="shared" si="138"/>
        <v>0</v>
      </c>
      <c r="CV1925" s="26">
        <f t="shared" si="135"/>
        <v>0</v>
      </c>
    </row>
    <row r="1926" spans="1:100" x14ac:dyDescent="0.2">
      <c r="A1926" s="9" t="s">
        <v>482</v>
      </c>
      <c r="B1926" s="2">
        <v>107</v>
      </c>
      <c r="C1926" s="3" t="s">
        <v>95</v>
      </c>
      <c r="D1926" s="3" t="s">
        <v>96</v>
      </c>
      <c r="E1926" s="2" t="s">
        <v>486</v>
      </c>
      <c r="F1926" s="2">
        <v>2</v>
      </c>
      <c r="G1926" s="2" t="s">
        <v>79</v>
      </c>
      <c r="H1926" s="2">
        <v>5</v>
      </c>
      <c r="I1926" s="8">
        <v>136.85</v>
      </c>
      <c r="J1926" s="8">
        <v>42499</v>
      </c>
      <c r="K1926" s="3">
        <v>0</v>
      </c>
      <c r="L1926" s="3" t="s">
        <v>3</v>
      </c>
      <c r="M1926" s="9" t="s">
        <v>0</v>
      </c>
      <c r="N1926" s="9" t="s">
        <v>39</v>
      </c>
      <c r="O1926" s="9" t="s">
        <v>483</v>
      </c>
      <c r="P1926" s="9" t="s">
        <v>0</v>
      </c>
      <c r="Q1926" s="30" t="s">
        <v>484</v>
      </c>
      <c r="R1926" s="9" t="s">
        <v>485</v>
      </c>
      <c r="S1926" s="9" t="s">
        <v>487</v>
      </c>
      <c r="V1926" s="10">
        <v>12.5</v>
      </c>
      <c r="W1926" s="10"/>
      <c r="X1926" s="17">
        <v>44412</v>
      </c>
      <c r="Y1926" s="17">
        <v>44936</v>
      </c>
      <c r="Z1926" s="19" t="s">
        <v>772</v>
      </c>
      <c r="AA1926" s="210">
        <v>5000</v>
      </c>
      <c r="AB1926" s="9">
        <v>44</v>
      </c>
      <c r="AC1926" s="9">
        <v>2</v>
      </c>
      <c r="AD1926" s="17">
        <v>44961</v>
      </c>
      <c r="AE1926" s="56">
        <v>355.52</v>
      </c>
      <c r="AF1926" s="127"/>
      <c r="AG1926" s="10" t="s">
        <v>134</v>
      </c>
      <c r="AH1926" s="131">
        <v>44979</v>
      </c>
      <c r="AI1926" s="131"/>
      <c r="AJ1926" s="131"/>
      <c r="AK1926" s="128" t="s">
        <v>515</v>
      </c>
      <c r="AL1926" s="22">
        <v>355.52</v>
      </c>
      <c r="AM1926" s="22"/>
      <c r="AN1926" s="22" t="s">
        <v>1584</v>
      </c>
      <c r="AO1926" s="129"/>
      <c r="AP1926" s="130"/>
      <c r="AQ1926" s="130"/>
      <c r="AR1926" s="130"/>
      <c r="AS1926" s="120"/>
      <c r="AT1926" s="120"/>
      <c r="AU1926" s="120"/>
      <c r="AV1926" s="120"/>
      <c r="AW1926" s="18">
        <v>44977</v>
      </c>
      <c r="AX1926" s="9">
        <v>1234</v>
      </c>
      <c r="BA1926" s="11">
        <v>355.52</v>
      </c>
      <c r="BD1926" s="9"/>
      <c r="CS1926" s="11">
        <f t="shared" si="136"/>
        <v>355.52</v>
      </c>
      <c r="CT1926" s="22">
        <f t="shared" si="137"/>
        <v>355.52</v>
      </c>
      <c r="CU1926" s="22">
        <f t="shared" si="138"/>
        <v>0</v>
      </c>
      <c r="CV1926" s="26">
        <f t="shared" si="135"/>
        <v>0</v>
      </c>
    </row>
    <row r="1927" spans="1:100" x14ac:dyDescent="0.2">
      <c r="A1927" s="9" t="s">
        <v>482</v>
      </c>
      <c r="B1927" s="2">
        <v>107</v>
      </c>
      <c r="C1927" s="3" t="s">
        <v>95</v>
      </c>
      <c r="D1927" s="3" t="s">
        <v>96</v>
      </c>
      <c r="E1927" s="2" t="s">
        <v>486</v>
      </c>
      <c r="F1927" s="2">
        <v>2</v>
      </c>
      <c r="G1927" s="2" t="s">
        <v>79</v>
      </c>
      <c r="H1927" s="2">
        <v>5</v>
      </c>
      <c r="I1927" s="8">
        <v>136.85</v>
      </c>
      <c r="J1927" s="8">
        <v>42499</v>
      </c>
      <c r="K1927" s="3">
        <v>0</v>
      </c>
      <c r="L1927" s="3" t="s">
        <v>3</v>
      </c>
      <c r="M1927" s="9" t="s">
        <v>0</v>
      </c>
      <c r="N1927" s="9" t="s">
        <v>39</v>
      </c>
      <c r="O1927" s="9" t="s">
        <v>483</v>
      </c>
      <c r="P1927" s="9" t="s">
        <v>0</v>
      </c>
      <c r="Q1927" s="30" t="s">
        <v>484</v>
      </c>
      <c r="R1927" s="9" t="s">
        <v>485</v>
      </c>
      <c r="S1927" s="9" t="s">
        <v>487</v>
      </c>
      <c r="V1927" s="10">
        <v>12.5</v>
      </c>
      <c r="W1927" s="10"/>
      <c r="X1927" s="17">
        <v>44412</v>
      </c>
      <c r="Y1927" s="17">
        <v>44936</v>
      </c>
      <c r="Z1927" s="19" t="s">
        <v>772</v>
      </c>
      <c r="AA1927" s="210">
        <v>5000</v>
      </c>
      <c r="AB1927" s="9">
        <v>44</v>
      </c>
      <c r="AC1927" s="9">
        <v>3</v>
      </c>
      <c r="AD1927" s="17">
        <v>44989</v>
      </c>
      <c r="AE1927" s="56">
        <v>355.52</v>
      </c>
      <c r="AF1927" s="127"/>
      <c r="AG1927" s="10" t="s">
        <v>134</v>
      </c>
      <c r="AH1927" s="131">
        <v>44989</v>
      </c>
      <c r="AI1927" s="131"/>
      <c r="AJ1927" s="131"/>
      <c r="AK1927" s="128" t="s">
        <v>1647</v>
      </c>
      <c r="AL1927" s="22">
        <v>355.52</v>
      </c>
      <c r="AM1927" s="22"/>
      <c r="AN1927" s="22" t="s">
        <v>1586</v>
      </c>
      <c r="AO1927" s="22"/>
      <c r="AP1927" s="127"/>
      <c r="AQ1927" s="127"/>
      <c r="AR1927" s="127"/>
      <c r="AS1927" s="22"/>
      <c r="AT1927" s="22"/>
      <c r="AU1927" s="22"/>
      <c r="AV1927" s="22"/>
      <c r="AW1927" s="18">
        <v>44989</v>
      </c>
      <c r="AX1927" s="9">
        <v>1291</v>
      </c>
      <c r="BA1927" s="22">
        <v>355.52</v>
      </c>
      <c r="BD1927" s="9"/>
      <c r="CS1927" s="11">
        <f t="shared" si="136"/>
        <v>355.52</v>
      </c>
      <c r="CT1927" s="22">
        <f t="shared" si="137"/>
        <v>355.52</v>
      </c>
      <c r="CU1927" s="22">
        <f t="shared" si="138"/>
        <v>0</v>
      </c>
      <c r="CV1927" s="26">
        <f t="shared" si="135"/>
        <v>0</v>
      </c>
    </row>
    <row r="1928" spans="1:100" ht="12.75" x14ac:dyDescent="0.2">
      <c r="A1928" s="9" t="s">
        <v>482</v>
      </c>
      <c r="B1928" s="2">
        <v>107</v>
      </c>
      <c r="C1928" s="3" t="s">
        <v>95</v>
      </c>
      <c r="D1928" s="3" t="s">
        <v>96</v>
      </c>
      <c r="E1928" s="2" t="s">
        <v>486</v>
      </c>
      <c r="F1928" s="2">
        <v>2</v>
      </c>
      <c r="G1928" s="2" t="s">
        <v>79</v>
      </c>
      <c r="H1928" s="2">
        <v>5</v>
      </c>
      <c r="I1928" s="8">
        <v>136.85</v>
      </c>
      <c r="J1928" s="8">
        <v>42499</v>
      </c>
      <c r="K1928" s="3">
        <v>0</v>
      </c>
      <c r="L1928" s="3" t="s">
        <v>3</v>
      </c>
      <c r="M1928" s="9" t="s">
        <v>0</v>
      </c>
      <c r="N1928" s="9" t="s">
        <v>39</v>
      </c>
      <c r="O1928" s="9" t="s">
        <v>483</v>
      </c>
      <c r="P1928" s="9" t="s">
        <v>0</v>
      </c>
      <c r="Q1928" s="30" t="s">
        <v>484</v>
      </c>
      <c r="R1928" s="9" t="s">
        <v>485</v>
      </c>
      <c r="S1928" s="9" t="s">
        <v>487</v>
      </c>
      <c r="V1928" s="10">
        <v>12.5</v>
      </c>
      <c r="W1928" s="10"/>
      <c r="X1928" s="17">
        <v>44412</v>
      </c>
      <c r="Y1928" s="17">
        <v>44936</v>
      </c>
      <c r="Z1928" s="19" t="s">
        <v>772</v>
      </c>
      <c r="AA1928" s="210">
        <v>5000</v>
      </c>
      <c r="AB1928" s="9">
        <v>44</v>
      </c>
      <c r="AC1928" s="9">
        <v>4</v>
      </c>
      <c r="AD1928" s="17">
        <v>45020</v>
      </c>
      <c r="AE1928" s="56">
        <v>266.64</v>
      </c>
      <c r="AF1928" s="64"/>
      <c r="AG1928" s="10" t="s">
        <v>134</v>
      </c>
      <c r="AH1928" s="133">
        <v>45041</v>
      </c>
      <c r="AI1928" s="133"/>
      <c r="AJ1928" s="133"/>
      <c r="AK1928" s="134" t="s">
        <v>517</v>
      </c>
      <c r="AL1928" s="11">
        <v>266.64</v>
      </c>
      <c r="AN1928" s="11" t="s">
        <v>1588</v>
      </c>
      <c r="AW1928" s="94">
        <v>45040</v>
      </c>
      <c r="AX1928" s="9">
        <v>1431</v>
      </c>
      <c r="BA1928" s="11">
        <v>266.64</v>
      </c>
      <c r="BD1928" s="9"/>
      <c r="CS1928" s="11">
        <f t="shared" si="136"/>
        <v>266.64</v>
      </c>
      <c r="CT1928" s="22">
        <f t="shared" si="137"/>
        <v>266.64</v>
      </c>
      <c r="CU1928" s="22">
        <f t="shared" si="138"/>
        <v>0</v>
      </c>
      <c r="CV1928" s="26">
        <f t="shared" si="135"/>
        <v>0</v>
      </c>
    </row>
    <row r="1929" spans="1:100" x14ac:dyDescent="0.2">
      <c r="A1929" s="9" t="s">
        <v>482</v>
      </c>
      <c r="B1929" s="2">
        <v>107</v>
      </c>
      <c r="C1929" s="3" t="s">
        <v>95</v>
      </c>
      <c r="D1929" s="3" t="s">
        <v>96</v>
      </c>
      <c r="E1929" s="2" t="s">
        <v>486</v>
      </c>
      <c r="F1929" s="2">
        <v>2</v>
      </c>
      <c r="G1929" s="2" t="s">
        <v>79</v>
      </c>
      <c r="H1929" s="2">
        <v>5</v>
      </c>
      <c r="I1929" s="8">
        <v>136.85</v>
      </c>
      <c r="J1929" s="8">
        <v>42499</v>
      </c>
      <c r="K1929" s="3">
        <v>0</v>
      </c>
      <c r="L1929" s="3" t="s">
        <v>3</v>
      </c>
      <c r="M1929" s="9" t="s">
        <v>0</v>
      </c>
      <c r="N1929" s="9" t="s">
        <v>39</v>
      </c>
      <c r="O1929" s="9" t="s">
        <v>483</v>
      </c>
      <c r="P1929" s="9" t="s">
        <v>0</v>
      </c>
      <c r="Q1929" s="30" t="s">
        <v>484</v>
      </c>
      <c r="R1929" s="9" t="s">
        <v>485</v>
      </c>
      <c r="S1929" s="9" t="s">
        <v>487</v>
      </c>
      <c r="V1929" s="10">
        <v>12.5</v>
      </c>
      <c r="W1929" s="10"/>
      <c r="X1929" s="17">
        <v>44412</v>
      </c>
      <c r="Y1929" s="17">
        <v>44936</v>
      </c>
      <c r="Z1929" s="19" t="s">
        <v>772</v>
      </c>
      <c r="AA1929" s="210">
        <v>5000</v>
      </c>
      <c r="AB1929" s="9">
        <v>44</v>
      </c>
      <c r="AC1929" s="9">
        <v>5</v>
      </c>
      <c r="AD1929" s="17">
        <v>45050</v>
      </c>
      <c r="AE1929" s="56">
        <v>66.66</v>
      </c>
      <c r="AF1929" s="64"/>
      <c r="AG1929" s="10" t="s">
        <v>134</v>
      </c>
      <c r="AH1929" s="133">
        <v>45083</v>
      </c>
      <c r="AI1929" s="133"/>
      <c r="AJ1929" s="133"/>
      <c r="AK1929" s="134" t="s">
        <v>518</v>
      </c>
      <c r="AL1929" s="11">
        <v>66.66</v>
      </c>
      <c r="AN1929" s="11" t="s">
        <v>1591</v>
      </c>
      <c r="AW1929" s="18">
        <v>45082</v>
      </c>
      <c r="AX1929" s="9">
        <v>1589</v>
      </c>
      <c r="BA1929" s="11">
        <v>66.66</v>
      </c>
      <c r="BD1929" s="9"/>
      <c r="CS1929" s="11">
        <f t="shared" si="136"/>
        <v>66.66</v>
      </c>
      <c r="CT1929" s="22">
        <f t="shared" si="137"/>
        <v>66.66</v>
      </c>
      <c r="CU1929" s="22">
        <f t="shared" si="138"/>
        <v>0</v>
      </c>
      <c r="CV1929" s="26">
        <f t="shared" si="135"/>
        <v>0</v>
      </c>
    </row>
    <row r="1930" spans="1:100" x14ac:dyDescent="0.2">
      <c r="A1930" s="9" t="s">
        <v>482</v>
      </c>
      <c r="B1930" s="2">
        <v>107</v>
      </c>
      <c r="C1930" s="3" t="s">
        <v>95</v>
      </c>
      <c r="D1930" s="3" t="s">
        <v>96</v>
      </c>
      <c r="E1930" s="2" t="s">
        <v>486</v>
      </c>
      <c r="F1930" s="2">
        <v>2</v>
      </c>
      <c r="G1930" s="2" t="s">
        <v>79</v>
      </c>
      <c r="H1930" s="2">
        <v>5</v>
      </c>
      <c r="I1930" s="8">
        <v>136.85</v>
      </c>
      <c r="J1930" s="8">
        <v>42499</v>
      </c>
      <c r="K1930" s="3">
        <v>0</v>
      </c>
      <c r="L1930" s="3" t="s">
        <v>3</v>
      </c>
      <c r="M1930" s="9" t="s">
        <v>0</v>
      </c>
      <c r="N1930" s="9" t="s">
        <v>39</v>
      </c>
      <c r="O1930" s="9" t="s">
        <v>483</v>
      </c>
      <c r="P1930" s="9" t="s">
        <v>0</v>
      </c>
      <c r="Q1930" s="30" t="s">
        <v>484</v>
      </c>
      <c r="R1930" s="9" t="s">
        <v>485</v>
      </c>
      <c r="S1930" s="9" t="s">
        <v>487</v>
      </c>
      <c r="V1930" s="10">
        <v>12.5</v>
      </c>
      <c r="W1930" s="10"/>
      <c r="X1930" s="17">
        <v>44412</v>
      </c>
      <c r="Y1930" s="17">
        <v>44936</v>
      </c>
      <c r="Z1930" s="19" t="s">
        <v>772</v>
      </c>
      <c r="AA1930" s="210">
        <v>5000</v>
      </c>
      <c r="AB1930" s="9">
        <v>44</v>
      </c>
      <c r="AC1930" s="9">
        <v>6</v>
      </c>
      <c r="AD1930" s="17">
        <v>45081</v>
      </c>
      <c r="AE1930" s="56">
        <v>66.66</v>
      </c>
      <c r="AF1930" s="64"/>
      <c r="AG1930" s="10" t="s">
        <v>134</v>
      </c>
      <c r="AH1930" s="133">
        <v>45083</v>
      </c>
      <c r="AI1930" s="133"/>
      <c r="AJ1930" s="133"/>
      <c r="AK1930" s="134" t="s">
        <v>519</v>
      </c>
      <c r="AL1930" s="11">
        <v>66.66</v>
      </c>
      <c r="AN1930" s="11" t="s">
        <v>1592</v>
      </c>
      <c r="AW1930" s="18">
        <v>45082</v>
      </c>
      <c r="AX1930" s="9">
        <v>1588</v>
      </c>
      <c r="BA1930" s="11">
        <v>66.66</v>
      </c>
      <c r="BD1930" s="9"/>
      <c r="CS1930" s="11">
        <f t="shared" si="136"/>
        <v>66.66</v>
      </c>
      <c r="CT1930" s="22">
        <f t="shared" si="137"/>
        <v>66.66</v>
      </c>
      <c r="CU1930" s="22">
        <f t="shared" si="138"/>
        <v>0</v>
      </c>
      <c r="CV1930" s="26">
        <f t="shared" si="135"/>
        <v>0</v>
      </c>
    </row>
    <row r="1931" spans="1:100" x14ac:dyDescent="0.2">
      <c r="A1931" s="9" t="s">
        <v>482</v>
      </c>
      <c r="B1931" s="2">
        <v>107</v>
      </c>
      <c r="C1931" s="3" t="s">
        <v>95</v>
      </c>
      <c r="D1931" s="3" t="s">
        <v>96</v>
      </c>
      <c r="E1931" s="2" t="s">
        <v>486</v>
      </c>
      <c r="F1931" s="2">
        <v>2</v>
      </c>
      <c r="G1931" s="2" t="s">
        <v>79</v>
      </c>
      <c r="H1931" s="2">
        <v>5</v>
      </c>
      <c r="I1931" s="8">
        <v>136.85</v>
      </c>
      <c r="J1931" s="8">
        <v>42499</v>
      </c>
      <c r="K1931" s="3">
        <v>0</v>
      </c>
      <c r="L1931" s="3" t="s">
        <v>3</v>
      </c>
      <c r="M1931" s="9" t="s">
        <v>0</v>
      </c>
      <c r="N1931" s="9" t="s">
        <v>39</v>
      </c>
      <c r="O1931" s="9" t="s">
        <v>483</v>
      </c>
      <c r="P1931" s="9" t="s">
        <v>0</v>
      </c>
      <c r="Q1931" s="30" t="s">
        <v>484</v>
      </c>
      <c r="R1931" s="9" t="s">
        <v>485</v>
      </c>
      <c r="S1931" s="9" t="s">
        <v>487</v>
      </c>
      <c r="V1931" s="10">
        <v>12.5</v>
      </c>
      <c r="W1931" s="10"/>
      <c r="X1931" s="17">
        <v>44412</v>
      </c>
      <c r="Y1931" s="17">
        <v>44936</v>
      </c>
      <c r="Z1931" s="19" t="s">
        <v>772</v>
      </c>
      <c r="AA1931" s="210">
        <v>5000</v>
      </c>
      <c r="AB1931" s="9">
        <v>44</v>
      </c>
      <c r="AC1931" s="9">
        <v>7</v>
      </c>
      <c r="AD1931" s="17">
        <v>45111</v>
      </c>
      <c r="AE1931" s="56">
        <v>66.66</v>
      </c>
      <c r="AF1931" s="64"/>
      <c r="AG1931" s="10" t="s">
        <v>134</v>
      </c>
      <c r="AH1931" s="133">
        <v>45124</v>
      </c>
      <c r="AI1931" s="133"/>
      <c r="AJ1931" s="133"/>
      <c r="AK1931" s="134" t="s">
        <v>1648</v>
      </c>
      <c r="AL1931" s="11">
        <v>66.66</v>
      </c>
      <c r="AN1931" s="11" t="s">
        <v>1593</v>
      </c>
      <c r="AW1931" s="18">
        <v>45121</v>
      </c>
      <c r="AX1931" s="140">
        <v>1706</v>
      </c>
      <c r="BA1931" s="11">
        <v>66.66</v>
      </c>
      <c r="BD1931" s="9"/>
      <c r="CS1931" s="11">
        <f t="shared" si="136"/>
        <v>66.66</v>
      </c>
      <c r="CT1931" s="22">
        <f t="shared" si="137"/>
        <v>66.66</v>
      </c>
      <c r="CU1931" s="22">
        <f t="shared" si="138"/>
        <v>0</v>
      </c>
      <c r="CV1931" s="26">
        <f t="shared" si="135"/>
        <v>0</v>
      </c>
    </row>
    <row r="1932" spans="1:100" x14ac:dyDescent="0.2">
      <c r="A1932" s="9" t="s">
        <v>482</v>
      </c>
      <c r="B1932" s="2">
        <v>107</v>
      </c>
      <c r="C1932" s="3" t="s">
        <v>95</v>
      </c>
      <c r="D1932" s="3" t="s">
        <v>96</v>
      </c>
      <c r="E1932" s="2" t="s">
        <v>486</v>
      </c>
      <c r="F1932" s="2">
        <v>2</v>
      </c>
      <c r="G1932" s="2" t="s">
        <v>79</v>
      </c>
      <c r="H1932" s="2">
        <v>5</v>
      </c>
      <c r="I1932" s="8">
        <v>136.85</v>
      </c>
      <c r="J1932" s="8">
        <v>42499</v>
      </c>
      <c r="K1932" s="3">
        <v>0</v>
      </c>
      <c r="L1932" s="3" t="s">
        <v>3</v>
      </c>
      <c r="M1932" s="9" t="s">
        <v>0</v>
      </c>
      <c r="N1932" s="9" t="s">
        <v>39</v>
      </c>
      <c r="O1932" s="9" t="s">
        <v>483</v>
      </c>
      <c r="P1932" s="9" t="s">
        <v>0</v>
      </c>
      <c r="Q1932" s="30" t="s">
        <v>484</v>
      </c>
      <c r="R1932" s="9" t="s">
        <v>485</v>
      </c>
      <c r="S1932" s="9" t="s">
        <v>487</v>
      </c>
      <c r="V1932" s="10">
        <v>12.5</v>
      </c>
      <c r="W1932" s="10"/>
      <c r="X1932" s="17">
        <v>44412</v>
      </c>
      <c r="Y1932" s="17">
        <v>44936</v>
      </c>
      <c r="Z1932" s="19" t="s">
        <v>772</v>
      </c>
      <c r="AA1932" s="210">
        <v>5000</v>
      </c>
      <c r="AB1932" s="9">
        <v>44</v>
      </c>
      <c r="AC1932" s="9">
        <v>8</v>
      </c>
      <c r="AD1932" s="17">
        <v>45142</v>
      </c>
      <c r="AE1932" s="56">
        <v>66.66</v>
      </c>
      <c r="AF1932" s="64"/>
      <c r="AG1932" s="10" t="s">
        <v>134</v>
      </c>
      <c r="AH1932" s="133">
        <v>45175</v>
      </c>
      <c r="AI1932" s="133"/>
      <c r="AJ1932" s="133"/>
      <c r="AK1932" s="134" t="s">
        <v>1649</v>
      </c>
      <c r="AL1932" s="11">
        <v>66.66</v>
      </c>
      <c r="AN1932" s="11" t="s">
        <v>1596</v>
      </c>
      <c r="AW1932" s="18">
        <v>45173</v>
      </c>
      <c r="AX1932" s="140">
        <v>1871</v>
      </c>
      <c r="BA1932" s="11">
        <v>66.66</v>
      </c>
      <c r="BD1932" s="9"/>
      <c r="CS1932" s="11">
        <f t="shared" si="136"/>
        <v>66.66</v>
      </c>
      <c r="CT1932" s="22">
        <f t="shared" si="137"/>
        <v>66.66</v>
      </c>
      <c r="CU1932" s="22">
        <f t="shared" si="138"/>
        <v>0</v>
      </c>
      <c r="CV1932" s="26">
        <f t="shared" si="135"/>
        <v>0</v>
      </c>
    </row>
    <row r="1933" spans="1:100" x14ac:dyDescent="0.2">
      <c r="A1933" s="9" t="s">
        <v>482</v>
      </c>
      <c r="B1933" s="2">
        <v>107</v>
      </c>
      <c r="C1933" s="3" t="s">
        <v>95</v>
      </c>
      <c r="D1933" s="3" t="s">
        <v>96</v>
      </c>
      <c r="E1933" s="2" t="s">
        <v>486</v>
      </c>
      <c r="F1933" s="2">
        <v>2</v>
      </c>
      <c r="G1933" s="2" t="s">
        <v>79</v>
      </c>
      <c r="H1933" s="2">
        <v>5</v>
      </c>
      <c r="I1933" s="8">
        <v>136.85</v>
      </c>
      <c r="J1933" s="8">
        <v>42499</v>
      </c>
      <c r="K1933" s="3">
        <v>0</v>
      </c>
      <c r="L1933" s="3" t="s">
        <v>3</v>
      </c>
      <c r="M1933" s="9" t="s">
        <v>0</v>
      </c>
      <c r="N1933" s="9" t="s">
        <v>39</v>
      </c>
      <c r="O1933" s="9" t="s">
        <v>483</v>
      </c>
      <c r="P1933" s="9" t="s">
        <v>0</v>
      </c>
      <c r="Q1933" s="30" t="s">
        <v>484</v>
      </c>
      <c r="R1933" s="9" t="s">
        <v>485</v>
      </c>
      <c r="S1933" s="9" t="s">
        <v>487</v>
      </c>
      <c r="V1933" s="10">
        <v>12.5</v>
      </c>
      <c r="W1933" s="10"/>
      <c r="X1933" s="17">
        <v>44412</v>
      </c>
      <c r="Y1933" s="17">
        <v>44936</v>
      </c>
      <c r="Z1933" s="19" t="s">
        <v>772</v>
      </c>
      <c r="AA1933" s="210">
        <v>5000</v>
      </c>
      <c r="AB1933" s="9">
        <v>44</v>
      </c>
      <c r="AC1933" s="9">
        <v>9</v>
      </c>
      <c r="AD1933" s="17">
        <v>45173</v>
      </c>
      <c r="AE1933" s="56">
        <v>66.66</v>
      </c>
      <c r="AF1933" s="64"/>
      <c r="AG1933" s="10" t="s">
        <v>134</v>
      </c>
      <c r="AH1933" s="133">
        <v>45175</v>
      </c>
      <c r="AI1933" s="133"/>
      <c r="AJ1933" s="133"/>
      <c r="AK1933" s="134" t="s">
        <v>1650</v>
      </c>
      <c r="AL1933" s="11">
        <v>66.66</v>
      </c>
      <c r="AN1933" s="11" t="s">
        <v>1597</v>
      </c>
      <c r="AW1933" s="18">
        <v>45173</v>
      </c>
      <c r="AX1933" s="140">
        <v>1870</v>
      </c>
      <c r="BA1933" s="11">
        <v>66.66</v>
      </c>
      <c r="BD1933" s="9"/>
      <c r="CS1933" s="11">
        <f t="shared" si="136"/>
        <v>66.66</v>
      </c>
      <c r="CT1933" s="22">
        <f t="shared" si="137"/>
        <v>66.66</v>
      </c>
      <c r="CU1933" s="22">
        <f t="shared" si="138"/>
        <v>0</v>
      </c>
      <c r="CV1933" s="26">
        <f t="shared" si="135"/>
        <v>0</v>
      </c>
    </row>
    <row r="1934" spans="1:100" x14ac:dyDescent="0.2">
      <c r="A1934" s="9" t="s">
        <v>482</v>
      </c>
      <c r="B1934" s="2">
        <v>107</v>
      </c>
      <c r="C1934" s="3" t="s">
        <v>95</v>
      </c>
      <c r="D1934" s="3" t="s">
        <v>96</v>
      </c>
      <c r="E1934" s="2" t="s">
        <v>486</v>
      </c>
      <c r="F1934" s="2">
        <v>2</v>
      </c>
      <c r="G1934" s="2" t="s">
        <v>79</v>
      </c>
      <c r="H1934" s="2">
        <v>5</v>
      </c>
      <c r="I1934" s="8">
        <v>136.85</v>
      </c>
      <c r="J1934" s="8">
        <v>42499</v>
      </c>
      <c r="K1934" s="3">
        <v>0</v>
      </c>
      <c r="L1934" s="3" t="s">
        <v>3</v>
      </c>
      <c r="M1934" s="9" t="s">
        <v>0</v>
      </c>
      <c r="N1934" s="9" t="s">
        <v>39</v>
      </c>
      <c r="O1934" s="9" t="s">
        <v>483</v>
      </c>
      <c r="P1934" s="9" t="s">
        <v>0</v>
      </c>
      <c r="Q1934" s="30" t="s">
        <v>484</v>
      </c>
      <c r="R1934" s="9" t="s">
        <v>485</v>
      </c>
      <c r="S1934" s="9" t="s">
        <v>487</v>
      </c>
      <c r="V1934" s="10">
        <v>12.5</v>
      </c>
      <c r="W1934" s="10"/>
      <c r="X1934" s="17">
        <v>44412</v>
      </c>
      <c r="Y1934" s="17">
        <v>44936</v>
      </c>
      <c r="Z1934" s="19" t="s">
        <v>772</v>
      </c>
      <c r="AA1934" s="210">
        <v>5000</v>
      </c>
      <c r="AB1934" s="9">
        <v>44</v>
      </c>
      <c r="AC1934" s="9">
        <v>10</v>
      </c>
      <c r="AD1934" s="17">
        <v>45203</v>
      </c>
      <c r="AE1934" s="56">
        <v>66.66</v>
      </c>
      <c r="AF1934" s="64"/>
      <c r="AG1934" s="10" t="s">
        <v>134</v>
      </c>
      <c r="AH1934" s="133">
        <v>45224</v>
      </c>
      <c r="AI1934" s="133"/>
      <c r="AJ1934" s="133"/>
      <c r="AK1934" s="134" t="s">
        <v>1651</v>
      </c>
      <c r="AL1934" s="11">
        <v>66.66</v>
      </c>
      <c r="AN1934" s="11" t="s">
        <v>1600</v>
      </c>
      <c r="AW1934" s="18">
        <v>45224</v>
      </c>
      <c r="AX1934" s="140">
        <v>1989</v>
      </c>
      <c r="BA1934" s="11">
        <v>66.66</v>
      </c>
      <c r="BD1934" s="9"/>
      <c r="CS1934" s="11">
        <f t="shared" si="136"/>
        <v>66.66</v>
      </c>
      <c r="CT1934" s="22">
        <f t="shared" si="137"/>
        <v>66.66</v>
      </c>
      <c r="CU1934" s="22">
        <f t="shared" si="138"/>
        <v>0</v>
      </c>
      <c r="CV1934" s="26">
        <f t="shared" si="135"/>
        <v>0</v>
      </c>
    </row>
    <row r="1935" spans="1:100" ht="12.75" x14ac:dyDescent="0.2">
      <c r="A1935" s="9" t="s">
        <v>482</v>
      </c>
      <c r="B1935" s="2">
        <v>107</v>
      </c>
      <c r="C1935" s="3" t="s">
        <v>95</v>
      </c>
      <c r="D1935" s="3" t="s">
        <v>96</v>
      </c>
      <c r="E1935" s="2" t="s">
        <v>486</v>
      </c>
      <c r="F1935" s="2">
        <v>2</v>
      </c>
      <c r="G1935" s="2" t="s">
        <v>79</v>
      </c>
      <c r="H1935" s="2">
        <v>5</v>
      </c>
      <c r="I1935" s="8">
        <v>136.85</v>
      </c>
      <c r="J1935" s="8">
        <v>42499</v>
      </c>
      <c r="K1935" s="3">
        <v>0</v>
      </c>
      <c r="L1935" s="3" t="s">
        <v>3</v>
      </c>
      <c r="M1935" s="9" t="s">
        <v>0</v>
      </c>
      <c r="N1935" s="9" t="s">
        <v>39</v>
      </c>
      <c r="O1935" s="9" t="s">
        <v>483</v>
      </c>
      <c r="P1935" s="9" t="s">
        <v>0</v>
      </c>
      <c r="Q1935" s="30" t="s">
        <v>484</v>
      </c>
      <c r="R1935" s="9" t="s">
        <v>485</v>
      </c>
      <c r="S1935" s="9" t="s">
        <v>487</v>
      </c>
      <c r="V1935" s="10">
        <v>12.5</v>
      </c>
      <c r="W1935" s="10"/>
      <c r="X1935" s="17">
        <v>44412</v>
      </c>
      <c r="Y1935" s="17">
        <v>44936</v>
      </c>
      <c r="Z1935" s="19" t="s">
        <v>772</v>
      </c>
      <c r="AA1935" s="210">
        <v>5000</v>
      </c>
      <c r="AB1935" s="9">
        <v>44</v>
      </c>
      <c r="AC1935" s="9">
        <v>11</v>
      </c>
      <c r="AD1935" s="17">
        <v>45234</v>
      </c>
      <c r="AE1935" s="56">
        <v>66.66</v>
      </c>
      <c r="AF1935" s="64"/>
      <c r="AG1935" s="10" t="s">
        <v>134</v>
      </c>
      <c r="AH1935" s="133">
        <v>45246</v>
      </c>
      <c r="AI1935" s="133"/>
      <c r="AJ1935" s="133"/>
      <c r="AK1935" s="134" t="s">
        <v>1652</v>
      </c>
      <c r="AL1935" s="11">
        <v>66.66</v>
      </c>
      <c r="AN1935" s="11" t="s">
        <v>1601</v>
      </c>
      <c r="AW1935" s="94">
        <v>45244</v>
      </c>
      <c r="AX1935" s="141">
        <v>2050</v>
      </c>
      <c r="BA1935" s="142">
        <v>66.66</v>
      </c>
      <c r="BD1935" s="9"/>
      <c r="CS1935" s="11">
        <f t="shared" si="136"/>
        <v>66.66</v>
      </c>
      <c r="CT1935" s="22">
        <f t="shared" si="137"/>
        <v>66.66</v>
      </c>
      <c r="CU1935" s="22">
        <f t="shared" si="138"/>
        <v>0</v>
      </c>
      <c r="CV1935" s="26">
        <f t="shared" si="135"/>
        <v>0</v>
      </c>
    </row>
    <row r="1936" spans="1:100" ht="12.75" x14ac:dyDescent="0.2">
      <c r="A1936" s="9" t="s">
        <v>482</v>
      </c>
      <c r="B1936" s="2">
        <v>107</v>
      </c>
      <c r="C1936" s="3" t="s">
        <v>95</v>
      </c>
      <c r="D1936" s="3" t="s">
        <v>96</v>
      </c>
      <c r="E1936" s="2" t="s">
        <v>486</v>
      </c>
      <c r="F1936" s="2">
        <v>2</v>
      </c>
      <c r="G1936" s="2" t="s">
        <v>79</v>
      </c>
      <c r="H1936" s="2">
        <v>5</v>
      </c>
      <c r="I1936" s="8">
        <v>136.85</v>
      </c>
      <c r="J1936" s="8">
        <v>42499</v>
      </c>
      <c r="K1936" s="3">
        <v>0</v>
      </c>
      <c r="L1936" s="3" t="s">
        <v>3</v>
      </c>
      <c r="M1936" s="9" t="s">
        <v>0</v>
      </c>
      <c r="N1936" s="9" t="s">
        <v>39</v>
      </c>
      <c r="O1936" s="9" t="s">
        <v>483</v>
      </c>
      <c r="P1936" s="9" t="s">
        <v>0</v>
      </c>
      <c r="Q1936" s="30" t="s">
        <v>484</v>
      </c>
      <c r="R1936" s="9" t="s">
        <v>485</v>
      </c>
      <c r="S1936" s="9" t="s">
        <v>487</v>
      </c>
      <c r="V1936" s="10">
        <v>12.5</v>
      </c>
      <c r="W1936" s="10"/>
      <c r="X1936" s="17">
        <v>44412</v>
      </c>
      <c r="Y1936" s="17">
        <v>44936</v>
      </c>
      <c r="Z1936" s="19" t="s">
        <v>772</v>
      </c>
      <c r="AA1936" s="210">
        <v>5000</v>
      </c>
      <c r="AB1936" s="9">
        <v>44</v>
      </c>
      <c r="AC1936" s="9">
        <v>12</v>
      </c>
      <c r="AD1936" s="17">
        <v>45264</v>
      </c>
      <c r="AE1936" s="56">
        <v>66.66</v>
      </c>
      <c r="AF1936" s="64"/>
      <c r="AG1936" s="10" t="s">
        <v>134</v>
      </c>
      <c r="AH1936" s="133">
        <v>45267</v>
      </c>
      <c r="AI1936" s="133"/>
      <c r="AJ1936" s="133"/>
      <c r="AK1936" s="134" t="s">
        <v>1653</v>
      </c>
      <c r="AL1936" s="11">
        <v>66.66</v>
      </c>
      <c r="AN1936" s="11" t="s">
        <v>1603</v>
      </c>
      <c r="AW1936" s="94">
        <v>45262</v>
      </c>
      <c r="AX1936" s="141">
        <v>2089</v>
      </c>
      <c r="BA1936" s="126">
        <v>66.66</v>
      </c>
      <c r="BD1936" s="9"/>
      <c r="CS1936" s="11">
        <f t="shared" si="136"/>
        <v>66.66</v>
      </c>
      <c r="CT1936" s="22">
        <f t="shared" si="137"/>
        <v>66.66</v>
      </c>
      <c r="CU1936" s="22">
        <f t="shared" si="138"/>
        <v>0</v>
      </c>
      <c r="CV1936" s="26">
        <f t="shared" si="135"/>
        <v>0</v>
      </c>
    </row>
    <row r="1937" spans="1:100" ht="12.75" x14ac:dyDescent="0.2">
      <c r="A1937" s="9" t="s">
        <v>482</v>
      </c>
      <c r="B1937" s="2">
        <v>107</v>
      </c>
      <c r="C1937" s="3" t="s">
        <v>95</v>
      </c>
      <c r="D1937" s="3" t="s">
        <v>96</v>
      </c>
      <c r="E1937" s="2" t="s">
        <v>486</v>
      </c>
      <c r="F1937" s="2">
        <v>2</v>
      </c>
      <c r="G1937" s="2" t="s">
        <v>79</v>
      </c>
      <c r="H1937" s="2">
        <v>5</v>
      </c>
      <c r="I1937" s="8">
        <v>136.85</v>
      </c>
      <c r="J1937" s="8">
        <v>42499</v>
      </c>
      <c r="K1937" s="3">
        <v>0</v>
      </c>
      <c r="L1937" s="3" t="s">
        <v>3</v>
      </c>
      <c r="M1937" s="9" t="s">
        <v>0</v>
      </c>
      <c r="N1937" s="9" t="s">
        <v>39</v>
      </c>
      <c r="O1937" s="9" t="s">
        <v>483</v>
      </c>
      <c r="P1937" s="9" t="s">
        <v>0</v>
      </c>
      <c r="Q1937" s="30" t="s">
        <v>484</v>
      </c>
      <c r="R1937" s="9" t="s">
        <v>485</v>
      </c>
      <c r="S1937" s="9" t="s">
        <v>487</v>
      </c>
      <c r="V1937" s="10">
        <v>12.5</v>
      </c>
      <c r="W1937" s="10"/>
      <c r="X1937" s="17">
        <v>44412</v>
      </c>
      <c r="Y1937" s="17">
        <v>44936</v>
      </c>
      <c r="Z1937" s="19" t="s">
        <v>772</v>
      </c>
      <c r="AA1937" s="210">
        <v>5000</v>
      </c>
      <c r="AB1937" s="9">
        <v>44</v>
      </c>
      <c r="AC1937" s="9">
        <v>13</v>
      </c>
      <c r="AD1937" s="17">
        <v>45295</v>
      </c>
      <c r="AE1937" s="56">
        <v>66.66</v>
      </c>
      <c r="AF1937" s="64"/>
      <c r="AG1937" s="10" t="s">
        <v>134</v>
      </c>
      <c r="AH1937" s="133">
        <v>45302</v>
      </c>
      <c r="AI1937" s="133"/>
      <c r="AJ1937" s="133"/>
      <c r="AK1937" s="134" t="s">
        <v>1654</v>
      </c>
      <c r="AL1937" s="11">
        <v>66.66</v>
      </c>
      <c r="AN1937" s="11" t="s">
        <v>1606</v>
      </c>
      <c r="AW1937" s="94">
        <v>45296</v>
      </c>
      <c r="AX1937" s="141">
        <v>2185</v>
      </c>
      <c r="BA1937" s="126">
        <v>66.66</v>
      </c>
      <c r="BD1937" s="9"/>
      <c r="CS1937" s="11">
        <f t="shared" si="136"/>
        <v>66.66</v>
      </c>
      <c r="CT1937" s="22">
        <f t="shared" si="137"/>
        <v>66.66</v>
      </c>
      <c r="CU1937" s="22">
        <f t="shared" si="138"/>
        <v>0</v>
      </c>
      <c r="CV1937" s="26">
        <f t="shared" si="135"/>
        <v>0</v>
      </c>
    </row>
    <row r="1938" spans="1:100" ht="12.75" x14ac:dyDescent="0.2">
      <c r="A1938" s="9" t="s">
        <v>482</v>
      </c>
      <c r="B1938" s="2">
        <v>107</v>
      </c>
      <c r="C1938" s="3" t="s">
        <v>95</v>
      </c>
      <c r="D1938" s="3" t="s">
        <v>96</v>
      </c>
      <c r="E1938" s="2" t="s">
        <v>486</v>
      </c>
      <c r="F1938" s="2">
        <v>2</v>
      </c>
      <c r="G1938" s="2" t="s">
        <v>79</v>
      </c>
      <c r="H1938" s="2">
        <v>5</v>
      </c>
      <c r="I1938" s="8">
        <v>136.85</v>
      </c>
      <c r="J1938" s="8">
        <v>42499</v>
      </c>
      <c r="K1938" s="3">
        <v>0</v>
      </c>
      <c r="L1938" s="3" t="s">
        <v>3</v>
      </c>
      <c r="M1938" s="9" t="s">
        <v>0</v>
      </c>
      <c r="N1938" s="9" t="s">
        <v>39</v>
      </c>
      <c r="O1938" s="9" t="s">
        <v>483</v>
      </c>
      <c r="P1938" s="9" t="s">
        <v>0</v>
      </c>
      <c r="Q1938" s="30" t="s">
        <v>484</v>
      </c>
      <c r="R1938" s="9" t="s">
        <v>485</v>
      </c>
      <c r="S1938" s="9" t="s">
        <v>487</v>
      </c>
      <c r="V1938" s="10">
        <v>12.5</v>
      </c>
      <c r="W1938" s="10"/>
      <c r="X1938" s="17">
        <v>44412</v>
      </c>
      <c r="Y1938" s="17">
        <v>44936</v>
      </c>
      <c r="Z1938" s="19" t="s">
        <v>772</v>
      </c>
      <c r="AA1938" s="210">
        <v>5000</v>
      </c>
      <c r="AB1938" s="9">
        <v>44</v>
      </c>
      <c r="AC1938" s="9">
        <v>14</v>
      </c>
      <c r="AD1938" s="17">
        <v>45326</v>
      </c>
      <c r="AE1938" s="56">
        <v>66.66</v>
      </c>
      <c r="AF1938" s="64"/>
      <c r="AG1938" s="10" t="s">
        <v>134</v>
      </c>
      <c r="AH1938" s="133">
        <v>45341</v>
      </c>
      <c r="AI1938" s="133"/>
      <c r="AJ1938" s="133"/>
      <c r="AK1938" s="134" t="s">
        <v>1655</v>
      </c>
      <c r="AL1938" s="11">
        <v>66.66</v>
      </c>
      <c r="AN1938" s="11" t="s">
        <v>1608</v>
      </c>
      <c r="AW1938" s="94">
        <v>45339</v>
      </c>
      <c r="AX1938" s="141">
        <v>2322</v>
      </c>
      <c r="BA1938" s="126">
        <v>66.66</v>
      </c>
      <c r="BD1938" s="9"/>
      <c r="CS1938" s="11">
        <f t="shared" si="136"/>
        <v>66.66</v>
      </c>
      <c r="CT1938" s="22">
        <f t="shared" si="137"/>
        <v>66.66</v>
      </c>
      <c r="CU1938" s="22">
        <f t="shared" si="138"/>
        <v>0</v>
      </c>
      <c r="CV1938" s="26">
        <f t="shared" si="135"/>
        <v>0</v>
      </c>
    </row>
    <row r="1939" spans="1:100" x14ac:dyDescent="0.2">
      <c r="A1939" s="9" t="s">
        <v>482</v>
      </c>
      <c r="B1939" s="2">
        <v>107</v>
      </c>
      <c r="C1939" s="3" t="s">
        <v>95</v>
      </c>
      <c r="D1939" s="3" t="s">
        <v>96</v>
      </c>
      <c r="E1939" s="2" t="s">
        <v>486</v>
      </c>
      <c r="F1939" s="2">
        <v>2</v>
      </c>
      <c r="G1939" s="2" t="s">
        <v>79</v>
      </c>
      <c r="H1939" s="2">
        <v>5</v>
      </c>
      <c r="I1939" s="8">
        <v>136.85</v>
      </c>
      <c r="J1939" s="8">
        <v>42499</v>
      </c>
      <c r="K1939" s="3">
        <v>0</v>
      </c>
      <c r="L1939" s="3" t="s">
        <v>3</v>
      </c>
      <c r="M1939" s="9" t="s">
        <v>0</v>
      </c>
      <c r="N1939" s="9" t="s">
        <v>39</v>
      </c>
      <c r="O1939" s="9" t="s">
        <v>483</v>
      </c>
      <c r="P1939" s="9" t="s">
        <v>0</v>
      </c>
      <c r="Q1939" s="30" t="s">
        <v>484</v>
      </c>
      <c r="R1939" s="9" t="s">
        <v>485</v>
      </c>
      <c r="S1939" s="9" t="s">
        <v>487</v>
      </c>
      <c r="V1939" s="10">
        <v>12.5</v>
      </c>
      <c r="W1939" s="10"/>
      <c r="X1939" s="17">
        <v>44412</v>
      </c>
      <c r="Y1939" s="17">
        <v>44936</v>
      </c>
      <c r="Z1939" s="19" t="s">
        <v>772</v>
      </c>
      <c r="AA1939" s="210">
        <v>5000</v>
      </c>
      <c r="AB1939" s="9">
        <v>44</v>
      </c>
      <c r="AC1939" s="9">
        <v>15</v>
      </c>
      <c r="AD1939" s="17">
        <v>45355</v>
      </c>
      <c r="AE1939" s="56">
        <v>66.66</v>
      </c>
      <c r="AF1939" s="64"/>
      <c r="AG1939" s="10" t="s">
        <v>134</v>
      </c>
      <c r="AH1939" s="133">
        <v>45355</v>
      </c>
      <c r="AI1939" s="133"/>
      <c r="AJ1939" s="133"/>
      <c r="AK1939" s="134" t="s">
        <v>1656</v>
      </c>
      <c r="AL1939" s="11">
        <v>66.66</v>
      </c>
      <c r="AN1939" s="11" t="s">
        <v>1609</v>
      </c>
      <c r="AW1939" s="18">
        <v>45353</v>
      </c>
      <c r="AX1939" s="140">
        <v>2385</v>
      </c>
      <c r="BA1939" s="11">
        <v>66.66</v>
      </c>
      <c r="BD1939" s="9"/>
      <c r="CS1939" s="11">
        <f t="shared" si="136"/>
        <v>66.66</v>
      </c>
      <c r="CT1939" s="22">
        <f t="shared" si="137"/>
        <v>66.66</v>
      </c>
      <c r="CU1939" s="22">
        <f t="shared" si="138"/>
        <v>0</v>
      </c>
      <c r="CV1939" s="26">
        <f t="shared" si="135"/>
        <v>0</v>
      </c>
    </row>
    <row r="1940" spans="1:100" x14ac:dyDescent="0.2">
      <c r="A1940" s="9" t="s">
        <v>482</v>
      </c>
      <c r="B1940" s="2">
        <v>107</v>
      </c>
      <c r="C1940" s="3" t="s">
        <v>95</v>
      </c>
      <c r="D1940" s="3" t="s">
        <v>96</v>
      </c>
      <c r="E1940" s="2" t="s">
        <v>486</v>
      </c>
      <c r="F1940" s="2">
        <v>2</v>
      </c>
      <c r="G1940" s="2" t="s">
        <v>79</v>
      </c>
      <c r="H1940" s="2">
        <v>5</v>
      </c>
      <c r="I1940" s="8">
        <v>136.85</v>
      </c>
      <c r="J1940" s="8">
        <v>42499</v>
      </c>
      <c r="K1940" s="3">
        <v>0</v>
      </c>
      <c r="L1940" s="3" t="s">
        <v>3</v>
      </c>
      <c r="M1940" s="9" t="s">
        <v>0</v>
      </c>
      <c r="N1940" s="9" t="s">
        <v>39</v>
      </c>
      <c r="O1940" s="9" t="s">
        <v>483</v>
      </c>
      <c r="P1940" s="9" t="s">
        <v>0</v>
      </c>
      <c r="Q1940" s="30" t="s">
        <v>484</v>
      </c>
      <c r="R1940" s="9" t="s">
        <v>485</v>
      </c>
      <c r="S1940" s="9" t="s">
        <v>487</v>
      </c>
      <c r="V1940" s="10">
        <v>12.5</v>
      </c>
      <c r="W1940" s="10"/>
      <c r="X1940" s="17">
        <v>44412</v>
      </c>
      <c r="Y1940" s="17">
        <v>44936</v>
      </c>
      <c r="Z1940" s="19" t="s">
        <v>772</v>
      </c>
      <c r="AA1940" s="210">
        <v>5000</v>
      </c>
      <c r="AB1940" s="9">
        <v>44</v>
      </c>
      <c r="AC1940" s="9">
        <v>16</v>
      </c>
      <c r="AD1940" s="17">
        <v>45386</v>
      </c>
      <c r="AE1940" s="56">
        <v>66.66</v>
      </c>
      <c r="AF1940" s="64"/>
      <c r="AG1940" s="10" t="s">
        <v>134</v>
      </c>
      <c r="AH1940" s="133">
        <v>45385</v>
      </c>
      <c r="AI1940" s="133"/>
      <c r="AJ1940" s="133"/>
      <c r="AK1940" s="134" t="s">
        <v>1657</v>
      </c>
      <c r="AL1940" s="11">
        <v>66.66</v>
      </c>
      <c r="AN1940" s="11" t="s">
        <v>1611</v>
      </c>
      <c r="AW1940" s="18">
        <v>45384</v>
      </c>
      <c r="AX1940" s="140">
        <v>2506</v>
      </c>
      <c r="BA1940" s="11">
        <v>66.66</v>
      </c>
      <c r="BD1940" s="9"/>
      <c r="CS1940" s="11">
        <f t="shared" si="136"/>
        <v>66.66</v>
      </c>
      <c r="CT1940" s="22">
        <f t="shared" si="137"/>
        <v>66.66</v>
      </c>
      <c r="CU1940" s="22">
        <f t="shared" si="138"/>
        <v>0</v>
      </c>
      <c r="CV1940" s="26">
        <f t="shared" si="135"/>
        <v>0</v>
      </c>
    </row>
    <row r="1941" spans="1:100" x14ac:dyDescent="0.2">
      <c r="A1941" s="9" t="s">
        <v>482</v>
      </c>
      <c r="B1941" s="2">
        <v>107</v>
      </c>
      <c r="C1941" s="3" t="s">
        <v>95</v>
      </c>
      <c r="D1941" s="3" t="s">
        <v>96</v>
      </c>
      <c r="E1941" s="2" t="s">
        <v>486</v>
      </c>
      <c r="F1941" s="2">
        <v>2</v>
      </c>
      <c r="G1941" s="2" t="s">
        <v>79</v>
      </c>
      <c r="H1941" s="2">
        <v>5</v>
      </c>
      <c r="I1941" s="8">
        <v>136.85</v>
      </c>
      <c r="J1941" s="8">
        <v>42499</v>
      </c>
      <c r="K1941" s="3">
        <v>0</v>
      </c>
      <c r="L1941" s="3" t="s">
        <v>3</v>
      </c>
      <c r="M1941" s="9" t="s">
        <v>0</v>
      </c>
      <c r="N1941" s="9" t="s">
        <v>39</v>
      </c>
      <c r="O1941" s="9" t="s">
        <v>483</v>
      </c>
      <c r="P1941" s="9" t="s">
        <v>0</v>
      </c>
      <c r="Q1941" s="30" t="s">
        <v>484</v>
      </c>
      <c r="R1941" s="9" t="s">
        <v>485</v>
      </c>
      <c r="S1941" s="9" t="s">
        <v>487</v>
      </c>
      <c r="V1941" s="10">
        <v>12.5</v>
      </c>
      <c r="W1941" s="10"/>
      <c r="X1941" s="17">
        <v>44412</v>
      </c>
      <c r="Y1941" s="17">
        <v>44936</v>
      </c>
      <c r="Z1941" s="19" t="s">
        <v>772</v>
      </c>
      <c r="AA1941" s="210">
        <v>5000</v>
      </c>
      <c r="AB1941" s="9">
        <v>44</v>
      </c>
      <c r="AC1941" s="9">
        <v>17</v>
      </c>
      <c r="AD1941" s="17">
        <v>45416</v>
      </c>
      <c r="AE1941" s="56">
        <v>66.66</v>
      </c>
      <c r="AF1941" s="64"/>
      <c r="AG1941" s="10" t="s">
        <v>134</v>
      </c>
      <c r="AH1941" s="133">
        <v>45426</v>
      </c>
      <c r="AI1941" s="133"/>
      <c r="AJ1941" s="133"/>
      <c r="AK1941" s="134" t="s">
        <v>1658</v>
      </c>
      <c r="AL1941" s="11">
        <v>66.66</v>
      </c>
      <c r="AN1941" s="11" t="s">
        <v>1614</v>
      </c>
      <c r="AW1941" s="18">
        <v>45425</v>
      </c>
      <c r="AX1941" s="140">
        <v>2637</v>
      </c>
      <c r="BA1941" s="11">
        <v>66.66</v>
      </c>
      <c r="BD1941" s="9"/>
      <c r="CS1941" s="11">
        <f t="shared" si="136"/>
        <v>66.66</v>
      </c>
      <c r="CT1941" s="22">
        <f t="shared" si="137"/>
        <v>66.66</v>
      </c>
      <c r="CU1941" s="22">
        <f t="shared" si="138"/>
        <v>0</v>
      </c>
      <c r="CV1941" s="26">
        <f t="shared" si="135"/>
        <v>0</v>
      </c>
    </row>
    <row r="1942" spans="1:100" x14ac:dyDescent="0.2">
      <c r="A1942" s="9" t="s">
        <v>482</v>
      </c>
      <c r="B1942" s="2">
        <v>107</v>
      </c>
      <c r="C1942" s="3" t="s">
        <v>95</v>
      </c>
      <c r="D1942" s="3" t="s">
        <v>96</v>
      </c>
      <c r="E1942" s="2" t="s">
        <v>486</v>
      </c>
      <c r="F1942" s="2">
        <v>2</v>
      </c>
      <c r="G1942" s="2" t="s">
        <v>79</v>
      </c>
      <c r="H1942" s="2">
        <v>5</v>
      </c>
      <c r="I1942" s="8">
        <v>136.85</v>
      </c>
      <c r="J1942" s="8">
        <v>42499</v>
      </c>
      <c r="K1942" s="3">
        <v>0</v>
      </c>
      <c r="L1942" s="3" t="s">
        <v>3</v>
      </c>
      <c r="M1942" s="9" t="s">
        <v>0</v>
      </c>
      <c r="N1942" s="9" t="s">
        <v>39</v>
      </c>
      <c r="O1942" s="9" t="s">
        <v>483</v>
      </c>
      <c r="P1942" s="9" t="s">
        <v>0</v>
      </c>
      <c r="Q1942" s="30" t="s">
        <v>484</v>
      </c>
      <c r="R1942" s="9" t="s">
        <v>485</v>
      </c>
      <c r="S1942" s="9" t="s">
        <v>487</v>
      </c>
      <c r="V1942" s="10">
        <v>12.5</v>
      </c>
      <c r="W1942" s="10"/>
      <c r="X1942" s="17">
        <v>44412</v>
      </c>
      <c r="Y1942" s="17">
        <v>44936</v>
      </c>
      <c r="Z1942" s="19" t="s">
        <v>772</v>
      </c>
      <c r="AA1942" s="210">
        <v>5000</v>
      </c>
      <c r="AB1942" s="9">
        <v>44</v>
      </c>
      <c r="AC1942" s="9">
        <v>18</v>
      </c>
      <c r="AD1942" s="17">
        <v>45447</v>
      </c>
      <c r="AE1942" s="56">
        <v>66.66</v>
      </c>
      <c r="AF1942" s="64"/>
      <c r="AG1942" s="10" t="s">
        <v>134</v>
      </c>
      <c r="AH1942" s="133">
        <v>45453</v>
      </c>
      <c r="AI1942" s="133"/>
      <c r="AJ1942" s="133"/>
      <c r="AK1942" s="134" t="s">
        <v>1659</v>
      </c>
      <c r="AL1942" s="11">
        <v>66.66</v>
      </c>
      <c r="AN1942" s="11" t="s">
        <v>1616</v>
      </c>
      <c r="AW1942" s="18">
        <v>45449</v>
      </c>
      <c r="AX1942" s="140">
        <v>2758</v>
      </c>
      <c r="BA1942" s="11">
        <v>66.66</v>
      </c>
      <c r="BD1942" s="9"/>
      <c r="CS1942" s="11">
        <f t="shared" si="136"/>
        <v>66.66</v>
      </c>
      <c r="CT1942" s="22">
        <f t="shared" si="137"/>
        <v>66.66</v>
      </c>
      <c r="CU1942" s="22">
        <f t="shared" si="138"/>
        <v>0</v>
      </c>
      <c r="CV1942" s="26">
        <f t="shared" si="135"/>
        <v>0</v>
      </c>
    </row>
    <row r="1943" spans="1:100" x14ac:dyDescent="0.2">
      <c r="A1943" s="9" t="s">
        <v>482</v>
      </c>
      <c r="B1943" s="2">
        <v>107</v>
      </c>
      <c r="C1943" s="3" t="s">
        <v>95</v>
      </c>
      <c r="D1943" s="3" t="s">
        <v>96</v>
      </c>
      <c r="E1943" s="2" t="s">
        <v>486</v>
      </c>
      <c r="F1943" s="2">
        <v>2</v>
      </c>
      <c r="G1943" s="2" t="s">
        <v>79</v>
      </c>
      <c r="H1943" s="2">
        <v>5</v>
      </c>
      <c r="I1943" s="8">
        <v>136.85</v>
      </c>
      <c r="J1943" s="8">
        <v>42499</v>
      </c>
      <c r="K1943" s="3">
        <v>0</v>
      </c>
      <c r="L1943" s="3" t="s">
        <v>3</v>
      </c>
      <c r="M1943" s="9" t="s">
        <v>0</v>
      </c>
      <c r="N1943" s="9" t="s">
        <v>39</v>
      </c>
      <c r="O1943" s="9" t="s">
        <v>483</v>
      </c>
      <c r="P1943" s="9" t="s">
        <v>0</v>
      </c>
      <c r="Q1943" s="30" t="s">
        <v>484</v>
      </c>
      <c r="R1943" s="9" t="s">
        <v>485</v>
      </c>
      <c r="S1943" s="9" t="s">
        <v>487</v>
      </c>
      <c r="V1943" s="10">
        <v>12.5</v>
      </c>
      <c r="W1943" s="10"/>
      <c r="X1943" s="17">
        <v>44412</v>
      </c>
      <c r="Y1943" s="17">
        <v>44936</v>
      </c>
      <c r="Z1943" s="19" t="s">
        <v>772</v>
      </c>
      <c r="AA1943" s="210">
        <v>5000</v>
      </c>
      <c r="AB1943" s="9">
        <v>44</v>
      </c>
      <c r="AC1943" s="9">
        <v>19</v>
      </c>
      <c r="AD1943" s="17">
        <v>45477</v>
      </c>
      <c r="AE1943" s="56">
        <v>66.66</v>
      </c>
      <c r="AF1943" s="64"/>
      <c r="AG1943" s="10" t="s">
        <v>134</v>
      </c>
      <c r="AH1943" s="133">
        <v>45505</v>
      </c>
      <c r="AI1943" s="133"/>
      <c r="AJ1943" s="133"/>
      <c r="AK1943" s="134" t="s">
        <v>1660</v>
      </c>
      <c r="AL1943" s="11">
        <v>66.66</v>
      </c>
      <c r="AN1943" s="11" t="s">
        <v>1619</v>
      </c>
      <c r="AW1943" s="18">
        <v>45505</v>
      </c>
      <c r="AX1943" s="140">
        <v>2973</v>
      </c>
      <c r="BA1943" s="11">
        <v>66.66</v>
      </c>
      <c r="BD1943" s="9"/>
      <c r="CS1943" s="11">
        <f t="shared" si="136"/>
        <v>66.66</v>
      </c>
      <c r="CT1943" s="22">
        <f t="shared" si="137"/>
        <v>66.66</v>
      </c>
      <c r="CU1943" s="22">
        <f t="shared" si="138"/>
        <v>0</v>
      </c>
      <c r="CV1943" s="26">
        <f t="shared" si="135"/>
        <v>0</v>
      </c>
    </row>
    <row r="1944" spans="1:100" x14ac:dyDescent="0.2">
      <c r="A1944" s="9" t="s">
        <v>482</v>
      </c>
      <c r="B1944" s="2">
        <v>107</v>
      </c>
      <c r="C1944" s="3" t="s">
        <v>95</v>
      </c>
      <c r="D1944" s="3" t="s">
        <v>96</v>
      </c>
      <c r="E1944" s="2" t="s">
        <v>486</v>
      </c>
      <c r="F1944" s="2">
        <v>2</v>
      </c>
      <c r="G1944" s="2" t="s">
        <v>79</v>
      </c>
      <c r="H1944" s="2">
        <v>5</v>
      </c>
      <c r="I1944" s="8">
        <v>136.85</v>
      </c>
      <c r="J1944" s="8">
        <v>42499</v>
      </c>
      <c r="K1944" s="3">
        <v>0</v>
      </c>
      <c r="L1944" s="3" t="s">
        <v>3</v>
      </c>
      <c r="M1944" s="9" t="s">
        <v>0</v>
      </c>
      <c r="N1944" s="9" t="s">
        <v>39</v>
      </c>
      <c r="O1944" s="9" t="s">
        <v>483</v>
      </c>
      <c r="P1944" s="9" t="s">
        <v>0</v>
      </c>
      <c r="Q1944" s="30" t="s">
        <v>484</v>
      </c>
      <c r="R1944" s="9" t="s">
        <v>485</v>
      </c>
      <c r="S1944" s="9" t="s">
        <v>487</v>
      </c>
      <c r="V1944" s="10">
        <v>12.5</v>
      </c>
      <c r="W1944" s="10"/>
      <c r="X1944" s="17">
        <v>44412</v>
      </c>
      <c r="Y1944" s="17">
        <v>44936</v>
      </c>
      <c r="Z1944" s="19" t="s">
        <v>772</v>
      </c>
      <c r="AA1944" s="210">
        <v>5000</v>
      </c>
      <c r="AB1944" s="9">
        <v>44</v>
      </c>
      <c r="AC1944" s="9">
        <v>20</v>
      </c>
      <c r="AD1944" s="17">
        <v>45508</v>
      </c>
      <c r="AE1944" s="56">
        <v>66.66</v>
      </c>
      <c r="AF1944" s="64"/>
      <c r="AG1944" s="10" t="s">
        <v>134</v>
      </c>
      <c r="AH1944" s="133">
        <v>45505</v>
      </c>
      <c r="AI1944" s="133"/>
      <c r="AJ1944" s="133"/>
      <c r="AK1944" s="134" t="s">
        <v>1661</v>
      </c>
      <c r="AL1944" s="11">
        <v>66.66</v>
      </c>
      <c r="AN1944" s="11" t="s">
        <v>1620</v>
      </c>
      <c r="AW1944" s="18">
        <v>45505</v>
      </c>
      <c r="AX1944" s="140">
        <v>2974</v>
      </c>
      <c r="BA1944" s="11">
        <v>66.66</v>
      </c>
      <c r="BD1944" s="9"/>
      <c r="CS1944" s="11">
        <f t="shared" si="136"/>
        <v>66.66</v>
      </c>
      <c r="CT1944" s="22">
        <f t="shared" si="137"/>
        <v>66.66</v>
      </c>
      <c r="CU1944" s="22">
        <f t="shared" si="138"/>
        <v>0</v>
      </c>
      <c r="CV1944" s="26">
        <f t="shared" si="135"/>
        <v>0</v>
      </c>
    </row>
    <row r="1945" spans="1:100" x14ac:dyDescent="0.2">
      <c r="A1945" s="9" t="s">
        <v>482</v>
      </c>
      <c r="B1945" s="2">
        <v>107</v>
      </c>
      <c r="C1945" s="3" t="s">
        <v>95</v>
      </c>
      <c r="D1945" s="3" t="s">
        <v>96</v>
      </c>
      <c r="E1945" s="2" t="s">
        <v>486</v>
      </c>
      <c r="F1945" s="2">
        <v>2</v>
      </c>
      <c r="G1945" s="2" t="s">
        <v>79</v>
      </c>
      <c r="H1945" s="2">
        <v>5</v>
      </c>
      <c r="I1945" s="8">
        <v>136.85</v>
      </c>
      <c r="J1945" s="8">
        <v>42499</v>
      </c>
      <c r="K1945" s="3">
        <v>0</v>
      </c>
      <c r="L1945" s="3" t="s">
        <v>3</v>
      </c>
      <c r="M1945" s="9" t="s">
        <v>0</v>
      </c>
      <c r="N1945" s="9" t="s">
        <v>39</v>
      </c>
      <c r="O1945" s="9" t="s">
        <v>483</v>
      </c>
      <c r="P1945" s="9" t="s">
        <v>0</v>
      </c>
      <c r="Q1945" s="30" t="s">
        <v>484</v>
      </c>
      <c r="R1945" s="9" t="s">
        <v>485</v>
      </c>
      <c r="S1945" s="9" t="s">
        <v>487</v>
      </c>
      <c r="V1945" s="10">
        <v>12.5</v>
      </c>
      <c r="W1945" s="10"/>
      <c r="X1945" s="17">
        <v>44412</v>
      </c>
      <c r="Y1945" s="17">
        <v>44936</v>
      </c>
      <c r="Z1945" s="19" t="s">
        <v>772</v>
      </c>
      <c r="AA1945" s="210">
        <v>5000</v>
      </c>
      <c r="AB1945" s="9">
        <v>44</v>
      </c>
      <c r="AC1945" s="9">
        <v>21</v>
      </c>
      <c r="AD1945" s="17">
        <v>45539</v>
      </c>
      <c r="AE1945" s="56">
        <v>66.66</v>
      </c>
      <c r="AF1945" s="64"/>
      <c r="AG1945" s="10" t="s">
        <v>134</v>
      </c>
      <c r="AH1945" s="133">
        <v>45544</v>
      </c>
      <c r="AI1945" s="133"/>
      <c r="AJ1945" s="133"/>
      <c r="AK1945" s="134" t="s">
        <v>1662</v>
      </c>
      <c r="AL1945" s="11">
        <v>66.66</v>
      </c>
      <c r="AN1945" s="11" t="s">
        <v>1621</v>
      </c>
      <c r="AW1945" s="18">
        <v>45541</v>
      </c>
      <c r="AX1945" s="140">
        <v>3127</v>
      </c>
      <c r="BA1945" s="11">
        <v>66.66</v>
      </c>
      <c r="BD1945" s="9"/>
      <c r="CS1945" s="11">
        <f t="shared" si="136"/>
        <v>66.66</v>
      </c>
      <c r="CT1945" s="22">
        <f t="shared" si="137"/>
        <v>66.66</v>
      </c>
      <c r="CU1945" s="22">
        <f t="shared" si="138"/>
        <v>0</v>
      </c>
      <c r="CV1945" s="26">
        <f t="shared" si="135"/>
        <v>0</v>
      </c>
    </row>
    <row r="1946" spans="1:100" ht="12.75" x14ac:dyDescent="0.2">
      <c r="A1946" s="9" t="s">
        <v>482</v>
      </c>
      <c r="B1946" s="2">
        <v>107</v>
      </c>
      <c r="C1946" s="3" t="s">
        <v>95</v>
      </c>
      <c r="D1946" s="3" t="s">
        <v>96</v>
      </c>
      <c r="E1946" s="2" t="s">
        <v>486</v>
      </c>
      <c r="F1946" s="2">
        <v>2</v>
      </c>
      <c r="G1946" s="2" t="s">
        <v>79</v>
      </c>
      <c r="H1946" s="2">
        <v>5</v>
      </c>
      <c r="I1946" s="8">
        <v>136.85</v>
      </c>
      <c r="J1946" s="8">
        <v>42499</v>
      </c>
      <c r="K1946" s="3">
        <v>0</v>
      </c>
      <c r="L1946" s="3" t="s">
        <v>3</v>
      </c>
      <c r="M1946" s="9" t="s">
        <v>0</v>
      </c>
      <c r="N1946" s="9" t="s">
        <v>39</v>
      </c>
      <c r="O1946" s="9" t="s">
        <v>483</v>
      </c>
      <c r="P1946" s="9" t="s">
        <v>0</v>
      </c>
      <c r="Q1946" s="30" t="s">
        <v>484</v>
      </c>
      <c r="R1946" s="9" t="s">
        <v>485</v>
      </c>
      <c r="S1946" s="9" t="s">
        <v>487</v>
      </c>
      <c r="V1946" s="10">
        <v>12.5</v>
      </c>
      <c r="W1946" s="10"/>
      <c r="X1946" s="17">
        <v>44412</v>
      </c>
      <c r="Y1946" s="17">
        <v>44936</v>
      </c>
      <c r="Z1946" s="19" t="s">
        <v>772</v>
      </c>
      <c r="AA1946" s="210">
        <v>5000</v>
      </c>
      <c r="AB1946" s="9">
        <v>44</v>
      </c>
      <c r="AC1946" s="9">
        <v>22</v>
      </c>
      <c r="AD1946" s="17">
        <v>45569</v>
      </c>
      <c r="AE1946" s="56">
        <v>66.66</v>
      </c>
      <c r="AF1946" s="64"/>
      <c r="AG1946" s="10" t="s">
        <v>134</v>
      </c>
      <c r="AH1946" s="133">
        <v>45566</v>
      </c>
      <c r="AI1946" s="133"/>
      <c r="AJ1946" s="133"/>
      <c r="AK1946" s="134" t="s">
        <v>1663</v>
      </c>
      <c r="AL1946" s="11">
        <v>66.66</v>
      </c>
      <c r="AN1946" s="11" t="s">
        <v>1624</v>
      </c>
      <c r="AW1946" s="94">
        <v>45566</v>
      </c>
      <c r="AX1946" s="141">
        <v>3223</v>
      </c>
      <c r="BA1946" s="142">
        <v>66.66</v>
      </c>
      <c r="BD1946" s="9"/>
      <c r="CS1946" s="11">
        <f t="shared" si="136"/>
        <v>66.66</v>
      </c>
      <c r="CT1946" s="22">
        <f t="shared" si="137"/>
        <v>66.66</v>
      </c>
      <c r="CU1946" s="22">
        <f t="shared" si="138"/>
        <v>0</v>
      </c>
      <c r="CV1946" s="26">
        <f t="shared" si="135"/>
        <v>0</v>
      </c>
    </row>
    <row r="1947" spans="1:100" x14ac:dyDescent="0.2">
      <c r="A1947" s="9" t="s">
        <v>482</v>
      </c>
      <c r="B1947" s="2">
        <v>107</v>
      </c>
      <c r="C1947" s="3" t="s">
        <v>95</v>
      </c>
      <c r="D1947" s="3" t="s">
        <v>96</v>
      </c>
      <c r="E1947" s="2" t="s">
        <v>486</v>
      </c>
      <c r="F1947" s="2">
        <v>2</v>
      </c>
      <c r="G1947" s="2" t="s">
        <v>79</v>
      </c>
      <c r="H1947" s="2">
        <v>5</v>
      </c>
      <c r="I1947" s="8">
        <v>136.85</v>
      </c>
      <c r="J1947" s="8">
        <v>42499</v>
      </c>
      <c r="K1947" s="3">
        <v>0</v>
      </c>
      <c r="L1947" s="3" t="s">
        <v>3</v>
      </c>
      <c r="M1947" s="9" t="s">
        <v>0</v>
      </c>
      <c r="N1947" s="9" t="s">
        <v>39</v>
      </c>
      <c r="O1947" s="9" t="s">
        <v>483</v>
      </c>
      <c r="P1947" s="9" t="s">
        <v>0</v>
      </c>
      <c r="Q1947" s="30" t="s">
        <v>484</v>
      </c>
      <c r="R1947" s="9" t="s">
        <v>485</v>
      </c>
      <c r="S1947" s="9" t="s">
        <v>487</v>
      </c>
      <c r="V1947" s="10">
        <v>12.5</v>
      </c>
      <c r="W1947" s="10"/>
      <c r="X1947" s="17">
        <v>44412</v>
      </c>
      <c r="Y1947" s="17">
        <v>44936</v>
      </c>
      <c r="Z1947" s="19" t="s">
        <v>772</v>
      </c>
      <c r="AA1947" s="210">
        <v>5000</v>
      </c>
      <c r="AB1947" s="9">
        <v>44</v>
      </c>
      <c r="AC1947" s="9">
        <v>23</v>
      </c>
      <c r="AD1947" s="17">
        <v>45600</v>
      </c>
      <c r="AE1947" s="56">
        <v>66.66</v>
      </c>
      <c r="AF1947" s="64"/>
      <c r="AG1947" s="10" t="s">
        <v>134</v>
      </c>
      <c r="AH1947" s="133">
        <v>45596</v>
      </c>
      <c r="AI1947" s="133"/>
      <c r="AJ1947" s="133"/>
      <c r="AK1947" s="134" t="s">
        <v>1664</v>
      </c>
      <c r="AL1947" s="11">
        <v>66.66</v>
      </c>
      <c r="AN1947" s="11" t="s">
        <v>1626</v>
      </c>
      <c r="AW1947" s="18">
        <v>45596</v>
      </c>
      <c r="AX1947" s="140">
        <v>3343</v>
      </c>
      <c r="BA1947" s="11">
        <v>66.66</v>
      </c>
      <c r="BD1947" s="9"/>
      <c r="CS1947" s="11">
        <f t="shared" si="136"/>
        <v>66.66</v>
      </c>
      <c r="CT1947" s="22">
        <f t="shared" si="137"/>
        <v>66.66</v>
      </c>
      <c r="CU1947" s="22">
        <f t="shared" si="138"/>
        <v>0</v>
      </c>
      <c r="CV1947" s="26">
        <f t="shared" si="135"/>
        <v>0</v>
      </c>
    </row>
    <row r="1948" spans="1:100" x14ac:dyDescent="0.2">
      <c r="A1948" s="9" t="s">
        <v>482</v>
      </c>
      <c r="B1948" s="2">
        <v>107</v>
      </c>
      <c r="C1948" s="3" t="s">
        <v>95</v>
      </c>
      <c r="D1948" s="3" t="s">
        <v>96</v>
      </c>
      <c r="E1948" s="2" t="s">
        <v>486</v>
      </c>
      <c r="F1948" s="2">
        <v>2</v>
      </c>
      <c r="G1948" s="2" t="s">
        <v>79</v>
      </c>
      <c r="H1948" s="2">
        <v>5</v>
      </c>
      <c r="I1948" s="8">
        <v>136.85</v>
      </c>
      <c r="J1948" s="8">
        <v>42499</v>
      </c>
      <c r="K1948" s="3">
        <v>0</v>
      </c>
      <c r="L1948" s="3" t="s">
        <v>3</v>
      </c>
      <c r="M1948" s="9" t="s">
        <v>0</v>
      </c>
      <c r="N1948" s="9" t="s">
        <v>39</v>
      </c>
      <c r="O1948" s="9" t="s">
        <v>483</v>
      </c>
      <c r="P1948" s="9" t="s">
        <v>0</v>
      </c>
      <c r="Q1948" s="30" t="s">
        <v>484</v>
      </c>
      <c r="R1948" s="9" t="s">
        <v>485</v>
      </c>
      <c r="S1948" s="9" t="s">
        <v>487</v>
      </c>
      <c r="V1948" s="10">
        <v>12.5</v>
      </c>
      <c r="W1948" s="10"/>
      <c r="X1948" s="17">
        <v>44412</v>
      </c>
      <c r="Y1948" s="17">
        <v>44936</v>
      </c>
      <c r="Z1948" s="19" t="s">
        <v>772</v>
      </c>
      <c r="AA1948" s="210">
        <v>5000</v>
      </c>
      <c r="AB1948" s="9">
        <v>44</v>
      </c>
      <c r="AC1948" s="9">
        <v>24</v>
      </c>
      <c r="AD1948" s="17">
        <v>45630</v>
      </c>
      <c r="AE1948" s="56">
        <v>66.66</v>
      </c>
      <c r="AF1948" s="64"/>
      <c r="AG1948" s="10" t="s">
        <v>134</v>
      </c>
      <c r="AH1948" s="133">
        <v>45636</v>
      </c>
      <c r="AI1948" s="133"/>
      <c r="AJ1948" s="133"/>
      <c r="AK1948" s="134" t="s">
        <v>1665</v>
      </c>
      <c r="AL1948" s="11">
        <v>66.66</v>
      </c>
      <c r="AN1948" s="11" t="s">
        <v>1628</v>
      </c>
      <c r="AW1948" s="18">
        <v>45636</v>
      </c>
      <c r="AX1948" s="140">
        <v>3493</v>
      </c>
      <c r="BA1948" s="11">
        <v>66</v>
      </c>
      <c r="BD1948" s="9"/>
      <c r="CS1948" s="11">
        <f t="shared" si="136"/>
        <v>66.66</v>
      </c>
      <c r="CT1948" s="22">
        <f t="shared" si="137"/>
        <v>66</v>
      </c>
      <c r="CU1948" s="22">
        <f t="shared" si="138"/>
        <v>0.65999999999999659</v>
      </c>
      <c r="CV1948" s="26">
        <f t="shared" si="135"/>
        <v>0</v>
      </c>
    </row>
    <row r="1949" spans="1:100" x14ac:dyDescent="0.2">
      <c r="A1949" s="9" t="s">
        <v>482</v>
      </c>
      <c r="B1949" s="2">
        <v>107</v>
      </c>
      <c r="C1949" s="3" t="s">
        <v>95</v>
      </c>
      <c r="D1949" s="3" t="s">
        <v>96</v>
      </c>
      <c r="E1949" s="2" t="s">
        <v>486</v>
      </c>
      <c r="F1949" s="2">
        <v>2</v>
      </c>
      <c r="G1949" s="2" t="s">
        <v>79</v>
      </c>
      <c r="H1949" s="2">
        <v>5</v>
      </c>
      <c r="I1949" s="8">
        <v>136.85</v>
      </c>
      <c r="J1949" s="8">
        <v>42499</v>
      </c>
      <c r="K1949" s="3">
        <v>0</v>
      </c>
      <c r="L1949" s="3" t="s">
        <v>3</v>
      </c>
      <c r="M1949" s="9" t="s">
        <v>0</v>
      </c>
      <c r="N1949" s="9" t="s">
        <v>39</v>
      </c>
      <c r="O1949" s="9" t="s">
        <v>483</v>
      </c>
      <c r="P1949" s="9" t="s">
        <v>0</v>
      </c>
      <c r="Q1949" s="30" t="s">
        <v>484</v>
      </c>
      <c r="R1949" s="9" t="s">
        <v>485</v>
      </c>
      <c r="S1949" s="9" t="s">
        <v>487</v>
      </c>
      <c r="V1949" s="10">
        <v>12.5</v>
      </c>
      <c r="W1949" s="10"/>
      <c r="X1949" s="17">
        <v>44412</v>
      </c>
      <c r="Y1949" s="17">
        <v>44936</v>
      </c>
      <c r="Z1949" s="19" t="s">
        <v>772</v>
      </c>
      <c r="AA1949" s="210">
        <v>5000</v>
      </c>
      <c r="AB1949" s="9">
        <v>44</v>
      </c>
      <c r="AC1949" s="9">
        <v>25</v>
      </c>
      <c r="AD1949" s="17">
        <v>45661</v>
      </c>
      <c r="AE1949" s="56">
        <v>66.66</v>
      </c>
      <c r="AF1949" s="64"/>
      <c r="AG1949" s="10" t="s">
        <v>134</v>
      </c>
      <c r="AH1949" s="133">
        <v>45664</v>
      </c>
      <c r="AI1949" s="133"/>
      <c r="AJ1949" s="133"/>
      <c r="AK1949" s="134" t="s">
        <v>1666</v>
      </c>
      <c r="AL1949" s="11">
        <v>66.66</v>
      </c>
      <c r="AN1949" s="11" t="s">
        <v>1630</v>
      </c>
      <c r="AW1949" s="18">
        <v>45664</v>
      </c>
      <c r="AX1949" s="140">
        <v>3577</v>
      </c>
      <c r="BA1949" s="11">
        <v>66.66</v>
      </c>
      <c r="BD1949" s="9"/>
      <c r="CS1949" s="11">
        <f t="shared" si="136"/>
        <v>66.66</v>
      </c>
      <c r="CT1949" s="22">
        <f t="shared" si="137"/>
        <v>66.66</v>
      </c>
      <c r="CU1949" s="22">
        <f t="shared" si="138"/>
        <v>0</v>
      </c>
      <c r="CV1949" s="26">
        <f t="shared" si="135"/>
        <v>0</v>
      </c>
    </row>
    <row r="1950" spans="1:100" x14ac:dyDescent="0.2">
      <c r="A1950" s="9" t="s">
        <v>482</v>
      </c>
      <c r="B1950" s="2">
        <v>107</v>
      </c>
      <c r="C1950" s="3" t="s">
        <v>95</v>
      </c>
      <c r="D1950" s="3" t="s">
        <v>96</v>
      </c>
      <c r="E1950" s="2" t="s">
        <v>486</v>
      </c>
      <c r="F1950" s="2">
        <v>2</v>
      </c>
      <c r="G1950" s="2" t="s">
        <v>79</v>
      </c>
      <c r="H1950" s="2">
        <v>5</v>
      </c>
      <c r="I1950" s="8">
        <v>136.85</v>
      </c>
      <c r="J1950" s="8">
        <v>42499</v>
      </c>
      <c r="K1950" s="3">
        <v>0</v>
      </c>
      <c r="L1950" s="3" t="s">
        <v>3</v>
      </c>
      <c r="M1950" s="9" t="s">
        <v>0</v>
      </c>
      <c r="N1950" s="9" t="s">
        <v>39</v>
      </c>
      <c r="O1950" s="9" t="s">
        <v>483</v>
      </c>
      <c r="P1950" s="9" t="s">
        <v>0</v>
      </c>
      <c r="Q1950" s="30" t="s">
        <v>484</v>
      </c>
      <c r="R1950" s="9" t="s">
        <v>485</v>
      </c>
      <c r="S1950" s="9" t="s">
        <v>487</v>
      </c>
      <c r="V1950" s="10">
        <v>12.5</v>
      </c>
      <c r="W1950" s="10"/>
      <c r="X1950" s="17">
        <v>44412</v>
      </c>
      <c r="Y1950" s="17">
        <v>44936</v>
      </c>
      <c r="Z1950" s="19" t="s">
        <v>772</v>
      </c>
      <c r="AA1950" s="210">
        <v>5000</v>
      </c>
      <c r="AB1950" s="9">
        <v>44</v>
      </c>
      <c r="AC1950" s="9">
        <v>26</v>
      </c>
      <c r="AD1950" s="17">
        <v>45692</v>
      </c>
      <c r="AE1950" s="56">
        <v>66.66</v>
      </c>
      <c r="AF1950" s="64"/>
      <c r="AG1950" s="10" t="s">
        <v>134</v>
      </c>
      <c r="AH1950" s="133">
        <v>45688</v>
      </c>
      <c r="AI1950" s="133"/>
      <c r="AJ1950" s="133"/>
      <c r="AK1950" s="134" t="s">
        <v>1667</v>
      </c>
      <c r="AL1950" s="11">
        <v>66.66</v>
      </c>
      <c r="AN1950" s="11" t="s">
        <v>1632</v>
      </c>
      <c r="AW1950" s="18">
        <v>45688</v>
      </c>
      <c r="AX1950" s="140">
        <v>3674</v>
      </c>
      <c r="BA1950" s="11">
        <v>66.66</v>
      </c>
      <c r="BD1950" s="9"/>
      <c r="CS1950" s="11">
        <f t="shared" si="136"/>
        <v>66.66</v>
      </c>
      <c r="CT1950" s="22">
        <f t="shared" si="137"/>
        <v>66.66</v>
      </c>
      <c r="CU1950" s="22">
        <f t="shared" si="138"/>
        <v>0</v>
      </c>
      <c r="CV1950" s="26">
        <f t="shared" si="135"/>
        <v>0</v>
      </c>
    </row>
    <row r="1951" spans="1:100" ht="12.75" x14ac:dyDescent="0.2">
      <c r="A1951" s="9" t="s">
        <v>482</v>
      </c>
      <c r="B1951" s="2">
        <v>107</v>
      </c>
      <c r="C1951" s="3" t="s">
        <v>95</v>
      </c>
      <c r="D1951" s="3" t="s">
        <v>96</v>
      </c>
      <c r="E1951" s="2" t="s">
        <v>486</v>
      </c>
      <c r="F1951" s="2">
        <v>2</v>
      </c>
      <c r="G1951" s="2" t="s">
        <v>79</v>
      </c>
      <c r="H1951" s="2">
        <v>5</v>
      </c>
      <c r="I1951" s="8">
        <v>136.85</v>
      </c>
      <c r="J1951" s="8">
        <v>42499</v>
      </c>
      <c r="K1951" s="3">
        <v>0</v>
      </c>
      <c r="L1951" s="3" t="s">
        <v>3</v>
      </c>
      <c r="M1951" s="9" t="s">
        <v>0</v>
      </c>
      <c r="N1951" s="9" t="s">
        <v>39</v>
      </c>
      <c r="O1951" s="9" t="s">
        <v>483</v>
      </c>
      <c r="P1951" s="9" t="s">
        <v>0</v>
      </c>
      <c r="Q1951" s="30" t="s">
        <v>484</v>
      </c>
      <c r="R1951" s="9" t="s">
        <v>485</v>
      </c>
      <c r="S1951" s="9" t="s">
        <v>487</v>
      </c>
      <c r="V1951" s="10">
        <v>12.5</v>
      </c>
      <c r="W1951" s="10"/>
      <c r="X1951" s="17">
        <v>44412</v>
      </c>
      <c r="Y1951" s="17">
        <v>44936</v>
      </c>
      <c r="Z1951" s="19" t="s">
        <v>772</v>
      </c>
      <c r="AA1951" s="210">
        <v>5000</v>
      </c>
      <c r="AB1951" s="9">
        <v>44</v>
      </c>
      <c r="AC1951" s="9">
        <v>27</v>
      </c>
      <c r="AD1951" s="17">
        <v>45720</v>
      </c>
      <c r="AE1951" s="56">
        <v>66.66</v>
      </c>
      <c r="AF1951" s="64"/>
      <c r="AG1951" s="10" t="s">
        <v>134</v>
      </c>
      <c r="AH1951" s="133">
        <v>45728</v>
      </c>
      <c r="AI1951" s="133"/>
      <c r="AJ1951" s="133"/>
      <c r="AK1951" s="134" t="s">
        <v>1668</v>
      </c>
      <c r="AL1951" s="11">
        <v>66.66</v>
      </c>
      <c r="AN1951" s="11" t="s">
        <v>1634</v>
      </c>
      <c r="AW1951" s="94">
        <v>45728</v>
      </c>
      <c r="AX1951" s="141">
        <v>3876</v>
      </c>
      <c r="BA1951" s="126">
        <v>66.66</v>
      </c>
      <c r="BD1951" s="9"/>
      <c r="CS1951" s="11">
        <f t="shared" si="136"/>
        <v>66.66</v>
      </c>
      <c r="CT1951" s="22">
        <f t="shared" si="137"/>
        <v>66.66</v>
      </c>
      <c r="CU1951" s="22">
        <f t="shared" si="138"/>
        <v>0</v>
      </c>
      <c r="CV1951" s="26">
        <f t="shared" si="135"/>
        <v>0</v>
      </c>
    </row>
    <row r="1952" spans="1:100" x14ac:dyDescent="0.2">
      <c r="A1952" s="9" t="s">
        <v>482</v>
      </c>
      <c r="B1952" s="2">
        <v>107</v>
      </c>
      <c r="C1952" s="3" t="s">
        <v>95</v>
      </c>
      <c r="D1952" s="3" t="s">
        <v>96</v>
      </c>
      <c r="E1952" s="2" t="s">
        <v>486</v>
      </c>
      <c r="F1952" s="2">
        <v>2</v>
      </c>
      <c r="G1952" s="2" t="s">
        <v>79</v>
      </c>
      <c r="H1952" s="2">
        <v>5</v>
      </c>
      <c r="I1952" s="8">
        <v>136.85</v>
      </c>
      <c r="J1952" s="8">
        <v>42499</v>
      </c>
      <c r="K1952" s="3">
        <v>0</v>
      </c>
      <c r="L1952" s="3" t="s">
        <v>3</v>
      </c>
      <c r="M1952" s="9" t="s">
        <v>0</v>
      </c>
      <c r="N1952" s="9" t="s">
        <v>39</v>
      </c>
      <c r="O1952" s="9" t="s">
        <v>483</v>
      </c>
      <c r="P1952" s="9" t="s">
        <v>0</v>
      </c>
      <c r="Q1952" s="30" t="s">
        <v>484</v>
      </c>
      <c r="R1952" s="9" t="s">
        <v>485</v>
      </c>
      <c r="S1952" s="9" t="s">
        <v>487</v>
      </c>
      <c r="V1952" s="10">
        <v>12.5</v>
      </c>
      <c r="W1952" s="10"/>
      <c r="X1952" s="17">
        <v>44412</v>
      </c>
      <c r="Y1952" s="17">
        <v>44936</v>
      </c>
      <c r="Z1952" s="19" t="s">
        <v>772</v>
      </c>
      <c r="AA1952" s="210">
        <v>5000</v>
      </c>
      <c r="AB1952" s="9">
        <v>44</v>
      </c>
      <c r="AC1952" s="9">
        <v>28</v>
      </c>
      <c r="AD1952" s="17">
        <v>45751</v>
      </c>
      <c r="AE1952" s="56">
        <v>66.66</v>
      </c>
      <c r="AF1952" s="64"/>
      <c r="AG1952" s="10" t="s">
        <v>134</v>
      </c>
      <c r="AH1952" s="133">
        <v>45762</v>
      </c>
      <c r="AI1952" s="133"/>
      <c r="AJ1952" s="133"/>
      <c r="AK1952" s="134" t="s">
        <v>1669</v>
      </c>
      <c r="AL1952" s="11">
        <v>66.66</v>
      </c>
      <c r="AN1952" s="11" t="s">
        <v>1636</v>
      </c>
      <c r="AW1952" s="18">
        <v>45762</v>
      </c>
      <c r="AX1952" s="140">
        <v>4014</v>
      </c>
      <c r="BA1952" s="11">
        <v>66.66</v>
      </c>
      <c r="BD1952" s="9"/>
      <c r="CS1952" s="11">
        <f t="shared" si="136"/>
        <v>66.66</v>
      </c>
      <c r="CT1952" s="22">
        <f t="shared" si="137"/>
        <v>66.66</v>
      </c>
      <c r="CU1952" s="22">
        <f t="shared" si="138"/>
        <v>0</v>
      </c>
      <c r="CV1952" s="26">
        <f t="shared" si="135"/>
        <v>0</v>
      </c>
    </row>
    <row r="1953" spans="1:100" x14ac:dyDescent="0.2">
      <c r="A1953" s="9" t="s">
        <v>482</v>
      </c>
      <c r="B1953" s="2">
        <v>107</v>
      </c>
      <c r="C1953" s="3" t="s">
        <v>95</v>
      </c>
      <c r="D1953" s="3" t="s">
        <v>96</v>
      </c>
      <c r="E1953" s="2" t="s">
        <v>486</v>
      </c>
      <c r="F1953" s="2">
        <v>2</v>
      </c>
      <c r="G1953" s="2" t="s">
        <v>79</v>
      </c>
      <c r="H1953" s="2">
        <v>5</v>
      </c>
      <c r="I1953" s="8">
        <v>136.85</v>
      </c>
      <c r="J1953" s="8">
        <v>42499</v>
      </c>
      <c r="K1953" s="3">
        <v>0</v>
      </c>
      <c r="L1953" s="3" t="s">
        <v>3</v>
      </c>
      <c r="M1953" s="9" t="s">
        <v>0</v>
      </c>
      <c r="N1953" s="9" t="s">
        <v>39</v>
      </c>
      <c r="O1953" s="9" t="s">
        <v>483</v>
      </c>
      <c r="P1953" s="9" t="s">
        <v>0</v>
      </c>
      <c r="Q1953" s="30" t="s">
        <v>484</v>
      </c>
      <c r="R1953" s="9" t="s">
        <v>485</v>
      </c>
      <c r="S1953" s="9" t="s">
        <v>487</v>
      </c>
      <c r="V1953" s="10">
        <v>12.5</v>
      </c>
      <c r="W1953" s="10"/>
      <c r="X1953" s="17">
        <v>44412</v>
      </c>
      <c r="Y1953" s="17">
        <v>44936</v>
      </c>
      <c r="Z1953" s="19" t="s">
        <v>772</v>
      </c>
      <c r="AA1953" s="210">
        <v>5000</v>
      </c>
      <c r="AB1953" s="9">
        <v>44</v>
      </c>
      <c r="AC1953" s="9">
        <v>29</v>
      </c>
      <c r="AD1953" s="17">
        <v>45781</v>
      </c>
      <c r="AE1953" s="56">
        <v>66.66</v>
      </c>
      <c r="AF1953" s="64"/>
      <c r="AG1953" s="10" t="s">
        <v>134</v>
      </c>
      <c r="AH1953" s="133">
        <v>45783</v>
      </c>
      <c r="AI1953" s="133"/>
      <c r="AJ1953" s="133"/>
      <c r="AK1953" s="134" t="s">
        <v>1670</v>
      </c>
      <c r="AL1953" s="11">
        <v>66.66</v>
      </c>
      <c r="AN1953" s="11" t="s">
        <v>1637</v>
      </c>
      <c r="AW1953" s="18">
        <v>45780</v>
      </c>
      <c r="AX1953" s="140">
        <v>4102</v>
      </c>
      <c r="BA1953" s="11">
        <v>66.66</v>
      </c>
      <c r="BD1953" s="9"/>
      <c r="CS1953" s="11">
        <f t="shared" si="136"/>
        <v>66.66</v>
      </c>
      <c r="CT1953" s="22">
        <f t="shared" si="137"/>
        <v>66.66</v>
      </c>
      <c r="CU1953" s="22">
        <f t="shared" si="138"/>
        <v>0</v>
      </c>
      <c r="CV1953" s="26">
        <f t="shared" si="135"/>
        <v>0</v>
      </c>
    </row>
    <row r="1954" spans="1:100" x14ac:dyDescent="0.2">
      <c r="A1954" s="9" t="s">
        <v>482</v>
      </c>
      <c r="B1954" s="2">
        <v>107</v>
      </c>
      <c r="C1954" s="3" t="s">
        <v>95</v>
      </c>
      <c r="D1954" s="3" t="s">
        <v>96</v>
      </c>
      <c r="E1954" s="2" t="s">
        <v>486</v>
      </c>
      <c r="F1954" s="2">
        <v>2</v>
      </c>
      <c r="G1954" s="2" t="s">
        <v>79</v>
      </c>
      <c r="H1954" s="2">
        <v>5</v>
      </c>
      <c r="I1954" s="8">
        <v>136.85</v>
      </c>
      <c r="J1954" s="8">
        <v>42499</v>
      </c>
      <c r="K1954" s="3">
        <v>0</v>
      </c>
      <c r="L1954" s="3" t="s">
        <v>3</v>
      </c>
      <c r="M1954" s="9" t="s">
        <v>0</v>
      </c>
      <c r="N1954" s="9" t="s">
        <v>39</v>
      </c>
      <c r="O1954" s="9" t="s">
        <v>483</v>
      </c>
      <c r="P1954" s="9" t="s">
        <v>0</v>
      </c>
      <c r="Q1954" s="30" t="s">
        <v>484</v>
      </c>
      <c r="R1954" s="9" t="s">
        <v>485</v>
      </c>
      <c r="S1954" s="9" t="s">
        <v>487</v>
      </c>
      <c r="V1954" s="10">
        <v>12.5</v>
      </c>
      <c r="W1954" s="10"/>
      <c r="X1954" s="17">
        <v>44412</v>
      </c>
      <c r="Y1954" s="17">
        <v>44936</v>
      </c>
      <c r="Z1954" s="19" t="s">
        <v>772</v>
      </c>
      <c r="AA1954" s="210">
        <v>5000</v>
      </c>
      <c r="AB1954" s="9">
        <v>44</v>
      </c>
      <c r="AC1954" s="9">
        <v>30</v>
      </c>
      <c r="AD1954" s="17">
        <v>45812</v>
      </c>
      <c r="AE1954" s="56">
        <v>66.66</v>
      </c>
      <c r="AF1954" s="64"/>
      <c r="AG1954" s="10" t="s">
        <v>134</v>
      </c>
      <c r="AH1954" s="133">
        <v>45826</v>
      </c>
      <c r="AI1954" s="133"/>
      <c r="AJ1954" s="133"/>
      <c r="AK1954" s="134" t="s">
        <v>1671</v>
      </c>
      <c r="AL1954" s="11">
        <v>66.66</v>
      </c>
      <c r="AN1954" s="11" t="s">
        <v>1640</v>
      </c>
      <c r="AW1954" s="18">
        <v>45825</v>
      </c>
      <c r="AX1954" s="140">
        <v>4315</v>
      </c>
      <c r="BA1954" s="11">
        <v>66.66</v>
      </c>
      <c r="BD1954" s="9"/>
      <c r="CS1954" s="11">
        <f t="shared" si="136"/>
        <v>66.66</v>
      </c>
      <c r="CT1954" s="22">
        <f t="shared" si="137"/>
        <v>66.66</v>
      </c>
      <c r="CU1954" s="22">
        <f t="shared" si="138"/>
        <v>0</v>
      </c>
      <c r="CV1954" s="26">
        <f t="shared" si="135"/>
        <v>0</v>
      </c>
    </row>
    <row r="1955" spans="1:100" x14ac:dyDescent="0.2">
      <c r="A1955" s="9" t="s">
        <v>482</v>
      </c>
      <c r="B1955" s="2">
        <v>107</v>
      </c>
      <c r="C1955" s="3" t="s">
        <v>95</v>
      </c>
      <c r="D1955" s="3" t="s">
        <v>96</v>
      </c>
      <c r="E1955" s="2" t="s">
        <v>486</v>
      </c>
      <c r="F1955" s="2">
        <v>2</v>
      </c>
      <c r="G1955" s="2" t="s">
        <v>79</v>
      </c>
      <c r="H1955" s="2">
        <v>5</v>
      </c>
      <c r="I1955" s="8">
        <v>136.85</v>
      </c>
      <c r="J1955" s="8">
        <v>42499</v>
      </c>
      <c r="K1955" s="3">
        <v>0</v>
      </c>
      <c r="L1955" s="3" t="s">
        <v>3</v>
      </c>
      <c r="M1955" s="9" t="s">
        <v>0</v>
      </c>
      <c r="N1955" s="9" t="s">
        <v>39</v>
      </c>
      <c r="O1955" s="9" t="s">
        <v>483</v>
      </c>
      <c r="P1955" s="9" t="s">
        <v>0</v>
      </c>
      <c r="Q1955" s="30" t="s">
        <v>484</v>
      </c>
      <c r="R1955" s="9" t="s">
        <v>485</v>
      </c>
      <c r="S1955" s="9" t="s">
        <v>487</v>
      </c>
      <c r="V1955" s="10">
        <v>12.5</v>
      </c>
      <c r="W1955" s="10"/>
      <c r="X1955" s="17">
        <v>44412</v>
      </c>
      <c r="Y1955" s="17">
        <v>44936</v>
      </c>
      <c r="Z1955" s="19" t="s">
        <v>772</v>
      </c>
      <c r="AA1955" s="210">
        <v>5000</v>
      </c>
      <c r="AB1955" s="9">
        <v>44</v>
      </c>
      <c r="AC1955" s="9">
        <v>31</v>
      </c>
      <c r="AD1955" s="17">
        <v>45842</v>
      </c>
      <c r="AE1955" s="56">
        <v>66.66</v>
      </c>
      <c r="AF1955" s="64"/>
      <c r="AG1955" s="10" t="s">
        <v>134</v>
      </c>
      <c r="AH1955" s="133">
        <v>45846</v>
      </c>
      <c r="AI1955" s="133"/>
      <c r="AJ1955" s="133"/>
      <c r="AK1955" s="134" t="s">
        <v>1672</v>
      </c>
      <c r="AL1955" s="11">
        <v>66.66</v>
      </c>
      <c r="AN1955" s="11" t="s">
        <v>1641</v>
      </c>
      <c r="AW1955" s="18">
        <v>45846</v>
      </c>
      <c r="AX1955" s="140">
        <v>4388</v>
      </c>
      <c r="BA1955" s="11">
        <v>66.66</v>
      </c>
      <c r="BD1955" s="9"/>
      <c r="CS1955" s="11">
        <f t="shared" si="136"/>
        <v>66.66</v>
      </c>
      <c r="CT1955" s="22">
        <f t="shared" si="137"/>
        <v>66.66</v>
      </c>
      <c r="CU1955" s="22">
        <f t="shared" si="138"/>
        <v>0</v>
      </c>
      <c r="CV1955" s="26">
        <f t="shared" si="135"/>
        <v>0</v>
      </c>
    </row>
    <row r="1956" spans="1:100" x14ac:dyDescent="0.2">
      <c r="A1956" s="9" t="s">
        <v>482</v>
      </c>
      <c r="B1956" s="2">
        <v>107</v>
      </c>
      <c r="C1956" s="3" t="s">
        <v>95</v>
      </c>
      <c r="D1956" s="3" t="s">
        <v>96</v>
      </c>
      <c r="E1956" s="2" t="s">
        <v>486</v>
      </c>
      <c r="F1956" s="2">
        <v>2</v>
      </c>
      <c r="G1956" s="2" t="s">
        <v>79</v>
      </c>
      <c r="H1956" s="2">
        <v>5</v>
      </c>
      <c r="I1956" s="8">
        <v>136.85</v>
      </c>
      <c r="J1956" s="8">
        <v>42499</v>
      </c>
      <c r="K1956" s="3">
        <v>0</v>
      </c>
      <c r="L1956" s="3" t="s">
        <v>3</v>
      </c>
      <c r="M1956" s="9" t="s">
        <v>0</v>
      </c>
      <c r="N1956" s="9" t="s">
        <v>39</v>
      </c>
      <c r="O1956" s="9" t="s">
        <v>483</v>
      </c>
      <c r="P1956" s="9" t="s">
        <v>0</v>
      </c>
      <c r="Q1956" s="30" t="s">
        <v>484</v>
      </c>
      <c r="R1956" s="9" t="s">
        <v>485</v>
      </c>
      <c r="S1956" s="9" t="s">
        <v>487</v>
      </c>
      <c r="V1956" s="10">
        <v>12.5</v>
      </c>
      <c r="W1956" s="10"/>
      <c r="X1956" s="17">
        <v>44412</v>
      </c>
      <c r="Y1956" s="17">
        <v>44936</v>
      </c>
      <c r="Z1956" s="19" t="s">
        <v>772</v>
      </c>
      <c r="AA1956" s="210">
        <v>5000</v>
      </c>
      <c r="AB1956" s="9">
        <v>44</v>
      </c>
      <c r="AC1956" s="9">
        <v>32</v>
      </c>
      <c r="AD1956" s="17">
        <v>45873</v>
      </c>
      <c r="AE1956" s="56">
        <v>66.66</v>
      </c>
      <c r="AF1956" s="64"/>
      <c r="AG1956" s="10" t="s">
        <v>134</v>
      </c>
      <c r="AH1956" s="133">
        <v>45888</v>
      </c>
      <c r="AI1956" s="133"/>
      <c r="AJ1956" s="133"/>
      <c r="AK1956" s="134" t="s">
        <v>1673</v>
      </c>
      <c r="AL1956" s="11">
        <v>66.66</v>
      </c>
      <c r="AN1956" s="11" t="s">
        <v>1644</v>
      </c>
      <c r="AW1956" s="18">
        <v>45888</v>
      </c>
      <c r="AX1956" s="140">
        <v>4591</v>
      </c>
      <c r="BA1956" s="11">
        <v>66.66</v>
      </c>
      <c r="BD1956" s="9"/>
      <c r="CS1956" s="11">
        <f t="shared" si="136"/>
        <v>66.66</v>
      </c>
      <c r="CT1956" s="22">
        <f t="shared" si="137"/>
        <v>66.66</v>
      </c>
      <c r="CU1956" s="22">
        <f t="shared" si="138"/>
        <v>0</v>
      </c>
      <c r="CV1956" s="26">
        <f t="shared" si="135"/>
        <v>0</v>
      </c>
    </row>
    <row r="1957" spans="1:100" x14ac:dyDescent="0.2">
      <c r="A1957" s="9" t="s">
        <v>482</v>
      </c>
      <c r="B1957" s="2">
        <v>107</v>
      </c>
      <c r="C1957" s="3" t="s">
        <v>95</v>
      </c>
      <c r="D1957" s="3" t="s">
        <v>96</v>
      </c>
      <c r="E1957" s="2" t="s">
        <v>486</v>
      </c>
      <c r="F1957" s="2">
        <v>2</v>
      </c>
      <c r="G1957" s="2" t="s">
        <v>79</v>
      </c>
      <c r="H1957" s="2">
        <v>5</v>
      </c>
      <c r="I1957" s="8">
        <v>136.85</v>
      </c>
      <c r="J1957" s="8">
        <v>42499</v>
      </c>
      <c r="K1957" s="3">
        <v>0</v>
      </c>
      <c r="L1957" s="3" t="s">
        <v>3</v>
      </c>
      <c r="M1957" s="9" t="s">
        <v>0</v>
      </c>
      <c r="N1957" s="9" t="s">
        <v>39</v>
      </c>
      <c r="O1957" s="9" t="s">
        <v>483</v>
      </c>
      <c r="P1957" s="9" t="s">
        <v>0</v>
      </c>
      <c r="Q1957" s="30" t="s">
        <v>484</v>
      </c>
      <c r="R1957" s="9" t="s">
        <v>485</v>
      </c>
      <c r="S1957" s="9" t="s">
        <v>487</v>
      </c>
      <c r="V1957" s="10">
        <v>12.5</v>
      </c>
      <c r="W1957" s="10"/>
      <c r="X1957" s="17">
        <v>44412</v>
      </c>
      <c r="Y1957" s="17">
        <v>44936</v>
      </c>
      <c r="Z1957" s="19" t="s">
        <v>772</v>
      </c>
      <c r="AA1957" s="210">
        <v>5000</v>
      </c>
      <c r="AB1957" s="9">
        <v>44</v>
      </c>
      <c r="AC1957" s="9">
        <v>33</v>
      </c>
      <c r="AD1957" s="17">
        <v>45904</v>
      </c>
      <c r="AE1957" s="56">
        <v>66.66</v>
      </c>
      <c r="AF1957" s="64"/>
      <c r="AG1957" s="10" t="s">
        <v>134</v>
      </c>
      <c r="AH1957" s="133">
        <v>45917</v>
      </c>
      <c r="AI1957" s="133"/>
      <c r="AJ1957" s="133"/>
      <c r="AK1957" s="134" t="s">
        <v>1674</v>
      </c>
      <c r="AL1957" s="11">
        <v>66.66</v>
      </c>
      <c r="AN1957" s="11" t="s">
        <v>1646</v>
      </c>
      <c r="AW1957" s="18">
        <v>45917</v>
      </c>
      <c r="AX1957" s="140">
        <v>4735</v>
      </c>
      <c r="BA1957" s="11">
        <v>66.66</v>
      </c>
      <c r="BD1957" s="9"/>
      <c r="CS1957" s="11">
        <f t="shared" si="136"/>
        <v>66.66</v>
      </c>
      <c r="CT1957" s="22">
        <f t="shared" si="137"/>
        <v>66.66</v>
      </c>
      <c r="CU1957" s="22">
        <f t="shared" si="138"/>
        <v>0</v>
      </c>
      <c r="CV1957" s="26">
        <f t="shared" si="135"/>
        <v>0</v>
      </c>
    </row>
    <row r="1958" spans="1:100" x14ac:dyDescent="0.2">
      <c r="A1958" s="9" t="s">
        <v>482</v>
      </c>
      <c r="B1958" s="2">
        <v>107</v>
      </c>
      <c r="C1958" s="3" t="s">
        <v>95</v>
      </c>
      <c r="D1958" s="3" t="s">
        <v>96</v>
      </c>
      <c r="E1958" s="2" t="s">
        <v>486</v>
      </c>
      <c r="F1958" s="2">
        <v>2</v>
      </c>
      <c r="G1958" s="2" t="s">
        <v>79</v>
      </c>
      <c r="H1958" s="2">
        <v>5</v>
      </c>
      <c r="I1958" s="8">
        <v>136.85</v>
      </c>
      <c r="J1958" s="8">
        <v>42499</v>
      </c>
      <c r="K1958" s="3">
        <v>0</v>
      </c>
      <c r="L1958" s="3" t="s">
        <v>3</v>
      </c>
      <c r="M1958" s="9" t="s">
        <v>0</v>
      </c>
      <c r="N1958" s="9" t="s">
        <v>39</v>
      </c>
      <c r="O1958" s="9" t="s">
        <v>483</v>
      </c>
      <c r="P1958" s="9" t="s">
        <v>0</v>
      </c>
      <c r="Q1958" s="30" t="s">
        <v>484</v>
      </c>
      <c r="R1958" s="9" t="s">
        <v>485</v>
      </c>
      <c r="S1958" s="9" t="s">
        <v>487</v>
      </c>
      <c r="V1958" s="10">
        <v>12.5</v>
      </c>
      <c r="W1958" s="10"/>
      <c r="X1958" s="17">
        <v>44412</v>
      </c>
      <c r="Y1958" s="17">
        <v>44936</v>
      </c>
      <c r="Z1958" s="19" t="s">
        <v>772</v>
      </c>
      <c r="AA1958" s="210">
        <v>5000</v>
      </c>
      <c r="AB1958" s="9">
        <v>44</v>
      </c>
      <c r="AC1958" s="9">
        <v>34</v>
      </c>
      <c r="AD1958" s="17">
        <v>45934</v>
      </c>
      <c r="AE1958" s="56">
        <v>66.66</v>
      </c>
      <c r="BD1958" s="9"/>
      <c r="CS1958" s="11">
        <f t="shared" si="136"/>
        <v>0</v>
      </c>
      <c r="CT1958" s="22">
        <f t="shared" si="137"/>
        <v>0</v>
      </c>
      <c r="CU1958" s="22">
        <f t="shared" si="138"/>
        <v>0</v>
      </c>
      <c r="CV1958" s="26">
        <f t="shared" si="135"/>
        <v>66.66</v>
      </c>
    </row>
    <row r="1959" spans="1:100" x14ac:dyDescent="0.2">
      <c r="A1959" s="9" t="s">
        <v>482</v>
      </c>
      <c r="B1959" s="2">
        <v>107</v>
      </c>
      <c r="C1959" s="3" t="s">
        <v>95</v>
      </c>
      <c r="D1959" s="3" t="s">
        <v>96</v>
      </c>
      <c r="E1959" s="2" t="s">
        <v>486</v>
      </c>
      <c r="F1959" s="2">
        <v>2</v>
      </c>
      <c r="G1959" s="2" t="s">
        <v>79</v>
      </c>
      <c r="H1959" s="2">
        <v>5</v>
      </c>
      <c r="I1959" s="8">
        <v>136.85</v>
      </c>
      <c r="J1959" s="8">
        <v>42499</v>
      </c>
      <c r="K1959" s="3">
        <v>0</v>
      </c>
      <c r="L1959" s="3" t="s">
        <v>3</v>
      </c>
      <c r="M1959" s="9" t="s">
        <v>0</v>
      </c>
      <c r="N1959" s="9" t="s">
        <v>39</v>
      </c>
      <c r="O1959" s="9" t="s">
        <v>483</v>
      </c>
      <c r="P1959" s="9" t="s">
        <v>0</v>
      </c>
      <c r="Q1959" s="30" t="s">
        <v>484</v>
      </c>
      <c r="R1959" s="9" t="s">
        <v>485</v>
      </c>
      <c r="S1959" s="9" t="s">
        <v>487</v>
      </c>
      <c r="V1959" s="10">
        <v>12.5</v>
      </c>
      <c r="W1959" s="10"/>
      <c r="X1959" s="17">
        <v>44412</v>
      </c>
      <c r="Y1959" s="17">
        <v>44936</v>
      </c>
      <c r="Z1959" s="19" t="s">
        <v>772</v>
      </c>
      <c r="AA1959" s="210">
        <v>5000</v>
      </c>
      <c r="AB1959" s="9">
        <v>44</v>
      </c>
      <c r="AC1959" s="9">
        <v>35</v>
      </c>
      <c r="AD1959" s="17">
        <v>45965</v>
      </c>
      <c r="AE1959" s="56">
        <v>66.66</v>
      </c>
      <c r="AF1959" s="56"/>
      <c r="BD1959" s="9"/>
      <c r="CS1959" s="11">
        <f t="shared" si="136"/>
        <v>0</v>
      </c>
      <c r="CT1959" s="22">
        <f t="shared" si="137"/>
        <v>0</v>
      </c>
      <c r="CU1959" s="22">
        <f t="shared" si="138"/>
        <v>0</v>
      </c>
      <c r="CV1959" s="26">
        <f t="shared" si="135"/>
        <v>66.66</v>
      </c>
    </row>
    <row r="1960" spans="1:100" x14ac:dyDescent="0.2">
      <c r="A1960" s="9" t="s">
        <v>482</v>
      </c>
      <c r="B1960" s="2">
        <v>107</v>
      </c>
      <c r="C1960" s="3" t="s">
        <v>95</v>
      </c>
      <c r="D1960" s="3" t="s">
        <v>96</v>
      </c>
      <c r="E1960" s="2" t="s">
        <v>486</v>
      </c>
      <c r="F1960" s="2">
        <v>2</v>
      </c>
      <c r="G1960" s="2" t="s">
        <v>79</v>
      </c>
      <c r="H1960" s="2">
        <v>5</v>
      </c>
      <c r="I1960" s="8">
        <v>136.85</v>
      </c>
      <c r="J1960" s="8">
        <v>42499</v>
      </c>
      <c r="K1960" s="3">
        <v>0</v>
      </c>
      <c r="L1960" s="3" t="s">
        <v>3</v>
      </c>
      <c r="M1960" s="9" t="s">
        <v>0</v>
      </c>
      <c r="N1960" s="9" t="s">
        <v>39</v>
      </c>
      <c r="O1960" s="9" t="s">
        <v>483</v>
      </c>
      <c r="P1960" s="9" t="s">
        <v>0</v>
      </c>
      <c r="Q1960" s="30" t="s">
        <v>484</v>
      </c>
      <c r="R1960" s="9" t="s">
        <v>485</v>
      </c>
      <c r="S1960" s="9" t="s">
        <v>487</v>
      </c>
      <c r="V1960" s="10">
        <v>12.5</v>
      </c>
      <c r="W1960" s="10"/>
      <c r="X1960" s="17">
        <v>44412</v>
      </c>
      <c r="Y1960" s="17">
        <v>44936</v>
      </c>
      <c r="Z1960" s="19" t="s">
        <v>772</v>
      </c>
      <c r="AA1960" s="210">
        <v>5000</v>
      </c>
      <c r="AB1960" s="9">
        <v>44</v>
      </c>
      <c r="AC1960" s="9">
        <v>36</v>
      </c>
      <c r="AD1960" s="17">
        <v>45995</v>
      </c>
      <c r="AE1960" s="56">
        <v>66.66</v>
      </c>
      <c r="AF1960" s="56"/>
      <c r="BD1960" s="9"/>
      <c r="CS1960" s="11">
        <f t="shared" si="136"/>
        <v>0</v>
      </c>
      <c r="CT1960" s="22">
        <f t="shared" si="137"/>
        <v>0</v>
      </c>
      <c r="CU1960" s="22">
        <f t="shared" si="138"/>
        <v>0</v>
      </c>
      <c r="CV1960" s="26">
        <f t="shared" si="135"/>
        <v>66.66</v>
      </c>
    </row>
    <row r="1961" spans="1:100" x14ac:dyDescent="0.2">
      <c r="A1961" s="9" t="s">
        <v>482</v>
      </c>
      <c r="B1961" s="2">
        <v>107</v>
      </c>
      <c r="C1961" s="3" t="s">
        <v>95</v>
      </c>
      <c r="D1961" s="3" t="s">
        <v>96</v>
      </c>
      <c r="E1961" s="2" t="s">
        <v>486</v>
      </c>
      <c r="F1961" s="2">
        <v>2</v>
      </c>
      <c r="G1961" s="2" t="s">
        <v>79</v>
      </c>
      <c r="H1961" s="2">
        <v>5</v>
      </c>
      <c r="I1961" s="8">
        <v>136.85</v>
      </c>
      <c r="J1961" s="8">
        <v>42499</v>
      </c>
      <c r="K1961" s="3">
        <v>0</v>
      </c>
      <c r="L1961" s="3" t="s">
        <v>3</v>
      </c>
      <c r="M1961" s="9" t="s">
        <v>0</v>
      </c>
      <c r="N1961" s="9" t="s">
        <v>39</v>
      </c>
      <c r="O1961" s="9" t="s">
        <v>483</v>
      </c>
      <c r="P1961" s="9" t="s">
        <v>0</v>
      </c>
      <c r="Q1961" s="30" t="s">
        <v>484</v>
      </c>
      <c r="R1961" s="9" t="s">
        <v>485</v>
      </c>
      <c r="S1961" s="9" t="s">
        <v>487</v>
      </c>
      <c r="V1961" s="10">
        <v>12.5</v>
      </c>
      <c r="W1961" s="10"/>
      <c r="X1961" s="17">
        <v>44412</v>
      </c>
      <c r="Y1961" s="17">
        <v>44936</v>
      </c>
      <c r="Z1961" s="19" t="s">
        <v>772</v>
      </c>
      <c r="AA1961" s="210">
        <v>5000</v>
      </c>
      <c r="AB1961" s="9">
        <v>44</v>
      </c>
      <c r="AC1961" s="9">
        <v>37</v>
      </c>
      <c r="AD1961" s="17">
        <v>46026</v>
      </c>
      <c r="AE1961" s="56">
        <v>66.66</v>
      </c>
      <c r="AF1961" s="56"/>
      <c r="AW1961" s="9"/>
      <c r="BD1961" s="9"/>
      <c r="CS1961" s="11">
        <f t="shared" si="136"/>
        <v>0</v>
      </c>
      <c r="CT1961" s="22">
        <f t="shared" si="137"/>
        <v>0</v>
      </c>
      <c r="CU1961" s="22">
        <f t="shared" si="138"/>
        <v>0</v>
      </c>
      <c r="CV1961" s="26">
        <f t="shared" si="135"/>
        <v>66.66</v>
      </c>
    </row>
    <row r="1962" spans="1:100" x14ac:dyDescent="0.2">
      <c r="A1962" s="9" t="s">
        <v>482</v>
      </c>
      <c r="B1962" s="2">
        <v>107</v>
      </c>
      <c r="C1962" s="3" t="s">
        <v>95</v>
      </c>
      <c r="D1962" s="3" t="s">
        <v>96</v>
      </c>
      <c r="E1962" s="2" t="s">
        <v>486</v>
      </c>
      <c r="F1962" s="2">
        <v>2</v>
      </c>
      <c r="G1962" s="2" t="s">
        <v>79</v>
      </c>
      <c r="H1962" s="2">
        <v>5</v>
      </c>
      <c r="I1962" s="8">
        <v>136.85</v>
      </c>
      <c r="J1962" s="8">
        <v>42499</v>
      </c>
      <c r="K1962" s="3">
        <v>0</v>
      </c>
      <c r="L1962" s="3" t="s">
        <v>3</v>
      </c>
      <c r="M1962" s="9" t="s">
        <v>0</v>
      </c>
      <c r="N1962" s="9" t="s">
        <v>39</v>
      </c>
      <c r="O1962" s="9" t="s">
        <v>483</v>
      </c>
      <c r="P1962" s="9" t="s">
        <v>0</v>
      </c>
      <c r="Q1962" s="30" t="s">
        <v>484</v>
      </c>
      <c r="R1962" s="9" t="s">
        <v>485</v>
      </c>
      <c r="S1962" s="9" t="s">
        <v>487</v>
      </c>
      <c r="V1962" s="10">
        <v>12.5</v>
      </c>
      <c r="W1962" s="10"/>
      <c r="X1962" s="17">
        <v>44412</v>
      </c>
      <c r="Y1962" s="17">
        <v>44936</v>
      </c>
      <c r="Z1962" s="19" t="s">
        <v>772</v>
      </c>
      <c r="AA1962" s="210">
        <v>5000</v>
      </c>
      <c r="AB1962" s="9">
        <v>44</v>
      </c>
      <c r="AC1962" s="9">
        <v>38</v>
      </c>
      <c r="AD1962" s="17">
        <v>46057</v>
      </c>
      <c r="AE1962" s="56">
        <v>66.66</v>
      </c>
      <c r="AF1962" s="56"/>
      <c r="AW1962" s="9"/>
      <c r="BD1962" s="9"/>
      <c r="CS1962" s="11">
        <f t="shared" si="136"/>
        <v>0</v>
      </c>
      <c r="CT1962" s="22">
        <f t="shared" si="137"/>
        <v>0</v>
      </c>
      <c r="CU1962" s="22">
        <f t="shared" si="138"/>
        <v>0</v>
      </c>
      <c r="CV1962" s="26">
        <f t="shared" si="135"/>
        <v>66.66</v>
      </c>
    </row>
    <row r="1963" spans="1:100" x14ac:dyDescent="0.2">
      <c r="A1963" s="9" t="s">
        <v>482</v>
      </c>
      <c r="B1963" s="2">
        <v>107</v>
      </c>
      <c r="C1963" s="3" t="s">
        <v>95</v>
      </c>
      <c r="D1963" s="3" t="s">
        <v>96</v>
      </c>
      <c r="E1963" s="2" t="s">
        <v>486</v>
      </c>
      <c r="F1963" s="2">
        <v>2</v>
      </c>
      <c r="G1963" s="2" t="s">
        <v>79</v>
      </c>
      <c r="H1963" s="2">
        <v>5</v>
      </c>
      <c r="I1963" s="8">
        <v>136.85</v>
      </c>
      <c r="J1963" s="8">
        <v>42499</v>
      </c>
      <c r="K1963" s="3">
        <v>0</v>
      </c>
      <c r="L1963" s="3" t="s">
        <v>3</v>
      </c>
      <c r="M1963" s="9" t="s">
        <v>0</v>
      </c>
      <c r="N1963" s="9" t="s">
        <v>39</v>
      </c>
      <c r="O1963" s="9" t="s">
        <v>483</v>
      </c>
      <c r="P1963" s="9" t="s">
        <v>0</v>
      </c>
      <c r="Q1963" s="30" t="s">
        <v>484</v>
      </c>
      <c r="R1963" s="9" t="s">
        <v>485</v>
      </c>
      <c r="S1963" s="9" t="s">
        <v>487</v>
      </c>
      <c r="V1963" s="10">
        <v>12.5</v>
      </c>
      <c r="W1963" s="10"/>
      <c r="X1963" s="17">
        <v>44412</v>
      </c>
      <c r="Y1963" s="17">
        <v>44936</v>
      </c>
      <c r="Z1963" s="19" t="s">
        <v>772</v>
      </c>
      <c r="AA1963" s="210">
        <v>5000</v>
      </c>
      <c r="AB1963" s="9">
        <v>44</v>
      </c>
      <c r="AC1963" s="9">
        <v>39</v>
      </c>
      <c r="AD1963" s="17">
        <v>46085</v>
      </c>
      <c r="AE1963" s="56">
        <v>66.66</v>
      </c>
      <c r="AF1963" s="56"/>
      <c r="AW1963" s="9"/>
      <c r="BD1963" s="9"/>
      <c r="CS1963" s="11">
        <f t="shared" si="136"/>
        <v>0</v>
      </c>
      <c r="CT1963" s="22">
        <f t="shared" si="137"/>
        <v>0</v>
      </c>
      <c r="CU1963" s="22">
        <f t="shared" si="138"/>
        <v>0</v>
      </c>
      <c r="CV1963" s="26">
        <f t="shared" si="135"/>
        <v>66.66</v>
      </c>
    </row>
    <row r="1964" spans="1:100" x14ac:dyDescent="0.2">
      <c r="A1964" s="9" t="s">
        <v>482</v>
      </c>
      <c r="B1964" s="2">
        <v>107</v>
      </c>
      <c r="C1964" s="3" t="s">
        <v>95</v>
      </c>
      <c r="D1964" s="3" t="s">
        <v>96</v>
      </c>
      <c r="E1964" s="2" t="s">
        <v>486</v>
      </c>
      <c r="F1964" s="2">
        <v>2</v>
      </c>
      <c r="G1964" s="2" t="s">
        <v>79</v>
      </c>
      <c r="H1964" s="2">
        <v>5</v>
      </c>
      <c r="I1964" s="8">
        <v>136.85</v>
      </c>
      <c r="J1964" s="8">
        <v>42499</v>
      </c>
      <c r="K1964" s="3">
        <v>0</v>
      </c>
      <c r="L1964" s="3" t="s">
        <v>3</v>
      </c>
      <c r="M1964" s="9" t="s">
        <v>0</v>
      </c>
      <c r="N1964" s="9" t="s">
        <v>39</v>
      </c>
      <c r="O1964" s="9" t="s">
        <v>483</v>
      </c>
      <c r="P1964" s="9" t="s">
        <v>0</v>
      </c>
      <c r="Q1964" s="30" t="s">
        <v>484</v>
      </c>
      <c r="R1964" s="9" t="s">
        <v>485</v>
      </c>
      <c r="S1964" s="9" t="s">
        <v>487</v>
      </c>
      <c r="V1964" s="10">
        <v>12.5</v>
      </c>
      <c r="W1964" s="10"/>
      <c r="X1964" s="17">
        <v>44412</v>
      </c>
      <c r="Y1964" s="17">
        <v>44936</v>
      </c>
      <c r="Z1964" s="19" t="s">
        <v>772</v>
      </c>
      <c r="AA1964" s="210">
        <v>5000</v>
      </c>
      <c r="AB1964" s="9">
        <v>44</v>
      </c>
      <c r="AC1964" s="9">
        <v>40</v>
      </c>
      <c r="AD1964" s="17">
        <v>46116</v>
      </c>
      <c r="AE1964" s="56">
        <v>66.66</v>
      </c>
      <c r="AF1964" s="56"/>
      <c r="AW1964" s="9"/>
      <c r="BD1964" s="9"/>
      <c r="CS1964" s="11">
        <f t="shared" si="136"/>
        <v>0</v>
      </c>
      <c r="CT1964" s="22">
        <f t="shared" si="137"/>
        <v>0</v>
      </c>
      <c r="CU1964" s="22">
        <f t="shared" si="138"/>
        <v>0</v>
      </c>
      <c r="CV1964" s="26">
        <f t="shared" si="135"/>
        <v>66.66</v>
      </c>
    </row>
    <row r="1965" spans="1:100" x14ac:dyDescent="0.2">
      <c r="A1965" s="9" t="s">
        <v>482</v>
      </c>
      <c r="B1965" s="2">
        <v>107</v>
      </c>
      <c r="C1965" s="3" t="s">
        <v>95</v>
      </c>
      <c r="D1965" s="3" t="s">
        <v>96</v>
      </c>
      <c r="E1965" s="2" t="s">
        <v>486</v>
      </c>
      <c r="F1965" s="2">
        <v>2</v>
      </c>
      <c r="G1965" s="2" t="s">
        <v>79</v>
      </c>
      <c r="H1965" s="2">
        <v>5</v>
      </c>
      <c r="I1965" s="8">
        <v>136.85</v>
      </c>
      <c r="J1965" s="8">
        <v>42499</v>
      </c>
      <c r="K1965" s="3">
        <v>0</v>
      </c>
      <c r="L1965" s="3" t="s">
        <v>3</v>
      </c>
      <c r="M1965" s="9" t="s">
        <v>0</v>
      </c>
      <c r="N1965" s="9" t="s">
        <v>39</v>
      </c>
      <c r="O1965" s="9" t="s">
        <v>483</v>
      </c>
      <c r="P1965" s="9" t="s">
        <v>0</v>
      </c>
      <c r="Q1965" s="30" t="s">
        <v>484</v>
      </c>
      <c r="R1965" s="9" t="s">
        <v>485</v>
      </c>
      <c r="S1965" s="9" t="s">
        <v>487</v>
      </c>
      <c r="V1965" s="10">
        <v>12.5</v>
      </c>
      <c r="W1965" s="10"/>
      <c r="X1965" s="17">
        <v>44412</v>
      </c>
      <c r="Y1965" s="17">
        <v>44936</v>
      </c>
      <c r="Z1965" s="19" t="s">
        <v>772</v>
      </c>
      <c r="AA1965" s="210">
        <v>5000</v>
      </c>
      <c r="AB1965" s="9">
        <v>44</v>
      </c>
      <c r="AC1965" s="9">
        <v>41</v>
      </c>
      <c r="AD1965" s="17">
        <v>46146</v>
      </c>
      <c r="AE1965" s="56">
        <v>66.66</v>
      </c>
      <c r="AF1965" s="56"/>
      <c r="AW1965" s="9"/>
      <c r="BD1965" s="9"/>
      <c r="CS1965" s="11">
        <f t="shared" si="136"/>
        <v>0</v>
      </c>
      <c r="CT1965" s="22">
        <f t="shared" si="137"/>
        <v>0</v>
      </c>
      <c r="CU1965" s="22">
        <f t="shared" si="138"/>
        <v>0</v>
      </c>
      <c r="CV1965" s="26">
        <f t="shared" si="135"/>
        <v>66.66</v>
      </c>
    </row>
    <row r="1966" spans="1:100" x14ac:dyDescent="0.2">
      <c r="A1966" s="9" t="s">
        <v>482</v>
      </c>
      <c r="B1966" s="2">
        <v>107</v>
      </c>
      <c r="C1966" s="3" t="s">
        <v>95</v>
      </c>
      <c r="D1966" s="3" t="s">
        <v>96</v>
      </c>
      <c r="E1966" s="2" t="s">
        <v>486</v>
      </c>
      <c r="F1966" s="2">
        <v>2</v>
      </c>
      <c r="G1966" s="2" t="s">
        <v>79</v>
      </c>
      <c r="H1966" s="2">
        <v>5</v>
      </c>
      <c r="I1966" s="8">
        <v>136.85</v>
      </c>
      <c r="J1966" s="8">
        <v>42499</v>
      </c>
      <c r="K1966" s="3">
        <v>0</v>
      </c>
      <c r="L1966" s="3" t="s">
        <v>3</v>
      </c>
      <c r="M1966" s="9" t="s">
        <v>0</v>
      </c>
      <c r="N1966" s="9" t="s">
        <v>39</v>
      </c>
      <c r="O1966" s="9" t="s">
        <v>483</v>
      </c>
      <c r="P1966" s="9" t="s">
        <v>0</v>
      </c>
      <c r="Q1966" s="30" t="s">
        <v>484</v>
      </c>
      <c r="R1966" s="9" t="s">
        <v>485</v>
      </c>
      <c r="S1966" s="9" t="s">
        <v>487</v>
      </c>
      <c r="V1966" s="10">
        <v>12.5</v>
      </c>
      <c r="W1966" s="10"/>
      <c r="X1966" s="17">
        <v>44412</v>
      </c>
      <c r="Y1966" s="17">
        <v>44936</v>
      </c>
      <c r="Z1966" s="19" t="s">
        <v>772</v>
      </c>
      <c r="AA1966" s="210">
        <v>5000</v>
      </c>
      <c r="AB1966" s="9">
        <v>44</v>
      </c>
      <c r="AC1966" s="9">
        <v>42</v>
      </c>
      <c r="AD1966" s="17">
        <v>46177</v>
      </c>
      <c r="AE1966" s="56">
        <v>66.66</v>
      </c>
      <c r="AF1966" s="56"/>
      <c r="AW1966" s="9"/>
      <c r="BD1966" s="9"/>
      <c r="CS1966" s="11">
        <f t="shared" si="136"/>
        <v>0</v>
      </c>
      <c r="CT1966" s="22">
        <f t="shared" si="137"/>
        <v>0</v>
      </c>
      <c r="CU1966" s="22">
        <f t="shared" si="138"/>
        <v>0</v>
      </c>
      <c r="CV1966" s="26">
        <f t="shared" si="135"/>
        <v>66.66</v>
      </c>
    </row>
    <row r="1967" spans="1:100" x14ac:dyDescent="0.2">
      <c r="A1967" s="9" t="s">
        <v>482</v>
      </c>
      <c r="B1967" s="2">
        <v>107</v>
      </c>
      <c r="C1967" s="3" t="s">
        <v>95</v>
      </c>
      <c r="D1967" s="3" t="s">
        <v>96</v>
      </c>
      <c r="E1967" s="2" t="s">
        <v>486</v>
      </c>
      <c r="F1967" s="2">
        <v>2</v>
      </c>
      <c r="G1967" s="2" t="s">
        <v>79</v>
      </c>
      <c r="H1967" s="2">
        <v>5</v>
      </c>
      <c r="I1967" s="8">
        <v>136.85</v>
      </c>
      <c r="J1967" s="8">
        <v>42499</v>
      </c>
      <c r="K1967" s="3">
        <v>0</v>
      </c>
      <c r="L1967" s="3" t="s">
        <v>3</v>
      </c>
      <c r="M1967" s="9" t="s">
        <v>0</v>
      </c>
      <c r="N1967" s="9" t="s">
        <v>39</v>
      </c>
      <c r="O1967" s="9" t="s">
        <v>483</v>
      </c>
      <c r="P1967" s="9" t="s">
        <v>0</v>
      </c>
      <c r="Q1967" s="30" t="s">
        <v>484</v>
      </c>
      <c r="R1967" s="9" t="s">
        <v>485</v>
      </c>
      <c r="S1967" s="9" t="s">
        <v>487</v>
      </c>
      <c r="V1967" s="10">
        <v>12.5</v>
      </c>
      <c r="W1967" s="10"/>
      <c r="X1967" s="17">
        <v>44412</v>
      </c>
      <c r="Y1967" s="17">
        <v>44936</v>
      </c>
      <c r="Z1967" s="19" t="s">
        <v>772</v>
      </c>
      <c r="AA1967" s="210">
        <v>5000</v>
      </c>
      <c r="AB1967" s="9">
        <v>44</v>
      </c>
      <c r="AC1967" s="9">
        <v>43</v>
      </c>
      <c r="AD1967" s="17">
        <v>46207</v>
      </c>
      <c r="AE1967" s="56">
        <v>66.66</v>
      </c>
      <c r="AF1967" s="56"/>
      <c r="AW1967" s="9"/>
      <c r="BD1967" s="9"/>
      <c r="CS1967" s="11">
        <f t="shared" si="136"/>
        <v>0</v>
      </c>
      <c r="CT1967" s="22">
        <f t="shared" si="137"/>
        <v>0</v>
      </c>
      <c r="CU1967" s="22">
        <f t="shared" si="138"/>
        <v>0</v>
      </c>
      <c r="CV1967" s="26">
        <f t="shared" si="135"/>
        <v>66.66</v>
      </c>
    </row>
    <row r="1968" spans="1:100" x14ac:dyDescent="0.2">
      <c r="A1968" s="9" t="s">
        <v>482</v>
      </c>
      <c r="B1968" s="2">
        <v>107</v>
      </c>
      <c r="C1968" s="3" t="s">
        <v>95</v>
      </c>
      <c r="D1968" s="3" t="s">
        <v>96</v>
      </c>
      <c r="E1968" s="2" t="s">
        <v>486</v>
      </c>
      <c r="F1968" s="2">
        <v>2</v>
      </c>
      <c r="G1968" s="2" t="s">
        <v>79</v>
      </c>
      <c r="H1968" s="2">
        <v>5</v>
      </c>
      <c r="I1968" s="8">
        <v>136.85</v>
      </c>
      <c r="J1968" s="8">
        <v>42499</v>
      </c>
      <c r="K1968" s="3">
        <v>0</v>
      </c>
      <c r="L1968" s="3" t="s">
        <v>3</v>
      </c>
      <c r="M1968" s="9" t="s">
        <v>0</v>
      </c>
      <c r="N1968" s="9" t="s">
        <v>39</v>
      </c>
      <c r="O1968" s="9" t="s">
        <v>483</v>
      </c>
      <c r="P1968" s="9" t="s">
        <v>0</v>
      </c>
      <c r="Q1968" s="30" t="s">
        <v>484</v>
      </c>
      <c r="R1968" s="9" t="s">
        <v>485</v>
      </c>
      <c r="S1968" s="9" t="s">
        <v>487</v>
      </c>
      <c r="V1968" s="10">
        <v>12.5</v>
      </c>
      <c r="W1968" s="10"/>
      <c r="X1968" s="17">
        <v>44412</v>
      </c>
      <c r="Y1968" s="17">
        <v>44936</v>
      </c>
      <c r="Z1968" s="19" t="s">
        <v>772</v>
      </c>
      <c r="AA1968" s="210">
        <v>5000</v>
      </c>
      <c r="AB1968" s="9">
        <v>44</v>
      </c>
      <c r="AC1968" s="9">
        <v>44</v>
      </c>
      <c r="AD1968" s="17">
        <v>46238</v>
      </c>
      <c r="AE1968" s="56">
        <v>66.66</v>
      </c>
      <c r="AF1968" s="56"/>
      <c r="AW1968" s="9"/>
      <c r="BD1968" s="9"/>
      <c r="CS1968" s="11">
        <f t="shared" si="136"/>
        <v>0</v>
      </c>
      <c r="CT1968" s="22">
        <f t="shared" si="137"/>
        <v>0</v>
      </c>
      <c r="CU1968" s="22">
        <f t="shared" si="138"/>
        <v>0</v>
      </c>
      <c r="CV1968" s="26">
        <f t="shared" si="135"/>
        <v>66.66</v>
      </c>
    </row>
    <row r="1969" spans="1:100" x14ac:dyDescent="0.2">
      <c r="A1969" s="9" t="s">
        <v>488</v>
      </c>
      <c r="B1969" s="2">
        <v>21</v>
      </c>
      <c r="C1969" s="3" t="s">
        <v>95</v>
      </c>
      <c r="D1969" s="3" t="s">
        <v>96</v>
      </c>
      <c r="E1969" s="2"/>
      <c r="F1969" s="2"/>
      <c r="G1969" s="2" t="s">
        <v>68</v>
      </c>
      <c r="H1969" s="2">
        <v>1</v>
      </c>
      <c r="I1969" s="8">
        <v>145.31</v>
      </c>
      <c r="J1969" s="8">
        <v>45900</v>
      </c>
      <c r="K1969" s="3">
        <v>0</v>
      </c>
      <c r="L1969" s="3" t="s">
        <v>3</v>
      </c>
      <c r="M1969" s="9" t="s">
        <v>0</v>
      </c>
      <c r="N1969" s="9" t="s">
        <v>40</v>
      </c>
      <c r="O1969" s="9" t="s">
        <v>524</v>
      </c>
      <c r="S1969" s="9" t="s">
        <v>158</v>
      </c>
      <c r="T1969" s="10" t="s">
        <v>68</v>
      </c>
      <c r="U1969" s="10">
        <v>1</v>
      </c>
      <c r="V1969" s="10">
        <v>145.31</v>
      </c>
      <c r="W1969" s="10" t="s">
        <v>710</v>
      </c>
      <c r="X1969" s="17">
        <v>45076</v>
      </c>
      <c r="Y1969" s="17">
        <v>45080</v>
      </c>
      <c r="Z1969" s="19" t="s">
        <v>772</v>
      </c>
      <c r="AA1969" s="210">
        <v>28000</v>
      </c>
      <c r="AB1969" s="9">
        <v>4</v>
      </c>
      <c r="AC1969" s="9">
        <v>1</v>
      </c>
      <c r="AD1969" s="17">
        <v>45076</v>
      </c>
      <c r="AE1969" s="56">
        <v>500</v>
      </c>
      <c r="AF1969" s="56"/>
      <c r="AG1969" s="9" t="s">
        <v>134</v>
      </c>
      <c r="AH1969" s="17">
        <v>45076</v>
      </c>
      <c r="AI1969" s="17"/>
      <c r="AJ1969" s="17"/>
      <c r="AK1969" s="9" t="s">
        <v>526</v>
      </c>
      <c r="AL1969" s="11">
        <v>500</v>
      </c>
      <c r="AN1969" s="11" t="s">
        <v>1560</v>
      </c>
      <c r="AP1969" s="11"/>
      <c r="AQ1969" s="11"/>
      <c r="AR1969" s="11"/>
      <c r="AW1969" s="17">
        <v>45076</v>
      </c>
      <c r="AX1969" s="9">
        <v>1555</v>
      </c>
      <c r="BA1969" s="11">
        <v>500</v>
      </c>
      <c r="BD1969" s="9"/>
      <c r="CS1969" s="11">
        <f t="shared" si="136"/>
        <v>500</v>
      </c>
      <c r="CT1969" s="22">
        <f t="shared" si="137"/>
        <v>500</v>
      </c>
      <c r="CU1969" s="22">
        <f t="shared" si="138"/>
        <v>0</v>
      </c>
      <c r="CV1969" s="26">
        <f t="shared" si="135"/>
        <v>0</v>
      </c>
    </row>
    <row r="1970" spans="1:100" x14ac:dyDescent="0.2">
      <c r="A1970" s="9" t="s">
        <v>488</v>
      </c>
      <c r="B1970" s="2">
        <v>21</v>
      </c>
      <c r="C1970" s="3" t="s">
        <v>95</v>
      </c>
      <c r="D1970" s="3" t="s">
        <v>96</v>
      </c>
      <c r="E1970" s="2"/>
      <c r="F1970" s="2"/>
      <c r="G1970" s="2" t="s">
        <v>68</v>
      </c>
      <c r="H1970" s="2">
        <v>1</v>
      </c>
      <c r="I1970" s="8">
        <v>145.31</v>
      </c>
      <c r="J1970" s="8">
        <v>45900</v>
      </c>
      <c r="K1970" s="3">
        <v>0</v>
      </c>
      <c r="L1970" s="3" t="s">
        <v>3</v>
      </c>
      <c r="M1970" s="9" t="s">
        <v>0</v>
      </c>
      <c r="N1970" s="9" t="s">
        <v>40</v>
      </c>
      <c r="O1970" s="9" t="s">
        <v>524</v>
      </c>
      <c r="S1970" s="9" t="s">
        <v>158</v>
      </c>
      <c r="T1970" s="10" t="s">
        <v>68</v>
      </c>
      <c r="U1970" s="10">
        <v>1</v>
      </c>
      <c r="V1970" s="10">
        <v>145.31</v>
      </c>
      <c r="W1970" s="10" t="s">
        <v>710</v>
      </c>
      <c r="X1970" s="17">
        <v>45076</v>
      </c>
      <c r="Y1970" s="17">
        <v>45080</v>
      </c>
      <c r="Z1970" s="19" t="s">
        <v>772</v>
      </c>
      <c r="AA1970" s="210">
        <v>28000</v>
      </c>
      <c r="AB1970" s="9">
        <v>4</v>
      </c>
      <c r="AC1970" s="9">
        <v>2</v>
      </c>
      <c r="AD1970" s="17">
        <v>45077</v>
      </c>
      <c r="AE1970" s="56">
        <v>500</v>
      </c>
      <c r="AF1970" s="56"/>
      <c r="AG1970" s="9" t="s">
        <v>134</v>
      </c>
      <c r="AH1970" s="17">
        <v>45077</v>
      </c>
      <c r="AI1970" s="17"/>
      <c r="AJ1970" s="17"/>
      <c r="AK1970" s="9" t="s">
        <v>525</v>
      </c>
      <c r="AL1970" s="11">
        <v>500</v>
      </c>
      <c r="AN1970" s="11" t="s">
        <v>1561</v>
      </c>
      <c r="AP1970" s="11"/>
      <c r="AQ1970" s="11"/>
      <c r="AR1970" s="11"/>
      <c r="AW1970" s="17">
        <v>45077</v>
      </c>
      <c r="AX1970" s="9">
        <v>1562</v>
      </c>
      <c r="BA1970" s="11">
        <v>500</v>
      </c>
      <c r="BD1970" s="9"/>
      <c r="CS1970" s="11">
        <f t="shared" si="136"/>
        <v>500</v>
      </c>
      <c r="CT1970" s="22">
        <f t="shared" si="137"/>
        <v>500</v>
      </c>
      <c r="CU1970" s="22">
        <f t="shared" si="138"/>
        <v>0</v>
      </c>
      <c r="CV1970" s="26">
        <f t="shared" si="135"/>
        <v>0</v>
      </c>
    </row>
    <row r="1971" spans="1:100" x14ac:dyDescent="0.2">
      <c r="A1971" s="9" t="s">
        <v>488</v>
      </c>
      <c r="B1971" s="2">
        <v>21</v>
      </c>
      <c r="C1971" s="3" t="s">
        <v>95</v>
      </c>
      <c r="D1971" s="3" t="s">
        <v>96</v>
      </c>
      <c r="E1971" s="2"/>
      <c r="F1971" s="2"/>
      <c r="G1971" s="2" t="s">
        <v>68</v>
      </c>
      <c r="H1971" s="2">
        <v>1</v>
      </c>
      <c r="I1971" s="8">
        <v>145.31</v>
      </c>
      <c r="J1971" s="8">
        <v>45900</v>
      </c>
      <c r="K1971" s="3">
        <v>0</v>
      </c>
      <c r="L1971" s="3" t="s">
        <v>3</v>
      </c>
      <c r="M1971" s="9" t="s">
        <v>0</v>
      </c>
      <c r="N1971" s="9" t="s">
        <v>40</v>
      </c>
      <c r="O1971" s="9" t="s">
        <v>524</v>
      </c>
      <c r="S1971" s="9" t="s">
        <v>158</v>
      </c>
      <c r="T1971" s="10" t="s">
        <v>68</v>
      </c>
      <c r="U1971" s="10">
        <v>1</v>
      </c>
      <c r="V1971" s="10">
        <v>145.31</v>
      </c>
      <c r="W1971" s="10" t="s">
        <v>710</v>
      </c>
      <c r="X1971" s="17">
        <v>45076</v>
      </c>
      <c r="Y1971" s="17">
        <v>45080</v>
      </c>
      <c r="Z1971" s="19" t="s">
        <v>772</v>
      </c>
      <c r="AA1971" s="210">
        <v>28000</v>
      </c>
      <c r="AB1971" s="9">
        <v>4</v>
      </c>
      <c r="AC1971" s="30" t="s">
        <v>528</v>
      </c>
      <c r="AD1971" s="17">
        <v>45090</v>
      </c>
      <c r="AE1971" s="56">
        <f>18000+9000</f>
        <v>27000</v>
      </c>
      <c r="AF1971" s="56"/>
      <c r="AG1971" s="9" t="s">
        <v>134</v>
      </c>
      <c r="AH1971" s="17">
        <v>45090</v>
      </c>
      <c r="AI1971" s="17"/>
      <c r="AJ1971" s="17"/>
      <c r="AK1971" s="9" t="s">
        <v>527</v>
      </c>
      <c r="AL1971" s="11">
        <v>27000</v>
      </c>
      <c r="AN1971" s="11" t="s">
        <v>1562</v>
      </c>
      <c r="AP1971" s="11"/>
      <c r="AQ1971" s="11"/>
      <c r="AR1971" s="11"/>
      <c r="AW1971" s="17">
        <v>45087</v>
      </c>
      <c r="AX1971" s="9">
        <v>1611</v>
      </c>
      <c r="BA1971" s="11">
        <v>9000</v>
      </c>
      <c r="BC1971" s="17">
        <v>45087</v>
      </c>
      <c r="BD1971" s="9">
        <v>1613</v>
      </c>
      <c r="BG1971" s="9">
        <v>18000</v>
      </c>
      <c r="CS1971" s="11">
        <f t="shared" si="136"/>
        <v>27000</v>
      </c>
      <c r="CT1971" s="22">
        <f t="shared" si="137"/>
        <v>27000</v>
      </c>
      <c r="CU1971" s="22">
        <f t="shared" si="138"/>
        <v>0</v>
      </c>
      <c r="CV1971" s="26">
        <f t="shared" si="135"/>
        <v>0</v>
      </c>
    </row>
    <row r="1972" spans="1:100" x14ac:dyDescent="0.2">
      <c r="A1972" s="9" t="s">
        <v>489</v>
      </c>
      <c r="B1972" s="2">
        <v>48</v>
      </c>
      <c r="C1972" s="3" t="s">
        <v>95</v>
      </c>
      <c r="D1972" s="3" t="s">
        <v>96</v>
      </c>
      <c r="E1972" s="2"/>
      <c r="F1972" s="2"/>
      <c r="G1972" s="2" t="s">
        <v>71</v>
      </c>
      <c r="H1972" s="2">
        <v>1</v>
      </c>
      <c r="I1972" s="8">
        <v>128.80000000000001</v>
      </c>
      <c r="J1972" s="8">
        <v>39900</v>
      </c>
      <c r="K1972" s="3">
        <v>0</v>
      </c>
      <c r="L1972" s="3" t="s">
        <v>3</v>
      </c>
      <c r="M1972" s="9" t="s">
        <v>0</v>
      </c>
      <c r="N1972" s="125" t="s">
        <v>41</v>
      </c>
      <c r="O1972" s="9" t="s">
        <v>529</v>
      </c>
      <c r="S1972" s="9" t="s">
        <v>158</v>
      </c>
      <c r="T1972" s="10" t="s">
        <v>71</v>
      </c>
      <c r="U1972" s="10">
        <v>1</v>
      </c>
      <c r="V1972" s="10">
        <v>128.80000000000001</v>
      </c>
      <c r="W1972" s="10" t="s">
        <v>710</v>
      </c>
      <c r="X1972" s="17">
        <v>45253</v>
      </c>
      <c r="Y1972" s="17">
        <v>45253</v>
      </c>
      <c r="Z1972" s="19" t="s">
        <v>772</v>
      </c>
      <c r="AA1972" s="210">
        <v>40000</v>
      </c>
      <c r="AB1972" s="9">
        <v>24</v>
      </c>
      <c r="AC1972" s="9">
        <v>0</v>
      </c>
      <c r="AD1972" s="17">
        <v>45253</v>
      </c>
      <c r="AE1972" s="56">
        <v>5000</v>
      </c>
      <c r="AF1972" s="56"/>
      <c r="AG1972" s="9" t="s">
        <v>134</v>
      </c>
      <c r="AH1972" s="17">
        <v>45253</v>
      </c>
      <c r="AI1972" s="17"/>
      <c r="AJ1972" s="17"/>
      <c r="AK1972" s="9" t="s">
        <v>530</v>
      </c>
      <c r="AL1972" s="11">
        <v>5000</v>
      </c>
      <c r="AN1972" s="11" t="s">
        <v>1517</v>
      </c>
      <c r="AP1972" s="11"/>
      <c r="AQ1972" s="11"/>
      <c r="AR1972" s="11"/>
      <c r="AW1972" s="17">
        <v>45253</v>
      </c>
      <c r="AX1972" s="9">
        <v>2068</v>
      </c>
      <c r="BA1972" s="11">
        <v>5000</v>
      </c>
      <c r="BD1972" s="9"/>
      <c r="CS1972" s="11">
        <f t="shared" si="136"/>
        <v>5000</v>
      </c>
      <c r="CT1972" s="22">
        <f t="shared" si="137"/>
        <v>5000</v>
      </c>
      <c r="CU1972" s="22">
        <f t="shared" si="138"/>
        <v>0</v>
      </c>
      <c r="CV1972" s="26">
        <f t="shared" si="135"/>
        <v>0</v>
      </c>
    </row>
    <row r="1973" spans="1:100" x14ac:dyDescent="0.2">
      <c r="A1973" s="9" t="s">
        <v>489</v>
      </c>
      <c r="B1973" s="2">
        <v>48</v>
      </c>
      <c r="C1973" s="3" t="s">
        <v>95</v>
      </c>
      <c r="D1973" s="3" t="s">
        <v>96</v>
      </c>
      <c r="E1973" s="2"/>
      <c r="F1973" s="2"/>
      <c r="G1973" s="2" t="s">
        <v>71</v>
      </c>
      <c r="H1973" s="2">
        <v>1</v>
      </c>
      <c r="I1973" s="8">
        <v>128.80000000000001</v>
      </c>
      <c r="J1973" s="8">
        <v>39900</v>
      </c>
      <c r="K1973" s="3">
        <v>0</v>
      </c>
      <c r="L1973" s="3" t="s">
        <v>3</v>
      </c>
      <c r="M1973" s="9" t="s">
        <v>0</v>
      </c>
      <c r="N1973" s="125" t="s">
        <v>41</v>
      </c>
      <c r="O1973" s="9" t="s">
        <v>529</v>
      </c>
      <c r="S1973" s="9" t="s">
        <v>158</v>
      </c>
      <c r="T1973" s="10" t="s">
        <v>71</v>
      </c>
      <c r="U1973" s="10">
        <v>1</v>
      </c>
      <c r="V1973" s="10">
        <v>128.80000000000001</v>
      </c>
      <c r="W1973" s="10" t="s">
        <v>710</v>
      </c>
      <c r="X1973" s="17">
        <v>45253</v>
      </c>
      <c r="Y1973" s="17">
        <v>45253</v>
      </c>
      <c r="Z1973" s="19" t="s">
        <v>772</v>
      </c>
      <c r="AA1973" s="210">
        <v>40000</v>
      </c>
      <c r="AB1973" s="9">
        <v>24</v>
      </c>
      <c r="AC1973" s="9">
        <v>1</v>
      </c>
      <c r="AD1973" s="17">
        <v>45321</v>
      </c>
      <c r="AE1973" s="56">
        <v>1460</v>
      </c>
      <c r="AF1973" s="56"/>
      <c r="AG1973" s="9" t="s">
        <v>134</v>
      </c>
      <c r="AH1973" s="17">
        <v>45320</v>
      </c>
      <c r="AI1973" s="17"/>
      <c r="AJ1973" s="17"/>
      <c r="AK1973" s="9" t="s">
        <v>1518</v>
      </c>
      <c r="AL1973" s="11">
        <v>1460</v>
      </c>
      <c r="AN1973" s="11" t="s">
        <v>1530</v>
      </c>
      <c r="AP1973" s="11"/>
      <c r="AQ1973" s="11"/>
      <c r="AR1973" s="11"/>
      <c r="AW1973" s="17">
        <v>45318</v>
      </c>
      <c r="AX1973" s="9">
        <v>2243</v>
      </c>
      <c r="BA1973" s="86">
        <v>1460</v>
      </c>
      <c r="BD1973" s="9"/>
      <c r="CS1973" s="11">
        <f t="shared" si="136"/>
        <v>1460</v>
      </c>
      <c r="CT1973" s="22">
        <f t="shared" si="137"/>
        <v>1460</v>
      </c>
      <c r="CU1973" s="22">
        <f t="shared" si="138"/>
        <v>0</v>
      </c>
      <c r="CV1973" s="26">
        <f t="shared" si="135"/>
        <v>0</v>
      </c>
    </row>
    <row r="1974" spans="1:100" x14ac:dyDescent="0.2">
      <c r="A1974" s="9" t="s">
        <v>489</v>
      </c>
      <c r="B1974" s="2">
        <v>48</v>
      </c>
      <c r="C1974" s="3" t="s">
        <v>95</v>
      </c>
      <c r="D1974" s="3" t="s">
        <v>96</v>
      </c>
      <c r="E1974" s="2"/>
      <c r="F1974" s="2"/>
      <c r="G1974" s="2" t="s">
        <v>71</v>
      </c>
      <c r="H1974" s="2">
        <v>1</v>
      </c>
      <c r="I1974" s="8">
        <v>128.80000000000001</v>
      </c>
      <c r="J1974" s="8">
        <v>39900</v>
      </c>
      <c r="K1974" s="3">
        <v>0</v>
      </c>
      <c r="L1974" s="3" t="s">
        <v>3</v>
      </c>
      <c r="M1974" s="9" t="s">
        <v>0</v>
      </c>
      <c r="N1974" s="125" t="s">
        <v>41</v>
      </c>
      <c r="O1974" s="9" t="s">
        <v>529</v>
      </c>
      <c r="S1974" s="9" t="s">
        <v>158</v>
      </c>
      <c r="T1974" s="10" t="s">
        <v>71</v>
      </c>
      <c r="U1974" s="10">
        <v>1</v>
      </c>
      <c r="V1974" s="10">
        <v>128.80000000000001</v>
      </c>
      <c r="W1974" s="10" t="s">
        <v>710</v>
      </c>
      <c r="X1974" s="17">
        <v>45253</v>
      </c>
      <c r="Y1974" s="17">
        <v>45253</v>
      </c>
      <c r="Z1974" s="19" t="s">
        <v>772</v>
      </c>
      <c r="AA1974" s="210">
        <v>40000</v>
      </c>
      <c r="AB1974" s="9">
        <v>24</v>
      </c>
      <c r="AC1974" s="9">
        <v>2</v>
      </c>
      <c r="AD1974" s="17">
        <v>45351</v>
      </c>
      <c r="AE1974" s="56">
        <v>1460</v>
      </c>
      <c r="AF1974" s="56"/>
      <c r="AG1974" s="9" t="s">
        <v>134</v>
      </c>
      <c r="AH1974" s="17">
        <v>45338</v>
      </c>
      <c r="AI1974" s="17"/>
      <c r="AJ1974" s="17"/>
      <c r="AK1974" s="9" t="s">
        <v>1519</v>
      </c>
      <c r="AL1974" s="11">
        <v>1460</v>
      </c>
      <c r="AN1974" s="11" t="s">
        <v>1531</v>
      </c>
      <c r="AP1974" s="11"/>
      <c r="AQ1974" s="11"/>
      <c r="AR1974" s="11"/>
      <c r="AW1974" s="17">
        <v>45338</v>
      </c>
      <c r="AX1974" s="9">
        <v>2317</v>
      </c>
      <c r="BA1974" s="86">
        <v>1460</v>
      </c>
      <c r="BD1974" s="9"/>
      <c r="CS1974" s="11">
        <f t="shared" si="136"/>
        <v>1460</v>
      </c>
      <c r="CT1974" s="22">
        <f t="shared" si="137"/>
        <v>1460</v>
      </c>
      <c r="CU1974" s="22">
        <f t="shared" si="138"/>
        <v>0</v>
      </c>
      <c r="CV1974" s="26">
        <f t="shared" si="135"/>
        <v>0</v>
      </c>
    </row>
    <row r="1975" spans="1:100" x14ac:dyDescent="0.2">
      <c r="A1975" s="9" t="s">
        <v>489</v>
      </c>
      <c r="B1975" s="2">
        <v>48</v>
      </c>
      <c r="C1975" s="3" t="s">
        <v>95</v>
      </c>
      <c r="D1975" s="3" t="s">
        <v>96</v>
      </c>
      <c r="E1975" s="2"/>
      <c r="F1975" s="2"/>
      <c r="G1975" s="2" t="s">
        <v>71</v>
      </c>
      <c r="H1975" s="2">
        <v>1</v>
      </c>
      <c r="I1975" s="8">
        <v>128.80000000000001</v>
      </c>
      <c r="J1975" s="8">
        <v>39900</v>
      </c>
      <c r="K1975" s="3">
        <v>0</v>
      </c>
      <c r="L1975" s="3" t="s">
        <v>3</v>
      </c>
      <c r="M1975" s="9" t="s">
        <v>0</v>
      </c>
      <c r="N1975" s="125" t="s">
        <v>41</v>
      </c>
      <c r="O1975" s="9" t="s">
        <v>529</v>
      </c>
      <c r="S1975" s="9" t="s">
        <v>158</v>
      </c>
      <c r="T1975" s="10" t="s">
        <v>71</v>
      </c>
      <c r="U1975" s="10">
        <v>1</v>
      </c>
      <c r="V1975" s="10">
        <v>128.80000000000001</v>
      </c>
      <c r="W1975" s="10" t="s">
        <v>710</v>
      </c>
      <c r="X1975" s="17">
        <v>45253</v>
      </c>
      <c r="Y1975" s="17">
        <v>45253</v>
      </c>
      <c r="Z1975" s="19" t="s">
        <v>772</v>
      </c>
      <c r="AA1975" s="210">
        <v>40000</v>
      </c>
      <c r="AB1975" s="9">
        <v>24</v>
      </c>
      <c r="AC1975" s="9">
        <v>3</v>
      </c>
      <c r="AD1975" s="17">
        <v>45381</v>
      </c>
      <c r="AE1975" s="56">
        <v>1460</v>
      </c>
      <c r="AF1975" s="56"/>
      <c r="AG1975" s="9" t="s">
        <v>134</v>
      </c>
      <c r="AH1975" s="17">
        <v>45367</v>
      </c>
      <c r="AI1975" s="17"/>
      <c r="AJ1975" s="17"/>
      <c r="AK1975" s="9" t="s">
        <v>1520</v>
      </c>
      <c r="AL1975" s="11">
        <v>1460</v>
      </c>
      <c r="AN1975" s="11" t="s">
        <v>1532</v>
      </c>
      <c r="AP1975" s="11"/>
      <c r="AQ1975" s="11"/>
      <c r="AR1975" s="11"/>
      <c r="AW1975" s="17">
        <v>45366</v>
      </c>
      <c r="AX1975" s="9">
        <v>2422</v>
      </c>
      <c r="BA1975" s="86">
        <v>1460</v>
      </c>
      <c r="BD1975" s="9"/>
      <c r="CS1975" s="11">
        <f t="shared" si="136"/>
        <v>1460</v>
      </c>
      <c r="CT1975" s="22">
        <f t="shared" si="137"/>
        <v>1460</v>
      </c>
      <c r="CU1975" s="22">
        <f t="shared" si="138"/>
        <v>0</v>
      </c>
      <c r="CV1975" s="26">
        <f t="shared" si="135"/>
        <v>0</v>
      </c>
    </row>
    <row r="1976" spans="1:100" x14ac:dyDescent="0.2">
      <c r="A1976" s="9" t="s">
        <v>489</v>
      </c>
      <c r="B1976" s="2">
        <v>48</v>
      </c>
      <c r="C1976" s="3" t="s">
        <v>95</v>
      </c>
      <c r="D1976" s="3" t="s">
        <v>96</v>
      </c>
      <c r="E1976" s="2"/>
      <c r="F1976" s="2"/>
      <c r="G1976" s="2" t="s">
        <v>71</v>
      </c>
      <c r="H1976" s="2">
        <v>1</v>
      </c>
      <c r="I1976" s="8">
        <v>128.80000000000001</v>
      </c>
      <c r="J1976" s="8">
        <v>39900</v>
      </c>
      <c r="K1976" s="3">
        <v>0</v>
      </c>
      <c r="L1976" s="3" t="s">
        <v>3</v>
      </c>
      <c r="M1976" s="9" t="s">
        <v>0</v>
      </c>
      <c r="N1976" s="125" t="s">
        <v>41</v>
      </c>
      <c r="O1976" s="9" t="s">
        <v>529</v>
      </c>
      <c r="S1976" s="9" t="s">
        <v>158</v>
      </c>
      <c r="T1976" s="10" t="s">
        <v>71</v>
      </c>
      <c r="U1976" s="10">
        <v>1</v>
      </c>
      <c r="V1976" s="10">
        <v>128.80000000000001</v>
      </c>
      <c r="W1976" s="10" t="s">
        <v>710</v>
      </c>
      <c r="X1976" s="17">
        <v>45253</v>
      </c>
      <c r="Y1976" s="17">
        <v>45253</v>
      </c>
      <c r="Z1976" s="19" t="s">
        <v>772</v>
      </c>
      <c r="AA1976" s="210">
        <v>40000</v>
      </c>
      <c r="AB1976" s="9">
        <v>24</v>
      </c>
      <c r="AC1976" s="9">
        <v>4</v>
      </c>
      <c r="AD1976" s="17">
        <v>45411</v>
      </c>
      <c r="AE1976" s="56">
        <v>1460</v>
      </c>
      <c r="AF1976" s="56"/>
      <c r="AG1976" s="9" t="s">
        <v>134</v>
      </c>
      <c r="AH1976" s="17">
        <v>45400</v>
      </c>
      <c r="AI1976" s="17"/>
      <c r="AJ1976" s="17"/>
      <c r="AK1976" s="9" t="s">
        <v>1521</v>
      </c>
      <c r="AL1976" s="11">
        <v>1460</v>
      </c>
      <c r="AN1976" s="11" t="s">
        <v>1533</v>
      </c>
      <c r="AP1976" s="11"/>
      <c r="AQ1976" s="11"/>
      <c r="AR1976" s="11"/>
      <c r="AW1976" s="17">
        <v>45399</v>
      </c>
      <c r="AX1976" s="9">
        <v>2545</v>
      </c>
      <c r="BA1976" s="86">
        <v>1460</v>
      </c>
      <c r="BD1976" s="9"/>
      <c r="CS1976" s="11">
        <f t="shared" si="136"/>
        <v>1460</v>
      </c>
      <c r="CT1976" s="22">
        <f t="shared" si="137"/>
        <v>1460</v>
      </c>
      <c r="CU1976" s="22">
        <f t="shared" si="138"/>
        <v>0</v>
      </c>
      <c r="CV1976" s="26">
        <f t="shared" si="135"/>
        <v>0</v>
      </c>
    </row>
    <row r="1977" spans="1:100" x14ac:dyDescent="0.2">
      <c r="A1977" s="9" t="s">
        <v>489</v>
      </c>
      <c r="B1977" s="2">
        <v>48</v>
      </c>
      <c r="C1977" s="3" t="s">
        <v>95</v>
      </c>
      <c r="D1977" s="3" t="s">
        <v>96</v>
      </c>
      <c r="E1977" s="2"/>
      <c r="F1977" s="2"/>
      <c r="G1977" s="2" t="s">
        <v>71</v>
      </c>
      <c r="H1977" s="2">
        <v>1</v>
      </c>
      <c r="I1977" s="8">
        <v>128.80000000000001</v>
      </c>
      <c r="J1977" s="8">
        <v>39900</v>
      </c>
      <c r="K1977" s="3">
        <v>0</v>
      </c>
      <c r="L1977" s="3" t="s">
        <v>3</v>
      </c>
      <c r="M1977" s="9" t="s">
        <v>0</v>
      </c>
      <c r="N1977" s="125" t="s">
        <v>41</v>
      </c>
      <c r="O1977" s="9" t="s">
        <v>529</v>
      </c>
      <c r="S1977" s="9" t="s">
        <v>158</v>
      </c>
      <c r="T1977" s="10" t="s">
        <v>71</v>
      </c>
      <c r="U1977" s="10">
        <v>1</v>
      </c>
      <c r="V1977" s="10">
        <v>128.80000000000001</v>
      </c>
      <c r="W1977" s="10" t="s">
        <v>710</v>
      </c>
      <c r="X1977" s="17">
        <v>45253</v>
      </c>
      <c r="Y1977" s="17">
        <v>45253</v>
      </c>
      <c r="Z1977" s="19" t="s">
        <v>772</v>
      </c>
      <c r="AA1977" s="210">
        <v>40000</v>
      </c>
      <c r="AB1977" s="9">
        <v>24</v>
      </c>
      <c r="AC1977" s="9">
        <v>5</v>
      </c>
      <c r="AD1977" s="17">
        <v>45441</v>
      </c>
      <c r="AE1977" s="56">
        <v>1460</v>
      </c>
      <c r="AF1977" s="56"/>
      <c r="AG1977" s="9" t="s">
        <v>134</v>
      </c>
      <c r="AH1977" s="17">
        <v>45432</v>
      </c>
      <c r="AI1977" s="17"/>
      <c r="AJ1977" s="17"/>
      <c r="AK1977" s="9" t="s">
        <v>1522</v>
      </c>
      <c r="AL1977" s="11">
        <v>1460</v>
      </c>
      <c r="AN1977" s="11" t="s">
        <v>1534</v>
      </c>
      <c r="AP1977" s="11"/>
      <c r="AQ1977" s="11"/>
      <c r="AR1977" s="11"/>
      <c r="AW1977" s="17">
        <v>45432</v>
      </c>
      <c r="AX1977" s="9">
        <v>2668</v>
      </c>
      <c r="BA1977" s="86">
        <v>1460</v>
      </c>
      <c r="BD1977" s="9"/>
      <c r="CS1977" s="11">
        <f t="shared" si="136"/>
        <v>1460</v>
      </c>
      <c r="CT1977" s="22">
        <f t="shared" si="137"/>
        <v>1460</v>
      </c>
      <c r="CU1977" s="22">
        <f t="shared" si="138"/>
        <v>0</v>
      </c>
      <c r="CV1977" s="26">
        <f t="shared" ref="CV1977:CV2040" si="139">+AE1977-AL1977-AT1977</f>
        <v>0</v>
      </c>
    </row>
    <row r="1978" spans="1:100" x14ac:dyDescent="0.2">
      <c r="A1978" s="9" t="s">
        <v>489</v>
      </c>
      <c r="B1978" s="2">
        <v>48</v>
      </c>
      <c r="C1978" s="3" t="s">
        <v>95</v>
      </c>
      <c r="D1978" s="3" t="s">
        <v>96</v>
      </c>
      <c r="E1978" s="2"/>
      <c r="F1978" s="2"/>
      <c r="G1978" s="2" t="s">
        <v>71</v>
      </c>
      <c r="H1978" s="2">
        <v>1</v>
      </c>
      <c r="I1978" s="8">
        <v>128.80000000000001</v>
      </c>
      <c r="J1978" s="8">
        <v>39900</v>
      </c>
      <c r="K1978" s="3">
        <v>0</v>
      </c>
      <c r="L1978" s="3" t="s">
        <v>3</v>
      </c>
      <c r="M1978" s="9" t="s">
        <v>0</v>
      </c>
      <c r="N1978" s="125" t="s">
        <v>41</v>
      </c>
      <c r="O1978" s="9" t="s">
        <v>529</v>
      </c>
      <c r="S1978" s="9" t="s">
        <v>158</v>
      </c>
      <c r="T1978" s="10" t="s">
        <v>71</v>
      </c>
      <c r="U1978" s="10">
        <v>1</v>
      </c>
      <c r="V1978" s="10">
        <v>128.80000000000001</v>
      </c>
      <c r="W1978" s="10" t="s">
        <v>710</v>
      </c>
      <c r="X1978" s="17">
        <v>45253</v>
      </c>
      <c r="Y1978" s="17">
        <v>45253</v>
      </c>
      <c r="Z1978" s="19" t="s">
        <v>772</v>
      </c>
      <c r="AA1978" s="210">
        <v>40000</v>
      </c>
      <c r="AB1978" s="9">
        <v>24</v>
      </c>
      <c r="AC1978" s="9">
        <v>6</v>
      </c>
      <c r="AD1978" s="17">
        <v>45471</v>
      </c>
      <c r="AE1978" s="56">
        <v>1460</v>
      </c>
      <c r="AF1978" s="56"/>
      <c r="AG1978" s="9" t="s">
        <v>134</v>
      </c>
      <c r="AH1978" s="17">
        <v>45465</v>
      </c>
      <c r="AI1978" s="17"/>
      <c r="AJ1978" s="17"/>
      <c r="AK1978" s="9" t="s">
        <v>1523</v>
      </c>
      <c r="AL1978" s="11">
        <v>1460</v>
      </c>
      <c r="AN1978" s="11" t="s">
        <v>1535</v>
      </c>
      <c r="AP1978" s="11"/>
      <c r="AQ1978" s="11"/>
      <c r="AR1978" s="11"/>
      <c r="AW1978" s="17">
        <v>45465</v>
      </c>
      <c r="AX1978" s="9">
        <v>2807</v>
      </c>
      <c r="BA1978" s="86">
        <v>1460</v>
      </c>
      <c r="BD1978" s="9"/>
      <c r="CS1978" s="11">
        <f t="shared" si="136"/>
        <v>1460</v>
      </c>
      <c r="CT1978" s="22">
        <f t="shared" si="137"/>
        <v>1460</v>
      </c>
      <c r="CU1978" s="22">
        <f t="shared" si="138"/>
        <v>0</v>
      </c>
      <c r="CV1978" s="26">
        <f t="shared" si="139"/>
        <v>0</v>
      </c>
    </row>
    <row r="1979" spans="1:100" x14ac:dyDescent="0.2">
      <c r="A1979" s="9" t="s">
        <v>489</v>
      </c>
      <c r="B1979" s="2">
        <v>48</v>
      </c>
      <c r="C1979" s="3" t="s">
        <v>95</v>
      </c>
      <c r="D1979" s="3" t="s">
        <v>96</v>
      </c>
      <c r="E1979" s="2"/>
      <c r="F1979" s="2"/>
      <c r="G1979" s="2" t="s">
        <v>71</v>
      </c>
      <c r="H1979" s="2">
        <v>1</v>
      </c>
      <c r="I1979" s="8">
        <v>128.80000000000001</v>
      </c>
      <c r="J1979" s="8">
        <v>39900</v>
      </c>
      <c r="K1979" s="3">
        <v>0</v>
      </c>
      <c r="L1979" s="3" t="s">
        <v>3</v>
      </c>
      <c r="M1979" s="9" t="s">
        <v>0</v>
      </c>
      <c r="N1979" s="125" t="s">
        <v>41</v>
      </c>
      <c r="O1979" s="9" t="s">
        <v>529</v>
      </c>
      <c r="S1979" s="9" t="s">
        <v>158</v>
      </c>
      <c r="T1979" s="10" t="s">
        <v>71</v>
      </c>
      <c r="U1979" s="10">
        <v>1</v>
      </c>
      <c r="V1979" s="10">
        <v>128.80000000000001</v>
      </c>
      <c r="W1979" s="10" t="s">
        <v>710</v>
      </c>
      <c r="X1979" s="17">
        <v>45253</v>
      </c>
      <c r="Y1979" s="17">
        <v>45253</v>
      </c>
      <c r="Z1979" s="19" t="s">
        <v>772</v>
      </c>
      <c r="AA1979" s="210">
        <v>40000</v>
      </c>
      <c r="AB1979" s="9">
        <v>24</v>
      </c>
      <c r="AC1979" s="9">
        <v>7</v>
      </c>
      <c r="AD1979" s="17">
        <v>45501</v>
      </c>
      <c r="AE1979" s="56">
        <v>1460</v>
      </c>
      <c r="AF1979" s="56"/>
      <c r="AG1979" s="9" t="s">
        <v>134</v>
      </c>
      <c r="AH1979" s="17">
        <v>45495</v>
      </c>
      <c r="AI1979" s="17"/>
      <c r="AJ1979" s="17"/>
      <c r="AK1979" s="9" t="s">
        <v>1524</v>
      </c>
      <c r="AL1979" s="11">
        <v>1460</v>
      </c>
      <c r="AN1979" s="11" t="s">
        <v>1536</v>
      </c>
      <c r="AP1979" s="11"/>
      <c r="AQ1979" s="11"/>
      <c r="AR1979" s="11"/>
      <c r="AW1979" s="17">
        <v>45495</v>
      </c>
      <c r="AX1979" s="9">
        <v>2930</v>
      </c>
      <c r="BA1979" s="86">
        <v>1460</v>
      </c>
      <c r="BD1979" s="9"/>
      <c r="CS1979" s="11">
        <f t="shared" si="136"/>
        <v>1460</v>
      </c>
      <c r="CT1979" s="22">
        <f t="shared" si="137"/>
        <v>1460</v>
      </c>
      <c r="CU1979" s="22">
        <f t="shared" si="138"/>
        <v>0</v>
      </c>
      <c r="CV1979" s="26">
        <f t="shared" si="139"/>
        <v>0</v>
      </c>
    </row>
    <row r="1980" spans="1:100" x14ac:dyDescent="0.2">
      <c r="A1980" s="9" t="s">
        <v>489</v>
      </c>
      <c r="B1980" s="2">
        <v>48</v>
      </c>
      <c r="C1980" s="3" t="s">
        <v>95</v>
      </c>
      <c r="D1980" s="3" t="s">
        <v>96</v>
      </c>
      <c r="E1980" s="2"/>
      <c r="F1980" s="2"/>
      <c r="G1980" s="2" t="s">
        <v>71</v>
      </c>
      <c r="H1980" s="2">
        <v>1</v>
      </c>
      <c r="I1980" s="8">
        <v>128.80000000000001</v>
      </c>
      <c r="J1980" s="8">
        <v>39900</v>
      </c>
      <c r="K1980" s="3">
        <v>0</v>
      </c>
      <c r="L1980" s="3" t="s">
        <v>3</v>
      </c>
      <c r="M1980" s="9" t="s">
        <v>0</v>
      </c>
      <c r="N1980" s="125" t="s">
        <v>41</v>
      </c>
      <c r="O1980" s="9" t="s">
        <v>529</v>
      </c>
      <c r="S1980" s="9" t="s">
        <v>158</v>
      </c>
      <c r="T1980" s="10" t="s">
        <v>71</v>
      </c>
      <c r="U1980" s="10">
        <v>1</v>
      </c>
      <c r="V1980" s="10">
        <v>128.80000000000001</v>
      </c>
      <c r="W1980" s="10" t="s">
        <v>710</v>
      </c>
      <c r="X1980" s="17">
        <v>45253</v>
      </c>
      <c r="Y1980" s="17">
        <v>45253</v>
      </c>
      <c r="Z1980" s="19" t="s">
        <v>772</v>
      </c>
      <c r="AA1980" s="210">
        <v>40000</v>
      </c>
      <c r="AB1980" s="9">
        <v>24</v>
      </c>
      <c r="AC1980" s="9">
        <v>8</v>
      </c>
      <c r="AD1980" s="17">
        <v>45531</v>
      </c>
      <c r="AE1980" s="56">
        <v>1460</v>
      </c>
      <c r="AF1980" s="56"/>
      <c r="AG1980" s="9" t="s">
        <v>134</v>
      </c>
      <c r="AH1980" s="17">
        <v>45525</v>
      </c>
      <c r="AI1980" s="17"/>
      <c r="AJ1980" s="17"/>
      <c r="AK1980" s="9" t="s">
        <v>1525</v>
      </c>
      <c r="AL1980" s="11">
        <v>1460</v>
      </c>
      <c r="AN1980" s="11" t="s">
        <v>1537</v>
      </c>
      <c r="AP1980" s="11"/>
      <c r="AQ1980" s="11"/>
      <c r="AR1980" s="11"/>
      <c r="AW1980" s="17">
        <v>45525</v>
      </c>
      <c r="AX1980" s="9">
        <v>3072</v>
      </c>
      <c r="BA1980" s="86">
        <v>1460</v>
      </c>
      <c r="BD1980" s="9"/>
      <c r="CS1980" s="11">
        <f t="shared" si="136"/>
        <v>1460</v>
      </c>
      <c r="CT1980" s="22">
        <f t="shared" si="137"/>
        <v>1460</v>
      </c>
      <c r="CU1980" s="22">
        <f t="shared" si="138"/>
        <v>0</v>
      </c>
      <c r="CV1980" s="26">
        <f t="shared" si="139"/>
        <v>0</v>
      </c>
    </row>
    <row r="1981" spans="1:100" x14ac:dyDescent="0.2">
      <c r="A1981" s="9" t="s">
        <v>489</v>
      </c>
      <c r="B1981" s="2">
        <v>48</v>
      </c>
      <c r="C1981" s="3" t="s">
        <v>95</v>
      </c>
      <c r="D1981" s="3" t="s">
        <v>96</v>
      </c>
      <c r="E1981" s="2"/>
      <c r="F1981" s="2"/>
      <c r="G1981" s="2" t="s">
        <v>71</v>
      </c>
      <c r="H1981" s="2">
        <v>1</v>
      </c>
      <c r="I1981" s="8">
        <v>128.80000000000001</v>
      </c>
      <c r="J1981" s="8">
        <v>39900</v>
      </c>
      <c r="K1981" s="3">
        <v>0</v>
      </c>
      <c r="L1981" s="3" t="s">
        <v>3</v>
      </c>
      <c r="M1981" s="9" t="s">
        <v>0</v>
      </c>
      <c r="N1981" s="125" t="s">
        <v>41</v>
      </c>
      <c r="O1981" s="9" t="s">
        <v>529</v>
      </c>
      <c r="S1981" s="9" t="s">
        <v>158</v>
      </c>
      <c r="T1981" s="10" t="s">
        <v>71</v>
      </c>
      <c r="U1981" s="10">
        <v>1</v>
      </c>
      <c r="V1981" s="10">
        <v>128.80000000000001</v>
      </c>
      <c r="W1981" s="10" t="s">
        <v>710</v>
      </c>
      <c r="X1981" s="17">
        <v>45253</v>
      </c>
      <c r="Y1981" s="17">
        <v>45253</v>
      </c>
      <c r="Z1981" s="19" t="s">
        <v>772</v>
      </c>
      <c r="AA1981" s="210">
        <v>40000</v>
      </c>
      <c r="AB1981" s="9">
        <v>24</v>
      </c>
      <c r="AC1981" s="9">
        <v>9</v>
      </c>
      <c r="AD1981" s="17">
        <v>45561</v>
      </c>
      <c r="AE1981" s="56">
        <v>1460</v>
      </c>
      <c r="AF1981" s="56"/>
      <c r="AG1981" s="9" t="s">
        <v>134</v>
      </c>
      <c r="AH1981" s="17">
        <v>45561</v>
      </c>
      <c r="AI1981" s="17"/>
      <c r="AJ1981" s="17"/>
      <c r="AK1981" s="9" t="s">
        <v>1526</v>
      </c>
      <c r="AL1981" s="11">
        <v>1460</v>
      </c>
      <c r="AN1981" s="11" t="s">
        <v>1538</v>
      </c>
      <c r="AP1981" s="11"/>
      <c r="AQ1981" s="11"/>
      <c r="AR1981" s="11"/>
      <c r="AW1981" s="17">
        <v>45561</v>
      </c>
      <c r="AX1981" s="9">
        <v>3198</v>
      </c>
      <c r="BA1981" s="86">
        <v>1460</v>
      </c>
      <c r="BD1981" s="9"/>
      <c r="CS1981" s="11">
        <f t="shared" ref="CS1981:CS2044" si="140">+AL1981+AT1981</f>
        <v>1460</v>
      </c>
      <c r="CT1981" s="22">
        <f t="shared" ref="CT1981:CT2044" si="141">+BA1981+BG1981+BM1981+BS1981+BY1981+CE1981+CK1981+CQ1981</f>
        <v>1460</v>
      </c>
      <c r="CU1981" s="22">
        <f t="shared" ref="CU1981:CU2044" si="142">+CS1981-CT1981</f>
        <v>0</v>
      </c>
      <c r="CV1981" s="26">
        <f t="shared" si="139"/>
        <v>0</v>
      </c>
    </row>
    <row r="1982" spans="1:100" x14ac:dyDescent="0.2">
      <c r="A1982" s="9" t="s">
        <v>489</v>
      </c>
      <c r="B1982" s="2">
        <v>48</v>
      </c>
      <c r="C1982" s="3" t="s">
        <v>95</v>
      </c>
      <c r="D1982" s="3" t="s">
        <v>96</v>
      </c>
      <c r="E1982" s="2"/>
      <c r="F1982" s="2"/>
      <c r="G1982" s="2" t="s">
        <v>71</v>
      </c>
      <c r="H1982" s="2">
        <v>1</v>
      </c>
      <c r="I1982" s="8">
        <v>128.80000000000001</v>
      </c>
      <c r="J1982" s="8">
        <v>39900</v>
      </c>
      <c r="K1982" s="3">
        <v>0</v>
      </c>
      <c r="L1982" s="3" t="s">
        <v>3</v>
      </c>
      <c r="M1982" s="9" t="s">
        <v>0</v>
      </c>
      <c r="N1982" s="125" t="s">
        <v>41</v>
      </c>
      <c r="O1982" s="9" t="s">
        <v>529</v>
      </c>
      <c r="S1982" s="9" t="s">
        <v>158</v>
      </c>
      <c r="T1982" s="10" t="s">
        <v>71</v>
      </c>
      <c r="U1982" s="10">
        <v>1</v>
      </c>
      <c r="V1982" s="10">
        <v>128.80000000000001</v>
      </c>
      <c r="W1982" s="10" t="s">
        <v>710</v>
      </c>
      <c r="X1982" s="17">
        <v>45253</v>
      </c>
      <c r="Y1982" s="17">
        <v>45253</v>
      </c>
      <c r="Z1982" s="19" t="s">
        <v>772</v>
      </c>
      <c r="AA1982" s="210">
        <v>40000</v>
      </c>
      <c r="AB1982" s="9">
        <v>24</v>
      </c>
      <c r="AC1982" s="9">
        <v>10</v>
      </c>
      <c r="AD1982" s="17">
        <v>45591</v>
      </c>
      <c r="AE1982" s="56">
        <v>1460</v>
      </c>
      <c r="AF1982" s="56"/>
      <c r="AG1982" s="9" t="s">
        <v>134</v>
      </c>
      <c r="AH1982" s="17">
        <v>45586</v>
      </c>
      <c r="AI1982" s="17"/>
      <c r="AJ1982" s="17"/>
      <c r="AK1982" s="9" t="s">
        <v>1527</v>
      </c>
      <c r="AL1982" s="11">
        <v>1460</v>
      </c>
      <c r="AN1982" s="11" t="s">
        <v>1539</v>
      </c>
      <c r="AP1982" s="11"/>
      <c r="AQ1982" s="11"/>
      <c r="AR1982" s="11"/>
      <c r="AW1982" s="17">
        <v>45586</v>
      </c>
      <c r="AX1982" s="9">
        <v>3308</v>
      </c>
      <c r="BA1982" s="86">
        <v>1460</v>
      </c>
      <c r="BD1982" s="9"/>
      <c r="CS1982" s="11">
        <f t="shared" si="140"/>
        <v>1460</v>
      </c>
      <c r="CT1982" s="22">
        <f t="shared" si="141"/>
        <v>1460</v>
      </c>
      <c r="CU1982" s="22">
        <f t="shared" si="142"/>
        <v>0</v>
      </c>
      <c r="CV1982" s="26">
        <f t="shared" si="139"/>
        <v>0</v>
      </c>
    </row>
    <row r="1983" spans="1:100" x14ac:dyDescent="0.2">
      <c r="A1983" s="9" t="s">
        <v>489</v>
      </c>
      <c r="B1983" s="2">
        <v>48</v>
      </c>
      <c r="C1983" s="3" t="s">
        <v>95</v>
      </c>
      <c r="D1983" s="3" t="s">
        <v>96</v>
      </c>
      <c r="E1983" s="2"/>
      <c r="F1983" s="2"/>
      <c r="G1983" s="2" t="s">
        <v>71</v>
      </c>
      <c r="H1983" s="2">
        <v>1</v>
      </c>
      <c r="I1983" s="8">
        <v>128.80000000000001</v>
      </c>
      <c r="J1983" s="8">
        <v>39900</v>
      </c>
      <c r="K1983" s="3">
        <v>0</v>
      </c>
      <c r="L1983" s="3" t="s">
        <v>3</v>
      </c>
      <c r="M1983" s="9" t="s">
        <v>0</v>
      </c>
      <c r="N1983" s="125" t="s">
        <v>41</v>
      </c>
      <c r="O1983" s="9" t="s">
        <v>529</v>
      </c>
      <c r="S1983" s="9" t="s">
        <v>158</v>
      </c>
      <c r="T1983" s="10" t="s">
        <v>71</v>
      </c>
      <c r="U1983" s="10">
        <v>1</v>
      </c>
      <c r="V1983" s="10">
        <v>128.80000000000001</v>
      </c>
      <c r="W1983" s="10" t="s">
        <v>710</v>
      </c>
      <c r="X1983" s="17">
        <v>45253</v>
      </c>
      <c r="Y1983" s="17">
        <v>45253</v>
      </c>
      <c r="Z1983" s="19" t="s">
        <v>772</v>
      </c>
      <c r="AA1983" s="210">
        <v>40000</v>
      </c>
      <c r="AB1983" s="9">
        <v>24</v>
      </c>
      <c r="AC1983" s="9">
        <v>11</v>
      </c>
      <c r="AD1983" s="17">
        <v>45621</v>
      </c>
      <c r="AE1983" s="56">
        <v>1460</v>
      </c>
      <c r="AF1983" s="56"/>
      <c r="AG1983" s="9" t="s">
        <v>134</v>
      </c>
      <c r="AH1983" s="17">
        <v>45625</v>
      </c>
      <c r="AI1983" s="17"/>
      <c r="AJ1983" s="17"/>
      <c r="AK1983" s="9" t="s">
        <v>1528</v>
      </c>
      <c r="AL1983" s="11">
        <v>1460</v>
      </c>
      <c r="AN1983" s="11" t="s">
        <v>1540</v>
      </c>
      <c r="AP1983" s="11"/>
      <c r="AQ1983" s="11"/>
      <c r="AR1983" s="11"/>
      <c r="AW1983" s="17">
        <v>45625</v>
      </c>
      <c r="AX1983" s="9">
        <v>3454</v>
      </c>
      <c r="BA1983" s="86">
        <v>1460</v>
      </c>
      <c r="BD1983" s="9"/>
      <c r="CS1983" s="11">
        <f t="shared" si="140"/>
        <v>1460</v>
      </c>
      <c r="CT1983" s="22">
        <f t="shared" si="141"/>
        <v>1460</v>
      </c>
      <c r="CU1983" s="22">
        <f t="shared" si="142"/>
        <v>0</v>
      </c>
      <c r="CV1983" s="26">
        <f t="shared" si="139"/>
        <v>0</v>
      </c>
    </row>
    <row r="1984" spans="1:100" x14ac:dyDescent="0.2">
      <c r="A1984" s="9" t="s">
        <v>489</v>
      </c>
      <c r="B1984" s="2">
        <v>48</v>
      </c>
      <c r="C1984" s="3" t="s">
        <v>95</v>
      </c>
      <c r="D1984" s="3" t="s">
        <v>96</v>
      </c>
      <c r="E1984" s="2"/>
      <c r="F1984" s="2"/>
      <c r="G1984" s="2" t="s">
        <v>71</v>
      </c>
      <c r="H1984" s="2">
        <v>1</v>
      </c>
      <c r="I1984" s="8">
        <v>128.80000000000001</v>
      </c>
      <c r="J1984" s="8">
        <v>39900</v>
      </c>
      <c r="K1984" s="3">
        <v>0</v>
      </c>
      <c r="L1984" s="3" t="s">
        <v>3</v>
      </c>
      <c r="M1984" s="9" t="s">
        <v>0</v>
      </c>
      <c r="N1984" s="125" t="s">
        <v>41</v>
      </c>
      <c r="O1984" s="9" t="s">
        <v>529</v>
      </c>
      <c r="S1984" s="9" t="s">
        <v>158</v>
      </c>
      <c r="T1984" s="10" t="s">
        <v>71</v>
      </c>
      <c r="U1984" s="10">
        <v>1</v>
      </c>
      <c r="V1984" s="10">
        <v>128.80000000000001</v>
      </c>
      <c r="W1984" s="10" t="s">
        <v>710</v>
      </c>
      <c r="X1984" s="17">
        <v>45253</v>
      </c>
      <c r="Y1984" s="17">
        <v>45253</v>
      </c>
      <c r="Z1984" s="19" t="s">
        <v>772</v>
      </c>
      <c r="AA1984" s="210">
        <v>40000</v>
      </c>
      <c r="AB1984" s="9">
        <v>24</v>
      </c>
      <c r="AC1984" s="9">
        <v>12</v>
      </c>
      <c r="AD1984" s="17">
        <v>45651</v>
      </c>
      <c r="AE1984" s="56">
        <v>1460</v>
      </c>
      <c r="AF1984" s="56"/>
      <c r="AG1984" s="9" t="s">
        <v>134</v>
      </c>
      <c r="AH1984" s="17">
        <v>45649</v>
      </c>
      <c r="AI1984" s="17"/>
      <c r="AJ1984" s="17"/>
      <c r="AK1984" s="9" t="s">
        <v>1529</v>
      </c>
      <c r="AL1984" s="11">
        <v>1460</v>
      </c>
      <c r="AN1984" s="11" t="s">
        <v>1541</v>
      </c>
      <c r="AP1984" s="11"/>
      <c r="AQ1984" s="11"/>
      <c r="AR1984" s="11"/>
      <c r="AW1984" s="17">
        <v>45648</v>
      </c>
      <c r="AX1984" s="9">
        <v>3517</v>
      </c>
      <c r="BA1984" s="86">
        <v>1460</v>
      </c>
      <c r="BD1984" s="9"/>
      <c r="CS1984" s="11">
        <f t="shared" si="140"/>
        <v>1460</v>
      </c>
      <c r="CT1984" s="22">
        <f t="shared" si="141"/>
        <v>1460</v>
      </c>
      <c r="CU1984" s="22">
        <f t="shared" si="142"/>
        <v>0</v>
      </c>
      <c r="CV1984" s="26">
        <f t="shared" si="139"/>
        <v>0</v>
      </c>
    </row>
    <row r="1985" spans="1:100" x14ac:dyDescent="0.2">
      <c r="A1985" s="9" t="s">
        <v>489</v>
      </c>
      <c r="B1985" s="2">
        <v>48</v>
      </c>
      <c r="C1985" s="3" t="s">
        <v>95</v>
      </c>
      <c r="D1985" s="3" t="s">
        <v>96</v>
      </c>
      <c r="E1985" s="2"/>
      <c r="F1985" s="2"/>
      <c r="G1985" s="2" t="s">
        <v>71</v>
      </c>
      <c r="H1985" s="2">
        <v>1</v>
      </c>
      <c r="I1985" s="8">
        <v>128.80000000000001</v>
      </c>
      <c r="J1985" s="8">
        <v>39900</v>
      </c>
      <c r="K1985" s="3">
        <v>0</v>
      </c>
      <c r="L1985" s="3" t="s">
        <v>3</v>
      </c>
      <c r="M1985" s="9" t="s">
        <v>0</v>
      </c>
      <c r="N1985" s="125" t="s">
        <v>41</v>
      </c>
      <c r="O1985" s="9" t="s">
        <v>529</v>
      </c>
      <c r="S1985" s="9" t="s">
        <v>158</v>
      </c>
      <c r="T1985" s="10" t="s">
        <v>71</v>
      </c>
      <c r="U1985" s="10">
        <v>1</v>
      </c>
      <c r="V1985" s="10">
        <v>128.80000000000001</v>
      </c>
      <c r="W1985" s="10" t="s">
        <v>710</v>
      </c>
      <c r="X1985" s="17">
        <v>45253</v>
      </c>
      <c r="Y1985" s="17">
        <v>45253</v>
      </c>
      <c r="Z1985" s="19" t="s">
        <v>772</v>
      </c>
      <c r="AA1985" s="210">
        <v>40000</v>
      </c>
      <c r="AB1985" s="9">
        <v>24</v>
      </c>
      <c r="AC1985" s="9">
        <v>13</v>
      </c>
      <c r="AD1985" s="17">
        <v>45681</v>
      </c>
      <c r="AE1985" s="56">
        <v>1460</v>
      </c>
      <c r="AF1985" s="56"/>
      <c r="AG1985" s="9" t="s">
        <v>134</v>
      </c>
      <c r="AH1985" s="17">
        <v>45684</v>
      </c>
      <c r="AI1985" s="17"/>
      <c r="AJ1985" s="17"/>
      <c r="AK1985" s="9" t="s">
        <v>1542</v>
      </c>
      <c r="AL1985" s="11">
        <v>1460</v>
      </c>
      <c r="AN1985" s="11" t="s">
        <v>1551</v>
      </c>
      <c r="AP1985" s="11"/>
      <c r="AQ1985" s="11"/>
      <c r="AR1985" s="11"/>
      <c r="AW1985" s="17">
        <v>45684</v>
      </c>
      <c r="AX1985" s="9">
        <v>3654</v>
      </c>
      <c r="BA1985" s="86">
        <v>1460</v>
      </c>
      <c r="BD1985" s="9"/>
      <c r="CS1985" s="11">
        <f t="shared" si="140"/>
        <v>1460</v>
      </c>
      <c r="CT1985" s="22">
        <f t="shared" si="141"/>
        <v>1460</v>
      </c>
      <c r="CU1985" s="22">
        <f t="shared" si="142"/>
        <v>0</v>
      </c>
      <c r="CV1985" s="26">
        <f t="shared" si="139"/>
        <v>0</v>
      </c>
    </row>
    <row r="1986" spans="1:100" x14ac:dyDescent="0.2">
      <c r="A1986" s="9" t="s">
        <v>489</v>
      </c>
      <c r="B1986" s="2">
        <v>48</v>
      </c>
      <c r="C1986" s="3" t="s">
        <v>95</v>
      </c>
      <c r="D1986" s="3" t="s">
        <v>96</v>
      </c>
      <c r="E1986" s="2"/>
      <c r="F1986" s="2"/>
      <c r="G1986" s="2" t="s">
        <v>71</v>
      </c>
      <c r="H1986" s="2">
        <v>1</v>
      </c>
      <c r="I1986" s="8">
        <v>128.80000000000001</v>
      </c>
      <c r="J1986" s="8">
        <v>39900</v>
      </c>
      <c r="K1986" s="3">
        <v>0</v>
      </c>
      <c r="L1986" s="3" t="s">
        <v>3</v>
      </c>
      <c r="M1986" s="9" t="s">
        <v>0</v>
      </c>
      <c r="N1986" s="125" t="s">
        <v>41</v>
      </c>
      <c r="O1986" s="9" t="s">
        <v>529</v>
      </c>
      <c r="S1986" s="9" t="s">
        <v>158</v>
      </c>
      <c r="T1986" s="10" t="s">
        <v>71</v>
      </c>
      <c r="U1986" s="10">
        <v>1</v>
      </c>
      <c r="V1986" s="10">
        <v>128.80000000000001</v>
      </c>
      <c r="W1986" s="10" t="s">
        <v>710</v>
      </c>
      <c r="X1986" s="17">
        <v>45253</v>
      </c>
      <c r="Y1986" s="17">
        <v>45253</v>
      </c>
      <c r="Z1986" s="19" t="s">
        <v>772</v>
      </c>
      <c r="AA1986" s="210">
        <v>40000</v>
      </c>
      <c r="AB1986" s="9">
        <v>24</v>
      </c>
      <c r="AC1986" s="9">
        <v>14</v>
      </c>
      <c r="AD1986" s="17">
        <v>45711</v>
      </c>
      <c r="AE1986" s="56">
        <v>1460</v>
      </c>
      <c r="AF1986" s="56"/>
      <c r="AG1986" s="9" t="s">
        <v>134</v>
      </c>
      <c r="AH1986" s="17">
        <v>45713</v>
      </c>
      <c r="AI1986" s="17"/>
      <c r="AJ1986" s="17"/>
      <c r="AK1986" s="9" t="s">
        <v>1543</v>
      </c>
      <c r="AL1986" s="11">
        <v>1460</v>
      </c>
      <c r="AN1986" s="11" t="s">
        <v>1552</v>
      </c>
      <c r="AP1986" s="11"/>
      <c r="AQ1986" s="11"/>
      <c r="AR1986" s="11"/>
      <c r="AW1986" s="17">
        <v>45713</v>
      </c>
      <c r="AX1986" s="9">
        <v>3787</v>
      </c>
      <c r="BA1986" s="86">
        <v>1460</v>
      </c>
      <c r="BD1986" s="9"/>
      <c r="CS1986" s="11">
        <f t="shared" si="140"/>
        <v>1460</v>
      </c>
      <c r="CT1986" s="22">
        <f t="shared" si="141"/>
        <v>1460</v>
      </c>
      <c r="CU1986" s="22">
        <f t="shared" si="142"/>
        <v>0</v>
      </c>
      <c r="CV1986" s="26">
        <f t="shared" si="139"/>
        <v>0</v>
      </c>
    </row>
    <row r="1987" spans="1:100" x14ac:dyDescent="0.2">
      <c r="A1987" s="9" t="s">
        <v>489</v>
      </c>
      <c r="B1987" s="2">
        <v>48</v>
      </c>
      <c r="C1987" s="3" t="s">
        <v>95</v>
      </c>
      <c r="D1987" s="3" t="s">
        <v>96</v>
      </c>
      <c r="E1987" s="2"/>
      <c r="F1987" s="2"/>
      <c r="G1987" s="2" t="s">
        <v>71</v>
      </c>
      <c r="H1987" s="2">
        <v>1</v>
      </c>
      <c r="I1987" s="8">
        <v>128.80000000000001</v>
      </c>
      <c r="J1987" s="8">
        <v>39900</v>
      </c>
      <c r="K1987" s="3">
        <v>0</v>
      </c>
      <c r="L1987" s="3" t="s">
        <v>3</v>
      </c>
      <c r="M1987" s="9" t="s">
        <v>0</v>
      </c>
      <c r="N1987" s="125" t="s">
        <v>41</v>
      </c>
      <c r="O1987" s="9" t="s">
        <v>529</v>
      </c>
      <c r="S1987" s="9" t="s">
        <v>158</v>
      </c>
      <c r="T1987" s="10" t="s">
        <v>71</v>
      </c>
      <c r="U1987" s="10">
        <v>1</v>
      </c>
      <c r="V1987" s="10">
        <v>128.80000000000001</v>
      </c>
      <c r="W1987" s="10" t="s">
        <v>710</v>
      </c>
      <c r="X1987" s="17">
        <v>45253</v>
      </c>
      <c r="Y1987" s="17">
        <v>45253</v>
      </c>
      <c r="Z1987" s="19" t="s">
        <v>772</v>
      </c>
      <c r="AA1987" s="210">
        <v>40000</v>
      </c>
      <c r="AB1987" s="9">
        <v>24</v>
      </c>
      <c r="AC1987" s="9">
        <v>15</v>
      </c>
      <c r="AD1987" s="17">
        <v>45741</v>
      </c>
      <c r="AE1987" s="56">
        <v>1460</v>
      </c>
      <c r="AF1987" s="56"/>
      <c r="AG1987" s="9" t="s">
        <v>134</v>
      </c>
      <c r="AH1987" s="17">
        <v>45742</v>
      </c>
      <c r="AI1987" s="17"/>
      <c r="AJ1987" s="17"/>
      <c r="AK1987" s="9" t="s">
        <v>1544</v>
      </c>
      <c r="AL1987" s="11">
        <v>1460</v>
      </c>
      <c r="AN1987" s="11" t="s">
        <v>1553</v>
      </c>
      <c r="AP1987" s="11"/>
      <c r="AQ1987" s="11"/>
      <c r="AR1987" s="11"/>
      <c r="AW1987" s="17">
        <v>45742</v>
      </c>
      <c r="AX1987" s="9">
        <v>3923</v>
      </c>
      <c r="BA1987" s="86">
        <v>1460</v>
      </c>
      <c r="BD1987" s="9"/>
      <c r="CS1987" s="11">
        <f t="shared" si="140"/>
        <v>1460</v>
      </c>
      <c r="CT1987" s="22">
        <f t="shared" si="141"/>
        <v>1460</v>
      </c>
      <c r="CU1987" s="22">
        <f t="shared" si="142"/>
        <v>0</v>
      </c>
      <c r="CV1987" s="26">
        <f t="shared" si="139"/>
        <v>0</v>
      </c>
    </row>
    <row r="1988" spans="1:100" x14ac:dyDescent="0.2">
      <c r="A1988" s="9" t="s">
        <v>489</v>
      </c>
      <c r="B1988" s="2">
        <v>48</v>
      </c>
      <c r="C1988" s="3" t="s">
        <v>95</v>
      </c>
      <c r="D1988" s="3" t="s">
        <v>96</v>
      </c>
      <c r="E1988" s="2"/>
      <c r="F1988" s="2"/>
      <c r="G1988" s="2" t="s">
        <v>71</v>
      </c>
      <c r="H1988" s="2">
        <v>1</v>
      </c>
      <c r="I1988" s="8">
        <v>128.80000000000001</v>
      </c>
      <c r="J1988" s="8">
        <v>39900</v>
      </c>
      <c r="K1988" s="3">
        <v>0</v>
      </c>
      <c r="L1988" s="3" t="s">
        <v>3</v>
      </c>
      <c r="M1988" s="9" t="s">
        <v>0</v>
      </c>
      <c r="N1988" s="125" t="s">
        <v>41</v>
      </c>
      <c r="O1988" s="9" t="s">
        <v>529</v>
      </c>
      <c r="S1988" s="9" t="s">
        <v>158</v>
      </c>
      <c r="T1988" s="10" t="s">
        <v>71</v>
      </c>
      <c r="U1988" s="10">
        <v>1</v>
      </c>
      <c r="V1988" s="10">
        <v>128.80000000000001</v>
      </c>
      <c r="W1988" s="10" t="s">
        <v>710</v>
      </c>
      <c r="X1988" s="17">
        <v>45253</v>
      </c>
      <c r="Y1988" s="17">
        <v>45253</v>
      </c>
      <c r="Z1988" s="19" t="s">
        <v>772</v>
      </c>
      <c r="AA1988" s="210">
        <v>40000</v>
      </c>
      <c r="AB1988" s="9">
        <v>24</v>
      </c>
      <c r="AC1988" s="9">
        <v>16</v>
      </c>
      <c r="AD1988" s="17">
        <v>45771</v>
      </c>
      <c r="AE1988" s="56">
        <v>1460</v>
      </c>
      <c r="AF1988" s="56"/>
      <c r="AG1988" s="9" t="s">
        <v>134</v>
      </c>
      <c r="AH1988" s="17">
        <v>45768</v>
      </c>
      <c r="AI1988" s="17"/>
      <c r="AJ1988" s="17"/>
      <c r="AK1988" s="9" t="s">
        <v>1545</v>
      </c>
      <c r="AL1988" s="11">
        <v>1460</v>
      </c>
      <c r="AN1988" s="11" t="s">
        <v>1554</v>
      </c>
      <c r="AP1988" s="11"/>
      <c r="AQ1988" s="11"/>
      <c r="AR1988" s="11"/>
      <c r="AW1988" s="17">
        <v>45767</v>
      </c>
      <c r="AX1988" s="9">
        <v>4026</v>
      </c>
      <c r="BA1988" s="86">
        <v>1460</v>
      </c>
      <c r="BD1988" s="9"/>
      <c r="CS1988" s="11">
        <f t="shared" si="140"/>
        <v>1460</v>
      </c>
      <c r="CT1988" s="22">
        <f t="shared" si="141"/>
        <v>1460</v>
      </c>
      <c r="CU1988" s="22">
        <f t="shared" si="142"/>
        <v>0</v>
      </c>
      <c r="CV1988" s="26">
        <f t="shared" si="139"/>
        <v>0</v>
      </c>
    </row>
    <row r="1989" spans="1:100" x14ac:dyDescent="0.2">
      <c r="A1989" s="9" t="s">
        <v>489</v>
      </c>
      <c r="B1989" s="2">
        <v>48</v>
      </c>
      <c r="C1989" s="3" t="s">
        <v>95</v>
      </c>
      <c r="D1989" s="3" t="s">
        <v>96</v>
      </c>
      <c r="E1989" s="2"/>
      <c r="F1989" s="2"/>
      <c r="G1989" s="2" t="s">
        <v>71</v>
      </c>
      <c r="H1989" s="2">
        <v>1</v>
      </c>
      <c r="I1989" s="8">
        <v>128.80000000000001</v>
      </c>
      <c r="J1989" s="8">
        <v>39900</v>
      </c>
      <c r="K1989" s="3">
        <v>0</v>
      </c>
      <c r="L1989" s="3" t="s">
        <v>3</v>
      </c>
      <c r="M1989" s="9" t="s">
        <v>0</v>
      </c>
      <c r="N1989" s="125" t="s">
        <v>41</v>
      </c>
      <c r="O1989" s="9" t="s">
        <v>529</v>
      </c>
      <c r="S1989" s="9" t="s">
        <v>158</v>
      </c>
      <c r="T1989" s="10" t="s">
        <v>71</v>
      </c>
      <c r="U1989" s="10">
        <v>1</v>
      </c>
      <c r="V1989" s="10">
        <v>128.80000000000001</v>
      </c>
      <c r="W1989" s="10" t="s">
        <v>710</v>
      </c>
      <c r="X1989" s="17">
        <v>45253</v>
      </c>
      <c r="Y1989" s="17">
        <v>45253</v>
      </c>
      <c r="Z1989" s="19" t="s">
        <v>772</v>
      </c>
      <c r="AA1989" s="210">
        <v>40000</v>
      </c>
      <c r="AB1989" s="9">
        <v>24</v>
      </c>
      <c r="AC1989" s="9">
        <v>17</v>
      </c>
      <c r="AD1989" s="17">
        <v>45801</v>
      </c>
      <c r="AE1989" s="56">
        <v>1460</v>
      </c>
      <c r="AF1989" s="56"/>
      <c r="AG1989" s="9" t="s">
        <v>134</v>
      </c>
      <c r="AH1989" s="17">
        <v>45796</v>
      </c>
      <c r="AI1989" s="17"/>
      <c r="AJ1989" s="17"/>
      <c r="AK1989" s="9" t="s">
        <v>1546</v>
      </c>
      <c r="AL1989" s="11">
        <v>1460</v>
      </c>
      <c r="AN1989" s="11" t="s">
        <v>1555</v>
      </c>
      <c r="AP1989" s="11"/>
      <c r="AQ1989" s="11"/>
      <c r="AR1989" s="11"/>
      <c r="AW1989" s="17">
        <v>45796</v>
      </c>
      <c r="AX1989" s="9">
        <v>4185</v>
      </c>
      <c r="BA1989" s="86">
        <v>1460</v>
      </c>
      <c r="BD1989" s="9"/>
      <c r="CS1989" s="11">
        <f t="shared" si="140"/>
        <v>1460</v>
      </c>
      <c r="CT1989" s="22">
        <f t="shared" si="141"/>
        <v>1460</v>
      </c>
      <c r="CU1989" s="22">
        <f t="shared" si="142"/>
        <v>0</v>
      </c>
      <c r="CV1989" s="26">
        <f t="shared" si="139"/>
        <v>0</v>
      </c>
    </row>
    <row r="1990" spans="1:100" x14ac:dyDescent="0.2">
      <c r="A1990" s="9" t="s">
        <v>489</v>
      </c>
      <c r="B1990" s="2">
        <v>48</v>
      </c>
      <c r="C1990" s="3" t="s">
        <v>95</v>
      </c>
      <c r="D1990" s="3" t="s">
        <v>96</v>
      </c>
      <c r="E1990" s="2"/>
      <c r="F1990" s="2"/>
      <c r="G1990" s="2" t="s">
        <v>71</v>
      </c>
      <c r="H1990" s="2">
        <v>1</v>
      </c>
      <c r="I1990" s="8">
        <v>128.80000000000001</v>
      </c>
      <c r="J1990" s="8">
        <v>39900</v>
      </c>
      <c r="K1990" s="3">
        <v>0</v>
      </c>
      <c r="L1990" s="3" t="s">
        <v>3</v>
      </c>
      <c r="M1990" s="9" t="s">
        <v>0</v>
      </c>
      <c r="N1990" s="125" t="s">
        <v>41</v>
      </c>
      <c r="O1990" s="9" t="s">
        <v>529</v>
      </c>
      <c r="S1990" s="9" t="s">
        <v>158</v>
      </c>
      <c r="T1990" s="10" t="s">
        <v>71</v>
      </c>
      <c r="U1990" s="10">
        <v>1</v>
      </c>
      <c r="V1990" s="10">
        <v>128.80000000000001</v>
      </c>
      <c r="W1990" s="10" t="s">
        <v>710</v>
      </c>
      <c r="X1990" s="17">
        <v>45253</v>
      </c>
      <c r="Y1990" s="17">
        <v>45253</v>
      </c>
      <c r="Z1990" s="19" t="s">
        <v>772</v>
      </c>
      <c r="AA1990" s="210">
        <v>40000</v>
      </c>
      <c r="AB1990" s="9">
        <v>24</v>
      </c>
      <c r="AC1990" s="9">
        <v>18</v>
      </c>
      <c r="AD1990" s="17">
        <v>45831</v>
      </c>
      <c r="AE1990" s="56">
        <v>1460</v>
      </c>
      <c r="AF1990" s="56"/>
      <c r="AG1990" s="9" t="s">
        <v>134</v>
      </c>
      <c r="AH1990" s="17">
        <v>45832</v>
      </c>
      <c r="AI1990" s="17"/>
      <c r="AJ1990" s="17"/>
      <c r="AK1990" s="9" t="s">
        <v>1547</v>
      </c>
      <c r="AL1990" s="11">
        <v>1460</v>
      </c>
      <c r="AN1990" s="11" t="s">
        <v>1556</v>
      </c>
      <c r="AP1990" s="11"/>
      <c r="AQ1990" s="11"/>
      <c r="AR1990" s="11"/>
      <c r="AW1990" s="17">
        <v>45832</v>
      </c>
      <c r="AX1990" s="9">
        <v>4336</v>
      </c>
      <c r="BA1990" s="86">
        <v>1460</v>
      </c>
      <c r="BD1990" s="9"/>
      <c r="CS1990" s="11">
        <f t="shared" si="140"/>
        <v>1460</v>
      </c>
      <c r="CT1990" s="22">
        <f t="shared" si="141"/>
        <v>1460</v>
      </c>
      <c r="CU1990" s="22">
        <f t="shared" si="142"/>
        <v>0</v>
      </c>
      <c r="CV1990" s="26">
        <f t="shared" si="139"/>
        <v>0</v>
      </c>
    </row>
    <row r="1991" spans="1:100" x14ac:dyDescent="0.2">
      <c r="A1991" s="9" t="s">
        <v>489</v>
      </c>
      <c r="B1991" s="2">
        <v>48</v>
      </c>
      <c r="C1991" s="3" t="s">
        <v>95</v>
      </c>
      <c r="D1991" s="3" t="s">
        <v>96</v>
      </c>
      <c r="E1991" s="2"/>
      <c r="F1991" s="2"/>
      <c r="G1991" s="2" t="s">
        <v>71</v>
      </c>
      <c r="H1991" s="2">
        <v>1</v>
      </c>
      <c r="I1991" s="8">
        <v>128.80000000000001</v>
      </c>
      <c r="J1991" s="8">
        <v>39900</v>
      </c>
      <c r="K1991" s="3">
        <v>0</v>
      </c>
      <c r="L1991" s="3" t="s">
        <v>3</v>
      </c>
      <c r="M1991" s="9" t="s">
        <v>0</v>
      </c>
      <c r="N1991" s="125" t="s">
        <v>41</v>
      </c>
      <c r="O1991" s="9" t="s">
        <v>529</v>
      </c>
      <c r="S1991" s="9" t="s">
        <v>158</v>
      </c>
      <c r="T1991" s="10" t="s">
        <v>71</v>
      </c>
      <c r="U1991" s="10">
        <v>1</v>
      </c>
      <c r="V1991" s="10">
        <v>128.80000000000001</v>
      </c>
      <c r="W1991" s="10" t="s">
        <v>710</v>
      </c>
      <c r="X1991" s="17">
        <v>45253</v>
      </c>
      <c r="Y1991" s="17">
        <v>45253</v>
      </c>
      <c r="Z1991" s="19" t="s">
        <v>772</v>
      </c>
      <c r="AA1991" s="210">
        <v>40000</v>
      </c>
      <c r="AB1991" s="9">
        <v>24</v>
      </c>
      <c r="AC1991" s="9">
        <v>19</v>
      </c>
      <c r="AD1991" s="17">
        <v>45861</v>
      </c>
      <c r="AE1991" s="56">
        <v>1460</v>
      </c>
      <c r="AF1991" s="56"/>
      <c r="AG1991" s="9" t="s">
        <v>134</v>
      </c>
      <c r="AH1991" s="17">
        <v>45868</v>
      </c>
      <c r="AI1991" s="17"/>
      <c r="AJ1991" s="17"/>
      <c r="AK1991" s="9" t="s">
        <v>1548</v>
      </c>
      <c r="AL1991" s="11">
        <v>1460</v>
      </c>
      <c r="AN1991" s="11" t="s">
        <v>1557</v>
      </c>
      <c r="AP1991" s="11"/>
      <c r="AQ1991" s="11"/>
      <c r="AR1991" s="11"/>
      <c r="AW1991" s="17">
        <v>45864</v>
      </c>
      <c r="AX1991" s="9">
        <v>4478</v>
      </c>
      <c r="BA1991" s="86">
        <v>1460</v>
      </c>
      <c r="BD1991" s="9"/>
      <c r="CS1991" s="11">
        <f t="shared" si="140"/>
        <v>1460</v>
      </c>
      <c r="CT1991" s="22">
        <f t="shared" si="141"/>
        <v>1460</v>
      </c>
      <c r="CU1991" s="22">
        <f t="shared" si="142"/>
        <v>0</v>
      </c>
      <c r="CV1991" s="26">
        <f t="shared" si="139"/>
        <v>0</v>
      </c>
    </row>
    <row r="1992" spans="1:100" x14ac:dyDescent="0.2">
      <c r="A1992" s="9" t="s">
        <v>489</v>
      </c>
      <c r="B1992" s="2">
        <v>48</v>
      </c>
      <c r="C1992" s="3" t="s">
        <v>95</v>
      </c>
      <c r="D1992" s="3" t="s">
        <v>96</v>
      </c>
      <c r="E1992" s="2"/>
      <c r="F1992" s="2"/>
      <c r="G1992" s="2" t="s">
        <v>71</v>
      </c>
      <c r="H1992" s="2">
        <v>1</v>
      </c>
      <c r="I1992" s="8">
        <v>128.80000000000001</v>
      </c>
      <c r="J1992" s="8">
        <v>39900</v>
      </c>
      <c r="K1992" s="3">
        <v>0</v>
      </c>
      <c r="L1992" s="3" t="s">
        <v>3</v>
      </c>
      <c r="M1992" s="9" t="s">
        <v>0</v>
      </c>
      <c r="N1992" s="125" t="s">
        <v>41</v>
      </c>
      <c r="O1992" s="9" t="s">
        <v>529</v>
      </c>
      <c r="S1992" s="9" t="s">
        <v>158</v>
      </c>
      <c r="T1992" s="10" t="s">
        <v>71</v>
      </c>
      <c r="U1992" s="10">
        <v>1</v>
      </c>
      <c r="V1992" s="10">
        <v>128.80000000000001</v>
      </c>
      <c r="W1992" s="10" t="s">
        <v>710</v>
      </c>
      <c r="X1992" s="17">
        <v>45253</v>
      </c>
      <c r="Y1992" s="17">
        <v>45253</v>
      </c>
      <c r="Z1992" s="19" t="s">
        <v>772</v>
      </c>
      <c r="AA1992" s="210">
        <v>40000</v>
      </c>
      <c r="AB1992" s="9">
        <v>24</v>
      </c>
      <c r="AC1992" s="9">
        <v>20</v>
      </c>
      <c r="AD1992" s="17">
        <v>45891</v>
      </c>
      <c r="AE1992" s="56">
        <v>1460</v>
      </c>
      <c r="AF1992" s="56"/>
      <c r="AG1992" s="9" t="s">
        <v>134</v>
      </c>
      <c r="AH1992" s="17">
        <v>45897</v>
      </c>
      <c r="AI1992" s="17"/>
      <c r="AJ1992" s="17"/>
      <c r="AK1992" s="9" t="s">
        <v>1549</v>
      </c>
      <c r="AL1992" s="11">
        <v>1460</v>
      </c>
      <c r="AN1992" s="11" t="s">
        <v>1558</v>
      </c>
      <c r="AP1992" s="11"/>
      <c r="AQ1992" s="11"/>
      <c r="AR1992" s="11"/>
      <c r="AW1992" s="17">
        <v>45897</v>
      </c>
      <c r="AX1992" s="9">
        <v>4616</v>
      </c>
      <c r="BA1992" s="86">
        <v>1460</v>
      </c>
      <c r="BD1992" s="9"/>
      <c r="CS1992" s="11">
        <f t="shared" si="140"/>
        <v>1460</v>
      </c>
      <c r="CT1992" s="22">
        <f t="shared" si="141"/>
        <v>1460</v>
      </c>
      <c r="CU1992" s="22">
        <f t="shared" si="142"/>
        <v>0</v>
      </c>
      <c r="CV1992" s="26">
        <f t="shared" si="139"/>
        <v>0</v>
      </c>
    </row>
    <row r="1993" spans="1:100" x14ac:dyDescent="0.2">
      <c r="A1993" s="9" t="s">
        <v>489</v>
      </c>
      <c r="B1993" s="2">
        <v>48</v>
      </c>
      <c r="C1993" s="3" t="s">
        <v>95</v>
      </c>
      <c r="D1993" s="3" t="s">
        <v>96</v>
      </c>
      <c r="E1993" s="2"/>
      <c r="F1993" s="2"/>
      <c r="G1993" s="2" t="s">
        <v>71</v>
      </c>
      <c r="H1993" s="2">
        <v>1</v>
      </c>
      <c r="I1993" s="8">
        <v>128.80000000000001</v>
      </c>
      <c r="J1993" s="8">
        <v>39900</v>
      </c>
      <c r="K1993" s="3">
        <v>0</v>
      </c>
      <c r="L1993" s="3" t="s">
        <v>3</v>
      </c>
      <c r="M1993" s="9" t="s">
        <v>0</v>
      </c>
      <c r="N1993" s="125" t="s">
        <v>41</v>
      </c>
      <c r="O1993" s="9" t="s">
        <v>529</v>
      </c>
      <c r="S1993" s="9" t="s">
        <v>158</v>
      </c>
      <c r="T1993" s="10" t="s">
        <v>71</v>
      </c>
      <c r="U1993" s="10">
        <v>1</v>
      </c>
      <c r="V1993" s="10">
        <v>128.80000000000001</v>
      </c>
      <c r="W1993" s="10" t="s">
        <v>710</v>
      </c>
      <c r="X1993" s="17">
        <v>45253</v>
      </c>
      <c r="Y1993" s="17">
        <v>45253</v>
      </c>
      <c r="Z1993" s="19" t="s">
        <v>772</v>
      </c>
      <c r="AA1993" s="210">
        <v>40000</v>
      </c>
      <c r="AB1993" s="9">
        <v>24</v>
      </c>
      <c r="AC1993" s="9">
        <v>21</v>
      </c>
      <c r="AD1993" s="17">
        <v>45921</v>
      </c>
      <c r="AE1993" s="56">
        <v>1460</v>
      </c>
      <c r="AF1993" s="56"/>
      <c r="AG1993" s="9" t="s">
        <v>134</v>
      </c>
      <c r="AH1993" s="17">
        <v>45922</v>
      </c>
      <c r="AI1993" s="17"/>
      <c r="AJ1993" s="17"/>
      <c r="AK1993" s="9" t="s">
        <v>1550</v>
      </c>
      <c r="AL1993" s="11">
        <v>1460</v>
      </c>
      <c r="AN1993" s="11" t="s">
        <v>1559</v>
      </c>
      <c r="AP1993" s="11"/>
      <c r="AQ1993" s="11"/>
      <c r="AR1993" s="11"/>
      <c r="AW1993" s="17">
        <v>45920</v>
      </c>
      <c r="AX1993" s="9">
        <v>4769</v>
      </c>
      <c r="BA1993" s="86">
        <v>1460</v>
      </c>
      <c r="BD1993" s="9"/>
      <c r="CS1993" s="11">
        <f t="shared" si="140"/>
        <v>1460</v>
      </c>
      <c r="CT1993" s="22">
        <f t="shared" si="141"/>
        <v>1460</v>
      </c>
      <c r="CU1993" s="22">
        <f t="shared" si="142"/>
        <v>0</v>
      </c>
      <c r="CV1993" s="26">
        <f t="shared" si="139"/>
        <v>0</v>
      </c>
    </row>
    <row r="1994" spans="1:100" x14ac:dyDescent="0.2">
      <c r="A1994" s="9" t="s">
        <v>489</v>
      </c>
      <c r="B1994" s="2">
        <v>48</v>
      </c>
      <c r="C1994" s="3" t="s">
        <v>95</v>
      </c>
      <c r="D1994" s="3" t="s">
        <v>96</v>
      </c>
      <c r="E1994" s="2"/>
      <c r="F1994" s="2"/>
      <c r="G1994" s="2" t="s">
        <v>71</v>
      </c>
      <c r="H1994" s="2">
        <v>1</v>
      </c>
      <c r="I1994" s="8">
        <v>128.80000000000001</v>
      </c>
      <c r="J1994" s="8">
        <v>39900</v>
      </c>
      <c r="K1994" s="3">
        <v>0</v>
      </c>
      <c r="L1994" s="3" t="s">
        <v>3</v>
      </c>
      <c r="M1994" s="9" t="s">
        <v>0</v>
      </c>
      <c r="N1994" s="125" t="s">
        <v>41</v>
      </c>
      <c r="O1994" s="9" t="s">
        <v>529</v>
      </c>
      <c r="S1994" s="9" t="s">
        <v>158</v>
      </c>
      <c r="T1994" s="10" t="s">
        <v>71</v>
      </c>
      <c r="U1994" s="10">
        <v>1</v>
      </c>
      <c r="V1994" s="10">
        <v>128.80000000000001</v>
      </c>
      <c r="W1994" s="10" t="s">
        <v>710</v>
      </c>
      <c r="X1994" s="17">
        <v>45253</v>
      </c>
      <c r="Y1994" s="17">
        <v>45253</v>
      </c>
      <c r="Z1994" s="19" t="s">
        <v>772</v>
      </c>
      <c r="AA1994" s="210">
        <v>40000</v>
      </c>
      <c r="AB1994" s="9">
        <v>24</v>
      </c>
      <c r="AC1994" s="9">
        <v>22</v>
      </c>
      <c r="AD1994" s="17">
        <v>45951</v>
      </c>
      <c r="AE1994" s="56">
        <v>1460</v>
      </c>
      <c r="AF1994" s="56"/>
      <c r="AP1994" s="11"/>
      <c r="AQ1994" s="11"/>
      <c r="AR1994" s="11"/>
      <c r="AW1994" s="17"/>
      <c r="BA1994" s="86"/>
      <c r="BD1994" s="9"/>
      <c r="CS1994" s="11">
        <f t="shared" si="140"/>
        <v>0</v>
      </c>
      <c r="CT1994" s="22">
        <f t="shared" si="141"/>
        <v>0</v>
      </c>
      <c r="CU1994" s="22">
        <f t="shared" si="142"/>
        <v>0</v>
      </c>
      <c r="CV1994" s="26">
        <f t="shared" si="139"/>
        <v>1460</v>
      </c>
    </row>
    <row r="1995" spans="1:100" x14ac:dyDescent="0.2">
      <c r="A1995" s="9" t="s">
        <v>489</v>
      </c>
      <c r="B1995" s="2">
        <v>48</v>
      </c>
      <c r="C1995" s="3" t="s">
        <v>95</v>
      </c>
      <c r="D1995" s="3" t="s">
        <v>96</v>
      </c>
      <c r="E1995" s="2"/>
      <c r="F1995" s="2"/>
      <c r="G1995" s="2" t="s">
        <v>71</v>
      </c>
      <c r="H1995" s="2">
        <v>1</v>
      </c>
      <c r="I1995" s="8">
        <v>128.80000000000001</v>
      </c>
      <c r="J1995" s="8">
        <v>39900</v>
      </c>
      <c r="K1995" s="3">
        <v>0</v>
      </c>
      <c r="L1995" s="3" t="s">
        <v>3</v>
      </c>
      <c r="M1995" s="9" t="s">
        <v>0</v>
      </c>
      <c r="N1995" s="125" t="s">
        <v>41</v>
      </c>
      <c r="O1995" s="9" t="s">
        <v>529</v>
      </c>
      <c r="S1995" s="9" t="s">
        <v>158</v>
      </c>
      <c r="T1995" s="10" t="s">
        <v>71</v>
      </c>
      <c r="U1995" s="10">
        <v>1</v>
      </c>
      <c r="V1995" s="10">
        <v>128.80000000000001</v>
      </c>
      <c r="W1995" s="10" t="s">
        <v>710</v>
      </c>
      <c r="X1995" s="17">
        <v>45253</v>
      </c>
      <c r="Y1995" s="17">
        <v>45253</v>
      </c>
      <c r="Z1995" s="19" t="s">
        <v>772</v>
      </c>
      <c r="AA1995" s="210">
        <v>40000</v>
      </c>
      <c r="AB1995" s="9">
        <v>24</v>
      </c>
      <c r="AC1995" s="9">
        <v>23</v>
      </c>
      <c r="AD1995" s="17">
        <v>45981</v>
      </c>
      <c r="AE1995" s="56">
        <v>1460</v>
      </c>
      <c r="AF1995" s="56"/>
      <c r="AP1995" s="11"/>
      <c r="AQ1995" s="11"/>
      <c r="AR1995" s="11"/>
      <c r="AW1995" s="9"/>
      <c r="BD1995" s="9"/>
      <c r="CS1995" s="11">
        <f t="shared" si="140"/>
        <v>0</v>
      </c>
      <c r="CT1995" s="22">
        <f t="shared" si="141"/>
        <v>0</v>
      </c>
      <c r="CU1995" s="22">
        <f t="shared" si="142"/>
        <v>0</v>
      </c>
      <c r="CV1995" s="26">
        <f t="shared" si="139"/>
        <v>1460</v>
      </c>
    </row>
    <row r="1996" spans="1:100" x14ac:dyDescent="0.2">
      <c r="A1996" s="9" t="s">
        <v>489</v>
      </c>
      <c r="B1996" s="2">
        <v>48</v>
      </c>
      <c r="C1996" s="3" t="s">
        <v>95</v>
      </c>
      <c r="D1996" s="3" t="s">
        <v>96</v>
      </c>
      <c r="E1996" s="2"/>
      <c r="F1996" s="2"/>
      <c r="G1996" s="2" t="s">
        <v>71</v>
      </c>
      <c r="H1996" s="2">
        <v>1</v>
      </c>
      <c r="I1996" s="8">
        <v>128.80000000000001</v>
      </c>
      <c r="J1996" s="8">
        <v>39900</v>
      </c>
      <c r="K1996" s="3">
        <v>0</v>
      </c>
      <c r="L1996" s="3" t="s">
        <v>3</v>
      </c>
      <c r="M1996" s="9" t="s">
        <v>0</v>
      </c>
      <c r="N1996" s="125" t="s">
        <v>41</v>
      </c>
      <c r="O1996" s="9" t="s">
        <v>529</v>
      </c>
      <c r="S1996" s="9" t="s">
        <v>158</v>
      </c>
      <c r="T1996" s="10" t="s">
        <v>71</v>
      </c>
      <c r="U1996" s="10">
        <v>1</v>
      </c>
      <c r="V1996" s="10">
        <v>128.80000000000001</v>
      </c>
      <c r="W1996" s="10" t="s">
        <v>710</v>
      </c>
      <c r="X1996" s="17">
        <v>45253</v>
      </c>
      <c r="Y1996" s="17">
        <v>45253</v>
      </c>
      <c r="Z1996" s="19" t="s">
        <v>772</v>
      </c>
      <c r="AA1996" s="210">
        <v>40000</v>
      </c>
      <c r="AB1996" s="9">
        <v>24</v>
      </c>
      <c r="AC1996" s="9">
        <v>24</v>
      </c>
      <c r="AD1996" s="17">
        <v>46011</v>
      </c>
      <c r="AE1996" s="56">
        <v>1420</v>
      </c>
      <c r="AF1996" s="56"/>
      <c r="AP1996" s="11"/>
      <c r="AQ1996" s="11"/>
      <c r="AR1996" s="11"/>
      <c r="AW1996" s="9"/>
      <c r="BD1996" s="9"/>
      <c r="CS1996" s="11">
        <f t="shared" si="140"/>
        <v>0</v>
      </c>
      <c r="CT1996" s="22">
        <f t="shared" si="141"/>
        <v>0</v>
      </c>
      <c r="CU1996" s="22">
        <f t="shared" si="142"/>
        <v>0</v>
      </c>
      <c r="CV1996" s="26">
        <f t="shared" si="139"/>
        <v>1420</v>
      </c>
    </row>
    <row r="1997" spans="1:100" x14ac:dyDescent="0.2">
      <c r="A1997" s="9" t="s">
        <v>490</v>
      </c>
      <c r="B1997" s="2">
        <v>70</v>
      </c>
      <c r="C1997" s="3" t="s">
        <v>95</v>
      </c>
      <c r="D1997" s="3" t="s">
        <v>96</v>
      </c>
      <c r="E1997" s="2"/>
      <c r="F1997" s="2"/>
      <c r="G1997" s="2" t="s">
        <v>73</v>
      </c>
      <c r="H1997" s="2">
        <v>4</v>
      </c>
      <c r="I1997" s="8">
        <v>90</v>
      </c>
      <c r="J1997" s="8">
        <v>25000</v>
      </c>
      <c r="K1997" s="3">
        <v>0</v>
      </c>
      <c r="L1997" s="3" t="s">
        <v>3</v>
      </c>
      <c r="M1997" s="9" t="s">
        <v>0</v>
      </c>
      <c r="N1997" s="9" t="s">
        <v>42</v>
      </c>
      <c r="O1997" s="9" t="s">
        <v>532</v>
      </c>
      <c r="S1997" s="9" t="s">
        <v>158</v>
      </c>
      <c r="T1997" s="10" t="s">
        <v>73</v>
      </c>
      <c r="U1997" s="10">
        <v>4</v>
      </c>
      <c r="V1997" s="10">
        <v>90</v>
      </c>
      <c r="W1997" s="10" t="s">
        <v>710</v>
      </c>
      <c r="X1997" s="17">
        <v>44975</v>
      </c>
      <c r="Y1997" s="17">
        <v>45342</v>
      </c>
      <c r="Z1997" s="19" t="s">
        <v>772</v>
      </c>
      <c r="AA1997" s="210">
        <v>25000</v>
      </c>
      <c r="AB1997" s="9">
        <v>2</v>
      </c>
      <c r="AC1997" s="9">
        <v>1</v>
      </c>
      <c r="AD1997" s="17">
        <v>45340</v>
      </c>
      <c r="AE1997" s="56">
        <v>2597.4</v>
      </c>
      <c r="AF1997" s="56"/>
      <c r="AG1997" s="9" t="s">
        <v>134</v>
      </c>
      <c r="AH1997" s="17">
        <v>45340</v>
      </c>
      <c r="AI1997" s="17"/>
      <c r="AJ1997" s="17"/>
      <c r="AK1997" s="9" t="s">
        <v>533</v>
      </c>
      <c r="AL1997" s="11">
        <v>2597.4</v>
      </c>
      <c r="AN1997" s="11" t="s">
        <v>1513</v>
      </c>
      <c r="AP1997" s="11"/>
      <c r="AQ1997" s="11"/>
      <c r="AR1997" s="11"/>
      <c r="AW1997" s="17">
        <v>45340</v>
      </c>
      <c r="AX1997" s="10">
        <v>156927</v>
      </c>
      <c r="AY1997" s="9">
        <v>10000</v>
      </c>
      <c r="AZ1997" s="26">
        <v>3.85000385000385</v>
      </c>
      <c r="BA1997" s="11">
        <f>+AY1997/AZ1997</f>
        <v>2597.4</v>
      </c>
      <c r="BD1997" s="9"/>
      <c r="CS1997" s="11">
        <f t="shared" si="140"/>
        <v>2597.4</v>
      </c>
      <c r="CT1997" s="22">
        <f t="shared" si="141"/>
        <v>2597.4</v>
      </c>
      <c r="CU1997" s="22">
        <f t="shared" si="142"/>
        <v>0</v>
      </c>
      <c r="CV1997" s="26">
        <f t="shared" si="139"/>
        <v>0</v>
      </c>
    </row>
    <row r="1998" spans="1:100" x14ac:dyDescent="0.2">
      <c r="A1998" s="9" t="s">
        <v>490</v>
      </c>
      <c r="B1998" s="2">
        <v>70</v>
      </c>
      <c r="C1998" s="3" t="s">
        <v>95</v>
      </c>
      <c r="D1998" s="3" t="s">
        <v>96</v>
      </c>
      <c r="E1998" s="2"/>
      <c r="F1998" s="2"/>
      <c r="G1998" s="2" t="s">
        <v>73</v>
      </c>
      <c r="H1998" s="2">
        <v>4</v>
      </c>
      <c r="I1998" s="8">
        <v>90</v>
      </c>
      <c r="J1998" s="8">
        <v>25000</v>
      </c>
      <c r="K1998" s="3">
        <v>0</v>
      </c>
      <c r="L1998" s="3" t="s">
        <v>3</v>
      </c>
      <c r="M1998" s="9" t="s">
        <v>0</v>
      </c>
      <c r="N1998" s="9" t="s">
        <v>42</v>
      </c>
      <c r="O1998" s="9" t="s">
        <v>532</v>
      </c>
      <c r="S1998" s="9" t="s">
        <v>158</v>
      </c>
      <c r="T1998" s="10" t="s">
        <v>73</v>
      </c>
      <c r="U1998" s="10">
        <v>4</v>
      </c>
      <c r="V1998" s="10">
        <v>90</v>
      </c>
      <c r="W1998" s="10" t="s">
        <v>710</v>
      </c>
      <c r="X1998" s="17">
        <v>44975</v>
      </c>
      <c r="Y1998" s="17">
        <v>45342</v>
      </c>
      <c r="Z1998" s="19" t="s">
        <v>772</v>
      </c>
      <c r="AA1998" s="210">
        <v>25000</v>
      </c>
      <c r="AB1998" s="9">
        <v>2</v>
      </c>
      <c r="AC1998" s="9">
        <v>2</v>
      </c>
      <c r="AD1998" s="17">
        <v>45342</v>
      </c>
      <c r="AE1998" s="56">
        <v>22402.6</v>
      </c>
      <c r="AF1998" s="56"/>
      <c r="AG1998" s="9" t="s">
        <v>134</v>
      </c>
      <c r="AH1998" s="17">
        <v>45342</v>
      </c>
      <c r="AI1998" s="17"/>
      <c r="AJ1998" s="17"/>
      <c r="AK1998" s="9" t="s">
        <v>534</v>
      </c>
      <c r="AL1998" s="11">
        <v>22402.6</v>
      </c>
      <c r="AN1998" s="11" t="s">
        <v>1514</v>
      </c>
      <c r="AP1998" s="11"/>
      <c r="AQ1998" s="11"/>
      <c r="AR1998" s="11"/>
      <c r="AW1998" s="17">
        <v>45342</v>
      </c>
      <c r="AX1998" s="116" t="s">
        <v>1516</v>
      </c>
      <c r="AY1998" s="9">
        <v>86250</v>
      </c>
      <c r="AZ1998" s="26">
        <v>3.8499995536232405</v>
      </c>
      <c r="BA1998" s="11">
        <f>+AY1998/AZ1998</f>
        <v>22402.6</v>
      </c>
      <c r="BD1998" s="9"/>
      <c r="CS1998" s="11">
        <f t="shared" si="140"/>
        <v>22402.6</v>
      </c>
      <c r="CT1998" s="22">
        <f t="shared" si="141"/>
        <v>22402.6</v>
      </c>
      <c r="CU1998" s="22">
        <f t="shared" si="142"/>
        <v>0</v>
      </c>
      <c r="CV1998" s="26">
        <f t="shared" si="139"/>
        <v>0</v>
      </c>
    </row>
    <row r="1999" spans="1:100" x14ac:dyDescent="0.2">
      <c r="A1999" s="9" t="s">
        <v>490</v>
      </c>
      <c r="B1999" s="2">
        <v>70</v>
      </c>
      <c r="C1999" s="3" t="s">
        <v>95</v>
      </c>
      <c r="D1999" s="3" t="s">
        <v>96</v>
      </c>
      <c r="E1999" s="2"/>
      <c r="F1999" s="2"/>
      <c r="G1999" s="2" t="s">
        <v>73</v>
      </c>
      <c r="H1999" s="2">
        <v>4</v>
      </c>
      <c r="I1999" s="8">
        <v>90</v>
      </c>
      <c r="J1999" s="8">
        <v>25000</v>
      </c>
      <c r="K1999" s="3">
        <v>0</v>
      </c>
      <c r="L1999" s="3" t="s">
        <v>3</v>
      </c>
      <c r="M1999" s="9" t="s">
        <v>0</v>
      </c>
      <c r="N1999" s="9" t="s">
        <v>42</v>
      </c>
      <c r="O1999" s="9" t="s">
        <v>532</v>
      </c>
      <c r="S1999" s="9" t="s">
        <v>535</v>
      </c>
      <c r="W1999" s="10" t="s">
        <v>710</v>
      </c>
      <c r="X1999" s="17">
        <v>45340</v>
      </c>
      <c r="Y1999" s="17">
        <v>45340</v>
      </c>
      <c r="Z1999" s="19" t="s">
        <v>772</v>
      </c>
      <c r="AA1999" s="210">
        <v>3000</v>
      </c>
      <c r="AB1999" s="9">
        <v>25</v>
      </c>
      <c r="AC1999" s="9">
        <v>1</v>
      </c>
      <c r="AD1999" s="17">
        <v>45342</v>
      </c>
      <c r="AE1999" s="56">
        <v>974</v>
      </c>
      <c r="AF1999" s="56"/>
      <c r="AG1999" s="9" t="s">
        <v>134</v>
      </c>
      <c r="AH1999" s="17">
        <v>45342</v>
      </c>
      <c r="AI1999" s="17"/>
      <c r="AJ1999" s="17"/>
      <c r="AK1999" s="9" t="s">
        <v>536</v>
      </c>
      <c r="AL1999" s="11">
        <v>974</v>
      </c>
      <c r="AN1999" s="11" t="s">
        <v>1515</v>
      </c>
      <c r="AP1999" s="11"/>
      <c r="AQ1999" s="11"/>
      <c r="AR1999" s="11"/>
      <c r="AW1999" s="17">
        <v>45342</v>
      </c>
      <c r="AX1999" s="10">
        <v>248515</v>
      </c>
      <c r="AY1999" s="9">
        <v>3750</v>
      </c>
      <c r="AZ1999" s="26">
        <v>3.8501026694045173</v>
      </c>
      <c r="BA1999" s="11">
        <f>+AY1999/AZ1999</f>
        <v>974</v>
      </c>
      <c r="BD1999" s="9"/>
      <c r="CS1999" s="11">
        <f t="shared" si="140"/>
        <v>974</v>
      </c>
      <c r="CT1999" s="22">
        <f t="shared" si="141"/>
        <v>974</v>
      </c>
      <c r="CU1999" s="22">
        <f t="shared" si="142"/>
        <v>0</v>
      </c>
      <c r="CV1999" s="26">
        <f t="shared" si="139"/>
        <v>0</v>
      </c>
    </row>
    <row r="2000" spans="1:100" x14ac:dyDescent="0.2">
      <c r="A2000" s="9" t="s">
        <v>490</v>
      </c>
      <c r="B2000" s="2">
        <v>70</v>
      </c>
      <c r="C2000" s="3" t="s">
        <v>95</v>
      </c>
      <c r="D2000" s="3" t="s">
        <v>96</v>
      </c>
      <c r="E2000" s="2"/>
      <c r="F2000" s="2"/>
      <c r="G2000" s="2" t="s">
        <v>73</v>
      </c>
      <c r="H2000" s="2">
        <v>4</v>
      </c>
      <c r="I2000" s="8">
        <v>90</v>
      </c>
      <c r="J2000" s="8">
        <v>25000</v>
      </c>
      <c r="K2000" s="3">
        <v>0</v>
      </c>
      <c r="L2000" s="3" t="s">
        <v>3</v>
      </c>
      <c r="M2000" s="9" t="s">
        <v>0</v>
      </c>
      <c r="N2000" s="9" t="s">
        <v>42</v>
      </c>
      <c r="O2000" s="9" t="s">
        <v>532</v>
      </c>
      <c r="S2000" s="9" t="s">
        <v>535</v>
      </c>
      <c r="W2000" s="10" t="s">
        <v>710</v>
      </c>
      <c r="X2000" s="17">
        <v>45340</v>
      </c>
      <c r="Y2000" s="17">
        <v>45340</v>
      </c>
      <c r="Z2000" s="19" t="s">
        <v>772</v>
      </c>
      <c r="AA2000" s="210">
        <v>3000</v>
      </c>
      <c r="AB2000" s="9">
        <v>25</v>
      </c>
      <c r="AC2000" s="9">
        <v>2</v>
      </c>
      <c r="AD2000" s="17">
        <v>45412</v>
      </c>
      <c r="AE2000" s="56">
        <v>84.42</v>
      </c>
      <c r="AF2000" s="56"/>
      <c r="AP2000" s="11"/>
      <c r="AQ2000" s="11"/>
      <c r="AR2000" s="11"/>
      <c r="AW2000" s="9"/>
      <c r="AX2000" s="10"/>
      <c r="BD2000" s="9"/>
      <c r="CS2000" s="11">
        <f t="shared" si="140"/>
        <v>0</v>
      </c>
      <c r="CT2000" s="22">
        <f t="shared" si="141"/>
        <v>0</v>
      </c>
      <c r="CU2000" s="22">
        <f t="shared" si="142"/>
        <v>0</v>
      </c>
      <c r="CV2000" s="26">
        <f t="shared" si="139"/>
        <v>84.42</v>
      </c>
    </row>
    <row r="2001" spans="1:100" x14ac:dyDescent="0.2">
      <c r="A2001" s="9" t="s">
        <v>490</v>
      </c>
      <c r="B2001" s="2">
        <v>70</v>
      </c>
      <c r="C2001" s="3" t="s">
        <v>95</v>
      </c>
      <c r="D2001" s="3" t="s">
        <v>96</v>
      </c>
      <c r="E2001" s="2"/>
      <c r="F2001" s="2"/>
      <c r="G2001" s="2" t="s">
        <v>73</v>
      </c>
      <c r="H2001" s="2">
        <v>4</v>
      </c>
      <c r="I2001" s="8">
        <v>90</v>
      </c>
      <c r="J2001" s="8">
        <v>25000</v>
      </c>
      <c r="K2001" s="3">
        <v>0</v>
      </c>
      <c r="L2001" s="3" t="s">
        <v>3</v>
      </c>
      <c r="M2001" s="9" t="s">
        <v>0</v>
      </c>
      <c r="N2001" s="9" t="s">
        <v>42</v>
      </c>
      <c r="O2001" s="9" t="s">
        <v>532</v>
      </c>
      <c r="S2001" s="9" t="s">
        <v>535</v>
      </c>
      <c r="W2001" s="10" t="s">
        <v>710</v>
      </c>
      <c r="X2001" s="17">
        <v>45340</v>
      </c>
      <c r="Y2001" s="17">
        <v>45340</v>
      </c>
      <c r="Z2001" s="19" t="s">
        <v>772</v>
      </c>
      <c r="AA2001" s="210">
        <v>3000</v>
      </c>
      <c r="AB2001" s="9">
        <v>25</v>
      </c>
      <c r="AC2001" s="9">
        <v>3</v>
      </c>
      <c r="AD2001" s="17">
        <v>45442</v>
      </c>
      <c r="AE2001" s="56">
        <v>84.42</v>
      </c>
      <c r="AF2001" s="56"/>
      <c r="AP2001" s="11"/>
      <c r="AQ2001" s="11"/>
      <c r="AR2001" s="11"/>
      <c r="AW2001" s="9"/>
      <c r="BD2001" s="9"/>
      <c r="CS2001" s="11">
        <f t="shared" si="140"/>
        <v>0</v>
      </c>
      <c r="CT2001" s="22">
        <f t="shared" si="141"/>
        <v>0</v>
      </c>
      <c r="CU2001" s="22">
        <f t="shared" si="142"/>
        <v>0</v>
      </c>
      <c r="CV2001" s="26">
        <f t="shared" si="139"/>
        <v>84.42</v>
      </c>
    </row>
    <row r="2002" spans="1:100" x14ac:dyDescent="0.2">
      <c r="A2002" s="9" t="s">
        <v>490</v>
      </c>
      <c r="B2002" s="2">
        <v>70</v>
      </c>
      <c r="C2002" s="3" t="s">
        <v>95</v>
      </c>
      <c r="D2002" s="3" t="s">
        <v>96</v>
      </c>
      <c r="E2002" s="2"/>
      <c r="F2002" s="2"/>
      <c r="G2002" s="2" t="s">
        <v>73</v>
      </c>
      <c r="H2002" s="2">
        <v>4</v>
      </c>
      <c r="I2002" s="8">
        <v>90</v>
      </c>
      <c r="J2002" s="8">
        <v>25000</v>
      </c>
      <c r="K2002" s="3">
        <v>0</v>
      </c>
      <c r="L2002" s="3" t="s">
        <v>3</v>
      </c>
      <c r="M2002" s="9" t="s">
        <v>0</v>
      </c>
      <c r="N2002" s="9" t="s">
        <v>42</v>
      </c>
      <c r="O2002" s="9" t="s">
        <v>532</v>
      </c>
      <c r="S2002" s="9" t="s">
        <v>535</v>
      </c>
      <c r="W2002" s="10" t="s">
        <v>710</v>
      </c>
      <c r="X2002" s="17">
        <v>45340</v>
      </c>
      <c r="Y2002" s="17">
        <v>45340</v>
      </c>
      <c r="Z2002" s="19" t="s">
        <v>772</v>
      </c>
      <c r="AA2002" s="210">
        <v>3000</v>
      </c>
      <c r="AB2002" s="9">
        <v>25</v>
      </c>
      <c r="AC2002" s="9">
        <v>4</v>
      </c>
      <c r="AD2002" s="17">
        <v>45473</v>
      </c>
      <c r="AE2002" s="56">
        <v>84.42</v>
      </c>
      <c r="AF2002" s="56"/>
      <c r="AP2002" s="11"/>
      <c r="AQ2002" s="11"/>
      <c r="AR2002" s="11"/>
      <c r="AW2002" s="9"/>
      <c r="BD2002" s="9"/>
      <c r="CS2002" s="11">
        <f t="shared" si="140"/>
        <v>0</v>
      </c>
      <c r="CT2002" s="22">
        <f t="shared" si="141"/>
        <v>0</v>
      </c>
      <c r="CU2002" s="22">
        <f t="shared" si="142"/>
        <v>0</v>
      </c>
      <c r="CV2002" s="26">
        <f t="shared" si="139"/>
        <v>84.42</v>
      </c>
    </row>
    <row r="2003" spans="1:100" x14ac:dyDescent="0.2">
      <c r="A2003" s="9" t="s">
        <v>490</v>
      </c>
      <c r="B2003" s="2">
        <v>70</v>
      </c>
      <c r="C2003" s="3" t="s">
        <v>95</v>
      </c>
      <c r="D2003" s="3" t="s">
        <v>96</v>
      </c>
      <c r="E2003" s="2"/>
      <c r="F2003" s="2"/>
      <c r="G2003" s="2" t="s">
        <v>73</v>
      </c>
      <c r="H2003" s="2">
        <v>4</v>
      </c>
      <c r="I2003" s="8">
        <v>90</v>
      </c>
      <c r="J2003" s="8">
        <v>25000</v>
      </c>
      <c r="K2003" s="3">
        <v>0</v>
      </c>
      <c r="L2003" s="3" t="s">
        <v>3</v>
      </c>
      <c r="M2003" s="9" t="s">
        <v>0</v>
      </c>
      <c r="N2003" s="9" t="s">
        <v>42</v>
      </c>
      <c r="O2003" s="9" t="s">
        <v>532</v>
      </c>
      <c r="S2003" s="9" t="s">
        <v>535</v>
      </c>
      <c r="W2003" s="10" t="s">
        <v>710</v>
      </c>
      <c r="X2003" s="17">
        <v>45340</v>
      </c>
      <c r="Y2003" s="17">
        <v>45340</v>
      </c>
      <c r="Z2003" s="19" t="s">
        <v>772</v>
      </c>
      <c r="AA2003" s="210">
        <v>3000</v>
      </c>
      <c r="AB2003" s="9">
        <v>25</v>
      </c>
      <c r="AC2003" s="9">
        <v>5</v>
      </c>
      <c r="AD2003" s="17">
        <v>45503</v>
      </c>
      <c r="AE2003" s="56">
        <v>84.42</v>
      </c>
      <c r="AF2003" s="56"/>
      <c r="AP2003" s="11"/>
      <c r="AQ2003" s="11"/>
      <c r="AR2003" s="11"/>
      <c r="AW2003" s="17"/>
      <c r="AX2003" s="86"/>
      <c r="BD2003" s="9"/>
      <c r="CS2003" s="11">
        <f t="shared" si="140"/>
        <v>0</v>
      </c>
      <c r="CT2003" s="22">
        <f t="shared" si="141"/>
        <v>0</v>
      </c>
      <c r="CU2003" s="22">
        <f t="shared" si="142"/>
        <v>0</v>
      </c>
      <c r="CV2003" s="26">
        <f t="shared" si="139"/>
        <v>84.42</v>
      </c>
    </row>
    <row r="2004" spans="1:100" x14ac:dyDescent="0.2">
      <c r="A2004" s="9" t="s">
        <v>490</v>
      </c>
      <c r="B2004" s="2">
        <v>70</v>
      </c>
      <c r="C2004" s="3" t="s">
        <v>95</v>
      </c>
      <c r="D2004" s="3" t="s">
        <v>96</v>
      </c>
      <c r="E2004" s="2"/>
      <c r="F2004" s="2"/>
      <c r="G2004" s="2" t="s">
        <v>73</v>
      </c>
      <c r="H2004" s="2">
        <v>4</v>
      </c>
      <c r="I2004" s="8">
        <v>90</v>
      </c>
      <c r="J2004" s="8">
        <v>25000</v>
      </c>
      <c r="K2004" s="3">
        <v>0</v>
      </c>
      <c r="L2004" s="3" t="s">
        <v>3</v>
      </c>
      <c r="M2004" s="9" t="s">
        <v>0</v>
      </c>
      <c r="N2004" s="9" t="s">
        <v>42</v>
      </c>
      <c r="O2004" s="9" t="s">
        <v>532</v>
      </c>
      <c r="S2004" s="9" t="s">
        <v>535</v>
      </c>
      <c r="W2004" s="10" t="s">
        <v>710</v>
      </c>
      <c r="X2004" s="17">
        <v>45340</v>
      </c>
      <c r="Y2004" s="17">
        <v>45340</v>
      </c>
      <c r="Z2004" s="19" t="s">
        <v>772</v>
      </c>
      <c r="AA2004" s="210">
        <v>3000</v>
      </c>
      <c r="AB2004" s="9">
        <v>25</v>
      </c>
      <c r="AC2004" s="9">
        <v>6</v>
      </c>
      <c r="AD2004" s="17">
        <v>45534</v>
      </c>
      <c r="AE2004" s="56">
        <v>84.42</v>
      </c>
      <c r="AF2004" s="56"/>
      <c r="AP2004" s="11"/>
      <c r="AQ2004" s="11"/>
      <c r="AR2004" s="11"/>
      <c r="AW2004" s="9"/>
      <c r="BD2004" s="9"/>
      <c r="CS2004" s="11">
        <f t="shared" si="140"/>
        <v>0</v>
      </c>
      <c r="CT2004" s="22">
        <f t="shared" si="141"/>
        <v>0</v>
      </c>
      <c r="CU2004" s="22">
        <f t="shared" si="142"/>
        <v>0</v>
      </c>
      <c r="CV2004" s="26">
        <f t="shared" si="139"/>
        <v>84.42</v>
      </c>
    </row>
    <row r="2005" spans="1:100" x14ac:dyDescent="0.2">
      <c r="A2005" s="9" t="s">
        <v>490</v>
      </c>
      <c r="B2005" s="2">
        <v>70</v>
      </c>
      <c r="C2005" s="3" t="s">
        <v>95</v>
      </c>
      <c r="D2005" s="3" t="s">
        <v>96</v>
      </c>
      <c r="E2005" s="2"/>
      <c r="F2005" s="2"/>
      <c r="G2005" s="2" t="s">
        <v>73</v>
      </c>
      <c r="H2005" s="2">
        <v>4</v>
      </c>
      <c r="I2005" s="8">
        <v>90</v>
      </c>
      <c r="J2005" s="8">
        <v>25000</v>
      </c>
      <c r="K2005" s="3">
        <v>0</v>
      </c>
      <c r="L2005" s="3" t="s">
        <v>3</v>
      </c>
      <c r="M2005" s="9" t="s">
        <v>0</v>
      </c>
      <c r="N2005" s="9">
        <v>40239774</v>
      </c>
      <c r="O2005" s="9" t="s">
        <v>532</v>
      </c>
      <c r="S2005" s="9" t="s">
        <v>535</v>
      </c>
      <c r="W2005" s="10" t="s">
        <v>710</v>
      </c>
      <c r="X2005" s="17">
        <v>45340</v>
      </c>
      <c r="Y2005" s="17">
        <v>45340</v>
      </c>
      <c r="Z2005" s="19" t="s">
        <v>772</v>
      </c>
      <c r="AA2005" s="210">
        <v>3000</v>
      </c>
      <c r="AB2005" s="9">
        <v>25</v>
      </c>
      <c r="AC2005" s="9">
        <v>7</v>
      </c>
      <c r="AD2005" s="17">
        <v>45565</v>
      </c>
      <c r="AE2005" s="56">
        <v>84.42</v>
      </c>
      <c r="AF2005" s="56"/>
      <c r="AP2005" s="11"/>
      <c r="AQ2005" s="11"/>
      <c r="AR2005" s="11"/>
      <c r="AW2005" s="9"/>
      <c r="BD2005" s="9"/>
      <c r="CS2005" s="11">
        <f t="shared" si="140"/>
        <v>0</v>
      </c>
      <c r="CT2005" s="22">
        <f t="shared" si="141"/>
        <v>0</v>
      </c>
      <c r="CU2005" s="22">
        <f t="shared" si="142"/>
        <v>0</v>
      </c>
      <c r="CV2005" s="26">
        <f t="shared" si="139"/>
        <v>84.42</v>
      </c>
    </row>
    <row r="2006" spans="1:100" x14ac:dyDescent="0.2">
      <c r="A2006" s="9" t="s">
        <v>490</v>
      </c>
      <c r="B2006" s="2">
        <v>70</v>
      </c>
      <c r="C2006" s="3" t="s">
        <v>95</v>
      </c>
      <c r="D2006" s="3" t="s">
        <v>96</v>
      </c>
      <c r="E2006" s="2"/>
      <c r="F2006" s="2"/>
      <c r="G2006" s="2" t="s">
        <v>73</v>
      </c>
      <c r="H2006" s="2">
        <v>4</v>
      </c>
      <c r="I2006" s="8">
        <v>90</v>
      </c>
      <c r="J2006" s="8">
        <v>25000</v>
      </c>
      <c r="K2006" s="3">
        <v>0</v>
      </c>
      <c r="L2006" s="3" t="s">
        <v>3</v>
      </c>
      <c r="M2006" s="9" t="s">
        <v>0</v>
      </c>
      <c r="N2006" s="9" t="s">
        <v>42</v>
      </c>
      <c r="O2006" s="9" t="s">
        <v>532</v>
      </c>
      <c r="S2006" s="9" t="s">
        <v>535</v>
      </c>
      <c r="W2006" s="10" t="s">
        <v>710</v>
      </c>
      <c r="X2006" s="17">
        <v>45340</v>
      </c>
      <c r="Y2006" s="17">
        <v>45340</v>
      </c>
      <c r="Z2006" s="19" t="s">
        <v>772</v>
      </c>
      <c r="AA2006" s="210">
        <v>3000</v>
      </c>
      <c r="AB2006" s="9">
        <v>25</v>
      </c>
      <c r="AC2006" s="9">
        <v>8</v>
      </c>
      <c r="AD2006" s="17">
        <v>45595</v>
      </c>
      <c r="AE2006" s="56">
        <v>84.42</v>
      </c>
      <c r="AF2006" s="56"/>
      <c r="AP2006" s="11"/>
      <c r="AQ2006" s="11"/>
      <c r="AR2006" s="11"/>
      <c r="AW2006" s="9"/>
      <c r="BD2006" s="9"/>
      <c r="CS2006" s="11">
        <f t="shared" si="140"/>
        <v>0</v>
      </c>
      <c r="CT2006" s="22">
        <f t="shared" si="141"/>
        <v>0</v>
      </c>
      <c r="CU2006" s="22">
        <f t="shared" si="142"/>
        <v>0</v>
      </c>
      <c r="CV2006" s="26">
        <f t="shared" si="139"/>
        <v>84.42</v>
      </c>
    </row>
    <row r="2007" spans="1:100" x14ac:dyDescent="0.2">
      <c r="A2007" s="9" t="s">
        <v>490</v>
      </c>
      <c r="B2007" s="2">
        <v>70</v>
      </c>
      <c r="C2007" s="3" t="s">
        <v>95</v>
      </c>
      <c r="D2007" s="3" t="s">
        <v>96</v>
      </c>
      <c r="E2007" s="2"/>
      <c r="F2007" s="2"/>
      <c r="G2007" s="2" t="s">
        <v>73</v>
      </c>
      <c r="H2007" s="2">
        <v>4</v>
      </c>
      <c r="I2007" s="8">
        <v>90</v>
      </c>
      <c r="J2007" s="8">
        <v>25000</v>
      </c>
      <c r="K2007" s="3">
        <v>0</v>
      </c>
      <c r="L2007" s="3" t="s">
        <v>3</v>
      </c>
      <c r="M2007" s="9" t="s">
        <v>0</v>
      </c>
      <c r="N2007" s="9" t="s">
        <v>42</v>
      </c>
      <c r="O2007" s="9" t="s">
        <v>532</v>
      </c>
      <c r="S2007" s="9" t="s">
        <v>535</v>
      </c>
      <c r="W2007" s="10" t="s">
        <v>710</v>
      </c>
      <c r="X2007" s="17">
        <v>45340</v>
      </c>
      <c r="Y2007" s="17">
        <v>45340</v>
      </c>
      <c r="Z2007" s="19" t="s">
        <v>772</v>
      </c>
      <c r="AA2007" s="210">
        <v>3000</v>
      </c>
      <c r="AB2007" s="9">
        <v>25</v>
      </c>
      <c r="AC2007" s="9">
        <v>9</v>
      </c>
      <c r="AD2007" s="17">
        <v>45626</v>
      </c>
      <c r="AE2007" s="56">
        <v>84.42</v>
      </c>
      <c r="AF2007" s="56"/>
      <c r="AP2007" s="11"/>
      <c r="AQ2007" s="11"/>
      <c r="AR2007" s="11"/>
      <c r="AW2007" s="9"/>
      <c r="BD2007" s="9"/>
      <c r="CS2007" s="11">
        <f t="shared" si="140"/>
        <v>0</v>
      </c>
      <c r="CT2007" s="22">
        <f t="shared" si="141"/>
        <v>0</v>
      </c>
      <c r="CU2007" s="22">
        <f t="shared" si="142"/>
        <v>0</v>
      </c>
      <c r="CV2007" s="26">
        <f t="shared" si="139"/>
        <v>84.42</v>
      </c>
    </row>
    <row r="2008" spans="1:100" x14ac:dyDescent="0.2">
      <c r="A2008" s="9" t="s">
        <v>490</v>
      </c>
      <c r="B2008" s="2">
        <v>70</v>
      </c>
      <c r="C2008" s="3" t="s">
        <v>95</v>
      </c>
      <c r="D2008" s="3" t="s">
        <v>96</v>
      </c>
      <c r="E2008" s="2"/>
      <c r="F2008" s="2"/>
      <c r="G2008" s="2" t="s">
        <v>73</v>
      </c>
      <c r="H2008" s="2">
        <v>4</v>
      </c>
      <c r="I2008" s="8">
        <v>90</v>
      </c>
      <c r="J2008" s="8">
        <v>25000</v>
      </c>
      <c r="K2008" s="3">
        <v>0</v>
      </c>
      <c r="L2008" s="3" t="s">
        <v>3</v>
      </c>
      <c r="M2008" s="9" t="s">
        <v>0</v>
      </c>
      <c r="N2008" s="9" t="s">
        <v>42</v>
      </c>
      <c r="O2008" s="9" t="s">
        <v>532</v>
      </c>
      <c r="S2008" s="9" t="s">
        <v>535</v>
      </c>
      <c r="W2008" s="10" t="s">
        <v>710</v>
      </c>
      <c r="X2008" s="17">
        <v>45340</v>
      </c>
      <c r="Y2008" s="17">
        <v>45340</v>
      </c>
      <c r="Z2008" s="19" t="s">
        <v>772</v>
      </c>
      <c r="AA2008" s="210">
        <v>3000</v>
      </c>
      <c r="AB2008" s="9">
        <v>25</v>
      </c>
      <c r="AC2008" s="9">
        <v>10</v>
      </c>
      <c r="AD2008" s="17">
        <v>45656</v>
      </c>
      <c r="AE2008" s="56">
        <v>84.42</v>
      </c>
      <c r="AF2008" s="56"/>
      <c r="AP2008" s="11"/>
      <c r="AQ2008" s="11"/>
      <c r="AR2008" s="11"/>
      <c r="AW2008" s="9"/>
      <c r="BD2008" s="9"/>
      <c r="CS2008" s="11">
        <f t="shared" si="140"/>
        <v>0</v>
      </c>
      <c r="CT2008" s="22">
        <f t="shared" si="141"/>
        <v>0</v>
      </c>
      <c r="CU2008" s="22">
        <f t="shared" si="142"/>
        <v>0</v>
      </c>
      <c r="CV2008" s="26">
        <f t="shared" si="139"/>
        <v>84.42</v>
      </c>
    </row>
    <row r="2009" spans="1:100" x14ac:dyDescent="0.2">
      <c r="A2009" s="9" t="s">
        <v>490</v>
      </c>
      <c r="B2009" s="2">
        <v>70</v>
      </c>
      <c r="C2009" s="3" t="s">
        <v>95</v>
      </c>
      <c r="D2009" s="3" t="s">
        <v>96</v>
      </c>
      <c r="E2009" s="2"/>
      <c r="F2009" s="2"/>
      <c r="G2009" s="2" t="s">
        <v>73</v>
      </c>
      <c r="H2009" s="2">
        <v>4</v>
      </c>
      <c r="I2009" s="8">
        <v>90</v>
      </c>
      <c r="J2009" s="8">
        <v>25000</v>
      </c>
      <c r="K2009" s="3">
        <v>0</v>
      </c>
      <c r="L2009" s="3" t="s">
        <v>3</v>
      </c>
      <c r="M2009" s="9" t="s">
        <v>0</v>
      </c>
      <c r="N2009" s="9" t="s">
        <v>42</v>
      </c>
      <c r="O2009" s="9" t="s">
        <v>532</v>
      </c>
      <c r="S2009" s="9" t="s">
        <v>535</v>
      </c>
      <c r="W2009" s="10" t="s">
        <v>710</v>
      </c>
      <c r="X2009" s="17">
        <v>45340</v>
      </c>
      <c r="Y2009" s="17">
        <v>45340</v>
      </c>
      <c r="Z2009" s="19" t="s">
        <v>772</v>
      </c>
      <c r="AA2009" s="210">
        <v>3000</v>
      </c>
      <c r="AB2009" s="9">
        <v>25</v>
      </c>
      <c r="AC2009" s="9">
        <v>11</v>
      </c>
      <c r="AD2009" s="17">
        <v>45687</v>
      </c>
      <c r="AE2009" s="56">
        <v>84.42</v>
      </c>
      <c r="AF2009" s="56"/>
      <c r="AP2009" s="11"/>
      <c r="AQ2009" s="11"/>
      <c r="AR2009" s="11"/>
      <c r="AW2009" s="9"/>
      <c r="BD2009" s="9"/>
      <c r="CS2009" s="11">
        <f t="shared" si="140"/>
        <v>0</v>
      </c>
      <c r="CT2009" s="22">
        <f t="shared" si="141"/>
        <v>0</v>
      </c>
      <c r="CU2009" s="22">
        <f t="shared" si="142"/>
        <v>0</v>
      </c>
      <c r="CV2009" s="26">
        <f t="shared" si="139"/>
        <v>84.42</v>
      </c>
    </row>
    <row r="2010" spans="1:100" x14ac:dyDescent="0.2">
      <c r="A2010" s="9" t="s">
        <v>490</v>
      </c>
      <c r="B2010" s="2">
        <v>70</v>
      </c>
      <c r="C2010" s="3" t="s">
        <v>95</v>
      </c>
      <c r="D2010" s="3" t="s">
        <v>96</v>
      </c>
      <c r="E2010" s="2"/>
      <c r="F2010" s="2"/>
      <c r="G2010" s="2" t="s">
        <v>73</v>
      </c>
      <c r="H2010" s="2">
        <v>4</v>
      </c>
      <c r="I2010" s="8">
        <v>90</v>
      </c>
      <c r="J2010" s="8">
        <v>25000</v>
      </c>
      <c r="K2010" s="3">
        <v>0</v>
      </c>
      <c r="L2010" s="3" t="s">
        <v>3</v>
      </c>
      <c r="M2010" s="9" t="s">
        <v>0</v>
      </c>
      <c r="N2010" s="9" t="s">
        <v>42</v>
      </c>
      <c r="O2010" s="9" t="s">
        <v>532</v>
      </c>
      <c r="S2010" s="9" t="s">
        <v>535</v>
      </c>
      <c r="W2010" s="10" t="s">
        <v>710</v>
      </c>
      <c r="X2010" s="17">
        <v>45340</v>
      </c>
      <c r="Y2010" s="17">
        <v>45340</v>
      </c>
      <c r="Z2010" s="19" t="s">
        <v>772</v>
      </c>
      <c r="AA2010" s="210">
        <v>3000</v>
      </c>
      <c r="AB2010" s="9">
        <v>25</v>
      </c>
      <c r="AC2010" s="9">
        <v>12</v>
      </c>
      <c r="AD2010" s="17">
        <v>45716</v>
      </c>
      <c r="AE2010" s="56">
        <v>84.42</v>
      </c>
      <c r="AF2010" s="56"/>
      <c r="AP2010" s="11"/>
      <c r="AQ2010" s="11"/>
      <c r="AR2010" s="11"/>
      <c r="AW2010" s="9"/>
      <c r="BD2010" s="9"/>
      <c r="CS2010" s="11">
        <f t="shared" si="140"/>
        <v>0</v>
      </c>
      <c r="CT2010" s="22">
        <f t="shared" si="141"/>
        <v>0</v>
      </c>
      <c r="CU2010" s="22">
        <f t="shared" si="142"/>
        <v>0</v>
      </c>
      <c r="CV2010" s="26">
        <f t="shared" si="139"/>
        <v>84.42</v>
      </c>
    </row>
    <row r="2011" spans="1:100" x14ac:dyDescent="0.2">
      <c r="A2011" s="9" t="s">
        <v>490</v>
      </c>
      <c r="B2011" s="2">
        <v>70</v>
      </c>
      <c r="C2011" s="3" t="s">
        <v>95</v>
      </c>
      <c r="D2011" s="3" t="s">
        <v>96</v>
      </c>
      <c r="E2011" s="2"/>
      <c r="F2011" s="2"/>
      <c r="G2011" s="2" t="s">
        <v>73</v>
      </c>
      <c r="H2011" s="2">
        <v>4</v>
      </c>
      <c r="I2011" s="8">
        <v>90</v>
      </c>
      <c r="J2011" s="8">
        <v>25000</v>
      </c>
      <c r="K2011" s="3">
        <v>0</v>
      </c>
      <c r="L2011" s="3" t="s">
        <v>3</v>
      </c>
      <c r="M2011" s="9" t="s">
        <v>0</v>
      </c>
      <c r="N2011" s="9" t="s">
        <v>42</v>
      </c>
      <c r="O2011" s="9" t="s">
        <v>532</v>
      </c>
      <c r="S2011" s="9" t="s">
        <v>535</v>
      </c>
      <c r="W2011" s="10" t="s">
        <v>710</v>
      </c>
      <c r="X2011" s="17">
        <v>45340</v>
      </c>
      <c r="Y2011" s="17">
        <v>45340</v>
      </c>
      <c r="Z2011" s="19" t="s">
        <v>772</v>
      </c>
      <c r="AA2011" s="210">
        <v>3000</v>
      </c>
      <c r="AB2011" s="9">
        <v>25</v>
      </c>
      <c r="AC2011" s="9">
        <v>13</v>
      </c>
      <c r="AD2011" s="17">
        <v>45746</v>
      </c>
      <c r="AE2011" s="56">
        <v>84.42</v>
      </c>
      <c r="AF2011" s="56"/>
      <c r="AP2011" s="11"/>
      <c r="AQ2011" s="11"/>
      <c r="AR2011" s="11"/>
      <c r="AW2011" s="9"/>
      <c r="BD2011" s="9"/>
      <c r="CS2011" s="11">
        <f t="shared" si="140"/>
        <v>0</v>
      </c>
      <c r="CT2011" s="22">
        <f t="shared" si="141"/>
        <v>0</v>
      </c>
      <c r="CU2011" s="22">
        <f t="shared" si="142"/>
        <v>0</v>
      </c>
      <c r="CV2011" s="26">
        <f t="shared" si="139"/>
        <v>84.42</v>
      </c>
    </row>
    <row r="2012" spans="1:100" x14ac:dyDescent="0.2">
      <c r="A2012" s="9" t="s">
        <v>490</v>
      </c>
      <c r="B2012" s="2">
        <v>70</v>
      </c>
      <c r="C2012" s="3" t="s">
        <v>95</v>
      </c>
      <c r="D2012" s="3" t="s">
        <v>96</v>
      </c>
      <c r="E2012" s="2"/>
      <c r="F2012" s="2"/>
      <c r="G2012" s="2" t="s">
        <v>73</v>
      </c>
      <c r="H2012" s="2">
        <v>4</v>
      </c>
      <c r="I2012" s="8">
        <v>90</v>
      </c>
      <c r="J2012" s="8">
        <v>25000</v>
      </c>
      <c r="K2012" s="3">
        <v>0</v>
      </c>
      <c r="L2012" s="3" t="s">
        <v>3</v>
      </c>
      <c r="M2012" s="9" t="s">
        <v>0</v>
      </c>
      <c r="N2012" s="9" t="s">
        <v>42</v>
      </c>
      <c r="O2012" s="9" t="s">
        <v>532</v>
      </c>
      <c r="S2012" s="9" t="s">
        <v>535</v>
      </c>
      <c r="W2012" s="10" t="s">
        <v>710</v>
      </c>
      <c r="X2012" s="17">
        <v>45340</v>
      </c>
      <c r="Y2012" s="17">
        <v>45340</v>
      </c>
      <c r="Z2012" s="19" t="s">
        <v>772</v>
      </c>
      <c r="AA2012" s="210">
        <v>3000</v>
      </c>
      <c r="AB2012" s="9">
        <v>25</v>
      </c>
      <c r="AC2012" s="9">
        <v>14</v>
      </c>
      <c r="AD2012" s="17">
        <v>45777</v>
      </c>
      <c r="AE2012" s="56">
        <v>84.42</v>
      </c>
      <c r="AF2012" s="56"/>
      <c r="AP2012" s="11"/>
      <c r="AQ2012" s="11"/>
      <c r="AR2012" s="11"/>
      <c r="AW2012" s="9"/>
      <c r="BD2012" s="9"/>
      <c r="CS2012" s="11">
        <f t="shared" si="140"/>
        <v>0</v>
      </c>
      <c r="CT2012" s="22">
        <f t="shared" si="141"/>
        <v>0</v>
      </c>
      <c r="CU2012" s="22">
        <f t="shared" si="142"/>
        <v>0</v>
      </c>
      <c r="CV2012" s="26">
        <f t="shared" si="139"/>
        <v>84.42</v>
      </c>
    </row>
    <row r="2013" spans="1:100" x14ac:dyDescent="0.2">
      <c r="A2013" s="9" t="s">
        <v>490</v>
      </c>
      <c r="B2013" s="2">
        <v>70</v>
      </c>
      <c r="C2013" s="3" t="s">
        <v>95</v>
      </c>
      <c r="D2013" s="3" t="s">
        <v>96</v>
      </c>
      <c r="E2013" s="2"/>
      <c r="F2013" s="2"/>
      <c r="G2013" s="2" t="s">
        <v>73</v>
      </c>
      <c r="H2013" s="2">
        <v>4</v>
      </c>
      <c r="I2013" s="8">
        <v>90</v>
      </c>
      <c r="J2013" s="8">
        <v>25000</v>
      </c>
      <c r="K2013" s="3">
        <v>0</v>
      </c>
      <c r="L2013" s="3" t="s">
        <v>3</v>
      </c>
      <c r="M2013" s="9" t="s">
        <v>0</v>
      </c>
      <c r="N2013" s="9" t="s">
        <v>42</v>
      </c>
      <c r="O2013" s="9" t="s">
        <v>532</v>
      </c>
      <c r="S2013" s="9" t="s">
        <v>535</v>
      </c>
      <c r="W2013" s="10" t="s">
        <v>710</v>
      </c>
      <c r="X2013" s="17">
        <v>45340</v>
      </c>
      <c r="Y2013" s="17">
        <v>45340</v>
      </c>
      <c r="Z2013" s="19" t="s">
        <v>772</v>
      </c>
      <c r="AA2013" s="210">
        <v>3000</v>
      </c>
      <c r="AB2013" s="9">
        <v>25</v>
      </c>
      <c r="AC2013" s="9">
        <v>15</v>
      </c>
      <c r="AD2013" s="17">
        <v>45807</v>
      </c>
      <c r="AE2013" s="56">
        <v>84.42</v>
      </c>
      <c r="AF2013" s="56"/>
      <c r="AP2013" s="11"/>
      <c r="AQ2013" s="11"/>
      <c r="AR2013" s="11"/>
      <c r="AW2013" s="9"/>
      <c r="BD2013" s="9"/>
      <c r="CS2013" s="11">
        <f t="shared" si="140"/>
        <v>0</v>
      </c>
      <c r="CT2013" s="22">
        <f t="shared" si="141"/>
        <v>0</v>
      </c>
      <c r="CU2013" s="22">
        <f t="shared" si="142"/>
        <v>0</v>
      </c>
      <c r="CV2013" s="26">
        <f t="shared" si="139"/>
        <v>84.42</v>
      </c>
    </row>
    <row r="2014" spans="1:100" x14ac:dyDescent="0.2">
      <c r="A2014" s="9" t="s">
        <v>490</v>
      </c>
      <c r="B2014" s="2">
        <v>70</v>
      </c>
      <c r="C2014" s="3" t="s">
        <v>95</v>
      </c>
      <c r="D2014" s="3" t="s">
        <v>96</v>
      </c>
      <c r="E2014" s="2"/>
      <c r="F2014" s="2"/>
      <c r="G2014" s="2" t="s">
        <v>73</v>
      </c>
      <c r="H2014" s="2">
        <v>4</v>
      </c>
      <c r="I2014" s="8">
        <v>90</v>
      </c>
      <c r="J2014" s="8">
        <v>25000</v>
      </c>
      <c r="K2014" s="3">
        <v>0</v>
      </c>
      <c r="L2014" s="3" t="s">
        <v>3</v>
      </c>
      <c r="M2014" s="9" t="s">
        <v>0</v>
      </c>
      <c r="N2014" s="9" t="s">
        <v>42</v>
      </c>
      <c r="O2014" s="9" t="s">
        <v>532</v>
      </c>
      <c r="S2014" s="9" t="s">
        <v>535</v>
      </c>
      <c r="W2014" s="10" t="s">
        <v>710</v>
      </c>
      <c r="X2014" s="17">
        <v>45340</v>
      </c>
      <c r="Y2014" s="17">
        <v>45340</v>
      </c>
      <c r="Z2014" s="19" t="s">
        <v>772</v>
      </c>
      <c r="AA2014" s="210">
        <v>3000</v>
      </c>
      <c r="AB2014" s="9">
        <v>25</v>
      </c>
      <c r="AC2014" s="9">
        <v>16</v>
      </c>
      <c r="AD2014" s="17">
        <v>45838</v>
      </c>
      <c r="AE2014" s="56">
        <v>84.42</v>
      </c>
      <c r="AF2014" s="56"/>
      <c r="AP2014" s="11"/>
      <c r="AQ2014" s="11"/>
      <c r="AR2014" s="11"/>
      <c r="AW2014" s="9"/>
      <c r="BD2014" s="9"/>
      <c r="CS2014" s="11">
        <f t="shared" si="140"/>
        <v>0</v>
      </c>
      <c r="CT2014" s="22">
        <f t="shared" si="141"/>
        <v>0</v>
      </c>
      <c r="CU2014" s="22">
        <f t="shared" si="142"/>
        <v>0</v>
      </c>
      <c r="CV2014" s="26">
        <f t="shared" si="139"/>
        <v>84.42</v>
      </c>
    </row>
    <row r="2015" spans="1:100" x14ac:dyDescent="0.2">
      <c r="A2015" s="9" t="s">
        <v>490</v>
      </c>
      <c r="B2015" s="2">
        <v>70</v>
      </c>
      <c r="C2015" s="3" t="s">
        <v>95</v>
      </c>
      <c r="D2015" s="3" t="s">
        <v>96</v>
      </c>
      <c r="E2015" s="2"/>
      <c r="F2015" s="2"/>
      <c r="G2015" s="2" t="s">
        <v>73</v>
      </c>
      <c r="H2015" s="2">
        <v>4</v>
      </c>
      <c r="I2015" s="8">
        <v>90</v>
      </c>
      <c r="J2015" s="8">
        <v>25000</v>
      </c>
      <c r="K2015" s="3">
        <v>0</v>
      </c>
      <c r="L2015" s="3" t="s">
        <v>3</v>
      </c>
      <c r="M2015" s="9" t="s">
        <v>0</v>
      </c>
      <c r="N2015" s="9" t="s">
        <v>42</v>
      </c>
      <c r="O2015" s="9" t="s">
        <v>532</v>
      </c>
      <c r="S2015" s="9" t="s">
        <v>535</v>
      </c>
      <c r="W2015" s="10" t="s">
        <v>710</v>
      </c>
      <c r="X2015" s="17">
        <v>45340</v>
      </c>
      <c r="Y2015" s="17">
        <v>45340</v>
      </c>
      <c r="Z2015" s="19" t="s">
        <v>772</v>
      </c>
      <c r="AA2015" s="210">
        <v>3000</v>
      </c>
      <c r="AB2015" s="9">
        <v>25</v>
      </c>
      <c r="AC2015" s="9">
        <v>17</v>
      </c>
      <c r="AD2015" s="17">
        <v>45868</v>
      </c>
      <c r="AE2015" s="56">
        <v>84.42</v>
      </c>
      <c r="AF2015" s="56"/>
      <c r="AP2015" s="11"/>
      <c r="AQ2015" s="11"/>
      <c r="AR2015" s="11"/>
      <c r="AW2015" s="9"/>
      <c r="BD2015" s="9"/>
      <c r="CS2015" s="11">
        <f t="shared" si="140"/>
        <v>0</v>
      </c>
      <c r="CT2015" s="22">
        <f t="shared" si="141"/>
        <v>0</v>
      </c>
      <c r="CU2015" s="22">
        <f t="shared" si="142"/>
        <v>0</v>
      </c>
      <c r="CV2015" s="26">
        <f t="shared" si="139"/>
        <v>84.42</v>
      </c>
    </row>
    <row r="2016" spans="1:100" x14ac:dyDescent="0.2">
      <c r="A2016" s="9" t="s">
        <v>490</v>
      </c>
      <c r="B2016" s="2">
        <v>70</v>
      </c>
      <c r="C2016" s="3" t="s">
        <v>95</v>
      </c>
      <c r="D2016" s="3" t="s">
        <v>96</v>
      </c>
      <c r="E2016" s="2"/>
      <c r="F2016" s="2"/>
      <c r="G2016" s="2" t="s">
        <v>73</v>
      </c>
      <c r="H2016" s="2">
        <v>4</v>
      </c>
      <c r="I2016" s="8">
        <v>90</v>
      </c>
      <c r="J2016" s="8">
        <v>25000</v>
      </c>
      <c r="K2016" s="3">
        <v>0</v>
      </c>
      <c r="L2016" s="3" t="s">
        <v>3</v>
      </c>
      <c r="M2016" s="9" t="s">
        <v>0</v>
      </c>
      <c r="N2016" s="9" t="s">
        <v>42</v>
      </c>
      <c r="O2016" s="9" t="s">
        <v>532</v>
      </c>
      <c r="S2016" s="9" t="s">
        <v>535</v>
      </c>
      <c r="W2016" s="10" t="s">
        <v>710</v>
      </c>
      <c r="X2016" s="17">
        <v>45340</v>
      </c>
      <c r="Y2016" s="17">
        <v>45340</v>
      </c>
      <c r="Z2016" s="19" t="s">
        <v>772</v>
      </c>
      <c r="AA2016" s="210">
        <v>3000</v>
      </c>
      <c r="AB2016" s="9">
        <v>25</v>
      </c>
      <c r="AC2016" s="9">
        <v>18</v>
      </c>
      <c r="AD2016" s="17">
        <v>45899</v>
      </c>
      <c r="AE2016" s="56">
        <v>84.42</v>
      </c>
      <c r="AF2016" s="56"/>
      <c r="AP2016" s="11"/>
      <c r="AQ2016" s="11"/>
      <c r="AR2016" s="11"/>
      <c r="AW2016" s="9"/>
      <c r="BD2016" s="9"/>
      <c r="CS2016" s="11">
        <f t="shared" si="140"/>
        <v>0</v>
      </c>
      <c r="CT2016" s="22">
        <f t="shared" si="141"/>
        <v>0</v>
      </c>
      <c r="CU2016" s="22">
        <f t="shared" si="142"/>
        <v>0</v>
      </c>
      <c r="CV2016" s="26">
        <f t="shared" si="139"/>
        <v>84.42</v>
      </c>
    </row>
    <row r="2017" spans="1:100" x14ac:dyDescent="0.2">
      <c r="A2017" s="9" t="s">
        <v>490</v>
      </c>
      <c r="B2017" s="2">
        <v>70</v>
      </c>
      <c r="C2017" s="3" t="s">
        <v>95</v>
      </c>
      <c r="D2017" s="3" t="s">
        <v>96</v>
      </c>
      <c r="E2017" s="2"/>
      <c r="F2017" s="2"/>
      <c r="G2017" s="2" t="s">
        <v>73</v>
      </c>
      <c r="H2017" s="2">
        <v>4</v>
      </c>
      <c r="I2017" s="8">
        <v>90</v>
      </c>
      <c r="J2017" s="8">
        <v>25000</v>
      </c>
      <c r="K2017" s="3">
        <v>0</v>
      </c>
      <c r="L2017" s="3" t="s">
        <v>3</v>
      </c>
      <c r="M2017" s="9" t="s">
        <v>0</v>
      </c>
      <c r="N2017" s="9" t="s">
        <v>42</v>
      </c>
      <c r="O2017" s="9" t="s">
        <v>532</v>
      </c>
      <c r="S2017" s="9" t="s">
        <v>535</v>
      </c>
      <c r="W2017" s="10" t="s">
        <v>710</v>
      </c>
      <c r="X2017" s="17">
        <v>45340</v>
      </c>
      <c r="Y2017" s="17">
        <v>45340</v>
      </c>
      <c r="Z2017" s="19" t="s">
        <v>772</v>
      </c>
      <c r="AA2017" s="210">
        <v>3000</v>
      </c>
      <c r="AB2017" s="9">
        <v>25</v>
      </c>
      <c r="AC2017" s="9">
        <v>19</v>
      </c>
      <c r="AD2017" s="17">
        <v>45930</v>
      </c>
      <c r="AE2017" s="56">
        <v>84.42</v>
      </c>
      <c r="AF2017" s="56"/>
      <c r="AP2017" s="11"/>
      <c r="AQ2017" s="11"/>
      <c r="AR2017" s="11"/>
      <c r="AW2017" s="9"/>
      <c r="BD2017" s="9"/>
      <c r="CS2017" s="11">
        <f t="shared" si="140"/>
        <v>0</v>
      </c>
      <c r="CT2017" s="22">
        <f t="shared" si="141"/>
        <v>0</v>
      </c>
      <c r="CU2017" s="22">
        <f t="shared" si="142"/>
        <v>0</v>
      </c>
      <c r="CV2017" s="26">
        <f t="shared" si="139"/>
        <v>84.42</v>
      </c>
    </row>
    <row r="2018" spans="1:100" x14ac:dyDescent="0.2">
      <c r="A2018" s="9" t="s">
        <v>490</v>
      </c>
      <c r="B2018" s="2">
        <v>70</v>
      </c>
      <c r="C2018" s="3" t="s">
        <v>95</v>
      </c>
      <c r="D2018" s="3" t="s">
        <v>96</v>
      </c>
      <c r="E2018" s="2"/>
      <c r="F2018" s="2"/>
      <c r="G2018" s="2" t="s">
        <v>73</v>
      </c>
      <c r="H2018" s="2">
        <v>4</v>
      </c>
      <c r="I2018" s="8">
        <v>90</v>
      </c>
      <c r="J2018" s="8">
        <v>25000</v>
      </c>
      <c r="K2018" s="3">
        <v>0</v>
      </c>
      <c r="L2018" s="3" t="s">
        <v>3</v>
      </c>
      <c r="M2018" s="9" t="s">
        <v>0</v>
      </c>
      <c r="N2018" s="9" t="s">
        <v>42</v>
      </c>
      <c r="O2018" s="9" t="s">
        <v>532</v>
      </c>
      <c r="S2018" s="9" t="s">
        <v>535</v>
      </c>
      <c r="W2018" s="10" t="s">
        <v>710</v>
      </c>
      <c r="X2018" s="17">
        <v>45340</v>
      </c>
      <c r="Y2018" s="17">
        <v>45340</v>
      </c>
      <c r="Z2018" s="19" t="s">
        <v>772</v>
      </c>
      <c r="AA2018" s="210">
        <v>3000</v>
      </c>
      <c r="AB2018" s="9">
        <v>25</v>
      </c>
      <c r="AC2018" s="9">
        <v>20</v>
      </c>
      <c r="AD2018" s="17">
        <v>45960</v>
      </c>
      <c r="AE2018" s="56">
        <v>84.42</v>
      </c>
      <c r="AF2018" s="56"/>
      <c r="AP2018" s="11"/>
      <c r="AQ2018" s="11"/>
      <c r="AR2018" s="11"/>
      <c r="AW2018" s="9"/>
      <c r="BD2018" s="9"/>
      <c r="CS2018" s="11">
        <f t="shared" si="140"/>
        <v>0</v>
      </c>
      <c r="CT2018" s="22">
        <f t="shared" si="141"/>
        <v>0</v>
      </c>
      <c r="CU2018" s="22">
        <f t="shared" si="142"/>
        <v>0</v>
      </c>
      <c r="CV2018" s="26">
        <f t="shared" si="139"/>
        <v>84.42</v>
      </c>
    </row>
    <row r="2019" spans="1:100" x14ac:dyDescent="0.2">
      <c r="A2019" s="9" t="s">
        <v>490</v>
      </c>
      <c r="B2019" s="2">
        <v>70</v>
      </c>
      <c r="C2019" s="3" t="s">
        <v>95</v>
      </c>
      <c r="D2019" s="3" t="s">
        <v>96</v>
      </c>
      <c r="E2019" s="2"/>
      <c r="F2019" s="2"/>
      <c r="G2019" s="2" t="s">
        <v>73</v>
      </c>
      <c r="H2019" s="2">
        <v>4</v>
      </c>
      <c r="I2019" s="8">
        <v>90</v>
      </c>
      <c r="J2019" s="8">
        <v>25000</v>
      </c>
      <c r="K2019" s="3">
        <v>0</v>
      </c>
      <c r="L2019" s="3" t="s">
        <v>3</v>
      </c>
      <c r="M2019" s="9" t="s">
        <v>0</v>
      </c>
      <c r="N2019" s="9" t="s">
        <v>42</v>
      </c>
      <c r="O2019" s="9" t="s">
        <v>532</v>
      </c>
      <c r="S2019" s="9" t="s">
        <v>535</v>
      </c>
      <c r="W2019" s="10" t="s">
        <v>710</v>
      </c>
      <c r="X2019" s="17">
        <v>45340</v>
      </c>
      <c r="Y2019" s="17">
        <v>45340</v>
      </c>
      <c r="Z2019" s="19" t="s">
        <v>772</v>
      </c>
      <c r="AA2019" s="210">
        <v>3000</v>
      </c>
      <c r="AB2019" s="9">
        <v>25</v>
      </c>
      <c r="AC2019" s="9">
        <v>21</v>
      </c>
      <c r="AD2019" s="17">
        <v>45991</v>
      </c>
      <c r="AE2019" s="56">
        <v>84.42</v>
      </c>
      <c r="AF2019" s="56"/>
      <c r="AP2019" s="11"/>
      <c r="AQ2019" s="11"/>
      <c r="AR2019" s="11"/>
      <c r="AW2019" s="9"/>
      <c r="BD2019" s="9"/>
      <c r="CS2019" s="11">
        <f t="shared" si="140"/>
        <v>0</v>
      </c>
      <c r="CT2019" s="22">
        <f t="shared" si="141"/>
        <v>0</v>
      </c>
      <c r="CU2019" s="22">
        <f t="shared" si="142"/>
        <v>0</v>
      </c>
      <c r="CV2019" s="26">
        <f t="shared" si="139"/>
        <v>84.42</v>
      </c>
    </row>
    <row r="2020" spans="1:100" x14ac:dyDescent="0.2">
      <c r="A2020" s="9" t="s">
        <v>490</v>
      </c>
      <c r="B2020" s="2">
        <v>70</v>
      </c>
      <c r="C2020" s="3" t="s">
        <v>95</v>
      </c>
      <c r="D2020" s="3" t="s">
        <v>96</v>
      </c>
      <c r="E2020" s="2"/>
      <c r="F2020" s="2"/>
      <c r="G2020" s="2" t="s">
        <v>73</v>
      </c>
      <c r="H2020" s="2">
        <v>4</v>
      </c>
      <c r="I2020" s="8">
        <v>90</v>
      </c>
      <c r="J2020" s="8">
        <v>25000</v>
      </c>
      <c r="K2020" s="3">
        <v>0</v>
      </c>
      <c r="L2020" s="3" t="s">
        <v>3</v>
      </c>
      <c r="M2020" s="9" t="s">
        <v>0</v>
      </c>
      <c r="N2020" s="9" t="s">
        <v>42</v>
      </c>
      <c r="O2020" s="9" t="s">
        <v>532</v>
      </c>
      <c r="S2020" s="9" t="s">
        <v>535</v>
      </c>
      <c r="W2020" s="10" t="s">
        <v>710</v>
      </c>
      <c r="X2020" s="17">
        <v>45340</v>
      </c>
      <c r="Y2020" s="17">
        <v>45340</v>
      </c>
      <c r="Z2020" s="19" t="s">
        <v>772</v>
      </c>
      <c r="AA2020" s="210">
        <v>3000</v>
      </c>
      <c r="AB2020" s="9">
        <v>25</v>
      </c>
      <c r="AC2020" s="9">
        <v>22</v>
      </c>
      <c r="AD2020" s="17">
        <v>46021</v>
      </c>
      <c r="AE2020" s="56">
        <v>84.42</v>
      </c>
      <c r="AF2020" s="56"/>
      <c r="AP2020" s="11"/>
      <c r="AQ2020" s="11"/>
      <c r="AR2020" s="11"/>
      <c r="AW2020" s="9"/>
      <c r="BD2020" s="9"/>
      <c r="CS2020" s="11">
        <f t="shared" si="140"/>
        <v>0</v>
      </c>
      <c r="CT2020" s="22">
        <f t="shared" si="141"/>
        <v>0</v>
      </c>
      <c r="CU2020" s="22">
        <f t="shared" si="142"/>
        <v>0</v>
      </c>
      <c r="CV2020" s="26">
        <f t="shared" si="139"/>
        <v>84.42</v>
      </c>
    </row>
    <row r="2021" spans="1:100" x14ac:dyDescent="0.2">
      <c r="A2021" s="9" t="s">
        <v>490</v>
      </c>
      <c r="B2021" s="2">
        <v>70</v>
      </c>
      <c r="C2021" s="3" t="s">
        <v>95</v>
      </c>
      <c r="D2021" s="3" t="s">
        <v>96</v>
      </c>
      <c r="E2021" s="2"/>
      <c r="F2021" s="2"/>
      <c r="G2021" s="2" t="s">
        <v>73</v>
      </c>
      <c r="H2021" s="2">
        <v>4</v>
      </c>
      <c r="I2021" s="8">
        <v>90</v>
      </c>
      <c r="J2021" s="8">
        <v>25000</v>
      </c>
      <c r="K2021" s="3">
        <v>0</v>
      </c>
      <c r="L2021" s="3" t="s">
        <v>3</v>
      </c>
      <c r="M2021" s="9" t="s">
        <v>0</v>
      </c>
      <c r="N2021" s="9" t="s">
        <v>42</v>
      </c>
      <c r="O2021" s="9" t="s">
        <v>532</v>
      </c>
      <c r="S2021" s="9" t="s">
        <v>535</v>
      </c>
      <c r="W2021" s="10" t="s">
        <v>710</v>
      </c>
      <c r="X2021" s="17">
        <v>45340</v>
      </c>
      <c r="Y2021" s="17">
        <v>45340</v>
      </c>
      <c r="Z2021" s="19" t="s">
        <v>772</v>
      </c>
      <c r="AA2021" s="210">
        <v>3000</v>
      </c>
      <c r="AB2021" s="9">
        <v>25</v>
      </c>
      <c r="AC2021" s="9">
        <v>23</v>
      </c>
      <c r="AD2021" s="17">
        <v>46052</v>
      </c>
      <c r="AE2021" s="56">
        <v>84.42</v>
      </c>
      <c r="AF2021" s="56"/>
      <c r="AP2021" s="11"/>
      <c r="AQ2021" s="11"/>
      <c r="AR2021" s="11"/>
      <c r="AW2021" s="9"/>
      <c r="BD2021" s="9"/>
      <c r="CS2021" s="11">
        <f t="shared" si="140"/>
        <v>0</v>
      </c>
      <c r="CT2021" s="22">
        <f t="shared" si="141"/>
        <v>0</v>
      </c>
      <c r="CU2021" s="22">
        <f t="shared" si="142"/>
        <v>0</v>
      </c>
      <c r="CV2021" s="26">
        <f t="shared" si="139"/>
        <v>84.42</v>
      </c>
    </row>
    <row r="2022" spans="1:100" x14ac:dyDescent="0.2">
      <c r="A2022" s="9" t="s">
        <v>490</v>
      </c>
      <c r="B2022" s="2">
        <v>70</v>
      </c>
      <c r="C2022" s="3" t="s">
        <v>95</v>
      </c>
      <c r="D2022" s="3" t="s">
        <v>96</v>
      </c>
      <c r="E2022" s="2"/>
      <c r="F2022" s="2"/>
      <c r="G2022" s="2" t="s">
        <v>73</v>
      </c>
      <c r="H2022" s="2">
        <v>4</v>
      </c>
      <c r="I2022" s="8">
        <v>90</v>
      </c>
      <c r="J2022" s="8">
        <v>25000</v>
      </c>
      <c r="K2022" s="3">
        <v>0</v>
      </c>
      <c r="L2022" s="3" t="s">
        <v>3</v>
      </c>
      <c r="M2022" s="9" t="s">
        <v>0</v>
      </c>
      <c r="N2022" s="9" t="s">
        <v>42</v>
      </c>
      <c r="O2022" s="9" t="s">
        <v>532</v>
      </c>
      <c r="S2022" s="9" t="s">
        <v>535</v>
      </c>
      <c r="W2022" s="10" t="s">
        <v>710</v>
      </c>
      <c r="X2022" s="17">
        <v>45340</v>
      </c>
      <c r="Y2022" s="17">
        <v>45340</v>
      </c>
      <c r="Z2022" s="19" t="s">
        <v>772</v>
      </c>
      <c r="AA2022" s="210">
        <v>3000</v>
      </c>
      <c r="AB2022" s="9">
        <v>25</v>
      </c>
      <c r="AC2022" s="9">
        <v>24</v>
      </c>
      <c r="AD2022" s="17">
        <v>46081</v>
      </c>
      <c r="AE2022" s="56">
        <v>84.42</v>
      </c>
      <c r="AF2022" s="56"/>
      <c r="AP2022" s="11"/>
      <c r="AQ2022" s="11"/>
      <c r="AR2022" s="11"/>
      <c r="AW2022" s="9"/>
      <c r="BD2022" s="9"/>
      <c r="CS2022" s="11">
        <f t="shared" si="140"/>
        <v>0</v>
      </c>
      <c r="CT2022" s="22">
        <f t="shared" si="141"/>
        <v>0</v>
      </c>
      <c r="CU2022" s="22">
        <f t="shared" si="142"/>
        <v>0</v>
      </c>
      <c r="CV2022" s="26">
        <f t="shared" si="139"/>
        <v>84.42</v>
      </c>
    </row>
    <row r="2023" spans="1:100" x14ac:dyDescent="0.2">
      <c r="A2023" s="9" t="s">
        <v>490</v>
      </c>
      <c r="B2023" s="2">
        <v>70</v>
      </c>
      <c r="C2023" s="3" t="s">
        <v>95</v>
      </c>
      <c r="D2023" s="3" t="s">
        <v>96</v>
      </c>
      <c r="E2023" s="2"/>
      <c r="F2023" s="2"/>
      <c r="G2023" s="2" t="s">
        <v>73</v>
      </c>
      <c r="H2023" s="2">
        <v>4</v>
      </c>
      <c r="I2023" s="8">
        <v>90</v>
      </c>
      <c r="J2023" s="8">
        <v>25000</v>
      </c>
      <c r="K2023" s="3">
        <v>0</v>
      </c>
      <c r="L2023" s="3" t="s">
        <v>3</v>
      </c>
      <c r="M2023" s="9" t="s">
        <v>0</v>
      </c>
      <c r="N2023" s="9" t="s">
        <v>42</v>
      </c>
      <c r="O2023" s="9" t="s">
        <v>532</v>
      </c>
      <c r="S2023" s="9" t="s">
        <v>535</v>
      </c>
      <c r="W2023" s="10" t="s">
        <v>710</v>
      </c>
      <c r="X2023" s="17">
        <v>45340</v>
      </c>
      <c r="Y2023" s="17">
        <v>45340</v>
      </c>
      <c r="Z2023" s="19" t="s">
        <v>772</v>
      </c>
      <c r="AA2023" s="210">
        <v>3000</v>
      </c>
      <c r="AB2023" s="9">
        <v>25</v>
      </c>
      <c r="AC2023" s="9">
        <v>25</v>
      </c>
      <c r="AD2023" s="17">
        <v>46111</v>
      </c>
      <c r="AE2023" s="56">
        <v>84.42</v>
      </c>
      <c r="AF2023" s="56"/>
      <c r="AP2023" s="11"/>
      <c r="AQ2023" s="11"/>
      <c r="AR2023" s="11"/>
      <c r="AW2023" s="9"/>
      <c r="BD2023" s="9"/>
      <c r="CS2023" s="11">
        <f t="shared" si="140"/>
        <v>0</v>
      </c>
      <c r="CT2023" s="22">
        <f t="shared" si="141"/>
        <v>0</v>
      </c>
      <c r="CU2023" s="22">
        <f t="shared" si="142"/>
        <v>0</v>
      </c>
      <c r="CV2023" s="26">
        <f t="shared" si="139"/>
        <v>84.42</v>
      </c>
    </row>
    <row r="2024" spans="1:100" x14ac:dyDescent="0.2">
      <c r="A2024" s="9" t="s">
        <v>491</v>
      </c>
      <c r="B2024" s="2">
        <v>32</v>
      </c>
      <c r="C2024" s="3" t="s">
        <v>95</v>
      </c>
      <c r="D2024" s="3" t="s">
        <v>96</v>
      </c>
      <c r="E2024" s="2"/>
      <c r="F2024" s="2"/>
      <c r="G2024" s="2" t="s">
        <v>69</v>
      </c>
      <c r="H2024" s="2">
        <v>3</v>
      </c>
      <c r="I2024" s="8">
        <v>120</v>
      </c>
      <c r="J2024" s="8">
        <v>66666</v>
      </c>
      <c r="K2024" s="3">
        <v>0</v>
      </c>
      <c r="L2024" s="3" t="s">
        <v>97</v>
      </c>
      <c r="M2024" s="9" t="s">
        <v>0</v>
      </c>
      <c r="N2024" s="9" t="s">
        <v>43</v>
      </c>
      <c r="O2024" s="9" t="s">
        <v>537</v>
      </c>
      <c r="S2024" s="9" t="s">
        <v>158</v>
      </c>
      <c r="T2024" s="10" t="s">
        <v>69</v>
      </c>
      <c r="U2024" s="10">
        <v>3</v>
      </c>
      <c r="V2024" s="78">
        <v>120</v>
      </c>
      <c r="W2024" s="78" t="s">
        <v>710</v>
      </c>
      <c r="X2024" s="17">
        <v>45347</v>
      </c>
      <c r="Y2024" s="17">
        <v>45371</v>
      </c>
      <c r="Z2024" s="19" t="s">
        <v>772</v>
      </c>
      <c r="AA2024" s="210">
        <v>37000</v>
      </c>
      <c r="AB2024" s="9">
        <v>30</v>
      </c>
      <c r="AC2024" s="9">
        <v>0</v>
      </c>
      <c r="AD2024" s="17">
        <v>45359</v>
      </c>
      <c r="AE2024" s="56">
        <v>200</v>
      </c>
      <c r="AF2024" s="56"/>
      <c r="AG2024" s="9" t="s">
        <v>134</v>
      </c>
      <c r="AH2024" s="17">
        <v>45359</v>
      </c>
      <c r="AI2024" s="17"/>
      <c r="AJ2024" s="17"/>
      <c r="AK2024" s="9" t="s">
        <v>538</v>
      </c>
      <c r="AL2024" s="11">
        <v>200</v>
      </c>
      <c r="AN2024" s="11" t="s">
        <v>1489</v>
      </c>
      <c r="AP2024" s="11"/>
      <c r="AQ2024" s="11"/>
      <c r="AR2024" s="11"/>
      <c r="AW2024" s="17">
        <v>45347</v>
      </c>
      <c r="AX2024" s="9">
        <v>33372</v>
      </c>
      <c r="AY2024" s="11">
        <v>762</v>
      </c>
      <c r="AZ2024" s="9">
        <v>3.81</v>
      </c>
      <c r="BA2024" s="11">
        <f>+AY2024/AZ2024</f>
        <v>200</v>
      </c>
      <c r="BD2024" s="9"/>
      <c r="CS2024" s="11">
        <f t="shared" si="140"/>
        <v>200</v>
      </c>
      <c r="CT2024" s="22">
        <f t="shared" si="141"/>
        <v>200</v>
      </c>
      <c r="CU2024" s="22">
        <f t="shared" si="142"/>
        <v>0</v>
      </c>
      <c r="CV2024" s="26">
        <f t="shared" si="139"/>
        <v>0</v>
      </c>
    </row>
    <row r="2025" spans="1:100" x14ac:dyDescent="0.2">
      <c r="A2025" s="9" t="s">
        <v>491</v>
      </c>
      <c r="B2025" s="2">
        <v>32</v>
      </c>
      <c r="C2025" s="3" t="s">
        <v>95</v>
      </c>
      <c r="D2025" s="3" t="s">
        <v>96</v>
      </c>
      <c r="E2025" s="2"/>
      <c r="F2025" s="2"/>
      <c r="G2025" s="2" t="s">
        <v>69</v>
      </c>
      <c r="H2025" s="2">
        <v>3</v>
      </c>
      <c r="I2025" s="8">
        <v>120</v>
      </c>
      <c r="J2025" s="8">
        <v>66666</v>
      </c>
      <c r="K2025" s="3">
        <v>0</v>
      </c>
      <c r="L2025" s="3" t="s">
        <v>97</v>
      </c>
      <c r="M2025" s="9" t="s">
        <v>0</v>
      </c>
      <c r="N2025" s="9" t="s">
        <v>43</v>
      </c>
      <c r="O2025" s="9" t="s">
        <v>537</v>
      </c>
      <c r="S2025" s="9" t="s">
        <v>158</v>
      </c>
      <c r="T2025" s="10" t="s">
        <v>69</v>
      </c>
      <c r="U2025" s="10">
        <v>3</v>
      </c>
      <c r="V2025" s="78">
        <v>120</v>
      </c>
      <c r="W2025" s="78" t="s">
        <v>710</v>
      </c>
      <c r="X2025" s="17">
        <v>45347</v>
      </c>
      <c r="Y2025" s="17">
        <v>45371</v>
      </c>
      <c r="Z2025" s="19" t="s">
        <v>772</v>
      </c>
      <c r="AA2025" s="210">
        <v>37000</v>
      </c>
      <c r="AB2025" s="9">
        <v>30</v>
      </c>
      <c r="AC2025" s="9">
        <v>0</v>
      </c>
      <c r="AD2025" s="17">
        <v>45371</v>
      </c>
      <c r="AE2025" s="56">
        <v>6800</v>
      </c>
      <c r="AF2025" s="56"/>
      <c r="AG2025" s="9" t="s">
        <v>134</v>
      </c>
      <c r="AH2025" s="17">
        <v>45371</v>
      </c>
      <c r="AI2025" s="17"/>
      <c r="AJ2025" s="17"/>
      <c r="AK2025" s="9" t="s">
        <v>539</v>
      </c>
      <c r="AL2025" s="11">
        <v>6800</v>
      </c>
      <c r="AN2025" s="11" t="s">
        <v>1490</v>
      </c>
      <c r="AP2025" s="11"/>
      <c r="AQ2025" s="11"/>
      <c r="AR2025" s="11"/>
      <c r="AW2025" s="17">
        <v>45352</v>
      </c>
      <c r="AX2025" s="9">
        <v>33713</v>
      </c>
      <c r="AY2025" s="11">
        <v>8840</v>
      </c>
      <c r="AZ2025" s="9">
        <v>3.8</v>
      </c>
      <c r="BA2025" s="11">
        <f>+AY2025/AZ2025</f>
        <v>2326.3157894736842</v>
      </c>
      <c r="BC2025" s="17">
        <v>45352</v>
      </c>
      <c r="BD2025" s="9">
        <v>33725</v>
      </c>
      <c r="BE2025" s="86">
        <v>17000</v>
      </c>
      <c r="BF2025" s="9">
        <v>3.8</v>
      </c>
      <c r="BG2025" s="9">
        <f>+BE2025/BF2025</f>
        <v>4473.6842105263158</v>
      </c>
      <c r="CS2025" s="11">
        <f t="shared" si="140"/>
        <v>6800</v>
      </c>
      <c r="CT2025" s="22">
        <f t="shared" si="141"/>
        <v>6800</v>
      </c>
      <c r="CU2025" s="22">
        <f t="shared" si="142"/>
        <v>0</v>
      </c>
      <c r="CV2025" s="26">
        <f t="shared" si="139"/>
        <v>0</v>
      </c>
    </row>
    <row r="2026" spans="1:100" x14ac:dyDescent="0.2">
      <c r="A2026" s="9" t="s">
        <v>491</v>
      </c>
      <c r="B2026" s="2">
        <v>32</v>
      </c>
      <c r="C2026" s="3" t="s">
        <v>95</v>
      </c>
      <c r="D2026" s="3" t="s">
        <v>96</v>
      </c>
      <c r="E2026" s="2"/>
      <c r="F2026" s="2"/>
      <c r="G2026" s="2" t="s">
        <v>69</v>
      </c>
      <c r="H2026" s="2">
        <v>3</v>
      </c>
      <c r="I2026" s="8">
        <v>120</v>
      </c>
      <c r="J2026" s="8">
        <v>66666</v>
      </c>
      <c r="K2026" s="3">
        <v>0</v>
      </c>
      <c r="L2026" s="3" t="s">
        <v>97</v>
      </c>
      <c r="M2026" s="9" t="s">
        <v>0</v>
      </c>
      <c r="N2026" s="9" t="s">
        <v>43</v>
      </c>
      <c r="O2026" s="9" t="s">
        <v>537</v>
      </c>
      <c r="S2026" s="9" t="s">
        <v>158</v>
      </c>
      <c r="T2026" s="10" t="s">
        <v>69</v>
      </c>
      <c r="U2026" s="10">
        <v>3</v>
      </c>
      <c r="V2026" s="78">
        <v>120</v>
      </c>
      <c r="W2026" s="78" t="s">
        <v>710</v>
      </c>
      <c r="X2026" s="17">
        <v>45347</v>
      </c>
      <c r="Y2026" s="17">
        <v>45371</v>
      </c>
      <c r="Z2026" s="19" t="s">
        <v>772</v>
      </c>
      <c r="AA2026" s="210">
        <v>37000</v>
      </c>
      <c r="AB2026" s="9">
        <v>30</v>
      </c>
      <c r="AC2026" s="9">
        <v>1</v>
      </c>
      <c r="AD2026" s="17">
        <v>45384</v>
      </c>
      <c r="AE2026" s="56">
        <v>1000</v>
      </c>
      <c r="AF2026" s="56"/>
      <c r="AG2026" s="9" t="s">
        <v>134</v>
      </c>
      <c r="AH2026" s="17">
        <v>45386</v>
      </c>
      <c r="AI2026" s="17"/>
      <c r="AJ2026" s="17"/>
      <c r="AK2026" s="9" t="s">
        <v>1479</v>
      </c>
      <c r="AL2026" s="11">
        <v>1000</v>
      </c>
      <c r="AN2026" s="11" t="s">
        <v>1491</v>
      </c>
      <c r="AP2026" s="11"/>
      <c r="AQ2026" s="11"/>
      <c r="AR2026" s="11"/>
      <c r="AW2026" s="17">
        <v>45387</v>
      </c>
      <c r="AX2026" s="9">
        <v>2521</v>
      </c>
      <c r="BA2026" s="86">
        <v>1000</v>
      </c>
      <c r="BD2026" s="9"/>
      <c r="CS2026" s="11">
        <f t="shared" si="140"/>
        <v>1000</v>
      </c>
      <c r="CT2026" s="22">
        <f t="shared" si="141"/>
        <v>1000</v>
      </c>
      <c r="CU2026" s="22">
        <f t="shared" si="142"/>
        <v>0</v>
      </c>
      <c r="CV2026" s="26">
        <f t="shared" si="139"/>
        <v>0</v>
      </c>
    </row>
    <row r="2027" spans="1:100" x14ac:dyDescent="0.2">
      <c r="A2027" s="9" t="s">
        <v>491</v>
      </c>
      <c r="B2027" s="2">
        <v>32</v>
      </c>
      <c r="C2027" s="3" t="s">
        <v>95</v>
      </c>
      <c r="D2027" s="3" t="s">
        <v>96</v>
      </c>
      <c r="E2027" s="2"/>
      <c r="F2027" s="2"/>
      <c r="G2027" s="2" t="s">
        <v>69</v>
      </c>
      <c r="H2027" s="2">
        <v>3</v>
      </c>
      <c r="I2027" s="8">
        <v>120</v>
      </c>
      <c r="J2027" s="8">
        <v>66666</v>
      </c>
      <c r="K2027" s="3">
        <v>0</v>
      </c>
      <c r="L2027" s="3" t="s">
        <v>97</v>
      </c>
      <c r="M2027" s="9" t="s">
        <v>0</v>
      </c>
      <c r="N2027" s="9" t="s">
        <v>43</v>
      </c>
      <c r="O2027" s="9" t="s">
        <v>537</v>
      </c>
      <c r="S2027" s="9" t="s">
        <v>158</v>
      </c>
      <c r="T2027" s="10" t="s">
        <v>69</v>
      </c>
      <c r="U2027" s="10">
        <v>3</v>
      </c>
      <c r="V2027" s="78">
        <v>120</v>
      </c>
      <c r="W2027" s="78" t="s">
        <v>710</v>
      </c>
      <c r="X2027" s="17">
        <v>45347</v>
      </c>
      <c r="Y2027" s="17">
        <v>45371</v>
      </c>
      <c r="Z2027" s="19" t="s">
        <v>772</v>
      </c>
      <c r="AA2027" s="210">
        <v>37000</v>
      </c>
      <c r="AB2027" s="9">
        <v>30</v>
      </c>
      <c r="AC2027" s="9">
        <v>2</v>
      </c>
      <c r="AD2027" s="17">
        <v>45414</v>
      </c>
      <c r="AE2027" s="56">
        <v>1000</v>
      </c>
      <c r="AF2027" s="56"/>
      <c r="AG2027" s="9" t="s">
        <v>134</v>
      </c>
      <c r="AH2027" s="17">
        <v>45414</v>
      </c>
      <c r="AI2027" s="17"/>
      <c r="AJ2027" s="17"/>
      <c r="AK2027" s="9" t="s">
        <v>1480</v>
      </c>
      <c r="AL2027" s="11">
        <v>1000</v>
      </c>
      <c r="AN2027" s="11" t="s">
        <v>1492</v>
      </c>
      <c r="AP2027" s="11"/>
      <c r="AQ2027" s="11"/>
      <c r="AR2027" s="11"/>
      <c r="AW2027" s="17">
        <v>45415</v>
      </c>
      <c r="AX2027" s="9">
        <v>2605</v>
      </c>
      <c r="BA2027" s="86">
        <v>1000</v>
      </c>
      <c r="BD2027" s="9"/>
      <c r="CS2027" s="11">
        <f t="shared" si="140"/>
        <v>1000</v>
      </c>
      <c r="CT2027" s="22">
        <f t="shared" si="141"/>
        <v>1000</v>
      </c>
      <c r="CU2027" s="22">
        <f t="shared" si="142"/>
        <v>0</v>
      </c>
      <c r="CV2027" s="26">
        <f t="shared" si="139"/>
        <v>0</v>
      </c>
    </row>
    <row r="2028" spans="1:100" x14ac:dyDescent="0.2">
      <c r="A2028" s="9" t="s">
        <v>491</v>
      </c>
      <c r="B2028" s="2">
        <v>32</v>
      </c>
      <c r="C2028" s="3" t="s">
        <v>95</v>
      </c>
      <c r="D2028" s="3" t="s">
        <v>96</v>
      </c>
      <c r="E2028" s="2"/>
      <c r="F2028" s="2"/>
      <c r="G2028" s="2" t="s">
        <v>69</v>
      </c>
      <c r="H2028" s="2">
        <v>3</v>
      </c>
      <c r="I2028" s="8">
        <v>120</v>
      </c>
      <c r="J2028" s="8">
        <v>66666</v>
      </c>
      <c r="K2028" s="3">
        <v>0</v>
      </c>
      <c r="L2028" s="3" t="s">
        <v>97</v>
      </c>
      <c r="M2028" s="9" t="s">
        <v>0</v>
      </c>
      <c r="N2028" s="9" t="s">
        <v>43</v>
      </c>
      <c r="O2028" s="9" t="s">
        <v>537</v>
      </c>
      <c r="S2028" s="9" t="s">
        <v>158</v>
      </c>
      <c r="T2028" s="10" t="s">
        <v>69</v>
      </c>
      <c r="U2028" s="10">
        <v>3</v>
      </c>
      <c r="V2028" s="78">
        <v>120</v>
      </c>
      <c r="W2028" s="78" t="s">
        <v>710</v>
      </c>
      <c r="X2028" s="17">
        <v>45347</v>
      </c>
      <c r="Y2028" s="17">
        <v>45371</v>
      </c>
      <c r="Z2028" s="19" t="s">
        <v>772</v>
      </c>
      <c r="AA2028" s="210">
        <v>37000</v>
      </c>
      <c r="AB2028" s="9">
        <v>30</v>
      </c>
      <c r="AC2028" s="9">
        <v>3</v>
      </c>
      <c r="AD2028" s="17">
        <v>45445</v>
      </c>
      <c r="AE2028" s="56">
        <v>1000</v>
      </c>
      <c r="AF2028" s="56"/>
      <c r="AG2028" s="9" t="s">
        <v>134</v>
      </c>
      <c r="AH2028" s="17">
        <v>45443</v>
      </c>
      <c r="AI2028" s="17"/>
      <c r="AJ2028" s="17"/>
      <c r="AK2028" s="9" t="s">
        <v>1481</v>
      </c>
      <c r="AL2028" s="11">
        <v>1000</v>
      </c>
      <c r="AN2028" s="11" t="s">
        <v>1493</v>
      </c>
      <c r="AP2028" s="11"/>
      <c r="AQ2028" s="11"/>
      <c r="AR2028" s="11"/>
      <c r="AW2028" s="17">
        <v>45443</v>
      </c>
      <c r="AX2028" s="9">
        <v>37160</v>
      </c>
      <c r="AY2028" s="86">
        <v>3760</v>
      </c>
      <c r="AZ2028" s="9">
        <v>3.76</v>
      </c>
      <c r="BA2028" s="11">
        <f>+AY2028/AZ2028</f>
        <v>1000</v>
      </c>
      <c r="BD2028" s="9"/>
      <c r="CS2028" s="11">
        <f t="shared" si="140"/>
        <v>1000</v>
      </c>
      <c r="CT2028" s="22">
        <f t="shared" si="141"/>
        <v>1000</v>
      </c>
      <c r="CU2028" s="22">
        <f t="shared" si="142"/>
        <v>0</v>
      </c>
      <c r="CV2028" s="26">
        <f t="shared" si="139"/>
        <v>0</v>
      </c>
    </row>
    <row r="2029" spans="1:100" x14ac:dyDescent="0.2">
      <c r="A2029" s="9" t="s">
        <v>491</v>
      </c>
      <c r="B2029" s="2">
        <v>32</v>
      </c>
      <c r="C2029" s="3" t="s">
        <v>95</v>
      </c>
      <c r="D2029" s="3" t="s">
        <v>96</v>
      </c>
      <c r="E2029" s="2"/>
      <c r="F2029" s="2"/>
      <c r="G2029" s="2" t="s">
        <v>69</v>
      </c>
      <c r="H2029" s="2">
        <v>3</v>
      </c>
      <c r="I2029" s="8">
        <v>120</v>
      </c>
      <c r="J2029" s="8">
        <v>66666</v>
      </c>
      <c r="K2029" s="3">
        <v>0</v>
      </c>
      <c r="L2029" s="3" t="s">
        <v>97</v>
      </c>
      <c r="M2029" s="9" t="s">
        <v>0</v>
      </c>
      <c r="N2029" s="9" t="s">
        <v>43</v>
      </c>
      <c r="O2029" s="9" t="s">
        <v>537</v>
      </c>
      <c r="S2029" s="9" t="s">
        <v>158</v>
      </c>
      <c r="T2029" s="10" t="s">
        <v>69</v>
      </c>
      <c r="U2029" s="10">
        <v>3</v>
      </c>
      <c r="V2029" s="78">
        <v>120</v>
      </c>
      <c r="W2029" s="78" t="s">
        <v>710</v>
      </c>
      <c r="X2029" s="17">
        <v>45347</v>
      </c>
      <c r="Y2029" s="17">
        <v>45371</v>
      </c>
      <c r="Z2029" s="19" t="s">
        <v>772</v>
      </c>
      <c r="AA2029" s="210">
        <v>37000</v>
      </c>
      <c r="AB2029" s="9">
        <v>30</v>
      </c>
      <c r="AC2029" s="9">
        <v>4</v>
      </c>
      <c r="AD2029" s="17">
        <v>45475</v>
      </c>
      <c r="AE2029" s="56">
        <v>1000</v>
      </c>
      <c r="AF2029" s="56"/>
      <c r="AG2029" s="9" t="s">
        <v>134</v>
      </c>
      <c r="AH2029" s="17">
        <v>45474</v>
      </c>
      <c r="AI2029" s="17"/>
      <c r="AJ2029" s="17"/>
      <c r="AK2029" s="9" t="s">
        <v>1482</v>
      </c>
      <c r="AL2029" s="11">
        <v>1000</v>
      </c>
      <c r="AN2029" s="11" t="s">
        <v>1494</v>
      </c>
      <c r="AP2029" s="11"/>
      <c r="AQ2029" s="11"/>
      <c r="AR2029" s="11"/>
      <c r="AW2029" s="17">
        <v>45475</v>
      </c>
      <c r="AX2029" s="9">
        <v>2845</v>
      </c>
      <c r="BA2029" s="86">
        <v>1000</v>
      </c>
      <c r="BD2029" s="9"/>
      <c r="CS2029" s="11">
        <f t="shared" si="140"/>
        <v>1000</v>
      </c>
      <c r="CT2029" s="22">
        <f t="shared" si="141"/>
        <v>1000</v>
      </c>
      <c r="CU2029" s="22">
        <f t="shared" si="142"/>
        <v>0</v>
      </c>
      <c r="CV2029" s="26">
        <f t="shared" si="139"/>
        <v>0</v>
      </c>
    </row>
    <row r="2030" spans="1:100" x14ac:dyDescent="0.2">
      <c r="A2030" s="9" t="s">
        <v>491</v>
      </c>
      <c r="B2030" s="2">
        <v>32</v>
      </c>
      <c r="C2030" s="3" t="s">
        <v>95</v>
      </c>
      <c r="D2030" s="3" t="s">
        <v>96</v>
      </c>
      <c r="E2030" s="2"/>
      <c r="F2030" s="2"/>
      <c r="G2030" s="2" t="s">
        <v>69</v>
      </c>
      <c r="H2030" s="2">
        <v>3</v>
      </c>
      <c r="I2030" s="8">
        <v>120</v>
      </c>
      <c r="J2030" s="8">
        <v>66666</v>
      </c>
      <c r="K2030" s="3">
        <v>0</v>
      </c>
      <c r="L2030" s="3" t="s">
        <v>97</v>
      </c>
      <c r="M2030" s="9" t="s">
        <v>0</v>
      </c>
      <c r="N2030" s="9" t="s">
        <v>43</v>
      </c>
      <c r="O2030" s="9" t="s">
        <v>537</v>
      </c>
      <c r="S2030" s="9" t="s">
        <v>158</v>
      </c>
      <c r="T2030" s="10" t="s">
        <v>69</v>
      </c>
      <c r="U2030" s="10">
        <v>3</v>
      </c>
      <c r="V2030" s="78">
        <v>120</v>
      </c>
      <c r="W2030" s="78" t="s">
        <v>710</v>
      </c>
      <c r="X2030" s="17">
        <v>45347</v>
      </c>
      <c r="Y2030" s="17">
        <v>45371</v>
      </c>
      <c r="Z2030" s="19" t="s">
        <v>772</v>
      </c>
      <c r="AA2030" s="210">
        <v>37000</v>
      </c>
      <c r="AB2030" s="9">
        <v>30</v>
      </c>
      <c r="AC2030" s="9">
        <v>5</v>
      </c>
      <c r="AD2030" s="17">
        <v>45506</v>
      </c>
      <c r="AE2030" s="56">
        <v>1000</v>
      </c>
      <c r="AF2030" s="56"/>
      <c r="AG2030" s="9" t="s">
        <v>134</v>
      </c>
      <c r="AH2030" s="17">
        <v>45505</v>
      </c>
      <c r="AI2030" s="17"/>
      <c r="AJ2030" s="17"/>
      <c r="AK2030" s="9" t="s">
        <v>1483</v>
      </c>
      <c r="AL2030" s="11">
        <v>1000</v>
      </c>
      <c r="AN2030" s="11" t="s">
        <v>1495</v>
      </c>
      <c r="AP2030" s="11"/>
      <c r="AQ2030" s="11"/>
      <c r="AR2030" s="11"/>
      <c r="AW2030" s="17">
        <v>45504</v>
      </c>
      <c r="AX2030" s="9">
        <v>2963</v>
      </c>
      <c r="BA2030" s="86">
        <v>1000</v>
      </c>
      <c r="BD2030" s="9"/>
      <c r="CS2030" s="11">
        <f t="shared" si="140"/>
        <v>1000</v>
      </c>
      <c r="CT2030" s="22">
        <f t="shared" si="141"/>
        <v>1000</v>
      </c>
      <c r="CU2030" s="22">
        <f t="shared" si="142"/>
        <v>0</v>
      </c>
      <c r="CV2030" s="26">
        <f t="shared" si="139"/>
        <v>0</v>
      </c>
    </row>
    <row r="2031" spans="1:100" x14ac:dyDescent="0.2">
      <c r="A2031" s="9" t="s">
        <v>491</v>
      </c>
      <c r="B2031" s="2">
        <v>32</v>
      </c>
      <c r="C2031" s="3" t="s">
        <v>95</v>
      </c>
      <c r="D2031" s="3" t="s">
        <v>96</v>
      </c>
      <c r="E2031" s="2"/>
      <c r="F2031" s="2"/>
      <c r="G2031" s="2" t="s">
        <v>69</v>
      </c>
      <c r="H2031" s="2">
        <v>3</v>
      </c>
      <c r="I2031" s="8">
        <v>120</v>
      </c>
      <c r="J2031" s="8">
        <v>66666</v>
      </c>
      <c r="K2031" s="3">
        <v>0</v>
      </c>
      <c r="L2031" s="3" t="s">
        <v>97</v>
      </c>
      <c r="M2031" s="9" t="s">
        <v>0</v>
      </c>
      <c r="N2031" s="9" t="s">
        <v>43</v>
      </c>
      <c r="O2031" s="9" t="s">
        <v>537</v>
      </c>
      <c r="S2031" s="9" t="s">
        <v>158</v>
      </c>
      <c r="T2031" s="10" t="s">
        <v>69</v>
      </c>
      <c r="U2031" s="10">
        <v>3</v>
      </c>
      <c r="V2031" s="78">
        <v>120</v>
      </c>
      <c r="W2031" s="78" t="s">
        <v>710</v>
      </c>
      <c r="X2031" s="17">
        <v>45347</v>
      </c>
      <c r="Y2031" s="17">
        <v>45371</v>
      </c>
      <c r="Z2031" s="19" t="s">
        <v>772</v>
      </c>
      <c r="AA2031" s="210">
        <v>37000</v>
      </c>
      <c r="AB2031" s="9">
        <v>30</v>
      </c>
      <c r="AC2031" s="9">
        <v>6</v>
      </c>
      <c r="AD2031" s="17">
        <v>45537</v>
      </c>
      <c r="AE2031" s="56">
        <v>1000</v>
      </c>
      <c r="AF2031" s="56"/>
      <c r="AG2031" s="9" t="s">
        <v>134</v>
      </c>
      <c r="AH2031" s="17">
        <v>45537</v>
      </c>
      <c r="AI2031" s="17"/>
      <c r="AJ2031" s="17"/>
      <c r="AK2031" s="9" t="s">
        <v>1484</v>
      </c>
      <c r="AL2031" s="11">
        <v>1000</v>
      </c>
      <c r="AN2031" s="11" t="s">
        <v>1496</v>
      </c>
      <c r="AP2031" s="11"/>
      <c r="AQ2031" s="11"/>
      <c r="AR2031" s="11"/>
      <c r="AW2031" s="17">
        <v>45537</v>
      </c>
      <c r="AX2031" s="9">
        <v>40269</v>
      </c>
      <c r="AY2031" s="86">
        <v>3750</v>
      </c>
      <c r="AZ2031" s="9">
        <v>3.75</v>
      </c>
      <c r="BA2031" s="11">
        <f>+AY2031/AZ2031</f>
        <v>1000</v>
      </c>
      <c r="BD2031" s="9"/>
      <c r="CS2031" s="11">
        <f t="shared" si="140"/>
        <v>1000</v>
      </c>
      <c r="CT2031" s="22">
        <f t="shared" si="141"/>
        <v>1000</v>
      </c>
      <c r="CU2031" s="22">
        <f t="shared" si="142"/>
        <v>0</v>
      </c>
      <c r="CV2031" s="26">
        <f t="shared" si="139"/>
        <v>0</v>
      </c>
    </row>
    <row r="2032" spans="1:100" x14ac:dyDescent="0.2">
      <c r="A2032" s="9" t="s">
        <v>491</v>
      </c>
      <c r="B2032" s="2">
        <v>32</v>
      </c>
      <c r="C2032" s="3" t="s">
        <v>95</v>
      </c>
      <c r="D2032" s="3" t="s">
        <v>96</v>
      </c>
      <c r="E2032" s="2"/>
      <c r="F2032" s="2"/>
      <c r="G2032" s="2" t="s">
        <v>69</v>
      </c>
      <c r="H2032" s="2">
        <v>3</v>
      </c>
      <c r="I2032" s="8">
        <v>120</v>
      </c>
      <c r="J2032" s="8">
        <v>66666</v>
      </c>
      <c r="K2032" s="3">
        <v>0</v>
      </c>
      <c r="L2032" s="3" t="s">
        <v>97</v>
      </c>
      <c r="M2032" s="9" t="s">
        <v>0</v>
      </c>
      <c r="N2032" s="9" t="s">
        <v>43</v>
      </c>
      <c r="O2032" s="9" t="s">
        <v>537</v>
      </c>
      <c r="S2032" s="9" t="s">
        <v>158</v>
      </c>
      <c r="T2032" s="10" t="s">
        <v>69</v>
      </c>
      <c r="U2032" s="10">
        <v>3</v>
      </c>
      <c r="V2032" s="78">
        <v>120</v>
      </c>
      <c r="W2032" s="78" t="s">
        <v>710</v>
      </c>
      <c r="X2032" s="17">
        <v>45347</v>
      </c>
      <c r="Y2032" s="17">
        <v>45371</v>
      </c>
      <c r="Z2032" s="19" t="s">
        <v>772</v>
      </c>
      <c r="AA2032" s="210">
        <v>37000</v>
      </c>
      <c r="AB2032" s="9">
        <v>30</v>
      </c>
      <c r="AC2032" s="9">
        <v>7</v>
      </c>
      <c r="AD2032" s="17">
        <v>45567</v>
      </c>
      <c r="AE2032" s="56">
        <v>1000</v>
      </c>
      <c r="AF2032" s="56"/>
      <c r="AG2032" s="9" t="s">
        <v>134</v>
      </c>
      <c r="AH2032" s="17">
        <v>45568</v>
      </c>
      <c r="AI2032" s="17"/>
      <c r="AJ2032" s="17"/>
      <c r="AK2032" s="9" t="s">
        <v>1485</v>
      </c>
      <c r="AL2032" s="11">
        <v>1000</v>
      </c>
      <c r="AN2032" s="11" t="s">
        <v>1497</v>
      </c>
      <c r="AP2032" s="11"/>
      <c r="AQ2032" s="11"/>
      <c r="AR2032" s="11"/>
      <c r="AW2032" s="17">
        <v>45568</v>
      </c>
      <c r="AX2032" s="9">
        <v>3243</v>
      </c>
      <c r="BA2032" s="86">
        <v>1000</v>
      </c>
      <c r="BD2032" s="9"/>
      <c r="CS2032" s="11">
        <f t="shared" si="140"/>
        <v>1000</v>
      </c>
      <c r="CT2032" s="22">
        <f t="shared" si="141"/>
        <v>1000</v>
      </c>
      <c r="CU2032" s="22">
        <f t="shared" si="142"/>
        <v>0</v>
      </c>
      <c r="CV2032" s="26">
        <f t="shared" si="139"/>
        <v>0</v>
      </c>
    </row>
    <row r="2033" spans="1:100" x14ac:dyDescent="0.2">
      <c r="A2033" s="9" t="s">
        <v>491</v>
      </c>
      <c r="B2033" s="2">
        <v>32</v>
      </c>
      <c r="C2033" s="3" t="s">
        <v>95</v>
      </c>
      <c r="D2033" s="3" t="s">
        <v>96</v>
      </c>
      <c r="E2033" s="2"/>
      <c r="F2033" s="2"/>
      <c r="G2033" s="2" t="s">
        <v>69</v>
      </c>
      <c r="H2033" s="2">
        <v>3</v>
      </c>
      <c r="I2033" s="8">
        <v>120</v>
      </c>
      <c r="J2033" s="8">
        <v>66666</v>
      </c>
      <c r="K2033" s="3">
        <v>0</v>
      </c>
      <c r="L2033" s="3" t="s">
        <v>97</v>
      </c>
      <c r="M2033" s="9" t="s">
        <v>0</v>
      </c>
      <c r="N2033" s="9" t="s">
        <v>43</v>
      </c>
      <c r="O2033" s="9" t="s">
        <v>537</v>
      </c>
      <c r="S2033" s="9" t="s">
        <v>158</v>
      </c>
      <c r="T2033" s="10" t="s">
        <v>69</v>
      </c>
      <c r="U2033" s="10">
        <v>3</v>
      </c>
      <c r="V2033" s="78">
        <v>120</v>
      </c>
      <c r="W2033" s="78" t="s">
        <v>710</v>
      </c>
      <c r="X2033" s="17">
        <v>45347</v>
      </c>
      <c r="Y2033" s="17">
        <v>45371</v>
      </c>
      <c r="Z2033" s="19" t="s">
        <v>772</v>
      </c>
      <c r="AA2033" s="210">
        <v>37000</v>
      </c>
      <c r="AB2033" s="9">
        <v>30</v>
      </c>
      <c r="AC2033" s="9">
        <v>8</v>
      </c>
      <c r="AD2033" s="17">
        <v>45598</v>
      </c>
      <c r="AE2033" s="56">
        <v>1000</v>
      </c>
      <c r="AF2033" s="56"/>
      <c r="AG2033" s="9" t="s">
        <v>134</v>
      </c>
      <c r="AH2033" s="17">
        <v>45603</v>
      </c>
      <c r="AI2033" s="17"/>
      <c r="AJ2033" s="17"/>
      <c r="AK2033" s="9" t="s">
        <v>1486</v>
      </c>
      <c r="AL2033" s="11">
        <v>1000</v>
      </c>
      <c r="AN2033" s="11" t="s">
        <v>1498</v>
      </c>
      <c r="AP2033" s="11"/>
      <c r="AQ2033" s="11"/>
      <c r="AR2033" s="11"/>
      <c r="AW2033" s="17">
        <v>45602</v>
      </c>
      <c r="AX2033" s="9">
        <v>1119</v>
      </c>
      <c r="AY2033" s="86">
        <v>3700</v>
      </c>
      <c r="AZ2033" s="9">
        <v>3.79</v>
      </c>
      <c r="BA2033" s="11">
        <f>+AY2033/AZ2033</f>
        <v>976.25329815303428</v>
      </c>
      <c r="BC2033" s="17">
        <v>45603</v>
      </c>
      <c r="BD2033" s="9">
        <v>8276</v>
      </c>
      <c r="BE2033" s="9">
        <v>90</v>
      </c>
      <c r="BF2033" s="9">
        <v>3.79</v>
      </c>
      <c r="BG2033" s="11">
        <f>+BE2033/BF2033</f>
        <v>23.746701846965699</v>
      </c>
      <c r="BH2033" s="11"/>
      <c r="CS2033" s="11">
        <f t="shared" si="140"/>
        <v>1000</v>
      </c>
      <c r="CT2033" s="22">
        <f t="shared" si="141"/>
        <v>1000</v>
      </c>
      <c r="CU2033" s="22">
        <f t="shared" si="142"/>
        <v>0</v>
      </c>
      <c r="CV2033" s="26">
        <f t="shared" si="139"/>
        <v>0</v>
      </c>
    </row>
    <row r="2034" spans="1:100" x14ac:dyDescent="0.2">
      <c r="A2034" s="9" t="s">
        <v>491</v>
      </c>
      <c r="B2034" s="2">
        <v>32</v>
      </c>
      <c r="C2034" s="3" t="s">
        <v>95</v>
      </c>
      <c r="D2034" s="3" t="s">
        <v>96</v>
      </c>
      <c r="E2034" s="2"/>
      <c r="F2034" s="2"/>
      <c r="G2034" s="2" t="s">
        <v>69</v>
      </c>
      <c r="H2034" s="2">
        <v>3</v>
      </c>
      <c r="I2034" s="8">
        <v>120</v>
      </c>
      <c r="J2034" s="8">
        <v>66666</v>
      </c>
      <c r="K2034" s="3">
        <v>0</v>
      </c>
      <c r="L2034" s="3" t="s">
        <v>97</v>
      </c>
      <c r="M2034" s="9" t="s">
        <v>0</v>
      </c>
      <c r="N2034" s="9" t="s">
        <v>43</v>
      </c>
      <c r="O2034" s="9" t="s">
        <v>537</v>
      </c>
      <c r="S2034" s="9" t="s">
        <v>158</v>
      </c>
      <c r="T2034" s="10" t="s">
        <v>69</v>
      </c>
      <c r="U2034" s="10">
        <v>3</v>
      </c>
      <c r="V2034" s="78">
        <v>120</v>
      </c>
      <c r="W2034" s="78" t="s">
        <v>710</v>
      </c>
      <c r="X2034" s="17">
        <v>45347</v>
      </c>
      <c r="Y2034" s="17">
        <v>45371</v>
      </c>
      <c r="Z2034" s="19" t="s">
        <v>772</v>
      </c>
      <c r="AA2034" s="210">
        <v>37000</v>
      </c>
      <c r="AB2034" s="9">
        <v>30</v>
      </c>
      <c r="AC2034" s="9">
        <v>9</v>
      </c>
      <c r="AD2034" s="17">
        <v>45628</v>
      </c>
      <c r="AE2034" s="56">
        <v>1000</v>
      </c>
      <c r="AF2034" s="56"/>
      <c r="AG2034" s="9" t="s">
        <v>134</v>
      </c>
      <c r="AH2034" s="17">
        <v>45630</v>
      </c>
      <c r="AI2034" s="17"/>
      <c r="AJ2034" s="17"/>
      <c r="AK2034" s="9" t="s">
        <v>1487</v>
      </c>
      <c r="AL2034" s="11">
        <v>1000</v>
      </c>
      <c r="AN2034" s="11" t="s">
        <v>1499</v>
      </c>
      <c r="AP2034" s="11"/>
      <c r="AQ2034" s="11"/>
      <c r="AR2034" s="11"/>
      <c r="AW2034" s="17">
        <v>45629</v>
      </c>
      <c r="AX2034" s="9">
        <v>3469</v>
      </c>
      <c r="BA2034" s="86">
        <v>1000</v>
      </c>
      <c r="BD2034" s="9"/>
      <c r="CS2034" s="11">
        <f t="shared" si="140"/>
        <v>1000</v>
      </c>
      <c r="CT2034" s="22">
        <f t="shared" si="141"/>
        <v>1000</v>
      </c>
      <c r="CU2034" s="22">
        <f t="shared" si="142"/>
        <v>0</v>
      </c>
      <c r="CV2034" s="26">
        <f t="shared" si="139"/>
        <v>0</v>
      </c>
    </row>
    <row r="2035" spans="1:100" x14ac:dyDescent="0.2">
      <c r="A2035" s="9" t="s">
        <v>491</v>
      </c>
      <c r="B2035" s="2">
        <v>32</v>
      </c>
      <c r="C2035" s="3" t="s">
        <v>95</v>
      </c>
      <c r="D2035" s="3" t="s">
        <v>96</v>
      </c>
      <c r="E2035" s="2"/>
      <c r="F2035" s="2"/>
      <c r="G2035" s="2" t="s">
        <v>69</v>
      </c>
      <c r="H2035" s="2">
        <v>3</v>
      </c>
      <c r="I2035" s="8">
        <v>120</v>
      </c>
      <c r="J2035" s="8">
        <v>66666</v>
      </c>
      <c r="K2035" s="3">
        <v>0</v>
      </c>
      <c r="L2035" s="3" t="s">
        <v>97</v>
      </c>
      <c r="M2035" s="9" t="s">
        <v>0</v>
      </c>
      <c r="N2035" s="9" t="s">
        <v>43</v>
      </c>
      <c r="O2035" s="9" t="s">
        <v>537</v>
      </c>
      <c r="S2035" s="9" t="s">
        <v>158</v>
      </c>
      <c r="T2035" s="10" t="s">
        <v>69</v>
      </c>
      <c r="U2035" s="10">
        <v>3</v>
      </c>
      <c r="V2035" s="78">
        <v>120</v>
      </c>
      <c r="W2035" s="78" t="s">
        <v>710</v>
      </c>
      <c r="X2035" s="17">
        <v>45347</v>
      </c>
      <c r="Y2035" s="17">
        <v>45371</v>
      </c>
      <c r="Z2035" s="19" t="s">
        <v>772</v>
      </c>
      <c r="AA2035" s="210">
        <v>37000</v>
      </c>
      <c r="AB2035" s="9">
        <v>30</v>
      </c>
      <c r="AC2035" s="9">
        <v>10</v>
      </c>
      <c r="AD2035" s="17">
        <v>45659</v>
      </c>
      <c r="AE2035" s="56">
        <v>1000</v>
      </c>
      <c r="AF2035" s="56"/>
      <c r="AG2035" s="9" t="s">
        <v>134</v>
      </c>
      <c r="AH2035" s="17">
        <v>45656</v>
      </c>
      <c r="AI2035" s="17"/>
      <c r="AJ2035" s="17"/>
      <c r="AK2035" s="9" t="s">
        <v>1488</v>
      </c>
      <c r="AL2035" s="11">
        <v>1000</v>
      </c>
      <c r="AN2035" s="11" t="s">
        <v>1500</v>
      </c>
      <c r="AP2035" s="11"/>
      <c r="AQ2035" s="11"/>
      <c r="AR2035" s="11"/>
      <c r="AW2035" s="17">
        <v>45656</v>
      </c>
      <c r="AX2035" s="9">
        <v>3549</v>
      </c>
      <c r="BA2035" s="86">
        <v>1000</v>
      </c>
      <c r="BD2035" s="9"/>
      <c r="CS2035" s="11">
        <f t="shared" si="140"/>
        <v>1000</v>
      </c>
      <c r="CT2035" s="22">
        <f t="shared" si="141"/>
        <v>1000</v>
      </c>
      <c r="CU2035" s="22">
        <f t="shared" si="142"/>
        <v>0</v>
      </c>
      <c r="CV2035" s="26">
        <f t="shared" si="139"/>
        <v>0</v>
      </c>
    </row>
    <row r="2036" spans="1:100" x14ac:dyDescent="0.2">
      <c r="A2036" s="9" t="s">
        <v>491</v>
      </c>
      <c r="B2036" s="2">
        <v>32</v>
      </c>
      <c r="C2036" s="3" t="s">
        <v>95</v>
      </c>
      <c r="D2036" s="3" t="s">
        <v>96</v>
      </c>
      <c r="E2036" s="2"/>
      <c r="F2036" s="2"/>
      <c r="G2036" s="2" t="s">
        <v>69</v>
      </c>
      <c r="H2036" s="2">
        <v>3</v>
      </c>
      <c r="I2036" s="8">
        <v>120</v>
      </c>
      <c r="J2036" s="8">
        <v>66666</v>
      </c>
      <c r="K2036" s="3">
        <v>0</v>
      </c>
      <c r="L2036" s="3" t="s">
        <v>97</v>
      </c>
      <c r="M2036" s="9" t="s">
        <v>0</v>
      </c>
      <c r="N2036" s="9" t="s">
        <v>43</v>
      </c>
      <c r="O2036" s="9" t="s">
        <v>537</v>
      </c>
      <c r="S2036" s="9" t="s">
        <v>158</v>
      </c>
      <c r="T2036" s="10" t="s">
        <v>69</v>
      </c>
      <c r="U2036" s="10">
        <v>3</v>
      </c>
      <c r="V2036" s="78">
        <v>120</v>
      </c>
      <c r="W2036" s="78" t="s">
        <v>710</v>
      </c>
      <c r="X2036" s="17">
        <v>45347</v>
      </c>
      <c r="Y2036" s="17">
        <v>45371</v>
      </c>
      <c r="Z2036" s="19" t="s">
        <v>772</v>
      </c>
      <c r="AA2036" s="210">
        <v>37000</v>
      </c>
      <c r="AB2036" s="9">
        <v>30</v>
      </c>
      <c r="AC2036" s="9">
        <v>11</v>
      </c>
      <c r="AD2036" s="17">
        <v>45690</v>
      </c>
      <c r="AE2036" s="56">
        <v>1000</v>
      </c>
      <c r="AF2036" s="56"/>
      <c r="AG2036" s="9" t="s">
        <v>134</v>
      </c>
      <c r="AH2036" s="17">
        <v>45687</v>
      </c>
      <c r="AI2036" s="17"/>
      <c r="AJ2036" s="17"/>
      <c r="AK2036" s="9" t="s">
        <v>1501</v>
      </c>
      <c r="AL2036" s="11">
        <v>1000</v>
      </c>
      <c r="AN2036" s="11" t="s">
        <v>1507</v>
      </c>
      <c r="AP2036" s="11"/>
      <c r="AQ2036" s="11"/>
      <c r="AR2036" s="11"/>
      <c r="AW2036" s="17">
        <v>45686</v>
      </c>
      <c r="AX2036" s="9">
        <v>3669</v>
      </c>
      <c r="AZ2036" s="86"/>
      <c r="BA2036" s="86">
        <v>1000</v>
      </c>
      <c r="BD2036" s="9"/>
      <c r="CS2036" s="11">
        <f t="shared" si="140"/>
        <v>1000</v>
      </c>
      <c r="CT2036" s="22">
        <f t="shared" si="141"/>
        <v>1000</v>
      </c>
      <c r="CU2036" s="22">
        <f t="shared" si="142"/>
        <v>0</v>
      </c>
      <c r="CV2036" s="26">
        <f t="shared" si="139"/>
        <v>0</v>
      </c>
    </row>
    <row r="2037" spans="1:100" x14ac:dyDescent="0.2">
      <c r="A2037" s="9" t="s">
        <v>491</v>
      </c>
      <c r="B2037" s="2">
        <v>32</v>
      </c>
      <c r="C2037" s="3" t="s">
        <v>95</v>
      </c>
      <c r="D2037" s="3" t="s">
        <v>96</v>
      </c>
      <c r="E2037" s="2"/>
      <c r="F2037" s="2"/>
      <c r="G2037" s="2" t="s">
        <v>69</v>
      </c>
      <c r="H2037" s="2">
        <v>3</v>
      </c>
      <c r="I2037" s="8">
        <v>120</v>
      </c>
      <c r="J2037" s="8">
        <v>66666</v>
      </c>
      <c r="K2037" s="3">
        <v>0</v>
      </c>
      <c r="L2037" s="3" t="s">
        <v>97</v>
      </c>
      <c r="M2037" s="9" t="s">
        <v>0</v>
      </c>
      <c r="N2037" s="9" t="s">
        <v>43</v>
      </c>
      <c r="O2037" s="9" t="s">
        <v>537</v>
      </c>
      <c r="S2037" s="9" t="s">
        <v>158</v>
      </c>
      <c r="T2037" s="10" t="s">
        <v>69</v>
      </c>
      <c r="U2037" s="10">
        <v>3</v>
      </c>
      <c r="V2037" s="78">
        <v>120</v>
      </c>
      <c r="W2037" s="78" t="s">
        <v>710</v>
      </c>
      <c r="X2037" s="17">
        <v>45347</v>
      </c>
      <c r="Y2037" s="17">
        <v>45371</v>
      </c>
      <c r="Z2037" s="19" t="s">
        <v>772</v>
      </c>
      <c r="AA2037" s="210">
        <v>37000</v>
      </c>
      <c r="AB2037" s="9">
        <v>30</v>
      </c>
      <c r="AC2037" s="9">
        <v>12</v>
      </c>
      <c r="AD2037" s="17">
        <v>45718</v>
      </c>
      <c r="AE2037" s="56">
        <v>1000</v>
      </c>
      <c r="AF2037" s="56"/>
      <c r="AG2037" s="9" t="s">
        <v>134</v>
      </c>
      <c r="AH2037" s="17">
        <v>45729</v>
      </c>
      <c r="AI2037" s="17"/>
      <c r="AJ2037" s="17"/>
      <c r="AK2037" s="9" t="s">
        <v>1502</v>
      </c>
      <c r="AL2037" s="11">
        <v>1000</v>
      </c>
      <c r="AN2037" s="11" t="s">
        <v>1508</v>
      </c>
      <c r="AP2037" s="11"/>
      <c r="AQ2037" s="11"/>
      <c r="AR2037" s="11"/>
      <c r="AW2037" s="17">
        <v>45720</v>
      </c>
      <c r="AX2037" s="9">
        <v>3838</v>
      </c>
      <c r="AZ2037" s="86"/>
      <c r="BA2037" s="86">
        <v>1000</v>
      </c>
      <c r="BD2037" s="9"/>
      <c r="CS2037" s="11">
        <f t="shared" si="140"/>
        <v>1000</v>
      </c>
      <c r="CT2037" s="22">
        <f t="shared" si="141"/>
        <v>1000</v>
      </c>
      <c r="CU2037" s="22">
        <f t="shared" si="142"/>
        <v>0</v>
      </c>
      <c r="CV2037" s="26">
        <f t="shared" si="139"/>
        <v>0</v>
      </c>
    </row>
    <row r="2038" spans="1:100" x14ac:dyDescent="0.2">
      <c r="A2038" s="9" t="s">
        <v>491</v>
      </c>
      <c r="B2038" s="2">
        <v>32</v>
      </c>
      <c r="C2038" s="3" t="s">
        <v>95</v>
      </c>
      <c r="D2038" s="3" t="s">
        <v>96</v>
      </c>
      <c r="E2038" s="2"/>
      <c r="F2038" s="2"/>
      <c r="G2038" s="2" t="s">
        <v>69</v>
      </c>
      <c r="H2038" s="2">
        <v>3</v>
      </c>
      <c r="I2038" s="8">
        <v>120</v>
      </c>
      <c r="J2038" s="8">
        <v>66666</v>
      </c>
      <c r="K2038" s="3">
        <v>0</v>
      </c>
      <c r="L2038" s="3" t="s">
        <v>97</v>
      </c>
      <c r="M2038" s="9" t="s">
        <v>0</v>
      </c>
      <c r="N2038" s="9" t="s">
        <v>43</v>
      </c>
      <c r="O2038" s="9" t="s">
        <v>537</v>
      </c>
      <c r="S2038" s="9" t="s">
        <v>158</v>
      </c>
      <c r="T2038" s="10" t="s">
        <v>69</v>
      </c>
      <c r="U2038" s="10">
        <v>3</v>
      </c>
      <c r="V2038" s="78">
        <v>120</v>
      </c>
      <c r="W2038" s="78" t="s">
        <v>710</v>
      </c>
      <c r="X2038" s="17">
        <v>45347</v>
      </c>
      <c r="Y2038" s="17">
        <v>45371</v>
      </c>
      <c r="Z2038" s="19" t="s">
        <v>772</v>
      </c>
      <c r="AA2038" s="210">
        <v>37000</v>
      </c>
      <c r="AB2038" s="9">
        <v>30</v>
      </c>
      <c r="AC2038" s="9">
        <v>13</v>
      </c>
      <c r="AD2038" s="17">
        <v>45749</v>
      </c>
      <c r="AE2038" s="56">
        <v>1000</v>
      </c>
      <c r="AF2038" s="56"/>
      <c r="AG2038" s="9" t="s">
        <v>134</v>
      </c>
      <c r="AH2038" s="17">
        <v>45763</v>
      </c>
      <c r="AI2038" s="17"/>
      <c r="AJ2038" s="17"/>
      <c r="AK2038" s="9" t="s">
        <v>1503</v>
      </c>
      <c r="AL2038" s="11">
        <v>1000</v>
      </c>
      <c r="AN2038" s="11" t="s">
        <v>1509</v>
      </c>
      <c r="AP2038" s="11"/>
      <c r="AQ2038" s="11"/>
      <c r="AR2038" s="11"/>
      <c r="AW2038" s="17">
        <v>45751</v>
      </c>
      <c r="AX2038" s="9">
        <v>3971</v>
      </c>
      <c r="BA2038" s="86">
        <v>1000</v>
      </c>
      <c r="BD2038" s="9"/>
      <c r="CS2038" s="11">
        <f t="shared" si="140"/>
        <v>1000</v>
      </c>
      <c r="CT2038" s="22">
        <f t="shared" si="141"/>
        <v>1000</v>
      </c>
      <c r="CU2038" s="22">
        <f t="shared" si="142"/>
        <v>0</v>
      </c>
      <c r="CV2038" s="26">
        <f t="shared" si="139"/>
        <v>0</v>
      </c>
    </row>
    <row r="2039" spans="1:100" x14ac:dyDescent="0.2">
      <c r="A2039" s="9" t="s">
        <v>491</v>
      </c>
      <c r="B2039" s="2">
        <v>32</v>
      </c>
      <c r="C2039" s="3" t="s">
        <v>95</v>
      </c>
      <c r="D2039" s="3" t="s">
        <v>96</v>
      </c>
      <c r="E2039" s="2"/>
      <c r="F2039" s="2"/>
      <c r="G2039" s="2" t="s">
        <v>69</v>
      </c>
      <c r="H2039" s="2">
        <v>3</v>
      </c>
      <c r="I2039" s="8">
        <v>120</v>
      </c>
      <c r="J2039" s="8">
        <v>66666</v>
      </c>
      <c r="K2039" s="3">
        <v>0</v>
      </c>
      <c r="L2039" s="3" t="s">
        <v>97</v>
      </c>
      <c r="M2039" s="9" t="s">
        <v>0</v>
      </c>
      <c r="N2039" s="9" t="s">
        <v>43</v>
      </c>
      <c r="O2039" s="9" t="s">
        <v>537</v>
      </c>
      <c r="S2039" s="9" t="s">
        <v>158</v>
      </c>
      <c r="T2039" s="10" t="s">
        <v>69</v>
      </c>
      <c r="U2039" s="10">
        <v>3</v>
      </c>
      <c r="V2039" s="78">
        <v>120</v>
      </c>
      <c r="W2039" s="78" t="s">
        <v>710</v>
      </c>
      <c r="X2039" s="17">
        <v>45347</v>
      </c>
      <c r="Y2039" s="17">
        <v>45371</v>
      </c>
      <c r="Z2039" s="19" t="s">
        <v>772</v>
      </c>
      <c r="AA2039" s="210">
        <v>37000</v>
      </c>
      <c r="AB2039" s="9">
        <v>30</v>
      </c>
      <c r="AC2039" s="9">
        <v>14</v>
      </c>
      <c r="AD2039" s="17">
        <v>45779</v>
      </c>
      <c r="AE2039" s="56">
        <v>1000</v>
      </c>
      <c r="AF2039" s="56"/>
      <c r="AG2039" s="9" t="s">
        <v>134</v>
      </c>
      <c r="AH2039" s="17">
        <v>45848</v>
      </c>
      <c r="AI2039" s="17"/>
      <c r="AJ2039" s="17"/>
      <c r="AK2039" s="9" t="s">
        <v>1504</v>
      </c>
      <c r="AL2039" s="11">
        <v>1000</v>
      </c>
      <c r="AN2039" s="11" t="s">
        <v>1510</v>
      </c>
      <c r="AP2039" s="11"/>
      <c r="AQ2039" s="11"/>
      <c r="AR2039" s="11"/>
      <c r="AW2039" s="17">
        <v>45840</v>
      </c>
      <c r="AX2039" s="9">
        <v>4367</v>
      </c>
      <c r="BA2039" s="86">
        <v>1000</v>
      </c>
      <c r="BD2039" s="9"/>
      <c r="CS2039" s="11">
        <f t="shared" si="140"/>
        <v>1000</v>
      </c>
      <c r="CT2039" s="22">
        <f t="shared" si="141"/>
        <v>1000</v>
      </c>
      <c r="CU2039" s="22">
        <f t="shared" si="142"/>
        <v>0</v>
      </c>
      <c r="CV2039" s="26">
        <f t="shared" si="139"/>
        <v>0</v>
      </c>
    </row>
    <row r="2040" spans="1:100" x14ac:dyDescent="0.2">
      <c r="A2040" s="9" t="s">
        <v>491</v>
      </c>
      <c r="B2040" s="2">
        <v>32</v>
      </c>
      <c r="C2040" s="3" t="s">
        <v>95</v>
      </c>
      <c r="D2040" s="3" t="s">
        <v>96</v>
      </c>
      <c r="E2040" s="2"/>
      <c r="F2040" s="2"/>
      <c r="G2040" s="2" t="s">
        <v>69</v>
      </c>
      <c r="H2040" s="2">
        <v>3</v>
      </c>
      <c r="I2040" s="8">
        <v>120</v>
      </c>
      <c r="J2040" s="8">
        <v>66666</v>
      </c>
      <c r="K2040" s="3">
        <v>0</v>
      </c>
      <c r="L2040" s="3" t="s">
        <v>97</v>
      </c>
      <c r="M2040" s="9" t="s">
        <v>0</v>
      </c>
      <c r="N2040" s="9" t="s">
        <v>43</v>
      </c>
      <c r="O2040" s="9" t="s">
        <v>537</v>
      </c>
      <c r="S2040" s="9" t="s">
        <v>158</v>
      </c>
      <c r="T2040" s="10" t="s">
        <v>69</v>
      </c>
      <c r="U2040" s="10">
        <v>3</v>
      </c>
      <c r="V2040" s="78">
        <v>120</v>
      </c>
      <c r="W2040" s="78" t="s">
        <v>710</v>
      </c>
      <c r="X2040" s="17">
        <v>45347</v>
      </c>
      <c r="Y2040" s="17">
        <v>45371</v>
      </c>
      <c r="Z2040" s="19" t="s">
        <v>772</v>
      </c>
      <c r="AA2040" s="210">
        <v>37000</v>
      </c>
      <c r="AB2040" s="9">
        <v>30</v>
      </c>
      <c r="AC2040" s="9">
        <v>15</v>
      </c>
      <c r="AD2040" s="17">
        <v>45810</v>
      </c>
      <c r="AE2040" s="56">
        <v>1000</v>
      </c>
      <c r="AF2040" s="56"/>
      <c r="AG2040" s="9" t="s">
        <v>134</v>
      </c>
      <c r="AH2040" s="17">
        <v>45880</v>
      </c>
      <c r="AI2040" s="17"/>
      <c r="AJ2040" s="17"/>
      <c r="AK2040" s="9" t="s">
        <v>1505</v>
      </c>
      <c r="AL2040" s="11">
        <v>1000</v>
      </c>
      <c r="AN2040" s="11" t="s">
        <v>1511</v>
      </c>
      <c r="AP2040" s="11"/>
      <c r="AQ2040" s="11"/>
      <c r="AR2040" s="11"/>
      <c r="AW2040" s="17">
        <v>45876</v>
      </c>
      <c r="AX2040" s="9">
        <v>4535</v>
      </c>
      <c r="BA2040" s="86">
        <v>1000</v>
      </c>
      <c r="BD2040" s="9"/>
      <c r="CS2040" s="11">
        <f t="shared" si="140"/>
        <v>1000</v>
      </c>
      <c r="CT2040" s="22">
        <f t="shared" si="141"/>
        <v>1000</v>
      </c>
      <c r="CU2040" s="22">
        <f t="shared" si="142"/>
        <v>0</v>
      </c>
      <c r="CV2040" s="26">
        <f t="shared" si="139"/>
        <v>0</v>
      </c>
    </row>
    <row r="2041" spans="1:100" x14ac:dyDescent="0.2">
      <c r="A2041" s="9" t="s">
        <v>491</v>
      </c>
      <c r="B2041" s="2">
        <v>32</v>
      </c>
      <c r="C2041" s="3" t="s">
        <v>95</v>
      </c>
      <c r="D2041" s="3" t="s">
        <v>96</v>
      </c>
      <c r="E2041" s="2"/>
      <c r="F2041" s="2"/>
      <c r="G2041" s="2" t="s">
        <v>69</v>
      </c>
      <c r="H2041" s="2">
        <v>3</v>
      </c>
      <c r="I2041" s="8">
        <v>120</v>
      </c>
      <c r="J2041" s="8">
        <v>66666</v>
      </c>
      <c r="K2041" s="3">
        <v>0</v>
      </c>
      <c r="L2041" s="3" t="s">
        <v>97</v>
      </c>
      <c r="M2041" s="9" t="s">
        <v>0</v>
      </c>
      <c r="N2041" s="9" t="s">
        <v>43</v>
      </c>
      <c r="O2041" s="9" t="s">
        <v>537</v>
      </c>
      <c r="S2041" s="9" t="s">
        <v>158</v>
      </c>
      <c r="T2041" s="10" t="s">
        <v>69</v>
      </c>
      <c r="U2041" s="10">
        <v>3</v>
      </c>
      <c r="V2041" s="78">
        <v>120</v>
      </c>
      <c r="W2041" s="78" t="s">
        <v>710</v>
      </c>
      <c r="X2041" s="17">
        <v>45347</v>
      </c>
      <c r="Y2041" s="17">
        <v>45371</v>
      </c>
      <c r="Z2041" s="19" t="s">
        <v>772</v>
      </c>
      <c r="AA2041" s="210">
        <v>37000</v>
      </c>
      <c r="AB2041" s="9">
        <v>30</v>
      </c>
      <c r="AC2041" s="9">
        <v>16</v>
      </c>
      <c r="AD2041" s="17">
        <v>45840</v>
      </c>
      <c r="AE2041" s="56">
        <v>1000</v>
      </c>
      <c r="AF2041" s="56"/>
      <c r="AG2041" s="9" t="s">
        <v>134</v>
      </c>
      <c r="AH2041" s="17">
        <v>45908</v>
      </c>
      <c r="AI2041" s="17"/>
      <c r="AJ2041" s="17"/>
      <c r="AK2041" s="9" t="s">
        <v>1506</v>
      </c>
      <c r="AL2041" s="11">
        <v>1000</v>
      </c>
      <c r="AN2041" s="11" t="s">
        <v>1512</v>
      </c>
      <c r="AP2041" s="11"/>
      <c r="AQ2041" s="11"/>
      <c r="AR2041" s="11"/>
      <c r="AW2041" s="17">
        <v>45905</v>
      </c>
      <c r="AX2041" s="9">
        <v>52286</v>
      </c>
      <c r="AY2041" s="86">
        <v>3540</v>
      </c>
      <c r="AZ2041" s="9">
        <v>3.54</v>
      </c>
      <c r="BA2041" s="11">
        <f>+AY2041/AZ2041</f>
        <v>1000</v>
      </c>
      <c r="BD2041" s="9"/>
      <c r="CS2041" s="11">
        <f t="shared" si="140"/>
        <v>1000</v>
      </c>
      <c r="CT2041" s="22">
        <f t="shared" si="141"/>
        <v>1000</v>
      </c>
      <c r="CU2041" s="22">
        <f t="shared" si="142"/>
        <v>0</v>
      </c>
      <c r="CV2041" s="26">
        <f t="shared" ref="CV2041:CV2104" si="143">+AE2041-AL2041-AT2041</f>
        <v>0</v>
      </c>
    </row>
    <row r="2042" spans="1:100" x14ac:dyDescent="0.2">
      <c r="A2042" s="9" t="s">
        <v>491</v>
      </c>
      <c r="B2042" s="2">
        <v>32</v>
      </c>
      <c r="C2042" s="3" t="s">
        <v>95</v>
      </c>
      <c r="D2042" s="3" t="s">
        <v>96</v>
      </c>
      <c r="E2042" s="2"/>
      <c r="F2042" s="2"/>
      <c r="G2042" s="2" t="s">
        <v>69</v>
      </c>
      <c r="H2042" s="2">
        <v>3</v>
      </c>
      <c r="I2042" s="8">
        <v>120</v>
      </c>
      <c r="J2042" s="8">
        <v>66666</v>
      </c>
      <c r="K2042" s="3">
        <v>0</v>
      </c>
      <c r="L2042" s="3" t="s">
        <v>97</v>
      </c>
      <c r="M2042" s="9" t="s">
        <v>0</v>
      </c>
      <c r="N2042" s="9" t="s">
        <v>43</v>
      </c>
      <c r="O2042" s="9" t="s">
        <v>537</v>
      </c>
      <c r="S2042" s="9" t="s">
        <v>158</v>
      </c>
      <c r="T2042" s="10" t="s">
        <v>69</v>
      </c>
      <c r="U2042" s="10">
        <v>3</v>
      </c>
      <c r="V2042" s="78">
        <v>120</v>
      </c>
      <c r="W2042" s="78" t="s">
        <v>710</v>
      </c>
      <c r="X2042" s="17">
        <v>45347</v>
      </c>
      <c r="Y2042" s="17">
        <v>45371</v>
      </c>
      <c r="Z2042" s="19" t="s">
        <v>772</v>
      </c>
      <c r="AA2042" s="210">
        <v>37000</v>
      </c>
      <c r="AB2042" s="9">
        <v>30</v>
      </c>
      <c r="AC2042" s="9">
        <v>17</v>
      </c>
      <c r="AD2042" s="17">
        <v>45871</v>
      </c>
      <c r="AE2042" s="56">
        <v>1000</v>
      </c>
      <c r="AF2042" s="56"/>
      <c r="AP2042" s="11"/>
      <c r="AQ2042" s="11"/>
      <c r="AR2042" s="11"/>
      <c r="AW2042" s="9"/>
      <c r="BD2042" s="9"/>
      <c r="CS2042" s="11">
        <f t="shared" si="140"/>
        <v>0</v>
      </c>
      <c r="CT2042" s="22">
        <f t="shared" si="141"/>
        <v>0</v>
      </c>
      <c r="CU2042" s="22">
        <f t="shared" si="142"/>
        <v>0</v>
      </c>
      <c r="CV2042" s="26">
        <f t="shared" si="143"/>
        <v>1000</v>
      </c>
    </row>
    <row r="2043" spans="1:100" x14ac:dyDescent="0.2">
      <c r="A2043" s="9" t="s">
        <v>491</v>
      </c>
      <c r="B2043" s="2">
        <v>32</v>
      </c>
      <c r="C2043" s="3" t="s">
        <v>95</v>
      </c>
      <c r="D2043" s="3" t="s">
        <v>96</v>
      </c>
      <c r="E2043" s="2"/>
      <c r="F2043" s="2"/>
      <c r="G2043" s="2" t="s">
        <v>69</v>
      </c>
      <c r="H2043" s="2">
        <v>3</v>
      </c>
      <c r="I2043" s="8">
        <v>120</v>
      </c>
      <c r="J2043" s="8">
        <v>66666</v>
      </c>
      <c r="K2043" s="3">
        <v>0</v>
      </c>
      <c r="L2043" s="3" t="s">
        <v>97</v>
      </c>
      <c r="M2043" s="9" t="s">
        <v>0</v>
      </c>
      <c r="N2043" s="9" t="s">
        <v>43</v>
      </c>
      <c r="O2043" s="9" t="s">
        <v>537</v>
      </c>
      <c r="S2043" s="9" t="s">
        <v>158</v>
      </c>
      <c r="T2043" s="10" t="s">
        <v>69</v>
      </c>
      <c r="U2043" s="10">
        <v>3</v>
      </c>
      <c r="V2043" s="78">
        <v>120</v>
      </c>
      <c r="W2043" s="78" t="s">
        <v>710</v>
      </c>
      <c r="X2043" s="17">
        <v>45347</v>
      </c>
      <c r="Y2043" s="17">
        <v>45371</v>
      </c>
      <c r="Z2043" s="19" t="s">
        <v>772</v>
      </c>
      <c r="AA2043" s="210">
        <v>37000</v>
      </c>
      <c r="AB2043" s="9">
        <v>30</v>
      </c>
      <c r="AC2043" s="9">
        <v>18</v>
      </c>
      <c r="AD2043" s="17">
        <v>45902</v>
      </c>
      <c r="AE2043" s="56">
        <v>1000</v>
      </c>
      <c r="AF2043" s="56"/>
      <c r="AP2043" s="11"/>
      <c r="AQ2043" s="11"/>
      <c r="AR2043" s="11"/>
      <c r="AW2043" s="9"/>
      <c r="BD2043" s="9"/>
      <c r="CS2043" s="11">
        <f t="shared" si="140"/>
        <v>0</v>
      </c>
      <c r="CT2043" s="22">
        <f t="shared" si="141"/>
        <v>0</v>
      </c>
      <c r="CU2043" s="22">
        <f t="shared" si="142"/>
        <v>0</v>
      </c>
      <c r="CV2043" s="26">
        <f t="shared" si="143"/>
        <v>1000</v>
      </c>
    </row>
    <row r="2044" spans="1:100" x14ac:dyDescent="0.2">
      <c r="A2044" s="9" t="s">
        <v>491</v>
      </c>
      <c r="B2044" s="2">
        <v>32</v>
      </c>
      <c r="C2044" s="3" t="s">
        <v>95</v>
      </c>
      <c r="D2044" s="3" t="s">
        <v>96</v>
      </c>
      <c r="E2044" s="2"/>
      <c r="F2044" s="2"/>
      <c r="G2044" s="2" t="s">
        <v>69</v>
      </c>
      <c r="H2044" s="2">
        <v>3</v>
      </c>
      <c r="I2044" s="8">
        <v>120</v>
      </c>
      <c r="J2044" s="8">
        <v>66666</v>
      </c>
      <c r="K2044" s="3">
        <v>0</v>
      </c>
      <c r="L2044" s="3" t="s">
        <v>97</v>
      </c>
      <c r="M2044" s="9" t="s">
        <v>0</v>
      </c>
      <c r="N2044" s="9" t="s">
        <v>43</v>
      </c>
      <c r="O2044" s="9" t="s">
        <v>537</v>
      </c>
      <c r="S2044" s="9" t="s">
        <v>158</v>
      </c>
      <c r="T2044" s="10" t="s">
        <v>69</v>
      </c>
      <c r="U2044" s="10">
        <v>3</v>
      </c>
      <c r="V2044" s="78">
        <v>120</v>
      </c>
      <c r="W2044" s="78" t="s">
        <v>710</v>
      </c>
      <c r="X2044" s="17">
        <v>45347</v>
      </c>
      <c r="Y2044" s="17">
        <v>45371</v>
      </c>
      <c r="Z2044" s="19" t="s">
        <v>772</v>
      </c>
      <c r="AA2044" s="210">
        <v>37000</v>
      </c>
      <c r="AB2044" s="9">
        <v>30</v>
      </c>
      <c r="AC2044" s="9">
        <v>19</v>
      </c>
      <c r="AD2044" s="17">
        <v>45932</v>
      </c>
      <c r="AE2044" s="56">
        <v>1000</v>
      </c>
      <c r="AF2044" s="56"/>
      <c r="AP2044" s="11"/>
      <c r="AQ2044" s="11"/>
      <c r="AR2044" s="11"/>
      <c r="AW2044" s="17"/>
      <c r="AX2044" s="86"/>
      <c r="BD2044" s="9"/>
      <c r="CS2044" s="11">
        <f t="shared" si="140"/>
        <v>0</v>
      </c>
      <c r="CT2044" s="22">
        <f t="shared" si="141"/>
        <v>0</v>
      </c>
      <c r="CU2044" s="22">
        <f t="shared" si="142"/>
        <v>0</v>
      </c>
      <c r="CV2044" s="26">
        <f t="shared" si="143"/>
        <v>1000</v>
      </c>
    </row>
    <row r="2045" spans="1:100" x14ac:dyDescent="0.2">
      <c r="A2045" s="9" t="s">
        <v>491</v>
      </c>
      <c r="B2045" s="2">
        <v>32</v>
      </c>
      <c r="C2045" s="3" t="s">
        <v>95</v>
      </c>
      <c r="D2045" s="3" t="s">
        <v>96</v>
      </c>
      <c r="E2045" s="2"/>
      <c r="F2045" s="2"/>
      <c r="G2045" s="2" t="s">
        <v>69</v>
      </c>
      <c r="H2045" s="2">
        <v>3</v>
      </c>
      <c r="I2045" s="8">
        <v>120</v>
      </c>
      <c r="J2045" s="8">
        <v>66666</v>
      </c>
      <c r="K2045" s="3">
        <v>0</v>
      </c>
      <c r="L2045" s="3" t="s">
        <v>97</v>
      </c>
      <c r="M2045" s="9" t="s">
        <v>0</v>
      </c>
      <c r="N2045" s="9" t="s">
        <v>43</v>
      </c>
      <c r="O2045" s="9" t="s">
        <v>537</v>
      </c>
      <c r="S2045" s="9" t="s">
        <v>158</v>
      </c>
      <c r="T2045" s="10" t="s">
        <v>69</v>
      </c>
      <c r="U2045" s="10">
        <v>3</v>
      </c>
      <c r="V2045" s="78">
        <v>120</v>
      </c>
      <c r="W2045" s="78" t="s">
        <v>710</v>
      </c>
      <c r="X2045" s="17">
        <v>45347</v>
      </c>
      <c r="Y2045" s="17">
        <v>45371</v>
      </c>
      <c r="Z2045" s="19" t="s">
        <v>772</v>
      </c>
      <c r="AA2045" s="210">
        <v>37000</v>
      </c>
      <c r="AB2045" s="9">
        <v>30</v>
      </c>
      <c r="AC2045" s="9">
        <v>20</v>
      </c>
      <c r="AD2045" s="17">
        <v>45963</v>
      </c>
      <c r="AE2045" s="56">
        <v>1000</v>
      </c>
      <c r="AF2045" s="56"/>
      <c r="AP2045" s="11"/>
      <c r="AQ2045" s="11"/>
      <c r="AR2045" s="11"/>
      <c r="AW2045" s="17"/>
      <c r="BD2045" s="9"/>
      <c r="CS2045" s="11">
        <f t="shared" ref="CS2045:CS2108" si="144">+AL2045+AT2045</f>
        <v>0</v>
      </c>
      <c r="CT2045" s="22">
        <f t="shared" ref="CT2045:CT2108" si="145">+BA2045+BG2045+BM2045+BS2045+BY2045+CE2045+CK2045+CQ2045</f>
        <v>0</v>
      </c>
      <c r="CU2045" s="22">
        <f t="shared" ref="CU2045:CU2108" si="146">+CS2045-CT2045</f>
        <v>0</v>
      </c>
      <c r="CV2045" s="26">
        <f t="shared" si="143"/>
        <v>1000</v>
      </c>
    </row>
    <row r="2046" spans="1:100" x14ac:dyDescent="0.2">
      <c r="A2046" s="9" t="s">
        <v>491</v>
      </c>
      <c r="B2046" s="2">
        <v>32</v>
      </c>
      <c r="C2046" s="3" t="s">
        <v>95</v>
      </c>
      <c r="D2046" s="3" t="s">
        <v>96</v>
      </c>
      <c r="E2046" s="2"/>
      <c r="F2046" s="2"/>
      <c r="G2046" s="2" t="s">
        <v>69</v>
      </c>
      <c r="H2046" s="2">
        <v>3</v>
      </c>
      <c r="I2046" s="8">
        <v>120</v>
      </c>
      <c r="J2046" s="8">
        <v>66666</v>
      </c>
      <c r="K2046" s="3">
        <v>0</v>
      </c>
      <c r="L2046" s="3" t="s">
        <v>97</v>
      </c>
      <c r="M2046" s="9" t="s">
        <v>0</v>
      </c>
      <c r="N2046" s="9" t="s">
        <v>43</v>
      </c>
      <c r="O2046" s="9" t="s">
        <v>537</v>
      </c>
      <c r="S2046" s="9" t="s">
        <v>158</v>
      </c>
      <c r="T2046" s="10" t="s">
        <v>69</v>
      </c>
      <c r="U2046" s="10">
        <v>3</v>
      </c>
      <c r="V2046" s="78">
        <v>120</v>
      </c>
      <c r="W2046" s="78" t="s">
        <v>710</v>
      </c>
      <c r="X2046" s="17">
        <v>45347</v>
      </c>
      <c r="Y2046" s="17">
        <v>45371</v>
      </c>
      <c r="Z2046" s="19" t="s">
        <v>772</v>
      </c>
      <c r="AA2046" s="210">
        <v>37000</v>
      </c>
      <c r="AB2046" s="9">
        <v>30</v>
      </c>
      <c r="AC2046" s="9">
        <v>21</v>
      </c>
      <c r="AD2046" s="17">
        <v>45993</v>
      </c>
      <c r="AE2046" s="56">
        <v>1000</v>
      </c>
      <c r="AF2046" s="56"/>
      <c r="AP2046" s="11"/>
      <c r="AQ2046" s="11"/>
      <c r="AR2046" s="11"/>
      <c r="AW2046" s="9"/>
      <c r="BD2046" s="9"/>
      <c r="CS2046" s="11">
        <f t="shared" si="144"/>
        <v>0</v>
      </c>
      <c r="CT2046" s="22">
        <f t="shared" si="145"/>
        <v>0</v>
      </c>
      <c r="CU2046" s="22">
        <f t="shared" si="146"/>
        <v>0</v>
      </c>
      <c r="CV2046" s="26">
        <f t="shared" si="143"/>
        <v>1000</v>
      </c>
    </row>
    <row r="2047" spans="1:100" x14ac:dyDescent="0.2">
      <c r="A2047" s="9" t="s">
        <v>491</v>
      </c>
      <c r="B2047" s="2">
        <v>32</v>
      </c>
      <c r="C2047" s="3" t="s">
        <v>95</v>
      </c>
      <c r="D2047" s="3" t="s">
        <v>96</v>
      </c>
      <c r="E2047" s="2"/>
      <c r="F2047" s="2"/>
      <c r="G2047" s="2" t="s">
        <v>69</v>
      </c>
      <c r="H2047" s="2">
        <v>3</v>
      </c>
      <c r="I2047" s="8">
        <v>120</v>
      </c>
      <c r="J2047" s="8">
        <v>66666</v>
      </c>
      <c r="K2047" s="3">
        <v>0</v>
      </c>
      <c r="L2047" s="3" t="s">
        <v>97</v>
      </c>
      <c r="M2047" s="9" t="s">
        <v>0</v>
      </c>
      <c r="N2047" s="9" t="s">
        <v>43</v>
      </c>
      <c r="O2047" s="9" t="s">
        <v>537</v>
      </c>
      <c r="S2047" s="9" t="s">
        <v>158</v>
      </c>
      <c r="T2047" s="10" t="s">
        <v>69</v>
      </c>
      <c r="U2047" s="10">
        <v>3</v>
      </c>
      <c r="V2047" s="78">
        <v>120</v>
      </c>
      <c r="W2047" s="78" t="s">
        <v>710</v>
      </c>
      <c r="X2047" s="17">
        <v>45347</v>
      </c>
      <c r="Y2047" s="17">
        <v>45371</v>
      </c>
      <c r="Z2047" s="19" t="s">
        <v>772</v>
      </c>
      <c r="AA2047" s="210">
        <v>37000</v>
      </c>
      <c r="AB2047" s="9">
        <v>30</v>
      </c>
      <c r="AC2047" s="9">
        <v>22</v>
      </c>
      <c r="AD2047" s="17">
        <v>46024</v>
      </c>
      <c r="AE2047" s="56">
        <v>1000</v>
      </c>
      <c r="AF2047" s="56"/>
      <c r="AP2047" s="11"/>
      <c r="AQ2047" s="11"/>
      <c r="AR2047" s="11"/>
      <c r="AW2047" s="9"/>
      <c r="BD2047" s="9"/>
      <c r="CS2047" s="11">
        <f t="shared" si="144"/>
        <v>0</v>
      </c>
      <c r="CT2047" s="22">
        <f t="shared" si="145"/>
        <v>0</v>
      </c>
      <c r="CU2047" s="22">
        <f t="shared" si="146"/>
        <v>0</v>
      </c>
      <c r="CV2047" s="26">
        <f t="shared" si="143"/>
        <v>1000</v>
      </c>
    </row>
    <row r="2048" spans="1:100" x14ac:dyDescent="0.2">
      <c r="A2048" s="9" t="s">
        <v>491</v>
      </c>
      <c r="B2048" s="2">
        <v>32</v>
      </c>
      <c r="C2048" s="3" t="s">
        <v>95</v>
      </c>
      <c r="D2048" s="3" t="s">
        <v>96</v>
      </c>
      <c r="E2048" s="2"/>
      <c r="F2048" s="2"/>
      <c r="G2048" s="2" t="s">
        <v>69</v>
      </c>
      <c r="H2048" s="2">
        <v>3</v>
      </c>
      <c r="I2048" s="8">
        <v>120</v>
      </c>
      <c r="J2048" s="8">
        <v>66666</v>
      </c>
      <c r="K2048" s="3">
        <v>0</v>
      </c>
      <c r="L2048" s="3" t="s">
        <v>97</v>
      </c>
      <c r="M2048" s="9" t="s">
        <v>0</v>
      </c>
      <c r="N2048" s="9" t="s">
        <v>43</v>
      </c>
      <c r="O2048" s="9" t="s">
        <v>537</v>
      </c>
      <c r="S2048" s="9" t="s">
        <v>158</v>
      </c>
      <c r="T2048" s="10" t="s">
        <v>69</v>
      </c>
      <c r="U2048" s="10">
        <v>3</v>
      </c>
      <c r="V2048" s="78">
        <v>120</v>
      </c>
      <c r="W2048" s="78" t="s">
        <v>710</v>
      </c>
      <c r="X2048" s="17">
        <v>45347</v>
      </c>
      <c r="Y2048" s="17">
        <v>45371</v>
      </c>
      <c r="Z2048" s="19" t="s">
        <v>772</v>
      </c>
      <c r="AA2048" s="210">
        <v>37000</v>
      </c>
      <c r="AB2048" s="9">
        <v>30</v>
      </c>
      <c r="AC2048" s="9">
        <v>23</v>
      </c>
      <c r="AD2048" s="17">
        <v>46055</v>
      </c>
      <c r="AE2048" s="56">
        <v>1000</v>
      </c>
      <c r="AF2048" s="56"/>
      <c r="AP2048" s="11"/>
      <c r="AQ2048" s="11"/>
      <c r="AR2048" s="11"/>
      <c r="AW2048" s="9"/>
      <c r="BD2048" s="9"/>
      <c r="CS2048" s="11">
        <f t="shared" si="144"/>
        <v>0</v>
      </c>
      <c r="CT2048" s="22">
        <f t="shared" si="145"/>
        <v>0</v>
      </c>
      <c r="CU2048" s="22">
        <f t="shared" si="146"/>
        <v>0</v>
      </c>
      <c r="CV2048" s="26">
        <f t="shared" si="143"/>
        <v>1000</v>
      </c>
    </row>
    <row r="2049" spans="1:100" x14ac:dyDescent="0.2">
      <c r="A2049" s="9" t="s">
        <v>491</v>
      </c>
      <c r="B2049" s="2">
        <v>32</v>
      </c>
      <c r="C2049" s="3" t="s">
        <v>95</v>
      </c>
      <c r="D2049" s="3" t="s">
        <v>96</v>
      </c>
      <c r="E2049" s="2"/>
      <c r="F2049" s="2"/>
      <c r="G2049" s="2" t="s">
        <v>69</v>
      </c>
      <c r="H2049" s="2">
        <v>3</v>
      </c>
      <c r="I2049" s="8">
        <v>120</v>
      </c>
      <c r="J2049" s="8">
        <v>66666</v>
      </c>
      <c r="K2049" s="3">
        <v>0</v>
      </c>
      <c r="L2049" s="3" t="s">
        <v>97</v>
      </c>
      <c r="M2049" s="9" t="s">
        <v>0</v>
      </c>
      <c r="N2049" s="9" t="s">
        <v>43</v>
      </c>
      <c r="O2049" s="9" t="s">
        <v>537</v>
      </c>
      <c r="S2049" s="9" t="s">
        <v>158</v>
      </c>
      <c r="T2049" s="10" t="s">
        <v>69</v>
      </c>
      <c r="U2049" s="10">
        <v>3</v>
      </c>
      <c r="V2049" s="78">
        <v>120</v>
      </c>
      <c r="W2049" s="78" t="s">
        <v>710</v>
      </c>
      <c r="X2049" s="17">
        <v>45347</v>
      </c>
      <c r="Y2049" s="17">
        <v>45371</v>
      </c>
      <c r="Z2049" s="19" t="s">
        <v>772</v>
      </c>
      <c r="AA2049" s="210">
        <v>37000</v>
      </c>
      <c r="AB2049" s="9">
        <v>30</v>
      </c>
      <c r="AC2049" s="9">
        <v>24</v>
      </c>
      <c r="AD2049" s="17">
        <v>46083</v>
      </c>
      <c r="AE2049" s="56">
        <v>1000</v>
      </c>
      <c r="AF2049" s="56"/>
      <c r="AP2049" s="11"/>
      <c r="AQ2049" s="11"/>
      <c r="AR2049" s="11"/>
      <c r="AW2049" s="9"/>
      <c r="BD2049" s="9"/>
      <c r="CS2049" s="11">
        <f t="shared" si="144"/>
        <v>0</v>
      </c>
      <c r="CT2049" s="22">
        <f t="shared" si="145"/>
        <v>0</v>
      </c>
      <c r="CU2049" s="22">
        <f t="shared" si="146"/>
        <v>0</v>
      </c>
      <c r="CV2049" s="26">
        <f t="shared" si="143"/>
        <v>1000</v>
      </c>
    </row>
    <row r="2050" spans="1:100" x14ac:dyDescent="0.2">
      <c r="A2050" s="9" t="s">
        <v>491</v>
      </c>
      <c r="B2050" s="2">
        <v>32</v>
      </c>
      <c r="C2050" s="3" t="s">
        <v>95</v>
      </c>
      <c r="D2050" s="3" t="s">
        <v>96</v>
      </c>
      <c r="E2050" s="2"/>
      <c r="F2050" s="2"/>
      <c r="G2050" s="2" t="s">
        <v>69</v>
      </c>
      <c r="H2050" s="2">
        <v>3</v>
      </c>
      <c r="I2050" s="8">
        <v>120</v>
      </c>
      <c r="J2050" s="8">
        <v>66666</v>
      </c>
      <c r="K2050" s="3">
        <v>0</v>
      </c>
      <c r="L2050" s="3" t="s">
        <v>97</v>
      </c>
      <c r="M2050" s="9" t="s">
        <v>0</v>
      </c>
      <c r="N2050" s="9" t="s">
        <v>43</v>
      </c>
      <c r="O2050" s="9" t="s">
        <v>537</v>
      </c>
      <c r="S2050" s="9" t="s">
        <v>158</v>
      </c>
      <c r="T2050" s="10" t="s">
        <v>69</v>
      </c>
      <c r="U2050" s="10">
        <v>3</v>
      </c>
      <c r="V2050" s="78">
        <v>120</v>
      </c>
      <c r="W2050" s="78" t="s">
        <v>710</v>
      </c>
      <c r="X2050" s="17">
        <v>45347</v>
      </c>
      <c r="Y2050" s="17">
        <v>45371</v>
      </c>
      <c r="Z2050" s="19" t="s">
        <v>772</v>
      </c>
      <c r="AA2050" s="210">
        <v>37000</v>
      </c>
      <c r="AB2050" s="9">
        <v>30</v>
      </c>
      <c r="AC2050" s="9">
        <v>25</v>
      </c>
      <c r="AD2050" s="17">
        <v>46114</v>
      </c>
      <c r="AE2050" s="56">
        <v>1000</v>
      </c>
      <c r="AF2050" s="56"/>
      <c r="AP2050" s="11"/>
      <c r="AQ2050" s="11"/>
      <c r="AR2050" s="11"/>
      <c r="AW2050" s="9"/>
      <c r="BD2050" s="9"/>
      <c r="CS2050" s="11">
        <f t="shared" si="144"/>
        <v>0</v>
      </c>
      <c r="CT2050" s="22">
        <f t="shared" si="145"/>
        <v>0</v>
      </c>
      <c r="CU2050" s="22">
        <f t="shared" si="146"/>
        <v>0</v>
      </c>
      <c r="CV2050" s="26">
        <f t="shared" si="143"/>
        <v>1000</v>
      </c>
    </row>
    <row r="2051" spans="1:100" x14ac:dyDescent="0.2">
      <c r="A2051" s="9" t="s">
        <v>491</v>
      </c>
      <c r="B2051" s="2">
        <v>32</v>
      </c>
      <c r="C2051" s="3" t="s">
        <v>95</v>
      </c>
      <c r="D2051" s="3" t="s">
        <v>96</v>
      </c>
      <c r="E2051" s="2"/>
      <c r="F2051" s="2"/>
      <c r="G2051" s="2" t="s">
        <v>69</v>
      </c>
      <c r="H2051" s="2">
        <v>3</v>
      </c>
      <c r="I2051" s="8">
        <v>120</v>
      </c>
      <c r="J2051" s="8">
        <v>66666</v>
      </c>
      <c r="K2051" s="3">
        <v>0</v>
      </c>
      <c r="L2051" s="3" t="s">
        <v>97</v>
      </c>
      <c r="M2051" s="9" t="s">
        <v>0</v>
      </c>
      <c r="N2051" s="9" t="s">
        <v>43</v>
      </c>
      <c r="O2051" s="9" t="s">
        <v>537</v>
      </c>
      <c r="S2051" s="9" t="s">
        <v>158</v>
      </c>
      <c r="T2051" s="10" t="s">
        <v>69</v>
      </c>
      <c r="U2051" s="10">
        <v>3</v>
      </c>
      <c r="V2051" s="78">
        <v>120</v>
      </c>
      <c r="W2051" s="78" t="s">
        <v>710</v>
      </c>
      <c r="X2051" s="17">
        <v>45347</v>
      </c>
      <c r="Y2051" s="17">
        <v>45371</v>
      </c>
      <c r="Z2051" s="19" t="s">
        <v>772</v>
      </c>
      <c r="AA2051" s="210">
        <v>37000</v>
      </c>
      <c r="AB2051" s="9">
        <v>30</v>
      </c>
      <c r="AC2051" s="9">
        <v>26</v>
      </c>
      <c r="AD2051" s="17">
        <v>46144</v>
      </c>
      <c r="AE2051" s="56">
        <v>1000</v>
      </c>
      <c r="AF2051" s="56"/>
      <c r="AP2051" s="11"/>
      <c r="AQ2051" s="11"/>
      <c r="AR2051" s="11"/>
      <c r="AW2051" s="9"/>
      <c r="BD2051" s="9"/>
      <c r="CS2051" s="11">
        <f t="shared" si="144"/>
        <v>0</v>
      </c>
      <c r="CT2051" s="22">
        <f t="shared" si="145"/>
        <v>0</v>
      </c>
      <c r="CU2051" s="22">
        <f t="shared" si="146"/>
        <v>0</v>
      </c>
      <c r="CV2051" s="26">
        <f t="shared" si="143"/>
        <v>1000</v>
      </c>
    </row>
    <row r="2052" spans="1:100" x14ac:dyDescent="0.2">
      <c r="A2052" s="9" t="s">
        <v>491</v>
      </c>
      <c r="B2052" s="2">
        <v>32</v>
      </c>
      <c r="C2052" s="3" t="s">
        <v>95</v>
      </c>
      <c r="D2052" s="3" t="s">
        <v>96</v>
      </c>
      <c r="E2052" s="2"/>
      <c r="F2052" s="2"/>
      <c r="G2052" s="2" t="s">
        <v>69</v>
      </c>
      <c r="H2052" s="2">
        <v>3</v>
      </c>
      <c r="I2052" s="8">
        <v>120</v>
      </c>
      <c r="J2052" s="8">
        <v>66666</v>
      </c>
      <c r="K2052" s="3">
        <v>0</v>
      </c>
      <c r="L2052" s="3" t="s">
        <v>97</v>
      </c>
      <c r="M2052" s="9" t="s">
        <v>0</v>
      </c>
      <c r="N2052" s="9" t="s">
        <v>43</v>
      </c>
      <c r="O2052" s="9" t="s">
        <v>537</v>
      </c>
      <c r="S2052" s="9" t="s">
        <v>158</v>
      </c>
      <c r="T2052" s="10" t="s">
        <v>69</v>
      </c>
      <c r="U2052" s="10">
        <v>3</v>
      </c>
      <c r="V2052" s="78">
        <v>120</v>
      </c>
      <c r="W2052" s="78" t="s">
        <v>710</v>
      </c>
      <c r="X2052" s="17">
        <v>45347</v>
      </c>
      <c r="Y2052" s="17">
        <v>45371</v>
      </c>
      <c r="Z2052" s="19" t="s">
        <v>772</v>
      </c>
      <c r="AA2052" s="210">
        <v>37000</v>
      </c>
      <c r="AB2052" s="9">
        <v>30</v>
      </c>
      <c r="AC2052" s="9">
        <v>27</v>
      </c>
      <c r="AD2052" s="17">
        <v>46175</v>
      </c>
      <c r="AE2052" s="56">
        <v>1000</v>
      </c>
      <c r="AF2052" s="56"/>
      <c r="AP2052" s="11"/>
      <c r="AQ2052" s="11"/>
      <c r="AR2052" s="11"/>
      <c r="AW2052" s="9"/>
      <c r="BD2052" s="9"/>
      <c r="CS2052" s="11">
        <f t="shared" si="144"/>
        <v>0</v>
      </c>
      <c r="CT2052" s="22">
        <f t="shared" si="145"/>
        <v>0</v>
      </c>
      <c r="CU2052" s="22">
        <f t="shared" si="146"/>
        <v>0</v>
      </c>
      <c r="CV2052" s="26">
        <f t="shared" si="143"/>
        <v>1000</v>
      </c>
    </row>
    <row r="2053" spans="1:100" x14ac:dyDescent="0.2">
      <c r="A2053" s="9" t="s">
        <v>491</v>
      </c>
      <c r="B2053" s="2">
        <v>32</v>
      </c>
      <c r="C2053" s="3" t="s">
        <v>95</v>
      </c>
      <c r="D2053" s="3" t="s">
        <v>96</v>
      </c>
      <c r="E2053" s="2"/>
      <c r="F2053" s="2"/>
      <c r="G2053" s="2" t="s">
        <v>69</v>
      </c>
      <c r="H2053" s="2">
        <v>3</v>
      </c>
      <c r="I2053" s="8">
        <v>120</v>
      </c>
      <c r="J2053" s="8">
        <v>66666</v>
      </c>
      <c r="K2053" s="3">
        <v>0</v>
      </c>
      <c r="L2053" s="3" t="s">
        <v>97</v>
      </c>
      <c r="M2053" s="9" t="s">
        <v>0</v>
      </c>
      <c r="N2053" s="9" t="s">
        <v>43</v>
      </c>
      <c r="O2053" s="9" t="s">
        <v>537</v>
      </c>
      <c r="S2053" s="9" t="s">
        <v>158</v>
      </c>
      <c r="T2053" s="10" t="s">
        <v>69</v>
      </c>
      <c r="U2053" s="10">
        <v>3</v>
      </c>
      <c r="V2053" s="78">
        <v>120</v>
      </c>
      <c r="W2053" s="78" t="s">
        <v>710</v>
      </c>
      <c r="X2053" s="17">
        <v>45347</v>
      </c>
      <c r="Y2053" s="17">
        <v>45371</v>
      </c>
      <c r="Z2053" s="19" t="s">
        <v>772</v>
      </c>
      <c r="AA2053" s="210">
        <v>37000</v>
      </c>
      <c r="AB2053" s="9">
        <v>30</v>
      </c>
      <c r="AC2053" s="9">
        <v>28</v>
      </c>
      <c r="AD2053" s="17">
        <v>46205</v>
      </c>
      <c r="AE2053" s="56">
        <v>1000</v>
      </c>
      <c r="AF2053" s="56"/>
      <c r="AP2053" s="11"/>
      <c r="AQ2053" s="11"/>
      <c r="AR2053" s="11"/>
      <c r="AW2053" s="9"/>
      <c r="BD2053" s="9"/>
      <c r="CS2053" s="11">
        <f t="shared" si="144"/>
        <v>0</v>
      </c>
      <c r="CT2053" s="22">
        <f t="shared" si="145"/>
        <v>0</v>
      </c>
      <c r="CU2053" s="22">
        <f t="shared" si="146"/>
        <v>0</v>
      </c>
      <c r="CV2053" s="26">
        <f t="shared" si="143"/>
        <v>1000</v>
      </c>
    </row>
    <row r="2054" spans="1:100" x14ac:dyDescent="0.2">
      <c r="A2054" s="9" t="s">
        <v>491</v>
      </c>
      <c r="B2054" s="2">
        <v>32</v>
      </c>
      <c r="C2054" s="3" t="s">
        <v>95</v>
      </c>
      <c r="D2054" s="3" t="s">
        <v>96</v>
      </c>
      <c r="E2054" s="2"/>
      <c r="F2054" s="2"/>
      <c r="G2054" s="2" t="s">
        <v>69</v>
      </c>
      <c r="H2054" s="2">
        <v>3</v>
      </c>
      <c r="I2054" s="8">
        <v>120</v>
      </c>
      <c r="J2054" s="8">
        <v>66666</v>
      </c>
      <c r="K2054" s="3">
        <v>0</v>
      </c>
      <c r="L2054" s="3" t="s">
        <v>97</v>
      </c>
      <c r="M2054" s="9" t="s">
        <v>0</v>
      </c>
      <c r="N2054" s="9" t="s">
        <v>43</v>
      </c>
      <c r="O2054" s="9" t="s">
        <v>537</v>
      </c>
      <c r="S2054" s="9" t="s">
        <v>158</v>
      </c>
      <c r="T2054" s="10" t="s">
        <v>69</v>
      </c>
      <c r="U2054" s="10">
        <v>3</v>
      </c>
      <c r="V2054" s="78">
        <v>120</v>
      </c>
      <c r="W2054" s="78" t="s">
        <v>710</v>
      </c>
      <c r="X2054" s="17">
        <v>45347</v>
      </c>
      <c r="Y2054" s="17">
        <v>45371</v>
      </c>
      <c r="Z2054" s="19" t="s">
        <v>772</v>
      </c>
      <c r="AA2054" s="210">
        <v>37000</v>
      </c>
      <c r="AB2054" s="9">
        <v>30</v>
      </c>
      <c r="AC2054" s="9">
        <v>29</v>
      </c>
      <c r="AD2054" s="17">
        <v>46236</v>
      </c>
      <c r="AE2054" s="56">
        <v>1000</v>
      </c>
      <c r="AF2054" s="56"/>
      <c r="AP2054" s="11"/>
      <c r="AQ2054" s="11"/>
      <c r="AR2054" s="11"/>
      <c r="AW2054" s="9"/>
      <c r="BD2054" s="9"/>
      <c r="CS2054" s="11">
        <f t="shared" si="144"/>
        <v>0</v>
      </c>
      <c r="CT2054" s="22">
        <f t="shared" si="145"/>
        <v>0</v>
      </c>
      <c r="CU2054" s="22">
        <f t="shared" si="146"/>
        <v>0</v>
      </c>
      <c r="CV2054" s="26">
        <f t="shared" si="143"/>
        <v>1000</v>
      </c>
    </row>
    <row r="2055" spans="1:100" x14ac:dyDescent="0.2">
      <c r="A2055" s="9" t="s">
        <v>491</v>
      </c>
      <c r="B2055" s="2">
        <v>32</v>
      </c>
      <c r="C2055" s="3" t="s">
        <v>95</v>
      </c>
      <c r="D2055" s="3" t="s">
        <v>96</v>
      </c>
      <c r="E2055" s="2"/>
      <c r="F2055" s="2"/>
      <c r="G2055" s="2" t="s">
        <v>69</v>
      </c>
      <c r="H2055" s="2">
        <v>3</v>
      </c>
      <c r="I2055" s="8">
        <v>120</v>
      </c>
      <c r="J2055" s="8">
        <v>66666</v>
      </c>
      <c r="K2055" s="3">
        <v>0</v>
      </c>
      <c r="L2055" s="3" t="s">
        <v>97</v>
      </c>
      <c r="M2055" s="9" t="s">
        <v>0</v>
      </c>
      <c r="N2055" s="9" t="s">
        <v>43</v>
      </c>
      <c r="O2055" s="9" t="s">
        <v>537</v>
      </c>
      <c r="S2055" s="9" t="s">
        <v>158</v>
      </c>
      <c r="T2055" s="10" t="s">
        <v>69</v>
      </c>
      <c r="U2055" s="10">
        <v>3</v>
      </c>
      <c r="V2055" s="78">
        <v>120</v>
      </c>
      <c r="W2055" s="78" t="s">
        <v>710</v>
      </c>
      <c r="X2055" s="17">
        <v>45347</v>
      </c>
      <c r="Y2055" s="17">
        <v>45371</v>
      </c>
      <c r="Z2055" s="19" t="s">
        <v>772</v>
      </c>
      <c r="AA2055" s="210">
        <v>37000</v>
      </c>
      <c r="AB2055" s="9">
        <v>30</v>
      </c>
      <c r="AC2055" s="9">
        <v>30</v>
      </c>
      <c r="AD2055" s="17">
        <v>46267</v>
      </c>
      <c r="AE2055" s="56">
        <v>1000</v>
      </c>
      <c r="AF2055" s="56"/>
      <c r="AP2055" s="11"/>
      <c r="AQ2055" s="11"/>
      <c r="AR2055" s="11"/>
      <c r="AW2055" s="9"/>
      <c r="BD2055" s="9"/>
      <c r="CS2055" s="11">
        <f t="shared" si="144"/>
        <v>0</v>
      </c>
      <c r="CT2055" s="22">
        <f t="shared" si="145"/>
        <v>0</v>
      </c>
      <c r="CU2055" s="22">
        <f t="shared" si="146"/>
        <v>0</v>
      </c>
      <c r="CV2055" s="26">
        <f t="shared" si="143"/>
        <v>1000</v>
      </c>
    </row>
    <row r="2056" spans="1:100" x14ac:dyDescent="0.2">
      <c r="A2056" s="9" t="s">
        <v>492</v>
      </c>
      <c r="B2056" s="2">
        <v>33</v>
      </c>
      <c r="C2056" s="3" t="s">
        <v>95</v>
      </c>
      <c r="D2056" s="3" t="s">
        <v>96</v>
      </c>
      <c r="E2056" s="2"/>
      <c r="F2056" s="2"/>
      <c r="G2056" s="2" t="s">
        <v>69</v>
      </c>
      <c r="H2056" s="2">
        <v>4</v>
      </c>
      <c r="I2056" s="8">
        <v>120</v>
      </c>
      <c r="J2056" s="8">
        <v>53333</v>
      </c>
      <c r="K2056" s="3">
        <v>0</v>
      </c>
      <c r="L2056" s="3" t="s">
        <v>3</v>
      </c>
      <c r="M2056" s="9" t="s">
        <v>0</v>
      </c>
      <c r="N2056" s="9" t="s">
        <v>44</v>
      </c>
      <c r="O2056" s="9" t="s">
        <v>541</v>
      </c>
      <c r="S2056" s="9" t="s">
        <v>158</v>
      </c>
      <c r="T2056" s="10" t="s">
        <v>69</v>
      </c>
      <c r="U2056" s="10">
        <v>4</v>
      </c>
      <c r="V2056" s="78">
        <v>120</v>
      </c>
      <c r="W2056" s="78" t="s">
        <v>710</v>
      </c>
      <c r="X2056" s="17">
        <v>45347</v>
      </c>
      <c r="Y2056" s="17">
        <v>45371</v>
      </c>
      <c r="Z2056" s="19" t="s">
        <v>772</v>
      </c>
      <c r="AA2056" s="210">
        <v>37000</v>
      </c>
      <c r="AB2056" s="9">
        <v>30</v>
      </c>
      <c r="AC2056" s="9">
        <v>0</v>
      </c>
      <c r="AD2056" s="17">
        <v>45359</v>
      </c>
      <c r="AE2056" s="56">
        <v>100</v>
      </c>
      <c r="AF2056" s="56"/>
      <c r="AG2056" s="9" t="s">
        <v>134</v>
      </c>
      <c r="AH2056" s="17">
        <v>45359</v>
      </c>
      <c r="AI2056" s="17"/>
      <c r="AJ2056" s="17"/>
      <c r="AK2056" s="9" t="s">
        <v>542</v>
      </c>
      <c r="AL2056" s="11">
        <v>100</v>
      </c>
      <c r="AN2056" s="11" t="s">
        <v>1408</v>
      </c>
      <c r="AP2056" s="11"/>
      <c r="AQ2056" s="11"/>
      <c r="AR2056" s="11"/>
      <c r="AW2056" s="17">
        <v>45352</v>
      </c>
      <c r="AX2056" s="9">
        <v>2365</v>
      </c>
      <c r="BA2056" s="11">
        <v>100</v>
      </c>
      <c r="BD2056" s="9"/>
      <c r="CS2056" s="11">
        <f t="shared" si="144"/>
        <v>100</v>
      </c>
      <c r="CT2056" s="22">
        <f t="shared" si="145"/>
        <v>100</v>
      </c>
      <c r="CU2056" s="22">
        <f t="shared" si="146"/>
        <v>0</v>
      </c>
      <c r="CV2056" s="26">
        <f t="shared" si="143"/>
        <v>0</v>
      </c>
    </row>
    <row r="2057" spans="1:100" x14ac:dyDescent="0.2">
      <c r="A2057" s="9" t="s">
        <v>492</v>
      </c>
      <c r="B2057" s="2">
        <v>33</v>
      </c>
      <c r="C2057" s="3" t="s">
        <v>95</v>
      </c>
      <c r="D2057" s="3" t="s">
        <v>96</v>
      </c>
      <c r="E2057" s="2"/>
      <c r="F2057" s="2"/>
      <c r="G2057" s="2" t="s">
        <v>69</v>
      </c>
      <c r="H2057" s="2">
        <v>4</v>
      </c>
      <c r="I2057" s="8">
        <v>120</v>
      </c>
      <c r="J2057" s="8">
        <v>53333</v>
      </c>
      <c r="K2057" s="3">
        <v>0</v>
      </c>
      <c r="L2057" s="3" t="s">
        <v>3</v>
      </c>
      <c r="M2057" s="9" t="s">
        <v>0</v>
      </c>
      <c r="N2057" s="9" t="s">
        <v>44</v>
      </c>
      <c r="O2057" s="9" t="s">
        <v>541</v>
      </c>
      <c r="S2057" s="9" t="s">
        <v>158</v>
      </c>
      <c r="T2057" s="10" t="s">
        <v>69</v>
      </c>
      <c r="U2057" s="10">
        <v>4</v>
      </c>
      <c r="V2057" s="78">
        <v>120</v>
      </c>
      <c r="W2057" s="78" t="s">
        <v>710</v>
      </c>
      <c r="X2057" s="17">
        <v>45347</v>
      </c>
      <c r="Y2057" s="17">
        <v>45371</v>
      </c>
      <c r="Z2057" s="19" t="s">
        <v>772</v>
      </c>
      <c r="AA2057" s="210">
        <v>37000</v>
      </c>
      <c r="AB2057" s="9">
        <v>30</v>
      </c>
      <c r="AC2057" s="9">
        <v>0</v>
      </c>
      <c r="AD2057" s="17">
        <v>45371</v>
      </c>
      <c r="AE2057" s="56">
        <v>6900</v>
      </c>
      <c r="AF2057" s="56"/>
      <c r="AG2057" s="9" t="s">
        <v>134</v>
      </c>
      <c r="AH2057" s="17">
        <v>45371</v>
      </c>
      <c r="AI2057" s="17"/>
      <c r="AJ2057" s="17"/>
      <c r="AK2057" s="9" t="s">
        <v>543</v>
      </c>
      <c r="AL2057" s="11">
        <v>6900</v>
      </c>
      <c r="AN2057" s="11" t="s">
        <v>1409</v>
      </c>
      <c r="AP2057" s="11"/>
      <c r="AQ2057" s="11"/>
      <c r="AR2057" s="11"/>
      <c r="AW2057" s="17">
        <v>45351</v>
      </c>
      <c r="AX2057" s="9">
        <v>896747</v>
      </c>
      <c r="AY2057" s="11">
        <v>25550.7</v>
      </c>
      <c r="AZ2057" s="9">
        <v>3.7029999999999998</v>
      </c>
      <c r="BA2057" s="11">
        <f>+AY2057/AZ2057</f>
        <v>6900.0000000000009</v>
      </c>
      <c r="BD2057" s="9"/>
      <c r="CS2057" s="11">
        <f t="shared" si="144"/>
        <v>6900</v>
      </c>
      <c r="CT2057" s="22">
        <f t="shared" si="145"/>
        <v>6900.0000000000009</v>
      </c>
      <c r="CU2057" s="22">
        <f t="shared" si="146"/>
        <v>0</v>
      </c>
      <c r="CV2057" s="26">
        <f t="shared" si="143"/>
        <v>0</v>
      </c>
    </row>
    <row r="2058" spans="1:100" x14ac:dyDescent="0.2">
      <c r="A2058" s="9" t="s">
        <v>492</v>
      </c>
      <c r="B2058" s="2">
        <v>33</v>
      </c>
      <c r="C2058" s="3" t="s">
        <v>95</v>
      </c>
      <c r="D2058" s="3" t="s">
        <v>96</v>
      </c>
      <c r="E2058" s="2"/>
      <c r="F2058" s="2"/>
      <c r="G2058" s="2" t="s">
        <v>69</v>
      </c>
      <c r="H2058" s="2">
        <v>4</v>
      </c>
      <c r="I2058" s="8">
        <v>120</v>
      </c>
      <c r="J2058" s="8">
        <v>53333</v>
      </c>
      <c r="K2058" s="3">
        <v>0</v>
      </c>
      <c r="L2058" s="3" t="s">
        <v>3</v>
      </c>
      <c r="M2058" s="9" t="s">
        <v>0</v>
      </c>
      <c r="N2058" s="9" t="s">
        <v>44</v>
      </c>
      <c r="O2058" s="9" t="s">
        <v>541</v>
      </c>
      <c r="S2058" s="9" t="s">
        <v>158</v>
      </c>
      <c r="T2058" s="10" t="s">
        <v>69</v>
      </c>
      <c r="U2058" s="10">
        <v>4</v>
      </c>
      <c r="V2058" s="78">
        <v>120</v>
      </c>
      <c r="W2058" s="78" t="s">
        <v>710</v>
      </c>
      <c r="X2058" s="17">
        <v>45347</v>
      </c>
      <c r="Y2058" s="17">
        <v>45371</v>
      </c>
      <c r="Z2058" s="19" t="s">
        <v>772</v>
      </c>
      <c r="AA2058" s="210">
        <v>37000</v>
      </c>
      <c r="AB2058" s="9">
        <v>30</v>
      </c>
      <c r="AC2058" s="9">
        <v>1</v>
      </c>
      <c r="AD2058" s="17">
        <v>45384</v>
      </c>
      <c r="AE2058" s="56">
        <v>1000</v>
      </c>
      <c r="AF2058" s="56"/>
      <c r="AG2058" s="9" t="s">
        <v>134</v>
      </c>
      <c r="AH2058" s="17">
        <v>45387</v>
      </c>
      <c r="AI2058" s="17"/>
      <c r="AJ2058" s="17"/>
      <c r="AK2058" s="9" t="s">
        <v>1445</v>
      </c>
      <c r="AL2058" s="11">
        <v>1000</v>
      </c>
      <c r="AN2058" s="11" t="s">
        <v>1411</v>
      </c>
      <c r="AP2058" s="11"/>
      <c r="AQ2058" s="11"/>
      <c r="AR2058" s="11"/>
      <c r="AW2058" s="17">
        <v>45387</v>
      </c>
      <c r="AX2058" s="9">
        <v>759780</v>
      </c>
      <c r="AY2058" s="86">
        <v>3700</v>
      </c>
      <c r="AZ2058" s="11">
        <v>3.7</v>
      </c>
      <c r="BA2058" s="11">
        <f>+AY2058/AZ2058</f>
        <v>1000</v>
      </c>
      <c r="BD2058" s="9"/>
      <c r="CS2058" s="11">
        <f t="shared" si="144"/>
        <v>1000</v>
      </c>
      <c r="CT2058" s="22">
        <f t="shared" si="145"/>
        <v>1000</v>
      </c>
      <c r="CU2058" s="22">
        <f t="shared" si="146"/>
        <v>0</v>
      </c>
      <c r="CV2058" s="26">
        <f t="shared" si="143"/>
        <v>0</v>
      </c>
    </row>
    <row r="2059" spans="1:100" x14ac:dyDescent="0.2">
      <c r="A2059" s="9" t="s">
        <v>492</v>
      </c>
      <c r="B2059" s="2">
        <v>33</v>
      </c>
      <c r="C2059" s="3" t="s">
        <v>95</v>
      </c>
      <c r="D2059" s="3" t="s">
        <v>96</v>
      </c>
      <c r="E2059" s="2"/>
      <c r="F2059" s="2"/>
      <c r="G2059" s="2" t="s">
        <v>69</v>
      </c>
      <c r="H2059" s="2">
        <v>4</v>
      </c>
      <c r="I2059" s="8">
        <v>120</v>
      </c>
      <c r="J2059" s="8">
        <v>53333</v>
      </c>
      <c r="K2059" s="3">
        <v>0</v>
      </c>
      <c r="L2059" s="3" t="s">
        <v>3</v>
      </c>
      <c r="M2059" s="9" t="s">
        <v>0</v>
      </c>
      <c r="N2059" s="9" t="s">
        <v>44</v>
      </c>
      <c r="O2059" s="9" t="s">
        <v>541</v>
      </c>
      <c r="S2059" s="9" t="s">
        <v>158</v>
      </c>
      <c r="T2059" s="10" t="s">
        <v>69</v>
      </c>
      <c r="U2059" s="10">
        <v>4</v>
      </c>
      <c r="V2059" s="78">
        <v>120</v>
      </c>
      <c r="W2059" s="78" t="s">
        <v>710</v>
      </c>
      <c r="X2059" s="17">
        <v>45347</v>
      </c>
      <c r="Y2059" s="17">
        <v>45371</v>
      </c>
      <c r="Z2059" s="19" t="s">
        <v>772</v>
      </c>
      <c r="AA2059" s="210">
        <v>37000</v>
      </c>
      <c r="AB2059" s="9">
        <v>30</v>
      </c>
      <c r="AC2059" s="9">
        <v>2</v>
      </c>
      <c r="AD2059" s="17">
        <v>45414</v>
      </c>
      <c r="AE2059" s="56">
        <v>1000</v>
      </c>
      <c r="AF2059" s="56"/>
      <c r="AG2059" s="9" t="s">
        <v>134</v>
      </c>
      <c r="AH2059" s="17">
        <v>45428</v>
      </c>
      <c r="AI2059" s="17"/>
      <c r="AJ2059" s="17"/>
      <c r="AK2059" s="9" t="s">
        <v>1446</v>
      </c>
      <c r="AL2059" s="11">
        <v>1000</v>
      </c>
      <c r="AN2059" s="11" t="s">
        <v>1412</v>
      </c>
      <c r="AP2059" s="11"/>
      <c r="AQ2059" s="11"/>
      <c r="AR2059" s="11"/>
      <c r="AW2059" s="17">
        <v>45428</v>
      </c>
      <c r="AX2059" s="9">
        <v>2648</v>
      </c>
      <c r="BA2059" s="86">
        <v>1000</v>
      </c>
      <c r="BD2059" s="9"/>
      <c r="CS2059" s="11">
        <f t="shared" si="144"/>
        <v>1000</v>
      </c>
      <c r="CT2059" s="22">
        <f t="shared" si="145"/>
        <v>1000</v>
      </c>
      <c r="CU2059" s="22">
        <f t="shared" si="146"/>
        <v>0</v>
      </c>
      <c r="CV2059" s="26">
        <f t="shared" si="143"/>
        <v>0</v>
      </c>
    </row>
    <row r="2060" spans="1:100" x14ac:dyDescent="0.2">
      <c r="A2060" s="9" t="s">
        <v>492</v>
      </c>
      <c r="B2060" s="2">
        <v>33</v>
      </c>
      <c r="C2060" s="3" t="s">
        <v>95</v>
      </c>
      <c r="D2060" s="3" t="s">
        <v>96</v>
      </c>
      <c r="E2060" s="2"/>
      <c r="F2060" s="2"/>
      <c r="G2060" s="2" t="s">
        <v>69</v>
      </c>
      <c r="H2060" s="2">
        <v>4</v>
      </c>
      <c r="I2060" s="8">
        <v>120</v>
      </c>
      <c r="J2060" s="8">
        <v>53333</v>
      </c>
      <c r="K2060" s="3">
        <v>0</v>
      </c>
      <c r="L2060" s="3" t="s">
        <v>3</v>
      </c>
      <c r="M2060" s="9" t="s">
        <v>0</v>
      </c>
      <c r="N2060" s="9" t="s">
        <v>44</v>
      </c>
      <c r="O2060" s="9" t="s">
        <v>541</v>
      </c>
      <c r="S2060" s="9" t="s">
        <v>158</v>
      </c>
      <c r="T2060" s="10" t="s">
        <v>69</v>
      </c>
      <c r="U2060" s="10">
        <v>4</v>
      </c>
      <c r="V2060" s="78">
        <v>120</v>
      </c>
      <c r="W2060" s="78" t="s">
        <v>710</v>
      </c>
      <c r="X2060" s="17">
        <v>45347</v>
      </c>
      <c r="Y2060" s="17">
        <v>45371</v>
      </c>
      <c r="Z2060" s="19" t="s">
        <v>772</v>
      </c>
      <c r="AA2060" s="210">
        <v>37000</v>
      </c>
      <c r="AB2060" s="9">
        <v>30</v>
      </c>
      <c r="AC2060" s="9">
        <v>3</v>
      </c>
      <c r="AD2060" s="17">
        <v>45445</v>
      </c>
      <c r="AE2060" s="56">
        <v>1000</v>
      </c>
      <c r="AF2060" s="56"/>
      <c r="AG2060" s="9" t="s">
        <v>134</v>
      </c>
      <c r="AH2060" s="17">
        <v>45449</v>
      </c>
      <c r="AI2060" s="17"/>
      <c r="AJ2060" s="17"/>
      <c r="AK2060" s="9" t="s">
        <v>1447</v>
      </c>
      <c r="AL2060" s="11">
        <v>1000</v>
      </c>
      <c r="AN2060" s="11" t="s">
        <v>1413</v>
      </c>
      <c r="AP2060" s="11"/>
      <c r="AQ2060" s="11"/>
      <c r="AR2060" s="11"/>
      <c r="AW2060" s="17">
        <v>45449</v>
      </c>
      <c r="AX2060" s="9">
        <v>2752</v>
      </c>
      <c r="BA2060" s="86">
        <v>1000</v>
      </c>
      <c r="BD2060" s="9"/>
      <c r="CS2060" s="11">
        <f t="shared" si="144"/>
        <v>1000</v>
      </c>
      <c r="CT2060" s="22">
        <f t="shared" si="145"/>
        <v>1000</v>
      </c>
      <c r="CU2060" s="22">
        <f t="shared" si="146"/>
        <v>0</v>
      </c>
      <c r="CV2060" s="26">
        <f t="shared" si="143"/>
        <v>0</v>
      </c>
    </row>
    <row r="2061" spans="1:100" x14ac:dyDescent="0.2">
      <c r="A2061" s="9" t="s">
        <v>492</v>
      </c>
      <c r="B2061" s="2">
        <v>33</v>
      </c>
      <c r="C2061" s="3" t="s">
        <v>95</v>
      </c>
      <c r="D2061" s="3" t="s">
        <v>96</v>
      </c>
      <c r="E2061" s="2"/>
      <c r="F2061" s="2"/>
      <c r="G2061" s="2" t="s">
        <v>69</v>
      </c>
      <c r="H2061" s="2">
        <v>4</v>
      </c>
      <c r="I2061" s="8">
        <v>120</v>
      </c>
      <c r="J2061" s="8">
        <v>53333</v>
      </c>
      <c r="K2061" s="3">
        <v>0</v>
      </c>
      <c r="L2061" s="3" t="s">
        <v>3</v>
      </c>
      <c r="M2061" s="9" t="s">
        <v>0</v>
      </c>
      <c r="N2061" s="9" t="s">
        <v>44</v>
      </c>
      <c r="O2061" s="9" t="s">
        <v>541</v>
      </c>
      <c r="S2061" s="9" t="s">
        <v>158</v>
      </c>
      <c r="T2061" s="10" t="s">
        <v>69</v>
      </c>
      <c r="U2061" s="10">
        <v>4</v>
      </c>
      <c r="V2061" s="78">
        <v>120</v>
      </c>
      <c r="W2061" s="78" t="s">
        <v>710</v>
      </c>
      <c r="X2061" s="17">
        <v>45347</v>
      </c>
      <c r="Y2061" s="17">
        <v>45371</v>
      </c>
      <c r="Z2061" s="19" t="s">
        <v>772</v>
      </c>
      <c r="AA2061" s="210">
        <v>37000</v>
      </c>
      <c r="AB2061" s="9">
        <v>30</v>
      </c>
      <c r="AC2061" s="9">
        <v>4</v>
      </c>
      <c r="AD2061" s="17">
        <v>45475</v>
      </c>
      <c r="AE2061" s="56">
        <v>1000</v>
      </c>
      <c r="AF2061" s="56"/>
      <c r="AG2061" s="9" t="s">
        <v>134</v>
      </c>
      <c r="AH2061" s="17">
        <v>45481</v>
      </c>
      <c r="AI2061" s="17"/>
      <c r="AJ2061" s="17"/>
      <c r="AK2061" s="9" t="s">
        <v>1448</v>
      </c>
      <c r="AL2061" s="11">
        <v>1000</v>
      </c>
      <c r="AN2061" s="11" t="s">
        <v>1414</v>
      </c>
      <c r="AP2061" s="11"/>
      <c r="AQ2061" s="11"/>
      <c r="AR2061" s="11"/>
      <c r="AW2061" s="17">
        <v>45478</v>
      </c>
      <c r="AX2061" s="9">
        <v>2865</v>
      </c>
      <c r="BA2061" s="86">
        <v>1000</v>
      </c>
      <c r="BD2061" s="9"/>
      <c r="CS2061" s="11">
        <f t="shared" si="144"/>
        <v>1000</v>
      </c>
      <c r="CT2061" s="22">
        <f t="shared" si="145"/>
        <v>1000</v>
      </c>
      <c r="CU2061" s="22">
        <f t="shared" si="146"/>
        <v>0</v>
      </c>
      <c r="CV2061" s="26">
        <f t="shared" si="143"/>
        <v>0</v>
      </c>
    </row>
    <row r="2062" spans="1:100" x14ac:dyDescent="0.2">
      <c r="A2062" s="9" t="s">
        <v>492</v>
      </c>
      <c r="B2062" s="2">
        <v>33</v>
      </c>
      <c r="C2062" s="3" t="s">
        <v>95</v>
      </c>
      <c r="D2062" s="3" t="s">
        <v>96</v>
      </c>
      <c r="E2062" s="2"/>
      <c r="F2062" s="2"/>
      <c r="G2062" s="2" t="s">
        <v>69</v>
      </c>
      <c r="H2062" s="2">
        <v>4</v>
      </c>
      <c r="I2062" s="8">
        <v>120</v>
      </c>
      <c r="J2062" s="8">
        <v>53333</v>
      </c>
      <c r="K2062" s="3">
        <v>0</v>
      </c>
      <c r="L2062" s="3" t="s">
        <v>3</v>
      </c>
      <c r="M2062" s="9" t="s">
        <v>0</v>
      </c>
      <c r="N2062" s="9" t="s">
        <v>44</v>
      </c>
      <c r="O2062" s="9" t="s">
        <v>541</v>
      </c>
      <c r="S2062" s="9" t="s">
        <v>158</v>
      </c>
      <c r="T2062" s="10" t="s">
        <v>69</v>
      </c>
      <c r="U2062" s="10">
        <v>4</v>
      </c>
      <c r="V2062" s="78">
        <v>120</v>
      </c>
      <c r="W2062" s="78" t="s">
        <v>710</v>
      </c>
      <c r="X2062" s="17">
        <v>45347</v>
      </c>
      <c r="Y2062" s="17">
        <v>45371</v>
      </c>
      <c r="Z2062" s="19" t="s">
        <v>772</v>
      </c>
      <c r="AA2062" s="210">
        <v>37000</v>
      </c>
      <c r="AB2062" s="9">
        <v>30</v>
      </c>
      <c r="AC2062" s="9">
        <v>5</v>
      </c>
      <c r="AD2062" s="17">
        <v>45506</v>
      </c>
      <c r="AE2062" s="56">
        <v>1000</v>
      </c>
      <c r="AF2062" s="56"/>
      <c r="AG2062" s="9" t="s">
        <v>134</v>
      </c>
      <c r="AH2062" s="17">
        <v>45512</v>
      </c>
      <c r="AI2062" s="17"/>
      <c r="AJ2062" s="17"/>
      <c r="AK2062" s="9" t="s">
        <v>1449</v>
      </c>
      <c r="AL2062" s="11">
        <v>1000</v>
      </c>
      <c r="AN2062" s="11" t="s">
        <v>1417</v>
      </c>
      <c r="AP2062" s="11"/>
      <c r="AQ2062" s="11"/>
      <c r="AR2062" s="11"/>
      <c r="AW2062" s="17">
        <v>45511</v>
      </c>
      <c r="AX2062" s="9">
        <v>3000</v>
      </c>
      <c r="BA2062" s="86">
        <v>1000</v>
      </c>
      <c r="BD2062" s="9"/>
      <c r="CS2062" s="11">
        <f t="shared" si="144"/>
        <v>1000</v>
      </c>
      <c r="CT2062" s="22">
        <f t="shared" si="145"/>
        <v>1000</v>
      </c>
      <c r="CU2062" s="22">
        <f t="shared" si="146"/>
        <v>0</v>
      </c>
      <c r="CV2062" s="26">
        <f t="shared" si="143"/>
        <v>0</v>
      </c>
    </row>
    <row r="2063" spans="1:100" x14ac:dyDescent="0.2">
      <c r="A2063" s="9" t="s">
        <v>492</v>
      </c>
      <c r="B2063" s="2">
        <v>33</v>
      </c>
      <c r="C2063" s="3" t="s">
        <v>95</v>
      </c>
      <c r="D2063" s="3" t="s">
        <v>96</v>
      </c>
      <c r="E2063" s="2"/>
      <c r="F2063" s="2"/>
      <c r="G2063" s="2" t="s">
        <v>69</v>
      </c>
      <c r="H2063" s="2">
        <v>4</v>
      </c>
      <c r="I2063" s="8">
        <v>120</v>
      </c>
      <c r="J2063" s="8">
        <v>53333</v>
      </c>
      <c r="K2063" s="3">
        <v>0</v>
      </c>
      <c r="L2063" s="3" t="s">
        <v>3</v>
      </c>
      <c r="M2063" s="9" t="s">
        <v>0</v>
      </c>
      <c r="N2063" s="9" t="s">
        <v>44</v>
      </c>
      <c r="O2063" s="9" t="s">
        <v>541</v>
      </c>
      <c r="S2063" s="9" t="s">
        <v>158</v>
      </c>
      <c r="T2063" s="10" t="s">
        <v>69</v>
      </c>
      <c r="U2063" s="10">
        <v>4</v>
      </c>
      <c r="V2063" s="78">
        <v>120</v>
      </c>
      <c r="W2063" s="78" t="s">
        <v>710</v>
      </c>
      <c r="X2063" s="17">
        <v>45347</v>
      </c>
      <c r="Y2063" s="17">
        <v>45371</v>
      </c>
      <c r="Z2063" s="19" t="s">
        <v>772</v>
      </c>
      <c r="AA2063" s="210">
        <v>37000</v>
      </c>
      <c r="AB2063" s="9">
        <v>30</v>
      </c>
      <c r="AC2063" s="9">
        <v>6</v>
      </c>
      <c r="AD2063" s="17">
        <v>45537</v>
      </c>
      <c r="AE2063" s="56">
        <v>1000</v>
      </c>
      <c r="AF2063" s="56"/>
      <c r="AG2063" s="9" t="s">
        <v>134</v>
      </c>
      <c r="AH2063" s="17">
        <v>45544</v>
      </c>
      <c r="AI2063" s="17"/>
      <c r="AJ2063" s="17"/>
      <c r="AK2063" s="9" t="s">
        <v>1450</v>
      </c>
      <c r="AL2063" s="11">
        <v>1000</v>
      </c>
      <c r="AN2063" s="11" t="s">
        <v>1419</v>
      </c>
      <c r="AP2063" s="11"/>
      <c r="AQ2063" s="11"/>
      <c r="AR2063" s="11"/>
      <c r="AW2063" s="17">
        <v>45544</v>
      </c>
      <c r="AX2063" s="9">
        <v>3130</v>
      </c>
      <c r="BA2063" s="86">
        <v>1000</v>
      </c>
      <c r="BD2063" s="9"/>
      <c r="CS2063" s="11">
        <f t="shared" si="144"/>
        <v>1000</v>
      </c>
      <c r="CT2063" s="22">
        <f t="shared" si="145"/>
        <v>1000</v>
      </c>
      <c r="CU2063" s="22">
        <f t="shared" si="146"/>
        <v>0</v>
      </c>
      <c r="CV2063" s="26">
        <f t="shared" si="143"/>
        <v>0</v>
      </c>
    </row>
    <row r="2064" spans="1:100" x14ac:dyDescent="0.2">
      <c r="A2064" s="9" t="s">
        <v>492</v>
      </c>
      <c r="B2064" s="2">
        <v>33</v>
      </c>
      <c r="C2064" s="3" t="s">
        <v>95</v>
      </c>
      <c r="D2064" s="3" t="s">
        <v>96</v>
      </c>
      <c r="E2064" s="2"/>
      <c r="F2064" s="2"/>
      <c r="G2064" s="2" t="s">
        <v>69</v>
      </c>
      <c r="H2064" s="2">
        <v>4</v>
      </c>
      <c r="I2064" s="8">
        <v>120</v>
      </c>
      <c r="J2064" s="8">
        <v>53333</v>
      </c>
      <c r="K2064" s="3">
        <v>0</v>
      </c>
      <c r="L2064" s="3" t="s">
        <v>3</v>
      </c>
      <c r="M2064" s="9" t="s">
        <v>0</v>
      </c>
      <c r="N2064" s="9" t="s">
        <v>44</v>
      </c>
      <c r="O2064" s="9" t="s">
        <v>541</v>
      </c>
      <c r="S2064" s="9" t="s">
        <v>158</v>
      </c>
      <c r="T2064" s="10" t="s">
        <v>69</v>
      </c>
      <c r="U2064" s="10">
        <v>4</v>
      </c>
      <c r="V2064" s="78">
        <v>120</v>
      </c>
      <c r="W2064" s="78" t="s">
        <v>710</v>
      </c>
      <c r="X2064" s="17">
        <v>45347</v>
      </c>
      <c r="Y2064" s="17">
        <v>45371</v>
      </c>
      <c r="Z2064" s="19" t="s">
        <v>772</v>
      </c>
      <c r="AA2064" s="210">
        <v>37000</v>
      </c>
      <c r="AB2064" s="9">
        <v>30</v>
      </c>
      <c r="AC2064" s="9">
        <v>7</v>
      </c>
      <c r="AD2064" s="17">
        <v>45567</v>
      </c>
      <c r="AE2064" s="56">
        <v>1000</v>
      </c>
      <c r="AF2064" s="56"/>
      <c r="AG2064" s="9" t="s">
        <v>134</v>
      </c>
      <c r="AH2064" s="17">
        <v>45574</v>
      </c>
      <c r="AI2064" s="17"/>
      <c r="AJ2064" s="17"/>
      <c r="AK2064" s="9" t="s">
        <v>1451</v>
      </c>
      <c r="AL2064" s="11">
        <v>1000</v>
      </c>
      <c r="AN2064" s="11" t="s">
        <v>1421</v>
      </c>
      <c r="AP2064" s="11"/>
      <c r="AQ2064" s="11"/>
      <c r="AR2064" s="11"/>
      <c r="AW2064" s="17">
        <v>45574</v>
      </c>
      <c r="AX2064" s="9">
        <v>3260</v>
      </c>
      <c r="BA2064" s="86">
        <v>1000</v>
      </c>
      <c r="BD2064" s="9"/>
      <c r="CS2064" s="11">
        <f t="shared" si="144"/>
        <v>1000</v>
      </c>
      <c r="CT2064" s="22">
        <f t="shared" si="145"/>
        <v>1000</v>
      </c>
      <c r="CU2064" s="22">
        <f t="shared" si="146"/>
        <v>0</v>
      </c>
      <c r="CV2064" s="26">
        <f t="shared" si="143"/>
        <v>0</v>
      </c>
    </row>
    <row r="2065" spans="1:100" x14ac:dyDescent="0.2">
      <c r="A2065" s="9" t="s">
        <v>492</v>
      </c>
      <c r="B2065" s="2">
        <v>33</v>
      </c>
      <c r="C2065" s="3" t="s">
        <v>95</v>
      </c>
      <c r="D2065" s="3" t="s">
        <v>96</v>
      </c>
      <c r="E2065" s="2"/>
      <c r="F2065" s="2"/>
      <c r="G2065" s="2" t="s">
        <v>69</v>
      </c>
      <c r="H2065" s="2">
        <v>4</v>
      </c>
      <c r="I2065" s="8">
        <v>120</v>
      </c>
      <c r="J2065" s="8">
        <v>53333</v>
      </c>
      <c r="K2065" s="3">
        <v>0</v>
      </c>
      <c r="L2065" s="3" t="s">
        <v>3</v>
      </c>
      <c r="M2065" s="9" t="s">
        <v>0</v>
      </c>
      <c r="N2065" s="9" t="s">
        <v>44</v>
      </c>
      <c r="O2065" s="9" t="s">
        <v>541</v>
      </c>
      <c r="S2065" s="9" t="s">
        <v>158</v>
      </c>
      <c r="T2065" s="10" t="s">
        <v>69</v>
      </c>
      <c r="U2065" s="10">
        <v>4</v>
      </c>
      <c r="V2065" s="78">
        <v>120</v>
      </c>
      <c r="W2065" s="78" t="s">
        <v>710</v>
      </c>
      <c r="X2065" s="17">
        <v>45347</v>
      </c>
      <c r="Y2065" s="17">
        <v>45371</v>
      </c>
      <c r="Z2065" s="19" t="s">
        <v>772</v>
      </c>
      <c r="AA2065" s="210">
        <v>37000</v>
      </c>
      <c r="AB2065" s="9">
        <v>30</v>
      </c>
      <c r="AC2065" s="9">
        <v>8</v>
      </c>
      <c r="AD2065" s="17">
        <v>45598</v>
      </c>
      <c r="AE2065" s="56">
        <v>1000</v>
      </c>
      <c r="AF2065" s="56"/>
      <c r="AG2065" s="9" t="s">
        <v>134</v>
      </c>
      <c r="AH2065" s="17">
        <v>45604</v>
      </c>
      <c r="AI2065" s="17"/>
      <c r="AJ2065" s="17"/>
      <c r="AK2065" s="9" t="s">
        <v>1452</v>
      </c>
      <c r="AL2065" s="11">
        <v>1000</v>
      </c>
      <c r="AN2065" s="11" t="s">
        <v>1423</v>
      </c>
      <c r="AP2065" s="11"/>
      <c r="AQ2065" s="11"/>
      <c r="AR2065" s="11"/>
      <c r="AW2065" s="17">
        <v>45604</v>
      </c>
      <c r="AX2065" s="9">
        <v>3390</v>
      </c>
      <c r="BA2065" s="86">
        <v>1000</v>
      </c>
      <c r="BD2065" s="9"/>
      <c r="CS2065" s="11">
        <f t="shared" si="144"/>
        <v>1000</v>
      </c>
      <c r="CT2065" s="22">
        <f t="shared" si="145"/>
        <v>1000</v>
      </c>
      <c r="CU2065" s="22">
        <f t="shared" si="146"/>
        <v>0</v>
      </c>
      <c r="CV2065" s="26">
        <f t="shared" si="143"/>
        <v>0</v>
      </c>
    </row>
    <row r="2066" spans="1:100" x14ac:dyDescent="0.2">
      <c r="A2066" s="9" t="s">
        <v>492</v>
      </c>
      <c r="B2066" s="2">
        <v>33</v>
      </c>
      <c r="C2066" s="3" t="s">
        <v>95</v>
      </c>
      <c r="D2066" s="3" t="s">
        <v>96</v>
      </c>
      <c r="E2066" s="2"/>
      <c r="F2066" s="2"/>
      <c r="G2066" s="2" t="s">
        <v>69</v>
      </c>
      <c r="H2066" s="2">
        <v>4</v>
      </c>
      <c r="I2066" s="8">
        <v>120</v>
      </c>
      <c r="J2066" s="8">
        <v>53333</v>
      </c>
      <c r="K2066" s="3">
        <v>0</v>
      </c>
      <c r="L2066" s="3" t="s">
        <v>3</v>
      </c>
      <c r="M2066" s="9" t="s">
        <v>0</v>
      </c>
      <c r="N2066" s="9" t="s">
        <v>44</v>
      </c>
      <c r="O2066" s="9" t="s">
        <v>541</v>
      </c>
      <c r="S2066" s="9" t="s">
        <v>158</v>
      </c>
      <c r="T2066" s="10" t="s">
        <v>69</v>
      </c>
      <c r="U2066" s="10">
        <v>4</v>
      </c>
      <c r="V2066" s="78">
        <v>120</v>
      </c>
      <c r="W2066" s="78" t="s">
        <v>710</v>
      </c>
      <c r="X2066" s="17">
        <v>45347</v>
      </c>
      <c r="Y2066" s="17">
        <v>45371</v>
      </c>
      <c r="Z2066" s="19" t="s">
        <v>772</v>
      </c>
      <c r="AA2066" s="210">
        <v>37000</v>
      </c>
      <c r="AB2066" s="9">
        <v>30</v>
      </c>
      <c r="AC2066" s="9">
        <v>9</v>
      </c>
      <c r="AD2066" s="17">
        <v>45628</v>
      </c>
      <c r="AE2066" s="56">
        <v>1000</v>
      </c>
      <c r="AF2066" s="56"/>
      <c r="AG2066" s="9" t="s">
        <v>134</v>
      </c>
      <c r="AH2066" s="17">
        <v>45638</v>
      </c>
      <c r="AI2066" s="17"/>
      <c r="AJ2066" s="17"/>
      <c r="AK2066" s="9" t="s">
        <v>1453</v>
      </c>
      <c r="AL2066" s="11">
        <v>1000</v>
      </c>
      <c r="AN2066" s="11" t="s">
        <v>1425</v>
      </c>
      <c r="AP2066" s="11"/>
      <c r="AQ2066" s="11"/>
      <c r="AR2066" s="11"/>
      <c r="AW2066" s="17">
        <v>45638</v>
      </c>
      <c r="AX2066" s="9">
        <v>3507</v>
      </c>
      <c r="BA2066" s="86">
        <v>1000</v>
      </c>
      <c r="BD2066" s="9"/>
      <c r="CS2066" s="11">
        <f t="shared" si="144"/>
        <v>1000</v>
      </c>
      <c r="CT2066" s="22">
        <f t="shared" si="145"/>
        <v>1000</v>
      </c>
      <c r="CU2066" s="22">
        <f t="shared" si="146"/>
        <v>0</v>
      </c>
      <c r="CV2066" s="26">
        <f t="shared" si="143"/>
        <v>0</v>
      </c>
    </row>
    <row r="2067" spans="1:100" x14ac:dyDescent="0.2">
      <c r="A2067" s="9" t="s">
        <v>492</v>
      </c>
      <c r="B2067" s="2">
        <v>33</v>
      </c>
      <c r="C2067" s="3" t="s">
        <v>95</v>
      </c>
      <c r="D2067" s="3" t="s">
        <v>96</v>
      </c>
      <c r="E2067" s="2"/>
      <c r="F2067" s="2"/>
      <c r="G2067" s="2" t="s">
        <v>69</v>
      </c>
      <c r="H2067" s="2">
        <v>4</v>
      </c>
      <c r="I2067" s="8">
        <v>120</v>
      </c>
      <c r="J2067" s="8">
        <v>53333</v>
      </c>
      <c r="K2067" s="3">
        <v>0</v>
      </c>
      <c r="L2067" s="3" t="s">
        <v>3</v>
      </c>
      <c r="M2067" s="9" t="s">
        <v>0</v>
      </c>
      <c r="N2067" s="9" t="s">
        <v>44</v>
      </c>
      <c r="O2067" s="9" t="s">
        <v>541</v>
      </c>
      <c r="S2067" s="9" t="s">
        <v>158</v>
      </c>
      <c r="T2067" s="10" t="s">
        <v>69</v>
      </c>
      <c r="U2067" s="10">
        <v>4</v>
      </c>
      <c r="V2067" s="78">
        <v>120</v>
      </c>
      <c r="W2067" s="78" t="s">
        <v>710</v>
      </c>
      <c r="X2067" s="17">
        <v>45347</v>
      </c>
      <c r="Y2067" s="17">
        <v>45371</v>
      </c>
      <c r="Z2067" s="19" t="s">
        <v>772</v>
      </c>
      <c r="AA2067" s="210">
        <v>37000</v>
      </c>
      <c r="AB2067" s="9">
        <v>30</v>
      </c>
      <c r="AC2067" s="9">
        <v>10</v>
      </c>
      <c r="AD2067" s="17">
        <v>45659</v>
      </c>
      <c r="AE2067" s="56">
        <v>1000</v>
      </c>
      <c r="AF2067" s="56"/>
      <c r="AG2067" s="9" t="s">
        <v>134</v>
      </c>
      <c r="AH2067" s="17">
        <v>45672</v>
      </c>
      <c r="AI2067" s="17"/>
      <c r="AJ2067" s="17"/>
      <c r="AK2067" s="9" t="s">
        <v>1454</v>
      </c>
      <c r="AL2067" s="11">
        <v>1000</v>
      </c>
      <c r="AN2067" s="11" t="s">
        <v>1427</v>
      </c>
      <c r="AP2067" s="11"/>
      <c r="AQ2067" s="11"/>
      <c r="AR2067" s="11"/>
      <c r="AW2067" s="17">
        <v>45672</v>
      </c>
      <c r="AX2067" s="9">
        <v>3609</v>
      </c>
      <c r="BA2067" s="86">
        <v>1000</v>
      </c>
      <c r="BD2067" s="9"/>
      <c r="CS2067" s="11">
        <f t="shared" si="144"/>
        <v>1000</v>
      </c>
      <c r="CT2067" s="22">
        <f t="shared" si="145"/>
        <v>1000</v>
      </c>
      <c r="CU2067" s="22">
        <f t="shared" si="146"/>
        <v>0</v>
      </c>
      <c r="CV2067" s="26">
        <f t="shared" si="143"/>
        <v>0</v>
      </c>
    </row>
    <row r="2068" spans="1:100" x14ac:dyDescent="0.2">
      <c r="A2068" s="9" t="s">
        <v>492</v>
      </c>
      <c r="B2068" s="2">
        <v>33</v>
      </c>
      <c r="C2068" s="3" t="s">
        <v>95</v>
      </c>
      <c r="D2068" s="3" t="s">
        <v>96</v>
      </c>
      <c r="E2068" s="2"/>
      <c r="F2068" s="2"/>
      <c r="G2068" s="2" t="s">
        <v>69</v>
      </c>
      <c r="H2068" s="2">
        <v>4</v>
      </c>
      <c r="I2068" s="8">
        <v>120</v>
      </c>
      <c r="J2068" s="8">
        <v>53333</v>
      </c>
      <c r="K2068" s="3">
        <v>0</v>
      </c>
      <c r="L2068" s="3" t="s">
        <v>3</v>
      </c>
      <c r="M2068" s="9" t="s">
        <v>0</v>
      </c>
      <c r="N2068" s="9" t="s">
        <v>44</v>
      </c>
      <c r="O2068" s="9" t="s">
        <v>541</v>
      </c>
      <c r="S2068" s="9" t="s">
        <v>158</v>
      </c>
      <c r="T2068" s="10" t="s">
        <v>69</v>
      </c>
      <c r="U2068" s="10">
        <v>4</v>
      </c>
      <c r="V2068" s="78">
        <v>120</v>
      </c>
      <c r="W2068" s="78" t="s">
        <v>710</v>
      </c>
      <c r="X2068" s="17">
        <v>45347</v>
      </c>
      <c r="Y2068" s="17">
        <v>45371</v>
      </c>
      <c r="Z2068" s="19" t="s">
        <v>772</v>
      </c>
      <c r="AA2068" s="210">
        <v>37000</v>
      </c>
      <c r="AB2068" s="9">
        <v>30</v>
      </c>
      <c r="AC2068" s="9">
        <v>11</v>
      </c>
      <c r="AD2068" s="17">
        <v>45690</v>
      </c>
      <c r="AE2068" s="56">
        <v>1000</v>
      </c>
      <c r="AF2068" s="56"/>
      <c r="AG2068" s="9" t="s">
        <v>134</v>
      </c>
      <c r="AH2068" s="17">
        <v>45709</v>
      </c>
      <c r="AI2068" s="17"/>
      <c r="AJ2068" s="17"/>
      <c r="AK2068" s="9" t="s">
        <v>1455</v>
      </c>
      <c r="AL2068" s="11">
        <v>1000</v>
      </c>
      <c r="AN2068" s="11" t="s">
        <v>1429</v>
      </c>
      <c r="AP2068" s="11"/>
      <c r="AQ2068" s="11"/>
      <c r="AR2068" s="11"/>
      <c r="AW2068" s="17">
        <v>45708</v>
      </c>
      <c r="AX2068" s="9">
        <v>3770</v>
      </c>
      <c r="BA2068" s="86">
        <v>1000</v>
      </c>
      <c r="BD2068" s="9"/>
      <c r="CS2068" s="11">
        <f t="shared" si="144"/>
        <v>1000</v>
      </c>
      <c r="CT2068" s="22">
        <f t="shared" si="145"/>
        <v>1000</v>
      </c>
      <c r="CU2068" s="22">
        <f t="shared" si="146"/>
        <v>0</v>
      </c>
      <c r="CV2068" s="26">
        <f t="shared" si="143"/>
        <v>0</v>
      </c>
    </row>
    <row r="2069" spans="1:100" x14ac:dyDescent="0.2">
      <c r="A2069" s="9" t="s">
        <v>492</v>
      </c>
      <c r="B2069" s="2">
        <v>33</v>
      </c>
      <c r="C2069" s="3" t="s">
        <v>95</v>
      </c>
      <c r="D2069" s="3" t="s">
        <v>96</v>
      </c>
      <c r="E2069" s="2"/>
      <c r="F2069" s="2"/>
      <c r="G2069" s="2" t="s">
        <v>69</v>
      </c>
      <c r="H2069" s="2">
        <v>4</v>
      </c>
      <c r="I2069" s="8">
        <v>120</v>
      </c>
      <c r="J2069" s="8">
        <v>53333</v>
      </c>
      <c r="K2069" s="3">
        <v>0</v>
      </c>
      <c r="L2069" s="3" t="s">
        <v>3</v>
      </c>
      <c r="M2069" s="9" t="s">
        <v>0</v>
      </c>
      <c r="N2069" s="9" t="s">
        <v>44</v>
      </c>
      <c r="O2069" s="9" t="s">
        <v>541</v>
      </c>
      <c r="S2069" s="9" t="s">
        <v>158</v>
      </c>
      <c r="T2069" s="10" t="s">
        <v>69</v>
      </c>
      <c r="U2069" s="10">
        <v>4</v>
      </c>
      <c r="V2069" s="78">
        <v>120</v>
      </c>
      <c r="W2069" s="78" t="s">
        <v>710</v>
      </c>
      <c r="X2069" s="17">
        <v>45347</v>
      </c>
      <c r="Y2069" s="17">
        <v>45371</v>
      </c>
      <c r="Z2069" s="19" t="s">
        <v>772</v>
      </c>
      <c r="AA2069" s="210">
        <v>37000</v>
      </c>
      <c r="AB2069" s="9">
        <v>30</v>
      </c>
      <c r="AC2069" s="9">
        <v>12</v>
      </c>
      <c r="AD2069" s="17">
        <v>45718</v>
      </c>
      <c r="AE2069" s="56">
        <v>1000</v>
      </c>
      <c r="AF2069" s="56"/>
      <c r="AG2069" s="9" t="s">
        <v>134</v>
      </c>
      <c r="AH2069" s="17">
        <v>45737</v>
      </c>
      <c r="AI2069" s="17"/>
      <c r="AJ2069" s="17"/>
      <c r="AK2069" s="9" t="s">
        <v>1456</v>
      </c>
      <c r="AL2069" s="11">
        <v>1000</v>
      </c>
      <c r="AN2069" s="11" t="s">
        <v>1430</v>
      </c>
      <c r="AP2069" s="11"/>
      <c r="AQ2069" s="11"/>
      <c r="AR2069" s="11"/>
      <c r="AW2069" s="17">
        <v>45737</v>
      </c>
      <c r="AX2069" s="9">
        <v>3906</v>
      </c>
      <c r="BA2069" s="86">
        <v>1000</v>
      </c>
      <c r="BD2069" s="9"/>
      <c r="CS2069" s="11">
        <f t="shared" si="144"/>
        <v>1000</v>
      </c>
      <c r="CT2069" s="22">
        <f t="shared" si="145"/>
        <v>1000</v>
      </c>
      <c r="CU2069" s="22">
        <f t="shared" si="146"/>
        <v>0</v>
      </c>
      <c r="CV2069" s="26">
        <f t="shared" si="143"/>
        <v>0</v>
      </c>
    </row>
    <row r="2070" spans="1:100" x14ac:dyDescent="0.2">
      <c r="A2070" s="9" t="s">
        <v>492</v>
      </c>
      <c r="B2070" s="2">
        <v>33</v>
      </c>
      <c r="C2070" s="3" t="s">
        <v>95</v>
      </c>
      <c r="D2070" s="3" t="s">
        <v>96</v>
      </c>
      <c r="E2070" s="2"/>
      <c r="F2070" s="2"/>
      <c r="G2070" s="2" t="s">
        <v>69</v>
      </c>
      <c r="H2070" s="2">
        <v>4</v>
      </c>
      <c r="I2070" s="8">
        <v>120</v>
      </c>
      <c r="J2070" s="8">
        <v>53333</v>
      </c>
      <c r="K2070" s="3">
        <v>0</v>
      </c>
      <c r="L2070" s="3" t="s">
        <v>3</v>
      </c>
      <c r="M2070" s="9" t="s">
        <v>0</v>
      </c>
      <c r="N2070" s="9" t="s">
        <v>44</v>
      </c>
      <c r="O2070" s="9" t="s">
        <v>541</v>
      </c>
      <c r="S2070" s="9" t="s">
        <v>158</v>
      </c>
      <c r="T2070" s="10" t="s">
        <v>69</v>
      </c>
      <c r="U2070" s="10">
        <v>4</v>
      </c>
      <c r="V2070" s="78">
        <v>120</v>
      </c>
      <c r="W2070" s="78" t="s">
        <v>710</v>
      </c>
      <c r="X2070" s="17">
        <v>45347</v>
      </c>
      <c r="Y2070" s="17">
        <v>45371</v>
      </c>
      <c r="Z2070" s="19" t="s">
        <v>772</v>
      </c>
      <c r="AA2070" s="210">
        <v>37000</v>
      </c>
      <c r="AB2070" s="9">
        <v>30</v>
      </c>
      <c r="AC2070" s="9">
        <v>13</v>
      </c>
      <c r="AD2070" s="17">
        <v>45749</v>
      </c>
      <c r="AE2070" s="56">
        <v>1000</v>
      </c>
      <c r="AF2070" s="56"/>
      <c r="AG2070" s="9" t="s">
        <v>134</v>
      </c>
      <c r="AH2070" s="17">
        <v>45754</v>
      </c>
      <c r="AI2070" s="17"/>
      <c r="AJ2070" s="17"/>
      <c r="AK2070" s="9" t="s">
        <v>1457</v>
      </c>
      <c r="AL2070" s="11">
        <v>1000</v>
      </c>
      <c r="AN2070" s="11" t="s">
        <v>1433</v>
      </c>
      <c r="AP2070" s="11"/>
      <c r="AQ2070" s="11"/>
      <c r="AR2070" s="11"/>
      <c r="AW2070" s="17">
        <v>45754</v>
      </c>
      <c r="AX2070" s="9">
        <v>3978</v>
      </c>
      <c r="BA2070" s="86">
        <v>1000</v>
      </c>
      <c r="BD2070" s="9"/>
      <c r="CS2070" s="11">
        <f t="shared" si="144"/>
        <v>1000</v>
      </c>
      <c r="CT2070" s="22">
        <f t="shared" si="145"/>
        <v>1000</v>
      </c>
      <c r="CU2070" s="22">
        <f t="shared" si="146"/>
        <v>0</v>
      </c>
      <c r="CV2070" s="26">
        <f t="shared" si="143"/>
        <v>0</v>
      </c>
    </row>
    <row r="2071" spans="1:100" x14ac:dyDescent="0.2">
      <c r="A2071" s="9" t="s">
        <v>492</v>
      </c>
      <c r="B2071" s="2">
        <v>33</v>
      </c>
      <c r="C2071" s="3" t="s">
        <v>95</v>
      </c>
      <c r="D2071" s="3" t="s">
        <v>96</v>
      </c>
      <c r="E2071" s="2"/>
      <c r="F2071" s="2"/>
      <c r="G2071" s="2" t="s">
        <v>69</v>
      </c>
      <c r="H2071" s="2">
        <v>4</v>
      </c>
      <c r="I2071" s="8">
        <v>120</v>
      </c>
      <c r="J2071" s="8">
        <v>53333</v>
      </c>
      <c r="K2071" s="3">
        <v>0</v>
      </c>
      <c r="L2071" s="3" t="s">
        <v>3</v>
      </c>
      <c r="M2071" s="9" t="s">
        <v>0</v>
      </c>
      <c r="N2071" s="9" t="s">
        <v>44</v>
      </c>
      <c r="O2071" s="9" t="s">
        <v>541</v>
      </c>
      <c r="S2071" s="9" t="s">
        <v>158</v>
      </c>
      <c r="T2071" s="10" t="s">
        <v>69</v>
      </c>
      <c r="U2071" s="10">
        <v>4</v>
      </c>
      <c r="V2071" s="78">
        <v>120</v>
      </c>
      <c r="W2071" s="78" t="s">
        <v>710</v>
      </c>
      <c r="X2071" s="17">
        <v>45347</v>
      </c>
      <c r="Y2071" s="17">
        <v>45371</v>
      </c>
      <c r="Z2071" s="19" t="s">
        <v>772</v>
      </c>
      <c r="AA2071" s="210">
        <v>37000</v>
      </c>
      <c r="AB2071" s="9">
        <v>30</v>
      </c>
      <c r="AC2071" s="9">
        <v>14</v>
      </c>
      <c r="AD2071" s="17">
        <v>45779</v>
      </c>
      <c r="AE2071" s="56">
        <v>1000</v>
      </c>
      <c r="AF2071" s="56"/>
      <c r="AG2071" s="9" t="s">
        <v>134</v>
      </c>
      <c r="AH2071" s="17">
        <v>45791</v>
      </c>
      <c r="AI2071" s="17"/>
      <c r="AJ2071" s="17"/>
      <c r="AK2071" s="9" t="s">
        <v>1458</v>
      </c>
      <c r="AL2071" s="11">
        <v>1000</v>
      </c>
      <c r="AN2071" s="11" t="s">
        <v>1435</v>
      </c>
      <c r="AP2071" s="11"/>
      <c r="AQ2071" s="11"/>
      <c r="AR2071" s="11"/>
      <c r="AW2071" s="17">
        <v>45790</v>
      </c>
      <c r="AX2071" s="9">
        <v>4158</v>
      </c>
      <c r="BA2071" s="86">
        <v>1000</v>
      </c>
      <c r="BD2071" s="9"/>
      <c r="CS2071" s="11">
        <f t="shared" si="144"/>
        <v>1000</v>
      </c>
      <c r="CT2071" s="22">
        <f t="shared" si="145"/>
        <v>1000</v>
      </c>
      <c r="CU2071" s="22">
        <f t="shared" si="146"/>
        <v>0</v>
      </c>
      <c r="CV2071" s="26">
        <f t="shared" si="143"/>
        <v>0</v>
      </c>
    </row>
    <row r="2072" spans="1:100" x14ac:dyDescent="0.2">
      <c r="A2072" s="9" t="s">
        <v>492</v>
      </c>
      <c r="B2072" s="2">
        <v>33</v>
      </c>
      <c r="C2072" s="3" t="s">
        <v>95</v>
      </c>
      <c r="D2072" s="3" t="s">
        <v>96</v>
      </c>
      <c r="E2072" s="2"/>
      <c r="F2072" s="2"/>
      <c r="G2072" s="2" t="s">
        <v>69</v>
      </c>
      <c r="H2072" s="2">
        <v>4</v>
      </c>
      <c r="I2072" s="8">
        <v>120</v>
      </c>
      <c r="J2072" s="8">
        <v>53333</v>
      </c>
      <c r="K2072" s="3">
        <v>0</v>
      </c>
      <c r="L2072" s="3" t="s">
        <v>3</v>
      </c>
      <c r="M2072" s="9" t="s">
        <v>0</v>
      </c>
      <c r="N2072" s="9" t="s">
        <v>44</v>
      </c>
      <c r="O2072" s="9" t="s">
        <v>541</v>
      </c>
      <c r="S2072" s="9" t="s">
        <v>158</v>
      </c>
      <c r="T2072" s="10" t="s">
        <v>69</v>
      </c>
      <c r="U2072" s="10">
        <v>4</v>
      </c>
      <c r="V2072" s="78">
        <v>120</v>
      </c>
      <c r="W2072" s="78" t="s">
        <v>710</v>
      </c>
      <c r="X2072" s="17">
        <v>45347</v>
      </c>
      <c r="Y2072" s="17">
        <v>45371</v>
      </c>
      <c r="Z2072" s="19" t="s">
        <v>772</v>
      </c>
      <c r="AA2072" s="210">
        <v>37000</v>
      </c>
      <c r="AB2072" s="9">
        <v>30</v>
      </c>
      <c r="AC2072" s="9">
        <v>15</v>
      </c>
      <c r="AD2072" s="17">
        <v>45810</v>
      </c>
      <c r="AE2072" s="56">
        <v>1000</v>
      </c>
      <c r="AF2072" s="56"/>
      <c r="AG2072" s="9" t="s">
        <v>134</v>
      </c>
      <c r="AH2072" s="17">
        <v>45817</v>
      </c>
      <c r="AI2072" s="17"/>
      <c r="AJ2072" s="17"/>
      <c r="AK2072" s="9" t="s">
        <v>1459</v>
      </c>
      <c r="AL2072" s="11">
        <v>1000</v>
      </c>
      <c r="AN2072" s="11" t="s">
        <v>1437</v>
      </c>
      <c r="AP2072" s="11"/>
      <c r="AQ2072" s="11"/>
      <c r="AR2072" s="11"/>
      <c r="AW2072" s="17">
        <v>45813</v>
      </c>
      <c r="AX2072" s="9">
        <v>4270</v>
      </c>
      <c r="BA2072" s="86">
        <v>1000</v>
      </c>
      <c r="BD2072" s="9"/>
      <c r="CS2072" s="11">
        <f t="shared" si="144"/>
        <v>1000</v>
      </c>
      <c r="CT2072" s="22">
        <f t="shared" si="145"/>
        <v>1000</v>
      </c>
      <c r="CU2072" s="22">
        <f t="shared" si="146"/>
        <v>0</v>
      </c>
      <c r="CV2072" s="26">
        <f t="shared" si="143"/>
        <v>0</v>
      </c>
    </row>
    <row r="2073" spans="1:100" x14ac:dyDescent="0.2">
      <c r="A2073" s="9" t="s">
        <v>492</v>
      </c>
      <c r="B2073" s="2">
        <v>33</v>
      </c>
      <c r="C2073" s="3" t="s">
        <v>95</v>
      </c>
      <c r="D2073" s="3" t="s">
        <v>96</v>
      </c>
      <c r="E2073" s="2"/>
      <c r="F2073" s="2"/>
      <c r="G2073" s="2" t="s">
        <v>69</v>
      </c>
      <c r="H2073" s="2">
        <v>4</v>
      </c>
      <c r="I2073" s="8">
        <v>120</v>
      </c>
      <c r="J2073" s="8">
        <v>53333</v>
      </c>
      <c r="K2073" s="3">
        <v>0</v>
      </c>
      <c r="L2073" s="3" t="s">
        <v>3</v>
      </c>
      <c r="M2073" s="9" t="s">
        <v>0</v>
      </c>
      <c r="N2073" s="9" t="s">
        <v>44</v>
      </c>
      <c r="O2073" s="9" t="s">
        <v>541</v>
      </c>
      <c r="S2073" s="9" t="s">
        <v>158</v>
      </c>
      <c r="T2073" s="10" t="s">
        <v>69</v>
      </c>
      <c r="U2073" s="10">
        <v>4</v>
      </c>
      <c r="V2073" s="78">
        <v>120</v>
      </c>
      <c r="W2073" s="78" t="s">
        <v>710</v>
      </c>
      <c r="X2073" s="17">
        <v>45347</v>
      </c>
      <c r="Y2073" s="17">
        <v>45371</v>
      </c>
      <c r="Z2073" s="19" t="s">
        <v>772</v>
      </c>
      <c r="AA2073" s="210">
        <v>37000</v>
      </c>
      <c r="AB2073" s="9">
        <v>30</v>
      </c>
      <c r="AC2073" s="9">
        <v>16</v>
      </c>
      <c r="AD2073" s="17">
        <v>45840</v>
      </c>
      <c r="AE2073" s="56">
        <v>1000</v>
      </c>
      <c r="AF2073" s="56"/>
      <c r="AG2073" s="9" t="s">
        <v>134</v>
      </c>
      <c r="AH2073" s="17">
        <v>45847</v>
      </c>
      <c r="AI2073" s="17"/>
      <c r="AJ2073" s="17"/>
      <c r="AK2073" s="9" t="s">
        <v>1460</v>
      </c>
      <c r="AL2073" s="11">
        <v>1000</v>
      </c>
      <c r="AN2073" s="11" t="s">
        <v>1439</v>
      </c>
      <c r="AP2073" s="11"/>
      <c r="AQ2073" s="11"/>
      <c r="AR2073" s="11"/>
      <c r="AW2073" s="17">
        <v>45846</v>
      </c>
      <c r="AX2073" s="9">
        <v>4386</v>
      </c>
      <c r="BA2073" s="86">
        <v>1000</v>
      </c>
      <c r="BD2073" s="9"/>
      <c r="CS2073" s="11">
        <f t="shared" si="144"/>
        <v>1000</v>
      </c>
      <c r="CT2073" s="22">
        <f t="shared" si="145"/>
        <v>1000</v>
      </c>
      <c r="CU2073" s="22">
        <f t="shared" si="146"/>
        <v>0</v>
      </c>
      <c r="CV2073" s="26">
        <f t="shared" si="143"/>
        <v>0</v>
      </c>
    </row>
    <row r="2074" spans="1:100" x14ac:dyDescent="0.2">
      <c r="A2074" s="9" t="s">
        <v>492</v>
      </c>
      <c r="B2074" s="2">
        <v>33</v>
      </c>
      <c r="C2074" s="3" t="s">
        <v>95</v>
      </c>
      <c r="D2074" s="3" t="s">
        <v>96</v>
      </c>
      <c r="E2074" s="2"/>
      <c r="F2074" s="2"/>
      <c r="G2074" s="2" t="s">
        <v>69</v>
      </c>
      <c r="H2074" s="2">
        <v>4</v>
      </c>
      <c r="I2074" s="8">
        <v>120</v>
      </c>
      <c r="J2074" s="8">
        <v>53333</v>
      </c>
      <c r="K2074" s="3">
        <v>0</v>
      </c>
      <c r="L2074" s="3" t="s">
        <v>3</v>
      </c>
      <c r="M2074" s="9" t="s">
        <v>0</v>
      </c>
      <c r="N2074" s="9" t="s">
        <v>44</v>
      </c>
      <c r="O2074" s="9" t="s">
        <v>541</v>
      </c>
      <c r="S2074" s="9" t="s">
        <v>158</v>
      </c>
      <c r="T2074" s="10" t="s">
        <v>69</v>
      </c>
      <c r="U2074" s="10">
        <v>4</v>
      </c>
      <c r="V2074" s="78">
        <v>120</v>
      </c>
      <c r="W2074" s="78" t="s">
        <v>710</v>
      </c>
      <c r="X2074" s="17">
        <v>45347</v>
      </c>
      <c r="Y2074" s="17">
        <v>45371</v>
      </c>
      <c r="Z2074" s="19" t="s">
        <v>772</v>
      </c>
      <c r="AA2074" s="210">
        <v>37000</v>
      </c>
      <c r="AB2074" s="9">
        <v>30</v>
      </c>
      <c r="AC2074" s="9">
        <v>17</v>
      </c>
      <c r="AD2074" s="17">
        <v>45871</v>
      </c>
      <c r="AE2074" s="56">
        <v>1000</v>
      </c>
      <c r="AF2074" s="56"/>
      <c r="AG2074" s="9" t="s">
        <v>134</v>
      </c>
      <c r="AH2074" s="17">
        <v>45885</v>
      </c>
      <c r="AI2074" s="17"/>
      <c r="AJ2074" s="17"/>
      <c r="AK2074" s="9" t="s">
        <v>1461</v>
      </c>
      <c r="AL2074" s="11">
        <v>1000</v>
      </c>
      <c r="AN2074" s="11" t="s">
        <v>1441</v>
      </c>
      <c r="AP2074" s="11"/>
      <c r="AQ2074" s="11"/>
      <c r="AR2074" s="11"/>
      <c r="AW2074" s="17">
        <v>45885</v>
      </c>
      <c r="AX2074" s="9">
        <v>4573</v>
      </c>
      <c r="BA2074" s="86">
        <v>1000</v>
      </c>
      <c r="BD2074" s="9"/>
      <c r="CS2074" s="11">
        <f t="shared" si="144"/>
        <v>1000</v>
      </c>
      <c r="CT2074" s="22">
        <f t="shared" si="145"/>
        <v>1000</v>
      </c>
      <c r="CU2074" s="22">
        <f t="shared" si="146"/>
        <v>0</v>
      </c>
      <c r="CV2074" s="26">
        <f t="shared" si="143"/>
        <v>0</v>
      </c>
    </row>
    <row r="2075" spans="1:100" ht="12.75" x14ac:dyDescent="0.2">
      <c r="A2075" s="9" t="s">
        <v>492</v>
      </c>
      <c r="B2075" s="2">
        <v>33</v>
      </c>
      <c r="C2075" s="3" t="s">
        <v>95</v>
      </c>
      <c r="D2075" s="3" t="s">
        <v>96</v>
      </c>
      <c r="E2075" s="2"/>
      <c r="F2075" s="2"/>
      <c r="G2075" s="2" t="s">
        <v>69</v>
      </c>
      <c r="H2075" s="2">
        <v>4</v>
      </c>
      <c r="I2075" s="8">
        <v>120</v>
      </c>
      <c r="J2075" s="8">
        <v>53333</v>
      </c>
      <c r="K2075" s="3">
        <v>0</v>
      </c>
      <c r="L2075" s="3" t="s">
        <v>3</v>
      </c>
      <c r="M2075" s="9" t="s">
        <v>0</v>
      </c>
      <c r="N2075" s="9" t="s">
        <v>44</v>
      </c>
      <c r="O2075" s="9" t="s">
        <v>541</v>
      </c>
      <c r="S2075" s="9" t="s">
        <v>158</v>
      </c>
      <c r="T2075" s="10" t="s">
        <v>69</v>
      </c>
      <c r="U2075" s="10">
        <v>4</v>
      </c>
      <c r="V2075" s="78">
        <v>120</v>
      </c>
      <c r="W2075" s="78" t="s">
        <v>710</v>
      </c>
      <c r="X2075" s="17">
        <v>45347</v>
      </c>
      <c r="Y2075" s="17">
        <v>45371</v>
      </c>
      <c r="Z2075" s="19" t="s">
        <v>772</v>
      </c>
      <c r="AA2075" s="210">
        <v>37000</v>
      </c>
      <c r="AB2075" s="9">
        <v>30</v>
      </c>
      <c r="AC2075" s="9">
        <v>18</v>
      </c>
      <c r="AD2075" s="17">
        <v>45902</v>
      </c>
      <c r="AE2075" s="56">
        <v>1000</v>
      </c>
      <c r="AF2075" s="56"/>
      <c r="AG2075" s="9" t="s">
        <v>134</v>
      </c>
      <c r="AH2075" s="17">
        <v>45911</v>
      </c>
      <c r="AI2075" s="17"/>
      <c r="AJ2075" s="17"/>
      <c r="AK2075" s="9" t="s">
        <v>1462</v>
      </c>
      <c r="AL2075" s="11">
        <v>1000</v>
      </c>
      <c r="AN2075" s="11" t="s">
        <v>1444</v>
      </c>
      <c r="AP2075" s="11"/>
      <c r="AQ2075" s="11"/>
      <c r="AR2075" s="11"/>
      <c r="AW2075" s="17">
        <v>45911</v>
      </c>
      <c r="AX2075" s="9">
        <v>4708</v>
      </c>
      <c r="AY2075" s="96"/>
      <c r="BA2075" s="86">
        <v>1000</v>
      </c>
      <c r="BD2075" s="9"/>
      <c r="CS2075" s="11">
        <f t="shared" si="144"/>
        <v>1000</v>
      </c>
      <c r="CT2075" s="22">
        <f t="shared" si="145"/>
        <v>1000</v>
      </c>
      <c r="CU2075" s="22">
        <f t="shared" si="146"/>
        <v>0</v>
      </c>
      <c r="CV2075" s="26">
        <f t="shared" si="143"/>
        <v>0</v>
      </c>
    </row>
    <row r="2076" spans="1:100" x14ac:dyDescent="0.2">
      <c r="A2076" s="9" t="s">
        <v>492</v>
      </c>
      <c r="B2076" s="2">
        <v>33</v>
      </c>
      <c r="C2076" s="3" t="s">
        <v>95</v>
      </c>
      <c r="D2076" s="3" t="s">
        <v>96</v>
      </c>
      <c r="E2076" s="2"/>
      <c r="F2076" s="2"/>
      <c r="G2076" s="2" t="s">
        <v>69</v>
      </c>
      <c r="H2076" s="2">
        <v>4</v>
      </c>
      <c r="I2076" s="8">
        <v>120</v>
      </c>
      <c r="J2076" s="8">
        <v>53333</v>
      </c>
      <c r="K2076" s="3">
        <v>0</v>
      </c>
      <c r="L2076" s="3" t="s">
        <v>3</v>
      </c>
      <c r="M2076" s="9" t="s">
        <v>0</v>
      </c>
      <c r="N2076" s="9" t="s">
        <v>44</v>
      </c>
      <c r="O2076" s="9" t="s">
        <v>541</v>
      </c>
      <c r="S2076" s="9" t="s">
        <v>158</v>
      </c>
      <c r="T2076" s="10" t="s">
        <v>69</v>
      </c>
      <c r="U2076" s="10">
        <v>4</v>
      </c>
      <c r="V2076" s="78">
        <v>120</v>
      </c>
      <c r="W2076" s="78" t="s">
        <v>710</v>
      </c>
      <c r="X2076" s="17">
        <v>45347</v>
      </c>
      <c r="Y2076" s="17">
        <v>45371</v>
      </c>
      <c r="Z2076" s="19" t="s">
        <v>772</v>
      </c>
      <c r="AA2076" s="210">
        <v>37000</v>
      </c>
      <c r="AB2076" s="9">
        <v>30</v>
      </c>
      <c r="AC2076" s="9">
        <v>19</v>
      </c>
      <c r="AD2076" s="17">
        <v>45932</v>
      </c>
      <c r="AE2076" s="56">
        <v>1000</v>
      </c>
      <c r="AF2076" s="56"/>
      <c r="AP2076" s="11"/>
      <c r="AQ2076" s="11"/>
      <c r="AR2076" s="11"/>
      <c r="AW2076" s="9"/>
      <c r="BD2076" s="9"/>
      <c r="CS2076" s="11">
        <f t="shared" si="144"/>
        <v>0</v>
      </c>
      <c r="CT2076" s="22">
        <f t="shared" si="145"/>
        <v>0</v>
      </c>
      <c r="CU2076" s="22">
        <f t="shared" si="146"/>
        <v>0</v>
      </c>
      <c r="CV2076" s="26">
        <f t="shared" si="143"/>
        <v>1000</v>
      </c>
    </row>
    <row r="2077" spans="1:100" x14ac:dyDescent="0.2">
      <c r="A2077" s="9" t="s">
        <v>492</v>
      </c>
      <c r="B2077" s="2">
        <v>33</v>
      </c>
      <c r="C2077" s="3" t="s">
        <v>95</v>
      </c>
      <c r="D2077" s="3" t="s">
        <v>96</v>
      </c>
      <c r="E2077" s="2"/>
      <c r="F2077" s="2"/>
      <c r="G2077" s="2" t="s">
        <v>69</v>
      </c>
      <c r="H2077" s="2">
        <v>4</v>
      </c>
      <c r="I2077" s="8">
        <v>120</v>
      </c>
      <c r="J2077" s="8">
        <v>53333</v>
      </c>
      <c r="K2077" s="3">
        <v>0</v>
      </c>
      <c r="L2077" s="3" t="s">
        <v>3</v>
      </c>
      <c r="M2077" s="9" t="s">
        <v>0</v>
      </c>
      <c r="N2077" s="9" t="s">
        <v>44</v>
      </c>
      <c r="O2077" s="9" t="s">
        <v>541</v>
      </c>
      <c r="S2077" s="9" t="s">
        <v>158</v>
      </c>
      <c r="T2077" s="10" t="s">
        <v>69</v>
      </c>
      <c r="U2077" s="10">
        <v>4</v>
      </c>
      <c r="V2077" s="78">
        <v>120</v>
      </c>
      <c r="W2077" s="78" t="s">
        <v>710</v>
      </c>
      <c r="X2077" s="17">
        <v>45347</v>
      </c>
      <c r="Y2077" s="17">
        <v>45371</v>
      </c>
      <c r="Z2077" s="19" t="s">
        <v>772</v>
      </c>
      <c r="AA2077" s="210">
        <v>37000</v>
      </c>
      <c r="AB2077" s="9">
        <v>30</v>
      </c>
      <c r="AC2077" s="9">
        <v>20</v>
      </c>
      <c r="AD2077" s="17">
        <v>45963</v>
      </c>
      <c r="AE2077" s="56">
        <v>1000</v>
      </c>
      <c r="AF2077" s="56"/>
      <c r="AP2077" s="11"/>
      <c r="AQ2077" s="11"/>
      <c r="AR2077" s="11"/>
      <c r="AW2077" s="9"/>
      <c r="BD2077" s="9"/>
      <c r="CS2077" s="11">
        <f t="shared" si="144"/>
        <v>0</v>
      </c>
      <c r="CT2077" s="22">
        <f t="shared" si="145"/>
        <v>0</v>
      </c>
      <c r="CU2077" s="22">
        <f t="shared" si="146"/>
        <v>0</v>
      </c>
      <c r="CV2077" s="26">
        <f t="shared" si="143"/>
        <v>1000</v>
      </c>
    </row>
    <row r="2078" spans="1:100" x14ac:dyDescent="0.2">
      <c r="A2078" s="9" t="s">
        <v>492</v>
      </c>
      <c r="B2078" s="2">
        <v>33</v>
      </c>
      <c r="C2078" s="3" t="s">
        <v>95</v>
      </c>
      <c r="D2078" s="3" t="s">
        <v>96</v>
      </c>
      <c r="E2078" s="2"/>
      <c r="F2078" s="2"/>
      <c r="G2078" s="2" t="s">
        <v>69</v>
      </c>
      <c r="H2078" s="2">
        <v>4</v>
      </c>
      <c r="I2078" s="8">
        <v>120</v>
      </c>
      <c r="J2078" s="8">
        <v>53333</v>
      </c>
      <c r="K2078" s="3">
        <v>0</v>
      </c>
      <c r="L2078" s="3" t="s">
        <v>3</v>
      </c>
      <c r="M2078" s="9" t="s">
        <v>0</v>
      </c>
      <c r="N2078" s="9" t="s">
        <v>44</v>
      </c>
      <c r="O2078" s="9" t="s">
        <v>541</v>
      </c>
      <c r="S2078" s="9" t="s">
        <v>158</v>
      </c>
      <c r="T2078" s="10" t="s">
        <v>69</v>
      </c>
      <c r="U2078" s="10">
        <v>4</v>
      </c>
      <c r="V2078" s="78">
        <v>120</v>
      </c>
      <c r="W2078" s="78" t="s">
        <v>710</v>
      </c>
      <c r="X2078" s="17">
        <v>45347</v>
      </c>
      <c r="Y2078" s="17">
        <v>45371</v>
      </c>
      <c r="Z2078" s="19" t="s">
        <v>772</v>
      </c>
      <c r="AA2078" s="210">
        <v>37000</v>
      </c>
      <c r="AB2078" s="9">
        <v>30</v>
      </c>
      <c r="AC2078" s="9">
        <v>21</v>
      </c>
      <c r="AD2078" s="17">
        <v>45993</v>
      </c>
      <c r="AE2078" s="56">
        <v>1000</v>
      </c>
      <c r="AF2078" s="56"/>
      <c r="AP2078" s="11"/>
      <c r="AQ2078" s="11"/>
      <c r="AR2078" s="11"/>
      <c r="AW2078" s="9"/>
      <c r="BD2078" s="9"/>
      <c r="CS2078" s="11">
        <f t="shared" si="144"/>
        <v>0</v>
      </c>
      <c r="CT2078" s="22">
        <f t="shared" si="145"/>
        <v>0</v>
      </c>
      <c r="CU2078" s="22">
        <f t="shared" si="146"/>
        <v>0</v>
      </c>
      <c r="CV2078" s="26">
        <f t="shared" si="143"/>
        <v>1000</v>
      </c>
    </row>
    <row r="2079" spans="1:100" x14ac:dyDescent="0.2">
      <c r="A2079" s="9" t="s">
        <v>492</v>
      </c>
      <c r="B2079" s="2">
        <v>33</v>
      </c>
      <c r="C2079" s="3" t="s">
        <v>95</v>
      </c>
      <c r="D2079" s="3" t="s">
        <v>96</v>
      </c>
      <c r="E2079" s="2"/>
      <c r="F2079" s="2"/>
      <c r="G2079" s="2" t="s">
        <v>69</v>
      </c>
      <c r="H2079" s="2">
        <v>4</v>
      </c>
      <c r="I2079" s="8">
        <v>120</v>
      </c>
      <c r="J2079" s="8">
        <v>53333</v>
      </c>
      <c r="K2079" s="3">
        <v>0</v>
      </c>
      <c r="L2079" s="3" t="s">
        <v>3</v>
      </c>
      <c r="M2079" s="9" t="s">
        <v>0</v>
      </c>
      <c r="N2079" s="9" t="s">
        <v>44</v>
      </c>
      <c r="O2079" s="9" t="s">
        <v>541</v>
      </c>
      <c r="S2079" s="9" t="s">
        <v>158</v>
      </c>
      <c r="T2079" s="10" t="s">
        <v>69</v>
      </c>
      <c r="U2079" s="10">
        <v>4</v>
      </c>
      <c r="V2079" s="78">
        <v>120</v>
      </c>
      <c r="W2079" s="78" t="s">
        <v>710</v>
      </c>
      <c r="X2079" s="17">
        <v>45347</v>
      </c>
      <c r="Y2079" s="17">
        <v>45371</v>
      </c>
      <c r="Z2079" s="19" t="s">
        <v>772</v>
      </c>
      <c r="AA2079" s="210">
        <v>37000</v>
      </c>
      <c r="AB2079" s="9">
        <v>30</v>
      </c>
      <c r="AC2079" s="9">
        <v>22</v>
      </c>
      <c r="AD2079" s="17">
        <v>46024</v>
      </c>
      <c r="AE2079" s="56">
        <v>1000</v>
      </c>
      <c r="AF2079" s="56"/>
      <c r="AP2079" s="11"/>
      <c r="AQ2079" s="11"/>
      <c r="AR2079" s="11"/>
      <c r="AW2079" s="9"/>
      <c r="BD2079" s="9"/>
      <c r="CS2079" s="11">
        <f t="shared" si="144"/>
        <v>0</v>
      </c>
      <c r="CT2079" s="22">
        <f t="shared" si="145"/>
        <v>0</v>
      </c>
      <c r="CU2079" s="22">
        <f t="shared" si="146"/>
        <v>0</v>
      </c>
      <c r="CV2079" s="26">
        <f t="shared" si="143"/>
        <v>1000</v>
      </c>
    </row>
    <row r="2080" spans="1:100" x14ac:dyDescent="0.2">
      <c r="A2080" s="9" t="s">
        <v>492</v>
      </c>
      <c r="B2080" s="2">
        <v>33</v>
      </c>
      <c r="C2080" s="3" t="s">
        <v>95</v>
      </c>
      <c r="D2080" s="3" t="s">
        <v>96</v>
      </c>
      <c r="E2080" s="2"/>
      <c r="F2080" s="2"/>
      <c r="G2080" s="2" t="s">
        <v>69</v>
      </c>
      <c r="H2080" s="2">
        <v>4</v>
      </c>
      <c r="I2080" s="8">
        <v>120</v>
      </c>
      <c r="J2080" s="8">
        <v>53333</v>
      </c>
      <c r="K2080" s="3">
        <v>0</v>
      </c>
      <c r="L2080" s="3" t="s">
        <v>3</v>
      </c>
      <c r="M2080" s="9" t="s">
        <v>0</v>
      </c>
      <c r="N2080" s="9" t="s">
        <v>44</v>
      </c>
      <c r="O2080" s="9" t="s">
        <v>541</v>
      </c>
      <c r="S2080" s="9" t="s">
        <v>158</v>
      </c>
      <c r="T2080" s="10" t="s">
        <v>69</v>
      </c>
      <c r="U2080" s="10">
        <v>4</v>
      </c>
      <c r="V2080" s="78">
        <v>120</v>
      </c>
      <c r="W2080" s="78" t="s">
        <v>710</v>
      </c>
      <c r="X2080" s="17">
        <v>45347</v>
      </c>
      <c r="Y2080" s="17">
        <v>45371</v>
      </c>
      <c r="Z2080" s="19" t="s">
        <v>772</v>
      </c>
      <c r="AA2080" s="210">
        <v>37000</v>
      </c>
      <c r="AB2080" s="9">
        <v>30</v>
      </c>
      <c r="AC2080" s="9">
        <v>23</v>
      </c>
      <c r="AD2080" s="17">
        <v>46055</v>
      </c>
      <c r="AE2080" s="56">
        <v>1000</v>
      </c>
      <c r="AF2080" s="56"/>
      <c r="AP2080" s="11"/>
      <c r="AQ2080" s="11"/>
      <c r="AR2080" s="11"/>
      <c r="AW2080" s="9"/>
      <c r="BD2080" s="9"/>
      <c r="CS2080" s="11">
        <f t="shared" si="144"/>
        <v>0</v>
      </c>
      <c r="CT2080" s="22">
        <f t="shared" si="145"/>
        <v>0</v>
      </c>
      <c r="CU2080" s="22">
        <f t="shared" si="146"/>
        <v>0</v>
      </c>
      <c r="CV2080" s="26">
        <f t="shared" si="143"/>
        <v>1000</v>
      </c>
    </row>
    <row r="2081" spans="1:101" x14ac:dyDescent="0.2">
      <c r="A2081" s="9" t="s">
        <v>492</v>
      </c>
      <c r="B2081" s="2">
        <v>33</v>
      </c>
      <c r="C2081" s="3" t="s">
        <v>95</v>
      </c>
      <c r="D2081" s="3" t="s">
        <v>96</v>
      </c>
      <c r="E2081" s="2"/>
      <c r="F2081" s="2"/>
      <c r="G2081" s="2" t="s">
        <v>69</v>
      </c>
      <c r="H2081" s="2">
        <v>4</v>
      </c>
      <c r="I2081" s="8">
        <v>120</v>
      </c>
      <c r="J2081" s="8">
        <v>53333</v>
      </c>
      <c r="K2081" s="3">
        <v>0</v>
      </c>
      <c r="L2081" s="3" t="s">
        <v>3</v>
      </c>
      <c r="M2081" s="9" t="s">
        <v>0</v>
      </c>
      <c r="N2081" s="9" t="s">
        <v>44</v>
      </c>
      <c r="O2081" s="9" t="s">
        <v>541</v>
      </c>
      <c r="S2081" s="9" t="s">
        <v>158</v>
      </c>
      <c r="T2081" s="10" t="s">
        <v>69</v>
      </c>
      <c r="U2081" s="10">
        <v>4</v>
      </c>
      <c r="V2081" s="78">
        <v>120</v>
      </c>
      <c r="W2081" s="78" t="s">
        <v>710</v>
      </c>
      <c r="X2081" s="17">
        <v>45347</v>
      </c>
      <c r="Y2081" s="17">
        <v>45371</v>
      </c>
      <c r="Z2081" s="19" t="s">
        <v>772</v>
      </c>
      <c r="AA2081" s="210">
        <v>37000</v>
      </c>
      <c r="AB2081" s="9">
        <v>30</v>
      </c>
      <c r="AC2081" s="9">
        <v>24</v>
      </c>
      <c r="AD2081" s="17">
        <v>46083</v>
      </c>
      <c r="AE2081" s="56">
        <v>1000</v>
      </c>
      <c r="AF2081" s="56"/>
      <c r="AP2081" s="11"/>
      <c r="AQ2081" s="11"/>
      <c r="AR2081" s="11"/>
      <c r="AW2081" s="9"/>
      <c r="BD2081" s="9"/>
      <c r="CS2081" s="11">
        <f t="shared" si="144"/>
        <v>0</v>
      </c>
      <c r="CT2081" s="22">
        <f t="shared" si="145"/>
        <v>0</v>
      </c>
      <c r="CU2081" s="22">
        <f t="shared" si="146"/>
        <v>0</v>
      </c>
      <c r="CV2081" s="26">
        <f t="shared" si="143"/>
        <v>1000</v>
      </c>
    </row>
    <row r="2082" spans="1:101" x14ac:dyDescent="0.2">
      <c r="A2082" s="9" t="s">
        <v>492</v>
      </c>
      <c r="B2082" s="2">
        <v>33</v>
      </c>
      <c r="C2082" s="3" t="s">
        <v>95</v>
      </c>
      <c r="D2082" s="3" t="s">
        <v>96</v>
      </c>
      <c r="E2082" s="2"/>
      <c r="F2082" s="2"/>
      <c r="G2082" s="2" t="s">
        <v>69</v>
      </c>
      <c r="H2082" s="2">
        <v>4</v>
      </c>
      <c r="I2082" s="8">
        <v>120</v>
      </c>
      <c r="J2082" s="8">
        <v>53333</v>
      </c>
      <c r="K2082" s="3">
        <v>0</v>
      </c>
      <c r="L2082" s="3" t="s">
        <v>3</v>
      </c>
      <c r="M2082" s="9" t="s">
        <v>0</v>
      </c>
      <c r="N2082" s="9" t="s">
        <v>44</v>
      </c>
      <c r="O2082" s="9" t="s">
        <v>541</v>
      </c>
      <c r="S2082" s="9" t="s">
        <v>158</v>
      </c>
      <c r="T2082" s="10" t="s">
        <v>69</v>
      </c>
      <c r="U2082" s="10">
        <v>4</v>
      </c>
      <c r="V2082" s="78">
        <v>120</v>
      </c>
      <c r="W2082" s="78" t="s">
        <v>710</v>
      </c>
      <c r="X2082" s="17">
        <v>45347</v>
      </c>
      <c r="Y2082" s="17">
        <v>45371</v>
      </c>
      <c r="Z2082" s="19" t="s">
        <v>772</v>
      </c>
      <c r="AA2082" s="210">
        <v>37000</v>
      </c>
      <c r="AB2082" s="9">
        <v>30</v>
      </c>
      <c r="AC2082" s="9">
        <v>25</v>
      </c>
      <c r="AD2082" s="17">
        <v>46114</v>
      </c>
      <c r="AE2082" s="56">
        <v>1000</v>
      </c>
      <c r="AF2082" s="56"/>
      <c r="AP2082" s="11"/>
      <c r="AQ2082" s="11"/>
      <c r="AR2082" s="11"/>
      <c r="AW2082" s="9"/>
      <c r="BD2082" s="9"/>
      <c r="CS2082" s="11">
        <f t="shared" si="144"/>
        <v>0</v>
      </c>
      <c r="CT2082" s="22">
        <f t="shared" si="145"/>
        <v>0</v>
      </c>
      <c r="CU2082" s="22">
        <f t="shared" si="146"/>
        <v>0</v>
      </c>
      <c r="CV2082" s="26">
        <f t="shared" si="143"/>
        <v>1000</v>
      </c>
    </row>
    <row r="2083" spans="1:101" x14ac:dyDescent="0.2">
      <c r="A2083" s="9" t="s">
        <v>492</v>
      </c>
      <c r="B2083" s="2">
        <v>33</v>
      </c>
      <c r="C2083" s="3" t="s">
        <v>95</v>
      </c>
      <c r="D2083" s="3" t="s">
        <v>96</v>
      </c>
      <c r="E2083" s="2"/>
      <c r="F2083" s="2"/>
      <c r="G2083" s="2" t="s">
        <v>69</v>
      </c>
      <c r="H2083" s="2">
        <v>4</v>
      </c>
      <c r="I2083" s="8">
        <v>120</v>
      </c>
      <c r="J2083" s="8">
        <v>53333</v>
      </c>
      <c r="K2083" s="3">
        <v>0</v>
      </c>
      <c r="L2083" s="3" t="s">
        <v>3</v>
      </c>
      <c r="M2083" s="9" t="s">
        <v>0</v>
      </c>
      <c r="N2083" s="9" t="s">
        <v>44</v>
      </c>
      <c r="O2083" s="9" t="s">
        <v>541</v>
      </c>
      <c r="S2083" s="9" t="s">
        <v>158</v>
      </c>
      <c r="T2083" s="2" t="s">
        <v>69</v>
      </c>
      <c r="U2083" s="2">
        <v>4</v>
      </c>
      <c r="V2083" s="8">
        <v>120</v>
      </c>
      <c r="W2083" s="78" t="s">
        <v>710</v>
      </c>
      <c r="X2083" s="17">
        <v>45347</v>
      </c>
      <c r="Y2083" s="17">
        <v>45371</v>
      </c>
      <c r="Z2083" s="19" t="s">
        <v>772</v>
      </c>
      <c r="AA2083" s="210">
        <v>37000</v>
      </c>
      <c r="AB2083" s="9">
        <v>30</v>
      </c>
      <c r="AC2083" s="9">
        <v>26</v>
      </c>
      <c r="AD2083" s="17">
        <v>46144</v>
      </c>
      <c r="AE2083" s="56">
        <v>1000</v>
      </c>
      <c r="AF2083" s="56"/>
      <c r="AP2083" s="11"/>
      <c r="AQ2083" s="11"/>
      <c r="AR2083" s="11"/>
      <c r="AW2083" s="9"/>
      <c r="AY2083" s="26"/>
      <c r="BD2083" s="9"/>
      <c r="CS2083" s="11">
        <f t="shared" si="144"/>
        <v>0</v>
      </c>
      <c r="CT2083" s="22">
        <f t="shared" si="145"/>
        <v>0</v>
      </c>
      <c r="CU2083" s="22">
        <f t="shared" si="146"/>
        <v>0</v>
      </c>
      <c r="CV2083" s="26">
        <f t="shared" si="143"/>
        <v>1000</v>
      </c>
    </row>
    <row r="2084" spans="1:101" x14ac:dyDescent="0.2">
      <c r="A2084" s="9" t="s">
        <v>492</v>
      </c>
      <c r="B2084" s="2">
        <v>33</v>
      </c>
      <c r="C2084" s="3" t="s">
        <v>95</v>
      </c>
      <c r="D2084" s="3" t="s">
        <v>96</v>
      </c>
      <c r="E2084" s="2"/>
      <c r="F2084" s="2"/>
      <c r="G2084" s="2" t="s">
        <v>69</v>
      </c>
      <c r="H2084" s="2">
        <v>4</v>
      </c>
      <c r="I2084" s="8">
        <v>120</v>
      </c>
      <c r="J2084" s="8">
        <v>53333</v>
      </c>
      <c r="K2084" s="3">
        <v>0</v>
      </c>
      <c r="L2084" s="3" t="s">
        <v>3</v>
      </c>
      <c r="M2084" s="9" t="s">
        <v>0</v>
      </c>
      <c r="N2084" s="9" t="s">
        <v>44</v>
      </c>
      <c r="O2084" s="9" t="s">
        <v>541</v>
      </c>
      <c r="S2084" s="9" t="s">
        <v>158</v>
      </c>
      <c r="T2084" s="2" t="s">
        <v>69</v>
      </c>
      <c r="U2084" s="2">
        <v>4</v>
      </c>
      <c r="V2084" s="8">
        <v>120</v>
      </c>
      <c r="W2084" s="78" t="s">
        <v>710</v>
      </c>
      <c r="X2084" s="17">
        <v>45347</v>
      </c>
      <c r="Y2084" s="17">
        <v>45371</v>
      </c>
      <c r="Z2084" s="19" t="s">
        <v>772</v>
      </c>
      <c r="AA2084" s="210">
        <v>37000</v>
      </c>
      <c r="AB2084" s="9">
        <v>30</v>
      </c>
      <c r="AC2084" s="9">
        <v>27</v>
      </c>
      <c r="AD2084" s="17">
        <v>46175</v>
      </c>
      <c r="AE2084" s="56">
        <v>1000</v>
      </c>
      <c r="AF2084" s="56"/>
      <c r="AP2084" s="11"/>
      <c r="AQ2084" s="11"/>
      <c r="AR2084" s="11"/>
      <c r="AW2084" s="9"/>
      <c r="AY2084" s="26"/>
      <c r="BD2084" s="9"/>
      <c r="CS2084" s="11">
        <f t="shared" si="144"/>
        <v>0</v>
      </c>
      <c r="CT2084" s="22">
        <f t="shared" si="145"/>
        <v>0</v>
      </c>
      <c r="CU2084" s="22">
        <f t="shared" si="146"/>
        <v>0</v>
      </c>
      <c r="CV2084" s="26">
        <f t="shared" si="143"/>
        <v>1000</v>
      </c>
    </row>
    <row r="2085" spans="1:101" x14ac:dyDescent="0.2">
      <c r="A2085" s="9" t="s">
        <v>492</v>
      </c>
      <c r="B2085" s="2">
        <v>33</v>
      </c>
      <c r="C2085" s="3" t="s">
        <v>95</v>
      </c>
      <c r="D2085" s="3" t="s">
        <v>96</v>
      </c>
      <c r="E2085" s="2"/>
      <c r="F2085" s="2"/>
      <c r="G2085" s="2" t="s">
        <v>69</v>
      </c>
      <c r="H2085" s="2">
        <v>4</v>
      </c>
      <c r="I2085" s="8">
        <v>120</v>
      </c>
      <c r="J2085" s="8">
        <v>53333</v>
      </c>
      <c r="K2085" s="3">
        <v>0</v>
      </c>
      <c r="L2085" s="3" t="s">
        <v>3</v>
      </c>
      <c r="M2085" s="9" t="s">
        <v>0</v>
      </c>
      <c r="N2085" s="9" t="s">
        <v>44</v>
      </c>
      <c r="O2085" s="9" t="s">
        <v>541</v>
      </c>
      <c r="S2085" s="9" t="s">
        <v>158</v>
      </c>
      <c r="T2085" s="2" t="s">
        <v>69</v>
      </c>
      <c r="U2085" s="2">
        <v>4</v>
      </c>
      <c r="V2085" s="8">
        <v>120</v>
      </c>
      <c r="W2085" s="78" t="s">
        <v>710</v>
      </c>
      <c r="X2085" s="17">
        <v>45347</v>
      </c>
      <c r="Y2085" s="17">
        <v>45371</v>
      </c>
      <c r="Z2085" s="19" t="s">
        <v>772</v>
      </c>
      <c r="AA2085" s="210">
        <v>37000</v>
      </c>
      <c r="AB2085" s="9">
        <v>30</v>
      </c>
      <c r="AC2085" s="9">
        <v>28</v>
      </c>
      <c r="AD2085" s="17">
        <v>46205</v>
      </c>
      <c r="AE2085" s="56">
        <v>1000</v>
      </c>
      <c r="AF2085" s="56"/>
      <c r="AP2085" s="11"/>
      <c r="AQ2085" s="11"/>
      <c r="AR2085" s="11"/>
      <c r="AW2085" s="9"/>
      <c r="BD2085" s="9"/>
      <c r="CS2085" s="11">
        <f t="shared" si="144"/>
        <v>0</v>
      </c>
      <c r="CT2085" s="22">
        <f t="shared" si="145"/>
        <v>0</v>
      </c>
      <c r="CU2085" s="22">
        <f t="shared" si="146"/>
        <v>0</v>
      </c>
      <c r="CV2085" s="26">
        <f t="shared" si="143"/>
        <v>1000</v>
      </c>
    </row>
    <row r="2086" spans="1:101" x14ac:dyDescent="0.2">
      <c r="A2086" s="9" t="s">
        <v>492</v>
      </c>
      <c r="B2086" s="2">
        <v>33</v>
      </c>
      <c r="C2086" s="3" t="s">
        <v>95</v>
      </c>
      <c r="D2086" s="3" t="s">
        <v>96</v>
      </c>
      <c r="E2086" s="2"/>
      <c r="F2086" s="2"/>
      <c r="G2086" s="2" t="s">
        <v>69</v>
      </c>
      <c r="H2086" s="2">
        <v>4</v>
      </c>
      <c r="I2086" s="8">
        <v>120</v>
      </c>
      <c r="J2086" s="8">
        <v>53333</v>
      </c>
      <c r="K2086" s="3">
        <v>0</v>
      </c>
      <c r="L2086" s="3" t="s">
        <v>3</v>
      </c>
      <c r="M2086" s="9" t="s">
        <v>0</v>
      </c>
      <c r="N2086" s="9" t="s">
        <v>44</v>
      </c>
      <c r="O2086" s="9" t="s">
        <v>541</v>
      </c>
      <c r="S2086" s="9" t="s">
        <v>158</v>
      </c>
      <c r="T2086" s="2" t="s">
        <v>69</v>
      </c>
      <c r="U2086" s="2">
        <v>4</v>
      </c>
      <c r="V2086" s="8">
        <v>120</v>
      </c>
      <c r="W2086" s="78" t="s">
        <v>710</v>
      </c>
      <c r="X2086" s="17">
        <v>45347</v>
      </c>
      <c r="Y2086" s="17">
        <v>45371</v>
      </c>
      <c r="Z2086" s="19" t="s">
        <v>772</v>
      </c>
      <c r="AA2086" s="210">
        <v>37000</v>
      </c>
      <c r="AB2086" s="9">
        <v>30</v>
      </c>
      <c r="AC2086" s="9">
        <v>29</v>
      </c>
      <c r="AD2086" s="17">
        <v>46236</v>
      </c>
      <c r="AE2086" s="56">
        <v>1000</v>
      </c>
      <c r="AF2086" s="56"/>
      <c r="AP2086" s="11"/>
      <c r="AQ2086" s="11"/>
      <c r="AR2086" s="11"/>
      <c r="AW2086" s="17"/>
      <c r="AX2086" s="86"/>
      <c r="BD2086" s="9"/>
      <c r="CS2086" s="11">
        <f t="shared" si="144"/>
        <v>0</v>
      </c>
      <c r="CT2086" s="22">
        <f t="shared" si="145"/>
        <v>0</v>
      </c>
      <c r="CU2086" s="22">
        <f t="shared" si="146"/>
        <v>0</v>
      </c>
      <c r="CV2086" s="26">
        <f t="shared" si="143"/>
        <v>1000</v>
      </c>
    </row>
    <row r="2087" spans="1:101" x14ac:dyDescent="0.2">
      <c r="A2087" s="9" t="s">
        <v>492</v>
      </c>
      <c r="B2087" s="2">
        <v>33</v>
      </c>
      <c r="C2087" s="3" t="s">
        <v>95</v>
      </c>
      <c r="D2087" s="3" t="s">
        <v>96</v>
      </c>
      <c r="E2087" s="2"/>
      <c r="F2087" s="2"/>
      <c r="G2087" s="2" t="s">
        <v>69</v>
      </c>
      <c r="H2087" s="2">
        <v>4</v>
      </c>
      <c r="I2087" s="8">
        <v>120</v>
      </c>
      <c r="J2087" s="8">
        <v>53333</v>
      </c>
      <c r="K2087" s="3">
        <v>0</v>
      </c>
      <c r="L2087" s="3" t="s">
        <v>3</v>
      </c>
      <c r="M2087" s="9" t="s">
        <v>0</v>
      </c>
      <c r="N2087" s="9" t="s">
        <v>44</v>
      </c>
      <c r="O2087" s="9" t="s">
        <v>541</v>
      </c>
      <c r="S2087" s="9" t="s">
        <v>158</v>
      </c>
      <c r="T2087" s="2" t="s">
        <v>69</v>
      </c>
      <c r="U2087" s="2">
        <v>4</v>
      </c>
      <c r="V2087" s="8">
        <v>120</v>
      </c>
      <c r="W2087" s="78" t="s">
        <v>710</v>
      </c>
      <c r="X2087" s="17">
        <v>45347</v>
      </c>
      <c r="Y2087" s="17">
        <v>45371</v>
      </c>
      <c r="Z2087" s="19" t="s">
        <v>772</v>
      </c>
      <c r="AA2087" s="210">
        <v>37000</v>
      </c>
      <c r="AB2087" s="9">
        <v>30</v>
      </c>
      <c r="AC2087" s="9">
        <v>30</v>
      </c>
      <c r="AD2087" s="17">
        <v>46267</v>
      </c>
      <c r="AE2087" s="56">
        <v>1000</v>
      </c>
      <c r="AF2087" s="56"/>
      <c r="AP2087" s="11"/>
      <c r="AQ2087" s="11"/>
      <c r="AR2087" s="11"/>
      <c r="AW2087" s="9"/>
      <c r="AX2087" s="10"/>
      <c r="BD2087" s="9"/>
      <c r="CS2087" s="11">
        <f t="shared" si="144"/>
        <v>0</v>
      </c>
      <c r="CT2087" s="22">
        <f t="shared" si="145"/>
        <v>0</v>
      </c>
      <c r="CU2087" s="22">
        <f t="shared" si="146"/>
        <v>0</v>
      </c>
      <c r="CV2087" s="26">
        <f t="shared" si="143"/>
        <v>1000</v>
      </c>
    </row>
    <row r="2088" spans="1:101" x14ac:dyDescent="0.2">
      <c r="A2088" s="9" t="s">
        <v>492</v>
      </c>
      <c r="B2088" s="2">
        <v>33</v>
      </c>
      <c r="C2088" s="3" t="s">
        <v>95</v>
      </c>
      <c r="D2088" s="3" t="s">
        <v>96</v>
      </c>
      <c r="E2088" s="2"/>
      <c r="F2088" s="2"/>
      <c r="G2088" s="2" t="s">
        <v>69</v>
      </c>
      <c r="H2088" s="2">
        <v>4</v>
      </c>
      <c r="I2088" s="8">
        <v>120</v>
      </c>
      <c r="J2088" s="8">
        <v>53333</v>
      </c>
      <c r="K2088" s="3">
        <v>0</v>
      </c>
      <c r="L2088" s="3" t="s">
        <v>3</v>
      </c>
      <c r="M2088" s="9" t="s">
        <v>0</v>
      </c>
      <c r="N2088" s="9" t="s">
        <v>44</v>
      </c>
      <c r="O2088" s="9" t="s">
        <v>541</v>
      </c>
      <c r="S2088" s="9" t="s">
        <v>545</v>
      </c>
      <c r="T2088" s="2"/>
      <c r="U2088" s="2"/>
      <c r="V2088" s="2">
        <v>12.5</v>
      </c>
      <c r="W2088" s="78" t="s">
        <v>710</v>
      </c>
      <c r="X2088" s="17">
        <v>45347</v>
      </c>
      <c r="Y2088" s="17">
        <v>45482</v>
      </c>
      <c r="Z2088" s="19" t="s">
        <v>772</v>
      </c>
      <c r="AA2088" s="210">
        <v>5000</v>
      </c>
      <c r="AB2088" s="9">
        <v>30</v>
      </c>
      <c r="AC2088" s="9">
        <v>0</v>
      </c>
      <c r="AD2088" s="17">
        <v>45478</v>
      </c>
      <c r="AE2088" s="56">
        <v>1000</v>
      </c>
      <c r="AF2088" s="56"/>
      <c r="AG2088" s="9" t="s">
        <v>134</v>
      </c>
      <c r="AH2088" s="17">
        <v>45371</v>
      </c>
      <c r="AI2088" s="17"/>
      <c r="AJ2088" s="17"/>
      <c r="AK2088" s="9" t="s">
        <v>544</v>
      </c>
      <c r="AL2088" s="22">
        <v>1000</v>
      </c>
      <c r="AM2088" s="22"/>
      <c r="AN2088" s="22" t="s">
        <v>1410</v>
      </c>
      <c r="AO2088" s="22"/>
      <c r="AP2088" s="22"/>
      <c r="AQ2088" s="22"/>
      <c r="AR2088" s="22"/>
      <c r="AS2088" s="22"/>
      <c r="AT2088" s="22"/>
      <c r="AU2088" s="22"/>
      <c r="AV2088" s="22"/>
      <c r="AW2088" s="17">
        <v>45351</v>
      </c>
      <c r="AX2088" s="10">
        <v>896747</v>
      </c>
      <c r="AY2088" s="11">
        <v>3703</v>
      </c>
      <c r="AZ2088" s="9">
        <v>3.7029999999999998</v>
      </c>
      <c r="BA2088" s="11">
        <f>+AY2088/AZ2088</f>
        <v>1000</v>
      </c>
      <c r="BD2088" s="9"/>
      <c r="CS2088" s="11">
        <f t="shared" si="144"/>
        <v>1000</v>
      </c>
      <c r="CT2088" s="22">
        <f t="shared" si="145"/>
        <v>1000</v>
      </c>
      <c r="CU2088" s="22">
        <f t="shared" si="146"/>
        <v>0</v>
      </c>
      <c r="CV2088" s="26">
        <f t="shared" si="143"/>
        <v>0</v>
      </c>
    </row>
    <row r="2089" spans="1:101" s="27" customFormat="1" x14ac:dyDescent="0.2">
      <c r="A2089" s="27" t="s">
        <v>492</v>
      </c>
      <c r="B2089" s="67">
        <v>33</v>
      </c>
      <c r="C2089" s="68" t="s">
        <v>95</v>
      </c>
      <c r="D2089" s="68" t="s">
        <v>96</v>
      </c>
      <c r="E2089" s="67"/>
      <c r="F2089" s="67"/>
      <c r="G2089" s="67" t="s">
        <v>69</v>
      </c>
      <c r="H2089" s="67">
        <v>4</v>
      </c>
      <c r="I2089" s="217">
        <v>120</v>
      </c>
      <c r="J2089" s="217">
        <v>53333</v>
      </c>
      <c r="K2089" s="68">
        <v>0</v>
      </c>
      <c r="L2089" s="68" t="s">
        <v>3</v>
      </c>
      <c r="M2089" s="27" t="s">
        <v>0</v>
      </c>
      <c r="N2089" s="27" t="s">
        <v>44</v>
      </c>
      <c r="O2089" s="27" t="s">
        <v>541</v>
      </c>
      <c r="Q2089" s="218"/>
      <c r="S2089" s="27" t="s">
        <v>545</v>
      </c>
      <c r="T2089" s="67"/>
      <c r="U2089" s="67"/>
      <c r="V2089" s="67">
        <v>12.5</v>
      </c>
      <c r="W2089" s="224" t="s">
        <v>710</v>
      </c>
      <c r="X2089" s="70">
        <v>45347</v>
      </c>
      <c r="Y2089" s="70">
        <v>45482</v>
      </c>
      <c r="Z2089" s="219" t="s">
        <v>772</v>
      </c>
      <c r="AA2089" s="214">
        <v>5000</v>
      </c>
      <c r="AB2089" s="27">
        <v>30</v>
      </c>
      <c r="AC2089" s="27">
        <v>1</v>
      </c>
      <c r="AD2089" s="70">
        <v>45478</v>
      </c>
      <c r="AE2089" s="220">
        <v>135</v>
      </c>
      <c r="AF2089" s="220"/>
      <c r="AG2089" s="27" t="s">
        <v>134</v>
      </c>
      <c r="AH2089" s="70">
        <v>45481</v>
      </c>
      <c r="AI2089" s="70"/>
      <c r="AJ2089" s="70"/>
      <c r="AK2089" s="27" t="s">
        <v>1463</v>
      </c>
      <c r="AL2089" s="28">
        <v>135</v>
      </c>
      <c r="AM2089" s="28"/>
      <c r="AN2089" s="27" t="s">
        <v>1415</v>
      </c>
      <c r="AO2089" s="27" t="s">
        <v>134</v>
      </c>
      <c r="AP2089" s="70">
        <v>45481</v>
      </c>
      <c r="AQ2089" s="70"/>
      <c r="AR2089" s="70"/>
      <c r="AS2089" s="27" t="s">
        <v>1464</v>
      </c>
      <c r="AT2089" s="28">
        <v>5</v>
      </c>
      <c r="AU2089" s="28"/>
      <c r="AV2089" s="28" t="s">
        <v>1416</v>
      </c>
      <c r="AW2089" s="70">
        <v>45478</v>
      </c>
      <c r="AX2089" s="69">
        <v>2865</v>
      </c>
      <c r="BA2089" s="225">
        <v>140</v>
      </c>
      <c r="BB2089" s="28"/>
      <c r="CS2089" s="28">
        <f t="shared" si="144"/>
        <v>140</v>
      </c>
      <c r="CT2089" s="28">
        <f t="shared" si="145"/>
        <v>140</v>
      </c>
      <c r="CU2089" s="28">
        <f t="shared" si="146"/>
        <v>0</v>
      </c>
      <c r="CV2089" s="222">
        <f t="shared" si="143"/>
        <v>-5</v>
      </c>
      <c r="CW2089" s="27" t="s">
        <v>3506</v>
      </c>
    </row>
    <row r="2090" spans="1:101" x14ac:dyDescent="0.2">
      <c r="A2090" s="9" t="s">
        <v>492</v>
      </c>
      <c r="B2090" s="2">
        <v>33</v>
      </c>
      <c r="C2090" s="3" t="s">
        <v>95</v>
      </c>
      <c r="D2090" s="3" t="s">
        <v>96</v>
      </c>
      <c r="E2090" s="2"/>
      <c r="F2090" s="2"/>
      <c r="G2090" s="2" t="s">
        <v>69</v>
      </c>
      <c r="H2090" s="2">
        <v>4</v>
      </c>
      <c r="I2090" s="8">
        <v>120</v>
      </c>
      <c r="J2090" s="8">
        <v>53333</v>
      </c>
      <c r="K2090" s="3">
        <v>0</v>
      </c>
      <c r="L2090" s="3" t="s">
        <v>3</v>
      </c>
      <c r="M2090" s="9" t="s">
        <v>0</v>
      </c>
      <c r="N2090" s="9" t="s">
        <v>44</v>
      </c>
      <c r="O2090" s="9" t="s">
        <v>541</v>
      </c>
      <c r="S2090" s="9" t="s">
        <v>545</v>
      </c>
      <c r="T2090" s="2"/>
      <c r="U2090" s="2"/>
      <c r="V2090" s="2">
        <v>12.5</v>
      </c>
      <c r="W2090" s="78" t="s">
        <v>710</v>
      </c>
      <c r="X2090" s="17">
        <v>45347</v>
      </c>
      <c r="Y2090" s="17">
        <v>45482</v>
      </c>
      <c r="Z2090" s="19" t="s">
        <v>772</v>
      </c>
      <c r="AA2090" s="210">
        <v>5000</v>
      </c>
      <c r="AB2090" s="9">
        <v>30</v>
      </c>
      <c r="AC2090" s="9">
        <v>2</v>
      </c>
      <c r="AD2090" s="17">
        <v>45509</v>
      </c>
      <c r="AE2090" s="56">
        <v>135</v>
      </c>
      <c r="AF2090" s="56"/>
      <c r="AG2090" s="9" t="s">
        <v>134</v>
      </c>
      <c r="AH2090" s="17">
        <v>45512</v>
      </c>
      <c r="AI2090" s="17"/>
      <c r="AJ2090" s="17"/>
      <c r="AK2090" s="9" t="s">
        <v>1465</v>
      </c>
      <c r="AL2090" s="22">
        <v>130</v>
      </c>
      <c r="AM2090" s="22"/>
      <c r="AN2090" s="22" t="s">
        <v>1418</v>
      </c>
      <c r="AO2090" s="22"/>
      <c r="AP2090" s="22"/>
      <c r="AQ2090" s="22"/>
      <c r="AR2090" s="22"/>
      <c r="AS2090" s="22"/>
      <c r="AT2090" s="22"/>
      <c r="AU2090" s="22"/>
      <c r="AV2090" s="22"/>
      <c r="AW2090" s="17">
        <v>45511</v>
      </c>
      <c r="AX2090" s="10">
        <v>3000</v>
      </c>
      <c r="BA2090" s="86">
        <v>130</v>
      </c>
      <c r="BD2090" s="9"/>
      <c r="CS2090" s="11">
        <f t="shared" si="144"/>
        <v>130</v>
      </c>
      <c r="CT2090" s="22">
        <f t="shared" si="145"/>
        <v>130</v>
      </c>
      <c r="CU2090" s="22">
        <f t="shared" si="146"/>
        <v>0</v>
      </c>
      <c r="CV2090" s="26">
        <f t="shared" si="143"/>
        <v>5</v>
      </c>
    </row>
    <row r="2091" spans="1:101" x14ac:dyDescent="0.2">
      <c r="A2091" s="9" t="s">
        <v>492</v>
      </c>
      <c r="B2091" s="2">
        <v>33</v>
      </c>
      <c r="C2091" s="3" t="s">
        <v>95</v>
      </c>
      <c r="D2091" s="3" t="s">
        <v>96</v>
      </c>
      <c r="E2091" s="2"/>
      <c r="F2091" s="2"/>
      <c r="G2091" s="2" t="s">
        <v>69</v>
      </c>
      <c r="H2091" s="2">
        <v>4</v>
      </c>
      <c r="I2091" s="8">
        <v>120</v>
      </c>
      <c r="J2091" s="8">
        <v>53333</v>
      </c>
      <c r="K2091" s="3">
        <v>0</v>
      </c>
      <c r="L2091" s="3" t="s">
        <v>3</v>
      </c>
      <c r="M2091" s="9" t="s">
        <v>0</v>
      </c>
      <c r="N2091" s="9" t="s">
        <v>44</v>
      </c>
      <c r="O2091" s="9" t="s">
        <v>541</v>
      </c>
      <c r="S2091" s="9" t="s">
        <v>545</v>
      </c>
      <c r="T2091" s="2"/>
      <c r="U2091" s="2"/>
      <c r="V2091" s="2">
        <v>12.5</v>
      </c>
      <c r="W2091" s="78" t="s">
        <v>710</v>
      </c>
      <c r="X2091" s="17">
        <v>45347</v>
      </c>
      <c r="Y2091" s="17">
        <v>45482</v>
      </c>
      <c r="Z2091" s="19" t="s">
        <v>772</v>
      </c>
      <c r="AA2091" s="210">
        <v>5000</v>
      </c>
      <c r="AB2091" s="9">
        <v>30</v>
      </c>
      <c r="AC2091" s="9">
        <v>3</v>
      </c>
      <c r="AD2091" s="17">
        <v>45540</v>
      </c>
      <c r="AE2091" s="56">
        <v>135</v>
      </c>
      <c r="AF2091" s="56"/>
      <c r="AG2091" s="9" t="s">
        <v>134</v>
      </c>
      <c r="AH2091" s="17">
        <v>45544</v>
      </c>
      <c r="AI2091" s="17"/>
      <c r="AJ2091" s="17"/>
      <c r="AK2091" s="9" t="s">
        <v>1466</v>
      </c>
      <c r="AL2091" s="22">
        <v>135</v>
      </c>
      <c r="AM2091" s="22"/>
      <c r="AN2091" s="22" t="s">
        <v>1420</v>
      </c>
      <c r="AO2091" s="22"/>
      <c r="AP2091" s="22"/>
      <c r="AQ2091" s="22"/>
      <c r="AR2091" s="22"/>
      <c r="AS2091" s="22"/>
      <c r="AT2091" s="22"/>
      <c r="AU2091" s="22"/>
      <c r="AV2091" s="22"/>
      <c r="AW2091" s="17">
        <v>45544</v>
      </c>
      <c r="AX2091" s="10">
        <v>3130</v>
      </c>
      <c r="BA2091" s="86">
        <v>135</v>
      </c>
      <c r="BD2091" s="9"/>
      <c r="CS2091" s="11">
        <f t="shared" si="144"/>
        <v>135</v>
      </c>
      <c r="CT2091" s="22">
        <f t="shared" si="145"/>
        <v>135</v>
      </c>
      <c r="CU2091" s="22">
        <f t="shared" si="146"/>
        <v>0</v>
      </c>
      <c r="CV2091" s="26">
        <f t="shared" si="143"/>
        <v>0</v>
      </c>
    </row>
    <row r="2092" spans="1:101" x14ac:dyDescent="0.2">
      <c r="A2092" s="9" t="s">
        <v>492</v>
      </c>
      <c r="B2092" s="2">
        <v>33</v>
      </c>
      <c r="C2092" s="3" t="s">
        <v>95</v>
      </c>
      <c r="D2092" s="3" t="s">
        <v>96</v>
      </c>
      <c r="E2092" s="2"/>
      <c r="F2092" s="2"/>
      <c r="G2092" s="2" t="s">
        <v>69</v>
      </c>
      <c r="H2092" s="2">
        <v>4</v>
      </c>
      <c r="I2092" s="8">
        <v>120</v>
      </c>
      <c r="J2092" s="8">
        <v>53333</v>
      </c>
      <c r="K2092" s="3">
        <v>0</v>
      </c>
      <c r="L2092" s="3" t="s">
        <v>3</v>
      </c>
      <c r="M2092" s="9" t="s">
        <v>0</v>
      </c>
      <c r="N2092" s="9" t="s">
        <v>44</v>
      </c>
      <c r="O2092" s="9" t="s">
        <v>541</v>
      </c>
      <c r="S2092" s="9" t="s">
        <v>545</v>
      </c>
      <c r="T2092" s="2"/>
      <c r="U2092" s="2"/>
      <c r="V2092" s="2">
        <v>12.5</v>
      </c>
      <c r="W2092" s="78" t="s">
        <v>710</v>
      </c>
      <c r="X2092" s="17">
        <v>45347</v>
      </c>
      <c r="Y2092" s="17">
        <v>45482</v>
      </c>
      <c r="Z2092" s="19" t="s">
        <v>772</v>
      </c>
      <c r="AA2092" s="210">
        <v>5000</v>
      </c>
      <c r="AB2092" s="9">
        <v>30</v>
      </c>
      <c r="AC2092" s="9">
        <v>4</v>
      </c>
      <c r="AD2092" s="17">
        <v>45570</v>
      </c>
      <c r="AE2092" s="56">
        <v>135</v>
      </c>
      <c r="AF2092" s="56"/>
      <c r="AG2092" s="9" t="s">
        <v>134</v>
      </c>
      <c r="AH2092" s="17">
        <v>45574</v>
      </c>
      <c r="AI2092" s="17"/>
      <c r="AJ2092" s="17"/>
      <c r="AK2092" s="9" t="s">
        <v>1467</v>
      </c>
      <c r="AL2092" s="11">
        <v>135</v>
      </c>
      <c r="AN2092" s="11" t="s">
        <v>1422</v>
      </c>
      <c r="AP2092" s="11"/>
      <c r="AQ2092" s="11"/>
      <c r="AR2092" s="11"/>
      <c r="AW2092" s="17">
        <v>45574</v>
      </c>
      <c r="AX2092" s="10">
        <v>3260</v>
      </c>
      <c r="BA2092" s="86">
        <v>135</v>
      </c>
      <c r="BD2092" s="9"/>
      <c r="CS2092" s="11">
        <f t="shared" si="144"/>
        <v>135</v>
      </c>
      <c r="CT2092" s="22">
        <f t="shared" si="145"/>
        <v>135</v>
      </c>
      <c r="CU2092" s="22">
        <f t="shared" si="146"/>
        <v>0</v>
      </c>
      <c r="CV2092" s="26">
        <f t="shared" si="143"/>
        <v>0</v>
      </c>
    </row>
    <row r="2093" spans="1:101" x14ac:dyDescent="0.2">
      <c r="A2093" s="9" t="s">
        <v>492</v>
      </c>
      <c r="B2093" s="2">
        <v>33</v>
      </c>
      <c r="C2093" s="3" t="s">
        <v>95</v>
      </c>
      <c r="D2093" s="3" t="s">
        <v>96</v>
      </c>
      <c r="E2093" s="2"/>
      <c r="F2093" s="2"/>
      <c r="G2093" s="2" t="s">
        <v>69</v>
      </c>
      <c r="H2093" s="2">
        <v>4</v>
      </c>
      <c r="I2093" s="8">
        <v>120</v>
      </c>
      <c r="J2093" s="8">
        <v>53333</v>
      </c>
      <c r="K2093" s="3">
        <v>0</v>
      </c>
      <c r="L2093" s="3" t="s">
        <v>3</v>
      </c>
      <c r="M2093" s="9" t="s">
        <v>0</v>
      </c>
      <c r="N2093" s="9" t="s">
        <v>44</v>
      </c>
      <c r="O2093" s="9" t="s">
        <v>541</v>
      </c>
      <c r="S2093" s="9" t="s">
        <v>545</v>
      </c>
      <c r="T2093" s="2"/>
      <c r="U2093" s="2"/>
      <c r="V2093" s="2">
        <v>12.5</v>
      </c>
      <c r="W2093" s="78" t="s">
        <v>710</v>
      </c>
      <c r="X2093" s="17">
        <v>45347</v>
      </c>
      <c r="Y2093" s="17">
        <v>45482</v>
      </c>
      <c r="Z2093" s="19" t="s">
        <v>772</v>
      </c>
      <c r="AA2093" s="210">
        <v>5000</v>
      </c>
      <c r="AB2093" s="9">
        <v>30</v>
      </c>
      <c r="AC2093" s="9">
        <v>5</v>
      </c>
      <c r="AD2093" s="17">
        <v>45601</v>
      </c>
      <c r="AE2093" s="56">
        <v>135</v>
      </c>
      <c r="AF2093" s="56"/>
      <c r="AG2093" s="9" t="s">
        <v>134</v>
      </c>
      <c r="AH2093" s="17">
        <v>45604</v>
      </c>
      <c r="AI2093" s="17"/>
      <c r="AJ2093" s="17"/>
      <c r="AK2093" s="9" t="s">
        <v>1468</v>
      </c>
      <c r="AL2093" s="11">
        <v>135</v>
      </c>
      <c r="AN2093" s="11" t="s">
        <v>1424</v>
      </c>
      <c r="AP2093" s="11"/>
      <c r="AQ2093" s="11"/>
      <c r="AR2093" s="11"/>
      <c r="AW2093" s="17">
        <v>45604</v>
      </c>
      <c r="AX2093" s="10">
        <v>3390</v>
      </c>
      <c r="BA2093" s="86">
        <v>135</v>
      </c>
      <c r="BD2093" s="9"/>
      <c r="CS2093" s="11">
        <f t="shared" si="144"/>
        <v>135</v>
      </c>
      <c r="CT2093" s="22">
        <f t="shared" si="145"/>
        <v>135</v>
      </c>
      <c r="CU2093" s="22">
        <f t="shared" si="146"/>
        <v>0</v>
      </c>
      <c r="CV2093" s="26">
        <f t="shared" si="143"/>
        <v>0</v>
      </c>
    </row>
    <row r="2094" spans="1:101" x14ac:dyDescent="0.2">
      <c r="A2094" s="9" t="s">
        <v>492</v>
      </c>
      <c r="B2094" s="2">
        <v>33</v>
      </c>
      <c r="C2094" s="3" t="s">
        <v>95</v>
      </c>
      <c r="D2094" s="3" t="s">
        <v>96</v>
      </c>
      <c r="E2094" s="2"/>
      <c r="F2094" s="2"/>
      <c r="G2094" s="2" t="s">
        <v>69</v>
      </c>
      <c r="H2094" s="2">
        <v>4</v>
      </c>
      <c r="I2094" s="8">
        <v>120</v>
      </c>
      <c r="J2094" s="8">
        <v>53333</v>
      </c>
      <c r="K2094" s="3">
        <v>0</v>
      </c>
      <c r="L2094" s="3" t="s">
        <v>3</v>
      </c>
      <c r="M2094" s="9" t="s">
        <v>0</v>
      </c>
      <c r="N2094" s="9" t="s">
        <v>44</v>
      </c>
      <c r="O2094" s="9" t="s">
        <v>541</v>
      </c>
      <c r="S2094" s="9" t="s">
        <v>545</v>
      </c>
      <c r="T2094" s="2"/>
      <c r="U2094" s="2"/>
      <c r="V2094" s="2">
        <v>12.5</v>
      </c>
      <c r="W2094" s="78" t="s">
        <v>710</v>
      </c>
      <c r="X2094" s="17">
        <v>45347</v>
      </c>
      <c r="Y2094" s="17">
        <v>45482</v>
      </c>
      <c r="Z2094" s="19" t="s">
        <v>772</v>
      </c>
      <c r="AA2094" s="210">
        <v>5000</v>
      </c>
      <c r="AB2094" s="9">
        <v>30</v>
      </c>
      <c r="AC2094" s="9">
        <v>6</v>
      </c>
      <c r="AD2094" s="17">
        <v>45631</v>
      </c>
      <c r="AE2094" s="56">
        <v>135</v>
      </c>
      <c r="AF2094" s="56"/>
      <c r="AG2094" s="9" t="s">
        <v>134</v>
      </c>
      <c r="AH2094" s="17">
        <v>45638</v>
      </c>
      <c r="AI2094" s="17"/>
      <c r="AJ2094" s="17"/>
      <c r="AK2094" s="9" t="s">
        <v>1469</v>
      </c>
      <c r="AL2094" s="11">
        <v>135</v>
      </c>
      <c r="AN2094" s="11" t="s">
        <v>1426</v>
      </c>
      <c r="AP2094" s="11"/>
      <c r="AQ2094" s="11"/>
      <c r="AR2094" s="11"/>
      <c r="AW2094" s="17">
        <v>45638</v>
      </c>
      <c r="AX2094" s="10">
        <v>3507</v>
      </c>
      <c r="BA2094" s="86">
        <v>135</v>
      </c>
      <c r="BD2094" s="9"/>
      <c r="CS2094" s="11">
        <f t="shared" si="144"/>
        <v>135</v>
      </c>
      <c r="CT2094" s="22">
        <f t="shared" si="145"/>
        <v>135</v>
      </c>
      <c r="CU2094" s="22">
        <f t="shared" si="146"/>
        <v>0</v>
      </c>
      <c r="CV2094" s="26">
        <f t="shared" si="143"/>
        <v>0</v>
      </c>
    </row>
    <row r="2095" spans="1:101" x14ac:dyDescent="0.2">
      <c r="A2095" s="9" t="s">
        <v>492</v>
      </c>
      <c r="B2095" s="2">
        <v>33</v>
      </c>
      <c r="C2095" s="3" t="s">
        <v>95</v>
      </c>
      <c r="D2095" s="3" t="s">
        <v>96</v>
      </c>
      <c r="E2095" s="2"/>
      <c r="F2095" s="2"/>
      <c r="G2095" s="2" t="s">
        <v>69</v>
      </c>
      <c r="H2095" s="2">
        <v>4</v>
      </c>
      <c r="I2095" s="8">
        <v>120</v>
      </c>
      <c r="J2095" s="8">
        <v>53333</v>
      </c>
      <c r="K2095" s="3">
        <v>0</v>
      </c>
      <c r="L2095" s="3" t="s">
        <v>3</v>
      </c>
      <c r="M2095" s="9" t="s">
        <v>0</v>
      </c>
      <c r="N2095" s="9" t="s">
        <v>44</v>
      </c>
      <c r="O2095" s="9" t="s">
        <v>541</v>
      </c>
      <c r="S2095" s="9" t="s">
        <v>545</v>
      </c>
      <c r="T2095" s="2"/>
      <c r="U2095" s="2"/>
      <c r="V2095" s="2">
        <v>12.5</v>
      </c>
      <c r="W2095" s="78" t="s">
        <v>710</v>
      </c>
      <c r="X2095" s="17">
        <v>45347</v>
      </c>
      <c r="Y2095" s="17">
        <v>45482</v>
      </c>
      <c r="Z2095" s="19" t="s">
        <v>772</v>
      </c>
      <c r="AA2095" s="210">
        <v>5000</v>
      </c>
      <c r="AB2095" s="9">
        <v>30</v>
      </c>
      <c r="AC2095" s="9">
        <v>7</v>
      </c>
      <c r="AD2095" s="17">
        <v>45662</v>
      </c>
      <c r="AE2095" s="56">
        <v>135</v>
      </c>
      <c r="AF2095" s="56"/>
      <c r="AG2095" s="9" t="s">
        <v>134</v>
      </c>
      <c r="AH2095" s="17">
        <v>45672</v>
      </c>
      <c r="AI2095" s="17"/>
      <c r="AJ2095" s="17"/>
      <c r="AK2095" s="9" t="s">
        <v>1470</v>
      </c>
      <c r="AL2095" s="11">
        <v>135</v>
      </c>
      <c r="AN2095" s="11" t="s">
        <v>1428</v>
      </c>
      <c r="AP2095" s="11"/>
      <c r="AQ2095" s="11"/>
      <c r="AR2095" s="11"/>
      <c r="AW2095" s="17">
        <v>45672</v>
      </c>
      <c r="AX2095" s="10">
        <v>3609</v>
      </c>
      <c r="BA2095" s="86">
        <v>135</v>
      </c>
      <c r="BD2095" s="9"/>
      <c r="CS2095" s="11">
        <f t="shared" si="144"/>
        <v>135</v>
      </c>
      <c r="CT2095" s="22">
        <f t="shared" si="145"/>
        <v>135</v>
      </c>
      <c r="CU2095" s="22">
        <f t="shared" si="146"/>
        <v>0</v>
      </c>
      <c r="CV2095" s="26">
        <f t="shared" si="143"/>
        <v>0</v>
      </c>
    </row>
    <row r="2096" spans="1:101" x14ac:dyDescent="0.2">
      <c r="A2096" s="9" t="s">
        <v>492</v>
      </c>
      <c r="B2096" s="2">
        <v>33</v>
      </c>
      <c r="C2096" s="3" t="s">
        <v>95</v>
      </c>
      <c r="D2096" s="3" t="s">
        <v>96</v>
      </c>
      <c r="E2096" s="2"/>
      <c r="F2096" s="2"/>
      <c r="G2096" s="2" t="s">
        <v>69</v>
      </c>
      <c r="H2096" s="2">
        <v>4</v>
      </c>
      <c r="I2096" s="8">
        <v>120</v>
      </c>
      <c r="J2096" s="8">
        <v>53333</v>
      </c>
      <c r="K2096" s="3">
        <v>0</v>
      </c>
      <c r="L2096" s="3" t="s">
        <v>3</v>
      </c>
      <c r="M2096" s="9" t="s">
        <v>0</v>
      </c>
      <c r="N2096" s="9" t="s">
        <v>44</v>
      </c>
      <c r="O2096" s="9" t="s">
        <v>541</v>
      </c>
      <c r="S2096" s="9" t="s">
        <v>545</v>
      </c>
      <c r="T2096" s="2"/>
      <c r="U2096" s="2"/>
      <c r="V2096" s="2">
        <v>12.5</v>
      </c>
      <c r="W2096" s="78" t="s">
        <v>710</v>
      </c>
      <c r="X2096" s="17">
        <v>45347</v>
      </c>
      <c r="Y2096" s="17">
        <v>45482</v>
      </c>
      <c r="Z2096" s="19" t="s">
        <v>772</v>
      </c>
      <c r="AA2096" s="210">
        <v>5000</v>
      </c>
      <c r="AB2096" s="9">
        <v>30</v>
      </c>
      <c r="AC2096" s="9">
        <v>8</v>
      </c>
      <c r="AD2096" s="17">
        <v>45693</v>
      </c>
      <c r="AE2096" s="56">
        <v>135</v>
      </c>
      <c r="AF2096" s="56"/>
      <c r="AG2096" s="9" t="s">
        <v>134</v>
      </c>
      <c r="AH2096" s="17">
        <v>45737</v>
      </c>
      <c r="AI2096" s="17"/>
      <c r="AJ2096" s="17"/>
      <c r="AK2096" s="9" t="s">
        <v>1471</v>
      </c>
      <c r="AL2096" s="11">
        <v>135</v>
      </c>
      <c r="AN2096" s="11" t="s">
        <v>1431</v>
      </c>
      <c r="AP2096" s="11"/>
      <c r="AQ2096" s="11"/>
      <c r="AR2096" s="11"/>
      <c r="AW2096" s="17">
        <v>45737</v>
      </c>
      <c r="AX2096" s="10">
        <v>3906</v>
      </c>
      <c r="BA2096" s="86">
        <v>135</v>
      </c>
      <c r="BD2096" s="9"/>
      <c r="CS2096" s="11">
        <f t="shared" si="144"/>
        <v>135</v>
      </c>
      <c r="CT2096" s="22">
        <f t="shared" si="145"/>
        <v>135</v>
      </c>
      <c r="CU2096" s="22">
        <f t="shared" si="146"/>
        <v>0</v>
      </c>
      <c r="CV2096" s="26">
        <f t="shared" si="143"/>
        <v>0</v>
      </c>
    </row>
    <row r="2097" spans="1:100" x14ac:dyDescent="0.2">
      <c r="A2097" s="9" t="s">
        <v>492</v>
      </c>
      <c r="B2097" s="2">
        <v>33</v>
      </c>
      <c r="C2097" s="3" t="s">
        <v>95</v>
      </c>
      <c r="D2097" s="3" t="s">
        <v>96</v>
      </c>
      <c r="E2097" s="2"/>
      <c r="F2097" s="2"/>
      <c r="G2097" s="2" t="s">
        <v>69</v>
      </c>
      <c r="H2097" s="2">
        <v>4</v>
      </c>
      <c r="I2097" s="8">
        <v>120</v>
      </c>
      <c r="J2097" s="8">
        <v>53333</v>
      </c>
      <c r="K2097" s="3">
        <v>0</v>
      </c>
      <c r="L2097" s="3" t="s">
        <v>3</v>
      </c>
      <c r="M2097" s="9" t="s">
        <v>0</v>
      </c>
      <c r="N2097" s="9" t="s">
        <v>44</v>
      </c>
      <c r="O2097" s="9" t="s">
        <v>541</v>
      </c>
      <c r="S2097" s="9" t="s">
        <v>545</v>
      </c>
      <c r="T2097" s="2"/>
      <c r="U2097" s="2"/>
      <c r="V2097" s="2">
        <v>12.5</v>
      </c>
      <c r="W2097" s="78" t="s">
        <v>710</v>
      </c>
      <c r="X2097" s="17">
        <v>45347</v>
      </c>
      <c r="Y2097" s="17">
        <v>45482</v>
      </c>
      <c r="Z2097" s="19" t="s">
        <v>772</v>
      </c>
      <c r="AA2097" s="210">
        <v>5000</v>
      </c>
      <c r="AB2097" s="9">
        <v>30</v>
      </c>
      <c r="AC2097" s="9">
        <v>9</v>
      </c>
      <c r="AD2097" s="17">
        <v>45721</v>
      </c>
      <c r="AE2097" s="56">
        <v>135</v>
      </c>
      <c r="AF2097" s="56"/>
      <c r="AG2097" s="9" t="s">
        <v>134</v>
      </c>
      <c r="AH2097" s="17">
        <v>45737</v>
      </c>
      <c r="AI2097" s="17"/>
      <c r="AJ2097" s="17"/>
      <c r="AK2097" s="9" t="s">
        <v>1472</v>
      </c>
      <c r="AL2097" s="11">
        <v>135</v>
      </c>
      <c r="AN2097" s="11" t="s">
        <v>1432</v>
      </c>
      <c r="AP2097" s="11"/>
      <c r="AQ2097" s="11"/>
      <c r="AR2097" s="11"/>
      <c r="AW2097" s="17">
        <v>45737</v>
      </c>
      <c r="AX2097" s="10">
        <v>3906</v>
      </c>
      <c r="BA2097" s="86">
        <v>135</v>
      </c>
      <c r="BD2097" s="9"/>
      <c r="CS2097" s="11">
        <f t="shared" si="144"/>
        <v>135</v>
      </c>
      <c r="CT2097" s="22">
        <f t="shared" si="145"/>
        <v>135</v>
      </c>
      <c r="CU2097" s="22">
        <f t="shared" si="146"/>
        <v>0</v>
      </c>
      <c r="CV2097" s="26">
        <f t="shared" si="143"/>
        <v>0</v>
      </c>
    </row>
    <row r="2098" spans="1:100" x14ac:dyDescent="0.2">
      <c r="A2098" s="9" t="s">
        <v>492</v>
      </c>
      <c r="B2098" s="2">
        <v>33</v>
      </c>
      <c r="C2098" s="3" t="s">
        <v>95</v>
      </c>
      <c r="D2098" s="3" t="s">
        <v>96</v>
      </c>
      <c r="E2098" s="2"/>
      <c r="F2098" s="2"/>
      <c r="G2098" s="2" t="s">
        <v>69</v>
      </c>
      <c r="H2098" s="2">
        <v>4</v>
      </c>
      <c r="I2098" s="8">
        <v>120</v>
      </c>
      <c r="J2098" s="8">
        <v>53333</v>
      </c>
      <c r="K2098" s="3">
        <v>0</v>
      </c>
      <c r="L2098" s="3" t="s">
        <v>3</v>
      </c>
      <c r="M2098" s="9" t="s">
        <v>0</v>
      </c>
      <c r="N2098" s="9" t="s">
        <v>44</v>
      </c>
      <c r="O2098" s="9" t="s">
        <v>541</v>
      </c>
      <c r="S2098" s="9" t="s">
        <v>545</v>
      </c>
      <c r="T2098" s="2"/>
      <c r="U2098" s="2"/>
      <c r="V2098" s="2">
        <v>12.5</v>
      </c>
      <c r="W2098" s="78" t="s">
        <v>710</v>
      </c>
      <c r="X2098" s="17">
        <v>45347</v>
      </c>
      <c r="Y2098" s="17">
        <v>45482</v>
      </c>
      <c r="Z2098" s="19" t="s">
        <v>772</v>
      </c>
      <c r="AA2098" s="210">
        <v>5000</v>
      </c>
      <c r="AB2098" s="9">
        <v>30</v>
      </c>
      <c r="AC2098" s="9">
        <v>10</v>
      </c>
      <c r="AD2098" s="17">
        <v>45752</v>
      </c>
      <c r="AE2098" s="56">
        <v>135</v>
      </c>
      <c r="AF2098" s="56"/>
      <c r="AG2098" s="9" t="s">
        <v>134</v>
      </c>
      <c r="AH2098" s="17">
        <v>45754</v>
      </c>
      <c r="AI2098" s="17"/>
      <c r="AJ2098" s="17"/>
      <c r="AK2098" s="9" t="s">
        <v>1473</v>
      </c>
      <c r="AL2098" s="11">
        <v>135</v>
      </c>
      <c r="AN2098" s="11" t="s">
        <v>1434</v>
      </c>
      <c r="AP2098" s="11"/>
      <c r="AQ2098" s="11"/>
      <c r="AR2098" s="11"/>
      <c r="AW2098" s="17">
        <v>45754</v>
      </c>
      <c r="AX2098" s="10">
        <v>3978</v>
      </c>
      <c r="BA2098" s="86">
        <v>135</v>
      </c>
      <c r="BD2098" s="9"/>
      <c r="CS2098" s="11">
        <f t="shared" si="144"/>
        <v>135</v>
      </c>
      <c r="CT2098" s="22">
        <f t="shared" si="145"/>
        <v>135</v>
      </c>
      <c r="CU2098" s="22">
        <f t="shared" si="146"/>
        <v>0</v>
      </c>
      <c r="CV2098" s="26">
        <f t="shared" si="143"/>
        <v>0</v>
      </c>
    </row>
    <row r="2099" spans="1:100" x14ac:dyDescent="0.2">
      <c r="A2099" s="9" t="s">
        <v>492</v>
      </c>
      <c r="B2099" s="2">
        <v>33</v>
      </c>
      <c r="C2099" s="3" t="s">
        <v>95</v>
      </c>
      <c r="D2099" s="3" t="s">
        <v>96</v>
      </c>
      <c r="E2099" s="2"/>
      <c r="F2099" s="2"/>
      <c r="G2099" s="2" t="s">
        <v>69</v>
      </c>
      <c r="H2099" s="2">
        <v>4</v>
      </c>
      <c r="I2099" s="8">
        <v>120</v>
      </c>
      <c r="J2099" s="8">
        <v>53333</v>
      </c>
      <c r="K2099" s="3">
        <v>0</v>
      </c>
      <c r="L2099" s="3" t="s">
        <v>3</v>
      </c>
      <c r="M2099" s="9" t="s">
        <v>0</v>
      </c>
      <c r="N2099" s="9" t="s">
        <v>44</v>
      </c>
      <c r="O2099" s="9" t="s">
        <v>541</v>
      </c>
      <c r="S2099" s="9" t="s">
        <v>545</v>
      </c>
      <c r="T2099" s="2"/>
      <c r="U2099" s="2"/>
      <c r="V2099" s="2">
        <v>12.5</v>
      </c>
      <c r="W2099" s="78" t="s">
        <v>710</v>
      </c>
      <c r="X2099" s="17">
        <v>45347</v>
      </c>
      <c r="Y2099" s="17">
        <v>45482</v>
      </c>
      <c r="Z2099" s="19" t="s">
        <v>772</v>
      </c>
      <c r="AA2099" s="210">
        <v>5000</v>
      </c>
      <c r="AB2099" s="9">
        <v>30</v>
      </c>
      <c r="AC2099" s="9">
        <v>11</v>
      </c>
      <c r="AD2099" s="17">
        <v>45782</v>
      </c>
      <c r="AE2099" s="56">
        <v>135</v>
      </c>
      <c r="AF2099" s="56"/>
      <c r="AG2099" s="9" t="s">
        <v>134</v>
      </c>
      <c r="AH2099" s="17">
        <v>45791</v>
      </c>
      <c r="AI2099" s="17"/>
      <c r="AJ2099" s="17"/>
      <c r="AK2099" s="9" t="s">
        <v>1474</v>
      </c>
      <c r="AL2099" s="11">
        <v>135</v>
      </c>
      <c r="AN2099" s="11" t="s">
        <v>1436</v>
      </c>
      <c r="AP2099" s="11"/>
      <c r="AQ2099" s="11"/>
      <c r="AR2099" s="11"/>
      <c r="AW2099" s="17">
        <v>45790</v>
      </c>
      <c r="AX2099" s="10">
        <v>4158</v>
      </c>
      <c r="BA2099" s="86">
        <v>135</v>
      </c>
      <c r="BD2099" s="9"/>
      <c r="CS2099" s="11">
        <f t="shared" si="144"/>
        <v>135</v>
      </c>
      <c r="CT2099" s="22">
        <f t="shared" si="145"/>
        <v>135</v>
      </c>
      <c r="CU2099" s="22">
        <f t="shared" si="146"/>
        <v>0</v>
      </c>
      <c r="CV2099" s="26">
        <f t="shared" si="143"/>
        <v>0</v>
      </c>
    </row>
    <row r="2100" spans="1:100" x14ac:dyDescent="0.2">
      <c r="A2100" s="9" t="s">
        <v>492</v>
      </c>
      <c r="B2100" s="2">
        <v>33</v>
      </c>
      <c r="C2100" s="3" t="s">
        <v>95</v>
      </c>
      <c r="D2100" s="3" t="s">
        <v>96</v>
      </c>
      <c r="E2100" s="2"/>
      <c r="F2100" s="2"/>
      <c r="G2100" s="2" t="s">
        <v>69</v>
      </c>
      <c r="H2100" s="2">
        <v>4</v>
      </c>
      <c r="I2100" s="8">
        <v>120</v>
      </c>
      <c r="J2100" s="8">
        <v>53333</v>
      </c>
      <c r="K2100" s="3">
        <v>0</v>
      </c>
      <c r="L2100" s="3" t="s">
        <v>3</v>
      </c>
      <c r="M2100" s="9" t="s">
        <v>0</v>
      </c>
      <c r="N2100" s="9" t="s">
        <v>44</v>
      </c>
      <c r="O2100" s="9" t="s">
        <v>541</v>
      </c>
      <c r="S2100" s="9" t="s">
        <v>545</v>
      </c>
      <c r="T2100" s="2"/>
      <c r="U2100" s="2"/>
      <c r="V2100" s="2">
        <v>12.5</v>
      </c>
      <c r="W2100" s="78" t="s">
        <v>710</v>
      </c>
      <c r="X2100" s="17">
        <v>45347</v>
      </c>
      <c r="Y2100" s="17">
        <v>45482</v>
      </c>
      <c r="Z2100" s="19" t="s">
        <v>772</v>
      </c>
      <c r="AA2100" s="210">
        <v>5000</v>
      </c>
      <c r="AB2100" s="9">
        <v>30</v>
      </c>
      <c r="AC2100" s="9">
        <v>12</v>
      </c>
      <c r="AD2100" s="17">
        <v>45813</v>
      </c>
      <c r="AE2100" s="56">
        <v>135</v>
      </c>
      <c r="AF2100" s="56"/>
      <c r="AG2100" s="9" t="s">
        <v>134</v>
      </c>
      <c r="AH2100" s="17">
        <v>45817</v>
      </c>
      <c r="AI2100" s="17"/>
      <c r="AJ2100" s="17"/>
      <c r="AK2100" s="9" t="s">
        <v>1475</v>
      </c>
      <c r="AL2100" s="11">
        <v>135</v>
      </c>
      <c r="AN2100" s="11" t="s">
        <v>1438</v>
      </c>
      <c r="AP2100" s="11"/>
      <c r="AQ2100" s="11"/>
      <c r="AR2100" s="11"/>
      <c r="AW2100" s="17">
        <v>45813</v>
      </c>
      <c r="AX2100" s="10">
        <v>4270</v>
      </c>
      <c r="BA2100" s="86">
        <v>135</v>
      </c>
      <c r="BD2100" s="9"/>
      <c r="CS2100" s="11">
        <f t="shared" si="144"/>
        <v>135</v>
      </c>
      <c r="CT2100" s="22">
        <f t="shared" si="145"/>
        <v>135</v>
      </c>
      <c r="CU2100" s="22">
        <f t="shared" si="146"/>
        <v>0</v>
      </c>
      <c r="CV2100" s="26">
        <f t="shared" si="143"/>
        <v>0</v>
      </c>
    </row>
    <row r="2101" spans="1:100" x14ac:dyDescent="0.2">
      <c r="A2101" s="9" t="s">
        <v>492</v>
      </c>
      <c r="B2101" s="2">
        <v>33</v>
      </c>
      <c r="C2101" s="3" t="s">
        <v>95</v>
      </c>
      <c r="D2101" s="3" t="s">
        <v>96</v>
      </c>
      <c r="E2101" s="2"/>
      <c r="F2101" s="2"/>
      <c r="G2101" s="2" t="s">
        <v>69</v>
      </c>
      <c r="H2101" s="2">
        <v>4</v>
      </c>
      <c r="I2101" s="8">
        <v>120</v>
      </c>
      <c r="J2101" s="8">
        <v>53333</v>
      </c>
      <c r="K2101" s="3">
        <v>0</v>
      </c>
      <c r="L2101" s="3" t="s">
        <v>3</v>
      </c>
      <c r="M2101" s="9" t="s">
        <v>0</v>
      </c>
      <c r="N2101" s="9" t="s">
        <v>44</v>
      </c>
      <c r="O2101" s="9" t="s">
        <v>541</v>
      </c>
      <c r="S2101" s="9" t="s">
        <v>545</v>
      </c>
      <c r="T2101" s="2"/>
      <c r="U2101" s="2"/>
      <c r="V2101" s="2">
        <v>12.5</v>
      </c>
      <c r="W2101" s="78" t="s">
        <v>710</v>
      </c>
      <c r="X2101" s="17">
        <v>45347</v>
      </c>
      <c r="Y2101" s="17">
        <v>45482</v>
      </c>
      <c r="Z2101" s="19" t="s">
        <v>772</v>
      </c>
      <c r="AA2101" s="210">
        <v>5000</v>
      </c>
      <c r="AB2101" s="9">
        <v>30</v>
      </c>
      <c r="AC2101" s="9">
        <v>13</v>
      </c>
      <c r="AD2101" s="17">
        <v>45843</v>
      </c>
      <c r="AE2101" s="56">
        <v>135</v>
      </c>
      <c r="AF2101" s="56"/>
      <c r="AG2101" s="9" t="s">
        <v>134</v>
      </c>
      <c r="AH2101" s="17">
        <v>45847</v>
      </c>
      <c r="AI2101" s="17"/>
      <c r="AJ2101" s="17"/>
      <c r="AK2101" s="9" t="s">
        <v>1476</v>
      </c>
      <c r="AL2101" s="11">
        <v>135</v>
      </c>
      <c r="AN2101" s="11" t="s">
        <v>1440</v>
      </c>
      <c r="AP2101" s="11"/>
      <c r="AQ2101" s="11"/>
      <c r="AR2101" s="11"/>
      <c r="AW2101" s="17">
        <v>45846</v>
      </c>
      <c r="AX2101" s="10">
        <v>4386</v>
      </c>
      <c r="BA2101" s="86">
        <v>135</v>
      </c>
      <c r="BD2101" s="9"/>
      <c r="CS2101" s="11">
        <f t="shared" si="144"/>
        <v>135</v>
      </c>
      <c r="CT2101" s="22">
        <f t="shared" si="145"/>
        <v>135</v>
      </c>
      <c r="CU2101" s="22">
        <f t="shared" si="146"/>
        <v>0</v>
      </c>
      <c r="CV2101" s="26">
        <f t="shared" si="143"/>
        <v>0</v>
      </c>
    </row>
    <row r="2102" spans="1:100" x14ac:dyDescent="0.2">
      <c r="A2102" s="9" t="s">
        <v>492</v>
      </c>
      <c r="B2102" s="2">
        <v>33</v>
      </c>
      <c r="C2102" s="3" t="s">
        <v>95</v>
      </c>
      <c r="D2102" s="3" t="s">
        <v>96</v>
      </c>
      <c r="E2102" s="2"/>
      <c r="F2102" s="2"/>
      <c r="G2102" s="2" t="s">
        <v>69</v>
      </c>
      <c r="H2102" s="2">
        <v>4</v>
      </c>
      <c r="I2102" s="8">
        <v>120</v>
      </c>
      <c r="J2102" s="8">
        <v>53333</v>
      </c>
      <c r="K2102" s="3">
        <v>0</v>
      </c>
      <c r="L2102" s="3" t="s">
        <v>3</v>
      </c>
      <c r="M2102" s="9" t="s">
        <v>0</v>
      </c>
      <c r="N2102" s="9" t="s">
        <v>44</v>
      </c>
      <c r="O2102" s="9" t="s">
        <v>541</v>
      </c>
      <c r="S2102" s="9" t="s">
        <v>545</v>
      </c>
      <c r="T2102" s="2"/>
      <c r="U2102" s="2"/>
      <c r="V2102" s="2">
        <v>12.5</v>
      </c>
      <c r="W2102" s="78" t="s">
        <v>710</v>
      </c>
      <c r="X2102" s="17">
        <v>45347</v>
      </c>
      <c r="Y2102" s="17">
        <v>45482</v>
      </c>
      <c r="Z2102" s="19" t="s">
        <v>772</v>
      </c>
      <c r="AA2102" s="210">
        <v>5000</v>
      </c>
      <c r="AB2102" s="9">
        <v>30</v>
      </c>
      <c r="AC2102" s="9">
        <v>14</v>
      </c>
      <c r="AD2102" s="17">
        <v>45874</v>
      </c>
      <c r="AE2102" s="56">
        <v>135</v>
      </c>
      <c r="AF2102" s="56"/>
      <c r="AG2102" s="9" t="s">
        <v>134</v>
      </c>
      <c r="AH2102" s="17">
        <v>45885</v>
      </c>
      <c r="AI2102" s="17"/>
      <c r="AJ2102" s="17"/>
      <c r="AK2102" s="9" t="s">
        <v>1477</v>
      </c>
      <c r="AL2102" s="11">
        <v>135</v>
      </c>
      <c r="AN2102" s="11" t="s">
        <v>1442</v>
      </c>
      <c r="AP2102" s="11"/>
      <c r="AQ2102" s="11"/>
      <c r="AR2102" s="11"/>
      <c r="AW2102" s="17">
        <v>45885</v>
      </c>
      <c r="AX2102" s="10">
        <v>4573</v>
      </c>
      <c r="BA2102" s="86">
        <v>135</v>
      </c>
      <c r="BD2102" s="9"/>
      <c r="CS2102" s="11">
        <f t="shared" si="144"/>
        <v>135</v>
      </c>
      <c r="CT2102" s="22">
        <f t="shared" si="145"/>
        <v>135</v>
      </c>
      <c r="CU2102" s="22">
        <f t="shared" si="146"/>
        <v>0</v>
      </c>
      <c r="CV2102" s="26">
        <f t="shared" si="143"/>
        <v>0</v>
      </c>
    </row>
    <row r="2103" spans="1:100" ht="12.75" x14ac:dyDescent="0.2">
      <c r="A2103" s="9" t="s">
        <v>492</v>
      </c>
      <c r="B2103" s="2">
        <v>33</v>
      </c>
      <c r="C2103" s="3" t="s">
        <v>95</v>
      </c>
      <c r="D2103" s="3" t="s">
        <v>96</v>
      </c>
      <c r="E2103" s="2"/>
      <c r="F2103" s="2"/>
      <c r="G2103" s="2" t="s">
        <v>69</v>
      </c>
      <c r="H2103" s="2">
        <v>4</v>
      </c>
      <c r="I2103" s="8">
        <v>120</v>
      </c>
      <c r="J2103" s="8">
        <v>53333</v>
      </c>
      <c r="K2103" s="3">
        <v>0</v>
      </c>
      <c r="L2103" s="3" t="s">
        <v>3</v>
      </c>
      <c r="M2103" s="9" t="s">
        <v>0</v>
      </c>
      <c r="N2103" s="9" t="s">
        <v>44</v>
      </c>
      <c r="O2103" s="9" t="s">
        <v>541</v>
      </c>
      <c r="S2103" s="9" t="s">
        <v>545</v>
      </c>
      <c r="T2103" s="2"/>
      <c r="U2103" s="2"/>
      <c r="V2103" s="2">
        <v>12.5</v>
      </c>
      <c r="W2103" s="78" t="s">
        <v>710</v>
      </c>
      <c r="X2103" s="17">
        <v>45347</v>
      </c>
      <c r="Y2103" s="17">
        <v>45482</v>
      </c>
      <c r="Z2103" s="19" t="s">
        <v>772</v>
      </c>
      <c r="AA2103" s="210">
        <v>5000</v>
      </c>
      <c r="AB2103" s="9">
        <v>30</v>
      </c>
      <c r="AC2103" s="9">
        <v>15</v>
      </c>
      <c r="AD2103" s="17">
        <v>45905</v>
      </c>
      <c r="AE2103" s="56">
        <v>135</v>
      </c>
      <c r="AF2103" s="56"/>
      <c r="AG2103" s="9" t="s">
        <v>134</v>
      </c>
      <c r="AH2103" s="17">
        <v>45911</v>
      </c>
      <c r="AI2103" s="17"/>
      <c r="AJ2103" s="17"/>
      <c r="AK2103" s="9" t="s">
        <v>1478</v>
      </c>
      <c r="AL2103" s="11">
        <v>135</v>
      </c>
      <c r="AN2103" s="11" t="s">
        <v>1443</v>
      </c>
      <c r="AP2103" s="11"/>
      <c r="AQ2103" s="11"/>
      <c r="AR2103" s="11"/>
      <c r="AW2103" s="17">
        <v>45911</v>
      </c>
      <c r="AX2103" s="10">
        <v>4708</v>
      </c>
      <c r="AY2103" s="96"/>
      <c r="BA2103" s="86">
        <v>135</v>
      </c>
      <c r="BD2103" s="9"/>
      <c r="CS2103" s="11">
        <f t="shared" si="144"/>
        <v>135</v>
      </c>
      <c r="CT2103" s="22">
        <f t="shared" si="145"/>
        <v>135</v>
      </c>
      <c r="CU2103" s="22">
        <f t="shared" si="146"/>
        <v>0</v>
      </c>
      <c r="CV2103" s="26">
        <f t="shared" si="143"/>
        <v>0</v>
      </c>
    </row>
    <row r="2104" spans="1:100" x14ac:dyDescent="0.2">
      <c r="A2104" s="9" t="s">
        <v>492</v>
      </c>
      <c r="B2104" s="2">
        <v>33</v>
      </c>
      <c r="C2104" s="3" t="s">
        <v>95</v>
      </c>
      <c r="D2104" s="3" t="s">
        <v>96</v>
      </c>
      <c r="E2104" s="2"/>
      <c r="F2104" s="2"/>
      <c r="G2104" s="2" t="s">
        <v>69</v>
      </c>
      <c r="H2104" s="2">
        <v>4</v>
      </c>
      <c r="I2104" s="8">
        <v>120</v>
      </c>
      <c r="J2104" s="8">
        <v>53333</v>
      </c>
      <c r="K2104" s="3">
        <v>0</v>
      </c>
      <c r="L2104" s="3" t="s">
        <v>3</v>
      </c>
      <c r="M2104" s="9" t="s">
        <v>0</v>
      </c>
      <c r="N2104" s="9" t="s">
        <v>44</v>
      </c>
      <c r="O2104" s="9" t="s">
        <v>541</v>
      </c>
      <c r="S2104" s="9" t="s">
        <v>545</v>
      </c>
      <c r="T2104" s="2"/>
      <c r="U2104" s="2"/>
      <c r="V2104" s="2">
        <v>12.5</v>
      </c>
      <c r="W2104" s="78" t="s">
        <v>710</v>
      </c>
      <c r="X2104" s="17">
        <v>45347</v>
      </c>
      <c r="Y2104" s="17">
        <v>45482</v>
      </c>
      <c r="Z2104" s="19" t="s">
        <v>772</v>
      </c>
      <c r="AA2104" s="210">
        <v>5000</v>
      </c>
      <c r="AB2104" s="9">
        <v>30</v>
      </c>
      <c r="AC2104" s="9">
        <v>16</v>
      </c>
      <c r="AD2104" s="17">
        <v>45935</v>
      </c>
      <c r="AE2104" s="56">
        <v>135</v>
      </c>
      <c r="AF2104" s="56"/>
      <c r="AP2104" s="11"/>
      <c r="AQ2104" s="11"/>
      <c r="AR2104" s="11"/>
      <c r="AW2104" s="9"/>
      <c r="AX2104" s="10"/>
      <c r="BD2104" s="9"/>
      <c r="CS2104" s="11">
        <f t="shared" si="144"/>
        <v>0</v>
      </c>
      <c r="CT2104" s="22">
        <f t="shared" si="145"/>
        <v>0</v>
      </c>
      <c r="CU2104" s="22">
        <f t="shared" si="146"/>
        <v>0</v>
      </c>
      <c r="CV2104" s="26">
        <f t="shared" si="143"/>
        <v>135</v>
      </c>
    </row>
    <row r="2105" spans="1:100" x14ac:dyDescent="0.2">
      <c r="A2105" s="9" t="s">
        <v>492</v>
      </c>
      <c r="B2105" s="2">
        <v>33</v>
      </c>
      <c r="C2105" s="3" t="s">
        <v>95</v>
      </c>
      <c r="D2105" s="3" t="s">
        <v>96</v>
      </c>
      <c r="E2105" s="2"/>
      <c r="F2105" s="2"/>
      <c r="G2105" s="2" t="s">
        <v>69</v>
      </c>
      <c r="H2105" s="2">
        <v>4</v>
      </c>
      <c r="I2105" s="8">
        <v>120</v>
      </c>
      <c r="J2105" s="8">
        <v>53333</v>
      </c>
      <c r="K2105" s="3">
        <v>0</v>
      </c>
      <c r="L2105" s="3" t="s">
        <v>3</v>
      </c>
      <c r="M2105" s="9" t="s">
        <v>0</v>
      </c>
      <c r="N2105" s="9" t="s">
        <v>44</v>
      </c>
      <c r="O2105" s="9" t="s">
        <v>541</v>
      </c>
      <c r="S2105" s="9" t="s">
        <v>545</v>
      </c>
      <c r="T2105" s="2"/>
      <c r="U2105" s="2"/>
      <c r="V2105" s="2">
        <v>12.5</v>
      </c>
      <c r="W2105" s="78" t="s">
        <v>710</v>
      </c>
      <c r="X2105" s="17">
        <v>45347</v>
      </c>
      <c r="Y2105" s="17">
        <v>45482</v>
      </c>
      <c r="Z2105" s="19" t="s">
        <v>772</v>
      </c>
      <c r="AA2105" s="210">
        <v>5000</v>
      </c>
      <c r="AB2105" s="9">
        <v>30</v>
      </c>
      <c r="AC2105" s="9">
        <v>17</v>
      </c>
      <c r="AD2105" s="17">
        <v>45966</v>
      </c>
      <c r="AE2105" s="56">
        <v>135</v>
      </c>
      <c r="AF2105" s="56"/>
      <c r="AH2105" s="17"/>
      <c r="AI2105" s="17"/>
      <c r="AJ2105" s="17"/>
      <c r="AP2105" s="11"/>
      <c r="AQ2105" s="11"/>
      <c r="AR2105" s="11"/>
      <c r="AW2105" s="9"/>
      <c r="BD2105" s="9"/>
      <c r="CS2105" s="11">
        <f t="shared" si="144"/>
        <v>0</v>
      </c>
      <c r="CT2105" s="22">
        <f t="shared" si="145"/>
        <v>0</v>
      </c>
      <c r="CU2105" s="22">
        <f t="shared" si="146"/>
        <v>0</v>
      </c>
      <c r="CV2105" s="26">
        <f t="shared" ref="CV2105:CV2168" si="147">+AE2105-AL2105-AT2105</f>
        <v>135</v>
      </c>
    </row>
    <row r="2106" spans="1:100" x14ac:dyDescent="0.2">
      <c r="A2106" s="9" t="s">
        <v>492</v>
      </c>
      <c r="B2106" s="2">
        <v>33</v>
      </c>
      <c r="C2106" s="3" t="s">
        <v>95</v>
      </c>
      <c r="D2106" s="3" t="s">
        <v>96</v>
      </c>
      <c r="E2106" s="2"/>
      <c r="F2106" s="2"/>
      <c r="G2106" s="2" t="s">
        <v>69</v>
      </c>
      <c r="H2106" s="2">
        <v>4</v>
      </c>
      <c r="I2106" s="8">
        <v>120</v>
      </c>
      <c r="J2106" s="8">
        <v>53333</v>
      </c>
      <c r="K2106" s="3">
        <v>0</v>
      </c>
      <c r="L2106" s="3" t="s">
        <v>3</v>
      </c>
      <c r="M2106" s="9" t="s">
        <v>0</v>
      </c>
      <c r="N2106" s="9" t="s">
        <v>44</v>
      </c>
      <c r="O2106" s="9" t="s">
        <v>541</v>
      </c>
      <c r="S2106" s="9" t="s">
        <v>545</v>
      </c>
      <c r="T2106" s="2"/>
      <c r="U2106" s="2"/>
      <c r="V2106" s="2">
        <v>12.5</v>
      </c>
      <c r="W2106" s="78" t="s">
        <v>710</v>
      </c>
      <c r="X2106" s="17">
        <v>45347</v>
      </c>
      <c r="Y2106" s="17">
        <v>45482</v>
      </c>
      <c r="Z2106" s="19" t="s">
        <v>772</v>
      </c>
      <c r="AA2106" s="210">
        <v>5000</v>
      </c>
      <c r="AB2106" s="9">
        <v>30</v>
      </c>
      <c r="AC2106" s="9">
        <v>18</v>
      </c>
      <c r="AD2106" s="17">
        <v>45996</v>
      </c>
      <c r="AE2106" s="56">
        <v>135</v>
      </c>
      <c r="AF2106" s="56"/>
      <c r="AH2106" s="17"/>
      <c r="AI2106" s="17"/>
      <c r="AJ2106" s="17"/>
      <c r="AP2106" s="11"/>
      <c r="AQ2106" s="11"/>
      <c r="AR2106" s="11"/>
      <c r="AW2106" s="9"/>
      <c r="BD2106" s="9"/>
      <c r="CS2106" s="11">
        <f t="shared" si="144"/>
        <v>0</v>
      </c>
      <c r="CT2106" s="22">
        <f t="shared" si="145"/>
        <v>0</v>
      </c>
      <c r="CU2106" s="22">
        <f t="shared" si="146"/>
        <v>0</v>
      </c>
      <c r="CV2106" s="26">
        <f t="shared" si="147"/>
        <v>135</v>
      </c>
    </row>
    <row r="2107" spans="1:100" x14ac:dyDescent="0.2">
      <c r="A2107" s="9" t="s">
        <v>492</v>
      </c>
      <c r="B2107" s="2">
        <v>33</v>
      </c>
      <c r="C2107" s="3" t="s">
        <v>95</v>
      </c>
      <c r="D2107" s="3" t="s">
        <v>96</v>
      </c>
      <c r="E2107" s="2"/>
      <c r="F2107" s="2"/>
      <c r="G2107" s="2" t="s">
        <v>69</v>
      </c>
      <c r="H2107" s="2">
        <v>4</v>
      </c>
      <c r="I2107" s="8">
        <v>120</v>
      </c>
      <c r="J2107" s="8">
        <v>53333</v>
      </c>
      <c r="K2107" s="3">
        <v>0</v>
      </c>
      <c r="L2107" s="3" t="s">
        <v>3</v>
      </c>
      <c r="M2107" s="9" t="s">
        <v>0</v>
      </c>
      <c r="N2107" s="9" t="s">
        <v>44</v>
      </c>
      <c r="O2107" s="9" t="s">
        <v>541</v>
      </c>
      <c r="S2107" s="9" t="s">
        <v>545</v>
      </c>
      <c r="T2107" s="2"/>
      <c r="U2107" s="2"/>
      <c r="V2107" s="2">
        <v>12.5</v>
      </c>
      <c r="W2107" s="78" t="s">
        <v>710</v>
      </c>
      <c r="X2107" s="17">
        <v>45347</v>
      </c>
      <c r="Y2107" s="17">
        <v>45482</v>
      </c>
      <c r="Z2107" s="19" t="s">
        <v>772</v>
      </c>
      <c r="AA2107" s="210">
        <v>5000</v>
      </c>
      <c r="AB2107" s="9">
        <v>30</v>
      </c>
      <c r="AC2107" s="9">
        <v>19</v>
      </c>
      <c r="AD2107" s="17">
        <v>46027</v>
      </c>
      <c r="AE2107" s="56">
        <v>135</v>
      </c>
      <c r="AF2107" s="56"/>
      <c r="AH2107" s="17"/>
      <c r="AI2107" s="17"/>
      <c r="AJ2107" s="17"/>
      <c r="AP2107" s="11"/>
      <c r="AQ2107" s="11"/>
      <c r="AR2107" s="11"/>
      <c r="AW2107" s="9"/>
      <c r="BD2107" s="9"/>
      <c r="CS2107" s="11">
        <f t="shared" si="144"/>
        <v>0</v>
      </c>
      <c r="CT2107" s="22">
        <f t="shared" si="145"/>
        <v>0</v>
      </c>
      <c r="CU2107" s="22">
        <f t="shared" si="146"/>
        <v>0</v>
      </c>
      <c r="CV2107" s="26">
        <f t="shared" si="147"/>
        <v>135</v>
      </c>
    </row>
    <row r="2108" spans="1:100" x14ac:dyDescent="0.2">
      <c r="A2108" s="9" t="s">
        <v>492</v>
      </c>
      <c r="B2108" s="2">
        <v>33</v>
      </c>
      <c r="C2108" s="3" t="s">
        <v>95</v>
      </c>
      <c r="D2108" s="3" t="s">
        <v>96</v>
      </c>
      <c r="E2108" s="2"/>
      <c r="F2108" s="2"/>
      <c r="G2108" s="2" t="s">
        <v>69</v>
      </c>
      <c r="H2108" s="2">
        <v>4</v>
      </c>
      <c r="I2108" s="8">
        <v>120</v>
      </c>
      <c r="J2108" s="8">
        <v>53333</v>
      </c>
      <c r="K2108" s="3">
        <v>0</v>
      </c>
      <c r="L2108" s="3" t="s">
        <v>3</v>
      </c>
      <c r="M2108" s="9" t="s">
        <v>0</v>
      </c>
      <c r="N2108" s="9" t="s">
        <v>44</v>
      </c>
      <c r="O2108" s="9" t="s">
        <v>541</v>
      </c>
      <c r="S2108" s="9" t="s">
        <v>545</v>
      </c>
      <c r="T2108" s="2"/>
      <c r="U2108" s="2"/>
      <c r="V2108" s="2">
        <v>12.5</v>
      </c>
      <c r="W2108" s="78" t="s">
        <v>710</v>
      </c>
      <c r="X2108" s="17">
        <v>45347</v>
      </c>
      <c r="Y2108" s="17">
        <v>45482</v>
      </c>
      <c r="Z2108" s="19" t="s">
        <v>772</v>
      </c>
      <c r="AA2108" s="210">
        <v>5000</v>
      </c>
      <c r="AB2108" s="9">
        <v>30</v>
      </c>
      <c r="AC2108" s="9">
        <v>20</v>
      </c>
      <c r="AD2108" s="17">
        <v>46058</v>
      </c>
      <c r="AE2108" s="56">
        <v>135</v>
      </c>
      <c r="AF2108" s="56"/>
      <c r="AH2108" s="17"/>
      <c r="AI2108" s="17"/>
      <c r="AJ2108" s="17"/>
      <c r="AP2108" s="11"/>
      <c r="AQ2108" s="11"/>
      <c r="AR2108" s="11"/>
      <c r="AW2108" s="9"/>
      <c r="BD2108" s="9"/>
      <c r="CS2108" s="11">
        <f t="shared" si="144"/>
        <v>0</v>
      </c>
      <c r="CT2108" s="22">
        <f t="shared" si="145"/>
        <v>0</v>
      </c>
      <c r="CU2108" s="22">
        <f t="shared" si="146"/>
        <v>0</v>
      </c>
      <c r="CV2108" s="26">
        <f t="shared" si="147"/>
        <v>135</v>
      </c>
    </row>
    <row r="2109" spans="1:100" x14ac:dyDescent="0.2">
      <c r="A2109" s="9" t="s">
        <v>492</v>
      </c>
      <c r="B2109" s="2">
        <v>33</v>
      </c>
      <c r="C2109" s="3" t="s">
        <v>95</v>
      </c>
      <c r="D2109" s="3" t="s">
        <v>96</v>
      </c>
      <c r="E2109" s="2"/>
      <c r="F2109" s="2"/>
      <c r="G2109" s="2" t="s">
        <v>69</v>
      </c>
      <c r="H2109" s="2">
        <v>4</v>
      </c>
      <c r="I2109" s="8">
        <v>120</v>
      </c>
      <c r="J2109" s="8">
        <v>53333</v>
      </c>
      <c r="K2109" s="3">
        <v>0</v>
      </c>
      <c r="L2109" s="3" t="s">
        <v>3</v>
      </c>
      <c r="M2109" s="9" t="s">
        <v>0</v>
      </c>
      <c r="N2109" s="9" t="s">
        <v>44</v>
      </c>
      <c r="O2109" s="9" t="s">
        <v>541</v>
      </c>
      <c r="S2109" s="9" t="s">
        <v>545</v>
      </c>
      <c r="T2109" s="2"/>
      <c r="U2109" s="2"/>
      <c r="V2109" s="2">
        <v>12.5</v>
      </c>
      <c r="W2109" s="78" t="s">
        <v>710</v>
      </c>
      <c r="X2109" s="17">
        <v>45347</v>
      </c>
      <c r="Y2109" s="17">
        <v>45482</v>
      </c>
      <c r="Z2109" s="19" t="s">
        <v>772</v>
      </c>
      <c r="AA2109" s="210">
        <v>5000</v>
      </c>
      <c r="AB2109" s="9">
        <v>30</v>
      </c>
      <c r="AC2109" s="9">
        <v>21</v>
      </c>
      <c r="AD2109" s="17">
        <v>46086</v>
      </c>
      <c r="AE2109" s="56">
        <v>135</v>
      </c>
      <c r="AF2109" s="56"/>
      <c r="AH2109" s="17"/>
      <c r="AI2109" s="17"/>
      <c r="AJ2109" s="17"/>
      <c r="AP2109" s="11"/>
      <c r="AQ2109" s="11"/>
      <c r="AR2109" s="11"/>
      <c r="AW2109" s="9"/>
      <c r="BD2109" s="9"/>
      <c r="CS2109" s="11">
        <f t="shared" ref="CS2109:CS2172" si="148">+AL2109+AT2109</f>
        <v>0</v>
      </c>
      <c r="CT2109" s="22">
        <f t="shared" ref="CT2109:CT2172" si="149">+BA2109+BG2109+BM2109+BS2109+BY2109+CE2109+CK2109+CQ2109</f>
        <v>0</v>
      </c>
      <c r="CU2109" s="22">
        <f t="shared" ref="CU2109:CU2172" si="150">+CS2109-CT2109</f>
        <v>0</v>
      </c>
      <c r="CV2109" s="26">
        <f t="shared" si="147"/>
        <v>135</v>
      </c>
    </row>
    <row r="2110" spans="1:100" x14ac:dyDescent="0.2">
      <c r="A2110" s="9" t="s">
        <v>492</v>
      </c>
      <c r="B2110" s="2">
        <v>33</v>
      </c>
      <c r="C2110" s="3" t="s">
        <v>95</v>
      </c>
      <c r="D2110" s="3" t="s">
        <v>96</v>
      </c>
      <c r="E2110" s="2"/>
      <c r="F2110" s="2"/>
      <c r="G2110" s="2" t="s">
        <v>69</v>
      </c>
      <c r="H2110" s="2">
        <v>4</v>
      </c>
      <c r="I2110" s="8">
        <v>120</v>
      </c>
      <c r="J2110" s="8">
        <v>53333</v>
      </c>
      <c r="K2110" s="3">
        <v>0</v>
      </c>
      <c r="L2110" s="3" t="s">
        <v>3</v>
      </c>
      <c r="M2110" s="9" t="s">
        <v>0</v>
      </c>
      <c r="N2110" s="9" t="s">
        <v>44</v>
      </c>
      <c r="O2110" s="9" t="s">
        <v>541</v>
      </c>
      <c r="S2110" s="9" t="s">
        <v>545</v>
      </c>
      <c r="T2110" s="2"/>
      <c r="U2110" s="2"/>
      <c r="V2110" s="2">
        <v>12.5</v>
      </c>
      <c r="W2110" s="78" t="s">
        <v>710</v>
      </c>
      <c r="X2110" s="17">
        <v>45347</v>
      </c>
      <c r="Y2110" s="17">
        <v>45482</v>
      </c>
      <c r="Z2110" s="19" t="s">
        <v>772</v>
      </c>
      <c r="AA2110" s="210">
        <v>5000</v>
      </c>
      <c r="AB2110" s="9">
        <v>30</v>
      </c>
      <c r="AC2110" s="9">
        <v>22</v>
      </c>
      <c r="AD2110" s="17">
        <v>46117</v>
      </c>
      <c r="AE2110" s="56">
        <v>135</v>
      </c>
      <c r="AF2110" s="56"/>
      <c r="AH2110" s="17"/>
      <c r="AI2110" s="17"/>
      <c r="AJ2110" s="17"/>
      <c r="AP2110" s="11"/>
      <c r="AQ2110" s="11"/>
      <c r="AR2110" s="11"/>
      <c r="AW2110" s="9"/>
      <c r="BD2110" s="9"/>
      <c r="CS2110" s="11">
        <f t="shared" si="148"/>
        <v>0</v>
      </c>
      <c r="CT2110" s="22">
        <f t="shared" si="149"/>
        <v>0</v>
      </c>
      <c r="CU2110" s="22">
        <f t="shared" si="150"/>
        <v>0</v>
      </c>
      <c r="CV2110" s="26">
        <f t="shared" si="147"/>
        <v>135</v>
      </c>
    </row>
    <row r="2111" spans="1:100" x14ac:dyDescent="0.2">
      <c r="A2111" s="9" t="s">
        <v>492</v>
      </c>
      <c r="B2111" s="2">
        <v>33</v>
      </c>
      <c r="C2111" s="3" t="s">
        <v>95</v>
      </c>
      <c r="D2111" s="3" t="s">
        <v>96</v>
      </c>
      <c r="E2111" s="2"/>
      <c r="F2111" s="2"/>
      <c r="G2111" s="2" t="s">
        <v>69</v>
      </c>
      <c r="H2111" s="2">
        <v>4</v>
      </c>
      <c r="I2111" s="8">
        <v>120</v>
      </c>
      <c r="J2111" s="8">
        <v>53333</v>
      </c>
      <c r="K2111" s="3">
        <v>0</v>
      </c>
      <c r="L2111" s="3" t="s">
        <v>3</v>
      </c>
      <c r="M2111" s="9" t="s">
        <v>0</v>
      </c>
      <c r="N2111" s="9" t="s">
        <v>44</v>
      </c>
      <c r="O2111" s="9" t="s">
        <v>541</v>
      </c>
      <c r="S2111" s="9" t="s">
        <v>545</v>
      </c>
      <c r="T2111" s="2"/>
      <c r="U2111" s="2"/>
      <c r="V2111" s="2">
        <v>12.5</v>
      </c>
      <c r="W2111" s="78" t="s">
        <v>710</v>
      </c>
      <c r="X2111" s="17">
        <v>45347</v>
      </c>
      <c r="Y2111" s="17">
        <v>45482</v>
      </c>
      <c r="Z2111" s="19" t="s">
        <v>772</v>
      </c>
      <c r="AA2111" s="210">
        <v>5000</v>
      </c>
      <c r="AB2111" s="9">
        <v>30</v>
      </c>
      <c r="AC2111" s="9">
        <v>23</v>
      </c>
      <c r="AD2111" s="17">
        <v>46147</v>
      </c>
      <c r="AE2111" s="56">
        <v>135</v>
      </c>
      <c r="AF2111" s="56"/>
      <c r="AH2111" s="17"/>
      <c r="AI2111" s="17"/>
      <c r="AJ2111" s="17"/>
      <c r="AP2111" s="11"/>
      <c r="AQ2111" s="11"/>
      <c r="AR2111" s="11"/>
      <c r="AW2111" s="9"/>
      <c r="BD2111" s="9"/>
      <c r="CS2111" s="11">
        <f t="shared" si="148"/>
        <v>0</v>
      </c>
      <c r="CT2111" s="22">
        <f t="shared" si="149"/>
        <v>0</v>
      </c>
      <c r="CU2111" s="22">
        <f t="shared" si="150"/>
        <v>0</v>
      </c>
      <c r="CV2111" s="26">
        <f t="shared" si="147"/>
        <v>135</v>
      </c>
    </row>
    <row r="2112" spans="1:100" x14ac:dyDescent="0.2">
      <c r="A2112" s="9" t="s">
        <v>492</v>
      </c>
      <c r="B2112" s="2">
        <v>33</v>
      </c>
      <c r="C2112" s="3" t="s">
        <v>95</v>
      </c>
      <c r="D2112" s="3" t="s">
        <v>96</v>
      </c>
      <c r="E2112" s="2"/>
      <c r="F2112" s="2"/>
      <c r="G2112" s="2" t="s">
        <v>69</v>
      </c>
      <c r="H2112" s="2">
        <v>4</v>
      </c>
      <c r="I2112" s="8">
        <v>120</v>
      </c>
      <c r="J2112" s="8">
        <v>53333</v>
      </c>
      <c r="K2112" s="3">
        <v>0</v>
      </c>
      <c r="L2112" s="3" t="s">
        <v>3</v>
      </c>
      <c r="M2112" s="9" t="s">
        <v>0</v>
      </c>
      <c r="N2112" s="9" t="s">
        <v>44</v>
      </c>
      <c r="O2112" s="9" t="s">
        <v>541</v>
      </c>
      <c r="S2112" s="9" t="s">
        <v>545</v>
      </c>
      <c r="T2112" s="2"/>
      <c r="U2112" s="2"/>
      <c r="V2112" s="2">
        <v>12.5</v>
      </c>
      <c r="W2112" s="78" t="s">
        <v>710</v>
      </c>
      <c r="X2112" s="17">
        <v>45347</v>
      </c>
      <c r="Y2112" s="17">
        <v>45482</v>
      </c>
      <c r="Z2112" s="19" t="s">
        <v>772</v>
      </c>
      <c r="AA2112" s="210">
        <v>5000</v>
      </c>
      <c r="AB2112" s="9">
        <v>30</v>
      </c>
      <c r="AC2112" s="9">
        <v>24</v>
      </c>
      <c r="AD2112" s="17">
        <v>46178</v>
      </c>
      <c r="AE2112" s="56">
        <v>135</v>
      </c>
      <c r="AF2112" s="56"/>
      <c r="AH2112" s="17"/>
      <c r="AI2112" s="17"/>
      <c r="AJ2112" s="17"/>
      <c r="AP2112" s="11"/>
      <c r="AQ2112" s="11"/>
      <c r="AR2112" s="11"/>
      <c r="AW2112" s="9"/>
      <c r="BD2112" s="9"/>
      <c r="CS2112" s="11">
        <f t="shared" si="148"/>
        <v>0</v>
      </c>
      <c r="CT2112" s="22">
        <f t="shared" si="149"/>
        <v>0</v>
      </c>
      <c r="CU2112" s="22">
        <f t="shared" si="150"/>
        <v>0</v>
      </c>
      <c r="CV2112" s="26">
        <f t="shared" si="147"/>
        <v>135</v>
      </c>
    </row>
    <row r="2113" spans="1:100" x14ac:dyDescent="0.2">
      <c r="A2113" s="9" t="s">
        <v>492</v>
      </c>
      <c r="B2113" s="2">
        <v>33</v>
      </c>
      <c r="C2113" s="3" t="s">
        <v>95</v>
      </c>
      <c r="D2113" s="3" t="s">
        <v>96</v>
      </c>
      <c r="E2113" s="2"/>
      <c r="F2113" s="2"/>
      <c r="G2113" s="2" t="s">
        <v>69</v>
      </c>
      <c r="H2113" s="2">
        <v>4</v>
      </c>
      <c r="I2113" s="8">
        <v>120</v>
      </c>
      <c r="J2113" s="8">
        <v>53333</v>
      </c>
      <c r="K2113" s="3">
        <v>0</v>
      </c>
      <c r="L2113" s="3" t="s">
        <v>3</v>
      </c>
      <c r="M2113" s="9" t="s">
        <v>0</v>
      </c>
      <c r="N2113" s="9" t="s">
        <v>44</v>
      </c>
      <c r="O2113" s="9" t="s">
        <v>541</v>
      </c>
      <c r="S2113" s="9" t="s">
        <v>545</v>
      </c>
      <c r="T2113" s="2"/>
      <c r="U2113" s="2"/>
      <c r="V2113" s="2">
        <v>12.5</v>
      </c>
      <c r="W2113" s="78" t="s">
        <v>710</v>
      </c>
      <c r="X2113" s="17">
        <v>45347</v>
      </c>
      <c r="Y2113" s="17">
        <v>45482</v>
      </c>
      <c r="Z2113" s="19" t="s">
        <v>772</v>
      </c>
      <c r="AA2113" s="210">
        <v>5000</v>
      </c>
      <c r="AB2113" s="9">
        <v>30</v>
      </c>
      <c r="AC2113" s="9">
        <v>25</v>
      </c>
      <c r="AD2113" s="17">
        <v>46208</v>
      </c>
      <c r="AE2113" s="56">
        <v>135</v>
      </c>
      <c r="AF2113" s="56"/>
      <c r="AH2113" s="17"/>
      <c r="AI2113" s="17"/>
      <c r="AJ2113" s="17"/>
      <c r="AP2113" s="11"/>
      <c r="AQ2113" s="11"/>
      <c r="AR2113" s="11"/>
      <c r="AW2113" s="9"/>
      <c r="BD2113" s="9"/>
      <c r="CS2113" s="11">
        <f t="shared" si="148"/>
        <v>0</v>
      </c>
      <c r="CT2113" s="22">
        <f t="shared" si="149"/>
        <v>0</v>
      </c>
      <c r="CU2113" s="22">
        <f t="shared" si="150"/>
        <v>0</v>
      </c>
      <c r="CV2113" s="26">
        <f t="shared" si="147"/>
        <v>135</v>
      </c>
    </row>
    <row r="2114" spans="1:100" x14ac:dyDescent="0.2">
      <c r="A2114" s="9" t="s">
        <v>492</v>
      </c>
      <c r="B2114" s="2">
        <v>33</v>
      </c>
      <c r="C2114" s="3" t="s">
        <v>95</v>
      </c>
      <c r="D2114" s="3" t="s">
        <v>96</v>
      </c>
      <c r="E2114" s="2"/>
      <c r="F2114" s="2"/>
      <c r="G2114" s="2" t="s">
        <v>69</v>
      </c>
      <c r="H2114" s="2">
        <v>4</v>
      </c>
      <c r="I2114" s="8">
        <v>120</v>
      </c>
      <c r="J2114" s="8">
        <v>53333</v>
      </c>
      <c r="K2114" s="3">
        <v>0</v>
      </c>
      <c r="L2114" s="3" t="s">
        <v>3</v>
      </c>
      <c r="M2114" s="9" t="s">
        <v>0</v>
      </c>
      <c r="N2114" s="9" t="s">
        <v>44</v>
      </c>
      <c r="O2114" s="9" t="s">
        <v>541</v>
      </c>
      <c r="S2114" s="9" t="s">
        <v>545</v>
      </c>
      <c r="T2114" s="2"/>
      <c r="U2114" s="2"/>
      <c r="V2114" s="2">
        <v>12.5</v>
      </c>
      <c r="W2114" s="78" t="s">
        <v>710</v>
      </c>
      <c r="X2114" s="17">
        <v>45347</v>
      </c>
      <c r="Y2114" s="17">
        <v>45482</v>
      </c>
      <c r="Z2114" s="19" t="s">
        <v>772</v>
      </c>
      <c r="AA2114" s="210">
        <v>5000</v>
      </c>
      <c r="AB2114" s="9">
        <v>30</v>
      </c>
      <c r="AC2114" s="9">
        <v>26</v>
      </c>
      <c r="AD2114" s="17">
        <v>46239</v>
      </c>
      <c r="AE2114" s="56">
        <v>135</v>
      </c>
      <c r="AF2114" s="56"/>
      <c r="AH2114" s="17"/>
      <c r="AI2114" s="17"/>
      <c r="AJ2114" s="17"/>
      <c r="AP2114" s="11"/>
      <c r="AQ2114" s="11"/>
      <c r="AR2114" s="11"/>
      <c r="AW2114" s="9"/>
      <c r="BD2114" s="9"/>
      <c r="CS2114" s="11">
        <f t="shared" si="148"/>
        <v>0</v>
      </c>
      <c r="CT2114" s="22">
        <f t="shared" si="149"/>
        <v>0</v>
      </c>
      <c r="CU2114" s="22">
        <f t="shared" si="150"/>
        <v>0</v>
      </c>
      <c r="CV2114" s="26">
        <f t="shared" si="147"/>
        <v>135</v>
      </c>
    </row>
    <row r="2115" spans="1:100" x14ac:dyDescent="0.2">
      <c r="A2115" s="9" t="s">
        <v>492</v>
      </c>
      <c r="B2115" s="2">
        <v>33</v>
      </c>
      <c r="C2115" s="3" t="s">
        <v>95</v>
      </c>
      <c r="D2115" s="3" t="s">
        <v>96</v>
      </c>
      <c r="E2115" s="2"/>
      <c r="F2115" s="2"/>
      <c r="G2115" s="2" t="s">
        <v>69</v>
      </c>
      <c r="H2115" s="2">
        <v>4</v>
      </c>
      <c r="I2115" s="8">
        <v>120</v>
      </c>
      <c r="J2115" s="8">
        <v>53333</v>
      </c>
      <c r="K2115" s="3">
        <v>0</v>
      </c>
      <c r="L2115" s="3" t="s">
        <v>3</v>
      </c>
      <c r="M2115" s="9" t="s">
        <v>0</v>
      </c>
      <c r="N2115" s="9" t="s">
        <v>44</v>
      </c>
      <c r="O2115" s="9" t="s">
        <v>541</v>
      </c>
      <c r="S2115" s="9" t="s">
        <v>545</v>
      </c>
      <c r="T2115" s="2"/>
      <c r="U2115" s="2"/>
      <c r="V2115" s="2">
        <v>12.5</v>
      </c>
      <c r="W2115" s="78" t="s">
        <v>710</v>
      </c>
      <c r="X2115" s="17">
        <v>45347</v>
      </c>
      <c r="Y2115" s="17">
        <v>45482</v>
      </c>
      <c r="Z2115" s="19" t="s">
        <v>772</v>
      </c>
      <c r="AA2115" s="210">
        <v>5000</v>
      </c>
      <c r="AB2115" s="9">
        <v>30</v>
      </c>
      <c r="AC2115" s="9">
        <v>27</v>
      </c>
      <c r="AD2115" s="17">
        <v>46270</v>
      </c>
      <c r="AE2115" s="56">
        <v>135</v>
      </c>
      <c r="AF2115" s="56"/>
      <c r="AH2115" s="17"/>
      <c r="AI2115" s="17"/>
      <c r="AJ2115" s="17"/>
      <c r="AP2115" s="11"/>
      <c r="AQ2115" s="11"/>
      <c r="AR2115" s="11"/>
      <c r="AW2115" s="9"/>
      <c r="BD2115" s="9"/>
      <c r="CS2115" s="11">
        <f t="shared" si="148"/>
        <v>0</v>
      </c>
      <c r="CT2115" s="22">
        <f t="shared" si="149"/>
        <v>0</v>
      </c>
      <c r="CU2115" s="22">
        <f t="shared" si="150"/>
        <v>0</v>
      </c>
      <c r="CV2115" s="26">
        <f t="shared" si="147"/>
        <v>135</v>
      </c>
    </row>
    <row r="2116" spans="1:100" x14ac:dyDescent="0.2">
      <c r="A2116" s="9" t="s">
        <v>492</v>
      </c>
      <c r="B2116" s="2">
        <v>33</v>
      </c>
      <c r="C2116" s="3" t="s">
        <v>95</v>
      </c>
      <c r="D2116" s="3" t="s">
        <v>96</v>
      </c>
      <c r="E2116" s="2"/>
      <c r="F2116" s="2"/>
      <c r="G2116" s="2" t="s">
        <v>69</v>
      </c>
      <c r="H2116" s="2">
        <v>4</v>
      </c>
      <c r="I2116" s="8">
        <v>120</v>
      </c>
      <c r="J2116" s="8">
        <v>53333</v>
      </c>
      <c r="K2116" s="3">
        <v>0</v>
      </c>
      <c r="L2116" s="3" t="s">
        <v>3</v>
      </c>
      <c r="M2116" s="9" t="s">
        <v>0</v>
      </c>
      <c r="N2116" s="9" t="s">
        <v>44</v>
      </c>
      <c r="O2116" s="9" t="s">
        <v>541</v>
      </c>
      <c r="S2116" s="9" t="s">
        <v>545</v>
      </c>
      <c r="T2116" s="2"/>
      <c r="U2116" s="2"/>
      <c r="V2116" s="2">
        <v>12.5</v>
      </c>
      <c r="W2116" s="78" t="s">
        <v>710</v>
      </c>
      <c r="X2116" s="17">
        <v>45347</v>
      </c>
      <c r="Y2116" s="17">
        <v>45482</v>
      </c>
      <c r="Z2116" s="19" t="s">
        <v>772</v>
      </c>
      <c r="AA2116" s="210">
        <v>5000</v>
      </c>
      <c r="AB2116" s="9">
        <v>30</v>
      </c>
      <c r="AC2116" s="9">
        <v>28</v>
      </c>
      <c r="AD2116" s="17">
        <v>46300</v>
      </c>
      <c r="AE2116" s="56">
        <v>135</v>
      </c>
      <c r="AF2116" s="56"/>
      <c r="AH2116" s="17"/>
      <c r="AI2116" s="17"/>
      <c r="AJ2116" s="17"/>
      <c r="AP2116" s="11"/>
      <c r="AQ2116" s="11"/>
      <c r="AR2116" s="11"/>
      <c r="AW2116" s="9"/>
      <c r="BD2116" s="9"/>
      <c r="CS2116" s="11">
        <f t="shared" si="148"/>
        <v>0</v>
      </c>
      <c r="CT2116" s="22">
        <f t="shared" si="149"/>
        <v>0</v>
      </c>
      <c r="CU2116" s="22">
        <f t="shared" si="150"/>
        <v>0</v>
      </c>
      <c r="CV2116" s="26">
        <f t="shared" si="147"/>
        <v>135</v>
      </c>
    </row>
    <row r="2117" spans="1:100" x14ac:dyDescent="0.2">
      <c r="A2117" s="9" t="s">
        <v>492</v>
      </c>
      <c r="B2117" s="2">
        <v>33</v>
      </c>
      <c r="C2117" s="3" t="s">
        <v>95</v>
      </c>
      <c r="D2117" s="3" t="s">
        <v>96</v>
      </c>
      <c r="E2117" s="2"/>
      <c r="F2117" s="2"/>
      <c r="G2117" s="2" t="s">
        <v>69</v>
      </c>
      <c r="H2117" s="2">
        <v>4</v>
      </c>
      <c r="I2117" s="8">
        <v>120</v>
      </c>
      <c r="J2117" s="8">
        <v>53333</v>
      </c>
      <c r="K2117" s="3">
        <v>0</v>
      </c>
      <c r="L2117" s="3" t="s">
        <v>3</v>
      </c>
      <c r="M2117" s="9" t="s">
        <v>0</v>
      </c>
      <c r="N2117" s="9" t="s">
        <v>44</v>
      </c>
      <c r="O2117" s="9" t="s">
        <v>541</v>
      </c>
      <c r="S2117" s="9" t="s">
        <v>545</v>
      </c>
      <c r="T2117" s="2"/>
      <c r="U2117" s="2"/>
      <c r="V2117" s="2">
        <v>12.5</v>
      </c>
      <c r="W2117" s="78" t="s">
        <v>710</v>
      </c>
      <c r="X2117" s="17">
        <v>45347</v>
      </c>
      <c r="Y2117" s="17">
        <v>45482</v>
      </c>
      <c r="Z2117" s="19" t="s">
        <v>772</v>
      </c>
      <c r="AA2117" s="210">
        <v>5000</v>
      </c>
      <c r="AB2117" s="9">
        <v>30</v>
      </c>
      <c r="AC2117" s="9">
        <v>29</v>
      </c>
      <c r="AD2117" s="17">
        <v>46331</v>
      </c>
      <c r="AE2117" s="56">
        <v>135</v>
      </c>
      <c r="AF2117" s="56"/>
      <c r="AP2117" s="11"/>
      <c r="AQ2117" s="11"/>
      <c r="AR2117" s="11"/>
      <c r="AW2117" s="9"/>
      <c r="BD2117" s="9"/>
      <c r="CS2117" s="11">
        <f t="shared" si="148"/>
        <v>0</v>
      </c>
      <c r="CT2117" s="22">
        <f t="shared" si="149"/>
        <v>0</v>
      </c>
      <c r="CU2117" s="22">
        <f t="shared" si="150"/>
        <v>0</v>
      </c>
      <c r="CV2117" s="26">
        <f t="shared" si="147"/>
        <v>135</v>
      </c>
    </row>
    <row r="2118" spans="1:100" x14ac:dyDescent="0.2">
      <c r="A2118" s="9" t="s">
        <v>492</v>
      </c>
      <c r="B2118" s="2">
        <v>33</v>
      </c>
      <c r="C2118" s="3" t="s">
        <v>95</v>
      </c>
      <c r="D2118" s="3" t="s">
        <v>96</v>
      </c>
      <c r="E2118" s="2"/>
      <c r="F2118" s="2"/>
      <c r="G2118" s="2" t="s">
        <v>69</v>
      </c>
      <c r="H2118" s="2">
        <v>4</v>
      </c>
      <c r="I2118" s="8">
        <v>120</v>
      </c>
      <c r="J2118" s="8">
        <v>53333</v>
      </c>
      <c r="K2118" s="3">
        <v>0</v>
      </c>
      <c r="L2118" s="3" t="s">
        <v>3</v>
      </c>
      <c r="M2118" s="9" t="s">
        <v>0</v>
      </c>
      <c r="N2118" s="9" t="s">
        <v>44</v>
      </c>
      <c r="O2118" s="9" t="s">
        <v>541</v>
      </c>
      <c r="S2118" s="9" t="s">
        <v>545</v>
      </c>
      <c r="T2118" s="2"/>
      <c r="U2118" s="2"/>
      <c r="V2118" s="2">
        <v>12.5</v>
      </c>
      <c r="W2118" s="78" t="s">
        <v>710</v>
      </c>
      <c r="X2118" s="17">
        <v>45347</v>
      </c>
      <c r="Y2118" s="17">
        <v>45482</v>
      </c>
      <c r="Z2118" s="19" t="s">
        <v>772</v>
      </c>
      <c r="AA2118" s="210">
        <v>5000</v>
      </c>
      <c r="AB2118" s="9">
        <v>30</v>
      </c>
      <c r="AC2118" s="9">
        <v>30</v>
      </c>
      <c r="AD2118" s="17">
        <v>46361</v>
      </c>
      <c r="AE2118" s="56">
        <v>85</v>
      </c>
      <c r="AF2118" s="56"/>
      <c r="AP2118" s="11"/>
      <c r="AQ2118" s="11"/>
      <c r="AR2118" s="11"/>
      <c r="AW2118" s="9"/>
      <c r="BD2118" s="9"/>
      <c r="CS2118" s="11">
        <f t="shared" si="148"/>
        <v>0</v>
      </c>
      <c r="CT2118" s="22">
        <f t="shared" si="149"/>
        <v>0</v>
      </c>
      <c r="CU2118" s="22">
        <f t="shared" si="150"/>
        <v>0</v>
      </c>
      <c r="CV2118" s="26">
        <f t="shared" si="147"/>
        <v>85</v>
      </c>
    </row>
    <row r="2119" spans="1:100" x14ac:dyDescent="0.2">
      <c r="A2119" s="9" t="s">
        <v>521</v>
      </c>
      <c r="B2119" s="2">
        <v>25</v>
      </c>
      <c r="C2119" s="3" t="s">
        <v>95</v>
      </c>
      <c r="D2119" s="3" t="s">
        <v>96</v>
      </c>
      <c r="E2119" s="2"/>
      <c r="F2119" s="2"/>
      <c r="G2119" s="2" t="s">
        <v>68</v>
      </c>
      <c r="H2119" s="2">
        <v>5</v>
      </c>
      <c r="I2119" s="8">
        <v>145.31</v>
      </c>
      <c r="J2119" s="8">
        <v>44999</v>
      </c>
      <c r="K2119" s="3">
        <v>0</v>
      </c>
      <c r="L2119" s="3" t="s">
        <v>3</v>
      </c>
      <c r="M2119" s="9" t="s">
        <v>0</v>
      </c>
      <c r="N2119" s="9" t="s">
        <v>5</v>
      </c>
      <c r="O2119" s="9" t="s">
        <v>546</v>
      </c>
      <c r="S2119" s="9" t="s">
        <v>158</v>
      </c>
      <c r="T2119" s="2" t="s">
        <v>68</v>
      </c>
      <c r="U2119" s="2">
        <v>5</v>
      </c>
      <c r="V2119" s="2">
        <v>145.31</v>
      </c>
      <c r="W2119" s="10" t="s">
        <v>710</v>
      </c>
      <c r="X2119" s="17">
        <v>45370</v>
      </c>
      <c r="Y2119" s="17">
        <v>45370</v>
      </c>
      <c r="Z2119" s="19" t="s">
        <v>772</v>
      </c>
      <c r="AA2119" s="210">
        <v>43000</v>
      </c>
      <c r="AB2119" s="9">
        <v>48</v>
      </c>
      <c r="AC2119" s="9">
        <v>0</v>
      </c>
      <c r="AD2119" s="17">
        <v>45370</v>
      </c>
      <c r="AE2119" s="11">
        <v>4300</v>
      </c>
      <c r="AG2119" s="9" t="s">
        <v>134</v>
      </c>
      <c r="AH2119" s="17">
        <v>45370</v>
      </c>
      <c r="AI2119" s="17"/>
      <c r="AJ2119" s="17"/>
      <c r="AK2119" s="9" t="s">
        <v>547</v>
      </c>
      <c r="AL2119" s="11">
        <v>4300</v>
      </c>
      <c r="AN2119" s="11" t="s">
        <v>1353</v>
      </c>
      <c r="AP2119" s="11"/>
      <c r="AQ2119" s="11"/>
      <c r="AR2119" s="11"/>
      <c r="AW2119" s="17">
        <v>45371</v>
      </c>
      <c r="AX2119" s="9">
        <v>2443</v>
      </c>
      <c r="BA2119" s="11">
        <v>4300</v>
      </c>
      <c r="BD2119" s="9"/>
      <c r="CS2119" s="11">
        <f t="shared" si="148"/>
        <v>4300</v>
      </c>
      <c r="CT2119" s="22">
        <f t="shared" si="149"/>
        <v>4300</v>
      </c>
      <c r="CU2119" s="22">
        <f t="shared" si="150"/>
        <v>0</v>
      </c>
      <c r="CV2119" s="26">
        <f t="shared" si="147"/>
        <v>0</v>
      </c>
    </row>
    <row r="2120" spans="1:100" x14ac:dyDescent="0.2">
      <c r="A2120" s="9" t="s">
        <v>521</v>
      </c>
      <c r="B2120" s="2">
        <v>25</v>
      </c>
      <c r="C2120" s="3" t="s">
        <v>95</v>
      </c>
      <c r="D2120" s="3" t="s">
        <v>96</v>
      </c>
      <c r="E2120" s="2"/>
      <c r="F2120" s="2"/>
      <c r="G2120" s="2" t="s">
        <v>68</v>
      </c>
      <c r="H2120" s="2">
        <v>5</v>
      </c>
      <c r="I2120" s="8">
        <v>145.31</v>
      </c>
      <c r="J2120" s="8">
        <v>44999</v>
      </c>
      <c r="K2120" s="3">
        <v>0</v>
      </c>
      <c r="L2120" s="3" t="s">
        <v>3</v>
      </c>
      <c r="M2120" s="9" t="s">
        <v>0</v>
      </c>
      <c r="N2120" s="9" t="s">
        <v>5</v>
      </c>
      <c r="O2120" s="9" t="s">
        <v>546</v>
      </c>
      <c r="S2120" s="9" t="s">
        <v>158</v>
      </c>
      <c r="T2120" s="2" t="s">
        <v>68</v>
      </c>
      <c r="U2120" s="2">
        <v>5</v>
      </c>
      <c r="V2120" s="2">
        <v>145.31</v>
      </c>
      <c r="W2120" s="10" t="s">
        <v>710</v>
      </c>
      <c r="X2120" s="17">
        <v>45370</v>
      </c>
      <c r="Y2120" s="17">
        <v>45370</v>
      </c>
      <c r="Z2120" s="19" t="s">
        <v>772</v>
      </c>
      <c r="AA2120" s="210">
        <v>43000</v>
      </c>
      <c r="AB2120" s="9">
        <v>48</v>
      </c>
      <c r="AC2120" s="9">
        <v>0</v>
      </c>
      <c r="AD2120" s="17">
        <v>45382</v>
      </c>
      <c r="AE2120" s="56">
        <v>700</v>
      </c>
      <c r="AF2120" s="56"/>
      <c r="AG2120" s="9" t="s">
        <v>134</v>
      </c>
      <c r="AH2120" s="17">
        <v>45377</v>
      </c>
      <c r="AI2120" s="17"/>
      <c r="AJ2120" s="17"/>
      <c r="AK2120" s="9" t="s">
        <v>1391</v>
      </c>
      <c r="AL2120" s="11">
        <v>700</v>
      </c>
      <c r="AN2120" s="11" t="s">
        <v>1354</v>
      </c>
      <c r="AP2120" s="11"/>
      <c r="AQ2120" s="11"/>
      <c r="AR2120" s="11"/>
      <c r="AW2120" s="17">
        <v>45377</v>
      </c>
      <c r="AX2120" s="9">
        <v>2476</v>
      </c>
      <c r="BA2120" s="9">
        <v>700</v>
      </c>
      <c r="BD2120" s="9"/>
      <c r="CS2120" s="11">
        <f t="shared" si="148"/>
        <v>700</v>
      </c>
      <c r="CT2120" s="22">
        <f t="shared" si="149"/>
        <v>700</v>
      </c>
      <c r="CU2120" s="22">
        <f t="shared" si="150"/>
        <v>0</v>
      </c>
      <c r="CV2120" s="26">
        <f t="shared" si="147"/>
        <v>0</v>
      </c>
    </row>
    <row r="2121" spans="1:100" ht="12.75" x14ac:dyDescent="0.2">
      <c r="A2121" s="9" t="s">
        <v>521</v>
      </c>
      <c r="B2121" s="2">
        <v>25</v>
      </c>
      <c r="C2121" s="3" t="s">
        <v>95</v>
      </c>
      <c r="D2121" s="3" t="s">
        <v>96</v>
      </c>
      <c r="E2121" s="2"/>
      <c r="F2121" s="2"/>
      <c r="G2121" s="2" t="s">
        <v>68</v>
      </c>
      <c r="H2121" s="2">
        <v>5</v>
      </c>
      <c r="I2121" s="8">
        <v>145.31</v>
      </c>
      <c r="J2121" s="8">
        <v>44999</v>
      </c>
      <c r="K2121" s="3">
        <v>0</v>
      </c>
      <c r="L2121" s="3" t="s">
        <v>3</v>
      </c>
      <c r="M2121" s="9" t="s">
        <v>0</v>
      </c>
      <c r="N2121" s="9" t="s">
        <v>5</v>
      </c>
      <c r="O2121" s="9" t="s">
        <v>546</v>
      </c>
      <c r="S2121" s="9" t="s">
        <v>158</v>
      </c>
      <c r="T2121" s="2" t="s">
        <v>68</v>
      </c>
      <c r="U2121" s="2">
        <v>5</v>
      </c>
      <c r="V2121" s="2">
        <v>145.31</v>
      </c>
      <c r="W2121" s="10" t="s">
        <v>710</v>
      </c>
      <c r="X2121" s="17">
        <v>45370</v>
      </c>
      <c r="Y2121" s="17">
        <v>45370</v>
      </c>
      <c r="Z2121" s="19" t="s">
        <v>772</v>
      </c>
      <c r="AA2121" s="210">
        <v>43000</v>
      </c>
      <c r="AB2121" s="9">
        <v>48</v>
      </c>
      <c r="AC2121" s="9">
        <v>1</v>
      </c>
      <c r="AD2121" s="17">
        <v>45473</v>
      </c>
      <c r="AE2121" s="56">
        <v>300</v>
      </c>
      <c r="AF2121" s="56"/>
      <c r="AG2121" s="9" t="s">
        <v>134</v>
      </c>
      <c r="AH2121" s="17">
        <v>45455</v>
      </c>
      <c r="AI2121" s="17"/>
      <c r="AJ2121" s="17"/>
      <c r="AK2121" s="9" t="s">
        <v>1392</v>
      </c>
      <c r="AL2121" s="11">
        <v>300</v>
      </c>
      <c r="AN2121" s="11" t="s">
        <v>1358</v>
      </c>
      <c r="AP2121" s="11"/>
      <c r="AQ2121" s="11"/>
      <c r="AR2121" s="11"/>
      <c r="AW2121" s="94">
        <v>45454</v>
      </c>
      <c r="AX2121" s="96">
        <v>2776</v>
      </c>
      <c r="BA2121" s="107">
        <v>300</v>
      </c>
      <c r="BD2121" s="9"/>
      <c r="CS2121" s="11">
        <f t="shared" si="148"/>
        <v>300</v>
      </c>
      <c r="CT2121" s="22">
        <f t="shared" si="149"/>
        <v>300</v>
      </c>
      <c r="CU2121" s="22">
        <f t="shared" si="150"/>
        <v>0</v>
      </c>
      <c r="CV2121" s="26">
        <f t="shared" si="147"/>
        <v>0</v>
      </c>
    </row>
    <row r="2122" spans="1:100" ht="12.75" x14ac:dyDescent="0.2">
      <c r="A2122" s="9" t="s">
        <v>521</v>
      </c>
      <c r="B2122" s="2">
        <v>25</v>
      </c>
      <c r="C2122" s="3" t="s">
        <v>95</v>
      </c>
      <c r="D2122" s="3" t="s">
        <v>96</v>
      </c>
      <c r="E2122" s="2"/>
      <c r="F2122" s="2"/>
      <c r="G2122" s="2" t="s">
        <v>68</v>
      </c>
      <c r="H2122" s="2">
        <v>5</v>
      </c>
      <c r="I2122" s="8">
        <v>145.31</v>
      </c>
      <c r="J2122" s="8">
        <v>44999</v>
      </c>
      <c r="K2122" s="3">
        <v>0</v>
      </c>
      <c r="L2122" s="3" t="s">
        <v>3</v>
      </c>
      <c r="M2122" s="9" t="s">
        <v>0</v>
      </c>
      <c r="N2122" s="9" t="s">
        <v>5</v>
      </c>
      <c r="O2122" s="9" t="s">
        <v>546</v>
      </c>
      <c r="S2122" s="9" t="s">
        <v>158</v>
      </c>
      <c r="T2122" s="2" t="s">
        <v>68</v>
      </c>
      <c r="U2122" s="2">
        <v>5</v>
      </c>
      <c r="V2122" s="2">
        <v>145.31</v>
      </c>
      <c r="W2122" s="10" t="s">
        <v>710</v>
      </c>
      <c r="X2122" s="17">
        <v>45370</v>
      </c>
      <c r="Y2122" s="17">
        <v>45370</v>
      </c>
      <c r="Z2122" s="19" t="s">
        <v>772</v>
      </c>
      <c r="AA2122" s="210">
        <v>43000</v>
      </c>
      <c r="AB2122" s="9">
        <v>48</v>
      </c>
      <c r="AC2122" s="9">
        <v>2</v>
      </c>
      <c r="AD2122" s="17">
        <v>45503</v>
      </c>
      <c r="AE2122" s="56">
        <v>300</v>
      </c>
      <c r="AF2122" s="56"/>
      <c r="AG2122" s="9" t="s">
        <v>134</v>
      </c>
      <c r="AH2122" s="17">
        <v>45478</v>
      </c>
      <c r="AI2122" s="17"/>
      <c r="AJ2122" s="17"/>
      <c r="AK2122" s="9" t="s">
        <v>1393</v>
      </c>
      <c r="AL2122" s="11">
        <v>300</v>
      </c>
      <c r="AN2122" s="11" t="s">
        <v>1360</v>
      </c>
      <c r="AP2122" s="11"/>
      <c r="AQ2122" s="11"/>
      <c r="AR2122" s="11"/>
      <c r="AW2122" s="94">
        <v>45477</v>
      </c>
      <c r="AX2122" s="96">
        <v>2860</v>
      </c>
      <c r="BA2122" s="107">
        <v>300</v>
      </c>
      <c r="BD2122" s="9"/>
      <c r="CS2122" s="11">
        <f t="shared" si="148"/>
        <v>300</v>
      </c>
      <c r="CT2122" s="22">
        <f t="shared" si="149"/>
        <v>300</v>
      </c>
      <c r="CU2122" s="22">
        <f t="shared" si="150"/>
        <v>0</v>
      </c>
      <c r="CV2122" s="26">
        <f t="shared" si="147"/>
        <v>0</v>
      </c>
    </row>
    <row r="2123" spans="1:100" x14ac:dyDescent="0.2">
      <c r="A2123" s="9" t="s">
        <v>521</v>
      </c>
      <c r="B2123" s="2">
        <v>25</v>
      </c>
      <c r="C2123" s="3" t="s">
        <v>95</v>
      </c>
      <c r="D2123" s="3" t="s">
        <v>96</v>
      </c>
      <c r="E2123" s="2"/>
      <c r="F2123" s="2"/>
      <c r="G2123" s="2" t="s">
        <v>68</v>
      </c>
      <c r="H2123" s="2">
        <v>5</v>
      </c>
      <c r="I2123" s="8">
        <v>145.31</v>
      </c>
      <c r="J2123" s="8">
        <v>44999</v>
      </c>
      <c r="K2123" s="3">
        <v>0</v>
      </c>
      <c r="L2123" s="3" t="s">
        <v>3</v>
      </c>
      <c r="M2123" s="9" t="s">
        <v>0</v>
      </c>
      <c r="N2123" s="9" t="s">
        <v>5</v>
      </c>
      <c r="O2123" s="9" t="s">
        <v>546</v>
      </c>
      <c r="S2123" s="9" t="s">
        <v>158</v>
      </c>
      <c r="T2123" s="2" t="s">
        <v>68</v>
      </c>
      <c r="U2123" s="2">
        <v>5</v>
      </c>
      <c r="V2123" s="2">
        <v>145.31</v>
      </c>
      <c r="W2123" s="10" t="s">
        <v>710</v>
      </c>
      <c r="X2123" s="17">
        <v>45370</v>
      </c>
      <c r="Y2123" s="17">
        <v>45370</v>
      </c>
      <c r="Z2123" s="19" t="s">
        <v>772</v>
      </c>
      <c r="AA2123" s="210">
        <v>43000</v>
      </c>
      <c r="AB2123" s="9">
        <v>48</v>
      </c>
      <c r="AC2123" s="9">
        <v>3</v>
      </c>
      <c r="AD2123" s="17">
        <v>45534</v>
      </c>
      <c r="AE2123" s="56">
        <v>300</v>
      </c>
      <c r="AF2123" s="56"/>
      <c r="AG2123" s="9" t="s">
        <v>134</v>
      </c>
      <c r="AH2123" s="17">
        <v>45511</v>
      </c>
      <c r="AI2123" s="17"/>
      <c r="AJ2123" s="17"/>
      <c r="AK2123" s="9" t="s">
        <v>1394</v>
      </c>
      <c r="AL2123" s="11">
        <v>300</v>
      </c>
      <c r="AN2123" s="11" t="s">
        <v>1362</v>
      </c>
      <c r="AP2123" s="11"/>
      <c r="AQ2123" s="11"/>
      <c r="AR2123" s="11"/>
      <c r="AW2123" s="17">
        <v>45510</v>
      </c>
      <c r="AX2123" s="9">
        <v>2998</v>
      </c>
      <c r="BA2123" s="9">
        <v>300</v>
      </c>
      <c r="BD2123" s="9"/>
      <c r="CS2123" s="11">
        <f t="shared" si="148"/>
        <v>300</v>
      </c>
      <c r="CT2123" s="22">
        <f t="shared" si="149"/>
        <v>300</v>
      </c>
      <c r="CU2123" s="22">
        <f t="shared" si="150"/>
        <v>0</v>
      </c>
      <c r="CV2123" s="26">
        <f t="shared" si="147"/>
        <v>0</v>
      </c>
    </row>
    <row r="2124" spans="1:100" x14ac:dyDescent="0.2">
      <c r="A2124" s="9" t="s">
        <v>521</v>
      </c>
      <c r="B2124" s="2">
        <v>25</v>
      </c>
      <c r="C2124" s="3" t="s">
        <v>95</v>
      </c>
      <c r="D2124" s="3" t="s">
        <v>96</v>
      </c>
      <c r="E2124" s="2"/>
      <c r="F2124" s="2"/>
      <c r="G2124" s="2" t="s">
        <v>68</v>
      </c>
      <c r="H2124" s="2">
        <v>5</v>
      </c>
      <c r="I2124" s="8">
        <v>145.31</v>
      </c>
      <c r="J2124" s="8">
        <v>44999</v>
      </c>
      <c r="K2124" s="3">
        <v>0</v>
      </c>
      <c r="L2124" s="3" t="s">
        <v>3</v>
      </c>
      <c r="M2124" s="9" t="s">
        <v>0</v>
      </c>
      <c r="N2124" s="9">
        <v>73176828</v>
      </c>
      <c r="O2124" s="9" t="s">
        <v>546</v>
      </c>
      <c r="S2124" s="9" t="s">
        <v>158</v>
      </c>
      <c r="T2124" s="2" t="s">
        <v>68</v>
      </c>
      <c r="U2124" s="2">
        <v>5</v>
      </c>
      <c r="V2124" s="2">
        <v>145.31</v>
      </c>
      <c r="W2124" s="10" t="s">
        <v>710</v>
      </c>
      <c r="X2124" s="17">
        <v>45370</v>
      </c>
      <c r="Y2124" s="17">
        <v>45370</v>
      </c>
      <c r="Z2124" s="19" t="s">
        <v>772</v>
      </c>
      <c r="AA2124" s="210">
        <v>43000</v>
      </c>
      <c r="AB2124" s="9">
        <v>48</v>
      </c>
      <c r="AC2124" s="9">
        <v>4</v>
      </c>
      <c r="AD2124" s="17">
        <v>45565</v>
      </c>
      <c r="AE2124" s="56">
        <v>300</v>
      </c>
      <c r="AF2124" s="56"/>
      <c r="AG2124" s="9" t="s">
        <v>134</v>
      </c>
      <c r="AH2124" s="17">
        <v>45538</v>
      </c>
      <c r="AI2124" s="17"/>
      <c r="AJ2124" s="17"/>
      <c r="AK2124" s="9" t="s">
        <v>1395</v>
      </c>
      <c r="AL2124" s="11">
        <v>300</v>
      </c>
      <c r="AN2124" s="11" t="s">
        <v>1364</v>
      </c>
      <c r="AP2124" s="11"/>
      <c r="AQ2124" s="11"/>
      <c r="AR2124" s="11"/>
      <c r="AW2124" s="17">
        <v>45538</v>
      </c>
      <c r="AX2124" s="9">
        <v>3108</v>
      </c>
      <c r="BA2124" s="9">
        <v>300</v>
      </c>
      <c r="BD2124" s="9"/>
      <c r="CS2124" s="11">
        <f t="shared" si="148"/>
        <v>300</v>
      </c>
      <c r="CT2124" s="22">
        <f t="shared" si="149"/>
        <v>300</v>
      </c>
      <c r="CU2124" s="22">
        <f t="shared" si="150"/>
        <v>0</v>
      </c>
      <c r="CV2124" s="26">
        <f t="shared" si="147"/>
        <v>0</v>
      </c>
    </row>
    <row r="2125" spans="1:100" x14ac:dyDescent="0.2">
      <c r="A2125" s="9" t="s">
        <v>521</v>
      </c>
      <c r="B2125" s="2">
        <v>25</v>
      </c>
      <c r="C2125" s="3" t="s">
        <v>95</v>
      </c>
      <c r="D2125" s="3" t="s">
        <v>96</v>
      </c>
      <c r="E2125" s="2"/>
      <c r="F2125" s="2"/>
      <c r="G2125" s="2" t="s">
        <v>68</v>
      </c>
      <c r="H2125" s="2">
        <v>5</v>
      </c>
      <c r="I2125" s="8">
        <v>145.31</v>
      </c>
      <c r="J2125" s="8">
        <v>44999</v>
      </c>
      <c r="K2125" s="3">
        <v>0</v>
      </c>
      <c r="L2125" s="3" t="s">
        <v>3</v>
      </c>
      <c r="M2125" s="9" t="s">
        <v>0</v>
      </c>
      <c r="N2125" s="9" t="s">
        <v>5</v>
      </c>
      <c r="O2125" s="9" t="s">
        <v>546</v>
      </c>
      <c r="S2125" s="9" t="s">
        <v>158</v>
      </c>
      <c r="T2125" s="2" t="s">
        <v>68</v>
      </c>
      <c r="U2125" s="2">
        <v>5</v>
      </c>
      <c r="V2125" s="2">
        <v>145.31</v>
      </c>
      <c r="W2125" s="10" t="s">
        <v>710</v>
      </c>
      <c r="X2125" s="17">
        <v>45370</v>
      </c>
      <c r="Y2125" s="17">
        <v>45370</v>
      </c>
      <c r="Z2125" s="19" t="s">
        <v>772</v>
      </c>
      <c r="AA2125" s="210">
        <v>43000</v>
      </c>
      <c r="AB2125" s="9">
        <v>48</v>
      </c>
      <c r="AC2125" s="9">
        <v>5</v>
      </c>
      <c r="AD2125" s="17">
        <v>45595</v>
      </c>
      <c r="AE2125" s="56">
        <v>300</v>
      </c>
      <c r="AF2125" s="56"/>
      <c r="AG2125" s="9" t="s">
        <v>134</v>
      </c>
      <c r="AH2125" s="17">
        <v>45567</v>
      </c>
      <c r="AI2125" s="17"/>
      <c r="AJ2125" s="17"/>
      <c r="AK2125" s="9" t="s">
        <v>1396</v>
      </c>
      <c r="AL2125" s="11">
        <v>300</v>
      </c>
      <c r="AN2125" s="11" t="s">
        <v>1366</v>
      </c>
      <c r="AP2125" s="11"/>
      <c r="AQ2125" s="11"/>
      <c r="AR2125" s="11"/>
      <c r="AW2125" s="17">
        <v>45566</v>
      </c>
      <c r="AX2125" s="9">
        <v>3231</v>
      </c>
      <c r="BA2125" s="9">
        <v>300</v>
      </c>
      <c r="BD2125" s="9"/>
      <c r="CS2125" s="11">
        <f t="shared" si="148"/>
        <v>300</v>
      </c>
      <c r="CT2125" s="22">
        <f t="shared" si="149"/>
        <v>300</v>
      </c>
      <c r="CU2125" s="22">
        <f t="shared" si="150"/>
        <v>0</v>
      </c>
      <c r="CV2125" s="26">
        <f t="shared" si="147"/>
        <v>0</v>
      </c>
    </row>
    <row r="2126" spans="1:100" x14ac:dyDescent="0.2">
      <c r="A2126" s="9" t="s">
        <v>521</v>
      </c>
      <c r="B2126" s="2">
        <v>25</v>
      </c>
      <c r="C2126" s="3" t="s">
        <v>95</v>
      </c>
      <c r="D2126" s="3" t="s">
        <v>96</v>
      </c>
      <c r="E2126" s="2"/>
      <c r="F2126" s="2"/>
      <c r="G2126" s="2" t="s">
        <v>68</v>
      </c>
      <c r="H2126" s="2">
        <v>5</v>
      </c>
      <c r="I2126" s="8">
        <v>145.31</v>
      </c>
      <c r="J2126" s="8">
        <v>44999</v>
      </c>
      <c r="K2126" s="3">
        <v>0</v>
      </c>
      <c r="L2126" s="3" t="s">
        <v>3</v>
      </c>
      <c r="M2126" s="9" t="s">
        <v>0</v>
      </c>
      <c r="N2126" s="9" t="s">
        <v>5</v>
      </c>
      <c r="O2126" s="9" t="s">
        <v>546</v>
      </c>
      <c r="S2126" s="9" t="s">
        <v>158</v>
      </c>
      <c r="T2126" s="2" t="s">
        <v>68</v>
      </c>
      <c r="U2126" s="2">
        <v>5</v>
      </c>
      <c r="V2126" s="2">
        <v>145.31</v>
      </c>
      <c r="W2126" s="10" t="s">
        <v>710</v>
      </c>
      <c r="X2126" s="17">
        <v>45370</v>
      </c>
      <c r="Y2126" s="17">
        <v>45370</v>
      </c>
      <c r="Z2126" s="19" t="s">
        <v>772</v>
      </c>
      <c r="AA2126" s="210">
        <v>43000</v>
      </c>
      <c r="AB2126" s="9">
        <v>48</v>
      </c>
      <c r="AC2126" s="9">
        <v>6</v>
      </c>
      <c r="AD2126" s="17">
        <v>45626</v>
      </c>
      <c r="AE2126" s="56">
        <v>300</v>
      </c>
      <c r="AF2126" s="56"/>
      <c r="AG2126" s="9" t="s">
        <v>134</v>
      </c>
      <c r="AH2126" s="17">
        <v>45602</v>
      </c>
      <c r="AI2126" s="17"/>
      <c r="AJ2126" s="17"/>
      <c r="AK2126" s="9" t="s">
        <v>1397</v>
      </c>
      <c r="AL2126" s="11">
        <v>300</v>
      </c>
      <c r="AN2126" s="11" t="s">
        <v>1368</v>
      </c>
      <c r="AP2126" s="11"/>
      <c r="AQ2126" s="11"/>
      <c r="AR2126" s="11"/>
      <c r="AW2126" s="17">
        <v>45601</v>
      </c>
      <c r="AX2126" s="9">
        <v>3374</v>
      </c>
      <c r="BA2126" s="9">
        <v>300</v>
      </c>
      <c r="BD2126" s="9"/>
      <c r="CS2126" s="11">
        <f t="shared" si="148"/>
        <v>300</v>
      </c>
      <c r="CT2126" s="22">
        <f t="shared" si="149"/>
        <v>300</v>
      </c>
      <c r="CU2126" s="22">
        <f t="shared" si="150"/>
        <v>0</v>
      </c>
      <c r="CV2126" s="26">
        <f t="shared" si="147"/>
        <v>0</v>
      </c>
    </row>
    <row r="2127" spans="1:100" x14ac:dyDescent="0.2">
      <c r="A2127" s="9" t="s">
        <v>521</v>
      </c>
      <c r="B2127" s="2">
        <v>25</v>
      </c>
      <c r="C2127" s="3" t="s">
        <v>95</v>
      </c>
      <c r="D2127" s="3" t="s">
        <v>96</v>
      </c>
      <c r="E2127" s="2"/>
      <c r="F2127" s="2"/>
      <c r="G2127" s="2" t="s">
        <v>68</v>
      </c>
      <c r="H2127" s="2">
        <v>5</v>
      </c>
      <c r="I2127" s="8">
        <v>145.31</v>
      </c>
      <c r="J2127" s="8">
        <v>44999</v>
      </c>
      <c r="K2127" s="3">
        <v>0</v>
      </c>
      <c r="L2127" s="3" t="s">
        <v>3</v>
      </c>
      <c r="M2127" s="9" t="s">
        <v>0</v>
      </c>
      <c r="N2127" s="9" t="s">
        <v>5</v>
      </c>
      <c r="O2127" s="9" t="s">
        <v>546</v>
      </c>
      <c r="S2127" s="9" t="s">
        <v>158</v>
      </c>
      <c r="T2127" s="2" t="s">
        <v>68</v>
      </c>
      <c r="U2127" s="2">
        <v>5</v>
      </c>
      <c r="V2127" s="2">
        <v>145.31</v>
      </c>
      <c r="W2127" s="10" t="s">
        <v>710</v>
      </c>
      <c r="X2127" s="17">
        <v>45370</v>
      </c>
      <c r="Y2127" s="17">
        <v>45370</v>
      </c>
      <c r="Z2127" s="19" t="s">
        <v>772</v>
      </c>
      <c r="AA2127" s="210">
        <v>43000</v>
      </c>
      <c r="AB2127" s="9">
        <v>48</v>
      </c>
      <c r="AC2127" s="9">
        <v>7</v>
      </c>
      <c r="AD2127" s="17">
        <v>45656</v>
      </c>
      <c r="AE2127" s="56">
        <v>300</v>
      </c>
      <c r="AF2127" s="56"/>
      <c r="AG2127" s="9" t="s">
        <v>134</v>
      </c>
      <c r="AH2127" s="17">
        <v>45646</v>
      </c>
      <c r="AI2127" s="17"/>
      <c r="AJ2127" s="17"/>
      <c r="AK2127" s="9" t="s">
        <v>1398</v>
      </c>
      <c r="AL2127" s="11">
        <v>300</v>
      </c>
      <c r="AN2127" s="11" t="s">
        <v>1370</v>
      </c>
      <c r="AP2127" s="11"/>
      <c r="AQ2127" s="11"/>
      <c r="AR2127" s="11"/>
      <c r="AW2127" s="17">
        <v>45645</v>
      </c>
      <c r="AX2127" s="9">
        <v>3514</v>
      </c>
      <c r="BA2127" s="9">
        <v>300</v>
      </c>
      <c r="BD2127" s="9"/>
      <c r="CS2127" s="11">
        <f t="shared" si="148"/>
        <v>300</v>
      </c>
      <c r="CT2127" s="22">
        <f t="shared" si="149"/>
        <v>300</v>
      </c>
      <c r="CU2127" s="22">
        <f t="shared" si="150"/>
        <v>0</v>
      </c>
      <c r="CV2127" s="26">
        <f t="shared" si="147"/>
        <v>0</v>
      </c>
    </row>
    <row r="2128" spans="1:100" x14ac:dyDescent="0.2">
      <c r="A2128" s="9" t="s">
        <v>521</v>
      </c>
      <c r="B2128" s="2">
        <v>25</v>
      </c>
      <c r="C2128" s="3" t="s">
        <v>95</v>
      </c>
      <c r="D2128" s="3" t="s">
        <v>96</v>
      </c>
      <c r="E2128" s="2"/>
      <c r="F2128" s="2"/>
      <c r="G2128" s="2" t="s">
        <v>68</v>
      </c>
      <c r="H2128" s="2">
        <v>5</v>
      </c>
      <c r="I2128" s="8">
        <v>145.31</v>
      </c>
      <c r="J2128" s="8">
        <v>44999</v>
      </c>
      <c r="K2128" s="3">
        <v>0</v>
      </c>
      <c r="L2128" s="3" t="s">
        <v>3</v>
      </c>
      <c r="M2128" s="9" t="s">
        <v>0</v>
      </c>
      <c r="N2128" s="9" t="s">
        <v>5</v>
      </c>
      <c r="O2128" s="9" t="s">
        <v>546</v>
      </c>
      <c r="S2128" s="9" t="s">
        <v>158</v>
      </c>
      <c r="T2128" s="2" t="s">
        <v>68</v>
      </c>
      <c r="U2128" s="2">
        <v>5</v>
      </c>
      <c r="V2128" s="2">
        <v>145.31</v>
      </c>
      <c r="W2128" s="10" t="s">
        <v>710</v>
      </c>
      <c r="X2128" s="17">
        <v>45370</v>
      </c>
      <c r="Y2128" s="17">
        <v>45370</v>
      </c>
      <c r="Z2128" s="19" t="s">
        <v>772</v>
      </c>
      <c r="AA2128" s="210">
        <v>43000</v>
      </c>
      <c r="AB2128" s="9">
        <v>48</v>
      </c>
      <c r="AC2128" s="9">
        <v>8</v>
      </c>
      <c r="AD2128" s="17">
        <v>45687</v>
      </c>
      <c r="AE2128" s="56">
        <v>300</v>
      </c>
      <c r="AF2128" s="56"/>
      <c r="AG2128" s="9" t="s">
        <v>134</v>
      </c>
      <c r="AH2128" s="17">
        <v>45670</v>
      </c>
      <c r="AI2128" s="17"/>
      <c r="AJ2128" s="17"/>
      <c r="AK2128" s="9" t="s">
        <v>1399</v>
      </c>
      <c r="AL2128" s="11">
        <v>300</v>
      </c>
      <c r="AN2128" s="11" t="s">
        <v>1371</v>
      </c>
      <c r="AP2128" s="11"/>
      <c r="AQ2128" s="11"/>
      <c r="AR2128" s="11"/>
      <c r="AW2128" s="17">
        <v>45667</v>
      </c>
      <c r="AX2128" s="9">
        <v>3593</v>
      </c>
      <c r="BA2128" s="9">
        <v>300</v>
      </c>
      <c r="BD2128" s="9"/>
      <c r="CS2128" s="11">
        <f t="shared" si="148"/>
        <v>300</v>
      </c>
      <c r="CT2128" s="22">
        <f t="shared" si="149"/>
        <v>300</v>
      </c>
      <c r="CU2128" s="22">
        <f t="shared" si="150"/>
        <v>0</v>
      </c>
      <c r="CV2128" s="26">
        <f t="shared" si="147"/>
        <v>0</v>
      </c>
    </row>
    <row r="2129" spans="1:100" x14ac:dyDescent="0.2">
      <c r="A2129" s="9" t="s">
        <v>521</v>
      </c>
      <c r="B2129" s="2">
        <v>25</v>
      </c>
      <c r="C2129" s="3" t="s">
        <v>95</v>
      </c>
      <c r="D2129" s="3" t="s">
        <v>96</v>
      </c>
      <c r="E2129" s="2"/>
      <c r="F2129" s="2"/>
      <c r="G2129" s="2" t="s">
        <v>68</v>
      </c>
      <c r="H2129" s="2">
        <v>5</v>
      </c>
      <c r="I2129" s="8">
        <v>145.31</v>
      </c>
      <c r="J2129" s="8">
        <v>44999</v>
      </c>
      <c r="K2129" s="3">
        <v>0</v>
      </c>
      <c r="L2129" s="3" t="s">
        <v>3</v>
      </c>
      <c r="M2129" s="9" t="s">
        <v>0</v>
      </c>
      <c r="N2129" s="9" t="s">
        <v>5</v>
      </c>
      <c r="O2129" s="9" t="s">
        <v>546</v>
      </c>
      <c r="S2129" s="9" t="s">
        <v>158</v>
      </c>
      <c r="T2129" s="2" t="s">
        <v>68</v>
      </c>
      <c r="U2129" s="2">
        <v>5</v>
      </c>
      <c r="V2129" s="2">
        <v>145.31</v>
      </c>
      <c r="W2129" s="10" t="s">
        <v>710</v>
      </c>
      <c r="X2129" s="17">
        <v>45370</v>
      </c>
      <c r="Y2129" s="17">
        <v>45370</v>
      </c>
      <c r="Z2129" s="19" t="s">
        <v>772</v>
      </c>
      <c r="AA2129" s="210">
        <v>43000</v>
      </c>
      <c r="AB2129" s="9">
        <v>48</v>
      </c>
      <c r="AC2129" s="9">
        <v>9</v>
      </c>
      <c r="AD2129" s="17">
        <v>45716</v>
      </c>
      <c r="AE2129" s="56">
        <v>300</v>
      </c>
      <c r="AF2129" s="56"/>
      <c r="AG2129" s="9" t="s">
        <v>134</v>
      </c>
      <c r="AH2129" s="17">
        <v>45706</v>
      </c>
      <c r="AI2129" s="17"/>
      <c r="AJ2129" s="17"/>
      <c r="AK2129" s="9" t="s">
        <v>1400</v>
      </c>
      <c r="AL2129" s="11">
        <v>300</v>
      </c>
      <c r="AN2129" s="11" t="s">
        <v>1373</v>
      </c>
      <c r="AP2129" s="11"/>
      <c r="AQ2129" s="11"/>
      <c r="AR2129" s="11"/>
      <c r="AW2129" s="17">
        <v>45705</v>
      </c>
      <c r="AX2129" s="9">
        <v>3764</v>
      </c>
      <c r="BA2129" s="9">
        <v>300</v>
      </c>
      <c r="BD2129" s="9"/>
      <c r="CS2129" s="11">
        <f t="shared" si="148"/>
        <v>300</v>
      </c>
      <c r="CT2129" s="22">
        <f t="shared" si="149"/>
        <v>300</v>
      </c>
      <c r="CU2129" s="22">
        <f t="shared" si="150"/>
        <v>0</v>
      </c>
      <c r="CV2129" s="26">
        <f t="shared" si="147"/>
        <v>0</v>
      </c>
    </row>
    <row r="2130" spans="1:100" x14ac:dyDescent="0.2">
      <c r="A2130" s="9" t="s">
        <v>521</v>
      </c>
      <c r="B2130" s="2">
        <v>25</v>
      </c>
      <c r="C2130" s="3" t="s">
        <v>95</v>
      </c>
      <c r="D2130" s="3" t="s">
        <v>96</v>
      </c>
      <c r="E2130" s="2"/>
      <c r="F2130" s="2"/>
      <c r="G2130" s="2" t="s">
        <v>68</v>
      </c>
      <c r="H2130" s="2">
        <v>5</v>
      </c>
      <c r="I2130" s="8">
        <v>145.31</v>
      </c>
      <c r="J2130" s="8">
        <v>44999</v>
      </c>
      <c r="K2130" s="3">
        <v>0</v>
      </c>
      <c r="L2130" s="3" t="s">
        <v>3</v>
      </c>
      <c r="M2130" s="9" t="s">
        <v>0</v>
      </c>
      <c r="N2130" s="9" t="s">
        <v>5</v>
      </c>
      <c r="O2130" s="9" t="s">
        <v>546</v>
      </c>
      <c r="S2130" s="9" t="s">
        <v>158</v>
      </c>
      <c r="T2130" s="2" t="s">
        <v>68</v>
      </c>
      <c r="U2130" s="2">
        <v>5</v>
      </c>
      <c r="V2130" s="2">
        <v>145.31</v>
      </c>
      <c r="W2130" s="10" t="s">
        <v>710</v>
      </c>
      <c r="X2130" s="17">
        <v>45370</v>
      </c>
      <c r="Y2130" s="17">
        <v>45370</v>
      </c>
      <c r="Z2130" s="19" t="s">
        <v>772</v>
      </c>
      <c r="AA2130" s="210">
        <v>43000</v>
      </c>
      <c r="AB2130" s="9">
        <v>48</v>
      </c>
      <c r="AC2130" s="9">
        <v>10</v>
      </c>
      <c r="AD2130" s="17">
        <v>45746</v>
      </c>
      <c r="AE2130" s="56">
        <v>300</v>
      </c>
      <c r="AF2130" s="56"/>
      <c r="AG2130" s="9" t="s">
        <v>134</v>
      </c>
      <c r="AH2130" s="17">
        <v>45730</v>
      </c>
      <c r="AI2130" s="17"/>
      <c r="AJ2130" s="17"/>
      <c r="AK2130" s="9" t="s">
        <v>1401</v>
      </c>
      <c r="AL2130" s="11">
        <v>300</v>
      </c>
      <c r="AN2130" s="11" t="s">
        <v>1375</v>
      </c>
      <c r="AP2130" s="11"/>
      <c r="AQ2130" s="11"/>
      <c r="AR2130" s="11"/>
      <c r="AW2130" s="17">
        <v>45729</v>
      </c>
      <c r="AX2130" s="9">
        <v>3880</v>
      </c>
      <c r="BA2130" s="9">
        <v>300</v>
      </c>
      <c r="BD2130" s="9"/>
      <c r="CS2130" s="11">
        <f t="shared" si="148"/>
        <v>300</v>
      </c>
      <c r="CT2130" s="22">
        <f t="shared" si="149"/>
        <v>300</v>
      </c>
      <c r="CU2130" s="22">
        <f t="shared" si="150"/>
        <v>0</v>
      </c>
      <c r="CV2130" s="26">
        <f t="shared" si="147"/>
        <v>0</v>
      </c>
    </row>
    <row r="2131" spans="1:100" x14ac:dyDescent="0.2">
      <c r="A2131" s="9" t="s">
        <v>521</v>
      </c>
      <c r="B2131" s="2">
        <v>25</v>
      </c>
      <c r="C2131" s="3" t="s">
        <v>95</v>
      </c>
      <c r="D2131" s="3" t="s">
        <v>96</v>
      </c>
      <c r="E2131" s="2"/>
      <c r="F2131" s="2"/>
      <c r="G2131" s="2" t="s">
        <v>68</v>
      </c>
      <c r="H2131" s="2">
        <v>5</v>
      </c>
      <c r="I2131" s="8">
        <v>145.31</v>
      </c>
      <c r="J2131" s="8">
        <v>44999</v>
      </c>
      <c r="K2131" s="3">
        <v>0</v>
      </c>
      <c r="L2131" s="3" t="s">
        <v>3</v>
      </c>
      <c r="M2131" s="9" t="s">
        <v>0</v>
      </c>
      <c r="N2131" s="9" t="s">
        <v>5</v>
      </c>
      <c r="O2131" s="9" t="s">
        <v>546</v>
      </c>
      <c r="S2131" s="9" t="s">
        <v>158</v>
      </c>
      <c r="T2131" s="2" t="s">
        <v>68</v>
      </c>
      <c r="U2131" s="2">
        <v>5</v>
      </c>
      <c r="V2131" s="2">
        <v>145.31</v>
      </c>
      <c r="W2131" s="10" t="s">
        <v>710</v>
      </c>
      <c r="X2131" s="17">
        <v>45370</v>
      </c>
      <c r="Y2131" s="17">
        <v>45370</v>
      </c>
      <c r="Z2131" s="19" t="s">
        <v>772</v>
      </c>
      <c r="AA2131" s="210">
        <v>43000</v>
      </c>
      <c r="AB2131" s="9">
        <v>48</v>
      </c>
      <c r="AC2131" s="9">
        <v>11</v>
      </c>
      <c r="AD2131" s="17">
        <v>45777</v>
      </c>
      <c r="AE2131" s="56">
        <v>300</v>
      </c>
      <c r="AF2131" s="56"/>
      <c r="AG2131" s="9" t="s">
        <v>134</v>
      </c>
      <c r="AH2131" s="17">
        <v>45762</v>
      </c>
      <c r="AI2131" s="17"/>
      <c r="AJ2131" s="17"/>
      <c r="AK2131" s="9" t="s">
        <v>1402</v>
      </c>
      <c r="AL2131" s="11">
        <v>300</v>
      </c>
      <c r="AN2131" s="11" t="s">
        <v>1377</v>
      </c>
      <c r="AP2131" s="11"/>
      <c r="AQ2131" s="11"/>
      <c r="AR2131" s="11"/>
      <c r="AW2131" s="17">
        <v>45762</v>
      </c>
      <c r="AX2131" s="9">
        <v>4013</v>
      </c>
      <c r="BA2131" s="9">
        <v>300</v>
      </c>
      <c r="BD2131" s="9"/>
      <c r="CS2131" s="11">
        <f t="shared" si="148"/>
        <v>300</v>
      </c>
      <c r="CT2131" s="22">
        <f t="shared" si="149"/>
        <v>300</v>
      </c>
      <c r="CU2131" s="22">
        <f t="shared" si="150"/>
        <v>0</v>
      </c>
      <c r="CV2131" s="26">
        <f t="shared" si="147"/>
        <v>0</v>
      </c>
    </row>
    <row r="2132" spans="1:100" x14ac:dyDescent="0.2">
      <c r="A2132" s="9" t="s">
        <v>521</v>
      </c>
      <c r="B2132" s="2">
        <v>25</v>
      </c>
      <c r="C2132" s="3" t="s">
        <v>95</v>
      </c>
      <c r="D2132" s="3" t="s">
        <v>96</v>
      </c>
      <c r="E2132" s="2"/>
      <c r="F2132" s="2"/>
      <c r="G2132" s="2" t="s">
        <v>68</v>
      </c>
      <c r="H2132" s="2">
        <v>5</v>
      </c>
      <c r="I2132" s="8">
        <v>145.31</v>
      </c>
      <c r="J2132" s="8">
        <v>44999</v>
      </c>
      <c r="K2132" s="3">
        <v>0</v>
      </c>
      <c r="L2132" s="3" t="s">
        <v>3</v>
      </c>
      <c r="M2132" s="9" t="s">
        <v>0</v>
      </c>
      <c r="N2132" s="9" t="s">
        <v>5</v>
      </c>
      <c r="O2132" s="9" t="s">
        <v>546</v>
      </c>
      <c r="S2132" s="9" t="s">
        <v>158</v>
      </c>
      <c r="T2132" s="2" t="s">
        <v>68</v>
      </c>
      <c r="U2132" s="2">
        <v>5</v>
      </c>
      <c r="V2132" s="2">
        <v>145.31</v>
      </c>
      <c r="W2132" s="10" t="s">
        <v>710</v>
      </c>
      <c r="X2132" s="17">
        <v>45370</v>
      </c>
      <c r="Y2132" s="17">
        <v>45370</v>
      </c>
      <c r="Z2132" s="19" t="s">
        <v>772</v>
      </c>
      <c r="AA2132" s="210">
        <v>43000</v>
      </c>
      <c r="AB2132" s="9">
        <v>48</v>
      </c>
      <c r="AC2132" s="9">
        <v>12</v>
      </c>
      <c r="AD2132" s="17">
        <v>45807</v>
      </c>
      <c r="AE2132" s="56">
        <v>300</v>
      </c>
      <c r="AF2132" s="56"/>
      <c r="AG2132" s="9" t="s">
        <v>134</v>
      </c>
      <c r="AH2132" s="17">
        <v>45792</v>
      </c>
      <c r="AI2132" s="17"/>
      <c r="AJ2132" s="17"/>
      <c r="AK2132" s="9" t="s">
        <v>1403</v>
      </c>
      <c r="AL2132" s="11">
        <v>300</v>
      </c>
      <c r="AN2132" s="11" t="s">
        <v>1379</v>
      </c>
      <c r="AP2132" s="11"/>
      <c r="AQ2132" s="11"/>
      <c r="AR2132" s="11"/>
      <c r="AW2132" s="17">
        <v>45792</v>
      </c>
      <c r="AX2132" s="9">
        <v>4166</v>
      </c>
      <c r="BA2132" s="9">
        <v>300</v>
      </c>
      <c r="BD2132" s="9"/>
      <c r="CS2132" s="11">
        <f t="shared" si="148"/>
        <v>300</v>
      </c>
      <c r="CT2132" s="22">
        <f t="shared" si="149"/>
        <v>300</v>
      </c>
      <c r="CU2132" s="22">
        <f t="shared" si="150"/>
        <v>0</v>
      </c>
      <c r="CV2132" s="26">
        <f t="shared" si="147"/>
        <v>0</v>
      </c>
    </row>
    <row r="2133" spans="1:100" x14ac:dyDescent="0.2">
      <c r="A2133" s="9" t="s">
        <v>521</v>
      </c>
      <c r="B2133" s="2">
        <v>25</v>
      </c>
      <c r="C2133" s="3" t="s">
        <v>95</v>
      </c>
      <c r="D2133" s="3" t="s">
        <v>96</v>
      </c>
      <c r="E2133" s="2"/>
      <c r="F2133" s="2"/>
      <c r="G2133" s="2" t="s">
        <v>68</v>
      </c>
      <c r="H2133" s="2">
        <v>5</v>
      </c>
      <c r="I2133" s="8">
        <v>145.31</v>
      </c>
      <c r="J2133" s="8">
        <v>44999</v>
      </c>
      <c r="K2133" s="3">
        <v>0</v>
      </c>
      <c r="L2133" s="3" t="s">
        <v>3</v>
      </c>
      <c r="M2133" s="9" t="s">
        <v>0</v>
      </c>
      <c r="N2133" s="9" t="s">
        <v>5</v>
      </c>
      <c r="O2133" s="9" t="s">
        <v>546</v>
      </c>
      <c r="S2133" s="9" t="s">
        <v>158</v>
      </c>
      <c r="T2133" s="2" t="s">
        <v>68</v>
      </c>
      <c r="U2133" s="2">
        <v>5</v>
      </c>
      <c r="V2133" s="2">
        <v>145.31</v>
      </c>
      <c r="W2133" s="10" t="s">
        <v>710</v>
      </c>
      <c r="X2133" s="17">
        <v>45370</v>
      </c>
      <c r="Y2133" s="17">
        <v>45370</v>
      </c>
      <c r="Z2133" s="19" t="s">
        <v>772</v>
      </c>
      <c r="AA2133" s="210">
        <v>43000</v>
      </c>
      <c r="AB2133" s="9">
        <v>48</v>
      </c>
      <c r="AC2133" s="9">
        <v>13</v>
      </c>
      <c r="AD2133" s="17">
        <v>45838</v>
      </c>
      <c r="AE2133" s="56">
        <v>928</v>
      </c>
      <c r="AF2133" s="56"/>
      <c r="AG2133" s="9" t="s">
        <v>134</v>
      </c>
      <c r="AH2133" s="17">
        <v>45825</v>
      </c>
      <c r="AI2133" s="17"/>
      <c r="AJ2133" s="17"/>
      <c r="AK2133" s="9" t="s">
        <v>1404</v>
      </c>
      <c r="AL2133" s="11">
        <v>928</v>
      </c>
      <c r="AN2133" s="11" t="s">
        <v>1381</v>
      </c>
      <c r="AP2133" s="11"/>
      <c r="AQ2133" s="11"/>
      <c r="AR2133" s="11"/>
      <c r="AW2133" s="17">
        <v>45824</v>
      </c>
      <c r="AX2133" s="9">
        <v>4306</v>
      </c>
      <c r="BA2133" s="9">
        <v>928</v>
      </c>
      <c r="BD2133" s="9"/>
      <c r="CS2133" s="11">
        <f t="shared" si="148"/>
        <v>928</v>
      </c>
      <c r="CT2133" s="22">
        <f t="shared" si="149"/>
        <v>928</v>
      </c>
      <c r="CU2133" s="22">
        <f t="shared" si="150"/>
        <v>0</v>
      </c>
      <c r="CV2133" s="26">
        <f t="shared" si="147"/>
        <v>0</v>
      </c>
    </row>
    <row r="2134" spans="1:100" x14ac:dyDescent="0.2">
      <c r="A2134" s="9" t="s">
        <v>521</v>
      </c>
      <c r="B2134" s="2">
        <v>25</v>
      </c>
      <c r="C2134" s="3" t="s">
        <v>95</v>
      </c>
      <c r="D2134" s="3" t="s">
        <v>96</v>
      </c>
      <c r="E2134" s="2"/>
      <c r="F2134" s="2"/>
      <c r="G2134" s="2" t="s">
        <v>68</v>
      </c>
      <c r="H2134" s="2">
        <v>5</v>
      </c>
      <c r="I2134" s="8">
        <v>145.31</v>
      </c>
      <c r="J2134" s="8">
        <v>44999</v>
      </c>
      <c r="K2134" s="3">
        <v>0</v>
      </c>
      <c r="L2134" s="3" t="s">
        <v>3</v>
      </c>
      <c r="M2134" s="9" t="s">
        <v>0</v>
      </c>
      <c r="N2134" s="9" t="s">
        <v>5</v>
      </c>
      <c r="O2134" s="9" t="s">
        <v>546</v>
      </c>
      <c r="S2134" s="9" t="s">
        <v>158</v>
      </c>
      <c r="T2134" s="2" t="s">
        <v>68</v>
      </c>
      <c r="U2134" s="2">
        <v>5</v>
      </c>
      <c r="V2134" s="2">
        <v>145.31</v>
      </c>
      <c r="W2134" s="10" t="s">
        <v>710</v>
      </c>
      <c r="X2134" s="17">
        <v>45370</v>
      </c>
      <c r="Y2134" s="17">
        <v>45370</v>
      </c>
      <c r="Z2134" s="19" t="s">
        <v>772</v>
      </c>
      <c r="AA2134" s="210">
        <v>43000</v>
      </c>
      <c r="AB2134" s="9">
        <v>48</v>
      </c>
      <c r="AC2134" s="9">
        <v>14</v>
      </c>
      <c r="AD2134" s="17">
        <v>45868</v>
      </c>
      <c r="AE2134" s="56">
        <v>928</v>
      </c>
      <c r="AF2134" s="56"/>
      <c r="AG2134" s="9" t="s">
        <v>134</v>
      </c>
      <c r="AH2134" s="17">
        <v>45855</v>
      </c>
      <c r="AI2134" s="17"/>
      <c r="AJ2134" s="17"/>
      <c r="AK2134" s="9" t="s">
        <v>1405</v>
      </c>
      <c r="AL2134" s="11">
        <v>928</v>
      </c>
      <c r="AN2134" s="11" t="s">
        <v>1383</v>
      </c>
      <c r="AP2134" s="11"/>
      <c r="AQ2134" s="11"/>
      <c r="AR2134" s="11"/>
      <c r="AW2134" s="17">
        <v>45853</v>
      </c>
      <c r="AX2134" s="9">
        <v>4421</v>
      </c>
      <c r="BA2134" s="9">
        <v>928</v>
      </c>
      <c r="BD2134" s="9"/>
      <c r="CS2134" s="11">
        <f t="shared" si="148"/>
        <v>928</v>
      </c>
      <c r="CT2134" s="22">
        <f t="shared" si="149"/>
        <v>928</v>
      </c>
      <c r="CU2134" s="22">
        <f t="shared" si="150"/>
        <v>0</v>
      </c>
      <c r="CV2134" s="26">
        <f t="shared" si="147"/>
        <v>0</v>
      </c>
    </row>
    <row r="2135" spans="1:100" x14ac:dyDescent="0.2">
      <c r="A2135" s="9" t="s">
        <v>521</v>
      </c>
      <c r="B2135" s="2">
        <v>25</v>
      </c>
      <c r="C2135" s="3" t="s">
        <v>95</v>
      </c>
      <c r="D2135" s="3" t="s">
        <v>96</v>
      </c>
      <c r="E2135" s="2"/>
      <c r="F2135" s="2"/>
      <c r="G2135" s="2" t="s">
        <v>68</v>
      </c>
      <c r="H2135" s="2">
        <v>5</v>
      </c>
      <c r="I2135" s="8">
        <v>145.31</v>
      </c>
      <c r="J2135" s="8">
        <v>44999</v>
      </c>
      <c r="K2135" s="3">
        <v>0</v>
      </c>
      <c r="L2135" s="3" t="s">
        <v>3</v>
      </c>
      <c r="M2135" s="9" t="s">
        <v>0</v>
      </c>
      <c r="N2135" s="9" t="s">
        <v>5</v>
      </c>
      <c r="O2135" s="9" t="s">
        <v>546</v>
      </c>
      <c r="S2135" s="9" t="s">
        <v>158</v>
      </c>
      <c r="T2135" s="2" t="s">
        <v>68</v>
      </c>
      <c r="U2135" s="2">
        <v>5</v>
      </c>
      <c r="V2135" s="2">
        <v>145.31</v>
      </c>
      <c r="W2135" s="10" t="s">
        <v>710</v>
      </c>
      <c r="X2135" s="17">
        <v>45370</v>
      </c>
      <c r="Y2135" s="17">
        <v>45370</v>
      </c>
      <c r="Z2135" s="19" t="s">
        <v>772</v>
      </c>
      <c r="AA2135" s="210">
        <v>43000</v>
      </c>
      <c r="AB2135" s="9">
        <v>48</v>
      </c>
      <c r="AC2135" s="9">
        <v>15</v>
      </c>
      <c r="AD2135" s="17">
        <v>45899</v>
      </c>
      <c r="AE2135" s="56">
        <v>928</v>
      </c>
      <c r="AF2135" s="56"/>
      <c r="AG2135" s="9" t="s">
        <v>134</v>
      </c>
      <c r="AH2135" s="17">
        <v>45884</v>
      </c>
      <c r="AI2135" s="17"/>
      <c r="AJ2135" s="17"/>
      <c r="AK2135" s="9" t="s">
        <v>1406</v>
      </c>
      <c r="AL2135" s="11">
        <v>928</v>
      </c>
      <c r="AN2135" s="11" t="s">
        <v>1385</v>
      </c>
      <c r="AP2135" s="11"/>
      <c r="AQ2135" s="11"/>
      <c r="AR2135" s="11"/>
      <c r="AW2135" s="17">
        <v>45884</v>
      </c>
      <c r="AX2135" s="9">
        <v>4566</v>
      </c>
      <c r="BA2135" s="9">
        <v>928</v>
      </c>
      <c r="BD2135" s="9"/>
      <c r="CS2135" s="11">
        <f t="shared" si="148"/>
        <v>928</v>
      </c>
      <c r="CT2135" s="22">
        <f t="shared" si="149"/>
        <v>928</v>
      </c>
      <c r="CU2135" s="22">
        <f t="shared" si="150"/>
        <v>0</v>
      </c>
      <c r="CV2135" s="26">
        <f t="shared" si="147"/>
        <v>0</v>
      </c>
    </row>
    <row r="2136" spans="1:100" x14ac:dyDescent="0.2">
      <c r="A2136" s="9" t="s">
        <v>521</v>
      </c>
      <c r="B2136" s="2">
        <v>25</v>
      </c>
      <c r="C2136" s="3" t="s">
        <v>95</v>
      </c>
      <c r="D2136" s="3" t="s">
        <v>96</v>
      </c>
      <c r="E2136" s="2"/>
      <c r="F2136" s="2"/>
      <c r="G2136" s="2" t="s">
        <v>68</v>
      </c>
      <c r="H2136" s="2">
        <v>5</v>
      </c>
      <c r="I2136" s="8">
        <v>145.31</v>
      </c>
      <c r="J2136" s="8">
        <v>44999</v>
      </c>
      <c r="K2136" s="3">
        <v>0</v>
      </c>
      <c r="L2136" s="3" t="s">
        <v>3</v>
      </c>
      <c r="M2136" s="9" t="s">
        <v>0</v>
      </c>
      <c r="N2136" s="9" t="s">
        <v>5</v>
      </c>
      <c r="O2136" s="9" t="s">
        <v>546</v>
      </c>
      <c r="S2136" s="9" t="s">
        <v>158</v>
      </c>
      <c r="T2136" s="2" t="s">
        <v>68</v>
      </c>
      <c r="U2136" s="2">
        <v>5</v>
      </c>
      <c r="V2136" s="2">
        <v>145.31</v>
      </c>
      <c r="W2136" s="10" t="s">
        <v>710</v>
      </c>
      <c r="X2136" s="17">
        <v>45370</v>
      </c>
      <c r="Y2136" s="17">
        <v>45370</v>
      </c>
      <c r="Z2136" s="19" t="s">
        <v>772</v>
      </c>
      <c r="AA2136" s="210">
        <v>43000</v>
      </c>
      <c r="AB2136" s="9">
        <v>48</v>
      </c>
      <c r="AC2136" s="9">
        <v>16</v>
      </c>
      <c r="AD2136" s="17">
        <v>45930</v>
      </c>
      <c r="AE2136" s="56">
        <v>928</v>
      </c>
      <c r="AF2136" s="56"/>
      <c r="AG2136" s="9" t="s">
        <v>134</v>
      </c>
      <c r="AH2136" s="17">
        <v>45902</v>
      </c>
      <c r="AI2136" s="17"/>
      <c r="AJ2136" s="17"/>
      <c r="AK2136" s="9" t="s">
        <v>1407</v>
      </c>
      <c r="AL2136" s="11">
        <v>928</v>
      </c>
      <c r="AN2136" s="11" t="s">
        <v>1387</v>
      </c>
      <c r="AP2136" s="11"/>
      <c r="AQ2136" s="11"/>
      <c r="AR2136" s="11"/>
      <c r="AW2136" s="17">
        <v>45902</v>
      </c>
      <c r="AX2136" s="9">
        <v>4651</v>
      </c>
      <c r="BA2136" s="9">
        <v>928</v>
      </c>
      <c r="BD2136" s="9"/>
      <c r="CS2136" s="11">
        <f t="shared" si="148"/>
        <v>928</v>
      </c>
      <c r="CT2136" s="22">
        <f t="shared" si="149"/>
        <v>928</v>
      </c>
      <c r="CU2136" s="22">
        <f t="shared" si="150"/>
        <v>0</v>
      </c>
      <c r="CV2136" s="26">
        <f t="shared" si="147"/>
        <v>0</v>
      </c>
    </row>
    <row r="2137" spans="1:100" x14ac:dyDescent="0.2">
      <c r="A2137" s="9" t="s">
        <v>521</v>
      </c>
      <c r="B2137" s="2">
        <v>25</v>
      </c>
      <c r="C2137" s="3" t="s">
        <v>95</v>
      </c>
      <c r="D2137" s="3" t="s">
        <v>96</v>
      </c>
      <c r="E2137" s="2"/>
      <c r="F2137" s="2"/>
      <c r="G2137" s="2" t="s">
        <v>68</v>
      </c>
      <c r="H2137" s="2">
        <v>5</v>
      </c>
      <c r="I2137" s="8">
        <v>145.31</v>
      </c>
      <c r="J2137" s="8">
        <v>44999</v>
      </c>
      <c r="K2137" s="3">
        <v>0</v>
      </c>
      <c r="L2137" s="3" t="s">
        <v>3</v>
      </c>
      <c r="M2137" s="9" t="s">
        <v>0</v>
      </c>
      <c r="N2137" s="9" t="s">
        <v>5</v>
      </c>
      <c r="O2137" s="9" t="s">
        <v>546</v>
      </c>
      <c r="S2137" s="9" t="s">
        <v>158</v>
      </c>
      <c r="T2137" s="2" t="s">
        <v>68</v>
      </c>
      <c r="U2137" s="2">
        <v>5</v>
      </c>
      <c r="V2137" s="2">
        <v>145.31</v>
      </c>
      <c r="W2137" s="10" t="s">
        <v>710</v>
      </c>
      <c r="X2137" s="17">
        <v>45370</v>
      </c>
      <c r="Y2137" s="17">
        <v>45370</v>
      </c>
      <c r="Z2137" s="19" t="s">
        <v>772</v>
      </c>
      <c r="AA2137" s="210">
        <v>43000</v>
      </c>
      <c r="AB2137" s="9">
        <v>48</v>
      </c>
      <c r="AC2137" s="9">
        <v>17</v>
      </c>
      <c r="AD2137" s="17">
        <v>45960</v>
      </c>
      <c r="AE2137" s="56">
        <v>928</v>
      </c>
      <c r="AF2137" s="56"/>
      <c r="AG2137" s="9" t="s">
        <v>134</v>
      </c>
      <c r="AH2137" s="17">
        <v>45948</v>
      </c>
      <c r="AK2137" s="9" t="s">
        <v>3281</v>
      </c>
      <c r="AL2137" s="11">
        <v>928</v>
      </c>
      <c r="AN2137" s="11" t="s">
        <v>3265</v>
      </c>
      <c r="AP2137" s="11"/>
      <c r="AQ2137" s="11"/>
      <c r="AR2137" s="11"/>
      <c r="AW2137" s="17">
        <v>45948</v>
      </c>
      <c r="AX2137" s="9">
        <v>4966</v>
      </c>
      <c r="BA2137" s="11">
        <v>928</v>
      </c>
      <c r="BD2137" s="9"/>
      <c r="CS2137" s="11">
        <f t="shared" si="148"/>
        <v>928</v>
      </c>
      <c r="CT2137" s="22">
        <f t="shared" si="149"/>
        <v>928</v>
      </c>
      <c r="CU2137" s="22">
        <f t="shared" si="150"/>
        <v>0</v>
      </c>
      <c r="CV2137" s="26">
        <f t="shared" si="147"/>
        <v>0</v>
      </c>
    </row>
    <row r="2138" spans="1:100" x14ac:dyDescent="0.2">
      <c r="A2138" s="9" t="s">
        <v>521</v>
      </c>
      <c r="B2138" s="2">
        <v>25</v>
      </c>
      <c r="C2138" s="3" t="s">
        <v>95</v>
      </c>
      <c r="D2138" s="3" t="s">
        <v>96</v>
      </c>
      <c r="E2138" s="2"/>
      <c r="F2138" s="2"/>
      <c r="G2138" s="2" t="s">
        <v>68</v>
      </c>
      <c r="H2138" s="2">
        <v>5</v>
      </c>
      <c r="I2138" s="8">
        <v>145.31</v>
      </c>
      <c r="J2138" s="8">
        <v>44999</v>
      </c>
      <c r="K2138" s="3">
        <v>0</v>
      </c>
      <c r="L2138" s="3" t="s">
        <v>3</v>
      </c>
      <c r="M2138" s="9" t="s">
        <v>0</v>
      </c>
      <c r="N2138" s="9" t="s">
        <v>5</v>
      </c>
      <c r="O2138" s="9" t="s">
        <v>546</v>
      </c>
      <c r="S2138" s="9" t="s">
        <v>158</v>
      </c>
      <c r="T2138" s="2" t="s">
        <v>68</v>
      </c>
      <c r="U2138" s="2">
        <v>5</v>
      </c>
      <c r="V2138" s="2">
        <v>145.31</v>
      </c>
      <c r="W2138" s="10" t="s">
        <v>710</v>
      </c>
      <c r="X2138" s="17">
        <v>45370</v>
      </c>
      <c r="Y2138" s="17">
        <v>45370</v>
      </c>
      <c r="Z2138" s="19" t="s">
        <v>772</v>
      </c>
      <c r="AA2138" s="210">
        <v>43000</v>
      </c>
      <c r="AB2138" s="9">
        <v>48</v>
      </c>
      <c r="AC2138" s="9">
        <v>18</v>
      </c>
      <c r="AD2138" s="17">
        <v>45991</v>
      </c>
      <c r="AE2138" s="56">
        <v>928</v>
      </c>
      <c r="AF2138" s="56"/>
      <c r="AP2138" s="11"/>
      <c r="AQ2138" s="11"/>
      <c r="AR2138" s="11"/>
      <c r="AW2138" s="17"/>
      <c r="BD2138" s="9"/>
      <c r="CS2138" s="11">
        <f t="shared" si="148"/>
        <v>0</v>
      </c>
      <c r="CT2138" s="22">
        <f t="shared" si="149"/>
        <v>0</v>
      </c>
      <c r="CU2138" s="22">
        <f t="shared" si="150"/>
        <v>0</v>
      </c>
      <c r="CV2138" s="26">
        <f t="shared" si="147"/>
        <v>928</v>
      </c>
    </row>
    <row r="2139" spans="1:100" x14ac:dyDescent="0.2">
      <c r="A2139" s="9" t="s">
        <v>521</v>
      </c>
      <c r="B2139" s="2">
        <v>25</v>
      </c>
      <c r="C2139" s="3" t="s">
        <v>95</v>
      </c>
      <c r="D2139" s="3" t="s">
        <v>96</v>
      </c>
      <c r="E2139" s="2"/>
      <c r="F2139" s="2"/>
      <c r="G2139" s="2" t="s">
        <v>68</v>
      </c>
      <c r="H2139" s="2">
        <v>5</v>
      </c>
      <c r="I2139" s="8">
        <v>145.31</v>
      </c>
      <c r="J2139" s="8">
        <v>44999</v>
      </c>
      <c r="K2139" s="3">
        <v>0</v>
      </c>
      <c r="L2139" s="3" t="s">
        <v>3</v>
      </c>
      <c r="M2139" s="9" t="s">
        <v>0</v>
      </c>
      <c r="N2139" s="9" t="s">
        <v>5</v>
      </c>
      <c r="O2139" s="9" t="s">
        <v>546</v>
      </c>
      <c r="S2139" s="9" t="s">
        <v>158</v>
      </c>
      <c r="T2139" s="2" t="s">
        <v>68</v>
      </c>
      <c r="U2139" s="2">
        <v>5</v>
      </c>
      <c r="V2139" s="2">
        <v>145.31</v>
      </c>
      <c r="W2139" s="10" t="s">
        <v>710</v>
      </c>
      <c r="X2139" s="17">
        <v>45370</v>
      </c>
      <c r="Y2139" s="17">
        <v>45370</v>
      </c>
      <c r="Z2139" s="19" t="s">
        <v>772</v>
      </c>
      <c r="AA2139" s="210">
        <v>43000</v>
      </c>
      <c r="AB2139" s="9">
        <v>48</v>
      </c>
      <c r="AC2139" s="9">
        <v>19</v>
      </c>
      <c r="AD2139" s="17">
        <v>46021</v>
      </c>
      <c r="AE2139" s="56">
        <v>928</v>
      </c>
      <c r="AF2139" s="56"/>
      <c r="AP2139" s="11"/>
      <c r="AQ2139" s="11"/>
      <c r="AR2139" s="11"/>
      <c r="AW2139" s="9"/>
      <c r="BD2139" s="9"/>
      <c r="CS2139" s="11">
        <f t="shared" si="148"/>
        <v>0</v>
      </c>
      <c r="CT2139" s="22">
        <f t="shared" si="149"/>
        <v>0</v>
      </c>
      <c r="CU2139" s="22">
        <f t="shared" si="150"/>
        <v>0</v>
      </c>
      <c r="CV2139" s="26">
        <f t="shared" si="147"/>
        <v>928</v>
      </c>
    </row>
    <row r="2140" spans="1:100" x14ac:dyDescent="0.2">
      <c r="A2140" s="9" t="s">
        <v>521</v>
      </c>
      <c r="B2140" s="2">
        <v>25</v>
      </c>
      <c r="C2140" s="3" t="s">
        <v>95</v>
      </c>
      <c r="D2140" s="3" t="s">
        <v>96</v>
      </c>
      <c r="E2140" s="2"/>
      <c r="F2140" s="2"/>
      <c r="G2140" s="2" t="s">
        <v>68</v>
      </c>
      <c r="H2140" s="2">
        <v>5</v>
      </c>
      <c r="I2140" s="8">
        <v>145.31</v>
      </c>
      <c r="J2140" s="8">
        <v>44999</v>
      </c>
      <c r="K2140" s="3">
        <v>0</v>
      </c>
      <c r="L2140" s="3" t="s">
        <v>3</v>
      </c>
      <c r="M2140" s="9" t="s">
        <v>0</v>
      </c>
      <c r="N2140" s="9" t="s">
        <v>5</v>
      </c>
      <c r="O2140" s="9" t="s">
        <v>546</v>
      </c>
      <c r="S2140" s="9" t="s">
        <v>158</v>
      </c>
      <c r="T2140" s="2" t="s">
        <v>68</v>
      </c>
      <c r="U2140" s="2">
        <v>5</v>
      </c>
      <c r="V2140" s="2">
        <v>145.31</v>
      </c>
      <c r="W2140" s="10" t="s">
        <v>710</v>
      </c>
      <c r="X2140" s="17">
        <v>45370</v>
      </c>
      <c r="Y2140" s="17">
        <v>45370</v>
      </c>
      <c r="Z2140" s="19" t="s">
        <v>772</v>
      </c>
      <c r="AA2140" s="210">
        <v>43000</v>
      </c>
      <c r="AB2140" s="9">
        <v>48</v>
      </c>
      <c r="AC2140" s="9">
        <v>20</v>
      </c>
      <c r="AD2140" s="17">
        <v>46052</v>
      </c>
      <c r="AE2140" s="56">
        <v>928</v>
      </c>
      <c r="AF2140" s="56"/>
      <c r="AP2140" s="11"/>
      <c r="AQ2140" s="11"/>
      <c r="AR2140" s="11"/>
      <c r="AW2140" s="9"/>
      <c r="BD2140" s="9"/>
      <c r="CS2140" s="11">
        <f t="shared" si="148"/>
        <v>0</v>
      </c>
      <c r="CT2140" s="22">
        <f t="shared" si="149"/>
        <v>0</v>
      </c>
      <c r="CU2140" s="22">
        <f t="shared" si="150"/>
        <v>0</v>
      </c>
      <c r="CV2140" s="26">
        <f t="shared" si="147"/>
        <v>928</v>
      </c>
    </row>
    <row r="2141" spans="1:100" x14ac:dyDescent="0.2">
      <c r="A2141" s="9" t="s">
        <v>521</v>
      </c>
      <c r="B2141" s="2">
        <v>25</v>
      </c>
      <c r="C2141" s="3" t="s">
        <v>95</v>
      </c>
      <c r="D2141" s="3" t="s">
        <v>96</v>
      </c>
      <c r="E2141" s="2"/>
      <c r="F2141" s="2"/>
      <c r="G2141" s="2" t="s">
        <v>68</v>
      </c>
      <c r="H2141" s="2">
        <v>5</v>
      </c>
      <c r="I2141" s="8">
        <v>145.31</v>
      </c>
      <c r="J2141" s="8">
        <v>44999</v>
      </c>
      <c r="K2141" s="3">
        <v>0</v>
      </c>
      <c r="L2141" s="3" t="s">
        <v>3</v>
      </c>
      <c r="M2141" s="9" t="s">
        <v>0</v>
      </c>
      <c r="N2141" s="9" t="s">
        <v>5</v>
      </c>
      <c r="O2141" s="9" t="s">
        <v>546</v>
      </c>
      <c r="S2141" s="9" t="s">
        <v>158</v>
      </c>
      <c r="T2141" s="2" t="s">
        <v>68</v>
      </c>
      <c r="U2141" s="2">
        <v>5</v>
      </c>
      <c r="V2141" s="2">
        <v>145.31</v>
      </c>
      <c r="W2141" s="10" t="s">
        <v>710</v>
      </c>
      <c r="X2141" s="17">
        <v>45370</v>
      </c>
      <c r="Y2141" s="17">
        <v>45370</v>
      </c>
      <c r="Z2141" s="19" t="s">
        <v>772</v>
      </c>
      <c r="AA2141" s="210">
        <v>43000</v>
      </c>
      <c r="AB2141" s="9">
        <v>48</v>
      </c>
      <c r="AC2141" s="9">
        <v>21</v>
      </c>
      <c r="AD2141" s="17">
        <v>46081</v>
      </c>
      <c r="AE2141" s="56">
        <v>928</v>
      </c>
      <c r="AF2141" s="56"/>
      <c r="AP2141" s="11"/>
      <c r="AQ2141" s="11"/>
      <c r="AR2141" s="11"/>
      <c r="AW2141" s="9"/>
      <c r="BD2141" s="9"/>
      <c r="CS2141" s="11">
        <f t="shared" si="148"/>
        <v>0</v>
      </c>
      <c r="CT2141" s="22">
        <f t="shared" si="149"/>
        <v>0</v>
      </c>
      <c r="CU2141" s="22">
        <f t="shared" si="150"/>
        <v>0</v>
      </c>
      <c r="CV2141" s="26">
        <f t="shared" si="147"/>
        <v>928</v>
      </c>
    </row>
    <row r="2142" spans="1:100" x14ac:dyDescent="0.2">
      <c r="A2142" s="9" t="s">
        <v>521</v>
      </c>
      <c r="B2142" s="2">
        <v>25</v>
      </c>
      <c r="C2142" s="3" t="s">
        <v>95</v>
      </c>
      <c r="D2142" s="3" t="s">
        <v>96</v>
      </c>
      <c r="E2142" s="2"/>
      <c r="F2142" s="2"/>
      <c r="G2142" s="2" t="s">
        <v>68</v>
      </c>
      <c r="H2142" s="2">
        <v>5</v>
      </c>
      <c r="I2142" s="8">
        <v>145.31</v>
      </c>
      <c r="J2142" s="8">
        <v>44999</v>
      </c>
      <c r="K2142" s="3">
        <v>0</v>
      </c>
      <c r="L2142" s="3" t="s">
        <v>3</v>
      </c>
      <c r="M2142" s="9" t="s">
        <v>0</v>
      </c>
      <c r="N2142" s="9" t="s">
        <v>5</v>
      </c>
      <c r="O2142" s="9" t="s">
        <v>546</v>
      </c>
      <c r="S2142" s="9" t="s">
        <v>158</v>
      </c>
      <c r="T2142" s="2" t="s">
        <v>68</v>
      </c>
      <c r="U2142" s="2">
        <v>5</v>
      </c>
      <c r="V2142" s="2">
        <v>145.31</v>
      </c>
      <c r="W2142" s="10" t="s">
        <v>710</v>
      </c>
      <c r="X2142" s="17">
        <v>45370</v>
      </c>
      <c r="Y2142" s="17">
        <v>45370</v>
      </c>
      <c r="Z2142" s="19" t="s">
        <v>772</v>
      </c>
      <c r="AA2142" s="210">
        <v>43000</v>
      </c>
      <c r="AB2142" s="9">
        <v>48</v>
      </c>
      <c r="AC2142" s="9">
        <v>22</v>
      </c>
      <c r="AD2142" s="17">
        <v>46111</v>
      </c>
      <c r="AE2142" s="56">
        <v>928</v>
      </c>
      <c r="AF2142" s="56"/>
      <c r="AP2142" s="11"/>
      <c r="AQ2142" s="11"/>
      <c r="AR2142" s="11"/>
      <c r="AW2142" s="9"/>
      <c r="BD2142" s="9"/>
      <c r="CS2142" s="11">
        <f t="shared" si="148"/>
        <v>0</v>
      </c>
      <c r="CT2142" s="22">
        <f t="shared" si="149"/>
        <v>0</v>
      </c>
      <c r="CU2142" s="22">
        <f t="shared" si="150"/>
        <v>0</v>
      </c>
      <c r="CV2142" s="26">
        <f t="shared" si="147"/>
        <v>928</v>
      </c>
    </row>
    <row r="2143" spans="1:100" x14ac:dyDescent="0.2">
      <c r="A2143" s="9" t="s">
        <v>521</v>
      </c>
      <c r="B2143" s="2">
        <v>25</v>
      </c>
      <c r="C2143" s="3" t="s">
        <v>95</v>
      </c>
      <c r="D2143" s="3" t="s">
        <v>96</v>
      </c>
      <c r="E2143" s="2"/>
      <c r="F2143" s="2"/>
      <c r="G2143" s="2" t="s">
        <v>68</v>
      </c>
      <c r="H2143" s="2">
        <v>5</v>
      </c>
      <c r="I2143" s="8">
        <v>145.31</v>
      </c>
      <c r="J2143" s="8">
        <v>44999</v>
      </c>
      <c r="K2143" s="3">
        <v>0</v>
      </c>
      <c r="L2143" s="3" t="s">
        <v>3</v>
      </c>
      <c r="M2143" s="9" t="s">
        <v>0</v>
      </c>
      <c r="N2143" s="9" t="s">
        <v>5</v>
      </c>
      <c r="O2143" s="9" t="s">
        <v>546</v>
      </c>
      <c r="S2143" s="9" t="s">
        <v>158</v>
      </c>
      <c r="T2143" s="2" t="s">
        <v>68</v>
      </c>
      <c r="U2143" s="2">
        <v>5</v>
      </c>
      <c r="V2143" s="2">
        <v>145.31</v>
      </c>
      <c r="W2143" s="10" t="s">
        <v>710</v>
      </c>
      <c r="X2143" s="17">
        <v>45370</v>
      </c>
      <c r="Y2143" s="17">
        <v>45370</v>
      </c>
      <c r="Z2143" s="19" t="s">
        <v>772</v>
      </c>
      <c r="AA2143" s="210">
        <v>43000</v>
      </c>
      <c r="AB2143" s="9">
        <v>48</v>
      </c>
      <c r="AC2143" s="9">
        <v>23</v>
      </c>
      <c r="AD2143" s="17">
        <v>46142</v>
      </c>
      <c r="AE2143" s="56">
        <v>928</v>
      </c>
      <c r="AF2143" s="56"/>
      <c r="AP2143" s="11"/>
      <c r="AQ2143" s="11"/>
      <c r="AR2143" s="11"/>
      <c r="AW2143" s="9"/>
      <c r="BD2143" s="9"/>
      <c r="CS2143" s="11">
        <f t="shared" si="148"/>
        <v>0</v>
      </c>
      <c r="CT2143" s="22">
        <f t="shared" si="149"/>
        <v>0</v>
      </c>
      <c r="CU2143" s="22">
        <f t="shared" si="150"/>
        <v>0</v>
      </c>
      <c r="CV2143" s="26">
        <f t="shared" si="147"/>
        <v>928</v>
      </c>
    </row>
    <row r="2144" spans="1:100" x14ac:dyDescent="0.2">
      <c r="A2144" s="9" t="s">
        <v>521</v>
      </c>
      <c r="B2144" s="2">
        <v>25</v>
      </c>
      <c r="C2144" s="3" t="s">
        <v>95</v>
      </c>
      <c r="D2144" s="3" t="s">
        <v>96</v>
      </c>
      <c r="E2144" s="2"/>
      <c r="F2144" s="2"/>
      <c r="G2144" s="2" t="s">
        <v>68</v>
      </c>
      <c r="H2144" s="2">
        <v>5</v>
      </c>
      <c r="I2144" s="8">
        <v>145.31</v>
      </c>
      <c r="J2144" s="8">
        <v>44999</v>
      </c>
      <c r="K2144" s="3">
        <v>0</v>
      </c>
      <c r="L2144" s="3" t="s">
        <v>3</v>
      </c>
      <c r="M2144" s="9" t="s">
        <v>0</v>
      </c>
      <c r="N2144" s="9" t="s">
        <v>5</v>
      </c>
      <c r="O2144" s="9" t="s">
        <v>546</v>
      </c>
      <c r="S2144" s="9" t="s">
        <v>158</v>
      </c>
      <c r="T2144" s="2" t="s">
        <v>68</v>
      </c>
      <c r="U2144" s="2">
        <v>5</v>
      </c>
      <c r="V2144" s="2">
        <v>145.31</v>
      </c>
      <c r="W2144" s="10" t="s">
        <v>710</v>
      </c>
      <c r="X2144" s="17">
        <v>45370</v>
      </c>
      <c r="Y2144" s="17">
        <v>45370</v>
      </c>
      <c r="Z2144" s="19" t="s">
        <v>772</v>
      </c>
      <c r="AA2144" s="210">
        <v>43000</v>
      </c>
      <c r="AB2144" s="9">
        <v>48</v>
      </c>
      <c r="AC2144" s="9">
        <v>24</v>
      </c>
      <c r="AD2144" s="17">
        <v>46172</v>
      </c>
      <c r="AE2144" s="56">
        <v>928</v>
      </c>
      <c r="AF2144" s="56"/>
      <c r="AP2144" s="11"/>
      <c r="AQ2144" s="11"/>
      <c r="AR2144" s="11"/>
      <c r="AW2144" s="9"/>
      <c r="BD2144" s="9"/>
      <c r="CS2144" s="11">
        <f t="shared" si="148"/>
        <v>0</v>
      </c>
      <c r="CT2144" s="22">
        <f t="shared" si="149"/>
        <v>0</v>
      </c>
      <c r="CU2144" s="22">
        <f t="shared" si="150"/>
        <v>0</v>
      </c>
      <c r="CV2144" s="26">
        <f t="shared" si="147"/>
        <v>928</v>
      </c>
    </row>
    <row r="2145" spans="1:100" x14ac:dyDescent="0.2">
      <c r="A2145" s="9" t="s">
        <v>521</v>
      </c>
      <c r="B2145" s="2">
        <v>25</v>
      </c>
      <c r="C2145" s="3" t="s">
        <v>95</v>
      </c>
      <c r="D2145" s="3" t="s">
        <v>96</v>
      </c>
      <c r="E2145" s="2"/>
      <c r="F2145" s="2"/>
      <c r="G2145" s="2" t="s">
        <v>68</v>
      </c>
      <c r="H2145" s="2">
        <v>5</v>
      </c>
      <c r="I2145" s="8">
        <v>145.31</v>
      </c>
      <c r="J2145" s="8">
        <v>44999</v>
      </c>
      <c r="K2145" s="3">
        <v>0</v>
      </c>
      <c r="L2145" s="3" t="s">
        <v>3</v>
      </c>
      <c r="M2145" s="9" t="s">
        <v>0</v>
      </c>
      <c r="N2145" s="9" t="s">
        <v>5</v>
      </c>
      <c r="O2145" s="9" t="s">
        <v>546</v>
      </c>
      <c r="S2145" s="9" t="s">
        <v>158</v>
      </c>
      <c r="T2145" s="2" t="s">
        <v>68</v>
      </c>
      <c r="U2145" s="2">
        <v>5</v>
      </c>
      <c r="V2145" s="2">
        <v>145.31</v>
      </c>
      <c r="W2145" s="10" t="s">
        <v>710</v>
      </c>
      <c r="X2145" s="17">
        <v>45370</v>
      </c>
      <c r="Y2145" s="17">
        <v>45370</v>
      </c>
      <c r="Z2145" s="19" t="s">
        <v>772</v>
      </c>
      <c r="AA2145" s="210">
        <v>43000</v>
      </c>
      <c r="AB2145" s="9">
        <v>48</v>
      </c>
      <c r="AC2145" s="9">
        <v>25</v>
      </c>
      <c r="AD2145" s="17">
        <v>46203</v>
      </c>
      <c r="AE2145" s="56">
        <v>928</v>
      </c>
      <c r="AF2145" s="56"/>
      <c r="AP2145" s="11"/>
      <c r="AQ2145" s="11"/>
      <c r="AR2145" s="11"/>
      <c r="AW2145" s="9"/>
      <c r="BD2145" s="9"/>
      <c r="CS2145" s="11">
        <f t="shared" si="148"/>
        <v>0</v>
      </c>
      <c r="CT2145" s="22">
        <f t="shared" si="149"/>
        <v>0</v>
      </c>
      <c r="CU2145" s="22">
        <f t="shared" si="150"/>
        <v>0</v>
      </c>
      <c r="CV2145" s="26">
        <f t="shared" si="147"/>
        <v>928</v>
      </c>
    </row>
    <row r="2146" spans="1:100" x14ac:dyDescent="0.2">
      <c r="A2146" s="9" t="s">
        <v>521</v>
      </c>
      <c r="B2146" s="2">
        <v>25</v>
      </c>
      <c r="C2146" s="3" t="s">
        <v>95</v>
      </c>
      <c r="D2146" s="3" t="s">
        <v>96</v>
      </c>
      <c r="E2146" s="2"/>
      <c r="F2146" s="2"/>
      <c r="G2146" s="2" t="s">
        <v>68</v>
      </c>
      <c r="H2146" s="2">
        <v>5</v>
      </c>
      <c r="I2146" s="8">
        <v>145.31</v>
      </c>
      <c r="J2146" s="8">
        <v>44999</v>
      </c>
      <c r="K2146" s="3">
        <v>0</v>
      </c>
      <c r="L2146" s="3" t="s">
        <v>3</v>
      </c>
      <c r="M2146" s="9" t="s">
        <v>0</v>
      </c>
      <c r="N2146" s="9" t="s">
        <v>5</v>
      </c>
      <c r="O2146" s="9" t="s">
        <v>546</v>
      </c>
      <c r="S2146" s="9" t="s">
        <v>158</v>
      </c>
      <c r="T2146" s="2" t="s">
        <v>68</v>
      </c>
      <c r="U2146" s="2">
        <v>5</v>
      </c>
      <c r="V2146" s="2">
        <v>145.31</v>
      </c>
      <c r="W2146" s="10" t="s">
        <v>710</v>
      </c>
      <c r="X2146" s="17">
        <v>45370</v>
      </c>
      <c r="Y2146" s="17">
        <v>45370</v>
      </c>
      <c r="Z2146" s="19" t="s">
        <v>772</v>
      </c>
      <c r="AA2146" s="210">
        <v>43000</v>
      </c>
      <c r="AB2146" s="9">
        <v>48</v>
      </c>
      <c r="AC2146" s="9">
        <v>26</v>
      </c>
      <c r="AD2146" s="17">
        <v>46233</v>
      </c>
      <c r="AE2146" s="56">
        <v>928</v>
      </c>
      <c r="AF2146" s="56"/>
      <c r="AP2146" s="11"/>
      <c r="AQ2146" s="11"/>
      <c r="AR2146" s="11"/>
      <c r="AW2146" s="9"/>
      <c r="BD2146" s="9"/>
      <c r="CS2146" s="11">
        <f t="shared" si="148"/>
        <v>0</v>
      </c>
      <c r="CT2146" s="22">
        <f t="shared" si="149"/>
        <v>0</v>
      </c>
      <c r="CU2146" s="22">
        <f t="shared" si="150"/>
        <v>0</v>
      </c>
      <c r="CV2146" s="26">
        <f t="shared" si="147"/>
        <v>928</v>
      </c>
    </row>
    <row r="2147" spans="1:100" x14ac:dyDescent="0.2">
      <c r="A2147" s="9" t="s">
        <v>521</v>
      </c>
      <c r="B2147" s="2">
        <v>25</v>
      </c>
      <c r="C2147" s="3" t="s">
        <v>95</v>
      </c>
      <c r="D2147" s="3" t="s">
        <v>96</v>
      </c>
      <c r="E2147" s="2"/>
      <c r="F2147" s="2"/>
      <c r="G2147" s="2" t="s">
        <v>68</v>
      </c>
      <c r="H2147" s="2">
        <v>5</v>
      </c>
      <c r="I2147" s="8">
        <v>145.31</v>
      </c>
      <c r="J2147" s="8">
        <v>44999</v>
      </c>
      <c r="K2147" s="3">
        <v>0</v>
      </c>
      <c r="L2147" s="3" t="s">
        <v>3</v>
      </c>
      <c r="M2147" s="9" t="s">
        <v>0</v>
      </c>
      <c r="N2147" s="9" t="s">
        <v>5</v>
      </c>
      <c r="O2147" s="9" t="s">
        <v>546</v>
      </c>
      <c r="S2147" s="9" t="s">
        <v>158</v>
      </c>
      <c r="T2147" s="2" t="s">
        <v>68</v>
      </c>
      <c r="U2147" s="2">
        <v>5</v>
      </c>
      <c r="V2147" s="2">
        <v>145.31</v>
      </c>
      <c r="W2147" s="10" t="s">
        <v>710</v>
      </c>
      <c r="X2147" s="17">
        <v>45370</v>
      </c>
      <c r="Y2147" s="17">
        <v>45370</v>
      </c>
      <c r="Z2147" s="19" t="s">
        <v>772</v>
      </c>
      <c r="AA2147" s="210">
        <v>43000</v>
      </c>
      <c r="AB2147" s="9">
        <v>48</v>
      </c>
      <c r="AC2147" s="9">
        <v>27</v>
      </c>
      <c r="AD2147" s="17">
        <v>46264</v>
      </c>
      <c r="AE2147" s="56">
        <v>928</v>
      </c>
      <c r="AF2147" s="56"/>
      <c r="AP2147" s="11"/>
      <c r="AQ2147" s="11"/>
      <c r="AR2147" s="11"/>
      <c r="AW2147" s="9"/>
      <c r="BD2147" s="9"/>
      <c r="CS2147" s="11">
        <f t="shared" si="148"/>
        <v>0</v>
      </c>
      <c r="CT2147" s="22">
        <f t="shared" si="149"/>
        <v>0</v>
      </c>
      <c r="CU2147" s="22">
        <f t="shared" si="150"/>
        <v>0</v>
      </c>
      <c r="CV2147" s="26">
        <f t="shared" si="147"/>
        <v>928</v>
      </c>
    </row>
    <row r="2148" spans="1:100" x14ac:dyDescent="0.2">
      <c r="A2148" s="9" t="s">
        <v>521</v>
      </c>
      <c r="B2148" s="2">
        <v>25</v>
      </c>
      <c r="C2148" s="3" t="s">
        <v>95</v>
      </c>
      <c r="D2148" s="3" t="s">
        <v>96</v>
      </c>
      <c r="E2148" s="2"/>
      <c r="F2148" s="2"/>
      <c r="G2148" s="2" t="s">
        <v>68</v>
      </c>
      <c r="H2148" s="2">
        <v>5</v>
      </c>
      <c r="I2148" s="8">
        <v>145.31</v>
      </c>
      <c r="J2148" s="8">
        <v>44999</v>
      </c>
      <c r="K2148" s="3">
        <v>0</v>
      </c>
      <c r="L2148" s="3" t="s">
        <v>3</v>
      </c>
      <c r="M2148" s="9" t="s">
        <v>0</v>
      </c>
      <c r="N2148" s="9" t="s">
        <v>5</v>
      </c>
      <c r="O2148" s="9" t="s">
        <v>546</v>
      </c>
      <c r="S2148" s="9" t="s">
        <v>158</v>
      </c>
      <c r="T2148" s="2" t="s">
        <v>68</v>
      </c>
      <c r="U2148" s="2">
        <v>5</v>
      </c>
      <c r="V2148" s="2">
        <v>145.31</v>
      </c>
      <c r="W2148" s="10" t="s">
        <v>710</v>
      </c>
      <c r="X2148" s="17">
        <v>45370</v>
      </c>
      <c r="Y2148" s="17">
        <v>45370</v>
      </c>
      <c r="Z2148" s="19" t="s">
        <v>772</v>
      </c>
      <c r="AA2148" s="210">
        <v>43000</v>
      </c>
      <c r="AB2148" s="9">
        <v>48</v>
      </c>
      <c r="AC2148" s="9">
        <v>28</v>
      </c>
      <c r="AD2148" s="17">
        <v>46295</v>
      </c>
      <c r="AE2148" s="56">
        <v>928</v>
      </c>
      <c r="AF2148" s="56"/>
      <c r="AP2148" s="11"/>
      <c r="AQ2148" s="11"/>
      <c r="AR2148" s="11"/>
      <c r="AW2148" s="9"/>
      <c r="BD2148" s="9"/>
      <c r="CS2148" s="11">
        <f t="shared" si="148"/>
        <v>0</v>
      </c>
      <c r="CT2148" s="22">
        <f t="shared" si="149"/>
        <v>0</v>
      </c>
      <c r="CU2148" s="22">
        <f t="shared" si="150"/>
        <v>0</v>
      </c>
      <c r="CV2148" s="26">
        <f t="shared" si="147"/>
        <v>928</v>
      </c>
    </row>
    <row r="2149" spans="1:100" x14ac:dyDescent="0.2">
      <c r="A2149" s="9" t="s">
        <v>521</v>
      </c>
      <c r="B2149" s="2">
        <v>25</v>
      </c>
      <c r="C2149" s="3" t="s">
        <v>95</v>
      </c>
      <c r="D2149" s="3" t="s">
        <v>96</v>
      </c>
      <c r="E2149" s="2"/>
      <c r="F2149" s="2"/>
      <c r="G2149" s="2" t="s">
        <v>68</v>
      </c>
      <c r="H2149" s="2">
        <v>5</v>
      </c>
      <c r="I2149" s="8">
        <v>145.31</v>
      </c>
      <c r="J2149" s="8">
        <v>44999</v>
      </c>
      <c r="K2149" s="3">
        <v>0</v>
      </c>
      <c r="L2149" s="3" t="s">
        <v>3</v>
      </c>
      <c r="M2149" s="9" t="s">
        <v>0</v>
      </c>
      <c r="N2149" s="9" t="s">
        <v>5</v>
      </c>
      <c r="O2149" s="9" t="s">
        <v>546</v>
      </c>
      <c r="S2149" s="9" t="s">
        <v>158</v>
      </c>
      <c r="T2149" s="2" t="s">
        <v>68</v>
      </c>
      <c r="U2149" s="2">
        <v>5</v>
      </c>
      <c r="V2149" s="2">
        <v>145.31</v>
      </c>
      <c r="W2149" s="10" t="s">
        <v>710</v>
      </c>
      <c r="X2149" s="17">
        <v>45370</v>
      </c>
      <c r="Y2149" s="17">
        <v>45370</v>
      </c>
      <c r="Z2149" s="19" t="s">
        <v>772</v>
      </c>
      <c r="AA2149" s="210">
        <v>43000</v>
      </c>
      <c r="AB2149" s="9">
        <v>48</v>
      </c>
      <c r="AC2149" s="9">
        <v>29</v>
      </c>
      <c r="AD2149" s="17">
        <v>46325</v>
      </c>
      <c r="AE2149" s="56">
        <v>928</v>
      </c>
      <c r="AF2149" s="56"/>
      <c r="AP2149" s="11"/>
      <c r="AQ2149" s="11"/>
      <c r="AR2149" s="11"/>
      <c r="AW2149" s="9"/>
      <c r="BD2149" s="9"/>
      <c r="CS2149" s="11">
        <f t="shared" si="148"/>
        <v>0</v>
      </c>
      <c r="CT2149" s="22">
        <f t="shared" si="149"/>
        <v>0</v>
      </c>
      <c r="CU2149" s="22">
        <f t="shared" si="150"/>
        <v>0</v>
      </c>
      <c r="CV2149" s="26">
        <f t="shared" si="147"/>
        <v>928</v>
      </c>
    </row>
    <row r="2150" spans="1:100" x14ac:dyDescent="0.2">
      <c r="A2150" s="9" t="s">
        <v>521</v>
      </c>
      <c r="B2150" s="2">
        <v>25</v>
      </c>
      <c r="C2150" s="3" t="s">
        <v>95</v>
      </c>
      <c r="D2150" s="3" t="s">
        <v>96</v>
      </c>
      <c r="E2150" s="2"/>
      <c r="F2150" s="2"/>
      <c r="G2150" s="2" t="s">
        <v>68</v>
      </c>
      <c r="H2150" s="2">
        <v>5</v>
      </c>
      <c r="I2150" s="8">
        <v>145.31</v>
      </c>
      <c r="J2150" s="8">
        <v>44999</v>
      </c>
      <c r="K2150" s="3">
        <v>0</v>
      </c>
      <c r="L2150" s="3" t="s">
        <v>3</v>
      </c>
      <c r="M2150" s="9" t="s">
        <v>0</v>
      </c>
      <c r="N2150" s="9" t="s">
        <v>5</v>
      </c>
      <c r="O2150" s="9" t="s">
        <v>546</v>
      </c>
      <c r="S2150" s="9" t="s">
        <v>158</v>
      </c>
      <c r="T2150" s="2" t="s">
        <v>68</v>
      </c>
      <c r="U2150" s="2">
        <v>5</v>
      </c>
      <c r="V2150" s="2">
        <v>145.31</v>
      </c>
      <c r="W2150" s="10" t="s">
        <v>710</v>
      </c>
      <c r="X2150" s="17">
        <v>45370</v>
      </c>
      <c r="Y2150" s="17">
        <v>45370</v>
      </c>
      <c r="Z2150" s="19" t="s">
        <v>772</v>
      </c>
      <c r="AA2150" s="210">
        <v>43000</v>
      </c>
      <c r="AB2150" s="9">
        <v>48</v>
      </c>
      <c r="AC2150" s="9">
        <v>30</v>
      </c>
      <c r="AD2150" s="17">
        <v>46356</v>
      </c>
      <c r="AE2150" s="56">
        <v>928</v>
      </c>
      <c r="AF2150" s="56"/>
      <c r="AP2150" s="11"/>
      <c r="AQ2150" s="11"/>
      <c r="AR2150" s="11"/>
      <c r="AW2150" s="9"/>
      <c r="BD2150" s="9"/>
      <c r="CS2150" s="11">
        <f t="shared" si="148"/>
        <v>0</v>
      </c>
      <c r="CT2150" s="22">
        <f t="shared" si="149"/>
        <v>0</v>
      </c>
      <c r="CU2150" s="22">
        <f t="shared" si="150"/>
        <v>0</v>
      </c>
      <c r="CV2150" s="26">
        <f t="shared" si="147"/>
        <v>928</v>
      </c>
    </row>
    <row r="2151" spans="1:100" x14ac:dyDescent="0.2">
      <c r="A2151" s="9" t="s">
        <v>521</v>
      </c>
      <c r="B2151" s="2">
        <v>25</v>
      </c>
      <c r="C2151" s="3" t="s">
        <v>95</v>
      </c>
      <c r="D2151" s="3" t="s">
        <v>96</v>
      </c>
      <c r="E2151" s="2"/>
      <c r="F2151" s="2"/>
      <c r="G2151" s="2" t="s">
        <v>68</v>
      </c>
      <c r="H2151" s="2">
        <v>5</v>
      </c>
      <c r="I2151" s="8">
        <v>145.31</v>
      </c>
      <c r="J2151" s="8">
        <v>44999</v>
      </c>
      <c r="K2151" s="3">
        <v>0</v>
      </c>
      <c r="L2151" s="3" t="s">
        <v>3</v>
      </c>
      <c r="M2151" s="9" t="s">
        <v>0</v>
      </c>
      <c r="N2151" s="9" t="s">
        <v>5</v>
      </c>
      <c r="O2151" s="9" t="s">
        <v>546</v>
      </c>
      <c r="S2151" s="9" t="s">
        <v>158</v>
      </c>
      <c r="T2151" s="2" t="s">
        <v>68</v>
      </c>
      <c r="U2151" s="2">
        <v>5</v>
      </c>
      <c r="V2151" s="2">
        <v>145.31</v>
      </c>
      <c r="W2151" s="10" t="s">
        <v>710</v>
      </c>
      <c r="X2151" s="17">
        <v>45370</v>
      </c>
      <c r="Y2151" s="17">
        <v>45370</v>
      </c>
      <c r="Z2151" s="19" t="s">
        <v>772</v>
      </c>
      <c r="AA2151" s="210">
        <v>43000</v>
      </c>
      <c r="AB2151" s="9">
        <v>48</v>
      </c>
      <c r="AC2151" s="9">
        <v>31</v>
      </c>
      <c r="AD2151" s="17">
        <v>46386</v>
      </c>
      <c r="AE2151" s="56">
        <v>928</v>
      </c>
      <c r="AF2151" s="56"/>
      <c r="AP2151" s="11"/>
      <c r="AQ2151" s="11"/>
      <c r="AR2151" s="11"/>
      <c r="AW2151" s="9"/>
      <c r="BD2151" s="9"/>
      <c r="CS2151" s="11">
        <f t="shared" si="148"/>
        <v>0</v>
      </c>
      <c r="CT2151" s="22">
        <f t="shared" si="149"/>
        <v>0</v>
      </c>
      <c r="CU2151" s="22">
        <f t="shared" si="150"/>
        <v>0</v>
      </c>
      <c r="CV2151" s="26">
        <f t="shared" si="147"/>
        <v>928</v>
      </c>
    </row>
    <row r="2152" spans="1:100" x14ac:dyDescent="0.2">
      <c r="A2152" s="9" t="s">
        <v>521</v>
      </c>
      <c r="B2152" s="2">
        <v>25</v>
      </c>
      <c r="C2152" s="3" t="s">
        <v>95</v>
      </c>
      <c r="D2152" s="3" t="s">
        <v>96</v>
      </c>
      <c r="E2152" s="2"/>
      <c r="F2152" s="2"/>
      <c r="G2152" s="2" t="s">
        <v>68</v>
      </c>
      <c r="H2152" s="2">
        <v>5</v>
      </c>
      <c r="I2152" s="8">
        <v>145.31</v>
      </c>
      <c r="J2152" s="8">
        <v>44999</v>
      </c>
      <c r="K2152" s="3">
        <v>0</v>
      </c>
      <c r="L2152" s="3" t="s">
        <v>3</v>
      </c>
      <c r="M2152" s="9" t="s">
        <v>0</v>
      </c>
      <c r="N2152" s="9" t="s">
        <v>5</v>
      </c>
      <c r="O2152" s="9" t="s">
        <v>546</v>
      </c>
      <c r="S2152" s="9" t="s">
        <v>158</v>
      </c>
      <c r="T2152" s="2" t="s">
        <v>68</v>
      </c>
      <c r="U2152" s="2">
        <v>5</v>
      </c>
      <c r="V2152" s="2">
        <v>145.31</v>
      </c>
      <c r="W2152" s="10" t="s">
        <v>710</v>
      </c>
      <c r="X2152" s="17">
        <v>45370</v>
      </c>
      <c r="Y2152" s="17">
        <v>45370</v>
      </c>
      <c r="Z2152" s="19" t="s">
        <v>772</v>
      </c>
      <c r="AA2152" s="210">
        <v>43000</v>
      </c>
      <c r="AB2152" s="9">
        <v>48</v>
      </c>
      <c r="AC2152" s="9">
        <v>32</v>
      </c>
      <c r="AD2152" s="17">
        <v>46417</v>
      </c>
      <c r="AE2152" s="56">
        <v>928</v>
      </c>
      <c r="AF2152" s="56"/>
      <c r="AP2152" s="11"/>
      <c r="AQ2152" s="11"/>
      <c r="AR2152" s="11"/>
      <c r="AW2152" s="9"/>
      <c r="BD2152" s="9"/>
      <c r="CS2152" s="11">
        <f t="shared" si="148"/>
        <v>0</v>
      </c>
      <c r="CT2152" s="22">
        <f t="shared" si="149"/>
        <v>0</v>
      </c>
      <c r="CU2152" s="22">
        <f t="shared" si="150"/>
        <v>0</v>
      </c>
      <c r="CV2152" s="26">
        <f t="shared" si="147"/>
        <v>928</v>
      </c>
    </row>
    <row r="2153" spans="1:100" x14ac:dyDescent="0.2">
      <c r="A2153" s="9" t="s">
        <v>521</v>
      </c>
      <c r="B2153" s="2">
        <v>25</v>
      </c>
      <c r="C2153" s="3" t="s">
        <v>95</v>
      </c>
      <c r="D2153" s="3" t="s">
        <v>96</v>
      </c>
      <c r="E2153" s="2"/>
      <c r="F2153" s="2"/>
      <c r="G2153" s="2" t="s">
        <v>68</v>
      </c>
      <c r="H2153" s="2">
        <v>5</v>
      </c>
      <c r="I2153" s="8">
        <v>145.31</v>
      </c>
      <c r="J2153" s="8">
        <v>44999</v>
      </c>
      <c r="K2153" s="3">
        <v>0</v>
      </c>
      <c r="L2153" s="3" t="s">
        <v>3</v>
      </c>
      <c r="M2153" s="9" t="s">
        <v>0</v>
      </c>
      <c r="N2153" s="9" t="s">
        <v>5</v>
      </c>
      <c r="O2153" s="9" t="s">
        <v>546</v>
      </c>
      <c r="S2153" s="9" t="s">
        <v>158</v>
      </c>
      <c r="T2153" s="2" t="s">
        <v>68</v>
      </c>
      <c r="U2153" s="2">
        <v>5</v>
      </c>
      <c r="V2153" s="2">
        <v>145.31</v>
      </c>
      <c r="W2153" s="10" t="s">
        <v>710</v>
      </c>
      <c r="X2153" s="17">
        <v>45370</v>
      </c>
      <c r="Y2153" s="17">
        <v>45370</v>
      </c>
      <c r="Z2153" s="19" t="s">
        <v>772</v>
      </c>
      <c r="AA2153" s="210">
        <v>43000</v>
      </c>
      <c r="AB2153" s="9">
        <v>48</v>
      </c>
      <c r="AC2153" s="9">
        <v>33</v>
      </c>
      <c r="AD2153" s="17">
        <v>46446</v>
      </c>
      <c r="AE2153" s="56">
        <v>928</v>
      </c>
      <c r="AF2153" s="56"/>
      <c r="AP2153" s="11"/>
      <c r="AQ2153" s="11"/>
      <c r="AR2153" s="11"/>
      <c r="AW2153" s="9"/>
      <c r="BD2153" s="9"/>
      <c r="CS2153" s="11">
        <f t="shared" si="148"/>
        <v>0</v>
      </c>
      <c r="CT2153" s="22">
        <f t="shared" si="149"/>
        <v>0</v>
      </c>
      <c r="CU2153" s="22">
        <f t="shared" si="150"/>
        <v>0</v>
      </c>
      <c r="CV2153" s="26">
        <f t="shared" si="147"/>
        <v>928</v>
      </c>
    </row>
    <row r="2154" spans="1:100" x14ac:dyDescent="0.2">
      <c r="A2154" s="9" t="s">
        <v>521</v>
      </c>
      <c r="B2154" s="2">
        <v>25</v>
      </c>
      <c r="C2154" s="3" t="s">
        <v>95</v>
      </c>
      <c r="D2154" s="3" t="s">
        <v>96</v>
      </c>
      <c r="E2154" s="2"/>
      <c r="F2154" s="2"/>
      <c r="G2154" s="2" t="s">
        <v>68</v>
      </c>
      <c r="H2154" s="2">
        <v>5</v>
      </c>
      <c r="I2154" s="8">
        <v>145.31</v>
      </c>
      <c r="J2154" s="8">
        <v>44999</v>
      </c>
      <c r="K2154" s="3">
        <v>0</v>
      </c>
      <c r="L2154" s="3" t="s">
        <v>3</v>
      </c>
      <c r="M2154" s="9" t="s">
        <v>0</v>
      </c>
      <c r="N2154" s="9" t="s">
        <v>5</v>
      </c>
      <c r="O2154" s="9" t="s">
        <v>546</v>
      </c>
      <c r="S2154" s="9" t="s">
        <v>158</v>
      </c>
      <c r="T2154" s="2" t="s">
        <v>68</v>
      </c>
      <c r="U2154" s="2">
        <v>5</v>
      </c>
      <c r="V2154" s="2">
        <v>145.31</v>
      </c>
      <c r="W2154" s="10" t="s">
        <v>710</v>
      </c>
      <c r="X2154" s="17">
        <v>45370</v>
      </c>
      <c r="Y2154" s="17">
        <v>45370</v>
      </c>
      <c r="Z2154" s="19" t="s">
        <v>772</v>
      </c>
      <c r="AA2154" s="210">
        <v>43000</v>
      </c>
      <c r="AB2154" s="9">
        <v>48</v>
      </c>
      <c r="AC2154" s="9">
        <v>34</v>
      </c>
      <c r="AD2154" s="17">
        <v>46476</v>
      </c>
      <c r="AE2154" s="56">
        <v>928</v>
      </c>
      <c r="AF2154" s="56"/>
      <c r="AP2154" s="11"/>
      <c r="AQ2154" s="11"/>
      <c r="AR2154" s="11"/>
      <c r="AW2154" s="9"/>
      <c r="BD2154" s="9"/>
      <c r="CS2154" s="11">
        <f t="shared" si="148"/>
        <v>0</v>
      </c>
      <c r="CT2154" s="22">
        <f t="shared" si="149"/>
        <v>0</v>
      </c>
      <c r="CU2154" s="22">
        <f t="shared" si="150"/>
        <v>0</v>
      </c>
      <c r="CV2154" s="26">
        <f t="shared" si="147"/>
        <v>928</v>
      </c>
    </row>
    <row r="2155" spans="1:100" x14ac:dyDescent="0.2">
      <c r="A2155" s="9" t="s">
        <v>521</v>
      </c>
      <c r="B2155" s="2">
        <v>25</v>
      </c>
      <c r="C2155" s="3" t="s">
        <v>95</v>
      </c>
      <c r="D2155" s="3" t="s">
        <v>96</v>
      </c>
      <c r="E2155" s="2"/>
      <c r="F2155" s="2"/>
      <c r="G2155" s="2" t="s">
        <v>68</v>
      </c>
      <c r="H2155" s="2">
        <v>5</v>
      </c>
      <c r="I2155" s="8">
        <v>145.31</v>
      </c>
      <c r="J2155" s="8">
        <v>44999</v>
      </c>
      <c r="K2155" s="3">
        <v>0</v>
      </c>
      <c r="L2155" s="3" t="s">
        <v>3</v>
      </c>
      <c r="M2155" s="9" t="s">
        <v>0</v>
      </c>
      <c r="N2155" s="9" t="s">
        <v>5</v>
      </c>
      <c r="O2155" s="9" t="s">
        <v>546</v>
      </c>
      <c r="S2155" s="9" t="s">
        <v>158</v>
      </c>
      <c r="T2155" s="2" t="s">
        <v>68</v>
      </c>
      <c r="U2155" s="2">
        <v>5</v>
      </c>
      <c r="V2155" s="2">
        <v>145.31</v>
      </c>
      <c r="W2155" s="10" t="s">
        <v>710</v>
      </c>
      <c r="X2155" s="17">
        <v>45370</v>
      </c>
      <c r="Y2155" s="17">
        <v>45370</v>
      </c>
      <c r="Z2155" s="19" t="s">
        <v>772</v>
      </c>
      <c r="AA2155" s="210">
        <v>43000</v>
      </c>
      <c r="AB2155" s="9">
        <v>48</v>
      </c>
      <c r="AC2155" s="9">
        <v>35</v>
      </c>
      <c r="AD2155" s="17">
        <v>46507</v>
      </c>
      <c r="AE2155" s="56">
        <v>928</v>
      </c>
      <c r="AF2155" s="56"/>
      <c r="AP2155" s="11"/>
      <c r="AQ2155" s="11"/>
      <c r="AR2155" s="11"/>
      <c r="AW2155" s="9"/>
      <c r="BD2155" s="9"/>
      <c r="CS2155" s="11">
        <f t="shared" si="148"/>
        <v>0</v>
      </c>
      <c r="CT2155" s="22">
        <f t="shared" si="149"/>
        <v>0</v>
      </c>
      <c r="CU2155" s="22">
        <f t="shared" si="150"/>
        <v>0</v>
      </c>
      <c r="CV2155" s="26">
        <f t="shared" si="147"/>
        <v>928</v>
      </c>
    </row>
    <row r="2156" spans="1:100" x14ac:dyDescent="0.2">
      <c r="A2156" s="9" t="s">
        <v>521</v>
      </c>
      <c r="B2156" s="2">
        <v>25</v>
      </c>
      <c r="C2156" s="3" t="s">
        <v>95</v>
      </c>
      <c r="D2156" s="3" t="s">
        <v>96</v>
      </c>
      <c r="E2156" s="2"/>
      <c r="F2156" s="2"/>
      <c r="G2156" s="2" t="s">
        <v>68</v>
      </c>
      <c r="H2156" s="2">
        <v>5</v>
      </c>
      <c r="I2156" s="8">
        <v>145.31</v>
      </c>
      <c r="J2156" s="8">
        <v>44999</v>
      </c>
      <c r="K2156" s="3">
        <v>0</v>
      </c>
      <c r="L2156" s="3" t="s">
        <v>3</v>
      </c>
      <c r="M2156" s="9" t="s">
        <v>0</v>
      </c>
      <c r="N2156" s="9" t="s">
        <v>5</v>
      </c>
      <c r="O2156" s="9" t="s">
        <v>546</v>
      </c>
      <c r="S2156" s="9" t="s">
        <v>158</v>
      </c>
      <c r="T2156" s="2" t="s">
        <v>68</v>
      </c>
      <c r="U2156" s="2">
        <v>5</v>
      </c>
      <c r="V2156" s="2">
        <v>145.31</v>
      </c>
      <c r="W2156" s="10" t="s">
        <v>710</v>
      </c>
      <c r="X2156" s="17">
        <v>45370</v>
      </c>
      <c r="Y2156" s="17">
        <v>45370</v>
      </c>
      <c r="Z2156" s="19" t="s">
        <v>772</v>
      </c>
      <c r="AA2156" s="210">
        <v>43000</v>
      </c>
      <c r="AB2156" s="9">
        <v>48</v>
      </c>
      <c r="AC2156" s="9">
        <v>36</v>
      </c>
      <c r="AD2156" s="17">
        <v>46537</v>
      </c>
      <c r="AE2156" s="56">
        <v>928</v>
      </c>
      <c r="AF2156" s="56"/>
      <c r="AP2156" s="11"/>
      <c r="AQ2156" s="11"/>
      <c r="AR2156" s="11"/>
      <c r="AW2156" s="9"/>
      <c r="BD2156" s="9"/>
      <c r="CS2156" s="11">
        <f t="shared" si="148"/>
        <v>0</v>
      </c>
      <c r="CT2156" s="22">
        <f t="shared" si="149"/>
        <v>0</v>
      </c>
      <c r="CU2156" s="22">
        <f t="shared" si="150"/>
        <v>0</v>
      </c>
      <c r="CV2156" s="26">
        <f t="shared" si="147"/>
        <v>928</v>
      </c>
    </row>
    <row r="2157" spans="1:100" x14ac:dyDescent="0.2">
      <c r="A2157" s="9" t="s">
        <v>521</v>
      </c>
      <c r="B2157" s="2">
        <v>25</v>
      </c>
      <c r="C2157" s="3" t="s">
        <v>95</v>
      </c>
      <c r="D2157" s="3" t="s">
        <v>96</v>
      </c>
      <c r="E2157" s="2"/>
      <c r="F2157" s="2"/>
      <c r="G2157" s="2" t="s">
        <v>68</v>
      </c>
      <c r="H2157" s="2">
        <v>5</v>
      </c>
      <c r="I2157" s="8">
        <v>145.31</v>
      </c>
      <c r="J2157" s="8">
        <v>44999</v>
      </c>
      <c r="K2157" s="3">
        <v>0</v>
      </c>
      <c r="L2157" s="3" t="s">
        <v>3</v>
      </c>
      <c r="M2157" s="9" t="s">
        <v>0</v>
      </c>
      <c r="N2157" s="9" t="s">
        <v>5</v>
      </c>
      <c r="O2157" s="9" t="s">
        <v>546</v>
      </c>
      <c r="S2157" s="9" t="s">
        <v>158</v>
      </c>
      <c r="T2157" s="2" t="s">
        <v>68</v>
      </c>
      <c r="U2157" s="2">
        <v>5</v>
      </c>
      <c r="V2157" s="2">
        <v>145.31</v>
      </c>
      <c r="W2157" s="10" t="s">
        <v>710</v>
      </c>
      <c r="X2157" s="17">
        <v>45370</v>
      </c>
      <c r="Y2157" s="17">
        <v>45370</v>
      </c>
      <c r="Z2157" s="19" t="s">
        <v>772</v>
      </c>
      <c r="AA2157" s="210">
        <v>43000</v>
      </c>
      <c r="AB2157" s="9">
        <v>48</v>
      </c>
      <c r="AC2157" s="9">
        <v>37</v>
      </c>
      <c r="AD2157" s="17">
        <v>46568</v>
      </c>
      <c r="AE2157" s="56">
        <v>928</v>
      </c>
      <c r="AF2157" s="56"/>
      <c r="AP2157" s="11"/>
      <c r="AQ2157" s="11"/>
      <c r="AR2157" s="11"/>
      <c r="AW2157" s="9"/>
      <c r="BD2157" s="9"/>
      <c r="CS2157" s="11">
        <f t="shared" si="148"/>
        <v>0</v>
      </c>
      <c r="CT2157" s="22">
        <f t="shared" si="149"/>
        <v>0</v>
      </c>
      <c r="CU2157" s="22">
        <f t="shared" si="150"/>
        <v>0</v>
      </c>
      <c r="CV2157" s="26">
        <f t="shared" si="147"/>
        <v>928</v>
      </c>
    </row>
    <row r="2158" spans="1:100" x14ac:dyDescent="0.2">
      <c r="A2158" s="9" t="s">
        <v>521</v>
      </c>
      <c r="B2158" s="2">
        <v>25</v>
      </c>
      <c r="C2158" s="3" t="s">
        <v>95</v>
      </c>
      <c r="D2158" s="3" t="s">
        <v>96</v>
      </c>
      <c r="E2158" s="2"/>
      <c r="F2158" s="2"/>
      <c r="G2158" s="2" t="s">
        <v>68</v>
      </c>
      <c r="H2158" s="2">
        <v>5</v>
      </c>
      <c r="I2158" s="8">
        <v>145.31</v>
      </c>
      <c r="J2158" s="8">
        <v>44999</v>
      </c>
      <c r="K2158" s="3">
        <v>0</v>
      </c>
      <c r="L2158" s="3" t="s">
        <v>3</v>
      </c>
      <c r="M2158" s="9" t="s">
        <v>0</v>
      </c>
      <c r="N2158" s="9" t="s">
        <v>5</v>
      </c>
      <c r="O2158" s="9" t="s">
        <v>546</v>
      </c>
      <c r="S2158" s="9" t="s">
        <v>158</v>
      </c>
      <c r="T2158" s="2" t="s">
        <v>68</v>
      </c>
      <c r="U2158" s="2">
        <v>5</v>
      </c>
      <c r="V2158" s="2">
        <v>145.31</v>
      </c>
      <c r="W2158" s="10" t="s">
        <v>710</v>
      </c>
      <c r="X2158" s="17">
        <v>45370</v>
      </c>
      <c r="Y2158" s="17">
        <v>45370</v>
      </c>
      <c r="Z2158" s="19" t="s">
        <v>772</v>
      </c>
      <c r="AA2158" s="210">
        <v>43000</v>
      </c>
      <c r="AB2158" s="9">
        <v>48</v>
      </c>
      <c r="AC2158" s="9">
        <v>38</v>
      </c>
      <c r="AD2158" s="17">
        <v>46598</v>
      </c>
      <c r="AE2158" s="56">
        <v>928</v>
      </c>
      <c r="AF2158" s="56"/>
      <c r="AP2158" s="11"/>
      <c r="AQ2158" s="11"/>
      <c r="AR2158" s="11"/>
      <c r="AW2158" s="9"/>
      <c r="BD2158" s="9"/>
      <c r="CS2158" s="11">
        <f t="shared" si="148"/>
        <v>0</v>
      </c>
      <c r="CT2158" s="22">
        <f t="shared" si="149"/>
        <v>0</v>
      </c>
      <c r="CU2158" s="22">
        <f t="shared" si="150"/>
        <v>0</v>
      </c>
      <c r="CV2158" s="26">
        <f t="shared" si="147"/>
        <v>928</v>
      </c>
    </row>
    <row r="2159" spans="1:100" x14ac:dyDescent="0.2">
      <c r="A2159" s="9" t="s">
        <v>521</v>
      </c>
      <c r="B2159" s="2">
        <v>25</v>
      </c>
      <c r="C2159" s="3" t="s">
        <v>95</v>
      </c>
      <c r="D2159" s="3" t="s">
        <v>96</v>
      </c>
      <c r="E2159" s="2"/>
      <c r="F2159" s="2"/>
      <c r="G2159" s="2" t="s">
        <v>68</v>
      </c>
      <c r="H2159" s="2">
        <v>5</v>
      </c>
      <c r="I2159" s="8">
        <v>145.31</v>
      </c>
      <c r="J2159" s="8">
        <v>44999</v>
      </c>
      <c r="K2159" s="3">
        <v>0</v>
      </c>
      <c r="L2159" s="3" t="s">
        <v>3</v>
      </c>
      <c r="M2159" s="9" t="s">
        <v>0</v>
      </c>
      <c r="N2159" s="9" t="s">
        <v>5</v>
      </c>
      <c r="O2159" s="9" t="s">
        <v>546</v>
      </c>
      <c r="S2159" s="9" t="s">
        <v>158</v>
      </c>
      <c r="T2159" s="2" t="s">
        <v>68</v>
      </c>
      <c r="U2159" s="2">
        <v>5</v>
      </c>
      <c r="V2159" s="2">
        <v>145.31</v>
      </c>
      <c r="W2159" s="10" t="s">
        <v>710</v>
      </c>
      <c r="X2159" s="17">
        <v>45370</v>
      </c>
      <c r="Y2159" s="17">
        <v>45370</v>
      </c>
      <c r="Z2159" s="19" t="s">
        <v>772</v>
      </c>
      <c r="AA2159" s="210">
        <v>43000</v>
      </c>
      <c r="AB2159" s="9">
        <v>48</v>
      </c>
      <c r="AC2159" s="9">
        <v>39</v>
      </c>
      <c r="AD2159" s="17">
        <v>46629</v>
      </c>
      <c r="AE2159" s="56">
        <v>928</v>
      </c>
      <c r="AF2159" s="56"/>
      <c r="AP2159" s="11"/>
      <c r="AQ2159" s="11"/>
      <c r="AR2159" s="11"/>
      <c r="AW2159" s="9"/>
      <c r="BD2159" s="9"/>
      <c r="CS2159" s="11">
        <f t="shared" si="148"/>
        <v>0</v>
      </c>
      <c r="CT2159" s="22">
        <f t="shared" si="149"/>
        <v>0</v>
      </c>
      <c r="CU2159" s="22">
        <f t="shared" si="150"/>
        <v>0</v>
      </c>
      <c r="CV2159" s="26">
        <f t="shared" si="147"/>
        <v>928</v>
      </c>
    </row>
    <row r="2160" spans="1:100" x14ac:dyDescent="0.2">
      <c r="A2160" s="9" t="s">
        <v>521</v>
      </c>
      <c r="B2160" s="2">
        <v>25</v>
      </c>
      <c r="C2160" s="3" t="s">
        <v>95</v>
      </c>
      <c r="D2160" s="3" t="s">
        <v>96</v>
      </c>
      <c r="E2160" s="2"/>
      <c r="F2160" s="2"/>
      <c r="G2160" s="2" t="s">
        <v>68</v>
      </c>
      <c r="H2160" s="2">
        <v>5</v>
      </c>
      <c r="I2160" s="8">
        <v>145.31</v>
      </c>
      <c r="J2160" s="8">
        <v>44999</v>
      </c>
      <c r="K2160" s="3">
        <v>0</v>
      </c>
      <c r="L2160" s="3" t="s">
        <v>3</v>
      </c>
      <c r="M2160" s="9" t="s">
        <v>0</v>
      </c>
      <c r="N2160" s="9" t="s">
        <v>5</v>
      </c>
      <c r="O2160" s="9" t="s">
        <v>546</v>
      </c>
      <c r="S2160" s="9" t="s">
        <v>158</v>
      </c>
      <c r="T2160" s="2" t="s">
        <v>68</v>
      </c>
      <c r="U2160" s="2">
        <v>5</v>
      </c>
      <c r="V2160" s="2">
        <v>145.31</v>
      </c>
      <c r="W2160" s="10" t="s">
        <v>710</v>
      </c>
      <c r="X2160" s="17">
        <v>45370</v>
      </c>
      <c r="Y2160" s="17">
        <v>45370</v>
      </c>
      <c r="Z2160" s="19" t="s">
        <v>772</v>
      </c>
      <c r="AA2160" s="210">
        <v>43000</v>
      </c>
      <c r="AB2160" s="9">
        <v>48</v>
      </c>
      <c r="AC2160" s="9">
        <v>40</v>
      </c>
      <c r="AD2160" s="17">
        <v>46660</v>
      </c>
      <c r="AE2160" s="56">
        <v>928</v>
      </c>
      <c r="AF2160" s="56"/>
      <c r="AP2160" s="11"/>
      <c r="AQ2160" s="11"/>
      <c r="AR2160" s="11"/>
      <c r="AW2160" s="9"/>
      <c r="BD2160" s="9"/>
      <c r="CS2160" s="11">
        <f t="shared" si="148"/>
        <v>0</v>
      </c>
      <c r="CT2160" s="22">
        <f t="shared" si="149"/>
        <v>0</v>
      </c>
      <c r="CU2160" s="22">
        <f t="shared" si="150"/>
        <v>0</v>
      </c>
      <c r="CV2160" s="26">
        <f t="shared" si="147"/>
        <v>928</v>
      </c>
    </row>
    <row r="2161" spans="1:100" x14ac:dyDescent="0.2">
      <c r="A2161" s="9" t="s">
        <v>521</v>
      </c>
      <c r="B2161" s="2">
        <v>25</v>
      </c>
      <c r="C2161" s="3" t="s">
        <v>95</v>
      </c>
      <c r="D2161" s="3" t="s">
        <v>96</v>
      </c>
      <c r="E2161" s="2"/>
      <c r="F2161" s="2"/>
      <c r="G2161" s="2" t="s">
        <v>68</v>
      </c>
      <c r="H2161" s="2">
        <v>5</v>
      </c>
      <c r="I2161" s="8">
        <v>145.31</v>
      </c>
      <c r="J2161" s="8">
        <v>44999</v>
      </c>
      <c r="K2161" s="3">
        <v>0</v>
      </c>
      <c r="L2161" s="3" t="s">
        <v>3</v>
      </c>
      <c r="M2161" s="9" t="s">
        <v>0</v>
      </c>
      <c r="N2161" s="9" t="s">
        <v>5</v>
      </c>
      <c r="O2161" s="9" t="s">
        <v>546</v>
      </c>
      <c r="S2161" s="9" t="s">
        <v>158</v>
      </c>
      <c r="T2161" s="2" t="s">
        <v>68</v>
      </c>
      <c r="U2161" s="2">
        <v>5</v>
      </c>
      <c r="V2161" s="2">
        <v>145.31</v>
      </c>
      <c r="W2161" s="10" t="s">
        <v>710</v>
      </c>
      <c r="X2161" s="17">
        <v>45370</v>
      </c>
      <c r="Y2161" s="17">
        <v>45370</v>
      </c>
      <c r="Z2161" s="19" t="s">
        <v>772</v>
      </c>
      <c r="AA2161" s="210">
        <v>43000</v>
      </c>
      <c r="AB2161" s="9">
        <v>48</v>
      </c>
      <c r="AC2161" s="9">
        <v>41</v>
      </c>
      <c r="AD2161" s="17">
        <v>46690</v>
      </c>
      <c r="AE2161" s="56">
        <v>928</v>
      </c>
      <c r="AF2161" s="56"/>
      <c r="AP2161" s="11"/>
      <c r="AQ2161" s="11"/>
      <c r="AR2161" s="11"/>
      <c r="AW2161" s="9"/>
      <c r="BD2161" s="9"/>
      <c r="CS2161" s="11">
        <f t="shared" si="148"/>
        <v>0</v>
      </c>
      <c r="CT2161" s="22">
        <f t="shared" si="149"/>
        <v>0</v>
      </c>
      <c r="CU2161" s="22">
        <f t="shared" si="150"/>
        <v>0</v>
      </c>
      <c r="CV2161" s="26">
        <f t="shared" si="147"/>
        <v>928</v>
      </c>
    </row>
    <row r="2162" spans="1:100" x14ac:dyDescent="0.2">
      <c r="A2162" s="9" t="s">
        <v>521</v>
      </c>
      <c r="B2162" s="2">
        <v>25</v>
      </c>
      <c r="C2162" s="3" t="s">
        <v>95</v>
      </c>
      <c r="D2162" s="3" t="s">
        <v>96</v>
      </c>
      <c r="E2162" s="2"/>
      <c r="F2162" s="2"/>
      <c r="G2162" s="2" t="s">
        <v>68</v>
      </c>
      <c r="H2162" s="2">
        <v>5</v>
      </c>
      <c r="I2162" s="8">
        <v>145.31</v>
      </c>
      <c r="J2162" s="8">
        <v>44999</v>
      </c>
      <c r="K2162" s="3">
        <v>0</v>
      </c>
      <c r="L2162" s="3" t="s">
        <v>3</v>
      </c>
      <c r="M2162" s="9" t="s">
        <v>0</v>
      </c>
      <c r="N2162" s="9" t="s">
        <v>5</v>
      </c>
      <c r="O2162" s="9" t="s">
        <v>546</v>
      </c>
      <c r="S2162" s="9" t="s">
        <v>158</v>
      </c>
      <c r="T2162" s="2" t="s">
        <v>68</v>
      </c>
      <c r="U2162" s="2">
        <v>5</v>
      </c>
      <c r="V2162" s="2">
        <v>145.31</v>
      </c>
      <c r="W2162" s="10" t="s">
        <v>710</v>
      </c>
      <c r="X2162" s="17">
        <v>45370</v>
      </c>
      <c r="Y2162" s="17">
        <v>45370</v>
      </c>
      <c r="Z2162" s="19" t="s">
        <v>772</v>
      </c>
      <c r="AA2162" s="210">
        <v>43000</v>
      </c>
      <c r="AB2162" s="9">
        <v>48</v>
      </c>
      <c r="AC2162" s="9">
        <v>42</v>
      </c>
      <c r="AD2162" s="17">
        <v>46721</v>
      </c>
      <c r="AE2162" s="56">
        <v>928</v>
      </c>
      <c r="AF2162" s="56"/>
      <c r="AP2162" s="11"/>
      <c r="AQ2162" s="11"/>
      <c r="AR2162" s="11"/>
      <c r="AW2162" s="9"/>
      <c r="BD2162" s="9"/>
      <c r="CS2162" s="11">
        <f t="shared" si="148"/>
        <v>0</v>
      </c>
      <c r="CT2162" s="22">
        <f t="shared" si="149"/>
        <v>0</v>
      </c>
      <c r="CU2162" s="22">
        <f t="shared" si="150"/>
        <v>0</v>
      </c>
      <c r="CV2162" s="26">
        <f t="shared" si="147"/>
        <v>928</v>
      </c>
    </row>
    <row r="2163" spans="1:100" x14ac:dyDescent="0.2">
      <c r="A2163" s="9" t="s">
        <v>521</v>
      </c>
      <c r="B2163" s="2">
        <v>25</v>
      </c>
      <c r="C2163" s="3" t="s">
        <v>95</v>
      </c>
      <c r="D2163" s="3" t="s">
        <v>96</v>
      </c>
      <c r="E2163" s="2"/>
      <c r="F2163" s="2"/>
      <c r="G2163" s="2" t="s">
        <v>68</v>
      </c>
      <c r="H2163" s="2">
        <v>5</v>
      </c>
      <c r="I2163" s="8">
        <v>145.31</v>
      </c>
      <c r="J2163" s="8">
        <v>44999</v>
      </c>
      <c r="K2163" s="3">
        <v>0</v>
      </c>
      <c r="L2163" s="3" t="s">
        <v>3</v>
      </c>
      <c r="M2163" s="9" t="s">
        <v>0</v>
      </c>
      <c r="N2163" s="9" t="s">
        <v>5</v>
      </c>
      <c r="O2163" s="9" t="s">
        <v>546</v>
      </c>
      <c r="S2163" s="9" t="s">
        <v>158</v>
      </c>
      <c r="T2163" s="2" t="s">
        <v>68</v>
      </c>
      <c r="U2163" s="2">
        <v>5</v>
      </c>
      <c r="V2163" s="2">
        <v>145.31</v>
      </c>
      <c r="W2163" s="10" t="s">
        <v>710</v>
      </c>
      <c r="X2163" s="17">
        <v>45370</v>
      </c>
      <c r="Y2163" s="17">
        <v>45370</v>
      </c>
      <c r="Z2163" s="19" t="s">
        <v>772</v>
      </c>
      <c r="AA2163" s="210">
        <v>43000</v>
      </c>
      <c r="AB2163" s="9">
        <v>48</v>
      </c>
      <c r="AC2163" s="9">
        <v>43</v>
      </c>
      <c r="AD2163" s="17">
        <v>46751</v>
      </c>
      <c r="AE2163" s="56">
        <v>928</v>
      </c>
      <c r="AF2163" s="56"/>
      <c r="AP2163" s="11"/>
      <c r="AQ2163" s="11"/>
      <c r="AR2163" s="11"/>
      <c r="AW2163" s="9"/>
      <c r="BD2163" s="9"/>
      <c r="CS2163" s="11">
        <f t="shared" si="148"/>
        <v>0</v>
      </c>
      <c r="CT2163" s="22">
        <f t="shared" si="149"/>
        <v>0</v>
      </c>
      <c r="CU2163" s="22">
        <f t="shared" si="150"/>
        <v>0</v>
      </c>
      <c r="CV2163" s="26">
        <f t="shared" si="147"/>
        <v>928</v>
      </c>
    </row>
    <row r="2164" spans="1:100" x14ac:dyDescent="0.2">
      <c r="A2164" s="9" t="s">
        <v>521</v>
      </c>
      <c r="B2164" s="2">
        <v>25</v>
      </c>
      <c r="C2164" s="3" t="s">
        <v>95</v>
      </c>
      <c r="D2164" s="3" t="s">
        <v>96</v>
      </c>
      <c r="E2164" s="2"/>
      <c r="F2164" s="2"/>
      <c r="G2164" s="2" t="s">
        <v>68</v>
      </c>
      <c r="H2164" s="2">
        <v>5</v>
      </c>
      <c r="I2164" s="8">
        <v>145.31</v>
      </c>
      <c r="J2164" s="8">
        <v>44999</v>
      </c>
      <c r="K2164" s="3">
        <v>0</v>
      </c>
      <c r="L2164" s="3" t="s">
        <v>3</v>
      </c>
      <c r="M2164" s="9" t="s">
        <v>0</v>
      </c>
      <c r="N2164" s="9" t="s">
        <v>5</v>
      </c>
      <c r="O2164" s="9" t="s">
        <v>546</v>
      </c>
      <c r="S2164" s="9" t="s">
        <v>158</v>
      </c>
      <c r="T2164" s="2" t="s">
        <v>68</v>
      </c>
      <c r="U2164" s="2">
        <v>5</v>
      </c>
      <c r="V2164" s="2">
        <v>145.31</v>
      </c>
      <c r="W2164" s="10" t="s">
        <v>710</v>
      </c>
      <c r="X2164" s="17">
        <v>45370</v>
      </c>
      <c r="Y2164" s="17">
        <v>45370</v>
      </c>
      <c r="Z2164" s="19" t="s">
        <v>772</v>
      </c>
      <c r="AA2164" s="210">
        <v>43000</v>
      </c>
      <c r="AB2164" s="9">
        <v>48</v>
      </c>
      <c r="AC2164" s="9">
        <v>44</v>
      </c>
      <c r="AD2164" s="17">
        <v>46782</v>
      </c>
      <c r="AE2164" s="56">
        <v>928</v>
      </c>
      <c r="AF2164" s="56"/>
      <c r="AP2164" s="11"/>
      <c r="AQ2164" s="11"/>
      <c r="AR2164" s="11"/>
      <c r="AW2164" s="9"/>
      <c r="BD2164" s="9"/>
      <c r="CS2164" s="11">
        <f t="shared" si="148"/>
        <v>0</v>
      </c>
      <c r="CT2164" s="22">
        <f t="shared" si="149"/>
        <v>0</v>
      </c>
      <c r="CU2164" s="22">
        <f t="shared" si="150"/>
        <v>0</v>
      </c>
      <c r="CV2164" s="26">
        <f t="shared" si="147"/>
        <v>928</v>
      </c>
    </row>
    <row r="2165" spans="1:100" x14ac:dyDescent="0.2">
      <c r="A2165" s="9" t="s">
        <v>521</v>
      </c>
      <c r="B2165" s="2">
        <v>25</v>
      </c>
      <c r="C2165" s="3" t="s">
        <v>95</v>
      </c>
      <c r="D2165" s="3" t="s">
        <v>96</v>
      </c>
      <c r="E2165" s="2"/>
      <c r="F2165" s="2"/>
      <c r="G2165" s="2" t="s">
        <v>68</v>
      </c>
      <c r="H2165" s="2">
        <v>5</v>
      </c>
      <c r="I2165" s="8">
        <v>145.31</v>
      </c>
      <c r="J2165" s="8">
        <v>44999</v>
      </c>
      <c r="K2165" s="3">
        <v>0</v>
      </c>
      <c r="L2165" s="3" t="s">
        <v>3</v>
      </c>
      <c r="M2165" s="9" t="s">
        <v>0</v>
      </c>
      <c r="N2165" s="9" t="s">
        <v>5</v>
      </c>
      <c r="O2165" s="9" t="s">
        <v>546</v>
      </c>
      <c r="S2165" s="9" t="s">
        <v>158</v>
      </c>
      <c r="T2165" s="2" t="s">
        <v>68</v>
      </c>
      <c r="U2165" s="2">
        <v>5</v>
      </c>
      <c r="V2165" s="2">
        <v>145.31</v>
      </c>
      <c r="W2165" s="10" t="s">
        <v>710</v>
      </c>
      <c r="X2165" s="17">
        <v>45370</v>
      </c>
      <c r="Y2165" s="17">
        <v>45370</v>
      </c>
      <c r="Z2165" s="19" t="s">
        <v>772</v>
      </c>
      <c r="AA2165" s="210">
        <v>43000</v>
      </c>
      <c r="AB2165" s="9">
        <v>48</v>
      </c>
      <c r="AC2165" s="9">
        <v>45</v>
      </c>
      <c r="AD2165" s="17">
        <v>46812</v>
      </c>
      <c r="AE2165" s="56">
        <v>928</v>
      </c>
      <c r="AF2165" s="56"/>
      <c r="AP2165" s="11"/>
      <c r="AQ2165" s="11"/>
      <c r="AR2165" s="11"/>
      <c r="AW2165" s="9"/>
      <c r="BD2165" s="9"/>
      <c r="CS2165" s="11">
        <f t="shared" si="148"/>
        <v>0</v>
      </c>
      <c r="CT2165" s="22">
        <f t="shared" si="149"/>
        <v>0</v>
      </c>
      <c r="CU2165" s="22">
        <f t="shared" si="150"/>
        <v>0</v>
      </c>
      <c r="CV2165" s="26">
        <f t="shared" si="147"/>
        <v>928</v>
      </c>
    </row>
    <row r="2166" spans="1:100" x14ac:dyDescent="0.2">
      <c r="A2166" s="9" t="s">
        <v>521</v>
      </c>
      <c r="B2166" s="2">
        <v>25</v>
      </c>
      <c r="C2166" s="3" t="s">
        <v>95</v>
      </c>
      <c r="D2166" s="3" t="s">
        <v>96</v>
      </c>
      <c r="E2166" s="2"/>
      <c r="F2166" s="2"/>
      <c r="G2166" s="2" t="s">
        <v>68</v>
      </c>
      <c r="H2166" s="2">
        <v>5</v>
      </c>
      <c r="I2166" s="8">
        <v>145.31</v>
      </c>
      <c r="J2166" s="8">
        <v>44999</v>
      </c>
      <c r="K2166" s="3">
        <v>0</v>
      </c>
      <c r="L2166" s="3" t="s">
        <v>3</v>
      </c>
      <c r="M2166" s="9" t="s">
        <v>0</v>
      </c>
      <c r="N2166" s="9" t="s">
        <v>5</v>
      </c>
      <c r="O2166" s="9" t="s">
        <v>546</v>
      </c>
      <c r="S2166" s="9" t="s">
        <v>158</v>
      </c>
      <c r="T2166" s="2" t="s">
        <v>68</v>
      </c>
      <c r="U2166" s="2">
        <v>5</v>
      </c>
      <c r="V2166" s="2">
        <v>145.31</v>
      </c>
      <c r="W2166" s="10" t="s">
        <v>710</v>
      </c>
      <c r="X2166" s="17">
        <v>45370</v>
      </c>
      <c r="Y2166" s="17">
        <v>45370</v>
      </c>
      <c r="Z2166" s="19" t="s">
        <v>772</v>
      </c>
      <c r="AA2166" s="210">
        <v>43000</v>
      </c>
      <c r="AB2166" s="9">
        <v>48</v>
      </c>
      <c r="AC2166" s="9">
        <v>46</v>
      </c>
      <c r="AD2166" s="17">
        <v>46842</v>
      </c>
      <c r="AE2166" s="56">
        <v>928</v>
      </c>
      <c r="AF2166" s="56"/>
      <c r="AP2166" s="11"/>
      <c r="AQ2166" s="11"/>
      <c r="AR2166" s="11"/>
      <c r="AW2166" s="9"/>
      <c r="BD2166" s="9"/>
      <c r="CS2166" s="11">
        <f t="shared" si="148"/>
        <v>0</v>
      </c>
      <c r="CT2166" s="22">
        <f t="shared" si="149"/>
        <v>0</v>
      </c>
      <c r="CU2166" s="22">
        <f t="shared" si="150"/>
        <v>0</v>
      </c>
      <c r="CV2166" s="26">
        <f t="shared" si="147"/>
        <v>928</v>
      </c>
    </row>
    <row r="2167" spans="1:100" x14ac:dyDescent="0.2">
      <c r="A2167" s="9" t="s">
        <v>521</v>
      </c>
      <c r="B2167" s="2">
        <v>25</v>
      </c>
      <c r="C2167" s="3" t="s">
        <v>95</v>
      </c>
      <c r="D2167" s="3" t="s">
        <v>96</v>
      </c>
      <c r="E2167" s="2"/>
      <c r="F2167" s="2"/>
      <c r="G2167" s="2" t="s">
        <v>68</v>
      </c>
      <c r="H2167" s="2">
        <v>5</v>
      </c>
      <c r="I2167" s="8">
        <v>145.31</v>
      </c>
      <c r="J2167" s="8">
        <v>44999</v>
      </c>
      <c r="K2167" s="3">
        <v>0</v>
      </c>
      <c r="L2167" s="3" t="s">
        <v>3</v>
      </c>
      <c r="M2167" s="9" t="s">
        <v>0</v>
      </c>
      <c r="N2167" s="9" t="s">
        <v>5</v>
      </c>
      <c r="O2167" s="9" t="s">
        <v>546</v>
      </c>
      <c r="S2167" s="9" t="s">
        <v>158</v>
      </c>
      <c r="T2167" s="2" t="s">
        <v>68</v>
      </c>
      <c r="U2167" s="2">
        <v>5</v>
      </c>
      <c r="V2167" s="2">
        <v>145.31</v>
      </c>
      <c r="W2167" s="10" t="s">
        <v>710</v>
      </c>
      <c r="X2167" s="17">
        <v>45370</v>
      </c>
      <c r="Y2167" s="17">
        <v>45370</v>
      </c>
      <c r="Z2167" s="19" t="s">
        <v>772</v>
      </c>
      <c r="AA2167" s="210">
        <v>43000</v>
      </c>
      <c r="AB2167" s="9">
        <v>48</v>
      </c>
      <c r="AC2167" s="9">
        <v>47</v>
      </c>
      <c r="AD2167" s="17">
        <v>46873</v>
      </c>
      <c r="AE2167" s="56">
        <v>928</v>
      </c>
      <c r="AF2167" s="56"/>
      <c r="AP2167" s="11"/>
      <c r="AQ2167" s="11"/>
      <c r="AR2167" s="11"/>
      <c r="AW2167" s="9"/>
      <c r="BD2167" s="9"/>
      <c r="CS2167" s="11">
        <f t="shared" si="148"/>
        <v>0</v>
      </c>
      <c r="CT2167" s="22">
        <f t="shared" si="149"/>
        <v>0</v>
      </c>
      <c r="CU2167" s="22">
        <f t="shared" si="150"/>
        <v>0</v>
      </c>
      <c r="CV2167" s="26">
        <f t="shared" si="147"/>
        <v>928</v>
      </c>
    </row>
    <row r="2168" spans="1:100" x14ac:dyDescent="0.2">
      <c r="A2168" s="9" t="s">
        <v>521</v>
      </c>
      <c r="B2168" s="2">
        <v>25</v>
      </c>
      <c r="C2168" s="3" t="s">
        <v>95</v>
      </c>
      <c r="D2168" s="3" t="s">
        <v>96</v>
      </c>
      <c r="E2168" s="2"/>
      <c r="F2168" s="2"/>
      <c r="G2168" s="2" t="s">
        <v>68</v>
      </c>
      <c r="H2168" s="2">
        <v>5</v>
      </c>
      <c r="I2168" s="8">
        <v>145.31</v>
      </c>
      <c r="J2168" s="8">
        <v>44999</v>
      </c>
      <c r="K2168" s="3">
        <v>0</v>
      </c>
      <c r="L2168" s="3" t="s">
        <v>3</v>
      </c>
      <c r="M2168" s="9" t="s">
        <v>0</v>
      </c>
      <c r="N2168" s="9" t="s">
        <v>5</v>
      </c>
      <c r="O2168" s="9" t="s">
        <v>546</v>
      </c>
      <c r="S2168" s="9" t="s">
        <v>158</v>
      </c>
      <c r="T2168" s="2" t="s">
        <v>68</v>
      </c>
      <c r="U2168" s="2">
        <v>5</v>
      </c>
      <c r="V2168" s="2">
        <v>145.31</v>
      </c>
      <c r="W2168" s="10" t="s">
        <v>710</v>
      </c>
      <c r="X2168" s="17">
        <v>45370</v>
      </c>
      <c r="Y2168" s="17">
        <v>45370</v>
      </c>
      <c r="Z2168" s="19" t="s">
        <v>772</v>
      </c>
      <c r="AA2168" s="210">
        <v>43000</v>
      </c>
      <c r="AB2168" s="9">
        <v>48</v>
      </c>
      <c r="AC2168" s="9">
        <v>48</v>
      </c>
      <c r="AD2168" s="17">
        <v>46903</v>
      </c>
      <c r="AE2168" s="56">
        <v>920</v>
      </c>
      <c r="AF2168" s="56"/>
      <c r="AP2168" s="11"/>
      <c r="AQ2168" s="11"/>
      <c r="AR2168" s="11"/>
      <c r="AW2168" s="9"/>
      <c r="BD2168" s="9"/>
      <c r="CS2168" s="11">
        <f t="shared" si="148"/>
        <v>0</v>
      </c>
      <c r="CT2168" s="22">
        <f t="shared" si="149"/>
        <v>0</v>
      </c>
      <c r="CU2168" s="22">
        <f t="shared" si="150"/>
        <v>0</v>
      </c>
      <c r="CV2168" s="26">
        <f t="shared" si="147"/>
        <v>920</v>
      </c>
    </row>
    <row r="2169" spans="1:100" x14ac:dyDescent="0.2">
      <c r="A2169" s="9" t="s">
        <v>521</v>
      </c>
      <c r="B2169" s="2">
        <v>25</v>
      </c>
      <c r="C2169" s="3" t="s">
        <v>95</v>
      </c>
      <c r="D2169" s="3" t="s">
        <v>96</v>
      </c>
      <c r="E2169" s="2"/>
      <c r="F2169" s="2"/>
      <c r="G2169" s="2" t="s">
        <v>68</v>
      </c>
      <c r="H2169" s="2">
        <v>5</v>
      </c>
      <c r="I2169" s="8">
        <v>145.31</v>
      </c>
      <c r="J2169" s="8">
        <v>44999</v>
      </c>
      <c r="K2169" s="3">
        <v>0</v>
      </c>
      <c r="L2169" s="3" t="s">
        <v>3</v>
      </c>
      <c r="M2169" s="9" t="s">
        <v>0</v>
      </c>
      <c r="N2169" s="9" t="s">
        <v>5</v>
      </c>
      <c r="O2169" s="9" t="s">
        <v>546</v>
      </c>
      <c r="S2169" s="9" t="s">
        <v>3282</v>
      </c>
      <c r="V2169" s="10">
        <v>12.5</v>
      </c>
      <c r="W2169" s="10" t="s">
        <v>710</v>
      </c>
      <c r="X2169" s="17">
        <v>45940</v>
      </c>
      <c r="Y2169" s="17">
        <v>45933</v>
      </c>
      <c r="Z2169" s="19" t="s">
        <v>772</v>
      </c>
      <c r="AA2169" s="210">
        <v>5000</v>
      </c>
      <c r="AB2169" s="9">
        <v>1</v>
      </c>
      <c r="AC2169" s="9">
        <v>0</v>
      </c>
      <c r="AD2169" s="64">
        <v>45928</v>
      </c>
      <c r="AE2169" s="11">
        <v>28.32</v>
      </c>
      <c r="AF2169" s="9"/>
      <c r="AG2169" s="9" t="s">
        <v>134</v>
      </c>
      <c r="AH2169" s="17">
        <v>45928</v>
      </c>
      <c r="AI2169" s="9">
        <v>73176828</v>
      </c>
      <c r="AJ2169" s="9" t="s">
        <v>3241</v>
      </c>
      <c r="AK2169" s="9" t="s">
        <v>3283</v>
      </c>
      <c r="AL2169" s="11">
        <v>28.32</v>
      </c>
      <c r="AN2169" s="11" t="s">
        <v>1390</v>
      </c>
      <c r="AP2169" s="11"/>
      <c r="AQ2169" s="11"/>
      <c r="AR2169" s="11"/>
      <c r="AW2169" s="17">
        <v>45928</v>
      </c>
      <c r="AX2169" s="9" t="s">
        <v>3286</v>
      </c>
      <c r="AY2169" s="9">
        <v>100</v>
      </c>
      <c r="AZ2169" s="9">
        <v>3.53</v>
      </c>
      <c r="BA2169" s="11">
        <f>+AY2169/AZ2169</f>
        <v>28.328611898016998</v>
      </c>
      <c r="BB2169" s="11" t="s">
        <v>3287</v>
      </c>
      <c r="BC2169" s="17"/>
      <c r="BD2169" s="9"/>
      <c r="CS2169" s="11">
        <f t="shared" si="148"/>
        <v>28.32</v>
      </c>
      <c r="CT2169" s="22">
        <f t="shared" si="149"/>
        <v>28.328611898016998</v>
      </c>
      <c r="CU2169" s="22">
        <f t="shared" si="150"/>
        <v>-8.6118980169977988E-3</v>
      </c>
      <c r="CV2169" s="26">
        <f t="shared" ref="CV2169:CV2232" si="151">+AE2169-AL2169-AT2169</f>
        <v>0</v>
      </c>
    </row>
    <row r="2170" spans="1:100" x14ac:dyDescent="0.2">
      <c r="A2170" s="9" t="s">
        <v>521</v>
      </c>
      <c r="B2170" s="2">
        <v>25</v>
      </c>
      <c r="C2170" s="3" t="s">
        <v>95</v>
      </c>
      <c r="D2170" s="3" t="s">
        <v>96</v>
      </c>
      <c r="E2170" s="2"/>
      <c r="F2170" s="2"/>
      <c r="G2170" s="2" t="s">
        <v>68</v>
      </c>
      <c r="H2170" s="2">
        <v>5</v>
      </c>
      <c r="I2170" s="8">
        <v>145.31</v>
      </c>
      <c r="J2170" s="8">
        <v>44999</v>
      </c>
      <c r="K2170" s="3">
        <v>0</v>
      </c>
      <c r="L2170" s="3" t="s">
        <v>3</v>
      </c>
      <c r="M2170" s="9" t="s">
        <v>0</v>
      </c>
      <c r="N2170" s="9" t="s">
        <v>5</v>
      </c>
      <c r="O2170" s="9" t="s">
        <v>546</v>
      </c>
      <c r="S2170" s="9" t="s">
        <v>3282</v>
      </c>
      <c r="V2170" s="10">
        <v>12.5</v>
      </c>
      <c r="W2170" s="10" t="s">
        <v>710</v>
      </c>
      <c r="X2170" s="17">
        <v>45940</v>
      </c>
      <c r="Y2170" s="17">
        <v>45933</v>
      </c>
      <c r="Z2170" s="19" t="s">
        <v>772</v>
      </c>
      <c r="AA2170" s="210">
        <v>5000</v>
      </c>
      <c r="AB2170" s="9">
        <v>1</v>
      </c>
      <c r="AC2170" s="9">
        <v>0</v>
      </c>
      <c r="AD2170" s="64">
        <v>45933</v>
      </c>
      <c r="AE2170" s="11">
        <v>471.68</v>
      </c>
      <c r="AF2170" s="9"/>
      <c r="AG2170" s="9" t="s">
        <v>134</v>
      </c>
      <c r="AH2170" s="17">
        <v>45933</v>
      </c>
      <c r="AI2170" s="9">
        <v>73176828</v>
      </c>
      <c r="AJ2170" s="9" t="s">
        <v>3241</v>
      </c>
      <c r="AK2170" s="9" t="s">
        <v>3284</v>
      </c>
      <c r="AL2170" s="11">
        <v>471.68</v>
      </c>
      <c r="AN2170" s="11" t="s">
        <v>3262</v>
      </c>
      <c r="AP2170" s="11"/>
      <c r="AQ2170" s="11"/>
      <c r="AR2170" s="11"/>
      <c r="AW2170" s="17">
        <v>45933</v>
      </c>
      <c r="AX2170" s="9">
        <v>4860</v>
      </c>
      <c r="BA2170" s="9">
        <v>471.68</v>
      </c>
      <c r="BB2170" s="11" t="s">
        <v>3287</v>
      </c>
      <c r="BD2170" s="9"/>
      <c r="CS2170" s="11">
        <f t="shared" si="148"/>
        <v>471.68</v>
      </c>
      <c r="CT2170" s="22">
        <f t="shared" si="149"/>
        <v>471.68</v>
      </c>
      <c r="CU2170" s="22">
        <f t="shared" si="150"/>
        <v>0</v>
      </c>
      <c r="CV2170" s="26">
        <f t="shared" si="151"/>
        <v>0</v>
      </c>
    </row>
    <row r="2171" spans="1:100" x14ac:dyDescent="0.2">
      <c r="A2171" s="9" t="s">
        <v>521</v>
      </c>
      <c r="B2171" s="2">
        <v>25</v>
      </c>
      <c r="C2171" s="3" t="s">
        <v>95</v>
      </c>
      <c r="D2171" s="3" t="s">
        <v>96</v>
      </c>
      <c r="E2171" s="2"/>
      <c r="F2171" s="2"/>
      <c r="G2171" s="2" t="s">
        <v>68</v>
      </c>
      <c r="H2171" s="2">
        <v>5</v>
      </c>
      <c r="I2171" s="8">
        <v>145.31</v>
      </c>
      <c r="J2171" s="8">
        <v>44999</v>
      </c>
      <c r="K2171" s="3">
        <v>0</v>
      </c>
      <c r="L2171" s="3" t="s">
        <v>3</v>
      </c>
      <c r="M2171" s="9" t="s">
        <v>0</v>
      </c>
      <c r="N2171" s="9" t="s">
        <v>5</v>
      </c>
      <c r="O2171" s="9" t="s">
        <v>546</v>
      </c>
      <c r="S2171" s="9" t="s">
        <v>3282</v>
      </c>
      <c r="V2171" s="10">
        <v>12.5</v>
      </c>
      <c r="W2171" s="10" t="s">
        <v>710</v>
      </c>
      <c r="X2171" s="17">
        <v>45940</v>
      </c>
      <c r="Y2171" s="17">
        <v>45933</v>
      </c>
      <c r="Z2171" s="19" t="s">
        <v>772</v>
      </c>
      <c r="AA2171" s="210">
        <v>5000</v>
      </c>
      <c r="AB2171" s="9">
        <v>1</v>
      </c>
      <c r="AC2171" s="9">
        <v>1</v>
      </c>
      <c r="AD2171" s="64">
        <v>45940</v>
      </c>
      <c r="AE2171" s="11">
        <v>4500</v>
      </c>
      <c r="AF2171" s="9"/>
      <c r="AG2171" s="9" t="s">
        <v>134</v>
      </c>
      <c r="AH2171" s="17">
        <v>45940</v>
      </c>
      <c r="AI2171" s="9">
        <v>73176828</v>
      </c>
      <c r="AJ2171" s="9" t="s">
        <v>3241</v>
      </c>
      <c r="AK2171" s="9" t="s">
        <v>3285</v>
      </c>
      <c r="AL2171" s="11">
        <v>4500</v>
      </c>
      <c r="AN2171" s="11" t="s">
        <v>3264</v>
      </c>
      <c r="AP2171" s="11"/>
      <c r="AQ2171" s="11"/>
      <c r="AR2171" s="11"/>
      <c r="AW2171" s="17">
        <v>45940</v>
      </c>
      <c r="AX2171" s="9">
        <v>4916</v>
      </c>
      <c r="BA2171" s="11">
        <v>4500</v>
      </c>
      <c r="BB2171" s="11" t="s">
        <v>3287</v>
      </c>
      <c r="BD2171" s="9"/>
      <c r="CS2171" s="11">
        <f t="shared" si="148"/>
        <v>4500</v>
      </c>
      <c r="CT2171" s="22">
        <f t="shared" si="149"/>
        <v>4500</v>
      </c>
      <c r="CU2171" s="22">
        <f t="shared" si="150"/>
        <v>0</v>
      </c>
      <c r="CV2171" s="26">
        <f t="shared" si="151"/>
        <v>0</v>
      </c>
    </row>
    <row r="2172" spans="1:100" x14ac:dyDescent="0.2">
      <c r="A2172" s="9" t="s">
        <v>522</v>
      </c>
      <c r="B2172" s="2">
        <v>111</v>
      </c>
      <c r="C2172" s="3" t="s">
        <v>95</v>
      </c>
      <c r="D2172" s="3" t="s">
        <v>96</v>
      </c>
      <c r="E2172" s="2"/>
      <c r="F2172" s="2"/>
      <c r="G2172" s="2" t="s">
        <v>80</v>
      </c>
      <c r="H2172" s="2">
        <v>1</v>
      </c>
      <c r="I2172" s="8">
        <v>139.91999999999999</v>
      </c>
      <c r="J2172" s="8">
        <v>47499</v>
      </c>
      <c r="K2172" s="3">
        <v>0</v>
      </c>
      <c r="L2172" s="3" t="s">
        <v>3</v>
      </c>
      <c r="M2172" s="9" t="s">
        <v>0</v>
      </c>
      <c r="N2172" s="9" t="s">
        <v>45</v>
      </c>
      <c r="O2172" s="9" t="s">
        <v>549</v>
      </c>
      <c r="P2172" s="9" t="s">
        <v>0</v>
      </c>
      <c r="Q2172" s="30" t="s">
        <v>46</v>
      </c>
      <c r="R2172" s="9" t="s">
        <v>550</v>
      </c>
      <c r="S2172" s="9" t="s">
        <v>158</v>
      </c>
      <c r="T2172" s="10" t="s">
        <v>80</v>
      </c>
      <c r="U2172" s="10">
        <v>1</v>
      </c>
      <c r="V2172" s="10">
        <v>139.91999999999999</v>
      </c>
      <c r="W2172" s="10" t="s">
        <v>710</v>
      </c>
      <c r="X2172" s="17">
        <v>45378</v>
      </c>
      <c r="Y2172" s="17">
        <v>45621</v>
      </c>
      <c r="Z2172" s="19" t="s">
        <v>772</v>
      </c>
      <c r="AA2172" s="210">
        <f t="shared" ref="AA2172:AA2183" si="152">47000-2300</f>
        <v>44700</v>
      </c>
      <c r="AB2172" s="9">
        <v>30</v>
      </c>
      <c r="AC2172" s="9">
        <v>0</v>
      </c>
      <c r="AD2172" s="17">
        <v>45378</v>
      </c>
      <c r="AE2172" s="56">
        <v>8000</v>
      </c>
      <c r="AF2172" s="56"/>
      <c r="AG2172" s="9" t="s">
        <v>134</v>
      </c>
      <c r="AH2172" s="17">
        <v>45378</v>
      </c>
      <c r="AI2172" s="17"/>
      <c r="AJ2172" s="17"/>
      <c r="AK2172" s="9" t="s">
        <v>551</v>
      </c>
      <c r="AL2172" s="22">
        <v>8000</v>
      </c>
      <c r="AM2172" s="22"/>
      <c r="AN2172" s="11" t="s">
        <v>1289</v>
      </c>
      <c r="AP2172" s="11"/>
      <c r="AQ2172" s="11"/>
      <c r="AR2172" s="11"/>
      <c r="AW2172" s="42">
        <v>45383</v>
      </c>
      <c r="AX2172" s="36">
        <v>34951</v>
      </c>
      <c r="AY2172" s="36">
        <v>29840</v>
      </c>
      <c r="AZ2172" s="36">
        <v>3.73</v>
      </c>
      <c r="BA2172" s="40">
        <f>+AY2172/AZ2172</f>
        <v>8000</v>
      </c>
      <c r="BD2172" s="9"/>
      <c r="CS2172" s="11">
        <f t="shared" si="148"/>
        <v>8000</v>
      </c>
      <c r="CT2172" s="22">
        <f t="shared" si="149"/>
        <v>8000</v>
      </c>
      <c r="CU2172" s="22">
        <f t="shared" si="150"/>
        <v>0</v>
      </c>
      <c r="CV2172" s="26">
        <f t="shared" si="151"/>
        <v>0</v>
      </c>
    </row>
    <row r="2173" spans="1:100" x14ac:dyDescent="0.2">
      <c r="A2173" s="9" t="s">
        <v>522</v>
      </c>
      <c r="B2173" s="2">
        <v>111</v>
      </c>
      <c r="C2173" s="3" t="s">
        <v>95</v>
      </c>
      <c r="D2173" s="3" t="s">
        <v>96</v>
      </c>
      <c r="E2173" s="2"/>
      <c r="F2173" s="2"/>
      <c r="G2173" s="2" t="s">
        <v>80</v>
      </c>
      <c r="H2173" s="2">
        <v>1</v>
      </c>
      <c r="I2173" s="8">
        <v>139.91999999999999</v>
      </c>
      <c r="J2173" s="8">
        <v>47499</v>
      </c>
      <c r="K2173" s="3">
        <v>0</v>
      </c>
      <c r="L2173" s="3" t="s">
        <v>3</v>
      </c>
      <c r="M2173" s="9" t="s">
        <v>0</v>
      </c>
      <c r="N2173" s="9" t="s">
        <v>45</v>
      </c>
      <c r="O2173" s="9" t="s">
        <v>549</v>
      </c>
      <c r="P2173" s="9" t="s">
        <v>0</v>
      </c>
      <c r="Q2173" s="30" t="s">
        <v>46</v>
      </c>
      <c r="R2173" s="9" t="s">
        <v>550</v>
      </c>
      <c r="S2173" s="9" t="s">
        <v>158</v>
      </c>
      <c r="T2173" s="10" t="s">
        <v>80</v>
      </c>
      <c r="U2173" s="10">
        <v>1</v>
      </c>
      <c r="V2173" s="10">
        <v>139.91999999999999</v>
      </c>
      <c r="W2173" s="10" t="s">
        <v>710</v>
      </c>
      <c r="X2173" s="17">
        <v>45378</v>
      </c>
      <c r="Y2173" s="17">
        <v>45621</v>
      </c>
      <c r="Z2173" s="19" t="s">
        <v>772</v>
      </c>
      <c r="AA2173" s="210">
        <f t="shared" si="152"/>
        <v>44700</v>
      </c>
      <c r="AB2173" s="9">
        <v>30</v>
      </c>
      <c r="AC2173" s="9">
        <v>1</v>
      </c>
      <c r="AD2173" s="17">
        <v>45597</v>
      </c>
      <c r="AE2173" s="56">
        <v>1300</v>
      </c>
      <c r="AF2173" s="56"/>
      <c r="AG2173" s="9" t="s">
        <v>134</v>
      </c>
      <c r="AH2173" s="17">
        <v>45622</v>
      </c>
      <c r="AI2173" s="17"/>
      <c r="AJ2173" s="17"/>
      <c r="AK2173" s="9" t="s">
        <v>1283</v>
      </c>
      <c r="AL2173" s="22">
        <v>1300</v>
      </c>
      <c r="AM2173" s="22"/>
      <c r="AN2173" s="22" t="s">
        <v>1291</v>
      </c>
      <c r="AO2173" s="22"/>
      <c r="AP2173" s="22"/>
      <c r="AQ2173" s="22"/>
      <c r="AR2173" s="22"/>
      <c r="AW2173" s="42">
        <v>45623</v>
      </c>
      <c r="AX2173" s="36">
        <v>3445</v>
      </c>
      <c r="AY2173" s="36"/>
      <c r="AZ2173" s="36"/>
      <c r="BA2173" s="40">
        <v>1300</v>
      </c>
      <c r="BD2173" s="9"/>
      <c r="CS2173" s="11">
        <f t="shared" ref="CS2173:CS2236" si="153">+AL2173+AT2173</f>
        <v>1300</v>
      </c>
      <c r="CT2173" s="22">
        <f t="shared" ref="CT2173:CT2236" si="154">+BA2173+BG2173+BM2173+BS2173+BY2173+CE2173+CK2173+CQ2173</f>
        <v>1300</v>
      </c>
      <c r="CU2173" s="22">
        <f t="shared" ref="CU2173:CU2236" si="155">+CS2173-CT2173</f>
        <v>0</v>
      </c>
      <c r="CV2173" s="26">
        <f t="shared" si="151"/>
        <v>0</v>
      </c>
    </row>
    <row r="2174" spans="1:100" x14ac:dyDescent="0.2">
      <c r="A2174" s="9" t="s">
        <v>522</v>
      </c>
      <c r="B2174" s="2">
        <v>111</v>
      </c>
      <c r="C2174" s="3" t="s">
        <v>95</v>
      </c>
      <c r="D2174" s="3" t="s">
        <v>96</v>
      </c>
      <c r="E2174" s="2"/>
      <c r="F2174" s="2"/>
      <c r="G2174" s="2" t="s">
        <v>80</v>
      </c>
      <c r="H2174" s="2">
        <v>1</v>
      </c>
      <c r="I2174" s="8">
        <v>139.91999999999999</v>
      </c>
      <c r="J2174" s="8">
        <v>47499</v>
      </c>
      <c r="K2174" s="3">
        <v>0</v>
      </c>
      <c r="L2174" s="3" t="s">
        <v>3</v>
      </c>
      <c r="M2174" s="9" t="s">
        <v>0</v>
      </c>
      <c r="N2174" s="9" t="s">
        <v>45</v>
      </c>
      <c r="O2174" s="9" t="s">
        <v>549</v>
      </c>
      <c r="P2174" s="9" t="s">
        <v>0</v>
      </c>
      <c r="Q2174" s="30" t="s">
        <v>46</v>
      </c>
      <c r="R2174" s="9" t="s">
        <v>550</v>
      </c>
      <c r="S2174" s="9" t="s">
        <v>158</v>
      </c>
      <c r="T2174" s="10" t="s">
        <v>80</v>
      </c>
      <c r="U2174" s="10">
        <v>1</v>
      </c>
      <c r="V2174" s="10">
        <v>139.91999999999999</v>
      </c>
      <c r="W2174" s="10" t="s">
        <v>710</v>
      </c>
      <c r="X2174" s="17">
        <v>45378</v>
      </c>
      <c r="Y2174" s="17">
        <v>45621</v>
      </c>
      <c r="Z2174" s="19" t="s">
        <v>772</v>
      </c>
      <c r="AA2174" s="210">
        <f t="shared" si="152"/>
        <v>44700</v>
      </c>
      <c r="AB2174" s="9">
        <v>30</v>
      </c>
      <c r="AC2174" s="9">
        <v>2</v>
      </c>
      <c r="AD2174" s="17">
        <v>45627</v>
      </c>
      <c r="AE2174" s="56">
        <v>1300</v>
      </c>
      <c r="AF2174" s="56"/>
      <c r="AG2174" s="9" t="s">
        <v>134</v>
      </c>
      <c r="AH2174" s="17">
        <v>45636</v>
      </c>
      <c r="AI2174" s="17"/>
      <c r="AJ2174" s="17"/>
      <c r="AK2174" s="9" t="s">
        <v>1286</v>
      </c>
      <c r="AL2174" s="22">
        <v>1300</v>
      </c>
      <c r="AM2174" s="22"/>
      <c r="AN2174" s="22" t="s">
        <v>1294</v>
      </c>
      <c r="AO2174" s="22"/>
      <c r="AP2174" s="22"/>
      <c r="AQ2174" s="22"/>
      <c r="AR2174" s="22"/>
      <c r="AW2174" s="42">
        <v>45632</v>
      </c>
      <c r="AX2174" s="36">
        <v>3483</v>
      </c>
      <c r="AY2174" s="36"/>
      <c r="AZ2174" s="36"/>
      <c r="BA2174" s="93">
        <v>784</v>
      </c>
      <c r="BC2174" s="42">
        <v>45636</v>
      </c>
      <c r="BD2174" s="36">
        <v>3492</v>
      </c>
      <c r="BE2174" s="36"/>
      <c r="BF2174" s="36"/>
      <c r="BG2174" s="93">
        <v>516</v>
      </c>
      <c r="BH2174" s="93"/>
      <c r="CS2174" s="11">
        <f t="shared" si="153"/>
        <v>1300</v>
      </c>
      <c r="CT2174" s="22">
        <f t="shared" si="154"/>
        <v>1300</v>
      </c>
      <c r="CU2174" s="22">
        <f t="shared" si="155"/>
        <v>0</v>
      </c>
      <c r="CV2174" s="26">
        <f t="shared" si="151"/>
        <v>0</v>
      </c>
    </row>
    <row r="2175" spans="1:100" x14ac:dyDescent="0.2">
      <c r="A2175" s="9" t="s">
        <v>522</v>
      </c>
      <c r="B2175" s="2">
        <v>111</v>
      </c>
      <c r="C2175" s="3" t="s">
        <v>95</v>
      </c>
      <c r="D2175" s="3" t="s">
        <v>96</v>
      </c>
      <c r="E2175" s="2"/>
      <c r="F2175" s="2"/>
      <c r="G2175" s="2" t="s">
        <v>80</v>
      </c>
      <c r="H2175" s="2">
        <v>1</v>
      </c>
      <c r="I2175" s="8">
        <v>139.91999999999999</v>
      </c>
      <c r="J2175" s="8">
        <v>47499</v>
      </c>
      <c r="K2175" s="3">
        <v>0</v>
      </c>
      <c r="L2175" s="3" t="s">
        <v>3</v>
      </c>
      <c r="M2175" s="9" t="s">
        <v>0</v>
      </c>
      <c r="N2175" s="9" t="s">
        <v>45</v>
      </c>
      <c r="O2175" s="9" t="s">
        <v>549</v>
      </c>
      <c r="P2175" s="9" t="s">
        <v>0</v>
      </c>
      <c r="Q2175" s="30" t="s">
        <v>46</v>
      </c>
      <c r="R2175" s="9" t="s">
        <v>550</v>
      </c>
      <c r="S2175" s="9" t="s">
        <v>158</v>
      </c>
      <c r="T2175" s="10" t="s">
        <v>80</v>
      </c>
      <c r="U2175" s="10">
        <v>1</v>
      </c>
      <c r="V2175" s="10">
        <v>139.91999999999999</v>
      </c>
      <c r="W2175" s="10" t="s">
        <v>710</v>
      </c>
      <c r="X2175" s="17">
        <v>45378</v>
      </c>
      <c r="Y2175" s="17">
        <v>45621</v>
      </c>
      <c r="Z2175" s="19" t="s">
        <v>772</v>
      </c>
      <c r="AA2175" s="210">
        <f t="shared" si="152"/>
        <v>44700</v>
      </c>
      <c r="AB2175" s="9">
        <v>30</v>
      </c>
      <c r="AC2175" s="9">
        <v>3</v>
      </c>
      <c r="AD2175" s="17">
        <v>45658</v>
      </c>
      <c r="AE2175" s="56">
        <v>1300</v>
      </c>
      <c r="AF2175" s="56"/>
      <c r="AG2175" s="9" t="s">
        <v>134</v>
      </c>
      <c r="AH2175" s="17">
        <v>45674</v>
      </c>
      <c r="AI2175" s="17"/>
      <c r="AJ2175" s="17"/>
      <c r="AK2175" s="22" t="s">
        <v>1321</v>
      </c>
      <c r="AL2175" s="22">
        <v>1300</v>
      </c>
      <c r="AM2175" s="22"/>
      <c r="AN2175" s="22" t="s">
        <v>1346</v>
      </c>
      <c r="AO2175" s="22"/>
      <c r="AP2175" s="22"/>
      <c r="AQ2175" s="22"/>
      <c r="AR2175" s="22"/>
      <c r="AW2175" s="42">
        <v>45674</v>
      </c>
      <c r="AX2175" s="36">
        <v>3614</v>
      </c>
      <c r="AY2175" s="36"/>
      <c r="AZ2175" s="36"/>
      <c r="BA2175" s="93">
        <v>784</v>
      </c>
      <c r="BC2175" s="42">
        <v>45677</v>
      </c>
      <c r="BD2175" s="36">
        <v>3626</v>
      </c>
      <c r="BE2175" s="36"/>
      <c r="BF2175" s="36"/>
      <c r="BG2175" s="93">
        <v>516</v>
      </c>
      <c r="BH2175" s="93"/>
      <c r="CS2175" s="11">
        <f t="shared" si="153"/>
        <v>1300</v>
      </c>
      <c r="CT2175" s="22">
        <f t="shared" si="154"/>
        <v>1300</v>
      </c>
      <c r="CU2175" s="22">
        <f t="shared" si="155"/>
        <v>0</v>
      </c>
      <c r="CV2175" s="26">
        <f t="shared" si="151"/>
        <v>0</v>
      </c>
    </row>
    <row r="2176" spans="1:100" x14ac:dyDescent="0.2">
      <c r="A2176" s="9" t="s">
        <v>522</v>
      </c>
      <c r="B2176" s="2">
        <v>111</v>
      </c>
      <c r="C2176" s="3" t="s">
        <v>95</v>
      </c>
      <c r="D2176" s="3" t="s">
        <v>96</v>
      </c>
      <c r="E2176" s="2"/>
      <c r="F2176" s="2"/>
      <c r="G2176" s="2" t="s">
        <v>80</v>
      </c>
      <c r="H2176" s="2">
        <v>1</v>
      </c>
      <c r="I2176" s="8">
        <v>139.91999999999999</v>
      </c>
      <c r="J2176" s="8">
        <v>47499</v>
      </c>
      <c r="K2176" s="3">
        <v>0</v>
      </c>
      <c r="L2176" s="3" t="s">
        <v>3</v>
      </c>
      <c r="M2176" s="9" t="s">
        <v>0</v>
      </c>
      <c r="N2176" s="9" t="s">
        <v>45</v>
      </c>
      <c r="O2176" s="9" t="s">
        <v>549</v>
      </c>
      <c r="P2176" s="9" t="s">
        <v>0</v>
      </c>
      <c r="Q2176" s="30" t="s">
        <v>46</v>
      </c>
      <c r="R2176" s="9" t="s">
        <v>550</v>
      </c>
      <c r="S2176" s="9" t="s">
        <v>158</v>
      </c>
      <c r="T2176" s="10" t="s">
        <v>80</v>
      </c>
      <c r="U2176" s="10">
        <v>1</v>
      </c>
      <c r="V2176" s="10">
        <v>139.91999999999999</v>
      </c>
      <c r="W2176" s="10" t="s">
        <v>710</v>
      </c>
      <c r="X2176" s="17">
        <v>45378</v>
      </c>
      <c r="Y2176" s="17">
        <v>45621</v>
      </c>
      <c r="Z2176" s="19" t="s">
        <v>772</v>
      </c>
      <c r="AA2176" s="210">
        <f t="shared" si="152"/>
        <v>44700</v>
      </c>
      <c r="AB2176" s="9">
        <v>30</v>
      </c>
      <c r="AC2176" s="9">
        <v>4</v>
      </c>
      <c r="AD2176" s="17">
        <v>45689</v>
      </c>
      <c r="AE2176" s="56">
        <v>1300</v>
      </c>
      <c r="AF2176" s="56"/>
      <c r="AG2176" s="9" t="s">
        <v>134</v>
      </c>
      <c r="AH2176" s="17">
        <v>45694</v>
      </c>
      <c r="AI2176" s="17"/>
      <c r="AJ2176" s="17"/>
      <c r="AK2176" s="22" t="s">
        <v>1299</v>
      </c>
      <c r="AL2176" s="22">
        <v>1300</v>
      </c>
      <c r="AM2176" s="22"/>
      <c r="AN2176" s="22" t="s">
        <v>1324</v>
      </c>
      <c r="AO2176" s="22"/>
      <c r="AP2176" s="22"/>
      <c r="AQ2176" s="22"/>
      <c r="AR2176" s="22"/>
      <c r="AW2176" s="42">
        <v>45694</v>
      </c>
      <c r="AX2176" s="36">
        <v>3705</v>
      </c>
      <c r="AY2176" s="36"/>
      <c r="AZ2176" s="36"/>
      <c r="BA2176" s="93">
        <v>784</v>
      </c>
      <c r="BC2176" s="42">
        <v>45695</v>
      </c>
      <c r="BD2176" s="36">
        <v>3720</v>
      </c>
      <c r="BE2176" s="36"/>
      <c r="BF2176" s="36"/>
      <c r="BG2176" s="93">
        <v>516</v>
      </c>
      <c r="BH2176" s="93"/>
      <c r="CS2176" s="11">
        <f t="shared" si="153"/>
        <v>1300</v>
      </c>
      <c r="CT2176" s="22">
        <f t="shared" si="154"/>
        <v>1300</v>
      </c>
      <c r="CU2176" s="22">
        <f t="shared" si="155"/>
        <v>0</v>
      </c>
      <c r="CV2176" s="26">
        <f t="shared" si="151"/>
        <v>0</v>
      </c>
    </row>
    <row r="2177" spans="1:101" x14ac:dyDescent="0.2">
      <c r="A2177" s="9" t="s">
        <v>522</v>
      </c>
      <c r="B2177" s="2">
        <v>111</v>
      </c>
      <c r="C2177" s="3" t="s">
        <v>95</v>
      </c>
      <c r="D2177" s="3" t="s">
        <v>96</v>
      </c>
      <c r="E2177" s="2"/>
      <c r="F2177" s="2"/>
      <c r="G2177" s="2" t="s">
        <v>80</v>
      </c>
      <c r="H2177" s="2">
        <v>1</v>
      </c>
      <c r="I2177" s="8">
        <v>139.91999999999999</v>
      </c>
      <c r="J2177" s="8">
        <v>47499</v>
      </c>
      <c r="K2177" s="3">
        <v>0</v>
      </c>
      <c r="L2177" s="3" t="s">
        <v>3</v>
      </c>
      <c r="M2177" s="9" t="s">
        <v>0</v>
      </c>
      <c r="N2177" s="9" t="s">
        <v>45</v>
      </c>
      <c r="O2177" s="9" t="s">
        <v>549</v>
      </c>
      <c r="P2177" s="9" t="s">
        <v>0</v>
      </c>
      <c r="Q2177" s="30" t="s">
        <v>46</v>
      </c>
      <c r="R2177" s="9" t="s">
        <v>550</v>
      </c>
      <c r="S2177" s="9" t="s">
        <v>158</v>
      </c>
      <c r="T2177" s="10" t="s">
        <v>80</v>
      </c>
      <c r="U2177" s="10">
        <v>1</v>
      </c>
      <c r="V2177" s="10">
        <v>139.91999999999999</v>
      </c>
      <c r="W2177" s="10" t="s">
        <v>710</v>
      </c>
      <c r="X2177" s="17">
        <v>45378</v>
      </c>
      <c r="Y2177" s="17">
        <v>45621</v>
      </c>
      <c r="Z2177" s="19" t="s">
        <v>772</v>
      </c>
      <c r="AA2177" s="210">
        <f t="shared" si="152"/>
        <v>44700</v>
      </c>
      <c r="AB2177" s="9">
        <v>30</v>
      </c>
      <c r="AC2177" s="9">
        <v>5</v>
      </c>
      <c r="AD2177" s="17">
        <v>45717</v>
      </c>
      <c r="AE2177" s="56">
        <v>1300</v>
      </c>
      <c r="AF2177" s="56"/>
      <c r="AG2177" s="9" t="s">
        <v>134</v>
      </c>
      <c r="AH2177" s="17">
        <v>45719</v>
      </c>
      <c r="AI2177" s="17"/>
      <c r="AJ2177" s="17"/>
      <c r="AK2177" s="22" t="s">
        <v>1302</v>
      </c>
      <c r="AL2177" s="22">
        <v>1300</v>
      </c>
      <c r="AM2177" s="22"/>
      <c r="AN2177" s="22" t="s">
        <v>1327</v>
      </c>
      <c r="AO2177" s="22"/>
      <c r="AP2177" s="22"/>
      <c r="AQ2177" s="22"/>
      <c r="AR2177" s="22"/>
      <c r="AW2177" s="42">
        <v>45720</v>
      </c>
      <c r="AX2177" s="36">
        <v>3836</v>
      </c>
      <c r="AY2177" s="36"/>
      <c r="AZ2177" s="36"/>
      <c r="BA2177" s="93">
        <v>1300</v>
      </c>
      <c r="BD2177" s="9"/>
      <c r="CS2177" s="11">
        <f t="shared" si="153"/>
        <v>1300</v>
      </c>
      <c r="CT2177" s="22">
        <f t="shared" si="154"/>
        <v>1300</v>
      </c>
      <c r="CU2177" s="22">
        <f t="shared" si="155"/>
        <v>0</v>
      </c>
      <c r="CV2177" s="26">
        <f t="shared" si="151"/>
        <v>0</v>
      </c>
    </row>
    <row r="2178" spans="1:101" x14ac:dyDescent="0.2">
      <c r="A2178" s="9" t="s">
        <v>522</v>
      </c>
      <c r="B2178" s="2">
        <v>111</v>
      </c>
      <c r="C2178" s="3" t="s">
        <v>95</v>
      </c>
      <c r="D2178" s="3" t="s">
        <v>96</v>
      </c>
      <c r="E2178" s="2"/>
      <c r="F2178" s="2"/>
      <c r="G2178" s="2" t="s">
        <v>80</v>
      </c>
      <c r="H2178" s="2">
        <v>1</v>
      </c>
      <c r="I2178" s="8">
        <v>139.91999999999999</v>
      </c>
      <c r="J2178" s="8">
        <v>47499</v>
      </c>
      <c r="K2178" s="3">
        <v>0</v>
      </c>
      <c r="L2178" s="3" t="s">
        <v>3</v>
      </c>
      <c r="M2178" s="9" t="s">
        <v>0</v>
      </c>
      <c r="N2178" s="9" t="s">
        <v>45</v>
      </c>
      <c r="O2178" s="9" t="s">
        <v>549</v>
      </c>
      <c r="P2178" s="9" t="s">
        <v>0</v>
      </c>
      <c r="Q2178" s="30" t="s">
        <v>46</v>
      </c>
      <c r="R2178" s="9" t="s">
        <v>550</v>
      </c>
      <c r="S2178" s="9" t="s">
        <v>158</v>
      </c>
      <c r="T2178" s="10" t="s">
        <v>80</v>
      </c>
      <c r="U2178" s="10">
        <v>1</v>
      </c>
      <c r="V2178" s="10">
        <v>139.91999999999999</v>
      </c>
      <c r="W2178" s="10" t="s">
        <v>710</v>
      </c>
      <c r="X2178" s="17">
        <v>45378</v>
      </c>
      <c r="Y2178" s="17">
        <v>45621</v>
      </c>
      <c r="Z2178" s="19" t="s">
        <v>772</v>
      </c>
      <c r="AA2178" s="210">
        <f t="shared" si="152"/>
        <v>44700</v>
      </c>
      <c r="AB2178" s="9">
        <v>30</v>
      </c>
      <c r="AC2178" s="9">
        <v>6</v>
      </c>
      <c r="AD2178" s="17">
        <v>45748</v>
      </c>
      <c r="AE2178" s="56">
        <v>1300</v>
      </c>
      <c r="AF2178" s="56"/>
      <c r="AG2178" s="9" t="s">
        <v>134</v>
      </c>
      <c r="AH2178" s="17">
        <v>45758</v>
      </c>
      <c r="AI2178" s="17"/>
      <c r="AJ2178" s="17"/>
      <c r="AK2178" s="22" t="s">
        <v>1305</v>
      </c>
      <c r="AL2178" s="22">
        <v>1300</v>
      </c>
      <c r="AM2178" s="22"/>
      <c r="AN2178" s="22" t="s">
        <v>1330</v>
      </c>
      <c r="AO2178" s="22"/>
      <c r="AP2178" s="22"/>
      <c r="AQ2178" s="22"/>
      <c r="AR2178" s="22"/>
      <c r="AW2178" s="42">
        <v>45757</v>
      </c>
      <c r="AX2178" s="36">
        <v>4000</v>
      </c>
      <c r="AY2178" s="36"/>
      <c r="AZ2178" s="36"/>
      <c r="BA2178" s="93">
        <v>1300</v>
      </c>
      <c r="BC2178" s="17"/>
      <c r="BD2178" s="9"/>
      <c r="CS2178" s="11">
        <f t="shared" si="153"/>
        <v>1300</v>
      </c>
      <c r="CT2178" s="22">
        <f t="shared" si="154"/>
        <v>1300</v>
      </c>
      <c r="CU2178" s="22">
        <f t="shared" si="155"/>
        <v>0</v>
      </c>
      <c r="CV2178" s="26">
        <f t="shared" si="151"/>
        <v>0</v>
      </c>
    </row>
    <row r="2179" spans="1:101" x14ac:dyDescent="0.2">
      <c r="A2179" s="9" t="s">
        <v>522</v>
      </c>
      <c r="B2179" s="2">
        <v>111</v>
      </c>
      <c r="C2179" s="3" t="s">
        <v>95</v>
      </c>
      <c r="D2179" s="3" t="s">
        <v>96</v>
      </c>
      <c r="E2179" s="2"/>
      <c r="F2179" s="2"/>
      <c r="G2179" s="2" t="s">
        <v>80</v>
      </c>
      <c r="H2179" s="2">
        <v>1</v>
      </c>
      <c r="I2179" s="8">
        <v>139.91999999999999</v>
      </c>
      <c r="J2179" s="8">
        <v>47499</v>
      </c>
      <c r="K2179" s="3">
        <v>0</v>
      </c>
      <c r="L2179" s="3" t="s">
        <v>3</v>
      </c>
      <c r="M2179" s="9" t="s">
        <v>0</v>
      </c>
      <c r="N2179" s="9" t="s">
        <v>45</v>
      </c>
      <c r="O2179" s="9" t="s">
        <v>549</v>
      </c>
      <c r="P2179" s="9" t="s">
        <v>0</v>
      </c>
      <c r="Q2179" s="30" t="s">
        <v>46</v>
      </c>
      <c r="R2179" s="9" t="s">
        <v>550</v>
      </c>
      <c r="S2179" s="9" t="s">
        <v>158</v>
      </c>
      <c r="T2179" s="10" t="s">
        <v>80</v>
      </c>
      <c r="U2179" s="10">
        <v>1</v>
      </c>
      <c r="V2179" s="10">
        <v>139.91999999999999</v>
      </c>
      <c r="W2179" s="10" t="s">
        <v>710</v>
      </c>
      <c r="X2179" s="17">
        <v>45378</v>
      </c>
      <c r="Y2179" s="17">
        <v>45621</v>
      </c>
      <c r="Z2179" s="19" t="s">
        <v>772</v>
      </c>
      <c r="AA2179" s="210">
        <f t="shared" si="152"/>
        <v>44700</v>
      </c>
      <c r="AB2179" s="9">
        <v>30</v>
      </c>
      <c r="AC2179" s="9">
        <v>7</v>
      </c>
      <c r="AD2179" s="17">
        <v>45778</v>
      </c>
      <c r="AE2179" s="56">
        <v>1300</v>
      </c>
      <c r="AF2179" s="56"/>
      <c r="AG2179" s="9" t="s">
        <v>134</v>
      </c>
      <c r="AH2179" s="17">
        <v>45791</v>
      </c>
      <c r="AI2179" s="17"/>
      <c r="AJ2179" s="17"/>
      <c r="AK2179" s="22" t="s">
        <v>1308</v>
      </c>
      <c r="AL2179" s="22">
        <v>1300</v>
      </c>
      <c r="AM2179" s="22"/>
      <c r="AN2179" s="22" t="s">
        <v>1333</v>
      </c>
      <c r="AO2179" s="22"/>
      <c r="AP2179" s="22"/>
      <c r="AQ2179" s="22"/>
      <c r="AR2179" s="22"/>
      <c r="AW2179" s="42">
        <v>45791</v>
      </c>
      <c r="AX2179" s="36">
        <v>4164</v>
      </c>
      <c r="AY2179" s="36"/>
      <c r="AZ2179" s="36"/>
      <c r="BA2179" s="93">
        <v>1300</v>
      </c>
      <c r="BD2179" s="9"/>
      <c r="CS2179" s="11">
        <f t="shared" si="153"/>
        <v>1300</v>
      </c>
      <c r="CT2179" s="22">
        <f t="shared" si="154"/>
        <v>1300</v>
      </c>
      <c r="CU2179" s="22">
        <f t="shared" si="155"/>
        <v>0</v>
      </c>
      <c r="CV2179" s="26">
        <f t="shared" si="151"/>
        <v>0</v>
      </c>
    </row>
    <row r="2180" spans="1:101" x14ac:dyDescent="0.2">
      <c r="A2180" s="9" t="s">
        <v>522</v>
      </c>
      <c r="B2180" s="2">
        <v>111</v>
      </c>
      <c r="C2180" s="3" t="s">
        <v>95</v>
      </c>
      <c r="D2180" s="3" t="s">
        <v>96</v>
      </c>
      <c r="E2180" s="2"/>
      <c r="F2180" s="2"/>
      <c r="G2180" s="2" t="s">
        <v>80</v>
      </c>
      <c r="H2180" s="2">
        <v>1</v>
      </c>
      <c r="I2180" s="8">
        <v>139.91999999999999</v>
      </c>
      <c r="J2180" s="8">
        <v>47499</v>
      </c>
      <c r="K2180" s="3">
        <v>0</v>
      </c>
      <c r="L2180" s="3" t="s">
        <v>3</v>
      </c>
      <c r="M2180" s="9" t="s">
        <v>0</v>
      </c>
      <c r="N2180" s="9" t="s">
        <v>45</v>
      </c>
      <c r="O2180" s="9" t="s">
        <v>549</v>
      </c>
      <c r="P2180" s="9" t="s">
        <v>0</v>
      </c>
      <c r="Q2180" s="30" t="s">
        <v>46</v>
      </c>
      <c r="R2180" s="9" t="s">
        <v>550</v>
      </c>
      <c r="S2180" s="9" t="s">
        <v>158</v>
      </c>
      <c r="T2180" s="10" t="s">
        <v>80</v>
      </c>
      <c r="U2180" s="10">
        <v>1</v>
      </c>
      <c r="V2180" s="10">
        <v>139.91999999999999</v>
      </c>
      <c r="W2180" s="10" t="s">
        <v>710</v>
      </c>
      <c r="X2180" s="17">
        <v>45378</v>
      </c>
      <c r="Y2180" s="17">
        <v>45621</v>
      </c>
      <c r="Z2180" s="19" t="s">
        <v>772</v>
      </c>
      <c r="AA2180" s="210">
        <f t="shared" si="152"/>
        <v>44700</v>
      </c>
      <c r="AB2180" s="9">
        <v>30</v>
      </c>
      <c r="AC2180" s="9">
        <v>8</v>
      </c>
      <c r="AD2180" s="17">
        <v>45809</v>
      </c>
      <c r="AE2180" s="56">
        <v>1300</v>
      </c>
      <c r="AF2180" s="56"/>
      <c r="AG2180" s="9" t="s">
        <v>134</v>
      </c>
      <c r="AH2180" s="17">
        <v>45818</v>
      </c>
      <c r="AI2180" s="17"/>
      <c r="AJ2180" s="17"/>
      <c r="AK2180" s="22" t="s">
        <v>1311</v>
      </c>
      <c r="AL2180" s="22">
        <v>1300</v>
      </c>
      <c r="AM2180" s="22"/>
      <c r="AN2180" s="22" t="s">
        <v>1336</v>
      </c>
      <c r="AO2180" s="22"/>
      <c r="AP2180" s="22"/>
      <c r="AQ2180" s="22"/>
      <c r="AR2180" s="22"/>
      <c r="AW2180" s="42">
        <v>45819</v>
      </c>
      <c r="AX2180" s="36">
        <v>4285</v>
      </c>
      <c r="AY2180" s="36"/>
      <c r="AZ2180" s="36"/>
      <c r="BA2180" s="93">
        <v>1300</v>
      </c>
      <c r="BD2180" s="9"/>
      <c r="CS2180" s="11">
        <f t="shared" si="153"/>
        <v>1300</v>
      </c>
      <c r="CT2180" s="22">
        <f t="shared" si="154"/>
        <v>1300</v>
      </c>
      <c r="CU2180" s="22">
        <f t="shared" si="155"/>
        <v>0</v>
      </c>
      <c r="CV2180" s="26">
        <f t="shared" si="151"/>
        <v>0</v>
      </c>
    </row>
    <row r="2181" spans="1:101" x14ac:dyDescent="0.2">
      <c r="A2181" s="9" t="s">
        <v>522</v>
      </c>
      <c r="B2181" s="2">
        <v>111</v>
      </c>
      <c r="C2181" s="3" t="s">
        <v>95</v>
      </c>
      <c r="D2181" s="3" t="s">
        <v>96</v>
      </c>
      <c r="E2181" s="2"/>
      <c r="F2181" s="2"/>
      <c r="G2181" s="2" t="s">
        <v>80</v>
      </c>
      <c r="H2181" s="2">
        <v>1</v>
      </c>
      <c r="I2181" s="8">
        <v>139.91999999999999</v>
      </c>
      <c r="J2181" s="8">
        <v>47499</v>
      </c>
      <c r="K2181" s="3">
        <v>0</v>
      </c>
      <c r="L2181" s="3" t="s">
        <v>3</v>
      </c>
      <c r="M2181" s="9" t="s">
        <v>0</v>
      </c>
      <c r="N2181" s="9" t="s">
        <v>45</v>
      </c>
      <c r="O2181" s="9" t="s">
        <v>549</v>
      </c>
      <c r="P2181" s="9" t="s">
        <v>0</v>
      </c>
      <c r="Q2181" s="30" t="s">
        <v>46</v>
      </c>
      <c r="R2181" s="9" t="s">
        <v>550</v>
      </c>
      <c r="S2181" s="9" t="s">
        <v>158</v>
      </c>
      <c r="T2181" s="10" t="s">
        <v>80</v>
      </c>
      <c r="U2181" s="10">
        <v>1</v>
      </c>
      <c r="V2181" s="10">
        <v>139.91999999999999</v>
      </c>
      <c r="W2181" s="10" t="s">
        <v>710</v>
      </c>
      <c r="X2181" s="17">
        <v>45378</v>
      </c>
      <c r="Y2181" s="17">
        <v>45621</v>
      </c>
      <c r="Z2181" s="19" t="s">
        <v>772</v>
      </c>
      <c r="AA2181" s="210">
        <f t="shared" si="152"/>
        <v>44700</v>
      </c>
      <c r="AB2181" s="9">
        <v>30</v>
      </c>
      <c r="AC2181" s="9">
        <v>9</v>
      </c>
      <c r="AD2181" s="17">
        <v>45839</v>
      </c>
      <c r="AE2181" s="56">
        <v>1300</v>
      </c>
      <c r="AF2181" s="56"/>
      <c r="AG2181" s="9" t="s">
        <v>134</v>
      </c>
      <c r="AH2181" s="17">
        <v>45854</v>
      </c>
      <c r="AI2181" s="17"/>
      <c r="AJ2181" s="17"/>
      <c r="AK2181" s="22" t="s">
        <v>1314</v>
      </c>
      <c r="AL2181" s="22">
        <v>1300</v>
      </c>
      <c r="AM2181" s="22"/>
      <c r="AN2181" s="22" t="s">
        <v>1339</v>
      </c>
      <c r="AO2181" s="22"/>
      <c r="AP2181" s="22"/>
      <c r="AQ2181" s="22"/>
      <c r="AR2181" s="22"/>
      <c r="AW2181" s="17">
        <v>45855</v>
      </c>
      <c r="AX2181" s="9">
        <v>4432</v>
      </c>
      <c r="BA2181" s="22">
        <v>1300</v>
      </c>
      <c r="BB2181" s="11" t="s">
        <v>1348</v>
      </c>
      <c r="BD2181" s="9"/>
      <c r="CS2181" s="11">
        <f t="shared" si="153"/>
        <v>1300</v>
      </c>
      <c r="CT2181" s="22">
        <f t="shared" si="154"/>
        <v>1300</v>
      </c>
      <c r="CU2181" s="22">
        <f t="shared" si="155"/>
        <v>0</v>
      </c>
      <c r="CV2181" s="26">
        <f t="shared" si="151"/>
        <v>0</v>
      </c>
    </row>
    <row r="2182" spans="1:101" x14ac:dyDescent="0.2">
      <c r="A2182" s="9" t="s">
        <v>522</v>
      </c>
      <c r="B2182" s="2">
        <v>111</v>
      </c>
      <c r="C2182" s="3" t="s">
        <v>95</v>
      </c>
      <c r="D2182" s="3" t="s">
        <v>96</v>
      </c>
      <c r="E2182" s="2"/>
      <c r="F2182" s="2"/>
      <c r="G2182" s="2" t="s">
        <v>80</v>
      </c>
      <c r="H2182" s="2">
        <v>1</v>
      </c>
      <c r="I2182" s="8">
        <v>139.91999999999999</v>
      </c>
      <c r="J2182" s="8">
        <v>47499</v>
      </c>
      <c r="K2182" s="3">
        <v>0</v>
      </c>
      <c r="L2182" s="3" t="s">
        <v>3</v>
      </c>
      <c r="M2182" s="9" t="s">
        <v>0</v>
      </c>
      <c r="N2182" s="9" t="s">
        <v>45</v>
      </c>
      <c r="O2182" s="9" t="s">
        <v>549</v>
      </c>
      <c r="P2182" s="9" t="s">
        <v>0</v>
      </c>
      <c r="Q2182" s="30" t="s">
        <v>46</v>
      </c>
      <c r="R2182" s="9" t="s">
        <v>550</v>
      </c>
      <c r="S2182" s="9" t="s">
        <v>158</v>
      </c>
      <c r="T2182" s="10" t="s">
        <v>80</v>
      </c>
      <c r="U2182" s="10">
        <v>1</v>
      </c>
      <c r="V2182" s="10">
        <v>139.91999999999999</v>
      </c>
      <c r="W2182" s="10" t="s">
        <v>710</v>
      </c>
      <c r="X2182" s="17">
        <v>45378</v>
      </c>
      <c r="Y2182" s="17">
        <v>45621</v>
      </c>
      <c r="Z2182" s="19" t="s">
        <v>772</v>
      </c>
      <c r="AA2182" s="210">
        <f t="shared" si="152"/>
        <v>44700</v>
      </c>
      <c r="AB2182" s="9">
        <v>30</v>
      </c>
      <c r="AC2182" s="9">
        <v>10</v>
      </c>
      <c r="AD2182" s="17">
        <v>45863</v>
      </c>
      <c r="AE2182" s="56">
        <v>1300</v>
      </c>
      <c r="AF2182" s="56"/>
      <c r="AG2182" s="9" t="s">
        <v>134</v>
      </c>
      <c r="AH2182" s="17">
        <v>45863</v>
      </c>
      <c r="AI2182" s="17"/>
      <c r="AJ2182" s="17"/>
      <c r="AK2182" s="22" t="s">
        <v>1317</v>
      </c>
      <c r="AL2182" s="22">
        <v>5000</v>
      </c>
      <c r="AM2182" s="22"/>
      <c r="AN2182" s="22" t="s">
        <v>1342</v>
      </c>
      <c r="AO2182" s="22"/>
      <c r="AP2182" s="22"/>
      <c r="AQ2182" s="22"/>
      <c r="AR2182" s="22"/>
      <c r="AW2182" s="17">
        <v>45868</v>
      </c>
      <c r="AX2182" s="9">
        <v>4480</v>
      </c>
      <c r="BA2182" s="86">
        <v>5000</v>
      </c>
      <c r="BB2182" s="11" t="s">
        <v>1348</v>
      </c>
      <c r="BD2182" s="9"/>
      <c r="CS2182" s="11">
        <f t="shared" si="153"/>
        <v>5000</v>
      </c>
      <c r="CT2182" s="22">
        <f t="shared" si="154"/>
        <v>5000</v>
      </c>
      <c r="CU2182" s="22">
        <f t="shared" si="155"/>
        <v>0</v>
      </c>
      <c r="CV2182" s="26">
        <f t="shared" si="151"/>
        <v>-3700</v>
      </c>
      <c r="CW2182" s="9" t="s">
        <v>3508</v>
      </c>
    </row>
    <row r="2183" spans="1:101" x14ac:dyDescent="0.2">
      <c r="A2183" s="9" t="s">
        <v>522</v>
      </c>
      <c r="B2183" s="2">
        <v>111</v>
      </c>
      <c r="C2183" s="3" t="s">
        <v>95</v>
      </c>
      <c r="D2183" s="3" t="s">
        <v>96</v>
      </c>
      <c r="E2183" s="2"/>
      <c r="F2183" s="2"/>
      <c r="G2183" s="2" t="s">
        <v>80</v>
      </c>
      <c r="H2183" s="2">
        <v>1</v>
      </c>
      <c r="I2183" s="8">
        <v>139.91999999999999</v>
      </c>
      <c r="J2183" s="8">
        <v>47499</v>
      </c>
      <c r="K2183" s="3">
        <v>0</v>
      </c>
      <c r="L2183" s="3" t="s">
        <v>3</v>
      </c>
      <c r="M2183" s="9" t="s">
        <v>0</v>
      </c>
      <c r="N2183" s="9" t="s">
        <v>45</v>
      </c>
      <c r="O2183" s="9" t="s">
        <v>549</v>
      </c>
      <c r="P2183" s="9" t="s">
        <v>0</v>
      </c>
      <c r="Q2183" s="30" t="s">
        <v>46</v>
      </c>
      <c r="R2183" s="9" t="s">
        <v>550</v>
      </c>
      <c r="S2183" s="9" t="s">
        <v>158</v>
      </c>
      <c r="T2183" s="10" t="s">
        <v>80</v>
      </c>
      <c r="U2183" s="10">
        <v>1</v>
      </c>
      <c r="V2183" s="10">
        <v>139.91999999999999</v>
      </c>
      <c r="W2183" s="10" t="s">
        <v>710</v>
      </c>
      <c r="X2183" s="17">
        <v>45378</v>
      </c>
      <c r="Y2183" s="17">
        <v>45621</v>
      </c>
      <c r="Z2183" s="19" t="s">
        <v>772</v>
      </c>
      <c r="AA2183" s="210">
        <f t="shared" si="152"/>
        <v>44700</v>
      </c>
      <c r="AB2183" s="9">
        <v>30</v>
      </c>
      <c r="AC2183" s="9">
        <v>11</v>
      </c>
      <c r="AD2183" s="17">
        <v>45869</v>
      </c>
      <c r="AE2183" s="56">
        <v>20000</v>
      </c>
      <c r="AF2183" s="56"/>
      <c r="AG2183" s="9" t="s">
        <v>134</v>
      </c>
      <c r="AH2183" s="17">
        <v>45869</v>
      </c>
      <c r="AI2183" s="17"/>
      <c r="AJ2183" s="17"/>
      <c r="AK2183" s="22" t="s">
        <v>1318</v>
      </c>
      <c r="AL2183" s="22">
        <v>20000</v>
      </c>
      <c r="AM2183" s="22"/>
      <c r="AN2183" s="22" t="s">
        <v>1343</v>
      </c>
      <c r="AO2183" s="22"/>
      <c r="AP2183" s="22"/>
      <c r="AQ2183" s="22"/>
      <c r="AR2183" s="22"/>
      <c r="AW2183" s="17">
        <v>45870</v>
      </c>
      <c r="AX2183" s="9">
        <v>4498</v>
      </c>
      <c r="BA2183" s="86">
        <v>20000</v>
      </c>
      <c r="BB2183" s="11" t="s">
        <v>1348</v>
      </c>
      <c r="BD2183" s="9"/>
      <c r="CS2183" s="11">
        <f t="shared" si="153"/>
        <v>20000</v>
      </c>
      <c r="CT2183" s="22">
        <f t="shared" si="154"/>
        <v>20000</v>
      </c>
      <c r="CU2183" s="22">
        <f t="shared" si="155"/>
        <v>0</v>
      </c>
      <c r="CV2183" s="26">
        <f t="shared" si="151"/>
        <v>0</v>
      </c>
    </row>
    <row r="2184" spans="1:101" x14ac:dyDescent="0.2">
      <c r="A2184" s="9" t="s">
        <v>522</v>
      </c>
      <c r="B2184" s="2">
        <v>111</v>
      </c>
      <c r="C2184" s="3" t="s">
        <v>95</v>
      </c>
      <c r="D2184" s="3" t="s">
        <v>96</v>
      </c>
      <c r="E2184" s="2"/>
      <c r="F2184" s="2"/>
      <c r="G2184" s="2" t="s">
        <v>80</v>
      </c>
      <c r="H2184" s="2">
        <v>1</v>
      </c>
      <c r="I2184" s="8">
        <v>139.91999999999999</v>
      </c>
      <c r="J2184" s="8">
        <v>47499</v>
      </c>
      <c r="K2184" s="3">
        <v>0</v>
      </c>
      <c r="L2184" s="3" t="s">
        <v>3</v>
      </c>
      <c r="M2184" s="9" t="s">
        <v>0</v>
      </c>
      <c r="N2184" s="9" t="s">
        <v>45</v>
      </c>
      <c r="O2184" s="9" t="s">
        <v>549</v>
      </c>
      <c r="P2184" s="9" t="s">
        <v>0</v>
      </c>
      <c r="Q2184" s="30" t="s">
        <v>46</v>
      </c>
      <c r="R2184" s="9" t="s">
        <v>550</v>
      </c>
      <c r="S2184" s="9" t="s">
        <v>552</v>
      </c>
      <c r="V2184" s="10">
        <v>12.5</v>
      </c>
      <c r="W2184" s="10" t="s">
        <v>710</v>
      </c>
      <c r="X2184" s="17">
        <v>45378</v>
      </c>
      <c r="Y2184" s="17">
        <v>45621</v>
      </c>
      <c r="Z2184" s="19" t="s">
        <v>772</v>
      </c>
      <c r="AA2184" s="210">
        <f t="shared" ref="AA2184:AA2205" si="156">5000-1294</f>
        <v>3706</v>
      </c>
      <c r="AB2184" s="9">
        <v>30</v>
      </c>
      <c r="AC2184" s="9">
        <v>0</v>
      </c>
      <c r="AD2184" s="17">
        <v>45378</v>
      </c>
      <c r="AE2184" s="56">
        <v>1000</v>
      </c>
      <c r="AF2184" s="56"/>
      <c r="AG2184" s="9" t="s">
        <v>134</v>
      </c>
      <c r="AH2184" s="17">
        <v>45378</v>
      </c>
      <c r="AI2184" s="17"/>
      <c r="AJ2184" s="17"/>
      <c r="AK2184" s="9" t="s">
        <v>553</v>
      </c>
      <c r="AL2184" s="22">
        <v>1000</v>
      </c>
      <c r="AM2184" s="22"/>
      <c r="AN2184" s="22" t="s">
        <v>1290</v>
      </c>
      <c r="AO2184" s="22"/>
      <c r="AP2184" s="22"/>
      <c r="AQ2184" s="22"/>
      <c r="AR2184" s="22"/>
      <c r="AS2184" s="22"/>
      <c r="AT2184" s="22"/>
      <c r="AU2184" s="22"/>
      <c r="AV2184" s="22"/>
      <c r="AW2184" s="42">
        <v>45378</v>
      </c>
      <c r="AX2184" s="36">
        <v>34951</v>
      </c>
      <c r="AY2184" s="36">
        <v>3730</v>
      </c>
      <c r="AZ2184" s="36">
        <v>3.73</v>
      </c>
      <c r="BA2184" s="40">
        <f>+AY2184/AZ2184</f>
        <v>1000</v>
      </c>
      <c r="BB2184" s="22"/>
      <c r="BC2184" s="17"/>
      <c r="BD2184" s="9"/>
      <c r="BG2184" s="86"/>
      <c r="BH2184" s="86"/>
      <c r="CS2184" s="11">
        <f t="shared" si="153"/>
        <v>1000</v>
      </c>
      <c r="CT2184" s="22">
        <f t="shared" si="154"/>
        <v>1000</v>
      </c>
      <c r="CU2184" s="22">
        <f t="shared" si="155"/>
        <v>0</v>
      </c>
      <c r="CV2184" s="26">
        <f t="shared" si="151"/>
        <v>0</v>
      </c>
    </row>
    <row r="2185" spans="1:101" x14ac:dyDescent="0.2">
      <c r="A2185" s="9" t="s">
        <v>522</v>
      </c>
      <c r="B2185" s="2">
        <v>111</v>
      </c>
      <c r="C2185" s="3" t="s">
        <v>95</v>
      </c>
      <c r="D2185" s="3" t="s">
        <v>96</v>
      </c>
      <c r="E2185" s="2"/>
      <c r="F2185" s="2"/>
      <c r="G2185" s="2" t="s">
        <v>80</v>
      </c>
      <c r="H2185" s="2">
        <v>1</v>
      </c>
      <c r="I2185" s="8">
        <v>139.91999999999999</v>
      </c>
      <c r="J2185" s="8">
        <v>47499</v>
      </c>
      <c r="K2185" s="3">
        <v>0</v>
      </c>
      <c r="L2185" s="3" t="s">
        <v>3</v>
      </c>
      <c r="M2185" s="9" t="s">
        <v>0</v>
      </c>
      <c r="N2185" s="9" t="s">
        <v>45</v>
      </c>
      <c r="O2185" s="9" t="s">
        <v>549</v>
      </c>
      <c r="P2185" s="9" t="s">
        <v>0</v>
      </c>
      <c r="Q2185" s="30" t="s">
        <v>46</v>
      </c>
      <c r="R2185" s="9" t="s">
        <v>550</v>
      </c>
      <c r="S2185" s="9" t="s">
        <v>552</v>
      </c>
      <c r="V2185" s="10">
        <v>12.5</v>
      </c>
      <c r="W2185" s="10" t="s">
        <v>710</v>
      </c>
      <c r="X2185" s="17">
        <v>45378</v>
      </c>
      <c r="Y2185" s="17">
        <v>45621</v>
      </c>
      <c r="Z2185" s="19" t="s">
        <v>772</v>
      </c>
      <c r="AA2185" s="210">
        <f t="shared" si="156"/>
        <v>3706</v>
      </c>
      <c r="AB2185" s="9">
        <v>30</v>
      </c>
      <c r="AC2185" s="9">
        <v>1</v>
      </c>
      <c r="AD2185" s="17">
        <v>45597</v>
      </c>
      <c r="AE2185" s="56">
        <v>134</v>
      </c>
      <c r="AF2185" s="56"/>
      <c r="AG2185" s="9" t="s">
        <v>134</v>
      </c>
      <c r="AH2185" s="17">
        <v>45622</v>
      </c>
      <c r="AI2185" s="17"/>
      <c r="AJ2185" s="17"/>
      <c r="AK2185" s="9" t="s">
        <v>1284</v>
      </c>
      <c r="AL2185" s="22">
        <v>134</v>
      </c>
      <c r="AM2185" s="22"/>
      <c r="AN2185" s="22" t="s">
        <v>1292</v>
      </c>
      <c r="AO2185" s="22"/>
      <c r="AP2185" s="22"/>
      <c r="AQ2185" s="22"/>
      <c r="AR2185" s="22"/>
      <c r="AS2185" s="22"/>
      <c r="AT2185" s="22"/>
      <c r="AU2185" s="22"/>
      <c r="AV2185" s="22"/>
      <c r="AW2185" s="42">
        <v>45623</v>
      </c>
      <c r="AX2185" s="36">
        <v>3445</v>
      </c>
      <c r="AY2185" s="36"/>
      <c r="AZ2185" s="36"/>
      <c r="BA2185" s="40">
        <v>134</v>
      </c>
      <c r="BB2185" s="22"/>
      <c r="BD2185" s="9"/>
      <c r="CS2185" s="11">
        <f t="shared" si="153"/>
        <v>134</v>
      </c>
      <c r="CT2185" s="22">
        <f t="shared" si="154"/>
        <v>134</v>
      </c>
      <c r="CU2185" s="22">
        <f t="shared" si="155"/>
        <v>0</v>
      </c>
      <c r="CV2185" s="26">
        <f t="shared" si="151"/>
        <v>0</v>
      </c>
    </row>
    <row r="2186" spans="1:101" x14ac:dyDescent="0.2">
      <c r="A2186" s="9" t="s">
        <v>522</v>
      </c>
      <c r="B2186" s="2">
        <v>111</v>
      </c>
      <c r="C2186" s="3" t="s">
        <v>95</v>
      </c>
      <c r="D2186" s="3" t="s">
        <v>96</v>
      </c>
      <c r="E2186" s="2"/>
      <c r="F2186" s="2"/>
      <c r="G2186" s="2" t="s">
        <v>80</v>
      </c>
      <c r="H2186" s="2">
        <v>1</v>
      </c>
      <c r="I2186" s="8">
        <v>139.91999999999999</v>
      </c>
      <c r="J2186" s="8">
        <v>47499</v>
      </c>
      <c r="K2186" s="3">
        <v>0</v>
      </c>
      <c r="L2186" s="3" t="s">
        <v>3</v>
      </c>
      <c r="M2186" s="9" t="s">
        <v>0</v>
      </c>
      <c r="N2186" s="9" t="s">
        <v>45</v>
      </c>
      <c r="O2186" s="9" t="s">
        <v>549</v>
      </c>
      <c r="P2186" s="9" t="s">
        <v>0</v>
      </c>
      <c r="Q2186" s="30" t="s">
        <v>46</v>
      </c>
      <c r="R2186" s="9" t="s">
        <v>550</v>
      </c>
      <c r="S2186" s="9" t="s">
        <v>552</v>
      </c>
      <c r="V2186" s="10">
        <v>12.5</v>
      </c>
      <c r="W2186" s="10" t="s">
        <v>710</v>
      </c>
      <c r="X2186" s="17">
        <v>45378</v>
      </c>
      <c r="Y2186" s="17">
        <v>45621</v>
      </c>
      <c r="Z2186" s="19" t="s">
        <v>772</v>
      </c>
      <c r="AA2186" s="210">
        <f t="shared" si="156"/>
        <v>3706</v>
      </c>
      <c r="AB2186" s="9">
        <v>30</v>
      </c>
      <c r="AC2186" s="9">
        <v>2</v>
      </c>
      <c r="AD2186" s="17">
        <v>45627</v>
      </c>
      <c r="AE2186" s="56">
        <v>134</v>
      </c>
      <c r="AF2186" s="56"/>
      <c r="AG2186" s="9" t="s">
        <v>134</v>
      </c>
      <c r="AH2186" s="17">
        <v>45636</v>
      </c>
      <c r="AI2186" s="17"/>
      <c r="AJ2186" s="17"/>
      <c r="AK2186" s="9" t="s">
        <v>1287</v>
      </c>
      <c r="AL2186" s="22">
        <v>134</v>
      </c>
      <c r="AM2186" s="22"/>
      <c r="AN2186" s="22" t="s">
        <v>1295</v>
      </c>
      <c r="AO2186" s="22"/>
      <c r="AP2186" s="22"/>
      <c r="AQ2186" s="22"/>
      <c r="AR2186" s="22"/>
      <c r="AS2186" s="22"/>
      <c r="AT2186" s="22"/>
      <c r="AU2186" s="22"/>
      <c r="AV2186" s="22"/>
      <c r="AW2186" s="42">
        <v>45636</v>
      </c>
      <c r="AX2186" s="36">
        <v>3492</v>
      </c>
      <c r="AY2186" s="36"/>
      <c r="AZ2186" s="36"/>
      <c r="BA2186" s="93">
        <v>134</v>
      </c>
      <c r="BB2186" s="22"/>
      <c r="BD2186" s="9"/>
      <c r="CS2186" s="11">
        <f t="shared" si="153"/>
        <v>134</v>
      </c>
      <c r="CT2186" s="22">
        <f t="shared" si="154"/>
        <v>134</v>
      </c>
      <c r="CU2186" s="22">
        <f t="shared" si="155"/>
        <v>0</v>
      </c>
      <c r="CV2186" s="26">
        <f t="shared" si="151"/>
        <v>0</v>
      </c>
    </row>
    <row r="2187" spans="1:101" x14ac:dyDescent="0.2">
      <c r="A2187" s="9" t="s">
        <v>522</v>
      </c>
      <c r="B2187" s="2">
        <v>111</v>
      </c>
      <c r="C2187" s="3" t="s">
        <v>95</v>
      </c>
      <c r="D2187" s="3" t="s">
        <v>96</v>
      </c>
      <c r="E2187" s="2"/>
      <c r="F2187" s="2"/>
      <c r="G2187" s="2" t="s">
        <v>80</v>
      </c>
      <c r="H2187" s="2">
        <v>1</v>
      </c>
      <c r="I2187" s="8">
        <v>139.91999999999999</v>
      </c>
      <c r="J2187" s="8">
        <v>47499</v>
      </c>
      <c r="K2187" s="3">
        <v>0</v>
      </c>
      <c r="L2187" s="3" t="s">
        <v>3</v>
      </c>
      <c r="M2187" s="9" t="s">
        <v>0</v>
      </c>
      <c r="N2187" s="9" t="s">
        <v>45</v>
      </c>
      <c r="O2187" s="9" t="s">
        <v>549</v>
      </c>
      <c r="P2187" s="9" t="s">
        <v>0</v>
      </c>
      <c r="Q2187" s="30" t="s">
        <v>46</v>
      </c>
      <c r="R2187" s="9" t="s">
        <v>550</v>
      </c>
      <c r="S2187" s="9" t="s">
        <v>552</v>
      </c>
      <c r="V2187" s="10">
        <v>12.5</v>
      </c>
      <c r="W2187" s="10" t="s">
        <v>710</v>
      </c>
      <c r="X2187" s="17">
        <v>45378</v>
      </c>
      <c r="Y2187" s="17">
        <v>45621</v>
      </c>
      <c r="Z2187" s="19" t="s">
        <v>772</v>
      </c>
      <c r="AA2187" s="210">
        <f t="shared" si="156"/>
        <v>3706</v>
      </c>
      <c r="AB2187" s="9">
        <v>30</v>
      </c>
      <c r="AC2187" s="9">
        <v>3</v>
      </c>
      <c r="AD2187" s="17">
        <v>45658</v>
      </c>
      <c r="AE2187" s="56">
        <v>134</v>
      </c>
      <c r="AF2187" s="56"/>
      <c r="AG2187" s="9" t="s">
        <v>134</v>
      </c>
      <c r="AH2187" s="17">
        <v>45674</v>
      </c>
      <c r="AI2187" s="17"/>
      <c r="AJ2187" s="17"/>
      <c r="AK2187" s="22" t="s">
        <v>1297</v>
      </c>
      <c r="AL2187" s="22">
        <v>134</v>
      </c>
      <c r="AM2187" s="22"/>
      <c r="AN2187" s="22" t="s">
        <v>1322</v>
      </c>
      <c r="AO2187" s="22"/>
      <c r="AP2187" s="22"/>
      <c r="AQ2187" s="22"/>
      <c r="AR2187" s="22"/>
      <c r="AS2187" s="22"/>
      <c r="AT2187" s="22"/>
      <c r="AU2187" s="22"/>
      <c r="AV2187" s="22"/>
      <c r="AW2187" s="42">
        <v>45677</v>
      </c>
      <c r="AX2187" s="36">
        <v>3626</v>
      </c>
      <c r="AY2187" s="36"/>
      <c r="AZ2187" s="36"/>
      <c r="BA2187" s="93">
        <v>134</v>
      </c>
      <c r="BB2187" s="22"/>
      <c r="BD2187" s="9"/>
      <c r="CS2187" s="11">
        <f t="shared" si="153"/>
        <v>134</v>
      </c>
      <c r="CT2187" s="22">
        <f t="shared" si="154"/>
        <v>134</v>
      </c>
      <c r="CU2187" s="22">
        <f t="shared" si="155"/>
        <v>0</v>
      </c>
      <c r="CV2187" s="26">
        <f t="shared" si="151"/>
        <v>0</v>
      </c>
    </row>
    <row r="2188" spans="1:101" x14ac:dyDescent="0.2">
      <c r="A2188" s="9" t="s">
        <v>522</v>
      </c>
      <c r="B2188" s="2">
        <v>111</v>
      </c>
      <c r="C2188" s="3" t="s">
        <v>95</v>
      </c>
      <c r="D2188" s="3" t="s">
        <v>96</v>
      </c>
      <c r="E2188" s="2"/>
      <c r="F2188" s="2"/>
      <c r="G2188" s="2" t="s">
        <v>80</v>
      </c>
      <c r="H2188" s="2">
        <v>1</v>
      </c>
      <c r="I2188" s="8">
        <v>139.91999999999999</v>
      </c>
      <c r="J2188" s="8">
        <v>47499</v>
      </c>
      <c r="K2188" s="3">
        <v>0</v>
      </c>
      <c r="L2188" s="3" t="s">
        <v>3</v>
      </c>
      <c r="M2188" s="9" t="s">
        <v>0</v>
      </c>
      <c r="N2188" s="9" t="s">
        <v>45</v>
      </c>
      <c r="O2188" s="9" t="s">
        <v>549</v>
      </c>
      <c r="P2188" s="9" t="s">
        <v>0</v>
      </c>
      <c r="Q2188" s="30" t="s">
        <v>46</v>
      </c>
      <c r="R2188" s="9" t="s">
        <v>550</v>
      </c>
      <c r="S2188" s="9" t="s">
        <v>552</v>
      </c>
      <c r="V2188" s="10">
        <v>12.5</v>
      </c>
      <c r="W2188" s="10" t="s">
        <v>710</v>
      </c>
      <c r="X2188" s="17">
        <v>45378</v>
      </c>
      <c r="Y2188" s="17">
        <v>45621</v>
      </c>
      <c r="Z2188" s="19" t="s">
        <v>772</v>
      </c>
      <c r="AA2188" s="210">
        <f t="shared" si="156"/>
        <v>3706</v>
      </c>
      <c r="AB2188" s="9">
        <v>30</v>
      </c>
      <c r="AC2188" s="9">
        <v>4</v>
      </c>
      <c r="AD2188" s="17">
        <v>45689</v>
      </c>
      <c r="AE2188" s="56">
        <v>134</v>
      </c>
      <c r="AF2188" s="56"/>
      <c r="AG2188" s="9" t="s">
        <v>134</v>
      </c>
      <c r="AH2188" s="17">
        <v>45694</v>
      </c>
      <c r="AI2188" s="17"/>
      <c r="AJ2188" s="17"/>
      <c r="AK2188" s="22" t="s">
        <v>1300</v>
      </c>
      <c r="AL2188" s="22">
        <v>134</v>
      </c>
      <c r="AM2188" s="22"/>
      <c r="AN2188" s="22" t="s">
        <v>1325</v>
      </c>
      <c r="AO2188" s="22"/>
      <c r="AP2188" s="22"/>
      <c r="AQ2188" s="22"/>
      <c r="AR2188" s="22"/>
      <c r="AS2188" s="22"/>
      <c r="AT2188" s="22"/>
      <c r="AU2188" s="22"/>
      <c r="AV2188" s="22"/>
      <c r="AW2188" s="42">
        <v>45695</v>
      </c>
      <c r="AX2188" s="36">
        <v>3720</v>
      </c>
      <c r="AY2188" s="36"/>
      <c r="AZ2188" s="36"/>
      <c r="BA2188" s="93">
        <v>134</v>
      </c>
      <c r="BB2188" s="22"/>
      <c r="BD2188" s="9"/>
      <c r="CS2188" s="11">
        <f t="shared" si="153"/>
        <v>134</v>
      </c>
      <c r="CT2188" s="22">
        <f t="shared" si="154"/>
        <v>134</v>
      </c>
      <c r="CU2188" s="22">
        <f t="shared" si="155"/>
        <v>0</v>
      </c>
      <c r="CV2188" s="26">
        <f t="shared" si="151"/>
        <v>0</v>
      </c>
    </row>
    <row r="2189" spans="1:101" x14ac:dyDescent="0.2">
      <c r="A2189" s="9" t="s">
        <v>522</v>
      </c>
      <c r="B2189" s="2">
        <v>111</v>
      </c>
      <c r="C2189" s="3" t="s">
        <v>95</v>
      </c>
      <c r="D2189" s="3" t="s">
        <v>96</v>
      </c>
      <c r="E2189" s="2"/>
      <c r="F2189" s="2"/>
      <c r="G2189" s="2" t="s">
        <v>80</v>
      </c>
      <c r="H2189" s="2">
        <v>1</v>
      </c>
      <c r="I2189" s="8">
        <v>139.91999999999999</v>
      </c>
      <c r="J2189" s="8">
        <v>47499</v>
      </c>
      <c r="K2189" s="3">
        <v>0</v>
      </c>
      <c r="L2189" s="3" t="s">
        <v>3</v>
      </c>
      <c r="M2189" s="9" t="s">
        <v>0</v>
      </c>
      <c r="N2189" s="9" t="s">
        <v>45</v>
      </c>
      <c r="O2189" s="9" t="s">
        <v>549</v>
      </c>
      <c r="P2189" s="9" t="s">
        <v>0</v>
      </c>
      <c r="Q2189" s="30" t="s">
        <v>46</v>
      </c>
      <c r="R2189" s="9" t="s">
        <v>550</v>
      </c>
      <c r="S2189" s="9" t="s">
        <v>552</v>
      </c>
      <c r="V2189" s="10">
        <v>12.5</v>
      </c>
      <c r="W2189" s="10" t="s">
        <v>710</v>
      </c>
      <c r="X2189" s="17">
        <v>45378</v>
      </c>
      <c r="Y2189" s="17">
        <v>45621</v>
      </c>
      <c r="Z2189" s="19" t="s">
        <v>772</v>
      </c>
      <c r="AA2189" s="210">
        <f t="shared" si="156"/>
        <v>3706</v>
      </c>
      <c r="AB2189" s="9">
        <v>30</v>
      </c>
      <c r="AC2189" s="9">
        <v>5</v>
      </c>
      <c r="AD2189" s="17">
        <v>45717</v>
      </c>
      <c r="AE2189" s="56">
        <v>134</v>
      </c>
      <c r="AF2189" s="56"/>
      <c r="AG2189" s="9" t="s">
        <v>134</v>
      </c>
      <c r="AH2189" s="17">
        <v>45719</v>
      </c>
      <c r="AI2189" s="17"/>
      <c r="AJ2189" s="17"/>
      <c r="AK2189" s="22" t="s">
        <v>1303</v>
      </c>
      <c r="AL2189" s="22">
        <v>134</v>
      </c>
      <c r="AM2189" s="22"/>
      <c r="AN2189" s="22" t="s">
        <v>1328</v>
      </c>
      <c r="AO2189" s="22"/>
      <c r="AP2189" s="22"/>
      <c r="AQ2189" s="22"/>
      <c r="AR2189" s="22"/>
      <c r="AS2189" s="22"/>
      <c r="AT2189" s="22"/>
      <c r="AU2189" s="22"/>
      <c r="AV2189" s="22"/>
      <c r="AW2189" s="42">
        <v>45720</v>
      </c>
      <c r="AX2189" s="36">
        <v>3836</v>
      </c>
      <c r="AY2189" s="36"/>
      <c r="AZ2189" s="36"/>
      <c r="BA2189" s="93">
        <v>134</v>
      </c>
      <c r="BB2189" s="22"/>
      <c r="BD2189" s="9"/>
      <c r="CS2189" s="11">
        <f t="shared" si="153"/>
        <v>134</v>
      </c>
      <c r="CT2189" s="22">
        <f t="shared" si="154"/>
        <v>134</v>
      </c>
      <c r="CU2189" s="22">
        <f t="shared" si="155"/>
        <v>0</v>
      </c>
      <c r="CV2189" s="26">
        <f t="shared" si="151"/>
        <v>0</v>
      </c>
    </row>
    <row r="2190" spans="1:101" x14ac:dyDescent="0.2">
      <c r="A2190" s="9" t="s">
        <v>522</v>
      </c>
      <c r="B2190" s="2">
        <v>111</v>
      </c>
      <c r="C2190" s="3" t="s">
        <v>95</v>
      </c>
      <c r="D2190" s="3" t="s">
        <v>96</v>
      </c>
      <c r="E2190" s="2"/>
      <c r="F2190" s="2"/>
      <c r="G2190" s="2" t="s">
        <v>80</v>
      </c>
      <c r="H2190" s="2">
        <v>1</v>
      </c>
      <c r="I2190" s="8">
        <v>139.91999999999999</v>
      </c>
      <c r="J2190" s="8">
        <v>47499</v>
      </c>
      <c r="K2190" s="3">
        <v>0</v>
      </c>
      <c r="L2190" s="3" t="s">
        <v>3</v>
      </c>
      <c r="M2190" s="9" t="s">
        <v>0</v>
      </c>
      <c r="N2190" s="9" t="s">
        <v>45</v>
      </c>
      <c r="O2190" s="9" t="s">
        <v>549</v>
      </c>
      <c r="P2190" s="9" t="s">
        <v>0</v>
      </c>
      <c r="Q2190" s="30" t="s">
        <v>46</v>
      </c>
      <c r="R2190" s="9" t="s">
        <v>550</v>
      </c>
      <c r="S2190" s="9" t="s">
        <v>552</v>
      </c>
      <c r="V2190" s="10">
        <v>12.5</v>
      </c>
      <c r="W2190" s="10" t="s">
        <v>710</v>
      </c>
      <c r="X2190" s="17">
        <v>45378</v>
      </c>
      <c r="Y2190" s="17">
        <v>45621</v>
      </c>
      <c r="Z2190" s="19" t="s">
        <v>772</v>
      </c>
      <c r="AA2190" s="210">
        <f t="shared" si="156"/>
        <v>3706</v>
      </c>
      <c r="AB2190" s="9">
        <v>30</v>
      </c>
      <c r="AC2190" s="9">
        <v>6</v>
      </c>
      <c r="AD2190" s="17">
        <v>45748</v>
      </c>
      <c r="AE2190" s="56">
        <v>134</v>
      </c>
      <c r="AF2190" s="56"/>
      <c r="AG2190" s="9" t="s">
        <v>134</v>
      </c>
      <c r="AH2190" s="17">
        <v>45758</v>
      </c>
      <c r="AI2190" s="17"/>
      <c r="AJ2190" s="17"/>
      <c r="AK2190" s="22" t="s">
        <v>1307</v>
      </c>
      <c r="AL2190" s="22">
        <v>134</v>
      </c>
      <c r="AM2190" s="22"/>
      <c r="AN2190" s="22" t="s">
        <v>1332</v>
      </c>
      <c r="AO2190" s="22"/>
      <c r="AP2190" s="22"/>
      <c r="AQ2190" s="22"/>
      <c r="AR2190" s="22"/>
      <c r="AS2190" s="22"/>
      <c r="AT2190" s="22"/>
      <c r="AU2190" s="22"/>
      <c r="AV2190" s="22"/>
      <c r="AW2190" s="42">
        <v>45758</v>
      </c>
      <c r="AX2190" s="36">
        <v>4003</v>
      </c>
      <c r="AY2190" s="36"/>
      <c r="AZ2190" s="36"/>
      <c r="BA2190" s="40">
        <v>134</v>
      </c>
      <c r="BB2190" s="22"/>
      <c r="BD2190" s="9"/>
      <c r="CS2190" s="11">
        <f t="shared" si="153"/>
        <v>134</v>
      </c>
      <c r="CT2190" s="22">
        <f t="shared" si="154"/>
        <v>134</v>
      </c>
      <c r="CU2190" s="22">
        <f t="shared" si="155"/>
        <v>0</v>
      </c>
      <c r="CV2190" s="26">
        <f t="shared" si="151"/>
        <v>0</v>
      </c>
    </row>
    <row r="2191" spans="1:101" x14ac:dyDescent="0.2">
      <c r="A2191" s="9" t="s">
        <v>522</v>
      </c>
      <c r="B2191" s="2">
        <v>111</v>
      </c>
      <c r="C2191" s="3" t="s">
        <v>95</v>
      </c>
      <c r="D2191" s="3" t="s">
        <v>96</v>
      </c>
      <c r="E2191" s="2"/>
      <c r="F2191" s="2"/>
      <c r="G2191" s="2" t="s">
        <v>80</v>
      </c>
      <c r="H2191" s="2">
        <v>1</v>
      </c>
      <c r="I2191" s="8">
        <v>139.91999999999999</v>
      </c>
      <c r="J2191" s="8">
        <v>47499</v>
      </c>
      <c r="K2191" s="3">
        <v>0</v>
      </c>
      <c r="L2191" s="3" t="s">
        <v>3</v>
      </c>
      <c r="M2191" s="9" t="s">
        <v>0</v>
      </c>
      <c r="N2191" s="9" t="s">
        <v>45</v>
      </c>
      <c r="O2191" s="9" t="s">
        <v>549</v>
      </c>
      <c r="P2191" s="9" t="s">
        <v>0</v>
      </c>
      <c r="Q2191" s="30" t="s">
        <v>46</v>
      </c>
      <c r="R2191" s="9" t="s">
        <v>550</v>
      </c>
      <c r="S2191" s="9" t="s">
        <v>552</v>
      </c>
      <c r="V2191" s="10">
        <v>12.5</v>
      </c>
      <c r="W2191" s="10" t="s">
        <v>710</v>
      </c>
      <c r="X2191" s="17">
        <v>45378</v>
      </c>
      <c r="Y2191" s="17">
        <v>45621</v>
      </c>
      <c r="Z2191" s="19" t="s">
        <v>772</v>
      </c>
      <c r="AA2191" s="210">
        <f t="shared" si="156"/>
        <v>3706</v>
      </c>
      <c r="AB2191" s="9">
        <v>30</v>
      </c>
      <c r="AC2191" s="9">
        <v>7</v>
      </c>
      <c r="AD2191" s="17">
        <v>45778</v>
      </c>
      <c r="AE2191" s="56">
        <v>134</v>
      </c>
      <c r="AF2191" s="56"/>
      <c r="AG2191" s="9" t="s">
        <v>134</v>
      </c>
      <c r="AH2191" s="17">
        <v>45791</v>
      </c>
      <c r="AI2191" s="17"/>
      <c r="AJ2191" s="17"/>
      <c r="AK2191" s="22" t="s">
        <v>1309</v>
      </c>
      <c r="AL2191" s="22">
        <v>134</v>
      </c>
      <c r="AM2191" s="22"/>
      <c r="AN2191" s="22" t="s">
        <v>1334</v>
      </c>
      <c r="AO2191" s="22"/>
      <c r="AP2191" s="22"/>
      <c r="AQ2191" s="22"/>
      <c r="AR2191" s="22"/>
      <c r="AS2191" s="22"/>
      <c r="AT2191" s="22"/>
      <c r="AU2191" s="22"/>
      <c r="AV2191" s="22"/>
      <c r="AW2191" s="42">
        <v>45791</v>
      </c>
      <c r="AX2191" s="36">
        <v>4164</v>
      </c>
      <c r="AY2191" s="36"/>
      <c r="AZ2191" s="36"/>
      <c r="BA2191" s="93">
        <v>134</v>
      </c>
      <c r="BB2191" s="22"/>
      <c r="BD2191" s="9"/>
      <c r="CS2191" s="11">
        <f t="shared" si="153"/>
        <v>134</v>
      </c>
      <c r="CT2191" s="22">
        <f t="shared" si="154"/>
        <v>134</v>
      </c>
      <c r="CU2191" s="22">
        <f t="shared" si="155"/>
        <v>0</v>
      </c>
      <c r="CV2191" s="26">
        <f t="shared" si="151"/>
        <v>0</v>
      </c>
    </row>
    <row r="2192" spans="1:101" x14ac:dyDescent="0.2">
      <c r="A2192" s="9" t="s">
        <v>522</v>
      </c>
      <c r="B2192" s="2">
        <v>111</v>
      </c>
      <c r="C2192" s="3" t="s">
        <v>95</v>
      </c>
      <c r="D2192" s="3" t="s">
        <v>96</v>
      </c>
      <c r="E2192" s="2"/>
      <c r="F2192" s="2"/>
      <c r="G2192" s="2" t="s">
        <v>80</v>
      </c>
      <c r="H2192" s="2">
        <v>1</v>
      </c>
      <c r="I2192" s="8">
        <v>139.91999999999999</v>
      </c>
      <c r="J2192" s="8">
        <v>47499</v>
      </c>
      <c r="K2192" s="3">
        <v>0</v>
      </c>
      <c r="L2192" s="3" t="s">
        <v>3</v>
      </c>
      <c r="M2192" s="9" t="s">
        <v>0</v>
      </c>
      <c r="N2192" s="9" t="s">
        <v>45</v>
      </c>
      <c r="O2192" s="9" t="s">
        <v>549</v>
      </c>
      <c r="P2192" s="9" t="s">
        <v>0</v>
      </c>
      <c r="Q2192" s="30" t="s">
        <v>46</v>
      </c>
      <c r="R2192" s="9" t="s">
        <v>550</v>
      </c>
      <c r="S2192" s="9" t="s">
        <v>552</v>
      </c>
      <c r="V2192" s="10">
        <v>12.5</v>
      </c>
      <c r="W2192" s="10" t="s">
        <v>710</v>
      </c>
      <c r="X2192" s="17">
        <v>45378</v>
      </c>
      <c r="Y2192" s="17">
        <v>45621</v>
      </c>
      <c r="Z2192" s="19" t="s">
        <v>772</v>
      </c>
      <c r="AA2192" s="210">
        <f t="shared" si="156"/>
        <v>3706</v>
      </c>
      <c r="AB2192" s="9">
        <v>30</v>
      </c>
      <c r="AC2192" s="9">
        <v>8</v>
      </c>
      <c r="AD2192" s="17">
        <v>45809</v>
      </c>
      <c r="AE2192" s="56">
        <v>134</v>
      </c>
      <c r="AF2192" s="56"/>
      <c r="AG2192" s="9" t="s">
        <v>134</v>
      </c>
      <c r="AH2192" s="17">
        <v>45818</v>
      </c>
      <c r="AI2192" s="17"/>
      <c r="AJ2192" s="17"/>
      <c r="AK2192" s="22" t="s">
        <v>1313</v>
      </c>
      <c r="AL2192" s="22">
        <v>134</v>
      </c>
      <c r="AM2192" s="22"/>
      <c r="AN2192" s="22" t="s">
        <v>1338</v>
      </c>
      <c r="AO2192" s="22"/>
      <c r="AP2192" s="22"/>
      <c r="AQ2192" s="22"/>
      <c r="AR2192" s="22"/>
      <c r="AS2192" s="22"/>
      <c r="AT2192" s="22"/>
      <c r="AU2192" s="22"/>
      <c r="AV2192" s="22"/>
      <c r="AW2192" s="42">
        <v>45819</v>
      </c>
      <c r="AX2192" s="36">
        <v>4285</v>
      </c>
      <c r="AY2192" s="36"/>
      <c r="AZ2192" s="36"/>
      <c r="BA2192" s="93">
        <v>134</v>
      </c>
      <c r="BB2192" s="22"/>
      <c r="BD2192" s="9"/>
      <c r="CS2192" s="11">
        <f t="shared" si="153"/>
        <v>134</v>
      </c>
      <c r="CT2192" s="22">
        <f t="shared" si="154"/>
        <v>134</v>
      </c>
      <c r="CU2192" s="22">
        <f t="shared" si="155"/>
        <v>0</v>
      </c>
      <c r="CV2192" s="26">
        <f t="shared" si="151"/>
        <v>0</v>
      </c>
    </row>
    <row r="2193" spans="1:101" x14ac:dyDescent="0.2">
      <c r="A2193" s="9" t="s">
        <v>522</v>
      </c>
      <c r="B2193" s="2">
        <v>111</v>
      </c>
      <c r="C2193" s="3" t="s">
        <v>95</v>
      </c>
      <c r="D2193" s="3" t="s">
        <v>96</v>
      </c>
      <c r="E2193" s="2"/>
      <c r="F2193" s="2"/>
      <c r="G2193" s="2" t="s">
        <v>80</v>
      </c>
      <c r="H2193" s="2">
        <v>1</v>
      </c>
      <c r="I2193" s="8">
        <v>139.91999999999999</v>
      </c>
      <c r="J2193" s="8">
        <v>47499</v>
      </c>
      <c r="K2193" s="3">
        <v>0</v>
      </c>
      <c r="L2193" s="3" t="s">
        <v>3</v>
      </c>
      <c r="M2193" s="9" t="s">
        <v>0</v>
      </c>
      <c r="N2193" s="9" t="s">
        <v>45</v>
      </c>
      <c r="O2193" s="9" t="s">
        <v>549</v>
      </c>
      <c r="P2193" s="9" t="s">
        <v>0</v>
      </c>
      <c r="Q2193" s="30" t="s">
        <v>46</v>
      </c>
      <c r="R2193" s="9" t="s">
        <v>550</v>
      </c>
      <c r="S2193" s="9" t="s">
        <v>552</v>
      </c>
      <c r="V2193" s="10">
        <v>12.5</v>
      </c>
      <c r="W2193" s="10" t="s">
        <v>710</v>
      </c>
      <c r="X2193" s="17">
        <v>45378</v>
      </c>
      <c r="Y2193" s="17">
        <v>45621</v>
      </c>
      <c r="Z2193" s="19" t="s">
        <v>772</v>
      </c>
      <c r="AA2193" s="210">
        <f t="shared" si="156"/>
        <v>3706</v>
      </c>
      <c r="AB2193" s="9">
        <v>30</v>
      </c>
      <c r="AC2193" s="9">
        <v>9</v>
      </c>
      <c r="AD2193" s="17">
        <v>45839</v>
      </c>
      <c r="AE2193" s="56">
        <v>134</v>
      </c>
      <c r="AF2193" s="56"/>
      <c r="AG2193" s="9" t="s">
        <v>134</v>
      </c>
      <c r="AH2193" s="17">
        <v>45854</v>
      </c>
      <c r="AI2193" s="17"/>
      <c r="AJ2193" s="17"/>
      <c r="AK2193" s="22" t="s">
        <v>1315</v>
      </c>
      <c r="AL2193" s="22">
        <v>134</v>
      </c>
      <c r="AM2193" s="22"/>
      <c r="AN2193" s="22" t="s">
        <v>1340</v>
      </c>
      <c r="AO2193" s="22"/>
      <c r="AP2193" s="22"/>
      <c r="AQ2193" s="22"/>
      <c r="AR2193" s="22"/>
      <c r="AS2193" s="22"/>
      <c r="AT2193" s="22"/>
      <c r="AU2193" s="22"/>
      <c r="AV2193" s="22"/>
      <c r="AW2193" s="17">
        <v>45855</v>
      </c>
      <c r="AX2193" s="9">
        <v>4432</v>
      </c>
      <c r="BA2193" s="22">
        <v>134</v>
      </c>
      <c r="BB2193" s="11" t="s">
        <v>1348</v>
      </c>
      <c r="BD2193" s="9"/>
      <c r="CS2193" s="11">
        <f t="shared" si="153"/>
        <v>134</v>
      </c>
      <c r="CT2193" s="22">
        <f t="shared" si="154"/>
        <v>134</v>
      </c>
      <c r="CU2193" s="22">
        <f t="shared" si="155"/>
        <v>0</v>
      </c>
      <c r="CV2193" s="26">
        <f t="shared" si="151"/>
        <v>0</v>
      </c>
    </row>
    <row r="2194" spans="1:101" x14ac:dyDescent="0.2">
      <c r="A2194" s="9" t="s">
        <v>522</v>
      </c>
      <c r="B2194" s="2">
        <v>111</v>
      </c>
      <c r="C2194" s="3" t="s">
        <v>95</v>
      </c>
      <c r="D2194" s="3" t="s">
        <v>96</v>
      </c>
      <c r="E2194" s="2"/>
      <c r="F2194" s="2"/>
      <c r="G2194" s="2" t="s">
        <v>80</v>
      </c>
      <c r="H2194" s="2">
        <v>1</v>
      </c>
      <c r="I2194" s="8">
        <v>139.91999999999999</v>
      </c>
      <c r="J2194" s="8">
        <v>47499</v>
      </c>
      <c r="K2194" s="3">
        <v>0</v>
      </c>
      <c r="L2194" s="3" t="s">
        <v>3</v>
      </c>
      <c r="M2194" s="9" t="s">
        <v>0</v>
      </c>
      <c r="N2194" s="9" t="s">
        <v>45</v>
      </c>
      <c r="O2194" s="9" t="s">
        <v>549</v>
      </c>
      <c r="P2194" s="9" t="s">
        <v>0</v>
      </c>
      <c r="Q2194" s="30" t="s">
        <v>46</v>
      </c>
      <c r="R2194" s="9" t="s">
        <v>550</v>
      </c>
      <c r="S2194" s="9" t="s">
        <v>552</v>
      </c>
      <c r="V2194" s="10">
        <v>12.5</v>
      </c>
      <c r="W2194" s="10" t="s">
        <v>710</v>
      </c>
      <c r="X2194" s="17">
        <v>45378</v>
      </c>
      <c r="Y2194" s="17">
        <v>45621</v>
      </c>
      <c r="Z2194" s="19" t="s">
        <v>772</v>
      </c>
      <c r="AA2194" s="210">
        <f t="shared" si="156"/>
        <v>3706</v>
      </c>
      <c r="AB2194" s="9">
        <v>30</v>
      </c>
      <c r="AC2194" s="9">
        <v>10</v>
      </c>
      <c r="AD2194" s="17">
        <v>45869</v>
      </c>
      <c r="AE2194" s="56">
        <v>1500</v>
      </c>
      <c r="AF2194" s="56"/>
      <c r="AG2194" s="9" t="s">
        <v>134</v>
      </c>
      <c r="AH2194" s="17">
        <v>45869</v>
      </c>
      <c r="AI2194" s="17"/>
      <c r="AJ2194" s="17"/>
      <c r="AK2194" s="9" t="s">
        <v>1319</v>
      </c>
      <c r="AL2194" s="22">
        <v>1500</v>
      </c>
      <c r="AM2194" s="22"/>
      <c r="AN2194" s="22" t="s">
        <v>1344</v>
      </c>
      <c r="AO2194" s="22"/>
      <c r="AP2194" s="22"/>
      <c r="AQ2194" s="22"/>
      <c r="AR2194" s="22"/>
      <c r="AS2194" s="22"/>
      <c r="AT2194" s="22"/>
      <c r="AU2194" s="22"/>
      <c r="AV2194" s="22"/>
      <c r="AW2194" s="17">
        <v>45870</v>
      </c>
      <c r="AX2194" s="9" t="s">
        <v>1349</v>
      </c>
      <c r="BA2194" s="11">
        <v>1500</v>
      </c>
      <c r="BB2194" s="11" t="s">
        <v>1348</v>
      </c>
      <c r="BD2194" s="9"/>
      <c r="CS2194" s="11">
        <f t="shared" si="153"/>
        <v>1500</v>
      </c>
      <c r="CT2194" s="22">
        <f t="shared" si="154"/>
        <v>1500</v>
      </c>
      <c r="CU2194" s="22">
        <f t="shared" si="155"/>
        <v>0</v>
      </c>
      <c r="CV2194" s="26">
        <f t="shared" si="151"/>
        <v>0</v>
      </c>
    </row>
    <row r="2195" spans="1:101" x14ac:dyDescent="0.2">
      <c r="A2195" s="9" t="s">
        <v>522</v>
      </c>
      <c r="B2195" s="2">
        <v>111</v>
      </c>
      <c r="C2195" s="3" t="s">
        <v>95</v>
      </c>
      <c r="D2195" s="3" t="s">
        <v>96</v>
      </c>
      <c r="E2195" s="2"/>
      <c r="F2195" s="2"/>
      <c r="G2195" s="2" t="s">
        <v>80</v>
      </c>
      <c r="H2195" s="2">
        <v>1</v>
      </c>
      <c r="I2195" s="8">
        <v>139.91999999999999</v>
      </c>
      <c r="J2195" s="8">
        <v>47499</v>
      </c>
      <c r="K2195" s="3">
        <v>0</v>
      </c>
      <c r="L2195" s="3" t="s">
        <v>3</v>
      </c>
      <c r="M2195" s="9" t="s">
        <v>0</v>
      </c>
      <c r="N2195" s="75">
        <v>46042218</v>
      </c>
      <c r="O2195" s="9" t="s">
        <v>549</v>
      </c>
      <c r="S2195" s="9" t="s">
        <v>556</v>
      </c>
      <c r="V2195" s="10">
        <v>12.5</v>
      </c>
      <c r="W2195" s="10" t="s">
        <v>710</v>
      </c>
      <c r="X2195" s="17">
        <v>45378</v>
      </c>
      <c r="Y2195" s="17">
        <v>45621</v>
      </c>
      <c r="Z2195" s="19" t="s">
        <v>772</v>
      </c>
      <c r="AA2195" s="210">
        <f t="shared" si="156"/>
        <v>3706</v>
      </c>
      <c r="AB2195" s="9">
        <v>30</v>
      </c>
      <c r="AC2195" s="9">
        <v>0</v>
      </c>
      <c r="AD2195" s="17">
        <v>45597</v>
      </c>
      <c r="AE2195" s="56">
        <v>1000</v>
      </c>
      <c r="AF2195" s="56"/>
      <c r="AG2195" s="27"/>
      <c r="AH2195" s="27"/>
      <c r="AI2195" s="27"/>
      <c r="AJ2195" s="27"/>
      <c r="AK2195" s="27"/>
      <c r="AL2195" s="28"/>
      <c r="AM2195" s="28"/>
      <c r="AN2195" s="28" t="s">
        <v>1347</v>
      </c>
      <c r="AO2195" s="22"/>
      <c r="AP2195" s="22"/>
      <c r="AQ2195" s="22"/>
      <c r="AR2195" s="22"/>
      <c r="AS2195" s="22"/>
      <c r="AT2195" s="22"/>
      <c r="AU2195" s="22"/>
      <c r="AV2195" s="22"/>
      <c r="AW2195" s="9"/>
      <c r="BD2195" s="9"/>
      <c r="CS2195" s="11">
        <f t="shared" si="153"/>
        <v>0</v>
      </c>
      <c r="CT2195" s="22">
        <f t="shared" si="154"/>
        <v>0</v>
      </c>
      <c r="CU2195" s="22">
        <f t="shared" si="155"/>
        <v>0</v>
      </c>
      <c r="CV2195" s="26">
        <f t="shared" si="151"/>
        <v>1000</v>
      </c>
      <c r="CW2195" s="9" t="s">
        <v>3507</v>
      </c>
    </row>
    <row r="2196" spans="1:101" x14ac:dyDescent="0.2">
      <c r="A2196" s="9" t="s">
        <v>522</v>
      </c>
      <c r="B2196" s="2">
        <v>111</v>
      </c>
      <c r="C2196" s="3" t="s">
        <v>95</v>
      </c>
      <c r="D2196" s="3" t="s">
        <v>96</v>
      </c>
      <c r="E2196" s="2"/>
      <c r="F2196" s="2"/>
      <c r="G2196" s="2" t="s">
        <v>80</v>
      </c>
      <c r="H2196" s="2">
        <v>1</v>
      </c>
      <c r="I2196" s="8">
        <v>139.91999999999999</v>
      </c>
      <c r="J2196" s="8">
        <v>47499</v>
      </c>
      <c r="K2196" s="3">
        <v>0</v>
      </c>
      <c r="L2196" s="3" t="s">
        <v>3</v>
      </c>
      <c r="M2196" s="9" t="s">
        <v>0</v>
      </c>
      <c r="N2196" s="9" t="s">
        <v>45</v>
      </c>
      <c r="O2196" s="9" t="s">
        <v>549</v>
      </c>
      <c r="P2196" s="9" t="s">
        <v>0</v>
      </c>
      <c r="Q2196" s="30" t="s">
        <v>46</v>
      </c>
      <c r="R2196" s="9" t="s">
        <v>550</v>
      </c>
      <c r="S2196" s="9" t="s">
        <v>556</v>
      </c>
      <c r="V2196" s="10">
        <v>12.5</v>
      </c>
      <c r="W2196" s="10" t="s">
        <v>710</v>
      </c>
      <c r="X2196" s="17">
        <v>45378</v>
      </c>
      <c r="Y2196" s="17">
        <v>45621</v>
      </c>
      <c r="Z2196" s="19" t="s">
        <v>772</v>
      </c>
      <c r="AA2196" s="210">
        <f t="shared" si="156"/>
        <v>3706</v>
      </c>
      <c r="AB2196" s="9">
        <v>30</v>
      </c>
      <c r="AC2196" s="9">
        <v>1</v>
      </c>
      <c r="AD2196" s="17">
        <v>45597</v>
      </c>
      <c r="AE2196" s="56">
        <v>134</v>
      </c>
      <c r="AF2196" s="56"/>
      <c r="AG2196" s="9" t="s">
        <v>134</v>
      </c>
      <c r="AH2196" s="17">
        <v>45622</v>
      </c>
      <c r="AI2196" s="17"/>
      <c r="AJ2196" s="17"/>
      <c r="AK2196" s="9" t="s">
        <v>1285</v>
      </c>
      <c r="AL2196" s="22">
        <v>134</v>
      </c>
      <c r="AM2196" s="22"/>
      <c r="AN2196" s="22" t="s">
        <v>1293</v>
      </c>
      <c r="AO2196" s="22"/>
      <c r="AP2196" s="22"/>
      <c r="AQ2196" s="22"/>
      <c r="AR2196" s="22"/>
      <c r="AS2196" s="22"/>
      <c r="AT2196" s="22"/>
      <c r="AU2196" s="22"/>
      <c r="AV2196" s="22"/>
      <c r="AW2196" s="42">
        <v>45623</v>
      </c>
      <c r="AX2196" s="36">
        <v>3445</v>
      </c>
      <c r="AY2196" s="36"/>
      <c r="AZ2196" s="36"/>
      <c r="BA2196" s="40">
        <v>134</v>
      </c>
      <c r="BD2196" s="9"/>
      <c r="CS2196" s="11">
        <f t="shared" si="153"/>
        <v>134</v>
      </c>
      <c r="CT2196" s="22">
        <f t="shared" si="154"/>
        <v>134</v>
      </c>
      <c r="CU2196" s="22">
        <f t="shared" si="155"/>
        <v>0</v>
      </c>
      <c r="CV2196" s="26">
        <f t="shared" si="151"/>
        <v>0</v>
      </c>
    </row>
    <row r="2197" spans="1:101" x14ac:dyDescent="0.2">
      <c r="A2197" s="9" t="s">
        <v>522</v>
      </c>
      <c r="B2197" s="2">
        <v>111</v>
      </c>
      <c r="C2197" s="3" t="s">
        <v>95</v>
      </c>
      <c r="D2197" s="3" t="s">
        <v>96</v>
      </c>
      <c r="E2197" s="2"/>
      <c r="F2197" s="2"/>
      <c r="G2197" s="2" t="s">
        <v>80</v>
      </c>
      <c r="H2197" s="2">
        <v>1</v>
      </c>
      <c r="I2197" s="8">
        <v>139.91999999999999</v>
      </c>
      <c r="J2197" s="8">
        <v>47499</v>
      </c>
      <c r="K2197" s="3">
        <v>0</v>
      </c>
      <c r="L2197" s="3" t="s">
        <v>3</v>
      </c>
      <c r="M2197" s="9" t="s">
        <v>0</v>
      </c>
      <c r="N2197" s="9" t="s">
        <v>45</v>
      </c>
      <c r="O2197" s="9" t="s">
        <v>549</v>
      </c>
      <c r="P2197" s="9" t="s">
        <v>0</v>
      </c>
      <c r="Q2197" s="30" t="s">
        <v>46</v>
      </c>
      <c r="R2197" s="9" t="s">
        <v>550</v>
      </c>
      <c r="S2197" s="9" t="s">
        <v>556</v>
      </c>
      <c r="V2197" s="10">
        <v>12.5</v>
      </c>
      <c r="W2197" s="10" t="s">
        <v>710</v>
      </c>
      <c r="X2197" s="17">
        <v>45378</v>
      </c>
      <c r="Y2197" s="17">
        <v>45621</v>
      </c>
      <c r="Z2197" s="19" t="s">
        <v>772</v>
      </c>
      <c r="AA2197" s="210">
        <f t="shared" si="156"/>
        <v>3706</v>
      </c>
      <c r="AB2197" s="9">
        <v>30</v>
      </c>
      <c r="AC2197" s="9">
        <v>2</v>
      </c>
      <c r="AD2197" s="17">
        <v>45627</v>
      </c>
      <c r="AE2197" s="56">
        <v>134</v>
      </c>
      <c r="AF2197" s="56"/>
      <c r="AG2197" s="9" t="s">
        <v>134</v>
      </c>
      <c r="AH2197" s="17">
        <v>45636</v>
      </c>
      <c r="AI2197" s="17"/>
      <c r="AJ2197" s="17"/>
      <c r="AK2197" s="9" t="s">
        <v>1288</v>
      </c>
      <c r="AL2197" s="22">
        <v>134</v>
      </c>
      <c r="AM2197" s="22"/>
      <c r="AN2197" s="22" t="s">
        <v>1296</v>
      </c>
      <c r="AO2197" s="22"/>
      <c r="AP2197" s="22"/>
      <c r="AQ2197" s="22"/>
      <c r="AR2197" s="22"/>
      <c r="AS2197" s="22"/>
      <c r="AT2197" s="22"/>
      <c r="AU2197" s="22"/>
      <c r="AV2197" s="22"/>
      <c r="AW2197" s="42">
        <v>45636</v>
      </c>
      <c r="AX2197" s="36">
        <v>3492</v>
      </c>
      <c r="AY2197" s="36"/>
      <c r="AZ2197" s="36"/>
      <c r="BA2197" s="93">
        <v>134</v>
      </c>
      <c r="BD2197" s="9"/>
      <c r="CS2197" s="11">
        <f t="shared" si="153"/>
        <v>134</v>
      </c>
      <c r="CT2197" s="22">
        <f t="shared" si="154"/>
        <v>134</v>
      </c>
      <c r="CU2197" s="22">
        <f t="shared" si="155"/>
        <v>0</v>
      </c>
      <c r="CV2197" s="26">
        <f t="shared" si="151"/>
        <v>0</v>
      </c>
    </row>
    <row r="2198" spans="1:101" x14ac:dyDescent="0.2">
      <c r="A2198" s="9" t="s">
        <v>522</v>
      </c>
      <c r="B2198" s="2">
        <v>111</v>
      </c>
      <c r="C2198" s="3" t="s">
        <v>95</v>
      </c>
      <c r="D2198" s="3" t="s">
        <v>96</v>
      </c>
      <c r="E2198" s="2"/>
      <c r="F2198" s="2"/>
      <c r="G2198" s="2" t="s">
        <v>80</v>
      </c>
      <c r="H2198" s="2">
        <v>1</v>
      </c>
      <c r="I2198" s="8">
        <v>139.91999999999999</v>
      </c>
      <c r="J2198" s="8">
        <v>47499</v>
      </c>
      <c r="K2198" s="3">
        <v>0</v>
      </c>
      <c r="L2198" s="3" t="s">
        <v>3</v>
      </c>
      <c r="M2198" s="9" t="s">
        <v>0</v>
      </c>
      <c r="N2198" s="9" t="s">
        <v>45</v>
      </c>
      <c r="O2198" s="9" t="s">
        <v>549</v>
      </c>
      <c r="P2198" s="9" t="s">
        <v>0</v>
      </c>
      <c r="Q2198" s="30" t="s">
        <v>46</v>
      </c>
      <c r="R2198" s="9" t="s">
        <v>550</v>
      </c>
      <c r="S2198" s="9" t="s">
        <v>556</v>
      </c>
      <c r="V2198" s="10">
        <v>12.5</v>
      </c>
      <c r="W2198" s="10" t="s">
        <v>710</v>
      </c>
      <c r="X2198" s="17">
        <v>45378</v>
      </c>
      <c r="Y2198" s="17">
        <v>45621</v>
      </c>
      <c r="Z2198" s="19" t="s">
        <v>772</v>
      </c>
      <c r="AA2198" s="210">
        <f t="shared" si="156"/>
        <v>3706</v>
      </c>
      <c r="AB2198" s="9">
        <v>30</v>
      </c>
      <c r="AC2198" s="9">
        <v>3</v>
      </c>
      <c r="AD2198" s="17">
        <v>45658</v>
      </c>
      <c r="AE2198" s="56">
        <v>134</v>
      </c>
      <c r="AF2198" s="56"/>
      <c r="AG2198" s="9" t="s">
        <v>134</v>
      </c>
      <c r="AH2198" s="17">
        <v>45674</v>
      </c>
      <c r="AI2198" s="17"/>
      <c r="AJ2198" s="17"/>
      <c r="AK2198" s="22" t="s">
        <v>1298</v>
      </c>
      <c r="AL2198" s="22">
        <v>134</v>
      </c>
      <c r="AM2198" s="22"/>
      <c r="AN2198" s="22" t="s">
        <v>1323</v>
      </c>
      <c r="AO2198" s="22"/>
      <c r="AP2198" s="22"/>
      <c r="AQ2198" s="22"/>
      <c r="AR2198" s="22"/>
      <c r="AS2198" s="22"/>
      <c r="AT2198" s="22"/>
      <c r="AU2198" s="22"/>
      <c r="AV2198" s="22"/>
      <c r="AW2198" s="42">
        <v>45677</v>
      </c>
      <c r="AX2198" s="36">
        <v>3626</v>
      </c>
      <c r="AY2198" s="36"/>
      <c r="AZ2198" s="36"/>
      <c r="BA2198" s="93">
        <v>134</v>
      </c>
      <c r="BB2198" s="22"/>
      <c r="BD2198" s="9"/>
      <c r="CS2198" s="11">
        <f t="shared" si="153"/>
        <v>134</v>
      </c>
      <c r="CT2198" s="22">
        <f t="shared" si="154"/>
        <v>134</v>
      </c>
      <c r="CU2198" s="22">
        <f t="shared" si="155"/>
        <v>0</v>
      </c>
      <c r="CV2198" s="26">
        <f t="shared" si="151"/>
        <v>0</v>
      </c>
    </row>
    <row r="2199" spans="1:101" x14ac:dyDescent="0.2">
      <c r="A2199" s="9" t="s">
        <v>522</v>
      </c>
      <c r="B2199" s="2">
        <v>111</v>
      </c>
      <c r="C2199" s="3" t="s">
        <v>95</v>
      </c>
      <c r="D2199" s="3" t="s">
        <v>96</v>
      </c>
      <c r="E2199" s="2"/>
      <c r="F2199" s="2"/>
      <c r="G2199" s="2" t="s">
        <v>80</v>
      </c>
      <c r="H2199" s="2">
        <v>1</v>
      </c>
      <c r="I2199" s="8">
        <v>139.91999999999999</v>
      </c>
      <c r="J2199" s="8">
        <v>47499</v>
      </c>
      <c r="K2199" s="3">
        <v>0</v>
      </c>
      <c r="L2199" s="3" t="s">
        <v>3</v>
      </c>
      <c r="M2199" s="9" t="s">
        <v>0</v>
      </c>
      <c r="N2199" s="9" t="s">
        <v>45</v>
      </c>
      <c r="O2199" s="9" t="s">
        <v>549</v>
      </c>
      <c r="P2199" s="9" t="s">
        <v>0</v>
      </c>
      <c r="Q2199" s="30" t="s">
        <v>46</v>
      </c>
      <c r="R2199" s="9" t="s">
        <v>550</v>
      </c>
      <c r="S2199" s="9" t="s">
        <v>556</v>
      </c>
      <c r="V2199" s="10">
        <v>12.5</v>
      </c>
      <c r="W2199" s="10" t="s">
        <v>710</v>
      </c>
      <c r="X2199" s="17">
        <v>45378</v>
      </c>
      <c r="Y2199" s="17">
        <v>45621</v>
      </c>
      <c r="Z2199" s="19" t="s">
        <v>772</v>
      </c>
      <c r="AA2199" s="210">
        <f t="shared" si="156"/>
        <v>3706</v>
      </c>
      <c r="AB2199" s="9">
        <v>30</v>
      </c>
      <c r="AC2199" s="9">
        <v>4</v>
      </c>
      <c r="AD2199" s="17">
        <v>45689</v>
      </c>
      <c r="AE2199" s="56">
        <v>134</v>
      </c>
      <c r="AF2199" s="56"/>
      <c r="AG2199" s="9" t="s">
        <v>134</v>
      </c>
      <c r="AH2199" s="17">
        <v>45694</v>
      </c>
      <c r="AI2199" s="17"/>
      <c r="AJ2199" s="17"/>
      <c r="AK2199" s="22" t="s">
        <v>1301</v>
      </c>
      <c r="AL2199" s="22">
        <v>134</v>
      </c>
      <c r="AM2199" s="22"/>
      <c r="AN2199" s="22" t="s">
        <v>1326</v>
      </c>
      <c r="AO2199" s="22"/>
      <c r="AP2199" s="22"/>
      <c r="AQ2199" s="22"/>
      <c r="AR2199" s="22"/>
      <c r="AS2199" s="22"/>
      <c r="AT2199" s="22"/>
      <c r="AU2199" s="22"/>
      <c r="AV2199" s="22"/>
      <c r="AW2199" s="42">
        <v>45695</v>
      </c>
      <c r="AX2199" s="36">
        <v>3720</v>
      </c>
      <c r="AY2199" s="36"/>
      <c r="AZ2199" s="36"/>
      <c r="BA2199" s="93">
        <v>134</v>
      </c>
      <c r="BB2199" s="22"/>
      <c r="BD2199" s="9"/>
      <c r="CS2199" s="11">
        <f t="shared" si="153"/>
        <v>134</v>
      </c>
      <c r="CT2199" s="22">
        <f t="shared" si="154"/>
        <v>134</v>
      </c>
      <c r="CU2199" s="22">
        <f t="shared" si="155"/>
        <v>0</v>
      </c>
      <c r="CV2199" s="26">
        <f t="shared" si="151"/>
        <v>0</v>
      </c>
    </row>
    <row r="2200" spans="1:101" x14ac:dyDescent="0.2">
      <c r="A2200" s="9" t="s">
        <v>522</v>
      </c>
      <c r="B2200" s="2">
        <v>111</v>
      </c>
      <c r="C2200" s="3" t="s">
        <v>95</v>
      </c>
      <c r="D2200" s="3" t="s">
        <v>96</v>
      </c>
      <c r="E2200" s="2"/>
      <c r="F2200" s="2"/>
      <c r="G2200" s="2" t="s">
        <v>80</v>
      </c>
      <c r="H2200" s="2">
        <v>1</v>
      </c>
      <c r="I2200" s="8">
        <v>139.91999999999999</v>
      </c>
      <c r="J2200" s="8">
        <v>47499</v>
      </c>
      <c r="K2200" s="3">
        <v>0</v>
      </c>
      <c r="L2200" s="3" t="s">
        <v>3</v>
      </c>
      <c r="M2200" s="9" t="s">
        <v>0</v>
      </c>
      <c r="N2200" s="9" t="s">
        <v>45</v>
      </c>
      <c r="O2200" s="9" t="s">
        <v>549</v>
      </c>
      <c r="P2200" s="9" t="s">
        <v>0</v>
      </c>
      <c r="Q2200" s="30" t="s">
        <v>46</v>
      </c>
      <c r="R2200" s="9" t="s">
        <v>550</v>
      </c>
      <c r="S2200" s="9" t="s">
        <v>556</v>
      </c>
      <c r="V2200" s="10">
        <v>12.5</v>
      </c>
      <c r="W2200" s="10" t="s">
        <v>710</v>
      </c>
      <c r="X2200" s="17">
        <v>45378</v>
      </c>
      <c r="Y2200" s="17">
        <v>45621</v>
      </c>
      <c r="Z2200" s="19" t="s">
        <v>772</v>
      </c>
      <c r="AA2200" s="210">
        <f t="shared" si="156"/>
        <v>3706</v>
      </c>
      <c r="AB2200" s="9">
        <v>30</v>
      </c>
      <c r="AC2200" s="9">
        <v>5</v>
      </c>
      <c r="AD2200" s="17">
        <v>45717</v>
      </c>
      <c r="AE2200" s="56">
        <v>134</v>
      </c>
      <c r="AF2200" s="56"/>
      <c r="AG2200" s="9" t="s">
        <v>134</v>
      </c>
      <c r="AH2200" s="17">
        <v>45719</v>
      </c>
      <c r="AI2200" s="17"/>
      <c r="AJ2200" s="17"/>
      <c r="AK2200" s="22" t="s">
        <v>1304</v>
      </c>
      <c r="AL2200" s="22">
        <v>134</v>
      </c>
      <c r="AM2200" s="22"/>
      <c r="AN2200" s="22" t="s">
        <v>1329</v>
      </c>
      <c r="AO2200" s="22"/>
      <c r="AP2200" s="22"/>
      <c r="AQ2200" s="22"/>
      <c r="AR2200" s="22"/>
      <c r="AS2200" s="22"/>
      <c r="AT2200" s="22"/>
      <c r="AU2200" s="22"/>
      <c r="AV2200" s="22"/>
      <c r="AW2200" s="42">
        <v>45720</v>
      </c>
      <c r="AX2200" s="36">
        <v>3836</v>
      </c>
      <c r="AY2200" s="36"/>
      <c r="AZ2200" s="36"/>
      <c r="BA2200" s="93">
        <v>134</v>
      </c>
      <c r="BB2200" s="22"/>
      <c r="BD2200" s="9"/>
      <c r="CS2200" s="11">
        <f t="shared" si="153"/>
        <v>134</v>
      </c>
      <c r="CT2200" s="22">
        <f t="shared" si="154"/>
        <v>134</v>
      </c>
      <c r="CU2200" s="22">
        <f t="shared" si="155"/>
        <v>0</v>
      </c>
      <c r="CV2200" s="26">
        <f t="shared" si="151"/>
        <v>0</v>
      </c>
    </row>
    <row r="2201" spans="1:101" x14ac:dyDescent="0.2">
      <c r="A2201" s="9" t="s">
        <v>522</v>
      </c>
      <c r="B2201" s="2">
        <v>111</v>
      </c>
      <c r="C2201" s="3" t="s">
        <v>95</v>
      </c>
      <c r="D2201" s="3" t="s">
        <v>96</v>
      </c>
      <c r="E2201" s="2"/>
      <c r="F2201" s="2"/>
      <c r="G2201" s="2" t="s">
        <v>80</v>
      </c>
      <c r="H2201" s="2">
        <v>1</v>
      </c>
      <c r="I2201" s="8">
        <v>139.91999999999999</v>
      </c>
      <c r="J2201" s="8">
        <v>47499</v>
      </c>
      <c r="K2201" s="3">
        <v>0</v>
      </c>
      <c r="L2201" s="3" t="s">
        <v>3</v>
      </c>
      <c r="M2201" s="9" t="s">
        <v>0</v>
      </c>
      <c r="N2201" s="9" t="s">
        <v>45</v>
      </c>
      <c r="O2201" s="9" t="s">
        <v>549</v>
      </c>
      <c r="P2201" s="9" t="s">
        <v>0</v>
      </c>
      <c r="Q2201" s="30" t="s">
        <v>46</v>
      </c>
      <c r="R2201" s="9" t="s">
        <v>550</v>
      </c>
      <c r="S2201" s="9" t="s">
        <v>556</v>
      </c>
      <c r="V2201" s="10">
        <v>12.5</v>
      </c>
      <c r="W2201" s="10" t="s">
        <v>710</v>
      </c>
      <c r="X2201" s="17">
        <v>45378</v>
      </c>
      <c r="Y2201" s="17">
        <v>45621</v>
      </c>
      <c r="Z2201" s="19" t="s">
        <v>772</v>
      </c>
      <c r="AA2201" s="210">
        <f t="shared" si="156"/>
        <v>3706</v>
      </c>
      <c r="AB2201" s="9">
        <v>30</v>
      </c>
      <c r="AC2201" s="9">
        <v>6</v>
      </c>
      <c r="AD2201" s="17">
        <v>45748</v>
      </c>
      <c r="AE2201" s="56">
        <v>134</v>
      </c>
      <c r="AF2201" s="56"/>
      <c r="AG2201" s="9" t="s">
        <v>134</v>
      </c>
      <c r="AH2201" s="17">
        <v>45758</v>
      </c>
      <c r="AI2201" s="17"/>
      <c r="AJ2201" s="17"/>
      <c r="AK2201" s="22" t="s">
        <v>1306</v>
      </c>
      <c r="AL2201" s="22">
        <v>134</v>
      </c>
      <c r="AM2201" s="22"/>
      <c r="AN2201" s="22" t="s">
        <v>1331</v>
      </c>
      <c r="AO2201" s="22"/>
      <c r="AP2201" s="22"/>
      <c r="AQ2201" s="22"/>
      <c r="AR2201" s="22"/>
      <c r="AS2201" s="22"/>
      <c r="AT2201" s="22"/>
      <c r="AU2201" s="22"/>
      <c r="AV2201" s="22"/>
      <c r="AW2201" s="42">
        <v>45758</v>
      </c>
      <c r="AX2201" s="36">
        <v>4003</v>
      </c>
      <c r="AY2201" s="36"/>
      <c r="AZ2201" s="36"/>
      <c r="BA2201" s="36">
        <v>134</v>
      </c>
      <c r="BB2201" s="22"/>
      <c r="BD2201" s="9"/>
      <c r="CS2201" s="11">
        <f t="shared" si="153"/>
        <v>134</v>
      </c>
      <c r="CT2201" s="22">
        <f t="shared" si="154"/>
        <v>134</v>
      </c>
      <c r="CU2201" s="22">
        <f t="shared" si="155"/>
        <v>0</v>
      </c>
      <c r="CV2201" s="26">
        <f t="shared" si="151"/>
        <v>0</v>
      </c>
    </row>
    <row r="2202" spans="1:101" x14ac:dyDescent="0.2">
      <c r="A2202" s="9" t="s">
        <v>522</v>
      </c>
      <c r="B2202" s="2">
        <v>111</v>
      </c>
      <c r="C2202" s="3" t="s">
        <v>95</v>
      </c>
      <c r="D2202" s="3" t="s">
        <v>96</v>
      </c>
      <c r="E2202" s="2"/>
      <c r="F2202" s="2"/>
      <c r="G2202" s="2" t="s">
        <v>80</v>
      </c>
      <c r="H2202" s="2">
        <v>1</v>
      </c>
      <c r="I2202" s="8">
        <v>139.91999999999999</v>
      </c>
      <c r="J2202" s="8">
        <v>47499</v>
      </c>
      <c r="K2202" s="3">
        <v>0</v>
      </c>
      <c r="L2202" s="3" t="s">
        <v>3</v>
      </c>
      <c r="M2202" s="9" t="s">
        <v>0</v>
      </c>
      <c r="N2202" s="9" t="s">
        <v>45</v>
      </c>
      <c r="O2202" s="9" t="s">
        <v>549</v>
      </c>
      <c r="P2202" s="9" t="s">
        <v>0</v>
      </c>
      <c r="Q2202" s="30" t="s">
        <v>46</v>
      </c>
      <c r="R2202" s="9" t="s">
        <v>550</v>
      </c>
      <c r="S2202" s="9" t="s">
        <v>556</v>
      </c>
      <c r="V2202" s="10">
        <v>12.5</v>
      </c>
      <c r="W2202" s="10" t="s">
        <v>710</v>
      </c>
      <c r="X2202" s="17">
        <v>45378</v>
      </c>
      <c r="Y2202" s="17">
        <v>45621</v>
      </c>
      <c r="Z2202" s="19" t="s">
        <v>772</v>
      </c>
      <c r="AA2202" s="210">
        <f t="shared" si="156"/>
        <v>3706</v>
      </c>
      <c r="AB2202" s="9">
        <v>30</v>
      </c>
      <c r="AC2202" s="9">
        <v>7</v>
      </c>
      <c r="AD2202" s="17">
        <v>45778</v>
      </c>
      <c r="AE2202" s="56">
        <v>134</v>
      </c>
      <c r="AF2202" s="56"/>
      <c r="AG2202" s="9" t="s">
        <v>134</v>
      </c>
      <c r="AH2202" s="17">
        <v>45791</v>
      </c>
      <c r="AI2202" s="17"/>
      <c r="AJ2202" s="17"/>
      <c r="AK2202" s="22" t="s">
        <v>1310</v>
      </c>
      <c r="AL2202" s="22">
        <v>134</v>
      </c>
      <c r="AM2202" s="22"/>
      <c r="AN2202" s="22" t="s">
        <v>1335</v>
      </c>
      <c r="AO2202" s="22"/>
      <c r="AP2202" s="22"/>
      <c r="AQ2202" s="22"/>
      <c r="AR2202" s="22"/>
      <c r="AS2202" s="22"/>
      <c r="AT2202" s="22"/>
      <c r="AU2202" s="22"/>
      <c r="AV2202" s="22"/>
      <c r="AW2202" s="42">
        <v>45791</v>
      </c>
      <c r="AX2202" s="36">
        <v>4164</v>
      </c>
      <c r="AY2202" s="36"/>
      <c r="AZ2202" s="36"/>
      <c r="BA2202" s="93">
        <v>134</v>
      </c>
      <c r="BB2202" s="22"/>
      <c r="BD2202" s="9"/>
      <c r="CS2202" s="11">
        <f t="shared" si="153"/>
        <v>134</v>
      </c>
      <c r="CT2202" s="22">
        <f t="shared" si="154"/>
        <v>134</v>
      </c>
      <c r="CU2202" s="22">
        <f t="shared" si="155"/>
        <v>0</v>
      </c>
      <c r="CV2202" s="26">
        <f t="shared" si="151"/>
        <v>0</v>
      </c>
    </row>
    <row r="2203" spans="1:101" x14ac:dyDescent="0.2">
      <c r="A2203" s="9" t="s">
        <v>522</v>
      </c>
      <c r="B2203" s="2">
        <v>111</v>
      </c>
      <c r="C2203" s="3" t="s">
        <v>95</v>
      </c>
      <c r="D2203" s="3" t="s">
        <v>96</v>
      </c>
      <c r="E2203" s="2"/>
      <c r="F2203" s="2"/>
      <c r="G2203" s="2" t="s">
        <v>80</v>
      </c>
      <c r="H2203" s="2">
        <v>1</v>
      </c>
      <c r="I2203" s="8">
        <v>139.91999999999999</v>
      </c>
      <c r="J2203" s="8">
        <v>47499</v>
      </c>
      <c r="K2203" s="3">
        <v>0</v>
      </c>
      <c r="L2203" s="3" t="s">
        <v>3</v>
      </c>
      <c r="M2203" s="9" t="s">
        <v>0</v>
      </c>
      <c r="N2203" s="9" t="s">
        <v>45</v>
      </c>
      <c r="O2203" s="9" t="s">
        <v>549</v>
      </c>
      <c r="P2203" s="9" t="s">
        <v>0</v>
      </c>
      <c r="Q2203" s="30" t="s">
        <v>46</v>
      </c>
      <c r="R2203" s="9" t="s">
        <v>550</v>
      </c>
      <c r="S2203" s="9" t="s">
        <v>556</v>
      </c>
      <c r="V2203" s="10">
        <v>12.5</v>
      </c>
      <c r="W2203" s="10" t="s">
        <v>710</v>
      </c>
      <c r="X2203" s="17">
        <v>45378</v>
      </c>
      <c r="Y2203" s="17">
        <v>45621</v>
      </c>
      <c r="Z2203" s="19" t="s">
        <v>772</v>
      </c>
      <c r="AA2203" s="210">
        <f t="shared" si="156"/>
        <v>3706</v>
      </c>
      <c r="AB2203" s="9">
        <v>30</v>
      </c>
      <c r="AC2203" s="9">
        <v>8</v>
      </c>
      <c r="AD2203" s="17">
        <v>45809</v>
      </c>
      <c r="AE2203" s="56">
        <v>134</v>
      </c>
      <c r="AF2203" s="56"/>
      <c r="AG2203" s="9" t="s">
        <v>134</v>
      </c>
      <c r="AH2203" s="17">
        <v>45818</v>
      </c>
      <c r="AI2203" s="17"/>
      <c r="AJ2203" s="17"/>
      <c r="AK2203" s="22" t="s">
        <v>1312</v>
      </c>
      <c r="AL2203" s="22">
        <v>134</v>
      </c>
      <c r="AM2203" s="22"/>
      <c r="AN2203" s="22" t="s">
        <v>1337</v>
      </c>
      <c r="AO2203" s="22"/>
      <c r="AP2203" s="22"/>
      <c r="AQ2203" s="22"/>
      <c r="AR2203" s="22"/>
      <c r="AS2203" s="22"/>
      <c r="AT2203" s="22"/>
      <c r="AU2203" s="22"/>
      <c r="AV2203" s="22"/>
      <c r="AW2203" s="42">
        <v>45819</v>
      </c>
      <c r="AX2203" s="36">
        <v>4285</v>
      </c>
      <c r="AY2203" s="36"/>
      <c r="AZ2203" s="36"/>
      <c r="BA2203" s="93">
        <v>134</v>
      </c>
      <c r="BB2203" s="22"/>
      <c r="BD2203" s="9"/>
      <c r="CS2203" s="11">
        <f t="shared" si="153"/>
        <v>134</v>
      </c>
      <c r="CT2203" s="22">
        <f t="shared" si="154"/>
        <v>134</v>
      </c>
      <c r="CU2203" s="22">
        <f t="shared" si="155"/>
        <v>0</v>
      </c>
      <c r="CV2203" s="26">
        <f t="shared" si="151"/>
        <v>0</v>
      </c>
    </row>
    <row r="2204" spans="1:101" x14ac:dyDescent="0.2">
      <c r="A2204" s="9" t="s">
        <v>522</v>
      </c>
      <c r="B2204" s="2">
        <v>111</v>
      </c>
      <c r="C2204" s="3" t="s">
        <v>95</v>
      </c>
      <c r="D2204" s="3" t="s">
        <v>96</v>
      </c>
      <c r="E2204" s="2"/>
      <c r="F2204" s="2"/>
      <c r="G2204" s="2" t="s">
        <v>80</v>
      </c>
      <c r="H2204" s="2">
        <v>1</v>
      </c>
      <c r="I2204" s="8">
        <v>139.91999999999999</v>
      </c>
      <c r="J2204" s="8">
        <v>47499</v>
      </c>
      <c r="K2204" s="3">
        <v>0</v>
      </c>
      <c r="L2204" s="3" t="s">
        <v>3</v>
      </c>
      <c r="M2204" s="9" t="s">
        <v>0</v>
      </c>
      <c r="N2204" s="9" t="s">
        <v>45</v>
      </c>
      <c r="O2204" s="9" t="s">
        <v>549</v>
      </c>
      <c r="P2204" s="9" t="s">
        <v>0</v>
      </c>
      <c r="Q2204" s="30" t="s">
        <v>46</v>
      </c>
      <c r="R2204" s="9" t="s">
        <v>550</v>
      </c>
      <c r="S2204" s="9" t="s">
        <v>556</v>
      </c>
      <c r="V2204" s="10">
        <v>12.5</v>
      </c>
      <c r="W2204" s="10" t="s">
        <v>710</v>
      </c>
      <c r="X2204" s="17">
        <v>45378</v>
      </c>
      <c r="Y2204" s="17">
        <v>45621</v>
      </c>
      <c r="Z2204" s="19" t="s">
        <v>772</v>
      </c>
      <c r="AA2204" s="210">
        <f t="shared" si="156"/>
        <v>3706</v>
      </c>
      <c r="AB2204" s="9">
        <v>30</v>
      </c>
      <c r="AC2204" s="9">
        <v>9</v>
      </c>
      <c r="AD2204" s="17">
        <v>45839</v>
      </c>
      <c r="AE2204" s="56">
        <v>134</v>
      </c>
      <c r="AF2204" s="56"/>
      <c r="AG2204" s="9" t="s">
        <v>134</v>
      </c>
      <c r="AH2204" s="17">
        <v>45854</v>
      </c>
      <c r="AI2204" s="17"/>
      <c r="AJ2204" s="17"/>
      <c r="AK2204" s="22" t="s">
        <v>1316</v>
      </c>
      <c r="AL2204" s="22">
        <v>134</v>
      </c>
      <c r="AM2204" s="22"/>
      <c r="AN2204" s="22" t="s">
        <v>1341</v>
      </c>
      <c r="AO2204" s="22"/>
      <c r="AP2204" s="22"/>
      <c r="AQ2204" s="22"/>
      <c r="AR2204" s="22"/>
      <c r="AS2204" s="22"/>
      <c r="AT2204" s="22"/>
      <c r="AU2204" s="22"/>
      <c r="AV2204" s="22"/>
      <c r="AW2204" s="17">
        <v>45855</v>
      </c>
      <c r="AX2204" s="9">
        <v>4432</v>
      </c>
      <c r="BA2204" s="22">
        <v>134</v>
      </c>
      <c r="BB2204" s="22" t="s">
        <v>1348</v>
      </c>
      <c r="BD2204" s="9"/>
      <c r="CS2204" s="11">
        <f t="shared" si="153"/>
        <v>134</v>
      </c>
      <c r="CT2204" s="22">
        <f t="shared" si="154"/>
        <v>134</v>
      </c>
      <c r="CU2204" s="22">
        <f t="shared" si="155"/>
        <v>0</v>
      </c>
      <c r="CV2204" s="26">
        <f t="shared" si="151"/>
        <v>0</v>
      </c>
    </row>
    <row r="2205" spans="1:101" x14ac:dyDescent="0.2">
      <c r="A2205" s="9" t="s">
        <v>522</v>
      </c>
      <c r="B2205" s="2">
        <v>111</v>
      </c>
      <c r="C2205" s="3" t="s">
        <v>95</v>
      </c>
      <c r="D2205" s="3" t="s">
        <v>96</v>
      </c>
      <c r="E2205" s="2"/>
      <c r="F2205" s="2"/>
      <c r="G2205" s="2" t="s">
        <v>80</v>
      </c>
      <c r="H2205" s="2">
        <v>1</v>
      </c>
      <c r="I2205" s="8">
        <v>139.91999999999999</v>
      </c>
      <c r="J2205" s="8">
        <v>47499</v>
      </c>
      <c r="K2205" s="3">
        <v>0</v>
      </c>
      <c r="L2205" s="3" t="s">
        <v>3</v>
      </c>
      <c r="M2205" s="9" t="s">
        <v>0</v>
      </c>
      <c r="N2205" s="9" t="s">
        <v>45</v>
      </c>
      <c r="O2205" s="9" t="s">
        <v>549</v>
      </c>
      <c r="P2205" s="9" t="s">
        <v>0</v>
      </c>
      <c r="Q2205" s="30" t="s">
        <v>46</v>
      </c>
      <c r="R2205" s="9" t="s">
        <v>550</v>
      </c>
      <c r="S2205" s="9" t="s">
        <v>556</v>
      </c>
      <c r="V2205" s="10">
        <v>12.5</v>
      </c>
      <c r="W2205" s="10" t="s">
        <v>710</v>
      </c>
      <c r="X2205" s="17">
        <v>45378</v>
      </c>
      <c r="Y2205" s="17">
        <v>45621</v>
      </c>
      <c r="Z2205" s="19" t="s">
        <v>772</v>
      </c>
      <c r="AA2205" s="210">
        <f t="shared" si="156"/>
        <v>3706</v>
      </c>
      <c r="AB2205" s="9">
        <v>30</v>
      </c>
      <c r="AC2205" s="9">
        <v>10</v>
      </c>
      <c r="AD2205" s="17">
        <v>45869</v>
      </c>
      <c r="AE2205" s="56">
        <v>1500</v>
      </c>
      <c r="AF2205" s="56"/>
      <c r="AG2205" s="9" t="s">
        <v>134</v>
      </c>
      <c r="AH2205" s="17">
        <v>45869</v>
      </c>
      <c r="AI2205" s="17"/>
      <c r="AJ2205" s="17"/>
      <c r="AK2205" s="9" t="s">
        <v>1320</v>
      </c>
      <c r="AL2205" s="22">
        <v>1500</v>
      </c>
      <c r="AM2205" s="22"/>
      <c r="AN2205" s="22" t="s">
        <v>1345</v>
      </c>
      <c r="AO2205" s="22"/>
      <c r="AP2205" s="22"/>
      <c r="AQ2205" s="22"/>
      <c r="AR2205" s="22"/>
      <c r="AS2205" s="22"/>
      <c r="AT2205" s="22"/>
      <c r="AU2205" s="22"/>
      <c r="AV2205" s="22"/>
      <c r="AW2205" s="17">
        <v>45870</v>
      </c>
      <c r="AX2205" s="9" t="s">
        <v>1349</v>
      </c>
      <c r="BA2205" s="11">
        <v>1500</v>
      </c>
      <c r="BB2205" s="22" t="s">
        <v>1348</v>
      </c>
      <c r="BD2205" s="9"/>
      <c r="CS2205" s="11">
        <f t="shared" si="153"/>
        <v>1500</v>
      </c>
      <c r="CT2205" s="22">
        <f t="shared" si="154"/>
        <v>1500</v>
      </c>
      <c r="CU2205" s="22">
        <f t="shared" si="155"/>
        <v>0</v>
      </c>
      <c r="CV2205" s="26">
        <f t="shared" si="151"/>
        <v>0</v>
      </c>
    </row>
    <row r="2206" spans="1:101" x14ac:dyDescent="0.2">
      <c r="A2206" s="9" t="s">
        <v>523</v>
      </c>
      <c r="B2206" s="2">
        <v>112</v>
      </c>
      <c r="C2206" s="3" t="s">
        <v>95</v>
      </c>
      <c r="D2206" s="3" t="s">
        <v>96</v>
      </c>
      <c r="E2206" s="2"/>
      <c r="F2206" s="2"/>
      <c r="G2206" s="2" t="s">
        <v>80</v>
      </c>
      <c r="H2206" s="2">
        <v>2</v>
      </c>
      <c r="I2206" s="8">
        <v>130.19999999999999</v>
      </c>
      <c r="J2206" s="8">
        <v>57866</v>
      </c>
      <c r="K2206" s="3">
        <v>0</v>
      </c>
      <c r="L2206" s="3" t="s">
        <v>3</v>
      </c>
      <c r="M2206" s="9" t="s">
        <v>0</v>
      </c>
      <c r="N2206" s="30" t="s">
        <v>46</v>
      </c>
      <c r="O2206" s="9" t="s">
        <v>550</v>
      </c>
      <c r="S2206" s="9" t="s">
        <v>158</v>
      </c>
      <c r="T2206" s="10" t="s">
        <v>80</v>
      </c>
      <c r="U2206" s="10">
        <v>2</v>
      </c>
      <c r="V2206" s="10">
        <v>130.19999999999999</v>
      </c>
      <c r="W2206" s="10" t="s">
        <v>710</v>
      </c>
      <c r="X2206" s="17">
        <v>45378</v>
      </c>
      <c r="Y2206" s="17">
        <v>45378</v>
      </c>
      <c r="Z2206" s="19" t="s">
        <v>772</v>
      </c>
      <c r="AA2206" s="210">
        <v>45000</v>
      </c>
      <c r="AB2206" s="9">
        <v>40</v>
      </c>
      <c r="AC2206" s="9">
        <v>0</v>
      </c>
      <c r="AD2206" s="17">
        <v>45382</v>
      </c>
      <c r="AE2206" s="56">
        <v>5000</v>
      </c>
      <c r="AF2206" s="56"/>
      <c r="AG2206" s="9" t="s">
        <v>134</v>
      </c>
      <c r="AH2206" s="17">
        <v>45382</v>
      </c>
      <c r="AI2206" s="17"/>
      <c r="AJ2206" s="17"/>
      <c r="AK2206" s="9" t="s">
        <v>554</v>
      </c>
      <c r="AL2206" s="11">
        <v>5000</v>
      </c>
      <c r="AN2206" s="11" t="s">
        <v>1281</v>
      </c>
      <c r="AP2206" s="11"/>
      <c r="AQ2206" s="11"/>
      <c r="AR2206" s="11"/>
      <c r="AW2206" s="17">
        <v>45743</v>
      </c>
      <c r="AX2206" s="9" t="s">
        <v>555</v>
      </c>
      <c r="AY2206" s="9">
        <v>18650</v>
      </c>
      <c r="AZ2206" s="9">
        <v>3.73</v>
      </c>
      <c r="BA2206" s="11">
        <f>+AY2206/AZ2206</f>
        <v>5000</v>
      </c>
      <c r="BD2206" s="9"/>
      <c r="CS2206" s="11">
        <f t="shared" si="153"/>
        <v>5000</v>
      </c>
      <c r="CT2206" s="22">
        <f t="shared" si="154"/>
        <v>5000</v>
      </c>
      <c r="CU2206" s="22">
        <f t="shared" si="155"/>
        <v>0</v>
      </c>
      <c r="CV2206" s="26">
        <f t="shared" si="151"/>
        <v>0</v>
      </c>
    </row>
    <row r="2207" spans="1:101" x14ac:dyDescent="0.2">
      <c r="A2207" s="9" t="s">
        <v>523</v>
      </c>
      <c r="B2207" s="2">
        <v>112</v>
      </c>
      <c r="C2207" s="3" t="s">
        <v>95</v>
      </c>
      <c r="D2207" s="3" t="s">
        <v>96</v>
      </c>
      <c r="E2207" s="2"/>
      <c r="F2207" s="2"/>
      <c r="G2207" s="2" t="s">
        <v>80</v>
      </c>
      <c r="H2207" s="2">
        <v>2</v>
      </c>
      <c r="I2207" s="8">
        <v>130.19999999999999</v>
      </c>
      <c r="J2207" s="8">
        <v>57866</v>
      </c>
      <c r="K2207" s="3">
        <v>0</v>
      </c>
      <c r="L2207" s="3" t="s">
        <v>3</v>
      </c>
      <c r="M2207" s="9" t="s">
        <v>0</v>
      </c>
      <c r="N2207" s="30" t="s">
        <v>46</v>
      </c>
      <c r="O2207" s="9" t="s">
        <v>550</v>
      </c>
      <c r="S2207" s="9" t="s">
        <v>158</v>
      </c>
      <c r="T2207" s="10" t="s">
        <v>80</v>
      </c>
      <c r="U2207" s="10">
        <v>2</v>
      </c>
      <c r="V2207" s="10">
        <v>130.19999999999999</v>
      </c>
      <c r="W2207" s="10" t="s">
        <v>710</v>
      </c>
      <c r="X2207" s="17">
        <v>45378</v>
      </c>
      <c r="Y2207" s="17">
        <v>45378</v>
      </c>
      <c r="Z2207" s="19" t="s">
        <v>772</v>
      </c>
      <c r="AA2207" s="210">
        <v>45000</v>
      </c>
      <c r="AB2207" s="9">
        <v>40</v>
      </c>
      <c r="AC2207" s="9">
        <v>1</v>
      </c>
      <c r="AD2207" s="17">
        <v>45444</v>
      </c>
      <c r="AE2207" s="56">
        <v>1000</v>
      </c>
      <c r="AF2207" s="56"/>
      <c r="AP2207" s="11"/>
      <c r="AQ2207" s="11"/>
      <c r="AR2207" s="11"/>
      <c r="AW2207" s="9"/>
      <c r="BD2207" s="9"/>
      <c r="CS2207" s="11">
        <f t="shared" si="153"/>
        <v>0</v>
      </c>
      <c r="CT2207" s="22">
        <f t="shared" si="154"/>
        <v>0</v>
      </c>
      <c r="CU2207" s="22">
        <f t="shared" si="155"/>
        <v>0</v>
      </c>
      <c r="CV2207" s="26">
        <f t="shared" si="151"/>
        <v>1000</v>
      </c>
    </row>
    <row r="2208" spans="1:101" x14ac:dyDescent="0.2">
      <c r="A2208" s="9" t="s">
        <v>523</v>
      </c>
      <c r="B2208" s="2">
        <v>112</v>
      </c>
      <c r="C2208" s="3" t="s">
        <v>95</v>
      </c>
      <c r="D2208" s="3" t="s">
        <v>96</v>
      </c>
      <c r="E2208" s="2"/>
      <c r="F2208" s="2"/>
      <c r="G2208" s="2" t="s">
        <v>80</v>
      </c>
      <c r="H2208" s="2">
        <v>2</v>
      </c>
      <c r="I2208" s="8">
        <v>130.19999999999999</v>
      </c>
      <c r="J2208" s="8">
        <v>57866</v>
      </c>
      <c r="K2208" s="3">
        <v>0</v>
      </c>
      <c r="L2208" s="3" t="s">
        <v>3</v>
      </c>
      <c r="M2208" s="9" t="s">
        <v>0</v>
      </c>
      <c r="N2208" s="30" t="s">
        <v>46</v>
      </c>
      <c r="O2208" s="9" t="s">
        <v>550</v>
      </c>
      <c r="S2208" s="9" t="s">
        <v>158</v>
      </c>
      <c r="T2208" s="10" t="s">
        <v>80</v>
      </c>
      <c r="U2208" s="10">
        <v>2</v>
      </c>
      <c r="V2208" s="10">
        <v>130.19999999999999</v>
      </c>
      <c r="W2208" s="10" t="s">
        <v>710</v>
      </c>
      <c r="X2208" s="17">
        <v>45378</v>
      </c>
      <c r="Y2208" s="17">
        <v>45378</v>
      </c>
      <c r="Z2208" s="19" t="s">
        <v>772</v>
      </c>
      <c r="AA2208" s="210">
        <v>45000</v>
      </c>
      <c r="AB2208" s="9">
        <v>40</v>
      </c>
      <c r="AC2208" s="9">
        <v>2</v>
      </c>
      <c r="AD2208" s="17">
        <v>45474</v>
      </c>
      <c r="AE2208" s="56">
        <v>1000</v>
      </c>
      <c r="AF2208" s="56"/>
      <c r="AP2208" s="11"/>
      <c r="AQ2208" s="11"/>
      <c r="AR2208" s="11"/>
      <c r="AW2208" s="9"/>
      <c r="BD2208" s="9"/>
      <c r="CS2208" s="11">
        <f t="shared" si="153"/>
        <v>0</v>
      </c>
      <c r="CT2208" s="22">
        <f t="shared" si="154"/>
        <v>0</v>
      </c>
      <c r="CU2208" s="22">
        <f t="shared" si="155"/>
        <v>0</v>
      </c>
      <c r="CV2208" s="26">
        <f t="shared" si="151"/>
        <v>1000</v>
      </c>
    </row>
    <row r="2209" spans="1:100" x14ac:dyDescent="0.2">
      <c r="A2209" s="9" t="s">
        <v>523</v>
      </c>
      <c r="B2209" s="2">
        <v>112</v>
      </c>
      <c r="C2209" s="3" t="s">
        <v>95</v>
      </c>
      <c r="D2209" s="3" t="s">
        <v>96</v>
      </c>
      <c r="E2209" s="2"/>
      <c r="F2209" s="2"/>
      <c r="G2209" s="2" t="s">
        <v>80</v>
      </c>
      <c r="H2209" s="2">
        <v>2</v>
      </c>
      <c r="I2209" s="8">
        <v>130.19999999999999</v>
      </c>
      <c r="J2209" s="8">
        <v>57866</v>
      </c>
      <c r="K2209" s="3">
        <v>0</v>
      </c>
      <c r="L2209" s="3" t="s">
        <v>3</v>
      </c>
      <c r="M2209" s="9" t="s">
        <v>0</v>
      </c>
      <c r="N2209" s="30" t="s">
        <v>46</v>
      </c>
      <c r="O2209" s="9" t="s">
        <v>550</v>
      </c>
      <c r="S2209" s="9" t="s">
        <v>158</v>
      </c>
      <c r="T2209" s="10" t="s">
        <v>80</v>
      </c>
      <c r="U2209" s="10">
        <v>2</v>
      </c>
      <c r="V2209" s="10">
        <v>130.19999999999999</v>
      </c>
      <c r="W2209" s="10" t="s">
        <v>710</v>
      </c>
      <c r="X2209" s="17">
        <v>45378</v>
      </c>
      <c r="Y2209" s="17">
        <v>45378</v>
      </c>
      <c r="Z2209" s="19" t="s">
        <v>772</v>
      </c>
      <c r="AA2209" s="210">
        <v>45000</v>
      </c>
      <c r="AB2209" s="9">
        <v>40</v>
      </c>
      <c r="AC2209" s="9">
        <v>3</v>
      </c>
      <c r="AD2209" s="17">
        <v>45505</v>
      </c>
      <c r="AE2209" s="56">
        <v>1000</v>
      </c>
      <c r="AF2209" s="56"/>
      <c r="AP2209" s="11"/>
      <c r="AQ2209" s="11"/>
      <c r="AR2209" s="11"/>
      <c r="AW2209" s="9"/>
      <c r="BD2209" s="9"/>
      <c r="CS2209" s="11">
        <f t="shared" si="153"/>
        <v>0</v>
      </c>
      <c r="CT2209" s="22">
        <f t="shared" si="154"/>
        <v>0</v>
      </c>
      <c r="CU2209" s="22">
        <f t="shared" si="155"/>
        <v>0</v>
      </c>
      <c r="CV2209" s="26">
        <f t="shared" si="151"/>
        <v>1000</v>
      </c>
    </row>
    <row r="2210" spans="1:100" x14ac:dyDescent="0.2">
      <c r="A2210" s="9" t="s">
        <v>523</v>
      </c>
      <c r="B2210" s="2">
        <v>112</v>
      </c>
      <c r="C2210" s="3" t="s">
        <v>95</v>
      </c>
      <c r="D2210" s="3" t="s">
        <v>96</v>
      </c>
      <c r="E2210" s="2"/>
      <c r="F2210" s="2"/>
      <c r="G2210" s="2" t="s">
        <v>80</v>
      </c>
      <c r="H2210" s="2">
        <v>2</v>
      </c>
      <c r="I2210" s="8">
        <v>130.19999999999999</v>
      </c>
      <c r="J2210" s="8">
        <v>57866</v>
      </c>
      <c r="K2210" s="3">
        <v>0</v>
      </c>
      <c r="L2210" s="3" t="s">
        <v>3</v>
      </c>
      <c r="M2210" s="9" t="s">
        <v>0</v>
      </c>
      <c r="N2210" s="30" t="s">
        <v>46</v>
      </c>
      <c r="O2210" s="9" t="s">
        <v>550</v>
      </c>
      <c r="S2210" s="9" t="s">
        <v>158</v>
      </c>
      <c r="T2210" s="10" t="s">
        <v>80</v>
      </c>
      <c r="U2210" s="10">
        <v>2</v>
      </c>
      <c r="V2210" s="10">
        <v>130.19999999999999</v>
      </c>
      <c r="W2210" s="10" t="s">
        <v>710</v>
      </c>
      <c r="X2210" s="17">
        <v>45378</v>
      </c>
      <c r="Y2210" s="17">
        <v>45378</v>
      </c>
      <c r="Z2210" s="19" t="s">
        <v>772</v>
      </c>
      <c r="AA2210" s="210">
        <v>45000</v>
      </c>
      <c r="AB2210" s="9">
        <v>40</v>
      </c>
      <c r="AC2210" s="9">
        <v>4</v>
      </c>
      <c r="AD2210" s="17">
        <v>45536</v>
      </c>
      <c r="AE2210" s="56">
        <v>1000</v>
      </c>
      <c r="AF2210" s="56"/>
      <c r="AP2210" s="11"/>
      <c r="AQ2210" s="11"/>
      <c r="AR2210" s="11"/>
      <c r="AW2210" s="9"/>
      <c r="BD2210" s="9"/>
      <c r="CS2210" s="11">
        <f t="shared" si="153"/>
        <v>0</v>
      </c>
      <c r="CT2210" s="22">
        <f t="shared" si="154"/>
        <v>0</v>
      </c>
      <c r="CU2210" s="22">
        <f t="shared" si="155"/>
        <v>0</v>
      </c>
      <c r="CV2210" s="26">
        <f t="shared" si="151"/>
        <v>1000</v>
      </c>
    </row>
    <row r="2211" spans="1:100" x14ac:dyDescent="0.2">
      <c r="A2211" s="9" t="s">
        <v>523</v>
      </c>
      <c r="B2211" s="2">
        <v>112</v>
      </c>
      <c r="C2211" s="3" t="s">
        <v>95</v>
      </c>
      <c r="D2211" s="3" t="s">
        <v>96</v>
      </c>
      <c r="E2211" s="2"/>
      <c r="F2211" s="2"/>
      <c r="G2211" s="2" t="s">
        <v>80</v>
      </c>
      <c r="H2211" s="2">
        <v>2</v>
      </c>
      <c r="I2211" s="8">
        <v>130.19999999999999</v>
      </c>
      <c r="J2211" s="8">
        <v>57866</v>
      </c>
      <c r="K2211" s="3">
        <v>0</v>
      </c>
      <c r="L2211" s="3" t="s">
        <v>3</v>
      </c>
      <c r="M2211" s="9" t="s">
        <v>0</v>
      </c>
      <c r="N2211" s="30" t="s">
        <v>46</v>
      </c>
      <c r="O2211" s="9" t="s">
        <v>550</v>
      </c>
      <c r="S2211" s="9" t="s">
        <v>158</v>
      </c>
      <c r="T2211" s="10" t="s">
        <v>80</v>
      </c>
      <c r="U2211" s="10">
        <v>2</v>
      </c>
      <c r="V2211" s="10">
        <v>130.19999999999999</v>
      </c>
      <c r="W2211" s="10" t="s">
        <v>710</v>
      </c>
      <c r="X2211" s="17">
        <v>45378</v>
      </c>
      <c r="Y2211" s="17">
        <v>45378</v>
      </c>
      <c r="Z2211" s="19" t="s">
        <v>772</v>
      </c>
      <c r="AA2211" s="210">
        <v>45000</v>
      </c>
      <c r="AB2211" s="9">
        <v>40</v>
      </c>
      <c r="AC2211" s="9">
        <v>5</v>
      </c>
      <c r="AD2211" s="17">
        <v>45566</v>
      </c>
      <c r="AE2211" s="56">
        <v>1000</v>
      </c>
      <c r="AF2211" s="56"/>
      <c r="AP2211" s="11"/>
      <c r="AQ2211" s="11"/>
      <c r="AR2211" s="11"/>
      <c r="AW2211" s="9"/>
      <c r="BD2211" s="9"/>
      <c r="CS2211" s="11">
        <f t="shared" si="153"/>
        <v>0</v>
      </c>
      <c r="CT2211" s="22">
        <f t="shared" si="154"/>
        <v>0</v>
      </c>
      <c r="CU2211" s="22">
        <f t="shared" si="155"/>
        <v>0</v>
      </c>
      <c r="CV2211" s="26">
        <f t="shared" si="151"/>
        <v>1000</v>
      </c>
    </row>
    <row r="2212" spans="1:100" x14ac:dyDescent="0.2">
      <c r="A2212" s="9" t="s">
        <v>523</v>
      </c>
      <c r="B2212" s="2">
        <v>112</v>
      </c>
      <c r="C2212" s="3" t="s">
        <v>95</v>
      </c>
      <c r="D2212" s="3" t="s">
        <v>96</v>
      </c>
      <c r="E2212" s="2"/>
      <c r="F2212" s="2"/>
      <c r="G2212" s="2" t="s">
        <v>80</v>
      </c>
      <c r="H2212" s="2">
        <v>2</v>
      </c>
      <c r="I2212" s="8">
        <v>130.19999999999999</v>
      </c>
      <c r="J2212" s="8">
        <v>57866</v>
      </c>
      <c r="K2212" s="3">
        <v>0</v>
      </c>
      <c r="L2212" s="3" t="s">
        <v>3</v>
      </c>
      <c r="M2212" s="9" t="s">
        <v>0</v>
      </c>
      <c r="N2212" s="30" t="s">
        <v>46</v>
      </c>
      <c r="O2212" s="9" t="s">
        <v>550</v>
      </c>
      <c r="S2212" s="9" t="s">
        <v>158</v>
      </c>
      <c r="T2212" s="10" t="s">
        <v>80</v>
      </c>
      <c r="U2212" s="10">
        <v>2</v>
      </c>
      <c r="V2212" s="10">
        <v>130.19999999999999</v>
      </c>
      <c r="W2212" s="10" t="s">
        <v>710</v>
      </c>
      <c r="X2212" s="17">
        <v>45378</v>
      </c>
      <c r="Y2212" s="17">
        <v>45378</v>
      </c>
      <c r="Z2212" s="19" t="s">
        <v>772</v>
      </c>
      <c r="AA2212" s="210">
        <v>45000</v>
      </c>
      <c r="AB2212" s="9">
        <v>40</v>
      </c>
      <c r="AC2212" s="9">
        <v>6</v>
      </c>
      <c r="AD2212" s="17">
        <v>45597</v>
      </c>
      <c r="AE2212" s="56">
        <v>1000</v>
      </c>
      <c r="AF2212" s="56"/>
      <c r="AP2212" s="11"/>
      <c r="AQ2212" s="11"/>
      <c r="AR2212" s="11"/>
      <c r="AW2212" s="9"/>
      <c r="BD2212" s="9"/>
      <c r="CS2212" s="11">
        <f t="shared" si="153"/>
        <v>0</v>
      </c>
      <c r="CT2212" s="22">
        <f t="shared" si="154"/>
        <v>0</v>
      </c>
      <c r="CU2212" s="22">
        <f t="shared" si="155"/>
        <v>0</v>
      </c>
      <c r="CV2212" s="26">
        <f t="shared" si="151"/>
        <v>1000</v>
      </c>
    </row>
    <row r="2213" spans="1:100" x14ac:dyDescent="0.2">
      <c r="A2213" s="9" t="s">
        <v>523</v>
      </c>
      <c r="B2213" s="2">
        <v>112</v>
      </c>
      <c r="C2213" s="3" t="s">
        <v>95</v>
      </c>
      <c r="D2213" s="3" t="s">
        <v>96</v>
      </c>
      <c r="E2213" s="2"/>
      <c r="F2213" s="2"/>
      <c r="G2213" s="2" t="s">
        <v>80</v>
      </c>
      <c r="H2213" s="2">
        <v>2</v>
      </c>
      <c r="I2213" s="8">
        <v>130.19999999999999</v>
      </c>
      <c r="J2213" s="8">
        <v>57866</v>
      </c>
      <c r="K2213" s="3">
        <v>0</v>
      </c>
      <c r="L2213" s="3" t="s">
        <v>3</v>
      </c>
      <c r="M2213" s="9" t="s">
        <v>0</v>
      </c>
      <c r="N2213" s="30" t="s">
        <v>46</v>
      </c>
      <c r="O2213" s="9" t="s">
        <v>550</v>
      </c>
      <c r="S2213" s="9" t="s">
        <v>158</v>
      </c>
      <c r="T2213" s="10" t="s">
        <v>80</v>
      </c>
      <c r="U2213" s="10">
        <v>2</v>
      </c>
      <c r="V2213" s="10">
        <v>130.19999999999999</v>
      </c>
      <c r="W2213" s="10" t="s">
        <v>710</v>
      </c>
      <c r="X2213" s="17">
        <v>45378</v>
      </c>
      <c r="Y2213" s="17">
        <v>45378</v>
      </c>
      <c r="Z2213" s="19" t="s">
        <v>772</v>
      </c>
      <c r="AA2213" s="210">
        <v>45000</v>
      </c>
      <c r="AB2213" s="9">
        <v>40</v>
      </c>
      <c r="AC2213" s="9">
        <v>7</v>
      </c>
      <c r="AD2213" s="17">
        <v>45627</v>
      </c>
      <c r="AE2213" s="56">
        <v>1000</v>
      </c>
      <c r="AF2213" s="56"/>
      <c r="AP2213" s="11"/>
      <c r="AQ2213" s="11"/>
      <c r="AR2213" s="11"/>
      <c r="AW2213" s="9"/>
      <c r="BD2213" s="9"/>
      <c r="CS2213" s="11">
        <f t="shared" si="153"/>
        <v>0</v>
      </c>
      <c r="CT2213" s="22">
        <f t="shared" si="154"/>
        <v>0</v>
      </c>
      <c r="CU2213" s="22">
        <f t="shared" si="155"/>
        <v>0</v>
      </c>
      <c r="CV2213" s="26">
        <f t="shared" si="151"/>
        <v>1000</v>
      </c>
    </row>
    <row r="2214" spans="1:100" x14ac:dyDescent="0.2">
      <c r="A2214" s="9" t="s">
        <v>523</v>
      </c>
      <c r="B2214" s="2">
        <v>112</v>
      </c>
      <c r="C2214" s="3" t="s">
        <v>95</v>
      </c>
      <c r="D2214" s="3" t="s">
        <v>96</v>
      </c>
      <c r="E2214" s="2"/>
      <c r="F2214" s="2"/>
      <c r="G2214" s="2" t="s">
        <v>80</v>
      </c>
      <c r="H2214" s="2">
        <v>2</v>
      </c>
      <c r="I2214" s="8">
        <v>130.19999999999999</v>
      </c>
      <c r="J2214" s="8">
        <v>57866</v>
      </c>
      <c r="K2214" s="3">
        <v>0</v>
      </c>
      <c r="L2214" s="3" t="s">
        <v>3</v>
      </c>
      <c r="M2214" s="9" t="s">
        <v>0</v>
      </c>
      <c r="N2214" s="30" t="s">
        <v>46</v>
      </c>
      <c r="O2214" s="9" t="s">
        <v>550</v>
      </c>
      <c r="S2214" s="9" t="s">
        <v>158</v>
      </c>
      <c r="T2214" s="10" t="s">
        <v>80</v>
      </c>
      <c r="U2214" s="10">
        <v>2</v>
      </c>
      <c r="V2214" s="10">
        <v>130.19999999999999</v>
      </c>
      <c r="W2214" s="10" t="s">
        <v>710</v>
      </c>
      <c r="X2214" s="17">
        <v>45378</v>
      </c>
      <c r="Y2214" s="17">
        <v>45378</v>
      </c>
      <c r="Z2214" s="19" t="s">
        <v>772</v>
      </c>
      <c r="AA2214" s="210">
        <v>45000</v>
      </c>
      <c r="AB2214" s="9">
        <v>40</v>
      </c>
      <c r="AC2214" s="9">
        <v>8</v>
      </c>
      <c r="AD2214" s="17">
        <v>45658</v>
      </c>
      <c r="AE2214" s="56">
        <v>1000</v>
      </c>
      <c r="AF2214" s="56"/>
      <c r="AP2214" s="11"/>
      <c r="AQ2214" s="11"/>
      <c r="AR2214" s="11"/>
      <c r="AW2214" s="9"/>
      <c r="BD2214" s="9"/>
      <c r="CS2214" s="11">
        <f t="shared" si="153"/>
        <v>0</v>
      </c>
      <c r="CT2214" s="22">
        <f t="shared" si="154"/>
        <v>0</v>
      </c>
      <c r="CU2214" s="22">
        <f t="shared" si="155"/>
        <v>0</v>
      </c>
      <c r="CV2214" s="26">
        <f t="shared" si="151"/>
        <v>1000</v>
      </c>
    </row>
    <row r="2215" spans="1:100" x14ac:dyDescent="0.2">
      <c r="A2215" s="9" t="s">
        <v>523</v>
      </c>
      <c r="B2215" s="2">
        <v>112</v>
      </c>
      <c r="C2215" s="3" t="s">
        <v>95</v>
      </c>
      <c r="D2215" s="3" t="s">
        <v>96</v>
      </c>
      <c r="E2215" s="2"/>
      <c r="F2215" s="2"/>
      <c r="G2215" s="2" t="s">
        <v>80</v>
      </c>
      <c r="H2215" s="2">
        <v>2</v>
      </c>
      <c r="I2215" s="8">
        <v>130.19999999999999</v>
      </c>
      <c r="J2215" s="8">
        <v>57866</v>
      </c>
      <c r="K2215" s="3">
        <v>0</v>
      </c>
      <c r="L2215" s="3" t="s">
        <v>3</v>
      </c>
      <c r="M2215" s="9" t="s">
        <v>0</v>
      </c>
      <c r="N2215" s="30" t="s">
        <v>46</v>
      </c>
      <c r="O2215" s="9" t="s">
        <v>550</v>
      </c>
      <c r="S2215" s="9" t="s">
        <v>158</v>
      </c>
      <c r="T2215" s="10" t="s">
        <v>80</v>
      </c>
      <c r="U2215" s="10">
        <v>2</v>
      </c>
      <c r="V2215" s="10">
        <v>130.19999999999999</v>
      </c>
      <c r="W2215" s="10" t="s">
        <v>710</v>
      </c>
      <c r="X2215" s="17">
        <v>45378</v>
      </c>
      <c r="Y2215" s="17">
        <v>45378</v>
      </c>
      <c r="Z2215" s="19" t="s">
        <v>772</v>
      </c>
      <c r="AA2215" s="210">
        <v>45000</v>
      </c>
      <c r="AB2215" s="9">
        <v>40</v>
      </c>
      <c r="AC2215" s="9">
        <v>9</v>
      </c>
      <c r="AD2215" s="17">
        <v>45689</v>
      </c>
      <c r="AE2215" s="56">
        <v>1000</v>
      </c>
      <c r="AF2215" s="56"/>
      <c r="AP2215" s="11"/>
      <c r="AQ2215" s="11"/>
      <c r="AR2215" s="11"/>
      <c r="AW2215" s="9"/>
      <c r="BD2215" s="9"/>
      <c r="CS2215" s="11">
        <f t="shared" si="153"/>
        <v>0</v>
      </c>
      <c r="CT2215" s="22">
        <f t="shared" si="154"/>
        <v>0</v>
      </c>
      <c r="CU2215" s="22">
        <f t="shared" si="155"/>
        <v>0</v>
      </c>
      <c r="CV2215" s="26">
        <f t="shared" si="151"/>
        <v>1000</v>
      </c>
    </row>
    <row r="2216" spans="1:100" x14ac:dyDescent="0.2">
      <c r="A2216" s="9" t="s">
        <v>523</v>
      </c>
      <c r="B2216" s="2">
        <v>112</v>
      </c>
      <c r="C2216" s="3" t="s">
        <v>95</v>
      </c>
      <c r="D2216" s="3" t="s">
        <v>96</v>
      </c>
      <c r="E2216" s="2"/>
      <c r="F2216" s="2"/>
      <c r="G2216" s="2" t="s">
        <v>80</v>
      </c>
      <c r="H2216" s="2">
        <v>2</v>
      </c>
      <c r="I2216" s="8">
        <v>130.19999999999999</v>
      </c>
      <c r="J2216" s="8">
        <v>57866</v>
      </c>
      <c r="K2216" s="3">
        <v>0</v>
      </c>
      <c r="L2216" s="3" t="s">
        <v>3</v>
      </c>
      <c r="M2216" s="9" t="s">
        <v>0</v>
      </c>
      <c r="N2216" s="30" t="s">
        <v>46</v>
      </c>
      <c r="O2216" s="9" t="s">
        <v>550</v>
      </c>
      <c r="S2216" s="9" t="s">
        <v>158</v>
      </c>
      <c r="T2216" s="10" t="s">
        <v>80</v>
      </c>
      <c r="U2216" s="10">
        <v>2</v>
      </c>
      <c r="V2216" s="10">
        <v>130.19999999999999</v>
      </c>
      <c r="W2216" s="10" t="s">
        <v>710</v>
      </c>
      <c r="X2216" s="17">
        <v>45378</v>
      </c>
      <c r="Y2216" s="17">
        <v>45378</v>
      </c>
      <c r="Z2216" s="19" t="s">
        <v>772</v>
      </c>
      <c r="AA2216" s="210">
        <v>45000</v>
      </c>
      <c r="AB2216" s="9">
        <v>40</v>
      </c>
      <c r="AC2216" s="9">
        <v>10</v>
      </c>
      <c r="AD2216" s="17">
        <v>45717</v>
      </c>
      <c r="AE2216" s="56">
        <v>1000</v>
      </c>
      <c r="AF2216" s="56"/>
      <c r="AP2216" s="11"/>
      <c r="AQ2216" s="11"/>
      <c r="AR2216" s="11"/>
      <c r="AW2216" s="9"/>
      <c r="BD2216" s="9"/>
      <c r="CS2216" s="11">
        <f t="shared" si="153"/>
        <v>0</v>
      </c>
      <c r="CT2216" s="22">
        <f t="shared" si="154"/>
        <v>0</v>
      </c>
      <c r="CU2216" s="22">
        <f t="shared" si="155"/>
        <v>0</v>
      </c>
      <c r="CV2216" s="26">
        <f t="shared" si="151"/>
        <v>1000</v>
      </c>
    </row>
    <row r="2217" spans="1:100" x14ac:dyDescent="0.2">
      <c r="A2217" s="9" t="s">
        <v>523</v>
      </c>
      <c r="B2217" s="2">
        <v>112</v>
      </c>
      <c r="C2217" s="3" t="s">
        <v>95</v>
      </c>
      <c r="D2217" s="3" t="s">
        <v>96</v>
      </c>
      <c r="E2217" s="2"/>
      <c r="F2217" s="2"/>
      <c r="G2217" s="2" t="s">
        <v>80</v>
      </c>
      <c r="H2217" s="2">
        <v>2</v>
      </c>
      <c r="I2217" s="8">
        <v>130.19999999999999</v>
      </c>
      <c r="J2217" s="8">
        <v>57866</v>
      </c>
      <c r="K2217" s="3">
        <v>0</v>
      </c>
      <c r="L2217" s="3" t="s">
        <v>3</v>
      </c>
      <c r="M2217" s="9" t="s">
        <v>0</v>
      </c>
      <c r="N2217" s="30" t="s">
        <v>46</v>
      </c>
      <c r="O2217" s="9" t="s">
        <v>550</v>
      </c>
      <c r="S2217" s="9" t="s">
        <v>158</v>
      </c>
      <c r="T2217" s="10" t="s">
        <v>80</v>
      </c>
      <c r="U2217" s="10">
        <v>2</v>
      </c>
      <c r="V2217" s="10">
        <v>130.19999999999999</v>
      </c>
      <c r="W2217" s="10" t="s">
        <v>710</v>
      </c>
      <c r="X2217" s="17">
        <v>45378</v>
      </c>
      <c r="Y2217" s="17">
        <v>45378</v>
      </c>
      <c r="Z2217" s="19" t="s">
        <v>772</v>
      </c>
      <c r="AA2217" s="210">
        <v>45000</v>
      </c>
      <c r="AB2217" s="9">
        <v>40</v>
      </c>
      <c r="AC2217" s="9">
        <v>11</v>
      </c>
      <c r="AD2217" s="17">
        <v>45748</v>
      </c>
      <c r="AE2217" s="56">
        <v>1000</v>
      </c>
      <c r="AF2217" s="56"/>
      <c r="AP2217" s="11"/>
      <c r="AQ2217" s="11"/>
      <c r="AR2217" s="11"/>
      <c r="AW2217" s="9"/>
      <c r="BD2217" s="9"/>
      <c r="CS2217" s="11">
        <f t="shared" si="153"/>
        <v>0</v>
      </c>
      <c r="CT2217" s="22">
        <f t="shared" si="154"/>
        <v>0</v>
      </c>
      <c r="CU2217" s="22">
        <f t="shared" si="155"/>
        <v>0</v>
      </c>
      <c r="CV2217" s="26">
        <f t="shared" si="151"/>
        <v>1000</v>
      </c>
    </row>
    <row r="2218" spans="1:100" x14ac:dyDescent="0.2">
      <c r="A2218" s="9" t="s">
        <v>523</v>
      </c>
      <c r="B2218" s="2">
        <v>112</v>
      </c>
      <c r="C2218" s="3" t="s">
        <v>95</v>
      </c>
      <c r="D2218" s="3" t="s">
        <v>96</v>
      </c>
      <c r="E2218" s="2"/>
      <c r="F2218" s="2"/>
      <c r="G2218" s="2" t="s">
        <v>80</v>
      </c>
      <c r="H2218" s="2">
        <v>2</v>
      </c>
      <c r="I2218" s="8">
        <v>130.19999999999999</v>
      </c>
      <c r="J2218" s="8">
        <v>57866</v>
      </c>
      <c r="K2218" s="3">
        <v>0</v>
      </c>
      <c r="L2218" s="3" t="s">
        <v>3</v>
      </c>
      <c r="M2218" s="9" t="s">
        <v>0</v>
      </c>
      <c r="N2218" s="30" t="s">
        <v>46</v>
      </c>
      <c r="O2218" s="9" t="s">
        <v>550</v>
      </c>
      <c r="S2218" s="9" t="s">
        <v>158</v>
      </c>
      <c r="T2218" s="10" t="s">
        <v>80</v>
      </c>
      <c r="U2218" s="10">
        <v>2</v>
      </c>
      <c r="V2218" s="10">
        <v>130.19999999999999</v>
      </c>
      <c r="W2218" s="10" t="s">
        <v>710</v>
      </c>
      <c r="X2218" s="17">
        <v>45378</v>
      </c>
      <c r="Y2218" s="17">
        <v>45378</v>
      </c>
      <c r="Z2218" s="19" t="s">
        <v>772</v>
      </c>
      <c r="AA2218" s="210">
        <v>45000</v>
      </c>
      <c r="AB2218" s="9">
        <v>40</v>
      </c>
      <c r="AC2218" s="9">
        <v>12</v>
      </c>
      <c r="AD2218" s="17">
        <v>45778</v>
      </c>
      <c r="AE2218" s="56">
        <v>1000</v>
      </c>
      <c r="AF2218" s="56"/>
      <c r="AP2218" s="11"/>
      <c r="AQ2218" s="11"/>
      <c r="AR2218" s="11"/>
      <c r="AW2218" s="9"/>
      <c r="BD2218" s="9"/>
      <c r="CS2218" s="11">
        <f t="shared" si="153"/>
        <v>0</v>
      </c>
      <c r="CT2218" s="22">
        <f t="shared" si="154"/>
        <v>0</v>
      </c>
      <c r="CU2218" s="22">
        <f t="shared" si="155"/>
        <v>0</v>
      </c>
      <c r="CV2218" s="26">
        <f t="shared" si="151"/>
        <v>1000</v>
      </c>
    </row>
    <row r="2219" spans="1:100" x14ac:dyDescent="0.2">
      <c r="A2219" s="9" t="s">
        <v>523</v>
      </c>
      <c r="B2219" s="2">
        <v>112</v>
      </c>
      <c r="C2219" s="3" t="s">
        <v>95</v>
      </c>
      <c r="D2219" s="3" t="s">
        <v>96</v>
      </c>
      <c r="E2219" s="2"/>
      <c r="F2219" s="2"/>
      <c r="G2219" s="2" t="s">
        <v>80</v>
      </c>
      <c r="H2219" s="2">
        <v>2</v>
      </c>
      <c r="I2219" s="8">
        <v>130.19999999999999</v>
      </c>
      <c r="J2219" s="8">
        <v>57866</v>
      </c>
      <c r="K2219" s="3">
        <v>0</v>
      </c>
      <c r="L2219" s="3" t="s">
        <v>3</v>
      </c>
      <c r="M2219" s="9" t="s">
        <v>0</v>
      </c>
      <c r="N2219" s="30" t="s">
        <v>46</v>
      </c>
      <c r="O2219" s="9" t="s">
        <v>550</v>
      </c>
      <c r="S2219" s="9" t="s">
        <v>158</v>
      </c>
      <c r="T2219" s="10" t="s">
        <v>80</v>
      </c>
      <c r="U2219" s="10">
        <v>2</v>
      </c>
      <c r="V2219" s="10">
        <v>130.19999999999999</v>
      </c>
      <c r="W2219" s="10" t="s">
        <v>710</v>
      </c>
      <c r="X2219" s="17">
        <v>45378</v>
      </c>
      <c r="Y2219" s="17">
        <v>45378</v>
      </c>
      <c r="Z2219" s="19" t="s">
        <v>772</v>
      </c>
      <c r="AA2219" s="210">
        <v>45000</v>
      </c>
      <c r="AB2219" s="9">
        <v>40</v>
      </c>
      <c r="AC2219" s="9">
        <v>13</v>
      </c>
      <c r="AD2219" s="17">
        <v>45809</v>
      </c>
      <c r="AE2219" s="56">
        <v>1000</v>
      </c>
      <c r="AF2219" s="56"/>
      <c r="AP2219" s="11"/>
      <c r="AQ2219" s="11"/>
      <c r="AR2219" s="11"/>
      <c r="AW2219" s="9"/>
      <c r="BD2219" s="9"/>
      <c r="CS2219" s="11">
        <f t="shared" si="153"/>
        <v>0</v>
      </c>
      <c r="CT2219" s="22">
        <f t="shared" si="154"/>
        <v>0</v>
      </c>
      <c r="CU2219" s="22">
        <f t="shared" si="155"/>
        <v>0</v>
      </c>
      <c r="CV2219" s="26">
        <f t="shared" si="151"/>
        <v>1000</v>
      </c>
    </row>
    <row r="2220" spans="1:100" x14ac:dyDescent="0.2">
      <c r="A2220" s="9" t="s">
        <v>523</v>
      </c>
      <c r="B2220" s="2">
        <v>112</v>
      </c>
      <c r="C2220" s="3" t="s">
        <v>95</v>
      </c>
      <c r="D2220" s="3" t="s">
        <v>96</v>
      </c>
      <c r="E2220" s="2"/>
      <c r="F2220" s="2"/>
      <c r="G2220" s="2" t="s">
        <v>80</v>
      </c>
      <c r="H2220" s="2">
        <v>2</v>
      </c>
      <c r="I2220" s="8">
        <v>130.19999999999999</v>
      </c>
      <c r="J2220" s="8">
        <v>57866</v>
      </c>
      <c r="K2220" s="3">
        <v>0</v>
      </c>
      <c r="L2220" s="3" t="s">
        <v>3</v>
      </c>
      <c r="M2220" s="9" t="s">
        <v>0</v>
      </c>
      <c r="N2220" s="30" t="s">
        <v>46</v>
      </c>
      <c r="O2220" s="9" t="s">
        <v>550</v>
      </c>
      <c r="S2220" s="9" t="s">
        <v>158</v>
      </c>
      <c r="T2220" s="10" t="s">
        <v>80</v>
      </c>
      <c r="U2220" s="10">
        <v>2</v>
      </c>
      <c r="V2220" s="10">
        <v>130.19999999999999</v>
      </c>
      <c r="W2220" s="10" t="s">
        <v>710</v>
      </c>
      <c r="X2220" s="17">
        <v>45378</v>
      </c>
      <c r="Y2220" s="17">
        <v>45378</v>
      </c>
      <c r="Z2220" s="19" t="s">
        <v>772</v>
      </c>
      <c r="AA2220" s="210">
        <v>45000</v>
      </c>
      <c r="AB2220" s="9">
        <v>40</v>
      </c>
      <c r="AC2220" s="9">
        <v>14</v>
      </c>
      <c r="AD2220" s="17">
        <v>45839</v>
      </c>
      <c r="AE2220" s="56">
        <v>1000</v>
      </c>
      <c r="AF2220" s="56"/>
      <c r="AP2220" s="11"/>
      <c r="AQ2220" s="11"/>
      <c r="AR2220" s="11"/>
      <c r="AW2220" s="9"/>
      <c r="BD2220" s="9"/>
      <c r="CS2220" s="11">
        <f t="shared" si="153"/>
        <v>0</v>
      </c>
      <c r="CT2220" s="22">
        <f t="shared" si="154"/>
        <v>0</v>
      </c>
      <c r="CU2220" s="22">
        <f t="shared" si="155"/>
        <v>0</v>
      </c>
      <c r="CV2220" s="26">
        <f t="shared" si="151"/>
        <v>1000</v>
      </c>
    </row>
    <row r="2221" spans="1:100" x14ac:dyDescent="0.2">
      <c r="A2221" s="9" t="s">
        <v>523</v>
      </c>
      <c r="B2221" s="2">
        <v>112</v>
      </c>
      <c r="C2221" s="3" t="s">
        <v>95</v>
      </c>
      <c r="D2221" s="3" t="s">
        <v>96</v>
      </c>
      <c r="E2221" s="2"/>
      <c r="F2221" s="2"/>
      <c r="G2221" s="2" t="s">
        <v>80</v>
      </c>
      <c r="H2221" s="2">
        <v>2</v>
      </c>
      <c r="I2221" s="8">
        <v>130.19999999999999</v>
      </c>
      <c r="J2221" s="8">
        <v>57866</v>
      </c>
      <c r="K2221" s="3">
        <v>0</v>
      </c>
      <c r="L2221" s="3" t="s">
        <v>3</v>
      </c>
      <c r="M2221" s="9" t="s">
        <v>0</v>
      </c>
      <c r="N2221" s="30" t="s">
        <v>46</v>
      </c>
      <c r="O2221" s="9" t="s">
        <v>550</v>
      </c>
      <c r="S2221" s="9" t="s">
        <v>158</v>
      </c>
      <c r="T2221" s="10" t="s">
        <v>80</v>
      </c>
      <c r="U2221" s="10">
        <v>2</v>
      </c>
      <c r="V2221" s="10">
        <v>130.19999999999999</v>
      </c>
      <c r="W2221" s="10" t="s">
        <v>710</v>
      </c>
      <c r="X2221" s="17">
        <v>45378</v>
      </c>
      <c r="Y2221" s="17">
        <v>45378</v>
      </c>
      <c r="Z2221" s="19" t="s">
        <v>772</v>
      </c>
      <c r="AA2221" s="210">
        <v>45000</v>
      </c>
      <c r="AB2221" s="9">
        <v>40</v>
      </c>
      <c r="AC2221" s="9">
        <v>15</v>
      </c>
      <c r="AD2221" s="17">
        <v>45870</v>
      </c>
      <c r="AE2221" s="56">
        <v>1000</v>
      </c>
      <c r="AF2221" s="56"/>
      <c r="AP2221" s="11"/>
      <c r="AQ2221" s="11"/>
      <c r="AR2221" s="11"/>
      <c r="AW2221" s="9"/>
      <c r="BD2221" s="9"/>
      <c r="CS2221" s="11">
        <f t="shared" si="153"/>
        <v>0</v>
      </c>
      <c r="CT2221" s="22">
        <f t="shared" si="154"/>
        <v>0</v>
      </c>
      <c r="CU2221" s="22">
        <f t="shared" si="155"/>
        <v>0</v>
      </c>
      <c r="CV2221" s="26">
        <f t="shared" si="151"/>
        <v>1000</v>
      </c>
    </row>
    <row r="2222" spans="1:100" x14ac:dyDescent="0.2">
      <c r="A2222" s="9" t="s">
        <v>523</v>
      </c>
      <c r="B2222" s="2">
        <v>112</v>
      </c>
      <c r="C2222" s="3" t="s">
        <v>95</v>
      </c>
      <c r="D2222" s="3" t="s">
        <v>96</v>
      </c>
      <c r="E2222" s="2"/>
      <c r="F2222" s="2"/>
      <c r="G2222" s="2" t="s">
        <v>80</v>
      </c>
      <c r="H2222" s="2">
        <v>2</v>
      </c>
      <c r="I2222" s="8">
        <v>130.19999999999999</v>
      </c>
      <c r="J2222" s="8">
        <v>57866</v>
      </c>
      <c r="K2222" s="3">
        <v>0</v>
      </c>
      <c r="L2222" s="3" t="s">
        <v>3</v>
      </c>
      <c r="M2222" s="9" t="s">
        <v>0</v>
      </c>
      <c r="N2222" s="30" t="s">
        <v>46</v>
      </c>
      <c r="O2222" s="9" t="s">
        <v>550</v>
      </c>
      <c r="S2222" s="9" t="s">
        <v>158</v>
      </c>
      <c r="T2222" s="10" t="s">
        <v>80</v>
      </c>
      <c r="U2222" s="10">
        <v>2</v>
      </c>
      <c r="V2222" s="10">
        <v>130.19999999999999</v>
      </c>
      <c r="W2222" s="10" t="s">
        <v>710</v>
      </c>
      <c r="X2222" s="17">
        <v>45378</v>
      </c>
      <c r="Y2222" s="17">
        <v>45378</v>
      </c>
      <c r="Z2222" s="19" t="s">
        <v>772</v>
      </c>
      <c r="AA2222" s="210">
        <v>45000</v>
      </c>
      <c r="AB2222" s="9">
        <v>40</v>
      </c>
      <c r="AC2222" s="9">
        <v>16</v>
      </c>
      <c r="AD2222" s="17">
        <v>45901</v>
      </c>
      <c r="AE2222" s="56">
        <v>1000</v>
      </c>
      <c r="AF2222" s="56"/>
      <c r="AP2222" s="11"/>
      <c r="AQ2222" s="11"/>
      <c r="AR2222" s="11"/>
      <c r="AW2222" s="9"/>
      <c r="BD2222" s="9"/>
      <c r="CS2222" s="11">
        <f t="shared" si="153"/>
        <v>0</v>
      </c>
      <c r="CT2222" s="22">
        <f t="shared" si="154"/>
        <v>0</v>
      </c>
      <c r="CU2222" s="22">
        <f t="shared" si="155"/>
        <v>0</v>
      </c>
      <c r="CV2222" s="26">
        <f t="shared" si="151"/>
        <v>1000</v>
      </c>
    </row>
    <row r="2223" spans="1:100" x14ac:dyDescent="0.2">
      <c r="A2223" s="9" t="s">
        <v>523</v>
      </c>
      <c r="B2223" s="2">
        <v>112</v>
      </c>
      <c r="C2223" s="3" t="s">
        <v>95</v>
      </c>
      <c r="D2223" s="3" t="s">
        <v>96</v>
      </c>
      <c r="E2223" s="2"/>
      <c r="F2223" s="2"/>
      <c r="G2223" s="2" t="s">
        <v>80</v>
      </c>
      <c r="H2223" s="2">
        <v>2</v>
      </c>
      <c r="I2223" s="8">
        <v>130.19999999999999</v>
      </c>
      <c r="J2223" s="8">
        <v>57866</v>
      </c>
      <c r="K2223" s="3">
        <v>0</v>
      </c>
      <c r="L2223" s="3" t="s">
        <v>3</v>
      </c>
      <c r="M2223" s="9" t="s">
        <v>0</v>
      </c>
      <c r="N2223" s="30" t="s">
        <v>46</v>
      </c>
      <c r="O2223" s="9" t="s">
        <v>550</v>
      </c>
      <c r="S2223" s="9" t="s">
        <v>158</v>
      </c>
      <c r="T2223" s="10" t="s">
        <v>80</v>
      </c>
      <c r="U2223" s="10">
        <v>2</v>
      </c>
      <c r="V2223" s="10">
        <v>130.19999999999999</v>
      </c>
      <c r="W2223" s="10" t="s">
        <v>710</v>
      </c>
      <c r="X2223" s="17">
        <v>45378</v>
      </c>
      <c r="Y2223" s="17">
        <v>45378</v>
      </c>
      <c r="Z2223" s="19" t="s">
        <v>772</v>
      </c>
      <c r="AA2223" s="210">
        <v>45000</v>
      </c>
      <c r="AB2223" s="9">
        <v>40</v>
      </c>
      <c r="AC2223" s="9">
        <v>17</v>
      </c>
      <c r="AD2223" s="17">
        <v>45931</v>
      </c>
      <c r="AE2223" s="56">
        <v>1000</v>
      </c>
      <c r="AF2223" s="56"/>
      <c r="AP2223" s="11"/>
      <c r="AQ2223" s="11"/>
      <c r="AR2223" s="11"/>
      <c r="AW2223" s="9"/>
      <c r="BD2223" s="9"/>
      <c r="CS2223" s="11">
        <f t="shared" si="153"/>
        <v>0</v>
      </c>
      <c r="CT2223" s="22">
        <f t="shared" si="154"/>
        <v>0</v>
      </c>
      <c r="CU2223" s="22">
        <f t="shared" si="155"/>
        <v>0</v>
      </c>
      <c r="CV2223" s="26">
        <f t="shared" si="151"/>
        <v>1000</v>
      </c>
    </row>
    <row r="2224" spans="1:100" x14ac:dyDescent="0.2">
      <c r="A2224" s="9" t="s">
        <v>523</v>
      </c>
      <c r="B2224" s="2">
        <v>112</v>
      </c>
      <c r="C2224" s="3" t="s">
        <v>95</v>
      </c>
      <c r="D2224" s="3" t="s">
        <v>96</v>
      </c>
      <c r="E2224" s="2"/>
      <c r="F2224" s="2"/>
      <c r="G2224" s="2" t="s">
        <v>80</v>
      </c>
      <c r="H2224" s="2">
        <v>2</v>
      </c>
      <c r="I2224" s="8">
        <v>130.19999999999999</v>
      </c>
      <c r="J2224" s="8">
        <v>57866</v>
      </c>
      <c r="K2224" s="3">
        <v>0</v>
      </c>
      <c r="L2224" s="3" t="s">
        <v>3</v>
      </c>
      <c r="M2224" s="9" t="s">
        <v>0</v>
      </c>
      <c r="N2224" s="30" t="s">
        <v>46</v>
      </c>
      <c r="O2224" s="9" t="s">
        <v>550</v>
      </c>
      <c r="S2224" s="9" t="s">
        <v>158</v>
      </c>
      <c r="T2224" s="10" t="s">
        <v>80</v>
      </c>
      <c r="U2224" s="10">
        <v>2</v>
      </c>
      <c r="V2224" s="10">
        <v>130.19999999999999</v>
      </c>
      <c r="W2224" s="10" t="s">
        <v>710</v>
      </c>
      <c r="X2224" s="17">
        <v>45378</v>
      </c>
      <c r="Y2224" s="17">
        <v>45378</v>
      </c>
      <c r="Z2224" s="19" t="s">
        <v>772</v>
      </c>
      <c r="AA2224" s="210">
        <v>45000</v>
      </c>
      <c r="AB2224" s="9">
        <v>40</v>
      </c>
      <c r="AC2224" s="9">
        <v>18</v>
      </c>
      <c r="AD2224" s="17">
        <v>45962</v>
      </c>
      <c r="AE2224" s="56">
        <v>1000</v>
      </c>
      <c r="AF2224" s="56"/>
      <c r="AP2224" s="11"/>
      <c r="AQ2224" s="11"/>
      <c r="AR2224" s="11"/>
      <c r="AW2224" s="9"/>
      <c r="BD2224" s="9"/>
      <c r="CS2224" s="11">
        <f t="shared" si="153"/>
        <v>0</v>
      </c>
      <c r="CT2224" s="22">
        <f t="shared" si="154"/>
        <v>0</v>
      </c>
      <c r="CU2224" s="22">
        <f t="shared" si="155"/>
        <v>0</v>
      </c>
      <c r="CV2224" s="26">
        <f t="shared" si="151"/>
        <v>1000</v>
      </c>
    </row>
    <row r="2225" spans="1:100" x14ac:dyDescent="0.2">
      <c r="A2225" s="9" t="s">
        <v>523</v>
      </c>
      <c r="B2225" s="2">
        <v>112</v>
      </c>
      <c r="C2225" s="3" t="s">
        <v>95</v>
      </c>
      <c r="D2225" s="3" t="s">
        <v>96</v>
      </c>
      <c r="E2225" s="2"/>
      <c r="F2225" s="2"/>
      <c r="G2225" s="2" t="s">
        <v>80</v>
      </c>
      <c r="H2225" s="2">
        <v>2</v>
      </c>
      <c r="I2225" s="8">
        <v>130.19999999999999</v>
      </c>
      <c r="J2225" s="8">
        <v>57866</v>
      </c>
      <c r="K2225" s="3">
        <v>0</v>
      </c>
      <c r="L2225" s="3" t="s">
        <v>3</v>
      </c>
      <c r="M2225" s="9" t="s">
        <v>0</v>
      </c>
      <c r="N2225" s="30" t="s">
        <v>46</v>
      </c>
      <c r="O2225" s="9" t="s">
        <v>550</v>
      </c>
      <c r="S2225" s="9" t="s">
        <v>158</v>
      </c>
      <c r="T2225" s="10" t="s">
        <v>80</v>
      </c>
      <c r="U2225" s="10">
        <v>2</v>
      </c>
      <c r="V2225" s="10">
        <v>130.19999999999999</v>
      </c>
      <c r="W2225" s="10" t="s">
        <v>710</v>
      </c>
      <c r="X2225" s="17">
        <v>45378</v>
      </c>
      <c r="Y2225" s="17">
        <v>45378</v>
      </c>
      <c r="Z2225" s="19" t="s">
        <v>772</v>
      </c>
      <c r="AA2225" s="210">
        <v>45000</v>
      </c>
      <c r="AB2225" s="9">
        <v>40</v>
      </c>
      <c r="AC2225" s="9">
        <v>19</v>
      </c>
      <c r="AD2225" s="17">
        <v>45992</v>
      </c>
      <c r="AE2225" s="56">
        <v>1000</v>
      </c>
      <c r="AF2225" s="56"/>
      <c r="AP2225" s="11"/>
      <c r="AQ2225" s="11"/>
      <c r="AR2225" s="11"/>
      <c r="AW2225" s="9"/>
      <c r="BD2225" s="9"/>
      <c r="CS2225" s="11">
        <f t="shared" si="153"/>
        <v>0</v>
      </c>
      <c r="CT2225" s="22">
        <f t="shared" si="154"/>
        <v>0</v>
      </c>
      <c r="CU2225" s="22">
        <f t="shared" si="155"/>
        <v>0</v>
      </c>
      <c r="CV2225" s="26">
        <f t="shared" si="151"/>
        <v>1000</v>
      </c>
    </row>
    <row r="2226" spans="1:100" x14ac:dyDescent="0.2">
      <c r="A2226" s="9" t="s">
        <v>523</v>
      </c>
      <c r="B2226" s="2">
        <v>112</v>
      </c>
      <c r="C2226" s="3" t="s">
        <v>95</v>
      </c>
      <c r="D2226" s="3" t="s">
        <v>96</v>
      </c>
      <c r="E2226" s="2"/>
      <c r="F2226" s="2"/>
      <c r="G2226" s="2" t="s">
        <v>80</v>
      </c>
      <c r="H2226" s="2">
        <v>2</v>
      </c>
      <c r="I2226" s="8">
        <v>130.19999999999999</v>
      </c>
      <c r="J2226" s="8">
        <v>57866</v>
      </c>
      <c r="K2226" s="3">
        <v>0</v>
      </c>
      <c r="L2226" s="3" t="s">
        <v>3</v>
      </c>
      <c r="M2226" s="9" t="s">
        <v>0</v>
      </c>
      <c r="N2226" s="30" t="s">
        <v>46</v>
      </c>
      <c r="O2226" s="9" t="s">
        <v>550</v>
      </c>
      <c r="S2226" s="9" t="s">
        <v>158</v>
      </c>
      <c r="T2226" s="10" t="s">
        <v>80</v>
      </c>
      <c r="U2226" s="10">
        <v>2</v>
      </c>
      <c r="V2226" s="10">
        <v>130.19999999999999</v>
      </c>
      <c r="W2226" s="10" t="s">
        <v>710</v>
      </c>
      <c r="X2226" s="17">
        <v>45378</v>
      </c>
      <c r="Y2226" s="17">
        <v>45378</v>
      </c>
      <c r="Z2226" s="19" t="s">
        <v>772</v>
      </c>
      <c r="AA2226" s="210">
        <v>45000</v>
      </c>
      <c r="AB2226" s="9">
        <v>40</v>
      </c>
      <c r="AC2226" s="9">
        <v>20</v>
      </c>
      <c r="AD2226" s="17">
        <v>46023</v>
      </c>
      <c r="AE2226" s="56">
        <v>1000</v>
      </c>
      <c r="AF2226" s="56"/>
      <c r="AP2226" s="11"/>
      <c r="AQ2226" s="11"/>
      <c r="AR2226" s="11"/>
      <c r="AW2226" s="9"/>
      <c r="BD2226" s="9"/>
      <c r="CS2226" s="11">
        <f t="shared" si="153"/>
        <v>0</v>
      </c>
      <c r="CT2226" s="22">
        <f t="shared" si="154"/>
        <v>0</v>
      </c>
      <c r="CU2226" s="22">
        <f t="shared" si="155"/>
        <v>0</v>
      </c>
      <c r="CV2226" s="26">
        <f t="shared" si="151"/>
        <v>1000</v>
      </c>
    </row>
    <row r="2227" spans="1:100" x14ac:dyDescent="0.2">
      <c r="A2227" s="9" t="s">
        <v>523</v>
      </c>
      <c r="B2227" s="2">
        <v>112</v>
      </c>
      <c r="C2227" s="3" t="s">
        <v>95</v>
      </c>
      <c r="D2227" s="3" t="s">
        <v>96</v>
      </c>
      <c r="E2227" s="2"/>
      <c r="F2227" s="2"/>
      <c r="G2227" s="2" t="s">
        <v>80</v>
      </c>
      <c r="H2227" s="2">
        <v>2</v>
      </c>
      <c r="I2227" s="8">
        <v>130.19999999999999</v>
      </c>
      <c r="J2227" s="8">
        <v>57866</v>
      </c>
      <c r="K2227" s="3">
        <v>0</v>
      </c>
      <c r="L2227" s="3" t="s">
        <v>3</v>
      </c>
      <c r="M2227" s="9" t="s">
        <v>0</v>
      </c>
      <c r="N2227" s="30" t="s">
        <v>46</v>
      </c>
      <c r="O2227" s="9" t="s">
        <v>550</v>
      </c>
      <c r="S2227" s="9" t="s">
        <v>158</v>
      </c>
      <c r="T2227" s="10" t="s">
        <v>80</v>
      </c>
      <c r="U2227" s="10">
        <v>2</v>
      </c>
      <c r="V2227" s="10">
        <v>130.19999999999999</v>
      </c>
      <c r="W2227" s="10" t="s">
        <v>710</v>
      </c>
      <c r="X2227" s="17">
        <v>45378</v>
      </c>
      <c r="Y2227" s="17">
        <v>45378</v>
      </c>
      <c r="Z2227" s="19" t="s">
        <v>772</v>
      </c>
      <c r="AA2227" s="210">
        <v>45000</v>
      </c>
      <c r="AB2227" s="9">
        <v>40</v>
      </c>
      <c r="AC2227" s="9">
        <v>21</v>
      </c>
      <c r="AD2227" s="17">
        <v>46054</v>
      </c>
      <c r="AE2227" s="56">
        <v>1000</v>
      </c>
      <c r="AF2227" s="56"/>
      <c r="AP2227" s="11"/>
      <c r="AQ2227" s="11"/>
      <c r="AR2227" s="11"/>
      <c r="AW2227" s="9"/>
      <c r="BD2227" s="9"/>
      <c r="CS2227" s="11">
        <f t="shared" si="153"/>
        <v>0</v>
      </c>
      <c r="CT2227" s="22">
        <f t="shared" si="154"/>
        <v>0</v>
      </c>
      <c r="CU2227" s="22">
        <f t="shared" si="155"/>
        <v>0</v>
      </c>
      <c r="CV2227" s="26">
        <f t="shared" si="151"/>
        <v>1000</v>
      </c>
    </row>
    <row r="2228" spans="1:100" x14ac:dyDescent="0.2">
      <c r="A2228" s="9" t="s">
        <v>523</v>
      </c>
      <c r="B2228" s="2">
        <v>112</v>
      </c>
      <c r="C2228" s="3" t="s">
        <v>95</v>
      </c>
      <c r="D2228" s="3" t="s">
        <v>96</v>
      </c>
      <c r="E2228" s="2"/>
      <c r="F2228" s="2"/>
      <c r="G2228" s="2" t="s">
        <v>80</v>
      </c>
      <c r="H2228" s="2">
        <v>2</v>
      </c>
      <c r="I2228" s="8">
        <v>130.19999999999999</v>
      </c>
      <c r="J2228" s="8">
        <v>57866</v>
      </c>
      <c r="K2228" s="3">
        <v>0</v>
      </c>
      <c r="L2228" s="3" t="s">
        <v>3</v>
      </c>
      <c r="M2228" s="9" t="s">
        <v>0</v>
      </c>
      <c r="N2228" s="30" t="s">
        <v>46</v>
      </c>
      <c r="O2228" s="9" t="s">
        <v>550</v>
      </c>
      <c r="S2228" s="9" t="s">
        <v>158</v>
      </c>
      <c r="T2228" s="10" t="s">
        <v>80</v>
      </c>
      <c r="U2228" s="10">
        <v>2</v>
      </c>
      <c r="V2228" s="10">
        <v>130.19999999999999</v>
      </c>
      <c r="W2228" s="10" t="s">
        <v>710</v>
      </c>
      <c r="X2228" s="17">
        <v>45378</v>
      </c>
      <c r="Y2228" s="17">
        <v>45378</v>
      </c>
      <c r="Z2228" s="19" t="s">
        <v>772</v>
      </c>
      <c r="AA2228" s="210">
        <v>45000</v>
      </c>
      <c r="AB2228" s="9">
        <v>40</v>
      </c>
      <c r="AC2228" s="9">
        <v>22</v>
      </c>
      <c r="AD2228" s="17">
        <v>46082</v>
      </c>
      <c r="AE2228" s="56">
        <v>1000</v>
      </c>
      <c r="AF2228" s="56"/>
      <c r="AP2228" s="11"/>
      <c r="AQ2228" s="11"/>
      <c r="AR2228" s="11"/>
      <c r="AW2228" s="9"/>
      <c r="BD2228" s="9"/>
      <c r="CS2228" s="11">
        <f t="shared" si="153"/>
        <v>0</v>
      </c>
      <c r="CT2228" s="22">
        <f t="shared" si="154"/>
        <v>0</v>
      </c>
      <c r="CU2228" s="22">
        <f t="shared" si="155"/>
        <v>0</v>
      </c>
      <c r="CV2228" s="26">
        <f t="shared" si="151"/>
        <v>1000</v>
      </c>
    </row>
    <row r="2229" spans="1:100" x14ac:dyDescent="0.2">
      <c r="A2229" s="9" t="s">
        <v>523</v>
      </c>
      <c r="B2229" s="2">
        <v>112</v>
      </c>
      <c r="C2229" s="3" t="s">
        <v>95</v>
      </c>
      <c r="D2229" s="3" t="s">
        <v>96</v>
      </c>
      <c r="E2229" s="2"/>
      <c r="F2229" s="2"/>
      <c r="G2229" s="2" t="s">
        <v>80</v>
      </c>
      <c r="H2229" s="2">
        <v>2</v>
      </c>
      <c r="I2229" s="8">
        <v>130.19999999999999</v>
      </c>
      <c r="J2229" s="8">
        <v>57866</v>
      </c>
      <c r="K2229" s="3">
        <v>0</v>
      </c>
      <c r="L2229" s="3" t="s">
        <v>3</v>
      </c>
      <c r="M2229" s="9" t="s">
        <v>0</v>
      </c>
      <c r="N2229" s="30" t="s">
        <v>46</v>
      </c>
      <c r="O2229" s="9" t="s">
        <v>550</v>
      </c>
      <c r="S2229" s="9" t="s">
        <v>158</v>
      </c>
      <c r="T2229" s="10" t="s">
        <v>80</v>
      </c>
      <c r="U2229" s="10">
        <v>2</v>
      </c>
      <c r="V2229" s="10">
        <v>130.19999999999999</v>
      </c>
      <c r="W2229" s="10" t="s">
        <v>710</v>
      </c>
      <c r="X2229" s="17">
        <v>45378</v>
      </c>
      <c r="Y2229" s="17">
        <v>45378</v>
      </c>
      <c r="Z2229" s="19" t="s">
        <v>772</v>
      </c>
      <c r="AA2229" s="210">
        <v>45000</v>
      </c>
      <c r="AB2229" s="9">
        <v>40</v>
      </c>
      <c r="AC2229" s="9">
        <v>23</v>
      </c>
      <c r="AD2229" s="17">
        <v>46113</v>
      </c>
      <c r="AE2229" s="56">
        <v>1000</v>
      </c>
      <c r="AF2229" s="56"/>
      <c r="AP2229" s="11"/>
      <c r="AQ2229" s="11"/>
      <c r="AR2229" s="11"/>
      <c r="AW2229" s="9"/>
      <c r="BD2229" s="9"/>
      <c r="CS2229" s="11">
        <f t="shared" si="153"/>
        <v>0</v>
      </c>
      <c r="CT2229" s="22">
        <f t="shared" si="154"/>
        <v>0</v>
      </c>
      <c r="CU2229" s="22">
        <f t="shared" si="155"/>
        <v>0</v>
      </c>
      <c r="CV2229" s="26">
        <f t="shared" si="151"/>
        <v>1000</v>
      </c>
    </row>
    <row r="2230" spans="1:100" x14ac:dyDescent="0.2">
      <c r="A2230" s="9" t="s">
        <v>523</v>
      </c>
      <c r="B2230" s="2">
        <v>112</v>
      </c>
      <c r="C2230" s="3" t="s">
        <v>95</v>
      </c>
      <c r="D2230" s="3" t="s">
        <v>96</v>
      </c>
      <c r="E2230" s="2"/>
      <c r="F2230" s="2"/>
      <c r="G2230" s="2" t="s">
        <v>80</v>
      </c>
      <c r="H2230" s="2">
        <v>2</v>
      </c>
      <c r="I2230" s="8">
        <v>130.19999999999999</v>
      </c>
      <c r="J2230" s="8">
        <v>57866</v>
      </c>
      <c r="K2230" s="3">
        <v>0</v>
      </c>
      <c r="L2230" s="3" t="s">
        <v>3</v>
      </c>
      <c r="M2230" s="9" t="s">
        <v>0</v>
      </c>
      <c r="N2230" s="30" t="s">
        <v>46</v>
      </c>
      <c r="O2230" s="9" t="s">
        <v>550</v>
      </c>
      <c r="S2230" s="9" t="s">
        <v>158</v>
      </c>
      <c r="T2230" s="10" t="s">
        <v>80</v>
      </c>
      <c r="U2230" s="10">
        <v>2</v>
      </c>
      <c r="V2230" s="10">
        <v>130.19999999999999</v>
      </c>
      <c r="W2230" s="10" t="s">
        <v>710</v>
      </c>
      <c r="X2230" s="17">
        <v>45378</v>
      </c>
      <c r="Y2230" s="17">
        <v>45378</v>
      </c>
      <c r="Z2230" s="19" t="s">
        <v>772</v>
      </c>
      <c r="AA2230" s="210">
        <v>45000</v>
      </c>
      <c r="AB2230" s="9">
        <v>40</v>
      </c>
      <c r="AC2230" s="9">
        <v>24</v>
      </c>
      <c r="AD2230" s="17">
        <v>46143</v>
      </c>
      <c r="AE2230" s="56">
        <v>1000</v>
      </c>
      <c r="AF2230" s="56"/>
      <c r="AP2230" s="11"/>
      <c r="AQ2230" s="11"/>
      <c r="AR2230" s="11"/>
      <c r="AW2230" s="9"/>
      <c r="BD2230" s="9"/>
      <c r="CS2230" s="11">
        <f t="shared" si="153"/>
        <v>0</v>
      </c>
      <c r="CT2230" s="22">
        <f t="shared" si="154"/>
        <v>0</v>
      </c>
      <c r="CU2230" s="22">
        <f t="shared" si="155"/>
        <v>0</v>
      </c>
      <c r="CV2230" s="26">
        <f t="shared" si="151"/>
        <v>1000</v>
      </c>
    </row>
    <row r="2231" spans="1:100" x14ac:dyDescent="0.2">
      <c r="A2231" s="9" t="s">
        <v>523</v>
      </c>
      <c r="B2231" s="2">
        <v>112</v>
      </c>
      <c r="C2231" s="3" t="s">
        <v>95</v>
      </c>
      <c r="D2231" s="3" t="s">
        <v>96</v>
      </c>
      <c r="E2231" s="2"/>
      <c r="F2231" s="2"/>
      <c r="G2231" s="2" t="s">
        <v>80</v>
      </c>
      <c r="H2231" s="2">
        <v>2</v>
      </c>
      <c r="I2231" s="8">
        <v>130.19999999999999</v>
      </c>
      <c r="J2231" s="8">
        <v>57866</v>
      </c>
      <c r="K2231" s="3">
        <v>0</v>
      </c>
      <c r="L2231" s="3" t="s">
        <v>3</v>
      </c>
      <c r="M2231" s="9" t="s">
        <v>0</v>
      </c>
      <c r="N2231" s="30" t="s">
        <v>46</v>
      </c>
      <c r="O2231" s="9" t="s">
        <v>550</v>
      </c>
      <c r="S2231" s="9" t="s">
        <v>158</v>
      </c>
      <c r="T2231" s="10" t="s">
        <v>80</v>
      </c>
      <c r="U2231" s="10">
        <v>2</v>
      </c>
      <c r="V2231" s="10">
        <v>130.19999999999999</v>
      </c>
      <c r="W2231" s="10" t="s">
        <v>710</v>
      </c>
      <c r="X2231" s="17">
        <v>45378</v>
      </c>
      <c r="Y2231" s="17">
        <v>45378</v>
      </c>
      <c r="Z2231" s="19" t="s">
        <v>772</v>
      </c>
      <c r="AA2231" s="210">
        <v>45000</v>
      </c>
      <c r="AB2231" s="9">
        <v>40</v>
      </c>
      <c r="AC2231" s="9">
        <v>25</v>
      </c>
      <c r="AD2231" s="17">
        <v>46174</v>
      </c>
      <c r="AE2231" s="56">
        <v>1000</v>
      </c>
      <c r="AF2231" s="56"/>
      <c r="AP2231" s="11"/>
      <c r="AQ2231" s="11"/>
      <c r="AR2231" s="11"/>
      <c r="AW2231" s="9"/>
      <c r="BD2231" s="9"/>
      <c r="CS2231" s="11">
        <f t="shared" si="153"/>
        <v>0</v>
      </c>
      <c r="CT2231" s="22">
        <f t="shared" si="154"/>
        <v>0</v>
      </c>
      <c r="CU2231" s="22">
        <f t="shared" si="155"/>
        <v>0</v>
      </c>
      <c r="CV2231" s="26">
        <f t="shared" si="151"/>
        <v>1000</v>
      </c>
    </row>
    <row r="2232" spans="1:100" x14ac:dyDescent="0.2">
      <c r="A2232" s="9" t="s">
        <v>523</v>
      </c>
      <c r="B2232" s="2">
        <v>112</v>
      </c>
      <c r="C2232" s="3" t="s">
        <v>95</v>
      </c>
      <c r="D2232" s="3" t="s">
        <v>96</v>
      </c>
      <c r="E2232" s="2"/>
      <c r="F2232" s="2"/>
      <c r="G2232" s="2" t="s">
        <v>80</v>
      </c>
      <c r="H2232" s="2">
        <v>2</v>
      </c>
      <c r="I2232" s="8">
        <v>130.19999999999999</v>
      </c>
      <c r="J2232" s="8">
        <v>57866</v>
      </c>
      <c r="K2232" s="3">
        <v>0</v>
      </c>
      <c r="L2232" s="3" t="s">
        <v>3</v>
      </c>
      <c r="M2232" s="9" t="s">
        <v>0</v>
      </c>
      <c r="N2232" s="30" t="s">
        <v>46</v>
      </c>
      <c r="O2232" s="9" t="s">
        <v>550</v>
      </c>
      <c r="S2232" s="9" t="s">
        <v>158</v>
      </c>
      <c r="T2232" s="10" t="s">
        <v>80</v>
      </c>
      <c r="U2232" s="10">
        <v>2</v>
      </c>
      <c r="V2232" s="10">
        <v>130.19999999999999</v>
      </c>
      <c r="W2232" s="10" t="s">
        <v>710</v>
      </c>
      <c r="X2232" s="17">
        <v>45378</v>
      </c>
      <c r="Y2232" s="17">
        <v>45378</v>
      </c>
      <c r="Z2232" s="19" t="s">
        <v>772</v>
      </c>
      <c r="AA2232" s="210">
        <v>45000</v>
      </c>
      <c r="AB2232" s="9">
        <v>40</v>
      </c>
      <c r="AC2232" s="9">
        <v>26</v>
      </c>
      <c r="AD2232" s="17">
        <v>46204</v>
      </c>
      <c r="AE2232" s="56">
        <v>1000</v>
      </c>
      <c r="AF2232" s="56"/>
      <c r="AP2232" s="11"/>
      <c r="AQ2232" s="11"/>
      <c r="AR2232" s="11"/>
      <c r="AW2232" s="9"/>
      <c r="BD2232" s="9"/>
      <c r="CS2232" s="11">
        <f t="shared" si="153"/>
        <v>0</v>
      </c>
      <c r="CT2232" s="22">
        <f t="shared" si="154"/>
        <v>0</v>
      </c>
      <c r="CU2232" s="22">
        <f t="shared" si="155"/>
        <v>0</v>
      </c>
      <c r="CV2232" s="26">
        <f t="shared" si="151"/>
        <v>1000</v>
      </c>
    </row>
    <row r="2233" spans="1:100" x14ac:dyDescent="0.2">
      <c r="A2233" s="9" t="s">
        <v>523</v>
      </c>
      <c r="B2233" s="2">
        <v>112</v>
      </c>
      <c r="C2233" s="3" t="s">
        <v>95</v>
      </c>
      <c r="D2233" s="3" t="s">
        <v>96</v>
      </c>
      <c r="E2233" s="2"/>
      <c r="F2233" s="2"/>
      <c r="G2233" s="2" t="s">
        <v>80</v>
      </c>
      <c r="H2233" s="2">
        <v>2</v>
      </c>
      <c r="I2233" s="8">
        <v>130.19999999999999</v>
      </c>
      <c r="J2233" s="8">
        <v>57866</v>
      </c>
      <c r="K2233" s="3">
        <v>0</v>
      </c>
      <c r="L2233" s="3" t="s">
        <v>3</v>
      </c>
      <c r="M2233" s="9" t="s">
        <v>0</v>
      </c>
      <c r="N2233" s="30" t="s">
        <v>46</v>
      </c>
      <c r="O2233" s="9" t="s">
        <v>550</v>
      </c>
      <c r="S2233" s="9" t="s">
        <v>158</v>
      </c>
      <c r="T2233" s="10" t="s">
        <v>80</v>
      </c>
      <c r="U2233" s="10">
        <v>2</v>
      </c>
      <c r="V2233" s="10">
        <v>130.19999999999999</v>
      </c>
      <c r="W2233" s="10" t="s">
        <v>710</v>
      </c>
      <c r="X2233" s="17">
        <v>45378</v>
      </c>
      <c r="Y2233" s="17">
        <v>45378</v>
      </c>
      <c r="Z2233" s="19" t="s">
        <v>772</v>
      </c>
      <c r="AA2233" s="210">
        <v>45000</v>
      </c>
      <c r="AB2233" s="9">
        <v>40</v>
      </c>
      <c r="AC2233" s="9">
        <v>27</v>
      </c>
      <c r="AD2233" s="17">
        <v>46235</v>
      </c>
      <c r="AE2233" s="56">
        <v>1000</v>
      </c>
      <c r="AF2233" s="56"/>
      <c r="AP2233" s="11"/>
      <c r="AQ2233" s="11"/>
      <c r="AR2233" s="11"/>
      <c r="AW2233" s="9"/>
      <c r="BD2233" s="9"/>
      <c r="CS2233" s="11">
        <f t="shared" si="153"/>
        <v>0</v>
      </c>
      <c r="CT2233" s="22">
        <f t="shared" si="154"/>
        <v>0</v>
      </c>
      <c r="CU2233" s="22">
        <f t="shared" si="155"/>
        <v>0</v>
      </c>
      <c r="CV2233" s="26">
        <f t="shared" ref="CV2233:CV2296" si="157">+AE2233-AL2233-AT2233</f>
        <v>1000</v>
      </c>
    </row>
    <row r="2234" spans="1:100" x14ac:dyDescent="0.2">
      <c r="A2234" s="9" t="s">
        <v>523</v>
      </c>
      <c r="B2234" s="2">
        <v>112</v>
      </c>
      <c r="C2234" s="3" t="s">
        <v>95</v>
      </c>
      <c r="D2234" s="3" t="s">
        <v>96</v>
      </c>
      <c r="E2234" s="2"/>
      <c r="F2234" s="2"/>
      <c r="G2234" s="2" t="s">
        <v>80</v>
      </c>
      <c r="H2234" s="2">
        <v>2</v>
      </c>
      <c r="I2234" s="8">
        <v>130.19999999999999</v>
      </c>
      <c r="J2234" s="8">
        <v>57866</v>
      </c>
      <c r="K2234" s="3">
        <v>0</v>
      </c>
      <c r="L2234" s="3" t="s">
        <v>3</v>
      </c>
      <c r="M2234" s="9" t="s">
        <v>0</v>
      </c>
      <c r="N2234" s="30" t="s">
        <v>46</v>
      </c>
      <c r="O2234" s="9" t="s">
        <v>550</v>
      </c>
      <c r="S2234" s="9" t="s">
        <v>158</v>
      </c>
      <c r="T2234" s="10" t="s">
        <v>80</v>
      </c>
      <c r="U2234" s="10">
        <v>2</v>
      </c>
      <c r="V2234" s="10">
        <v>130.19999999999999</v>
      </c>
      <c r="W2234" s="10" t="s">
        <v>710</v>
      </c>
      <c r="X2234" s="17">
        <v>45378</v>
      </c>
      <c r="Y2234" s="17">
        <v>45378</v>
      </c>
      <c r="Z2234" s="19" t="s">
        <v>772</v>
      </c>
      <c r="AA2234" s="210">
        <v>45000</v>
      </c>
      <c r="AB2234" s="9">
        <v>40</v>
      </c>
      <c r="AC2234" s="9">
        <v>28</v>
      </c>
      <c r="AD2234" s="17">
        <v>46266</v>
      </c>
      <c r="AE2234" s="56">
        <v>1000</v>
      </c>
      <c r="AF2234" s="56"/>
      <c r="AP2234" s="11"/>
      <c r="AQ2234" s="11"/>
      <c r="AR2234" s="11"/>
      <c r="AW2234" s="9"/>
      <c r="BD2234" s="9"/>
      <c r="CS2234" s="11">
        <f t="shared" si="153"/>
        <v>0</v>
      </c>
      <c r="CT2234" s="22">
        <f t="shared" si="154"/>
        <v>0</v>
      </c>
      <c r="CU2234" s="22">
        <f t="shared" si="155"/>
        <v>0</v>
      </c>
      <c r="CV2234" s="26">
        <f t="shared" si="157"/>
        <v>1000</v>
      </c>
    </row>
    <row r="2235" spans="1:100" x14ac:dyDescent="0.2">
      <c r="A2235" s="9" t="s">
        <v>523</v>
      </c>
      <c r="B2235" s="2">
        <v>112</v>
      </c>
      <c r="C2235" s="3" t="s">
        <v>95</v>
      </c>
      <c r="D2235" s="3" t="s">
        <v>96</v>
      </c>
      <c r="E2235" s="2"/>
      <c r="F2235" s="2"/>
      <c r="G2235" s="2" t="s">
        <v>80</v>
      </c>
      <c r="H2235" s="2">
        <v>2</v>
      </c>
      <c r="I2235" s="8">
        <v>130.19999999999999</v>
      </c>
      <c r="J2235" s="8">
        <v>57866</v>
      </c>
      <c r="K2235" s="3">
        <v>0</v>
      </c>
      <c r="L2235" s="3" t="s">
        <v>3</v>
      </c>
      <c r="M2235" s="9" t="s">
        <v>0</v>
      </c>
      <c r="N2235" s="30" t="s">
        <v>46</v>
      </c>
      <c r="O2235" s="9" t="s">
        <v>550</v>
      </c>
      <c r="S2235" s="9" t="s">
        <v>158</v>
      </c>
      <c r="T2235" s="10" t="s">
        <v>80</v>
      </c>
      <c r="U2235" s="10">
        <v>2</v>
      </c>
      <c r="V2235" s="10">
        <v>130.19999999999999</v>
      </c>
      <c r="W2235" s="10" t="s">
        <v>710</v>
      </c>
      <c r="X2235" s="17">
        <v>45378</v>
      </c>
      <c r="Y2235" s="17">
        <v>45378</v>
      </c>
      <c r="Z2235" s="19" t="s">
        <v>772</v>
      </c>
      <c r="AA2235" s="210">
        <v>45000</v>
      </c>
      <c r="AB2235" s="9">
        <v>40</v>
      </c>
      <c r="AC2235" s="9">
        <v>29</v>
      </c>
      <c r="AD2235" s="17">
        <v>46296</v>
      </c>
      <c r="AE2235" s="56">
        <v>1000</v>
      </c>
      <c r="AF2235" s="56"/>
      <c r="AP2235" s="11"/>
      <c r="AQ2235" s="11"/>
      <c r="AR2235" s="11"/>
      <c r="AW2235" s="9"/>
      <c r="BD2235" s="9"/>
      <c r="CS2235" s="11">
        <f t="shared" si="153"/>
        <v>0</v>
      </c>
      <c r="CT2235" s="22">
        <f t="shared" si="154"/>
        <v>0</v>
      </c>
      <c r="CU2235" s="22">
        <f t="shared" si="155"/>
        <v>0</v>
      </c>
      <c r="CV2235" s="26">
        <f t="shared" si="157"/>
        <v>1000</v>
      </c>
    </row>
    <row r="2236" spans="1:100" x14ac:dyDescent="0.2">
      <c r="A2236" s="9" t="s">
        <v>523</v>
      </c>
      <c r="B2236" s="2">
        <v>112</v>
      </c>
      <c r="C2236" s="3" t="s">
        <v>95</v>
      </c>
      <c r="D2236" s="3" t="s">
        <v>96</v>
      </c>
      <c r="E2236" s="2"/>
      <c r="F2236" s="2"/>
      <c r="G2236" s="2" t="s">
        <v>80</v>
      </c>
      <c r="H2236" s="2">
        <v>2</v>
      </c>
      <c r="I2236" s="8">
        <v>130.19999999999999</v>
      </c>
      <c r="J2236" s="8">
        <v>57866</v>
      </c>
      <c r="K2236" s="3">
        <v>0</v>
      </c>
      <c r="L2236" s="3" t="s">
        <v>3</v>
      </c>
      <c r="M2236" s="9" t="s">
        <v>0</v>
      </c>
      <c r="N2236" s="30" t="s">
        <v>46</v>
      </c>
      <c r="O2236" s="9" t="s">
        <v>550</v>
      </c>
      <c r="S2236" s="9" t="s">
        <v>158</v>
      </c>
      <c r="T2236" s="10" t="s">
        <v>80</v>
      </c>
      <c r="U2236" s="10">
        <v>2</v>
      </c>
      <c r="V2236" s="10">
        <v>130.19999999999999</v>
      </c>
      <c r="W2236" s="10" t="s">
        <v>710</v>
      </c>
      <c r="X2236" s="17">
        <v>45378</v>
      </c>
      <c r="Y2236" s="17">
        <v>45378</v>
      </c>
      <c r="Z2236" s="19" t="s">
        <v>772</v>
      </c>
      <c r="AA2236" s="210">
        <v>45000</v>
      </c>
      <c r="AB2236" s="9">
        <v>40</v>
      </c>
      <c r="AC2236" s="9">
        <v>30</v>
      </c>
      <c r="AD2236" s="17">
        <v>46327</v>
      </c>
      <c r="AE2236" s="56">
        <v>1000</v>
      </c>
      <c r="AF2236" s="56"/>
      <c r="AP2236" s="11"/>
      <c r="AQ2236" s="11"/>
      <c r="AR2236" s="11"/>
      <c r="AW2236" s="9"/>
      <c r="BD2236" s="9"/>
      <c r="CS2236" s="11">
        <f t="shared" si="153"/>
        <v>0</v>
      </c>
      <c r="CT2236" s="22">
        <f t="shared" si="154"/>
        <v>0</v>
      </c>
      <c r="CU2236" s="22">
        <f t="shared" si="155"/>
        <v>0</v>
      </c>
      <c r="CV2236" s="26">
        <f t="shared" si="157"/>
        <v>1000</v>
      </c>
    </row>
    <row r="2237" spans="1:100" x14ac:dyDescent="0.2">
      <c r="A2237" s="9" t="s">
        <v>523</v>
      </c>
      <c r="B2237" s="2">
        <v>112</v>
      </c>
      <c r="C2237" s="3" t="s">
        <v>95</v>
      </c>
      <c r="D2237" s="3" t="s">
        <v>96</v>
      </c>
      <c r="E2237" s="2"/>
      <c r="F2237" s="2"/>
      <c r="G2237" s="2" t="s">
        <v>80</v>
      </c>
      <c r="H2237" s="2">
        <v>2</v>
      </c>
      <c r="I2237" s="8">
        <v>130.19999999999999</v>
      </c>
      <c r="J2237" s="8">
        <v>57866</v>
      </c>
      <c r="K2237" s="3">
        <v>0</v>
      </c>
      <c r="L2237" s="3" t="s">
        <v>3</v>
      </c>
      <c r="M2237" s="9" t="s">
        <v>0</v>
      </c>
      <c r="N2237" s="30" t="s">
        <v>46</v>
      </c>
      <c r="O2237" s="9" t="s">
        <v>550</v>
      </c>
      <c r="S2237" s="9" t="s">
        <v>158</v>
      </c>
      <c r="T2237" s="10" t="s">
        <v>80</v>
      </c>
      <c r="U2237" s="10">
        <v>2</v>
      </c>
      <c r="V2237" s="10">
        <v>130.19999999999999</v>
      </c>
      <c r="W2237" s="10" t="s">
        <v>710</v>
      </c>
      <c r="X2237" s="17">
        <v>45378</v>
      </c>
      <c r="Y2237" s="17">
        <v>45378</v>
      </c>
      <c r="Z2237" s="19" t="s">
        <v>772</v>
      </c>
      <c r="AA2237" s="210">
        <v>45000</v>
      </c>
      <c r="AB2237" s="9">
        <v>40</v>
      </c>
      <c r="AC2237" s="9">
        <v>31</v>
      </c>
      <c r="AD2237" s="17">
        <v>46357</v>
      </c>
      <c r="AE2237" s="56">
        <v>1000</v>
      </c>
      <c r="AF2237" s="56"/>
      <c r="AP2237" s="11"/>
      <c r="AQ2237" s="11"/>
      <c r="AR2237" s="11"/>
      <c r="AW2237" s="9"/>
      <c r="BD2237" s="9"/>
      <c r="CS2237" s="11">
        <f t="shared" ref="CS2237:CS2300" si="158">+AL2237+AT2237</f>
        <v>0</v>
      </c>
      <c r="CT2237" s="22">
        <f t="shared" ref="CT2237:CT2300" si="159">+BA2237+BG2237+BM2237+BS2237+BY2237+CE2237+CK2237+CQ2237</f>
        <v>0</v>
      </c>
      <c r="CU2237" s="22">
        <f t="shared" ref="CU2237:CU2300" si="160">+CS2237-CT2237</f>
        <v>0</v>
      </c>
      <c r="CV2237" s="26">
        <f t="shared" si="157"/>
        <v>1000</v>
      </c>
    </row>
    <row r="2238" spans="1:100" x14ac:dyDescent="0.2">
      <c r="A2238" s="9" t="s">
        <v>523</v>
      </c>
      <c r="B2238" s="2">
        <v>112</v>
      </c>
      <c r="C2238" s="3" t="s">
        <v>95</v>
      </c>
      <c r="D2238" s="3" t="s">
        <v>96</v>
      </c>
      <c r="E2238" s="2"/>
      <c r="F2238" s="2"/>
      <c r="G2238" s="2" t="s">
        <v>80</v>
      </c>
      <c r="H2238" s="2">
        <v>2</v>
      </c>
      <c r="I2238" s="8">
        <v>130.19999999999999</v>
      </c>
      <c r="J2238" s="8">
        <v>57866</v>
      </c>
      <c r="K2238" s="3">
        <v>0</v>
      </c>
      <c r="L2238" s="3" t="s">
        <v>3</v>
      </c>
      <c r="M2238" s="9" t="s">
        <v>0</v>
      </c>
      <c r="N2238" s="30" t="s">
        <v>46</v>
      </c>
      <c r="O2238" s="9" t="s">
        <v>550</v>
      </c>
      <c r="S2238" s="9" t="s">
        <v>158</v>
      </c>
      <c r="T2238" s="10" t="s">
        <v>80</v>
      </c>
      <c r="U2238" s="10">
        <v>2</v>
      </c>
      <c r="V2238" s="10">
        <v>130.19999999999999</v>
      </c>
      <c r="W2238" s="10" t="s">
        <v>710</v>
      </c>
      <c r="X2238" s="17">
        <v>45378</v>
      </c>
      <c r="Y2238" s="17">
        <v>45378</v>
      </c>
      <c r="Z2238" s="19" t="s">
        <v>772</v>
      </c>
      <c r="AA2238" s="210">
        <v>45000</v>
      </c>
      <c r="AB2238" s="9">
        <v>40</v>
      </c>
      <c r="AC2238" s="9">
        <v>32</v>
      </c>
      <c r="AD2238" s="17">
        <v>46388</v>
      </c>
      <c r="AE2238" s="56">
        <v>1000</v>
      </c>
      <c r="AF2238" s="56"/>
      <c r="AP2238" s="11"/>
      <c r="AQ2238" s="11"/>
      <c r="AR2238" s="11"/>
      <c r="AW2238" s="9"/>
      <c r="BD2238" s="9"/>
      <c r="CS2238" s="11">
        <f t="shared" si="158"/>
        <v>0</v>
      </c>
      <c r="CT2238" s="22">
        <f t="shared" si="159"/>
        <v>0</v>
      </c>
      <c r="CU2238" s="22">
        <f t="shared" si="160"/>
        <v>0</v>
      </c>
      <c r="CV2238" s="26">
        <f t="shared" si="157"/>
        <v>1000</v>
      </c>
    </row>
    <row r="2239" spans="1:100" x14ac:dyDescent="0.2">
      <c r="A2239" s="9" t="s">
        <v>523</v>
      </c>
      <c r="B2239" s="2">
        <v>112</v>
      </c>
      <c r="C2239" s="3" t="s">
        <v>95</v>
      </c>
      <c r="D2239" s="3" t="s">
        <v>96</v>
      </c>
      <c r="E2239" s="2"/>
      <c r="F2239" s="2"/>
      <c r="G2239" s="2" t="s">
        <v>80</v>
      </c>
      <c r="H2239" s="2">
        <v>2</v>
      </c>
      <c r="I2239" s="8">
        <v>130.19999999999999</v>
      </c>
      <c r="J2239" s="8">
        <v>57866</v>
      </c>
      <c r="K2239" s="3">
        <v>0</v>
      </c>
      <c r="L2239" s="3" t="s">
        <v>3</v>
      </c>
      <c r="M2239" s="9" t="s">
        <v>0</v>
      </c>
      <c r="N2239" s="30" t="s">
        <v>46</v>
      </c>
      <c r="O2239" s="9" t="s">
        <v>550</v>
      </c>
      <c r="S2239" s="9" t="s">
        <v>158</v>
      </c>
      <c r="T2239" s="10" t="s">
        <v>80</v>
      </c>
      <c r="U2239" s="10">
        <v>2</v>
      </c>
      <c r="V2239" s="10">
        <v>130.19999999999999</v>
      </c>
      <c r="W2239" s="10" t="s">
        <v>710</v>
      </c>
      <c r="X2239" s="17">
        <v>45378</v>
      </c>
      <c r="Y2239" s="17">
        <v>45378</v>
      </c>
      <c r="Z2239" s="19" t="s">
        <v>772</v>
      </c>
      <c r="AA2239" s="210">
        <v>45000</v>
      </c>
      <c r="AB2239" s="9">
        <v>40</v>
      </c>
      <c r="AC2239" s="9">
        <v>33</v>
      </c>
      <c r="AD2239" s="17">
        <v>46419</v>
      </c>
      <c r="AE2239" s="56">
        <v>1000</v>
      </c>
      <c r="AF2239" s="56"/>
      <c r="AP2239" s="11"/>
      <c r="AQ2239" s="11"/>
      <c r="AR2239" s="11"/>
      <c r="AW2239" s="9"/>
      <c r="BD2239" s="9"/>
      <c r="CS2239" s="11">
        <f t="shared" si="158"/>
        <v>0</v>
      </c>
      <c r="CT2239" s="22">
        <f t="shared" si="159"/>
        <v>0</v>
      </c>
      <c r="CU2239" s="22">
        <f t="shared" si="160"/>
        <v>0</v>
      </c>
      <c r="CV2239" s="26">
        <f t="shared" si="157"/>
        <v>1000</v>
      </c>
    </row>
    <row r="2240" spans="1:100" x14ac:dyDescent="0.2">
      <c r="A2240" s="9" t="s">
        <v>523</v>
      </c>
      <c r="B2240" s="2">
        <v>112</v>
      </c>
      <c r="C2240" s="3" t="s">
        <v>95</v>
      </c>
      <c r="D2240" s="3" t="s">
        <v>96</v>
      </c>
      <c r="E2240" s="2"/>
      <c r="F2240" s="2"/>
      <c r="G2240" s="2" t="s">
        <v>80</v>
      </c>
      <c r="H2240" s="2">
        <v>2</v>
      </c>
      <c r="I2240" s="8">
        <v>130.19999999999999</v>
      </c>
      <c r="J2240" s="8">
        <v>57866</v>
      </c>
      <c r="K2240" s="3">
        <v>0</v>
      </c>
      <c r="L2240" s="3" t="s">
        <v>3</v>
      </c>
      <c r="M2240" s="9" t="s">
        <v>0</v>
      </c>
      <c r="N2240" s="30" t="s">
        <v>46</v>
      </c>
      <c r="O2240" s="9" t="s">
        <v>550</v>
      </c>
      <c r="S2240" s="9" t="s">
        <v>158</v>
      </c>
      <c r="T2240" s="10" t="s">
        <v>80</v>
      </c>
      <c r="U2240" s="10">
        <v>2</v>
      </c>
      <c r="V2240" s="10">
        <v>130.19999999999999</v>
      </c>
      <c r="W2240" s="10" t="s">
        <v>710</v>
      </c>
      <c r="X2240" s="17">
        <v>45378</v>
      </c>
      <c r="Y2240" s="17">
        <v>45378</v>
      </c>
      <c r="Z2240" s="19" t="s">
        <v>772</v>
      </c>
      <c r="AA2240" s="210">
        <v>45000</v>
      </c>
      <c r="AB2240" s="9">
        <v>40</v>
      </c>
      <c r="AC2240" s="9">
        <v>34</v>
      </c>
      <c r="AD2240" s="17">
        <v>46447</v>
      </c>
      <c r="AE2240" s="56">
        <v>1000</v>
      </c>
      <c r="AF2240" s="56"/>
      <c r="AP2240" s="11"/>
      <c r="AQ2240" s="11"/>
      <c r="AR2240" s="11"/>
      <c r="AW2240" s="9"/>
      <c r="BD2240" s="9"/>
      <c r="CS2240" s="11">
        <f t="shared" si="158"/>
        <v>0</v>
      </c>
      <c r="CT2240" s="22">
        <f t="shared" si="159"/>
        <v>0</v>
      </c>
      <c r="CU2240" s="22">
        <f t="shared" si="160"/>
        <v>0</v>
      </c>
      <c r="CV2240" s="26">
        <f t="shared" si="157"/>
        <v>1000</v>
      </c>
    </row>
    <row r="2241" spans="1:100" x14ac:dyDescent="0.2">
      <c r="A2241" s="9" t="s">
        <v>523</v>
      </c>
      <c r="B2241" s="2">
        <v>112</v>
      </c>
      <c r="C2241" s="3" t="s">
        <v>95</v>
      </c>
      <c r="D2241" s="3" t="s">
        <v>96</v>
      </c>
      <c r="E2241" s="2"/>
      <c r="F2241" s="2"/>
      <c r="G2241" s="2" t="s">
        <v>80</v>
      </c>
      <c r="H2241" s="2">
        <v>2</v>
      </c>
      <c r="I2241" s="8">
        <v>130.19999999999999</v>
      </c>
      <c r="J2241" s="8">
        <v>57866</v>
      </c>
      <c r="K2241" s="3">
        <v>0</v>
      </c>
      <c r="L2241" s="3" t="s">
        <v>3</v>
      </c>
      <c r="M2241" s="9" t="s">
        <v>0</v>
      </c>
      <c r="N2241" s="30" t="s">
        <v>46</v>
      </c>
      <c r="O2241" s="9" t="s">
        <v>550</v>
      </c>
      <c r="S2241" s="9" t="s">
        <v>158</v>
      </c>
      <c r="T2241" s="10" t="s">
        <v>80</v>
      </c>
      <c r="U2241" s="10">
        <v>2</v>
      </c>
      <c r="V2241" s="10">
        <v>130.19999999999999</v>
      </c>
      <c r="W2241" s="10" t="s">
        <v>710</v>
      </c>
      <c r="X2241" s="17">
        <v>45378</v>
      </c>
      <c r="Y2241" s="17">
        <v>45378</v>
      </c>
      <c r="Z2241" s="19" t="s">
        <v>772</v>
      </c>
      <c r="AA2241" s="210">
        <v>45000</v>
      </c>
      <c r="AB2241" s="9">
        <v>40</v>
      </c>
      <c r="AC2241" s="9">
        <v>35</v>
      </c>
      <c r="AD2241" s="17">
        <v>46478</v>
      </c>
      <c r="AE2241" s="56">
        <v>1000</v>
      </c>
      <c r="AF2241" s="56"/>
      <c r="AP2241" s="11"/>
      <c r="AQ2241" s="11"/>
      <c r="AR2241" s="11"/>
      <c r="AW2241" s="9"/>
      <c r="BD2241" s="9"/>
      <c r="CS2241" s="11">
        <f t="shared" si="158"/>
        <v>0</v>
      </c>
      <c r="CT2241" s="22">
        <f t="shared" si="159"/>
        <v>0</v>
      </c>
      <c r="CU2241" s="22">
        <f t="shared" si="160"/>
        <v>0</v>
      </c>
      <c r="CV2241" s="26">
        <f t="shared" si="157"/>
        <v>1000</v>
      </c>
    </row>
    <row r="2242" spans="1:100" x14ac:dyDescent="0.2">
      <c r="A2242" s="9" t="s">
        <v>523</v>
      </c>
      <c r="B2242" s="2">
        <v>112</v>
      </c>
      <c r="C2242" s="3" t="s">
        <v>95</v>
      </c>
      <c r="D2242" s="3" t="s">
        <v>96</v>
      </c>
      <c r="E2242" s="2"/>
      <c r="F2242" s="2"/>
      <c r="G2242" s="2" t="s">
        <v>80</v>
      </c>
      <c r="H2242" s="2">
        <v>2</v>
      </c>
      <c r="I2242" s="8">
        <v>130.19999999999999</v>
      </c>
      <c r="J2242" s="8">
        <v>57866</v>
      </c>
      <c r="K2242" s="3">
        <v>0</v>
      </c>
      <c r="L2242" s="3" t="s">
        <v>3</v>
      </c>
      <c r="M2242" s="9" t="s">
        <v>0</v>
      </c>
      <c r="N2242" s="30" t="s">
        <v>46</v>
      </c>
      <c r="O2242" s="9" t="s">
        <v>550</v>
      </c>
      <c r="S2242" s="9" t="s">
        <v>158</v>
      </c>
      <c r="T2242" s="10" t="s">
        <v>80</v>
      </c>
      <c r="U2242" s="10">
        <v>2</v>
      </c>
      <c r="V2242" s="10">
        <v>130.19999999999999</v>
      </c>
      <c r="W2242" s="10" t="s">
        <v>710</v>
      </c>
      <c r="X2242" s="17">
        <v>45378</v>
      </c>
      <c r="Y2242" s="17">
        <v>45378</v>
      </c>
      <c r="Z2242" s="19" t="s">
        <v>772</v>
      </c>
      <c r="AA2242" s="210">
        <v>45000</v>
      </c>
      <c r="AB2242" s="9">
        <v>40</v>
      </c>
      <c r="AC2242" s="9">
        <v>36</v>
      </c>
      <c r="AD2242" s="17">
        <v>46508</v>
      </c>
      <c r="AE2242" s="56">
        <v>1000</v>
      </c>
      <c r="AF2242" s="56"/>
      <c r="AP2242" s="11"/>
      <c r="AQ2242" s="11"/>
      <c r="AR2242" s="11"/>
      <c r="AW2242" s="9"/>
      <c r="BD2242" s="9"/>
      <c r="CS2242" s="11">
        <f t="shared" si="158"/>
        <v>0</v>
      </c>
      <c r="CT2242" s="22">
        <f t="shared" si="159"/>
        <v>0</v>
      </c>
      <c r="CU2242" s="22">
        <f t="shared" si="160"/>
        <v>0</v>
      </c>
      <c r="CV2242" s="26">
        <f t="shared" si="157"/>
        <v>1000</v>
      </c>
    </row>
    <row r="2243" spans="1:100" x14ac:dyDescent="0.2">
      <c r="A2243" s="9" t="s">
        <v>523</v>
      </c>
      <c r="B2243" s="2">
        <v>112</v>
      </c>
      <c r="C2243" s="3" t="s">
        <v>95</v>
      </c>
      <c r="D2243" s="3" t="s">
        <v>96</v>
      </c>
      <c r="E2243" s="2"/>
      <c r="F2243" s="2"/>
      <c r="G2243" s="2" t="s">
        <v>80</v>
      </c>
      <c r="H2243" s="2">
        <v>2</v>
      </c>
      <c r="I2243" s="8">
        <v>130.19999999999999</v>
      </c>
      <c r="J2243" s="8">
        <v>57866</v>
      </c>
      <c r="K2243" s="3">
        <v>0</v>
      </c>
      <c r="L2243" s="3" t="s">
        <v>3</v>
      </c>
      <c r="M2243" s="9" t="s">
        <v>0</v>
      </c>
      <c r="N2243" s="30" t="s">
        <v>46</v>
      </c>
      <c r="O2243" s="9" t="s">
        <v>550</v>
      </c>
      <c r="S2243" s="9" t="s">
        <v>158</v>
      </c>
      <c r="T2243" s="10" t="s">
        <v>80</v>
      </c>
      <c r="U2243" s="10">
        <v>2</v>
      </c>
      <c r="V2243" s="10">
        <v>130.19999999999999</v>
      </c>
      <c r="W2243" s="10" t="s">
        <v>710</v>
      </c>
      <c r="X2243" s="17">
        <v>45378</v>
      </c>
      <c r="Y2243" s="17">
        <v>45378</v>
      </c>
      <c r="Z2243" s="19" t="s">
        <v>772</v>
      </c>
      <c r="AA2243" s="210">
        <v>45000</v>
      </c>
      <c r="AB2243" s="9">
        <v>40</v>
      </c>
      <c r="AC2243" s="9">
        <v>37</v>
      </c>
      <c r="AD2243" s="17">
        <v>46539</v>
      </c>
      <c r="AE2243" s="56">
        <v>1000</v>
      </c>
      <c r="AF2243" s="56"/>
      <c r="AP2243" s="11"/>
      <c r="AQ2243" s="11"/>
      <c r="AR2243" s="11"/>
      <c r="AW2243" s="9"/>
      <c r="BD2243" s="9"/>
      <c r="CS2243" s="11">
        <f t="shared" si="158"/>
        <v>0</v>
      </c>
      <c r="CT2243" s="22">
        <f t="shared" si="159"/>
        <v>0</v>
      </c>
      <c r="CU2243" s="22">
        <f t="shared" si="160"/>
        <v>0</v>
      </c>
      <c r="CV2243" s="26">
        <f t="shared" si="157"/>
        <v>1000</v>
      </c>
    </row>
    <row r="2244" spans="1:100" x14ac:dyDescent="0.2">
      <c r="A2244" s="9" t="s">
        <v>523</v>
      </c>
      <c r="B2244" s="2">
        <v>112</v>
      </c>
      <c r="C2244" s="3" t="s">
        <v>95</v>
      </c>
      <c r="D2244" s="3" t="s">
        <v>96</v>
      </c>
      <c r="E2244" s="2"/>
      <c r="F2244" s="2"/>
      <c r="G2244" s="2" t="s">
        <v>80</v>
      </c>
      <c r="H2244" s="2">
        <v>2</v>
      </c>
      <c r="I2244" s="8">
        <v>130.19999999999999</v>
      </c>
      <c r="J2244" s="8">
        <v>57866</v>
      </c>
      <c r="K2244" s="3">
        <v>0</v>
      </c>
      <c r="L2244" s="3" t="s">
        <v>3</v>
      </c>
      <c r="M2244" s="9" t="s">
        <v>0</v>
      </c>
      <c r="N2244" s="30" t="s">
        <v>46</v>
      </c>
      <c r="O2244" s="9" t="s">
        <v>550</v>
      </c>
      <c r="S2244" s="9" t="s">
        <v>158</v>
      </c>
      <c r="T2244" s="10" t="s">
        <v>80</v>
      </c>
      <c r="U2244" s="10">
        <v>2</v>
      </c>
      <c r="V2244" s="10">
        <v>130.19999999999999</v>
      </c>
      <c r="W2244" s="10" t="s">
        <v>710</v>
      </c>
      <c r="X2244" s="17">
        <v>45378</v>
      </c>
      <c r="Y2244" s="17">
        <v>45378</v>
      </c>
      <c r="Z2244" s="19" t="s">
        <v>772</v>
      </c>
      <c r="AA2244" s="210">
        <v>45000</v>
      </c>
      <c r="AB2244" s="9">
        <v>40</v>
      </c>
      <c r="AC2244" s="9">
        <v>38</v>
      </c>
      <c r="AD2244" s="17">
        <v>46569</v>
      </c>
      <c r="AE2244" s="56">
        <v>1000</v>
      </c>
      <c r="AF2244" s="56"/>
      <c r="AP2244" s="11"/>
      <c r="AQ2244" s="11"/>
      <c r="AR2244" s="11"/>
      <c r="AW2244" s="9"/>
      <c r="BD2244" s="9"/>
      <c r="CS2244" s="11">
        <f t="shared" si="158"/>
        <v>0</v>
      </c>
      <c r="CT2244" s="22">
        <f t="shared" si="159"/>
        <v>0</v>
      </c>
      <c r="CU2244" s="22">
        <f t="shared" si="160"/>
        <v>0</v>
      </c>
      <c r="CV2244" s="26">
        <f t="shared" si="157"/>
        <v>1000</v>
      </c>
    </row>
    <row r="2245" spans="1:100" x14ac:dyDescent="0.2">
      <c r="A2245" s="9" t="s">
        <v>523</v>
      </c>
      <c r="B2245" s="2">
        <v>112</v>
      </c>
      <c r="C2245" s="3" t="s">
        <v>95</v>
      </c>
      <c r="D2245" s="3" t="s">
        <v>96</v>
      </c>
      <c r="E2245" s="2"/>
      <c r="F2245" s="2"/>
      <c r="G2245" s="2" t="s">
        <v>80</v>
      </c>
      <c r="H2245" s="2">
        <v>2</v>
      </c>
      <c r="I2245" s="8">
        <v>130.19999999999999</v>
      </c>
      <c r="J2245" s="8">
        <v>57866</v>
      </c>
      <c r="K2245" s="3">
        <v>0</v>
      </c>
      <c r="L2245" s="3" t="s">
        <v>3</v>
      </c>
      <c r="M2245" s="9" t="s">
        <v>0</v>
      </c>
      <c r="N2245" s="30" t="s">
        <v>46</v>
      </c>
      <c r="O2245" s="9" t="s">
        <v>550</v>
      </c>
      <c r="S2245" s="9" t="s">
        <v>158</v>
      </c>
      <c r="T2245" s="10" t="s">
        <v>80</v>
      </c>
      <c r="U2245" s="10">
        <v>2</v>
      </c>
      <c r="V2245" s="10">
        <v>130.19999999999999</v>
      </c>
      <c r="W2245" s="10" t="s">
        <v>710</v>
      </c>
      <c r="X2245" s="17">
        <v>45378</v>
      </c>
      <c r="Y2245" s="17">
        <v>45378</v>
      </c>
      <c r="Z2245" s="19" t="s">
        <v>772</v>
      </c>
      <c r="AA2245" s="210">
        <v>45000</v>
      </c>
      <c r="AB2245" s="9">
        <v>40</v>
      </c>
      <c r="AC2245" s="9">
        <v>39</v>
      </c>
      <c r="AD2245" s="17">
        <v>46600</v>
      </c>
      <c r="AE2245" s="56">
        <v>1000</v>
      </c>
      <c r="AF2245" s="56"/>
      <c r="AP2245" s="11"/>
      <c r="AQ2245" s="11"/>
      <c r="AR2245" s="11"/>
      <c r="AW2245" s="9"/>
      <c r="BD2245" s="9"/>
      <c r="CS2245" s="11">
        <f t="shared" si="158"/>
        <v>0</v>
      </c>
      <c r="CT2245" s="22">
        <f t="shared" si="159"/>
        <v>0</v>
      </c>
      <c r="CU2245" s="22">
        <f t="shared" si="160"/>
        <v>0</v>
      </c>
      <c r="CV2245" s="26">
        <f t="shared" si="157"/>
        <v>1000</v>
      </c>
    </row>
    <row r="2246" spans="1:100" x14ac:dyDescent="0.2">
      <c r="A2246" s="9" t="s">
        <v>523</v>
      </c>
      <c r="B2246" s="2">
        <v>112</v>
      </c>
      <c r="C2246" s="3" t="s">
        <v>95</v>
      </c>
      <c r="D2246" s="3" t="s">
        <v>96</v>
      </c>
      <c r="E2246" s="2"/>
      <c r="F2246" s="2"/>
      <c r="G2246" s="2" t="s">
        <v>80</v>
      </c>
      <c r="H2246" s="2">
        <v>2</v>
      </c>
      <c r="I2246" s="8">
        <v>130.19999999999999</v>
      </c>
      <c r="J2246" s="8">
        <v>57866</v>
      </c>
      <c r="K2246" s="3">
        <v>0</v>
      </c>
      <c r="L2246" s="3" t="s">
        <v>3</v>
      </c>
      <c r="M2246" s="9" t="s">
        <v>0</v>
      </c>
      <c r="N2246" s="30" t="s">
        <v>46</v>
      </c>
      <c r="O2246" s="9" t="s">
        <v>550</v>
      </c>
      <c r="S2246" s="9" t="s">
        <v>158</v>
      </c>
      <c r="T2246" s="10" t="s">
        <v>80</v>
      </c>
      <c r="U2246" s="10">
        <v>2</v>
      </c>
      <c r="V2246" s="10">
        <v>130.19999999999999</v>
      </c>
      <c r="W2246" s="10" t="s">
        <v>710</v>
      </c>
      <c r="X2246" s="17">
        <v>45378</v>
      </c>
      <c r="Y2246" s="17">
        <v>45378</v>
      </c>
      <c r="Z2246" s="19" t="s">
        <v>772</v>
      </c>
      <c r="AA2246" s="210">
        <v>45000</v>
      </c>
      <c r="AB2246" s="9">
        <v>40</v>
      </c>
      <c r="AC2246" s="9">
        <v>40</v>
      </c>
      <c r="AD2246" s="17">
        <v>46631</v>
      </c>
      <c r="AE2246" s="56">
        <v>1000</v>
      </c>
      <c r="AF2246" s="56"/>
      <c r="AP2246" s="11"/>
      <c r="AQ2246" s="11"/>
      <c r="AR2246" s="11"/>
      <c r="AW2246" s="9"/>
      <c r="BD2246" s="9"/>
      <c r="CS2246" s="11">
        <f t="shared" si="158"/>
        <v>0</v>
      </c>
      <c r="CT2246" s="22">
        <f t="shared" si="159"/>
        <v>0</v>
      </c>
      <c r="CU2246" s="22">
        <f t="shared" si="160"/>
        <v>0</v>
      </c>
      <c r="CV2246" s="26">
        <f t="shared" si="157"/>
        <v>1000</v>
      </c>
    </row>
    <row r="2247" spans="1:100" x14ac:dyDescent="0.2">
      <c r="A2247" s="9" t="s">
        <v>523</v>
      </c>
      <c r="B2247" s="2">
        <v>112</v>
      </c>
      <c r="C2247" s="3" t="s">
        <v>95</v>
      </c>
      <c r="D2247" s="3" t="s">
        <v>96</v>
      </c>
      <c r="E2247" s="2"/>
      <c r="F2247" s="2"/>
      <c r="G2247" s="2" t="s">
        <v>80</v>
      </c>
      <c r="H2247" s="2">
        <v>2</v>
      </c>
      <c r="I2247" s="8">
        <v>130.19999999999999</v>
      </c>
      <c r="J2247" s="8">
        <v>57866</v>
      </c>
      <c r="K2247" s="3">
        <v>0</v>
      </c>
      <c r="L2247" s="3" t="s">
        <v>3</v>
      </c>
      <c r="M2247" s="9" t="s">
        <v>0</v>
      </c>
      <c r="N2247" s="30" t="s">
        <v>46</v>
      </c>
      <c r="O2247" s="9" t="s">
        <v>550</v>
      </c>
      <c r="S2247" s="9" t="s">
        <v>556</v>
      </c>
      <c r="W2247" s="10" t="s">
        <v>710</v>
      </c>
      <c r="X2247" s="17">
        <v>45378</v>
      </c>
      <c r="Y2247" s="17">
        <v>45693</v>
      </c>
      <c r="Z2247" s="19" t="s">
        <v>772</v>
      </c>
      <c r="AA2247" s="210">
        <v>5000</v>
      </c>
      <c r="AB2247" s="9">
        <v>30</v>
      </c>
      <c r="AC2247" s="9">
        <v>0</v>
      </c>
      <c r="AD2247" s="17">
        <v>45382</v>
      </c>
      <c r="AE2247" s="56">
        <v>1000</v>
      </c>
      <c r="AF2247" s="56"/>
      <c r="AG2247" s="9" t="s">
        <v>134</v>
      </c>
      <c r="AH2247" s="17">
        <v>45382</v>
      </c>
      <c r="AI2247" s="17"/>
      <c r="AJ2247" s="17"/>
      <c r="AK2247" s="9" t="s">
        <v>557</v>
      </c>
      <c r="AL2247" s="11">
        <v>1000</v>
      </c>
      <c r="AN2247" s="11" t="s">
        <v>1282</v>
      </c>
      <c r="AP2247" s="11"/>
      <c r="AQ2247" s="11"/>
      <c r="AR2247" s="11"/>
      <c r="AW2247" s="17">
        <v>45378</v>
      </c>
      <c r="AX2247" s="9" t="s">
        <v>558</v>
      </c>
      <c r="AY2247" s="9">
        <v>3730</v>
      </c>
      <c r="AZ2247" s="9">
        <v>3.73</v>
      </c>
      <c r="BA2247" s="11">
        <f>+AY2247/AZ2247</f>
        <v>1000</v>
      </c>
      <c r="BD2247" s="9"/>
      <c r="CS2247" s="11">
        <f t="shared" si="158"/>
        <v>1000</v>
      </c>
      <c r="CT2247" s="22">
        <f t="shared" si="159"/>
        <v>1000</v>
      </c>
      <c r="CU2247" s="22">
        <f t="shared" si="160"/>
        <v>0</v>
      </c>
      <c r="CV2247" s="26">
        <f t="shared" si="157"/>
        <v>0</v>
      </c>
    </row>
    <row r="2248" spans="1:100" x14ac:dyDescent="0.2">
      <c r="A2248" s="9" t="s">
        <v>523</v>
      </c>
      <c r="B2248" s="2">
        <v>112</v>
      </c>
      <c r="C2248" s="3" t="s">
        <v>95</v>
      </c>
      <c r="D2248" s="3" t="s">
        <v>96</v>
      </c>
      <c r="E2248" s="2"/>
      <c r="F2248" s="2"/>
      <c r="G2248" s="2" t="s">
        <v>80</v>
      </c>
      <c r="H2248" s="2">
        <v>2</v>
      </c>
      <c r="I2248" s="8">
        <v>130.19999999999999</v>
      </c>
      <c r="J2248" s="8">
        <v>57866</v>
      </c>
      <c r="K2248" s="3">
        <v>0</v>
      </c>
      <c r="L2248" s="3" t="s">
        <v>3</v>
      </c>
      <c r="M2248" s="9" t="s">
        <v>0</v>
      </c>
      <c r="N2248" s="30" t="s">
        <v>46</v>
      </c>
      <c r="O2248" s="9" t="s">
        <v>550</v>
      </c>
      <c r="S2248" s="9" t="s">
        <v>556</v>
      </c>
      <c r="W2248" s="10" t="s">
        <v>710</v>
      </c>
      <c r="X2248" s="17">
        <v>45378</v>
      </c>
      <c r="Y2248" s="17">
        <v>45693</v>
      </c>
      <c r="Z2248" s="19" t="s">
        <v>772</v>
      </c>
      <c r="AA2248" s="210">
        <v>5000</v>
      </c>
      <c r="AB2248" s="9">
        <v>30</v>
      </c>
      <c r="AC2248" s="9">
        <v>1</v>
      </c>
      <c r="AD2248" s="17">
        <v>45597</v>
      </c>
      <c r="AE2248" s="56">
        <v>134</v>
      </c>
      <c r="AF2248" s="56"/>
      <c r="AP2248" s="11"/>
      <c r="AQ2248" s="11"/>
      <c r="AR2248" s="11"/>
      <c r="AW2248" s="9"/>
      <c r="BD2248" s="9"/>
      <c r="CS2248" s="11">
        <f t="shared" si="158"/>
        <v>0</v>
      </c>
      <c r="CT2248" s="22">
        <f t="shared" si="159"/>
        <v>0</v>
      </c>
      <c r="CU2248" s="22">
        <f t="shared" si="160"/>
        <v>0</v>
      </c>
      <c r="CV2248" s="26">
        <f t="shared" si="157"/>
        <v>134</v>
      </c>
    </row>
    <row r="2249" spans="1:100" x14ac:dyDescent="0.2">
      <c r="A2249" s="9" t="s">
        <v>523</v>
      </c>
      <c r="B2249" s="2">
        <v>112</v>
      </c>
      <c r="C2249" s="3" t="s">
        <v>95</v>
      </c>
      <c r="D2249" s="3" t="s">
        <v>96</v>
      </c>
      <c r="E2249" s="2"/>
      <c r="F2249" s="2"/>
      <c r="G2249" s="2" t="s">
        <v>80</v>
      </c>
      <c r="H2249" s="2">
        <v>2</v>
      </c>
      <c r="I2249" s="8">
        <v>130.19999999999999</v>
      </c>
      <c r="J2249" s="8">
        <v>57866</v>
      </c>
      <c r="K2249" s="3">
        <v>0</v>
      </c>
      <c r="L2249" s="3" t="s">
        <v>3</v>
      </c>
      <c r="M2249" s="9" t="s">
        <v>0</v>
      </c>
      <c r="N2249" s="30" t="s">
        <v>46</v>
      </c>
      <c r="O2249" s="9" t="s">
        <v>550</v>
      </c>
      <c r="S2249" s="9" t="s">
        <v>556</v>
      </c>
      <c r="W2249" s="10" t="s">
        <v>710</v>
      </c>
      <c r="X2249" s="17">
        <v>45378</v>
      </c>
      <c r="Y2249" s="17">
        <v>45693</v>
      </c>
      <c r="Z2249" s="19" t="s">
        <v>772</v>
      </c>
      <c r="AA2249" s="210">
        <v>5000</v>
      </c>
      <c r="AB2249" s="9">
        <v>30</v>
      </c>
      <c r="AC2249" s="9">
        <v>2</v>
      </c>
      <c r="AD2249" s="17">
        <v>45627</v>
      </c>
      <c r="AE2249" s="56">
        <v>134</v>
      </c>
      <c r="AF2249" s="56"/>
      <c r="AP2249" s="11"/>
      <c r="AQ2249" s="11"/>
      <c r="AR2249" s="11"/>
      <c r="AW2249" s="9"/>
      <c r="BD2249" s="9"/>
      <c r="CS2249" s="11">
        <f t="shared" si="158"/>
        <v>0</v>
      </c>
      <c r="CT2249" s="22">
        <f t="shared" si="159"/>
        <v>0</v>
      </c>
      <c r="CU2249" s="22">
        <f t="shared" si="160"/>
        <v>0</v>
      </c>
      <c r="CV2249" s="26">
        <f t="shared" si="157"/>
        <v>134</v>
      </c>
    </row>
    <row r="2250" spans="1:100" x14ac:dyDescent="0.2">
      <c r="A2250" s="9" t="s">
        <v>523</v>
      </c>
      <c r="B2250" s="2">
        <v>112</v>
      </c>
      <c r="C2250" s="3" t="s">
        <v>95</v>
      </c>
      <c r="D2250" s="3" t="s">
        <v>96</v>
      </c>
      <c r="E2250" s="2"/>
      <c r="F2250" s="2"/>
      <c r="G2250" s="2" t="s">
        <v>80</v>
      </c>
      <c r="H2250" s="2">
        <v>2</v>
      </c>
      <c r="I2250" s="8">
        <v>130.19999999999999</v>
      </c>
      <c r="J2250" s="8">
        <v>57866</v>
      </c>
      <c r="K2250" s="3">
        <v>0</v>
      </c>
      <c r="L2250" s="3" t="s">
        <v>3</v>
      </c>
      <c r="M2250" s="9" t="s">
        <v>0</v>
      </c>
      <c r="N2250" s="30" t="s">
        <v>46</v>
      </c>
      <c r="O2250" s="9" t="s">
        <v>550</v>
      </c>
      <c r="S2250" s="9" t="s">
        <v>556</v>
      </c>
      <c r="W2250" s="10" t="s">
        <v>710</v>
      </c>
      <c r="X2250" s="17">
        <v>45378</v>
      </c>
      <c r="Y2250" s="17">
        <v>45693</v>
      </c>
      <c r="Z2250" s="19" t="s">
        <v>772</v>
      </c>
      <c r="AA2250" s="210">
        <v>5000</v>
      </c>
      <c r="AB2250" s="9">
        <v>30</v>
      </c>
      <c r="AC2250" s="9">
        <v>3</v>
      </c>
      <c r="AD2250" s="17">
        <v>45658</v>
      </c>
      <c r="AE2250" s="56">
        <v>134</v>
      </c>
      <c r="AF2250" s="56"/>
      <c r="AP2250" s="11"/>
      <c r="AQ2250" s="11"/>
      <c r="AR2250" s="11"/>
      <c r="AW2250" s="9"/>
      <c r="BD2250" s="9"/>
      <c r="CS2250" s="11">
        <f t="shared" si="158"/>
        <v>0</v>
      </c>
      <c r="CT2250" s="22">
        <f t="shared" si="159"/>
        <v>0</v>
      </c>
      <c r="CU2250" s="22">
        <f t="shared" si="160"/>
        <v>0</v>
      </c>
      <c r="CV2250" s="26">
        <f t="shared" si="157"/>
        <v>134</v>
      </c>
    </row>
    <row r="2251" spans="1:100" x14ac:dyDescent="0.2">
      <c r="A2251" s="9" t="s">
        <v>523</v>
      </c>
      <c r="B2251" s="2">
        <v>112</v>
      </c>
      <c r="C2251" s="3" t="s">
        <v>95</v>
      </c>
      <c r="D2251" s="3" t="s">
        <v>96</v>
      </c>
      <c r="E2251" s="2"/>
      <c r="F2251" s="2"/>
      <c r="G2251" s="2" t="s">
        <v>80</v>
      </c>
      <c r="H2251" s="2">
        <v>2</v>
      </c>
      <c r="I2251" s="8">
        <v>130.19999999999999</v>
      </c>
      <c r="J2251" s="8">
        <v>57866</v>
      </c>
      <c r="K2251" s="3">
        <v>0</v>
      </c>
      <c r="L2251" s="3" t="s">
        <v>3</v>
      </c>
      <c r="M2251" s="9" t="s">
        <v>0</v>
      </c>
      <c r="N2251" s="30" t="s">
        <v>46</v>
      </c>
      <c r="O2251" s="9" t="s">
        <v>550</v>
      </c>
      <c r="S2251" s="9" t="s">
        <v>556</v>
      </c>
      <c r="W2251" s="10" t="s">
        <v>710</v>
      </c>
      <c r="X2251" s="17">
        <v>45378</v>
      </c>
      <c r="Y2251" s="17">
        <v>45693</v>
      </c>
      <c r="Z2251" s="19" t="s">
        <v>772</v>
      </c>
      <c r="AA2251" s="210">
        <v>5000</v>
      </c>
      <c r="AB2251" s="9">
        <v>30</v>
      </c>
      <c r="AC2251" s="9">
        <v>4</v>
      </c>
      <c r="AD2251" s="17">
        <v>45689</v>
      </c>
      <c r="AE2251" s="56">
        <v>134</v>
      </c>
      <c r="AF2251" s="56"/>
      <c r="AP2251" s="11"/>
      <c r="AQ2251" s="11"/>
      <c r="AR2251" s="11"/>
      <c r="AW2251" s="9"/>
      <c r="BD2251" s="9"/>
      <c r="CS2251" s="11">
        <f t="shared" si="158"/>
        <v>0</v>
      </c>
      <c r="CT2251" s="22">
        <f t="shared" si="159"/>
        <v>0</v>
      </c>
      <c r="CU2251" s="22">
        <f t="shared" si="160"/>
        <v>0</v>
      </c>
      <c r="CV2251" s="26">
        <f t="shared" si="157"/>
        <v>134</v>
      </c>
    </row>
    <row r="2252" spans="1:100" x14ac:dyDescent="0.2">
      <c r="A2252" s="9" t="s">
        <v>523</v>
      </c>
      <c r="B2252" s="2">
        <v>112</v>
      </c>
      <c r="C2252" s="3" t="s">
        <v>95</v>
      </c>
      <c r="D2252" s="3" t="s">
        <v>96</v>
      </c>
      <c r="E2252" s="2"/>
      <c r="F2252" s="2"/>
      <c r="G2252" s="2" t="s">
        <v>80</v>
      </c>
      <c r="H2252" s="2">
        <v>2</v>
      </c>
      <c r="I2252" s="8">
        <v>130.19999999999999</v>
      </c>
      <c r="J2252" s="8">
        <v>57866</v>
      </c>
      <c r="K2252" s="3">
        <v>0</v>
      </c>
      <c r="L2252" s="3" t="s">
        <v>3</v>
      </c>
      <c r="M2252" s="9" t="s">
        <v>0</v>
      </c>
      <c r="N2252" s="30" t="s">
        <v>46</v>
      </c>
      <c r="O2252" s="9" t="s">
        <v>550</v>
      </c>
      <c r="S2252" s="9" t="s">
        <v>556</v>
      </c>
      <c r="W2252" s="10" t="s">
        <v>710</v>
      </c>
      <c r="X2252" s="17">
        <v>45378</v>
      </c>
      <c r="Y2252" s="17">
        <v>45693</v>
      </c>
      <c r="Z2252" s="19" t="s">
        <v>772</v>
      </c>
      <c r="AA2252" s="210">
        <v>5000</v>
      </c>
      <c r="AB2252" s="9">
        <v>30</v>
      </c>
      <c r="AC2252" s="9">
        <v>5</v>
      </c>
      <c r="AD2252" s="17">
        <v>45717</v>
      </c>
      <c r="AE2252" s="56">
        <v>134</v>
      </c>
      <c r="AF2252" s="56"/>
      <c r="AP2252" s="11"/>
      <c r="AQ2252" s="11"/>
      <c r="AR2252" s="11"/>
      <c r="AW2252" s="9"/>
      <c r="BD2252" s="9"/>
      <c r="CS2252" s="11">
        <f t="shared" si="158"/>
        <v>0</v>
      </c>
      <c r="CT2252" s="22">
        <f t="shared" si="159"/>
        <v>0</v>
      </c>
      <c r="CU2252" s="22">
        <f t="shared" si="160"/>
        <v>0</v>
      </c>
      <c r="CV2252" s="26">
        <f t="shared" si="157"/>
        <v>134</v>
      </c>
    </row>
    <row r="2253" spans="1:100" x14ac:dyDescent="0.2">
      <c r="A2253" s="9" t="s">
        <v>523</v>
      </c>
      <c r="B2253" s="2">
        <v>112</v>
      </c>
      <c r="C2253" s="3" t="s">
        <v>95</v>
      </c>
      <c r="D2253" s="3" t="s">
        <v>96</v>
      </c>
      <c r="E2253" s="2"/>
      <c r="F2253" s="2"/>
      <c r="G2253" s="2" t="s">
        <v>80</v>
      </c>
      <c r="H2253" s="2">
        <v>2</v>
      </c>
      <c r="I2253" s="8">
        <v>130.19999999999999</v>
      </c>
      <c r="J2253" s="8">
        <v>57866</v>
      </c>
      <c r="K2253" s="3">
        <v>0</v>
      </c>
      <c r="L2253" s="3" t="s">
        <v>3</v>
      </c>
      <c r="M2253" s="9" t="s">
        <v>0</v>
      </c>
      <c r="N2253" s="30" t="s">
        <v>46</v>
      </c>
      <c r="O2253" s="9" t="s">
        <v>550</v>
      </c>
      <c r="S2253" s="9" t="s">
        <v>556</v>
      </c>
      <c r="W2253" s="10" t="s">
        <v>710</v>
      </c>
      <c r="X2253" s="17">
        <v>45378</v>
      </c>
      <c r="Y2253" s="17">
        <v>45693</v>
      </c>
      <c r="Z2253" s="19" t="s">
        <v>772</v>
      </c>
      <c r="AA2253" s="210">
        <v>5000</v>
      </c>
      <c r="AB2253" s="9">
        <v>30</v>
      </c>
      <c r="AC2253" s="9">
        <v>6</v>
      </c>
      <c r="AD2253" s="17">
        <v>45748</v>
      </c>
      <c r="AE2253" s="56">
        <v>134</v>
      </c>
      <c r="AF2253" s="56"/>
      <c r="AP2253" s="11"/>
      <c r="AQ2253" s="11"/>
      <c r="AR2253" s="11"/>
      <c r="AW2253" s="9"/>
      <c r="BD2253" s="9"/>
      <c r="CS2253" s="11">
        <f t="shared" si="158"/>
        <v>0</v>
      </c>
      <c r="CT2253" s="22">
        <f t="shared" si="159"/>
        <v>0</v>
      </c>
      <c r="CU2253" s="22">
        <f t="shared" si="160"/>
        <v>0</v>
      </c>
      <c r="CV2253" s="26">
        <f t="shared" si="157"/>
        <v>134</v>
      </c>
    </row>
    <row r="2254" spans="1:100" x14ac:dyDescent="0.2">
      <c r="A2254" s="9" t="s">
        <v>523</v>
      </c>
      <c r="B2254" s="2">
        <v>112</v>
      </c>
      <c r="C2254" s="3" t="s">
        <v>95</v>
      </c>
      <c r="D2254" s="3" t="s">
        <v>96</v>
      </c>
      <c r="E2254" s="2"/>
      <c r="F2254" s="2"/>
      <c r="G2254" s="2" t="s">
        <v>80</v>
      </c>
      <c r="H2254" s="2">
        <v>2</v>
      </c>
      <c r="I2254" s="8">
        <v>130.19999999999999</v>
      </c>
      <c r="J2254" s="8">
        <v>57866</v>
      </c>
      <c r="K2254" s="3">
        <v>0</v>
      </c>
      <c r="L2254" s="3" t="s">
        <v>3</v>
      </c>
      <c r="M2254" s="9" t="s">
        <v>0</v>
      </c>
      <c r="N2254" s="30" t="s">
        <v>46</v>
      </c>
      <c r="O2254" s="9" t="s">
        <v>550</v>
      </c>
      <c r="S2254" s="9" t="s">
        <v>556</v>
      </c>
      <c r="W2254" s="10" t="s">
        <v>710</v>
      </c>
      <c r="X2254" s="17">
        <v>45378</v>
      </c>
      <c r="Y2254" s="17">
        <v>45693</v>
      </c>
      <c r="Z2254" s="19" t="s">
        <v>772</v>
      </c>
      <c r="AA2254" s="210">
        <v>5000</v>
      </c>
      <c r="AB2254" s="9">
        <v>30</v>
      </c>
      <c r="AC2254" s="9">
        <v>7</v>
      </c>
      <c r="AD2254" s="17">
        <v>45778</v>
      </c>
      <c r="AE2254" s="56">
        <v>134</v>
      </c>
      <c r="AF2254" s="56"/>
      <c r="AP2254" s="11"/>
      <c r="AQ2254" s="11"/>
      <c r="AR2254" s="11"/>
      <c r="AW2254" s="9"/>
      <c r="BD2254" s="9"/>
      <c r="CS2254" s="11">
        <f t="shared" si="158"/>
        <v>0</v>
      </c>
      <c r="CT2254" s="22">
        <f t="shared" si="159"/>
        <v>0</v>
      </c>
      <c r="CU2254" s="22">
        <f t="shared" si="160"/>
        <v>0</v>
      </c>
      <c r="CV2254" s="26">
        <f t="shared" si="157"/>
        <v>134</v>
      </c>
    </row>
    <row r="2255" spans="1:100" x14ac:dyDescent="0.2">
      <c r="A2255" s="9" t="s">
        <v>523</v>
      </c>
      <c r="B2255" s="2">
        <v>112</v>
      </c>
      <c r="C2255" s="3" t="s">
        <v>95</v>
      </c>
      <c r="D2255" s="3" t="s">
        <v>96</v>
      </c>
      <c r="E2255" s="2"/>
      <c r="F2255" s="2"/>
      <c r="G2255" s="2" t="s">
        <v>80</v>
      </c>
      <c r="H2255" s="2">
        <v>2</v>
      </c>
      <c r="I2255" s="8">
        <v>130.19999999999999</v>
      </c>
      <c r="J2255" s="8">
        <v>57866</v>
      </c>
      <c r="K2255" s="3">
        <v>0</v>
      </c>
      <c r="L2255" s="3" t="s">
        <v>3</v>
      </c>
      <c r="M2255" s="9" t="s">
        <v>0</v>
      </c>
      <c r="N2255" s="30" t="s">
        <v>46</v>
      </c>
      <c r="O2255" s="9" t="s">
        <v>550</v>
      </c>
      <c r="S2255" s="9" t="s">
        <v>556</v>
      </c>
      <c r="W2255" s="10" t="s">
        <v>710</v>
      </c>
      <c r="X2255" s="17">
        <v>45378</v>
      </c>
      <c r="Y2255" s="17">
        <v>45693</v>
      </c>
      <c r="Z2255" s="19" t="s">
        <v>772</v>
      </c>
      <c r="AA2255" s="210">
        <v>5000</v>
      </c>
      <c r="AB2255" s="9">
        <v>30</v>
      </c>
      <c r="AC2255" s="9">
        <v>8</v>
      </c>
      <c r="AD2255" s="17">
        <v>45809</v>
      </c>
      <c r="AE2255" s="56">
        <v>134</v>
      </c>
      <c r="AF2255" s="56"/>
      <c r="AP2255" s="11"/>
      <c r="AQ2255" s="11"/>
      <c r="AR2255" s="11"/>
      <c r="AW2255" s="9"/>
      <c r="BD2255" s="9"/>
      <c r="CS2255" s="11">
        <f t="shared" si="158"/>
        <v>0</v>
      </c>
      <c r="CT2255" s="22">
        <f t="shared" si="159"/>
        <v>0</v>
      </c>
      <c r="CU2255" s="22">
        <f t="shared" si="160"/>
        <v>0</v>
      </c>
      <c r="CV2255" s="26">
        <f t="shared" si="157"/>
        <v>134</v>
      </c>
    </row>
    <row r="2256" spans="1:100" x14ac:dyDescent="0.2">
      <c r="A2256" s="9" t="s">
        <v>523</v>
      </c>
      <c r="B2256" s="2">
        <v>112</v>
      </c>
      <c r="C2256" s="3" t="s">
        <v>95</v>
      </c>
      <c r="D2256" s="3" t="s">
        <v>96</v>
      </c>
      <c r="E2256" s="2"/>
      <c r="F2256" s="2"/>
      <c r="G2256" s="2" t="s">
        <v>80</v>
      </c>
      <c r="H2256" s="2">
        <v>2</v>
      </c>
      <c r="I2256" s="8">
        <v>130.19999999999999</v>
      </c>
      <c r="J2256" s="8">
        <v>57866</v>
      </c>
      <c r="K2256" s="3">
        <v>0</v>
      </c>
      <c r="L2256" s="3" t="s">
        <v>3</v>
      </c>
      <c r="M2256" s="9" t="s">
        <v>0</v>
      </c>
      <c r="N2256" s="30" t="s">
        <v>46</v>
      </c>
      <c r="O2256" s="9" t="s">
        <v>550</v>
      </c>
      <c r="S2256" s="9" t="s">
        <v>556</v>
      </c>
      <c r="W2256" s="10" t="s">
        <v>710</v>
      </c>
      <c r="X2256" s="17">
        <v>45378</v>
      </c>
      <c r="Y2256" s="17">
        <v>45693</v>
      </c>
      <c r="Z2256" s="19" t="s">
        <v>772</v>
      </c>
      <c r="AA2256" s="210">
        <v>5000</v>
      </c>
      <c r="AB2256" s="9">
        <v>30</v>
      </c>
      <c r="AC2256" s="9">
        <v>9</v>
      </c>
      <c r="AD2256" s="17">
        <v>45839</v>
      </c>
      <c r="AE2256" s="56">
        <v>134</v>
      </c>
      <c r="AF2256" s="56"/>
      <c r="AP2256" s="11"/>
      <c r="AQ2256" s="11"/>
      <c r="AR2256" s="11"/>
      <c r="AW2256" s="9"/>
      <c r="BD2256" s="9"/>
      <c r="CS2256" s="11">
        <f t="shared" si="158"/>
        <v>0</v>
      </c>
      <c r="CT2256" s="22">
        <f t="shared" si="159"/>
        <v>0</v>
      </c>
      <c r="CU2256" s="22">
        <f t="shared" si="160"/>
        <v>0</v>
      </c>
      <c r="CV2256" s="26">
        <f t="shared" si="157"/>
        <v>134</v>
      </c>
    </row>
    <row r="2257" spans="1:100" x14ac:dyDescent="0.2">
      <c r="A2257" s="9" t="s">
        <v>523</v>
      </c>
      <c r="B2257" s="2">
        <v>112</v>
      </c>
      <c r="C2257" s="3" t="s">
        <v>95</v>
      </c>
      <c r="D2257" s="3" t="s">
        <v>96</v>
      </c>
      <c r="E2257" s="2"/>
      <c r="F2257" s="2"/>
      <c r="G2257" s="2" t="s">
        <v>80</v>
      </c>
      <c r="H2257" s="2">
        <v>2</v>
      </c>
      <c r="I2257" s="8">
        <v>130.19999999999999</v>
      </c>
      <c r="J2257" s="8">
        <v>57866</v>
      </c>
      <c r="K2257" s="3">
        <v>0</v>
      </c>
      <c r="L2257" s="3" t="s">
        <v>3</v>
      </c>
      <c r="M2257" s="9" t="s">
        <v>0</v>
      </c>
      <c r="N2257" s="30" t="s">
        <v>46</v>
      </c>
      <c r="O2257" s="9" t="s">
        <v>550</v>
      </c>
      <c r="S2257" s="9" t="s">
        <v>556</v>
      </c>
      <c r="W2257" s="10" t="s">
        <v>710</v>
      </c>
      <c r="X2257" s="17">
        <v>45378</v>
      </c>
      <c r="Y2257" s="17">
        <v>45693</v>
      </c>
      <c r="Z2257" s="19" t="s">
        <v>772</v>
      </c>
      <c r="AA2257" s="210">
        <v>5000</v>
      </c>
      <c r="AB2257" s="9">
        <v>30</v>
      </c>
      <c r="AC2257" s="9">
        <v>10</v>
      </c>
      <c r="AD2257" s="17">
        <v>45870</v>
      </c>
      <c r="AE2257" s="56">
        <v>134</v>
      </c>
      <c r="AF2257" s="56"/>
      <c r="AP2257" s="11"/>
      <c r="AQ2257" s="11"/>
      <c r="AR2257" s="11"/>
      <c r="AW2257" s="9"/>
      <c r="BD2257" s="9"/>
      <c r="CS2257" s="11">
        <f t="shared" si="158"/>
        <v>0</v>
      </c>
      <c r="CT2257" s="22">
        <f t="shared" si="159"/>
        <v>0</v>
      </c>
      <c r="CU2257" s="22">
        <f t="shared" si="160"/>
        <v>0</v>
      </c>
      <c r="CV2257" s="26">
        <f t="shared" si="157"/>
        <v>134</v>
      </c>
    </row>
    <row r="2258" spans="1:100" x14ac:dyDescent="0.2">
      <c r="A2258" s="9" t="s">
        <v>523</v>
      </c>
      <c r="B2258" s="2">
        <v>112</v>
      </c>
      <c r="C2258" s="3" t="s">
        <v>95</v>
      </c>
      <c r="D2258" s="3" t="s">
        <v>96</v>
      </c>
      <c r="E2258" s="2"/>
      <c r="F2258" s="2"/>
      <c r="G2258" s="2" t="s">
        <v>80</v>
      </c>
      <c r="H2258" s="2">
        <v>2</v>
      </c>
      <c r="I2258" s="8">
        <v>130.19999999999999</v>
      </c>
      <c r="J2258" s="8">
        <v>57866</v>
      </c>
      <c r="K2258" s="3">
        <v>0</v>
      </c>
      <c r="L2258" s="3" t="s">
        <v>3</v>
      </c>
      <c r="M2258" s="9" t="s">
        <v>0</v>
      </c>
      <c r="N2258" s="30" t="s">
        <v>46</v>
      </c>
      <c r="O2258" s="9" t="s">
        <v>550</v>
      </c>
      <c r="S2258" s="9" t="s">
        <v>556</v>
      </c>
      <c r="W2258" s="10" t="s">
        <v>710</v>
      </c>
      <c r="X2258" s="17">
        <v>45378</v>
      </c>
      <c r="Y2258" s="17">
        <v>45693</v>
      </c>
      <c r="Z2258" s="19" t="s">
        <v>772</v>
      </c>
      <c r="AA2258" s="210">
        <v>5000</v>
      </c>
      <c r="AB2258" s="9">
        <v>30</v>
      </c>
      <c r="AC2258" s="9">
        <v>11</v>
      </c>
      <c r="AD2258" s="17">
        <v>45901</v>
      </c>
      <c r="AE2258" s="56">
        <v>134</v>
      </c>
      <c r="AF2258" s="56"/>
      <c r="AP2258" s="11"/>
      <c r="AQ2258" s="11"/>
      <c r="AR2258" s="11"/>
      <c r="AW2258" s="9"/>
      <c r="BD2258" s="9"/>
      <c r="CS2258" s="11">
        <f t="shared" si="158"/>
        <v>0</v>
      </c>
      <c r="CT2258" s="22">
        <f t="shared" si="159"/>
        <v>0</v>
      </c>
      <c r="CU2258" s="22">
        <f t="shared" si="160"/>
        <v>0</v>
      </c>
      <c r="CV2258" s="26">
        <f t="shared" si="157"/>
        <v>134</v>
      </c>
    </row>
    <row r="2259" spans="1:100" x14ac:dyDescent="0.2">
      <c r="A2259" s="9" t="s">
        <v>523</v>
      </c>
      <c r="B2259" s="2">
        <v>112</v>
      </c>
      <c r="C2259" s="3" t="s">
        <v>95</v>
      </c>
      <c r="D2259" s="3" t="s">
        <v>96</v>
      </c>
      <c r="E2259" s="2"/>
      <c r="F2259" s="2"/>
      <c r="G2259" s="2" t="s">
        <v>80</v>
      </c>
      <c r="H2259" s="2">
        <v>2</v>
      </c>
      <c r="I2259" s="8">
        <v>130.19999999999999</v>
      </c>
      <c r="J2259" s="8">
        <v>57866</v>
      </c>
      <c r="K2259" s="3">
        <v>0</v>
      </c>
      <c r="L2259" s="3" t="s">
        <v>3</v>
      </c>
      <c r="M2259" s="9" t="s">
        <v>0</v>
      </c>
      <c r="N2259" s="30" t="s">
        <v>46</v>
      </c>
      <c r="O2259" s="9" t="s">
        <v>550</v>
      </c>
      <c r="S2259" s="9" t="s">
        <v>556</v>
      </c>
      <c r="W2259" s="10" t="s">
        <v>710</v>
      </c>
      <c r="X2259" s="17">
        <v>45378</v>
      </c>
      <c r="Y2259" s="17">
        <v>45693</v>
      </c>
      <c r="Z2259" s="19" t="s">
        <v>772</v>
      </c>
      <c r="AA2259" s="210">
        <v>5000</v>
      </c>
      <c r="AB2259" s="9">
        <v>30</v>
      </c>
      <c r="AC2259" s="9">
        <v>12</v>
      </c>
      <c r="AD2259" s="17">
        <v>45931</v>
      </c>
      <c r="AE2259" s="56">
        <v>134</v>
      </c>
      <c r="AF2259" s="56"/>
      <c r="AP2259" s="11"/>
      <c r="AQ2259" s="11"/>
      <c r="AR2259" s="11"/>
      <c r="AW2259" s="9"/>
      <c r="BD2259" s="9"/>
      <c r="CS2259" s="11">
        <f t="shared" si="158"/>
        <v>0</v>
      </c>
      <c r="CT2259" s="22">
        <f t="shared" si="159"/>
        <v>0</v>
      </c>
      <c r="CU2259" s="22">
        <f t="shared" si="160"/>
        <v>0</v>
      </c>
      <c r="CV2259" s="26">
        <f t="shared" si="157"/>
        <v>134</v>
      </c>
    </row>
    <row r="2260" spans="1:100" x14ac:dyDescent="0.2">
      <c r="A2260" s="9" t="s">
        <v>523</v>
      </c>
      <c r="B2260" s="2">
        <v>112</v>
      </c>
      <c r="C2260" s="3" t="s">
        <v>95</v>
      </c>
      <c r="D2260" s="3" t="s">
        <v>96</v>
      </c>
      <c r="E2260" s="2"/>
      <c r="F2260" s="2"/>
      <c r="G2260" s="2" t="s">
        <v>80</v>
      </c>
      <c r="H2260" s="2">
        <v>2</v>
      </c>
      <c r="I2260" s="8">
        <v>130.19999999999999</v>
      </c>
      <c r="J2260" s="8">
        <v>57866</v>
      </c>
      <c r="K2260" s="3">
        <v>0</v>
      </c>
      <c r="L2260" s="3" t="s">
        <v>3</v>
      </c>
      <c r="M2260" s="9" t="s">
        <v>0</v>
      </c>
      <c r="N2260" s="30" t="s">
        <v>46</v>
      </c>
      <c r="O2260" s="9" t="s">
        <v>550</v>
      </c>
      <c r="S2260" s="9" t="s">
        <v>556</v>
      </c>
      <c r="W2260" s="10" t="s">
        <v>710</v>
      </c>
      <c r="X2260" s="17">
        <v>45378</v>
      </c>
      <c r="Y2260" s="17">
        <v>45693</v>
      </c>
      <c r="Z2260" s="19" t="s">
        <v>772</v>
      </c>
      <c r="AA2260" s="210">
        <v>5000</v>
      </c>
      <c r="AB2260" s="9">
        <v>30</v>
      </c>
      <c r="AC2260" s="9">
        <v>13</v>
      </c>
      <c r="AD2260" s="17">
        <v>45962</v>
      </c>
      <c r="AE2260" s="56">
        <v>134</v>
      </c>
      <c r="AF2260" s="56"/>
      <c r="AP2260" s="11"/>
      <c r="AQ2260" s="11"/>
      <c r="AR2260" s="11"/>
      <c r="AW2260" s="9"/>
      <c r="BD2260" s="9"/>
      <c r="CS2260" s="11">
        <f t="shared" si="158"/>
        <v>0</v>
      </c>
      <c r="CT2260" s="22">
        <f t="shared" si="159"/>
        <v>0</v>
      </c>
      <c r="CU2260" s="22">
        <f t="shared" si="160"/>
        <v>0</v>
      </c>
      <c r="CV2260" s="26">
        <f t="shared" si="157"/>
        <v>134</v>
      </c>
    </row>
    <row r="2261" spans="1:100" x14ac:dyDescent="0.2">
      <c r="A2261" s="9" t="s">
        <v>523</v>
      </c>
      <c r="B2261" s="2">
        <v>112</v>
      </c>
      <c r="C2261" s="3" t="s">
        <v>95</v>
      </c>
      <c r="D2261" s="3" t="s">
        <v>96</v>
      </c>
      <c r="E2261" s="2"/>
      <c r="F2261" s="2"/>
      <c r="G2261" s="2" t="s">
        <v>80</v>
      </c>
      <c r="H2261" s="2">
        <v>2</v>
      </c>
      <c r="I2261" s="8">
        <v>130.19999999999999</v>
      </c>
      <c r="J2261" s="8">
        <v>57866</v>
      </c>
      <c r="K2261" s="3">
        <v>0</v>
      </c>
      <c r="L2261" s="3" t="s">
        <v>3</v>
      </c>
      <c r="M2261" s="9" t="s">
        <v>0</v>
      </c>
      <c r="N2261" s="30" t="s">
        <v>46</v>
      </c>
      <c r="O2261" s="9" t="s">
        <v>550</v>
      </c>
      <c r="S2261" s="9" t="s">
        <v>556</v>
      </c>
      <c r="W2261" s="10" t="s">
        <v>710</v>
      </c>
      <c r="X2261" s="17">
        <v>45378</v>
      </c>
      <c r="Y2261" s="17">
        <v>45693</v>
      </c>
      <c r="Z2261" s="19" t="s">
        <v>772</v>
      </c>
      <c r="AA2261" s="210">
        <v>5000</v>
      </c>
      <c r="AB2261" s="9">
        <v>30</v>
      </c>
      <c r="AC2261" s="9">
        <v>14</v>
      </c>
      <c r="AD2261" s="17">
        <v>45992</v>
      </c>
      <c r="AE2261" s="56">
        <v>134</v>
      </c>
      <c r="AF2261" s="56"/>
      <c r="AP2261" s="11"/>
      <c r="AQ2261" s="11"/>
      <c r="AR2261" s="11"/>
      <c r="AW2261" s="9"/>
      <c r="BD2261" s="9"/>
      <c r="CS2261" s="11">
        <f t="shared" si="158"/>
        <v>0</v>
      </c>
      <c r="CT2261" s="22">
        <f t="shared" si="159"/>
        <v>0</v>
      </c>
      <c r="CU2261" s="22">
        <f t="shared" si="160"/>
        <v>0</v>
      </c>
      <c r="CV2261" s="26">
        <f t="shared" si="157"/>
        <v>134</v>
      </c>
    </row>
    <row r="2262" spans="1:100" x14ac:dyDescent="0.2">
      <c r="A2262" s="9" t="s">
        <v>523</v>
      </c>
      <c r="B2262" s="2">
        <v>112</v>
      </c>
      <c r="C2262" s="3" t="s">
        <v>95</v>
      </c>
      <c r="D2262" s="3" t="s">
        <v>96</v>
      </c>
      <c r="E2262" s="2"/>
      <c r="F2262" s="2"/>
      <c r="G2262" s="2" t="s">
        <v>80</v>
      </c>
      <c r="H2262" s="2">
        <v>2</v>
      </c>
      <c r="I2262" s="8">
        <v>130.19999999999999</v>
      </c>
      <c r="J2262" s="8">
        <v>57866</v>
      </c>
      <c r="K2262" s="3">
        <v>0</v>
      </c>
      <c r="L2262" s="3" t="s">
        <v>3</v>
      </c>
      <c r="M2262" s="9" t="s">
        <v>0</v>
      </c>
      <c r="N2262" s="30" t="s">
        <v>46</v>
      </c>
      <c r="O2262" s="9" t="s">
        <v>550</v>
      </c>
      <c r="S2262" s="9" t="s">
        <v>556</v>
      </c>
      <c r="W2262" s="10" t="s">
        <v>710</v>
      </c>
      <c r="X2262" s="17">
        <v>45378</v>
      </c>
      <c r="Y2262" s="17">
        <v>45693</v>
      </c>
      <c r="Z2262" s="19" t="s">
        <v>772</v>
      </c>
      <c r="AA2262" s="210">
        <v>5000</v>
      </c>
      <c r="AB2262" s="9">
        <v>30</v>
      </c>
      <c r="AC2262" s="9">
        <v>15</v>
      </c>
      <c r="AD2262" s="17">
        <v>46023</v>
      </c>
      <c r="AE2262" s="56">
        <v>134</v>
      </c>
      <c r="AF2262" s="56"/>
      <c r="AP2262" s="11"/>
      <c r="AQ2262" s="11"/>
      <c r="AR2262" s="11"/>
      <c r="AW2262" s="9"/>
      <c r="BD2262" s="9"/>
      <c r="CS2262" s="11">
        <f t="shared" si="158"/>
        <v>0</v>
      </c>
      <c r="CT2262" s="22">
        <f t="shared" si="159"/>
        <v>0</v>
      </c>
      <c r="CU2262" s="22">
        <f t="shared" si="160"/>
        <v>0</v>
      </c>
      <c r="CV2262" s="26">
        <f t="shared" si="157"/>
        <v>134</v>
      </c>
    </row>
    <row r="2263" spans="1:100" x14ac:dyDescent="0.2">
      <c r="A2263" s="9" t="s">
        <v>523</v>
      </c>
      <c r="B2263" s="2">
        <v>112</v>
      </c>
      <c r="C2263" s="3" t="s">
        <v>95</v>
      </c>
      <c r="D2263" s="3" t="s">
        <v>96</v>
      </c>
      <c r="E2263" s="2"/>
      <c r="F2263" s="2"/>
      <c r="G2263" s="2" t="s">
        <v>80</v>
      </c>
      <c r="H2263" s="2">
        <v>2</v>
      </c>
      <c r="I2263" s="8">
        <v>130.19999999999999</v>
      </c>
      <c r="J2263" s="8">
        <v>57866</v>
      </c>
      <c r="K2263" s="3">
        <v>0</v>
      </c>
      <c r="L2263" s="3" t="s">
        <v>3</v>
      </c>
      <c r="M2263" s="9" t="s">
        <v>0</v>
      </c>
      <c r="N2263" s="30" t="s">
        <v>46</v>
      </c>
      <c r="O2263" s="9" t="s">
        <v>550</v>
      </c>
      <c r="S2263" s="9" t="s">
        <v>556</v>
      </c>
      <c r="W2263" s="10" t="s">
        <v>710</v>
      </c>
      <c r="X2263" s="17">
        <v>45378</v>
      </c>
      <c r="Y2263" s="17">
        <v>45693</v>
      </c>
      <c r="Z2263" s="19" t="s">
        <v>772</v>
      </c>
      <c r="AA2263" s="210">
        <v>5000</v>
      </c>
      <c r="AB2263" s="9">
        <v>30</v>
      </c>
      <c r="AC2263" s="9">
        <v>16</v>
      </c>
      <c r="AD2263" s="17">
        <v>46054</v>
      </c>
      <c r="AE2263" s="56">
        <v>134</v>
      </c>
      <c r="AF2263" s="56"/>
      <c r="AP2263" s="11"/>
      <c r="AQ2263" s="11"/>
      <c r="AR2263" s="11"/>
      <c r="AW2263" s="9"/>
      <c r="BD2263" s="9"/>
      <c r="CS2263" s="11">
        <f t="shared" si="158"/>
        <v>0</v>
      </c>
      <c r="CT2263" s="22">
        <f t="shared" si="159"/>
        <v>0</v>
      </c>
      <c r="CU2263" s="22">
        <f t="shared" si="160"/>
        <v>0</v>
      </c>
      <c r="CV2263" s="26">
        <f t="shared" si="157"/>
        <v>134</v>
      </c>
    </row>
    <row r="2264" spans="1:100" x14ac:dyDescent="0.2">
      <c r="A2264" s="9" t="s">
        <v>523</v>
      </c>
      <c r="B2264" s="2">
        <v>112</v>
      </c>
      <c r="C2264" s="3" t="s">
        <v>95</v>
      </c>
      <c r="D2264" s="3" t="s">
        <v>96</v>
      </c>
      <c r="E2264" s="2"/>
      <c r="F2264" s="2"/>
      <c r="G2264" s="2" t="s">
        <v>80</v>
      </c>
      <c r="H2264" s="2">
        <v>2</v>
      </c>
      <c r="I2264" s="8">
        <v>130.19999999999999</v>
      </c>
      <c r="J2264" s="8">
        <v>57866</v>
      </c>
      <c r="K2264" s="3">
        <v>0</v>
      </c>
      <c r="L2264" s="3" t="s">
        <v>3</v>
      </c>
      <c r="M2264" s="9" t="s">
        <v>0</v>
      </c>
      <c r="N2264" s="30" t="s">
        <v>46</v>
      </c>
      <c r="O2264" s="9" t="s">
        <v>550</v>
      </c>
      <c r="S2264" s="9" t="s">
        <v>556</v>
      </c>
      <c r="W2264" s="10" t="s">
        <v>710</v>
      </c>
      <c r="X2264" s="17">
        <v>45378</v>
      </c>
      <c r="Y2264" s="17">
        <v>45693</v>
      </c>
      <c r="Z2264" s="19" t="s">
        <v>772</v>
      </c>
      <c r="AA2264" s="210">
        <v>5000</v>
      </c>
      <c r="AB2264" s="9">
        <v>30</v>
      </c>
      <c r="AC2264" s="9">
        <v>17</v>
      </c>
      <c r="AD2264" s="17">
        <v>46082</v>
      </c>
      <c r="AE2264" s="56">
        <v>134</v>
      </c>
      <c r="AF2264" s="56"/>
      <c r="AP2264" s="11"/>
      <c r="AQ2264" s="11"/>
      <c r="AR2264" s="11"/>
      <c r="AW2264" s="9"/>
      <c r="BD2264" s="9"/>
      <c r="CS2264" s="11">
        <f t="shared" si="158"/>
        <v>0</v>
      </c>
      <c r="CT2264" s="22">
        <f t="shared" si="159"/>
        <v>0</v>
      </c>
      <c r="CU2264" s="22">
        <f t="shared" si="160"/>
        <v>0</v>
      </c>
      <c r="CV2264" s="26">
        <f t="shared" si="157"/>
        <v>134</v>
      </c>
    </row>
    <row r="2265" spans="1:100" x14ac:dyDescent="0.2">
      <c r="A2265" s="9" t="s">
        <v>523</v>
      </c>
      <c r="B2265" s="2">
        <v>112</v>
      </c>
      <c r="C2265" s="3" t="s">
        <v>95</v>
      </c>
      <c r="D2265" s="3" t="s">
        <v>96</v>
      </c>
      <c r="E2265" s="2"/>
      <c r="F2265" s="2"/>
      <c r="G2265" s="2" t="s">
        <v>80</v>
      </c>
      <c r="H2265" s="2">
        <v>2</v>
      </c>
      <c r="I2265" s="8">
        <v>130.19999999999999</v>
      </c>
      <c r="J2265" s="8">
        <v>57866</v>
      </c>
      <c r="K2265" s="3">
        <v>0</v>
      </c>
      <c r="L2265" s="3" t="s">
        <v>3</v>
      </c>
      <c r="M2265" s="9" t="s">
        <v>0</v>
      </c>
      <c r="N2265" s="30" t="s">
        <v>46</v>
      </c>
      <c r="O2265" s="9" t="s">
        <v>550</v>
      </c>
      <c r="S2265" s="9" t="s">
        <v>556</v>
      </c>
      <c r="W2265" s="10" t="s">
        <v>710</v>
      </c>
      <c r="X2265" s="17">
        <v>45378</v>
      </c>
      <c r="Y2265" s="17">
        <v>45693</v>
      </c>
      <c r="Z2265" s="19" t="s">
        <v>772</v>
      </c>
      <c r="AA2265" s="210">
        <v>5000</v>
      </c>
      <c r="AB2265" s="9">
        <v>30</v>
      </c>
      <c r="AC2265" s="9">
        <v>18</v>
      </c>
      <c r="AD2265" s="17">
        <v>46113</v>
      </c>
      <c r="AE2265" s="56">
        <v>134</v>
      </c>
      <c r="AF2265" s="56"/>
      <c r="AP2265" s="11"/>
      <c r="AQ2265" s="11"/>
      <c r="AR2265" s="11"/>
      <c r="AW2265" s="9"/>
      <c r="BD2265" s="9"/>
      <c r="CS2265" s="11">
        <f t="shared" si="158"/>
        <v>0</v>
      </c>
      <c r="CT2265" s="22">
        <f t="shared" si="159"/>
        <v>0</v>
      </c>
      <c r="CU2265" s="22">
        <f t="shared" si="160"/>
        <v>0</v>
      </c>
      <c r="CV2265" s="26">
        <f t="shared" si="157"/>
        <v>134</v>
      </c>
    </row>
    <row r="2266" spans="1:100" x14ac:dyDescent="0.2">
      <c r="A2266" s="9" t="s">
        <v>523</v>
      </c>
      <c r="B2266" s="2">
        <v>112</v>
      </c>
      <c r="C2266" s="3" t="s">
        <v>95</v>
      </c>
      <c r="D2266" s="3" t="s">
        <v>96</v>
      </c>
      <c r="E2266" s="2"/>
      <c r="F2266" s="2"/>
      <c r="G2266" s="2" t="s">
        <v>80</v>
      </c>
      <c r="H2266" s="2">
        <v>2</v>
      </c>
      <c r="I2266" s="8">
        <v>130.19999999999999</v>
      </c>
      <c r="J2266" s="8">
        <v>57866</v>
      </c>
      <c r="K2266" s="3">
        <v>0</v>
      </c>
      <c r="L2266" s="3" t="s">
        <v>3</v>
      </c>
      <c r="M2266" s="9" t="s">
        <v>0</v>
      </c>
      <c r="N2266" s="30" t="s">
        <v>46</v>
      </c>
      <c r="O2266" s="9" t="s">
        <v>550</v>
      </c>
      <c r="S2266" s="9" t="s">
        <v>556</v>
      </c>
      <c r="W2266" s="10" t="s">
        <v>710</v>
      </c>
      <c r="X2266" s="17">
        <v>45378</v>
      </c>
      <c r="Y2266" s="17">
        <v>45693</v>
      </c>
      <c r="Z2266" s="19" t="s">
        <v>772</v>
      </c>
      <c r="AA2266" s="210">
        <v>5000</v>
      </c>
      <c r="AB2266" s="9">
        <v>30</v>
      </c>
      <c r="AC2266" s="9">
        <v>19</v>
      </c>
      <c r="AD2266" s="17">
        <v>46143</v>
      </c>
      <c r="AE2266" s="56">
        <v>134</v>
      </c>
      <c r="AF2266" s="56"/>
      <c r="AP2266" s="11"/>
      <c r="AQ2266" s="11"/>
      <c r="AR2266" s="11"/>
      <c r="AW2266" s="9"/>
      <c r="BD2266" s="9"/>
      <c r="CS2266" s="11">
        <f t="shared" si="158"/>
        <v>0</v>
      </c>
      <c r="CT2266" s="22">
        <f t="shared" si="159"/>
        <v>0</v>
      </c>
      <c r="CU2266" s="22">
        <f t="shared" si="160"/>
        <v>0</v>
      </c>
      <c r="CV2266" s="26">
        <f t="shared" si="157"/>
        <v>134</v>
      </c>
    </row>
    <row r="2267" spans="1:100" x14ac:dyDescent="0.2">
      <c r="A2267" s="9" t="s">
        <v>523</v>
      </c>
      <c r="B2267" s="2">
        <v>112</v>
      </c>
      <c r="C2267" s="3" t="s">
        <v>95</v>
      </c>
      <c r="D2267" s="3" t="s">
        <v>96</v>
      </c>
      <c r="E2267" s="2"/>
      <c r="F2267" s="2"/>
      <c r="G2267" s="2" t="s">
        <v>80</v>
      </c>
      <c r="H2267" s="2">
        <v>2</v>
      </c>
      <c r="I2267" s="8">
        <v>130.19999999999999</v>
      </c>
      <c r="J2267" s="8">
        <v>57866</v>
      </c>
      <c r="K2267" s="3">
        <v>0</v>
      </c>
      <c r="L2267" s="3" t="s">
        <v>3</v>
      </c>
      <c r="M2267" s="9" t="s">
        <v>0</v>
      </c>
      <c r="N2267" s="30" t="s">
        <v>46</v>
      </c>
      <c r="O2267" s="9" t="s">
        <v>550</v>
      </c>
      <c r="S2267" s="9" t="s">
        <v>556</v>
      </c>
      <c r="W2267" s="10" t="s">
        <v>710</v>
      </c>
      <c r="X2267" s="17">
        <v>45378</v>
      </c>
      <c r="Y2267" s="17">
        <v>45693</v>
      </c>
      <c r="Z2267" s="19" t="s">
        <v>772</v>
      </c>
      <c r="AA2267" s="210">
        <v>5000</v>
      </c>
      <c r="AB2267" s="9">
        <v>30</v>
      </c>
      <c r="AC2267" s="9">
        <v>20</v>
      </c>
      <c r="AD2267" s="17">
        <v>46174</v>
      </c>
      <c r="AE2267" s="56">
        <v>134</v>
      </c>
      <c r="AF2267" s="56"/>
      <c r="AP2267" s="11"/>
      <c r="AQ2267" s="11"/>
      <c r="AR2267" s="11"/>
      <c r="AW2267" s="9"/>
      <c r="BD2267" s="9"/>
      <c r="CS2267" s="11">
        <f t="shared" si="158"/>
        <v>0</v>
      </c>
      <c r="CT2267" s="22">
        <f t="shared" si="159"/>
        <v>0</v>
      </c>
      <c r="CU2267" s="22">
        <f t="shared" si="160"/>
        <v>0</v>
      </c>
      <c r="CV2267" s="26">
        <f t="shared" si="157"/>
        <v>134</v>
      </c>
    </row>
    <row r="2268" spans="1:100" x14ac:dyDescent="0.2">
      <c r="A2268" s="9" t="s">
        <v>523</v>
      </c>
      <c r="B2268" s="2">
        <v>112</v>
      </c>
      <c r="C2268" s="3" t="s">
        <v>95</v>
      </c>
      <c r="D2268" s="3" t="s">
        <v>96</v>
      </c>
      <c r="E2268" s="2"/>
      <c r="F2268" s="2"/>
      <c r="G2268" s="2" t="s">
        <v>80</v>
      </c>
      <c r="H2268" s="2">
        <v>2</v>
      </c>
      <c r="I2268" s="8">
        <v>130.19999999999999</v>
      </c>
      <c r="J2268" s="8">
        <v>57866</v>
      </c>
      <c r="K2268" s="3">
        <v>0</v>
      </c>
      <c r="L2268" s="3" t="s">
        <v>3</v>
      </c>
      <c r="M2268" s="9" t="s">
        <v>0</v>
      </c>
      <c r="N2268" s="30" t="s">
        <v>46</v>
      </c>
      <c r="O2268" s="9" t="s">
        <v>550</v>
      </c>
      <c r="S2268" s="9" t="s">
        <v>556</v>
      </c>
      <c r="W2268" s="10" t="s">
        <v>710</v>
      </c>
      <c r="X2268" s="17">
        <v>45378</v>
      </c>
      <c r="Y2268" s="17">
        <v>45693</v>
      </c>
      <c r="Z2268" s="19" t="s">
        <v>772</v>
      </c>
      <c r="AA2268" s="210">
        <v>5000</v>
      </c>
      <c r="AB2268" s="9">
        <v>30</v>
      </c>
      <c r="AC2268" s="9">
        <v>21</v>
      </c>
      <c r="AD2268" s="17">
        <v>46204</v>
      </c>
      <c r="AE2268" s="56">
        <v>134</v>
      </c>
      <c r="AF2268" s="56"/>
      <c r="AP2268" s="11"/>
      <c r="AQ2268" s="11"/>
      <c r="AR2268" s="11"/>
      <c r="AW2268" s="9"/>
      <c r="BD2268" s="9"/>
      <c r="CS2268" s="11">
        <f t="shared" si="158"/>
        <v>0</v>
      </c>
      <c r="CT2268" s="22">
        <f t="shared" si="159"/>
        <v>0</v>
      </c>
      <c r="CU2268" s="22">
        <f t="shared" si="160"/>
        <v>0</v>
      </c>
      <c r="CV2268" s="26">
        <f t="shared" si="157"/>
        <v>134</v>
      </c>
    </row>
    <row r="2269" spans="1:100" x14ac:dyDescent="0.2">
      <c r="A2269" s="9" t="s">
        <v>523</v>
      </c>
      <c r="B2269" s="2">
        <v>112</v>
      </c>
      <c r="C2269" s="3" t="s">
        <v>95</v>
      </c>
      <c r="D2269" s="3" t="s">
        <v>96</v>
      </c>
      <c r="E2269" s="2"/>
      <c r="F2269" s="2"/>
      <c r="G2269" s="2" t="s">
        <v>80</v>
      </c>
      <c r="H2269" s="2">
        <v>2</v>
      </c>
      <c r="I2269" s="8">
        <v>130.19999999999999</v>
      </c>
      <c r="J2269" s="8">
        <v>57866</v>
      </c>
      <c r="K2269" s="3">
        <v>0</v>
      </c>
      <c r="L2269" s="3" t="s">
        <v>3</v>
      </c>
      <c r="M2269" s="9" t="s">
        <v>0</v>
      </c>
      <c r="N2269" s="30" t="s">
        <v>46</v>
      </c>
      <c r="O2269" s="9" t="s">
        <v>550</v>
      </c>
      <c r="S2269" s="9" t="s">
        <v>556</v>
      </c>
      <c r="W2269" s="10" t="s">
        <v>710</v>
      </c>
      <c r="X2269" s="17">
        <v>45378</v>
      </c>
      <c r="Y2269" s="17">
        <v>45693</v>
      </c>
      <c r="Z2269" s="19" t="s">
        <v>772</v>
      </c>
      <c r="AA2269" s="210">
        <v>5000</v>
      </c>
      <c r="AB2269" s="9">
        <v>30</v>
      </c>
      <c r="AC2269" s="9">
        <v>22</v>
      </c>
      <c r="AD2269" s="17">
        <v>46235</v>
      </c>
      <c r="AE2269" s="56">
        <v>134</v>
      </c>
      <c r="AF2269" s="56"/>
      <c r="AP2269" s="11"/>
      <c r="AQ2269" s="11"/>
      <c r="AR2269" s="11"/>
      <c r="AW2269" s="9"/>
      <c r="BD2269" s="9"/>
      <c r="CS2269" s="11">
        <f t="shared" si="158"/>
        <v>0</v>
      </c>
      <c r="CT2269" s="22">
        <f t="shared" si="159"/>
        <v>0</v>
      </c>
      <c r="CU2269" s="22">
        <f t="shared" si="160"/>
        <v>0</v>
      </c>
      <c r="CV2269" s="26">
        <f t="shared" si="157"/>
        <v>134</v>
      </c>
    </row>
    <row r="2270" spans="1:100" x14ac:dyDescent="0.2">
      <c r="A2270" s="9" t="s">
        <v>523</v>
      </c>
      <c r="B2270" s="2">
        <v>112</v>
      </c>
      <c r="C2270" s="3" t="s">
        <v>95</v>
      </c>
      <c r="D2270" s="3" t="s">
        <v>96</v>
      </c>
      <c r="E2270" s="2"/>
      <c r="F2270" s="2"/>
      <c r="G2270" s="2" t="s">
        <v>80</v>
      </c>
      <c r="H2270" s="2">
        <v>2</v>
      </c>
      <c r="I2270" s="8">
        <v>130.19999999999999</v>
      </c>
      <c r="J2270" s="8">
        <v>57866</v>
      </c>
      <c r="K2270" s="3">
        <v>0</v>
      </c>
      <c r="L2270" s="3" t="s">
        <v>3</v>
      </c>
      <c r="M2270" s="9" t="s">
        <v>0</v>
      </c>
      <c r="N2270" s="30" t="s">
        <v>46</v>
      </c>
      <c r="O2270" s="9" t="s">
        <v>550</v>
      </c>
      <c r="S2270" s="9" t="s">
        <v>556</v>
      </c>
      <c r="W2270" s="10" t="s">
        <v>710</v>
      </c>
      <c r="X2270" s="17">
        <v>45378</v>
      </c>
      <c r="Y2270" s="17">
        <v>45693</v>
      </c>
      <c r="Z2270" s="19" t="s">
        <v>772</v>
      </c>
      <c r="AA2270" s="210">
        <v>5000</v>
      </c>
      <c r="AB2270" s="9">
        <v>30</v>
      </c>
      <c r="AC2270" s="9">
        <v>23</v>
      </c>
      <c r="AD2270" s="17">
        <v>46266</v>
      </c>
      <c r="AE2270" s="56">
        <v>134</v>
      </c>
      <c r="AF2270" s="56"/>
      <c r="AP2270" s="11"/>
      <c r="AQ2270" s="11"/>
      <c r="AR2270" s="11"/>
      <c r="AW2270" s="9"/>
      <c r="BD2270" s="9"/>
      <c r="CS2270" s="11">
        <f t="shared" si="158"/>
        <v>0</v>
      </c>
      <c r="CT2270" s="22">
        <f t="shared" si="159"/>
        <v>0</v>
      </c>
      <c r="CU2270" s="22">
        <f t="shared" si="160"/>
        <v>0</v>
      </c>
      <c r="CV2270" s="26">
        <f t="shared" si="157"/>
        <v>134</v>
      </c>
    </row>
    <row r="2271" spans="1:100" x14ac:dyDescent="0.2">
      <c r="A2271" s="9" t="s">
        <v>523</v>
      </c>
      <c r="B2271" s="2">
        <v>112</v>
      </c>
      <c r="C2271" s="3" t="s">
        <v>95</v>
      </c>
      <c r="D2271" s="3" t="s">
        <v>96</v>
      </c>
      <c r="E2271" s="2"/>
      <c r="F2271" s="2"/>
      <c r="G2271" s="2" t="s">
        <v>80</v>
      </c>
      <c r="H2271" s="2">
        <v>2</v>
      </c>
      <c r="I2271" s="8">
        <v>130.19999999999999</v>
      </c>
      <c r="J2271" s="8">
        <v>57866</v>
      </c>
      <c r="K2271" s="3">
        <v>0</v>
      </c>
      <c r="L2271" s="3" t="s">
        <v>3</v>
      </c>
      <c r="M2271" s="9" t="s">
        <v>0</v>
      </c>
      <c r="N2271" s="30" t="s">
        <v>46</v>
      </c>
      <c r="O2271" s="9" t="s">
        <v>550</v>
      </c>
      <c r="S2271" s="9" t="s">
        <v>556</v>
      </c>
      <c r="W2271" s="10" t="s">
        <v>710</v>
      </c>
      <c r="X2271" s="17">
        <v>45378</v>
      </c>
      <c r="Y2271" s="17">
        <v>45693</v>
      </c>
      <c r="Z2271" s="19" t="s">
        <v>772</v>
      </c>
      <c r="AA2271" s="210">
        <v>5000</v>
      </c>
      <c r="AB2271" s="9">
        <v>30</v>
      </c>
      <c r="AC2271" s="9">
        <v>24</v>
      </c>
      <c r="AD2271" s="17">
        <v>46296</v>
      </c>
      <c r="AE2271" s="56">
        <v>134</v>
      </c>
      <c r="AF2271" s="56"/>
      <c r="AP2271" s="11"/>
      <c r="AQ2271" s="11"/>
      <c r="AR2271" s="11"/>
      <c r="AW2271" s="9"/>
      <c r="BD2271" s="9"/>
      <c r="CS2271" s="11">
        <f t="shared" si="158"/>
        <v>0</v>
      </c>
      <c r="CT2271" s="22">
        <f t="shared" si="159"/>
        <v>0</v>
      </c>
      <c r="CU2271" s="22">
        <f t="shared" si="160"/>
        <v>0</v>
      </c>
      <c r="CV2271" s="26">
        <f t="shared" si="157"/>
        <v>134</v>
      </c>
    </row>
    <row r="2272" spans="1:100" x14ac:dyDescent="0.2">
      <c r="A2272" s="9" t="s">
        <v>523</v>
      </c>
      <c r="B2272" s="2">
        <v>112</v>
      </c>
      <c r="C2272" s="3" t="s">
        <v>95</v>
      </c>
      <c r="D2272" s="3" t="s">
        <v>96</v>
      </c>
      <c r="E2272" s="2"/>
      <c r="F2272" s="2"/>
      <c r="G2272" s="2" t="s">
        <v>80</v>
      </c>
      <c r="H2272" s="2">
        <v>2</v>
      </c>
      <c r="I2272" s="8">
        <v>130.19999999999999</v>
      </c>
      <c r="J2272" s="8">
        <v>57866</v>
      </c>
      <c r="K2272" s="3">
        <v>0</v>
      </c>
      <c r="L2272" s="3" t="s">
        <v>3</v>
      </c>
      <c r="M2272" s="9" t="s">
        <v>0</v>
      </c>
      <c r="N2272" s="30" t="s">
        <v>46</v>
      </c>
      <c r="O2272" s="9" t="s">
        <v>550</v>
      </c>
      <c r="S2272" s="9" t="s">
        <v>556</v>
      </c>
      <c r="W2272" s="10" t="s">
        <v>710</v>
      </c>
      <c r="X2272" s="17">
        <v>45378</v>
      </c>
      <c r="Y2272" s="17">
        <v>45693</v>
      </c>
      <c r="Z2272" s="19" t="s">
        <v>772</v>
      </c>
      <c r="AA2272" s="210">
        <v>5000</v>
      </c>
      <c r="AB2272" s="9">
        <v>30</v>
      </c>
      <c r="AC2272" s="9">
        <v>25</v>
      </c>
      <c r="AD2272" s="17">
        <v>46327</v>
      </c>
      <c r="AE2272" s="56">
        <v>134</v>
      </c>
      <c r="AF2272" s="56"/>
      <c r="AP2272" s="11"/>
      <c r="AQ2272" s="11"/>
      <c r="AR2272" s="11"/>
      <c r="AW2272" s="9"/>
      <c r="BD2272" s="9"/>
      <c r="CS2272" s="11">
        <f t="shared" si="158"/>
        <v>0</v>
      </c>
      <c r="CT2272" s="22">
        <f t="shared" si="159"/>
        <v>0</v>
      </c>
      <c r="CU2272" s="22">
        <f t="shared" si="160"/>
        <v>0</v>
      </c>
      <c r="CV2272" s="26">
        <f t="shared" si="157"/>
        <v>134</v>
      </c>
    </row>
    <row r="2273" spans="1:100" x14ac:dyDescent="0.2">
      <c r="A2273" s="9" t="s">
        <v>523</v>
      </c>
      <c r="B2273" s="2">
        <v>112</v>
      </c>
      <c r="C2273" s="3" t="s">
        <v>95</v>
      </c>
      <c r="D2273" s="3" t="s">
        <v>96</v>
      </c>
      <c r="E2273" s="2"/>
      <c r="F2273" s="2"/>
      <c r="G2273" s="2" t="s">
        <v>80</v>
      </c>
      <c r="H2273" s="2">
        <v>2</v>
      </c>
      <c r="I2273" s="8">
        <v>130.19999999999999</v>
      </c>
      <c r="J2273" s="8">
        <v>57866</v>
      </c>
      <c r="K2273" s="3">
        <v>0</v>
      </c>
      <c r="L2273" s="3" t="s">
        <v>3</v>
      </c>
      <c r="M2273" s="9" t="s">
        <v>0</v>
      </c>
      <c r="N2273" s="30" t="s">
        <v>46</v>
      </c>
      <c r="O2273" s="9" t="s">
        <v>550</v>
      </c>
      <c r="S2273" s="9" t="s">
        <v>556</v>
      </c>
      <c r="W2273" s="10" t="s">
        <v>710</v>
      </c>
      <c r="X2273" s="17">
        <v>45378</v>
      </c>
      <c r="Y2273" s="17">
        <v>45693</v>
      </c>
      <c r="Z2273" s="19" t="s">
        <v>772</v>
      </c>
      <c r="AA2273" s="210">
        <v>5000</v>
      </c>
      <c r="AB2273" s="9">
        <v>30</v>
      </c>
      <c r="AC2273" s="9">
        <v>26</v>
      </c>
      <c r="AD2273" s="17">
        <v>46357</v>
      </c>
      <c r="AE2273" s="56">
        <v>134</v>
      </c>
      <c r="AF2273" s="56"/>
      <c r="AP2273" s="11"/>
      <c r="AQ2273" s="11"/>
      <c r="AR2273" s="11"/>
      <c r="AW2273" s="9"/>
      <c r="BD2273" s="9"/>
      <c r="CS2273" s="11">
        <f t="shared" si="158"/>
        <v>0</v>
      </c>
      <c r="CT2273" s="22">
        <f t="shared" si="159"/>
        <v>0</v>
      </c>
      <c r="CU2273" s="22">
        <f t="shared" si="160"/>
        <v>0</v>
      </c>
      <c r="CV2273" s="26">
        <f t="shared" si="157"/>
        <v>134</v>
      </c>
    </row>
    <row r="2274" spans="1:100" x14ac:dyDescent="0.2">
      <c r="A2274" s="9" t="s">
        <v>523</v>
      </c>
      <c r="B2274" s="2">
        <v>112</v>
      </c>
      <c r="C2274" s="3" t="s">
        <v>95</v>
      </c>
      <c r="D2274" s="3" t="s">
        <v>96</v>
      </c>
      <c r="E2274" s="2"/>
      <c r="F2274" s="2"/>
      <c r="G2274" s="2" t="s">
        <v>80</v>
      </c>
      <c r="H2274" s="2">
        <v>2</v>
      </c>
      <c r="I2274" s="8">
        <v>130.19999999999999</v>
      </c>
      <c r="J2274" s="8">
        <v>57866</v>
      </c>
      <c r="K2274" s="3">
        <v>0</v>
      </c>
      <c r="L2274" s="3" t="s">
        <v>3</v>
      </c>
      <c r="M2274" s="9" t="s">
        <v>0</v>
      </c>
      <c r="N2274" s="30" t="s">
        <v>46</v>
      </c>
      <c r="O2274" s="9" t="s">
        <v>550</v>
      </c>
      <c r="S2274" s="9" t="s">
        <v>556</v>
      </c>
      <c r="W2274" s="10" t="s">
        <v>710</v>
      </c>
      <c r="X2274" s="17">
        <v>45378</v>
      </c>
      <c r="Y2274" s="17">
        <v>45693</v>
      </c>
      <c r="Z2274" s="19" t="s">
        <v>772</v>
      </c>
      <c r="AA2274" s="210">
        <v>5000</v>
      </c>
      <c r="AB2274" s="9">
        <v>30</v>
      </c>
      <c r="AC2274" s="9">
        <v>27</v>
      </c>
      <c r="AD2274" s="17">
        <v>46388</v>
      </c>
      <c r="AE2274" s="56">
        <v>134</v>
      </c>
      <c r="AF2274" s="56"/>
      <c r="AP2274" s="11"/>
      <c r="AQ2274" s="11"/>
      <c r="AR2274" s="11"/>
      <c r="AW2274" s="9"/>
      <c r="BD2274" s="9"/>
      <c r="CS2274" s="11">
        <f t="shared" si="158"/>
        <v>0</v>
      </c>
      <c r="CT2274" s="22">
        <f t="shared" si="159"/>
        <v>0</v>
      </c>
      <c r="CU2274" s="22">
        <f t="shared" si="160"/>
        <v>0</v>
      </c>
      <c r="CV2274" s="26">
        <f t="shared" si="157"/>
        <v>134</v>
      </c>
    </row>
    <row r="2275" spans="1:100" x14ac:dyDescent="0.2">
      <c r="A2275" s="9" t="s">
        <v>523</v>
      </c>
      <c r="B2275" s="2">
        <v>112</v>
      </c>
      <c r="C2275" s="3" t="s">
        <v>95</v>
      </c>
      <c r="D2275" s="3" t="s">
        <v>96</v>
      </c>
      <c r="E2275" s="2"/>
      <c r="F2275" s="2"/>
      <c r="G2275" s="2" t="s">
        <v>80</v>
      </c>
      <c r="H2275" s="2">
        <v>2</v>
      </c>
      <c r="I2275" s="8">
        <v>130.19999999999999</v>
      </c>
      <c r="J2275" s="8">
        <v>57866</v>
      </c>
      <c r="K2275" s="3">
        <v>0</v>
      </c>
      <c r="L2275" s="3" t="s">
        <v>3</v>
      </c>
      <c r="M2275" s="9" t="s">
        <v>0</v>
      </c>
      <c r="N2275" s="30" t="s">
        <v>46</v>
      </c>
      <c r="O2275" s="9" t="s">
        <v>550</v>
      </c>
      <c r="S2275" s="9" t="s">
        <v>556</v>
      </c>
      <c r="W2275" s="10" t="s">
        <v>710</v>
      </c>
      <c r="X2275" s="17">
        <v>45378</v>
      </c>
      <c r="Y2275" s="17">
        <v>45693</v>
      </c>
      <c r="Z2275" s="19" t="s">
        <v>772</v>
      </c>
      <c r="AA2275" s="210">
        <v>5000</v>
      </c>
      <c r="AB2275" s="9">
        <v>30</v>
      </c>
      <c r="AC2275" s="9">
        <v>28</v>
      </c>
      <c r="AD2275" s="17">
        <v>46419</v>
      </c>
      <c r="AE2275" s="56">
        <v>134</v>
      </c>
      <c r="AF2275" s="56"/>
      <c r="AP2275" s="11"/>
      <c r="AQ2275" s="11"/>
      <c r="AR2275" s="11"/>
      <c r="AW2275" s="9"/>
      <c r="BD2275" s="9"/>
      <c r="CS2275" s="11">
        <f t="shared" si="158"/>
        <v>0</v>
      </c>
      <c r="CT2275" s="22">
        <f t="shared" si="159"/>
        <v>0</v>
      </c>
      <c r="CU2275" s="22">
        <f t="shared" si="160"/>
        <v>0</v>
      </c>
      <c r="CV2275" s="26">
        <f t="shared" si="157"/>
        <v>134</v>
      </c>
    </row>
    <row r="2276" spans="1:100" x14ac:dyDescent="0.2">
      <c r="A2276" s="9" t="s">
        <v>523</v>
      </c>
      <c r="B2276" s="2">
        <v>112</v>
      </c>
      <c r="C2276" s="3" t="s">
        <v>95</v>
      </c>
      <c r="D2276" s="3" t="s">
        <v>96</v>
      </c>
      <c r="E2276" s="2"/>
      <c r="F2276" s="2"/>
      <c r="G2276" s="2" t="s">
        <v>80</v>
      </c>
      <c r="H2276" s="2">
        <v>2</v>
      </c>
      <c r="I2276" s="8">
        <v>130.19999999999999</v>
      </c>
      <c r="J2276" s="8">
        <v>57866</v>
      </c>
      <c r="K2276" s="3">
        <v>0</v>
      </c>
      <c r="L2276" s="3" t="s">
        <v>3</v>
      </c>
      <c r="M2276" s="9" t="s">
        <v>0</v>
      </c>
      <c r="N2276" s="30" t="s">
        <v>46</v>
      </c>
      <c r="O2276" s="9" t="s">
        <v>550</v>
      </c>
      <c r="S2276" s="9" t="s">
        <v>556</v>
      </c>
      <c r="W2276" s="10" t="s">
        <v>710</v>
      </c>
      <c r="X2276" s="17">
        <v>45378</v>
      </c>
      <c r="Y2276" s="17">
        <v>45693</v>
      </c>
      <c r="Z2276" s="19" t="s">
        <v>772</v>
      </c>
      <c r="AA2276" s="210">
        <v>5000</v>
      </c>
      <c r="AB2276" s="9">
        <v>30</v>
      </c>
      <c r="AC2276" s="9">
        <v>29</v>
      </c>
      <c r="AD2276" s="17">
        <v>46447</v>
      </c>
      <c r="AE2276" s="56">
        <v>134</v>
      </c>
      <c r="AF2276" s="56"/>
      <c r="AP2276" s="11"/>
      <c r="AQ2276" s="11"/>
      <c r="AR2276" s="11"/>
      <c r="AW2276" s="9"/>
      <c r="BD2276" s="9"/>
      <c r="CS2276" s="11">
        <f t="shared" si="158"/>
        <v>0</v>
      </c>
      <c r="CT2276" s="22">
        <f t="shared" si="159"/>
        <v>0</v>
      </c>
      <c r="CU2276" s="22">
        <f t="shared" si="160"/>
        <v>0</v>
      </c>
      <c r="CV2276" s="26">
        <f t="shared" si="157"/>
        <v>134</v>
      </c>
    </row>
    <row r="2277" spans="1:100" x14ac:dyDescent="0.2">
      <c r="A2277" s="9" t="s">
        <v>523</v>
      </c>
      <c r="B2277" s="2">
        <v>112</v>
      </c>
      <c r="C2277" s="3" t="s">
        <v>95</v>
      </c>
      <c r="D2277" s="3" t="s">
        <v>96</v>
      </c>
      <c r="E2277" s="2"/>
      <c r="F2277" s="2"/>
      <c r="G2277" s="2" t="s">
        <v>80</v>
      </c>
      <c r="H2277" s="2">
        <v>2</v>
      </c>
      <c r="I2277" s="8">
        <v>130.19999999999999</v>
      </c>
      <c r="J2277" s="8">
        <v>57866</v>
      </c>
      <c r="K2277" s="3">
        <v>0</v>
      </c>
      <c r="L2277" s="3" t="s">
        <v>3</v>
      </c>
      <c r="M2277" s="9" t="s">
        <v>0</v>
      </c>
      <c r="N2277" s="30" t="s">
        <v>46</v>
      </c>
      <c r="O2277" s="9" t="s">
        <v>550</v>
      </c>
      <c r="S2277" s="9" t="s">
        <v>556</v>
      </c>
      <c r="W2277" s="10" t="s">
        <v>710</v>
      </c>
      <c r="X2277" s="17">
        <v>45378</v>
      </c>
      <c r="Y2277" s="17">
        <v>45693</v>
      </c>
      <c r="Z2277" s="19" t="s">
        <v>772</v>
      </c>
      <c r="AA2277" s="210">
        <v>5000</v>
      </c>
      <c r="AB2277" s="9">
        <v>30</v>
      </c>
      <c r="AC2277" s="9">
        <v>30</v>
      </c>
      <c r="AD2277" s="17">
        <v>46478</v>
      </c>
      <c r="AE2277" s="56">
        <v>114</v>
      </c>
      <c r="AF2277" s="56"/>
      <c r="AP2277" s="11"/>
      <c r="AQ2277" s="11"/>
      <c r="AR2277" s="11"/>
      <c r="AW2277" s="9"/>
      <c r="BD2277" s="9"/>
      <c r="CS2277" s="11">
        <f t="shared" si="158"/>
        <v>0</v>
      </c>
      <c r="CT2277" s="22">
        <f t="shared" si="159"/>
        <v>0</v>
      </c>
      <c r="CU2277" s="22">
        <f t="shared" si="160"/>
        <v>0</v>
      </c>
      <c r="CV2277" s="26">
        <f t="shared" si="157"/>
        <v>114</v>
      </c>
    </row>
    <row r="2278" spans="1:100" x14ac:dyDescent="0.2">
      <c r="A2278" s="9" t="s">
        <v>362</v>
      </c>
      <c r="B2278" s="2">
        <v>26</v>
      </c>
      <c r="C2278" s="3" t="s">
        <v>95</v>
      </c>
      <c r="D2278" s="3" t="s">
        <v>96</v>
      </c>
      <c r="E2278" s="2"/>
      <c r="F2278" s="2"/>
      <c r="G2278" s="2" t="s">
        <v>68</v>
      </c>
      <c r="H2278" s="2">
        <v>6</v>
      </c>
      <c r="I2278" s="8">
        <v>152.71</v>
      </c>
      <c r="J2278" s="8">
        <v>47499</v>
      </c>
      <c r="K2278" s="3">
        <v>0</v>
      </c>
      <c r="L2278" s="3" t="s">
        <v>3</v>
      </c>
      <c r="M2278" s="9" t="s">
        <v>0</v>
      </c>
      <c r="N2278" s="9">
        <v>40690645</v>
      </c>
      <c r="O2278" s="9" t="s">
        <v>559</v>
      </c>
      <c r="S2278" s="9" t="s">
        <v>158</v>
      </c>
      <c r="T2278" s="10" t="s">
        <v>68</v>
      </c>
      <c r="U2278" s="10">
        <v>6</v>
      </c>
      <c r="V2278" s="78">
        <v>152.71</v>
      </c>
      <c r="W2278" s="78" t="s">
        <v>710</v>
      </c>
      <c r="X2278" s="17">
        <v>45396</v>
      </c>
      <c r="Y2278" s="17">
        <v>45588</v>
      </c>
      <c r="Z2278" s="19" t="s">
        <v>772</v>
      </c>
      <c r="AA2278" s="210">
        <v>77680</v>
      </c>
      <c r="AB2278" s="9">
        <v>84</v>
      </c>
      <c r="AC2278" s="9">
        <v>0</v>
      </c>
      <c r="AD2278" s="17">
        <v>45399</v>
      </c>
      <c r="AE2278" s="56">
        <v>150</v>
      </c>
      <c r="AF2278" s="56"/>
      <c r="AG2278" s="9" t="s">
        <v>134</v>
      </c>
      <c r="AH2278" s="17">
        <v>45399</v>
      </c>
      <c r="AI2278" s="17"/>
      <c r="AJ2278" s="17"/>
      <c r="AK2278" s="9" t="s">
        <v>560</v>
      </c>
      <c r="AL2278" s="11">
        <v>150</v>
      </c>
      <c r="AN2278" s="11" t="s">
        <v>1265</v>
      </c>
      <c r="AP2278" s="11"/>
      <c r="AQ2278" s="11"/>
      <c r="AR2278" s="11"/>
      <c r="AW2278" s="17">
        <v>45396</v>
      </c>
      <c r="AX2278" s="9">
        <v>35460</v>
      </c>
      <c r="AY2278" s="9">
        <v>570</v>
      </c>
      <c r="AZ2278" s="9">
        <v>3.7549999999999999</v>
      </c>
      <c r="BA2278" s="11">
        <f>+AY2278/AZ2278</f>
        <v>151.79760319573901</v>
      </c>
      <c r="BD2278" s="9"/>
      <c r="CS2278" s="11">
        <f t="shared" si="158"/>
        <v>150</v>
      </c>
      <c r="CT2278" s="22">
        <f t="shared" si="159"/>
        <v>151.79760319573901</v>
      </c>
      <c r="CU2278" s="22">
        <f t="shared" si="160"/>
        <v>-1.7976031957390148</v>
      </c>
      <c r="CV2278" s="26">
        <f t="shared" si="157"/>
        <v>0</v>
      </c>
    </row>
    <row r="2279" spans="1:100" x14ac:dyDescent="0.2">
      <c r="A2279" s="9" t="s">
        <v>362</v>
      </c>
      <c r="B2279" s="2">
        <v>26</v>
      </c>
      <c r="C2279" s="3" t="s">
        <v>95</v>
      </c>
      <c r="D2279" s="3" t="s">
        <v>96</v>
      </c>
      <c r="E2279" s="2"/>
      <c r="F2279" s="2"/>
      <c r="G2279" s="2" t="s">
        <v>68</v>
      </c>
      <c r="H2279" s="2">
        <v>6</v>
      </c>
      <c r="I2279" s="8">
        <v>152.71</v>
      </c>
      <c r="J2279" s="8">
        <v>47499</v>
      </c>
      <c r="K2279" s="3">
        <v>0</v>
      </c>
      <c r="L2279" s="3" t="s">
        <v>3</v>
      </c>
      <c r="M2279" s="9" t="s">
        <v>0</v>
      </c>
      <c r="N2279" s="9">
        <v>40690645</v>
      </c>
      <c r="O2279" s="9" t="s">
        <v>559</v>
      </c>
      <c r="S2279" s="9" t="s">
        <v>158</v>
      </c>
      <c r="T2279" s="10" t="s">
        <v>68</v>
      </c>
      <c r="U2279" s="10">
        <v>6</v>
      </c>
      <c r="V2279" s="78">
        <v>152.71</v>
      </c>
      <c r="W2279" s="78" t="s">
        <v>710</v>
      </c>
      <c r="X2279" s="17">
        <v>45396</v>
      </c>
      <c r="Y2279" s="17">
        <v>45588</v>
      </c>
      <c r="Z2279" s="19" t="s">
        <v>772</v>
      </c>
      <c r="AA2279" s="210">
        <v>77680</v>
      </c>
      <c r="AB2279" s="9">
        <v>84</v>
      </c>
      <c r="AC2279" s="9">
        <v>0</v>
      </c>
      <c r="AD2279" s="17">
        <v>45428</v>
      </c>
      <c r="AE2279" s="56">
        <v>4850</v>
      </c>
      <c r="AF2279" s="56"/>
      <c r="AG2279" s="9" t="s">
        <v>134</v>
      </c>
      <c r="AH2279" s="17">
        <v>45428</v>
      </c>
      <c r="AI2279" s="17"/>
      <c r="AJ2279" s="17"/>
      <c r="AK2279" s="9" t="s">
        <v>561</v>
      </c>
      <c r="AL2279" s="11">
        <v>4850</v>
      </c>
      <c r="AN2279" s="11" t="s">
        <v>1267</v>
      </c>
      <c r="AP2279" s="11"/>
      <c r="AQ2279" s="11"/>
      <c r="AR2279" s="11"/>
      <c r="AW2279" s="17">
        <v>45402</v>
      </c>
      <c r="AX2279" s="9">
        <v>2554</v>
      </c>
      <c r="BA2279" s="11">
        <v>4850</v>
      </c>
      <c r="BD2279" s="9"/>
      <c r="CS2279" s="11">
        <f t="shared" si="158"/>
        <v>4850</v>
      </c>
      <c r="CT2279" s="22">
        <f t="shared" si="159"/>
        <v>4850</v>
      </c>
      <c r="CU2279" s="22">
        <f t="shared" si="160"/>
        <v>0</v>
      </c>
      <c r="CV2279" s="26">
        <f t="shared" si="157"/>
        <v>0</v>
      </c>
    </row>
    <row r="2280" spans="1:100" x14ac:dyDescent="0.2">
      <c r="A2280" s="9" t="s">
        <v>362</v>
      </c>
      <c r="B2280" s="2">
        <v>26</v>
      </c>
      <c r="C2280" s="3" t="s">
        <v>95</v>
      </c>
      <c r="D2280" s="3" t="s">
        <v>96</v>
      </c>
      <c r="E2280" s="2"/>
      <c r="F2280" s="2"/>
      <c r="G2280" s="2" t="s">
        <v>68</v>
      </c>
      <c r="H2280" s="2">
        <v>6</v>
      </c>
      <c r="I2280" s="8">
        <v>152.71</v>
      </c>
      <c r="J2280" s="8">
        <v>47499</v>
      </c>
      <c r="K2280" s="3">
        <v>0</v>
      </c>
      <c r="L2280" s="3" t="s">
        <v>3</v>
      </c>
      <c r="M2280" s="9" t="s">
        <v>0</v>
      </c>
      <c r="N2280" s="9">
        <v>40690645</v>
      </c>
      <c r="O2280" s="9" t="s">
        <v>559</v>
      </c>
      <c r="S2280" s="9" t="s">
        <v>158</v>
      </c>
      <c r="T2280" s="10" t="s">
        <v>68</v>
      </c>
      <c r="U2280" s="10">
        <v>6</v>
      </c>
      <c r="V2280" s="78">
        <v>152.71</v>
      </c>
      <c r="W2280" s="78" t="s">
        <v>710</v>
      </c>
      <c r="X2280" s="17">
        <v>45396</v>
      </c>
      <c r="Y2280" s="17">
        <v>45588</v>
      </c>
      <c r="Z2280" s="19" t="s">
        <v>772</v>
      </c>
      <c r="AA2280" s="210">
        <v>77680</v>
      </c>
      <c r="AB2280" s="9">
        <v>84</v>
      </c>
      <c r="AC2280" s="9">
        <v>1</v>
      </c>
      <c r="AD2280" s="17">
        <v>45447</v>
      </c>
      <c r="AE2280" s="56">
        <v>866</v>
      </c>
      <c r="AF2280" s="56"/>
      <c r="AG2280" s="9" t="s">
        <v>134</v>
      </c>
      <c r="AH2280" s="17">
        <v>45576</v>
      </c>
      <c r="AI2280" s="17"/>
      <c r="AJ2280" s="17"/>
      <c r="AK2280" s="9" t="s">
        <v>1261</v>
      </c>
      <c r="AL2280" s="11">
        <v>5652</v>
      </c>
      <c r="AN2280" s="11" t="s">
        <v>1269</v>
      </c>
      <c r="AP2280" s="11"/>
      <c r="AQ2280" s="11"/>
      <c r="AR2280" s="11"/>
      <c r="AW2280" s="17">
        <v>45446</v>
      </c>
      <c r="AX2280" s="9">
        <v>2733</v>
      </c>
      <c r="BA2280" s="124">
        <v>5652</v>
      </c>
      <c r="BD2280" s="9"/>
      <c r="CS2280" s="11">
        <f t="shared" si="158"/>
        <v>5652</v>
      </c>
      <c r="CT2280" s="22">
        <f t="shared" si="159"/>
        <v>5652</v>
      </c>
      <c r="CU2280" s="22">
        <f t="shared" si="160"/>
        <v>0</v>
      </c>
      <c r="CV2280" s="26">
        <f t="shared" si="157"/>
        <v>-4786</v>
      </c>
    </row>
    <row r="2281" spans="1:100" x14ac:dyDescent="0.2">
      <c r="A2281" s="9" t="s">
        <v>362</v>
      </c>
      <c r="B2281" s="2">
        <v>26</v>
      </c>
      <c r="C2281" s="3" t="s">
        <v>95</v>
      </c>
      <c r="D2281" s="3" t="s">
        <v>96</v>
      </c>
      <c r="E2281" s="2"/>
      <c r="F2281" s="2"/>
      <c r="G2281" s="2" t="s">
        <v>68</v>
      </c>
      <c r="H2281" s="2">
        <v>6</v>
      </c>
      <c r="I2281" s="8">
        <v>152.71</v>
      </c>
      <c r="J2281" s="8">
        <v>47499</v>
      </c>
      <c r="K2281" s="3">
        <v>0</v>
      </c>
      <c r="L2281" s="3" t="s">
        <v>3</v>
      </c>
      <c r="M2281" s="9" t="s">
        <v>0</v>
      </c>
      <c r="N2281" s="9">
        <v>40690645</v>
      </c>
      <c r="O2281" s="9" t="s">
        <v>559</v>
      </c>
      <c r="S2281" s="9" t="s">
        <v>158</v>
      </c>
      <c r="T2281" s="10" t="s">
        <v>68</v>
      </c>
      <c r="U2281" s="10">
        <v>6</v>
      </c>
      <c r="V2281" s="78">
        <v>152.71</v>
      </c>
      <c r="W2281" s="78" t="s">
        <v>710</v>
      </c>
      <c r="X2281" s="17">
        <v>45396</v>
      </c>
      <c r="Y2281" s="17">
        <v>45588</v>
      </c>
      <c r="Z2281" s="19" t="s">
        <v>772</v>
      </c>
      <c r="AA2281" s="210">
        <v>77680</v>
      </c>
      <c r="AB2281" s="9">
        <v>84</v>
      </c>
      <c r="AC2281" s="9">
        <v>2</v>
      </c>
      <c r="AD2281" s="17">
        <v>45477</v>
      </c>
      <c r="AE2281" s="56">
        <v>866</v>
      </c>
      <c r="AF2281" s="56"/>
      <c r="AG2281" s="9" t="s">
        <v>134</v>
      </c>
      <c r="AH2281" s="17">
        <v>45582</v>
      </c>
      <c r="AI2281" s="17"/>
      <c r="AJ2281" s="17"/>
      <c r="AK2281" s="9" t="s">
        <v>1263</v>
      </c>
      <c r="AL2281" s="11">
        <v>4848</v>
      </c>
      <c r="AN2281" s="11" t="s">
        <v>1271</v>
      </c>
      <c r="AP2281" s="11"/>
      <c r="AQ2281" s="11"/>
      <c r="AR2281" s="11"/>
      <c r="AW2281" s="17">
        <v>45582</v>
      </c>
      <c r="AX2281" s="9">
        <v>3290</v>
      </c>
      <c r="BA2281" s="124">
        <v>4848</v>
      </c>
      <c r="BD2281" s="9"/>
      <c r="CS2281" s="11">
        <f t="shared" si="158"/>
        <v>4848</v>
      </c>
      <c r="CT2281" s="22">
        <f t="shared" si="159"/>
        <v>4848</v>
      </c>
      <c r="CU2281" s="22">
        <f t="shared" si="160"/>
        <v>0</v>
      </c>
      <c r="CV2281" s="26">
        <f t="shared" si="157"/>
        <v>-3982</v>
      </c>
    </row>
    <row r="2282" spans="1:100" x14ac:dyDescent="0.2">
      <c r="A2282" s="9" t="s">
        <v>362</v>
      </c>
      <c r="B2282" s="2">
        <v>26</v>
      </c>
      <c r="C2282" s="3" t="s">
        <v>95</v>
      </c>
      <c r="D2282" s="3" t="s">
        <v>96</v>
      </c>
      <c r="E2282" s="2"/>
      <c r="F2282" s="2"/>
      <c r="G2282" s="2" t="s">
        <v>68</v>
      </c>
      <c r="H2282" s="2">
        <v>6</v>
      </c>
      <c r="I2282" s="8">
        <v>152.71</v>
      </c>
      <c r="J2282" s="8">
        <v>47499</v>
      </c>
      <c r="K2282" s="3">
        <v>0</v>
      </c>
      <c r="L2282" s="3" t="s">
        <v>3</v>
      </c>
      <c r="M2282" s="9" t="s">
        <v>0</v>
      </c>
      <c r="N2282" s="9">
        <v>40690645</v>
      </c>
      <c r="O2282" s="9" t="s">
        <v>559</v>
      </c>
      <c r="S2282" s="9" t="s">
        <v>158</v>
      </c>
      <c r="T2282" s="10" t="s">
        <v>68</v>
      </c>
      <c r="U2282" s="10">
        <v>6</v>
      </c>
      <c r="V2282" s="78">
        <v>152.71</v>
      </c>
      <c r="W2282" s="78" t="s">
        <v>710</v>
      </c>
      <c r="X2282" s="17">
        <v>45396</v>
      </c>
      <c r="Y2282" s="17">
        <v>45588</v>
      </c>
      <c r="Z2282" s="19" t="s">
        <v>772</v>
      </c>
      <c r="AA2282" s="210">
        <v>77680</v>
      </c>
      <c r="AB2282" s="9">
        <v>84</v>
      </c>
      <c r="AC2282" s="9">
        <v>3</v>
      </c>
      <c r="AD2282" s="17">
        <v>45508</v>
      </c>
      <c r="AE2282" s="56">
        <v>866</v>
      </c>
      <c r="AF2282" s="56"/>
      <c r="AG2282" s="9" t="s">
        <v>134</v>
      </c>
      <c r="AH2282" s="17">
        <v>45698</v>
      </c>
      <c r="AI2282" s="17"/>
      <c r="AJ2282" s="17"/>
      <c r="AK2282" s="9" t="s">
        <v>1273</v>
      </c>
      <c r="AL2282" s="11">
        <v>5800</v>
      </c>
      <c r="AN2282" s="11" t="s">
        <v>1276</v>
      </c>
      <c r="AP2282" s="11"/>
      <c r="AQ2282" s="11"/>
      <c r="AR2282" s="11"/>
      <c r="AW2282" s="17">
        <v>45695</v>
      </c>
      <c r="AX2282" s="9">
        <v>3716</v>
      </c>
      <c r="BA2282" s="86">
        <v>1800</v>
      </c>
      <c r="BC2282" s="17">
        <v>45695</v>
      </c>
      <c r="BD2282" s="9">
        <v>3718</v>
      </c>
      <c r="BG2282" s="86">
        <v>2500</v>
      </c>
      <c r="BH2282" s="86"/>
      <c r="BI2282" s="17">
        <v>45696</v>
      </c>
      <c r="BJ2282" s="9">
        <v>3731</v>
      </c>
      <c r="BM2282" s="86">
        <v>1500</v>
      </c>
      <c r="BN2282" s="86"/>
      <c r="CS2282" s="11">
        <f t="shared" si="158"/>
        <v>5800</v>
      </c>
      <c r="CT2282" s="22">
        <f t="shared" si="159"/>
        <v>5800</v>
      </c>
      <c r="CU2282" s="22">
        <f t="shared" si="160"/>
        <v>0</v>
      </c>
      <c r="CV2282" s="26">
        <f t="shared" si="157"/>
        <v>-4934</v>
      </c>
    </row>
    <row r="2283" spans="1:100" x14ac:dyDescent="0.2">
      <c r="A2283" s="9" t="s">
        <v>362</v>
      </c>
      <c r="B2283" s="2">
        <v>26</v>
      </c>
      <c r="C2283" s="3" t="s">
        <v>95</v>
      </c>
      <c r="D2283" s="3" t="s">
        <v>96</v>
      </c>
      <c r="E2283" s="2"/>
      <c r="F2283" s="2"/>
      <c r="G2283" s="2" t="s">
        <v>68</v>
      </c>
      <c r="H2283" s="2">
        <v>6</v>
      </c>
      <c r="I2283" s="8">
        <v>152.71</v>
      </c>
      <c r="J2283" s="8">
        <v>47499</v>
      </c>
      <c r="K2283" s="3">
        <v>0</v>
      </c>
      <c r="L2283" s="3" t="s">
        <v>3</v>
      </c>
      <c r="M2283" s="9" t="s">
        <v>0</v>
      </c>
      <c r="N2283" s="9">
        <v>40690645</v>
      </c>
      <c r="O2283" s="9" t="s">
        <v>559</v>
      </c>
      <c r="S2283" s="9" t="s">
        <v>158</v>
      </c>
      <c r="T2283" s="10" t="s">
        <v>68</v>
      </c>
      <c r="U2283" s="10">
        <v>6</v>
      </c>
      <c r="V2283" s="78">
        <v>152.71</v>
      </c>
      <c r="W2283" s="78" t="s">
        <v>710</v>
      </c>
      <c r="X2283" s="17">
        <v>45396</v>
      </c>
      <c r="Y2283" s="17">
        <v>45588</v>
      </c>
      <c r="Z2283" s="19" t="s">
        <v>772</v>
      </c>
      <c r="AA2283" s="210">
        <v>77680</v>
      </c>
      <c r="AB2283" s="9">
        <v>84</v>
      </c>
      <c r="AC2283" s="9">
        <v>4</v>
      </c>
      <c r="AD2283" s="17">
        <v>45539</v>
      </c>
      <c r="AE2283" s="56">
        <v>866</v>
      </c>
      <c r="AF2283" s="56"/>
      <c r="AG2283" s="9" t="s">
        <v>134</v>
      </c>
      <c r="AH2283" s="17">
        <v>45792</v>
      </c>
      <c r="AI2283" s="17"/>
      <c r="AJ2283" s="17"/>
      <c r="AK2283" s="9" t="s">
        <v>1274</v>
      </c>
      <c r="AL2283" s="11">
        <v>5800</v>
      </c>
      <c r="AN2283" s="11" t="s">
        <v>1277</v>
      </c>
      <c r="AP2283" s="11"/>
      <c r="AQ2283" s="11"/>
      <c r="AR2283" s="11"/>
      <c r="AW2283" s="17">
        <v>45792</v>
      </c>
      <c r="AX2283" s="9">
        <v>4171</v>
      </c>
      <c r="BA2283" s="86">
        <v>5800</v>
      </c>
      <c r="BD2283" s="9"/>
      <c r="CS2283" s="11">
        <f t="shared" si="158"/>
        <v>5800</v>
      </c>
      <c r="CT2283" s="22">
        <f t="shared" si="159"/>
        <v>5800</v>
      </c>
      <c r="CU2283" s="22">
        <f t="shared" si="160"/>
        <v>0</v>
      </c>
      <c r="CV2283" s="26">
        <f t="shared" si="157"/>
        <v>-4934</v>
      </c>
    </row>
    <row r="2284" spans="1:100" x14ac:dyDescent="0.2">
      <c r="A2284" s="9" t="s">
        <v>362</v>
      </c>
      <c r="B2284" s="2">
        <v>26</v>
      </c>
      <c r="C2284" s="3" t="s">
        <v>95</v>
      </c>
      <c r="D2284" s="3" t="s">
        <v>96</v>
      </c>
      <c r="E2284" s="2"/>
      <c r="F2284" s="2"/>
      <c r="G2284" s="2" t="s">
        <v>68</v>
      </c>
      <c r="H2284" s="2">
        <v>6</v>
      </c>
      <c r="I2284" s="8">
        <v>152.71</v>
      </c>
      <c r="J2284" s="8">
        <v>47499</v>
      </c>
      <c r="K2284" s="3">
        <v>0</v>
      </c>
      <c r="L2284" s="3" t="s">
        <v>3</v>
      </c>
      <c r="M2284" s="9" t="s">
        <v>0</v>
      </c>
      <c r="N2284" s="9">
        <v>40690645</v>
      </c>
      <c r="O2284" s="9" t="s">
        <v>559</v>
      </c>
      <c r="S2284" s="9" t="s">
        <v>158</v>
      </c>
      <c r="T2284" s="10" t="s">
        <v>68</v>
      </c>
      <c r="U2284" s="10">
        <v>6</v>
      </c>
      <c r="V2284" s="78">
        <v>152.71</v>
      </c>
      <c r="W2284" s="78" t="s">
        <v>710</v>
      </c>
      <c r="X2284" s="17">
        <v>45396</v>
      </c>
      <c r="Y2284" s="17">
        <v>45588</v>
      </c>
      <c r="Z2284" s="19" t="s">
        <v>772</v>
      </c>
      <c r="AA2284" s="210">
        <v>77680</v>
      </c>
      <c r="AB2284" s="9">
        <v>84</v>
      </c>
      <c r="AC2284" s="9">
        <v>5</v>
      </c>
      <c r="AD2284" s="17">
        <v>45569</v>
      </c>
      <c r="AE2284" s="56">
        <v>866</v>
      </c>
      <c r="AF2284" s="56"/>
      <c r="AG2284" s="9" t="s">
        <v>134</v>
      </c>
      <c r="AH2284" s="17">
        <v>45887</v>
      </c>
      <c r="AI2284" s="17"/>
      <c r="AJ2284" s="17"/>
      <c r="AK2284" s="9" t="s">
        <v>1275</v>
      </c>
      <c r="AL2284" s="11">
        <v>10440</v>
      </c>
      <c r="AN2284" s="11" t="s">
        <v>1278</v>
      </c>
      <c r="AP2284" s="11"/>
      <c r="AQ2284" s="11"/>
      <c r="AR2284" s="11"/>
      <c r="AW2284" s="17">
        <v>45883</v>
      </c>
      <c r="AX2284" s="9">
        <v>4559</v>
      </c>
      <c r="BA2284" s="86">
        <v>7280</v>
      </c>
      <c r="BC2284" s="17">
        <v>45887</v>
      </c>
      <c r="BD2284" s="9">
        <v>4581</v>
      </c>
      <c r="BG2284" s="86">
        <v>3160</v>
      </c>
      <c r="BH2284" s="86"/>
      <c r="CS2284" s="11">
        <f t="shared" si="158"/>
        <v>10440</v>
      </c>
      <c r="CT2284" s="22">
        <f t="shared" si="159"/>
        <v>10440</v>
      </c>
      <c r="CU2284" s="22">
        <f t="shared" si="160"/>
        <v>0</v>
      </c>
      <c r="CV2284" s="26">
        <f t="shared" si="157"/>
        <v>-9574</v>
      </c>
    </row>
    <row r="2285" spans="1:100" x14ac:dyDescent="0.2">
      <c r="A2285" s="9" t="s">
        <v>362</v>
      </c>
      <c r="B2285" s="2">
        <v>26</v>
      </c>
      <c r="C2285" s="3" t="s">
        <v>95</v>
      </c>
      <c r="D2285" s="3" t="s">
        <v>96</v>
      </c>
      <c r="E2285" s="2"/>
      <c r="F2285" s="2"/>
      <c r="G2285" s="2" t="s">
        <v>68</v>
      </c>
      <c r="H2285" s="2">
        <v>6</v>
      </c>
      <c r="I2285" s="8">
        <v>152.71</v>
      </c>
      <c r="J2285" s="8">
        <v>47499</v>
      </c>
      <c r="K2285" s="3">
        <v>0</v>
      </c>
      <c r="L2285" s="3" t="s">
        <v>3</v>
      </c>
      <c r="M2285" s="9" t="s">
        <v>0</v>
      </c>
      <c r="N2285" s="9">
        <v>40690645</v>
      </c>
      <c r="O2285" s="9" t="s">
        <v>559</v>
      </c>
      <c r="S2285" s="9" t="s">
        <v>158</v>
      </c>
      <c r="T2285" s="10" t="s">
        <v>68</v>
      </c>
      <c r="U2285" s="10">
        <v>6</v>
      </c>
      <c r="V2285" s="78">
        <v>152.71</v>
      </c>
      <c r="W2285" s="78" t="s">
        <v>710</v>
      </c>
      <c r="X2285" s="17">
        <v>45396</v>
      </c>
      <c r="Y2285" s="17">
        <v>45588</v>
      </c>
      <c r="Z2285" s="19" t="s">
        <v>772</v>
      </c>
      <c r="AA2285" s="210">
        <v>77680</v>
      </c>
      <c r="AB2285" s="9">
        <v>84</v>
      </c>
      <c r="AC2285" s="9">
        <v>6</v>
      </c>
      <c r="AD2285" s="17">
        <v>45600</v>
      </c>
      <c r="AE2285" s="56">
        <v>866</v>
      </c>
      <c r="AF2285" s="56"/>
      <c r="AH2285" s="17"/>
      <c r="AI2285" s="17"/>
      <c r="AJ2285" s="17"/>
      <c r="AP2285" s="11"/>
      <c r="AQ2285" s="11"/>
      <c r="AR2285" s="11"/>
      <c r="AW2285" s="9"/>
      <c r="BD2285" s="9"/>
      <c r="CS2285" s="11">
        <f t="shared" si="158"/>
        <v>0</v>
      </c>
      <c r="CT2285" s="22">
        <f t="shared" si="159"/>
        <v>0</v>
      </c>
      <c r="CU2285" s="22">
        <f t="shared" si="160"/>
        <v>0</v>
      </c>
      <c r="CV2285" s="26">
        <f t="shared" si="157"/>
        <v>866</v>
      </c>
    </row>
    <row r="2286" spans="1:100" x14ac:dyDescent="0.2">
      <c r="A2286" s="9" t="s">
        <v>362</v>
      </c>
      <c r="B2286" s="2">
        <v>26</v>
      </c>
      <c r="C2286" s="3" t="s">
        <v>95</v>
      </c>
      <c r="D2286" s="3" t="s">
        <v>96</v>
      </c>
      <c r="E2286" s="2"/>
      <c r="F2286" s="2"/>
      <c r="G2286" s="2" t="s">
        <v>68</v>
      </c>
      <c r="H2286" s="2">
        <v>6</v>
      </c>
      <c r="I2286" s="8">
        <v>152.71</v>
      </c>
      <c r="J2286" s="8">
        <v>47499</v>
      </c>
      <c r="K2286" s="3">
        <v>0</v>
      </c>
      <c r="L2286" s="3" t="s">
        <v>3</v>
      </c>
      <c r="M2286" s="9" t="s">
        <v>0</v>
      </c>
      <c r="N2286" s="9">
        <v>40690645</v>
      </c>
      <c r="O2286" s="9" t="s">
        <v>559</v>
      </c>
      <c r="S2286" s="9" t="s">
        <v>158</v>
      </c>
      <c r="T2286" s="10" t="s">
        <v>68</v>
      </c>
      <c r="U2286" s="10">
        <v>6</v>
      </c>
      <c r="V2286" s="78">
        <v>152.71</v>
      </c>
      <c r="W2286" s="78" t="s">
        <v>710</v>
      </c>
      <c r="X2286" s="17">
        <v>45396</v>
      </c>
      <c r="Y2286" s="17">
        <v>45588</v>
      </c>
      <c r="Z2286" s="19" t="s">
        <v>772</v>
      </c>
      <c r="AA2286" s="210">
        <v>77680</v>
      </c>
      <c r="AB2286" s="9">
        <v>84</v>
      </c>
      <c r="AC2286" s="9">
        <v>7</v>
      </c>
      <c r="AD2286" s="17">
        <v>45630</v>
      </c>
      <c r="AE2286" s="56">
        <v>866</v>
      </c>
      <c r="AF2286" s="56"/>
      <c r="AH2286" s="17"/>
      <c r="AI2286" s="17"/>
      <c r="AJ2286" s="17"/>
      <c r="AP2286" s="11"/>
      <c r="AQ2286" s="11"/>
      <c r="AR2286" s="11"/>
      <c r="AW2286" s="9"/>
      <c r="BD2286" s="9"/>
      <c r="CS2286" s="11">
        <f t="shared" si="158"/>
        <v>0</v>
      </c>
      <c r="CT2286" s="22">
        <f t="shared" si="159"/>
        <v>0</v>
      </c>
      <c r="CU2286" s="22">
        <f t="shared" si="160"/>
        <v>0</v>
      </c>
      <c r="CV2286" s="26">
        <f t="shared" si="157"/>
        <v>866</v>
      </c>
    </row>
    <row r="2287" spans="1:100" x14ac:dyDescent="0.2">
      <c r="A2287" s="9" t="s">
        <v>362</v>
      </c>
      <c r="B2287" s="2">
        <v>26</v>
      </c>
      <c r="C2287" s="3" t="s">
        <v>95</v>
      </c>
      <c r="D2287" s="3" t="s">
        <v>96</v>
      </c>
      <c r="E2287" s="2"/>
      <c r="F2287" s="2"/>
      <c r="G2287" s="2" t="s">
        <v>68</v>
      </c>
      <c r="H2287" s="2">
        <v>6</v>
      </c>
      <c r="I2287" s="8">
        <v>152.71</v>
      </c>
      <c r="J2287" s="8">
        <v>47499</v>
      </c>
      <c r="K2287" s="3">
        <v>0</v>
      </c>
      <c r="L2287" s="3" t="s">
        <v>3</v>
      </c>
      <c r="M2287" s="9" t="s">
        <v>0</v>
      </c>
      <c r="N2287" s="9">
        <v>40690645</v>
      </c>
      <c r="O2287" s="9" t="s">
        <v>559</v>
      </c>
      <c r="S2287" s="9" t="s">
        <v>158</v>
      </c>
      <c r="T2287" s="10" t="s">
        <v>68</v>
      </c>
      <c r="U2287" s="10">
        <v>6</v>
      </c>
      <c r="V2287" s="78">
        <v>152.71</v>
      </c>
      <c r="W2287" s="78" t="s">
        <v>710</v>
      </c>
      <c r="X2287" s="17">
        <v>45396</v>
      </c>
      <c r="Y2287" s="17">
        <v>45588</v>
      </c>
      <c r="Z2287" s="19" t="s">
        <v>772</v>
      </c>
      <c r="AA2287" s="210">
        <v>77680</v>
      </c>
      <c r="AB2287" s="9">
        <v>84</v>
      </c>
      <c r="AC2287" s="9">
        <v>8</v>
      </c>
      <c r="AD2287" s="17">
        <v>45661</v>
      </c>
      <c r="AE2287" s="56">
        <v>866</v>
      </c>
      <c r="AF2287" s="56"/>
      <c r="AH2287" s="17"/>
      <c r="AI2287" s="17"/>
      <c r="AJ2287" s="17"/>
      <c r="AP2287" s="11"/>
      <c r="AQ2287" s="11"/>
      <c r="AR2287" s="11"/>
      <c r="AW2287" s="9"/>
      <c r="BD2287" s="9"/>
      <c r="CS2287" s="11">
        <f t="shared" si="158"/>
        <v>0</v>
      </c>
      <c r="CT2287" s="22">
        <f t="shared" si="159"/>
        <v>0</v>
      </c>
      <c r="CU2287" s="22">
        <f t="shared" si="160"/>
        <v>0</v>
      </c>
      <c r="CV2287" s="26">
        <f t="shared" si="157"/>
        <v>866</v>
      </c>
    </row>
    <row r="2288" spans="1:100" x14ac:dyDescent="0.2">
      <c r="A2288" s="9" t="s">
        <v>362</v>
      </c>
      <c r="B2288" s="2">
        <v>26</v>
      </c>
      <c r="C2288" s="3" t="s">
        <v>95</v>
      </c>
      <c r="D2288" s="3" t="s">
        <v>96</v>
      </c>
      <c r="E2288" s="2"/>
      <c r="F2288" s="2"/>
      <c r="G2288" s="2" t="s">
        <v>68</v>
      </c>
      <c r="H2288" s="2">
        <v>6</v>
      </c>
      <c r="I2288" s="8">
        <v>152.71</v>
      </c>
      <c r="J2288" s="8">
        <v>47499</v>
      </c>
      <c r="K2288" s="3">
        <v>0</v>
      </c>
      <c r="L2288" s="3" t="s">
        <v>3</v>
      </c>
      <c r="M2288" s="9" t="s">
        <v>0</v>
      </c>
      <c r="N2288" s="9">
        <v>40690645</v>
      </c>
      <c r="O2288" s="9" t="s">
        <v>559</v>
      </c>
      <c r="S2288" s="9" t="s">
        <v>158</v>
      </c>
      <c r="T2288" s="10" t="s">
        <v>68</v>
      </c>
      <c r="U2288" s="10">
        <v>6</v>
      </c>
      <c r="V2288" s="78">
        <v>152.71</v>
      </c>
      <c r="W2288" s="78" t="s">
        <v>710</v>
      </c>
      <c r="X2288" s="17">
        <v>45396</v>
      </c>
      <c r="Y2288" s="17">
        <v>45588</v>
      </c>
      <c r="Z2288" s="19" t="s">
        <v>772</v>
      </c>
      <c r="AA2288" s="210">
        <v>77680</v>
      </c>
      <c r="AB2288" s="9">
        <v>84</v>
      </c>
      <c r="AC2288" s="9">
        <v>9</v>
      </c>
      <c r="AD2288" s="17">
        <v>45692</v>
      </c>
      <c r="AE2288" s="56">
        <v>866</v>
      </c>
      <c r="AF2288" s="56"/>
      <c r="AP2288" s="11"/>
      <c r="AQ2288" s="11"/>
      <c r="AR2288" s="11"/>
      <c r="AW2288" s="17"/>
      <c r="AX2288" s="86"/>
      <c r="BD2288" s="9"/>
      <c r="CS2288" s="11">
        <f t="shared" si="158"/>
        <v>0</v>
      </c>
      <c r="CT2288" s="22">
        <f t="shared" si="159"/>
        <v>0</v>
      </c>
      <c r="CU2288" s="22">
        <f t="shared" si="160"/>
        <v>0</v>
      </c>
      <c r="CV2288" s="26">
        <f t="shared" si="157"/>
        <v>866</v>
      </c>
    </row>
    <row r="2289" spans="1:100" x14ac:dyDescent="0.2">
      <c r="A2289" s="9" t="s">
        <v>362</v>
      </c>
      <c r="B2289" s="2">
        <v>26</v>
      </c>
      <c r="C2289" s="3" t="s">
        <v>95</v>
      </c>
      <c r="D2289" s="3" t="s">
        <v>96</v>
      </c>
      <c r="E2289" s="2"/>
      <c r="F2289" s="2"/>
      <c r="G2289" s="2" t="s">
        <v>68</v>
      </c>
      <c r="H2289" s="2">
        <v>6</v>
      </c>
      <c r="I2289" s="8">
        <v>152.71</v>
      </c>
      <c r="J2289" s="8">
        <v>47499</v>
      </c>
      <c r="K2289" s="3">
        <v>0</v>
      </c>
      <c r="L2289" s="3" t="s">
        <v>3</v>
      </c>
      <c r="M2289" s="9" t="s">
        <v>0</v>
      </c>
      <c r="N2289" s="9">
        <v>40690645</v>
      </c>
      <c r="O2289" s="9" t="s">
        <v>559</v>
      </c>
      <c r="S2289" s="9" t="s">
        <v>158</v>
      </c>
      <c r="T2289" s="10" t="s">
        <v>68</v>
      </c>
      <c r="U2289" s="10">
        <v>6</v>
      </c>
      <c r="V2289" s="78">
        <v>152.71</v>
      </c>
      <c r="W2289" s="78" t="s">
        <v>710</v>
      </c>
      <c r="X2289" s="17">
        <v>45396</v>
      </c>
      <c r="Y2289" s="17">
        <v>45588</v>
      </c>
      <c r="Z2289" s="19" t="s">
        <v>772</v>
      </c>
      <c r="AA2289" s="210">
        <v>77680</v>
      </c>
      <c r="AB2289" s="9">
        <v>84</v>
      </c>
      <c r="AC2289" s="9">
        <v>10</v>
      </c>
      <c r="AD2289" s="17">
        <v>45720</v>
      </c>
      <c r="AE2289" s="56">
        <v>866</v>
      </c>
      <c r="AF2289" s="56"/>
      <c r="AP2289" s="11"/>
      <c r="AQ2289" s="11"/>
      <c r="AR2289" s="11"/>
      <c r="AW2289" s="17"/>
      <c r="AX2289" s="86"/>
      <c r="BD2289" s="9"/>
      <c r="CS2289" s="11">
        <f t="shared" si="158"/>
        <v>0</v>
      </c>
      <c r="CT2289" s="22">
        <f t="shared" si="159"/>
        <v>0</v>
      </c>
      <c r="CU2289" s="22">
        <f t="shared" si="160"/>
        <v>0</v>
      </c>
      <c r="CV2289" s="26">
        <f t="shared" si="157"/>
        <v>866</v>
      </c>
    </row>
    <row r="2290" spans="1:100" x14ac:dyDescent="0.2">
      <c r="A2290" s="9" t="s">
        <v>362</v>
      </c>
      <c r="B2290" s="2">
        <v>26</v>
      </c>
      <c r="C2290" s="3" t="s">
        <v>95</v>
      </c>
      <c r="D2290" s="3" t="s">
        <v>96</v>
      </c>
      <c r="E2290" s="2"/>
      <c r="F2290" s="2"/>
      <c r="G2290" s="2" t="s">
        <v>68</v>
      </c>
      <c r="H2290" s="2">
        <v>6</v>
      </c>
      <c r="I2290" s="8">
        <v>152.71</v>
      </c>
      <c r="J2290" s="8">
        <v>47499</v>
      </c>
      <c r="K2290" s="3">
        <v>0</v>
      </c>
      <c r="L2290" s="3" t="s">
        <v>3</v>
      </c>
      <c r="M2290" s="9" t="s">
        <v>0</v>
      </c>
      <c r="N2290" s="9">
        <v>40690645</v>
      </c>
      <c r="O2290" s="9" t="s">
        <v>559</v>
      </c>
      <c r="S2290" s="9" t="s">
        <v>158</v>
      </c>
      <c r="T2290" s="10" t="s">
        <v>68</v>
      </c>
      <c r="U2290" s="10">
        <v>6</v>
      </c>
      <c r="V2290" s="78">
        <v>152.71</v>
      </c>
      <c r="W2290" s="78" t="s">
        <v>710</v>
      </c>
      <c r="X2290" s="17">
        <v>45396</v>
      </c>
      <c r="Y2290" s="17">
        <v>45588</v>
      </c>
      <c r="Z2290" s="19" t="s">
        <v>772</v>
      </c>
      <c r="AA2290" s="210">
        <v>77680</v>
      </c>
      <c r="AB2290" s="9">
        <v>84</v>
      </c>
      <c r="AC2290" s="9">
        <v>11</v>
      </c>
      <c r="AD2290" s="17">
        <v>45751</v>
      </c>
      <c r="AE2290" s="56">
        <v>866</v>
      </c>
      <c r="AF2290" s="56"/>
      <c r="AP2290" s="11"/>
      <c r="AQ2290" s="11"/>
      <c r="AR2290" s="11"/>
      <c r="AW2290" s="17"/>
      <c r="AX2290" s="86"/>
      <c r="BD2290" s="9"/>
      <c r="CS2290" s="11">
        <f t="shared" si="158"/>
        <v>0</v>
      </c>
      <c r="CT2290" s="22">
        <f t="shared" si="159"/>
        <v>0</v>
      </c>
      <c r="CU2290" s="22">
        <f t="shared" si="160"/>
        <v>0</v>
      </c>
      <c r="CV2290" s="26">
        <f t="shared" si="157"/>
        <v>866</v>
      </c>
    </row>
    <row r="2291" spans="1:100" x14ac:dyDescent="0.2">
      <c r="A2291" s="9" t="s">
        <v>362</v>
      </c>
      <c r="B2291" s="2">
        <v>26</v>
      </c>
      <c r="C2291" s="3" t="s">
        <v>95</v>
      </c>
      <c r="D2291" s="3" t="s">
        <v>96</v>
      </c>
      <c r="E2291" s="2"/>
      <c r="F2291" s="2"/>
      <c r="G2291" s="2" t="s">
        <v>68</v>
      </c>
      <c r="H2291" s="2">
        <v>6</v>
      </c>
      <c r="I2291" s="8">
        <v>152.71</v>
      </c>
      <c r="J2291" s="8">
        <v>47499</v>
      </c>
      <c r="K2291" s="3">
        <v>0</v>
      </c>
      <c r="L2291" s="3" t="s">
        <v>3</v>
      </c>
      <c r="M2291" s="9" t="s">
        <v>0</v>
      </c>
      <c r="N2291" s="9">
        <v>40690645</v>
      </c>
      <c r="O2291" s="9" t="s">
        <v>559</v>
      </c>
      <c r="S2291" s="9" t="s">
        <v>158</v>
      </c>
      <c r="T2291" s="10" t="s">
        <v>68</v>
      </c>
      <c r="U2291" s="10">
        <v>6</v>
      </c>
      <c r="V2291" s="78">
        <v>152.71</v>
      </c>
      <c r="W2291" s="78" t="s">
        <v>710</v>
      </c>
      <c r="X2291" s="17">
        <v>45396</v>
      </c>
      <c r="Y2291" s="17">
        <v>45588</v>
      </c>
      <c r="Z2291" s="19" t="s">
        <v>772</v>
      </c>
      <c r="AA2291" s="210">
        <v>77680</v>
      </c>
      <c r="AB2291" s="9">
        <v>84</v>
      </c>
      <c r="AC2291" s="9">
        <v>12</v>
      </c>
      <c r="AD2291" s="17">
        <v>45781</v>
      </c>
      <c r="AE2291" s="56">
        <v>866</v>
      </c>
      <c r="AF2291" s="56"/>
      <c r="AP2291" s="11"/>
      <c r="AQ2291" s="11"/>
      <c r="AR2291" s="11"/>
      <c r="AW2291" s="9"/>
      <c r="BD2291" s="9"/>
      <c r="CS2291" s="11">
        <f t="shared" si="158"/>
        <v>0</v>
      </c>
      <c r="CT2291" s="22">
        <f t="shared" si="159"/>
        <v>0</v>
      </c>
      <c r="CU2291" s="22">
        <f t="shared" si="160"/>
        <v>0</v>
      </c>
      <c r="CV2291" s="26">
        <f t="shared" si="157"/>
        <v>866</v>
      </c>
    </row>
    <row r="2292" spans="1:100" x14ac:dyDescent="0.2">
      <c r="A2292" s="9" t="s">
        <v>362</v>
      </c>
      <c r="B2292" s="2">
        <v>26</v>
      </c>
      <c r="C2292" s="3" t="s">
        <v>95</v>
      </c>
      <c r="D2292" s="3" t="s">
        <v>96</v>
      </c>
      <c r="E2292" s="2"/>
      <c r="F2292" s="2"/>
      <c r="G2292" s="2" t="s">
        <v>68</v>
      </c>
      <c r="H2292" s="2">
        <v>6</v>
      </c>
      <c r="I2292" s="8">
        <v>152.71</v>
      </c>
      <c r="J2292" s="8">
        <v>47499</v>
      </c>
      <c r="K2292" s="3">
        <v>0</v>
      </c>
      <c r="L2292" s="3" t="s">
        <v>3</v>
      </c>
      <c r="M2292" s="9" t="s">
        <v>0</v>
      </c>
      <c r="N2292" s="9">
        <v>40690645</v>
      </c>
      <c r="O2292" s="9" t="s">
        <v>559</v>
      </c>
      <c r="S2292" s="9" t="s">
        <v>158</v>
      </c>
      <c r="T2292" s="10" t="s">
        <v>68</v>
      </c>
      <c r="U2292" s="10">
        <v>6</v>
      </c>
      <c r="V2292" s="78">
        <v>152.71</v>
      </c>
      <c r="W2292" s="78" t="s">
        <v>710</v>
      </c>
      <c r="X2292" s="17">
        <v>45396</v>
      </c>
      <c r="Y2292" s="17">
        <v>45588</v>
      </c>
      <c r="Z2292" s="19" t="s">
        <v>772</v>
      </c>
      <c r="AA2292" s="210">
        <v>77680</v>
      </c>
      <c r="AB2292" s="9">
        <v>84</v>
      </c>
      <c r="AC2292" s="9">
        <v>13</v>
      </c>
      <c r="AD2292" s="17">
        <v>45812</v>
      </c>
      <c r="AE2292" s="56">
        <v>866</v>
      </c>
      <c r="AF2292" s="56"/>
      <c r="AP2292" s="11"/>
      <c r="AQ2292" s="11"/>
      <c r="AR2292" s="11"/>
      <c r="AW2292" s="9"/>
      <c r="BD2292" s="9"/>
      <c r="CS2292" s="11">
        <f t="shared" si="158"/>
        <v>0</v>
      </c>
      <c r="CT2292" s="22">
        <f t="shared" si="159"/>
        <v>0</v>
      </c>
      <c r="CU2292" s="22">
        <f t="shared" si="160"/>
        <v>0</v>
      </c>
      <c r="CV2292" s="26">
        <f t="shared" si="157"/>
        <v>866</v>
      </c>
    </row>
    <row r="2293" spans="1:100" x14ac:dyDescent="0.2">
      <c r="A2293" s="9" t="s">
        <v>362</v>
      </c>
      <c r="B2293" s="2">
        <v>26</v>
      </c>
      <c r="C2293" s="3" t="s">
        <v>95</v>
      </c>
      <c r="D2293" s="3" t="s">
        <v>96</v>
      </c>
      <c r="E2293" s="2"/>
      <c r="F2293" s="2"/>
      <c r="G2293" s="2" t="s">
        <v>68</v>
      </c>
      <c r="H2293" s="2">
        <v>6</v>
      </c>
      <c r="I2293" s="8">
        <v>152.71</v>
      </c>
      <c r="J2293" s="8">
        <v>47499</v>
      </c>
      <c r="K2293" s="3">
        <v>0</v>
      </c>
      <c r="L2293" s="3" t="s">
        <v>3</v>
      </c>
      <c r="M2293" s="9" t="s">
        <v>0</v>
      </c>
      <c r="N2293" s="9">
        <v>40690645</v>
      </c>
      <c r="O2293" s="9" t="s">
        <v>559</v>
      </c>
      <c r="S2293" s="9" t="s">
        <v>158</v>
      </c>
      <c r="T2293" s="10" t="s">
        <v>68</v>
      </c>
      <c r="U2293" s="10">
        <v>6</v>
      </c>
      <c r="V2293" s="78">
        <v>152.71</v>
      </c>
      <c r="W2293" s="78" t="s">
        <v>710</v>
      </c>
      <c r="X2293" s="17">
        <v>45396</v>
      </c>
      <c r="Y2293" s="17">
        <v>45588</v>
      </c>
      <c r="Z2293" s="19" t="s">
        <v>772</v>
      </c>
      <c r="AA2293" s="210">
        <v>77680</v>
      </c>
      <c r="AB2293" s="9">
        <v>84</v>
      </c>
      <c r="AC2293" s="9">
        <v>14</v>
      </c>
      <c r="AD2293" s="17">
        <v>45842</v>
      </c>
      <c r="AE2293" s="56">
        <v>866</v>
      </c>
      <c r="AF2293" s="56"/>
      <c r="AP2293" s="11"/>
      <c r="AQ2293" s="11"/>
      <c r="AR2293" s="11"/>
      <c r="AW2293" s="9"/>
      <c r="BD2293" s="9"/>
      <c r="CS2293" s="11">
        <f t="shared" si="158"/>
        <v>0</v>
      </c>
      <c r="CT2293" s="22">
        <f t="shared" si="159"/>
        <v>0</v>
      </c>
      <c r="CU2293" s="22">
        <f t="shared" si="160"/>
        <v>0</v>
      </c>
      <c r="CV2293" s="26">
        <f t="shared" si="157"/>
        <v>866</v>
      </c>
    </row>
    <row r="2294" spans="1:100" x14ac:dyDescent="0.2">
      <c r="A2294" s="9" t="s">
        <v>362</v>
      </c>
      <c r="B2294" s="2">
        <v>26</v>
      </c>
      <c r="C2294" s="3" t="s">
        <v>95</v>
      </c>
      <c r="D2294" s="3" t="s">
        <v>96</v>
      </c>
      <c r="E2294" s="2"/>
      <c r="F2294" s="2"/>
      <c r="G2294" s="2" t="s">
        <v>68</v>
      </c>
      <c r="H2294" s="2">
        <v>6</v>
      </c>
      <c r="I2294" s="8">
        <v>152.71</v>
      </c>
      <c r="J2294" s="8">
        <v>47499</v>
      </c>
      <c r="K2294" s="3">
        <v>0</v>
      </c>
      <c r="L2294" s="3" t="s">
        <v>3</v>
      </c>
      <c r="M2294" s="9" t="s">
        <v>0</v>
      </c>
      <c r="N2294" s="9">
        <v>40690645</v>
      </c>
      <c r="O2294" s="9" t="s">
        <v>559</v>
      </c>
      <c r="S2294" s="9" t="s">
        <v>158</v>
      </c>
      <c r="T2294" s="10" t="s">
        <v>68</v>
      </c>
      <c r="U2294" s="10">
        <v>6</v>
      </c>
      <c r="V2294" s="78">
        <v>152.71</v>
      </c>
      <c r="W2294" s="78" t="s">
        <v>710</v>
      </c>
      <c r="X2294" s="17">
        <v>45396</v>
      </c>
      <c r="Y2294" s="17">
        <v>45588</v>
      </c>
      <c r="Z2294" s="19" t="s">
        <v>772</v>
      </c>
      <c r="AA2294" s="210">
        <v>77680</v>
      </c>
      <c r="AB2294" s="9">
        <v>84</v>
      </c>
      <c r="AC2294" s="9">
        <v>15</v>
      </c>
      <c r="AD2294" s="17">
        <v>45873</v>
      </c>
      <c r="AE2294" s="56">
        <v>866</v>
      </c>
      <c r="AF2294" s="56"/>
      <c r="AP2294" s="11"/>
      <c r="AQ2294" s="11"/>
      <c r="AR2294" s="11"/>
      <c r="AW2294" s="9"/>
      <c r="BD2294" s="9"/>
      <c r="CS2294" s="11">
        <f t="shared" si="158"/>
        <v>0</v>
      </c>
      <c r="CT2294" s="22">
        <f t="shared" si="159"/>
        <v>0</v>
      </c>
      <c r="CU2294" s="22">
        <f t="shared" si="160"/>
        <v>0</v>
      </c>
      <c r="CV2294" s="26">
        <f t="shared" si="157"/>
        <v>866</v>
      </c>
    </row>
    <row r="2295" spans="1:100" x14ac:dyDescent="0.2">
      <c r="A2295" s="9" t="s">
        <v>362</v>
      </c>
      <c r="B2295" s="2">
        <v>26</v>
      </c>
      <c r="C2295" s="3" t="s">
        <v>95</v>
      </c>
      <c r="D2295" s="3" t="s">
        <v>96</v>
      </c>
      <c r="E2295" s="2"/>
      <c r="F2295" s="2"/>
      <c r="G2295" s="2" t="s">
        <v>68</v>
      </c>
      <c r="H2295" s="2">
        <v>6</v>
      </c>
      <c r="I2295" s="8">
        <v>152.71</v>
      </c>
      <c r="J2295" s="8">
        <v>47499</v>
      </c>
      <c r="K2295" s="3">
        <v>0</v>
      </c>
      <c r="L2295" s="3" t="s">
        <v>3</v>
      </c>
      <c r="M2295" s="9" t="s">
        <v>0</v>
      </c>
      <c r="N2295" s="9">
        <v>40690645</v>
      </c>
      <c r="O2295" s="9" t="s">
        <v>559</v>
      </c>
      <c r="S2295" s="9" t="s">
        <v>158</v>
      </c>
      <c r="T2295" s="10" t="s">
        <v>68</v>
      </c>
      <c r="U2295" s="10">
        <v>6</v>
      </c>
      <c r="V2295" s="78">
        <v>152.71</v>
      </c>
      <c r="W2295" s="78" t="s">
        <v>710</v>
      </c>
      <c r="X2295" s="17">
        <v>45396</v>
      </c>
      <c r="Y2295" s="17">
        <v>45588</v>
      </c>
      <c r="Z2295" s="19" t="s">
        <v>772</v>
      </c>
      <c r="AA2295" s="210">
        <v>77680</v>
      </c>
      <c r="AB2295" s="9">
        <v>84</v>
      </c>
      <c r="AC2295" s="9">
        <v>16</v>
      </c>
      <c r="AD2295" s="17">
        <v>45904</v>
      </c>
      <c r="AE2295" s="56">
        <v>866</v>
      </c>
      <c r="AF2295" s="56"/>
      <c r="AP2295" s="11"/>
      <c r="AQ2295" s="11"/>
      <c r="AR2295" s="11"/>
      <c r="AW2295" s="9"/>
      <c r="BD2295" s="9"/>
      <c r="CS2295" s="11">
        <f t="shared" si="158"/>
        <v>0</v>
      </c>
      <c r="CT2295" s="22">
        <f t="shared" si="159"/>
        <v>0</v>
      </c>
      <c r="CU2295" s="22">
        <f t="shared" si="160"/>
        <v>0</v>
      </c>
      <c r="CV2295" s="26">
        <f t="shared" si="157"/>
        <v>866</v>
      </c>
    </row>
    <row r="2296" spans="1:100" x14ac:dyDescent="0.2">
      <c r="A2296" s="9" t="s">
        <v>362</v>
      </c>
      <c r="B2296" s="2">
        <v>26</v>
      </c>
      <c r="C2296" s="3" t="s">
        <v>95</v>
      </c>
      <c r="D2296" s="3" t="s">
        <v>96</v>
      </c>
      <c r="E2296" s="2"/>
      <c r="F2296" s="2"/>
      <c r="G2296" s="2" t="s">
        <v>68</v>
      </c>
      <c r="H2296" s="2">
        <v>6</v>
      </c>
      <c r="I2296" s="8">
        <v>152.71</v>
      </c>
      <c r="J2296" s="8">
        <v>47499</v>
      </c>
      <c r="K2296" s="3">
        <v>0</v>
      </c>
      <c r="L2296" s="3" t="s">
        <v>3</v>
      </c>
      <c r="M2296" s="9" t="s">
        <v>0</v>
      </c>
      <c r="N2296" s="9">
        <v>40690645</v>
      </c>
      <c r="O2296" s="9" t="s">
        <v>559</v>
      </c>
      <c r="S2296" s="9" t="s">
        <v>158</v>
      </c>
      <c r="T2296" s="10" t="s">
        <v>68</v>
      </c>
      <c r="U2296" s="10">
        <v>6</v>
      </c>
      <c r="V2296" s="78">
        <v>152.71</v>
      </c>
      <c r="W2296" s="78" t="s">
        <v>710</v>
      </c>
      <c r="X2296" s="17">
        <v>45396</v>
      </c>
      <c r="Y2296" s="17">
        <v>45588</v>
      </c>
      <c r="Z2296" s="19" t="s">
        <v>772</v>
      </c>
      <c r="AA2296" s="210">
        <v>77680</v>
      </c>
      <c r="AB2296" s="9">
        <v>84</v>
      </c>
      <c r="AC2296" s="9">
        <v>17</v>
      </c>
      <c r="AD2296" s="17">
        <v>45934</v>
      </c>
      <c r="AE2296" s="56">
        <v>866</v>
      </c>
      <c r="AF2296" s="56"/>
      <c r="AL2296" s="22"/>
      <c r="AM2296" s="22"/>
      <c r="AN2296" s="22"/>
      <c r="AP2296" s="11"/>
      <c r="AQ2296" s="11"/>
      <c r="AR2296" s="11"/>
      <c r="AW2296" s="9"/>
      <c r="BD2296" s="9"/>
      <c r="CS2296" s="11">
        <f t="shared" si="158"/>
        <v>0</v>
      </c>
      <c r="CT2296" s="22">
        <f t="shared" si="159"/>
        <v>0</v>
      </c>
      <c r="CU2296" s="22">
        <f t="shared" si="160"/>
        <v>0</v>
      </c>
      <c r="CV2296" s="26">
        <f t="shared" si="157"/>
        <v>866</v>
      </c>
    </row>
    <row r="2297" spans="1:100" x14ac:dyDescent="0.2">
      <c r="A2297" s="9" t="s">
        <v>362</v>
      </c>
      <c r="B2297" s="2">
        <v>26</v>
      </c>
      <c r="C2297" s="3" t="s">
        <v>95</v>
      </c>
      <c r="D2297" s="3" t="s">
        <v>96</v>
      </c>
      <c r="E2297" s="2"/>
      <c r="F2297" s="2"/>
      <c r="G2297" s="2" t="s">
        <v>68</v>
      </c>
      <c r="H2297" s="2">
        <v>6</v>
      </c>
      <c r="I2297" s="8">
        <v>152.71</v>
      </c>
      <c r="J2297" s="8">
        <v>47499</v>
      </c>
      <c r="K2297" s="3">
        <v>0</v>
      </c>
      <c r="L2297" s="3" t="s">
        <v>3</v>
      </c>
      <c r="M2297" s="9" t="s">
        <v>0</v>
      </c>
      <c r="N2297" s="9">
        <v>40690645</v>
      </c>
      <c r="O2297" s="9" t="s">
        <v>559</v>
      </c>
      <c r="S2297" s="9" t="s">
        <v>158</v>
      </c>
      <c r="T2297" s="10" t="s">
        <v>68</v>
      </c>
      <c r="U2297" s="10">
        <v>6</v>
      </c>
      <c r="V2297" s="78">
        <v>152.71</v>
      </c>
      <c r="W2297" s="78" t="s">
        <v>710</v>
      </c>
      <c r="X2297" s="17">
        <v>45396</v>
      </c>
      <c r="Y2297" s="17">
        <v>45588</v>
      </c>
      <c r="Z2297" s="19" t="s">
        <v>772</v>
      </c>
      <c r="AA2297" s="210">
        <v>77680</v>
      </c>
      <c r="AB2297" s="9">
        <v>84</v>
      </c>
      <c r="AC2297" s="9">
        <v>18</v>
      </c>
      <c r="AD2297" s="17">
        <v>45965</v>
      </c>
      <c r="AE2297" s="56">
        <v>866</v>
      </c>
      <c r="AF2297" s="56"/>
      <c r="AH2297" s="17"/>
      <c r="AI2297" s="17"/>
      <c r="AJ2297" s="17"/>
      <c r="AL2297" s="22"/>
      <c r="AM2297" s="22"/>
      <c r="AN2297" s="22"/>
      <c r="AP2297" s="11"/>
      <c r="AQ2297" s="11"/>
      <c r="AR2297" s="11"/>
      <c r="AW2297" s="9"/>
      <c r="BD2297" s="9"/>
      <c r="CS2297" s="11">
        <f t="shared" si="158"/>
        <v>0</v>
      </c>
      <c r="CT2297" s="22">
        <f t="shared" si="159"/>
        <v>0</v>
      </c>
      <c r="CU2297" s="22">
        <f t="shared" si="160"/>
        <v>0</v>
      </c>
      <c r="CV2297" s="26">
        <f t="shared" ref="CV2297:CV2360" si="161">+AE2297-AL2297-AT2297</f>
        <v>866</v>
      </c>
    </row>
    <row r="2298" spans="1:100" x14ac:dyDescent="0.2">
      <c r="A2298" s="9" t="s">
        <v>362</v>
      </c>
      <c r="B2298" s="2">
        <v>26</v>
      </c>
      <c r="C2298" s="3" t="s">
        <v>95</v>
      </c>
      <c r="D2298" s="3" t="s">
        <v>96</v>
      </c>
      <c r="E2298" s="2"/>
      <c r="F2298" s="2"/>
      <c r="G2298" s="2" t="s">
        <v>68</v>
      </c>
      <c r="H2298" s="2">
        <v>6</v>
      </c>
      <c r="I2298" s="8">
        <v>152.71</v>
      </c>
      <c r="J2298" s="8">
        <v>47499</v>
      </c>
      <c r="K2298" s="3">
        <v>0</v>
      </c>
      <c r="L2298" s="3" t="s">
        <v>3</v>
      </c>
      <c r="M2298" s="9" t="s">
        <v>0</v>
      </c>
      <c r="N2298" s="9">
        <v>40690645</v>
      </c>
      <c r="O2298" s="9" t="s">
        <v>559</v>
      </c>
      <c r="S2298" s="9" t="s">
        <v>158</v>
      </c>
      <c r="T2298" s="10" t="s">
        <v>68</v>
      </c>
      <c r="U2298" s="10">
        <v>6</v>
      </c>
      <c r="V2298" s="78">
        <v>152.71</v>
      </c>
      <c r="W2298" s="78" t="s">
        <v>710</v>
      </c>
      <c r="X2298" s="17">
        <v>45396</v>
      </c>
      <c r="Y2298" s="17">
        <v>45588</v>
      </c>
      <c r="Z2298" s="19" t="s">
        <v>772</v>
      </c>
      <c r="AA2298" s="210">
        <v>77680</v>
      </c>
      <c r="AB2298" s="9">
        <v>84</v>
      </c>
      <c r="AC2298" s="9">
        <v>19</v>
      </c>
      <c r="AD2298" s="17">
        <v>45995</v>
      </c>
      <c r="AE2298" s="56">
        <v>866</v>
      </c>
      <c r="AF2298" s="56"/>
      <c r="AL2298" s="22"/>
      <c r="AM2298" s="22"/>
      <c r="AN2298" s="22"/>
      <c r="AP2298" s="11"/>
      <c r="AQ2298" s="11"/>
      <c r="AR2298" s="11"/>
      <c r="AW2298" s="9"/>
      <c r="BD2298" s="9"/>
      <c r="CS2298" s="11">
        <f t="shared" si="158"/>
        <v>0</v>
      </c>
      <c r="CT2298" s="22">
        <f t="shared" si="159"/>
        <v>0</v>
      </c>
      <c r="CU2298" s="22">
        <f t="shared" si="160"/>
        <v>0</v>
      </c>
      <c r="CV2298" s="26">
        <f t="shared" si="161"/>
        <v>866</v>
      </c>
    </row>
    <row r="2299" spans="1:100" x14ac:dyDescent="0.2">
      <c r="A2299" s="9" t="s">
        <v>362</v>
      </c>
      <c r="B2299" s="2">
        <v>26</v>
      </c>
      <c r="C2299" s="3" t="s">
        <v>95</v>
      </c>
      <c r="D2299" s="3" t="s">
        <v>96</v>
      </c>
      <c r="E2299" s="2"/>
      <c r="F2299" s="2"/>
      <c r="G2299" s="2" t="s">
        <v>68</v>
      </c>
      <c r="H2299" s="2">
        <v>6</v>
      </c>
      <c r="I2299" s="8">
        <v>152.71</v>
      </c>
      <c r="J2299" s="8">
        <v>47499</v>
      </c>
      <c r="K2299" s="3">
        <v>0</v>
      </c>
      <c r="L2299" s="3" t="s">
        <v>3</v>
      </c>
      <c r="M2299" s="9" t="s">
        <v>0</v>
      </c>
      <c r="N2299" s="9">
        <v>40690645</v>
      </c>
      <c r="O2299" s="9" t="s">
        <v>559</v>
      </c>
      <c r="S2299" s="9" t="s">
        <v>158</v>
      </c>
      <c r="T2299" s="10" t="s">
        <v>68</v>
      </c>
      <c r="U2299" s="10">
        <v>6</v>
      </c>
      <c r="V2299" s="78">
        <v>152.71</v>
      </c>
      <c r="W2299" s="78" t="s">
        <v>710</v>
      </c>
      <c r="X2299" s="17">
        <v>45396</v>
      </c>
      <c r="Y2299" s="17">
        <v>45588</v>
      </c>
      <c r="Z2299" s="19" t="s">
        <v>772</v>
      </c>
      <c r="AA2299" s="210">
        <v>77680</v>
      </c>
      <c r="AB2299" s="9">
        <v>84</v>
      </c>
      <c r="AC2299" s="9">
        <v>20</v>
      </c>
      <c r="AD2299" s="17">
        <v>46026</v>
      </c>
      <c r="AE2299" s="56">
        <v>866</v>
      </c>
      <c r="AF2299" s="56"/>
      <c r="AL2299" s="22"/>
      <c r="AM2299" s="22"/>
      <c r="AN2299" s="22"/>
      <c r="AP2299" s="11"/>
      <c r="AQ2299" s="11"/>
      <c r="AR2299" s="11"/>
      <c r="AW2299" s="9"/>
      <c r="BD2299" s="9"/>
      <c r="CS2299" s="11">
        <f t="shared" si="158"/>
        <v>0</v>
      </c>
      <c r="CT2299" s="22">
        <f t="shared" si="159"/>
        <v>0</v>
      </c>
      <c r="CU2299" s="22">
        <f t="shared" si="160"/>
        <v>0</v>
      </c>
      <c r="CV2299" s="26">
        <f t="shared" si="161"/>
        <v>866</v>
      </c>
    </row>
    <row r="2300" spans="1:100" x14ac:dyDescent="0.2">
      <c r="A2300" s="9" t="s">
        <v>362</v>
      </c>
      <c r="B2300" s="2">
        <v>26</v>
      </c>
      <c r="C2300" s="3" t="s">
        <v>95</v>
      </c>
      <c r="D2300" s="3" t="s">
        <v>96</v>
      </c>
      <c r="E2300" s="2"/>
      <c r="F2300" s="2"/>
      <c r="G2300" s="2" t="s">
        <v>68</v>
      </c>
      <c r="H2300" s="2">
        <v>6</v>
      </c>
      <c r="I2300" s="8">
        <v>152.71</v>
      </c>
      <c r="J2300" s="8">
        <v>47499</v>
      </c>
      <c r="K2300" s="3">
        <v>0</v>
      </c>
      <c r="L2300" s="3" t="s">
        <v>3</v>
      </c>
      <c r="M2300" s="9" t="s">
        <v>0</v>
      </c>
      <c r="N2300" s="9">
        <v>40690645</v>
      </c>
      <c r="O2300" s="9" t="s">
        <v>559</v>
      </c>
      <c r="S2300" s="9" t="s">
        <v>158</v>
      </c>
      <c r="T2300" s="10" t="s">
        <v>68</v>
      </c>
      <c r="U2300" s="10">
        <v>6</v>
      </c>
      <c r="V2300" s="78">
        <v>152.71</v>
      </c>
      <c r="W2300" s="78" t="s">
        <v>710</v>
      </c>
      <c r="X2300" s="17">
        <v>45396</v>
      </c>
      <c r="Y2300" s="17">
        <v>45588</v>
      </c>
      <c r="Z2300" s="19" t="s">
        <v>772</v>
      </c>
      <c r="AA2300" s="210">
        <v>77680</v>
      </c>
      <c r="AB2300" s="9">
        <v>84</v>
      </c>
      <c r="AC2300" s="9">
        <v>21</v>
      </c>
      <c r="AD2300" s="17">
        <v>46057</v>
      </c>
      <c r="AE2300" s="56">
        <v>866</v>
      </c>
      <c r="AF2300" s="56"/>
      <c r="AL2300" s="22"/>
      <c r="AM2300" s="22"/>
      <c r="AN2300" s="22"/>
      <c r="AP2300" s="11"/>
      <c r="AQ2300" s="11"/>
      <c r="AR2300" s="11"/>
      <c r="AW2300" s="9"/>
      <c r="BD2300" s="9"/>
      <c r="CS2300" s="11">
        <f t="shared" si="158"/>
        <v>0</v>
      </c>
      <c r="CT2300" s="22">
        <f t="shared" si="159"/>
        <v>0</v>
      </c>
      <c r="CU2300" s="22">
        <f t="shared" si="160"/>
        <v>0</v>
      </c>
      <c r="CV2300" s="26">
        <f t="shared" si="161"/>
        <v>866</v>
      </c>
    </row>
    <row r="2301" spans="1:100" x14ac:dyDescent="0.2">
      <c r="A2301" s="9" t="s">
        <v>362</v>
      </c>
      <c r="B2301" s="2">
        <v>26</v>
      </c>
      <c r="C2301" s="3" t="s">
        <v>95</v>
      </c>
      <c r="D2301" s="3" t="s">
        <v>96</v>
      </c>
      <c r="E2301" s="2"/>
      <c r="F2301" s="2"/>
      <c r="G2301" s="2" t="s">
        <v>68</v>
      </c>
      <c r="H2301" s="2">
        <v>6</v>
      </c>
      <c r="I2301" s="8">
        <v>152.71</v>
      </c>
      <c r="J2301" s="8">
        <v>47499</v>
      </c>
      <c r="K2301" s="3">
        <v>0</v>
      </c>
      <c r="L2301" s="3" t="s">
        <v>3</v>
      </c>
      <c r="M2301" s="9" t="s">
        <v>0</v>
      </c>
      <c r="N2301" s="9">
        <v>40690645</v>
      </c>
      <c r="O2301" s="9" t="s">
        <v>559</v>
      </c>
      <c r="S2301" s="9" t="s">
        <v>158</v>
      </c>
      <c r="T2301" s="10" t="s">
        <v>68</v>
      </c>
      <c r="U2301" s="10">
        <v>6</v>
      </c>
      <c r="V2301" s="78">
        <v>152.71</v>
      </c>
      <c r="W2301" s="78" t="s">
        <v>710</v>
      </c>
      <c r="X2301" s="17">
        <v>45396</v>
      </c>
      <c r="Y2301" s="17">
        <v>45588</v>
      </c>
      <c r="Z2301" s="19" t="s">
        <v>772</v>
      </c>
      <c r="AA2301" s="210">
        <v>77680</v>
      </c>
      <c r="AB2301" s="9">
        <v>84</v>
      </c>
      <c r="AC2301" s="9">
        <v>22</v>
      </c>
      <c r="AD2301" s="17">
        <v>46085</v>
      </c>
      <c r="AE2301" s="56">
        <v>866</v>
      </c>
      <c r="AF2301" s="56"/>
      <c r="AL2301" s="22"/>
      <c r="AM2301" s="22"/>
      <c r="AN2301" s="22"/>
      <c r="AP2301" s="11"/>
      <c r="AQ2301" s="11"/>
      <c r="AR2301" s="11"/>
      <c r="AW2301" s="9"/>
      <c r="BD2301" s="9"/>
      <c r="CS2301" s="11">
        <f t="shared" ref="CS2301:CS2364" si="162">+AL2301+AT2301</f>
        <v>0</v>
      </c>
      <c r="CT2301" s="22">
        <f t="shared" ref="CT2301:CT2364" si="163">+BA2301+BG2301+BM2301+BS2301+BY2301+CE2301+CK2301+CQ2301</f>
        <v>0</v>
      </c>
      <c r="CU2301" s="22">
        <f t="shared" ref="CU2301:CU2364" si="164">+CS2301-CT2301</f>
        <v>0</v>
      </c>
      <c r="CV2301" s="26">
        <f t="shared" si="161"/>
        <v>866</v>
      </c>
    </row>
    <row r="2302" spans="1:100" x14ac:dyDescent="0.2">
      <c r="A2302" s="9" t="s">
        <v>362</v>
      </c>
      <c r="B2302" s="2">
        <v>26</v>
      </c>
      <c r="C2302" s="3" t="s">
        <v>95</v>
      </c>
      <c r="D2302" s="3" t="s">
        <v>96</v>
      </c>
      <c r="E2302" s="2"/>
      <c r="F2302" s="2"/>
      <c r="G2302" s="2" t="s">
        <v>68</v>
      </c>
      <c r="H2302" s="2">
        <v>6</v>
      </c>
      <c r="I2302" s="8">
        <v>152.71</v>
      </c>
      <c r="J2302" s="8">
        <v>47499</v>
      </c>
      <c r="K2302" s="3">
        <v>0</v>
      </c>
      <c r="L2302" s="3" t="s">
        <v>3</v>
      </c>
      <c r="M2302" s="9" t="s">
        <v>0</v>
      </c>
      <c r="N2302" s="9">
        <v>40690645</v>
      </c>
      <c r="O2302" s="9" t="s">
        <v>559</v>
      </c>
      <c r="S2302" s="9" t="s">
        <v>158</v>
      </c>
      <c r="T2302" s="10" t="s">
        <v>68</v>
      </c>
      <c r="U2302" s="10">
        <v>6</v>
      </c>
      <c r="V2302" s="78">
        <v>152.71</v>
      </c>
      <c r="W2302" s="78" t="s">
        <v>710</v>
      </c>
      <c r="X2302" s="17">
        <v>45396</v>
      </c>
      <c r="Y2302" s="17">
        <v>45588</v>
      </c>
      <c r="Z2302" s="19" t="s">
        <v>772</v>
      </c>
      <c r="AA2302" s="210">
        <v>77680</v>
      </c>
      <c r="AB2302" s="9">
        <v>84</v>
      </c>
      <c r="AC2302" s="9">
        <v>23</v>
      </c>
      <c r="AD2302" s="17">
        <v>46116</v>
      </c>
      <c r="AE2302" s="56">
        <v>866</v>
      </c>
      <c r="AF2302" s="56"/>
      <c r="AL2302" s="22"/>
      <c r="AM2302" s="22"/>
      <c r="AN2302" s="22"/>
      <c r="AP2302" s="11"/>
      <c r="AQ2302" s="11"/>
      <c r="AR2302" s="11"/>
      <c r="AW2302" s="9"/>
      <c r="BD2302" s="9"/>
      <c r="CS2302" s="11">
        <f t="shared" si="162"/>
        <v>0</v>
      </c>
      <c r="CT2302" s="22">
        <f t="shared" si="163"/>
        <v>0</v>
      </c>
      <c r="CU2302" s="22">
        <f t="shared" si="164"/>
        <v>0</v>
      </c>
      <c r="CV2302" s="26">
        <f t="shared" si="161"/>
        <v>866</v>
      </c>
    </row>
    <row r="2303" spans="1:100" x14ac:dyDescent="0.2">
      <c r="A2303" s="9" t="s">
        <v>362</v>
      </c>
      <c r="B2303" s="2">
        <v>26</v>
      </c>
      <c r="C2303" s="3" t="s">
        <v>95</v>
      </c>
      <c r="D2303" s="3" t="s">
        <v>96</v>
      </c>
      <c r="E2303" s="2"/>
      <c r="F2303" s="2"/>
      <c r="G2303" s="2" t="s">
        <v>68</v>
      </c>
      <c r="H2303" s="2">
        <v>6</v>
      </c>
      <c r="I2303" s="8">
        <v>152.71</v>
      </c>
      <c r="J2303" s="8">
        <v>47499</v>
      </c>
      <c r="K2303" s="3">
        <v>0</v>
      </c>
      <c r="L2303" s="3" t="s">
        <v>3</v>
      </c>
      <c r="M2303" s="9" t="s">
        <v>0</v>
      </c>
      <c r="N2303" s="9">
        <v>40690645</v>
      </c>
      <c r="O2303" s="9" t="s">
        <v>559</v>
      </c>
      <c r="S2303" s="9" t="s">
        <v>158</v>
      </c>
      <c r="T2303" s="10" t="s">
        <v>68</v>
      </c>
      <c r="U2303" s="10">
        <v>6</v>
      </c>
      <c r="V2303" s="78">
        <v>152.71</v>
      </c>
      <c r="W2303" s="78" t="s">
        <v>710</v>
      </c>
      <c r="X2303" s="17">
        <v>45396</v>
      </c>
      <c r="Y2303" s="17">
        <v>45588</v>
      </c>
      <c r="Z2303" s="19" t="s">
        <v>772</v>
      </c>
      <c r="AA2303" s="210">
        <v>77680</v>
      </c>
      <c r="AB2303" s="9">
        <v>84</v>
      </c>
      <c r="AC2303" s="9">
        <v>24</v>
      </c>
      <c r="AD2303" s="17">
        <v>46146</v>
      </c>
      <c r="AE2303" s="56">
        <v>866</v>
      </c>
      <c r="AF2303" s="56"/>
      <c r="AP2303" s="11"/>
      <c r="AQ2303" s="11"/>
      <c r="AR2303" s="11"/>
      <c r="AW2303" s="9"/>
      <c r="BD2303" s="9"/>
      <c r="CS2303" s="11">
        <f t="shared" si="162"/>
        <v>0</v>
      </c>
      <c r="CT2303" s="22">
        <f t="shared" si="163"/>
        <v>0</v>
      </c>
      <c r="CU2303" s="22">
        <f t="shared" si="164"/>
        <v>0</v>
      </c>
      <c r="CV2303" s="26">
        <f t="shared" si="161"/>
        <v>866</v>
      </c>
    </row>
    <row r="2304" spans="1:100" x14ac:dyDescent="0.2">
      <c r="A2304" s="9" t="s">
        <v>362</v>
      </c>
      <c r="B2304" s="2">
        <v>26</v>
      </c>
      <c r="C2304" s="3" t="s">
        <v>95</v>
      </c>
      <c r="D2304" s="3" t="s">
        <v>96</v>
      </c>
      <c r="E2304" s="2"/>
      <c r="F2304" s="2"/>
      <c r="G2304" s="2" t="s">
        <v>68</v>
      </c>
      <c r="H2304" s="2">
        <v>6</v>
      </c>
      <c r="I2304" s="8">
        <v>152.71</v>
      </c>
      <c r="J2304" s="8">
        <v>47499</v>
      </c>
      <c r="K2304" s="3">
        <v>0</v>
      </c>
      <c r="L2304" s="3" t="s">
        <v>3</v>
      </c>
      <c r="M2304" s="9" t="s">
        <v>0</v>
      </c>
      <c r="N2304" s="9">
        <v>40690645</v>
      </c>
      <c r="O2304" s="9" t="s">
        <v>559</v>
      </c>
      <c r="S2304" s="9" t="s">
        <v>158</v>
      </c>
      <c r="T2304" s="10" t="s">
        <v>68</v>
      </c>
      <c r="U2304" s="10">
        <v>6</v>
      </c>
      <c r="V2304" s="78">
        <v>152.71</v>
      </c>
      <c r="W2304" s="78" t="s">
        <v>710</v>
      </c>
      <c r="X2304" s="17">
        <v>45396</v>
      </c>
      <c r="Y2304" s="17">
        <v>45588</v>
      </c>
      <c r="Z2304" s="19" t="s">
        <v>772</v>
      </c>
      <c r="AA2304" s="210">
        <v>77680</v>
      </c>
      <c r="AB2304" s="9">
        <v>84</v>
      </c>
      <c r="AC2304" s="9">
        <v>25</v>
      </c>
      <c r="AD2304" s="17">
        <v>46177</v>
      </c>
      <c r="AE2304" s="56">
        <v>866</v>
      </c>
      <c r="AF2304" s="56"/>
      <c r="AP2304" s="11"/>
      <c r="AQ2304" s="11"/>
      <c r="AR2304" s="11"/>
      <c r="AW2304" s="9"/>
      <c r="BD2304" s="9"/>
      <c r="CS2304" s="11">
        <f t="shared" si="162"/>
        <v>0</v>
      </c>
      <c r="CT2304" s="22">
        <f t="shared" si="163"/>
        <v>0</v>
      </c>
      <c r="CU2304" s="22">
        <f t="shared" si="164"/>
        <v>0</v>
      </c>
      <c r="CV2304" s="26">
        <f t="shared" si="161"/>
        <v>866</v>
      </c>
    </row>
    <row r="2305" spans="1:100" x14ac:dyDescent="0.2">
      <c r="A2305" s="9" t="s">
        <v>362</v>
      </c>
      <c r="B2305" s="2">
        <v>26</v>
      </c>
      <c r="C2305" s="3" t="s">
        <v>95</v>
      </c>
      <c r="D2305" s="3" t="s">
        <v>96</v>
      </c>
      <c r="E2305" s="2"/>
      <c r="F2305" s="2"/>
      <c r="G2305" s="2" t="s">
        <v>68</v>
      </c>
      <c r="H2305" s="2">
        <v>6</v>
      </c>
      <c r="I2305" s="8">
        <v>152.71</v>
      </c>
      <c r="J2305" s="8">
        <v>47499</v>
      </c>
      <c r="K2305" s="3">
        <v>0</v>
      </c>
      <c r="L2305" s="3" t="s">
        <v>3</v>
      </c>
      <c r="M2305" s="9" t="s">
        <v>0</v>
      </c>
      <c r="N2305" s="9">
        <v>40690645</v>
      </c>
      <c r="O2305" s="9" t="s">
        <v>559</v>
      </c>
      <c r="S2305" s="9" t="s">
        <v>158</v>
      </c>
      <c r="T2305" s="10" t="s">
        <v>68</v>
      </c>
      <c r="U2305" s="10">
        <v>6</v>
      </c>
      <c r="V2305" s="78">
        <v>152.71</v>
      </c>
      <c r="W2305" s="78" t="s">
        <v>710</v>
      </c>
      <c r="X2305" s="17">
        <v>45396</v>
      </c>
      <c r="Y2305" s="17">
        <v>45588</v>
      </c>
      <c r="Z2305" s="19" t="s">
        <v>772</v>
      </c>
      <c r="AA2305" s="210">
        <v>77680</v>
      </c>
      <c r="AB2305" s="9">
        <v>84</v>
      </c>
      <c r="AC2305" s="9">
        <v>26</v>
      </c>
      <c r="AD2305" s="17">
        <v>46207</v>
      </c>
      <c r="AE2305" s="56">
        <v>866</v>
      </c>
      <c r="AF2305" s="56"/>
      <c r="AP2305" s="11"/>
      <c r="AQ2305" s="11"/>
      <c r="AR2305" s="11"/>
      <c r="AW2305" s="9"/>
      <c r="BD2305" s="9"/>
      <c r="CS2305" s="11">
        <f t="shared" si="162"/>
        <v>0</v>
      </c>
      <c r="CT2305" s="22">
        <f t="shared" si="163"/>
        <v>0</v>
      </c>
      <c r="CU2305" s="22">
        <f t="shared" si="164"/>
        <v>0</v>
      </c>
      <c r="CV2305" s="26">
        <f t="shared" si="161"/>
        <v>866</v>
      </c>
    </row>
    <row r="2306" spans="1:100" x14ac:dyDescent="0.2">
      <c r="A2306" s="9" t="s">
        <v>362</v>
      </c>
      <c r="B2306" s="2">
        <v>26</v>
      </c>
      <c r="C2306" s="3" t="s">
        <v>95</v>
      </c>
      <c r="D2306" s="3" t="s">
        <v>96</v>
      </c>
      <c r="E2306" s="2"/>
      <c r="F2306" s="2"/>
      <c r="G2306" s="2" t="s">
        <v>68</v>
      </c>
      <c r="H2306" s="2">
        <v>6</v>
      </c>
      <c r="I2306" s="8">
        <v>152.71</v>
      </c>
      <c r="J2306" s="8">
        <v>47499</v>
      </c>
      <c r="K2306" s="3">
        <v>0</v>
      </c>
      <c r="L2306" s="3" t="s">
        <v>3</v>
      </c>
      <c r="M2306" s="9" t="s">
        <v>0</v>
      </c>
      <c r="N2306" s="9">
        <v>40690645</v>
      </c>
      <c r="O2306" s="9" t="s">
        <v>559</v>
      </c>
      <c r="S2306" s="9" t="s">
        <v>158</v>
      </c>
      <c r="T2306" s="10" t="s">
        <v>68</v>
      </c>
      <c r="U2306" s="10">
        <v>6</v>
      </c>
      <c r="V2306" s="78">
        <v>152.71</v>
      </c>
      <c r="W2306" s="78" t="s">
        <v>710</v>
      </c>
      <c r="X2306" s="17">
        <v>45396</v>
      </c>
      <c r="Y2306" s="17">
        <v>45588</v>
      </c>
      <c r="Z2306" s="19" t="s">
        <v>772</v>
      </c>
      <c r="AA2306" s="210">
        <v>77680</v>
      </c>
      <c r="AB2306" s="9">
        <v>84</v>
      </c>
      <c r="AC2306" s="9">
        <v>27</v>
      </c>
      <c r="AD2306" s="17">
        <v>46238</v>
      </c>
      <c r="AE2306" s="56">
        <v>866</v>
      </c>
      <c r="AF2306" s="56"/>
      <c r="AP2306" s="11"/>
      <c r="AQ2306" s="11"/>
      <c r="AR2306" s="11"/>
      <c r="AW2306" s="9"/>
      <c r="BD2306" s="9"/>
      <c r="CS2306" s="11">
        <f t="shared" si="162"/>
        <v>0</v>
      </c>
      <c r="CT2306" s="22">
        <f t="shared" si="163"/>
        <v>0</v>
      </c>
      <c r="CU2306" s="22">
        <f t="shared" si="164"/>
        <v>0</v>
      </c>
      <c r="CV2306" s="26">
        <f t="shared" si="161"/>
        <v>866</v>
      </c>
    </row>
    <row r="2307" spans="1:100" x14ac:dyDescent="0.2">
      <c r="A2307" s="9" t="s">
        <v>362</v>
      </c>
      <c r="B2307" s="2">
        <v>26</v>
      </c>
      <c r="C2307" s="3" t="s">
        <v>95</v>
      </c>
      <c r="D2307" s="3" t="s">
        <v>96</v>
      </c>
      <c r="E2307" s="2"/>
      <c r="F2307" s="2"/>
      <c r="G2307" s="2" t="s">
        <v>68</v>
      </c>
      <c r="H2307" s="2">
        <v>6</v>
      </c>
      <c r="I2307" s="8">
        <v>152.71</v>
      </c>
      <c r="J2307" s="8">
        <v>47499</v>
      </c>
      <c r="K2307" s="3">
        <v>0</v>
      </c>
      <c r="L2307" s="3" t="s">
        <v>3</v>
      </c>
      <c r="M2307" s="9" t="s">
        <v>0</v>
      </c>
      <c r="N2307" s="9">
        <v>40690645</v>
      </c>
      <c r="O2307" s="9" t="s">
        <v>559</v>
      </c>
      <c r="S2307" s="9" t="s">
        <v>158</v>
      </c>
      <c r="T2307" s="10" t="s">
        <v>68</v>
      </c>
      <c r="U2307" s="10">
        <v>6</v>
      </c>
      <c r="V2307" s="78">
        <v>152.71</v>
      </c>
      <c r="W2307" s="78" t="s">
        <v>710</v>
      </c>
      <c r="X2307" s="17">
        <v>45396</v>
      </c>
      <c r="Y2307" s="17">
        <v>45588</v>
      </c>
      <c r="Z2307" s="19" t="s">
        <v>772</v>
      </c>
      <c r="AA2307" s="210">
        <v>77680</v>
      </c>
      <c r="AB2307" s="9">
        <v>84</v>
      </c>
      <c r="AC2307" s="9">
        <v>28</v>
      </c>
      <c r="AD2307" s="17">
        <v>46269</v>
      </c>
      <c r="AE2307" s="56">
        <v>866</v>
      </c>
      <c r="AF2307" s="56"/>
      <c r="AP2307" s="11"/>
      <c r="AQ2307" s="11"/>
      <c r="AR2307" s="11"/>
      <c r="AW2307" s="9"/>
      <c r="BD2307" s="9"/>
      <c r="CS2307" s="11">
        <f t="shared" si="162"/>
        <v>0</v>
      </c>
      <c r="CT2307" s="22">
        <f t="shared" si="163"/>
        <v>0</v>
      </c>
      <c r="CU2307" s="22">
        <f t="shared" si="164"/>
        <v>0</v>
      </c>
      <c r="CV2307" s="26">
        <f t="shared" si="161"/>
        <v>866</v>
      </c>
    </row>
    <row r="2308" spans="1:100" x14ac:dyDescent="0.2">
      <c r="A2308" s="9" t="s">
        <v>362</v>
      </c>
      <c r="B2308" s="2">
        <v>26</v>
      </c>
      <c r="C2308" s="3" t="s">
        <v>95</v>
      </c>
      <c r="D2308" s="3" t="s">
        <v>96</v>
      </c>
      <c r="E2308" s="2"/>
      <c r="F2308" s="2"/>
      <c r="G2308" s="2" t="s">
        <v>68</v>
      </c>
      <c r="H2308" s="2">
        <v>6</v>
      </c>
      <c r="I2308" s="8">
        <v>152.71</v>
      </c>
      <c r="J2308" s="8">
        <v>47499</v>
      </c>
      <c r="K2308" s="3">
        <v>0</v>
      </c>
      <c r="L2308" s="3" t="s">
        <v>3</v>
      </c>
      <c r="M2308" s="9" t="s">
        <v>0</v>
      </c>
      <c r="N2308" s="9">
        <v>40690645</v>
      </c>
      <c r="O2308" s="9" t="s">
        <v>559</v>
      </c>
      <c r="S2308" s="9" t="s">
        <v>158</v>
      </c>
      <c r="T2308" s="10" t="s">
        <v>68</v>
      </c>
      <c r="U2308" s="10">
        <v>6</v>
      </c>
      <c r="V2308" s="78">
        <v>152.71</v>
      </c>
      <c r="W2308" s="78" t="s">
        <v>710</v>
      </c>
      <c r="X2308" s="17">
        <v>45396</v>
      </c>
      <c r="Y2308" s="17">
        <v>45588</v>
      </c>
      <c r="Z2308" s="19" t="s">
        <v>772</v>
      </c>
      <c r="AA2308" s="210">
        <v>77680</v>
      </c>
      <c r="AB2308" s="9">
        <v>84</v>
      </c>
      <c r="AC2308" s="9">
        <v>29</v>
      </c>
      <c r="AD2308" s="17">
        <v>46299</v>
      </c>
      <c r="AE2308" s="56">
        <v>866</v>
      </c>
      <c r="AF2308" s="56"/>
      <c r="AP2308" s="11"/>
      <c r="AQ2308" s="11"/>
      <c r="AR2308" s="11"/>
      <c r="AW2308" s="9"/>
      <c r="BD2308" s="9"/>
      <c r="CS2308" s="11">
        <f t="shared" si="162"/>
        <v>0</v>
      </c>
      <c r="CT2308" s="22">
        <f t="shared" si="163"/>
        <v>0</v>
      </c>
      <c r="CU2308" s="22">
        <f t="shared" si="164"/>
        <v>0</v>
      </c>
      <c r="CV2308" s="26">
        <f t="shared" si="161"/>
        <v>866</v>
      </c>
    </row>
    <row r="2309" spans="1:100" x14ac:dyDescent="0.2">
      <c r="A2309" s="9" t="s">
        <v>362</v>
      </c>
      <c r="B2309" s="2">
        <v>26</v>
      </c>
      <c r="C2309" s="3" t="s">
        <v>95</v>
      </c>
      <c r="D2309" s="3" t="s">
        <v>96</v>
      </c>
      <c r="E2309" s="2"/>
      <c r="F2309" s="2"/>
      <c r="G2309" s="2" t="s">
        <v>68</v>
      </c>
      <c r="H2309" s="2">
        <v>6</v>
      </c>
      <c r="I2309" s="8">
        <v>152.71</v>
      </c>
      <c r="J2309" s="8">
        <v>47499</v>
      </c>
      <c r="K2309" s="3">
        <v>0</v>
      </c>
      <c r="L2309" s="3" t="s">
        <v>3</v>
      </c>
      <c r="M2309" s="9" t="s">
        <v>0</v>
      </c>
      <c r="N2309" s="9">
        <v>40690645</v>
      </c>
      <c r="O2309" s="9" t="s">
        <v>559</v>
      </c>
      <c r="S2309" s="9" t="s">
        <v>158</v>
      </c>
      <c r="T2309" s="10" t="s">
        <v>68</v>
      </c>
      <c r="U2309" s="10">
        <v>6</v>
      </c>
      <c r="V2309" s="78">
        <v>152.71</v>
      </c>
      <c r="W2309" s="78" t="s">
        <v>710</v>
      </c>
      <c r="X2309" s="17">
        <v>45396</v>
      </c>
      <c r="Y2309" s="17">
        <v>45588</v>
      </c>
      <c r="Z2309" s="19" t="s">
        <v>772</v>
      </c>
      <c r="AA2309" s="210">
        <v>77680</v>
      </c>
      <c r="AB2309" s="9">
        <v>84</v>
      </c>
      <c r="AC2309" s="9">
        <v>30</v>
      </c>
      <c r="AD2309" s="17">
        <v>46330</v>
      </c>
      <c r="AE2309" s="56">
        <v>866</v>
      </c>
      <c r="AF2309" s="56"/>
      <c r="AP2309" s="11"/>
      <c r="AQ2309" s="11"/>
      <c r="AR2309" s="11"/>
      <c r="AW2309" s="9"/>
      <c r="BD2309" s="9"/>
      <c r="CS2309" s="11">
        <f t="shared" si="162"/>
        <v>0</v>
      </c>
      <c r="CT2309" s="22">
        <f t="shared" si="163"/>
        <v>0</v>
      </c>
      <c r="CU2309" s="22">
        <f t="shared" si="164"/>
        <v>0</v>
      </c>
      <c r="CV2309" s="26">
        <f t="shared" si="161"/>
        <v>866</v>
      </c>
    </row>
    <row r="2310" spans="1:100" x14ac:dyDescent="0.2">
      <c r="A2310" s="9" t="s">
        <v>362</v>
      </c>
      <c r="B2310" s="2">
        <v>26</v>
      </c>
      <c r="C2310" s="3" t="s">
        <v>95</v>
      </c>
      <c r="D2310" s="3" t="s">
        <v>96</v>
      </c>
      <c r="E2310" s="2"/>
      <c r="F2310" s="2"/>
      <c r="G2310" s="2" t="s">
        <v>68</v>
      </c>
      <c r="H2310" s="2">
        <v>6</v>
      </c>
      <c r="I2310" s="8">
        <v>152.71</v>
      </c>
      <c r="J2310" s="8">
        <v>47499</v>
      </c>
      <c r="K2310" s="3">
        <v>0</v>
      </c>
      <c r="L2310" s="3" t="s">
        <v>3</v>
      </c>
      <c r="M2310" s="9" t="s">
        <v>0</v>
      </c>
      <c r="N2310" s="9">
        <v>40690645</v>
      </c>
      <c r="O2310" s="9" t="s">
        <v>559</v>
      </c>
      <c r="S2310" s="9" t="s">
        <v>158</v>
      </c>
      <c r="T2310" s="10" t="s">
        <v>68</v>
      </c>
      <c r="U2310" s="10">
        <v>6</v>
      </c>
      <c r="V2310" s="78">
        <v>152.71</v>
      </c>
      <c r="W2310" s="78" t="s">
        <v>710</v>
      </c>
      <c r="X2310" s="17">
        <v>45396</v>
      </c>
      <c r="Y2310" s="17">
        <v>45588</v>
      </c>
      <c r="Z2310" s="19" t="s">
        <v>772</v>
      </c>
      <c r="AA2310" s="210">
        <v>77680</v>
      </c>
      <c r="AB2310" s="9">
        <v>84</v>
      </c>
      <c r="AC2310" s="9">
        <v>31</v>
      </c>
      <c r="AD2310" s="17">
        <v>46360</v>
      </c>
      <c r="AE2310" s="56">
        <v>866</v>
      </c>
      <c r="AF2310" s="56"/>
      <c r="AP2310" s="11"/>
      <c r="AQ2310" s="11"/>
      <c r="AR2310" s="11"/>
      <c r="AW2310" s="9"/>
      <c r="BD2310" s="9"/>
      <c r="CS2310" s="11">
        <f t="shared" si="162"/>
        <v>0</v>
      </c>
      <c r="CT2310" s="22">
        <f t="shared" si="163"/>
        <v>0</v>
      </c>
      <c r="CU2310" s="22">
        <f t="shared" si="164"/>
        <v>0</v>
      </c>
      <c r="CV2310" s="26">
        <f t="shared" si="161"/>
        <v>866</v>
      </c>
    </row>
    <row r="2311" spans="1:100" x14ac:dyDescent="0.2">
      <c r="A2311" s="9" t="s">
        <v>362</v>
      </c>
      <c r="B2311" s="2">
        <v>26</v>
      </c>
      <c r="C2311" s="3" t="s">
        <v>95</v>
      </c>
      <c r="D2311" s="3" t="s">
        <v>96</v>
      </c>
      <c r="E2311" s="2"/>
      <c r="F2311" s="2"/>
      <c r="G2311" s="2" t="s">
        <v>68</v>
      </c>
      <c r="H2311" s="2">
        <v>6</v>
      </c>
      <c r="I2311" s="8">
        <v>152.71</v>
      </c>
      <c r="J2311" s="8">
        <v>47499</v>
      </c>
      <c r="K2311" s="3">
        <v>0</v>
      </c>
      <c r="L2311" s="3" t="s">
        <v>3</v>
      </c>
      <c r="M2311" s="9" t="s">
        <v>0</v>
      </c>
      <c r="N2311" s="9">
        <v>40690645</v>
      </c>
      <c r="O2311" s="9" t="s">
        <v>559</v>
      </c>
      <c r="S2311" s="9" t="s">
        <v>158</v>
      </c>
      <c r="T2311" s="10" t="s">
        <v>68</v>
      </c>
      <c r="U2311" s="10">
        <v>6</v>
      </c>
      <c r="V2311" s="78">
        <v>152.71</v>
      </c>
      <c r="W2311" s="78" t="s">
        <v>710</v>
      </c>
      <c r="X2311" s="17">
        <v>45396</v>
      </c>
      <c r="Y2311" s="17">
        <v>45588</v>
      </c>
      <c r="Z2311" s="19" t="s">
        <v>772</v>
      </c>
      <c r="AA2311" s="210">
        <v>77680</v>
      </c>
      <c r="AB2311" s="9">
        <v>84</v>
      </c>
      <c r="AC2311" s="9">
        <v>32</v>
      </c>
      <c r="AD2311" s="17">
        <v>46391</v>
      </c>
      <c r="AE2311" s="56">
        <v>866</v>
      </c>
      <c r="AF2311" s="56"/>
      <c r="AP2311" s="11"/>
      <c r="AQ2311" s="11"/>
      <c r="AR2311" s="11"/>
      <c r="AW2311" s="9"/>
      <c r="BD2311" s="9"/>
      <c r="CS2311" s="11">
        <f t="shared" si="162"/>
        <v>0</v>
      </c>
      <c r="CT2311" s="22">
        <f t="shared" si="163"/>
        <v>0</v>
      </c>
      <c r="CU2311" s="22">
        <f t="shared" si="164"/>
        <v>0</v>
      </c>
      <c r="CV2311" s="26">
        <f t="shared" si="161"/>
        <v>866</v>
      </c>
    </row>
    <row r="2312" spans="1:100" x14ac:dyDescent="0.2">
      <c r="A2312" s="9" t="s">
        <v>362</v>
      </c>
      <c r="B2312" s="2">
        <v>26</v>
      </c>
      <c r="C2312" s="3" t="s">
        <v>95</v>
      </c>
      <c r="D2312" s="3" t="s">
        <v>96</v>
      </c>
      <c r="E2312" s="2"/>
      <c r="F2312" s="2"/>
      <c r="G2312" s="2" t="s">
        <v>68</v>
      </c>
      <c r="H2312" s="2">
        <v>6</v>
      </c>
      <c r="I2312" s="8">
        <v>152.71</v>
      </c>
      <c r="J2312" s="8">
        <v>47499</v>
      </c>
      <c r="K2312" s="3">
        <v>0</v>
      </c>
      <c r="L2312" s="3" t="s">
        <v>3</v>
      </c>
      <c r="M2312" s="9" t="s">
        <v>0</v>
      </c>
      <c r="N2312" s="9">
        <v>40690645</v>
      </c>
      <c r="O2312" s="9" t="s">
        <v>559</v>
      </c>
      <c r="S2312" s="9" t="s">
        <v>158</v>
      </c>
      <c r="T2312" s="10" t="s">
        <v>68</v>
      </c>
      <c r="U2312" s="10">
        <v>6</v>
      </c>
      <c r="V2312" s="78">
        <v>152.71</v>
      </c>
      <c r="W2312" s="78" t="s">
        <v>710</v>
      </c>
      <c r="X2312" s="17">
        <v>45396</v>
      </c>
      <c r="Y2312" s="17">
        <v>45588</v>
      </c>
      <c r="Z2312" s="19" t="s">
        <v>772</v>
      </c>
      <c r="AA2312" s="210">
        <v>77680</v>
      </c>
      <c r="AB2312" s="9">
        <v>84</v>
      </c>
      <c r="AC2312" s="9">
        <v>33</v>
      </c>
      <c r="AD2312" s="17">
        <v>46422</v>
      </c>
      <c r="AE2312" s="56">
        <v>866</v>
      </c>
      <c r="AF2312" s="56"/>
      <c r="AP2312" s="11"/>
      <c r="AQ2312" s="11"/>
      <c r="AR2312" s="11"/>
      <c r="AW2312" s="9"/>
      <c r="BD2312" s="9"/>
      <c r="CS2312" s="11">
        <f t="shared" si="162"/>
        <v>0</v>
      </c>
      <c r="CT2312" s="22">
        <f t="shared" si="163"/>
        <v>0</v>
      </c>
      <c r="CU2312" s="22">
        <f t="shared" si="164"/>
        <v>0</v>
      </c>
      <c r="CV2312" s="26">
        <f t="shared" si="161"/>
        <v>866</v>
      </c>
    </row>
    <row r="2313" spans="1:100" x14ac:dyDescent="0.2">
      <c r="A2313" s="9" t="s">
        <v>362</v>
      </c>
      <c r="B2313" s="2">
        <v>26</v>
      </c>
      <c r="C2313" s="3" t="s">
        <v>95</v>
      </c>
      <c r="D2313" s="3" t="s">
        <v>96</v>
      </c>
      <c r="E2313" s="2"/>
      <c r="F2313" s="2"/>
      <c r="G2313" s="2" t="s">
        <v>68</v>
      </c>
      <c r="H2313" s="2">
        <v>6</v>
      </c>
      <c r="I2313" s="8">
        <v>152.71</v>
      </c>
      <c r="J2313" s="8">
        <v>47499</v>
      </c>
      <c r="K2313" s="3">
        <v>0</v>
      </c>
      <c r="L2313" s="3" t="s">
        <v>3</v>
      </c>
      <c r="M2313" s="9" t="s">
        <v>0</v>
      </c>
      <c r="N2313" s="9">
        <v>40690645</v>
      </c>
      <c r="O2313" s="9" t="s">
        <v>559</v>
      </c>
      <c r="S2313" s="9" t="s">
        <v>158</v>
      </c>
      <c r="T2313" s="10" t="s">
        <v>68</v>
      </c>
      <c r="U2313" s="10">
        <v>6</v>
      </c>
      <c r="V2313" s="78">
        <v>152.71</v>
      </c>
      <c r="W2313" s="78" t="s">
        <v>710</v>
      </c>
      <c r="X2313" s="17">
        <v>45396</v>
      </c>
      <c r="Y2313" s="17">
        <v>45588</v>
      </c>
      <c r="Z2313" s="19" t="s">
        <v>772</v>
      </c>
      <c r="AA2313" s="210">
        <v>77680</v>
      </c>
      <c r="AB2313" s="9">
        <v>84</v>
      </c>
      <c r="AC2313" s="9">
        <v>34</v>
      </c>
      <c r="AD2313" s="17">
        <v>46450</v>
      </c>
      <c r="AE2313" s="56">
        <v>866</v>
      </c>
      <c r="AF2313" s="56"/>
      <c r="AP2313" s="11"/>
      <c r="AQ2313" s="11"/>
      <c r="AR2313" s="11"/>
      <c r="AW2313" s="9"/>
      <c r="BD2313" s="9"/>
      <c r="CS2313" s="11">
        <f t="shared" si="162"/>
        <v>0</v>
      </c>
      <c r="CT2313" s="22">
        <f t="shared" si="163"/>
        <v>0</v>
      </c>
      <c r="CU2313" s="22">
        <f t="shared" si="164"/>
        <v>0</v>
      </c>
      <c r="CV2313" s="26">
        <f t="shared" si="161"/>
        <v>866</v>
      </c>
    </row>
    <row r="2314" spans="1:100" x14ac:dyDescent="0.2">
      <c r="A2314" s="9" t="s">
        <v>362</v>
      </c>
      <c r="B2314" s="2">
        <v>26</v>
      </c>
      <c r="C2314" s="3" t="s">
        <v>95</v>
      </c>
      <c r="D2314" s="3" t="s">
        <v>96</v>
      </c>
      <c r="E2314" s="2"/>
      <c r="F2314" s="2"/>
      <c r="G2314" s="2" t="s">
        <v>68</v>
      </c>
      <c r="H2314" s="2">
        <v>6</v>
      </c>
      <c r="I2314" s="8">
        <v>152.71</v>
      </c>
      <c r="J2314" s="8">
        <v>47499</v>
      </c>
      <c r="K2314" s="3">
        <v>0</v>
      </c>
      <c r="L2314" s="3" t="s">
        <v>3</v>
      </c>
      <c r="M2314" s="9" t="s">
        <v>0</v>
      </c>
      <c r="N2314" s="9">
        <v>40690645</v>
      </c>
      <c r="O2314" s="9" t="s">
        <v>559</v>
      </c>
      <c r="S2314" s="9" t="s">
        <v>158</v>
      </c>
      <c r="T2314" s="10" t="s">
        <v>68</v>
      </c>
      <c r="U2314" s="10">
        <v>6</v>
      </c>
      <c r="V2314" s="78">
        <v>152.71</v>
      </c>
      <c r="W2314" s="78" t="s">
        <v>710</v>
      </c>
      <c r="X2314" s="17">
        <v>45396</v>
      </c>
      <c r="Y2314" s="17">
        <v>45588</v>
      </c>
      <c r="Z2314" s="19" t="s">
        <v>772</v>
      </c>
      <c r="AA2314" s="210">
        <v>77680</v>
      </c>
      <c r="AB2314" s="9">
        <v>84</v>
      </c>
      <c r="AC2314" s="9">
        <v>35</v>
      </c>
      <c r="AD2314" s="17">
        <v>46481</v>
      </c>
      <c r="AE2314" s="56">
        <v>866</v>
      </c>
      <c r="AF2314" s="56"/>
      <c r="AP2314" s="11"/>
      <c r="AQ2314" s="11"/>
      <c r="AR2314" s="11"/>
      <c r="AW2314" s="9"/>
      <c r="BD2314" s="9"/>
      <c r="CS2314" s="11">
        <f t="shared" si="162"/>
        <v>0</v>
      </c>
      <c r="CT2314" s="22">
        <f t="shared" si="163"/>
        <v>0</v>
      </c>
      <c r="CU2314" s="22">
        <f t="shared" si="164"/>
        <v>0</v>
      </c>
      <c r="CV2314" s="26">
        <f t="shared" si="161"/>
        <v>866</v>
      </c>
    </row>
    <row r="2315" spans="1:100" x14ac:dyDescent="0.2">
      <c r="A2315" s="9" t="s">
        <v>362</v>
      </c>
      <c r="B2315" s="2">
        <v>26</v>
      </c>
      <c r="C2315" s="3" t="s">
        <v>95</v>
      </c>
      <c r="D2315" s="3" t="s">
        <v>96</v>
      </c>
      <c r="E2315" s="2"/>
      <c r="F2315" s="2"/>
      <c r="G2315" s="2" t="s">
        <v>68</v>
      </c>
      <c r="H2315" s="2">
        <v>6</v>
      </c>
      <c r="I2315" s="8">
        <v>152.71</v>
      </c>
      <c r="J2315" s="8">
        <v>47499</v>
      </c>
      <c r="K2315" s="3">
        <v>0</v>
      </c>
      <c r="L2315" s="3" t="s">
        <v>3</v>
      </c>
      <c r="M2315" s="9" t="s">
        <v>0</v>
      </c>
      <c r="N2315" s="9">
        <v>40690645</v>
      </c>
      <c r="O2315" s="9" t="s">
        <v>559</v>
      </c>
      <c r="S2315" s="9" t="s">
        <v>158</v>
      </c>
      <c r="T2315" s="10" t="s">
        <v>68</v>
      </c>
      <c r="U2315" s="10">
        <v>6</v>
      </c>
      <c r="V2315" s="78">
        <v>152.71</v>
      </c>
      <c r="W2315" s="78" t="s">
        <v>710</v>
      </c>
      <c r="X2315" s="17">
        <v>45396</v>
      </c>
      <c r="Y2315" s="17">
        <v>45588</v>
      </c>
      <c r="Z2315" s="19" t="s">
        <v>772</v>
      </c>
      <c r="AA2315" s="210">
        <v>77680</v>
      </c>
      <c r="AB2315" s="9">
        <v>84</v>
      </c>
      <c r="AC2315" s="9">
        <v>36</v>
      </c>
      <c r="AD2315" s="17">
        <v>46511</v>
      </c>
      <c r="AE2315" s="56">
        <v>866</v>
      </c>
      <c r="AF2315" s="56"/>
      <c r="AP2315" s="11"/>
      <c r="AQ2315" s="11"/>
      <c r="AR2315" s="11"/>
      <c r="AW2315" s="9"/>
      <c r="BD2315" s="9"/>
      <c r="CS2315" s="11">
        <f t="shared" si="162"/>
        <v>0</v>
      </c>
      <c r="CT2315" s="22">
        <f t="shared" si="163"/>
        <v>0</v>
      </c>
      <c r="CU2315" s="22">
        <f t="shared" si="164"/>
        <v>0</v>
      </c>
      <c r="CV2315" s="26">
        <f t="shared" si="161"/>
        <v>866</v>
      </c>
    </row>
    <row r="2316" spans="1:100" x14ac:dyDescent="0.2">
      <c r="A2316" s="9" t="s">
        <v>362</v>
      </c>
      <c r="B2316" s="2">
        <v>26</v>
      </c>
      <c r="C2316" s="3" t="s">
        <v>95</v>
      </c>
      <c r="D2316" s="3" t="s">
        <v>96</v>
      </c>
      <c r="E2316" s="2"/>
      <c r="F2316" s="2"/>
      <c r="G2316" s="2" t="s">
        <v>68</v>
      </c>
      <c r="H2316" s="2">
        <v>6</v>
      </c>
      <c r="I2316" s="8">
        <v>152.71</v>
      </c>
      <c r="J2316" s="8">
        <v>47499</v>
      </c>
      <c r="K2316" s="3">
        <v>0</v>
      </c>
      <c r="L2316" s="3" t="s">
        <v>3</v>
      </c>
      <c r="M2316" s="9" t="s">
        <v>0</v>
      </c>
      <c r="N2316" s="9">
        <v>40690645</v>
      </c>
      <c r="O2316" s="9" t="s">
        <v>559</v>
      </c>
      <c r="S2316" s="9" t="s">
        <v>158</v>
      </c>
      <c r="T2316" s="10" t="s">
        <v>68</v>
      </c>
      <c r="U2316" s="10">
        <v>6</v>
      </c>
      <c r="V2316" s="78">
        <v>152.71</v>
      </c>
      <c r="W2316" s="78" t="s">
        <v>710</v>
      </c>
      <c r="X2316" s="17">
        <v>45396</v>
      </c>
      <c r="Y2316" s="17">
        <v>45588</v>
      </c>
      <c r="Z2316" s="19" t="s">
        <v>772</v>
      </c>
      <c r="AA2316" s="210">
        <v>77680</v>
      </c>
      <c r="AB2316" s="9">
        <v>84</v>
      </c>
      <c r="AC2316" s="9">
        <v>37</v>
      </c>
      <c r="AD2316" s="17">
        <v>46542</v>
      </c>
      <c r="AE2316" s="56">
        <v>866</v>
      </c>
      <c r="AF2316" s="56"/>
      <c r="AP2316" s="11"/>
      <c r="AQ2316" s="11"/>
      <c r="AR2316" s="11"/>
      <c r="AW2316" s="9"/>
      <c r="BD2316" s="9"/>
      <c r="CS2316" s="11">
        <f t="shared" si="162"/>
        <v>0</v>
      </c>
      <c r="CT2316" s="22">
        <f t="shared" si="163"/>
        <v>0</v>
      </c>
      <c r="CU2316" s="22">
        <f t="shared" si="164"/>
        <v>0</v>
      </c>
      <c r="CV2316" s="26">
        <f t="shared" si="161"/>
        <v>866</v>
      </c>
    </row>
    <row r="2317" spans="1:100" x14ac:dyDescent="0.2">
      <c r="A2317" s="9" t="s">
        <v>362</v>
      </c>
      <c r="B2317" s="2">
        <v>26</v>
      </c>
      <c r="C2317" s="3" t="s">
        <v>95</v>
      </c>
      <c r="D2317" s="3" t="s">
        <v>96</v>
      </c>
      <c r="E2317" s="2"/>
      <c r="F2317" s="2"/>
      <c r="G2317" s="2" t="s">
        <v>68</v>
      </c>
      <c r="H2317" s="2">
        <v>6</v>
      </c>
      <c r="I2317" s="8">
        <v>152.71</v>
      </c>
      <c r="J2317" s="8">
        <v>47499</v>
      </c>
      <c r="K2317" s="3">
        <v>0</v>
      </c>
      <c r="L2317" s="3" t="s">
        <v>3</v>
      </c>
      <c r="M2317" s="9" t="s">
        <v>0</v>
      </c>
      <c r="N2317" s="9">
        <v>40690645</v>
      </c>
      <c r="O2317" s="9" t="s">
        <v>559</v>
      </c>
      <c r="S2317" s="9" t="s">
        <v>158</v>
      </c>
      <c r="T2317" s="10" t="s">
        <v>68</v>
      </c>
      <c r="U2317" s="10">
        <v>6</v>
      </c>
      <c r="V2317" s="78">
        <v>152.71</v>
      </c>
      <c r="W2317" s="78" t="s">
        <v>710</v>
      </c>
      <c r="X2317" s="17">
        <v>45396</v>
      </c>
      <c r="Y2317" s="17">
        <v>45588</v>
      </c>
      <c r="Z2317" s="19" t="s">
        <v>772</v>
      </c>
      <c r="AA2317" s="210">
        <v>77680</v>
      </c>
      <c r="AB2317" s="9">
        <v>84</v>
      </c>
      <c r="AC2317" s="9">
        <v>38</v>
      </c>
      <c r="AD2317" s="17">
        <v>46572</v>
      </c>
      <c r="AE2317" s="56">
        <v>866</v>
      </c>
      <c r="AF2317" s="56"/>
      <c r="AP2317" s="11"/>
      <c r="AQ2317" s="11"/>
      <c r="AR2317" s="11"/>
      <c r="AW2317" s="9"/>
      <c r="BD2317" s="9"/>
      <c r="CS2317" s="11">
        <f t="shared" si="162"/>
        <v>0</v>
      </c>
      <c r="CT2317" s="22">
        <f t="shared" si="163"/>
        <v>0</v>
      </c>
      <c r="CU2317" s="22">
        <f t="shared" si="164"/>
        <v>0</v>
      </c>
      <c r="CV2317" s="26">
        <f t="shared" si="161"/>
        <v>866</v>
      </c>
    </row>
    <row r="2318" spans="1:100" x14ac:dyDescent="0.2">
      <c r="A2318" s="9" t="s">
        <v>362</v>
      </c>
      <c r="B2318" s="2">
        <v>26</v>
      </c>
      <c r="C2318" s="3" t="s">
        <v>95</v>
      </c>
      <c r="D2318" s="3" t="s">
        <v>96</v>
      </c>
      <c r="E2318" s="2"/>
      <c r="F2318" s="2"/>
      <c r="G2318" s="2" t="s">
        <v>68</v>
      </c>
      <c r="H2318" s="2">
        <v>6</v>
      </c>
      <c r="I2318" s="8">
        <v>152.71</v>
      </c>
      <c r="J2318" s="8">
        <v>47499</v>
      </c>
      <c r="K2318" s="3">
        <v>0</v>
      </c>
      <c r="L2318" s="3" t="s">
        <v>3</v>
      </c>
      <c r="M2318" s="9" t="s">
        <v>0</v>
      </c>
      <c r="N2318" s="9">
        <v>40690645</v>
      </c>
      <c r="O2318" s="9" t="s">
        <v>559</v>
      </c>
      <c r="S2318" s="9" t="s">
        <v>158</v>
      </c>
      <c r="T2318" s="10" t="s">
        <v>68</v>
      </c>
      <c r="U2318" s="10">
        <v>6</v>
      </c>
      <c r="V2318" s="78">
        <v>152.71</v>
      </c>
      <c r="W2318" s="78" t="s">
        <v>710</v>
      </c>
      <c r="X2318" s="17">
        <v>45396</v>
      </c>
      <c r="Y2318" s="17">
        <v>45588</v>
      </c>
      <c r="Z2318" s="19" t="s">
        <v>772</v>
      </c>
      <c r="AA2318" s="210">
        <v>77680</v>
      </c>
      <c r="AB2318" s="9">
        <v>84</v>
      </c>
      <c r="AC2318" s="9">
        <v>39</v>
      </c>
      <c r="AD2318" s="17">
        <v>46603</v>
      </c>
      <c r="AE2318" s="56">
        <v>866</v>
      </c>
      <c r="AF2318" s="56"/>
      <c r="AP2318" s="11"/>
      <c r="AQ2318" s="11"/>
      <c r="AR2318" s="11"/>
      <c r="AW2318" s="9"/>
      <c r="BD2318" s="9"/>
      <c r="CS2318" s="11">
        <f t="shared" si="162"/>
        <v>0</v>
      </c>
      <c r="CT2318" s="22">
        <f t="shared" si="163"/>
        <v>0</v>
      </c>
      <c r="CU2318" s="22">
        <f t="shared" si="164"/>
        <v>0</v>
      </c>
      <c r="CV2318" s="26">
        <f t="shared" si="161"/>
        <v>866</v>
      </c>
    </row>
    <row r="2319" spans="1:100" x14ac:dyDescent="0.2">
      <c r="A2319" s="9" t="s">
        <v>362</v>
      </c>
      <c r="B2319" s="2">
        <v>26</v>
      </c>
      <c r="C2319" s="3" t="s">
        <v>95</v>
      </c>
      <c r="D2319" s="3" t="s">
        <v>96</v>
      </c>
      <c r="E2319" s="2"/>
      <c r="F2319" s="2"/>
      <c r="G2319" s="2" t="s">
        <v>68</v>
      </c>
      <c r="H2319" s="2">
        <v>6</v>
      </c>
      <c r="I2319" s="8">
        <v>152.71</v>
      </c>
      <c r="J2319" s="8">
        <v>47499</v>
      </c>
      <c r="K2319" s="3">
        <v>0</v>
      </c>
      <c r="L2319" s="3" t="s">
        <v>3</v>
      </c>
      <c r="M2319" s="9" t="s">
        <v>0</v>
      </c>
      <c r="N2319" s="9">
        <v>40690645</v>
      </c>
      <c r="O2319" s="9" t="s">
        <v>559</v>
      </c>
      <c r="S2319" s="9" t="s">
        <v>158</v>
      </c>
      <c r="T2319" s="10" t="s">
        <v>68</v>
      </c>
      <c r="U2319" s="10">
        <v>6</v>
      </c>
      <c r="V2319" s="78">
        <v>152.71</v>
      </c>
      <c r="W2319" s="78" t="s">
        <v>710</v>
      </c>
      <c r="X2319" s="17">
        <v>45396</v>
      </c>
      <c r="Y2319" s="17">
        <v>45588</v>
      </c>
      <c r="Z2319" s="19" t="s">
        <v>772</v>
      </c>
      <c r="AA2319" s="210">
        <v>77680</v>
      </c>
      <c r="AB2319" s="9">
        <v>84</v>
      </c>
      <c r="AC2319" s="9">
        <v>40</v>
      </c>
      <c r="AD2319" s="17">
        <v>46634</v>
      </c>
      <c r="AE2319" s="56">
        <v>866</v>
      </c>
      <c r="AF2319" s="56"/>
      <c r="AP2319" s="11"/>
      <c r="AQ2319" s="11"/>
      <c r="AR2319" s="11"/>
      <c r="AW2319" s="9"/>
      <c r="BD2319" s="9"/>
      <c r="CS2319" s="11">
        <f t="shared" si="162"/>
        <v>0</v>
      </c>
      <c r="CT2319" s="22">
        <f t="shared" si="163"/>
        <v>0</v>
      </c>
      <c r="CU2319" s="22">
        <f t="shared" si="164"/>
        <v>0</v>
      </c>
      <c r="CV2319" s="26">
        <f t="shared" si="161"/>
        <v>866</v>
      </c>
    </row>
    <row r="2320" spans="1:100" x14ac:dyDescent="0.2">
      <c r="A2320" s="9" t="s">
        <v>362</v>
      </c>
      <c r="B2320" s="2">
        <v>26</v>
      </c>
      <c r="C2320" s="3" t="s">
        <v>95</v>
      </c>
      <c r="D2320" s="3" t="s">
        <v>96</v>
      </c>
      <c r="E2320" s="2"/>
      <c r="F2320" s="2"/>
      <c r="G2320" s="2" t="s">
        <v>68</v>
      </c>
      <c r="H2320" s="2">
        <v>6</v>
      </c>
      <c r="I2320" s="8">
        <v>152.71</v>
      </c>
      <c r="J2320" s="8">
        <v>47499</v>
      </c>
      <c r="K2320" s="3">
        <v>0</v>
      </c>
      <c r="L2320" s="3" t="s">
        <v>3</v>
      </c>
      <c r="M2320" s="9" t="s">
        <v>0</v>
      </c>
      <c r="N2320" s="9">
        <v>40690645</v>
      </c>
      <c r="O2320" s="9" t="s">
        <v>559</v>
      </c>
      <c r="S2320" s="9" t="s">
        <v>158</v>
      </c>
      <c r="T2320" s="10" t="s">
        <v>68</v>
      </c>
      <c r="U2320" s="10">
        <v>6</v>
      </c>
      <c r="V2320" s="78">
        <v>152.71</v>
      </c>
      <c r="W2320" s="78" t="s">
        <v>710</v>
      </c>
      <c r="X2320" s="17">
        <v>45396</v>
      </c>
      <c r="Y2320" s="17">
        <v>45588</v>
      </c>
      <c r="Z2320" s="19" t="s">
        <v>772</v>
      </c>
      <c r="AA2320" s="210">
        <v>77680</v>
      </c>
      <c r="AB2320" s="9">
        <v>84</v>
      </c>
      <c r="AC2320" s="9">
        <v>41</v>
      </c>
      <c r="AD2320" s="17">
        <v>46664</v>
      </c>
      <c r="AE2320" s="56">
        <v>866</v>
      </c>
      <c r="AF2320" s="56"/>
      <c r="AP2320" s="11"/>
      <c r="AQ2320" s="11"/>
      <c r="AR2320" s="11"/>
      <c r="AW2320" s="9"/>
      <c r="BD2320" s="9"/>
      <c r="CS2320" s="11">
        <f t="shared" si="162"/>
        <v>0</v>
      </c>
      <c r="CT2320" s="22">
        <f t="shared" si="163"/>
        <v>0</v>
      </c>
      <c r="CU2320" s="22">
        <f t="shared" si="164"/>
        <v>0</v>
      </c>
      <c r="CV2320" s="26">
        <f t="shared" si="161"/>
        <v>866</v>
      </c>
    </row>
    <row r="2321" spans="1:100" x14ac:dyDescent="0.2">
      <c r="A2321" s="9" t="s">
        <v>362</v>
      </c>
      <c r="B2321" s="2">
        <v>26</v>
      </c>
      <c r="C2321" s="3" t="s">
        <v>95</v>
      </c>
      <c r="D2321" s="3" t="s">
        <v>96</v>
      </c>
      <c r="E2321" s="2"/>
      <c r="F2321" s="2"/>
      <c r="G2321" s="2" t="s">
        <v>68</v>
      </c>
      <c r="H2321" s="2">
        <v>6</v>
      </c>
      <c r="I2321" s="8">
        <v>152.71</v>
      </c>
      <c r="J2321" s="8">
        <v>47499</v>
      </c>
      <c r="K2321" s="3">
        <v>0</v>
      </c>
      <c r="L2321" s="3" t="s">
        <v>3</v>
      </c>
      <c r="M2321" s="9" t="s">
        <v>0</v>
      </c>
      <c r="N2321" s="9">
        <v>40690645</v>
      </c>
      <c r="O2321" s="9" t="s">
        <v>559</v>
      </c>
      <c r="S2321" s="9" t="s">
        <v>158</v>
      </c>
      <c r="T2321" s="10" t="s">
        <v>68</v>
      </c>
      <c r="U2321" s="10">
        <v>6</v>
      </c>
      <c r="V2321" s="78">
        <v>152.71</v>
      </c>
      <c r="W2321" s="78" t="s">
        <v>710</v>
      </c>
      <c r="X2321" s="17">
        <v>45396</v>
      </c>
      <c r="Y2321" s="17">
        <v>45588</v>
      </c>
      <c r="Z2321" s="19" t="s">
        <v>772</v>
      </c>
      <c r="AA2321" s="210">
        <v>77680</v>
      </c>
      <c r="AB2321" s="9">
        <v>84</v>
      </c>
      <c r="AC2321" s="9">
        <v>42</v>
      </c>
      <c r="AD2321" s="17">
        <v>46695</v>
      </c>
      <c r="AE2321" s="56">
        <v>866</v>
      </c>
      <c r="AF2321" s="56"/>
      <c r="AP2321" s="11"/>
      <c r="AQ2321" s="11"/>
      <c r="AR2321" s="11"/>
      <c r="AW2321" s="9"/>
      <c r="BD2321" s="9"/>
      <c r="CS2321" s="11">
        <f t="shared" si="162"/>
        <v>0</v>
      </c>
      <c r="CT2321" s="22">
        <f t="shared" si="163"/>
        <v>0</v>
      </c>
      <c r="CU2321" s="22">
        <f t="shared" si="164"/>
        <v>0</v>
      </c>
      <c r="CV2321" s="26">
        <f t="shared" si="161"/>
        <v>866</v>
      </c>
    </row>
    <row r="2322" spans="1:100" x14ac:dyDescent="0.2">
      <c r="A2322" s="9" t="s">
        <v>362</v>
      </c>
      <c r="B2322" s="2">
        <v>26</v>
      </c>
      <c r="C2322" s="3" t="s">
        <v>95</v>
      </c>
      <c r="D2322" s="3" t="s">
        <v>96</v>
      </c>
      <c r="E2322" s="2"/>
      <c r="F2322" s="2"/>
      <c r="G2322" s="2" t="s">
        <v>68</v>
      </c>
      <c r="H2322" s="2">
        <v>6</v>
      </c>
      <c r="I2322" s="8">
        <v>152.71</v>
      </c>
      <c r="J2322" s="8">
        <v>47499</v>
      </c>
      <c r="K2322" s="3">
        <v>0</v>
      </c>
      <c r="L2322" s="3" t="s">
        <v>3</v>
      </c>
      <c r="M2322" s="9" t="s">
        <v>0</v>
      </c>
      <c r="N2322" s="9">
        <v>40690645</v>
      </c>
      <c r="O2322" s="9" t="s">
        <v>559</v>
      </c>
      <c r="S2322" s="9" t="s">
        <v>158</v>
      </c>
      <c r="T2322" s="10" t="s">
        <v>68</v>
      </c>
      <c r="U2322" s="10">
        <v>6</v>
      </c>
      <c r="V2322" s="78">
        <v>152.71</v>
      </c>
      <c r="W2322" s="78" t="s">
        <v>710</v>
      </c>
      <c r="X2322" s="17">
        <v>45396</v>
      </c>
      <c r="Y2322" s="17">
        <v>45588</v>
      </c>
      <c r="Z2322" s="19" t="s">
        <v>772</v>
      </c>
      <c r="AA2322" s="210">
        <v>77680</v>
      </c>
      <c r="AB2322" s="9">
        <v>84</v>
      </c>
      <c r="AC2322" s="9">
        <v>43</v>
      </c>
      <c r="AD2322" s="17">
        <v>46725</v>
      </c>
      <c r="AE2322" s="56">
        <v>866</v>
      </c>
      <c r="AF2322" s="56"/>
      <c r="AP2322" s="11"/>
      <c r="AQ2322" s="11"/>
      <c r="AR2322" s="11"/>
      <c r="AW2322" s="9"/>
      <c r="BD2322" s="9"/>
      <c r="CS2322" s="11">
        <f t="shared" si="162"/>
        <v>0</v>
      </c>
      <c r="CT2322" s="22">
        <f t="shared" si="163"/>
        <v>0</v>
      </c>
      <c r="CU2322" s="22">
        <f t="shared" si="164"/>
        <v>0</v>
      </c>
      <c r="CV2322" s="26">
        <f t="shared" si="161"/>
        <v>866</v>
      </c>
    </row>
    <row r="2323" spans="1:100" x14ac:dyDescent="0.2">
      <c r="A2323" s="9" t="s">
        <v>362</v>
      </c>
      <c r="B2323" s="2">
        <v>26</v>
      </c>
      <c r="C2323" s="3" t="s">
        <v>95</v>
      </c>
      <c r="D2323" s="3" t="s">
        <v>96</v>
      </c>
      <c r="E2323" s="2"/>
      <c r="F2323" s="2"/>
      <c r="G2323" s="2" t="s">
        <v>68</v>
      </c>
      <c r="H2323" s="2">
        <v>6</v>
      </c>
      <c r="I2323" s="8">
        <v>152.71</v>
      </c>
      <c r="J2323" s="8">
        <v>47499</v>
      </c>
      <c r="K2323" s="3">
        <v>0</v>
      </c>
      <c r="L2323" s="3" t="s">
        <v>3</v>
      </c>
      <c r="M2323" s="9" t="s">
        <v>0</v>
      </c>
      <c r="N2323" s="9">
        <v>40690645</v>
      </c>
      <c r="O2323" s="9" t="s">
        <v>559</v>
      </c>
      <c r="S2323" s="9" t="s">
        <v>158</v>
      </c>
      <c r="T2323" s="10" t="s">
        <v>68</v>
      </c>
      <c r="U2323" s="10">
        <v>6</v>
      </c>
      <c r="V2323" s="78">
        <v>152.71</v>
      </c>
      <c r="W2323" s="78" t="s">
        <v>710</v>
      </c>
      <c r="X2323" s="17">
        <v>45396</v>
      </c>
      <c r="Y2323" s="17">
        <v>45588</v>
      </c>
      <c r="Z2323" s="19" t="s">
        <v>772</v>
      </c>
      <c r="AA2323" s="210">
        <v>77680</v>
      </c>
      <c r="AB2323" s="9">
        <v>84</v>
      </c>
      <c r="AC2323" s="9">
        <v>44</v>
      </c>
      <c r="AD2323" s="17">
        <v>46756</v>
      </c>
      <c r="AE2323" s="56">
        <v>866</v>
      </c>
      <c r="AF2323" s="56"/>
      <c r="AP2323" s="11"/>
      <c r="AQ2323" s="11"/>
      <c r="AR2323" s="11"/>
      <c r="AW2323" s="9"/>
      <c r="BD2323" s="9"/>
      <c r="CS2323" s="11">
        <f t="shared" si="162"/>
        <v>0</v>
      </c>
      <c r="CT2323" s="22">
        <f t="shared" si="163"/>
        <v>0</v>
      </c>
      <c r="CU2323" s="22">
        <f t="shared" si="164"/>
        <v>0</v>
      </c>
      <c r="CV2323" s="26">
        <f t="shared" si="161"/>
        <v>866</v>
      </c>
    </row>
    <row r="2324" spans="1:100" x14ac:dyDescent="0.2">
      <c r="A2324" s="9" t="s">
        <v>362</v>
      </c>
      <c r="B2324" s="2">
        <v>26</v>
      </c>
      <c r="C2324" s="3" t="s">
        <v>95</v>
      </c>
      <c r="D2324" s="3" t="s">
        <v>96</v>
      </c>
      <c r="E2324" s="2"/>
      <c r="F2324" s="2"/>
      <c r="G2324" s="2" t="s">
        <v>68</v>
      </c>
      <c r="H2324" s="2">
        <v>6</v>
      </c>
      <c r="I2324" s="8">
        <v>152.71</v>
      </c>
      <c r="J2324" s="8">
        <v>47499</v>
      </c>
      <c r="K2324" s="3">
        <v>0</v>
      </c>
      <c r="L2324" s="3" t="s">
        <v>3</v>
      </c>
      <c r="M2324" s="9" t="s">
        <v>0</v>
      </c>
      <c r="N2324" s="9">
        <v>40690645</v>
      </c>
      <c r="O2324" s="9" t="s">
        <v>559</v>
      </c>
      <c r="S2324" s="9" t="s">
        <v>158</v>
      </c>
      <c r="T2324" s="10" t="s">
        <v>68</v>
      </c>
      <c r="U2324" s="10">
        <v>6</v>
      </c>
      <c r="V2324" s="78">
        <v>152.71</v>
      </c>
      <c r="W2324" s="78" t="s">
        <v>710</v>
      </c>
      <c r="X2324" s="17">
        <v>45396</v>
      </c>
      <c r="Y2324" s="17">
        <v>45588</v>
      </c>
      <c r="Z2324" s="19" t="s">
        <v>772</v>
      </c>
      <c r="AA2324" s="210">
        <v>77680</v>
      </c>
      <c r="AB2324" s="9">
        <v>84</v>
      </c>
      <c r="AC2324" s="9">
        <v>45</v>
      </c>
      <c r="AD2324" s="17">
        <v>46787</v>
      </c>
      <c r="AE2324" s="56">
        <v>866</v>
      </c>
      <c r="AF2324" s="56"/>
      <c r="AP2324" s="11"/>
      <c r="AQ2324" s="11"/>
      <c r="AR2324" s="11"/>
      <c r="AW2324" s="9"/>
      <c r="BD2324" s="9"/>
      <c r="CS2324" s="11">
        <f t="shared" si="162"/>
        <v>0</v>
      </c>
      <c r="CT2324" s="22">
        <f t="shared" si="163"/>
        <v>0</v>
      </c>
      <c r="CU2324" s="22">
        <f t="shared" si="164"/>
        <v>0</v>
      </c>
      <c r="CV2324" s="26">
        <f t="shared" si="161"/>
        <v>866</v>
      </c>
    </row>
    <row r="2325" spans="1:100" x14ac:dyDescent="0.2">
      <c r="A2325" s="9" t="s">
        <v>362</v>
      </c>
      <c r="B2325" s="2">
        <v>26</v>
      </c>
      <c r="C2325" s="3" t="s">
        <v>95</v>
      </c>
      <c r="D2325" s="3" t="s">
        <v>96</v>
      </c>
      <c r="E2325" s="2"/>
      <c r="F2325" s="2"/>
      <c r="G2325" s="2" t="s">
        <v>68</v>
      </c>
      <c r="H2325" s="2">
        <v>6</v>
      </c>
      <c r="I2325" s="8">
        <v>152.71</v>
      </c>
      <c r="J2325" s="8">
        <v>47499</v>
      </c>
      <c r="K2325" s="3">
        <v>0</v>
      </c>
      <c r="L2325" s="3" t="s">
        <v>3</v>
      </c>
      <c r="M2325" s="9" t="s">
        <v>0</v>
      </c>
      <c r="N2325" s="9">
        <v>40690645</v>
      </c>
      <c r="O2325" s="9" t="s">
        <v>559</v>
      </c>
      <c r="S2325" s="9" t="s">
        <v>158</v>
      </c>
      <c r="T2325" s="10" t="s">
        <v>68</v>
      </c>
      <c r="U2325" s="10">
        <v>6</v>
      </c>
      <c r="V2325" s="78">
        <v>152.71</v>
      </c>
      <c r="W2325" s="78" t="s">
        <v>710</v>
      </c>
      <c r="X2325" s="17">
        <v>45396</v>
      </c>
      <c r="Y2325" s="17">
        <v>45588</v>
      </c>
      <c r="Z2325" s="19" t="s">
        <v>772</v>
      </c>
      <c r="AA2325" s="210">
        <v>77680</v>
      </c>
      <c r="AB2325" s="9">
        <v>84</v>
      </c>
      <c r="AC2325" s="9">
        <v>46</v>
      </c>
      <c r="AD2325" s="17">
        <v>46816</v>
      </c>
      <c r="AE2325" s="56">
        <v>866</v>
      </c>
      <c r="AF2325" s="56"/>
      <c r="AP2325" s="11"/>
      <c r="AQ2325" s="11"/>
      <c r="AR2325" s="11"/>
      <c r="AW2325" s="9"/>
      <c r="BD2325" s="9"/>
      <c r="CS2325" s="11">
        <f t="shared" si="162"/>
        <v>0</v>
      </c>
      <c r="CT2325" s="22">
        <f t="shared" si="163"/>
        <v>0</v>
      </c>
      <c r="CU2325" s="22">
        <f t="shared" si="164"/>
        <v>0</v>
      </c>
      <c r="CV2325" s="26">
        <f t="shared" si="161"/>
        <v>866</v>
      </c>
    </row>
    <row r="2326" spans="1:100" x14ac:dyDescent="0.2">
      <c r="A2326" s="9" t="s">
        <v>362</v>
      </c>
      <c r="B2326" s="2">
        <v>26</v>
      </c>
      <c r="C2326" s="3" t="s">
        <v>95</v>
      </c>
      <c r="D2326" s="3" t="s">
        <v>96</v>
      </c>
      <c r="E2326" s="2"/>
      <c r="F2326" s="2"/>
      <c r="G2326" s="2" t="s">
        <v>68</v>
      </c>
      <c r="H2326" s="2">
        <v>6</v>
      </c>
      <c r="I2326" s="8">
        <v>152.71</v>
      </c>
      <c r="J2326" s="8">
        <v>47499</v>
      </c>
      <c r="K2326" s="3">
        <v>0</v>
      </c>
      <c r="L2326" s="3" t="s">
        <v>3</v>
      </c>
      <c r="M2326" s="9" t="s">
        <v>0</v>
      </c>
      <c r="N2326" s="9">
        <v>40690645</v>
      </c>
      <c r="O2326" s="9" t="s">
        <v>559</v>
      </c>
      <c r="S2326" s="9" t="s">
        <v>158</v>
      </c>
      <c r="T2326" s="10" t="s">
        <v>68</v>
      </c>
      <c r="U2326" s="10">
        <v>6</v>
      </c>
      <c r="V2326" s="78">
        <v>152.71</v>
      </c>
      <c r="W2326" s="78" t="s">
        <v>710</v>
      </c>
      <c r="X2326" s="17">
        <v>45396</v>
      </c>
      <c r="Y2326" s="17">
        <v>45588</v>
      </c>
      <c r="Z2326" s="19" t="s">
        <v>772</v>
      </c>
      <c r="AA2326" s="210">
        <v>77680</v>
      </c>
      <c r="AB2326" s="9">
        <v>84</v>
      </c>
      <c r="AC2326" s="9">
        <v>47</v>
      </c>
      <c r="AD2326" s="17">
        <v>46847</v>
      </c>
      <c r="AE2326" s="56">
        <v>866</v>
      </c>
      <c r="AF2326" s="56"/>
      <c r="AP2326" s="11"/>
      <c r="AQ2326" s="11"/>
      <c r="AR2326" s="11"/>
      <c r="AW2326" s="9"/>
      <c r="BD2326" s="9"/>
      <c r="CS2326" s="11">
        <f t="shared" si="162"/>
        <v>0</v>
      </c>
      <c r="CT2326" s="22">
        <f t="shared" si="163"/>
        <v>0</v>
      </c>
      <c r="CU2326" s="22">
        <f t="shared" si="164"/>
        <v>0</v>
      </c>
      <c r="CV2326" s="26">
        <f t="shared" si="161"/>
        <v>866</v>
      </c>
    </row>
    <row r="2327" spans="1:100" x14ac:dyDescent="0.2">
      <c r="A2327" s="9" t="s">
        <v>362</v>
      </c>
      <c r="B2327" s="2">
        <v>26</v>
      </c>
      <c r="C2327" s="3" t="s">
        <v>95</v>
      </c>
      <c r="D2327" s="3" t="s">
        <v>96</v>
      </c>
      <c r="E2327" s="2"/>
      <c r="F2327" s="2"/>
      <c r="G2327" s="2" t="s">
        <v>68</v>
      </c>
      <c r="H2327" s="2">
        <v>6</v>
      </c>
      <c r="I2327" s="8">
        <v>152.71</v>
      </c>
      <c r="J2327" s="8">
        <v>47499</v>
      </c>
      <c r="K2327" s="3">
        <v>0</v>
      </c>
      <c r="L2327" s="3" t="s">
        <v>3</v>
      </c>
      <c r="M2327" s="9" t="s">
        <v>0</v>
      </c>
      <c r="N2327" s="9">
        <v>40690645</v>
      </c>
      <c r="O2327" s="9" t="s">
        <v>559</v>
      </c>
      <c r="S2327" s="9" t="s">
        <v>158</v>
      </c>
      <c r="T2327" s="10" t="s">
        <v>68</v>
      </c>
      <c r="U2327" s="10">
        <v>6</v>
      </c>
      <c r="V2327" s="78">
        <v>152.71</v>
      </c>
      <c r="W2327" s="78" t="s">
        <v>710</v>
      </c>
      <c r="X2327" s="17">
        <v>45396</v>
      </c>
      <c r="Y2327" s="17">
        <v>45588</v>
      </c>
      <c r="Z2327" s="19" t="s">
        <v>772</v>
      </c>
      <c r="AA2327" s="210">
        <v>77680</v>
      </c>
      <c r="AB2327" s="9">
        <v>84</v>
      </c>
      <c r="AC2327" s="9">
        <v>48</v>
      </c>
      <c r="AD2327" s="17">
        <v>46877</v>
      </c>
      <c r="AE2327" s="56">
        <v>866</v>
      </c>
      <c r="AF2327" s="56"/>
      <c r="AP2327" s="11"/>
      <c r="AQ2327" s="11"/>
      <c r="AR2327" s="11"/>
      <c r="AW2327" s="9"/>
      <c r="BD2327" s="9"/>
      <c r="CS2327" s="11">
        <f t="shared" si="162"/>
        <v>0</v>
      </c>
      <c r="CT2327" s="22">
        <f t="shared" si="163"/>
        <v>0</v>
      </c>
      <c r="CU2327" s="22">
        <f t="shared" si="164"/>
        <v>0</v>
      </c>
      <c r="CV2327" s="26">
        <f t="shared" si="161"/>
        <v>866</v>
      </c>
    </row>
    <row r="2328" spans="1:100" x14ac:dyDescent="0.2">
      <c r="A2328" s="9" t="s">
        <v>362</v>
      </c>
      <c r="B2328" s="2">
        <v>26</v>
      </c>
      <c r="C2328" s="3" t="s">
        <v>95</v>
      </c>
      <c r="D2328" s="3" t="s">
        <v>96</v>
      </c>
      <c r="E2328" s="2"/>
      <c r="F2328" s="2"/>
      <c r="G2328" s="2" t="s">
        <v>68</v>
      </c>
      <c r="H2328" s="2">
        <v>6</v>
      </c>
      <c r="I2328" s="8">
        <v>152.71</v>
      </c>
      <c r="J2328" s="8">
        <v>47499</v>
      </c>
      <c r="K2328" s="3">
        <v>0</v>
      </c>
      <c r="L2328" s="3" t="s">
        <v>3</v>
      </c>
      <c r="M2328" s="9" t="s">
        <v>0</v>
      </c>
      <c r="N2328" s="9">
        <v>40690645</v>
      </c>
      <c r="O2328" s="9" t="s">
        <v>559</v>
      </c>
      <c r="S2328" s="9" t="s">
        <v>158</v>
      </c>
      <c r="T2328" s="10" t="s">
        <v>68</v>
      </c>
      <c r="U2328" s="10">
        <v>6</v>
      </c>
      <c r="V2328" s="78">
        <v>152.71</v>
      </c>
      <c r="W2328" s="78" t="s">
        <v>710</v>
      </c>
      <c r="X2328" s="17">
        <v>45396</v>
      </c>
      <c r="Y2328" s="17">
        <v>45588</v>
      </c>
      <c r="Z2328" s="19" t="s">
        <v>772</v>
      </c>
      <c r="AA2328" s="210">
        <v>77680</v>
      </c>
      <c r="AB2328" s="9">
        <v>84</v>
      </c>
      <c r="AC2328" s="9">
        <v>49</v>
      </c>
      <c r="AD2328" s="17">
        <v>46908</v>
      </c>
      <c r="AE2328" s="56">
        <v>866</v>
      </c>
      <c r="AF2328" s="56"/>
      <c r="AP2328" s="11"/>
      <c r="AQ2328" s="11"/>
      <c r="AR2328" s="11"/>
      <c r="AW2328" s="9"/>
      <c r="BD2328" s="9"/>
      <c r="CS2328" s="11">
        <f t="shared" si="162"/>
        <v>0</v>
      </c>
      <c r="CT2328" s="22">
        <f t="shared" si="163"/>
        <v>0</v>
      </c>
      <c r="CU2328" s="22">
        <f t="shared" si="164"/>
        <v>0</v>
      </c>
      <c r="CV2328" s="26">
        <f t="shared" si="161"/>
        <v>866</v>
      </c>
    </row>
    <row r="2329" spans="1:100" x14ac:dyDescent="0.2">
      <c r="A2329" s="9" t="s">
        <v>362</v>
      </c>
      <c r="B2329" s="2">
        <v>26</v>
      </c>
      <c r="C2329" s="3" t="s">
        <v>95</v>
      </c>
      <c r="D2329" s="3" t="s">
        <v>96</v>
      </c>
      <c r="E2329" s="2"/>
      <c r="F2329" s="2"/>
      <c r="G2329" s="2" t="s">
        <v>68</v>
      </c>
      <c r="H2329" s="2">
        <v>6</v>
      </c>
      <c r="I2329" s="8">
        <v>152.71</v>
      </c>
      <c r="J2329" s="8">
        <v>47499</v>
      </c>
      <c r="K2329" s="3">
        <v>0</v>
      </c>
      <c r="L2329" s="3" t="s">
        <v>3</v>
      </c>
      <c r="M2329" s="9" t="s">
        <v>0</v>
      </c>
      <c r="N2329" s="9">
        <v>40690645</v>
      </c>
      <c r="O2329" s="9" t="s">
        <v>559</v>
      </c>
      <c r="S2329" s="9" t="s">
        <v>158</v>
      </c>
      <c r="T2329" s="10" t="s">
        <v>68</v>
      </c>
      <c r="U2329" s="10">
        <v>6</v>
      </c>
      <c r="V2329" s="78">
        <v>152.71</v>
      </c>
      <c r="W2329" s="78" t="s">
        <v>710</v>
      </c>
      <c r="X2329" s="17">
        <v>45396</v>
      </c>
      <c r="Y2329" s="17">
        <v>45588</v>
      </c>
      <c r="Z2329" s="19" t="s">
        <v>772</v>
      </c>
      <c r="AA2329" s="210">
        <v>77680</v>
      </c>
      <c r="AB2329" s="9">
        <v>84</v>
      </c>
      <c r="AC2329" s="9">
        <v>50</v>
      </c>
      <c r="AD2329" s="17">
        <v>46938</v>
      </c>
      <c r="AE2329" s="56">
        <v>866</v>
      </c>
      <c r="AF2329" s="56"/>
      <c r="AP2329" s="11"/>
      <c r="AQ2329" s="11"/>
      <c r="AR2329" s="11"/>
      <c r="AW2329" s="9"/>
      <c r="BD2329" s="9"/>
      <c r="CS2329" s="11">
        <f t="shared" si="162"/>
        <v>0</v>
      </c>
      <c r="CT2329" s="22">
        <f t="shared" si="163"/>
        <v>0</v>
      </c>
      <c r="CU2329" s="22">
        <f t="shared" si="164"/>
        <v>0</v>
      </c>
      <c r="CV2329" s="26">
        <f t="shared" si="161"/>
        <v>866</v>
      </c>
    </row>
    <row r="2330" spans="1:100" x14ac:dyDescent="0.2">
      <c r="A2330" s="9" t="s">
        <v>362</v>
      </c>
      <c r="B2330" s="2">
        <v>26</v>
      </c>
      <c r="C2330" s="3" t="s">
        <v>95</v>
      </c>
      <c r="D2330" s="3" t="s">
        <v>96</v>
      </c>
      <c r="E2330" s="2"/>
      <c r="F2330" s="2"/>
      <c r="G2330" s="2" t="s">
        <v>68</v>
      </c>
      <c r="H2330" s="2">
        <v>6</v>
      </c>
      <c r="I2330" s="8">
        <v>152.71</v>
      </c>
      <c r="J2330" s="8">
        <v>47499</v>
      </c>
      <c r="K2330" s="3">
        <v>0</v>
      </c>
      <c r="L2330" s="3" t="s">
        <v>3</v>
      </c>
      <c r="M2330" s="9" t="s">
        <v>0</v>
      </c>
      <c r="N2330" s="9">
        <v>40690645</v>
      </c>
      <c r="O2330" s="9" t="s">
        <v>559</v>
      </c>
      <c r="S2330" s="9" t="s">
        <v>158</v>
      </c>
      <c r="T2330" s="10" t="s">
        <v>68</v>
      </c>
      <c r="U2330" s="10">
        <v>6</v>
      </c>
      <c r="V2330" s="78">
        <v>152.71</v>
      </c>
      <c r="W2330" s="78" t="s">
        <v>710</v>
      </c>
      <c r="X2330" s="17">
        <v>45396</v>
      </c>
      <c r="Y2330" s="17">
        <v>45588</v>
      </c>
      <c r="Z2330" s="19" t="s">
        <v>772</v>
      </c>
      <c r="AA2330" s="210">
        <v>77680</v>
      </c>
      <c r="AB2330" s="9">
        <v>84</v>
      </c>
      <c r="AC2330" s="9">
        <v>51</v>
      </c>
      <c r="AD2330" s="17">
        <v>46969</v>
      </c>
      <c r="AE2330" s="56">
        <v>866</v>
      </c>
      <c r="AF2330" s="56"/>
      <c r="AP2330" s="11"/>
      <c r="AQ2330" s="11"/>
      <c r="AR2330" s="11"/>
      <c r="AW2330" s="9"/>
      <c r="BD2330" s="9"/>
      <c r="CS2330" s="11">
        <f t="shared" si="162"/>
        <v>0</v>
      </c>
      <c r="CT2330" s="22">
        <f t="shared" si="163"/>
        <v>0</v>
      </c>
      <c r="CU2330" s="22">
        <f t="shared" si="164"/>
        <v>0</v>
      </c>
      <c r="CV2330" s="26">
        <f t="shared" si="161"/>
        <v>866</v>
      </c>
    </row>
    <row r="2331" spans="1:100" x14ac:dyDescent="0.2">
      <c r="A2331" s="9" t="s">
        <v>362</v>
      </c>
      <c r="B2331" s="2">
        <v>26</v>
      </c>
      <c r="C2331" s="3" t="s">
        <v>95</v>
      </c>
      <c r="D2331" s="3" t="s">
        <v>96</v>
      </c>
      <c r="E2331" s="2"/>
      <c r="F2331" s="2"/>
      <c r="G2331" s="2" t="s">
        <v>68</v>
      </c>
      <c r="H2331" s="2">
        <v>6</v>
      </c>
      <c r="I2331" s="8">
        <v>152.71</v>
      </c>
      <c r="J2331" s="8">
        <v>47499</v>
      </c>
      <c r="K2331" s="3">
        <v>0</v>
      </c>
      <c r="L2331" s="3" t="s">
        <v>3</v>
      </c>
      <c r="M2331" s="9" t="s">
        <v>0</v>
      </c>
      <c r="N2331" s="9">
        <v>40690645</v>
      </c>
      <c r="O2331" s="9" t="s">
        <v>559</v>
      </c>
      <c r="S2331" s="9" t="s">
        <v>158</v>
      </c>
      <c r="T2331" s="10" t="s">
        <v>68</v>
      </c>
      <c r="U2331" s="10">
        <v>6</v>
      </c>
      <c r="V2331" s="78">
        <v>152.71</v>
      </c>
      <c r="W2331" s="78" t="s">
        <v>710</v>
      </c>
      <c r="X2331" s="17">
        <v>45396</v>
      </c>
      <c r="Y2331" s="17">
        <v>45588</v>
      </c>
      <c r="Z2331" s="19" t="s">
        <v>772</v>
      </c>
      <c r="AA2331" s="210">
        <v>77680</v>
      </c>
      <c r="AB2331" s="9">
        <v>84</v>
      </c>
      <c r="AC2331" s="9">
        <v>52</v>
      </c>
      <c r="AD2331" s="17">
        <v>47000</v>
      </c>
      <c r="AE2331" s="56">
        <v>866</v>
      </c>
      <c r="AF2331" s="56"/>
      <c r="AP2331" s="11"/>
      <c r="AQ2331" s="11"/>
      <c r="AR2331" s="11"/>
      <c r="AW2331" s="9"/>
      <c r="BD2331" s="9"/>
      <c r="CS2331" s="11">
        <f t="shared" si="162"/>
        <v>0</v>
      </c>
      <c r="CT2331" s="22">
        <f t="shared" si="163"/>
        <v>0</v>
      </c>
      <c r="CU2331" s="22">
        <f t="shared" si="164"/>
        <v>0</v>
      </c>
      <c r="CV2331" s="26">
        <f t="shared" si="161"/>
        <v>866</v>
      </c>
    </row>
    <row r="2332" spans="1:100" x14ac:dyDescent="0.2">
      <c r="A2332" s="9" t="s">
        <v>362</v>
      </c>
      <c r="B2332" s="2">
        <v>26</v>
      </c>
      <c r="C2332" s="3" t="s">
        <v>95</v>
      </c>
      <c r="D2332" s="3" t="s">
        <v>96</v>
      </c>
      <c r="E2332" s="2"/>
      <c r="F2332" s="2"/>
      <c r="G2332" s="2" t="s">
        <v>68</v>
      </c>
      <c r="H2332" s="2">
        <v>6</v>
      </c>
      <c r="I2332" s="8">
        <v>152.71</v>
      </c>
      <c r="J2332" s="8">
        <v>47499</v>
      </c>
      <c r="K2332" s="3">
        <v>0</v>
      </c>
      <c r="L2332" s="3" t="s">
        <v>3</v>
      </c>
      <c r="M2332" s="9" t="s">
        <v>0</v>
      </c>
      <c r="N2332" s="9">
        <v>40690645</v>
      </c>
      <c r="O2332" s="9" t="s">
        <v>559</v>
      </c>
      <c r="S2332" s="9" t="s">
        <v>158</v>
      </c>
      <c r="T2332" s="10" t="s">
        <v>68</v>
      </c>
      <c r="U2332" s="10">
        <v>6</v>
      </c>
      <c r="V2332" s="78">
        <v>152.71</v>
      </c>
      <c r="W2332" s="78" t="s">
        <v>710</v>
      </c>
      <c r="X2332" s="17">
        <v>45396</v>
      </c>
      <c r="Y2332" s="17">
        <v>45588</v>
      </c>
      <c r="Z2332" s="19" t="s">
        <v>772</v>
      </c>
      <c r="AA2332" s="210">
        <v>77680</v>
      </c>
      <c r="AB2332" s="9">
        <v>84</v>
      </c>
      <c r="AC2332" s="9">
        <v>53</v>
      </c>
      <c r="AD2332" s="17">
        <v>47030</v>
      </c>
      <c r="AE2332" s="56">
        <v>866</v>
      </c>
      <c r="AF2332" s="56"/>
      <c r="AP2332" s="11"/>
      <c r="AQ2332" s="11"/>
      <c r="AR2332" s="11"/>
      <c r="AW2332" s="9"/>
      <c r="BD2332" s="9"/>
      <c r="CS2332" s="11">
        <f t="shared" si="162"/>
        <v>0</v>
      </c>
      <c r="CT2332" s="22">
        <f t="shared" si="163"/>
        <v>0</v>
      </c>
      <c r="CU2332" s="22">
        <f t="shared" si="164"/>
        <v>0</v>
      </c>
      <c r="CV2332" s="26">
        <f t="shared" si="161"/>
        <v>866</v>
      </c>
    </row>
    <row r="2333" spans="1:100" x14ac:dyDescent="0.2">
      <c r="A2333" s="9" t="s">
        <v>362</v>
      </c>
      <c r="B2333" s="2">
        <v>26</v>
      </c>
      <c r="C2333" s="3" t="s">
        <v>95</v>
      </c>
      <c r="D2333" s="3" t="s">
        <v>96</v>
      </c>
      <c r="E2333" s="2"/>
      <c r="F2333" s="2"/>
      <c r="G2333" s="2" t="s">
        <v>68</v>
      </c>
      <c r="H2333" s="2">
        <v>6</v>
      </c>
      <c r="I2333" s="8">
        <v>152.71</v>
      </c>
      <c r="J2333" s="8">
        <v>47499</v>
      </c>
      <c r="K2333" s="3">
        <v>0</v>
      </c>
      <c r="L2333" s="3" t="s">
        <v>3</v>
      </c>
      <c r="M2333" s="9" t="s">
        <v>0</v>
      </c>
      <c r="N2333" s="9">
        <v>40690645</v>
      </c>
      <c r="O2333" s="9" t="s">
        <v>559</v>
      </c>
      <c r="S2333" s="9" t="s">
        <v>158</v>
      </c>
      <c r="T2333" s="10" t="s">
        <v>68</v>
      </c>
      <c r="U2333" s="10">
        <v>6</v>
      </c>
      <c r="V2333" s="78">
        <v>152.71</v>
      </c>
      <c r="W2333" s="78" t="s">
        <v>710</v>
      </c>
      <c r="X2333" s="17">
        <v>45396</v>
      </c>
      <c r="Y2333" s="17">
        <v>45588</v>
      </c>
      <c r="Z2333" s="19" t="s">
        <v>772</v>
      </c>
      <c r="AA2333" s="210">
        <v>77680</v>
      </c>
      <c r="AB2333" s="9">
        <v>84</v>
      </c>
      <c r="AC2333" s="9">
        <v>54</v>
      </c>
      <c r="AD2333" s="17">
        <v>47061</v>
      </c>
      <c r="AE2333" s="56">
        <v>866</v>
      </c>
      <c r="AF2333" s="56"/>
      <c r="AP2333" s="11"/>
      <c r="AQ2333" s="11"/>
      <c r="AR2333" s="11"/>
      <c r="AW2333" s="9"/>
      <c r="BD2333" s="9"/>
      <c r="CS2333" s="11">
        <f t="shared" si="162"/>
        <v>0</v>
      </c>
      <c r="CT2333" s="22">
        <f t="shared" si="163"/>
        <v>0</v>
      </c>
      <c r="CU2333" s="22">
        <f t="shared" si="164"/>
        <v>0</v>
      </c>
      <c r="CV2333" s="26">
        <f t="shared" si="161"/>
        <v>866</v>
      </c>
    </row>
    <row r="2334" spans="1:100" x14ac:dyDescent="0.2">
      <c r="A2334" s="9" t="s">
        <v>362</v>
      </c>
      <c r="B2334" s="2">
        <v>26</v>
      </c>
      <c r="C2334" s="3" t="s">
        <v>95</v>
      </c>
      <c r="D2334" s="3" t="s">
        <v>96</v>
      </c>
      <c r="E2334" s="2"/>
      <c r="F2334" s="2"/>
      <c r="G2334" s="2" t="s">
        <v>68</v>
      </c>
      <c r="H2334" s="2">
        <v>6</v>
      </c>
      <c r="I2334" s="8">
        <v>152.71</v>
      </c>
      <c r="J2334" s="8">
        <v>47499</v>
      </c>
      <c r="K2334" s="3">
        <v>0</v>
      </c>
      <c r="L2334" s="3" t="s">
        <v>3</v>
      </c>
      <c r="M2334" s="9" t="s">
        <v>0</v>
      </c>
      <c r="N2334" s="9">
        <v>40690645</v>
      </c>
      <c r="O2334" s="9" t="s">
        <v>559</v>
      </c>
      <c r="S2334" s="9" t="s">
        <v>158</v>
      </c>
      <c r="T2334" s="10" t="s">
        <v>68</v>
      </c>
      <c r="U2334" s="10">
        <v>6</v>
      </c>
      <c r="V2334" s="78">
        <v>152.71</v>
      </c>
      <c r="W2334" s="78" t="s">
        <v>710</v>
      </c>
      <c r="X2334" s="17">
        <v>45396</v>
      </c>
      <c r="Y2334" s="17">
        <v>45588</v>
      </c>
      <c r="Z2334" s="19" t="s">
        <v>772</v>
      </c>
      <c r="AA2334" s="210">
        <v>77680</v>
      </c>
      <c r="AB2334" s="9">
        <v>84</v>
      </c>
      <c r="AC2334" s="9">
        <v>55</v>
      </c>
      <c r="AD2334" s="17">
        <v>47091</v>
      </c>
      <c r="AE2334" s="56">
        <v>866</v>
      </c>
      <c r="AF2334" s="56"/>
      <c r="AP2334" s="11"/>
      <c r="AQ2334" s="11"/>
      <c r="AR2334" s="11"/>
      <c r="AW2334" s="9"/>
      <c r="BD2334" s="9"/>
      <c r="CS2334" s="11">
        <f t="shared" si="162"/>
        <v>0</v>
      </c>
      <c r="CT2334" s="22">
        <f t="shared" si="163"/>
        <v>0</v>
      </c>
      <c r="CU2334" s="22">
        <f t="shared" si="164"/>
        <v>0</v>
      </c>
      <c r="CV2334" s="26">
        <f t="shared" si="161"/>
        <v>866</v>
      </c>
    </row>
    <row r="2335" spans="1:100" x14ac:dyDescent="0.2">
      <c r="A2335" s="9" t="s">
        <v>362</v>
      </c>
      <c r="B2335" s="2">
        <v>26</v>
      </c>
      <c r="C2335" s="3" t="s">
        <v>95</v>
      </c>
      <c r="D2335" s="3" t="s">
        <v>96</v>
      </c>
      <c r="E2335" s="2"/>
      <c r="F2335" s="2"/>
      <c r="G2335" s="2" t="s">
        <v>68</v>
      </c>
      <c r="H2335" s="2">
        <v>6</v>
      </c>
      <c r="I2335" s="8">
        <v>152.71</v>
      </c>
      <c r="J2335" s="8">
        <v>47499</v>
      </c>
      <c r="K2335" s="3">
        <v>0</v>
      </c>
      <c r="L2335" s="3" t="s">
        <v>3</v>
      </c>
      <c r="M2335" s="9" t="s">
        <v>0</v>
      </c>
      <c r="N2335" s="9">
        <v>40690645</v>
      </c>
      <c r="O2335" s="9" t="s">
        <v>559</v>
      </c>
      <c r="S2335" s="9" t="s">
        <v>158</v>
      </c>
      <c r="T2335" s="10" t="s">
        <v>68</v>
      </c>
      <c r="U2335" s="10">
        <v>6</v>
      </c>
      <c r="V2335" s="78">
        <v>152.71</v>
      </c>
      <c r="W2335" s="78" t="s">
        <v>710</v>
      </c>
      <c r="X2335" s="17">
        <v>45396</v>
      </c>
      <c r="Y2335" s="17">
        <v>45588</v>
      </c>
      <c r="Z2335" s="19" t="s">
        <v>772</v>
      </c>
      <c r="AA2335" s="210">
        <v>77680</v>
      </c>
      <c r="AB2335" s="9">
        <v>84</v>
      </c>
      <c r="AC2335" s="9">
        <v>56</v>
      </c>
      <c r="AD2335" s="17">
        <v>47122</v>
      </c>
      <c r="AE2335" s="56">
        <v>866</v>
      </c>
      <c r="AF2335" s="56"/>
      <c r="AP2335" s="11"/>
      <c r="AQ2335" s="11"/>
      <c r="AR2335" s="11"/>
      <c r="AW2335" s="9"/>
      <c r="BD2335" s="9"/>
      <c r="CS2335" s="11">
        <f t="shared" si="162"/>
        <v>0</v>
      </c>
      <c r="CT2335" s="22">
        <f t="shared" si="163"/>
        <v>0</v>
      </c>
      <c r="CU2335" s="22">
        <f t="shared" si="164"/>
        <v>0</v>
      </c>
      <c r="CV2335" s="26">
        <f t="shared" si="161"/>
        <v>866</v>
      </c>
    </row>
    <row r="2336" spans="1:100" x14ac:dyDescent="0.2">
      <c r="A2336" s="9" t="s">
        <v>362</v>
      </c>
      <c r="B2336" s="2">
        <v>26</v>
      </c>
      <c r="C2336" s="3" t="s">
        <v>95</v>
      </c>
      <c r="D2336" s="3" t="s">
        <v>96</v>
      </c>
      <c r="E2336" s="2"/>
      <c r="F2336" s="2"/>
      <c r="G2336" s="2" t="s">
        <v>68</v>
      </c>
      <c r="H2336" s="2">
        <v>6</v>
      </c>
      <c r="I2336" s="8">
        <v>152.71</v>
      </c>
      <c r="J2336" s="8">
        <v>47499</v>
      </c>
      <c r="K2336" s="3">
        <v>0</v>
      </c>
      <c r="L2336" s="3" t="s">
        <v>3</v>
      </c>
      <c r="M2336" s="9" t="s">
        <v>0</v>
      </c>
      <c r="N2336" s="9">
        <v>40690645</v>
      </c>
      <c r="O2336" s="9" t="s">
        <v>559</v>
      </c>
      <c r="S2336" s="9" t="s">
        <v>158</v>
      </c>
      <c r="T2336" s="10" t="s">
        <v>68</v>
      </c>
      <c r="U2336" s="10">
        <v>6</v>
      </c>
      <c r="V2336" s="78">
        <v>152.71</v>
      </c>
      <c r="W2336" s="78" t="s">
        <v>710</v>
      </c>
      <c r="X2336" s="17">
        <v>45396</v>
      </c>
      <c r="Y2336" s="17">
        <v>45588</v>
      </c>
      <c r="Z2336" s="19" t="s">
        <v>772</v>
      </c>
      <c r="AA2336" s="210">
        <v>77680</v>
      </c>
      <c r="AB2336" s="9">
        <v>84</v>
      </c>
      <c r="AC2336" s="9">
        <v>57</v>
      </c>
      <c r="AD2336" s="17">
        <v>47153</v>
      </c>
      <c r="AE2336" s="56">
        <v>866</v>
      </c>
      <c r="AF2336" s="56"/>
      <c r="AP2336" s="11"/>
      <c r="AQ2336" s="11"/>
      <c r="AR2336" s="11"/>
      <c r="AW2336" s="9"/>
      <c r="BD2336" s="9"/>
      <c r="CS2336" s="11">
        <f t="shared" si="162"/>
        <v>0</v>
      </c>
      <c r="CT2336" s="22">
        <f t="shared" si="163"/>
        <v>0</v>
      </c>
      <c r="CU2336" s="22">
        <f t="shared" si="164"/>
        <v>0</v>
      </c>
      <c r="CV2336" s="26">
        <f t="shared" si="161"/>
        <v>866</v>
      </c>
    </row>
    <row r="2337" spans="1:100" x14ac:dyDescent="0.2">
      <c r="A2337" s="9" t="s">
        <v>362</v>
      </c>
      <c r="B2337" s="2">
        <v>26</v>
      </c>
      <c r="C2337" s="3" t="s">
        <v>95</v>
      </c>
      <c r="D2337" s="3" t="s">
        <v>96</v>
      </c>
      <c r="E2337" s="2"/>
      <c r="F2337" s="2"/>
      <c r="G2337" s="2" t="s">
        <v>68</v>
      </c>
      <c r="H2337" s="2">
        <v>6</v>
      </c>
      <c r="I2337" s="8">
        <v>152.71</v>
      </c>
      <c r="J2337" s="8">
        <v>47499</v>
      </c>
      <c r="K2337" s="3">
        <v>0</v>
      </c>
      <c r="L2337" s="3" t="s">
        <v>3</v>
      </c>
      <c r="M2337" s="9" t="s">
        <v>0</v>
      </c>
      <c r="N2337" s="9">
        <v>40690645</v>
      </c>
      <c r="O2337" s="9" t="s">
        <v>559</v>
      </c>
      <c r="S2337" s="9" t="s">
        <v>158</v>
      </c>
      <c r="T2337" s="10" t="s">
        <v>68</v>
      </c>
      <c r="U2337" s="10">
        <v>6</v>
      </c>
      <c r="V2337" s="78">
        <v>152.71</v>
      </c>
      <c r="W2337" s="78" t="s">
        <v>710</v>
      </c>
      <c r="X2337" s="17">
        <v>45396</v>
      </c>
      <c r="Y2337" s="17">
        <v>45588</v>
      </c>
      <c r="Z2337" s="19" t="s">
        <v>772</v>
      </c>
      <c r="AA2337" s="210">
        <v>77680</v>
      </c>
      <c r="AB2337" s="9">
        <v>84</v>
      </c>
      <c r="AC2337" s="9">
        <v>58</v>
      </c>
      <c r="AD2337" s="17">
        <v>47181</v>
      </c>
      <c r="AE2337" s="56">
        <v>866</v>
      </c>
      <c r="AF2337" s="56"/>
      <c r="AP2337" s="11"/>
      <c r="AQ2337" s="11"/>
      <c r="AR2337" s="11"/>
      <c r="AW2337" s="9"/>
      <c r="BD2337" s="9"/>
      <c r="CS2337" s="11">
        <f t="shared" si="162"/>
        <v>0</v>
      </c>
      <c r="CT2337" s="22">
        <f t="shared" si="163"/>
        <v>0</v>
      </c>
      <c r="CU2337" s="22">
        <f t="shared" si="164"/>
        <v>0</v>
      </c>
      <c r="CV2337" s="26">
        <f t="shared" si="161"/>
        <v>866</v>
      </c>
    </row>
    <row r="2338" spans="1:100" x14ac:dyDescent="0.2">
      <c r="A2338" s="9" t="s">
        <v>362</v>
      </c>
      <c r="B2338" s="2">
        <v>26</v>
      </c>
      <c r="C2338" s="3" t="s">
        <v>95</v>
      </c>
      <c r="D2338" s="3" t="s">
        <v>96</v>
      </c>
      <c r="E2338" s="2"/>
      <c r="F2338" s="2"/>
      <c r="G2338" s="2" t="s">
        <v>68</v>
      </c>
      <c r="H2338" s="2">
        <v>6</v>
      </c>
      <c r="I2338" s="8">
        <v>152.71</v>
      </c>
      <c r="J2338" s="8">
        <v>47499</v>
      </c>
      <c r="K2338" s="3">
        <v>0</v>
      </c>
      <c r="L2338" s="3" t="s">
        <v>3</v>
      </c>
      <c r="M2338" s="9" t="s">
        <v>0</v>
      </c>
      <c r="N2338" s="9">
        <v>40690645</v>
      </c>
      <c r="O2338" s="9" t="s">
        <v>559</v>
      </c>
      <c r="S2338" s="9" t="s">
        <v>158</v>
      </c>
      <c r="T2338" s="10" t="s">
        <v>68</v>
      </c>
      <c r="U2338" s="10">
        <v>6</v>
      </c>
      <c r="V2338" s="78">
        <v>152.71</v>
      </c>
      <c r="W2338" s="78" t="s">
        <v>710</v>
      </c>
      <c r="X2338" s="17">
        <v>45396</v>
      </c>
      <c r="Y2338" s="17">
        <v>45588</v>
      </c>
      <c r="Z2338" s="19" t="s">
        <v>772</v>
      </c>
      <c r="AA2338" s="210">
        <v>77680</v>
      </c>
      <c r="AB2338" s="9">
        <v>84</v>
      </c>
      <c r="AC2338" s="9">
        <v>59</v>
      </c>
      <c r="AD2338" s="17">
        <v>47212</v>
      </c>
      <c r="AE2338" s="56">
        <v>866</v>
      </c>
      <c r="AF2338" s="56"/>
      <c r="AP2338" s="11"/>
      <c r="AQ2338" s="11"/>
      <c r="AR2338" s="11"/>
      <c r="AW2338" s="9"/>
      <c r="BD2338" s="9"/>
      <c r="CS2338" s="11">
        <f t="shared" si="162"/>
        <v>0</v>
      </c>
      <c r="CT2338" s="22">
        <f t="shared" si="163"/>
        <v>0</v>
      </c>
      <c r="CU2338" s="22">
        <f t="shared" si="164"/>
        <v>0</v>
      </c>
      <c r="CV2338" s="26">
        <f t="shared" si="161"/>
        <v>866</v>
      </c>
    </row>
    <row r="2339" spans="1:100" x14ac:dyDescent="0.2">
      <c r="A2339" s="9" t="s">
        <v>362</v>
      </c>
      <c r="B2339" s="2">
        <v>26</v>
      </c>
      <c r="C2339" s="3" t="s">
        <v>95</v>
      </c>
      <c r="D2339" s="3" t="s">
        <v>96</v>
      </c>
      <c r="E2339" s="2"/>
      <c r="F2339" s="2"/>
      <c r="G2339" s="2" t="s">
        <v>68</v>
      </c>
      <c r="H2339" s="2">
        <v>6</v>
      </c>
      <c r="I2339" s="8">
        <v>152.71</v>
      </c>
      <c r="J2339" s="8">
        <v>47499</v>
      </c>
      <c r="K2339" s="3">
        <v>0</v>
      </c>
      <c r="L2339" s="3" t="s">
        <v>3</v>
      </c>
      <c r="M2339" s="9" t="s">
        <v>0</v>
      </c>
      <c r="N2339" s="9">
        <v>40690645</v>
      </c>
      <c r="O2339" s="9" t="s">
        <v>559</v>
      </c>
      <c r="S2339" s="9" t="s">
        <v>158</v>
      </c>
      <c r="T2339" s="10" t="s">
        <v>68</v>
      </c>
      <c r="U2339" s="10">
        <v>6</v>
      </c>
      <c r="V2339" s="78">
        <v>152.71</v>
      </c>
      <c r="W2339" s="78" t="s">
        <v>710</v>
      </c>
      <c r="X2339" s="17">
        <v>45396</v>
      </c>
      <c r="Y2339" s="17">
        <v>45588</v>
      </c>
      <c r="Z2339" s="19" t="s">
        <v>772</v>
      </c>
      <c r="AA2339" s="210">
        <v>77680</v>
      </c>
      <c r="AB2339" s="9">
        <v>84</v>
      </c>
      <c r="AC2339" s="9">
        <v>60</v>
      </c>
      <c r="AD2339" s="17">
        <v>47242</v>
      </c>
      <c r="AE2339" s="56">
        <v>866</v>
      </c>
      <c r="AP2339" s="11"/>
      <c r="AQ2339" s="11"/>
      <c r="AR2339" s="11"/>
      <c r="AW2339" s="9"/>
      <c r="BD2339" s="9"/>
      <c r="CS2339" s="11">
        <f t="shared" si="162"/>
        <v>0</v>
      </c>
      <c r="CT2339" s="22">
        <f t="shared" si="163"/>
        <v>0</v>
      </c>
      <c r="CU2339" s="22">
        <f t="shared" si="164"/>
        <v>0</v>
      </c>
      <c r="CV2339" s="26">
        <f t="shared" si="161"/>
        <v>866</v>
      </c>
    </row>
    <row r="2340" spans="1:100" x14ac:dyDescent="0.2">
      <c r="A2340" s="9" t="s">
        <v>362</v>
      </c>
      <c r="B2340" s="2">
        <v>26</v>
      </c>
      <c r="C2340" s="3" t="s">
        <v>95</v>
      </c>
      <c r="D2340" s="3" t="s">
        <v>96</v>
      </c>
      <c r="E2340" s="2"/>
      <c r="F2340" s="2"/>
      <c r="G2340" s="2" t="s">
        <v>68</v>
      </c>
      <c r="H2340" s="2">
        <v>6</v>
      </c>
      <c r="I2340" s="8">
        <v>152.71</v>
      </c>
      <c r="J2340" s="8">
        <v>47499</v>
      </c>
      <c r="K2340" s="3">
        <v>0</v>
      </c>
      <c r="L2340" s="3" t="s">
        <v>3</v>
      </c>
      <c r="M2340" s="9" t="s">
        <v>0</v>
      </c>
      <c r="N2340" s="9">
        <v>40690645</v>
      </c>
      <c r="O2340" s="9" t="s">
        <v>559</v>
      </c>
      <c r="S2340" s="9" t="s">
        <v>158</v>
      </c>
      <c r="T2340" s="10" t="s">
        <v>68</v>
      </c>
      <c r="U2340" s="10">
        <v>6</v>
      </c>
      <c r="V2340" s="78">
        <v>152.71</v>
      </c>
      <c r="W2340" s="78" t="s">
        <v>710</v>
      </c>
      <c r="X2340" s="17">
        <v>45396</v>
      </c>
      <c r="Y2340" s="17">
        <v>45588</v>
      </c>
      <c r="Z2340" s="19" t="s">
        <v>772</v>
      </c>
      <c r="AA2340" s="210">
        <v>77680</v>
      </c>
      <c r="AB2340" s="9">
        <v>84</v>
      </c>
      <c r="AC2340" s="9">
        <v>61</v>
      </c>
      <c r="AD2340" s="17">
        <v>47273</v>
      </c>
      <c r="AE2340" s="56">
        <v>866</v>
      </c>
      <c r="AP2340" s="11"/>
      <c r="AQ2340" s="11"/>
      <c r="AR2340" s="11"/>
      <c r="AW2340" s="9"/>
      <c r="BD2340" s="9"/>
      <c r="CS2340" s="11">
        <f t="shared" si="162"/>
        <v>0</v>
      </c>
      <c r="CT2340" s="22">
        <f t="shared" si="163"/>
        <v>0</v>
      </c>
      <c r="CU2340" s="22">
        <f t="shared" si="164"/>
        <v>0</v>
      </c>
      <c r="CV2340" s="26">
        <f t="shared" si="161"/>
        <v>866</v>
      </c>
    </row>
    <row r="2341" spans="1:100" x14ac:dyDescent="0.2">
      <c r="A2341" s="9" t="s">
        <v>362</v>
      </c>
      <c r="B2341" s="2">
        <v>26</v>
      </c>
      <c r="C2341" s="3" t="s">
        <v>95</v>
      </c>
      <c r="D2341" s="3" t="s">
        <v>96</v>
      </c>
      <c r="E2341" s="2"/>
      <c r="F2341" s="2"/>
      <c r="G2341" s="2" t="s">
        <v>68</v>
      </c>
      <c r="H2341" s="2">
        <v>6</v>
      </c>
      <c r="I2341" s="8">
        <v>152.71</v>
      </c>
      <c r="J2341" s="8">
        <v>47499</v>
      </c>
      <c r="K2341" s="3">
        <v>0</v>
      </c>
      <c r="L2341" s="3" t="s">
        <v>3</v>
      </c>
      <c r="M2341" s="9" t="s">
        <v>0</v>
      </c>
      <c r="N2341" s="9">
        <v>40690645</v>
      </c>
      <c r="O2341" s="9" t="s">
        <v>559</v>
      </c>
      <c r="S2341" s="9" t="s">
        <v>158</v>
      </c>
      <c r="T2341" s="10" t="s">
        <v>68</v>
      </c>
      <c r="U2341" s="10">
        <v>6</v>
      </c>
      <c r="V2341" s="78">
        <v>152.71</v>
      </c>
      <c r="W2341" s="78" t="s">
        <v>710</v>
      </c>
      <c r="X2341" s="17">
        <v>45396</v>
      </c>
      <c r="Y2341" s="17">
        <v>45588</v>
      </c>
      <c r="Z2341" s="19" t="s">
        <v>772</v>
      </c>
      <c r="AA2341" s="210">
        <v>77680</v>
      </c>
      <c r="AB2341" s="9">
        <v>84</v>
      </c>
      <c r="AC2341" s="9">
        <v>62</v>
      </c>
      <c r="AD2341" s="17">
        <v>47303</v>
      </c>
      <c r="AE2341" s="56">
        <v>866</v>
      </c>
      <c r="AP2341" s="11"/>
      <c r="AQ2341" s="11"/>
      <c r="AR2341" s="11"/>
      <c r="AW2341" s="9"/>
      <c r="BD2341" s="9"/>
      <c r="CS2341" s="11">
        <f t="shared" si="162"/>
        <v>0</v>
      </c>
      <c r="CT2341" s="22">
        <f t="shared" si="163"/>
        <v>0</v>
      </c>
      <c r="CU2341" s="22">
        <f t="shared" si="164"/>
        <v>0</v>
      </c>
      <c r="CV2341" s="26">
        <f t="shared" si="161"/>
        <v>866</v>
      </c>
    </row>
    <row r="2342" spans="1:100" x14ac:dyDescent="0.2">
      <c r="A2342" s="9" t="s">
        <v>362</v>
      </c>
      <c r="B2342" s="2">
        <v>26</v>
      </c>
      <c r="C2342" s="3" t="s">
        <v>95</v>
      </c>
      <c r="D2342" s="3" t="s">
        <v>96</v>
      </c>
      <c r="E2342" s="2"/>
      <c r="F2342" s="2"/>
      <c r="G2342" s="2" t="s">
        <v>68</v>
      </c>
      <c r="H2342" s="2">
        <v>6</v>
      </c>
      <c r="I2342" s="8">
        <v>152.71</v>
      </c>
      <c r="J2342" s="8">
        <v>47499</v>
      </c>
      <c r="K2342" s="3">
        <v>0</v>
      </c>
      <c r="L2342" s="3" t="s">
        <v>3</v>
      </c>
      <c r="M2342" s="9" t="s">
        <v>0</v>
      </c>
      <c r="N2342" s="9">
        <v>40690645</v>
      </c>
      <c r="O2342" s="9" t="s">
        <v>559</v>
      </c>
      <c r="S2342" s="9" t="s">
        <v>158</v>
      </c>
      <c r="T2342" s="10" t="s">
        <v>68</v>
      </c>
      <c r="U2342" s="10">
        <v>6</v>
      </c>
      <c r="V2342" s="78">
        <v>152.71</v>
      </c>
      <c r="W2342" s="78" t="s">
        <v>710</v>
      </c>
      <c r="X2342" s="17">
        <v>45396</v>
      </c>
      <c r="Y2342" s="17">
        <v>45588</v>
      </c>
      <c r="Z2342" s="19" t="s">
        <v>772</v>
      </c>
      <c r="AA2342" s="210">
        <v>77680</v>
      </c>
      <c r="AB2342" s="9">
        <v>84</v>
      </c>
      <c r="AC2342" s="9">
        <v>63</v>
      </c>
      <c r="AD2342" s="17">
        <v>47334</v>
      </c>
      <c r="AE2342" s="56">
        <v>866</v>
      </c>
      <c r="AP2342" s="11"/>
      <c r="AQ2342" s="11"/>
      <c r="AR2342" s="11"/>
      <c r="AW2342" s="9"/>
      <c r="BD2342" s="9"/>
      <c r="CS2342" s="11">
        <f t="shared" si="162"/>
        <v>0</v>
      </c>
      <c r="CT2342" s="22">
        <f t="shared" si="163"/>
        <v>0</v>
      </c>
      <c r="CU2342" s="22">
        <f t="shared" si="164"/>
        <v>0</v>
      </c>
      <c r="CV2342" s="26">
        <f t="shared" si="161"/>
        <v>866</v>
      </c>
    </row>
    <row r="2343" spans="1:100" x14ac:dyDescent="0.2">
      <c r="A2343" s="9" t="s">
        <v>362</v>
      </c>
      <c r="B2343" s="2">
        <v>26</v>
      </c>
      <c r="C2343" s="3" t="s">
        <v>95</v>
      </c>
      <c r="D2343" s="3" t="s">
        <v>96</v>
      </c>
      <c r="E2343" s="2"/>
      <c r="F2343" s="2"/>
      <c r="G2343" s="2" t="s">
        <v>68</v>
      </c>
      <c r="H2343" s="2">
        <v>6</v>
      </c>
      <c r="I2343" s="8">
        <v>152.71</v>
      </c>
      <c r="J2343" s="8">
        <v>47499</v>
      </c>
      <c r="K2343" s="3">
        <v>0</v>
      </c>
      <c r="L2343" s="3" t="s">
        <v>3</v>
      </c>
      <c r="M2343" s="9" t="s">
        <v>0</v>
      </c>
      <c r="N2343" s="9">
        <v>40690645</v>
      </c>
      <c r="O2343" s="9" t="s">
        <v>559</v>
      </c>
      <c r="S2343" s="9" t="s">
        <v>158</v>
      </c>
      <c r="T2343" s="10" t="s">
        <v>68</v>
      </c>
      <c r="U2343" s="10">
        <v>6</v>
      </c>
      <c r="V2343" s="78">
        <v>152.71</v>
      </c>
      <c r="W2343" s="78" t="s">
        <v>710</v>
      </c>
      <c r="X2343" s="17">
        <v>45396</v>
      </c>
      <c r="Y2343" s="17">
        <v>45588</v>
      </c>
      <c r="Z2343" s="19" t="s">
        <v>772</v>
      </c>
      <c r="AA2343" s="210">
        <v>77680</v>
      </c>
      <c r="AB2343" s="9">
        <v>84</v>
      </c>
      <c r="AC2343" s="9">
        <v>64</v>
      </c>
      <c r="AD2343" s="17">
        <v>47365</v>
      </c>
      <c r="AE2343" s="56">
        <v>866</v>
      </c>
      <c r="AF2343" s="56"/>
      <c r="AP2343" s="11"/>
      <c r="AQ2343" s="11"/>
      <c r="AR2343" s="11"/>
      <c r="AW2343" s="9"/>
      <c r="BD2343" s="9"/>
      <c r="CS2343" s="11">
        <f t="shared" si="162"/>
        <v>0</v>
      </c>
      <c r="CT2343" s="22">
        <f t="shared" si="163"/>
        <v>0</v>
      </c>
      <c r="CU2343" s="22">
        <f t="shared" si="164"/>
        <v>0</v>
      </c>
      <c r="CV2343" s="26">
        <f t="shared" si="161"/>
        <v>866</v>
      </c>
    </row>
    <row r="2344" spans="1:100" x14ac:dyDescent="0.2">
      <c r="A2344" s="9" t="s">
        <v>362</v>
      </c>
      <c r="B2344" s="2">
        <v>26</v>
      </c>
      <c r="C2344" s="3" t="s">
        <v>95</v>
      </c>
      <c r="D2344" s="3" t="s">
        <v>96</v>
      </c>
      <c r="E2344" s="2"/>
      <c r="F2344" s="2"/>
      <c r="G2344" s="2" t="s">
        <v>68</v>
      </c>
      <c r="H2344" s="2">
        <v>6</v>
      </c>
      <c r="I2344" s="8">
        <v>152.71</v>
      </c>
      <c r="J2344" s="8">
        <v>47499</v>
      </c>
      <c r="K2344" s="3">
        <v>0</v>
      </c>
      <c r="L2344" s="3" t="s">
        <v>3</v>
      </c>
      <c r="M2344" s="9" t="s">
        <v>0</v>
      </c>
      <c r="N2344" s="9">
        <v>40690645</v>
      </c>
      <c r="O2344" s="9" t="s">
        <v>559</v>
      </c>
      <c r="S2344" s="9" t="s">
        <v>158</v>
      </c>
      <c r="T2344" s="10" t="s">
        <v>68</v>
      </c>
      <c r="U2344" s="10">
        <v>6</v>
      </c>
      <c r="V2344" s="78">
        <v>152.71</v>
      </c>
      <c r="W2344" s="78" t="s">
        <v>710</v>
      </c>
      <c r="X2344" s="17">
        <v>45396</v>
      </c>
      <c r="Y2344" s="17">
        <v>45588</v>
      </c>
      <c r="Z2344" s="19" t="s">
        <v>772</v>
      </c>
      <c r="AA2344" s="210">
        <v>77680</v>
      </c>
      <c r="AB2344" s="9">
        <v>84</v>
      </c>
      <c r="AC2344" s="9">
        <v>65</v>
      </c>
      <c r="AD2344" s="17">
        <v>47395</v>
      </c>
      <c r="AE2344" s="56">
        <v>866</v>
      </c>
      <c r="AF2344" s="56"/>
      <c r="AP2344" s="11"/>
      <c r="AQ2344" s="11"/>
      <c r="AR2344" s="11"/>
      <c r="AW2344" s="9"/>
      <c r="BD2344" s="9"/>
      <c r="CS2344" s="11">
        <f t="shared" si="162"/>
        <v>0</v>
      </c>
      <c r="CT2344" s="22">
        <f t="shared" si="163"/>
        <v>0</v>
      </c>
      <c r="CU2344" s="22">
        <f t="shared" si="164"/>
        <v>0</v>
      </c>
      <c r="CV2344" s="26">
        <f t="shared" si="161"/>
        <v>866</v>
      </c>
    </row>
    <row r="2345" spans="1:100" x14ac:dyDescent="0.2">
      <c r="A2345" s="9" t="s">
        <v>362</v>
      </c>
      <c r="B2345" s="2">
        <v>26</v>
      </c>
      <c r="C2345" s="3" t="s">
        <v>95</v>
      </c>
      <c r="D2345" s="3" t="s">
        <v>96</v>
      </c>
      <c r="E2345" s="2"/>
      <c r="F2345" s="2"/>
      <c r="G2345" s="2" t="s">
        <v>68</v>
      </c>
      <c r="H2345" s="2">
        <v>6</v>
      </c>
      <c r="I2345" s="8">
        <v>152.71</v>
      </c>
      <c r="J2345" s="8">
        <v>47499</v>
      </c>
      <c r="K2345" s="3">
        <v>0</v>
      </c>
      <c r="L2345" s="3" t="s">
        <v>3</v>
      </c>
      <c r="M2345" s="9" t="s">
        <v>0</v>
      </c>
      <c r="N2345" s="9">
        <v>40690645</v>
      </c>
      <c r="O2345" s="9" t="s">
        <v>559</v>
      </c>
      <c r="S2345" s="9" t="s">
        <v>158</v>
      </c>
      <c r="T2345" s="10" t="s">
        <v>68</v>
      </c>
      <c r="U2345" s="10">
        <v>6</v>
      </c>
      <c r="V2345" s="78">
        <v>152.71</v>
      </c>
      <c r="W2345" s="78" t="s">
        <v>710</v>
      </c>
      <c r="X2345" s="17">
        <v>45396</v>
      </c>
      <c r="Y2345" s="17">
        <v>45588</v>
      </c>
      <c r="Z2345" s="19" t="s">
        <v>772</v>
      </c>
      <c r="AA2345" s="210">
        <v>77680</v>
      </c>
      <c r="AB2345" s="9">
        <v>84</v>
      </c>
      <c r="AC2345" s="9">
        <v>66</v>
      </c>
      <c r="AD2345" s="17">
        <v>47426</v>
      </c>
      <c r="AE2345" s="56">
        <v>866</v>
      </c>
      <c r="AF2345" s="56"/>
      <c r="AP2345" s="11"/>
      <c r="AQ2345" s="11"/>
      <c r="AR2345" s="11"/>
      <c r="AW2345" s="9"/>
      <c r="BD2345" s="9"/>
      <c r="CS2345" s="11">
        <f t="shared" si="162"/>
        <v>0</v>
      </c>
      <c r="CT2345" s="22">
        <f t="shared" si="163"/>
        <v>0</v>
      </c>
      <c r="CU2345" s="22">
        <f t="shared" si="164"/>
        <v>0</v>
      </c>
      <c r="CV2345" s="26">
        <f t="shared" si="161"/>
        <v>866</v>
      </c>
    </row>
    <row r="2346" spans="1:100" x14ac:dyDescent="0.2">
      <c r="A2346" s="9" t="s">
        <v>362</v>
      </c>
      <c r="B2346" s="2">
        <v>26</v>
      </c>
      <c r="C2346" s="3" t="s">
        <v>95</v>
      </c>
      <c r="D2346" s="3" t="s">
        <v>96</v>
      </c>
      <c r="E2346" s="2"/>
      <c r="F2346" s="2"/>
      <c r="G2346" s="2" t="s">
        <v>68</v>
      </c>
      <c r="H2346" s="2">
        <v>6</v>
      </c>
      <c r="I2346" s="8">
        <v>152.71</v>
      </c>
      <c r="J2346" s="8">
        <v>47499</v>
      </c>
      <c r="K2346" s="3">
        <v>0</v>
      </c>
      <c r="L2346" s="3" t="s">
        <v>3</v>
      </c>
      <c r="M2346" s="9" t="s">
        <v>0</v>
      </c>
      <c r="N2346" s="9">
        <v>40690645</v>
      </c>
      <c r="O2346" s="9" t="s">
        <v>559</v>
      </c>
      <c r="S2346" s="9" t="s">
        <v>158</v>
      </c>
      <c r="T2346" s="10" t="s">
        <v>68</v>
      </c>
      <c r="U2346" s="10">
        <v>6</v>
      </c>
      <c r="V2346" s="78">
        <v>152.71</v>
      </c>
      <c r="W2346" s="78" t="s">
        <v>710</v>
      </c>
      <c r="X2346" s="17">
        <v>45396</v>
      </c>
      <c r="Y2346" s="17">
        <v>45588</v>
      </c>
      <c r="Z2346" s="19" t="s">
        <v>772</v>
      </c>
      <c r="AA2346" s="210">
        <v>77680</v>
      </c>
      <c r="AB2346" s="9">
        <v>84</v>
      </c>
      <c r="AC2346" s="9">
        <v>67</v>
      </c>
      <c r="AD2346" s="17">
        <v>47456</v>
      </c>
      <c r="AE2346" s="56">
        <v>866</v>
      </c>
      <c r="AF2346" s="56"/>
      <c r="AP2346" s="11"/>
      <c r="AQ2346" s="11"/>
      <c r="AR2346" s="11"/>
      <c r="AW2346" s="9"/>
      <c r="BD2346" s="9"/>
      <c r="CS2346" s="11">
        <f t="shared" si="162"/>
        <v>0</v>
      </c>
      <c r="CT2346" s="22">
        <f t="shared" si="163"/>
        <v>0</v>
      </c>
      <c r="CU2346" s="22">
        <f t="shared" si="164"/>
        <v>0</v>
      </c>
      <c r="CV2346" s="26">
        <f t="shared" si="161"/>
        <v>866</v>
      </c>
    </row>
    <row r="2347" spans="1:100" x14ac:dyDescent="0.2">
      <c r="A2347" s="9" t="s">
        <v>362</v>
      </c>
      <c r="B2347" s="2">
        <v>26</v>
      </c>
      <c r="C2347" s="3" t="s">
        <v>95</v>
      </c>
      <c r="D2347" s="3" t="s">
        <v>96</v>
      </c>
      <c r="E2347" s="2"/>
      <c r="F2347" s="2"/>
      <c r="G2347" s="2" t="s">
        <v>68</v>
      </c>
      <c r="H2347" s="2">
        <v>6</v>
      </c>
      <c r="I2347" s="8">
        <v>152.71</v>
      </c>
      <c r="J2347" s="8">
        <v>47499</v>
      </c>
      <c r="K2347" s="3">
        <v>0</v>
      </c>
      <c r="L2347" s="3" t="s">
        <v>3</v>
      </c>
      <c r="M2347" s="9" t="s">
        <v>0</v>
      </c>
      <c r="N2347" s="9">
        <v>40690645</v>
      </c>
      <c r="O2347" s="9" t="s">
        <v>559</v>
      </c>
      <c r="S2347" s="9" t="s">
        <v>158</v>
      </c>
      <c r="T2347" s="10" t="s">
        <v>68</v>
      </c>
      <c r="U2347" s="10">
        <v>6</v>
      </c>
      <c r="V2347" s="78">
        <v>152.71</v>
      </c>
      <c r="W2347" s="78" t="s">
        <v>710</v>
      </c>
      <c r="X2347" s="17">
        <v>45396</v>
      </c>
      <c r="Y2347" s="17">
        <v>45588</v>
      </c>
      <c r="Z2347" s="19" t="s">
        <v>772</v>
      </c>
      <c r="AA2347" s="210">
        <v>77680</v>
      </c>
      <c r="AB2347" s="9">
        <v>84</v>
      </c>
      <c r="AC2347" s="9">
        <v>68</v>
      </c>
      <c r="AD2347" s="17">
        <v>47487</v>
      </c>
      <c r="AE2347" s="56">
        <v>866</v>
      </c>
      <c r="AF2347" s="56"/>
      <c r="AP2347" s="11"/>
      <c r="AQ2347" s="11"/>
      <c r="AR2347" s="11"/>
      <c r="AW2347" s="9"/>
      <c r="BD2347" s="9"/>
      <c r="CS2347" s="11">
        <f t="shared" si="162"/>
        <v>0</v>
      </c>
      <c r="CT2347" s="22">
        <f t="shared" si="163"/>
        <v>0</v>
      </c>
      <c r="CU2347" s="22">
        <f t="shared" si="164"/>
        <v>0</v>
      </c>
      <c r="CV2347" s="26">
        <f t="shared" si="161"/>
        <v>866</v>
      </c>
    </row>
    <row r="2348" spans="1:100" x14ac:dyDescent="0.2">
      <c r="A2348" s="9" t="s">
        <v>362</v>
      </c>
      <c r="B2348" s="2">
        <v>26</v>
      </c>
      <c r="C2348" s="3" t="s">
        <v>95</v>
      </c>
      <c r="D2348" s="3" t="s">
        <v>96</v>
      </c>
      <c r="E2348" s="2"/>
      <c r="F2348" s="2"/>
      <c r="G2348" s="2" t="s">
        <v>68</v>
      </c>
      <c r="H2348" s="2">
        <v>6</v>
      </c>
      <c r="I2348" s="8">
        <v>152.71</v>
      </c>
      <c r="J2348" s="8">
        <v>47499</v>
      </c>
      <c r="K2348" s="3">
        <v>0</v>
      </c>
      <c r="L2348" s="3" t="s">
        <v>3</v>
      </c>
      <c r="M2348" s="9" t="s">
        <v>0</v>
      </c>
      <c r="N2348" s="9">
        <v>40690645</v>
      </c>
      <c r="O2348" s="9" t="s">
        <v>559</v>
      </c>
      <c r="S2348" s="9" t="s">
        <v>158</v>
      </c>
      <c r="T2348" s="10" t="s">
        <v>68</v>
      </c>
      <c r="U2348" s="10">
        <v>6</v>
      </c>
      <c r="V2348" s="78">
        <v>152.71</v>
      </c>
      <c r="W2348" s="78" t="s">
        <v>710</v>
      </c>
      <c r="X2348" s="17">
        <v>45396</v>
      </c>
      <c r="Y2348" s="17">
        <v>45588</v>
      </c>
      <c r="Z2348" s="19" t="s">
        <v>772</v>
      </c>
      <c r="AA2348" s="210">
        <v>77680</v>
      </c>
      <c r="AB2348" s="9">
        <v>84</v>
      </c>
      <c r="AC2348" s="9">
        <v>69</v>
      </c>
      <c r="AD2348" s="17">
        <v>47518</v>
      </c>
      <c r="AE2348" s="56">
        <v>866</v>
      </c>
      <c r="AF2348" s="56"/>
      <c r="AP2348" s="11"/>
      <c r="AQ2348" s="11"/>
      <c r="AR2348" s="11"/>
      <c r="AW2348" s="9"/>
      <c r="BD2348" s="9"/>
      <c r="CS2348" s="11">
        <f t="shared" si="162"/>
        <v>0</v>
      </c>
      <c r="CT2348" s="22">
        <f t="shared" si="163"/>
        <v>0</v>
      </c>
      <c r="CU2348" s="22">
        <f t="shared" si="164"/>
        <v>0</v>
      </c>
      <c r="CV2348" s="26">
        <f t="shared" si="161"/>
        <v>866</v>
      </c>
    </row>
    <row r="2349" spans="1:100" x14ac:dyDescent="0.2">
      <c r="A2349" s="9" t="s">
        <v>362</v>
      </c>
      <c r="B2349" s="2">
        <v>26</v>
      </c>
      <c r="C2349" s="3" t="s">
        <v>95</v>
      </c>
      <c r="D2349" s="3" t="s">
        <v>96</v>
      </c>
      <c r="E2349" s="2"/>
      <c r="F2349" s="2"/>
      <c r="G2349" s="2" t="s">
        <v>68</v>
      </c>
      <c r="H2349" s="2">
        <v>6</v>
      </c>
      <c r="I2349" s="8">
        <v>152.71</v>
      </c>
      <c r="J2349" s="8">
        <v>47499</v>
      </c>
      <c r="K2349" s="3">
        <v>0</v>
      </c>
      <c r="L2349" s="3" t="s">
        <v>3</v>
      </c>
      <c r="M2349" s="9" t="s">
        <v>0</v>
      </c>
      <c r="N2349" s="9">
        <v>40690645</v>
      </c>
      <c r="O2349" s="9" t="s">
        <v>559</v>
      </c>
      <c r="S2349" s="9" t="s">
        <v>158</v>
      </c>
      <c r="T2349" s="10" t="s">
        <v>68</v>
      </c>
      <c r="U2349" s="10">
        <v>6</v>
      </c>
      <c r="V2349" s="78">
        <v>152.71</v>
      </c>
      <c r="W2349" s="78" t="s">
        <v>710</v>
      </c>
      <c r="X2349" s="17">
        <v>45396</v>
      </c>
      <c r="Y2349" s="17">
        <v>45588</v>
      </c>
      <c r="Z2349" s="19" t="s">
        <v>772</v>
      </c>
      <c r="AA2349" s="210">
        <v>77680</v>
      </c>
      <c r="AB2349" s="9">
        <v>84</v>
      </c>
      <c r="AC2349" s="9">
        <v>70</v>
      </c>
      <c r="AD2349" s="17">
        <v>47546</v>
      </c>
      <c r="AE2349" s="56">
        <v>866</v>
      </c>
      <c r="AF2349" s="56"/>
      <c r="AP2349" s="11"/>
      <c r="AQ2349" s="11"/>
      <c r="AR2349" s="11"/>
      <c r="AW2349" s="9"/>
      <c r="BD2349" s="9"/>
      <c r="CS2349" s="11">
        <f t="shared" si="162"/>
        <v>0</v>
      </c>
      <c r="CT2349" s="22">
        <f t="shared" si="163"/>
        <v>0</v>
      </c>
      <c r="CU2349" s="22">
        <f t="shared" si="164"/>
        <v>0</v>
      </c>
      <c r="CV2349" s="26">
        <f t="shared" si="161"/>
        <v>866</v>
      </c>
    </row>
    <row r="2350" spans="1:100" x14ac:dyDescent="0.2">
      <c r="A2350" s="9" t="s">
        <v>362</v>
      </c>
      <c r="B2350" s="2">
        <v>26</v>
      </c>
      <c r="C2350" s="3" t="s">
        <v>95</v>
      </c>
      <c r="D2350" s="3" t="s">
        <v>96</v>
      </c>
      <c r="E2350" s="2"/>
      <c r="F2350" s="2"/>
      <c r="G2350" s="2" t="s">
        <v>68</v>
      </c>
      <c r="H2350" s="2">
        <v>6</v>
      </c>
      <c r="I2350" s="8">
        <v>152.71</v>
      </c>
      <c r="J2350" s="8">
        <v>47499</v>
      </c>
      <c r="K2350" s="3">
        <v>0</v>
      </c>
      <c r="L2350" s="3" t="s">
        <v>3</v>
      </c>
      <c r="M2350" s="9" t="s">
        <v>0</v>
      </c>
      <c r="N2350" s="9">
        <v>40690645</v>
      </c>
      <c r="O2350" s="9" t="s">
        <v>559</v>
      </c>
      <c r="S2350" s="9" t="s">
        <v>158</v>
      </c>
      <c r="T2350" s="10" t="s">
        <v>68</v>
      </c>
      <c r="U2350" s="10">
        <v>6</v>
      </c>
      <c r="V2350" s="78">
        <v>152.71</v>
      </c>
      <c r="W2350" s="78" t="s">
        <v>710</v>
      </c>
      <c r="X2350" s="17">
        <v>45396</v>
      </c>
      <c r="Y2350" s="17">
        <v>45588</v>
      </c>
      <c r="Z2350" s="19" t="s">
        <v>772</v>
      </c>
      <c r="AA2350" s="210">
        <v>77680</v>
      </c>
      <c r="AB2350" s="9">
        <v>84</v>
      </c>
      <c r="AC2350" s="9">
        <v>71</v>
      </c>
      <c r="AD2350" s="17">
        <v>47577</v>
      </c>
      <c r="AE2350" s="56">
        <v>866</v>
      </c>
      <c r="AF2350" s="56"/>
      <c r="AP2350" s="11"/>
      <c r="AQ2350" s="11"/>
      <c r="AR2350" s="11"/>
      <c r="AW2350" s="9"/>
      <c r="BD2350" s="9"/>
      <c r="CS2350" s="11">
        <f t="shared" si="162"/>
        <v>0</v>
      </c>
      <c r="CT2350" s="22">
        <f t="shared" si="163"/>
        <v>0</v>
      </c>
      <c r="CU2350" s="22">
        <f t="shared" si="164"/>
        <v>0</v>
      </c>
      <c r="CV2350" s="26">
        <f t="shared" si="161"/>
        <v>866</v>
      </c>
    </row>
    <row r="2351" spans="1:100" x14ac:dyDescent="0.2">
      <c r="A2351" s="9" t="s">
        <v>362</v>
      </c>
      <c r="B2351" s="2">
        <v>26</v>
      </c>
      <c r="C2351" s="3" t="s">
        <v>95</v>
      </c>
      <c r="D2351" s="3" t="s">
        <v>96</v>
      </c>
      <c r="E2351" s="2"/>
      <c r="F2351" s="2"/>
      <c r="G2351" s="2" t="s">
        <v>68</v>
      </c>
      <c r="H2351" s="2">
        <v>6</v>
      </c>
      <c r="I2351" s="8">
        <v>152.71</v>
      </c>
      <c r="J2351" s="8">
        <v>47499</v>
      </c>
      <c r="K2351" s="3">
        <v>0</v>
      </c>
      <c r="L2351" s="3" t="s">
        <v>3</v>
      </c>
      <c r="M2351" s="9" t="s">
        <v>0</v>
      </c>
      <c r="N2351" s="9">
        <v>40690645</v>
      </c>
      <c r="O2351" s="9" t="s">
        <v>559</v>
      </c>
      <c r="S2351" s="9" t="s">
        <v>158</v>
      </c>
      <c r="T2351" s="10" t="s">
        <v>68</v>
      </c>
      <c r="U2351" s="10">
        <v>6</v>
      </c>
      <c r="V2351" s="78">
        <v>152.71</v>
      </c>
      <c r="W2351" s="78" t="s">
        <v>710</v>
      </c>
      <c r="X2351" s="17">
        <v>45396</v>
      </c>
      <c r="Y2351" s="17">
        <v>45588</v>
      </c>
      <c r="Z2351" s="19" t="s">
        <v>772</v>
      </c>
      <c r="AA2351" s="210">
        <v>77680</v>
      </c>
      <c r="AB2351" s="9">
        <v>84</v>
      </c>
      <c r="AC2351" s="9">
        <v>72</v>
      </c>
      <c r="AD2351" s="17">
        <v>47607</v>
      </c>
      <c r="AE2351" s="56">
        <v>866</v>
      </c>
      <c r="AF2351" s="56"/>
      <c r="AP2351" s="11"/>
      <c r="AQ2351" s="11"/>
      <c r="AR2351" s="11"/>
      <c r="AW2351" s="9"/>
      <c r="BD2351" s="9"/>
      <c r="CS2351" s="11">
        <f t="shared" si="162"/>
        <v>0</v>
      </c>
      <c r="CT2351" s="22">
        <f t="shared" si="163"/>
        <v>0</v>
      </c>
      <c r="CU2351" s="22">
        <f t="shared" si="164"/>
        <v>0</v>
      </c>
      <c r="CV2351" s="26">
        <f t="shared" si="161"/>
        <v>866</v>
      </c>
    </row>
    <row r="2352" spans="1:100" x14ac:dyDescent="0.2">
      <c r="A2352" s="9" t="s">
        <v>362</v>
      </c>
      <c r="B2352" s="2">
        <v>26</v>
      </c>
      <c r="C2352" s="3" t="s">
        <v>95</v>
      </c>
      <c r="D2352" s="3" t="s">
        <v>96</v>
      </c>
      <c r="E2352" s="2"/>
      <c r="F2352" s="2"/>
      <c r="G2352" s="2" t="s">
        <v>68</v>
      </c>
      <c r="H2352" s="2">
        <v>6</v>
      </c>
      <c r="I2352" s="8">
        <v>152.71</v>
      </c>
      <c r="J2352" s="8">
        <v>47499</v>
      </c>
      <c r="K2352" s="3">
        <v>0</v>
      </c>
      <c r="L2352" s="3" t="s">
        <v>3</v>
      </c>
      <c r="M2352" s="9" t="s">
        <v>0</v>
      </c>
      <c r="N2352" s="9">
        <v>40690645</v>
      </c>
      <c r="O2352" s="9" t="s">
        <v>559</v>
      </c>
      <c r="S2352" s="9" t="s">
        <v>158</v>
      </c>
      <c r="T2352" s="10" t="s">
        <v>68</v>
      </c>
      <c r="U2352" s="10">
        <v>6</v>
      </c>
      <c r="V2352" s="78">
        <v>152.71</v>
      </c>
      <c r="W2352" s="78" t="s">
        <v>710</v>
      </c>
      <c r="X2352" s="17">
        <v>45396</v>
      </c>
      <c r="Y2352" s="17">
        <v>45588</v>
      </c>
      <c r="Z2352" s="19" t="s">
        <v>772</v>
      </c>
      <c r="AA2352" s="210">
        <v>77680</v>
      </c>
      <c r="AB2352" s="9">
        <v>84</v>
      </c>
      <c r="AC2352" s="9">
        <v>73</v>
      </c>
      <c r="AD2352" s="17">
        <v>47638</v>
      </c>
      <c r="AE2352" s="56">
        <v>866</v>
      </c>
      <c r="AF2352" s="56"/>
      <c r="AP2352" s="11"/>
      <c r="AQ2352" s="11"/>
      <c r="AR2352" s="11"/>
      <c r="AW2352" s="9"/>
      <c r="BD2352" s="9"/>
      <c r="CS2352" s="11">
        <f t="shared" si="162"/>
        <v>0</v>
      </c>
      <c r="CT2352" s="22">
        <f t="shared" si="163"/>
        <v>0</v>
      </c>
      <c r="CU2352" s="22">
        <f t="shared" si="164"/>
        <v>0</v>
      </c>
      <c r="CV2352" s="26">
        <f t="shared" si="161"/>
        <v>866</v>
      </c>
    </row>
    <row r="2353" spans="1:100" x14ac:dyDescent="0.2">
      <c r="A2353" s="9" t="s">
        <v>362</v>
      </c>
      <c r="B2353" s="2">
        <v>26</v>
      </c>
      <c r="C2353" s="3" t="s">
        <v>95</v>
      </c>
      <c r="D2353" s="3" t="s">
        <v>96</v>
      </c>
      <c r="E2353" s="2"/>
      <c r="F2353" s="2"/>
      <c r="G2353" s="2" t="s">
        <v>68</v>
      </c>
      <c r="H2353" s="2">
        <v>6</v>
      </c>
      <c r="I2353" s="8">
        <v>152.71</v>
      </c>
      <c r="J2353" s="8">
        <v>47499</v>
      </c>
      <c r="K2353" s="3">
        <v>0</v>
      </c>
      <c r="L2353" s="3" t="s">
        <v>3</v>
      </c>
      <c r="M2353" s="9" t="s">
        <v>0</v>
      </c>
      <c r="N2353" s="9">
        <v>40690645</v>
      </c>
      <c r="O2353" s="9" t="s">
        <v>559</v>
      </c>
      <c r="S2353" s="9" t="s">
        <v>158</v>
      </c>
      <c r="T2353" s="10" t="s">
        <v>68</v>
      </c>
      <c r="U2353" s="10">
        <v>6</v>
      </c>
      <c r="V2353" s="78">
        <v>152.71</v>
      </c>
      <c r="W2353" s="78" t="s">
        <v>710</v>
      </c>
      <c r="X2353" s="17">
        <v>45396</v>
      </c>
      <c r="Y2353" s="17">
        <v>45588</v>
      </c>
      <c r="Z2353" s="19" t="s">
        <v>772</v>
      </c>
      <c r="AA2353" s="210">
        <v>77680</v>
      </c>
      <c r="AB2353" s="9">
        <v>84</v>
      </c>
      <c r="AC2353" s="9">
        <v>74</v>
      </c>
      <c r="AD2353" s="17">
        <v>47668</v>
      </c>
      <c r="AE2353" s="56">
        <v>866</v>
      </c>
      <c r="AF2353" s="56"/>
      <c r="AP2353" s="11"/>
      <c r="AQ2353" s="11"/>
      <c r="AR2353" s="11"/>
      <c r="AW2353" s="9"/>
      <c r="BD2353" s="9"/>
      <c r="CS2353" s="11">
        <f t="shared" si="162"/>
        <v>0</v>
      </c>
      <c r="CT2353" s="22">
        <f t="shared" si="163"/>
        <v>0</v>
      </c>
      <c r="CU2353" s="22">
        <f t="shared" si="164"/>
        <v>0</v>
      </c>
      <c r="CV2353" s="26">
        <f t="shared" si="161"/>
        <v>866</v>
      </c>
    </row>
    <row r="2354" spans="1:100" x14ac:dyDescent="0.2">
      <c r="A2354" s="9" t="s">
        <v>362</v>
      </c>
      <c r="B2354" s="2">
        <v>26</v>
      </c>
      <c r="C2354" s="3" t="s">
        <v>95</v>
      </c>
      <c r="D2354" s="3" t="s">
        <v>96</v>
      </c>
      <c r="E2354" s="2"/>
      <c r="F2354" s="2"/>
      <c r="G2354" s="2" t="s">
        <v>68</v>
      </c>
      <c r="H2354" s="2">
        <v>6</v>
      </c>
      <c r="I2354" s="8">
        <v>152.71</v>
      </c>
      <c r="J2354" s="8">
        <v>47499</v>
      </c>
      <c r="K2354" s="3">
        <v>0</v>
      </c>
      <c r="L2354" s="3" t="s">
        <v>3</v>
      </c>
      <c r="M2354" s="9" t="s">
        <v>0</v>
      </c>
      <c r="N2354" s="9">
        <v>40690645</v>
      </c>
      <c r="O2354" s="9" t="s">
        <v>559</v>
      </c>
      <c r="S2354" s="9" t="s">
        <v>158</v>
      </c>
      <c r="T2354" s="10" t="s">
        <v>68</v>
      </c>
      <c r="U2354" s="10">
        <v>6</v>
      </c>
      <c r="V2354" s="78">
        <v>152.71</v>
      </c>
      <c r="W2354" s="78" t="s">
        <v>710</v>
      </c>
      <c r="X2354" s="17">
        <v>45396</v>
      </c>
      <c r="Y2354" s="17">
        <v>45588</v>
      </c>
      <c r="Z2354" s="19" t="s">
        <v>772</v>
      </c>
      <c r="AA2354" s="210">
        <v>77680</v>
      </c>
      <c r="AB2354" s="9">
        <v>84</v>
      </c>
      <c r="AC2354" s="9">
        <v>75</v>
      </c>
      <c r="AD2354" s="17">
        <v>47699</v>
      </c>
      <c r="AE2354" s="56">
        <v>866</v>
      </c>
      <c r="AF2354" s="56"/>
      <c r="AP2354" s="11"/>
      <c r="AQ2354" s="11"/>
      <c r="AR2354" s="11"/>
      <c r="AW2354" s="9"/>
      <c r="BD2354" s="9"/>
      <c r="CS2354" s="11">
        <f t="shared" si="162"/>
        <v>0</v>
      </c>
      <c r="CT2354" s="22">
        <f t="shared" si="163"/>
        <v>0</v>
      </c>
      <c r="CU2354" s="22">
        <f t="shared" si="164"/>
        <v>0</v>
      </c>
      <c r="CV2354" s="26">
        <f t="shared" si="161"/>
        <v>866</v>
      </c>
    </row>
    <row r="2355" spans="1:100" x14ac:dyDescent="0.2">
      <c r="A2355" s="9" t="s">
        <v>362</v>
      </c>
      <c r="B2355" s="2">
        <v>26</v>
      </c>
      <c r="C2355" s="3" t="s">
        <v>95</v>
      </c>
      <c r="D2355" s="3" t="s">
        <v>96</v>
      </c>
      <c r="E2355" s="2"/>
      <c r="F2355" s="2"/>
      <c r="G2355" s="2" t="s">
        <v>68</v>
      </c>
      <c r="H2355" s="2">
        <v>6</v>
      </c>
      <c r="I2355" s="8">
        <v>152.71</v>
      </c>
      <c r="J2355" s="8">
        <v>47499</v>
      </c>
      <c r="K2355" s="3">
        <v>0</v>
      </c>
      <c r="L2355" s="3" t="s">
        <v>3</v>
      </c>
      <c r="M2355" s="9" t="s">
        <v>0</v>
      </c>
      <c r="N2355" s="9">
        <v>40690645</v>
      </c>
      <c r="O2355" s="9" t="s">
        <v>559</v>
      </c>
      <c r="S2355" s="9" t="s">
        <v>158</v>
      </c>
      <c r="T2355" s="10" t="s">
        <v>68</v>
      </c>
      <c r="U2355" s="10">
        <v>6</v>
      </c>
      <c r="V2355" s="78">
        <v>152.71</v>
      </c>
      <c r="W2355" s="78" t="s">
        <v>710</v>
      </c>
      <c r="X2355" s="17">
        <v>45396</v>
      </c>
      <c r="Y2355" s="17">
        <v>45588</v>
      </c>
      <c r="Z2355" s="19" t="s">
        <v>772</v>
      </c>
      <c r="AA2355" s="210">
        <v>77680</v>
      </c>
      <c r="AB2355" s="9">
        <v>84</v>
      </c>
      <c r="AC2355" s="9">
        <v>76</v>
      </c>
      <c r="AD2355" s="17">
        <v>47730</v>
      </c>
      <c r="AE2355" s="56">
        <v>866</v>
      </c>
      <c r="AF2355" s="56"/>
      <c r="AL2355" s="22"/>
      <c r="AM2355" s="22"/>
      <c r="AN2355" s="22"/>
      <c r="AO2355" s="22"/>
      <c r="AP2355" s="22"/>
      <c r="AQ2355" s="22"/>
      <c r="AR2355" s="22"/>
      <c r="AS2355" s="22"/>
      <c r="AT2355" s="22"/>
      <c r="AU2355" s="22"/>
      <c r="AW2355" s="9"/>
      <c r="BD2355" s="9"/>
      <c r="CS2355" s="11">
        <f t="shared" si="162"/>
        <v>0</v>
      </c>
      <c r="CT2355" s="22">
        <f t="shared" si="163"/>
        <v>0</v>
      </c>
      <c r="CU2355" s="22">
        <f t="shared" si="164"/>
        <v>0</v>
      </c>
      <c r="CV2355" s="26">
        <f t="shared" si="161"/>
        <v>866</v>
      </c>
    </row>
    <row r="2356" spans="1:100" x14ac:dyDescent="0.2">
      <c r="A2356" s="9" t="s">
        <v>362</v>
      </c>
      <c r="B2356" s="2">
        <v>26</v>
      </c>
      <c r="C2356" s="3" t="s">
        <v>95</v>
      </c>
      <c r="D2356" s="3" t="s">
        <v>96</v>
      </c>
      <c r="E2356" s="2"/>
      <c r="F2356" s="2"/>
      <c r="G2356" s="2" t="s">
        <v>68</v>
      </c>
      <c r="H2356" s="2">
        <v>6</v>
      </c>
      <c r="I2356" s="8">
        <v>152.71</v>
      </c>
      <c r="J2356" s="8">
        <v>47499</v>
      </c>
      <c r="K2356" s="3">
        <v>0</v>
      </c>
      <c r="L2356" s="3" t="s">
        <v>3</v>
      </c>
      <c r="M2356" s="9" t="s">
        <v>0</v>
      </c>
      <c r="N2356" s="9">
        <v>40690645</v>
      </c>
      <c r="O2356" s="9" t="s">
        <v>559</v>
      </c>
      <c r="S2356" s="9" t="s">
        <v>158</v>
      </c>
      <c r="T2356" s="10" t="s">
        <v>68</v>
      </c>
      <c r="U2356" s="10">
        <v>6</v>
      </c>
      <c r="V2356" s="78">
        <v>152.71</v>
      </c>
      <c r="W2356" s="78" t="s">
        <v>710</v>
      </c>
      <c r="X2356" s="17">
        <v>45396</v>
      </c>
      <c r="Y2356" s="17">
        <v>45588</v>
      </c>
      <c r="Z2356" s="19" t="s">
        <v>772</v>
      </c>
      <c r="AA2356" s="210">
        <v>77680</v>
      </c>
      <c r="AB2356" s="9">
        <v>84</v>
      </c>
      <c r="AC2356" s="9">
        <v>77</v>
      </c>
      <c r="AD2356" s="17">
        <v>47760</v>
      </c>
      <c r="AE2356" s="56">
        <v>866</v>
      </c>
      <c r="AF2356" s="56"/>
      <c r="AH2356" s="17"/>
      <c r="AI2356" s="17"/>
      <c r="AJ2356" s="17"/>
      <c r="AL2356" s="22"/>
      <c r="AM2356" s="22"/>
      <c r="AN2356" s="22"/>
      <c r="AO2356" s="22"/>
      <c r="AP2356" s="22"/>
      <c r="AQ2356" s="22"/>
      <c r="AR2356" s="22"/>
      <c r="AS2356" s="22"/>
      <c r="AT2356" s="22"/>
      <c r="AU2356" s="22"/>
      <c r="AW2356" s="9"/>
      <c r="BD2356" s="9"/>
      <c r="CS2356" s="11">
        <f t="shared" si="162"/>
        <v>0</v>
      </c>
      <c r="CT2356" s="22">
        <f t="shared" si="163"/>
        <v>0</v>
      </c>
      <c r="CU2356" s="22">
        <f t="shared" si="164"/>
        <v>0</v>
      </c>
      <c r="CV2356" s="26">
        <f t="shared" si="161"/>
        <v>866</v>
      </c>
    </row>
    <row r="2357" spans="1:100" x14ac:dyDescent="0.2">
      <c r="A2357" s="9" t="s">
        <v>362</v>
      </c>
      <c r="B2357" s="2">
        <v>26</v>
      </c>
      <c r="C2357" s="3" t="s">
        <v>95</v>
      </c>
      <c r="D2357" s="3" t="s">
        <v>96</v>
      </c>
      <c r="E2357" s="2"/>
      <c r="F2357" s="2"/>
      <c r="G2357" s="2" t="s">
        <v>68</v>
      </c>
      <c r="H2357" s="2">
        <v>6</v>
      </c>
      <c r="I2357" s="8">
        <v>152.71</v>
      </c>
      <c r="J2357" s="8">
        <v>47499</v>
      </c>
      <c r="K2357" s="3">
        <v>0</v>
      </c>
      <c r="L2357" s="3" t="s">
        <v>3</v>
      </c>
      <c r="M2357" s="9" t="s">
        <v>0</v>
      </c>
      <c r="N2357" s="9">
        <v>40690645</v>
      </c>
      <c r="O2357" s="9" t="s">
        <v>559</v>
      </c>
      <c r="S2357" s="9" t="s">
        <v>158</v>
      </c>
      <c r="T2357" s="10" t="s">
        <v>68</v>
      </c>
      <c r="U2357" s="10">
        <v>6</v>
      </c>
      <c r="V2357" s="78">
        <v>152.71</v>
      </c>
      <c r="W2357" s="78" t="s">
        <v>710</v>
      </c>
      <c r="X2357" s="17">
        <v>45396</v>
      </c>
      <c r="Y2357" s="17">
        <v>45588</v>
      </c>
      <c r="Z2357" s="19" t="s">
        <v>772</v>
      </c>
      <c r="AA2357" s="210">
        <v>77680</v>
      </c>
      <c r="AB2357" s="9">
        <v>84</v>
      </c>
      <c r="AC2357" s="9">
        <v>78</v>
      </c>
      <c r="AD2357" s="17">
        <v>47791</v>
      </c>
      <c r="AE2357" s="56">
        <v>866</v>
      </c>
      <c r="AF2357" s="56"/>
      <c r="AH2357" s="17"/>
      <c r="AI2357" s="17"/>
      <c r="AJ2357" s="17"/>
      <c r="AL2357" s="22"/>
      <c r="AM2357" s="22"/>
      <c r="AN2357" s="22"/>
      <c r="AO2357" s="22"/>
      <c r="AP2357" s="22"/>
      <c r="AQ2357" s="22"/>
      <c r="AR2357" s="22"/>
      <c r="AS2357" s="22"/>
      <c r="AT2357" s="22"/>
      <c r="AU2357" s="22"/>
      <c r="AW2357" s="9"/>
      <c r="BD2357" s="9"/>
      <c r="CS2357" s="11">
        <f t="shared" si="162"/>
        <v>0</v>
      </c>
      <c r="CT2357" s="22">
        <f t="shared" si="163"/>
        <v>0</v>
      </c>
      <c r="CU2357" s="22">
        <f t="shared" si="164"/>
        <v>0</v>
      </c>
      <c r="CV2357" s="26">
        <f t="shared" si="161"/>
        <v>866</v>
      </c>
    </row>
    <row r="2358" spans="1:100" x14ac:dyDescent="0.2">
      <c r="A2358" s="9" t="s">
        <v>362</v>
      </c>
      <c r="B2358" s="2">
        <v>26</v>
      </c>
      <c r="C2358" s="3" t="s">
        <v>95</v>
      </c>
      <c r="D2358" s="3" t="s">
        <v>96</v>
      </c>
      <c r="E2358" s="2"/>
      <c r="F2358" s="2"/>
      <c r="G2358" s="2" t="s">
        <v>68</v>
      </c>
      <c r="H2358" s="2">
        <v>6</v>
      </c>
      <c r="I2358" s="8">
        <v>152.71</v>
      </c>
      <c r="J2358" s="8">
        <v>47499</v>
      </c>
      <c r="K2358" s="3">
        <v>0</v>
      </c>
      <c r="L2358" s="3" t="s">
        <v>3</v>
      </c>
      <c r="M2358" s="9" t="s">
        <v>0</v>
      </c>
      <c r="N2358" s="9">
        <v>40690645</v>
      </c>
      <c r="O2358" s="9" t="s">
        <v>559</v>
      </c>
      <c r="S2358" s="9" t="s">
        <v>158</v>
      </c>
      <c r="T2358" s="10" t="s">
        <v>68</v>
      </c>
      <c r="U2358" s="10">
        <v>6</v>
      </c>
      <c r="V2358" s="78">
        <v>152.71</v>
      </c>
      <c r="W2358" s="78" t="s">
        <v>710</v>
      </c>
      <c r="X2358" s="17">
        <v>45396</v>
      </c>
      <c r="Y2358" s="17">
        <v>45588</v>
      </c>
      <c r="Z2358" s="19" t="s">
        <v>772</v>
      </c>
      <c r="AA2358" s="210">
        <v>77680</v>
      </c>
      <c r="AB2358" s="9">
        <v>84</v>
      </c>
      <c r="AC2358" s="9">
        <v>79</v>
      </c>
      <c r="AD2358" s="17">
        <v>47821</v>
      </c>
      <c r="AE2358" s="56">
        <v>866</v>
      </c>
      <c r="AF2358" s="56"/>
      <c r="AH2358" s="17"/>
      <c r="AI2358" s="17"/>
      <c r="AJ2358" s="17"/>
      <c r="AL2358" s="22"/>
      <c r="AM2358" s="22"/>
      <c r="AN2358" s="22"/>
      <c r="AO2358" s="22"/>
      <c r="AP2358" s="22"/>
      <c r="AQ2358" s="22"/>
      <c r="AR2358" s="22"/>
      <c r="AS2358" s="22"/>
      <c r="AT2358" s="22"/>
      <c r="AU2358" s="22"/>
      <c r="AW2358" s="9"/>
      <c r="BD2358" s="9"/>
      <c r="CS2358" s="11">
        <f t="shared" si="162"/>
        <v>0</v>
      </c>
      <c r="CT2358" s="22">
        <f t="shared" si="163"/>
        <v>0</v>
      </c>
      <c r="CU2358" s="22">
        <f t="shared" si="164"/>
        <v>0</v>
      </c>
      <c r="CV2358" s="26">
        <f t="shared" si="161"/>
        <v>866</v>
      </c>
    </row>
    <row r="2359" spans="1:100" x14ac:dyDescent="0.2">
      <c r="A2359" s="9" t="s">
        <v>362</v>
      </c>
      <c r="B2359" s="2">
        <v>26</v>
      </c>
      <c r="C2359" s="3" t="s">
        <v>95</v>
      </c>
      <c r="D2359" s="3" t="s">
        <v>96</v>
      </c>
      <c r="E2359" s="2"/>
      <c r="F2359" s="2"/>
      <c r="G2359" s="2" t="s">
        <v>68</v>
      </c>
      <c r="H2359" s="2">
        <v>6</v>
      </c>
      <c r="I2359" s="8">
        <v>152.71</v>
      </c>
      <c r="J2359" s="8">
        <v>47499</v>
      </c>
      <c r="K2359" s="3">
        <v>0</v>
      </c>
      <c r="L2359" s="3" t="s">
        <v>3</v>
      </c>
      <c r="M2359" s="9" t="s">
        <v>0</v>
      </c>
      <c r="N2359" s="9">
        <v>40690645</v>
      </c>
      <c r="O2359" s="9" t="s">
        <v>559</v>
      </c>
      <c r="S2359" s="9" t="s">
        <v>158</v>
      </c>
      <c r="T2359" s="10" t="s">
        <v>68</v>
      </c>
      <c r="U2359" s="10">
        <v>6</v>
      </c>
      <c r="V2359" s="78">
        <v>152.71</v>
      </c>
      <c r="W2359" s="78" t="s">
        <v>710</v>
      </c>
      <c r="X2359" s="17">
        <v>45396</v>
      </c>
      <c r="Y2359" s="17">
        <v>45588</v>
      </c>
      <c r="Z2359" s="19" t="s">
        <v>772</v>
      </c>
      <c r="AA2359" s="210">
        <v>77680</v>
      </c>
      <c r="AB2359" s="9">
        <v>84</v>
      </c>
      <c r="AC2359" s="9">
        <v>80</v>
      </c>
      <c r="AD2359" s="17">
        <v>47852</v>
      </c>
      <c r="AE2359" s="56">
        <v>866</v>
      </c>
      <c r="AF2359" s="56"/>
      <c r="AH2359" s="17"/>
      <c r="AI2359" s="17"/>
      <c r="AJ2359" s="17"/>
      <c r="AL2359" s="22"/>
      <c r="AM2359" s="22"/>
      <c r="AN2359" s="22"/>
      <c r="AO2359" s="22"/>
      <c r="AP2359" s="17"/>
      <c r="AQ2359" s="17"/>
      <c r="AR2359" s="17"/>
      <c r="AS2359" s="22"/>
      <c r="AT2359" s="22"/>
      <c r="AU2359" s="22"/>
      <c r="AW2359" s="9"/>
      <c r="BD2359" s="9"/>
      <c r="CS2359" s="11">
        <f t="shared" si="162"/>
        <v>0</v>
      </c>
      <c r="CT2359" s="22">
        <f t="shared" si="163"/>
        <v>0</v>
      </c>
      <c r="CU2359" s="22">
        <f t="shared" si="164"/>
        <v>0</v>
      </c>
      <c r="CV2359" s="26">
        <f t="shared" si="161"/>
        <v>866</v>
      </c>
    </row>
    <row r="2360" spans="1:100" x14ac:dyDescent="0.2">
      <c r="A2360" s="9" t="s">
        <v>362</v>
      </c>
      <c r="B2360" s="2">
        <v>26</v>
      </c>
      <c r="C2360" s="3" t="s">
        <v>95</v>
      </c>
      <c r="D2360" s="3" t="s">
        <v>96</v>
      </c>
      <c r="E2360" s="2"/>
      <c r="F2360" s="2"/>
      <c r="G2360" s="2" t="s">
        <v>68</v>
      </c>
      <c r="H2360" s="2">
        <v>6</v>
      </c>
      <c r="I2360" s="8">
        <v>152.71</v>
      </c>
      <c r="J2360" s="8">
        <v>47499</v>
      </c>
      <c r="K2360" s="3">
        <v>0</v>
      </c>
      <c r="L2360" s="3" t="s">
        <v>3</v>
      </c>
      <c r="M2360" s="9" t="s">
        <v>0</v>
      </c>
      <c r="N2360" s="9">
        <v>40690645</v>
      </c>
      <c r="O2360" s="9" t="s">
        <v>559</v>
      </c>
      <c r="S2360" s="9" t="s">
        <v>158</v>
      </c>
      <c r="T2360" s="10" t="s">
        <v>68</v>
      </c>
      <c r="U2360" s="10">
        <v>6</v>
      </c>
      <c r="V2360" s="78">
        <v>152.71</v>
      </c>
      <c r="W2360" s="78" t="s">
        <v>710</v>
      </c>
      <c r="X2360" s="17">
        <v>45396</v>
      </c>
      <c r="Y2360" s="17">
        <v>45588</v>
      </c>
      <c r="Z2360" s="19" t="s">
        <v>772</v>
      </c>
      <c r="AA2360" s="210">
        <v>77680</v>
      </c>
      <c r="AB2360" s="9">
        <v>84</v>
      </c>
      <c r="AC2360" s="9">
        <v>81</v>
      </c>
      <c r="AD2360" s="17">
        <v>47883</v>
      </c>
      <c r="AE2360" s="56">
        <v>866</v>
      </c>
      <c r="AF2360" s="56"/>
      <c r="AL2360" s="22"/>
      <c r="AM2360" s="22"/>
      <c r="AN2360" s="22"/>
      <c r="AO2360" s="22"/>
      <c r="AP2360" s="22"/>
      <c r="AQ2360" s="22"/>
      <c r="AR2360" s="22"/>
      <c r="AS2360" s="22"/>
      <c r="AT2360" s="22"/>
      <c r="AU2360" s="22"/>
      <c r="AW2360" s="9"/>
      <c r="BD2360" s="9"/>
      <c r="CS2360" s="11">
        <f t="shared" si="162"/>
        <v>0</v>
      </c>
      <c r="CT2360" s="22">
        <f t="shared" si="163"/>
        <v>0</v>
      </c>
      <c r="CU2360" s="22">
        <f t="shared" si="164"/>
        <v>0</v>
      </c>
      <c r="CV2360" s="26">
        <f t="shared" si="161"/>
        <v>866</v>
      </c>
    </row>
    <row r="2361" spans="1:100" x14ac:dyDescent="0.2">
      <c r="A2361" s="9" t="s">
        <v>362</v>
      </c>
      <c r="B2361" s="2">
        <v>26</v>
      </c>
      <c r="C2361" s="3" t="s">
        <v>95</v>
      </c>
      <c r="D2361" s="3" t="s">
        <v>96</v>
      </c>
      <c r="E2361" s="2"/>
      <c r="F2361" s="2"/>
      <c r="G2361" s="2" t="s">
        <v>68</v>
      </c>
      <c r="H2361" s="2">
        <v>6</v>
      </c>
      <c r="I2361" s="8">
        <v>152.71</v>
      </c>
      <c r="J2361" s="8">
        <v>47499</v>
      </c>
      <c r="K2361" s="3">
        <v>0</v>
      </c>
      <c r="L2361" s="3" t="s">
        <v>3</v>
      </c>
      <c r="M2361" s="9" t="s">
        <v>0</v>
      </c>
      <c r="N2361" s="9">
        <v>40690645</v>
      </c>
      <c r="O2361" s="9" t="s">
        <v>559</v>
      </c>
      <c r="S2361" s="9" t="s">
        <v>158</v>
      </c>
      <c r="T2361" s="10" t="s">
        <v>68</v>
      </c>
      <c r="U2361" s="10">
        <v>6</v>
      </c>
      <c r="V2361" s="78">
        <v>152.71</v>
      </c>
      <c r="W2361" s="78" t="s">
        <v>710</v>
      </c>
      <c r="X2361" s="17">
        <v>45396</v>
      </c>
      <c r="Y2361" s="17">
        <v>45588</v>
      </c>
      <c r="Z2361" s="19" t="s">
        <v>772</v>
      </c>
      <c r="AA2361" s="210">
        <v>77680</v>
      </c>
      <c r="AB2361" s="9">
        <v>84</v>
      </c>
      <c r="AC2361" s="9">
        <v>82</v>
      </c>
      <c r="AD2361" s="17">
        <v>47911</v>
      </c>
      <c r="AE2361" s="56">
        <v>866</v>
      </c>
      <c r="AF2361" s="56"/>
      <c r="AL2361" s="22"/>
      <c r="AM2361" s="22"/>
      <c r="AN2361" s="22"/>
      <c r="AO2361" s="22"/>
      <c r="AP2361" s="22"/>
      <c r="AQ2361" s="22"/>
      <c r="AR2361" s="22"/>
      <c r="AS2361" s="22"/>
      <c r="AT2361" s="22"/>
      <c r="AU2361" s="22"/>
      <c r="AW2361" s="9"/>
      <c r="BD2361" s="9"/>
      <c r="CS2361" s="11">
        <f t="shared" si="162"/>
        <v>0</v>
      </c>
      <c r="CT2361" s="22">
        <f t="shared" si="163"/>
        <v>0</v>
      </c>
      <c r="CU2361" s="22">
        <f t="shared" si="164"/>
        <v>0</v>
      </c>
      <c r="CV2361" s="26">
        <f t="shared" ref="CV2361:CV2424" si="165">+AE2361-AL2361-AT2361</f>
        <v>866</v>
      </c>
    </row>
    <row r="2362" spans="1:100" x14ac:dyDescent="0.2">
      <c r="A2362" s="9" t="s">
        <v>362</v>
      </c>
      <c r="B2362" s="2">
        <v>26</v>
      </c>
      <c r="C2362" s="3" t="s">
        <v>95</v>
      </c>
      <c r="D2362" s="3" t="s">
        <v>96</v>
      </c>
      <c r="E2362" s="2"/>
      <c r="F2362" s="2"/>
      <c r="G2362" s="2" t="s">
        <v>68</v>
      </c>
      <c r="H2362" s="2">
        <v>6</v>
      </c>
      <c r="I2362" s="8">
        <v>152.71</v>
      </c>
      <c r="J2362" s="8">
        <v>47499</v>
      </c>
      <c r="K2362" s="3">
        <v>0</v>
      </c>
      <c r="L2362" s="3" t="s">
        <v>3</v>
      </c>
      <c r="M2362" s="9" t="s">
        <v>0</v>
      </c>
      <c r="N2362" s="9">
        <v>40690645</v>
      </c>
      <c r="O2362" s="9" t="s">
        <v>559</v>
      </c>
      <c r="S2362" s="9" t="s">
        <v>158</v>
      </c>
      <c r="T2362" s="10" t="s">
        <v>68</v>
      </c>
      <c r="U2362" s="10">
        <v>6</v>
      </c>
      <c r="V2362" s="78">
        <v>152.71</v>
      </c>
      <c r="W2362" s="78" t="s">
        <v>710</v>
      </c>
      <c r="X2362" s="17">
        <v>45396</v>
      </c>
      <c r="Y2362" s="17">
        <v>45588</v>
      </c>
      <c r="Z2362" s="19" t="s">
        <v>772</v>
      </c>
      <c r="AA2362" s="210">
        <v>77680</v>
      </c>
      <c r="AB2362" s="9">
        <v>84</v>
      </c>
      <c r="AC2362" s="9">
        <v>83</v>
      </c>
      <c r="AD2362" s="17">
        <v>47942</v>
      </c>
      <c r="AE2362" s="56">
        <v>866</v>
      </c>
      <c r="AF2362" s="56"/>
      <c r="AP2362" s="11"/>
      <c r="AQ2362" s="11"/>
      <c r="AR2362" s="11"/>
      <c r="AW2362" s="9"/>
      <c r="BD2362" s="9"/>
      <c r="CS2362" s="11">
        <f t="shared" si="162"/>
        <v>0</v>
      </c>
      <c r="CT2362" s="22">
        <f t="shared" si="163"/>
        <v>0</v>
      </c>
      <c r="CU2362" s="22">
        <f t="shared" si="164"/>
        <v>0</v>
      </c>
      <c r="CV2362" s="26">
        <f t="shared" si="165"/>
        <v>866</v>
      </c>
    </row>
    <row r="2363" spans="1:100" x14ac:dyDescent="0.2">
      <c r="A2363" s="9" t="s">
        <v>362</v>
      </c>
      <c r="B2363" s="2">
        <v>26</v>
      </c>
      <c r="C2363" s="3" t="s">
        <v>95</v>
      </c>
      <c r="D2363" s="3" t="s">
        <v>96</v>
      </c>
      <c r="E2363" s="2"/>
      <c r="F2363" s="2"/>
      <c r="G2363" s="2" t="s">
        <v>68</v>
      </c>
      <c r="H2363" s="2">
        <v>6</v>
      </c>
      <c r="I2363" s="8">
        <v>152.71</v>
      </c>
      <c r="J2363" s="8">
        <v>47499</v>
      </c>
      <c r="K2363" s="3">
        <v>0</v>
      </c>
      <c r="L2363" s="3" t="s">
        <v>3</v>
      </c>
      <c r="M2363" s="9" t="s">
        <v>0</v>
      </c>
      <c r="N2363" s="9">
        <v>40690645</v>
      </c>
      <c r="O2363" s="9" t="s">
        <v>559</v>
      </c>
      <c r="S2363" s="9" t="s">
        <v>158</v>
      </c>
      <c r="T2363" s="10" t="s">
        <v>68</v>
      </c>
      <c r="U2363" s="10">
        <v>6</v>
      </c>
      <c r="V2363" s="78">
        <v>152.71</v>
      </c>
      <c r="W2363" s="78" t="s">
        <v>710</v>
      </c>
      <c r="X2363" s="17">
        <v>45396</v>
      </c>
      <c r="Y2363" s="17">
        <v>45588</v>
      </c>
      <c r="Z2363" s="19" t="s">
        <v>772</v>
      </c>
      <c r="AA2363" s="210">
        <v>77680</v>
      </c>
      <c r="AB2363" s="9">
        <v>84</v>
      </c>
      <c r="AC2363" s="9">
        <v>84</v>
      </c>
      <c r="AD2363" s="17">
        <v>47972</v>
      </c>
      <c r="AE2363" s="56">
        <v>802</v>
      </c>
      <c r="AF2363" s="56"/>
      <c r="AP2363" s="11"/>
      <c r="AQ2363" s="11"/>
      <c r="AR2363" s="11"/>
      <c r="AW2363" s="9"/>
      <c r="BD2363" s="9"/>
      <c r="CS2363" s="11">
        <f t="shared" si="162"/>
        <v>0</v>
      </c>
      <c r="CT2363" s="22">
        <f t="shared" si="163"/>
        <v>0</v>
      </c>
      <c r="CU2363" s="22">
        <f t="shared" si="164"/>
        <v>0</v>
      </c>
      <c r="CV2363" s="26">
        <f t="shared" si="165"/>
        <v>802</v>
      </c>
    </row>
    <row r="2364" spans="1:100" x14ac:dyDescent="0.2">
      <c r="A2364" s="9" t="s">
        <v>362</v>
      </c>
      <c r="B2364" s="2">
        <v>26</v>
      </c>
      <c r="C2364" s="3" t="s">
        <v>95</v>
      </c>
      <c r="D2364" s="3" t="s">
        <v>96</v>
      </c>
      <c r="E2364" s="2"/>
      <c r="F2364" s="2"/>
      <c r="G2364" s="2" t="s">
        <v>68</v>
      </c>
      <c r="H2364" s="2">
        <v>6</v>
      </c>
      <c r="I2364" s="8">
        <v>152.71</v>
      </c>
      <c r="J2364" s="8">
        <v>47499</v>
      </c>
      <c r="K2364" s="3">
        <v>0</v>
      </c>
      <c r="L2364" s="3" t="s">
        <v>3</v>
      </c>
      <c r="M2364" s="9" t="s">
        <v>0</v>
      </c>
      <c r="N2364" s="9">
        <v>40690645</v>
      </c>
      <c r="O2364" s="9" t="s">
        <v>559</v>
      </c>
      <c r="S2364" s="9" t="s">
        <v>562</v>
      </c>
      <c r="W2364" s="78" t="s">
        <v>710</v>
      </c>
      <c r="X2364" s="17">
        <v>45396</v>
      </c>
      <c r="Y2364" s="17">
        <v>45588</v>
      </c>
      <c r="Z2364" s="19" t="s">
        <v>772</v>
      </c>
      <c r="AA2364" s="210">
        <v>6000</v>
      </c>
      <c r="AB2364" s="9">
        <v>84</v>
      </c>
      <c r="AC2364" s="9">
        <v>0</v>
      </c>
      <c r="AD2364" s="17">
        <v>45399</v>
      </c>
      <c r="AE2364" s="56">
        <v>50</v>
      </c>
      <c r="AF2364" s="56"/>
      <c r="AG2364" s="9" t="s">
        <v>134</v>
      </c>
      <c r="AH2364" s="17">
        <v>45399</v>
      </c>
      <c r="AI2364" s="17"/>
      <c r="AJ2364" s="17"/>
      <c r="AK2364" s="9" t="s">
        <v>563</v>
      </c>
      <c r="AL2364" s="11">
        <v>50</v>
      </c>
      <c r="AN2364" s="11" t="s">
        <v>1266</v>
      </c>
      <c r="AP2364" s="11"/>
      <c r="AQ2364" s="11"/>
      <c r="AR2364" s="11"/>
      <c r="AW2364" s="17">
        <v>45396</v>
      </c>
      <c r="AX2364" s="9">
        <v>35461</v>
      </c>
      <c r="AY2364" s="9">
        <v>190</v>
      </c>
      <c r="AZ2364" s="9">
        <v>3.7549999999999999</v>
      </c>
      <c r="BA2364" s="11">
        <f>+AY2364/AZ2364</f>
        <v>50.599201065246341</v>
      </c>
      <c r="BD2364" s="9"/>
      <c r="CS2364" s="11">
        <f t="shared" si="162"/>
        <v>50</v>
      </c>
      <c r="CT2364" s="22">
        <f t="shared" si="163"/>
        <v>50.599201065246341</v>
      </c>
      <c r="CU2364" s="22">
        <f t="shared" si="164"/>
        <v>-0.59920106524634065</v>
      </c>
      <c r="CV2364" s="26">
        <f t="shared" si="165"/>
        <v>0</v>
      </c>
    </row>
    <row r="2365" spans="1:100" x14ac:dyDescent="0.2">
      <c r="A2365" s="9" t="s">
        <v>362</v>
      </c>
      <c r="B2365" s="2">
        <v>26</v>
      </c>
      <c r="C2365" s="3" t="s">
        <v>95</v>
      </c>
      <c r="D2365" s="3" t="s">
        <v>96</v>
      </c>
      <c r="E2365" s="2"/>
      <c r="F2365" s="2"/>
      <c r="G2365" s="2" t="s">
        <v>68</v>
      </c>
      <c r="H2365" s="2">
        <v>6</v>
      </c>
      <c r="I2365" s="8">
        <v>152.71</v>
      </c>
      <c r="J2365" s="8">
        <v>47499</v>
      </c>
      <c r="K2365" s="3">
        <v>0</v>
      </c>
      <c r="L2365" s="3" t="s">
        <v>3</v>
      </c>
      <c r="M2365" s="9" t="s">
        <v>0</v>
      </c>
      <c r="N2365" s="9">
        <v>40690645</v>
      </c>
      <c r="O2365" s="9" t="s">
        <v>559</v>
      </c>
      <c r="S2365" s="9" t="s">
        <v>562</v>
      </c>
      <c r="W2365" s="78" t="s">
        <v>710</v>
      </c>
      <c r="X2365" s="17">
        <v>45396</v>
      </c>
      <c r="Y2365" s="17">
        <v>45588</v>
      </c>
      <c r="Z2365" s="19" t="s">
        <v>772</v>
      </c>
      <c r="AA2365" s="210">
        <v>6000</v>
      </c>
      <c r="AB2365" s="9">
        <v>84</v>
      </c>
      <c r="AC2365" s="9">
        <v>0</v>
      </c>
      <c r="AD2365" s="17">
        <v>45428</v>
      </c>
      <c r="AE2365" s="56">
        <v>950</v>
      </c>
      <c r="AF2365" s="56"/>
      <c r="AG2365" s="9" t="s">
        <v>134</v>
      </c>
      <c r="AH2365" s="17">
        <v>45428</v>
      </c>
      <c r="AI2365" s="17"/>
      <c r="AJ2365" s="17"/>
      <c r="AK2365" s="9" t="s">
        <v>564</v>
      </c>
      <c r="AL2365" s="11">
        <v>950</v>
      </c>
      <c r="AN2365" s="11" t="s">
        <v>1268</v>
      </c>
      <c r="AP2365" s="11"/>
      <c r="AQ2365" s="11"/>
      <c r="AR2365" s="11"/>
      <c r="AW2365" s="17">
        <v>45402</v>
      </c>
      <c r="AX2365" s="9">
        <v>2561</v>
      </c>
      <c r="BA2365" s="86">
        <v>950</v>
      </c>
      <c r="BD2365" s="9"/>
      <c r="CS2365" s="11">
        <f t="shared" ref="CS2365:CS2428" si="166">+AL2365+AT2365</f>
        <v>950</v>
      </c>
      <c r="CT2365" s="22">
        <f t="shared" ref="CT2365:CT2428" si="167">+BA2365+BG2365+BM2365+BS2365+BY2365+CE2365+CK2365+CQ2365</f>
        <v>950</v>
      </c>
      <c r="CU2365" s="22">
        <f t="shared" ref="CU2365:CU2428" si="168">+CS2365-CT2365</f>
        <v>0</v>
      </c>
      <c r="CV2365" s="26">
        <f t="shared" si="165"/>
        <v>0</v>
      </c>
    </row>
    <row r="2366" spans="1:100" x14ac:dyDescent="0.2">
      <c r="A2366" s="9" t="s">
        <v>362</v>
      </c>
      <c r="B2366" s="2">
        <v>26</v>
      </c>
      <c r="C2366" s="3" t="s">
        <v>95</v>
      </c>
      <c r="D2366" s="3" t="s">
        <v>96</v>
      </c>
      <c r="E2366" s="2"/>
      <c r="F2366" s="2"/>
      <c r="G2366" s="2" t="s">
        <v>68</v>
      </c>
      <c r="H2366" s="2">
        <v>6</v>
      </c>
      <c r="I2366" s="8">
        <v>152.71</v>
      </c>
      <c r="J2366" s="8">
        <v>47499</v>
      </c>
      <c r="K2366" s="3">
        <v>0</v>
      </c>
      <c r="L2366" s="3" t="s">
        <v>3</v>
      </c>
      <c r="M2366" s="9" t="s">
        <v>0</v>
      </c>
      <c r="N2366" s="9">
        <v>40690645</v>
      </c>
      <c r="O2366" s="9" t="s">
        <v>559</v>
      </c>
      <c r="S2366" s="9" t="s">
        <v>562</v>
      </c>
      <c r="W2366" s="78" t="s">
        <v>710</v>
      </c>
      <c r="X2366" s="17">
        <v>45396</v>
      </c>
      <c r="Y2366" s="17">
        <v>45588</v>
      </c>
      <c r="Z2366" s="19" t="s">
        <v>772</v>
      </c>
      <c r="AA2366" s="210">
        <v>6000</v>
      </c>
      <c r="AB2366" s="9">
        <v>84</v>
      </c>
      <c r="AC2366" s="9">
        <v>1</v>
      </c>
      <c r="AD2366" s="17">
        <v>45576</v>
      </c>
      <c r="AE2366" s="56">
        <v>5000</v>
      </c>
      <c r="AF2366" s="56"/>
      <c r="AG2366" s="9" t="s">
        <v>134</v>
      </c>
      <c r="AH2366" s="17">
        <v>45576</v>
      </c>
      <c r="AI2366" s="17"/>
      <c r="AJ2366" s="17"/>
      <c r="AK2366" s="9" t="s">
        <v>1262</v>
      </c>
      <c r="AL2366" s="11">
        <v>720</v>
      </c>
      <c r="AN2366" s="11" t="s">
        <v>1270</v>
      </c>
      <c r="AP2366" s="11"/>
      <c r="AQ2366" s="11"/>
      <c r="AR2366" s="11"/>
      <c r="AW2366" s="17">
        <v>45446</v>
      </c>
      <c r="AX2366" s="9">
        <v>2733</v>
      </c>
      <c r="BA2366" s="86">
        <f>6372-5652</f>
        <v>720</v>
      </c>
      <c r="BD2366" s="9"/>
      <c r="CS2366" s="11">
        <f t="shared" si="166"/>
        <v>720</v>
      </c>
      <c r="CT2366" s="22">
        <f t="shared" si="167"/>
        <v>720</v>
      </c>
      <c r="CU2366" s="22">
        <f t="shared" si="168"/>
        <v>0</v>
      </c>
      <c r="CV2366" s="26">
        <f t="shared" si="165"/>
        <v>4280</v>
      </c>
    </row>
    <row r="2367" spans="1:100" s="27" customFormat="1" x14ac:dyDescent="0.2">
      <c r="A2367" s="27" t="s">
        <v>362</v>
      </c>
      <c r="B2367" s="67">
        <v>26</v>
      </c>
      <c r="C2367" s="68" t="s">
        <v>95</v>
      </c>
      <c r="D2367" s="68" t="s">
        <v>96</v>
      </c>
      <c r="E2367" s="67"/>
      <c r="F2367" s="67"/>
      <c r="G2367" s="67" t="s">
        <v>68</v>
      </c>
      <c r="H2367" s="67">
        <v>6</v>
      </c>
      <c r="I2367" s="217">
        <v>152.71</v>
      </c>
      <c r="J2367" s="217">
        <v>47499</v>
      </c>
      <c r="K2367" s="68">
        <v>0</v>
      </c>
      <c r="L2367" s="68" t="s">
        <v>3</v>
      </c>
      <c r="M2367" s="27" t="s">
        <v>0</v>
      </c>
      <c r="N2367" s="27">
        <v>40690645</v>
      </c>
      <c r="O2367" s="27" t="s">
        <v>559</v>
      </c>
      <c r="Q2367" s="218"/>
      <c r="S2367" s="27" t="s">
        <v>562</v>
      </c>
      <c r="T2367" s="69"/>
      <c r="U2367" s="69"/>
      <c r="V2367" s="69"/>
      <c r="W2367" s="224" t="s">
        <v>710</v>
      </c>
      <c r="X2367" s="70">
        <v>45396</v>
      </c>
      <c r="Y2367" s="70">
        <v>45588</v>
      </c>
      <c r="Z2367" s="219" t="s">
        <v>772</v>
      </c>
      <c r="AA2367" s="214">
        <v>6000</v>
      </c>
      <c r="AB2367" s="27">
        <v>84</v>
      </c>
      <c r="AC2367" s="27">
        <v>1</v>
      </c>
      <c r="AD2367" s="70">
        <v>45582</v>
      </c>
      <c r="AE2367" s="220">
        <v>5000</v>
      </c>
      <c r="AF2367" s="220"/>
      <c r="AG2367" s="27" t="s">
        <v>134</v>
      </c>
      <c r="AH2367" s="70">
        <v>45582</v>
      </c>
      <c r="AI2367" s="70"/>
      <c r="AJ2367" s="70"/>
      <c r="AK2367" s="27" t="s">
        <v>1264</v>
      </c>
      <c r="AL2367" s="28">
        <v>8420</v>
      </c>
      <c r="AM2367" s="28"/>
      <c r="AN2367" s="28" t="s">
        <v>1272</v>
      </c>
      <c r="AO2367" s="28" t="s">
        <v>899</v>
      </c>
      <c r="AP2367" s="70">
        <v>45582</v>
      </c>
      <c r="AQ2367" s="70"/>
      <c r="AR2367" s="70"/>
      <c r="AS2367" s="28" t="s">
        <v>1279</v>
      </c>
      <c r="AT2367" s="28">
        <v>-4140</v>
      </c>
      <c r="AU2367" s="28"/>
      <c r="AV2367" s="28" t="s">
        <v>1280</v>
      </c>
      <c r="AW2367" s="70">
        <v>45582</v>
      </c>
      <c r="AX2367" s="27">
        <v>3290</v>
      </c>
      <c r="BA2367" s="225">
        <f>9128-4848</f>
        <v>4280</v>
      </c>
      <c r="BB2367" s="28"/>
      <c r="CS2367" s="28">
        <f t="shared" si="166"/>
        <v>4280</v>
      </c>
      <c r="CT2367" s="28">
        <f t="shared" si="167"/>
        <v>4280</v>
      </c>
      <c r="CU2367" s="28">
        <f t="shared" si="168"/>
        <v>0</v>
      </c>
      <c r="CV2367" s="222">
        <f t="shared" si="165"/>
        <v>720</v>
      </c>
    </row>
    <row r="2368" spans="1:100" x14ac:dyDescent="0.2">
      <c r="A2368" s="9" t="s">
        <v>565</v>
      </c>
      <c r="B2368" s="2">
        <v>132</v>
      </c>
      <c r="C2368" s="3" t="s">
        <v>95</v>
      </c>
      <c r="D2368" s="3" t="s">
        <v>96</v>
      </c>
      <c r="E2368" s="2"/>
      <c r="F2368" s="2"/>
      <c r="G2368" s="2" t="s">
        <v>83</v>
      </c>
      <c r="H2368" s="2">
        <v>2</v>
      </c>
      <c r="I2368" s="8">
        <v>120.16</v>
      </c>
      <c r="J2368" s="8">
        <v>36499</v>
      </c>
      <c r="K2368" s="3">
        <v>0</v>
      </c>
      <c r="L2368" s="3" t="s">
        <v>3</v>
      </c>
      <c r="M2368" s="9" t="s">
        <v>0</v>
      </c>
      <c r="N2368" s="9" t="s">
        <v>47</v>
      </c>
      <c r="O2368" s="9" t="s">
        <v>566</v>
      </c>
      <c r="S2368" s="9" t="s">
        <v>158</v>
      </c>
      <c r="T2368" s="10" t="s">
        <v>83</v>
      </c>
      <c r="U2368" s="10">
        <v>2</v>
      </c>
      <c r="V2368" s="10">
        <v>120.16</v>
      </c>
      <c r="W2368" s="10" t="s">
        <v>710</v>
      </c>
      <c r="X2368" s="17">
        <v>45386</v>
      </c>
      <c r="Y2368" s="17">
        <v>45386</v>
      </c>
      <c r="Z2368" s="19" t="s">
        <v>772</v>
      </c>
      <c r="AA2368" s="210">
        <v>57834</v>
      </c>
      <c r="AB2368" s="9">
        <v>84</v>
      </c>
      <c r="AC2368" s="9">
        <v>0</v>
      </c>
      <c r="AD2368" s="17">
        <v>45421</v>
      </c>
      <c r="AE2368" s="56">
        <v>1742.42</v>
      </c>
      <c r="AF2368" s="56"/>
      <c r="AG2368" s="10" t="s">
        <v>134</v>
      </c>
      <c r="AH2368" s="17">
        <v>45421</v>
      </c>
      <c r="AI2368" s="17"/>
      <c r="AJ2368" s="17"/>
      <c r="AK2368" s="9" t="s">
        <v>567</v>
      </c>
      <c r="AL2368" s="56">
        <v>1742.42</v>
      </c>
      <c r="AM2368" s="56"/>
      <c r="AN2368" s="56" t="s">
        <v>1198</v>
      </c>
      <c r="AP2368" s="11"/>
      <c r="AQ2368" s="11"/>
      <c r="AR2368" s="11"/>
      <c r="AW2368" s="42">
        <v>45386</v>
      </c>
      <c r="AX2368" s="36">
        <v>35141</v>
      </c>
      <c r="AY2368" s="93">
        <v>6621.2</v>
      </c>
      <c r="AZ2368" s="36">
        <v>3.8</v>
      </c>
      <c r="BA2368" s="40">
        <f>+AY2368/AZ2368</f>
        <v>1742.421052631579</v>
      </c>
      <c r="BD2368" s="9"/>
      <c r="CS2368" s="11">
        <f t="shared" si="166"/>
        <v>1742.42</v>
      </c>
      <c r="CT2368" s="22">
        <f t="shared" si="167"/>
        <v>1742.421052631579</v>
      </c>
      <c r="CU2368" s="22">
        <f t="shared" si="168"/>
        <v>-1.0526315788865759E-3</v>
      </c>
      <c r="CV2368" s="26">
        <f t="shared" si="165"/>
        <v>0</v>
      </c>
    </row>
    <row r="2369" spans="1:100" x14ac:dyDescent="0.2">
      <c r="A2369" s="9" t="s">
        <v>565</v>
      </c>
      <c r="B2369" s="2">
        <v>132</v>
      </c>
      <c r="C2369" s="3" t="s">
        <v>95</v>
      </c>
      <c r="D2369" s="3" t="s">
        <v>96</v>
      </c>
      <c r="E2369" s="2"/>
      <c r="F2369" s="2"/>
      <c r="G2369" s="2" t="s">
        <v>83</v>
      </c>
      <c r="H2369" s="2">
        <v>2</v>
      </c>
      <c r="I2369" s="8">
        <v>120.16</v>
      </c>
      <c r="J2369" s="8">
        <v>36499</v>
      </c>
      <c r="K2369" s="3">
        <v>0</v>
      </c>
      <c r="L2369" s="3" t="s">
        <v>3</v>
      </c>
      <c r="M2369" s="9" t="s">
        <v>0</v>
      </c>
      <c r="N2369" s="9" t="s">
        <v>47</v>
      </c>
      <c r="O2369" s="9" t="s">
        <v>566</v>
      </c>
      <c r="S2369" s="9" t="s">
        <v>158</v>
      </c>
      <c r="T2369" s="10" t="s">
        <v>83</v>
      </c>
      <c r="U2369" s="10">
        <v>2</v>
      </c>
      <c r="V2369" s="10">
        <v>120.16</v>
      </c>
      <c r="W2369" s="10" t="s">
        <v>710</v>
      </c>
      <c r="X2369" s="17">
        <v>45386</v>
      </c>
      <c r="Y2369" s="17">
        <v>45386</v>
      </c>
      <c r="Z2369" s="19" t="s">
        <v>772</v>
      </c>
      <c r="AA2369" s="210">
        <v>57834</v>
      </c>
      <c r="AB2369" s="9">
        <v>84</v>
      </c>
      <c r="AC2369" s="9">
        <v>0</v>
      </c>
      <c r="AD2369" s="17">
        <v>45421</v>
      </c>
      <c r="AE2369" s="56">
        <v>2631.57</v>
      </c>
      <c r="AF2369" s="56"/>
      <c r="AG2369" s="10" t="s">
        <v>134</v>
      </c>
      <c r="AH2369" s="17">
        <v>45421</v>
      </c>
      <c r="AI2369" s="17"/>
      <c r="AJ2369" s="17"/>
      <c r="AK2369" s="9" t="s">
        <v>568</v>
      </c>
      <c r="AL2369" s="56">
        <v>2631.58</v>
      </c>
      <c r="AM2369" s="56"/>
      <c r="AN2369" s="56" t="s">
        <v>1199</v>
      </c>
      <c r="AP2369" s="11"/>
      <c r="AQ2369" s="11"/>
      <c r="AR2369" s="11"/>
      <c r="AW2369" s="42">
        <v>45386</v>
      </c>
      <c r="AX2369" s="36">
        <v>35139</v>
      </c>
      <c r="AY2369" s="36">
        <v>10000</v>
      </c>
      <c r="AZ2369" s="36">
        <v>3.8</v>
      </c>
      <c r="BA2369" s="40">
        <f>+AY2369/AZ2369</f>
        <v>2631.5789473684213</v>
      </c>
      <c r="BD2369" s="9"/>
      <c r="CS2369" s="11">
        <f t="shared" si="166"/>
        <v>2631.58</v>
      </c>
      <c r="CT2369" s="22">
        <f t="shared" si="167"/>
        <v>2631.5789473684213</v>
      </c>
      <c r="CU2369" s="22">
        <f t="shared" si="168"/>
        <v>1.0526315786592022E-3</v>
      </c>
      <c r="CV2369" s="26">
        <f t="shared" si="165"/>
        <v>-9.9999999997635314E-3</v>
      </c>
    </row>
    <row r="2370" spans="1:100" x14ac:dyDescent="0.2">
      <c r="A2370" s="9" t="s">
        <v>565</v>
      </c>
      <c r="B2370" s="2">
        <v>132</v>
      </c>
      <c r="C2370" s="3" t="s">
        <v>95</v>
      </c>
      <c r="D2370" s="3" t="s">
        <v>96</v>
      </c>
      <c r="E2370" s="2"/>
      <c r="F2370" s="2"/>
      <c r="G2370" s="2" t="s">
        <v>83</v>
      </c>
      <c r="H2370" s="2">
        <v>2</v>
      </c>
      <c r="I2370" s="8">
        <v>120.16</v>
      </c>
      <c r="J2370" s="8">
        <v>36499</v>
      </c>
      <c r="K2370" s="3">
        <v>0</v>
      </c>
      <c r="L2370" s="3" t="s">
        <v>3</v>
      </c>
      <c r="M2370" s="9" t="s">
        <v>0</v>
      </c>
      <c r="N2370" s="9" t="s">
        <v>47</v>
      </c>
      <c r="O2370" s="9" t="s">
        <v>566</v>
      </c>
      <c r="S2370" s="9" t="s">
        <v>158</v>
      </c>
      <c r="T2370" s="10" t="s">
        <v>83</v>
      </c>
      <c r="U2370" s="10">
        <v>2</v>
      </c>
      <c r="V2370" s="10">
        <v>120.16</v>
      </c>
      <c r="W2370" s="10" t="s">
        <v>710</v>
      </c>
      <c r="X2370" s="17">
        <v>45386</v>
      </c>
      <c r="Y2370" s="17">
        <v>45386</v>
      </c>
      <c r="Z2370" s="19" t="s">
        <v>772</v>
      </c>
      <c r="AA2370" s="210">
        <v>57834</v>
      </c>
      <c r="AB2370" s="9">
        <v>84</v>
      </c>
      <c r="AC2370" s="9">
        <v>0</v>
      </c>
      <c r="AD2370" s="17">
        <v>45421</v>
      </c>
      <c r="AE2370" s="56">
        <v>100</v>
      </c>
      <c r="AF2370" s="56"/>
      <c r="AG2370" s="10" t="s">
        <v>134</v>
      </c>
      <c r="AH2370" s="17">
        <v>45421</v>
      </c>
      <c r="AI2370" s="17"/>
      <c r="AJ2370" s="17"/>
      <c r="AK2370" s="9" t="s">
        <v>569</v>
      </c>
      <c r="AL2370" s="56">
        <v>100</v>
      </c>
      <c r="AM2370" s="56"/>
      <c r="AN2370" s="56" t="s">
        <v>1200</v>
      </c>
      <c r="AP2370" s="11"/>
      <c r="AQ2370" s="11"/>
      <c r="AR2370" s="11"/>
      <c r="AW2370" s="42">
        <v>45375</v>
      </c>
      <c r="AX2370" s="36">
        <v>34621</v>
      </c>
      <c r="AY2370" s="93">
        <v>380</v>
      </c>
      <c r="AZ2370" s="36">
        <v>3.8</v>
      </c>
      <c r="BA2370" s="40">
        <f>+AY2370/AZ2370</f>
        <v>100</v>
      </c>
      <c r="BD2370" s="9"/>
      <c r="CS2370" s="11">
        <f t="shared" si="166"/>
        <v>100</v>
      </c>
      <c r="CT2370" s="22">
        <f t="shared" si="167"/>
        <v>100</v>
      </c>
      <c r="CU2370" s="22">
        <f t="shared" si="168"/>
        <v>0</v>
      </c>
      <c r="CV2370" s="26">
        <f t="shared" si="165"/>
        <v>0</v>
      </c>
    </row>
    <row r="2371" spans="1:100" x14ac:dyDescent="0.2">
      <c r="A2371" s="9" t="s">
        <v>565</v>
      </c>
      <c r="B2371" s="2">
        <v>132</v>
      </c>
      <c r="C2371" s="3" t="s">
        <v>95</v>
      </c>
      <c r="D2371" s="3" t="s">
        <v>96</v>
      </c>
      <c r="E2371" s="2"/>
      <c r="F2371" s="2"/>
      <c r="G2371" s="2" t="s">
        <v>83</v>
      </c>
      <c r="H2371" s="2">
        <v>2</v>
      </c>
      <c r="I2371" s="8">
        <v>120.16</v>
      </c>
      <c r="J2371" s="8">
        <v>36499</v>
      </c>
      <c r="K2371" s="3">
        <v>0</v>
      </c>
      <c r="L2371" s="3" t="s">
        <v>3</v>
      </c>
      <c r="M2371" s="9" t="s">
        <v>0</v>
      </c>
      <c r="N2371" s="9" t="s">
        <v>47</v>
      </c>
      <c r="O2371" s="9" t="s">
        <v>566</v>
      </c>
      <c r="S2371" s="9" t="s">
        <v>158</v>
      </c>
      <c r="T2371" s="10" t="s">
        <v>83</v>
      </c>
      <c r="U2371" s="10">
        <v>2</v>
      </c>
      <c r="V2371" s="10">
        <v>120.16</v>
      </c>
      <c r="W2371" s="10" t="s">
        <v>710</v>
      </c>
      <c r="X2371" s="17">
        <v>45386</v>
      </c>
      <c r="Y2371" s="17">
        <v>45386</v>
      </c>
      <c r="Z2371" s="19" t="s">
        <v>772</v>
      </c>
      <c r="AA2371" s="210">
        <v>57834</v>
      </c>
      <c r="AB2371" s="9">
        <v>84</v>
      </c>
      <c r="AC2371" s="9">
        <v>1</v>
      </c>
      <c r="AD2371" s="17">
        <v>45416</v>
      </c>
      <c r="AE2371" s="56">
        <v>635.29999999999995</v>
      </c>
      <c r="AF2371" s="56"/>
      <c r="AG2371" s="10" t="s">
        <v>134</v>
      </c>
      <c r="AH2371" s="17">
        <v>45422</v>
      </c>
      <c r="AI2371" s="17"/>
      <c r="AJ2371" s="17"/>
      <c r="AK2371" s="9" t="s">
        <v>1190</v>
      </c>
      <c r="AL2371" s="11">
        <v>635.29999999999995</v>
      </c>
      <c r="AN2371" s="11" t="s">
        <v>1201</v>
      </c>
      <c r="AP2371" s="11"/>
      <c r="AQ2371" s="11"/>
      <c r="AR2371" s="11"/>
      <c r="AW2371" s="42">
        <v>45416</v>
      </c>
      <c r="AX2371" s="36">
        <v>2622</v>
      </c>
      <c r="AY2371" s="36"/>
      <c r="AZ2371" s="36"/>
      <c r="BA2371" s="40">
        <v>635.29999999999995</v>
      </c>
      <c r="BD2371" s="9"/>
      <c r="CS2371" s="11">
        <f t="shared" si="166"/>
        <v>635.29999999999995</v>
      </c>
      <c r="CT2371" s="22">
        <f t="shared" si="167"/>
        <v>635.29999999999995</v>
      </c>
      <c r="CU2371" s="22">
        <f t="shared" si="168"/>
        <v>0</v>
      </c>
      <c r="CV2371" s="26">
        <f t="shared" si="165"/>
        <v>0</v>
      </c>
    </row>
    <row r="2372" spans="1:100" x14ac:dyDescent="0.2">
      <c r="A2372" s="9" t="s">
        <v>565</v>
      </c>
      <c r="B2372" s="2">
        <v>132</v>
      </c>
      <c r="C2372" s="3" t="s">
        <v>95</v>
      </c>
      <c r="D2372" s="3" t="s">
        <v>96</v>
      </c>
      <c r="E2372" s="2"/>
      <c r="F2372" s="2"/>
      <c r="G2372" s="2" t="s">
        <v>83</v>
      </c>
      <c r="H2372" s="2">
        <v>2</v>
      </c>
      <c r="I2372" s="8">
        <v>120.16</v>
      </c>
      <c r="J2372" s="8">
        <v>36499</v>
      </c>
      <c r="K2372" s="3">
        <v>0</v>
      </c>
      <c r="L2372" s="3" t="s">
        <v>3</v>
      </c>
      <c r="M2372" s="9" t="s">
        <v>0</v>
      </c>
      <c r="N2372" s="9" t="s">
        <v>47</v>
      </c>
      <c r="O2372" s="9" t="s">
        <v>566</v>
      </c>
      <c r="S2372" s="9" t="s">
        <v>158</v>
      </c>
      <c r="T2372" s="10" t="s">
        <v>83</v>
      </c>
      <c r="U2372" s="10">
        <v>2</v>
      </c>
      <c r="V2372" s="10">
        <v>120.16</v>
      </c>
      <c r="W2372" s="10" t="s">
        <v>710</v>
      </c>
      <c r="X2372" s="17">
        <v>45386</v>
      </c>
      <c r="Y2372" s="17">
        <v>45386</v>
      </c>
      <c r="Z2372" s="19" t="s">
        <v>772</v>
      </c>
      <c r="AA2372" s="210">
        <v>57834</v>
      </c>
      <c r="AB2372" s="9">
        <v>84</v>
      </c>
      <c r="AC2372" s="9">
        <v>2</v>
      </c>
      <c r="AD2372" s="17">
        <v>45447</v>
      </c>
      <c r="AE2372" s="56">
        <v>635.29999999999995</v>
      </c>
      <c r="AF2372" s="56"/>
      <c r="AG2372" s="10" t="s">
        <v>134</v>
      </c>
      <c r="AH2372" s="17">
        <v>45448</v>
      </c>
      <c r="AI2372" s="17"/>
      <c r="AJ2372" s="17"/>
      <c r="AK2372" s="9" t="s">
        <v>1191</v>
      </c>
      <c r="AL2372" s="11">
        <v>635.29999999999995</v>
      </c>
      <c r="AN2372" s="11" t="s">
        <v>1202</v>
      </c>
      <c r="AP2372" s="11"/>
      <c r="AQ2372" s="11"/>
      <c r="AR2372" s="11"/>
      <c r="AW2372" s="42">
        <v>45447</v>
      </c>
      <c r="AX2372" s="36">
        <v>2744</v>
      </c>
      <c r="AY2372" s="36"/>
      <c r="AZ2372" s="36"/>
      <c r="BA2372" s="40">
        <v>635.29999999999995</v>
      </c>
      <c r="BD2372" s="9"/>
      <c r="CS2372" s="11">
        <f t="shared" si="166"/>
        <v>635.29999999999995</v>
      </c>
      <c r="CT2372" s="22">
        <f t="shared" si="167"/>
        <v>635.29999999999995</v>
      </c>
      <c r="CU2372" s="22">
        <f t="shared" si="168"/>
        <v>0</v>
      </c>
      <c r="CV2372" s="26">
        <f t="shared" si="165"/>
        <v>0</v>
      </c>
    </row>
    <row r="2373" spans="1:100" x14ac:dyDescent="0.2">
      <c r="A2373" s="9" t="s">
        <v>565</v>
      </c>
      <c r="B2373" s="2">
        <v>132</v>
      </c>
      <c r="C2373" s="3" t="s">
        <v>95</v>
      </c>
      <c r="D2373" s="3" t="s">
        <v>96</v>
      </c>
      <c r="E2373" s="2"/>
      <c r="F2373" s="2"/>
      <c r="G2373" s="2" t="s">
        <v>83</v>
      </c>
      <c r="H2373" s="2">
        <v>2</v>
      </c>
      <c r="I2373" s="8">
        <v>120.16</v>
      </c>
      <c r="J2373" s="8">
        <v>36499</v>
      </c>
      <c r="K2373" s="3">
        <v>0</v>
      </c>
      <c r="L2373" s="3" t="s">
        <v>3</v>
      </c>
      <c r="M2373" s="9" t="s">
        <v>0</v>
      </c>
      <c r="N2373" s="9" t="s">
        <v>47</v>
      </c>
      <c r="O2373" s="9" t="s">
        <v>566</v>
      </c>
      <c r="S2373" s="9" t="s">
        <v>158</v>
      </c>
      <c r="T2373" s="10" t="s">
        <v>83</v>
      </c>
      <c r="U2373" s="10">
        <v>2</v>
      </c>
      <c r="V2373" s="10">
        <v>120.16</v>
      </c>
      <c r="W2373" s="10" t="s">
        <v>710</v>
      </c>
      <c r="X2373" s="17">
        <v>45386</v>
      </c>
      <c r="Y2373" s="17">
        <v>45386</v>
      </c>
      <c r="Z2373" s="19" t="s">
        <v>772</v>
      </c>
      <c r="AA2373" s="210">
        <v>57834</v>
      </c>
      <c r="AB2373" s="9">
        <v>84</v>
      </c>
      <c r="AC2373" s="9">
        <v>3</v>
      </c>
      <c r="AD2373" s="17">
        <v>45477</v>
      </c>
      <c r="AE2373" s="56">
        <v>635.29999999999995</v>
      </c>
      <c r="AF2373" s="56"/>
      <c r="AG2373" s="10" t="s">
        <v>134</v>
      </c>
      <c r="AH2373" s="17">
        <v>45477</v>
      </c>
      <c r="AI2373" s="17"/>
      <c r="AJ2373" s="17"/>
      <c r="AK2373" s="9" t="s">
        <v>1192</v>
      </c>
      <c r="AL2373" s="11">
        <v>635.29999999999995</v>
      </c>
      <c r="AN2373" s="11" t="s">
        <v>1203</v>
      </c>
      <c r="AP2373" s="11"/>
      <c r="AQ2373" s="11"/>
      <c r="AR2373" s="11"/>
      <c r="AW2373" s="42">
        <v>45477</v>
      </c>
      <c r="AX2373" s="36">
        <v>2855</v>
      </c>
      <c r="AY2373" s="36"/>
      <c r="AZ2373" s="36"/>
      <c r="BA2373" s="40">
        <v>635.29999999999995</v>
      </c>
      <c r="BD2373" s="9"/>
      <c r="CS2373" s="11">
        <f t="shared" si="166"/>
        <v>635.29999999999995</v>
      </c>
      <c r="CT2373" s="22">
        <f t="shared" si="167"/>
        <v>635.29999999999995</v>
      </c>
      <c r="CU2373" s="22">
        <f t="shared" si="168"/>
        <v>0</v>
      </c>
      <c r="CV2373" s="26">
        <f t="shared" si="165"/>
        <v>0</v>
      </c>
    </row>
    <row r="2374" spans="1:100" x14ac:dyDescent="0.2">
      <c r="A2374" s="9" t="s">
        <v>565</v>
      </c>
      <c r="B2374" s="2">
        <v>132</v>
      </c>
      <c r="C2374" s="3" t="s">
        <v>95</v>
      </c>
      <c r="D2374" s="3" t="s">
        <v>96</v>
      </c>
      <c r="E2374" s="2"/>
      <c r="F2374" s="2"/>
      <c r="G2374" s="2" t="s">
        <v>83</v>
      </c>
      <c r="H2374" s="2">
        <v>2</v>
      </c>
      <c r="I2374" s="8">
        <v>120.16</v>
      </c>
      <c r="J2374" s="8">
        <v>36499</v>
      </c>
      <c r="K2374" s="3">
        <v>0</v>
      </c>
      <c r="L2374" s="3" t="s">
        <v>3</v>
      </c>
      <c r="M2374" s="9" t="s">
        <v>0</v>
      </c>
      <c r="N2374" s="9" t="s">
        <v>47</v>
      </c>
      <c r="O2374" s="9" t="s">
        <v>566</v>
      </c>
      <c r="S2374" s="9" t="s">
        <v>158</v>
      </c>
      <c r="T2374" s="10" t="s">
        <v>83</v>
      </c>
      <c r="U2374" s="10">
        <v>2</v>
      </c>
      <c r="V2374" s="10">
        <v>120.16</v>
      </c>
      <c r="W2374" s="10" t="s">
        <v>710</v>
      </c>
      <c r="X2374" s="17">
        <v>45386</v>
      </c>
      <c r="Y2374" s="17">
        <v>45386</v>
      </c>
      <c r="Z2374" s="19" t="s">
        <v>772</v>
      </c>
      <c r="AA2374" s="210">
        <v>57834</v>
      </c>
      <c r="AB2374" s="9">
        <v>84</v>
      </c>
      <c r="AC2374" s="9">
        <v>4</v>
      </c>
      <c r="AD2374" s="17">
        <v>45508</v>
      </c>
      <c r="AE2374" s="56">
        <v>635.29999999999995</v>
      </c>
      <c r="AF2374" s="56"/>
      <c r="AG2374" s="10" t="s">
        <v>134</v>
      </c>
      <c r="AH2374" s="17">
        <v>45509</v>
      </c>
      <c r="AI2374" s="17"/>
      <c r="AJ2374" s="17"/>
      <c r="AK2374" s="9" t="s">
        <v>1193</v>
      </c>
      <c r="AL2374" s="11">
        <v>635.29999999999995</v>
      </c>
      <c r="AN2374" s="11" t="s">
        <v>1204</v>
      </c>
      <c r="AP2374" s="11"/>
      <c r="AQ2374" s="11"/>
      <c r="AR2374" s="11"/>
      <c r="AW2374" s="42">
        <v>45508</v>
      </c>
      <c r="AX2374" s="36">
        <v>2991</v>
      </c>
      <c r="AY2374" s="36"/>
      <c r="AZ2374" s="36"/>
      <c r="BA2374" s="40">
        <v>635.29999999999995</v>
      </c>
      <c r="BD2374" s="9"/>
      <c r="CS2374" s="11">
        <f t="shared" si="166"/>
        <v>635.29999999999995</v>
      </c>
      <c r="CT2374" s="22">
        <f t="shared" si="167"/>
        <v>635.29999999999995</v>
      </c>
      <c r="CU2374" s="22">
        <f t="shared" si="168"/>
        <v>0</v>
      </c>
      <c r="CV2374" s="26">
        <f t="shared" si="165"/>
        <v>0</v>
      </c>
    </row>
    <row r="2375" spans="1:100" x14ac:dyDescent="0.2">
      <c r="A2375" s="9" t="s">
        <v>565</v>
      </c>
      <c r="B2375" s="2">
        <v>132</v>
      </c>
      <c r="C2375" s="3" t="s">
        <v>95</v>
      </c>
      <c r="D2375" s="3" t="s">
        <v>96</v>
      </c>
      <c r="E2375" s="2"/>
      <c r="F2375" s="2"/>
      <c r="G2375" s="2" t="s">
        <v>83</v>
      </c>
      <c r="H2375" s="2">
        <v>2</v>
      </c>
      <c r="I2375" s="8">
        <v>120.16</v>
      </c>
      <c r="J2375" s="8">
        <v>36499</v>
      </c>
      <c r="K2375" s="3">
        <v>0</v>
      </c>
      <c r="L2375" s="3" t="s">
        <v>3</v>
      </c>
      <c r="M2375" s="9" t="s">
        <v>0</v>
      </c>
      <c r="N2375" s="9" t="s">
        <v>47</v>
      </c>
      <c r="O2375" s="9" t="s">
        <v>566</v>
      </c>
      <c r="S2375" s="9" t="s">
        <v>158</v>
      </c>
      <c r="T2375" s="10" t="s">
        <v>83</v>
      </c>
      <c r="U2375" s="10">
        <v>2</v>
      </c>
      <c r="V2375" s="10">
        <v>120.16</v>
      </c>
      <c r="W2375" s="10" t="s">
        <v>710</v>
      </c>
      <c r="X2375" s="17">
        <v>45386</v>
      </c>
      <c r="Y2375" s="17">
        <v>45386</v>
      </c>
      <c r="Z2375" s="19" t="s">
        <v>772</v>
      </c>
      <c r="AA2375" s="210">
        <v>57834</v>
      </c>
      <c r="AB2375" s="9">
        <v>84</v>
      </c>
      <c r="AC2375" s="9">
        <v>5</v>
      </c>
      <c r="AD2375" s="17">
        <v>45539</v>
      </c>
      <c r="AE2375" s="56">
        <v>635.29999999999995</v>
      </c>
      <c r="AF2375" s="56"/>
      <c r="AG2375" s="10" t="s">
        <v>134</v>
      </c>
      <c r="AH2375" s="17">
        <v>45540</v>
      </c>
      <c r="AI2375" s="17"/>
      <c r="AJ2375" s="17"/>
      <c r="AK2375" s="9" t="s">
        <v>1194</v>
      </c>
      <c r="AL2375" s="11">
        <v>635.29999999999995</v>
      </c>
      <c r="AN2375" s="11" t="s">
        <v>1205</v>
      </c>
      <c r="AP2375" s="11"/>
      <c r="AQ2375" s="11"/>
      <c r="AR2375" s="11"/>
      <c r="AW2375" s="42">
        <v>45540</v>
      </c>
      <c r="AX2375" s="36">
        <v>3118</v>
      </c>
      <c r="AY2375" s="36"/>
      <c r="AZ2375" s="36"/>
      <c r="BA2375" s="40">
        <v>635.29999999999995</v>
      </c>
      <c r="BD2375" s="9"/>
      <c r="CS2375" s="11">
        <f t="shared" si="166"/>
        <v>635.29999999999995</v>
      </c>
      <c r="CT2375" s="22">
        <f t="shared" si="167"/>
        <v>635.29999999999995</v>
      </c>
      <c r="CU2375" s="22">
        <f t="shared" si="168"/>
        <v>0</v>
      </c>
      <c r="CV2375" s="26">
        <f t="shared" si="165"/>
        <v>0</v>
      </c>
    </row>
    <row r="2376" spans="1:100" x14ac:dyDescent="0.2">
      <c r="A2376" s="9" t="s">
        <v>565</v>
      </c>
      <c r="B2376" s="2">
        <v>132</v>
      </c>
      <c r="C2376" s="3" t="s">
        <v>95</v>
      </c>
      <c r="D2376" s="3" t="s">
        <v>96</v>
      </c>
      <c r="E2376" s="2"/>
      <c r="F2376" s="2"/>
      <c r="G2376" s="2" t="s">
        <v>83</v>
      </c>
      <c r="H2376" s="2">
        <v>2</v>
      </c>
      <c r="I2376" s="8">
        <v>120.16</v>
      </c>
      <c r="J2376" s="8">
        <v>36499</v>
      </c>
      <c r="K2376" s="3">
        <v>0</v>
      </c>
      <c r="L2376" s="3" t="s">
        <v>3</v>
      </c>
      <c r="M2376" s="9" t="s">
        <v>0</v>
      </c>
      <c r="N2376" s="9" t="s">
        <v>47</v>
      </c>
      <c r="O2376" s="9" t="s">
        <v>566</v>
      </c>
      <c r="S2376" s="9" t="s">
        <v>158</v>
      </c>
      <c r="T2376" s="10" t="s">
        <v>83</v>
      </c>
      <c r="U2376" s="10">
        <v>2</v>
      </c>
      <c r="V2376" s="10">
        <v>120.16</v>
      </c>
      <c r="W2376" s="10" t="s">
        <v>710</v>
      </c>
      <c r="X2376" s="17">
        <v>45386</v>
      </c>
      <c r="Y2376" s="17">
        <v>45386</v>
      </c>
      <c r="Z2376" s="19" t="s">
        <v>772</v>
      </c>
      <c r="AA2376" s="210">
        <v>57834</v>
      </c>
      <c r="AB2376" s="9">
        <v>84</v>
      </c>
      <c r="AC2376" s="9">
        <v>6</v>
      </c>
      <c r="AD2376" s="17">
        <v>45569</v>
      </c>
      <c r="AE2376" s="56">
        <v>635.29999999999995</v>
      </c>
      <c r="AF2376" s="56"/>
      <c r="AG2376" s="10" t="s">
        <v>134</v>
      </c>
      <c r="AH2376" s="17">
        <v>45572</v>
      </c>
      <c r="AI2376" s="17"/>
      <c r="AJ2376" s="17"/>
      <c r="AK2376" s="9" t="s">
        <v>1195</v>
      </c>
      <c r="AL2376" s="11">
        <v>635.29999999999995</v>
      </c>
      <c r="AN2376" s="11" t="s">
        <v>1206</v>
      </c>
      <c r="AP2376" s="11"/>
      <c r="AQ2376" s="11"/>
      <c r="AR2376" s="11"/>
      <c r="AW2376" s="42">
        <v>45569</v>
      </c>
      <c r="AX2376" s="36">
        <v>3252</v>
      </c>
      <c r="AY2376" s="36"/>
      <c r="AZ2376" s="36"/>
      <c r="BA2376" s="40">
        <v>635.29999999999995</v>
      </c>
      <c r="BD2376" s="9"/>
      <c r="CS2376" s="11">
        <f t="shared" si="166"/>
        <v>635.29999999999995</v>
      </c>
      <c r="CT2376" s="22">
        <f t="shared" si="167"/>
        <v>635.29999999999995</v>
      </c>
      <c r="CU2376" s="22">
        <f t="shared" si="168"/>
        <v>0</v>
      </c>
      <c r="CV2376" s="26">
        <f t="shared" si="165"/>
        <v>0</v>
      </c>
    </row>
    <row r="2377" spans="1:100" x14ac:dyDescent="0.2">
      <c r="A2377" s="9" t="s">
        <v>565</v>
      </c>
      <c r="B2377" s="2">
        <v>132</v>
      </c>
      <c r="C2377" s="3" t="s">
        <v>95</v>
      </c>
      <c r="D2377" s="3" t="s">
        <v>96</v>
      </c>
      <c r="E2377" s="2"/>
      <c r="F2377" s="2"/>
      <c r="G2377" s="2" t="s">
        <v>83</v>
      </c>
      <c r="H2377" s="2">
        <v>2</v>
      </c>
      <c r="I2377" s="8">
        <v>120.16</v>
      </c>
      <c r="J2377" s="8">
        <v>36499</v>
      </c>
      <c r="K2377" s="3">
        <v>0</v>
      </c>
      <c r="L2377" s="3" t="s">
        <v>3</v>
      </c>
      <c r="M2377" s="9" t="s">
        <v>0</v>
      </c>
      <c r="N2377" s="9" t="s">
        <v>47</v>
      </c>
      <c r="O2377" s="9" t="s">
        <v>566</v>
      </c>
      <c r="S2377" s="9" t="s">
        <v>158</v>
      </c>
      <c r="T2377" s="10" t="s">
        <v>83</v>
      </c>
      <c r="U2377" s="10">
        <v>2</v>
      </c>
      <c r="V2377" s="10">
        <v>120.16</v>
      </c>
      <c r="W2377" s="10" t="s">
        <v>710</v>
      </c>
      <c r="X2377" s="17">
        <v>45386</v>
      </c>
      <c r="Y2377" s="17">
        <v>45386</v>
      </c>
      <c r="Z2377" s="19" t="s">
        <v>772</v>
      </c>
      <c r="AA2377" s="210">
        <v>57834</v>
      </c>
      <c r="AB2377" s="9">
        <v>84</v>
      </c>
      <c r="AC2377" s="9">
        <v>7</v>
      </c>
      <c r="AD2377" s="17">
        <v>45600</v>
      </c>
      <c r="AE2377" s="56">
        <v>635.29999999999995</v>
      </c>
      <c r="AF2377" s="56"/>
      <c r="AG2377" s="10" t="s">
        <v>134</v>
      </c>
      <c r="AH2377" s="17">
        <v>45601</v>
      </c>
      <c r="AI2377" s="17"/>
      <c r="AJ2377" s="17"/>
      <c r="AK2377" s="9" t="s">
        <v>1196</v>
      </c>
      <c r="AL2377" s="11">
        <v>635.29999999999995</v>
      </c>
      <c r="AN2377" s="11" t="s">
        <v>1207</v>
      </c>
      <c r="AP2377" s="11"/>
      <c r="AQ2377" s="11"/>
      <c r="AR2377" s="11"/>
      <c r="AW2377" s="42">
        <v>45600</v>
      </c>
      <c r="AX2377" s="36">
        <v>3360</v>
      </c>
      <c r="AY2377" s="36"/>
      <c r="AZ2377" s="36"/>
      <c r="BA2377" s="40">
        <v>635.29999999999995</v>
      </c>
      <c r="BD2377" s="9"/>
      <c r="CS2377" s="11">
        <f t="shared" si="166"/>
        <v>635.29999999999995</v>
      </c>
      <c r="CT2377" s="22">
        <f t="shared" si="167"/>
        <v>635.29999999999995</v>
      </c>
      <c r="CU2377" s="22">
        <f t="shared" si="168"/>
        <v>0</v>
      </c>
      <c r="CV2377" s="26">
        <f t="shared" si="165"/>
        <v>0</v>
      </c>
    </row>
    <row r="2378" spans="1:100" x14ac:dyDescent="0.2">
      <c r="A2378" s="9" t="s">
        <v>565</v>
      </c>
      <c r="B2378" s="2">
        <v>132</v>
      </c>
      <c r="C2378" s="3" t="s">
        <v>95</v>
      </c>
      <c r="D2378" s="3" t="s">
        <v>96</v>
      </c>
      <c r="E2378" s="2"/>
      <c r="F2378" s="2"/>
      <c r="G2378" s="2" t="s">
        <v>83</v>
      </c>
      <c r="H2378" s="2">
        <v>2</v>
      </c>
      <c r="I2378" s="8">
        <v>120.16</v>
      </c>
      <c r="J2378" s="8">
        <v>36499</v>
      </c>
      <c r="K2378" s="3">
        <v>0</v>
      </c>
      <c r="L2378" s="3" t="s">
        <v>3</v>
      </c>
      <c r="M2378" s="9" t="s">
        <v>0</v>
      </c>
      <c r="N2378" s="9" t="s">
        <v>47</v>
      </c>
      <c r="O2378" s="9" t="s">
        <v>566</v>
      </c>
      <c r="S2378" s="9" t="s">
        <v>158</v>
      </c>
      <c r="T2378" s="10" t="s">
        <v>83</v>
      </c>
      <c r="U2378" s="10">
        <v>2</v>
      </c>
      <c r="V2378" s="10">
        <v>120.16</v>
      </c>
      <c r="W2378" s="10" t="s">
        <v>710</v>
      </c>
      <c r="X2378" s="17">
        <v>45386</v>
      </c>
      <c r="Y2378" s="17">
        <v>45386</v>
      </c>
      <c r="Z2378" s="19" t="s">
        <v>772</v>
      </c>
      <c r="AA2378" s="210">
        <v>57834</v>
      </c>
      <c r="AB2378" s="9">
        <v>84</v>
      </c>
      <c r="AC2378" s="9">
        <v>8</v>
      </c>
      <c r="AD2378" s="17">
        <v>45630</v>
      </c>
      <c r="AE2378" s="56">
        <v>635.29999999999995</v>
      </c>
      <c r="AF2378" s="56"/>
      <c r="AG2378" s="10" t="s">
        <v>134</v>
      </c>
      <c r="AH2378" s="17">
        <v>45630</v>
      </c>
      <c r="AI2378" s="17"/>
      <c r="AJ2378" s="17"/>
      <c r="AK2378" s="9" t="s">
        <v>1197</v>
      </c>
      <c r="AL2378" s="11">
        <v>635.29999999999995</v>
      </c>
      <c r="AN2378" s="11" t="s">
        <v>1208</v>
      </c>
      <c r="AP2378" s="11"/>
      <c r="AQ2378" s="11"/>
      <c r="AR2378" s="11"/>
      <c r="AW2378" s="42">
        <v>45630</v>
      </c>
      <c r="AX2378" s="36">
        <v>3476</v>
      </c>
      <c r="AY2378" s="36"/>
      <c r="AZ2378" s="36"/>
      <c r="BA2378" s="40">
        <v>635.29999999999995</v>
      </c>
      <c r="BD2378" s="9"/>
      <c r="CS2378" s="11">
        <f t="shared" si="166"/>
        <v>635.29999999999995</v>
      </c>
      <c r="CT2378" s="22">
        <f t="shared" si="167"/>
        <v>635.29999999999995</v>
      </c>
      <c r="CU2378" s="22">
        <f t="shared" si="168"/>
        <v>0</v>
      </c>
      <c r="CV2378" s="26">
        <f t="shared" si="165"/>
        <v>0</v>
      </c>
    </row>
    <row r="2379" spans="1:100" x14ac:dyDescent="0.2">
      <c r="A2379" s="9" t="s">
        <v>565</v>
      </c>
      <c r="B2379" s="2">
        <v>132</v>
      </c>
      <c r="C2379" s="3" t="s">
        <v>95</v>
      </c>
      <c r="D2379" s="3" t="s">
        <v>96</v>
      </c>
      <c r="E2379" s="2"/>
      <c r="F2379" s="2"/>
      <c r="G2379" s="2" t="s">
        <v>83</v>
      </c>
      <c r="H2379" s="2">
        <v>2</v>
      </c>
      <c r="I2379" s="8">
        <v>120.16</v>
      </c>
      <c r="J2379" s="8">
        <v>36499</v>
      </c>
      <c r="K2379" s="3">
        <v>0</v>
      </c>
      <c r="L2379" s="3" t="s">
        <v>3</v>
      </c>
      <c r="M2379" s="9" t="s">
        <v>0</v>
      </c>
      <c r="N2379" s="9" t="s">
        <v>47</v>
      </c>
      <c r="O2379" s="9" t="s">
        <v>566</v>
      </c>
      <c r="S2379" s="9" t="s">
        <v>158</v>
      </c>
      <c r="T2379" s="10" t="s">
        <v>83</v>
      </c>
      <c r="U2379" s="10">
        <v>2</v>
      </c>
      <c r="V2379" s="10">
        <v>120.16</v>
      </c>
      <c r="W2379" s="10" t="s">
        <v>710</v>
      </c>
      <c r="X2379" s="17">
        <v>45386</v>
      </c>
      <c r="Y2379" s="17">
        <v>45386</v>
      </c>
      <c r="Z2379" s="19" t="s">
        <v>772</v>
      </c>
      <c r="AA2379" s="210">
        <v>57834</v>
      </c>
      <c r="AB2379" s="9">
        <v>84</v>
      </c>
      <c r="AC2379" s="9">
        <v>9</v>
      </c>
      <c r="AD2379" s="17">
        <v>45661</v>
      </c>
      <c r="AE2379" s="56">
        <v>635.29999999999995</v>
      </c>
      <c r="AF2379" s="56"/>
      <c r="AG2379" s="10" t="s">
        <v>134</v>
      </c>
      <c r="AH2379" s="17">
        <v>45663</v>
      </c>
      <c r="AI2379" s="17"/>
      <c r="AJ2379" s="17"/>
      <c r="AK2379" s="9" t="s">
        <v>1209</v>
      </c>
      <c r="AL2379" s="11">
        <v>635.29999999999995</v>
      </c>
      <c r="AN2379" s="11" t="s">
        <v>1218</v>
      </c>
      <c r="AP2379" s="11"/>
      <c r="AQ2379" s="11"/>
      <c r="AR2379" s="11"/>
      <c r="AW2379" s="42">
        <v>45661</v>
      </c>
      <c r="AX2379" s="36">
        <v>3574</v>
      </c>
      <c r="AY2379" s="36"/>
      <c r="AZ2379" s="36"/>
      <c r="BA2379" s="40">
        <v>635.29999999999995</v>
      </c>
      <c r="BD2379" s="9"/>
      <c r="CS2379" s="11">
        <f t="shared" si="166"/>
        <v>635.29999999999995</v>
      </c>
      <c r="CT2379" s="22">
        <f t="shared" si="167"/>
        <v>635.29999999999995</v>
      </c>
      <c r="CU2379" s="22">
        <f t="shared" si="168"/>
        <v>0</v>
      </c>
      <c r="CV2379" s="26">
        <f t="shared" si="165"/>
        <v>0</v>
      </c>
    </row>
    <row r="2380" spans="1:100" x14ac:dyDescent="0.2">
      <c r="A2380" s="9" t="s">
        <v>565</v>
      </c>
      <c r="B2380" s="2">
        <v>132</v>
      </c>
      <c r="C2380" s="3" t="s">
        <v>95</v>
      </c>
      <c r="D2380" s="3" t="s">
        <v>96</v>
      </c>
      <c r="E2380" s="2"/>
      <c r="F2380" s="2"/>
      <c r="G2380" s="2" t="s">
        <v>83</v>
      </c>
      <c r="H2380" s="2">
        <v>2</v>
      </c>
      <c r="I2380" s="8">
        <v>120.16</v>
      </c>
      <c r="J2380" s="8">
        <v>36499</v>
      </c>
      <c r="K2380" s="3">
        <v>0</v>
      </c>
      <c r="L2380" s="3" t="s">
        <v>3</v>
      </c>
      <c r="M2380" s="9" t="s">
        <v>0</v>
      </c>
      <c r="N2380" s="9" t="s">
        <v>47</v>
      </c>
      <c r="O2380" s="9" t="s">
        <v>566</v>
      </c>
      <c r="S2380" s="9" t="s">
        <v>158</v>
      </c>
      <c r="T2380" s="10" t="s">
        <v>83</v>
      </c>
      <c r="U2380" s="10">
        <v>2</v>
      </c>
      <c r="V2380" s="10">
        <v>120.16</v>
      </c>
      <c r="W2380" s="10" t="s">
        <v>710</v>
      </c>
      <c r="X2380" s="17">
        <v>45386</v>
      </c>
      <c r="Y2380" s="17">
        <v>45386</v>
      </c>
      <c r="Z2380" s="19" t="s">
        <v>772</v>
      </c>
      <c r="AA2380" s="210">
        <v>57834</v>
      </c>
      <c r="AB2380" s="9">
        <v>84</v>
      </c>
      <c r="AC2380" s="9">
        <v>10</v>
      </c>
      <c r="AD2380" s="17">
        <v>45692</v>
      </c>
      <c r="AE2380" s="56">
        <v>635.29999999999995</v>
      </c>
      <c r="AF2380" s="56"/>
      <c r="AG2380" s="10" t="s">
        <v>134</v>
      </c>
      <c r="AH2380" s="17">
        <v>45693</v>
      </c>
      <c r="AI2380" s="17"/>
      <c r="AJ2380" s="17"/>
      <c r="AK2380" s="9" t="s">
        <v>1210</v>
      </c>
      <c r="AL2380" s="11">
        <v>635.29999999999995</v>
      </c>
      <c r="AN2380" s="11" t="s">
        <v>1219</v>
      </c>
      <c r="AP2380" s="11"/>
      <c r="AQ2380" s="11"/>
      <c r="AR2380" s="11"/>
      <c r="AW2380" s="42">
        <v>45692</v>
      </c>
      <c r="AX2380" s="36">
        <v>3698</v>
      </c>
      <c r="AY2380" s="36"/>
      <c r="AZ2380" s="36"/>
      <c r="BA2380" s="40">
        <v>635.29999999999995</v>
      </c>
      <c r="BD2380" s="9"/>
      <c r="CS2380" s="11">
        <f t="shared" si="166"/>
        <v>635.29999999999995</v>
      </c>
      <c r="CT2380" s="22">
        <f t="shared" si="167"/>
        <v>635.29999999999995</v>
      </c>
      <c r="CU2380" s="22">
        <f t="shared" si="168"/>
        <v>0</v>
      </c>
      <c r="CV2380" s="26">
        <f t="shared" si="165"/>
        <v>0</v>
      </c>
    </row>
    <row r="2381" spans="1:100" x14ac:dyDescent="0.2">
      <c r="A2381" s="9" t="s">
        <v>565</v>
      </c>
      <c r="B2381" s="2">
        <v>132</v>
      </c>
      <c r="C2381" s="3" t="s">
        <v>95</v>
      </c>
      <c r="D2381" s="3" t="s">
        <v>96</v>
      </c>
      <c r="E2381" s="2"/>
      <c r="F2381" s="2"/>
      <c r="G2381" s="2" t="s">
        <v>83</v>
      </c>
      <c r="H2381" s="2">
        <v>2</v>
      </c>
      <c r="I2381" s="8">
        <v>120.16</v>
      </c>
      <c r="J2381" s="8">
        <v>36499</v>
      </c>
      <c r="K2381" s="3">
        <v>0</v>
      </c>
      <c r="L2381" s="3" t="s">
        <v>3</v>
      </c>
      <c r="M2381" s="9" t="s">
        <v>0</v>
      </c>
      <c r="N2381" s="9" t="s">
        <v>47</v>
      </c>
      <c r="O2381" s="9" t="s">
        <v>566</v>
      </c>
      <c r="S2381" s="9" t="s">
        <v>158</v>
      </c>
      <c r="T2381" s="10" t="s">
        <v>83</v>
      </c>
      <c r="U2381" s="10">
        <v>2</v>
      </c>
      <c r="V2381" s="10">
        <v>120.16</v>
      </c>
      <c r="W2381" s="10" t="s">
        <v>710</v>
      </c>
      <c r="X2381" s="17">
        <v>45386</v>
      </c>
      <c r="Y2381" s="17">
        <v>45386</v>
      </c>
      <c r="Z2381" s="19" t="s">
        <v>772</v>
      </c>
      <c r="AA2381" s="210">
        <v>57834</v>
      </c>
      <c r="AB2381" s="9">
        <v>84</v>
      </c>
      <c r="AC2381" s="9">
        <v>11</v>
      </c>
      <c r="AD2381" s="17">
        <v>45720</v>
      </c>
      <c r="AE2381" s="56">
        <v>635.29999999999995</v>
      </c>
      <c r="AF2381" s="56"/>
      <c r="AG2381" s="10" t="s">
        <v>134</v>
      </c>
      <c r="AH2381" s="17">
        <v>45721</v>
      </c>
      <c r="AI2381" s="17"/>
      <c r="AJ2381" s="17"/>
      <c r="AK2381" s="9" t="s">
        <v>1211</v>
      </c>
      <c r="AL2381" s="11">
        <v>635.29999999999995</v>
      </c>
      <c r="AN2381" s="11" t="s">
        <v>1220</v>
      </c>
      <c r="AP2381" s="11"/>
      <c r="AQ2381" s="11"/>
      <c r="AR2381" s="11"/>
      <c r="AW2381" s="42">
        <v>45720</v>
      </c>
      <c r="AX2381" s="36">
        <v>3848</v>
      </c>
      <c r="AY2381" s="36"/>
      <c r="AZ2381" s="36"/>
      <c r="BA2381" s="40">
        <v>635.29999999999995</v>
      </c>
      <c r="BD2381" s="9"/>
      <c r="CS2381" s="11">
        <f t="shared" si="166"/>
        <v>635.29999999999995</v>
      </c>
      <c r="CT2381" s="22">
        <f t="shared" si="167"/>
        <v>635.29999999999995</v>
      </c>
      <c r="CU2381" s="22">
        <f t="shared" si="168"/>
        <v>0</v>
      </c>
      <c r="CV2381" s="26">
        <f t="shared" si="165"/>
        <v>0</v>
      </c>
    </row>
    <row r="2382" spans="1:100" x14ac:dyDescent="0.2">
      <c r="A2382" s="9" t="s">
        <v>565</v>
      </c>
      <c r="B2382" s="2">
        <v>132</v>
      </c>
      <c r="C2382" s="3" t="s">
        <v>95</v>
      </c>
      <c r="D2382" s="3" t="s">
        <v>96</v>
      </c>
      <c r="E2382" s="2"/>
      <c r="F2382" s="2"/>
      <c r="G2382" s="2" t="s">
        <v>83</v>
      </c>
      <c r="H2382" s="2">
        <v>2</v>
      </c>
      <c r="I2382" s="8">
        <v>120.16</v>
      </c>
      <c r="J2382" s="8">
        <v>36499</v>
      </c>
      <c r="K2382" s="3">
        <v>0</v>
      </c>
      <c r="L2382" s="3" t="s">
        <v>3</v>
      </c>
      <c r="M2382" s="9" t="s">
        <v>0</v>
      </c>
      <c r="N2382" s="9" t="s">
        <v>47</v>
      </c>
      <c r="O2382" s="9" t="s">
        <v>566</v>
      </c>
      <c r="S2382" s="9" t="s">
        <v>158</v>
      </c>
      <c r="T2382" s="10" t="s">
        <v>83</v>
      </c>
      <c r="U2382" s="10">
        <v>2</v>
      </c>
      <c r="V2382" s="10">
        <v>120.16</v>
      </c>
      <c r="W2382" s="10" t="s">
        <v>710</v>
      </c>
      <c r="X2382" s="17">
        <v>45386</v>
      </c>
      <c r="Y2382" s="17">
        <v>45386</v>
      </c>
      <c r="Z2382" s="19" t="s">
        <v>772</v>
      </c>
      <c r="AA2382" s="210">
        <v>57834</v>
      </c>
      <c r="AB2382" s="9">
        <v>84</v>
      </c>
      <c r="AC2382" s="9">
        <v>12</v>
      </c>
      <c r="AD2382" s="17">
        <v>45751</v>
      </c>
      <c r="AE2382" s="56">
        <v>635.29999999999995</v>
      </c>
      <c r="AF2382" s="56"/>
      <c r="AG2382" s="10" t="s">
        <v>134</v>
      </c>
      <c r="AH2382" s="17">
        <v>45754</v>
      </c>
      <c r="AI2382" s="17"/>
      <c r="AJ2382" s="17"/>
      <c r="AK2382" s="9" t="s">
        <v>1212</v>
      </c>
      <c r="AL2382" s="11">
        <v>635.29999999999995</v>
      </c>
      <c r="AN2382" s="11" t="s">
        <v>1221</v>
      </c>
      <c r="AP2382" s="11"/>
      <c r="AQ2382" s="11"/>
      <c r="AR2382" s="11"/>
      <c r="AW2382" s="42">
        <v>45751</v>
      </c>
      <c r="AX2382" s="36">
        <v>3973</v>
      </c>
      <c r="AY2382" s="36"/>
      <c r="AZ2382" s="36"/>
      <c r="BA2382" s="40">
        <v>635.29999999999995</v>
      </c>
      <c r="BD2382" s="9"/>
      <c r="CS2382" s="11">
        <f t="shared" si="166"/>
        <v>635.29999999999995</v>
      </c>
      <c r="CT2382" s="22">
        <f t="shared" si="167"/>
        <v>635.29999999999995</v>
      </c>
      <c r="CU2382" s="22">
        <f t="shared" si="168"/>
        <v>0</v>
      </c>
      <c r="CV2382" s="26">
        <f t="shared" si="165"/>
        <v>0</v>
      </c>
    </row>
    <row r="2383" spans="1:100" x14ac:dyDescent="0.2">
      <c r="A2383" s="9" t="s">
        <v>565</v>
      </c>
      <c r="B2383" s="2">
        <v>132</v>
      </c>
      <c r="C2383" s="3" t="s">
        <v>95</v>
      </c>
      <c r="D2383" s="3" t="s">
        <v>96</v>
      </c>
      <c r="E2383" s="2"/>
      <c r="F2383" s="2"/>
      <c r="G2383" s="2" t="s">
        <v>83</v>
      </c>
      <c r="H2383" s="2">
        <v>2</v>
      </c>
      <c r="I2383" s="8">
        <v>120.16</v>
      </c>
      <c r="J2383" s="8">
        <v>36499</v>
      </c>
      <c r="K2383" s="3">
        <v>0</v>
      </c>
      <c r="L2383" s="3" t="s">
        <v>3</v>
      </c>
      <c r="M2383" s="9" t="s">
        <v>0</v>
      </c>
      <c r="N2383" s="9" t="s">
        <v>47</v>
      </c>
      <c r="O2383" s="9" t="s">
        <v>566</v>
      </c>
      <c r="S2383" s="9" t="s">
        <v>158</v>
      </c>
      <c r="T2383" s="10" t="s">
        <v>83</v>
      </c>
      <c r="U2383" s="10">
        <v>2</v>
      </c>
      <c r="V2383" s="10">
        <v>120.16</v>
      </c>
      <c r="W2383" s="10" t="s">
        <v>710</v>
      </c>
      <c r="X2383" s="17">
        <v>45386</v>
      </c>
      <c r="Y2383" s="17">
        <v>45386</v>
      </c>
      <c r="Z2383" s="19" t="s">
        <v>772</v>
      </c>
      <c r="AA2383" s="210">
        <v>57834</v>
      </c>
      <c r="AB2383" s="9">
        <v>84</v>
      </c>
      <c r="AC2383" s="9">
        <v>13</v>
      </c>
      <c r="AD2383" s="17">
        <v>45781</v>
      </c>
      <c r="AE2383" s="56">
        <v>635.29999999999995</v>
      </c>
      <c r="AF2383" s="56"/>
      <c r="AG2383" s="10" t="s">
        <v>134</v>
      </c>
      <c r="AH2383" s="17">
        <v>45783</v>
      </c>
      <c r="AI2383" s="17"/>
      <c r="AJ2383" s="17"/>
      <c r="AK2383" s="9" t="s">
        <v>1213</v>
      </c>
      <c r="AL2383" s="11">
        <v>635.29999999999995</v>
      </c>
      <c r="AN2383" s="11" t="s">
        <v>1222</v>
      </c>
      <c r="AP2383" s="11"/>
      <c r="AQ2383" s="11"/>
      <c r="AR2383" s="11"/>
      <c r="AW2383" s="42">
        <v>45782</v>
      </c>
      <c r="AX2383" s="36">
        <v>4107</v>
      </c>
      <c r="AY2383" s="36"/>
      <c r="AZ2383" s="36"/>
      <c r="BA2383" s="40">
        <v>635.29999999999995</v>
      </c>
      <c r="BD2383" s="9"/>
      <c r="CS2383" s="11">
        <f t="shared" si="166"/>
        <v>635.29999999999995</v>
      </c>
      <c r="CT2383" s="22">
        <f t="shared" si="167"/>
        <v>635.29999999999995</v>
      </c>
      <c r="CU2383" s="22">
        <f t="shared" si="168"/>
        <v>0</v>
      </c>
      <c r="CV2383" s="26">
        <f t="shared" si="165"/>
        <v>0</v>
      </c>
    </row>
    <row r="2384" spans="1:100" x14ac:dyDescent="0.2">
      <c r="A2384" s="9" t="s">
        <v>565</v>
      </c>
      <c r="B2384" s="2">
        <v>132</v>
      </c>
      <c r="C2384" s="3" t="s">
        <v>95</v>
      </c>
      <c r="D2384" s="3" t="s">
        <v>96</v>
      </c>
      <c r="E2384" s="2"/>
      <c r="F2384" s="2"/>
      <c r="G2384" s="2" t="s">
        <v>83</v>
      </c>
      <c r="H2384" s="2">
        <v>2</v>
      </c>
      <c r="I2384" s="8">
        <v>120.16</v>
      </c>
      <c r="J2384" s="8">
        <v>36499</v>
      </c>
      <c r="K2384" s="3">
        <v>0</v>
      </c>
      <c r="L2384" s="3" t="s">
        <v>3</v>
      </c>
      <c r="M2384" s="9" t="s">
        <v>0</v>
      </c>
      <c r="N2384" s="9" t="s">
        <v>47</v>
      </c>
      <c r="O2384" s="9" t="s">
        <v>566</v>
      </c>
      <c r="S2384" s="9" t="s">
        <v>158</v>
      </c>
      <c r="T2384" s="10" t="s">
        <v>83</v>
      </c>
      <c r="U2384" s="10">
        <v>2</v>
      </c>
      <c r="V2384" s="10">
        <v>120.16</v>
      </c>
      <c r="W2384" s="10" t="s">
        <v>710</v>
      </c>
      <c r="X2384" s="17">
        <v>45386</v>
      </c>
      <c r="Y2384" s="17">
        <v>45386</v>
      </c>
      <c r="Z2384" s="19" t="s">
        <v>772</v>
      </c>
      <c r="AA2384" s="210">
        <v>57834</v>
      </c>
      <c r="AB2384" s="9">
        <v>84</v>
      </c>
      <c r="AC2384" s="9">
        <v>14</v>
      </c>
      <c r="AD2384" s="17">
        <v>45812</v>
      </c>
      <c r="AE2384" s="56">
        <v>635.29999999999995</v>
      </c>
      <c r="AF2384" s="56"/>
      <c r="AG2384" s="10" t="s">
        <v>134</v>
      </c>
      <c r="AH2384" s="17">
        <v>45814</v>
      </c>
      <c r="AI2384" s="17"/>
      <c r="AJ2384" s="17"/>
      <c r="AK2384" s="9" t="s">
        <v>1214</v>
      </c>
      <c r="AL2384" s="11">
        <v>635.29999999999995</v>
      </c>
      <c r="AN2384" s="11" t="s">
        <v>1223</v>
      </c>
      <c r="AP2384" s="11"/>
      <c r="AQ2384" s="11"/>
      <c r="AR2384" s="11"/>
      <c r="AW2384" s="42">
        <v>45812</v>
      </c>
      <c r="AX2384" s="36">
        <v>4268</v>
      </c>
      <c r="AY2384" s="36"/>
      <c r="AZ2384" s="36"/>
      <c r="BA2384" s="40">
        <v>635.29999999999995</v>
      </c>
      <c r="BD2384" s="9"/>
      <c r="CS2384" s="11">
        <f t="shared" si="166"/>
        <v>635.29999999999995</v>
      </c>
      <c r="CT2384" s="22">
        <f t="shared" si="167"/>
        <v>635.29999999999995</v>
      </c>
      <c r="CU2384" s="22">
        <f t="shared" si="168"/>
        <v>0</v>
      </c>
      <c r="CV2384" s="26">
        <f t="shared" si="165"/>
        <v>0</v>
      </c>
    </row>
    <row r="2385" spans="1:100" x14ac:dyDescent="0.2">
      <c r="A2385" s="9" t="s">
        <v>565</v>
      </c>
      <c r="B2385" s="2">
        <v>132</v>
      </c>
      <c r="C2385" s="3" t="s">
        <v>95</v>
      </c>
      <c r="D2385" s="3" t="s">
        <v>96</v>
      </c>
      <c r="E2385" s="2"/>
      <c r="F2385" s="2"/>
      <c r="G2385" s="2" t="s">
        <v>83</v>
      </c>
      <c r="H2385" s="2">
        <v>2</v>
      </c>
      <c r="I2385" s="8">
        <v>120.16</v>
      </c>
      <c r="J2385" s="8">
        <v>36499</v>
      </c>
      <c r="K2385" s="3">
        <v>0</v>
      </c>
      <c r="L2385" s="3" t="s">
        <v>3</v>
      </c>
      <c r="M2385" s="9" t="s">
        <v>0</v>
      </c>
      <c r="N2385" s="9" t="s">
        <v>47</v>
      </c>
      <c r="O2385" s="9" t="s">
        <v>566</v>
      </c>
      <c r="S2385" s="9" t="s">
        <v>158</v>
      </c>
      <c r="T2385" s="10" t="s">
        <v>83</v>
      </c>
      <c r="U2385" s="10">
        <v>2</v>
      </c>
      <c r="V2385" s="10">
        <v>120.16</v>
      </c>
      <c r="W2385" s="10" t="s">
        <v>710</v>
      </c>
      <c r="X2385" s="17">
        <v>45386</v>
      </c>
      <c r="Y2385" s="17">
        <v>45386</v>
      </c>
      <c r="Z2385" s="19" t="s">
        <v>772</v>
      </c>
      <c r="AA2385" s="210">
        <v>57834</v>
      </c>
      <c r="AB2385" s="9">
        <v>84</v>
      </c>
      <c r="AC2385" s="9">
        <v>15</v>
      </c>
      <c r="AD2385" s="17">
        <v>45842</v>
      </c>
      <c r="AE2385" s="56">
        <v>635.29999999999995</v>
      </c>
      <c r="AF2385" s="56"/>
      <c r="AG2385" s="10" t="s">
        <v>134</v>
      </c>
      <c r="AH2385" s="17">
        <v>45845</v>
      </c>
      <c r="AI2385" s="17"/>
      <c r="AJ2385" s="17"/>
      <c r="AK2385" s="9" t="s">
        <v>1215</v>
      </c>
      <c r="AL2385" s="11">
        <v>635.29999999999995</v>
      </c>
      <c r="AN2385" s="11" t="s">
        <v>1224</v>
      </c>
      <c r="AP2385" s="11"/>
      <c r="AQ2385" s="11"/>
      <c r="AR2385" s="11"/>
      <c r="AW2385" s="42">
        <v>45842</v>
      </c>
      <c r="AX2385" s="36">
        <v>4374</v>
      </c>
      <c r="AY2385" s="36"/>
      <c r="AZ2385" s="36"/>
      <c r="BA2385" s="40">
        <v>635.29999999999995</v>
      </c>
      <c r="BD2385" s="9"/>
      <c r="CS2385" s="11">
        <f t="shared" si="166"/>
        <v>635.29999999999995</v>
      </c>
      <c r="CT2385" s="22">
        <f t="shared" si="167"/>
        <v>635.29999999999995</v>
      </c>
      <c r="CU2385" s="22">
        <f t="shared" si="168"/>
        <v>0</v>
      </c>
      <c r="CV2385" s="26">
        <f t="shared" si="165"/>
        <v>0</v>
      </c>
    </row>
    <row r="2386" spans="1:100" x14ac:dyDescent="0.2">
      <c r="A2386" s="9" t="s">
        <v>565</v>
      </c>
      <c r="B2386" s="2">
        <v>132</v>
      </c>
      <c r="C2386" s="3" t="s">
        <v>95</v>
      </c>
      <c r="D2386" s="3" t="s">
        <v>96</v>
      </c>
      <c r="E2386" s="2"/>
      <c r="F2386" s="2"/>
      <c r="G2386" s="2" t="s">
        <v>83</v>
      </c>
      <c r="H2386" s="2">
        <v>2</v>
      </c>
      <c r="I2386" s="8">
        <v>120.16</v>
      </c>
      <c r="J2386" s="8">
        <v>36499</v>
      </c>
      <c r="K2386" s="3">
        <v>0</v>
      </c>
      <c r="L2386" s="3" t="s">
        <v>3</v>
      </c>
      <c r="M2386" s="9" t="s">
        <v>0</v>
      </c>
      <c r="N2386" s="9" t="s">
        <v>47</v>
      </c>
      <c r="O2386" s="9" t="s">
        <v>566</v>
      </c>
      <c r="S2386" s="9" t="s">
        <v>158</v>
      </c>
      <c r="T2386" s="10" t="s">
        <v>83</v>
      </c>
      <c r="U2386" s="10">
        <v>2</v>
      </c>
      <c r="V2386" s="10">
        <v>120.16</v>
      </c>
      <c r="W2386" s="10" t="s">
        <v>710</v>
      </c>
      <c r="X2386" s="17">
        <v>45386</v>
      </c>
      <c r="Y2386" s="17">
        <v>45386</v>
      </c>
      <c r="Z2386" s="19" t="s">
        <v>772</v>
      </c>
      <c r="AA2386" s="210">
        <v>57834</v>
      </c>
      <c r="AB2386" s="9">
        <v>84</v>
      </c>
      <c r="AC2386" s="9">
        <v>16</v>
      </c>
      <c r="AD2386" s="17">
        <v>45873</v>
      </c>
      <c r="AE2386" s="56">
        <v>635.29999999999995</v>
      </c>
      <c r="AF2386" s="56"/>
      <c r="AG2386" s="10" t="s">
        <v>134</v>
      </c>
      <c r="AH2386" s="17">
        <v>45874</v>
      </c>
      <c r="AI2386" s="17"/>
      <c r="AJ2386" s="17"/>
      <c r="AK2386" s="9" t="s">
        <v>1216</v>
      </c>
      <c r="AL2386" s="11">
        <v>635.29999999999995</v>
      </c>
      <c r="AN2386" s="11" t="s">
        <v>1225</v>
      </c>
      <c r="AP2386" s="11"/>
      <c r="AQ2386" s="11"/>
      <c r="AR2386" s="11"/>
      <c r="AW2386" s="42">
        <v>45874</v>
      </c>
      <c r="AX2386" s="36">
        <v>4522</v>
      </c>
      <c r="AY2386" s="36"/>
      <c r="AZ2386" s="36"/>
      <c r="BA2386" s="36">
        <v>635.29999999999995</v>
      </c>
      <c r="BD2386" s="9"/>
      <c r="CS2386" s="11">
        <f t="shared" si="166"/>
        <v>635.29999999999995</v>
      </c>
      <c r="CT2386" s="22">
        <f t="shared" si="167"/>
        <v>635.29999999999995</v>
      </c>
      <c r="CU2386" s="22">
        <f t="shared" si="168"/>
        <v>0</v>
      </c>
      <c r="CV2386" s="26">
        <f t="shared" si="165"/>
        <v>0</v>
      </c>
    </row>
    <row r="2387" spans="1:100" x14ac:dyDescent="0.2">
      <c r="A2387" s="9" t="s">
        <v>565</v>
      </c>
      <c r="B2387" s="2">
        <v>132</v>
      </c>
      <c r="C2387" s="3" t="s">
        <v>95</v>
      </c>
      <c r="D2387" s="3" t="s">
        <v>96</v>
      </c>
      <c r="E2387" s="2"/>
      <c r="F2387" s="2"/>
      <c r="G2387" s="2" t="s">
        <v>83</v>
      </c>
      <c r="H2387" s="2">
        <v>2</v>
      </c>
      <c r="I2387" s="8">
        <v>120.16</v>
      </c>
      <c r="J2387" s="8">
        <v>36499</v>
      </c>
      <c r="K2387" s="3">
        <v>0</v>
      </c>
      <c r="L2387" s="3" t="s">
        <v>3</v>
      </c>
      <c r="M2387" s="9" t="s">
        <v>0</v>
      </c>
      <c r="N2387" s="9" t="s">
        <v>47</v>
      </c>
      <c r="O2387" s="9" t="s">
        <v>566</v>
      </c>
      <c r="S2387" s="9" t="s">
        <v>158</v>
      </c>
      <c r="T2387" s="10" t="s">
        <v>83</v>
      </c>
      <c r="U2387" s="10">
        <v>2</v>
      </c>
      <c r="V2387" s="10">
        <v>120.16</v>
      </c>
      <c r="W2387" s="10" t="s">
        <v>710</v>
      </c>
      <c r="X2387" s="17">
        <v>45386</v>
      </c>
      <c r="Y2387" s="17">
        <v>45386</v>
      </c>
      <c r="Z2387" s="19" t="s">
        <v>772</v>
      </c>
      <c r="AA2387" s="210">
        <v>57834</v>
      </c>
      <c r="AB2387" s="9">
        <v>84</v>
      </c>
      <c r="AC2387" s="9">
        <v>17</v>
      </c>
      <c r="AD2387" s="17">
        <v>45904</v>
      </c>
      <c r="AE2387" s="56">
        <v>635.29999999999995</v>
      </c>
      <c r="AF2387" s="56"/>
      <c r="AG2387" s="10" t="s">
        <v>134</v>
      </c>
      <c r="AH2387" s="17">
        <v>45905</v>
      </c>
      <c r="AI2387" s="17"/>
      <c r="AJ2387" s="17"/>
      <c r="AK2387" s="9" t="s">
        <v>1217</v>
      </c>
      <c r="AL2387" s="11">
        <v>635.29999999999995</v>
      </c>
      <c r="AN2387" s="11" t="s">
        <v>1226</v>
      </c>
      <c r="AP2387" s="11"/>
      <c r="AQ2387" s="11"/>
      <c r="AR2387" s="11"/>
      <c r="AW2387" s="42">
        <v>45904</v>
      </c>
      <c r="AX2387" s="36">
        <v>4670</v>
      </c>
      <c r="AY2387" s="36"/>
      <c r="AZ2387" s="36"/>
      <c r="BA2387" s="40">
        <v>635.29999999999995</v>
      </c>
      <c r="BD2387" s="9"/>
      <c r="CS2387" s="11">
        <f t="shared" si="166"/>
        <v>635.29999999999995</v>
      </c>
      <c r="CT2387" s="22">
        <f t="shared" si="167"/>
        <v>635.29999999999995</v>
      </c>
      <c r="CU2387" s="22">
        <f t="shared" si="168"/>
        <v>0</v>
      </c>
      <c r="CV2387" s="26">
        <f t="shared" si="165"/>
        <v>0</v>
      </c>
    </row>
    <row r="2388" spans="1:100" x14ac:dyDescent="0.2">
      <c r="A2388" s="9" t="s">
        <v>565</v>
      </c>
      <c r="B2388" s="2">
        <v>132</v>
      </c>
      <c r="C2388" s="3" t="s">
        <v>95</v>
      </c>
      <c r="D2388" s="3" t="s">
        <v>96</v>
      </c>
      <c r="E2388" s="2"/>
      <c r="F2388" s="2"/>
      <c r="G2388" s="2" t="s">
        <v>83</v>
      </c>
      <c r="H2388" s="2">
        <v>2</v>
      </c>
      <c r="I2388" s="8">
        <v>120.16</v>
      </c>
      <c r="J2388" s="8">
        <v>36499</v>
      </c>
      <c r="K2388" s="3">
        <v>0</v>
      </c>
      <c r="L2388" s="3" t="s">
        <v>3</v>
      </c>
      <c r="M2388" s="9" t="s">
        <v>0</v>
      </c>
      <c r="N2388" s="9" t="s">
        <v>47</v>
      </c>
      <c r="O2388" s="9" t="s">
        <v>566</v>
      </c>
      <c r="S2388" s="9" t="s">
        <v>158</v>
      </c>
      <c r="T2388" s="10" t="s">
        <v>83</v>
      </c>
      <c r="U2388" s="10">
        <v>2</v>
      </c>
      <c r="V2388" s="10">
        <v>120.16</v>
      </c>
      <c r="W2388" s="10" t="s">
        <v>710</v>
      </c>
      <c r="X2388" s="17">
        <v>45386</v>
      </c>
      <c r="Y2388" s="17">
        <v>45386</v>
      </c>
      <c r="Z2388" s="19" t="s">
        <v>772</v>
      </c>
      <c r="AA2388" s="210">
        <v>57834</v>
      </c>
      <c r="AB2388" s="9">
        <v>84</v>
      </c>
      <c r="AC2388" s="9">
        <v>18</v>
      </c>
      <c r="AD2388" s="17">
        <v>45934</v>
      </c>
      <c r="AE2388" s="56">
        <v>635.29999999999995</v>
      </c>
      <c r="AF2388" s="56"/>
      <c r="AP2388" s="11"/>
      <c r="AQ2388" s="11"/>
      <c r="AR2388" s="11"/>
      <c r="AW2388" s="9"/>
      <c r="BD2388" s="9"/>
      <c r="CS2388" s="11">
        <f t="shared" si="166"/>
        <v>0</v>
      </c>
      <c r="CT2388" s="22">
        <f t="shared" si="167"/>
        <v>0</v>
      </c>
      <c r="CU2388" s="22">
        <f t="shared" si="168"/>
        <v>0</v>
      </c>
      <c r="CV2388" s="26">
        <f t="shared" si="165"/>
        <v>635.29999999999995</v>
      </c>
    </row>
    <row r="2389" spans="1:100" x14ac:dyDescent="0.2">
      <c r="A2389" s="9" t="s">
        <v>565</v>
      </c>
      <c r="B2389" s="2">
        <v>132</v>
      </c>
      <c r="C2389" s="3" t="s">
        <v>95</v>
      </c>
      <c r="D2389" s="3" t="s">
        <v>96</v>
      </c>
      <c r="E2389" s="2"/>
      <c r="F2389" s="2"/>
      <c r="G2389" s="2" t="s">
        <v>83</v>
      </c>
      <c r="H2389" s="2">
        <v>2</v>
      </c>
      <c r="I2389" s="8">
        <v>120.16</v>
      </c>
      <c r="J2389" s="8">
        <v>36499</v>
      </c>
      <c r="K2389" s="3">
        <v>0</v>
      </c>
      <c r="L2389" s="3" t="s">
        <v>3</v>
      </c>
      <c r="M2389" s="9" t="s">
        <v>0</v>
      </c>
      <c r="N2389" s="9" t="s">
        <v>47</v>
      </c>
      <c r="O2389" s="9" t="s">
        <v>566</v>
      </c>
      <c r="S2389" s="9" t="s">
        <v>158</v>
      </c>
      <c r="T2389" s="10" t="s">
        <v>83</v>
      </c>
      <c r="U2389" s="10">
        <v>2</v>
      </c>
      <c r="V2389" s="10">
        <v>120.16</v>
      </c>
      <c r="W2389" s="10" t="s">
        <v>710</v>
      </c>
      <c r="X2389" s="17">
        <v>45386</v>
      </c>
      <c r="Y2389" s="17">
        <v>45386</v>
      </c>
      <c r="Z2389" s="19" t="s">
        <v>772</v>
      </c>
      <c r="AA2389" s="210">
        <v>57834</v>
      </c>
      <c r="AB2389" s="9">
        <v>84</v>
      </c>
      <c r="AC2389" s="9">
        <v>19</v>
      </c>
      <c r="AD2389" s="17">
        <v>45965</v>
      </c>
      <c r="AE2389" s="56">
        <v>635.29999999999995</v>
      </c>
      <c r="AF2389" s="56"/>
      <c r="AP2389" s="11"/>
      <c r="AQ2389" s="11"/>
      <c r="AR2389" s="11"/>
      <c r="AW2389" s="9"/>
      <c r="BD2389" s="9"/>
      <c r="CS2389" s="11">
        <f t="shared" si="166"/>
        <v>0</v>
      </c>
      <c r="CT2389" s="22">
        <f t="shared" si="167"/>
        <v>0</v>
      </c>
      <c r="CU2389" s="22">
        <f t="shared" si="168"/>
        <v>0</v>
      </c>
      <c r="CV2389" s="26">
        <f t="shared" si="165"/>
        <v>635.29999999999995</v>
      </c>
    </row>
    <row r="2390" spans="1:100" x14ac:dyDescent="0.2">
      <c r="A2390" s="9" t="s">
        <v>565</v>
      </c>
      <c r="B2390" s="2">
        <v>132</v>
      </c>
      <c r="C2390" s="3" t="s">
        <v>95</v>
      </c>
      <c r="D2390" s="3" t="s">
        <v>96</v>
      </c>
      <c r="E2390" s="2"/>
      <c r="F2390" s="2"/>
      <c r="G2390" s="2" t="s">
        <v>83</v>
      </c>
      <c r="H2390" s="2">
        <v>2</v>
      </c>
      <c r="I2390" s="8">
        <v>120.16</v>
      </c>
      <c r="J2390" s="8">
        <v>36499</v>
      </c>
      <c r="K2390" s="3">
        <v>0</v>
      </c>
      <c r="L2390" s="3" t="s">
        <v>3</v>
      </c>
      <c r="M2390" s="9" t="s">
        <v>0</v>
      </c>
      <c r="N2390" s="9" t="s">
        <v>47</v>
      </c>
      <c r="O2390" s="9" t="s">
        <v>566</v>
      </c>
      <c r="S2390" s="9" t="s">
        <v>158</v>
      </c>
      <c r="T2390" s="10" t="s">
        <v>83</v>
      </c>
      <c r="U2390" s="10">
        <v>2</v>
      </c>
      <c r="V2390" s="10">
        <v>120.16</v>
      </c>
      <c r="W2390" s="10" t="s">
        <v>710</v>
      </c>
      <c r="X2390" s="17">
        <v>45386</v>
      </c>
      <c r="Y2390" s="17">
        <v>45386</v>
      </c>
      <c r="Z2390" s="19" t="s">
        <v>772</v>
      </c>
      <c r="AA2390" s="210">
        <v>57834</v>
      </c>
      <c r="AB2390" s="9">
        <v>84</v>
      </c>
      <c r="AC2390" s="9">
        <v>20</v>
      </c>
      <c r="AD2390" s="17">
        <v>45995</v>
      </c>
      <c r="AE2390" s="56">
        <v>635.29999999999995</v>
      </c>
      <c r="AF2390" s="56"/>
      <c r="AP2390" s="11"/>
      <c r="AQ2390" s="11"/>
      <c r="AR2390" s="11"/>
      <c r="AW2390" s="9"/>
      <c r="BD2390" s="9"/>
      <c r="CS2390" s="11">
        <f t="shared" si="166"/>
        <v>0</v>
      </c>
      <c r="CT2390" s="22">
        <f t="shared" si="167"/>
        <v>0</v>
      </c>
      <c r="CU2390" s="22">
        <f t="shared" si="168"/>
        <v>0</v>
      </c>
      <c r="CV2390" s="26">
        <f t="shared" si="165"/>
        <v>635.29999999999995</v>
      </c>
    </row>
    <row r="2391" spans="1:100" x14ac:dyDescent="0.2">
      <c r="A2391" s="9" t="s">
        <v>565</v>
      </c>
      <c r="B2391" s="2">
        <v>132</v>
      </c>
      <c r="C2391" s="3" t="s">
        <v>95</v>
      </c>
      <c r="D2391" s="3" t="s">
        <v>96</v>
      </c>
      <c r="E2391" s="2"/>
      <c r="F2391" s="2"/>
      <c r="G2391" s="2" t="s">
        <v>83</v>
      </c>
      <c r="H2391" s="2">
        <v>2</v>
      </c>
      <c r="I2391" s="8">
        <v>120.16</v>
      </c>
      <c r="J2391" s="8">
        <v>36499</v>
      </c>
      <c r="K2391" s="3">
        <v>0</v>
      </c>
      <c r="L2391" s="3" t="s">
        <v>3</v>
      </c>
      <c r="M2391" s="9" t="s">
        <v>0</v>
      </c>
      <c r="N2391" s="9" t="s">
        <v>47</v>
      </c>
      <c r="O2391" s="9" t="s">
        <v>566</v>
      </c>
      <c r="S2391" s="9" t="s">
        <v>158</v>
      </c>
      <c r="T2391" s="10" t="s">
        <v>83</v>
      </c>
      <c r="U2391" s="10">
        <v>2</v>
      </c>
      <c r="V2391" s="10">
        <v>120.16</v>
      </c>
      <c r="W2391" s="10" t="s">
        <v>710</v>
      </c>
      <c r="X2391" s="17">
        <v>45386</v>
      </c>
      <c r="Y2391" s="17">
        <v>45386</v>
      </c>
      <c r="Z2391" s="19" t="s">
        <v>772</v>
      </c>
      <c r="AA2391" s="210">
        <v>57834</v>
      </c>
      <c r="AB2391" s="9">
        <v>84</v>
      </c>
      <c r="AC2391" s="9">
        <v>21</v>
      </c>
      <c r="AD2391" s="17">
        <v>46026</v>
      </c>
      <c r="AE2391" s="56">
        <v>635.29999999999995</v>
      </c>
      <c r="AF2391" s="56"/>
      <c r="AP2391" s="11"/>
      <c r="AQ2391" s="11"/>
      <c r="AR2391" s="11"/>
      <c r="AW2391" s="17"/>
      <c r="AX2391" s="86"/>
      <c r="BD2391" s="9"/>
      <c r="CS2391" s="11">
        <f t="shared" si="166"/>
        <v>0</v>
      </c>
      <c r="CT2391" s="22">
        <f t="shared" si="167"/>
        <v>0</v>
      </c>
      <c r="CU2391" s="22">
        <f t="shared" si="168"/>
        <v>0</v>
      </c>
      <c r="CV2391" s="26">
        <f t="shared" si="165"/>
        <v>635.29999999999995</v>
      </c>
    </row>
    <row r="2392" spans="1:100" x14ac:dyDescent="0.2">
      <c r="A2392" s="9" t="s">
        <v>565</v>
      </c>
      <c r="B2392" s="2">
        <v>132</v>
      </c>
      <c r="C2392" s="3" t="s">
        <v>95</v>
      </c>
      <c r="D2392" s="3" t="s">
        <v>96</v>
      </c>
      <c r="E2392" s="2"/>
      <c r="F2392" s="2"/>
      <c r="G2392" s="2" t="s">
        <v>83</v>
      </c>
      <c r="H2392" s="2">
        <v>2</v>
      </c>
      <c r="I2392" s="8">
        <v>120.16</v>
      </c>
      <c r="J2392" s="8">
        <v>36499</v>
      </c>
      <c r="K2392" s="3">
        <v>0</v>
      </c>
      <c r="L2392" s="3" t="s">
        <v>3</v>
      </c>
      <c r="M2392" s="9" t="s">
        <v>0</v>
      </c>
      <c r="N2392" s="9" t="s">
        <v>47</v>
      </c>
      <c r="O2392" s="9" t="s">
        <v>566</v>
      </c>
      <c r="S2392" s="9" t="s">
        <v>158</v>
      </c>
      <c r="T2392" s="10" t="s">
        <v>83</v>
      </c>
      <c r="U2392" s="10">
        <v>2</v>
      </c>
      <c r="V2392" s="10">
        <v>120.16</v>
      </c>
      <c r="W2392" s="10" t="s">
        <v>710</v>
      </c>
      <c r="X2392" s="17">
        <v>45386</v>
      </c>
      <c r="Y2392" s="17">
        <v>45386</v>
      </c>
      <c r="Z2392" s="19" t="s">
        <v>772</v>
      </c>
      <c r="AA2392" s="210">
        <v>57834</v>
      </c>
      <c r="AB2392" s="9">
        <v>84</v>
      </c>
      <c r="AC2392" s="9">
        <v>22</v>
      </c>
      <c r="AD2392" s="17">
        <v>46057</v>
      </c>
      <c r="AE2392" s="56">
        <v>635.29999999999995</v>
      </c>
      <c r="AF2392" s="56"/>
      <c r="AP2392" s="11"/>
      <c r="AQ2392" s="11"/>
      <c r="AR2392" s="11"/>
      <c r="AW2392" s="9"/>
      <c r="BD2392" s="9"/>
      <c r="CS2392" s="11">
        <f t="shared" si="166"/>
        <v>0</v>
      </c>
      <c r="CT2392" s="22">
        <f t="shared" si="167"/>
        <v>0</v>
      </c>
      <c r="CU2392" s="22">
        <f t="shared" si="168"/>
        <v>0</v>
      </c>
      <c r="CV2392" s="26">
        <f t="shared" si="165"/>
        <v>635.29999999999995</v>
      </c>
    </row>
    <row r="2393" spans="1:100" x14ac:dyDescent="0.2">
      <c r="A2393" s="9" t="s">
        <v>565</v>
      </c>
      <c r="B2393" s="2">
        <v>132</v>
      </c>
      <c r="C2393" s="3" t="s">
        <v>95</v>
      </c>
      <c r="D2393" s="3" t="s">
        <v>96</v>
      </c>
      <c r="E2393" s="2"/>
      <c r="F2393" s="2"/>
      <c r="G2393" s="2" t="s">
        <v>83</v>
      </c>
      <c r="H2393" s="2">
        <v>2</v>
      </c>
      <c r="I2393" s="8">
        <v>120.16</v>
      </c>
      <c r="J2393" s="8">
        <v>36499</v>
      </c>
      <c r="K2393" s="3">
        <v>0</v>
      </c>
      <c r="L2393" s="3" t="s">
        <v>3</v>
      </c>
      <c r="M2393" s="9" t="s">
        <v>0</v>
      </c>
      <c r="N2393" s="9" t="s">
        <v>47</v>
      </c>
      <c r="O2393" s="9" t="s">
        <v>566</v>
      </c>
      <c r="S2393" s="9" t="s">
        <v>158</v>
      </c>
      <c r="T2393" s="10" t="s">
        <v>83</v>
      </c>
      <c r="U2393" s="10">
        <v>2</v>
      </c>
      <c r="V2393" s="10">
        <v>120.16</v>
      </c>
      <c r="W2393" s="10" t="s">
        <v>710</v>
      </c>
      <c r="X2393" s="17">
        <v>45386</v>
      </c>
      <c r="Y2393" s="17">
        <v>45386</v>
      </c>
      <c r="Z2393" s="19" t="s">
        <v>772</v>
      </c>
      <c r="AA2393" s="210">
        <v>57834</v>
      </c>
      <c r="AB2393" s="9">
        <v>84</v>
      </c>
      <c r="AC2393" s="9">
        <v>23</v>
      </c>
      <c r="AD2393" s="17">
        <v>46085</v>
      </c>
      <c r="AE2393" s="56">
        <v>635.29999999999995</v>
      </c>
      <c r="AF2393" s="56"/>
      <c r="AP2393" s="11"/>
      <c r="AQ2393" s="11"/>
      <c r="AR2393" s="11"/>
      <c r="AW2393" s="9"/>
      <c r="BD2393" s="9"/>
      <c r="CS2393" s="11">
        <f t="shared" si="166"/>
        <v>0</v>
      </c>
      <c r="CT2393" s="22">
        <f t="shared" si="167"/>
        <v>0</v>
      </c>
      <c r="CU2393" s="22">
        <f t="shared" si="168"/>
        <v>0</v>
      </c>
      <c r="CV2393" s="26">
        <f t="shared" si="165"/>
        <v>635.29999999999995</v>
      </c>
    </row>
    <row r="2394" spans="1:100" x14ac:dyDescent="0.2">
      <c r="A2394" s="9" t="s">
        <v>565</v>
      </c>
      <c r="B2394" s="2">
        <v>132</v>
      </c>
      <c r="C2394" s="3" t="s">
        <v>95</v>
      </c>
      <c r="D2394" s="3" t="s">
        <v>96</v>
      </c>
      <c r="E2394" s="2"/>
      <c r="F2394" s="2"/>
      <c r="G2394" s="2" t="s">
        <v>83</v>
      </c>
      <c r="H2394" s="2">
        <v>2</v>
      </c>
      <c r="I2394" s="8">
        <v>120.16</v>
      </c>
      <c r="J2394" s="8">
        <v>36499</v>
      </c>
      <c r="K2394" s="3">
        <v>0</v>
      </c>
      <c r="L2394" s="3" t="s">
        <v>3</v>
      </c>
      <c r="M2394" s="9" t="s">
        <v>0</v>
      </c>
      <c r="N2394" s="9" t="s">
        <v>47</v>
      </c>
      <c r="O2394" s="9" t="s">
        <v>566</v>
      </c>
      <c r="S2394" s="9" t="s">
        <v>158</v>
      </c>
      <c r="T2394" s="10" t="s">
        <v>83</v>
      </c>
      <c r="U2394" s="10">
        <v>2</v>
      </c>
      <c r="V2394" s="10">
        <v>120.16</v>
      </c>
      <c r="W2394" s="10" t="s">
        <v>710</v>
      </c>
      <c r="X2394" s="17">
        <v>45386</v>
      </c>
      <c r="Y2394" s="17">
        <v>45386</v>
      </c>
      <c r="Z2394" s="19" t="s">
        <v>772</v>
      </c>
      <c r="AA2394" s="210">
        <v>57834</v>
      </c>
      <c r="AB2394" s="9">
        <v>84</v>
      </c>
      <c r="AC2394" s="9">
        <v>24</v>
      </c>
      <c r="AD2394" s="17">
        <v>46116</v>
      </c>
      <c r="AE2394" s="56">
        <v>635.29999999999995</v>
      </c>
      <c r="AF2394" s="56"/>
      <c r="AP2394" s="11"/>
      <c r="AQ2394" s="11"/>
      <c r="AR2394" s="11"/>
      <c r="AW2394" s="9"/>
      <c r="BD2394" s="9"/>
      <c r="CS2394" s="11">
        <f t="shared" si="166"/>
        <v>0</v>
      </c>
      <c r="CT2394" s="22">
        <f t="shared" si="167"/>
        <v>0</v>
      </c>
      <c r="CU2394" s="22">
        <f t="shared" si="168"/>
        <v>0</v>
      </c>
      <c r="CV2394" s="26">
        <f t="shared" si="165"/>
        <v>635.29999999999995</v>
      </c>
    </row>
    <row r="2395" spans="1:100" x14ac:dyDescent="0.2">
      <c r="A2395" s="9" t="s">
        <v>565</v>
      </c>
      <c r="B2395" s="2">
        <v>132</v>
      </c>
      <c r="C2395" s="3" t="s">
        <v>95</v>
      </c>
      <c r="D2395" s="3" t="s">
        <v>96</v>
      </c>
      <c r="E2395" s="2"/>
      <c r="F2395" s="2"/>
      <c r="G2395" s="2" t="s">
        <v>83</v>
      </c>
      <c r="H2395" s="2">
        <v>2</v>
      </c>
      <c r="I2395" s="8">
        <v>120.16</v>
      </c>
      <c r="J2395" s="8">
        <v>36499</v>
      </c>
      <c r="K2395" s="3">
        <v>0</v>
      </c>
      <c r="L2395" s="3" t="s">
        <v>3</v>
      </c>
      <c r="M2395" s="9" t="s">
        <v>0</v>
      </c>
      <c r="N2395" s="9" t="s">
        <v>47</v>
      </c>
      <c r="O2395" s="9" t="s">
        <v>566</v>
      </c>
      <c r="S2395" s="9" t="s">
        <v>158</v>
      </c>
      <c r="T2395" s="10" t="s">
        <v>83</v>
      </c>
      <c r="U2395" s="10">
        <v>2</v>
      </c>
      <c r="V2395" s="10">
        <v>120.16</v>
      </c>
      <c r="W2395" s="10" t="s">
        <v>710</v>
      </c>
      <c r="X2395" s="17">
        <v>45386</v>
      </c>
      <c r="Y2395" s="17">
        <v>45386</v>
      </c>
      <c r="Z2395" s="19" t="s">
        <v>772</v>
      </c>
      <c r="AA2395" s="210">
        <v>57834</v>
      </c>
      <c r="AB2395" s="9">
        <v>84</v>
      </c>
      <c r="AC2395" s="9">
        <v>25</v>
      </c>
      <c r="AD2395" s="17">
        <v>46146</v>
      </c>
      <c r="AE2395" s="56">
        <v>635.29999999999995</v>
      </c>
      <c r="AF2395" s="56"/>
      <c r="AP2395" s="11"/>
      <c r="AQ2395" s="11"/>
      <c r="AR2395" s="11"/>
      <c r="AW2395" s="9"/>
      <c r="BD2395" s="9"/>
      <c r="CS2395" s="11">
        <f t="shared" si="166"/>
        <v>0</v>
      </c>
      <c r="CT2395" s="22">
        <f t="shared" si="167"/>
        <v>0</v>
      </c>
      <c r="CU2395" s="22">
        <f t="shared" si="168"/>
        <v>0</v>
      </c>
      <c r="CV2395" s="26">
        <f t="shared" si="165"/>
        <v>635.29999999999995</v>
      </c>
    </row>
    <row r="2396" spans="1:100" x14ac:dyDescent="0.2">
      <c r="A2396" s="9" t="s">
        <v>565</v>
      </c>
      <c r="B2396" s="2">
        <v>132</v>
      </c>
      <c r="C2396" s="3" t="s">
        <v>95</v>
      </c>
      <c r="D2396" s="3" t="s">
        <v>96</v>
      </c>
      <c r="E2396" s="2"/>
      <c r="F2396" s="2"/>
      <c r="G2396" s="2" t="s">
        <v>83</v>
      </c>
      <c r="H2396" s="2">
        <v>2</v>
      </c>
      <c r="I2396" s="8">
        <v>120.16</v>
      </c>
      <c r="J2396" s="8">
        <v>36499</v>
      </c>
      <c r="K2396" s="3">
        <v>0</v>
      </c>
      <c r="L2396" s="3" t="s">
        <v>3</v>
      </c>
      <c r="M2396" s="9" t="s">
        <v>0</v>
      </c>
      <c r="N2396" s="9" t="s">
        <v>47</v>
      </c>
      <c r="O2396" s="9" t="s">
        <v>566</v>
      </c>
      <c r="S2396" s="9" t="s">
        <v>158</v>
      </c>
      <c r="T2396" s="10" t="s">
        <v>83</v>
      </c>
      <c r="U2396" s="10">
        <v>2</v>
      </c>
      <c r="V2396" s="10">
        <v>120.16</v>
      </c>
      <c r="W2396" s="10" t="s">
        <v>710</v>
      </c>
      <c r="X2396" s="17">
        <v>45386</v>
      </c>
      <c r="Y2396" s="17">
        <v>45386</v>
      </c>
      <c r="Z2396" s="19" t="s">
        <v>772</v>
      </c>
      <c r="AA2396" s="210">
        <v>57834</v>
      </c>
      <c r="AB2396" s="9">
        <v>84</v>
      </c>
      <c r="AC2396" s="9">
        <v>26</v>
      </c>
      <c r="AD2396" s="17">
        <v>46177</v>
      </c>
      <c r="AE2396" s="56">
        <v>635.29999999999995</v>
      </c>
      <c r="AF2396" s="56"/>
      <c r="AP2396" s="11"/>
      <c r="AQ2396" s="11"/>
      <c r="AR2396" s="11"/>
      <c r="AW2396" s="9"/>
      <c r="BD2396" s="9"/>
      <c r="CS2396" s="11">
        <f t="shared" si="166"/>
        <v>0</v>
      </c>
      <c r="CT2396" s="22">
        <f t="shared" si="167"/>
        <v>0</v>
      </c>
      <c r="CU2396" s="22">
        <f t="shared" si="168"/>
        <v>0</v>
      </c>
      <c r="CV2396" s="26">
        <f t="shared" si="165"/>
        <v>635.29999999999995</v>
      </c>
    </row>
    <row r="2397" spans="1:100" x14ac:dyDescent="0.2">
      <c r="A2397" s="9" t="s">
        <v>565</v>
      </c>
      <c r="B2397" s="2">
        <v>132</v>
      </c>
      <c r="C2397" s="3" t="s">
        <v>95</v>
      </c>
      <c r="D2397" s="3" t="s">
        <v>96</v>
      </c>
      <c r="E2397" s="2"/>
      <c r="F2397" s="2"/>
      <c r="G2397" s="2" t="s">
        <v>83</v>
      </c>
      <c r="H2397" s="2">
        <v>2</v>
      </c>
      <c r="I2397" s="8">
        <v>120.16</v>
      </c>
      <c r="J2397" s="8">
        <v>36499</v>
      </c>
      <c r="K2397" s="3">
        <v>0</v>
      </c>
      <c r="L2397" s="3" t="s">
        <v>3</v>
      </c>
      <c r="M2397" s="9" t="s">
        <v>0</v>
      </c>
      <c r="N2397" s="9" t="s">
        <v>47</v>
      </c>
      <c r="O2397" s="9" t="s">
        <v>566</v>
      </c>
      <c r="S2397" s="9" t="s">
        <v>158</v>
      </c>
      <c r="T2397" s="10" t="s">
        <v>83</v>
      </c>
      <c r="U2397" s="10">
        <v>2</v>
      </c>
      <c r="V2397" s="10">
        <v>120.16</v>
      </c>
      <c r="W2397" s="10" t="s">
        <v>710</v>
      </c>
      <c r="X2397" s="17">
        <v>45386</v>
      </c>
      <c r="Y2397" s="17">
        <v>45386</v>
      </c>
      <c r="Z2397" s="19" t="s">
        <v>772</v>
      </c>
      <c r="AA2397" s="210">
        <v>57834</v>
      </c>
      <c r="AB2397" s="9">
        <v>84</v>
      </c>
      <c r="AC2397" s="9">
        <v>27</v>
      </c>
      <c r="AD2397" s="17">
        <v>46207</v>
      </c>
      <c r="AE2397" s="56">
        <v>635.29999999999995</v>
      </c>
      <c r="AF2397" s="56"/>
      <c r="AP2397" s="11"/>
      <c r="AQ2397" s="11"/>
      <c r="AR2397" s="11"/>
      <c r="AW2397" s="9"/>
      <c r="BD2397" s="9"/>
      <c r="CS2397" s="11">
        <f t="shared" si="166"/>
        <v>0</v>
      </c>
      <c r="CT2397" s="22">
        <f t="shared" si="167"/>
        <v>0</v>
      </c>
      <c r="CU2397" s="22">
        <f t="shared" si="168"/>
        <v>0</v>
      </c>
      <c r="CV2397" s="26">
        <f t="shared" si="165"/>
        <v>635.29999999999995</v>
      </c>
    </row>
    <row r="2398" spans="1:100" x14ac:dyDescent="0.2">
      <c r="A2398" s="9" t="s">
        <v>565</v>
      </c>
      <c r="B2398" s="2">
        <v>132</v>
      </c>
      <c r="C2398" s="3" t="s">
        <v>95</v>
      </c>
      <c r="D2398" s="3" t="s">
        <v>96</v>
      </c>
      <c r="E2398" s="2"/>
      <c r="F2398" s="2"/>
      <c r="G2398" s="2" t="s">
        <v>83</v>
      </c>
      <c r="H2398" s="2">
        <v>2</v>
      </c>
      <c r="I2398" s="8">
        <v>120.16</v>
      </c>
      <c r="J2398" s="8">
        <v>36499</v>
      </c>
      <c r="K2398" s="3">
        <v>0</v>
      </c>
      <c r="L2398" s="3" t="s">
        <v>3</v>
      </c>
      <c r="M2398" s="9" t="s">
        <v>0</v>
      </c>
      <c r="N2398" s="9" t="s">
        <v>47</v>
      </c>
      <c r="O2398" s="9" t="s">
        <v>566</v>
      </c>
      <c r="S2398" s="9" t="s">
        <v>158</v>
      </c>
      <c r="T2398" s="10" t="s">
        <v>83</v>
      </c>
      <c r="U2398" s="10">
        <v>2</v>
      </c>
      <c r="V2398" s="10">
        <v>120.16</v>
      </c>
      <c r="W2398" s="10" t="s">
        <v>710</v>
      </c>
      <c r="X2398" s="17">
        <v>45386</v>
      </c>
      <c r="Y2398" s="17">
        <v>45386</v>
      </c>
      <c r="Z2398" s="19" t="s">
        <v>772</v>
      </c>
      <c r="AA2398" s="210">
        <v>57834</v>
      </c>
      <c r="AB2398" s="9">
        <v>84</v>
      </c>
      <c r="AC2398" s="9">
        <v>28</v>
      </c>
      <c r="AD2398" s="17">
        <v>46238</v>
      </c>
      <c r="AE2398" s="56">
        <v>635.29999999999995</v>
      </c>
      <c r="AF2398" s="56"/>
      <c r="AP2398" s="11"/>
      <c r="AQ2398" s="11"/>
      <c r="AR2398" s="11"/>
      <c r="AW2398" s="9"/>
      <c r="BD2398" s="9"/>
      <c r="CS2398" s="11">
        <f t="shared" si="166"/>
        <v>0</v>
      </c>
      <c r="CT2398" s="22">
        <f t="shared" si="167"/>
        <v>0</v>
      </c>
      <c r="CU2398" s="22">
        <f t="shared" si="168"/>
        <v>0</v>
      </c>
      <c r="CV2398" s="26">
        <f t="shared" si="165"/>
        <v>635.29999999999995</v>
      </c>
    </row>
    <row r="2399" spans="1:100" x14ac:dyDescent="0.2">
      <c r="A2399" s="9" t="s">
        <v>565</v>
      </c>
      <c r="B2399" s="2">
        <v>132</v>
      </c>
      <c r="C2399" s="3" t="s">
        <v>95</v>
      </c>
      <c r="D2399" s="3" t="s">
        <v>96</v>
      </c>
      <c r="E2399" s="2"/>
      <c r="F2399" s="2"/>
      <c r="G2399" s="2" t="s">
        <v>83</v>
      </c>
      <c r="H2399" s="2">
        <v>2</v>
      </c>
      <c r="I2399" s="8">
        <v>120.16</v>
      </c>
      <c r="J2399" s="8">
        <v>36499</v>
      </c>
      <c r="K2399" s="3">
        <v>0</v>
      </c>
      <c r="L2399" s="3" t="s">
        <v>3</v>
      </c>
      <c r="M2399" s="9" t="s">
        <v>0</v>
      </c>
      <c r="N2399" s="9" t="s">
        <v>47</v>
      </c>
      <c r="O2399" s="9" t="s">
        <v>566</v>
      </c>
      <c r="S2399" s="9" t="s">
        <v>158</v>
      </c>
      <c r="T2399" s="10" t="s">
        <v>83</v>
      </c>
      <c r="U2399" s="10">
        <v>2</v>
      </c>
      <c r="V2399" s="10">
        <v>120.16</v>
      </c>
      <c r="W2399" s="10" t="s">
        <v>710</v>
      </c>
      <c r="X2399" s="17">
        <v>45386</v>
      </c>
      <c r="Y2399" s="17">
        <v>45386</v>
      </c>
      <c r="Z2399" s="19" t="s">
        <v>772</v>
      </c>
      <c r="AA2399" s="210">
        <v>57834</v>
      </c>
      <c r="AB2399" s="9">
        <v>84</v>
      </c>
      <c r="AC2399" s="9">
        <v>29</v>
      </c>
      <c r="AD2399" s="17">
        <v>46269</v>
      </c>
      <c r="AE2399" s="56">
        <v>635.29999999999995</v>
      </c>
      <c r="AF2399" s="56"/>
      <c r="AP2399" s="11"/>
      <c r="AQ2399" s="11"/>
      <c r="AR2399" s="11"/>
      <c r="AW2399" s="9"/>
      <c r="BD2399" s="9"/>
      <c r="CS2399" s="11">
        <f t="shared" si="166"/>
        <v>0</v>
      </c>
      <c r="CT2399" s="22">
        <f t="shared" si="167"/>
        <v>0</v>
      </c>
      <c r="CU2399" s="22">
        <f t="shared" si="168"/>
        <v>0</v>
      </c>
      <c r="CV2399" s="26">
        <f t="shared" si="165"/>
        <v>635.29999999999995</v>
      </c>
    </row>
    <row r="2400" spans="1:100" x14ac:dyDescent="0.2">
      <c r="A2400" s="9" t="s">
        <v>565</v>
      </c>
      <c r="B2400" s="2">
        <v>132</v>
      </c>
      <c r="C2400" s="3" t="s">
        <v>95</v>
      </c>
      <c r="D2400" s="3" t="s">
        <v>96</v>
      </c>
      <c r="E2400" s="2"/>
      <c r="F2400" s="2"/>
      <c r="G2400" s="2" t="s">
        <v>83</v>
      </c>
      <c r="H2400" s="2">
        <v>2</v>
      </c>
      <c r="I2400" s="8">
        <v>120.16</v>
      </c>
      <c r="J2400" s="8">
        <v>36499</v>
      </c>
      <c r="K2400" s="3">
        <v>0</v>
      </c>
      <c r="L2400" s="3" t="s">
        <v>3</v>
      </c>
      <c r="M2400" s="9" t="s">
        <v>0</v>
      </c>
      <c r="N2400" s="9" t="s">
        <v>47</v>
      </c>
      <c r="O2400" s="9" t="s">
        <v>566</v>
      </c>
      <c r="S2400" s="9" t="s">
        <v>158</v>
      </c>
      <c r="T2400" s="10" t="s">
        <v>83</v>
      </c>
      <c r="U2400" s="10">
        <v>2</v>
      </c>
      <c r="V2400" s="10">
        <v>120.16</v>
      </c>
      <c r="W2400" s="10" t="s">
        <v>710</v>
      </c>
      <c r="X2400" s="17">
        <v>45386</v>
      </c>
      <c r="Y2400" s="17">
        <v>45386</v>
      </c>
      <c r="Z2400" s="19" t="s">
        <v>772</v>
      </c>
      <c r="AA2400" s="210">
        <v>57834</v>
      </c>
      <c r="AB2400" s="9">
        <v>84</v>
      </c>
      <c r="AC2400" s="9">
        <v>30</v>
      </c>
      <c r="AD2400" s="17">
        <v>46299</v>
      </c>
      <c r="AE2400" s="56">
        <v>635.29999999999995</v>
      </c>
      <c r="AF2400" s="56"/>
      <c r="AP2400" s="11"/>
      <c r="AQ2400" s="11"/>
      <c r="AR2400" s="11"/>
      <c r="AW2400" s="9"/>
      <c r="BD2400" s="9"/>
      <c r="CS2400" s="11">
        <f t="shared" si="166"/>
        <v>0</v>
      </c>
      <c r="CT2400" s="22">
        <f t="shared" si="167"/>
        <v>0</v>
      </c>
      <c r="CU2400" s="22">
        <f t="shared" si="168"/>
        <v>0</v>
      </c>
      <c r="CV2400" s="26">
        <f t="shared" si="165"/>
        <v>635.29999999999995</v>
      </c>
    </row>
    <row r="2401" spans="1:100" x14ac:dyDescent="0.2">
      <c r="A2401" s="9" t="s">
        <v>565</v>
      </c>
      <c r="B2401" s="2">
        <v>132</v>
      </c>
      <c r="C2401" s="3" t="s">
        <v>95</v>
      </c>
      <c r="D2401" s="3" t="s">
        <v>96</v>
      </c>
      <c r="E2401" s="2"/>
      <c r="F2401" s="2"/>
      <c r="G2401" s="2" t="s">
        <v>83</v>
      </c>
      <c r="H2401" s="2">
        <v>2</v>
      </c>
      <c r="I2401" s="8">
        <v>120.16</v>
      </c>
      <c r="J2401" s="8">
        <v>36499</v>
      </c>
      <c r="K2401" s="3">
        <v>0</v>
      </c>
      <c r="L2401" s="3" t="s">
        <v>3</v>
      </c>
      <c r="M2401" s="9" t="s">
        <v>0</v>
      </c>
      <c r="N2401" s="9" t="s">
        <v>47</v>
      </c>
      <c r="O2401" s="9" t="s">
        <v>566</v>
      </c>
      <c r="S2401" s="9" t="s">
        <v>158</v>
      </c>
      <c r="T2401" s="10" t="s">
        <v>83</v>
      </c>
      <c r="U2401" s="10">
        <v>2</v>
      </c>
      <c r="V2401" s="10">
        <v>120.16</v>
      </c>
      <c r="W2401" s="10" t="s">
        <v>710</v>
      </c>
      <c r="X2401" s="17">
        <v>45386</v>
      </c>
      <c r="Y2401" s="17">
        <v>45386</v>
      </c>
      <c r="Z2401" s="19" t="s">
        <v>772</v>
      </c>
      <c r="AA2401" s="210">
        <v>57834</v>
      </c>
      <c r="AB2401" s="9">
        <v>84</v>
      </c>
      <c r="AC2401" s="9">
        <v>31</v>
      </c>
      <c r="AD2401" s="17">
        <v>46330</v>
      </c>
      <c r="AE2401" s="56">
        <v>635.29999999999995</v>
      </c>
      <c r="AF2401" s="56"/>
      <c r="AP2401" s="11"/>
      <c r="AQ2401" s="11"/>
      <c r="AR2401" s="11"/>
      <c r="AW2401" s="9"/>
      <c r="BD2401" s="9"/>
      <c r="CS2401" s="11">
        <f t="shared" si="166"/>
        <v>0</v>
      </c>
      <c r="CT2401" s="22">
        <f t="shared" si="167"/>
        <v>0</v>
      </c>
      <c r="CU2401" s="22">
        <f t="shared" si="168"/>
        <v>0</v>
      </c>
      <c r="CV2401" s="26">
        <f t="shared" si="165"/>
        <v>635.29999999999995</v>
      </c>
    </row>
    <row r="2402" spans="1:100" x14ac:dyDescent="0.2">
      <c r="A2402" s="9" t="s">
        <v>565</v>
      </c>
      <c r="B2402" s="2">
        <v>132</v>
      </c>
      <c r="C2402" s="3" t="s">
        <v>95</v>
      </c>
      <c r="D2402" s="3" t="s">
        <v>96</v>
      </c>
      <c r="E2402" s="2"/>
      <c r="F2402" s="2"/>
      <c r="G2402" s="2" t="s">
        <v>83</v>
      </c>
      <c r="H2402" s="2">
        <v>2</v>
      </c>
      <c r="I2402" s="8">
        <v>120.16</v>
      </c>
      <c r="J2402" s="8">
        <v>36499</v>
      </c>
      <c r="K2402" s="3">
        <v>0</v>
      </c>
      <c r="L2402" s="3" t="s">
        <v>3</v>
      </c>
      <c r="M2402" s="9" t="s">
        <v>0</v>
      </c>
      <c r="N2402" s="9" t="s">
        <v>47</v>
      </c>
      <c r="O2402" s="9" t="s">
        <v>566</v>
      </c>
      <c r="S2402" s="9" t="s">
        <v>158</v>
      </c>
      <c r="T2402" s="10" t="s">
        <v>83</v>
      </c>
      <c r="U2402" s="10">
        <v>2</v>
      </c>
      <c r="V2402" s="10">
        <v>120.16</v>
      </c>
      <c r="W2402" s="10" t="s">
        <v>710</v>
      </c>
      <c r="X2402" s="17">
        <v>45386</v>
      </c>
      <c r="Y2402" s="17">
        <v>45386</v>
      </c>
      <c r="Z2402" s="19" t="s">
        <v>772</v>
      </c>
      <c r="AA2402" s="210">
        <v>57834</v>
      </c>
      <c r="AB2402" s="9">
        <v>84</v>
      </c>
      <c r="AC2402" s="9">
        <v>32</v>
      </c>
      <c r="AD2402" s="17">
        <v>46360</v>
      </c>
      <c r="AE2402" s="56">
        <v>635.29999999999995</v>
      </c>
      <c r="AF2402" s="56"/>
      <c r="AP2402" s="11"/>
      <c r="AQ2402" s="11"/>
      <c r="AR2402" s="11"/>
      <c r="AW2402" s="9"/>
      <c r="BD2402" s="9"/>
      <c r="CS2402" s="11">
        <f t="shared" si="166"/>
        <v>0</v>
      </c>
      <c r="CT2402" s="22">
        <f t="shared" si="167"/>
        <v>0</v>
      </c>
      <c r="CU2402" s="22">
        <f t="shared" si="168"/>
        <v>0</v>
      </c>
      <c r="CV2402" s="26">
        <f t="shared" si="165"/>
        <v>635.29999999999995</v>
      </c>
    </row>
    <row r="2403" spans="1:100" x14ac:dyDescent="0.2">
      <c r="A2403" s="9" t="s">
        <v>565</v>
      </c>
      <c r="B2403" s="2">
        <v>132</v>
      </c>
      <c r="C2403" s="3" t="s">
        <v>95</v>
      </c>
      <c r="D2403" s="3" t="s">
        <v>96</v>
      </c>
      <c r="E2403" s="2"/>
      <c r="F2403" s="2"/>
      <c r="G2403" s="2" t="s">
        <v>83</v>
      </c>
      <c r="H2403" s="2">
        <v>2</v>
      </c>
      <c r="I2403" s="8">
        <v>120.16</v>
      </c>
      <c r="J2403" s="8">
        <v>36499</v>
      </c>
      <c r="K2403" s="3">
        <v>0</v>
      </c>
      <c r="L2403" s="3" t="s">
        <v>3</v>
      </c>
      <c r="M2403" s="9" t="s">
        <v>0</v>
      </c>
      <c r="N2403" s="9" t="s">
        <v>47</v>
      </c>
      <c r="O2403" s="9" t="s">
        <v>566</v>
      </c>
      <c r="S2403" s="9" t="s">
        <v>158</v>
      </c>
      <c r="T2403" s="10" t="s">
        <v>83</v>
      </c>
      <c r="U2403" s="10">
        <v>2</v>
      </c>
      <c r="V2403" s="10">
        <v>120.16</v>
      </c>
      <c r="W2403" s="10" t="s">
        <v>710</v>
      </c>
      <c r="X2403" s="17">
        <v>45386</v>
      </c>
      <c r="Y2403" s="17">
        <v>45386</v>
      </c>
      <c r="Z2403" s="19" t="s">
        <v>772</v>
      </c>
      <c r="AA2403" s="210">
        <v>57834</v>
      </c>
      <c r="AB2403" s="9">
        <v>84</v>
      </c>
      <c r="AC2403" s="9">
        <v>33</v>
      </c>
      <c r="AD2403" s="17">
        <v>46391</v>
      </c>
      <c r="AE2403" s="56">
        <v>635.29999999999995</v>
      </c>
      <c r="AF2403" s="56"/>
      <c r="AP2403" s="11"/>
      <c r="AQ2403" s="11"/>
      <c r="AR2403" s="11"/>
      <c r="AW2403" s="9"/>
      <c r="BD2403" s="9"/>
      <c r="CS2403" s="11">
        <f t="shared" si="166"/>
        <v>0</v>
      </c>
      <c r="CT2403" s="22">
        <f t="shared" si="167"/>
        <v>0</v>
      </c>
      <c r="CU2403" s="22">
        <f t="shared" si="168"/>
        <v>0</v>
      </c>
      <c r="CV2403" s="26">
        <f t="shared" si="165"/>
        <v>635.29999999999995</v>
      </c>
    </row>
    <row r="2404" spans="1:100" x14ac:dyDescent="0.2">
      <c r="A2404" s="9" t="s">
        <v>565</v>
      </c>
      <c r="B2404" s="2">
        <v>132</v>
      </c>
      <c r="C2404" s="3" t="s">
        <v>95</v>
      </c>
      <c r="D2404" s="3" t="s">
        <v>96</v>
      </c>
      <c r="E2404" s="2"/>
      <c r="F2404" s="2"/>
      <c r="G2404" s="2" t="s">
        <v>83</v>
      </c>
      <c r="H2404" s="2">
        <v>2</v>
      </c>
      <c r="I2404" s="8">
        <v>120.16</v>
      </c>
      <c r="J2404" s="8">
        <v>36499</v>
      </c>
      <c r="K2404" s="3">
        <v>0</v>
      </c>
      <c r="L2404" s="3" t="s">
        <v>3</v>
      </c>
      <c r="M2404" s="9" t="s">
        <v>0</v>
      </c>
      <c r="N2404" s="9" t="s">
        <v>47</v>
      </c>
      <c r="O2404" s="9" t="s">
        <v>566</v>
      </c>
      <c r="S2404" s="9" t="s">
        <v>158</v>
      </c>
      <c r="T2404" s="10" t="s">
        <v>83</v>
      </c>
      <c r="U2404" s="10">
        <v>2</v>
      </c>
      <c r="V2404" s="10">
        <v>120.16</v>
      </c>
      <c r="W2404" s="10" t="s">
        <v>710</v>
      </c>
      <c r="X2404" s="17">
        <v>45386</v>
      </c>
      <c r="Y2404" s="17">
        <v>45386</v>
      </c>
      <c r="Z2404" s="19" t="s">
        <v>772</v>
      </c>
      <c r="AA2404" s="210">
        <v>57834</v>
      </c>
      <c r="AB2404" s="9">
        <v>84</v>
      </c>
      <c r="AC2404" s="9">
        <v>34</v>
      </c>
      <c r="AD2404" s="17">
        <v>46422</v>
      </c>
      <c r="AE2404" s="56">
        <v>635.29999999999995</v>
      </c>
      <c r="AF2404" s="56"/>
      <c r="AP2404" s="11"/>
      <c r="AQ2404" s="11"/>
      <c r="AR2404" s="11"/>
      <c r="AW2404" s="9"/>
      <c r="BD2404" s="9"/>
      <c r="CS2404" s="11">
        <f t="shared" si="166"/>
        <v>0</v>
      </c>
      <c r="CT2404" s="22">
        <f t="shared" si="167"/>
        <v>0</v>
      </c>
      <c r="CU2404" s="22">
        <f t="shared" si="168"/>
        <v>0</v>
      </c>
      <c r="CV2404" s="26">
        <f t="shared" si="165"/>
        <v>635.29999999999995</v>
      </c>
    </row>
    <row r="2405" spans="1:100" x14ac:dyDescent="0.2">
      <c r="A2405" s="9" t="s">
        <v>565</v>
      </c>
      <c r="B2405" s="2">
        <v>132</v>
      </c>
      <c r="C2405" s="3" t="s">
        <v>95</v>
      </c>
      <c r="D2405" s="3" t="s">
        <v>96</v>
      </c>
      <c r="E2405" s="2"/>
      <c r="F2405" s="2"/>
      <c r="G2405" s="2" t="s">
        <v>83</v>
      </c>
      <c r="H2405" s="2">
        <v>2</v>
      </c>
      <c r="I2405" s="8">
        <v>120.16</v>
      </c>
      <c r="J2405" s="8">
        <v>36499</v>
      </c>
      <c r="K2405" s="3">
        <v>0</v>
      </c>
      <c r="L2405" s="3" t="s">
        <v>3</v>
      </c>
      <c r="M2405" s="9" t="s">
        <v>0</v>
      </c>
      <c r="N2405" s="9" t="s">
        <v>47</v>
      </c>
      <c r="O2405" s="9" t="s">
        <v>566</v>
      </c>
      <c r="S2405" s="9" t="s">
        <v>158</v>
      </c>
      <c r="T2405" s="10" t="s">
        <v>83</v>
      </c>
      <c r="U2405" s="10">
        <v>2</v>
      </c>
      <c r="V2405" s="10">
        <v>120.16</v>
      </c>
      <c r="W2405" s="10" t="s">
        <v>710</v>
      </c>
      <c r="X2405" s="17">
        <v>45386</v>
      </c>
      <c r="Y2405" s="17">
        <v>45386</v>
      </c>
      <c r="Z2405" s="19" t="s">
        <v>772</v>
      </c>
      <c r="AA2405" s="210">
        <v>57834</v>
      </c>
      <c r="AB2405" s="9">
        <v>84</v>
      </c>
      <c r="AC2405" s="9">
        <v>35</v>
      </c>
      <c r="AD2405" s="17">
        <v>46450</v>
      </c>
      <c r="AE2405" s="56">
        <v>635.29999999999995</v>
      </c>
      <c r="AF2405" s="56"/>
      <c r="AP2405" s="11"/>
      <c r="AQ2405" s="11"/>
      <c r="AR2405" s="11"/>
      <c r="AW2405" s="9"/>
      <c r="BD2405" s="9"/>
      <c r="CS2405" s="11">
        <f t="shared" si="166"/>
        <v>0</v>
      </c>
      <c r="CT2405" s="22">
        <f t="shared" si="167"/>
        <v>0</v>
      </c>
      <c r="CU2405" s="22">
        <f t="shared" si="168"/>
        <v>0</v>
      </c>
      <c r="CV2405" s="26">
        <f t="shared" si="165"/>
        <v>635.29999999999995</v>
      </c>
    </row>
    <row r="2406" spans="1:100" x14ac:dyDescent="0.2">
      <c r="A2406" s="9" t="s">
        <v>565</v>
      </c>
      <c r="B2406" s="2">
        <v>132</v>
      </c>
      <c r="C2406" s="3" t="s">
        <v>95</v>
      </c>
      <c r="D2406" s="3" t="s">
        <v>96</v>
      </c>
      <c r="E2406" s="2"/>
      <c r="F2406" s="2"/>
      <c r="G2406" s="2" t="s">
        <v>83</v>
      </c>
      <c r="H2406" s="2">
        <v>2</v>
      </c>
      <c r="I2406" s="8">
        <v>120.16</v>
      </c>
      <c r="J2406" s="8">
        <v>36499</v>
      </c>
      <c r="K2406" s="3">
        <v>0</v>
      </c>
      <c r="L2406" s="3" t="s">
        <v>3</v>
      </c>
      <c r="M2406" s="9" t="s">
        <v>0</v>
      </c>
      <c r="N2406" s="9" t="s">
        <v>47</v>
      </c>
      <c r="O2406" s="9" t="s">
        <v>566</v>
      </c>
      <c r="S2406" s="9" t="s">
        <v>158</v>
      </c>
      <c r="T2406" s="10" t="s">
        <v>83</v>
      </c>
      <c r="U2406" s="10">
        <v>2</v>
      </c>
      <c r="V2406" s="10">
        <v>120.16</v>
      </c>
      <c r="W2406" s="10" t="s">
        <v>710</v>
      </c>
      <c r="X2406" s="17">
        <v>45386</v>
      </c>
      <c r="Y2406" s="17">
        <v>45386</v>
      </c>
      <c r="Z2406" s="19" t="s">
        <v>772</v>
      </c>
      <c r="AA2406" s="210">
        <v>57834</v>
      </c>
      <c r="AB2406" s="9">
        <v>84</v>
      </c>
      <c r="AC2406" s="9">
        <v>36</v>
      </c>
      <c r="AD2406" s="17">
        <v>46481</v>
      </c>
      <c r="AE2406" s="56">
        <v>635.29999999999995</v>
      </c>
      <c r="AF2406" s="56"/>
      <c r="AP2406" s="11"/>
      <c r="AQ2406" s="11"/>
      <c r="AR2406" s="11"/>
      <c r="AW2406" s="9"/>
      <c r="BD2406" s="9"/>
      <c r="CS2406" s="11">
        <f t="shared" si="166"/>
        <v>0</v>
      </c>
      <c r="CT2406" s="22">
        <f t="shared" si="167"/>
        <v>0</v>
      </c>
      <c r="CU2406" s="22">
        <f t="shared" si="168"/>
        <v>0</v>
      </c>
      <c r="CV2406" s="26">
        <f t="shared" si="165"/>
        <v>635.29999999999995</v>
      </c>
    </row>
    <row r="2407" spans="1:100" x14ac:dyDescent="0.2">
      <c r="A2407" s="9" t="s">
        <v>565</v>
      </c>
      <c r="B2407" s="2">
        <v>132</v>
      </c>
      <c r="C2407" s="3" t="s">
        <v>95</v>
      </c>
      <c r="D2407" s="3" t="s">
        <v>96</v>
      </c>
      <c r="E2407" s="2"/>
      <c r="F2407" s="2"/>
      <c r="G2407" s="2" t="s">
        <v>83</v>
      </c>
      <c r="H2407" s="2">
        <v>2</v>
      </c>
      <c r="I2407" s="8">
        <v>120.16</v>
      </c>
      <c r="J2407" s="8">
        <v>36499</v>
      </c>
      <c r="K2407" s="3">
        <v>0</v>
      </c>
      <c r="L2407" s="3" t="s">
        <v>3</v>
      </c>
      <c r="M2407" s="9" t="s">
        <v>0</v>
      </c>
      <c r="N2407" s="9" t="s">
        <v>47</v>
      </c>
      <c r="O2407" s="9" t="s">
        <v>566</v>
      </c>
      <c r="S2407" s="9" t="s">
        <v>158</v>
      </c>
      <c r="T2407" s="10" t="s">
        <v>83</v>
      </c>
      <c r="U2407" s="10">
        <v>2</v>
      </c>
      <c r="V2407" s="10">
        <v>120.16</v>
      </c>
      <c r="W2407" s="10" t="s">
        <v>710</v>
      </c>
      <c r="X2407" s="17">
        <v>45386</v>
      </c>
      <c r="Y2407" s="17">
        <v>45386</v>
      </c>
      <c r="Z2407" s="19" t="s">
        <v>772</v>
      </c>
      <c r="AA2407" s="210">
        <v>57834</v>
      </c>
      <c r="AB2407" s="9">
        <v>84</v>
      </c>
      <c r="AC2407" s="9">
        <v>37</v>
      </c>
      <c r="AD2407" s="17">
        <v>46511</v>
      </c>
      <c r="AE2407" s="56">
        <v>635.29999999999995</v>
      </c>
      <c r="AF2407" s="56"/>
      <c r="AP2407" s="11"/>
      <c r="AQ2407" s="11"/>
      <c r="AR2407" s="11"/>
      <c r="AW2407" s="203"/>
      <c r="AX2407" s="203"/>
      <c r="BA2407" s="205"/>
      <c r="BD2407" s="9"/>
      <c r="CS2407" s="11">
        <f t="shared" si="166"/>
        <v>0</v>
      </c>
      <c r="CT2407" s="22">
        <f t="shared" si="167"/>
        <v>0</v>
      </c>
      <c r="CU2407" s="22">
        <f t="shared" si="168"/>
        <v>0</v>
      </c>
      <c r="CV2407" s="26">
        <f t="shared" si="165"/>
        <v>635.29999999999995</v>
      </c>
    </row>
    <row r="2408" spans="1:100" x14ac:dyDescent="0.2">
      <c r="A2408" s="9" t="s">
        <v>565</v>
      </c>
      <c r="B2408" s="2">
        <v>132</v>
      </c>
      <c r="C2408" s="3" t="s">
        <v>95</v>
      </c>
      <c r="D2408" s="3" t="s">
        <v>96</v>
      </c>
      <c r="E2408" s="2"/>
      <c r="F2408" s="2"/>
      <c r="G2408" s="2" t="s">
        <v>83</v>
      </c>
      <c r="H2408" s="2">
        <v>2</v>
      </c>
      <c r="I2408" s="8">
        <v>120.16</v>
      </c>
      <c r="J2408" s="8">
        <v>36499</v>
      </c>
      <c r="K2408" s="3">
        <v>0</v>
      </c>
      <c r="L2408" s="3" t="s">
        <v>3</v>
      </c>
      <c r="M2408" s="9" t="s">
        <v>0</v>
      </c>
      <c r="N2408" s="9" t="s">
        <v>47</v>
      </c>
      <c r="O2408" s="9" t="s">
        <v>566</v>
      </c>
      <c r="S2408" s="9" t="s">
        <v>158</v>
      </c>
      <c r="T2408" s="10" t="s">
        <v>83</v>
      </c>
      <c r="U2408" s="10">
        <v>2</v>
      </c>
      <c r="V2408" s="10">
        <v>120.16</v>
      </c>
      <c r="W2408" s="10" t="s">
        <v>710</v>
      </c>
      <c r="X2408" s="17">
        <v>45386</v>
      </c>
      <c r="Y2408" s="17">
        <v>45386</v>
      </c>
      <c r="Z2408" s="19" t="s">
        <v>772</v>
      </c>
      <c r="AA2408" s="210">
        <v>57834</v>
      </c>
      <c r="AB2408" s="9">
        <v>84</v>
      </c>
      <c r="AC2408" s="9">
        <v>38</v>
      </c>
      <c r="AD2408" s="17">
        <v>46542</v>
      </c>
      <c r="AE2408" s="56">
        <v>635.29999999999995</v>
      </c>
      <c r="AF2408" s="56"/>
      <c r="AP2408" s="11"/>
      <c r="AQ2408" s="11"/>
      <c r="AR2408" s="11"/>
      <c r="AW2408" s="9"/>
      <c r="BD2408" s="9"/>
      <c r="CS2408" s="11">
        <f t="shared" si="166"/>
        <v>0</v>
      </c>
      <c r="CT2408" s="22">
        <f t="shared" si="167"/>
        <v>0</v>
      </c>
      <c r="CU2408" s="22">
        <f t="shared" si="168"/>
        <v>0</v>
      </c>
      <c r="CV2408" s="26">
        <f t="shared" si="165"/>
        <v>635.29999999999995</v>
      </c>
    </row>
    <row r="2409" spans="1:100" x14ac:dyDescent="0.2">
      <c r="A2409" s="9" t="s">
        <v>565</v>
      </c>
      <c r="B2409" s="2">
        <v>132</v>
      </c>
      <c r="C2409" s="3" t="s">
        <v>95</v>
      </c>
      <c r="D2409" s="3" t="s">
        <v>96</v>
      </c>
      <c r="E2409" s="2"/>
      <c r="F2409" s="2"/>
      <c r="G2409" s="2" t="s">
        <v>83</v>
      </c>
      <c r="H2409" s="2">
        <v>2</v>
      </c>
      <c r="I2409" s="8">
        <v>120.16</v>
      </c>
      <c r="J2409" s="8">
        <v>36499</v>
      </c>
      <c r="K2409" s="3">
        <v>0</v>
      </c>
      <c r="L2409" s="3" t="s">
        <v>3</v>
      </c>
      <c r="M2409" s="9" t="s">
        <v>0</v>
      </c>
      <c r="N2409" s="9" t="s">
        <v>47</v>
      </c>
      <c r="O2409" s="9" t="s">
        <v>566</v>
      </c>
      <c r="S2409" s="9" t="s">
        <v>158</v>
      </c>
      <c r="T2409" s="10" t="s">
        <v>83</v>
      </c>
      <c r="U2409" s="10">
        <v>2</v>
      </c>
      <c r="V2409" s="10">
        <v>120.16</v>
      </c>
      <c r="W2409" s="10" t="s">
        <v>710</v>
      </c>
      <c r="X2409" s="17">
        <v>45386</v>
      </c>
      <c r="Y2409" s="17">
        <v>45386</v>
      </c>
      <c r="Z2409" s="19" t="s">
        <v>772</v>
      </c>
      <c r="AA2409" s="210">
        <v>57834</v>
      </c>
      <c r="AB2409" s="9">
        <v>84</v>
      </c>
      <c r="AC2409" s="9">
        <v>39</v>
      </c>
      <c r="AD2409" s="17">
        <v>46572</v>
      </c>
      <c r="AE2409" s="56">
        <v>635.29999999999995</v>
      </c>
      <c r="AF2409" s="56"/>
      <c r="AP2409" s="11"/>
      <c r="AQ2409" s="11"/>
      <c r="AR2409" s="11"/>
      <c r="AW2409" s="9"/>
      <c r="BD2409" s="9"/>
      <c r="CS2409" s="11">
        <f t="shared" si="166"/>
        <v>0</v>
      </c>
      <c r="CT2409" s="22">
        <f t="shared" si="167"/>
        <v>0</v>
      </c>
      <c r="CU2409" s="22">
        <f t="shared" si="168"/>
        <v>0</v>
      </c>
      <c r="CV2409" s="26">
        <f t="shared" si="165"/>
        <v>635.29999999999995</v>
      </c>
    </row>
    <row r="2410" spans="1:100" x14ac:dyDescent="0.2">
      <c r="A2410" s="9" t="s">
        <v>565</v>
      </c>
      <c r="B2410" s="2">
        <v>132</v>
      </c>
      <c r="C2410" s="3" t="s">
        <v>95</v>
      </c>
      <c r="D2410" s="3" t="s">
        <v>96</v>
      </c>
      <c r="E2410" s="2"/>
      <c r="F2410" s="2"/>
      <c r="G2410" s="2" t="s">
        <v>83</v>
      </c>
      <c r="H2410" s="2">
        <v>2</v>
      </c>
      <c r="I2410" s="8">
        <v>120.16</v>
      </c>
      <c r="J2410" s="8">
        <v>36499</v>
      </c>
      <c r="K2410" s="3">
        <v>0</v>
      </c>
      <c r="L2410" s="3" t="s">
        <v>3</v>
      </c>
      <c r="M2410" s="9" t="s">
        <v>0</v>
      </c>
      <c r="N2410" s="9" t="s">
        <v>47</v>
      </c>
      <c r="O2410" s="9" t="s">
        <v>566</v>
      </c>
      <c r="S2410" s="9" t="s">
        <v>158</v>
      </c>
      <c r="T2410" s="10" t="s">
        <v>83</v>
      </c>
      <c r="U2410" s="10">
        <v>2</v>
      </c>
      <c r="V2410" s="10">
        <v>120.16</v>
      </c>
      <c r="W2410" s="10" t="s">
        <v>710</v>
      </c>
      <c r="X2410" s="17">
        <v>45386</v>
      </c>
      <c r="Y2410" s="17">
        <v>45386</v>
      </c>
      <c r="Z2410" s="19" t="s">
        <v>772</v>
      </c>
      <c r="AA2410" s="210">
        <v>57834</v>
      </c>
      <c r="AB2410" s="9">
        <v>84</v>
      </c>
      <c r="AC2410" s="9">
        <v>40</v>
      </c>
      <c r="AD2410" s="17">
        <v>46603</v>
      </c>
      <c r="AE2410" s="56">
        <v>635.29999999999995</v>
      </c>
      <c r="AF2410" s="56"/>
      <c r="AP2410" s="11"/>
      <c r="AQ2410" s="11"/>
      <c r="AR2410" s="11"/>
      <c r="AW2410" s="9"/>
      <c r="BD2410" s="9"/>
      <c r="CS2410" s="11">
        <f t="shared" si="166"/>
        <v>0</v>
      </c>
      <c r="CT2410" s="22">
        <f t="shared" si="167"/>
        <v>0</v>
      </c>
      <c r="CU2410" s="22">
        <f t="shared" si="168"/>
        <v>0</v>
      </c>
      <c r="CV2410" s="26">
        <f t="shared" si="165"/>
        <v>635.29999999999995</v>
      </c>
    </row>
    <row r="2411" spans="1:100" x14ac:dyDescent="0.2">
      <c r="A2411" s="9" t="s">
        <v>565</v>
      </c>
      <c r="B2411" s="2">
        <v>132</v>
      </c>
      <c r="C2411" s="3" t="s">
        <v>95</v>
      </c>
      <c r="D2411" s="3" t="s">
        <v>96</v>
      </c>
      <c r="E2411" s="2"/>
      <c r="F2411" s="2"/>
      <c r="G2411" s="2" t="s">
        <v>83</v>
      </c>
      <c r="H2411" s="2">
        <v>2</v>
      </c>
      <c r="I2411" s="8">
        <v>120.16</v>
      </c>
      <c r="J2411" s="8">
        <v>36499</v>
      </c>
      <c r="K2411" s="3">
        <v>0</v>
      </c>
      <c r="L2411" s="3" t="s">
        <v>3</v>
      </c>
      <c r="M2411" s="9" t="s">
        <v>0</v>
      </c>
      <c r="N2411" s="9" t="s">
        <v>47</v>
      </c>
      <c r="O2411" s="9" t="s">
        <v>566</v>
      </c>
      <c r="S2411" s="9" t="s">
        <v>158</v>
      </c>
      <c r="T2411" s="10" t="s">
        <v>83</v>
      </c>
      <c r="U2411" s="10">
        <v>2</v>
      </c>
      <c r="V2411" s="10">
        <v>120.16</v>
      </c>
      <c r="W2411" s="10" t="s">
        <v>710</v>
      </c>
      <c r="X2411" s="17">
        <v>45386</v>
      </c>
      <c r="Y2411" s="17">
        <v>45386</v>
      </c>
      <c r="Z2411" s="19" t="s">
        <v>772</v>
      </c>
      <c r="AA2411" s="210">
        <v>57834</v>
      </c>
      <c r="AB2411" s="9">
        <v>84</v>
      </c>
      <c r="AC2411" s="9">
        <v>41</v>
      </c>
      <c r="AD2411" s="17">
        <v>46634</v>
      </c>
      <c r="AE2411" s="56">
        <v>635.29999999999995</v>
      </c>
      <c r="AF2411" s="56"/>
      <c r="AP2411" s="11"/>
      <c r="AQ2411" s="11"/>
      <c r="AR2411" s="11"/>
      <c r="AW2411" s="9"/>
      <c r="BD2411" s="9"/>
      <c r="CS2411" s="11">
        <f t="shared" si="166"/>
        <v>0</v>
      </c>
      <c r="CT2411" s="22">
        <f t="shared" si="167"/>
        <v>0</v>
      </c>
      <c r="CU2411" s="22">
        <f t="shared" si="168"/>
        <v>0</v>
      </c>
      <c r="CV2411" s="26">
        <f t="shared" si="165"/>
        <v>635.29999999999995</v>
      </c>
    </row>
    <row r="2412" spans="1:100" x14ac:dyDescent="0.2">
      <c r="A2412" s="9" t="s">
        <v>565</v>
      </c>
      <c r="B2412" s="2">
        <v>132</v>
      </c>
      <c r="C2412" s="3" t="s">
        <v>95</v>
      </c>
      <c r="D2412" s="3" t="s">
        <v>96</v>
      </c>
      <c r="E2412" s="2"/>
      <c r="F2412" s="2"/>
      <c r="G2412" s="2" t="s">
        <v>83</v>
      </c>
      <c r="H2412" s="2">
        <v>2</v>
      </c>
      <c r="I2412" s="8">
        <v>120.16</v>
      </c>
      <c r="J2412" s="8">
        <v>36499</v>
      </c>
      <c r="K2412" s="3">
        <v>0</v>
      </c>
      <c r="L2412" s="3" t="s">
        <v>3</v>
      </c>
      <c r="M2412" s="9" t="s">
        <v>0</v>
      </c>
      <c r="N2412" s="9" t="s">
        <v>47</v>
      </c>
      <c r="O2412" s="9" t="s">
        <v>566</v>
      </c>
      <c r="S2412" s="9" t="s">
        <v>158</v>
      </c>
      <c r="T2412" s="10" t="s">
        <v>83</v>
      </c>
      <c r="U2412" s="10">
        <v>2</v>
      </c>
      <c r="V2412" s="10">
        <v>120.16</v>
      </c>
      <c r="W2412" s="10" t="s">
        <v>710</v>
      </c>
      <c r="X2412" s="17">
        <v>45386</v>
      </c>
      <c r="Y2412" s="17">
        <v>45386</v>
      </c>
      <c r="Z2412" s="19" t="s">
        <v>772</v>
      </c>
      <c r="AA2412" s="210">
        <v>57834</v>
      </c>
      <c r="AB2412" s="9">
        <v>84</v>
      </c>
      <c r="AC2412" s="9">
        <v>42</v>
      </c>
      <c r="AD2412" s="17">
        <v>46664</v>
      </c>
      <c r="AE2412" s="56">
        <v>635.29999999999995</v>
      </c>
      <c r="AF2412" s="56"/>
      <c r="AP2412" s="11"/>
      <c r="AQ2412" s="11"/>
      <c r="AR2412" s="11"/>
      <c r="AW2412" s="9"/>
      <c r="BD2412" s="9"/>
      <c r="CS2412" s="11">
        <f t="shared" si="166"/>
        <v>0</v>
      </c>
      <c r="CT2412" s="22">
        <f t="shared" si="167"/>
        <v>0</v>
      </c>
      <c r="CU2412" s="22">
        <f t="shared" si="168"/>
        <v>0</v>
      </c>
      <c r="CV2412" s="26">
        <f t="shared" si="165"/>
        <v>635.29999999999995</v>
      </c>
    </row>
    <row r="2413" spans="1:100" x14ac:dyDescent="0.2">
      <c r="A2413" s="9" t="s">
        <v>565</v>
      </c>
      <c r="B2413" s="2">
        <v>132</v>
      </c>
      <c r="C2413" s="3" t="s">
        <v>95</v>
      </c>
      <c r="D2413" s="3" t="s">
        <v>96</v>
      </c>
      <c r="E2413" s="2"/>
      <c r="F2413" s="2"/>
      <c r="G2413" s="2" t="s">
        <v>83</v>
      </c>
      <c r="H2413" s="2">
        <v>2</v>
      </c>
      <c r="I2413" s="8">
        <v>120.16</v>
      </c>
      <c r="J2413" s="8">
        <v>36499</v>
      </c>
      <c r="K2413" s="3">
        <v>0</v>
      </c>
      <c r="L2413" s="3" t="s">
        <v>3</v>
      </c>
      <c r="M2413" s="9" t="s">
        <v>0</v>
      </c>
      <c r="N2413" s="9" t="s">
        <v>47</v>
      </c>
      <c r="O2413" s="9" t="s">
        <v>566</v>
      </c>
      <c r="S2413" s="9" t="s">
        <v>158</v>
      </c>
      <c r="T2413" s="10" t="s">
        <v>83</v>
      </c>
      <c r="U2413" s="10">
        <v>2</v>
      </c>
      <c r="V2413" s="10">
        <v>120.16</v>
      </c>
      <c r="W2413" s="10" t="s">
        <v>710</v>
      </c>
      <c r="X2413" s="17">
        <v>45386</v>
      </c>
      <c r="Y2413" s="17">
        <v>45386</v>
      </c>
      <c r="Z2413" s="19" t="s">
        <v>772</v>
      </c>
      <c r="AA2413" s="210">
        <v>57834</v>
      </c>
      <c r="AB2413" s="9">
        <v>84</v>
      </c>
      <c r="AC2413" s="9">
        <v>43</v>
      </c>
      <c r="AD2413" s="17">
        <v>46695</v>
      </c>
      <c r="AE2413" s="56">
        <v>635.29999999999995</v>
      </c>
      <c r="AF2413" s="56"/>
      <c r="AP2413" s="11"/>
      <c r="AQ2413" s="11"/>
      <c r="AR2413" s="11"/>
      <c r="AW2413" s="9"/>
      <c r="BD2413" s="9"/>
      <c r="CS2413" s="11">
        <f t="shared" si="166"/>
        <v>0</v>
      </c>
      <c r="CT2413" s="22">
        <f t="shared" si="167"/>
        <v>0</v>
      </c>
      <c r="CU2413" s="22">
        <f t="shared" si="168"/>
        <v>0</v>
      </c>
      <c r="CV2413" s="26">
        <f t="shared" si="165"/>
        <v>635.29999999999995</v>
      </c>
    </row>
    <row r="2414" spans="1:100" x14ac:dyDescent="0.2">
      <c r="A2414" s="9" t="s">
        <v>565</v>
      </c>
      <c r="B2414" s="2">
        <v>132</v>
      </c>
      <c r="C2414" s="3" t="s">
        <v>95</v>
      </c>
      <c r="D2414" s="3" t="s">
        <v>96</v>
      </c>
      <c r="E2414" s="2"/>
      <c r="F2414" s="2"/>
      <c r="G2414" s="2" t="s">
        <v>83</v>
      </c>
      <c r="H2414" s="2">
        <v>2</v>
      </c>
      <c r="I2414" s="8">
        <v>120.16</v>
      </c>
      <c r="J2414" s="8">
        <v>36499</v>
      </c>
      <c r="K2414" s="3">
        <v>0</v>
      </c>
      <c r="L2414" s="3" t="s">
        <v>3</v>
      </c>
      <c r="M2414" s="9" t="s">
        <v>0</v>
      </c>
      <c r="N2414" s="9" t="s">
        <v>47</v>
      </c>
      <c r="O2414" s="9" t="s">
        <v>566</v>
      </c>
      <c r="S2414" s="9" t="s">
        <v>158</v>
      </c>
      <c r="T2414" s="10" t="s">
        <v>83</v>
      </c>
      <c r="U2414" s="10">
        <v>2</v>
      </c>
      <c r="V2414" s="10">
        <v>120.16</v>
      </c>
      <c r="W2414" s="10" t="s">
        <v>710</v>
      </c>
      <c r="X2414" s="17">
        <v>45386</v>
      </c>
      <c r="Y2414" s="17">
        <v>45386</v>
      </c>
      <c r="Z2414" s="19" t="s">
        <v>772</v>
      </c>
      <c r="AA2414" s="210">
        <v>57834</v>
      </c>
      <c r="AB2414" s="9">
        <v>84</v>
      </c>
      <c r="AC2414" s="9">
        <v>44</v>
      </c>
      <c r="AD2414" s="17">
        <v>46725</v>
      </c>
      <c r="AE2414" s="56">
        <v>635.29999999999995</v>
      </c>
      <c r="AF2414" s="56"/>
      <c r="AP2414" s="11"/>
      <c r="AQ2414" s="11"/>
      <c r="AR2414" s="11"/>
      <c r="AW2414" s="9"/>
      <c r="BD2414" s="9"/>
      <c r="CS2414" s="11">
        <f t="shared" si="166"/>
        <v>0</v>
      </c>
      <c r="CT2414" s="22">
        <f t="shared" si="167"/>
        <v>0</v>
      </c>
      <c r="CU2414" s="22">
        <f t="shared" si="168"/>
        <v>0</v>
      </c>
      <c r="CV2414" s="26">
        <f t="shared" si="165"/>
        <v>635.29999999999995</v>
      </c>
    </row>
    <row r="2415" spans="1:100" x14ac:dyDescent="0.2">
      <c r="A2415" s="9" t="s">
        <v>565</v>
      </c>
      <c r="B2415" s="2">
        <v>132</v>
      </c>
      <c r="C2415" s="3" t="s">
        <v>95</v>
      </c>
      <c r="D2415" s="3" t="s">
        <v>96</v>
      </c>
      <c r="E2415" s="2"/>
      <c r="F2415" s="2"/>
      <c r="G2415" s="2" t="s">
        <v>83</v>
      </c>
      <c r="H2415" s="2">
        <v>2</v>
      </c>
      <c r="I2415" s="8">
        <v>120.16</v>
      </c>
      <c r="J2415" s="8">
        <v>36499</v>
      </c>
      <c r="K2415" s="3">
        <v>0</v>
      </c>
      <c r="L2415" s="3" t="s">
        <v>3</v>
      </c>
      <c r="M2415" s="9" t="s">
        <v>0</v>
      </c>
      <c r="N2415" s="9" t="s">
        <v>47</v>
      </c>
      <c r="O2415" s="9" t="s">
        <v>566</v>
      </c>
      <c r="S2415" s="9" t="s">
        <v>158</v>
      </c>
      <c r="T2415" s="10" t="s">
        <v>83</v>
      </c>
      <c r="U2415" s="10">
        <v>2</v>
      </c>
      <c r="V2415" s="10">
        <v>120.16</v>
      </c>
      <c r="W2415" s="10" t="s">
        <v>710</v>
      </c>
      <c r="X2415" s="17">
        <v>45386</v>
      </c>
      <c r="Y2415" s="17">
        <v>45386</v>
      </c>
      <c r="Z2415" s="19" t="s">
        <v>772</v>
      </c>
      <c r="AA2415" s="210">
        <v>57834</v>
      </c>
      <c r="AB2415" s="9">
        <v>84</v>
      </c>
      <c r="AC2415" s="9">
        <v>45</v>
      </c>
      <c r="AD2415" s="17">
        <v>46756</v>
      </c>
      <c r="AE2415" s="56">
        <v>635.29999999999995</v>
      </c>
      <c r="AF2415" s="56"/>
      <c r="AP2415" s="11"/>
      <c r="AQ2415" s="11"/>
      <c r="AR2415" s="11"/>
      <c r="AW2415" s="9"/>
      <c r="BD2415" s="9"/>
      <c r="CS2415" s="11">
        <f t="shared" si="166"/>
        <v>0</v>
      </c>
      <c r="CT2415" s="22">
        <f t="shared" si="167"/>
        <v>0</v>
      </c>
      <c r="CU2415" s="22">
        <f t="shared" si="168"/>
        <v>0</v>
      </c>
      <c r="CV2415" s="26">
        <f t="shared" si="165"/>
        <v>635.29999999999995</v>
      </c>
    </row>
    <row r="2416" spans="1:100" x14ac:dyDescent="0.2">
      <c r="A2416" s="9" t="s">
        <v>565</v>
      </c>
      <c r="B2416" s="2">
        <v>132</v>
      </c>
      <c r="C2416" s="3" t="s">
        <v>95</v>
      </c>
      <c r="D2416" s="3" t="s">
        <v>96</v>
      </c>
      <c r="E2416" s="2"/>
      <c r="F2416" s="2"/>
      <c r="G2416" s="2" t="s">
        <v>83</v>
      </c>
      <c r="H2416" s="2">
        <v>2</v>
      </c>
      <c r="I2416" s="8">
        <v>120.16</v>
      </c>
      <c r="J2416" s="8">
        <v>36499</v>
      </c>
      <c r="K2416" s="3">
        <v>0</v>
      </c>
      <c r="L2416" s="3" t="s">
        <v>3</v>
      </c>
      <c r="M2416" s="9" t="s">
        <v>0</v>
      </c>
      <c r="N2416" s="9" t="s">
        <v>47</v>
      </c>
      <c r="O2416" s="9" t="s">
        <v>566</v>
      </c>
      <c r="S2416" s="9" t="s">
        <v>158</v>
      </c>
      <c r="T2416" s="10" t="s">
        <v>83</v>
      </c>
      <c r="U2416" s="10">
        <v>2</v>
      </c>
      <c r="V2416" s="10">
        <v>120.16</v>
      </c>
      <c r="W2416" s="10" t="s">
        <v>710</v>
      </c>
      <c r="X2416" s="17">
        <v>45386</v>
      </c>
      <c r="Y2416" s="17">
        <v>45386</v>
      </c>
      <c r="Z2416" s="19" t="s">
        <v>772</v>
      </c>
      <c r="AA2416" s="210">
        <v>57834</v>
      </c>
      <c r="AB2416" s="9">
        <v>84</v>
      </c>
      <c r="AC2416" s="9">
        <v>46</v>
      </c>
      <c r="AD2416" s="17">
        <v>46787</v>
      </c>
      <c r="AE2416" s="56">
        <v>635.29999999999995</v>
      </c>
      <c r="AF2416" s="56"/>
      <c r="AP2416" s="11"/>
      <c r="AQ2416" s="11"/>
      <c r="AR2416" s="11"/>
      <c r="AW2416" s="9"/>
      <c r="BD2416" s="9"/>
      <c r="CS2416" s="11">
        <f t="shared" si="166"/>
        <v>0</v>
      </c>
      <c r="CT2416" s="22">
        <f t="shared" si="167"/>
        <v>0</v>
      </c>
      <c r="CU2416" s="22">
        <f t="shared" si="168"/>
        <v>0</v>
      </c>
      <c r="CV2416" s="26">
        <f t="shared" si="165"/>
        <v>635.29999999999995</v>
      </c>
    </row>
    <row r="2417" spans="1:100" x14ac:dyDescent="0.2">
      <c r="A2417" s="9" t="s">
        <v>565</v>
      </c>
      <c r="B2417" s="2">
        <v>132</v>
      </c>
      <c r="C2417" s="3" t="s">
        <v>95</v>
      </c>
      <c r="D2417" s="3" t="s">
        <v>96</v>
      </c>
      <c r="E2417" s="2"/>
      <c r="F2417" s="2"/>
      <c r="G2417" s="2" t="s">
        <v>83</v>
      </c>
      <c r="H2417" s="2">
        <v>2</v>
      </c>
      <c r="I2417" s="8">
        <v>120.16</v>
      </c>
      <c r="J2417" s="8">
        <v>36499</v>
      </c>
      <c r="K2417" s="3">
        <v>0</v>
      </c>
      <c r="L2417" s="3" t="s">
        <v>3</v>
      </c>
      <c r="M2417" s="9" t="s">
        <v>0</v>
      </c>
      <c r="N2417" s="9" t="s">
        <v>47</v>
      </c>
      <c r="O2417" s="9" t="s">
        <v>566</v>
      </c>
      <c r="S2417" s="9" t="s">
        <v>158</v>
      </c>
      <c r="T2417" s="10" t="s">
        <v>83</v>
      </c>
      <c r="U2417" s="10">
        <v>2</v>
      </c>
      <c r="V2417" s="10">
        <v>120.16</v>
      </c>
      <c r="W2417" s="10" t="s">
        <v>710</v>
      </c>
      <c r="X2417" s="17">
        <v>45386</v>
      </c>
      <c r="Y2417" s="17">
        <v>45386</v>
      </c>
      <c r="Z2417" s="19" t="s">
        <v>772</v>
      </c>
      <c r="AA2417" s="210">
        <v>57834</v>
      </c>
      <c r="AB2417" s="9">
        <v>84</v>
      </c>
      <c r="AC2417" s="9">
        <v>47</v>
      </c>
      <c r="AD2417" s="17">
        <v>46816</v>
      </c>
      <c r="AE2417" s="56">
        <v>635.29999999999995</v>
      </c>
      <c r="AF2417" s="56"/>
      <c r="AP2417" s="11"/>
      <c r="AQ2417" s="11"/>
      <c r="AR2417" s="11"/>
      <c r="AW2417" s="9"/>
      <c r="BD2417" s="9"/>
      <c r="CS2417" s="11">
        <f t="shared" si="166"/>
        <v>0</v>
      </c>
      <c r="CT2417" s="22">
        <f t="shared" si="167"/>
        <v>0</v>
      </c>
      <c r="CU2417" s="22">
        <f t="shared" si="168"/>
        <v>0</v>
      </c>
      <c r="CV2417" s="26">
        <f t="shared" si="165"/>
        <v>635.29999999999995</v>
      </c>
    </row>
    <row r="2418" spans="1:100" x14ac:dyDescent="0.2">
      <c r="A2418" s="9" t="s">
        <v>565</v>
      </c>
      <c r="B2418" s="2">
        <v>132</v>
      </c>
      <c r="C2418" s="3" t="s">
        <v>95</v>
      </c>
      <c r="D2418" s="3" t="s">
        <v>96</v>
      </c>
      <c r="E2418" s="2"/>
      <c r="F2418" s="2"/>
      <c r="G2418" s="2" t="s">
        <v>83</v>
      </c>
      <c r="H2418" s="2">
        <v>2</v>
      </c>
      <c r="I2418" s="8">
        <v>120.16</v>
      </c>
      <c r="J2418" s="8">
        <v>36499</v>
      </c>
      <c r="K2418" s="3">
        <v>0</v>
      </c>
      <c r="L2418" s="3" t="s">
        <v>3</v>
      </c>
      <c r="M2418" s="9" t="s">
        <v>0</v>
      </c>
      <c r="N2418" s="9" t="s">
        <v>47</v>
      </c>
      <c r="O2418" s="9" t="s">
        <v>566</v>
      </c>
      <c r="S2418" s="9" t="s">
        <v>158</v>
      </c>
      <c r="T2418" s="10" t="s">
        <v>83</v>
      </c>
      <c r="U2418" s="10">
        <v>2</v>
      </c>
      <c r="V2418" s="10">
        <v>120.16</v>
      </c>
      <c r="W2418" s="10" t="s">
        <v>710</v>
      </c>
      <c r="X2418" s="17">
        <v>45386</v>
      </c>
      <c r="Y2418" s="17">
        <v>45386</v>
      </c>
      <c r="Z2418" s="19" t="s">
        <v>772</v>
      </c>
      <c r="AA2418" s="210">
        <v>57834</v>
      </c>
      <c r="AB2418" s="9">
        <v>84</v>
      </c>
      <c r="AC2418" s="9">
        <v>48</v>
      </c>
      <c r="AD2418" s="17">
        <v>46847</v>
      </c>
      <c r="AE2418" s="56">
        <v>635.29999999999995</v>
      </c>
      <c r="AF2418" s="56"/>
      <c r="AP2418" s="11"/>
      <c r="AQ2418" s="11"/>
      <c r="AR2418" s="11"/>
      <c r="AW2418" s="9"/>
      <c r="BD2418" s="9"/>
      <c r="CS2418" s="11">
        <f t="shared" si="166"/>
        <v>0</v>
      </c>
      <c r="CT2418" s="22">
        <f t="shared" si="167"/>
        <v>0</v>
      </c>
      <c r="CU2418" s="22">
        <f t="shared" si="168"/>
        <v>0</v>
      </c>
      <c r="CV2418" s="26">
        <f t="shared" si="165"/>
        <v>635.29999999999995</v>
      </c>
    </row>
    <row r="2419" spans="1:100" x14ac:dyDescent="0.2">
      <c r="A2419" s="9" t="s">
        <v>565</v>
      </c>
      <c r="B2419" s="2">
        <v>132</v>
      </c>
      <c r="C2419" s="3" t="s">
        <v>95</v>
      </c>
      <c r="D2419" s="3" t="s">
        <v>96</v>
      </c>
      <c r="E2419" s="2"/>
      <c r="F2419" s="2"/>
      <c r="G2419" s="2" t="s">
        <v>83</v>
      </c>
      <c r="H2419" s="2">
        <v>2</v>
      </c>
      <c r="I2419" s="8">
        <v>120.16</v>
      </c>
      <c r="J2419" s="8">
        <v>36499</v>
      </c>
      <c r="K2419" s="3">
        <v>0</v>
      </c>
      <c r="L2419" s="3" t="s">
        <v>3</v>
      </c>
      <c r="M2419" s="9" t="s">
        <v>0</v>
      </c>
      <c r="N2419" s="9" t="s">
        <v>47</v>
      </c>
      <c r="O2419" s="9" t="s">
        <v>566</v>
      </c>
      <c r="S2419" s="9" t="s">
        <v>158</v>
      </c>
      <c r="T2419" s="10" t="s">
        <v>83</v>
      </c>
      <c r="U2419" s="10">
        <v>2</v>
      </c>
      <c r="V2419" s="10">
        <v>120.16</v>
      </c>
      <c r="W2419" s="10" t="s">
        <v>710</v>
      </c>
      <c r="X2419" s="17">
        <v>45386</v>
      </c>
      <c r="Y2419" s="17">
        <v>45386</v>
      </c>
      <c r="Z2419" s="19" t="s">
        <v>772</v>
      </c>
      <c r="AA2419" s="210">
        <v>57834</v>
      </c>
      <c r="AB2419" s="9">
        <v>84</v>
      </c>
      <c r="AC2419" s="9">
        <v>49</v>
      </c>
      <c r="AD2419" s="17">
        <v>46877</v>
      </c>
      <c r="AE2419" s="56">
        <v>635.29999999999995</v>
      </c>
      <c r="AF2419" s="56"/>
      <c r="AP2419" s="11"/>
      <c r="AQ2419" s="11"/>
      <c r="AR2419" s="11"/>
      <c r="AW2419" s="9"/>
      <c r="BD2419" s="9"/>
      <c r="CS2419" s="11">
        <f t="shared" si="166"/>
        <v>0</v>
      </c>
      <c r="CT2419" s="22">
        <f t="shared" si="167"/>
        <v>0</v>
      </c>
      <c r="CU2419" s="22">
        <f t="shared" si="168"/>
        <v>0</v>
      </c>
      <c r="CV2419" s="26">
        <f t="shared" si="165"/>
        <v>635.29999999999995</v>
      </c>
    </row>
    <row r="2420" spans="1:100" x14ac:dyDescent="0.2">
      <c r="A2420" s="9" t="s">
        <v>565</v>
      </c>
      <c r="B2420" s="2">
        <v>132</v>
      </c>
      <c r="C2420" s="3" t="s">
        <v>95</v>
      </c>
      <c r="D2420" s="3" t="s">
        <v>96</v>
      </c>
      <c r="E2420" s="2"/>
      <c r="F2420" s="2"/>
      <c r="G2420" s="2" t="s">
        <v>83</v>
      </c>
      <c r="H2420" s="2">
        <v>2</v>
      </c>
      <c r="I2420" s="8">
        <v>120.16</v>
      </c>
      <c r="J2420" s="8">
        <v>36499</v>
      </c>
      <c r="K2420" s="3">
        <v>0</v>
      </c>
      <c r="L2420" s="3" t="s">
        <v>3</v>
      </c>
      <c r="M2420" s="9" t="s">
        <v>0</v>
      </c>
      <c r="N2420" s="9" t="s">
        <v>47</v>
      </c>
      <c r="O2420" s="9" t="s">
        <v>566</v>
      </c>
      <c r="S2420" s="9" t="s">
        <v>158</v>
      </c>
      <c r="T2420" s="10" t="s">
        <v>83</v>
      </c>
      <c r="U2420" s="10">
        <v>2</v>
      </c>
      <c r="V2420" s="10">
        <v>120.16</v>
      </c>
      <c r="W2420" s="10" t="s">
        <v>710</v>
      </c>
      <c r="X2420" s="17">
        <v>45386</v>
      </c>
      <c r="Y2420" s="17">
        <v>45386</v>
      </c>
      <c r="Z2420" s="19" t="s">
        <v>772</v>
      </c>
      <c r="AA2420" s="210">
        <v>57834</v>
      </c>
      <c r="AB2420" s="9">
        <v>84</v>
      </c>
      <c r="AC2420" s="9">
        <v>50</v>
      </c>
      <c r="AD2420" s="17">
        <v>46908</v>
      </c>
      <c r="AE2420" s="56">
        <v>635.29999999999995</v>
      </c>
      <c r="AF2420" s="56"/>
      <c r="AP2420" s="11"/>
      <c r="AQ2420" s="11"/>
      <c r="AR2420" s="11"/>
      <c r="AW2420" s="9"/>
      <c r="BD2420" s="9"/>
      <c r="CS2420" s="11">
        <f t="shared" si="166"/>
        <v>0</v>
      </c>
      <c r="CT2420" s="22">
        <f t="shared" si="167"/>
        <v>0</v>
      </c>
      <c r="CU2420" s="22">
        <f t="shared" si="168"/>
        <v>0</v>
      </c>
      <c r="CV2420" s="26">
        <f t="shared" si="165"/>
        <v>635.29999999999995</v>
      </c>
    </row>
    <row r="2421" spans="1:100" x14ac:dyDescent="0.2">
      <c r="A2421" s="9" t="s">
        <v>565</v>
      </c>
      <c r="B2421" s="2">
        <v>132</v>
      </c>
      <c r="C2421" s="3" t="s">
        <v>95</v>
      </c>
      <c r="D2421" s="3" t="s">
        <v>96</v>
      </c>
      <c r="E2421" s="2"/>
      <c r="F2421" s="2"/>
      <c r="G2421" s="2" t="s">
        <v>83</v>
      </c>
      <c r="H2421" s="2">
        <v>2</v>
      </c>
      <c r="I2421" s="8">
        <v>120.16</v>
      </c>
      <c r="J2421" s="8">
        <v>36499</v>
      </c>
      <c r="K2421" s="3">
        <v>0</v>
      </c>
      <c r="L2421" s="3" t="s">
        <v>3</v>
      </c>
      <c r="M2421" s="9" t="s">
        <v>0</v>
      </c>
      <c r="N2421" s="9" t="s">
        <v>47</v>
      </c>
      <c r="O2421" s="9" t="s">
        <v>566</v>
      </c>
      <c r="S2421" s="9" t="s">
        <v>158</v>
      </c>
      <c r="T2421" s="10" t="s">
        <v>83</v>
      </c>
      <c r="U2421" s="10">
        <v>2</v>
      </c>
      <c r="V2421" s="10">
        <v>120.16</v>
      </c>
      <c r="W2421" s="10" t="s">
        <v>710</v>
      </c>
      <c r="X2421" s="17">
        <v>45386</v>
      </c>
      <c r="Y2421" s="17">
        <v>45386</v>
      </c>
      <c r="Z2421" s="19" t="s">
        <v>772</v>
      </c>
      <c r="AA2421" s="210">
        <v>57834</v>
      </c>
      <c r="AB2421" s="9">
        <v>84</v>
      </c>
      <c r="AC2421" s="9">
        <v>51</v>
      </c>
      <c r="AD2421" s="17">
        <v>46938</v>
      </c>
      <c r="AE2421" s="56">
        <v>635.29999999999995</v>
      </c>
      <c r="AF2421" s="56"/>
      <c r="AP2421" s="11"/>
      <c r="AQ2421" s="11"/>
      <c r="AR2421" s="11"/>
      <c r="AW2421" s="9"/>
      <c r="BD2421" s="9"/>
      <c r="CS2421" s="11">
        <f t="shared" si="166"/>
        <v>0</v>
      </c>
      <c r="CT2421" s="22">
        <f t="shared" si="167"/>
        <v>0</v>
      </c>
      <c r="CU2421" s="22">
        <f t="shared" si="168"/>
        <v>0</v>
      </c>
      <c r="CV2421" s="26">
        <f t="shared" si="165"/>
        <v>635.29999999999995</v>
      </c>
    </row>
    <row r="2422" spans="1:100" x14ac:dyDescent="0.2">
      <c r="A2422" s="9" t="s">
        <v>565</v>
      </c>
      <c r="B2422" s="2">
        <v>132</v>
      </c>
      <c r="C2422" s="3" t="s">
        <v>95</v>
      </c>
      <c r="D2422" s="3" t="s">
        <v>96</v>
      </c>
      <c r="E2422" s="2"/>
      <c r="F2422" s="2"/>
      <c r="G2422" s="2" t="s">
        <v>83</v>
      </c>
      <c r="H2422" s="2">
        <v>2</v>
      </c>
      <c r="I2422" s="8">
        <v>120.16</v>
      </c>
      <c r="J2422" s="8">
        <v>36499</v>
      </c>
      <c r="K2422" s="3">
        <v>0</v>
      </c>
      <c r="L2422" s="3" t="s">
        <v>3</v>
      </c>
      <c r="M2422" s="9" t="s">
        <v>0</v>
      </c>
      <c r="N2422" s="9" t="s">
        <v>47</v>
      </c>
      <c r="O2422" s="9" t="s">
        <v>566</v>
      </c>
      <c r="S2422" s="9" t="s">
        <v>158</v>
      </c>
      <c r="T2422" s="10" t="s">
        <v>83</v>
      </c>
      <c r="U2422" s="10">
        <v>2</v>
      </c>
      <c r="V2422" s="10">
        <v>120.16</v>
      </c>
      <c r="W2422" s="10" t="s">
        <v>710</v>
      </c>
      <c r="X2422" s="17">
        <v>45386</v>
      </c>
      <c r="Y2422" s="17">
        <v>45386</v>
      </c>
      <c r="Z2422" s="19" t="s">
        <v>772</v>
      </c>
      <c r="AA2422" s="210">
        <v>57834</v>
      </c>
      <c r="AB2422" s="9">
        <v>84</v>
      </c>
      <c r="AC2422" s="9">
        <v>52</v>
      </c>
      <c r="AD2422" s="17">
        <v>46969</v>
      </c>
      <c r="AE2422" s="56">
        <v>635.29999999999995</v>
      </c>
      <c r="AF2422" s="56"/>
      <c r="AP2422" s="11"/>
      <c r="AQ2422" s="11"/>
      <c r="AR2422" s="11"/>
      <c r="AW2422" s="9"/>
      <c r="BD2422" s="9"/>
      <c r="CS2422" s="11">
        <f t="shared" si="166"/>
        <v>0</v>
      </c>
      <c r="CT2422" s="22">
        <f t="shared" si="167"/>
        <v>0</v>
      </c>
      <c r="CU2422" s="22">
        <f t="shared" si="168"/>
        <v>0</v>
      </c>
      <c r="CV2422" s="26">
        <f t="shared" si="165"/>
        <v>635.29999999999995</v>
      </c>
    </row>
    <row r="2423" spans="1:100" x14ac:dyDescent="0.2">
      <c r="A2423" s="9" t="s">
        <v>565</v>
      </c>
      <c r="B2423" s="2">
        <v>132</v>
      </c>
      <c r="C2423" s="3" t="s">
        <v>95</v>
      </c>
      <c r="D2423" s="3" t="s">
        <v>96</v>
      </c>
      <c r="E2423" s="2"/>
      <c r="F2423" s="2"/>
      <c r="G2423" s="2" t="s">
        <v>83</v>
      </c>
      <c r="H2423" s="2">
        <v>2</v>
      </c>
      <c r="I2423" s="8">
        <v>120.16</v>
      </c>
      <c r="J2423" s="8">
        <v>36499</v>
      </c>
      <c r="K2423" s="3">
        <v>0</v>
      </c>
      <c r="L2423" s="3" t="s">
        <v>3</v>
      </c>
      <c r="M2423" s="9" t="s">
        <v>0</v>
      </c>
      <c r="N2423" s="9" t="s">
        <v>47</v>
      </c>
      <c r="O2423" s="9" t="s">
        <v>566</v>
      </c>
      <c r="S2423" s="9" t="s">
        <v>158</v>
      </c>
      <c r="T2423" s="10" t="s">
        <v>83</v>
      </c>
      <c r="U2423" s="10">
        <v>2</v>
      </c>
      <c r="V2423" s="10">
        <v>120.16</v>
      </c>
      <c r="W2423" s="10" t="s">
        <v>710</v>
      </c>
      <c r="X2423" s="17">
        <v>45386</v>
      </c>
      <c r="Y2423" s="17">
        <v>45386</v>
      </c>
      <c r="Z2423" s="19" t="s">
        <v>772</v>
      </c>
      <c r="AA2423" s="210">
        <v>57834</v>
      </c>
      <c r="AB2423" s="9">
        <v>84</v>
      </c>
      <c r="AC2423" s="9">
        <v>53</v>
      </c>
      <c r="AD2423" s="17">
        <v>47000</v>
      </c>
      <c r="AE2423" s="56">
        <v>635.29999999999995</v>
      </c>
      <c r="AF2423" s="56"/>
      <c r="AP2423" s="11"/>
      <c r="AQ2423" s="11"/>
      <c r="AR2423" s="11"/>
      <c r="AW2423" s="9"/>
      <c r="BD2423" s="9"/>
      <c r="CS2423" s="11">
        <f t="shared" si="166"/>
        <v>0</v>
      </c>
      <c r="CT2423" s="22">
        <f t="shared" si="167"/>
        <v>0</v>
      </c>
      <c r="CU2423" s="22">
        <f t="shared" si="168"/>
        <v>0</v>
      </c>
      <c r="CV2423" s="26">
        <f t="shared" si="165"/>
        <v>635.29999999999995</v>
      </c>
    </row>
    <row r="2424" spans="1:100" x14ac:dyDescent="0.2">
      <c r="A2424" s="9" t="s">
        <v>565</v>
      </c>
      <c r="B2424" s="2">
        <v>132</v>
      </c>
      <c r="C2424" s="3" t="s">
        <v>95</v>
      </c>
      <c r="D2424" s="3" t="s">
        <v>96</v>
      </c>
      <c r="E2424" s="2"/>
      <c r="F2424" s="2"/>
      <c r="G2424" s="2" t="s">
        <v>83</v>
      </c>
      <c r="H2424" s="2">
        <v>2</v>
      </c>
      <c r="I2424" s="8">
        <v>120.16</v>
      </c>
      <c r="J2424" s="8">
        <v>36499</v>
      </c>
      <c r="K2424" s="3">
        <v>0</v>
      </c>
      <c r="L2424" s="3" t="s">
        <v>3</v>
      </c>
      <c r="M2424" s="9" t="s">
        <v>0</v>
      </c>
      <c r="N2424" s="9" t="s">
        <v>47</v>
      </c>
      <c r="O2424" s="9" t="s">
        <v>566</v>
      </c>
      <c r="S2424" s="9" t="s">
        <v>158</v>
      </c>
      <c r="T2424" s="10" t="s">
        <v>83</v>
      </c>
      <c r="U2424" s="10">
        <v>2</v>
      </c>
      <c r="V2424" s="10">
        <v>120.16</v>
      </c>
      <c r="W2424" s="10" t="s">
        <v>710</v>
      </c>
      <c r="X2424" s="17">
        <v>45386</v>
      </c>
      <c r="Y2424" s="17">
        <v>45386</v>
      </c>
      <c r="Z2424" s="19" t="s">
        <v>772</v>
      </c>
      <c r="AA2424" s="210">
        <v>57834</v>
      </c>
      <c r="AB2424" s="9">
        <v>84</v>
      </c>
      <c r="AC2424" s="9">
        <v>54</v>
      </c>
      <c r="AD2424" s="17">
        <v>47030</v>
      </c>
      <c r="AE2424" s="56">
        <v>635.29999999999995</v>
      </c>
      <c r="AF2424" s="56"/>
      <c r="AP2424" s="11"/>
      <c r="AQ2424" s="11"/>
      <c r="AR2424" s="11"/>
      <c r="AW2424" s="9"/>
      <c r="BD2424" s="9"/>
      <c r="CS2424" s="11">
        <f t="shared" si="166"/>
        <v>0</v>
      </c>
      <c r="CT2424" s="22">
        <f t="shared" si="167"/>
        <v>0</v>
      </c>
      <c r="CU2424" s="22">
        <f t="shared" si="168"/>
        <v>0</v>
      </c>
      <c r="CV2424" s="26">
        <f t="shared" si="165"/>
        <v>635.29999999999995</v>
      </c>
    </row>
    <row r="2425" spans="1:100" x14ac:dyDescent="0.2">
      <c r="A2425" s="9" t="s">
        <v>565</v>
      </c>
      <c r="B2425" s="2">
        <v>132</v>
      </c>
      <c r="C2425" s="3" t="s">
        <v>95</v>
      </c>
      <c r="D2425" s="3" t="s">
        <v>96</v>
      </c>
      <c r="E2425" s="2"/>
      <c r="F2425" s="2"/>
      <c r="G2425" s="2" t="s">
        <v>83</v>
      </c>
      <c r="H2425" s="2">
        <v>2</v>
      </c>
      <c r="I2425" s="8">
        <v>120.16</v>
      </c>
      <c r="J2425" s="8">
        <v>36499</v>
      </c>
      <c r="K2425" s="3">
        <v>0</v>
      </c>
      <c r="L2425" s="3" t="s">
        <v>3</v>
      </c>
      <c r="M2425" s="9" t="s">
        <v>0</v>
      </c>
      <c r="N2425" s="9" t="s">
        <v>47</v>
      </c>
      <c r="O2425" s="9" t="s">
        <v>566</v>
      </c>
      <c r="S2425" s="9" t="s">
        <v>158</v>
      </c>
      <c r="T2425" s="10" t="s">
        <v>83</v>
      </c>
      <c r="U2425" s="10">
        <v>2</v>
      </c>
      <c r="V2425" s="10">
        <v>120.16</v>
      </c>
      <c r="W2425" s="10" t="s">
        <v>710</v>
      </c>
      <c r="X2425" s="17">
        <v>45386</v>
      </c>
      <c r="Y2425" s="17">
        <v>45386</v>
      </c>
      <c r="Z2425" s="19" t="s">
        <v>772</v>
      </c>
      <c r="AA2425" s="210">
        <v>57834</v>
      </c>
      <c r="AB2425" s="9">
        <v>84</v>
      </c>
      <c r="AC2425" s="9">
        <v>55</v>
      </c>
      <c r="AD2425" s="17">
        <v>47061</v>
      </c>
      <c r="AE2425" s="56">
        <v>635.29999999999995</v>
      </c>
      <c r="AF2425" s="56"/>
      <c r="AP2425" s="11"/>
      <c r="AQ2425" s="11"/>
      <c r="AR2425" s="11"/>
      <c r="AW2425" s="9"/>
      <c r="BD2425" s="9"/>
      <c r="CS2425" s="11">
        <f t="shared" si="166"/>
        <v>0</v>
      </c>
      <c r="CT2425" s="22">
        <f t="shared" si="167"/>
        <v>0</v>
      </c>
      <c r="CU2425" s="22">
        <f t="shared" si="168"/>
        <v>0</v>
      </c>
      <c r="CV2425" s="26">
        <f t="shared" ref="CV2425:CV2488" si="169">+AE2425-AL2425-AT2425</f>
        <v>635.29999999999995</v>
      </c>
    </row>
    <row r="2426" spans="1:100" x14ac:dyDescent="0.2">
      <c r="A2426" s="9" t="s">
        <v>565</v>
      </c>
      <c r="B2426" s="2">
        <v>132</v>
      </c>
      <c r="C2426" s="3" t="s">
        <v>95</v>
      </c>
      <c r="D2426" s="3" t="s">
        <v>96</v>
      </c>
      <c r="E2426" s="2"/>
      <c r="F2426" s="2"/>
      <c r="G2426" s="2" t="s">
        <v>83</v>
      </c>
      <c r="H2426" s="2">
        <v>2</v>
      </c>
      <c r="I2426" s="8">
        <v>120.16</v>
      </c>
      <c r="J2426" s="8">
        <v>36499</v>
      </c>
      <c r="K2426" s="3">
        <v>0</v>
      </c>
      <c r="L2426" s="3" t="s">
        <v>3</v>
      </c>
      <c r="M2426" s="9" t="s">
        <v>0</v>
      </c>
      <c r="N2426" s="9" t="s">
        <v>47</v>
      </c>
      <c r="O2426" s="9" t="s">
        <v>566</v>
      </c>
      <c r="S2426" s="9" t="s">
        <v>158</v>
      </c>
      <c r="T2426" s="10" t="s">
        <v>83</v>
      </c>
      <c r="U2426" s="10">
        <v>2</v>
      </c>
      <c r="V2426" s="10">
        <v>120.16</v>
      </c>
      <c r="W2426" s="10" t="s">
        <v>710</v>
      </c>
      <c r="X2426" s="17">
        <v>45386</v>
      </c>
      <c r="Y2426" s="17">
        <v>45386</v>
      </c>
      <c r="Z2426" s="19" t="s">
        <v>772</v>
      </c>
      <c r="AA2426" s="210">
        <v>57834</v>
      </c>
      <c r="AB2426" s="9">
        <v>84</v>
      </c>
      <c r="AC2426" s="9">
        <v>56</v>
      </c>
      <c r="AD2426" s="17">
        <v>47091</v>
      </c>
      <c r="AE2426" s="56">
        <v>635.29999999999995</v>
      </c>
      <c r="AF2426" s="56"/>
      <c r="AP2426" s="11"/>
      <c r="AQ2426" s="11"/>
      <c r="AR2426" s="11"/>
      <c r="AW2426" s="9"/>
      <c r="BD2426" s="9"/>
      <c r="CS2426" s="11">
        <f t="shared" si="166"/>
        <v>0</v>
      </c>
      <c r="CT2426" s="22">
        <f t="shared" si="167"/>
        <v>0</v>
      </c>
      <c r="CU2426" s="22">
        <f t="shared" si="168"/>
        <v>0</v>
      </c>
      <c r="CV2426" s="26">
        <f t="shared" si="169"/>
        <v>635.29999999999995</v>
      </c>
    </row>
    <row r="2427" spans="1:100" x14ac:dyDescent="0.2">
      <c r="A2427" s="9" t="s">
        <v>565</v>
      </c>
      <c r="B2427" s="2">
        <v>132</v>
      </c>
      <c r="C2427" s="3" t="s">
        <v>95</v>
      </c>
      <c r="D2427" s="3" t="s">
        <v>96</v>
      </c>
      <c r="E2427" s="2"/>
      <c r="F2427" s="2"/>
      <c r="G2427" s="2" t="s">
        <v>83</v>
      </c>
      <c r="H2427" s="2">
        <v>2</v>
      </c>
      <c r="I2427" s="8">
        <v>120.16</v>
      </c>
      <c r="J2427" s="8">
        <v>36499</v>
      </c>
      <c r="K2427" s="3">
        <v>0</v>
      </c>
      <c r="L2427" s="3" t="s">
        <v>3</v>
      </c>
      <c r="M2427" s="9" t="s">
        <v>0</v>
      </c>
      <c r="N2427" s="9" t="s">
        <v>47</v>
      </c>
      <c r="O2427" s="9" t="s">
        <v>566</v>
      </c>
      <c r="S2427" s="9" t="s">
        <v>158</v>
      </c>
      <c r="T2427" s="10" t="s">
        <v>83</v>
      </c>
      <c r="U2427" s="10">
        <v>2</v>
      </c>
      <c r="V2427" s="10">
        <v>120.16</v>
      </c>
      <c r="W2427" s="10" t="s">
        <v>710</v>
      </c>
      <c r="X2427" s="17">
        <v>45386</v>
      </c>
      <c r="Y2427" s="17">
        <v>45386</v>
      </c>
      <c r="Z2427" s="19" t="s">
        <v>772</v>
      </c>
      <c r="AA2427" s="210">
        <v>57834</v>
      </c>
      <c r="AB2427" s="9">
        <v>84</v>
      </c>
      <c r="AC2427" s="9">
        <v>57</v>
      </c>
      <c r="AD2427" s="17">
        <v>47122</v>
      </c>
      <c r="AE2427" s="56">
        <v>635.29999999999995</v>
      </c>
      <c r="AF2427" s="56"/>
      <c r="AP2427" s="11"/>
      <c r="AQ2427" s="11"/>
      <c r="AR2427" s="11"/>
      <c r="AW2427" s="9"/>
      <c r="BD2427" s="9"/>
      <c r="CS2427" s="11">
        <f t="shared" si="166"/>
        <v>0</v>
      </c>
      <c r="CT2427" s="22">
        <f t="shared" si="167"/>
        <v>0</v>
      </c>
      <c r="CU2427" s="22">
        <f t="shared" si="168"/>
        <v>0</v>
      </c>
      <c r="CV2427" s="26">
        <f t="shared" si="169"/>
        <v>635.29999999999995</v>
      </c>
    </row>
    <row r="2428" spans="1:100" x14ac:dyDescent="0.2">
      <c r="A2428" s="9" t="s">
        <v>565</v>
      </c>
      <c r="B2428" s="2">
        <v>132</v>
      </c>
      <c r="C2428" s="3" t="s">
        <v>95</v>
      </c>
      <c r="D2428" s="3" t="s">
        <v>96</v>
      </c>
      <c r="E2428" s="2"/>
      <c r="F2428" s="2"/>
      <c r="G2428" s="2" t="s">
        <v>83</v>
      </c>
      <c r="H2428" s="2">
        <v>2</v>
      </c>
      <c r="I2428" s="8">
        <v>120.16</v>
      </c>
      <c r="J2428" s="8">
        <v>36499</v>
      </c>
      <c r="K2428" s="3">
        <v>0</v>
      </c>
      <c r="L2428" s="3" t="s">
        <v>3</v>
      </c>
      <c r="M2428" s="9" t="s">
        <v>0</v>
      </c>
      <c r="N2428" s="9" t="s">
        <v>47</v>
      </c>
      <c r="O2428" s="9" t="s">
        <v>566</v>
      </c>
      <c r="S2428" s="9" t="s">
        <v>158</v>
      </c>
      <c r="T2428" s="10" t="s">
        <v>83</v>
      </c>
      <c r="U2428" s="10">
        <v>2</v>
      </c>
      <c r="V2428" s="10">
        <v>120.16</v>
      </c>
      <c r="W2428" s="10" t="s">
        <v>710</v>
      </c>
      <c r="X2428" s="17">
        <v>45386</v>
      </c>
      <c r="Y2428" s="17">
        <v>45386</v>
      </c>
      <c r="Z2428" s="19" t="s">
        <v>772</v>
      </c>
      <c r="AA2428" s="210">
        <v>57834</v>
      </c>
      <c r="AB2428" s="9">
        <v>84</v>
      </c>
      <c r="AC2428" s="9">
        <v>58</v>
      </c>
      <c r="AD2428" s="17">
        <v>47153</v>
      </c>
      <c r="AE2428" s="56">
        <v>635.29999999999995</v>
      </c>
      <c r="AF2428" s="56"/>
      <c r="AP2428" s="11"/>
      <c r="AQ2428" s="11"/>
      <c r="AR2428" s="11"/>
      <c r="AW2428" s="9"/>
      <c r="BD2428" s="9"/>
      <c r="CS2428" s="11">
        <f t="shared" si="166"/>
        <v>0</v>
      </c>
      <c r="CT2428" s="22">
        <f t="shared" si="167"/>
        <v>0</v>
      </c>
      <c r="CU2428" s="22">
        <f t="shared" si="168"/>
        <v>0</v>
      </c>
      <c r="CV2428" s="26">
        <f t="shared" si="169"/>
        <v>635.29999999999995</v>
      </c>
    </row>
    <row r="2429" spans="1:100" x14ac:dyDescent="0.2">
      <c r="A2429" s="9" t="s">
        <v>565</v>
      </c>
      <c r="B2429" s="2">
        <v>132</v>
      </c>
      <c r="C2429" s="3" t="s">
        <v>95</v>
      </c>
      <c r="D2429" s="3" t="s">
        <v>96</v>
      </c>
      <c r="E2429" s="2"/>
      <c r="F2429" s="2"/>
      <c r="G2429" s="2" t="s">
        <v>83</v>
      </c>
      <c r="H2429" s="2">
        <v>2</v>
      </c>
      <c r="I2429" s="8">
        <v>120.16</v>
      </c>
      <c r="J2429" s="8">
        <v>36499</v>
      </c>
      <c r="K2429" s="3">
        <v>0</v>
      </c>
      <c r="L2429" s="3" t="s">
        <v>3</v>
      </c>
      <c r="M2429" s="9" t="s">
        <v>0</v>
      </c>
      <c r="N2429" s="9" t="s">
        <v>47</v>
      </c>
      <c r="O2429" s="9" t="s">
        <v>566</v>
      </c>
      <c r="S2429" s="9" t="s">
        <v>158</v>
      </c>
      <c r="T2429" s="10" t="s">
        <v>83</v>
      </c>
      <c r="U2429" s="10">
        <v>2</v>
      </c>
      <c r="V2429" s="10">
        <v>120.16</v>
      </c>
      <c r="W2429" s="10" t="s">
        <v>710</v>
      </c>
      <c r="X2429" s="17">
        <v>45386</v>
      </c>
      <c r="Y2429" s="17">
        <v>45386</v>
      </c>
      <c r="Z2429" s="19" t="s">
        <v>772</v>
      </c>
      <c r="AA2429" s="210">
        <v>57834</v>
      </c>
      <c r="AB2429" s="9">
        <v>84</v>
      </c>
      <c r="AC2429" s="9">
        <v>59</v>
      </c>
      <c r="AD2429" s="17">
        <v>47181</v>
      </c>
      <c r="AE2429" s="56">
        <v>635.29999999999995</v>
      </c>
      <c r="AF2429" s="56"/>
      <c r="AP2429" s="11"/>
      <c r="AQ2429" s="11"/>
      <c r="AR2429" s="11"/>
      <c r="AW2429" s="9"/>
      <c r="BD2429" s="9"/>
      <c r="CS2429" s="11">
        <f t="shared" ref="CS2429:CS2492" si="170">+AL2429+AT2429</f>
        <v>0</v>
      </c>
      <c r="CT2429" s="22">
        <f t="shared" ref="CT2429:CT2492" si="171">+BA2429+BG2429+BM2429+BS2429+BY2429+CE2429+CK2429+CQ2429</f>
        <v>0</v>
      </c>
      <c r="CU2429" s="22">
        <f t="shared" ref="CU2429:CU2492" si="172">+CS2429-CT2429</f>
        <v>0</v>
      </c>
      <c r="CV2429" s="26">
        <f t="shared" si="169"/>
        <v>635.29999999999995</v>
      </c>
    </row>
    <row r="2430" spans="1:100" x14ac:dyDescent="0.2">
      <c r="A2430" s="9" t="s">
        <v>565</v>
      </c>
      <c r="B2430" s="2">
        <v>132</v>
      </c>
      <c r="C2430" s="3" t="s">
        <v>95</v>
      </c>
      <c r="D2430" s="3" t="s">
        <v>96</v>
      </c>
      <c r="E2430" s="2"/>
      <c r="F2430" s="2"/>
      <c r="G2430" s="2" t="s">
        <v>83</v>
      </c>
      <c r="H2430" s="2">
        <v>2</v>
      </c>
      <c r="I2430" s="8">
        <v>120.16</v>
      </c>
      <c r="J2430" s="8">
        <v>36499</v>
      </c>
      <c r="K2430" s="3">
        <v>0</v>
      </c>
      <c r="L2430" s="3" t="s">
        <v>3</v>
      </c>
      <c r="M2430" s="9" t="s">
        <v>0</v>
      </c>
      <c r="N2430" s="9" t="s">
        <v>47</v>
      </c>
      <c r="O2430" s="9" t="s">
        <v>566</v>
      </c>
      <c r="S2430" s="9" t="s">
        <v>158</v>
      </c>
      <c r="T2430" s="10" t="s">
        <v>83</v>
      </c>
      <c r="U2430" s="10">
        <v>2</v>
      </c>
      <c r="V2430" s="10">
        <v>120.16</v>
      </c>
      <c r="W2430" s="10" t="s">
        <v>710</v>
      </c>
      <c r="X2430" s="17">
        <v>45386</v>
      </c>
      <c r="Y2430" s="17">
        <v>45386</v>
      </c>
      <c r="Z2430" s="19" t="s">
        <v>772</v>
      </c>
      <c r="AA2430" s="210">
        <v>57834</v>
      </c>
      <c r="AB2430" s="9">
        <v>84</v>
      </c>
      <c r="AC2430" s="9">
        <v>60</v>
      </c>
      <c r="AD2430" s="17">
        <v>47212</v>
      </c>
      <c r="AE2430" s="56">
        <v>635.29999999999995</v>
      </c>
      <c r="AF2430" s="56"/>
      <c r="AP2430" s="11"/>
      <c r="AQ2430" s="11"/>
      <c r="AR2430" s="11"/>
      <c r="AW2430" s="9"/>
      <c r="BD2430" s="9"/>
      <c r="CS2430" s="11">
        <f t="shared" si="170"/>
        <v>0</v>
      </c>
      <c r="CT2430" s="22">
        <f t="shared" si="171"/>
        <v>0</v>
      </c>
      <c r="CU2430" s="22">
        <f t="shared" si="172"/>
        <v>0</v>
      </c>
      <c r="CV2430" s="26">
        <f t="shared" si="169"/>
        <v>635.29999999999995</v>
      </c>
    </row>
    <row r="2431" spans="1:100" x14ac:dyDescent="0.2">
      <c r="A2431" s="9" t="s">
        <v>565</v>
      </c>
      <c r="B2431" s="2">
        <v>132</v>
      </c>
      <c r="C2431" s="3" t="s">
        <v>95</v>
      </c>
      <c r="D2431" s="3" t="s">
        <v>96</v>
      </c>
      <c r="E2431" s="2"/>
      <c r="F2431" s="2"/>
      <c r="G2431" s="2" t="s">
        <v>83</v>
      </c>
      <c r="H2431" s="2">
        <v>2</v>
      </c>
      <c r="I2431" s="8">
        <v>120.16</v>
      </c>
      <c r="J2431" s="8">
        <v>36499</v>
      </c>
      <c r="K2431" s="3">
        <v>0</v>
      </c>
      <c r="L2431" s="3" t="s">
        <v>3</v>
      </c>
      <c r="M2431" s="9" t="s">
        <v>0</v>
      </c>
      <c r="N2431" s="9" t="s">
        <v>47</v>
      </c>
      <c r="O2431" s="9" t="s">
        <v>566</v>
      </c>
      <c r="S2431" s="9" t="s">
        <v>158</v>
      </c>
      <c r="T2431" s="10" t="s">
        <v>83</v>
      </c>
      <c r="U2431" s="10">
        <v>2</v>
      </c>
      <c r="V2431" s="10">
        <v>120.16</v>
      </c>
      <c r="W2431" s="10" t="s">
        <v>710</v>
      </c>
      <c r="X2431" s="17">
        <v>45386</v>
      </c>
      <c r="Y2431" s="17">
        <v>45386</v>
      </c>
      <c r="Z2431" s="19" t="s">
        <v>772</v>
      </c>
      <c r="AA2431" s="210">
        <v>57834</v>
      </c>
      <c r="AB2431" s="9">
        <v>84</v>
      </c>
      <c r="AC2431" s="9">
        <v>61</v>
      </c>
      <c r="AD2431" s="17">
        <v>47242</v>
      </c>
      <c r="AE2431" s="56">
        <v>635.29999999999995</v>
      </c>
      <c r="AF2431" s="56"/>
      <c r="AP2431" s="11"/>
      <c r="AQ2431" s="11"/>
      <c r="AR2431" s="11"/>
      <c r="AW2431" s="9"/>
      <c r="BD2431" s="9"/>
      <c r="CS2431" s="11">
        <f t="shared" si="170"/>
        <v>0</v>
      </c>
      <c r="CT2431" s="22">
        <f t="shared" si="171"/>
        <v>0</v>
      </c>
      <c r="CU2431" s="22">
        <f t="shared" si="172"/>
        <v>0</v>
      </c>
      <c r="CV2431" s="26">
        <f t="shared" si="169"/>
        <v>635.29999999999995</v>
      </c>
    </row>
    <row r="2432" spans="1:100" x14ac:dyDescent="0.2">
      <c r="A2432" s="9" t="s">
        <v>565</v>
      </c>
      <c r="B2432" s="2">
        <v>132</v>
      </c>
      <c r="C2432" s="3" t="s">
        <v>95</v>
      </c>
      <c r="D2432" s="3" t="s">
        <v>96</v>
      </c>
      <c r="E2432" s="2"/>
      <c r="F2432" s="2"/>
      <c r="G2432" s="2" t="s">
        <v>83</v>
      </c>
      <c r="H2432" s="2">
        <v>2</v>
      </c>
      <c r="I2432" s="8">
        <v>120.16</v>
      </c>
      <c r="J2432" s="8">
        <v>36499</v>
      </c>
      <c r="K2432" s="3">
        <v>0</v>
      </c>
      <c r="L2432" s="3" t="s">
        <v>3</v>
      </c>
      <c r="M2432" s="9" t="s">
        <v>0</v>
      </c>
      <c r="N2432" s="9" t="s">
        <v>47</v>
      </c>
      <c r="O2432" s="9" t="s">
        <v>566</v>
      </c>
      <c r="S2432" s="9" t="s">
        <v>158</v>
      </c>
      <c r="T2432" s="10" t="s">
        <v>83</v>
      </c>
      <c r="U2432" s="10">
        <v>2</v>
      </c>
      <c r="V2432" s="10">
        <v>120.16</v>
      </c>
      <c r="W2432" s="10" t="s">
        <v>710</v>
      </c>
      <c r="X2432" s="17">
        <v>45386</v>
      </c>
      <c r="Y2432" s="17">
        <v>45386</v>
      </c>
      <c r="Z2432" s="19" t="s">
        <v>772</v>
      </c>
      <c r="AA2432" s="210">
        <v>57834</v>
      </c>
      <c r="AB2432" s="9">
        <v>84</v>
      </c>
      <c r="AC2432" s="9">
        <v>62</v>
      </c>
      <c r="AD2432" s="17">
        <v>47273</v>
      </c>
      <c r="AE2432" s="56">
        <v>635.29999999999995</v>
      </c>
      <c r="AF2432" s="56"/>
      <c r="AP2432" s="11"/>
      <c r="AQ2432" s="11"/>
      <c r="AR2432" s="11"/>
      <c r="AW2432" s="9"/>
      <c r="BD2432" s="9"/>
      <c r="CS2432" s="11">
        <f t="shared" si="170"/>
        <v>0</v>
      </c>
      <c r="CT2432" s="22">
        <f t="shared" si="171"/>
        <v>0</v>
      </c>
      <c r="CU2432" s="22">
        <f t="shared" si="172"/>
        <v>0</v>
      </c>
      <c r="CV2432" s="26">
        <f t="shared" si="169"/>
        <v>635.29999999999995</v>
      </c>
    </row>
    <row r="2433" spans="1:100" x14ac:dyDescent="0.2">
      <c r="A2433" s="9" t="s">
        <v>565</v>
      </c>
      <c r="B2433" s="2">
        <v>132</v>
      </c>
      <c r="C2433" s="3" t="s">
        <v>95</v>
      </c>
      <c r="D2433" s="3" t="s">
        <v>96</v>
      </c>
      <c r="E2433" s="2"/>
      <c r="F2433" s="2"/>
      <c r="G2433" s="2" t="s">
        <v>83</v>
      </c>
      <c r="H2433" s="2">
        <v>2</v>
      </c>
      <c r="I2433" s="8">
        <v>120.16</v>
      </c>
      <c r="J2433" s="8">
        <v>36499</v>
      </c>
      <c r="K2433" s="3">
        <v>0</v>
      </c>
      <c r="L2433" s="3" t="s">
        <v>3</v>
      </c>
      <c r="M2433" s="9" t="s">
        <v>0</v>
      </c>
      <c r="N2433" s="9" t="s">
        <v>47</v>
      </c>
      <c r="O2433" s="9" t="s">
        <v>566</v>
      </c>
      <c r="S2433" s="9" t="s">
        <v>158</v>
      </c>
      <c r="T2433" s="10" t="s">
        <v>83</v>
      </c>
      <c r="U2433" s="10">
        <v>2</v>
      </c>
      <c r="V2433" s="10">
        <v>120.16</v>
      </c>
      <c r="W2433" s="10" t="s">
        <v>710</v>
      </c>
      <c r="X2433" s="17">
        <v>45386</v>
      </c>
      <c r="Y2433" s="17">
        <v>45386</v>
      </c>
      <c r="Z2433" s="19" t="s">
        <v>772</v>
      </c>
      <c r="AA2433" s="210">
        <v>57834</v>
      </c>
      <c r="AB2433" s="9">
        <v>84</v>
      </c>
      <c r="AC2433" s="9">
        <v>63</v>
      </c>
      <c r="AD2433" s="17">
        <v>47303</v>
      </c>
      <c r="AE2433" s="56">
        <v>635.29999999999995</v>
      </c>
      <c r="AF2433" s="56"/>
      <c r="AP2433" s="11"/>
      <c r="AQ2433" s="11"/>
      <c r="AR2433" s="11"/>
      <c r="AW2433" s="9"/>
      <c r="BD2433" s="9"/>
      <c r="CS2433" s="11">
        <f t="shared" si="170"/>
        <v>0</v>
      </c>
      <c r="CT2433" s="22">
        <f t="shared" si="171"/>
        <v>0</v>
      </c>
      <c r="CU2433" s="22">
        <f t="shared" si="172"/>
        <v>0</v>
      </c>
      <c r="CV2433" s="26">
        <f t="shared" si="169"/>
        <v>635.29999999999995</v>
      </c>
    </row>
    <row r="2434" spans="1:100" x14ac:dyDescent="0.2">
      <c r="A2434" s="9" t="s">
        <v>565</v>
      </c>
      <c r="B2434" s="2">
        <v>132</v>
      </c>
      <c r="C2434" s="3" t="s">
        <v>95</v>
      </c>
      <c r="D2434" s="3" t="s">
        <v>96</v>
      </c>
      <c r="E2434" s="2"/>
      <c r="F2434" s="2"/>
      <c r="G2434" s="2" t="s">
        <v>83</v>
      </c>
      <c r="H2434" s="2">
        <v>2</v>
      </c>
      <c r="I2434" s="8">
        <v>120.16</v>
      </c>
      <c r="J2434" s="8">
        <v>36499</v>
      </c>
      <c r="K2434" s="3">
        <v>0</v>
      </c>
      <c r="L2434" s="3" t="s">
        <v>3</v>
      </c>
      <c r="M2434" s="9" t="s">
        <v>0</v>
      </c>
      <c r="N2434" s="9" t="s">
        <v>47</v>
      </c>
      <c r="O2434" s="9" t="s">
        <v>566</v>
      </c>
      <c r="S2434" s="9" t="s">
        <v>158</v>
      </c>
      <c r="T2434" s="10" t="s">
        <v>83</v>
      </c>
      <c r="U2434" s="10">
        <v>2</v>
      </c>
      <c r="V2434" s="10">
        <v>120.16</v>
      </c>
      <c r="W2434" s="10" t="s">
        <v>710</v>
      </c>
      <c r="X2434" s="17">
        <v>45386</v>
      </c>
      <c r="Y2434" s="17">
        <v>45386</v>
      </c>
      <c r="Z2434" s="19" t="s">
        <v>772</v>
      </c>
      <c r="AA2434" s="210">
        <v>57834</v>
      </c>
      <c r="AB2434" s="9">
        <v>84</v>
      </c>
      <c r="AC2434" s="9">
        <v>64</v>
      </c>
      <c r="AD2434" s="17">
        <v>47334</v>
      </c>
      <c r="AE2434" s="56">
        <v>635.29999999999995</v>
      </c>
      <c r="AF2434" s="56"/>
      <c r="AP2434" s="11"/>
      <c r="AQ2434" s="11"/>
      <c r="AR2434" s="11"/>
      <c r="AW2434" s="9"/>
      <c r="BD2434" s="9"/>
      <c r="CS2434" s="11">
        <f t="shared" si="170"/>
        <v>0</v>
      </c>
      <c r="CT2434" s="22">
        <f t="shared" si="171"/>
        <v>0</v>
      </c>
      <c r="CU2434" s="22">
        <f t="shared" si="172"/>
        <v>0</v>
      </c>
      <c r="CV2434" s="26">
        <f t="shared" si="169"/>
        <v>635.29999999999995</v>
      </c>
    </row>
    <row r="2435" spans="1:100" x14ac:dyDescent="0.2">
      <c r="A2435" s="9" t="s">
        <v>565</v>
      </c>
      <c r="B2435" s="2">
        <v>132</v>
      </c>
      <c r="C2435" s="3" t="s">
        <v>95</v>
      </c>
      <c r="D2435" s="3" t="s">
        <v>96</v>
      </c>
      <c r="E2435" s="2"/>
      <c r="F2435" s="2"/>
      <c r="G2435" s="2" t="s">
        <v>83</v>
      </c>
      <c r="H2435" s="2">
        <v>2</v>
      </c>
      <c r="I2435" s="8">
        <v>120.16</v>
      </c>
      <c r="J2435" s="8">
        <v>36499</v>
      </c>
      <c r="K2435" s="3">
        <v>0</v>
      </c>
      <c r="L2435" s="3" t="s">
        <v>3</v>
      </c>
      <c r="M2435" s="9" t="s">
        <v>0</v>
      </c>
      <c r="N2435" s="9" t="s">
        <v>47</v>
      </c>
      <c r="O2435" s="9" t="s">
        <v>566</v>
      </c>
      <c r="S2435" s="9" t="s">
        <v>158</v>
      </c>
      <c r="T2435" s="10" t="s">
        <v>83</v>
      </c>
      <c r="U2435" s="10">
        <v>2</v>
      </c>
      <c r="V2435" s="10">
        <v>120.16</v>
      </c>
      <c r="W2435" s="10" t="s">
        <v>710</v>
      </c>
      <c r="X2435" s="17">
        <v>45386</v>
      </c>
      <c r="Y2435" s="17">
        <v>45386</v>
      </c>
      <c r="Z2435" s="19" t="s">
        <v>772</v>
      </c>
      <c r="AA2435" s="210">
        <v>57834</v>
      </c>
      <c r="AB2435" s="9">
        <v>84</v>
      </c>
      <c r="AC2435" s="9">
        <v>65</v>
      </c>
      <c r="AD2435" s="17">
        <v>47365</v>
      </c>
      <c r="AE2435" s="56">
        <v>635.29999999999995</v>
      </c>
      <c r="AF2435" s="56"/>
      <c r="AP2435" s="11"/>
      <c r="AQ2435" s="11"/>
      <c r="AR2435" s="11"/>
      <c r="AW2435" s="9"/>
      <c r="BD2435" s="9"/>
      <c r="CS2435" s="11">
        <f t="shared" si="170"/>
        <v>0</v>
      </c>
      <c r="CT2435" s="22">
        <f t="shared" si="171"/>
        <v>0</v>
      </c>
      <c r="CU2435" s="22">
        <f t="shared" si="172"/>
        <v>0</v>
      </c>
      <c r="CV2435" s="26">
        <f t="shared" si="169"/>
        <v>635.29999999999995</v>
      </c>
    </row>
    <row r="2436" spans="1:100" x14ac:dyDescent="0.2">
      <c r="A2436" s="9" t="s">
        <v>565</v>
      </c>
      <c r="B2436" s="2">
        <v>132</v>
      </c>
      <c r="C2436" s="3" t="s">
        <v>95</v>
      </c>
      <c r="D2436" s="3" t="s">
        <v>96</v>
      </c>
      <c r="E2436" s="2"/>
      <c r="F2436" s="2"/>
      <c r="G2436" s="2" t="s">
        <v>83</v>
      </c>
      <c r="H2436" s="2">
        <v>2</v>
      </c>
      <c r="I2436" s="8">
        <v>120.16</v>
      </c>
      <c r="J2436" s="8">
        <v>36499</v>
      </c>
      <c r="K2436" s="3">
        <v>0</v>
      </c>
      <c r="L2436" s="3" t="s">
        <v>3</v>
      </c>
      <c r="M2436" s="9" t="s">
        <v>0</v>
      </c>
      <c r="N2436" s="9" t="s">
        <v>47</v>
      </c>
      <c r="O2436" s="9" t="s">
        <v>566</v>
      </c>
      <c r="S2436" s="9" t="s">
        <v>158</v>
      </c>
      <c r="T2436" s="10" t="s">
        <v>83</v>
      </c>
      <c r="U2436" s="10">
        <v>2</v>
      </c>
      <c r="V2436" s="10">
        <v>120.16</v>
      </c>
      <c r="W2436" s="10" t="s">
        <v>710</v>
      </c>
      <c r="X2436" s="17">
        <v>45386</v>
      </c>
      <c r="Y2436" s="17">
        <v>45386</v>
      </c>
      <c r="Z2436" s="19" t="s">
        <v>772</v>
      </c>
      <c r="AA2436" s="210">
        <v>57834</v>
      </c>
      <c r="AB2436" s="9">
        <v>84</v>
      </c>
      <c r="AC2436" s="9">
        <v>66</v>
      </c>
      <c r="AD2436" s="17">
        <v>47395</v>
      </c>
      <c r="AE2436" s="56">
        <v>635.29999999999995</v>
      </c>
      <c r="AF2436" s="56"/>
      <c r="AP2436" s="11"/>
      <c r="AQ2436" s="11"/>
      <c r="AR2436" s="11"/>
      <c r="AW2436" s="9"/>
      <c r="BD2436" s="9"/>
      <c r="CS2436" s="11">
        <f t="shared" si="170"/>
        <v>0</v>
      </c>
      <c r="CT2436" s="22">
        <f t="shared" si="171"/>
        <v>0</v>
      </c>
      <c r="CU2436" s="22">
        <f t="shared" si="172"/>
        <v>0</v>
      </c>
      <c r="CV2436" s="26">
        <f t="shared" si="169"/>
        <v>635.29999999999995</v>
      </c>
    </row>
    <row r="2437" spans="1:100" x14ac:dyDescent="0.2">
      <c r="A2437" s="9" t="s">
        <v>565</v>
      </c>
      <c r="B2437" s="2">
        <v>132</v>
      </c>
      <c r="C2437" s="3" t="s">
        <v>95</v>
      </c>
      <c r="D2437" s="3" t="s">
        <v>96</v>
      </c>
      <c r="E2437" s="2"/>
      <c r="F2437" s="2"/>
      <c r="G2437" s="2" t="s">
        <v>83</v>
      </c>
      <c r="H2437" s="2">
        <v>2</v>
      </c>
      <c r="I2437" s="8">
        <v>120.16</v>
      </c>
      <c r="J2437" s="8">
        <v>36499</v>
      </c>
      <c r="K2437" s="3">
        <v>0</v>
      </c>
      <c r="L2437" s="3" t="s">
        <v>3</v>
      </c>
      <c r="M2437" s="9" t="s">
        <v>0</v>
      </c>
      <c r="N2437" s="9" t="s">
        <v>47</v>
      </c>
      <c r="O2437" s="9" t="s">
        <v>566</v>
      </c>
      <c r="S2437" s="9" t="s">
        <v>158</v>
      </c>
      <c r="T2437" s="10" t="s">
        <v>83</v>
      </c>
      <c r="U2437" s="10">
        <v>2</v>
      </c>
      <c r="V2437" s="10">
        <v>120.16</v>
      </c>
      <c r="W2437" s="10" t="s">
        <v>710</v>
      </c>
      <c r="X2437" s="17">
        <v>45386</v>
      </c>
      <c r="Y2437" s="17">
        <v>45386</v>
      </c>
      <c r="Z2437" s="19" t="s">
        <v>772</v>
      </c>
      <c r="AA2437" s="210">
        <v>57834</v>
      </c>
      <c r="AB2437" s="9">
        <v>84</v>
      </c>
      <c r="AC2437" s="9">
        <v>67</v>
      </c>
      <c r="AD2437" s="17">
        <v>47426</v>
      </c>
      <c r="AE2437" s="56">
        <v>635.29999999999995</v>
      </c>
      <c r="AF2437" s="56"/>
      <c r="AP2437" s="11"/>
      <c r="AQ2437" s="11"/>
      <c r="AR2437" s="11"/>
      <c r="AW2437" s="9"/>
      <c r="BD2437" s="9"/>
      <c r="CS2437" s="11">
        <f t="shared" si="170"/>
        <v>0</v>
      </c>
      <c r="CT2437" s="22">
        <f t="shared" si="171"/>
        <v>0</v>
      </c>
      <c r="CU2437" s="22">
        <f t="shared" si="172"/>
        <v>0</v>
      </c>
      <c r="CV2437" s="26">
        <f t="shared" si="169"/>
        <v>635.29999999999995</v>
      </c>
    </row>
    <row r="2438" spans="1:100" x14ac:dyDescent="0.2">
      <c r="A2438" s="9" t="s">
        <v>565</v>
      </c>
      <c r="B2438" s="2">
        <v>132</v>
      </c>
      <c r="C2438" s="3" t="s">
        <v>95</v>
      </c>
      <c r="D2438" s="3" t="s">
        <v>96</v>
      </c>
      <c r="E2438" s="2"/>
      <c r="F2438" s="2"/>
      <c r="G2438" s="2" t="s">
        <v>83</v>
      </c>
      <c r="H2438" s="2">
        <v>2</v>
      </c>
      <c r="I2438" s="8">
        <v>120.16</v>
      </c>
      <c r="J2438" s="8">
        <v>36499</v>
      </c>
      <c r="K2438" s="3">
        <v>0</v>
      </c>
      <c r="L2438" s="3" t="s">
        <v>3</v>
      </c>
      <c r="M2438" s="9" t="s">
        <v>0</v>
      </c>
      <c r="N2438" s="9" t="s">
        <v>47</v>
      </c>
      <c r="O2438" s="9" t="s">
        <v>566</v>
      </c>
      <c r="S2438" s="9" t="s">
        <v>158</v>
      </c>
      <c r="T2438" s="10" t="s">
        <v>83</v>
      </c>
      <c r="U2438" s="10">
        <v>2</v>
      </c>
      <c r="V2438" s="10">
        <v>120.16</v>
      </c>
      <c r="W2438" s="10" t="s">
        <v>710</v>
      </c>
      <c r="X2438" s="17">
        <v>45386</v>
      </c>
      <c r="Y2438" s="17">
        <v>45386</v>
      </c>
      <c r="Z2438" s="19" t="s">
        <v>772</v>
      </c>
      <c r="AA2438" s="210">
        <v>57834</v>
      </c>
      <c r="AB2438" s="9">
        <v>84</v>
      </c>
      <c r="AC2438" s="9">
        <v>68</v>
      </c>
      <c r="AD2438" s="17">
        <v>47456</v>
      </c>
      <c r="AE2438" s="56">
        <v>635.29999999999995</v>
      </c>
      <c r="AF2438" s="56"/>
      <c r="AP2438" s="11"/>
      <c r="AQ2438" s="11"/>
      <c r="AR2438" s="11"/>
      <c r="AW2438" s="9"/>
      <c r="BD2438" s="9"/>
      <c r="CS2438" s="11">
        <f t="shared" si="170"/>
        <v>0</v>
      </c>
      <c r="CT2438" s="22">
        <f t="shared" si="171"/>
        <v>0</v>
      </c>
      <c r="CU2438" s="22">
        <f t="shared" si="172"/>
        <v>0</v>
      </c>
      <c r="CV2438" s="26">
        <f t="shared" si="169"/>
        <v>635.29999999999995</v>
      </c>
    </row>
    <row r="2439" spans="1:100" x14ac:dyDescent="0.2">
      <c r="A2439" s="9" t="s">
        <v>565</v>
      </c>
      <c r="B2439" s="2">
        <v>132</v>
      </c>
      <c r="C2439" s="3" t="s">
        <v>95</v>
      </c>
      <c r="D2439" s="3" t="s">
        <v>96</v>
      </c>
      <c r="E2439" s="2"/>
      <c r="F2439" s="2"/>
      <c r="G2439" s="2" t="s">
        <v>83</v>
      </c>
      <c r="H2439" s="2">
        <v>2</v>
      </c>
      <c r="I2439" s="8">
        <v>120.16</v>
      </c>
      <c r="J2439" s="8">
        <v>36499</v>
      </c>
      <c r="K2439" s="3">
        <v>0</v>
      </c>
      <c r="L2439" s="3" t="s">
        <v>3</v>
      </c>
      <c r="M2439" s="9" t="s">
        <v>0</v>
      </c>
      <c r="N2439" s="9" t="s">
        <v>47</v>
      </c>
      <c r="O2439" s="9" t="s">
        <v>566</v>
      </c>
      <c r="S2439" s="9" t="s">
        <v>158</v>
      </c>
      <c r="T2439" s="10" t="s">
        <v>83</v>
      </c>
      <c r="U2439" s="10">
        <v>2</v>
      </c>
      <c r="V2439" s="10">
        <v>120.16</v>
      </c>
      <c r="W2439" s="10" t="s">
        <v>710</v>
      </c>
      <c r="X2439" s="17">
        <v>45386</v>
      </c>
      <c r="Y2439" s="17">
        <v>45386</v>
      </c>
      <c r="Z2439" s="19" t="s">
        <v>772</v>
      </c>
      <c r="AA2439" s="210">
        <v>57834</v>
      </c>
      <c r="AB2439" s="9">
        <v>84</v>
      </c>
      <c r="AC2439" s="9">
        <v>69</v>
      </c>
      <c r="AD2439" s="17">
        <v>47487</v>
      </c>
      <c r="AE2439" s="56">
        <v>635.29999999999995</v>
      </c>
      <c r="AF2439" s="56"/>
      <c r="AP2439" s="11"/>
      <c r="AQ2439" s="11"/>
      <c r="AR2439" s="11"/>
      <c r="AW2439" s="9"/>
      <c r="BD2439" s="9"/>
      <c r="CS2439" s="11">
        <f t="shared" si="170"/>
        <v>0</v>
      </c>
      <c r="CT2439" s="22">
        <f t="shared" si="171"/>
        <v>0</v>
      </c>
      <c r="CU2439" s="22">
        <f t="shared" si="172"/>
        <v>0</v>
      </c>
      <c r="CV2439" s="26">
        <f t="shared" si="169"/>
        <v>635.29999999999995</v>
      </c>
    </row>
    <row r="2440" spans="1:100" x14ac:dyDescent="0.2">
      <c r="A2440" s="9" t="s">
        <v>565</v>
      </c>
      <c r="B2440" s="2">
        <v>132</v>
      </c>
      <c r="C2440" s="3" t="s">
        <v>95</v>
      </c>
      <c r="D2440" s="3" t="s">
        <v>96</v>
      </c>
      <c r="E2440" s="2"/>
      <c r="F2440" s="2"/>
      <c r="G2440" s="2" t="s">
        <v>83</v>
      </c>
      <c r="H2440" s="2">
        <v>2</v>
      </c>
      <c r="I2440" s="8">
        <v>120.16</v>
      </c>
      <c r="J2440" s="8">
        <v>36499</v>
      </c>
      <c r="K2440" s="3">
        <v>0</v>
      </c>
      <c r="L2440" s="3" t="s">
        <v>3</v>
      </c>
      <c r="M2440" s="9" t="s">
        <v>0</v>
      </c>
      <c r="N2440" s="9" t="s">
        <v>47</v>
      </c>
      <c r="O2440" s="9" t="s">
        <v>566</v>
      </c>
      <c r="S2440" s="9" t="s">
        <v>158</v>
      </c>
      <c r="T2440" s="10" t="s">
        <v>83</v>
      </c>
      <c r="U2440" s="10">
        <v>2</v>
      </c>
      <c r="V2440" s="10">
        <v>120.16</v>
      </c>
      <c r="W2440" s="10" t="s">
        <v>710</v>
      </c>
      <c r="X2440" s="17">
        <v>45386</v>
      </c>
      <c r="Y2440" s="17">
        <v>45386</v>
      </c>
      <c r="Z2440" s="19" t="s">
        <v>772</v>
      </c>
      <c r="AA2440" s="210">
        <v>57834</v>
      </c>
      <c r="AB2440" s="9">
        <v>84</v>
      </c>
      <c r="AC2440" s="9">
        <v>70</v>
      </c>
      <c r="AD2440" s="17">
        <v>47518</v>
      </c>
      <c r="AE2440" s="56">
        <v>635.29999999999995</v>
      </c>
      <c r="AF2440" s="56"/>
      <c r="AP2440" s="11"/>
      <c r="AQ2440" s="11"/>
      <c r="AR2440" s="11"/>
      <c r="AW2440" s="9"/>
      <c r="BD2440" s="9"/>
      <c r="CS2440" s="11">
        <f t="shared" si="170"/>
        <v>0</v>
      </c>
      <c r="CT2440" s="22">
        <f t="shared" si="171"/>
        <v>0</v>
      </c>
      <c r="CU2440" s="22">
        <f t="shared" si="172"/>
        <v>0</v>
      </c>
      <c r="CV2440" s="26">
        <f t="shared" si="169"/>
        <v>635.29999999999995</v>
      </c>
    </row>
    <row r="2441" spans="1:100" x14ac:dyDescent="0.2">
      <c r="A2441" s="9" t="s">
        <v>565</v>
      </c>
      <c r="B2441" s="2">
        <v>132</v>
      </c>
      <c r="C2441" s="3" t="s">
        <v>95</v>
      </c>
      <c r="D2441" s="3" t="s">
        <v>96</v>
      </c>
      <c r="E2441" s="2"/>
      <c r="F2441" s="2"/>
      <c r="G2441" s="2" t="s">
        <v>83</v>
      </c>
      <c r="H2441" s="2">
        <v>2</v>
      </c>
      <c r="I2441" s="8">
        <v>120.16</v>
      </c>
      <c r="J2441" s="8">
        <v>36499</v>
      </c>
      <c r="K2441" s="3">
        <v>0</v>
      </c>
      <c r="L2441" s="3" t="s">
        <v>3</v>
      </c>
      <c r="M2441" s="9" t="s">
        <v>0</v>
      </c>
      <c r="N2441" s="9" t="s">
        <v>47</v>
      </c>
      <c r="O2441" s="9" t="s">
        <v>566</v>
      </c>
      <c r="S2441" s="9" t="s">
        <v>158</v>
      </c>
      <c r="T2441" s="10" t="s">
        <v>83</v>
      </c>
      <c r="U2441" s="10">
        <v>2</v>
      </c>
      <c r="V2441" s="10">
        <v>120.16</v>
      </c>
      <c r="W2441" s="10" t="s">
        <v>710</v>
      </c>
      <c r="X2441" s="17">
        <v>45386</v>
      </c>
      <c r="Y2441" s="17">
        <v>45386</v>
      </c>
      <c r="Z2441" s="19" t="s">
        <v>772</v>
      </c>
      <c r="AA2441" s="210">
        <v>57834</v>
      </c>
      <c r="AB2441" s="9">
        <v>84</v>
      </c>
      <c r="AC2441" s="9">
        <v>71</v>
      </c>
      <c r="AD2441" s="17">
        <v>47546</v>
      </c>
      <c r="AE2441" s="56">
        <v>635.29999999999995</v>
      </c>
      <c r="AF2441" s="56"/>
      <c r="AP2441" s="11"/>
      <c r="AQ2441" s="11"/>
      <c r="AR2441" s="11"/>
      <c r="AW2441" s="9"/>
      <c r="BD2441" s="9"/>
      <c r="CS2441" s="11">
        <f t="shared" si="170"/>
        <v>0</v>
      </c>
      <c r="CT2441" s="22">
        <f t="shared" si="171"/>
        <v>0</v>
      </c>
      <c r="CU2441" s="22">
        <f t="shared" si="172"/>
        <v>0</v>
      </c>
      <c r="CV2441" s="26">
        <f t="shared" si="169"/>
        <v>635.29999999999995</v>
      </c>
    </row>
    <row r="2442" spans="1:100" x14ac:dyDescent="0.2">
      <c r="A2442" s="9" t="s">
        <v>565</v>
      </c>
      <c r="B2442" s="2">
        <v>132</v>
      </c>
      <c r="C2442" s="3" t="s">
        <v>95</v>
      </c>
      <c r="D2442" s="3" t="s">
        <v>96</v>
      </c>
      <c r="E2442" s="2"/>
      <c r="F2442" s="2"/>
      <c r="G2442" s="2" t="s">
        <v>83</v>
      </c>
      <c r="H2442" s="2">
        <v>2</v>
      </c>
      <c r="I2442" s="8">
        <v>120.16</v>
      </c>
      <c r="J2442" s="8">
        <v>36499</v>
      </c>
      <c r="K2442" s="3">
        <v>0</v>
      </c>
      <c r="L2442" s="3" t="s">
        <v>3</v>
      </c>
      <c r="M2442" s="9" t="s">
        <v>0</v>
      </c>
      <c r="N2442" s="9" t="s">
        <v>47</v>
      </c>
      <c r="O2442" s="9" t="s">
        <v>566</v>
      </c>
      <c r="S2442" s="9" t="s">
        <v>158</v>
      </c>
      <c r="T2442" s="10" t="s">
        <v>83</v>
      </c>
      <c r="U2442" s="10">
        <v>2</v>
      </c>
      <c r="V2442" s="10">
        <v>120.16</v>
      </c>
      <c r="W2442" s="10" t="s">
        <v>710</v>
      </c>
      <c r="X2442" s="17">
        <v>45386</v>
      </c>
      <c r="Y2442" s="17">
        <v>45386</v>
      </c>
      <c r="Z2442" s="19" t="s">
        <v>772</v>
      </c>
      <c r="AA2442" s="210">
        <v>57834</v>
      </c>
      <c r="AB2442" s="9">
        <v>84</v>
      </c>
      <c r="AC2442" s="9">
        <v>72</v>
      </c>
      <c r="AD2442" s="17">
        <v>47577</v>
      </c>
      <c r="AE2442" s="56">
        <v>635.29999999999995</v>
      </c>
      <c r="AF2442" s="56"/>
      <c r="AP2442" s="11"/>
      <c r="AQ2442" s="11"/>
      <c r="AR2442" s="11"/>
      <c r="AW2442" s="9"/>
      <c r="BD2442" s="9"/>
      <c r="CS2442" s="11">
        <f t="shared" si="170"/>
        <v>0</v>
      </c>
      <c r="CT2442" s="22">
        <f t="shared" si="171"/>
        <v>0</v>
      </c>
      <c r="CU2442" s="22">
        <f t="shared" si="172"/>
        <v>0</v>
      </c>
      <c r="CV2442" s="26">
        <f t="shared" si="169"/>
        <v>635.29999999999995</v>
      </c>
    </row>
    <row r="2443" spans="1:100" x14ac:dyDescent="0.2">
      <c r="A2443" s="9" t="s">
        <v>565</v>
      </c>
      <c r="B2443" s="2">
        <v>132</v>
      </c>
      <c r="C2443" s="3" t="s">
        <v>95</v>
      </c>
      <c r="D2443" s="3" t="s">
        <v>96</v>
      </c>
      <c r="E2443" s="2"/>
      <c r="F2443" s="2"/>
      <c r="G2443" s="2" t="s">
        <v>83</v>
      </c>
      <c r="H2443" s="2">
        <v>2</v>
      </c>
      <c r="I2443" s="8">
        <v>120.16</v>
      </c>
      <c r="J2443" s="8">
        <v>36499</v>
      </c>
      <c r="K2443" s="3">
        <v>0</v>
      </c>
      <c r="L2443" s="3" t="s">
        <v>3</v>
      </c>
      <c r="M2443" s="9" t="s">
        <v>0</v>
      </c>
      <c r="N2443" s="9" t="s">
        <v>47</v>
      </c>
      <c r="O2443" s="9" t="s">
        <v>566</v>
      </c>
      <c r="S2443" s="9" t="s">
        <v>158</v>
      </c>
      <c r="T2443" s="10" t="s">
        <v>83</v>
      </c>
      <c r="U2443" s="10">
        <v>2</v>
      </c>
      <c r="V2443" s="10">
        <v>120.16</v>
      </c>
      <c r="W2443" s="10" t="s">
        <v>710</v>
      </c>
      <c r="X2443" s="17">
        <v>45386</v>
      </c>
      <c r="Y2443" s="17">
        <v>45386</v>
      </c>
      <c r="Z2443" s="19" t="s">
        <v>772</v>
      </c>
      <c r="AA2443" s="210">
        <v>57834</v>
      </c>
      <c r="AB2443" s="9">
        <v>84</v>
      </c>
      <c r="AC2443" s="9">
        <v>73</v>
      </c>
      <c r="AD2443" s="17">
        <v>47607</v>
      </c>
      <c r="AE2443" s="56">
        <v>635.29999999999995</v>
      </c>
      <c r="AF2443" s="56"/>
      <c r="AP2443" s="11"/>
      <c r="AQ2443" s="11"/>
      <c r="AR2443" s="11"/>
      <c r="AW2443" s="9"/>
      <c r="BD2443" s="9"/>
      <c r="CS2443" s="11">
        <f t="shared" si="170"/>
        <v>0</v>
      </c>
      <c r="CT2443" s="22">
        <f t="shared" si="171"/>
        <v>0</v>
      </c>
      <c r="CU2443" s="22">
        <f t="shared" si="172"/>
        <v>0</v>
      </c>
      <c r="CV2443" s="26">
        <f t="shared" si="169"/>
        <v>635.29999999999995</v>
      </c>
    </row>
    <row r="2444" spans="1:100" x14ac:dyDescent="0.2">
      <c r="A2444" s="9" t="s">
        <v>565</v>
      </c>
      <c r="B2444" s="2">
        <v>132</v>
      </c>
      <c r="C2444" s="3" t="s">
        <v>95</v>
      </c>
      <c r="D2444" s="3" t="s">
        <v>96</v>
      </c>
      <c r="E2444" s="2"/>
      <c r="F2444" s="2"/>
      <c r="G2444" s="2" t="s">
        <v>83</v>
      </c>
      <c r="H2444" s="2">
        <v>2</v>
      </c>
      <c r="I2444" s="8">
        <v>120.16</v>
      </c>
      <c r="J2444" s="8">
        <v>36499</v>
      </c>
      <c r="K2444" s="3">
        <v>0</v>
      </c>
      <c r="L2444" s="3" t="s">
        <v>3</v>
      </c>
      <c r="M2444" s="9" t="s">
        <v>0</v>
      </c>
      <c r="N2444" s="9" t="s">
        <v>47</v>
      </c>
      <c r="O2444" s="9" t="s">
        <v>566</v>
      </c>
      <c r="S2444" s="9" t="s">
        <v>158</v>
      </c>
      <c r="T2444" s="10" t="s">
        <v>83</v>
      </c>
      <c r="U2444" s="10">
        <v>2</v>
      </c>
      <c r="V2444" s="10">
        <v>120.16</v>
      </c>
      <c r="W2444" s="10" t="s">
        <v>710</v>
      </c>
      <c r="X2444" s="17">
        <v>45386</v>
      </c>
      <c r="Y2444" s="17">
        <v>45386</v>
      </c>
      <c r="Z2444" s="19" t="s">
        <v>772</v>
      </c>
      <c r="AA2444" s="210">
        <v>57834</v>
      </c>
      <c r="AB2444" s="9">
        <v>84</v>
      </c>
      <c r="AC2444" s="9">
        <v>74</v>
      </c>
      <c r="AD2444" s="17">
        <v>47638</v>
      </c>
      <c r="AE2444" s="56">
        <v>635.29999999999995</v>
      </c>
      <c r="AF2444" s="56"/>
      <c r="AP2444" s="11"/>
      <c r="AQ2444" s="11"/>
      <c r="AR2444" s="11"/>
      <c r="AW2444" s="9"/>
      <c r="BD2444" s="9"/>
      <c r="CS2444" s="11">
        <f t="shared" si="170"/>
        <v>0</v>
      </c>
      <c r="CT2444" s="22">
        <f t="shared" si="171"/>
        <v>0</v>
      </c>
      <c r="CU2444" s="22">
        <f t="shared" si="172"/>
        <v>0</v>
      </c>
      <c r="CV2444" s="26">
        <f t="shared" si="169"/>
        <v>635.29999999999995</v>
      </c>
    </row>
    <row r="2445" spans="1:100" x14ac:dyDescent="0.2">
      <c r="A2445" s="9" t="s">
        <v>565</v>
      </c>
      <c r="B2445" s="2">
        <v>132</v>
      </c>
      <c r="C2445" s="3" t="s">
        <v>95</v>
      </c>
      <c r="D2445" s="3" t="s">
        <v>96</v>
      </c>
      <c r="E2445" s="2"/>
      <c r="F2445" s="2"/>
      <c r="G2445" s="2" t="s">
        <v>83</v>
      </c>
      <c r="H2445" s="2">
        <v>2</v>
      </c>
      <c r="I2445" s="8">
        <v>120.16</v>
      </c>
      <c r="J2445" s="8">
        <v>36499</v>
      </c>
      <c r="K2445" s="3">
        <v>0</v>
      </c>
      <c r="L2445" s="3" t="s">
        <v>3</v>
      </c>
      <c r="M2445" s="9" t="s">
        <v>0</v>
      </c>
      <c r="N2445" s="9" t="s">
        <v>47</v>
      </c>
      <c r="O2445" s="9" t="s">
        <v>566</v>
      </c>
      <c r="S2445" s="9" t="s">
        <v>158</v>
      </c>
      <c r="T2445" s="10" t="s">
        <v>83</v>
      </c>
      <c r="U2445" s="10">
        <v>2</v>
      </c>
      <c r="V2445" s="10">
        <v>120.16</v>
      </c>
      <c r="W2445" s="10" t="s">
        <v>710</v>
      </c>
      <c r="X2445" s="17">
        <v>45386</v>
      </c>
      <c r="Y2445" s="17">
        <v>45386</v>
      </c>
      <c r="Z2445" s="19" t="s">
        <v>772</v>
      </c>
      <c r="AA2445" s="210">
        <v>57834</v>
      </c>
      <c r="AB2445" s="9">
        <v>84</v>
      </c>
      <c r="AC2445" s="9">
        <v>75</v>
      </c>
      <c r="AD2445" s="17">
        <v>47668</v>
      </c>
      <c r="AE2445" s="56">
        <v>635.29999999999995</v>
      </c>
      <c r="AF2445" s="56"/>
      <c r="AP2445" s="11"/>
      <c r="AQ2445" s="11"/>
      <c r="AR2445" s="11"/>
      <c r="AW2445" s="9"/>
      <c r="BD2445" s="9"/>
      <c r="CS2445" s="11">
        <f t="shared" si="170"/>
        <v>0</v>
      </c>
      <c r="CT2445" s="22">
        <f t="shared" si="171"/>
        <v>0</v>
      </c>
      <c r="CU2445" s="22">
        <f t="shared" si="172"/>
        <v>0</v>
      </c>
      <c r="CV2445" s="26">
        <f t="shared" si="169"/>
        <v>635.29999999999995</v>
      </c>
    </row>
    <row r="2446" spans="1:100" x14ac:dyDescent="0.2">
      <c r="A2446" s="9" t="s">
        <v>565</v>
      </c>
      <c r="B2446" s="2">
        <v>132</v>
      </c>
      <c r="C2446" s="3" t="s">
        <v>95</v>
      </c>
      <c r="D2446" s="3" t="s">
        <v>96</v>
      </c>
      <c r="E2446" s="2"/>
      <c r="F2446" s="2"/>
      <c r="G2446" s="2" t="s">
        <v>83</v>
      </c>
      <c r="H2446" s="2">
        <v>2</v>
      </c>
      <c r="I2446" s="8">
        <v>120.16</v>
      </c>
      <c r="J2446" s="8">
        <v>36499</v>
      </c>
      <c r="K2446" s="3">
        <v>0</v>
      </c>
      <c r="L2446" s="3" t="s">
        <v>3</v>
      </c>
      <c r="M2446" s="9" t="s">
        <v>0</v>
      </c>
      <c r="N2446" s="9" t="s">
        <v>47</v>
      </c>
      <c r="O2446" s="9" t="s">
        <v>566</v>
      </c>
      <c r="S2446" s="9" t="s">
        <v>158</v>
      </c>
      <c r="T2446" s="10" t="s">
        <v>83</v>
      </c>
      <c r="U2446" s="10">
        <v>2</v>
      </c>
      <c r="V2446" s="10">
        <v>120.16</v>
      </c>
      <c r="W2446" s="10" t="s">
        <v>710</v>
      </c>
      <c r="X2446" s="17">
        <v>45386</v>
      </c>
      <c r="Y2446" s="17">
        <v>45386</v>
      </c>
      <c r="Z2446" s="19" t="s">
        <v>772</v>
      </c>
      <c r="AA2446" s="210">
        <v>57834</v>
      </c>
      <c r="AB2446" s="9">
        <v>84</v>
      </c>
      <c r="AC2446" s="9">
        <v>76</v>
      </c>
      <c r="AD2446" s="17">
        <v>47699</v>
      </c>
      <c r="AE2446" s="56">
        <v>635.29999999999995</v>
      </c>
      <c r="AF2446" s="56"/>
      <c r="AP2446" s="11"/>
      <c r="AQ2446" s="11"/>
      <c r="AR2446" s="11"/>
      <c r="AW2446" s="9"/>
      <c r="BD2446" s="9"/>
      <c r="CS2446" s="11">
        <f t="shared" si="170"/>
        <v>0</v>
      </c>
      <c r="CT2446" s="22">
        <f t="shared" si="171"/>
        <v>0</v>
      </c>
      <c r="CU2446" s="22">
        <f t="shared" si="172"/>
        <v>0</v>
      </c>
      <c r="CV2446" s="26">
        <f t="shared" si="169"/>
        <v>635.29999999999995</v>
      </c>
    </row>
    <row r="2447" spans="1:100" x14ac:dyDescent="0.2">
      <c r="A2447" s="9" t="s">
        <v>565</v>
      </c>
      <c r="B2447" s="2">
        <v>132</v>
      </c>
      <c r="C2447" s="3" t="s">
        <v>95</v>
      </c>
      <c r="D2447" s="3" t="s">
        <v>96</v>
      </c>
      <c r="E2447" s="2"/>
      <c r="F2447" s="2"/>
      <c r="G2447" s="2" t="s">
        <v>83</v>
      </c>
      <c r="H2447" s="2">
        <v>2</v>
      </c>
      <c r="I2447" s="8">
        <v>120.16</v>
      </c>
      <c r="J2447" s="8">
        <v>36499</v>
      </c>
      <c r="K2447" s="3">
        <v>0</v>
      </c>
      <c r="L2447" s="3" t="s">
        <v>3</v>
      </c>
      <c r="M2447" s="9" t="s">
        <v>0</v>
      </c>
      <c r="N2447" s="9" t="s">
        <v>47</v>
      </c>
      <c r="O2447" s="9" t="s">
        <v>566</v>
      </c>
      <c r="S2447" s="9" t="s">
        <v>158</v>
      </c>
      <c r="T2447" s="10" t="s">
        <v>83</v>
      </c>
      <c r="U2447" s="10">
        <v>2</v>
      </c>
      <c r="V2447" s="10">
        <v>120.16</v>
      </c>
      <c r="W2447" s="10" t="s">
        <v>710</v>
      </c>
      <c r="X2447" s="17">
        <v>45386</v>
      </c>
      <c r="Y2447" s="17">
        <v>45386</v>
      </c>
      <c r="Z2447" s="19" t="s">
        <v>772</v>
      </c>
      <c r="AA2447" s="210">
        <v>57834</v>
      </c>
      <c r="AB2447" s="9">
        <v>84</v>
      </c>
      <c r="AC2447" s="9">
        <v>77</v>
      </c>
      <c r="AD2447" s="17">
        <v>47730</v>
      </c>
      <c r="AE2447" s="56">
        <v>635.29999999999995</v>
      </c>
      <c r="AF2447" s="56"/>
      <c r="AP2447" s="11"/>
      <c r="AQ2447" s="11"/>
      <c r="AR2447" s="11"/>
      <c r="AW2447" s="9"/>
      <c r="BD2447" s="9"/>
      <c r="CS2447" s="11">
        <f t="shared" si="170"/>
        <v>0</v>
      </c>
      <c r="CT2447" s="22">
        <f t="shared" si="171"/>
        <v>0</v>
      </c>
      <c r="CU2447" s="22">
        <f t="shared" si="172"/>
        <v>0</v>
      </c>
      <c r="CV2447" s="26">
        <f t="shared" si="169"/>
        <v>635.29999999999995</v>
      </c>
    </row>
    <row r="2448" spans="1:100" x14ac:dyDescent="0.2">
      <c r="A2448" s="9" t="s">
        <v>565</v>
      </c>
      <c r="B2448" s="2">
        <v>132</v>
      </c>
      <c r="C2448" s="3" t="s">
        <v>95</v>
      </c>
      <c r="D2448" s="3" t="s">
        <v>96</v>
      </c>
      <c r="E2448" s="2"/>
      <c r="F2448" s="2"/>
      <c r="G2448" s="2" t="s">
        <v>83</v>
      </c>
      <c r="H2448" s="2">
        <v>2</v>
      </c>
      <c r="I2448" s="8">
        <v>120.16</v>
      </c>
      <c r="J2448" s="8">
        <v>36499</v>
      </c>
      <c r="K2448" s="3">
        <v>0</v>
      </c>
      <c r="L2448" s="3" t="s">
        <v>3</v>
      </c>
      <c r="M2448" s="9" t="s">
        <v>0</v>
      </c>
      <c r="N2448" s="9" t="s">
        <v>47</v>
      </c>
      <c r="O2448" s="9" t="s">
        <v>566</v>
      </c>
      <c r="S2448" s="9" t="s">
        <v>158</v>
      </c>
      <c r="T2448" s="2" t="s">
        <v>83</v>
      </c>
      <c r="U2448" s="2">
        <v>2</v>
      </c>
      <c r="V2448" s="2">
        <v>120.16</v>
      </c>
      <c r="W2448" s="10" t="s">
        <v>710</v>
      </c>
      <c r="X2448" s="17">
        <v>45386</v>
      </c>
      <c r="Y2448" s="17">
        <v>45386</v>
      </c>
      <c r="Z2448" s="19" t="s">
        <v>772</v>
      </c>
      <c r="AA2448" s="210">
        <v>57834</v>
      </c>
      <c r="AB2448" s="9">
        <v>84</v>
      </c>
      <c r="AC2448" s="9">
        <v>78</v>
      </c>
      <c r="AD2448" s="17">
        <v>47760</v>
      </c>
      <c r="AE2448" s="56">
        <v>635.29999999999995</v>
      </c>
      <c r="AF2448" s="56"/>
      <c r="AP2448" s="11"/>
      <c r="AQ2448" s="11"/>
      <c r="AR2448" s="11"/>
      <c r="AW2448" s="9"/>
      <c r="BD2448" s="9"/>
      <c r="CS2448" s="11">
        <f t="shared" si="170"/>
        <v>0</v>
      </c>
      <c r="CT2448" s="22">
        <f t="shared" si="171"/>
        <v>0</v>
      </c>
      <c r="CU2448" s="22">
        <f t="shared" si="172"/>
        <v>0</v>
      </c>
      <c r="CV2448" s="26">
        <f t="shared" si="169"/>
        <v>635.29999999999995</v>
      </c>
    </row>
    <row r="2449" spans="1:100" x14ac:dyDescent="0.2">
      <c r="A2449" s="9" t="s">
        <v>565</v>
      </c>
      <c r="B2449" s="2">
        <v>132</v>
      </c>
      <c r="C2449" s="3" t="s">
        <v>95</v>
      </c>
      <c r="D2449" s="3" t="s">
        <v>96</v>
      </c>
      <c r="E2449" s="2"/>
      <c r="F2449" s="2"/>
      <c r="G2449" s="2" t="s">
        <v>83</v>
      </c>
      <c r="H2449" s="2">
        <v>2</v>
      </c>
      <c r="I2449" s="8">
        <v>120.16</v>
      </c>
      <c r="J2449" s="8">
        <v>36499</v>
      </c>
      <c r="K2449" s="3">
        <v>0</v>
      </c>
      <c r="L2449" s="3" t="s">
        <v>3</v>
      </c>
      <c r="M2449" s="9" t="s">
        <v>0</v>
      </c>
      <c r="N2449" s="9" t="s">
        <v>47</v>
      </c>
      <c r="O2449" s="9" t="s">
        <v>566</v>
      </c>
      <c r="S2449" s="9" t="s">
        <v>158</v>
      </c>
      <c r="T2449" s="2" t="s">
        <v>83</v>
      </c>
      <c r="U2449" s="2">
        <v>2</v>
      </c>
      <c r="V2449" s="2">
        <v>120.16</v>
      </c>
      <c r="W2449" s="10" t="s">
        <v>710</v>
      </c>
      <c r="X2449" s="17">
        <v>45386</v>
      </c>
      <c r="Y2449" s="17">
        <v>45386</v>
      </c>
      <c r="Z2449" s="19" t="s">
        <v>772</v>
      </c>
      <c r="AA2449" s="210">
        <v>57834</v>
      </c>
      <c r="AB2449" s="9">
        <v>84</v>
      </c>
      <c r="AC2449" s="9">
        <v>79</v>
      </c>
      <c r="AD2449" s="17">
        <v>47791</v>
      </c>
      <c r="AE2449" s="56">
        <v>635.29999999999995</v>
      </c>
      <c r="AF2449" s="56"/>
      <c r="AP2449" s="11"/>
      <c r="AQ2449" s="11"/>
      <c r="AR2449" s="11"/>
      <c r="AW2449" s="9"/>
      <c r="BD2449" s="9"/>
      <c r="CS2449" s="11">
        <f t="shared" si="170"/>
        <v>0</v>
      </c>
      <c r="CT2449" s="22">
        <f t="shared" si="171"/>
        <v>0</v>
      </c>
      <c r="CU2449" s="22">
        <f t="shared" si="172"/>
        <v>0</v>
      </c>
      <c r="CV2449" s="26">
        <f t="shared" si="169"/>
        <v>635.29999999999995</v>
      </c>
    </row>
    <row r="2450" spans="1:100" x14ac:dyDescent="0.2">
      <c r="A2450" s="9" t="s">
        <v>565</v>
      </c>
      <c r="B2450" s="2">
        <v>132</v>
      </c>
      <c r="C2450" s="3" t="s">
        <v>95</v>
      </c>
      <c r="D2450" s="3" t="s">
        <v>96</v>
      </c>
      <c r="E2450" s="2"/>
      <c r="F2450" s="2"/>
      <c r="G2450" s="2" t="s">
        <v>83</v>
      </c>
      <c r="H2450" s="2">
        <v>2</v>
      </c>
      <c r="I2450" s="8">
        <v>120.16</v>
      </c>
      <c r="J2450" s="8">
        <v>36499</v>
      </c>
      <c r="K2450" s="3">
        <v>0</v>
      </c>
      <c r="L2450" s="3" t="s">
        <v>3</v>
      </c>
      <c r="M2450" s="9" t="s">
        <v>0</v>
      </c>
      <c r="N2450" s="9" t="s">
        <v>47</v>
      </c>
      <c r="O2450" s="9" t="s">
        <v>566</v>
      </c>
      <c r="S2450" s="9" t="s">
        <v>158</v>
      </c>
      <c r="T2450" s="2" t="s">
        <v>83</v>
      </c>
      <c r="U2450" s="2">
        <v>2</v>
      </c>
      <c r="V2450" s="2">
        <v>120.16</v>
      </c>
      <c r="W2450" s="10" t="s">
        <v>710</v>
      </c>
      <c r="X2450" s="17">
        <v>45386</v>
      </c>
      <c r="Y2450" s="17">
        <v>45386</v>
      </c>
      <c r="Z2450" s="19" t="s">
        <v>772</v>
      </c>
      <c r="AA2450" s="210">
        <v>57834</v>
      </c>
      <c r="AB2450" s="9">
        <v>84</v>
      </c>
      <c r="AC2450" s="9">
        <v>80</v>
      </c>
      <c r="AD2450" s="17">
        <v>47821</v>
      </c>
      <c r="AE2450" s="56">
        <v>635.29999999999995</v>
      </c>
      <c r="AF2450" s="56"/>
      <c r="AP2450" s="11"/>
      <c r="AQ2450" s="11"/>
      <c r="AR2450" s="11"/>
      <c r="AW2450" s="9"/>
      <c r="BD2450" s="9"/>
      <c r="CS2450" s="11">
        <f t="shared" si="170"/>
        <v>0</v>
      </c>
      <c r="CT2450" s="22">
        <f t="shared" si="171"/>
        <v>0</v>
      </c>
      <c r="CU2450" s="22">
        <f t="shared" si="172"/>
        <v>0</v>
      </c>
      <c r="CV2450" s="26">
        <f t="shared" si="169"/>
        <v>635.29999999999995</v>
      </c>
    </row>
    <row r="2451" spans="1:100" x14ac:dyDescent="0.2">
      <c r="A2451" s="9" t="s">
        <v>565</v>
      </c>
      <c r="B2451" s="2">
        <v>132</v>
      </c>
      <c r="C2451" s="3" t="s">
        <v>95</v>
      </c>
      <c r="D2451" s="3" t="s">
        <v>96</v>
      </c>
      <c r="E2451" s="2"/>
      <c r="F2451" s="2"/>
      <c r="G2451" s="2" t="s">
        <v>83</v>
      </c>
      <c r="H2451" s="2">
        <v>2</v>
      </c>
      <c r="I2451" s="8">
        <v>120.16</v>
      </c>
      <c r="J2451" s="8">
        <v>36499</v>
      </c>
      <c r="K2451" s="3">
        <v>0</v>
      </c>
      <c r="L2451" s="3" t="s">
        <v>3</v>
      </c>
      <c r="M2451" s="9" t="s">
        <v>0</v>
      </c>
      <c r="N2451" s="9" t="s">
        <v>47</v>
      </c>
      <c r="O2451" s="9" t="s">
        <v>566</v>
      </c>
      <c r="S2451" s="9" t="s">
        <v>158</v>
      </c>
      <c r="T2451" s="2" t="s">
        <v>83</v>
      </c>
      <c r="U2451" s="2">
        <v>2</v>
      </c>
      <c r="V2451" s="2">
        <v>120.16</v>
      </c>
      <c r="W2451" s="10" t="s">
        <v>710</v>
      </c>
      <c r="X2451" s="17">
        <v>45386</v>
      </c>
      <c r="Y2451" s="17">
        <v>45386</v>
      </c>
      <c r="Z2451" s="19" t="s">
        <v>772</v>
      </c>
      <c r="AA2451" s="210">
        <v>57834</v>
      </c>
      <c r="AB2451" s="9">
        <v>84</v>
      </c>
      <c r="AC2451" s="9">
        <v>81</v>
      </c>
      <c r="AD2451" s="17">
        <v>47852</v>
      </c>
      <c r="AE2451" s="56">
        <v>635.29999999999995</v>
      </c>
      <c r="AF2451" s="56"/>
      <c r="AP2451" s="11"/>
      <c r="AQ2451" s="11"/>
      <c r="AR2451" s="11"/>
      <c r="AW2451" s="9"/>
      <c r="BD2451" s="9"/>
      <c r="CS2451" s="11">
        <f t="shared" si="170"/>
        <v>0</v>
      </c>
      <c r="CT2451" s="22">
        <f t="shared" si="171"/>
        <v>0</v>
      </c>
      <c r="CU2451" s="22">
        <f t="shared" si="172"/>
        <v>0</v>
      </c>
      <c r="CV2451" s="26">
        <f t="shared" si="169"/>
        <v>635.29999999999995</v>
      </c>
    </row>
    <row r="2452" spans="1:100" x14ac:dyDescent="0.2">
      <c r="A2452" s="9" t="s">
        <v>565</v>
      </c>
      <c r="B2452" s="2">
        <v>132</v>
      </c>
      <c r="C2452" s="3" t="s">
        <v>95</v>
      </c>
      <c r="D2452" s="3" t="s">
        <v>96</v>
      </c>
      <c r="E2452" s="2"/>
      <c r="F2452" s="2"/>
      <c r="G2452" s="2" t="s">
        <v>83</v>
      </c>
      <c r="H2452" s="2">
        <v>2</v>
      </c>
      <c r="I2452" s="8">
        <v>120.16</v>
      </c>
      <c r="J2452" s="8">
        <v>36499</v>
      </c>
      <c r="K2452" s="3">
        <v>0</v>
      </c>
      <c r="L2452" s="3" t="s">
        <v>3</v>
      </c>
      <c r="M2452" s="9" t="s">
        <v>0</v>
      </c>
      <c r="N2452" s="9" t="s">
        <v>47</v>
      </c>
      <c r="O2452" s="9" t="s">
        <v>566</v>
      </c>
      <c r="S2452" s="9" t="s">
        <v>158</v>
      </c>
      <c r="T2452" s="2" t="s">
        <v>83</v>
      </c>
      <c r="U2452" s="2">
        <v>2</v>
      </c>
      <c r="V2452" s="2">
        <v>120.16</v>
      </c>
      <c r="W2452" s="10" t="s">
        <v>710</v>
      </c>
      <c r="X2452" s="17">
        <v>45386</v>
      </c>
      <c r="Y2452" s="17">
        <v>45386</v>
      </c>
      <c r="Z2452" s="19" t="s">
        <v>772</v>
      </c>
      <c r="AA2452" s="210">
        <v>57834</v>
      </c>
      <c r="AB2452" s="9">
        <v>84</v>
      </c>
      <c r="AC2452" s="9">
        <v>82</v>
      </c>
      <c r="AD2452" s="17">
        <v>47883</v>
      </c>
      <c r="AE2452" s="56">
        <v>635.29999999999995</v>
      </c>
      <c r="AF2452" s="56"/>
      <c r="AP2452" s="11"/>
      <c r="AQ2452" s="11"/>
      <c r="AR2452" s="11"/>
      <c r="AW2452" s="9"/>
      <c r="BD2452" s="9"/>
      <c r="CS2452" s="11">
        <f t="shared" si="170"/>
        <v>0</v>
      </c>
      <c r="CT2452" s="22">
        <f t="shared" si="171"/>
        <v>0</v>
      </c>
      <c r="CU2452" s="22">
        <f t="shared" si="172"/>
        <v>0</v>
      </c>
      <c r="CV2452" s="26">
        <f t="shared" si="169"/>
        <v>635.29999999999995</v>
      </c>
    </row>
    <row r="2453" spans="1:100" x14ac:dyDescent="0.2">
      <c r="A2453" s="9" t="s">
        <v>565</v>
      </c>
      <c r="B2453" s="2">
        <v>132</v>
      </c>
      <c r="C2453" s="3" t="s">
        <v>95</v>
      </c>
      <c r="D2453" s="3" t="s">
        <v>96</v>
      </c>
      <c r="E2453" s="2"/>
      <c r="F2453" s="2"/>
      <c r="G2453" s="2" t="s">
        <v>83</v>
      </c>
      <c r="H2453" s="2">
        <v>2</v>
      </c>
      <c r="I2453" s="8">
        <v>120.16</v>
      </c>
      <c r="J2453" s="8">
        <v>36499</v>
      </c>
      <c r="K2453" s="3">
        <v>0</v>
      </c>
      <c r="L2453" s="3" t="s">
        <v>3</v>
      </c>
      <c r="M2453" s="9" t="s">
        <v>0</v>
      </c>
      <c r="N2453" s="9" t="s">
        <v>47</v>
      </c>
      <c r="O2453" s="9" t="s">
        <v>566</v>
      </c>
      <c r="S2453" s="9" t="s">
        <v>158</v>
      </c>
      <c r="T2453" s="2" t="s">
        <v>83</v>
      </c>
      <c r="U2453" s="2">
        <v>2</v>
      </c>
      <c r="V2453" s="2">
        <v>120.16</v>
      </c>
      <c r="W2453" s="10" t="s">
        <v>710</v>
      </c>
      <c r="X2453" s="17">
        <v>45386</v>
      </c>
      <c r="Y2453" s="17">
        <v>45386</v>
      </c>
      <c r="Z2453" s="19" t="s">
        <v>772</v>
      </c>
      <c r="AA2453" s="210">
        <v>57834</v>
      </c>
      <c r="AB2453" s="9">
        <v>84</v>
      </c>
      <c r="AC2453" s="9">
        <v>83</v>
      </c>
      <c r="AD2453" s="17">
        <v>47911</v>
      </c>
      <c r="AE2453" s="56">
        <v>635.29999999999995</v>
      </c>
      <c r="AF2453" s="56"/>
      <c r="AP2453" s="11"/>
      <c r="AQ2453" s="11"/>
      <c r="AR2453" s="11"/>
      <c r="AW2453" s="9"/>
      <c r="BD2453" s="9"/>
      <c r="CS2453" s="11">
        <f t="shared" si="170"/>
        <v>0</v>
      </c>
      <c r="CT2453" s="22">
        <f t="shared" si="171"/>
        <v>0</v>
      </c>
      <c r="CU2453" s="22">
        <f t="shared" si="172"/>
        <v>0</v>
      </c>
      <c r="CV2453" s="26">
        <f t="shared" si="169"/>
        <v>635.29999999999995</v>
      </c>
    </row>
    <row r="2454" spans="1:100" x14ac:dyDescent="0.2">
      <c r="A2454" s="9" t="s">
        <v>565</v>
      </c>
      <c r="B2454" s="2">
        <v>132</v>
      </c>
      <c r="C2454" s="3" t="s">
        <v>95</v>
      </c>
      <c r="D2454" s="3" t="s">
        <v>96</v>
      </c>
      <c r="E2454" s="2"/>
      <c r="F2454" s="2"/>
      <c r="G2454" s="2" t="s">
        <v>83</v>
      </c>
      <c r="H2454" s="2">
        <v>2</v>
      </c>
      <c r="I2454" s="8">
        <v>120.16</v>
      </c>
      <c r="J2454" s="8">
        <v>36499</v>
      </c>
      <c r="K2454" s="3">
        <v>0</v>
      </c>
      <c r="L2454" s="3" t="s">
        <v>3</v>
      </c>
      <c r="M2454" s="9" t="s">
        <v>0</v>
      </c>
      <c r="N2454" s="9" t="s">
        <v>47</v>
      </c>
      <c r="O2454" s="9" t="s">
        <v>566</v>
      </c>
      <c r="S2454" s="9" t="s">
        <v>158</v>
      </c>
      <c r="T2454" s="2" t="s">
        <v>83</v>
      </c>
      <c r="U2454" s="2">
        <v>2</v>
      </c>
      <c r="V2454" s="2">
        <v>120.16</v>
      </c>
      <c r="W2454" s="10" t="s">
        <v>710</v>
      </c>
      <c r="X2454" s="17">
        <v>45386</v>
      </c>
      <c r="Y2454" s="17">
        <v>45386</v>
      </c>
      <c r="Z2454" s="19" t="s">
        <v>772</v>
      </c>
      <c r="AA2454" s="210">
        <v>57834</v>
      </c>
      <c r="AB2454" s="9">
        <v>84</v>
      </c>
      <c r="AC2454" s="9">
        <v>84</v>
      </c>
      <c r="AD2454" s="17">
        <v>47942</v>
      </c>
      <c r="AE2454" s="56">
        <v>631</v>
      </c>
      <c r="AF2454" s="56"/>
      <c r="AP2454" s="11"/>
      <c r="AQ2454" s="11"/>
      <c r="AR2454" s="11"/>
      <c r="AW2454" s="9"/>
      <c r="BD2454" s="9"/>
      <c r="CS2454" s="11">
        <f t="shared" si="170"/>
        <v>0</v>
      </c>
      <c r="CT2454" s="22">
        <f t="shared" si="171"/>
        <v>0</v>
      </c>
      <c r="CU2454" s="22">
        <f t="shared" si="172"/>
        <v>0</v>
      </c>
      <c r="CV2454" s="26">
        <f t="shared" si="169"/>
        <v>631</v>
      </c>
    </row>
    <row r="2455" spans="1:100" x14ac:dyDescent="0.2">
      <c r="A2455" s="9" t="s">
        <v>565</v>
      </c>
      <c r="B2455" s="2">
        <v>132</v>
      </c>
      <c r="C2455" s="3" t="s">
        <v>95</v>
      </c>
      <c r="D2455" s="3" t="s">
        <v>96</v>
      </c>
      <c r="E2455" s="2"/>
      <c r="F2455" s="2"/>
      <c r="G2455" s="2" t="s">
        <v>83</v>
      </c>
      <c r="H2455" s="2">
        <v>2</v>
      </c>
      <c r="I2455" s="8">
        <v>120.16</v>
      </c>
      <c r="J2455" s="8">
        <v>36499</v>
      </c>
      <c r="K2455" s="3">
        <v>0</v>
      </c>
      <c r="L2455" s="3" t="s">
        <v>3</v>
      </c>
      <c r="M2455" s="9" t="s">
        <v>0</v>
      </c>
      <c r="N2455" s="9" t="s">
        <v>47</v>
      </c>
      <c r="O2455" s="9" t="s">
        <v>566</v>
      </c>
      <c r="S2455" s="9" t="s">
        <v>570</v>
      </c>
      <c r="T2455" s="2"/>
      <c r="U2455" s="2"/>
      <c r="V2455" s="2"/>
      <c r="W2455" s="10" t="s">
        <v>710</v>
      </c>
      <c r="X2455" s="17">
        <v>45386</v>
      </c>
      <c r="Y2455" s="17">
        <v>45386</v>
      </c>
      <c r="Z2455" s="19" t="s">
        <v>772</v>
      </c>
      <c r="AA2455" s="210">
        <v>11040.12</v>
      </c>
      <c r="AB2455" s="9">
        <v>84</v>
      </c>
      <c r="AC2455" s="9">
        <v>1</v>
      </c>
      <c r="AD2455" s="17">
        <v>45416</v>
      </c>
      <c r="AE2455" s="56">
        <v>132</v>
      </c>
      <c r="AF2455" s="56"/>
      <c r="AG2455" s="10" t="s">
        <v>134</v>
      </c>
      <c r="AH2455" s="17">
        <v>45422</v>
      </c>
      <c r="AI2455" s="17"/>
      <c r="AJ2455" s="17"/>
      <c r="AK2455" s="9" t="s">
        <v>1245</v>
      </c>
      <c r="AL2455" s="11">
        <v>132</v>
      </c>
      <c r="AN2455" s="11" t="s">
        <v>1253</v>
      </c>
      <c r="AP2455" s="11"/>
      <c r="AQ2455" s="11"/>
      <c r="AR2455" s="11"/>
      <c r="AW2455" s="42">
        <v>45416</v>
      </c>
      <c r="AX2455" s="36">
        <v>2623</v>
      </c>
      <c r="AY2455" s="36"/>
      <c r="AZ2455" s="36"/>
      <c r="BA2455" s="36">
        <v>132</v>
      </c>
      <c r="BD2455" s="9"/>
      <c r="CS2455" s="11">
        <f t="shared" si="170"/>
        <v>132</v>
      </c>
      <c r="CT2455" s="22">
        <f t="shared" si="171"/>
        <v>132</v>
      </c>
      <c r="CU2455" s="22">
        <f t="shared" si="172"/>
        <v>0</v>
      </c>
      <c r="CV2455" s="26">
        <f t="shared" si="169"/>
        <v>0</v>
      </c>
    </row>
    <row r="2456" spans="1:100" x14ac:dyDescent="0.2">
      <c r="A2456" s="9" t="s">
        <v>565</v>
      </c>
      <c r="B2456" s="2">
        <v>132</v>
      </c>
      <c r="C2456" s="3" t="s">
        <v>95</v>
      </c>
      <c r="D2456" s="3" t="s">
        <v>96</v>
      </c>
      <c r="E2456" s="2"/>
      <c r="F2456" s="2"/>
      <c r="G2456" s="2" t="s">
        <v>83</v>
      </c>
      <c r="H2456" s="2">
        <v>2</v>
      </c>
      <c r="I2456" s="8">
        <v>120.16</v>
      </c>
      <c r="J2456" s="8">
        <v>36499</v>
      </c>
      <c r="K2456" s="3">
        <v>0</v>
      </c>
      <c r="L2456" s="3" t="s">
        <v>3</v>
      </c>
      <c r="M2456" s="9" t="s">
        <v>0</v>
      </c>
      <c r="N2456" s="9" t="s">
        <v>47</v>
      </c>
      <c r="O2456" s="9" t="s">
        <v>566</v>
      </c>
      <c r="S2456" s="9" t="s">
        <v>570</v>
      </c>
      <c r="T2456" s="2"/>
      <c r="U2456" s="2"/>
      <c r="V2456" s="2"/>
      <c r="W2456" s="10" t="s">
        <v>710</v>
      </c>
      <c r="X2456" s="17">
        <v>45386</v>
      </c>
      <c r="Y2456" s="17">
        <v>45386</v>
      </c>
      <c r="Z2456" s="19" t="s">
        <v>772</v>
      </c>
      <c r="AA2456" s="210">
        <v>11040.12</v>
      </c>
      <c r="AB2456" s="9">
        <v>84</v>
      </c>
      <c r="AC2456" s="9">
        <v>2</v>
      </c>
      <c r="AD2456" s="17">
        <v>45447</v>
      </c>
      <c r="AE2456" s="56">
        <v>132</v>
      </c>
      <c r="AF2456" s="56"/>
      <c r="AG2456" s="10" t="s">
        <v>134</v>
      </c>
      <c r="AH2456" s="17">
        <v>45448</v>
      </c>
      <c r="AI2456" s="17"/>
      <c r="AJ2456" s="17"/>
      <c r="AK2456" s="9" t="s">
        <v>1246</v>
      </c>
      <c r="AL2456" s="11">
        <v>132</v>
      </c>
      <c r="AN2456" s="11" t="s">
        <v>1254</v>
      </c>
      <c r="AP2456" s="11"/>
      <c r="AQ2456" s="11"/>
      <c r="AR2456" s="11"/>
      <c r="AW2456" s="42">
        <v>45447</v>
      </c>
      <c r="AX2456" s="36">
        <v>2745</v>
      </c>
      <c r="AY2456" s="36"/>
      <c r="AZ2456" s="36"/>
      <c r="BA2456" s="36">
        <v>132</v>
      </c>
      <c r="BD2456" s="9"/>
      <c r="CS2456" s="11">
        <f t="shared" si="170"/>
        <v>132</v>
      </c>
      <c r="CT2456" s="22">
        <f t="shared" si="171"/>
        <v>132</v>
      </c>
      <c r="CU2456" s="22">
        <f t="shared" si="172"/>
        <v>0</v>
      </c>
      <c r="CV2456" s="26">
        <f t="shared" si="169"/>
        <v>0</v>
      </c>
    </row>
    <row r="2457" spans="1:100" x14ac:dyDescent="0.2">
      <c r="A2457" s="9" t="s">
        <v>565</v>
      </c>
      <c r="B2457" s="2">
        <v>132</v>
      </c>
      <c r="C2457" s="3" t="s">
        <v>95</v>
      </c>
      <c r="D2457" s="3" t="s">
        <v>96</v>
      </c>
      <c r="E2457" s="2"/>
      <c r="F2457" s="2"/>
      <c r="G2457" s="2" t="s">
        <v>83</v>
      </c>
      <c r="H2457" s="2">
        <v>2</v>
      </c>
      <c r="I2457" s="8">
        <v>120.16</v>
      </c>
      <c r="J2457" s="8">
        <v>36499</v>
      </c>
      <c r="K2457" s="3">
        <v>0</v>
      </c>
      <c r="L2457" s="3" t="s">
        <v>3</v>
      </c>
      <c r="M2457" s="9" t="s">
        <v>0</v>
      </c>
      <c r="N2457" s="9" t="s">
        <v>47</v>
      </c>
      <c r="O2457" s="9" t="s">
        <v>566</v>
      </c>
      <c r="S2457" s="9" t="s">
        <v>570</v>
      </c>
      <c r="T2457" s="2"/>
      <c r="U2457" s="2"/>
      <c r="V2457" s="2"/>
      <c r="W2457" s="10" t="s">
        <v>710</v>
      </c>
      <c r="X2457" s="17">
        <v>45386</v>
      </c>
      <c r="Y2457" s="17">
        <v>45386</v>
      </c>
      <c r="Z2457" s="19" t="s">
        <v>772</v>
      </c>
      <c r="AA2457" s="210">
        <v>11040.12</v>
      </c>
      <c r="AB2457" s="9">
        <v>84</v>
      </c>
      <c r="AC2457" s="9">
        <v>3</v>
      </c>
      <c r="AD2457" s="17">
        <v>45477</v>
      </c>
      <c r="AE2457" s="56">
        <v>132</v>
      </c>
      <c r="AF2457" s="56"/>
      <c r="AG2457" s="10" t="s">
        <v>134</v>
      </c>
      <c r="AH2457" s="17">
        <v>45477</v>
      </c>
      <c r="AI2457" s="17"/>
      <c r="AJ2457" s="17"/>
      <c r="AK2457" s="9" t="s">
        <v>1247</v>
      </c>
      <c r="AL2457" s="11">
        <v>132</v>
      </c>
      <c r="AN2457" s="11" t="s">
        <v>1255</v>
      </c>
      <c r="AP2457" s="11"/>
      <c r="AQ2457" s="11"/>
      <c r="AR2457" s="11"/>
      <c r="AW2457" s="42">
        <v>45477</v>
      </c>
      <c r="AX2457" s="36">
        <v>2856</v>
      </c>
      <c r="AY2457" s="36"/>
      <c r="AZ2457" s="36"/>
      <c r="BA2457" s="36">
        <v>132</v>
      </c>
      <c r="BD2457" s="9"/>
      <c r="CS2457" s="11">
        <f t="shared" si="170"/>
        <v>132</v>
      </c>
      <c r="CT2457" s="22">
        <f t="shared" si="171"/>
        <v>132</v>
      </c>
      <c r="CU2457" s="22">
        <f t="shared" si="172"/>
        <v>0</v>
      </c>
      <c r="CV2457" s="26">
        <f t="shared" si="169"/>
        <v>0</v>
      </c>
    </row>
    <row r="2458" spans="1:100" x14ac:dyDescent="0.2">
      <c r="A2458" s="9" t="s">
        <v>565</v>
      </c>
      <c r="B2458" s="2">
        <v>132</v>
      </c>
      <c r="C2458" s="3" t="s">
        <v>95</v>
      </c>
      <c r="D2458" s="3" t="s">
        <v>96</v>
      </c>
      <c r="E2458" s="2"/>
      <c r="F2458" s="2"/>
      <c r="G2458" s="2" t="s">
        <v>83</v>
      </c>
      <c r="H2458" s="2">
        <v>2</v>
      </c>
      <c r="I2458" s="8">
        <v>120.16</v>
      </c>
      <c r="J2458" s="8">
        <v>36499</v>
      </c>
      <c r="K2458" s="3">
        <v>0</v>
      </c>
      <c r="L2458" s="3" t="s">
        <v>3</v>
      </c>
      <c r="M2458" s="9" t="s">
        <v>0</v>
      </c>
      <c r="N2458" s="9" t="s">
        <v>47</v>
      </c>
      <c r="O2458" s="9" t="s">
        <v>566</v>
      </c>
      <c r="S2458" s="9" t="s">
        <v>570</v>
      </c>
      <c r="T2458" s="2"/>
      <c r="U2458" s="2"/>
      <c r="V2458" s="2"/>
      <c r="W2458" s="10" t="s">
        <v>710</v>
      </c>
      <c r="X2458" s="17">
        <v>45386</v>
      </c>
      <c r="Y2458" s="17">
        <v>45386</v>
      </c>
      <c r="Z2458" s="19" t="s">
        <v>772</v>
      </c>
      <c r="AA2458" s="210">
        <v>11040.12</v>
      </c>
      <c r="AB2458" s="9">
        <v>84</v>
      </c>
      <c r="AC2458" s="9">
        <v>4</v>
      </c>
      <c r="AD2458" s="17">
        <v>45508</v>
      </c>
      <c r="AE2458" s="56">
        <v>132</v>
      </c>
      <c r="AF2458" s="56"/>
      <c r="AG2458" s="10" t="s">
        <v>134</v>
      </c>
      <c r="AH2458" s="17">
        <v>45509</v>
      </c>
      <c r="AI2458" s="17"/>
      <c r="AJ2458" s="17"/>
      <c r="AK2458" s="9" t="s">
        <v>1248</v>
      </c>
      <c r="AL2458" s="11">
        <v>132</v>
      </c>
      <c r="AN2458" s="11" t="s">
        <v>1256</v>
      </c>
      <c r="AP2458" s="11"/>
      <c r="AQ2458" s="11"/>
      <c r="AR2458" s="11"/>
      <c r="AW2458" s="42">
        <v>45508</v>
      </c>
      <c r="AX2458" s="36">
        <v>2992</v>
      </c>
      <c r="AY2458" s="36"/>
      <c r="AZ2458" s="36"/>
      <c r="BA2458" s="36">
        <v>132</v>
      </c>
      <c r="BD2458" s="9"/>
      <c r="CS2458" s="11">
        <f t="shared" si="170"/>
        <v>132</v>
      </c>
      <c r="CT2458" s="22">
        <f t="shared" si="171"/>
        <v>132</v>
      </c>
      <c r="CU2458" s="22">
        <f t="shared" si="172"/>
        <v>0</v>
      </c>
      <c r="CV2458" s="26">
        <f t="shared" si="169"/>
        <v>0</v>
      </c>
    </row>
    <row r="2459" spans="1:100" x14ac:dyDescent="0.2">
      <c r="A2459" s="9" t="s">
        <v>565</v>
      </c>
      <c r="B2459" s="2">
        <v>132</v>
      </c>
      <c r="C2459" s="3" t="s">
        <v>95</v>
      </c>
      <c r="D2459" s="3" t="s">
        <v>96</v>
      </c>
      <c r="E2459" s="2"/>
      <c r="F2459" s="2"/>
      <c r="G2459" s="2" t="s">
        <v>83</v>
      </c>
      <c r="H2459" s="2">
        <v>2</v>
      </c>
      <c r="I2459" s="8">
        <v>120.16</v>
      </c>
      <c r="J2459" s="8">
        <v>36499</v>
      </c>
      <c r="K2459" s="3">
        <v>0</v>
      </c>
      <c r="L2459" s="3" t="s">
        <v>3</v>
      </c>
      <c r="M2459" s="9" t="s">
        <v>0</v>
      </c>
      <c r="N2459" s="9" t="s">
        <v>47</v>
      </c>
      <c r="O2459" s="9" t="s">
        <v>566</v>
      </c>
      <c r="S2459" s="9" t="s">
        <v>570</v>
      </c>
      <c r="T2459" s="2"/>
      <c r="U2459" s="2"/>
      <c r="V2459" s="2"/>
      <c r="W2459" s="10" t="s">
        <v>710</v>
      </c>
      <c r="X2459" s="17">
        <v>45386</v>
      </c>
      <c r="Y2459" s="17">
        <v>45386</v>
      </c>
      <c r="Z2459" s="19" t="s">
        <v>772</v>
      </c>
      <c r="AA2459" s="210">
        <v>11040.12</v>
      </c>
      <c r="AB2459" s="9">
        <v>84</v>
      </c>
      <c r="AC2459" s="9">
        <v>5</v>
      </c>
      <c r="AD2459" s="17">
        <v>45539</v>
      </c>
      <c r="AE2459" s="56">
        <v>132</v>
      </c>
      <c r="AF2459" s="56"/>
      <c r="AG2459" s="10" t="s">
        <v>134</v>
      </c>
      <c r="AH2459" s="17">
        <v>45540</v>
      </c>
      <c r="AI2459" s="17"/>
      <c r="AJ2459" s="17"/>
      <c r="AK2459" s="9" t="s">
        <v>1249</v>
      </c>
      <c r="AL2459" s="11">
        <v>132</v>
      </c>
      <c r="AN2459" s="11" t="s">
        <v>1257</v>
      </c>
      <c r="AP2459" s="11"/>
      <c r="AQ2459" s="11"/>
      <c r="AR2459" s="11"/>
      <c r="AW2459" s="42">
        <v>45539</v>
      </c>
      <c r="AX2459" s="36">
        <v>3114</v>
      </c>
      <c r="AY2459" s="36"/>
      <c r="AZ2459" s="36"/>
      <c r="BA2459" s="36">
        <v>132</v>
      </c>
      <c r="BD2459" s="9"/>
      <c r="CS2459" s="11">
        <f t="shared" si="170"/>
        <v>132</v>
      </c>
      <c r="CT2459" s="22">
        <f t="shared" si="171"/>
        <v>132</v>
      </c>
      <c r="CU2459" s="22">
        <f t="shared" si="172"/>
        <v>0</v>
      </c>
      <c r="CV2459" s="26">
        <f t="shared" si="169"/>
        <v>0</v>
      </c>
    </row>
    <row r="2460" spans="1:100" x14ac:dyDescent="0.2">
      <c r="A2460" s="9" t="s">
        <v>565</v>
      </c>
      <c r="B2460" s="2">
        <v>132</v>
      </c>
      <c r="C2460" s="3" t="s">
        <v>95</v>
      </c>
      <c r="D2460" s="3" t="s">
        <v>96</v>
      </c>
      <c r="E2460" s="2"/>
      <c r="F2460" s="2"/>
      <c r="G2460" s="2" t="s">
        <v>83</v>
      </c>
      <c r="H2460" s="2">
        <v>2</v>
      </c>
      <c r="I2460" s="8">
        <v>120.16</v>
      </c>
      <c r="J2460" s="8">
        <v>36499</v>
      </c>
      <c r="K2460" s="3">
        <v>0</v>
      </c>
      <c r="L2460" s="3" t="s">
        <v>3</v>
      </c>
      <c r="M2460" s="9" t="s">
        <v>0</v>
      </c>
      <c r="N2460" s="9" t="s">
        <v>47</v>
      </c>
      <c r="O2460" s="9" t="s">
        <v>566</v>
      </c>
      <c r="S2460" s="9" t="s">
        <v>570</v>
      </c>
      <c r="T2460" s="2"/>
      <c r="U2460" s="2"/>
      <c r="V2460" s="2"/>
      <c r="W2460" s="10" t="s">
        <v>710</v>
      </c>
      <c r="X2460" s="17">
        <v>45386</v>
      </c>
      <c r="Y2460" s="17">
        <v>45386</v>
      </c>
      <c r="Z2460" s="19" t="s">
        <v>772</v>
      </c>
      <c r="AA2460" s="210">
        <v>11040.12</v>
      </c>
      <c r="AB2460" s="9">
        <v>84</v>
      </c>
      <c r="AC2460" s="9">
        <v>6</v>
      </c>
      <c r="AD2460" s="17">
        <v>45569</v>
      </c>
      <c r="AE2460" s="56">
        <v>132</v>
      </c>
      <c r="AF2460" s="56"/>
      <c r="AG2460" s="10" t="s">
        <v>134</v>
      </c>
      <c r="AH2460" s="17">
        <v>45572</v>
      </c>
      <c r="AI2460" s="17"/>
      <c r="AJ2460" s="17"/>
      <c r="AK2460" s="9" t="s">
        <v>1250</v>
      </c>
      <c r="AL2460" s="11">
        <v>132</v>
      </c>
      <c r="AN2460" s="11" t="s">
        <v>1258</v>
      </c>
      <c r="AP2460" s="11"/>
      <c r="AQ2460" s="11"/>
      <c r="AR2460" s="11"/>
      <c r="AW2460" s="42">
        <v>45569</v>
      </c>
      <c r="AX2460" s="36">
        <v>3253</v>
      </c>
      <c r="AY2460" s="36"/>
      <c r="AZ2460" s="36"/>
      <c r="BA2460" s="36">
        <v>132</v>
      </c>
      <c r="BD2460" s="9"/>
      <c r="CS2460" s="11">
        <f t="shared" si="170"/>
        <v>132</v>
      </c>
      <c r="CT2460" s="22">
        <f t="shared" si="171"/>
        <v>132</v>
      </c>
      <c r="CU2460" s="22">
        <f t="shared" si="172"/>
        <v>0</v>
      </c>
      <c r="CV2460" s="26">
        <f t="shared" si="169"/>
        <v>0</v>
      </c>
    </row>
    <row r="2461" spans="1:100" x14ac:dyDescent="0.2">
      <c r="A2461" s="9" t="s">
        <v>565</v>
      </c>
      <c r="B2461" s="2">
        <v>132</v>
      </c>
      <c r="C2461" s="3" t="s">
        <v>95</v>
      </c>
      <c r="D2461" s="3" t="s">
        <v>96</v>
      </c>
      <c r="E2461" s="2"/>
      <c r="F2461" s="2"/>
      <c r="G2461" s="2" t="s">
        <v>83</v>
      </c>
      <c r="H2461" s="2">
        <v>2</v>
      </c>
      <c r="I2461" s="8">
        <v>120.16</v>
      </c>
      <c r="J2461" s="8">
        <v>36499</v>
      </c>
      <c r="K2461" s="3">
        <v>0</v>
      </c>
      <c r="L2461" s="3" t="s">
        <v>3</v>
      </c>
      <c r="M2461" s="9" t="s">
        <v>0</v>
      </c>
      <c r="N2461" s="9" t="s">
        <v>47</v>
      </c>
      <c r="O2461" s="9" t="s">
        <v>566</v>
      </c>
      <c r="S2461" s="9" t="s">
        <v>570</v>
      </c>
      <c r="T2461" s="2"/>
      <c r="U2461" s="2"/>
      <c r="V2461" s="2"/>
      <c r="W2461" s="10" t="s">
        <v>710</v>
      </c>
      <c r="X2461" s="17">
        <v>45386</v>
      </c>
      <c r="Y2461" s="17">
        <v>45386</v>
      </c>
      <c r="Z2461" s="19" t="s">
        <v>772</v>
      </c>
      <c r="AA2461" s="210">
        <v>11040.12</v>
      </c>
      <c r="AB2461" s="9">
        <v>84</v>
      </c>
      <c r="AC2461" s="9">
        <v>7</v>
      </c>
      <c r="AD2461" s="17">
        <v>45600</v>
      </c>
      <c r="AE2461" s="56">
        <v>132</v>
      </c>
      <c r="AF2461" s="56"/>
      <c r="AG2461" s="10" t="s">
        <v>134</v>
      </c>
      <c r="AH2461" s="17">
        <v>45601</v>
      </c>
      <c r="AI2461" s="17"/>
      <c r="AJ2461" s="17"/>
      <c r="AK2461" s="9" t="s">
        <v>1251</v>
      </c>
      <c r="AL2461" s="11">
        <v>132</v>
      </c>
      <c r="AN2461" s="11" t="s">
        <v>1259</v>
      </c>
      <c r="AP2461" s="11"/>
      <c r="AQ2461" s="11"/>
      <c r="AR2461" s="11"/>
      <c r="AW2461" s="42">
        <v>45600</v>
      </c>
      <c r="AX2461" s="36">
        <v>3361</v>
      </c>
      <c r="AY2461" s="36"/>
      <c r="AZ2461" s="36"/>
      <c r="BA2461" s="36">
        <v>132</v>
      </c>
      <c r="BD2461" s="9"/>
      <c r="CS2461" s="11">
        <f t="shared" si="170"/>
        <v>132</v>
      </c>
      <c r="CT2461" s="22">
        <f t="shared" si="171"/>
        <v>132</v>
      </c>
      <c r="CU2461" s="22">
        <f t="shared" si="172"/>
        <v>0</v>
      </c>
      <c r="CV2461" s="26">
        <f t="shared" si="169"/>
        <v>0</v>
      </c>
    </row>
    <row r="2462" spans="1:100" x14ac:dyDescent="0.2">
      <c r="A2462" s="9" t="s">
        <v>565</v>
      </c>
      <c r="B2462" s="2">
        <v>132</v>
      </c>
      <c r="C2462" s="3" t="s">
        <v>95</v>
      </c>
      <c r="D2462" s="3" t="s">
        <v>96</v>
      </c>
      <c r="E2462" s="2"/>
      <c r="F2462" s="2"/>
      <c r="G2462" s="2" t="s">
        <v>83</v>
      </c>
      <c r="H2462" s="2">
        <v>2</v>
      </c>
      <c r="I2462" s="8">
        <v>120.16</v>
      </c>
      <c r="J2462" s="8">
        <v>36499</v>
      </c>
      <c r="K2462" s="3">
        <v>0</v>
      </c>
      <c r="L2462" s="3" t="s">
        <v>3</v>
      </c>
      <c r="M2462" s="9" t="s">
        <v>0</v>
      </c>
      <c r="N2462" s="9" t="s">
        <v>47</v>
      </c>
      <c r="O2462" s="9" t="s">
        <v>566</v>
      </c>
      <c r="S2462" s="9" t="s">
        <v>570</v>
      </c>
      <c r="T2462" s="2"/>
      <c r="U2462" s="2"/>
      <c r="V2462" s="2"/>
      <c r="W2462" s="10" t="s">
        <v>710</v>
      </c>
      <c r="X2462" s="17">
        <v>45386</v>
      </c>
      <c r="Y2462" s="17">
        <v>45386</v>
      </c>
      <c r="Z2462" s="19" t="s">
        <v>772</v>
      </c>
      <c r="AA2462" s="210">
        <v>11040.12</v>
      </c>
      <c r="AB2462" s="9">
        <v>84</v>
      </c>
      <c r="AC2462" s="9">
        <v>8</v>
      </c>
      <c r="AD2462" s="17">
        <v>45630</v>
      </c>
      <c r="AE2462" s="56">
        <v>132</v>
      </c>
      <c r="AF2462" s="56"/>
      <c r="AG2462" s="10" t="s">
        <v>134</v>
      </c>
      <c r="AH2462" s="17">
        <v>45630</v>
      </c>
      <c r="AI2462" s="17"/>
      <c r="AJ2462" s="17"/>
      <c r="AK2462" s="9" t="s">
        <v>1252</v>
      </c>
      <c r="AL2462" s="11">
        <v>132</v>
      </c>
      <c r="AN2462" s="11" t="s">
        <v>1260</v>
      </c>
      <c r="AP2462" s="11"/>
      <c r="AQ2462" s="11"/>
      <c r="AR2462" s="11"/>
      <c r="AW2462" s="42">
        <v>45630</v>
      </c>
      <c r="AX2462" s="36">
        <v>3477</v>
      </c>
      <c r="AY2462" s="36"/>
      <c r="AZ2462" s="36"/>
      <c r="BA2462" s="36">
        <v>132</v>
      </c>
      <c r="BD2462" s="9"/>
      <c r="CS2462" s="11">
        <f t="shared" si="170"/>
        <v>132</v>
      </c>
      <c r="CT2462" s="22">
        <f t="shared" si="171"/>
        <v>132</v>
      </c>
      <c r="CU2462" s="22">
        <f t="shared" si="172"/>
        <v>0</v>
      </c>
      <c r="CV2462" s="26">
        <f t="shared" si="169"/>
        <v>0</v>
      </c>
    </row>
    <row r="2463" spans="1:100" x14ac:dyDescent="0.2">
      <c r="A2463" s="9" t="s">
        <v>565</v>
      </c>
      <c r="B2463" s="2">
        <v>132</v>
      </c>
      <c r="C2463" s="3" t="s">
        <v>95</v>
      </c>
      <c r="D2463" s="3" t="s">
        <v>96</v>
      </c>
      <c r="E2463" s="2"/>
      <c r="F2463" s="2"/>
      <c r="G2463" s="2" t="s">
        <v>83</v>
      </c>
      <c r="H2463" s="2">
        <v>2</v>
      </c>
      <c r="I2463" s="8">
        <v>120.16</v>
      </c>
      <c r="J2463" s="8">
        <v>36499</v>
      </c>
      <c r="K2463" s="3">
        <v>0</v>
      </c>
      <c r="L2463" s="3" t="s">
        <v>3</v>
      </c>
      <c r="M2463" s="9" t="s">
        <v>0</v>
      </c>
      <c r="N2463" s="9" t="s">
        <v>47</v>
      </c>
      <c r="O2463" s="9" t="s">
        <v>566</v>
      </c>
      <c r="S2463" s="9" t="s">
        <v>570</v>
      </c>
      <c r="T2463" s="2"/>
      <c r="U2463" s="2"/>
      <c r="V2463" s="2"/>
      <c r="W2463" s="10" t="s">
        <v>710</v>
      </c>
      <c r="X2463" s="17">
        <v>45386</v>
      </c>
      <c r="Y2463" s="17">
        <v>45386</v>
      </c>
      <c r="Z2463" s="19" t="s">
        <v>772</v>
      </c>
      <c r="AA2463" s="210">
        <v>11040.12</v>
      </c>
      <c r="AB2463" s="9">
        <v>84</v>
      </c>
      <c r="AC2463" s="9">
        <v>9</v>
      </c>
      <c r="AD2463" s="17">
        <v>45661</v>
      </c>
      <c r="AE2463" s="56">
        <v>132</v>
      </c>
      <c r="AF2463" s="56"/>
      <c r="AG2463" s="10" t="s">
        <v>134</v>
      </c>
      <c r="AH2463" s="17">
        <v>45663</v>
      </c>
      <c r="AI2463" s="17"/>
      <c r="AJ2463" s="17"/>
      <c r="AK2463" s="9" t="s">
        <v>1227</v>
      </c>
      <c r="AL2463" s="11">
        <v>132</v>
      </c>
      <c r="AN2463" s="11" t="s">
        <v>1236</v>
      </c>
      <c r="AP2463" s="11"/>
      <c r="AQ2463" s="11"/>
      <c r="AR2463" s="11"/>
      <c r="AW2463" s="42">
        <v>45661</v>
      </c>
      <c r="AX2463" s="36">
        <v>3575</v>
      </c>
      <c r="AY2463" s="36"/>
      <c r="AZ2463" s="36"/>
      <c r="BA2463" s="36">
        <v>132</v>
      </c>
      <c r="BD2463" s="9"/>
      <c r="CS2463" s="11">
        <f t="shared" si="170"/>
        <v>132</v>
      </c>
      <c r="CT2463" s="22">
        <f t="shared" si="171"/>
        <v>132</v>
      </c>
      <c r="CU2463" s="22">
        <f t="shared" si="172"/>
        <v>0</v>
      </c>
      <c r="CV2463" s="26">
        <f t="shared" si="169"/>
        <v>0</v>
      </c>
    </row>
    <row r="2464" spans="1:100" x14ac:dyDescent="0.2">
      <c r="A2464" s="9" t="s">
        <v>565</v>
      </c>
      <c r="B2464" s="2">
        <v>132</v>
      </c>
      <c r="C2464" s="3" t="s">
        <v>95</v>
      </c>
      <c r="D2464" s="3" t="s">
        <v>96</v>
      </c>
      <c r="E2464" s="2"/>
      <c r="F2464" s="2"/>
      <c r="G2464" s="2" t="s">
        <v>83</v>
      </c>
      <c r="H2464" s="2">
        <v>2</v>
      </c>
      <c r="I2464" s="8">
        <v>120.16</v>
      </c>
      <c r="J2464" s="8">
        <v>36499</v>
      </c>
      <c r="K2464" s="3">
        <v>0</v>
      </c>
      <c r="L2464" s="3" t="s">
        <v>3</v>
      </c>
      <c r="M2464" s="9" t="s">
        <v>0</v>
      </c>
      <c r="N2464" s="9" t="s">
        <v>47</v>
      </c>
      <c r="O2464" s="9" t="s">
        <v>566</v>
      </c>
      <c r="S2464" s="9" t="s">
        <v>570</v>
      </c>
      <c r="T2464" s="2"/>
      <c r="U2464" s="2"/>
      <c r="V2464" s="2"/>
      <c r="W2464" s="10" t="s">
        <v>710</v>
      </c>
      <c r="X2464" s="17">
        <v>45386</v>
      </c>
      <c r="Y2464" s="17">
        <v>45386</v>
      </c>
      <c r="Z2464" s="19" t="s">
        <v>772</v>
      </c>
      <c r="AA2464" s="210">
        <v>11040.12</v>
      </c>
      <c r="AB2464" s="9">
        <v>84</v>
      </c>
      <c r="AC2464" s="9">
        <v>10</v>
      </c>
      <c r="AD2464" s="17">
        <v>45692</v>
      </c>
      <c r="AE2464" s="56">
        <v>132</v>
      </c>
      <c r="AF2464" s="56"/>
      <c r="AG2464" s="10" t="s">
        <v>134</v>
      </c>
      <c r="AH2464" s="17">
        <v>45693</v>
      </c>
      <c r="AI2464" s="17"/>
      <c r="AJ2464" s="17"/>
      <c r="AK2464" s="9" t="s">
        <v>1228</v>
      </c>
      <c r="AL2464" s="11">
        <v>132</v>
      </c>
      <c r="AN2464" s="11" t="s">
        <v>1237</v>
      </c>
      <c r="AP2464" s="11"/>
      <c r="AQ2464" s="11"/>
      <c r="AR2464" s="11"/>
      <c r="AW2464" s="42">
        <v>45693</v>
      </c>
      <c r="AX2464" s="36">
        <v>3700</v>
      </c>
      <c r="AY2464" s="36"/>
      <c r="AZ2464" s="36"/>
      <c r="BA2464" s="36">
        <v>132</v>
      </c>
      <c r="BD2464" s="9"/>
      <c r="CS2464" s="11">
        <f t="shared" si="170"/>
        <v>132</v>
      </c>
      <c r="CT2464" s="22">
        <f t="shared" si="171"/>
        <v>132</v>
      </c>
      <c r="CU2464" s="22">
        <f t="shared" si="172"/>
        <v>0</v>
      </c>
      <c r="CV2464" s="26">
        <f t="shared" si="169"/>
        <v>0</v>
      </c>
    </row>
    <row r="2465" spans="1:103" x14ac:dyDescent="0.2">
      <c r="A2465" s="9" t="s">
        <v>565</v>
      </c>
      <c r="B2465" s="2">
        <v>132</v>
      </c>
      <c r="C2465" s="3" t="s">
        <v>95</v>
      </c>
      <c r="D2465" s="3" t="s">
        <v>96</v>
      </c>
      <c r="E2465" s="2"/>
      <c r="F2465" s="2"/>
      <c r="G2465" s="2" t="s">
        <v>83</v>
      </c>
      <c r="H2465" s="2">
        <v>2</v>
      </c>
      <c r="I2465" s="8">
        <v>120.16</v>
      </c>
      <c r="J2465" s="8">
        <v>36499</v>
      </c>
      <c r="K2465" s="3">
        <v>0</v>
      </c>
      <c r="L2465" s="3" t="s">
        <v>3</v>
      </c>
      <c r="M2465" s="9" t="s">
        <v>0</v>
      </c>
      <c r="N2465" s="9" t="s">
        <v>47</v>
      </c>
      <c r="O2465" s="9" t="s">
        <v>566</v>
      </c>
      <c r="S2465" s="9" t="s">
        <v>570</v>
      </c>
      <c r="T2465" s="2"/>
      <c r="U2465" s="2"/>
      <c r="V2465" s="2"/>
      <c r="W2465" s="10" t="s">
        <v>710</v>
      </c>
      <c r="X2465" s="17">
        <v>45386</v>
      </c>
      <c r="Y2465" s="17">
        <v>45386</v>
      </c>
      <c r="Z2465" s="19" t="s">
        <v>772</v>
      </c>
      <c r="AA2465" s="210">
        <v>11040.12</v>
      </c>
      <c r="AB2465" s="9">
        <v>84</v>
      </c>
      <c r="AC2465" s="9">
        <v>11</v>
      </c>
      <c r="AD2465" s="17">
        <v>45720</v>
      </c>
      <c r="AE2465" s="56">
        <v>132</v>
      </c>
      <c r="AF2465" s="56"/>
      <c r="AG2465" s="10" t="s">
        <v>134</v>
      </c>
      <c r="AH2465" s="17">
        <v>45721</v>
      </c>
      <c r="AI2465" s="17"/>
      <c r="AJ2465" s="17"/>
      <c r="AK2465" s="9" t="s">
        <v>1229</v>
      </c>
      <c r="AL2465" s="11">
        <v>132</v>
      </c>
      <c r="AN2465" s="11" t="s">
        <v>1238</v>
      </c>
      <c r="AP2465" s="11"/>
      <c r="AQ2465" s="11"/>
      <c r="AR2465" s="11"/>
      <c r="AW2465" s="42">
        <v>45720</v>
      </c>
      <c r="AX2465" s="36">
        <v>3849</v>
      </c>
      <c r="AY2465" s="36"/>
      <c r="AZ2465" s="36"/>
      <c r="BA2465" s="36">
        <v>132</v>
      </c>
      <c r="BD2465" s="9"/>
      <c r="CS2465" s="11">
        <f t="shared" si="170"/>
        <v>132</v>
      </c>
      <c r="CT2465" s="22">
        <f t="shared" si="171"/>
        <v>132</v>
      </c>
      <c r="CU2465" s="22">
        <f t="shared" si="172"/>
        <v>0</v>
      </c>
      <c r="CV2465" s="26">
        <f t="shared" si="169"/>
        <v>0</v>
      </c>
    </row>
    <row r="2466" spans="1:103" x14ac:dyDescent="0.2">
      <c r="A2466" s="9" t="s">
        <v>565</v>
      </c>
      <c r="B2466" s="2">
        <v>132</v>
      </c>
      <c r="C2466" s="3" t="s">
        <v>95</v>
      </c>
      <c r="D2466" s="3" t="s">
        <v>96</v>
      </c>
      <c r="E2466" s="2"/>
      <c r="F2466" s="2"/>
      <c r="G2466" s="2" t="s">
        <v>83</v>
      </c>
      <c r="H2466" s="2">
        <v>2</v>
      </c>
      <c r="I2466" s="8">
        <v>120.16</v>
      </c>
      <c r="J2466" s="8">
        <v>36499</v>
      </c>
      <c r="K2466" s="3">
        <v>0</v>
      </c>
      <c r="L2466" s="3" t="s">
        <v>3</v>
      </c>
      <c r="M2466" s="9" t="s">
        <v>0</v>
      </c>
      <c r="N2466" s="9" t="s">
        <v>47</v>
      </c>
      <c r="O2466" s="9" t="s">
        <v>566</v>
      </c>
      <c r="S2466" s="9" t="s">
        <v>570</v>
      </c>
      <c r="T2466" s="2"/>
      <c r="U2466" s="2"/>
      <c r="V2466" s="2"/>
      <c r="W2466" s="10" t="s">
        <v>710</v>
      </c>
      <c r="X2466" s="17">
        <v>45386</v>
      </c>
      <c r="Y2466" s="17">
        <v>45386</v>
      </c>
      <c r="Z2466" s="19" t="s">
        <v>772</v>
      </c>
      <c r="AA2466" s="210">
        <v>11040.12</v>
      </c>
      <c r="AB2466" s="9">
        <v>84</v>
      </c>
      <c r="AC2466" s="9">
        <v>12</v>
      </c>
      <c r="AD2466" s="17">
        <v>45751</v>
      </c>
      <c r="AE2466" s="56">
        <v>132</v>
      </c>
      <c r="AF2466" s="56"/>
      <c r="AG2466" s="10" t="s">
        <v>134</v>
      </c>
      <c r="AH2466" s="17">
        <v>45754</v>
      </c>
      <c r="AI2466" s="17"/>
      <c r="AJ2466" s="17"/>
      <c r="AK2466" s="9" t="s">
        <v>1230</v>
      </c>
      <c r="AL2466" s="11">
        <v>132</v>
      </c>
      <c r="AN2466" s="11" t="s">
        <v>1239</v>
      </c>
      <c r="AP2466" s="11"/>
      <c r="AQ2466" s="11"/>
      <c r="AR2466" s="11"/>
      <c r="AW2466" s="42">
        <v>45751</v>
      </c>
      <c r="AX2466" s="36">
        <v>3974</v>
      </c>
      <c r="AY2466" s="36"/>
      <c r="AZ2466" s="36"/>
      <c r="BA2466" s="36">
        <v>132</v>
      </c>
      <c r="BD2466" s="9"/>
      <c r="CS2466" s="11">
        <f t="shared" si="170"/>
        <v>132</v>
      </c>
      <c r="CT2466" s="22">
        <f t="shared" si="171"/>
        <v>132</v>
      </c>
      <c r="CU2466" s="22">
        <f t="shared" si="172"/>
        <v>0</v>
      </c>
      <c r="CV2466" s="26">
        <f t="shared" si="169"/>
        <v>0</v>
      </c>
    </row>
    <row r="2467" spans="1:103" x14ac:dyDescent="0.2">
      <c r="A2467" s="9" t="s">
        <v>565</v>
      </c>
      <c r="B2467" s="2">
        <v>132</v>
      </c>
      <c r="C2467" s="3" t="s">
        <v>95</v>
      </c>
      <c r="D2467" s="3" t="s">
        <v>96</v>
      </c>
      <c r="E2467" s="2"/>
      <c r="F2467" s="2"/>
      <c r="G2467" s="2" t="s">
        <v>83</v>
      </c>
      <c r="H2467" s="2">
        <v>2</v>
      </c>
      <c r="I2467" s="8">
        <v>120.16</v>
      </c>
      <c r="J2467" s="8">
        <v>36499</v>
      </c>
      <c r="K2467" s="3">
        <v>0</v>
      </c>
      <c r="L2467" s="3" t="s">
        <v>3</v>
      </c>
      <c r="M2467" s="9" t="s">
        <v>0</v>
      </c>
      <c r="N2467" s="9" t="s">
        <v>47</v>
      </c>
      <c r="O2467" s="9" t="s">
        <v>566</v>
      </c>
      <c r="S2467" s="9" t="s">
        <v>570</v>
      </c>
      <c r="T2467" s="2"/>
      <c r="U2467" s="2"/>
      <c r="V2467" s="2"/>
      <c r="W2467" s="10" t="s">
        <v>710</v>
      </c>
      <c r="X2467" s="17">
        <v>45386</v>
      </c>
      <c r="Y2467" s="17">
        <v>45386</v>
      </c>
      <c r="Z2467" s="19" t="s">
        <v>772</v>
      </c>
      <c r="AA2467" s="210">
        <v>11040.12</v>
      </c>
      <c r="AB2467" s="9">
        <v>84</v>
      </c>
      <c r="AC2467" s="9">
        <v>13</v>
      </c>
      <c r="AD2467" s="17">
        <v>45781</v>
      </c>
      <c r="AE2467" s="56">
        <v>132</v>
      </c>
      <c r="AF2467" s="56"/>
      <c r="AG2467" s="10" t="s">
        <v>134</v>
      </c>
      <c r="AH2467" s="17">
        <v>45783</v>
      </c>
      <c r="AI2467" s="17"/>
      <c r="AJ2467" s="17"/>
      <c r="AK2467" s="9" t="s">
        <v>1231</v>
      </c>
      <c r="AL2467" s="11">
        <v>132</v>
      </c>
      <c r="AN2467" s="11" t="s">
        <v>1240</v>
      </c>
      <c r="AP2467" s="11"/>
      <c r="AQ2467" s="11"/>
      <c r="AR2467" s="11"/>
      <c r="AW2467" s="42">
        <v>45782</v>
      </c>
      <c r="AX2467" s="36">
        <v>4106</v>
      </c>
      <c r="AY2467" s="36"/>
      <c r="AZ2467" s="36"/>
      <c r="BA2467" s="36">
        <v>132</v>
      </c>
      <c r="BD2467" s="9"/>
      <c r="CS2467" s="11">
        <f t="shared" si="170"/>
        <v>132</v>
      </c>
      <c r="CT2467" s="22">
        <f t="shared" si="171"/>
        <v>132</v>
      </c>
      <c r="CU2467" s="22">
        <f t="shared" si="172"/>
        <v>0</v>
      </c>
      <c r="CV2467" s="26">
        <f t="shared" si="169"/>
        <v>0</v>
      </c>
    </row>
    <row r="2468" spans="1:103" x14ac:dyDescent="0.2">
      <c r="A2468" s="9" t="s">
        <v>565</v>
      </c>
      <c r="B2468" s="2">
        <v>132</v>
      </c>
      <c r="C2468" s="3" t="s">
        <v>95</v>
      </c>
      <c r="D2468" s="3" t="s">
        <v>96</v>
      </c>
      <c r="E2468" s="2"/>
      <c r="F2468" s="2"/>
      <c r="G2468" s="2" t="s">
        <v>83</v>
      </c>
      <c r="H2468" s="2">
        <v>2</v>
      </c>
      <c r="I2468" s="8">
        <v>120.16</v>
      </c>
      <c r="J2468" s="8">
        <v>36499</v>
      </c>
      <c r="K2468" s="3">
        <v>0</v>
      </c>
      <c r="L2468" s="3" t="s">
        <v>3</v>
      </c>
      <c r="M2468" s="9" t="s">
        <v>0</v>
      </c>
      <c r="N2468" s="9" t="s">
        <v>47</v>
      </c>
      <c r="O2468" s="9" t="s">
        <v>566</v>
      </c>
      <c r="S2468" s="9" t="s">
        <v>570</v>
      </c>
      <c r="T2468" s="2"/>
      <c r="U2468" s="2"/>
      <c r="V2468" s="2"/>
      <c r="W2468" s="10" t="s">
        <v>710</v>
      </c>
      <c r="X2468" s="17">
        <v>45386</v>
      </c>
      <c r="Y2468" s="17">
        <v>45386</v>
      </c>
      <c r="Z2468" s="19" t="s">
        <v>772</v>
      </c>
      <c r="AA2468" s="210">
        <v>11040.12</v>
      </c>
      <c r="AB2468" s="9">
        <v>84</v>
      </c>
      <c r="AC2468" s="9">
        <v>14</v>
      </c>
      <c r="AD2468" s="17">
        <v>45812</v>
      </c>
      <c r="AE2468" s="56">
        <v>132</v>
      </c>
      <c r="AF2468" s="56"/>
      <c r="AG2468" s="10" t="s">
        <v>134</v>
      </c>
      <c r="AH2468" s="17">
        <v>45814</v>
      </c>
      <c r="AI2468" s="17"/>
      <c r="AJ2468" s="17"/>
      <c r="AK2468" s="9" t="s">
        <v>1232</v>
      </c>
      <c r="AL2468" s="11">
        <v>132</v>
      </c>
      <c r="AN2468" s="11" t="s">
        <v>1241</v>
      </c>
      <c r="AP2468" s="11"/>
      <c r="AQ2468" s="11"/>
      <c r="AR2468" s="11"/>
      <c r="AW2468" s="42">
        <v>45812</v>
      </c>
      <c r="AX2468" s="36">
        <v>4269</v>
      </c>
      <c r="AY2468" s="36"/>
      <c r="AZ2468" s="36"/>
      <c r="BA2468" s="36">
        <v>132</v>
      </c>
      <c r="BD2468" s="9"/>
      <c r="CS2468" s="11">
        <f t="shared" si="170"/>
        <v>132</v>
      </c>
      <c r="CT2468" s="22">
        <f t="shared" si="171"/>
        <v>132</v>
      </c>
      <c r="CU2468" s="22">
        <f t="shared" si="172"/>
        <v>0</v>
      </c>
      <c r="CV2468" s="26">
        <f t="shared" si="169"/>
        <v>0</v>
      </c>
    </row>
    <row r="2469" spans="1:103" x14ac:dyDescent="0.2">
      <c r="A2469" s="9" t="s">
        <v>565</v>
      </c>
      <c r="B2469" s="2">
        <v>132</v>
      </c>
      <c r="C2469" s="3" t="s">
        <v>95</v>
      </c>
      <c r="D2469" s="3" t="s">
        <v>96</v>
      </c>
      <c r="E2469" s="2"/>
      <c r="F2469" s="2"/>
      <c r="G2469" s="2" t="s">
        <v>83</v>
      </c>
      <c r="H2469" s="2">
        <v>2</v>
      </c>
      <c r="I2469" s="8">
        <v>120.16</v>
      </c>
      <c r="J2469" s="8">
        <v>36499</v>
      </c>
      <c r="K2469" s="3">
        <v>0</v>
      </c>
      <c r="L2469" s="3" t="s">
        <v>3</v>
      </c>
      <c r="M2469" s="9" t="s">
        <v>0</v>
      </c>
      <c r="N2469" s="9" t="s">
        <v>47</v>
      </c>
      <c r="O2469" s="9" t="s">
        <v>566</v>
      </c>
      <c r="S2469" s="9" t="s">
        <v>570</v>
      </c>
      <c r="T2469" s="2"/>
      <c r="U2469" s="2"/>
      <c r="V2469" s="2"/>
      <c r="W2469" s="10" t="s">
        <v>710</v>
      </c>
      <c r="X2469" s="17">
        <v>45386</v>
      </c>
      <c r="Y2469" s="17">
        <v>45386</v>
      </c>
      <c r="Z2469" s="19" t="s">
        <v>772</v>
      </c>
      <c r="AA2469" s="210">
        <v>11040.12</v>
      </c>
      <c r="AB2469" s="9">
        <v>84</v>
      </c>
      <c r="AC2469" s="9">
        <v>15</v>
      </c>
      <c r="AD2469" s="17">
        <v>45842</v>
      </c>
      <c r="AE2469" s="56">
        <v>132</v>
      </c>
      <c r="AF2469" s="56"/>
      <c r="AG2469" s="10" t="s">
        <v>134</v>
      </c>
      <c r="AH2469" s="17">
        <v>45845</v>
      </c>
      <c r="AI2469" s="17"/>
      <c r="AJ2469" s="17"/>
      <c r="AK2469" s="9" t="s">
        <v>1233</v>
      </c>
      <c r="AL2469" s="11">
        <v>132</v>
      </c>
      <c r="AN2469" s="11" t="s">
        <v>1242</v>
      </c>
      <c r="AP2469" s="11"/>
      <c r="AQ2469" s="11"/>
      <c r="AR2469" s="11"/>
      <c r="AW2469" s="42">
        <v>45842</v>
      </c>
      <c r="AX2469" s="36">
        <v>4375</v>
      </c>
      <c r="AY2469" s="36"/>
      <c r="AZ2469" s="36"/>
      <c r="BA2469" s="36">
        <v>132</v>
      </c>
      <c r="BD2469" s="9"/>
      <c r="CS2469" s="11">
        <f t="shared" si="170"/>
        <v>132</v>
      </c>
      <c r="CT2469" s="22">
        <f t="shared" si="171"/>
        <v>132</v>
      </c>
      <c r="CU2469" s="22">
        <f t="shared" si="172"/>
        <v>0</v>
      </c>
      <c r="CV2469" s="26">
        <f t="shared" si="169"/>
        <v>0</v>
      </c>
    </row>
    <row r="2470" spans="1:103" x14ac:dyDescent="0.2">
      <c r="A2470" s="9" t="s">
        <v>565</v>
      </c>
      <c r="B2470" s="2">
        <v>132</v>
      </c>
      <c r="C2470" s="3" t="s">
        <v>95</v>
      </c>
      <c r="D2470" s="3" t="s">
        <v>96</v>
      </c>
      <c r="E2470" s="2"/>
      <c r="F2470" s="2"/>
      <c r="G2470" s="2" t="s">
        <v>83</v>
      </c>
      <c r="H2470" s="2">
        <v>2</v>
      </c>
      <c r="I2470" s="8">
        <v>120.16</v>
      </c>
      <c r="J2470" s="8">
        <v>36499</v>
      </c>
      <c r="K2470" s="3">
        <v>0</v>
      </c>
      <c r="L2470" s="3" t="s">
        <v>3</v>
      </c>
      <c r="M2470" s="9" t="s">
        <v>0</v>
      </c>
      <c r="N2470" s="9" t="s">
        <v>47</v>
      </c>
      <c r="O2470" s="9" t="s">
        <v>566</v>
      </c>
      <c r="S2470" s="9" t="s">
        <v>570</v>
      </c>
      <c r="T2470" s="2"/>
      <c r="U2470" s="2"/>
      <c r="V2470" s="2"/>
      <c r="W2470" s="10" t="s">
        <v>710</v>
      </c>
      <c r="X2470" s="17">
        <v>45386</v>
      </c>
      <c r="Y2470" s="17">
        <v>45386</v>
      </c>
      <c r="Z2470" s="19" t="s">
        <v>772</v>
      </c>
      <c r="AA2470" s="210">
        <v>11040.12</v>
      </c>
      <c r="AB2470" s="9">
        <v>84</v>
      </c>
      <c r="AC2470" s="9">
        <v>16</v>
      </c>
      <c r="AD2470" s="17">
        <v>45873</v>
      </c>
      <c r="AE2470" s="56">
        <v>132</v>
      </c>
      <c r="AF2470" s="56"/>
      <c r="AG2470" s="10" t="s">
        <v>134</v>
      </c>
      <c r="AH2470" s="17">
        <v>45874</v>
      </c>
      <c r="AI2470" s="17"/>
      <c r="AJ2470" s="17"/>
      <c r="AK2470" s="9" t="s">
        <v>1234</v>
      </c>
      <c r="AL2470" s="11">
        <v>132</v>
      </c>
      <c r="AN2470" s="11" t="s">
        <v>1243</v>
      </c>
      <c r="AP2470" s="11"/>
      <c r="AQ2470" s="11"/>
      <c r="AR2470" s="11"/>
      <c r="AW2470" s="42">
        <v>45874</v>
      </c>
      <c r="AX2470" s="36">
        <v>4523</v>
      </c>
      <c r="AY2470" s="36"/>
      <c r="AZ2470" s="36"/>
      <c r="BA2470" s="40">
        <v>132</v>
      </c>
      <c r="BD2470" s="9"/>
      <c r="CS2470" s="11">
        <f t="shared" si="170"/>
        <v>132</v>
      </c>
      <c r="CT2470" s="22">
        <f t="shared" si="171"/>
        <v>132</v>
      </c>
      <c r="CU2470" s="22">
        <f t="shared" si="172"/>
        <v>0</v>
      </c>
      <c r="CV2470" s="26">
        <f t="shared" si="169"/>
        <v>0</v>
      </c>
    </row>
    <row r="2471" spans="1:103" x14ac:dyDescent="0.2">
      <c r="A2471" s="9" t="s">
        <v>565</v>
      </c>
      <c r="B2471" s="2">
        <v>132</v>
      </c>
      <c r="C2471" s="3" t="s">
        <v>95</v>
      </c>
      <c r="D2471" s="3" t="s">
        <v>96</v>
      </c>
      <c r="E2471" s="2"/>
      <c r="F2471" s="2"/>
      <c r="G2471" s="2" t="s">
        <v>83</v>
      </c>
      <c r="H2471" s="2">
        <v>2</v>
      </c>
      <c r="I2471" s="8">
        <v>120.16</v>
      </c>
      <c r="J2471" s="8">
        <v>36499</v>
      </c>
      <c r="K2471" s="3">
        <v>0</v>
      </c>
      <c r="L2471" s="3" t="s">
        <v>3</v>
      </c>
      <c r="M2471" s="9" t="s">
        <v>0</v>
      </c>
      <c r="N2471" s="9" t="s">
        <v>47</v>
      </c>
      <c r="O2471" s="9" t="s">
        <v>566</v>
      </c>
      <c r="S2471" s="9" t="s">
        <v>570</v>
      </c>
      <c r="T2471" s="2"/>
      <c r="U2471" s="2"/>
      <c r="V2471" s="2"/>
      <c r="W2471" s="10" t="s">
        <v>710</v>
      </c>
      <c r="X2471" s="17">
        <v>45386</v>
      </c>
      <c r="Y2471" s="17">
        <v>45386</v>
      </c>
      <c r="Z2471" s="19" t="s">
        <v>772</v>
      </c>
      <c r="AA2471" s="210">
        <v>11040.12</v>
      </c>
      <c r="AB2471" s="9">
        <v>84</v>
      </c>
      <c r="AC2471" s="9">
        <v>17</v>
      </c>
      <c r="AD2471" s="17">
        <v>45904</v>
      </c>
      <c r="AE2471" s="56">
        <v>132</v>
      </c>
      <c r="AF2471" s="56"/>
      <c r="AG2471" s="10" t="s">
        <v>134</v>
      </c>
      <c r="AH2471" s="17">
        <v>45905</v>
      </c>
      <c r="AI2471" s="17"/>
      <c r="AJ2471" s="17"/>
      <c r="AK2471" s="9" t="s">
        <v>1235</v>
      </c>
      <c r="AL2471" s="11">
        <v>132</v>
      </c>
      <c r="AN2471" s="11" t="s">
        <v>1244</v>
      </c>
      <c r="AP2471" s="11"/>
      <c r="AQ2471" s="11"/>
      <c r="AR2471" s="11"/>
      <c r="AW2471" s="42">
        <v>45904</v>
      </c>
      <c r="AX2471" s="36">
        <v>4671</v>
      </c>
      <c r="AY2471" s="36"/>
      <c r="AZ2471" s="36"/>
      <c r="BA2471" s="36">
        <v>132</v>
      </c>
      <c r="BD2471" s="9"/>
      <c r="CS2471" s="11">
        <f t="shared" si="170"/>
        <v>132</v>
      </c>
      <c r="CT2471" s="22">
        <f t="shared" si="171"/>
        <v>132</v>
      </c>
      <c r="CU2471" s="22">
        <f t="shared" si="172"/>
        <v>0</v>
      </c>
      <c r="CV2471" s="26">
        <f t="shared" si="169"/>
        <v>0</v>
      </c>
    </row>
    <row r="2472" spans="1:103" x14ac:dyDescent="0.2">
      <c r="A2472" s="9" t="s">
        <v>565</v>
      </c>
      <c r="B2472" s="2">
        <v>132</v>
      </c>
      <c r="C2472" s="3" t="s">
        <v>95</v>
      </c>
      <c r="D2472" s="3" t="s">
        <v>96</v>
      </c>
      <c r="E2472" s="2"/>
      <c r="F2472" s="2"/>
      <c r="G2472" s="2" t="s">
        <v>83</v>
      </c>
      <c r="H2472" s="2">
        <v>2</v>
      </c>
      <c r="I2472" s="8">
        <v>120.16</v>
      </c>
      <c r="J2472" s="8">
        <v>36499</v>
      </c>
      <c r="K2472" s="3">
        <v>0</v>
      </c>
      <c r="L2472" s="3" t="s">
        <v>3</v>
      </c>
      <c r="M2472" s="9" t="s">
        <v>0</v>
      </c>
      <c r="N2472" s="9" t="s">
        <v>47</v>
      </c>
      <c r="O2472" s="9" t="s">
        <v>566</v>
      </c>
      <c r="S2472" s="9" t="s">
        <v>570</v>
      </c>
      <c r="T2472" s="2"/>
      <c r="U2472" s="2"/>
      <c r="V2472" s="2"/>
      <c r="W2472" s="10" t="s">
        <v>710</v>
      </c>
      <c r="X2472" s="17">
        <v>45386</v>
      </c>
      <c r="Y2472" s="17">
        <v>45386</v>
      </c>
      <c r="Z2472" s="19" t="s">
        <v>772</v>
      </c>
      <c r="AA2472" s="210">
        <v>11040.12</v>
      </c>
      <c r="AB2472" s="9">
        <v>84</v>
      </c>
      <c r="AC2472" s="9">
        <v>18</v>
      </c>
      <c r="AD2472" s="17">
        <v>45934</v>
      </c>
      <c r="AE2472" s="56">
        <v>132</v>
      </c>
      <c r="AF2472" s="56"/>
      <c r="AH2472" s="17"/>
      <c r="AI2472" s="17"/>
      <c r="AJ2472" s="17"/>
      <c r="AP2472" s="11"/>
      <c r="AQ2472" s="11"/>
      <c r="AR2472" s="11"/>
      <c r="AW2472" s="9"/>
      <c r="BD2472" s="9"/>
      <c r="CS2472" s="11">
        <f t="shared" si="170"/>
        <v>0</v>
      </c>
      <c r="CT2472" s="22">
        <f t="shared" si="171"/>
        <v>0</v>
      </c>
      <c r="CU2472" s="22">
        <f t="shared" si="172"/>
        <v>0</v>
      </c>
      <c r="CV2472" s="26">
        <f t="shared" si="169"/>
        <v>132</v>
      </c>
    </row>
    <row r="2473" spans="1:103" x14ac:dyDescent="0.2">
      <c r="A2473" s="9" t="s">
        <v>565</v>
      </c>
      <c r="B2473" s="2">
        <v>132</v>
      </c>
      <c r="C2473" s="3" t="s">
        <v>95</v>
      </c>
      <c r="D2473" s="3" t="s">
        <v>96</v>
      </c>
      <c r="E2473" s="2"/>
      <c r="F2473" s="2"/>
      <c r="G2473" s="2" t="s">
        <v>83</v>
      </c>
      <c r="H2473" s="2">
        <v>2</v>
      </c>
      <c r="I2473" s="8">
        <v>120.16</v>
      </c>
      <c r="J2473" s="8">
        <v>36499</v>
      </c>
      <c r="K2473" s="3">
        <v>0</v>
      </c>
      <c r="L2473" s="3" t="s">
        <v>3</v>
      </c>
      <c r="M2473" s="9" t="s">
        <v>0</v>
      </c>
      <c r="N2473" s="9" t="s">
        <v>47</v>
      </c>
      <c r="O2473" s="9" t="s">
        <v>566</v>
      </c>
      <c r="S2473" s="9" t="s">
        <v>570</v>
      </c>
      <c r="T2473" s="2"/>
      <c r="U2473" s="2"/>
      <c r="V2473" s="2"/>
      <c r="W2473" s="10" t="s">
        <v>710</v>
      </c>
      <c r="X2473" s="17">
        <v>45386</v>
      </c>
      <c r="Y2473" s="17">
        <v>45386</v>
      </c>
      <c r="Z2473" s="19" t="s">
        <v>772</v>
      </c>
      <c r="AA2473" s="210">
        <v>11040.12</v>
      </c>
      <c r="AB2473" s="9">
        <v>84</v>
      </c>
      <c r="AC2473" s="9">
        <v>19</v>
      </c>
      <c r="AD2473" s="17">
        <v>45965</v>
      </c>
      <c r="AE2473" s="56">
        <v>132</v>
      </c>
      <c r="AF2473" s="56"/>
      <c r="AH2473" s="17"/>
      <c r="AI2473" s="17"/>
      <c r="AJ2473" s="17"/>
      <c r="AP2473" s="11"/>
      <c r="AQ2473" s="11"/>
      <c r="AR2473" s="11"/>
      <c r="AW2473" s="9"/>
      <c r="BD2473" s="9"/>
      <c r="CS2473" s="11">
        <f t="shared" si="170"/>
        <v>0</v>
      </c>
      <c r="CT2473" s="22">
        <f t="shared" si="171"/>
        <v>0</v>
      </c>
      <c r="CU2473" s="22">
        <f t="shared" si="172"/>
        <v>0</v>
      </c>
      <c r="CV2473" s="26">
        <f t="shared" si="169"/>
        <v>132</v>
      </c>
    </row>
    <row r="2474" spans="1:103" x14ac:dyDescent="0.2">
      <c r="A2474" s="9" t="s">
        <v>565</v>
      </c>
      <c r="B2474" s="2">
        <v>132</v>
      </c>
      <c r="C2474" s="3" t="s">
        <v>95</v>
      </c>
      <c r="D2474" s="3" t="s">
        <v>96</v>
      </c>
      <c r="E2474" s="2"/>
      <c r="F2474" s="2"/>
      <c r="G2474" s="2" t="s">
        <v>83</v>
      </c>
      <c r="H2474" s="2">
        <v>2</v>
      </c>
      <c r="I2474" s="8">
        <v>120.16</v>
      </c>
      <c r="J2474" s="8">
        <v>36499</v>
      </c>
      <c r="K2474" s="3">
        <v>0</v>
      </c>
      <c r="L2474" s="3" t="s">
        <v>3</v>
      </c>
      <c r="M2474" s="9" t="s">
        <v>0</v>
      </c>
      <c r="N2474" s="9" t="s">
        <v>47</v>
      </c>
      <c r="O2474" s="9" t="s">
        <v>566</v>
      </c>
      <c r="S2474" s="9" t="s">
        <v>570</v>
      </c>
      <c r="T2474" s="2"/>
      <c r="U2474" s="2"/>
      <c r="V2474" s="2"/>
      <c r="W2474" s="10" t="s">
        <v>710</v>
      </c>
      <c r="X2474" s="17">
        <v>45386</v>
      </c>
      <c r="Y2474" s="17">
        <v>45386</v>
      </c>
      <c r="Z2474" s="19" t="s">
        <v>772</v>
      </c>
      <c r="AA2474" s="210">
        <v>11040.12</v>
      </c>
      <c r="AB2474" s="9">
        <v>84</v>
      </c>
      <c r="AC2474" s="9">
        <v>20</v>
      </c>
      <c r="AD2474" s="17">
        <v>45995</v>
      </c>
      <c r="AE2474" s="56">
        <v>132</v>
      </c>
      <c r="AF2474" s="56"/>
      <c r="AH2474" s="17"/>
      <c r="AI2474" s="17"/>
      <c r="AJ2474" s="17"/>
      <c r="AP2474" s="11"/>
      <c r="AQ2474" s="11"/>
      <c r="AR2474" s="11"/>
      <c r="AW2474" s="9"/>
      <c r="BD2474" s="9"/>
      <c r="CS2474" s="11">
        <f t="shared" si="170"/>
        <v>0</v>
      </c>
      <c r="CT2474" s="22">
        <f t="shared" si="171"/>
        <v>0</v>
      </c>
      <c r="CU2474" s="22">
        <f t="shared" si="172"/>
        <v>0</v>
      </c>
      <c r="CV2474" s="26">
        <f t="shared" si="169"/>
        <v>132</v>
      </c>
    </row>
    <row r="2475" spans="1:103" x14ac:dyDescent="0.2">
      <c r="A2475" s="9" t="s">
        <v>565</v>
      </c>
      <c r="B2475" s="2">
        <v>132</v>
      </c>
      <c r="C2475" s="3" t="s">
        <v>95</v>
      </c>
      <c r="D2475" s="3" t="s">
        <v>96</v>
      </c>
      <c r="E2475" s="2"/>
      <c r="F2475" s="2"/>
      <c r="G2475" s="2" t="s">
        <v>83</v>
      </c>
      <c r="H2475" s="2">
        <v>2</v>
      </c>
      <c r="I2475" s="8">
        <v>120.16</v>
      </c>
      <c r="J2475" s="8">
        <v>36499</v>
      </c>
      <c r="K2475" s="3">
        <v>0</v>
      </c>
      <c r="L2475" s="3" t="s">
        <v>3</v>
      </c>
      <c r="M2475" s="9" t="s">
        <v>0</v>
      </c>
      <c r="N2475" s="9" t="s">
        <v>47</v>
      </c>
      <c r="O2475" s="9" t="s">
        <v>566</v>
      </c>
      <c r="S2475" s="9" t="s">
        <v>570</v>
      </c>
      <c r="T2475" s="2"/>
      <c r="U2475" s="2"/>
      <c r="V2475" s="2"/>
      <c r="W2475" s="10" t="s">
        <v>710</v>
      </c>
      <c r="X2475" s="17">
        <v>45386</v>
      </c>
      <c r="Y2475" s="17">
        <v>45386</v>
      </c>
      <c r="Z2475" s="19" t="s">
        <v>772</v>
      </c>
      <c r="AA2475" s="210">
        <v>11040.12</v>
      </c>
      <c r="AB2475" s="9">
        <v>84</v>
      </c>
      <c r="AC2475" s="9">
        <v>21</v>
      </c>
      <c r="AD2475" s="17">
        <v>46026</v>
      </c>
      <c r="AE2475" s="56">
        <v>132</v>
      </c>
      <c r="AF2475" s="56"/>
      <c r="AH2475" s="17"/>
      <c r="AI2475" s="17"/>
      <c r="AJ2475" s="17"/>
      <c r="AP2475" s="11"/>
      <c r="AQ2475" s="11"/>
      <c r="AR2475" s="11"/>
      <c r="AW2475" s="9"/>
      <c r="BD2475" s="9"/>
      <c r="CS2475" s="11">
        <f t="shared" si="170"/>
        <v>0</v>
      </c>
      <c r="CT2475" s="22">
        <f t="shared" si="171"/>
        <v>0</v>
      </c>
      <c r="CU2475" s="22">
        <f t="shared" si="172"/>
        <v>0</v>
      </c>
      <c r="CV2475" s="26">
        <f t="shared" si="169"/>
        <v>132</v>
      </c>
    </row>
    <row r="2476" spans="1:103" x14ac:dyDescent="0.2">
      <c r="A2476" s="9" t="s">
        <v>565</v>
      </c>
      <c r="B2476" s="2">
        <v>132</v>
      </c>
      <c r="C2476" s="3" t="s">
        <v>95</v>
      </c>
      <c r="D2476" s="3" t="s">
        <v>96</v>
      </c>
      <c r="E2476" s="2"/>
      <c r="F2476" s="2"/>
      <c r="G2476" s="2" t="s">
        <v>83</v>
      </c>
      <c r="H2476" s="2">
        <v>2</v>
      </c>
      <c r="I2476" s="8">
        <v>120.16</v>
      </c>
      <c r="J2476" s="8">
        <v>36499</v>
      </c>
      <c r="K2476" s="3">
        <v>0</v>
      </c>
      <c r="L2476" s="3" t="s">
        <v>3</v>
      </c>
      <c r="M2476" s="9" t="s">
        <v>0</v>
      </c>
      <c r="N2476" s="9" t="s">
        <v>47</v>
      </c>
      <c r="O2476" s="9" t="s">
        <v>566</v>
      </c>
      <c r="S2476" s="9" t="s">
        <v>570</v>
      </c>
      <c r="T2476" s="2"/>
      <c r="U2476" s="2"/>
      <c r="V2476" s="2"/>
      <c r="W2476" s="10" t="s">
        <v>710</v>
      </c>
      <c r="X2476" s="17">
        <v>45386</v>
      </c>
      <c r="Y2476" s="17">
        <v>45386</v>
      </c>
      <c r="Z2476" s="19" t="s">
        <v>772</v>
      </c>
      <c r="AA2476" s="210">
        <v>11040.12</v>
      </c>
      <c r="AB2476" s="9">
        <v>84</v>
      </c>
      <c r="AC2476" s="9">
        <v>22</v>
      </c>
      <c r="AD2476" s="17">
        <v>46057</v>
      </c>
      <c r="AE2476" s="56">
        <v>132</v>
      </c>
      <c r="AF2476" s="56"/>
      <c r="AH2476" s="17"/>
      <c r="AI2476" s="17"/>
      <c r="AJ2476" s="17"/>
      <c r="AP2476" s="11"/>
      <c r="AQ2476" s="11"/>
      <c r="AR2476" s="11"/>
      <c r="AW2476" s="9"/>
      <c r="BD2476" s="9"/>
      <c r="CS2476" s="11">
        <f t="shared" si="170"/>
        <v>0</v>
      </c>
      <c r="CT2476" s="22">
        <f t="shared" si="171"/>
        <v>0</v>
      </c>
      <c r="CU2476" s="22">
        <f t="shared" si="172"/>
        <v>0</v>
      </c>
      <c r="CV2476" s="26">
        <f t="shared" si="169"/>
        <v>132</v>
      </c>
    </row>
    <row r="2477" spans="1:103" x14ac:dyDescent="0.2">
      <c r="A2477" s="9" t="s">
        <v>565</v>
      </c>
      <c r="B2477" s="2">
        <v>132</v>
      </c>
      <c r="C2477" s="3" t="s">
        <v>95</v>
      </c>
      <c r="D2477" s="3" t="s">
        <v>96</v>
      </c>
      <c r="E2477" s="2"/>
      <c r="F2477" s="2"/>
      <c r="G2477" s="2" t="s">
        <v>83</v>
      </c>
      <c r="H2477" s="2">
        <v>2</v>
      </c>
      <c r="I2477" s="8">
        <v>120.16</v>
      </c>
      <c r="J2477" s="8">
        <v>36499</v>
      </c>
      <c r="K2477" s="3">
        <v>0</v>
      </c>
      <c r="L2477" s="3" t="s">
        <v>3</v>
      </c>
      <c r="M2477" s="9" t="s">
        <v>0</v>
      </c>
      <c r="N2477" s="9" t="s">
        <v>47</v>
      </c>
      <c r="O2477" s="9" t="s">
        <v>566</v>
      </c>
      <c r="S2477" s="9" t="s">
        <v>570</v>
      </c>
      <c r="T2477" s="2"/>
      <c r="U2477" s="2"/>
      <c r="V2477" s="2"/>
      <c r="W2477" s="10" t="s">
        <v>710</v>
      </c>
      <c r="X2477" s="17">
        <v>45386</v>
      </c>
      <c r="Y2477" s="17">
        <v>45386</v>
      </c>
      <c r="Z2477" s="19" t="s">
        <v>772</v>
      </c>
      <c r="AA2477" s="210">
        <v>11040.12</v>
      </c>
      <c r="AB2477" s="9">
        <v>84</v>
      </c>
      <c r="AC2477" s="9">
        <v>23</v>
      </c>
      <c r="AD2477" s="17">
        <v>46085</v>
      </c>
      <c r="AE2477" s="56">
        <v>132</v>
      </c>
      <c r="AF2477" s="56"/>
      <c r="AP2477" s="11"/>
      <c r="AQ2477" s="11"/>
      <c r="AR2477" s="11"/>
      <c r="AW2477" s="9"/>
      <c r="BD2477" s="9"/>
      <c r="CS2477" s="11">
        <f t="shared" si="170"/>
        <v>0</v>
      </c>
      <c r="CT2477" s="22">
        <f t="shared" si="171"/>
        <v>0</v>
      </c>
      <c r="CU2477" s="22">
        <f t="shared" si="172"/>
        <v>0</v>
      </c>
      <c r="CV2477" s="26">
        <f t="shared" si="169"/>
        <v>132</v>
      </c>
    </row>
    <row r="2478" spans="1:103" x14ac:dyDescent="0.2">
      <c r="A2478" s="9" t="s">
        <v>565</v>
      </c>
      <c r="B2478" s="2">
        <v>132</v>
      </c>
      <c r="C2478" s="3" t="s">
        <v>95</v>
      </c>
      <c r="D2478" s="3" t="s">
        <v>96</v>
      </c>
      <c r="E2478" s="2"/>
      <c r="F2478" s="2"/>
      <c r="G2478" s="2" t="s">
        <v>83</v>
      </c>
      <c r="H2478" s="2">
        <v>2</v>
      </c>
      <c r="I2478" s="8">
        <v>120.16</v>
      </c>
      <c r="J2478" s="8">
        <v>36499</v>
      </c>
      <c r="K2478" s="3">
        <v>0</v>
      </c>
      <c r="L2478" s="3" t="s">
        <v>3</v>
      </c>
      <c r="M2478" s="9" t="s">
        <v>0</v>
      </c>
      <c r="N2478" s="9" t="s">
        <v>47</v>
      </c>
      <c r="O2478" s="9" t="s">
        <v>566</v>
      </c>
      <c r="S2478" s="9" t="s">
        <v>570</v>
      </c>
      <c r="T2478" s="2"/>
      <c r="U2478" s="2"/>
      <c r="V2478" s="2"/>
      <c r="W2478" s="10" t="s">
        <v>710</v>
      </c>
      <c r="X2478" s="17">
        <v>45386</v>
      </c>
      <c r="Y2478" s="17">
        <v>45386</v>
      </c>
      <c r="Z2478" s="19" t="s">
        <v>772</v>
      </c>
      <c r="AA2478" s="210">
        <v>11040.12</v>
      </c>
      <c r="AB2478" s="9">
        <v>84</v>
      </c>
      <c r="AC2478" s="9">
        <v>24</v>
      </c>
      <c r="AD2478" s="17">
        <v>46116</v>
      </c>
      <c r="AE2478" s="56">
        <v>132</v>
      </c>
      <c r="AF2478" s="56"/>
      <c r="AP2478" s="11"/>
      <c r="AQ2478" s="11"/>
      <c r="AR2478" s="11"/>
      <c r="AW2478" s="9"/>
      <c r="BD2478" s="9"/>
      <c r="CS2478" s="11">
        <f t="shared" si="170"/>
        <v>0</v>
      </c>
      <c r="CT2478" s="22">
        <f t="shared" si="171"/>
        <v>0</v>
      </c>
      <c r="CU2478" s="22">
        <f t="shared" si="172"/>
        <v>0</v>
      </c>
      <c r="CV2478" s="26">
        <f t="shared" si="169"/>
        <v>132</v>
      </c>
    </row>
    <row r="2479" spans="1:103" x14ac:dyDescent="0.2">
      <c r="A2479" s="9" t="s">
        <v>565</v>
      </c>
      <c r="B2479" s="2">
        <v>132</v>
      </c>
      <c r="C2479" s="3" t="s">
        <v>95</v>
      </c>
      <c r="D2479" s="3" t="s">
        <v>96</v>
      </c>
      <c r="E2479" s="2"/>
      <c r="F2479" s="2"/>
      <c r="G2479" s="2" t="s">
        <v>83</v>
      </c>
      <c r="H2479" s="2">
        <v>2</v>
      </c>
      <c r="I2479" s="8">
        <v>120.16</v>
      </c>
      <c r="J2479" s="8">
        <v>36499</v>
      </c>
      <c r="K2479" s="3">
        <v>0</v>
      </c>
      <c r="L2479" s="3" t="s">
        <v>3</v>
      </c>
      <c r="M2479" s="9" t="s">
        <v>0</v>
      </c>
      <c r="N2479" s="9" t="s">
        <v>47</v>
      </c>
      <c r="O2479" s="9" t="s">
        <v>566</v>
      </c>
      <c r="S2479" s="9" t="s">
        <v>570</v>
      </c>
      <c r="T2479" s="2"/>
      <c r="U2479" s="2"/>
      <c r="V2479" s="2"/>
      <c r="W2479" s="10" t="s">
        <v>710</v>
      </c>
      <c r="X2479" s="17">
        <v>45386</v>
      </c>
      <c r="Y2479" s="17">
        <v>45386</v>
      </c>
      <c r="Z2479" s="19" t="s">
        <v>772</v>
      </c>
      <c r="AA2479" s="210">
        <v>11040.12</v>
      </c>
      <c r="AB2479" s="9">
        <v>84</v>
      </c>
      <c r="AC2479" s="9">
        <v>25</v>
      </c>
      <c r="AD2479" s="17">
        <v>46146</v>
      </c>
      <c r="AE2479" s="56">
        <v>132</v>
      </c>
      <c r="AF2479" s="56"/>
      <c r="AP2479" s="11"/>
      <c r="AQ2479" s="11"/>
      <c r="AR2479" s="11"/>
      <c r="AW2479" s="9"/>
      <c r="BD2479" s="9"/>
      <c r="CS2479" s="11">
        <f t="shared" si="170"/>
        <v>0</v>
      </c>
      <c r="CT2479" s="22">
        <f t="shared" si="171"/>
        <v>0</v>
      </c>
      <c r="CU2479" s="22">
        <f t="shared" si="172"/>
        <v>0</v>
      </c>
      <c r="CV2479" s="26">
        <f t="shared" si="169"/>
        <v>132</v>
      </c>
    </row>
    <row r="2480" spans="1:103" s="27" customFormat="1" x14ac:dyDescent="0.2">
      <c r="A2480" s="9" t="s">
        <v>565</v>
      </c>
      <c r="B2480" s="2">
        <v>132</v>
      </c>
      <c r="C2480" s="3" t="s">
        <v>95</v>
      </c>
      <c r="D2480" s="3" t="s">
        <v>96</v>
      </c>
      <c r="E2480" s="2"/>
      <c r="F2480" s="2"/>
      <c r="G2480" s="2" t="s">
        <v>83</v>
      </c>
      <c r="H2480" s="2">
        <v>2</v>
      </c>
      <c r="I2480" s="8">
        <v>120.16</v>
      </c>
      <c r="J2480" s="8">
        <v>36499</v>
      </c>
      <c r="K2480" s="3">
        <v>0</v>
      </c>
      <c r="L2480" s="3" t="s">
        <v>3</v>
      </c>
      <c r="M2480" s="9" t="s">
        <v>0</v>
      </c>
      <c r="N2480" s="9" t="s">
        <v>47</v>
      </c>
      <c r="O2480" s="9" t="s">
        <v>566</v>
      </c>
      <c r="P2480" s="9"/>
      <c r="Q2480" s="30"/>
      <c r="R2480" s="9"/>
      <c r="S2480" s="9" t="s">
        <v>570</v>
      </c>
      <c r="T2480" s="10"/>
      <c r="U2480" s="10"/>
      <c r="V2480" s="10"/>
      <c r="W2480" s="10" t="s">
        <v>710</v>
      </c>
      <c r="X2480" s="17">
        <v>45386</v>
      </c>
      <c r="Y2480" s="17">
        <v>45386</v>
      </c>
      <c r="Z2480" s="19" t="s">
        <v>772</v>
      </c>
      <c r="AA2480" s="210">
        <v>11040.12</v>
      </c>
      <c r="AB2480" s="9">
        <v>84</v>
      </c>
      <c r="AC2480" s="9">
        <v>26</v>
      </c>
      <c r="AD2480" s="17">
        <v>46177</v>
      </c>
      <c r="AE2480" s="56">
        <v>132</v>
      </c>
      <c r="AF2480" s="56"/>
      <c r="AG2480" s="9"/>
      <c r="AH2480" s="9"/>
      <c r="AI2480" s="9"/>
      <c r="AJ2480" s="9"/>
      <c r="AK2480" s="9"/>
      <c r="AL2480" s="11"/>
      <c r="AM2480" s="11"/>
      <c r="AN2480" s="11"/>
      <c r="AO2480" s="11"/>
      <c r="AP2480" s="11"/>
      <c r="AQ2480" s="11"/>
      <c r="AR2480" s="11"/>
      <c r="AS2480" s="11"/>
      <c r="AT2480" s="11"/>
      <c r="AU2480" s="11"/>
      <c r="AV2480" s="11"/>
      <c r="AW2480" s="9"/>
      <c r="AX2480" s="9"/>
      <c r="AY2480" s="9"/>
      <c r="AZ2480" s="9"/>
      <c r="BA2480" s="11"/>
      <c r="BB2480" s="11"/>
      <c r="BC2480" s="9"/>
      <c r="BD2480" s="9"/>
      <c r="BE2480" s="9"/>
      <c r="BF2480" s="9"/>
      <c r="BG2480" s="9"/>
      <c r="BH2480" s="9"/>
      <c r="BI2480" s="9"/>
      <c r="BJ2480" s="9"/>
      <c r="BK2480" s="9"/>
      <c r="BL2480" s="9"/>
      <c r="BM2480" s="9"/>
      <c r="BN2480" s="9"/>
      <c r="BO2480" s="9"/>
      <c r="BP2480" s="9"/>
      <c r="BQ2480" s="9"/>
      <c r="BR2480" s="9"/>
      <c r="BS2480" s="9"/>
      <c r="BT2480" s="9"/>
      <c r="BU2480" s="9"/>
      <c r="BV2480" s="9"/>
      <c r="BW2480" s="9"/>
      <c r="BX2480" s="9"/>
      <c r="BY2480" s="9"/>
      <c r="BZ2480" s="9"/>
      <c r="CA2480" s="9"/>
      <c r="CB2480" s="9"/>
      <c r="CC2480" s="9"/>
      <c r="CD2480" s="9"/>
      <c r="CE2480" s="9"/>
      <c r="CF2480" s="9"/>
      <c r="CG2480" s="9"/>
      <c r="CH2480" s="9"/>
      <c r="CI2480" s="9"/>
      <c r="CJ2480" s="9"/>
      <c r="CK2480" s="9"/>
      <c r="CL2480" s="9"/>
      <c r="CM2480" s="9"/>
      <c r="CN2480" s="9"/>
      <c r="CO2480" s="9"/>
      <c r="CP2480" s="9"/>
      <c r="CQ2480" s="9"/>
      <c r="CR2480" s="9"/>
      <c r="CS2480" s="11">
        <f t="shared" si="170"/>
        <v>0</v>
      </c>
      <c r="CT2480" s="22">
        <f t="shared" si="171"/>
        <v>0</v>
      </c>
      <c r="CU2480" s="22">
        <f t="shared" si="172"/>
        <v>0</v>
      </c>
      <c r="CV2480" s="26">
        <f t="shared" si="169"/>
        <v>132</v>
      </c>
      <c r="CW2480" s="9"/>
      <c r="CX2480" s="9"/>
      <c r="CY2480" s="9"/>
    </row>
    <row r="2481" spans="1:103" s="27" customFormat="1" x14ac:dyDescent="0.2">
      <c r="A2481" s="9" t="s">
        <v>565</v>
      </c>
      <c r="B2481" s="2">
        <v>132</v>
      </c>
      <c r="C2481" s="3" t="s">
        <v>95</v>
      </c>
      <c r="D2481" s="3" t="s">
        <v>96</v>
      </c>
      <c r="E2481" s="2"/>
      <c r="F2481" s="2"/>
      <c r="G2481" s="2" t="s">
        <v>83</v>
      </c>
      <c r="H2481" s="2">
        <v>2</v>
      </c>
      <c r="I2481" s="8">
        <v>120.16</v>
      </c>
      <c r="J2481" s="8">
        <v>36499</v>
      </c>
      <c r="K2481" s="3">
        <v>0</v>
      </c>
      <c r="L2481" s="3" t="s">
        <v>3</v>
      </c>
      <c r="M2481" s="9" t="s">
        <v>0</v>
      </c>
      <c r="N2481" s="9" t="s">
        <v>47</v>
      </c>
      <c r="O2481" s="9" t="s">
        <v>566</v>
      </c>
      <c r="P2481" s="9"/>
      <c r="Q2481" s="30"/>
      <c r="R2481" s="9"/>
      <c r="S2481" s="9" t="s">
        <v>570</v>
      </c>
      <c r="T2481" s="10"/>
      <c r="U2481" s="10"/>
      <c r="V2481" s="10"/>
      <c r="W2481" s="10" t="s">
        <v>710</v>
      </c>
      <c r="X2481" s="17">
        <v>45386</v>
      </c>
      <c r="Y2481" s="17">
        <v>45386</v>
      </c>
      <c r="Z2481" s="19" t="s">
        <v>772</v>
      </c>
      <c r="AA2481" s="210">
        <v>11040.12</v>
      </c>
      <c r="AB2481" s="9">
        <v>84</v>
      </c>
      <c r="AC2481" s="9">
        <v>27</v>
      </c>
      <c r="AD2481" s="17">
        <v>46207</v>
      </c>
      <c r="AE2481" s="56">
        <v>132</v>
      </c>
      <c r="AF2481" s="56"/>
      <c r="AG2481" s="9"/>
      <c r="AH2481" s="9"/>
      <c r="AI2481" s="9"/>
      <c r="AJ2481" s="9"/>
      <c r="AK2481" s="9"/>
      <c r="AL2481" s="11"/>
      <c r="AM2481" s="11"/>
      <c r="AN2481" s="11"/>
      <c r="AO2481" s="11"/>
      <c r="AP2481" s="11"/>
      <c r="AQ2481" s="11"/>
      <c r="AR2481" s="11"/>
      <c r="AS2481" s="11"/>
      <c r="AT2481" s="11"/>
      <c r="AU2481" s="11"/>
      <c r="AV2481" s="11"/>
      <c r="AW2481" s="9"/>
      <c r="AX2481" s="9"/>
      <c r="AY2481" s="9"/>
      <c r="AZ2481" s="9"/>
      <c r="BA2481" s="11"/>
      <c r="BB2481" s="11"/>
      <c r="BC2481" s="9"/>
      <c r="BD2481" s="9"/>
      <c r="BE2481" s="9"/>
      <c r="BF2481" s="9"/>
      <c r="BG2481" s="9"/>
      <c r="BH2481" s="9"/>
      <c r="BI2481" s="9"/>
      <c r="BJ2481" s="9"/>
      <c r="BK2481" s="9"/>
      <c r="BL2481" s="9"/>
      <c r="BM2481" s="9"/>
      <c r="BN2481" s="9"/>
      <c r="BO2481" s="9"/>
      <c r="BP2481" s="9"/>
      <c r="BQ2481" s="9"/>
      <c r="BR2481" s="9"/>
      <c r="BS2481" s="9"/>
      <c r="BT2481" s="9"/>
      <c r="BU2481" s="9"/>
      <c r="BV2481" s="9"/>
      <c r="BW2481" s="9"/>
      <c r="BX2481" s="9"/>
      <c r="BY2481" s="9"/>
      <c r="BZ2481" s="9"/>
      <c r="CA2481" s="9"/>
      <c r="CB2481" s="9"/>
      <c r="CC2481" s="9"/>
      <c r="CD2481" s="9"/>
      <c r="CE2481" s="9"/>
      <c r="CF2481" s="9"/>
      <c r="CG2481" s="9"/>
      <c r="CH2481" s="9"/>
      <c r="CI2481" s="9"/>
      <c r="CJ2481" s="9"/>
      <c r="CK2481" s="9"/>
      <c r="CL2481" s="9"/>
      <c r="CM2481" s="9"/>
      <c r="CN2481" s="9"/>
      <c r="CO2481" s="9"/>
      <c r="CP2481" s="9"/>
      <c r="CQ2481" s="9"/>
      <c r="CR2481" s="9"/>
      <c r="CS2481" s="11">
        <f t="shared" si="170"/>
        <v>0</v>
      </c>
      <c r="CT2481" s="22">
        <f t="shared" si="171"/>
        <v>0</v>
      </c>
      <c r="CU2481" s="22">
        <f t="shared" si="172"/>
        <v>0</v>
      </c>
      <c r="CV2481" s="26">
        <f t="shared" si="169"/>
        <v>132</v>
      </c>
      <c r="CW2481" s="9"/>
      <c r="CX2481" s="9"/>
      <c r="CY2481" s="9"/>
    </row>
    <row r="2482" spans="1:103" s="27" customFormat="1" x14ac:dyDescent="0.2">
      <c r="A2482" s="9" t="s">
        <v>565</v>
      </c>
      <c r="B2482" s="2">
        <v>132</v>
      </c>
      <c r="C2482" s="3" t="s">
        <v>95</v>
      </c>
      <c r="D2482" s="3" t="s">
        <v>96</v>
      </c>
      <c r="E2482" s="2"/>
      <c r="F2482" s="2"/>
      <c r="G2482" s="2" t="s">
        <v>83</v>
      </c>
      <c r="H2482" s="2">
        <v>2</v>
      </c>
      <c r="I2482" s="8">
        <v>120.16</v>
      </c>
      <c r="J2482" s="8">
        <v>36499</v>
      </c>
      <c r="K2482" s="3">
        <v>0</v>
      </c>
      <c r="L2482" s="3" t="s">
        <v>3</v>
      </c>
      <c r="M2482" s="9" t="s">
        <v>0</v>
      </c>
      <c r="N2482" s="9" t="s">
        <v>47</v>
      </c>
      <c r="O2482" s="9" t="s">
        <v>566</v>
      </c>
      <c r="P2482" s="9"/>
      <c r="Q2482" s="30"/>
      <c r="R2482" s="9"/>
      <c r="S2482" s="9" t="s">
        <v>570</v>
      </c>
      <c r="T2482" s="10"/>
      <c r="U2482" s="10"/>
      <c r="V2482" s="10"/>
      <c r="W2482" s="10" t="s">
        <v>710</v>
      </c>
      <c r="X2482" s="17">
        <v>45386</v>
      </c>
      <c r="Y2482" s="17">
        <v>45386</v>
      </c>
      <c r="Z2482" s="19" t="s">
        <v>772</v>
      </c>
      <c r="AA2482" s="210">
        <v>11040.12</v>
      </c>
      <c r="AB2482" s="9">
        <v>84</v>
      </c>
      <c r="AC2482" s="9">
        <v>28</v>
      </c>
      <c r="AD2482" s="17">
        <v>46238</v>
      </c>
      <c r="AE2482" s="56">
        <v>132</v>
      </c>
      <c r="AF2482" s="56"/>
      <c r="AG2482" s="9"/>
      <c r="AH2482" s="9"/>
      <c r="AI2482" s="9"/>
      <c r="AJ2482" s="9"/>
      <c r="AK2482" s="9"/>
      <c r="AL2482" s="11"/>
      <c r="AM2482" s="11"/>
      <c r="AN2482" s="11"/>
      <c r="AO2482" s="11"/>
      <c r="AP2482" s="11"/>
      <c r="AQ2482" s="11"/>
      <c r="AR2482" s="11"/>
      <c r="AS2482" s="11"/>
      <c r="AT2482" s="11"/>
      <c r="AU2482" s="11"/>
      <c r="AV2482" s="11"/>
      <c r="AW2482" s="9"/>
      <c r="AX2482" s="9"/>
      <c r="AY2482" s="9"/>
      <c r="AZ2482" s="9"/>
      <c r="BA2482" s="11"/>
      <c r="BB2482" s="11"/>
      <c r="BC2482" s="9"/>
      <c r="BD2482" s="9"/>
      <c r="BE2482" s="9"/>
      <c r="BF2482" s="9"/>
      <c r="BG2482" s="9"/>
      <c r="BH2482" s="9"/>
      <c r="BI2482" s="9"/>
      <c r="BJ2482" s="9"/>
      <c r="BK2482" s="9"/>
      <c r="BL2482" s="9"/>
      <c r="BM2482" s="9"/>
      <c r="BN2482" s="9"/>
      <c r="BO2482" s="9"/>
      <c r="BP2482" s="9"/>
      <c r="BQ2482" s="9"/>
      <c r="BR2482" s="9"/>
      <c r="BS2482" s="9"/>
      <c r="BT2482" s="9"/>
      <c r="BU2482" s="9"/>
      <c r="BV2482" s="9"/>
      <c r="BW2482" s="9"/>
      <c r="BX2482" s="9"/>
      <c r="BY2482" s="9"/>
      <c r="BZ2482" s="9"/>
      <c r="CA2482" s="9"/>
      <c r="CB2482" s="9"/>
      <c r="CC2482" s="9"/>
      <c r="CD2482" s="9"/>
      <c r="CE2482" s="9"/>
      <c r="CF2482" s="9"/>
      <c r="CG2482" s="9"/>
      <c r="CH2482" s="9"/>
      <c r="CI2482" s="9"/>
      <c r="CJ2482" s="9"/>
      <c r="CK2482" s="9"/>
      <c r="CL2482" s="9"/>
      <c r="CM2482" s="9"/>
      <c r="CN2482" s="9"/>
      <c r="CO2482" s="9"/>
      <c r="CP2482" s="9"/>
      <c r="CQ2482" s="9"/>
      <c r="CR2482" s="9"/>
      <c r="CS2482" s="11">
        <f t="shared" si="170"/>
        <v>0</v>
      </c>
      <c r="CT2482" s="22">
        <f t="shared" si="171"/>
        <v>0</v>
      </c>
      <c r="CU2482" s="22">
        <f t="shared" si="172"/>
        <v>0</v>
      </c>
      <c r="CV2482" s="26">
        <f t="shared" si="169"/>
        <v>132</v>
      </c>
      <c r="CW2482" s="9"/>
      <c r="CX2482" s="9"/>
      <c r="CY2482" s="9"/>
    </row>
    <row r="2483" spans="1:103" s="27" customFormat="1" x14ac:dyDescent="0.2">
      <c r="A2483" s="9" t="s">
        <v>565</v>
      </c>
      <c r="B2483" s="2">
        <v>132</v>
      </c>
      <c r="C2483" s="3" t="s">
        <v>95</v>
      </c>
      <c r="D2483" s="3" t="s">
        <v>96</v>
      </c>
      <c r="E2483" s="2"/>
      <c r="F2483" s="2"/>
      <c r="G2483" s="2" t="s">
        <v>83</v>
      </c>
      <c r="H2483" s="2">
        <v>2</v>
      </c>
      <c r="I2483" s="8">
        <v>120.16</v>
      </c>
      <c r="J2483" s="8">
        <v>36499</v>
      </c>
      <c r="K2483" s="3">
        <v>0</v>
      </c>
      <c r="L2483" s="3" t="s">
        <v>3</v>
      </c>
      <c r="M2483" s="9" t="s">
        <v>0</v>
      </c>
      <c r="N2483" s="9" t="s">
        <v>47</v>
      </c>
      <c r="O2483" s="9" t="s">
        <v>566</v>
      </c>
      <c r="P2483" s="9"/>
      <c r="Q2483" s="30"/>
      <c r="R2483" s="9"/>
      <c r="S2483" s="9" t="s">
        <v>570</v>
      </c>
      <c r="T2483" s="10"/>
      <c r="U2483" s="10"/>
      <c r="V2483" s="10"/>
      <c r="W2483" s="10" t="s">
        <v>710</v>
      </c>
      <c r="X2483" s="17">
        <v>45386</v>
      </c>
      <c r="Y2483" s="17">
        <v>45386</v>
      </c>
      <c r="Z2483" s="19" t="s">
        <v>772</v>
      </c>
      <c r="AA2483" s="210">
        <v>11040.12</v>
      </c>
      <c r="AB2483" s="9">
        <v>84</v>
      </c>
      <c r="AC2483" s="9">
        <v>29</v>
      </c>
      <c r="AD2483" s="17">
        <v>46269</v>
      </c>
      <c r="AE2483" s="56">
        <v>132</v>
      </c>
      <c r="AF2483" s="56"/>
      <c r="AG2483" s="9"/>
      <c r="AH2483" s="9"/>
      <c r="AI2483" s="9"/>
      <c r="AJ2483" s="9"/>
      <c r="AK2483" s="9"/>
      <c r="AL2483" s="11"/>
      <c r="AM2483" s="11"/>
      <c r="AN2483" s="11"/>
      <c r="AO2483" s="11"/>
      <c r="AP2483" s="11"/>
      <c r="AQ2483" s="11"/>
      <c r="AR2483" s="11"/>
      <c r="AS2483" s="11"/>
      <c r="AT2483" s="11"/>
      <c r="AU2483" s="11"/>
      <c r="AV2483" s="11"/>
      <c r="AW2483" s="9"/>
      <c r="AX2483" s="9"/>
      <c r="AY2483" s="9"/>
      <c r="AZ2483" s="9"/>
      <c r="BA2483" s="11"/>
      <c r="BB2483" s="11"/>
      <c r="BC2483" s="9"/>
      <c r="BD2483" s="9"/>
      <c r="BE2483" s="9"/>
      <c r="BF2483" s="9"/>
      <c r="BG2483" s="9"/>
      <c r="BH2483" s="9"/>
      <c r="BI2483" s="9"/>
      <c r="BJ2483" s="9"/>
      <c r="BK2483" s="9"/>
      <c r="BL2483" s="9"/>
      <c r="BM2483" s="9"/>
      <c r="BN2483" s="9"/>
      <c r="BO2483" s="9"/>
      <c r="BP2483" s="9"/>
      <c r="BQ2483" s="9"/>
      <c r="BR2483" s="9"/>
      <c r="BS2483" s="9"/>
      <c r="BT2483" s="9"/>
      <c r="BU2483" s="9"/>
      <c r="BV2483" s="9"/>
      <c r="BW2483" s="9"/>
      <c r="BX2483" s="9"/>
      <c r="BY2483" s="9"/>
      <c r="BZ2483" s="9"/>
      <c r="CA2483" s="9"/>
      <c r="CB2483" s="9"/>
      <c r="CC2483" s="9"/>
      <c r="CD2483" s="9"/>
      <c r="CE2483" s="9"/>
      <c r="CF2483" s="9"/>
      <c r="CG2483" s="9"/>
      <c r="CH2483" s="9"/>
      <c r="CI2483" s="9"/>
      <c r="CJ2483" s="9"/>
      <c r="CK2483" s="9"/>
      <c r="CL2483" s="9"/>
      <c r="CM2483" s="9"/>
      <c r="CN2483" s="9"/>
      <c r="CO2483" s="9"/>
      <c r="CP2483" s="9"/>
      <c r="CQ2483" s="9"/>
      <c r="CR2483" s="9"/>
      <c r="CS2483" s="11">
        <f t="shared" si="170"/>
        <v>0</v>
      </c>
      <c r="CT2483" s="22">
        <f t="shared" si="171"/>
        <v>0</v>
      </c>
      <c r="CU2483" s="22">
        <f t="shared" si="172"/>
        <v>0</v>
      </c>
      <c r="CV2483" s="26">
        <f t="shared" si="169"/>
        <v>132</v>
      </c>
      <c r="CW2483" s="9"/>
      <c r="CX2483" s="9"/>
      <c r="CY2483" s="9"/>
    </row>
    <row r="2484" spans="1:103" s="27" customFormat="1" x14ac:dyDescent="0.2">
      <c r="A2484" s="9" t="s">
        <v>565</v>
      </c>
      <c r="B2484" s="2">
        <v>132</v>
      </c>
      <c r="C2484" s="3" t="s">
        <v>95</v>
      </c>
      <c r="D2484" s="3" t="s">
        <v>96</v>
      </c>
      <c r="E2484" s="2"/>
      <c r="F2484" s="2"/>
      <c r="G2484" s="2" t="s">
        <v>83</v>
      </c>
      <c r="H2484" s="2">
        <v>2</v>
      </c>
      <c r="I2484" s="8">
        <v>120.16</v>
      </c>
      <c r="J2484" s="8">
        <v>36499</v>
      </c>
      <c r="K2484" s="3">
        <v>0</v>
      </c>
      <c r="L2484" s="3" t="s">
        <v>3</v>
      </c>
      <c r="M2484" s="9" t="s">
        <v>0</v>
      </c>
      <c r="N2484" s="9" t="s">
        <v>47</v>
      </c>
      <c r="O2484" s="9" t="s">
        <v>566</v>
      </c>
      <c r="P2484" s="9"/>
      <c r="Q2484" s="30"/>
      <c r="R2484" s="9"/>
      <c r="S2484" s="9" t="s">
        <v>570</v>
      </c>
      <c r="T2484" s="10"/>
      <c r="U2484" s="10"/>
      <c r="V2484" s="10"/>
      <c r="W2484" s="10" t="s">
        <v>710</v>
      </c>
      <c r="X2484" s="17">
        <v>45386</v>
      </c>
      <c r="Y2484" s="17">
        <v>45386</v>
      </c>
      <c r="Z2484" s="19" t="s">
        <v>772</v>
      </c>
      <c r="AA2484" s="210">
        <v>11040.12</v>
      </c>
      <c r="AB2484" s="9">
        <v>84</v>
      </c>
      <c r="AC2484" s="9">
        <v>30</v>
      </c>
      <c r="AD2484" s="17">
        <v>46299</v>
      </c>
      <c r="AE2484" s="56">
        <v>132</v>
      </c>
      <c r="AF2484" s="56"/>
      <c r="AG2484" s="9"/>
      <c r="AH2484" s="9"/>
      <c r="AI2484" s="9"/>
      <c r="AJ2484" s="9"/>
      <c r="AK2484" s="9"/>
      <c r="AL2484" s="11"/>
      <c r="AM2484" s="11"/>
      <c r="AN2484" s="11"/>
      <c r="AO2484" s="11"/>
      <c r="AP2484" s="11"/>
      <c r="AQ2484" s="11"/>
      <c r="AR2484" s="11"/>
      <c r="AS2484" s="11"/>
      <c r="AT2484" s="11"/>
      <c r="AU2484" s="11"/>
      <c r="AV2484" s="11"/>
      <c r="AW2484" s="9"/>
      <c r="AX2484" s="9"/>
      <c r="AY2484" s="9"/>
      <c r="AZ2484" s="9"/>
      <c r="BA2484" s="11"/>
      <c r="BB2484" s="11"/>
      <c r="BC2484" s="9"/>
      <c r="BD2484" s="9"/>
      <c r="BE2484" s="9"/>
      <c r="BF2484" s="9"/>
      <c r="BG2484" s="9"/>
      <c r="BH2484" s="9"/>
      <c r="BI2484" s="9"/>
      <c r="BJ2484" s="9"/>
      <c r="BK2484" s="9"/>
      <c r="BL2484" s="9"/>
      <c r="BM2484" s="9"/>
      <c r="BN2484" s="9"/>
      <c r="BO2484" s="9"/>
      <c r="BP2484" s="9"/>
      <c r="BQ2484" s="9"/>
      <c r="BR2484" s="9"/>
      <c r="BS2484" s="9"/>
      <c r="BT2484" s="9"/>
      <c r="BU2484" s="9"/>
      <c r="BV2484" s="9"/>
      <c r="BW2484" s="9"/>
      <c r="BX2484" s="9"/>
      <c r="BY2484" s="9"/>
      <c r="BZ2484" s="9"/>
      <c r="CA2484" s="9"/>
      <c r="CB2484" s="9"/>
      <c r="CC2484" s="9"/>
      <c r="CD2484" s="9"/>
      <c r="CE2484" s="9"/>
      <c r="CF2484" s="9"/>
      <c r="CG2484" s="9"/>
      <c r="CH2484" s="9"/>
      <c r="CI2484" s="9"/>
      <c r="CJ2484" s="9"/>
      <c r="CK2484" s="9"/>
      <c r="CL2484" s="9"/>
      <c r="CM2484" s="9"/>
      <c r="CN2484" s="9"/>
      <c r="CO2484" s="9"/>
      <c r="CP2484" s="9"/>
      <c r="CQ2484" s="9"/>
      <c r="CR2484" s="9"/>
      <c r="CS2484" s="11">
        <f t="shared" si="170"/>
        <v>0</v>
      </c>
      <c r="CT2484" s="22">
        <f t="shared" si="171"/>
        <v>0</v>
      </c>
      <c r="CU2484" s="22">
        <f t="shared" si="172"/>
        <v>0</v>
      </c>
      <c r="CV2484" s="26">
        <f t="shared" si="169"/>
        <v>132</v>
      </c>
      <c r="CW2484" s="9"/>
      <c r="CX2484" s="9"/>
      <c r="CY2484" s="9"/>
    </row>
    <row r="2485" spans="1:103" s="27" customFormat="1" x14ac:dyDescent="0.2">
      <c r="A2485" s="9" t="s">
        <v>565</v>
      </c>
      <c r="B2485" s="2">
        <v>132</v>
      </c>
      <c r="C2485" s="3" t="s">
        <v>95</v>
      </c>
      <c r="D2485" s="3" t="s">
        <v>96</v>
      </c>
      <c r="E2485" s="2"/>
      <c r="F2485" s="2"/>
      <c r="G2485" s="2" t="s">
        <v>83</v>
      </c>
      <c r="H2485" s="2">
        <v>2</v>
      </c>
      <c r="I2485" s="8">
        <v>120.16</v>
      </c>
      <c r="J2485" s="8">
        <v>36499</v>
      </c>
      <c r="K2485" s="3">
        <v>0</v>
      </c>
      <c r="L2485" s="3" t="s">
        <v>3</v>
      </c>
      <c r="M2485" s="9" t="s">
        <v>0</v>
      </c>
      <c r="N2485" s="9" t="s">
        <v>47</v>
      </c>
      <c r="O2485" s="9" t="s">
        <v>566</v>
      </c>
      <c r="P2485" s="9"/>
      <c r="Q2485" s="30"/>
      <c r="R2485" s="9"/>
      <c r="S2485" s="9" t="s">
        <v>570</v>
      </c>
      <c r="T2485" s="10"/>
      <c r="U2485" s="10"/>
      <c r="V2485" s="10"/>
      <c r="W2485" s="10" t="s">
        <v>710</v>
      </c>
      <c r="X2485" s="17">
        <v>45386</v>
      </c>
      <c r="Y2485" s="17">
        <v>45386</v>
      </c>
      <c r="Z2485" s="19" t="s">
        <v>772</v>
      </c>
      <c r="AA2485" s="210">
        <v>11040.12</v>
      </c>
      <c r="AB2485" s="9">
        <v>84</v>
      </c>
      <c r="AC2485" s="9">
        <v>31</v>
      </c>
      <c r="AD2485" s="17">
        <v>46330</v>
      </c>
      <c r="AE2485" s="56">
        <v>132</v>
      </c>
      <c r="AF2485" s="56"/>
      <c r="AG2485" s="9"/>
      <c r="AH2485" s="9"/>
      <c r="AI2485" s="9"/>
      <c r="AJ2485" s="9"/>
      <c r="AK2485" s="9"/>
      <c r="AL2485" s="11"/>
      <c r="AM2485" s="11"/>
      <c r="AN2485" s="11"/>
      <c r="AO2485" s="11"/>
      <c r="AP2485" s="11"/>
      <c r="AQ2485" s="11"/>
      <c r="AR2485" s="11"/>
      <c r="AS2485" s="11"/>
      <c r="AT2485" s="11"/>
      <c r="AU2485" s="11"/>
      <c r="AV2485" s="11"/>
      <c r="AW2485" s="9"/>
      <c r="AX2485" s="9"/>
      <c r="AY2485" s="9"/>
      <c r="AZ2485" s="9"/>
      <c r="BA2485" s="11"/>
      <c r="BB2485" s="11"/>
      <c r="BC2485" s="9"/>
      <c r="BD2485" s="9"/>
      <c r="BE2485" s="9"/>
      <c r="BF2485" s="9"/>
      <c r="BG2485" s="9"/>
      <c r="BH2485" s="9"/>
      <c r="BI2485" s="9"/>
      <c r="BJ2485" s="9"/>
      <c r="BK2485" s="9"/>
      <c r="BL2485" s="9"/>
      <c r="BM2485" s="9"/>
      <c r="BN2485" s="9"/>
      <c r="BO2485" s="9"/>
      <c r="BP2485" s="9"/>
      <c r="BQ2485" s="9"/>
      <c r="BR2485" s="9"/>
      <c r="BS2485" s="9"/>
      <c r="BT2485" s="9"/>
      <c r="BU2485" s="9"/>
      <c r="BV2485" s="9"/>
      <c r="BW2485" s="9"/>
      <c r="BX2485" s="9"/>
      <c r="BY2485" s="9"/>
      <c r="BZ2485" s="9"/>
      <c r="CA2485" s="9"/>
      <c r="CB2485" s="9"/>
      <c r="CC2485" s="9"/>
      <c r="CD2485" s="9"/>
      <c r="CE2485" s="9"/>
      <c r="CF2485" s="9"/>
      <c r="CG2485" s="9"/>
      <c r="CH2485" s="9"/>
      <c r="CI2485" s="9"/>
      <c r="CJ2485" s="9"/>
      <c r="CK2485" s="9"/>
      <c r="CL2485" s="9"/>
      <c r="CM2485" s="9"/>
      <c r="CN2485" s="9"/>
      <c r="CO2485" s="9"/>
      <c r="CP2485" s="9"/>
      <c r="CQ2485" s="9"/>
      <c r="CR2485" s="9"/>
      <c r="CS2485" s="11">
        <f t="shared" si="170"/>
        <v>0</v>
      </c>
      <c r="CT2485" s="22">
        <f t="shared" si="171"/>
        <v>0</v>
      </c>
      <c r="CU2485" s="22">
        <f t="shared" si="172"/>
        <v>0</v>
      </c>
      <c r="CV2485" s="26">
        <f t="shared" si="169"/>
        <v>132</v>
      </c>
      <c r="CW2485" s="9"/>
      <c r="CX2485" s="9"/>
      <c r="CY2485" s="9"/>
    </row>
    <row r="2486" spans="1:103" s="27" customFormat="1" x14ac:dyDescent="0.2">
      <c r="A2486" s="9" t="s">
        <v>565</v>
      </c>
      <c r="B2486" s="2">
        <v>132</v>
      </c>
      <c r="C2486" s="3" t="s">
        <v>95</v>
      </c>
      <c r="D2486" s="3" t="s">
        <v>96</v>
      </c>
      <c r="E2486" s="2"/>
      <c r="F2486" s="2"/>
      <c r="G2486" s="2" t="s">
        <v>83</v>
      </c>
      <c r="H2486" s="2">
        <v>2</v>
      </c>
      <c r="I2486" s="8">
        <v>120.16</v>
      </c>
      <c r="J2486" s="8">
        <v>36499</v>
      </c>
      <c r="K2486" s="3">
        <v>0</v>
      </c>
      <c r="L2486" s="3" t="s">
        <v>3</v>
      </c>
      <c r="M2486" s="9" t="s">
        <v>0</v>
      </c>
      <c r="N2486" s="9" t="s">
        <v>47</v>
      </c>
      <c r="O2486" s="9" t="s">
        <v>566</v>
      </c>
      <c r="P2486" s="9"/>
      <c r="Q2486" s="30"/>
      <c r="R2486" s="9"/>
      <c r="S2486" s="9" t="s">
        <v>570</v>
      </c>
      <c r="T2486" s="10"/>
      <c r="U2486" s="10"/>
      <c r="V2486" s="10"/>
      <c r="W2486" s="10" t="s">
        <v>710</v>
      </c>
      <c r="X2486" s="17">
        <v>45386</v>
      </c>
      <c r="Y2486" s="17">
        <v>45386</v>
      </c>
      <c r="Z2486" s="19" t="s">
        <v>772</v>
      </c>
      <c r="AA2486" s="210">
        <v>11040.12</v>
      </c>
      <c r="AB2486" s="9">
        <v>84</v>
      </c>
      <c r="AC2486" s="9">
        <v>32</v>
      </c>
      <c r="AD2486" s="17">
        <v>46360</v>
      </c>
      <c r="AE2486" s="56">
        <v>132</v>
      </c>
      <c r="AF2486" s="56"/>
      <c r="AG2486" s="9"/>
      <c r="AH2486" s="9"/>
      <c r="AI2486" s="9"/>
      <c r="AJ2486" s="9"/>
      <c r="AK2486" s="9"/>
      <c r="AL2486" s="11"/>
      <c r="AM2486" s="11"/>
      <c r="AN2486" s="11"/>
      <c r="AO2486" s="11"/>
      <c r="AP2486" s="11"/>
      <c r="AQ2486" s="11"/>
      <c r="AR2486" s="11"/>
      <c r="AS2486" s="11"/>
      <c r="AT2486" s="11"/>
      <c r="AU2486" s="11"/>
      <c r="AV2486" s="11"/>
      <c r="AW2486" s="9"/>
      <c r="AX2486" s="9"/>
      <c r="AY2486" s="9"/>
      <c r="AZ2486" s="9"/>
      <c r="BA2486" s="11"/>
      <c r="BB2486" s="11"/>
      <c r="BC2486" s="9"/>
      <c r="BD2486" s="9"/>
      <c r="BE2486" s="9"/>
      <c r="BF2486" s="9"/>
      <c r="BG2486" s="9"/>
      <c r="BH2486" s="9"/>
      <c r="BI2486" s="9"/>
      <c r="BJ2486" s="9"/>
      <c r="BK2486" s="9"/>
      <c r="BL2486" s="9"/>
      <c r="BM2486" s="9"/>
      <c r="BN2486" s="9"/>
      <c r="BO2486" s="9"/>
      <c r="BP2486" s="9"/>
      <c r="BQ2486" s="9"/>
      <c r="BR2486" s="9"/>
      <c r="BS2486" s="9"/>
      <c r="BT2486" s="9"/>
      <c r="BU2486" s="9"/>
      <c r="BV2486" s="9"/>
      <c r="BW2486" s="9"/>
      <c r="BX2486" s="9"/>
      <c r="BY2486" s="9"/>
      <c r="BZ2486" s="9"/>
      <c r="CA2486" s="9"/>
      <c r="CB2486" s="9"/>
      <c r="CC2486" s="9"/>
      <c r="CD2486" s="9"/>
      <c r="CE2486" s="9"/>
      <c r="CF2486" s="9"/>
      <c r="CG2486" s="9"/>
      <c r="CH2486" s="9"/>
      <c r="CI2486" s="9"/>
      <c r="CJ2486" s="9"/>
      <c r="CK2486" s="9"/>
      <c r="CL2486" s="9"/>
      <c r="CM2486" s="9"/>
      <c r="CN2486" s="9"/>
      <c r="CO2486" s="9"/>
      <c r="CP2486" s="9"/>
      <c r="CQ2486" s="9"/>
      <c r="CR2486" s="9"/>
      <c r="CS2486" s="11">
        <f t="shared" si="170"/>
        <v>0</v>
      </c>
      <c r="CT2486" s="22">
        <f t="shared" si="171"/>
        <v>0</v>
      </c>
      <c r="CU2486" s="22">
        <f t="shared" si="172"/>
        <v>0</v>
      </c>
      <c r="CV2486" s="26">
        <f t="shared" si="169"/>
        <v>132</v>
      </c>
      <c r="CW2486" s="9"/>
      <c r="CX2486" s="9"/>
      <c r="CY2486" s="9"/>
    </row>
    <row r="2487" spans="1:103" s="27" customFormat="1" x14ac:dyDescent="0.2">
      <c r="A2487" s="9" t="s">
        <v>565</v>
      </c>
      <c r="B2487" s="2">
        <v>132</v>
      </c>
      <c r="C2487" s="3" t="s">
        <v>95</v>
      </c>
      <c r="D2487" s="3" t="s">
        <v>96</v>
      </c>
      <c r="E2487" s="2"/>
      <c r="F2487" s="2"/>
      <c r="G2487" s="2" t="s">
        <v>83</v>
      </c>
      <c r="H2487" s="2">
        <v>2</v>
      </c>
      <c r="I2487" s="8">
        <v>120.16</v>
      </c>
      <c r="J2487" s="8">
        <v>36499</v>
      </c>
      <c r="K2487" s="3">
        <v>0</v>
      </c>
      <c r="L2487" s="3" t="s">
        <v>3</v>
      </c>
      <c r="M2487" s="9" t="s">
        <v>0</v>
      </c>
      <c r="N2487" s="9" t="s">
        <v>47</v>
      </c>
      <c r="O2487" s="9" t="s">
        <v>566</v>
      </c>
      <c r="P2487" s="9"/>
      <c r="Q2487" s="30"/>
      <c r="R2487" s="9"/>
      <c r="S2487" s="9" t="s">
        <v>570</v>
      </c>
      <c r="T2487" s="10"/>
      <c r="U2487" s="10"/>
      <c r="V2487" s="10"/>
      <c r="W2487" s="10" t="s">
        <v>710</v>
      </c>
      <c r="X2487" s="17">
        <v>45386</v>
      </c>
      <c r="Y2487" s="17">
        <v>45386</v>
      </c>
      <c r="Z2487" s="19" t="s">
        <v>772</v>
      </c>
      <c r="AA2487" s="210">
        <v>11040.12</v>
      </c>
      <c r="AB2487" s="9">
        <v>84</v>
      </c>
      <c r="AC2487" s="9">
        <v>33</v>
      </c>
      <c r="AD2487" s="17">
        <v>46391</v>
      </c>
      <c r="AE2487" s="56">
        <v>132</v>
      </c>
      <c r="AF2487" s="56"/>
      <c r="AG2487" s="9"/>
      <c r="AH2487" s="9"/>
      <c r="AI2487" s="9"/>
      <c r="AJ2487" s="9"/>
      <c r="AK2487" s="9"/>
      <c r="AL2487" s="11"/>
      <c r="AM2487" s="11"/>
      <c r="AN2487" s="11"/>
      <c r="AO2487" s="11"/>
      <c r="AP2487" s="11"/>
      <c r="AQ2487" s="11"/>
      <c r="AR2487" s="11"/>
      <c r="AS2487" s="11"/>
      <c r="AT2487" s="11"/>
      <c r="AU2487" s="11"/>
      <c r="AV2487" s="11"/>
      <c r="AW2487" s="9"/>
      <c r="AX2487" s="9"/>
      <c r="AY2487" s="9"/>
      <c r="AZ2487" s="9"/>
      <c r="BA2487" s="11"/>
      <c r="BB2487" s="11"/>
      <c r="BC2487" s="9"/>
      <c r="BD2487" s="9"/>
      <c r="BE2487" s="9"/>
      <c r="BF2487" s="9"/>
      <c r="BG2487" s="9"/>
      <c r="BH2487" s="9"/>
      <c r="BI2487" s="9"/>
      <c r="BJ2487" s="9"/>
      <c r="BK2487" s="9"/>
      <c r="BL2487" s="9"/>
      <c r="BM2487" s="9"/>
      <c r="BN2487" s="9"/>
      <c r="BO2487" s="9"/>
      <c r="BP2487" s="9"/>
      <c r="BQ2487" s="9"/>
      <c r="BR2487" s="9"/>
      <c r="BS2487" s="9"/>
      <c r="BT2487" s="9"/>
      <c r="BU2487" s="9"/>
      <c r="BV2487" s="9"/>
      <c r="BW2487" s="9"/>
      <c r="BX2487" s="9"/>
      <c r="BY2487" s="9"/>
      <c r="BZ2487" s="9"/>
      <c r="CA2487" s="9"/>
      <c r="CB2487" s="9"/>
      <c r="CC2487" s="9"/>
      <c r="CD2487" s="9"/>
      <c r="CE2487" s="9"/>
      <c r="CF2487" s="9"/>
      <c r="CG2487" s="9"/>
      <c r="CH2487" s="9"/>
      <c r="CI2487" s="9"/>
      <c r="CJ2487" s="9"/>
      <c r="CK2487" s="9"/>
      <c r="CL2487" s="9"/>
      <c r="CM2487" s="9"/>
      <c r="CN2487" s="9"/>
      <c r="CO2487" s="9"/>
      <c r="CP2487" s="9"/>
      <c r="CQ2487" s="9"/>
      <c r="CR2487" s="9"/>
      <c r="CS2487" s="11">
        <f t="shared" si="170"/>
        <v>0</v>
      </c>
      <c r="CT2487" s="22">
        <f t="shared" si="171"/>
        <v>0</v>
      </c>
      <c r="CU2487" s="22">
        <f t="shared" si="172"/>
        <v>0</v>
      </c>
      <c r="CV2487" s="26">
        <f t="shared" si="169"/>
        <v>132</v>
      </c>
      <c r="CW2487" s="9"/>
      <c r="CX2487" s="9"/>
      <c r="CY2487" s="9"/>
    </row>
    <row r="2488" spans="1:103" x14ac:dyDescent="0.2">
      <c r="A2488" s="9" t="s">
        <v>565</v>
      </c>
      <c r="B2488" s="2">
        <v>132</v>
      </c>
      <c r="C2488" s="3" t="s">
        <v>95</v>
      </c>
      <c r="D2488" s="3" t="s">
        <v>96</v>
      </c>
      <c r="E2488" s="2"/>
      <c r="F2488" s="2"/>
      <c r="G2488" s="2" t="s">
        <v>83</v>
      </c>
      <c r="H2488" s="2">
        <v>2</v>
      </c>
      <c r="I2488" s="8">
        <v>120.16</v>
      </c>
      <c r="J2488" s="8">
        <v>36499</v>
      </c>
      <c r="K2488" s="3">
        <v>0</v>
      </c>
      <c r="L2488" s="3" t="s">
        <v>3</v>
      </c>
      <c r="M2488" s="9" t="s">
        <v>0</v>
      </c>
      <c r="N2488" s="9" t="s">
        <v>47</v>
      </c>
      <c r="O2488" s="9" t="s">
        <v>566</v>
      </c>
      <c r="S2488" s="9" t="s">
        <v>570</v>
      </c>
      <c r="W2488" s="10" t="s">
        <v>710</v>
      </c>
      <c r="X2488" s="17">
        <v>45386</v>
      </c>
      <c r="Y2488" s="17">
        <v>45386</v>
      </c>
      <c r="Z2488" s="19" t="s">
        <v>772</v>
      </c>
      <c r="AA2488" s="210">
        <v>11040.12</v>
      </c>
      <c r="AB2488" s="9">
        <v>84</v>
      </c>
      <c r="AC2488" s="9">
        <v>34</v>
      </c>
      <c r="AD2488" s="17">
        <v>46422</v>
      </c>
      <c r="AE2488" s="56">
        <v>132</v>
      </c>
      <c r="AF2488" s="56"/>
      <c r="AP2488" s="11"/>
      <c r="AQ2488" s="11"/>
      <c r="AR2488" s="11"/>
      <c r="AW2488" s="9"/>
      <c r="BD2488" s="9"/>
      <c r="CS2488" s="11">
        <f t="shared" si="170"/>
        <v>0</v>
      </c>
      <c r="CT2488" s="22">
        <f t="shared" si="171"/>
        <v>0</v>
      </c>
      <c r="CU2488" s="22">
        <f t="shared" si="172"/>
        <v>0</v>
      </c>
      <c r="CV2488" s="26">
        <f t="shared" si="169"/>
        <v>132</v>
      </c>
    </row>
    <row r="2489" spans="1:103" x14ac:dyDescent="0.2">
      <c r="A2489" s="9" t="s">
        <v>565</v>
      </c>
      <c r="B2489" s="2">
        <v>132</v>
      </c>
      <c r="C2489" s="3" t="s">
        <v>95</v>
      </c>
      <c r="D2489" s="3" t="s">
        <v>96</v>
      </c>
      <c r="E2489" s="2"/>
      <c r="F2489" s="2"/>
      <c r="G2489" s="2" t="s">
        <v>83</v>
      </c>
      <c r="H2489" s="2">
        <v>2</v>
      </c>
      <c r="I2489" s="8">
        <v>120.16</v>
      </c>
      <c r="J2489" s="8">
        <v>36499</v>
      </c>
      <c r="K2489" s="3">
        <v>0</v>
      </c>
      <c r="L2489" s="3" t="s">
        <v>3</v>
      </c>
      <c r="M2489" s="9" t="s">
        <v>0</v>
      </c>
      <c r="N2489" s="9" t="s">
        <v>47</v>
      </c>
      <c r="O2489" s="9" t="s">
        <v>566</v>
      </c>
      <c r="S2489" s="9" t="s">
        <v>570</v>
      </c>
      <c r="W2489" s="10" t="s">
        <v>710</v>
      </c>
      <c r="X2489" s="17">
        <v>45386</v>
      </c>
      <c r="Y2489" s="17">
        <v>45386</v>
      </c>
      <c r="Z2489" s="19" t="s">
        <v>772</v>
      </c>
      <c r="AA2489" s="210">
        <v>11040.12</v>
      </c>
      <c r="AB2489" s="9">
        <v>84</v>
      </c>
      <c r="AC2489" s="9">
        <v>35</v>
      </c>
      <c r="AD2489" s="17">
        <v>46450</v>
      </c>
      <c r="AE2489" s="56">
        <v>132</v>
      </c>
      <c r="AF2489" s="56"/>
      <c r="AP2489" s="11"/>
      <c r="AQ2489" s="11"/>
      <c r="AR2489" s="11"/>
      <c r="AW2489" s="9"/>
      <c r="BD2489" s="9"/>
      <c r="CS2489" s="11">
        <f t="shared" si="170"/>
        <v>0</v>
      </c>
      <c r="CT2489" s="22">
        <f t="shared" si="171"/>
        <v>0</v>
      </c>
      <c r="CU2489" s="22">
        <f t="shared" si="172"/>
        <v>0</v>
      </c>
      <c r="CV2489" s="26">
        <f t="shared" ref="CV2489:CV2552" si="173">+AE2489-AL2489-AT2489</f>
        <v>132</v>
      </c>
    </row>
    <row r="2490" spans="1:103" x14ac:dyDescent="0.2">
      <c r="A2490" s="9" t="s">
        <v>565</v>
      </c>
      <c r="B2490" s="2">
        <v>132</v>
      </c>
      <c r="C2490" s="3" t="s">
        <v>95</v>
      </c>
      <c r="D2490" s="3" t="s">
        <v>96</v>
      </c>
      <c r="E2490" s="2"/>
      <c r="F2490" s="2"/>
      <c r="G2490" s="2" t="s">
        <v>83</v>
      </c>
      <c r="H2490" s="2">
        <v>2</v>
      </c>
      <c r="I2490" s="8">
        <v>120.16</v>
      </c>
      <c r="J2490" s="8">
        <v>36499</v>
      </c>
      <c r="K2490" s="3">
        <v>0</v>
      </c>
      <c r="L2490" s="3" t="s">
        <v>3</v>
      </c>
      <c r="M2490" s="9" t="s">
        <v>0</v>
      </c>
      <c r="N2490" s="9" t="s">
        <v>47</v>
      </c>
      <c r="O2490" s="9" t="s">
        <v>566</v>
      </c>
      <c r="S2490" s="9" t="s">
        <v>570</v>
      </c>
      <c r="W2490" s="10" t="s">
        <v>710</v>
      </c>
      <c r="X2490" s="17">
        <v>45386</v>
      </c>
      <c r="Y2490" s="17">
        <v>45386</v>
      </c>
      <c r="Z2490" s="19" t="s">
        <v>772</v>
      </c>
      <c r="AA2490" s="210">
        <v>11040.12</v>
      </c>
      <c r="AB2490" s="9">
        <v>84</v>
      </c>
      <c r="AC2490" s="9">
        <v>36</v>
      </c>
      <c r="AD2490" s="17">
        <v>46481</v>
      </c>
      <c r="AE2490" s="56">
        <v>132</v>
      </c>
      <c r="AF2490" s="56"/>
      <c r="AP2490" s="11"/>
      <c r="AQ2490" s="11"/>
      <c r="AR2490" s="11"/>
      <c r="AW2490" s="9"/>
      <c r="BD2490" s="9"/>
      <c r="CS2490" s="11">
        <f t="shared" si="170"/>
        <v>0</v>
      </c>
      <c r="CT2490" s="22">
        <f t="shared" si="171"/>
        <v>0</v>
      </c>
      <c r="CU2490" s="22">
        <f t="shared" si="172"/>
        <v>0</v>
      </c>
      <c r="CV2490" s="26">
        <f t="shared" si="173"/>
        <v>132</v>
      </c>
    </row>
    <row r="2491" spans="1:103" x14ac:dyDescent="0.2">
      <c r="A2491" s="9" t="s">
        <v>565</v>
      </c>
      <c r="B2491" s="2">
        <v>132</v>
      </c>
      <c r="C2491" s="3" t="s">
        <v>95</v>
      </c>
      <c r="D2491" s="3" t="s">
        <v>96</v>
      </c>
      <c r="E2491" s="2"/>
      <c r="F2491" s="2"/>
      <c r="G2491" s="2" t="s">
        <v>83</v>
      </c>
      <c r="H2491" s="2">
        <v>2</v>
      </c>
      <c r="I2491" s="8">
        <v>120.16</v>
      </c>
      <c r="J2491" s="8">
        <v>36499</v>
      </c>
      <c r="K2491" s="3">
        <v>0</v>
      </c>
      <c r="L2491" s="3" t="s">
        <v>3</v>
      </c>
      <c r="M2491" s="9" t="s">
        <v>0</v>
      </c>
      <c r="N2491" s="9" t="s">
        <v>47</v>
      </c>
      <c r="O2491" s="9" t="s">
        <v>566</v>
      </c>
      <c r="S2491" s="9" t="s">
        <v>570</v>
      </c>
      <c r="W2491" s="10" t="s">
        <v>710</v>
      </c>
      <c r="X2491" s="17">
        <v>45386</v>
      </c>
      <c r="Y2491" s="17">
        <v>45386</v>
      </c>
      <c r="Z2491" s="19" t="s">
        <v>772</v>
      </c>
      <c r="AA2491" s="210">
        <v>11040.12</v>
      </c>
      <c r="AB2491" s="9">
        <v>84</v>
      </c>
      <c r="AC2491" s="9">
        <v>37</v>
      </c>
      <c r="AD2491" s="17">
        <v>46511</v>
      </c>
      <c r="AE2491" s="56">
        <v>132</v>
      </c>
      <c r="AF2491" s="56"/>
      <c r="AP2491" s="11"/>
      <c r="AQ2491" s="11"/>
      <c r="AR2491" s="11"/>
      <c r="AW2491" s="9"/>
      <c r="BD2491" s="9"/>
      <c r="CS2491" s="11">
        <f t="shared" si="170"/>
        <v>0</v>
      </c>
      <c r="CT2491" s="22">
        <f t="shared" si="171"/>
        <v>0</v>
      </c>
      <c r="CU2491" s="22">
        <f t="shared" si="172"/>
        <v>0</v>
      </c>
      <c r="CV2491" s="26">
        <f t="shared" si="173"/>
        <v>132</v>
      </c>
    </row>
    <row r="2492" spans="1:103" x14ac:dyDescent="0.2">
      <c r="A2492" s="9" t="s">
        <v>565</v>
      </c>
      <c r="B2492" s="2">
        <v>132</v>
      </c>
      <c r="C2492" s="3" t="s">
        <v>95</v>
      </c>
      <c r="D2492" s="3" t="s">
        <v>96</v>
      </c>
      <c r="E2492" s="2"/>
      <c r="F2492" s="2"/>
      <c r="G2492" s="2" t="s">
        <v>83</v>
      </c>
      <c r="H2492" s="2">
        <v>2</v>
      </c>
      <c r="I2492" s="8">
        <v>120.16</v>
      </c>
      <c r="J2492" s="8">
        <v>36499</v>
      </c>
      <c r="K2492" s="3">
        <v>0</v>
      </c>
      <c r="L2492" s="3" t="s">
        <v>3</v>
      </c>
      <c r="M2492" s="9" t="s">
        <v>0</v>
      </c>
      <c r="N2492" s="9" t="s">
        <v>47</v>
      </c>
      <c r="O2492" s="9" t="s">
        <v>566</v>
      </c>
      <c r="S2492" s="9" t="s">
        <v>570</v>
      </c>
      <c r="W2492" s="10" t="s">
        <v>710</v>
      </c>
      <c r="X2492" s="17">
        <v>45386</v>
      </c>
      <c r="Y2492" s="17">
        <v>45386</v>
      </c>
      <c r="Z2492" s="19" t="s">
        <v>772</v>
      </c>
      <c r="AA2492" s="210">
        <v>11040.12</v>
      </c>
      <c r="AB2492" s="9">
        <v>84</v>
      </c>
      <c r="AC2492" s="9">
        <v>38</v>
      </c>
      <c r="AD2492" s="17">
        <v>46542</v>
      </c>
      <c r="AE2492" s="56">
        <v>132</v>
      </c>
      <c r="AF2492" s="56"/>
      <c r="AP2492" s="11"/>
      <c r="AQ2492" s="11"/>
      <c r="AR2492" s="11"/>
      <c r="AW2492" s="9"/>
      <c r="BD2492" s="9"/>
      <c r="CS2492" s="11">
        <f t="shared" si="170"/>
        <v>0</v>
      </c>
      <c r="CT2492" s="22">
        <f t="shared" si="171"/>
        <v>0</v>
      </c>
      <c r="CU2492" s="22">
        <f t="shared" si="172"/>
        <v>0</v>
      </c>
      <c r="CV2492" s="26">
        <f t="shared" si="173"/>
        <v>132</v>
      </c>
    </row>
    <row r="2493" spans="1:103" x14ac:dyDescent="0.2">
      <c r="A2493" s="9" t="s">
        <v>565</v>
      </c>
      <c r="B2493" s="2">
        <v>132</v>
      </c>
      <c r="C2493" s="3" t="s">
        <v>95</v>
      </c>
      <c r="D2493" s="3" t="s">
        <v>96</v>
      </c>
      <c r="E2493" s="2"/>
      <c r="F2493" s="2"/>
      <c r="G2493" s="2" t="s">
        <v>83</v>
      </c>
      <c r="H2493" s="2">
        <v>2</v>
      </c>
      <c r="I2493" s="8">
        <v>120.16</v>
      </c>
      <c r="J2493" s="8">
        <v>36499</v>
      </c>
      <c r="K2493" s="3">
        <v>0</v>
      </c>
      <c r="L2493" s="3" t="s">
        <v>3</v>
      </c>
      <c r="M2493" s="9" t="s">
        <v>0</v>
      </c>
      <c r="N2493" s="9" t="s">
        <v>47</v>
      </c>
      <c r="O2493" s="9" t="s">
        <v>566</v>
      </c>
      <c r="S2493" s="9" t="s">
        <v>570</v>
      </c>
      <c r="W2493" s="10" t="s">
        <v>710</v>
      </c>
      <c r="X2493" s="17">
        <v>45386</v>
      </c>
      <c r="Y2493" s="17">
        <v>45386</v>
      </c>
      <c r="Z2493" s="19" t="s">
        <v>772</v>
      </c>
      <c r="AA2493" s="210">
        <v>11040.12</v>
      </c>
      <c r="AB2493" s="9">
        <v>84</v>
      </c>
      <c r="AC2493" s="9">
        <v>39</v>
      </c>
      <c r="AD2493" s="17">
        <v>46572</v>
      </c>
      <c r="AE2493" s="56">
        <v>132</v>
      </c>
      <c r="AF2493" s="56"/>
      <c r="AP2493" s="11"/>
      <c r="AQ2493" s="11"/>
      <c r="AR2493" s="11"/>
      <c r="AW2493" s="9"/>
      <c r="BD2493" s="9"/>
      <c r="CS2493" s="11">
        <f t="shared" ref="CS2493:CS2556" si="174">+AL2493+AT2493</f>
        <v>0</v>
      </c>
      <c r="CT2493" s="22">
        <f t="shared" ref="CT2493:CT2556" si="175">+BA2493+BG2493+BM2493+BS2493+BY2493+CE2493+CK2493+CQ2493</f>
        <v>0</v>
      </c>
      <c r="CU2493" s="22">
        <f t="shared" ref="CU2493:CU2556" si="176">+CS2493-CT2493</f>
        <v>0</v>
      </c>
      <c r="CV2493" s="26">
        <f t="shared" si="173"/>
        <v>132</v>
      </c>
    </row>
    <row r="2494" spans="1:103" x14ac:dyDescent="0.2">
      <c r="A2494" s="9" t="s">
        <v>565</v>
      </c>
      <c r="B2494" s="2">
        <v>132</v>
      </c>
      <c r="C2494" s="3" t="s">
        <v>95</v>
      </c>
      <c r="D2494" s="3" t="s">
        <v>96</v>
      </c>
      <c r="E2494" s="2"/>
      <c r="F2494" s="2"/>
      <c r="G2494" s="2" t="s">
        <v>83</v>
      </c>
      <c r="H2494" s="2">
        <v>2</v>
      </c>
      <c r="I2494" s="8">
        <v>120.16</v>
      </c>
      <c r="J2494" s="8">
        <v>36499</v>
      </c>
      <c r="K2494" s="3">
        <v>0</v>
      </c>
      <c r="L2494" s="3" t="s">
        <v>3</v>
      </c>
      <c r="M2494" s="9" t="s">
        <v>0</v>
      </c>
      <c r="N2494" s="9" t="s">
        <v>47</v>
      </c>
      <c r="O2494" s="9" t="s">
        <v>566</v>
      </c>
      <c r="S2494" s="9" t="s">
        <v>570</v>
      </c>
      <c r="W2494" s="10" t="s">
        <v>710</v>
      </c>
      <c r="X2494" s="17">
        <v>45386</v>
      </c>
      <c r="Y2494" s="17">
        <v>45386</v>
      </c>
      <c r="Z2494" s="19" t="s">
        <v>772</v>
      </c>
      <c r="AA2494" s="210">
        <v>11040.12</v>
      </c>
      <c r="AB2494" s="9">
        <v>84</v>
      </c>
      <c r="AC2494" s="9">
        <v>40</v>
      </c>
      <c r="AD2494" s="17">
        <v>46603</v>
      </c>
      <c r="AE2494" s="56">
        <v>132</v>
      </c>
      <c r="AF2494" s="56"/>
      <c r="AP2494" s="11"/>
      <c r="AQ2494" s="11"/>
      <c r="AR2494" s="11"/>
      <c r="AW2494" s="9"/>
      <c r="BD2494" s="9"/>
      <c r="CS2494" s="11">
        <f t="shared" si="174"/>
        <v>0</v>
      </c>
      <c r="CT2494" s="22">
        <f t="shared" si="175"/>
        <v>0</v>
      </c>
      <c r="CU2494" s="22">
        <f t="shared" si="176"/>
        <v>0</v>
      </c>
      <c r="CV2494" s="26">
        <f t="shared" si="173"/>
        <v>132</v>
      </c>
    </row>
    <row r="2495" spans="1:103" x14ac:dyDescent="0.2">
      <c r="A2495" s="9" t="s">
        <v>565</v>
      </c>
      <c r="B2495" s="2">
        <v>132</v>
      </c>
      <c r="C2495" s="3" t="s">
        <v>95</v>
      </c>
      <c r="D2495" s="3" t="s">
        <v>96</v>
      </c>
      <c r="E2495" s="2"/>
      <c r="F2495" s="2"/>
      <c r="G2495" s="2" t="s">
        <v>83</v>
      </c>
      <c r="H2495" s="2">
        <v>2</v>
      </c>
      <c r="I2495" s="8">
        <v>120.16</v>
      </c>
      <c r="J2495" s="8">
        <v>36499</v>
      </c>
      <c r="K2495" s="3">
        <v>0</v>
      </c>
      <c r="L2495" s="3" t="s">
        <v>3</v>
      </c>
      <c r="M2495" s="9" t="s">
        <v>0</v>
      </c>
      <c r="N2495" s="9" t="s">
        <v>47</v>
      </c>
      <c r="O2495" s="9" t="s">
        <v>566</v>
      </c>
      <c r="S2495" s="9" t="s">
        <v>570</v>
      </c>
      <c r="W2495" s="10" t="s">
        <v>710</v>
      </c>
      <c r="X2495" s="17">
        <v>45386</v>
      </c>
      <c r="Y2495" s="17">
        <v>45386</v>
      </c>
      <c r="Z2495" s="19" t="s">
        <v>772</v>
      </c>
      <c r="AA2495" s="210">
        <v>11040.12</v>
      </c>
      <c r="AB2495" s="9">
        <v>84</v>
      </c>
      <c r="AC2495" s="9">
        <v>41</v>
      </c>
      <c r="AD2495" s="17">
        <v>46634</v>
      </c>
      <c r="AE2495" s="56">
        <v>132</v>
      </c>
      <c r="AF2495" s="56"/>
      <c r="AP2495" s="11"/>
      <c r="AQ2495" s="11"/>
      <c r="AR2495" s="11"/>
      <c r="AW2495" s="9"/>
      <c r="BD2495" s="9"/>
      <c r="CS2495" s="11">
        <f t="shared" si="174"/>
        <v>0</v>
      </c>
      <c r="CT2495" s="22">
        <f t="shared" si="175"/>
        <v>0</v>
      </c>
      <c r="CU2495" s="22">
        <f t="shared" si="176"/>
        <v>0</v>
      </c>
      <c r="CV2495" s="26">
        <f t="shared" si="173"/>
        <v>132</v>
      </c>
    </row>
    <row r="2496" spans="1:103" x14ac:dyDescent="0.2">
      <c r="A2496" s="9" t="s">
        <v>565</v>
      </c>
      <c r="B2496" s="2">
        <v>132</v>
      </c>
      <c r="C2496" s="3" t="s">
        <v>95</v>
      </c>
      <c r="D2496" s="3" t="s">
        <v>96</v>
      </c>
      <c r="E2496" s="2"/>
      <c r="F2496" s="2"/>
      <c r="G2496" s="2" t="s">
        <v>83</v>
      </c>
      <c r="H2496" s="2">
        <v>2</v>
      </c>
      <c r="I2496" s="8">
        <v>120.16</v>
      </c>
      <c r="J2496" s="8">
        <v>36499</v>
      </c>
      <c r="K2496" s="3">
        <v>0</v>
      </c>
      <c r="L2496" s="3" t="s">
        <v>3</v>
      </c>
      <c r="M2496" s="9" t="s">
        <v>0</v>
      </c>
      <c r="N2496" s="9" t="s">
        <v>47</v>
      </c>
      <c r="O2496" s="9" t="s">
        <v>566</v>
      </c>
      <c r="S2496" s="9" t="s">
        <v>570</v>
      </c>
      <c r="W2496" s="10" t="s">
        <v>710</v>
      </c>
      <c r="X2496" s="17">
        <v>45386</v>
      </c>
      <c r="Y2496" s="17">
        <v>45386</v>
      </c>
      <c r="Z2496" s="19" t="s">
        <v>772</v>
      </c>
      <c r="AA2496" s="210">
        <v>11040.12</v>
      </c>
      <c r="AB2496" s="9">
        <v>84</v>
      </c>
      <c r="AC2496" s="9">
        <v>42</v>
      </c>
      <c r="AD2496" s="17">
        <v>46664</v>
      </c>
      <c r="AE2496" s="56">
        <v>132</v>
      </c>
      <c r="AF2496" s="56"/>
      <c r="AP2496" s="11"/>
      <c r="AQ2496" s="11"/>
      <c r="AR2496" s="11"/>
      <c r="AW2496" s="9"/>
      <c r="BD2496" s="9"/>
      <c r="CS2496" s="11">
        <f t="shared" si="174"/>
        <v>0</v>
      </c>
      <c r="CT2496" s="22">
        <f t="shared" si="175"/>
        <v>0</v>
      </c>
      <c r="CU2496" s="22">
        <f t="shared" si="176"/>
        <v>0</v>
      </c>
      <c r="CV2496" s="26">
        <f t="shared" si="173"/>
        <v>132</v>
      </c>
    </row>
    <row r="2497" spans="1:100" x14ac:dyDescent="0.2">
      <c r="A2497" s="9" t="s">
        <v>565</v>
      </c>
      <c r="B2497" s="2">
        <v>132</v>
      </c>
      <c r="C2497" s="3" t="s">
        <v>95</v>
      </c>
      <c r="D2497" s="3" t="s">
        <v>96</v>
      </c>
      <c r="E2497" s="2"/>
      <c r="F2497" s="2"/>
      <c r="G2497" s="2" t="s">
        <v>83</v>
      </c>
      <c r="H2497" s="2">
        <v>2</v>
      </c>
      <c r="I2497" s="8">
        <v>120.16</v>
      </c>
      <c r="J2497" s="8">
        <v>36499</v>
      </c>
      <c r="K2497" s="3">
        <v>0</v>
      </c>
      <c r="L2497" s="3" t="s">
        <v>3</v>
      </c>
      <c r="M2497" s="9" t="s">
        <v>0</v>
      </c>
      <c r="N2497" s="9" t="s">
        <v>47</v>
      </c>
      <c r="O2497" s="9" t="s">
        <v>566</v>
      </c>
      <c r="S2497" s="9" t="s">
        <v>570</v>
      </c>
      <c r="W2497" s="10" t="s">
        <v>710</v>
      </c>
      <c r="X2497" s="17">
        <v>45386</v>
      </c>
      <c r="Y2497" s="17">
        <v>45386</v>
      </c>
      <c r="Z2497" s="19" t="s">
        <v>772</v>
      </c>
      <c r="AA2497" s="210">
        <v>11040.12</v>
      </c>
      <c r="AB2497" s="9">
        <v>84</v>
      </c>
      <c r="AC2497" s="9">
        <v>43</v>
      </c>
      <c r="AD2497" s="17">
        <v>46695</v>
      </c>
      <c r="AE2497" s="56">
        <v>132</v>
      </c>
      <c r="AF2497" s="56"/>
      <c r="AP2497" s="11"/>
      <c r="AQ2497" s="11"/>
      <c r="AR2497" s="11"/>
      <c r="AW2497" s="9"/>
      <c r="BD2497" s="9"/>
      <c r="CS2497" s="11">
        <f t="shared" si="174"/>
        <v>0</v>
      </c>
      <c r="CT2497" s="22">
        <f t="shared" si="175"/>
        <v>0</v>
      </c>
      <c r="CU2497" s="22">
        <f t="shared" si="176"/>
        <v>0</v>
      </c>
      <c r="CV2497" s="26">
        <f t="shared" si="173"/>
        <v>132</v>
      </c>
    </row>
    <row r="2498" spans="1:100" x14ac:dyDescent="0.2">
      <c r="A2498" s="9" t="s">
        <v>565</v>
      </c>
      <c r="B2498" s="2">
        <v>132</v>
      </c>
      <c r="C2498" s="3" t="s">
        <v>95</v>
      </c>
      <c r="D2498" s="3" t="s">
        <v>96</v>
      </c>
      <c r="E2498" s="2"/>
      <c r="F2498" s="2"/>
      <c r="G2498" s="2" t="s">
        <v>83</v>
      </c>
      <c r="H2498" s="2">
        <v>2</v>
      </c>
      <c r="I2498" s="8">
        <v>120.16</v>
      </c>
      <c r="J2498" s="8">
        <v>36499</v>
      </c>
      <c r="K2498" s="3">
        <v>0</v>
      </c>
      <c r="L2498" s="3" t="s">
        <v>3</v>
      </c>
      <c r="M2498" s="9" t="s">
        <v>0</v>
      </c>
      <c r="N2498" s="9" t="s">
        <v>47</v>
      </c>
      <c r="O2498" s="9" t="s">
        <v>566</v>
      </c>
      <c r="S2498" s="9" t="s">
        <v>570</v>
      </c>
      <c r="W2498" s="10" t="s">
        <v>710</v>
      </c>
      <c r="X2498" s="17">
        <v>45386</v>
      </c>
      <c r="Y2498" s="17">
        <v>45386</v>
      </c>
      <c r="Z2498" s="19" t="s">
        <v>772</v>
      </c>
      <c r="AA2498" s="210">
        <v>11040.12</v>
      </c>
      <c r="AB2498" s="9">
        <v>84</v>
      </c>
      <c r="AC2498" s="9">
        <v>44</v>
      </c>
      <c r="AD2498" s="17">
        <v>46725</v>
      </c>
      <c r="AE2498" s="56">
        <v>132</v>
      </c>
      <c r="AF2498" s="56"/>
      <c r="AP2498" s="11"/>
      <c r="AQ2498" s="11"/>
      <c r="AR2498" s="11"/>
      <c r="AW2498" s="9"/>
      <c r="BD2498" s="9"/>
      <c r="CS2498" s="11">
        <f t="shared" si="174"/>
        <v>0</v>
      </c>
      <c r="CT2498" s="22">
        <f t="shared" si="175"/>
        <v>0</v>
      </c>
      <c r="CU2498" s="22">
        <f t="shared" si="176"/>
        <v>0</v>
      </c>
      <c r="CV2498" s="26">
        <f t="shared" si="173"/>
        <v>132</v>
      </c>
    </row>
    <row r="2499" spans="1:100" x14ac:dyDescent="0.2">
      <c r="A2499" s="9" t="s">
        <v>565</v>
      </c>
      <c r="B2499" s="2">
        <v>132</v>
      </c>
      <c r="C2499" s="3" t="s">
        <v>95</v>
      </c>
      <c r="D2499" s="3" t="s">
        <v>96</v>
      </c>
      <c r="E2499" s="2"/>
      <c r="F2499" s="2"/>
      <c r="G2499" s="2" t="s">
        <v>83</v>
      </c>
      <c r="H2499" s="2">
        <v>2</v>
      </c>
      <c r="I2499" s="8">
        <v>120.16</v>
      </c>
      <c r="J2499" s="8">
        <v>36499</v>
      </c>
      <c r="K2499" s="3">
        <v>0</v>
      </c>
      <c r="L2499" s="3" t="s">
        <v>3</v>
      </c>
      <c r="M2499" s="9" t="s">
        <v>0</v>
      </c>
      <c r="N2499" s="9" t="s">
        <v>47</v>
      </c>
      <c r="O2499" s="9" t="s">
        <v>566</v>
      </c>
      <c r="S2499" s="9" t="s">
        <v>570</v>
      </c>
      <c r="W2499" s="10" t="s">
        <v>710</v>
      </c>
      <c r="X2499" s="17">
        <v>45386</v>
      </c>
      <c r="Y2499" s="17">
        <v>45386</v>
      </c>
      <c r="Z2499" s="19" t="s">
        <v>772</v>
      </c>
      <c r="AA2499" s="210">
        <v>11040.12</v>
      </c>
      <c r="AB2499" s="9">
        <v>84</v>
      </c>
      <c r="AC2499" s="9">
        <v>45</v>
      </c>
      <c r="AD2499" s="17">
        <v>46756</v>
      </c>
      <c r="AE2499" s="56">
        <v>132</v>
      </c>
      <c r="AF2499" s="56"/>
      <c r="AP2499" s="11"/>
      <c r="AQ2499" s="11"/>
      <c r="AR2499" s="11"/>
      <c r="AW2499" s="9"/>
      <c r="BD2499" s="9"/>
      <c r="CS2499" s="11">
        <f t="shared" si="174"/>
        <v>0</v>
      </c>
      <c r="CT2499" s="22">
        <f t="shared" si="175"/>
        <v>0</v>
      </c>
      <c r="CU2499" s="22">
        <f t="shared" si="176"/>
        <v>0</v>
      </c>
      <c r="CV2499" s="26">
        <f t="shared" si="173"/>
        <v>132</v>
      </c>
    </row>
    <row r="2500" spans="1:100" x14ac:dyDescent="0.2">
      <c r="A2500" s="9" t="s">
        <v>565</v>
      </c>
      <c r="B2500" s="2">
        <v>132</v>
      </c>
      <c r="C2500" s="3" t="s">
        <v>95</v>
      </c>
      <c r="D2500" s="3" t="s">
        <v>96</v>
      </c>
      <c r="E2500" s="2"/>
      <c r="F2500" s="2"/>
      <c r="G2500" s="2" t="s">
        <v>83</v>
      </c>
      <c r="H2500" s="2">
        <v>2</v>
      </c>
      <c r="I2500" s="8">
        <v>120.16</v>
      </c>
      <c r="J2500" s="8">
        <v>36499</v>
      </c>
      <c r="K2500" s="3">
        <v>0</v>
      </c>
      <c r="L2500" s="3" t="s">
        <v>3</v>
      </c>
      <c r="M2500" s="9" t="s">
        <v>0</v>
      </c>
      <c r="N2500" s="9" t="s">
        <v>47</v>
      </c>
      <c r="O2500" s="9" t="s">
        <v>566</v>
      </c>
      <c r="S2500" s="9" t="s">
        <v>570</v>
      </c>
      <c r="W2500" s="10" t="s">
        <v>710</v>
      </c>
      <c r="X2500" s="17">
        <v>45386</v>
      </c>
      <c r="Y2500" s="17">
        <v>45386</v>
      </c>
      <c r="Z2500" s="19" t="s">
        <v>772</v>
      </c>
      <c r="AA2500" s="210">
        <v>11040.12</v>
      </c>
      <c r="AB2500" s="9">
        <v>84</v>
      </c>
      <c r="AC2500" s="9">
        <v>46</v>
      </c>
      <c r="AD2500" s="17">
        <v>46787</v>
      </c>
      <c r="AE2500" s="56">
        <v>132</v>
      </c>
      <c r="AF2500" s="56"/>
      <c r="AP2500" s="11"/>
      <c r="AQ2500" s="11"/>
      <c r="AR2500" s="11"/>
      <c r="AW2500" s="9"/>
      <c r="BD2500" s="9"/>
      <c r="CS2500" s="11">
        <f t="shared" si="174"/>
        <v>0</v>
      </c>
      <c r="CT2500" s="22">
        <f t="shared" si="175"/>
        <v>0</v>
      </c>
      <c r="CU2500" s="22">
        <f t="shared" si="176"/>
        <v>0</v>
      </c>
      <c r="CV2500" s="26">
        <f t="shared" si="173"/>
        <v>132</v>
      </c>
    </row>
    <row r="2501" spans="1:100" x14ac:dyDescent="0.2">
      <c r="A2501" s="9" t="s">
        <v>565</v>
      </c>
      <c r="B2501" s="2">
        <v>132</v>
      </c>
      <c r="C2501" s="3" t="s">
        <v>95</v>
      </c>
      <c r="D2501" s="3" t="s">
        <v>96</v>
      </c>
      <c r="E2501" s="2"/>
      <c r="F2501" s="2"/>
      <c r="G2501" s="2" t="s">
        <v>83</v>
      </c>
      <c r="H2501" s="2">
        <v>2</v>
      </c>
      <c r="I2501" s="8">
        <v>120.16</v>
      </c>
      <c r="J2501" s="8">
        <v>36499</v>
      </c>
      <c r="K2501" s="3">
        <v>0</v>
      </c>
      <c r="L2501" s="3" t="s">
        <v>3</v>
      </c>
      <c r="M2501" s="9" t="s">
        <v>0</v>
      </c>
      <c r="N2501" s="9" t="s">
        <v>47</v>
      </c>
      <c r="O2501" s="9" t="s">
        <v>566</v>
      </c>
      <c r="S2501" s="9" t="s">
        <v>570</v>
      </c>
      <c r="W2501" s="10" t="s">
        <v>710</v>
      </c>
      <c r="X2501" s="17">
        <v>45386</v>
      </c>
      <c r="Y2501" s="17">
        <v>45386</v>
      </c>
      <c r="Z2501" s="19" t="s">
        <v>772</v>
      </c>
      <c r="AA2501" s="210">
        <v>11040.12</v>
      </c>
      <c r="AB2501" s="9">
        <v>84</v>
      </c>
      <c r="AC2501" s="9">
        <v>47</v>
      </c>
      <c r="AD2501" s="17">
        <v>46816</v>
      </c>
      <c r="AE2501" s="56">
        <v>132</v>
      </c>
      <c r="AF2501" s="56"/>
      <c r="AP2501" s="11"/>
      <c r="AQ2501" s="11"/>
      <c r="AR2501" s="11"/>
      <c r="AW2501" s="9"/>
      <c r="BD2501" s="9"/>
      <c r="CS2501" s="11">
        <f t="shared" si="174"/>
        <v>0</v>
      </c>
      <c r="CT2501" s="22">
        <f t="shared" si="175"/>
        <v>0</v>
      </c>
      <c r="CU2501" s="22">
        <f t="shared" si="176"/>
        <v>0</v>
      </c>
      <c r="CV2501" s="26">
        <f t="shared" si="173"/>
        <v>132</v>
      </c>
    </row>
    <row r="2502" spans="1:100" x14ac:dyDescent="0.2">
      <c r="A2502" s="9" t="s">
        <v>565</v>
      </c>
      <c r="B2502" s="2">
        <v>132</v>
      </c>
      <c r="C2502" s="3" t="s">
        <v>95</v>
      </c>
      <c r="D2502" s="3" t="s">
        <v>96</v>
      </c>
      <c r="E2502" s="2"/>
      <c r="F2502" s="2"/>
      <c r="G2502" s="2" t="s">
        <v>83</v>
      </c>
      <c r="H2502" s="2">
        <v>2</v>
      </c>
      <c r="I2502" s="8">
        <v>120.16</v>
      </c>
      <c r="J2502" s="8">
        <v>36499</v>
      </c>
      <c r="K2502" s="3">
        <v>0</v>
      </c>
      <c r="L2502" s="3" t="s">
        <v>3</v>
      </c>
      <c r="M2502" s="9" t="s">
        <v>0</v>
      </c>
      <c r="N2502" s="9" t="s">
        <v>47</v>
      </c>
      <c r="O2502" s="9" t="s">
        <v>566</v>
      </c>
      <c r="S2502" s="9" t="s">
        <v>570</v>
      </c>
      <c r="W2502" s="10" t="s">
        <v>710</v>
      </c>
      <c r="X2502" s="17">
        <v>45386</v>
      </c>
      <c r="Y2502" s="17">
        <v>45386</v>
      </c>
      <c r="Z2502" s="19" t="s">
        <v>772</v>
      </c>
      <c r="AA2502" s="210">
        <v>11040.12</v>
      </c>
      <c r="AB2502" s="9">
        <v>84</v>
      </c>
      <c r="AC2502" s="9">
        <v>48</v>
      </c>
      <c r="AD2502" s="17">
        <v>46847</v>
      </c>
      <c r="AE2502" s="56">
        <v>132</v>
      </c>
      <c r="AF2502" s="56"/>
      <c r="AP2502" s="11"/>
      <c r="AQ2502" s="11"/>
      <c r="AR2502" s="11"/>
      <c r="AW2502" s="9"/>
      <c r="BD2502" s="9"/>
      <c r="CS2502" s="11">
        <f t="shared" si="174"/>
        <v>0</v>
      </c>
      <c r="CT2502" s="22">
        <f t="shared" si="175"/>
        <v>0</v>
      </c>
      <c r="CU2502" s="22">
        <f t="shared" si="176"/>
        <v>0</v>
      </c>
      <c r="CV2502" s="26">
        <f t="shared" si="173"/>
        <v>132</v>
      </c>
    </row>
    <row r="2503" spans="1:100" x14ac:dyDescent="0.2">
      <c r="A2503" s="9" t="s">
        <v>565</v>
      </c>
      <c r="B2503" s="2">
        <v>132</v>
      </c>
      <c r="C2503" s="3" t="s">
        <v>95</v>
      </c>
      <c r="D2503" s="3" t="s">
        <v>96</v>
      </c>
      <c r="E2503" s="2"/>
      <c r="F2503" s="2"/>
      <c r="G2503" s="2" t="s">
        <v>83</v>
      </c>
      <c r="H2503" s="2">
        <v>2</v>
      </c>
      <c r="I2503" s="8">
        <v>120.16</v>
      </c>
      <c r="J2503" s="8">
        <v>36499</v>
      </c>
      <c r="K2503" s="3">
        <v>0</v>
      </c>
      <c r="L2503" s="3" t="s">
        <v>3</v>
      </c>
      <c r="M2503" s="9" t="s">
        <v>0</v>
      </c>
      <c r="N2503" s="9" t="s">
        <v>47</v>
      </c>
      <c r="O2503" s="9" t="s">
        <v>566</v>
      </c>
      <c r="S2503" s="9" t="s">
        <v>570</v>
      </c>
      <c r="W2503" s="10" t="s">
        <v>710</v>
      </c>
      <c r="X2503" s="17">
        <v>45386</v>
      </c>
      <c r="Y2503" s="17">
        <v>45386</v>
      </c>
      <c r="Z2503" s="19" t="s">
        <v>772</v>
      </c>
      <c r="AA2503" s="210">
        <v>11040.12</v>
      </c>
      <c r="AB2503" s="9">
        <v>84</v>
      </c>
      <c r="AC2503" s="9">
        <v>49</v>
      </c>
      <c r="AD2503" s="17">
        <v>46877</v>
      </c>
      <c r="AE2503" s="56">
        <v>132</v>
      </c>
      <c r="AF2503" s="56"/>
      <c r="AP2503" s="11"/>
      <c r="AQ2503" s="11"/>
      <c r="AR2503" s="11"/>
      <c r="AW2503" s="9"/>
      <c r="BD2503" s="9"/>
      <c r="CS2503" s="11">
        <f t="shared" si="174"/>
        <v>0</v>
      </c>
      <c r="CT2503" s="22">
        <f t="shared" si="175"/>
        <v>0</v>
      </c>
      <c r="CU2503" s="22">
        <f t="shared" si="176"/>
        <v>0</v>
      </c>
      <c r="CV2503" s="26">
        <f t="shared" si="173"/>
        <v>132</v>
      </c>
    </row>
    <row r="2504" spans="1:100" x14ac:dyDescent="0.2">
      <c r="A2504" s="9" t="s">
        <v>565</v>
      </c>
      <c r="B2504" s="2">
        <v>132</v>
      </c>
      <c r="C2504" s="3" t="s">
        <v>95</v>
      </c>
      <c r="D2504" s="3" t="s">
        <v>96</v>
      </c>
      <c r="E2504" s="2"/>
      <c r="F2504" s="2"/>
      <c r="G2504" s="2" t="s">
        <v>83</v>
      </c>
      <c r="H2504" s="2">
        <v>2</v>
      </c>
      <c r="I2504" s="8">
        <v>120.16</v>
      </c>
      <c r="J2504" s="8">
        <v>36499</v>
      </c>
      <c r="K2504" s="3">
        <v>0</v>
      </c>
      <c r="L2504" s="3" t="s">
        <v>3</v>
      </c>
      <c r="M2504" s="9" t="s">
        <v>0</v>
      </c>
      <c r="N2504" s="9" t="s">
        <v>47</v>
      </c>
      <c r="O2504" s="9" t="s">
        <v>566</v>
      </c>
      <c r="S2504" s="9" t="s">
        <v>570</v>
      </c>
      <c r="W2504" s="10" t="s">
        <v>710</v>
      </c>
      <c r="X2504" s="17">
        <v>45386</v>
      </c>
      <c r="Y2504" s="17">
        <v>45386</v>
      </c>
      <c r="Z2504" s="19" t="s">
        <v>772</v>
      </c>
      <c r="AA2504" s="210">
        <v>11040.12</v>
      </c>
      <c r="AB2504" s="9">
        <v>84</v>
      </c>
      <c r="AC2504" s="9">
        <v>50</v>
      </c>
      <c r="AD2504" s="17">
        <v>46908</v>
      </c>
      <c r="AE2504" s="56">
        <v>132</v>
      </c>
      <c r="AF2504" s="56"/>
      <c r="AP2504" s="11"/>
      <c r="AQ2504" s="11"/>
      <c r="AR2504" s="11"/>
      <c r="AW2504" s="9"/>
      <c r="BD2504" s="9"/>
      <c r="CS2504" s="11">
        <f t="shared" si="174"/>
        <v>0</v>
      </c>
      <c r="CT2504" s="22">
        <f t="shared" si="175"/>
        <v>0</v>
      </c>
      <c r="CU2504" s="22">
        <f t="shared" si="176"/>
        <v>0</v>
      </c>
      <c r="CV2504" s="26">
        <f t="shared" si="173"/>
        <v>132</v>
      </c>
    </row>
    <row r="2505" spans="1:100" x14ac:dyDescent="0.2">
      <c r="A2505" s="9" t="s">
        <v>565</v>
      </c>
      <c r="B2505" s="2">
        <v>132</v>
      </c>
      <c r="C2505" s="3" t="s">
        <v>95</v>
      </c>
      <c r="D2505" s="3" t="s">
        <v>96</v>
      </c>
      <c r="E2505" s="2"/>
      <c r="F2505" s="2"/>
      <c r="G2505" s="2" t="s">
        <v>83</v>
      </c>
      <c r="H2505" s="2">
        <v>2</v>
      </c>
      <c r="I2505" s="8">
        <v>120.16</v>
      </c>
      <c r="J2505" s="8">
        <v>36499</v>
      </c>
      <c r="K2505" s="3">
        <v>0</v>
      </c>
      <c r="L2505" s="3" t="s">
        <v>3</v>
      </c>
      <c r="M2505" s="9" t="s">
        <v>0</v>
      </c>
      <c r="N2505" s="9" t="s">
        <v>47</v>
      </c>
      <c r="O2505" s="9" t="s">
        <v>566</v>
      </c>
      <c r="S2505" s="9" t="s">
        <v>570</v>
      </c>
      <c r="W2505" s="10" t="s">
        <v>710</v>
      </c>
      <c r="X2505" s="17">
        <v>45386</v>
      </c>
      <c r="Y2505" s="17">
        <v>45386</v>
      </c>
      <c r="Z2505" s="19" t="s">
        <v>772</v>
      </c>
      <c r="AA2505" s="210">
        <v>11040.12</v>
      </c>
      <c r="AB2505" s="9">
        <v>84</v>
      </c>
      <c r="AC2505" s="9">
        <v>51</v>
      </c>
      <c r="AD2505" s="17">
        <v>46938</v>
      </c>
      <c r="AE2505" s="56">
        <v>132</v>
      </c>
      <c r="AF2505" s="56"/>
      <c r="AP2505" s="11"/>
      <c r="AQ2505" s="11"/>
      <c r="AR2505" s="11"/>
      <c r="AW2505" s="9"/>
      <c r="BD2505" s="9"/>
      <c r="CS2505" s="11">
        <f t="shared" si="174"/>
        <v>0</v>
      </c>
      <c r="CT2505" s="22">
        <f t="shared" si="175"/>
        <v>0</v>
      </c>
      <c r="CU2505" s="22">
        <f t="shared" si="176"/>
        <v>0</v>
      </c>
      <c r="CV2505" s="26">
        <f t="shared" si="173"/>
        <v>132</v>
      </c>
    </row>
    <row r="2506" spans="1:100" x14ac:dyDescent="0.2">
      <c r="A2506" s="9" t="s">
        <v>565</v>
      </c>
      <c r="B2506" s="2">
        <v>132</v>
      </c>
      <c r="C2506" s="3" t="s">
        <v>95</v>
      </c>
      <c r="D2506" s="3" t="s">
        <v>96</v>
      </c>
      <c r="E2506" s="2"/>
      <c r="F2506" s="2"/>
      <c r="G2506" s="2" t="s">
        <v>83</v>
      </c>
      <c r="H2506" s="2">
        <v>2</v>
      </c>
      <c r="I2506" s="8">
        <v>120.16</v>
      </c>
      <c r="J2506" s="8">
        <v>36499</v>
      </c>
      <c r="K2506" s="3">
        <v>0</v>
      </c>
      <c r="L2506" s="3" t="s">
        <v>3</v>
      </c>
      <c r="M2506" s="9" t="s">
        <v>0</v>
      </c>
      <c r="N2506" s="9" t="s">
        <v>47</v>
      </c>
      <c r="O2506" s="9" t="s">
        <v>566</v>
      </c>
      <c r="S2506" s="9" t="s">
        <v>570</v>
      </c>
      <c r="W2506" s="10" t="s">
        <v>710</v>
      </c>
      <c r="X2506" s="17">
        <v>45386</v>
      </c>
      <c r="Y2506" s="17">
        <v>45386</v>
      </c>
      <c r="Z2506" s="19" t="s">
        <v>772</v>
      </c>
      <c r="AA2506" s="210">
        <v>11040.12</v>
      </c>
      <c r="AB2506" s="9">
        <v>84</v>
      </c>
      <c r="AC2506" s="9">
        <v>52</v>
      </c>
      <c r="AD2506" s="17">
        <v>46969</v>
      </c>
      <c r="AE2506" s="56">
        <v>132</v>
      </c>
      <c r="AF2506" s="56"/>
      <c r="AP2506" s="11"/>
      <c r="AQ2506" s="11"/>
      <c r="AR2506" s="11"/>
      <c r="AW2506" s="9"/>
      <c r="BD2506" s="9"/>
      <c r="CS2506" s="11">
        <f t="shared" si="174"/>
        <v>0</v>
      </c>
      <c r="CT2506" s="22">
        <f t="shared" si="175"/>
        <v>0</v>
      </c>
      <c r="CU2506" s="22">
        <f t="shared" si="176"/>
        <v>0</v>
      </c>
      <c r="CV2506" s="26">
        <f t="shared" si="173"/>
        <v>132</v>
      </c>
    </row>
    <row r="2507" spans="1:100" x14ac:dyDescent="0.2">
      <c r="A2507" s="9" t="s">
        <v>565</v>
      </c>
      <c r="B2507" s="2">
        <v>132</v>
      </c>
      <c r="C2507" s="3" t="s">
        <v>95</v>
      </c>
      <c r="D2507" s="3" t="s">
        <v>96</v>
      </c>
      <c r="E2507" s="2"/>
      <c r="F2507" s="2"/>
      <c r="G2507" s="2" t="s">
        <v>83</v>
      </c>
      <c r="H2507" s="2">
        <v>2</v>
      </c>
      <c r="I2507" s="8">
        <v>120.16</v>
      </c>
      <c r="J2507" s="8">
        <v>36499</v>
      </c>
      <c r="K2507" s="3">
        <v>0</v>
      </c>
      <c r="L2507" s="3" t="s">
        <v>3</v>
      </c>
      <c r="M2507" s="9" t="s">
        <v>0</v>
      </c>
      <c r="N2507" s="9" t="s">
        <v>47</v>
      </c>
      <c r="O2507" s="9" t="s">
        <v>566</v>
      </c>
      <c r="S2507" s="9" t="s">
        <v>570</v>
      </c>
      <c r="W2507" s="10" t="s">
        <v>710</v>
      </c>
      <c r="X2507" s="17">
        <v>45386</v>
      </c>
      <c r="Y2507" s="17">
        <v>45386</v>
      </c>
      <c r="Z2507" s="19" t="s">
        <v>772</v>
      </c>
      <c r="AA2507" s="210">
        <v>11040.12</v>
      </c>
      <c r="AB2507" s="9">
        <v>84</v>
      </c>
      <c r="AC2507" s="9">
        <v>53</v>
      </c>
      <c r="AD2507" s="17">
        <v>47000</v>
      </c>
      <c r="AE2507" s="56">
        <v>132</v>
      </c>
      <c r="AF2507" s="56"/>
      <c r="AP2507" s="11"/>
      <c r="AQ2507" s="11"/>
      <c r="AR2507" s="11"/>
      <c r="AW2507" s="9"/>
      <c r="BD2507" s="9"/>
      <c r="CS2507" s="11">
        <f t="shared" si="174"/>
        <v>0</v>
      </c>
      <c r="CT2507" s="22">
        <f t="shared" si="175"/>
        <v>0</v>
      </c>
      <c r="CU2507" s="22">
        <f t="shared" si="176"/>
        <v>0</v>
      </c>
      <c r="CV2507" s="26">
        <f t="shared" si="173"/>
        <v>132</v>
      </c>
    </row>
    <row r="2508" spans="1:100" x14ac:dyDescent="0.2">
      <c r="A2508" s="9" t="s">
        <v>565</v>
      </c>
      <c r="B2508" s="2">
        <v>132</v>
      </c>
      <c r="C2508" s="3" t="s">
        <v>95</v>
      </c>
      <c r="D2508" s="3" t="s">
        <v>96</v>
      </c>
      <c r="E2508" s="2"/>
      <c r="F2508" s="2"/>
      <c r="G2508" s="2" t="s">
        <v>83</v>
      </c>
      <c r="H2508" s="2">
        <v>2</v>
      </c>
      <c r="I2508" s="8">
        <v>120.16</v>
      </c>
      <c r="J2508" s="8">
        <v>36499</v>
      </c>
      <c r="K2508" s="3">
        <v>0</v>
      </c>
      <c r="L2508" s="3" t="s">
        <v>3</v>
      </c>
      <c r="M2508" s="9" t="s">
        <v>0</v>
      </c>
      <c r="N2508" s="9" t="s">
        <v>47</v>
      </c>
      <c r="O2508" s="9" t="s">
        <v>566</v>
      </c>
      <c r="S2508" s="9" t="s">
        <v>570</v>
      </c>
      <c r="W2508" s="10" t="s">
        <v>710</v>
      </c>
      <c r="X2508" s="17">
        <v>45386</v>
      </c>
      <c r="Y2508" s="17">
        <v>45386</v>
      </c>
      <c r="Z2508" s="19" t="s">
        <v>772</v>
      </c>
      <c r="AA2508" s="210">
        <v>11040.12</v>
      </c>
      <c r="AB2508" s="9">
        <v>84</v>
      </c>
      <c r="AC2508" s="9">
        <v>54</v>
      </c>
      <c r="AD2508" s="17">
        <v>47030</v>
      </c>
      <c r="AE2508" s="56">
        <v>132</v>
      </c>
      <c r="AF2508" s="56"/>
      <c r="AP2508" s="11"/>
      <c r="AQ2508" s="11"/>
      <c r="AR2508" s="11"/>
      <c r="AW2508" s="9"/>
      <c r="BD2508" s="9"/>
      <c r="CS2508" s="11">
        <f t="shared" si="174"/>
        <v>0</v>
      </c>
      <c r="CT2508" s="22">
        <f t="shared" si="175"/>
        <v>0</v>
      </c>
      <c r="CU2508" s="22">
        <f t="shared" si="176"/>
        <v>0</v>
      </c>
      <c r="CV2508" s="26">
        <f t="shared" si="173"/>
        <v>132</v>
      </c>
    </row>
    <row r="2509" spans="1:100" x14ac:dyDescent="0.2">
      <c r="A2509" s="9" t="s">
        <v>565</v>
      </c>
      <c r="B2509" s="2">
        <v>132</v>
      </c>
      <c r="C2509" s="3" t="s">
        <v>95</v>
      </c>
      <c r="D2509" s="3" t="s">
        <v>96</v>
      </c>
      <c r="E2509" s="2"/>
      <c r="F2509" s="2"/>
      <c r="G2509" s="2" t="s">
        <v>83</v>
      </c>
      <c r="H2509" s="2">
        <v>2</v>
      </c>
      <c r="I2509" s="8">
        <v>120.16</v>
      </c>
      <c r="J2509" s="8">
        <v>36499</v>
      </c>
      <c r="K2509" s="3">
        <v>0</v>
      </c>
      <c r="L2509" s="3" t="s">
        <v>3</v>
      </c>
      <c r="M2509" s="9" t="s">
        <v>0</v>
      </c>
      <c r="N2509" s="9" t="s">
        <v>47</v>
      </c>
      <c r="O2509" s="9" t="s">
        <v>566</v>
      </c>
      <c r="S2509" s="9" t="s">
        <v>570</v>
      </c>
      <c r="W2509" s="10" t="s">
        <v>710</v>
      </c>
      <c r="X2509" s="17">
        <v>45386</v>
      </c>
      <c r="Y2509" s="17">
        <v>45386</v>
      </c>
      <c r="Z2509" s="19" t="s">
        <v>772</v>
      </c>
      <c r="AA2509" s="210">
        <v>11040.12</v>
      </c>
      <c r="AB2509" s="9">
        <v>84</v>
      </c>
      <c r="AC2509" s="9">
        <v>55</v>
      </c>
      <c r="AD2509" s="17">
        <v>47061</v>
      </c>
      <c r="AE2509" s="56">
        <v>132</v>
      </c>
      <c r="AF2509" s="56"/>
      <c r="AP2509" s="11"/>
      <c r="AQ2509" s="11"/>
      <c r="AR2509" s="11"/>
      <c r="AW2509" s="9"/>
      <c r="BD2509" s="9"/>
      <c r="CS2509" s="11">
        <f t="shared" si="174"/>
        <v>0</v>
      </c>
      <c r="CT2509" s="22">
        <f t="shared" si="175"/>
        <v>0</v>
      </c>
      <c r="CU2509" s="22">
        <f t="shared" si="176"/>
        <v>0</v>
      </c>
      <c r="CV2509" s="26">
        <f t="shared" si="173"/>
        <v>132</v>
      </c>
    </row>
    <row r="2510" spans="1:100" x14ac:dyDescent="0.2">
      <c r="A2510" s="9" t="s">
        <v>565</v>
      </c>
      <c r="B2510" s="2">
        <v>132</v>
      </c>
      <c r="C2510" s="3" t="s">
        <v>95</v>
      </c>
      <c r="D2510" s="3" t="s">
        <v>96</v>
      </c>
      <c r="E2510" s="2"/>
      <c r="F2510" s="2"/>
      <c r="G2510" s="2" t="s">
        <v>83</v>
      </c>
      <c r="H2510" s="2">
        <v>2</v>
      </c>
      <c r="I2510" s="8">
        <v>120.16</v>
      </c>
      <c r="J2510" s="8">
        <v>36499</v>
      </c>
      <c r="K2510" s="3">
        <v>0</v>
      </c>
      <c r="L2510" s="3" t="s">
        <v>3</v>
      </c>
      <c r="M2510" s="9" t="s">
        <v>0</v>
      </c>
      <c r="N2510" s="9" t="s">
        <v>47</v>
      </c>
      <c r="O2510" s="9" t="s">
        <v>566</v>
      </c>
      <c r="S2510" s="9" t="s">
        <v>570</v>
      </c>
      <c r="W2510" s="10" t="s">
        <v>710</v>
      </c>
      <c r="X2510" s="17">
        <v>45386</v>
      </c>
      <c r="Y2510" s="17">
        <v>45386</v>
      </c>
      <c r="Z2510" s="19" t="s">
        <v>772</v>
      </c>
      <c r="AA2510" s="210">
        <v>11040.12</v>
      </c>
      <c r="AB2510" s="9">
        <v>84</v>
      </c>
      <c r="AC2510" s="9">
        <v>56</v>
      </c>
      <c r="AD2510" s="17">
        <v>47091</v>
      </c>
      <c r="AE2510" s="56">
        <v>132</v>
      </c>
      <c r="AF2510" s="56"/>
      <c r="AP2510" s="11"/>
      <c r="AQ2510" s="11"/>
      <c r="AR2510" s="11"/>
      <c r="AW2510" s="9"/>
      <c r="BD2510" s="9"/>
      <c r="CS2510" s="11">
        <f t="shared" si="174"/>
        <v>0</v>
      </c>
      <c r="CT2510" s="22">
        <f t="shared" si="175"/>
        <v>0</v>
      </c>
      <c r="CU2510" s="22">
        <f t="shared" si="176"/>
        <v>0</v>
      </c>
      <c r="CV2510" s="26">
        <f t="shared" si="173"/>
        <v>132</v>
      </c>
    </row>
    <row r="2511" spans="1:100" x14ac:dyDescent="0.2">
      <c r="A2511" s="9" t="s">
        <v>565</v>
      </c>
      <c r="B2511" s="2">
        <v>132</v>
      </c>
      <c r="C2511" s="3" t="s">
        <v>95</v>
      </c>
      <c r="D2511" s="3" t="s">
        <v>96</v>
      </c>
      <c r="E2511" s="2"/>
      <c r="F2511" s="2"/>
      <c r="G2511" s="2" t="s">
        <v>83</v>
      </c>
      <c r="H2511" s="2">
        <v>2</v>
      </c>
      <c r="I2511" s="8">
        <v>120.16</v>
      </c>
      <c r="J2511" s="8">
        <v>36499</v>
      </c>
      <c r="K2511" s="3">
        <v>0</v>
      </c>
      <c r="L2511" s="3" t="s">
        <v>3</v>
      </c>
      <c r="M2511" s="9" t="s">
        <v>0</v>
      </c>
      <c r="N2511" s="9" t="s">
        <v>47</v>
      </c>
      <c r="O2511" s="9" t="s">
        <v>566</v>
      </c>
      <c r="S2511" s="9" t="s">
        <v>570</v>
      </c>
      <c r="W2511" s="10" t="s">
        <v>710</v>
      </c>
      <c r="X2511" s="17">
        <v>45386</v>
      </c>
      <c r="Y2511" s="17">
        <v>45386</v>
      </c>
      <c r="Z2511" s="19" t="s">
        <v>772</v>
      </c>
      <c r="AA2511" s="210">
        <v>11040.12</v>
      </c>
      <c r="AB2511" s="9">
        <v>84</v>
      </c>
      <c r="AC2511" s="9">
        <v>57</v>
      </c>
      <c r="AD2511" s="17">
        <v>47122</v>
      </c>
      <c r="AE2511" s="56">
        <v>132</v>
      </c>
      <c r="AF2511" s="56"/>
      <c r="AP2511" s="11"/>
      <c r="AQ2511" s="11"/>
      <c r="AR2511" s="11"/>
      <c r="AW2511" s="9"/>
      <c r="BD2511" s="9"/>
      <c r="CS2511" s="11">
        <f t="shared" si="174"/>
        <v>0</v>
      </c>
      <c r="CT2511" s="22">
        <f t="shared" si="175"/>
        <v>0</v>
      </c>
      <c r="CU2511" s="22">
        <f t="shared" si="176"/>
        <v>0</v>
      </c>
      <c r="CV2511" s="26">
        <f t="shared" si="173"/>
        <v>132</v>
      </c>
    </row>
    <row r="2512" spans="1:100" x14ac:dyDescent="0.2">
      <c r="A2512" s="9" t="s">
        <v>565</v>
      </c>
      <c r="B2512" s="2">
        <v>132</v>
      </c>
      <c r="C2512" s="3" t="s">
        <v>95</v>
      </c>
      <c r="D2512" s="3" t="s">
        <v>96</v>
      </c>
      <c r="E2512" s="2"/>
      <c r="F2512" s="2"/>
      <c r="G2512" s="2" t="s">
        <v>83</v>
      </c>
      <c r="H2512" s="2">
        <v>2</v>
      </c>
      <c r="I2512" s="8">
        <v>120.16</v>
      </c>
      <c r="J2512" s="8">
        <v>36499</v>
      </c>
      <c r="K2512" s="3">
        <v>0</v>
      </c>
      <c r="L2512" s="3" t="s">
        <v>3</v>
      </c>
      <c r="M2512" s="9" t="s">
        <v>0</v>
      </c>
      <c r="N2512" s="9" t="s">
        <v>47</v>
      </c>
      <c r="O2512" s="9" t="s">
        <v>566</v>
      </c>
      <c r="S2512" s="9" t="s">
        <v>570</v>
      </c>
      <c r="W2512" s="10" t="s">
        <v>710</v>
      </c>
      <c r="X2512" s="17">
        <v>45386</v>
      </c>
      <c r="Y2512" s="17">
        <v>45386</v>
      </c>
      <c r="Z2512" s="19" t="s">
        <v>772</v>
      </c>
      <c r="AA2512" s="210">
        <v>11040.12</v>
      </c>
      <c r="AB2512" s="9">
        <v>84</v>
      </c>
      <c r="AC2512" s="9">
        <v>58</v>
      </c>
      <c r="AD2512" s="17">
        <v>47153</v>
      </c>
      <c r="AE2512" s="56">
        <v>132</v>
      </c>
      <c r="AF2512" s="56"/>
      <c r="AP2512" s="11"/>
      <c r="AQ2512" s="11"/>
      <c r="AR2512" s="11"/>
      <c r="AW2512" s="9"/>
      <c r="BD2512" s="9"/>
      <c r="CS2512" s="11">
        <f t="shared" si="174"/>
        <v>0</v>
      </c>
      <c r="CT2512" s="22">
        <f t="shared" si="175"/>
        <v>0</v>
      </c>
      <c r="CU2512" s="22">
        <f t="shared" si="176"/>
        <v>0</v>
      </c>
      <c r="CV2512" s="26">
        <f t="shared" si="173"/>
        <v>132</v>
      </c>
    </row>
    <row r="2513" spans="1:100" x14ac:dyDescent="0.2">
      <c r="A2513" s="9" t="s">
        <v>565</v>
      </c>
      <c r="B2513" s="2">
        <v>132</v>
      </c>
      <c r="C2513" s="3" t="s">
        <v>95</v>
      </c>
      <c r="D2513" s="3" t="s">
        <v>96</v>
      </c>
      <c r="E2513" s="2"/>
      <c r="F2513" s="2"/>
      <c r="G2513" s="2" t="s">
        <v>83</v>
      </c>
      <c r="H2513" s="2">
        <v>2</v>
      </c>
      <c r="I2513" s="8">
        <v>120.16</v>
      </c>
      <c r="J2513" s="8">
        <v>36499</v>
      </c>
      <c r="K2513" s="3">
        <v>0</v>
      </c>
      <c r="L2513" s="3" t="s">
        <v>3</v>
      </c>
      <c r="M2513" s="9" t="s">
        <v>0</v>
      </c>
      <c r="N2513" s="9" t="s">
        <v>47</v>
      </c>
      <c r="O2513" s="9" t="s">
        <v>566</v>
      </c>
      <c r="S2513" s="9" t="s">
        <v>570</v>
      </c>
      <c r="W2513" s="10" t="s">
        <v>710</v>
      </c>
      <c r="X2513" s="17">
        <v>45386</v>
      </c>
      <c r="Y2513" s="17">
        <v>45386</v>
      </c>
      <c r="Z2513" s="19" t="s">
        <v>772</v>
      </c>
      <c r="AA2513" s="210">
        <v>11040.12</v>
      </c>
      <c r="AB2513" s="9">
        <v>84</v>
      </c>
      <c r="AC2513" s="9">
        <v>59</v>
      </c>
      <c r="AD2513" s="17">
        <v>47181</v>
      </c>
      <c r="AE2513" s="56">
        <v>132</v>
      </c>
      <c r="AF2513" s="56"/>
      <c r="AP2513" s="11"/>
      <c r="AQ2513" s="11"/>
      <c r="AR2513" s="11"/>
      <c r="AW2513" s="9"/>
      <c r="BD2513" s="9"/>
      <c r="CS2513" s="11">
        <f t="shared" si="174"/>
        <v>0</v>
      </c>
      <c r="CT2513" s="22">
        <f t="shared" si="175"/>
        <v>0</v>
      </c>
      <c r="CU2513" s="22">
        <f t="shared" si="176"/>
        <v>0</v>
      </c>
      <c r="CV2513" s="26">
        <f t="shared" si="173"/>
        <v>132</v>
      </c>
    </row>
    <row r="2514" spans="1:100" x14ac:dyDescent="0.2">
      <c r="A2514" s="9" t="s">
        <v>565</v>
      </c>
      <c r="B2514" s="2">
        <v>132</v>
      </c>
      <c r="C2514" s="3" t="s">
        <v>95</v>
      </c>
      <c r="D2514" s="3" t="s">
        <v>96</v>
      </c>
      <c r="E2514" s="2"/>
      <c r="F2514" s="2"/>
      <c r="G2514" s="2" t="s">
        <v>83</v>
      </c>
      <c r="H2514" s="2">
        <v>2</v>
      </c>
      <c r="I2514" s="8">
        <v>120.16</v>
      </c>
      <c r="J2514" s="8">
        <v>36499</v>
      </c>
      <c r="K2514" s="3">
        <v>0</v>
      </c>
      <c r="L2514" s="3" t="s">
        <v>3</v>
      </c>
      <c r="M2514" s="9" t="s">
        <v>0</v>
      </c>
      <c r="N2514" s="9" t="s">
        <v>47</v>
      </c>
      <c r="O2514" s="9" t="s">
        <v>566</v>
      </c>
      <c r="S2514" s="9" t="s">
        <v>570</v>
      </c>
      <c r="W2514" s="10" t="s">
        <v>710</v>
      </c>
      <c r="X2514" s="17">
        <v>45386</v>
      </c>
      <c r="Y2514" s="17">
        <v>45386</v>
      </c>
      <c r="Z2514" s="19" t="s">
        <v>772</v>
      </c>
      <c r="AA2514" s="210">
        <v>11040.12</v>
      </c>
      <c r="AB2514" s="9">
        <v>84</v>
      </c>
      <c r="AC2514" s="9">
        <v>60</v>
      </c>
      <c r="AD2514" s="17">
        <v>47212</v>
      </c>
      <c r="AE2514" s="56">
        <v>132</v>
      </c>
      <c r="AF2514" s="56"/>
      <c r="AP2514" s="11"/>
      <c r="AQ2514" s="11"/>
      <c r="AR2514" s="11"/>
      <c r="AW2514" s="9"/>
      <c r="BD2514" s="9"/>
      <c r="CS2514" s="11">
        <f t="shared" si="174"/>
        <v>0</v>
      </c>
      <c r="CT2514" s="22">
        <f t="shared" si="175"/>
        <v>0</v>
      </c>
      <c r="CU2514" s="22">
        <f t="shared" si="176"/>
        <v>0</v>
      </c>
      <c r="CV2514" s="26">
        <f t="shared" si="173"/>
        <v>132</v>
      </c>
    </row>
    <row r="2515" spans="1:100" x14ac:dyDescent="0.2">
      <c r="A2515" s="9" t="s">
        <v>565</v>
      </c>
      <c r="B2515" s="2">
        <v>132</v>
      </c>
      <c r="C2515" s="3" t="s">
        <v>95</v>
      </c>
      <c r="D2515" s="3" t="s">
        <v>96</v>
      </c>
      <c r="E2515" s="2"/>
      <c r="F2515" s="2"/>
      <c r="G2515" s="2" t="s">
        <v>83</v>
      </c>
      <c r="H2515" s="2">
        <v>2</v>
      </c>
      <c r="I2515" s="8">
        <v>120.16</v>
      </c>
      <c r="J2515" s="8">
        <v>36499</v>
      </c>
      <c r="K2515" s="3">
        <v>0</v>
      </c>
      <c r="L2515" s="3" t="s">
        <v>3</v>
      </c>
      <c r="M2515" s="9" t="s">
        <v>0</v>
      </c>
      <c r="N2515" s="9" t="s">
        <v>47</v>
      </c>
      <c r="O2515" s="9" t="s">
        <v>566</v>
      </c>
      <c r="S2515" s="9" t="s">
        <v>570</v>
      </c>
      <c r="W2515" s="10" t="s">
        <v>710</v>
      </c>
      <c r="X2515" s="17">
        <v>45386</v>
      </c>
      <c r="Y2515" s="17">
        <v>45386</v>
      </c>
      <c r="Z2515" s="19" t="s">
        <v>772</v>
      </c>
      <c r="AA2515" s="210">
        <v>11040.12</v>
      </c>
      <c r="AB2515" s="9">
        <v>84</v>
      </c>
      <c r="AC2515" s="9">
        <v>61</v>
      </c>
      <c r="AD2515" s="17">
        <v>47242</v>
      </c>
      <c r="AE2515" s="56">
        <v>132</v>
      </c>
      <c r="AF2515" s="56"/>
      <c r="AP2515" s="11"/>
      <c r="AQ2515" s="11"/>
      <c r="AR2515" s="11"/>
      <c r="AW2515" s="9"/>
      <c r="BD2515" s="9"/>
      <c r="CS2515" s="11">
        <f t="shared" si="174"/>
        <v>0</v>
      </c>
      <c r="CT2515" s="22">
        <f t="shared" si="175"/>
        <v>0</v>
      </c>
      <c r="CU2515" s="22">
        <f t="shared" si="176"/>
        <v>0</v>
      </c>
      <c r="CV2515" s="26">
        <f t="shared" si="173"/>
        <v>132</v>
      </c>
    </row>
    <row r="2516" spans="1:100" x14ac:dyDescent="0.2">
      <c r="A2516" s="9" t="s">
        <v>565</v>
      </c>
      <c r="B2516" s="2">
        <v>132</v>
      </c>
      <c r="C2516" s="3" t="s">
        <v>95</v>
      </c>
      <c r="D2516" s="3" t="s">
        <v>96</v>
      </c>
      <c r="E2516" s="2"/>
      <c r="F2516" s="2"/>
      <c r="G2516" s="2" t="s">
        <v>83</v>
      </c>
      <c r="H2516" s="2">
        <v>2</v>
      </c>
      <c r="I2516" s="8">
        <v>120.16</v>
      </c>
      <c r="J2516" s="8">
        <v>36499</v>
      </c>
      <c r="K2516" s="3">
        <v>0</v>
      </c>
      <c r="L2516" s="3" t="s">
        <v>3</v>
      </c>
      <c r="M2516" s="9" t="s">
        <v>0</v>
      </c>
      <c r="N2516" s="9" t="s">
        <v>47</v>
      </c>
      <c r="O2516" s="9" t="s">
        <v>566</v>
      </c>
      <c r="S2516" s="9" t="s">
        <v>570</v>
      </c>
      <c r="W2516" s="10" t="s">
        <v>710</v>
      </c>
      <c r="X2516" s="17">
        <v>45386</v>
      </c>
      <c r="Y2516" s="17">
        <v>45386</v>
      </c>
      <c r="Z2516" s="19" t="s">
        <v>772</v>
      </c>
      <c r="AA2516" s="210">
        <v>11040.12</v>
      </c>
      <c r="AB2516" s="9">
        <v>84</v>
      </c>
      <c r="AC2516" s="9">
        <v>62</v>
      </c>
      <c r="AD2516" s="17">
        <v>47273</v>
      </c>
      <c r="AE2516" s="56">
        <v>132</v>
      </c>
      <c r="AF2516" s="56"/>
      <c r="AP2516" s="11"/>
      <c r="AQ2516" s="11"/>
      <c r="AR2516" s="11"/>
      <c r="AW2516" s="9"/>
      <c r="BD2516" s="9"/>
      <c r="CS2516" s="11">
        <f t="shared" si="174"/>
        <v>0</v>
      </c>
      <c r="CT2516" s="22">
        <f t="shared" si="175"/>
        <v>0</v>
      </c>
      <c r="CU2516" s="22">
        <f t="shared" si="176"/>
        <v>0</v>
      </c>
      <c r="CV2516" s="26">
        <f t="shared" si="173"/>
        <v>132</v>
      </c>
    </row>
    <row r="2517" spans="1:100" x14ac:dyDescent="0.2">
      <c r="A2517" s="9" t="s">
        <v>565</v>
      </c>
      <c r="B2517" s="2">
        <v>132</v>
      </c>
      <c r="C2517" s="3" t="s">
        <v>95</v>
      </c>
      <c r="D2517" s="3" t="s">
        <v>96</v>
      </c>
      <c r="E2517" s="2"/>
      <c r="F2517" s="2"/>
      <c r="G2517" s="2" t="s">
        <v>83</v>
      </c>
      <c r="H2517" s="2">
        <v>2</v>
      </c>
      <c r="I2517" s="8">
        <v>120.16</v>
      </c>
      <c r="J2517" s="8">
        <v>36499</v>
      </c>
      <c r="K2517" s="3">
        <v>0</v>
      </c>
      <c r="L2517" s="3" t="s">
        <v>3</v>
      </c>
      <c r="M2517" s="9" t="s">
        <v>0</v>
      </c>
      <c r="N2517" s="9" t="s">
        <v>47</v>
      </c>
      <c r="O2517" s="9" t="s">
        <v>566</v>
      </c>
      <c r="S2517" s="9" t="s">
        <v>570</v>
      </c>
      <c r="W2517" s="10" t="s">
        <v>710</v>
      </c>
      <c r="X2517" s="17">
        <v>45386</v>
      </c>
      <c r="Y2517" s="17">
        <v>45386</v>
      </c>
      <c r="Z2517" s="19" t="s">
        <v>772</v>
      </c>
      <c r="AA2517" s="210">
        <v>11040.12</v>
      </c>
      <c r="AB2517" s="9">
        <v>84</v>
      </c>
      <c r="AC2517" s="9">
        <v>63</v>
      </c>
      <c r="AD2517" s="17">
        <v>47303</v>
      </c>
      <c r="AE2517" s="56">
        <v>132</v>
      </c>
      <c r="AF2517" s="56"/>
      <c r="AP2517" s="11"/>
      <c r="AQ2517" s="11"/>
      <c r="AR2517" s="11"/>
      <c r="AW2517" s="9"/>
      <c r="BD2517" s="9"/>
      <c r="CS2517" s="11">
        <f t="shared" si="174"/>
        <v>0</v>
      </c>
      <c r="CT2517" s="22">
        <f t="shared" si="175"/>
        <v>0</v>
      </c>
      <c r="CU2517" s="22">
        <f t="shared" si="176"/>
        <v>0</v>
      </c>
      <c r="CV2517" s="26">
        <f t="shared" si="173"/>
        <v>132</v>
      </c>
    </row>
    <row r="2518" spans="1:100" x14ac:dyDescent="0.2">
      <c r="A2518" s="9" t="s">
        <v>565</v>
      </c>
      <c r="B2518" s="2">
        <v>132</v>
      </c>
      <c r="C2518" s="3" t="s">
        <v>95</v>
      </c>
      <c r="D2518" s="3" t="s">
        <v>96</v>
      </c>
      <c r="E2518" s="2"/>
      <c r="F2518" s="2"/>
      <c r="G2518" s="2" t="s">
        <v>83</v>
      </c>
      <c r="H2518" s="2">
        <v>2</v>
      </c>
      <c r="I2518" s="8">
        <v>120.16</v>
      </c>
      <c r="J2518" s="8">
        <v>36499</v>
      </c>
      <c r="K2518" s="3">
        <v>0</v>
      </c>
      <c r="L2518" s="3" t="s">
        <v>3</v>
      </c>
      <c r="M2518" s="9" t="s">
        <v>0</v>
      </c>
      <c r="N2518" s="9" t="s">
        <v>47</v>
      </c>
      <c r="O2518" s="9" t="s">
        <v>566</v>
      </c>
      <c r="S2518" s="9" t="s">
        <v>570</v>
      </c>
      <c r="W2518" s="10" t="s">
        <v>710</v>
      </c>
      <c r="X2518" s="17">
        <v>45386</v>
      </c>
      <c r="Y2518" s="17">
        <v>45386</v>
      </c>
      <c r="Z2518" s="19" t="s">
        <v>772</v>
      </c>
      <c r="AA2518" s="210">
        <v>11040.12</v>
      </c>
      <c r="AB2518" s="9">
        <v>84</v>
      </c>
      <c r="AC2518" s="9">
        <v>64</v>
      </c>
      <c r="AD2518" s="17">
        <v>47334</v>
      </c>
      <c r="AE2518" s="56">
        <v>132</v>
      </c>
      <c r="AF2518" s="56"/>
      <c r="AP2518" s="11"/>
      <c r="AQ2518" s="11"/>
      <c r="AR2518" s="11"/>
      <c r="AW2518" s="9"/>
      <c r="BD2518" s="9"/>
      <c r="CS2518" s="11">
        <f t="shared" si="174"/>
        <v>0</v>
      </c>
      <c r="CT2518" s="22">
        <f t="shared" si="175"/>
        <v>0</v>
      </c>
      <c r="CU2518" s="22">
        <f t="shared" si="176"/>
        <v>0</v>
      </c>
      <c r="CV2518" s="26">
        <f t="shared" si="173"/>
        <v>132</v>
      </c>
    </row>
    <row r="2519" spans="1:100" x14ac:dyDescent="0.2">
      <c r="A2519" s="9" t="s">
        <v>565</v>
      </c>
      <c r="B2519" s="2">
        <v>132</v>
      </c>
      <c r="C2519" s="3" t="s">
        <v>95</v>
      </c>
      <c r="D2519" s="3" t="s">
        <v>96</v>
      </c>
      <c r="E2519" s="2"/>
      <c r="F2519" s="2"/>
      <c r="G2519" s="2" t="s">
        <v>83</v>
      </c>
      <c r="H2519" s="2">
        <v>2</v>
      </c>
      <c r="I2519" s="8">
        <v>120.16</v>
      </c>
      <c r="J2519" s="8">
        <v>36499</v>
      </c>
      <c r="K2519" s="3">
        <v>0</v>
      </c>
      <c r="L2519" s="3" t="s">
        <v>3</v>
      </c>
      <c r="M2519" s="9" t="s">
        <v>0</v>
      </c>
      <c r="N2519" s="9" t="s">
        <v>47</v>
      </c>
      <c r="O2519" s="9" t="s">
        <v>566</v>
      </c>
      <c r="S2519" s="9" t="s">
        <v>570</v>
      </c>
      <c r="W2519" s="10" t="s">
        <v>710</v>
      </c>
      <c r="X2519" s="17">
        <v>45386</v>
      </c>
      <c r="Y2519" s="17">
        <v>45386</v>
      </c>
      <c r="Z2519" s="19" t="s">
        <v>772</v>
      </c>
      <c r="AA2519" s="210">
        <v>11040.12</v>
      </c>
      <c r="AB2519" s="9">
        <v>84</v>
      </c>
      <c r="AC2519" s="9">
        <v>65</v>
      </c>
      <c r="AD2519" s="17">
        <v>47365</v>
      </c>
      <c r="AE2519" s="56">
        <v>132</v>
      </c>
      <c r="AF2519" s="56"/>
      <c r="AP2519" s="11"/>
      <c r="AQ2519" s="11"/>
      <c r="AR2519" s="11"/>
      <c r="AW2519" s="9"/>
      <c r="BD2519" s="9"/>
      <c r="CS2519" s="11">
        <f t="shared" si="174"/>
        <v>0</v>
      </c>
      <c r="CT2519" s="22">
        <f t="shared" si="175"/>
        <v>0</v>
      </c>
      <c r="CU2519" s="22">
        <f t="shared" si="176"/>
        <v>0</v>
      </c>
      <c r="CV2519" s="26">
        <f t="shared" si="173"/>
        <v>132</v>
      </c>
    </row>
    <row r="2520" spans="1:100" x14ac:dyDescent="0.2">
      <c r="A2520" s="9" t="s">
        <v>565</v>
      </c>
      <c r="B2520" s="2">
        <v>132</v>
      </c>
      <c r="C2520" s="3" t="s">
        <v>95</v>
      </c>
      <c r="D2520" s="3" t="s">
        <v>96</v>
      </c>
      <c r="E2520" s="2"/>
      <c r="F2520" s="2"/>
      <c r="G2520" s="2" t="s">
        <v>83</v>
      </c>
      <c r="H2520" s="2">
        <v>2</v>
      </c>
      <c r="I2520" s="8">
        <v>120.16</v>
      </c>
      <c r="J2520" s="8">
        <v>36499</v>
      </c>
      <c r="K2520" s="3">
        <v>0</v>
      </c>
      <c r="L2520" s="3" t="s">
        <v>3</v>
      </c>
      <c r="M2520" s="9" t="s">
        <v>0</v>
      </c>
      <c r="N2520" s="9" t="s">
        <v>47</v>
      </c>
      <c r="O2520" s="9" t="s">
        <v>566</v>
      </c>
      <c r="S2520" s="9" t="s">
        <v>570</v>
      </c>
      <c r="W2520" s="10" t="s">
        <v>710</v>
      </c>
      <c r="X2520" s="17">
        <v>45386</v>
      </c>
      <c r="Y2520" s="17">
        <v>45386</v>
      </c>
      <c r="Z2520" s="19" t="s">
        <v>772</v>
      </c>
      <c r="AA2520" s="210">
        <v>11040.12</v>
      </c>
      <c r="AB2520" s="9">
        <v>84</v>
      </c>
      <c r="AC2520" s="9">
        <v>66</v>
      </c>
      <c r="AD2520" s="17">
        <v>47395</v>
      </c>
      <c r="AE2520" s="56">
        <v>132</v>
      </c>
      <c r="AF2520" s="56"/>
      <c r="AP2520" s="11"/>
      <c r="AQ2520" s="11"/>
      <c r="AR2520" s="11"/>
      <c r="AW2520" s="9"/>
      <c r="BD2520" s="9"/>
      <c r="CS2520" s="11">
        <f t="shared" si="174"/>
        <v>0</v>
      </c>
      <c r="CT2520" s="22">
        <f t="shared" si="175"/>
        <v>0</v>
      </c>
      <c r="CU2520" s="22">
        <f t="shared" si="176"/>
        <v>0</v>
      </c>
      <c r="CV2520" s="26">
        <f t="shared" si="173"/>
        <v>132</v>
      </c>
    </row>
    <row r="2521" spans="1:100" x14ac:dyDescent="0.2">
      <c r="A2521" s="9" t="s">
        <v>565</v>
      </c>
      <c r="B2521" s="2">
        <v>132</v>
      </c>
      <c r="C2521" s="3" t="s">
        <v>95</v>
      </c>
      <c r="D2521" s="3" t="s">
        <v>96</v>
      </c>
      <c r="E2521" s="2"/>
      <c r="F2521" s="2"/>
      <c r="G2521" s="2" t="s">
        <v>83</v>
      </c>
      <c r="H2521" s="2">
        <v>2</v>
      </c>
      <c r="I2521" s="8">
        <v>120.16</v>
      </c>
      <c r="J2521" s="8">
        <v>36499</v>
      </c>
      <c r="K2521" s="3">
        <v>0</v>
      </c>
      <c r="L2521" s="3" t="s">
        <v>3</v>
      </c>
      <c r="M2521" s="9" t="s">
        <v>0</v>
      </c>
      <c r="N2521" s="9" t="s">
        <v>47</v>
      </c>
      <c r="O2521" s="9" t="s">
        <v>566</v>
      </c>
      <c r="S2521" s="9" t="s">
        <v>570</v>
      </c>
      <c r="W2521" s="10" t="s">
        <v>710</v>
      </c>
      <c r="X2521" s="17">
        <v>45386</v>
      </c>
      <c r="Y2521" s="17">
        <v>45386</v>
      </c>
      <c r="Z2521" s="19" t="s">
        <v>772</v>
      </c>
      <c r="AA2521" s="210">
        <v>11040.12</v>
      </c>
      <c r="AB2521" s="9">
        <v>84</v>
      </c>
      <c r="AC2521" s="9">
        <v>67</v>
      </c>
      <c r="AD2521" s="17">
        <v>47426</v>
      </c>
      <c r="AE2521" s="56">
        <v>132</v>
      </c>
      <c r="AF2521" s="56"/>
      <c r="AP2521" s="11"/>
      <c r="AQ2521" s="11"/>
      <c r="AR2521" s="11"/>
      <c r="AW2521" s="9"/>
      <c r="BD2521" s="9"/>
      <c r="CS2521" s="11">
        <f t="shared" si="174"/>
        <v>0</v>
      </c>
      <c r="CT2521" s="22">
        <f t="shared" si="175"/>
        <v>0</v>
      </c>
      <c r="CU2521" s="22">
        <f t="shared" si="176"/>
        <v>0</v>
      </c>
      <c r="CV2521" s="26">
        <f t="shared" si="173"/>
        <v>132</v>
      </c>
    </row>
    <row r="2522" spans="1:100" x14ac:dyDescent="0.2">
      <c r="A2522" s="9" t="s">
        <v>565</v>
      </c>
      <c r="B2522" s="2">
        <v>132</v>
      </c>
      <c r="C2522" s="3" t="s">
        <v>95</v>
      </c>
      <c r="D2522" s="3" t="s">
        <v>96</v>
      </c>
      <c r="E2522" s="2"/>
      <c r="F2522" s="2"/>
      <c r="G2522" s="2" t="s">
        <v>83</v>
      </c>
      <c r="H2522" s="2">
        <v>2</v>
      </c>
      <c r="I2522" s="8">
        <v>120.16</v>
      </c>
      <c r="J2522" s="8">
        <v>36499</v>
      </c>
      <c r="K2522" s="3">
        <v>0</v>
      </c>
      <c r="L2522" s="3" t="s">
        <v>3</v>
      </c>
      <c r="M2522" s="9" t="s">
        <v>0</v>
      </c>
      <c r="N2522" s="9" t="s">
        <v>47</v>
      </c>
      <c r="O2522" s="9" t="s">
        <v>566</v>
      </c>
      <c r="S2522" s="9" t="s">
        <v>570</v>
      </c>
      <c r="W2522" s="10" t="s">
        <v>710</v>
      </c>
      <c r="X2522" s="17">
        <v>45386</v>
      </c>
      <c r="Y2522" s="17">
        <v>45386</v>
      </c>
      <c r="Z2522" s="19" t="s">
        <v>772</v>
      </c>
      <c r="AA2522" s="210">
        <v>11040.12</v>
      </c>
      <c r="AB2522" s="9">
        <v>84</v>
      </c>
      <c r="AC2522" s="9">
        <v>68</v>
      </c>
      <c r="AD2522" s="17">
        <v>47456</v>
      </c>
      <c r="AE2522" s="56">
        <v>132</v>
      </c>
      <c r="AF2522" s="56"/>
      <c r="AP2522" s="11"/>
      <c r="AQ2522" s="11"/>
      <c r="AR2522" s="11"/>
      <c r="AW2522" s="9"/>
      <c r="BD2522" s="9"/>
      <c r="CS2522" s="11">
        <f t="shared" si="174"/>
        <v>0</v>
      </c>
      <c r="CT2522" s="22">
        <f t="shared" si="175"/>
        <v>0</v>
      </c>
      <c r="CU2522" s="22">
        <f t="shared" si="176"/>
        <v>0</v>
      </c>
      <c r="CV2522" s="26">
        <f t="shared" si="173"/>
        <v>132</v>
      </c>
    </row>
    <row r="2523" spans="1:100" x14ac:dyDescent="0.2">
      <c r="A2523" s="9" t="s">
        <v>565</v>
      </c>
      <c r="B2523" s="2">
        <v>132</v>
      </c>
      <c r="C2523" s="3" t="s">
        <v>95</v>
      </c>
      <c r="D2523" s="3" t="s">
        <v>96</v>
      </c>
      <c r="E2523" s="2"/>
      <c r="F2523" s="2"/>
      <c r="G2523" s="2" t="s">
        <v>83</v>
      </c>
      <c r="H2523" s="2">
        <v>2</v>
      </c>
      <c r="I2523" s="8">
        <v>120.16</v>
      </c>
      <c r="J2523" s="8">
        <v>36499</v>
      </c>
      <c r="K2523" s="3">
        <v>0</v>
      </c>
      <c r="L2523" s="3" t="s">
        <v>3</v>
      </c>
      <c r="M2523" s="9" t="s">
        <v>0</v>
      </c>
      <c r="N2523" s="9" t="s">
        <v>47</v>
      </c>
      <c r="O2523" s="9" t="s">
        <v>566</v>
      </c>
      <c r="S2523" s="9" t="s">
        <v>570</v>
      </c>
      <c r="W2523" s="10" t="s">
        <v>710</v>
      </c>
      <c r="X2523" s="17">
        <v>45386</v>
      </c>
      <c r="Y2523" s="17">
        <v>45386</v>
      </c>
      <c r="Z2523" s="19" t="s">
        <v>772</v>
      </c>
      <c r="AA2523" s="210">
        <v>11040.12</v>
      </c>
      <c r="AB2523" s="9">
        <v>84</v>
      </c>
      <c r="AC2523" s="9">
        <v>69</v>
      </c>
      <c r="AD2523" s="17">
        <v>47487</v>
      </c>
      <c r="AE2523" s="56">
        <v>132</v>
      </c>
      <c r="AF2523" s="56"/>
      <c r="AP2523" s="11"/>
      <c r="AQ2523" s="11"/>
      <c r="AR2523" s="11"/>
      <c r="AW2523" s="9"/>
      <c r="BD2523" s="9"/>
      <c r="CS2523" s="11">
        <f t="shared" si="174"/>
        <v>0</v>
      </c>
      <c r="CT2523" s="22">
        <f t="shared" si="175"/>
        <v>0</v>
      </c>
      <c r="CU2523" s="22">
        <f t="shared" si="176"/>
        <v>0</v>
      </c>
      <c r="CV2523" s="26">
        <f t="shared" si="173"/>
        <v>132</v>
      </c>
    </row>
    <row r="2524" spans="1:100" x14ac:dyDescent="0.2">
      <c r="A2524" s="9" t="s">
        <v>565</v>
      </c>
      <c r="B2524" s="2">
        <v>132</v>
      </c>
      <c r="C2524" s="3" t="s">
        <v>95</v>
      </c>
      <c r="D2524" s="3" t="s">
        <v>96</v>
      </c>
      <c r="E2524" s="2"/>
      <c r="F2524" s="2"/>
      <c r="G2524" s="2" t="s">
        <v>83</v>
      </c>
      <c r="H2524" s="2">
        <v>2</v>
      </c>
      <c r="I2524" s="8">
        <v>120.16</v>
      </c>
      <c r="J2524" s="8">
        <v>36499</v>
      </c>
      <c r="K2524" s="3">
        <v>0</v>
      </c>
      <c r="L2524" s="3" t="s">
        <v>3</v>
      </c>
      <c r="M2524" s="9" t="s">
        <v>0</v>
      </c>
      <c r="N2524" s="9" t="s">
        <v>47</v>
      </c>
      <c r="O2524" s="9" t="s">
        <v>566</v>
      </c>
      <c r="S2524" s="9" t="s">
        <v>570</v>
      </c>
      <c r="W2524" s="10" t="s">
        <v>710</v>
      </c>
      <c r="X2524" s="17">
        <v>45386</v>
      </c>
      <c r="Y2524" s="17">
        <v>45386</v>
      </c>
      <c r="Z2524" s="19" t="s">
        <v>772</v>
      </c>
      <c r="AA2524" s="210">
        <v>11040.12</v>
      </c>
      <c r="AB2524" s="9">
        <v>84</v>
      </c>
      <c r="AC2524" s="9">
        <v>70</v>
      </c>
      <c r="AD2524" s="17">
        <v>47518</v>
      </c>
      <c r="AE2524" s="56">
        <v>132</v>
      </c>
      <c r="AF2524" s="56"/>
      <c r="AP2524" s="11"/>
      <c r="AQ2524" s="11"/>
      <c r="AR2524" s="11"/>
      <c r="AW2524" s="9"/>
      <c r="BD2524" s="9"/>
      <c r="CS2524" s="11">
        <f t="shared" si="174"/>
        <v>0</v>
      </c>
      <c r="CT2524" s="22">
        <f t="shared" si="175"/>
        <v>0</v>
      </c>
      <c r="CU2524" s="22">
        <f t="shared" si="176"/>
        <v>0</v>
      </c>
      <c r="CV2524" s="26">
        <f t="shared" si="173"/>
        <v>132</v>
      </c>
    </row>
    <row r="2525" spans="1:100" x14ac:dyDescent="0.2">
      <c r="A2525" s="9" t="s">
        <v>565</v>
      </c>
      <c r="B2525" s="2">
        <v>132</v>
      </c>
      <c r="C2525" s="3" t="s">
        <v>95</v>
      </c>
      <c r="D2525" s="3" t="s">
        <v>96</v>
      </c>
      <c r="E2525" s="2"/>
      <c r="F2525" s="2"/>
      <c r="G2525" s="2" t="s">
        <v>83</v>
      </c>
      <c r="H2525" s="2">
        <v>2</v>
      </c>
      <c r="I2525" s="8">
        <v>120.16</v>
      </c>
      <c r="J2525" s="8">
        <v>36499</v>
      </c>
      <c r="K2525" s="3">
        <v>0</v>
      </c>
      <c r="L2525" s="3" t="s">
        <v>3</v>
      </c>
      <c r="M2525" s="9" t="s">
        <v>0</v>
      </c>
      <c r="N2525" s="9" t="s">
        <v>47</v>
      </c>
      <c r="O2525" s="9" t="s">
        <v>566</v>
      </c>
      <c r="S2525" s="9" t="s">
        <v>570</v>
      </c>
      <c r="W2525" s="10" t="s">
        <v>710</v>
      </c>
      <c r="X2525" s="17">
        <v>45386</v>
      </c>
      <c r="Y2525" s="17">
        <v>45386</v>
      </c>
      <c r="Z2525" s="19" t="s">
        <v>772</v>
      </c>
      <c r="AA2525" s="210">
        <v>11040.12</v>
      </c>
      <c r="AB2525" s="9">
        <v>84</v>
      </c>
      <c r="AC2525" s="9">
        <v>71</v>
      </c>
      <c r="AD2525" s="17">
        <v>47546</v>
      </c>
      <c r="AE2525" s="56">
        <v>132</v>
      </c>
      <c r="AF2525" s="56"/>
      <c r="AP2525" s="11"/>
      <c r="AQ2525" s="11"/>
      <c r="AR2525" s="11"/>
      <c r="AW2525" s="9"/>
      <c r="BD2525" s="9"/>
      <c r="CS2525" s="11">
        <f t="shared" si="174"/>
        <v>0</v>
      </c>
      <c r="CT2525" s="22">
        <f t="shared" si="175"/>
        <v>0</v>
      </c>
      <c r="CU2525" s="22">
        <f t="shared" si="176"/>
        <v>0</v>
      </c>
      <c r="CV2525" s="26">
        <f t="shared" si="173"/>
        <v>132</v>
      </c>
    </row>
    <row r="2526" spans="1:100" x14ac:dyDescent="0.2">
      <c r="A2526" s="9" t="s">
        <v>565</v>
      </c>
      <c r="B2526" s="2">
        <v>132</v>
      </c>
      <c r="C2526" s="3" t="s">
        <v>95</v>
      </c>
      <c r="D2526" s="3" t="s">
        <v>96</v>
      </c>
      <c r="E2526" s="2"/>
      <c r="F2526" s="2"/>
      <c r="G2526" s="2" t="s">
        <v>83</v>
      </c>
      <c r="H2526" s="2">
        <v>2</v>
      </c>
      <c r="I2526" s="8">
        <v>120.16</v>
      </c>
      <c r="J2526" s="8">
        <v>36499</v>
      </c>
      <c r="K2526" s="3">
        <v>0</v>
      </c>
      <c r="L2526" s="3" t="s">
        <v>3</v>
      </c>
      <c r="M2526" s="9" t="s">
        <v>0</v>
      </c>
      <c r="N2526" s="9" t="s">
        <v>47</v>
      </c>
      <c r="O2526" s="9" t="s">
        <v>566</v>
      </c>
      <c r="S2526" s="9" t="s">
        <v>570</v>
      </c>
      <c r="W2526" s="10" t="s">
        <v>710</v>
      </c>
      <c r="X2526" s="17">
        <v>45386</v>
      </c>
      <c r="Y2526" s="17">
        <v>45386</v>
      </c>
      <c r="Z2526" s="19" t="s">
        <v>772</v>
      </c>
      <c r="AA2526" s="210">
        <v>11040.12</v>
      </c>
      <c r="AB2526" s="9">
        <v>84</v>
      </c>
      <c r="AC2526" s="9">
        <v>72</v>
      </c>
      <c r="AD2526" s="17">
        <v>47577</v>
      </c>
      <c r="AE2526" s="56">
        <v>132</v>
      </c>
      <c r="AF2526" s="56"/>
      <c r="AP2526" s="11"/>
      <c r="AQ2526" s="11"/>
      <c r="AR2526" s="11"/>
      <c r="AW2526" s="9"/>
      <c r="BD2526" s="9"/>
      <c r="CS2526" s="11">
        <f t="shared" si="174"/>
        <v>0</v>
      </c>
      <c r="CT2526" s="22">
        <f t="shared" si="175"/>
        <v>0</v>
      </c>
      <c r="CU2526" s="22">
        <f t="shared" si="176"/>
        <v>0</v>
      </c>
      <c r="CV2526" s="26">
        <f t="shared" si="173"/>
        <v>132</v>
      </c>
    </row>
    <row r="2527" spans="1:100" x14ac:dyDescent="0.2">
      <c r="A2527" s="9" t="s">
        <v>565</v>
      </c>
      <c r="B2527" s="2">
        <v>132</v>
      </c>
      <c r="C2527" s="3" t="s">
        <v>95</v>
      </c>
      <c r="D2527" s="3" t="s">
        <v>96</v>
      </c>
      <c r="E2527" s="2"/>
      <c r="F2527" s="2"/>
      <c r="G2527" s="2" t="s">
        <v>83</v>
      </c>
      <c r="H2527" s="2">
        <v>2</v>
      </c>
      <c r="I2527" s="8">
        <v>120.16</v>
      </c>
      <c r="J2527" s="8">
        <v>36499</v>
      </c>
      <c r="K2527" s="3">
        <v>0</v>
      </c>
      <c r="L2527" s="3" t="s">
        <v>3</v>
      </c>
      <c r="M2527" s="9" t="s">
        <v>0</v>
      </c>
      <c r="N2527" s="9" t="s">
        <v>47</v>
      </c>
      <c r="O2527" s="9" t="s">
        <v>566</v>
      </c>
      <c r="S2527" s="9" t="s">
        <v>570</v>
      </c>
      <c r="W2527" s="10" t="s">
        <v>710</v>
      </c>
      <c r="X2527" s="17">
        <v>45386</v>
      </c>
      <c r="Y2527" s="17">
        <v>45386</v>
      </c>
      <c r="Z2527" s="19" t="s">
        <v>772</v>
      </c>
      <c r="AA2527" s="210">
        <v>11040.12</v>
      </c>
      <c r="AB2527" s="9">
        <v>84</v>
      </c>
      <c r="AC2527" s="9">
        <v>73</v>
      </c>
      <c r="AD2527" s="17">
        <v>47607</v>
      </c>
      <c r="AE2527" s="56">
        <v>132</v>
      </c>
      <c r="AF2527" s="56"/>
      <c r="AP2527" s="11"/>
      <c r="AQ2527" s="11"/>
      <c r="AR2527" s="11"/>
      <c r="AW2527" s="9"/>
      <c r="BD2527" s="9"/>
      <c r="CS2527" s="11">
        <f t="shared" si="174"/>
        <v>0</v>
      </c>
      <c r="CT2527" s="22">
        <f t="shared" si="175"/>
        <v>0</v>
      </c>
      <c r="CU2527" s="22">
        <f t="shared" si="176"/>
        <v>0</v>
      </c>
      <c r="CV2527" s="26">
        <f t="shared" si="173"/>
        <v>132</v>
      </c>
    </row>
    <row r="2528" spans="1:100" x14ac:dyDescent="0.2">
      <c r="A2528" s="9" t="s">
        <v>565</v>
      </c>
      <c r="B2528" s="2">
        <v>132</v>
      </c>
      <c r="C2528" s="3" t="s">
        <v>95</v>
      </c>
      <c r="D2528" s="3" t="s">
        <v>96</v>
      </c>
      <c r="E2528" s="2"/>
      <c r="F2528" s="2"/>
      <c r="G2528" s="2" t="s">
        <v>83</v>
      </c>
      <c r="H2528" s="2">
        <v>2</v>
      </c>
      <c r="I2528" s="8">
        <v>120.16</v>
      </c>
      <c r="J2528" s="8">
        <v>36499</v>
      </c>
      <c r="K2528" s="3">
        <v>0</v>
      </c>
      <c r="L2528" s="3" t="s">
        <v>3</v>
      </c>
      <c r="M2528" s="9" t="s">
        <v>0</v>
      </c>
      <c r="N2528" s="9" t="s">
        <v>47</v>
      </c>
      <c r="O2528" s="9" t="s">
        <v>566</v>
      </c>
      <c r="S2528" s="9" t="s">
        <v>570</v>
      </c>
      <c r="W2528" s="10" t="s">
        <v>710</v>
      </c>
      <c r="X2528" s="17">
        <v>45386</v>
      </c>
      <c r="Y2528" s="17">
        <v>45386</v>
      </c>
      <c r="Z2528" s="19" t="s">
        <v>772</v>
      </c>
      <c r="AA2528" s="210">
        <v>11040.12</v>
      </c>
      <c r="AB2528" s="9">
        <v>84</v>
      </c>
      <c r="AC2528" s="9">
        <v>74</v>
      </c>
      <c r="AD2528" s="17">
        <v>47638</v>
      </c>
      <c r="AE2528" s="56">
        <v>132</v>
      </c>
      <c r="AF2528" s="56"/>
      <c r="AP2528" s="11"/>
      <c r="AQ2528" s="11"/>
      <c r="AR2528" s="11"/>
      <c r="AW2528" s="9"/>
      <c r="BD2528" s="9"/>
      <c r="CS2528" s="11">
        <f t="shared" si="174"/>
        <v>0</v>
      </c>
      <c r="CT2528" s="22">
        <f t="shared" si="175"/>
        <v>0</v>
      </c>
      <c r="CU2528" s="22">
        <f t="shared" si="176"/>
        <v>0</v>
      </c>
      <c r="CV2528" s="26">
        <f t="shared" si="173"/>
        <v>132</v>
      </c>
    </row>
    <row r="2529" spans="1:103" x14ac:dyDescent="0.2">
      <c r="A2529" s="9" t="s">
        <v>565</v>
      </c>
      <c r="B2529" s="2">
        <v>132</v>
      </c>
      <c r="C2529" s="3" t="s">
        <v>95</v>
      </c>
      <c r="D2529" s="3" t="s">
        <v>96</v>
      </c>
      <c r="E2529" s="2"/>
      <c r="F2529" s="2"/>
      <c r="G2529" s="2" t="s">
        <v>83</v>
      </c>
      <c r="H2529" s="2">
        <v>2</v>
      </c>
      <c r="I2529" s="8">
        <v>120.16</v>
      </c>
      <c r="J2529" s="8">
        <v>36499</v>
      </c>
      <c r="K2529" s="3">
        <v>0</v>
      </c>
      <c r="L2529" s="3" t="s">
        <v>3</v>
      </c>
      <c r="M2529" s="9" t="s">
        <v>0</v>
      </c>
      <c r="N2529" s="9" t="s">
        <v>47</v>
      </c>
      <c r="O2529" s="9" t="s">
        <v>566</v>
      </c>
      <c r="S2529" s="9" t="s">
        <v>570</v>
      </c>
      <c r="W2529" s="10" t="s">
        <v>710</v>
      </c>
      <c r="X2529" s="17">
        <v>45386</v>
      </c>
      <c r="Y2529" s="17">
        <v>45386</v>
      </c>
      <c r="Z2529" s="19" t="s">
        <v>772</v>
      </c>
      <c r="AA2529" s="210">
        <v>11040.12</v>
      </c>
      <c r="AB2529" s="9">
        <v>84</v>
      </c>
      <c r="AC2529" s="9">
        <v>75</v>
      </c>
      <c r="AD2529" s="17">
        <v>47668</v>
      </c>
      <c r="AE2529" s="56">
        <v>132</v>
      </c>
      <c r="AF2529" s="56"/>
      <c r="AP2529" s="11"/>
      <c r="AQ2529" s="11"/>
      <c r="AR2529" s="11"/>
      <c r="AW2529" s="9"/>
      <c r="BD2529" s="9"/>
      <c r="CS2529" s="11">
        <f t="shared" si="174"/>
        <v>0</v>
      </c>
      <c r="CT2529" s="22">
        <f t="shared" si="175"/>
        <v>0</v>
      </c>
      <c r="CU2529" s="22">
        <f t="shared" si="176"/>
        <v>0</v>
      </c>
      <c r="CV2529" s="26">
        <f t="shared" si="173"/>
        <v>132</v>
      </c>
    </row>
    <row r="2530" spans="1:103" x14ac:dyDescent="0.2">
      <c r="A2530" s="9" t="s">
        <v>565</v>
      </c>
      <c r="B2530" s="2">
        <v>132</v>
      </c>
      <c r="C2530" s="3" t="s">
        <v>95</v>
      </c>
      <c r="D2530" s="3" t="s">
        <v>96</v>
      </c>
      <c r="E2530" s="2"/>
      <c r="F2530" s="2"/>
      <c r="G2530" s="2" t="s">
        <v>83</v>
      </c>
      <c r="H2530" s="2">
        <v>2</v>
      </c>
      <c r="I2530" s="8">
        <v>120.16</v>
      </c>
      <c r="J2530" s="8">
        <v>36499</v>
      </c>
      <c r="K2530" s="3">
        <v>0</v>
      </c>
      <c r="L2530" s="3" t="s">
        <v>3</v>
      </c>
      <c r="M2530" s="9" t="s">
        <v>0</v>
      </c>
      <c r="N2530" s="9" t="s">
        <v>47</v>
      </c>
      <c r="O2530" s="9" t="s">
        <v>566</v>
      </c>
      <c r="S2530" s="9" t="s">
        <v>570</v>
      </c>
      <c r="W2530" s="10" t="s">
        <v>710</v>
      </c>
      <c r="X2530" s="17">
        <v>45386</v>
      </c>
      <c r="Y2530" s="17">
        <v>45386</v>
      </c>
      <c r="Z2530" s="19" t="s">
        <v>772</v>
      </c>
      <c r="AA2530" s="210">
        <v>11040.12</v>
      </c>
      <c r="AB2530" s="9">
        <v>84</v>
      </c>
      <c r="AC2530" s="9">
        <v>76</v>
      </c>
      <c r="AD2530" s="17">
        <v>47699</v>
      </c>
      <c r="AE2530" s="56">
        <v>132</v>
      </c>
      <c r="AF2530" s="56"/>
      <c r="AP2530" s="11"/>
      <c r="AQ2530" s="11"/>
      <c r="AR2530" s="11"/>
      <c r="AW2530" s="9"/>
      <c r="BD2530" s="9"/>
      <c r="CS2530" s="11">
        <f t="shared" si="174"/>
        <v>0</v>
      </c>
      <c r="CT2530" s="22">
        <f t="shared" si="175"/>
        <v>0</v>
      </c>
      <c r="CU2530" s="22">
        <f t="shared" si="176"/>
        <v>0</v>
      </c>
      <c r="CV2530" s="26">
        <f t="shared" si="173"/>
        <v>132</v>
      </c>
    </row>
    <row r="2531" spans="1:103" x14ac:dyDescent="0.2">
      <c r="A2531" s="9" t="s">
        <v>565</v>
      </c>
      <c r="B2531" s="2">
        <v>132</v>
      </c>
      <c r="C2531" s="3" t="s">
        <v>95</v>
      </c>
      <c r="D2531" s="3" t="s">
        <v>96</v>
      </c>
      <c r="E2531" s="2"/>
      <c r="F2531" s="2"/>
      <c r="G2531" s="2" t="s">
        <v>83</v>
      </c>
      <c r="H2531" s="2">
        <v>2</v>
      </c>
      <c r="I2531" s="8">
        <v>120.16</v>
      </c>
      <c r="J2531" s="8">
        <v>36499</v>
      </c>
      <c r="K2531" s="3">
        <v>0</v>
      </c>
      <c r="L2531" s="3" t="s">
        <v>3</v>
      </c>
      <c r="M2531" s="9" t="s">
        <v>0</v>
      </c>
      <c r="N2531" s="9" t="s">
        <v>47</v>
      </c>
      <c r="O2531" s="9" t="s">
        <v>566</v>
      </c>
      <c r="S2531" s="9" t="s">
        <v>570</v>
      </c>
      <c r="W2531" s="10" t="s">
        <v>710</v>
      </c>
      <c r="X2531" s="17">
        <v>45386</v>
      </c>
      <c r="Y2531" s="17">
        <v>45386</v>
      </c>
      <c r="Z2531" s="19" t="s">
        <v>772</v>
      </c>
      <c r="AA2531" s="210">
        <v>11040.12</v>
      </c>
      <c r="AB2531" s="9">
        <v>84</v>
      </c>
      <c r="AC2531" s="9">
        <v>77</v>
      </c>
      <c r="AD2531" s="17">
        <v>47730</v>
      </c>
      <c r="AE2531" s="56">
        <v>132</v>
      </c>
      <c r="AF2531" s="56"/>
      <c r="AP2531" s="11"/>
      <c r="AQ2531" s="11"/>
      <c r="AR2531" s="11"/>
      <c r="AW2531" s="9"/>
      <c r="BD2531" s="9"/>
      <c r="CS2531" s="11">
        <f t="shared" si="174"/>
        <v>0</v>
      </c>
      <c r="CT2531" s="22">
        <f t="shared" si="175"/>
        <v>0</v>
      </c>
      <c r="CU2531" s="22">
        <f t="shared" si="176"/>
        <v>0</v>
      </c>
      <c r="CV2531" s="26">
        <f t="shared" si="173"/>
        <v>132</v>
      </c>
    </row>
    <row r="2532" spans="1:103" x14ac:dyDescent="0.2">
      <c r="A2532" s="9" t="s">
        <v>565</v>
      </c>
      <c r="B2532" s="2">
        <v>132</v>
      </c>
      <c r="C2532" s="3" t="s">
        <v>95</v>
      </c>
      <c r="D2532" s="3" t="s">
        <v>96</v>
      </c>
      <c r="E2532" s="2"/>
      <c r="F2532" s="2"/>
      <c r="G2532" s="2" t="s">
        <v>83</v>
      </c>
      <c r="H2532" s="2">
        <v>2</v>
      </c>
      <c r="I2532" s="8">
        <v>120.16</v>
      </c>
      <c r="J2532" s="8">
        <v>36499</v>
      </c>
      <c r="K2532" s="3">
        <v>0</v>
      </c>
      <c r="L2532" s="3" t="s">
        <v>3</v>
      </c>
      <c r="M2532" s="9" t="s">
        <v>0</v>
      </c>
      <c r="N2532" s="9" t="s">
        <v>47</v>
      </c>
      <c r="O2532" s="9" t="s">
        <v>566</v>
      </c>
      <c r="S2532" s="9" t="s">
        <v>570</v>
      </c>
      <c r="W2532" s="10" t="s">
        <v>710</v>
      </c>
      <c r="X2532" s="17">
        <v>45386</v>
      </c>
      <c r="Y2532" s="17">
        <v>45386</v>
      </c>
      <c r="Z2532" s="19" t="s">
        <v>772</v>
      </c>
      <c r="AA2532" s="210">
        <v>11040.12</v>
      </c>
      <c r="AB2532" s="9">
        <v>84</v>
      </c>
      <c r="AC2532" s="9">
        <v>78</v>
      </c>
      <c r="AD2532" s="17">
        <v>47760</v>
      </c>
      <c r="AE2532" s="56">
        <v>132</v>
      </c>
      <c r="AF2532" s="56"/>
      <c r="AP2532" s="11"/>
      <c r="AQ2532" s="11"/>
      <c r="AR2532" s="11"/>
      <c r="AW2532" s="9"/>
      <c r="BD2532" s="9"/>
      <c r="CS2532" s="11">
        <f t="shared" si="174"/>
        <v>0</v>
      </c>
      <c r="CT2532" s="22">
        <f t="shared" si="175"/>
        <v>0</v>
      </c>
      <c r="CU2532" s="22">
        <f t="shared" si="176"/>
        <v>0</v>
      </c>
      <c r="CV2532" s="26">
        <f t="shared" si="173"/>
        <v>132</v>
      </c>
    </row>
    <row r="2533" spans="1:103" x14ac:dyDescent="0.2">
      <c r="A2533" s="9" t="s">
        <v>565</v>
      </c>
      <c r="B2533" s="2">
        <v>132</v>
      </c>
      <c r="C2533" s="3" t="s">
        <v>95</v>
      </c>
      <c r="D2533" s="3" t="s">
        <v>96</v>
      </c>
      <c r="E2533" s="2"/>
      <c r="F2533" s="2"/>
      <c r="G2533" s="2" t="s">
        <v>83</v>
      </c>
      <c r="H2533" s="2">
        <v>2</v>
      </c>
      <c r="I2533" s="8">
        <v>120.16</v>
      </c>
      <c r="J2533" s="8">
        <v>36499</v>
      </c>
      <c r="K2533" s="3">
        <v>0</v>
      </c>
      <c r="L2533" s="3" t="s">
        <v>3</v>
      </c>
      <c r="M2533" s="9" t="s">
        <v>0</v>
      </c>
      <c r="N2533" s="9" t="s">
        <v>47</v>
      </c>
      <c r="O2533" s="9" t="s">
        <v>566</v>
      </c>
      <c r="S2533" s="9" t="s">
        <v>570</v>
      </c>
      <c r="W2533" s="10" t="s">
        <v>710</v>
      </c>
      <c r="X2533" s="17">
        <v>45386</v>
      </c>
      <c r="Y2533" s="17">
        <v>45386</v>
      </c>
      <c r="Z2533" s="19" t="s">
        <v>772</v>
      </c>
      <c r="AA2533" s="210">
        <v>11040.12</v>
      </c>
      <c r="AB2533" s="9">
        <v>84</v>
      </c>
      <c r="AC2533" s="9">
        <v>79</v>
      </c>
      <c r="AD2533" s="17">
        <v>47791</v>
      </c>
      <c r="AE2533" s="56">
        <v>132</v>
      </c>
      <c r="AF2533" s="56"/>
      <c r="AP2533" s="11"/>
      <c r="AQ2533" s="11"/>
      <c r="AR2533" s="11"/>
      <c r="AW2533" s="9"/>
      <c r="BD2533" s="9"/>
      <c r="CS2533" s="11">
        <f t="shared" si="174"/>
        <v>0</v>
      </c>
      <c r="CT2533" s="22">
        <f t="shared" si="175"/>
        <v>0</v>
      </c>
      <c r="CU2533" s="22">
        <f t="shared" si="176"/>
        <v>0</v>
      </c>
      <c r="CV2533" s="26">
        <f t="shared" si="173"/>
        <v>132</v>
      </c>
    </row>
    <row r="2534" spans="1:103" x14ac:dyDescent="0.2">
      <c r="A2534" s="9" t="s">
        <v>565</v>
      </c>
      <c r="B2534" s="2">
        <v>132</v>
      </c>
      <c r="C2534" s="3" t="s">
        <v>95</v>
      </c>
      <c r="D2534" s="3" t="s">
        <v>96</v>
      </c>
      <c r="E2534" s="2"/>
      <c r="F2534" s="2"/>
      <c r="G2534" s="2" t="s">
        <v>83</v>
      </c>
      <c r="H2534" s="2">
        <v>2</v>
      </c>
      <c r="I2534" s="8">
        <v>120.16</v>
      </c>
      <c r="J2534" s="8">
        <v>36499</v>
      </c>
      <c r="K2534" s="3">
        <v>0</v>
      </c>
      <c r="L2534" s="3" t="s">
        <v>3</v>
      </c>
      <c r="M2534" s="9" t="s">
        <v>0</v>
      </c>
      <c r="N2534" s="9" t="s">
        <v>47</v>
      </c>
      <c r="O2534" s="9" t="s">
        <v>566</v>
      </c>
      <c r="S2534" s="9" t="s">
        <v>570</v>
      </c>
      <c r="W2534" s="10" t="s">
        <v>710</v>
      </c>
      <c r="X2534" s="17">
        <v>45386</v>
      </c>
      <c r="Y2534" s="17">
        <v>45386</v>
      </c>
      <c r="Z2534" s="19" t="s">
        <v>772</v>
      </c>
      <c r="AA2534" s="210">
        <v>11040.12</v>
      </c>
      <c r="AB2534" s="9">
        <v>84</v>
      </c>
      <c r="AC2534" s="9">
        <v>80</v>
      </c>
      <c r="AD2534" s="17">
        <v>47821</v>
      </c>
      <c r="AE2534" s="56">
        <v>132</v>
      </c>
      <c r="AF2534" s="56"/>
      <c r="AP2534" s="11"/>
      <c r="AQ2534" s="11"/>
      <c r="AR2534" s="11"/>
      <c r="AW2534" s="9"/>
      <c r="BD2534" s="9"/>
      <c r="CS2534" s="11">
        <f t="shared" si="174"/>
        <v>0</v>
      </c>
      <c r="CT2534" s="22">
        <f t="shared" si="175"/>
        <v>0</v>
      </c>
      <c r="CU2534" s="22">
        <f t="shared" si="176"/>
        <v>0</v>
      </c>
      <c r="CV2534" s="26">
        <f t="shared" si="173"/>
        <v>132</v>
      </c>
    </row>
    <row r="2535" spans="1:103" x14ac:dyDescent="0.2">
      <c r="A2535" s="9" t="s">
        <v>565</v>
      </c>
      <c r="B2535" s="2">
        <v>132</v>
      </c>
      <c r="C2535" s="3" t="s">
        <v>95</v>
      </c>
      <c r="D2535" s="3" t="s">
        <v>96</v>
      </c>
      <c r="E2535" s="2"/>
      <c r="F2535" s="2"/>
      <c r="G2535" s="2" t="s">
        <v>83</v>
      </c>
      <c r="H2535" s="2">
        <v>2</v>
      </c>
      <c r="I2535" s="8">
        <v>120.16</v>
      </c>
      <c r="J2535" s="8">
        <v>36499</v>
      </c>
      <c r="K2535" s="3">
        <v>0</v>
      </c>
      <c r="L2535" s="3" t="s">
        <v>3</v>
      </c>
      <c r="M2535" s="9" t="s">
        <v>0</v>
      </c>
      <c r="N2535" s="9" t="s">
        <v>47</v>
      </c>
      <c r="O2535" s="9" t="s">
        <v>566</v>
      </c>
      <c r="S2535" s="9" t="s">
        <v>570</v>
      </c>
      <c r="W2535" s="10" t="s">
        <v>710</v>
      </c>
      <c r="X2535" s="17">
        <v>45386</v>
      </c>
      <c r="Y2535" s="17">
        <v>45386</v>
      </c>
      <c r="Z2535" s="19" t="s">
        <v>772</v>
      </c>
      <c r="AA2535" s="210">
        <v>11040.12</v>
      </c>
      <c r="AB2535" s="9">
        <v>84</v>
      </c>
      <c r="AC2535" s="9">
        <v>81</v>
      </c>
      <c r="AD2535" s="17">
        <v>47852</v>
      </c>
      <c r="AE2535" s="56">
        <v>132</v>
      </c>
      <c r="AF2535" s="56"/>
      <c r="AP2535" s="11"/>
      <c r="AQ2535" s="11"/>
      <c r="AR2535" s="11"/>
      <c r="AW2535" s="9"/>
      <c r="BD2535" s="9"/>
      <c r="CS2535" s="11">
        <f t="shared" si="174"/>
        <v>0</v>
      </c>
      <c r="CT2535" s="22">
        <f t="shared" si="175"/>
        <v>0</v>
      </c>
      <c r="CU2535" s="22">
        <f t="shared" si="176"/>
        <v>0</v>
      </c>
      <c r="CV2535" s="26">
        <f t="shared" si="173"/>
        <v>132</v>
      </c>
    </row>
    <row r="2536" spans="1:103" x14ac:dyDescent="0.2">
      <c r="A2536" s="9" t="s">
        <v>565</v>
      </c>
      <c r="B2536" s="2">
        <v>132</v>
      </c>
      <c r="C2536" s="3" t="s">
        <v>95</v>
      </c>
      <c r="D2536" s="3" t="s">
        <v>96</v>
      </c>
      <c r="E2536" s="2"/>
      <c r="F2536" s="2"/>
      <c r="G2536" s="2" t="s">
        <v>83</v>
      </c>
      <c r="H2536" s="2">
        <v>2</v>
      </c>
      <c r="I2536" s="8">
        <v>120.16</v>
      </c>
      <c r="J2536" s="8">
        <v>36499</v>
      </c>
      <c r="K2536" s="3">
        <v>0</v>
      </c>
      <c r="L2536" s="3" t="s">
        <v>3</v>
      </c>
      <c r="M2536" s="9" t="s">
        <v>0</v>
      </c>
      <c r="N2536" s="9" t="s">
        <v>47</v>
      </c>
      <c r="O2536" s="9" t="s">
        <v>566</v>
      </c>
      <c r="S2536" s="9" t="s">
        <v>570</v>
      </c>
      <c r="W2536" s="10" t="s">
        <v>710</v>
      </c>
      <c r="X2536" s="17">
        <v>45386</v>
      </c>
      <c r="Y2536" s="17">
        <v>45386</v>
      </c>
      <c r="Z2536" s="19" t="s">
        <v>772</v>
      </c>
      <c r="AA2536" s="210">
        <v>11040.12</v>
      </c>
      <c r="AB2536" s="9">
        <v>84</v>
      </c>
      <c r="AC2536" s="9">
        <v>82</v>
      </c>
      <c r="AD2536" s="17">
        <v>47883</v>
      </c>
      <c r="AE2536" s="56">
        <v>132</v>
      </c>
      <c r="AF2536" s="56"/>
      <c r="AP2536" s="11"/>
      <c r="AQ2536" s="11"/>
      <c r="AR2536" s="11"/>
      <c r="AW2536" s="9"/>
      <c r="BD2536" s="9"/>
      <c r="CS2536" s="11">
        <f t="shared" si="174"/>
        <v>0</v>
      </c>
      <c r="CT2536" s="22">
        <f t="shared" si="175"/>
        <v>0</v>
      </c>
      <c r="CU2536" s="22">
        <f t="shared" si="176"/>
        <v>0</v>
      </c>
      <c r="CV2536" s="26">
        <f t="shared" si="173"/>
        <v>132</v>
      </c>
    </row>
    <row r="2537" spans="1:103" x14ac:dyDescent="0.2">
      <c r="A2537" s="9" t="s">
        <v>565</v>
      </c>
      <c r="B2537" s="2">
        <v>132</v>
      </c>
      <c r="C2537" s="3" t="s">
        <v>95</v>
      </c>
      <c r="D2537" s="3" t="s">
        <v>96</v>
      </c>
      <c r="E2537" s="2"/>
      <c r="F2537" s="2"/>
      <c r="G2537" s="2" t="s">
        <v>83</v>
      </c>
      <c r="H2537" s="2">
        <v>2</v>
      </c>
      <c r="I2537" s="8">
        <v>120.16</v>
      </c>
      <c r="J2537" s="8">
        <v>36499</v>
      </c>
      <c r="K2537" s="3">
        <v>0</v>
      </c>
      <c r="L2537" s="3" t="s">
        <v>3</v>
      </c>
      <c r="M2537" s="9" t="s">
        <v>0</v>
      </c>
      <c r="N2537" s="9" t="s">
        <v>47</v>
      </c>
      <c r="O2537" s="9" t="s">
        <v>566</v>
      </c>
      <c r="S2537" s="9" t="s">
        <v>570</v>
      </c>
      <c r="W2537" s="10" t="s">
        <v>710</v>
      </c>
      <c r="X2537" s="17">
        <v>45386</v>
      </c>
      <c r="Y2537" s="17">
        <v>45386</v>
      </c>
      <c r="Z2537" s="19" t="s">
        <v>772</v>
      </c>
      <c r="AA2537" s="210">
        <v>11040.12</v>
      </c>
      <c r="AB2537" s="9">
        <v>84</v>
      </c>
      <c r="AC2537" s="9">
        <v>83</v>
      </c>
      <c r="AD2537" s="17">
        <v>47911</v>
      </c>
      <c r="AE2537" s="56">
        <v>132</v>
      </c>
      <c r="AF2537" s="56"/>
      <c r="AP2537" s="11"/>
      <c r="AQ2537" s="11"/>
      <c r="AR2537" s="11"/>
      <c r="AW2537" s="9"/>
      <c r="BD2537" s="9"/>
      <c r="CS2537" s="11">
        <f t="shared" si="174"/>
        <v>0</v>
      </c>
      <c r="CT2537" s="22">
        <f t="shared" si="175"/>
        <v>0</v>
      </c>
      <c r="CU2537" s="22">
        <f t="shared" si="176"/>
        <v>0</v>
      </c>
      <c r="CV2537" s="26">
        <f t="shared" si="173"/>
        <v>132</v>
      </c>
    </row>
    <row r="2538" spans="1:103" x14ac:dyDescent="0.2">
      <c r="A2538" s="9" t="s">
        <v>565</v>
      </c>
      <c r="B2538" s="2">
        <v>132</v>
      </c>
      <c r="C2538" s="3" t="s">
        <v>95</v>
      </c>
      <c r="D2538" s="3" t="s">
        <v>96</v>
      </c>
      <c r="E2538" s="2"/>
      <c r="F2538" s="2"/>
      <c r="G2538" s="2" t="s">
        <v>83</v>
      </c>
      <c r="H2538" s="2">
        <v>2</v>
      </c>
      <c r="I2538" s="8">
        <v>120.16</v>
      </c>
      <c r="J2538" s="8">
        <v>36499</v>
      </c>
      <c r="K2538" s="3">
        <v>0</v>
      </c>
      <c r="L2538" s="3" t="s">
        <v>3</v>
      </c>
      <c r="M2538" s="9" t="s">
        <v>0</v>
      </c>
      <c r="N2538" s="9" t="s">
        <v>47</v>
      </c>
      <c r="O2538" s="9" t="s">
        <v>566</v>
      </c>
      <c r="S2538" s="9" t="s">
        <v>570</v>
      </c>
      <c r="W2538" s="10" t="s">
        <v>710</v>
      </c>
      <c r="X2538" s="17">
        <v>45386</v>
      </c>
      <c r="Y2538" s="17">
        <v>45386</v>
      </c>
      <c r="Z2538" s="19" t="s">
        <v>772</v>
      </c>
      <c r="AA2538" s="210">
        <v>11040.12</v>
      </c>
      <c r="AB2538" s="9">
        <v>84</v>
      </c>
      <c r="AC2538" s="9">
        <v>84</v>
      </c>
      <c r="AD2538" s="17">
        <v>47942</v>
      </c>
      <c r="AE2538" s="56">
        <v>85</v>
      </c>
      <c r="AF2538" s="56"/>
      <c r="AP2538" s="11"/>
      <c r="AQ2538" s="11"/>
      <c r="AR2538" s="11"/>
      <c r="AW2538" s="9"/>
      <c r="BD2538" s="9"/>
      <c r="CS2538" s="11">
        <f t="shared" si="174"/>
        <v>0</v>
      </c>
      <c r="CT2538" s="22">
        <f t="shared" si="175"/>
        <v>0</v>
      </c>
      <c r="CU2538" s="22">
        <f t="shared" si="176"/>
        <v>0</v>
      </c>
      <c r="CV2538" s="26">
        <f t="shared" si="173"/>
        <v>85</v>
      </c>
    </row>
    <row r="2539" spans="1:103" x14ac:dyDescent="0.2">
      <c r="A2539" s="9" t="s">
        <v>572</v>
      </c>
      <c r="B2539" s="2">
        <v>77</v>
      </c>
      <c r="C2539" s="3" t="s">
        <v>95</v>
      </c>
      <c r="D2539" s="3" t="s">
        <v>96</v>
      </c>
      <c r="E2539" s="2"/>
      <c r="F2539" s="2"/>
      <c r="G2539" s="2" t="s">
        <v>74</v>
      </c>
      <c r="H2539" s="2">
        <v>2</v>
      </c>
      <c r="I2539" s="8">
        <v>90</v>
      </c>
      <c r="J2539" s="8">
        <v>25499</v>
      </c>
      <c r="K2539" s="3">
        <v>0</v>
      </c>
      <c r="L2539" s="3" t="s">
        <v>3</v>
      </c>
      <c r="M2539" s="9" t="s">
        <v>0</v>
      </c>
      <c r="N2539" s="9" t="s">
        <v>48</v>
      </c>
      <c r="O2539" s="9" t="s">
        <v>571</v>
      </c>
      <c r="S2539" s="9" t="s">
        <v>158</v>
      </c>
      <c r="T2539" s="10" t="s">
        <v>74</v>
      </c>
      <c r="U2539" s="10">
        <v>2</v>
      </c>
      <c r="V2539" s="10">
        <v>90</v>
      </c>
      <c r="W2539" s="10" t="s">
        <v>1189</v>
      </c>
      <c r="X2539" s="17">
        <v>45452</v>
      </c>
      <c r="Y2539" s="17">
        <v>45458</v>
      </c>
      <c r="Z2539" s="19" t="s">
        <v>772</v>
      </c>
      <c r="AA2539" s="210">
        <v>25500</v>
      </c>
      <c r="AB2539" s="9">
        <v>24</v>
      </c>
      <c r="AC2539" s="9">
        <v>0</v>
      </c>
      <c r="AD2539" s="17">
        <v>45452</v>
      </c>
      <c r="AE2539" s="56">
        <v>100</v>
      </c>
      <c r="AF2539" s="56"/>
      <c r="AG2539" s="9" t="s">
        <v>134</v>
      </c>
      <c r="AH2539" s="17">
        <v>45452</v>
      </c>
      <c r="AI2539" s="17"/>
      <c r="AJ2539" s="17"/>
      <c r="AK2539" s="9" t="s">
        <v>574</v>
      </c>
      <c r="AL2539" s="11">
        <v>100</v>
      </c>
      <c r="AN2539" s="11" t="s">
        <v>1162</v>
      </c>
      <c r="AP2539" s="11"/>
      <c r="AQ2539" s="11"/>
      <c r="AR2539" s="11"/>
      <c r="AW2539" s="42">
        <v>45452</v>
      </c>
      <c r="AX2539" s="36">
        <v>2760</v>
      </c>
      <c r="AY2539" s="36"/>
      <c r="AZ2539" s="36"/>
      <c r="BA2539" s="40">
        <v>100</v>
      </c>
      <c r="BD2539" s="9"/>
      <c r="CS2539" s="11">
        <f t="shared" si="174"/>
        <v>100</v>
      </c>
      <c r="CT2539" s="22">
        <f t="shared" si="175"/>
        <v>100</v>
      </c>
      <c r="CU2539" s="22">
        <f t="shared" si="176"/>
        <v>0</v>
      </c>
      <c r="CV2539" s="26">
        <f t="shared" si="173"/>
        <v>0</v>
      </c>
    </row>
    <row r="2540" spans="1:103" x14ac:dyDescent="0.2">
      <c r="A2540" s="9" t="s">
        <v>572</v>
      </c>
      <c r="B2540" s="2">
        <v>77</v>
      </c>
      <c r="C2540" s="3" t="s">
        <v>95</v>
      </c>
      <c r="D2540" s="3" t="s">
        <v>96</v>
      </c>
      <c r="E2540" s="2"/>
      <c r="F2540" s="2"/>
      <c r="G2540" s="2" t="s">
        <v>74</v>
      </c>
      <c r="H2540" s="2">
        <v>2</v>
      </c>
      <c r="I2540" s="8">
        <v>90</v>
      </c>
      <c r="J2540" s="8">
        <v>25499</v>
      </c>
      <c r="K2540" s="3">
        <v>0</v>
      </c>
      <c r="L2540" s="3" t="s">
        <v>3</v>
      </c>
      <c r="M2540" s="9" t="s">
        <v>0</v>
      </c>
      <c r="N2540" s="9" t="s">
        <v>48</v>
      </c>
      <c r="O2540" s="9" t="s">
        <v>571</v>
      </c>
      <c r="S2540" s="9" t="s">
        <v>158</v>
      </c>
      <c r="T2540" s="10" t="s">
        <v>74</v>
      </c>
      <c r="U2540" s="10">
        <v>2</v>
      </c>
      <c r="V2540" s="10">
        <v>90</v>
      </c>
      <c r="W2540" s="10" t="s">
        <v>1189</v>
      </c>
      <c r="X2540" s="17">
        <v>45452</v>
      </c>
      <c r="Y2540" s="17">
        <v>45458</v>
      </c>
      <c r="Z2540" s="19" t="s">
        <v>772</v>
      </c>
      <c r="AA2540" s="210">
        <v>25500</v>
      </c>
      <c r="AB2540" s="9">
        <v>24</v>
      </c>
      <c r="AC2540" s="9">
        <v>0</v>
      </c>
      <c r="AD2540" s="17">
        <v>45463</v>
      </c>
      <c r="AE2540" s="56">
        <v>5900</v>
      </c>
      <c r="AF2540" s="56"/>
      <c r="AG2540" s="9" t="s">
        <v>134</v>
      </c>
      <c r="AH2540" s="17">
        <v>45463</v>
      </c>
      <c r="AI2540" s="17"/>
      <c r="AJ2540" s="17"/>
      <c r="AK2540" s="9" t="s">
        <v>575</v>
      </c>
      <c r="AL2540" s="11">
        <v>5900</v>
      </c>
      <c r="AN2540" s="11" t="s">
        <v>1163</v>
      </c>
      <c r="AP2540" s="11"/>
      <c r="AQ2540" s="11"/>
      <c r="AR2540" s="11"/>
      <c r="AW2540" s="42">
        <v>45458</v>
      </c>
      <c r="AX2540" s="36">
        <v>2787</v>
      </c>
      <c r="AY2540" s="36"/>
      <c r="AZ2540" s="36"/>
      <c r="BA2540" s="40">
        <v>5900</v>
      </c>
      <c r="BD2540" s="9"/>
      <c r="CS2540" s="11">
        <f t="shared" si="174"/>
        <v>5900</v>
      </c>
      <c r="CT2540" s="22">
        <f t="shared" si="175"/>
        <v>5900</v>
      </c>
      <c r="CU2540" s="22">
        <f t="shared" si="176"/>
        <v>0</v>
      </c>
      <c r="CV2540" s="26">
        <f t="shared" si="173"/>
        <v>0</v>
      </c>
    </row>
    <row r="2541" spans="1:103" x14ac:dyDescent="0.2">
      <c r="A2541" s="9" t="s">
        <v>572</v>
      </c>
      <c r="B2541" s="2">
        <v>77</v>
      </c>
      <c r="C2541" s="3" t="s">
        <v>95</v>
      </c>
      <c r="D2541" s="3" t="s">
        <v>96</v>
      </c>
      <c r="E2541" s="2"/>
      <c r="F2541" s="2"/>
      <c r="G2541" s="2" t="s">
        <v>74</v>
      </c>
      <c r="H2541" s="2">
        <v>2</v>
      </c>
      <c r="I2541" s="8">
        <v>90</v>
      </c>
      <c r="J2541" s="8">
        <v>25499</v>
      </c>
      <c r="K2541" s="3">
        <v>0</v>
      </c>
      <c r="L2541" s="3" t="s">
        <v>3</v>
      </c>
      <c r="M2541" s="9" t="s">
        <v>0</v>
      </c>
      <c r="N2541" s="9" t="s">
        <v>48</v>
      </c>
      <c r="O2541" s="9" t="s">
        <v>571</v>
      </c>
      <c r="S2541" s="9" t="s">
        <v>158</v>
      </c>
      <c r="T2541" s="10" t="s">
        <v>74</v>
      </c>
      <c r="U2541" s="10">
        <v>2</v>
      </c>
      <c r="V2541" s="10">
        <v>90</v>
      </c>
      <c r="W2541" s="10" t="s">
        <v>1189</v>
      </c>
      <c r="X2541" s="17">
        <v>45452</v>
      </c>
      <c r="Y2541" s="17">
        <v>45458</v>
      </c>
      <c r="Z2541" s="19" t="s">
        <v>772</v>
      </c>
      <c r="AA2541" s="210">
        <v>25500</v>
      </c>
      <c r="AB2541" s="9">
        <v>24</v>
      </c>
      <c r="AC2541" s="9">
        <v>1</v>
      </c>
      <c r="AD2541" s="17">
        <v>45505</v>
      </c>
      <c r="AE2541" s="56">
        <v>812.5</v>
      </c>
      <c r="AF2541" s="56"/>
      <c r="AG2541" s="9" t="s">
        <v>134</v>
      </c>
      <c r="AH2541" s="17">
        <v>45505</v>
      </c>
      <c r="AI2541" s="17"/>
      <c r="AJ2541" s="17"/>
      <c r="AK2541" s="9" t="s">
        <v>1156</v>
      </c>
      <c r="AL2541" s="22">
        <v>812.5</v>
      </c>
      <c r="AM2541" s="22"/>
      <c r="AN2541" s="22" t="s">
        <v>1164</v>
      </c>
      <c r="AO2541" s="22"/>
      <c r="AP2541" s="22"/>
      <c r="AQ2541" s="22"/>
      <c r="AR2541" s="22"/>
      <c r="AS2541" s="22"/>
      <c r="AT2541" s="22"/>
      <c r="AU2541" s="22"/>
      <c r="AV2541" s="22"/>
      <c r="AW2541" s="17">
        <v>45506</v>
      </c>
      <c r="AX2541" s="9">
        <v>2978</v>
      </c>
      <c r="BA2541" s="22">
        <v>812.5</v>
      </c>
      <c r="BB2541" s="11" t="s">
        <v>3509</v>
      </c>
      <c r="BD2541" s="9"/>
      <c r="CS2541" s="11">
        <f t="shared" si="174"/>
        <v>812.5</v>
      </c>
      <c r="CT2541" s="22">
        <f t="shared" si="175"/>
        <v>812.5</v>
      </c>
      <c r="CU2541" s="22">
        <f t="shared" si="176"/>
        <v>0</v>
      </c>
      <c r="CV2541" s="26">
        <f t="shared" si="173"/>
        <v>0</v>
      </c>
      <c r="CY2541" s="9" t="s">
        <v>3493</v>
      </c>
    </row>
    <row r="2542" spans="1:103" x14ac:dyDescent="0.2">
      <c r="A2542" s="9" t="s">
        <v>572</v>
      </c>
      <c r="B2542" s="2">
        <v>77</v>
      </c>
      <c r="C2542" s="3" t="s">
        <v>95</v>
      </c>
      <c r="D2542" s="3" t="s">
        <v>96</v>
      </c>
      <c r="E2542" s="2"/>
      <c r="F2542" s="2"/>
      <c r="G2542" s="2" t="s">
        <v>74</v>
      </c>
      <c r="H2542" s="2">
        <v>2</v>
      </c>
      <c r="I2542" s="8">
        <v>90</v>
      </c>
      <c r="J2542" s="8">
        <v>25499</v>
      </c>
      <c r="K2542" s="3">
        <v>0</v>
      </c>
      <c r="L2542" s="3" t="s">
        <v>3</v>
      </c>
      <c r="M2542" s="9" t="s">
        <v>0</v>
      </c>
      <c r="N2542" s="9" t="s">
        <v>48</v>
      </c>
      <c r="O2542" s="9" t="s">
        <v>571</v>
      </c>
      <c r="S2542" s="9" t="s">
        <v>158</v>
      </c>
      <c r="T2542" s="10" t="s">
        <v>74</v>
      </c>
      <c r="U2542" s="10">
        <v>2</v>
      </c>
      <c r="V2542" s="10">
        <v>90</v>
      </c>
      <c r="W2542" s="10" t="s">
        <v>1189</v>
      </c>
      <c r="X2542" s="17">
        <v>45452</v>
      </c>
      <c r="Y2542" s="17">
        <v>45458</v>
      </c>
      <c r="Z2542" s="19" t="s">
        <v>772</v>
      </c>
      <c r="AA2542" s="210">
        <v>25500</v>
      </c>
      <c r="AB2542" s="9">
        <v>24</v>
      </c>
      <c r="AC2542" s="9">
        <v>2</v>
      </c>
      <c r="AD2542" s="17">
        <v>45536</v>
      </c>
      <c r="AE2542" s="56">
        <v>812.5</v>
      </c>
      <c r="AF2542" s="56"/>
      <c r="AG2542" s="9" t="s">
        <v>134</v>
      </c>
      <c r="AH2542" s="17">
        <v>45527</v>
      </c>
      <c r="AI2542" s="17"/>
      <c r="AJ2542" s="17"/>
      <c r="AK2542" s="9" t="s">
        <v>1157</v>
      </c>
      <c r="AL2542" s="22">
        <v>812.5</v>
      </c>
      <c r="AM2542" s="22"/>
      <c r="AN2542" s="22" t="s">
        <v>1165</v>
      </c>
      <c r="AO2542" s="22"/>
      <c r="AP2542" s="22"/>
      <c r="AQ2542" s="22"/>
      <c r="AR2542" s="22"/>
      <c r="AS2542" s="22"/>
      <c r="AT2542" s="22"/>
      <c r="AU2542" s="22"/>
      <c r="AV2542" s="22"/>
      <c r="AW2542" s="17">
        <v>45530</v>
      </c>
      <c r="AX2542" s="9">
        <v>3082</v>
      </c>
      <c r="BA2542" s="22">
        <v>812.5</v>
      </c>
      <c r="BB2542" s="11" t="s">
        <v>3509</v>
      </c>
      <c r="BD2542" s="9"/>
      <c r="CS2542" s="11">
        <f t="shared" si="174"/>
        <v>812.5</v>
      </c>
      <c r="CT2542" s="22">
        <f t="shared" si="175"/>
        <v>812.5</v>
      </c>
      <c r="CU2542" s="22">
        <f t="shared" si="176"/>
        <v>0</v>
      </c>
      <c r="CV2542" s="26">
        <f t="shared" si="173"/>
        <v>0</v>
      </c>
      <c r="CY2542" s="9" t="s">
        <v>3493</v>
      </c>
    </row>
    <row r="2543" spans="1:103" x14ac:dyDescent="0.2">
      <c r="A2543" s="9" t="s">
        <v>572</v>
      </c>
      <c r="B2543" s="2">
        <v>77</v>
      </c>
      <c r="C2543" s="3" t="s">
        <v>95</v>
      </c>
      <c r="D2543" s="3" t="s">
        <v>96</v>
      </c>
      <c r="E2543" s="2"/>
      <c r="F2543" s="2"/>
      <c r="G2543" s="2" t="s">
        <v>74</v>
      </c>
      <c r="H2543" s="2">
        <v>2</v>
      </c>
      <c r="I2543" s="8">
        <v>90</v>
      </c>
      <c r="J2543" s="8">
        <v>25499</v>
      </c>
      <c r="K2543" s="3">
        <v>0</v>
      </c>
      <c r="L2543" s="3" t="s">
        <v>3</v>
      </c>
      <c r="M2543" s="9" t="s">
        <v>0</v>
      </c>
      <c r="N2543" s="9" t="s">
        <v>48</v>
      </c>
      <c r="O2543" s="9" t="s">
        <v>571</v>
      </c>
      <c r="S2543" s="9" t="s">
        <v>158</v>
      </c>
      <c r="T2543" s="10" t="s">
        <v>74</v>
      </c>
      <c r="U2543" s="10">
        <v>2</v>
      </c>
      <c r="V2543" s="10">
        <v>90</v>
      </c>
      <c r="W2543" s="10" t="s">
        <v>1189</v>
      </c>
      <c r="X2543" s="17">
        <v>45452</v>
      </c>
      <c r="Y2543" s="17">
        <v>45458</v>
      </c>
      <c r="Z2543" s="19" t="s">
        <v>772</v>
      </c>
      <c r="AA2543" s="210">
        <v>25500</v>
      </c>
      <c r="AB2543" s="9">
        <v>24</v>
      </c>
      <c r="AC2543" s="9">
        <v>3</v>
      </c>
      <c r="AD2543" s="17">
        <v>45566</v>
      </c>
      <c r="AE2543" s="56">
        <v>812.5</v>
      </c>
      <c r="AF2543" s="56"/>
      <c r="AG2543" s="9" t="s">
        <v>134</v>
      </c>
      <c r="AH2543" s="17">
        <v>45565</v>
      </c>
      <c r="AI2543" s="17"/>
      <c r="AJ2543" s="17"/>
      <c r="AK2543" s="9" t="s">
        <v>1158</v>
      </c>
      <c r="AL2543" s="22">
        <v>812.5</v>
      </c>
      <c r="AM2543" s="22"/>
      <c r="AN2543" s="22" t="s">
        <v>1166</v>
      </c>
      <c r="AO2543" s="22"/>
      <c r="AP2543" s="22"/>
      <c r="AQ2543" s="22"/>
      <c r="AR2543" s="22"/>
      <c r="AS2543" s="22"/>
      <c r="AT2543" s="22"/>
      <c r="AU2543" s="22"/>
      <c r="AV2543" s="22"/>
      <c r="AW2543" s="17">
        <v>45566</v>
      </c>
      <c r="AX2543" s="9">
        <v>3216</v>
      </c>
      <c r="BA2543" s="22">
        <v>812.5</v>
      </c>
      <c r="BB2543" s="11" t="s">
        <v>3509</v>
      </c>
      <c r="BD2543" s="9"/>
      <c r="CS2543" s="11">
        <f t="shared" si="174"/>
        <v>812.5</v>
      </c>
      <c r="CT2543" s="22">
        <f t="shared" si="175"/>
        <v>812.5</v>
      </c>
      <c r="CU2543" s="22">
        <f t="shared" si="176"/>
        <v>0</v>
      </c>
      <c r="CV2543" s="26">
        <f t="shared" si="173"/>
        <v>0</v>
      </c>
      <c r="CY2543" s="9" t="s">
        <v>3493</v>
      </c>
    </row>
    <row r="2544" spans="1:103" x14ac:dyDescent="0.2">
      <c r="A2544" s="9" t="s">
        <v>572</v>
      </c>
      <c r="B2544" s="2">
        <v>77</v>
      </c>
      <c r="C2544" s="3" t="s">
        <v>95</v>
      </c>
      <c r="D2544" s="3" t="s">
        <v>96</v>
      </c>
      <c r="E2544" s="2"/>
      <c r="F2544" s="2"/>
      <c r="G2544" s="2" t="s">
        <v>74</v>
      </c>
      <c r="H2544" s="2">
        <v>2</v>
      </c>
      <c r="I2544" s="8">
        <v>90</v>
      </c>
      <c r="J2544" s="8">
        <v>25499</v>
      </c>
      <c r="K2544" s="3">
        <v>0</v>
      </c>
      <c r="L2544" s="3" t="s">
        <v>3</v>
      </c>
      <c r="M2544" s="9" t="s">
        <v>0</v>
      </c>
      <c r="N2544" s="9" t="s">
        <v>48</v>
      </c>
      <c r="O2544" s="9" t="s">
        <v>571</v>
      </c>
      <c r="S2544" s="9" t="s">
        <v>158</v>
      </c>
      <c r="T2544" s="10" t="s">
        <v>74</v>
      </c>
      <c r="U2544" s="10">
        <v>2</v>
      </c>
      <c r="V2544" s="10">
        <v>90</v>
      </c>
      <c r="W2544" s="10" t="s">
        <v>1189</v>
      </c>
      <c r="X2544" s="17">
        <v>45452</v>
      </c>
      <c r="Y2544" s="17">
        <v>45458</v>
      </c>
      <c r="Z2544" s="19" t="s">
        <v>772</v>
      </c>
      <c r="AA2544" s="210">
        <v>25500</v>
      </c>
      <c r="AB2544" s="9">
        <v>24</v>
      </c>
      <c r="AC2544" s="9">
        <v>4</v>
      </c>
      <c r="AD2544" s="17">
        <v>45597</v>
      </c>
      <c r="AE2544" s="56">
        <v>812.5</v>
      </c>
      <c r="AF2544" s="56"/>
      <c r="AG2544" s="9" t="s">
        <v>134</v>
      </c>
      <c r="AH2544" s="17">
        <v>45595</v>
      </c>
      <c r="AI2544" s="17"/>
      <c r="AJ2544" s="17"/>
      <c r="AK2544" s="9" t="s">
        <v>1159</v>
      </c>
      <c r="AL2544" s="22">
        <v>812.5</v>
      </c>
      <c r="AM2544" s="22"/>
      <c r="AN2544" s="22" t="s">
        <v>1167</v>
      </c>
      <c r="AO2544" s="22"/>
      <c r="AP2544" s="22"/>
      <c r="AQ2544" s="22"/>
      <c r="AR2544" s="22"/>
      <c r="AS2544" s="22"/>
      <c r="AT2544" s="22"/>
      <c r="AU2544" s="22"/>
      <c r="AV2544" s="22"/>
      <c r="AW2544" s="17">
        <v>45596</v>
      </c>
      <c r="AX2544" s="9">
        <v>3339</v>
      </c>
      <c r="BA2544" s="22">
        <v>812.5</v>
      </c>
      <c r="BB2544" s="11" t="s">
        <v>3509</v>
      </c>
      <c r="BD2544" s="9"/>
      <c r="CS2544" s="11">
        <f t="shared" si="174"/>
        <v>812.5</v>
      </c>
      <c r="CT2544" s="22">
        <f t="shared" si="175"/>
        <v>812.5</v>
      </c>
      <c r="CU2544" s="22">
        <f t="shared" si="176"/>
        <v>0</v>
      </c>
      <c r="CV2544" s="26">
        <f t="shared" si="173"/>
        <v>0</v>
      </c>
      <c r="CY2544" s="9" t="s">
        <v>3493</v>
      </c>
    </row>
    <row r="2545" spans="1:103" ht="12.75" x14ac:dyDescent="0.2">
      <c r="A2545" s="9" t="s">
        <v>572</v>
      </c>
      <c r="B2545" s="2">
        <v>77</v>
      </c>
      <c r="C2545" s="3" t="s">
        <v>95</v>
      </c>
      <c r="D2545" s="3" t="s">
        <v>96</v>
      </c>
      <c r="E2545" s="2"/>
      <c r="F2545" s="2"/>
      <c r="G2545" s="2" t="s">
        <v>74</v>
      </c>
      <c r="H2545" s="2">
        <v>2</v>
      </c>
      <c r="I2545" s="8">
        <v>90</v>
      </c>
      <c r="J2545" s="8">
        <v>25499</v>
      </c>
      <c r="K2545" s="3">
        <v>0</v>
      </c>
      <c r="L2545" s="3" t="s">
        <v>3</v>
      </c>
      <c r="M2545" s="9" t="s">
        <v>0</v>
      </c>
      <c r="N2545" s="9" t="s">
        <v>48</v>
      </c>
      <c r="O2545" s="9" t="s">
        <v>571</v>
      </c>
      <c r="S2545" s="9" t="s">
        <v>158</v>
      </c>
      <c r="T2545" s="10" t="s">
        <v>74</v>
      </c>
      <c r="U2545" s="10">
        <v>2</v>
      </c>
      <c r="V2545" s="10">
        <v>90</v>
      </c>
      <c r="W2545" s="10" t="s">
        <v>1189</v>
      </c>
      <c r="X2545" s="17">
        <v>45452</v>
      </c>
      <c r="Y2545" s="17">
        <v>45458</v>
      </c>
      <c r="Z2545" s="19" t="s">
        <v>772</v>
      </c>
      <c r="AA2545" s="210">
        <v>25500</v>
      </c>
      <c r="AB2545" s="9">
        <v>24</v>
      </c>
      <c r="AC2545" s="9">
        <v>5</v>
      </c>
      <c r="AD2545" s="17">
        <v>45627</v>
      </c>
      <c r="AE2545" s="56">
        <v>812.5</v>
      </c>
      <c r="AF2545" s="56"/>
      <c r="AG2545" s="9" t="s">
        <v>134</v>
      </c>
      <c r="AH2545" s="17">
        <v>45624</v>
      </c>
      <c r="AI2545" s="17"/>
      <c r="AJ2545" s="17"/>
      <c r="AK2545" s="9" t="s">
        <v>1160</v>
      </c>
      <c r="AL2545" s="22">
        <v>812.5</v>
      </c>
      <c r="AM2545" s="22"/>
      <c r="AN2545" s="22" t="s">
        <v>1168</v>
      </c>
      <c r="AO2545" s="22"/>
      <c r="AP2545" s="22"/>
      <c r="AQ2545" s="22"/>
      <c r="AR2545" s="22"/>
      <c r="AS2545" s="22"/>
      <c r="AT2545" s="22"/>
      <c r="AU2545" s="22"/>
      <c r="AV2545" s="22"/>
      <c r="AW2545" s="97">
        <v>45625</v>
      </c>
      <c r="AX2545" s="148">
        <v>3451</v>
      </c>
      <c r="BA2545" s="22">
        <v>812.5</v>
      </c>
      <c r="BB2545" s="11" t="s">
        <v>3509</v>
      </c>
      <c r="BD2545" s="9"/>
      <c r="CS2545" s="11">
        <f t="shared" si="174"/>
        <v>812.5</v>
      </c>
      <c r="CT2545" s="22">
        <f t="shared" si="175"/>
        <v>812.5</v>
      </c>
      <c r="CU2545" s="22">
        <f t="shared" si="176"/>
        <v>0</v>
      </c>
      <c r="CV2545" s="26">
        <f t="shared" si="173"/>
        <v>0</v>
      </c>
      <c r="CY2545" s="9" t="s">
        <v>3493</v>
      </c>
    </row>
    <row r="2546" spans="1:103" x14ac:dyDescent="0.2">
      <c r="A2546" s="9" t="s">
        <v>572</v>
      </c>
      <c r="B2546" s="2">
        <v>77</v>
      </c>
      <c r="C2546" s="3" t="s">
        <v>95</v>
      </c>
      <c r="D2546" s="3" t="s">
        <v>96</v>
      </c>
      <c r="E2546" s="2"/>
      <c r="F2546" s="2"/>
      <c r="G2546" s="2" t="s">
        <v>74</v>
      </c>
      <c r="H2546" s="2">
        <v>2</v>
      </c>
      <c r="I2546" s="8">
        <v>90</v>
      </c>
      <c r="J2546" s="8">
        <v>25499</v>
      </c>
      <c r="K2546" s="3">
        <v>0</v>
      </c>
      <c r="L2546" s="3" t="s">
        <v>3</v>
      </c>
      <c r="M2546" s="9" t="s">
        <v>0</v>
      </c>
      <c r="N2546" s="9" t="s">
        <v>48</v>
      </c>
      <c r="O2546" s="9" t="s">
        <v>571</v>
      </c>
      <c r="S2546" s="9" t="s">
        <v>158</v>
      </c>
      <c r="T2546" s="10" t="s">
        <v>74</v>
      </c>
      <c r="U2546" s="10">
        <v>2</v>
      </c>
      <c r="V2546" s="10">
        <v>90</v>
      </c>
      <c r="W2546" s="10" t="s">
        <v>1189</v>
      </c>
      <c r="X2546" s="17">
        <v>45452</v>
      </c>
      <c r="Y2546" s="17">
        <v>45458</v>
      </c>
      <c r="Z2546" s="19" t="s">
        <v>772</v>
      </c>
      <c r="AA2546" s="210">
        <v>25500</v>
      </c>
      <c r="AB2546" s="9">
        <v>24</v>
      </c>
      <c r="AC2546" s="9">
        <v>6</v>
      </c>
      <c r="AD2546" s="17">
        <v>45658</v>
      </c>
      <c r="AE2546" s="56">
        <v>812.5</v>
      </c>
      <c r="AF2546" s="56"/>
      <c r="AG2546" s="9" t="s">
        <v>134</v>
      </c>
      <c r="AH2546" s="17">
        <v>45656</v>
      </c>
      <c r="AI2546" s="17"/>
      <c r="AJ2546" s="17"/>
      <c r="AK2546" s="9" t="s">
        <v>1161</v>
      </c>
      <c r="AL2546" s="22">
        <v>812.5</v>
      </c>
      <c r="AM2546" s="22"/>
      <c r="AN2546" s="22" t="s">
        <v>1169</v>
      </c>
      <c r="AO2546" s="22"/>
      <c r="AP2546" s="22"/>
      <c r="AQ2546" s="22"/>
      <c r="AR2546" s="22"/>
      <c r="AS2546" s="22"/>
      <c r="AT2546" s="22"/>
      <c r="AU2546" s="22"/>
      <c r="AV2546" s="22"/>
      <c r="AW2546" s="17">
        <v>45659</v>
      </c>
      <c r="AX2546" s="9">
        <v>3566</v>
      </c>
      <c r="BA2546" s="22">
        <v>812.5</v>
      </c>
      <c r="BB2546" s="11" t="s">
        <v>3509</v>
      </c>
      <c r="BD2546" s="9"/>
      <c r="CS2546" s="11">
        <f t="shared" si="174"/>
        <v>812.5</v>
      </c>
      <c r="CT2546" s="22">
        <f t="shared" si="175"/>
        <v>812.5</v>
      </c>
      <c r="CU2546" s="22">
        <f t="shared" si="176"/>
        <v>0</v>
      </c>
      <c r="CV2546" s="26">
        <f t="shared" si="173"/>
        <v>0</v>
      </c>
      <c r="CY2546" s="9" t="s">
        <v>3493</v>
      </c>
    </row>
    <row r="2547" spans="1:103" x14ac:dyDescent="0.2">
      <c r="A2547" s="9" t="s">
        <v>572</v>
      </c>
      <c r="B2547" s="2">
        <v>77</v>
      </c>
      <c r="C2547" s="3" t="s">
        <v>95</v>
      </c>
      <c r="D2547" s="3" t="s">
        <v>96</v>
      </c>
      <c r="E2547" s="2"/>
      <c r="F2547" s="2"/>
      <c r="G2547" s="2" t="s">
        <v>74</v>
      </c>
      <c r="H2547" s="2">
        <v>2</v>
      </c>
      <c r="I2547" s="8">
        <v>90</v>
      </c>
      <c r="J2547" s="8">
        <v>25499</v>
      </c>
      <c r="K2547" s="3">
        <v>0</v>
      </c>
      <c r="L2547" s="3" t="s">
        <v>3</v>
      </c>
      <c r="M2547" s="9" t="s">
        <v>0</v>
      </c>
      <c r="N2547" s="9" t="s">
        <v>48</v>
      </c>
      <c r="O2547" s="9" t="s">
        <v>571</v>
      </c>
      <c r="S2547" s="9" t="s">
        <v>158</v>
      </c>
      <c r="T2547" s="10" t="s">
        <v>74</v>
      </c>
      <c r="U2547" s="10">
        <v>2</v>
      </c>
      <c r="V2547" s="10">
        <v>90</v>
      </c>
      <c r="W2547" s="10" t="s">
        <v>1189</v>
      </c>
      <c r="X2547" s="17">
        <v>45452</v>
      </c>
      <c r="Y2547" s="17">
        <v>45458</v>
      </c>
      <c r="Z2547" s="19" t="s">
        <v>772</v>
      </c>
      <c r="AA2547" s="210">
        <v>25500</v>
      </c>
      <c r="AB2547" s="9">
        <v>24</v>
      </c>
      <c r="AC2547" s="9">
        <v>7</v>
      </c>
      <c r="AD2547" s="17">
        <v>45689</v>
      </c>
      <c r="AE2547" s="56">
        <v>812.5</v>
      </c>
      <c r="AF2547" s="56"/>
      <c r="AG2547" s="9" t="s">
        <v>134</v>
      </c>
      <c r="AH2547" s="17">
        <v>45688</v>
      </c>
      <c r="AI2547" s="17"/>
      <c r="AJ2547" s="17"/>
      <c r="AK2547" s="9" t="s">
        <v>1170</v>
      </c>
      <c r="AL2547" s="22">
        <v>812.5</v>
      </c>
      <c r="AM2547" s="22"/>
      <c r="AN2547" s="22" t="s">
        <v>1178</v>
      </c>
      <c r="AO2547" s="22"/>
      <c r="AP2547" s="22"/>
      <c r="AQ2547" s="22"/>
      <c r="AR2547" s="22"/>
      <c r="AS2547" s="22"/>
      <c r="AT2547" s="22"/>
      <c r="AU2547" s="22"/>
      <c r="AV2547" s="22"/>
      <c r="AW2547" s="17">
        <v>45691</v>
      </c>
      <c r="AX2547" s="9">
        <v>3689</v>
      </c>
      <c r="BA2547" s="22">
        <v>812.5</v>
      </c>
      <c r="BB2547" s="11" t="s">
        <v>3509</v>
      </c>
      <c r="BD2547" s="9"/>
      <c r="CS2547" s="11">
        <f t="shared" si="174"/>
        <v>812.5</v>
      </c>
      <c r="CT2547" s="22">
        <f t="shared" si="175"/>
        <v>812.5</v>
      </c>
      <c r="CU2547" s="22">
        <f t="shared" si="176"/>
        <v>0</v>
      </c>
      <c r="CV2547" s="26">
        <f t="shared" si="173"/>
        <v>0</v>
      </c>
      <c r="CY2547" s="9" t="s">
        <v>3493</v>
      </c>
    </row>
    <row r="2548" spans="1:103" x14ac:dyDescent="0.2">
      <c r="A2548" s="9" t="s">
        <v>572</v>
      </c>
      <c r="B2548" s="2">
        <v>77</v>
      </c>
      <c r="C2548" s="3" t="s">
        <v>95</v>
      </c>
      <c r="D2548" s="3" t="s">
        <v>96</v>
      </c>
      <c r="E2548" s="2"/>
      <c r="F2548" s="2"/>
      <c r="G2548" s="2" t="s">
        <v>74</v>
      </c>
      <c r="H2548" s="2">
        <v>2</v>
      </c>
      <c r="I2548" s="8">
        <v>90</v>
      </c>
      <c r="J2548" s="8">
        <v>25499</v>
      </c>
      <c r="K2548" s="3">
        <v>0</v>
      </c>
      <c r="L2548" s="3" t="s">
        <v>3</v>
      </c>
      <c r="M2548" s="9" t="s">
        <v>0</v>
      </c>
      <c r="N2548" s="9">
        <v>10772074</v>
      </c>
      <c r="O2548" s="9" t="s">
        <v>571</v>
      </c>
      <c r="S2548" s="9" t="s">
        <v>158</v>
      </c>
      <c r="T2548" s="10" t="s">
        <v>74</v>
      </c>
      <c r="U2548" s="10">
        <v>2</v>
      </c>
      <c r="V2548" s="10">
        <v>90</v>
      </c>
      <c r="W2548" s="10" t="s">
        <v>1189</v>
      </c>
      <c r="X2548" s="17">
        <v>45452</v>
      </c>
      <c r="Y2548" s="17">
        <v>45458</v>
      </c>
      <c r="Z2548" s="19" t="s">
        <v>772</v>
      </c>
      <c r="AA2548" s="210">
        <v>25500</v>
      </c>
      <c r="AB2548" s="9">
        <v>24</v>
      </c>
      <c r="AC2548" s="9">
        <v>8</v>
      </c>
      <c r="AD2548" s="17">
        <v>45717</v>
      </c>
      <c r="AE2548" s="56">
        <v>812.5</v>
      </c>
      <c r="AF2548" s="56"/>
      <c r="AG2548" s="9" t="s">
        <v>134</v>
      </c>
      <c r="AH2548" s="17">
        <v>45715</v>
      </c>
      <c r="AI2548" s="17"/>
      <c r="AJ2548" s="17"/>
      <c r="AK2548" s="9" t="s">
        <v>1171</v>
      </c>
      <c r="AL2548" s="22">
        <v>812.5</v>
      </c>
      <c r="AM2548" s="22"/>
      <c r="AN2548" s="22" t="s">
        <v>1179</v>
      </c>
      <c r="AO2548" s="22"/>
      <c r="AP2548" s="22"/>
      <c r="AQ2548" s="22"/>
      <c r="AR2548" s="22"/>
      <c r="AS2548" s="22"/>
      <c r="AT2548" s="22"/>
      <c r="AU2548" s="22"/>
      <c r="AV2548" s="22"/>
      <c r="AW2548" s="17">
        <v>45716</v>
      </c>
      <c r="AX2548" s="9">
        <v>3813</v>
      </c>
      <c r="BA2548" s="22">
        <v>812.5</v>
      </c>
      <c r="BB2548" s="11" t="s">
        <v>3509</v>
      </c>
      <c r="BD2548" s="9"/>
      <c r="CS2548" s="11">
        <f t="shared" si="174"/>
        <v>812.5</v>
      </c>
      <c r="CT2548" s="22">
        <f t="shared" si="175"/>
        <v>812.5</v>
      </c>
      <c r="CU2548" s="22">
        <f t="shared" si="176"/>
        <v>0</v>
      </c>
      <c r="CV2548" s="26">
        <f t="shared" si="173"/>
        <v>0</v>
      </c>
      <c r="CY2548" s="9" t="s">
        <v>3493</v>
      </c>
    </row>
    <row r="2549" spans="1:103" x14ac:dyDescent="0.2">
      <c r="A2549" s="9" t="s">
        <v>572</v>
      </c>
      <c r="B2549" s="2">
        <v>77</v>
      </c>
      <c r="C2549" s="3" t="s">
        <v>95</v>
      </c>
      <c r="D2549" s="3" t="s">
        <v>96</v>
      </c>
      <c r="E2549" s="2"/>
      <c r="F2549" s="2"/>
      <c r="G2549" s="2" t="s">
        <v>74</v>
      </c>
      <c r="H2549" s="2">
        <v>2</v>
      </c>
      <c r="I2549" s="8">
        <v>90</v>
      </c>
      <c r="J2549" s="8">
        <v>25499</v>
      </c>
      <c r="K2549" s="3">
        <v>0</v>
      </c>
      <c r="L2549" s="3" t="s">
        <v>3</v>
      </c>
      <c r="M2549" s="9" t="s">
        <v>0</v>
      </c>
      <c r="N2549" s="9" t="s">
        <v>48</v>
      </c>
      <c r="O2549" s="9" t="s">
        <v>571</v>
      </c>
      <c r="S2549" s="9" t="s">
        <v>158</v>
      </c>
      <c r="T2549" s="10" t="s">
        <v>74</v>
      </c>
      <c r="U2549" s="10">
        <v>2</v>
      </c>
      <c r="V2549" s="10">
        <v>90</v>
      </c>
      <c r="W2549" s="10" t="s">
        <v>1189</v>
      </c>
      <c r="X2549" s="17">
        <v>45452</v>
      </c>
      <c r="Y2549" s="17">
        <v>45458</v>
      </c>
      <c r="Z2549" s="19" t="s">
        <v>772</v>
      </c>
      <c r="AA2549" s="210">
        <v>25500</v>
      </c>
      <c r="AB2549" s="9">
        <v>24</v>
      </c>
      <c r="AC2549" s="9">
        <v>9</v>
      </c>
      <c r="AD2549" s="17">
        <v>45748</v>
      </c>
      <c r="AE2549" s="56">
        <v>812.5</v>
      </c>
      <c r="AF2549" s="56"/>
      <c r="AG2549" s="9" t="s">
        <v>134</v>
      </c>
      <c r="AH2549" s="17">
        <v>45744</v>
      </c>
      <c r="AI2549" s="17"/>
      <c r="AJ2549" s="17"/>
      <c r="AK2549" s="9" t="s">
        <v>1172</v>
      </c>
      <c r="AL2549" s="22">
        <v>812.5</v>
      </c>
      <c r="AM2549" s="22"/>
      <c r="AN2549" s="22" t="s">
        <v>1180</v>
      </c>
      <c r="AO2549" s="22"/>
      <c r="AP2549" s="22"/>
      <c r="AQ2549" s="22"/>
      <c r="AR2549" s="22"/>
      <c r="AS2549" s="22"/>
      <c r="AT2549" s="22"/>
      <c r="AU2549" s="22"/>
      <c r="AV2549" s="22"/>
      <c r="AW2549" s="17">
        <v>45747</v>
      </c>
      <c r="AX2549" s="9">
        <v>3943</v>
      </c>
      <c r="BA2549" s="22">
        <v>812.5</v>
      </c>
      <c r="BB2549" s="11" t="s">
        <v>3509</v>
      </c>
      <c r="BD2549" s="9"/>
      <c r="CS2549" s="11">
        <f t="shared" si="174"/>
        <v>812.5</v>
      </c>
      <c r="CT2549" s="22">
        <f t="shared" si="175"/>
        <v>812.5</v>
      </c>
      <c r="CU2549" s="22">
        <f t="shared" si="176"/>
        <v>0</v>
      </c>
      <c r="CV2549" s="26">
        <f t="shared" si="173"/>
        <v>0</v>
      </c>
      <c r="CY2549" s="9" t="s">
        <v>3493</v>
      </c>
    </row>
    <row r="2550" spans="1:103" x14ac:dyDescent="0.2">
      <c r="A2550" s="9" t="s">
        <v>572</v>
      </c>
      <c r="B2550" s="2">
        <v>77</v>
      </c>
      <c r="C2550" s="3" t="s">
        <v>95</v>
      </c>
      <c r="D2550" s="3" t="s">
        <v>96</v>
      </c>
      <c r="E2550" s="2"/>
      <c r="F2550" s="2"/>
      <c r="G2550" s="2" t="s">
        <v>74</v>
      </c>
      <c r="H2550" s="2">
        <v>2</v>
      </c>
      <c r="I2550" s="8">
        <v>90</v>
      </c>
      <c r="J2550" s="8">
        <v>25499</v>
      </c>
      <c r="K2550" s="3">
        <v>0</v>
      </c>
      <c r="L2550" s="3" t="s">
        <v>3</v>
      </c>
      <c r="M2550" s="9" t="s">
        <v>0</v>
      </c>
      <c r="N2550" s="9" t="s">
        <v>48</v>
      </c>
      <c r="O2550" s="9" t="s">
        <v>571</v>
      </c>
      <c r="S2550" s="9" t="s">
        <v>158</v>
      </c>
      <c r="T2550" s="10" t="s">
        <v>74</v>
      </c>
      <c r="U2550" s="10">
        <v>2</v>
      </c>
      <c r="V2550" s="10">
        <v>90</v>
      </c>
      <c r="W2550" s="10" t="s">
        <v>1189</v>
      </c>
      <c r="X2550" s="17">
        <v>45452</v>
      </c>
      <c r="Y2550" s="17">
        <v>45458</v>
      </c>
      <c r="Z2550" s="19" t="s">
        <v>772</v>
      </c>
      <c r="AA2550" s="210">
        <v>25500</v>
      </c>
      <c r="AB2550" s="9">
        <v>24</v>
      </c>
      <c r="AC2550" s="9">
        <v>10</v>
      </c>
      <c r="AD2550" s="17">
        <v>45778</v>
      </c>
      <c r="AE2550" s="56">
        <v>812.5</v>
      </c>
      <c r="AF2550" s="56"/>
      <c r="AG2550" s="9" t="s">
        <v>134</v>
      </c>
      <c r="AH2550" s="17">
        <v>45776</v>
      </c>
      <c r="AI2550" s="17"/>
      <c r="AJ2550" s="17"/>
      <c r="AK2550" s="9" t="s">
        <v>1173</v>
      </c>
      <c r="AL2550" s="22">
        <v>812.5</v>
      </c>
      <c r="AM2550" s="22"/>
      <c r="AN2550" s="22" t="s">
        <v>1181</v>
      </c>
      <c r="AO2550" s="22"/>
      <c r="AP2550" s="22"/>
      <c r="AQ2550" s="22"/>
      <c r="AR2550" s="22"/>
      <c r="AS2550" s="22"/>
      <c r="AT2550" s="22"/>
      <c r="AU2550" s="22"/>
      <c r="AV2550" s="22"/>
      <c r="AW2550" s="17">
        <v>45777</v>
      </c>
      <c r="AX2550" s="9">
        <v>4081</v>
      </c>
      <c r="BA2550" s="22">
        <v>812.5</v>
      </c>
      <c r="BB2550" s="11" t="s">
        <v>3509</v>
      </c>
      <c r="BD2550" s="9"/>
      <c r="CS2550" s="11">
        <f t="shared" si="174"/>
        <v>812.5</v>
      </c>
      <c r="CT2550" s="22">
        <f t="shared" si="175"/>
        <v>812.5</v>
      </c>
      <c r="CU2550" s="22">
        <f t="shared" si="176"/>
        <v>0</v>
      </c>
      <c r="CV2550" s="26">
        <f t="shared" si="173"/>
        <v>0</v>
      </c>
      <c r="CY2550" s="9" t="s">
        <v>3493</v>
      </c>
    </row>
    <row r="2551" spans="1:103" x14ac:dyDescent="0.2">
      <c r="A2551" s="9" t="s">
        <v>572</v>
      </c>
      <c r="B2551" s="2">
        <v>77</v>
      </c>
      <c r="C2551" s="3" t="s">
        <v>95</v>
      </c>
      <c r="D2551" s="3" t="s">
        <v>96</v>
      </c>
      <c r="E2551" s="2"/>
      <c r="F2551" s="2"/>
      <c r="G2551" s="2" t="s">
        <v>74</v>
      </c>
      <c r="H2551" s="2">
        <v>2</v>
      </c>
      <c r="I2551" s="8">
        <v>90</v>
      </c>
      <c r="J2551" s="8">
        <v>25499</v>
      </c>
      <c r="K2551" s="3">
        <v>0</v>
      </c>
      <c r="L2551" s="3" t="s">
        <v>3</v>
      </c>
      <c r="M2551" s="9" t="s">
        <v>0</v>
      </c>
      <c r="N2551" s="9" t="s">
        <v>48</v>
      </c>
      <c r="O2551" s="9" t="s">
        <v>571</v>
      </c>
      <c r="S2551" s="9" t="s">
        <v>158</v>
      </c>
      <c r="T2551" s="10" t="s">
        <v>74</v>
      </c>
      <c r="U2551" s="10">
        <v>2</v>
      </c>
      <c r="V2551" s="10">
        <v>90</v>
      </c>
      <c r="W2551" s="10" t="s">
        <v>1189</v>
      </c>
      <c r="X2551" s="17">
        <v>45452</v>
      </c>
      <c r="Y2551" s="17">
        <v>45458</v>
      </c>
      <c r="Z2551" s="19" t="s">
        <v>772</v>
      </c>
      <c r="AA2551" s="210">
        <v>25500</v>
      </c>
      <c r="AB2551" s="9">
        <v>24</v>
      </c>
      <c r="AC2551" s="9">
        <v>11</v>
      </c>
      <c r="AD2551" s="17">
        <v>45809</v>
      </c>
      <c r="AE2551" s="56">
        <v>812.5</v>
      </c>
      <c r="AF2551" s="56"/>
      <c r="AG2551" s="9" t="s">
        <v>134</v>
      </c>
      <c r="AH2551" s="17">
        <v>45806</v>
      </c>
      <c r="AI2551" s="17"/>
      <c r="AJ2551" s="17"/>
      <c r="AK2551" s="9" t="s">
        <v>1174</v>
      </c>
      <c r="AL2551" s="22">
        <v>812.5</v>
      </c>
      <c r="AM2551" s="22"/>
      <c r="AN2551" s="22" t="s">
        <v>1182</v>
      </c>
      <c r="AO2551" s="22"/>
      <c r="AP2551" s="22"/>
      <c r="AQ2551" s="22"/>
      <c r="AR2551" s="22"/>
      <c r="AS2551" s="22"/>
      <c r="AT2551" s="22"/>
      <c r="AU2551" s="22"/>
      <c r="AV2551" s="22"/>
      <c r="AW2551" s="17">
        <v>45807</v>
      </c>
      <c r="AX2551" s="9">
        <v>4226</v>
      </c>
      <c r="BA2551" s="22">
        <v>812.5</v>
      </c>
      <c r="BB2551" s="11" t="s">
        <v>3509</v>
      </c>
      <c r="BD2551" s="9"/>
      <c r="CS2551" s="11">
        <f t="shared" si="174"/>
        <v>812.5</v>
      </c>
      <c r="CT2551" s="22">
        <f t="shared" si="175"/>
        <v>812.5</v>
      </c>
      <c r="CU2551" s="22">
        <f t="shared" si="176"/>
        <v>0</v>
      </c>
      <c r="CV2551" s="26">
        <f t="shared" si="173"/>
        <v>0</v>
      </c>
      <c r="CY2551" s="9" t="s">
        <v>3493</v>
      </c>
    </row>
    <row r="2552" spans="1:103" x14ac:dyDescent="0.2">
      <c r="A2552" s="9" t="s">
        <v>572</v>
      </c>
      <c r="B2552" s="2">
        <v>77</v>
      </c>
      <c r="C2552" s="3" t="s">
        <v>95</v>
      </c>
      <c r="D2552" s="3" t="s">
        <v>96</v>
      </c>
      <c r="E2552" s="2"/>
      <c r="F2552" s="2"/>
      <c r="G2552" s="2" t="s">
        <v>74</v>
      </c>
      <c r="H2552" s="2">
        <v>2</v>
      </c>
      <c r="I2552" s="8">
        <v>90</v>
      </c>
      <c r="J2552" s="8">
        <v>25499</v>
      </c>
      <c r="K2552" s="3">
        <v>0</v>
      </c>
      <c r="L2552" s="3" t="s">
        <v>3</v>
      </c>
      <c r="M2552" s="9" t="s">
        <v>0</v>
      </c>
      <c r="N2552" s="9" t="s">
        <v>48</v>
      </c>
      <c r="O2552" s="9" t="s">
        <v>571</v>
      </c>
      <c r="S2552" s="9" t="s">
        <v>158</v>
      </c>
      <c r="T2552" s="10" t="s">
        <v>74</v>
      </c>
      <c r="U2552" s="10">
        <v>2</v>
      </c>
      <c r="V2552" s="10">
        <v>90</v>
      </c>
      <c r="W2552" s="10" t="s">
        <v>1189</v>
      </c>
      <c r="X2552" s="17">
        <v>45452</v>
      </c>
      <c r="Y2552" s="17">
        <v>45458</v>
      </c>
      <c r="Z2552" s="19" t="s">
        <v>772</v>
      </c>
      <c r="AA2552" s="210">
        <v>25500</v>
      </c>
      <c r="AB2552" s="9">
        <v>24</v>
      </c>
      <c r="AC2552" s="9">
        <v>12</v>
      </c>
      <c r="AD2552" s="17">
        <v>45839</v>
      </c>
      <c r="AE2552" s="56">
        <v>812.5</v>
      </c>
      <c r="AF2552" s="56"/>
      <c r="AG2552" s="9" t="s">
        <v>134</v>
      </c>
      <c r="AH2552" s="17">
        <v>45838</v>
      </c>
      <c r="AI2552" s="17"/>
      <c r="AJ2552" s="17"/>
      <c r="AK2552" s="9" t="s">
        <v>1175</v>
      </c>
      <c r="AL2552" s="11">
        <v>812.5</v>
      </c>
      <c r="AN2552" s="11" t="s">
        <v>1183</v>
      </c>
      <c r="AP2552" s="11"/>
      <c r="AQ2552" s="11"/>
      <c r="AR2552" s="11"/>
      <c r="AW2552" s="17">
        <v>45839</v>
      </c>
      <c r="AX2552" s="9">
        <v>4356</v>
      </c>
      <c r="BA2552" s="11">
        <v>812.5</v>
      </c>
      <c r="BB2552" s="11" t="s">
        <v>3509</v>
      </c>
      <c r="BD2552" s="9"/>
      <c r="CS2552" s="11">
        <f t="shared" si="174"/>
        <v>812.5</v>
      </c>
      <c r="CT2552" s="22">
        <f t="shared" si="175"/>
        <v>812.5</v>
      </c>
      <c r="CU2552" s="22">
        <f t="shared" si="176"/>
        <v>0</v>
      </c>
      <c r="CV2552" s="26">
        <f t="shared" si="173"/>
        <v>0</v>
      </c>
      <c r="CY2552" s="9" t="s">
        <v>3493</v>
      </c>
    </row>
    <row r="2553" spans="1:103" x14ac:dyDescent="0.2">
      <c r="A2553" s="9" t="s">
        <v>572</v>
      </c>
      <c r="B2553" s="2">
        <v>77</v>
      </c>
      <c r="C2553" s="3" t="s">
        <v>95</v>
      </c>
      <c r="D2553" s="3" t="s">
        <v>96</v>
      </c>
      <c r="E2553" s="2"/>
      <c r="F2553" s="2"/>
      <c r="G2553" s="2" t="s">
        <v>74</v>
      </c>
      <c r="H2553" s="2">
        <v>2</v>
      </c>
      <c r="I2553" s="8">
        <v>90</v>
      </c>
      <c r="J2553" s="8">
        <v>25499</v>
      </c>
      <c r="K2553" s="3">
        <v>0</v>
      </c>
      <c r="L2553" s="3" t="s">
        <v>3</v>
      </c>
      <c r="M2553" s="9" t="s">
        <v>0</v>
      </c>
      <c r="N2553" s="9" t="s">
        <v>48</v>
      </c>
      <c r="O2553" s="9" t="s">
        <v>571</v>
      </c>
      <c r="S2553" s="9" t="s">
        <v>158</v>
      </c>
      <c r="T2553" s="10" t="s">
        <v>74</v>
      </c>
      <c r="U2553" s="10">
        <v>2</v>
      </c>
      <c r="V2553" s="10">
        <v>90</v>
      </c>
      <c r="W2553" s="10" t="s">
        <v>1189</v>
      </c>
      <c r="X2553" s="17">
        <v>45452</v>
      </c>
      <c r="Y2553" s="17">
        <v>45458</v>
      </c>
      <c r="Z2553" s="19" t="s">
        <v>772</v>
      </c>
      <c r="AA2553" s="210">
        <v>25500</v>
      </c>
      <c r="AB2553" s="9">
        <v>24</v>
      </c>
      <c r="AC2553" s="9">
        <v>13</v>
      </c>
      <c r="AD2553" s="17">
        <v>45870</v>
      </c>
      <c r="AE2553" s="56">
        <v>812.5</v>
      </c>
      <c r="AF2553" s="56"/>
      <c r="AG2553" s="9" t="s">
        <v>134</v>
      </c>
      <c r="AH2553" s="17">
        <v>45869</v>
      </c>
      <c r="AI2553" s="17"/>
      <c r="AJ2553" s="17"/>
      <c r="AK2553" s="9" t="s">
        <v>1176</v>
      </c>
      <c r="AL2553" s="11">
        <v>812.5</v>
      </c>
      <c r="AN2553" s="11" t="s">
        <v>1184</v>
      </c>
      <c r="AP2553" s="11"/>
      <c r="AQ2553" s="11"/>
      <c r="AR2553" s="11"/>
      <c r="AW2553" s="17">
        <v>45869</v>
      </c>
      <c r="AX2553" s="9" t="s">
        <v>1187</v>
      </c>
      <c r="BA2553" s="11">
        <v>812.5</v>
      </c>
      <c r="BD2553" s="9"/>
      <c r="CS2553" s="11">
        <f t="shared" si="174"/>
        <v>812.5</v>
      </c>
      <c r="CT2553" s="22">
        <f t="shared" si="175"/>
        <v>812.5</v>
      </c>
      <c r="CU2553" s="22">
        <f t="shared" si="176"/>
        <v>0</v>
      </c>
      <c r="CV2553" s="26">
        <f t="shared" ref="CV2553:CV2616" si="177">+AE2553-AL2553-AT2553</f>
        <v>0</v>
      </c>
    </row>
    <row r="2554" spans="1:103" x14ac:dyDescent="0.2">
      <c r="A2554" s="9" t="s">
        <v>572</v>
      </c>
      <c r="B2554" s="2">
        <v>77</v>
      </c>
      <c r="C2554" s="3" t="s">
        <v>95</v>
      </c>
      <c r="D2554" s="3" t="s">
        <v>96</v>
      </c>
      <c r="E2554" s="2"/>
      <c r="F2554" s="2"/>
      <c r="G2554" s="2" t="s">
        <v>74</v>
      </c>
      <c r="H2554" s="2">
        <v>2</v>
      </c>
      <c r="I2554" s="8">
        <v>90</v>
      </c>
      <c r="J2554" s="8">
        <v>25499</v>
      </c>
      <c r="K2554" s="3">
        <v>0</v>
      </c>
      <c r="L2554" s="3" t="s">
        <v>3</v>
      </c>
      <c r="M2554" s="9" t="s">
        <v>0</v>
      </c>
      <c r="N2554" s="9" t="s">
        <v>48</v>
      </c>
      <c r="O2554" s="9" t="s">
        <v>571</v>
      </c>
      <c r="S2554" s="9" t="s">
        <v>158</v>
      </c>
      <c r="T2554" s="10" t="s">
        <v>74</v>
      </c>
      <c r="U2554" s="10">
        <v>2</v>
      </c>
      <c r="V2554" s="10">
        <v>90</v>
      </c>
      <c r="W2554" s="10" t="s">
        <v>1189</v>
      </c>
      <c r="X2554" s="17">
        <v>45452</v>
      </c>
      <c r="Y2554" s="17">
        <v>45458</v>
      </c>
      <c r="Z2554" s="19" t="s">
        <v>772</v>
      </c>
      <c r="AA2554" s="210">
        <v>25500</v>
      </c>
      <c r="AB2554" s="9">
        <v>24</v>
      </c>
      <c r="AC2554" s="9">
        <v>14</v>
      </c>
      <c r="AD2554" s="17">
        <v>45901</v>
      </c>
      <c r="AE2554" s="123">
        <v>812.5</v>
      </c>
      <c r="AF2554" s="56"/>
      <c r="AG2554" s="9" t="s">
        <v>134</v>
      </c>
      <c r="AH2554" s="17">
        <v>45901</v>
      </c>
      <c r="AI2554" s="17"/>
      <c r="AJ2554" s="17"/>
      <c r="AK2554" s="9" t="s">
        <v>1177</v>
      </c>
      <c r="AL2554" s="199">
        <v>3190</v>
      </c>
      <c r="AN2554" s="11" t="s">
        <v>1185</v>
      </c>
      <c r="AP2554" s="11"/>
      <c r="AQ2554" s="11"/>
      <c r="AR2554" s="11"/>
      <c r="AW2554" s="17">
        <v>45901</v>
      </c>
      <c r="AX2554" s="9" t="s">
        <v>1186</v>
      </c>
      <c r="BA2554" s="11">
        <v>3190</v>
      </c>
      <c r="BD2554" s="9"/>
      <c r="CS2554" s="11">
        <f t="shared" si="174"/>
        <v>3190</v>
      </c>
      <c r="CT2554" s="22">
        <f t="shared" si="175"/>
        <v>3190</v>
      </c>
      <c r="CU2554" s="22">
        <f t="shared" si="176"/>
        <v>0</v>
      </c>
      <c r="CV2554" s="26">
        <f t="shared" si="177"/>
        <v>-2377.5</v>
      </c>
    </row>
    <row r="2555" spans="1:103" x14ac:dyDescent="0.2">
      <c r="A2555" s="9" t="s">
        <v>572</v>
      </c>
      <c r="B2555" s="2">
        <v>77</v>
      </c>
      <c r="C2555" s="3" t="s">
        <v>95</v>
      </c>
      <c r="D2555" s="3" t="s">
        <v>96</v>
      </c>
      <c r="E2555" s="2"/>
      <c r="F2555" s="2"/>
      <c r="G2555" s="2" t="s">
        <v>74</v>
      </c>
      <c r="H2555" s="2">
        <v>2</v>
      </c>
      <c r="I2555" s="8">
        <v>90</v>
      </c>
      <c r="J2555" s="8">
        <v>25499</v>
      </c>
      <c r="K2555" s="3">
        <v>0</v>
      </c>
      <c r="L2555" s="3" t="s">
        <v>3</v>
      </c>
      <c r="M2555" s="9" t="s">
        <v>0</v>
      </c>
      <c r="N2555" s="9" t="s">
        <v>48</v>
      </c>
      <c r="O2555" s="9" t="s">
        <v>571</v>
      </c>
      <c r="S2555" s="9" t="s">
        <v>158</v>
      </c>
      <c r="T2555" s="10" t="s">
        <v>74</v>
      </c>
      <c r="U2555" s="10">
        <v>2</v>
      </c>
      <c r="V2555" s="10">
        <v>90</v>
      </c>
      <c r="W2555" s="10" t="s">
        <v>1189</v>
      </c>
      <c r="X2555" s="17">
        <v>45452</v>
      </c>
      <c r="Y2555" s="17">
        <v>45458</v>
      </c>
      <c r="Z2555" s="19" t="s">
        <v>772</v>
      </c>
      <c r="AA2555" s="210">
        <v>25500</v>
      </c>
      <c r="AB2555" s="9">
        <v>24</v>
      </c>
      <c r="AC2555" s="9">
        <v>15</v>
      </c>
      <c r="AD2555" s="17">
        <v>45931</v>
      </c>
      <c r="AE2555" s="123">
        <v>812.5</v>
      </c>
      <c r="AF2555" s="56"/>
      <c r="AP2555" s="11"/>
      <c r="AQ2555" s="11"/>
      <c r="AR2555" s="11"/>
      <c r="AW2555" s="9"/>
      <c r="BD2555" s="9"/>
      <c r="CS2555" s="11">
        <f t="shared" si="174"/>
        <v>0</v>
      </c>
      <c r="CT2555" s="22">
        <f t="shared" si="175"/>
        <v>0</v>
      </c>
      <c r="CU2555" s="22">
        <f t="shared" si="176"/>
        <v>0</v>
      </c>
      <c r="CV2555" s="26">
        <f t="shared" si="177"/>
        <v>812.5</v>
      </c>
    </row>
    <row r="2556" spans="1:103" x14ac:dyDescent="0.2">
      <c r="A2556" s="9" t="s">
        <v>572</v>
      </c>
      <c r="B2556" s="2">
        <v>77</v>
      </c>
      <c r="C2556" s="3" t="s">
        <v>95</v>
      </c>
      <c r="D2556" s="3" t="s">
        <v>96</v>
      </c>
      <c r="E2556" s="2"/>
      <c r="F2556" s="2"/>
      <c r="G2556" s="2" t="s">
        <v>74</v>
      </c>
      <c r="H2556" s="2">
        <v>2</v>
      </c>
      <c r="I2556" s="8">
        <v>90</v>
      </c>
      <c r="J2556" s="8">
        <v>25499</v>
      </c>
      <c r="K2556" s="3">
        <v>0</v>
      </c>
      <c r="L2556" s="3" t="s">
        <v>3</v>
      </c>
      <c r="M2556" s="9" t="s">
        <v>0</v>
      </c>
      <c r="N2556" s="9" t="s">
        <v>48</v>
      </c>
      <c r="O2556" s="9" t="s">
        <v>571</v>
      </c>
      <c r="S2556" s="9" t="s">
        <v>158</v>
      </c>
      <c r="T2556" s="10" t="s">
        <v>74</v>
      </c>
      <c r="U2556" s="10">
        <v>2</v>
      </c>
      <c r="V2556" s="10">
        <v>90</v>
      </c>
      <c r="W2556" s="10" t="s">
        <v>1189</v>
      </c>
      <c r="X2556" s="17">
        <v>45452</v>
      </c>
      <c r="Y2556" s="17">
        <v>45458</v>
      </c>
      <c r="Z2556" s="19" t="s">
        <v>772</v>
      </c>
      <c r="AA2556" s="210">
        <v>25500</v>
      </c>
      <c r="AB2556" s="9">
        <v>24</v>
      </c>
      <c r="AC2556" s="9">
        <v>16</v>
      </c>
      <c r="AD2556" s="17">
        <v>45962</v>
      </c>
      <c r="AE2556" s="123">
        <v>812.5</v>
      </c>
      <c r="AF2556" s="56"/>
      <c r="AP2556" s="11"/>
      <c r="AQ2556" s="11"/>
      <c r="AR2556" s="11"/>
      <c r="AW2556" s="9"/>
      <c r="BD2556" s="9"/>
      <c r="CS2556" s="11">
        <f t="shared" si="174"/>
        <v>0</v>
      </c>
      <c r="CT2556" s="22">
        <f t="shared" si="175"/>
        <v>0</v>
      </c>
      <c r="CU2556" s="22">
        <f t="shared" si="176"/>
        <v>0</v>
      </c>
      <c r="CV2556" s="26">
        <f t="shared" si="177"/>
        <v>812.5</v>
      </c>
    </row>
    <row r="2557" spans="1:103" x14ac:dyDescent="0.2">
      <c r="A2557" s="9" t="s">
        <v>572</v>
      </c>
      <c r="B2557" s="2">
        <v>77</v>
      </c>
      <c r="C2557" s="3" t="s">
        <v>95</v>
      </c>
      <c r="D2557" s="3" t="s">
        <v>96</v>
      </c>
      <c r="E2557" s="2"/>
      <c r="F2557" s="2"/>
      <c r="G2557" s="2" t="s">
        <v>74</v>
      </c>
      <c r="H2557" s="2">
        <v>2</v>
      </c>
      <c r="I2557" s="8">
        <v>90</v>
      </c>
      <c r="J2557" s="8">
        <v>25499</v>
      </c>
      <c r="K2557" s="3">
        <v>0</v>
      </c>
      <c r="L2557" s="3" t="s">
        <v>3</v>
      </c>
      <c r="M2557" s="9" t="s">
        <v>0</v>
      </c>
      <c r="N2557" s="9" t="s">
        <v>48</v>
      </c>
      <c r="O2557" s="9" t="s">
        <v>571</v>
      </c>
      <c r="S2557" s="9" t="s">
        <v>158</v>
      </c>
      <c r="T2557" s="10" t="s">
        <v>74</v>
      </c>
      <c r="U2557" s="10">
        <v>2</v>
      </c>
      <c r="V2557" s="10">
        <v>90</v>
      </c>
      <c r="W2557" s="10" t="s">
        <v>1189</v>
      </c>
      <c r="X2557" s="17">
        <v>45452</v>
      </c>
      <c r="Y2557" s="17">
        <v>45458</v>
      </c>
      <c r="Z2557" s="19" t="s">
        <v>772</v>
      </c>
      <c r="AA2557" s="210">
        <v>25500</v>
      </c>
      <c r="AB2557" s="9">
        <v>24</v>
      </c>
      <c r="AC2557" s="9">
        <v>17</v>
      </c>
      <c r="AD2557" s="17">
        <v>45992</v>
      </c>
      <c r="AE2557" s="56">
        <v>812.5</v>
      </c>
      <c r="AF2557" s="56"/>
      <c r="AP2557" s="11"/>
      <c r="AQ2557" s="11"/>
      <c r="AR2557" s="11"/>
      <c r="AW2557" s="9"/>
      <c r="BD2557" s="9"/>
      <c r="CS2557" s="11">
        <f t="shared" ref="CS2557:CS2620" si="178">+AL2557+AT2557</f>
        <v>0</v>
      </c>
      <c r="CT2557" s="22">
        <f t="shared" ref="CT2557:CT2620" si="179">+BA2557+BG2557+BM2557+BS2557+BY2557+CE2557+CK2557+CQ2557</f>
        <v>0</v>
      </c>
      <c r="CU2557" s="22">
        <f t="shared" ref="CU2557:CU2620" si="180">+CS2557-CT2557</f>
        <v>0</v>
      </c>
      <c r="CV2557" s="26">
        <f t="shared" si="177"/>
        <v>812.5</v>
      </c>
    </row>
    <row r="2558" spans="1:103" x14ac:dyDescent="0.2">
      <c r="A2558" s="9" t="s">
        <v>572</v>
      </c>
      <c r="B2558" s="2">
        <v>77</v>
      </c>
      <c r="C2558" s="3" t="s">
        <v>95</v>
      </c>
      <c r="D2558" s="3" t="s">
        <v>96</v>
      </c>
      <c r="E2558" s="2"/>
      <c r="F2558" s="2"/>
      <c r="G2558" s="2" t="s">
        <v>74</v>
      </c>
      <c r="H2558" s="2">
        <v>2</v>
      </c>
      <c r="I2558" s="8">
        <v>90</v>
      </c>
      <c r="J2558" s="8">
        <v>25499</v>
      </c>
      <c r="K2558" s="3">
        <v>0</v>
      </c>
      <c r="L2558" s="3" t="s">
        <v>3</v>
      </c>
      <c r="M2558" s="9" t="s">
        <v>0</v>
      </c>
      <c r="N2558" s="9" t="s">
        <v>48</v>
      </c>
      <c r="O2558" s="9" t="s">
        <v>571</v>
      </c>
      <c r="S2558" s="9" t="s">
        <v>158</v>
      </c>
      <c r="T2558" s="10" t="s">
        <v>74</v>
      </c>
      <c r="U2558" s="10">
        <v>2</v>
      </c>
      <c r="V2558" s="10">
        <v>90</v>
      </c>
      <c r="W2558" s="10" t="s">
        <v>1189</v>
      </c>
      <c r="X2558" s="17">
        <v>45452</v>
      </c>
      <c r="Y2558" s="17">
        <v>45458</v>
      </c>
      <c r="Z2558" s="19" t="s">
        <v>772</v>
      </c>
      <c r="AA2558" s="210">
        <v>25500</v>
      </c>
      <c r="AB2558" s="9">
        <v>24</v>
      </c>
      <c r="AC2558" s="9">
        <v>18</v>
      </c>
      <c r="AD2558" s="17">
        <v>46023</v>
      </c>
      <c r="AE2558" s="56">
        <v>812.5</v>
      </c>
      <c r="AF2558" s="56"/>
      <c r="AP2558" s="11"/>
      <c r="AQ2558" s="11"/>
      <c r="AR2558" s="11"/>
      <c r="AW2558" s="17"/>
      <c r="AX2558" s="86"/>
      <c r="AY2558" s="30"/>
      <c r="BD2558" s="9"/>
      <c r="CS2558" s="11">
        <f t="shared" si="178"/>
        <v>0</v>
      </c>
      <c r="CT2558" s="22">
        <f t="shared" si="179"/>
        <v>0</v>
      </c>
      <c r="CU2558" s="22">
        <f t="shared" si="180"/>
        <v>0</v>
      </c>
      <c r="CV2558" s="26">
        <f t="shared" si="177"/>
        <v>812.5</v>
      </c>
    </row>
    <row r="2559" spans="1:103" x14ac:dyDescent="0.2">
      <c r="A2559" s="9" t="s">
        <v>572</v>
      </c>
      <c r="B2559" s="2">
        <v>77</v>
      </c>
      <c r="C2559" s="3" t="s">
        <v>95</v>
      </c>
      <c r="D2559" s="3" t="s">
        <v>96</v>
      </c>
      <c r="E2559" s="2"/>
      <c r="F2559" s="2"/>
      <c r="G2559" s="2" t="s">
        <v>74</v>
      </c>
      <c r="H2559" s="2">
        <v>2</v>
      </c>
      <c r="I2559" s="8">
        <v>90</v>
      </c>
      <c r="J2559" s="8">
        <v>25499</v>
      </c>
      <c r="K2559" s="3">
        <v>0</v>
      </c>
      <c r="L2559" s="3" t="s">
        <v>3</v>
      </c>
      <c r="M2559" s="9" t="s">
        <v>0</v>
      </c>
      <c r="N2559" s="9" t="s">
        <v>48</v>
      </c>
      <c r="O2559" s="9" t="s">
        <v>571</v>
      </c>
      <c r="S2559" s="9" t="s">
        <v>158</v>
      </c>
      <c r="T2559" s="10" t="s">
        <v>74</v>
      </c>
      <c r="U2559" s="10">
        <v>2</v>
      </c>
      <c r="V2559" s="10">
        <v>90</v>
      </c>
      <c r="W2559" s="10" t="s">
        <v>1189</v>
      </c>
      <c r="X2559" s="17">
        <v>45452</v>
      </c>
      <c r="Y2559" s="17">
        <v>45458</v>
      </c>
      <c r="Z2559" s="19" t="s">
        <v>772</v>
      </c>
      <c r="AA2559" s="210">
        <v>25500</v>
      </c>
      <c r="AB2559" s="9">
        <v>24</v>
      </c>
      <c r="AC2559" s="9">
        <v>19</v>
      </c>
      <c r="AD2559" s="17">
        <v>46054</v>
      </c>
      <c r="AE2559" s="56">
        <v>812.5</v>
      </c>
      <c r="AF2559" s="56"/>
      <c r="AP2559" s="11"/>
      <c r="AQ2559" s="11"/>
      <c r="AR2559" s="11"/>
      <c r="AW2559" s="9"/>
      <c r="BD2559" s="9"/>
      <c r="CS2559" s="11">
        <f t="shared" si="178"/>
        <v>0</v>
      </c>
      <c r="CT2559" s="22">
        <f t="shared" si="179"/>
        <v>0</v>
      </c>
      <c r="CU2559" s="22">
        <f t="shared" si="180"/>
        <v>0</v>
      </c>
      <c r="CV2559" s="26">
        <f t="shared" si="177"/>
        <v>812.5</v>
      </c>
    </row>
    <row r="2560" spans="1:103" x14ac:dyDescent="0.2">
      <c r="A2560" s="9" t="s">
        <v>572</v>
      </c>
      <c r="B2560" s="2">
        <v>77</v>
      </c>
      <c r="C2560" s="3" t="s">
        <v>95</v>
      </c>
      <c r="D2560" s="3" t="s">
        <v>96</v>
      </c>
      <c r="E2560" s="2"/>
      <c r="F2560" s="2"/>
      <c r="G2560" s="2" t="s">
        <v>74</v>
      </c>
      <c r="H2560" s="2">
        <v>2</v>
      </c>
      <c r="I2560" s="8">
        <v>90</v>
      </c>
      <c r="J2560" s="8">
        <v>25499</v>
      </c>
      <c r="K2560" s="3">
        <v>0</v>
      </c>
      <c r="L2560" s="3" t="s">
        <v>3</v>
      </c>
      <c r="M2560" s="9" t="s">
        <v>0</v>
      </c>
      <c r="N2560" s="9" t="s">
        <v>48</v>
      </c>
      <c r="O2560" s="9" t="s">
        <v>571</v>
      </c>
      <c r="S2560" s="9" t="s">
        <v>158</v>
      </c>
      <c r="T2560" s="10" t="s">
        <v>74</v>
      </c>
      <c r="U2560" s="10">
        <v>2</v>
      </c>
      <c r="V2560" s="10">
        <v>90</v>
      </c>
      <c r="W2560" s="10" t="s">
        <v>1189</v>
      </c>
      <c r="X2560" s="17">
        <v>45452</v>
      </c>
      <c r="Y2560" s="17">
        <v>45458</v>
      </c>
      <c r="Z2560" s="19" t="s">
        <v>772</v>
      </c>
      <c r="AA2560" s="210">
        <v>25500</v>
      </c>
      <c r="AB2560" s="9">
        <v>24</v>
      </c>
      <c r="AC2560" s="9">
        <v>20</v>
      </c>
      <c r="AD2560" s="17">
        <v>46082</v>
      </c>
      <c r="AE2560" s="56">
        <v>812.5</v>
      </c>
      <c r="AF2560" s="56"/>
      <c r="AP2560" s="11"/>
      <c r="AQ2560" s="11"/>
      <c r="AR2560" s="11"/>
      <c r="AW2560" s="9"/>
      <c r="BD2560" s="9"/>
      <c r="CS2560" s="11">
        <f t="shared" si="178"/>
        <v>0</v>
      </c>
      <c r="CT2560" s="22">
        <f t="shared" si="179"/>
        <v>0</v>
      </c>
      <c r="CU2560" s="22">
        <f t="shared" si="180"/>
        <v>0</v>
      </c>
      <c r="CV2560" s="26">
        <f t="shared" si="177"/>
        <v>812.5</v>
      </c>
    </row>
    <row r="2561" spans="1:103" x14ac:dyDescent="0.2">
      <c r="A2561" s="9" t="s">
        <v>572</v>
      </c>
      <c r="B2561" s="2">
        <v>77</v>
      </c>
      <c r="C2561" s="3" t="s">
        <v>95</v>
      </c>
      <c r="D2561" s="3" t="s">
        <v>96</v>
      </c>
      <c r="E2561" s="2"/>
      <c r="F2561" s="2"/>
      <c r="G2561" s="2" t="s">
        <v>74</v>
      </c>
      <c r="H2561" s="2">
        <v>2</v>
      </c>
      <c r="I2561" s="8">
        <v>90</v>
      </c>
      <c r="J2561" s="8">
        <v>25499</v>
      </c>
      <c r="K2561" s="3">
        <v>0</v>
      </c>
      <c r="L2561" s="3" t="s">
        <v>3</v>
      </c>
      <c r="M2561" s="9" t="s">
        <v>0</v>
      </c>
      <c r="N2561" s="9" t="s">
        <v>48</v>
      </c>
      <c r="O2561" s="9" t="s">
        <v>571</v>
      </c>
      <c r="S2561" s="9" t="s">
        <v>158</v>
      </c>
      <c r="T2561" s="10" t="s">
        <v>74</v>
      </c>
      <c r="U2561" s="10">
        <v>2</v>
      </c>
      <c r="V2561" s="10">
        <v>90</v>
      </c>
      <c r="W2561" s="10" t="s">
        <v>1189</v>
      </c>
      <c r="X2561" s="17">
        <v>45452</v>
      </c>
      <c r="Y2561" s="17">
        <v>45458</v>
      </c>
      <c r="Z2561" s="19" t="s">
        <v>772</v>
      </c>
      <c r="AA2561" s="210">
        <v>25500</v>
      </c>
      <c r="AB2561" s="9">
        <v>24</v>
      </c>
      <c r="AC2561" s="9">
        <v>21</v>
      </c>
      <c r="AD2561" s="17">
        <v>46113</v>
      </c>
      <c r="AE2561" s="56">
        <v>812.5</v>
      </c>
      <c r="AF2561" s="56"/>
      <c r="AP2561" s="11"/>
      <c r="AQ2561" s="11"/>
      <c r="AR2561" s="11"/>
      <c r="AW2561" s="17"/>
      <c r="BD2561" s="9"/>
      <c r="CS2561" s="11">
        <f t="shared" si="178"/>
        <v>0</v>
      </c>
      <c r="CT2561" s="22">
        <f t="shared" si="179"/>
        <v>0</v>
      </c>
      <c r="CU2561" s="22">
        <f t="shared" si="180"/>
        <v>0</v>
      </c>
      <c r="CV2561" s="26">
        <f t="shared" si="177"/>
        <v>812.5</v>
      </c>
    </row>
    <row r="2562" spans="1:103" x14ac:dyDescent="0.2">
      <c r="A2562" s="9" t="s">
        <v>572</v>
      </c>
      <c r="B2562" s="2">
        <v>77</v>
      </c>
      <c r="C2562" s="3" t="s">
        <v>95</v>
      </c>
      <c r="D2562" s="3" t="s">
        <v>96</v>
      </c>
      <c r="E2562" s="2"/>
      <c r="F2562" s="2"/>
      <c r="G2562" s="2" t="s">
        <v>74</v>
      </c>
      <c r="H2562" s="2">
        <v>2</v>
      </c>
      <c r="I2562" s="8">
        <v>90</v>
      </c>
      <c r="J2562" s="8">
        <v>25499</v>
      </c>
      <c r="K2562" s="3">
        <v>0</v>
      </c>
      <c r="L2562" s="3" t="s">
        <v>3</v>
      </c>
      <c r="M2562" s="9" t="s">
        <v>0</v>
      </c>
      <c r="N2562" s="9" t="s">
        <v>48</v>
      </c>
      <c r="O2562" s="9" t="s">
        <v>571</v>
      </c>
      <c r="S2562" s="9" t="s">
        <v>158</v>
      </c>
      <c r="T2562" s="10" t="s">
        <v>74</v>
      </c>
      <c r="U2562" s="10">
        <v>2</v>
      </c>
      <c r="V2562" s="10">
        <v>90</v>
      </c>
      <c r="W2562" s="10" t="s">
        <v>1189</v>
      </c>
      <c r="X2562" s="17">
        <v>45452</v>
      </c>
      <c r="Y2562" s="17">
        <v>45458</v>
      </c>
      <c r="Z2562" s="19" t="s">
        <v>772</v>
      </c>
      <c r="AA2562" s="210">
        <v>25500</v>
      </c>
      <c r="AB2562" s="9">
        <v>24</v>
      </c>
      <c r="AC2562" s="9">
        <v>22</v>
      </c>
      <c r="AD2562" s="17">
        <v>46143</v>
      </c>
      <c r="AE2562" s="56">
        <v>812.5</v>
      </c>
      <c r="AF2562" s="56"/>
      <c r="AP2562" s="11"/>
      <c r="AQ2562" s="11"/>
      <c r="AR2562" s="11"/>
      <c r="AW2562" s="9"/>
      <c r="BD2562" s="9"/>
      <c r="CS2562" s="11">
        <f t="shared" si="178"/>
        <v>0</v>
      </c>
      <c r="CT2562" s="22">
        <f t="shared" si="179"/>
        <v>0</v>
      </c>
      <c r="CU2562" s="22">
        <f t="shared" si="180"/>
        <v>0</v>
      </c>
      <c r="CV2562" s="26">
        <f t="shared" si="177"/>
        <v>812.5</v>
      </c>
    </row>
    <row r="2563" spans="1:103" x14ac:dyDescent="0.2">
      <c r="A2563" s="9" t="s">
        <v>572</v>
      </c>
      <c r="B2563" s="2">
        <v>77</v>
      </c>
      <c r="C2563" s="3" t="s">
        <v>95</v>
      </c>
      <c r="D2563" s="3" t="s">
        <v>96</v>
      </c>
      <c r="E2563" s="2"/>
      <c r="F2563" s="2"/>
      <c r="G2563" s="2" t="s">
        <v>74</v>
      </c>
      <c r="H2563" s="2">
        <v>2</v>
      </c>
      <c r="I2563" s="8">
        <v>90</v>
      </c>
      <c r="J2563" s="8">
        <v>25499</v>
      </c>
      <c r="K2563" s="3">
        <v>0</v>
      </c>
      <c r="L2563" s="3" t="s">
        <v>3</v>
      </c>
      <c r="M2563" s="9" t="s">
        <v>0</v>
      </c>
      <c r="N2563" s="9" t="s">
        <v>48</v>
      </c>
      <c r="O2563" s="9" t="s">
        <v>571</v>
      </c>
      <c r="S2563" s="9" t="s">
        <v>158</v>
      </c>
      <c r="T2563" s="10" t="s">
        <v>74</v>
      </c>
      <c r="U2563" s="10">
        <v>2</v>
      </c>
      <c r="V2563" s="10">
        <v>90</v>
      </c>
      <c r="W2563" s="10" t="s">
        <v>1189</v>
      </c>
      <c r="X2563" s="17">
        <v>45452</v>
      </c>
      <c r="Y2563" s="17">
        <v>45458</v>
      </c>
      <c r="Z2563" s="19" t="s">
        <v>772</v>
      </c>
      <c r="AA2563" s="210">
        <v>25500</v>
      </c>
      <c r="AB2563" s="9">
        <v>24</v>
      </c>
      <c r="AC2563" s="9">
        <v>23</v>
      </c>
      <c r="AD2563" s="17">
        <v>46174</v>
      </c>
      <c r="AE2563" s="56">
        <v>812.5</v>
      </c>
      <c r="AF2563" s="56"/>
      <c r="AP2563" s="11"/>
      <c r="AQ2563" s="11"/>
      <c r="AR2563" s="11"/>
      <c r="AW2563" s="9"/>
      <c r="BD2563" s="9"/>
      <c r="CS2563" s="11">
        <f t="shared" si="178"/>
        <v>0</v>
      </c>
      <c r="CT2563" s="22">
        <f t="shared" si="179"/>
        <v>0</v>
      </c>
      <c r="CU2563" s="22">
        <f t="shared" si="180"/>
        <v>0</v>
      </c>
      <c r="CV2563" s="26">
        <f t="shared" si="177"/>
        <v>812.5</v>
      </c>
    </row>
    <row r="2564" spans="1:103" x14ac:dyDescent="0.2">
      <c r="A2564" s="9" t="s">
        <v>572</v>
      </c>
      <c r="B2564" s="2">
        <v>77</v>
      </c>
      <c r="C2564" s="3" t="s">
        <v>95</v>
      </c>
      <c r="D2564" s="3" t="s">
        <v>96</v>
      </c>
      <c r="E2564" s="2"/>
      <c r="F2564" s="2"/>
      <c r="G2564" s="2" t="s">
        <v>74</v>
      </c>
      <c r="H2564" s="2">
        <v>2</v>
      </c>
      <c r="I2564" s="8">
        <v>90</v>
      </c>
      <c r="J2564" s="8">
        <v>25499</v>
      </c>
      <c r="K2564" s="3">
        <v>0</v>
      </c>
      <c r="L2564" s="3" t="s">
        <v>3</v>
      </c>
      <c r="M2564" s="9" t="s">
        <v>0</v>
      </c>
      <c r="N2564" s="9" t="s">
        <v>48</v>
      </c>
      <c r="O2564" s="9" t="s">
        <v>571</v>
      </c>
      <c r="S2564" s="9" t="s">
        <v>158</v>
      </c>
      <c r="T2564" s="10" t="s">
        <v>74</v>
      </c>
      <c r="U2564" s="10">
        <v>2</v>
      </c>
      <c r="V2564" s="10">
        <v>90</v>
      </c>
      <c r="W2564" s="10" t="s">
        <v>1189</v>
      </c>
      <c r="X2564" s="17">
        <v>45452</v>
      </c>
      <c r="Y2564" s="17">
        <v>45458</v>
      </c>
      <c r="Z2564" s="19" t="s">
        <v>772</v>
      </c>
      <c r="AA2564" s="210">
        <v>25500</v>
      </c>
      <c r="AB2564" s="9">
        <v>24</v>
      </c>
      <c r="AC2564" s="9">
        <v>24</v>
      </c>
      <c r="AD2564" s="17">
        <v>46204</v>
      </c>
      <c r="AE2564" s="56">
        <v>812.5</v>
      </c>
      <c r="AF2564" s="56"/>
      <c r="AP2564" s="11"/>
      <c r="AQ2564" s="11"/>
      <c r="AR2564" s="11"/>
      <c r="AW2564" s="9"/>
      <c r="BD2564" s="9"/>
      <c r="CS2564" s="11">
        <f t="shared" si="178"/>
        <v>0</v>
      </c>
      <c r="CT2564" s="22">
        <f t="shared" si="179"/>
        <v>0</v>
      </c>
      <c r="CU2564" s="22">
        <f t="shared" si="180"/>
        <v>0</v>
      </c>
      <c r="CV2564" s="26">
        <f t="shared" si="177"/>
        <v>812.5</v>
      </c>
    </row>
    <row r="2565" spans="1:103" x14ac:dyDescent="0.2">
      <c r="A2565" s="9" t="s">
        <v>572</v>
      </c>
      <c r="B2565" s="2">
        <v>77</v>
      </c>
      <c r="C2565" s="3" t="s">
        <v>95</v>
      </c>
      <c r="D2565" s="3" t="s">
        <v>96</v>
      </c>
      <c r="E2565" s="2"/>
      <c r="F2565" s="2"/>
      <c r="G2565" s="2" t="s">
        <v>74</v>
      </c>
      <c r="H2565" s="2">
        <v>2</v>
      </c>
      <c r="I2565" s="8">
        <v>90</v>
      </c>
      <c r="J2565" s="8">
        <v>25499</v>
      </c>
      <c r="K2565" s="3">
        <v>0</v>
      </c>
      <c r="L2565" s="3" t="s">
        <v>3</v>
      </c>
      <c r="M2565" s="9" t="s">
        <v>0</v>
      </c>
      <c r="N2565" s="9" t="s">
        <v>48</v>
      </c>
      <c r="O2565" s="9" t="s">
        <v>571</v>
      </c>
      <c r="S2565" s="9" t="s">
        <v>573</v>
      </c>
      <c r="V2565" s="10">
        <v>12.5</v>
      </c>
      <c r="W2565" s="10" t="s">
        <v>1189</v>
      </c>
      <c r="X2565" s="17">
        <v>45452</v>
      </c>
      <c r="Y2565" s="17">
        <v>45458</v>
      </c>
      <c r="Z2565" s="19" t="s">
        <v>772</v>
      </c>
      <c r="AA2565" s="210">
        <v>5500</v>
      </c>
      <c r="AB2565" s="9">
        <v>24</v>
      </c>
      <c r="AC2565" s="9">
        <v>0</v>
      </c>
      <c r="AD2565" s="17">
        <v>45452</v>
      </c>
      <c r="AE2565" s="56">
        <v>50</v>
      </c>
      <c r="AF2565" s="56"/>
      <c r="AG2565" s="9" t="s">
        <v>134</v>
      </c>
      <c r="AH2565" s="17">
        <v>45452</v>
      </c>
      <c r="AI2565" s="17"/>
      <c r="AJ2565" s="17"/>
      <c r="AK2565" s="9" t="s">
        <v>576</v>
      </c>
      <c r="AL2565" s="11">
        <v>50</v>
      </c>
      <c r="AN2565" s="11" t="s">
        <v>1134</v>
      </c>
      <c r="AP2565" s="11"/>
      <c r="AQ2565" s="11"/>
      <c r="AR2565" s="11"/>
      <c r="AW2565" s="42">
        <v>45452</v>
      </c>
      <c r="AX2565" s="36">
        <v>2761</v>
      </c>
      <c r="AY2565" s="36"/>
      <c r="AZ2565" s="36"/>
      <c r="BA2565" s="36">
        <v>50</v>
      </c>
      <c r="BD2565" s="9"/>
      <c r="CS2565" s="11">
        <f t="shared" si="178"/>
        <v>50</v>
      </c>
      <c r="CT2565" s="22">
        <f t="shared" si="179"/>
        <v>50</v>
      </c>
      <c r="CU2565" s="22">
        <f t="shared" si="180"/>
        <v>0</v>
      </c>
      <c r="CV2565" s="26">
        <f t="shared" si="177"/>
        <v>0</v>
      </c>
    </row>
    <row r="2566" spans="1:103" x14ac:dyDescent="0.2">
      <c r="A2566" s="9" t="s">
        <v>572</v>
      </c>
      <c r="B2566" s="2">
        <v>77</v>
      </c>
      <c r="C2566" s="3" t="s">
        <v>95</v>
      </c>
      <c r="D2566" s="3" t="s">
        <v>96</v>
      </c>
      <c r="E2566" s="2"/>
      <c r="F2566" s="2"/>
      <c r="G2566" s="2" t="s">
        <v>74</v>
      </c>
      <c r="H2566" s="2">
        <v>2</v>
      </c>
      <c r="I2566" s="8">
        <v>90</v>
      </c>
      <c r="J2566" s="8">
        <v>25499</v>
      </c>
      <c r="K2566" s="3">
        <v>0</v>
      </c>
      <c r="L2566" s="3" t="s">
        <v>3</v>
      </c>
      <c r="M2566" s="9" t="s">
        <v>0</v>
      </c>
      <c r="N2566" s="9" t="s">
        <v>48</v>
      </c>
      <c r="O2566" s="9" t="s">
        <v>571</v>
      </c>
      <c r="S2566" s="9" t="s">
        <v>573</v>
      </c>
      <c r="V2566" s="10">
        <v>12.5</v>
      </c>
      <c r="W2566" s="10" t="s">
        <v>1189</v>
      </c>
      <c r="X2566" s="17">
        <v>45452</v>
      </c>
      <c r="Y2566" s="17">
        <v>45458</v>
      </c>
      <c r="Z2566" s="19" t="s">
        <v>772</v>
      </c>
      <c r="AA2566" s="210">
        <v>5500</v>
      </c>
      <c r="AB2566" s="9">
        <v>24</v>
      </c>
      <c r="AC2566" s="9">
        <v>0</v>
      </c>
      <c r="AD2566" s="17">
        <v>45463</v>
      </c>
      <c r="AE2566" s="56">
        <v>950</v>
      </c>
      <c r="AF2566" s="56"/>
      <c r="AG2566" s="9" t="s">
        <v>134</v>
      </c>
      <c r="AH2566" s="17">
        <v>45463</v>
      </c>
      <c r="AI2566" s="17"/>
      <c r="AJ2566" s="17"/>
      <c r="AK2566" s="9" t="s">
        <v>577</v>
      </c>
      <c r="AL2566" s="11">
        <v>950</v>
      </c>
      <c r="AN2566" s="11" t="s">
        <v>1135</v>
      </c>
      <c r="AP2566" s="11"/>
      <c r="AQ2566" s="11"/>
      <c r="AR2566" s="11"/>
      <c r="AW2566" s="42">
        <v>45458</v>
      </c>
      <c r="AX2566" s="36">
        <v>2786</v>
      </c>
      <c r="AY2566" s="36"/>
      <c r="AZ2566" s="36"/>
      <c r="BA2566" s="40">
        <v>950</v>
      </c>
      <c r="BD2566" s="9"/>
      <c r="CS2566" s="11">
        <f t="shared" si="178"/>
        <v>950</v>
      </c>
      <c r="CT2566" s="22">
        <f t="shared" si="179"/>
        <v>950</v>
      </c>
      <c r="CU2566" s="22">
        <f t="shared" si="180"/>
        <v>0</v>
      </c>
      <c r="CV2566" s="26">
        <f t="shared" si="177"/>
        <v>0</v>
      </c>
    </row>
    <row r="2567" spans="1:103" x14ac:dyDescent="0.2">
      <c r="A2567" s="9" t="s">
        <v>572</v>
      </c>
      <c r="B2567" s="2">
        <v>77</v>
      </c>
      <c r="C2567" s="3" t="s">
        <v>95</v>
      </c>
      <c r="D2567" s="3" t="s">
        <v>96</v>
      </c>
      <c r="E2567" s="2"/>
      <c r="F2567" s="2"/>
      <c r="G2567" s="2" t="s">
        <v>74</v>
      </c>
      <c r="H2567" s="2">
        <v>2</v>
      </c>
      <c r="I2567" s="8">
        <v>90</v>
      </c>
      <c r="J2567" s="8">
        <v>25499</v>
      </c>
      <c r="K2567" s="3">
        <v>0</v>
      </c>
      <c r="L2567" s="3" t="s">
        <v>3</v>
      </c>
      <c r="M2567" s="9" t="s">
        <v>0</v>
      </c>
      <c r="N2567" s="9" t="s">
        <v>48</v>
      </c>
      <c r="O2567" s="9" t="s">
        <v>571</v>
      </c>
      <c r="S2567" s="9" t="s">
        <v>573</v>
      </c>
      <c r="V2567" s="10">
        <v>12.5</v>
      </c>
      <c r="W2567" s="10" t="s">
        <v>1189</v>
      </c>
      <c r="X2567" s="17">
        <v>45452</v>
      </c>
      <c r="Y2567" s="17">
        <v>45458</v>
      </c>
      <c r="Z2567" s="19" t="s">
        <v>772</v>
      </c>
      <c r="AA2567" s="210">
        <v>5500</v>
      </c>
      <c r="AB2567" s="9">
        <v>24</v>
      </c>
      <c r="AC2567" s="9">
        <v>1</v>
      </c>
      <c r="AD2567" s="17">
        <v>45505</v>
      </c>
      <c r="AE2567" s="56">
        <v>187.5</v>
      </c>
      <c r="AF2567" s="56"/>
      <c r="AG2567" s="9" t="s">
        <v>134</v>
      </c>
      <c r="AH2567" s="17">
        <v>45505</v>
      </c>
      <c r="AI2567" s="17"/>
      <c r="AJ2567" s="17"/>
      <c r="AK2567" s="9" t="s">
        <v>1128</v>
      </c>
      <c r="AL2567" s="22">
        <v>187.5</v>
      </c>
      <c r="AM2567" s="22"/>
      <c r="AN2567" s="22" t="s">
        <v>1136</v>
      </c>
      <c r="AO2567" s="22"/>
      <c r="AP2567" s="22"/>
      <c r="AQ2567" s="22"/>
      <c r="AR2567" s="22"/>
      <c r="AS2567" s="22"/>
      <c r="AT2567" s="22"/>
      <c r="AU2567" s="22"/>
      <c r="AV2567" s="22"/>
      <c r="AW2567" s="17">
        <v>45506</v>
      </c>
      <c r="AX2567" s="9">
        <v>2978</v>
      </c>
      <c r="BA2567" s="22">
        <v>187.5</v>
      </c>
      <c r="BB2567" s="11" t="s">
        <v>3509</v>
      </c>
      <c r="BD2567" s="9"/>
      <c r="CS2567" s="11">
        <f t="shared" si="178"/>
        <v>187.5</v>
      </c>
      <c r="CT2567" s="22">
        <f t="shared" si="179"/>
        <v>187.5</v>
      </c>
      <c r="CU2567" s="22">
        <f t="shared" si="180"/>
        <v>0</v>
      </c>
      <c r="CV2567" s="26">
        <f t="shared" si="177"/>
        <v>0</v>
      </c>
      <c r="CY2567" s="9" t="s">
        <v>3493</v>
      </c>
    </row>
    <row r="2568" spans="1:103" x14ac:dyDescent="0.2">
      <c r="A2568" s="9" t="s">
        <v>572</v>
      </c>
      <c r="B2568" s="2">
        <v>77</v>
      </c>
      <c r="C2568" s="3" t="s">
        <v>95</v>
      </c>
      <c r="D2568" s="3" t="s">
        <v>96</v>
      </c>
      <c r="E2568" s="2"/>
      <c r="F2568" s="2"/>
      <c r="G2568" s="2" t="s">
        <v>74</v>
      </c>
      <c r="H2568" s="2">
        <v>2</v>
      </c>
      <c r="I2568" s="8">
        <v>90</v>
      </c>
      <c r="J2568" s="8">
        <v>25499</v>
      </c>
      <c r="K2568" s="3">
        <v>0</v>
      </c>
      <c r="L2568" s="3" t="s">
        <v>3</v>
      </c>
      <c r="M2568" s="9" t="s">
        <v>0</v>
      </c>
      <c r="N2568" s="9" t="s">
        <v>48</v>
      </c>
      <c r="O2568" s="9" t="s">
        <v>571</v>
      </c>
      <c r="S2568" s="9" t="s">
        <v>573</v>
      </c>
      <c r="V2568" s="10">
        <v>12.5</v>
      </c>
      <c r="W2568" s="10" t="s">
        <v>1189</v>
      </c>
      <c r="X2568" s="17">
        <v>45452</v>
      </c>
      <c r="Y2568" s="17">
        <v>45458</v>
      </c>
      <c r="Z2568" s="19" t="s">
        <v>772</v>
      </c>
      <c r="AA2568" s="210">
        <v>5500</v>
      </c>
      <c r="AB2568" s="9">
        <v>24</v>
      </c>
      <c r="AC2568" s="9">
        <v>2</v>
      </c>
      <c r="AD2568" s="17">
        <v>45536</v>
      </c>
      <c r="AE2568" s="56">
        <v>187.5</v>
      </c>
      <c r="AF2568" s="56"/>
      <c r="AG2568" s="9" t="s">
        <v>134</v>
      </c>
      <c r="AH2568" s="17">
        <v>45527</v>
      </c>
      <c r="AI2568" s="17"/>
      <c r="AJ2568" s="17"/>
      <c r="AK2568" s="9" t="s">
        <v>1129</v>
      </c>
      <c r="AL2568" s="11">
        <v>187.5</v>
      </c>
      <c r="AN2568" s="11" t="s">
        <v>1137</v>
      </c>
      <c r="AP2568" s="11"/>
      <c r="AQ2568" s="11"/>
      <c r="AR2568" s="11"/>
      <c r="AW2568" s="42">
        <v>45530</v>
      </c>
      <c r="AX2568" s="36">
        <v>3082</v>
      </c>
      <c r="AY2568" s="36"/>
      <c r="AZ2568" s="36"/>
      <c r="BA2568" s="11">
        <v>187.5</v>
      </c>
      <c r="BB2568" s="11" t="s">
        <v>3509</v>
      </c>
      <c r="BD2568" s="9"/>
      <c r="CS2568" s="11">
        <f t="shared" si="178"/>
        <v>187.5</v>
      </c>
      <c r="CT2568" s="22">
        <f t="shared" si="179"/>
        <v>187.5</v>
      </c>
      <c r="CU2568" s="22">
        <f t="shared" si="180"/>
        <v>0</v>
      </c>
      <c r="CV2568" s="26">
        <f t="shared" si="177"/>
        <v>0</v>
      </c>
      <c r="CY2568" s="9" t="s">
        <v>3493</v>
      </c>
    </row>
    <row r="2569" spans="1:103" x14ac:dyDescent="0.2">
      <c r="A2569" s="9" t="s">
        <v>572</v>
      </c>
      <c r="B2569" s="2">
        <v>77</v>
      </c>
      <c r="C2569" s="3" t="s">
        <v>95</v>
      </c>
      <c r="D2569" s="3" t="s">
        <v>96</v>
      </c>
      <c r="E2569" s="2"/>
      <c r="F2569" s="2"/>
      <c r="G2569" s="2" t="s">
        <v>74</v>
      </c>
      <c r="H2569" s="2">
        <v>2</v>
      </c>
      <c r="I2569" s="8">
        <v>90</v>
      </c>
      <c r="J2569" s="8">
        <v>25499</v>
      </c>
      <c r="K2569" s="3">
        <v>0</v>
      </c>
      <c r="L2569" s="3" t="s">
        <v>3</v>
      </c>
      <c r="M2569" s="9" t="s">
        <v>0</v>
      </c>
      <c r="N2569" s="9" t="s">
        <v>48</v>
      </c>
      <c r="O2569" s="9" t="s">
        <v>571</v>
      </c>
      <c r="S2569" s="9" t="s">
        <v>573</v>
      </c>
      <c r="V2569" s="10">
        <v>12.5</v>
      </c>
      <c r="W2569" s="10" t="s">
        <v>1189</v>
      </c>
      <c r="X2569" s="17">
        <v>45452</v>
      </c>
      <c r="Y2569" s="17">
        <v>45458</v>
      </c>
      <c r="Z2569" s="19" t="s">
        <v>772</v>
      </c>
      <c r="AA2569" s="210">
        <v>5500</v>
      </c>
      <c r="AB2569" s="9">
        <v>24</v>
      </c>
      <c r="AC2569" s="9">
        <v>3</v>
      </c>
      <c r="AD2569" s="17">
        <v>45566</v>
      </c>
      <c r="AE2569" s="56">
        <v>187.5</v>
      </c>
      <c r="AF2569" s="56"/>
      <c r="AG2569" s="9" t="s">
        <v>134</v>
      </c>
      <c r="AH2569" s="17">
        <v>45565</v>
      </c>
      <c r="AI2569" s="17"/>
      <c r="AJ2569" s="17"/>
      <c r="AK2569" s="9" t="s">
        <v>1130</v>
      </c>
      <c r="AL2569" s="11">
        <v>187.5</v>
      </c>
      <c r="AN2569" s="11" t="s">
        <v>1138</v>
      </c>
      <c r="AP2569" s="11"/>
      <c r="AQ2569" s="11"/>
      <c r="AR2569" s="11"/>
      <c r="AW2569" s="42">
        <v>45566</v>
      </c>
      <c r="AX2569" s="36">
        <v>3216</v>
      </c>
      <c r="AY2569" s="36"/>
      <c r="AZ2569" s="36"/>
      <c r="BA2569" s="11">
        <v>187.5</v>
      </c>
      <c r="BB2569" s="11" t="s">
        <v>3509</v>
      </c>
      <c r="BD2569" s="9"/>
      <c r="CS2569" s="11">
        <f t="shared" si="178"/>
        <v>187.5</v>
      </c>
      <c r="CT2569" s="22">
        <f t="shared" si="179"/>
        <v>187.5</v>
      </c>
      <c r="CU2569" s="22">
        <f t="shared" si="180"/>
        <v>0</v>
      </c>
      <c r="CV2569" s="26">
        <f t="shared" si="177"/>
        <v>0</v>
      </c>
      <c r="CY2569" s="9" t="s">
        <v>3493</v>
      </c>
    </row>
    <row r="2570" spans="1:103" x14ac:dyDescent="0.2">
      <c r="A2570" s="9" t="s">
        <v>572</v>
      </c>
      <c r="B2570" s="2">
        <v>77</v>
      </c>
      <c r="C2570" s="3" t="s">
        <v>95</v>
      </c>
      <c r="D2570" s="3" t="s">
        <v>96</v>
      </c>
      <c r="E2570" s="2"/>
      <c r="F2570" s="2"/>
      <c r="G2570" s="2" t="s">
        <v>74</v>
      </c>
      <c r="H2570" s="2">
        <v>2</v>
      </c>
      <c r="I2570" s="8">
        <v>90</v>
      </c>
      <c r="J2570" s="8">
        <v>25499</v>
      </c>
      <c r="K2570" s="3">
        <v>0</v>
      </c>
      <c r="L2570" s="3" t="s">
        <v>3</v>
      </c>
      <c r="M2570" s="9" t="s">
        <v>0</v>
      </c>
      <c r="N2570" s="9" t="s">
        <v>48</v>
      </c>
      <c r="O2570" s="9" t="s">
        <v>571</v>
      </c>
      <c r="S2570" s="9" t="s">
        <v>573</v>
      </c>
      <c r="V2570" s="10">
        <v>12.5</v>
      </c>
      <c r="W2570" s="10" t="s">
        <v>1189</v>
      </c>
      <c r="X2570" s="17">
        <v>45452</v>
      </c>
      <c r="Y2570" s="17">
        <v>45458</v>
      </c>
      <c r="Z2570" s="19" t="s">
        <v>772</v>
      </c>
      <c r="AA2570" s="210">
        <v>5500</v>
      </c>
      <c r="AB2570" s="9">
        <v>24</v>
      </c>
      <c r="AC2570" s="9">
        <v>4</v>
      </c>
      <c r="AD2570" s="17">
        <v>45597</v>
      </c>
      <c r="AE2570" s="56">
        <v>187.5</v>
      </c>
      <c r="AF2570" s="56"/>
      <c r="AG2570" s="9" t="s">
        <v>134</v>
      </c>
      <c r="AH2570" s="17">
        <v>45595</v>
      </c>
      <c r="AI2570" s="17"/>
      <c r="AJ2570" s="17"/>
      <c r="AK2570" s="9" t="s">
        <v>1131</v>
      </c>
      <c r="AL2570" s="11">
        <v>187.5</v>
      </c>
      <c r="AN2570" s="11" t="s">
        <v>1139</v>
      </c>
      <c r="AP2570" s="11"/>
      <c r="AQ2570" s="11"/>
      <c r="AR2570" s="11"/>
      <c r="AW2570" s="42">
        <v>45596</v>
      </c>
      <c r="AX2570" s="36">
        <v>3339</v>
      </c>
      <c r="AY2570" s="36"/>
      <c r="AZ2570" s="36"/>
      <c r="BA2570" s="11">
        <v>187.5</v>
      </c>
      <c r="BB2570" s="11" t="s">
        <v>3509</v>
      </c>
      <c r="BD2570" s="9"/>
      <c r="CS2570" s="11">
        <f t="shared" si="178"/>
        <v>187.5</v>
      </c>
      <c r="CT2570" s="22">
        <f t="shared" si="179"/>
        <v>187.5</v>
      </c>
      <c r="CU2570" s="22">
        <f t="shared" si="180"/>
        <v>0</v>
      </c>
      <c r="CV2570" s="26">
        <f t="shared" si="177"/>
        <v>0</v>
      </c>
      <c r="CY2570" s="9" t="s">
        <v>3493</v>
      </c>
    </row>
    <row r="2571" spans="1:103" ht="12.75" x14ac:dyDescent="0.2">
      <c r="A2571" s="9" t="s">
        <v>572</v>
      </c>
      <c r="B2571" s="2">
        <v>77</v>
      </c>
      <c r="C2571" s="3" t="s">
        <v>95</v>
      </c>
      <c r="D2571" s="3" t="s">
        <v>96</v>
      </c>
      <c r="E2571" s="2"/>
      <c r="F2571" s="2"/>
      <c r="G2571" s="2" t="s">
        <v>74</v>
      </c>
      <c r="H2571" s="2">
        <v>2</v>
      </c>
      <c r="I2571" s="8">
        <v>90</v>
      </c>
      <c r="J2571" s="8">
        <v>25499</v>
      </c>
      <c r="K2571" s="3">
        <v>0</v>
      </c>
      <c r="L2571" s="3" t="s">
        <v>3</v>
      </c>
      <c r="M2571" s="9" t="s">
        <v>0</v>
      </c>
      <c r="N2571" s="9" t="s">
        <v>48</v>
      </c>
      <c r="O2571" s="9" t="s">
        <v>571</v>
      </c>
      <c r="S2571" s="9" t="s">
        <v>573</v>
      </c>
      <c r="V2571" s="10">
        <v>12.5</v>
      </c>
      <c r="W2571" s="10" t="s">
        <v>1189</v>
      </c>
      <c r="X2571" s="17">
        <v>45452</v>
      </c>
      <c r="Y2571" s="17">
        <v>45458</v>
      </c>
      <c r="Z2571" s="19" t="s">
        <v>772</v>
      </c>
      <c r="AA2571" s="210">
        <v>5500</v>
      </c>
      <c r="AB2571" s="9">
        <v>24</v>
      </c>
      <c r="AC2571" s="9">
        <v>5</v>
      </c>
      <c r="AD2571" s="17">
        <v>45627</v>
      </c>
      <c r="AE2571" s="56">
        <v>187.5</v>
      </c>
      <c r="AF2571" s="56"/>
      <c r="AG2571" s="9" t="s">
        <v>134</v>
      </c>
      <c r="AH2571" s="17">
        <v>45624</v>
      </c>
      <c r="AI2571" s="17"/>
      <c r="AJ2571" s="17"/>
      <c r="AK2571" s="9" t="s">
        <v>1132</v>
      </c>
      <c r="AL2571" s="11">
        <v>187.5</v>
      </c>
      <c r="AN2571" s="11" t="s">
        <v>1140</v>
      </c>
      <c r="AP2571" s="11"/>
      <c r="AQ2571" s="11"/>
      <c r="AR2571" s="11"/>
      <c r="AW2571" s="108">
        <v>45625</v>
      </c>
      <c r="AX2571" s="122">
        <v>3451</v>
      </c>
      <c r="AY2571" s="36"/>
      <c r="AZ2571" s="36"/>
      <c r="BA2571" s="11">
        <v>187.5</v>
      </c>
      <c r="BB2571" s="11" t="s">
        <v>3509</v>
      </c>
      <c r="BD2571" s="9"/>
      <c r="CS2571" s="11">
        <f t="shared" si="178"/>
        <v>187.5</v>
      </c>
      <c r="CT2571" s="22">
        <f t="shared" si="179"/>
        <v>187.5</v>
      </c>
      <c r="CU2571" s="22">
        <f t="shared" si="180"/>
        <v>0</v>
      </c>
      <c r="CV2571" s="26">
        <f t="shared" si="177"/>
        <v>0</v>
      </c>
      <c r="CY2571" s="9" t="s">
        <v>3493</v>
      </c>
    </row>
    <row r="2572" spans="1:103" x14ac:dyDescent="0.2">
      <c r="A2572" s="9" t="s">
        <v>572</v>
      </c>
      <c r="B2572" s="2">
        <v>77</v>
      </c>
      <c r="C2572" s="3" t="s">
        <v>95</v>
      </c>
      <c r="D2572" s="3" t="s">
        <v>96</v>
      </c>
      <c r="E2572" s="2"/>
      <c r="F2572" s="2"/>
      <c r="G2572" s="2" t="s">
        <v>74</v>
      </c>
      <c r="H2572" s="2">
        <v>2</v>
      </c>
      <c r="I2572" s="8">
        <v>90</v>
      </c>
      <c r="J2572" s="8">
        <v>25499</v>
      </c>
      <c r="K2572" s="3">
        <v>0</v>
      </c>
      <c r="L2572" s="3" t="s">
        <v>3</v>
      </c>
      <c r="M2572" s="9" t="s">
        <v>0</v>
      </c>
      <c r="N2572" s="9" t="s">
        <v>48</v>
      </c>
      <c r="O2572" s="9" t="s">
        <v>571</v>
      </c>
      <c r="S2572" s="9" t="s">
        <v>573</v>
      </c>
      <c r="V2572" s="10">
        <v>12.5</v>
      </c>
      <c r="W2572" s="10" t="s">
        <v>1189</v>
      </c>
      <c r="X2572" s="17">
        <v>45452</v>
      </c>
      <c r="Y2572" s="17">
        <v>45458</v>
      </c>
      <c r="Z2572" s="19" t="s">
        <v>772</v>
      </c>
      <c r="AA2572" s="210">
        <v>5500</v>
      </c>
      <c r="AB2572" s="9">
        <v>24</v>
      </c>
      <c r="AC2572" s="9">
        <v>6</v>
      </c>
      <c r="AD2572" s="17">
        <v>45658</v>
      </c>
      <c r="AE2572" s="56">
        <v>187.5</v>
      </c>
      <c r="AF2572" s="56"/>
      <c r="AG2572" s="9" t="s">
        <v>134</v>
      </c>
      <c r="AH2572" s="17">
        <v>45656</v>
      </c>
      <c r="AI2572" s="17"/>
      <c r="AJ2572" s="17"/>
      <c r="AK2572" s="9" t="s">
        <v>1133</v>
      </c>
      <c r="AL2572" s="11">
        <v>187.5</v>
      </c>
      <c r="AN2572" s="11" t="s">
        <v>1141</v>
      </c>
      <c r="AP2572" s="11"/>
      <c r="AQ2572" s="11"/>
      <c r="AR2572" s="11"/>
      <c r="AW2572" s="42">
        <v>45659</v>
      </c>
      <c r="AX2572" s="36">
        <v>3566</v>
      </c>
      <c r="AY2572" s="36"/>
      <c r="AZ2572" s="36"/>
      <c r="BA2572" s="11">
        <v>187.5</v>
      </c>
      <c r="BB2572" s="11" t="s">
        <v>3509</v>
      </c>
      <c r="BD2572" s="9"/>
      <c r="CS2572" s="11">
        <f t="shared" si="178"/>
        <v>187.5</v>
      </c>
      <c r="CT2572" s="22">
        <f t="shared" si="179"/>
        <v>187.5</v>
      </c>
      <c r="CU2572" s="22">
        <f t="shared" si="180"/>
        <v>0</v>
      </c>
      <c r="CV2572" s="26">
        <f t="shared" si="177"/>
        <v>0</v>
      </c>
      <c r="CY2572" s="9" t="s">
        <v>3493</v>
      </c>
    </row>
    <row r="2573" spans="1:103" x14ac:dyDescent="0.2">
      <c r="A2573" s="9" t="s">
        <v>572</v>
      </c>
      <c r="B2573" s="2">
        <v>77</v>
      </c>
      <c r="C2573" s="3" t="s">
        <v>95</v>
      </c>
      <c r="D2573" s="3" t="s">
        <v>96</v>
      </c>
      <c r="E2573" s="2"/>
      <c r="F2573" s="2"/>
      <c r="G2573" s="2" t="s">
        <v>74</v>
      </c>
      <c r="H2573" s="2">
        <v>2</v>
      </c>
      <c r="I2573" s="8">
        <v>90</v>
      </c>
      <c r="J2573" s="8">
        <v>25499</v>
      </c>
      <c r="K2573" s="3">
        <v>0</v>
      </c>
      <c r="L2573" s="3" t="s">
        <v>3</v>
      </c>
      <c r="M2573" s="9" t="s">
        <v>0</v>
      </c>
      <c r="N2573" s="9" t="s">
        <v>48</v>
      </c>
      <c r="O2573" s="9" t="s">
        <v>571</v>
      </c>
      <c r="S2573" s="9" t="s">
        <v>573</v>
      </c>
      <c r="V2573" s="10">
        <v>12.5</v>
      </c>
      <c r="W2573" s="10" t="s">
        <v>1189</v>
      </c>
      <c r="X2573" s="17">
        <v>45452</v>
      </c>
      <c r="Y2573" s="17">
        <v>45458</v>
      </c>
      <c r="Z2573" s="19" t="s">
        <v>772</v>
      </c>
      <c r="AA2573" s="210">
        <v>5500</v>
      </c>
      <c r="AB2573" s="9">
        <v>24</v>
      </c>
      <c r="AC2573" s="9">
        <v>7</v>
      </c>
      <c r="AD2573" s="17">
        <v>45689</v>
      </c>
      <c r="AE2573" s="56">
        <v>187.5</v>
      </c>
      <c r="AF2573" s="56"/>
      <c r="AG2573" s="9" t="s">
        <v>134</v>
      </c>
      <c r="AH2573" s="17">
        <v>45688</v>
      </c>
      <c r="AI2573" s="17"/>
      <c r="AJ2573" s="17"/>
      <c r="AK2573" s="9" t="s">
        <v>1142</v>
      </c>
      <c r="AL2573" s="11">
        <v>187.5</v>
      </c>
      <c r="AN2573" s="11" t="s">
        <v>1149</v>
      </c>
      <c r="AP2573" s="11"/>
      <c r="AQ2573" s="11"/>
      <c r="AR2573" s="11"/>
      <c r="AW2573" s="42">
        <v>45691</v>
      </c>
      <c r="AX2573" s="36">
        <v>3689</v>
      </c>
      <c r="AY2573" s="36"/>
      <c r="AZ2573" s="36"/>
      <c r="BA2573" s="11">
        <v>187.5</v>
      </c>
      <c r="BB2573" s="11" t="s">
        <v>3509</v>
      </c>
      <c r="BD2573" s="9"/>
      <c r="CS2573" s="11">
        <f t="shared" si="178"/>
        <v>187.5</v>
      </c>
      <c r="CT2573" s="22">
        <f t="shared" si="179"/>
        <v>187.5</v>
      </c>
      <c r="CU2573" s="22">
        <f t="shared" si="180"/>
        <v>0</v>
      </c>
      <c r="CV2573" s="26">
        <f t="shared" si="177"/>
        <v>0</v>
      </c>
      <c r="CY2573" s="9" t="s">
        <v>3493</v>
      </c>
    </row>
    <row r="2574" spans="1:103" x14ac:dyDescent="0.2">
      <c r="A2574" s="9" t="s">
        <v>572</v>
      </c>
      <c r="B2574" s="2">
        <v>77</v>
      </c>
      <c r="C2574" s="3" t="s">
        <v>95</v>
      </c>
      <c r="D2574" s="3" t="s">
        <v>96</v>
      </c>
      <c r="E2574" s="2"/>
      <c r="F2574" s="2"/>
      <c r="G2574" s="2" t="s">
        <v>74</v>
      </c>
      <c r="H2574" s="2">
        <v>2</v>
      </c>
      <c r="I2574" s="8">
        <v>90</v>
      </c>
      <c r="J2574" s="8">
        <v>25499</v>
      </c>
      <c r="K2574" s="3">
        <v>0</v>
      </c>
      <c r="L2574" s="3" t="s">
        <v>3</v>
      </c>
      <c r="M2574" s="9" t="s">
        <v>0</v>
      </c>
      <c r="N2574" s="9" t="s">
        <v>48</v>
      </c>
      <c r="O2574" s="9" t="s">
        <v>571</v>
      </c>
      <c r="S2574" s="9" t="s">
        <v>573</v>
      </c>
      <c r="V2574" s="10">
        <v>12.5</v>
      </c>
      <c r="W2574" s="10" t="s">
        <v>1189</v>
      </c>
      <c r="X2574" s="17">
        <v>45452</v>
      </c>
      <c r="Y2574" s="17">
        <v>45458</v>
      </c>
      <c r="Z2574" s="19" t="s">
        <v>772</v>
      </c>
      <c r="AA2574" s="210">
        <v>5500</v>
      </c>
      <c r="AB2574" s="9">
        <v>24</v>
      </c>
      <c r="AC2574" s="9">
        <v>8</v>
      </c>
      <c r="AD2574" s="17">
        <v>45717</v>
      </c>
      <c r="AE2574" s="56">
        <v>187.5</v>
      </c>
      <c r="AF2574" s="56"/>
      <c r="AG2574" s="9" t="s">
        <v>134</v>
      </c>
      <c r="AH2574" s="17">
        <v>45715</v>
      </c>
      <c r="AI2574" s="17"/>
      <c r="AJ2574" s="17"/>
      <c r="AK2574" s="9" t="s">
        <v>1143</v>
      </c>
      <c r="AL2574" s="11">
        <v>187.5</v>
      </c>
      <c r="AN2574" s="11" t="s">
        <v>1150</v>
      </c>
      <c r="AP2574" s="11"/>
      <c r="AQ2574" s="11"/>
      <c r="AR2574" s="11"/>
      <c r="AW2574" s="42">
        <v>45716</v>
      </c>
      <c r="AX2574" s="36">
        <v>3813</v>
      </c>
      <c r="AY2574" s="36"/>
      <c r="AZ2574" s="36"/>
      <c r="BA2574" s="11">
        <v>187.5</v>
      </c>
      <c r="BB2574" s="11" t="s">
        <v>3509</v>
      </c>
      <c r="BD2574" s="9"/>
      <c r="CS2574" s="11">
        <f t="shared" si="178"/>
        <v>187.5</v>
      </c>
      <c r="CT2574" s="22">
        <f t="shared" si="179"/>
        <v>187.5</v>
      </c>
      <c r="CU2574" s="22">
        <f t="shared" si="180"/>
        <v>0</v>
      </c>
      <c r="CV2574" s="26">
        <f t="shared" si="177"/>
        <v>0</v>
      </c>
      <c r="CY2574" s="9" t="s">
        <v>3493</v>
      </c>
    </row>
    <row r="2575" spans="1:103" x14ac:dyDescent="0.2">
      <c r="A2575" s="9" t="s">
        <v>572</v>
      </c>
      <c r="B2575" s="2">
        <v>77</v>
      </c>
      <c r="C2575" s="3" t="s">
        <v>95</v>
      </c>
      <c r="D2575" s="3" t="s">
        <v>96</v>
      </c>
      <c r="E2575" s="2"/>
      <c r="F2575" s="2"/>
      <c r="G2575" s="2" t="s">
        <v>74</v>
      </c>
      <c r="H2575" s="2">
        <v>2</v>
      </c>
      <c r="I2575" s="8">
        <v>90</v>
      </c>
      <c r="J2575" s="8">
        <v>25499</v>
      </c>
      <c r="K2575" s="3">
        <v>0</v>
      </c>
      <c r="L2575" s="3" t="s">
        <v>3</v>
      </c>
      <c r="M2575" s="9" t="s">
        <v>0</v>
      </c>
      <c r="N2575" s="9" t="s">
        <v>48</v>
      </c>
      <c r="O2575" s="9" t="s">
        <v>571</v>
      </c>
      <c r="S2575" s="9" t="s">
        <v>573</v>
      </c>
      <c r="V2575" s="10">
        <v>12.5</v>
      </c>
      <c r="W2575" s="10" t="s">
        <v>1189</v>
      </c>
      <c r="X2575" s="17">
        <v>45452</v>
      </c>
      <c r="Y2575" s="17">
        <v>45458</v>
      </c>
      <c r="Z2575" s="19" t="s">
        <v>772</v>
      </c>
      <c r="AA2575" s="210">
        <v>5500</v>
      </c>
      <c r="AB2575" s="9">
        <v>24</v>
      </c>
      <c r="AC2575" s="9">
        <v>9</v>
      </c>
      <c r="AD2575" s="17">
        <v>45748</v>
      </c>
      <c r="AE2575" s="56">
        <v>187.5</v>
      </c>
      <c r="AF2575" s="56"/>
      <c r="AG2575" s="9" t="s">
        <v>134</v>
      </c>
      <c r="AH2575" s="17">
        <v>45744</v>
      </c>
      <c r="AI2575" s="17"/>
      <c r="AJ2575" s="17"/>
      <c r="AK2575" s="9" t="s">
        <v>1144</v>
      </c>
      <c r="AL2575" s="11">
        <v>187.5</v>
      </c>
      <c r="AN2575" s="11" t="s">
        <v>1151</v>
      </c>
      <c r="AP2575" s="11"/>
      <c r="AQ2575" s="11"/>
      <c r="AR2575" s="11"/>
      <c r="AW2575" s="42">
        <v>45747</v>
      </c>
      <c r="AX2575" s="36">
        <v>3943</v>
      </c>
      <c r="AY2575" s="36"/>
      <c r="AZ2575" s="36"/>
      <c r="BA2575" s="11">
        <v>187.5</v>
      </c>
      <c r="BB2575" s="11" t="s">
        <v>3509</v>
      </c>
      <c r="BD2575" s="9"/>
      <c r="CS2575" s="11">
        <f t="shared" si="178"/>
        <v>187.5</v>
      </c>
      <c r="CT2575" s="22">
        <f t="shared" si="179"/>
        <v>187.5</v>
      </c>
      <c r="CU2575" s="22">
        <f t="shared" si="180"/>
        <v>0</v>
      </c>
      <c r="CV2575" s="26">
        <f t="shared" si="177"/>
        <v>0</v>
      </c>
      <c r="CY2575" s="9" t="s">
        <v>3493</v>
      </c>
    </row>
    <row r="2576" spans="1:103" x14ac:dyDescent="0.2">
      <c r="A2576" s="9" t="s">
        <v>572</v>
      </c>
      <c r="B2576" s="2">
        <v>77</v>
      </c>
      <c r="C2576" s="3" t="s">
        <v>95</v>
      </c>
      <c r="D2576" s="3" t="s">
        <v>96</v>
      </c>
      <c r="E2576" s="2"/>
      <c r="F2576" s="2"/>
      <c r="G2576" s="2" t="s">
        <v>74</v>
      </c>
      <c r="H2576" s="2">
        <v>2</v>
      </c>
      <c r="I2576" s="8">
        <v>90</v>
      </c>
      <c r="J2576" s="8">
        <v>25499</v>
      </c>
      <c r="K2576" s="3">
        <v>0</v>
      </c>
      <c r="L2576" s="3" t="s">
        <v>3</v>
      </c>
      <c r="M2576" s="9" t="s">
        <v>0</v>
      </c>
      <c r="N2576" s="9" t="s">
        <v>48</v>
      </c>
      <c r="O2576" s="9" t="s">
        <v>571</v>
      </c>
      <c r="S2576" s="9" t="s">
        <v>573</v>
      </c>
      <c r="V2576" s="10">
        <v>12.5</v>
      </c>
      <c r="W2576" s="10" t="s">
        <v>1189</v>
      </c>
      <c r="X2576" s="17">
        <v>45452</v>
      </c>
      <c r="Y2576" s="17">
        <v>45458</v>
      </c>
      <c r="Z2576" s="19" t="s">
        <v>772</v>
      </c>
      <c r="AA2576" s="210">
        <v>5500</v>
      </c>
      <c r="AB2576" s="9">
        <v>24</v>
      </c>
      <c r="AC2576" s="9">
        <v>10</v>
      </c>
      <c r="AD2576" s="17">
        <v>45778</v>
      </c>
      <c r="AE2576" s="56">
        <v>187.5</v>
      </c>
      <c r="AF2576" s="56"/>
      <c r="AG2576" s="9" t="s">
        <v>134</v>
      </c>
      <c r="AH2576" s="17">
        <v>45776</v>
      </c>
      <c r="AI2576" s="17"/>
      <c r="AJ2576" s="17"/>
      <c r="AK2576" s="9" t="s">
        <v>1145</v>
      </c>
      <c r="AL2576" s="11">
        <v>187.5</v>
      </c>
      <c r="AN2576" s="11" t="s">
        <v>1152</v>
      </c>
      <c r="AP2576" s="11"/>
      <c r="AQ2576" s="11"/>
      <c r="AR2576" s="11"/>
      <c r="AW2576" s="42">
        <v>45777</v>
      </c>
      <c r="AX2576" s="36">
        <v>4081</v>
      </c>
      <c r="AY2576" s="36"/>
      <c r="AZ2576" s="36"/>
      <c r="BA2576" s="11">
        <v>187.5</v>
      </c>
      <c r="BB2576" s="11" t="s">
        <v>3509</v>
      </c>
      <c r="BD2576" s="9"/>
      <c r="CS2576" s="11">
        <f t="shared" si="178"/>
        <v>187.5</v>
      </c>
      <c r="CT2576" s="22">
        <f t="shared" si="179"/>
        <v>187.5</v>
      </c>
      <c r="CU2576" s="22">
        <f t="shared" si="180"/>
        <v>0</v>
      </c>
      <c r="CV2576" s="26">
        <f t="shared" si="177"/>
        <v>0</v>
      </c>
      <c r="CY2576" s="9" t="s">
        <v>3493</v>
      </c>
    </row>
    <row r="2577" spans="1:103" x14ac:dyDescent="0.2">
      <c r="A2577" s="9" t="s">
        <v>572</v>
      </c>
      <c r="B2577" s="2">
        <v>77</v>
      </c>
      <c r="C2577" s="3" t="s">
        <v>95</v>
      </c>
      <c r="D2577" s="3" t="s">
        <v>96</v>
      </c>
      <c r="E2577" s="2"/>
      <c r="F2577" s="2"/>
      <c r="G2577" s="2" t="s">
        <v>74</v>
      </c>
      <c r="H2577" s="2">
        <v>2</v>
      </c>
      <c r="I2577" s="8">
        <v>90</v>
      </c>
      <c r="J2577" s="8">
        <v>25499</v>
      </c>
      <c r="K2577" s="3">
        <v>0</v>
      </c>
      <c r="L2577" s="3" t="s">
        <v>3</v>
      </c>
      <c r="M2577" s="9" t="s">
        <v>0</v>
      </c>
      <c r="N2577" s="9" t="s">
        <v>48</v>
      </c>
      <c r="O2577" s="9" t="s">
        <v>571</v>
      </c>
      <c r="S2577" s="9" t="s">
        <v>573</v>
      </c>
      <c r="V2577" s="10">
        <v>12.5</v>
      </c>
      <c r="W2577" s="10" t="s">
        <v>1189</v>
      </c>
      <c r="X2577" s="17">
        <v>45452</v>
      </c>
      <c r="Y2577" s="17">
        <v>45458</v>
      </c>
      <c r="Z2577" s="19" t="s">
        <v>772</v>
      </c>
      <c r="AA2577" s="210">
        <v>5500</v>
      </c>
      <c r="AB2577" s="9">
        <v>24</v>
      </c>
      <c r="AC2577" s="9">
        <v>11</v>
      </c>
      <c r="AD2577" s="17">
        <v>45809</v>
      </c>
      <c r="AE2577" s="56">
        <v>187.5</v>
      </c>
      <c r="AF2577" s="56"/>
      <c r="AG2577" s="9" t="s">
        <v>134</v>
      </c>
      <c r="AH2577" s="17">
        <v>45806</v>
      </c>
      <c r="AI2577" s="17"/>
      <c r="AJ2577" s="17"/>
      <c r="AK2577" s="9" t="s">
        <v>1146</v>
      </c>
      <c r="AL2577" s="11">
        <v>187.5</v>
      </c>
      <c r="AN2577" s="11" t="s">
        <v>1153</v>
      </c>
      <c r="AP2577" s="11"/>
      <c r="AQ2577" s="11"/>
      <c r="AR2577" s="11"/>
      <c r="AW2577" s="42">
        <v>45807</v>
      </c>
      <c r="AX2577" s="36">
        <v>4226</v>
      </c>
      <c r="AY2577" s="36"/>
      <c r="AZ2577" s="36"/>
      <c r="BA2577" s="11">
        <v>187.5</v>
      </c>
      <c r="BB2577" s="11" t="s">
        <v>3509</v>
      </c>
      <c r="BD2577" s="9"/>
      <c r="CS2577" s="11">
        <f t="shared" si="178"/>
        <v>187.5</v>
      </c>
      <c r="CT2577" s="22">
        <f t="shared" si="179"/>
        <v>187.5</v>
      </c>
      <c r="CU2577" s="22">
        <f t="shared" si="180"/>
        <v>0</v>
      </c>
      <c r="CV2577" s="26">
        <f t="shared" si="177"/>
        <v>0</v>
      </c>
      <c r="CY2577" s="9" t="s">
        <v>3493</v>
      </c>
    </row>
    <row r="2578" spans="1:103" x14ac:dyDescent="0.2">
      <c r="A2578" s="9" t="s">
        <v>572</v>
      </c>
      <c r="B2578" s="2">
        <v>77</v>
      </c>
      <c r="C2578" s="3" t="s">
        <v>95</v>
      </c>
      <c r="D2578" s="3" t="s">
        <v>96</v>
      </c>
      <c r="E2578" s="2"/>
      <c r="F2578" s="2"/>
      <c r="G2578" s="2" t="s">
        <v>74</v>
      </c>
      <c r="H2578" s="2">
        <v>2</v>
      </c>
      <c r="I2578" s="8">
        <v>90</v>
      </c>
      <c r="J2578" s="8">
        <v>25499</v>
      </c>
      <c r="K2578" s="3">
        <v>0</v>
      </c>
      <c r="L2578" s="3" t="s">
        <v>3</v>
      </c>
      <c r="M2578" s="9" t="s">
        <v>0</v>
      </c>
      <c r="N2578" s="9" t="s">
        <v>48</v>
      </c>
      <c r="O2578" s="9" t="s">
        <v>571</v>
      </c>
      <c r="S2578" s="9" t="s">
        <v>573</v>
      </c>
      <c r="V2578" s="10">
        <v>12.5</v>
      </c>
      <c r="W2578" s="10" t="s">
        <v>1189</v>
      </c>
      <c r="X2578" s="17">
        <v>45452</v>
      </c>
      <c r="Y2578" s="17">
        <v>45458</v>
      </c>
      <c r="Z2578" s="19" t="s">
        <v>772</v>
      </c>
      <c r="AA2578" s="210">
        <v>5500</v>
      </c>
      <c r="AB2578" s="9">
        <v>24</v>
      </c>
      <c r="AC2578" s="9">
        <v>12</v>
      </c>
      <c r="AD2578" s="17">
        <v>45839</v>
      </c>
      <c r="AE2578" s="56">
        <v>187.5</v>
      </c>
      <c r="AF2578" s="56"/>
      <c r="AG2578" s="9" t="s">
        <v>134</v>
      </c>
      <c r="AH2578" s="17">
        <v>45838</v>
      </c>
      <c r="AI2578" s="17"/>
      <c r="AJ2578" s="17"/>
      <c r="AK2578" s="9" t="s">
        <v>1147</v>
      </c>
      <c r="AL2578" s="11">
        <v>187.5</v>
      </c>
      <c r="AN2578" s="11" t="s">
        <v>1154</v>
      </c>
      <c r="AP2578" s="11"/>
      <c r="AQ2578" s="11"/>
      <c r="AR2578" s="11"/>
      <c r="AW2578" s="17">
        <v>45839</v>
      </c>
      <c r="AX2578" s="9">
        <v>4356</v>
      </c>
      <c r="BA2578" s="11">
        <v>187.5</v>
      </c>
      <c r="BD2578" s="9"/>
      <c r="CS2578" s="11">
        <f t="shared" si="178"/>
        <v>187.5</v>
      </c>
      <c r="CT2578" s="22">
        <f t="shared" si="179"/>
        <v>187.5</v>
      </c>
      <c r="CU2578" s="22">
        <f t="shared" si="180"/>
        <v>0</v>
      </c>
      <c r="CV2578" s="26">
        <f t="shared" si="177"/>
        <v>0</v>
      </c>
      <c r="CY2578" s="9" t="s">
        <v>3493</v>
      </c>
    </row>
    <row r="2579" spans="1:103" x14ac:dyDescent="0.2">
      <c r="A2579" s="9" t="s">
        <v>572</v>
      </c>
      <c r="B2579" s="2">
        <v>77</v>
      </c>
      <c r="C2579" s="3" t="s">
        <v>95</v>
      </c>
      <c r="D2579" s="3" t="s">
        <v>96</v>
      </c>
      <c r="E2579" s="2"/>
      <c r="F2579" s="2"/>
      <c r="G2579" s="2" t="s">
        <v>74</v>
      </c>
      <c r="H2579" s="2">
        <v>2</v>
      </c>
      <c r="I2579" s="8">
        <v>90</v>
      </c>
      <c r="J2579" s="8">
        <v>25499</v>
      </c>
      <c r="K2579" s="3">
        <v>0</v>
      </c>
      <c r="L2579" s="3" t="s">
        <v>3</v>
      </c>
      <c r="M2579" s="9" t="s">
        <v>0</v>
      </c>
      <c r="N2579" s="9" t="s">
        <v>48</v>
      </c>
      <c r="O2579" s="9" t="s">
        <v>571</v>
      </c>
      <c r="S2579" s="9" t="s">
        <v>573</v>
      </c>
      <c r="V2579" s="10">
        <v>12.5</v>
      </c>
      <c r="W2579" s="10" t="s">
        <v>1189</v>
      </c>
      <c r="X2579" s="17">
        <v>45452</v>
      </c>
      <c r="Y2579" s="17">
        <v>45458</v>
      </c>
      <c r="Z2579" s="19" t="s">
        <v>772</v>
      </c>
      <c r="AA2579" s="210">
        <v>5500</v>
      </c>
      <c r="AB2579" s="9">
        <v>24</v>
      </c>
      <c r="AC2579" s="9">
        <v>13</v>
      </c>
      <c r="AD2579" s="17">
        <v>45870</v>
      </c>
      <c r="AE2579" s="56">
        <v>187.5</v>
      </c>
      <c r="AF2579" s="56"/>
      <c r="AG2579" s="9" t="s">
        <v>134</v>
      </c>
      <c r="AH2579" s="17">
        <v>45869</v>
      </c>
      <c r="AI2579" s="17"/>
      <c r="AJ2579" s="17"/>
      <c r="AK2579" s="9" t="s">
        <v>1148</v>
      </c>
      <c r="AL2579" s="11">
        <v>187.5</v>
      </c>
      <c r="AN2579" s="11" t="s">
        <v>1155</v>
      </c>
      <c r="AP2579" s="11"/>
      <c r="AQ2579" s="11"/>
      <c r="AR2579" s="11"/>
      <c r="AW2579" s="17">
        <v>45869</v>
      </c>
      <c r="AX2579" s="9" t="s">
        <v>1188</v>
      </c>
      <c r="BA2579" s="11">
        <v>187.5</v>
      </c>
      <c r="BD2579" s="9"/>
      <c r="CS2579" s="11">
        <f t="shared" si="178"/>
        <v>187.5</v>
      </c>
      <c r="CT2579" s="22">
        <f t="shared" si="179"/>
        <v>187.5</v>
      </c>
      <c r="CU2579" s="22">
        <f t="shared" si="180"/>
        <v>0</v>
      </c>
      <c r="CV2579" s="26">
        <f t="shared" si="177"/>
        <v>0</v>
      </c>
    </row>
    <row r="2580" spans="1:103" x14ac:dyDescent="0.2">
      <c r="A2580" s="9" t="s">
        <v>572</v>
      </c>
      <c r="B2580" s="2">
        <v>77</v>
      </c>
      <c r="C2580" s="3" t="s">
        <v>95</v>
      </c>
      <c r="D2580" s="3" t="s">
        <v>96</v>
      </c>
      <c r="E2580" s="2"/>
      <c r="F2580" s="2"/>
      <c r="G2580" s="2" t="s">
        <v>74</v>
      </c>
      <c r="H2580" s="2">
        <v>2</v>
      </c>
      <c r="I2580" s="8">
        <v>90</v>
      </c>
      <c r="J2580" s="8">
        <v>25499</v>
      </c>
      <c r="K2580" s="3">
        <v>0</v>
      </c>
      <c r="L2580" s="3" t="s">
        <v>3</v>
      </c>
      <c r="M2580" s="9" t="s">
        <v>0</v>
      </c>
      <c r="N2580" s="9" t="s">
        <v>48</v>
      </c>
      <c r="O2580" s="9" t="s">
        <v>571</v>
      </c>
      <c r="S2580" s="9" t="s">
        <v>573</v>
      </c>
      <c r="V2580" s="10">
        <v>12.5</v>
      </c>
      <c r="W2580" s="10" t="s">
        <v>1189</v>
      </c>
      <c r="X2580" s="17">
        <v>45452</v>
      </c>
      <c r="Y2580" s="17">
        <v>45458</v>
      </c>
      <c r="Z2580" s="19" t="s">
        <v>772</v>
      </c>
      <c r="AA2580" s="210">
        <v>5500</v>
      </c>
      <c r="AB2580" s="9">
        <v>24</v>
      </c>
      <c r="AC2580" s="9">
        <v>14</v>
      </c>
      <c r="AD2580" s="17">
        <v>45901</v>
      </c>
      <c r="AE2580" s="123">
        <v>187.5</v>
      </c>
      <c r="AF2580" s="56"/>
      <c r="AP2580" s="11"/>
      <c r="AQ2580" s="11"/>
      <c r="AR2580" s="11"/>
      <c r="AW2580" s="9"/>
      <c r="BD2580" s="9"/>
      <c r="CS2580" s="11">
        <f t="shared" si="178"/>
        <v>0</v>
      </c>
      <c r="CT2580" s="22">
        <f t="shared" si="179"/>
        <v>0</v>
      </c>
      <c r="CU2580" s="22">
        <f t="shared" si="180"/>
        <v>0</v>
      </c>
      <c r="CV2580" s="26">
        <f t="shared" si="177"/>
        <v>187.5</v>
      </c>
    </row>
    <row r="2581" spans="1:103" x14ac:dyDescent="0.2">
      <c r="A2581" s="9" t="s">
        <v>572</v>
      </c>
      <c r="B2581" s="2">
        <v>77</v>
      </c>
      <c r="C2581" s="3" t="s">
        <v>95</v>
      </c>
      <c r="D2581" s="3" t="s">
        <v>96</v>
      </c>
      <c r="E2581" s="2"/>
      <c r="F2581" s="2"/>
      <c r="G2581" s="2" t="s">
        <v>74</v>
      </c>
      <c r="H2581" s="2">
        <v>2</v>
      </c>
      <c r="I2581" s="8">
        <v>90</v>
      </c>
      <c r="J2581" s="8">
        <v>25499</v>
      </c>
      <c r="K2581" s="3">
        <v>0</v>
      </c>
      <c r="L2581" s="3" t="s">
        <v>3</v>
      </c>
      <c r="M2581" s="9" t="s">
        <v>0</v>
      </c>
      <c r="N2581" s="9" t="s">
        <v>48</v>
      </c>
      <c r="O2581" s="9" t="s">
        <v>571</v>
      </c>
      <c r="S2581" s="9" t="s">
        <v>573</v>
      </c>
      <c r="V2581" s="10">
        <v>12.5</v>
      </c>
      <c r="W2581" s="10" t="s">
        <v>1189</v>
      </c>
      <c r="X2581" s="17">
        <v>45452</v>
      </c>
      <c r="Y2581" s="17">
        <v>45458</v>
      </c>
      <c r="Z2581" s="19" t="s">
        <v>772</v>
      </c>
      <c r="AA2581" s="210">
        <v>5500</v>
      </c>
      <c r="AB2581" s="9">
        <v>24</v>
      </c>
      <c r="AC2581" s="9">
        <v>15</v>
      </c>
      <c r="AD2581" s="17">
        <v>45931</v>
      </c>
      <c r="AE2581" s="123">
        <v>187.5</v>
      </c>
      <c r="AF2581" s="56"/>
      <c r="AP2581" s="11"/>
      <c r="AQ2581" s="11"/>
      <c r="AR2581" s="11"/>
      <c r="AW2581" s="9"/>
      <c r="BD2581" s="9"/>
      <c r="CS2581" s="11">
        <f t="shared" si="178"/>
        <v>0</v>
      </c>
      <c r="CT2581" s="22">
        <f t="shared" si="179"/>
        <v>0</v>
      </c>
      <c r="CU2581" s="22">
        <f t="shared" si="180"/>
        <v>0</v>
      </c>
      <c r="CV2581" s="26">
        <f t="shared" si="177"/>
        <v>187.5</v>
      </c>
    </row>
    <row r="2582" spans="1:103" x14ac:dyDescent="0.2">
      <c r="A2582" s="9" t="s">
        <v>572</v>
      </c>
      <c r="B2582" s="2">
        <v>77</v>
      </c>
      <c r="C2582" s="3" t="s">
        <v>95</v>
      </c>
      <c r="D2582" s="3" t="s">
        <v>96</v>
      </c>
      <c r="E2582" s="2"/>
      <c r="F2582" s="2"/>
      <c r="G2582" s="2" t="s">
        <v>74</v>
      </c>
      <c r="H2582" s="2">
        <v>2</v>
      </c>
      <c r="I2582" s="8">
        <v>90</v>
      </c>
      <c r="J2582" s="8">
        <v>25499</v>
      </c>
      <c r="K2582" s="3">
        <v>0</v>
      </c>
      <c r="L2582" s="3" t="s">
        <v>3</v>
      </c>
      <c r="M2582" s="9" t="s">
        <v>0</v>
      </c>
      <c r="N2582" s="9" t="s">
        <v>48</v>
      </c>
      <c r="O2582" s="9" t="s">
        <v>571</v>
      </c>
      <c r="S2582" s="9" t="s">
        <v>573</v>
      </c>
      <c r="V2582" s="10">
        <v>12.5</v>
      </c>
      <c r="W2582" s="10" t="s">
        <v>1189</v>
      </c>
      <c r="X2582" s="17">
        <v>45452</v>
      </c>
      <c r="Y2582" s="17">
        <v>45458</v>
      </c>
      <c r="Z2582" s="19" t="s">
        <v>772</v>
      </c>
      <c r="AA2582" s="210">
        <v>5500</v>
      </c>
      <c r="AB2582" s="9">
        <v>24</v>
      </c>
      <c r="AC2582" s="9">
        <v>16</v>
      </c>
      <c r="AD2582" s="17">
        <v>45962</v>
      </c>
      <c r="AE2582" s="123">
        <v>187.5</v>
      </c>
      <c r="AF2582" s="56"/>
      <c r="AP2582" s="11"/>
      <c r="AQ2582" s="11"/>
      <c r="AR2582" s="11"/>
      <c r="AW2582" s="9"/>
      <c r="BD2582" s="9"/>
      <c r="CS2582" s="11">
        <f t="shared" si="178"/>
        <v>0</v>
      </c>
      <c r="CT2582" s="22">
        <f t="shared" si="179"/>
        <v>0</v>
      </c>
      <c r="CU2582" s="22">
        <f t="shared" si="180"/>
        <v>0</v>
      </c>
      <c r="CV2582" s="26">
        <f t="shared" si="177"/>
        <v>187.5</v>
      </c>
    </row>
    <row r="2583" spans="1:103" x14ac:dyDescent="0.2">
      <c r="A2583" s="9" t="s">
        <v>572</v>
      </c>
      <c r="B2583" s="2">
        <v>77</v>
      </c>
      <c r="C2583" s="3" t="s">
        <v>95</v>
      </c>
      <c r="D2583" s="3" t="s">
        <v>96</v>
      </c>
      <c r="E2583" s="2"/>
      <c r="F2583" s="2"/>
      <c r="G2583" s="2" t="s">
        <v>74</v>
      </c>
      <c r="H2583" s="2">
        <v>2</v>
      </c>
      <c r="I2583" s="8">
        <v>90</v>
      </c>
      <c r="J2583" s="8">
        <v>25499</v>
      </c>
      <c r="K2583" s="3">
        <v>0</v>
      </c>
      <c r="L2583" s="3" t="s">
        <v>3</v>
      </c>
      <c r="M2583" s="9" t="s">
        <v>0</v>
      </c>
      <c r="N2583" s="9" t="s">
        <v>48</v>
      </c>
      <c r="O2583" s="9" t="s">
        <v>571</v>
      </c>
      <c r="S2583" s="9" t="s">
        <v>573</v>
      </c>
      <c r="V2583" s="10">
        <v>12.5</v>
      </c>
      <c r="W2583" s="10" t="s">
        <v>1189</v>
      </c>
      <c r="X2583" s="17">
        <v>45452</v>
      </c>
      <c r="Y2583" s="17">
        <v>45458</v>
      </c>
      <c r="Z2583" s="19" t="s">
        <v>772</v>
      </c>
      <c r="AA2583" s="210">
        <v>5500</v>
      </c>
      <c r="AB2583" s="9">
        <v>24</v>
      </c>
      <c r="AC2583" s="9">
        <v>17</v>
      </c>
      <c r="AD2583" s="17">
        <v>45992</v>
      </c>
      <c r="AE2583" s="123">
        <v>187.5</v>
      </c>
      <c r="AF2583" s="56"/>
      <c r="AP2583" s="11"/>
      <c r="AQ2583" s="11"/>
      <c r="AR2583" s="11"/>
      <c r="AW2583" s="9"/>
      <c r="BD2583" s="9"/>
      <c r="CS2583" s="11">
        <f t="shared" si="178"/>
        <v>0</v>
      </c>
      <c r="CT2583" s="22">
        <f t="shared" si="179"/>
        <v>0</v>
      </c>
      <c r="CU2583" s="22">
        <f t="shared" si="180"/>
        <v>0</v>
      </c>
      <c r="CV2583" s="26">
        <f t="shared" si="177"/>
        <v>187.5</v>
      </c>
    </row>
    <row r="2584" spans="1:103" x14ac:dyDescent="0.2">
      <c r="A2584" s="9" t="s">
        <v>572</v>
      </c>
      <c r="B2584" s="2">
        <v>77</v>
      </c>
      <c r="C2584" s="3" t="s">
        <v>95</v>
      </c>
      <c r="D2584" s="3" t="s">
        <v>96</v>
      </c>
      <c r="E2584" s="2"/>
      <c r="F2584" s="2"/>
      <c r="G2584" s="2" t="s">
        <v>74</v>
      </c>
      <c r="H2584" s="2">
        <v>2</v>
      </c>
      <c r="I2584" s="8">
        <v>90</v>
      </c>
      <c r="J2584" s="8">
        <v>25499</v>
      </c>
      <c r="K2584" s="3">
        <v>0</v>
      </c>
      <c r="L2584" s="3" t="s">
        <v>3</v>
      </c>
      <c r="M2584" s="9" t="s">
        <v>0</v>
      </c>
      <c r="N2584" s="9" t="s">
        <v>48</v>
      </c>
      <c r="O2584" s="9" t="s">
        <v>571</v>
      </c>
      <c r="S2584" s="9" t="s">
        <v>573</v>
      </c>
      <c r="V2584" s="10">
        <v>12.5</v>
      </c>
      <c r="W2584" s="10" t="s">
        <v>1189</v>
      </c>
      <c r="X2584" s="17">
        <v>45452</v>
      </c>
      <c r="Y2584" s="17">
        <v>45458</v>
      </c>
      <c r="Z2584" s="19" t="s">
        <v>772</v>
      </c>
      <c r="AA2584" s="210">
        <v>5500</v>
      </c>
      <c r="AB2584" s="9">
        <v>24</v>
      </c>
      <c r="AC2584" s="9">
        <v>18</v>
      </c>
      <c r="AD2584" s="17">
        <v>46023</v>
      </c>
      <c r="AE2584" s="56">
        <v>187.5</v>
      </c>
      <c r="AF2584" s="56"/>
      <c r="AP2584" s="11"/>
      <c r="AQ2584" s="11"/>
      <c r="AR2584" s="11"/>
      <c r="AW2584" s="9"/>
      <c r="BD2584" s="9"/>
      <c r="CS2584" s="11">
        <f t="shared" si="178"/>
        <v>0</v>
      </c>
      <c r="CT2584" s="22">
        <f t="shared" si="179"/>
        <v>0</v>
      </c>
      <c r="CU2584" s="22">
        <f t="shared" si="180"/>
        <v>0</v>
      </c>
      <c r="CV2584" s="26">
        <f t="shared" si="177"/>
        <v>187.5</v>
      </c>
    </row>
    <row r="2585" spans="1:103" x14ac:dyDescent="0.2">
      <c r="A2585" s="9" t="s">
        <v>572</v>
      </c>
      <c r="B2585" s="2">
        <v>77</v>
      </c>
      <c r="C2585" s="3" t="s">
        <v>95</v>
      </c>
      <c r="D2585" s="3" t="s">
        <v>96</v>
      </c>
      <c r="E2585" s="2"/>
      <c r="F2585" s="2"/>
      <c r="G2585" s="2" t="s">
        <v>74</v>
      </c>
      <c r="H2585" s="2">
        <v>2</v>
      </c>
      <c r="I2585" s="8">
        <v>90</v>
      </c>
      <c r="J2585" s="8">
        <v>25499</v>
      </c>
      <c r="K2585" s="3">
        <v>0</v>
      </c>
      <c r="L2585" s="3" t="s">
        <v>3</v>
      </c>
      <c r="M2585" s="9" t="s">
        <v>0</v>
      </c>
      <c r="N2585" s="9" t="s">
        <v>48</v>
      </c>
      <c r="O2585" s="9" t="s">
        <v>571</v>
      </c>
      <c r="S2585" s="9" t="s">
        <v>573</v>
      </c>
      <c r="V2585" s="10">
        <v>12.5</v>
      </c>
      <c r="W2585" s="10" t="s">
        <v>1189</v>
      </c>
      <c r="X2585" s="17">
        <v>45452</v>
      </c>
      <c r="Y2585" s="17">
        <v>45458</v>
      </c>
      <c r="Z2585" s="19" t="s">
        <v>772</v>
      </c>
      <c r="AA2585" s="210">
        <v>5500</v>
      </c>
      <c r="AB2585" s="9">
        <v>24</v>
      </c>
      <c r="AC2585" s="9">
        <v>19</v>
      </c>
      <c r="AD2585" s="17">
        <v>46054</v>
      </c>
      <c r="AE2585" s="56">
        <v>187.5</v>
      </c>
      <c r="AF2585" s="56"/>
      <c r="AP2585" s="11"/>
      <c r="AQ2585" s="11"/>
      <c r="AR2585" s="11"/>
      <c r="AW2585" s="9"/>
      <c r="BD2585" s="9"/>
      <c r="CS2585" s="11">
        <f t="shared" si="178"/>
        <v>0</v>
      </c>
      <c r="CT2585" s="22">
        <f t="shared" si="179"/>
        <v>0</v>
      </c>
      <c r="CU2585" s="22">
        <f t="shared" si="180"/>
        <v>0</v>
      </c>
      <c r="CV2585" s="26">
        <f t="shared" si="177"/>
        <v>187.5</v>
      </c>
    </row>
    <row r="2586" spans="1:103" x14ac:dyDescent="0.2">
      <c r="A2586" s="9" t="s">
        <v>572</v>
      </c>
      <c r="B2586" s="2">
        <v>77</v>
      </c>
      <c r="C2586" s="3" t="s">
        <v>95</v>
      </c>
      <c r="D2586" s="3" t="s">
        <v>96</v>
      </c>
      <c r="E2586" s="2"/>
      <c r="F2586" s="2"/>
      <c r="G2586" s="2" t="s">
        <v>74</v>
      </c>
      <c r="H2586" s="2">
        <v>2</v>
      </c>
      <c r="I2586" s="8">
        <v>90</v>
      </c>
      <c r="J2586" s="8">
        <v>25499</v>
      </c>
      <c r="K2586" s="3">
        <v>0</v>
      </c>
      <c r="L2586" s="3" t="s">
        <v>3</v>
      </c>
      <c r="M2586" s="9" t="s">
        <v>0</v>
      </c>
      <c r="N2586" s="9" t="s">
        <v>48</v>
      </c>
      <c r="O2586" s="9" t="s">
        <v>571</v>
      </c>
      <c r="S2586" s="9" t="s">
        <v>573</v>
      </c>
      <c r="V2586" s="10">
        <v>12.5</v>
      </c>
      <c r="W2586" s="10" t="s">
        <v>1189</v>
      </c>
      <c r="X2586" s="17">
        <v>45452</v>
      </c>
      <c r="Y2586" s="17">
        <v>45458</v>
      </c>
      <c r="Z2586" s="19" t="s">
        <v>772</v>
      </c>
      <c r="AA2586" s="210">
        <v>5500</v>
      </c>
      <c r="AB2586" s="9">
        <v>24</v>
      </c>
      <c r="AC2586" s="9">
        <v>20</v>
      </c>
      <c r="AD2586" s="17">
        <v>46082</v>
      </c>
      <c r="AE2586" s="56">
        <v>187.5</v>
      </c>
      <c r="AF2586" s="56"/>
      <c r="AP2586" s="11"/>
      <c r="AQ2586" s="11"/>
      <c r="AR2586" s="11"/>
      <c r="AW2586" s="9"/>
      <c r="BD2586" s="9"/>
      <c r="CS2586" s="11">
        <f t="shared" si="178"/>
        <v>0</v>
      </c>
      <c r="CT2586" s="22">
        <f t="shared" si="179"/>
        <v>0</v>
      </c>
      <c r="CU2586" s="22">
        <f t="shared" si="180"/>
        <v>0</v>
      </c>
      <c r="CV2586" s="26">
        <f t="shared" si="177"/>
        <v>187.5</v>
      </c>
    </row>
    <row r="2587" spans="1:103" x14ac:dyDescent="0.2">
      <c r="A2587" s="9" t="s">
        <v>572</v>
      </c>
      <c r="B2587" s="2">
        <v>77</v>
      </c>
      <c r="C2587" s="3" t="s">
        <v>95</v>
      </c>
      <c r="D2587" s="3" t="s">
        <v>96</v>
      </c>
      <c r="E2587" s="2"/>
      <c r="F2587" s="2"/>
      <c r="G2587" s="2" t="s">
        <v>74</v>
      </c>
      <c r="H2587" s="2">
        <v>2</v>
      </c>
      <c r="I2587" s="8">
        <v>90</v>
      </c>
      <c r="J2587" s="8">
        <v>25499</v>
      </c>
      <c r="K2587" s="3">
        <v>0</v>
      </c>
      <c r="L2587" s="3" t="s">
        <v>3</v>
      </c>
      <c r="M2587" s="9" t="s">
        <v>0</v>
      </c>
      <c r="N2587" s="9" t="s">
        <v>48</v>
      </c>
      <c r="O2587" s="9" t="s">
        <v>571</v>
      </c>
      <c r="S2587" s="9" t="s">
        <v>573</v>
      </c>
      <c r="V2587" s="10">
        <v>12.5</v>
      </c>
      <c r="W2587" s="10" t="s">
        <v>1189</v>
      </c>
      <c r="X2587" s="17">
        <v>45452</v>
      </c>
      <c r="Y2587" s="17">
        <v>45458</v>
      </c>
      <c r="Z2587" s="19" t="s">
        <v>772</v>
      </c>
      <c r="AA2587" s="210">
        <v>5500</v>
      </c>
      <c r="AB2587" s="9">
        <v>24</v>
      </c>
      <c r="AC2587" s="9">
        <v>21</v>
      </c>
      <c r="AD2587" s="17">
        <v>46113</v>
      </c>
      <c r="AE2587" s="56">
        <v>187.5</v>
      </c>
      <c r="AF2587" s="56"/>
      <c r="AP2587" s="11"/>
      <c r="AQ2587" s="11"/>
      <c r="AR2587" s="11"/>
      <c r="AW2587" s="9"/>
      <c r="BD2587" s="9"/>
      <c r="CS2587" s="11">
        <f t="shared" si="178"/>
        <v>0</v>
      </c>
      <c r="CT2587" s="22">
        <f t="shared" si="179"/>
        <v>0</v>
      </c>
      <c r="CU2587" s="22">
        <f t="shared" si="180"/>
        <v>0</v>
      </c>
      <c r="CV2587" s="26">
        <f t="shared" si="177"/>
        <v>187.5</v>
      </c>
    </row>
    <row r="2588" spans="1:103" x14ac:dyDescent="0.2">
      <c r="A2588" s="9" t="s">
        <v>572</v>
      </c>
      <c r="B2588" s="2">
        <v>77</v>
      </c>
      <c r="C2588" s="3" t="s">
        <v>95</v>
      </c>
      <c r="D2588" s="3" t="s">
        <v>96</v>
      </c>
      <c r="E2588" s="2"/>
      <c r="F2588" s="2"/>
      <c r="G2588" s="2" t="s">
        <v>74</v>
      </c>
      <c r="H2588" s="2">
        <v>2</v>
      </c>
      <c r="I2588" s="8">
        <v>90</v>
      </c>
      <c r="J2588" s="8">
        <v>25499</v>
      </c>
      <c r="K2588" s="3">
        <v>0</v>
      </c>
      <c r="L2588" s="3" t="s">
        <v>3</v>
      </c>
      <c r="M2588" s="9" t="s">
        <v>0</v>
      </c>
      <c r="N2588" s="9" t="s">
        <v>48</v>
      </c>
      <c r="O2588" s="9" t="s">
        <v>571</v>
      </c>
      <c r="S2588" s="9" t="s">
        <v>573</v>
      </c>
      <c r="V2588" s="10">
        <v>12.5</v>
      </c>
      <c r="W2588" s="10" t="s">
        <v>1189</v>
      </c>
      <c r="X2588" s="17">
        <v>45452</v>
      </c>
      <c r="Y2588" s="17">
        <v>45458</v>
      </c>
      <c r="Z2588" s="19" t="s">
        <v>772</v>
      </c>
      <c r="AA2588" s="210">
        <v>5500</v>
      </c>
      <c r="AB2588" s="9">
        <v>24</v>
      </c>
      <c r="AC2588" s="9">
        <v>22</v>
      </c>
      <c r="AD2588" s="17">
        <v>46143</v>
      </c>
      <c r="AE2588" s="56">
        <v>187.5</v>
      </c>
      <c r="AF2588" s="56"/>
      <c r="AP2588" s="11"/>
      <c r="AQ2588" s="11"/>
      <c r="AR2588" s="11"/>
      <c r="AW2588" s="9"/>
      <c r="BD2588" s="9"/>
      <c r="CS2588" s="11">
        <f t="shared" si="178"/>
        <v>0</v>
      </c>
      <c r="CT2588" s="22">
        <f t="shared" si="179"/>
        <v>0</v>
      </c>
      <c r="CU2588" s="22">
        <f t="shared" si="180"/>
        <v>0</v>
      </c>
      <c r="CV2588" s="26">
        <f t="shared" si="177"/>
        <v>187.5</v>
      </c>
    </row>
    <row r="2589" spans="1:103" x14ac:dyDescent="0.2">
      <c r="A2589" s="9" t="s">
        <v>572</v>
      </c>
      <c r="B2589" s="2">
        <v>77</v>
      </c>
      <c r="C2589" s="3" t="s">
        <v>95</v>
      </c>
      <c r="D2589" s="3" t="s">
        <v>96</v>
      </c>
      <c r="E2589" s="2"/>
      <c r="F2589" s="2"/>
      <c r="G2589" s="2" t="s">
        <v>74</v>
      </c>
      <c r="H2589" s="2">
        <v>2</v>
      </c>
      <c r="I2589" s="8">
        <v>90</v>
      </c>
      <c r="J2589" s="8">
        <v>25499</v>
      </c>
      <c r="K2589" s="3">
        <v>0</v>
      </c>
      <c r="L2589" s="3" t="s">
        <v>3</v>
      </c>
      <c r="M2589" s="9" t="s">
        <v>0</v>
      </c>
      <c r="N2589" s="9" t="s">
        <v>48</v>
      </c>
      <c r="O2589" s="9" t="s">
        <v>571</v>
      </c>
      <c r="S2589" s="9" t="s">
        <v>573</v>
      </c>
      <c r="V2589" s="10">
        <v>12.5</v>
      </c>
      <c r="W2589" s="10" t="s">
        <v>1189</v>
      </c>
      <c r="X2589" s="17">
        <v>45452</v>
      </c>
      <c r="Y2589" s="17">
        <v>45458</v>
      </c>
      <c r="Z2589" s="19" t="s">
        <v>772</v>
      </c>
      <c r="AA2589" s="210">
        <v>5500</v>
      </c>
      <c r="AB2589" s="9">
        <v>24</v>
      </c>
      <c r="AC2589" s="9">
        <v>23</v>
      </c>
      <c r="AD2589" s="17">
        <v>46174</v>
      </c>
      <c r="AE2589" s="56">
        <v>187.5</v>
      </c>
      <c r="AF2589" s="56"/>
      <c r="AP2589" s="11"/>
      <c r="AQ2589" s="11"/>
      <c r="AR2589" s="11"/>
      <c r="AW2589" s="9"/>
      <c r="BD2589" s="9"/>
      <c r="CS2589" s="11">
        <f t="shared" si="178"/>
        <v>0</v>
      </c>
      <c r="CT2589" s="22">
        <f t="shared" si="179"/>
        <v>0</v>
      </c>
      <c r="CU2589" s="22">
        <f t="shared" si="180"/>
        <v>0</v>
      </c>
      <c r="CV2589" s="26">
        <f t="shared" si="177"/>
        <v>187.5</v>
      </c>
    </row>
    <row r="2590" spans="1:103" x14ac:dyDescent="0.2">
      <c r="A2590" s="9" t="s">
        <v>572</v>
      </c>
      <c r="B2590" s="2">
        <v>77</v>
      </c>
      <c r="C2590" s="3" t="s">
        <v>95</v>
      </c>
      <c r="D2590" s="3" t="s">
        <v>96</v>
      </c>
      <c r="E2590" s="2"/>
      <c r="F2590" s="2"/>
      <c r="G2590" s="2" t="s">
        <v>74</v>
      </c>
      <c r="H2590" s="2">
        <v>2</v>
      </c>
      <c r="I2590" s="8">
        <v>90</v>
      </c>
      <c r="J2590" s="8">
        <v>25499</v>
      </c>
      <c r="K2590" s="3">
        <v>0</v>
      </c>
      <c r="L2590" s="3" t="s">
        <v>3</v>
      </c>
      <c r="M2590" s="9" t="s">
        <v>0</v>
      </c>
      <c r="N2590" s="9" t="s">
        <v>48</v>
      </c>
      <c r="O2590" s="9" t="s">
        <v>571</v>
      </c>
      <c r="S2590" s="9" t="s">
        <v>573</v>
      </c>
      <c r="V2590" s="10">
        <v>12.5</v>
      </c>
      <c r="W2590" s="10" t="s">
        <v>1189</v>
      </c>
      <c r="X2590" s="17">
        <v>45452</v>
      </c>
      <c r="Y2590" s="17">
        <v>45458</v>
      </c>
      <c r="Z2590" s="19" t="s">
        <v>772</v>
      </c>
      <c r="AA2590" s="210">
        <v>5500</v>
      </c>
      <c r="AB2590" s="9">
        <v>24</v>
      </c>
      <c r="AC2590" s="9">
        <v>24</v>
      </c>
      <c r="AD2590" s="17">
        <v>46204</v>
      </c>
      <c r="AE2590" s="56">
        <v>187.5</v>
      </c>
      <c r="AF2590" s="56"/>
      <c r="AP2590" s="11"/>
      <c r="AQ2590" s="11"/>
      <c r="AR2590" s="11"/>
      <c r="AW2590" s="9"/>
      <c r="BD2590" s="9"/>
      <c r="CS2590" s="11">
        <f t="shared" si="178"/>
        <v>0</v>
      </c>
      <c r="CT2590" s="22">
        <f t="shared" si="179"/>
        <v>0</v>
      </c>
      <c r="CU2590" s="22">
        <f t="shared" si="180"/>
        <v>0</v>
      </c>
      <c r="CV2590" s="26">
        <f t="shared" si="177"/>
        <v>187.5</v>
      </c>
    </row>
    <row r="2591" spans="1:103" x14ac:dyDescent="0.2">
      <c r="A2591" s="9" t="s">
        <v>578</v>
      </c>
      <c r="B2591" s="2">
        <v>76</v>
      </c>
      <c r="C2591" s="3" t="s">
        <v>95</v>
      </c>
      <c r="D2591" s="3" t="s">
        <v>96</v>
      </c>
      <c r="E2591" s="2"/>
      <c r="F2591" s="2"/>
      <c r="G2591" s="2" t="s">
        <v>74</v>
      </c>
      <c r="H2591" s="2">
        <v>1</v>
      </c>
      <c r="I2591" s="8">
        <v>94.5</v>
      </c>
      <c r="J2591" s="8">
        <v>30999</v>
      </c>
      <c r="K2591" s="3">
        <v>0</v>
      </c>
      <c r="L2591" s="3" t="s">
        <v>3</v>
      </c>
      <c r="M2591" s="9" t="s">
        <v>0</v>
      </c>
      <c r="N2591" s="9" t="s">
        <v>49</v>
      </c>
      <c r="O2591" s="9" t="s">
        <v>579</v>
      </c>
      <c r="S2591" s="9" t="s">
        <v>158</v>
      </c>
      <c r="T2591" s="10" t="s">
        <v>74</v>
      </c>
      <c r="U2591" s="10">
        <v>1</v>
      </c>
      <c r="V2591" s="10">
        <v>94.5</v>
      </c>
      <c r="W2591" s="10" t="s">
        <v>710</v>
      </c>
      <c r="X2591" s="17">
        <v>45475</v>
      </c>
      <c r="Y2591" s="17">
        <v>45518</v>
      </c>
      <c r="Z2591" s="19" t="s">
        <v>772</v>
      </c>
      <c r="AA2591" s="210">
        <v>30000</v>
      </c>
      <c r="AB2591" s="9">
        <v>39</v>
      </c>
      <c r="AC2591" s="9">
        <v>0</v>
      </c>
      <c r="AD2591" s="17">
        <v>45492</v>
      </c>
      <c r="AE2591" s="56">
        <v>2000</v>
      </c>
      <c r="AF2591" s="56"/>
      <c r="AG2591" s="10" t="s">
        <v>134</v>
      </c>
      <c r="AH2591" s="18">
        <v>45485</v>
      </c>
      <c r="AI2591" s="18"/>
      <c r="AJ2591" s="18"/>
      <c r="AK2591" s="10" t="s">
        <v>581</v>
      </c>
      <c r="AL2591" s="11">
        <v>2000</v>
      </c>
      <c r="AN2591" s="11" t="s">
        <v>1120</v>
      </c>
      <c r="AO2591" s="51"/>
      <c r="AP2591" s="111"/>
      <c r="AQ2591" s="111"/>
      <c r="AR2591" s="111"/>
      <c r="AS2591" s="120"/>
      <c r="AT2591" s="120"/>
      <c r="AU2591" s="120"/>
      <c r="AV2591" s="120"/>
      <c r="AW2591" s="42">
        <v>45485</v>
      </c>
      <c r="AX2591" s="36">
        <v>2902</v>
      </c>
      <c r="AY2591" s="36"/>
      <c r="AZ2591" s="36"/>
      <c r="BA2591" s="40">
        <v>2000</v>
      </c>
      <c r="BD2591" s="9"/>
      <c r="CS2591" s="11">
        <f t="shared" si="178"/>
        <v>2000</v>
      </c>
      <c r="CT2591" s="22">
        <f t="shared" si="179"/>
        <v>2000</v>
      </c>
      <c r="CU2591" s="22">
        <f t="shared" si="180"/>
        <v>0</v>
      </c>
      <c r="CV2591" s="26">
        <f t="shared" si="177"/>
        <v>0</v>
      </c>
    </row>
    <row r="2592" spans="1:103" x14ac:dyDescent="0.2">
      <c r="A2592" s="9" t="s">
        <v>578</v>
      </c>
      <c r="B2592" s="2">
        <v>76</v>
      </c>
      <c r="C2592" s="3" t="s">
        <v>95</v>
      </c>
      <c r="D2592" s="3" t="s">
        <v>96</v>
      </c>
      <c r="E2592" s="2"/>
      <c r="F2592" s="2"/>
      <c r="G2592" s="2" t="s">
        <v>74</v>
      </c>
      <c r="H2592" s="2">
        <v>1</v>
      </c>
      <c r="I2592" s="8">
        <v>94.5</v>
      </c>
      <c r="J2592" s="8">
        <v>30999</v>
      </c>
      <c r="K2592" s="3">
        <v>0</v>
      </c>
      <c r="L2592" s="3" t="s">
        <v>3</v>
      </c>
      <c r="M2592" s="9" t="s">
        <v>0</v>
      </c>
      <c r="N2592" s="9" t="s">
        <v>49</v>
      </c>
      <c r="O2592" s="9" t="s">
        <v>579</v>
      </c>
      <c r="S2592" s="9" t="s">
        <v>158</v>
      </c>
      <c r="T2592" s="10" t="s">
        <v>74</v>
      </c>
      <c r="U2592" s="10">
        <v>1</v>
      </c>
      <c r="V2592" s="10">
        <v>94.5</v>
      </c>
      <c r="W2592" s="10" t="s">
        <v>710</v>
      </c>
      <c r="X2592" s="17">
        <v>45475</v>
      </c>
      <c r="Y2592" s="17">
        <v>45518</v>
      </c>
      <c r="Z2592" s="19" t="s">
        <v>772</v>
      </c>
      <c r="AA2592" s="210">
        <v>30000</v>
      </c>
      <c r="AB2592" s="9">
        <v>39</v>
      </c>
      <c r="AC2592" s="9">
        <v>0</v>
      </c>
      <c r="AD2592" s="17">
        <v>45485</v>
      </c>
      <c r="AE2592" s="56">
        <v>1500</v>
      </c>
      <c r="AF2592" s="56"/>
      <c r="AG2592" s="10" t="s">
        <v>134</v>
      </c>
      <c r="AH2592" s="18">
        <v>45491</v>
      </c>
      <c r="AI2592" s="18"/>
      <c r="AJ2592" s="18"/>
      <c r="AK2592" s="10" t="s">
        <v>582</v>
      </c>
      <c r="AL2592" s="11">
        <v>1500</v>
      </c>
      <c r="AN2592" s="11" t="s">
        <v>1121</v>
      </c>
      <c r="AP2592" s="11"/>
      <c r="AQ2592" s="11"/>
      <c r="AR2592" s="11"/>
      <c r="AW2592" s="42">
        <v>45491</v>
      </c>
      <c r="AX2592" s="36">
        <v>2924</v>
      </c>
      <c r="AY2592" s="36"/>
      <c r="AZ2592" s="36"/>
      <c r="BA2592" s="40">
        <v>1500</v>
      </c>
      <c r="BD2592" s="9"/>
      <c r="CS2592" s="11">
        <f t="shared" si="178"/>
        <v>1500</v>
      </c>
      <c r="CT2592" s="22">
        <f t="shared" si="179"/>
        <v>1500</v>
      </c>
      <c r="CU2592" s="22">
        <f t="shared" si="180"/>
        <v>0</v>
      </c>
      <c r="CV2592" s="26">
        <f t="shared" si="177"/>
        <v>0</v>
      </c>
    </row>
    <row r="2593" spans="1:100" x14ac:dyDescent="0.2">
      <c r="A2593" s="9" t="s">
        <v>578</v>
      </c>
      <c r="B2593" s="2">
        <v>76</v>
      </c>
      <c r="C2593" s="3" t="s">
        <v>95</v>
      </c>
      <c r="D2593" s="3" t="s">
        <v>96</v>
      </c>
      <c r="E2593" s="2"/>
      <c r="F2593" s="2"/>
      <c r="G2593" s="2" t="s">
        <v>74</v>
      </c>
      <c r="H2593" s="2">
        <v>1</v>
      </c>
      <c r="I2593" s="8">
        <v>94.5</v>
      </c>
      <c r="J2593" s="8">
        <v>30999</v>
      </c>
      <c r="K2593" s="3">
        <v>0</v>
      </c>
      <c r="L2593" s="3" t="s">
        <v>3</v>
      </c>
      <c r="M2593" s="9" t="s">
        <v>0</v>
      </c>
      <c r="N2593" s="9" t="s">
        <v>49</v>
      </c>
      <c r="O2593" s="9" t="s">
        <v>579</v>
      </c>
      <c r="S2593" s="9" t="s">
        <v>158</v>
      </c>
      <c r="T2593" s="10" t="s">
        <v>74</v>
      </c>
      <c r="U2593" s="10">
        <v>1</v>
      </c>
      <c r="V2593" s="10">
        <v>94.5</v>
      </c>
      <c r="W2593" s="10" t="s">
        <v>710</v>
      </c>
      <c r="X2593" s="17">
        <v>45475</v>
      </c>
      <c r="Y2593" s="17">
        <v>45518</v>
      </c>
      <c r="Z2593" s="19" t="s">
        <v>772</v>
      </c>
      <c r="AA2593" s="210">
        <v>30000</v>
      </c>
      <c r="AB2593" s="9">
        <v>39</v>
      </c>
      <c r="AC2593" s="9">
        <v>0</v>
      </c>
      <c r="AD2593" s="17">
        <v>45491</v>
      </c>
      <c r="AE2593" s="56">
        <v>1370.13</v>
      </c>
      <c r="AF2593" s="56"/>
      <c r="AG2593" s="10" t="s">
        <v>134</v>
      </c>
      <c r="AH2593" s="18">
        <v>45492</v>
      </c>
      <c r="AI2593" s="18"/>
      <c r="AJ2593" s="18"/>
      <c r="AK2593" s="10" t="s">
        <v>583</v>
      </c>
      <c r="AL2593" s="11">
        <v>1370.13</v>
      </c>
      <c r="AN2593" s="11" t="s">
        <v>1122</v>
      </c>
      <c r="AP2593" s="11"/>
      <c r="AQ2593" s="11"/>
      <c r="AR2593" s="11"/>
      <c r="AW2593" s="42">
        <v>45492</v>
      </c>
      <c r="AX2593" s="36">
        <v>2928</v>
      </c>
      <c r="AY2593" s="36"/>
      <c r="AZ2593" s="36"/>
      <c r="BA2593" s="40">
        <v>1370.13</v>
      </c>
      <c r="BD2593" s="9"/>
      <c r="CS2593" s="11">
        <f t="shared" si="178"/>
        <v>1370.13</v>
      </c>
      <c r="CT2593" s="22">
        <f t="shared" si="179"/>
        <v>1370.13</v>
      </c>
      <c r="CU2593" s="22">
        <f t="shared" si="180"/>
        <v>0</v>
      </c>
      <c r="CV2593" s="26">
        <f t="shared" si="177"/>
        <v>0</v>
      </c>
    </row>
    <row r="2594" spans="1:100" ht="12.75" x14ac:dyDescent="0.2">
      <c r="A2594" s="9" t="s">
        <v>578</v>
      </c>
      <c r="B2594" s="2">
        <v>76</v>
      </c>
      <c r="C2594" s="3" t="s">
        <v>95</v>
      </c>
      <c r="D2594" s="3" t="s">
        <v>96</v>
      </c>
      <c r="E2594" s="2"/>
      <c r="F2594" s="2"/>
      <c r="G2594" s="2" t="s">
        <v>74</v>
      </c>
      <c r="H2594" s="2">
        <v>1</v>
      </c>
      <c r="I2594" s="8">
        <v>94.5</v>
      </c>
      <c r="J2594" s="8">
        <v>30999</v>
      </c>
      <c r="K2594" s="3">
        <v>0</v>
      </c>
      <c r="L2594" s="3" t="s">
        <v>3</v>
      </c>
      <c r="M2594" s="9" t="s">
        <v>0</v>
      </c>
      <c r="N2594" s="9" t="s">
        <v>49</v>
      </c>
      <c r="O2594" s="9" t="s">
        <v>579</v>
      </c>
      <c r="S2594" s="9" t="s">
        <v>158</v>
      </c>
      <c r="T2594" s="10" t="s">
        <v>74</v>
      </c>
      <c r="U2594" s="10">
        <v>1</v>
      </c>
      <c r="V2594" s="10">
        <v>94.5</v>
      </c>
      <c r="W2594" s="10" t="s">
        <v>710</v>
      </c>
      <c r="X2594" s="17">
        <v>45475</v>
      </c>
      <c r="Y2594" s="17">
        <v>45518</v>
      </c>
      <c r="Z2594" s="19" t="s">
        <v>772</v>
      </c>
      <c r="AA2594" s="210">
        <v>30000</v>
      </c>
      <c r="AB2594" s="9">
        <v>39</v>
      </c>
      <c r="AC2594" s="9">
        <v>0</v>
      </c>
      <c r="AD2594" s="17">
        <v>45492</v>
      </c>
      <c r="AE2594" s="56">
        <v>129.87</v>
      </c>
      <c r="AF2594" s="56"/>
      <c r="AG2594" s="10" t="s">
        <v>134</v>
      </c>
      <c r="AH2594" s="18">
        <v>45492</v>
      </c>
      <c r="AI2594" s="18"/>
      <c r="AJ2594" s="18"/>
      <c r="AK2594" s="10" t="s">
        <v>580</v>
      </c>
      <c r="AL2594" s="11">
        <v>129.87</v>
      </c>
      <c r="AN2594" s="11" t="s">
        <v>1123</v>
      </c>
      <c r="AP2594" s="11"/>
      <c r="AQ2594" s="11"/>
      <c r="AR2594" s="11"/>
      <c r="AW2594" s="42">
        <v>45475</v>
      </c>
      <c r="AX2594" s="109">
        <v>38228</v>
      </c>
      <c r="AY2594" s="36">
        <v>500</v>
      </c>
      <c r="AZ2594" s="36">
        <v>3.85</v>
      </c>
      <c r="BA2594" s="40">
        <f>+AY2594/AZ2594</f>
        <v>129.87012987012986</v>
      </c>
      <c r="BD2594" s="9"/>
      <c r="CS2594" s="11">
        <f t="shared" si="178"/>
        <v>129.87</v>
      </c>
      <c r="CT2594" s="22">
        <f t="shared" si="179"/>
        <v>129.87012987012986</v>
      </c>
      <c r="CU2594" s="22">
        <f t="shared" si="180"/>
        <v>-1.2987012985377078E-4</v>
      </c>
      <c r="CV2594" s="26">
        <f t="shared" si="177"/>
        <v>0</v>
      </c>
    </row>
    <row r="2595" spans="1:100" ht="12.75" x14ac:dyDescent="0.2">
      <c r="A2595" s="9" t="s">
        <v>578</v>
      </c>
      <c r="B2595" s="2">
        <v>76</v>
      </c>
      <c r="C2595" s="3" t="s">
        <v>95</v>
      </c>
      <c r="D2595" s="3" t="s">
        <v>96</v>
      </c>
      <c r="E2595" s="2"/>
      <c r="F2595" s="2"/>
      <c r="G2595" s="2" t="s">
        <v>74</v>
      </c>
      <c r="H2595" s="2">
        <v>1</v>
      </c>
      <c r="I2595" s="8">
        <v>94.5</v>
      </c>
      <c r="J2595" s="8">
        <v>30999</v>
      </c>
      <c r="K2595" s="3">
        <v>0</v>
      </c>
      <c r="L2595" s="3" t="s">
        <v>3</v>
      </c>
      <c r="M2595" s="9" t="s">
        <v>0</v>
      </c>
      <c r="N2595" s="9" t="s">
        <v>49</v>
      </c>
      <c r="O2595" s="9" t="s">
        <v>579</v>
      </c>
      <c r="S2595" s="9" t="s">
        <v>158</v>
      </c>
      <c r="T2595" s="10" t="s">
        <v>74</v>
      </c>
      <c r="U2595" s="10">
        <v>1</v>
      </c>
      <c r="V2595" s="10">
        <v>94.5</v>
      </c>
      <c r="W2595" s="10" t="s">
        <v>710</v>
      </c>
      <c r="X2595" s="17">
        <v>45475</v>
      </c>
      <c r="Y2595" s="17">
        <v>45518</v>
      </c>
      <c r="Z2595" s="19" t="s">
        <v>772</v>
      </c>
      <c r="AA2595" s="210">
        <v>30000</v>
      </c>
      <c r="AB2595" s="9">
        <v>39</v>
      </c>
      <c r="AC2595" s="9">
        <v>1</v>
      </c>
      <c r="AD2595" s="17">
        <v>45553</v>
      </c>
      <c r="AE2595" s="56">
        <v>500</v>
      </c>
      <c r="AF2595" s="56"/>
      <c r="AG2595" s="10" t="s">
        <v>134</v>
      </c>
      <c r="AH2595" s="18">
        <v>45561</v>
      </c>
      <c r="AI2595" s="18"/>
      <c r="AJ2595" s="18"/>
      <c r="AK2595" s="10" t="s">
        <v>1098</v>
      </c>
      <c r="AL2595" s="11">
        <v>500</v>
      </c>
      <c r="AN2595" s="11" t="s">
        <v>1124</v>
      </c>
      <c r="AP2595" s="11"/>
      <c r="AQ2595" s="11"/>
      <c r="AR2595" s="11"/>
      <c r="AW2595" s="108">
        <v>45560</v>
      </c>
      <c r="AX2595" s="109">
        <v>3196</v>
      </c>
      <c r="AY2595" s="36"/>
      <c r="AZ2595" s="36"/>
      <c r="BA2595" s="121">
        <v>500</v>
      </c>
      <c r="BD2595" s="9"/>
      <c r="CS2595" s="11">
        <f t="shared" si="178"/>
        <v>500</v>
      </c>
      <c r="CT2595" s="22">
        <f t="shared" si="179"/>
        <v>500</v>
      </c>
      <c r="CU2595" s="22">
        <f t="shared" si="180"/>
        <v>0</v>
      </c>
      <c r="CV2595" s="26">
        <f t="shared" si="177"/>
        <v>0</v>
      </c>
    </row>
    <row r="2596" spans="1:100" ht="12.75" x14ac:dyDescent="0.2">
      <c r="A2596" s="9" t="s">
        <v>578</v>
      </c>
      <c r="B2596" s="2">
        <v>76</v>
      </c>
      <c r="C2596" s="3" t="s">
        <v>95</v>
      </c>
      <c r="D2596" s="3" t="s">
        <v>96</v>
      </c>
      <c r="E2596" s="2"/>
      <c r="F2596" s="2"/>
      <c r="G2596" s="2" t="s">
        <v>74</v>
      </c>
      <c r="H2596" s="2">
        <v>1</v>
      </c>
      <c r="I2596" s="8">
        <v>94.5</v>
      </c>
      <c r="J2596" s="8">
        <v>30999</v>
      </c>
      <c r="K2596" s="3">
        <v>0</v>
      </c>
      <c r="L2596" s="3" t="s">
        <v>3</v>
      </c>
      <c r="M2596" s="9" t="s">
        <v>0</v>
      </c>
      <c r="N2596" s="9" t="s">
        <v>49</v>
      </c>
      <c r="O2596" s="9" t="s">
        <v>579</v>
      </c>
      <c r="S2596" s="9" t="s">
        <v>158</v>
      </c>
      <c r="T2596" s="10" t="s">
        <v>74</v>
      </c>
      <c r="U2596" s="10">
        <v>1</v>
      </c>
      <c r="V2596" s="10">
        <v>94.5</v>
      </c>
      <c r="W2596" s="10" t="s">
        <v>710</v>
      </c>
      <c r="X2596" s="17">
        <v>45475</v>
      </c>
      <c r="Y2596" s="17">
        <v>45518</v>
      </c>
      <c r="Z2596" s="19" t="s">
        <v>772</v>
      </c>
      <c r="AA2596" s="210">
        <v>30000</v>
      </c>
      <c r="AB2596" s="9">
        <v>39</v>
      </c>
      <c r="AC2596" s="9">
        <v>2</v>
      </c>
      <c r="AD2596" s="17">
        <v>45583</v>
      </c>
      <c r="AE2596" s="56">
        <v>500</v>
      </c>
      <c r="AF2596" s="56"/>
      <c r="AG2596" s="10" t="s">
        <v>134</v>
      </c>
      <c r="AH2596" s="18">
        <v>45587</v>
      </c>
      <c r="AI2596" s="18"/>
      <c r="AJ2596" s="18"/>
      <c r="AK2596" s="10" t="s">
        <v>1099</v>
      </c>
      <c r="AL2596" s="11">
        <v>500</v>
      </c>
      <c r="AN2596" s="11" t="s">
        <v>1125</v>
      </c>
      <c r="AP2596" s="11"/>
      <c r="AQ2596" s="11"/>
      <c r="AR2596" s="11"/>
      <c r="AW2596" s="108">
        <v>45587</v>
      </c>
      <c r="AX2596" s="109">
        <v>3310</v>
      </c>
      <c r="AY2596" s="36"/>
      <c r="AZ2596" s="36"/>
      <c r="BA2596" s="121">
        <v>500</v>
      </c>
      <c r="BD2596" s="9"/>
      <c r="CS2596" s="11">
        <f t="shared" si="178"/>
        <v>500</v>
      </c>
      <c r="CT2596" s="22">
        <f t="shared" si="179"/>
        <v>500</v>
      </c>
      <c r="CU2596" s="22">
        <f t="shared" si="180"/>
        <v>0</v>
      </c>
      <c r="CV2596" s="26">
        <f t="shared" si="177"/>
        <v>0</v>
      </c>
    </row>
    <row r="2597" spans="1:100" ht="12.75" x14ac:dyDescent="0.2">
      <c r="A2597" s="9" t="s">
        <v>578</v>
      </c>
      <c r="B2597" s="2">
        <v>76</v>
      </c>
      <c r="C2597" s="3" t="s">
        <v>95</v>
      </c>
      <c r="D2597" s="3" t="s">
        <v>96</v>
      </c>
      <c r="E2597" s="2"/>
      <c r="F2597" s="2"/>
      <c r="G2597" s="2" t="s">
        <v>74</v>
      </c>
      <c r="H2597" s="2">
        <v>1</v>
      </c>
      <c r="I2597" s="8">
        <v>94.5</v>
      </c>
      <c r="J2597" s="8">
        <v>30999</v>
      </c>
      <c r="K2597" s="3">
        <v>0</v>
      </c>
      <c r="L2597" s="3" t="s">
        <v>3</v>
      </c>
      <c r="M2597" s="9" t="s">
        <v>0</v>
      </c>
      <c r="N2597" s="9" t="s">
        <v>49</v>
      </c>
      <c r="O2597" s="9" t="s">
        <v>579</v>
      </c>
      <c r="S2597" s="9" t="s">
        <v>158</v>
      </c>
      <c r="T2597" s="10" t="s">
        <v>74</v>
      </c>
      <c r="U2597" s="10">
        <v>1</v>
      </c>
      <c r="V2597" s="10">
        <v>94.5</v>
      </c>
      <c r="W2597" s="10" t="s">
        <v>710</v>
      </c>
      <c r="X2597" s="17">
        <v>45475</v>
      </c>
      <c r="Y2597" s="17">
        <v>45518</v>
      </c>
      <c r="Z2597" s="19" t="s">
        <v>772</v>
      </c>
      <c r="AA2597" s="210">
        <v>30000</v>
      </c>
      <c r="AB2597" s="9">
        <v>39</v>
      </c>
      <c r="AC2597" s="9">
        <v>3</v>
      </c>
      <c r="AD2597" s="17">
        <v>45614</v>
      </c>
      <c r="AE2597" s="56">
        <v>500</v>
      </c>
      <c r="AF2597" s="56"/>
      <c r="AG2597" s="10" t="s">
        <v>134</v>
      </c>
      <c r="AH2597" s="18">
        <v>45618</v>
      </c>
      <c r="AI2597" s="18"/>
      <c r="AJ2597" s="18"/>
      <c r="AK2597" s="10" t="s">
        <v>1100</v>
      </c>
      <c r="AL2597" s="11">
        <v>500</v>
      </c>
      <c r="AN2597" s="11" t="s">
        <v>1126</v>
      </c>
      <c r="AP2597" s="11"/>
      <c r="AQ2597" s="11"/>
      <c r="AR2597" s="11"/>
      <c r="AW2597" s="108">
        <v>45618</v>
      </c>
      <c r="AX2597" s="109">
        <v>3438</v>
      </c>
      <c r="AY2597" s="36"/>
      <c r="AZ2597" s="36"/>
      <c r="BA2597" s="121">
        <v>500</v>
      </c>
      <c r="BD2597" s="9"/>
      <c r="CS2597" s="11">
        <f t="shared" si="178"/>
        <v>500</v>
      </c>
      <c r="CT2597" s="22">
        <f t="shared" si="179"/>
        <v>500</v>
      </c>
      <c r="CU2597" s="22">
        <f t="shared" si="180"/>
        <v>0</v>
      </c>
      <c r="CV2597" s="26">
        <f t="shared" si="177"/>
        <v>0</v>
      </c>
    </row>
    <row r="2598" spans="1:100" ht="12.75" x14ac:dyDescent="0.2">
      <c r="A2598" s="9" t="s">
        <v>578</v>
      </c>
      <c r="B2598" s="2">
        <v>76</v>
      </c>
      <c r="C2598" s="3" t="s">
        <v>95</v>
      </c>
      <c r="D2598" s="3" t="s">
        <v>96</v>
      </c>
      <c r="E2598" s="2"/>
      <c r="F2598" s="2"/>
      <c r="G2598" s="2" t="s">
        <v>74</v>
      </c>
      <c r="H2598" s="2">
        <v>1</v>
      </c>
      <c r="I2598" s="8">
        <v>94.5</v>
      </c>
      <c r="J2598" s="8">
        <v>30999</v>
      </c>
      <c r="K2598" s="3">
        <v>0</v>
      </c>
      <c r="L2598" s="3" t="s">
        <v>3</v>
      </c>
      <c r="M2598" s="9" t="s">
        <v>0</v>
      </c>
      <c r="N2598" s="9" t="s">
        <v>49</v>
      </c>
      <c r="O2598" s="9" t="s">
        <v>579</v>
      </c>
      <c r="S2598" s="9" t="s">
        <v>158</v>
      </c>
      <c r="T2598" s="10" t="s">
        <v>74</v>
      </c>
      <c r="U2598" s="10">
        <v>1</v>
      </c>
      <c r="V2598" s="10">
        <v>94.5</v>
      </c>
      <c r="W2598" s="10" t="s">
        <v>710</v>
      </c>
      <c r="X2598" s="17">
        <v>45475</v>
      </c>
      <c r="Y2598" s="17">
        <v>45518</v>
      </c>
      <c r="Z2598" s="19" t="s">
        <v>772</v>
      </c>
      <c r="AA2598" s="210">
        <v>30000</v>
      </c>
      <c r="AB2598" s="9">
        <v>39</v>
      </c>
      <c r="AC2598" s="9">
        <v>4</v>
      </c>
      <c r="AD2598" s="17">
        <v>45644</v>
      </c>
      <c r="AE2598" s="56">
        <v>500</v>
      </c>
      <c r="AF2598" s="56"/>
      <c r="AG2598" s="10" t="s">
        <v>134</v>
      </c>
      <c r="AH2598" s="18">
        <v>45653</v>
      </c>
      <c r="AI2598" s="18"/>
      <c r="AJ2598" s="18"/>
      <c r="AK2598" s="10" t="s">
        <v>1101</v>
      </c>
      <c r="AL2598" s="11">
        <v>500</v>
      </c>
      <c r="AN2598" s="11" t="s">
        <v>1127</v>
      </c>
      <c r="AP2598" s="11"/>
      <c r="AQ2598" s="11"/>
      <c r="AR2598" s="11"/>
      <c r="AW2598" s="108">
        <v>45653</v>
      </c>
      <c r="AX2598" s="109">
        <v>3535</v>
      </c>
      <c r="AY2598" s="36"/>
      <c r="AZ2598" s="36"/>
      <c r="BA2598" s="121">
        <v>500</v>
      </c>
      <c r="BD2598" s="9"/>
      <c r="CS2598" s="11">
        <f t="shared" si="178"/>
        <v>500</v>
      </c>
      <c r="CT2598" s="22">
        <f t="shared" si="179"/>
        <v>500</v>
      </c>
      <c r="CU2598" s="22">
        <f t="shared" si="180"/>
        <v>0</v>
      </c>
      <c r="CV2598" s="26">
        <f t="shared" si="177"/>
        <v>0</v>
      </c>
    </row>
    <row r="2599" spans="1:100" ht="12.75" x14ac:dyDescent="0.2">
      <c r="A2599" s="9" t="s">
        <v>578</v>
      </c>
      <c r="B2599" s="2">
        <v>76</v>
      </c>
      <c r="C2599" s="3" t="s">
        <v>95</v>
      </c>
      <c r="D2599" s="3" t="s">
        <v>96</v>
      </c>
      <c r="E2599" s="2"/>
      <c r="F2599" s="2"/>
      <c r="G2599" s="2" t="s">
        <v>74</v>
      </c>
      <c r="H2599" s="2">
        <v>1</v>
      </c>
      <c r="I2599" s="8">
        <v>94.5</v>
      </c>
      <c r="J2599" s="8">
        <v>30999</v>
      </c>
      <c r="K2599" s="3">
        <v>0</v>
      </c>
      <c r="L2599" s="3" t="s">
        <v>3</v>
      </c>
      <c r="M2599" s="9" t="s">
        <v>0</v>
      </c>
      <c r="N2599" s="9" t="s">
        <v>49</v>
      </c>
      <c r="O2599" s="9" t="s">
        <v>579</v>
      </c>
      <c r="S2599" s="9" t="s">
        <v>158</v>
      </c>
      <c r="T2599" s="10" t="s">
        <v>74</v>
      </c>
      <c r="U2599" s="10">
        <v>1</v>
      </c>
      <c r="V2599" s="10">
        <v>94.5</v>
      </c>
      <c r="W2599" s="10" t="s">
        <v>710</v>
      </c>
      <c r="X2599" s="17">
        <v>45475</v>
      </c>
      <c r="Y2599" s="17">
        <v>45518</v>
      </c>
      <c r="Z2599" s="19" t="s">
        <v>772</v>
      </c>
      <c r="AA2599" s="210">
        <v>30000</v>
      </c>
      <c r="AB2599" s="9">
        <v>39</v>
      </c>
      <c r="AC2599" s="9">
        <v>5</v>
      </c>
      <c r="AD2599" s="17">
        <v>45675</v>
      </c>
      <c r="AE2599" s="56">
        <v>500</v>
      </c>
      <c r="AF2599" s="56"/>
      <c r="AG2599" s="10" t="s">
        <v>134</v>
      </c>
      <c r="AH2599" s="18">
        <v>45687</v>
      </c>
      <c r="AI2599" s="18"/>
      <c r="AJ2599" s="18"/>
      <c r="AK2599" s="10" t="s">
        <v>1102</v>
      </c>
      <c r="AL2599" s="11">
        <v>500</v>
      </c>
      <c r="AN2599" s="11" t="s">
        <v>1111</v>
      </c>
      <c r="AP2599" s="11"/>
      <c r="AQ2599" s="11"/>
      <c r="AR2599" s="11"/>
      <c r="AW2599" s="108">
        <v>45687</v>
      </c>
      <c r="AX2599" s="109">
        <v>3673</v>
      </c>
      <c r="AY2599" s="36"/>
      <c r="AZ2599" s="36"/>
      <c r="BA2599" s="121">
        <v>500</v>
      </c>
      <c r="BD2599" s="9"/>
      <c r="CS2599" s="11">
        <f t="shared" si="178"/>
        <v>500</v>
      </c>
      <c r="CT2599" s="22">
        <f t="shared" si="179"/>
        <v>500</v>
      </c>
      <c r="CU2599" s="22">
        <f t="shared" si="180"/>
        <v>0</v>
      </c>
      <c r="CV2599" s="26">
        <f t="shared" si="177"/>
        <v>0</v>
      </c>
    </row>
    <row r="2600" spans="1:100" ht="12.75" x14ac:dyDescent="0.2">
      <c r="A2600" s="9" t="s">
        <v>578</v>
      </c>
      <c r="B2600" s="2">
        <v>76</v>
      </c>
      <c r="C2600" s="3" t="s">
        <v>95</v>
      </c>
      <c r="D2600" s="3" t="s">
        <v>96</v>
      </c>
      <c r="E2600" s="2"/>
      <c r="F2600" s="2"/>
      <c r="G2600" s="2" t="s">
        <v>74</v>
      </c>
      <c r="H2600" s="2">
        <v>1</v>
      </c>
      <c r="I2600" s="8">
        <v>94.5</v>
      </c>
      <c r="J2600" s="8">
        <v>30999</v>
      </c>
      <c r="K2600" s="3">
        <v>0</v>
      </c>
      <c r="L2600" s="3" t="s">
        <v>3</v>
      </c>
      <c r="M2600" s="9" t="s">
        <v>0</v>
      </c>
      <c r="N2600" s="9" t="s">
        <v>49</v>
      </c>
      <c r="O2600" s="9" t="s">
        <v>579</v>
      </c>
      <c r="S2600" s="9" t="s">
        <v>158</v>
      </c>
      <c r="T2600" s="10" t="s">
        <v>74</v>
      </c>
      <c r="U2600" s="10">
        <v>1</v>
      </c>
      <c r="V2600" s="10">
        <v>94.5</v>
      </c>
      <c r="W2600" s="10" t="s">
        <v>710</v>
      </c>
      <c r="X2600" s="17">
        <v>45475</v>
      </c>
      <c r="Y2600" s="17">
        <v>45518</v>
      </c>
      <c r="Z2600" s="19" t="s">
        <v>772</v>
      </c>
      <c r="AA2600" s="210">
        <v>30000</v>
      </c>
      <c r="AB2600" s="9">
        <v>39</v>
      </c>
      <c r="AC2600" s="9">
        <v>6</v>
      </c>
      <c r="AD2600" s="17">
        <v>45706</v>
      </c>
      <c r="AE2600" s="56">
        <v>500</v>
      </c>
      <c r="AF2600" s="56"/>
      <c r="AG2600" s="10" t="s">
        <v>134</v>
      </c>
      <c r="AH2600" s="18">
        <v>45715</v>
      </c>
      <c r="AI2600" s="18"/>
      <c r="AJ2600" s="18"/>
      <c r="AK2600" s="10" t="s">
        <v>1103</v>
      </c>
      <c r="AL2600" s="11">
        <v>500</v>
      </c>
      <c r="AN2600" s="11" t="s">
        <v>1112</v>
      </c>
      <c r="AP2600" s="11"/>
      <c r="AQ2600" s="11"/>
      <c r="AR2600" s="11"/>
      <c r="AW2600" s="108">
        <v>45716</v>
      </c>
      <c r="AX2600" s="109">
        <v>3821</v>
      </c>
      <c r="AY2600" s="36"/>
      <c r="AZ2600" s="36"/>
      <c r="BA2600" s="121">
        <v>500</v>
      </c>
      <c r="BD2600" s="9"/>
      <c r="CS2600" s="11">
        <f t="shared" si="178"/>
        <v>500</v>
      </c>
      <c r="CT2600" s="22">
        <f t="shared" si="179"/>
        <v>500</v>
      </c>
      <c r="CU2600" s="22">
        <f t="shared" si="180"/>
        <v>0</v>
      </c>
      <c r="CV2600" s="26">
        <f t="shared" si="177"/>
        <v>0</v>
      </c>
    </row>
    <row r="2601" spans="1:100" ht="12.75" x14ac:dyDescent="0.2">
      <c r="A2601" s="9" t="s">
        <v>578</v>
      </c>
      <c r="B2601" s="2">
        <v>76</v>
      </c>
      <c r="C2601" s="3" t="s">
        <v>95</v>
      </c>
      <c r="D2601" s="3" t="s">
        <v>96</v>
      </c>
      <c r="E2601" s="2"/>
      <c r="F2601" s="2"/>
      <c r="G2601" s="2" t="s">
        <v>74</v>
      </c>
      <c r="H2601" s="2">
        <v>1</v>
      </c>
      <c r="I2601" s="8">
        <v>94.5</v>
      </c>
      <c r="J2601" s="8">
        <v>30999</v>
      </c>
      <c r="K2601" s="3">
        <v>0</v>
      </c>
      <c r="L2601" s="3" t="s">
        <v>3</v>
      </c>
      <c r="M2601" s="9" t="s">
        <v>0</v>
      </c>
      <c r="N2601" s="9" t="s">
        <v>49</v>
      </c>
      <c r="O2601" s="9" t="s">
        <v>579</v>
      </c>
      <c r="S2601" s="9" t="s">
        <v>158</v>
      </c>
      <c r="T2601" s="10" t="s">
        <v>74</v>
      </c>
      <c r="U2601" s="10">
        <v>1</v>
      </c>
      <c r="V2601" s="10">
        <v>94.5</v>
      </c>
      <c r="W2601" s="10" t="s">
        <v>710</v>
      </c>
      <c r="X2601" s="17">
        <v>45475</v>
      </c>
      <c r="Y2601" s="17">
        <v>45518</v>
      </c>
      <c r="Z2601" s="19" t="s">
        <v>772</v>
      </c>
      <c r="AA2601" s="210">
        <v>30000</v>
      </c>
      <c r="AB2601" s="9">
        <v>39</v>
      </c>
      <c r="AC2601" s="9">
        <v>7</v>
      </c>
      <c r="AD2601" s="17">
        <v>45734</v>
      </c>
      <c r="AE2601" s="56">
        <v>500</v>
      </c>
      <c r="AF2601" s="56"/>
      <c r="AG2601" s="10" t="s">
        <v>134</v>
      </c>
      <c r="AH2601" s="18">
        <v>45744</v>
      </c>
      <c r="AI2601" s="18"/>
      <c r="AJ2601" s="18"/>
      <c r="AK2601" s="10" t="s">
        <v>1104</v>
      </c>
      <c r="AL2601" s="11">
        <v>500</v>
      </c>
      <c r="AN2601" s="11" t="s">
        <v>1113</v>
      </c>
      <c r="AP2601" s="11"/>
      <c r="AQ2601" s="11"/>
      <c r="AR2601" s="11"/>
      <c r="AW2601" s="108">
        <v>45744</v>
      </c>
      <c r="AX2601" s="109">
        <v>3937</v>
      </c>
      <c r="AY2601" s="36"/>
      <c r="AZ2601" s="36"/>
      <c r="BA2601" s="121">
        <v>500</v>
      </c>
      <c r="BD2601" s="9"/>
      <c r="CS2601" s="11">
        <f t="shared" si="178"/>
        <v>500</v>
      </c>
      <c r="CT2601" s="22">
        <f t="shared" si="179"/>
        <v>500</v>
      </c>
      <c r="CU2601" s="22">
        <f t="shared" si="180"/>
        <v>0</v>
      </c>
      <c r="CV2601" s="26">
        <f t="shared" si="177"/>
        <v>0</v>
      </c>
    </row>
    <row r="2602" spans="1:100" ht="12.75" x14ac:dyDescent="0.2">
      <c r="A2602" s="9" t="s">
        <v>578</v>
      </c>
      <c r="B2602" s="2">
        <v>76</v>
      </c>
      <c r="C2602" s="3" t="s">
        <v>95</v>
      </c>
      <c r="D2602" s="3" t="s">
        <v>96</v>
      </c>
      <c r="E2602" s="2"/>
      <c r="F2602" s="2"/>
      <c r="G2602" s="2" t="s">
        <v>74</v>
      </c>
      <c r="H2602" s="2">
        <v>1</v>
      </c>
      <c r="I2602" s="8">
        <v>94.5</v>
      </c>
      <c r="J2602" s="8">
        <v>30999</v>
      </c>
      <c r="K2602" s="3">
        <v>0</v>
      </c>
      <c r="L2602" s="3" t="s">
        <v>3</v>
      </c>
      <c r="M2602" s="9" t="s">
        <v>0</v>
      </c>
      <c r="N2602" s="9" t="s">
        <v>49</v>
      </c>
      <c r="O2602" s="9" t="s">
        <v>579</v>
      </c>
      <c r="S2602" s="9" t="s">
        <v>158</v>
      </c>
      <c r="T2602" s="10" t="s">
        <v>74</v>
      </c>
      <c r="U2602" s="10">
        <v>1</v>
      </c>
      <c r="V2602" s="10">
        <v>94.5</v>
      </c>
      <c r="W2602" s="10" t="s">
        <v>710</v>
      </c>
      <c r="X2602" s="17">
        <v>45475</v>
      </c>
      <c r="Y2602" s="17">
        <v>45518</v>
      </c>
      <c r="Z2602" s="19" t="s">
        <v>772</v>
      </c>
      <c r="AA2602" s="210">
        <v>30000</v>
      </c>
      <c r="AB2602" s="9">
        <v>39</v>
      </c>
      <c r="AC2602" s="9">
        <v>8</v>
      </c>
      <c r="AD2602" s="17">
        <v>45765</v>
      </c>
      <c r="AE2602" s="56">
        <v>500</v>
      </c>
      <c r="AF2602" s="56"/>
      <c r="AG2602" s="10" t="s">
        <v>134</v>
      </c>
      <c r="AH2602" s="18">
        <v>45777</v>
      </c>
      <c r="AI2602" s="18"/>
      <c r="AJ2602" s="18"/>
      <c r="AK2602" s="10" t="s">
        <v>1105</v>
      </c>
      <c r="AL2602" s="11">
        <v>500</v>
      </c>
      <c r="AN2602" s="11" t="s">
        <v>1114</v>
      </c>
      <c r="AP2602" s="11"/>
      <c r="AQ2602" s="11"/>
      <c r="AR2602" s="11"/>
      <c r="AW2602" s="108">
        <v>45777</v>
      </c>
      <c r="AX2602" s="109">
        <v>4086</v>
      </c>
      <c r="AY2602" s="36"/>
      <c r="AZ2602" s="36"/>
      <c r="BA2602" s="121">
        <v>500</v>
      </c>
      <c r="BD2602" s="9"/>
      <c r="CS2602" s="11">
        <f t="shared" si="178"/>
        <v>500</v>
      </c>
      <c r="CT2602" s="22">
        <f t="shared" si="179"/>
        <v>500</v>
      </c>
      <c r="CU2602" s="22">
        <f t="shared" si="180"/>
        <v>0</v>
      </c>
      <c r="CV2602" s="26">
        <f t="shared" si="177"/>
        <v>0</v>
      </c>
    </row>
    <row r="2603" spans="1:100" ht="12.75" x14ac:dyDescent="0.2">
      <c r="A2603" s="9" t="s">
        <v>578</v>
      </c>
      <c r="B2603" s="2">
        <v>76</v>
      </c>
      <c r="C2603" s="3" t="s">
        <v>95</v>
      </c>
      <c r="D2603" s="3" t="s">
        <v>96</v>
      </c>
      <c r="E2603" s="2"/>
      <c r="F2603" s="2"/>
      <c r="G2603" s="2" t="s">
        <v>74</v>
      </c>
      <c r="H2603" s="2">
        <v>1</v>
      </c>
      <c r="I2603" s="8">
        <v>94.5</v>
      </c>
      <c r="J2603" s="8">
        <v>30999</v>
      </c>
      <c r="K2603" s="3">
        <v>0</v>
      </c>
      <c r="L2603" s="3" t="s">
        <v>3</v>
      </c>
      <c r="M2603" s="9" t="s">
        <v>0</v>
      </c>
      <c r="N2603" s="9" t="s">
        <v>49</v>
      </c>
      <c r="O2603" s="9" t="s">
        <v>579</v>
      </c>
      <c r="S2603" s="9" t="s">
        <v>158</v>
      </c>
      <c r="T2603" s="10" t="s">
        <v>74</v>
      </c>
      <c r="U2603" s="10">
        <v>1</v>
      </c>
      <c r="V2603" s="10">
        <v>94.5</v>
      </c>
      <c r="W2603" s="10" t="s">
        <v>710</v>
      </c>
      <c r="X2603" s="17">
        <v>45475</v>
      </c>
      <c r="Y2603" s="17">
        <v>45518</v>
      </c>
      <c r="Z2603" s="19" t="s">
        <v>772</v>
      </c>
      <c r="AA2603" s="210">
        <v>30000</v>
      </c>
      <c r="AB2603" s="9">
        <v>39</v>
      </c>
      <c r="AC2603" s="9">
        <v>9</v>
      </c>
      <c r="AD2603" s="17">
        <v>45795</v>
      </c>
      <c r="AE2603" s="56">
        <v>500</v>
      </c>
      <c r="AF2603" s="56"/>
      <c r="AG2603" s="10" t="s">
        <v>134</v>
      </c>
      <c r="AH2603" s="18">
        <v>45807</v>
      </c>
      <c r="AI2603" s="18"/>
      <c r="AJ2603" s="18"/>
      <c r="AK2603" s="10" t="s">
        <v>1106</v>
      </c>
      <c r="AL2603" s="11">
        <v>500</v>
      </c>
      <c r="AN2603" s="11" t="s">
        <v>1115</v>
      </c>
      <c r="AP2603" s="11"/>
      <c r="AQ2603" s="11"/>
      <c r="AR2603" s="11"/>
      <c r="AW2603" s="108">
        <v>45807</v>
      </c>
      <c r="AX2603" s="109">
        <v>4227</v>
      </c>
      <c r="AY2603" s="36"/>
      <c r="AZ2603" s="36"/>
      <c r="BA2603" s="121">
        <v>500</v>
      </c>
      <c r="BD2603" s="9"/>
      <c r="CS2603" s="11">
        <f t="shared" si="178"/>
        <v>500</v>
      </c>
      <c r="CT2603" s="22">
        <f t="shared" si="179"/>
        <v>500</v>
      </c>
      <c r="CU2603" s="22">
        <f t="shared" si="180"/>
        <v>0</v>
      </c>
      <c r="CV2603" s="26">
        <f t="shared" si="177"/>
        <v>0</v>
      </c>
    </row>
    <row r="2604" spans="1:100" ht="12.75" x14ac:dyDescent="0.2">
      <c r="A2604" s="9" t="s">
        <v>578</v>
      </c>
      <c r="B2604" s="2">
        <v>76</v>
      </c>
      <c r="C2604" s="3" t="s">
        <v>95</v>
      </c>
      <c r="D2604" s="3" t="s">
        <v>96</v>
      </c>
      <c r="E2604" s="2"/>
      <c r="F2604" s="2"/>
      <c r="G2604" s="2" t="s">
        <v>74</v>
      </c>
      <c r="H2604" s="2">
        <v>1</v>
      </c>
      <c r="I2604" s="8">
        <v>94.5</v>
      </c>
      <c r="J2604" s="8">
        <v>30999</v>
      </c>
      <c r="K2604" s="3">
        <v>0</v>
      </c>
      <c r="L2604" s="3" t="s">
        <v>3</v>
      </c>
      <c r="M2604" s="9" t="s">
        <v>0</v>
      </c>
      <c r="N2604" s="9" t="s">
        <v>49</v>
      </c>
      <c r="O2604" s="9" t="s">
        <v>579</v>
      </c>
      <c r="S2604" s="9" t="s">
        <v>158</v>
      </c>
      <c r="T2604" s="10" t="s">
        <v>74</v>
      </c>
      <c r="U2604" s="10">
        <v>1</v>
      </c>
      <c r="V2604" s="10">
        <v>94.5</v>
      </c>
      <c r="W2604" s="10" t="s">
        <v>710</v>
      </c>
      <c r="X2604" s="17">
        <v>45475</v>
      </c>
      <c r="Y2604" s="17">
        <v>45518</v>
      </c>
      <c r="Z2604" s="19" t="s">
        <v>772</v>
      </c>
      <c r="AA2604" s="210">
        <v>30000</v>
      </c>
      <c r="AB2604" s="9">
        <v>39</v>
      </c>
      <c r="AC2604" s="9">
        <v>10</v>
      </c>
      <c r="AD2604" s="17">
        <v>45826</v>
      </c>
      <c r="AE2604" s="56">
        <v>500</v>
      </c>
      <c r="AF2604" s="56"/>
      <c r="AG2604" s="10" t="s">
        <v>134</v>
      </c>
      <c r="AH2604" s="18">
        <v>45838</v>
      </c>
      <c r="AI2604" s="18"/>
      <c r="AJ2604" s="18"/>
      <c r="AK2604" s="10" t="s">
        <v>1107</v>
      </c>
      <c r="AL2604" s="11">
        <v>500</v>
      </c>
      <c r="AN2604" s="11" t="s">
        <v>1116</v>
      </c>
      <c r="AP2604" s="11"/>
      <c r="AQ2604" s="11"/>
      <c r="AR2604" s="11"/>
      <c r="AW2604" s="108">
        <v>45837</v>
      </c>
      <c r="AX2604" s="109">
        <v>4349</v>
      </c>
      <c r="AY2604" s="36"/>
      <c r="AZ2604" s="36"/>
      <c r="BA2604" s="121">
        <v>500</v>
      </c>
      <c r="BD2604" s="9"/>
      <c r="CS2604" s="11">
        <f t="shared" si="178"/>
        <v>500</v>
      </c>
      <c r="CT2604" s="22">
        <f t="shared" si="179"/>
        <v>500</v>
      </c>
      <c r="CU2604" s="22">
        <f t="shared" si="180"/>
        <v>0</v>
      </c>
      <c r="CV2604" s="26">
        <f t="shared" si="177"/>
        <v>0</v>
      </c>
    </row>
    <row r="2605" spans="1:100" ht="12.75" x14ac:dyDescent="0.2">
      <c r="A2605" s="9" t="s">
        <v>578</v>
      </c>
      <c r="B2605" s="2">
        <v>76</v>
      </c>
      <c r="C2605" s="3" t="s">
        <v>95</v>
      </c>
      <c r="D2605" s="3" t="s">
        <v>96</v>
      </c>
      <c r="E2605" s="2"/>
      <c r="F2605" s="2"/>
      <c r="G2605" s="2" t="s">
        <v>74</v>
      </c>
      <c r="H2605" s="2">
        <v>1</v>
      </c>
      <c r="I2605" s="8">
        <v>94.5</v>
      </c>
      <c r="J2605" s="8">
        <v>30999</v>
      </c>
      <c r="K2605" s="3">
        <v>0</v>
      </c>
      <c r="L2605" s="3" t="s">
        <v>3</v>
      </c>
      <c r="M2605" s="9" t="s">
        <v>0</v>
      </c>
      <c r="N2605" s="9" t="s">
        <v>49</v>
      </c>
      <c r="O2605" s="9" t="s">
        <v>579</v>
      </c>
      <c r="S2605" s="9" t="s">
        <v>158</v>
      </c>
      <c r="T2605" s="10" t="s">
        <v>74</v>
      </c>
      <c r="U2605" s="10">
        <v>1</v>
      </c>
      <c r="V2605" s="10">
        <v>94.5</v>
      </c>
      <c r="W2605" s="10" t="s">
        <v>710</v>
      </c>
      <c r="X2605" s="17">
        <v>45475</v>
      </c>
      <c r="Y2605" s="17">
        <v>45518</v>
      </c>
      <c r="Z2605" s="19" t="s">
        <v>772</v>
      </c>
      <c r="AA2605" s="210">
        <v>30000</v>
      </c>
      <c r="AB2605" s="9">
        <v>39</v>
      </c>
      <c r="AC2605" s="9">
        <v>11</v>
      </c>
      <c r="AD2605" s="17">
        <v>45856</v>
      </c>
      <c r="AE2605" s="56">
        <v>500</v>
      </c>
      <c r="AF2605" s="56"/>
      <c r="AG2605" s="10" t="s">
        <v>134</v>
      </c>
      <c r="AH2605" s="18">
        <v>45862</v>
      </c>
      <c r="AI2605" s="18"/>
      <c r="AJ2605" s="18"/>
      <c r="AK2605" s="10" t="s">
        <v>1108</v>
      </c>
      <c r="AL2605" s="11">
        <v>500</v>
      </c>
      <c r="AN2605" s="11" t="s">
        <v>1117</v>
      </c>
      <c r="AP2605" s="11"/>
      <c r="AQ2605" s="11"/>
      <c r="AR2605" s="11"/>
      <c r="AW2605" s="108">
        <v>45862</v>
      </c>
      <c r="AX2605" s="109">
        <v>4466</v>
      </c>
      <c r="AY2605" s="36"/>
      <c r="AZ2605" s="36"/>
      <c r="BA2605" s="121">
        <v>500</v>
      </c>
      <c r="BD2605" s="9"/>
      <c r="CS2605" s="11">
        <f t="shared" si="178"/>
        <v>500</v>
      </c>
      <c r="CT2605" s="22">
        <f t="shared" si="179"/>
        <v>500</v>
      </c>
      <c r="CU2605" s="22">
        <f t="shared" si="180"/>
        <v>0</v>
      </c>
      <c r="CV2605" s="26">
        <f t="shared" si="177"/>
        <v>0</v>
      </c>
    </row>
    <row r="2606" spans="1:100" ht="12.75" x14ac:dyDescent="0.2">
      <c r="A2606" s="9" t="s">
        <v>578</v>
      </c>
      <c r="B2606" s="2">
        <v>76</v>
      </c>
      <c r="C2606" s="3" t="s">
        <v>95</v>
      </c>
      <c r="D2606" s="3" t="s">
        <v>96</v>
      </c>
      <c r="E2606" s="2"/>
      <c r="F2606" s="2"/>
      <c r="G2606" s="2" t="s">
        <v>74</v>
      </c>
      <c r="H2606" s="2">
        <v>1</v>
      </c>
      <c r="I2606" s="8">
        <v>94.5</v>
      </c>
      <c r="J2606" s="8">
        <v>30999</v>
      </c>
      <c r="K2606" s="3">
        <v>0</v>
      </c>
      <c r="L2606" s="3" t="s">
        <v>3</v>
      </c>
      <c r="M2606" s="9" t="s">
        <v>0</v>
      </c>
      <c r="N2606" s="9" t="s">
        <v>49</v>
      </c>
      <c r="O2606" s="9" t="s">
        <v>579</v>
      </c>
      <c r="S2606" s="9" t="s">
        <v>158</v>
      </c>
      <c r="T2606" s="10" t="s">
        <v>74</v>
      </c>
      <c r="U2606" s="10">
        <v>1</v>
      </c>
      <c r="V2606" s="10">
        <v>94.5</v>
      </c>
      <c r="W2606" s="10" t="s">
        <v>710</v>
      </c>
      <c r="X2606" s="17">
        <v>45475</v>
      </c>
      <c r="Y2606" s="17">
        <v>45518</v>
      </c>
      <c r="Z2606" s="19" t="s">
        <v>772</v>
      </c>
      <c r="AA2606" s="210">
        <v>30000</v>
      </c>
      <c r="AB2606" s="9">
        <v>39</v>
      </c>
      <c r="AC2606" s="9">
        <v>12</v>
      </c>
      <c r="AD2606" s="17">
        <v>45887</v>
      </c>
      <c r="AE2606" s="56">
        <v>500</v>
      </c>
      <c r="AF2606" s="56"/>
      <c r="AG2606" s="10" t="s">
        <v>134</v>
      </c>
      <c r="AH2606" s="18">
        <v>45898</v>
      </c>
      <c r="AI2606" s="18"/>
      <c r="AJ2606" s="18"/>
      <c r="AK2606" s="10" t="s">
        <v>1109</v>
      </c>
      <c r="AL2606" s="11">
        <v>500</v>
      </c>
      <c r="AN2606" s="11" t="s">
        <v>1118</v>
      </c>
      <c r="AP2606" s="11"/>
      <c r="AQ2606" s="11"/>
      <c r="AR2606" s="11"/>
      <c r="AW2606" s="108">
        <v>45898</v>
      </c>
      <c r="AX2606" s="109">
        <v>4627</v>
      </c>
      <c r="AY2606" s="36"/>
      <c r="AZ2606" s="36"/>
      <c r="BA2606" s="121">
        <v>500</v>
      </c>
      <c r="BD2606" s="9"/>
      <c r="CS2606" s="11">
        <f t="shared" si="178"/>
        <v>500</v>
      </c>
      <c r="CT2606" s="22">
        <f t="shared" si="179"/>
        <v>500</v>
      </c>
      <c r="CU2606" s="22">
        <f t="shared" si="180"/>
        <v>0</v>
      </c>
      <c r="CV2606" s="26">
        <f t="shared" si="177"/>
        <v>0</v>
      </c>
    </row>
    <row r="2607" spans="1:100" ht="12.75" x14ac:dyDescent="0.2">
      <c r="A2607" s="9" t="s">
        <v>578</v>
      </c>
      <c r="B2607" s="2">
        <v>76</v>
      </c>
      <c r="C2607" s="3" t="s">
        <v>95</v>
      </c>
      <c r="D2607" s="3" t="s">
        <v>96</v>
      </c>
      <c r="E2607" s="2"/>
      <c r="F2607" s="2"/>
      <c r="G2607" s="2" t="s">
        <v>74</v>
      </c>
      <c r="H2607" s="2">
        <v>1</v>
      </c>
      <c r="I2607" s="8">
        <v>94.5</v>
      </c>
      <c r="J2607" s="8">
        <v>30999</v>
      </c>
      <c r="K2607" s="3">
        <v>0</v>
      </c>
      <c r="L2607" s="3" t="s">
        <v>3</v>
      </c>
      <c r="M2607" s="9" t="s">
        <v>0</v>
      </c>
      <c r="N2607" s="9" t="s">
        <v>49</v>
      </c>
      <c r="O2607" s="9" t="s">
        <v>579</v>
      </c>
      <c r="S2607" s="9" t="s">
        <v>158</v>
      </c>
      <c r="T2607" s="10" t="s">
        <v>74</v>
      </c>
      <c r="U2607" s="10">
        <v>1</v>
      </c>
      <c r="V2607" s="10">
        <v>94.5</v>
      </c>
      <c r="W2607" s="10" t="s">
        <v>710</v>
      </c>
      <c r="X2607" s="17">
        <v>45475</v>
      </c>
      <c r="Y2607" s="17">
        <v>45518</v>
      </c>
      <c r="Z2607" s="19" t="s">
        <v>772</v>
      </c>
      <c r="AA2607" s="210">
        <v>30000</v>
      </c>
      <c r="AB2607" s="9">
        <v>39</v>
      </c>
      <c r="AC2607" s="9">
        <v>13</v>
      </c>
      <c r="AD2607" s="17">
        <v>45918</v>
      </c>
      <c r="AE2607" s="56">
        <v>500</v>
      </c>
      <c r="AF2607" s="56"/>
      <c r="AG2607" s="10" t="s">
        <v>134</v>
      </c>
      <c r="AH2607" s="18">
        <v>45929</v>
      </c>
      <c r="AI2607" s="18"/>
      <c r="AJ2607" s="18"/>
      <c r="AK2607" s="10" t="s">
        <v>1110</v>
      </c>
      <c r="AL2607" s="11">
        <v>500</v>
      </c>
      <c r="AN2607" s="11" t="s">
        <v>1119</v>
      </c>
      <c r="AP2607" s="11"/>
      <c r="AQ2607" s="11"/>
      <c r="AR2607" s="11"/>
      <c r="AW2607" s="108">
        <v>45929</v>
      </c>
      <c r="AX2607" s="109">
        <v>4827</v>
      </c>
      <c r="AY2607" s="36"/>
      <c r="AZ2607" s="36"/>
      <c r="BA2607" s="121">
        <v>500</v>
      </c>
      <c r="BD2607" s="9"/>
      <c r="CS2607" s="11">
        <f t="shared" si="178"/>
        <v>500</v>
      </c>
      <c r="CT2607" s="22">
        <f t="shared" si="179"/>
        <v>500</v>
      </c>
      <c r="CU2607" s="22">
        <f t="shared" si="180"/>
        <v>0</v>
      </c>
      <c r="CV2607" s="26">
        <f t="shared" si="177"/>
        <v>0</v>
      </c>
    </row>
    <row r="2608" spans="1:100" x14ac:dyDescent="0.2">
      <c r="A2608" s="9" t="s">
        <v>578</v>
      </c>
      <c r="B2608" s="2">
        <v>76</v>
      </c>
      <c r="C2608" s="3" t="s">
        <v>95</v>
      </c>
      <c r="D2608" s="3" t="s">
        <v>96</v>
      </c>
      <c r="E2608" s="2"/>
      <c r="F2608" s="2"/>
      <c r="G2608" s="2" t="s">
        <v>74</v>
      </c>
      <c r="H2608" s="2">
        <v>1</v>
      </c>
      <c r="I2608" s="8">
        <v>94.5</v>
      </c>
      <c r="J2608" s="8">
        <v>30999</v>
      </c>
      <c r="K2608" s="3">
        <v>0</v>
      </c>
      <c r="L2608" s="3" t="s">
        <v>3</v>
      </c>
      <c r="M2608" s="9" t="s">
        <v>0</v>
      </c>
      <c r="N2608" s="9" t="s">
        <v>49</v>
      </c>
      <c r="O2608" s="9" t="s">
        <v>579</v>
      </c>
      <c r="S2608" s="9" t="s">
        <v>158</v>
      </c>
      <c r="T2608" s="10" t="s">
        <v>74</v>
      </c>
      <c r="U2608" s="10">
        <v>1</v>
      </c>
      <c r="V2608" s="10">
        <v>94.5</v>
      </c>
      <c r="W2608" s="10" t="s">
        <v>710</v>
      </c>
      <c r="X2608" s="17">
        <v>45475</v>
      </c>
      <c r="Y2608" s="17">
        <v>45518</v>
      </c>
      <c r="Z2608" s="19" t="s">
        <v>772</v>
      </c>
      <c r="AA2608" s="210">
        <v>30000</v>
      </c>
      <c r="AB2608" s="9">
        <v>39</v>
      </c>
      <c r="AC2608" s="9">
        <v>14</v>
      </c>
      <c r="AD2608" s="17">
        <v>45948</v>
      </c>
      <c r="AE2608" s="56">
        <v>500</v>
      </c>
      <c r="AF2608" s="56"/>
      <c r="AG2608" s="10"/>
      <c r="AP2608" s="11"/>
      <c r="AQ2608" s="11"/>
      <c r="AR2608" s="11"/>
      <c r="AW2608" s="9"/>
      <c r="BD2608" s="9"/>
      <c r="CS2608" s="11">
        <f t="shared" si="178"/>
        <v>0</v>
      </c>
      <c r="CT2608" s="22">
        <f t="shared" si="179"/>
        <v>0</v>
      </c>
      <c r="CU2608" s="22">
        <f t="shared" si="180"/>
        <v>0</v>
      </c>
      <c r="CV2608" s="26">
        <f t="shared" si="177"/>
        <v>500</v>
      </c>
    </row>
    <row r="2609" spans="1:100" x14ac:dyDescent="0.2">
      <c r="A2609" s="9" t="s">
        <v>578</v>
      </c>
      <c r="B2609" s="2">
        <v>76</v>
      </c>
      <c r="C2609" s="3" t="s">
        <v>95</v>
      </c>
      <c r="D2609" s="3" t="s">
        <v>96</v>
      </c>
      <c r="E2609" s="2"/>
      <c r="F2609" s="2"/>
      <c r="G2609" s="2" t="s">
        <v>74</v>
      </c>
      <c r="H2609" s="2">
        <v>1</v>
      </c>
      <c r="I2609" s="8">
        <v>94.5</v>
      </c>
      <c r="J2609" s="8">
        <v>30999</v>
      </c>
      <c r="K2609" s="3">
        <v>0</v>
      </c>
      <c r="L2609" s="3" t="s">
        <v>3</v>
      </c>
      <c r="M2609" s="9" t="s">
        <v>0</v>
      </c>
      <c r="N2609" s="9" t="s">
        <v>49</v>
      </c>
      <c r="O2609" s="9" t="s">
        <v>579</v>
      </c>
      <c r="S2609" s="9" t="s">
        <v>158</v>
      </c>
      <c r="T2609" s="10" t="s">
        <v>74</v>
      </c>
      <c r="U2609" s="10">
        <v>1</v>
      </c>
      <c r="V2609" s="10">
        <v>94.5</v>
      </c>
      <c r="W2609" s="10" t="s">
        <v>710</v>
      </c>
      <c r="X2609" s="17">
        <v>45475</v>
      </c>
      <c r="Y2609" s="17">
        <v>45518</v>
      </c>
      <c r="Z2609" s="19" t="s">
        <v>772</v>
      </c>
      <c r="AA2609" s="210">
        <v>30000</v>
      </c>
      <c r="AB2609" s="9">
        <v>39</v>
      </c>
      <c r="AC2609" s="9">
        <v>15</v>
      </c>
      <c r="AD2609" s="17">
        <v>45979</v>
      </c>
      <c r="AE2609" s="56">
        <v>500</v>
      </c>
      <c r="AF2609" s="56"/>
      <c r="AP2609" s="11"/>
      <c r="AQ2609" s="11"/>
      <c r="AR2609" s="11"/>
      <c r="AW2609" s="9"/>
      <c r="BD2609" s="9"/>
      <c r="CS2609" s="11">
        <f t="shared" si="178"/>
        <v>0</v>
      </c>
      <c r="CT2609" s="22">
        <f t="shared" si="179"/>
        <v>0</v>
      </c>
      <c r="CU2609" s="22">
        <f t="shared" si="180"/>
        <v>0</v>
      </c>
      <c r="CV2609" s="26">
        <f t="shared" si="177"/>
        <v>500</v>
      </c>
    </row>
    <row r="2610" spans="1:100" ht="12.75" x14ac:dyDescent="0.2">
      <c r="A2610" s="9" t="s">
        <v>578</v>
      </c>
      <c r="B2610" s="2">
        <v>76</v>
      </c>
      <c r="C2610" s="3" t="s">
        <v>95</v>
      </c>
      <c r="D2610" s="3" t="s">
        <v>96</v>
      </c>
      <c r="E2610" s="2"/>
      <c r="F2610" s="2"/>
      <c r="G2610" s="2" t="s">
        <v>74</v>
      </c>
      <c r="H2610" s="2">
        <v>1</v>
      </c>
      <c r="I2610" s="8">
        <v>94.5</v>
      </c>
      <c r="J2610" s="8">
        <v>30999</v>
      </c>
      <c r="K2610" s="3">
        <v>0</v>
      </c>
      <c r="L2610" s="3" t="s">
        <v>3</v>
      </c>
      <c r="M2610" s="9" t="s">
        <v>0</v>
      </c>
      <c r="N2610" s="9" t="s">
        <v>49</v>
      </c>
      <c r="O2610" s="9" t="s">
        <v>579</v>
      </c>
      <c r="S2610" s="9" t="s">
        <v>158</v>
      </c>
      <c r="T2610" s="10" t="s">
        <v>74</v>
      </c>
      <c r="U2610" s="10">
        <v>1</v>
      </c>
      <c r="V2610" s="10">
        <v>94.5</v>
      </c>
      <c r="W2610" s="10" t="s">
        <v>710</v>
      </c>
      <c r="X2610" s="17">
        <v>45475</v>
      </c>
      <c r="Y2610" s="17">
        <v>45518</v>
      </c>
      <c r="Z2610" s="19" t="s">
        <v>772</v>
      </c>
      <c r="AA2610" s="210">
        <v>30000</v>
      </c>
      <c r="AB2610" s="9">
        <v>39</v>
      </c>
      <c r="AC2610" s="9">
        <v>16</v>
      </c>
      <c r="AD2610" s="17">
        <v>46009</v>
      </c>
      <c r="AE2610" s="56">
        <v>500</v>
      </c>
      <c r="AF2610" s="56"/>
      <c r="AP2610" s="11"/>
      <c r="AQ2610" s="11"/>
      <c r="AR2610" s="11"/>
      <c r="AW2610" s="94"/>
      <c r="AX2610" s="107"/>
      <c r="AY2610" s="96"/>
      <c r="BD2610" s="9"/>
      <c r="CS2610" s="11">
        <f t="shared" si="178"/>
        <v>0</v>
      </c>
      <c r="CT2610" s="22">
        <f t="shared" si="179"/>
        <v>0</v>
      </c>
      <c r="CU2610" s="22">
        <f t="shared" si="180"/>
        <v>0</v>
      </c>
      <c r="CV2610" s="26">
        <f t="shared" si="177"/>
        <v>500</v>
      </c>
    </row>
    <row r="2611" spans="1:100" x14ac:dyDescent="0.2">
      <c r="A2611" s="9" t="s">
        <v>578</v>
      </c>
      <c r="B2611" s="2">
        <v>76</v>
      </c>
      <c r="C2611" s="3" t="s">
        <v>95</v>
      </c>
      <c r="D2611" s="3" t="s">
        <v>96</v>
      </c>
      <c r="E2611" s="2"/>
      <c r="F2611" s="2"/>
      <c r="G2611" s="2" t="s">
        <v>74</v>
      </c>
      <c r="H2611" s="2">
        <v>1</v>
      </c>
      <c r="I2611" s="8">
        <v>94.5</v>
      </c>
      <c r="J2611" s="8">
        <v>30999</v>
      </c>
      <c r="K2611" s="3">
        <v>0</v>
      </c>
      <c r="L2611" s="3" t="s">
        <v>3</v>
      </c>
      <c r="M2611" s="9" t="s">
        <v>0</v>
      </c>
      <c r="N2611" s="9" t="s">
        <v>49</v>
      </c>
      <c r="O2611" s="9" t="s">
        <v>579</v>
      </c>
      <c r="S2611" s="9" t="s">
        <v>158</v>
      </c>
      <c r="T2611" s="10" t="s">
        <v>74</v>
      </c>
      <c r="U2611" s="10">
        <v>1</v>
      </c>
      <c r="V2611" s="10">
        <v>94.5</v>
      </c>
      <c r="W2611" s="10" t="s">
        <v>710</v>
      </c>
      <c r="X2611" s="17">
        <v>45475</v>
      </c>
      <c r="Y2611" s="17">
        <v>45518</v>
      </c>
      <c r="Z2611" s="19" t="s">
        <v>772</v>
      </c>
      <c r="AA2611" s="210">
        <v>30000</v>
      </c>
      <c r="AB2611" s="9">
        <v>39</v>
      </c>
      <c r="AC2611" s="9">
        <v>17</v>
      </c>
      <c r="AD2611" s="17">
        <v>46040</v>
      </c>
      <c r="AE2611" s="56">
        <v>500</v>
      </c>
      <c r="AF2611" s="56"/>
      <c r="AP2611" s="11"/>
      <c r="AQ2611" s="11"/>
      <c r="AR2611" s="11"/>
      <c r="AW2611" s="9"/>
      <c r="BD2611" s="9"/>
      <c r="CS2611" s="11">
        <f t="shared" si="178"/>
        <v>0</v>
      </c>
      <c r="CT2611" s="22">
        <f t="shared" si="179"/>
        <v>0</v>
      </c>
      <c r="CU2611" s="22">
        <f t="shared" si="180"/>
        <v>0</v>
      </c>
      <c r="CV2611" s="26">
        <f t="shared" si="177"/>
        <v>500</v>
      </c>
    </row>
    <row r="2612" spans="1:100" x14ac:dyDescent="0.2">
      <c r="A2612" s="9" t="s">
        <v>578</v>
      </c>
      <c r="B2612" s="2">
        <v>76</v>
      </c>
      <c r="C2612" s="3" t="s">
        <v>95</v>
      </c>
      <c r="D2612" s="3" t="s">
        <v>96</v>
      </c>
      <c r="E2612" s="2"/>
      <c r="F2612" s="2"/>
      <c r="G2612" s="2" t="s">
        <v>74</v>
      </c>
      <c r="H2612" s="2">
        <v>1</v>
      </c>
      <c r="I2612" s="8">
        <v>94.5</v>
      </c>
      <c r="J2612" s="8">
        <v>30999</v>
      </c>
      <c r="K2612" s="3">
        <v>0</v>
      </c>
      <c r="L2612" s="3" t="s">
        <v>3</v>
      </c>
      <c r="M2612" s="9" t="s">
        <v>0</v>
      </c>
      <c r="N2612" s="9" t="s">
        <v>49</v>
      </c>
      <c r="O2612" s="9" t="s">
        <v>579</v>
      </c>
      <c r="S2612" s="9" t="s">
        <v>158</v>
      </c>
      <c r="T2612" s="10" t="s">
        <v>74</v>
      </c>
      <c r="U2612" s="10">
        <v>1</v>
      </c>
      <c r="V2612" s="10">
        <v>94.5</v>
      </c>
      <c r="W2612" s="10" t="s">
        <v>710</v>
      </c>
      <c r="X2612" s="17">
        <v>45475</v>
      </c>
      <c r="Y2612" s="17">
        <v>45518</v>
      </c>
      <c r="Z2612" s="19" t="s">
        <v>772</v>
      </c>
      <c r="AA2612" s="210">
        <v>30000</v>
      </c>
      <c r="AB2612" s="9">
        <v>39</v>
      </c>
      <c r="AC2612" s="9">
        <v>18</v>
      </c>
      <c r="AD2612" s="17">
        <v>46071</v>
      </c>
      <c r="AE2612" s="56">
        <v>500</v>
      </c>
      <c r="AF2612" s="56"/>
      <c r="AP2612" s="11"/>
      <c r="AQ2612" s="11"/>
      <c r="AR2612" s="11"/>
      <c r="AW2612" s="9"/>
      <c r="BD2612" s="9"/>
      <c r="CS2612" s="11">
        <f t="shared" si="178"/>
        <v>0</v>
      </c>
      <c r="CT2612" s="22">
        <f t="shared" si="179"/>
        <v>0</v>
      </c>
      <c r="CU2612" s="22">
        <f t="shared" si="180"/>
        <v>0</v>
      </c>
      <c r="CV2612" s="26">
        <f t="shared" si="177"/>
        <v>500</v>
      </c>
    </row>
    <row r="2613" spans="1:100" x14ac:dyDescent="0.2">
      <c r="A2613" s="9" t="s">
        <v>578</v>
      </c>
      <c r="B2613" s="2">
        <v>76</v>
      </c>
      <c r="C2613" s="3" t="s">
        <v>95</v>
      </c>
      <c r="D2613" s="3" t="s">
        <v>96</v>
      </c>
      <c r="E2613" s="2"/>
      <c r="F2613" s="2"/>
      <c r="G2613" s="2" t="s">
        <v>74</v>
      </c>
      <c r="H2613" s="2">
        <v>1</v>
      </c>
      <c r="I2613" s="8">
        <v>94.5</v>
      </c>
      <c r="J2613" s="8">
        <v>30999</v>
      </c>
      <c r="K2613" s="3">
        <v>0</v>
      </c>
      <c r="L2613" s="3" t="s">
        <v>3</v>
      </c>
      <c r="M2613" s="9" t="s">
        <v>0</v>
      </c>
      <c r="N2613" s="9" t="s">
        <v>49</v>
      </c>
      <c r="O2613" s="9" t="s">
        <v>579</v>
      </c>
      <c r="S2613" s="9" t="s">
        <v>158</v>
      </c>
      <c r="T2613" s="10" t="s">
        <v>74</v>
      </c>
      <c r="U2613" s="10">
        <v>1</v>
      </c>
      <c r="V2613" s="10">
        <v>94.5</v>
      </c>
      <c r="W2613" s="10" t="s">
        <v>710</v>
      </c>
      <c r="X2613" s="17">
        <v>45475</v>
      </c>
      <c r="Y2613" s="17">
        <v>45518</v>
      </c>
      <c r="Z2613" s="19" t="s">
        <v>772</v>
      </c>
      <c r="AA2613" s="210">
        <v>30000</v>
      </c>
      <c r="AB2613" s="9">
        <v>39</v>
      </c>
      <c r="AC2613" s="9">
        <v>19</v>
      </c>
      <c r="AD2613" s="17">
        <v>46099</v>
      </c>
      <c r="AE2613" s="56">
        <v>500</v>
      </c>
      <c r="AF2613" s="56"/>
      <c r="AP2613" s="11"/>
      <c r="AQ2613" s="11"/>
      <c r="AR2613" s="11"/>
      <c r="AW2613" s="9"/>
      <c r="BD2613" s="9"/>
      <c r="CS2613" s="11">
        <f t="shared" si="178"/>
        <v>0</v>
      </c>
      <c r="CT2613" s="22">
        <f t="shared" si="179"/>
        <v>0</v>
      </c>
      <c r="CU2613" s="22">
        <f t="shared" si="180"/>
        <v>0</v>
      </c>
      <c r="CV2613" s="26">
        <f t="shared" si="177"/>
        <v>500</v>
      </c>
    </row>
    <row r="2614" spans="1:100" x14ac:dyDescent="0.2">
      <c r="A2614" s="9" t="s">
        <v>578</v>
      </c>
      <c r="B2614" s="2">
        <v>76</v>
      </c>
      <c r="C2614" s="3" t="s">
        <v>95</v>
      </c>
      <c r="D2614" s="3" t="s">
        <v>96</v>
      </c>
      <c r="E2614" s="2"/>
      <c r="F2614" s="2"/>
      <c r="G2614" s="2" t="s">
        <v>74</v>
      </c>
      <c r="H2614" s="2">
        <v>1</v>
      </c>
      <c r="I2614" s="8">
        <v>94.5</v>
      </c>
      <c r="J2614" s="8">
        <v>30999</v>
      </c>
      <c r="K2614" s="3">
        <v>0</v>
      </c>
      <c r="L2614" s="3" t="s">
        <v>3</v>
      </c>
      <c r="M2614" s="9" t="s">
        <v>0</v>
      </c>
      <c r="N2614" s="9" t="s">
        <v>49</v>
      </c>
      <c r="O2614" s="9" t="s">
        <v>579</v>
      </c>
      <c r="S2614" s="9" t="s">
        <v>158</v>
      </c>
      <c r="T2614" s="10" t="s">
        <v>74</v>
      </c>
      <c r="U2614" s="10">
        <v>1</v>
      </c>
      <c r="V2614" s="10">
        <v>94.5</v>
      </c>
      <c r="W2614" s="10" t="s">
        <v>710</v>
      </c>
      <c r="X2614" s="17">
        <v>45475</v>
      </c>
      <c r="Y2614" s="17">
        <v>45518</v>
      </c>
      <c r="Z2614" s="19" t="s">
        <v>772</v>
      </c>
      <c r="AA2614" s="210">
        <v>30000</v>
      </c>
      <c r="AB2614" s="9">
        <v>39</v>
      </c>
      <c r="AC2614" s="9">
        <v>20</v>
      </c>
      <c r="AD2614" s="17">
        <v>46130</v>
      </c>
      <c r="AE2614" s="56">
        <v>500</v>
      </c>
      <c r="AF2614" s="56"/>
      <c r="AP2614" s="11"/>
      <c r="AQ2614" s="11"/>
      <c r="AR2614" s="11"/>
      <c r="AW2614" s="9"/>
      <c r="BD2614" s="9"/>
      <c r="CS2614" s="11">
        <f t="shared" si="178"/>
        <v>0</v>
      </c>
      <c r="CT2614" s="22">
        <f t="shared" si="179"/>
        <v>0</v>
      </c>
      <c r="CU2614" s="22">
        <f t="shared" si="180"/>
        <v>0</v>
      </c>
      <c r="CV2614" s="26">
        <f t="shared" si="177"/>
        <v>500</v>
      </c>
    </row>
    <row r="2615" spans="1:100" x14ac:dyDescent="0.2">
      <c r="A2615" s="9" t="s">
        <v>578</v>
      </c>
      <c r="B2615" s="2">
        <v>76</v>
      </c>
      <c r="C2615" s="3" t="s">
        <v>95</v>
      </c>
      <c r="D2615" s="3" t="s">
        <v>96</v>
      </c>
      <c r="E2615" s="2"/>
      <c r="F2615" s="2"/>
      <c r="G2615" s="2" t="s">
        <v>74</v>
      </c>
      <c r="H2615" s="2">
        <v>1</v>
      </c>
      <c r="I2615" s="8">
        <v>94.5</v>
      </c>
      <c r="J2615" s="8">
        <v>30999</v>
      </c>
      <c r="K2615" s="3">
        <v>0</v>
      </c>
      <c r="L2615" s="3" t="s">
        <v>3</v>
      </c>
      <c r="M2615" s="9" t="s">
        <v>0</v>
      </c>
      <c r="N2615" s="9" t="s">
        <v>49</v>
      </c>
      <c r="O2615" s="9" t="s">
        <v>579</v>
      </c>
      <c r="S2615" s="9" t="s">
        <v>158</v>
      </c>
      <c r="T2615" s="10" t="s">
        <v>74</v>
      </c>
      <c r="U2615" s="10">
        <v>1</v>
      </c>
      <c r="V2615" s="10">
        <v>94.5</v>
      </c>
      <c r="W2615" s="10" t="s">
        <v>710</v>
      </c>
      <c r="X2615" s="17">
        <v>45475</v>
      </c>
      <c r="Y2615" s="17">
        <v>45518</v>
      </c>
      <c r="Z2615" s="19" t="s">
        <v>772</v>
      </c>
      <c r="AA2615" s="210">
        <v>30000</v>
      </c>
      <c r="AB2615" s="9">
        <v>39</v>
      </c>
      <c r="AC2615" s="9">
        <v>21</v>
      </c>
      <c r="AD2615" s="17">
        <v>46160</v>
      </c>
      <c r="AE2615" s="56">
        <v>500</v>
      </c>
      <c r="AF2615" s="56"/>
      <c r="AP2615" s="11"/>
      <c r="AQ2615" s="11"/>
      <c r="AR2615" s="11"/>
      <c r="AW2615" s="9"/>
      <c r="BD2615" s="9"/>
      <c r="CS2615" s="11">
        <f t="shared" si="178"/>
        <v>0</v>
      </c>
      <c r="CT2615" s="22">
        <f t="shared" si="179"/>
        <v>0</v>
      </c>
      <c r="CU2615" s="22">
        <f t="shared" si="180"/>
        <v>0</v>
      </c>
      <c r="CV2615" s="26">
        <f t="shared" si="177"/>
        <v>500</v>
      </c>
    </row>
    <row r="2616" spans="1:100" x14ac:dyDescent="0.2">
      <c r="A2616" s="9" t="s">
        <v>578</v>
      </c>
      <c r="B2616" s="2">
        <v>76</v>
      </c>
      <c r="C2616" s="3" t="s">
        <v>95</v>
      </c>
      <c r="D2616" s="3" t="s">
        <v>96</v>
      </c>
      <c r="E2616" s="2"/>
      <c r="F2616" s="2"/>
      <c r="G2616" s="2" t="s">
        <v>74</v>
      </c>
      <c r="H2616" s="2">
        <v>1</v>
      </c>
      <c r="I2616" s="8">
        <v>94.5</v>
      </c>
      <c r="J2616" s="8">
        <v>30999</v>
      </c>
      <c r="K2616" s="3">
        <v>0</v>
      </c>
      <c r="L2616" s="3" t="s">
        <v>3</v>
      </c>
      <c r="M2616" s="9" t="s">
        <v>0</v>
      </c>
      <c r="N2616" s="9" t="s">
        <v>49</v>
      </c>
      <c r="O2616" s="9" t="s">
        <v>579</v>
      </c>
      <c r="S2616" s="9" t="s">
        <v>158</v>
      </c>
      <c r="T2616" s="10" t="s">
        <v>74</v>
      </c>
      <c r="U2616" s="10">
        <v>1</v>
      </c>
      <c r="V2616" s="10">
        <v>94.5</v>
      </c>
      <c r="W2616" s="10" t="s">
        <v>710</v>
      </c>
      <c r="X2616" s="17">
        <v>45475</v>
      </c>
      <c r="Y2616" s="17">
        <v>45518</v>
      </c>
      <c r="Z2616" s="19" t="s">
        <v>772</v>
      </c>
      <c r="AA2616" s="210">
        <v>30000</v>
      </c>
      <c r="AB2616" s="9">
        <v>39</v>
      </c>
      <c r="AC2616" s="9">
        <v>22</v>
      </c>
      <c r="AD2616" s="17">
        <v>46191</v>
      </c>
      <c r="AE2616" s="56">
        <v>500</v>
      </c>
      <c r="AF2616" s="56"/>
      <c r="AH2616" s="17"/>
      <c r="AI2616" s="17"/>
      <c r="AJ2616" s="17"/>
      <c r="AP2616" s="11"/>
      <c r="AQ2616" s="11"/>
      <c r="AR2616" s="11"/>
      <c r="AW2616" s="9"/>
      <c r="BD2616" s="9"/>
      <c r="CS2616" s="11">
        <f t="shared" si="178"/>
        <v>0</v>
      </c>
      <c r="CT2616" s="22">
        <f t="shared" si="179"/>
        <v>0</v>
      </c>
      <c r="CU2616" s="22">
        <f t="shared" si="180"/>
        <v>0</v>
      </c>
      <c r="CV2616" s="26">
        <f t="shared" si="177"/>
        <v>500</v>
      </c>
    </row>
    <row r="2617" spans="1:100" x14ac:dyDescent="0.2">
      <c r="A2617" s="9" t="s">
        <v>578</v>
      </c>
      <c r="B2617" s="2">
        <v>76</v>
      </c>
      <c r="C2617" s="3" t="s">
        <v>95</v>
      </c>
      <c r="D2617" s="3" t="s">
        <v>96</v>
      </c>
      <c r="E2617" s="2"/>
      <c r="F2617" s="2"/>
      <c r="G2617" s="2" t="s">
        <v>74</v>
      </c>
      <c r="H2617" s="2">
        <v>1</v>
      </c>
      <c r="I2617" s="8">
        <v>94.5</v>
      </c>
      <c r="J2617" s="8">
        <v>30999</v>
      </c>
      <c r="K2617" s="3">
        <v>0</v>
      </c>
      <c r="L2617" s="3" t="s">
        <v>3</v>
      </c>
      <c r="M2617" s="9" t="s">
        <v>0</v>
      </c>
      <c r="N2617" s="9" t="s">
        <v>49</v>
      </c>
      <c r="O2617" s="9" t="s">
        <v>579</v>
      </c>
      <c r="S2617" s="9" t="s">
        <v>158</v>
      </c>
      <c r="T2617" s="10" t="s">
        <v>74</v>
      </c>
      <c r="U2617" s="10">
        <v>1</v>
      </c>
      <c r="V2617" s="10">
        <v>94.5</v>
      </c>
      <c r="W2617" s="10" t="s">
        <v>710</v>
      </c>
      <c r="X2617" s="17">
        <v>45475</v>
      </c>
      <c r="Y2617" s="17">
        <v>45518</v>
      </c>
      <c r="Z2617" s="19" t="s">
        <v>772</v>
      </c>
      <c r="AA2617" s="210">
        <v>30000</v>
      </c>
      <c r="AB2617" s="9">
        <v>39</v>
      </c>
      <c r="AC2617" s="9">
        <v>23</v>
      </c>
      <c r="AD2617" s="17">
        <v>46221</v>
      </c>
      <c r="AE2617" s="56">
        <v>500</v>
      </c>
      <c r="AF2617" s="56"/>
      <c r="AH2617" s="17"/>
      <c r="AI2617" s="17"/>
      <c r="AJ2617" s="17"/>
      <c r="AP2617" s="11"/>
      <c r="AQ2617" s="11"/>
      <c r="AR2617" s="11"/>
      <c r="AW2617" s="9"/>
      <c r="BD2617" s="9"/>
      <c r="CS2617" s="11">
        <f t="shared" si="178"/>
        <v>0</v>
      </c>
      <c r="CT2617" s="22">
        <f t="shared" si="179"/>
        <v>0</v>
      </c>
      <c r="CU2617" s="22">
        <f t="shared" si="180"/>
        <v>0</v>
      </c>
      <c r="CV2617" s="26">
        <f t="shared" ref="CV2617:CV2680" si="181">+AE2617-AL2617-AT2617</f>
        <v>500</v>
      </c>
    </row>
    <row r="2618" spans="1:100" x14ac:dyDescent="0.2">
      <c r="A2618" s="9" t="s">
        <v>578</v>
      </c>
      <c r="B2618" s="2">
        <v>76</v>
      </c>
      <c r="C2618" s="3" t="s">
        <v>95</v>
      </c>
      <c r="D2618" s="3" t="s">
        <v>96</v>
      </c>
      <c r="E2618" s="2"/>
      <c r="F2618" s="2"/>
      <c r="G2618" s="2" t="s">
        <v>74</v>
      </c>
      <c r="H2618" s="2">
        <v>1</v>
      </c>
      <c r="I2618" s="8">
        <v>94.5</v>
      </c>
      <c r="J2618" s="8">
        <v>30999</v>
      </c>
      <c r="K2618" s="3">
        <v>0</v>
      </c>
      <c r="L2618" s="3" t="s">
        <v>3</v>
      </c>
      <c r="M2618" s="9" t="s">
        <v>0</v>
      </c>
      <c r="N2618" s="9" t="s">
        <v>49</v>
      </c>
      <c r="O2618" s="9" t="s">
        <v>579</v>
      </c>
      <c r="S2618" s="9" t="s">
        <v>158</v>
      </c>
      <c r="T2618" s="10" t="s">
        <v>74</v>
      </c>
      <c r="U2618" s="10">
        <v>1</v>
      </c>
      <c r="V2618" s="10">
        <v>94.5</v>
      </c>
      <c r="W2618" s="10" t="s">
        <v>710</v>
      </c>
      <c r="X2618" s="17">
        <v>45475</v>
      </c>
      <c r="Y2618" s="17">
        <v>45518</v>
      </c>
      <c r="Z2618" s="19" t="s">
        <v>772</v>
      </c>
      <c r="AA2618" s="210">
        <v>30000</v>
      </c>
      <c r="AB2618" s="9">
        <v>39</v>
      </c>
      <c r="AC2618" s="9">
        <v>24</v>
      </c>
      <c r="AD2618" s="17">
        <v>46252</v>
      </c>
      <c r="AE2618" s="56">
        <v>500</v>
      </c>
      <c r="AF2618" s="56"/>
      <c r="AH2618" s="17"/>
      <c r="AI2618" s="17"/>
      <c r="AJ2618" s="17"/>
      <c r="AP2618" s="11"/>
      <c r="AQ2618" s="11"/>
      <c r="AR2618" s="11"/>
      <c r="AW2618" s="9"/>
      <c r="BD2618" s="9"/>
      <c r="CS2618" s="11">
        <f t="shared" si="178"/>
        <v>0</v>
      </c>
      <c r="CT2618" s="22">
        <f t="shared" si="179"/>
        <v>0</v>
      </c>
      <c r="CU2618" s="22">
        <f t="shared" si="180"/>
        <v>0</v>
      </c>
      <c r="CV2618" s="26">
        <f t="shared" si="181"/>
        <v>500</v>
      </c>
    </row>
    <row r="2619" spans="1:100" x14ac:dyDescent="0.2">
      <c r="A2619" s="9" t="s">
        <v>578</v>
      </c>
      <c r="B2619" s="2">
        <v>76</v>
      </c>
      <c r="C2619" s="3" t="s">
        <v>95</v>
      </c>
      <c r="D2619" s="3" t="s">
        <v>96</v>
      </c>
      <c r="E2619" s="2"/>
      <c r="F2619" s="2"/>
      <c r="G2619" s="2" t="s">
        <v>74</v>
      </c>
      <c r="H2619" s="2">
        <v>1</v>
      </c>
      <c r="I2619" s="8">
        <v>94.5</v>
      </c>
      <c r="J2619" s="8">
        <v>30999</v>
      </c>
      <c r="K2619" s="3">
        <v>0</v>
      </c>
      <c r="L2619" s="3" t="s">
        <v>3</v>
      </c>
      <c r="M2619" s="9" t="s">
        <v>0</v>
      </c>
      <c r="N2619" s="9" t="s">
        <v>49</v>
      </c>
      <c r="O2619" s="9" t="s">
        <v>579</v>
      </c>
      <c r="S2619" s="9" t="s">
        <v>158</v>
      </c>
      <c r="T2619" s="10" t="s">
        <v>74</v>
      </c>
      <c r="U2619" s="10">
        <v>1</v>
      </c>
      <c r="V2619" s="10">
        <v>94.5</v>
      </c>
      <c r="W2619" s="10" t="s">
        <v>710</v>
      </c>
      <c r="X2619" s="17">
        <v>45475</v>
      </c>
      <c r="Y2619" s="17">
        <v>45518</v>
      </c>
      <c r="Z2619" s="19" t="s">
        <v>772</v>
      </c>
      <c r="AA2619" s="210">
        <v>30000</v>
      </c>
      <c r="AB2619" s="9">
        <v>39</v>
      </c>
      <c r="AC2619" s="9">
        <v>25</v>
      </c>
      <c r="AD2619" s="17">
        <v>46283</v>
      </c>
      <c r="AE2619" s="56">
        <v>500</v>
      </c>
      <c r="AF2619" s="56"/>
      <c r="AH2619" s="17"/>
      <c r="AI2619" s="17"/>
      <c r="AJ2619" s="17"/>
      <c r="AP2619" s="11"/>
      <c r="AQ2619" s="11"/>
      <c r="AR2619" s="11"/>
      <c r="AW2619" s="9"/>
      <c r="BD2619" s="9"/>
      <c r="CS2619" s="11">
        <f t="shared" si="178"/>
        <v>0</v>
      </c>
      <c r="CT2619" s="22">
        <f t="shared" si="179"/>
        <v>0</v>
      </c>
      <c r="CU2619" s="22">
        <f t="shared" si="180"/>
        <v>0</v>
      </c>
      <c r="CV2619" s="26">
        <f t="shared" si="181"/>
        <v>500</v>
      </c>
    </row>
    <row r="2620" spans="1:100" x14ac:dyDescent="0.2">
      <c r="A2620" s="9" t="s">
        <v>578</v>
      </c>
      <c r="B2620" s="2">
        <v>76</v>
      </c>
      <c r="C2620" s="3" t="s">
        <v>95</v>
      </c>
      <c r="D2620" s="3" t="s">
        <v>96</v>
      </c>
      <c r="E2620" s="2"/>
      <c r="F2620" s="2"/>
      <c r="G2620" s="2" t="s">
        <v>74</v>
      </c>
      <c r="H2620" s="2">
        <v>1</v>
      </c>
      <c r="I2620" s="8">
        <v>94.5</v>
      </c>
      <c r="J2620" s="8">
        <v>30999</v>
      </c>
      <c r="K2620" s="3">
        <v>0</v>
      </c>
      <c r="L2620" s="3" t="s">
        <v>3</v>
      </c>
      <c r="M2620" s="9" t="s">
        <v>0</v>
      </c>
      <c r="N2620" s="9" t="s">
        <v>49</v>
      </c>
      <c r="O2620" s="9" t="s">
        <v>579</v>
      </c>
      <c r="S2620" s="9" t="s">
        <v>158</v>
      </c>
      <c r="T2620" s="10" t="s">
        <v>74</v>
      </c>
      <c r="U2620" s="10">
        <v>1</v>
      </c>
      <c r="V2620" s="10">
        <v>94.5</v>
      </c>
      <c r="W2620" s="10" t="s">
        <v>710</v>
      </c>
      <c r="X2620" s="17">
        <v>45475</v>
      </c>
      <c r="Y2620" s="17">
        <v>45518</v>
      </c>
      <c r="Z2620" s="19" t="s">
        <v>772</v>
      </c>
      <c r="AA2620" s="210">
        <v>30000</v>
      </c>
      <c r="AB2620" s="9">
        <v>39</v>
      </c>
      <c r="AC2620" s="9">
        <v>26</v>
      </c>
      <c r="AD2620" s="17">
        <v>46313</v>
      </c>
      <c r="AE2620" s="56">
        <v>500</v>
      </c>
      <c r="AF2620" s="56"/>
      <c r="AH2620" s="17"/>
      <c r="AI2620" s="17"/>
      <c r="AJ2620" s="17"/>
      <c r="AP2620" s="11"/>
      <c r="AQ2620" s="11"/>
      <c r="AR2620" s="11"/>
      <c r="AW2620" s="9"/>
      <c r="BD2620" s="9"/>
      <c r="CS2620" s="11">
        <f t="shared" si="178"/>
        <v>0</v>
      </c>
      <c r="CT2620" s="22">
        <f t="shared" si="179"/>
        <v>0</v>
      </c>
      <c r="CU2620" s="22">
        <f t="shared" si="180"/>
        <v>0</v>
      </c>
      <c r="CV2620" s="26">
        <f t="shared" si="181"/>
        <v>500</v>
      </c>
    </row>
    <row r="2621" spans="1:100" x14ac:dyDescent="0.2">
      <c r="A2621" s="9" t="s">
        <v>578</v>
      </c>
      <c r="B2621" s="2">
        <v>76</v>
      </c>
      <c r="C2621" s="3" t="s">
        <v>95</v>
      </c>
      <c r="D2621" s="3" t="s">
        <v>96</v>
      </c>
      <c r="E2621" s="2"/>
      <c r="F2621" s="2"/>
      <c r="G2621" s="2" t="s">
        <v>74</v>
      </c>
      <c r="H2621" s="2">
        <v>1</v>
      </c>
      <c r="I2621" s="8">
        <v>94.5</v>
      </c>
      <c r="J2621" s="8">
        <v>30999</v>
      </c>
      <c r="K2621" s="3">
        <v>0</v>
      </c>
      <c r="L2621" s="3" t="s">
        <v>3</v>
      </c>
      <c r="M2621" s="9" t="s">
        <v>0</v>
      </c>
      <c r="N2621" s="9" t="s">
        <v>49</v>
      </c>
      <c r="O2621" s="9" t="s">
        <v>579</v>
      </c>
      <c r="S2621" s="9" t="s">
        <v>158</v>
      </c>
      <c r="T2621" s="10" t="s">
        <v>74</v>
      </c>
      <c r="U2621" s="10">
        <v>1</v>
      </c>
      <c r="V2621" s="10">
        <v>94.5</v>
      </c>
      <c r="W2621" s="10" t="s">
        <v>710</v>
      </c>
      <c r="X2621" s="17">
        <v>45475</v>
      </c>
      <c r="Y2621" s="17">
        <v>45518</v>
      </c>
      <c r="Z2621" s="19" t="s">
        <v>772</v>
      </c>
      <c r="AA2621" s="210">
        <v>30000</v>
      </c>
      <c r="AB2621" s="9">
        <v>39</v>
      </c>
      <c r="AC2621" s="9">
        <v>27</v>
      </c>
      <c r="AD2621" s="17">
        <v>46344</v>
      </c>
      <c r="AE2621" s="56">
        <v>500</v>
      </c>
      <c r="AF2621" s="56"/>
      <c r="AP2621" s="11"/>
      <c r="AQ2621" s="11"/>
      <c r="AR2621" s="11"/>
      <c r="AW2621" s="9"/>
      <c r="BD2621" s="9"/>
      <c r="CS2621" s="11">
        <f t="shared" ref="CS2621:CS2684" si="182">+AL2621+AT2621</f>
        <v>0</v>
      </c>
      <c r="CT2621" s="22">
        <f t="shared" ref="CT2621:CT2684" si="183">+BA2621+BG2621+BM2621+BS2621+BY2621+CE2621+CK2621+CQ2621</f>
        <v>0</v>
      </c>
      <c r="CU2621" s="22">
        <f t="shared" ref="CU2621:CU2684" si="184">+CS2621-CT2621</f>
        <v>0</v>
      </c>
      <c r="CV2621" s="26">
        <f t="shared" si="181"/>
        <v>500</v>
      </c>
    </row>
    <row r="2622" spans="1:100" x14ac:dyDescent="0.2">
      <c r="A2622" s="9" t="s">
        <v>578</v>
      </c>
      <c r="B2622" s="2">
        <v>76</v>
      </c>
      <c r="C2622" s="3" t="s">
        <v>95</v>
      </c>
      <c r="D2622" s="3" t="s">
        <v>96</v>
      </c>
      <c r="E2622" s="2"/>
      <c r="F2622" s="2"/>
      <c r="G2622" s="2" t="s">
        <v>74</v>
      </c>
      <c r="H2622" s="2">
        <v>1</v>
      </c>
      <c r="I2622" s="8">
        <v>94.5</v>
      </c>
      <c r="J2622" s="8">
        <v>30999</v>
      </c>
      <c r="K2622" s="3">
        <v>0</v>
      </c>
      <c r="L2622" s="3" t="s">
        <v>3</v>
      </c>
      <c r="M2622" s="9" t="s">
        <v>0</v>
      </c>
      <c r="N2622" s="9" t="s">
        <v>49</v>
      </c>
      <c r="O2622" s="9" t="s">
        <v>579</v>
      </c>
      <c r="S2622" s="9" t="s">
        <v>158</v>
      </c>
      <c r="T2622" s="10" t="s">
        <v>74</v>
      </c>
      <c r="U2622" s="10">
        <v>1</v>
      </c>
      <c r="V2622" s="10">
        <v>94.5</v>
      </c>
      <c r="W2622" s="10" t="s">
        <v>710</v>
      </c>
      <c r="X2622" s="17">
        <v>45475</v>
      </c>
      <c r="Y2622" s="17">
        <v>45518</v>
      </c>
      <c r="Z2622" s="19" t="s">
        <v>772</v>
      </c>
      <c r="AA2622" s="210">
        <v>30000</v>
      </c>
      <c r="AB2622" s="9">
        <v>39</v>
      </c>
      <c r="AC2622" s="9">
        <v>28</v>
      </c>
      <c r="AD2622" s="17">
        <v>46374</v>
      </c>
      <c r="AE2622" s="56">
        <v>500</v>
      </c>
      <c r="AF2622" s="56"/>
      <c r="AP2622" s="11"/>
      <c r="AQ2622" s="11"/>
      <c r="AR2622" s="11"/>
      <c r="AW2622" s="9"/>
      <c r="BD2622" s="9"/>
      <c r="CS2622" s="11">
        <f t="shared" si="182"/>
        <v>0</v>
      </c>
      <c r="CT2622" s="22">
        <f t="shared" si="183"/>
        <v>0</v>
      </c>
      <c r="CU2622" s="22">
        <f t="shared" si="184"/>
        <v>0</v>
      </c>
      <c r="CV2622" s="26">
        <f t="shared" si="181"/>
        <v>500</v>
      </c>
    </row>
    <row r="2623" spans="1:100" x14ac:dyDescent="0.2">
      <c r="A2623" s="9" t="s">
        <v>578</v>
      </c>
      <c r="B2623" s="2">
        <v>76</v>
      </c>
      <c r="C2623" s="3" t="s">
        <v>95</v>
      </c>
      <c r="D2623" s="3" t="s">
        <v>96</v>
      </c>
      <c r="E2623" s="2"/>
      <c r="F2623" s="2"/>
      <c r="G2623" s="2" t="s">
        <v>74</v>
      </c>
      <c r="H2623" s="2">
        <v>1</v>
      </c>
      <c r="I2623" s="8">
        <v>94.5</v>
      </c>
      <c r="J2623" s="8">
        <v>30999</v>
      </c>
      <c r="K2623" s="3">
        <v>0</v>
      </c>
      <c r="L2623" s="3" t="s">
        <v>3</v>
      </c>
      <c r="M2623" s="9" t="s">
        <v>0</v>
      </c>
      <c r="N2623" s="9" t="s">
        <v>49</v>
      </c>
      <c r="O2623" s="9" t="s">
        <v>579</v>
      </c>
      <c r="S2623" s="9" t="s">
        <v>158</v>
      </c>
      <c r="T2623" s="10" t="s">
        <v>74</v>
      </c>
      <c r="U2623" s="10">
        <v>1</v>
      </c>
      <c r="V2623" s="10">
        <v>94.5</v>
      </c>
      <c r="W2623" s="10" t="s">
        <v>710</v>
      </c>
      <c r="X2623" s="17">
        <v>45475</v>
      </c>
      <c r="Y2623" s="17">
        <v>45518</v>
      </c>
      <c r="Z2623" s="19" t="s">
        <v>772</v>
      </c>
      <c r="AA2623" s="210">
        <v>30000</v>
      </c>
      <c r="AB2623" s="9">
        <v>39</v>
      </c>
      <c r="AC2623" s="9">
        <v>29</v>
      </c>
      <c r="AD2623" s="17">
        <v>46405</v>
      </c>
      <c r="AE2623" s="56">
        <v>500</v>
      </c>
      <c r="AF2623" s="56"/>
      <c r="AP2623" s="11"/>
      <c r="AQ2623" s="11"/>
      <c r="AR2623" s="11"/>
      <c r="AW2623" s="9"/>
      <c r="BD2623" s="9"/>
      <c r="CS2623" s="11">
        <f t="shared" si="182"/>
        <v>0</v>
      </c>
      <c r="CT2623" s="22">
        <f t="shared" si="183"/>
        <v>0</v>
      </c>
      <c r="CU2623" s="22">
        <f t="shared" si="184"/>
        <v>0</v>
      </c>
      <c r="CV2623" s="26">
        <f t="shared" si="181"/>
        <v>500</v>
      </c>
    </row>
    <row r="2624" spans="1:100" ht="12.75" x14ac:dyDescent="0.2">
      <c r="A2624" s="9" t="s">
        <v>578</v>
      </c>
      <c r="B2624" s="2">
        <v>76</v>
      </c>
      <c r="C2624" s="3" t="s">
        <v>95</v>
      </c>
      <c r="D2624" s="3" t="s">
        <v>96</v>
      </c>
      <c r="E2624" s="2"/>
      <c r="F2624" s="2"/>
      <c r="G2624" s="2" t="s">
        <v>74</v>
      </c>
      <c r="H2624" s="2">
        <v>1</v>
      </c>
      <c r="I2624" s="8">
        <v>94.5</v>
      </c>
      <c r="J2624" s="8">
        <v>30999</v>
      </c>
      <c r="K2624" s="3">
        <v>0</v>
      </c>
      <c r="L2624" s="3" t="s">
        <v>3</v>
      </c>
      <c r="M2624" s="9" t="s">
        <v>0</v>
      </c>
      <c r="N2624" s="9" t="s">
        <v>49</v>
      </c>
      <c r="O2624" s="9" t="s">
        <v>579</v>
      </c>
      <c r="S2624" s="9" t="s">
        <v>158</v>
      </c>
      <c r="T2624" s="10" t="s">
        <v>74</v>
      </c>
      <c r="U2624" s="10">
        <v>1</v>
      </c>
      <c r="V2624" s="10">
        <v>94.5</v>
      </c>
      <c r="W2624" s="10" t="s">
        <v>710</v>
      </c>
      <c r="X2624" s="17">
        <v>45475</v>
      </c>
      <c r="Y2624" s="17">
        <v>45518</v>
      </c>
      <c r="Z2624" s="19" t="s">
        <v>772</v>
      </c>
      <c r="AA2624" s="210">
        <v>30000</v>
      </c>
      <c r="AB2624" s="9">
        <v>39</v>
      </c>
      <c r="AC2624" s="9">
        <v>30</v>
      </c>
      <c r="AD2624" s="17">
        <v>46436</v>
      </c>
      <c r="AE2624" s="56">
        <v>500</v>
      </c>
      <c r="AF2624" s="56"/>
      <c r="AP2624" s="11"/>
      <c r="AQ2624" s="11"/>
      <c r="AR2624" s="11"/>
      <c r="AW2624" s="9"/>
      <c r="BB2624" s="94"/>
      <c r="BC2624" s="95"/>
      <c r="BD2624" s="96"/>
      <c r="BF2624" s="11"/>
      <c r="CS2624" s="11">
        <f t="shared" si="182"/>
        <v>0</v>
      </c>
      <c r="CT2624" s="22">
        <f t="shared" si="183"/>
        <v>0</v>
      </c>
      <c r="CU2624" s="22">
        <f t="shared" si="184"/>
        <v>0</v>
      </c>
      <c r="CV2624" s="26">
        <f t="shared" si="181"/>
        <v>500</v>
      </c>
    </row>
    <row r="2625" spans="1:100" x14ac:dyDescent="0.2">
      <c r="A2625" s="9" t="s">
        <v>578</v>
      </c>
      <c r="B2625" s="2">
        <v>76</v>
      </c>
      <c r="C2625" s="3" t="s">
        <v>95</v>
      </c>
      <c r="D2625" s="3" t="s">
        <v>96</v>
      </c>
      <c r="E2625" s="2"/>
      <c r="F2625" s="2"/>
      <c r="G2625" s="2" t="s">
        <v>74</v>
      </c>
      <c r="H2625" s="2">
        <v>1</v>
      </c>
      <c r="I2625" s="8">
        <v>94.5</v>
      </c>
      <c r="J2625" s="8">
        <v>30999</v>
      </c>
      <c r="K2625" s="3">
        <v>0</v>
      </c>
      <c r="L2625" s="3" t="s">
        <v>3</v>
      </c>
      <c r="M2625" s="9" t="s">
        <v>0</v>
      </c>
      <c r="N2625" s="9" t="s">
        <v>49</v>
      </c>
      <c r="O2625" s="9" t="s">
        <v>579</v>
      </c>
      <c r="S2625" s="9" t="s">
        <v>158</v>
      </c>
      <c r="T2625" s="10" t="s">
        <v>74</v>
      </c>
      <c r="U2625" s="10">
        <v>1</v>
      </c>
      <c r="V2625" s="10">
        <v>94.5</v>
      </c>
      <c r="W2625" s="10" t="s">
        <v>710</v>
      </c>
      <c r="X2625" s="17">
        <v>45475</v>
      </c>
      <c r="Y2625" s="17">
        <v>45518</v>
      </c>
      <c r="Z2625" s="19" t="s">
        <v>772</v>
      </c>
      <c r="AA2625" s="210">
        <v>30000</v>
      </c>
      <c r="AB2625" s="9">
        <v>39</v>
      </c>
      <c r="AC2625" s="9">
        <v>31</v>
      </c>
      <c r="AD2625" s="17">
        <v>46464</v>
      </c>
      <c r="AE2625" s="56">
        <v>500</v>
      </c>
      <c r="AF2625" s="56"/>
      <c r="AP2625" s="11"/>
      <c r="AQ2625" s="11"/>
      <c r="AR2625" s="11"/>
      <c r="AW2625" s="9"/>
      <c r="BB2625" s="9"/>
      <c r="BD2625" s="9"/>
      <c r="BF2625" s="11"/>
      <c r="CS2625" s="11">
        <f t="shared" si="182"/>
        <v>0</v>
      </c>
      <c r="CT2625" s="22">
        <f t="shared" si="183"/>
        <v>0</v>
      </c>
      <c r="CU2625" s="22">
        <f t="shared" si="184"/>
        <v>0</v>
      </c>
      <c r="CV2625" s="26">
        <f t="shared" si="181"/>
        <v>500</v>
      </c>
    </row>
    <row r="2626" spans="1:100" x14ac:dyDescent="0.2">
      <c r="A2626" s="9" t="s">
        <v>578</v>
      </c>
      <c r="B2626" s="2">
        <v>76</v>
      </c>
      <c r="C2626" s="3" t="s">
        <v>95</v>
      </c>
      <c r="D2626" s="3" t="s">
        <v>96</v>
      </c>
      <c r="E2626" s="2"/>
      <c r="F2626" s="2"/>
      <c r="G2626" s="2" t="s">
        <v>74</v>
      </c>
      <c r="H2626" s="2">
        <v>1</v>
      </c>
      <c r="I2626" s="8">
        <v>94.5</v>
      </c>
      <c r="J2626" s="8">
        <v>30999</v>
      </c>
      <c r="K2626" s="3">
        <v>0</v>
      </c>
      <c r="L2626" s="3" t="s">
        <v>3</v>
      </c>
      <c r="M2626" s="9" t="s">
        <v>0</v>
      </c>
      <c r="N2626" s="9" t="s">
        <v>49</v>
      </c>
      <c r="O2626" s="9" t="s">
        <v>579</v>
      </c>
      <c r="S2626" s="9" t="s">
        <v>158</v>
      </c>
      <c r="T2626" s="10" t="s">
        <v>74</v>
      </c>
      <c r="U2626" s="10">
        <v>1</v>
      </c>
      <c r="V2626" s="10">
        <v>94.5</v>
      </c>
      <c r="W2626" s="10" t="s">
        <v>710</v>
      </c>
      <c r="X2626" s="17">
        <v>45475</v>
      </c>
      <c r="Y2626" s="17">
        <v>45518</v>
      </c>
      <c r="Z2626" s="19" t="s">
        <v>772</v>
      </c>
      <c r="AA2626" s="210">
        <v>30000</v>
      </c>
      <c r="AB2626" s="9">
        <v>39</v>
      </c>
      <c r="AC2626" s="9">
        <v>32</v>
      </c>
      <c r="AD2626" s="17">
        <v>46495</v>
      </c>
      <c r="AE2626" s="56">
        <v>500</v>
      </c>
      <c r="AF2626" s="56"/>
      <c r="AP2626" s="11"/>
      <c r="AQ2626" s="11"/>
      <c r="AR2626" s="11"/>
      <c r="AW2626" s="9"/>
      <c r="BB2626" s="9"/>
      <c r="BD2626" s="9"/>
      <c r="BF2626" s="11"/>
      <c r="CS2626" s="11">
        <f t="shared" si="182"/>
        <v>0</v>
      </c>
      <c r="CT2626" s="22">
        <f t="shared" si="183"/>
        <v>0</v>
      </c>
      <c r="CU2626" s="22">
        <f t="shared" si="184"/>
        <v>0</v>
      </c>
      <c r="CV2626" s="26">
        <f t="shared" si="181"/>
        <v>500</v>
      </c>
    </row>
    <row r="2627" spans="1:100" x14ac:dyDescent="0.2">
      <c r="A2627" s="9" t="s">
        <v>578</v>
      </c>
      <c r="B2627" s="2">
        <v>76</v>
      </c>
      <c r="C2627" s="3" t="s">
        <v>95</v>
      </c>
      <c r="D2627" s="3" t="s">
        <v>96</v>
      </c>
      <c r="E2627" s="2"/>
      <c r="F2627" s="2"/>
      <c r="G2627" s="2" t="s">
        <v>74</v>
      </c>
      <c r="H2627" s="2">
        <v>1</v>
      </c>
      <c r="I2627" s="8">
        <v>94.5</v>
      </c>
      <c r="J2627" s="8">
        <v>30999</v>
      </c>
      <c r="K2627" s="3">
        <v>0</v>
      </c>
      <c r="L2627" s="3" t="s">
        <v>3</v>
      </c>
      <c r="M2627" s="9" t="s">
        <v>0</v>
      </c>
      <c r="N2627" s="9" t="s">
        <v>49</v>
      </c>
      <c r="O2627" s="9" t="s">
        <v>579</v>
      </c>
      <c r="S2627" s="9" t="s">
        <v>158</v>
      </c>
      <c r="T2627" s="10" t="s">
        <v>74</v>
      </c>
      <c r="U2627" s="10">
        <v>1</v>
      </c>
      <c r="V2627" s="10">
        <v>94.5</v>
      </c>
      <c r="W2627" s="10" t="s">
        <v>710</v>
      </c>
      <c r="X2627" s="17">
        <v>45475</v>
      </c>
      <c r="Y2627" s="17">
        <v>45518</v>
      </c>
      <c r="Z2627" s="19" t="s">
        <v>772</v>
      </c>
      <c r="AA2627" s="210">
        <v>30000</v>
      </c>
      <c r="AB2627" s="9">
        <v>39</v>
      </c>
      <c r="AC2627" s="9">
        <v>33</v>
      </c>
      <c r="AD2627" s="17">
        <v>46525</v>
      </c>
      <c r="AE2627" s="56">
        <v>500</v>
      </c>
      <c r="AF2627" s="56"/>
      <c r="AP2627" s="11"/>
      <c r="AQ2627" s="11"/>
      <c r="AR2627" s="11"/>
      <c r="AW2627" s="9"/>
      <c r="BB2627" s="9"/>
      <c r="BD2627" s="9"/>
      <c r="BF2627" s="11"/>
      <c r="CS2627" s="11">
        <f t="shared" si="182"/>
        <v>0</v>
      </c>
      <c r="CT2627" s="22">
        <f t="shared" si="183"/>
        <v>0</v>
      </c>
      <c r="CU2627" s="22">
        <f t="shared" si="184"/>
        <v>0</v>
      </c>
      <c r="CV2627" s="26">
        <f t="shared" si="181"/>
        <v>500</v>
      </c>
    </row>
    <row r="2628" spans="1:100" x14ac:dyDescent="0.2">
      <c r="A2628" s="9" t="s">
        <v>578</v>
      </c>
      <c r="B2628" s="2">
        <v>76</v>
      </c>
      <c r="C2628" s="3" t="s">
        <v>95</v>
      </c>
      <c r="D2628" s="3" t="s">
        <v>96</v>
      </c>
      <c r="E2628" s="2"/>
      <c r="F2628" s="2"/>
      <c r="G2628" s="2" t="s">
        <v>74</v>
      </c>
      <c r="H2628" s="2">
        <v>1</v>
      </c>
      <c r="I2628" s="8">
        <v>94.5</v>
      </c>
      <c r="J2628" s="8">
        <v>30999</v>
      </c>
      <c r="K2628" s="3">
        <v>0</v>
      </c>
      <c r="L2628" s="3" t="s">
        <v>3</v>
      </c>
      <c r="M2628" s="9" t="s">
        <v>0</v>
      </c>
      <c r="N2628" s="9" t="s">
        <v>49</v>
      </c>
      <c r="O2628" s="9" t="s">
        <v>579</v>
      </c>
      <c r="S2628" s="9" t="s">
        <v>158</v>
      </c>
      <c r="T2628" s="10" t="s">
        <v>74</v>
      </c>
      <c r="U2628" s="10">
        <v>1</v>
      </c>
      <c r="V2628" s="10">
        <v>94.5</v>
      </c>
      <c r="W2628" s="10" t="s">
        <v>710</v>
      </c>
      <c r="X2628" s="17">
        <v>45475</v>
      </c>
      <c r="Y2628" s="17">
        <v>45518</v>
      </c>
      <c r="Z2628" s="19" t="s">
        <v>772</v>
      </c>
      <c r="AA2628" s="210">
        <v>30000</v>
      </c>
      <c r="AB2628" s="9">
        <v>39</v>
      </c>
      <c r="AC2628" s="9">
        <v>34</v>
      </c>
      <c r="AD2628" s="17">
        <v>46556</v>
      </c>
      <c r="AE2628" s="56">
        <v>500</v>
      </c>
      <c r="AF2628" s="56"/>
      <c r="AP2628" s="11"/>
      <c r="AQ2628" s="11"/>
      <c r="AR2628" s="11"/>
      <c r="AW2628" s="9"/>
      <c r="BB2628" s="9"/>
      <c r="BD2628" s="9"/>
      <c r="BF2628" s="11"/>
      <c r="CS2628" s="11">
        <f t="shared" si="182"/>
        <v>0</v>
      </c>
      <c r="CT2628" s="22">
        <f t="shared" si="183"/>
        <v>0</v>
      </c>
      <c r="CU2628" s="22">
        <f t="shared" si="184"/>
        <v>0</v>
      </c>
      <c r="CV2628" s="26">
        <f t="shared" si="181"/>
        <v>500</v>
      </c>
    </row>
    <row r="2629" spans="1:100" x14ac:dyDescent="0.2">
      <c r="A2629" s="9" t="s">
        <v>578</v>
      </c>
      <c r="B2629" s="2">
        <v>76</v>
      </c>
      <c r="C2629" s="3" t="s">
        <v>95</v>
      </c>
      <c r="D2629" s="3" t="s">
        <v>96</v>
      </c>
      <c r="E2629" s="2"/>
      <c r="F2629" s="2"/>
      <c r="G2629" s="2" t="s">
        <v>74</v>
      </c>
      <c r="H2629" s="2">
        <v>1</v>
      </c>
      <c r="I2629" s="8">
        <v>94.5</v>
      </c>
      <c r="J2629" s="8">
        <v>30999</v>
      </c>
      <c r="K2629" s="3">
        <v>0</v>
      </c>
      <c r="L2629" s="3" t="s">
        <v>3</v>
      </c>
      <c r="M2629" s="9" t="s">
        <v>0</v>
      </c>
      <c r="N2629" s="9" t="s">
        <v>49</v>
      </c>
      <c r="O2629" s="9" t="s">
        <v>579</v>
      </c>
      <c r="S2629" s="9" t="s">
        <v>158</v>
      </c>
      <c r="T2629" s="10" t="s">
        <v>74</v>
      </c>
      <c r="U2629" s="10">
        <v>1</v>
      </c>
      <c r="V2629" s="10">
        <v>94.5</v>
      </c>
      <c r="W2629" s="10" t="s">
        <v>710</v>
      </c>
      <c r="X2629" s="17">
        <v>45475</v>
      </c>
      <c r="Y2629" s="17">
        <v>45518</v>
      </c>
      <c r="Z2629" s="19" t="s">
        <v>772</v>
      </c>
      <c r="AA2629" s="210">
        <v>30000</v>
      </c>
      <c r="AB2629" s="9">
        <v>39</v>
      </c>
      <c r="AC2629" s="9">
        <v>35</v>
      </c>
      <c r="AD2629" s="17">
        <v>46586</v>
      </c>
      <c r="AE2629" s="56">
        <v>500</v>
      </c>
      <c r="AF2629" s="56"/>
      <c r="AP2629" s="11"/>
      <c r="AQ2629" s="11"/>
      <c r="AR2629" s="11"/>
      <c r="AW2629" s="9"/>
      <c r="BB2629" s="9"/>
      <c r="BD2629" s="9"/>
      <c r="BF2629" s="11"/>
      <c r="CS2629" s="11">
        <f t="shared" si="182"/>
        <v>0</v>
      </c>
      <c r="CT2629" s="22">
        <f t="shared" si="183"/>
        <v>0</v>
      </c>
      <c r="CU2629" s="22">
        <f t="shared" si="184"/>
        <v>0</v>
      </c>
      <c r="CV2629" s="26">
        <f t="shared" si="181"/>
        <v>500</v>
      </c>
    </row>
    <row r="2630" spans="1:100" x14ac:dyDescent="0.2">
      <c r="A2630" s="9" t="s">
        <v>578</v>
      </c>
      <c r="B2630" s="2">
        <v>76</v>
      </c>
      <c r="C2630" s="3" t="s">
        <v>95</v>
      </c>
      <c r="D2630" s="3" t="s">
        <v>96</v>
      </c>
      <c r="E2630" s="2"/>
      <c r="F2630" s="2"/>
      <c r="G2630" s="2" t="s">
        <v>74</v>
      </c>
      <c r="H2630" s="2">
        <v>1</v>
      </c>
      <c r="I2630" s="8">
        <v>94.5</v>
      </c>
      <c r="J2630" s="8">
        <v>30999</v>
      </c>
      <c r="K2630" s="3">
        <v>0</v>
      </c>
      <c r="L2630" s="3" t="s">
        <v>3</v>
      </c>
      <c r="M2630" s="9" t="s">
        <v>0</v>
      </c>
      <c r="N2630" s="9" t="s">
        <v>49</v>
      </c>
      <c r="O2630" s="9" t="s">
        <v>579</v>
      </c>
      <c r="S2630" s="9" t="s">
        <v>158</v>
      </c>
      <c r="T2630" s="10" t="s">
        <v>74</v>
      </c>
      <c r="U2630" s="10">
        <v>1</v>
      </c>
      <c r="V2630" s="10">
        <v>94.5</v>
      </c>
      <c r="W2630" s="10" t="s">
        <v>710</v>
      </c>
      <c r="X2630" s="17">
        <v>45475</v>
      </c>
      <c r="Y2630" s="17">
        <v>45518</v>
      </c>
      <c r="Z2630" s="19" t="s">
        <v>772</v>
      </c>
      <c r="AA2630" s="210">
        <v>30000</v>
      </c>
      <c r="AB2630" s="9">
        <v>39</v>
      </c>
      <c r="AC2630" s="9">
        <v>36</v>
      </c>
      <c r="AD2630" s="17">
        <v>46617</v>
      </c>
      <c r="AE2630" s="56">
        <v>2750</v>
      </c>
      <c r="AF2630" s="56"/>
      <c r="AP2630" s="11"/>
      <c r="AQ2630" s="11"/>
      <c r="AR2630" s="11"/>
      <c r="AW2630" s="9"/>
      <c r="BB2630" s="17"/>
      <c r="BD2630" s="9"/>
      <c r="BF2630" s="11"/>
      <c r="CS2630" s="11">
        <f t="shared" si="182"/>
        <v>0</v>
      </c>
      <c r="CT2630" s="22">
        <f t="shared" si="183"/>
        <v>0</v>
      </c>
      <c r="CU2630" s="22">
        <f t="shared" si="184"/>
        <v>0</v>
      </c>
      <c r="CV2630" s="26">
        <f t="shared" si="181"/>
        <v>2750</v>
      </c>
    </row>
    <row r="2631" spans="1:100" x14ac:dyDescent="0.2">
      <c r="A2631" s="9" t="s">
        <v>578</v>
      </c>
      <c r="B2631" s="2">
        <v>76</v>
      </c>
      <c r="C2631" s="3" t="s">
        <v>95</v>
      </c>
      <c r="D2631" s="3" t="s">
        <v>96</v>
      </c>
      <c r="E2631" s="2"/>
      <c r="F2631" s="2"/>
      <c r="G2631" s="2" t="s">
        <v>74</v>
      </c>
      <c r="H2631" s="2">
        <v>1</v>
      </c>
      <c r="I2631" s="8">
        <v>94.5</v>
      </c>
      <c r="J2631" s="8">
        <v>30999</v>
      </c>
      <c r="K2631" s="3">
        <v>0</v>
      </c>
      <c r="L2631" s="3" t="s">
        <v>3</v>
      </c>
      <c r="M2631" s="9" t="s">
        <v>0</v>
      </c>
      <c r="N2631" s="9" t="s">
        <v>49</v>
      </c>
      <c r="O2631" s="9" t="s">
        <v>579</v>
      </c>
      <c r="S2631" s="9" t="s">
        <v>158</v>
      </c>
      <c r="T2631" s="10" t="s">
        <v>74</v>
      </c>
      <c r="U2631" s="10">
        <v>1</v>
      </c>
      <c r="V2631" s="10">
        <v>94.5</v>
      </c>
      <c r="W2631" s="10" t="s">
        <v>710</v>
      </c>
      <c r="X2631" s="17">
        <v>45475</v>
      </c>
      <c r="Y2631" s="17">
        <v>45518</v>
      </c>
      <c r="Z2631" s="19" t="s">
        <v>772</v>
      </c>
      <c r="AA2631" s="210">
        <v>30000</v>
      </c>
      <c r="AB2631" s="9">
        <v>39</v>
      </c>
      <c r="AC2631" s="9">
        <v>37</v>
      </c>
      <c r="AD2631" s="17">
        <v>46648</v>
      </c>
      <c r="AE2631" s="56">
        <v>2750</v>
      </c>
      <c r="AF2631" s="56"/>
      <c r="AP2631" s="11"/>
      <c r="AQ2631" s="11"/>
      <c r="AR2631" s="11"/>
      <c r="AW2631" s="9"/>
      <c r="BB2631" s="17"/>
      <c r="BD2631" s="9"/>
      <c r="BF2631" s="11"/>
      <c r="CS2631" s="11">
        <f t="shared" si="182"/>
        <v>0</v>
      </c>
      <c r="CT2631" s="22">
        <f t="shared" si="183"/>
        <v>0</v>
      </c>
      <c r="CU2631" s="22">
        <f t="shared" si="184"/>
        <v>0</v>
      </c>
      <c r="CV2631" s="26">
        <f t="shared" si="181"/>
        <v>2750</v>
      </c>
    </row>
    <row r="2632" spans="1:100" x14ac:dyDescent="0.2">
      <c r="A2632" s="9" t="s">
        <v>578</v>
      </c>
      <c r="B2632" s="2">
        <v>76</v>
      </c>
      <c r="C2632" s="3" t="s">
        <v>95</v>
      </c>
      <c r="D2632" s="3" t="s">
        <v>96</v>
      </c>
      <c r="E2632" s="2"/>
      <c r="F2632" s="2"/>
      <c r="G2632" s="2" t="s">
        <v>74</v>
      </c>
      <c r="H2632" s="2">
        <v>1</v>
      </c>
      <c r="I2632" s="8">
        <v>94.5</v>
      </c>
      <c r="J2632" s="8">
        <v>30999</v>
      </c>
      <c r="K2632" s="3">
        <v>0</v>
      </c>
      <c r="L2632" s="3" t="s">
        <v>3</v>
      </c>
      <c r="M2632" s="9" t="s">
        <v>0</v>
      </c>
      <c r="N2632" s="9" t="s">
        <v>49</v>
      </c>
      <c r="O2632" s="9" t="s">
        <v>579</v>
      </c>
      <c r="S2632" s="9" t="s">
        <v>158</v>
      </c>
      <c r="T2632" s="10" t="s">
        <v>74</v>
      </c>
      <c r="U2632" s="10">
        <v>1</v>
      </c>
      <c r="V2632" s="10">
        <v>94.5</v>
      </c>
      <c r="W2632" s="10" t="s">
        <v>710</v>
      </c>
      <c r="X2632" s="17">
        <v>45475</v>
      </c>
      <c r="Y2632" s="17">
        <v>45518</v>
      </c>
      <c r="Z2632" s="19" t="s">
        <v>772</v>
      </c>
      <c r="AA2632" s="210">
        <v>30000</v>
      </c>
      <c r="AB2632" s="9">
        <v>39</v>
      </c>
      <c r="AC2632" s="9">
        <v>38</v>
      </c>
      <c r="AD2632" s="17">
        <v>46678</v>
      </c>
      <c r="AE2632" s="56">
        <v>1000</v>
      </c>
      <c r="AF2632" s="56"/>
      <c r="AP2632" s="11"/>
      <c r="AQ2632" s="11"/>
      <c r="AR2632" s="11"/>
      <c r="AW2632" s="9"/>
      <c r="BB2632" s="17"/>
      <c r="BD2632" s="9"/>
      <c r="BF2632" s="11"/>
      <c r="CS2632" s="11">
        <f t="shared" si="182"/>
        <v>0</v>
      </c>
      <c r="CT2632" s="22">
        <f t="shared" si="183"/>
        <v>0</v>
      </c>
      <c r="CU2632" s="22">
        <f t="shared" si="184"/>
        <v>0</v>
      </c>
      <c r="CV2632" s="26">
        <f t="shared" si="181"/>
        <v>1000</v>
      </c>
    </row>
    <row r="2633" spans="1:100" x14ac:dyDescent="0.2">
      <c r="A2633" s="9" t="s">
        <v>578</v>
      </c>
      <c r="B2633" s="2">
        <v>76</v>
      </c>
      <c r="C2633" s="3" t="s">
        <v>95</v>
      </c>
      <c r="D2633" s="3" t="s">
        <v>96</v>
      </c>
      <c r="E2633" s="2"/>
      <c r="F2633" s="2"/>
      <c r="G2633" s="2" t="s">
        <v>74</v>
      </c>
      <c r="H2633" s="2">
        <v>1</v>
      </c>
      <c r="I2633" s="8">
        <v>94.5</v>
      </c>
      <c r="J2633" s="8">
        <v>30999</v>
      </c>
      <c r="K2633" s="3">
        <v>0</v>
      </c>
      <c r="L2633" s="3" t="s">
        <v>3</v>
      </c>
      <c r="M2633" s="9" t="s">
        <v>0</v>
      </c>
      <c r="N2633" s="9" t="s">
        <v>49</v>
      </c>
      <c r="O2633" s="9" t="s">
        <v>579</v>
      </c>
      <c r="S2633" s="9" t="s">
        <v>158</v>
      </c>
      <c r="T2633" s="10" t="s">
        <v>74</v>
      </c>
      <c r="U2633" s="10">
        <v>1</v>
      </c>
      <c r="V2633" s="10">
        <v>94.5</v>
      </c>
      <c r="W2633" s="10" t="s">
        <v>710</v>
      </c>
      <c r="X2633" s="17">
        <v>45475</v>
      </c>
      <c r="Y2633" s="17">
        <v>45518</v>
      </c>
      <c r="Z2633" s="19" t="s">
        <v>772</v>
      </c>
      <c r="AA2633" s="210">
        <v>30000</v>
      </c>
      <c r="AB2633" s="9">
        <v>39</v>
      </c>
      <c r="AC2633" s="9">
        <v>39</v>
      </c>
      <c r="AD2633" s="17">
        <v>46709</v>
      </c>
      <c r="AE2633" s="56">
        <v>1000</v>
      </c>
      <c r="AF2633" s="56"/>
      <c r="AP2633" s="11"/>
      <c r="AQ2633" s="11"/>
      <c r="AR2633" s="11"/>
      <c r="AW2633" s="9"/>
      <c r="BB2633" s="9"/>
      <c r="BD2633" s="9"/>
      <c r="BF2633" s="11"/>
      <c r="CS2633" s="11">
        <f t="shared" si="182"/>
        <v>0</v>
      </c>
      <c r="CT2633" s="22">
        <f t="shared" si="183"/>
        <v>0</v>
      </c>
      <c r="CU2633" s="22">
        <f t="shared" si="184"/>
        <v>0</v>
      </c>
      <c r="CV2633" s="26">
        <f t="shared" si="181"/>
        <v>1000</v>
      </c>
    </row>
    <row r="2634" spans="1:100" x14ac:dyDescent="0.2">
      <c r="A2634" s="9" t="s">
        <v>531</v>
      </c>
      <c r="B2634" s="2">
        <v>100</v>
      </c>
      <c r="C2634" s="3" t="s">
        <v>95</v>
      </c>
      <c r="D2634" s="3" t="s">
        <v>96</v>
      </c>
      <c r="E2634" s="2"/>
      <c r="F2634" s="2"/>
      <c r="G2634" s="2" t="s">
        <v>78</v>
      </c>
      <c r="H2634" s="2">
        <v>5</v>
      </c>
      <c r="I2634" s="8">
        <v>142.57</v>
      </c>
      <c r="J2634" s="8">
        <v>43499</v>
      </c>
      <c r="K2634" s="3">
        <v>0</v>
      </c>
      <c r="L2634" s="3" t="s">
        <v>3</v>
      </c>
      <c r="M2634" s="9" t="s">
        <v>0</v>
      </c>
      <c r="N2634" s="9" t="s">
        <v>50</v>
      </c>
      <c r="O2634" s="9" t="s">
        <v>584</v>
      </c>
      <c r="S2634" s="9" t="s">
        <v>158</v>
      </c>
      <c r="T2634" s="10" t="s">
        <v>78</v>
      </c>
      <c r="U2634" s="10">
        <v>5</v>
      </c>
      <c r="V2634" s="10">
        <v>142.57</v>
      </c>
      <c r="W2634" s="10" t="s">
        <v>710</v>
      </c>
      <c r="X2634" s="17">
        <v>45504</v>
      </c>
      <c r="Y2634" s="17">
        <v>45636</v>
      </c>
      <c r="Z2634" s="19" t="s">
        <v>772</v>
      </c>
      <c r="AA2634" s="212">
        <v>43000</v>
      </c>
      <c r="AB2634" s="9">
        <v>9</v>
      </c>
      <c r="AC2634" s="9">
        <v>1</v>
      </c>
      <c r="AD2634" s="17">
        <v>45504</v>
      </c>
      <c r="AE2634" s="56">
        <v>200</v>
      </c>
      <c r="AF2634" s="56"/>
      <c r="AG2634" s="9" t="s">
        <v>134</v>
      </c>
      <c r="AH2634" s="17">
        <v>45504</v>
      </c>
      <c r="AI2634" s="17"/>
      <c r="AJ2634" s="17"/>
      <c r="AK2634" s="9" t="s">
        <v>585</v>
      </c>
      <c r="AL2634" s="11">
        <v>200</v>
      </c>
      <c r="AN2634" s="11" t="s">
        <v>1089</v>
      </c>
      <c r="AP2634" s="11"/>
      <c r="AQ2634" s="11"/>
      <c r="AR2634" s="11"/>
      <c r="AW2634" s="42">
        <v>45504</v>
      </c>
      <c r="AX2634" s="36">
        <v>2962</v>
      </c>
      <c r="AY2634" s="36"/>
      <c r="AZ2634" s="36"/>
      <c r="BA2634" s="36">
        <v>200</v>
      </c>
      <c r="BB2634" s="9"/>
      <c r="BD2634" s="9"/>
      <c r="BF2634" s="11"/>
      <c r="CS2634" s="11">
        <f t="shared" si="182"/>
        <v>200</v>
      </c>
      <c r="CT2634" s="22">
        <f t="shared" si="183"/>
        <v>200</v>
      </c>
      <c r="CU2634" s="22">
        <f t="shared" si="184"/>
        <v>0</v>
      </c>
      <c r="CV2634" s="26">
        <f t="shared" si="181"/>
        <v>0</v>
      </c>
    </row>
    <row r="2635" spans="1:100" ht="12.75" x14ac:dyDescent="0.2">
      <c r="A2635" s="9" t="s">
        <v>531</v>
      </c>
      <c r="B2635" s="2">
        <v>100</v>
      </c>
      <c r="C2635" s="3" t="s">
        <v>95</v>
      </c>
      <c r="D2635" s="3" t="s">
        <v>96</v>
      </c>
      <c r="E2635" s="2"/>
      <c r="F2635" s="2"/>
      <c r="G2635" s="2" t="s">
        <v>78</v>
      </c>
      <c r="H2635" s="2">
        <v>5</v>
      </c>
      <c r="I2635" s="8">
        <v>142.57</v>
      </c>
      <c r="J2635" s="8">
        <v>43499</v>
      </c>
      <c r="K2635" s="3">
        <v>0</v>
      </c>
      <c r="L2635" s="3" t="s">
        <v>3</v>
      </c>
      <c r="M2635" s="9" t="s">
        <v>0</v>
      </c>
      <c r="N2635" s="9" t="s">
        <v>50</v>
      </c>
      <c r="O2635" s="9" t="s">
        <v>584</v>
      </c>
      <c r="S2635" s="9" t="s">
        <v>158</v>
      </c>
      <c r="T2635" s="10" t="s">
        <v>78</v>
      </c>
      <c r="U2635" s="10">
        <v>5</v>
      </c>
      <c r="V2635" s="10">
        <v>142.57</v>
      </c>
      <c r="W2635" s="10" t="s">
        <v>710</v>
      </c>
      <c r="X2635" s="17">
        <v>45504</v>
      </c>
      <c r="Y2635" s="17">
        <v>45636</v>
      </c>
      <c r="Z2635" s="19" t="s">
        <v>772</v>
      </c>
      <c r="AA2635" s="212">
        <v>43000</v>
      </c>
      <c r="AB2635" s="9">
        <v>9</v>
      </c>
      <c r="AC2635" s="9">
        <v>2</v>
      </c>
      <c r="AD2635" s="17">
        <v>45506</v>
      </c>
      <c r="AE2635" s="56">
        <v>4800</v>
      </c>
      <c r="AF2635" s="56"/>
      <c r="AG2635" s="9" t="s">
        <v>134</v>
      </c>
      <c r="AH2635" s="17">
        <v>45506</v>
      </c>
      <c r="AI2635" s="17"/>
      <c r="AJ2635" s="17"/>
      <c r="AK2635" s="9" t="s">
        <v>586</v>
      </c>
      <c r="AL2635" s="11">
        <v>4800</v>
      </c>
      <c r="AN2635" s="11" t="s">
        <v>1090</v>
      </c>
      <c r="AP2635" s="11"/>
      <c r="AQ2635" s="11"/>
      <c r="AR2635" s="11"/>
      <c r="AW2635" s="108">
        <v>45506</v>
      </c>
      <c r="AX2635" s="109">
        <v>2981</v>
      </c>
      <c r="AY2635" s="36"/>
      <c r="AZ2635" s="36"/>
      <c r="BA2635" s="119">
        <v>4800</v>
      </c>
      <c r="BB2635" s="9"/>
      <c r="BD2635" s="9"/>
      <c r="BF2635" s="11"/>
      <c r="CS2635" s="11">
        <f t="shared" si="182"/>
        <v>4800</v>
      </c>
      <c r="CT2635" s="22">
        <f t="shared" si="183"/>
        <v>4800</v>
      </c>
      <c r="CU2635" s="22">
        <f t="shared" si="184"/>
        <v>0</v>
      </c>
      <c r="CV2635" s="26">
        <f t="shared" si="181"/>
        <v>0</v>
      </c>
    </row>
    <row r="2636" spans="1:100" ht="12.75" x14ac:dyDescent="0.2">
      <c r="A2636" s="9" t="s">
        <v>531</v>
      </c>
      <c r="B2636" s="2">
        <v>100</v>
      </c>
      <c r="C2636" s="3" t="s">
        <v>95</v>
      </c>
      <c r="D2636" s="3" t="s">
        <v>96</v>
      </c>
      <c r="E2636" s="2"/>
      <c r="F2636" s="2"/>
      <c r="G2636" s="2" t="s">
        <v>78</v>
      </c>
      <c r="H2636" s="2">
        <v>5</v>
      </c>
      <c r="I2636" s="8">
        <v>142.57</v>
      </c>
      <c r="J2636" s="8">
        <v>43499</v>
      </c>
      <c r="K2636" s="3">
        <v>0</v>
      </c>
      <c r="L2636" s="3" t="s">
        <v>3</v>
      </c>
      <c r="M2636" s="9" t="s">
        <v>0</v>
      </c>
      <c r="N2636" s="9" t="s">
        <v>50</v>
      </c>
      <c r="O2636" s="9" t="s">
        <v>584</v>
      </c>
      <c r="S2636" s="9" t="s">
        <v>158</v>
      </c>
      <c r="T2636" s="10" t="s">
        <v>78</v>
      </c>
      <c r="U2636" s="10">
        <v>5</v>
      </c>
      <c r="V2636" s="10">
        <v>142.57</v>
      </c>
      <c r="W2636" s="10" t="s">
        <v>710</v>
      </c>
      <c r="X2636" s="17">
        <v>45504</v>
      </c>
      <c r="Y2636" s="17">
        <v>45636</v>
      </c>
      <c r="Z2636" s="19" t="s">
        <v>772</v>
      </c>
      <c r="AA2636" s="212">
        <v>43000</v>
      </c>
      <c r="AB2636" s="9">
        <v>9</v>
      </c>
      <c r="AC2636" s="9">
        <v>3</v>
      </c>
      <c r="AD2636" s="17">
        <v>45545</v>
      </c>
      <c r="AE2636" s="56">
        <v>6500</v>
      </c>
      <c r="AF2636" s="56"/>
      <c r="AG2636" s="9" t="s">
        <v>134</v>
      </c>
      <c r="AH2636" s="17">
        <v>45545</v>
      </c>
      <c r="AI2636" s="17"/>
      <c r="AJ2636" s="17"/>
      <c r="AK2636" s="9" t="s">
        <v>587</v>
      </c>
      <c r="AL2636" s="11">
        <v>6500</v>
      </c>
      <c r="AN2636" s="11" t="s">
        <v>1091</v>
      </c>
      <c r="AP2636" s="11"/>
      <c r="AQ2636" s="11"/>
      <c r="AR2636" s="11"/>
      <c r="AW2636" s="108">
        <v>45545</v>
      </c>
      <c r="AX2636" s="109">
        <v>3137</v>
      </c>
      <c r="AY2636" s="36"/>
      <c r="AZ2636" s="36"/>
      <c r="BA2636" s="119">
        <v>6500</v>
      </c>
      <c r="BD2636" s="9"/>
      <c r="CS2636" s="11">
        <f t="shared" si="182"/>
        <v>6500</v>
      </c>
      <c r="CT2636" s="22">
        <f t="shared" si="183"/>
        <v>6500</v>
      </c>
      <c r="CU2636" s="22">
        <f t="shared" si="184"/>
        <v>0</v>
      </c>
      <c r="CV2636" s="26">
        <f t="shared" si="181"/>
        <v>0</v>
      </c>
    </row>
    <row r="2637" spans="1:100" ht="12.75" x14ac:dyDescent="0.2">
      <c r="A2637" s="9" t="s">
        <v>531</v>
      </c>
      <c r="B2637" s="2">
        <v>100</v>
      </c>
      <c r="C2637" s="3" t="s">
        <v>95</v>
      </c>
      <c r="D2637" s="3" t="s">
        <v>96</v>
      </c>
      <c r="E2637" s="2"/>
      <c r="F2637" s="2"/>
      <c r="G2637" s="2" t="s">
        <v>78</v>
      </c>
      <c r="H2637" s="2">
        <v>5</v>
      </c>
      <c r="I2637" s="8">
        <v>142.57</v>
      </c>
      <c r="J2637" s="8">
        <v>43499</v>
      </c>
      <c r="K2637" s="3">
        <v>0</v>
      </c>
      <c r="L2637" s="3" t="s">
        <v>3</v>
      </c>
      <c r="M2637" s="9" t="s">
        <v>0</v>
      </c>
      <c r="N2637" s="9" t="s">
        <v>50</v>
      </c>
      <c r="O2637" s="9" t="s">
        <v>584</v>
      </c>
      <c r="S2637" s="9" t="s">
        <v>158</v>
      </c>
      <c r="T2637" s="10" t="s">
        <v>78</v>
      </c>
      <c r="U2637" s="10">
        <v>5</v>
      </c>
      <c r="V2637" s="10">
        <v>142.57</v>
      </c>
      <c r="W2637" s="10" t="s">
        <v>710</v>
      </c>
      <c r="X2637" s="17">
        <v>45504</v>
      </c>
      <c r="Y2637" s="17">
        <v>45636</v>
      </c>
      <c r="Z2637" s="19" t="s">
        <v>772</v>
      </c>
      <c r="AA2637" s="212">
        <v>43000</v>
      </c>
      <c r="AB2637" s="9">
        <v>9</v>
      </c>
      <c r="AC2637" s="9">
        <v>4</v>
      </c>
      <c r="AD2637" s="17">
        <v>45547</v>
      </c>
      <c r="AE2637" s="56">
        <v>6500</v>
      </c>
      <c r="AF2637" s="56"/>
      <c r="AG2637" s="9" t="s">
        <v>134</v>
      </c>
      <c r="AH2637" s="17">
        <v>45547</v>
      </c>
      <c r="AI2637" s="17"/>
      <c r="AJ2637" s="17"/>
      <c r="AK2637" s="9" t="s">
        <v>588</v>
      </c>
      <c r="AL2637" s="11">
        <v>6500</v>
      </c>
      <c r="AN2637" s="11" t="s">
        <v>1092</v>
      </c>
      <c r="AP2637" s="11"/>
      <c r="AQ2637" s="11"/>
      <c r="AR2637" s="11"/>
      <c r="AW2637" s="108">
        <v>45546</v>
      </c>
      <c r="AX2637" s="109">
        <v>3151</v>
      </c>
      <c r="AY2637" s="36"/>
      <c r="AZ2637" s="36"/>
      <c r="BA2637" s="119">
        <v>6500</v>
      </c>
      <c r="BD2637" s="9"/>
      <c r="CS2637" s="11">
        <f t="shared" si="182"/>
        <v>6500</v>
      </c>
      <c r="CT2637" s="22">
        <f t="shared" si="183"/>
        <v>6500</v>
      </c>
      <c r="CU2637" s="22">
        <f t="shared" si="184"/>
        <v>0</v>
      </c>
      <c r="CV2637" s="26">
        <f t="shared" si="181"/>
        <v>0</v>
      </c>
    </row>
    <row r="2638" spans="1:100" ht="12.75" x14ac:dyDescent="0.2">
      <c r="A2638" s="9" t="s">
        <v>531</v>
      </c>
      <c r="B2638" s="2">
        <v>100</v>
      </c>
      <c r="C2638" s="3" t="s">
        <v>95</v>
      </c>
      <c r="D2638" s="3" t="s">
        <v>96</v>
      </c>
      <c r="E2638" s="2"/>
      <c r="F2638" s="2"/>
      <c r="G2638" s="2" t="s">
        <v>78</v>
      </c>
      <c r="H2638" s="2">
        <v>5</v>
      </c>
      <c r="I2638" s="8">
        <v>142.57</v>
      </c>
      <c r="J2638" s="8">
        <v>43499</v>
      </c>
      <c r="K2638" s="3">
        <v>0</v>
      </c>
      <c r="L2638" s="3" t="s">
        <v>3</v>
      </c>
      <c r="M2638" s="9" t="s">
        <v>0</v>
      </c>
      <c r="N2638" s="9" t="s">
        <v>50</v>
      </c>
      <c r="O2638" s="9" t="s">
        <v>584</v>
      </c>
      <c r="S2638" s="9" t="s">
        <v>158</v>
      </c>
      <c r="T2638" s="10" t="s">
        <v>78</v>
      </c>
      <c r="U2638" s="10">
        <v>5</v>
      </c>
      <c r="V2638" s="10">
        <v>142.57</v>
      </c>
      <c r="W2638" s="10" t="s">
        <v>710</v>
      </c>
      <c r="X2638" s="17">
        <v>45504</v>
      </c>
      <c r="Y2638" s="17">
        <v>45636</v>
      </c>
      <c r="Z2638" s="19" t="s">
        <v>772</v>
      </c>
      <c r="AA2638" s="212">
        <v>43000</v>
      </c>
      <c r="AB2638" s="9">
        <v>9</v>
      </c>
      <c r="AC2638" s="9">
        <v>5</v>
      </c>
      <c r="AD2638" s="17">
        <v>45548</v>
      </c>
      <c r="AE2638" s="56">
        <v>7000</v>
      </c>
      <c r="AF2638" s="56"/>
      <c r="AG2638" s="9" t="s">
        <v>134</v>
      </c>
      <c r="AH2638" s="17">
        <v>45548</v>
      </c>
      <c r="AI2638" s="17"/>
      <c r="AJ2638" s="17"/>
      <c r="AK2638" s="9" t="s">
        <v>589</v>
      </c>
      <c r="AL2638" s="11">
        <v>7000</v>
      </c>
      <c r="AN2638" s="11" t="s">
        <v>1093</v>
      </c>
      <c r="AP2638" s="11"/>
      <c r="AQ2638" s="11"/>
      <c r="AR2638" s="11"/>
      <c r="AW2638" s="108">
        <v>45548</v>
      </c>
      <c r="AX2638" s="109">
        <v>3157</v>
      </c>
      <c r="AY2638" s="36"/>
      <c r="AZ2638" s="36"/>
      <c r="BA2638" s="119">
        <v>7000</v>
      </c>
      <c r="BD2638" s="9"/>
      <c r="CS2638" s="11">
        <f t="shared" si="182"/>
        <v>7000</v>
      </c>
      <c r="CT2638" s="22">
        <f t="shared" si="183"/>
        <v>7000</v>
      </c>
      <c r="CU2638" s="22">
        <f t="shared" si="184"/>
        <v>0</v>
      </c>
      <c r="CV2638" s="26">
        <f t="shared" si="181"/>
        <v>0</v>
      </c>
    </row>
    <row r="2639" spans="1:100" ht="12.75" x14ac:dyDescent="0.2">
      <c r="A2639" s="9" t="s">
        <v>531</v>
      </c>
      <c r="B2639" s="2">
        <v>100</v>
      </c>
      <c r="C2639" s="3" t="s">
        <v>95</v>
      </c>
      <c r="D2639" s="3" t="s">
        <v>96</v>
      </c>
      <c r="E2639" s="2"/>
      <c r="F2639" s="2"/>
      <c r="G2639" s="2" t="s">
        <v>78</v>
      </c>
      <c r="H2639" s="2">
        <v>5</v>
      </c>
      <c r="I2639" s="8">
        <v>142.57</v>
      </c>
      <c r="J2639" s="8">
        <v>43499</v>
      </c>
      <c r="K2639" s="3">
        <v>0</v>
      </c>
      <c r="L2639" s="3" t="s">
        <v>3</v>
      </c>
      <c r="M2639" s="9" t="s">
        <v>0</v>
      </c>
      <c r="N2639" s="9" t="s">
        <v>50</v>
      </c>
      <c r="O2639" s="9" t="s">
        <v>584</v>
      </c>
      <c r="S2639" s="9" t="s">
        <v>158</v>
      </c>
      <c r="T2639" s="10" t="s">
        <v>78</v>
      </c>
      <c r="U2639" s="10">
        <v>5</v>
      </c>
      <c r="V2639" s="10">
        <v>142.57</v>
      </c>
      <c r="W2639" s="10" t="s">
        <v>710</v>
      </c>
      <c r="X2639" s="17">
        <v>45504</v>
      </c>
      <c r="Y2639" s="17">
        <v>45636</v>
      </c>
      <c r="Z2639" s="19" t="s">
        <v>772</v>
      </c>
      <c r="AA2639" s="212">
        <v>43000</v>
      </c>
      <c r="AB2639" s="9">
        <v>9</v>
      </c>
      <c r="AC2639" s="9">
        <v>6</v>
      </c>
      <c r="AD2639" s="17">
        <v>45596</v>
      </c>
      <c r="AE2639" s="56">
        <v>5000</v>
      </c>
      <c r="AF2639" s="56"/>
      <c r="AG2639" s="9" t="s">
        <v>134</v>
      </c>
      <c r="AH2639" s="17">
        <v>45596</v>
      </c>
      <c r="AI2639" s="17"/>
      <c r="AJ2639" s="17"/>
      <c r="AK2639" s="9" t="s">
        <v>590</v>
      </c>
      <c r="AL2639" s="11">
        <v>5000</v>
      </c>
      <c r="AN2639" s="11" t="s">
        <v>1094</v>
      </c>
      <c r="AP2639" s="11"/>
      <c r="AQ2639" s="11"/>
      <c r="AR2639" s="11"/>
      <c r="AW2639" s="108">
        <v>45596</v>
      </c>
      <c r="AX2639" s="109">
        <v>3340</v>
      </c>
      <c r="AY2639" s="36"/>
      <c r="AZ2639" s="36"/>
      <c r="BA2639" s="119">
        <v>5000</v>
      </c>
      <c r="BD2639" s="9"/>
      <c r="CS2639" s="11">
        <f t="shared" si="182"/>
        <v>5000</v>
      </c>
      <c r="CT2639" s="22">
        <f t="shared" si="183"/>
        <v>5000</v>
      </c>
      <c r="CU2639" s="22">
        <f t="shared" si="184"/>
        <v>0</v>
      </c>
      <c r="CV2639" s="26">
        <f t="shared" si="181"/>
        <v>0</v>
      </c>
    </row>
    <row r="2640" spans="1:100" ht="12.75" x14ac:dyDescent="0.2">
      <c r="A2640" s="9" t="s">
        <v>531</v>
      </c>
      <c r="B2640" s="2">
        <v>100</v>
      </c>
      <c r="C2640" s="3" t="s">
        <v>95</v>
      </c>
      <c r="D2640" s="3" t="s">
        <v>96</v>
      </c>
      <c r="E2640" s="2"/>
      <c r="F2640" s="2"/>
      <c r="G2640" s="2" t="s">
        <v>78</v>
      </c>
      <c r="H2640" s="2">
        <v>5</v>
      </c>
      <c r="I2640" s="8">
        <v>142.57</v>
      </c>
      <c r="J2640" s="8">
        <v>43499</v>
      </c>
      <c r="K2640" s="3">
        <v>0</v>
      </c>
      <c r="L2640" s="3" t="s">
        <v>3</v>
      </c>
      <c r="M2640" s="9" t="s">
        <v>0</v>
      </c>
      <c r="N2640" s="9" t="s">
        <v>50</v>
      </c>
      <c r="O2640" s="9" t="s">
        <v>584</v>
      </c>
      <c r="S2640" s="9" t="s">
        <v>158</v>
      </c>
      <c r="T2640" s="10" t="s">
        <v>78</v>
      </c>
      <c r="U2640" s="10">
        <v>5</v>
      </c>
      <c r="V2640" s="10">
        <v>142.57</v>
      </c>
      <c r="W2640" s="10" t="s">
        <v>710</v>
      </c>
      <c r="X2640" s="17">
        <v>45504</v>
      </c>
      <c r="Y2640" s="17">
        <v>45636</v>
      </c>
      <c r="Z2640" s="19" t="s">
        <v>772</v>
      </c>
      <c r="AA2640" s="212">
        <v>43000</v>
      </c>
      <c r="AB2640" s="9">
        <v>9</v>
      </c>
      <c r="AC2640" s="9">
        <v>7</v>
      </c>
      <c r="AD2640" s="17">
        <v>45603</v>
      </c>
      <c r="AE2640" s="56">
        <v>5000</v>
      </c>
      <c r="AF2640" s="56"/>
      <c r="AG2640" s="9" t="s">
        <v>134</v>
      </c>
      <c r="AH2640" s="17">
        <v>45603</v>
      </c>
      <c r="AI2640" s="17"/>
      <c r="AJ2640" s="17"/>
      <c r="AK2640" s="9" t="s">
        <v>591</v>
      </c>
      <c r="AL2640" s="11">
        <v>5000</v>
      </c>
      <c r="AN2640" s="11" t="s">
        <v>1095</v>
      </c>
      <c r="AP2640" s="11"/>
      <c r="AQ2640" s="11"/>
      <c r="AR2640" s="11"/>
      <c r="AW2640" s="108">
        <v>45603</v>
      </c>
      <c r="AX2640" s="109">
        <v>3385</v>
      </c>
      <c r="AY2640" s="36"/>
      <c r="AZ2640" s="36"/>
      <c r="BA2640" s="119">
        <v>5000</v>
      </c>
      <c r="BD2640" s="9"/>
      <c r="CS2640" s="11">
        <f t="shared" si="182"/>
        <v>5000</v>
      </c>
      <c r="CT2640" s="22">
        <f t="shared" si="183"/>
        <v>5000</v>
      </c>
      <c r="CU2640" s="22">
        <f t="shared" si="184"/>
        <v>0</v>
      </c>
      <c r="CV2640" s="26">
        <f t="shared" si="181"/>
        <v>0</v>
      </c>
    </row>
    <row r="2641" spans="1:100" ht="12.75" x14ac:dyDescent="0.2">
      <c r="A2641" s="9" t="s">
        <v>531</v>
      </c>
      <c r="B2641" s="2">
        <v>100</v>
      </c>
      <c r="C2641" s="3" t="s">
        <v>95</v>
      </c>
      <c r="D2641" s="3" t="s">
        <v>96</v>
      </c>
      <c r="E2641" s="2"/>
      <c r="F2641" s="2"/>
      <c r="G2641" s="2" t="s">
        <v>78</v>
      </c>
      <c r="H2641" s="2">
        <v>5</v>
      </c>
      <c r="I2641" s="8">
        <v>142.57</v>
      </c>
      <c r="J2641" s="8">
        <v>43499</v>
      </c>
      <c r="K2641" s="3">
        <v>0</v>
      </c>
      <c r="L2641" s="3" t="s">
        <v>3</v>
      </c>
      <c r="M2641" s="9" t="s">
        <v>0</v>
      </c>
      <c r="N2641" s="9" t="s">
        <v>50</v>
      </c>
      <c r="O2641" s="9" t="s">
        <v>584</v>
      </c>
      <c r="S2641" s="9" t="s">
        <v>158</v>
      </c>
      <c r="T2641" s="10" t="s">
        <v>78</v>
      </c>
      <c r="U2641" s="10">
        <v>5</v>
      </c>
      <c r="V2641" s="10">
        <v>142.57</v>
      </c>
      <c r="W2641" s="10" t="s">
        <v>710</v>
      </c>
      <c r="X2641" s="17">
        <v>45504</v>
      </c>
      <c r="Y2641" s="17">
        <v>45636</v>
      </c>
      <c r="Z2641" s="19" t="s">
        <v>772</v>
      </c>
      <c r="AA2641" s="212">
        <v>43000</v>
      </c>
      <c r="AB2641" s="9">
        <v>9</v>
      </c>
      <c r="AC2641" s="9">
        <v>8</v>
      </c>
      <c r="AD2641" s="17">
        <v>45617</v>
      </c>
      <c r="AE2641" s="56">
        <v>5000</v>
      </c>
      <c r="AF2641" s="56"/>
      <c r="AG2641" s="9" t="s">
        <v>134</v>
      </c>
      <c r="AH2641" s="17">
        <v>45617</v>
      </c>
      <c r="AI2641" s="17"/>
      <c r="AJ2641" s="17"/>
      <c r="AK2641" s="9" t="s">
        <v>592</v>
      </c>
      <c r="AL2641" s="11">
        <v>5000</v>
      </c>
      <c r="AN2641" s="11" t="s">
        <v>1096</v>
      </c>
      <c r="AP2641" s="11"/>
      <c r="AQ2641" s="11"/>
      <c r="AR2641" s="11"/>
      <c r="AW2641" s="108">
        <v>45617</v>
      </c>
      <c r="AX2641" s="109">
        <v>3431</v>
      </c>
      <c r="AY2641" s="36"/>
      <c r="AZ2641" s="36"/>
      <c r="BA2641" s="119">
        <v>5000</v>
      </c>
      <c r="BD2641" s="9"/>
      <c r="CS2641" s="11">
        <f t="shared" si="182"/>
        <v>5000</v>
      </c>
      <c r="CT2641" s="22">
        <f t="shared" si="183"/>
        <v>5000</v>
      </c>
      <c r="CU2641" s="22">
        <f t="shared" si="184"/>
        <v>0</v>
      </c>
      <c r="CV2641" s="26">
        <f t="shared" si="181"/>
        <v>0</v>
      </c>
    </row>
    <row r="2642" spans="1:100" ht="12.75" x14ac:dyDescent="0.2">
      <c r="A2642" s="9" t="s">
        <v>531</v>
      </c>
      <c r="B2642" s="2">
        <v>100</v>
      </c>
      <c r="C2642" s="3" t="s">
        <v>95</v>
      </c>
      <c r="D2642" s="3" t="s">
        <v>96</v>
      </c>
      <c r="E2642" s="2"/>
      <c r="F2642" s="2"/>
      <c r="G2642" s="2" t="s">
        <v>78</v>
      </c>
      <c r="H2642" s="2">
        <v>5</v>
      </c>
      <c r="I2642" s="8">
        <v>142.57</v>
      </c>
      <c r="J2642" s="8">
        <v>43499</v>
      </c>
      <c r="K2642" s="3">
        <v>0</v>
      </c>
      <c r="L2642" s="3" t="s">
        <v>3</v>
      </c>
      <c r="M2642" s="9" t="s">
        <v>0</v>
      </c>
      <c r="N2642" s="9" t="s">
        <v>50</v>
      </c>
      <c r="O2642" s="9" t="s">
        <v>584</v>
      </c>
      <c r="S2642" s="9" t="s">
        <v>158</v>
      </c>
      <c r="T2642" s="10" t="s">
        <v>78</v>
      </c>
      <c r="U2642" s="10">
        <v>5</v>
      </c>
      <c r="V2642" s="10">
        <v>142.57</v>
      </c>
      <c r="W2642" s="10" t="s">
        <v>710</v>
      </c>
      <c r="X2642" s="17">
        <v>45504</v>
      </c>
      <c r="Y2642" s="17">
        <v>45636</v>
      </c>
      <c r="Z2642" s="19" t="s">
        <v>772</v>
      </c>
      <c r="AA2642" s="212">
        <v>43000</v>
      </c>
      <c r="AB2642" s="9">
        <v>9</v>
      </c>
      <c r="AC2642" s="9">
        <v>9</v>
      </c>
      <c r="AD2642" s="17">
        <v>45625</v>
      </c>
      <c r="AE2642" s="56">
        <v>3000</v>
      </c>
      <c r="AF2642" s="56"/>
      <c r="AG2642" s="9" t="s">
        <v>134</v>
      </c>
      <c r="AH2642" s="17">
        <v>45625</v>
      </c>
      <c r="AI2642" s="17"/>
      <c r="AJ2642" s="17"/>
      <c r="AK2642" s="9" t="s">
        <v>593</v>
      </c>
      <c r="AL2642" s="11">
        <v>3000</v>
      </c>
      <c r="AN2642" s="11" t="s">
        <v>1097</v>
      </c>
      <c r="AP2642" s="11"/>
      <c r="AQ2642" s="11"/>
      <c r="AR2642" s="11"/>
      <c r="AW2642" s="108">
        <v>45625</v>
      </c>
      <c r="AX2642" s="109">
        <v>3452</v>
      </c>
      <c r="AY2642" s="36"/>
      <c r="AZ2642" s="36"/>
      <c r="BA2642" s="119">
        <v>3000</v>
      </c>
      <c r="BD2642" s="9"/>
      <c r="CS2642" s="11">
        <f t="shared" si="182"/>
        <v>3000</v>
      </c>
      <c r="CT2642" s="22">
        <f t="shared" si="183"/>
        <v>3000</v>
      </c>
      <c r="CU2642" s="22">
        <f t="shared" si="184"/>
        <v>0</v>
      </c>
      <c r="CV2642" s="26">
        <f t="shared" si="181"/>
        <v>0</v>
      </c>
    </row>
    <row r="2643" spans="1:100" x14ac:dyDescent="0.2">
      <c r="A2643" s="9" t="s">
        <v>548</v>
      </c>
      <c r="B2643" s="2">
        <v>120</v>
      </c>
      <c r="C2643" s="3" t="s">
        <v>95</v>
      </c>
      <c r="D2643" s="3" t="s">
        <v>96</v>
      </c>
      <c r="E2643" s="2"/>
      <c r="F2643" s="2"/>
      <c r="G2643" s="2" t="s">
        <v>81</v>
      </c>
      <c r="H2643" s="2">
        <v>3</v>
      </c>
      <c r="I2643" s="8">
        <v>160.5</v>
      </c>
      <c r="J2643" s="8">
        <v>51999</v>
      </c>
      <c r="K2643" s="3">
        <v>0</v>
      </c>
      <c r="L2643" s="3" t="s">
        <v>3</v>
      </c>
      <c r="M2643" s="9" t="s">
        <v>0</v>
      </c>
      <c r="N2643" s="9" t="s">
        <v>51</v>
      </c>
      <c r="O2643" s="9" t="s">
        <v>594</v>
      </c>
      <c r="S2643" s="9" t="s">
        <v>158</v>
      </c>
      <c r="T2643" s="10" t="s">
        <v>81</v>
      </c>
      <c r="U2643" s="10">
        <v>3</v>
      </c>
      <c r="V2643" s="78">
        <v>160.5</v>
      </c>
      <c r="W2643" s="78" t="s">
        <v>710</v>
      </c>
      <c r="X2643" s="17">
        <v>45500</v>
      </c>
      <c r="Y2643" s="17">
        <v>45514</v>
      </c>
      <c r="Z2643" s="19" t="s">
        <v>772</v>
      </c>
      <c r="AA2643" s="210">
        <v>52000</v>
      </c>
      <c r="AB2643" s="9">
        <v>30</v>
      </c>
      <c r="AC2643" s="9">
        <v>0</v>
      </c>
      <c r="AD2643" s="17">
        <v>45500</v>
      </c>
      <c r="AE2643" s="56">
        <v>800</v>
      </c>
      <c r="AF2643" s="56"/>
      <c r="AG2643" s="9" t="s">
        <v>134</v>
      </c>
      <c r="AH2643" s="17">
        <v>45500</v>
      </c>
      <c r="AI2643" s="17"/>
      <c r="AJ2643" s="17"/>
      <c r="AK2643" s="10" t="s">
        <v>595</v>
      </c>
      <c r="AL2643" s="11">
        <v>800</v>
      </c>
      <c r="AN2643" s="11" t="s">
        <v>1075</v>
      </c>
      <c r="AP2643" s="11"/>
      <c r="AQ2643" s="11"/>
      <c r="AR2643" s="11"/>
      <c r="AW2643" s="42">
        <v>45500</v>
      </c>
      <c r="AX2643" s="36">
        <v>170526</v>
      </c>
      <c r="AY2643" s="36">
        <v>3011.2</v>
      </c>
      <c r="AZ2643" s="36">
        <v>3.7639999999999998</v>
      </c>
      <c r="BA2643" s="40">
        <f>+AY2643/AZ2643</f>
        <v>800</v>
      </c>
      <c r="BD2643" s="9"/>
      <c r="CS2643" s="11">
        <f t="shared" si="182"/>
        <v>800</v>
      </c>
      <c r="CT2643" s="22">
        <f t="shared" si="183"/>
        <v>800</v>
      </c>
      <c r="CU2643" s="22">
        <f t="shared" si="184"/>
        <v>0</v>
      </c>
      <c r="CV2643" s="26">
        <f t="shared" si="181"/>
        <v>0</v>
      </c>
    </row>
    <row r="2644" spans="1:100" x14ac:dyDescent="0.2">
      <c r="A2644" s="9" t="s">
        <v>548</v>
      </c>
      <c r="B2644" s="2">
        <v>120</v>
      </c>
      <c r="C2644" s="3" t="s">
        <v>95</v>
      </c>
      <c r="D2644" s="3" t="s">
        <v>96</v>
      </c>
      <c r="E2644" s="2"/>
      <c r="F2644" s="2"/>
      <c r="G2644" s="2" t="s">
        <v>81</v>
      </c>
      <c r="H2644" s="2">
        <v>3</v>
      </c>
      <c r="I2644" s="8">
        <v>160.5</v>
      </c>
      <c r="J2644" s="8">
        <v>51999</v>
      </c>
      <c r="K2644" s="3">
        <v>0</v>
      </c>
      <c r="L2644" s="3" t="s">
        <v>3</v>
      </c>
      <c r="M2644" s="9" t="s">
        <v>0</v>
      </c>
      <c r="N2644" s="9" t="s">
        <v>51</v>
      </c>
      <c r="O2644" s="9" t="s">
        <v>594</v>
      </c>
      <c r="S2644" s="9" t="s">
        <v>158</v>
      </c>
      <c r="T2644" s="10" t="s">
        <v>81</v>
      </c>
      <c r="U2644" s="10">
        <v>3</v>
      </c>
      <c r="V2644" s="78">
        <v>160.5</v>
      </c>
      <c r="W2644" s="78" t="s">
        <v>710</v>
      </c>
      <c r="X2644" s="17">
        <v>45500</v>
      </c>
      <c r="Y2644" s="17">
        <v>45514</v>
      </c>
      <c r="Z2644" s="19" t="s">
        <v>772</v>
      </c>
      <c r="AA2644" s="210">
        <v>52000</v>
      </c>
      <c r="AB2644" s="9">
        <v>30</v>
      </c>
      <c r="AC2644" s="9">
        <v>0</v>
      </c>
      <c r="AD2644" s="17">
        <v>45514</v>
      </c>
      <c r="AE2644" s="56">
        <v>4200</v>
      </c>
      <c r="AF2644" s="56"/>
      <c r="AG2644" s="9" t="s">
        <v>134</v>
      </c>
      <c r="AH2644" s="17">
        <v>45512</v>
      </c>
      <c r="AI2644" s="17"/>
      <c r="AJ2644" s="17"/>
      <c r="AK2644" s="10" t="s">
        <v>596</v>
      </c>
      <c r="AL2644" s="11">
        <v>4200</v>
      </c>
      <c r="AN2644" s="11" t="s">
        <v>1076</v>
      </c>
      <c r="AP2644" s="11"/>
      <c r="AQ2644" s="11"/>
      <c r="AR2644" s="11"/>
      <c r="AW2644" s="42">
        <v>45514</v>
      </c>
      <c r="AX2644" s="36">
        <v>3025</v>
      </c>
      <c r="AY2644" s="36"/>
      <c r="AZ2644" s="36"/>
      <c r="BA2644" s="40">
        <v>4200</v>
      </c>
      <c r="BD2644" s="9"/>
      <c r="CS2644" s="11">
        <f t="shared" si="182"/>
        <v>4200</v>
      </c>
      <c r="CT2644" s="22">
        <f t="shared" si="183"/>
        <v>4200</v>
      </c>
      <c r="CU2644" s="22">
        <f t="shared" si="184"/>
        <v>0</v>
      </c>
      <c r="CV2644" s="26">
        <f t="shared" si="181"/>
        <v>0</v>
      </c>
    </row>
    <row r="2645" spans="1:100" ht="12.75" x14ac:dyDescent="0.2">
      <c r="A2645" s="9" t="s">
        <v>548</v>
      </c>
      <c r="B2645" s="2">
        <v>120</v>
      </c>
      <c r="C2645" s="3" t="s">
        <v>95</v>
      </c>
      <c r="D2645" s="3" t="s">
        <v>96</v>
      </c>
      <c r="E2645" s="2"/>
      <c r="F2645" s="2"/>
      <c r="G2645" s="2" t="s">
        <v>81</v>
      </c>
      <c r="H2645" s="2">
        <v>3</v>
      </c>
      <c r="I2645" s="8">
        <v>160.5</v>
      </c>
      <c r="J2645" s="8">
        <v>51999</v>
      </c>
      <c r="K2645" s="3">
        <v>0</v>
      </c>
      <c r="L2645" s="3" t="s">
        <v>3</v>
      </c>
      <c r="M2645" s="9" t="s">
        <v>0</v>
      </c>
      <c r="N2645" s="9" t="s">
        <v>51</v>
      </c>
      <c r="O2645" s="9" t="s">
        <v>594</v>
      </c>
      <c r="S2645" s="9" t="s">
        <v>158</v>
      </c>
      <c r="T2645" s="10" t="s">
        <v>81</v>
      </c>
      <c r="U2645" s="10">
        <v>3</v>
      </c>
      <c r="V2645" s="78">
        <v>160.5</v>
      </c>
      <c r="W2645" s="78" t="s">
        <v>710</v>
      </c>
      <c r="X2645" s="17">
        <v>45500</v>
      </c>
      <c r="Y2645" s="17">
        <v>45514</v>
      </c>
      <c r="Z2645" s="19" t="s">
        <v>772</v>
      </c>
      <c r="AA2645" s="210">
        <v>52000</v>
      </c>
      <c r="AB2645" s="9">
        <v>30</v>
      </c>
      <c r="AC2645" s="9">
        <v>1</v>
      </c>
      <c r="AD2645" s="17">
        <v>45575</v>
      </c>
      <c r="AE2645" s="56">
        <v>1567</v>
      </c>
      <c r="AF2645" s="56"/>
      <c r="AG2645" s="9" t="s">
        <v>134</v>
      </c>
      <c r="AH2645" s="17">
        <v>45574</v>
      </c>
      <c r="AI2645" s="17"/>
      <c r="AJ2645" s="17"/>
      <c r="AK2645" s="10" t="s">
        <v>1063</v>
      </c>
      <c r="AL2645" s="11">
        <v>1567</v>
      </c>
      <c r="AN2645" s="11" t="s">
        <v>1077</v>
      </c>
      <c r="AP2645" s="11"/>
      <c r="AQ2645" s="11"/>
      <c r="AR2645" s="11"/>
      <c r="AW2645" s="108">
        <v>45574</v>
      </c>
      <c r="AX2645" s="109">
        <v>3262</v>
      </c>
      <c r="AY2645" s="36"/>
      <c r="AZ2645" s="36"/>
      <c r="BA2645" s="119">
        <v>1567</v>
      </c>
      <c r="BD2645" s="9"/>
      <c r="CS2645" s="11">
        <f t="shared" si="182"/>
        <v>1567</v>
      </c>
      <c r="CT2645" s="22">
        <f t="shared" si="183"/>
        <v>1567</v>
      </c>
      <c r="CU2645" s="22">
        <f t="shared" si="184"/>
        <v>0</v>
      </c>
      <c r="CV2645" s="26">
        <f t="shared" si="181"/>
        <v>0</v>
      </c>
    </row>
    <row r="2646" spans="1:100" ht="12.75" x14ac:dyDescent="0.2">
      <c r="A2646" s="9" t="s">
        <v>548</v>
      </c>
      <c r="B2646" s="2">
        <v>120</v>
      </c>
      <c r="C2646" s="3" t="s">
        <v>95</v>
      </c>
      <c r="D2646" s="3" t="s">
        <v>96</v>
      </c>
      <c r="E2646" s="2"/>
      <c r="F2646" s="2"/>
      <c r="G2646" s="2" t="s">
        <v>81</v>
      </c>
      <c r="H2646" s="2">
        <v>3</v>
      </c>
      <c r="I2646" s="8">
        <v>160.5</v>
      </c>
      <c r="J2646" s="8">
        <v>51999</v>
      </c>
      <c r="K2646" s="3">
        <v>0</v>
      </c>
      <c r="L2646" s="3" t="s">
        <v>3</v>
      </c>
      <c r="M2646" s="9" t="s">
        <v>0</v>
      </c>
      <c r="N2646" s="9" t="s">
        <v>51</v>
      </c>
      <c r="O2646" s="9" t="s">
        <v>594</v>
      </c>
      <c r="S2646" s="9" t="s">
        <v>158</v>
      </c>
      <c r="T2646" s="10" t="s">
        <v>81</v>
      </c>
      <c r="U2646" s="10">
        <v>3</v>
      </c>
      <c r="V2646" s="78">
        <v>160.5</v>
      </c>
      <c r="W2646" s="78" t="s">
        <v>710</v>
      </c>
      <c r="X2646" s="17">
        <v>45500</v>
      </c>
      <c r="Y2646" s="17">
        <v>45514</v>
      </c>
      <c r="Z2646" s="19" t="s">
        <v>772</v>
      </c>
      <c r="AA2646" s="210">
        <v>52000</v>
      </c>
      <c r="AB2646" s="9">
        <v>30</v>
      </c>
      <c r="AC2646" s="9">
        <v>2</v>
      </c>
      <c r="AD2646" s="17">
        <v>45606</v>
      </c>
      <c r="AE2646" s="56">
        <v>1567</v>
      </c>
      <c r="AF2646" s="56"/>
      <c r="AG2646" s="9" t="s">
        <v>134</v>
      </c>
      <c r="AH2646" s="17">
        <v>45604</v>
      </c>
      <c r="AI2646" s="17"/>
      <c r="AJ2646" s="17"/>
      <c r="AK2646" s="10" t="s">
        <v>1064</v>
      </c>
      <c r="AL2646" s="11">
        <v>1567</v>
      </c>
      <c r="AN2646" s="11" t="s">
        <v>1078</v>
      </c>
      <c r="AP2646" s="11"/>
      <c r="AQ2646" s="11"/>
      <c r="AR2646" s="11"/>
      <c r="AW2646" s="108">
        <v>45604</v>
      </c>
      <c r="AX2646" s="109">
        <v>3388</v>
      </c>
      <c r="AY2646" s="36"/>
      <c r="AZ2646" s="36"/>
      <c r="BA2646" s="119">
        <v>1567</v>
      </c>
      <c r="BD2646" s="9"/>
      <c r="CS2646" s="11">
        <f t="shared" si="182"/>
        <v>1567</v>
      </c>
      <c r="CT2646" s="22">
        <f t="shared" si="183"/>
        <v>1567</v>
      </c>
      <c r="CU2646" s="22">
        <f t="shared" si="184"/>
        <v>0</v>
      </c>
      <c r="CV2646" s="26">
        <f t="shared" si="181"/>
        <v>0</v>
      </c>
    </row>
    <row r="2647" spans="1:100" ht="12.75" x14ac:dyDescent="0.2">
      <c r="A2647" s="9" t="s">
        <v>548</v>
      </c>
      <c r="B2647" s="2">
        <v>120</v>
      </c>
      <c r="C2647" s="3" t="s">
        <v>95</v>
      </c>
      <c r="D2647" s="3" t="s">
        <v>96</v>
      </c>
      <c r="E2647" s="2"/>
      <c r="F2647" s="2"/>
      <c r="G2647" s="2" t="s">
        <v>81</v>
      </c>
      <c r="H2647" s="2">
        <v>3</v>
      </c>
      <c r="I2647" s="8">
        <v>160.5</v>
      </c>
      <c r="J2647" s="8">
        <v>51999</v>
      </c>
      <c r="K2647" s="3">
        <v>0</v>
      </c>
      <c r="L2647" s="3" t="s">
        <v>3</v>
      </c>
      <c r="M2647" s="9" t="s">
        <v>0</v>
      </c>
      <c r="N2647" s="9" t="s">
        <v>51</v>
      </c>
      <c r="O2647" s="9" t="s">
        <v>594</v>
      </c>
      <c r="S2647" s="9" t="s">
        <v>158</v>
      </c>
      <c r="T2647" s="10" t="s">
        <v>81</v>
      </c>
      <c r="U2647" s="10">
        <v>3</v>
      </c>
      <c r="V2647" s="78">
        <v>160.5</v>
      </c>
      <c r="W2647" s="78" t="s">
        <v>710</v>
      </c>
      <c r="X2647" s="17">
        <v>45500</v>
      </c>
      <c r="Y2647" s="17">
        <v>45514</v>
      </c>
      <c r="Z2647" s="19" t="s">
        <v>772</v>
      </c>
      <c r="AA2647" s="210">
        <v>52000</v>
      </c>
      <c r="AB2647" s="9">
        <v>30</v>
      </c>
      <c r="AC2647" s="9">
        <v>3</v>
      </c>
      <c r="AD2647" s="17">
        <v>45636</v>
      </c>
      <c r="AE2647" s="56">
        <v>1567</v>
      </c>
      <c r="AF2647" s="56"/>
      <c r="AG2647" s="9" t="s">
        <v>134</v>
      </c>
      <c r="AH2647" s="17">
        <v>45653</v>
      </c>
      <c r="AI2647" s="17"/>
      <c r="AJ2647" s="17"/>
      <c r="AK2647" s="10" t="s">
        <v>1065</v>
      </c>
      <c r="AL2647" s="11">
        <v>1567</v>
      </c>
      <c r="AN2647" s="11" t="s">
        <v>1079</v>
      </c>
      <c r="AP2647" s="11"/>
      <c r="AQ2647" s="11"/>
      <c r="AR2647" s="11"/>
      <c r="AW2647" s="108">
        <v>45653</v>
      </c>
      <c r="AX2647" s="109">
        <v>3536</v>
      </c>
      <c r="AY2647" s="36"/>
      <c r="AZ2647" s="36"/>
      <c r="BA2647" s="119">
        <v>1567</v>
      </c>
      <c r="BD2647" s="9"/>
      <c r="CS2647" s="11">
        <f t="shared" si="182"/>
        <v>1567</v>
      </c>
      <c r="CT2647" s="22">
        <f t="shared" si="183"/>
        <v>1567</v>
      </c>
      <c r="CU2647" s="22">
        <f t="shared" si="184"/>
        <v>0</v>
      </c>
      <c r="CV2647" s="26">
        <f t="shared" si="181"/>
        <v>0</v>
      </c>
    </row>
    <row r="2648" spans="1:100" ht="12.75" x14ac:dyDescent="0.2">
      <c r="A2648" s="9" t="s">
        <v>548</v>
      </c>
      <c r="B2648" s="2">
        <v>120</v>
      </c>
      <c r="C2648" s="3" t="s">
        <v>95</v>
      </c>
      <c r="D2648" s="3" t="s">
        <v>96</v>
      </c>
      <c r="E2648" s="2"/>
      <c r="F2648" s="2"/>
      <c r="G2648" s="2" t="s">
        <v>81</v>
      </c>
      <c r="H2648" s="2">
        <v>3</v>
      </c>
      <c r="I2648" s="8">
        <v>160.5</v>
      </c>
      <c r="J2648" s="8">
        <v>51999</v>
      </c>
      <c r="K2648" s="3">
        <v>0</v>
      </c>
      <c r="L2648" s="3" t="s">
        <v>3</v>
      </c>
      <c r="M2648" s="9" t="s">
        <v>0</v>
      </c>
      <c r="N2648" s="9" t="s">
        <v>51</v>
      </c>
      <c r="O2648" s="9" t="s">
        <v>594</v>
      </c>
      <c r="S2648" s="9" t="s">
        <v>158</v>
      </c>
      <c r="T2648" s="10" t="s">
        <v>81</v>
      </c>
      <c r="U2648" s="10">
        <v>3</v>
      </c>
      <c r="V2648" s="78">
        <v>160.5</v>
      </c>
      <c r="W2648" s="78" t="s">
        <v>710</v>
      </c>
      <c r="X2648" s="17">
        <v>45500</v>
      </c>
      <c r="Y2648" s="17">
        <v>45514</v>
      </c>
      <c r="Z2648" s="19" t="s">
        <v>772</v>
      </c>
      <c r="AA2648" s="210">
        <v>52000</v>
      </c>
      <c r="AB2648" s="9">
        <v>30</v>
      </c>
      <c r="AC2648" s="9">
        <v>4</v>
      </c>
      <c r="AD2648" s="17">
        <v>45667</v>
      </c>
      <c r="AE2648" s="56">
        <v>1567</v>
      </c>
      <c r="AF2648" s="56"/>
      <c r="AG2648" s="9" t="s">
        <v>134</v>
      </c>
      <c r="AH2648" s="17">
        <v>45679</v>
      </c>
      <c r="AI2648" s="17"/>
      <c r="AJ2648" s="17"/>
      <c r="AK2648" s="10" t="s">
        <v>1066</v>
      </c>
      <c r="AL2648" s="11">
        <v>1567</v>
      </c>
      <c r="AN2648" s="11" t="s">
        <v>1080</v>
      </c>
      <c r="AP2648" s="11"/>
      <c r="AQ2648" s="11"/>
      <c r="AR2648" s="11"/>
      <c r="AW2648" s="108">
        <v>45679</v>
      </c>
      <c r="AX2648" s="109">
        <v>3642</v>
      </c>
      <c r="AY2648" s="36"/>
      <c r="AZ2648" s="36"/>
      <c r="BA2648" s="119">
        <v>1567</v>
      </c>
      <c r="BD2648" s="9"/>
      <c r="CS2648" s="11">
        <f t="shared" si="182"/>
        <v>1567</v>
      </c>
      <c r="CT2648" s="22">
        <f t="shared" si="183"/>
        <v>1567</v>
      </c>
      <c r="CU2648" s="22">
        <f t="shared" si="184"/>
        <v>0</v>
      </c>
      <c r="CV2648" s="26">
        <f t="shared" si="181"/>
        <v>0</v>
      </c>
    </row>
    <row r="2649" spans="1:100" ht="12.75" x14ac:dyDescent="0.2">
      <c r="A2649" s="9" t="s">
        <v>548</v>
      </c>
      <c r="B2649" s="2">
        <v>120</v>
      </c>
      <c r="C2649" s="3" t="s">
        <v>95</v>
      </c>
      <c r="D2649" s="3" t="s">
        <v>96</v>
      </c>
      <c r="E2649" s="2"/>
      <c r="F2649" s="2"/>
      <c r="G2649" s="2" t="s">
        <v>81</v>
      </c>
      <c r="H2649" s="2">
        <v>3</v>
      </c>
      <c r="I2649" s="8">
        <v>160.5</v>
      </c>
      <c r="J2649" s="8">
        <v>51999</v>
      </c>
      <c r="K2649" s="3">
        <v>0</v>
      </c>
      <c r="L2649" s="3" t="s">
        <v>3</v>
      </c>
      <c r="M2649" s="9" t="s">
        <v>0</v>
      </c>
      <c r="N2649" s="9" t="s">
        <v>51</v>
      </c>
      <c r="O2649" s="9" t="s">
        <v>594</v>
      </c>
      <c r="S2649" s="9" t="s">
        <v>158</v>
      </c>
      <c r="T2649" s="10" t="s">
        <v>81</v>
      </c>
      <c r="U2649" s="10">
        <v>3</v>
      </c>
      <c r="V2649" s="78">
        <v>160.5</v>
      </c>
      <c r="W2649" s="78" t="s">
        <v>710</v>
      </c>
      <c r="X2649" s="17">
        <v>45500</v>
      </c>
      <c r="Y2649" s="17">
        <v>45514</v>
      </c>
      <c r="Z2649" s="19" t="s">
        <v>772</v>
      </c>
      <c r="AA2649" s="210">
        <v>52000</v>
      </c>
      <c r="AB2649" s="9">
        <v>30</v>
      </c>
      <c r="AC2649" s="9">
        <v>5</v>
      </c>
      <c r="AD2649" s="17">
        <v>45698</v>
      </c>
      <c r="AE2649" s="56">
        <v>1567</v>
      </c>
      <c r="AF2649" s="56"/>
      <c r="AG2649" s="9" t="s">
        <v>134</v>
      </c>
      <c r="AH2649" s="17">
        <v>45699</v>
      </c>
      <c r="AI2649" s="17"/>
      <c r="AJ2649" s="17"/>
      <c r="AK2649" s="10" t="s">
        <v>1067</v>
      </c>
      <c r="AL2649" s="11">
        <v>1567</v>
      </c>
      <c r="AN2649" s="11" t="s">
        <v>1081</v>
      </c>
      <c r="AP2649" s="11"/>
      <c r="AQ2649" s="11"/>
      <c r="AR2649" s="11"/>
      <c r="AW2649" s="108">
        <v>45699</v>
      </c>
      <c r="AX2649" s="109">
        <v>3746</v>
      </c>
      <c r="AY2649" s="36"/>
      <c r="AZ2649" s="36"/>
      <c r="BA2649" s="119">
        <v>1567</v>
      </c>
      <c r="BD2649" s="9"/>
      <c r="CS2649" s="11">
        <f t="shared" si="182"/>
        <v>1567</v>
      </c>
      <c r="CT2649" s="22">
        <f t="shared" si="183"/>
        <v>1567</v>
      </c>
      <c r="CU2649" s="22">
        <f t="shared" si="184"/>
        <v>0</v>
      </c>
      <c r="CV2649" s="26">
        <f t="shared" si="181"/>
        <v>0</v>
      </c>
    </row>
    <row r="2650" spans="1:100" ht="12.75" x14ac:dyDescent="0.2">
      <c r="A2650" s="9" t="s">
        <v>548</v>
      </c>
      <c r="B2650" s="2">
        <v>120</v>
      </c>
      <c r="C2650" s="3" t="s">
        <v>95</v>
      </c>
      <c r="D2650" s="3" t="s">
        <v>96</v>
      </c>
      <c r="E2650" s="2"/>
      <c r="F2650" s="2"/>
      <c r="G2650" s="2" t="s">
        <v>81</v>
      </c>
      <c r="H2650" s="2">
        <v>3</v>
      </c>
      <c r="I2650" s="8">
        <v>160.5</v>
      </c>
      <c r="J2650" s="8">
        <v>51999</v>
      </c>
      <c r="K2650" s="3">
        <v>0</v>
      </c>
      <c r="L2650" s="3" t="s">
        <v>3</v>
      </c>
      <c r="M2650" s="9" t="s">
        <v>0</v>
      </c>
      <c r="N2650" s="9" t="s">
        <v>51</v>
      </c>
      <c r="O2650" s="9" t="s">
        <v>594</v>
      </c>
      <c r="S2650" s="9" t="s">
        <v>158</v>
      </c>
      <c r="T2650" s="10" t="s">
        <v>81</v>
      </c>
      <c r="U2650" s="10">
        <v>3</v>
      </c>
      <c r="V2650" s="78">
        <v>160.5</v>
      </c>
      <c r="W2650" s="78" t="s">
        <v>710</v>
      </c>
      <c r="X2650" s="17">
        <v>45500</v>
      </c>
      <c r="Y2650" s="17">
        <v>45514</v>
      </c>
      <c r="Z2650" s="19" t="s">
        <v>772</v>
      </c>
      <c r="AA2650" s="210">
        <v>52000</v>
      </c>
      <c r="AB2650" s="9">
        <v>30</v>
      </c>
      <c r="AC2650" s="9">
        <v>6</v>
      </c>
      <c r="AD2650" s="17">
        <v>45726</v>
      </c>
      <c r="AE2650" s="56">
        <v>1567</v>
      </c>
      <c r="AF2650" s="56"/>
      <c r="AG2650" s="9" t="s">
        <v>134</v>
      </c>
      <c r="AH2650" s="17">
        <v>45720</v>
      </c>
      <c r="AI2650" s="17"/>
      <c r="AJ2650" s="17"/>
      <c r="AK2650" s="10" t="s">
        <v>1068</v>
      </c>
      <c r="AL2650" s="11">
        <v>1567</v>
      </c>
      <c r="AN2650" s="11" t="s">
        <v>1082</v>
      </c>
      <c r="AP2650" s="11"/>
      <c r="AQ2650" s="11"/>
      <c r="AR2650" s="11"/>
      <c r="AW2650" s="108">
        <v>45720</v>
      </c>
      <c r="AX2650" s="109">
        <v>3834</v>
      </c>
      <c r="AY2650" s="36"/>
      <c r="AZ2650" s="36"/>
      <c r="BA2650" s="119">
        <v>1567</v>
      </c>
      <c r="BD2650" s="9"/>
      <c r="CS2650" s="11">
        <f t="shared" si="182"/>
        <v>1567</v>
      </c>
      <c r="CT2650" s="22">
        <f t="shared" si="183"/>
        <v>1567</v>
      </c>
      <c r="CU2650" s="22">
        <f t="shared" si="184"/>
        <v>0</v>
      </c>
      <c r="CV2650" s="26">
        <f t="shared" si="181"/>
        <v>0</v>
      </c>
    </row>
    <row r="2651" spans="1:100" ht="12.75" x14ac:dyDescent="0.2">
      <c r="A2651" s="9" t="s">
        <v>548</v>
      </c>
      <c r="B2651" s="2">
        <v>120</v>
      </c>
      <c r="C2651" s="3" t="s">
        <v>95</v>
      </c>
      <c r="D2651" s="3" t="s">
        <v>96</v>
      </c>
      <c r="E2651" s="2"/>
      <c r="F2651" s="2"/>
      <c r="G2651" s="2" t="s">
        <v>81</v>
      </c>
      <c r="H2651" s="2">
        <v>3</v>
      </c>
      <c r="I2651" s="8">
        <v>160.5</v>
      </c>
      <c r="J2651" s="8">
        <v>51999</v>
      </c>
      <c r="K2651" s="3">
        <v>0</v>
      </c>
      <c r="L2651" s="3" t="s">
        <v>3</v>
      </c>
      <c r="M2651" s="9" t="s">
        <v>0</v>
      </c>
      <c r="N2651" s="9" t="s">
        <v>51</v>
      </c>
      <c r="O2651" s="9" t="s">
        <v>594</v>
      </c>
      <c r="S2651" s="9" t="s">
        <v>158</v>
      </c>
      <c r="T2651" s="10" t="s">
        <v>81</v>
      </c>
      <c r="U2651" s="10">
        <v>3</v>
      </c>
      <c r="V2651" s="78">
        <v>160.5</v>
      </c>
      <c r="W2651" s="78" t="s">
        <v>710</v>
      </c>
      <c r="X2651" s="17">
        <v>45500</v>
      </c>
      <c r="Y2651" s="17">
        <v>45514</v>
      </c>
      <c r="Z2651" s="19" t="s">
        <v>772</v>
      </c>
      <c r="AA2651" s="210">
        <v>52000</v>
      </c>
      <c r="AB2651" s="9">
        <v>30</v>
      </c>
      <c r="AC2651" s="9">
        <v>7</v>
      </c>
      <c r="AD2651" s="17">
        <v>45757</v>
      </c>
      <c r="AE2651" s="56">
        <v>1567</v>
      </c>
      <c r="AF2651" s="56"/>
      <c r="AG2651" s="9" t="s">
        <v>134</v>
      </c>
      <c r="AH2651" s="17">
        <v>45754</v>
      </c>
      <c r="AI2651" s="17"/>
      <c r="AJ2651" s="17"/>
      <c r="AK2651" s="10" t="s">
        <v>1069</v>
      </c>
      <c r="AL2651" s="11">
        <v>1567</v>
      </c>
      <c r="AN2651" s="11" t="s">
        <v>1083</v>
      </c>
      <c r="AP2651" s="11"/>
      <c r="AQ2651" s="11"/>
      <c r="AR2651" s="11"/>
      <c r="AW2651" s="108">
        <v>45754</v>
      </c>
      <c r="AX2651" s="109">
        <v>3976</v>
      </c>
      <c r="AY2651" s="36"/>
      <c r="AZ2651" s="36"/>
      <c r="BA2651" s="119">
        <v>1567</v>
      </c>
      <c r="BD2651" s="9"/>
      <c r="CS2651" s="11">
        <f t="shared" si="182"/>
        <v>1567</v>
      </c>
      <c r="CT2651" s="22">
        <f t="shared" si="183"/>
        <v>1567</v>
      </c>
      <c r="CU2651" s="22">
        <f t="shared" si="184"/>
        <v>0</v>
      </c>
      <c r="CV2651" s="26">
        <f t="shared" si="181"/>
        <v>0</v>
      </c>
    </row>
    <row r="2652" spans="1:100" ht="12.75" x14ac:dyDescent="0.2">
      <c r="A2652" s="9" t="s">
        <v>548</v>
      </c>
      <c r="B2652" s="2">
        <v>120</v>
      </c>
      <c r="C2652" s="3" t="s">
        <v>95</v>
      </c>
      <c r="D2652" s="3" t="s">
        <v>96</v>
      </c>
      <c r="E2652" s="2"/>
      <c r="F2652" s="2"/>
      <c r="G2652" s="2" t="s">
        <v>81</v>
      </c>
      <c r="H2652" s="2">
        <v>3</v>
      </c>
      <c r="I2652" s="8">
        <v>160.5</v>
      </c>
      <c r="J2652" s="8">
        <v>51999</v>
      </c>
      <c r="K2652" s="3">
        <v>0</v>
      </c>
      <c r="L2652" s="3" t="s">
        <v>3</v>
      </c>
      <c r="M2652" s="9" t="s">
        <v>0</v>
      </c>
      <c r="N2652" s="9" t="s">
        <v>51</v>
      </c>
      <c r="O2652" s="9" t="s">
        <v>594</v>
      </c>
      <c r="S2652" s="9" t="s">
        <v>158</v>
      </c>
      <c r="T2652" s="10" t="s">
        <v>81</v>
      </c>
      <c r="U2652" s="10">
        <v>3</v>
      </c>
      <c r="V2652" s="78">
        <v>160.5</v>
      </c>
      <c r="W2652" s="78" t="s">
        <v>710</v>
      </c>
      <c r="X2652" s="17">
        <v>45500</v>
      </c>
      <c r="Y2652" s="17">
        <v>45514</v>
      </c>
      <c r="Z2652" s="19" t="s">
        <v>772</v>
      </c>
      <c r="AA2652" s="210">
        <v>52000</v>
      </c>
      <c r="AB2652" s="9">
        <v>30</v>
      </c>
      <c r="AC2652" s="9">
        <v>8</v>
      </c>
      <c r="AD2652" s="17">
        <v>45787</v>
      </c>
      <c r="AE2652" s="56">
        <v>1567</v>
      </c>
      <c r="AF2652" s="56"/>
      <c r="AG2652" s="9" t="s">
        <v>134</v>
      </c>
      <c r="AH2652" s="17">
        <v>45785</v>
      </c>
      <c r="AI2652" s="17"/>
      <c r="AJ2652" s="17"/>
      <c r="AK2652" s="10" t="s">
        <v>1070</v>
      </c>
      <c r="AL2652" s="11">
        <v>1567</v>
      </c>
      <c r="AN2652" s="11" t="s">
        <v>1084</v>
      </c>
      <c r="AP2652" s="11"/>
      <c r="AQ2652" s="11"/>
      <c r="AR2652" s="11"/>
      <c r="AW2652" s="108">
        <v>45785</v>
      </c>
      <c r="AX2652" s="109">
        <v>4137</v>
      </c>
      <c r="AY2652" s="36"/>
      <c r="AZ2652" s="36"/>
      <c r="BA2652" s="119">
        <v>1567</v>
      </c>
      <c r="BD2652" s="9"/>
      <c r="CS2652" s="11">
        <f t="shared" si="182"/>
        <v>1567</v>
      </c>
      <c r="CT2652" s="22">
        <f t="shared" si="183"/>
        <v>1567</v>
      </c>
      <c r="CU2652" s="22">
        <f t="shared" si="184"/>
        <v>0</v>
      </c>
      <c r="CV2652" s="26">
        <f t="shared" si="181"/>
        <v>0</v>
      </c>
    </row>
    <row r="2653" spans="1:100" ht="12.75" x14ac:dyDescent="0.2">
      <c r="A2653" s="9" t="s">
        <v>548</v>
      </c>
      <c r="B2653" s="2">
        <v>120</v>
      </c>
      <c r="C2653" s="3" t="s">
        <v>95</v>
      </c>
      <c r="D2653" s="3" t="s">
        <v>96</v>
      </c>
      <c r="E2653" s="2"/>
      <c r="F2653" s="2"/>
      <c r="G2653" s="2" t="s">
        <v>81</v>
      </c>
      <c r="H2653" s="2">
        <v>3</v>
      </c>
      <c r="I2653" s="8">
        <v>160.5</v>
      </c>
      <c r="J2653" s="8">
        <v>51999</v>
      </c>
      <c r="K2653" s="3">
        <v>0</v>
      </c>
      <c r="L2653" s="3" t="s">
        <v>3</v>
      </c>
      <c r="M2653" s="9" t="s">
        <v>0</v>
      </c>
      <c r="N2653" s="9" t="s">
        <v>51</v>
      </c>
      <c r="O2653" s="9" t="s">
        <v>594</v>
      </c>
      <c r="S2653" s="9" t="s">
        <v>158</v>
      </c>
      <c r="T2653" s="10" t="s">
        <v>81</v>
      </c>
      <c r="U2653" s="10">
        <v>3</v>
      </c>
      <c r="V2653" s="78">
        <v>160.5</v>
      </c>
      <c r="W2653" s="78" t="s">
        <v>710</v>
      </c>
      <c r="X2653" s="17">
        <v>45500</v>
      </c>
      <c r="Y2653" s="17">
        <v>45514</v>
      </c>
      <c r="Z2653" s="19" t="s">
        <v>772</v>
      </c>
      <c r="AA2653" s="210">
        <v>52000</v>
      </c>
      <c r="AB2653" s="9">
        <v>30</v>
      </c>
      <c r="AC2653" s="9">
        <v>9</v>
      </c>
      <c r="AD2653" s="17">
        <v>45818</v>
      </c>
      <c r="AE2653" s="56">
        <v>1567</v>
      </c>
      <c r="AF2653" s="56"/>
      <c r="AG2653" s="9" t="s">
        <v>134</v>
      </c>
      <c r="AH2653" s="17">
        <v>45814</v>
      </c>
      <c r="AI2653" s="17"/>
      <c r="AJ2653" s="17"/>
      <c r="AK2653" s="10" t="s">
        <v>1071</v>
      </c>
      <c r="AL2653" s="11">
        <v>1567</v>
      </c>
      <c r="AN2653" s="11" t="s">
        <v>1085</v>
      </c>
      <c r="AP2653" s="11"/>
      <c r="AQ2653" s="11"/>
      <c r="AR2653" s="11"/>
      <c r="AW2653" s="108">
        <v>45814</v>
      </c>
      <c r="AX2653" s="109">
        <v>4275</v>
      </c>
      <c r="AY2653" s="36"/>
      <c r="AZ2653" s="36"/>
      <c r="BA2653" s="119">
        <v>1567</v>
      </c>
      <c r="BD2653" s="9"/>
      <c r="CS2653" s="11">
        <f t="shared" si="182"/>
        <v>1567</v>
      </c>
      <c r="CT2653" s="22">
        <f t="shared" si="183"/>
        <v>1567</v>
      </c>
      <c r="CU2653" s="22">
        <f t="shared" si="184"/>
        <v>0</v>
      </c>
      <c r="CV2653" s="26">
        <f t="shared" si="181"/>
        <v>0</v>
      </c>
    </row>
    <row r="2654" spans="1:100" ht="12.75" x14ac:dyDescent="0.2">
      <c r="A2654" s="9" t="s">
        <v>548</v>
      </c>
      <c r="B2654" s="2">
        <v>120</v>
      </c>
      <c r="C2654" s="3" t="s">
        <v>95</v>
      </c>
      <c r="D2654" s="3" t="s">
        <v>96</v>
      </c>
      <c r="E2654" s="2"/>
      <c r="F2654" s="2"/>
      <c r="G2654" s="2" t="s">
        <v>81</v>
      </c>
      <c r="H2654" s="2">
        <v>3</v>
      </c>
      <c r="I2654" s="8">
        <v>160.5</v>
      </c>
      <c r="J2654" s="8">
        <v>51999</v>
      </c>
      <c r="K2654" s="3">
        <v>0</v>
      </c>
      <c r="L2654" s="3" t="s">
        <v>3</v>
      </c>
      <c r="M2654" s="9" t="s">
        <v>0</v>
      </c>
      <c r="N2654" s="9" t="s">
        <v>51</v>
      </c>
      <c r="O2654" s="9" t="s">
        <v>594</v>
      </c>
      <c r="S2654" s="9" t="s">
        <v>158</v>
      </c>
      <c r="T2654" s="10" t="s">
        <v>81</v>
      </c>
      <c r="U2654" s="10">
        <v>3</v>
      </c>
      <c r="V2654" s="78">
        <v>160.5</v>
      </c>
      <c r="W2654" s="78" t="s">
        <v>710</v>
      </c>
      <c r="X2654" s="17">
        <v>45500</v>
      </c>
      <c r="Y2654" s="17">
        <v>45514</v>
      </c>
      <c r="Z2654" s="19" t="s">
        <v>772</v>
      </c>
      <c r="AA2654" s="210">
        <v>52000</v>
      </c>
      <c r="AB2654" s="9">
        <v>30</v>
      </c>
      <c r="AC2654" s="9">
        <v>10</v>
      </c>
      <c r="AD2654" s="17">
        <v>45848</v>
      </c>
      <c r="AE2654" s="56">
        <v>1567</v>
      </c>
      <c r="AF2654" s="56"/>
      <c r="AG2654" s="9" t="s">
        <v>134</v>
      </c>
      <c r="AH2654" s="17">
        <v>45847</v>
      </c>
      <c r="AI2654" s="17"/>
      <c r="AJ2654" s="17"/>
      <c r="AK2654" s="10" t="s">
        <v>1072</v>
      </c>
      <c r="AL2654" s="11">
        <v>1567</v>
      </c>
      <c r="AN2654" s="11" t="s">
        <v>1086</v>
      </c>
      <c r="AP2654" s="11"/>
      <c r="AQ2654" s="11"/>
      <c r="AR2654" s="11"/>
      <c r="AW2654" s="108">
        <v>45846</v>
      </c>
      <c r="AX2654" s="109">
        <v>4383</v>
      </c>
      <c r="AY2654" s="36"/>
      <c r="AZ2654" s="36"/>
      <c r="BA2654" s="119">
        <v>1567</v>
      </c>
      <c r="BD2654" s="9"/>
      <c r="CS2654" s="11">
        <f t="shared" si="182"/>
        <v>1567</v>
      </c>
      <c r="CT2654" s="22">
        <f t="shared" si="183"/>
        <v>1567</v>
      </c>
      <c r="CU2654" s="22">
        <f t="shared" si="184"/>
        <v>0</v>
      </c>
      <c r="CV2654" s="26">
        <f t="shared" si="181"/>
        <v>0</v>
      </c>
    </row>
    <row r="2655" spans="1:100" ht="12.75" x14ac:dyDescent="0.2">
      <c r="A2655" s="9" t="s">
        <v>548</v>
      </c>
      <c r="B2655" s="2">
        <v>120</v>
      </c>
      <c r="C2655" s="3" t="s">
        <v>95</v>
      </c>
      <c r="D2655" s="3" t="s">
        <v>96</v>
      </c>
      <c r="E2655" s="2"/>
      <c r="F2655" s="2"/>
      <c r="G2655" s="2" t="s">
        <v>81</v>
      </c>
      <c r="H2655" s="2">
        <v>3</v>
      </c>
      <c r="I2655" s="8">
        <v>160.5</v>
      </c>
      <c r="J2655" s="8">
        <v>51999</v>
      </c>
      <c r="K2655" s="3">
        <v>0</v>
      </c>
      <c r="L2655" s="3" t="s">
        <v>3</v>
      </c>
      <c r="M2655" s="9" t="s">
        <v>0</v>
      </c>
      <c r="N2655" s="9" t="s">
        <v>51</v>
      </c>
      <c r="O2655" s="9" t="s">
        <v>594</v>
      </c>
      <c r="S2655" s="9" t="s">
        <v>158</v>
      </c>
      <c r="T2655" s="10" t="s">
        <v>81</v>
      </c>
      <c r="U2655" s="10">
        <v>3</v>
      </c>
      <c r="V2655" s="78">
        <v>160.5</v>
      </c>
      <c r="W2655" s="78" t="s">
        <v>710</v>
      </c>
      <c r="X2655" s="17">
        <v>45500</v>
      </c>
      <c r="Y2655" s="17">
        <v>45514</v>
      </c>
      <c r="Z2655" s="19" t="s">
        <v>772</v>
      </c>
      <c r="AA2655" s="210">
        <v>52000</v>
      </c>
      <c r="AB2655" s="9">
        <v>30</v>
      </c>
      <c r="AC2655" s="9">
        <v>11</v>
      </c>
      <c r="AD2655" s="17">
        <v>45879</v>
      </c>
      <c r="AE2655" s="56">
        <v>1567</v>
      </c>
      <c r="AF2655" s="56"/>
      <c r="AG2655" s="9" t="s">
        <v>134</v>
      </c>
      <c r="AH2655" s="17">
        <v>45876</v>
      </c>
      <c r="AI2655" s="17"/>
      <c r="AJ2655" s="17"/>
      <c r="AK2655" s="10" t="s">
        <v>1073</v>
      </c>
      <c r="AL2655" s="11">
        <v>1567</v>
      </c>
      <c r="AN2655" s="11" t="s">
        <v>1087</v>
      </c>
      <c r="AP2655" s="11"/>
      <c r="AQ2655" s="11"/>
      <c r="AR2655" s="11"/>
      <c r="AW2655" s="108">
        <v>45876</v>
      </c>
      <c r="AX2655" s="109">
        <v>4537</v>
      </c>
      <c r="AY2655" s="36"/>
      <c r="AZ2655" s="36"/>
      <c r="BA2655" s="119">
        <v>1567</v>
      </c>
      <c r="BD2655" s="9"/>
      <c r="CS2655" s="11">
        <f t="shared" si="182"/>
        <v>1567</v>
      </c>
      <c r="CT2655" s="22">
        <f t="shared" si="183"/>
        <v>1567</v>
      </c>
      <c r="CU2655" s="22">
        <f t="shared" si="184"/>
        <v>0</v>
      </c>
      <c r="CV2655" s="26">
        <f t="shared" si="181"/>
        <v>0</v>
      </c>
    </row>
    <row r="2656" spans="1:100" ht="12.75" x14ac:dyDescent="0.2">
      <c r="A2656" s="9" t="s">
        <v>548</v>
      </c>
      <c r="B2656" s="2">
        <v>120</v>
      </c>
      <c r="C2656" s="3" t="s">
        <v>95</v>
      </c>
      <c r="D2656" s="3" t="s">
        <v>96</v>
      </c>
      <c r="E2656" s="2"/>
      <c r="F2656" s="2"/>
      <c r="G2656" s="2" t="s">
        <v>81</v>
      </c>
      <c r="H2656" s="2">
        <v>3</v>
      </c>
      <c r="I2656" s="8">
        <v>160.5</v>
      </c>
      <c r="J2656" s="8">
        <v>51999</v>
      </c>
      <c r="K2656" s="3">
        <v>0</v>
      </c>
      <c r="L2656" s="3" t="s">
        <v>3</v>
      </c>
      <c r="M2656" s="9" t="s">
        <v>0</v>
      </c>
      <c r="N2656" s="9" t="s">
        <v>51</v>
      </c>
      <c r="O2656" s="9" t="s">
        <v>594</v>
      </c>
      <c r="S2656" s="9" t="s">
        <v>158</v>
      </c>
      <c r="T2656" s="10" t="s">
        <v>81</v>
      </c>
      <c r="U2656" s="10">
        <v>3</v>
      </c>
      <c r="V2656" s="78">
        <v>160.5</v>
      </c>
      <c r="W2656" s="78" t="s">
        <v>710</v>
      </c>
      <c r="X2656" s="17">
        <v>45500</v>
      </c>
      <c r="Y2656" s="17">
        <v>45514</v>
      </c>
      <c r="Z2656" s="19" t="s">
        <v>772</v>
      </c>
      <c r="AA2656" s="210">
        <v>52000</v>
      </c>
      <c r="AB2656" s="9">
        <v>30</v>
      </c>
      <c r="AC2656" s="9">
        <v>12</v>
      </c>
      <c r="AD2656" s="17">
        <v>45910</v>
      </c>
      <c r="AE2656" s="56">
        <v>1567</v>
      </c>
      <c r="AF2656" s="56"/>
      <c r="AG2656" s="9" t="s">
        <v>134</v>
      </c>
      <c r="AH2656" s="17">
        <v>45905</v>
      </c>
      <c r="AI2656" s="17"/>
      <c r="AJ2656" s="17"/>
      <c r="AK2656" s="10" t="s">
        <v>1074</v>
      </c>
      <c r="AL2656" s="11">
        <v>1567</v>
      </c>
      <c r="AN2656" s="11" t="s">
        <v>1088</v>
      </c>
      <c r="AP2656" s="11"/>
      <c r="AQ2656" s="11"/>
      <c r="AR2656" s="11"/>
      <c r="AW2656" s="108">
        <v>45905</v>
      </c>
      <c r="AX2656" s="109">
        <v>4672</v>
      </c>
      <c r="AY2656" s="36"/>
      <c r="AZ2656" s="36"/>
      <c r="BA2656" s="119">
        <v>1567</v>
      </c>
      <c r="BD2656" s="9"/>
      <c r="CS2656" s="11">
        <f t="shared" si="182"/>
        <v>1567</v>
      </c>
      <c r="CT2656" s="22">
        <f t="shared" si="183"/>
        <v>1567</v>
      </c>
      <c r="CU2656" s="22">
        <f t="shared" si="184"/>
        <v>0</v>
      </c>
      <c r="CV2656" s="26">
        <f t="shared" si="181"/>
        <v>0</v>
      </c>
    </row>
    <row r="2657" spans="1:100" x14ac:dyDescent="0.2">
      <c r="A2657" s="9" t="s">
        <v>548</v>
      </c>
      <c r="B2657" s="2">
        <v>120</v>
      </c>
      <c r="C2657" s="3" t="s">
        <v>95</v>
      </c>
      <c r="D2657" s="3" t="s">
        <v>96</v>
      </c>
      <c r="E2657" s="2"/>
      <c r="F2657" s="2"/>
      <c r="G2657" s="2" t="s">
        <v>81</v>
      </c>
      <c r="H2657" s="2">
        <v>3</v>
      </c>
      <c r="I2657" s="8">
        <v>160.5</v>
      </c>
      <c r="J2657" s="8">
        <v>51999</v>
      </c>
      <c r="K2657" s="3">
        <v>0</v>
      </c>
      <c r="L2657" s="3" t="s">
        <v>3</v>
      </c>
      <c r="M2657" s="9" t="s">
        <v>0</v>
      </c>
      <c r="N2657" s="9" t="s">
        <v>51</v>
      </c>
      <c r="O2657" s="9" t="s">
        <v>594</v>
      </c>
      <c r="S2657" s="9" t="s">
        <v>158</v>
      </c>
      <c r="T2657" s="10" t="s">
        <v>81</v>
      </c>
      <c r="U2657" s="10">
        <v>3</v>
      </c>
      <c r="V2657" s="78">
        <v>160.5</v>
      </c>
      <c r="W2657" s="78" t="s">
        <v>710</v>
      </c>
      <c r="X2657" s="17">
        <v>45500</v>
      </c>
      <c r="Y2657" s="17">
        <v>45514</v>
      </c>
      <c r="Z2657" s="19" t="s">
        <v>772</v>
      </c>
      <c r="AA2657" s="210">
        <v>52000</v>
      </c>
      <c r="AB2657" s="9">
        <v>30</v>
      </c>
      <c r="AC2657" s="9">
        <v>13</v>
      </c>
      <c r="AD2657" s="17">
        <v>45940</v>
      </c>
      <c r="AE2657" s="56">
        <v>1567</v>
      </c>
      <c r="AF2657" s="56"/>
      <c r="AP2657" s="11"/>
      <c r="AQ2657" s="11"/>
      <c r="AR2657" s="11"/>
      <c r="AW2657" s="9"/>
      <c r="BD2657" s="9"/>
      <c r="CS2657" s="11">
        <f t="shared" si="182"/>
        <v>0</v>
      </c>
      <c r="CT2657" s="22">
        <f t="shared" si="183"/>
        <v>0</v>
      </c>
      <c r="CU2657" s="22">
        <f t="shared" si="184"/>
        <v>0</v>
      </c>
      <c r="CV2657" s="26">
        <f t="shared" si="181"/>
        <v>1567</v>
      </c>
    </row>
    <row r="2658" spans="1:100" x14ac:dyDescent="0.2">
      <c r="A2658" s="9" t="s">
        <v>548</v>
      </c>
      <c r="B2658" s="2">
        <v>120</v>
      </c>
      <c r="C2658" s="3" t="s">
        <v>95</v>
      </c>
      <c r="D2658" s="3" t="s">
        <v>96</v>
      </c>
      <c r="E2658" s="2"/>
      <c r="F2658" s="2"/>
      <c r="G2658" s="2" t="s">
        <v>81</v>
      </c>
      <c r="H2658" s="2">
        <v>3</v>
      </c>
      <c r="I2658" s="8">
        <v>160.5</v>
      </c>
      <c r="J2658" s="8">
        <v>51999</v>
      </c>
      <c r="K2658" s="3">
        <v>0</v>
      </c>
      <c r="L2658" s="3" t="s">
        <v>3</v>
      </c>
      <c r="M2658" s="9" t="s">
        <v>0</v>
      </c>
      <c r="N2658" s="9" t="s">
        <v>51</v>
      </c>
      <c r="O2658" s="9" t="s">
        <v>594</v>
      </c>
      <c r="S2658" s="9" t="s">
        <v>158</v>
      </c>
      <c r="T2658" s="10" t="s">
        <v>81</v>
      </c>
      <c r="U2658" s="10">
        <v>3</v>
      </c>
      <c r="V2658" s="78">
        <v>160.5</v>
      </c>
      <c r="W2658" s="78" t="s">
        <v>710</v>
      </c>
      <c r="X2658" s="17">
        <v>45500</v>
      </c>
      <c r="Y2658" s="17">
        <v>45514</v>
      </c>
      <c r="Z2658" s="19" t="s">
        <v>772</v>
      </c>
      <c r="AA2658" s="210">
        <v>52000</v>
      </c>
      <c r="AB2658" s="9">
        <v>30</v>
      </c>
      <c r="AC2658" s="9">
        <v>14</v>
      </c>
      <c r="AD2658" s="17">
        <v>45971</v>
      </c>
      <c r="AE2658" s="56">
        <v>1567</v>
      </c>
      <c r="AF2658" s="56"/>
      <c r="AP2658" s="11"/>
      <c r="AQ2658" s="11"/>
      <c r="AR2658" s="11"/>
      <c r="AW2658" s="17"/>
      <c r="AX2658" s="86"/>
      <c r="BD2658" s="9"/>
      <c r="CS2658" s="11">
        <f t="shared" si="182"/>
        <v>0</v>
      </c>
      <c r="CT2658" s="22">
        <f t="shared" si="183"/>
        <v>0</v>
      </c>
      <c r="CU2658" s="22">
        <f t="shared" si="184"/>
        <v>0</v>
      </c>
      <c r="CV2658" s="26">
        <f t="shared" si="181"/>
        <v>1567</v>
      </c>
    </row>
    <row r="2659" spans="1:100" x14ac:dyDescent="0.2">
      <c r="A2659" s="9" t="s">
        <v>548</v>
      </c>
      <c r="B2659" s="2">
        <v>120</v>
      </c>
      <c r="C2659" s="3" t="s">
        <v>95</v>
      </c>
      <c r="D2659" s="3" t="s">
        <v>96</v>
      </c>
      <c r="E2659" s="2"/>
      <c r="F2659" s="2"/>
      <c r="G2659" s="2" t="s">
        <v>81</v>
      </c>
      <c r="H2659" s="2">
        <v>3</v>
      </c>
      <c r="I2659" s="8">
        <v>160.5</v>
      </c>
      <c r="J2659" s="8">
        <v>51999</v>
      </c>
      <c r="K2659" s="3">
        <v>0</v>
      </c>
      <c r="L2659" s="3" t="s">
        <v>3</v>
      </c>
      <c r="M2659" s="9" t="s">
        <v>0</v>
      </c>
      <c r="N2659" s="9" t="s">
        <v>51</v>
      </c>
      <c r="O2659" s="9" t="s">
        <v>594</v>
      </c>
      <c r="S2659" s="9" t="s">
        <v>158</v>
      </c>
      <c r="T2659" s="10" t="s">
        <v>81</v>
      </c>
      <c r="U2659" s="10">
        <v>3</v>
      </c>
      <c r="V2659" s="78">
        <v>160.5</v>
      </c>
      <c r="W2659" s="78" t="s">
        <v>710</v>
      </c>
      <c r="X2659" s="17">
        <v>45500</v>
      </c>
      <c r="Y2659" s="17">
        <v>45514</v>
      </c>
      <c r="Z2659" s="19" t="s">
        <v>772</v>
      </c>
      <c r="AA2659" s="210">
        <v>52000</v>
      </c>
      <c r="AB2659" s="9">
        <v>30</v>
      </c>
      <c r="AC2659" s="9">
        <v>15</v>
      </c>
      <c r="AD2659" s="17">
        <v>46001</v>
      </c>
      <c r="AE2659" s="56">
        <v>1567</v>
      </c>
      <c r="AF2659" s="56"/>
      <c r="AP2659" s="11"/>
      <c r="AQ2659" s="11"/>
      <c r="AR2659" s="11"/>
      <c r="AW2659" s="9"/>
      <c r="BD2659" s="9"/>
      <c r="CS2659" s="11">
        <f t="shared" si="182"/>
        <v>0</v>
      </c>
      <c r="CT2659" s="22">
        <f t="shared" si="183"/>
        <v>0</v>
      </c>
      <c r="CU2659" s="22">
        <f t="shared" si="184"/>
        <v>0</v>
      </c>
      <c r="CV2659" s="26">
        <f t="shared" si="181"/>
        <v>1567</v>
      </c>
    </row>
    <row r="2660" spans="1:100" x14ac:dyDescent="0.2">
      <c r="A2660" s="9" t="s">
        <v>548</v>
      </c>
      <c r="B2660" s="2">
        <v>120</v>
      </c>
      <c r="C2660" s="3" t="s">
        <v>95</v>
      </c>
      <c r="D2660" s="3" t="s">
        <v>96</v>
      </c>
      <c r="E2660" s="2"/>
      <c r="F2660" s="2"/>
      <c r="G2660" s="2" t="s">
        <v>81</v>
      </c>
      <c r="H2660" s="2">
        <v>3</v>
      </c>
      <c r="I2660" s="8">
        <v>160.5</v>
      </c>
      <c r="J2660" s="8">
        <v>51999</v>
      </c>
      <c r="K2660" s="3">
        <v>0</v>
      </c>
      <c r="L2660" s="3" t="s">
        <v>3</v>
      </c>
      <c r="M2660" s="9" t="s">
        <v>0</v>
      </c>
      <c r="N2660" s="9" t="s">
        <v>51</v>
      </c>
      <c r="O2660" s="9" t="s">
        <v>594</v>
      </c>
      <c r="S2660" s="9" t="s">
        <v>158</v>
      </c>
      <c r="T2660" s="10" t="s">
        <v>81</v>
      </c>
      <c r="U2660" s="10">
        <v>3</v>
      </c>
      <c r="V2660" s="78">
        <v>160.5</v>
      </c>
      <c r="W2660" s="78" t="s">
        <v>710</v>
      </c>
      <c r="X2660" s="17">
        <v>45500</v>
      </c>
      <c r="Y2660" s="17">
        <v>45514</v>
      </c>
      <c r="Z2660" s="19" t="s">
        <v>772</v>
      </c>
      <c r="AA2660" s="210">
        <v>52000</v>
      </c>
      <c r="AB2660" s="9">
        <v>30</v>
      </c>
      <c r="AC2660" s="9">
        <v>16</v>
      </c>
      <c r="AD2660" s="17">
        <v>46032</v>
      </c>
      <c r="AE2660" s="56">
        <v>1567</v>
      </c>
      <c r="AF2660" s="56"/>
      <c r="AP2660" s="11"/>
      <c r="AQ2660" s="11"/>
      <c r="AR2660" s="11"/>
      <c r="AW2660" s="9"/>
      <c r="BD2660" s="9"/>
      <c r="CS2660" s="11">
        <f t="shared" si="182"/>
        <v>0</v>
      </c>
      <c r="CT2660" s="22">
        <f t="shared" si="183"/>
        <v>0</v>
      </c>
      <c r="CU2660" s="22">
        <f t="shared" si="184"/>
        <v>0</v>
      </c>
      <c r="CV2660" s="26">
        <f t="shared" si="181"/>
        <v>1567</v>
      </c>
    </row>
    <row r="2661" spans="1:100" ht="12.75" x14ac:dyDescent="0.2">
      <c r="A2661" s="9" t="s">
        <v>548</v>
      </c>
      <c r="B2661" s="2">
        <v>120</v>
      </c>
      <c r="C2661" s="3" t="s">
        <v>95</v>
      </c>
      <c r="D2661" s="3" t="s">
        <v>96</v>
      </c>
      <c r="E2661" s="2"/>
      <c r="F2661" s="2"/>
      <c r="G2661" s="2" t="s">
        <v>81</v>
      </c>
      <c r="H2661" s="2">
        <v>3</v>
      </c>
      <c r="I2661" s="8">
        <v>160.5</v>
      </c>
      <c r="J2661" s="8">
        <v>51999</v>
      </c>
      <c r="K2661" s="3">
        <v>0</v>
      </c>
      <c r="L2661" s="3" t="s">
        <v>3</v>
      </c>
      <c r="M2661" s="9" t="s">
        <v>0</v>
      </c>
      <c r="N2661" s="9" t="s">
        <v>51</v>
      </c>
      <c r="O2661" s="9" t="s">
        <v>594</v>
      </c>
      <c r="S2661" s="9" t="s">
        <v>158</v>
      </c>
      <c r="T2661" s="10" t="s">
        <v>81</v>
      </c>
      <c r="U2661" s="10">
        <v>3</v>
      </c>
      <c r="V2661" s="78">
        <v>160.5</v>
      </c>
      <c r="W2661" s="78" t="s">
        <v>710</v>
      </c>
      <c r="X2661" s="17">
        <v>45500</v>
      </c>
      <c r="Y2661" s="17">
        <v>45514</v>
      </c>
      <c r="Z2661" s="19" t="s">
        <v>772</v>
      </c>
      <c r="AA2661" s="210">
        <v>52000</v>
      </c>
      <c r="AB2661" s="9">
        <v>30</v>
      </c>
      <c r="AC2661" s="9">
        <v>17</v>
      </c>
      <c r="AD2661" s="17">
        <v>46063</v>
      </c>
      <c r="AE2661" s="56">
        <v>1567</v>
      </c>
      <c r="AF2661" s="56"/>
      <c r="AP2661" s="11"/>
      <c r="AQ2661" s="11"/>
      <c r="AR2661" s="11"/>
      <c r="AW2661" s="94"/>
      <c r="AX2661" s="95"/>
      <c r="AY2661" s="96"/>
      <c r="BD2661" s="9"/>
      <c r="CS2661" s="11">
        <f t="shared" si="182"/>
        <v>0</v>
      </c>
      <c r="CT2661" s="22">
        <f t="shared" si="183"/>
        <v>0</v>
      </c>
      <c r="CU2661" s="22">
        <f t="shared" si="184"/>
        <v>0</v>
      </c>
      <c r="CV2661" s="26">
        <f t="shared" si="181"/>
        <v>1567</v>
      </c>
    </row>
    <row r="2662" spans="1:100" x14ac:dyDescent="0.2">
      <c r="A2662" s="9" t="s">
        <v>548</v>
      </c>
      <c r="B2662" s="2">
        <v>120</v>
      </c>
      <c r="C2662" s="3" t="s">
        <v>95</v>
      </c>
      <c r="D2662" s="3" t="s">
        <v>96</v>
      </c>
      <c r="E2662" s="2"/>
      <c r="F2662" s="2"/>
      <c r="G2662" s="2" t="s">
        <v>81</v>
      </c>
      <c r="H2662" s="2">
        <v>3</v>
      </c>
      <c r="I2662" s="8">
        <v>160.5</v>
      </c>
      <c r="J2662" s="8">
        <v>51999</v>
      </c>
      <c r="K2662" s="3">
        <v>0</v>
      </c>
      <c r="L2662" s="3" t="s">
        <v>3</v>
      </c>
      <c r="M2662" s="9" t="s">
        <v>0</v>
      </c>
      <c r="N2662" s="9" t="s">
        <v>51</v>
      </c>
      <c r="O2662" s="9" t="s">
        <v>594</v>
      </c>
      <c r="S2662" s="9" t="s">
        <v>158</v>
      </c>
      <c r="T2662" s="10" t="s">
        <v>81</v>
      </c>
      <c r="U2662" s="10">
        <v>3</v>
      </c>
      <c r="V2662" s="78">
        <v>160.5</v>
      </c>
      <c r="W2662" s="78" t="s">
        <v>710</v>
      </c>
      <c r="X2662" s="17">
        <v>45500</v>
      </c>
      <c r="Y2662" s="17">
        <v>45514</v>
      </c>
      <c r="Z2662" s="19" t="s">
        <v>772</v>
      </c>
      <c r="AA2662" s="210">
        <v>52000</v>
      </c>
      <c r="AB2662" s="9">
        <v>30</v>
      </c>
      <c r="AC2662" s="9">
        <v>18</v>
      </c>
      <c r="AD2662" s="17">
        <v>46091</v>
      </c>
      <c r="AE2662" s="56">
        <v>1567</v>
      </c>
      <c r="AF2662" s="56"/>
      <c r="AP2662" s="11"/>
      <c r="AQ2662" s="11"/>
      <c r="AR2662" s="11"/>
      <c r="AW2662" s="9"/>
      <c r="BD2662" s="9"/>
      <c r="CS2662" s="11">
        <f t="shared" si="182"/>
        <v>0</v>
      </c>
      <c r="CT2662" s="22">
        <f t="shared" si="183"/>
        <v>0</v>
      </c>
      <c r="CU2662" s="22">
        <f t="shared" si="184"/>
        <v>0</v>
      </c>
      <c r="CV2662" s="26">
        <f t="shared" si="181"/>
        <v>1567</v>
      </c>
    </row>
    <row r="2663" spans="1:100" x14ac:dyDescent="0.2">
      <c r="A2663" s="9" t="s">
        <v>548</v>
      </c>
      <c r="B2663" s="2">
        <v>120</v>
      </c>
      <c r="C2663" s="3" t="s">
        <v>95</v>
      </c>
      <c r="D2663" s="3" t="s">
        <v>96</v>
      </c>
      <c r="E2663" s="2"/>
      <c r="F2663" s="2"/>
      <c r="G2663" s="2" t="s">
        <v>81</v>
      </c>
      <c r="H2663" s="2">
        <v>3</v>
      </c>
      <c r="I2663" s="8">
        <v>160.5</v>
      </c>
      <c r="J2663" s="8">
        <v>51999</v>
      </c>
      <c r="K2663" s="3">
        <v>0</v>
      </c>
      <c r="L2663" s="3" t="s">
        <v>3</v>
      </c>
      <c r="M2663" s="9" t="s">
        <v>0</v>
      </c>
      <c r="N2663" s="9" t="s">
        <v>51</v>
      </c>
      <c r="O2663" s="9" t="s">
        <v>594</v>
      </c>
      <c r="S2663" s="9" t="s">
        <v>158</v>
      </c>
      <c r="T2663" s="10" t="s">
        <v>81</v>
      </c>
      <c r="U2663" s="10">
        <v>3</v>
      </c>
      <c r="V2663" s="78">
        <v>160.5</v>
      </c>
      <c r="W2663" s="78" t="s">
        <v>710</v>
      </c>
      <c r="X2663" s="17">
        <v>45500</v>
      </c>
      <c r="Y2663" s="17">
        <v>45514</v>
      </c>
      <c r="Z2663" s="19" t="s">
        <v>772</v>
      </c>
      <c r="AA2663" s="210">
        <v>52000</v>
      </c>
      <c r="AB2663" s="9">
        <v>30</v>
      </c>
      <c r="AC2663" s="9">
        <v>19</v>
      </c>
      <c r="AD2663" s="17">
        <v>46122</v>
      </c>
      <c r="AE2663" s="56">
        <v>1567</v>
      </c>
      <c r="AF2663" s="56"/>
      <c r="AP2663" s="11"/>
      <c r="AQ2663" s="11"/>
      <c r="AR2663" s="11"/>
      <c r="AW2663" s="9"/>
      <c r="BD2663" s="9"/>
      <c r="CS2663" s="11">
        <f t="shared" si="182"/>
        <v>0</v>
      </c>
      <c r="CT2663" s="22">
        <f t="shared" si="183"/>
        <v>0</v>
      </c>
      <c r="CU2663" s="22">
        <f t="shared" si="184"/>
        <v>0</v>
      </c>
      <c r="CV2663" s="26">
        <f t="shared" si="181"/>
        <v>1567</v>
      </c>
    </row>
    <row r="2664" spans="1:100" x14ac:dyDescent="0.2">
      <c r="A2664" s="9" t="s">
        <v>548</v>
      </c>
      <c r="B2664" s="2">
        <v>120</v>
      </c>
      <c r="C2664" s="3" t="s">
        <v>95</v>
      </c>
      <c r="D2664" s="3" t="s">
        <v>96</v>
      </c>
      <c r="E2664" s="2"/>
      <c r="F2664" s="2"/>
      <c r="G2664" s="2" t="s">
        <v>81</v>
      </c>
      <c r="H2664" s="2">
        <v>3</v>
      </c>
      <c r="I2664" s="8">
        <v>160.5</v>
      </c>
      <c r="J2664" s="8">
        <v>51999</v>
      </c>
      <c r="K2664" s="3">
        <v>0</v>
      </c>
      <c r="L2664" s="3" t="s">
        <v>3</v>
      </c>
      <c r="M2664" s="9" t="s">
        <v>0</v>
      </c>
      <c r="N2664" s="9" t="s">
        <v>51</v>
      </c>
      <c r="O2664" s="9" t="s">
        <v>594</v>
      </c>
      <c r="S2664" s="9" t="s">
        <v>158</v>
      </c>
      <c r="T2664" s="10" t="s">
        <v>81</v>
      </c>
      <c r="U2664" s="10">
        <v>3</v>
      </c>
      <c r="V2664" s="78">
        <v>160.5</v>
      </c>
      <c r="W2664" s="78" t="s">
        <v>710</v>
      </c>
      <c r="X2664" s="17">
        <v>45500</v>
      </c>
      <c r="Y2664" s="17">
        <v>45514</v>
      </c>
      <c r="Z2664" s="19" t="s">
        <v>772</v>
      </c>
      <c r="AA2664" s="210">
        <v>52000</v>
      </c>
      <c r="AB2664" s="9">
        <v>30</v>
      </c>
      <c r="AC2664" s="9">
        <v>20</v>
      </c>
      <c r="AD2664" s="17">
        <v>46152</v>
      </c>
      <c r="AE2664" s="56">
        <v>1567</v>
      </c>
      <c r="AF2664" s="56"/>
      <c r="AP2664" s="11"/>
      <c r="AQ2664" s="11"/>
      <c r="AR2664" s="11"/>
      <c r="AW2664" s="9"/>
      <c r="BD2664" s="9"/>
      <c r="CS2664" s="11">
        <f t="shared" si="182"/>
        <v>0</v>
      </c>
      <c r="CT2664" s="22">
        <f t="shared" si="183"/>
        <v>0</v>
      </c>
      <c r="CU2664" s="22">
        <f t="shared" si="184"/>
        <v>0</v>
      </c>
      <c r="CV2664" s="26">
        <f t="shared" si="181"/>
        <v>1567</v>
      </c>
    </row>
    <row r="2665" spans="1:100" x14ac:dyDescent="0.2">
      <c r="A2665" s="9" t="s">
        <v>548</v>
      </c>
      <c r="B2665" s="2">
        <v>120</v>
      </c>
      <c r="C2665" s="3" t="s">
        <v>95</v>
      </c>
      <c r="D2665" s="3" t="s">
        <v>96</v>
      </c>
      <c r="E2665" s="2"/>
      <c r="F2665" s="2"/>
      <c r="G2665" s="2" t="s">
        <v>81</v>
      </c>
      <c r="H2665" s="2">
        <v>3</v>
      </c>
      <c r="I2665" s="8">
        <v>160.5</v>
      </c>
      <c r="J2665" s="8">
        <v>51999</v>
      </c>
      <c r="K2665" s="3">
        <v>0</v>
      </c>
      <c r="L2665" s="3" t="s">
        <v>3</v>
      </c>
      <c r="M2665" s="9" t="s">
        <v>0</v>
      </c>
      <c r="N2665" s="9" t="s">
        <v>51</v>
      </c>
      <c r="O2665" s="9" t="s">
        <v>594</v>
      </c>
      <c r="S2665" s="9" t="s">
        <v>158</v>
      </c>
      <c r="T2665" s="10" t="s">
        <v>81</v>
      </c>
      <c r="U2665" s="10">
        <v>3</v>
      </c>
      <c r="V2665" s="78">
        <v>160.5</v>
      </c>
      <c r="W2665" s="78" t="s">
        <v>710</v>
      </c>
      <c r="X2665" s="17">
        <v>45500</v>
      </c>
      <c r="Y2665" s="17">
        <v>45514</v>
      </c>
      <c r="Z2665" s="19" t="s">
        <v>772</v>
      </c>
      <c r="AA2665" s="210">
        <v>52000</v>
      </c>
      <c r="AB2665" s="9">
        <v>30</v>
      </c>
      <c r="AC2665" s="9">
        <v>21</v>
      </c>
      <c r="AD2665" s="17">
        <v>46183</v>
      </c>
      <c r="AE2665" s="56">
        <v>1567</v>
      </c>
      <c r="AF2665" s="56"/>
      <c r="AP2665" s="11"/>
      <c r="AQ2665" s="11"/>
      <c r="AR2665" s="11"/>
      <c r="AW2665" s="9"/>
      <c r="BD2665" s="9"/>
      <c r="CS2665" s="11">
        <f t="shared" si="182"/>
        <v>0</v>
      </c>
      <c r="CT2665" s="22">
        <f t="shared" si="183"/>
        <v>0</v>
      </c>
      <c r="CU2665" s="22">
        <f t="shared" si="184"/>
        <v>0</v>
      </c>
      <c r="CV2665" s="26">
        <f t="shared" si="181"/>
        <v>1567</v>
      </c>
    </row>
    <row r="2666" spans="1:100" x14ac:dyDescent="0.2">
      <c r="A2666" s="9" t="s">
        <v>548</v>
      </c>
      <c r="B2666" s="2">
        <v>120</v>
      </c>
      <c r="C2666" s="3" t="s">
        <v>95</v>
      </c>
      <c r="D2666" s="3" t="s">
        <v>96</v>
      </c>
      <c r="E2666" s="2"/>
      <c r="F2666" s="2"/>
      <c r="G2666" s="2" t="s">
        <v>81</v>
      </c>
      <c r="H2666" s="2">
        <v>3</v>
      </c>
      <c r="I2666" s="8">
        <v>160.5</v>
      </c>
      <c r="J2666" s="8">
        <v>51999</v>
      </c>
      <c r="K2666" s="3">
        <v>0</v>
      </c>
      <c r="L2666" s="3" t="s">
        <v>3</v>
      </c>
      <c r="M2666" s="9" t="s">
        <v>0</v>
      </c>
      <c r="N2666" s="9" t="s">
        <v>51</v>
      </c>
      <c r="O2666" s="9" t="s">
        <v>594</v>
      </c>
      <c r="S2666" s="9" t="s">
        <v>158</v>
      </c>
      <c r="T2666" s="10" t="s">
        <v>81</v>
      </c>
      <c r="U2666" s="10">
        <v>3</v>
      </c>
      <c r="V2666" s="78">
        <v>160.5</v>
      </c>
      <c r="W2666" s="78" t="s">
        <v>710</v>
      </c>
      <c r="X2666" s="17">
        <v>45500</v>
      </c>
      <c r="Y2666" s="17">
        <v>45514</v>
      </c>
      <c r="Z2666" s="19" t="s">
        <v>772</v>
      </c>
      <c r="AA2666" s="210">
        <v>52000</v>
      </c>
      <c r="AB2666" s="9">
        <v>30</v>
      </c>
      <c r="AC2666" s="9">
        <v>22</v>
      </c>
      <c r="AD2666" s="17">
        <v>46213</v>
      </c>
      <c r="AE2666" s="56">
        <v>1567</v>
      </c>
      <c r="AF2666" s="56"/>
      <c r="AP2666" s="11"/>
      <c r="AQ2666" s="11"/>
      <c r="AR2666" s="11"/>
      <c r="AW2666" s="9"/>
      <c r="BD2666" s="9"/>
      <c r="CS2666" s="11">
        <f t="shared" si="182"/>
        <v>0</v>
      </c>
      <c r="CT2666" s="22">
        <f t="shared" si="183"/>
        <v>0</v>
      </c>
      <c r="CU2666" s="22">
        <f t="shared" si="184"/>
        <v>0</v>
      </c>
      <c r="CV2666" s="26">
        <f t="shared" si="181"/>
        <v>1567</v>
      </c>
    </row>
    <row r="2667" spans="1:100" x14ac:dyDescent="0.2">
      <c r="A2667" s="9" t="s">
        <v>548</v>
      </c>
      <c r="B2667" s="2">
        <v>120</v>
      </c>
      <c r="C2667" s="3" t="s">
        <v>95</v>
      </c>
      <c r="D2667" s="3" t="s">
        <v>96</v>
      </c>
      <c r="E2667" s="2"/>
      <c r="F2667" s="2"/>
      <c r="G2667" s="2" t="s">
        <v>81</v>
      </c>
      <c r="H2667" s="2">
        <v>3</v>
      </c>
      <c r="I2667" s="8">
        <v>160.5</v>
      </c>
      <c r="J2667" s="8">
        <v>51999</v>
      </c>
      <c r="K2667" s="3">
        <v>0</v>
      </c>
      <c r="L2667" s="3" t="s">
        <v>3</v>
      </c>
      <c r="M2667" s="9" t="s">
        <v>0</v>
      </c>
      <c r="N2667" s="9" t="s">
        <v>51</v>
      </c>
      <c r="O2667" s="9" t="s">
        <v>594</v>
      </c>
      <c r="S2667" s="9" t="s">
        <v>158</v>
      </c>
      <c r="T2667" s="10" t="s">
        <v>81</v>
      </c>
      <c r="U2667" s="10">
        <v>3</v>
      </c>
      <c r="V2667" s="78">
        <v>160.5</v>
      </c>
      <c r="W2667" s="78" t="s">
        <v>710</v>
      </c>
      <c r="X2667" s="17">
        <v>45500</v>
      </c>
      <c r="Y2667" s="17">
        <v>45514</v>
      </c>
      <c r="Z2667" s="19" t="s">
        <v>772</v>
      </c>
      <c r="AA2667" s="210">
        <v>52000</v>
      </c>
      <c r="AB2667" s="9">
        <v>30</v>
      </c>
      <c r="AC2667" s="9">
        <v>23</v>
      </c>
      <c r="AD2667" s="17">
        <v>46244</v>
      </c>
      <c r="AE2667" s="56">
        <v>1567</v>
      </c>
      <c r="AF2667" s="56"/>
      <c r="AP2667" s="11"/>
      <c r="AQ2667" s="11"/>
      <c r="AR2667" s="11"/>
      <c r="AW2667" s="9"/>
      <c r="BD2667" s="9"/>
      <c r="CS2667" s="11">
        <f t="shared" si="182"/>
        <v>0</v>
      </c>
      <c r="CT2667" s="22">
        <f t="shared" si="183"/>
        <v>0</v>
      </c>
      <c r="CU2667" s="22">
        <f t="shared" si="184"/>
        <v>0</v>
      </c>
      <c r="CV2667" s="26">
        <f t="shared" si="181"/>
        <v>1567</v>
      </c>
    </row>
    <row r="2668" spans="1:100" x14ac:dyDescent="0.2">
      <c r="A2668" s="9" t="s">
        <v>548</v>
      </c>
      <c r="B2668" s="2">
        <v>120</v>
      </c>
      <c r="C2668" s="3" t="s">
        <v>95</v>
      </c>
      <c r="D2668" s="3" t="s">
        <v>96</v>
      </c>
      <c r="E2668" s="2"/>
      <c r="F2668" s="2"/>
      <c r="G2668" s="2" t="s">
        <v>81</v>
      </c>
      <c r="H2668" s="2">
        <v>3</v>
      </c>
      <c r="I2668" s="8">
        <v>160.5</v>
      </c>
      <c r="J2668" s="8">
        <v>51999</v>
      </c>
      <c r="K2668" s="3">
        <v>0</v>
      </c>
      <c r="L2668" s="3" t="s">
        <v>3</v>
      </c>
      <c r="M2668" s="9" t="s">
        <v>0</v>
      </c>
      <c r="N2668" s="9" t="s">
        <v>51</v>
      </c>
      <c r="O2668" s="9" t="s">
        <v>594</v>
      </c>
      <c r="S2668" s="9" t="s">
        <v>158</v>
      </c>
      <c r="T2668" s="10" t="s">
        <v>81</v>
      </c>
      <c r="U2668" s="10">
        <v>3</v>
      </c>
      <c r="V2668" s="78">
        <v>160.5</v>
      </c>
      <c r="W2668" s="78" t="s">
        <v>710</v>
      </c>
      <c r="X2668" s="17">
        <v>45500</v>
      </c>
      <c r="Y2668" s="17">
        <v>45514</v>
      </c>
      <c r="Z2668" s="19" t="s">
        <v>772</v>
      </c>
      <c r="AA2668" s="210">
        <v>52000</v>
      </c>
      <c r="AB2668" s="9">
        <v>30</v>
      </c>
      <c r="AC2668" s="9">
        <v>24</v>
      </c>
      <c r="AD2668" s="17">
        <v>46275</v>
      </c>
      <c r="AE2668" s="56">
        <v>1567</v>
      </c>
      <c r="AF2668" s="56"/>
      <c r="AP2668" s="11"/>
      <c r="AQ2668" s="11"/>
      <c r="AR2668" s="11"/>
      <c r="AW2668" s="9"/>
      <c r="BD2668" s="9"/>
      <c r="CS2668" s="11">
        <f t="shared" si="182"/>
        <v>0</v>
      </c>
      <c r="CT2668" s="22">
        <f t="shared" si="183"/>
        <v>0</v>
      </c>
      <c r="CU2668" s="22">
        <f t="shared" si="184"/>
        <v>0</v>
      </c>
      <c r="CV2668" s="26">
        <f t="shared" si="181"/>
        <v>1567</v>
      </c>
    </row>
    <row r="2669" spans="1:100" x14ac:dyDescent="0.2">
      <c r="A2669" s="9" t="s">
        <v>548</v>
      </c>
      <c r="B2669" s="2">
        <v>120</v>
      </c>
      <c r="C2669" s="3" t="s">
        <v>95</v>
      </c>
      <c r="D2669" s="3" t="s">
        <v>96</v>
      </c>
      <c r="E2669" s="2"/>
      <c r="F2669" s="2"/>
      <c r="G2669" s="2" t="s">
        <v>81</v>
      </c>
      <c r="H2669" s="2">
        <v>3</v>
      </c>
      <c r="I2669" s="8">
        <v>160.5</v>
      </c>
      <c r="J2669" s="8">
        <v>51999</v>
      </c>
      <c r="K2669" s="3">
        <v>0</v>
      </c>
      <c r="L2669" s="3" t="s">
        <v>3</v>
      </c>
      <c r="M2669" s="9" t="s">
        <v>0</v>
      </c>
      <c r="N2669" s="9" t="s">
        <v>51</v>
      </c>
      <c r="O2669" s="9" t="s">
        <v>594</v>
      </c>
      <c r="S2669" s="9" t="s">
        <v>158</v>
      </c>
      <c r="T2669" s="10" t="s">
        <v>81</v>
      </c>
      <c r="U2669" s="10">
        <v>3</v>
      </c>
      <c r="V2669" s="78">
        <v>160.5</v>
      </c>
      <c r="W2669" s="78" t="s">
        <v>710</v>
      </c>
      <c r="X2669" s="17">
        <v>45500</v>
      </c>
      <c r="Y2669" s="17">
        <v>45514</v>
      </c>
      <c r="Z2669" s="19" t="s">
        <v>772</v>
      </c>
      <c r="AA2669" s="210">
        <v>52000</v>
      </c>
      <c r="AB2669" s="9">
        <v>30</v>
      </c>
      <c r="AC2669" s="9">
        <v>25</v>
      </c>
      <c r="AD2669" s="17">
        <v>46305</v>
      </c>
      <c r="AE2669" s="56">
        <v>1567</v>
      </c>
      <c r="AF2669" s="56"/>
      <c r="AP2669" s="11"/>
      <c r="AQ2669" s="11"/>
      <c r="AR2669" s="11"/>
      <c r="AW2669" s="9"/>
      <c r="BD2669" s="9"/>
      <c r="CS2669" s="11">
        <f t="shared" si="182"/>
        <v>0</v>
      </c>
      <c r="CT2669" s="22">
        <f t="shared" si="183"/>
        <v>0</v>
      </c>
      <c r="CU2669" s="22">
        <f t="shared" si="184"/>
        <v>0</v>
      </c>
      <c r="CV2669" s="26">
        <f t="shared" si="181"/>
        <v>1567</v>
      </c>
    </row>
    <row r="2670" spans="1:100" x14ac:dyDescent="0.2">
      <c r="A2670" s="9" t="s">
        <v>548</v>
      </c>
      <c r="B2670" s="2">
        <v>120</v>
      </c>
      <c r="C2670" s="3" t="s">
        <v>95</v>
      </c>
      <c r="D2670" s="3" t="s">
        <v>96</v>
      </c>
      <c r="E2670" s="2"/>
      <c r="F2670" s="2"/>
      <c r="G2670" s="2" t="s">
        <v>81</v>
      </c>
      <c r="H2670" s="2">
        <v>3</v>
      </c>
      <c r="I2670" s="8">
        <v>160.5</v>
      </c>
      <c r="J2670" s="8">
        <v>51999</v>
      </c>
      <c r="K2670" s="3">
        <v>0</v>
      </c>
      <c r="L2670" s="3" t="s">
        <v>3</v>
      </c>
      <c r="M2670" s="9" t="s">
        <v>0</v>
      </c>
      <c r="N2670" s="9" t="s">
        <v>51</v>
      </c>
      <c r="O2670" s="9" t="s">
        <v>594</v>
      </c>
      <c r="S2670" s="9" t="s">
        <v>158</v>
      </c>
      <c r="T2670" s="10" t="s">
        <v>81</v>
      </c>
      <c r="U2670" s="10">
        <v>3</v>
      </c>
      <c r="V2670" s="78">
        <v>160.5</v>
      </c>
      <c r="W2670" s="78" t="s">
        <v>710</v>
      </c>
      <c r="X2670" s="17">
        <v>45500</v>
      </c>
      <c r="Y2670" s="17">
        <v>45514</v>
      </c>
      <c r="Z2670" s="19" t="s">
        <v>772</v>
      </c>
      <c r="AA2670" s="210">
        <v>52000</v>
      </c>
      <c r="AB2670" s="9">
        <v>30</v>
      </c>
      <c r="AC2670" s="9">
        <v>26</v>
      </c>
      <c r="AD2670" s="17">
        <v>46336</v>
      </c>
      <c r="AE2670" s="56">
        <v>1567</v>
      </c>
      <c r="AF2670" s="56"/>
      <c r="AP2670" s="11"/>
      <c r="AQ2670" s="11"/>
      <c r="AR2670" s="11"/>
      <c r="AW2670" s="9"/>
      <c r="BD2670" s="9"/>
      <c r="CS2670" s="11">
        <f t="shared" si="182"/>
        <v>0</v>
      </c>
      <c r="CT2670" s="22">
        <f t="shared" si="183"/>
        <v>0</v>
      </c>
      <c r="CU2670" s="22">
        <f t="shared" si="184"/>
        <v>0</v>
      </c>
      <c r="CV2670" s="26">
        <f t="shared" si="181"/>
        <v>1567</v>
      </c>
    </row>
    <row r="2671" spans="1:100" x14ac:dyDescent="0.2">
      <c r="A2671" s="9" t="s">
        <v>548</v>
      </c>
      <c r="B2671" s="2">
        <v>120</v>
      </c>
      <c r="C2671" s="3" t="s">
        <v>95</v>
      </c>
      <c r="D2671" s="3" t="s">
        <v>96</v>
      </c>
      <c r="E2671" s="2"/>
      <c r="F2671" s="2"/>
      <c r="G2671" s="2" t="s">
        <v>81</v>
      </c>
      <c r="H2671" s="2">
        <v>3</v>
      </c>
      <c r="I2671" s="8">
        <v>160.5</v>
      </c>
      <c r="J2671" s="8">
        <v>51999</v>
      </c>
      <c r="K2671" s="3">
        <v>0</v>
      </c>
      <c r="L2671" s="3" t="s">
        <v>3</v>
      </c>
      <c r="M2671" s="9" t="s">
        <v>0</v>
      </c>
      <c r="N2671" s="9" t="s">
        <v>51</v>
      </c>
      <c r="O2671" s="9" t="s">
        <v>594</v>
      </c>
      <c r="S2671" s="9" t="s">
        <v>158</v>
      </c>
      <c r="T2671" s="10" t="s">
        <v>81</v>
      </c>
      <c r="U2671" s="10">
        <v>3</v>
      </c>
      <c r="V2671" s="78">
        <v>160.5</v>
      </c>
      <c r="W2671" s="78" t="s">
        <v>710</v>
      </c>
      <c r="X2671" s="17">
        <v>45500</v>
      </c>
      <c r="Y2671" s="17">
        <v>45514</v>
      </c>
      <c r="Z2671" s="19" t="s">
        <v>772</v>
      </c>
      <c r="AA2671" s="210">
        <v>52000</v>
      </c>
      <c r="AB2671" s="9">
        <v>30</v>
      </c>
      <c r="AC2671" s="9">
        <v>27</v>
      </c>
      <c r="AD2671" s="17">
        <v>46366</v>
      </c>
      <c r="AE2671" s="56">
        <v>1567</v>
      </c>
      <c r="AF2671" s="56"/>
      <c r="AP2671" s="11"/>
      <c r="AQ2671" s="11"/>
      <c r="AR2671" s="11"/>
      <c r="AW2671" s="9"/>
      <c r="BD2671" s="9"/>
      <c r="CS2671" s="11">
        <f t="shared" si="182"/>
        <v>0</v>
      </c>
      <c r="CT2671" s="22">
        <f t="shared" si="183"/>
        <v>0</v>
      </c>
      <c r="CU2671" s="22">
        <f t="shared" si="184"/>
        <v>0</v>
      </c>
      <c r="CV2671" s="26">
        <f t="shared" si="181"/>
        <v>1567</v>
      </c>
    </row>
    <row r="2672" spans="1:100" x14ac:dyDescent="0.2">
      <c r="A2672" s="9" t="s">
        <v>548</v>
      </c>
      <c r="B2672" s="2">
        <v>120</v>
      </c>
      <c r="C2672" s="3" t="s">
        <v>95</v>
      </c>
      <c r="D2672" s="3" t="s">
        <v>96</v>
      </c>
      <c r="E2672" s="2"/>
      <c r="F2672" s="2"/>
      <c r="G2672" s="2" t="s">
        <v>81</v>
      </c>
      <c r="H2672" s="2">
        <v>3</v>
      </c>
      <c r="I2672" s="8">
        <v>160.5</v>
      </c>
      <c r="J2672" s="8">
        <v>51999</v>
      </c>
      <c r="K2672" s="3">
        <v>0</v>
      </c>
      <c r="L2672" s="3" t="s">
        <v>3</v>
      </c>
      <c r="M2672" s="9" t="s">
        <v>0</v>
      </c>
      <c r="N2672" s="9" t="s">
        <v>51</v>
      </c>
      <c r="O2672" s="9" t="s">
        <v>594</v>
      </c>
      <c r="S2672" s="9" t="s">
        <v>158</v>
      </c>
      <c r="T2672" s="10" t="s">
        <v>81</v>
      </c>
      <c r="U2672" s="10">
        <v>3</v>
      </c>
      <c r="V2672" s="78">
        <v>160.5</v>
      </c>
      <c r="W2672" s="78" t="s">
        <v>710</v>
      </c>
      <c r="X2672" s="17">
        <v>45500</v>
      </c>
      <c r="Y2672" s="17">
        <v>45514</v>
      </c>
      <c r="Z2672" s="19" t="s">
        <v>772</v>
      </c>
      <c r="AA2672" s="210">
        <v>52000</v>
      </c>
      <c r="AB2672" s="9">
        <v>30</v>
      </c>
      <c r="AC2672" s="9">
        <v>28</v>
      </c>
      <c r="AD2672" s="17">
        <v>46397</v>
      </c>
      <c r="AE2672" s="56">
        <v>1567</v>
      </c>
      <c r="AF2672" s="56"/>
      <c r="AP2672" s="11"/>
      <c r="AQ2672" s="11"/>
      <c r="AR2672" s="11"/>
      <c r="AW2672" s="9"/>
      <c r="BD2672" s="9"/>
      <c r="CS2672" s="11">
        <f t="shared" si="182"/>
        <v>0</v>
      </c>
      <c r="CT2672" s="22">
        <f t="shared" si="183"/>
        <v>0</v>
      </c>
      <c r="CU2672" s="22">
        <f t="shared" si="184"/>
        <v>0</v>
      </c>
      <c r="CV2672" s="26">
        <f t="shared" si="181"/>
        <v>1567</v>
      </c>
    </row>
    <row r="2673" spans="1:103" x14ac:dyDescent="0.2">
      <c r="A2673" s="9" t="s">
        <v>548</v>
      </c>
      <c r="B2673" s="2">
        <v>120</v>
      </c>
      <c r="C2673" s="3" t="s">
        <v>95</v>
      </c>
      <c r="D2673" s="3" t="s">
        <v>96</v>
      </c>
      <c r="E2673" s="2"/>
      <c r="F2673" s="2"/>
      <c r="G2673" s="2" t="s">
        <v>81</v>
      </c>
      <c r="H2673" s="2">
        <v>3</v>
      </c>
      <c r="I2673" s="8">
        <v>160.5</v>
      </c>
      <c r="J2673" s="8">
        <v>51999</v>
      </c>
      <c r="K2673" s="3">
        <v>0</v>
      </c>
      <c r="L2673" s="3" t="s">
        <v>3</v>
      </c>
      <c r="M2673" s="9" t="s">
        <v>0</v>
      </c>
      <c r="N2673" s="9" t="s">
        <v>51</v>
      </c>
      <c r="O2673" s="9" t="s">
        <v>594</v>
      </c>
      <c r="S2673" s="9" t="s">
        <v>158</v>
      </c>
      <c r="T2673" s="10" t="s">
        <v>81</v>
      </c>
      <c r="U2673" s="10">
        <v>3</v>
      </c>
      <c r="V2673" s="78">
        <v>160.5</v>
      </c>
      <c r="W2673" s="78" t="s">
        <v>710</v>
      </c>
      <c r="X2673" s="17">
        <v>45500</v>
      </c>
      <c r="Y2673" s="17">
        <v>45514</v>
      </c>
      <c r="Z2673" s="19" t="s">
        <v>772</v>
      </c>
      <c r="AA2673" s="210">
        <v>52000</v>
      </c>
      <c r="AB2673" s="9">
        <v>30</v>
      </c>
      <c r="AC2673" s="9">
        <v>29</v>
      </c>
      <c r="AD2673" s="17">
        <v>46428</v>
      </c>
      <c r="AE2673" s="56">
        <v>1567</v>
      </c>
      <c r="AF2673" s="56"/>
      <c r="AP2673" s="11"/>
      <c r="AQ2673" s="11"/>
      <c r="AR2673" s="11"/>
      <c r="AW2673" s="9"/>
      <c r="BD2673" s="9"/>
      <c r="CS2673" s="11">
        <f t="shared" si="182"/>
        <v>0</v>
      </c>
      <c r="CT2673" s="22">
        <f t="shared" si="183"/>
        <v>0</v>
      </c>
      <c r="CU2673" s="22">
        <f t="shared" si="184"/>
        <v>0</v>
      </c>
      <c r="CV2673" s="26">
        <f t="shared" si="181"/>
        <v>1567</v>
      </c>
    </row>
    <row r="2674" spans="1:103" x14ac:dyDescent="0.2">
      <c r="A2674" s="9" t="s">
        <v>548</v>
      </c>
      <c r="B2674" s="2">
        <v>120</v>
      </c>
      <c r="C2674" s="3" t="s">
        <v>95</v>
      </c>
      <c r="D2674" s="3" t="s">
        <v>96</v>
      </c>
      <c r="E2674" s="2"/>
      <c r="F2674" s="2"/>
      <c r="G2674" s="2" t="s">
        <v>81</v>
      </c>
      <c r="H2674" s="2">
        <v>3</v>
      </c>
      <c r="I2674" s="8">
        <v>160.5</v>
      </c>
      <c r="J2674" s="8">
        <v>51999</v>
      </c>
      <c r="K2674" s="3">
        <v>0</v>
      </c>
      <c r="L2674" s="3" t="s">
        <v>3</v>
      </c>
      <c r="M2674" s="9" t="s">
        <v>0</v>
      </c>
      <c r="N2674" s="9" t="s">
        <v>51</v>
      </c>
      <c r="O2674" s="9" t="s">
        <v>594</v>
      </c>
      <c r="S2674" s="9" t="s">
        <v>158</v>
      </c>
      <c r="T2674" s="10" t="s">
        <v>81</v>
      </c>
      <c r="U2674" s="10">
        <v>3</v>
      </c>
      <c r="V2674" s="78">
        <v>160.5</v>
      </c>
      <c r="W2674" s="78" t="s">
        <v>710</v>
      </c>
      <c r="X2674" s="17">
        <v>45500</v>
      </c>
      <c r="Y2674" s="17">
        <v>45514</v>
      </c>
      <c r="Z2674" s="19" t="s">
        <v>772</v>
      </c>
      <c r="AA2674" s="210">
        <v>52000</v>
      </c>
      <c r="AB2674" s="9">
        <v>30</v>
      </c>
      <c r="AC2674" s="9">
        <v>30</v>
      </c>
      <c r="AD2674" s="17">
        <v>46456</v>
      </c>
      <c r="AE2674" s="56">
        <v>1557</v>
      </c>
      <c r="AF2674" s="56"/>
      <c r="AP2674" s="11"/>
      <c r="AQ2674" s="11"/>
      <c r="AR2674" s="11"/>
      <c r="AW2674" s="9"/>
      <c r="BD2674" s="9"/>
      <c r="CS2674" s="11">
        <f t="shared" si="182"/>
        <v>0</v>
      </c>
      <c r="CT2674" s="22">
        <f t="shared" si="183"/>
        <v>0</v>
      </c>
      <c r="CU2674" s="22">
        <f t="shared" si="184"/>
        <v>0</v>
      </c>
      <c r="CV2674" s="26">
        <f t="shared" si="181"/>
        <v>1557</v>
      </c>
    </row>
    <row r="2675" spans="1:103" x14ac:dyDescent="0.2">
      <c r="A2675" s="9" t="s">
        <v>540</v>
      </c>
      <c r="B2675" s="2">
        <v>75</v>
      </c>
      <c r="C2675" s="3" t="s">
        <v>95</v>
      </c>
      <c r="D2675" s="3" t="s">
        <v>96</v>
      </c>
      <c r="E2675" s="2"/>
      <c r="F2675" s="2"/>
      <c r="G2675" s="2" t="s">
        <v>73</v>
      </c>
      <c r="H2675" s="2">
        <v>9</v>
      </c>
      <c r="I2675" s="8">
        <v>145.72</v>
      </c>
      <c r="J2675" s="8">
        <v>46499</v>
      </c>
      <c r="K2675" s="3">
        <v>0</v>
      </c>
      <c r="L2675" s="3" t="s">
        <v>3</v>
      </c>
      <c r="M2675" s="9" t="s">
        <v>0</v>
      </c>
      <c r="N2675" s="9" t="s">
        <v>52</v>
      </c>
      <c r="O2675" s="9" t="s">
        <v>597</v>
      </c>
      <c r="S2675" s="9" t="s">
        <v>158</v>
      </c>
      <c r="T2675" s="10" t="s">
        <v>73</v>
      </c>
      <c r="U2675" s="10">
        <v>9</v>
      </c>
      <c r="V2675" s="10">
        <v>145.72</v>
      </c>
      <c r="W2675" s="10" t="s">
        <v>710</v>
      </c>
      <c r="X2675" s="17">
        <v>45513</v>
      </c>
      <c r="Y2675" s="17">
        <v>45513</v>
      </c>
      <c r="Z2675" s="19" t="s">
        <v>772</v>
      </c>
      <c r="AA2675" s="210">
        <v>42000</v>
      </c>
      <c r="AB2675" s="9">
        <v>35</v>
      </c>
      <c r="AC2675" s="9">
        <v>0</v>
      </c>
      <c r="AD2675" s="17">
        <v>45513</v>
      </c>
      <c r="AE2675" s="56">
        <v>5000</v>
      </c>
      <c r="AF2675" s="56"/>
      <c r="AG2675" s="9" t="s">
        <v>134</v>
      </c>
      <c r="AH2675" s="17">
        <v>45513</v>
      </c>
      <c r="AI2675" s="17"/>
      <c r="AJ2675" s="17"/>
      <c r="AK2675" s="9" t="s">
        <v>598</v>
      </c>
      <c r="AL2675" s="11">
        <v>5000</v>
      </c>
      <c r="AN2675" s="11" t="s">
        <v>1055</v>
      </c>
      <c r="AP2675" s="11"/>
      <c r="AQ2675" s="11"/>
      <c r="AR2675" s="11"/>
      <c r="AW2675" s="118">
        <v>45516</v>
      </c>
      <c r="AX2675" s="105">
        <v>39627</v>
      </c>
      <c r="AY2675" s="40">
        <v>18650</v>
      </c>
      <c r="AZ2675" s="40">
        <v>3.73</v>
      </c>
      <c r="BA2675" s="40">
        <f>+AY2675/AZ2675</f>
        <v>5000</v>
      </c>
      <c r="BD2675" s="9"/>
      <c r="CS2675" s="11">
        <f t="shared" si="182"/>
        <v>5000</v>
      </c>
      <c r="CT2675" s="22">
        <f t="shared" si="183"/>
        <v>5000</v>
      </c>
      <c r="CU2675" s="22">
        <f t="shared" si="184"/>
        <v>0</v>
      </c>
      <c r="CV2675" s="26">
        <f t="shared" si="181"/>
        <v>0</v>
      </c>
      <c r="CX2675" s="27"/>
      <c r="CY2675" s="27"/>
    </row>
    <row r="2676" spans="1:103" x14ac:dyDescent="0.2">
      <c r="A2676" s="9" t="s">
        <v>540</v>
      </c>
      <c r="B2676" s="2">
        <v>75</v>
      </c>
      <c r="C2676" s="3" t="s">
        <v>95</v>
      </c>
      <c r="D2676" s="3" t="s">
        <v>96</v>
      </c>
      <c r="E2676" s="2"/>
      <c r="F2676" s="2"/>
      <c r="G2676" s="2" t="s">
        <v>73</v>
      </c>
      <c r="H2676" s="2">
        <v>9</v>
      </c>
      <c r="I2676" s="8">
        <v>145.72</v>
      </c>
      <c r="J2676" s="8">
        <v>46499</v>
      </c>
      <c r="K2676" s="3">
        <v>0</v>
      </c>
      <c r="L2676" s="3" t="s">
        <v>3</v>
      </c>
      <c r="M2676" s="9" t="s">
        <v>0</v>
      </c>
      <c r="N2676" s="9" t="s">
        <v>52</v>
      </c>
      <c r="O2676" s="9" t="s">
        <v>597</v>
      </c>
      <c r="S2676" s="9" t="s">
        <v>158</v>
      </c>
      <c r="T2676" s="10" t="s">
        <v>73</v>
      </c>
      <c r="U2676" s="10">
        <v>9</v>
      </c>
      <c r="V2676" s="10">
        <v>145.72</v>
      </c>
      <c r="W2676" s="10" t="s">
        <v>710</v>
      </c>
      <c r="X2676" s="17">
        <v>45513</v>
      </c>
      <c r="Y2676" s="17">
        <v>45513</v>
      </c>
      <c r="Z2676" s="19" t="s">
        <v>772</v>
      </c>
      <c r="AA2676" s="210">
        <v>42000</v>
      </c>
      <c r="AB2676" s="9">
        <v>35</v>
      </c>
      <c r="AC2676" s="9">
        <v>1</v>
      </c>
      <c r="AD2676" s="17">
        <v>45562</v>
      </c>
      <c r="AE2676" s="56">
        <v>5000</v>
      </c>
      <c r="AF2676" s="56"/>
      <c r="AG2676" s="9" t="s">
        <v>134</v>
      </c>
      <c r="AH2676" s="17">
        <v>45562</v>
      </c>
      <c r="AI2676" s="17"/>
      <c r="AJ2676" s="17"/>
      <c r="AK2676" s="9" t="s">
        <v>1052</v>
      </c>
      <c r="AL2676" s="11">
        <v>5000</v>
      </c>
      <c r="AN2676" s="11" t="s">
        <v>1056</v>
      </c>
      <c r="AP2676" s="11"/>
      <c r="AQ2676" s="11"/>
      <c r="AR2676" s="11"/>
      <c r="AW2676" s="118">
        <v>45562</v>
      </c>
      <c r="AX2676" s="105">
        <v>3206</v>
      </c>
      <c r="AY2676" s="40"/>
      <c r="AZ2676" s="40"/>
      <c r="BA2676" s="40">
        <v>5000</v>
      </c>
      <c r="BD2676" s="9"/>
      <c r="CS2676" s="11">
        <f t="shared" si="182"/>
        <v>5000</v>
      </c>
      <c r="CT2676" s="22">
        <f t="shared" si="183"/>
        <v>5000</v>
      </c>
      <c r="CU2676" s="22">
        <f t="shared" si="184"/>
        <v>0</v>
      </c>
      <c r="CV2676" s="26">
        <f t="shared" si="181"/>
        <v>0</v>
      </c>
      <c r="CX2676" s="27"/>
      <c r="CY2676" s="27"/>
    </row>
    <row r="2677" spans="1:103" x14ac:dyDescent="0.2">
      <c r="A2677" s="9" t="s">
        <v>540</v>
      </c>
      <c r="B2677" s="2">
        <v>75</v>
      </c>
      <c r="C2677" s="3" t="s">
        <v>95</v>
      </c>
      <c r="D2677" s="3" t="s">
        <v>96</v>
      </c>
      <c r="E2677" s="2"/>
      <c r="F2677" s="2"/>
      <c r="G2677" s="2" t="s">
        <v>73</v>
      </c>
      <c r="H2677" s="2">
        <v>9</v>
      </c>
      <c r="I2677" s="8">
        <v>145.72</v>
      </c>
      <c r="J2677" s="8">
        <v>46499</v>
      </c>
      <c r="K2677" s="3">
        <v>0</v>
      </c>
      <c r="L2677" s="3" t="s">
        <v>3</v>
      </c>
      <c r="M2677" s="9" t="s">
        <v>0</v>
      </c>
      <c r="N2677" s="9" t="s">
        <v>52</v>
      </c>
      <c r="O2677" s="9" t="s">
        <v>597</v>
      </c>
      <c r="S2677" s="9" t="s">
        <v>158</v>
      </c>
      <c r="T2677" s="10" t="s">
        <v>73</v>
      </c>
      <c r="U2677" s="10">
        <v>9</v>
      </c>
      <c r="V2677" s="10">
        <v>145.72</v>
      </c>
      <c r="W2677" s="10" t="s">
        <v>710</v>
      </c>
      <c r="X2677" s="17">
        <v>45513</v>
      </c>
      <c r="Y2677" s="17">
        <v>45513</v>
      </c>
      <c r="Z2677" s="19" t="s">
        <v>772</v>
      </c>
      <c r="AA2677" s="210">
        <v>42000</v>
      </c>
      <c r="AB2677" s="9">
        <v>35</v>
      </c>
      <c r="AC2677" s="9">
        <v>2</v>
      </c>
      <c r="AD2677" s="17">
        <v>45623</v>
      </c>
      <c r="AE2677" s="56">
        <v>5000</v>
      </c>
      <c r="AF2677" s="56"/>
      <c r="AG2677" s="9" t="s">
        <v>134</v>
      </c>
      <c r="AH2677" s="17">
        <v>45602</v>
      </c>
      <c r="AI2677" s="17"/>
      <c r="AJ2677" s="17"/>
      <c r="AK2677" s="9" t="s">
        <v>1053</v>
      </c>
      <c r="AL2677" s="11">
        <v>5000</v>
      </c>
      <c r="AN2677" s="11" t="s">
        <v>1057</v>
      </c>
      <c r="AP2677" s="11"/>
      <c r="AQ2677" s="11"/>
      <c r="AR2677" s="11"/>
      <c r="AW2677" s="118">
        <v>45602</v>
      </c>
      <c r="AX2677" s="105">
        <v>3378</v>
      </c>
      <c r="AY2677" s="40"/>
      <c r="AZ2677" s="40"/>
      <c r="BA2677" s="40">
        <v>5000</v>
      </c>
      <c r="BD2677" s="9"/>
      <c r="CS2677" s="11">
        <f t="shared" si="182"/>
        <v>5000</v>
      </c>
      <c r="CT2677" s="22">
        <f t="shared" si="183"/>
        <v>5000</v>
      </c>
      <c r="CU2677" s="22">
        <f t="shared" si="184"/>
        <v>0</v>
      </c>
      <c r="CV2677" s="26">
        <f t="shared" si="181"/>
        <v>0</v>
      </c>
      <c r="CX2677" s="27"/>
      <c r="CY2677" s="27"/>
    </row>
    <row r="2678" spans="1:103" x14ac:dyDescent="0.2">
      <c r="A2678" s="9" t="s">
        <v>540</v>
      </c>
      <c r="B2678" s="2">
        <v>75</v>
      </c>
      <c r="C2678" s="3" t="s">
        <v>95</v>
      </c>
      <c r="D2678" s="3" t="s">
        <v>96</v>
      </c>
      <c r="E2678" s="2"/>
      <c r="F2678" s="2"/>
      <c r="G2678" s="2" t="s">
        <v>73</v>
      </c>
      <c r="H2678" s="2">
        <v>9</v>
      </c>
      <c r="I2678" s="8">
        <v>145.72</v>
      </c>
      <c r="J2678" s="8">
        <v>46499</v>
      </c>
      <c r="K2678" s="3">
        <v>0</v>
      </c>
      <c r="L2678" s="3" t="s">
        <v>3</v>
      </c>
      <c r="M2678" s="9" t="s">
        <v>0</v>
      </c>
      <c r="N2678" s="9" t="s">
        <v>52</v>
      </c>
      <c r="O2678" s="9" t="s">
        <v>597</v>
      </c>
      <c r="S2678" s="9" t="s">
        <v>158</v>
      </c>
      <c r="T2678" s="10" t="s">
        <v>73</v>
      </c>
      <c r="U2678" s="10">
        <v>9</v>
      </c>
      <c r="V2678" s="10">
        <v>145.72</v>
      </c>
      <c r="W2678" s="10" t="s">
        <v>710</v>
      </c>
      <c r="X2678" s="17">
        <v>45513</v>
      </c>
      <c r="Y2678" s="17">
        <v>45513</v>
      </c>
      <c r="Z2678" s="19" t="s">
        <v>772</v>
      </c>
      <c r="AA2678" s="210">
        <v>42000</v>
      </c>
      <c r="AB2678" s="9">
        <v>35</v>
      </c>
      <c r="AC2678" s="9">
        <v>3</v>
      </c>
      <c r="AD2678" s="17">
        <v>45653</v>
      </c>
      <c r="AE2678" s="56">
        <v>5000</v>
      </c>
      <c r="AF2678" s="56"/>
      <c r="AG2678" s="9" t="s">
        <v>134</v>
      </c>
      <c r="AH2678" s="17">
        <v>45631</v>
      </c>
      <c r="AI2678" s="17"/>
      <c r="AJ2678" s="17"/>
      <c r="AK2678" s="9" t="s">
        <v>1054</v>
      </c>
      <c r="AL2678" s="11">
        <v>5000</v>
      </c>
      <c r="AN2678" s="11" t="s">
        <v>1058</v>
      </c>
      <c r="AP2678" s="11"/>
      <c r="AQ2678" s="11"/>
      <c r="AR2678" s="11"/>
      <c r="AW2678" s="118">
        <v>45630</v>
      </c>
      <c r="AX2678" s="105">
        <v>3478</v>
      </c>
      <c r="AY2678" s="40"/>
      <c r="AZ2678" s="40"/>
      <c r="BA2678" s="40">
        <v>5000</v>
      </c>
      <c r="BD2678" s="9"/>
      <c r="CS2678" s="11">
        <f t="shared" si="182"/>
        <v>5000</v>
      </c>
      <c r="CT2678" s="22">
        <f t="shared" si="183"/>
        <v>5000</v>
      </c>
      <c r="CU2678" s="22">
        <f t="shared" si="184"/>
        <v>0</v>
      </c>
      <c r="CV2678" s="26">
        <f t="shared" si="181"/>
        <v>0</v>
      </c>
      <c r="CX2678" s="27"/>
      <c r="CY2678" s="27"/>
    </row>
    <row r="2679" spans="1:103" s="27" customFormat="1" ht="12.75" x14ac:dyDescent="0.2">
      <c r="A2679" s="27" t="s">
        <v>540</v>
      </c>
      <c r="B2679" s="67">
        <v>75</v>
      </c>
      <c r="C2679" s="68" t="s">
        <v>95</v>
      </c>
      <c r="D2679" s="68" t="s">
        <v>96</v>
      </c>
      <c r="E2679" s="67"/>
      <c r="F2679" s="67"/>
      <c r="G2679" s="67" t="s">
        <v>73</v>
      </c>
      <c r="H2679" s="67">
        <v>9</v>
      </c>
      <c r="I2679" s="217">
        <v>145.72</v>
      </c>
      <c r="J2679" s="217">
        <v>46499</v>
      </c>
      <c r="K2679" s="68">
        <v>0</v>
      </c>
      <c r="L2679" s="68" t="s">
        <v>3</v>
      </c>
      <c r="M2679" s="27" t="s">
        <v>0</v>
      </c>
      <c r="N2679" s="27" t="s">
        <v>52</v>
      </c>
      <c r="O2679" s="27" t="s">
        <v>597</v>
      </c>
      <c r="Q2679" s="218"/>
      <c r="S2679" s="27" t="s">
        <v>158</v>
      </c>
      <c r="T2679" s="69" t="s">
        <v>73</v>
      </c>
      <c r="U2679" s="69">
        <v>9</v>
      </c>
      <c r="V2679" s="69">
        <v>145.72</v>
      </c>
      <c r="W2679" s="69" t="s">
        <v>710</v>
      </c>
      <c r="X2679" s="70">
        <v>45513</v>
      </c>
      <c r="Y2679" s="70">
        <v>45513</v>
      </c>
      <c r="Z2679" s="219" t="s">
        <v>772</v>
      </c>
      <c r="AA2679" s="214">
        <v>42000</v>
      </c>
      <c r="AB2679" s="27">
        <v>35</v>
      </c>
      <c r="AC2679" s="226" t="s">
        <v>1062</v>
      </c>
      <c r="AD2679" s="70">
        <v>45659</v>
      </c>
      <c r="AE2679" s="220">
        <f>1100*17+300</f>
        <v>19000</v>
      </c>
      <c r="AF2679" s="220"/>
      <c r="AG2679" s="27" t="s">
        <v>134</v>
      </c>
      <c r="AH2679" s="70">
        <v>45716</v>
      </c>
      <c r="AI2679" s="70"/>
      <c r="AJ2679" s="70"/>
      <c r="AK2679" s="27" t="s">
        <v>1059</v>
      </c>
      <c r="AL2679" s="28">
        <v>22000</v>
      </c>
      <c r="AM2679" s="28"/>
      <c r="AN2679" s="28" t="s">
        <v>1061</v>
      </c>
      <c r="AO2679" s="28" t="s">
        <v>899</v>
      </c>
      <c r="AP2679" s="223">
        <v>45716</v>
      </c>
      <c r="AQ2679" s="28"/>
      <c r="AR2679" s="28"/>
      <c r="AS2679" s="28" t="s">
        <v>1060</v>
      </c>
      <c r="AT2679" s="28">
        <v>-3000</v>
      </c>
      <c r="AU2679" s="28"/>
      <c r="AV2679" s="28"/>
      <c r="AW2679" s="144">
        <v>45714</v>
      </c>
      <c r="AX2679" s="146">
        <v>3793</v>
      </c>
      <c r="BA2679" s="227">
        <v>7500</v>
      </c>
      <c r="BB2679" s="28"/>
      <c r="BC2679" s="144">
        <v>45715</v>
      </c>
      <c r="BD2679" s="146">
        <v>3804</v>
      </c>
      <c r="BG2679" s="227">
        <v>6500</v>
      </c>
      <c r="BH2679" s="227"/>
      <c r="BI2679" s="144">
        <v>45716</v>
      </c>
      <c r="BJ2679" s="146">
        <v>3819</v>
      </c>
      <c r="BM2679" s="227">
        <v>5000</v>
      </c>
      <c r="BN2679" s="227"/>
      <c r="CS2679" s="28">
        <f t="shared" si="182"/>
        <v>19000</v>
      </c>
      <c r="CT2679" s="28">
        <f t="shared" si="183"/>
        <v>19000</v>
      </c>
      <c r="CU2679" s="28">
        <f t="shared" si="184"/>
        <v>0</v>
      </c>
      <c r="CV2679" s="222">
        <f t="shared" si="181"/>
        <v>0</v>
      </c>
    </row>
    <row r="2680" spans="1:103" x14ac:dyDescent="0.2">
      <c r="A2680" s="9" t="s">
        <v>540</v>
      </c>
      <c r="B2680" s="2">
        <v>75</v>
      </c>
      <c r="C2680" s="3" t="s">
        <v>95</v>
      </c>
      <c r="D2680" s="3" t="s">
        <v>96</v>
      </c>
      <c r="E2680" s="2"/>
      <c r="F2680" s="2"/>
      <c r="G2680" s="2" t="s">
        <v>73</v>
      </c>
      <c r="H2680" s="2">
        <v>9</v>
      </c>
      <c r="I2680" s="8">
        <v>145.72</v>
      </c>
      <c r="J2680" s="8">
        <v>46499</v>
      </c>
      <c r="K2680" s="3">
        <v>0</v>
      </c>
      <c r="L2680" s="3" t="s">
        <v>3</v>
      </c>
      <c r="M2680" s="9" t="s">
        <v>0</v>
      </c>
      <c r="N2680" s="9" t="s">
        <v>52</v>
      </c>
      <c r="O2680" s="9" t="s">
        <v>597</v>
      </c>
      <c r="S2680" s="9" t="s">
        <v>158</v>
      </c>
      <c r="T2680" s="10" t="s">
        <v>73</v>
      </c>
      <c r="U2680" s="10">
        <v>9</v>
      </c>
      <c r="V2680" s="10">
        <v>145.72</v>
      </c>
      <c r="W2680" s="10" t="s">
        <v>710</v>
      </c>
      <c r="X2680" s="17">
        <v>45513</v>
      </c>
      <c r="Y2680" s="17">
        <v>45513</v>
      </c>
      <c r="Z2680" s="19" t="s">
        <v>772</v>
      </c>
      <c r="AA2680" s="210">
        <v>42000</v>
      </c>
      <c r="AB2680" s="9">
        <v>35</v>
      </c>
      <c r="AC2680" s="9">
        <v>18</v>
      </c>
      <c r="AD2680" s="17">
        <v>45659</v>
      </c>
      <c r="AE2680" s="54">
        <f>1100-300</f>
        <v>800</v>
      </c>
      <c r="AF2680" s="56"/>
      <c r="AP2680" s="11"/>
      <c r="AQ2680" s="11"/>
      <c r="AR2680" s="11"/>
      <c r="AW2680" s="9"/>
      <c r="BD2680" s="9"/>
      <c r="CS2680" s="11">
        <f t="shared" si="182"/>
        <v>0</v>
      </c>
      <c r="CT2680" s="22">
        <f t="shared" si="183"/>
        <v>0</v>
      </c>
      <c r="CU2680" s="22">
        <f t="shared" si="184"/>
        <v>0</v>
      </c>
      <c r="CV2680" s="26">
        <f t="shared" si="181"/>
        <v>800</v>
      </c>
      <c r="CX2680" s="27"/>
      <c r="CY2680" s="27"/>
    </row>
    <row r="2681" spans="1:103" x14ac:dyDescent="0.2">
      <c r="A2681" s="9" t="s">
        <v>540</v>
      </c>
      <c r="B2681" s="2">
        <v>75</v>
      </c>
      <c r="C2681" s="3" t="s">
        <v>95</v>
      </c>
      <c r="D2681" s="3" t="s">
        <v>96</v>
      </c>
      <c r="E2681" s="2"/>
      <c r="F2681" s="2"/>
      <c r="G2681" s="2" t="s">
        <v>73</v>
      </c>
      <c r="H2681" s="2">
        <v>9</v>
      </c>
      <c r="I2681" s="8">
        <v>145.72</v>
      </c>
      <c r="J2681" s="8">
        <v>46499</v>
      </c>
      <c r="K2681" s="3">
        <v>0</v>
      </c>
      <c r="L2681" s="3" t="s">
        <v>3</v>
      </c>
      <c r="M2681" s="9" t="s">
        <v>0</v>
      </c>
      <c r="N2681" s="9" t="s">
        <v>52</v>
      </c>
      <c r="O2681" s="9" t="s">
        <v>597</v>
      </c>
      <c r="S2681" s="9" t="s">
        <v>158</v>
      </c>
      <c r="T2681" s="10" t="s">
        <v>73</v>
      </c>
      <c r="U2681" s="10">
        <v>9</v>
      </c>
      <c r="V2681" s="10">
        <v>145.72</v>
      </c>
      <c r="W2681" s="10" t="s">
        <v>710</v>
      </c>
      <c r="X2681" s="17">
        <v>45513</v>
      </c>
      <c r="Y2681" s="17">
        <v>45513</v>
      </c>
      <c r="Z2681" s="19" t="s">
        <v>772</v>
      </c>
      <c r="AA2681" s="210">
        <v>42000</v>
      </c>
      <c r="AB2681" s="9">
        <v>35</v>
      </c>
      <c r="AC2681" s="9">
        <v>19</v>
      </c>
      <c r="AD2681" s="17">
        <v>45659</v>
      </c>
      <c r="AE2681" s="54">
        <v>1100</v>
      </c>
      <c r="AF2681" s="56"/>
      <c r="AP2681" s="11"/>
      <c r="AQ2681" s="11"/>
      <c r="AR2681" s="11"/>
      <c r="AW2681" s="9"/>
      <c r="BD2681" s="9"/>
      <c r="CS2681" s="11">
        <f t="shared" si="182"/>
        <v>0</v>
      </c>
      <c r="CT2681" s="22">
        <f t="shared" si="183"/>
        <v>0</v>
      </c>
      <c r="CU2681" s="22">
        <f t="shared" si="184"/>
        <v>0</v>
      </c>
      <c r="CV2681" s="26">
        <f t="shared" ref="CV2681:CV2744" si="185">+AE2681-AL2681-AT2681</f>
        <v>1100</v>
      </c>
      <c r="CX2681" s="27"/>
      <c r="CY2681" s="27"/>
    </row>
    <row r="2682" spans="1:103" x14ac:dyDescent="0.2">
      <c r="A2682" s="9" t="s">
        <v>540</v>
      </c>
      <c r="B2682" s="2">
        <v>75</v>
      </c>
      <c r="C2682" s="3" t="s">
        <v>95</v>
      </c>
      <c r="D2682" s="3" t="s">
        <v>96</v>
      </c>
      <c r="E2682" s="2"/>
      <c r="F2682" s="2"/>
      <c r="G2682" s="2" t="s">
        <v>73</v>
      </c>
      <c r="H2682" s="2">
        <v>9</v>
      </c>
      <c r="I2682" s="8">
        <v>145.72</v>
      </c>
      <c r="J2682" s="8">
        <v>46499</v>
      </c>
      <c r="K2682" s="3">
        <v>0</v>
      </c>
      <c r="L2682" s="3" t="s">
        <v>3</v>
      </c>
      <c r="M2682" s="9" t="s">
        <v>0</v>
      </c>
      <c r="N2682" s="9" t="s">
        <v>52</v>
      </c>
      <c r="O2682" s="9" t="s">
        <v>597</v>
      </c>
      <c r="S2682" s="9" t="s">
        <v>158</v>
      </c>
      <c r="T2682" s="10" t="s">
        <v>73</v>
      </c>
      <c r="U2682" s="10">
        <v>9</v>
      </c>
      <c r="V2682" s="10">
        <v>145.72</v>
      </c>
      <c r="W2682" s="10" t="s">
        <v>710</v>
      </c>
      <c r="X2682" s="17">
        <v>45513</v>
      </c>
      <c r="Y2682" s="17">
        <v>45513</v>
      </c>
      <c r="Z2682" s="19" t="s">
        <v>772</v>
      </c>
      <c r="AA2682" s="210">
        <v>42000</v>
      </c>
      <c r="AB2682" s="9">
        <v>35</v>
      </c>
      <c r="AC2682" s="9">
        <v>20</v>
      </c>
      <c r="AD2682" s="17">
        <v>45659</v>
      </c>
      <c r="AE2682" s="54">
        <v>1100</v>
      </c>
      <c r="AF2682" s="56"/>
      <c r="AP2682" s="11"/>
      <c r="AQ2682" s="11"/>
      <c r="AR2682" s="11"/>
      <c r="AW2682" s="9"/>
      <c r="BD2682" s="9"/>
      <c r="CS2682" s="11">
        <f t="shared" si="182"/>
        <v>0</v>
      </c>
      <c r="CT2682" s="22">
        <f t="shared" si="183"/>
        <v>0</v>
      </c>
      <c r="CU2682" s="22">
        <f t="shared" si="184"/>
        <v>0</v>
      </c>
      <c r="CV2682" s="26">
        <f t="shared" si="185"/>
        <v>1100</v>
      </c>
      <c r="CX2682" s="27"/>
      <c r="CY2682" s="27"/>
    </row>
    <row r="2683" spans="1:103" x14ac:dyDescent="0.2">
      <c r="A2683" s="9" t="s">
        <v>599</v>
      </c>
      <c r="B2683" s="2">
        <v>128</v>
      </c>
      <c r="C2683" s="3" t="s">
        <v>95</v>
      </c>
      <c r="D2683" s="3" t="s">
        <v>96</v>
      </c>
      <c r="E2683" s="2"/>
      <c r="F2683" s="2"/>
      <c r="G2683" s="2" t="s">
        <v>82</v>
      </c>
      <c r="H2683" s="2">
        <v>5</v>
      </c>
      <c r="I2683" s="8">
        <v>134.88</v>
      </c>
      <c r="J2683" s="8">
        <v>40999</v>
      </c>
      <c r="K2683" s="3">
        <v>0</v>
      </c>
      <c r="L2683" s="3" t="s">
        <v>3</v>
      </c>
      <c r="M2683" s="9" t="s">
        <v>0</v>
      </c>
      <c r="N2683" s="9" t="s">
        <v>53</v>
      </c>
      <c r="O2683" s="9" t="s">
        <v>602</v>
      </c>
      <c r="S2683" s="9" t="s">
        <v>158</v>
      </c>
      <c r="T2683" s="10" t="s">
        <v>82</v>
      </c>
      <c r="U2683" s="10">
        <v>5</v>
      </c>
      <c r="V2683" s="10">
        <v>134.88</v>
      </c>
      <c r="W2683" s="10" t="s">
        <v>710</v>
      </c>
      <c r="Y2683" s="17">
        <v>45374</v>
      </c>
      <c r="Z2683" s="19" t="s">
        <v>772</v>
      </c>
      <c r="AA2683" s="210">
        <v>18000</v>
      </c>
      <c r="AB2683" s="9">
        <v>1</v>
      </c>
      <c r="AC2683" s="9">
        <v>1</v>
      </c>
      <c r="AD2683" s="17">
        <v>45373</v>
      </c>
      <c r="AE2683" s="56">
        <v>18000</v>
      </c>
      <c r="AF2683" s="56"/>
      <c r="AG2683" s="9" t="s">
        <v>134</v>
      </c>
      <c r="AH2683" s="17">
        <v>45538</v>
      </c>
      <c r="AI2683" s="17"/>
      <c r="AJ2683" s="17"/>
      <c r="AK2683" s="9" t="s">
        <v>603</v>
      </c>
      <c r="AL2683" s="11">
        <v>18000</v>
      </c>
      <c r="AN2683" s="11" t="s">
        <v>1049</v>
      </c>
      <c r="AP2683" s="11"/>
      <c r="AQ2683" s="11"/>
      <c r="AR2683" s="11"/>
      <c r="AW2683" s="42">
        <v>45373</v>
      </c>
      <c r="AX2683" s="36">
        <v>2449</v>
      </c>
      <c r="AY2683" s="36"/>
      <c r="AZ2683" s="36"/>
      <c r="BA2683" s="36">
        <v>7800</v>
      </c>
      <c r="BB2683" s="36"/>
      <c r="BC2683" s="42">
        <v>45373</v>
      </c>
      <c r="BD2683" s="36">
        <v>2451</v>
      </c>
      <c r="BE2683" s="36"/>
      <c r="BF2683" s="36"/>
      <c r="BG2683" s="36">
        <v>8000</v>
      </c>
      <c r="BH2683" s="36"/>
      <c r="BI2683" s="42">
        <v>45374</v>
      </c>
      <c r="BJ2683" s="36">
        <v>2454</v>
      </c>
      <c r="BK2683" s="36"/>
      <c r="BL2683" s="36"/>
      <c r="BM2683" s="36">
        <v>2200</v>
      </c>
      <c r="BN2683" s="36"/>
      <c r="CS2683" s="11">
        <f t="shared" si="182"/>
        <v>18000</v>
      </c>
      <c r="CT2683" s="22">
        <f t="shared" si="183"/>
        <v>18000</v>
      </c>
      <c r="CU2683" s="22">
        <f t="shared" si="184"/>
        <v>0</v>
      </c>
      <c r="CV2683" s="26">
        <f t="shared" si="185"/>
        <v>0</v>
      </c>
    </row>
    <row r="2684" spans="1:103" x14ac:dyDescent="0.2">
      <c r="A2684" s="9" t="s">
        <v>599</v>
      </c>
      <c r="B2684" s="2">
        <v>128</v>
      </c>
      <c r="C2684" s="3" t="s">
        <v>95</v>
      </c>
      <c r="D2684" s="3" t="s">
        <v>96</v>
      </c>
      <c r="E2684" s="2"/>
      <c r="F2684" s="2"/>
      <c r="G2684" s="2" t="s">
        <v>82</v>
      </c>
      <c r="H2684" s="2">
        <v>5</v>
      </c>
      <c r="I2684" s="8">
        <v>134.88</v>
      </c>
      <c r="J2684" s="8">
        <v>40999</v>
      </c>
      <c r="K2684" s="3">
        <v>0</v>
      </c>
      <c r="L2684" s="3" t="s">
        <v>3</v>
      </c>
      <c r="M2684" s="9" t="s">
        <v>0</v>
      </c>
      <c r="N2684" s="9" t="s">
        <v>53</v>
      </c>
      <c r="O2684" s="9" t="s">
        <v>602</v>
      </c>
      <c r="S2684" s="9" t="s">
        <v>604</v>
      </c>
      <c r="V2684" s="10">
        <v>12.5</v>
      </c>
      <c r="W2684" s="10" t="s">
        <v>710</v>
      </c>
      <c r="Y2684" s="17">
        <v>45374</v>
      </c>
      <c r="Z2684" s="19" t="s">
        <v>772</v>
      </c>
      <c r="AA2684" s="210">
        <v>2000</v>
      </c>
      <c r="AB2684" s="9">
        <v>2</v>
      </c>
      <c r="AC2684" s="116" t="s">
        <v>1051</v>
      </c>
      <c r="AD2684" s="17">
        <v>45368</v>
      </c>
      <c r="AE2684" s="56">
        <f>100+1900</f>
        <v>2000</v>
      </c>
      <c r="AF2684" s="56"/>
      <c r="AG2684" s="9" t="s">
        <v>134</v>
      </c>
      <c r="AH2684" s="17">
        <v>45538</v>
      </c>
      <c r="AI2684" s="17"/>
      <c r="AJ2684" s="17"/>
      <c r="AK2684" s="9" t="s">
        <v>1048</v>
      </c>
      <c r="AL2684" s="11">
        <v>2000</v>
      </c>
      <c r="AN2684" s="11" t="s">
        <v>1050</v>
      </c>
      <c r="AP2684" s="11"/>
      <c r="AQ2684" s="11"/>
      <c r="AR2684" s="11"/>
      <c r="AW2684" s="42">
        <v>45368</v>
      </c>
      <c r="AX2684" s="36">
        <v>2430</v>
      </c>
      <c r="AY2684" s="36"/>
      <c r="AZ2684" s="36"/>
      <c r="BA2684" s="40">
        <v>100</v>
      </c>
      <c r="BB2684" s="40"/>
      <c r="BC2684" s="42">
        <v>45374</v>
      </c>
      <c r="BD2684" s="36">
        <v>2456</v>
      </c>
      <c r="BE2684" s="36"/>
      <c r="BF2684" s="36"/>
      <c r="BG2684" s="36">
        <v>1900</v>
      </c>
      <c r="BH2684" s="36"/>
      <c r="CS2684" s="11">
        <f t="shared" si="182"/>
        <v>2000</v>
      </c>
      <c r="CT2684" s="22">
        <f t="shared" si="183"/>
        <v>2000</v>
      </c>
      <c r="CU2684" s="22">
        <f t="shared" si="184"/>
        <v>0</v>
      </c>
      <c r="CV2684" s="26">
        <f t="shared" si="185"/>
        <v>0</v>
      </c>
    </row>
    <row r="2685" spans="1:103" x14ac:dyDescent="0.2">
      <c r="A2685" s="9" t="s">
        <v>605</v>
      </c>
      <c r="B2685" s="2">
        <v>3</v>
      </c>
      <c r="C2685" s="3" t="s">
        <v>95</v>
      </c>
      <c r="D2685" s="3" t="s">
        <v>96</v>
      </c>
      <c r="E2685" s="2"/>
      <c r="F2685" s="2"/>
      <c r="G2685" s="2" t="s">
        <v>65</v>
      </c>
      <c r="H2685" s="2">
        <v>3</v>
      </c>
      <c r="I2685" s="8">
        <v>116</v>
      </c>
      <c r="J2685" s="8">
        <v>38667</v>
      </c>
      <c r="K2685" s="3">
        <v>0</v>
      </c>
      <c r="L2685" s="3" t="s">
        <v>3</v>
      </c>
      <c r="M2685" s="9" t="s">
        <v>0</v>
      </c>
      <c r="N2685" s="9">
        <v>46876706</v>
      </c>
      <c r="O2685" s="9" t="s">
        <v>606</v>
      </c>
      <c r="S2685" s="9" t="s">
        <v>158</v>
      </c>
      <c r="T2685" s="10" t="s">
        <v>65</v>
      </c>
      <c r="U2685" s="10">
        <v>3</v>
      </c>
      <c r="V2685" s="10">
        <v>116</v>
      </c>
      <c r="W2685" s="10" t="s">
        <v>710</v>
      </c>
      <c r="X2685" s="17">
        <v>45693</v>
      </c>
      <c r="Y2685" s="17">
        <v>45693</v>
      </c>
      <c r="Z2685" s="19" t="s">
        <v>772</v>
      </c>
      <c r="AA2685" s="210">
        <v>36000</v>
      </c>
      <c r="AB2685" s="9">
        <v>48</v>
      </c>
      <c r="AC2685" s="9">
        <v>0</v>
      </c>
      <c r="AD2685" s="17">
        <v>45693</v>
      </c>
      <c r="AE2685" s="56">
        <v>3000</v>
      </c>
      <c r="AF2685" s="56"/>
      <c r="AG2685" s="9" t="s">
        <v>134</v>
      </c>
      <c r="AH2685" s="17">
        <v>45693</v>
      </c>
      <c r="AI2685" s="17"/>
      <c r="AJ2685" s="17"/>
      <c r="AK2685" s="9" t="s">
        <v>607</v>
      </c>
      <c r="AL2685" s="11">
        <v>3000</v>
      </c>
      <c r="AN2685" s="9" t="s">
        <v>1042</v>
      </c>
      <c r="AP2685" s="11"/>
      <c r="AQ2685" s="11"/>
      <c r="AR2685" s="11"/>
      <c r="AW2685" s="42">
        <v>45693</v>
      </c>
      <c r="AX2685" s="36">
        <v>3703</v>
      </c>
      <c r="AY2685" s="36"/>
      <c r="AZ2685" s="36"/>
      <c r="BA2685" s="40">
        <v>3000</v>
      </c>
      <c r="BD2685" s="9"/>
      <c r="CS2685" s="11">
        <f t="shared" ref="CS2685:CS2748" si="186">+AL2685+AT2685</f>
        <v>3000</v>
      </c>
      <c r="CT2685" s="22">
        <f t="shared" ref="CT2685:CT2748" si="187">+BA2685+BG2685+BM2685+BS2685+BY2685+CE2685+CK2685+CQ2685</f>
        <v>3000</v>
      </c>
      <c r="CU2685" s="22">
        <f t="shared" ref="CU2685:CU2748" si="188">+CS2685-CT2685</f>
        <v>0</v>
      </c>
      <c r="CV2685" s="26">
        <f t="shared" si="185"/>
        <v>0</v>
      </c>
    </row>
    <row r="2686" spans="1:103" x14ac:dyDescent="0.2">
      <c r="A2686" s="9" t="s">
        <v>605</v>
      </c>
      <c r="B2686" s="2">
        <v>3</v>
      </c>
      <c r="C2686" s="3" t="s">
        <v>95</v>
      </c>
      <c r="D2686" s="3" t="s">
        <v>96</v>
      </c>
      <c r="E2686" s="2"/>
      <c r="F2686" s="2"/>
      <c r="G2686" s="2" t="s">
        <v>65</v>
      </c>
      <c r="H2686" s="2">
        <v>3</v>
      </c>
      <c r="I2686" s="8">
        <v>116</v>
      </c>
      <c r="J2686" s="8">
        <v>38667</v>
      </c>
      <c r="K2686" s="3">
        <v>0</v>
      </c>
      <c r="L2686" s="3" t="s">
        <v>3</v>
      </c>
      <c r="M2686" s="9" t="s">
        <v>0</v>
      </c>
      <c r="N2686" s="9" t="s">
        <v>54</v>
      </c>
      <c r="O2686" s="9" t="s">
        <v>606</v>
      </c>
      <c r="S2686" s="9" t="s">
        <v>158</v>
      </c>
      <c r="T2686" s="10" t="s">
        <v>65</v>
      </c>
      <c r="U2686" s="10">
        <v>3</v>
      </c>
      <c r="V2686" s="10">
        <v>116</v>
      </c>
      <c r="W2686" s="10" t="s">
        <v>710</v>
      </c>
      <c r="X2686" s="17">
        <v>45693</v>
      </c>
      <c r="Y2686" s="17">
        <v>45693</v>
      </c>
      <c r="Z2686" s="19" t="s">
        <v>772</v>
      </c>
      <c r="AA2686" s="210">
        <v>36000</v>
      </c>
      <c r="AB2686" s="9">
        <v>48</v>
      </c>
      <c r="AC2686" s="9">
        <v>1</v>
      </c>
      <c r="AD2686" s="17">
        <v>45777</v>
      </c>
      <c r="AE2686" s="56">
        <v>500</v>
      </c>
      <c r="AF2686" s="56"/>
      <c r="AG2686" s="9" t="s">
        <v>134</v>
      </c>
      <c r="AH2686" s="17">
        <v>45789</v>
      </c>
      <c r="AI2686" s="17"/>
      <c r="AJ2686" s="17"/>
      <c r="AK2686" s="9" t="s">
        <v>1037</v>
      </c>
      <c r="AL2686" s="11">
        <v>500</v>
      </c>
      <c r="AN2686" s="9" t="s">
        <v>1043</v>
      </c>
      <c r="AP2686" s="11"/>
      <c r="AQ2686" s="11"/>
      <c r="AR2686" s="11"/>
      <c r="AW2686" s="42">
        <v>45787</v>
      </c>
      <c r="AX2686" s="36">
        <v>4145</v>
      </c>
      <c r="AY2686" s="36"/>
      <c r="AZ2686" s="36"/>
      <c r="BA2686" s="40">
        <v>500</v>
      </c>
      <c r="BD2686" s="9"/>
      <c r="CS2686" s="11">
        <f t="shared" si="186"/>
        <v>500</v>
      </c>
      <c r="CT2686" s="22">
        <f t="shared" si="187"/>
        <v>500</v>
      </c>
      <c r="CU2686" s="22">
        <f t="shared" si="188"/>
        <v>0</v>
      </c>
      <c r="CV2686" s="26">
        <f t="shared" si="185"/>
        <v>0</v>
      </c>
    </row>
    <row r="2687" spans="1:103" x14ac:dyDescent="0.2">
      <c r="A2687" s="9" t="s">
        <v>605</v>
      </c>
      <c r="B2687" s="2">
        <v>3</v>
      </c>
      <c r="C2687" s="3" t="s">
        <v>95</v>
      </c>
      <c r="D2687" s="3" t="s">
        <v>96</v>
      </c>
      <c r="E2687" s="2"/>
      <c r="F2687" s="2"/>
      <c r="G2687" s="2" t="s">
        <v>65</v>
      </c>
      <c r="H2687" s="2">
        <v>3</v>
      </c>
      <c r="I2687" s="8">
        <v>116</v>
      </c>
      <c r="J2687" s="8">
        <v>38667</v>
      </c>
      <c r="K2687" s="3">
        <v>0</v>
      </c>
      <c r="L2687" s="3" t="s">
        <v>3</v>
      </c>
      <c r="M2687" s="9" t="s">
        <v>0</v>
      </c>
      <c r="N2687" s="9" t="s">
        <v>54</v>
      </c>
      <c r="O2687" s="9" t="s">
        <v>606</v>
      </c>
      <c r="S2687" s="9" t="s">
        <v>158</v>
      </c>
      <c r="T2687" s="10" t="s">
        <v>65</v>
      </c>
      <c r="U2687" s="10">
        <v>3</v>
      </c>
      <c r="V2687" s="10">
        <v>116</v>
      </c>
      <c r="W2687" s="10" t="s">
        <v>710</v>
      </c>
      <c r="X2687" s="17">
        <v>45693</v>
      </c>
      <c r="Y2687" s="17">
        <v>45693</v>
      </c>
      <c r="Z2687" s="19" t="s">
        <v>772</v>
      </c>
      <c r="AA2687" s="210">
        <v>36000</v>
      </c>
      <c r="AB2687" s="9">
        <v>48</v>
      </c>
      <c r="AC2687" s="9">
        <v>2</v>
      </c>
      <c r="AD2687" s="17">
        <v>45807</v>
      </c>
      <c r="AE2687" s="56">
        <v>500</v>
      </c>
      <c r="AF2687" s="56"/>
      <c r="AG2687" s="9" t="s">
        <v>134</v>
      </c>
      <c r="AH2687" s="17">
        <v>45818</v>
      </c>
      <c r="AI2687" s="17"/>
      <c r="AJ2687" s="17"/>
      <c r="AK2687" s="9" t="s">
        <v>1038</v>
      </c>
      <c r="AL2687" s="11">
        <v>500</v>
      </c>
      <c r="AN2687" s="9" t="s">
        <v>1044</v>
      </c>
      <c r="AP2687" s="11"/>
      <c r="AQ2687" s="11"/>
      <c r="AR2687" s="11"/>
      <c r="AW2687" s="42">
        <v>45817</v>
      </c>
      <c r="AX2687" s="36">
        <v>4282</v>
      </c>
      <c r="AY2687" s="36"/>
      <c r="AZ2687" s="36"/>
      <c r="BA2687" s="40">
        <v>500</v>
      </c>
      <c r="BD2687" s="9"/>
      <c r="CS2687" s="11">
        <f t="shared" si="186"/>
        <v>500</v>
      </c>
      <c r="CT2687" s="22">
        <f t="shared" si="187"/>
        <v>500</v>
      </c>
      <c r="CU2687" s="22">
        <f t="shared" si="188"/>
        <v>0</v>
      </c>
      <c r="CV2687" s="26">
        <f t="shared" si="185"/>
        <v>0</v>
      </c>
    </row>
    <row r="2688" spans="1:103" x14ac:dyDescent="0.2">
      <c r="A2688" s="9" t="s">
        <v>605</v>
      </c>
      <c r="B2688" s="2">
        <v>3</v>
      </c>
      <c r="C2688" s="3" t="s">
        <v>95</v>
      </c>
      <c r="D2688" s="3" t="s">
        <v>96</v>
      </c>
      <c r="E2688" s="2"/>
      <c r="F2688" s="2"/>
      <c r="G2688" s="2" t="s">
        <v>65</v>
      </c>
      <c r="H2688" s="2">
        <v>3</v>
      </c>
      <c r="I2688" s="8">
        <v>116</v>
      </c>
      <c r="J2688" s="8">
        <v>38667</v>
      </c>
      <c r="K2688" s="3">
        <v>0</v>
      </c>
      <c r="L2688" s="3" t="s">
        <v>3</v>
      </c>
      <c r="M2688" s="9" t="s">
        <v>0</v>
      </c>
      <c r="N2688" s="9" t="s">
        <v>54</v>
      </c>
      <c r="O2688" s="9" t="s">
        <v>606</v>
      </c>
      <c r="S2688" s="9" t="s">
        <v>158</v>
      </c>
      <c r="T2688" s="10" t="s">
        <v>65</v>
      </c>
      <c r="U2688" s="10">
        <v>3</v>
      </c>
      <c r="V2688" s="10">
        <v>116</v>
      </c>
      <c r="W2688" s="10" t="s">
        <v>710</v>
      </c>
      <c r="X2688" s="17">
        <v>45693</v>
      </c>
      <c r="Y2688" s="17">
        <v>45693</v>
      </c>
      <c r="Z2688" s="19" t="s">
        <v>772</v>
      </c>
      <c r="AA2688" s="210">
        <v>36000</v>
      </c>
      <c r="AB2688" s="9">
        <v>48</v>
      </c>
      <c r="AC2688" s="9">
        <v>3</v>
      </c>
      <c r="AD2688" s="17">
        <v>45838</v>
      </c>
      <c r="AE2688" s="56">
        <v>500</v>
      </c>
      <c r="AF2688" s="56"/>
      <c r="AG2688" s="9" t="s">
        <v>134</v>
      </c>
      <c r="AH2688" s="17">
        <v>45848</v>
      </c>
      <c r="AI2688" s="17"/>
      <c r="AJ2688" s="17"/>
      <c r="AK2688" s="9" t="s">
        <v>1039</v>
      </c>
      <c r="AL2688" s="11">
        <v>500</v>
      </c>
      <c r="AN2688" s="9" t="s">
        <v>1045</v>
      </c>
      <c r="AP2688" s="11"/>
      <c r="AQ2688" s="11"/>
      <c r="AR2688" s="11"/>
      <c r="AW2688" s="42">
        <v>45847</v>
      </c>
      <c r="AX2688" s="36">
        <v>4396</v>
      </c>
      <c r="AY2688" s="36"/>
      <c r="AZ2688" s="36"/>
      <c r="BA2688" s="40">
        <v>500</v>
      </c>
      <c r="BD2688" s="9"/>
      <c r="CS2688" s="11">
        <f t="shared" si="186"/>
        <v>500</v>
      </c>
      <c r="CT2688" s="22">
        <f t="shared" si="187"/>
        <v>500</v>
      </c>
      <c r="CU2688" s="22">
        <f t="shared" si="188"/>
        <v>0</v>
      </c>
      <c r="CV2688" s="26">
        <f t="shared" si="185"/>
        <v>0</v>
      </c>
    </row>
    <row r="2689" spans="1:100" x14ac:dyDescent="0.2">
      <c r="A2689" s="9" t="s">
        <v>605</v>
      </c>
      <c r="B2689" s="2">
        <v>3</v>
      </c>
      <c r="C2689" s="3" t="s">
        <v>95</v>
      </c>
      <c r="D2689" s="3" t="s">
        <v>96</v>
      </c>
      <c r="E2689" s="2"/>
      <c r="F2689" s="2"/>
      <c r="G2689" s="2" t="s">
        <v>65</v>
      </c>
      <c r="H2689" s="2">
        <v>3</v>
      </c>
      <c r="I2689" s="8">
        <v>116</v>
      </c>
      <c r="J2689" s="8">
        <v>38667</v>
      </c>
      <c r="K2689" s="3">
        <v>0</v>
      </c>
      <c r="L2689" s="3" t="s">
        <v>3</v>
      </c>
      <c r="M2689" s="9" t="s">
        <v>0</v>
      </c>
      <c r="N2689" s="9" t="s">
        <v>54</v>
      </c>
      <c r="O2689" s="9" t="s">
        <v>606</v>
      </c>
      <c r="S2689" s="9" t="s">
        <v>158</v>
      </c>
      <c r="T2689" s="10" t="s">
        <v>65</v>
      </c>
      <c r="U2689" s="10">
        <v>3</v>
      </c>
      <c r="V2689" s="10">
        <v>116</v>
      </c>
      <c r="W2689" s="10" t="s">
        <v>710</v>
      </c>
      <c r="X2689" s="17">
        <v>45693</v>
      </c>
      <c r="Y2689" s="17">
        <v>45693</v>
      </c>
      <c r="Z2689" s="19" t="s">
        <v>772</v>
      </c>
      <c r="AA2689" s="210">
        <v>36000</v>
      </c>
      <c r="AB2689" s="9">
        <v>48</v>
      </c>
      <c r="AC2689" s="9">
        <v>4</v>
      </c>
      <c r="AD2689" s="17">
        <v>45868</v>
      </c>
      <c r="AE2689" s="56">
        <v>500</v>
      </c>
      <c r="AF2689" s="56"/>
      <c r="AG2689" s="9" t="s">
        <v>134</v>
      </c>
      <c r="AH2689" s="17">
        <v>45882</v>
      </c>
      <c r="AI2689" s="17"/>
      <c r="AJ2689" s="17"/>
      <c r="AK2689" s="9" t="s">
        <v>1040</v>
      </c>
      <c r="AL2689" s="11">
        <v>500</v>
      </c>
      <c r="AN2689" s="9" t="s">
        <v>1046</v>
      </c>
      <c r="AP2689" s="11"/>
      <c r="AQ2689" s="11"/>
      <c r="AR2689" s="11"/>
      <c r="AW2689" s="42">
        <v>45881</v>
      </c>
      <c r="AX2689" s="36">
        <v>4552</v>
      </c>
      <c r="AY2689" s="36"/>
      <c r="AZ2689" s="36"/>
      <c r="BA2689" s="40">
        <v>500</v>
      </c>
      <c r="BD2689" s="9"/>
      <c r="CS2689" s="11">
        <f t="shared" si="186"/>
        <v>500</v>
      </c>
      <c r="CT2689" s="22">
        <f t="shared" si="187"/>
        <v>500</v>
      </c>
      <c r="CU2689" s="22">
        <f t="shared" si="188"/>
        <v>0</v>
      </c>
      <c r="CV2689" s="26">
        <f t="shared" si="185"/>
        <v>0</v>
      </c>
    </row>
    <row r="2690" spans="1:100" x14ac:dyDescent="0.2">
      <c r="A2690" s="9" t="s">
        <v>605</v>
      </c>
      <c r="B2690" s="2">
        <v>3</v>
      </c>
      <c r="C2690" s="3" t="s">
        <v>95</v>
      </c>
      <c r="D2690" s="3" t="s">
        <v>96</v>
      </c>
      <c r="E2690" s="2"/>
      <c r="F2690" s="2"/>
      <c r="G2690" s="2" t="s">
        <v>65</v>
      </c>
      <c r="H2690" s="2">
        <v>3</v>
      </c>
      <c r="I2690" s="8">
        <v>116</v>
      </c>
      <c r="J2690" s="8">
        <v>38667</v>
      </c>
      <c r="K2690" s="3">
        <v>0</v>
      </c>
      <c r="L2690" s="3" t="s">
        <v>3</v>
      </c>
      <c r="M2690" s="9" t="s">
        <v>0</v>
      </c>
      <c r="N2690" s="9" t="s">
        <v>54</v>
      </c>
      <c r="O2690" s="9" t="s">
        <v>606</v>
      </c>
      <c r="S2690" s="9" t="s">
        <v>158</v>
      </c>
      <c r="T2690" s="10" t="s">
        <v>65</v>
      </c>
      <c r="U2690" s="10">
        <v>3</v>
      </c>
      <c r="V2690" s="10">
        <v>116</v>
      </c>
      <c r="W2690" s="10" t="s">
        <v>710</v>
      </c>
      <c r="X2690" s="17">
        <v>45693</v>
      </c>
      <c r="Y2690" s="17">
        <v>45693</v>
      </c>
      <c r="Z2690" s="19" t="s">
        <v>772</v>
      </c>
      <c r="AA2690" s="210">
        <v>36000</v>
      </c>
      <c r="AB2690" s="9">
        <v>48</v>
      </c>
      <c r="AC2690" s="9">
        <v>5</v>
      </c>
      <c r="AD2690" s="17">
        <v>45899</v>
      </c>
      <c r="AE2690" s="56">
        <v>500</v>
      </c>
      <c r="AF2690" s="56"/>
      <c r="AG2690" s="9" t="s">
        <v>134</v>
      </c>
      <c r="AH2690" s="17">
        <v>45909</v>
      </c>
      <c r="AI2690" s="17"/>
      <c r="AJ2690" s="17"/>
      <c r="AK2690" s="9" t="s">
        <v>1041</v>
      </c>
      <c r="AL2690" s="11">
        <v>500</v>
      </c>
      <c r="AN2690" s="9" t="s">
        <v>1047</v>
      </c>
      <c r="AP2690" s="11"/>
      <c r="AQ2690" s="11"/>
      <c r="AR2690" s="11"/>
      <c r="AW2690" s="42">
        <v>45908</v>
      </c>
      <c r="AX2690" s="36">
        <v>4687</v>
      </c>
      <c r="AY2690" s="36"/>
      <c r="AZ2690" s="36"/>
      <c r="BA2690" s="40">
        <v>500</v>
      </c>
      <c r="BD2690" s="9"/>
      <c r="CS2690" s="11">
        <f t="shared" si="186"/>
        <v>500</v>
      </c>
      <c r="CT2690" s="22">
        <f t="shared" si="187"/>
        <v>500</v>
      </c>
      <c r="CU2690" s="22">
        <f t="shared" si="188"/>
        <v>0</v>
      </c>
      <c r="CV2690" s="26">
        <f t="shared" si="185"/>
        <v>0</v>
      </c>
    </row>
    <row r="2691" spans="1:100" x14ac:dyDescent="0.2">
      <c r="A2691" s="9" t="s">
        <v>605</v>
      </c>
      <c r="B2691" s="2">
        <v>3</v>
      </c>
      <c r="C2691" s="3" t="s">
        <v>95</v>
      </c>
      <c r="D2691" s="3" t="s">
        <v>96</v>
      </c>
      <c r="E2691" s="2"/>
      <c r="F2691" s="2"/>
      <c r="G2691" s="2" t="s">
        <v>65</v>
      </c>
      <c r="H2691" s="2">
        <v>3</v>
      </c>
      <c r="I2691" s="8">
        <v>116</v>
      </c>
      <c r="J2691" s="8">
        <v>38667</v>
      </c>
      <c r="K2691" s="3">
        <v>0</v>
      </c>
      <c r="L2691" s="3" t="s">
        <v>3</v>
      </c>
      <c r="M2691" s="9" t="s">
        <v>0</v>
      </c>
      <c r="N2691" s="9" t="s">
        <v>54</v>
      </c>
      <c r="O2691" s="9" t="s">
        <v>606</v>
      </c>
      <c r="S2691" s="9" t="s">
        <v>158</v>
      </c>
      <c r="T2691" s="10" t="s">
        <v>65</v>
      </c>
      <c r="U2691" s="10">
        <v>3</v>
      </c>
      <c r="V2691" s="10">
        <v>116</v>
      </c>
      <c r="W2691" s="10" t="s">
        <v>710</v>
      </c>
      <c r="X2691" s="17">
        <v>45693</v>
      </c>
      <c r="Y2691" s="17">
        <v>45693</v>
      </c>
      <c r="Z2691" s="19" t="s">
        <v>772</v>
      </c>
      <c r="AA2691" s="210">
        <v>36000</v>
      </c>
      <c r="AB2691" s="9">
        <v>48</v>
      </c>
      <c r="AC2691" s="9">
        <v>6</v>
      </c>
      <c r="AD2691" s="17">
        <v>45930</v>
      </c>
      <c r="AE2691" s="56">
        <v>500</v>
      </c>
      <c r="AF2691" s="56"/>
      <c r="AL2691" s="9"/>
      <c r="AM2691" s="9"/>
      <c r="AN2691" s="9"/>
      <c r="AP2691" s="11"/>
      <c r="AQ2691" s="11"/>
      <c r="AR2691" s="11"/>
      <c r="AW2691" s="17"/>
      <c r="BD2691" s="9"/>
      <c r="CS2691" s="11">
        <f t="shared" si="186"/>
        <v>0</v>
      </c>
      <c r="CT2691" s="22">
        <f t="shared" si="187"/>
        <v>0</v>
      </c>
      <c r="CU2691" s="22">
        <f t="shared" si="188"/>
        <v>0</v>
      </c>
      <c r="CV2691" s="26">
        <f t="shared" si="185"/>
        <v>500</v>
      </c>
    </row>
    <row r="2692" spans="1:100" x14ac:dyDescent="0.2">
      <c r="A2692" s="9" t="s">
        <v>605</v>
      </c>
      <c r="B2692" s="2">
        <v>3</v>
      </c>
      <c r="C2692" s="3" t="s">
        <v>95</v>
      </c>
      <c r="D2692" s="3" t="s">
        <v>96</v>
      </c>
      <c r="E2692" s="2"/>
      <c r="F2692" s="2"/>
      <c r="G2692" s="2" t="s">
        <v>65</v>
      </c>
      <c r="H2692" s="2">
        <v>3</v>
      </c>
      <c r="I2692" s="8">
        <v>116</v>
      </c>
      <c r="J2692" s="8">
        <v>38667</v>
      </c>
      <c r="K2692" s="3">
        <v>0</v>
      </c>
      <c r="L2692" s="3" t="s">
        <v>3</v>
      </c>
      <c r="M2692" s="9" t="s">
        <v>0</v>
      </c>
      <c r="N2692" s="9" t="s">
        <v>54</v>
      </c>
      <c r="O2692" s="9" t="s">
        <v>606</v>
      </c>
      <c r="S2692" s="9" t="s">
        <v>158</v>
      </c>
      <c r="T2692" s="10" t="s">
        <v>65</v>
      </c>
      <c r="U2692" s="10">
        <v>3</v>
      </c>
      <c r="V2692" s="10">
        <v>116</v>
      </c>
      <c r="W2692" s="10" t="s">
        <v>710</v>
      </c>
      <c r="X2692" s="17">
        <v>45693</v>
      </c>
      <c r="Y2692" s="17">
        <v>45693</v>
      </c>
      <c r="Z2692" s="19" t="s">
        <v>772</v>
      </c>
      <c r="AA2692" s="210">
        <v>36000</v>
      </c>
      <c r="AB2692" s="9">
        <v>48</v>
      </c>
      <c r="AC2692" s="9">
        <v>7</v>
      </c>
      <c r="AD2692" s="17">
        <v>45960</v>
      </c>
      <c r="AE2692" s="56">
        <v>500</v>
      </c>
      <c r="AF2692" s="56"/>
      <c r="AL2692" s="9"/>
      <c r="AM2692" s="9"/>
      <c r="AN2692" s="9"/>
      <c r="AP2692" s="11"/>
      <c r="AQ2692" s="11"/>
      <c r="AR2692" s="11"/>
      <c r="AW2692" s="17"/>
      <c r="BA2692" s="9"/>
      <c r="BD2692" s="9"/>
      <c r="CS2692" s="11">
        <f t="shared" si="186"/>
        <v>0</v>
      </c>
      <c r="CT2692" s="22">
        <f t="shared" si="187"/>
        <v>0</v>
      </c>
      <c r="CU2692" s="22">
        <f t="shared" si="188"/>
        <v>0</v>
      </c>
      <c r="CV2692" s="26">
        <f t="shared" si="185"/>
        <v>500</v>
      </c>
    </row>
    <row r="2693" spans="1:100" x14ac:dyDescent="0.2">
      <c r="A2693" s="9" t="s">
        <v>605</v>
      </c>
      <c r="B2693" s="2">
        <v>3</v>
      </c>
      <c r="C2693" s="3" t="s">
        <v>95</v>
      </c>
      <c r="D2693" s="3" t="s">
        <v>96</v>
      </c>
      <c r="E2693" s="2"/>
      <c r="F2693" s="2"/>
      <c r="G2693" s="2" t="s">
        <v>65</v>
      </c>
      <c r="H2693" s="2">
        <v>3</v>
      </c>
      <c r="I2693" s="8">
        <v>116</v>
      </c>
      <c r="J2693" s="8">
        <v>38667</v>
      </c>
      <c r="K2693" s="3">
        <v>0</v>
      </c>
      <c r="L2693" s="3" t="s">
        <v>3</v>
      </c>
      <c r="M2693" s="9" t="s">
        <v>0</v>
      </c>
      <c r="N2693" s="9" t="s">
        <v>54</v>
      </c>
      <c r="O2693" s="9" t="s">
        <v>606</v>
      </c>
      <c r="S2693" s="9" t="s">
        <v>158</v>
      </c>
      <c r="T2693" s="10" t="s">
        <v>65</v>
      </c>
      <c r="U2693" s="10">
        <v>3</v>
      </c>
      <c r="V2693" s="10">
        <v>116</v>
      </c>
      <c r="W2693" s="10" t="s">
        <v>710</v>
      </c>
      <c r="X2693" s="17">
        <v>45693</v>
      </c>
      <c r="Y2693" s="17">
        <v>45693</v>
      </c>
      <c r="Z2693" s="19" t="s">
        <v>772</v>
      </c>
      <c r="AA2693" s="210">
        <v>36000</v>
      </c>
      <c r="AB2693" s="9">
        <v>48</v>
      </c>
      <c r="AC2693" s="9">
        <v>8</v>
      </c>
      <c r="AD2693" s="17">
        <v>45991</v>
      </c>
      <c r="AE2693" s="56">
        <v>500</v>
      </c>
      <c r="AF2693" s="56"/>
      <c r="AL2693" s="9"/>
      <c r="AM2693" s="9"/>
      <c r="AN2693" s="9"/>
      <c r="AP2693" s="11"/>
      <c r="AQ2693" s="11"/>
      <c r="AR2693" s="11"/>
      <c r="AW2693" s="17"/>
      <c r="BA2693" s="9"/>
      <c r="BD2693" s="9"/>
      <c r="CS2693" s="11">
        <f t="shared" si="186"/>
        <v>0</v>
      </c>
      <c r="CT2693" s="22">
        <f t="shared" si="187"/>
        <v>0</v>
      </c>
      <c r="CU2693" s="22">
        <f t="shared" si="188"/>
        <v>0</v>
      </c>
      <c r="CV2693" s="26">
        <f t="shared" si="185"/>
        <v>500</v>
      </c>
    </row>
    <row r="2694" spans="1:100" x14ac:dyDescent="0.2">
      <c r="A2694" s="9" t="s">
        <v>605</v>
      </c>
      <c r="B2694" s="2">
        <v>3</v>
      </c>
      <c r="C2694" s="3" t="s">
        <v>95</v>
      </c>
      <c r="D2694" s="3" t="s">
        <v>96</v>
      </c>
      <c r="E2694" s="2"/>
      <c r="F2694" s="2"/>
      <c r="G2694" s="2" t="s">
        <v>65</v>
      </c>
      <c r="H2694" s="2">
        <v>3</v>
      </c>
      <c r="I2694" s="8">
        <v>116</v>
      </c>
      <c r="J2694" s="8">
        <v>38667</v>
      </c>
      <c r="K2694" s="3">
        <v>0</v>
      </c>
      <c r="L2694" s="3" t="s">
        <v>3</v>
      </c>
      <c r="M2694" s="9" t="s">
        <v>0</v>
      </c>
      <c r="N2694" s="9" t="s">
        <v>54</v>
      </c>
      <c r="O2694" s="9" t="s">
        <v>606</v>
      </c>
      <c r="S2694" s="9" t="s">
        <v>158</v>
      </c>
      <c r="T2694" s="10" t="s">
        <v>65</v>
      </c>
      <c r="U2694" s="10">
        <v>3</v>
      </c>
      <c r="V2694" s="10">
        <v>116</v>
      </c>
      <c r="W2694" s="10" t="s">
        <v>710</v>
      </c>
      <c r="X2694" s="17">
        <v>45693</v>
      </c>
      <c r="Y2694" s="17">
        <v>45693</v>
      </c>
      <c r="Z2694" s="19" t="s">
        <v>772</v>
      </c>
      <c r="AA2694" s="210">
        <v>36000</v>
      </c>
      <c r="AB2694" s="9">
        <v>48</v>
      </c>
      <c r="AC2694" s="9">
        <v>9</v>
      </c>
      <c r="AD2694" s="17">
        <v>46021</v>
      </c>
      <c r="AE2694" s="56">
        <v>500</v>
      </c>
      <c r="AF2694" s="56"/>
      <c r="AL2694" s="9"/>
      <c r="AM2694" s="9"/>
      <c r="AN2694" s="9"/>
      <c r="AP2694" s="11"/>
      <c r="AQ2694" s="11"/>
      <c r="AR2694" s="11"/>
      <c r="AW2694" s="9"/>
      <c r="BD2694" s="9"/>
      <c r="CS2694" s="11">
        <f t="shared" si="186"/>
        <v>0</v>
      </c>
      <c r="CT2694" s="22">
        <f t="shared" si="187"/>
        <v>0</v>
      </c>
      <c r="CU2694" s="22">
        <f t="shared" si="188"/>
        <v>0</v>
      </c>
      <c r="CV2694" s="26">
        <f t="shared" si="185"/>
        <v>500</v>
      </c>
    </row>
    <row r="2695" spans="1:100" x14ac:dyDescent="0.2">
      <c r="A2695" s="9" t="s">
        <v>605</v>
      </c>
      <c r="B2695" s="2">
        <v>3</v>
      </c>
      <c r="C2695" s="3" t="s">
        <v>95</v>
      </c>
      <c r="D2695" s="3" t="s">
        <v>96</v>
      </c>
      <c r="E2695" s="2"/>
      <c r="F2695" s="2"/>
      <c r="G2695" s="2" t="s">
        <v>65</v>
      </c>
      <c r="H2695" s="2">
        <v>3</v>
      </c>
      <c r="I2695" s="8">
        <v>116</v>
      </c>
      <c r="J2695" s="8">
        <v>38667</v>
      </c>
      <c r="K2695" s="3">
        <v>0</v>
      </c>
      <c r="L2695" s="3" t="s">
        <v>3</v>
      </c>
      <c r="M2695" s="9" t="s">
        <v>0</v>
      </c>
      <c r="N2695" s="9" t="s">
        <v>54</v>
      </c>
      <c r="O2695" s="9" t="s">
        <v>606</v>
      </c>
      <c r="S2695" s="9" t="s">
        <v>158</v>
      </c>
      <c r="T2695" s="10" t="s">
        <v>65</v>
      </c>
      <c r="U2695" s="10">
        <v>3</v>
      </c>
      <c r="V2695" s="10">
        <v>116</v>
      </c>
      <c r="W2695" s="10" t="s">
        <v>710</v>
      </c>
      <c r="X2695" s="17">
        <v>45693</v>
      </c>
      <c r="Y2695" s="17">
        <v>45693</v>
      </c>
      <c r="Z2695" s="19" t="s">
        <v>772</v>
      </c>
      <c r="AA2695" s="210">
        <v>36000</v>
      </c>
      <c r="AB2695" s="9">
        <v>48</v>
      </c>
      <c r="AC2695" s="9">
        <v>10</v>
      </c>
      <c r="AD2695" s="17">
        <v>46052</v>
      </c>
      <c r="AE2695" s="56">
        <v>500</v>
      </c>
      <c r="AF2695" s="56"/>
      <c r="AL2695" s="9"/>
      <c r="AM2695" s="9"/>
      <c r="AN2695" s="9"/>
      <c r="AP2695" s="11"/>
      <c r="AQ2695" s="11"/>
      <c r="AR2695" s="11"/>
      <c r="AW2695" s="9"/>
      <c r="BD2695" s="9"/>
      <c r="CS2695" s="11">
        <f t="shared" si="186"/>
        <v>0</v>
      </c>
      <c r="CT2695" s="22">
        <f t="shared" si="187"/>
        <v>0</v>
      </c>
      <c r="CU2695" s="22">
        <f t="shared" si="188"/>
        <v>0</v>
      </c>
      <c r="CV2695" s="26">
        <f t="shared" si="185"/>
        <v>500</v>
      </c>
    </row>
    <row r="2696" spans="1:100" x14ac:dyDescent="0.2">
      <c r="A2696" s="9" t="s">
        <v>605</v>
      </c>
      <c r="B2696" s="2">
        <v>3</v>
      </c>
      <c r="C2696" s="3" t="s">
        <v>95</v>
      </c>
      <c r="D2696" s="3" t="s">
        <v>96</v>
      </c>
      <c r="E2696" s="2"/>
      <c r="F2696" s="2"/>
      <c r="G2696" s="2" t="s">
        <v>65</v>
      </c>
      <c r="H2696" s="2">
        <v>3</v>
      </c>
      <c r="I2696" s="8">
        <v>116</v>
      </c>
      <c r="J2696" s="8">
        <v>38667</v>
      </c>
      <c r="K2696" s="3">
        <v>0</v>
      </c>
      <c r="L2696" s="3" t="s">
        <v>3</v>
      </c>
      <c r="M2696" s="9" t="s">
        <v>0</v>
      </c>
      <c r="N2696" s="9" t="s">
        <v>54</v>
      </c>
      <c r="O2696" s="9" t="s">
        <v>606</v>
      </c>
      <c r="S2696" s="9" t="s">
        <v>158</v>
      </c>
      <c r="T2696" s="10" t="s">
        <v>65</v>
      </c>
      <c r="U2696" s="10">
        <v>3</v>
      </c>
      <c r="V2696" s="10">
        <v>116</v>
      </c>
      <c r="W2696" s="10" t="s">
        <v>710</v>
      </c>
      <c r="X2696" s="17">
        <v>45693</v>
      </c>
      <c r="Y2696" s="17">
        <v>45693</v>
      </c>
      <c r="Z2696" s="19" t="s">
        <v>772</v>
      </c>
      <c r="AA2696" s="210">
        <v>36000</v>
      </c>
      <c r="AB2696" s="9">
        <v>48</v>
      </c>
      <c r="AC2696" s="9">
        <v>11</v>
      </c>
      <c r="AD2696" s="17">
        <v>46081</v>
      </c>
      <c r="AE2696" s="56">
        <v>500</v>
      </c>
      <c r="AF2696" s="56"/>
      <c r="AL2696" s="9"/>
      <c r="AM2696" s="9"/>
      <c r="AN2696" s="9"/>
      <c r="AP2696" s="11"/>
      <c r="AQ2696" s="11"/>
      <c r="AR2696" s="11"/>
      <c r="AW2696" s="86"/>
      <c r="BD2696" s="9"/>
      <c r="CS2696" s="11">
        <f t="shared" si="186"/>
        <v>0</v>
      </c>
      <c r="CT2696" s="22">
        <f t="shared" si="187"/>
        <v>0</v>
      </c>
      <c r="CU2696" s="22">
        <f t="shared" si="188"/>
        <v>0</v>
      </c>
      <c r="CV2696" s="26">
        <f t="shared" si="185"/>
        <v>500</v>
      </c>
    </row>
    <row r="2697" spans="1:100" x14ac:dyDescent="0.2">
      <c r="A2697" s="9" t="s">
        <v>605</v>
      </c>
      <c r="B2697" s="2">
        <v>3</v>
      </c>
      <c r="C2697" s="3" t="s">
        <v>95</v>
      </c>
      <c r="D2697" s="3" t="s">
        <v>96</v>
      </c>
      <c r="E2697" s="2"/>
      <c r="F2697" s="2"/>
      <c r="G2697" s="2" t="s">
        <v>65</v>
      </c>
      <c r="H2697" s="2">
        <v>3</v>
      </c>
      <c r="I2697" s="8">
        <v>116</v>
      </c>
      <c r="J2697" s="8">
        <v>38667</v>
      </c>
      <c r="K2697" s="3">
        <v>0</v>
      </c>
      <c r="L2697" s="3" t="s">
        <v>3</v>
      </c>
      <c r="M2697" s="9" t="s">
        <v>0</v>
      </c>
      <c r="N2697" s="9" t="s">
        <v>54</v>
      </c>
      <c r="O2697" s="9" t="s">
        <v>606</v>
      </c>
      <c r="S2697" s="9" t="s">
        <v>158</v>
      </c>
      <c r="T2697" s="10" t="s">
        <v>65</v>
      </c>
      <c r="U2697" s="10">
        <v>3</v>
      </c>
      <c r="V2697" s="10">
        <v>116</v>
      </c>
      <c r="W2697" s="10" t="s">
        <v>710</v>
      </c>
      <c r="X2697" s="17">
        <v>45693</v>
      </c>
      <c r="Y2697" s="17">
        <v>45693</v>
      </c>
      <c r="Z2697" s="19" t="s">
        <v>772</v>
      </c>
      <c r="AA2697" s="210">
        <v>36000</v>
      </c>
      <c r="AB2697" s="9">
        <v>48</v>
      </c>
      <c r="AC2697" s="9">
        <v>12</v>
      </c>
      <c r="AD2697" s="17">
        <v>46111</v>
      </c>
      <c r="AE2697" s="56">
        <v>500</v>
      </c>
      <c r="AF2697" s="56"/>
      <c r="AL2697" s="9"/>
      <c r="AM2697" s="9"/>
      <c r="AN2697" s="9"/>
      <c r="AP2697" s="11"/>
      <c r="AQ2697" s="11"/>
      <c r="AR2697" s="11"/>
      <c r="AW2697" s="9"/>
      <c r="BD2697" s="9"/>
      <c r="CS2697" s="11">
        <f t="shared" si="186"/>
        <v>0</v>
      </c>
      <c r="CT2697" s="22">
        <f t="shared" si="187"/>
        <v>0</v>
      </c>
      <c r="CU2697" s="22">
        <f t="shared" si="188"/>
        <v>0</v>
      </c>
      <c r="CV2697" s="26">
        <f t="shared" si="185"/>
        <v>500</v>
      </c>
    </row>
    <row r="2698" spans="1:100" x14ac:dyDescent="0.2">
      <c r="A2698" s="9" t="s">
        <v>605</v>
      </c>
      <c r="B2698" s="2">
        <v>3</v>
      </c>
      <c r="C2698" s="3" t="s">
        <v>95</v>
      </c>
      <c r="D2698" s="3" t="s">
        <v>96</v>
      </c>
      <c r="E2698" s="2"/>
      <c r="F2698" s="2"/>
      <c r="G2698" s="2" t="s">
        <v>65</v>
      </c>
      <c r="H2698" s="2">
        <v>3</v>
      </c>
      <c r="I2698" s="8">
        <v>116</v>
      </c>
      <c r="J2698" s="8">
        <v>38667</v>
      </c>
      <c r="K2698" s="3">
        <v>0</v>
      </c>
      <c r="L2698" s="3" t="s">
        <v>3</v>
      </c>
      <c r="M2698" s="9" t="s">
        <v>0</v>
      </c>
      <c r="N2698" s="9" t="s">
        <v>54</v>
      </c>
      <c r="O2698" s="9" t="s">
        <v>606</v>
      </c>
      <c r="S2698" s="9" t="s">
        <v>158</v>
      </c>
      <c r="T2698" s="10" t="s">
        <v>65</v>
      </c>
      <c r="U2698" s="10">
        <v>3</v>
      </c>
      <c r="V2698" s="10">
        <v>116</v>
      </c>
      <c r="W2698" s="10" t="s">
        <v>710</v>
      </c>
      <c r="X2698" s="17">
        <v>45693</v>
      </c>
      <c r="Y2698" s="17">
        <v>45693</v>
      </c>
      <c r="Z2698" s="19" t="s">
        <v>772</v>
      </c>
      <c r="AA2698" s="210">
        <v>36000</v>
      </c>
      <c r="AB2698" s="9">
        <v>48</v>
      </c>
      <c r="AC2698" s="9">
        <v>13</v>
      </c>
      <c r="AD2698" s="17">
        <v>46142</v>
      </c>
      <c r="AE2698" s="56">
        <v>500</v>
      </c>
      <c r="AF2698" s="56"/>
      <c r="AL2698" s="9"/>
      <c r="AM2698" s="9"/>
      <c r="AN2698" s="9"/>
      <c r="AP2698" s="11"/>
      <c r="AQ2698" s="11"/>
      <c r="AR2698" s="11"/>
      <c r="AW2698" s="9"/>
      <c r="BD2698" s="9"/>
      <c r="CS2698" s="11">
        <f t="shared" si="186"/>
        <v>0</v>
      </c>
      <c r="CT2698" s="22">
        <f t="shared" si="187"/>
        <v>0</v>
      </c>
      <c r="CU2698" s="22">
        <f t="shared" si="188"/>
        <v>0</v>
      </c>
      <c r="CV2698" s="26">
        <f t="shared" si="185"/>
        <v>500</v>
      </c>
    </row>
    <row r="2699" spans="1:100" x14ac:dyDescent="0.2">
      <c r="A2699" s="9" t="s">
        <v>605</v>
      </c>
      <c r="B2699" s="2">
        <v>3</v>
      </c>
      <c r="C2699" s="3" t="s">
        <v>95</v>
      </c>
      <c r="D2699" s="3" t="s">
        <v>96</v>
      </c>
      <c r="E2699" s="2"/>
      <c r="F2699" s="2"/>
      <c r="G2699" s="2" t="s">
        <v>65</v>
      </c>
      <c r="H2699" s="2">
        <v>3</v>
      </c>
      <c r="I2699" s="8">
        <v>116</v>
      </c>
      <c r="J2699" s="8">
        <v>38667</v>
      </c>
      <c r="K2699" s="3">
        <v>0</v>
      </c>
      <c r="L2699" s="3" t="s">
        <v>3</v>
      </c>
      <c r="M2699" s="9" t="s">
        <v>0</v>
      </c>
      <c r="N2699" s="9" t="s">
        <v>54</v>
      </c>
      <c r="O2699" s="9" t="s">
        <v>606</v>
      </c>
      <c r="S2699" s="9" t="s">
        <v>158</v>
      </c>
      <c r="T2699" s="10" t="s">
        <v>65</v>
      </c>
      <c r="U2699" s="10">
        <v>3</v>
      </c>
      <c r="V2699" s="10">
        <v>116</v>
      </c>
      <c r="W2699" s="10" t="s">
        <v>710</v>
      </c>
      <c r="X2699" s="17">
        <v>45693</v>
      </c>
      <c r="Y2699" s="17">
        <v>45693</v>
      </c>
      <c r="Z2699" s="19" t="s">
        <v>772</v>
      </c>
      <c r="AA2699" s="210">
        <v>36000</v>
      </c>
      <c r="AB2699" s="9">
        <v>48</v>
      </c>
      <c r="AC2699" s="9">
        <v>14</v>
      </c>
      <c r="AD2699" s="17">
        <v>46172</v>
      </c>
      <c r="AE2699" s="56">
        <v>500</v>
      </c>
      <c r="AF2699" s="56"/>
      <c r="AL2699" s="9"/>
      <c r="AM2699" s="9"/>
      <c r="AN2699" s="9"/>
      <c r="AP2699" s="11"/>
      <c r="AQ2699" s="11"/>
      <c r="AR2699" s="11"/>
      <c r="AW2699" s="9"/>
      <c r="BD2699" s="9"/>
      <c r="CS2699" s="11">
        <f t="shared" si="186"/>
        <v>0</v>
      </c>
      <c r="CT2699" s="22">
        <f t="shared" si="187"/>
        <v>0</v>
      </c>
      <c r="CU2699" s="22">
        <f t="shared" si="188"/>
        <v>0</v>
      </c>
      <c r="CV2699" s="26">
        <f t="shared" si="185"/>
        <v>500</v>
      </c>
    </row>
    <row r="2700" spans="1:100" x14ac:dyDescent="0.2">
      <c r="A2700" s="9" t="s">
        <v>605</v>
      </c>
      <c r="B2700" s="2">
        <v>3</v>
      </c>
      <c r="C2700" s="3" t="s">
        <v>95</v>
      </c>
      <c r="D2700" s="3" t="s">
        <v>96</v>
      </c>
      <c r="E2700" s="2"/>
      <c r="F2700" s="2"/>
      <c r="G2700" s="2" t="s">
        <v>65</v>
      </c>
      <c r="H2700" s="2">
        <v>3</v>
      </c>
      <c r="I2700" s="8">
        <v>116</v>
      </c>
      <c r="J2700" s="8">
        <v>38667</v>
      </c>
      <c r="K2700" s="3">
        <v>0</v>
      </c>
      <c r="L2700" s="3" t="s">
        <v>3</v>
      </c>
      <c r="M2700" s="9" t="s">
        <v>0</v>
      </c>
      <c r="N2700" s="9" t="s">
        <v>54</v>
      </c>
      <c r="O2700" s="9" t="s">
        <v>606</v>
      </c>
      <c r="S2700" s="9" t="s">
        <v>158</v>
      </c>
      <c r="T2700" s="10" t="s">
        <v>65</v>
      </c>
      <c r="U2700" s="10">
        <v>3</v>
      </c>
      <c r="V2700" s="10">
        <v>116</v>
      </c>
      <c r="W2700" s="10" t="s">
        <v>710</v>
      </c>
      <c r="X2700" s="17">
        <v>45693</v>
      </c>
      <c r="Y2700" s="17">
        <v>45693</v>
      </c>
      <c r="Z2700" s="19" t="s">
        <v>772</v>
      </c>
      <c r="AA2700" s="210">
        <v>36000</v>
      </c>
      <c r="AB2700" s="9">
        <v>48</v>
      </c>
      <c r="AC2700" s="9">
        <v>15</v>
      </c>
      <c r="AD2700" s="17">
        <v>46203</v>
      </c>
      <c r="AE2700" s="56">
        <v>500</v>
      </c>
      <c r="AF2700" s="56"/>
      <c r="AL2700" s="9"/>
      <c r="AM2700" s="9"/>
      <c r="AN2700" s="9"/>
      <c r="AP2700" s="11"/>
      <c r="AQ2700" s="11"/>
      <c r="AR2700" s="11"/>
      <c r="AW2700" s="9"/>
      <c r="BD2700" s="9"/>
      <c r="CS2700" s="11">
        <f t="shared" si="186"/>
        <v>0</v>
      </c>
      <c r="CT2700" s="22">
        <f t="shared" si="187"/>
        <v>0</v>
      </c>
      <c r="CU2700" s="22">
        <f t="shared" si="188"/>
        <v>0</v>
      </c>
      <c r="CV2700" s="26">
        <f t="shared" si="185"/>
        <v>500</v>
      </c>
    </row>
    <row r="2701" spans="1:100" x14ac:dyDescent="0.2">
      <c r="A2701" s="9" t="s">
        <v>605</v>
      </c>
      <c r="B2701" s="2">
        <v>3</v>
      </c>
      <c r="C2701" s="3" t="s">
        <v>95</v>
      </c>
      <c r="D2701" s="3" t="s">
        <v>96</v>
      </c>
      <c r="E2701" s="2"/>
      <c r="F2701" s="2"/>
      <c r="G2701" s="2" t="s">
        <v>65</v>
      </c>
      <c r="H2701" s="2">
        <v>3</v>
      </c>
      <c r="I2701" s="8">
        <v>116</v>
      </c>
      <c r="J2701" s="8">
        <v>38667</v>
      </c>
      <c r="K2701" s="3">
        <v>0</v>
      </c>
      <c r="L2701" s="3" t="s">
        <v>3</v>
      </c>
      <c r="M2701" s="9" t="s">
        <v>0</v>
      </c>
      <c r="N2701" s="9" t="s">
        <v>54</v>
      </c>
      <c r="O2701" s="9" t="s">
        <v>606</v>
      </c>
      <c r="S2701" s="9" t="s">
        <v>158</v>
      </c>
      <c r="T2701" s="10" t="s">
        <v>65</v>
      </c>
      <c r="U2701" s="10">
        <v>3</v>
      </c>
      <c r="V2701" s="10">
        <v>116</v>
      </c>
      <c r="W2701" s="10" t="s">
        <v>710</v>
      </c>
      <c r="X2701" s="17">
        <v>45693</v>
      </c>
      <c r="Y2701" s="17">
        <v>45693</v>
      </c>
      <c r="Z2701" s="19" t="s">
        <v>772</v>
      </c>
      <c r="AA2701" s="210">
        <v>36000</v>
      </c>
      <c r="AB2701" s="9">
        <v>48</v>
      </c>
      <c r="AC2701" s="9">
        <v>16</v>
      </c>
      <c r="AD2701" s="17">
        <v>46233</v>
      </c>
      <c r="AE2701" s="56">
        <v>500</v>
      </c>
      <c r="AF2701" s="56"/>
      <c r="AL2701" s="9"/>
      <c r="AM2701" s="9"/>
      <c r="AN2701" s="9"/>
      <c r="AP2701" s="11"/>
      <c r="AQ2701" s="11"/>
      <c r="AR2701" s="11"/>
      <c r="AW2701" s="9"/>
      <c r="BD2701" s="9"/>
      <c r="CS2701" s="11">
        <f t="shared" si="186"/>
        <v>0</v>
      </c>
      <c r="CT2701" s="22">
        <f t="shared" si="187"/>
        <v>0</v>
      </c>
      <c r="CU2701" s="22">
        <f t="shared" si="188"/>
        <v>0</v>
      </c>
      <c r="CV2701" s="26">
        <f t="shared" si="185"/>
        <v>500</v>
      </c>
    </row>
    <row r="2702" spans="1:100" x14ac:dyDescent="0.2">
      <c r="A2702" s="9" t="s">
        <v>605</v>
      </c>
      <c r="B2702" s="2">
        <v>3</v>
      </c>
      <c r="C2702" s="3" t="s">
        <v>95</v>
      </c>
      <c r="D2702" s="3" t="s">
        <v>96</v>
      </c>
      <c r="E2702" s="2"/>
      <c r="F2702" s="2"/>
      <c r="G2702" s="2" t="s">
        <v>65</v>
      </c>
      <c r="H2702" s="2">
        <v>3</v>
      </c>
      <c r="I2702" s="8">
        <v>116</v>
      </c>
      <c r="J2702" s="8">
        <v>38667</v>
      </c>
      <c r="K2702" s="3">
        <v>0</v>
      </c>
      <c r="L2702" s="3" t="s">
        <v>3</v>
      </c>
      <c r="M2702" s="9" t="s">
        <v>0</v>
      </c>
      <c r="N2702" s="9" t="s">
        <v>54</v>
      </c>
      <c r="O2702" s="9" t="s">
        <v>606</v>
      </c>
      <c r="S2702" s="9" t="s">
        <v>158</v>
      </c>
      <c r="T2702" s="10" t="s">
        <v>65</v>
      </c>
      <c r="U2702" s="10">
        <v>3</v>
      </c>
      <c r="V2702" s="10">
        <v>116</v>
      </c>
      <c r="W2702" s="10" t="s">
        <v>710</v>
      </c>
      <c r="X2702" s="17">
        <v>45693</v>
      </c>
      <c r="Y2702" s="17">
        <v>45693</v>
      </c>
      <c r="Z2702" s="19" t="s">
        <v>772</v>
      </c>
      <c r="AA2702" s="210">
        <v>36000</v>
      </c>
      <c r="AB2702" s="9">
        <v>48</v>
      </c>
      <c r="AC2702" s="9">
        <v>17</v>
      </c>
      <c r="AD2702" s="17">
        <v>46264</v>
      </c>
      <c r="AE2702" s="56">
        <v>500</v>
      </c>
      <c r="AF2702" s="56"/>
      <c r="AL2702" s="9"/>
      <c r="AM2702" s="9"/>
      <c r="AN2702" s="9"/>
      <c r="AP2702" s="11"/>
      <c r="AQ2702" s="11"/>
      <c r="AR2702" s="11"/>
      <c r="AW2702" s="9"/>
      <c r="BD2702" s="9"/>
      <c r="CS2702" s="11">
        <f t="shared" si="186"/>
        <v>0</v>
      </c>
      <c r="CT2702" s="22">
        <f t="shared" si="187"/>
        <v>0</v>
      </c>
      <c r="CU2702" s="22">
        <f t="shared" si="188"/>
        <v>0</v>
      </c>
      <c r="CV2702" s="26">
        <f t="shared" si="185"/>
        <v>500</v>
      </c>
    </row>
    <row r="2703" spans="1:100" x14ac:dyDescent="0.2">
      <c r="A2703" s="9" t="s">
        <v>605</v>
      </c>
      <c r="B2703" s="2">
        <v>3</v>
      </c>
      <c r="C2703" s="3" t="s">
        <v>95</v>
      </c>
      <c r="D2703" s="3" t="s">
        <v>96</v>
      </c>
      <c r="E2703" s="2"/>
      <c r="F2703" s="2"/>
      <c r="G2703" s="2" t="s">
        <v>65</v>
      </c>
      <c r="H2703" s="2">
        <v>3</v>
      </c>
      <c r="I2703" s="8">
        <v>116</v>
      </c>
      <c r="J2703" s="8">
        <v>38667</v>
      </c>
      <c r="K2703" s="3">
        <v>0</v>
      </c>
      <c r="L2703" s="3" t="s">
        <v>3</v>
      </c>
      <c r="M2703" s="9" t="s">
        <v>0</v>
      </c>
      <c r="N2703" s="9" t="s">
        <v>54</v>
      </c>
      <c r="O2703" s="9" t="s">
        <v>606</v>
      </c>
      <c r="S2703" s="9" t="s">
        <v>158</v>
      </c>
      <c r="T2703" s="10" t="s">
        <v>65</v>
      </c>
      <c r="U2703" s="10">
        <v>3</v>
      </c>
      <c r="V2703" s="10">
        <v>116</v>
      </c>
      <c r="W2703" s="10" t="s">
        <v>710</v>
      </c>
      <c r="X2703" s="17">
        <v>45693</v>
      </c>
      <c r="Y2703" s="17">
        <v>45693</v>
      </c>
      <c r="Z2703" s="19" t="s">
        <v>772</v>
      </c>
      <c r="AA2703" s="210">
        <v>36000</v>
      </c>
      <c r="AB2703" s="9">
        <v>48</v>
      </c>
      <c r="AC2703" s="9">
        <v>18</v>
      </c>
      <c r="AD2703" s="17">
        <v>46295</v>
      </c>
      <c r="AE2703" s="56">
        <v>500</v>
      </c>
      <c r="AF2703" s="56"/>
      <c r="AL2703" s="9"/>
      <c r="AM2703" s="9"/>
      <c r="AN2703" s="9"/>
      <c r="AP2703" s="11"/>
      <c r="AQ2703" s="11"/>
      <c r="AR2703" s="11"/>
      <c r="AW2703" s="9"/>
      <c r="BD2703" s="9"/>
      <c r="CS2703" s="11">
        <f t="shared" si="186"/>
        <v>0</v>
      </c>
      <c r="CT2703" s="22">
        <f t="shared" si="187"/>
        <v>0</v>
      </c>
      <c r="CU2703" s="22">
        <f t="shared" si="188"/>
        <v>0</v>
      </c>
      <c r="CV2703" s="26">
        <f t="shared" si="185"/>
        <v>500</v>
      </c>
    </row>
    <row r="2704" spans="1:100" x14ac:dyDescent="0.2">
      <c r="A2704" s="9" t="s">
        <v>605</v>
      </c>
      <c r="B2704" s="2">
        <v>3</v>
      </c>
      <c r="C2704" s="3" t="s">
        <v>95</v>
      </c>
      <c r="D2704" s="3" t="s">
        <v>96</v>
      </c>
      <c r="E2704" s="2"/>
      <c r="F2704" s="2"/>
      <c r="G2704" s="2" t="s">
        <v>65</v>
      </c>
      <c r="H2704" s="2">
        <v>3</v>
      </c>
      <c r="I2704" s="8">
        <v>116</v>
      </c>
      <c r="J2704" s="8">
        <v>38667</v>
      </c>
      <c r="K2704" s="3">
        <v>0</v>
      </c>
      <c r="L2704" s="3" t="s">
        <v>3</v>
      </c>
      <c r="M2704" s="9" t="s">
        <v>0</v>
      </c>
      <c r="N2704" s="9" t="s">
        <v>54</v>
      </c>
      <c r="O2704" s="9" t="s">
        <v>606</v>
      </c>
      <c r="S2704" s="9" t="s">
        <v>158</v>
      </c>
      <c r="T2704" s="10" t="s">
        <v>65</v>
      </c>
      <c r="U2704" s="10">
        <v>3</v>
      </c>
      <c r="V2704" s="10">
        <v>116</v>
      </c>
      <c r="W2704" s="10" t="s">
        <v>710</v>
      </c>
      <c r="X2704" s="17">
        <v>45693</v>
      </c>
      <c r="Y2704" s="17">
        <v>45693</v>
      </c>
      <c r="Z2704" s="19" t="s">
        <v>772</v>
      </c>
      <c r="AA2704" s="210">
        <v>36000</v>
      </c>
      <c r="AB2704" s="9">
        <v>48</v>
      </c>
      <c r="AC2704" s="9">
        <v>19</v>
      </c>
      <c r="AD2704" s="17">
        <v>46325</v>
      </c>
      <c r="AE2704" s="56">
        <v>500</v>
      </c>
      <c r="AF2704" s="56"/>
      <c r="AL2704" s="9"/>
      <c r="AM2704" s="9"/>
      <c r="AN2704" s="9"/>
      <c r="AP2704" s="11"/>
      <c r="AQ2704" s="11"/>
      <c r="AR2704" s="11"/>
      <c r="AW2704" s="9"/>
      <c r="BD2704" s="9"/>
      <c r="CS2704" s="11">
        <f t="shared" si="186"/>
        <v>0</v>
      </c>
      <c r="CT2704" s="22">
        <f t="shared" si="187"/>
        <v>0</v>
      </c>
      <c r="CU2704" s="22">
        <f t="shared" si="188"/>
        <v>0</v>
      </c>
      <c r="CV2704" s="26">
        <f t="shared" si="185"/>
        <v>500</v>
      </c>
    </row>
    <row r="2705" spans="1:100" x14ac:dyDescent="0.2">
      <c r="A2705" s="9" t="s">
        <v>605</v>
      </c>
      <c r="B2705" s="2">
        <v>3</v>
      </c>
      <c r="C2705" s="3" t="s">
        <v>95</v>
      </c>
      <c r="D2705" s="3" t="s">
        <v>96</v>
      </c>
      <c r="E2705" s="2"/>
      <c r="F2705" s="2"/>
      <c r="G2705" s="2" t="s">
        <v>65</v>
      </c>
      <c r="H2705" s="2">
        <v>3</v>
      </c>
      <c r="I2705" s="8">
        <v>116</v>
      </c>
      <c r="J2705" s="8">
        <v>38667</v>
      </c>
      <c r="K2705" s="3">
        <v>0</v>
      </c>
      <c r="L2705" s="3" t="s">
        <v>3</v>
      </c>
      <c r="M2705" s="9" t="s">
        <v>0</v>
      </c>
      <c r="N2705" s="9" t="s">
        <v>54</v>
      </c>
      <c r="O2705" s="9" t="s">
        <v>606</v>
      </c>
      <c r="S2705" s="9" t="s">
        <v>158</v>
      </c>
      <c r="T2705" s="10" t="s">
        <v>65</v>
      </c>
      <c r="U2705" s="10">
        <v>3</v>
      </c>
      <c r="V2705" s="10">
        <v>116</v>
      </c>
      <c r="W2705" s="10" t="s">
        <v>710</v>
      </c>
      <c r="X2705" s="17">
        <v>45693</v>
      </c>
      <c r="Y2705" s="17">
        <v>45693</v>
      </c>
      <c r="Z2705" s="19" t="s">
        <v>772</v>
      </c>
      <c r="AA2705" s="210">
        <v>36000</v>
      </c>
      <c r="AB2705" s="9">
        <v>48</v>
      </c>
      <c r="AC2705" s="9">
        <v>20</v>
      </c>
      <c r="AD2705" s="17">
        <v>46356</v>
      </c>
      <c r="AE2705" s="56">
        <v>500</v>
      </c>
      <c r="AF2705" s="56"/>
      <c r="AL2705" s="9"/>
      <c r="AM2705" s="9"/>
      <c r="AN2705" s="9"/>
      <c r="AP2705" s="11"/>
      <c r="AQ2705" s="11"/>
      <c r="AR2705" s="11"/>
      <c r="AW2705" s="9"/>
      <c r="BD2705" s="9"/>
      <c r="CS2705" s="11">
        <f t="shared" si="186"/>
        <v>0</v>
      </c>
      <c r="CT2705" s="22">
        <f t="shared" si="187"/>
        <v>0</v>
      </c>
      <c r="CU2705" s="22">
        <f t="shared" si="188"/>
        <v>0</v>
      </c>
      <c r="CV2705" s="26">
        <f t="shared" si="185"/>
        <v>500</v>
      </c>
    </row>
    <row r="2706" spans="1:100" x14ac:dyDescent="0.2">
      <c r="A2706" s="9" t="s">
        <v>605</v>
      </c>
      <c r="B2706" s="2">
        <v>3</v>
      </c>
      <c r="C2706" s="3" t="s">
        <v>95</v>
      </c>
      <c r="D2706" s="3" t="s">
        <v>96</v>
      </c>
      <c r="E2706" s="2"/>
      <c r="F2706" s="2"/>
      <c r="G2706" s="2" t="s">
        <v>65</v>
      </c>
      <c r="H2706" s="2">
        <v>3</v>
      </c>
      <c r="I2706" s="8">
        <v>116</v>
      </c>
      <c r="J2706" s="8">
        <v>38667</v>
      </c>
      <c r="K2706" s="3">
        <v>0</v>
      </c>
      <c r="L2706" s="3" t="s">
        <v>3</v>
      </c>
      <c r="M2706" s="9" t="s">
        <v>0</v>
      </c>
      <c r="N2706" s="9" t="s">
        <v>54</v>
      </c>
      <c r="O2706" s="9" t="s">
        <v>606</v>
      </c>
      <c r="S2706" s="9" t="s">
        <v>158</v>
      </c>
      <c r="T2706" s="10" t="s">
        <v>65</v>
      </c>
      <c r="U2706" s="10">
        <v>3</v>
      </c>
      <c r="V2706" s="10">
        <v>116</v>
      </c>
      <c r="W2706" s="10" t="s">
        <v>710</v>
      </c>
      <c r="X2706" s="17">
        <v>45693</v>
      </c>
      <c r="Y2706" s="17">
        <v>45693</v>
      </c>
      <c r="Z2706" s="19" t="s">
        <v>772</v>
      </c>
      <c r="AA2706" s="210">
        <v>36000</v>
      </c>
      <c r="AB2706" s="9">
        <v>48</v>
      </c>
      <c r="AC2706" s="9">
        <v>21</v>
      </c>
      <c r="AD2706" s="17">
        <v>46386</v>
      </c>
      <c r="AE2706" s="56">
        <v>500</v>
      </c>
      <c r="AF2706" s="56"/>
      <c r="AL2706" s="9"/>
      <c r="AM2706" s="9"/>
      <c r="AN2706" s="9"/>
      <c r="AP2706" s="11"/>
      <c r="AQ2706" s="11"/>
      <c r="AR2706" s="11"/>
      <c r="AW2706" s="9"/>
      <c r="BD2706" s="9"/>
      <c r="CS2706" s="11">
        <f t="shared" si="186"/>
        <v>0</v>
      </c>
      <c r="CT2706" s="22">
        <f t="shared" si="187"/>
        <v>0</v>
      </c>
      <c r="CU2706" s="22">
        <f t="shared" si="188"/>
        <v>0</v>
      </c>
      <c r="CV2706" s="26">
        <f t="shared" si="185"/>
        <v>500</v>
      </c>
    </row>
    <row r="2707" spans="1:100" x14ac:dyDescent="0.2">
      <c r="A2707" s="9" t="s">
        <v>605</v>
      </c>
      <c r="B2707" s="2">
        <v>3</v>
      </c>
      <c r="C2707" s="3" t="s">
        <v>95</v>
      </c>
      <c r="D2707" s="3" t="s">
        <v>96</v>
      </c>
      <c r="E2707" s="2"/>
      <c r="F2707" s="2"/>
      <c r="G2707" s="2" t="s">
        <v>65</v>
      </c>
      <c r="H2707" s="2">
        <v>3</v>
      </c>
      <c r="I2707" s="8">
        <v>116</v>
      </c>
      <c r="J2707" s="8">
        <v>38667</v>
      </c>
      <c r="K2707" s="3">
        <v>0</v>
      </c>
      <c r="L2707" s="3" t="s">
        <v>3</v>
      </c>
      <c r="M2707" s="9" t="s">
        <v>0</v>
      </c>
      <c r="N2707" s="9" t="s">
        <v>54</v>
      </c>
      <c r="O2707" s="9" t="s">
        <v>606</v>
      </c>
      <c r="S2707" s="9" t="s">
        <v>158</v>
      </c>
      <c r="T2707" s="10" t="s">
        <v>65</v>
      </c>
      <c r="U2707" s="10">
        <v>3</v>
      </c>
      <c r="V2707" s="10">
        <v>116</v>
      </c>
      <c r="W2707" s="10" t="s">
        <v>710</v>
      </c>
      <c r="X2707" s="17">
        <v>45693</v>
      </c>
      <c r="Y2707" s="17">
        <v>45693</v>
      </c>
      <c r="Z2707" s="19" t="s">
        <v>772</v>
      </c>
      <c r="AA2707" s="210">
        <v>36000</v>
      </c>
      <c r="AB2707" s="9">
        <v>48</v>
      </c>
      <c r="AC2707" s="9">
        <v>22</v>
      </c>
      <c r="AD2707" s="17">
        <v>46417</v>
      </c>
      <c r="AE2707" s="56">
        <v>500</v>
      </c>
      <c r="AF2707" s="56"/>
      <c r="AL2707" s="9"/>
      <c r="AM2707" s="9"/>
      <c r="AN2707" s="9"/>
      <c r="AP2707" s="11"/>
      <c r="AQ2707" s="11"/>
      <c r="AR2707" s="11"/>
      <c r="AW2707" s="9"/>
      <c r="BD2707" s="9"/>
      <c r="CS2707" s="11">
        <f t="shared" si="186"/>
        <v>0</v>
      </c>
      <c r="CT2707" s="22">
        <f t="shared" si="187"/>
        <v>0</v>
      </c>
      <c r="CU2707" s="22">
        <f t="shared" si="188"/>
        <v>0</v>
      </c>
      <c r="CV2707" s="26">
        <f t="shared" si="185"/>
        <v>500</v>
      </c>
    </row>
    <row r="2708" spans="1:100" x14ac:dyDescent="0.2">
      <c r="A2708" s="9" t="s">
        <v>605</v>
      </c>
      <c r="B2708" s="2">
        <v>3</v>
      </c>
      <c r="C2708" s="3" t="s">
        <v>95</v>
      </c>
      <c r="D2708" s="3" t="s">
        <v>96</v>
      </c>
      <c r="E2708" s="2"/>
      <c r="F2708" s="2"/>
      <c r="G2708" s="2" t="s">
        <v>65</v>
      </c>
      <c r="H2708" s="2">
        <v>3</v>
      </c>
      <c r="I2708" s="8">
        <v>116</v>
      </c>
      <c r="J2708" s="8">
        <v>38667</v>
      </c>
      <c r="K2708" s="3">
        <v>0</v>
      </c>
      <c r="L2708" s="3" t="s">
        <v>3</v>
      </c>
      <c r="M2708" s="9" t="s">
        <v>0</v>
      </c>
      <c r="N2708" s="9" t="s">
        <v>54</v>
      </c>
      <c r="O2708" s="9" t="s">
        <v>606</v>
      </c>
      <c r="S2708" s="9" t="s">
        <v>158</v>
      </c>
      <c r="T2708" s="10" t="s">
        <v>65</v>
      </c>
      <c r="U2708" s="10">
        <v>3</v>
      </c>
      <c r="V2708" s="10">
        <v>116</v>
      </c>
      <c r="W2708" s="10" t="s">
        <v>710</v>
      </c>
      <c r="X2708" s="17">
        <v>45693</v>
      </c>
      <c r="Y2708" s="17">
        <v>45693</v>
      </c>
      <c r="Z2708" s="19" t="s">
        <v>772</v>
      </c>
      <c r="AA2708" s="210">
        <v>36000</v>
      </c>
      <c r="AB2708" s="9">
        <v>48</v>
      </c>
      <c r="AC2708" s="9">
        <v>23</v>
      </c>
      <c r="AD2708" s="17">
        <v>46446</v>
      </c>
      <c r="AE2708" s="56">
        <v>500</v>
      </c>
      <c r="AF2708" s="56"/>
      <c r="AL2708" s="9"/>
      <c r="AM2708" s="9"/>
      <c r="AN2708" s="9"/>
      <c r="AP2708" s="11"/>
      <c r="AQ2708" s="11"/>
      <c r="AR2708" s="11"/>
      <c r="AW2708" s="9"/>
      <c r="BD2708" s="9"/>
      <c r="CS2708" s="11">
        <f t="shared" si="186"/>
        <v>0</v>
      </c>
      <c r="CT2708" s="22">
        <f t="shared" si="187"/>
        <v>0</v>
      </c>
      <c r="CU2708" s="22">
        <f t="shared" si="188"/>
        <v>0</v>
      </c>
      <c r="CV2708" s="26">
        <f t="shared" si="185"/>
        <v>500</v>
      </c>
    </row>
    <row r="2709" spans="1:100" x14ac:dyDescent="0.2">
      <c r="A2709" s="9" t="s">
        <v>605</v>
      </c>
      <c r="B2709" s="2">
        <v>3</v>
      </c>
      <c r="C2709" s="3" t="s">
        <v>95</v>
      </c>
      <c r="D2709" s="3" t="s">
        <v>96</v>
      </c>
      <c r="E2709" s="2"/>
      <c r="F2709" s="2"/>
      <c r="G2709" s="2" t="s">
        <v>65</v>
      </c>
      <c r="H2709" s="2">
        <v>3</v>
      </c>
      <c r="I2709" s="8">
        <v>116</v>
      </c>
      <c r="J2709" s="8">
        <v>38667</v>
      </c>
      <c r="K2709" s="3">
        <v>0</v>
      </c>
      <c r="L2709" s="3" t="s">
        <v>3</v>
      </c>
      <c r="M2709" s="9" t="s">
        <v>0</v>
      </c>
      <c r="N2709" s="9" t="s">
        <v>54</v>
      </c>
      <c r="O2709" s="9" t="s">
        <v>606</v>
      </c>
      <c r="S2709" s="9" t="s">
        <v>158</v>
      </c>
      <c r="T2709" s="10" t="s">
        <v>65</v>
      </c>
      <c r="U2709" s="10">
        <v>3</v>
      </c>
      <c r="V2709" s="10">
        <v>116</v>
      </c>
      <c r="W2709" s="10" t="s">
        <v>710</v>
      </c>
      <c r="X2709" s="17">
        <v>45693</v>
      </c>
      <c r="Y2709" s="17">
        <v>45693</v>
      </c>
      <c r="Z2709" s="19" t="s">
        <v>772</v>
      </c>
      <c r="AA2709" s="210">
        <v>36000</v>
      </c>
      <c r="AB2709" s="9">
        <v>48</v>
      </c>
      <c r="AC2709" s="9">
        <v>24</v>
      </c>
      <c r="AD2709" s="17">
        <v>46476</v>
      </c>
      <c r="AE2709" s="56">
        <v>500</v>
      </c>
      <c r="AF2709" s="56"/>
      <c r="AL2709" s="9"/>
      <c r="AM2709" s="9"/>
      <c r="AN2709" s="9"/>
      <c r="AP2709" s="11"/>
      <c r="AQ2709" s="11"/>
      <c r="AR2709" s="11"/>
      <c r="AW2709" s="9"/>
      <c r="BD2709" s="9"/>
      <c r="CS2709" s="11">
        <f t="shared" si="186"/>
        <v>0</v>
      </c>
      <c r="CT2709" s="22">
        <f t="shared" si="187"/>
        <v>0</v>
      </c>
      <c r="CU2709" s="22">
        <f t="shared" si="188"/>
        <v>0</v>
      </c>
      <c r="CV2709" s="26">
        <f t="shared" si="185"/>
        <v>500</v>
      </c>
    </row>
    <row r="2710" spans="1:100" x14ac:dyDescent="0.2">
      <c r="A2710" s="9" t="s">
        <v>605</v>
      </c>
      <c r="B2710" s="2">
        <v>3</v>
      </c>
      <c r="C2710" s="3" t="s">
        <v>95</v>
      </c>
      <c r="D2710" s="3" t="s">
        <v>96</v>
      </c>
      <c r="E2710" s="2"/>
      <c r="F2710" s="2"/>
      <c r="G2710" s="2" t="s">
        <v>65</v>
      </c>
      <c r="H2710" s="2">
        <v>3</v>
      </c>
      <c r="I2710" s="8">
        <v>116</v>
      </c>
      <c r="J2710" s="8">
        <v>38667</v>
      </c>
      <c r="K2710" s="3">
        <v>0</v>
      </c>
      <c r="L2710" s="3" t="s">
        <v>3</v>
      </c>
      <c r="M2710" s="9" t="s">
        <v>0</v>
      </c>
      <c r="N2710" s="9" t="s">
        <v>54</v>
      </c>
      <c r="O2710" s="9" t="s">
        <v>606</v>
      </c>
      <c r="S2710" s="9" t="s">
        <v>158</v>
      </c>
      <c r="T2710" s="10" t="s">
        <v>65</v>
      </c>
      <c r="U2710" s="10">
        <v>3</v>
      </c>
      <c r="V2710" s="10">
        <v>116</v>
      </c>
      <c r="W2710" s="10" t="s">
        <v>710</v>
      </c>
      <c r="X2710" s="17">
        <v>45693</v>
      </c>
      <c r="Y2710" s="17">
        <v>45693</v>
      </c>
      <c r="Z2710" s="19" t="s">
        <v>772</v>
      </c>
      <c r="AA2710" s="210">
        <v>36000</v>
      </c>
      <c r="AB2710" s="9">
        <v>48</v>
      </c>
      <c r="AC2710" s="9">
        <v>25</v>
      </c>
      <c r="AD2710" s="17">
        <v>46507</v>
      </c>
      <c r="AE2710" s="56">
        <v>500</v>
      </c>
      <c r="AF2710" s="56"/>
      <c r="AL2710" s="9"/>
      <c r="AM2710" s="9"/>
      <c r="AN2710" s="9"/>
      <c r="AP2710" s="11"/>
      <c r="AQ2710" s="11"/>
      <c r="AR2710" s="11"/>
      <c r="AW2710" s="9"/>
      <c r="BD2710" s="9"/>
      <c r="CS2710" s="11">
        <f t="shared" si="186"/>
        <v>0</v>
      </c>
      <c r="CT2710" s="22">
        <f t="shared" si="187"/>
        <v>0</v>
      </c>
      <c r="CU2710" s="22">
        <f t="shared" si="188"/>
        <v>0</v>
      </c>
      <c r="CV2710" s="26">
        <f t="shared" si="185"/>
        <v>500</v>
      </c>
    </row>
    <row r="2711" spans="1:100" x14ac:dyDescent="0.2">
      <c r="A2711" s="9" t="s">
        <v>605</v>
      </c>
      <c r="B2711" s="2">
        <v>3</v>
      </c>
      <c r="C2711" s="3" t="s">
        <v>95</v>
      </c>
      <c r="D2711" s="3" t="s">
        <v>96</v>
      </c>
      <c r="E2711" s="2"/>
      <c r="F2711" s="2"/>
      <c r="G2711" s="2" t="s">
        <v>65</v>
      </c>
      <c r="H2711" s="2">
        <v>3</v>
      </c>
      <c r="I2711" s="8">
        <v>116</v>
      </c>
      <c r="J2711" s="8">
        <v>38667</v>
      </c>
      <c r="K2711" s="3">
        <v>0</v>
      </c>
      <c r="L2711" s="3" t="s">
        <v>3</v>
      </c>
      <c r="M2711" s="9" t="s">
        <v>0</v>
      </c>
      <c r="N2711" s="9" t="s">
        <v>54</v>
      </c>
      <c r="O2711" s="9" t="s">
        <v>606</v>
      </c>
      <c r="S2711" s="9" t="s">
        <v>158</v>
      </c>
      <c r="T2711" s="10" t="s">
        <v>65</v>
      </c>
      <c r="U2711" s="10">
        <v>3</v>
      </c>
      <c r="V2711" s="10">
        <v>116</v>
      </c>
      <c r="W2711" s="10" t="s">
        <v>710</v>
      </c>
      <c r="X2711" s="17">
        <v>45693</v>
      </c>
      <c r="Y2711" s="17">
        <v>45693</v>
      </c>
      <c r="Z2711" s="19" t="s">
        <v>772</v>
      </c>
      <c r="AA2711" s="210">
        <v>36000</v>
      </c>
      <c r="AB2711" s="9">
        <v>48</v>
      </c>
      <c r="AC2711" s="9">
        <v>26</v>
      </c>
      <c r="AD2711" s="17">
        <v>46537</v>
      </c>
      <c r="AE2711" s="56">
        <v>500</v>
      </c>
      <c r="AF2711" s="56"/>
      <c r="AL2711" s="9"/>
      <c r="AM2711" s="9"/>
      <c r="AN2711" s="9"/>
      <c r="AP2711" s="11"/>
      <c r="AQ2711" s="11"/>
      <c r="AR2711" s="11"/>
      <c r="AW2711" s="9"/>
      <c r="BD2711" s="9"/>
      <c r="CS2711" s="11">
        <f t="shared" si="186"/>
        <v>0</v>
      </c>
      <c r="CT2711" s="22">
        <f t="shared" si="187"/>
        <v>0</v>
      </c>
      <c r="CU2711" s="22">
        <f t="shared" si="188"/>
        <v>0</v>
      </c>
      <c r="CV2711" s="26">
        <f t="shared" si="185"/>
        <v>500</v>
      </c>
    </row>
    <row r="2712" spans="1:100" x14ac:dyDescent="0.2">
      <c r="A2712" s="9" t="s">
        <v>605</v>
      </c>
      <c r="B2712" s="2">
        <v>3</v>
      </c>
      <c r="C2712" s="3" t="s">
        <v>95</v>
      </c>
      <c r="D2712" s="3" t="s">
        <v>96</v>
      </c>
      <c r="E2712" s="2"/>
      <c r="F2712" s="2"/>
      <c r="G2712" s="2" t="s">
        <v>65</v>
      </c>
      <c r="H2712" s="2">
        <v>3</v>
      </c>
      <c r="I2712" s="8">
        <v>116</v>
      </c>
      <c r="J2712" s="8">
        <v>38667</v>
      </c>
      <c r="K2712" s="3">
        <v>0</v>
      </c>
      <c r="L2712" s="3" t="s">
        <v>3</v>
      </c>
      <c r="M2712" s="9" t="s">
        <v>0</v>
      </c>
      <c r="N2712" s="9" t="s">
        <v>54</v>
      </c>
      <c r="O2712" s="9" t="s">
        <v>606</v>
      </c>
      <c r="S2712" s="9" t="s">
        <v>158</v>
      </c>
      <c r="T2712" s="10" t="s">
        <v>65</v>
      </c>
      <c r="U2712" s="10">
        <v>3</v>
      </c>
      <c r="V2712" s="10">
        <v>116</v>
      </c>
      <c r="W2712" s="10" t="s">
        <v>710</v>
      </c>
      <c r="X2712" s="17">
        <v>45693</v>
      </c>
      <c r="Y2712" s="17">
        <v>45693</v>
      </c>
      <c r="Z2712" s="19" t="s">
        <v>772</v>
      </c>
      <c r="AA2712" s="210">
        <v>36000</v>
      </c>
      <c r="AB2712" s="9">
        <v>48</v>
      </c>
      <c r="AC2712" s="9">
        <v>27</v>
      </c>
      <c r="AD2712" s="17">
        <v>46568</v>
      </c>
      <c r="AE2712" s="56">
        <v>500</v>
      </c>
      <c r="AF2712" s="56"/>
      <c r="AL2712" s="9"/>
      <c r="AM2712" s="9"/>
      <c r="AN2712" s="9"/>
      <c r="AP2712" s="11"/>
      <c r="AQ2712" s="11"/>
      <c r="AR2712" s="11"/>
      <c r="AW2712" s="9"/>
      <c r="BD2712" s="9"/>
      <c r="CS2712" s="11">
        <f t="shared" si="186"/>
        <v>0</v>
      </c>
      <c r="CT2712" s="22">
        <f t="shared" si="187"/>
        <v>0</v>
      </c>
      <c r="CU2712" s="22">
        <f t="shared" si="188"/>
        <v>0</v>
      </c>
      <c r="CV2712" s="26">
        <f t="shared" si="185"/>
        <v>500</v>
      </c>
    </row>
    <row r="2713" spans="1:100" x14ac:dyDescent="0.2">
      <c r="A2713" s="9" t="s">
        <v>605</v>
      </c>
      <c r="B2713" s="2">
        <v>3</v>
      </c>
      <c r="C2713" s="3" t="s">
        <v>95</v>
      </c>
      <c r="D2713" s="3" t="s">
        <v>96</v>
      </c>
      <c r="E2713" s="2"/>
      <c r="F2713" s="2"/>
      <c r="G2713" s="2" t="s">
        <v>65</v>
      </c>
      <c r="H2713" s="2">
        <v>3</v>
      </c>
      <c r="I2713" s="8">
        <v>116</v>
      </c>
      <c r="J2713" s="8">
        <v>38667</v>
      </c>
      <c r="K2713" s="3">
        <v>0</v>
      </c>
      <c r="L2713" s="3" t="s">
        <v>3</v>
      </c>
      <c r="M2713" s="9" t="s">
        <v>0</v>
      </c>
      <c r="N2713" s="9" t="s">
        <v>54</v>
      </c>
      <c r="O2713" s="9" t="s">
        <v>606</v>
      </c>
      <c r="S2713" s="9" t="s">
        <v>158</v>
      </c>
      <c r="T2713" s="10" t="s">
        <v>65</v>
      </c>
      <c r="U2713" s="10">
        <v>3</v>
      </c>
      <c r="V2713" s="10">
        <v>116</v>
      </c>
      <c r="W2713" s="10" t="s">
        <v>710</v>
      </c>
      <c r="X2713" s="17">
        <v>45693</v>
      </c>
      <c r="Y2713" s="17">
        <v>45693</v>
      </c>
      <c r="Z2713" s="19" t="s">
        <v>772</v>
      </c>
      <c r="AA2713" s="210">
        <v>36000</v>
      </c>
      <c r="AB2713" s="9">
        <v>48</v>
      </c>
      <c r="AC2713" s="9">
        <v>28</v>
      </c>
      <c r="AD2713" s="17">
        <v>46598</v>
      </c>
      <c r="AE2713" s="56">
        <v>500</v>
      </c>
      <c r="AF2713" s="56"/>
      <c r="AL2713" s="9"/>
      <c r="AM2713" s="9"/>
      <c r="AN2713" s="9"/>
      <c r="AP2713" s="11"/>
      <c r="AQ2713" s="11"/>
      <c r="AR2713" s="11"/>
      <c r="AW2713" s="9"/>
      <c r="BD2713" s="9"/>
      <c r="CS2713" s="11">
        <f t="shared" si="186"/>
        <v>0</v>
      </c>
      <c r="CT2713" s="22">
        <f t="shared" si="187"/>
        <v>0</v>
      </c>
      <c r="CU2713" s="22">
        <f t="shared" si="188"/>
        <v>0</v>
      </c>
      <c r="CV2713" s="26">
        <f t="shared" si="185"/>
        <v>500</v>
      </c>
    </row>
    <row r="2714" spans="1:100" x14ac:dyDescent="0.2">
      <c r="A2714" s="9" t="s">
        <v>605</v>
      </c>
      <c r="B2714" s="2">
        <v>3</v>
      </c>
      <c r="C2714" s="3" t="s">
        <v>95</v>
      </c>
      <c r="D2714" s="3" t="s">
        <v>96</v>
      </c>
      <c r="E2714" s="2"/>
      <c r="F2714" s="2"/>
      <c r="G2714" s="2" t="s">
        <v>65</v>
      </c>
      <c r="H2714" s="2">
        <v>3</v>
      </c>
      <c r="I2714" s="8">
        <v>116</v>
      </c>
      <c r="J2714" s="8">
        <v>38667</v>
      </c>
      <c r="K2714" s="3">
        <v>0</v>
      </c>
      <c r="L2714" s="3" t="s">
        <v>3</v>
      </c>
      <c r="M2714" s="9" t="s">
        <v>0</v>
      </c>
      <c r="N2714" s="9" t="s">
        <v>54</v>
      </c>
      <c r="O2714" s="9" t="s">
        <v>606</v>
      </c>
      <c r="S2714" s="9" t="s">
        <v>158</v>
      </c>
      <c r="T2714" s="10" t="s">
        <v>65</v>
      </c>
      <c r="U2714" s="10">
        <v>3</v>
      </c>
      <c r="V2714" s="10">
        <v>116</v>
      </c>
      <c r="W2714" s="10" t="s">
        <v>710</v>
      </c>
      <c r="X2714" s="17">
        <v>45693</v>
      </c>
      <c r="Y2714" s="17">
        <v>45693</v>
      </c>
      <c r="Z2714" s="19" t="s">
        <v>772</v>
      </c>
      <c r="AA2714" s="210">
        <v>36000</v>
      </c>
      <c r="AB2714" s="9">
        <v>48</v>
      </c>
      <c r="AC2714" s="9">
        <v>29</v>
      </c>
      <c r="AD2714" s="17">
        <v>46629</v>
      </c>
      <c r="AE2714" s="56">
        <v>500</v>
      </c>
      <c r="AF2714" s="56"/>
      <c r="AL2714" s="9"/>
      <c r="AM2714" s="9"/>
      <c r="AN2714" s="9"/>
      <c r="AP2714" s="11"/>
      <c r="AQ2714" s="11"/>
      <c r="AR2714" s="11"/>
      <c r="AW2714" s="9"/>
      <c r="BD2714" s="9"/>
      <c r="CS2714" s="11">
        <f t="shared" si="186"/>
        <v>0</v>
      </c>
      <c r="CT2714" s="22">
        <f t="shared" si="187"/>
        <v>0</v>
      </c>
      <c r="CU2714" s="22">
        <f t="shared" si="188"/>
        <v>0</v>
      </c>
      <c r="CV2714" s="26">
        <f t="shared" si="185"/>
        <v>500</v>
      </c>
    </row>
    <row r="2715" spans="1:100" x14ac:dyDescent="0.2">
      <c r="A2715" s="9" t="s">
        <v>605</v>
      </c>
      <c r="B2715" s="2">
        <v>3</v>
      </c>
      <c r="C2715" s="3" t="s">
        <v>95</v>
      </c>
      <c r="D2715" s="3" t="s">
        <v>96</v>
      </c>
      <c r="E2715" s="2"/>
      <c r="F2715" s="2"/>
      <c r="G2715" s="2" t="s">
        <v>65</v>
      </c>
      <c r="H2715" s="2">
        <v>3</v>
      </c>
      <c r="I2715" s="8">
        <v>116</v>
      </c>
      <c r="J2715" s="8">
        <v>38667</v>
      </c>
      <c r="K2715" s="3">
        <v>0</v>
      </c>
      <c r="L2715" s="3" t="s">
        <v>3</v>
      </c>
      <c r="M2715" s="9" t="s">
        <v>0</v>
      </c>
      <c r="N2715" s="9" t="s">
        <v>54</v>
      </c>
      <c r="O2715" s="9" t="s">
        <v>606</v>
      </c>
      <c r="S2715" s="9" t="s">
        <v>158</v>
      </c>
      <c r="T2715" s="10" t="s">
        <v>65</v>
      </c>
      <c r="U2715" s="10">
        <v>3</v>
      </c>
      <c r="V2715" s="10">
        <v>116</v>
      </c>
      <c r="W2715" s="10" t="s">
        <v>710</v>
      </c>
      <c r="X2715" s="17">
        <v>45693</v>
      </c>
      <c r="Y2715" s="17">
        <v>45693</v>
      </c>
      <c r="Z2715" s="19" t="s">
        <v>772</v>
      </c>
      <c r="AA2715" s="210">
        <v>36000</v>
      </c>
      <c r="AB2715" s="9">
        <v>48</v>
      </c>
      <c r="AC2715" s="9">
        <v>30</v>
      </c>
      <c r="AD2715" s="17">
        <v>46660</v>
      </c>
      <c r="AE2715" s="56">
        <v>500</v>
      </c>
      <c r="AF2715" s="56"/>
      <c r="AL2715" s="9"/>
      <c r="AM2715" s="9"/>
      <c r="AN2715" s="9"/>
      <c r="AP2715" s="11"/>
      <c r="AQ2715" s="11"/>
      <c r="AR2715" s="11"/>
      <c r="AW2715" s="9"/>
      <c r="BD2715" s="9"/>
      <c r="CS2715" s="11">
        <f t="shared" si="186"/>
        <v>0</v>
      </c>
      <c r="CT2715" s="22">
        <f t="shared" si="187"/>
        <v>0</v>
      </c>
      <c r="CU2715" s="22">
        <f t="shared" si="188"/>
        <v>0</v>
      </c>
      <c r="CV2715" s="26">
        <f t="shared" si="185"/>
        <v>500</v>
      </c>
    </row>
    <row r="2716" spans="1:100" x14ac:dyDescent="0.2">
      <c r="A2716" s="9" t="s">
        <v>605</v>
      </c>
      <c r="B2716" s="2">
        <v>3</v>
      </c>
      <c r="C2716" s="3" t="s">
        <v>95</v>
      </c>
      <c r="D2716" s="3" t="s">
        <v>96</v>
      </c>
      <c r="E2716" s="2"/>
      <c r="F2716" s="2"/>
      <c r="G2716" s="2" t="s">
        <v>65</v>
      </c>
      <c r="H2716" s="2">
        <v>3</v>
      </c>
      <c r="I2716" s="8">
        <v>116</v>
      </c>
      <c r="J2716" s="8">
        <v>38667</v>
      </c>
      <c r="K2716" s="3">
        <v>0</v>
      </c>
      <c r="L2716" s="3" t="s">
        <v>3</v>
      </c>
      <c r="M2716" s="9" t="s">
        <v>0</v>
      </c>
      <c r="N2716" s="9" t="s">
        <v>54</v>
      </c>
      <c r="O2716" s="9" t="s">
        <v>606</v>
      </c>
      <c r="S2716" s="9" t="s">
        <v>158</v>
      </c>
      <c r="T2716" s="10" t="s">
        <v>65</v>
      </c>
      <c r="U2716" s="10">
        <v>3</v>
      </c>
      <c r="V2716" s="10">
        <v>116</v>
      </c>
      <c r="W2716" s="10" t="s">
        <v>710</v>
      </c>
      <c r="X2716" s="17">
        <v>45693</v>
      </c>
      <c r="Y2716" s="17">
        <v>45693</v>
      </c>
      <c r="Z2716" s="19" t="s">
        <v>772</v>
      </c>
      <c r="AA2716" s="210">
        <v>36000</v>
      </c>
      <c r="AB2716" s="9">
        <v>48</v>
      </c>
      <c r="AC2716" s="9">
        <v>31</v>
      </c>
      <c r="AD2716" s="17">
        <v>46690</v>
      </c>
      <c r="AE2716" s="56">
        <v>500</v>
      </c>
      <c r="AF2716" s="56"/>
      <c r="AL2716" s="9"/>
      <c r="AM2716" s="9"/>
      <c r="AN2716" s="9"/>
      <c r="AP2716" s="11"/>
      <c r="AQ2716" s="11"/>
      <c r="AR2716" s="11"/>
      <c r="AW2716" s="9"/>
      <c r="BD2716" s="9"/>
      <c r="CS2716" s="11">
        <f t="shared" si="186"/>
        <v>0</v>
      </c>
      <c r="CT2716" s="22">
        <f t="shared" si="187"/>
        <v>0</v>
      </c>
      <c r="CU2716" s="22">
        <f t="shared" si="188"/>
        <v>0</v>
      </c>
      <c r="CV2716" s="26">
        <f t="shared" si="185"/>
        <v>500</v>
      </c>
    </row>
    <row r="2717" spans="1:100" x14ac:dyDescent="0.2">
      <c r="A2717" s="9" t="s">
        <v>605</v>
      </c>
      <c r="B2717" s="2">
        <v>3</v>
      </c>
      <c r="C2717" s="3" t="s">
        <v>95</v>
      </c>
      <c r="D2717" s="3" t="s">
        <v>96</v>
      </c>
      <c r="E2717" s="2"/>
      <c r="F2717" s="2"/>
      <c r="G2717" s="2" t="s">
        <v>65</v>
      </c>
      <c r="H2717" s="2">
        <v>3</v>
      </c>
      <c r="I2717" s="8">
        <v>116</v>
      </c>
      <c r="J2717" s="8">
        <v>38667</v>
      </c>
      <c r="K2717" s="3">
        <v>0</v>
      </c>
      <c r="L2717" s="3" t="s">
        <v>3</v>
      </c>
      <c r="M2717" s="9" t="s">
        <v>0</v>
      </c>
      <c r="N2717" s="9" t="s">
        <v>54</v>
      </c>
      <c r="O2717" s="9" t="s">
        <v>606</v>
      </c>
      <c r="S2717" s="9" t="s">
        <v>158</v>
      </c>
      <c r="T2717" s="10" t="s">
        <v>65</v>
      </c>
      <c r="U2717" s="10">
        <v>3</v>
      </c>
      <c r="V2717" s="10">
        <v>116</v>
      </c>
      <c r="W2717" s="10" t="s">
        <v>710</v>
      </c>
      <c r="X2717" s="17">
        <v>45693</v>
      </c>
      <c r="Y2717" s="17">
        <v>45693</v>
      </c>
      <c r="Z2717" s="19" t="s">
        <v>772</v>
      </c>
      <c r="AA2717" s="210">
        <v>36000</v>
      </c>
      <c r="AB2717" s="9">
        <v>48</v>
      </c>
      <c r="AC2717" s="9">
        <v>32</v>
      </c>
      <c r="AD2717" s="17">
        <v>46721</v>
      </c>
      <c r="AE2717" s="56">
        <v>500</v>
      </c>
      <c r="AF2717" s="56"/>
      <c r="AL2717" s="9"/>
      <c r="AM2717" s="9"/>
      <c r="AN2717" s="9"/>
      <c r="AP2717" s="11"/>
      <c r="AQ2717" s="11"/>
      <c r="AR2717" s="11"/>
      <c r="AW2717" s="9"/>
      <c r="BD2717" s="9"/>
      <c r="CS2717" s="11">
        <f t="shared" si="186"/>
        <v>0</v>
      </c>
      <c r="CT2717" s="22">
        <f t="shared" si="187"/>
        <v>0</v>
      </c>
      <c r="CU2717" s="22">
        <f t="shared" si="188"/>
        <v>0</v>
      </c>
      <c r="CV2717" s="26">
        <f t="shared" si="185"/>
        <v>500</v>
      </c>
    </row>
    <row r="2718" spans="1:100" x14ac:dyDescent="0.2">
      <c r="A2718" s="9" t="s">
        <v>605</v>
      </c>
      <c r="B2718" s="2">
        <v>3</v>
      </c>
      <c r="C2718" s="3" t="s">
        <v>95</v>
      </c>
      <c r="D2718" s="3" t="s">
        <v>96</v>
      </c>
      <c r="E2718" s="2"/>
      <c r="F2718" s="2"/>
      <c r="G2718" s="2" t="s">
        <v>65</v>
      </c>
      <c r="H2718" s="2">
        <v>3</v>
      </c>
      <c r="I2718" s="8">
        <v>116</v>
      </c>
      <c r="J2718" s="8">
        <v>38667</v>
      </c>
      <c r="K2718" s="3">
        <v>0</v>
      </c>
      <c r="L2718" s="3" t="s">
        <v>3</v>
      </c>
      <c r="M2718" s="9" t="s">
        <v>0</v>
      </c>
      <c r="N2718" s="9" t="s">
        <v>54</v>
      </c>
      <c r="O2718" s="9" t="s">
        <v>606</v>
      </c>
      <c r="S2718" s="9" t="s">
        <v>158</v>
      </c>
      <c r="T2718" s="10" t="s">
        <v>65</v>
      </c>
      <c r="U2718" s="10">
        <v>3</v>
      </c>
      <c r="V2718" s="10">
        <v>116</v>
      </c>
      <c r="W2718" s="10" t="s">
        <v>710</v>
      </c>
      <c r="X2718" s="17">
        <v>45693</v>
      </c>
      <c r="Y2718" s="17">
        <v>45693</v>
      </c>
      <c r="Z2718" s="19" t="s">
        <v>772</v>
      </c>
      <c r="AA2718" s="210">
        <v>36000</v>
      </c>
      <c r="AB2718" s="9">
        <v>48</v>
      </c>
      <c r="AC2718" s="9">
        <v>33</v>
      </c>
      <c r="AD2718" s="17">
        <v>46751</v>
      </c>
      <c r="AE2718" s="56">
        <v>500</v>
      </c>
      <c r="AF2718" s="56"/>
      <c r="AL2718" s="9"/>
      <c r="AM2718" s="9"/>
      <c r="AN2718" s="9"/>
      <c r="AP2718" s="11"/>
      <c r="AQ2718" s="11"/>
      <c r="AR2718" s="11"/>
      <c r="AW2718" s="9"/>
      <c r="BD2718" s="9"/>
      <c r="CS2718" s="11">
        <f t="shared" si="186"/>
        <v>0</v>
      </c>
      <c r="CT2718" s="22">
        <f t="shared" si="187"/>
        <v>0</v>
      </c>
      <c r="CU2718" s="22">
        <f t="shared" si="188"/>
        <v>0</v>
      </c>
      <c r="CV2718" s="26">
        <f t="shared" si="185"/>
        <v>500</v>
      </c>
    </row>
    <row r="2719" spans="1:100" x14ac:dyDescent="0.2">
      <c r="A2719" s="9" t="s">
        <v>605</v>
      </c>
      <c r="B2719" s="2">
        <v>3</v>
      </c>
      <c r="C2719" s="3" t="s">
        <v>95</v>
      </c>
      <c r="D2719" s="3" t="s">
        <v>96</v>
      </c>
      <c r="E2719" s="2"/>
      <c r="F2719" s="2"/>
      <c r="G2719" s="2" t="s">
        <v>65</v>
      </c>
      <c r="H2719" s="2">
        <v>3</v>
      </c>
      <c r="I2719" s="8">
        <v>116</v>
      </c>
      <c r="J2719" s="8">
        <v>38667</v>
      </c>
      <c r="K2719" s="3">
        <v>0</v>
      </c>
      <c r="L2719" s="3" t="s">
        <v>3</v>
      </c>
      <c r="M2719" s="9" t="s">
        <v>0</v>
      </c>
      <c r="N2719" s="9" t="s">
        <v>54</v>
      </c>
      <c r="O2719" s="9" t="s">
        <v>606</v>
      </c>
      <c r="S2719" s="9" t="s">
        <v>158</v>
      </c>
      <c r="T2719" s="10" t="s">
        <v>65</v>
      </c>
      <c r="U2719" s="10">
        <v>3</v>
      </c>
      <c r="V2719" s="10">
        <v>116</v>
      </c>
      <c r="W2719" s="10" t="s">
        <v>710</v>
      </c>
      <c r="X2719" s="17">
        <v>45693</v>
      </c>
      <c r="Y2719" s="17">
        <v>45693</v>
      </c>
      <c r="Z2719" s="19" t="s">
        <v>772</v>
      </c>
      <c r="AA2719" s="210">
        <v>36000</v>
      </c>
      <c r="AB2719" s="9">
        <v>48</v>
      </c>
      <c r="AC2719" s="9">
        <v>34</v>
      </c>
      <c r="AD2719" s="17">
        <v>46782</v>
      </c>
      <c r="AE2719" s="56">
        <v>500</v>
      </c>
      <c r="AF2719" s="56"/>
      <c r="AL2719" s="9"/>
      <c r="AM2719" s="9"/>
      <c r="AN2719" s="9"/>
      <c r="AP2719" s="11"/>
      <c r="AQ2719" s="11"/>
      <c r="AR2719" s="11"/>
      <c r="AW2719" s="9"/>
      <c r="BD2719" s="9"/>
      <c r="CS2719" s="11">
        <f t="shared" si="186"/>
        <v>0</v>
      </c>
      <c r="CT2719" s="22">
        <f t="shared" si="187"/>
        <v>0</v>
      </c>
      <c r="CU2719" s="22">
        <f t="shared" si="188"/>
        <v>0</v>
      </c>
      <c r="CV2719" s="26">
        <f t="shared" si="185"/>
        <v>500</v>
      </c>
    </row>
    <row r="2720" spans="1:100" x14ac:dyDescent="0.2">
      <c r="A2720" s="9" t="s">
        <v>605</v>
      </c>
      <c r="B2720" s="2">
        <v>3</v>
      </c>
      <c r="C2720" s="3" t="s">
        <v>95</v>
      </c>
      <c r="D2720" s="3" t="s">
        <v>96</v>
      </c>
      <c r="E2720" s="2"/>
      <c r="F2720" s="2"/>
      <c r="G2720" s="2" t="s">
        <v>65</v>
      </c>
      <c r="H2720" s="2">
        <v>3</v>
      </c>
      <c r="I2720" s="8">
        <v>116</v>
      </c>
      <c r="J2720" s="8">
        <v>38667</v>
      </c>
      <c r="K2720" s="3">
        <v>0</v>
      </c>
      <c r="L2720" s="3" t="s">
        <v>3</v>
      </c>
      <c r="M2720" s="9" t="s">
        <v>0</v>
      </c>
      <c r="N2720" s="9" t="s">
        <v>54</v>
      </c>
      <c r="O2720" s="9" t="s">
        <v>606</v>
      </c>
      <c r="S2720" s="9" t="s">
        <v>158</v>
      </c>
      <c r="T2720" s="10" t="s">
        <v>65</v>
      </c>
      <c r="U2720" s="10">
        <v>3</v>
      </c>
      <c r="V2720" s="10">
        <v>116</v>
      </c>
      <c r="W2720" s="10" t="s">
        <v>710</v>
      </c>
      <c r="X2720" s="17">
        <v>45693</v>
      </c>
      <c r="Y2720" s="17">
        <v>45693</v>
      </c>
      <c r="Z2720" s="19" t="s">
        <v>772</v>
      </c>
      <c r="AA2720" s="210">
        <v>36000</v>
      </c>
      <c r="AB2720" s="9">
        <v>48</v>
      </c>
      <c r="AC2720" s="9">
        <v>35</v>
      </c>
      <c r="AD2720" s="17">
        <v>46812</v>
      </c>
      <c r="AE2720" s="56">
        <v>500</v>
      </c>
      <c r="AF2720" s="56"/>
      <c r="AL2720" s="9"/>
      <c r="AM2720" s="9"/>
      <c r="AN2720" s="9"/>
      <c r="AP2720" s="11"/>
      <c r="AQ2720" s="11"/>
      <c r="AR2720" s="11"/>
      <c r="AW2720" s="9"/>
      <c r="BD2720" s="9"/>
      <c r="CS2720" s="11">
        <f t="shared" si="186"/>
        <v>0</v>
      </c>
      <c r="CT2720" s="22">
        <f t="shared" si="187"/>
        <v>0</v>
      </c>
      <c r="CU2720" s="22">
        <f t="shared" si="188"/>
        <v>0</v>
      </c>
      <c r="CV2720" s="26">
        <f t="shared" si="185"/>
        <v>500</v>
      </c>
    </row>
    <row r="2721" spans="1:100" x14ac:dyDescent="0.2">
      <c r="A2721" s="9" t="s">
        <v>605</v>
      </c>
      <c r="B2721" s="2">
        <v>3</v>
      </c>
      <c r="C2721" s="3" t="s">
        <v>95</v>
      </c>
      <c r="D2721" s="3" t="s">
        <v>96</v>
      </c>
      <c r="E2721" s="2"/>
      <c r="F2721" s="2"/>
      <c r="G2721" s="2" t="s">
        <v>65</v>
      </c>
      <c r="H2721" s="2">
        <v>3</v>
      </c>
      <c r="I2721" s="8">
        <v>116</v>
      </c>
      <c r="J2721" s="8">
        <v>38667</v>
      </c>
      <c r="K2721" s="3">
        <v>0</v>
      </c>
      <c r="L2721" s="3" t="s">
        <v>3</v>
      </c>
      <c r="M2721" s="9" t="s">
        <v>0</v>
      </c>
      <c r="N2721" s="9" t="s">
        <v>54</v>
      </c>
      <c r="O2721" s="9" t="s">
        <v>606</v>
      </c>
      <c r="S2721" s="9" t="s">
        <v>158</v>
      </c>
      <c r="T2721" s="10" t="s">
        <v>65</v>
      </c>
      <c r="U2721" s="10">
        <v>3</v>
      </c>
      <c r="V2721" s="10">
        <v>116</v>
      </c>
      <c r="W2721" s="10" t="s">
        <v>710</v>
      </c>
      <c r="X2721" s="17">
        <v>45693</v>
      </c>
      <c r="Y2721" s="17">
        <v>45693</v>
      </c>
      <c r="Z2721" s="19" t="s">
        <v>772</v>
      </c>
      <c r="AA2721" s="210">
        <v>36000</v>
      </c>
      <c r="AB2721" s="9">
        <v>48</v>
      </c>
      <c r="AC2721" s="9">
        <v>36</v>
      </c>
      <c r="AD2721" s="17">
        <v>46842</v>
      </c>
      <c r="AE2721" s="56">
        <v>500</v>
      </c>
      <c r="AF2721" s="56"/>
      <c r="AL2721" s="9"/>
      <c r="AM2721" s="9"/>
      <c r="AN2721" s="9"/>
      <c r="AP2721" s="11"/>
      <c r="AQ2721" s="11"/>
      <c r="AR2721" s="11"/>
      <c r="AW2721" s="9"/>
      <c r="BD2721" s="9"/>
      <c r="CS2721" s="11">
        <f t="shared" si="186"/>
        <v>0</v>
      </c>
      <c r="CT2721" s="22">
        <f t="shared" si="187"/>
        <v>0</v>
      </c>
      <c r="CU2721" s="22">
        <f t="shared" si="188"/>
        <v>0</v>
      </c>
      <c r="CV2721" s="26">
        <f t="shared" si="185"/>
        <v>500</v>
      </c>
    </row>
    <row r="2722" spans="1:100" x14ac:dyDescent="0.2">
      <c r="A2722" s="9" t="s">
        <v>605</v>
      </c>
      <c r="B2722" s="2">
        <v>3</v>
      </c>
      <c r="C2722" s="3" t="s">
        <v>95</v>
      </c>
      <c r="D2722" s="3" t="s">
        <v>96</v>
      </c>
      <c r="E2722" s="2"/>
      <c r="F2722" s="2"/>
      <c r="G2722" s="2" t="s">
        <v>65</v>
      </c>
      <c r="H2722" s="2">
        <v>3</v>
      </c>
      <c r="I2722" s="8">
        <v>116</v>
      </c>
      <c r="J2722" s="8">
        <v>38667</v>
      </c>
      <c r="K2722" s="3">
        <v>0</v>
      </c>
      <c r="L2722" s="3" t="s">
        <v>3</v>
      </c>
      <c r="M2722" s="9" t="s">
        <v>0</v>
      </c>
      <c r="N2722" s="9" t="s">
        <v>54</v>
      </c>
      <c r="O2722" s="9" t="s">
        <v>606</v>
      </c>
      <c r="S2722" s="9" t="s">
        <v>158</v>
      </c>
      <c r="T2722" s="10" t="s">
        <v>65</v>
      </c>
      <c r="U2722" s="10">
        <v>3</v>
      </c>
      <c r="V2722" s="10">
        <v>116</v>
      </c>
      <c r="W2722" s="10" t="s">
        <v>710</v>
      </c>
      <c r="X2722" s="17">
        <v>45693</v>
      </c>
      <c r="Y2722" s="17">
        <v>45693</v>
      </c>
      <c r="Z2722" s="19" t="s">
        <v>772</v>
      </c>
      <c r="AA2722" s="210">
        <v>36000</v>
      </c>
      <c r="AB2722" s="9">
        <v>48</v>
      </c>
      <c r="AC2722" s="9">
        <v>37</v>
      </c>
      <c r="AD2722" s="17">
        <v>46873</v>
      </c>
      <c r="AE2722" s="56">
        <v>500</v>
      </c>
      <c r="AF2722" s="56"/>
      <c r="AL2722" s="9"/>
      <c r="AM2722" s="9"/>
      <c r="AN2722" s="9"/>
      <c r="AP2722" s="11"/>
      <c r="AQ2722" s="11"/>
      <c r="AR2722" s="11"/>
      <c r="AW2722" s="9"/>
      <c r="BD2722" s="9"/>
      <c r="CS2722" s="11">
        <f t="shared" si="186"/>
        <v>0</v>
      </c>
      <c r="CT2722" s="22">
        <f t="shared" si="187"/>
        <v>0</v>
      </c>
      <c r="CU2722" s="22">
        <f t="shared" si="188"/>
        <v>0</v>
      </c>
      <c r="CV2722" s="26">
        <f t="shared" si="185"/>
        <v>500</v>
      </c>
    </row>
    <row r="2723" spans="1:100" x14ac:dyDescent="0.2">
      <c r="A2723" s="9" t="s">
        <v>605</v>
      </c>
      <c r="B2723" s="2">
        <v>3</v>
      </c>
      <c r="C2723" s="3" t="s">
        <v>95</v>
      </c>
      <c r="D2723" s="3" t="s">
        <v>96</v>
      </c>
      <c r="E2723" s="2"/>
      <c r="F2723" s="2"/>
      <c r="G2723" s="2" t="s">
        <v>65</v>
      </c>
      <c r="H2723" s="2">
        <v>3</v>
      </c>
      <c r="I2723" s="8">
        <v>116</v>
      </c>
      <c r="J2723" s="8">
        <v>38667</v>
      </c>
      <c r="K2723" s="3">
        <v>0</v>
      </c>
      <c r="L2723" s="3" t="s">
        <v>3</v>
      </c>
      <c r="M2723" s="9" t="s">
        <v>0</v>
      </c>
      <c r="N2723" s="9" t="s">
        <v>54</v>
      </c>
      <c r="O2723" s="9" t="s">
        <v>606</v>
      </c>
      <c r="S2723" s="9" t="s">
        <v>158</v>
      </c>
      <c r="T2723" s="10" t="s">
        <v>65</v>
      </c>
      <c r="U2723" s="10">
        <v>3</v>
      </c>
      <c r="V2723" s="10">
        <v>116</v>
      </c>
      <c r="W2723" s="10" t="s">
        <v>710</v>
      </c>
      <c r="X2723" s="17">
        <v>45693</v>
      </c>
      <c r="Y2723" s="17">
        <v>45693</v>
      </c>
      <c r="Z2723" s="19" t="s">
        <v>772</v>
      </c>
      <c r="AA2723" s="210">
        <v>36000</v>
      </c>
      <c r="AB2723" s="9">
        <v>48</v>
      </c>
      <c r="AC2723" s="9">
        <v>38</v>
      </c>
      <c r="AD2723" s="17">
        <v>46903</v>
      </c>
      <c r="AE2723" s="56">
        <v>500</v>
      </c>
      <c r="AF2723" s="56"/>
      <c r="AL2723" s="9"/>
      <c r="AM2723" s="9"/>
      <c r="AN2723" s="9"/>
      <c r="AP2723" s="11"/>
      <c r="AQ2723" s="11"/>
      <c r="AR2723" s="11"/>
      <c r="AW2723" s="9"/>
      <c r="BD2723" s="9"/>
      <c r="CS2723" s="11">
        <f t="shared" si="186"/>
        <v>0</v>
      </c>
      <c r="CT2723" s="22">
        <f t="shared" si="187"/>
        <v>0</v>
      </c>
      <c r="CU2723" s="22">
        <f t="shared" si="188"/>
        <v>0</v>
      </c>
      <c r="CV2723" s="26">
        <f t="shared" si="185"/>
        <v>500</v>
      </c>
    </row>
    <row r="2724" spans="1:100" x14ac:dyDescent="0.2">
      <c r="A2724" s="9" t="s">
        <v>605</v>
      </c>
      <c r="B2724" s="2">
        <v>3</v>
      </c>
      <c r="C2724" s="3" t="s">
        <v>95</v>
      </c>
      <c r="D2724" s="3" t="s">
        <v>96</v>
      </c>
      <c r="E2724" s="2"/>
      <c r="F2724" s="2"/>
      <c r="G2724" s="2" t="s">
        <v>65</v>
      </c>
      <c r="H2724" s="2">
        <v>3</v>
      </c>
      <c r="I2724" s="8">
        <v>116</v>
      </c>
      <c r="J2724" s="8">
        <v>38667</v>
      </c>
      <c r="K2724" s="3">
        <v>0</v>
      </c>
      <c r="L2724" s="3" t="s">
        <v>3</v>
      </c>
      <c r="M2724" s="9" t="s">
        <v>0</v>
      </c>
      <c r="N2724" s="9" t="s">
        <v>54</v>
      </c>
      <c r="O2724" s="9" t="s">
        <v>606</v>
      </c>
      <c r="S2724" s="9" t="s">
        <v>158</v>
      </c>
      <c r="T2724" s="10" t="s">
        <v>65</v>
      </c>
      <c r="U2724" s="10">
        <v>3</v>
      </c>
      <c r="V2724" s="10">
        <v>116</v>
      </c>
      <c r="W2724" s="10" t="s">
        <v>710</v>
      </c>
      <c r="X2724" s="17">
        <v>45693</v>
      </c>
      <c r="Y2724" s="17">
        <v>45693</v>
      </c>
      <c r="Z2724" s="19" t="s">
        <v>772</v>
      </c>
      <c r="AA2724" s="210">
        <v>36000</v>
      </c>
      <c r="AB2724" s="9">
        <v>48</v>
      </c>
      <c r="AC2724" s="9">
        <v>39</v>
      </c>
      <c r="AD2724" s="17">
        <v>46934</v>
      </c>
      <c r="AE2724" s="56">
        <v>500</v>
      </c>
      <c r="AF2724" s="56"/>
      <c r="AL2724" s="9"/>
      <c r="AM2724" s="9"/>
      <c r="AN2724" s="9"/>
      <c r="AP2724" s="11"/>
      <c r="AQ2724" s="11"/>
      <c r="AR2724" s="11"/>
      <c r="AW2724" s="9"/>
      <c r="BD2724" s="9"/>
      <c r="CS2724" s="11">
        <f t="shared" si="186"/>
        <v>0</v>
      </c>
      <c r="CT2724" s="22">
        <f t="shared" si="187"/>
        <v>0</v>
      </c>
      <c r="CU2724" s="22">
        <f t="shared" si="188"/>
        <v>0</v>
      </c>
      <c r="CV2724" s="26">
        <f t="shared" si="185"/>
        <v>500</v>
      </c>
    </row>
    <row r="2725" spans="1:100" x14ac:dyDescent="0.2">
      <c r="A2725" s="9" t="s">
        <v>605</v>
      </c>
      <c r="B2725" s="2">
        <v>3</v>
      </c>
      <c r="C2725" s="3" t="s">
        <v>95</v>
      </c>
      <c r="D2725" s="3" t="s">
        <v>96</v>
      </c>
      <c r="E2725" s="2"/>
      <c r="F2725" s="2"/>
      <c r="G2725" s="2" t="s">
        <v>65</v>
      </c>
      <c r="H2725" s="2">
        <v>3</v>
      </c>
      <c r="I2725" s="8">
        <v>116</v>
      </c>
      <c r="J2725" s="8">
        <v>38667</v>
      </c>
      <c r="K2725" s="3">
        <v>0</v>
      </c>
      <c r="L2725" s="3" t="s">
        <v>3</v>
      </c>
      <c r="M2725" s="9" t="s">
        <v>0</v>
      </c>
      <c r="N2725" s="9" t="s">
        <v>54</v>
      </c>
      <c r="O2725" s="9" t="s">
        <v>606</v>
      </c>
      <c r="S2725" s="9" t="s">
        <v>158</v>
      </c>
      <c r="T2725" s="10" t="s">
        <v>65</v>
      </c>
      <c r="U2725" s="10">
        <v>3</v>
      </c>
      <c r="V2725" s="10">
        <v>116</v>
      </c>
      <c r="W2725" s="10" t="s">
        <v>710</v>
      </c>
      <c r="X2725" s="17">
        <v>45693</v>
      </c>
      <c r="Y2725" s="17">
        <v>45693</v>
      </c>
      <c r="Z2725" s="19" t="s">
        <v>772</v>
      </c>
      <c r="AA2725" s="210">
        <v>36000</v>
      </c>
      <c r="AB2725" s="9">
        <v>48</v>
      </c>
      <c r="AC2725" s="9">
        <v>40</v>
      </c>
      <c r="AD2725" s="17">
        <v>46964</v>
      </c>
      <c r="AE2725" s="56">
        <v>500</v>
      </c>
      <c r="AF2725" s="56"/>
      <c r="AL2725" s="9"/>
      <c r="AM2725" s="9"/>
      <c r="AN2725" s="9"/>
      <c r="AP2725" s="11"/>
      <c r="AQ2725" s="11"/>
      <c r="AR2725" s="11"/>
      <c r="AW2725" s="9"/>
      <c r="BD2725" s="9"/>
      <c r="CS2725" s="11">
        <f t="shared" si="186"/>
        <v>0</v>
      </c>
      <c r="CT2725" s="22">
        <f t="shared" si="187"/>
        <v>0</v>
      </c>
      <c r="CU2725" s="22">
        <f t="shared" si="188"/>
        <v>0</v>
      </c>
      <c r="CV2725" s="26">
        <f t="shared" si="185"/>
        <v>500</v>
      </c>
    </row>
    <row r="2726" spans="1:100" x14ac:dyDescent="0.2">
      <c r="A2726" s="9" t="s">
        <v>605</v>
      </c>
      <c r="B2726" s="2">
        <v>3</v>
      </c>
      <c r="C2726" s="3" t="s">
        <v>95</v>
      </c>
      <c r="D2726" s="3" t="s">
        <v>96</v>
      </c>
      <c r="E2726" s="2"/>
      <c r="F2726" s="2"/>
      <c r="G2726" s="2" t="s">
        <v>65</v>
      </c>
      <c r="H2726" s="2">
        <v>3</v>
      </c>
      <c r="I2726" s="8">
        <v>116</v>
      </c>
      <c r="J2726" s="8">
        <v>38667</v>
      </c>
      <c r="K2726" s="3">
        <v>0</v>
      </c>
      <c r="L2726" s="3" t="s">
        <v>3</v>
      </c>
      <c r="M2726" s="9" t="s">
        <v>0</v>
      </c>
      <c r="N2726" s="9" t="s">
        <v>54</v>
      </c>
      <c r="O2726" s="9" t="s">
        <v>606</v>
      </c>
      <c r="S2726" s="9" t="s">
        <v>158</v>
      </c>
      <c r="T2726" s="10" t="s">
        <v>65</v>
      </c>
      <c r="U2726" s="10">
        <v>3</v>
      </c>
      <c r="V2726" s="10">
        <v>116</v>
      </c>
      <c r="W2726" s="10" t="s">
        <v>710</v>
      </c>
      <c r="X2726" s="17">
        <v>45693</v>
      </c>
      <c r="Y2726" s="17">
        <v>45693</v>
      </c>
      <c r="Z2726" s="19" t="s">
        <v>772</v>
      </c>
      <c r="AA2726" s="210">
        <v>36000</v>
      </c>
      <c r="AB2726" s="9">
        <v>48</v>
      </c>
      <c r="AC2726" s="9">
        <v>41</v>
      </c>
      <c r="AD2726" s="17">
        <v>46995</v>
      </c>
      <c r="AE2726" s="56">
        <v>500</v>
      </c>
      <c r="AF2726" s="56"/>
      <c r="AL2726" s="9"/>
      <c r="AM2726" s="9"/>
      <c r="AN2726" s="9"/>
      <c r="AP2726" s="11"/>
      <c r="AQ2726" s="11"/>
      <c r="AR2726" s="11"/>
      <c r="AW2726" s="9"/>
      <c r="BD2726" s="9"/>
      <c r="CS2726" s="11">
        <f t="shared" si="186"/>
        <v>0</v>
      </c>
      <c r="CT2726" s="22">
        <f t="shared" si="187"/>
        <v>0</v>
      </c>
      <c r="CU2726" s="22">
        <f t="shared" si="188"/>
        <v>0</v>
      </c>
      <c r="CV2726" s="26">
        <f t="shared" si="185"/>
        <v>500</v>
      </c>
    </row>
    <row r="2727" spans="1:100" x14ac:dyDescent="0.2">
      <c r="A2727" s="9" t="s">
        <v>605</v>
      </c>
      <c r="B2727" s="2">
        <v>3</v>
      </c>
      <c r="C2727" s="3" t="s">
        <v>95</v>
      </c>
      <c r="D2727" s="3" t="s">
        <v>96</v>
      </c>
      <c r="E2727" s="2"/>
      <c r="F2727" s="2"/>
      <c r="G2727" s="2" t="s">
        <v>65</v>
      </c>
      <c r="H2727" s="2">
        <v>3</v>
      </c>
      <c r="I2727" s="8">
        <v>116</v>
      </c>
      <c r="J2727" s="8">
        <v>38667</v>
      </c>
      <c r="K2727" s="3">
        <v>0</v>
      </c>
      <c r="L2727" s="3" t="s">
        <v>3</v>
      </c>
      <c r="M2727" s="9" t="s">
        <v>0</v>
      </c>
      <c r="N2727" s="9" t="s">
        <v>54</v>
      </c>
      <c r="O2727" s="9" t="s">
        <v>606</v>
      </c>
      <c r="S2727" s="9" t="s">
        <v>158</v>
      </c>
      <c r="T2727" s="10" t="s">
        <v>65</v>
      </c>
      <c r="U2727" s="10">
        <v>3</v>
      </c>
      <c r="V2727" s="10">
        <v>116</v>
      </c>
      <c r="W2727" s="10" t="s">
        <v>710</v>
      </c>
      <c r="X2727" s="17">
        <v>45693</v>
      </c>
      <c r="Y2727" s="17">
        <v>45693</v>
      </c>
      <c r="Z2727" s="19" t="s">
        <v>772</v>
      </c>
      <c r="AA2727" s="210">
        <v>36000</v>
      </c>
      <c r="AB2727" s="9">
        <v>48</v>
      </c>
      <c r="AC2727" s="9">
        <v>42</v>
      </c>
      <c r="AD2727" s="17">
        <v>47026</v>
      </c>
      <c r="AE2727" s="56">
        <v>500</v>
      </c>
      <c r="AF2727" s="56"/>
      <c r="AL2727" s="9"/>
      <c r="AM2727" s="9"/>
      <c r="AN2727" s="9"/>
      <c r="AP2727" s="11"/>
      <c r="AQ2727" s="11"/>
      <c r="AR2727" s="11"/>
      <c r="AW2727" s="9"/>
      <c r="BD2727" s="9"/>
      <c r="CS2727" s="11">
        <f t="shared" si="186"/>
        <v>0</v>
      </c>
      <c r="CT2727" s="22">
        <f t="shared" si="187"/>
        <v>0</v>
      </c>
      <c r="CU2727" s="22">
        <f t="shared" si="188"/>
        <v>0</v>
      </c>
      <c r="CV2727" s="26">
        <f t="shared" si="185"/>
        <v>500</v>
      </c>
    </row>
    <row r="2728" spans="1:100" x14ac:dyDescent="0.2">
      <c r="A2728" s="9" t="s">
        <v>605</v>
      </c>
      <c r="B2728" s="2">
        <v>3</v>
      </c>
      <c r="C2728" s="3" t="s">
        <v>95</v>
      </c>
      <c r="D2728" s="3" t="s">
        <v>96</v>
      </c>
      <c r="E2728" s="2"/>
      <c r="F2728" s="2"/>
      <c r="G2728" s="2" t="s">
        <v>65</v>
      </c>
      <c r="H2728" s="2">
        <v>3</v>
      </c>
      <c r="I2728" s="8">
        <v>116</v>
      </c>
      <c r="J2728" s="8">
        <v>38667</v>
      </c>
      <c r="K2728" s="3">
        <v>0</v>
      </c>
      <c r="L2728" s="3" t="s">
        <v>3</v>
      </c>
      <c r="M2728" s="9" t="s">
        <v>0</v>
      </c>
      <c r="N2728" s="9" t="s">
        <v>54</v>
      </c>
      <c r="O2728" s="9" t="s">
        <v>606</v>
      </c>
      <c r="S2728" s="9" t="s">
        <v>158</v>
      </c>
      <c r="T2728" s="10" t="s">
        <v>65</v>
      </c>
      <c r="U2728" s="10">
        <v>3</v>
      </c>
      <c r="V2728" s="10">
        <v>116</v>
      </c>
      <c r="W2728" s="10" t="s">
        <v>710</v>
      </c>
      <c r="X2728" s="17">
        <v>45693</v>
      </c>
      <c r="Y2728" s="17">
        <v>45693</v>
      </c>
      <c r="Z2728" s="19" t="s">
        <v>772</v>
      </c>
      <c r="AA2728" s="210">
        <v>36000</v>
      </c>
      <c r="AB2728" s="9">
        <v>48</v>
      </c>
      <c r="AC2728" s="9">
        <v>43</v>
      </c>
      <c r="AD2728" s="17">
        <v>47056</v>
      </c>
      <c r="AE2728" s="56">
        <v>500</v>
      </c>
      <c r="AF2728" s="56"/>
      <c r="AL2728" s="9"/>
      <c r="AM2728" s="9"/>
      <c r="AN2728" s="9"/>
      <c r="AP2728" s="11"/>
      <c r="AQ2728" s="11"/>
      <c r="AR2728" s="11"/>
      <c r="AW2728" s="9"/>
      <c r="BD2728" s="9"/>
      <c r="CS2728" s="11">
        <f t="shared" si="186"/>
        <v>0</v>
      </c>
      <c r="CT2728" s="22">
        <f t="shared" si="187"/>
        <v>0</v>
      </c>
      <c r="CU2728" s="22">
        <f t="shared" si="188"/>
        <v>0</v>
      </c>
      <c r="CV2728" s="26">
        <f t="shared" si="185"/>
        <v>500</v>
      </c>
    </row>
    <row r="2729" spans="1:100" x14ac:dyDescent="0.2">
      <c r="A2729" s="9" t="s">
        <v>605</v>
      </c>
      <c r="B2729" s="2">
        <v>3</v>
      </c>
      <c r="C2729" s="3" t="s">
        <v>95</v>
      </c>
      <c r="D2729" s="3" t="s">
        <v>96</v>
      </c>
      <c r="E2729" s="2"/>
      <c r="F2729" s="2"/>
      <c r="G2729" s="2" t="s">
        <v>65</v>
      </c>
      <c r="H2729" s="2">
        <v>3</v>
      </c>
      <c r="I2729" s="8">
        <v>116</v>
      </c>
      <c r="J2729" s="8">
        <v>38667</v>
      </c>
      <c r="K2729" s="3">
        <v>0</v>
      </c>
      <c r="L2729" s="3" t="s">
        <v>3</v>
      </c>
      <c r="M2729" s="9" t="s">
        <v>0</v>
      </c>
      <c r="N2729" s="9" t="s">
        <v>54</v>
      </c>
      <c r="O2729" s="9" t="s">
        <v>606</v>
      </c>
      <c r="S2729" s="9" t="s">
        <v>158</v>
      </c>
      <c r="T2729" s="10" t="s">
        <v>65</v>
      </c>
      <c r="U2729" s="10">
        <v>3</v>
      </c>
      <c r="V2729" s="10">
        <v>116</v>
      </c>
      <c r="W2729" s="10" t="s">
        <v>710</v>
      </c>
      <c r="X2729" s="17">
        <v>45693</v>
      </c>
      <c r="Y2729" s="17">
        <v>45693</v>
      </c>
      <c r="Z2729" s="19" t="s">
        <v>772</v>
      </c>
      <c r="AA2729" s="210">
        <v>36000</v>
      </c>
      <c r="AB2729" s="9">
        <v>48</v>
      </c>
      <c r="AC2729" s="9">
        <v>44</v>
      </c>
      <c r="AD2729" s="17">
        <v>47087</v>
      </c>
      <c r="AE2729" s="56">
        <v>500</v>
      </c>
      <c r="AF2729" s="56"/>
      <c r="AL2729" s="9"/>
      <c r="AM2729" s="9"/>
      <c r="AN2729" s="9"/>
      <c r="AP2729" s="11"/>
      <c r="AQ2729" s="11"/>
      <c r="AR2729" s="11"/>
      <c r="AW2729" s="9"/>
      <c r="BD2729" s="9"/>
      <c r="CS2729" s="11">
        <f t="shared" si="186"/>
        <v>0</v>
      </c>
      <c r="CT2729" s="22">
        <f t="shared" si="187"/>
        <v>0</v>
      </c>
      <c r="CU2729" s="22">
        <f t="shared" si="188"/>
        <v>0</v>
      </c>
      <c r="CV2729" s="26">
        <f t="shared" si="185"/>
        <v>500</v>
      </c>
    </row>
    <row r="2730" spans="1:100" x14ac:dyDescent="0.2">
      <c r="A2730" s="9" t="s">
        <v>605</v>
      </c>
      <c r="B2730" s="2">
        <v>3</v>
      </c>
      <c r="C2730" s="3" t="s">
        <v>95</v>
      </c>
      <c r="D2730" s="3" t="s">
        <v>96</v>
      </c>
      <c r="E2730" s="2"/>
      <c r="F2730" s="2"/>
      <c r="G2730" s="2" t="s">
        <v>65</v>
      </c>
      <c r="H2730" s="2">
        <v>3</v>
      </c>
      <c r="I2730" s="8">
        <v>116</v>
      </c>
      <c r="J2730" s="8">
        <v>38667</v>
      </c>
      <c r="K2730" s="3">
        <v>0</v>
      </c>
      <c r="L2730" s="3" t="s">
        <v>3</v>
      </c>
      <c r="M2730" s="9" t="s">
        <v>0</v>
      </c>
      <c r="N2730" s="9" t="s">
        <v>54</v>
      </c>
      <c r="O2730" s="9" t="s">
        <v>606</v>
      </c>
      <c r="S2730" s="9" t="s">
        <v>158</v>
      </c>
      <c r="T2730" s="10" t="s">
        <v>65</v>
      </c>
      <c r="U2730" s="10">
        <v>3</v>
      </c>
      <c r="V2730" s="10">
        <v>116</v>
      </c>
      <c r="W2730" s="10" t="s">
        <v>710</v>
      </c>
      <c r="X2730" s="17">
        <v>45693</v>
      </c>
      <c r="Y2730" s="17">
        <v>45693</v>
      </c>
      <c r="Z2730" s="19" t="s">
        <v>772</v>
      </c>
      <c r="AA2730" s="210">
        <v>36000</v>
      </c>
      <c r="AB2730" s="9">
        <v>48</v>
      </c>
      <c r="AC2730" s="9">
        <v>45</v>
      </c>
      <c r="AD2730" s="17">
        <v>47117</v>
      </c>
      <c r="AE2730" s="56">
        <v>500</v>
      </c>
      <c r="AF2730" s="56"/>
      <c r="AL2730" s="9"/>
      <c r="AM2730" s="9"/>
      <c r="AN2730" s="9"/>
      <c r="AP2730" s="11"/>
      <c r="AQ2730" s="11"/>
      <c r="AR2730" s="11"/>
      <c r="AW2730" s="9"/>
      <c r="BD2730" s="9"/>
      <c r="CS2730" s="11">
        <f t="shared" si="186"/>
        <v>0</v>
      </c>
      <c r="CT2730" s="22">
        <f t="shared" si="187"/>
        <v>0</v>
      </c>
      <c r="CU2730" s="22">
        <f t="shared" si="188"/>
        <v>0</v>
      </c>
      <c r="CV2730" s="26">
        <f t="shared" si="185"/>
        <v>500</v>
      </c>
    </row>
    <row r="2731" spans="1:100" x14ac:dyDescent="0.2">
      <c r="A2731" s="9" t="s">
        <v>605</v>
      </c>
      <c r="B2731" s="2">
        <v>3</v>
      </c>
      <c r="C2731" s="3" t="s">
        <v>95</v>
      </c>
      <c r="D2731" s="3" t="s">
        <v>96</v>
      </c>
      <c r="E2731" s="2"/>
      <c r="F2731" s="2"/>
      <c r="G2731" s="2" t="s">
        <v>65</v>
      </c>
      <c r="H2731" s="2">
        <v>3</v>
      </c>
      <c r="I2731" s="8">
        <v>116</v>
      </c>
      <c r="J2731" s="8">
        <v>38667</v>
      </c>
      <c r="K2731" s="3">
        <v>0</v>
      </c>
      <c r="L2731" s="3" t="s">
        <v>3</v>
      </c>
      <c r="M2731" s="9" t="s">
        <v>0</v>
      </c>
      <c r="N2731" s="9" t="s">
        <v>54</v>
      </c>
      <c r="O2731" s="9" t="s">
        <v>606</v>
      </c>
      <c r="S2731" s="9" t="s">
        <v>158</v>
      </c>
      <c r="T2731" s="10" t="s">
        <v>65</v>
      </c>
      <c r="U2731" s="10">
        <v>3</v>
      </c>
      <c r="V2731" s="10">
        <v>116</v>
      </c>
      <c r="W2731" s="10" t="s">
        <v>710</v>
      </c>
      <c r="X2731" s="17">
        <v>45693</v>
      </c>
      <c r="Y2731" s="17">
        <v>45693</v>
      </c>
      <c r="Z2731" s="19" t="s">
        <v>772</v>
      </c>
      <c r="AA2731" s="210">
        <v>36000</v>
      </c>
      <c r="AB2731" s="9">
        <v>48</v>
      </c>
      <c r="AC2731" s="9">
        <v>46</v>
      </c>
      <c r="AD2731" s="17">
        <v>47148</v>
      </c>
      <c r="AE2731" s="56">
        <v>500</v>
      </c>
      <c r="AF2731" s="56"/>
      <c r="AL2731" s="9"/>
      <c r="AM2731" s="9"/>
      <c r="AN2731" s="9"/>
      <c r="AP2731" s="11"/>
      <c r="AQ2731" s="11"/>
      <c r="AR2731" s="11"/>
      <c r="AW2731" s="9"/>
      <c r="BD2731" s="9"/>
      <c r="CS2731" s="11">
        <f t="shared" si="186"/>
        <v>0</v>
      </c>
      <c r="CT2731" s="22">
        <f t="shared" si="187"/>
        <v>0</v>
      </c>
      <c r="CU2731" s="22">
        <f t="shared" si="188"/>
        <v>0</v>
      </c>
      <c r="CV2731" s="26">
        <f t="shared" si="185"/>
        <v>500</v>
      </c>
    </row>
    <row r="2732" spans="1:100" x14ac:dyDescent="0.2">
      <c r="A2732" s="9" t="s">
        <v>605</v>
      </c>
      <c r="B2732" s="2">
        <v>3</v>
      </c>
      <c r="C2732" s="3" t="s">
        <v>95</v>
      </c>
      <c r="D2732" s="3" t="s">
        <v>96</v>
      </c>
      <c r="E2732" s="2"/>
      <c r="F2732" s="2"/>
      <c r="G2732" s="2" t="s">
        <v>65</v>
      </c>
      <c r="H2732" s="2">
        <v>3</v>
      </c>
      <c r="I2732" s="8">
        <v>116</v>
      </c>
      <c r="J2732" s="8">
        <v>38667</v>
      </c>
      <c r="K2732" s="3">
        <v>0</v>
      </c>
      <c r="L2732" s="3" t="s">
        <v>3</v>
      </c>
      <c r="M2732" s="9" t="s">
        <v>0</v>
      </c>
      <c r="N2732" s="9" t="s">
        <v>54</v>
      </c>
      <c r="O2732" s="9" t="s">
        <v>606</v>
      </c>
      <c r="S2732" s="9" t="s">
        <v>158</v>
      </c>
      <c r="T2732" s="10" t="s">
        <v>65</v>
      </c>
      <c r="U2732" s="10">
        <v>3</v>
      </c>
      <c r="V2732" s="10">
        <v>116</v>
      </c>
      <c r="W2732" s="10" t="s">
        <v>710</v>
      </c>
      <c r="X2732" s="17">
        <v>45693</v>
      </c>
      <c r="Y2732" s="17">
        <v>45693</v>
      </c>
      <c r="Z2732" s="19" t="s">
        <v>772</v>
      </c>
      <c r="AA2732" s="210">
        <v>36000</v>
      </c>
      <c r="AB2732" s="9">
        <v>48</v>
      </c>
      <c r="AC2732" s="9">
        <v>47</v>
      </c>
      <c r="AD2732" s="17">
        <v>47177</v>
      </c>
      <c r="AE2732" s="56">
        <v>500</v>
      </c>
      <c r="AF2732" s="56"/>
      <c r="AL2732" s="9"/>
      <c r="AM2732" s="9"/>
      <c r="AN2732" s="9"/>
      <c r="AP2732" s="11"/>
      <c r="AQ2732" s="11"/>
      <c r="AR2732" s="11"/>
      <c r="AW2732" s="9"/>
      <c r="BD2732" s="9"/>
      <c r="CS2732" s="11">
        <f t="shared" si="186"/>
        <v>0</v>
      </c>
      <c r="CT2732" s="22">
        <f t="shared" si="187"/>
        <v>0</v>
      </c>
      <c r="CU2732" s="22">
        <f t="shared" si="188"/>
        <v>0</v>
      </c>
      <c r="CV2732" s="26">
        <f t="shared" si="185"/>
        <v>500</v>
      </c>
    </row>
    <row r="2733" spans="1:100" x14ac:dyDescent="0.2">
      <c r="A2733" s="9" t="s">
        <v>605</v>
      </c>
      <c r="B2733" s="2">
        <v>3</v>
      </c>
      <c r="C2733" s="3" t="s">
        <v>95</v>
      </c>
      <c r="D2733" s="3" t="s">
        <v>96</v>
      </c>
      <c r="E2733" s="2"/>
      <c r="F2733" s="2"/>
      <c r="G2733" s="2" t="s">
        <v>65</v>
      </c>
      <c r="H2733" s="2">
        <v>3</v>
      </c>
      <c r="I2733" s="8">
        <v>116</v>
      </c>
      <c r="J2733" s="8">
        <v>38667</v>
      </c>
      <c r="K2733" s="3">
        <v>0</v>
      </c>
      <c r="L2733" s="3" t="s">
        <v>3</v>
      </c>
      <c r="M2733" s="9" t="s">
        <v>0</v>
      </c>
      <c r="N2733" s="9" t="s">
        <v>54</v>
      </c>
      <c r="O2733" s="9" t="s">
        <v>606</v>
      </c>
      <c r="S2733" s="9" t="s">
        <v>158</v>
      </c>
      <c r="T2733" s="10" t="s">
        <v>65</v>
      </c>
      <c r="U2733" s="10">
        <v>3</v>
      </c>
      <c r="V2733" s="10">
        <v>116</v>
      </c>
      <c r="W2733" s="10" t="s">
        <v>710</v>
      </c>
      <c r="X2733" s="17">
        <v>45693</v>
      </c>
      <c r="Y2733" s="17">
        <v>45693</v>
      </c>
      <c r="Z2733" s="19" t="s">
        <v>772</v>
      </c>
      <c r="AA2733" s="210">
        <v>36000</v>
      </c>
      <c r="AB2733" s="9">
        <v>48</v>
      </c>
      <c r="AC2733" s="9">
        <v>48</v>
      </c>
      <c r="AD2733" s="17">
        <v>47207</v>
      </c>
      <c r="AE2733" s="56">
        <v>9500</v>
      </c>
      <c r="AF2733" s="56"/>
      <c r="AL2733" s="9"/>
      <c r="AM2733" s="9"/>
      <c r="AN2733" s="9"/>
      <c r="AP2733" s="11"/>
      <c r="AQ2733" s="11"/>
      <c r="AR2733" s="11"/>
      <c r="AW2733" s="9"/>
      <c r="BD2733" s="9"/>
      <c r="CS2733" s="11">
        <f t="shared" si="186"/>
        <v>0</v>
      </c>
      <c r="CT2733" s="22">
        <f t="shared" si="187"/>
        <v>0</v>
      </c>
      <c r="CU2733" s="22">
        <f t="shared" si="188"/>
        <v>0</v>
      </c>
      <c r="CV2733" s="26">
        <f t="shared" si="185"/>
        <v>9500</v>
      </c>
    </row>
    <row r="2734" spans="1:100" x14ac:dyDescent="0.2">
      <c r="A2734" s="9" t="s">
        <v>608</v>
      </c>
      <c r="B2734" s="2">
        <v>83</v>
      </c>
      <c r="C2734" s="3" t="s">
        <v>95</v>
      </c>
      <c r="D2734" s="3" t="s">
        <v>96</v>
      </c>
      <c r="E2734" s="2"/>
      <c r="F2734" s="2"/>
      <c r="G2734" s="2" t="s">
        <v>74</v>
      </c>
      <c r="H2734" s="2">
        <v>8</v>
      </c>
      <c r="I2734" s="8">
        <v>114.83</v>
      </c>
      <c r="J2734" s="8">
        <v>37499</v>
      </c>
      <c r="K2734" s="3">
        <v>0</v>
      </c>
      <c r="L2734" s="3" t="s">
        <v>3</v>
      </c>
      <c r="M2734" s="9" t="s">
        <v>0</v>
      </c>
      <c r="N2734" s="9" t="s">
        <v>55</v>
      </c>
      <c r="O2734" s="9" t="s">
        <v>609</v>
      </c>
      <c r="P2734" s="9" t="s">
        <v>0</v>
      </c>
      <c r="Q2734" s="30" t="s">
        <v>610</v>
      </c>
      <c r="R2734" s="9" t="s">
        <v>611</v>
      </c>
      <c r="S2734" s="9" t="s">
        <v>158</v>
      </c>
      <c r="T2734" s="10" t="s">
        <v>74</v>
      </c>
      <c r="U2734" s="10">
        <v>8</v>
      </c>
      <c r="V2734" s="10">
        <v>114.83</v>
      </c>
      <c r="W2734" s="10" t="s">
        <v>710</v>
      </c>
      <c r="X2734" s="17">
        <v>45518</v>
      </c>
      <c r="Y2734" s="17">
        <v>45520</v>
      </c>
      <c r="Z2734" s="19" t="s">
        <v>772</v>
      </c>
      <c r="AA2734" s="210">
        <v>36500</v>
      </c>
      <c r="AB2734" s="9">
        <v>40</v>
      </c>
      <c r="AC2734" s="9">
        <v>0</v>
      </c>
      <c r="AD2734" s="17">
        <v>45519</v>
      </c>
      <c r="AE2734" s="56">
        <v>7500</v>
      </c>
      <c r="AF2734" s="56"/>
      <c r="AG2734" s="9" t="s">
        <v>134</v>
      </c>
      <c r="AH2734" s="17">
        <v>45519</v>
      </c>
      <c r="AI2734" s="17"/>
      <c r="AJ2734" s="17"/>
      <c r="AK2734" s="9" t="s">
        <v>612</v>
      </c>
      <c r="AL2734" s="11">
        <v>7500</v>
      </c>
      <c r="AN2734" s="11" t="s">
        <v>1012</v>
      </c>
      <c r="AP2734" s="11"/>
      <c r="AQ2734" s="11"/>
      <c r="AR2734" s="11"/>
      <c r="AW2734" s="42">
        <v>45518</v>
      </c>
      <c r="AX2734" s="36">
        <v>3043</v>
      </c>
      <c r="AY2734" s="36"/>
      <c r="AZ2734" s="36"/>
      <c r="BA2734" s="40">
        <v>4000</v>
      </c>
      <c r="BC2734" s="42">
        <v>45518</v>
      </c>
      <c r="BD2734" s="36">
        <v>3037</v>
      </c>
      <c r="BE2734" s="36"/>
      <c r="BF2734" s="36"/>
      <c r="BG2734" s="36">
        <v>1500</v>
      </c>
      <c r="BH2734" s="36"/>
      <c r="BI2734" s="42">
        <v>45519</v>
      </c>
      <c r="BJ2734" s="36">
        <v>3045</v>
      </c>
      <c r="BK2734" s="36"/>
      <c r="BL2734" s="36"/>
      <c r="BM2734" s="36">
        <v>2000</v>
      </c>
      <c r="BN2734" s="36"/>
      <c r="BO2734" s="17"/>
      <c r="CA2734" s="17"/>
      <c r="CS2734" s="11">
        <f t="shared" si="186"/>
        <v>7500</v>
      </c>
      <c r="CT2734" s="22">
        <f t="shared" si="187"/>
        <v>7500</v>
      </c>
      <c r="CU2734" s="22">
        <f t="shared" si="188"/>
        <v>0</v>
      </c>
      <c r="CV2734" s="26">
        <f t="shared" si="185"/>
        <v>0</v>
      </c>
    </row>
    <row r="2735" spans="1:100" x14ac:dyDescent="0.2">
      <c r="A2735" s="9" t="s">
        <v>608</v>
      </c>
      <c r="B2735" s="2">
        <v>83</v>
      </c>
      <c r="C2735" s="3" t="s">
        <v>95</v>
      </c>
      <c r="D2735" s="3" t="s">
        <v>96</v>
      </c>
      <c r="E2735" s="2"/>
      <c r="F2735" s="2"/>
      <c r="G2735" s="2" t="s">
        <v>74</v>
      </c>
      <c r="H2735" s="2">
        <v>8</v>
      </c>
      <c r="I2735" s="8">
        <v>114.83</v>
      </c>
      <c r="J2735" s="8">
        <v>37499</v>
      </c>
      <c r="K2735" s="3">
        <v>0</v>
      </c>
      <c r="L2735" s="3" t="s">
        <v>3</v>
      </c>
      <c r="M2735" s="9" t="s">
        <v>0</v>
      </c>
      <c r="N2735" s="9" t="s">
        <v>55</v>
      </c>
      <c r="O2735" s="9" t="s">
        <v>609</v>
      </c>
      <c r="P2735" s="9" t="s">
        <v>0</v>
      </c>
      <c r="Q2735" s="30" t="s">
        <v>610</v>
      </c>
      <c r="R2735" s="9" t="s">
        <v>611</v>
      </c>
      <c r="S2735" s="9" t="s">
        <v>158</v>
      </c>
      <c r="T2735" s="10" t="s">
        <v>74</v>
      </c>
      <c r="U2735" s="10">
        <v>8</v>
      </c>
      <c r="V2735" s="10">
        <v>114.83</v>
      </c>
      <c r="W2735" s="10" t="s">
        <v>710</v>
      </c>
      <c r="X2735" s="17">
        <v>45518</v>
      </c>
      <c r="Y2735" s="17">
        <v>45520</v>
      </c>
      <c r="Z2735" s="19" t="s">
        <v>772</v>
      </c>
      <c r="AA2735" s="210">
        <v>36500</v>
      </c>
      <c r="AB2735" s="9">
        <v>40</v>
      </c>
      <c r="AC2735" s="9">
        <v>0</v>
      </c>
      <c r="AD2735" s="17">
        <v>45520</v>
      </c>
      <c r="AE2735" s="56">
        <v>1500</v>
      </c>
      <c r="AF2735" s="56"/>
      <c r="AG2735" s="9" t="s">
        <v>134</v>
      </c>
      <c r="AH2735" s="17">
        <v>45520</v>
      </c>
      <c r="AI2735" s="17"/>
      <c r="AJ2735" s="17"/>
      <c r="AK2735" s="9" t="s">
        <v>613</v>
      </c>
      <c r="AL2735" s="11">
        <v>1500</v>
      </c>
      <c r="AN2735" s="11" t="s">
        <v>1013</v>
      </c>
      <c r="AP2735" s="11"/>
      <c r="AQ2735" s="11"/>
      <c r="AR2735" s="11"/>
      <c r="AW2735" s="42">
        <v>45520</v>
      </c>
      <c r="AX2735" s="36">
        <v>3056</v>
      </c>
      <c r="AY2735" s="36"/>
      <c r="AZ2735" s="36"/>
      <c r="BA2735" s="40">
        <v>1500</v>
      </c>
      <c r="BD2735" s="9"/>
      <c r="CS2735" s="11">
        <f t="shared" si="186"/>
        <v>1500</v>
      </c>
      <c r="CT2735" s="22">
        <f t="shared" si="187"/>
        <v>1500</v>
      </c>
      <c r="CU2735" s="22">
        <f t="shared" si="188"/>
        <v>0</v>
      </c>
      <c r="CV2735" s="26">
        <f t="shared" si="185"/>
        <v>0</v>
      </c>
    </row>
    <row r="2736" spans="1:100" x14ac:dyDescent="0.2">
      <c r="A2736" s="9" t="s">
        <v>608</v>
      </c>
      <c r="B2736" s="2">
        <v>83</v>
      </c>
      <c r="C2736" s="3" t="s">
        <v>95</v>
      </c>
      <c r="D2736" s="3" t="s">
        <v>96</v>
      </c>
      <c r="E2736" s="2"/>
      <c r="F2736" s="2"/>
      <c r="G2736" s="2" t="s">
        <v>74</v>
      </c>
      <c r="H2736" s="2">
        <v>8</v>
      </c>
      <c r="I2736" s="8">
        <v>114.83</v>
      </c>
      <c r="J2736" s="8">
        <v>37499</v>
      </c>
      <c r="K2736" s="3">
        <v>0</v>
      </c>
      <c r="L2736" s="3" t="s">
        <v>3</v>
      </c>
      <c r="M2736" s="9" t="s">
        <v>0</v>
      </c>
      <c r="N2736" s="9" t="s">
        <v>55</v>
      </c>
      <c r="O2736" s="9" t="s">
        <v>609</v>
      </c>
      <c r="P2736" s="9" t="s">
        <v>0</v>
      </c>
      <c r="Q2736" s="30" t="s">
        <v>610</v>
      </c>
      <c r="R2736" s="9" t="s">
        <v>611</v>
      </c>
      <c r="S2736" s="9" t="s">
        <v>158</v>
      </c>
      <c r="T2736" s="10" t="s">
        <v>74</v>
      </c>
      <c r="U2736" s="10">
        <v>8</v>
      </c>
      <c r="V2736" s="10">
        <v>114.83</v>
      </c>
      <c r="W2736" s="10" t="s">
        <v>710</v>
      </c>
      <c r="X2736" s="17">
        <v>45518</v>
      </c>
      <c r="Y2736" s="17">
        <v>45520</v>
      </c>
      <c r="Z2736" s="19" t="s">
        <v>772</v>
      </c>
      <c r="AA2736" s="210">
        <v>36500</v>
      </c>
      <c r="AB2736" s="9">
        <v>40</v>
      </c>
      <c r="AC2736" s="9">
        <v>1</v>
      </c>
      <c r="AD2736" s="17">
        <v>45522</v>
      </c>
      <c r="AE2736" s="56">
        <v>1000</v>
      </c>
      <c r="AF2736" s="56"/>
      <c r="AG2736" s="9" t="s">
        <v>134</v>
      </c>
      <c r="AH2736" s="17">
        <v>45520</v>
      </c>
      <c r="AI2736" s="17"/>
      <c r="AJ2736" s="17"/>
      <c r="AK2736" s="9" t="s">
        <v>1008</v>
      </c>
      <c r="AL2736" s="11">
        <v>1000</v>
      </c>
      <c r="AN2736" s="11" t="s">
        <v>1014</v>
      </c>
      <c r="AP2736" s="11"/>
      <c r="AQ2736" s="11"/>
      <c r="AR2736" s="11"/>
      <c r="AW2736" s="42">
        <v>45520</v>
      </c>
      <c r="AX2736" s="36">
        <v>3058</v>
      </c>
      <c r="AY2736" s="36"/>
      <c r="AZ2736" s="36"/>
      <c r="BA2736" s="40">
        <v>480</v>
      </c>
      <c r="BC2736" s="42">
        <v>45520</v>
      </c>
      <c r="BD2736" s="36">
        <v>780505</v>
      </c>
      <c r="BE2736" s="93">
        <v>1945</v>
      </c>
      <c r="BF2736" s="36">
        <v>3.74</v>
      </c>
      <c r="BG2736" s="40">
        <f>+BE2736/BF2736</f>
        <v>520.05347593582883</v>
      </c>
      <c r="BH2736" s="40"/>
      <c r="CS2736" s="11">
        <f t="shared" si="186"/>
        <v>1000</v>
      </c>
      <c r="CT2736" s="22">
        <f t="shared" si="187"/>
        <v>1000.0534759358288</v>
      </c>
      <c r="CU2736" s="22">
        <f t="shared" si="188"/>
        <v>-5.3475935828828369E-2</v>
      </c>
      <c r="CV2736" s="26">
        <f t="shared" si="185"/>
        <v>0</v>
      </c>
    </row>
    <row r="2737" spans="1:100" x14ac:dyDescent="0.2">
      <c r="A2737" s="9" t="s">
        <v>608</v>
      </c>
      <c r="B2737" s="2">
        <v>83</v>
      </c>
      <c r="C2737" s="3" t="s">
        <v>95</v>
      </c>
      <c r="D2737" s="3" t="s">
        <v>96</v>
      </c>
      <c r="E2737" s="2"/>
      <c r="F2737" s="2"/>
      <c r="G2737" s="2" t="s">
        <v>74</v>
      </c>
      <c r="H2737" s="2">
        <v>8</v>
      </c>
      <c r="I2737" s="8">
        <v>114.83</v>
      </c>
      <c r="J2737" s="8">
        <v>37499</v>
      </c>
      <c r="K2737" s="3">
        <v>0</v>
      </c>
      <c r="L2737" s="3" t="s">
        <v>3</v>
      </c>
      <c r="M2737" s="9" t="s">
        <v>0</v>
      </c>
      <c r="N2737" s="9" t="s">
        <v>55</v>
      </c>
      <c r="O2737" s="9" t="s">
        <v>609</v>
      </c>
      <c r="P2737" s="9" t="s">
        <v>0</v>
      </c>
      <c r="Q2737" s="30" t="s">
        <v>610</v>
      </c>
      <c r="R2737" s="9" t="s">
        <v>611</v>
      </c>
      <c r="S2737" s="9" t="s">
        <v>158</v>
      </c>
      <c r="T2737" s="10" t="s">
        <v>74</v>
      </c>
      <c r="U2737" s="10">
        <v>8</v>
      </c>
      <c r="V2737" s="10">
        <v>114.83</v>
      </c>
      <c r="W2737" s="10" t="s">
        <v>710</v>
      </c>
      <c r="X2737" s="17">
        <v>45518</v>
      </c>
      <c r="Y2737" s="17">
        <v>45520</v>
      </c>
      <c r="Z2737" s="19" t="s">
        <v>772</v>
      </c>
      <c r="AA2737" s="210">
        <v>36500</v>
      </c>
      <c r="AB2737" s="9">
        <v>40</v>
      </c>
      <c r="AC2737" s="9">
        <v>2</v>
      </c>
      <c r="AD2737" s="17">
        <v>45585</v>
      </c>
      <c r="AE2737" s="56">
        <v>500</v>
      </c>
      <c r="AF2737" s="56"/>
      <c r="AG2737" s="9" t="s">
        <v>134</v>
      </c>
      <c r="AH2737" s="17">
        <v>45591</v>
      </c>
      <c r="AI2737" s="17"/>
      <c r="AJ2737" s="17"/>
      <c r="AK2737" s="9" t="s">
        <v>1009</v>
      </c>
      <c r="AL2737" s="11">
        <v>500</v>
      </c>
      <c r="AN2737" s="11" t="s">
        <v>1015</v>
      </c>
      <c r="AP2737" s="11"/>
      <c r="AQ2737" s="11"/>
      <c r="AR2737" s="11"/>
      <c r="AW2737" s="42">
        <v>45591</v>
      </c>
      <c r="AX2737" s="36">
        <v>3320</v>
      </c>
      <c r="AY2737" s="36"/>
      <c r="AZ2737" s="36"/>
      <c r="BA2737" s="93">
        <v>500</v>
      </c>
      <c r="BD2737" s="9"/>
      <c r="CS2737" s="11">
        <f t="shared" si="186"/>
        <v>500</v>
      </c>
      <c r="CT2737" s="22">
        <f t="shared" si="187"/>
        <v>500</v>
      </c>
      <c r="CU2737" s="22">
        <f t="shared" si="188"/>
        <v>0</v>
      </c>
      <c r="CV2737" s="26">
        <f t="shared" si="185"/>
        <v>0</v>
      </c>
    </row>
    <row r="2738" spans="1:100" x14ac:dyDescent="0.2">
      <c r="A2738" s="9" t="s">
        <v>608</v>
      </c>
      <c r="B2738" s="2">
        <v>83</v>
      </c>
      <c r="C2738" s="3" t="s">
        <v>95</v>
      </c>
      <c r="D2738" s="3" t="s">
        <v>96</v>
      </c>
      <c r="E2738" s="2"/>
      <c r="F2738" s="2"/>
      <c r="G2738" s="2" t="s">
        <v>74</v>
      </c>
      <c r="H2738" s="2">
        <v>8</v>
      </c>
      <c r="I2738" s="8">
        <v>114.83</v>
      </c>
      <c r="J2738" s="8">
        <v>37499</v>
      </c>
      <c r="K2738" s="3">
        <v>0</v>
      </c>
      <c r="L2738" s="3" t="s">
        <v>3</v>
      </c>
      <c r="M2738" s="9" t="s">
        <v>0</v>
      </c>
      <c r="N2738" s="9" t="s">
        <v>55</v>
      </c>
      <c r="O2738" s="9" t="s">
        <v>609</v>
      </c>
      <c r="P2738" s="9" t="s">
        <v>0</v>
      </c>
      <c r="Q2738" s="30" t="s">
        <v>610</v>
      </c>
      <c r="R2738" s="9" t="s">
        <v>611</v>
      </c>
      <c r="S2738" s="9" t="s">
        <v>158</v>
      </c>
      <c r="T2738" s="10" t="s">
        <v>74</v>
      </c>
      <c r="U2738" s="10">
        <v>8</v>
      </c>
      <c r="V2738" s="10">
        <v>114.83</v>
      </c>
      <c r="W2738" s="10" t="s">
        <v>710</v>
      </c>
      <c r="X2738" s="17">
        <v>45518</v>
      </c>
      <c r="Y2738" s="17">
        <v>45520</v>
      </c>
      <c r="Z2738" s="19" t="s">
        <v>772</v>
      </c>
      <c r="AA2738" s="210">
        <v>36500</v>
      </c>
      <c r="AB2738" s="9">
        <v>40</v>
      </c>
      <c r="AC2738" s="9">
        <v>3</v>
      </c>
      <c r="AD2738" s="17">
        <v>45616</v>
      </c>
      <c r="AE2738" s="56">
        <v>500</v>
      </c>
      <c r="AF2738" s="56"/>
      <c r="AG2738" s="9" t="s">
        <v>134</v>
      </c>
      <c r="AH2738" s="17">
        <v>45607</v>
      </c>
      <c r="AI2738" s="17"/>
      <c r="AJ2738" s="17"/>
      <c r="AK2738" s="9" t="s">
        <v>1010</v>
      </c>
      <c r="AL2738" s="11">
        <v>500</v>
      </c>
      <c r="AN2738" s="11" t="s">
        <v>1016</v>
      </c>
      <c r="AP2738" s="11"/>
      <c r="AQ2738" s="11"/>
      <c r="AR2738" s="11"/>
      <c r="AW2738" s="42">
        <v>45607</v>
      </c>
      <c r="AX2738" s="36">
        <v>3400</v>
      </c>
      <c r="AY2738" s="36"/>
      <c r="AZ2738" s="36"/>
      <c r="BA2738" s="93">
        <v>500</v>
      </c>
      <c r="BD2738" s="9"/>
      <c r="CS2738" s="11">
        <f t="shared" si="186"/>
        <v>500</v>
      </c>
      <c r="CT2738" s="22">
        <f t="shared" si="187"/>
        <v>500</v>
      </c>
      <c r="CU2738" s="22">
        <f t="shared" si="188"/>
        <v>0</v>
      </c>
      <c r="CV2738" s="26">
        <f t="shared" si="185"/>
        <v>0</v>
      </c>
    </row>
    <row r="2739" spans="1:100" x14ac:dyDescent="0.2">
      <c r="A2739" s="9" t="s">
        <v>608</v>
      </c>
      <c r="B2739" s="2">
        <v>83</v>
      </c>
      <c r="C2739" s="3" t="s">
        <v>95</v>
      </c>
      <c r="D2739" s="3" t="s">
        <v>96</v>
      </c>
      <c r="E2739" s="2"/>
      <c r="F2739" s="2"/>
      <c r="G2739" s="2" t="s">
        <v>74</v>
      </c>
      <c r="H2739" s="2">
        <v>8</v>
      </c>
      <c r="I2739" s="8">
        <v>114.83</v>
      </c>
      <c r="J2739" s="8">
        <v>37499</v>
      </c>
      <c r="K2739" s="3">
        <v>0</v>
      </c>
      <c r="L2739" s="3" t="s">
        <v>3</v>
      </c>
      <c r="M2739" s="9" t="s">
        <v>0</v>
      </c>
      <c r="N2739" s="9">
        <v>25772230</v>
      </c>
      <c r="O2739" s="9" t="s">
        <v>609</v>
      </c>
      <c r="P2739" s="9" t="s">
        <v>0</v>
      </c>
      <c r="Q2739" s="30" t="s">
        <v>610</v>
      </c>
      <c r="R2739" s="9" t="s">
        <v>611</v>
      </c>
      <c r="S2739" s="9" t="s">
        <v>158</v>
      </c>
      <c r="T2739" s="10" t="s">
        <v>74</v>
      </c>
      <c r="U2739" s="10">
        <v>8</v>
      </c>
      <c r="V2739" s="10">
        <v>114.83</v>
      </c>
      <c r="W2739" s="10" t="s">
        <v>710</v>
      </c>
      <c r="X2739" s="17">
        <v>45518</v>
      </c>
      <c r="Y2739" s="17">
        <v>45520</v>
      </c>
      <c r="Z2739" s="19" t="s">
        <v>772</v>
      </c>
      <c r="AA2739" s="210">
        <v>36500</v>
      </c>
      <c r="AB2739" s="9">
        <v>40</v>
      </c>
      <c r="AC2739" s="9">
        <v>4</v>
      </c>
      <c r="AD2739" s="17">
        <v>45646</v>
      </c>
      <c r="AE2739" s="56">
        <v>500</v>
      </c>
      <c r="AF2739" s="56"/>
      <c r="AG2739" s="9" t="s">
        <v>134</v>
      </c>
      <c r="AH2739" s="17">
        <v>45645</v>
      </c>
      <c r="AI2739" s="17"/>
      <c r="AJ2739" s="17"/>
      <c r="AK2739" s="9" t="s">
        <v>1011</v>
      </c>
      <c r="AL2739" s="11">
        <v>500</v>
      </c>
      <c r="AN2739" s="11" t="s">
        <v>1017</v>
      </c>
      <c r="AP2739" s="11"/>
      <c r="AQ2739" s="11"/>
      <c r="AR2739" s="11"/>
      <c r="AW2739" s="42">
        <v>45646</v>
      </c>
      <c r="AX2739" s="36">
        <v>3515</v>
      </c>
      <c r="AY2739" s="36"/>
      <c r="AZ2739" s="36"/>
      <c r="BA2739" s="93">
        <v>500</v>
      </c>
      <c r="BD2739" s="9"/>
      <c r="CS2739" s="11">
        <f t="shared" si="186"/>
        <v>500</v>
      </c>
      <c r="CT2739" s="22">
        <f t="shared" si="187"/>
        <v>500</v>
      </c>
      <c r="CU2739" s="22">
        <f t="shared" si="188"/>
        <v>0</v>
      </c>
      <c r="CV2739" s="26">
        <f t="shared" si="185"/>
        <v>0</v>
      </c>
    </row>
    <row r="2740" spans="1:100" x14ac:dyDescent="0.2">
      <c r="A2740" s="9" t="s">
        <v>608</v>
      </c>
      <c r="B2740" s="2">
        <v>83</v>
      </c>
      <c r="C2740" s="3" t="s">
        <v>95</v>
      </c>
      <c r="D2740" s="3" t="s">
        <v>96</v>
      </c>
      <c r="E2740" s="2"/>
      <c r="F2740" s="2"/>
      <c r="G2740" s="2" t="s">
        <v>74</v>
      </c>
      <c r="H2740" s="2">
        <v>8</v>
      </c>
      <c r="I2740" s="8">
        <v>114.83</v>
      </c>
      <c r="J2740" s="8">
        <v>37499</v>
      </c>
      <c r="K2740" s="3">
        <v>0</v>
      </c>
      <c r="L2740" s="3" t="s">
        <v>3</v>
      </c>
      <c r="M2740" s="9" t="s">
        <v>0</v>
      </c>
      <c r="N2740" s="9" t="s">
        <v>55</v>
      </c>
      <c r="O2740" s="9" t="s">
        <v>609</v>
      </c>
      <c r="P2740" s="9" t="s">
        <v>0</v>
      </c>
      <c r="Q2740" s="30" t="s">
        <v>610</v>
      </c>
      <c r="R2740" s="9" t="s">
        <v>611</v>
      </c>
      <c r="S2740" s="9" t="s">
        <v>158</v>
      </c>
      <c r="T2740" s="10" t="s">
        <v>74</v>
      </c>
      <c r="U2740" s="10">
        <v>8</v>
      </c>
      <c r="V2740" s="10">
        <v>114.83</v>
      </c>
      <c r="W2740" s="10" t="s">
        <v>710</v>
      </c>
      <c r="X2740" s="17">
        <v>45518</v>
      </c>
      <c r="Y2740" s="17">
        <v>45520</v>
      </c>
      <c r="Z2740" s="19" t="s">
        <v>772</v>
      </c>
      <c r="AA2740" s="210">
        <v>36500</v>
      </c>
      <c r="AB2740" s="9">
        <v>40</v>
      </c>
      <c r="AC2740" s="9">
        <v>5</v>
      </c>
      <c r="AD2740" s="17">
        <v>45677</v>
      </c>
      <c r="AE2740" s="56">
        <v>500</v>
      </c>
      <c r="AF2740" s="56"/>
      <c r="AG2740" s="9" t="s">
        <v>134</v>
      </c>
      <c r="AH2740" s="17">
        <v>45684</v>
      </c>
      <c r="AI2740" s="17"/>
      <c r="AJ2740" s="17"/>
      <c r="AK2740" s="9" t="s">
        <v>1018</v>
      </c>
      <c r="AL2740" s="11">
        <v>500</v>
      </c>
      <c r="AN2740" s="11" t="s">
        <v>1027</v>
      </c>
      <c r="AP2740" s="11"/>
      <c r="AQ2740" s="11"/>
      <c r="AR2740" s="11"/>
      <c r="AW2740" s="42">
        <v>45685</v>
      </c>
      <c r="AX2740" s="36">
        <v>3656</v>
      </c>
      <c r="AY2740" s="36"/>
      <c r="AZ2740" s="36"/>
      <c r="BA2740" s="93">
        <v>500</v>
      </c>
      <c r="BD2740" s="9"/>
      <c r="CS2740" s="11">
        <f t="shared" si="186"/>
        <v>500</v>
      </c>
      <c r="CT2740" s="22">
        <f t="shared" si="187"/>
        <v>500</v>
      </c>
      <c r="CU2740" s="22">
        <f t="shared" si="188"/>
        <v>0</v>
      </c>
      <c r="CV2740" s="26">
        <f t="shared" si="185"/>
        <v>0</v>
      </c>
    </row>
    <row r="2741" spans="1:100" x14ac:dyDescent="0.2">
      <c r="A2741" s="9" t="s">
        <v>608</v>
      </c>
      <c r="B2741" s="2">
        <v>83</v>
      </c>
      <c r="C2741" s="3" t="s">
        <v>95</v>
      </c>
      <c r="D2741" s="3" t="s">
        <v>96</v>
      </c>
      <c r="E2741" s="2"/>
      <c r="F2741" s="2"/>
      <c r="G2741" s="2" t="s">
        <v>74</v>
      </c>
      <c r="H2741" s="2">
        <v>8</v>
      </c>
      <c r="I2741" s="8">
        <v>114.83</v>
      </c>
      <c r="J2741" s="8">
        <v>37499</v>
      </c>
      <c r="K2741" s="3">
        <v>0</v>
      </c>
      <c r="L2741" s="3" t="s">
        <v>3</v>
      </c>
      <c r="M2741" s="9" t="s">
        <v>0</v>
      </c>
      <c r="N2741" s="9" t="s">
        <v>55</v>
      </c>
      <c r="O2741" s="9" t="s">
        <v>609</v>
      </c>
      <c r="P2741" s="9" t="s">
        <v>0</v>
      </c>
      <c r="Q2741" s="30" t="s">
        <v>610</v>
      </c>
      <c r="R2741" s="9" t="s">
        <v>611</v>
      </c>
      <c r="S2741" s="9" t="s">
        <v>158</v>
      </c>
      <c r="T2741" s="10" t="s">
        <v>74</v>
      </c>
      <c r="U2741" s="10">
        <v>8</v>
      </c>
      <c r="V2741" s="10">
        <v>114.83</v>
      </c>
      <c r="W2741" s="10" t="s">
        <v>710</v>
      </c>
      <c r="X2741" s="17">
        <v>45518</v>
      </c>
      <c r="Y2741" s="17">
        <v>45520</v>
      </c>
      <c r="Z2741" s="19" t="s">
        <v>772</v>
      </c>
      <c r="AA2741" s="210">
        <v>36500</v>
      </c>
      <c r="AB2741" s="9">
        <v>40</v>
      </c>
      <c r="AC2741" s="9">
        <v>6</v>
      </c>
      <c r="AD2741" s="17">
        <v>45708</v>
      </c>
      <c r="AE2741" s="56">
        <v>500</v>
      </c>
      <c r="AF2741" s="56"/>
      <c r="AG2741" s="9" t="s">
        <v>134</v>
      </c>
      <c r="AH2741" s="17">
        <v>45715</v>
      </c>
      <c r="AI2741" s="17"/>
      <c r="AJ2741" s="17"/>
      <c r="AK2741" s="9" t="s">
        <v>1019</v>
      </c>
      <c r="AL2741" s="11">
        <v>500</v>
      </c>
      <c r="AN2741" s="11" t="s">
        <v>1028</v>
      </c>
      <c r="AP2741" s="11"/>
      <c r="AQ2741" s="11"/>
      <c r="AR2741" s="11"/>
      <c r="AW2741" s="42">
        <v>45716</v>
      </c>
      <c r="AX2741" s="36">
        <v>3821</v>
      </c>
      <c r="AY2741" s="36"/>
      <c r="AZ2741" s="36"/>
      <c r="BA2741" s="40">
        <v>500</v>
      </c>
      <c r="BD2741" s="9"/>
      <c r="CS2741" s="11">
        <f t="shared" si="186"/>
        <v>500</v>
      </c>
      <c r="CT2741" s="22">
        <f t="shared" si="187"/>
        <v>500</v>
      </c>
      <c r="CU2741" s="22">
        <f t="shared" si="188"/>
        <v>0</v>
      </c>
      <c r="CV2741" s="26">
        <f t="shared" si="185"/>
        <v>0</v>
      </c>
    </row>
    <row r="2742" spans="1:100" x14ac:dyDescent="0.2">
      <c r="A2742" s="9" t="s">
        <v>608</v>
      </c>
      <c r="B2742" s="2">
        <v>83</v>
      </c>
      <c r="C2742" s="3" t="s">
        <v>95</v>
      </c>
      <c r="D2742" s="3" t="s">
        <v>96</v>
      </c>
      <c r="E2742" s="2"/>
      <c r="F2742" s="2"/>
      <c r="G2742" s="2" t="s">
        <v>74</v>
      </c>
      <c r="H2742" s="2">
        <v>8</v>
      </c>
      <c r="I2742" s="8">
        <v>114.83</v>
      </c>
      <c r="J2742" s="8">
        <v>37499</v>
      </c>
      <c r="K2742" s="3">
        <v>0</v>
      </c>
      <c r="L2742" s="3" t="s">
        <v>3</v>
      </c>
      <c r="M2742" s="9" t="s">
        <v>0</v>
      </c>
      <c r="N2742" s="9" t="s">
        <v>55</v>
      </c>
      <c r="O2742" s="9" t="s">
        <v>609</v>
      </c>
      <c r="P2742" s="9" t="s">
        <v>0</v>
      </c>
      <c r="Q2742" s="30" t="s">
        <v>610</v>
      </c>
      <c r="R2742" s="9" t="s">
        <v>611</v>
      </c>
      <c r="S2742" s="9" t="s">
        <v>158</v>
      </c>
      <c r="T2742" s="10" t="s">
        <v>74</v>
      </c>
      <c r="U2742" s="10">
        <v>8</v>
      </c>
      <c r="V2742" s="10">
        <v>114.83</v>
      </c>
      <c r="W2742" s="10" t="s">
        <v>710</v>
      </c>
      <c r="X2742" s="17">
        <v>45518</v>
      </c>
      <c r="Y2742" s="17">
        <v>45520</v>
      </c>
      <c r="Z2742" s="19" t="s">
        <v>772</v>
      </c>
      <c r="AA2742" s="210">
        <v>36500</v>
      </c>
      <c r="AB2742" s="9">
        <v>40</v>
      </c>
      <c r="AC2742" s="9">
        <v>7</v>
      </c>
      <c r="AD2742" s="17">
        <v>45736</v>
      </c>
      <c r="AE2742" s="56">
        <v>500</v>
      </c>
      <c r="AF2742" s="56"/>
      <c r="AG2742" s="9" t="s">
        <v>134</v>
      </c>
      <c r="AH2742" s="17">
        <v>45744</v>
      </c>
      <c r="AI2742" s="17"/>
      <c r="AJ2742" s="17"/>
      <c r="AK2742" s="9" t="s">
        <v>1020</v>
      </c>
      <c r="AL2742" s="11">
        <v>500</v>
      </c>
      <c r="AN2742" s="11" t="s">
        <v>1029</v>
      </c>
      <c r="AP2742" s="11"/>
      <c r="AQ2742" s="11"/>
      <c r="AR2742" s="11"/>
      <c r="AW2742" s="42">
        <v>45745</v>
      </c>
      <c r="AX2742" s="36">
        <v>3942</v>
      </c>
      <c r="AY2742" s="36"/>
      <c r="AZ2742" s="36"/>
      <c r="BA2742" s="93">
        <v>500</v>
      </c>
      <c r="BD2742" s="9"/>
      <c r="CS2742" s="11">
        <f t="shared" si="186"/>
        <v>500</v>
      </c>
      <c r="CT2742" s="22">
        <f t="shared" si="187"/>
        <v>500</v>
      </c>
      <c r="CU2742" s="22">
        <f t="shared" si="188"/>
        <v>0</v>
      </c>
      <c r="CV2742" s="26">
        <f t="shared" si="185"/>
        <v>0</v>
      </c>
    </row>
    <row r="2743" spans="1:100" x14ac:dyDescent="0.2">
      <c r="A2743" s="9" t="s">
        <v>608</v>
      </c>
      <c r="B2743" s="2">
        <v>83</v>
      </c>
      <c r="C2743" s="3" t="s">
        <v>95</v>
      </c>
      <c r="D2743" s="3" t="s">
        <v>96</v>
      </c>
      <c r="E2743" s="2"/>
      <c r="F2743" s="2"/>
      <c r="G2743" s="2" t="s">
        <v>74</v>
      </c>
      <c r="H2743" s="2">
        <v>8</v>
      </c>
      <c r="I2743" s="8">
        <v>114.83</v>
      </c>
      <c r="J2743" s="8">
        <v>37499</v>
      </c>
      <c r="K2743" s="3">
        <v>0</v>
      </c>
      <c r="L2743" s="3" t="s">
        <v>3</v>
      </c>
      <c r="M2743" s="9" t="s">
        <v>0</v>
      </c>
      <c r="N2743" s="9" t="s">
        <v>55</v>
      </c>
      <c r="O2743" s="9" t="s">
        <v>609</v>
      </c>
      <c r="P2743" s="9" t="s">
        <v>0</v>
      </c>
      <c r="Q2743" s="30" t="s">
        <v>610</v>
      </c>
      <c r="R2743" s="9" t="s">
        <v>611</v>
      </c>
      <c r="S2743" s="9" t="s">
        <v>158</v>
      </c>
      <c r="T2743" s="10" t="s">
        <v>74</v>
      </c>
      <c r="U2743" s="10">
        <v>8</v>
      </c>
      <c r="V2743" s="10">
        <v>114.83</v>
      </c>
      <c r="W2743" s="10" t="s">
        <v>710</v>
      </c>
      <c r="X2743" s="17">
        <v>45518</v>
      </c>
      <c r="Y2743" s="17">
        <v>45520</v>
      </c>
      <c r="Z2743" s="19" t="s">
        <v>772</v>
      </c>
      <c r="AA2743" s="210">
        <v>36500</v>
      </c>
      <c r="AB2743" s="9">
        <v>40</v>
      </c>
      <c r="AC2743" s="9">
        <v>8</v>
      </c>
      <c r="AD2743" s="17">
        <v>45767</v>
      </c>
      <c r="AE2743" s="56">
        <v>500</v>
      </c>
      <c r="AF2743" s="56"/>
      <c r="AG2743" s="9" t="s">
        <v>134</v>
      </c>
      <c r="AH2743" s="17">
        <v>45772</v>
      </c>
      <c r="AI2743" s="17"/>
      <c r="AJ2743" s="17"/>
      <c r="AK2743" s="9" t="s">
        <v>1021</v>
      </c>
      <c r="AL2743" s="11">
        <v>500</v>
      </c>
      <c r="AN2743" s="11" t="s">
        <v>1030</v>
      </c>
      <c r="AP2743" s="11"/>
      <c r="AQ2743" s="11"/>
      <c r="AR2743" s="11"/>
      <c r="AW2743" s="42">
        <v>45773</v>
      </c>
      <c r="AX2743" s="36">
        <v>4069</v>
      </c>
      <c r="AY2743" s="36"/>
      <c r="AZ2743" s="36"/>
      <c r="BA2743" s="93">
        <v>500</v>
      </c>
      <c r="BD2743" s="9"/>
      <c r="CS2743" s="11">
        <f t="shared" si="186"/>
        <v>500</v>
      </c>
      <c r="CT2743" s="22">
        <f t="shared" si="187"/>
        <v>500</v>
      </c>
      <c r="CU2743" s="22">
        <f t="shared" si="188"/>
        <v>0</v>
      </c>
      <c r="CV2743" s="26">
        <f t="shared" si="185"/>
        <v>0</v>
      </c>
    </row>
    <row r="2744" spans="1:100" x14ac:dyDescent="0.2">
      <c r="A2744" s="9" t="s">
        <v>608</v>
      </c>
      <c r="B2744" s="2">
        <v>83</v>
      </c>
      <c r="C2744" s="3" t="s">
        <v>95</v>
      </c>
      <c r="D2744" s="3" t="s">
        <v>96</v>
      </c>
      <c r="E2744" s="2"/>
      <c r="F2744" s="2"/>
      <c r="G2744" s="2" t="s">
        <v>74</v>
      </c>
      <c r="H2744" s="2">
        <v>8</v>
      </c>
      <c r="I2744" s="8">
        <v>114.83</v>
      </c>
      <c r="J2744" s="8">
        <v>37499</v>
      </c>
      <c r="K2744" s="3">
        <v>0</v>
      </c>
      <c r="L2744" s="3" t="s">
        <v>3</v>
      </c>
      <c r="M2744" s="9" t="s">
        <v>0</v>
      </c>
      <c r="N2744" s="9" t="s">
        <v>55</v>
      </c>
      <c r="O2744" s="9" t="s">
        <v>609</v>
      </c>
      <c r="P2744" s="9" t="s">
        <v>0</v>
      </c>
      <c r="Q2744" s="30" t="s">
        <v>610</v>
      </c>
      <c r="R2744" s="9" t="s">
        <v>611</v>
      </c>
      <c r="S2744" s="9" t="s">
        <v>158</v>
      </c>
      <c r="T2744" s="10" t="s">
        <v>74</v>
      </c>
      <c r="U2744" s="10">
        <v>8</v>
      </c>
      <c r="V2744" s="10">
        <v>114.83</v>
      </c>
      <c r="W2744" s="10" t="s">
        <v>710</v>
      </c>
      <c r="X2744" s="17">
        <v>45518</v>
      </c>
      <c r="Y2744" s="17">
        <v>45520</v>
      </c>
      <c r="Z2744" s="19" t="s">
        <v>772</v>
      </c>
      <c r="AA2744" s="210">
        <v>36500</v>
      </c>
      <c r="AB2744" s="9">
        <v>40</v>
      </c>
      <c r="AC2744" s="9">
        <v>9</v>
      </c>
      <c r="AD2744" s="17">
        <v>45797</v>
      </c>
      <c r="AE2744" s="56">
        <v>500</v>
      </c>
      <c r="AF2744" s="56"/>
      <c r="AG2744" s="9" t="s">
        <v>134</v>
      </c>
      <c r="AH2744" s="17">
        <v>45796</v>
      </c>
      <c r="AI2744" s="17"/>
      <c r="AJ2744" s="17"/>
      <c r="AK2744" s="9" t="s">
        <v>1022</v>
      </c>
      <c r="AL2744" s="11">
        <v>500</v>
      </c>
      <c r="AN2744" s="11" t="s">
        <v>1031</v>
      </c>
      <c r="AP2744" s="11"/>
      <c r="AQ2744" s="11"/>
      <c r="AR2744" s="11"/>
      <c r="AW2744" s="42">
        <v>45794</v>
      </c>
      <c r="AX2744" s="36">
        <v>4184</v>
      </c>
      <c r="AY2744" s="36"/>
      <c r="AZ2744" s="36"/>
      <c r="BA2744" s="93">
        <v>500</v>
      </c>
      <c r="BD2744" s="9"/>
      <c r="CS2744" s="11">
        <f t="shared" si="186"/>
        <v>500</v>
      </c>
      <c r="CT2744" s="22">
        <f t="shared" si="187"/>
        <v>500</v>
      </c>
      <c r="CU2744" s="22">
        <f t="shared" si="188"/>
        <v>0</v>
      </c>
      <c r="CV2744" s="26">
        <f t="shared" si="185"/>
        <v>0</v>
      </c>
    </row>
    <row r="2745" spans="1:100" x14ac:dyDescent="0.2">
      <c r="A2745" s="9" t="s">
        <v>608</v>
      </c>
      <c r="B2745" s="2">
        <v>83</v>
      </c>
      <c r="C2745" s="3" t="s">
        <v>95</v>
      </c>
      <c r="D2745" s="3" t="s">
        <v>96</v>
      </c>
      <c r="E2745" s="2"/>
      <c r="F2745" s="2"/>
      <c r="G2745" s="2" t="s">
        <v>74</v>
      </c>
      <c r="H2745" s="2">
        <v>8</v>
      </c>
      <c r="I2745" s="8">
        <v>114.83</v>
      </c>
      <c r="J2745" s="8">
        <v>37499</v>
      </c>
      <c r="K2745" s="3">
        <v>0</v>
      </c>
      <c r="L2745" s="3" t="s">
        <v>3</v>
      </c>
      <c r="M2745" s="9" t="s">
        <v>0</v>
      </c>
      <c r="N2745" s="9" t="s">
        <v>55</v>
      </c>
      <c r="O2745" s="9" t="s">
        <v>609</v>
      </c>
      <c r="P2745" s="9" t="s">
        <v>0</v>
      </c>
      <c r="Q2745" s="30" t="s">
        <v>610</v>
      </c>
      <c r="R2745" s="9" t="s">
        <v>611</v>
      </c>
      <c r="S2745" s="9" t="s">
        <v>158</v>
      </c>
      <c r="T2745" s="10" t="s">
        <v>74</v>
      </c>
      <c r="U2745" s="10">
        <v>8</v>
      </c>
      <c r="V2745" s="10">
        <v>114.83</v>
      </c>
      <c r="W2745" s="10" t="s">
        <v>710</v>
      </c>
      <c r="X2745" s="17">
        <v>45518</v>
      </c>
      <c r="Y2745" s="17">
        <v>45520</v>
      </c>
      <c r="Z2745" s="19" t="s">
        <v>772</v>
      </c>
      <c r="AA2745" s="210">
        <v>36500</v>
      </c>
      <c r="AB2745" s="9">
        <v>40</v>
      </c>
      <c r="AC2745" s="9">
        <v>10</v>
      </c>
      <c r="AD2745" s="17">
        <v>45828</v>
      </c>
      <c r="AE2745" s="56">
        <v>500</v>
      </c>
      <c r="AF2745" s="56"/>
      <c r="AG2745" s="9" t="s">
        <v>134</v>
      </c>
      <c r="AH2745" s="17">
        <v>45833</v>
      </c>
      <c r="AI2745" s="17"/>
      <c r="AJ2745" s="17"/>
      <c r="AK2745" s="9" t="s">
        <v>1023</v>
      </c>
      <c r="AL2745" s="11">
        <v>500</v>
      </c>
      <c r="AN2745" s="11" t="s">
        <v>1032</v>
      </c>
      <c r="AP2745" s="11"/>
      <c r="AQ2745" s="11"/>
      <c r="AR2745" s="11"/>
      <c r="AW2745" s="42">
        <v>45834</v>
      </c>
      <c r="AX2745" s="36">
        <v>4341</v>
      </c>
      <c r="AY2745" s="36"/>
      <c r="AZ2745" s="36"/>
      <c r="BA2745" s="93">
        <v>500</v>
      </c>
      <c r="BD2745" s="9"/>
      <c r="CS2745" s="11">
        <f t="shared" si="186"/>
        <v>500</v>
      </c>
      <c r="CT2745" s="22">
        <f t="shared" si="187"/>
        <v>500</v>
      </c>
      <c r="CU2745" s="22">
        <f t="shared" si="188"/>
        <v>0</v>
      </c>
      <c r="CV2745" s="26">
        <f t="shared" ref="CV2745:CV2808" si="189">+AE2745-AL2745-AT2745</f>
        <v>0</v>
      </c>
    </row>
    <row r="2746" spans="1:100" x14ac:dyDescent="0.2">
      <c r="A2746" s="9" t="s">
        <v>608</v>
      </c>
      <c r="B2746" s="2">
        <v>83</v>
      </c>
      <c r="C2746" s="3" t="s">
        <v>95</v>
      </c>
      <c r="D2746" s="3" t="s">
        <v>96</v>
      </c>
      <c r="E2746" s="2"/>
      <c r="F2746" s="2"/>
      <c r="G2746" s="2" t="s">
        <v>74</v>
      </c>
      <c r="H2746" s="2">
        <v>8</v>
      </c>
      <c r="I2746" s="8">
        <v>114.83</v>
      </c>
      <c r="J2746" s="8">
        <v>37499</v>
      </c>
      <c r="K2746" s="3">
        <v>0</v>
      </c>
      <c r="L2746" s="3" t="s">
        <v>3</v>
      </c>
      <c r="M2746" s="9" t="s">
        <v>0</v>
      </c>
      <c r="N2746" s="9" t="s">
        <v>55</v>
      </c>
      <c r="O2746" s="9" t="s">
        <v>609</v>
      </c>
      <c r="P2746" s="9" t="s">
        <v>0</v>
      </c>
      <c r="Q2746" s="30" t="s">
        <v>610</v>
      </c>
      <c r="R2746" s="9" t="s">
        <v>611</v>
      </c>
      <c r="S2746" s="9" t="s">
        <v>158</v>
      </c>
      <c r="T2746" s="10" t="s">
        <v>74</v>
      </c>
      <c r="U2746" s="10">
        <v>8</v>
      </c>
      <c r="V2746" s="10">
        <v>114.83</v>
      </c>
      <c r="W2746" s="10" t="s">
        <v>710</v>
      </c>
      <c r="X2746" s="17">
        <v>45518</v>
      </c>
      <c r="Y2746" s="17">
        <v>45520</v>
      </c>
      <c r="Z2746" s="19" t="s">
        <v>772</v>
      </c>
      <c r="AA2746" s="210">
        <v>36500</v>
      </c>
      <c r="AB2746" s="9">
        <v>40</v>
      </c>
      <c r="AC2746" s="9">
        <v>11</v>
      </c>
      <c r="AD2746" s="17">
        <v>45858</v>
      </c>
      <c r="AE2746" s="56">
        <v>500</v>
      </c>
      <c r="AF2746" s="56"/>
      <c r="AG2746" s="9" t="s">
        <v>134</v>
      </c>
      <c r="AH2746" s="17">
        <v>45864</v>
      </c>
      <c r="AI2746" s="17"/>
      <c r="AJ2746" s="17"/>
      <c r="AK2746" s="9" t="s">
        <v>1024</v>
      </c>
      <c r="AL2746" s="11">
        <v>500</v>
      </c>
      <c r="AN2746" s="11" t="s">
        <v>1033</v>
      </c>
      <c r="AP2746" s="11"/>
      <c r="AQ2746" s="11"/>
      <c r="AR2746" s="11"/>
      <c r="AW2746" s="42">
        <v>45864</v>
      </c>
      <c r="AX2746" s="36">
        <v>4477</v>
      </c>
      <c r="AY2746" s="36"/>
      <c r="AZ2746" s="36"/>
      <c r="BA2746" s="93">
        <v>500</v>
      </c>
      <c r="BD2746" s="9"/>
      <c r="CS2746" s="11">
        <f t="shared" si="186"/>
        <v>500</v>
      </c>
      <c r="CT2746" s="22">
        <f t="shared" si="187"/>
        <v>500</v>
      </c>
      <c r="CU2746" s="22">
        <f t="shared" si="188"/>
        <v>0</v>
      </c>
      <c r="CV2746" s="26">
        <f t="shared" si="189"/>
        <v>0</v>
      </c>
    </row>
    <row r="2747" spans="1:100" x14ac:dyDescent="0.2">
      <c r="A2747" s="9" t="s">
        <v>608</v>
      </c>
      <c r="B2747" s="2">
        <v>83</v>
      </c>
      <c r="C2747" s="3" t="s">
        <v>95</v>
      </c>
      <c r="D2747" s="3" t="s">
        <v>96</v>
      </c>
      <c r="E2747" s="2"/>
      <c r="F2747" s="2"/>
      <c r="G2747" s="2" t="s">
        <v>74</v>
      </c>
      <c r="H2747" s="2">
        <v>8</v>
      </c>
      <c r="I2747" s="8">
        <v>114.83</v>
      </c>
      <c r="J2747" s="8">
        <v>37499</v>
      </c>
      <c r="K2747" s="3">
        <v>0</v>
      </c>
      <c r="L2747" s="3" t="s">
        <v>3</v>
      </c>
      <c r="M2747" s="9" t="s">
        <v>0</v>
      </c>
      <c r="N2747" s="9" t="s">
        <v>55</v>
      </c>
      <c r="O2747" s="9" t="s">
        <v>609</v>
      </c>
      <c r="P2747" s="9" t="s">
        <v>0</v>
      </c>
      <c r="Q2747" s="30" t="s">
        <v>610</v>
      </c>
      <c r="R2747" s="9" t="s">
        <v>611</v>
      </c>
      <c r="S2747" s="9" t="s">
        <v>158</v>
      </c>
      <c r="T2747" s="10" t="s">
        <v>74</v>
      </c>
      <c r="U2747" s="10">
        <v>8</v>
      </c>
      <c r="V2747" s="10">
        <v>114.83</v>
      </c>
      <c r="W2747" s="10" t="s">
        <v>710</v>
      </c>
      <c r="X2747" s="17">
        <v>45518</v>
      </c>
      <c r="Y2747" s="17">
        <v>45520</v>
      </c>
      <c r="Z2747" s="19" t="s">
        <v>772</v>
      </c>
      <c r="AA2747" s="210">
        <v>36500</v>
      </c>
      <c r="AB2747" s="9">
        <v>40</v>
      </c>
      <c r="AC2747" s="9">
        <v>12</v>
      </c>
      <c r="AD2747" s="17">
        <v>45889</v>
      </c>
      <c r="AE2747" s="56">
        <v>500</v>
      </c>
      <c r="AF2747" s="56"/>
      <c r="AG2747" s="9" t="s">
        <v>134</v>
      </c>
      <c r="AH2747" s="17">
        <v>45901</v>
      </c>
      <c r="AI2747" s="17"/>
      <c r="AJ2747" s="17"/>
      <c r="AK2747" s="9" t="s">
        <v>1025</v>
      </c>
      <c r="AL2747" s="11">
        <v>500</v>
      </c>
      <c r="AN2747" s="11" t="s">
        <v>1034</v>
      </c>
      <c r="AP2747" s="11"/>
      <c r="AQ2747" s="11"/>
      <c r="AR2747" s="11"/>
      <c r="AW2747" s="42">
        <v>45901</v>
      </c>
      <c r="AX2747" s="41">
        <v>4638</v>
      </c>
      <c r="AY2747" s="36"/>
      <c r="AZ2747" s="36"/>
      <c r="BA2747" s="40">
        <v>500</v>
      </c>
      <c r="BD2747" s="9"/>
      <c r="CS2747" s="11">
        <f t="shared" si="186"/>
        <v>500</v>
      </c>
      <c r="CT2747" s="22">
        <f t="shared" si="187"/>
        <v>500</v>
      </c>
      <c r="CU2747" s="22">
        <f t="shared" si="188"/>
        <v>0</v>
      </c>
      <c r="CV2747" s="26">
        <f t="shared" si="189"/>
        <v>0</v>
      </c>
    </row>
    <row r="2748" spans="1:100" x14ac:dyDescent="0.2">
      <c r="A2748" s="9" t="s">
        <v>608</v>
      </c>
      <c r="B2748" s="2">
        <v>83</v>
      </c>
      <c r="C2748" s="3" t="s">
        <v>95</v>
      </c>
      <c r="D2748" s="3" t="s">
        <v>96</v>
      </c>
      <c r="E2748" s="2"/>
      <c r="F2748" s="2"/>
      <c r="G2748" s="2" t="s">
        <v>74</v>
      </c>
      <c r="H2748" s="2">
        <v>8</v>
      </c>
      <c r="I2748" s="8">
        <v>114.83</v>
      </c>
      <c r="J2748" s="8">
        <v>37499</v>
      </c>
      <c r="K2748" s="3">
        <v>0</v>
      </c>
      <c r="L2748" s="3" t="s">
        <v>3</v>
      </c>
      <c r="M2748" s="9" t="s">
        <v>0</v>
      </c>
      <c r="N2748" s="9" t="s">
        <v>55</v>
      </c>
      <c r="O2748" s="9" t="s">
        <v>609</v>
      </c>
      <c r="P2748" s="9" t="s">
        <v>0</v>
      </c>
      <c r="Q2748" s="30" t="s">
        <v>610</v>
      </c>
      <c r="R2748" s="9" t="s">
        <v>611</v>
      </c>
      <c r="S2748" s="9" t="s">
        <v>158</v>
      </c>
      <c r="T2748" s="10" t="s">
        <v>74</v>
      </c>
      <c r="U2748" s="10">
        <v>8</v>
      </c>
      <c r="V2748" s="10">
        <v>114.83</v>
      </c>
      <c r="W2748" s="10" t="s">
        <v>710</v>
      </c>
      <c r="X2748" s="17">
        <v>45518</v>
      </c>
      <c r="Y2748" s="17">
        <v>45520</v>
      </c>
      <c r="Z2748" s="19" t="s">
        <v>772</v>
      </c>
      <c r="AA2748" s="210">
        <v>36500</v>
      </c>
      <c r="AB2748" s="9">
        <v>40</v>
      </c>
      <c r="AC2748" s="9">
        <v>13</v>
      </c>
      <c r="AD2748" s="17">
        <v>45920</v>
      </c>
      <c r="AE2748" s="56">
        <v>500</v>
      </c>
      <c r="AF2748" s="56"/>
      <c r="AG2748" s="9" t="s">
        <v>134</v>
      </c>
      <c r="AH2748" s="17">
        <v>45930</v>
      </c>
      <c r="AI2748" s="17"/>
      <c r="AJ2748" s="17"/>
      <c r="AK2748" s="9" t="s">
        <v>1026</v>
      </c>
      <c r="AL2748" s="11">
        <v>500</v>
      </c>
      <c r="AN2748" s="11" t="s">
        <v>1035</v>
      </c>
      <c r="AP2748" s="11"/>
      <c r="AQ2748" s="11"/>
      <c r="AR2748" s="11"/>
      <c r="AW2748" s="17">
        <v>45930</v>
      </c>
      <c r="AX2748" s="10" t="s">
        <v>1036</v>
      </c>
      <c r="BA2748" s="11">
        <v>500</v>
      </c>
      <c r="BD2748" s="9"/>
      <c r="CS2748" s="11">
        <f t="shared" si="186"/>
        <v>500</v>
      </c>
      <c r="CT2748" s="22">
        <f t="shared" si="187"/>
        <v>500</v>
      </c>
      <c r="CU2748" s="22">
        <f t="shared" si="188"/>
        <v>0</v>
      </c>
      <c r="CV2748" s="26">
        <f t="shared" si="189"/>
        <v>0</v>
      </c>
    </row>
    <row r="2749" spans="1:100" x14ac:dyDescent="0.2">
      <c r="A2749" s="9" t="s">
        <v>608</v>
      </c>
      <c r="B2749" s="2">
        <v>83</v>
      </c>
      <c r="C2749" s="3" t="s">
        <v>95</v>
      </c>
      <c r="D2749" s="3" t="s">
        <v>96</v>
      </c>
      <c r="E2749" s="2"/>
      <c r="F2749" s="2"/>
      <c r="G2749" s="2" t="s">
        <v>74</v>
      </c>
      <c r="H2749" s="2">
        <v>8</v>
      </c>
      <c r="I2749" s="8">
        <v>114.83</v>
      </c>
      <c r="J2749" s="8">
        <v>37499</v>
      </c>
      <c r="K2749" s="3">
        <v>0</v>
      </c>
      <c r="L2749" s="3" t="s">
        <v>3</v>
      </c>
      <c r="M2749" s="9" t="s">
        <v>0</v>
      </c>
      <c r="N2749" s="9" t="s">
        <v>55</v>
      </c>
      <c r="O2749" s="9" t="s">
        <v>609</v>
      </c>
      <c r="P2749" s="9" t="s">
        <v>0</v>
      </c>
      <c r="Q2749" s="30" t="s">
        <v>610</v>
      </c>
      <c r="R2749" s="9" t="s">
        <v>611</v>
      </c>
      <c r="S2749" s="9" t="s">
        <v>158</v>
      </c>
      <c r="T2749" s="10" t="s">
        <v>74</v>
      </c>
      <c r="U2749" s="10">
        <v>8</v>
      </c>
      <c r="V2749" s="10">
        <v>114.83</v>
      </c>
      <c r="W2749" s="10" t="s">
        <v>710</v>
      </c>
      <c r="X2749" s="17">
        <v>45518</v>
      </c>
      <c r="Y2749" s="17">
        <v>45520</v>
      </c>
      <c r="Z2749" s="19" t="s">
        <v>772</v>
      </c>
      <c r="AA2749" s="210">
        <v>36500</v>
      </c>
      <c r="AB2749" s="9">
        <v>40</v>
      </c>
      <c r="AC2749" s="9">
        <v>14</v>
      </c>
      <c r="AD2749" s="17">
        <v>45950</v>
      </c>
      <c r="AE2749" s="56">
        <v>500</v>
      </c>
      <c r="AF2749" s="56"/>
      <c r="AP2749" s="11"/>
      <c r="AQ2749" s="11"/>
      <c r="AR2749" s="11"/>
      <c r="AW2749" s="9"/>
      <c r="BD2749" s="9"/>
      <c r="CS2749" s="11">
        <f t="shared" ref="CS2749:CS2812" si="190">+AL2749+AT2749</f>
        <v>0</v>
      </c>
      <c r="CT2749" s="22">
        <f t="shared" ref="CT2749:CT2812" si="191">+BA2749+BG2749+BM2749+BS2749+BY2749+CE2749+CK2749+CQ2749</f>
        <v>0</v>
      </c>
      <c r="CU2749" s="22">
        <f t="shared" ref="CU2749:CU2812" si="192">+CS2749-CT2749</f>
        <v>0</v>
      </c>
      <c r="CV2749" s="26">
        <f t="shared" si="189"/>
        <v>500</v>
      </c>
    </row>
    <row r="2750" spans="1:100" x14ac:dyDescent="0.2">
      <c r="A2750" s="9" t="s">
        <v>608</v>
      </c>
      <c r="B2750" s="2">
        <v>83</v>
      </c>
      <c r="C2750" s="3" t="s">
        <v>95</v>
      </c>
      <c r="D2750" s="3" t="s">
        <v>96</v>
      </c>
      <c r="E2750" s="2"/>
      <c r="F2750" s="2"/>
      <c r="G2750" s="2" t="s">
        <v>74</v>
      </c>
      <c r="H2750" s="2">
        <v>8</v>
      </c>
      <c r="I2750" s="8">
        <v>114.83</v>
      </c>
      <c r="J2750" s="8">
        <v>37499</v>
      </c>
      <c r="K2750" s="3">
        <v>0</v>
      </c>
      <c r="L2750" s="3" t="s">
        <v>3</v>
      </c>
      <c r="M2750" s="9" t="s">
        <v>0</v>
      </c>
      <c r="N2750" s="9" t="s">
        <v>55</v>
      </c>
      <c r="O2750" s="9" t="s">
        <v>609</v>
      </c>
      <c r="P2750" s="9" t="s">
        <v>0</v>
      </c>
      <c r="Q2750" s="30" t="s">
        <v>610</v>
      </c>
      <c r="R2750" s="9" t="s">
        <v>611</v>
      </c>
      <c r="S2750" s="9" t="s">
        <v>158</v>
      </c>
      <c r="T2750" s="10" t="s">
        <v>74</v>
      </c>
      <c r="U2750" s="10">
        <v>8</v>
      </c>
      <c r="V2750" s="10">
        <v>114.83</v>
      </c>
      <c r="W2750" s="10" t="s">
        <v>710</v>
      </c>
      <c r="X2750" s="17">
        <v>45518</v>
      </c>
      <c r="Y2750" s="17">
        <v>45520</v>
      </c>
      <c r="Z2750" s="19" t="s">
        <v>772</v>
      </c>
      <c r="AA2750" s="210">
        <v>36500</v>
      </c>
      <c r="AB2750" s="9">
        <v>40</v>
      </c>
      <c r="AC2750" s="9">
        <v>15</v>
      </c>
      <c r="AD2750" s="17">
        <v>45981</v>
      </c>
      <c r="AE2750" s="56">
        <v>500</v>
      </c>
      <c r="AF2750" s="56"/>
      <c r="AP2750" s="11"/>
      <c r="AQ2750" s="11"/>
      <c r="AR2750" s="11"/>
      <c r="AW2750" s="9"/>
      <c r="BD2750" s="9"/>
      <c r="CS2750" s="11">
        <f t="shared" si="190"/>
        <v>0</v>
      </c>
      <c r="CT2750" s="22">
        <f t="shared" si="191"/>
        <v>0</v>
      </c>
      <c r="CU2750" s="22">
        <f t="shared" si="192"/>
        <v>0</v>
      </c>
      <c r="CV2750" s="26">
        <f t="shared" si="189"/>
        <v>500</v>
      </c>
    </row>
    <row r="2751" spans="1:100" x14ac:dyDescent="0.2">
      <c r="A2751" s="9" t="s">
        <v>608</v>
      </c>
      <c r="B2751" s="2">
        <v>83</v>
      </c>
      <c r="C2751" s="3" t="s">
        <v>95</v>
      </c>
      <c r="D2751" s="3" t="s">
        <v>96</v>
      </c>
      <c r="E2751" s="2"/>
      <c r="F2751" s="2"/>
      <c r="G2751" s="2" t="s">
        <v>74</v>
      </c>
      <c r="H2751" s="2">
        <v>8</v>
      </c>
      <c r="I2751" s="8">
        <v>114.83</v>
      </c>
      <c r="J2751" s="8">
        <v>37499</v>
      </c>
      <c r="K2751" s="3">
        <v>0</v>
      </c>
      <c r="L2751" s="3" t="s">
        <v>3</v>
      </c>
      <c r="M2751" s="9" t="s">
        <v>0</v>
      </c>
      <c r="N2751" s="9" t="s">
        <v>55</v>
      </c>
      <c r="O2751" s="9" t="s">
        <v>609</v>
      </c>
      <c r="P2751" s="9" t="s">
        <v>0</v>
      </c>
      <c r="Q2751" s="30" t="s">
        <v>610</v>
      </c>
      <c r="R2751" s="9" t="s">
        <v>611</v>
      </c>
      <c r="S2751" s="9" t="s">
        <v>158</v>
      </c>
      <c r="T2751" s="10" t="s">
        <v>74</v>
      </c>
      <c r="U2751" s="10">
        <v>8</v>
      </c>
      <c r="V2751" s="10">
        <v>114.83</v>
      </c>
      <c r="W2751" s="10" t="s">
        <v>710</v>
      </c>
      <c r="X2751" s="17">
        <v>45518</v>
      </c>
      <c r="Y2751" s="17">
        <v>45520</v>
      </c>
      <c r="Z2751" s="19" t="s">
        <v>772</v>
      </c>
      <c r="AA2751" s="210">
        <v>36500</v>
      </c>
      <c r="AB2751" s="9">
        <v>40</v>
      </c>
      <c r="AC2751" s="9">
        <v>16</v>
      </c>
      <c r="AD2751" s="17">
        <v>46011</v>
      </c>
      <c r="AE2751" s="56">
        <v>500</v>
      </c>
      <c r="AF2751" s="56"/>
      <c r="AP2751" s="11"/>
      <c r="AQ2751" s="11"/>
      <c r="AR2751" s="11"/>
      <c r="AW2751" s="9"/>
      <c r="BD2751" s="9"/>
      <c r="CS2751" s="11">
        <f t="shared" si="190"/>
        <v>0</v>
      </c>
      <c r="CT2751" s="22">
        <f t="shared" si="191"/>
        <v>0</v>
      </c>
      <c r="CU2751" s="22">
        <f t="shared" si="192"/>
        <v>0</v>
      </c>
      <c r="CV2751" s="26">
        <f t="shared" si="189"/>
        <v>500</v>
      </c>
    </row>
    <row r="2752" spans="1:100" x14ac:dyDescent="0.2">
      <c r="A2752" s="9" t="s">
        <v>608</v>
      </c>
      <c r="B2752" s="2">
        <v>83</v>
      </c>
      <c r="C2752" s="3" t="s">
        <v>95</v>
      </c>
      <c r="D2752" s="3" t="s">
        <v>96</v>
      </c>
      <c r="E2752" s="2"/>
      <c r="F2752" s="2"/>
      <c r="G2752" s="2" t="s">
        <v>74</v>
      </c>
      <c r="H2752" s="2">
        <v>8</v>
      </c>
      <c r="I2752" s="8">
        <v>114.83</v>
      </c>
      <c r="J2752" s="8">
        <v>37499</v>
      </c>
      <c r="K2752" s="3">
        <v>0</v>
      </c>
      <c r="L2752" s="3" t="s">
        <v>3</v>
      </c>
      <c r="M2752" s="9" t="s">
        <v>0</v>
      </c>
      <c r="N2752" s="9" t="s">
        <v>55</v>
      </c>
      <c r="O2752" s="9" t="s">
        <v>609</v>
      </c>
      <c r="P2752" s="9" t="s">
        <v>0</v>
      </c>
      <c r="Q2752" s="30" t="s">
        <v>610</v>
      </c>
      <c r="R2752" s="9" t="s">
        <v>611</v>
      </c>
      <c r="S2752" s="9" t="s">
        <v>158</v>
      </c>
      <c r="T2752" s="10" t="s">
        <v>74</v>
      </c>
      <c r="U2752" s="10">
        <v>8</v>
      </c>
      <c r="V2752" s="10">
        <v>114.83</v>
      </c>
      <c r="W2752" s="10" t="s">
        <v>710</v>
      </c>
      <c r="X2752" s="17">
        <v>45518</v>
      </c>
      <c r="Y2752" s="17">
        <v>45520</v>
      </c>
      <c r="Z2752" s="19" t="s">
        <v>772</v>
      </c>
      <c r="AA2752" s="210">
        <v>36500</v>
      </c>
      <c r="AB2752" s="9">
        <v>40</v>
      </c>
      <c r="AC2752" s="9">
        <v>17</v>
      </c>
      <c r="AD2752" s="17">
        <v>46042</v>
      </c>
      <c r="AE2752" s="56">
        <v>500</v>
      </c>
      <c r="AF2752" s="56"/>
      <c r="AP2752" s="11"/>
      <c r="AQ2752" s="11"/>
      <c r="AR2752" s="11"/>
      <c r="AW2752" s="9"/>
      <c r="BD2752" s="9"/>
      <c r="CS2752" s="11">
        <f t="shared" si="190"/>
        <v>0</v>
      </c>
      <c r="CT2752" s="22">
        <f t="shared" si="191"/>
        <v>0</v>
      </c>
      <c r="CU2752" s="22">
        <f t="shared" si="192"/>
        <v>0</v>
      </c>
      <c r="CV2752" s="26">
        <f t="shared" si="189"/>
        <v>500</v>
      </c>
    </row>
    <row r="2753" spans="1:100" x14ac:dyDescent="0.2">
      <c r="A2753" s="9" t="s">
        <v>608</v>
      </c>
      <c r="B2753" s="2">
        <v>83</v>
      </c>
      <c r="C2753" s="3" t="s">
        <v>95</v>
      </c>
      <c r="D2753" s="3" t="s">
        <v>96</v>
      </c>
      <c r="E2753" s="2"/>
      <c r="F2753" s="2"/>
      <c r="G2753" s="2" t="s">
        <v>74</v>
      </c>
      <c r="H2753" s="2">
        <v>8</v>
      </c>
      <c r="I2753" s="8">
        <v>114.83</v>
      </c>
      <c r="J2753" s="8">
        <v>37499</v>
      </c>
      <c r="K2753" s="3">
        <v>0</v>
      </c>
      <c r="L2753" s="3" t="s">
        <v>3</v>
      </c>
      <c r="M2753" s="9" t="s">
        <v>0</v>
      </c>
      <c r="N2753" s="9" t="s">
        <v>55</v>
      </c>
      <c r="O2753" s="9" t="s">
        <v>609</v>
      </c>
      <c r="P2753" s="9" t="s">
        <v>0</v>
      </c>
      <c r="Q2753" s="30" t="s">
        <v>610</v>
      </c>
      <c r="R2753" s="9" t="s">
        <v>611</v>
      </c>
      <c r="S2753" s="9" t="s">
        <v>158</v>
      </c>
      <c r="T2753" s="10" t="s">
        <v>74</v>
      </c>
      <c r="U2753" s="10">
        <v>8</v>
      </c>
      <c r="V2753" s="10">
        <v>114.83</v>
      </c>
      <c r="W2753" s="10" t="s">
        <v>710</v>
      </c>
      <c r="X2753" s="17">
        <v>45518</v>
      </c>
      <c r="Y2753" s="17">
        <v>45520</v>
      </c>
      <c r="Z2753" s="19" t="s">
        <v>772</v>
      </c>
      <c r="AA2753" s="210">
        <v>36500</v>
      </c>
      <c r="AB2753" s="9">
        <v>40</v>
      </c>
      <c r="AC2753" s="9">
        <v>18</v>
      </c>
      <c r="AD2753" s="17">
        <v>46073</v>
      </c>
      <c r="AE2753" s="56">
        <v>500</v>
      </c>
      <c r="AF2753" s="56"/>
      <c r="AP2753" s="11"/>
      <c r="AQ2753" s="11"/>
      <c r="AR2753" s="11"/>
      <c r="AW2753" s="9"/>
      <c r="BD2753" s="9"/>
      <c r="CS2753" s="11">
        <f t="shared" si="190"/>
        <v>0</v>
      </c>
      <c r="CT2753" s="22">
        <f t="shared" si="191"/>
        <v>0</v>
      </c>
      <c r="CU2753" s="22">
        <f t="shared" si="192"/>
        <v>0</v>
      </c>
      <c r="CV2753" s="26">
        <f t="shared" si="189"/>
        <v>500</v>
      </c>
    </row>
    <row r="2754" spans="1:100" x14ac:dyDescent="0.2">
      <c r="A2754" s="9" t="s">
        <v>608</v>
      </c>
      <c r="B2754" s="2">
        <v>83</v>
      </c>
      <c r="C2754" s="3" t="s">
        <v>95</v>
      </c>
      <c r="D2754" s="3" t="s">
        <v>96</v>
      </c>
      <c r="E2754" s="2"/>
      <c r="F2754" s="2"/>
      <c r="G2754" s="2" t="s">
        <v>74</v>
      </c>
      <c r="H2754" s="2">
        <v>8</v>
      </c>
      <c r="I2754" s="8">
        <v>114.83</v>
      </c>
      <c r="J2754" s="8">
        <v>37499</v>
      </c>
      <c r="K2754" s="3">
        <v>0</v>
      </c>
      <c r="L2754" s="3" t="s">
        <v>3</v>
      </c>
      <c r="M2754" s="9" t="s">
        <v>0</v>
      </c>
      <c r="N2754" s="9" t="s">
        <v>55</v>
      </c>
      <c r="O2754" s="9" t="s">
        <v>609</v>
      </c>
      <c r="P2754" s="9" t="s">
        <v>0</v>
      </c>
      <c r="Q2754" s="30" t="s">
        <v>610</v>
      </c>
      <c r="R2754" s="9" t="s">
        <v>611</v>
      </c>
      <c r="S2754" s="9" t="s">
        <v>158</v>
      </c>
      <c r="T2754" s="10" t="s">
        <v>74</v>
      </c>
      <c r="U2754" s="10">
        <v>8</v>
      </c>
      <c r="V2754" s="10">
        <v>114.83</v>
      </c>
      <c r="W2754" s="10" t="s">
        <v>710</v>
      </c>
      <c r="X2754" s="17">
        <v>45518</v>
      </c>
      <c r="Y2754" s="17">
        <v>45520</v>
      </c>
      <c r="Z2754" s="19" t="s">
        <v>772</v>
      </c>
      <c r="AA2754" s="210">
        <v>36500</v>
      </c>
      <c r="AB2754" s="9">
        <v>40</v>
      </c>
      <c r="AC2754" s="9">
        <v>19</v>
      </c>
      <c r="AD2754" s="17">
        <v>46101</v>
      </c>
      <c r="AE2754" s="56">
        <v>500</v>
      </c>
      <c r="AF2754" s="56"/>
      <c r="AP2754" s="11"/>
      <c r="AQ2754" s="11"/>
      <c r="AR2754" s="11"/>
      <c r="AW2754" s="9"/>
      <c r="BD2754" s="9"/>
      <c r="CS2754" s="11">
        <f t="shared" si="190"/>
        <v>0</v>
      </c>
      <c r="CT2754" s="22">
        <f t="shared" si="191"/>
        <v>0</v>
      </c>
      <c r="CU2754" s="22">
        <f t="shared" si="192"/>
        <v>0</v>
      </c>
      <c r="CV2754" s="26">
        <f t="shared" si="189"/>
        <v>500</v>
      </c>
    </row>
    <row r="2755" spans="1:100" x14ac:dyDescent="0.2">
      <c r="A2755" s="9" t="s">
        <v>608</v>
      </c>
      <c r="B2755" s="2">
        <v>83</v>
      </c>
      <c r="C2755" s="3" t="s">
        <v>95</v>
      </c>
      <c r="D2755" s="3" t="s">
        <v>96</v>
      </c>
      <c r="E2755" s="2"/>
      <c r="F2755" s="2"/>
      <c r="G2755" s="2" t="s">
        <v>74</v>
      </c>
      <c r="H2755" s="2">
        <v>8</v>
      </c>
      <c r="I2755" s="8">
        <v>114.83</v>
      </c>
      <c r="J2755" s="8">
        <v>37499</v>
      </c>
      <c r="K2755" s="3">
        <v>0</v>
      </c>
      <c r="L2755" s="3" t="s">
        <v>3</v>
      </c>
      <c r="M2755" s="9" t="s">
        <v>0</v>
      </c>
      <c r="N2755" s="9" t="s">
        <v>55</v>
      </c>
      <c r="O2755" s="9" t="s">
        <v>609</v>
      </c>
      <c r="P2755" s="9" t="s">
        <v>0</v>
      </c>
      <c r="Q2755" s="30" t="s">
        <v>610</v>
      </c>
      <c r="R2755" s="9" t="s">
        <v>611</v>
      </c>
      <c r="S2755" s="9" t="s">
        <v>158</v>
      </c>
      <c r="T2755" s="10" t="s">
        <v>74</v>
      </c>
      <c r="U2755" s="10">
        <v>8</v>
      </c>
      <c r="V2755" s="10">
        <v>114.83</v>
      </c>
      <c r="W2755" s="10" t="s">
        <v>710</v>
      </c>
      <c r="X2755" s="17">
        <v>45518</v>
      </c>
      <c r="Y2755" s="17">
        <v>45520</v>
      </c>
      <c r="Z2755" s="19" t="s">
        <v>772</v>
      </c>
      <c r="AA2755" s="210">
        <v>36500</v>
      </c>
      <c r="AB2755" s="9">
        <v>40</v>
      </c>
      <c r="AC2755" s="9">
        <v>20</v>
      </c>
      <c r="AD2755" s="17">
        <v>46132</v>
      </c>
      <c r="AE2755" s="56">
        <v>500</v>
      </c>
      <c r="AF2755" s="56"/>
      <c r="AP2755" s="11"/>
      <c r="AQ2755" s="11"/>
      <c r="AR2755" s="11"/>
      <c r="AW2755" s="9"/>
      <c r="BD2755" s="9"/>
      <c r="CS2755" s="11">
        <f t="shared" si="190"/>
        <v>0</v>
      </c>
      <c r="CT2755" s="22">
        <f t="shared" si="191"/>
        <v>0</v>
      </c>
      <c r="CU2755" s="22">
        <f t="shared" si="192"/>
        <v>0</v>
      </c>
      <c r="CV2755" s="26">
        <f t="shared" si="189"/>
        <v>500</v>
      </c>
    </row>
    <row r="2756" spans="1:100" x14ac:dyDescent="0.2">
      <c r="A2756" s="9" t="s">
        <v>608</v>
      </c>
      <c r="B2756" s="2">
        <v>83</v>
      </c>
      <c r="C2756" s="3" t="s">
        <v>95</v>
      </c>
      <c r="D2756" s="3" t="s">
        <v>96</v>
      </c>
      <c r="E2756" s="2"/>
      <c r="F2756" s="2"/>
      <c r="G2756" s="2" t="s">
        <v>74</v>
      </c>
      <c r="H2756" s="2">
        <v>8</v>
      </c>
      <c r="I2756" s="8">
        <v>114.83</v>
      </c>
      <c r="J2756" s="8">
        <v>37499</v>
      </c>
      <c r="K2756" s="3">
        <v>0</v>
      </c>
      <c r="L2756" s="3" t="s">
        <v>3</v>
      </c>
      <c r="M2756" s="9" t="s">
        <v>0</v>
      </c>
      <c r="N2756" s="9" t="s">
        <v>55</v>
      </c>
      <c r="O2756" s="9" t="s">
        <v>609</v>
      </c>
      <c r="P2756" s="9" t="s">
        <v>0</v>
      </c>
      <c r="Q2756" s="30" t="s">
        <v>610</v>
      </c>
      <c r="R2756" s="9" t="s">
        <v>611</v>
      </c>
      <c r="S2756" s="9" t="s">
        <v>158</v>
      </c>
      <c r="T2756" s="10" t="s">
        <v>74</v>
      </c>
      <c r="U2756" s="10">
        <v>8</v>
      </c>
      <c r="V2756" s="10">
        <v>114.83</v>
      </c>
      <c r="W2756" s="10" t="s">
        <v>710</v>
      </c>
      <c r="X2756" s="17">
        <v>45518</v>
      </c>
      <c r="Y2756" s="17">
        <v>45520</v>
      </c>
      <c r="Z2756" s="19" t="s">
        <v>772</v>
      </c>
      <c r="AA2756" s="210">
        <v>36500</v>
      </c>
      <c r="AB2756" s="9">
        <v>40</v>
      </c>
      <c r="AC2756" s="9">
        <v>21</v>
      </c>
      <c r="AD2756" s="17">
        <v>46162</v>
      </c>
      <c r="AE2756" s="56">
        <v>500</v>
      </c>
      <c r="AF2756" s="56"/>
      <c r="AP2756" s="11"/>
      <c r="AQ2756" s="11"/>
      <c r="AR2756" s="11"/>
      <c r="AW2756" s="9"/>
      <c r="BD2756" s="9"/>
      <c r="CS2756" s="11">
        <f t="shared" si="190"/>
        <v>0</v>
      </c>
      <c r="CT2756" s="22">
        <f t="shared" si="191"/>
        <v>0</v>
      </c>
      <c r="CU2756" s="22">
        <f t="shared" si="192"/>
        <v>0</v>
      </c>
      <c r="CV2756" s="26">
        <f t="shared" si="189"/>
        <v>500</v>
      </c>
    </row>
    <row r="2757" spans="1:100" x14ac:dyDescent="0.2">
      <c r="A2757" s="9" t="s">
        <v>608</v>
      </c>
      <c r="B2757" s="2">
        <v>83</v>
      </c>
      <c r="C2757" s="3" t="s">
        <v>95</v>
      </c>
      <c r="D2757" s="3" t="s">
        <v>96</v>
      </c>
      <c r="E2757" s="2"/>
      <c r="F2757" s="2"/>
      <c r="G2757" s="2" t="s">
        <v>74</v>
      </c>
      <c r="H2757" s="2">
        <v>8</v>
      </c>
      <c r="I2757" s="8">
        <v>114.83</v>
      </c>
      <c r="J2757" s="8">
        <v>37499</v>
      </c>
      <c r="K2757" s="3">
        <v>0</v>
      </c>
      <c r="L2757" s="3" t="s">
        <v>3</v>
      </c>
      <c r="M2757" s="9" t="s">
        <v>0</v>
      </c>
      <c r="N2757" s="9" t="s">
        <v>55</v>
      </c>
      <c r="O2757" s="9" t="s">
        <v>609</v>
      </c>
      <c r="P2757" s="9" t="s">
        <v>0</v>
      </c>
      <c r="Q2757" s="30" t="s">
        <v>610</v>
      </c>
      <c r="R2757" s="9" t="s">
        <v>611</v>
      </c>
      <c r="S2757" s="9" t="s">
        <v>158</v>
      </c>
      <c r="T2757" s="10" t="s">
        <v>74</v>
      </c>
      <c r="U2757" s="10">
        <v>8</v>
      </c>
      <c r="V2757" s="10">
        <v>114.83</v>
      </c>
      <c r="W2757" s="10" t="s">
        <v>710</v>
      </c>
      <c r="X2757" s="17">
        <v>45518</v>
      </c>
      <c r="Y2757" s="17">
        <v>45520</v>
      </c>
      <c r="Z2757" s="19" t="s">
        <v>772</v>
      </c>
      <c r="AA2757" s="210">
        <v>36500</v>
      </c>
      <c r="AB2757" s="9">
        <v>40</v>
      </c>
      <c r="AC2757" s="9">
        <v>22</v>
      </c>
      <c r="AD2757" s="17">
        <v>46193</v>
      </c>
      <c r="AE2757" s="56">
        <v>500</v>
      </c>
      <c r="AF2757" s="56"/>
      <c r="AP2757" s="11"/>
      <c r="AQ2757" s="11"/>
      <c r="AR2757" s="11"/>
      <c r="AW2757" s="9"/>
      <c r="BD2757" s="9"/>
      <c r="CS2757" s="11">
        <f t="shared" si="190"/>
        <v>0</v>
      </c>
      <c r="CT2757" s="22">
        <f t="shared" si="191"/>
        <v>0</v>
      </c>
      <c r="CU2757" s="22">
        <f t="shared" si="192"/>
        <v>0</v>
      </c>
      <c r="CV2757" s="26">
        <f t="shared" si="189"/>
        <v>500</v>
      </c>
    </row>
    <row r="2758" spans="1:100" x14ac:dyDescent="0.2">
      <c r="A2758" s="9" t="s">
        <v>608</v>
      </c>
      <c r="B2758" s="2">
        <v>83</v>
      </c>
      <c r="C2758" s="3" t="s">
        <v>95</v>
      </c>
      <c r="D2758" s="3" t="s">
        <v>96</v>
      </c>
      <c r="E2758" s="2"/>
      <c r="F2758" s="2"/>
      <c r="G2758" s="2" t="s">
        <v>74</v>
      </c>
      <c r="H2758" s="2">
        <v>8</v>
      </c>
      <c r="I2758" s="8">
        <v>114.83</v>
      </c>
      <c r="J2758" s="8">
        <v>37499</v>
      </c>
      <c r="K2758" s="3">
        <v>0</v>
      </c>
      <c r="L2758" s="3" t="s">
        <v>3</v>
      </c>
      <c r="M2758" s="9" t="s">
        <v>0</v>
      </c>
      <c r="N2758" s="9" t="s">
        <v>55</v>
      </c>
      <c r="O2758" s="9" t="s">
        <v>609</v>
      </c>
      <c r="P2758" s="9" t="s">
        <v>0</v>
      </c>
      <c r="Q2758" s="30" t="s">
        <v>610</v>
      </c>
      <c r="R2758" s="9" t="s">
        <v>611</v>
      </c>
      <c r="S2758" s="9" t="s">
        <v>158</v>
      </c>
      <c r="T2758" s="10" t="s">
        <v>74</v>
      </c>
      <c r="U2758" s="10">
        <v>8</v>
      </c>
      <c r="V2758" s="10">
        <v>114.83</v>
      </c>
      <c r="W2758" s="10" t="s">
        <v>710</v>
      </c>
      <c r="X2758" s="17">
        <v>45518</v>
      </c>
      <c r="Y2758" s="17">
        <v>45520</v>
      </c>
      <c r="Z2758" s="19" t="s">
        <v>772</v>
      </c>
      <c r="AA2758" s="210">
        <v>36500</v>
      </c>
      <c r="AB2758" s="9">
        <v>40</v>
      </c>
      <c r="AC2758" s="9">
        <v>23</v>
      </c>
      <c r="AD2758" s="17">
        <v>46223</v>
      </c>
      <c r="AE2758" s="56">
        <v>500</v>
      </c>
      <c r="AF2758" s="56"/>
      <c r="AP2758" s="11"/>
      <c r="AQ2758" s="11"/>
      <c r="AR2758" s="11"/>
      <c r="AW2758" s="9"/>
      <c r="AX2758" s="17"/>
      <c r="AY2758" s="86"/>
      <c r="BD2758" s="9"/>
      <c r="CS2758" s="11">
        <f t="shared" si="190"/>
        <v>0</v>
      </c>
      <c r="CT2758" s="22">
        <f t="shared" si="191"/>
        <v>0</v>
      </c>
      <c r="CU2758" s="22">
        <f t="shared" si="192"/>
        <v>0</v>
      </c>
      <c r="CV2758" s="26">
        <f t="shared" si="189"/>
        <v>500</v>
      </c>
    </row>
    <row r="2759" spans="1:100" x14ac:dyDescent="0.2">
      <c r="A2759" s="9" t="s">
        <v>608</v>
      </c>
      <c r="B2759" s="2">
        <v>83</v>
      </c>
      <c r="C2759" s="3" t="s">
        <v>95</v>
      </c>
      <c r="D2759" s="3" t="s">
        <v>96</v>
      </c>
      <c r="E2759" s="2"/>
      <c r="F2759" s="2"/>
      <c r="G2759" s="2" t="s">
        <v>74</v>
      </c>
      <c r="H2759" s="2">
        <v>8</v>
      </c>
      <c r="I2759" s="8">
        <v>114.83</v>
      </c>
      <c r="J2759" s="8">
        <v>37499</v>
      </c>
      <c r="K2759" s="3">
        <v>0</v>
      </c>
      <c r="L2759" s="3" t="s">
        <v>3</v>
      </c>
      <c r="M2759" s="9" t="s">
        <v>0</v>
      </c>
      <c r="N2759" s="9" t="s">
        <v>55</v>
      </c>
      <c r="O2759" s="9" t="s">
        <v>609</v>
      </c>
      <c r="P2759" s="9" t="s">
        <v>0</v>
      </c>
      <c r="Q2759" s="30" t="s">
        <v>610</v>
      </c>
      <c r="R2759" s="9" t="s">
        <v>611</v>
      </c>
      <c r="S2759" s="9" t="s">
        <v>158</v>
      </c>
      <c r="T2759" s="10" t="s">
        <v>74</v>
      </c>
      <c r="U2759" s="10">
        <v>8</v>
      </c>
      <c r="V2759" s="10">
        <v>114.83</v>
      </c>
      <c r="W2759" s="10" t="s">
        <v>710</v>
      </c>
      <c r="X2759" s="17">
        <v>45518</v>
      </c>
      <c r="Y2759" s="17">
        <v>45520</v>
      </c>
      <c r="Z2759" s="19" t="s">
        <v>772</v>
      </c>
      <c r="AA2759" s="210">
        <v>36500</v>
      </c>
      <c r="AB2759" s="9">
        <v>40</v>
      </c>
      <c r="AC2759" s="9">
        <v>24</v>
      </c>
      <c r="AD2759" s="17">
        <v>46254</v>
      </c>
      <c r="AE2759" s="56">
        <v>500</v>
      </c>
      <c r="AF2759" s="56"/>
      <c r="AP2759" s="11"/>
      <c r="AQ2759" s="11"/>
      <c r="AR2759" s="11"/>
      <c r="AW2759" s="9"/>
      <c r="BD2759" s="9"/>
      <c r="CS2759" s="11">
        <f t="shared" si="190"/>
        <v>0</v>
      </c>
      <c r="CT2759" s="22">
        <f t="shared" si="191"/>
        <v>0</v>
      </c>
      <c r="CU2759" s="22">
        <f t="shared" si="192"/>
        <v>0</v>
      </c>
      <c r="CV2759" s="26">
        <f t="shared" si="189"/>
        <v>500</v>
      </c>
    </row>
    <row r="2760" spans="1:100" x14ac:dyDescent="0.2">
      <c r="A2760" s="9" t="s">
        <v>608</v>
      </c>
      <c r="B2760" s="2">
        <v>83</v>
      </c>
      <c r="C2760" s="3" t="s">
        <v>95</v>
      </c>
      <c r="D2760" s="3" t="s">
        <v>96</v>
      </c>
      <c r="E2760" s="2"/>
      <c r="F2760" s="2"/>
      <c r="G2760" s="2" t="s">
        <v>74</v>
      </c>
      <c r="H2760" s="2">
        <v>8</v>
      </c>
      <c r="I2760" s="8">
        <v>114.83</v>
      </c>
      <c r="J2760" s="8">
        <v>37499</v>
      </c>
      <c r="K2760" s="3">
        <v>0</v>
      </c>
      <c r="L2760" s="3" t="s">
        <v>3</v>
      </c>
      <c r="M2760" s="9" t="s">
        <v>0</v>
      </c>
      <c r="N2760" s="9" t="s">
        <v>55</v>
      </c>
      <c r="O2760" s="9" t="s">
        <v>609</v>
      </c>
      <c r="P2760" s="9" t="s">
        <v>0</v>
      </c>
      <c r="Q2760" s="30" t="s">
        <v>610</v>
      </c>
      <c r="R2760" s="9" t="s">
        <v>611</v>
      </c>
      <c r="S2760" s="9" t="s">
        <v>158</v>
      </c>
      <c r="T2760" s="10" t="s">
        <v>74</v>
      </c>
      <c r="U2760" s="10">
        <v>8</v>
      </c>
      <c r="V2760" s="10">
        <v>114.83</v>
      </c>
      <c r="W2760" s="10" t="s">
        <v>710</v>
      </c>
      <c r="X2760" s="17">
        <v>45518</v>
      </c>
      <c r="Y2760" s="17">
        <v>45520</v>
      </c>
      <c r="Z2760" s="19" t="s">
        <v>772</v>
      </c>
      <c r="AA2760" s="210">
        <v>36500</v>
      </c>
      <c r="AB2760" s="9">
        <v>40</v>
      </c>
      <c r="AC2760" s="9">
        <v>25</v>
      </c>
      <c r="AD2760" s="17">
        <v>46285</v>
      </c>
      <c r="AE2760" s="56">
        <v>500</v>
      </c>
      <c r="AF2760" s="56"/>
      <c r="AP2760" s="11"/>
      <c r="AQ2760" s="11"/>
      <c r="AR2760" s="11"/>
      <c r="AW2760" s="9"/>
      <c r="BD2760" s="9"/>
      <c r="CS2760" s="11">
        <f t="shared" si="190"/>
        <v>0</v>
      </c>
      <c r="CT2760" s="22">
        <f t="shared" si="191"/>
        <v>0</v>
      </c>
      <c r="CU2760" s="22">
        <f t="shared" si="192"/>
        <v>0</v>
      </c>
      <c r="CV2760" s="26">
        <f t="shared" si="189"/>
        <v>500</v>
      </c>
    </row>
    <row r="2761" spans="1:100" x14ac:dyDescent="0.2">
      <c r="A2761" s="9" t="s">
        <v>608</v>
      </c>
      <c r="B2761" s="2">
        <v>83</v>
      </c>
      <c r="C2761" s="3" t="s">
        <v>95</v>
      </c>
      <c r="D2761" s="3" t="s">
        <v>96</v>
      </c>
      <c r="E2761" s="2"/>
      <c r="F2761" s="2"/>
      <c r="G2761" s="2" t="s">
        <v>74</v>
      </c>
      <c r="H2761" s="2">
        <v>8</v>
      </c>
      <c r="I2761" s="8">
        <v>114.83</v>
      </c>
      <c r="J2761" s="8">
        <v>37499</v>
      </c>
      <c r="K2761" s="3">
        <v>0</v>
      </c>
      <c r="L2761" s="3" t="s">
        <v>3</v>
      </c>
      <c r="M2761" s="9" t="s">
        <v>0</v>
      </c>
      <c r="N2761" s="9" t="s">
        <v>55</v>
      </c>
      <c r="O2761" s="9" t="s">
        <v>609</v>
      </c>
      <c r="P2761" s="9" t="s">
        <v>0</v>
      </c>
      <c r="Q2761" s="30" t="s">
        <v>610</v>
      </c>
      <c r="R2761" s="9" t="s">
        <v>611</v>
      </c>
      <c r="S2761" s="9" t="s">
        <v>158</v>
      </c>
      <c r="T2761" s="10" t="s">
        <v>74</v>
      </c>
      <c r="U2761" s="10">
        <v>8</v>
      </c>
      <c r="V2761" s="10">
        <v>114.83</v>
      </c>
      <c r="W2761" s="10" t="s">
        <v>710</v>
      </c>
      <c r="X2761" s="17">
        <v>45518</v>
      </c>
      <c r="Y2761" s="17">
        <v>45520</v>
      </c>
      <c r="Z2761" s="19" t="s">
        <v>772</v>
      </c>
      <c r="AA2761" s="210">
        <v>36500</v>
      </c>
      <c r="AB2761" s="9">
        <v>40</v>
      </c>
      <c r="AC2761" s="9">
        <v>26</v>
      </c>
      <c r="AD2761" s="17">
        <v>46315</v>
      </c>
      <c r="AE2761" s="56">
        <v>500</v>
      </c>
      <c r="AF2761" s="56"/>
      <c r="AP2761" s="11"/>
      <c r="AQ2761" s="11"/>
      <c r="AR2761" s="11"/>
      <c r="AW2761" s="9"/>
      <c r="BD2761" s="9"/>
      <c r="CS2761" s="11">
        <f t="shared" si="190"/>
        <v>0</v>
      </c>
      <c r="CT2761" s="22">
        <f t="shared" si="191"/>
        <v>0</v>
      </c>
      <c r="CU2761" s="22">
        <f t="shared" si="192"/>
        <v>0</v>
      </c>
      <c r="CV2761" s="26">
        <f t="shared" si="189"/>
        <v>500</v>
      </c>
    </row>
    <row r="2762" spans="1:100" x14ac:dyDescent="0.2">
      <c r="A2762" s="9" t="s">
        <v>608</v>
      </c>
      <c r="B2762" s="2">
        <v>83</v>
      </c>
      <c r="C2762" s="3" t="s">
        <v>95</v>
      </c>
      <c r="D2762" s="3" t="s">
        <v>96</v>
      </c>
      <c r="E2762" s="2"/>
      <c r="F2762" s="2"/>
      <c r="G2762" s="2" t="s">
        <v>74</v>
      </c>
      <c r="H2762" s="2">
        <v>8</v>
      </c>
      <c r="I2762" s="8">
        <v>114.83</v>
      </c>
      <c r="J2762" s="8">
        <v>37499</v>
      </c>
      <c r="K2762" s="3">
        <v>0</v>
      </c>
      <c r="L2762" s="3" t="s">
        <v>3</v>
      </c>
      <c r="M2762" s="9" t="s">
        <v>0</v>
      </c>
      <c r="N2762" s="9" t="s">
        <v>55</v>
      </c>
      <c r="O2762" s="9" t="s">
        <v>609</v>
      </c>
      <c r="P2762" s="9" t="s">
        <v>0</v>
      </c>
      <c r="Q2762" s="30" t="s">
        <v>610</v>
      </c>
      <c r="R2762" s="9" t="s">
        <v>611</v>
      </c>
      <c r="S2762" s="9" t="s">
        <v>158</v>
      </c>
      <c r="T2762" s="10" t="s">
        <v>74</v>
      </c>
      <c r="U2762" s="10">
        <v>8</v>
      </c>
      <c r="V2762" s="10">
        <v>114.83</v>
      </c>
      <c r="W2762" s="10" t="s">
        <v>710</v>
      </c>
      <c r="X2762" s="17">
        <v>45518</v>
      </c>
      <c r="Y2762" s="17">
        <v>45520</v>
      </c>
      <c r="Z2762" s="19" t="s">
        <v>772</v>
      </c>
      <c r="AA2762" s="210">
        <v>36500</v>
      </c>
      <c r="AB2762" s="9">
        <v>40</v>
      </c>
      <c r="AC2762" s="9">
        <v>27</v>
      </c>
      <c r="AD2762" s="17">
        <v>46346</v>
      </c>
      <c r="AE2762" s="56">
        <v>500</v>
      </c>
      <c r="AF2762" s="56"/>
      <c r="AP2762" s="11"/>
      <c r="AQ2762" s="11"/>
      <c r="AR2762" s="11"/>
      <c r="AW2762" s="9"/>
      <c r="BD2762" s="9"/>
      <c r="CS2762" s="11">
        <f t="shared" si="190"/>
        <v>0</v>
      </c>
      <c r="CT2762" s="22">
        <f t="shared" si="191"/>
        <v>0</v>
      </c>
      <c r="CU2762" s="22">
        <f t="shared" si="192"/>
        <v>0</v>
      </c>
      <c r="CV2762" s="26">
        <f t="shared" si="189"/>
        <v>500</v>
      </c>
    </row>
    <row r="2763" spans="1:100" x14ac:dyDescent="0.2">
      <c r="A2763" s="9" t="s">
        <v>608</v>
      </c>
      <c r="B2763" s="2">
        <v>83</v>
      </c>
      <c r="C2763" s="3" t="s">
        <v>95</v>
      </c>
      <c r="D2763" s="3" t="s">
        <v>96</v>
      </c>
      <c r="E2763" s="2"/>
      <c r="F2763" s="2"/>
      <c r="G2763" s="2" t="s">
        <v>74</v>
      </c>
      <c r="H2763" s="2">
        <v>8</v>
      </c>
      <c r="I2763" s="8">
        <v>114.83</v>
      </c>
      <c r="J2763" s="8">
        <v>37499</v>
      </c>
      <c r="K2763" s="3">
        <v>0</v>
      </c>
      <c r="L2763" s="3" t="s">
        <v>3</v>
      </c>
      <c r="M2763" s="9" t="s">
        <v>0</v>
      </c>
      <c r="N2763" s="9" t="s">
        <v>55</v>
      </c>
      <c r="O2763" s="9" t="s">
        <v>609</v>
      </c>
      <c r="P2763" s="9" t="s">
        <v>0</v>
      </c>
      <c r="Q2763" s="30" t="s">
        <v>610</v>
      </c>
      <c r="R2763" s="9" t="s">
        <v>611</v>
      </c>
      <c r="S2763" s="9" t="s">
        <v>158</v>
      </c>
      <c r="T2763" s="10" t="s">
        <v>74</v>
      </c>
      <c r="U2763" s="10">
        <v>8</v>
      </c>
      <c r="V2763" s="10">
        <v>114.83</v>
      </c>
      <c r="W2763" s="10" t="s">
        <v>710</v>
      </c>
      <c r="X2763" s="17">
        <v>45518</v>
      </c>
      <c r="Y2763" s="17">
        <v>45520</v>
      </c>
      <c r="Z2763" s="19" t="s">
        <v>772</v>
      </c>
      <c r="AA2763" s="210">
        <v>36500</v>
      </c>
      <c r="AB2763" s="9">
        <v>40</v>
      </c>
      <c r="AC2763" s="9">
        <v>28</v>
      </c>
      <c r="AD2763" s="17">
        <v>46376</v>
      </c>
      <c r="AE2763" s="56">
        <v>500</v>
      </c>
      <c r="AF2763" s="56"/>
      <c r="AP2763" s="11"/>
      <c r="AQ2763" s="11"/>
      <c r="AR2763" s="11"/>
      <c r="AW2763" s="9"/>
      <c r="BD2763" s="9"/>
      <c r="CS2763" s="11">
        <f t="shared" si="190"/>
        <v>0</v>
      </c>
      <c r="CT2763" s="22">
        <f t="shared" si="191"/>
        <v>0</v>
      </c>
      <c r="CU2763" s="22">
        <f t="shared" si="192"/>
        <v>0</v>
      </c>
      <c r="CV2763" s="26">
        <f t="shared" si="189"/>
        <v>500</v>
      </c>
    </row>
    <row r="2764" spans="1:100" x14ac:dyDescent="0.2">
      <c r="A2764" s="9" t="s">
        <v>608</v>
      </c>
      <c r="B2764" s="2">
        <v>83</v>
      </c>
      <c r="C2764" s="3" t="s">
        <v>95</v>
      </c>
      <c r="D2764" s="3" t="s">
        <v>96</v>
      </c>
      <c r="E2764" s="2"/>
      <c r="F2764" s="2"/>
      <c r="G2764" s="2" t="s">
        <v>74</v>
      </c>
      <c r="H2764" s="2">
        <v>8</v>
      </c>
      <c r="I2764" s="8">
        <v>114.83</v>
      </c>
      <c r="J2764" s="8">
        <v>37499</v>
      </c>
      <c r="K2764" s="3">
        <v>0</v>
      </c>
      <c r="L2764" s="3" t="s">
        <v>3</v>
      </c>
      <c r="M2764" s="9" t="s">
        <v>0</v>
      </c>
      <c r="N2764" s="9" t="s">
        <v>55</v>
      </c>
      <c r="O2764" s="9" t="s">
        <v>609</v>
      </c>
      <c r="P2764" s="9" t="s">
        <v>0</v>
      </c>
      <c r="Q2764" s="30" t="s">
        <v>610</v>
      </c>
      <c r="R2764" s="9" t="s">
        <v>611</v>
      </c>
      <c r="S2764" s="9" t="s">
        <v>158</v>
      </c>
      <c r="T2764" s="10" t="s">
        <v>74</v>
      </c>
      <c r="U2764" s="10">
        <v>8</v>
      </c>
      <c r="V2764" s="10">
        <v>114.83</v>
      </c>
      <c r="W2764" s="10" t="s">
        <v>710</v>
      </c>
      <c r="X2764" s="17">
        <v>45518</v>
      </c>
      <c r="Y2764" s="17">
        <v>45520</v>
      </c>
      <c r="Z2764" s="19" t="s">
        <v>772</v>
      </c>
      <c r="AA2764" s="210">
        <v>36500</v>
      </c>
      <c r="AB2764" s="9">
        <v>40</v>
      </c>
      <c r="AC2764" s="9">
        <v>29</v>
      </c>
      <c r="AD2764" s="17">
        <v>46407</v>
      </c>
      <c r="AE2764" s="56">
        <v>500</v>
      </c>
      <c r="AF2764" s="56"/>
      <c r="AP2764" s="11"/>
      <c r="AQ2764" s="11"/>
      <c r="AR2764" s="11"/>
      <c r="AW2764" s="9"/>
      <c r="BD2764" s="9"/>
      <c r="CS2764" s="11">
        <f t="shared" si="190"/>
        <v>0</v>
      </c>
      <c r="CT2764" s="22">
        <f t="shared" si="191"/>
        <v>0</v>
      </c>
      <c r="CU2764" s="22">
        <f t="shared" si="192"/>
        <v>0</v>
      </c>
      <c r="CV2764" s="26">
        <f t="shared" si="189"/>
        <v>500</v>
      </c>
    </row>
    <row r="2765" spans="1:100" x14ac:dyDescent="0.2">
      <c r="A2765" s="9" t="s">
        <v>608</v>
      </c>
      <c r="B2765" s="2">
        <v>83</v>
      </c>
      <c r="C2765" s="3" t="s">
        <v>95</v>
      </c>
      <c r="D2765" s="3" t="s">
        <v>96</v>
      </c>
      <c r="E2765" s="2"/>
      <c r="F2765" s="2"/>
      <c r="G2765" s="2" t="s">
        <v>74</v>
      </c>
      <c r="H2765" s="2">
        <v>8</v>
      </c>
      <c r="I2765" s="8">
        <v>114.83</v>
      </c>
      <c r="J2765" s="8">
        <v>37499</v>
      </c>
      <c r="K2765" s="3">
        <v>0</v>
      </c>
      <c r="L2765" s="3" t="s">
        <v>3</v>
      </c>
      <c r="M2765" s="9" t="s">
        <v>0</v>
      </c>
      <c r="N2765" s="9" t="s">
        <v>55</v>
      </c>
      <c r="O2765" s="9" t="s">
        <v>609</v>
      </c>
      <c r="P2765" s="9" t="s">
        <v>0</v>
      </c>
      <c r="Q2765" s="30" t="s">
        <v>610</v>
      </c>
      <c r="R2765" s="9" t="s">
        <v>611</v>
      </c>
      <c r="S2765" s="9" t="s">
        <v>158</v>
      </c>
      <c r="T2765" s="10" t="s">
        <v>74</v>
      </c>
      <c r="U2765" s="10">
        <v>8</v>
      </c>
      <c r="V2765" s="10">
        <v>114.83</v>
      </c>
      <c r="W2765" s="10" t="s">
        <v>710</v>
      </c>
      <c r="X2765" s="17">
        <v>45518</v>
      </c>
      <c r="Y2765" s="17">
        <v>45520</v>
      </c>
      <c r="Z2765" s="19" t="s">
        <v>772</v>
      </c>
      <c r="AA2765" s="210">
        <v>36500</v>
      </c>
      <c r="AB2765" s="9">
        <v>40</v>
      </c>
      <c r="AC2765" s="9">
        <v>30</v>
      </c>
      <c r="AD2765" s="17">
        <v>46438</v>
      </c>
      <c r="AE2765" s="56">
        <v>500</v>
      </c>
      <c r="AF2765" s="56"/>
      <c r="AP2765" s="11"/>
      <c r="AQ2765" s="11"/>
      <c r="AR2765" s="11"/>
      <c r="AW2765" s="9"/>
      <c r="BD2765" s="9"/>
      <c r="CS2765" s="11">
        <f t="shared" si="190"/>
        <v>0</v>
      </c>
      <c r="CT2765" s="22">
        <f t="shared" si="191"/>
        <v>0</v>
      </c>
      <c r="CU2765" s="22">
        <f t="shared" si="192"/>
        <v>0</v>
      </c>
      <c r="CV2765" s="26">
        <f t="shared" si="189"/>
        <v>500</v>
      </c>
    </row>
    <row r="2766" spans="1:100" x14ac:dyDescent="0.2">
      <c r="A2766" s="9" t="s">
        <v>608</v>
      </c>
      <c r="B2766" s="2">
        <v>83</v>
      </c>
      <c r="C2766" s="3" t="s">
        <v>95</v>
      </c>
      <c r="D2766" s="3" t="s">
        <v>96</v>
      </c>
      <c r="E2766" s="2"/>
      <c r="F2766" s="2"/>
      <c r="G2766" s="2" t="s">
        <v>74</v>
      </c>
      <c r="H2766" s="2">
        <v>8</v>
      </c>
      <c r="I2766" s="8">
        <v>114.83</v>
      </c>
      <c r="J2766" s="8">
        <v>37499</v>
      </c>
      <c r="K2766" s="3">
        <v>0</v>
      </c>
      <c r="L2766" s="3" t="s">
        <v>3</v>
      </c>
      <c r="M2766" s="9" t="s">
        <v>0</v>
      </c>
      <c r="N2766" s="9" t="s">
        <v>55</v>
      </c>
      <c r="O2766" s="9" t="s">
        <v>609</v>
      </c>
      <c r="P2766" s="9" t="s">
        <v>0</v>
      </c>
      <c r="Q2766" s="30" t="s">
        <v>610</v>
      </c>
      <c r="R2766" s="9" t="s">
        <v>611</v>
      </c>
      <c r="S2766" s="9" t="s">
        <v>158</v>
      </c>
      <c r="T2766" s="10" t="s">
        <v>74</v>
      </c>
      <c r="U2766" s="10">
        <v>8</v>
      </c>
      <c r="V2766" s="10">
        <v>114.83</v>
      </c>
      <c r="W2766" s="10" t="s">
        <v>710</v>
      </c>
      <c r="X2766" s="17">
        <v>45518</v>
      </c>
      <c r="Y2766" s="17">
        <v>45520</v>
      </c>
      <c r="Z2766" s="19" t="s">
        <v>772</v>
      </c>
      <c r="AA2766" s="210">
        <v>36500</v>
      </c>
      <c r="AB2766" s="9">
        <v>40</v>
      </c>
      <c r="AC2766" s="9">
        <v>31</v>
      </c>
      <c r="AD2766" s="17">
        <v>46466</v>
      </c>
      <c r="AE2766" s="56">
        <v>500</v>
      </c>
      <c r="AF2766" s="56"/>
      <c r="AP2766" s="11"/>
      <c r="AQ2766" s="11"/>
      <c r="AR2766" s="11"/>
      <c r="AW2766" s="9"/>
      <c r="BD2766" s="9"/>
      <c r="CS2766" s="11">
        <f t="shared" si="190"/>
        <v>0</v>
      </c>
      <c r="CT2766" s="22">
        <f t="shared" si="191"/>
        <v>0</v>
      </c>
      <c r="CU2766" s="22">
        <f t="shared" si="192"/>
        <v>0</v>
      </c>
      <c r="CV2766" s="26">
        <f t="shared" si="189"/>
        <v>500</v>
      </c>
    </row>
    <row r="2767" spans="1:100" x14ac:dyDescent="0.2">
      <c r="A2767" s="9" t="s">
        <v>608</v>
      </c>
      <c r="B2767" s="2">
        <v>83</v>
      </c>
      <c r="C2767" s="3" t="s">
        <v>95</v>
      </c>
      <c r="D2767" s="3" t="s">
        <v>96</v>
      </c>
      <c r="E2767" s="2"/>
      <c r="F2767" s="2"/>
      <c r="G2767" s="2" t="s">
        <v>74</v>
      </c>
      <c r="H2767" s="2">
        <v>8</v>
      </c>
      <c r="I2767" s="8">
        <v>114.83</v>
      </c>
      <c r="J2767" s="8">
        <v>37499</v>
      </c>
      <c r="K2767" s="3">
        <v>0</v>
      </c>
      <c r="L2767" s="3" t="s">
        <v>3</v>
      </c>
      <c r="M2767" s="9" t="s">
        <v>0</v>
      </c>
      <c r="N2767" s="9" t="s">
        <v>55</v>
      </c>
      <c r="O2767" s="9" t="s">
        <v>609</v>
      </c>
      <c r="P2767" s="9" t="s">
        <v>0</v>
      </c>
      <c r="Q2767" s="30" t="s">
        <v>610</v>
      </c>
      <c r="R2767" s="9" t="s">
        <v>611</v>
      </c>
      <c r="S2767" s="9" t="s">
        <v>158</v>
      </c>
      <c r="T2767" s="10" t="s">
        <v>74</v>
      </c>
      <c r="U2767" s="10">
        <v>8</v>
      </c>
      <c r="V2767" s="10">
        <v>114.83</v>
      </c>
      <c r="W2767" s="10" t="s">
        <v>710</v>
      </c>
      <c r="X2767" s="17">
        <v>45518</v>
      </c>
      <c r="Y2767" s="17">
        <v>45520</v>
      </c>
      <c r="Z2767" s="19" t="s">
        <v>772</v>
      </c>
      <c r="AA2767" s="210">
        <v>36500</v>
      </c>
      <c r="AB2767" s="9">
        <v>40</v>
      </c>
      <c r="AC2767" s="9">
        <v>32</v>
      </c>
      <c r="AD2767" s="17">
        <v>46497</v>
      </c>
      <c r="AE2767" s="56">
        <v>500</v>
      </c>
      <c r="AF2767" s="56"/>
      <c r="AP2767" s="11"/>
      <c r="AQ2767" s="11"/>
      <c r="AR2767" s="11"/>
      <c r="AW2767" s="9"/>
      <c r="BD2767" s="9"/>
      <c r="CS2767" s="11">
        <f t="shared" si="190"/>
        <v>0</v>
      </c>
      <c r="CT2767" s="22">
        <f t="shared" si="191"/>
        <v>0</v>
      </c>
      <c r="CU2767" s="22">
        <f t="shared" si="192"/>
        <v>0</v>
      </c>
      <c r="CV2767" s="26">
        <f t="shared" si="189"/>
        <v>500</v>
      </c>
    </row>
    <row r="2768" spans="1:100" x14ac:dyDescent="0.2">
      <c r="A2768" s="9" t="s">
        <v>608</v>
      </c>
      <c r="B2768" s="2">
        <v>83</v>
      </c>
      <c r="C2768" s="3" t="s">
        <v>95</v>
      </c>
      <c r="D2768" s="3" t="s">
        <v>96</v>
      </c>
      <c r="E2768" s="2"/>
      <c r="F2768" s="2"/>
      <c r="G2768" s="2" t="s">
        <v>74</v>
      </c>
      <c r="H2768" s="2">
        <v>8</v>
      </c>
      <c r="I2768" s="8">
        <v>114.83</v>
      </c>
      <c r="J2768" s="8">
        <v>37499</v>
      </c>
      <c r="K2768" s="3">
        <v>0</v>
      </c>
      <c r="L2768" s="3" t="s">
        <v>3</v>
      </c>
      <c r="M2768" s="9" t="s">
        <v>0</v>
      </c>
      <c r="N2768" s="9" t="s">
        <v>55</v>
      </c>
      <c r="O2768" s="9" t="s">
        <v>609</v>
      </c>
      <c r="P2768" s="9" t="s">
        <v>0</v>
      </c>
      <c r="Q2768" s="30" t="s">
        <v>610</v>
      </c>
      <c r="R2768" s="9" t="s">
        <v>611</v>
      </c>
      <c r="S2768" s="9" t="s">
        <v>158</v>
      </c>
      <c r="T2768" s="10" t="s">
        <v>74</v>
      </c>
      <c r="U2768" s="10">
        <v>8</v>
      </c>
      <c r="V2768" s="10">
        <v>114.83</v>
      </c>
      <c r="W2768" s="10" t="s">
        <v>710</v>
      </c>
      <c r="X2768" s="17">
        <v>45518</v>
      </c>
      <c r="Y2768" s="17">
        <v>45520</v>
      </c>
      <c r="Z2768" s="19" t="s">
        <v>772</v>
      </c>
      <c r="AA2768" s="210">
        <v>36500</v>
      </c>
      <c r="AB2768" s="9">
        <v>40</v>
      </c>
      <c r="AC2768" s="9">
        <v>33</v>
      </c>
      <c r="AD2768" s="17">
        <v>46527</v>
      </c>
      <c r="AE2768" s="56">
        <v>500</v>
      </c>
      <c r="AF2768" s="56"/>
      <c r="AP2768" s="11"/>
      <c r="AQ2768" s="11"/>
      <c r="AR2768" s="11"/>
      <c r="AW2768" s="9"/>
      <c r="BD2768" s="9"/>
      <c r="CS2768" s="11">
        <f t="shared" si="190"/>
        <v>0</v>
      </c>
      <c r="CT2768" s="22">
        <f t="shared" si="191"/>
        <v>0</v>
      </c>
      <c r="CU2768" s="22">
        <f t="shared" si="192"/>
        <v>0</v>
      </c>
      <c r="CV2768" s="26">
        <f t="shared" si="189"/>
        <v>500</v>
      </c>
    </row>
    <row r="2769" spans="1:100" x14ac:dyDescent="0.2">
      <c r="A2769" s="9" t="s">
        <v>608</v>
      </c>
      <c r="B2769" s="2">
        <v>83</v>
      </c>
      <c r="C2769" s="3" t="s">
        <v>95</v>
      </c>
      <c r="D2769" s="3" t="s">
        <v>96</v>
      </c>
      <c r="E2769" s="2"/>
      <c r="F2769" s="2"/>
      <c r="G2769" s="2" t="s">
        <v>74</v>
      </c>
      <c r="H2769" s="2">
        <v>8</v>
      </c>
      <c r="I2769" s="8">
        <v>114.83</v>
      </c>
      <c r="J2769" s="8">
        <v>37499</v>
      </c>
      <c r="K2769" s="3">
        <v>0</v>
      </c>
      <c r="L2769" s="3" t="s">
        <v>3</v>
      </c>
      <c r="M2769" s="9" t="s">
        <v>0</v>
      </c>
      <c r="N2769" s="9" t="s">
        <v>55</v>
      </c>
      <c r="O2769" s="9" t="s">
        <v>609</v>
      </c>
      <c r="P2769" s="9" t="s">
        <v>0</v>
      </c>
      <c r="Q2769" s="30" t="s">
        <v>610</v>
      </c>
      <c r="R2769" s="9" t="s">
        <v>611</v>
      </c>
      <c r="S2769" s="9" t="s">
        <v>158</v>
      </c>
      <c r="T2769" s="10" t="s">
        <v>74</v>
      </c>
      <c r="U2769" s="10">
        <v>8</v>
      </c>
      <c r="V2769" s="10">
        <v>114.83</v>
      </c>
      <c r="W2769" s="10" t="s">
        <v>710</v>
      </c>
      <c r="X2769" s="17">
        <v>45518</v>
      </c>
      <c r="Y2769" s="17">
        <v>45520</v>
      </c>
      <c r="Z2769" s="19" t="s">
        <v>772</v>
      </c>
      <c r="AA2769" s="210">
        <v>36500</v>
      </c>
      <c r="AB2769" s="9">
        <v>40</v>
      </c>
      <c r="AC2769" s="9">
        <v>34</v>
      </c>
      <c r="AD2769" s="17">
        <v>46558</v>
      </c>
      <c r="AE2769" s="56">
        <v>500</v>
      </c>
      <c r="AF2769" s="56"/>
      <c r="AP2769" s="11"/>
      <c r="AQ2769" s="11"/>
      <c r="AR2769" s="11"/>
      <c r="AW2769" s="9"/>
      <c r="BD2769" s="9"/>
      <c r="CS2769" s="11">
        <f t="shared" si="190"/>
        <v>0</v>
      </c>
      <c r="CT2769" s="22">
        <f t="shared" si="191"/>
        <v>0</v>
      </c>
      <c r="CU2769" s="22">
        <f t="shared" si="192"/>
        <v>0</v>
      </c>
      <c r="CV2769" s="26">
        <f t="shared" si="189"/>
        <v>500</v>
      </c>
    </row>
    <row r="2770" spans="1:100" x14ac:dyDescent="0.2">
      <c r="A2770" s="9" t="s">
        <v>608</v>
      </c>
      <c r="B2770" s="2">
        <v>83</v>
      </c>
      <c r="C2770" s="3" t="s">
        <v>95</v>
      </c>
      <c r="D2770" s="3" t="s">
        <v>96</v>
      </c>
      <c r="E2770" s="2"/>
      <c r="F2770" s="2"/>
      <c r="G2770" s="2" t="s">
        <v>74</v>
      </c>
      <c r="H2770" s="2">
        <v>8</v>
      </c>
      <c r="I2770" s="8">
        <v>114.83</v>
      </c>
      <c r="J2770" s="8">
        <v>37499</v>
      </c>
      <c r="K2770" s="3">
        <v>0</v>
      </c>
      <c r="L2770" s="3" t="s">
        <v>3</v>
      </c>
      <c r="M2770" s="9" t="s">
        <v>0</v>
      </c>
      <c r="N2770" s="9" t="s">
        <v>55</v>
      </c>
      <c r="O2770" s="9" t="s">
        <v>609</v>
      </c>
      <c r="P2770" s="9" t="s">
        <v>0</v>
      </c>
      <c r="Q2770" s="30" t="s">
        <v>610</v>
      </c>
      <c r="R2770" s="9" t="s">
        <v>611</v>
      </c>
      <c r="S2770" s="9" t="s">
        <v>158</v>
      </c>
      <c r="T2770" s="10" t="s">
        <v>74</v>
      </c>
      <c r="U2770" s="10">
        <v>8</v>
      </c>
      <c r="V2770" s="10">
        <v>114.83</v>
      </c>
      <c r="W2770" s="10" t="s">
        <v>710</v>
      </c>
      <c r="X2770" s="17">
        <v>45518</v>
      </c>
      <c r="Y2770" s="17">
        <v>45520</v>
      </c>
      <c r="Z2770" s="19" t="s">
        <v>772</v>
      </c>
      <c r="AA2770" s="210">
        <v>36500</v>
      </c>
      <c r="AB2770" s="9">
        <v>40</v>
      </c>
      <c r="AC2770" s="9">
        <v>35</v>
      </c>
      <c r="AD2770" s="17">
        <v>46588</v>
      </c>
      <c r="AE2770" s="56">
        <v>500</v>
      </c>
      <c r="AF2770" s="56"/>
      <c r="AP2770" s="11"/>
      <c r="AQ2770" s="11"/>
      <c r="AR2770" s="11"/>
      <c r="AW2770" s="9"/>
      <c r="BD2770" s="9"/>
      <c r="CS2770" s="11">
        <f t="shared" si="190"/>
        <v>0</v>
      </c>
      <c r="CT2770" s="22">
        <f t="shared" si="191"/>
        <v>0</v>
      </c>
      <c r="CU2770" s="22">
        <f t="shared" si="192"/>
        <v>0</v>
      </c>
      <c r="CV2770" s="26">
        <f t="shared" si="189"/>
        <v>500</v>
      </c>
    </row>
    <row r="2771" spans="1:100" x14ac:dyDescent="0.2">
      <c r="A2771" s="9" t="s">
        <v>608</v>
      </c>
      <c r="B2771" s="2">
        <v>83</v>
      </c>
      <c r="C2771" s="3" t="s">
        <v>95</v>
      </c>
      <c r="D2771" s="3" t="s">
        <v>96</v>
      </c>
      <c r="E2771" s="2"/>
      <c r="F2771" s="2"/>
      <c r="G2771" s="2" t="s">
        <v>74</v>
      </c>
      <c r="H2771" s="2">
        <v>8</v>
      </c>
      <c r="I2771" s="8">
        <v>114.83</v>
      </c>
      <c r="J2771" s="8">
        <v>37499</v>
      </c>
      <c r="K2771" s="3">
        <v>0</v>
      </c>
      <c r="L2771" s="3" t="s">
        <v>3</v>
      </c>
      <c r="M2771" s="9" t="s">
        <v>0</v>
      </c>
      <c r="N2771" s="9" t="s">
        <v>55</v>
      </c>
      <c r="O2771" s="9" t="s">
        <v>609</v>
      </c>
      <c r="P2771" s="9" t="s">
        <v>0</v>
      </c>
      <c r="Q2771" s="30" t="s">
        <v>610</v>
      </c>
      <c r="R2771" s="9" t="s">
        <v>611</v>
      </c>
      <c r="S2771" s="9" t="s">
        <v>158</v>
      </c>
      <c r="T2771" s="10" t="s">
        <v>74</v>
      </c>
      <c r="U2771" s="10">
        <v>8</v>
      </c>
      <c r="V2771" s="10">
        <v>114.83</v>
      </c>
      <c r="W2771" s="10" t="s">
        <v>710</v>
      </c>
      <c r="X2771" s="17">
        <v>45518</v>
      </c>
      <c r="Y2771" s="17">
        <v>45520</v>
      </c>
      <c r="Z2771" s="19" t="s">
        <v>772</v>
      </c>
      <c r="AA2771" s="210">
        <v>36500</v>
      </c>
      <c r="AB2771" s="9">
        <v>40</v>
      </c>
      <c r="AC2771" s="9">
        <v>36</v>
      </c>
      <c r="AD2771" s="17">
        <v>46619</v>
      </c>
      <c r="AE2771" s="56">
        <v>500</v>
      </c>
      <c r="AF2771" s="56"/>
      <c r="AP2771" s="11"/>
      <c r="AQ2771" s="11"/>
      <c r="AR2771" s="11"/>
      <c r="AW2771" s="9"/>
      <c r="BD2771" s="9"/>
      <c r="CS2771" s="11">
        <f t="shared" si="190"/>
        <v>0</v>
      </c>
      <c r="CT2771" s="22">
        <f t="shared" si="191"/>
        <v>0</v>
      </c>
      <c r="CU2771" s="22">
        <f t="shared" si="192"/>
        <v>0</v>
      </c>
      <c r="CV2771" s="26">
        <f t="shared" si="189"/>
        <v>500</v>
      </c>
    </row>
    <row r="2772" spans="1:100" x14ac:dyDescent="0.2">
      <c r="A2772" s="9" t="s">
        <v>608</v>
      </c>
      <c r="B2772" s="2">
        <v>83</v>
      </c>
      <c r="C2772" s="3" t="s">
        <v>95</v>
      </c>
      <c r="D2772" s="3" t="s">
        <v>96</v>
      </c>
      <c r="E2772" s="2"/>
      <c r="F2772" s="2"/>
      <c r="G2772" s="2" t="s">
        <v>74</v>
      </c>
      <c r="H2772" s="2">
        <v>8</v>
      </c>
      <c r="I2772" s="8">
        <v>114.83</v>
      </c>
      <c r="J2772" s="8">
        <v>37499</v>
      </c>
      <c r="K2772" s="3">
        <v>0</v>
      </c>
      <c r="L2772" s="3" t="s">
        <v>3</v>
      </c>
      <c r="M2772" s="9" t="s">
        <v>0</v>
      </c>
      <c r="N2772" s="9" t="s">
        <v>55</v>
      </c>
      <c r="O2772" s="9" t="s">
        <v>609</v>
      </c>
      <c r="P2772" s="9" t="s">
        <v>0</v>
      </c>
      <c r="Q2772" s="30" t="s">
        <v>610</v>
      </c>
      <c r="R2772" s="9" t="s">
        <v>611</v>
      </c>
      <c r="S2772" s="9" t="s">
        <v>158</v>
      </c>
      <c r="T2772" s="10" t="s">
        <v>74</v>
      </c>
      <c r="U2772" s="10">
        <v>8</v>
      </c>
      <c r="V2772" s="10">
        <v>114.83</v>
      </c>
      <c r="W2772" s="10" t="s">
        <v>710</v>
      </c>
      <c r="X2772" s="17">
        <v>45518</v>
      </c>
      <c r="Y2772" s="17">
        <v>45520</v>
      </c>
      <c r="Z2772" s="19" t="s">
        <v>772</v>
      </c>
      <c r="AA2772" s="210">
        <v>36500</v>
      </c>
      <c r="AB2772" s="9">
        <v>40</v>
      </c>
      <c r="AC2772" s="9">
        <v>37</v>
      </c>
      <c r="AD2772" s="17">
        <v>46650</v>
      </c>
      <c r="AE2772" s="56">
        <v>500</v>
      </c>
      <c r="AF2772" s="56"/>
      <c r="AP2772" s="11"/>
      <c r="AQ2772" s="11"/>
      <c r="AR2772" s="11"/>
      <c r="AW2772" s="9"/>
      <c r="BD2772" s="9"/>
      <c r="CS2772" s="11">
        <f t="shared" si="190"/>
        <v>0</v>
      </c>
      <c r="CT2772" s="22">
        <f t="shared" si="191"/>
        <v>0</v>
      </c>
      <c r="CU2772" s="22">
        <f t="shared" si="192"/>
        <v>0</v>
      </c>
      <c r="CV2772" s="26">
        <f t="shared" si="189"/>
        <v>500</v>
      </c>
    </row>
    <row r="2773" spans="1:100" x14ac:dyDescent="0.2">
      <c r="A2773" s="9" t="s">
        <v>608</v>
      </c>
      <c r="B2773" s="2">
        <v>83</v>
      </c>
      <c r="C2773" s="3" t="s">
        <v>95</v>
      </c>
      <c r="D2773" s="3" t="s">
        <v>96</v>
      </c>
      <c r="E2773" s="2"/>
      <c r="F2773" s="2"/>
      <c r="G2773" s="2" t="s">
        <v>74</v>
      </c>
      <c r="H2773" s="2">
        <v>8</v>
      </c>
      <c r="I2773" s="8">
        <v>114.83</v>
      </c>
      <c r="J2773" s="8">
        <v>37499</v>
      </c>
      <c r="K2773" s="3">
        <v>0</v>
      </c>
      <c r="L2773" s="3" t="s">
        <v>3</v>
      </c>
      <c r="M2773" s="9" t="s">
        <v>0</v>
      </c>
      <c r="N2773" s="9" t="s">
        <v>55</v>
      </c>
      <c r="O2773" s="9" t="s">
        <v>609</v>
      </c>
      <c r="P2773" s="9" t="s">
        <v>0</v>
      </c>
      <c r="Q2773" s="30" t="s">
        <v>610</v>
      </c>
      <c r="R2773" s="9" t="s">
        <v>611</v>
      </c>
      <c r="S2773" s="9" t="s">
        <v>158</v>
      </c>
      <c r="T2773" s="10" t="s">
        <v>74</v>
      </c>
      <c r="U2773" s="10">
        <v>8</v>
      </c>
      <c r="V2773" s="10">
        <v>114.83</v>
      </c>
      <c r="W2773" s="10" t="s">
        <v>710</v>
      </c>
      <c r="X2773" s="17">
        <v>45518</v>
      </c>
      <c r="Y2773" s="17">
        <v>45520</v>
      </c>
      <c r="Z2773" s="19" t="s">
        <v>772</v>
      </c>
      <c r="AA2773" s="210">
        <v>36500</v>
      </c>
      <c r="AB2773" s="9">
        <v>40</v>
      </c>
      <c r="AC2773" s="9">
        <v>38</v>
      </c>
      <c r="AD2773" s="17">
        <v>46680</v>
      </c>
      <c r="AE2773" s="56">
        <v>2833.34</v>
      </c>
      <c r="AF2773" s="56"/>
      <c r="AP2773" s="11"/>
      <c r="AQ2773" s="11"/>
      <c r="AR2773" s="11"/>
      <c r="AW2773" s="9"/>
      <c r="BD2773" s="9"/>
      <c r="CS2773" s="11">
        <f t="shared" si="190"/>
        <v>0</v>
      </c>
      <c r="CT2773" s="22">
        <f t="shared" si="191"/>
        <v>0</v>
      </c>
      <c r="CU2773" s="22">
        <f t="shared" si="192"/>
        <v>0</v>
      </c>
      <c r="CV2773" s="26">
        <f t="shared" si="189"/>
        <v>2833.34</v>
      </c>
    </row>
    <row r="2774" spans="1:100" x14ac:dyDescent="0.2">
      <c r="A2774" s="9" t="s">
        <v>608</v>
      </c>
      <c r="B2774" s="2">
        <v>83</v>
      </c>
      <c r="C2774" s="3" t="s">
        <v>95</v>
      </c>
      <c r="D2774" s="3" t="s">
        <v>96</v>
      </c>
      <c r="E2774" s="2"/>
      <c r="F2774" s="2"/>
      <c r="G2774" s="2" t="s">
        <v>74</v>
      </c>
      <c r="H2774" s="2">
        <v>8</v>
      </c>
      <c r="I2774" s="8">
        <v>114.83</v>
      </c>
      <c r="J2774" s="8">
        <v>37499</v>
      </c>
      <c r="K2774" s="3">
        <v>0</v>
      </c>
      <c r="L2774" s="3" t="s">
        <v>3</v>
      </c>
      <c r="M2774" s="9" t="s">
        <v>0</v>
      </c>
      <c r="N2774" s="9" t="s">
        <v>55</v>
      </c>
      <c r="O2774" s="9" t="s">
        <v>609</v>
      </c>
      <c r="P2774" s="9" t="s">
        <v>0</v>
      </c>
      <c r="Q2774" s="30" t="s">
        <v>610</v>
      </c>
      <c r="R2774" s="9" t="s">
        <v>611</v>
      </c>
      <c r="S2774" s="9" t="s">
        <v>158</v>
      </c>
      <c r="T2774" s="10" t="s">
        <v>74</v>
      </c>
      <c r="U2774" s="10">
        <v>8</v>
      </c>
      <c r="V2774" s="10">
        <v>114.83</v>
      </c>
      <c r="W2774" s="10" t="s">
        <v>710</v>
      </c>
      <c r="X2774" s="17">
        <v>45518</v>
      </c>
      <c r="Y2774" s="17">
        <v>45520</v>
      </c>
      <c r="Z2774" s="19" t="s">
        <v>772</v>
      </c>
      <c r="AA2774" s="210">
        <v>36500</v>
      </c>
      <c r="AB2774" s="9">
        <v>40</v>
      </c>
      <c r="AC2774" s="9">
        <v>39</v>
      </c>
      <c r="AD2774" s="17">
        <v>46711</v>
      </c>
      <c r="AE2774" s="56">
        <v>2833.34</v>
      </c>
      <c r="AF2774" s="56"/>
      <c r="AP2774" s="11"/>
      <c r="AQ2774" s="11"/>
      <c r="AR2774" s="11"/>
      <c r="AW2774" s="9"/>
      <c r="BD2774" s="9"/>
      <c r="CS2774" s="11">
        <f t="shared" si="190"/>
        <v>0</v>
      </c>
      <c r="CT2774" s="22">
        <f t="shared" si="191"/>
        <v>0</v>
      </c>
      <c r="CU2774" s="22">
        <f t="shared" si="192"/>
        <v>0</v>
      </c>
      <c r="CV2774" s="26">
        <f t="shared" si="189"/>
        <v>2833.34</v>
      </c>
    </row>
    <row r="2775" spans="1:100" x14ac:dyDescent="0.2">
      <c r="A2775" s="9" t="s">
        <v>608</v>
      </c>
      <c r="B2775" s="2">
        <v>83</v>
      </c>
      <c r="C2775" s="3" t="s">
        <v>95</v>
      </c>
      <c r="D2775" s="3" t="s">
        <v>96</v>
      </c>
      <c r="E2775" s="2"/>
      <c r="F2775" s="2"/>
      <c r="G2775" s="2" t="s">
        <v>74</v>
      </c>
      <c r="H2775" s="2">
        <v>8</v>
      </c>
      <c r="I2775" s="8">
        <v>114.83</v>
      </c>
      <c r="J2775" s="8">
        <v>37499</v>
      </c>
      <c r="K2775" s="3">
        <v>0</v>
      </c>
      <c r="L2775" s="3" t="s">
        <v>3</v>
      </c>
      <c r="M2775" s="9" t="s">
        <v>0</v>
      </c>
      <c r="N2775" s="9" t="s">
        <v>55</v>
      </c>
      <c r="O2775" s="9" t="s">
        <v>609</v>
      </c>
      <c r="P2775" s="9" t="s">
        <v>0</v>
      </c>
      <c r="Q2775" s="30" t="s">
        <v>610</v>
      </c>
      <c r="R2775" s="9" t="s">
        <v>611</v>
      </c>
      <c r="S2775" s="9" t="s">
        <v>158</v>
      </c>
      <c r="T2775" s="10" t="s">
        <v>74</v>
      </c>
      <c r="U2775" s="10">
        <v>8</v>
      </c>
      <c r="V2775" s="10">
        <v>114.83</v>
      </c>
      <c r="W2775" s="10" t="s">
        <v>710</v>
      </c>
      <c r="X2775" s="17">
        <v>45518</v>
      </c>
      <c r="Y2775" s="17">
        <v>45520</v>
      </c>
      <c r="Z2775" s="19" t="s">
        <v>772</v>
      </c>
      <c r="AA2775" s="210">
        <v>36500</v>
      </c>
      <c r="AB2775" s="9">
        <v>40</v>
      </c>
      <c r="AC2775" s="9">
        <v>40</v>
      </c>
      <c r="AD2775" s="17">
        <v>46741</v>
      </c>
      <c r="AE2775" s="56">
        <v>2833.34</v>
      </c>
      <c r="AF2775" s="56"/>
      <c r="AP2775" s="11"/>
      <c r="AQ2775" s="11"/>
      <c r="AR2775" s="11"/>
      <c r="AW2775" s="9"/>
      <c r="BD2775" s="9"/>
      <c r="CS2775" s="11">
        <f t="shared" si="190"/>
        <v>0</v>
      </c>
      <c r="CT2775" s="22">
        <f t="shared" si="191"/>
        <v>0</v>
      </c>
      <c r="CU2775" s="22">
        <f t="shared" si="192"/>
        <v>0</v>
      </c>
      <c r="CV2775" s="26">
        <f t="shared" si="189"/>
        <v>2833.34</v>
      </c>
    </row>
    <row r="2776" spans="1:100" x14ac:dyDescent="0.2">
      <c r="A2776" s="9" t="s">
        <v>614</v>
      </c>
      <c r="B2776" s="2">
        <v>14</v>
      </c>
      <c r="C2776" s="3" t="s">
        <v>95</v>
      </c>
      <c r="D2776" s="3" t="s">
        <v>96</v>
      </c>
      <c r="E2776" s="2"/>
      <c r="F2776" s="2"/>
      <c r="G2776" s="2" t="s">
        <v>67</v>
      </c>
      <c r="H2776" s="2">
        <v>2</v>
      </c>
      <c r="I2776" s="8">
        <v>123.74</v>
      </c>
      <c r="J2776" s="8">
        <v>37999</v>
      </c>
      <c r="K2776" s="3">
        <v>0</v>
      </c>
      <c r="L2776" s="3" t="s">
        <v>3</v>
      </c>
      <c r="M2776" s="9" t="s">
        <v>0</v>
      </c>
      <c r="N2776" s="9" t="s">
        <v>56</v>
      </c>
      <c r="O2776" s="9" t="s">
        <v>615</v>
      </c>
      <c r="S2776" s="9" t="s">
        <v>158</v>
      </c>
      <c r="T2776" s="10" t="s">
        <v>67</v>
      </c>
      <c r="U2776" s="10">
        <v>2</v>
      </c>
      <c r="V2776" s="10">
        <v>123.74</v>
      </c>
      <c r="W2776" s="10" t="s">
        <v>710</v>
      </c>
      <c r="X2776" s="17">
        <v>45539</v>
      </c>
      <c r="Y2776" s="17">
        <v>45539</v>
      </c>
      <c r="Z2776" s="19" t="s">
        <v>772</v>
      </c>
      <c r="AA2776" s="210">
        <v>38000</v>
      </c>
      <c r="AB2776" s="10">
        <v>49</v>
      </c>
      <c r="AC2776" s="10">
        <v>0</v>
      </c>
      <c r="AD2776" s="17">
        <v>45539</v>
      </c>
      <c r="AE2776" s="56">
        <v>4000</v>
      </c>
      <c r="AF2776" s="56"/>
      <c r="AG2776" s="9" t="s">
        <v>134</v>
      </c>
      <c r="AH2776" s="17">
        <v>45539</v>
      </c>
      <c r="AI2776" s="17"/>
      <c r="AJ2776" s="17"/>
      <c r="AK2776" s="9" t="s">
        <v>616</v>
      </c>
      <c r="AL2776" s="11">
        <v>4000</v>
      </c>
      <c r="AN2776" s="9" t="s">
        <v>983</v>
      </c>
      <c r="AO2776" s="112" t="s">
        <v>134</v>
      </c>
      <c r="AP2776" s="113">
        <v>45533</v>
      </c>
      <c r="AQ2776" s="113"/>
      <c r="AR2776" s="113"/>
      <c r="AS2776" s="112" t="s">
        <v>617</v>
      </c>
      <c r="AT2776" s="112">
        <v>100</v>
      </c>
      <c r="AU2776" s="112"/>
      <c r="AV2776" s="112" t="s">
        <v>1007</v>
      </c>
      <c r="AW2776" s="42">
        <v>45539</v>
      </c>
      <c r="AX2776" s="36">
        <v>3112</v>
      </c>
      <c r="AY2776" s="36"/>
      <c r="AZ2776" s="36"/>
      <c r="BA2776" s="40">
        <v>4000</v>
      </c>
      <c r="BB2776" s="40"/>
      <c r="BC2776" s="114">
        <v>45533</v>
      </c>
      <c r="BD2776" s="115">
        <v>40132</v>
      </c>
      <c r="BE2776" s="115"/>
      <c r="BF2776" s="115"/>
      <c r="BG2776" s="115">
        <v>100</v>
      </c>
      <c r="BH2776" s="115"/>
      <c r="CS2776" s="11">
        <f t="shared" si="190"/>
        <v>4100</v>
      </c>
      <c r="CT2776" s="22">
        <f t="shared" si="191"/>
        <v>4100</v>
      </c>
      <c r="CU2776" s="22">
        <f t="shared" si="192"/>
        <v>0</v>
      </c>
      <c r="CV2776" s="26">
        <f t="shared" si="189"/>
        <v>-100</v>
      </c>
    </row>
    <row r="2777" spans="1:100" x14ac:dyDescent="0.2">
      <c r="A2777" s="9" t="s">
        <v>614</v>
      </c>
      <c r="B2777" s="2">
        <v>14</v>
      </c>
      <c r="C2777" s="3" t="s">
        <v>95</v>
      </c>
      <c r="D2777" s="3" t="s">
        <v>96</v>
      </c>
      <c r="E2777" s="2"/>
      <c r="F2777" s="2"/>
      <c r="G2777" s="2" t="s">
        <v>67</v>
      </c>
      <c r="H2777" s="2">
        <v>2</v>
      </c>
      <c r="I2777" s="8">
        <v>123.74</v>
      </c>
      <c r="J2777" s="8">
        <v>37999</v>
      </c>
      <c r="K2777" s="3">
        <v>0</v>
      </c>
      <c r="L2777" s="3" t="s">
        <v>3</v>
      </c>
      <c r="M2777" s="9" t="s">
        <v>0</v>
      </c>
      <c r="N2777" s="9" t="s">
        <v>56</v>
      </c>
      <c r="O2777" s="9" t="s">
        <v>615</v>
      </c>
      <c r="S2777" s="9" t="s">
        <v>158</v>
      </c>
      <c r="T2777" s="10" t="s">
        <v>67</v>
      </c>
      <c r="U2777" s="10">
        <v>2</v>
      </c>
      <c r="V2777" s="10">
        <v>123.74</v>
      </c>
      <c r="W2777" s="10" t="s">
        <v>710</v>
      </c>
      <c r="X2777" s="17">
        <v>45539</v>
      </c>
      <c r="Y2777" s="17">
        <v>45539</v>
      </c>
      <c r="Z2777" s="19" t="s">
        <v>772</v>
      </c>
      <c r="AA2777" s="210">
        <v>38000</v>
      </c>
      <c r="AB2777" s="10">
        <v>49</v>
      </c>
      <c r="AC2777" s="10">
        <v>1</v>
      </c>
      <c r="AD2777" s="17">
        <v>45565</v>
      </c>
      <c r="AE2777" s="56">
        <v>1000</v>
      </c>
      <c r="AF2777" s="56"/>
      <c r="AG2777" s="9" t="s">
        <v>134</v>
      </c>
      <c r="AH2777" s="17">
        <v>45562</v>
      </c>
      <c r="AI2777" s="17"/>
      <c r="AJ2777" s="17"/>
      <c r="AK2777" s="9" t="s">
        <v>960</v>
      </c>
      <c r="AL2777" s="11">
        <v>1000</v>
      </c>
      <c r="AN2777" s="9" t="s">
        <v>984</v>
      </c>
      <c r="AP2777" s="11"/>
      <c r="AQ2777" s="11"/>
      <c r="AR2777" s="11"/>
      <c r="AW2777" s="42">
        <v>45562</v>
      </c>
      <c r="AX2777" s="36">
        <v>3208</v>
      </c>
      <c r="AY2777" s="36"/>
      <c r="AZ2777" s="36"/>
      <c r="BA2777" s="93">
        <v>1000</v>
      </c>
      <c r="BD2777" s="9"/>
      <c r="CS2777" s="11">
        <f t="shared" si="190"/>
        <v>1000</v>
      </c>
      <c r="CT2777" s="22">
        <f t="shared" si="191"/>
        <v>1000</v>
      </c>
      <c r="CU2777" s="22">
        <f t="shared" si="192"/>
        <v>0</v>
      </c>
      <c r="CV2777" s="26">
        <f t="shared" si="189"/>
        <v>0</v>
      </c>
    </row>
    <row r="2778" spans="1:100" x14ac:dyDescent="0.2">
      <c r="A2778" s="9" t="s">
        <v>614</v>
      </c>
      <c r="B2778" s="2">
        <v>14</v>
      </c>
      <c r="C2778" s="3" t="s">
        <v>95</v>
      </c>
      <c r="D2778" s="3" t="s">
        <v>96</v>
      </c>
      <c r="E2778" s="2"/>
      <c r="F2778" s="2"/>
      <c r="G2778" s="2" t="s">
        <v>67</v>
      </c>
      <c r="H2778" s="2">
        <v>2</v>
      </c>
      <c r="I2778" s="8">
        <v>123.74</v>
      </c>
      <c r="J2778" s="8">
        <v>37999</v>
      </c>
      <c r="K2778" s="3">
        <v>0</v>
      </c>
      <c r="L2778" s="3" t="s">
        <v>3</v>
      </c>
      <c r="M2778" s="9" t="s">
        <v>0</v>
      </c>
      <c r="N2778" s="9" t="s">
        <v>56</v>
      </c>
      <c r="O2778" s="9" t="s">
        <v>615</v>
      </c>
      <c r="S2778" s="9" t="s">
        <v>158</v>
      </c>
      <c r="T2778" s="10" t="s">
        <v>67</v>
      </c>
      <c r="U2778" s="10">
        <v>2</v>
      </c>
      <c r="V2778" s="10">
        <v>123.74</v>
      </c>
      <c r="W2778" s="10" t="s">
        <v>710</v>
      </c>
      <c r="X2778" s="17">
        <v>45539</v>
      </c>
      <c r="Y2778" s="17">
        <v>45539</v>
      </c>
      <c r="Z2778" s="19" t="s">
        <v>772</v>
      </c>
      <c r="AA2778" s="210">
        <v>38000</v>
      </c>
      <c r="AB2778" s="10">
        <v>49</v>
      </c>
      <c r="AC2778" s="10">
        <v>2</v>
      </c>
      <c r="AD2778" s="17">
        <v>45595</v>
      </c>
      <c r="AE2778" s="56">
        <v>687.5</v>
      </c>
      <c r="AF2778" s="56"/>
      <c r="AG2778" s="9" t="s">
        <v>134</v>
      </c>
      <c r="AH2778" s="17">
        <v>45623</v>
      </c>
      <c r="AI2778" s="17"/>
      <c r="AJ2778" s="17"/>
      <c r="AK2778" s="9" t="s">
        <v>961</v>
      </c>
      <c r="AL2778" s="11">
        <v>687.5</v>
      </c>
      <c r="AN2778" s="9" t="s">
        <v>985</v>
      </c>
      <c r="AP2778" s="11"/>
      <c r="AQ2778" s="11"/>
      <c r="AR2778" s="11"/>
      <c r="AW2778" s="42">
        <v>45593</v>
      </c>
      <c r="AX2778" s="36">
        <v>3321</v>
      </c>
      <c r="AY2778" s="36"/>
      <c r="AZ2778" s="36"/>
      <c r="BA2778" s="93">
        <v>687.5</v>
      </c>
      <c r="BD2778" s="9"/>
      <c r="CS2778" s="11">
        <f t="shared" si="190"/>
        <v>687.5</v>
      </c>
      <c r="CT2778" s="22">
        <f t="shared" si="191"/>
        <v>687.5</v>
      </c>
      <c r="CU2778" s="22">
        <f t="shared" si="192"/>
        <v>0</v>
      </c>
      <c r="CV2778" s="26">
        <f t="shared" si="189"/>
        <v>0</v>
      </c>
    </row>
    <row r="2779" spans="1:100" x14ac:dyDescent="0.2">
      <c r="A2779" s="9" t="s">
        <v>614</v>
      </c>
      <c r="B2779" s="2">
        <v>14</v>
      </c>
      <c r="C2779" s="3" t="s">
        <v>95</v>
      </c>
      <c r="D2779" s="3" t="s">
        <v>96</v>
      </c>
      <c r="E2779" s="2"/>
      <c r="F2779" s="2"/>
      <c r="G2779" s="2" t="s">
        <v>67</v>
      </c>
      <c r="H2779" s="2">
        <v>2</v>
      </c>
      <c r="I2779" s="8">
        <v>123.74</v>
      </c>
      <c r="J2779" s="8">
        <v>37999</v>
      </c>
      <c r="K2779" s="3">
        <v>0</v>
      </c>
      <c r="L2779" s="3" t="s">
        <v>3</v>
      </c>
      <c r="M2779" s="9" t="s">
        <v>0</v>
      </c>
      <c r="N2779" s="9" t="s">
        <v>56</v>
      </c>
      <c r="O2779" s="9" t="s">
        <v>615</v>
      </c>
      <c r="S2779" s="9" t="s">
        <v>158</v>
      </c>
      <c r="T2779" s="10" t="s">
        <v>67</v>
      </c>
      <c r="U2779" s="10">
        <v>2</v>
      </c>
      <c r="V2779" s="10">
        <v>123.74</v>
      </c>
      <c r="W2779" s="10" t="s">
        <v>710</v>
      </c>
      <c r="X2779" s="17">
        <v>45539</v>
      </c>
      <c r="Y2779" s="17">
        <v>45539</v>
      </c>
      <c r="Z2779" s="19" t="s">
        <v>772</v>
      </c>
      <c r="AA2779" s="210">
        <v>38000</v>
      </c>
      <c r="AB2779" s="10">
        <v>49</v>
      </c>
      <c r="AC2779" s="10">
        <v>3</v>
      </c>
      <c r="AD2779" s="17">
        <v>45626</v>
      </c>
      <c r="AE2779" s="56">
        <v>687.5</v>
      </c>
      <c r="AF2779" s="56"/>
      <c r="AG2779" s="9" t="s">
        <v>134</v>
      </c>
      <c r="AH2779" s="17">
        <v>45623</v>
      </c>
      <c r="AI2779" s="17"/>
      <c r="AJ2779" s="17"/>
      <c r="AK2779" s="9" t="s">
        <v>962</v>
      </c>
      <c r="AL2779" s="11">
        <v>312.5</v>
      </c>
      <c r="AN2779" s="9" t="s">
        <v>986</v>
      </c>
      <c r="AO2779" s="11" t="s">
        <v>134</v>
      </c>
      <c r="AP2779" s="17">
        <v>45626</v>
      </c>
      <c r="AQ2779" s="17"/>
      <c r="AR2779" s="17"/>
      <c r="AS2779" s="9" t="s">
        <v>963</v>
      </c>
      <c r="AT2779" s="11">
        <v>375</v>
      </c>
      <c r="AV2779" s="9" t="s">
        <v>987</v>
      </c>
      <c r="AW2779" s="42">
        <v>45593</v>
      </c>
      <c r="AX2779" s="36">
        <v>3321</v>
      </c>
      <c r="AY2779" s="36"/>
      <c r="AZ2779" s="36"/>
      <c r="BA2779" s="93">
        <v>312.5</v>
      </c>
      <c r="BC2779" s="42">
        <v>45627</v>
      </c>
      <c r="BD2779" s="36">
        <v>3458</v>
      </c>
      <c r="BE2779" s="36"/>
      <c r="BF2779" s="36"/>
      <c r="BG2779" s="93">
        <v>375</v>
      </c>
      <c r="BH2779" s="93"/>
      <c r="CS2779" s="11">
        <f t="shared" si="190"/>
        <v>687.5</v>
      </c>
      <c r="CT2779" s="22">
        <f t="shared" si="191"/>
        <v>687.5</v>
      </c>
      <c r="CU2779" s="22">
        <f t="shared" si="192"/>
        <v>0</v>
      </c>
      <c r="CV2779" s="26">
        <f t="shared" si="189"/>
        <v>0</v>
      </c>
    </row>
    <row r="2780" spans="1:100" x14ac:dyDescent="0.2">
      <c r="A2780" s="9" t="s">
        <v>614</v>
      </c>
      <c r="B2780" s="2">
        <v>14</v>
      </c>
      <c r="C2780" s="3" t="s">
        <v>95</v>
      </c>
      <c r="D2780" s="3" t="s">
        <v>96</v>
      </c>
      <c r="E2780" s="2"/>
      <c r="F2780" s="2"/>
      <c r="G2780" s="2" t="s">
        <v>67</v>
      </c>
      <c r="H2780" s="2">
        <v>2</v>
      </c>
      <c r="I2780" s="8">
        <v>123.74</v>
      </c>
      <c r="J2780" s="8">
        <v>37999</v>
      </c>
      <c r="K2780" s="3">
        <v>0</v>
      </c>
      <c r="L2780" s="3" t="s">
        <v>3</v>
      </c>
      <c r="M2780" s="9" t="s">
        <v>0</v>
      </c>
      <c r="N2780" s="9" t="s">
        <v>56</v>
      </c>
      <c r="O2780" s="9" t="s">
        <v>615</v>
      </c>
      <c r="S2780" s="9" t="s">
        <v>158</v>
      </c>
      <c r="T2780" s="10" t="s">
        <v>67</v>
      </c>
      <c r="U2780" s="10">
        <v>2</v>
      </c>
      <c r="V2780" s="10">
        <v>123.74</v>
      </c>
      <c r="W2780" s="10" t="s">
        <v>710</v>
      </c>
      <c r="X2780" s="17">
        <v>45539</v>
      </c>
      <c r="Y2780" s="17">
        <v>45539</v>
      </c>
      <c r="Z2780" s="19" t="s">
        <v>772</v>
      </c>
      <c r="AA2780" s="210">
        <v>38000</v>
      </c>
      <c r="AB2780" s="10">
        <v>49</v>
      </c>
      <c r="AC2780" s="10">
        <v>4</v>
      </c>
      <c r="AD2780" s="17">
        <v>45656</v>
      </c>
      <c r="AE2780" s="56">
        <v>687.5</v>
      </c>
      <c r="AF2780" s="56"/>
      <c r="AG2780" s="9" t="s">
        <v>134</v>
      </c>
      <c r="AH2780" s="17">
        <v>45626</v>
      </c>
      <c r="AI2780" s="17"/>
      <c r="AJ2780" s="17"/>
      <c r="AK2780" s="9" t="s">
        <v>964</v>
      </c>
      <c r="AL2780" s="11">
        <v>625</v>
      </c>
      <c r="AN2780" s="9" t="s">
        <v>988</v>
      </c>
      <c r="AO2780" s="11" t="s">
        <v>134</v>
      </c>
      <c r="AP2780" s="17">
        <v>45656</v>
      </c>
      <c r="AQ2780" s="17"/>
      <c r="AR2780" s="17"/>
      <c r="AS2780" s="9" t="s">
        <v>965</v>
      </c>
      <c r="AT2780" s="11">
        <v>62.5</v>
      </c>
      <c r="AV2780" s="9" t="s">
        <v>989</v>
      </c>
      <c r="AW2780" s="42">
        <v>45627</v>
      </c>
      <c r="AX2780" s="36">
        <v>3458</v>
      </c>
      <c r="AY2780" s="36"/>
      <c r="AZ2780" s="36"/>
      <c r="BA2780" s="93">
        <v>625</v>
      </c>
      <c r="BC2780" s="42">
        <v>45654</v>
      </c>
      <c r="BD2780" s="36">
        <v>3541</v>
      </c>
      <c r="BE2780" s="36"/>
      <c r="BF2780" s="36"/>
      <c r="BG2780" s="93">
        <v>62.5</v>
      </c>
      <c r="BH2780" s="93"/>
      <c r="CS2780" s="11">
        <f t="shared" si="190"/>
        <v>687.5</v>
      </c>
      <c r="CT2780" s="22">
        <f t="shared" si="191"/>
        <v>687.5</v>
      </c>
      <c r="CU2780" s="22">
        <f t="shared" si="192"/>
        <v>0</v>
      </c>
      <c r="CV2780" s="26">
        <f t="shared" si="189"/>
        <v>0</v>
      </c>
    </row>
    <row r="2781" spans="1:100" x14ac:dyDescent="0.2">
      <c r="A2781" s="9" t="s">
        <v>614</v>
      </c>
      <c r="B2781" s="2">
        <v>14</v>
      </c>
      <c r="C2781" s="3" t="s">
        <v>95</v>
      </c>
      <c r="D2781" s="3" t="s">
        <v>96</v>
      </c>
      <c r="E2781" s="2"/>
      <c r="F2781" s="2"/>
      <c r="G2781" s="2" t="s">
        <v>67</v>
      </c>
      <c r="H2781" s="2">
        <v>2</v>
      </c>
      <c r="I2781" s="8">
        <v>123.74</v>
      </c>
      <c r="J2781" s="8">
        <v>37999</v>
      </c>
      <c r="K2781" s="3">
        <v>0</v>
      </c>
      <c r="L2781" s="3" t="s">
        <v>3</v>
      </c>
      <c r="M2781" s="9" t="s">
        <v>0</v>
      </c>
      <c r="N2781" s="9" t="s">
        <v>56</v>
      </c>
      <c r="O2781" s="9" t="s">
        <v>615</v>
      </c>
      <c r="S2781" s="9" t="s">
        <v>158</v>
      </c>
      <c r="T2781" s="10" t="s">
        <v>67</v>
      </c>
      <c r="U2781" s="10">
        <v>2</v>
      </c>
      <c r="V2781" s="10">
        <v>123.74</v>
      </c>
      <c r="W2781" s="10" t="s">
        <v>710</v>
      </c>
      <c r="X2781" s="17">
        <v>45539</v>
      </c>
      <c r="Y2781" s="17">
        <v>45539</v>
      </c>
      <c r="Z2781" s="19" t="s">
        <v>772</v>
      </c>
      <c r="AA2781" s="210">
        <v>38000</v>
      </c>
      <c r="AB2781" s="10">
        <v>49</v>
      </c>
      <c r="AC2781" s="10">
        <v>5</v>
      </c>
      <c r="AD2781" s="17">
        <v>45687</v>
      </c>
      <c r="AE2781" s="56">
        <v>687.5</v>
      </c>
      <c r="AF2781" s="56"/>
      <c r="AG2781" s="9" t="s">
        <v>134</v>
      </c>
      <c r="AH2781" s="17">
        <v>45656</v>
      </c>
      <c r="AI2781" s="17"/>
      <c r="AJ2781" s="17"/>
      <c r="AK2781" s="9" t="s">
        <v>966</v>
      </c>
      <c r="AL2781" s="11">
        <v>687.5</v>
      </c>
      <c r="AN2781" s="9" t="s">
        <v>990</v>
      </c>
      <c r="AP2781" s="11"/>
      <c r="AQ2781" s="11"/>
      <c r="AR2781" s="11"/>
      <c r="AW2781" s="42">
        <v>45654</v>
      </c>
      <c r="AX2781" s="36">
        <v>3541</v>
      </c>
      <c r="AY2781" s="36"/>
      <c r="AZ2781" s="36"/>
      <c r="BA2781" s="93">
        <v>687.5</v>
      </c>
      <c r="BD2781" s="9"/>
      <c r="CS2781" s="11">
        <f t="shared" si="190"/>
        <v>687.5</v>
      </c>
      <c r="CT2781" s="22">
        <f t="shared" si="191"/>
        <v>687.5</v>
      </c>
      <c r="CU2781" s="22">
        <f t="shared" si="192"/>
        <v>0</v>
      </c>
      <c r="CV2781" s="26">
        <f t="shared" si="189"/>
        <v>0</v>
      </c>
    </row>
    <row r="2782" spans="1:100" x14ac:dyDescent="0.2">
      <c r="A2782" s="9" t="s">
        <v>614</v>
      </c>
      <c r="B2782" s="2">
        <v>14</v>
      </c>
      <c r="C2782" s="3" t="s">
        <v>95</v>
      </c>
      <c r="D2782" s="3" t="s">
        <v>96</v>
      </c>
      <c r="E2782" s="2"/>
      <c r="F2782" s="2"/>
      <c r="G2782" s="2" t="s">
        <v>67</v>
      </c>
      <c r="H2782" s="2">
        <v>2</v>
      </c>
      <c r="I2782" s="8">
        <v>123.74</v>
      </c>
      <c r="J2782" s="8">
        <v>37999</v>
      </c>
      <c r="K2782" s="3">
        <v>0</v>
      </c>
      <c r="L2782" s="3" t="s">
        <v>3</v>
      </c>
      <c r="M2782" s="9" t="s">
        <v>0</v>
      </c>
      <c r="N2782" s="9" t="s">
        <v>56</v>
      </c>
      <c r="O2782" s="9" t="s">
        <v>615</v>
      </c>
      <c r="S2782" s="9" t="s">
        <v>158</v>
      </c>
      <c r="T2782" s="10" t="s">
        <v>67</v>
      </c>
      <c r="U2782" s="10">
        <v>2</v>
      </c>
      <c r="V2782" s="10">
        <v>123.74</v>
      </c>
      <c r="W2782" s="10" t="s">
        <v>710</v>
      </c>
      <c r="X2782" s="17">
        <v>45539</v>
      </c>
      <c r="Y2782" s="17">
        <v>45539</v>
      </c>
      <c r="Z2782" s="19" t="s">
        <v>772</v>
      </c>
      <c r="AA2782" s="210">
        <v>38000</v>
      </c>
      <c r="AB2782" s="10">
        <v>49</v>
      </c>
      <c r="AC2782" s="10">
        <v>6</v>
      </c>
      <c r="AD2782" s="17">
        <v>45716</v>
      </c>
      <c r="AE2782" s="56">
        <v>687.5</v>
      </c>
      <c r="AF2782" s="56"/>
      <c r="AG2782" s="9" t="s">
        <v>134</v>
      </c>
      <c r="AH2782" s="17">
        <v>45656</v>
      </c>
      <c r="AI2782" s="17"/>
      <c r="AJ2782" s="17"/>
      <c r="AK2782" s="9" t="s">
        <v>967</v>
      </c>
      <c r="AL2782" s="11">
        <v>250</v>
      </c>
      <c r="AN2782" s="9" t="s">
        <v>991</v>
      </c>
      <c r="AO2782" s="11" t="s">
        <v>134</v>
      </c>
      <c r="AP2782" s="17">
        <v>45688</v>
      </c>
      <c r="AQ2782" s="17"/>
      <c r="AR2782" s="17"/>
      <c r="AS2782" s="9" t="s">
        <v>968</v>
      </c>
      <c r="AT2782" s="11">
        <v>437.5</v>
      </c>
      <c r="AV2782" s="9" t="s">
        <v>992</v>
      </c>
      <c r="AW2782" s="42">
        <v>45654</v>
      </c>
      <c r="AX2782" s="36">
        <v>3541</v>
      </c>
      <c r="AY2782" s="36"/>
      <c r="AZ2782" s="36"/>
      <c r="BA2782" s="93">
        <v>250</v>
      </c>
      <c r="BC2782" s="42">
        <v>45688</v>
      </c>
      <c r="BD2782" s="36">
        <v>3677</v>
      </c>
      <c r="BE2782" s="36"/>
      <c r="BF2782" s="36"/>
      <c r="BG2782" s="93">
        <v>437.5</v>
      </c>
      <c r="BH2782" s="93"/>
      <c r="CS2782" s="11">
        <f t="shared" si="190"/>
        <v>687.5</v>
      </c>
      <c r="CT2782" s="22">
        <f t="shared" si="191"/>
        <v>687.5</v>
      </c>
      <c r="CU2782" s="22">
        <f t="shared" si="192"/>
        <v>0</v>
      </c>
      <c r="CV2782" s="26">
        <f t="shared" si="189"/>
        <v>0</v>
      </c>
    </row>
    <row r="2783" spans="1:100" x14ac:dyDescent="0.2">
      <c r="A2783" s="9" t="s">
        <v>614</v>
      </c>
      <c r="B2783" s="2">
        <v>14</v>
      </c>
      <c r="C2783" s="3" t="s">
        <v>95</v>
      </c>
      <c r="D2783" s="3" t="s">
        <v>96</v>
      </c>
      <c r="E2783" s="2"/>
      <c r="F2783" s="2"/>
      <c r="G2783" s="2" t="s">
        <v>67</v>
      </c>
      <c r="H2783" s="2">
        <v>2</v>
      </c>
      <c r="I2783" s="8">
        <v>123.74</v>
      </c>
      <c r="J2783" s="8">
        <v>37999</v>
      </c>
      <c r="K2783" s="3">
        <v>0</v>
      </c>
      <c r="L2783" s="3" t="s">
        <v>3</v>
      </c>
      <c r="M2783" s="9" t="s">
        <v>0</v>
      </c>
      <c r="N2783" s="9" t="s">
        <v>56</v>
      </c>
      <c r="O2783" s="9" t="s">
        <v>615</v>
      </c>
      <c r="S2783" s="9" t="s">
        <v>158</v>
      </c>
      <c r="T2783" s="10" t="s">
        <v>67</v>
      </c>
      <c r="U2783" s="10">
        <v>2</v>
      </c>
      <c r="V2783" s="10">
        <v>123.74</v>
      </c>
      <c r="W2783" s="10" t="s">
        <v>710</v>
      </c>
      <c r="X2783" s="17">
        <v>45539</v>
      </c>
      <c r="Y2783" s="17">
        <v>45539</v>
      </c>
      <c r="Z2783" s="19" t="s">
        <v>772</v>
      </c>
      <c r="AA2783" s="210">
        <v>38000</v>
      </c>
      <c r="AB2783" s="10">
        <v>49</v>
      </c>
      <c r="AC2783" s="10">
        <v>7</v>
      </c>
      <c r="AD2783" s="17">
        <v>45746</v>
      </c>
      <c r="AE2783" s="56">
        <v>687.5</v>
      </c>
      <c r="AF2783" s="56"/>
      <c r="AG2783" s="9" t="s">
        <v>134</v>
      </c>
      <c r="AH2783" s="17">
        <v>45688</v>
      </c>
      <c r="AI2783" s="17"/>
      <c r="AJ2783" s="17"/>
      <c r="AK2783" s="9" t="s">
        <v>969</v>
      </c>
      <c r="AL2783" s="11">
        <v>562.5</v>
      </c>
      <c r="AN2783" s="9" t="s">
        <v>993</v>
      </c>
      <c r="AO2783" s="11" t="s">
        <v>134</v>
      </c>
      <c r="AP2783" s="17">
        <v>45727</v>
      </c>
      <c r="AQ2783" s="17"/>
      <c r="AR2783" s="17"/>
      <c r="AS2783" s="9" t="s">
        <v>970</v>
      </c>
      <c r="AT2783" s="11">
        <v>125</v>
      </c>
      <c r="AV2783" s="9" t="s">
        <v>994</v>
      </c>
      <c r="AW2783" s="42">
        <v>45688</v>
      </c>
      <c r="AX2783" s="36">
        <v>3677</v>
      </c>
      <c r="AY2783" s="36"/>
      <c r="AZ2783" s="36"/>
      <c r="BA2783" s="93">
        <v>562.5</v>
      </c>
      <c r="BC2783" s="42">
        <v>45726</v>
      </c>
      <c r="BD2783" s="36">
        <v>3860</v>
      </c>
      <c r="BE2783" s="36"/>
      <c r="BF2783" s="36"/>
      <c r="BG2783" s="93">
        <v>125</v>
      </c>
      <c r="BH2783" s="93"/>
      <c r="CS2783" s="11">
        <f t="shared" si="190"/>
        <v>687.5</v>
      </c>
      <c r="CT2783" s="22">
        <f t="shared" si="191"/>
        <v>687.5</v>
      </c>
      <c r="CU2783" s="22">
        <f t="shared" si="192"/>
        <v>0</v>
      </c>
      <c r="CV2783" s="26">
        <f t="shared" si="189"/>
        <v>0</v>
      </c>
    </row>
    <row r="2784" spans="1:100" x14ac:dyDescent="0.2">
      <c r="A2784" s="9" t="s">
        <v>614</v>
      </c>
      <c r="B2784" s="2">
        <v>14</v>
      </c>
      <c r="C2784" s="3" t="s">
        <v>95</v>
      </c>
      <c r="D2784" s="3" t="s">
        <v>96</v>
      </c>
      <c r="E2784" s="2"/>
      <c r="F2784" s="2"/>
      <c r="G2784" s="2" t="s">
        <v>67</v>
      </c>
      <c r="H2784" s="2">
        <v>2</v>
      </c>
      <c r="I2784" s="8">
        <v>123.74</v>
      </c>
      <c r="J2784" s="8">
        <v>37999</v>
      </c>
      <c r="K2784" s="3">
        <v>0</v>
      </c>
      <c r="L2784" s="3" t="s">
        <v>3</v>
      </c>
      <c r="M2784" s="9" t="s">
        <v>0</v>
      </c>
      <c r="N2784" s="9" t="s">
        <v>56</v>
      </c>
      <c r="O2784" s="9" t="s">
        <v>615</v>
      </c>
      <c r="S2784" s="9" t="s">
        <v>158</v>
      </c>
      <c r="T2784" s="10" t="s">
        <v>67</v>
      </c>
      <c r="U2784" s="10">
        <v>2</v>
      </c>
      <c r="V2784" s="10">
        <v>123.74</v>
      </c>
      <c r="W2784" s="10" t="s">
        <v>710</v>
      </c>
      <c r="X2784" s="17">
        <v>45539</v>
      </c>
      <c r="Y2784" s="17">
        <v>45539</v>
      </c>
      <c r="Z2784" s="19" t="s">
        <v>772</v>
      </c>
      <c r="AA2784" s="210">
        <v>38000</v>
      </c>
      <c r="AB2784" s="10">
        <v>49</v>
      </c>
      <c r="AC2784" s="10">
        <v>8</v>
      </c>
      <c r="AD2784" s="17">
        <v>45777</v>
      </c>
      <c r="AE2784" s="56">
        <v>687.5</v>
      </c>
      <c r="AF2784" s="56"/>
      <c r="AG2784" s="9" t="s">
        <v>134</v>
      </c>
      <c r="AH2784" s="17">
        <v>45727</v>
      </c>
      <c r="AI2784" s="17"/>
      <c r="AJ2784" s="17"/>
      <c r="AK2784" s="9" t="s">
        <v>971</v>
      </c>
      <c r="AL2784" s="11">
        <v>687.5</v>
      </c>
      <c r="AN2784" s="9" t="s">
        <v>995</v>
      </c>
      <c r="AP2784" s="11"/>
      <c r="AQ2784" s="11"/>
      <c r="AR2784" s="11"/>
      <c r="AW2784" s="42">
        <v>45726</v>
      </c>
      <c r="AX2784" s="36">
        <v>3860</v>
      </c>
      <c r="AY2784" s="36"/>
      <c r="AZ2784" s="36"/>
      <c r="BA2784" s="93">
        <v>687.5</v>
      </c>
      <c r="BD2784" s="9"/>
      <c r="CS2784" s="11">
        <f t="shared" si="190"/>
        <v>687.5</v>
      </c>
      <c r="CT2784" s="22">
        <f t="shared" si="191"/>
        <v>687.5</v>
      </c>
      <c r="CU2784" s="22">
        <f t="shared" si="192"/>
        <v>0</v>
      </c>
      <c r="CV2784" s="26">
        <f t="shared" si="189"/>
        <v>0</v>
      </c>
    </row>
    <row r="2785" spans="1:100" x14ac:dyDescent="0.2">
      <c r="A2785" s="9" t="s">
        <v>614</v>
      </c>
      <c r="B2785" s="2">
        <v>14</v>
      </c>
      <c r="C2785" s="3" t="s">
        <v>95</v>
      </c>
      <c r="D2785" s="3" t="s">
        <v>96</v>
      </c>
      <c r="E2785" s="2"/>
      <c r="F2785" s="2"/>
      <c r="G2785" s="2" t="s">
        <v>67</v>
      </c>
      <c r="H2785" s="2">
        <v>2</v>
      </c>
      <c r="I2785" s="8">
        <v>123.74</v>
      </c>
      <c r="J2785" s="8">
        <v>37999</v>
      </c>
      <c r="K2785" s="3">
        <v>0</v>
      </c>
      <c r="L2785" s="3" t="s">
        <v>3</v>
      </c>
      <c r="M2785" s="9" t="s">
        <v>0</v>
      </c>
      <c r="N2785" s="9" t="s">
        <v>56</v>
      </c>
      <c r="O2785" s="9" t="s">
        <v>615</v>
      </c>
      <c r="S2785" s="9" t="s">
        <v>158</v>
      </c>
      <c r="T2785" s="10" t="s">
        <v>67</v>
      </c>
      <c r="U2785" s="10">
        <v>2</v>
      </c>
      <c r="V2785" s="10">
        <v>123.74</v>
      </c>
      <c r="W2785" s="10" t="s">
        <v>710</v>
      </c>
      <c r="X2785" s="17">
        <v>45539</v>
      </c>
      <c r="Y2785" s="17">
        <v>45539</v>
      </c>
      <c r="Z2785" s="19" t="s">
        <v>772</v>
      </c>
      <c r="AA2785" s="210">
        <v>38000</v>
      </c>
      <c r="AB2785" s="10">
        <v>49</v>
      </c>
      <c r="AC2785" s="10">
        <v>9</v>
      </c>
      <c r="AD2785" s="17">
        <v>45807</v>
      </c>
      <c r="AE2785" s="56">
        <v>687.5</v>
      </c>
      <c r="AF2785" s="56"/>
      <c r="AG2785" s="9" t="s">
        <v>134</v>
      </c>
      <c r="AH2785" s="17">
        <v>45727</v>
      </c>
      <c r="AI2785" s="17"/>
      <c r="AJ2785" s="17"/>
      <c r="AK2785" s="9" t="s">
        <v>972</v>
      </c>
      <c r="AL2785" s="11">
        <v>187.5</v>
      </c>
      <c r="AN2785" s="9" t="s">
        <v>996</v>
      </c>
      <c r="AO2785" s="11" t="s">
        <v>134</v>
      </c>
      <c r="AP2785" s="17">
        <v>45768</v>
      </c>
      <c r="AQ2785" s="17"/>
      <c r="AR2785" s="17"/>
      <c r="AS2785" s="9" t="s">
        <v>973</v>
      </c>
      <c r="AT2785" s="11">
        <v>500</v>
      </c>
      <c r="AV2785" s="9" t="s">
        <v>997</v>
      </c>
      <c r="AW2785" s="42">
        <v>45726</v>
      </c>
      <c r="AX2785" s="36">
        <v>3860</v>
      </c>
      <c r="AY2785" s="36"/>
      <c r="AZ2785" s="36"/>
      <c r="BA2785" s="93">
        <v>187.5</v>
      </c>
      <c r="BC2785" s="42">
        <v>45758</v>
      </c>
      <c r="BD2785" s="36">
        <v>4005</v>
      </c>
      <c r="BE2785" s="36"/>
      <c r="BF2785" s="36"/>
      <c r="BG2785" s="93">
        <v>500</v>
      </c>
      <c r="BH2785" s="93"/>
      <c r="CS2785" s="11">
        <f t="shared" si="190"/>
        <v>687.5</v>
      </c>
      <c r="CT2785" s="22">
        <f t="shared" si="191"/>
        <v>687.5</v>
      </c>
      <c r="CU2785" s="22">
        <f t="shared" si="192"/>
        <v>0</v>
      </c>
      <c r="CV2785" s="26">
        <f t="shared" si="189"/>
        <v>0</v>
      </c>
    </row>
    <row r="2786" spans="1:100" x14ac:dyDescent="0.2">
      <c r="A2786" s="9" t="s">
        <v>614</v>
      </c>
      <c r="B2786" s="2">
        <v>14</v>
      </c>
      <c r="C2786" s="3" t="s">
        <v>95</v>
      </c>
      <c r="D2786" s="3" t="s">
        <v>96</v>
      </c>
      <c r="E2786" s="2"/>
      <c r="F2786" s="2"/>
      <c r="G2786" s="2" t="s">
        <v>67</v>
      </c>
      <c r="H2786" s="2">
        <v>2</v>
      </c>
      <c r="I2786" s="8">
        <v>123.74</v>
      </c>
      <c r="J2786" s="8">
        <v>37999</v>
      </c>
      <c r="K2786" s="3">
        <v>0</v>
      </c>
      <c r="L2786" s="3" t="s">
        <v>3</v>
      </c>
      <c r="M2786" s="9" t="s">
        <v>0</v>
      </c>
      <c r="N2786" s="9" t="s">
        <v>56</v>
      </c>
      <c r="O2786" s="9" t="s">
        <v>615</v>
      </c>
      <c r="S2786" s="9" t="s">
        <v>158</v>
      </c>
      <c r="T2786" s="10" t="s">
        <v>67</v>
      </c>
      <c r="U2786" s="10">
        <v>2</v>
      </c>
      <c r="V2786" s="10">
        <v>123.74</v>
      </c>
      <c r="W2786" s="10" t="s">
        <v>710</v>
      </c>
      <c r="X2786" s="17">
        <v>45539</v>
      </c>
      <c r="Y2786" s="17">
        <v>45539</v>
      </c>
      <c r="Z2786" s="19" t="s">
        <v>772</v>
      </c>
      <c r="AA2786" s="210">
        <v>38000</v>
      </c>
      <c r="AB2786" s="10">
        <v>49</v>
      </c>
      <c r="AC2786" s="10">
        <v>10</v>
      </c>
      <c r="AD2786" s="17">
        <v>45838</v>
      </c>
      <c r="AE2786" s="56">
        <v>687.5</v>
      </c>
      <c r="AF2786" s="56"/>
      <c r="AG2786" s="9" t="s">
        <v>134</v>
      </c>
      <c r="AH2786" s="17">
        <v>45768</v>
      </c>
      <c r="AI2786" s="17"/>
      <c r="AJ2786" s="17"/>
      <c r="AK2786" s="9" t="s">
        <v>974</v>
      </c>
      <c r="AL2786" s="11">
        <v>500</v>
      </c>
      <c r="AN2786" s="9" t="s">
        <v>998</v>
      </c>
      <c r="AO2786" s="11" t="s">
        <v>134</v>
      </c>
      <c r="AP2786" s="17">
        <v>45814</v>
      </c>
      <c r="AQ2786" s="17"/>
      <c r="AR2786" s="17"/>
      <c r="AS2786" s="9" t="s">
        <v>975</v>
      </c>
      <c r="AT2786" s="11">
        <v>187.5</v>
      </c>
      <c r="AV2786" s="9" t="s">
        <v>999</v>
      </c>
      <c r="AW2786" s="42">
        <v>45758</v>
      </c>
      <c r="AX2786" s="36">
        <v>4005</v>
      </c>
      <c r="AY2786" s="36"/>
      <c r="AZ2786" s="36"/>
      <c r="BA2786" s="93">
        <v>500</v>
      </c>
      <c r="BC2786" s="42">
        <v>45814</v>
      </c>
      <c r="BD2786" s="36">
        <v>4277</v>
      </c>
      <c r="BE2786" s="36"/>
      <c r="BF2786" s="36"/>
      <c r="BG2786" s="93">
        <v>187.5</v>
      </c>
      <c r="BH2786" s="93"/>
      <c r="CS2786" s="11">
        <f t="shared" si="190"/>
        <v>687.5</v>
      </c>
      <c r="CT2786" s="22">
        <f t="shared" si="191"/>
        <v>687.5</v>
      </c>
      <c r="CU2786" s="22">
        <f t="shared" si="192"/>
        <v>0</v>
      </c>
      <c r="CV2786" s="26">
        <f t="shared" si="189"/>
        <v>0</v>
      </c>
    </row>
    <row r="2787" spans="1:100" x14ac:dyDescent="0.2">
      <c r="A2787" s="9" t="s">
        <v>614</v>
      </c>
      <c r="B2787" s="2">
        <v>14</v>
      </c>
      <c r="C2787" s="3" t="s">
        <v>95</v>
      </c>
      <c r="D2787" s="3" t="s">
        <v>96</v>
      </c>
      <c r="E2787" s="2"/>
      <c r="F2787" s="2"/>
      <c r="G2787" s="2" t="s">
        <v>67</v>
      </c>
      <c r="H2787" s="2">
        <v>2</v>
      </c>
      <c r="I2787" s="8">
        <v>123.74</v>
      </c>
      <c r="J2787" s="8">
        <v>37999</v>
      </c>
      <c r="K2787" s="3">
        <v>0</v>
      </c>
      <c r="L2787" s="3" t="s">
        <v>3</v>
      </c>
      <c r="M2787" s="9" t="s">
        <v>0</v>
      </c>
      <c r="N2787" s="9" t="s">
        <v>56</v>
      </c>
      <c r="O2787" s="9" t="s">
        <v>615</v>
      </c>
      <c r="S2787" s="9" t="s">
        <v>158</v>
      </c>
      <c r="T2787" s="10" t="s">
        <v>67</v>
      </c>
      <c r="U2787" s="10">
        <v>2</v>
      </c>
      <c r="V2787" s="10">
        <v>123.74</v>
      </c>
      <c r="W2787" s="10" t="s">
        <v>710</v>
      </c>
      <c r="X2787" s="17">
        <v>45539</v>
      </c>
      <c r="Y2787" s="17">
        <v>45539</v>
      </c>
      <c r="Z2787" s="19" t="s">
        <v>772</v>
      </c>
      <c r="AA2787" s="210">
        <v>38000</v>
      </c>
      <c r="AB2787" s="10">
        <v>49</v>
      </c>
      <c r="AC2787" s="10">
        <v>11</v>
      </c>
      <c r="AD2787" s="17">
        <v>45868</v>
      </c>
      <c r="AE2787" s="56">
        <v>687.5</v>
      </c>
      <c r="AF2787" s="56"/>
      <c r="AG2787" s="9" t="s">
        <v>134</v>
      </c>
      <c r="AH2787" s="17">
        <v>45814</v>
      </c>
      <c r="AI2787" s="17"/>
      <c r="AJ2787" s="17"/>
      <c r="AK2787" s="9" t="s">
        <v>976</v>
      </c>
      <c r="AL2787" s="11">
        <v>687.5</v>
      </c>
      <c r="AN2787" s="9" t="s">
        <v>1000</v>
      </c>
      <c r="AP2787" s="11"/>
      <c r="AQ2787" s="11"/>
      <c r="AR2787" s="11"/>
      <c r="AW2787" s="42">
        <v>45814</v>
      </c>
      <c r="AX2787" s="36">
        <v>4277</v>
      </c>
      <c r="AY2787" s="36"/>
      <c r="AZ2787" s="36"/>
      <c r="BA2787" s="93">
        <v>687.5</v>
      </c>
      <c r="BD2787" s="9"/>
      <c r="CS2787" s="11">
        <f t="shared" si="190"/>
        <v>687.5</v>
      </c>
      <c r="CT2787" s="22">
        <f t="shared" si="191"/>
        <v>687.5</v>
      </c>
      <c r="CU2787" s="22">
        <f t="shared" si="192"/>
        <v>0</v>
      </c>
      <c r="CV2787" s="26">
        <f t="shared" si="189"/>
        <v>0</v>
      </c>
    </row>
    <row r="2788" spans="1:100" x14ac:dyDescent="0.2">
      <c r="A2788" s="9" t="s">
        <v>614</v>
      </c>
      <c r="B2788" s="2">
        <v>14</v>
      </c>
      <c r="C2788" s="3" t="s">
        <v>95</v>
      </c>
      <c r="D2788" s="3" t="s">
        <v>96</v>
      </c>
      <c r="E2788" s="2"/>
      <c r="F2788" s="2"/>
      <c r="G2788" s="2" t="s">
        <v>67</v>
      </c>
      <c r="H2788" s="2">
        <v>2</v>
      </c>
      <c r="I2788" s="8">
        <v>123.74</v>
      </c>
      <c r="J2788" s="8">
        <v>37999</v>
      </c>
      <c r="K2788" s="3">
        <v>0</v>
      </c>
      <c r="L2788" s="3" t="s">
        <v>3</v>
      </c>
      <c r="M2788" s="9" t="s">
        <v>0</v>
      </c>
      <c r="N2788" s="9" t="s">
        <v>56</v>
      </c>
      <c r="O2788" s="9" t="s">
        <v>615</v>
      </c>
      <c r="S2788" s="9" t="s">
        <v>158</v>
      </c>
      <c r="T2788" s="10" t="s">
        <v>67</v>
      </c>
      <c r="U2788" s="10">
        <v>2</v>
      </c>
      <c r="V2788" s="10">
        <v>123.74</v>
      </c>
      <c r="W2788" s="10" t="s">
        <v>710</v>
      </c>
      <c r="X2788" s="17">
        <v>45539</v>
      </c>
      <c r="Y2788" s="17">
        <v>45539</v>
      </c>
      <c r="Z2788" s="19" t="s">
        <v>772</v>
      </c>
      <c r="AA2788" s="210">
        <v>38000</v>
      </c>
      <c r="AB2788" s="10">
        <v>49</v>
      </c>
      <c r="AC2788" s="10">
        <v>12</v>
      </c>
      <c r="AD2788" s="17">
        <v>45899</v>
      </c>
      <c r="AE2788" s="56">
        <v>687.5</v>
      </c>
      <c r="AF2788" s="56"/>
      <c r="AG2788" s="9" t="s">
        <v>134</v>
      </c>
      <c r="AH2788" s="17">
        <v>45814</v>
      </c>
      <c r="AI2788" s="17"/>
      <c r="AJ2788" s="17"/>
      <c r="AK2788" s="9" t="s">
        <v>977</v>
      </c>
      <c r="AL2788" s="11">
        <v>125</v>
      </c>
      <c r="AN2788" s="9" t="s">
        <v>1001</v>
      </c>
      <c r="AO2788" s="11" t="s">
        <v>134</v>
      </c>
      <c r="AP2788" s="17">
        <v>45868</v>
      </c>
      <c r="AQ2788" s="17"/>
      <c r="AR2788" s="17"/>
      <c r="AS2788" s="9" t="s">
        <v>978</v>
      </c>
      <c r="AT2788" s="11">
        <v>562.5</v>
      </c>
      <c r="AV2788" s="9" t="s">
        <v>1002</v>
      </c>
      <c r="AW2788" s="42">
        <v>45814</v>
      </c>
      <c r="AX2788" s="36">
        <v>4277</v>
      </c>
      <c r="AY2788" s="36"/>
      <c r="AZ2788" s="36"/>
      <c r="BA2788" s="93">
        <v>125</v>
      </c>
      <c r="BC2788" s="42">
        <v>45863</v>
      </c>
      <c r="BD2788" s="36">
        <v>4471</v>
      </c>
      <c r="BE2788" s="36"/>
      <c r="BF2788" s="36"/>
      <c r="BG2788" s="93">
        <v>562.5</v>
      </c>
      <c r="BH2788" s="93"/>
      <c r="CS2788" s="11">
        <f t="shared" si="190"/>
        <v>687.5</v>
      </c>
      <c r="CT2788" s="22">
        <f t="shared" si="191"/>
        <v>687.5</v>
      </c>
      <c r="CU2788" s="22">
        <f t="shared" si="192"/>
        <v>0</v>
      </c>
      <c r="CV2788" s="26">
        <f t="shared" si="189"/>
        <v>0</v>
      </c>
    </row>
    <row r="2789" spans="1:100" x14ac:dyDescent="0.2">
      <c r="A2789" s="9" t="s">
        <v>614</v>
      </c>
      <c r="B2789" s="2">
        <v>14</v>
      </c>
      <c r="C2789" s="3" t="s">
        <v>95</v>
      </c>
      <c r="D2789" s="3" t="s">
        <v>96</v>
      </c>
      <c r="E2789" s="2"/>
      <c r="F2789" s="2"/>
      <c r="G2789" s="2" t="s">
        <v>67</v>
      </c>
      <c r="H2789" s="2">
        <v>2</v>
      </c>
      <c r="I2789" s="8">
        <v>123.74</v>
      </c>
      <c r="J2789" s="8">
        <v>37999</v>
      </c>
      <c r="K2789" s="3">
        <v>0</v>
      </c>
      <c r="L2789" s="3" t="s">
        <v>3</v>
      </c>
      <c r="M2789" s="9" t="s">
        <v>0</v>
      </c>
      <c r="N2789" s="9" t="s">
        <v>56</v>
      </c>
      <c r="O2789" s="9" t="s">
        <v>615</v>
      </c>
      <c r="S2789" s="9" t="s">
        <v>158</v>
      </c>
      <c r="T2789" s="10" t="s">
        <v>67</v>
      </c>
      <c r="U2789" s="10">
        <v>2</v>
      </c>
      <c r="V2789" s="10">
        <v>123.74</v>
      </c>
      <c r="W2789" s="10" t="s">
        <v>710</v>
      </c>
      <c r="X2789" s="17">
        <v>45539</v>
      </c>
      <c r="Y2789" s="17">
        <v>45539</v>
      </c>
      <c r="Z2789" s="19" t="s">
        <v>772</v>
      </c>
      <c r="AA2789" s="210">
        <v>38000</v>
      </c>
      <c r="AB2789" s="10">
        <v>49</v>
      </c>
      <c r="AC2789" s="10">
        <v>13</v>
      </c>
      <c r="AD2789" s="17">
        <v>45930</v>
      </c>
      <c r="AE2789" s="56">
        <v>687.5</v>
      </c>
      <c r="AF2789" s="56"/>
      <c r="AG2789" s="9" t="s">
        <v>134</v>
      </c>
      <c r="AH2789" s="17">
        <v>45868</v>
      </c>
      <c r="AI2789" s="17"/>
      <c r="AJ2789" s="17"/>
      <c r="AK2789" s="9" t="s">
        <v>979</v>
      </c>
      <c r="AL2789" s="11">
        <v>437.5</v>
      </c>
      <c r="AN2789" s="9" t="s">
        <v>1003</v>
      </c>
      <c r="AO2789" s="11" t="s">
        <v>134</v>
      </c>
      <c r="AP2789" s="17">
        <v>45901</v>
      </c>
      <c r="AQ2789" s="17"/>
      <c r="AR2789" s="17"/>
      <c r="AS2789" s="9" t="s">
        <v>980</v>
      </c>
      <c r="AT2789" s="11">
        <v>250</v>
      </c>
      <c r="AV2789" s="9" t="s">
        <v>1004</v>
      </c>
      <c r="AW2789" s="42">
        <v>45863</v>
      </c>
      <c r="AX2789" s="36">
        <v>4471</v>
      </c>
      <c r="AY2789" s="36"/>
      <c r="AZ2789" s="36"/>
      <c r="BA2789" s="93">
        <v>437.5</v>
      </c>
      <c r="BC2789" s="42">
        <v>45901</v>
      </c>
      <c r="BD2789" s="36">
        <v>4639</v>
      </c>
      <c r="BE2789" s="36"/>
      <c r="BF2789" s="36"/>
      <c r="BG2789" s="93">
        <v>250</v>
      </c>
      <c r="BH2789" s="93"/>
      <c r="CS2789" s="11">
        <f t="shared" si="190"/>
        <v>687.5</v>
      </c>
      <c r="CT2789" s="22">
        <f t="shared" si="191"/>
        <v>687.5</v>
      </c>
      <c r="CU2789" s="22">
        <f t="shared" si="192"/>
        <v>0</v>
      </c>
      <c r="CV2789" s="26">
        <f t="shared" si="189"/>
        <v>0</v>
      </c>
    </row>
    <row r="2790" spans="1:100" x14ac:dyDescent="0.2">
      <c r="A2790" s="9" t="s">
        <v>614</v>
      </c>
      <c r="B2790" s="2">
        <v>14</v>
      </c>
      <c r="C2790" s="3" t="s">
        <v>95</v>
      </c>
      <c r="D2790" s="3" t="s">
        <v>96</v>
      </c>
      <c r="E2790" s="2"/>
      <c r="F2790" s="2"/>
      <c r="G2790" s="2" t="s">
        <v>67</v>
      </c>
      <c r="H2790" s="2">
        <v>2</v>
      </c>
      <c r="I2790" s="8">
        <v>123.74</v>
      </c>
      <c r="J2790" s="8">
        <v>37999</v>
      </c>
      <c r="K2790" s="3">
        <v>0</v>
      </c>
      <c r="L2790" s="3" t="s">
        <v>3</v>
      </c>
      <c r="M2790" s="9" t="s">
        <v>0</v>
      </c>
      <c r="N2790" s="9" t="s">
        <v>56</v>
      </c>
      <c r="O2790" s="9" t="s">
        <v>615</v>
      </c>
      <c r="S2790" s="9" t="s">
        <v>158</v>
      </c>
      <c r="T2790" s="10" t="s">
        <v>67</v>
      </c>
      <c r="U2790" s="10">
        <v>2</v>
      </c>
      <c r="V2790" s="10">
        <v>123.74</v>
      </c>
      <c r="W2790" s="10" t="s">
        <v>710</v>
      </c>
      <c r="X2790" s="17">
        <v>45539</v>
      </c>
      <c r="Y2790" s="17">
        <v>45539</v>
      </c>
      <c r="Z2790" s="19" t="s">
        <v>772</v>
      </c>
      <c r="AA2790" s="210">
        <v>38000</v>
      </c>
      <c r="AB2790" s="10">
        <v>49</v>
      </c>
      <c r="AC2790" s="10">
        <v>14</v>
      </c>
      <c r="AD2790" s="17">
        <v>45960</v>
      </c>
      <c r="AE2790" s="56">
        <v>687.5</v>
      </c>
      <c r="AF2790" s="56"/>
      <c r="AG2790" s="9" t="s">
        <v>134</v>
      </c>
      <c r="AH2790" s="17">
        <v>45901</v>
      </c>
      <c r="AI2790" s="17"/>
      <c r="AJ2790" s="17"/>
      <c r="AK2790" s="9" t="s">
        <v>981</v>
      </c>
      <c r="AL2790" s="11">
        <v>687.5</v>
      </c>
      <c r="AN2790" s="9" t="s">
        <v>1005</v>
      </c>
      <c r="AP2790" s="11"/>
      <c r="AQ2790" s="11"/>
      <c r="AR2790" s="11"/>
      <c r="AW2790" s="42">
        <v>45901</v>
      </c>
      <c r="AX2790" s="36">
        <v>4639</v>
      </c>
      <c r="AY2790" s="36"/>
      <c r="AZ2790" s="36"/>
      <c r="BA2790" s="93">
        <v>687.5</v>
      </c>
      <c r="BD2790" s="9"/>
      <c r="CS2790" s="11">
        <f t="shared" si="190"/>
        <v>687.5</v>
      </c>
      <c r="CT2790" s="22">
        <f t="shared" si="191"/>
        <v>687.5</v>
      </c>
      <c r="CU2790" s="22">
        <f t="shared" si="192"/>
        <v>0</v>
      </c>
      <c r="CV2790" s="26">
        <f t="shared" si="189"/>
        <v>0</v>
      </c>
    </row>
    <row r="2791" spans="1:100" x14ac:dyDescent="0.2">
      <c r="A2791" s="9" t="s">
        <v>614</v>
      </c>
      <c r="B2791" s="2">
        <v>14</v>
      </c>
      <c r="C2791" s="3" t="s">
        <v>95</v>
      </c>
      <c r="D2791" s="3" t="s">
        <v>96</v>
      </c>
      <c r="E2791" s="2"/>
      <c r="F2791" s="2"/>
      <c r="G2791" s="2" t="s">
        <v>67</v>
      </c>
      <c r="H2791" s="2">
        <v>2</v>
      </c>
      <c r="I2791" s="8">
        <v>123.74</v>
      </c>
      <c r="J2791" s="8">
        <v>37999</v>
      </c>
      <c r="K2791" s="3">
        <v>0</v>
      </c>
      <c r="L2791" s="3" t="s">
        <v>3</v>
      </c>
      <c r="M2791" s="9" t="s">
        <v>0</v>
      </c>
      <c r="N2791" s="9" t="s">
        <v>56</v>
      </c>
      <c r="O2791" s="9" t="s">
        <v>615</v>
      </c>
      <c r="S2791" s="9" t="s">
        <v>158</v>
      </c>
      <c r="T2791" s="10" t="s">
        <v>67</v>
      </c>
      <c r="U2791" s="10">
        <v>2</v>
      </c>
      <c r="V2791" s="10">
        <v>123.74</v>
      </c>
      <c r="W2791" s="10" t="s">
        <v>710</v>
      </c>
      <c r="X2791" s="17">
        <v>45539</v>
      </c>
      <c r="Y2791" s="17">
        <v>45539</v>
      </c>
      <c r="Z2791" s="19" t="s">
        <v>772</v>
      </c>
      <c r="AA2791" s="210">
        <v>38000</v>
      </c>
      <c r="AB2791" s="10">
        <v>49</v>
      </c>
      <c r="AC2791" s="10">
        <v>15</v>
      </c>
      <c r="AD2791" s="17">
        <v>45991</v>
      </c>
      <c r="AE2791" s="56">
        <v>687.5</v>
      </c>
      <c r="AF2791" s="56"/>
      <c r="AG2791" s="9" t="s">
        <v>134</v>
      </c>
      <c r="AH2791" s="17">
        <v>45901</v>
      </c>
      <c r="AI2791" s="17"/>
      <c r="AJ2791" s="17"/>
      <c r="AK2791" s="9" t="s">
        <v>982</v>
      </c>
      <c r="AL2791" s="11">
        <v>62.5</v>
      </c>
      <c r="AN2791" s="9" t="s">
        <v>1006</v>
      </c>
      <c r="AP2791" s="11"/>
      <c r="AQ2791" s="11"/>
      <c r="AR2791" s="11"/>
      <c r="AW2791" s="42">
        <v>45901</v>
      </c>
      <c r="AX2791" s="36">
        <v>4639</v>
      </c>
      <c r="AY2791" s="36"/>
      <c r="AZ2791" s="36"/>
      <c r="BA2791" s="93">
        <v>62.5</v>
      </c>
      <c r="BD2791" s="9"/>
      <c r="CS2791" s="11">
        <f t="shared" si="190"/>
        <v>62.5</v>
      </c>
      <c r="CT2791" s="22">
        <f t="shared" si="191"/>
        <v>62.5</v>
      </c>
      <c r="CU2791" s="22">
        <f t="shared" si="192"/>
        <v>0</v>
      </c>
      <c r="CV2791" s="26">
        <f t="shared" si="189"/>
        <v>625</v>
      </c>
    </row>
    <row r="2792" spans="1:100" x14ac:dyDescent="0.2">
      <c r="A2792" s="9" t="s">
        <v>614</v>
      </c>
      <c r="B2792" s="2">
        <v>14</v>
      </c>
      <c r="C2792" s="3" t="s">
        <v>95</v>
      </c>
      <c r="D2792" s="3" t="s">
        <v>96</v>
      </c>
      <c r="E2792" s="2"/>
      <c r="F2792" s="2"/>
      <c r="G2792" s="2" t="s">
        <v>67</v>
      </c>
      <c r="H2792" s="2">
        <v>2</v>
      </c>
      <c r="I2792" s="8">
        <v>123.74</v>
      </c>
      <c r="J2792" s="8">
        <v>37999</v>
      </c>
      <c r="K2792" s="3">
        <v>0</v>
      </c>
      <c r="L2792" s="3" t="s">
        <v>3</v>
      </c>
      <c r="M2792" s="9" t="s">
        <v>0</v>
      </c>
      <c r="N2792" s="9" t="s">
        <v>56</v>
      </c>
      <c r="O2792" s="9" t="s">
        <v>615</v>
      </c>
      <c r="S2792" s="9" t="s">
        <v>158</v>
      </c>
      <c r="T2792" s="10" t="s">
        <v>67</v>
      </c>
      <c r="U2792" s="10">
        <v>2</v>
      </c>
      <c r="V2792" s="10">
        <v>123.74</v>
      </c>
      <c r="W2792" s="10" t="s">
        <v>710</v>
      </c>
      <c r="X2792" s="17">
        <v>45539</v>
      </c>
      <c r="Y2792" s="17">
        <v>45539</v>
      </c>
      <c r="Z2792" s="19" t="s">
        <v>772</v>
      </c>
      <c r="AA2792" s="210">
        <v>38000</v>
      </c>
      <c r="AB2792" s="10">
        <v>49</v>
      </c>
      <c r="AC2792" s="10">
        <v>16</v>
      </c>
      <c r="AD2792" s="17">
        <v>46021</v>
      </c>
      <c r="AE2792" s="56">
        <v>687.5</v>
      </c>
      <c r="AF2792" s="56"/>
      <c r="AL2792" s="9"/>
      <c r="AM2792" s="9"/>
      <c r="AN2792" s="9"/>
      <c r="AP2792" s="11"/>
      <c r="AQ2792" s="11"/>
      <c r="AR2792" s="11"/>
      <c r="AW2792" s="9"/>
      <c r="BD2792" s="9"/>
      <c r="CS2792" s="11">
        <f t="shared" si="190"/>
        <v>0</v>
      </c>
      <c r="CT2792" s="22">
        <f t="shared" si="191"/>
        <v>0</v>
      </c>
      <c r="CU2792" s="22">
        <f t="shared" si="192"/>
        <v>0</v>
      </c>
      <c r="CV2792" s="26">
        <f t="shared" si="189"/>
        <v>687.5</v>
      </c>
    </row>
    <row r="2793" spans="1:100" x14ac:dyDescent="0.2">
      <c r="A2793" s="9" t="s">
        <v>614</v>
      </c>
      <c r="B2793" s="2">
        <v>14</v>
      </c>
      <c r="C2793" s="3" t="s">
        <v>95</v>
      </c>
      <c r="D2793" s="3" t="s">
        <v>96</v>
      </c>
      <c r="E2793" s="2"/>
      <c r="F2793" s="2"/>
      <c r="G2793" s="2" t="s">
        <v>67</v>
      </c>
      <c r="H2793" s="2">
        <v>2</v>
      </c>
      <c r="I2793" s="8">
        <v>123.74</v>
      </c>
      <c r="J2793" s="8">
        <v>37999</v>
      </c>
      <c r="K2793" s="3">
        <v>0</v>
      </c>
      <c r="L2793" s="3" t="s">
        <v>3</v>
      </c>
      <c r="M2793" s="9" t="s">
        <v>0</v>
      </c>
      <c r="N2793" s="9" t="s">
        <v>56</v>
      </c>
      <c r="O2793" s="9" t="s">
        <v>615</v>
      </c>
      <c r="S2793" s="9" t="s">
        <v>158</v>
      </c>
      <c r="T2793" s="10" t="s">
        <v>67</v>
      </c>
      <c r="U2793" s="10">
        <v>2</v>
      </c>
      <c r="V2793" s="10">
        <v>123.74</v>
      </c>
      <c r="W2793" s="10" t="s">
        <v>710</v>
      </c>
      <c r="X2793" s="17">
        <v>45539</v>
      </c>
      <c r="Y2793" s="17">
        <v>45539</v>
      </c>
      <c r="Z2793" s="19" t="s">
        <v>772</v>
      </c>
      <c r="AA2793" s="210">
        <v>38000</v>
      </c>
      <c r="AB2793" s="10">
        <v>49</v>
      </c>
      <c r="AC2793" s="10">
        <v>17</v>
      </c>
      <c r="AD2793" s="17">
        <v>46052</v>
      </c>
      <c r="AE2793" s="56">
        <v>687.5</v>
      </c>
      <c r="AF2793" s="56"/>
      <c r="AL2793" s="9"/>
      <c r="AM2793" s="9"/>
      <c r="AN2793" s="9"/>
      <c r="AP2793" s="11"/>
      <c r="AQ2793" s="11"/>
      <c r="AR2793" s="11"/>
      <c r="AW2793" s="9"/>
      <c r="BD2793" s="9"/>
      <c r="CS2793" s="11">
        <f t="shared" si="190"/>
        <v>0</v>
      </c>
      <c r="CT2793" s="22">
        <f t="shared" si="191"/>
        <v>0</v>
      </c>
      <c r="CU2793" s="22">
        <f t="shared" si="192"/>
        <v>0</v>
      </c>
      <c r="CV2793" s="26">
        <f t="shared" si="189"/>
        <v>687.5</v>
      </c>
    </row>
    <row r="2794" spans="1:100" x14ac:dyDescent="0.2">
      <c r="A2794" s="9" t="s">
        <v>614</v>
      </c>
      <c r="B2794" s="2">
        <v>14</v>
      </c>
      <c r="C2794" s="3" t="s">
        <v>95</v>
      </c>
      <c r="D2794" s="3" t="s">
        <v>96</v>
      </c>
      <c r="E2794" s="2"/>
      <c r="F2794" s="2"/>
      <c r="G2794" s="2" t="s">
        <v>67</v>
      </c>
      <c r="H2794" s="2">
        <v>2</v>
      </c>
      <c r="I2794" s="8">
        <v>123.74</v>
      </c>
      <c r="J2794" s="8">
        <v>37999</v>
      </c>
      <c r="K2794" s="3">
        <v>0</v>
      </c>
      <c r="L2794" s="3" t="s">
        <v>3</v>
      </c>
      <c r="M2794" s="9" t="s">
        <v>0</v>
      </c>
      <c r="N2794" s="9" t="s">
        <v>56</v>
      </c>
      <c r="O2794" s="9" t="s">
        <v>615</v>
      </c>
      <c r="S2794" s="9" t="s">
        <v>158</v>
      </c>
      <c r="T2794" s="10" t="s">
        <v>67</v>
      </c>
      <c r="U2794" s="10">
        <v>2</v>
      </c>
      <c r="V2794" s="10">
        <v>123.74</v>
      </c>
      <c r="W2794" s="10" t="s">
        <v>710</v>
      </c>
      <c r="X2794" s="17">
        <v>45539</v>
      </c>
      <c r="Y2794" s="17">
        <v>45539</v>
      </c>
      <c r="Z2794" s="19" t="s">
        <v>772</v>
      </c>
      <c r="AA2794" s="210">
        <v>38000</v>
      </c>
      <c r="AB2794" s="10">
        <v>49</v>
      </c>
      <c r="AC2794" s="10">
        <v>18</v>
      </c>
      <c r="AD2794" s="17">
        <v>46081</v>
      </c>
      <c r="AE2794" s="56">
        <v>687.5</v>
      </c>
      <c r="AF2794" s="56"/>
      <c r="AL2794" s="9"/>
      <c r="AM2794" s="9"/>
      <c r="AN2794" s="9"/>
      <c r="AP2794" s="11"/>
      <c r="AQ2794" s="11"/>
      <c r="AR2794" s="11"/>
      <c r="AW2794" s="9"/>
      <c r="BD2794" s="9"/>
      <c r="CS2794" s="11">
        <f t="shared" si="190"/>
        <v>0</v>
      </c>
      <c r="CT2794" s="22">
        <f t="shared" si="191"/>
        <v>0</v>
      </c>
      <c r="CU2794" s="22">
        <f t="shared" si="192"/>
        <v>0</v>
      </c>
      <c r="CV2794" s="26">
        <f t="shared" si="189"/>
        <v>687.5</v>
      </c>
    </row>
    <row r="2795" spans="1:100" x14ac:dyDescent="0.2">
      <c r="A2795" s="9" t="s">
        <v>614</v>
      </c>
      <c r="B2795" s="2">
        <v>14</v>
      </c>
      <c r="C2795" s="3" t="s">
        <v>95</v>
      </c>
      <c r="D2795" s="3" t="s">
        <v>96</v>
      </c>
      <c r="E2795" s="2"/>
      <c r="F2795" s="2"/>
      <c r="G2795" s="2" t="s">
        <v>67</v>
      </c>
      <c r="H2795" s="2">
        <v>2</v>
      </c>
      <c r="I2795" s="8">
        <v>123.74</v>
      </c>
      <c r="J2795" s="8">
        <v>37999</v>
      </c>
      <c r="K2795" s="3">
        <v>0</v>
      </c>
      <c r="L2795" s="3" t="s">
        <v>3</v>
      </c>
      <c r="M2795" s="9" t="s">
        <v>0</v>
      </c>
      <c r="N2795" s="9" t="s">
        <v>56</v>
      </c>
      <c r="O2795" s="9" t="s">
        <v>615</v>
      </c>
      <c r="S2795" s="9" t="s">
        <v>158</v>
      </c>
      <c r="T2795" s="10" t="s">
        <v>67</v>
      </c>
      <c r="U2795" s="10">
        <v>2</v>
      </c>
      <c r="V2795" s="10">
        <v>123.74</v>
      </c>
      <c r="W2795" s="10" t="s">
        <v>710</v>
      </c>
      <c r="X2795" s="17">
        <v>45539</v>
      </c>
      <c r="Y2795" s="17">
        <v>45539</v>
      </c>
      <c r="Z2795" s="19" t="s">
        <v>772</v>
      </c>
      <c r="AA2795" s="210">
        <v>38000</v>
      </c>
      <c r="AB2795" s="10">
        <v>49</v>
      </c>
      <c r="AC2795" s="10">
        <v>19</v>
      </c>
      <c r="AD2795" s="17">
        <v>46111</v>
      </c>
      <c r="AE2795" s="56">
        <v>687.5</v>
      </c>
      <c r="AF2795" s="56"/>
      <c r="AL2795" s="9"/>
      <c r="AM2795" s="9"/>
      <c r="AN2795" s="9"/>
      <c r="AP2795" s="11"/>
      <c r="AQ2795" s="11"/>
      <c r="AR2795" s="11"/>
      <c r="AW2795" s="17"/>
      <c r="AX2795" s="86"/>
      <c r="BD2795" s="9"/>
      <c r="CS2795" s="11">
        <f t="shared" si="190"/>
        <v>0</v>
      </c>
      <c r="CT2795" s="22">
        <f t="shared" si="191"/>
        <v>0</v>
      </c>
      <c r="CU2795" s="22">
        <f t="shared" si="192"/>
        <v>0</v>
      </c>
      <c r="CV2795" s="26">
        <f t="shared" si="189"/>
        <v>687.5</v>
      </c>
    </row>
    <row r="2796" spans="1:100" x14ac:dyDescent="0.2">
      <c r="A2796" s="9" t="s">
        <v>614</v>
      </c>
      <c r="B2796" s="2">
        <v>14</v>
      </c>
      <c r="C2796" s="3" t="s">
        <v>95</v>
      </c>
      <c r="D2796" s="3" t="s">
        <v>96</v>
      </c>
      <c r="E2796" s="2"/>
      <c r="F2796" s="2"/>
      <c r="G2796" s="2" t="s">
        <v>67</v>
      </c>
      <c r="H2796" s="2">
        <v>2</v>
      </c>
      <c r="I2796" s="8">
        <v>123.74</v>
      </c>
      <c r="J2796" s="8">
        <v>37999</v>
      </c>
      <c r="K2796" s="3">
        <v>0</v>
      </c>
      <c r="L2796" s="3" t="s">
        <v>3</v>
      </c>
      <c r="M2796" s="9" t="s">
        <v>0</v>
      </c>
      <c r="N2796" s="9" t="s">
        <v>56</v>
      </c>
      <c r="O2796" s="9" t="s">
        <v>615</v>
      </c>
      <c r="S2796" s="9" t="s">
        <v>158</v>
      </c>
      <c r="T2796" s="10" t="s">
        <v>67</v>
      </c>
      <c r="U2796" s="10">
        <v>2</v>
      </c>
      <c r="V2796" s="10">
        <v>123.74</v>
      </c>
      <c r="W2796" s="10" t="s">
        <v>710</v>
      </c>
      <c r="X2796" s="17">
        <v>45539</v>
      </c>
      <c r="Y2796" s="17">
        <v>45539</v>
      </c>
      <c r="Z2796" s="19" t="s">
        <v>772</v>
      </c>
      <c r="AA2796" s="210">
        <v>38000</v>
      </c>
      <c r="AB2796" s="10">
        <v>49</v>
      </c>
      <c r="AC2796" s="10">
        <v>20</v>
      </c>
      <c r="AD2796" s="17">
        <v>46142</v>
      </c>
      <c r="AE2796" s="56">
        <v>687.5</v>
      </c>
      <c r="AF2796" s="56"/>
      <c r="AL2796" s="9"/>
      <c r="AM2796" s="9"/>
      <c r="AN2796" s="9"/>
      <c r="AP2796" s="11"/>
      <c r="AQ2796" s="11"/>
      <c r="AR2796" s="11"/>
      <c r="AW2796" s="9"/>
      <c r="BD2796" s="9"/>
      <c r="CS2796" s="11">
        <f t="shared" si="190"/>
        <v>0</v>
      </c>
      <c r="CT2796" s="22">
        <f t="shared" si="191"/>
        <v>0</v>
      </c>
      <c r="CU2796" s="22">
        <f t="shared" si="192"/>
        <v>0</v>
      </c>
      <c r="CV2796" s="26">
        <f t="shared" si="189"/>
        <v>687.5</v>
      </c>
    </row>
    <row r="2797" spans="1:100" x14ac:dyDescent="0.2">
      <c r="A2797" s="9" t="s">
        <v>614</v>
      </c>
      <c r="B2797" s="2">
        <v>14</v>
      </c>
      <c r="C2797" s="3" t="s">
        <v>95</v>
      </c>
      <c r="D2797" s="3" t="s">
        <v>96</v>
      </c>
      <c r="E2797" s="2"/>
      <c r="F2797" s="2"/>
      <c r="G2797" s="2" t="s">
        <v>67</v>
      </c>
      <c r="H2797" s="2">
        <v>2</v>
      </c>
      <c r="I2797" s="8">
        <v>123.74</v>
      </c>
      <c r="J2797" s="8">
        <v>37999</v>
      </c>
      <c r="K2797" s="3">
        <v>0</v>
      </c>
      <c r="L2797" s="3" t="s">
        <v>3</v>
      </c>
      <c r="M2797" s="9" t="s">
        <v>0</v>
      </c>
      <c r="N2797" s="9" t="s">
        <v>56</v>
      </c>
      <c r="O2797" s="9" t="s">
        <v>615</v>
      </c>
      <c r="S2797" s="9" t="s">
        <v>158</v>
      </c>
      <c r="T2797" s="10" t="s">
        <v>67</v>
      </c>
      <c r="U2797" s="10">
        <v>2</v>
      </c>
      <c r="V2797" s="10">
        <v>123.74</v>
      </c>
      <c r="W2797" s="10" t="s">
        <v>710</v>
      </c>
      <c r="X2797" s="17">
        <v>45539</v>
      </c>
      <c r="Y2797" s="17">
        <v>45539</v>
      </c>
      <c r="Z2797" s="19" t="s">
        <v>772</v>
      </c>
      <c r="AA2797" s="210">
        <v>38000</v>
      </c>
      <c r="AB2797" s="10">
        <v>49</v>
      </c>
      <c r="AC2797" s="10">
        <v>21</v>
      </c>
      <c r="AD2797" s="17">
        <v>46172</v>
      </c>
      <c r="AE2797" s="56">
        <v>687.5</v>
      </c>
      <c r="AF2797" s="56"/>
      <c r="AL2797" s="9"/>
      <c r="AM2797" s="9"/>
      <c r="AN2797" s="9"/>
      <c r="AP2797" s="11"/>
      <c r="AQ2797" s="11"/>
      <c r="AR2797" s="11"/>
      <c r="AW2797" s="9"/>
      <c r="BD2797" s="9"/>
      <c r="CS2797" s="11">
        <f t="shared" si="190"/>
        <v>0</v>
      </c>
      <c r="CT2797" s="22">
        <f t="shared" si="191"/>
        <v>0</v>
      </c>
      <c r="CU2797" s="22">
        <f t="shared" si="192"/>
        <v>0</v>
      </c>
      <c r="CV2797" s="26">
        <f t="shared" si="189"/>
        <v>687.5</v>
      </c>
    </row>
    <row r="2798" spans="1:100" x14ac:dyDescent="0.2">
      <c r="A2798" s="9" t="s">
        <v>614</v>
      </c>
      <c r="B2798" s="2">
        <v>14</v>
      </c>
      <c r="C2798" s="3" t="s">
        <v>95</v>
      </c>
      <c r="D2798" s="3" t="s">
        <v>96</v>
      </c>
      <c r="E2798" s="2"/>
      <c r="F2798" s="2"/>
      <c r="G2798" s="2" t="s">
        <v>67</v>
      </c>
      <c r="H2798" s="2">
        <v>2</v>
      </c>
      <c r="I2798" s="8">
        <v>123.74</v>
      </c>
      <c r="J2798" s="8">
        <v>37999</v>
      </c>
      <c r="K2798" s="3">
        <v>0</v>
      </c>
      <c r="L2798" s="3" t="s">
        <v>3</v>
      </c>
      <c r="M2798" s="9" t="s">
        <v>0</v>
      </c>
      <c r="N2798" s="9" t="s">
        <v>56</v>
      </c>
      <c r="O2798" s="9" t="s">
        <v>615</v>
      </c>
      <c r="S2798" s="9" t="s">
        <v>158</v>
      </c>
      <c r="T2798" s="10" t="s">
        <v>67</v>
      </c>
      <c r="U2798" s="10">
        <v>2</v>
      </c>
      <c r="V2798" s="10">
        <v>123.74</v>
      </c>
      <c r="W2798" s="10" t="s">
        <v>710</v>
      </c>
      <c r="X2798" s="17">
        <v>45539</v>
      </c>
      <c r="Y2798" s="17">
        <v>45539</v>
      </c>
      <c r="Z2798" s="19" t="s">
        <v>772</v>
      </c>
      <c r="AA2798" s="210">
        <v>38000</v>
      </c>
      <c r="AB2798" s="10">
        <v>49</v>
      </c>
      <c r="AC2798" s="10">
        <v>22</v>
      </c>
      <c r="AD2798" s="17">
        <v>46203</v>
      </c>
      <c r="AE2798" s="56">
        <v>687.5</v>
      </c>
      <c r="AF2798" s="56"/>
      <c r="AL2798" s="9"/>
      <c r="AM2798" s="9"/>
      <c r="AN2798" s="9"/>
      <c r="AP2798" s="11"/>
      <c r="AQ2798" s="11"/>
      <c r="AR2798" s="11"/>
      <c r="AW2798" s="9"/>
      <c r="BD2798" s="9"/>
      <c r="CS2798" s="11">
        <f t="shared" si="190"/>
        <v>0</v>
      </c>
      <c r="CT2798" s="22">
        <f t="shared" si="191"/>
        <v>0</v>
      </c>
      <c r="CU2798" s="22">
        <f t="shared" si="192"/>
        <v>0</v>
      </c>
      <c r="CV2798" s="26">
        <f t="shared" si="189"/>
        <v>687.5</v>
      </c>
    </row>
    <row r="2799" spans="1:100" x14ac:dyDescent="0.2">
      <c r="A2799" s="9" t="s">
        <v>614</v>
      </c>
      <c r="B2799" s="2">
        <v>14</v>
      </c>
      <c r="C2799" s="3" t="s">
        <v>95</v>
      </c>
      <c r="D2799" s="3" t="s">
        <v>96</v>
      </c>
      <c r="E2799" s="2"/>
      <c r="F2799" s="2"/>
      <c r="G2799" s="2" t="s">
        <v>67</v>
      </c>
      <c r="H2799" s="2">
        <v>2</v>
      </c>
      <c r="I2799" s="8">
        <v>123.74</v>
      </c>
      <c r="J2799" s="8">
        <v>37999</v>
      </c>
      <c r="K2799" s="3">
        <v>0</v>
      </c>
      <c r="L2799" s="3" t="s">
        <v>3</v>
      </c>
      <c r="M2799" s="9" t="s">
        <v>0</v>
      </c>
      <c r="N2799" s="9" t="s">
        <v>56</v>
      </c>
      <c r="O2799" s="9" t="s">
        <v>615</v>
      </c>
      <c r="S2799" s="9" t="s">
        <v>158</v>
      </c>
      <c r="T2799" s="10" t="s">
        <v>67</v>
      </c>
      <c r="U2799" s="10">
        <v>2</v>
      </c>
      <c r="V2799" s="10">
        <v>123.74</v>
      </c>
      <c r="W2799" s="10" t="s">
        <v>710</v>
      </c>
      <c r="X2799" s="17">
        <v>45539</v>
      </c>
      <c r="Y2799" s="17">
        <v>45539</v>
      </c>
      <c r="Z2799" s="19" t="s">
        <v>772</v>
      </c>
      <c r="AA2799" s="210">
        <v>38000</v>
      </c>
      <c r="AB2799" s="10">
        <v>49</v>
      </c>
      <c r="AC2799" s="10">
        <v>23</v>
      </c>
      <c r="AD2799" s="17">
        <v>46233</v>
      </c>
      <c r="AE2799" s="56">
        <v>687.5</v>
      </c>
      <c r="AF2799" s="56"/>
      <c r="AL2799" s="9"/>
      <c r="AM2799" s="9"/>
      <c r="AN2799" s="9"/>
      <c r="AP2799" s="11"/>
      <c r="AQ2799" s="11"/>
      <c r="AR2799" s="11"/>
      <c r="AW2799" s="9"/>
      <c r="BD2799" s="9"/>
      <c r="CS2799" s="11">
        <f t="shared" si="190"/>
        <v>0</v>
      </c>
      <c r="CT2799" s="22">
        <f t="shared" si="191"/>
        <v>0</v>
      </c>
      <c r="CU2799" s="22">
        <f t="shared" si="192"/>
        <v>0</v>
      </c>
      <c r="CV2799" s="26">
        <f t="shared" si="189"/>
        <v>687.5</v>
      </c>
    </row>
    <row r="2800" spans="1:100" x14ac:dyDescent="0.2">
      <c r="A2800" s="9" t="s">
        <v>614</v>
      </c>
      <c r="B2800" s="2">
        <v>14</v>
      </c>
      <c r="C2800" s="3" t="s">
        <v>95</v>
      </c>
      <c r="D2800" s="3" t="s">
        <v>96</v>
      </c>
      <c r="E2800" s="2"/>
      <c r="F2800" s="2"/>
      <c r="G2800" s="2" t="s">
        <v>67</v>
      </c>
      <c r="H2800" s="2">
        <v>2</v>
      </c>
      <c r="I2800" s="8">
        <v>123.74</v>
      </c>
      <c r="J2800" s="8">
        <v>37999</v>
      </c>
      <c r="K2800" s="3">
        <v>0</v>
      </c>
      <c r="L2800" s="3" t="s">
        <v>3</v>
      </c>
      <c r="M2800" s="9" t="s">
        <v>0</v>
      </c>
      <c r="N2800" s="9" t="s">
        <v>56</v>
      </c>
      <c r="O2800" s="9" t="s">
        <v>615</v>
      </c>
      <c r="S2800" s="9" t="s">
        <v>158</v>
      </c>
      <c r="T2800" s="10" t="s">
        <v>67</v>
      </c>
      <c r="U2800" s="10">
        <v>2</v>
      </c>
      <c r="V2800" s="10">
        <v>123.74</v>
      </c>
      <c r="W2800" s="10" t="s">
        <v>710</v>
      </c>
      <c r="X2800" s="17">
        <v>45539</v>
      </c>
      <c r="Y2800" s="17">
        <v>45539</v>
      </c>
      <c r="Z2800" s="19" t="s">
        <v>772</v>
      </c>
      <c r="AA2800" s="210">
        <v>38000</v>
      </c>
      <c r="AB2800" s="10">
        <v>49</v>
      </c>
      <c r="AC2800" s="10">
        <v>24</v>
      </c>
      <c r="AD2800" s="17">
        <v>46264</v>
      </c>
      <c r="AE2800" s="56">
        <v>687.5</v>
      </c>
      <c r="AF2800" s="56"/>
      <c r="AH2800" s="17"/>
      <c r="AI2800" s="17"/>
      <c r="AJ2800" s="17"/>
      <c r="AN2800" s="9"/>
      <c r="AP2800" s="11"/>
      <c r="AQ2800" s="11"/>
      <c r="AR2800" s="11"/>
      <c r="AW2800" s="9"/>
      <c r="BD2800" s="9"/>
      <c r="CS2800" s="11">
        <f t="shared" si="190"/>
        <v>0</v>
      </c>
      <c r="CT2800" s="22">
        <f t="shared" si="191"/>
        <v>0</v>
      </c>
      <c r="CU2800" s="22">
        <f t="shared" si="192"/>
        <v>0</v>
      </c>
      <c r="CV2800" s="26">
        <f t="shared" si="189"/>
        <v>687.5</v>
      </c>
    </row>
    <row r="2801" spans="1:100" x14ac:dyDescent="0.2">
      <c r="A2801" s="9" t="s">
        <v>614</v>
      </c>
      <c r="B2801" s="2">
        <v>14</v>
      </c>
      <c r="C2801" s="3" t="s">
        <v>95</v>
      </c>
      <c r="D2801" s="3" t="s">
        <v>96</v>
      </c>
      <c r="E2801" s="2"/>
      <c r="F2801" s="2"/>
      <c r="G2801" s="2" t="s">
        <v>67</v>
      </c>
      <c r="H2801" s="2">
        <v>2</v>
      </c>
      <c r="I2801" s="8">
        <v>123.74</v>
      </c>
      <c r="J2801" s="8">
        <v>37999</v>
      </c>
      <c r="K2801" s="3">
        <v>0</v>
      </c>
      <c r="L2801" s="3" t="s">
        <v>3</v>
      </c>
      <c r="M2801" s="9" t="s">
        <v>0</v>
      </c>
      <c r="N2801" s="9" t="s">
        <v>56</v>
      </c>
      <c r="O2801" s="9" t="s">
        <v>615</v>
      </c>
      <c r="S2801" s="9" t="s">
        <v>158</v>
      </c>
      <c r="T2801" s="10" t="s">
        <v>67</v>
      </c>
      <c r="U2801" s="10">
        <v>2</v>
      </c>
      <c r="V2801" s="10">
        <v>123.74</v>
      </c>
      <c r="W2801" s="10" t="s">
        <v>710</v>
      </c>
      <c r="X2801" s="17">
        <v>45539</v>
      </c>
      <c r="Y2801" s="17">
        <v>45539</v>
      </c>
      <c r="Z2801" s="19" t="s">
        <v>772</v>
      </c>
      <c r="AA2801" s="210">
        <v>38000</v>
      </c>
      <c r="AB2801" s="10">
        <v>49</v>
      </c>
      <c r="AC2801" s="10">
        <v>25</v>
      </c>
      <c r="AD2801" s="17">
        <v>46295</v>
      </c>
      <c r="AE2801" s="56">
        <v>687.5</v>
      </c>
      <c r="AF2801" s="56"/>
      <c r="AH2801" s="17"/>
      <c r="AI2801" s="17"/>
      <c r="AJ2801" s="17"/>
      <c r="AN2801" s="9"/>
      <c r="AP2801" s="11"/>
      <c r="AQ2801" s="11"/>
      <c r="AR2801" s="11"/>
      <c r="AW2801" s="9"/>
      <c r="BD2801" s="9"/>
      <c r="CS2801" s="11">
        <f t="shared" si="190"/>
        <v>0</v>
      </c>
      <c r="CT2801" s="22">
        <f t="shared" si="191"/>
        <v>0</v>
      </c>
      <c r="CU2801" s="22">
        <f t="shared" si="192"/>
        <v>0</v>
      </c>
      <c r="CV2801" s="26">
        <f t="shared" si="189"/>
        <v>687.5</v>
      </c>
    </row>
    <row r="2802" spans="1:100" x14ac:dyDescent="0.2">
      <c r="A2802" s="9" t="s">
        <v>614</v>
      </c>
      <c r="B2802" s="2">
        <v>14</v>
      </c>
      <c r="C2802" s="3" t="s">
        <v>95</v>
      </c>
      <c r="D2802" s="3" t="s">
        <v>96</v>
      </c>
      <c r="E2802" s="2"/>
      <c r="F2802" s="2"/>
      <c r="G2802" s="2" t="s">
        <v>67</v>
      </c>
      <c r="H2802" s="2">
        <v>2</v>
      </c>
      <c r="I2802" s="8">
        <v>123.74</v>
      </c>
      <c r="J2802" s="8">
        <v>37999</v>
      </c>
      <c r="K2802" s="3">
        <v>0</v>
      </c>
      <c r="L2802" s="3" t="s">
        <v>3</v>
      </c>
      <c r="M2802" s="9" t="s">
        <v>0</v>
      </c>
      <c r="N2802" s="9" t="s">
        <v>56</v>
      </c>
      <c r="O2802" s="9" t="s">
        <v>615</v>
      </c>
      <c r="S2802" s="9" t="s">
        <v>158</v>
      </c>
      <c r="T2802" s="10" t="s">
        <v>67</v>
      </c>
      <c r="U2802" s="10">
        <v>2</v>
      </c>
      <c r="V2802" s="10">
        <v>123.74</v>
      </c>
      <c r="W2802" s="10" t="s">
        <v>710</v>
      </c>
      <c r="X2802" s="17">
        <v>45539</v>
      </c>
      <c r="Y2802" s="17">
        <v>45539</v>
      </c>
      <c r="Z2802" s="19" t="s">
        <v>772</v>
      </c>
      <c r="AA2802" s="210">
        <v>38000</v>
      </c>
      <c r="AB2802" s="10">
        <v>49</v>
      </c>
      <c r="AC2802" s="10">
        <v>26</v>
      </c>
      <c r="AD2802" s="17">
        <v>46325</v>
      </c>
      <c r="AE2802" s="56">
        <v>687.5</v>
      </c>
      <c r="AF2802" s="56"/>
      <c r="AH2802" s="17"/>
      <c r="AI2802" s="17"/>
      <c r="AJ2802" s="17"/>
      <c r="AN2802" s="9"/>
      <c r="AP2802" s="11"/>
      <c r="AQ2802" s="11"/>
      <c r="AR2802" s="11"/>
      <c r="AW2802" s="9"/>
      <c r="BD2802" s="9"/>
      <c r="CS2802" s="11">
        <f t="shared" si="190"/>
        <v>0</v>
      </c>
      <c r="CT2802" s="22">
        <f t="shared" si="191"/>
        <v>0</v>
      </c>
      <c r="CU2802" s="22">
        <f t="shared" si="192"/>
        <v>0</v>
      </c>
      <c r="CV2802" s="26">
        <f t="shared" si="189"/>
        <v>687.5</v>
      </c>
    </row>
    <row r="2803" spans="1:100" x14ac:dyDescent="0.2">
      <c r="A2803" s="9" t="s">
        <v>614</v>
      </c>
      <c r="B2803" s="2">
        <v>14</v>
      </c>
      <c r="C2803" s="3" t="s">
        <v>95</v>
      </c>
      <c r="D2803" s="3" t="s">
        <v>96</v>
      </c>
      <c r="E2803" s="2"/>
      <c r="F2803" s="2"/>
      <c r="G2803" s="2" t="s">
        <v>67</v>
      </c>
      <c r="H2803" s="2">
        <v>2</v>
      </c>
      <c r="I2803" s="8">
        <v>123.74</v>
      </c>
      <c r="J2803" s="8">
        <v>37999</v>
      </c>
      <c r="K2803" s="3">
        <v>0</v>
      </c>
      <c r="L2803" s="3" t="s">
        <v>3</v>
      </c>
      <c r="M2803" s="9" t="s">
        <v>0</v>
      </c>
      <c r="N2803" s="9" t="s">
        <v>56</v>
      </c>
      <c r="O2803" s="9" t="s">
        <v>615</v>
      </c>
      <c r="S2803" s="9" t="s">
        <v>158</v>
      </c>
      <c r="T2803" s="10" t="s">
        <v>67</v>
      </c>
      <c r="U2803" s="10">
        <v>2</v>
      </c>
      <c r="V2803" s="10">
        <v>123.74</v>
      </c>
      <c r="W2803" s="10" t="s">
        <v>710</v>
      </c>
      <c r="X2803" s="17">
        <v>45539</v>
      </c>
      <c r="Y2803" s="17">
        <v>45539</v>
      </c>
      <c r="Z2803" s="19" t="s">
        <v>772</v>
      </c>
      <c r="AA2803" s="210">
        <v>38000</v>
      </c>
      <c r="AB2803" s="10">
        <v>49</v>
      </c>
      <c r="AC2803" s="10">
        <v>27</v>
      </c>
      <c r="AD2803" s="17">
        <v>46356</v>
      </c>
      <c r="AE2803" s="56">
        <v>687.5</v>
      </c>
      <c r="AF2803" s="56"/>
      <c r="AH2803" s="17"/>
      <c r="AI2803" s="17"/>
      <c r="AJ2803" s="17"/>
      <c r="AN2803" s="9"/>
      <c r="AP2803" s="11"/>
      <c r="AQ2803" s="11"/>
      <c r="AR2803" s="11"/>
      <c r="AW2803" s="9"/>
      <c r="BD2803" s="9"/>
      <c r="CS2803" s="11">
        <f t="shared" si="190"/>
        <v>0</v>
      </c>
      <c r="CT2803" s="22">
        <f t="shared" si="191"/>
        <v>0</v>
      </c>
      <c r="CU2803" s="22">
        <f t="shared" si="192"/>
        <v>0</v>
      </c>
      <c r="CV2803" s="26">
        <f t="shared" si="189"/>
        <v>687.5</v>
      </c>
    </row>
    <row r="2804" spans="1:100" x14ac:dyDescent="0.2">
      <c r="A2804" s="9" t="s">
        <v>614</v>
      </c>
      <c r="B2804" s="2">
        <v>14</v>
      </c>
      <c r="C2804" s="3" t="s">
        <v>95</v>
      </c>
      <c r="D2804" s="3" t="s">
        <v>96</v>
      </c>
      <c r="E2804" s="2"/>
      <c r="F2804" s="2"/>
      <c r="G2804" s="2" t="s">
        <v>67</v>
      </c>
      <c r="H2804" s="2">
        <v>2</v>
      </c>
      <c r="I2804" s="8">
        <v>123.74</v>
      </c>
      <c r="J2804" s="8">
        <v>37999</v>
      </c>
      <c r="K2804" s="3">
        <v>0</v>
      </c>
      <c r="L2804" s="3" t="s">
        <v>3</v>
      </c>
      <c r="M2804" s="9" t="s">
        <v>0</v>
      </c>
      <c r="N2804" s="9" t="s">
        <v>56</v>
      </c>
      <c r="O2804" s="9" t="s">
        <v>615</v>
      </c>
      <c r="S2804" s="9" t="s">
        <v>158</v>
      </c>
      <c r="T2804" s="10" t="s">
        <v>67</v>
      </c>
      <c r="U2804" s="10">
        <v>2</v>
      </c>
      <c r="V2804" s="10">
        <v>123.74</v>
      </c>
      <c r="W2804" s="10" t="s">
        <v>710</v>
      </c>
      <c r="X2804" s="17">
        <v>45539</v>
      </c>
      <c r="Y2804" s="17">
        <v>45539</v>
      </c>
      <c r="Z2804" s="19" t="s">
        <v>772</v>
      </c>
      <c r="AA2804" s="210">
        <v>38000</v>
      </c>
      <c r="AB2804" s="10">
        <v>49</v>
      </c>
      <c r="AC2804" s="10">
        <v>28</v>
      </c>
      <c r="AD2804" s="17">
        <v>46386</v>
      </c>
      <c r="AE2804" s="56">
        <v>687.5</v>
      </c>
      <c r="AF2804" s="56"/>
      <c r="AH2804" s="17"/>
      <c r="AI2804" s="17"/>
      <c r="AJ2804" s="17"/>
      <c r="AN2804" s="9"/>
      <c r="AP2804" s="11"/>
      <c r="AQ2804" s="11"/>
      <c r="AR2804" s="11"/>
      <c r="AW2804" s="9"/>
      <c r="BD2804" s="9"/>
      <c r="CS2804" s="11">
        <f t="shared" si="190"/>
        <v>0</v>
      </c>
      <c r="CT2804" s="22">
        <f t="shared" si="191"/>
        <v>0</v>
      </c>
      <c r="CU2804" s="22">
        <f t="shared" si="192"/>
        <v>0</v>
      </c>
      <c r="CV2804" s="26">
        <f t="shared" si="189"/>
        <v>687.5</v>
      </c>
    </row>
    <row r="2805" spans="1:100" x14ac:dyDescent="0.2">
      <c r="A2805" s="9" t="s">
        <v>614</v>
      </c>
      <c r="B2805" s="2">
        <v>14</v>
      </c>
      <c r="C2805" s="3" t="s">
        <v>95</v>
      </c>
      <c r="D2805" s="3" t="s">
        <v>96</v>
      </c>
      <c r="E2805" s="2"/>
      <c r="F2805" s="2"/>
      <c r="G2805" s="2" t="s">
        <v>67</v>
      </c>
      <c r="H2805" s="2">
        <v>2</v>
      </c>
      <c r="I2805" s="8">
        <v>123.74</v>
      </c>
      <c r="J2805" s="8">
        <v>37999</v>
      </c>
      <c r="K2805" s="3">
        <v>0</v>
      </c>
      <c r="L2805" s="3" t="s">
        <v>3</v>
      </c>
      <c r="M2805" s="9" t="s">
        <v>0</v>
      </c>
      <c r="N2805" s="9" t="s">
        <v>56</v>
      </c>
      <c r="O2805" s="9" t="s">
        <v>615</v>
      </c>
      <c r="S2805" s="9" t="s">
        <v>158</v>
      </c>
      <c r="T2805" s="10" t="s">
        <v>67</v>
      </c>
      <c r="U2805" s="10">
        <v>2</v>
      </c>
      <c r="V2805" s="10">
        <v>123.74</v>
      </c>
      <c r="W2805" s="10" t="s">
        <v>710</v>
      </c>
      <c r="X2805" s="17">
        <v>45539</v>
      </c>
      <c r="Y2805" s="17">
        <v>45539</v>
      </c>
      <c r="Z2805" s="19" t="s">
        <v>772</v>
      </c>
      <c r="AA2805" s="210">
        <v>38000</v>
      </c>
      <c r="AB2805" s="10">
        <v>49</v>
      </c>
      <c r="AC2805" s="10">
        <v>29</v>
      </c>
      <c r="AD2805" s="17">
        <v>46417</v>
      </c>
      <c r="AE2805" s="56">
        <v>687.5</v>
      </c>
      <c r="AF2805" s="56"/>
      <c r="AH2805" s="17"/>
      <c r="AI2805" s="17"/>
      <c r="AJ2805" s="17"/>
      <c r="AN2805" s="9"/>
      <c r="AP2805" s="11"/>
      <c r="AQ2805" s="11"/>
      <c r="AR2805" s="11"/>
      <c r="AW2805" s="9"/>
      <c r="BD2805" s="9"/>
      <c r="CS2805" s="11">
        <f t="shared" si="190"/>
        <v>0</v>
      </c>
      <c r="CT2805" s="22">
        <f t="shared" si="191"/>
        <v>0</v>
      </c>
      <c r="CU2805" s="22">
        <f t="shared" si="192"/>
        <v>0</v>
      </c>
      <c r="CV2805" s="26">
        <f t="shared" si="189"/>
        <v>687.5</v>
      </c>
    </row>
    <row r="2806" spans="1:100" x14ac:dyDescent="0.2">
      <c r="A2806" s="9" t="s">
        <v>614</v>
      </c>
      <c r="B2806" s="2">
        <v>14</v>
      </c>
      <c r="C2806" s="3" t="s">
        <v>95</v>
      </c>
      <c r="D2806" s="3" t="s">
        <v>96</v>
      </c>
      <c r="E2806" s="2"/>
      <c r="F2806" s="2"/>
      <c r="G2806" s="2" t="s">
        <v>67</v>
      </c>
      <c r="H2806" s="2">
        <v>2</v>
      </c>
      <c r="I2806" s="8">
        <v>123.74</v>
      </c>
      <c r="J2806" s="8">
        <v>37999</v>
      </c>
      <c r="K2806" s="3">
        <v>0</v>
      </c>
      <c r="L2806" s="3" t="s">
        <v>3</v>
      </c>
      <c r="M2806" s="9" t="s">
        <v>0</v>
      </c>
      <c r="N2806" s="9" t="s">
        <v>56</v>
      </c>
      <c r="O2806" s="9" t="s">
        <v>615</v>
      </c>
      <c r="S2806" s="9" t="s">
        <v>158</v>
      </c>
      <c r="T2806" s="10" t="s">
        <v>67</v>
      </c>
      <c r="U2806" s="10">
        <v>2</v>
      </c>
      <c r="V2806" s="10">
        <v>123.74</v>
      </c>
      <c r="W2806" s="10" t="s">
        <v>710</v>
      </c>
      <c r="X2806" s="17">
        <v>45539</v>
      </c>
      <c r="Y2806" s="17">
        <v>45539</v>
      </c>
      <c r="Z2806" s="19" t="s">
        <v>772</v>
      </c>
      <c r="AA2806" s="210">
        <v>38000</v>
      </c>
      <c r="AB2806" s="10">
        <v>49</v>
      </c>
      <c r="AC2806" s="10">
        <v>30</v>
      </c>
      <c r="AD2806" s="17">
        <v>46446</v>
      </c>
      <c r="AE2806" s="56">
        <v>687.5</v>
      </c>
      <c r="AF2806" s="56"/>
      <c r="AL2806" s="9"/>
      <c r="AM2806" s="9"/>
      <c r="AN2806" s="9"/>
      <c r="AP2806" s="11"/>
      <c r="AQ2806" s="11"/>
      <c r="AR2806" s="11"/>
      <c r="AW2806" s="9"/>
      <c r="BD2806" s="9"/>
      <c r="CS2806" s="11">
        <f t="shared" si="190"/>
        <v>0</v>
      </c>
      <c r="CT2806" s="22">
        <f t="shared" si="191"/>
        <v>0</v>
      </c>
      <c r="CU2806" s="22">
        <f t="shared" si="192"/>
        <v>0</v>
      </c>
      <c r="CV2806" s="26">
        <f t="shared" si="189"/>
        <v>687.5</v>
      </c>
    </row>
    <row r="2807" spans="1:100" x14ac:dyDescent="0.2">
      <c r="A2807" s="9" t="s">
        <v>614</v>
      </c>
      <c r="B2807" s="2">
        <v>14</v>
      </c>
      <c r="C2807" s="3" t="s">
        <v>95</v>
      </c>
      <c r="D2807" s="3" t="s">
        <v>96</v>
      </c>
      <c r="E2807" s="2"/>
      <c r="F2807" s="2"/>
      <c r="G2807" s="2" t="s">
        <v>67</v>
      </c>
      <c r="H2807" s="2">
        <v>2</v>
      </c>
      <c r="I2807" s="8">
        <v>123.74</v>
      </c>
      <c r="J2807" s="8">
        <v>37999</v>
      </c>
      <c r="K2807" s="3">
        <v>0</v>
      </c>
      <c r="L2807" s="3" t="s">
        <v>3</v>
      </c>
      <c r="M2807" s="9" t="s">
        <v>0</v>
      </c>
      <c r="N2807" s="9" t="s">
        <v>56</v>
      </c>
      <c r="O2807" s="9" t="s">
        <v>615</v>
      </c>
      <c r="S2807" s="9" t="s">
        <v>158</v>
      </c>
      <c r="T2807" s="10" t="s">
        <v>67</v>
      </c>
      <c r="U2807" s="10">
        <v>2</v>
      </c>
      <c r="V2807" s="10">
        <v>123.74</v>
      </c>
      <c r="W2807" s="10" t="s">
        <v>710</v>
      </c>
      <c r="X2807" s="17">
        <v>45539</v>
      </c>
      <c r="Y2807" s="17">
        <v>45539</v>
      </c>
      <c r="Z2807" s="19" t="s">
        <v>772</v>
      </c>
      <c r="AA2807" s="210">
        <v>38000</v>
      </c>
      <c r="AB2807" s="10">
        <v>49</v>
      </c>
      <c r="AC2807" s="10">
        <v>31</v>
      </c>
      <c r="AD2807" s="17">
        <v>46476</v>
      </c>
      <c r="AE2807" s="56">
        <v>687.5</v>
      </c>
      <c r="AF2807" s="56"/>
      <c r="AL2807" s="9"/>
      <c r="AM2807" s="9"/>
      <c r="AN2807" s="9"/>
      <c r="AP2807" s="11"/>
      <c r="AQ2807" s="11"/>
      <c r="AR2807" s="11"/>
      <c r="AW2807" s="9"/>
      <c r="BD2807" s="9"/>
      <c r="CS2807" s="11">
        <f t="shared" si="190"/>
        <v>0</v>
      </c>
      <c r="CT2807" s="22">
        <f t="shared" si="191"/>
        <v>0</v>
      </c>
      <c r="CU2807" s="22">
        <f t="shared" si="192"/>
        <v>0</v>
      </c>
      <c r="CV2807" s="26">
        <f t="shared" si="189"/>
        <v>687.5</v>
      </c>
    </row>
    <row r="2808" spans="1:100" x14ac:dyDescent="0.2">
      <c r="A2808" s="9" t="s">
        <v>614</v>
      </c>
      <c r="B2808" s="2">
        <v>14</v>
      </c>
      <c r="C2808" s="3" t="s">
        <v>95</v>
      </c>
      <c r="D2808" s="3" t="s">
        <v>96</v>
      </c>
      <c r="E2808" s="2"/>
      <c r="F2808" s="2"/>
      <c r="G2808" s="2" t="s">
        <v>67</v>
      </c>
      <c r="H2808" s="2">
        <v>2</v>
      </c>
      <c r="I2808" s="8">
        <v>123.74</v>
      </c>
      <c r="J2808" s="8">
        <v>37999</v>
      </c>
      <c r="K2808" s="3">
        <v>0</v>
      </c>
      <c r="L2808" s="3" t="s">
        <v>3</v>
      </c>
      <c r="M2808" s="9" t="s">
        <v>0</v>
      </c>
      <c r="N2808" s="9" t="s">
        <v>56</v>
      </c>
      <c r="O2808" s="9" t="s">
        <v>615</v>
      </c>
      <c r="S2808" s="9" t="s">
        <v>158</v>
      </c>
      <c r="T2808" s="10" t="s">
        <v>67</v>
      </c>
      <c r="U2808" s="10">
        <v>2</v>
      </c>
      <c r="V2808" s="10">
        <v>123.74</v>
      </c>
      <c r="W2808" s="10" t="s">
        <v>710</v>
      </c>
      <c r="X2808" s="17">
        <v>45539</v>
      </c>
      <c r="Y2808" s="17">
        <v>45539</v>
      </c>
      <c r="Z2808" s="19" t="s">
        <v>772</v>
      </c>
      <c r="AA2808" s="210">
        <v>38000</v>
      </c>
      <c r="AB2808" s="10">
        <v>49</v>
      </c>
      <c r="AC2808" s="10">
        <v>32</v>
      </c>
      <c r="AD2808" s="17">
        <v>46507</v>
      </c>
      <c r="AE2808" s="56">
        <v>687.5</v>
      </c>
      <c r="AF2808" s="56"/>
      <c r="AL2808" s="9"/>
      <c r="AM2808" s="9"/>
      <c r="AN2808" s="9"/>
      <c r="AP2808" s="11"/>
      <c r="AQ2808" s="11"/>
      <c r="AR2808" s="11"/>
      <c r="AW2808" s="9"/>
      <c r="BD2808" s="9"/>
      <c r="CS2808" s="11">
        <f t="shared" si="190"/>
        <v>0</v>
      </c>
      <c r="CT2808" s="22">
        <f t="shared" si="191"/>
        <v>0</v>
      </c>
      <c r="CU2808" s="22">
        <f t="shared" si="192"/>
        <v>0</v>
      </c>
      <c r="CV2808" s="26">
        <f t="shared" si="189"/>
        <v>687.5</v>
      </c>
    </row>
    <row r="2809" spans="1:100" x14ac:dyDescent="0.2">
      <c r="A2809" s="9" t="s">
        <v>614</v>
      </c>
      <c r="B2809" s="2">
        <v>14</v>
      </c>
      <c r="C2809" s="3" t="s">
        <v>95</v>
      </c>
      <c r="D2809" s="3" t="s">
        <v>96</v>
      </c>
      <c r="E2809" s="2"/>
      <c r="F2809" s="2"/>
      <c r="G2809" s="2" t="s">
        <v>67</v>
      </c>
      <c r="H2809" s="2">
        <v>2</v>
      </c>
      <c r="I2809" s="8">
        <v>123.74</v>
      </c>
      <c r="J2809" s="8">
        <v>37999</v>
      </c>
      <c r="K2809" s="3">
        <v>0</v>
      </c>
      <c r="L2809" s="3" t="s">
        <v>3</v>
      </c>
      <c r="M2809" s="9" t="s">
        <v>0</v>
      </c>
      <c r="N2809" s="9" t="s">
        <v>56</v>
      </c>
      <c r="O2809" s="9" t="s">
        <v>615</v>
      </c>
      <c r="S2809" s="9" t="s">
        <v>158</v>
      </c>
      <c r="T2809" s="10" t="s">
        <v>67</v>
      </c>
      <c r="U2809" s="10">
        <v>2</v>
      </c>
      <c r="V2809" s="10">
        <v>123.74</v>
      </c>
      <c r="W2809" s="10" t="s">
        <v>710</v>
      </c>
      <c r="X2809" s="17">
        <v>45539</v>
      </c>
      <c r="Y2809" s="17">
        <v>45539</v>
      </c>
      <c r="Z2809" s="19" t="s">
        <v>772</v>
      </c>
      <c r="AA2809" s="210">
        <v>38000</v>
      </c>
      <c r="AB2809" s="10">
        <v>49</v>
      </c>
      <c r="AC2809" s="10">
        <v>33</v>
      </c>
      <c r="AD2809" s="17">
        <v>46537</v>
      </c>
      <c r="AE2809" s="56">
        <v>687.5</v>
      </c>
      <c r="AF2809" s="56"/>
      <c r="AL2809" s="9"/>
      <c r="AM2809" s="9"/>
      <c r="AN2809" s="9"/>
      <c r="AP2809" s="11"/>
      <c r="AQ2809" s="11"/>
      <c r="AR2809" s="11"/>
      <c r="AW2809" s="9"/>
      <c r="BD2809" s="9"/>
      <c r="CS2809" s="11">
        <f t="shared" si="190"/>
        <v>0</v>
      </c>
      <c r="CT2809" s="22">
        <f t="shared" si="191"/>
        <v>0</v>
      </c>
      <c r="CU2809" s="22">
        <f t="shared" si="192"/>
        <v>0</v>
      </c>
      <c r="CV2809" s="26">
        <f t="shared" ref="CV2809:CV2872" si="193">+AE2809-AL2809-AT2809</f>
        <v>687.5</v>
      </c>
    </row>
    <row r="2810" spans="1:100" x14ac:dyDescent="0.2">
      <c r="A2810" s="9" t="s">
        <v>614</v>
      </c>
      <c r="B2810" s="2">
        <v>14</v>
      </c>
      <c r="C2810" s="3" t="s">
        <v>95</v>
      </c>
      <c r="D2810" s="3" t="s">
        <v>96</v>
      </c>
      <c r="E2810" s="2"/>
      <c r="F2810" s="2"/>
      <c r="G2810" s="2" t="s">
        <v>67</v>
      </c>
      <c r="H2810" s="2">
        <v>2</v>
      </c>
      <c r="I2810" s="8">
        <v>123.74</v>
      </c>
      <c r="J2810" s="8">
        <v>37999</v>
      </c>
      <c r="K2810" s="3">
        <v>0</v>
      </c>
      <c r="L2810" s="3" t="s">
        <v>3</v>
      </c>
      <c r="M2810" s="9" t="s">
        <v>0</v>
      </c>
      <c r="N2810" s="9" t="s">
        <v>56</v>
      </c>
      <c r="O2810" s="9" t="s">
        <v>615</v>
      </c>
      <c r="S2810" s="9" t="s">
        <v>158</v>
      </c>
      <c r="T2810" s="10" t="s">
        <v>67</v>
      </c>
      <c r="U2810" s="10">
        <v>2</v>
      </c>
      <c r="V2810" s="10">
        <v>123.74</v>
      </c>
      <c r="W2810" s="10" t="s">
        <v>710</v>
      </c>
      <c r="X2810" s="17">
        <v>45539</v>
      </c>
      <c r="Y2810" s="17">
        <v>45539</v>
      </c>
      <c r="Z2810" s="19" t="s">
        <v>772</v>
      </c>
      <c r="AA2810" s="210">
        <v>38000</v>
      </c>
      <c r="AB2810" s="10">
        <v>49</v>
      </c>
      <c r="AC2810" s="10">
        <v>34</v>
      </c>
      <c r="AD2810" s="17">
        <v>46568</v>
      </c>
      <c r="AE2810" s="56">
        <v>687.5</v>
      </c>
      <c r="AF2810" s="56"/>
      <c r="AL2810" s="9"/>
      <c r="AM2810" s="9"/>
      <c r="AN2810" s="9"/>
      <c r="AP2810" s="11"/>
      <c r="AQ2810" s="11"/>
      <c r="AR2810" s="11"/>
      <c r="AW2810" s="9"/>
      <c r="BD2810" s="9"/>
      <c r="CS2810" s="11">
        <f t="shared" si="190"/>
        <v>0</v>
      </c>
      <c r="CT2810" s="22">
        <f t="shared" si="191"/>
        <v>0</v>
      </c>
      <c r="CU2810" s="22">
        <f t="shared" si="192"/>
        <v>0</v>
      </c>
      <c r="CV2810" s="26">
        <f t="shared" si="193"/>
        <v>687.5</v>
      </c>
    </row>
    <row r="2811" spans="1:100" x14ac:dyDescent="0.2">
      <c r="A2811" s="9" t="s">
        <v>614</v>
      </c>
      <c r="B2811" s="2">
        <v>14</v>
      </c>
      <c r="C2811" s="3" t="s">
        <v>95</v>
      </c>
      <c r="D2811" s="3" t="s">
        <v>96</v>
      </c>
      <c r="E2811" s="2"/>
      <c r="F2811" s="2"/>
      <c r="G2811" s="2" t="s">
        <v>67</v>
      </c>
      <c r="H2811" s="2">
        <v>2</v>
      </c>
      <c r="I2811" s="8">
        <v>123.74</v>
      </c>
      <c r="J2811" s="8">
        <v>37999</v>
      </c>
      <c r="K2811" s="3">
        <v>0</v>
      </c>
      <c r="L2811" s="3" t="s">
        <v>3</v>
      </c>
      <c r="M2811" s="9" t="s">
        <v>0</v>
      </c>
      <c r="N2811" s="9" t="s">
        <v>56</v>
      </c>
      <c r="O2811" s="9" t="s">
        <v>615</v>
      </c>
      <c r="S2811" s="9" t="s">
        <v>158</v>
      </c>
      <c r="T2811" s="10" t="s">
        <v>67</v>
      </c>
      <c r="U2811" s="10">
        <v>2</v>
      </c>
      <c r="V2811" s="10">
        <v>123.74</v>
      </c>
      <c r="W2811" s="10" t="s">
        <v>710</v>
      </c>
      <c r="X2811" s="17">
        <v>45539</v>
      </c>
      <c r="Y2811" s="17">
        <v>45539</v>
      </c>
      <c r="Z2811" s="19" t="s">
        <v>772</v>
      </c>
      <c r="AA2811" s="210">
        <v>38000</v>
      </c>
      <c r="AB2811" s="10">
        <v>49</v>
      </c>
      <c r="AC2811" s="10">
        <v>35</v>
      </c>
      <c r="AD2811" s="17">
        <v>46598</v>
      </c>
      <c r="AE2811" s="56">
        <v>687.5</v>
      </c>
      <c r="AF2811" s="56"/>
      <c r="AL2811" s="9"/>
      <c r="AM2811" s="9"/>
      <c r="AN2811" s="9"/>
      <c r="AP2811" s="11"/>
      <c r="AQ2811" s="11"/>
      <c r="AR2811" s="11"/>
      <c r="AW2811" s="9"/>
      <c r="BD2811" s="9"/>
      <c r="CS2811" s="11">
        <f t="shared" si="190"/>
        <v>0</v>
      </c>
      <c r="CT2811" s="22">
        <f t="shared" si="191"/>
        <v>0</v>
      </c>
      <c r="CU2811" s="22">
        <f t="shared" si="192"/>
        <v>0</v>
      </c>
      <c r="CV2811" s="26">
        <f t="shared" si="193"/>
        <v>687.5</v>
      </c>
    </row>
    <row r="2812" spans="1:100" x14ac:dyDescent="0.2">
      <c r="A2812" s="9" t="s">
        <v>614</v>
      </c>
      <c r="B2812" s="2">
        <v>14</v>
      </c>
      <c r="C2812" s="3" t="s">
        <v>95</v>
      </c>
      <c r="D2812" s="3" t="s">
        <v>96</v>
      </c>
      <c r="E2812" s="2"/>
      <c r="F2812" s="2"/>
      <c r="G2812" s="2" t="s">
        <v>67</v>
      </c>
      <c r="H2812" s="2">
        <v>2</v>
      </c>
      <c r="I2812" s="8">
        <v>123.74</v>
      </c>
      <c r="J2812" s="8">
        <v>37999</v>
      </c>
      <c r="K2812" s="3">
        <v>0</v>
      </c>
      <c r="L2812" s="3" t="s">
        <v>3</v>
      </c>
      <c r="M2812" s="9" t="s">
        <v>0</v>
      </c>
      <c r="N2812" s="9" t="s">
        <v>56</v>
      </c>
      <c r="O2812" s="9" t="s">
        <v>615</v>
      </c>
      <c r="S2812" s="9" t="s">
        <v>158</v>
      </c>
      <c r="T2812" s="10" t="s">
        <v>67</v>
      </c>
      <c r="U2812" s="10">
        <v>2</v>
      </c>
      <c r="V2812" s="10">
        <v>123.74</v>
      </c>
      <c r="W2812" s="10" t="s">
        <v>710</v>
      </c>
      <c r="X2812" s="17">
        <v>45539</v>
      </c>
      <c r="Y2812" s="17">
        <v>45539</v>
      </c>
      <c r="Z2812" s="19" t="s">
        <v>772</v>
      </c>
      <c r="AA2812" s="210">
        <v>38000</v>
      </c>
      <c r="AB2812" s="10">
        <v>49</v>
      </c>
      <c r="AC2812" s="10">
        <v>36</v>
      </c>
      <c r="AD2812" s="17">
        <v>46629</v>
      </c>
      <c r="AE2812" s="56">
        <v>687.5</v>
      </c>
      <c r="AF2812" s="56"/>
      <c r="AL2812" s="9"/>
      <c r="AM2812" s="9"/>
      <c r="AN2812" s="9"/>
      <c r="AP2812" s="11"/>
      <c r="AQ2812" s="11"/>
      <c r="AR2812" s="11"/>
      <c r="AW2812" s="9"/>
      <c r="BD2812" s="9"/>
      <c r="CS2812" s="11">
        <f t="shared" si="190"/>
        <v>0</v>
      </c>
      <c r="CT2812" s="22">
        <f t="shared" si="191"/>
        <v>0</v>
      </c>
      <c r="CU2812" s="22">
        <f t="shared" si="192"/>
        <v>0</v>
      </c>
      <c r="CV2812" s="26">
        <f t="shared" si="193"/>
        <v>687.5</v>
      </c>
    </row>
    <row r="2813" spans="1:100" x14ac:dyDescent="0.2">
      <c r="A2813" s="9" t="s">
        <v>614</v>
      </c>
      <c r="B2813" s="2">
        <v>14</v>
      </c>
      <c r="C2813" s="3" t="s">
        <v>95</v>
      </c>
      <c r="D2813" s="3" t="s">
        <v>96</v>
      </c>
      <c r="E2813" s="2"/>
      <c r="F2813" s="2"/>
      <c r="G2813" s="2" t="s">
        <v>67</v>
      </c>
      <c r="H2813" s="2">
        <v>2</v>
      </c>
      <c r="I2813" s="8">
        <v>123.74</v>
      </c>
      <c r="J2813" s="8">
        <v>37999</v>
      </c>
      <c r="K2813" s="3">
        <v>0</v>
      </c>
      <c r="L2813" s="3" t="s">
        <v>3</v>
      </c>
      <c r="M2813" s="9" t="s">
        <v>0</v>
      </c>
      <c r="N2813" s="9" t="s">
        <v>56</v>
      </c>
      <c r="O2813" s="9" t="s">
        <v>615</v>
      </c>
      <c r="S2813" s="9" t="s">
        <v>158</v>
      </c>
      <c r="T2813" s="10" t="s">
        <v>67</v>
      </c>
      <c r="U2813" s="10">
        <v>2</v>
      </c>
      <c r="V2813" s="10">
        <v>123.74</v>
      </c>
      <c r="W2813" s="10" t="s">
        <v>710</v>
      </c>
      <c r="X2813" s="17">
        <v>45539</v>
      </c>
      <c r="Y2813" s="17">
        <v>45539</v>
      </c>
      <c r="Z2813" s="19" t="s">
        <v>772</v>
      </c>
      <c r="AA2813" s="210">
        <v>38000</v>
      </c>
      <c r="AB2813" s="10">
        <v>49</v>
      </c>
      <c r="AC2813" s="10">
        <v>37</v>
      </c>
      <c r="AD2813" s="17">
        <v>46660</v>
      </c>
      <c r="AE2813" s="56">
        <v>687.5</v>
      </c>
      <c r="AF2813" s="56"/>
      <c r="AL2813" s="9"/>
      <c r="AM2813" s="9"/>
      <c r="AN2813" s="9"/>
      <c r="AP2813" s="11"/>
      <c r="AQ2813" s="11"/>
      <c r="AR2813" s="11"/>
      <c r="AW2813" s="9"/>
      <c r="BD2813" s="9"/>
      <c r="CS2813" s="11">
        <f t="shared" ref="CS2813:CS2876" si="194">+AL2813+AT2813</f>
        <v>0</v>
      </c>
      <c r="CT2813" s="22">
        <f t="shared" ref="CT2813:CT2876" si="195">+BA2813+BG2813+BM2813+BS2813+BY2813+CE2813+CK2813+CQ2813</f>
        <v>0</v>
      </c>
      <c r="CU2813" s="22">
        <f t="shared" ref="CU2813:CU2876" si="196">+CS2813-CT2813</f>
        <v>0</v>
      </c>
      <c r="CV2813" s="26">
        <f t="shared" si="193"/>
        <v>687.5</v>
      </c>
    </row>
    <row r="2814" spans="1:100" x14ac:dyDescent="0.2">
      <c r="A2814" s="9" t="s">
        <v>614</v>
      </c>
      <c r="B2814" s="2">
        <v>14</v>
      </c>
      <c r="C2814" s="3" t="s">
        <v>95</v>
      </c>
      <c r="D2814" s="3" t="s">
        <v>96</v>
      </c>
      <c r="E2814" s="2"/>
      <c r="F2814" s="2"/>
      <c r="G2814" s="2" t="s">
        <v>67</v>
      </c>
      <c r="H2814" s="2">
        <v>2</v>
      </c>
      <c r="I2814" s="8">
        <v>123.74</v>
      </c>
      <c r="J2814" s="8">
        <v>37999</v>
      </c>
      <c r="K2814" s="3">
        <v>0</v>
      </c>
      <c r="L2814" s="3" t="s">
        <v>3</v>
      </c>
      <c r="M2814" s="9" t="s">
        <v>0</v>
      </c>
      <c r="N2814" s="9" t="s">
        <v>56</v>
      </c>
      <c r="O2814" s="9" t="s">
        <v>615</v>
      </c>
      <c r="S2814" s="9" t="s">
        <v>158</v>
      </c>
      <c r="T2814" s="10" t="s">
        <v>67</v>
      </c>
      <c r="U2814" s="10">
        <v>2</v>
      </c>
      <c r="V2814" s="10">
        <v>123.74</v>
      </c>
      <c r="W2814" s="10" t="s">
        <v>710</v>
      </c>
      <c r="X2814" s="17">
        <v>45539</v>
      </c>
      <c r="Y2814" s="17">
        <v>45539</v>
      </c>
      <c r="Z2814" s="19" t="s">
        <v>772</v>
      </c>
      <c r="AA2814" s="210">
        <v>38000</v>
      </c>
      <c r="AB2814" s="10">
        <v>49</v>
      </c>
      <c r="AC2814" s="10">
        <v>38</v>
      </c>
      <c r="AD2814" s="17">
        <v>46690</v>
      </c>
      <c r="AE2814" s="56">
        <v>687.5</v>
      </c>
      <c r="AF2814" s="56"/>
      <c r="AL2814" s="9"/>
      <c r="AM2814" s="9"/>
      <c r="AN2814" s="9"/>
      <c r="AP2814" s="11"/>
      <c r="AQ2814" s="11"/>
      <c r="AR2814" s="11"/>
      <c r="AW2814" s="9"/>
      <c r="BD2814" s="9"/>
      <c r="CS2814" s="11">
        <f t="shared" si="194"/>
        <v>0</v>
      </c>
      <c r="CT2814" s="22">
        <f t="shared" si="195"/>
        <v>0</v>
      </c>
      <c r="CU2814" s="22">
        <f t="shared" si="196"/>
        <v>0</v>
      </c>
      <c r="CV2814" s="26">
        <f t="shared" si="193"/>
        <v>687.5</v>
      </c>
    </row>
    <row r="2815" spans="1:100" x14ac:dyDescent="0.2">
      <c r="A2815" s="9" t="s">
        <v>614</v>
      </c>
      <c r="B2815" s="2">
        <v>14</v>
      </c>
      <c r="C2815" s="3" t="s">
        <v>95</v>
      </c>
      <c r="D2815" s="3" t="s">
        <v>96</v>
      </c>
      <c r="E2815" s="2"/>
      <c r="F2815" s="2"/>
      <c r="G2815" s="2" t="s">
        <v>67</v>
      </c>
      <c r="H2815" s="2">
        <v>2</v>
      </c>
      <c r="I2815" s="8">
        <v>123.74</v>
      </c>
      <c r="J2815" s="8">
        <v>37999</v>
      </c>
      <c r="K2815" s="3">
        <v>0</v>
      </c>
      <c r="L2815" s="3" t="s">
        <v>3</v>
      </c>
      <c r="M2815" s="9" t="s">
        <v>0</v>
      </c>
      <c r="N2815" s="9" t="s">
        <v>56</v>
      </c>
      <c r="O2815" s="9" t="s">
        <v>615</v>
      </c>
      <c r="S2815" s="9" t="s">
        <v>158</v>
      </c>
      <c r="T2815" s="10" t="s">
        <v>67</v>
      </c>
      <c r="U2815" s="10">
        <v>2</v>
      </c>
      <c r="V2815" s="10">
        <v>123.74</v>
      </c>
      <c r="W2815" s="10" t="s">
        <v>710</v>
      </c>
      <c r="X2815" s="17">
        <v>45539</v>
      </c>
      <c r="Y2815" s="17">
        <v>45539</v>
      </c>
      <c r="Z2815" s="19" t="s">
        <v>772</v>
      </c>
      <c r="AA2815" s="210">
        <v>38000</v>
      </c>
      <c r="AB2815" s="10">
        <v>49</v>
      </c>
      <c r="AC2815" s="10">
        <v>39</v>
      </c>
      <c r="AD2815" s="17">
        <v>46721</v>
      </c>
      <c r="AE2815" s="56">
        <v>687.5</v>
      </c>
      <c r="AF2815" s="56"/>
      <c r="AL2815" s="9"/>
      <c r="AM2815" s="9"/>
      <c r="AN2815" s="9"/>
      <c r="AP2815" s="11"/>
      <c r="AQ2815" s="11"/>
      <c r="AR2815" s="11"/>
      <c r="AW2815" s="9"/>
      <c r="BD2815" s="9"/>
      <c r="CS2815" s="11">
        <f t="shared" si="194"/>
        <v>0</v>
      </c>
      <c r="CT2815" s="22">
        <f t="shared" si="195"/>
        <v>0</v>
      </c>
      <c r="CU2815" s="22">
        <f t="shared" si="196"/>
        <v>0</v>
      </c>
      <c r="CV2815" s="26">
        <f t="shared" si="193"/>
        <v>687.5</v>
      </c>
    </row>
    <row r="2816" spans="1:100" x14ac:dyDescent="0.2">
      <c r="A2816" s="9" t="s">
        <v>614</v>
      </c>
      <c r="B2816" s="2">
        <v>14</v>
      </c>
      <c r="C2816" s="3" t="s">
        <v>95</v>
      </c>
      <c r="D2816" s="3" t="s">
        <v>96</v>
      </c>
      <c r="E2816" s="2"/>
      <c r="F2816" s="2"/>
      <c r="G2816" s="2" t="s">
        <v>67</v>
      </c>
      <c r="H2816" s="2">
        <v>2</v>
      </c>
      <c r="I2816" s="8">
        <v>123.74</v>
      </c>
      <c r="J2816" s="8">
        <v>37999</v>
      </c>
      <c r="K2816" s="3">
        <v>0</v>
      </c>
      <c r="L2816" s="3" t="s">
        <v>3</v>
      </c>
      <c r="M2816" s="9" t="s">
        <v>0</v>
      </c>
      <c r="N2816" s="9" t="s">
        <v>56</v>
      </c>
      <c r="O2816" s="9" t="s">
        <v>615</v>
      </c>
      <c r="S2816" s="9" t="s">
        <v>158</v>
      </c>
      <c r="T2816" s="10" t="s">
        <v>67</v>
      </c>
      <c r="U2816" s="10">
        <v>2</v>
      </c>
      <c r="V2816" s="10">
        <v>123.74</v>
      </c>
      <c r="W2816" s="10" t="s">
        <v>710</v>
      </c>
      <c r="X2816" s="17">
        <v>45539</v>
      </c>
      <c r="Y2816" s="17">
        <v>45539</v>
      </c>
      <c r="Z2816" s="19" t="s">
        <v>772</v>
      </c>
      <c r="AA2816" s="210">
        <v>38000</v>
      </c>
      <c r="AB2816" s="10">
        <v>49</v>
      </c>
      <c r="AC2816" s="10">
        <v>40</v>
      </c>
      <c r="AD2816" s="17">
        <v>46751</v>
      </c>
      <c r="AE2816" s="56">
        <v>687.5</v>
      </c>
      <c r="AF2816" s="56"/>
      <c r="AL2816" s="9"/>
      <c r="AM2816" s="9"/>
      <c r="AN2816" s="9"/>
      <c r="AP2816" s="11"/>
      <c r="AQ2816" s="11"/>
      <c r="AR2816" s="11"/>
      <c r="AW2816" s="9"/>
      <c r="BD2816" s="9"/>
      <c r="CS2816" s="11">
        <f t="shared" si="194"/>
        <v>0</v>
      </c>
      <c r="CT2816" s="22">
        <f t="shared" si="195"/>
        <v>0</v>
      </c>
      <c r="CU2816" s="22">
        <f t="shared" si="196"/>
        <v>0</v>
      </c>
      <c r="CV2816" s="26">
        <f t="shared" si="193"/>
        <v>687.5</v>
      </c>
    </row>
    <row r="2817" spans="1:100" x14ac:dyDescent="0.2">
      <c r="A2817" s="9" t="s">
        <v>614</v>
      </c>
      <c r="B2817" s="2">
        <v>14</v>
      </c>
      <c r="C2817" s="3" t="s">
        <v>95</v>
      </c>
      <c r="D2817" s="3" t="s">
        <v>96</v>
      </c>
      <c r="E2817" s="2"/>
      <c r="F2817" s="2"/>
      <c r="G2817" s="2" t="s">
        <v>67</v>
      </c>
      <c r="H2817" s="2">
        <v>2</v>
      </c>
      <c r="I2817" s="8">
        <v>123.74</v>
      </c>
      <c r="J2817" s="8">
        <v>37999</v>
      </c>
      <c r="K2817" s="3">
        <v>0</v>
      </c>
      <c r="L2817" s="3" t="s">
        <v>3</v>
      </c>
      <c r="M2817" s="9" t="s">
        <v>0</v>
      </c>
      <c r="N2817" s="9" t="s">
        <v>56</v>
      </c>
      <c r="O2817" s="9" t="s">
        <v>615</v>
      </c>
      <c r="S2817" s="9" t="s">
        <v>158</v>
      </c>
      <c r="T2817" s="10" t="s">
        <v>67</v>
      </c>
      <c r="U2817" s="10">
        <v>2</v>
      </c>
      <c r="V2817" s="10">
        <v>123.74</v>
      </c>
      <c r="W2817" s="10" t="s">
        <v>710</v>
      </c>
      <c r="X2817" s="17">
        <v>45539</v>
      </c>
      <c r="Y2817" s="17">
        <v>45539</v>
      </c>
      <c r="Z2817" s="19" t="s">
        <v>772</v>
      </c>
      <c r="AA2817" s="210">
        <v>38000</v>
      </c>
      <c r="AB2817" s="10">
        <v>49</v>
      </c>
      <c r="AC2817" s="10">
        <v>41</v>
      </c>
      <c r="AD2817" s="17">
        <v>46782</v>
      </c>
      <c r="AE2817" s="56">
        <v>687.5</v>
      </c>
      <c r="AF2817" s="56"/>
      <c r="AL2817" s="9"/>
      <c r="AM2817" s="9"/>
      <c r="AN2817" s="9"/>
      <c r="AP2817" s="11"/>
      <c r="AQ2817" s="11"/>
      <c r="AR2817" s="11"/>
      <c r="AW2817" s="9"/>
      <c r="BD2817" s="9"/>
      <c r="CS2817" s="11">
        <f t="shared" si="194"/>
        <v>0</v>
      </c>
      <c r="CT2817" s="22">
        <f t="shared" si="195"/>
        <v>0</v>
      </c>
      <c r="CU2817" s="22">
        <f t="shared" si="196"/>
        <v>0</v>
      </c>
      <c r="CV2817" s="26">
        <f t="shared" si="193"/>
        <v>687.5</v>
      </c>
    </row>
    <row r="2818" spans="1:100" x14ac:dyDescent="0.2">
      <c r="A2818" s="9" t="s">
        <v>614</v>
      </c>
      <c r="B2818" s="2">
        <v>14</v>
      </c>
      <c r="C2818" s="3" t="s">
        <v>95</v>
      </c>
      <c r="D2818" s="3" t="s">
        <v>96</v>
      </c>
      <c r="E2818" s="2"/>
      <c r="F2818" s="2"/>
      <c r="G2818" s="2" t="s">
        <v>67</v>
      </c>
      <c r="H2818" s="2">
        <v>2</v>
      </c>
      <c r="I2818" s="8">
        <v>123.74</v>
      </c>
      <c r="J2818" s="8">
        <v>37999</v>
      </c>
      <c r="K2818" s="3">
        <v>0</v>
      </c>
      <c r="L2818" s="3" t="s">
        <v>3</v>
      </c>
      <c r="M2818" s="9" t="s">
        <v>0</v>
      </c>
      <c r="N2818" s="9" t="s">
        <v>56</v>
      </c>
      <c r="O2818" s="9" t="s">
        <v>615</v>
      </c>
      <c r="S2818" s="9" t="s">
        <v>158</v>
      </c>
      <c r="T2818" s="10" t="s">
        <v>67</v>
      </c>
      <c r="U2818" s="10">
        <v>2</v>
      </c>
      <c r="V2818" s="10">
        <v>123.74</v>
      </c>
      <c r="W2818" s="10" t="s">
        <v>710</v>
      </c>
      <c r="X2818" s="17">
        <v>45539</v>
      </c>
      <c r="Y2818" s="17">
        <v>45539</v>
      </c>
      <c r="Z2818" s="19" t="s">
        <v>772</v>
      </c>
      <c r="AA2818" s="210">
        <v>38000</v>
      </c>
      <c r="AB2818" s="10">
        <v>49</v>
      </c>
      <c r="AC2818" s="10">
        <v>42</v>
      </c>
      <c r="AD2818" s="17">
        <v>46812</v>
      </c>
      <c r="AE2818" s="56">
        <v>687.5</v>
      </c>
      <c r="AF2818" s="56"/>
      <c r="AL2818" s="9"/>
      <c r="AM2818" s="9"/>
      <c r="AN2818" s="9"/>
      <c r="AP2818" s="11"/>
      <c r="AQ2818" s="11"/>
      <c r="AR2818" s="11"/>
      <c r="AW2818" s="9"/>
      <c r="BD2818" s="9"/>
      <c r="CS2818" s="11">
        <f t="shared" si="194"/>
        <v>0</v>
      </c>
      <c r="CT2818" s="22">
        <f t="shared" si="195"/>
        <v>0</v>
      </c>
      <c r="CU2818" s="22">
        <f t="shared" si="196"/>
        <v>0</v>
      </c>
      <c r="CV2818" s="26">
        <f t="shared" si="193"/>
        <v>687.5</v>
      </c>
    </row>
    <row r="2819" spans="1:100" x14ac:dyDescent="0.2">
      <c r="A2819" s="9" t="s">
        <v>614</v>
      </c>
      <c r="B2819" s="2">
        <v>14</v>
      </c>
      <c r="C2819" s="3" t="s">
        <v>95</v>
      </c>
      <c r="D2819" s="3" t="s">
        <v>96</v>
      </c>
      <c r="E2819" s="2"/>
      <c r="F2819" s="2"/>
      <c r="G2819" s="2" t="s">
        <v>67</v>
      </c>
      <c r="H2819" s="2">
        <v>2</v>
      </c>
      <c r="I2819" s="8">
        <v>123.74</v>
      </c>
      <c r="J2819" s="8">
        <v>37999</v>
      </c>
      <c r="K2819" s="3">
        <v>0</v>
      </c>
      <c r="L2819" s="3" t="s">
        <v>3</v>
      </c>
      <c r="M2819" s="9" t="s">
        <v>0</v>
      </c>
      <c r="N2819" s="9" t="s">
        <v>56</v>
      </c>
      <c r="O2819" s="9" t="s">
        <v>615</v>
      </c>
      <c r="S2819" s="9" t="s">
        <v>158</v>
      </c>
      <c r="T2819" s="10" t="s">
        <v>67</v>
      </c>
      <c r="U2819" s="10">
        <v>2</v>
      </c>
      <c r="V2819" s="10">
        <v>123.74</v>
      </c>
      <c r="W2819" s="10" t="s">
        <v>710</v>
      </c>
      <c r="X2819" s="17">
        <v>45539</v>
      </c>
      <c r="Y2819" s="17">
        <v>45539</v>
      </c>
      <c r="Z2819" s="19" t="s">
        <v>772</v>
      </c>
      <c r="AA2819" s="210">
        <v>38000</v>
      </c>
      <c r="AB2819" s="10">
        <v>49</v>
      </c>
      <c r="AC2819" s="10">
        <v>43</v>
      </c>
      <c r="AD2819" s="17">
        <v>46842</v>
      </c>
      <c r="AE2819" s="56">
        <v>687.5</v>
      </c>
      <c r="AF2819" s="56"/>
      <c r="AL2819" s="9"/>
      <c r="AM2819" s="9"/>
      <c r="AN2819" s="9"/>
      <c r="AP2819" s="11"/>
      <c r="AQ2819" s="11"/>
      <c r="AR2819" s="11"/>
      <c r="AW2819" s="9"/>
      <c r="BD2819" s="9"/>
      <c r="CS2819" s="11">
        <f t="shared" si="194"/>
        <v>0</v>
      </c>
      <c r="CT2819" s="22">
        <f t="shared" si="195"/>
        <v>0</v>
      </c>
      <c r="CU2819" s="22">
        <f t="shared" si="196"/>
        <v>0</v>
      </c>
      <c r="CV2819" s="26">
        <f t="shared" si="193"/>
        <v>687.5</v>
      </c>
    </row>
    <row r="2820" spans="1:100" x14ac:dyDescent="0.2">
      <c r="A2820" s="9" t="s">
        <v>614</v>
      </c>
      <c r="B2820" s="2">
        <v>14</v>
      </c>
      <c r="C2820" s="3" t="s">
        <v>95</v>
      </c>
      <c r="D2820" s="3" t="s">
        <v>96</v>
      </c>
      <c r="E2820" s="2"/>
      <c r="F2820" s="2"/>
      <c r="G2820" s="2" t="s">
        <v>67</v>
      </c>
      <c r="H2820" s="2">
        <v>2</v>
      </c>
      <c r="I2820" s="8">
        <v>123.74</v>
      </c>
      <c r="J2820" s="8">
        <v>37999</v>
      </c>
      <c r="K2820" s="3">
        <v>0</v>
      </c>
      <c r="L2820" s="3" t="s">
        <v>3</v>
      </c>
      <c r="M2820" s="9" t="s">
        <v>0</v>
      </c>
      <c r="N2820" s="9" t="s">
        <v>56</v>
      </c>
      <c r="O2820" s="9" t="s">
        <v>615</v>
      </c>
      <c r="S2820" s="9" t="s">
        <v>158</v>
      </c>
      <c r="T2820" s="10" t="s">
        <v>67</v>
      </c>
      <c r="U2820" s="10">
        <v>2</v>
      </c>
      <c r="V2820" s="10">
        <v>123.74</v>
      </c>
      <c r="W2820" s="10" t="s">
        <v>710</v>
      </c>
      <c r="X2820" s="17">
        <v>45539</v>
      </c>
      <c r="Y2820" s="17">
        <v>45539</v>
      </c>
      <c r="Z2820" s="19" t="s">
        <v>772</v>
      </c>
      <c r="AA2820" s="210">
        <v>38000</v>
      </c>
      <c r="AB2820" s="10">
        <v>49</v>
      </c>
      <c r="AC2820" s="10">
        <v>44</v>
      </c>
      <c r="AD2820" s="17">
        <v>46873</v>
      </c>
      <c r="AE2820" s="56">
        <v>687.5</v>
      </c>
      <c r="AF2820" s="56"/>
      <c r="AL2820" s="9"/>
      <c r="AM2820" s="9"/>
      <c r="AN2820" s="9"/>
      <c r="AP2820" s="11"/>
      <c r="AQ2820" s="11"/>
      <c r="AR2820" s="11"/>
      <c r="AW2820" s="9"/>
      <c r="BD2820" s="9"/>
      <c r="CS2820" s="11">
        <f t="shared" si="194"/>
        <v>0</v>
      </c>
      <c r="CT2820" s="22">
        <f t="shared" si="195"/>
        <v>0</v>
      </c>
      <c r="CU2820" s="22">
        <f t="shared" si="196"/>
        <v>0</v>
      </c>
      <c r="CV2820" s="26">
        <f t="shared" si="193"/>
        <v>687.5</v>
      </c>
    </row>
    <row r="2821" spans="1:100" x14ac:dyDescent="0.2">
      <c r="A2821" s="9" t="s">
        <v>614</v>
      </c>
      <c r="B2821" s="2">
        <v>14</v>
      </c>
      <c r="C2821" s="3" t="s">
        <v>95</v>
      </c>
      <c r="D2821" s="3" t="s">
        <v>96</v>
      </c>
      <c r="E2821" s="2"/>
      <c r="F2821" s="2"/>
      <c r="G2821" s="2" t="s">
        <v>67</v>
      </c>
      <c r="H2821" s="2">
        <v>2</v>
      </c>
      <c r="I2821" s="8">
        <v>123.74</v>
      </c>
      <c r="J2821" s="8">
        <v>37999</v>
      </c>
      <c r="K2821" s="3">
        <v>0</v>
      </c>
      <c r="L2821" s="3" t="s">
        <v>3</v>
      </c>
      <c r="M2821" s="9" t="s">
        <v>0</v>
      </c>
      <c r="N2821" s="9" t="s">
        <v>56</v>
      </c>
      <c r="O2821" s="9" t="s">
        <v>615</v>
      </c>
      <c r="S2821" s="9" t="s">
        <v>158</v>
      </c>
      <c r="T2821" s="10" t="s">
        <v>67</v>
      </c>
      <c r="U2821" s="10">
        <v>2</v>
      </c>
      <c r="V2821" s="10">
        <v>123.74</v>
      </c>
      <c r="W2821" s="10" t="s">
        <v>710</v>
      </c>
      <c r="X2821" s="17">
        <v>45539</v>
      </c>
      <c r="Y2821" s="17">
        <v>45539</v>
      </c>
      <c r="Z2821" s="19" t="s">
        <v>772</v>
      </c>
      <c r="AA2821" s="210">
        <v>38000</v>
      </c>
      <c r="AB2821" s="10">
        <v>49</v>
      </c>
      <c r="AC2821" s="10">
        <v>45</v>
      </c>
      <c r="AD2821" s="17">
        <v>46903</v>
      </c>
      <c r="AE2821" s="56">
        <v>687.5</v>
      </c>
      <c r="AF2821" s="56"/>
      <c r="AL2821" s="9"/>
      <c r="AM2821" s="9"/>
      <c r="AN2821" s="9"/>
      <c r="AP2821" s="11"/>
      <c r="AQ2821" s="11"/>
      <c r="AR2821" s="11"/>
      <c r="AW2821" s="9"/>
      <c r="BD2821" s="9"/>
      <c r="CS2821" s="11">
        <f t="shared" si="194"/>
        <v>0</v>
      </c>
      <c r="CT2821" s="22">
        <f t="shared" si="195"/>
        <v>0</v>
      </c>
      <c r="CU2821" s="22">
        <f t="shared" si="196"/>
        <v>0</v>
      </c>
      <c r="CV2821" s="26">
        <f t="shared" si="193"/>
        <v>687.5</v>
      </c>
    </row>
    <row r="2822" spans="1:100" x14ac:dyDescent="0.2">
      <c r="A2822" s="9" t="s">
        <v>614</v>
      </c>
      <c r="B2822" s="2">
        <v>14</v>
      </c>
      <c r="C2822" s="3" t="s">
        <v>95</v>
      </c>
      <c r="D2822" s="3" t="s">
        <v>96</v>
      </c>
      <c r="E2822" s="2"/>
      <c r="F2822" s="2"/>
      <c r="G2822" s="2" t="s">
        <v>67</v>
      </c>
      <c r="H2822" s="2">
        <v>2</v>
      </c>
      <c r="I2822" s="8">
        <v>123.74</v>
      </c>
      <c r="J2822" s="8">
        <v>37999</v>
      </c>
      <c r="K2822" s="3">
        <v>0</v>
      </c>
      <c r="L2822" s="3" t="s">
        <v>3</v>
      </c>
      <c r="M2822" s="9" t="s">
        <v>0</v>
      </c>
      <c r="N2822" s="9" t="s">
        <v>56</v>
      </c>
      <c r="O2822" s="9" t="s">
        <v>615</v>
      </c>
      <c r="S2822" s="9" t="s">
        <v>158</v>
      </c>
      <c r="T2822" s="10" t="s">
        <v>67</v>
      </c>
      <c r="U2822" s="10">
        <v>2</v>
      </c>
      <c r="V2822" s="10">
        <v>123.74</v>
      </c>
      <c r="W2822" s="10" t="s">
        <v>710</v>
      </c>
      <c r="X2822" s="17">
        <v>45539</v>
      </c>
      <c r="Y2822" s="17">
        <v>45539</v>
      </c>
      <c r="Z2822" s="19" t="s">
        <v>772</v>
      </c>
      <c r="AA2822" s="210">
        <v>38000</v>
      </c>
      <c r="AB2822" s="10">
        <v>49</v>
      </c>
      <c r="AC2822" s="10">
        <v>46</v>
      </c>
      <c r="AD2822" s="17">
        <v>46934</v>
      </c>
      <c r="AE2822" s="56">
        <v>687.5</v>
      </c>
      <c r="AF2822" s="56"/>
      <c r="AL2822" s="9"/>
      <c r="AM2822" s="9"/>
      <c r="AN2822" s="9"/>
      <c r="AP2822" s="11"/>
      <c r="AQ2822" s="11"/>
      <c r="AR2822" s="11"/>
      <c r="AW2822" s="9"/>
      <c r="BD2822" s="9"/>
      <c r="CS2822" s="11">
        <f t="shared" si="194"/>
        <v>0</v>
      </c>
      <c r="CT2822" s="22">
        <f t="shared" si="195"/>
        <v>0</v>
      </c>
      <c r="CU2822" s="22">
        <f t="shared" si="196"/>
        <v>0</v>
      </c>
      <c r="CV2822" s="26">
        <f t="shared" si="193"/>
        <v>687.5</v>
      </c>
    </row>
    <row r="2823" spans="1:100" x14ac:dyDescent="0.2">
      <c r="A2823" s="9" t="s">
        <v>614</v>
      </c>
      <c r="B2823" s="2">
        <v>14</v>
      </c>
      <c r="C2823" s="3" t="s">
        <v>95</v>
      </c>
      <c r="D2823" s="3" t="s">
        <v>96</v>
      </c>
      <c r="E2823" s="2"/>
      <c r="F2823" s="2"/>
      <c r="G2823" s="2" t="s">
        <v>67</v>
      </c>
      <c r="H2823" s="2">
        <v>2</v>
      </c>
      <c r="I2823" s="8">
        <v>123.74</v>
      </c>
      <c r="J2823" s="8">
        <v>37999</v>
      </c>
      <c r="K2823" s="3">
        <v>0</v>
      </c>
      <c r="L2823" s="3" t="s">
        <v>3</v>
      </c>
      <c r="M2823" s="9" t="s">
        <v>0</v>
      </c>
      <c r="N2823" s="9" t="s">
        <v>56</v>
      </c>
      <c r="O2823" s="9" t="s">
        <v>615</v>
      </c>
      <c r="S2823" s="9" t="s">
        <v>158</v>
      </c>
      <c r="T2823" s="10" t="s">
        <v>67</v>
      </c>
      <c r="U2823" s="10">
        <v>2</v>
      </c>
      <c r="V2823" s="10">
        <v>123.74</v>
      </c>
      <c r="W2823" s="10" t="s">
        <v>710</v>
      </c>
      <c r="X2823" s="17">
        <v>45539</v>
      </c>
      <c r="Y2823" s="17">
        <v>45539</v>
      </c>
      <c r="Z2823" s="19" t="s">
        <v>772</v>
      </c>
      <c r="AA2823" s="210">
        <v>38000</v>
      </c>
      <c r="AB2823" s="10">
        <v>49</v>
      </c>
      <c r="AC2823" s="10">
        <v>47</v>
      </c>
      <c r="AD2823" s="17">
        <v>46964</v>
      </c>
      <c r="AE2823" s="56">
        <v>687.5</v>
      </c>
      <c r="AF2823" s="56"/>
      <c r="AL2823" s="9"/>
      <c r="AM2823" s="9"/>
      <c r="AN2823" s="9"/>
      <c r="AP2823" s="11"/>
      <c r="AQ2823" s="11"/>
      <c r="AR2823" s="11"/>
      <c r="AW2823" s="9"/>
      <c r="BD2823" s="9"/>
      <c r="CS2823" s="11">
        <f t="shared" si="194"/>
        <v>0</v>
      </c>
      <c r="CT2823" s="22">
        <f t="shared" si="195"/>
        <v>0</v>
      </c>
      <c r="CU2823" s="22">
        <f t="shared" si="196"/>
        <v>0</v>
      </c>
      <c r="CV2823" s="26">
        <f t="shared" si="193"/>
        <v>687.5</v>
      </c>
    </row>
    <row r="2824" spans="1:100" x14ac:dyDescent="0.2">
      <c r="A2824" s="9" t="s">
        <v>614</v>
      </c>
      <c r="B2824" s="2">
        <v>14</v>
      </c>
      <c r="C2824" s="3" t="s">
        <v>95</v>
      </c>
      <c r="D2824" s="3" t="s">
        <v>96</v>
      </c>
      <c r="E2824" s="2"/>
      <c r="F2824" s="2"/>
      <c r="G2824" s="2" t="s">
        <v>67</v>
      </c>
      <c r="H2824" s="2">
        <v>2</v>
      </c>
      <c r="I2824" s="8">
        <v>123.74</v>
      </c>
      <c r="J2824" s="8">
        <v>37999</v>
      </c>
      <c r="K2824" s="3">
        <v>0</v>
      </c>
      <c r="L2824" s="3" t="s">
        <v>3</v>
      </c>
      <c r="M2824" s="9" t="s">
        <v>0</v>
      </c>
      <c r="N2824" s="9" t="s">
        <v>56</v>
      </c>
      <c r="O2824" s="9" t="s">
        <v>615</v>
      </c>
      <c r="S2824" s="9" t="s">
        <v>158</v>
      </c>
      <c r="T2824" s="10" t="s">
        <v>67</v>
      </c>
      <c r="U2824" s="10">
        <v>2</v>
      </c>
      <c r="V2824" s="10">
        <v>123.74</v>
      </c>
      <c r="W2824" s="10" t="s">
        <v>710</v>
      </c>
      <c r="X2824" s="17">
        <v>45539</v>
      </c>
      <c r="Y2824" s="17">
        <v>45539</v>
      </c>
      <c r="Z2824" s="19" t="s">
        <v>772</v>
      </c>
      <c r="AA2824" s="210">
        <v>38000</v>
      </c>
      <c r="AB2824" s="10">
        <v>49</v>
      </c>
      <c r="AC2824" s="10">
        <v>48</v>
      </c>
      <c r="AD2824" s="17">
        <v>46995</v>
      </c>
      <c r="AE2824" s="56">
        <v>687.5</v>
      </c>
      <c r="AF2824" s="56"/>
      <c r="AL2824" s="9"/>
      <c r="AM2824" s="9"/>
      <c r="AN2824" s="9"/>
      <c r="AP2824" s="11"/>
      <c r="AQ2824" s="11"/>
      <c r="AR2824" s="11"/>
      <c r="AW2824" s="9"/>
      <c r="BD2824" s="9"/>
      <c r="CS2824" s="11">
        <f t="shared" si="194"/>
        <v>0</v>
      </c>
      <c r="CT2824" s="22">
        <f t="shared" si="195"/>
        <v>0</v>
      </c>
      <c r="CU2824" s="22">
        <f t="shared" si="196"/>
        <v>0</v>
      </c>
      <c r="CV2824" s="26">
        <f t="shared" si="193"/>
        <v>687.5</v>
      </c>
    </row>
    <row r="2825" spans="1:100" x14ac:dyDescent="0.2">
      <c r="A2825" s="9" t="s">
        <v>614</v>
      </c>
      <c r="B2825" s="2">
        <v>14</v>
      </c>
      <c r="C2825" s="3" t="s">
        <v>95</v>
      </c>
      <c r="D2825" s="3" t="s">
        <v>96</v>
      </c>
      <c r="E2825" s="2"/>
      <c r="F2825" s="2"/>
      <c r="G2825" s="2" t="s">
        <v>67</v>
      </c>
      <c r="H2825" s="2">
        <v>2</v>
      </c>
      <c r="I2825" s="8">
        <v>123.74</v>
      </c>
      <c r="J2825" s="8">
        <v>37999</v>
      </c>
      <c r="K2825" s="3">
        <v>0</v>
      </c>
      <c r="L2825" s="3" t="s">
        <v>3</v>
      </c>
      <c r="M2825" s="9" t="s">
        <v>0</v>
      </c>
      <c r="N2825" s="9" t="s">
        <v>56</v>
      </c>
      <c r="O2825" s="9" t="s">
        <v>615</v>
      </c>
      <c r="S2825" s="9" t="s">
        <v>158</v>
      </c>
      <c r="T2825" s="10" t="s">
        <v>67</v>
      </c>
      <c r="U2825" s="10">
        <v>2</v>
      </c>
      <c r="V2825" s="10">
        <v>123.74</v>
      </c>
      <c r="W2825" s="10"/>
      <c r="X2825" s="17">
        <v>45539</v>
      </c>
      <c r="Y2825" s="17">
        <v>45539</v>
      </c>
      <c r="Z2825" s="19" t="s">
        <v>772</v>
      </c>
      <c r="AA2825" s="210">
        <v>38000</v>
      </c>
      <c r="AB2825" s="10">
        <v>49</v>
      </c>
      <c r="AC2825" s="10">
        <v>49</v>
      </c>
      <c r="AD2825" s="17">
        <v>47026</v>
      </c>
      <c r="AE2825" s="56">
        <v>687.5</v>
      </c>
      <c r="AF2825" s="56"/>
      <c r="AH2825" s="17"/>
      <c r="AI2825" s="17"/>
      <c r="AJ2825" s="17"/>
      <c r="AL2825" s="9"/>
      <c r="AM2825" s="9"/>
      <c r="AN2825" s="9"/>
      <c r="AP2825" s="11"/>
      <c r="AQ2825" s="11"/>
      <c r="AR2825" s="11"/>
      <c r="AW2825" s="9"/>
      <c r="BD2825" s="9"/>
      <c r="CS2825" s="11">
        <f t="shared" si="194"/>
        <v>0</v>
      </c>
      <c r="CT2825" s="22">
        <f t="shared" si="195"/>
        <v>0</v>
      </c>
      <c r="CU2825" s="22">
        <f t="shared" si="196"/>
        <v>0</v>
      </c>
      <c r="CV2825" s="26">
        <f t="shared" si="193"/>
        <v>687.5</v>
      </c>
    </row>
    <row r="2826" spans="1:100" x14ac:dyDescent="0.2">
      <c r="A2826" s="9" t="s">
        <v>618</v>
      </c>
      <c r="B2826" s="2">
        <v>92</v>
      </c>
      <c r="C2826" s="3" t="s">
        <v>95</v>
      </c>
      <c r="D2826" s="3" t="s">
        <v>96</v>
      </c>
      <c r="E2826" s="2"/>
      <c r="F2826" s="2"/>
      <c r="G2826" s="2" t="s">
        <v>77</v>
      </c>
      <c r="H2826" s="2">
        <v>1</v>
      </c>
      <c r="I2826" s="8">
        <v>95.82</v>
      </c>
      <c r="J2826" s="8">
        <v>30999</v>
      </c>
      <c r="K2826" s="3">
        <v>0</v>
      </c>
      <c r="L2826" s="3" t="s">
        <v>3</v>
      </c>
      <c r="M2826" s="9" t="s">
        <v>0</v>
      </c>
      <c r="N2826" s="9" t="s">
        <v>57</v>
      </c>
      <c r="O2826" s="9" t="s">
        <v>579</v>
      </c>
      <c r="S2826" s="9" t="s">
        <v>158</v>
      </c>
      <c r="T2826" s="10" t="s">
        <v>77</v>
      </c>
      <c r="U2826" s="10">
        <v>1</v>
      </c>
      <c r="V2826" s="10">
        <v>95.82</v>
      </c>
      <c r="W2826" s="10" t="s">
        <v>710</v>
      </c>
      <c r="X2826" s="17">
        <v>45529</v>
      </c>
      <c r="Y2826" s="17">
        <v>45554</v>
      </c>
      <c r="Z2826" s="19" t="s">
        <v>772</v>
      </c>
      <c r="AA2826" s="212">
        <v>30000</v>
      </c>
      <c r="AB2826" s="9">
        <v>39</v>
      </c>
      <c r="AC2826" s="9">
        <v>0</v>
      </c>
      <c r="AD2826" s="17">
        <v>45529</v>
      </c>
      <c r="AE2826" s="11">
        <v>1000</v>
      </c>
      <c r="AF2826" s="56"/>
      <c r="AG2826" s="10" t="s">
        <v>134</v>
      </c>
      <c r="AH2826" s="17">
        <v>45529</v>
      </c>
      <c r="AI2826" s="17"/>
      <c r="AJ2826" s="17"/>
      <c r="AK2826" s="9" t="s">
        <v>619</v>
      </c>
      <c r="AL2826" s="11">
        <v>1000</v>
      </c>
      <c r="AN2826" s="11" t="s">
        <v>955</v>
      </c>
      <c r="AP2826" s="11"/>
      <c r="AQ2826" s="11"/>
      <c r="AR2826" s="11"/>
      <c r="AW2826" s="42">
        <v>45532</v>
      </c>
      <c r="AX2826" s="36">
        <v>3081</v>
      </c>
      <c r="AY2826" s="36"/>
      <c r="AZ2826" s="36"/>
      <c r="BA2826" s="40">
        <v>500</v>
      </c>
      <c r="BC2826" s="42">
        <v>45531</v>
      </c>
      <c r="BD2826" s="36">
        <v>3083</v>
      </c>
      <c r="BE2826" s="36"/>
      <c r="BF2826" s="36"/>
      <c r="BG2826" s="36">
        <v>500</v>
      </c>
      <c r="BH2826" s="36"/>
      <c r="CS2826" s="11">
        <f t="shared" si="194"/>
        <v>1000</v>
      </c>
      <c r="CT2826" s="22">
        <f t="shared" si="195"/>
        <v>1000</v>
      </c>
      <c r="CU2826" s="22">
        <f t="shared" si="196"/>
        <v>0</v>
      </c>
      <c r="CV2826" s="26">
        <f t="shared" si="193"/>
        <v>0</v>
      </c>
    </row>
    <row r="2827" spans="1:100" x14ac:dyDescent="0.2">
      <c r="A2827" s="9" t="s">
        <v>618</v>
      </c>
      <c r="B2827" s="2">
        <v>92</v>
      </c>
      <c r="C2827" s="3" t="s">
        <v>95</v>
      </c>
      <c r="D2827" s="3" t="s">
        <v>96</v>
      </c>
      <c r="E2827" s="2"/>
      <c r="F2827" s="2"/>
      <c r="G2827" s="2" t="s">
        <v>77</v>
      </c>
      <c r="H2827" s="2">
        <v>1</v>
      </c>
      <c r="I2827" s="8">
        <v>95.82</v>
      </c>
      <c r="J2827" s="8">
        <v>30999</v>
      </c>
      <c r="K2827" s="3">
        <v>0</v>
      </c>
      <c r="L2827" s="3" t="s">
        <v>3</v>
      </c>
      <c r="M2827" s="9" t="s">
        <v>0</v>
      </c>
      <c r="N2827" s="9" t="s">
        <v>57</v>
      </c>
      <c r="O2827" s="9" t="s">
        <v>579</v>
      </c>
      <c r="S2827" s="9" t="s">
        <v>158</v>
      </c>
      <c r="T2827" s="10" t="s">
        <v>77</v>
      </c>
      <c r="U2827" s="10">
        <v>1</v>
      </c>
      <c r="V2827" s="10">
        <v>95.82</v>
      </c>
      <c r="W2827" s="10" t="s">
        <v>710</v>
      </c>
      <c r="X2827" s="17">
        <v>45529</v>
      </c>
      <c r="Y2827" s="17">
        <v>45554</v>
      </c>
      <c r="Z2827" s="19" t="s">
        <v>772</v>
      </c>
      <c r="AA2827" s="212">
        <v>30000</v>
      </c>
      <c r="AB2827" s="9">
        <v>39</v>
      </c>
      <c r="AC2827" s="9">
        <v>0</v>
      </c>
      <c r="AD2827" s="17">
        <v>45537</v>
      </c>
      <c r="AE2827" s="11">
        <v>1000</v>
      </c>
      <c r="AF2827" s="56"/>
      <c r="AG2827" s="10" t="s">
        <v>134</v>
      </c>
      <c r="AH2827" s="17">
        <v>45537</v>
      </c>
      <c r="AI2827" s="17"/>
      <c r="AJ2827" s="17"/>
      <c r="AK2827" s="9" t="s">
        <v>620</v>
      </c>
      <c r="AL2827" s="11">
        <v>1000</v>
      </c>
      <c r="AN2827" s="9" t="s">
        <v>956</v>
      </c>
      <c r="AP2827" s="11"/>
      <c r="AQ2827" s="11"/>
      <c r="AR2827" s="11"/>
      <c r="AW2827" s="42">
        <v>45535</v>
      </c>
      <c r="AX2827" s="36">
        <v>3097</v>
      </c>
      <c r="AY2827" s="36"/>
      <c r="AZ2827" s="36"/>
      <c r="BA2827" s="40">
        <v>1000</v>
      </c>
      <c r="BD2827" s="9"/>
      <c r="CS2827" s="11">
        <f t="shared" si="194"/>
        <v>1000</v>
      </c>
      <c r="CT2827" s="22">
        <f t="shared" si="195"/>
        <v>1000</v>
      </c>
      <c r="CU2827" s="22">
        <f t="shared" si="196"/>
        <v>0</v>
      </c>
      <c r="CV2827" s="26">
        <f t="shared" si="193"/>
        <v>0</v>
      </c>
    </row>
    <row r="2828" spans="1:100" x14ac:dyDescent="0.2">
      <c r="A2828" s="9" t="s">
        <v>618</v>
      </c>
      <c r="B2828" s="2">
        <v>92</v>
      </c>
      <c r="C2828" s="3" t="s">
        <v>95</v>
      </c>
      <c r="D2828" s="3" t="s">
        <v>96</v>
      </c>
      <c r="E2828" s="2"/>
      <c r="F2828" s="2"/>
      <c r="G2828" s="2" t="s">
        <v>77</v>
      </c>
      <c r="H2828" s="2">
        <v>1</v>
      </c>
      <c r="I2828" s="8">
        <v>95.82</v>
      </c>
      <c r="J2828" s="8">
        <v>30999</v>
      </c>
      <c r="K2828" s="3">
        <v>0</v>
      </c>
      <c r="L2828" s="3" t="s">
        <v>3</v>
      </c>
      <c r="M2828" s="9" t="s">
        <v>0</v>
      </c>
      <c r="N2828" s="9" t="s">
        <v>57</v>
      </c>
      <c r="O2828" s="9" t="s">
        <v>579</v>
      </c>
      <c r="S2828" s="9" t="s">
        <v>158</v>
      </c>
      <c r="T2828" s="10" t="s">
        <v>77</v>
      </c>
      <c r="U2828" s="10">
        <v>1</v>
      </c>
      <c r="V2828" s="10">
        <v>95.82</v>
      </c>
      <c r="W2828" s="10" t="s">
        <v>710</v>
      </c>
      <c r="X2828" s="17">
        <v>45529</v>
      </c>
      <c r="Y2828" s="17">
        <v>45554</v>
      </c>
      <c r="Z2828" s="19" t="s">
        <v>772</v>
      </c>
      <c r="AA2828" s="212">
        <v>30000</v>
      </c>
      <c r="AB2828" s="9">
        <v>39</v>
      </c>
      <c r="AC2828" s="9">
        <v>0</v>
      </c>
      <c r="AD2828" s="17">
        <v>45553</v>
      </c>
      <c r="AE2828" s="11">
        <v>1000</v>
      </c>
      <c r="AF2828" s="56"/>
      <c r="AG2828" s="10" t="s">
        <v>134</v>
      </c>
      <c r="AH2828" s="17">
        <v>45553</v>
      </c>
      <c r="AI2828" s="17"/>
      <c r="AJ2828" s="17"/>
      <c r="AK2828" s="9" t="s">
        <v>621</v>
      </c>
      <c r="AL2828" s="11">
        <v>1000</v>
      </c>
      <c r="AN2828" s="9" t="s">
        <v>957</v>
      </c>
      <c r="AP2828" s="11"/>
      <c r="AQ2828" s="11"/>
      <c r="AR2828" s="11"/>
      <c r="AW2828" s="42">
        <v>45553</v>
      </c>
      <c r="AX2828" s="36">
        <v>3183</v>
      </c>
      <c r="AY2828" s="36"/>
      <c r="AZ2828" s="36"/>
      <c r="BA2828" s="40">
        <v>1000</v>
      </c>
      <c r="BD2828" s="9"/>
      <c r="CS2828" s="11">
        <f t="shared" si="194"/>
        <v>1000</v>
      </c>
      <c r="CT2828" s="22">
        <f t="shared" si="195"/>
        <v>1000</v>
      </c>
      <c r="CU2828" s="22">
        <f t="shared" si="196"/>
        <v>0</v>
      </c>
      <c r="CV2828" s="26">
        <f t="shared" si="193"/>
        <v>0</v>
      </c>
    </row>
    <row r="2829" spans="1:100" x14ac:dyDescent="0.2">
      <c r="A2829" s="9" t="s">
        <v>618</v>
      </c>
      <c r="B2829" s="2">
        <v>92</v>
      </c>
      <c r="C2829" s="3" t="s">
        <v>95</v>
      </c>
      <c r="D2829" s="3" t="s">
        <v>96</v>
      </c>
      <c r="E2829" s="2"/>
      <c r="F2829" s="2"/>
      <c r="G2829" s="2" t="s">
        <v>77</v>
      </c>
      <c r="H2829" s="2">
        <v>1</v>
      </c>
      <c r="I2829" s="8">
        <v>95.82</v>
      </c>
      <c r="J2829" s="8">
        <v>30999</v>
      </c>
      <c r="K2829" s="3">
        <v>0</v>
      </c>
      <c r="L2829" s="3" t="s">
        <v>3</v>
      </c>
      <c r="M2829" s="9" t="s">
        <v>0</v>
      </c>
      <c r="N2829" s="9" t="s">
        <v>57</v>
      </c>
      <c r="O2829" s="9" t="s">
        <v>579</v>
      </c>
      <c r="S2829" s="9" t="s">
        <v>158</v>
      </c>
      <c r="T2829" s="10" t="s">
        <v>77</v>
      </c>
      <c r="U2829" s="10">
        <v>1</v>
      </c>
      <c r="V2829" s="10">
        <v>95.82</v>
      </c>
      <c r="W2829" s="10" t="s">
        <v>710</v>
      </c>
      <c r="X2829" s="17">
        <v>45529</v>
      </c>
      <c r="Y2829" s="17">
        <v>45554</v>
      </c>
      <c r="Z2829" s="19" t="s">
        <v>772</v>
      </c>
      <c r="AA2829" s="212">
        <v>30000</v>
      </c>
      <c r="AB2829" s="9">
        <v>39</v>
      </c>
      <c r="AC2829" s="9">
        <v>1</v>
      </c>
      <c r="AD2829" s="17">
        <v>45646</v>
      </c>
      <c r="AE2829" s="11">
        <v>2000</v>
      </c>
      <c r="AF2829" s="56"/>
      <c r="AG2829" s="10" t="s">
        <v>134</v>
      </c>
      <c r="AH2829" s="17">
        <v>45688</v>
      </c>
      <c r="AI2829" s="17"/>
      <c r="AJ2829" s="17"/>
      <c r="AK2829" s="9" t="s">
        <v>958</v>
      </c>
      <c r="AL2829" s="22">
        <v>500</v>
      </c>
      <c r="AM2829" s="22"/>
      <c r="AN2829" s="9" t="s">
        <v>959</v>
      </c>
      <c r="AO2829" s="22"/>
      <c r="AP2829" s="22"/>
      <c r="AQ2829" s="22"/>
      <c r="AR2829" s="22"/>
      <c r="AW2829" s="42">
        <v>45663</v>
      </c>
      <c r="AX2829" s="36">
        <v>44200</v>
      </c>
      <c r="AY2829" s="93">
        <v>1860</v>
      </c>
      <c r="AZ2829" s="36">
        <v>3.72</v>
      </c>
      <c r="BA2829" s="40">
        <f>+AY2829/AZ2829</f>
        <v>500</v>
      </c>
      <c r="BD2829" s="9"/>
      <c r="CS2829" s="11">
        <f t="shared" si="194"/>
        <v>500</v>
      </c>
      <c r="CT2829" s="22">
        <f t="shared" si="195"/>
        <v>500</v>
      </c>
      <c r="CU2829" s="22">
        <f t="shared" si="196"/>
        <v>0</v>
      </c>
      <c r="CV2829" s="26">
        <f t="shared" si="193"/>
        <v>1500</v>
      </c>
    </row>
    <row r="2830" spans="1:100" x14ac:dyDescent="0.2">
      <c r="A2830" s="9" t="s">
        <v>618</v>
      </c>
      <c r="B2830" s="2">
        <v>92</v>
      </c>
      <c r="C2830" s="3" t="s">
        <v>95</v>
      </c>
      <c r="D2830" s="3" t="s">
        <v>96</v>
      </c>
      <c r="E2830" s="2"/>
      <c r="F2830" s="2"/>
      <c r="G2830" s="2" t="s">
        <v>77</v>
      </c>
      <c r="H2830" s="2">
        <v>1</v>
      </c>
      <c r="I2830" s="8">
        <v>95.82</v>
      </c>
      <c r="J2830" s="8">
        <v>30999</v>
      </c>
      <c r="K2830" s="3">
        <v>0</v>
      </c>
      <c r="L2830" s="3" t="s">
        <v>3</v>
      </c>
      <c r="M2830" s="9" t="s">
        <v>0</v>
      </c>
      <c r="N2830" s="9" t="s">
        <v>57</v>
      </c>
      <c r="O2830" s="9" t="s">
        <v>579</v>
      </c>
      <c r="S2830" s="9" t="s">
        <v>158</v>
      </c>
      <c r="T2830" s="10" t="s">
        <v>77</v>
      </c>
      <c r="U2830" s="10">
        <v>1</v>
      </c>
      <c r="V2830" s="10">
        <v>95.82</v>
      </c>
      <c r="W2830" s="10" t="s">
        <v>710</v>
      </c>
      <c r="X2830" s="17">
        <v>45529</v>
      </c>
      <c r="Y2830" s="17">
        <v>45554</v>
      </c>
      <c r="Z2830" s="19" t="s">
        <v>772</v>
      </c>
      <c r="AA2830" s="212">
        <v>30000</v>
      </c>
      <c r="AB2830" s="9">
        <v>39</v>
      </c>
      <c r="AC2830" s="9">
        <v>2</v>
      </c>
      <c r="AD2830" s="17">
        <v>45677</v>
      </c>
      <c r="AE2830" s="11">
        <v>500</v>
      </c>
      <c r="AF2830" s="56"/>
      <c r="AH2830" s="17"/>
      <c r="AI2830" s="17"/>
      <c r="AJ2830" s="17"/>
      <c r="AL2830" s="9"/>
      <c r="AM2830" s="9"/>
      <c r="AN2830" s="9"/>
      <c r="AO2830" s="22"/>
      <c r="AP2830" s="22"/>
      <c r="AQ2830" s="22"/>
      <c r="AR2830" s="22"/>
      <c r="AW2830" s="9"/>
      <c r="BD2830" s="9"/>
      <c r="CS2830" s="11">
        <f t="shared" si="194"/>
        <v>0</v>
      </c>
      <c r="CT2830" s="22">
        <f t="shared" si="195"/>
        <v>0</v>
      </c>
      <c r="CU2830" s="22">
        <f t="shared" si="196"/>
        <v>0</v>
      </c>
      <c r="CV2830" s="26">
        <f t="shared" si="193"/>
        <v>500</v>
      </c>
    </row>
    <row r="2831" spans="1:100" x14ac:dyDescent="0.2">
      <c r="A2831" s="9" t="s">
        <v>618</v>
      </c>
      <c r="B2831" s="2">
        <v>92</v>
      </c>
      <c r="C2831" s="3" t="s">
        <v>95</v>
      </c>
      <c r="D2831" s="3" t="s">
        <v>96</v>
      </c>
      <c r="E2831" s="2"/>
      <c r="F2831" s="2"/>
      <c r="G2831" s="2" t="s">
        <v>77</v>
      </c>
      <c r="H2831" s="2">
        <v>1</v>
      </c>
      <c r="I2831" s="8">
        <v>95.82</v>
      </c>
      <c r="J2831" s="8">
        <v>30999</v>
      </c>
      <c r="K2831" s="3">
        <v>0</v>
      </c>
      <c r="L2831" s="3" t="s">
        <v>3</v>
      </c>
      <c r="M2831" s="9" t="s">
        <v>0</v>
      </c>
      <c r="N2831" s="9" t="s">
        <v>57</v>
      </c>
      <c r="O2831" s="9" t="s">
        <v>579</v>
      </c>
      <c r="S2831" s="9" t="s">
        <v>158</v>
      </c>
      <c r="T2831" s="10" t="s">
        <v>77</v>
      </c>
      <c r="U2831" s="10">
        <v>1</v>
      </c>
      <c r="V2831" s="10">
        <v>95.82</v>
      </c>
      <c r="W2831" s="10" t="s">
        <v>710</v>
      </c>
      <c r="X2831" s="17">
        <v>45529</v>
      </c>
      <c r="Y2831" s="17">
        <v>45554</v>
      </c>
      <c r="Z2831" s="19" t="s">
        <v>772</v>
      </c>
      <c r="AA2831" s="212">
        <v>30000</v>
      </c>
      <c r="AB2831" s="9">
        <v>39</v>
      </c>
      <c r="AC2831" s="9">
        <v>3</v>
      </c>
      <c r="AD2831" s="17">
        <v>45708</v>
      </c>
      <c r="AE2831" s="11">
        <v>500</v>
      </c>
      <c r="AF2831" s="56"/>
      <c r="AH2831" s="17"/>
      <c r="AI2831" s="17"/>
      <c r="AJ2831" s="17"/>
      <c r="AL2831" s="9"/>
      <c r="AM2831" s="9"/>
      <c r="AN2831" s="9"/>
      <c r="AO2831" s="22"/>
      <c r="AP2831" s="22"/>
      <c r="AQ2831" s="22"/>
      <c r="AR2831" s="22"/>
      <c r="AW2831" s="9"/>
      <c r="BD2831" s="9"/>
      <c r="CS2831" s="11">
        <f t="shared" si="194"/>
        <v>0</v>
      </c>
      <c r="CT2831" s="22">
        <f t="shared" si="195"/>
        <v>0</v>
      </c>
      <c r="CU2831" s="22">
        <f t="shared" si="196"/>
        <v>0</v>
      </c>
      <c r="CV2831" s="26">
        <f t="shared" si="193"/>
        <v>500</v>
      </c>
    </row>
    <row r="2832" spans="1:100" x14ac:dyDescent="0.2">
      <c r="A2832" s="9" t="s">
        <v>618</v>
      </c>
      <c r="B2832" s="2">
        <v>92</v>
      </c>
      <c r="C2832" s="3" t="s">
        <v>95</v>
      </c>
      <c r="D2832" s="3" t="s">
        <v>96</v>
      </c>
      <c r="E2832" s="2"/>
      <c r="F2832" s="2"/>
      <c r="G2832" s="2" t="s">
        <v>77</v>
      </c>
      <c r="H2832" s="2">
        <v>1</v>
      </c>
      <c r="I2832" s="8">
        <v>95.82</v>
      </c>
      <c r="J2832" s="8">
        <v>30999</v>
      </c>
      <c r="K2832" s="3">
        <v>0</v>
      </c>
      <c r="L2832" s="3" t="s">
        <v>3</v>
      </c>
      <c r="M2832" s="9" t="s">
        <v>0</v>
      </c>
      <c r="N2832" s="9" t="s">
        <v>57</v>
      </c>
      <c r="O2832" s="9" t="s">
        <v>579</v>
      </c>
      <c r="S2832" s="9" t="s">
        <v>158</v>
      </c>
      <c r="T2832" s="10" t="s">
        <v>77</v>
      </c>
      <c r="U2832" s="10">
        <v>1</v>
      </c>
      <c r="V2832" s="10">
        <v>95.82</v>
      </c>
      <c r="W2832" s="10" t="s">
        <v>710</v>
      </c>
      <c r="X2832" s="17">
        <v>45529</v>
      </c>
      <c r="Y2832" s="17">
        <v>45554</v>
      </c>
      <c r="Z2832" s="19" t="s">
        <v>772</v>
      </c>
      <c r="AA2832" s="212">
        <v>30000</v>
      </c>
      <c r="AB2832" s="9">
        <v>39</v>
      </c>
      <c r="AC2832" s="9">
        <v>4</v>
      </c>
      <c r="AD2832" s="17">
        <v>45736</v>
      </c>
      <c r="AE2832" s="11">
        <v>500</v>
      </c>
      <c r="AF2832" s="56"/>
      <c r="AH2832" s="17"/>
      <c r="AI2832" s="17"/>
      <c r="AJ2832" s="17"/>
      <c r="AL2832" s="9"/>
      <c r="AM2832" s="9"/>
      <c r="AN2832" s="9"/>
      <c r="AO2832" s="22"/>
      <c r="AP2832" s="22"/>
      <c r="AQ2832" s="22"/>
      <c r="AR2832" s="22"/>
      <c r="AW2832" s="9"/>
      <c r="BD2832" s="9"/>
      <c r="CS2832" s="11">
        <f t="shared" si="194"/>
        <v>0</v>
      </c>
      <c r="CT2832" s="22">
        <f t="shared" si="195"/>
        <v>0</v>
      </c>
      <c r="CU2832" s="22">
        <f t="shared" si="196"/>
        <v>0</v>
      </c>
      <c r="CV2832" s="26">
        <f t="shared" si="193"/>
        <v>500</v>
      </c>
    </row>
    <row r="2833" spans="1:100" x14ac:dyDescent="0.2">
      <c r="A2833" s="9" t="s">
        <v>618</v>
      </c>
      <c r="B2833" s="2">
        <v>92</v>
      </c>
      <c r="C2833" s="3" t="s">
        <v>95</v>
      </c>
      <c r="D2833" s="3" t="s">
        <v>96</v>
      </c>
      <c r="E2833" s="2"/>
      <c r="F2833" s="2"/>
      <c r="G2833" s="2" t="s">
        <v>77</v>
      </c>
      <c r="H2833" s="2">
        <v>1</v>
      </c>
      <c r="I2833" s="8">
        <v>95.82</v>
      </c>
      <c r="J2833" s="8">
        <v>30999</v>
      </c>
      <c r="K2833" s="3">
        <v>0</v>
      </c>
      <c r="L2833" s="3" t="s">
        <v>3</v>
      </c>
      <c r="M2833" s="9" t="s">
        <v>0</v>
      </c>
      <c r="N2833" s="9" t="s">
        <v>57</v>
      </c>
      <c r="O2833" s="9" t="s">
        <v>579</v>
      </c>
      <c r="S2833" s="9" t="s">
        <v>158</v>
      </c>
      <c r="T2833" s="10" t="s">
        <v>77</v>
      </c>
      <c r="U2833" s="10">
        <v>1</v>
      </c>
      <c r="V2833" s="10">
        <v>95.82</v>
      </c>
      <c r="W2833" s="10" t="s">
        <v>710</v>
      </c>
      <c r="X2833" s="17">
        <v>45529</v>
      </c>
      <c r="Y2833" s="17">
        <v>45554</v>
      </c>
      <c r="Z2833" s="19" t="s">
        <v>772</v>
      </c>
      <c r="AA2833" s="212">
        <v>30000</v>
      </c>
      <c r="AB2833" s="9">
        <v>39</v>
      </c>
      <c r="AC2833" s="9">
        <v>5</v>
      </c>
      <c r="AD2833" s="17">
        <v>45767</v>
      </c>
      <c r="AE2833" s="11">
        <v>500</v>
      </c>
      <c r="AF2833" s="56"/>
      <c r="AH2833" s="17"/>
      <c r="AI2833" s="17"/>
      <c r="AJ2833" s="17"/>
      <c r="AL2833" s="9"/>
      <c r="AM2833" s="9"/>
      <c r="AN2833" s="9"/>
      <c r="AO2833" s="22"/>
      <c r="AP2833" s="22"/>
      <c r="AQ2833" s="22"/>
      <c r="AR2833" s="22"/>
      <c r="AW2833" s="9"/>
      <c r="BD2833" s="9"/>
      <c r="CS2833" s="11">
        <f t="shared" si="194"/>
        <v>0</v>
      </c>
      <c r="CT2833" s="22">
        <f t="shared" si="195"/>
        <v>0</v>
      </c>
      <c r="CU2833" s="22">
        <f t="shared" si="196"/>
        <v>0</v>
      </c>
      <c r="CV2833" s="26">
        <f t="shared" si="193"/>
        <v>500</v>
      </c>
    </row>
    <row r="2834" spans="1:100" x14ac:dyDescent="0.2">
      <c r="A2834" s="9" t="s">
        <v>618</v>
      </c>
      <c r="B2834" s="2">
        <v>92</v>
      </c>
      <c r="C2834" s="3" t="s">
        <v>95</v>
      </c>
      <c r="D2834" s="3" t="s">
        <v>96</v>
      </c>
      <c r="E2834" s="2"/>
      <c r="F2834" s="2"/>
      <c r="G2834" s="2" t="s">
        <v>77</v>
      </c>
      <c r="H2834" s="2">
        <v>1</v>
      </c>
      <c r="I2834" s="8">
        <v>95.82</v>
      </c>
      <c r="J2834" s="8">
        <v>30999</v>
      </c>
      <c r="K2834" s="3">
        <v>0</v>
      </c>
      <c r="L2834" s="3" t="s">
        <v>3</v>
      </c>
      <c r="M2834" s="9" t="s">
        <v>0</v>
      </c>
      <c r="N2834" s="9" t="s">
        <v>57</v>
      </c>
      <c r="O2834" s="9" t="s">
        <v>579</v>
      </c>
      <c r="S2834" s="9" t="s">
        <v>158</v>
      </c>
      <c r="T2834" s="2" t="s">
        <v>77</v>
      </c>
      <c r="U2834" s="2">
        <v>1</v>
      </c>
      <c r="V2834" s="2">
        <v>95.82</v>
      </c>
      <c r="W2834" s="10" t="s">
        <v>710</v>
      </c>
      <c r="X2834" s="17">
        <v>45529</v>
      </c>
      <c r="Y2834" s="17">
        <v>45554</v>
      </c>
      <c r="Z2834" s="19" t="s">
        <v>772</v>
      </c>
      <c r="AA2834" s="212">
        <v>30000</v>
      </c>
      <c r="AB2834" s="9">
        <v>39</v>
      </c>
      <c r="AC2834" s="9">
        <v>6</v>
      </c>
      <c r="AD2834" s="17">
        <v>45797</v>
      </c>
      <c r="AE2834" s="11">
        <v>500</v>
      </c>
      <c r="AF2834" s="56"/>
      <c r="AH2834" s="17"/>
      <c r="AI2834" s="17"/>
      <c r="AJ2834" s="17"/>
      <c r="AL2834" s="9"/>
      <c r="AM2834" s="9"/>
      <c r="AN2834" s="9"/>
      <c r="AO2834" s="22"/>
      <c r="AP2834" s="22"/>
      <c r="AQ2834" s="22"/>
      <c r="AR2834" s="22"/>
      <c r="AW2834" s="9"/>
      <c r="BD2834" s="9"/>
      <c r="CS2834" s="11">
        <f t="shared" si="194"/>
        <v>0</v>
      </c>
      <c r="CT2834" s="22">
        <f t="shared" si="195"/>
        <v>0</v>
      </c>
      <c r="CU2834" s="22">
        <f t="shared" si="196"/>
        <v>0</v>
      </c>
      <c r="CV2834" s="26">
        <f t="shared" si="193"/>
        <v>500</v>
      </c>
    </row>
    <row r="2835" spans="1:100" x14ac:dyDescent="0.2">
      <c r="A2835" s="9" t="s">
        <v>618</v>
      </c>
      <c r="B2835" s="2">
        <v>92</v>
      </c>
      <c r="C2835" s="3" t="s">
        <v>95</v>
      </c>
      <c r="D2835" s="3" t="s">
        <v>96</v>
      </c>
      <c r="E2835" s="2"/>
      <c r="F2835" s="2"/>
      <c r="G2835" s="2" t="s">
        <v>77</v>
      </c>
      <c r="H2835" s="2">
        <v>1</v>
      </c>
      <c r="I2835" s="8">
        <v>95.82</v>
      </c>
      <c r="J2835" s="8">
        <v>30999</v>
      </c>
      <c r="K2835" s="3">
        <v>0</v>
      </c>
      <c r="L2835" s="3" t="s">
        <v>3</v>
      </c>
      <c r="M2835" s="9" t="s">
        <v>0</v>
      </c>
      <c r="N2835" s="9" t="s">
        <v>57</v>
      </c>
      <c r="O2835" s="9" t="s">
        <v>579</v>
      </c>
      <c r="S2835" s="9" t="s">
        <v>158</v>
      </c>
      <c r="T2835" s="2" t="s">
        <v>77</v>
      </c>
      <c r="U2835" s="2">
        <v>1</v>
      </c>
      <c r="V2835" s="2">
        <v>95.82</v>
      </c>
      <c r="W2835" s="10" t="s">
        <v>710</v>
      </c>
      <c r="X2835" s="17">
        <v>45529</v>
      </c>
      <c r="Y2835" s="17">
        <v>45554</v>
      </c>
      <c r="Z2835" s="19" t="s">
        <v>772</v>
      </c>
      <c r="AA2835" s="212">
        <v>30000</v>
      </c>
      <c r="AB2835" s="9">
        <v>39</v>
      </c>
      <c r="AC2835" s="9">
        <v>7</v>
      </c>
      <c r="AD2835" s="17">
        <v>45828</v>
      </c>
      <c r="AE2835" s="11">
        <v>500</v>
      </c>
      <c r="AF2835" s="56"/>
      <c r="AH2835" s="17"/>
      <c r="AI2835" s="17"/>
      <c r="AJ2835" s="17"/>
      <c r="AL2835" s="9"/>
      <c r="AM2835" s="9"/>
      <c r="AN2835" s="9"/>
      <c r="AO2835" s="22"/>
      <c r="AP2835" s="22"/>
      <c r="AQ2835" s="22"/>
      <c r="AR2835" s="22"/>
      <c r="AW2835" s="9"/>
      <c r="BD2835" s="9"/>
      <c r="CS2835" s="11">
        <f t="shared" si="194"/>
        <v>0</v>
      </c>
      <c r="CT2835" s="22">
        <f t="shared" si="195"/>
        <v>0</v>
      </c>
      <c r="CU2835" s="22">
        <f t="shared" si="196"/>
        <v>0</v>
      </c>
      <c r="CV2835" s="26">
        <f t="shared" si="193"/>
        <v>500</v>
      </c>
    </row>
    <row r="2836" spans="1:100" x14ac:dyDescent="0.2">
      <c r="A2836" s="9" t="s">
        <v>618</v>
      </c>
      <c r="B2836" s="2">
        <v>92</v>
      </c>
      <c r="C2836" s="3" t="s">
        <v>95</v>
      </c>
      <c r="D2836" s="3" t="s">
        <v>96</v>
      </c>
      <c r="E2836" s="2"/>
      <c r="F2836" s="2"/>
      <c r="G2836" s="2" t="s">
        <v>77</v>
      </c>
      <c r="H2836" s="2">
        <v>1</v>
      </c>
      <c r="I2836" s="8">
        <v>95.82</v>
      </c>
      <c r="J2836" s="8">
        <v>30999</v>
      </c>
      <c r="K2836" s="3">
        <v>0</v>
      </c>
      <c r="L2836" s="3" t="s">
        <v>3</v>
      </c>
      <c r="M2836" s="9" t="s">
        <v>0</v>
      </c>
      <c r="N2836" s="9" t="s">
        <v>57</v>
      </c>
      <c r="O2836" s="9" t="s">
        <v>579</v>
      </c>
      <c r="S2836" s="9" t="s">
        <v>158</v>
      </c>
      <c r="T2836" s="2" t="s">
        <v>77</v>
      </c>
      <c r="U2836" s="2">
        <v>1</v>
      </c>
      <c r="V2836" s="2">
        <v>95.82</v>
      </c>
      <c r="W2836" s="10" t="s">
        <v>710</v>
      </c>
      <c r="X2836" s="17">
        <v>45529</v>
      </c>
      <c r="Y2836" s="17">
        <v>45554</v>
      </c>
      <c r="Z2836" s="19" t="s">
        <v>772</v>
      </c>
      <c r="AA2836" s="212">
        <v>30000</v>
      </c>
      <c r="AB2836" s="9">
        <v>39</v>
      </c>
      <c r="AC2836" s="9">
        <v>8</v>
      </c>
      <c r="AD2836" s="17">
        <v>45858</v>
      </c>
      <c r="AE2836" s="11">
        <v>500</v>
      </c>
      <c r="AF2836" s="56"/>
      <c r="AH2836" s="17"/>
      <c r="AI2836" s="17"/>
      <c r="AJ2836" s="17"/>
      <c r="AL2836" s="9"/>
      <c r="AM2836" s="9"/>
      <c r="AN2836" s="9"/>
      <c r="AO2836" s="22"/>
      <c r="AP2836" s="22"/>
      <c r="AQ2836" s="22"/>
      <c r="AR2836" s="22"/>
      <c r="AW2836" s="9"/>
      <c r="BD2836" s="9"/>
      <c r="CS2836" s="11">
        <f t="shared" si="194"/>
        <v>0</v>
      </c>
      <c r="CT2836" s="22">
        <f t="shared" si="195"/>
        <v>0</v>
      </c>
      <c r="CU2836" s="22">
        <f t="shared" si="196"/>
        <v>0</v>
      </c>
      <c r="CV2836" s="26">
        <f t="shared" si="193"/>
        <v>500</v>
      </c>
    </row>
    <row r="2837" spans="1:100" x14ac:dyDescent="0.2">
      <c r="A2837" s="9" t="s">
        <v>618</v>
      </c>
      <c r="B2837" s="2">
        <v>92</v>
      </c>
      <c r="C2837" s="3" t="s">
        <v>95</v>
      </c>
      <c r="D2837" s="3" t="s">
        <v>96</v>
      </c>
      <c r="E2837" s="2"/>
      <c r="F2837" s="2"/>
      <c r="G2837" s="2" t="s">
        <v>77</v>
      </c>
      <c r="H2837" s="2">
        <v>1</v>
      </c>
      <c r="I2837" s="8">
        <v>95.82</v>
      </c>
      <c r="J2837" s="8">
        <v>30999</v>
      </c>
      <c r="K2837" s="3">
        <v>0</v>
      </c>
      <c r="L2837" s="3" t="s">
        <v>3</v>
      </c>
      <c r="M2837" s="9" t="s">
        <v>0</v>
      </c>
      <c r="N2837" s="9" t="s">
        <v>57</v>
      </c>
      <c r="O2837" s="9" t="s">
        <v>579</v>
      </c>
      <c r="S2837" s="9" t="s">
        <v>158</v>
      </c>
      <c r="T2837" s="2" t="s">
        <v>77</v>
      </c>
      <c r="U2837" s="2">
        <v>1</v>
      </c>
      <c r="V2837" s="2">
        <v>95.82</v>
      </c>
      <c r="W2837" s="10" t="s">
        <v>710</v>
      </c>
      <c r="X2837" s="17">
        <v>45529</v>
      </c>
      <c r="Y2837" s="17">
        <v>45554</v>
      </c>
      <c r="Z2837" s="19" t="s">
        <v>772</v>
      </c>
      <c r="AA2837" s="212">
        <v>30000</v>
      </c>
      <c r="AB2837" s="9">
        <v>39</v>
      </c>
      <c r="AC2837" s="9">
        <v>9</v>
      </c>
      <c r="AD2837" s="17">
        <v>45889</v>
      </c>
      <c r="AE2837" s="11">
        <v>500</v>
      </c>
      <c r="AF2837" s="56"/>
      <c r="AH2837" s="17"/>
      <c r="AI2837" s="17"/>
      <c r="AJ2837" s="17"/>
      <c r="AL2837" s="9"/>
      <c r="AM2837" s="9"/>
      <c r="AN2837" s="9"/>
      <c r="AO2837" s="22"/>
      <c r="AP2837" s="22"/>
      <c r="AQ2837" s="22"/>
      <c r="AR2837" s="22"/>
      <c r="AW2837" s="17"/>
      <c r="AX2837" s="86"/>
      <c r="BD2837" s="9"/>
      <c r="CS2837" s="11">
        <f t="shared" si="194"/>
        <v>0</v>
      </c>
      <c r="CT2837" s="22">
        <f t="shared" si="195"/>
        <v>0</v>
      </c>
      <c r="CU2837" s="22">
        <f t="shared" si="196"/>
        <v>0</v>
      </c>
      <c r="CV2837" s="26">
        <f t="shared" si="193"/>
        <v>500</v>
      </c>
    </row>
    <row r="2838" spans="1:100" x14ac:dyDescent="0.2">
      <c r="A2838" s="9" t="s">
        <v>618</v>
      </c>
      <c r="B2838" s="2">
        <v>92</v>
      </c>
      <c r="C2838" s="3" t="s">
        <v>95</v>
      </c>
      <c r="D2838" s="3" t="s">
        <v>96</v>
      </c>
      <c r="E2838" s="2"/>
      <c r="F2838" s="2"/>
      <c r="G2838" s="2" t="s">
        <v>77</v>
      </c>
      <c r="H2838" s="2">
        <v>1</v>
      </c>
      <c r="I2838" s="8">
        <v>95.82</v>
      </c>
      <c r="J2838" s="8">
        <v>30999</v>
      </c>
      <c r="K2838" s="3">
        <v>0</v>
      </c>
      <c r="L2838" s="3" t="s">
        <v>3</v>
      </c>
      <c r="M2838" s="9" t="s">
        <v>0</v>
      </c>
      <c r="N2838" s="9" t="s">
        <v>57</v>
      </c>
      <c r="O2838" s="9" t="s">
        <v>579</v>
      </c>
      <c r="S2838" s="9" t="s">
        <v>158</v>
      </c>
      <c r="T2838" s="2" t="s">
        <v>77</v>
      </c>
      <c r="U2838" s="2">
        <v>1</v>
      </c>
      <c r="V2838" s="2">
        <v>95.82</v>
      </c>
      <c r="W2838" s="10" t="s">
        <v>710</v>
      </c>
      <c r="X2838" s="17">
        <v>45529</v>
      </c>
      <c r="Y2838" s="17">
        <v>45554</v>
      </c>
      <c r="Z2838" s="19" t="s">
        <v>772</v>
      </c>
      <c r="AA2838" s="212">
        <v>30000</v>
      </c>
      <c r="AB2838" s="9">
        <v>39</v>
      </c>
      <c r="AC2838" s="9">
        <v>10</v>
      </c>
      <c r="AD2838" s="17">
        <v>45920</v>
      </c>
      <c r="AE2838" s="11">
        <v>500</v>
      </c>
      <c r="AF2838" s="56"/>
      <c r="AH2838" s="17"/>
      <c r="AI2838" s="17"/>
      <c r="AJ2838" s="17"/>
      <c r="AL2838" s="9"/>
      <c r="AM2838" s="9"/>
      <c r="AN2838" s="9"/>
      <c r="AO2838" s="22"/>
      <c r="AP2838" s="22"/>
      <c r="AQ2838" s="22"/>
      <c r="AR2838" s="22"/>
      <c r="AW2838" s="17"/>
      <c r="BD2838" s="9"/>
      <c r="CS2838" s="11">
        <f t="shared" si="194"/>
        <v>0</v>
      </c>
      <c r="CT2838" s="22">
        <f t="shared" si="195"/>
        <v>0</v>
      </c>
      <c r="CU2838" s="22">
        <f t="shared" si="196"/>
        <v>0</v>
      </c>
      <c r="CV2838" s="26">
        <f t="shared" si="193"/>
        <v>500</v>
      </c>
    </row>
    <row r="2839" spans="1:100" x14ac:dyDescent="0.2">
      <c r="A2839" s="9" t="s">
        <v>618</v>
      </c>
      <c r="B2839" s="2">
        <v>92</v>
      </c>
      <c r="C2839" s="3" t="s">
        <v>95</v>
      </c>
      <c r="D2839" s="3" t="s">
        <v>96</v>
      </c>
      <c r="E2839" s="2"/>
      <c r="F2839" s="2"/>
      <c r="G2839" s="2" t="s">
        <v>77</v>
      </c>
      <c r="H2839" s="2">
        <v>1</v>
      </c>
      <c r="I2839" s="8">
        <v>95.82</v>
      </c>
      <c r="J2839" s="8">
        <v>30999</v>
      </c>
      <c r="K2839" s="3">
        <v>0</v>
      </c>
      <c r="L2839" s="3" t="s">
        <v>3</v>
      </c>
      <c r="M2839" s="9" t="s">
        <v>0</v>
      </c>
      <c r="N2839" s="9" t="s">
        <v>57</v>
      </c>
      <c r="O2839" s="9" t="s">
        <v>579</v>
      </c>
      <c r="S2839" s="9" t="s">
        <v>158</v>
      </c>
      <c r="T2839" s="2" t="s">
        <v>77</v>
      </c>
      <c r="U2839" s="2">
        <v>1</v>
      </c>
      <c r="V2839" s="2">
        <v>95.82</v>
      </c>
      <c r="W2839" s="10" t="s">
        <v>710</v>
      </c>
      <c r="X2839" s="17">
        <v>45529</v>
      </c>
      <c r="Y2839" s="17">
        <v>45554</v>
      </c>
      <c r="Z2839" s="19" t="s">
        <v>772</v>
      </c>
      <c r="AA2839" s="212">
        <v>30000</v>
      </c>
      <c r="AB2839" s="9">
        <v>39</v>
      </c>
      <c r="AC2839" s="9">
        <v>11</v>
      </c>
      <c r="AD2839" s="17">
        <v>45950</v>
      </c>
      <c r="AE2839" s="11">
        <v>500</v>
      </c>
      <c r="AF2839" s="56"/>
      <c r="AH2839" s="17"/>
      <c r="AI2839" s="17"/>
      <c r="AJ2839" s="17"/>
      <c r="AL2839" s="9"/>
      <c r="AM2839" s="9"/>
      <c r="AN2839" s="9"/>
      <c r="AO2839" s="22"/>
      <c r="AP2839" s="22"/>
      <c r="AQ2839" s="22"/>
      <c r="AR2839" s="22"/>
      <c r="AW2839" s="9"/>
      <c r="BD2839" s="9"/>
      <c r="CS2839" s="11">
        <f t="shared" si="194"/>
        <v>0</v>
      </c>
      <c r="CT2839" s="22">
        <f t="shared" si="195"/>
        <v>0</v>
      </c>
      <c r="CU2839" s="22">
        <f t="shared" si="196"/>
        <v>0</v>
      </c>
      <c r="CV2839" s="26">
        <f t="shared" si="193"/>
        <v>500</v>
      </c>
    </row>
    <row r="2840" spans="1:100" x14ac:dyDescent="0.2">
      <c r="A2840" s="9" t="s">
        <v>618</v>
      </c>
      <c r="B2840" s="2">
        <v>92</v>
      </c>
      <c r="C2840" s="3" t="s">
        <v>95</v>
      </c>
      <c r="D2840" s="3" t="s">
        <v>96</v>
      </c>
      <c r="E2840" s="2"/>
      <c r="F2840" s="2"/>
      <c r="G2840" s="2" t="s">
        <v>77</v>
      </c>
      <c r="H2840" s="2">
        <v>1</v>
      </c>
      <c r="I2840" s="8">
        <v>95.82</v>
      </c>
      <c r="J2840" s="8">
        <v>30999</v>
      </c>
      <c r="K2840" s="3">
        <v>0</v>
      </c>
      <c r="L2840" s="3" t="s">
        <v>3</v>
      </c>
      <c r="M2840" s="9" t="s">
        <v>0</v>
      </c>
      <c r="N2840" s="9" t="s">
        <v>57</v>
      </c>
      <c r="O2840" s="9" t="s">
        <v>579</v>
      </c>
      <c r="S2840" s="9" t="s">
        <v>158</v>
      </c>
      <c r="T2840" s="2" t="s">
        <v>77</v>
      </c>
      <c r="U2840" s="2">
        <v>1</v>
      </c>
      <c r="V2840" s="2">
        <v>95.82</v>
      </c>
      <c r="W2840" s="10" t="s">
        <v>710</v>
      </c>
      <c r="X2840" s="17">
        <v>45529</v>
      </c>
      <c r="Y2840" s="17">
        <v>45554</v>
      </c>
      <c r="Z2840" s="19" t="s">
        <v>772</v>
      </c>
      <c r="AA2840" s="212">
        <v>30000</v>
      </c>
      <c r="AB2840" s="9">
        <v>39</v>
      </c>
      <c r="AC2840" s="9">
        <v>12</v>
      </c>
      <c r="AD2840" s="17">
        <v>45981</v>
      </c>
      <c r="AE2840" s="11">
        <v>500</v>
      </c>
      <c r="AF2840" s="56"/>
      <c r="AH2840" s="17"/>
      <c r="AI2840" s="17"/>
      <c r="AJ2840" s="17"/>
      <c r="AL2840" s="9"/>
      <c r="AM2840" s="9"/>
      <c r="AN2840" s="9"/>
      <c r="AO2840" s="22"/>
      <c r="AP2840" s="22"/>
      <c r="AQ2840" s="22"/>
      <c r="AR2840" s="22"/>
      <c r="AW2840" s="9"/>
      <c r="BD2840" s="9"/>
      <c r="CS2840" s="11">
        <f t="shared" si="194"/>
        <v>0</v>
      </c>
      <c r="CT2840" s="22">
        <f t="shared" si="195"/>
        <v>0</v>
      </c>
      <c r="CU2840" s="22">
        <f t="shared" si="196"/>
        <v>0</v>
      </c>
      <c r="CV2840" s="26">
        <f t="shared" si="193"/>
        <v>500</v>
      </c>
    </row>
    <row r="2841" spans="1:100" x14ac:dyDescent="0.2">
      <c r="A2841" s="9" t="s">
        <v>618</v>
      </c>
      <c r="B2841" s="2">
        <v>92</v>
      </c>
      <c r="C2841" s="3" t="s">
        <v>95</v>
      </c>
      <c r="D2841" s="3" t="s">
        <v>96</v>
      </c>
      <c r="E2841" s="2"/>
      <c r="F2841" s="2"/>
      <c r="G2841" s="2" t="s">
        <v>77</v>
      </c>
      <c r="H2841" s="2">
        <v>1</v>
      </c>
      <c r="I2841" s="8">
        <v>95.82</v>
      </c>
      <c r="J2841" s="8">
        <v>30999</v>
      </c>
      <c r="K2841" s="3">
        <v>0</v>
      </c>
      <c r="L2841" s="3" t="s">
        <v>3</v>
      </c>
      <c r="M2841" s="9" t="s">
        <v>0</v>
      </c>
      <c r="N2841" s="9" t="s">
        <v>57</v>
      </c>
      <c r="O2841" s="9" t="s">
        <v>579</v>
      </c>
      <c r="S2841" s="9" t="s">
        <v>158</v>
      </c>
      <c r="T2841" s="2" t="s">
        <v>77</v>
      </c>
      <c r="U2841" s="2">
        <v>1</v>
      </c>
      <c r="V2841" s="2">
        <v>95.82</v>
      </c>
      <c r="W2841" s="10" t="s">
        <v>710</v>
      </c>
      <c r="X2841" s="17">
        <v>45529</v>
      </c>
      <c r="Y2841" s="17">
        <v>45554</v>
      </c>
      <c r="Z2841" s="19" t="s">
        <v>772</v>
      </c>
      <c r="AA2841" s="212">
        <v>30000</v>
      </c>
      <c r="AB2841" s="9">
        <v>39</v>
      </c>
      <c r="AC2841" s="9">
        <v>13</v>
      </c>
      <c r="AD2841" s="17">
        <v>46011</v>
      </c>
      <c r="AE2841" s="11">
        <v>500</v>
      </c>
      <c r="AF2841" s="56"/>
      <c r="AH2841" s="17"/>
      <c r="AI2841" s="17"/>
      <c r="AJ2841" s="17"/>
      <c r="AL2841" s="9"/>
      <c r="AM2841" s="9"/>
      <c r="AN2841" s="9"/>
      <c r="AO2841" s="22"/>
      <c r="AP2841" s="22"/>
      <c r="AQ2841" s="22"/>
      <c r="AR2841" s="22"/>
      <c r="AW2841" s="9"/>
      <c r="BD2841" s="9"/>
      <c r="CS2841" s="11">
        <f t="shared" si="194"/>
        <v>0</v>
      </c>
      <c r="CT2841" s="22">
        <f t="shared" si="195"/>
        <v>0</v>
      </c>
      <c r="CU2841" s="22">
        <f t="shared" si="196"/>
        <v>0</v>
      </c>
      <c r="CV2841" s="26">
        <f t="shared" si="193"/>
        <v>500</v>
      </c>
    </row>
    <row r="2842" spans="1:100" x14ac:dyDescent="0.2">
      <c r="A2842" s="9" t="s">
        <v>618</v>
      </c>
      <c r="B2842" s="2">
        <v>92</v>
      </c>
      <c r="C2842" s="3" t="s">
        <v>95</v>
      </c>
      <c r="D2842" s="3" t="s">
        <v>96</v>
      </c>
      <c r="E2842" s="2"/>
      <c r="F2842" s="2"/>
      <c r="G2842" s="2" t="s">
        <v>77</v>
      </c>
      <c r="H2842" s="2">
        <v>1</v>
      </c>
      <c r="I2842" s="8">
        <v>95.82</v>
      </c>
      <c r="J2842" s="8">
        <v>30999</v>
      </c>
      <c r="K2842" s="3">
        <v>0</v>
      </c>
      <c r="L2842" s="3" t="s">
        <v>3</v>
      </c>
      <c r="M2842" s="9" t="s">
        <v>0</v>
      </c>
      <c r="N2842" s="9" t="s">
        <v>57</v>
      </c>
      <c r="O2842" s="9" t="s">
        <v>579</v>
      </c>
      <c r="S2842" s="9" t="s">
        <v>158</v>
      </c>
      <c r="T2842" s="2" t="s">
        <v>77</v>
      </c>
      <c r="U2842" s="2">
        <v>1</v>
      </c>
      <c r="V2842" s="2">
        <v>95.82</v>
      </c>
      <c r="W2842" s="10" t="s">
        <v>710</v>
      </c>
      <c r="X2842" s="17">
        <v>45529</v>
      </c>
      <c r="Y2842" s="17">
        <v>45554</v>
      </c>
      <c r="Z2842" s="19" t="s">
        <v>772</v>
      </c>
      <c r="AA2842" s="212">
        <v>30000</v>
      </c>
      <c r="AB2842" s="9">
        <v>39</v>
      </c>
      <c r="AC2842" s="9">
        <v>14</v>
      </c>
      <c r="AD2842" s="17">
        <v>46042</v>
      </c>
      <c r="AE2842" s="11">
        <v>500</v>
      </c>
      <c r="AF2842" s="56"/>
      <c r="AH2842" s="17"/>
      <c r="AI2842" s="17"/>
      <c r="AJ2842" s="17"/>
      <c r="AL2842" s="9"/>
      <c r="AM2842" s="9"/>
      <c r="AN2842" s="9"/>
      <c r="AO2842" s="22"/>
      <c r="AP2842" s="22"/>
      <c r="AQ2842" s="22"/>
      <c r="AR2842" s="22"/>
      <c r="AW2842" s="9"/>
      <c r="BD2842" s="9"/>
      <c r="CS2842" s="11">
        <f t="shared" si="194"/>
        <v>0</v>
      </c>
      <c r="CT2842" s="22">
        <f t="shared" si="195"/>
        <v>0</v>
      </c>
      <c r="CU2842" s="22">
        <f t="shared" si="196"/>
        <v>0</v>
      </c>
      <c r="CV2842" s="26">
        <f t="shared" si="193"/>
        <v>500</v>
      </c>
    </row>
    <row r="2843" spans="1:100" x14ac:dyDescent="0.2">
      <c r="A2843" s="9" t="s">
        <v>618</v>
      </c>
      <c r="B2843" s="2">
        <v>92</v>
      </c>
      <c r="C2843" s="3" t="s">
        <v>95</v>
      </c>
      <c r="D2843" s="3" t="s">
        <v>96</v>
      </c>
      <c r="E2843" s="2"/>
      <c r="F2843" s="2"/>
      <c r="G2843" s="2" t="s">
        <v>77</v>
      </c>
      <c r="H2843" s="2">
        <v>1</v>
      </c>
      <c r="I2843" s="8">
        <v>95.82</v>
      </c>
      <c r="J2843" s="8">
        <v>30999</v>
      </c>
      <c r="K2843" s="3">
        <v>0</v>
      </c>
      <c r="L2843" s="3" t="s">
        <v>3</v>
      </c>
      <c r="M2843" s="9" t="s">
        <v>0</v>
      </c>
      <c r="N2843" s="9" t="s">
        <v>57</v>
      </c>
      <c r="O2843" s="9" t="s">
        <v>579</v>
      </c>
      <c r="S2843" s="9" t="s">
        <v>158</v>
      </c>
      <c r="T2843" s="2" t="s">
        <v>77</v>
      </c>
      <c r="U2843" s="2">
        <v>1</v>
      </c>
      <c r="V2843" s="2">
        <v>95.82</v>
      </c>
      <c r="W2843" s="10" t="s">
        <v>710</v>
      </c>
      <c r="X2843" s="17">
        <v>45529</v>
      </c>
      <c r="Y2843" s="17">
        <v>45554</v>
      </c>
      <c r="Z2843" s="19" t="s">
        <v>772</v>
      </c>
      <c r="AA2843" s="212">
        <v>30000</v>
      </c>
      <c r="AB2843" s="9">
        <v>39</v>
      </c>
      <c r="AC2843" s="9">
        <v>15</v>
      </c>
      <c r="AD2843" s="17">
        <v>46073</v>
      </c>
      <c r="AE2843" s="11">
        <v>500</v>
      </c>
      <c r="AF2843" s="56"/>
      <c r="AL2843" s="22"/>
      <c r="AM2843" s="22"/>
      <c r="AN2843" s="22"/>
      <c r="AO2843" s="22"/>
      <c r="AP2843" s="22"/>
      <c r="AQ2843" s="22"/>
      <c r="AR2843" s="22"/>
      <c r="AW2843" s="9"/>
      <c r="BD2843" s="9"/>
      <c r="CS2843" s="11">
        <f t="shared" si="194"/>
        <v>0</v>
      </c>
      <c r="CT2843" s="22">
        <f t="shared" si="195"/>
        <v>0</v>
      </c>
      <c r="CU2843" s="22">
        <f t="shared" si="196"/>
        <v>0</v>
      </c>
      <c r="CV2843" s="26">
        <f t="shared" si="193"/>
        <v>500</v>
      </c>
    </row>
    <row r="2844" spans="1:100" x14ac:dyDescent="0.2">
      <c r="A2844" s="9" t="s">
        <v>618</v>
      </c>
      <c r="B2844" s="2">
        <v>92</v>
      </c>
      <c r="C2844" s="3" t="s">
        <v>95</v>
      </c>
      <c r="D2844" s="3" t="s">
        <v>96</v>
      </c>
      <c r="E2844" s="2"/>
      <c r="F2844" s="2"/>
      <c r="G2844" s="2" t="s">
        <v>77</v>
      </c>
      <c r="H2844" s="2">
        <v>1</v>
      </c>
      <c r="I2844" s="8">
        <v>95.82</v>
      </c>
      <c r="J2844" s="8">
        <v>30999</v>
      </c>
      <c r="K2844" s="3">
        <v>0</v>
      </c>
      <c r="L2844" s="3" t="s">
        <v>3</v>
      </c>
      <c r="M2844" s="9" t="s">
        <v>0</v>
      </c>
      <c r="N2844" s="9" t="s">
        <v>57</v>
      </c>
      <c r="O2844" s="9" t="s">
        <v>579</v>
      </c>
      <c r="S2844" s="9" t="s">
        <v>158</v>
      </c>
      <c r="T2844" s="2" t="s">
        <v>77</v>
      </c>
      <c r="U2844" s="2">
        <v>1</v>
      </c>
      <c r="V2844" s="2">
        <v>95.82</v>
      </c>
      <c r="W2844" s="10" t="s">
        <v>710</v>
      </c>
      <c r="X2844" s="17">
        <v>45529</v>
      </c>
      <c r="Y2844" s="17">
        <v>45554</v>
      </c>
      <c r="Z2844" s="19" t="s">
        <v>772</v>
      </c>
      <c r="AA2844" s="212">
        <v>30000</v>
      </c>
      <c r="AB2844" s="9">
        <v>39</v>
      </c>
      <c r="AC2844" s="9">
        <v>16</v>
      </c>
      <c r="AD2844" s="17">
        <v>46101</v>
      </c>
      <c r="AE2844" s="11">
        <v>500</v>
      </c>
      <c r="AF2844" s="56"/>
      <c r="AL2844" s="22"/>
      <c r="AM2844" s="22"/>
      <c r="AN2844" s="22"/>
      <c r="AO2844" s="22"/>
      <c r="AP2844" s="22"/>
      <c r="AQ2844" s="22"/>
      <c r="AR2844" s="22"/>
      <c r="AW2844" s="9"/>
      <c r="BD2844" s="9"/>
      <c r="CS2844" s="11">
        <f t="shared" si="194"/>
        <v>0</v>
      </c>
      <c r="CT2844" s="22">
        <f t="shared" si="195"/>
        <v>0</v>
      </c>
      <c r="CU2844" s="22">
        <f t="shared" si="196"/>
        <v>0</v>
      </c>
      <c r="CV2844" s="26">
        <f t="shared" si="193"/>
        <v>500</v>
      </c>
    </row>
    <row r="2845" spans="1:100" x14ac:dyDescent="0.2">
      <c r="A2845" s="9" t="s">
        <v>618</v>
      </c>
      <c r="B2845" s="2">
        <v>92</v>
      </c>
      <c r="C2845" s="3" t="s">
        <v>95</v>
      </c>
      <c r="D2845" s="3" t="s">
        <v>96</v>
      </c>
      <c r="E2845" s="2"/>
      <c r="F2845" s="2"/>
      <c r="G2845" s="2" t="s">
        <v>77</v>
      </c>
      <c r="H2845" s="2">
        <v>1</v>
      </c>
      <c r="I2845" s="8">
        <v>95.82</v>
      </c>
      <c r="J2845" s="8">
        <v>30999</v>
      </c>
      <c r="K2845" s="3">
        <v>0</v>
      </c>
      <c r="L2845" s="3" t="s">
        <v>3</v>
      </c>
      <c r="M2845" s="9" t="s">
        <v>0</v>
      </c>
      <c r="N2845" s="9" t="s">
        <v>57</v>
      </c>
      <c r="O2845" s="9" t="s">
        <v>579</v>
      </c>
      <c r="S2845" s="9" t="s">
        <v>158</v>
      </c>
      <c r="T2845" s="2" t="s">
        <v>77</v>
      </c>
      <c r="U2845" s="2">
        <v>1</v>
      </c>
      <c r="V2845" s="2">
        <v>95.82</v>
      </c>
      <c r="W2845" s="10" t="s">
        <v>710</v>
      </c>
      <c r="X2845" s="17">
        <v>45529</v>
      </c>
      <c r="Y2845" s="17">
        <v>45554</v>
      </c>
      <c r="Z2845" s="19" t="s">
        <v>772</v>
      </c>
      <c r="AA2845" s="212">
        <v>30000</v>
      </c>
      <c r="AB2845" s="9">
        <v>39</v>
      </c>
      <c r="AC2845" s="9">
        <v>17</v>
      </c>
      <c r="AD2845" s="17">
        <v>46132</v>
      </c>
      <c r="AE2845" s="11">
        <v>500</v>
      </c>
      <c r="AF2845" s="56"/>
      <c r="AL2845" s="22"/>
      <c r="AM2845" s="22"/>
      <c r="AN2845" s="22"/>
      <c r="AO2845" s="22"/>
      <c r="AP2845" s="22"/>
      <c r="AQ2845" s="22"/>
      <c r="AR2845" s="22"/>
      <c r="AW2845" s="9"/>
      <c r="BD2845" s="9"/>
      <c r="CS2845" s="11">
        <f t="shared" si="194"/>
        <v>0</v>
      </c>
      <c r="CT2845" s="22">
        <f t="shared" si="195"/>
        <v>0</v>
      </c>
      <c r="CU2845" s="22">
        <f t="shared" si="196"/>
        <v>0</v>
      </c>
      <c r="CV2845" s="26">
        <f t="shared" si="193"/>
        <v>500</v>
      </c>
    </row>
    <row r="2846" spans="1:100" x14ac:dyDescent="0.2">
      <c r="A2846" s="9" t="s">
        <v>618</v>
      </c>
      <c r="B2846" s="2">
        <v>92</v>
      </c>
      <c r="C2846" s="3" t="s">
        <v>95</v>
      </c>
      <c r="D2846" s="3" t="s">
        <v>96</v>
      </c>
      <c r="E2846" s="2"/>
      <c r="F2846" s="2"/>
      <c r="G2846" s="2" t="s">
        <v>77</v>
      </c>
      <c r="H2846" s="2">
        <v>1</v>
      </c>
      <c r="I2846" s="8">
        <v>95.82</v>
      </c>
      <c r="J2846" s="8">
        <v>30999</v>
      </c>
      <c r="K2846" s="3">
        <v>0</v>
      </c>
      <c r="L2846" s="3" t="s">
        <v>3</v>
      </c>
      <c r="M2846" s="9" t="s">
        <v>0</v>
      </c>
      <c r="N2846" s="9" t="s">
        <v>57</v>
      </c>
      <c r="O2846" s="9" t="s">
        <v>579</v>
      </c>
      <c r="S2846" s="9" t="s">
        <v>158</v>
      </c>
      <c r="T2846" s="2" t="s">
        <v>77</v>
      </c>
      <c r="U2846" s="2">
        <v>1</v>
      </c>
      <c r="V2846" s="2">
        <v>95.82</v>
      </c>
      <c r="W2846" s="10" t="s">
        <v>710</v>
      </c>
      <c r="X2846" s="17">
        <v>45529</v>
      </c>
      <c r="Y2846" s="17">
        <v>45554</v>
      </c>
      <c r="Z2846" s="19" t="s">
        <v>772</v>
      </c>
      <c r="AA2846" s="212">
        <v>30000</v>
      </c>
      <c r="AB2846" s="9">
        <v>39</v>
      </c>
      <c r="AC2846" s="9">
        <v>18</v>
      </c>
      <c r="AD2846" s="17">
        <v>46162</v>
      </c>
      <c r="AE2846" s="11">
        <v>500</v>
      </c>
      <c r="AF2846" s="56"/>
      <c r="AL2846" s="22"/>
      <c r="AM2846" s="22"/>
      <c r="AN2846" s="22"/>
      <c r="AO2846" s="22"/>
      <c r="AP2846" s="22"/>
      <c r="AQ2846" s="22"/>
      <c r="AR2846" s="22"/>
      <c r="AW2846" s="9"/>
      <c r="BD2846" s="9"/>
      <c r="CS2846" s="11">
        <f t="shared" si="194"/>
        <v>0</v>
      </c>
      <c r="CT2846" s="22">
        <f t="shared" si="195"/>
        <v>0</v>
      </c>
      <c r="CU2846" s="22">
        <f t="shared" si="196"/>
        <v>0</v>
      </c>
      <c r="CV2846" s="26">
        <f t="shared" si="193"/>
        <v>500</v>
      </c>
    </row>
    <row r="2847" spans="1:100" x14ac:dyDescent="0.2">
      <c r="A2847" s="9" t="s">
        <v>618</v>
      </c>
      <c r="B2847" s="2">
        <v>92</v>
      </c>
      <c r="C2847" s="3" t="s">
        <v>95</v>
      </c>
      <c r="D2847" s="3" t="s">
        <v>96</v>
      </c>
      <c r="E2847" s="2"/>
      <c r="F2847" s="2"/>
      <c r="G2847" s="2" t="s">
        <v>77</v>
      </c>
      <c r="H2847" s="2">
        <v>1</v>
      </c>
      <c r="I2847" s="8">
        <v>95.82</v>
      </c>
      <c r="J2847" s="8">
        <v>30999</v>
      </c>
      <c r="K2847" s="3">
        <v>0</v>
      </c>
      <c r="L2847" s="3" t="s">
        <v>3</v>
      </c>
      <c r="M2847" s="9" t="s">
        <v>0</v>
      </c>
      <c r="N2847" s="9" t="s">
        <v>57</v>
      </c>
      <c r="O2847" s="9" t="s">
        <v>579</v>
      </c>
      <c r="S2847" s="9" t="s">
        <v>158</v>
      </c>
      <c r="T2847" s="2" t="s">
        <v>77</v>
      </c>
      <c r="U2847" s="2">
        <v>1</v>
      </c>
      <c r="V2847" s="2">
        <v>95.82</v>
      </c>
      <c r="W2847" s="10" t="s">
        <v>710</v>
      </c>
      <c r="X2847" s="17">
        <v>45529</v>
      </c>
      <c r="Y2847" s="17">
        <v>45554</v>
      </c>
      <c r="Z2847" s="19" t="s">
        <v>772</v>
      </c>
      <c r="AA2847" s="212">
        <v>30000</v>
      </c>
      <c r="AB2847" s="9">
        <v>39</v>
      </c>
      <c r="AC2847" s="9">
        <v>19</v>
      </c>
      <c r="AD2847" s="17">
        <v>46193</v>
      </c>
      <c r="AE2847" s="11">
        <v>500</v>
      </c>
      <c r="AF2847" s="56"/>
      <c r="AH2847" s="17"/>
      <c r="AI2847" s="17"/>
      <c r="AJ2847" s="17"/>
      <c r="AL2847" s="9"/>
      <c r="AM2847" s="9"/>
      <c r="AN2847" s="9"/>
      <c r="AO2847" s="22"/>
      <c r="AP2847" s="22"/>
      <c r="AQ2847" s="22"/>
      <c r="AR2847" s="22"/>
      <c r="AW2847" s="9"/>
      <c r="BD2847" s="9"/>
      <c r="CS2847" s="11">
        <f t="shared" si="194"/>
        <v>0</v>
      </c>
      <c r="CT2847" s="22">
        <f t="shared" si="195"/>
        <v>0</v>
      </c>
      <c r="CU2847" s="22">
        <f t="shared" si="196"/>
        <v>0</v>
      </c>
      <c r="CV2847" s="26">
        <f t="shared" si="193"/>
        <v>500</v>
      </c>
    </row>
    <row r="2848" spans="1:100" x14ac:dyDescent="0.2">
      <c r="A2848" s="9" t="s">
        <v>618</v>
      </c>
      <c r="B2848" s="2">
        <v>92</v>
      </c>
      <c r="C2848" s="3" t="s">
        <v>95</v>
      </c>
      <c r="D2848" s="3" t="s">
        <v>96</v>
      </c>
      <c r="E2848" s="2"/>
      <c r="F2848" s="2"/>
      <c r="G2848" s="2" t="s">
        <v>77</v>
      </c>
      <c r="H2848" s="2">
        <v>1</v>
      </c>
      <c r="I2848" s="8">
        <v>95.82</v>
      </c>
      <c r="J2848" s="8">
        <v>30999</v>
      </c>
      <c r="K2848" s="3">
        <v>0</v>
      </c>
      <c r="L2848" s="3" t="s">
        <v>3</v>
      </c>
      <c r="M2848" s="9" t="s">
        <v>0</v>
      </c>
      <c r="N2848" s="9" t="s">
        <v>57</v>
      </c>
      <c r="O2848" s="9" t="s">
        <v>579</v>
      </c>
      <c r="S2848" s="9" t="s">
        <v>158</v>
      </c>
      <c r="T2848" s="2" t="s">
        <v>77</v>
      </c>
      <c r="U2848" s="2">
        <v>1</v>
      </c>
      <c r="V2848" s="2">
        <v>95.82</v>
      </c>
      <c r="W2848" s="10" t="s">
        <v>710</v>
      </c>
      <c r="X2848" s="17">
        <v>45529</v>
      </c>
      <c r="Y2848" s="17">
        <v>45554</v>
      </c>
      <c r="Z2848" s="19" t="s">
        <v>772</v>
      </c>
      <c r="AA2848" s="212">
        <v>30000</v>
      </c>
      <c r="AB2848" s="9">
        <v>39</v>
      </c>
      <c r="AC2848" s="9">
        <v>20</v>
      </c>
      <c r="AD2848" s="17">
        <v>46223</v>
      </c>
      <c r="AE2848" s="11">
        <v>500</v>
      </c>
      <c r="AF2848" s="56"/>
      <c r="AL2848" s="22"/>
      <c r="AM2848" s="22"/>
      <c r="AN2848" s="22"/>
      <c r="AO2848" s="22"/>
      <c r="AP2848" s="22"/>
      <c r="AQ2848" s="22"/>
      <c r="AR2848" s="22"/>
      <c r="AW2848" s="9"/>
      <c r="BD2848" s="9"/>
      <c r="CS2848" s="11">
        <f t="shared" si="194"/>
        <v>0</v>
      </c>
      <c r="CT2848" s="22">
        <f t="shared" si="195"/>
        <v>0</v>
      </c>
      <c r="CU2848" s="22">
        <f t="shared" si="196"/>
        <v>0</v>
      </c>
      <c r="CV2848" s="26">
        <f t="shared" si="193"/>
        <v>500</v>
      </c>
    </row>
    <row r="2849" spans="1:100" x14ac:dyDescent="0.2">
      <c r="A2849" s="9" t="s">
        <v>618</v>
      </c>
      <c r="B2849" s="2">
        <v>92</v>
      </c>
      <c r="C2849" s="3" t="s">
        <v>95</v>
      </c>
      <c r="D2849" s="3" t="s">
        <v>96</v>
      </c>
      <c r="E2849" s="2"/>
      <c r="F2849" s="2"/>
      <c r="G2849" s="2" t="s">
        <v>77</v>
      </c>
      <c r="H2849" s="2">
        <v>1</v>
      </c>
      <c r="I2849" s="8">
        <v>95.82</v>
      </c>
      <c r="J2849" s="8">
        <v>30999</v>
      </c>
      <c r="K2849" s="3">
        <v>0</v>
      </c>
      <c r="L2849" s="3" t="s">
        <v>3</v>
      </c>
      <c r="M2849" s="9" t="s">
        <v>0</v>
      </c>
      <c r="N2849" s="9" t="s">
        <v>57</v>
      </c>
      <c r="O2849" s="9" t="s">
        <v>579</v>
      </c>
      <c r="S2849" s="9" t="s">
        <v>158</v>
      </c>
      <c r="T2849" s="2" t="s">
        <v>77</v>
      </c>
      <c r="U2849" s="2">
        <v>1</v>
      </c>
      <c r="V2849" s="2">
        <v>95.82</v>
      </c>
      <c r="W2849" s="10" t="s">
        <v>710</v>
      </c>
      <c r="X2849" s="17">
        <v>45529</v>
      </c>
      <c r="Y2849" s="17">
        <v>45554</v>
      </c>
      <c r="Z2849" s="19" t="s">
        <v>772</v>
      </c>
      <c r="AA2849" s="212">
        <v>30000</v>
      </c>
      <c r="AB2849" s="9">
        <v>39</v>
      </c>
      <c r="AC2849" s="9">
        <v>21</v>
      </c>
      <c r="AD2849" s="17">
        <v>46254</v>
      </c>
      <c r="AE2849" s="11">
        <v>500</v>
      </c>
      <c r="AF2849" s="56"/>
      <c r="AH2849" s="17"/>
      <c r="AI2849" s="17"/>
      <c r="AJ2849" s="17"/>
      <c r="AL2849" s="86"/>
      <c r="AM2849" s="86"/>
      <c r="AN2849" s="9"/>
      <c r="AO2849" s="22"/>
      <c r="AP2849" s="22"/>
      <c r="AQ2849" s="22"/>
      <c r="AR2849" s="22"/>
      <c r="AW2849" s="9"/>
      <c r="BD2849" s="9"/>
      <c r="CS2849" s="11">
        <f t="shared" si="194"/>
        <v>0</v>
      </c>
      <c r="CT2849" s="22">
        <f t="shared" si="195"/>
        <v>0</v>
      </c>
      <c r="CU2849" s="22">
        <f t="shared" si="196"/>
        <v>0</v>
      </c>
      <c r="CV2849" s="26">
        <f t="shared" si="193"/>
        <v>500</v>
      </c>
    </row>
    <row r="2850" spans="1:100" x14ac:dyDescent="0.2">
      <c r="A2850" s="9" t="s">
        <v>618</v>
      </c>
      <c r="B2850" s="2">
        <v>92</v>
      </c>
      <c r="C2850" s="3" t="s">
        <v>95</v>
      </c>
      <c r="D2850" s="3" t="s">
        <v>96</v>
      </c>
      <c r="E2850" s="2"/>
      <c r="F2850" s="2"/>
      <c r="G2850" s="2" t="s">
        <v>77</v>
      </c>
      <c r="H2850" s="2">
        <v>1</v>
      </c>
      <c r="I2850" s="8">
        <v>95.82</v>
      </c>
      <c r="J2850" s="8">
        <v>30999</v>
      </c>
      <c r="K2850" s="3">
        <v>0</v>
      </c>
      <c r="L2850" s="3" t="s">
        <v>3</v>
      </c>
      <c r="M2850" s="9" t="s">
        <v>0</v>
      </c>
      <c r="N2850" s="9" t="s">
        <v>57</v>
      </c>
      <c r="O2850" s="9" t="s">
        <v>579</v>
      </c>
      <c r="S2850" s="9" t="s">
        <v>158</v>
      </c>
      <c r="T2850" s="2" t="s">
        <v>77</v>
      </c>
      <c r="U2850" s="2">
        <v>1</v>
      </c>
      <c r="V2850" s="2">
        <v>95.82</v>
      </c>
      <c r="W2850" s="10" t="s">
        <v>710</v>
      </c>
      <c r="X2850" s="17">
        <v>45529</v>
      </c>
      <c r="Y2850" s="17">
        <v>45554</v>
      </c>
      <c r="Z2850" s="19" t="s">
        <v>772</v>
      </c>
      <c r="AA2850" s="212">
        <v>30000</v>
      </c>
      <c r="AB2850" s="9">
        <v>39</v>
      </c>
      <c r="AC2850" s="9">
        <v>22</v>
      </c>
      <c r="AD2850" s="17">
        <v>46285</v>
      </c>
      <c r="AE2850" s="11">
        <v>500</v>
      </c>
      <c r="AF2850" s="56"/>
      <c r="AH2850" s="17"/>
      <c r="AI2850" s="17"/>
      <c r="AJ2850" s="17"/>
      <c r="AL2850" s="86"/>
      <c r="AM2850" s="86"/>
      <c r="AN2850" s="9"/>
      <c r="AO2850" s="22"/>
      <c r="AP2850" s="22"/>
      <c r="AQ2850" s="22"/>
      <c r="AR2850" s="22"/>
      <c r="AW2850" s="9"/>
      <c r="BD2850" s="9"/>
      <c r="CS2850" s="11">
        <f t="shared" si="194"/>
        <v>0</v>
      </c>
      <c r="CT2850" s="22">
        <f t="shared" si="195"/>
        <v>0</v>
      </c>
      <c r="CU2850" s="22">
        <f t="shared" si="196"/>
        <v>0</v>
      </c>
      <c r="CV2850" s="26">
        <f t="shared" si="193"/>
        <v>500</v>
      </c>
    </row>
    <row r="2851" spans="1:100" x14ac:dyDescent="0.2">
      <c r="A2851" s="9" t="s">
        <v>618</v>
      </c>
      <c r="B2851" s="2">
        <v>92</v>
      </c>
      <c r="C2851" s="3" t="s">
        <v>95</v>
      </c>
      <c r="D2851" s="3" t="s">
        <v>96</v>
      </c>
      <c r="E2851" s="2"/>
      <c r="F2851" s="2"/>
      <c r="G2851" s="2" t="s">
        <v>77</v>
      </c>
      <c r="H2851" s="2">
        <v>1</v>
      </c>
      <c r="I2851" s="8">
        <v>95.82</v>
      </c>
      <c r="J2851" s="8">
        <v>30999</v>
      </c>
      <c r="K2851" s="3">
        <v>0</v>
      </c>
      <c r="L2851" s="3" t="s">
        <v>3</v>
      </c>
      <c r="M2851" s="9" t="s">
        <v>0</v>
      </c>
      <c r="N2851" s="9" t="s">
        <v>57</v>
      </c>
      <c r="O2851" s="9" t="s">
        <v>579</v>
      </c>
      <c r="S2851" s="9" t="s">
        <v>158</v>
      </c>
      <c r="T2851" s="2" t="s">
        <v>77</v>
      </c>
      <c r="U2851" s="2">
        <v>1</v>
      </c>
      <c r="V2851" s="2">
        <v>95.82</v>
      </c>
      <c r="W2851" s="10" t="s">
        <v>710</v>
      </c>
      <c r="X2851" s="17">
        <v>45529</v>
      </c>
      <c r="Y2851" s="17">
        <v>45554</v>
      </c>
      <c r="Z2851" s="19" t="s">
        <v>772</v>
      </c>
      <c r="AA2851" s="212">
        <v>30000</v>
      </c>
      <c r="AB2851" s="9">
        <v>39</v>
      </c>
      <c r="AC2851" s="9">
        <v>23</v>
      </c>
      <c r="AD2851" s="17">
        <v>46315</v>
      </c>
      <c r="AE2851" s="11">
        <v>500</v>
      </c>
      <c r="AF2851" s="56"/>
      <c r="AH2851" s="17"/>
      <c r="AI2851" s="17"/>
      <c r="AJ2851" s="17"/>
      <c r="AL2851" s="9"/>
      <c r="AM2851" s="9"/>
      <c r="AN2851" s="9"/>
      <c r="AO2851" s="22"/>
      <c r="AP2851" s="22"/>
      <c r="AQ2851" s="22"/>
      <c r="AR2851" s="22"/>
      <c r="AW2851" s="9"/>
      <c r="BD2851" s="9"/>
      <c r="CS2851" s="11">
        <f t="shared" si="194"/>
        <v>0</v>
      </c>
      <c r="CT2851" s="22">
        <f t="shared" si="195"/>
        <v>0</v>
      </c>
      <c r="CU2851" s="22">
        <f t="shared" si="196"/>
        <v>0</v>
      </c>
      <c r="CV2851" s="26">
        <f t="shared" si="193"/>
        <v>500</v>
      </c>
    </row>
    <row r="2852" spans="1:100" x14ac:dyDescent="0.2">
      <c r="A2852" s="9" t="s">
        <v>618</v>
      </c>
      <c r="B2852" s="2">
        <v>92</v>
      </c>
      <c r="C2852" s="3" t="s">
        <v>95</v>
      </c>
      <c r="D2852" s="3" t="s">
        <v>96</v>
      </c>
      <c r="E2852" s="2"/>
      <c r="F2852" s="2"/>
      <c r="G2852" s="2" t="s">
        <v>77</v>
      </c>
      <c r="H2852" s="2">
        <v>1</v>
      </c>
      <c r="I2852" s="8">
        <v>95.82</v>
      </c>
      <c r="J2852" s="8">
        <v>30999</v>
      </c>
      <c r="K2852" s="3">
        <v>0</v>
      </c>
      <c r="L2852" s="3" t="s">
        <v>3</v>
      </c>
      <c r="M2852" s="9" t="s">
        <v>0</v>
      </c>
      <c r="N2852" s="9" t="s">
        <v>57</v>
      </c>
      <c r="O2852" s="9" t="s">
        <v>579</v>
      </c>
      <c r="S2852" s="9" t="s">
        <v>158</v>
      </c>
      <c r="T2852" s="2" t="s">
        <v>77</v>
      </c>
      <c r="U2852" s="2">
        <v>1</v>
      </c>
      <c r="V2852" s="2">
        <v>95.82</v>
      </c>
      <c r="W2852" s="10" t="s">
        <v>710</v>
      </c>
      <c r="X2852" s="17">
        <v>45529</v>
      </c>
      <c r="Y2852" s="17">
        <v>45554</v>
      </c>
      <c r="Z2852" s="19" t="s">
        <v>772</v>
      </c>
      <c r="AA2852" s="212">
        <v>30000</v>
      </c>
      <c r="AB2852" s="9">
        <v>39</v>
      </c>
      <c r="AC2852" s="9">
        <v>24</v>
      </c>
      <c r="AD2852" s="17">
        <v>46346</v>
      </c>
      <c r="AE2852" s="11">
        <v>500</v>
      </c>
      <c r="AF2852" s="56"/>
      <c r="AH2852" s="17"/>
      <c r="AI2852" s="17"/>
      <c r="AJ2852" s="17"/>
      <c r="AL2852" s="9"/>
      <c r="AM2852" s="9"/>
      <c r="AN2852" s="9"/>
      <c r="AO2852" s="22"/>
      <c r="AP2852" s="22"/>
      <c r="AQ2852" s="22"/>
      <c r="AR2852" s="22"/>
      <c r="AW2852" s="9"/>
      <c r="BD2852" s="9"/>
      <c r="CS2852" s="11">
        <f t="shared" si="194"/>
        <v>0</v>
      </c>
      <c r="CT2852" s="22">
        <f t="shared" si="195"/>
        <v>0</v>
      </c>
      <c r="CU2852" s="22">
        <f t="shared" si="196"/>
        <v>0</v>
      </c>
      <c r="CV2852" s="26">
        <f t="shared" si="193"/>
        <v>500</v>
      </c>
    </row>
    <row r="2853" spans="1:100" x14ac:dyDescent="0.2">
      <c r="A2853" s="9" t="s">
        <v>618</v>
      </c>
      <c r="B2853" s="2">
        <v>92</v>
      </c>
      <c r="C2853" s="3" t="s">
        <v>95</v>
      </c>
      <c r="D2853" s="3" t="s">
        <v>96</v>
      </c>
      <c r="E2853" s="2"/>
      <c r="F2853" s="2"/>
      <c r="G2853" s="2" t="s">
        <v>77</v>
      </c>
      <c r="H2853" s="2">
        <v>1</v>
      </c>
      <c r="I2853" s="8">
        <v>95.82</v>
      </c>
      <c r="J2853" s="8">
        <v>30999</v>
      </c>
      <c r="K2853" s="3">
        <v>0</v>
      </c>
      <c r="L2853" s="3" t="s">
        <v>3</v>
      </c>
      <c r="M2853" s="9" t="s">
        <v>0</v>
      </c>
      <c r="N2853" s="9" t="s">
        <v>57</v>
      </c>
      <c r="O2853" s="9" t="s">
        <v>579</v>
      </c>
      <c r="S2853" s="9" t="s">
        <v>158</v>
      </c>
      <c r="T2853" s="2" t="s">
        <v>77</v>
      </c>
      <c r="U2853" s="2">
        <v>1</v>
      </c>
      <c r="V2853" s="2">
        <v>95.82</v>
      </c>
      <c r="W2853" s="10" t="s">
        <v>710</v>
      </c>
      <c r="X2853" s="17">
        <v>45529</v>
      </c>
      <c r="Y2853" s="17">
        <v>45554</v>
      </c>
      <c r="Z2853" s="19" t="s">
        <v>772</v>
      </c>
      <c r="AA2853" s="212">
        <v>30000</v>
      </c>
      <c r="AB2853" s="9">
        <v>39</v>
      </c>
      <c r="AC2853" s="9">
        <v>25</v>
      </c>
      <c r="AD2853" s="17">
        <v>46376</v>
      </c>
      <c r="AE2853" s="11">
        <v>500</v>
      </c>
      <c r="AF2853" s="56"/>
      <c r="AH2853" s="17"/>
      <c r="AI2853" s="17"/>
      <c r="AJ2853" s="17"/>
      <c r="AL2853" s="9"/>
      <c r="AM2853" s="9"/>
      <c r="AN2853" s="9"/>
      <c r="AO2853" s="22"/>
      <c r="AP2853" s="22"/>
      <c r="AQ2853" s="22"/>
      <c r="AR2853" s="22"/>
      <c r="AW2853" s="9"/>
      <c r="BD2853" s="9"/>
      <c r="CS2853" s="11">
        <f t="shared" si="194"/>
        <v>0</v>
      </c>
      <c r="CT2853" s="22">
        <f t="shared" si="195"/>
        <v>0</v>
      </c>
      <c r="CU2853" s="22">
        <f t="shared" si="196"/>
        <v>0</v>
      </c>
      <c r="CV2853" s="26">
        <f t="shared" si="193"/>
        <v>500</v>
      </c>
    </row>
    <row r="2854" spans="1:100" x14ac:dyDescent="0.2">
      <c r="A2854" s="9" t="s">
        <v>618</v>
      </c>
      <c r="B2854" s="2">
        <v>92</v>
      </c>
      <c r="C2854" s="3" t="s">
        <v>95</v>
      </c>
      <c r="D2854" s="3" t="s">
        <v>96</v>
      </c>
      <c r="E2854" s="2"/>
      <c r="F2854" s="2"/>
      <c r="G2854" s="2" t="s">
        <v>77</v>
      </c>
      <c r="H2854" s="2">
        <v>1</v>
      </c>
      <c r="I2854" s="8">
        <v>95.82</v>
      </c>
      <c r="J2854" s="8">
        <v>30999</v>
      </c>
      <c r="K2854" s="3">
        <v>0</v>
      </c>
      <c r="L2854" s="3" t="s">
        <v>3</v>
      </c>
      <c r="M2854" s="9" t="s">
        <v>0</v>
      </c>
      <c r="N2854" s="9" t="s">
        <v>57</v>
      </c>
      <c r="O2854" s="9" t="s">
        <v>579</v>
      </c>
      <c r="S2854" s="9" t="s">
        <v>158</v>
      </c>
      <c r="T2854" s="2" t="s">
        <v>77</v>
      </c>
      <c r="U2854" s="2">
        <v>1</v>
      </c>
      <c r="V2854" s="2">
        <v>95.82</v>
      </c>
      <c r="W2854" s="10" t="s">
        <v>710</v>
      </c>
      <c r="X2854" s="17">
        <v>45529</v>
      </c>
      <c r="Y2854" s="17">
        <v>45554</v>
      </c>
      <c r="Z2854" s="19" t="s">
        <v>772</v>
      </c>
      <c r="AA2854" s="212">
        <v>30000</v>
      </c>
      <c r="AB2854" s="9">
        <v>39</v>
      </c>
      <c r="AC2854" s="9">
        <v>26</v>
      </c>
      <c r="AD2854" s="17">
        <v>46407</v>
      </c>
      <c r="AE2854" s="11">
        <v>500</v>
      </c>
      <c r="AF2854" s="56"/>
      <c r="AH2854" s="17"/>
      <c r="AI2854" s="17"/>
      <c r="AJ2854" s="17"/>
      <c r="AL2854" s="9"/>
      <c r="AM2854" s="9"/>
      <c r="AN2854" s="9"/>
      <c r="AO2854" s="22"/>
      <c r="AP2854" s="22"/>
      <c r="AQ2854" s="22"/>
      <c r="AR2854" s="22"/>
      <c r="AW2854" s="9"/>
      <c r="BD2854" s="9"/>
      <c r="CS2854" s="11">
        <f t="shared" si="194"/>
        <v>0</v>
      </c>
      <c r="CT2854" s="22">
        <f t="shared" si="195"/>
        <v>0</v>
      </c>
      <c r="CU2854" s="22">
        <f t="shared" si="196"/>
        <v>0</v>
      </c>
      <c r="CV2854" s="26">
        <f t="shared" si="193"/>
        <v>500</v>
      </c>
    </row>
    <row r="2855" spans="1:100" x14ac:dyDescent="0.2">
      <c r="A2855" s="9" t="s">
        <v>618</v>
      </c>
      <c r="B2855" s="2">
        <v>92</v>
      </c>
      <c r="C2855" s="3" t="s">
        <v>95</v>
      </c>
      <c r="D2855" s="3" t="s">
        <v>96</v>
      </c>
      <c r="E2855" s="2"/>
      <c r="F2855" s="2"/>
      <c r="G2855" s="2" t="s">
        <v>77</v>
      </c>
      <c r="H2855" s="2">
        <v>1</v>
      </c>
      <c r="I2855" s="8">
        <v>95.82</v>
      </c>
      <c r="J2855" s="8">
        <v>30999</v>
      </c>
      <c r="K2855" s="3">
        <v>0</v>
      </c>
      <c r="L2855" s="3" t="s">
        <v>3</v>
      </c>
      <c r="M2855" s="9" t="s">
        <v>0</v>
      </c>
      <c r="N2855" s="9" t="s">
        <v>57</v>
      </c>
      <c r="O2855" s="9" t="s">
        <v>579</v>
      </c>
      <c r="S2855" s="9" t="s">
        <v>158</v>
      </c>
      <c r="T2855" s="2" t="s">
        <v>77</v>
      </c>
      <c r="U2855" s="2">
        <v>1</v>
      </c>
      <c r="V2855" s="2">
        <v>95.82</v>
      </c>
      <c r="W2855" s="10" t="s">
        <v>710</v>
      </c>
      <c r="X2855" s="17">
        <v>45529</v>
      </c>
      <c r="Y2855" s="17">
        <v>45554</v>
      </c>
      <c r="Z2855" s="19" t="s">
        <v>772</v>
      </c>
      <c r="AA2855" s="212">
        <v>30000</v>
      </c>
      <c r="AB2855" s="9">
        <v>39</v>
      </c>
      <c r="AC2855" s="9">
        <v>27</v>
      </c>
      <c r="AD2855" s="17">
        <v>46438</v>
      </c>
      <c r="AE2855" s="11">
        <v>500</v>
      </c>
      <c r="AF2855" s="56"/>
      <c r="AH2855" s="17"/>
      <c r="AI2855" s="17"/>
      <c r="AJ2855" s="17"/>
      <c r="AL2855" s="9"/>
      <c r="AM2855" s="9"/>
      <c r="AN2855" s="9"/>
      <c r="AO2855" s="22"/>
      <c r="AP2855" s="22"/>
      <c r="AQ2855" s="22"/>
      <c r="AR2855" s="22"/>
      <c r="AW2855" s="9"/>
      <c r="BD2855" s="9"/>
      <c r="CS2855" s="11">
        <f t="shared" si="194"/>
        <v>0</v>
      </c>
      <c r="CT2855" s="22">
        <f t="shared" si="195"/>
        <v>0</v>
      </c>
      <c r="CU2855" s="22">
        <f t="shared" si="196"/>
        <v>0</v>
      </c>
      <c r="CV2855" s="26">
        <f t="shared" si="193"/>
        <v>500</v>
      </c>
    </row>
    <row r="2856" spans="1:100" x14ac:dyDescent="0.2">
      <c r="A2856" s="9" t="s">
        <v>618</v>
      </c>
      <c r="B2856" s="2">
        <v>92</v>
      </c>
      <c r="C2856" s="3" t="s">
        <v>95</v>
      </c>
      <c r="D2856" s="3" t="s">
        <v>96</v>
      </c>
      <c r="E2856" s="2"/>
      <c r="F2856" s="2"/>
      <c r="G2856" s="2" t="s">
        <v>77</v>
      </c>
      <c r="H2856" s="2">
        <v>1</v>
      </c>
      <c r="I2856" s="8">
        <v>95.82</v>
      </c>
      <c r="J2856" s="8">
        <v>30999</v>
      </c>
      <c r="K2856" s="3">
        <v>0</v>
      </c>
      <c r="L2856" s="3" t="s">
        <v>3</v>
      </c>
      <c r="M2856" s="9" t="s">
        <v>0</v>
      </c>
      <c r="N2856" s="9" t="s">
        <v>57</v>
      </c>
      <c r="O2856" s="9" t="s">
        <v>579</v>
      </c>
      <c r="S2856" s="9" t="s">
        <v>158</v>
      </c>
      <c r="T2856" s="2" t="s">
        <v>77</v>
      </c>
      <c r="U2856" s="2">
        <v>1</v>
      </c>
      <c r="V2856" s="2">
        <v>95.82</v>
      </c>
      <c r="W2856" s="10" t="s">
        <v>710</v>
      </c>
      <c r="X2856" s="17">
        <v>45529</v>
      </c>
      <c r="Y2856" s="17">
        <v>45554</v>
      </c>
      <c r="Z2856" s="19" t="s">
        <v>772</v>
      </c>
      <c r="AA2856" s="212">
        <v>30000</v>
      </c>
      <c r="AB2856" s="9">
        <v>39</v>
      </c>
      <c r="AC2856" s="9">
        <v>28</v>
      </c>
      <c r="AD2856" s="17">
        <v>46466</v>
      </c>
      <c r="AE2856" s="11">
        <v>500</v>
      </c>
      <c r="AF2856" s="56"/>
      <c r="AH2856" s="17"/>
      <c r="AI2856" s="17"/>
      <c r="AJ2856" s="17"/>
      <c r="AL2856" s="9"/>
      <c r="AM2856" s="9"/>
      <c r="AN2856" s="9"/>
      <c r="AO2856" s="22"/>
      <c r="AP2856" s="22"/>
      <c r="AQ2856" s="22"/>
      <c r="AR2856" s="22"/>
      <c r="AW2856" s="9"/>
      <c r="BD2856" s="9"/>
      <c r="CS2856" s="11">
        <f t="shared" si="194"/>
        <v>0</v>
      </c>
      <c r="CT2856" s="22">
        <f t="shared" si="195"/>
        <v>0</v>
      </c>
      <c r="CU2856" s="22">
        <f t="shared" si="196"/>
        <v>0</v>
      </c>
      <c r="CV2856" s="26">
        <f t="shared" si="193"/>
        <v>500</v>
      </c>
    </row>
    <row r="2857" spans="1:100" x14ac:dyDescent="0.2">
      <c r="A2857" s="9" t="s">
        <v>618</v>
      </c>
      <c r="B2857" s="2">
        <v>92</v>
      </c>
      <c r="C2857" s="3" t="s">
        <v>95</v>
      </c>
      <c r="D2857" s="3" t="s">
        <v>96</v>
      </c>
      <c r="E2857" s="2"/>
      <c r="F2857" s="2"/>
      <c r="G2857" s="2" t="s">
        <v>77</v>
      </c>
      <c r="H2857" s="2">
        <v>1</v>
      </c>
      <c r="I2857" s="8">
        <v>95.82</v>
      </c>
      <c r="J2857" s="8">
        <v>30999</v>
      </c>
      <c r="K2857" s="3">
        <v>0</v>
      </c>
      <c r="L2857" s="3" t="s">
        <v>3</v>
      </c>
      <c r="M2857" s="9" t="s">
        <v>0</v>
      </c>
      <c r="N2857" s="9" t="s">
        <v>57</v>
      </c>
      <c r="O2857" s="9" t="s">
        <v>579</v>
      </c>
      <c r="S2857" s="9" t="s">
        <v>158</v>
      </c>
      <c r="T2857" s="2" t="s">
        <v>77</v>
      </c>
      <c r="U2857" s="2">
        <v>1</v>
      </c>
      <c r="V2857" s="2">
        <v>95.82</v>
      </c>
      <c r="W2857" s="10" t="s">
        <v>710</v>
      </c>
      <c r="X2857" s="17">
        <v>45529</v>
      </c>
      <c r="Y2857" s="17">
        <v>45554</v>
      </c>
      <c r="Z2857" s="19" t="s">
        <v>772</v>
      </c>
      <c r="AA2857" s="212">
        <v>30000</v>
      </c>
      <c r="AB2857" s="9">
        <v>39</v>
      </c>
      <c r="AC2857" s="9">
        <v>29</v>
      </c>
      <c r="AD2857" s="17">
        <v>46497</v>
      </c>
      <c r="AE2857" s="11">
        <v>500</v>
      </c>
      <c r="AF2857" s="56"/>
      <c r="AH2857" s="17"/>
      <c r="AI2857" s="17"/>
      <c r="AJ2857" s="17"/>
      <c r="AL2857" s="9"/>
      <c r="AM2857" s="9"/>
      <c r="AN2857" s="9"/>
      <c r="AP2857" s="11"/>
      <c r="AQ2857" s="11"/>
      <c r="AR2857" s="11"/>
      <c r="AW2857" s="9"/>
      <c r="BD2857" s="9"/>
      <c r="CS2857" s="11">
        <f t="shared" si="194"/>
        <v>0</v>
      </c>
      <c r="CT2857" s="22">
        <f t="shared" si="195"/>
        <v>0</v>
      </c>
      <c r="CU2857" s="22">
        <f t="shared" si="196"/>
        <v>0</v>
      </c>
      <c r="CV2857" s="26">
        <f t="shared" si="193"/>
        <v>500</v>
      </c>
    </row>
    <row r="2858" spans="1:100" x14ac:dyDescent="0.2">
      <c r="A2858" s="9" t="s">
        <v>618</v>
      </c>
      <c r="B2858" s="2">
        <v>92</v>
      </c>
      <c r="C2858" s="3" t="s">
        <v>95</v>
      </c>
      <c r="D2858" s="3" t="s">
        <v>96</v>
      </c>
      <c r="E2858" s="2"/>
      <c r="F2858" s="2"/>
      <c r="G2858" s="2" t="s">
        <v>77</v>
      </c>
      <c r="H2858" s="2">
        <v>1</v>
      </c>
      <c r="I2858" s="8">
        <v>95.82</v>
      </c>
      <c r="J2858" s="8">
        <v>30999</v>
      </c>
      <c r="K2858" s="3">
        <v>0</v>
      </c>
      <c r="L2858" s="3" t="s">
        <v>3</v>
      </c>
      <c r="M2858" s="9" t="s">
        <v>0</v>
      </c>
      <c r="N2858" s="9" t="s">
        <v>57</v>
      </c>
      <c r="O2858" s="9" t="s">
        <v>579</v>
      </c>
      <c r="S2858" s="9" t="s">
        <v>158</v>
      </c>
      <c r="T2858" s="2" t="s">
        <v>77</v>
      </c>
      <c r="U2858" s="2">
        <v>1</v>
      </c>
      <c r="V2858" s="2">
        <v>95.82</v>
      </c>
      <c r="W2858" s="10" t="s">
        <v>710</v>
      </c>
      <c r="X2858" s="17">
        <v>45529</v>
      </c>
      <c r="Y2858" s="17">
        <v>45554</v>
      </c>
      <c r="Z2858" s="19" t="s">
        <v>772</v>
      </c>
      <c r="AA2858" s="212">
        <v>30000</v>
      </c>
      <c r="AB2858" s="9">
        <v>39</v>
      </c>
      <c r="AC2858" s="9">
        <v>30</v>
      </c>
      <c r="AD2858" s="17">
        <v>46527</v>
      </c>
      <c r="AE2858" s="11">
        <v>500</v>
      </c>
      <c r="AF2858" s="56"/>
      <c r="AH2858" s="17"/>
      <c r="AI2858" s="17"/>
      <c r="AJ2858" s="17"/>
      <c r="AL2858" s="9"/>
      <c r="AM2858" s="9"/>
      <c r="AN2858" s="9"/>
      <c r="AP2858" s="11"/>
      <c r="AQ2858" s="11"/>
      <c r="AR2858" s="11"/>
      <c r="AW2858" s="9"/>
      <c r="BD2858" s="9"/>
      <c r="CS2858" s="11">
        <f t="shared" si="194"/>
        <v>0</v>
      </c>
      <c r="CT2858" s="22">
        <f t="shared" si="195"/>
        <v>0</v>
      </c>
      <c r="CU2858" s="22">
        <f t="shared" si="196"/>
        <v>0</v>
      </c>
      <c r="CV2858" s="26">
        <f t="shared" si="193"/>
        <v>500</v>
      </c>
    </row>
    <row r="2859" spans="1:100" x14ac:dyDescent="0.2">
      <c r="A2859" s="9" t="s">
        <v>618</v>
      </c>
      <c r="B2859" s="2">
        <v>92</v>
      </c>
      <c r="C2859" s="3" t="s">
        <v>95</v>
      </c>
      <c r="D2859" s="3" t="s">
        <v>96</v>
      </c>
      <c r="E2859" s="2"/>
      <c r="F2859" s="2"/>
      <c r="G2859" s="2" t="s">
        <v>77</v>
      </c>
      <c r="H2859" s="2">
        <v>1</v>
      </c>
      <c r="I2859" s="8">
        <v>95.82</v>
      </c>
      <c r="J2859" s="8">
        <v>30999</v>
      </c>
      <c r="K2859" s="3">
        <v>0</v>
      </c>
      <c r="L2859" s="3" t="s">
        <v>3</v>
      </c>
      <c r="M2859" s="9" t="s">
        <v>0</v>
      </c>
      <c r="N2859" s="9" t="s">
        <v>57</v>
      </c>
      <c r="O2859" s="9" t="s">
        <v>579</v>
      </c>
      <c r="S2859" s="9" t="s">
        <v>158</v>
      </c>
      <c r="T2859" s="2" t="s">
        <v>77</v>
      </c>
      <c r="U2859" s="2">
        <v>1</v>
      </c>
      <c r="V2859" s="2">
        <v>95.82</v>
      </c>
      <c r="W2859" s="10" t="s">
        <v>710</v>
      </c>
      <c r="X2859" s="17">
        <v>45529</v>
      </c>
      <c r="Y2859" s="17">
        <v>45554</v>
      </c>
      <c r="Z2859" s="19" t="s">
        <v>772</v>
      </c>
      <c r="AA2859" s="212">
        <v>30000</v>
      </c>
      <c r="AB2859" s="9">
        <v>39</v>
      </c>
      <c r="AC2859" s="9">
        <v>31</v>
      </c>
      <c r="AD2859" s="17">
        <v>46558</v>
      </c>
      <c r="AE2859" s="11">
        <v>500</v>
      </c>
      <c r="AF2859" s="56"/>
      <c r="AH2859" s="17"/>
      <c r="AI2859" s="17"/>
      <c r="AJ2859" s="17"/>
      <c r="AL2859" s="86"/>
      <c r="AM2859" s="86"/>
      <c r="AN2859" s="9"/>
      <c r="AO2859" s="22"/>
      <c r="AP2859" s="22"/>
      <c r="AQ2859" s="22"/>
      <c r="AR2859" s="22"/>
      <c r="AW2859" s="9"/>
      <c r="BD2859" s="9"/>
      <c r="CS2859" s="11">
        <f t="shared" si="194"/>
        <v>0</v>
      </c>
      <c r="CT2859" s="22">
        <f t="shared" si="195"/>
        <v>0</v>
      </c>
      <c r="CU2859" s="22">
        <f t="shared" si="196"/>
        <v>0</v>
      </c>
      <c r="CV2859" s="26">
        <f t="shared" si="193"/>
        <v>500</v>
      </c>
    </row>
    <row r="2860" spans="1:100" x14ac:dyDescent="0.2">
      <c r="A2860" s="9" t="s">
        <v>618</v>
      </c>
      <c r="B2860" s="2">
        <v>92</v>
      </c>
      <c r="C2860" s="3" t="s">
        <v>95</v>
      </c>
      <c r="D2860" s="3" t="s">
        <v>96</v>
      </c>
      <c r="E2860" s="2"/>
      <c r="F2860" s="2"/>
      <c r="G2860" s="2" t="s">
        <v>77</v>
      </c>
      <c r="H2860" s="2">
        <v>1</v>
      </c>
      <c r="I2860" s="8">
        <v>95.82</v>
      </c>
      <c r="J2860" s="8">
        <v>30999</v>
      </c>
      <c r="K2860" s="3">
        <v>0</v>
      </c>
      <c r="L2860" s="3" t="s">
        <v>3</v>
      </c>
      <c r="M2860" s="9" t="s">
        <v>0</v>
      </c>
      <c r="N2860" s="9" t="s">
        <v>57</v>
      </c>
      <c r="O2860" s="9" t="s">
        <v>579</v>
      </c>
      <c r="S2860" s="9" t="s">
        <v>158</v>
      </c>
      <c r="T2860" s="2" t="s">
        <v>77</v>
      </c>
      <c r="U2860" s="2">
        <v>1</v>
      </c>
      <c r="V2860" s="2">
        <v>95.82</v>
      </c>
      <c r="W2860" s="10" t="s">
        <v>710</v>
      </c>
      <c r="X2860" s="17">
        <v>45529</v>
      </c>
      <c r="Y2860" s="17">
        <v>45554</v>
      </c>
      <c r="Z2860" s="19" t="s">
        <v>772</v>
      </c>
      <c r="AA2860" s="212">
        <v>30000</v>
      </c>
      <c r="AB2860" s="9">
        <v>39</v>
      </c>
      <c r="AC2860" s="9">
        <v>32</v>
      </c>
      <c r="AD2860" s="17">
        <v>46588</v>
      </c>
      <c r="AE2860" s="11">
        <v>500</v>
      </c>
      <c r="AF2860" s="56"/>
      <c r="AH2860" s="17"/>
      <c r="AI2860" s="17"/>
      <c r="AJ2860" s="17"/>
      <c r="AL2860" s="9"/>
      <c r="AM2860" s="9"/>
      <c r="AN2860" s="9"/>
      <c r="AO2860" s="22"/>
      <c r="AP2860" s="22"/>
      <c r="AQ2860" s="22"/>
      <c r="AR2860" s="22"/>
      <c r="AW2860" s="9"/>
      <c r="BD2860" s="9"/>
      <c r="CS2860" s="11">
        <f t="shared" si="194"/>
        <v>0</v>
      </c>
      <c r="CT2860" s="22">
        <f t="shared" si="195"/>
        <v>0</v>
      </c>
      <c r="CU2860" s="22">
        <f t="shared" si="196"/>
        <v>0</v>
      </c>
      <c r="CV2860" s="26">
        <f t="shared" si="193"/>
        <v>500</v>
      </c>
    </row>
    <row r="2861" spans="1:100" x14ac:dyDescent="0.2">
      <c r="A2861" s="9" t="s">
        <v>618</v>
      </c>
      <c r="B2861" s="2">
        <v>92</v>
      </c>
      <c r="C2861" s="3" t="s">
        <v>95</v>
      </c>
      <c r="D2861" s="3" t="s">
        <v>96</v>
      </c>
      <c r="E2861" s="2"/>
      <c r="F2861" s="2"/>
      <c r="G2861" s="2" t="s">
        <v>77</v>
      </c>
      <c r="H2861" s="2">
        <v>1</v>
      </c>
      <c r="I2861" s="8">
        <v>95.82</v>
      </c>
      <c r="J2861" s="8">
        <v>30999</v>
      </c>
      <c r="K2861" s="3">
        <v>0</v>
      </c>
      <c r="L2861" s="3" t="s">
        <v>3</v>
      </c>
      <c r="M2861" s="9" t="s">
        <v>0</v>
      </c>
      <c r="N2861" s="9" t="s">
        <v>57</v>
      </c>
      <c r="O2861" s="9" t="s">
        <v>579</v>
      </c>
      <c r="S2861" s="9" t="s">
        <v>158</v>
      </c>
      <c r="T2861" s="2" t="s">
        <v>77</v>
      </c>
      <c r="U2861" s="2">
        <v>1</v>
      </c>
      <c r="V2861" s="2">
        <v>95.82</v>
      </c>
      <c r="W2861" s="10" t="s">
        <v>710</v>
      </c>
      <c r="X2861" s="17">
        <v>45529</v>
      </c>
      <c r="Y2861" s="17">
        <v>45554</v>
      </c>
      <c r="Z2861" s="19" t="s">
        <v>772</v>
      </c>
      <c r="AA2861" s="212">
        <v>30000</v>
      </c>
      <c r="AB2861" s="9">
        <v>39</v>
      </c>
      <c r="AC2861" s="9">
        <v>33</v>
      </c>
      <c r="AD2861" s="17">
        <v>46619</v>
      </c>
      <c r="AE2861" s="11">
        <v>500</v>
      </c>
      <c r="AF2861" s="56"/>
      <c r="AH2861" s="17"/>
      <c r="AI2861" s="17"/>
      <c r="AJ2861" s="17"/>
      <c r="AL2861" s="9"/>
      <c r="AM2861" s="9"/>
      <c r="AN2861" s="9"/>
      <c r="AO2861" s="22"/>
      <c r="AP2861" s="22"/>
      <c r="AQ2861" s="22"/>
      <c r="AR2861" s="22"/>
      <c r="AW2861" s="9"/>
      <c r="BD2861" s="9"/>
      <c r="CS2861" s="11">
        <f t="shared" si="194"/>
        <v>0</v>
      </c>
      <c r="CT2861" s="22">
        <f t="shared" si="195"/>
        <v>0</v>
      </c>
      <c r="CU2861" s="22">
        <f t="shared" si="196"/>
        <v>0</v>
      </c>
      <c r="CV2861" s="26">
        <f t="shared" si="193"/>
        <v>500</v>
      </c>
    </row>
    <row r="2862" spans="1:100" x14ac:dyDescent="0.2">
      <c r="A2862" s="9" t="s">
        <v>618</v>
      </c>
      <c r="B2862" s="2">
        <v>92</v>
      </c>
      <c r="C2862" s="3" t="s">
        <v>95</v>
      </c>
      <c r="D2862" s="3" t="s">
        <v>96</v>
      </c>
      <c r="E2862" s="2"/>
      <c r="F2862" s="2"/>
      <c r="G2862" s="2" t="s">
        <v>77</v>
      </c>
      <c r="H2862" s="2">
        <v>1</v>
      </c>
      <c r="I2862" s="8">
        <v>95.82</v>
      </c>
      <c r="J2862" s="8">
        <v>30999</v>
      </c>
      <c r="K2862" s="3">
        <v>0</v>
      </c>
      <c r="L2862" s="3" t="s">
        <v>3</v>
      </c>
      <c r="M2862" s="9" t="s">
        <v>0</v>
      </c>
      <c r="N2862" s="9" t="s">
        <v>57</v>
      </c>
      <c r="O2862" s="9" t="s">
        <v>579</v>
      </c>
      <c r="S2862" s="9" t="s">
        <v>158</v>
      </c>
      <c r="T2862" s="2" t="s">
        <v>77</v>
      </c>
      <c r="U2862" s="2">
        <v>1</v>
      </c>
      <c r="V2862" s="2">
        <v>95.82</v>
      </c>
      <c r="W2862" s="10" t="s">
        <v>710</v>
      </c>
      <c r="X2862" s="17">
        <v>45529</v>
      </c>
      <c r="Y2862" s="17">
        <v>45554</v>
      </c>
      <c r="Z2862" s="19" t="s">
        <v>772</v>
      </c>
      <c r="AA2862" s="212">
        <v>30000</v>
      </c>
      <c r="AB2862" s="9">
        <v>39</v>
      </c>
      <c r="AC2862" s="9">
        <v>34</v>
      </c>
      <c r="AD2862" s="17">
        <v>46650</v>
      </c>
      <c r="AE2862" s="11">
        <v>500</v>
      </c>
      <c r="AF2862" s="56"/>
      <c r="AH2862" s="17"/>
      <c r="AI2862" s="17"/>
      <c r="AJ2862" s="17"/>
      <c r="AL2862" s="9"/>
      <c r="AM2862" s="9"/>
      <c r="AN2862" s="9"/>
      <c r="AO2862" s="22"/>
      <c r="AP2862" s="22"/>
      <c r="AQ2862" s="22"/>
      <c r="AR2862" s="22"/>
      <c r="AW2862" s="9"/>
      <c r="BD2862" s="9"/>
      <c r="CS2862" s="11">
        <f t="shared" si="194"/>
        <v>0</v>
      </c>
      <c r="CT2862" s="22">
        <f t="shared" si="195"/>
        <v>0</v>
      </c>
      <c r="CU2862" s="22">
        <f t="shared" si="196"/>
        <v>0</v>
      </c>
      <c r="CV2862" s="26">
        <f t="shared" si="193"/>
        <v>500</v>
      </c>
    </row>
    <row r="2863" spans="1:100" x14ac:dyDescent="0.2">
      <c r="A2863" s="9" t="s">
        <v>618</v>
      </c>
      <c r="B2863" s="2">
        <v>92</v>
      </c>
      <c r="C2863" s="3" t="s">
        <v>95</v>
      </c>
      <c r="D2863" s="3" t="s">
        <v>96</v>
      </c>
      <c r="E2863" s="2"/>
      <c r="F2863" s="2"/>
      <c r="G2863" s="2" t="s">
        <v>77</v>
      </c>
      <c r="H2863" s="2">
        <v>1</v>
      </c>
      <c r="I2863" s="8">
        <v>95.82</v>
      </c>
      <c r="J2863" s="8">
        <v>30999</v>
      </c>
      <c r="K2863" s="3">
        <v>0</v>
      </c>
      <c r="L2863" s="3" t="s">
        <v>3</v>
      </c>
      <c r="M2863" s="9" t="s">
        <v>0</v>
      </c>
      <c r="N2863" s="9" t="s">
        <v>57</v>
      </c>
      <c r="O2863" s="9" t="s">
        <v>579</v>
      </c>
      <c r="S2863" s="9" t="s">
        <v>158</v>
      </c>
      <c r="T2863" s="2" t="s">
        <v>77</v>
      </c>
      <c r="U2863" s="2">
        <v>1</v>
      </c>
      <c r="V2863" s="2">
        <v>95.82</v>
      </c>
      <c r="W2863" s="10" t="s">
        <v>710</v>
      </c>
      <c r="X2863" s="17">
        <v>45529</v>
      </c>
      <c r="Y2863" s="17">
        <v>45554</v>
      </c>
      <c r="Z2863" s="19" t="s">
        <v>772</v>
      </c>
      <c r="AA2863" s="212">
        <v>30000</v>
      </c>
      <c r="AB2863" s="9">
        <v>39</v>
      </c>
      <c r="AC2863" s="9">
        <v>35</v>
      </c>
      <c r="AD2863" s="17">
        <v>46680</v>
      </c>
      <c r="AE2863" s="11">
        <v>500</v>
      </c>
      <c r="AF2863" s="56"/>
      <c r="AH2863" s="17"/>
      <c r="AI2863" s="17"/>
      <c r="AJ2863" s="17"/>
      <c r="AL2863" s="9"/>
      <c r="AM2863" s="9"/>
      <c r="AN2863" s="9"/>
      <c r="AO2863" s="22"/>
      <c r="AP2863" s="22"/>
      <c r="AQ2863" s="22"/>
      <c r="AR2863" s="22"/>
      <c r="AW2863" s="9"/>
      <c r="BD2863" s="9"/>
      <c r="CS2863" s="11">
        <f t="shared" si="194"/>
        <v>0</v>
      </c>
      <c r="CT2863" s="22">
        <f t="shared" si="195"/>
        <v>0</v>
      </c>
      <c r="CU2863" s="22">
        <f t="shared" si="196"/>
        <v>0</v>
      </c>
      <c r="CV2863" s="26">
        <f t="shared" si="193"/>
        <v>500</v>
      </c>
    </row>
    <row r="2864" spans="1:100" x14ac:dyDescent="0.2">
      <c r="A2864" s="9" t="s">
        <v>618</v>
      </c>
      <c r="B2864" s="2">
        <v>92</v>
      </c>
      <c r="C2864" s="3" t="s">
        <v>95</v>
      </c>
      <c r="D2864" s="3" t="s">
        <v>96</v>
      </c>
      <c r="E2864" s="2"/>
      <c r="F2864" s="2"/>
      <c r="G2864" s="2" t="s">
        <v>77</v>
      </c>
      <c r="H2864" s="2">
        <v>1</v>
      </c>
      <c r="I2864" s="8">
        <v>95.82</v>
      </c>
      <c r="J2864" s="8">
        <v>30999</v>
      </c>
      <c r="K2864" s="3">
        <v>0</v>
      </c>
      <c r="L2864" s="3" t="s">
        <v>3</v>
      </c>
      <c r="M2864" s="9" t="s">
        <v>0</v>
      </c>
      <c r="N2864" s="9" t="s">
        <v>57</v>
      </c>
      <c r="O2864" s="9" t="s">
        <v>579</v>
      </c>
      <c r="S2864" s="9" t="s">
        <v>158</v>
      </c>
      <c r="T2864" s="2" t="s">
        <v>77</v>
      </c>
      <c r="U2864" s="2">
        <v>1</v>
      </c>
      <c r="V2864" s="2">
        <v>95.82</v>
      </c>
      <c r="W2864" s="10" t="s">
        <v>710</v>
      </c>
      <c r="X2864" s="17">
        <v>45529</v>
      </c>
      <c r="Y2864" s="17">
        <v>45554</v>
      </c>
      <c r="Z2864" s="19" t="s">
        <v>772</v>
      </c>
      <c r="AA2864" s="212">
        <v>30000</v>
      </c>
      <c r="AB2864" s="9">
        <v>39</v>
      </c>
      <c r="AC2864" s="9">
        <v>36</v>
      </c>
      <c r="AD2864" s="17">
        <v>46711</v>
      </c>
      <c r="AE2864" s="11">
        <v>500</v>
      </c>
      <c r="AF2864" s="56"/>
      <c r="AH2864" s="17"/>
      <c r="AI2864" s="17"/>
      <c r="AJ2864" s="17"/>
      <c r="AL2864" s="9"/>
      <c r="AM2864" s="9"/>
      <c r="AN2864" s="9"/>
      <c r="AO2864" s="22"/>
      <c r="AP2864" s="22"/>
      <c r="AQ2864" s="22"/>
      <c r="AR2864" s="22"/>
      <c r="AW2864" s="9"/>
      <c r="BD2864" s="9"/>
      <c r="CS2864" s="11">
        <f t="shared" si="194"/>
        <v>0</v>
      </c>
      <c r="CT2864" s="22">
        <f t="shared" si="195"/>
        <v>0</v>
      </c>
      <c r="CU2864" s="22">
        <f t="shared" si="196"/>
        <v>0</v>
      </c>
      <c r="CV2864" s="26">
        <f t="shared" si="193"/>
        <v>500</v>
      </c>
    </row>
    <row r="2865" spans="1:100" x14ac:dyDescent="0.2">
      <c r="A2865" s="9" t="s">
        <v>618</v>
      </c>
      <c r="B2865" s="2">
        <v>92</v>
      </c>
      <c r="C2865" s="3" t="s">
        <v>95</v>
      </c>
      <c r="D2865" s="3" t="s">
        <v>96</v>
      </c>
      <c r="E2865" s="2"/>
      <c r="F2865" s="2"/>
      <c r="G2865" s="2" t="s">
        <v>77</v>
      </c>
      <c r="H2865" s="2">
        <v>1</v>
      </c>
      <c r="I2865" s="8">
        <v>95.82</v>
      </c>
      <c r="J2865" s="8">
        <v>30999</v>
      </c>
      <c r="K2865" s="3">
        <v>0</v>
      </c>
      <c r="L2865" s="3" t="s">
        <v>3</v>
      </c>
      <c r="M2865" s="9" t="s">
        <v>0</v>
      </c>
      <c r="N2865" s="9" t="s">
        <v>57</v>
      </c>
      <c r="O2865" s="9" t="s">
        <v>579</v>
      </c>
      <c r="S2865" s="9" t="s">
        <v>158</v>
      </c>
      <c r="T2865" s="2" t="s">
        <v>77</v>
      </c>
      <c r="U2865" s="2">
        <v>1</v>
      </c>
      <c r="V2865" s="2">
        <v>95.82</v>
      </c>
      <c r="W2865" s="10" t="s">
        <v>710</v>
      </c>
      <c r="X2865" s="17">
        <v>45529</v>
      </c>
      <c r="Y2865" s="17">
        <v>45554</v>
      </c>
      <c r="Z2865" s="19" t="s">
        <v>772</v>
      </c>
      <c r="AA2865" s="212">
        <v>30000</v>
      </c>
      <c r="AB2865" s="9">
        <v>39</v>
      </c>
      <c r="AC2865" s="9">
        <v>37</v>
      </c>
      <c r="AD2865" s="17">
        <v>46741</v>
      </c>
      <c r="AE2865" s="11">
        <v>2500</v>
      </c>
      <c r="AF2865" s="56"/>
      <c r="AH2865" s="17"/>
      <c r="AI2865" s="17"/>
      <c r="AJ2865" s="17"/>
      <c r="AL2865" s="9"/>
      <c r="AM2865" s="9"/>
      <c r="AN2865" s="9"/>
      <c r="AO2865" s="22"/>
      <c r="AP2865" s="22"/>
      <c r="AQ2865" s="22"/>
      <c r="AR2865" s="22"/>
      <c r="AW2865" s="9"/>
      <c r="BD2865" s="9"/>
      <c r="CS2865" s="11">
        <f t="shared" si="194"/>
        <v>0</v>
      </c>
      <c r="CT2865" s="22">
        <f t="shared" si="195"/>
        <v>0</v>
      </c>
      <c r="CU2865" s="22">
        <f t="shared" si="196"/>
        <v>0</v>
      </c>
      <c r="CV2865" s="26">
        <f t="shared" si="193"/>
        <v>2500</v>
      </c>
    </row>
    <row r="2866" spans="1:100" x14ac:dyDescent="0.2">
      <c r="A2866" s="9" t="s">
        <v>618</v>
      </c>
      <c r="B2866" s="2">
        <v>92</v>
      </c>
      <c r="C2866" s="3" t="s">
        <v>95</v>
      </c>
      <c r="D2866" s="3" t="s">
        <v>96</v>
      </c>
      <c r="E2866" s="2"/>
      <c r="F2866" s="2"/>
      <c r="G2866" s="2" t="s">
        <v>77</v>
      </c>
      <c r="H2866" s="2">
        <v>1</v>
      </c>
      <c r="I2866" s="8">
        <v>95.82</v>
      </c>
      <c r="J2866" s="8">
        <v>30999</v>
      </c>
      <c r="K2866" s="3">
        <v>0</v>
      </c>
      <c r="L2866" s="3" t="s">
        <v>3</v>
      </c>
      <c r="M2866" s="9" t="s">
        <v>0</v>
      </c>
      <c r="N2866" s="9" t="s">
        <v>57</v>
      </c>
      <c r="O2866" s="9" t="s">
        <v>579</v>
      </c>
      <c r="S2866" s="9" t="s">
        <v>158</v>
      </c>
      <c r="T2866" s="2" t="s">
        <v>77</v>
      </c>
      <c r="U2866" s="2">
        <v>1</v>
      </c>
      <c r="V2866" s="2">
        <v>95.82</v>
      </c>
      <c r="W2866" s="10" t="s">
        <v>710</v>
      </c>
      <c r="X2866" s="17">
        <v>45529</v>
      </c>
      <c r="Y2866" s="17">
        <v>45554</v>
      </c>
      <c r="Z2866" s="19" t="s">
        <v>772</v>
      </c>
      <c r="AA2866" s="212">
        <v>30000</v>
      </c>
      <c r="AB2866" s="9">
        <v>39</v>
      </c>
      <c r="AC2866" s="9">
        <v>38</v>
      </c>
      <c r="AD2866" s="17">
        <v>46772</v>
      </c>
      <c r="AE2866" s="11">
        <v>2500</v>
      </c>
      <c r="AF2866" s="56"/>
      <c r="AL2866" s="9"/>
      <c r="AM2866" s="9"/>
      <c r="AN2866" s="9"/>
      <c r="AO2866" s="22"/>
      <c r="AP2866" s="22"/>
      <c r="AQ2866" s="22"/>
      <c r="AR2866" s="22"/>
      <c r="AW2866" s="9"/>
      <c r="BD2866" s="9"/>
      <c r="CS2866" s="11">
        <f t="shared" si="194"/>
        <v>0</v>
      </c>
      <c r="CT2866" s="22">
        <f t="shared" si="195"/>
        <v>0</v>
      </c>
      <c r="CU2866" s="22">
        <f t="shared" si="196"/>
        <v>0</v>
      </c>
      <c r="CV2866" s="26">
        <f t="shared" si="193"/>
        <v>2500</v>
      </c>
    </row>
    <row r="2867" spans="1:100" x14ac:dyDescent="0.2">
      <c r="A2867" s="9" t="s">
        <v>618</v>
      </c>
      <c r="B2867" s="2">
        <v>92</v>
      </c>
      <c r="C2867" s="3" t="s">
        <v>95</v>
      </c>
      <c r="D2867" s="3" t="s">
        <v>96</v>
      </c>
      <c r="E2867" s="2"/>
      <c r="F2867" s="2"/>
      <c r="G2867" s="2" t="s">
        <v>77</v>
      </c>
      <c r="H2867" s="2">
        <v>1</v>
      </c>
      <c r="I2867" s="8">
        <v>95.82</v>
      </c>
      <c r="J2867" s="8">
        <v>30999</v>
      </c>
      <c r="K2867" s="3">
        <v>0</v>
      </c>
      <c r="L2867" s="3" t="s">
        <v>3</v>
      </c>
      <c r="M2867" s="9" t="s">
        <v>0</v>
      </c>
      <c r="N2867" s="9" t="s">
        <v>57</v>
      </c>
      <c r="O2867" s="9" t="s">
        <v>579</v>
      </c>
      <c r="S2867" s="9" t="s">
        <v>158</v>
      </c>
      <c r="T2867" s="2" t="s">
        <v>77</v>
      </c>
      <c r="U2867" s="2">
        <v>1</v>
      </c>
      <c r="V2867" s="2">
        <v>95.82</v>
      </c>
      <c r="W2867" s="10" t="s">
        <v>710</v>
      </c>
      <c r="X2867" s="17">
        <v>45529</v>
      </c>
      <c r="Y2867" s="17">
        <v>45554</v>
      </c>
      <c r="Z2867" s="19" t="s">
        <v>772</v>
      </c>
      <c r="AA2867" s="212">
        <v>30000</v>
      </c>
      <c r="AB2867" s="9">
        <v>39</v>
      </c>
      <c r="AC2867" s="9">
        <v>39</v>
      </c>
      <c r="AD2867" s="17">
        <v>46803</v>
      </c>
      <c r="AE2867" s="11">
        <v>2500</v>
      </c>
      <c r="AF2867" s="56"/>
      <c r="AL2867" s="9"/>
      <c r="AM2867" s="9"/>
      <c r="AN2867" s="9"/>
      <c r="AP2867" s="11"/>
      <c r="AQ2867" s="11"/>
      <c r="AR2867" s="11"/>
      <c r="AW2867" s="9"/>
      <c r="BD2867" s="9"/>
      <c r="CS2867" s="11">
        <f t="shared" si="194"/>
        <v>0</v>
      </c>
      <c r="CT2867" s="22">
        <f t="shared" si="195"/>
        <v>0</v>
      </c>
      <c r="CU2867" s="22">
        <f t="shared" si="196"/>
        <v>0</v>
      </c>
      <c r="CV2867" s="26">
        <f t="shared" si="193"/>
        <v>2500</v>
      </c>
    </row>
    <row r="2868" spans="1:100" x14ac:dyDescent="0.2">
      <c r="A2868" s="9" t="s">
        <v>625</v>
      </c>
      <c r="B2868" s="2">
        <v>119</v>
      </c>
      <c r="C2868" s="3" t="s">
        <v>95</v>
      </c>
      <c r="D2868" s="3" t="s">
        <v>96</v>
      </c>
      <c r="E2868" s="2"/>
      <c r="F2868" s="2"/>
      <c r="G2868" s="2" t="s">
        <v>81</v>
      </c>
      <c r="H2868" s="2">
        <v>2</v>
      </c>
      <c r="I2868" s="8">
        <v>159.65</v>
      </c>
      <c r="J2868" s="8">
        <v>71455</v>
      </c>
      <c r="K2868" s="3">
        <v>0</v>
      </c>
      <c r="L2868" s="3" t="s">
        <v>3</v>
      </c>
      <c r="M2868" s="9" t="s">
        <v>0</v>
      </c>
      <c r="N2868" s="9" t="s">
        <v>58</v>
      </c>
      <c r="O2868" s="9" t="s">
        <v>622</v>
      </c>
      <c r="P2868" s="9" t="s">
        <v>0</v>
      </c>
      <c r="Q2868" s="30" t="s">
        <v>623</v>
      </c>
      <c r="R2868" s="9" t="s">
        <v>624</v>
      </c>
      <c r="S2868" s="9" t="s">
        <v>158</v>
      </c>
      <c r="T2868" s="2" t="s">
        <v>81</v>
      </c>
      <c r="U2868" s="2">
        <v>2</v>
      </c>
      <c r="V2868" s="2">
        <v>159.65</v>
      </c>
      <c r="W2868" s="10" t="s">
        <v>710</v>
      </c>
      <c r="X2868" s="17">
        <v>45633</v>
      </c>
      <c r="Y2868" s="17">
        <v>45659</v>
      </c>
      <c r="Z2868" s="19" t="s">
        <v>772</v>
      </c>
      <c r="AA2868" s="210">
        <v>48000</v>
      </c>
      <c r="AB2868" s="9">
        <v>48</v>
      </c>
      <c r="AC2868" s="9">
        <v>0</v>
      </c>
      <c r="AD2868" s="17">
        <v>45637</v>
      </c>
      <c r="AE2868" s="56">
        <v>300</v>
      </c>
      <c r="AF2868" s="56"/>
      <c r="AG2868" s="9" t="s">
        <v>134</v>
      </c>
      <c r="AH2868" s="17">
        <v>45637</v>
      </c>
      <c r="AI2868" s="17"/>
      <c r="AJ2868" s="17"/>
      <c r="AK2868" s="9" t="s">
        <v>626</v>
      </c>
      <c r="AL2868" s="11">
        <v>300</v>
      </c>
      <c r="AN2868" s="11" t="s">
        <v>953</v>
      </c>
      <c r="AP2868" s="11"/>
      <c r="AQ2868" s="11"/>
      <c r="AR2868" s="11"/>
      <c r="AW2868" s="42">
        <v>45633</v>
      </c>
      <c r="AX2868" s="36">
        <v>43390</v>
      </c>
      <c r="AY2868" s="40">
        <v>1118.0999999999999</v>
      </c>
      <c r="AZ2868" s="36">
        <v>3.7269999999999999</v>
      </c>
      <c r="BA2868" s="40">
        <f>+AY2868/AZ2868</f>
        <v>300</v>
      </c>
      <c r="BD2868" s="9"/>
      <c r="CS2868" s="11">
        <f t="shared" si="194"/>
        <v>300</v>
      </c>
      <c r="CT2868" s="22">
        <f t="shared" si="195"/>
        <v>300</v>
      </c>
      <c r="CU2868" s="22">
        <f t="shared" si="196"/>
        <v>0</v>
      </c>
      <c r="CV2868" s="26">
        <f t="shared" si="193"/>
        <v>0</v>
      </c>
    </row>
    <row r="2869" spans="1:100" x14ac:dyDescent="0.2">
      <c r="A2869" s="9" t="s">
        <v>625</v>
      </c>
      <c r="B2869" s="2">
        <v>119</v>
      </c>
      <c r="C2869" s="3" t="s">
        <v>95</v>
      </c>
      <c r="D2869" s="3" t="s">
        <v>96</v>
      </c>
      <c r="E2869" s="2"/>
      <c r="F2869" s="2"/>
      <c r="G2869" s="2" t="s">
        <v>81</v>
      </c>
      <c r="H2869" s="2">
        <v>2</v>
      </c>
      <c r="I2869" s="8">
        <v>159.65</v>
      </c>
      <c r="J2869" s="8">
        <v>71455</v>
      </c>
      <c r="K2869" s="3">
        <v>0</v>
      </c>
      <c r="L2869" s="3" t="s">
        <v>3</v>
      </c>
      <c r="M2869" s="9" t="s">
        <v>0</v>
      </c>
      <c r="N2869" s="9" t="s">
        <v>58</v>
      </c>
      <c r="O2869" s="9" t="s">
        <v>622</v>
      </c>
      <c r="P2869" s="9" t="s">
        <v>0</v>
      </c>
      <c r="Q2869" s="30" t="s">
        <v>623</v>
      </c>
      <c r="R2869" s="9" t="s">
        <v>624</v>
      </c>
      <c r="S2869" s="9" t="s">
        <v>158</v>
      </c>
      <c r="T2869" s="2" t="s">
        <v>81</v>
      </c>
      <c r="U2869" s="2">
        <v>2</v>
      </c>
      <c r="V2869" s="2">
        <v>159.65</v>
      </c>
      <c r="W2869" s="10" t="s">
        <v>710</v>
      </c>
      <c r="X2869" s="17">
        <v>45633</v>
      </c>
      <c r="Y2869" s="17">
        <v>45659</v>
      </c>
      <c r="Z2869" s="19" t="s">
        <v>772</v>
      </c>
      <c r="AA2869" s="210">
        <v>48000</v>
      </c>
      <c r="AB2869" s="9">
        <v>48</v>
      </c>
      <c r="AC2869" s="9">
        <v>0</v>
      </c>
      <c r="AD2869" s="17">
        <v>45637</v>
      </c>
      <c r="AE2869" s="56">
        <v>2700</v>
      </c>
      <c r="AF2869" s="56"/>
      <c r="AG2869" s="9" t="s">
        <v>134</v>
      </c>
      <c r="AH2869" s="17">
        <v>45637</v>
      </c>
      <c r="AI2869" s="17"/>
      <c r="AJ2869" s="17"/>
      <c r="AK2869" s="9" t="s">
        <v>627</v>
      </c>
      <c r="AL2869" s="11">
        <v>2700</v>
      </c>
      <c r="AN2869" s="11" t="s">
        <v>954</v>
      </c>
      <c r="AP2869" s="11"/>
      <c r="AQ2869" s="11"/>
      <c r="AR2869" s="11"/>
      <c r="AW2869" s="42">
        <v>45637</v>
      </c>
      <c r="AX2869" s="36">
        <v>43438</v>
      </c>
      <c r="AY2869" s="40">
        <v>10038.6</v>
      </c>
      <c r="AZ2869" s="36">
        <v>3.718</v>
      </c>
      <c r="BA2869" s="40">
        <f>+AY2869/AZ2869</f>
        <v>2700</v>
      </c>
      <c r="BD2869" s="9"/>
      <c r="CS2869" s="11">
        <f t="shared" si="194"/>
        <v>2700</v>
      </c>
      <c r="CT2869" s="22">
        <f t="shared" si="195"/>
        <v>2700</v>
      </c>
      <c r="CU2869" s="22">
        <f t="shared" si="196"/>
        <v>0</v>
      </c>
      <c r="CV2869" s="26">
        <f t="shared" si="193"/>
        <v>0</v>
      </c>
    </row>
    <row r="2870" spans="1:100" x14ac:dyDescent="0.2">
      <c r="A2870" s="9" t="s">
        <v>625</v>
      </c>
      <c r="B2870" s="2">
        <v>119</v>
      </c>
      <c r="C2870" s="3" t="s">
        <v>95</v>
      </c>
      <c r="D2870" s="3" t="s">
        <v>96</v>
      </c>
      <c r="E2870" s="2"/>
      <c r="F2870" s="2"/>
      <c r="G2870" s="2" t="s">
        <v>81</v>
      </c>
      <c r="H2870" s="2">
        <v>2</v>
      </c>
      <c r="I2870" s="8">
        <v>159.65</v>
      </c>
      <c r="J2870" s="8">
        <v>71455</v>
      </c>
      <c r="K2870" s="3">
        <v>0</v>
      </c>
      <c r="L2870" s="3" t="s">
        <v>3</v>
      </c>
      <c r="M2870" s="9" t="s">
        <v>0</v>
      </c>
      <c r="N2870" s="9" t="s">
        <v>58</v>
      </c>
      <c r="O2870" s="9" t="s">
        <v>622</v>
      </c>
      <c r="P2870" s="9" t="s">
        <v>0</v>
      </c>
      <c r="Q2870" s="30" t="s">
        <v>623</v>
      </c>
      <c r="R2870" s="9" t="s">
        <v>624</v>
      </c>
      <c r="S2870" s="9" t="s">
        <v>158</v>
      </c>
      <c r="T2870" s="2" t="s">
        <v>81</v>
      </c>
      <c r="U2870" s="2">
        <v>2</v>
      </c>
      <c r="V2870" s="2">
        <v>159.65</v>
      </c>
      <c r="W2870" s="10" t="s">
        <v>710</v>
      </c>
      <c r="X2870" s="17">
        <v>45633</v>
      </c>
      <c r="Y2870" s="17">
        <v>45659</v>
      </c>
      <c r="Z2870" s="19" t="s">
        <v>772</v>
      </c>
      <c r="AA2870" s="210">
        <v>48000</v>
      </c>
      <c r="AB2870" s="9">
        <v>48</v>
      </c>
      <c r="AC2870" s="9">
        <v>0</v>
      </c>
      <c r="AD2870" s="17">
        <v>45659</v>
      </c>
      <c r="AE2870" s="56">
        <v>1000</v>
      </c>
      <c r="AF2870" s="56"/>
      <c r="AG2870" s="9" t="s">
        <v>134</v>
      </c>
      <c r="AH2870" s="17">
        <v>45659</v>
      </c>
      <c r="AI2870" s="17"/>
      <c r="AJ2870" s="17"/>
      <c r="AK2870" s="9" t="s">
        <v>628</v>
      </c>
      <c r="AL2870" s="11">
        <v>1000</v>
      </c>
      <c r="AN2870" s="11" t="s">
        <v>942</v>
      </c>
      <c r="AP2870" s="11"/>
      <c r="AQ2870" s="11"/>
      <c r="AR2870" s="11"/>
      <c r="AW2870" s="42">
        <v>45657</v>
      </c>
      <c r="AX2870" s="36">
        <v>44054</v>
      </c>
      <c r="AY2870" s="40">
        <v>3760</v>
      </c>
      <c r="AZ2870" s="36">
        <v>3.76</v>
      </c>
      <c r="BA2870" s="40">
        <f>+AY2870/AZ2870</f>
        <v>1000</v>
      </c>
      <c r="BD2870" s="9"/>
      <c r="CS2870" s="11">
        <f t="shared" si="194"/>
        <v>1000</v>
      </c>
      <c r="CT2870" s="22">
        <f t="shared" si="195"/>
        <v>1000</v>
      </c>
      <c r="CU2870" s="22">
        <f t="shared" si="196"/>
        <v>0</v>
      </c>
      <c r="CV2870" s="26">
        <f t="shared" si="193"/>
        <v>0</v>
      </c>
    </row>
    <row r="2871" spans="1:100" x14ac:dyDescent="0.2">
      <c r="A2871" s="9" t="s">
        <v>625</v>
      </c>
      <c r="B2871" s="2">
        <v>119</v>
      </c>
      <c r="C2871" s="3" t="s">
        <v>95</v>
      </c>
      <c r="D2871" s="3" t="s">
        <v>96</v>
      </c>
      <c r="E2871" s="2"/>
      <c r="F2871" s="2"/>
      <c r="G2871" s="2" t="s">
        <v>81</v>
      </c>
      <c r="H2871" s="2">
        <v>2</v>
      </c>
      <c r="I2871" s="8">
        <v>159.65</v>
      </c>
      <c r="J2871" s="8">
        <v>71455</v>
      </c>
      <c r="K2871" s="3">
        <v>0</v>
      </c>
      <c r="L2871" s="3" t="s">
        <v>3</v>
      </c>
      <c r="M2871" s="9" t="s">
        <v>0</v>
      </c>
      <c r="N2871" s="9">
        <v>41584741</v>
      </c>
      <c r="O2871" s="9" t="s">
        <v>622</v>
      </c>
      <c r="P2871" s="9" t="s">
        <v>0</v>
      </c>
      <c r="Q2871" s="30" t="s">
        <v>623</v>
      </c>
      <c r="R2871" s="9" t="s">
        <v>624</v>
      </c>
      <c r="S2871" s="9" t="s">
        <v>158</v>
      </c>
      <c r="T2871" s="2" t="s">
        <v>81</v>
      </c>
      <c r="U2871" s="2">
        <v>2</v>
      </c>
      <c r="V2871" s="2">
        <v>159.65</v>
      </c>
      <c r="W2871" s="10" t="s">
        <v>710</v>
      </c>
      <c r="X2871" s="17">
        <v>45633</v>
      </c>
      <c r="Y2871" s="17">
        <v>45659</v>
      </c>
      <c r="Z2871" s="19" t="s">
        <v>772</v>
      </c>
      <c r="AA2871" s="210">
        <v>48000</v>
      </c>
      <c r="AB2871" s="9">
        <v>48</v>
      </c>
      <c r="AC2871" s="9">
        <v>1</v>
      </c>
      <c r="AD2871" s="17">
        <v>45685</v>
      </c>
      <c r="AE2871" s="56">
        <v>920</v>
      </c>
      <c r="AF2871" s="56"/>
      <c r="AG2871" s="9" t="s">
        <v>134</v>
      </c>
      <c r="AH2871" s="17">
        <v>45685</v>
      </c>
      <c r="AI2871" s="17"/>
      <c r="AJ2871" s="17"/>
      <c r="AK2871" s="9" t="s">
        <v>933</v>
      </c>
      <c r="AL2871" s="11">
        <v>920</v>
      </c>
      <c r="AN2871" s="11" t="s">
        <v>944</v>
      </c>
      <c r="AP2871" s="11"/>
      <c r="AQ2871" s="11"/>
      <c r="AR2871" s="11"/>
      <c r="AW2871" s="42">
        <v>45685</v>
      </c>
      <c r="AX2871" s="36">
        <v>3660</v>
      </c>
      <c r="AY2871" s="40"/>
      <c r="AZ2871" s="36"/>
      <c r="BA2871" s="40">
        <v>920</v>
      </c>
      <c r="BD2871" s="9"/>
      <c r="CS2871" s="11">
        <f t="shared" si="194"/>
        <v>920</v>
      </c>
      <c r="CT2871" s="22">
        <f t="shared" si="195"/>
        <v>920</v>
      </c>
      <c r="CU2871" s="22">
        <f t="shared" si="196"/>
        <v>0</v>
      </c>
      <c r="CV2871" s="26">
        <f t="shared" si="193"/>
        <v>0</v>
      </c>
    </row>
    <row r="2872" spans="1:100" x14ac:dyDescent="0.2">
      <c r="A2872" s="9" t="s">
        <v>625</v>
      </c>
      <c r="B2872" s="2">
        <v>119</v>
      </c>
      <c r="C2872" s="3" t="s">
        <v>95</v>
      </c>
      <c r="D2872" s="3" t="s">
        <v>96</v>
      </c>
      <c r="E2872" s="2"/>
      <c r="F2872" s="2"/>
      <c r="G2872" s="2" t="s">
        <v>81</v>
      </c>
      <c r="H2872" s="2">
        <v>2</v>
      </c>
      <c r="I2872" s="8">
        <v>159.65</v>
      </c>
      <c r="J2872" s="8">
        <v>71455</v>
      </c>
      <c r="K2872" s="3">
        <v>0</v>
      </c>
      <c r="L2872" s="3" t="s">
        <v>3</v>
      </c>
      <c r="M2872" s="9" t="s">
        <v>0</v>
      </c>
      <c r="N2872" s="9" t="s">
        <v>58</v>
      </c>
      <c r="O2872" s="9" t="s">
        <v>622</v>
      </c>
      <c r="P2872" s="9" t="s">
        <v>0</v>
      </c>
      <c r="Q2872" s="30" t="s">
        <v>623</v>
      </c>
      <c r="R2872" s="9" t="s">
        <v>624</v>
      </c>
      <c r="S2872" s="9" t="s">
        <v>158</v>
      </c>
      <c r="T2872" s="2" t="s">
        <v>81</v>
      </c>
      <c r="U2872" s="2">
        <v>2</v>
      </c>
      <c r="V2872" s="2">
        <v>159.65</v>
      </c>
      <c r="W2872" s="10" t="s">
        <v>710</v>
      </c>
      <c r="X2872" s="17">
        <v>45633</v>
      </c>
      <c r="Y2872" s="17">
        <v>45659</v>
      </c>
      <c r="Z2872" s="19" t="s">
        <v>772</v>
      </c>
      <c r="AA2872" s="210">
        <v>48000</v>
      </c>
      <c r="AB2872" s="9">
        <v>48</v>
      </c>
      <c r="AC2872" s="9">
        <v>2</v>
      </c>
      <c r="AD2872" s="17">
        <v>45716</v>
      </c>
      <c r="AE2872" s="56">
        <v>920</v>
      </c>
      <c r="AF2872" s="56"/>
      <c r="AG2872" s="9" t="s">
        <v>134</v>
      </c>
      <c r="AH2872" s="17">
        <v>45716</v>
      </c>
      <c r="AI2872" s="17"/>
      <c r="AJ2872" s="17"/>
      <c r="AK2872" s="9" t="s">
        <v>934</v>
      </c>
      <c r="AL2872" s="11">
        <v>920</v>
      </c>
      <c r="AN2872" s="11" t="s">
        <v>945</v>
      </c>
      <c r="AP2872" s="11"/>
      <c r="AQ2872" s="11"/>
      <c r="AR2872" s="11"/>
      <c r="AW2872" s="42">
        <v>45716</v>
      </c>
      <c r="AX2872" s="36">
        <v>3825</v>
      </c>
      <c r="AY2872" s="40"/>
      <c r="AZ2872" s="36"/>
      <c r="BA2872" s="40">
        <v>920</v>
      </c>
      <c r="BD2872" s="9"/>
      <c r="CS2872" s="11">
        <f t="shared" si="194"/>
        <v>920</v>
      </c>
      <c r="CT2872" s="22">
        <f t="shared" si="195"/>
        <v>920</v>
      </c>
      <c r="CU2872" s="22">
        <f t="shared" si="196"/>
        <v>0</v>
      </c>
      <c r="CV2872" s="26">
        <f t="shared" si="193"/>
        <v>0</v>
      </c>
    </row>
    <row r="2873" spans="1:100" x14ac:dyDescent="0.2">
      <c r="A2873" s="9" t="s">
        <v>625</v>
      </c>
      <c r="B2873" s="2">
        <v>119</v>
      </c>
      <c r="C2873" s="3" t="s">
        <v>95</v>
      </c>
      <c r="D2873" s="3" t="s">
        <v>96</v>
      </c>
      <c r="E2873" s="2"/>
      <c r="F2873" s="2"/>
      <c r="G2873" s="2" t="s">
        <v>81</v>
      </c>
      <c r="H2873" s="2">
        <v>2</v>
      </c>
      <c r="I2873" s="8">
        <v>159.65</v>
      </c>
      <c r="J2873" s="8">
        <v>71455</v>
      </c>
      <c r="K2873" s="3">
        <v>0</v>
      </c>
      <c r="L2873" s="3" t="s">
        <v>3</v>
      </c>
      <c r="M2873" s="9" t="s">
        <v>0</v>
      </c>
      <c r="N2873" s="9" t="s">
        <v>58</v>
      </c>
      <c r="O2873" s="9" t="s">
        <v>622</v>
      </c>
      <c r="P2873" s="9" t="s">
        <v>0</v>
      </c>
      <c r="Q2873" s="30" t="s">
        <v>623</v>
      </c>
      <c r="R2873" s="9" t="s">
        <v>624</v>
      </c>
      <c r="S2873" s="9" t="s">
        <v>158</v>
      </c>
      <c r="T2873" s="2" t="s">
        <v>81</v>
      </c>
      <c r="U2873" s="2">
        <v>2</v>
      </c>
      <c r="V2873" s="2">
        <v>159.65</v>
      </c>
      <c r="W2873" s="10" t="s">
        <v>710</v>
      </c>
      <c r="X2873" s="17">
        <v>45633</v>
      </c>
      <c r="Y2873" s="17">
        <v>45659</v>
      </c>
      <c r="Z2873" s="19" t="s">
        <v>772</v>
      </c>
      <c r="AA2873" s="210">
        <v>48000</v>
      </c>
      <c r="AB2873" s="9">
        <v>48</v>
      </c>
      <c r="AC2873" s="9">
        <v>3</v>
      </c>
      <c r="AD2873" s="17">
        <v>45744</v>
      </c>
      <c r="AE2873" s="56">
        <v>920</v>
      </c>
      <c r="AF2873" s="56"/>
      <c r="AG2873" s="9" t="s">
        <v>134</v>
      </c>
      <c r="AH2873" s="17">
        <v>45747</v>
      </c>
      <c r="AI2873" s="17"/>
      <c r="AJ2873" s="17"/>
      <c r="AK2873" s="9" t="s">
        <v>935</v>
      </c>
      <c r="AL2873" s="11">
        <v>920</v>
      </c>
      <c r="AN2873" s="11" t="s">
        <v>946</v>
      </c>
      <c r="AP2873" s="11"/>
      <c r="AQ2873" s="11"/>
      <c r="AR2873" s="11"/>
      <c r="AW2873" s="42">
        <v>45745</v>
      </c>
      <c r="AX2873" s="36">
        <v>3941</v>
      </c>
      <c r="AY2873" s="40"/>
      <c r="AZ2873" s="36"/>
      <c r="BA2873" s="40">
        <v>920</v>
      </c>
      <c r="BD2873" s="9"/>
      <c r="CS2873" s="11">
        <f t="shared" si="194"/>
        <v>920</v>
      </c>
      <c r="CT2873" s="22">
        <f t="shared" si="195"/>
        <v>920</v>
      </c>
      <c r="CU2873" s="22">
        <f t="shared" si="196"/>
        <v>0</v>
      </c>
      <c r="CV2873" s="26">
        <f t="shared" ref="CV2873:CV2936" si="197">+AE2873-AL2873-AT2873</f>
        <v>0</v>
      </c>
    </row>
    <row r="2874" spans="1:100" x14ac:dyDescent="0.2">
      <c r="A2874" s="9" t="s">
        <v>625</v>
      </c>
      <c r="B2874" s="2">
        <v>119</v>
      </c>
      <c r="C2874" s="3" t="s">
        <v>95</v>
      </c>
      <c r="D2874" s="3" t="s">
        <v>96</v>
      </c>
      <c r="E2874" s="2"/>
      <c r="F2874" s="2"/>
      <c r="G2874" s="2" t="s">
        <v>81</v>
      </c>
      <c r="H2874" s="2">
        <v>2</v>
      </c>
      <c r="I2874" s="8">
        <v>159.65</v>
      </c>
      <c r="J2874" s="8">
        <v>71455</v>
      </c>
      <c r="K2874" s="3">
        <v>0</v>
      </c>
      <c r="L2874" s="3" t="s">
        <v>3</v>
      </c>
      <c r="M2874" s="9" t="s">
        <v>0</v>
      </c>
      <c r="N2874" s="9" t="s">
        <v>58</v>
      </c>
      <c r="O2874" s="9" t="s">
        <v>622</v>
      </c>
      <c r="P2874" s="9" t="s">
        <v>0</v>
      </c>
      <c r="Q2874" s="30" t="s">
        <v>623</v>
      </c>
      <c r="R2874" s="9" t="s">
        <v>624</v>
      </c>
      <c r="S2874" s="9" t="s">
        <v>158</v>
      </c>
      <c r="T2874" s="2" t="s">
        <v>81</v>
      </c>
      <c r="U2874" s="2">
        <v>2</v>
      </c>
      <c r="V2874" s="2">
        <v>159.65</v>
      </c>
      <c r="W2874" s="10" t="s">
        <v>710</v>
      </c>
      <c r="X2874" s="17">
        <v>45633</v>
      </c>
      <c r="Y2874" s="17">
        <v>45659</v>
      </c>
      <c r="Z2874" s="19" t="s">
        <v>772</v>
      </c>
      <c r="AA2874" s="210">
        <v>48000</v>
      </c>
      <c r="AB2874" s="9">
        <v>48</v>
      </c>
      <c r="AC2874" s="9">
        <v>4</v>
      </c>
      <c r="AD2874" s="17">
        <v>45775</v>
      </c>
      <c r="AE2874" s="56">
        <v>920</v>
      </c>
      <c r="AF2874" s="56"/>
      <c r="AG2874" s="9" t="s">
        <v>134</v>
      </c>
      <c r="AH2874" s="17">
        <v>45775</v>
      </c>
      <c r="AI2874" s="17"/>
      <c r="AJ2874" s="17"/>
      <c r="AK2874" s="9" t="s">
        <v>936</v>
      </c>
      <c r="AL2874" s="11">
        <v>920</v>
      </c>
      <c r="AN2874" s="11" t="s">
        <v>947</v>
      </c>
      <c r="AP2874" s="11"/>
      <c r="AQ2874" s="11"/>
      <c r="AR2874" s="11"/>
      <c r="AW2874" s="42">
        <v>45775</v>
      </c>
      <c r="AX2874" s="36">
        <v>4074</v>
      </c>
      <c r="AY2874" s="40"/>
      <c r="AZ2874" s="36"/>
      <c r="BA2874" s="40">
        <v>920</v>
      </c>
      <c r="BD2874" s="9"/>
      <c r="CS2874" s="11">
        <f t="shared" si="194"/>
        <v>920</v>
      </c>
      <c r="CT2874" s="22">
        <f t="shared" si="195"/>
        <v>920</v>
      </c>
      <c r="CU2874" s="22">
        <f t="shared" si="196"/>
        <v>0</v>
      </c>
      <c r="CV2874" s="26">
        <f t="shared" si="197"/>
        <v>0</v>
      </c>
    </row>
    <row r="2875" spans="1:100" x14ac:dyDescent="0.2">
      <c r="A2875" s="9" t="s">
        <v>625</v>
      </c>
      <c r="B2875" s="2">
        <v>119</v>
      </c>
      <c r="C2875" s="3" t="s">
        <v>95</v>
      </c>
      <c r="D2875" s="3" t="s">
        <v>96</v>
      </c>
      <c r="E2875" s="2"/>
      <c r="F2875" s="2"/>
      <c r="G2875" s="2" t="s">
        <v>81</v>
      </c>
      <c r="H2875" s="2">
        <v>2</v>
      </c>
      <c r="I2875" s="8">
        <v>159.65</v>
      </c>
      <c r="J2875" s="8">
        <v>71455</v>
      </c>
      <c r="K2875" s="3">
        <v>0</v>
      </c>
      <c r="L2875" s="3" t="s">
        <v>3</v>
      </c>
      <c r="M2875" s="9" t="s">
        <v>0</v>
      </c>
      <c r="N2875" s="9" t="s">
        <v>58</v>
      </c>
      <c r="O2875" s="9" t="s">
        <v>622</v>
      </c>
      <c r="P2875" s="9" t="s">
        <v>0</v>
      </c>
      <c r="Q2875" s="30" t="s">
        <v>623</v>
      </c>
      <c r="R2875" s="9" t="s">
        <v>624</v>
      </c>
      <c r="S2875" s="9" t="s">
        <v>158</v>
      </c>
      <c r="T2875" s="2" t="s">
        <v>81</v>
      </c>
      <c r="U2875" s="2">
        <v>2</v>
      </c>
      <c r="V2875" s="2">
        <v>159.65</v>
      </c>
      <c r="W2875" s="10" t="s">
        <v>710</v>
      </c>
      <c r="X2875" s="17">
        <v>45633</v>
      </c>
      <c r="Y2875" s="17">
        <v>45659</v>
      </c>
      <c r="Z2875" s="19" t="s">
        <v>772</v>
      </c>
      <c r="AA2875" s="210">
        <v>48000</v>
      </c>
      <c r="AB2875" s="9">
        <v>48</v>
      </c>
      <c r="AC2875" s="9">
        <v>5</v>
      </c>
      <c r="AD2875" s="17">
        <v>45805</v>
      </c>
      <c r="AE2875" s="56">
        <v>920</v>
      </c>
      <c r="AF2875" s="56"/>
      <c r="AG2875" s="9" t="s">
        <v>134</v>
      </c>
      <c r="AH2875" s="17">
        <v>45805</v>
      </c>
      <c r="AI2875" s="17"/>
      <c r="AJ2875" s="17"/>
      <c r="AK2875" s="9" t="s">
        <v>937</v>
      </c>
      <c r="AL2875" s="11">
        <v>920</v>
      </c>
      <c r="AN2875" s="11" t="s">
        <v>948</v>
      </c>
      <c r="AP2875" s="11"/>
      <c r="AQ2875" s="11"/>
      <c r="AR2875" s="11"/>
      <c r="AW2875" s="42">
        <v>45805</v>
      </c>
      <c r="AX2875" s="36">
        <v>4222</v>
      </c>
      <c r="AY2875" s="40"/>
      <c r="AZ2875" s="36"/>
      <c r="BA2875" s="40">
        <v>920</v>
      </c>
      <c r="BD2875" s="9"/>
      <c r="CS2875" s="11">
        <f t="shared" si="194"/>
        <v>920</v>
      </c>
      <c r="CT2875" s="22">
        <f t="shared" si="195"/>
        <v>920</v>
      </c>
      <c r="CU2875" s="22">
        <f t="shared" si="196"/>
        <v>0</v>
      </c>
      <c r="CV2875" s="26">
        <f t="shared" si="197"/>
        <v>0</v>
      </c>
    </row>
    <row r="2876" spans="1:100" x14ac:dyDescent="0.2">
      <c r="A2876" s="9" t="s">
        <v>625</v>
      </c>
      <c r="B2876" s="2">
        <v>119</v>
      </c>
      <c r="C2876" s="3" t="s">
        <v>95</v>
      </c>
      <c r="D2876" s="3" t="s">
        <v>96</v>
      </c>
      <c r="E2876" s="2"/>
      <c r="F2876" s="2"/>
      <c r="G2876" s="2" t="s">
        <v>81</v>
      </c>
      <c r="H2876" s="2">
        <v>2</v>
      </c>
      <c r="I2876" s="8">
        <v>159.65</v>
      </c>
      <c r="J2876" s="8">
        <v>71455</v>
      </c>
      <c r="K2876" s="3">
        <v>0</v>
      </c>
      <c r="L2876" s="3" t="s">
        <v>3</v>
      </c>
      <c r="M2876" s="9" t="s">
        <v>0</v>
      </c>
      <c r="N2876" s="9" t="s">
        <v>58</v>
      </c>
      <c r="O2876" s="9" t="s">
        <v>622</v>
      </c>
      <c r="P2876" s="9" t="s">
        <v>0</v>
      </c>
      <c r="Q2876" s="30" t="s">
        <v>623</v>
      </c>
      <c r="R2876" s="9" t="s">
        <v>624</v>
      </c>
      <c r="S2876" s="9" t="s">
        <v>158</v>
      </c>
      <c r="T2876" s="2" t="s">
        <v>81</v>
      </c>
      <c r="U2876" s="2">
        <v>2</v>
      </c>
      <c r="V2876" s="2">
        <v>159.65</v>
      </c>
      <c r="W2876" s="10" t="s">
        <v>710</v>
      </c>
      <c r="X2876" s="17">
        <v>45633</v>
      </c>
      <c r="Y2876" s="17">
        <v>45659</v>
      </c>
      <c r="Z2876" s="19" t="s">
        <v>772</v>
      </c>
      <c r="AA2876" s="210">
        <v>48000</v>
      </c>
      <c r="AB2876" s="9">
        <v>48</v>
      </c>
      <c r="AC2876" s="9">
        <v>6</v>
      </c>
      <c r="AD2876" s="17">
        <v>45836</v>
      </c>
      <c r="AE2876" s="56">
        <v>920</v>
      </c>
      <c r="AF2876" s="56"/>
      <c r="AG2876" s="9" t="s">
        <v>134</v>
      </c>
      <c r="AH2876" s="17">
        <v>45838</v>
      </c>
      <c r="AI2876" s="17"/>
      <c r="AJ2876" s="17"/>
      <c r="AK2876" s="9" t="s">
        <v>938</v>
      </c>
      <c r="AL2876" s="11">
        <v>920</v>
      </c>
      <c r="AN2876" s="11" t="s">
        <v>949</v>
      </c>
      <c r="AP2876" s="11"/>
      <c r="AQ2876" s="11"/>
      <c r="AR2876" s="11"/>
      <c r="AW2876" s="42">
        <v>45836</v>
      </c>
      <c r="AX2876" s="36">
        <v>4348</v>
      </c>
      <c r="AY2876" s="40"/>
      <c r="AZ2876" s="36"/>
      <c r="BA2876" s="40">
        <v>920</v>
      </c>
      <c r="BD2876" s="9"/>
      <c r="CS2876" s="11">
        <f t="shared" si="194"/>
        <v>920</v>
      </c>
      <c r="CT2876" s="22">
        <f t="shared" si="195"/>
        <v>920</v>
      </c>
      <c r="CU2876" s="22">
        <f t="shared" si="196"/>
        <v>0</v>
      </c>
      <c r="CV2876" s="26">
        <f t="shared" si="197"/>
        <v>0</v>
      </c>
    </row>
    <row r="2877" spans="1:100" x14ac:dyDescent="0.2">
      <c r="A2877" s="9" t="s">
        <v>625</v>
      </c>
      <c r="B2877" s="2">
        <v>119</v>
      </c>
      <c r="C2877" s="3" t="s">
        <v>95</v>
      </c>
      <c r="D2877" s="3" t="s">
        <v>96</v>
      </c>
      <c r="E2877" s="2"/>
      <c r="F2877" s="2"/>
      <c r="G2877" s="2" t="s">
        <v>81</v>
      </c>
      <c r="H2877" s="2">
        <v>2</v>
      </c>
      <c r="I2877" s="8">
        <v>159.65</v>
      </c>
      <c r="J2877" s="8">
        <v>71455</v>
      </c>
      <c r="K2877" s="3">
        <v>0</v>
      </c>
      <c r="L2877" s="3" t="s">
        <v>3</v>
      </c>
      <c r="M2877" s="9" t="s">
        <v>0</v>
      </c>
      <c r="N2877" s="9" t="s">
        <v>58</v>
      </c>
      <c r="O2877" s="9" t="s">
        <v>622</v>
      </c>
      <c r="P2877" s="9" t="s">
        <v>0</v>
      </c>
      <c r="Q2877" s="30" t="s">
        <v>623</v>
      </c>
      <c r="R2877" s="9" t="s">
        <v>624</v>
      </c>
      <c r="S2877" s="9" t="s">
        <v>158</v>
      </c>
      <c r="T2877" s="2" t="s">
        <v>81</v>
      </c>
      <c r="U2877" s="2">
        <v>2</v>
      </c>
      <c r="V2877" s="2">
        <v>159.65</v>
      </c>
      <c r="W2877" s="10" t="s">
        <v>710</v>
      </c>
      <c r="X2877" s="17">
        <v>45633</v>
      </c>
      <c r="Y2877" s="17">
        <v>45659</v>
      </c>
      <c r="Z2877" s="19" t="s">
        <v>772</v>
      </c>
      <c r="AA2877" s="210">
        <v>48000</v>
      </c>
      <c r="AB2877" s="9">
        <v>48</v>
      </c>
      <c r="AC2877" s="9">
        <v>7</v>
      </c>
      <c r="AD2877" s="17">
        <v>45866</v>
      </c>
      <c r="AE2877" s="56">
        <v>920</v>
      </c>
      <c r="AF2877" s="56"/>
      <c r="AG2877" s="9" t="s">
        <v>134</v>
      </c>
      <c r="AH2877" s="17">
        <v>45869</v>
      </c>
      <c r="AI2877" s="17"/>
      <c r="AJ2877" s="17"/>
      <c r="AK2877" s="9" t="s">
        <v>939</v>
      </c>
      <c r="AL2877" s="11">
        <v>920</v>
      </c>
      <c r="AN2877" s="11" t="s">
        <v>950</v>
      </c>
      <c r="AP2877" s="11"/>
      <c r="AQ2877" s="11"/>
      <c r="AR2877" s="11"/>
      <c r="AW2877" s="42">
        <v>45869</v>
      </c>
      <c r="AX2877" s="36">
        <v>4487</v>
      </c>
      <c r="AY2877" s="40"/>
      <c r="AZ2877" s="36"/>
      <c r="BA2877" s="40">
        <v>920</v>
      </c>
      <c r="BD2877" s="9"/>
      <c r="CS2877" s="11">
        <f t="shared" ref="CS2877:CS2940" si="198">+AL2877+AT2877</f>
        <v>920</v>
      </c>
      <c r="CT2877" s="22">
        <f t="shared" ref="CT2877:CT2940" si="199">+BA2877+BG2877+BM2877+BS2877+BY2877+CE2877+CK2877+CQ2877</f>
        <v>920</v>
      </c>
      <c r="CU2877" s="22">
        <f t="shared" ref="CU2877:CU2940" si="200">+CS2877-CT2877</f>
        <v>0</v>
      </c>
      <c r="CV2877" s="26">
        <f t="shared" si="197"/>
        <v>0</v>
      </c>
    </row>
    <row r="2878" spans="1:100" x14ac:dyDescent="0.2">
      <c r="A2878" s="9" t="s">
        <v>625</v>
      </c>
      <c r="B2878" s="2">
        <v>119</v>
      </c>
      <c r="C2878" s="3" t="s">
        <v>95</v>
      </c>
      <c r="D2878" s="3" t="s">
        <v>96</v>
      </c>
      <c r="E2878" s="2"/>
      <c r="F2878" s="2"/>
      <c r="G2878" s="2" t="s">
        <v>81</v>
      </c>
      <c r="H2878" s="2">
        <v>2</v>
      </c>
      <c r="I2878" s="8">
        <v>159.65</v>
      </c>
      <c r="J2878" s="8">
        <v>71455</v>
      </c>
      <c r="K2878" s="3">
        <v>0</v>
      </c>
      <c r="L2878" s="3" t="s">
        <v>3</v>
      </c>
      <c r="M2878" s="9" t="s">
        <v>0</v>
      </c>
      <c r="N2878" s="9" t="s">
        <v>58</v>
      </c>
      <c r="O2878" s="9" t="s">
        <v>622</v>
      </c>
      <c r="P2878" s="9" t="s">
        <v>0</v>
      </c>
      <c r="Q2878" s="30" t="s">
        <v>623</v>
      </c>
      <c r="R2878" s="9" t="s">
        <v>624</v>
      </c>
      <c r="S2878" s="9" t="s">
        <v>158</v>
      </c>
      <c r="T2878" s="2" t="s">
        <v>81</v>
      </c>
      <c r="U2878" s="2">
        <v>2</v>
      </c>
      <c r="V2878" s="2">
        <v>159.65</v>
      </c>
      <c r="W2878" s="10" t="s">
        <v>710</v>
      </c>
      <c r="X2878" s="17">
        <v>45633</v>
      </c>
      <c r="Y2878" s="17">
        <v>45659</v>
      </c>
      <c r="Z2878" s="19" t="s">
        <v>772</v>
      </c>
      <c r="AA2878" s="210">
        <v>48000</v>
      </c>
      <c r="AB2878" s="9">
        <v>48</v>
      </c>
      <c r="AC2878" s="9">
        <v>8</v>
      </c>
      <c r="AD2878" s="17">
        <v>45897</v>
      </c>
      <c r="AE2878" s="56">
        <v>920</v>
      </c>
      <c r="AF2878" s="56"/>
      <c r="AG2878" s="9" t="s">
        <v>134</v>
      </c>
      <c r="AH2878" s="17">
        <v>45898</v>
      </c>
      <c r="AI2878" s="17"/>
      <c r="AJ2878" s="17"/>
      <c r="AK2878" s="9" t="s">
        <v>940</v>
      </c>
      <c r="AL2878" s="11">
        <v>920</v>
      </c>
      <c r="AN2878" s="11" t="s">
        <v>951</v>
      </c>
      <c r="AP2878" s="11"/>
      <c r="AQ2878" s="11"/>
      <c r="AR2878" s="11"/>
      <c r="AW2878" s="42">
        <v>45897</v>
      </c>
      <c r="AX2878" s="36">
        <v>51942</v>
      </c>
      <c r="AY2878" s="40">
        <v>3275.2</v>
      </c>
      <c r="AZ2878" s="36">
        <v>3.56</v>
      </c>
      <c r="BA2878" s="40">
        <f>+AY2878/AZ2878</f>
        <v>919.99999999999989</v>
      </c>
      <c r="BD2878" s="9"/>
      <c r="CS2878" s="11">
        <f t="shared" si="198"/>
        <v>920</v>
      </c>
      <c r="CT2878" s="22">
        <f t="shared" si="199"/>
        <v>919.99999999999989</v>
      </c>
      <c r="CU2878" s="22">
        <f t="shared" si="200"/>
        <v>0</v>
      </c>
      <c r="CV2878" s="26">
        <f t="shared" si="197"/>
        <v>0</v>
      </c>
    </row>
    <row r="2879" spans="1:100" x14ac:dyDescent="0.2">
      <c r="A2879" s="9" t="s">
        <v>625</v>
      </c>
      <c r="B2879" s="2">
        <v>119</v>
      </c>
      <c r="C2879" s="3" t="s">
        <v>95</v>
      </c>
      <c r="D2879" s="3" t="s">
        <v>96</v>
      </c>
      <c r="E2879" s="2"/>
      <c r="F2879" s="2"/>
      <c r="G2879" s="2" t="s">
        <v>81</v>
      </c>
      <c r="H2879" s="2">
        <v>2</v>
      </c>
      <c r="I2879" s="8">
        <v>159.65</v>
      </c>
      <c r="J2879" s="8">
        <v>71455</v>
      </c>
      <c r="K2879" s="3">
        <v>0</v>
      </c>
      <c r="L2879" s="3" t="s">
        <v>3</v>
      </c>
      <c r="M2879" s="9" t="s">
        <v>0</v>
      </c>
      <c r="N2879" s="9" t="s">
        <v>58</v>
      </c>
      <c r="O2879" s="9" t="s">
        <v>622</v>
      </c>
      <c r="P2879" s="9" t="s">
        <v>0</v>
      </c>
      <c r="Q2879" s="30" t="s">
        <v>623</v>
      </c>
      <c r="R2879" s="9" t="s">
        <v>624</v>
      </c>
      <c r="S2879" s="9" t="s">
        <v>158</v>
      </c>
      <c r="T2879" s="2" t="s">
        <v>81</v>
      </c>
      <c r="U2879" s="2">
        <v>2</v>
      </c>
      <c r="V2879" s="2">
        <v>159.65</v>
      </c>
      <c r="W2879" s="10" t="s">
        <v>710</v>
      </c>
      <c r="X2879" s="17">
        <v>45633</v>
      </c>
      <c r="Y2879" s="17">
        <v>45659</v>
      </c>
      <c r="Z2879" s="19" t="s">
        <v>772</v>
      </c>
      <c r="AA2879" s="210">
        <v>48000</v>
      </c>
      <c r="AB2879" s="9">
        <v>48</v>
      </c>
      <c r="AC2879" s="9">
        <v>9</v>
      </c>
      <c r="AD2879" s="17">
        <v>45928</v>
      </c>
      <c r="AE2879" s="56">
        <v>920</v>
      </c>
      <c r="AF2879" s="56"/>
      <c r="AG2879" s="9" t="s">
        <v>134</v>
      </c>
      <c r="AH2879" s="17">
        <v>45929</v>
      </c>
      <c r="AI2879" s="17"/>
      <c r="AJ2879" s="17"/>
      <c r="AK2879" s="9" t="s">
        <v>941</v>
      </c>
      <c r="AL2879" s="11">
        <v>920</v>
      </c>
      <c r="AN2879" s="11" t="s">
        <v>952</v>
      </c>
      <c r="AP2879" s="11"/>
      <c r="AQ2879" s="11"/>
      <c r="AR2879" s="11"/>
      <c r="AW2879" s="42">
        <v>45929</v>
      </c>
      <c r="AX2879" s="36">
        <v>52877</v>
      </c>
      <c r="AY2879" s="40">
        <v>3229.2</v>
      </c>
      <c r="AZ2879" s="36">
        <v>3.51</v>
      </c>
      <c r="BA2879" s="40">
        <f>+AY2879/AZ2879</f>
        <v>920</v>
      </c>
      <c r="BD2879" s="9"/>
      <c r="CS2879" s="11">
        <f t="shared" si="198"/>
        <v>920</v>
      </c>
      <c r="CT2879" s="22">
        <f t="shared" si="199"/>
        <v>920</v>
      </c>
      <c r="CU2879" s="22">
        <f t="shared" si="200"/>
        <v>0</v>
      </c>
      <c r="CV2879" s="26">
        <f t="shared" si="197"/>
        <v>0</v>
      </c>
    </row>
    <row r="2880" spans="1:100" x14ac:dyDescent="0.2">
      <c r="A2880" s="9" t="s">
        <v>625</v>
      </c>
      <c r="B2880" s="2">
        <v>119</v>
      </c>
      <c r="C2880" s="3" t="s">
        <v>95</v>
      </c>
      <c r="D2880" s="3" t="s">
        <v>96</v>
      </c>
      <c r="E2880" s="2"/>
      <c r="F2880" s="2"/>
      <c r="G2880" s="2" t="s">
        <v>81</v>
      </c>
      <c r="H2880" s="2">
        <v>2</v>
      </c>
      <c r="I2880" s="8">
        <v>159.65</v>
      </c>
      <c r="J2880" s="8">
        <v>71455</v>
      </c>
      <c r="K2880" s="3">
        <v>0</v>
      </c>
      <c r="L2880" s="3" t="s">
        <v>3</v>
      </c>
      <c r="M2880" s="9" t="s">
        <v>0</v>
      </c>
      <c r="N2880" s="9" t="s">
        <v>58</v>
      </c>
      <c r="O2880" s="9" t="s">
        <v>622</v>
      </c>
      <c r="P2880" s="9" t="s">
        <v>0</v>
      </c>
      <c r="Q2880" s="30" t="s">
        <v>623</v>
      </c>
      <c r="R2880" s="9" t="s">
        <v>624</v>
      </c>
      <c r="S2880" s="9" t="s">
        <v>158</v>
      </c>
      <c r="T2880" s="2" t="s">
        <v>81</v>
      </c>
      <c r="U2880" s="2">
        <v>2</v>
      </c>
      <c r="V2880" s="2">
        <v>159.65</v>
      </c>
      <c r="W2880" s="10" t="s">
        <v>710</v>
      </c>
      <c r="X2880" s="17">
        <v>45633</v>
      </c>
      <c r="Y2880" s="17">
        <v>45659</v>
      </c>
      <c r="Z2880" s="19" t="s">
        <v>772</v>
      </c>
      <c r="AA2880" s="210">
        <v>48000</v>
      </c>
      <c r="AB2880" s="9">
        <v>48</v>
      </c>
      <c r="AC2880" s="9">
        <v>10</v>
      </c>
      <c r="AD2880" s="17">
        <v>45958</v>
      </c>
      <c r="AE2880" s="56">
        <v>920</v>
      </c>
      <c r="AF2880" s="56"/>
      <c r="AL2880" s="9"/>
      <c r="AM2880" s="9"/>
      <c r="AN2880" s="9"/>
      <c r="AP2880" s="11"/>
      <c r="AQ2880" s="11"/>
      <c r="AR2880" s="11"/>
      <c r="AW2880" s="17"/>
      <c r="BD2880" s="9"/>
      <c r="CS2880" s="11">
        <f t="shared" si="198"/>
        <v>0</v>
      </c>
      <c r="CT2880" s="22">
        <f t="shared" si="199"/>
        <v>0</v>
      </c>
      <c r="CU2880" s="22">
        <f t="shared" si="200"/>
        <v>0</v>
      </c>
      <c r="CV2880" s="26">
        <f t="shared" si="197"/>
        <v>920</v>
      </c>
    </row>
    <row r="2881" spans="1:100" x14ac:dyDescent="0.2">
      <c r="A2881" s="9" t="s">
        <v>625</v>
      </c>
      <c r="B2881" s="2">
        <v>119</v>
      </c>
      <c r="C2881" s="3" t="s">
        <v>95</v>
      </c>
      <c r="D2881" s="3" t="s">
        <v>96</v>
      </c>
      <c r="E2881" s="2"/>
      <c r="F2881" s="2"/>
      <c r="G2881" s="2" t="s">
        <v>81</v>
      </c>
      <c r="H2881" s="2">
        <v>2</v>
      </c>
      <c r="I2881" s="8">
        <v>159.65</v>
      </c>
      <c r="J2881" s="8">
        <v>71455</v>
      </c>
      <c r="K2881" s="3">
        <v>0</v>
      </c>
      <c r="L2881" s="3" t="s">
        <v>3</v>
      </c>
      <c r="M2881" s="9" t="s">
        <v>0</v>
      </c>
      <c r="N2881" s="9" t="s">
        <v>58</v>
      </c>
      <c r="O2881" s="9" t="s">
        <v>622</v>
      </c>
      <c r="P2881" s="9" t="s">
        <v>0</v>
      </c>
      <c r="Q2881" s="30" t="s">
        <v>623</v>
      </c>
      <c r="R2881" s="9" t="s">
        <v>624</v>
      </c>
      <c r="S2881" s="9" t="s">
        <v>158</v>
      </c>
      <c r="T2881" s="2" t="s">
        <v>81</v>
      </c>
      <c r="U2881" s="2">
        <v>2</v>
      </c>
      <c r="V2881" s="2">
        <v>159.65</v>
      </c>
      <c r="W2881" s="10" t="s">
        <v>710</v>
      </c>
      <c r="X2881" s="17">
        <v>45633</v>
      </c>
      <c r="Y2881" s="17">
        <v>45659</v>
      </c>
      <c r="Z2881" s="19" t="s">
        <v>772</v>
      </c>
      <c r="AA2881" s="210">
        <v>48000</v>
      </c>
      <c r="AB2881" s="9">
        <v>48</v>
      </c>
      <c r="AC2881" s="9">
        <v>11</v>
      </c>
      <c r="AD2881" s="17">
        <v>45989</v>
      </c>
      <c r="AE2881" s="56">
        <v>920</v>
      </c>
      <c r="AF2881" s="56"/>
      <c r="AL2881" s="9"/>
      <c r="AM2881" s="9"/>
      <c r="AN2881" s="9"/>
      <c r="AP2881" s="11"/>
      <c r="AQ2881" s="11"/>
      <c r="AR2881" s="11"/>
      <c r="AW2881" s="9"/>
      <c r="BD2881" s="9"/>
      <c r="CS2881" s="11">
        <f t="shared" si="198"/>
        <v>0</v>
      </c>
      <c r="CT2881" s="22">
        <f t="shared" si="199"/>
        <v>0</v>
      </c>
      <c r="CU2881" s="22">
        <f t="shared" si="200"/>
        <v>0</v>
      </c>
      <c r="CV2881" s="26">
        <f t="shared" si="197"/>
        <v>920</v>
      </c>
    </row>
    <row r="2882" spans="1:100" ht="12.75" x14ac:dyDescent="0.2">
      <c r="A2882" s="9" t="s">
        <v>625</v>
      </c>
      <c r="B2882" s="2">
        <v>119</v>
      </c>
      <c r="C2882" s="3" t="s">
        <v>95</v>
      </c>
      <c r="D2882" s="3" t="s">
        <v>96</v>
      </c>
      <c r="E2882" s="2"/>
      <c r="F2882" s="2"/>
      <c r="G2882" s="2" t="s">
        <v>81</v>
      </c>
      <c r="H2882" s="2">
        <v>2</v>
      </c>
      <c r="I2882" s="8">
        <v>159.65</v>
      </c>
      <c r="J2882" s="8">
        <v>71455</v>
      </c>
      <c r="K2882" s="3">
        <v>0</v>
      </c>
      <c r="L2882" s="3" t="s">
        <v>3</v>
      </c>
      <c r="M2882" s="9" t="s">
        <v>0</v>
      </c>
      <c r="N2882" s="9" t="s">
        <v>58</v>
      </c>
      <c r="O2882" s="9" t="s">
        <v>622</v>
      </c>
      <c r="P2882" s="9" t="s">
        <v>0</v>
      </c>
      <c r="Q2882" s="30" t="s">
        <v>623</v>
      </c>
      <c r="R2882" s="9" t="s">
        <v>624</v>
      </c>
      <c r="S2882" s="9" t="s">
        <v>158</v>
      </c>
      <c r="T2882" s="2" t="s">
        <v>81</v>
      </c>
      <c r="U2882" s="2">
        <v>2</v>
      </c>
      <c r="V2882" s="2">
        <v>159.65</v>
      </c>
      <c r="W2882" s="10" t="s">
        <v>710</v>
      </c>
      <c r="X2882" s="17">
        <v>45633</v>
      </c>
      <c r="Y2882" s="17">
        <v>45659</v>
      </c>
      <c r="Z2882" s="19" t="s">
        <v>772</v>
      </c>
      <c r="AA2882" s="210">
        <v>48000</v>
      </c>
      <c r="AB2882" s="9">
        <v>48</v>
      </c>
      <c r="AC2882" s="9">
        <v>12</v>
      </c>
      <c r="AD2882" s="17">
        <v>46019</v>
      </c>
      <c r="AE2882" s="56">
        <v>920</v>
      </c>
      <c r="AF2882" s="56"/>
      <c r="AL2882" s="9"/>
      <c r="AM2882" s="9"/>
      <c r="AN2882" s="9"/>
      <c r="AP2882" s="11"/>
      <c r="AQ2882" s="11"/>
      <c r="AR2882" s="11"/>
      <c r="AW2882" s="94"/>
      <c r="AX2882" s="95"/>
      <c r="AY2882" s="96"/>
      <c r="BD2882" s="9"/>
      <c r="CS2882" s="11">
        <f t="shared" si="198"/>
        <v>0</v>
      </c>
      <c r="CT2882" s="22">
        <f t="shared" si="199"/>
        <v>0</v>
      </c>
      <c r="CU2882" s="22">
        <f t="shared" si="200"/>
        <v>0</v>
      </c>
      <c r="CV2882" s="26">
        <f t="shared" si="197"/>
        <v>920</v>
      </c>
    </row>
    <row r="2883" spans="1:100" x14ac:dyDescent="0.2">
      <c r="A2883" s="9" t="s">
        <v>625</v>
      </c>
      <c r="B2883" s="2">
        <v>119</v>
      </c>
      <c r="C2883" s="3" t="s">
        <v>95</v>
      </c>
      <c r="D2883" s="3" t="s">
        <v>96</v>
      </c>
      <c r="E2883" s="2"/>
      <c r="F2883" s="2"/>
      <c r="G2883" s="2" t="s">
        <v>81</v>
      </c>
      <c r="H2883" s="2">
        <v>2</v>
      </c>
      <c r="I2883" s="8">
        <v>159.65</v>
      </c>
      <c r="J2883" s="8">
        <v>71455</v>
      </c>
      <c r="K2883" s="3">
        <v>0</v>
      </c>
      <c r="L2883" s="3" t="s">
        <v>3</v>
      </c>
      <c r="M2883" s="9" t="s">
        <v>0</v>
      </c>
      <c r="N2883" s="9" t="s">
        <v>58</v>
      </c>
      <c r="O2883" s="9" t="s">
        <v>622</v>
      </c>
      <c r="P2883" s="9" t="s">
        <v>0</v>
      </c>
      <c r="Q2883" s="30" t="s">
        <v>623</v>
      </c>
      <c r="R2883" s="9" t="s">
        <v>624</v>
      </c>
      <c r="S2883" s="9" t="s">
        <v>158</v>
      </c>
      <c r="T2883" s="10" t="s">
        <v>81</v>
      </c>
      <c r="U2883" s="10">
        <v>2</v>
      </c>
      <c r="V2883" s="10">
        <v>159.65</v>
      </c>
      <c r="W2883" s="10" t="s">
        <v>710</v>
      </c>
      <c r="X2883" s="17">
        <v>45633</v>
      </c>
      <c r="Y2883" s="17">
        <v>45659</v>
      </c>
      <c r="Z2883" s="19" t="s">
        <v>772</v>
      </c>
      <c r="AA2883" s="210">
        <v>48000</v>
      </c>
      <c r="AB2883" s="9">
        <v>48</v>
      </c>
      <c r="AC2883" s="9">
        <v>13</v>
      </c>
      <c r="AD2883" s="17">
        <v>46050</v>
      </c>
      <c r="AE2883" s="56">
        <v>920</v>
      </c>
      <c r="AF2883" s="56"/>
      <c r="AL2883" s="9"/>
      <c r="AM2883" s="9"/>
      <c r="AN2883" s="9"/>
      <c r="AP2883" s="11"/>
      <c r="AQ2883" s="11"/>
      <c r="AR2883" s="11"/>
      <c r="AW2883" s="9"/>
      <c r="BD2883" s="9"/>
      <c r="CS2883" s="11">
        <f t="shared" si="198"/>
        <v>0</v>
      </c>
      <c r="CT2883" s="22">
        <f t="shared" si="199"/>
        <v>0</v>
      </c>
      <c r="CU2883" s="22">
        <f t="shared" si="200"/>
        <v>0</v>
      </c>
      <c r="CV2883" s="26">
        <f t="shared" si="197"/>
        <v>920</v>
      </c>
    </row>
    <row r="2884" spans="1:100" x14ac:dyDescent="0.2">
      <c r="A2884" s="9" t="s">
        <v>625</v>
      </c>
      <c r="B2884" s="2">
        <v>119</v>
      </c>
      <c r="C2884" s="3" t="s">
        <v>95</v>
      </c>
      <c r="D2884" s="3" t="s">
        <v>96</v>
      </c>
      <c r="E2884" s="2"/>
      <c r="F2884" s="2"/>
      <c r="G2884" s="2" t="s">
        <v>81</v>
      </c>
      <c r="H2884" s="2">
        <v>2</v>
      </c>
      <c r="I2884" s="8">
        <v>159.65</v>
      </c>
      <c r="J2884" s="8">
        <v>71455</v>
      </c>
      <c r="K2884" s="3">
        <v>0</v>
      </c>
      <c r="L2884" s="3" t="s">
        <v>3</v>
      </c>
      <c r="M2884" s="9" t="s">
        <v>0</v>
      </c>
      <c r="N2884" s="9" t="s">
        <v>58</v>
      </c>
      <c r="O2884" s="9" t="s">
        <v>622</v>
      </c>
      <c r="P2884" s="9" t="s">
        <v>0</v>
      </c>
      <c r="Q2884" s="30" t="s">
        <v>623</v>
      </c>
      <c r="R2884" s="9" t="s">
        <v>624</v>
      </c>
      <c r="S2884" s="9" t="s">
        <v>158</v>
      </c>
      <c r="T2884" s="10" t="s">
        <v>81</v>
      </c>
      <c r="U2884" s="10">
        <v>2</v>
      </c>
      <c r="V2884" s="10">
        <v>159.65</v>
      </c>
      <c r="W2884" s="10" t="s">
        <v>710</v>
      </c>
      <c r="X2884" s="17">
        <v>45633</v>
      </c>
      <c r="Y2884" s="17">
        <v>45659</v>
      </c>
      <c r="Z2884" s="19" t="s">
        <v>772</v>
      </c>
      <c r="AA2884" s="210">
        <v>48000</v>
      </c>
      <c r="AB2884" s="9">
        <v>48</v>
      </c>
      <c r="AC2884" s="9">
        <v>14</v>
      </c>
      <c r="AD2884" s="17">
        <v>46081</v>
      </c>
      <c r="AE2884" s="56">
        <v>920</v>
      </c>
      <c r="AF2884" s="56"/>
      <c r="AL2884" s="9"/>
      <c r="AM2884" s="9"/>
      <c r="AN2884" s="9"/>
      <c r="AP2884" s="11"/>
      <c r="AQ2884" s="11"/>
      <c r="AR2884" s="11"/>
      <c r="AW2884" s="9"/>
      <c r="BD2884" s="9"/>
      <c r="CS2884" s="11">
        <f t="shared" si="198"/>
        <v>0</v>
      </c>
      <c r="CT2884" s="22">
        <f t="shared" si="199"/>
        <v>0</v>
      </c>
      <c r="CU2884" s="22">
        <f t="shared" si="200"/>
        <v>0</v>
      </c>
      <c r="CV2884" s="26">
        <f t="shared" si="197"/>
        <v>920</v>
      </c>
    </row>
    <row r="2885" spans="1:100" x14ac:dyDescent="0.2">
      <c r="A2885" s="9" t="s">
        <v>625</v>
      </c>
      <c r="B2885" s="2">
        <v>119</v>
      </c>
      <c r="C2885" s="3" t="s">
        <v>95</v>
      </c>
      <c r="D2885" s="3" t="s">
        <v>96</v>
      </c>
      <c r="E2885" s="2"/>
      <c r="F2885" s="2"/>
      <c r="G2885" s="2" t="s">
        <v>81</v>
      </c>
      <c r="H2885" s="2">
        <v>2</v>
      </c>
      <c r="I2885" s="8">
        <v>159.65</v>
      </c>
      <c r="J2885" s="8">
        <v>71455</v>
      </c>
      <c r="K2885" s="3">
        <v>0</v>
      </c>
      <c r="L2885" s="3" t="s">
        <v>3</v>
      </c>
      <c r="M2885" s="9" t="s">
        <v>0</v>
      </c>
      <c r="N2885" s="9" t="s">
        <v>58</v>
      </c>
      <c r="O2885" s="9" t="s">
        <v>622</v>
      </c>
      <c r="P2885" s="9" t="s">
        <v>0</v>
      </c>
      <c r="Q2885" s="30" t="s">
        <v>623</v>
      </c>
      <c r="R2885" s="9" t="s">
        <v>624</v>
      </c>
      <c r="S2885" s="9" t="s">
        <v>158</v>
      </c>
      <c r="T2885" s="10" t="s">
        <v>81</v>
      </c>
      <c r="U2885" s="10">
        <v>2</v>
      </c>
      <c r="V2885" s="10">
        <v>159.65</v>
      </c>
      <c r="W2885" s="10" t="s">
        <v>710</v>
      </c>
      <c r="X2885" s="17">
        <v>45633</v>
      </c>
      <c r="Y2885" s="17">
        <v>45659</v>
      </c>
      <c r="Z2885" s="19" t="s">
        <v>772</v>
      </c>
      <c r="AA2885" s="210">
        <v>48000</v>
      </c>
      <c r="AB2885" s="9">
        <v>48</v>
      </c>
      <c r="AC2885" s="9">
        <v>15</v>
      </c>
      <c r="AD2885" s="17">
        <v>46109</v>
      </c>
      <c r="AE2885" s="56">
        <v>920</v>
      </c>
      <c r="AF2885" s="56"/>
      <c r="AP2885" s="11"/>
      <c r="AQ2885" s="11"/>
      <c r="AR2885" s="11"/>
      <c r="AW2885" s="17"/>
      <c r="AX2885" s="86"/>
      <c r="BD2885" s="9"/>
      <c r="CS2885" s="11">
        <f t="shared" si="198"/>
        <v>0</v>
      </c>
      <c r="CT2885" s="22">
        <f t="shared" si="199"/>
        <v>0</v>
      </c>
      <c r="CU2885" s="22">
        <f t="shared" si="200"/>
        <v>0</v>
      </c>
      <c r="CV2885" s="26">
        <f t="shared" si="197"/>
        <v>920</v>
      </c>
    </row>
    <row r="2886" spans="1:100" x14ac:dyDescent="0.2">
      <c r="A2886" s="9" t="s">
        <v>625</v>
      </c>
      <c r="B2886" s="2">
        <v>119</v>
      </c>
      <c r="C2886" s="3" t="s">
        <v>95</v>
      </c>
      <c r="D2886" s="3" t="s">
        <v>96</v>
      </c>
      <c r="E2886" s="2"/>
      <c r="F2886" s="2"/>
      <c r="G2886" s="2" t="s">
        <v>81</v>
      </c>
      <c r="H2886" s="2">
        <v>2</v>
      </c>
      <c r="I2886" s="8">
        <v>159.65</v>
      </c>
      <c r="J2886" s="8">
        <v>71455</v>
      </c>
      <c r="K2886" s="3">
        <v>0</v>
      </c>
      <c r="L2886" s="3" t="s">
        <v>3</v>
      </c>
      <c r="M2886" s="9" t="s">
        <v>0</v>
      </c>
      <c r="N2886" s="9" t="s">
        <v>58</v>
      </c>
      <c r="O2886" s="9" t="s">
        <v>622</v>
      </c>
      <c r="P2886" s="9" t="s">
        <v>0</v>
      </c>
      <c r="Q2886" s="30" t="s">
        <v>623</v>
      </c>
      <c r="R2886" s="9" t="s">
        <v>624</v>
      </c>
      <c r="S2886" s="9" t="s">
        <v>158</v>
      </c>
      <c r="T2886" s="10" t="s">
        <v>81</v>
      </c>
      <c r="U2886" s="10">
        <v>2</v>
      </c>
      <c r="V2886" s="10">
        <v>159.65</v>
      </c>
      <c r="W2886" s="10" t="s">
        <v>710</v>
      </c>
      <c r="X2886" s="17">
        <v>45633</v>
      </c>
      <c r="Y2886" s="17">
        <v>45659</v>
      </c>
      <c r="Z2886" s="19" t="s">
        <v>772</v>
      </c>
      <c r="AA2886" s="210">
        <v>48000</v>
      </c>
      <c r="AB2886" s="9">
        <v>48</v>
      </c>
      <c r="AC2886" s="9">
        <v>16</v>
      </c>
      <c r="AD2886" s="17">
        <v>46140</v>
      </c>
      <c r="AE2886" s="56">
        <v>920</v>
      </c>
      <c r="AF2886" s="56"/>
      <c r="AP2886" s="11"/>
      <c r="AQ2886" s="11"/>
      <c r="AR2886" s="11"/>
      <c r="AW2886" s="9"/>
      <c r="BD2886" s="9"/>
      <c r="CS2886" s="11">
        <f t="shared" si="198"/>
        <v>0</v>
      </c>
      <c r="CT2886" s="22">
        <f t="shared" si="199"/>
        <v>0</v>
      </c>
      <c r="CU2886" s="22">
        <f t="shared" si="200"/>
        <v>0</v>
      </c>
      <c r="CV2886" s="26">
        <f t="shared" si="197"/>
        <v>920</v>
      </c>
    </row>
    <row r="2887" spans="1:100" x14ac:dyDescent="0.2">
      <c r="A2887" s="9" t="s">
        <v>625</v>
      </c>
      <c r="B2887" s="2">
        <v>119</v>
      </c>
      <c r="C2887" s="3" t="s">
        <v>95</v>
      </c>
      <c r="D2887" s="3" t="s">
        <v>96</v>
      </c>
      <c r="E2887" s="2"/>
      <c r="F2887" s="2"/>
      <c r="G2887" s="2" t="s">
        <v>81</v>
      </c>
      <c r="H2887" s="2">
        <v>2</v>
      </c>
      <c r="I2887" s="8">
        <v>159.65</v>
      </c>
      <c r="J2887" s="8">
        <v>71455</v>
      </c>
      <c r="K2887" s="3">
        <v>0</v>
      </c>
      <c r="L2887" s="3" t="s">
        <v>3</v>
      </c>
      <c r="M2887" s="9" t="s">
        <v>0</v>
      </c>
      <c r="N2887" s="9" t="s">
        <v>58</v>
      </c>
      <c r="O2887" s="9" t="s">
        <v>622</v>
      </c>
      <c r="P2887" s="9" t="s">
        <v>0</v>
      </c>
      <c r="Q2887" s="30" t="s">
        <v>623</v>
      </c>
      <c r="R2887" s="9" t="s">
        <v>624</v>
      </c>
      <c r="S2887" s="9" t="s">
        <v>158</v>
      </c>
      <c r="T2887" s="10" t="s">
        <v>81</v>
      </c>
      <c r="U2887" s="10">
        <v>2</v>
      </c>
      <c r="V2887" s="10">
        <v>159.65</v>
      </c>
      <c r="W2887" s="10" t="s">
        <v>710</v>
      </c>
      <c r="X2887" s="17">
        <v>45633</v>
      </c>
      <c r="Y2887" s="17">
        <v>45659</v>
      </c>
      <c r="Z2887" s="19" t="s">
        <v>772</v>
      </c>
      <c r="AA2887" s="210">
        <v>48000</v>
      </c>
      <c r="AB2887" s="9">
        <v>48</v>
      </c>
      <c r="AC2887" s="9">
        <v>17</v>
      </c>
      <c r="AD2887" s="17">
        <v>46170</v>
      </c>
      <c r="AE2887" s="56">
        <v>920</v>
      </c>
      <c r="AF2887" s="56"/>
      <c r="AP2887" s="11"/>
      <c r="AQ2887" s="11"/>
      <c r="AR2887" s="11"/>
      <c r="AW2887" s="9"/>
      <c r="BD2887" s="9"/>
      <c r="CS2887" s="11">
        <f t="shared" si="198"/>
        <v>0</v>
      </c>
      <c r="CT2887" s="22">
        <f t="shared" si="199"/>
        <v>0</v>
      </c>
      <c r="CU2887" s="22">
        <f t="shared" si="200"/>
        <v>0</v>
      </c>
      <c r="CV2887" s="26">
        <f t="shared" si="197"/>
        <v>920</v>
      </c>
    </row>
    <row r="2888" spans="1:100" x14ac:dyDescent="0.2">
      <c r="A2888" s="9" t="s">
        <v>625</v>
      </c>
      <c r="B2888" s="2">
        <v>119</v>
      </c>
      <c r="C2888" s="3" t="s">
        <v>95</v>
      </c>
      <c r="D2888" s="3" t="s">
        <v>96</v>
      </c>
      <c r="E2888" s="2"/>
      <c r="F2888" s="2"/>
      <c r="G2888" s="2" t="s">
        <v>81</v>
      </c>
      <c r="H2888" s="2">
        <v>2</v>
      </c>
      <c r="I2888" s="8">
        <v>159.65</v>
      </c>
      <c r="J2888" s="8">
        <v>71455</v>
      </c>
      <c r="K2888" s="3">
        <v>0</v>
      </c>
      <c r="L2888" s="3" t="s">
        <v>3</v>
      </c>
      <c r="M2888" s="9" t="s">
        <v>0</v>
      </c>
      <c r="N2888" s="9" t="s">
        <v>58</v>
      </c>
      <c r="O2888" s="9" t="s">
        <v>622</v>
      </c>
      <c r="P2888" s="9" t="s">
        <v>0</v>
      </c>
      <c r="Q2888" s="30" t="s">
        <v>623</v>
      </c>
      <c r="R2888" s="9" t="s">
        <v>624</v>
      </c>
      <c r="S2888" s="9" t="s">
        <v>158</v>
      </c>
      <c r="T2888" s="10" t="s">
        <v>81</v>
      </c>
      <c r="U2888" s="10">
        <v>2</v>
      </c>
      <c r="V2888" s="10">
        <v>159.65</v>
      </c>
      <c r="W2888" s="10" t="s">
        <v>710</v>
      </c>
      <c r="X2888" s="17">
        <v>45633</v>
      </c>
      <c r="Y2888" s="17">
        <v>45659</v>
      </c>
      <c r="Z2888" s="19" t="s">
        <v>772</v>
      </c>
      <c r="AA2888" s="210">
        <v>48000</v>
      </c>
      <c r="AB2888" s="9">
        <v>48</v>
      </c>
      <c r="AC2888" s="9">
        <v>18</v>
      </c>
      <c r="AD2888" s="17">
        <v>46201</v>
      </c>
      <c r="AE2888" s="56">
        <v>920</v>
      </c>
      <c r="AF2888" s="56"/>
      <c r="AP2888" s="11"/>
      <c r="AQ2888" s="11"/>
      <c r="AR2888" s="11"/>
      <c r="AW2888" s="9"/>
      <c r="BD2888" s="9"/>
      <c r="CS2888" s="11">
        <f t="shared" si="198"/>
        <v>0</v>
      </c>
      <c r="CT2888" s="22">
        <f t="shared" si="199"/>
        <v>0</v>
      </c>
      <c r="CU2888" s="22">
        <f t="shared" si="200"/>
        <v>0</v>
      </c>
      <c r="CV2888" s="26">
        <f t="shared" si="197"/>
        <v>920</v>
      </c>
    </row>
    <row r="2889" spans="1:100" x14ac:dyDescent="0.2">
      <c r="A2889" s="9" t="s">
        <v>625</v>
      </c>
      <c r="B2889" s="2">
        <v>119</v>
      </c>
      <c r="C2889" s="3" t="s">
        <v>95</v>
      </c>
      <c r="D2889" s="3" t="s">
        <v>96</v>
      </c>
      <c r="E2889" s="2"/>
      <c r="F2889" s="2"/>
      <c r="G2889" s="2" t="s">
        <v>81</v>
      </c>
      <c r="H2889" s="2">
        <v>2</v>
      </c>
      <c r="I2889" s="8">
        <v>159.65</v>
      </c>
      <c r="J2889" s="8">
        <v>71455</v>
      </c>
      <c r="K2889" s="3">
        <v>0</v>
      </c>
      <c r="L2889" s="3" t="s">
        <v>3</v>
      </c>
      <c r="M2889" s="9" t="s">
        <v>0</v>
      </c>
      <c r="N2889" s="9" t="s">
        <v>58</v>
      </c>
      <c r="O2889" s="9" t="s">
        <v>622</v>
      </c>
      <c r="P2889" s="9" t="s">
        <v>0</v>
      </c>
      <c r="Q2889" s="30" t="s">
        <v>623</v>
      </c>
      <c r="R2889" s="9" t="s">
        <v>624</v>
      </c>
      <c r="S2889" s="9" t="s">
        <v>158</v>
      </c>
      <c r="T2889" s="10" t="s">
        <v>81</v>
      </c>
      <c r="U2889" s="10">
        <v>2</v>
      </c>
      <c r="V2889" s="10">
        <v>159.65</v>
      </c>
      <c r="W2889" s="10" t="s">
        <v>710</v>
      </c>
      <c r="X2889" s="17">
        <v>45633</v>
      </c>
      <c r="Y2889" s="17">
        <v>45659</v>
      </c>
      <c r="Z2889" s="19" t="s">
        <v>772</v>
      </c>
      <c r="AA2889" s="210">
        <v>48000</v>
      </c>
      <c r="AB2889" s="9">
        <v>48</v>
      </c>
      <c r="AC2889" s="9">
        <v>19</v>
      </c>
      <c r="AD2889" s="17">
        <v>46231</v>
      </c>
      <c r="AE2889" s="56">
        <v>920</v>
      </c>
      <c r="AF2889" s="56"/>
      <c r="AP2889" s="11"/>
      <c r="AQ2889" s="11"/>
      <c r="AR2889" s="11"/>
      <c r="AW2889" s="9"/>
      <c r="BD2889" s="9"/>
      <c r="CS2889" s="11">
        <f t="shared" si="198"/>
        <v>0</v>
      </c>
      <c r="CT2889" s="22">
        <f t="shared" si="199"/>
        <v>0</v>
      </c>
      <c r="CU2889" s="22">
        <f t="shared" si="200"/>
        <v>0</v>
      </c>
      <c r="CV2889" s="26">
        <f t="shared" si="197"/>
        <v>920</v>
      </c>
    </row>
    <row r="2890" spans="1:100" x14ac:dyDescent="0.2">
      <c r="A2890" s="9" t="s">
        <v>625</v>
      </c>
      <c r="B2890" s="2">
        <v>119</v>
      </c>
      <c r="C2890" s="3" t="s">
        <v>95</v>
      </c>
      <c r="D2890" s="3" t="s">
        <v>96</v>
      </c>
      <c r="E2890" s="2"/>
      <c r="F2890" s="2"/>
      <c r="G2890" s="2" t="s">
        <v>81</v>
      </c>
      <c r="H2890" s="2">
        <v>2</v>
      </c>
      <c r="I2890" s="8">
        <v>159.65</v>
      </c>
      <c r="J2890" s="8">
        <v>71455</v>
      </c>
      <c r="K2890" s="3">
        <v>0</v>
      </c>
      <c r="L2890" s="3" t="s">
        <v>3</v>
      </c>
      <c r="M2890" s="9" t="s">
        <v>0</v>
      </c>
      <c r="N2890" s="9" t="s">
        <v>58</v>
      </c>
      <c r="O2890" s="9" t="s">
        <v>622</v>
      </c>
      <c r="P2890" s="9" t="s">
        <v>0</v>
      </c>
      <c r="Q2890" s="30" t="s">
        <v>623</v>
      </c>
      <c r="R2890" s="9" t="s">
        <v>624</v>
      </c>
      <c r="S2890" s="9" t="s">
        <v>158</v>
      </c>
      <c r="T2890" s="10" t="s">
        <v>81</v>
      </c>
      <c r="U2890" s="10">
        <v>2</v>
      </c>
      <c r="V2890" s="10">
        <v>159.65</v>
      </c>
      <c r="W2890" s="10" t="s">
        <v>710</v>
      </c>
      <c r="X2890" s="17">
        <v>45633</v>
      </c>
      <c r="Y2890" s="17">
        <v>45659</v>
      </c>
      <c r="Z2890" s="19" t="s">
        <v>772</v>
      </c>
      <c r="AA2890" s="210">
        <v>48000</v>
      </c>
      <c r="AB2890" s="9">
        <v>48</v>
      </c>
      <c r="AC2890" s="9">
        <v>20</v>
      </c>
      <c r="AD2890" s="17">
        <v>46262</v>
      </c>
      <c r="AE2890" s="56">
        <v>920</v>
      </c>
      <c r="AF2890" s="56"/>
      <c r="AP2890" s="11"/>
      <c r="AQ2890" s="11"/>
      <c r="AR2890" s="11"/>
      <c r="AW2890" s="9"/>
      <c r="BD2890" s="9"/>
      <c r="CS2890" s="11">
        <f t="shared" si="198"/>
        <v>0</v>
      </c>
      <c r="CT2890" s="22">
        <f t="shared" si="199"/>
        <v>0</v>
      </c>
      <c r="CU2890" s="22">
        <f t="shared" si="200"/>
        <v>0</v>
      </c>
      <c r="CV2890" s="26">
        <f t="shared" si="197"/>
        <v>920</v>
      </c>
    </row>
    <row r="2891" spans="1:100" x14ac:dyDescent="0.2">
      <c r="A2891" s="9" t="s">
        <v>625</v>
      </c>
      <c r="B2891" s="2">
        <v>119</v>
      </c>
      <c r="C2891" s="3" t="s">
        <v>95</v>
      </c>
      <c r="D2891" s="3" t="s">
        <v>96</v>
      </c>
      <c r="E2891" s="2"/>
      <c r="F2891" s="2"/>
      <c r="G2891" s="2" t="s">
        <v>81</v>
      </c>
      <c r="H2891" s="2">
        <v>2</v>
      </c>
      <c r="I2891" s="8">
        <v>159.65</v>
      </c>
      <c r="J2891" s="8">
        <v>71455</v>
      </c>
      <c r="K2891" s="3">
        <v>0</v>
      </c>
      <c r="L2891" s="3" t="s">
        <v>3</v>
      </c>
      <c r="M2891" s="9" t="s">
        <v>0</v>
      </c>
      <c r="N2891" s="9" t="s">
        <v>58</v>
      </c>
      <c r="O2891" s="9" t="s">
        <v>622</v>
      </c>
      <c r="P2891" s="9" t="s">
        <v>0</v>
      </c>
      <c r="Q2891" s="30" t="s">
        <v>623</v>
      </c>
      <c r="R2891" s="9" t="s">
        <v>624</v>
      </c>
      <c r="S2891" s="9" t="s">
        <v>158</v>
      </c>
      <c r="T2891" s="10" t="s">
        <v>81</v>
      </c>
      <c r="U2891" s="10">
        <v>2</v>
      </c>
      <c r="V2891" s="10">
        <v>159.65</v>
      </c>
      <c r="W2891" s="10" t="s">
        <v>710</v>
      </c>
      <c r="X2891" s="17">
        <v>45633</v>
      </c>
      <c r="Y2891" s="17">
        <v>45659</v>
      </c>
      <c r="Z2891" s="19" t="s">
        <v>772</v>
      </c>
      <c r="AA2891" s="210">
        <v>48000</v>
      </c>
      <c r="AB2891" s="9">
        <v>48</v>
      </c>
      <c r="AC2891" s="9">
        <v>21</v>
      </c>
      <c r="AD2891" s="17">
        <v>46293</v>
      </c>
      <c r="AE2891" s="56">
        <v>920</v>
      </c>
      <c r="AF2891" s="56"/>
      <c r="AP2891" s="11"/>
      <c r="AQ2891" s="11"/>
      <c r="AR2891" s="11"/>
      <c r="AW2891" s="9"/>
      <c r="BD2891" s="9"/>
      <c r="CS2891" s="11">
        <f t="shared" si="198"/>
        <v>0</v>
      </c>
      <c r="CT2891" s="22">
        <f t="shared" si="199"/>
        <v>0</v>
      </c>
      <c r="CU2891" s="22">
        <f t="shared" si="200"/>
        <v>0</v>
      </c>
      <c r="CV2891" s="26">
        <f t="shared" si="197"/>
        <v>920</v>
      </c>
    </row>
    <row r="2892" spans="1:100" x14ac:dyDescent="0.2">
      <c r="A2892" s="9" t="s">
        <v>625</v>
      </c>
      <c r="B2892" s="2">
        <v>119</v>
      </c>
      <c r="C2892" s="3" t="s">
        <v>95</v>
      </c>
      <c r="D2892" s="3" t="s">
        <v>96</v>
      </c>
      <c r="E2892" s="2"/>
      <c r="F2892" s="2"/>
      <c r="G2892" s="2" t="s">
        <v>81</v>
      </c>
      <c r="H2892" s="2">
        <v>2</v>
      </c>
      <c r="I2892" s="8">
        <v>159.65</v>
      </c>
      <c r="J2892" s="8">
        <v>71455</v>
      </c>
      <c r="K2892" s="3">
        <v>0</v>
      </c>
      <c r="L2892" s="3" t="s">
        <v>3</v>
      </c>
      <c r="M2892" s="9" t="s">
        <v>0</v>
      </c>
      <c r="N2892" s="9" t="s">
        <v>58</v>
      </c>
      <c r="O2892" s="9" t="s">
        <v>622</v>
      </c>
      <c r="P2892" s="9" t="s">
        <v>0</v>
      </c>
      <c r="Q2892" s="30" t="s">
        <v>623</v>
      </c>
      <c r="R2892" s="9" t="s">
        <v>624</v>
      </c>
      <c r="S2892" s="9" t="s">
        <v>158</v>
      </c>
      <c r="T2892" s="10" t="s">
        <v>81</v>
      </c>
      <c r="U2892" s="10">
        <v>2</v>
      </c>
      <c r="V2892" s="10">
        <v>159.65</v>
      </c>
      <c r="W2892" s="10" t="s">
        <v>710</v>
      </c>
      <c r="X2892" s="17">
        <v>45633</v>
      </c>
      <c r="Y2892" s="17">
        <v>45659</v>
      </c>
      <c r="Z2892" s="19" t="s">
        <v>772</v>
      </c>
      <c r="AA2892" s="210">
        <v>48000</v>
      </c>
      <c r="AB2892" s="9">
        <v>48</v>
      </c>
      <c r="AC2892" s="9">
        <v>22</v>
      </c>
      <c r="AD2892" s="17">
        <v>46323</v>
      </c>
      <c r="AE2892" s="56">
        <v>920</v>
      </c>
      <c r="AF2892" s="56"/>
      <c r="AP2892" s="11"/>
      <c r="AQ2892" s="11"/>
      <c r="AR2892" s="11"/>
      <c r="AW2892" s="9"/>
      <c r="BD2892" s="9"/>
      <c r="CS2892" s="11">
        <f t="shared" si="198"/>
        <v>0</v>
      </c>
      <c r="CT2892" s="22">
        <f t="shared" si="199"/>
        <v>0</v>
      </c>
      <c r="CU2892" s="22">
        <f t="shared" si="200"/>
        <v>0</v>
      </c>
      <c r="CV2892" s="26">
        <f t="shared" si="197"/>
        <v>920</v>
      </c>
    </row>
    <row r="2893" spans="1:100" x14ac:dyDescent="0.2">
      <c r="A2893" s="9" t="s">
        <v>625</v>
      </c>
      <c r="B2893" s="2">
        <v>119</v>
      </c>
      <c r="C2893" s="3" t="s">
        <v>95</v>
      </c>
      <c r="D2893" s="3" t="s">
        <v>96</v>
      </c>
      <c r="E2893" s="2"/>
      <c r="F2893" s="2"/>
      <c r="G2893" s="2" t="s">
        <v>81</v>
      </c>
      <c r="H2893" s="2">
        <v>2</v>
      </c>
      <c r="I2893" s="8">
        <v>159.65</v>
      </c>
      <c r="J2893" s="8">
        <v>71455</v>
      </c>
      <c r="K2893" s="3">
        <v>0</v>
      </c>
      <c r="L2893" s="3" t="s">
        <v>3</v>
      </c>
      <c r="M2893" s="9" t="s">
        <v>0</v>
      </c>
      <c r="N2893" s="9" t="s">
        <v>58</v>
      </c>
      <c r="O2893" s="9" t="s">
        <v>622</v>
      </c>
      <c r="P2893" s="9" t="s">
        <v>0</v>
      </c>
      <c r="Q2893" s="30" t="s">
        <v>623</v>
      </c>
      <c r="R2893" s="9" t="s">
        <v>624</v>
      </c>
      <c r="S2893" s="9" t="s">
        <v>158</v>
      </c>
      <c r="T2893" s="10" t="s">
        <v>81</v>
      </c>
      <c r="U2893" s="10">
        <v>2</v>
      </c>
      <c r="V2893" s="10">
        <v>159.65</v>
      </c>
      <c r="W2893" s="10" t="s">
        <v>710</v>
      </c>
      <c r="X2893" s="17">
        <v>45633</v>
      </c>
      <c r="Y2893" s="17">
        <v>45659</v>
      </c>
      <c r="Z2893" s="19" t="s">
        <v>772</v>
      </c>
      <c r="AA2893" s="210">
        <v>48000</v>
      </c>
      <c r="AB2893" s="9">
        <v>48</v>
      </c>
      <c r="AC2893" s="9">
        <v>23</v>
      </c>
      <c r="AD2893" s="17">
        <v>46354</v>
      </c>
      <c r="AE2893" s="56">
        <v>920</v>
      </c>
      <c r="AF2893" s="56"/>
      <c r="AP2893" s="11"/>
      <c r="AQ2893" s="11"/>
      <c r="AR2893" s="11"/>
      <c r="AW2893" s="9"/>
      <c r="BD2893" s="9"/>
      <c r="CS2893" s="11">
        <f t="shared" si="198"/>
        <v>0</v>
      </c>
      <c r="CT2893" s="22">
        <f t="shared" si="199"/>
        <v>0</v>
      </c>
      <c r="CU2893" s="22">
        <f t="shared" si="200"/>
        <v>0</v>
      </c>
      <c r="CV2893" s="26">
        <f t="shared" si="197"/>
        <v>920</v>
      </c>
    </row>
    <row r="2894" spans="1:100" x14ac:dyDescent="0.2">
      <c r="A2894" s="9" t="s">
        <v>625</v>
      </c>
      <c r="B2894" s="2">
        <v>119</v>
      </c>
      <c r="C2894" s="3" t="s">
        <v>95</v>
      </c>
      <c r="D2894" s="3" t="s">
        <v>96</v>
      </c>
      <c r="E2894" s="2"/>
      <c r="F2894" s="2"/>
      <c r="G2894" s="2" t="s">
        <v>81</v>
      </c>
      <c r="H2894" s="2">
        <v>2</v>
      </c>
      <c r="I2894" s="8">
        <v>159.65</v>
      </c>
      <c r="J2894" s="8">
        <v>71455</v>
      </c>
      <c r="K2894" s="3">
        <v>0</v>
      </c>
      <c r="L2894" s="3" t="s">
        <v>3</v>
      </c>
      <c r="M2894" s="9" t="s">
        <v>0</v>
      </c>
      <c r="N2894" s="9" t="s">
        <v>58</v>
      </c>
      <c r="O2894" s="9" t="s">
        <v>622</v>
      </c>
      <c r="P2894" s="9" t="s">
        <v>0</v>
      </c>
      <c r="Q2894" s="30" t="s">
        <v>623</v>
      </c>
      <c r="R2894" s="9" t="s">
        <v>624</v>
      </c>
      <c r="S2894" s="9" t="s">
        <v>158</v>
      </c>
      <c r="T2894" s="10" t="s">
        <v>81</v>
      </c>
      <c r="U2894" s="10">
        <v>2</v>
      </c>
      <c r="V2894" s="10">
        <v>159.65</v>
      </c>
      <c r="W2894" s="10" t="s">
        <v>710</v>
      </c>
      <c r="X2894" s="17">
        <v>45633</v>
      </c>
      <c r="Y2894" s="17">
        <v>45659</v>
      </c>
      <c r="Z2894" s="19" t="s">
        <v>772</v>
      </c>
      <c r="AA2894" s="210">
        <v>48000</v>
      </c>
      <c r="AB2894" s="9">
        <v>48</v>
      </c>
      <c r="AC2894" s="9">
        <v>24</v>
      </c>
      <c r="AD2894" s="17">
        <v>46384</v>
      </c>
      <c r="AE2894" s="56">
        <v>920</v>
      </c>
      <c r="AF2894" s="56"/>
      <c r="AP2894" s="11"/>
      <c r="AQ2894" s="11"/>
      <c r="AR2894" s="11"/>
      <c r="AW2894" s="9"/>
      <c r="BD2894" s="9"/>
      <c r="CS2894" s="11">
        <f t="shared" si="198"/>
        <v>0</v>
      </c>
      <c r="CT2894" s="22">
        <f t="shared" si="199"/>
        <v>0</v>
      </c>
      <c r="CU2894" s="22">
        <f t="shared" si="200"/>
        <v>0</v>
      </c>
      <c r="CV2894" s="26">
        <f t="shared" si="197"/>
        <v>920</v>
      </c>
    </row>
    <row r="2895" spans="1:100" x14ac:dyDescent="0.2">
      <c r="A2895" s="9" t="s">
        <v>625</v>
      </c>
      <c r="B2895" s="2">
        <v>119</v>
      </c>
      <c r="C2895" s="3" t="s">
        <v>95</v>
      </c>
      <c r="D2895" s="3" t="s">
        <v>96</v>
      </c>
      <c r="E2895" s="2"/>
      <c r="F2895" s="2"/>
      <c r="G2895" s="2" t="s">
        <v>81</v>
      </c>
      <c r="H2895" s="2">
        <v>2</v>
      </c>
      <c r="I2895" s="8">
        <v>159.65</v>
      </c>
      <c r="J2895" s="8">
        <v>71455</v>
      </c>
      <c r="K2895" s="3">
        <v>0</v>
      </c>
      <c r="L2895" s="3" t="s">
        <v>3</v>
      </c>
      <c r="M2895" s="9" t="s">
        <v>0</v>
      </c>
      <c r="N2895" s="9" t="s">
        <v>58</v>
      </c>
      <c r="O2895" s="9" t="s">
        <v>622</v>
      </c>
      <c r="P2895" s="9" t="s">
        <v>0</v>
      </c>
      <c r="Q2895" s="30" t="s">
        <v>623</v>
      </c>
      <c r="R2895" s="9" t="s">
        <v>624</v>
      </c>
      <c r="S2895" s="9" t="s">
        <v>158</v>
      </c>
      <c r="T2895" s="10" t="s">
        <v>81</v>
      </c>
      <c r="U2895" s="10">
        <v>2</v>
      </c>
      <c r="V2895" s="10">
        <v>159.65</v>
      </c>
      <c r="W2895" s="10" t="s">
        <v>710</v>
      </c>
      <c r="X2895" s="17">
        <v>45633</v>
      </c>
      <c r="Y2895" s="17">
        <v>45659</v>
      </c>
      <c r="Z2895" s="19" t="s">
        <v>772</v>
      </c>
      <c r="AA2895" s="210">
        <v>48000</v>
      </c>
      <c r="AB2895" s="9">
        <v>48</v>
      </c>
      <c r="AC2895" s="9">
        <v>25</v>
      </c>
      <c r="AD2895" s="17">
        <v>46415</v>
      </c>
      <c r="AE2895" s="56">
        <v>920</v>
      </c>
      <c r="AF2895" s="56"/>
      <c r="AP2895" s="11"/>
      <c r="AQ2895" s="11"/>
      <c r="AR2895" s="11"/>
      <c r="AW2895" s="9"/>
      <c r="BD2895" s="9"/>
      <c r="CS2895" s="11">
        <f t="shared" si="198"/>
        <v>0</v>
      </c>
      <c r="CT2895" s="22">
        <f t="shared" si="199"/>
        <v>0</v>
      </c>
      <c r="CU2895" s="22">
        <f t="shared" si="200"/>
        <v>0</v>
      </c>
      <c r="CV2895" s="26">
        <f t="shared" si="197"/>
        <v>920</v>
      </c>
    </row>
    <row r="2896" spans="1:100" x14ac:dyDescent="0.2">
      <c r="A2896" s="9" t="s">
        <v>625</v>
      </c>
      <c r="B2896" s="2">
        <v>119</v>
      </c>
      <c r="C2896" s="3" t="s">
        <v>95</v>
      </c>
      <c r="D2896" s="3" t="s">
        <v>96</v>
      </c>
      <c r="E2896" s="2"/>
      <c r="F2896" s="2"/>
      <c r="G2896" s="2" t="s">
        <v>81</v>
      </c>
      <c r="H2896" s="2">
        <v>2</v>
      </c>
      <c r="I2896" s="8">
        <v>159.65</v>
      </c>
      <c r="J2896" s="8">
        <v>71455</v>
      </c>
      <c r="K2896" s="3">
        <v>0</v>
      </c>
      <c r="L2896" s="3" t="s">
        <v>3</v>
      </c>
      <c r="M2896" s="9" t="s">
        <v>0</v>
      </c>
      <c r="N2896" s="9" t="s">
        <v>58</v>
      </c>
      <c r="O2896" s="9" t="s">
        <v>622</v>
      </c>
      <c r="P2896" s="9" t="s">
        <v>0</v>
      </c>
      <c r="Q2896" s="30" t="s">
        <v>623</v>
      </c>
      <c r="R2896" s="9" t="s">
        <v>624</v>
      </c>
      <c r="S2896" s="9" t="s">
        <v>158</v>
      </c>
      <c r="T2896" s="10" t="s">
        <v>81</v>
      </c>
      <c r="U2896" s="10">
        <v>2</v>
      </c>
      <c r="V2896" s="10">
        <v>159.65</v>
      </c>
      <c r="W2896" s="10" t="s">
        <v>710</v>
      </c>
      <c r="X2896" s="17">
        <v>45633</v>
      </c>
      <c r="Y2896" s="17">
        <v>45659</v>
      </c>
      <c r="Z2896" s="19" t="s">
        <v>772</v>
      </c>
      <c r="AA2896" s="210">
        <v>48000</v>
      </c>
      <c r="AB2896" s="9">
        <v>48</v>
      </c>
      <c r="AC2896" s="9">
        <v>26</v>
      </c>
      <c r="AD2896" s="17">
        <v>46446</v>
      </c>
      <c r="AE2896" s="56">
        <v>920</v>
      </c>
      <c r="AF2896" s="56"/>
      <c r="AP2896" s="11"/>
      <c r="AQ2896" s="11"/>
      <c r="AR2896" s="11"/>
      <c r="AW2896" s="9"/>
      <c r="BD2896" s="9"/>
      <c r="CS2896" s="11">
        <f t="shared" si="198"/>
        <v>0</v>
      </c>
      <c r="CT2896" s="22">
        <f t="shared" si="199"/>
        <v>0</v>
      </c>
      <c r="CU2896" s="22">
        <f t="shared" si="200"/>
        <v>0</v>
      </c>
      <c r="CV2896" s="26">
        <f t="shared" si="197"/>
        <v>920</v>
      </c>
    </row>
    <row r="2897" spans="1:100" x14ac:dyDescent="0.2">
      <c r="A2897" s="9" t="s">
        <v>625</v>
      </c>
      <c r="B2897" s="2">
        <v>119</v>
      </c>
      <c r="C2897" s="3" t="s">
        <v>95</v>
      </c>
      <c r="D2897" s="3" t="s">
        <v>96</v>
      </c>
      <c r="E2897" s="2"/>
      <c r="F2897" s="2"/>
      <c r="G2897" s="2" t="s">
        <v>81</v>
      </c>
      <c r="H2897" s="2">
        <v>2</v>
      </c>
      <c r="I2897" s="8">
        <v>159.65</v>
      </c>
      <c r="J2897" s="8">
        <v>71455</v>
      </c>
      <c r="K2897" s="3">
        <v>0</v>
      </c>
      <c r="L2897" s="3" t="s">
        <v>3</v>
      </c>
      <c r="M2897" s="9" t="s">
        <v>0</v>
      </c>
      <c r="N2897" s="9" t="s">
        <v>58</v>
      </c>
      <c r="O2897" s="9" t="s">
        <v>622</v>
      </c>
      <c r="P2897" s="9" t="s">
        <v>0</v>
      </c>
      <c r="Q2897" s="30" t="s">
        <v>623</v>
      </c>
      <c r="R2897" s="9" t="s">
        <v>624</v>
      </c>
      <c r="S2897" s="9" t="s">
        <v>158</v>
      </c>
      <c r="T2897" s="10" t="s">
        <v>81</v>
      </c>
      <c r="U2897" s="10">
        <v>2</v>
      </c>
      <c r="V2897" s="10">
        <v>159.65</v>
      </c>
      <c r="W2897" s="10" t="s">
        <v>710</v>
      </c>
      <c r="X2897" s="17">
        <v>45633</v>
      </c>
      <c r="Y2897" s="17">
        <v>45659</v>
      </c>
      <c r="Z2897" s="19" t="s">
        <v>772</v>
      </c>
      <c r="AA2897" s="210">
        <v>48000</v>
      </c>
      <c r="AB2897" s="9">
        <v>48</v>
      </c>
      <c r="AC2897" s="9">
        <v>27</v>
      </c>
      <c r="AD2897" s="17">
        <v>46474</v>
      </c>
      <c r="AE2897" s="56">
        <v>920</v>
      </c>
      <c r="AF2897" s="56"/>
      <c r="AP2897" s="11"/>
      <c r="AQ2897" s="11"/>
      <c r="AR2897" s="11"/>
      <c r="AW2897" s="9"/>
      <c r="BD2897" s="9"/>
      <c r="CS2897" s="11">
        <f t="shared" si="198"/>
        <v>0</v>
      </c>
      <c r="CT2897" s="22">
        <f t="shared" si="199"/>
        <v>0</v>
      </c>
      <c r="CU2897" s="22">
        <f t="shared" si="200"/>
        <v>0</v>
      </c>
      <c r="CV2897" s="26">
        <f t="shared" si="197"/>
        <v>920</v>
      </c>
    </row>
    <row r="2898" spans="1:100" x14ac:dyDescent="0.2">
      <c r="A2898" s="9" t="s">
        <v>625</v>
      </c>
      <c r="B2898" s="2">
        <v>119</v>
      </c>
      <c r="C2898" s="3" t="s">
        <v>95</v>
      </c>
      <c r="D2898" s="3" t="s">
        <v>96</v>
      </c>
      <c r="E2898" s="2"/>
      <c r="F2898" s="2"/>
      <c r="G2898" s="2" t="s">
        <v>81</v>
      </c>
      <c r="H2898" s="2">
        <v>2</v>
      </c>
      <c r="I2898" s="8">
        <v>159.65</v>
      </c>
      <c r="J2898" s="8">
        <v>71455</v>
      </c>
      <c r="K2898" s="3">
        <v>0</v>
      </c>
      <c r="L2898" s="3" t="s">
        <v>3</v>
      </c>
      <c r="M2898" s="9" t="s">
        <v>0</v>
      </c>
      <c r="N2898" s="9" t="s">
        <v>58</v>
      </c>
      <c r="O2898" s="9" t="s">
        <v>622</v>
      </c>
      <c r="P2898" s="9" t="s">
        <v>0</v>
      </c>
      <c r="Q2898" s="30" t="s">
        <v>623</v>
      </c>
      <c r="R2898" s="9" t="s">
        <v>624</v>
      </c>
      <c r="S2898" s="9" t="s">
        <v>158</v>
      </c>
      <c r="T2898" s="10" t="s">
        <v>81</v>
      </c>
      <c r="U2898" s="10">
        <v>2</v>
      </c>
      <c r="V2898" s="10">
        <v>159.65</v>
      </c>
      <c r="W2898" s="10" t="s">
        <v>710</v>
      </c>
      <c r="X2898" s="17">
        <v>45633</v>
      </c>
      <c r="Y2898" s="17">
        <v>45659</v>
      </c>
      <c r="Z2898" s="19" t="s">
        <v>772</v>
      </c>
      <c r="AA2898" s="210">
        <v>48000</v>
      </c>
      <c r="AB2898" s="9">
        <v>48</v>
      </c>
      <c r="AC2898" s="9">
        <v>28</v>
      </c>
      <c r="AD2898" s="17">
        <v>46505</v>
      </c>
      <c r="AE2898" s="56">
        <v>920</v>
      </c>
      <c r="AF2898" s="56"/>
      <c r="AP2898" s="11"/>
      <c r="AQ2898" s="11"/>
      <c r="AR2898" s="11"/>
      <c r="AW2898" s="9"/>
      <c r="BD2898" s="9"/>
      <c r="CS2898" s="11">
        <f t="shared" si="198"/>
        <v>0</v>
      </c>
      <c r="CT2898" s="22">
        <f t="shared" si="199"/>
        <v>0</v>
      </c>
      <c r="CU2898" s="22">
        <f t="shared" si="200"/>
        <v>0</v>
      </c>
      <c r="CV2898" s="26">
        <f t="shared" si="197"/>
        <v>920</v>
      </c>
    </row>
    <row r="2899" spans="1:100" x14ac:dyDescent="0.2">
      <c r="A2899" s="9" t="s">
        <v>625</v>
      </c>
      <c r="B2899" s="2">
        <v>119</v>
      </c>
      <c r="C2899" s="3" t="s">
        <v>95</v>
      </c>
      <c r="D2899" s="3" t="s">
        <v>96</v>
      </c>
      <c r="E2899" s="2"/>
      <c r="F2899" s="2"/>
      <c r="G2899" s="2" t="s">
        <v>81</v>
      </c>
      <c r="H2899" s="2">
        <v>2</v>
      </c>
      <c r="I2899" s="8">
        <v>159.65</v>
      </c>
      <c r="J2899" s="8">
        <v>71455</v>
      </c>
      <c r="K2899" s="3">
        <v>0</v>
      </c>
      <c r="L2899" s="3" t="s">
        <v>3</v>
      </c>
      <c r="M2899" s="9" t="s">
        <v>0</v>
      </c>
      <c r="N2899" s="9" t="s">
        <v>58</v>
      </c>
      <c r="O2899" s="9" t="s">
        <v>622</v>
      </c>
      <c r="P2899" s="9" t="s">
        <v>0</v>
      </c>
      <c r="Q2899" s="30" t="s">
        <v>623</v>
      </c>
      <c r="R2899" s="9" t="s">
        <v>624</v>
      </c>
      <c r="S2899" s="9" t="s">
        <v>158</v>
      </c>
      <c r="T2899" s="10" t="s">
        <v>81</v>
      </c>
      <c r="U2899" s="10">
        <v>2</v>
      </c>
      <c r="V2899" s="10">
        <v>159.65</v>
      </c>
      <c r="W2899" s="10" t="s">
        <v>710</v>
      </c>
      <c r="X2899" s="17">
        <v>45633</v>
      </c>
      <c r="Y2899" s="17">
        <v>45659</v>
      </c>
      <c r="Z2899" s="19" t="s">
        <v>772</v>
      </c>
      <c r="AA2899" s="210">
        <v>48000</v>
      </c>
      <c r="AB2899" s="9">
        <v>48</v>
      </c>
      <c r="AC2899" s="9">
        <v>29</v>
      </c>
      <c r="AD2899" s="17">
        <v>46535</v>
      </c>
      <c r="AE2899" s="56">
        <v>920</v>
      </c>
      <c r="AF2899" s="56"/>
      <c r="AP2899" s="11"/>
      <c r="AQ2899" s="11"/>
      <c r="AR2899" s="11"/>
      <c r="AW2899" s="9"/>
      <c r="BD2899" s="9"/>
      <c r="CS2899" s="11">
        <f t="shared" si="198"/>
        <v>0</v>
      </c>
      <c r="CT2899" s="22">
        <f t="shared" si="199"/>
        <v>0</v>
      </c>
      <c r="CU2899" s="22">
        <f t="shared" si="200"/>
        <v>0</v>
      </c>
      <c r="CV2899" s="26">
        <f t="shared" si="197"/>
        <v>920</v>
      </c>
    </row>
    <row r="2900" spans="1:100" x14ac:dyDescent="0.2">
      <c r="A2900" s="9" t="s">
        <v>625</v>
      </c>
      <c r="B2900" s="2">
        <v>119</v>
      </c>
      <c r="C2900" s="3" t="s">
        <v>95</v>
      </c>
      <c r="D2900" s="3" t="s">
        <v>96</v>
      </c>
      <c r="E2900" s="2"/>
      <c r="F2900" s="2"/>
      <c r="G2900" s="2" t="s">
        <v>81</v>
      </c>
      <c r="H2900" s="2">
        <v>2</v>
      </c>
      <c r="I2900" s="8">
        <v>159.65</v>
      </c>
      <c r="J2900" s="8">
        <v>71455</v>
      </c>
      <c r="K2900" s="3">
        <v>0</v>
      </c>
      <c r="L2900" s="3" t="s">
        <v>3</v>
      </c>
      <c r="M2900" s="9" t="s">
        <v>0</v>
      </c>
      <c r="N2900" s="9" t="s">
        <v>58</v>
      </c>
      <c r="O2900" s="9" t="s">
        <v>622</v>
      </c>
      <c r="P2900" s="9" t="s">
        <v>0</v>
      </c>
      <c r="Q2900" s="30" t="s">
        <v>623</v>
      </c>
      <c r="R2900" s="9" t="s">
        <v>624</v>
      </c>
      <c r="S2900" s="9" t="s">
        <v>158</v>
      </c>
      <c r="T2900" s="10" t="s">
        <v>81</v>
      </c>
      <c r="U2900" s="10">
        <v>2</v>
      </c>
      <c r="V2900" s="10">
        <v>159.65</v>
      </c>
      <c r="W2900" s="10" t="s">
        <v>710</v>
      </c>
      <c r="X2900" s="17">
        <v>45633</v>
      </c>
      <c r="Y2900" s="17">
        <v>45659</v>
      </c>
      <c r="Z2900" s="19" t="s">
        <v>772</v>
      </c>
      <c r="AA2900" s="210">
        <v>48000</v>
      </c>
      <c r="AB2900" s="9">
        <v>48</v>
      </c>
      <c r="AC2900" s="9">
        <v>30</v>
      </c>
      <c r="AD2900" s="17">
        <v>46566</v>
      </c>
      <c r="AE2900" s="56">
        <v>920</v>
      </c>
      <c r="AF2900" s="56"/>
      <c r="AP2900" s="11"/>
      <c r="AQ2900" s="11"/>
      <c r="AR2900" s="11"/>
      <c r="AW2900" s="9"/>
      <c r="BD2900" s="9"/>
      <c r="CS2900" s="11">
        <f t="shared" si="198"/>
        <v>0</v>
      </c>
      <c r="CT2900" s="22">
        <f t="shared" si="199"/>
        <v>0</v>
      </c>
      <c r="CU2900" s="22">
        <f t="shared" si="200"/>
        <v>0</v>
      </c>
      <c r="CV2900" s="26">
        <f t="shared" si="197"/>
        <v>920</v>
      </c>
    </row>
    <row r="2901" spans="1:100" x14ac:dyDescent="0.2">
      <c r="A2901" s="9" t="s">
        <v>625</v>
      </c>
      <c r="B2901" s="2">
        <v>119</v>
      </c>
      <c r="C2901" s="3" t="s">
        <v>95</v>
      </c>
      <c r="D2901" s="3" t="s">
        <v>96</v>
      </c>
      <c r="E2901" s="2"/>
      <c r="F2901" s="2"/>
      <c r="G2901" s="2" t="s">
        <v>81</v>
      </c>
      <c r="H2901" s="2">
        <v>2</v>
      </c>
      <c r="I2901" s="8">
        <v>159.65</v>
      </c>
      <c r="J2901" s="8">
        <v>71455</v>
      </c>
      <c r="K2901" s="3">
        <v>0</v>
      </c>
      <c r="L2901" s="3" t="s">
        <v>3</v>
      </c>
      <c r="M2901" s="9" t="s">
        <v>0</v>
      </c>
      <c r="N2901" s="9" t="s">
        <v>58</v>
      </c>
      <c r="O2901" s="9" t="s">
        <v>622</v>
      </c>
      <c r="P2901" s="9" t="s">
        <v>0</v>
      </c>
      <c r="Q2901" s="30" t="s">
        <v>623</v>
      </c>
      <c r="R2901" s="9" t="s">
        <v>624</v>
      </c>
      <c r="S2901" s="9" t="s">
        <v>158</v>
      </c>
      <c r="T2901" s="10" t="s">
        <v>81</v>
      </c>
      <c r="U2901" s="10">
        <v>2</v>
      </c>
      <c r="V2901" s="10">
        <v>159.65</v>
      </c>
      <c r="W2901" s="10" t="s">
        <v>710</v>
      </c>
      <c r="X2901" s="17">
        <v>45633</v>
      </c>
      <c r="Y2901" s="17">
        <v>45659</v>
      </c>
      <c r="Z2901" s="19" t="s">
        <v>772</v>
      </c>
      <c r="AA2901" s="210">
        <v>48000</v>
      </c>
      <c r="AB2901" s="9">
        <v>48</v>
      </c>
      <c r="AC2901" s="9">
        <v>31</v>
      </c>
      <c r="AD2901" s="17">
        <v>46596</v>
      </c>
      <c r="AE2901" s="56">
        <v>920</v>
      </c>
      <c r="AF2901" s="56"/>
      <c r="AP2901" s="11"/>
      <c r="AQ2901" s="11"/>
      <c r="AR2901" s="11"/>
      <c r="AW2901" s="9"/>
      <c r="BD2901" s="9"/>
      <c r="CS2901" s="11">
        <f t="shared" si="198"/>
        <v>0</v>
      </c>
      <c r="CT2901" s="22">
        <f t="shared" si="199"/>
        <v>0</v>
      </c>
      <c r="CU2901" s="22">
        <f t="shared" si="200"/>
        <v>0</v>
      </c>
      <c r="CV2901" s="26">
        <f t="shared" si="197"/>
        <v>920</v>
      </c>
    </row>
    <row r="2902" spans="1:100" x14ac:dyDescent="0.2">
      <c r="A2902" s="9" t="s">
        <v>625</v>
      </c>
      <c r="B2902" s="2">
        <v>119</v>
      </c>
      <c r="C2902" s="3" t="s">
        <v>95</v>
      </c>
      <c r="D2902" s="3" t="s">
        <v>96</v>
      </c>
      <c r="E2902" s="2"/>
      <c r="F2902" s="2"/>
      <c r="G2902" s="2" t="s">
        <v>81</v>
      </c>
      <c r="H2902" s="2">
        <v>2</v>
      </c>
      <c r="I2902" s="8">
        <v>159.65</v>
      </c>
      <c r="J2902" s="8">
        <v>71455</v>
      </c>
      <c r="K2902" s="3">
        <v>0</v>
      </c>
      <c r="L2902" s="3" t="s">
        <v>3</v>
      </c>
      <c r="M2902" s="9" t="s">
        <v>0</v>
      </c>
      <c r="N2902" s="9" t="s">
        <v>58</v>
      </c>
      <c r="O2902" s="9" t="s">
        <v>622</v>
      </c>
      <c r="P2902" s="9" t="s">
        <v>0</v>
      </c>
      <c r="Q2902" s="30" t="s">
        <v>623</v>
      </c>
      <c r="R2902" s="9" t="s">
        <v>624</v>
      </c>
      <c r="S2902" s="9" t="s">
        <v>158</v>
      </c>
      <c r="T2902" s="10" t="s">
        <v>81</v>
      </c>
      <c r="U2902" s="10">
        <v>2</v>
      </c>
      <c r="V2902" s="10">
        <v>159.65</v>
      </c>
      <c r="W2902" s="10" t="s">
        <v>710</v>
      </c>
      <c r="X2902" s="17">
        <v>45633</v>
      </c>
      <c r="Y2902" s="17">
        <v>45659</v>
      </c>
      <c r="Z2902" s="19" t="s">
        <v>772</v>
      </c>
      <c r="AA2902" s="210">
        <v>48000</v>
      </c>
      <c r="AB2902" s="9">
        <v>48</v>
      </c>
      <c r="AC2902" s="9">
        <v>32</v>
      </c>
      <c r="AD2902" s="17">
        <v>46627</v>
      </c>
      <c r="AE2902" s="56">
        <v>920</v>
      </c>
      <c r="AF2902" s="56"/>
      <c r="AP2902" s="11"/>
      <c r="AQ2902" s="11"/>
      <c r="AR2902" s="11"/>
      <c r="AW2902" s="9"/>
      <c r="BD2902" s="9"/>
      <c r="CS2902" s="11">
        <f t="shared" si="198"/>
        <v>0</v>
      </c>
      <c r="CT2902" s="22">
        <f t="shared" si="199"/>
        <v>0</v>
      </c>
      <c r="CU2902" s="22">
        <f t="shared" si="200"/>
        <v>0</v>
      </c>
      <c r="CV2902" s="26">
        <f t="shared" si="197"/>
        <v>920</v>
      </c>
    </row>
    <row r="2903" spans="1:100" x14ac:dyDescent="0.2">
      <c r="A2903" s="9" t="s">
        <v>625</v>
      </c>
      <c r="B2903" s="2">
        <v>119</v>
      </c>
      <c r="C2903" s="3" t="s">
        <v>95</v>
      </c>
      <c r="D2903" s="3" t="s">
        <v>96</v>
      </c>
      <c r="E2903" s="2"/>
      <c r="F2903" s="2"/>
      <c r="G2903" s="2" t="s">
        <v>81</v>
      </c>
      <c r="H2903" s="2">
        <v>2</v>
      </c>
      <c r="I2903" s="8">
        <v>159.65</v>
      </c>
      <c r="J2903" s="8">
        <v>71455</v>
      </c>
      <c r="K2903" s="3">
        <v>0</v>
      </c>
      <c r="L2903" s="3" t="s">
        <v>3</v>
      </c>
      <c r="M2903" s="9" t="s">
        <v>0</v>
      </c>
      <c r="N2903" s="9" t="s">
        <v>58</v>
      </c>
      <c r="O2903" s="9" t="s">
        <v>622</v>
      </c>
      <c r="P2903" s="9" t="s">
        <v>0</v>
      </c>
      <c r="Q2903" s="30" t="s">
        <v>623</v>
      </c>
      <c r="R2903" s="9" t="s">
        <v>624</v>
      </c>
      <c r="S2903" s="9" t="s">
        <v>158</v>
      </c>
      <c r="T2903" s="10" t="s">
        <v>81</v>
      </c>
      <c r="U2903" s="10">
        <v>2</v>
      </c>
      <c r="V2903" s="10">
        <v>159.65</v>
      </c>
      <c r="W2903" s="10" t="s">
        <v>710</v>
      </c>
      <c r="X2903" s="17">
        <v>45633</v>
      </c>
      <c r="Y2903" s="17">
        <v>45659</v>
      </c>
      <c r="Z2903" s="19" t="s">
        <v>772</v>
      </c>
      <c r="AA2903" s="210">
        <v>48000</v>
      </c>
      <c r="AB2903" s="9">
        <v>48</v>
      </c>
      <c r="AC2903" s="9">
        <v>33</v>
      </c>
      <c r="AD2903" s="17">
        <v>46658</v>
      </c>
      <c r="AE2903" s="56">
        <v>920</v>
      </c>
      <c r="AF2903" s="56"/>
      <c r="AP2903" s="11"/>
      <c r="AQ2903" s="11"/>
      <c r="AR2903" s="11"/>
      <c r="AW2903" s="9"/>
      <c r="BD2903" s="9"/>
      <c r="CS2903" s="11">
        <f t="shared" si="198"/>
        <v>0</v>
      </c>
      <c r="CT2903" s="22">
        <f t="shared" si="199"/>
        <v>0</v>
      </c>
      <c r="CU2903" s="22">
        <f t="shared" si="200"/>
        <v>0</v>
      </c>
      <c r="CV2903" s="26">
        <f t="shared" si="197"/>
        <v>920</v>
      </c>
    </row>
    <row r="2904" spans="1:100" x14ac:dyDescent="0.2">
      <c r="A2904" s="9" t="s">
        <v>625</v>
      </c>
      <c r="B2904" s="2">
        <v>119</v>
      </c>
      <c r="C2904" s="3" t="s">
        <v>95</v>
      </c>
      <c r="D2904" s="3" t="s">
        <v>96</v>
      </c>
      <c r="E2904" s="2"/>
      <c r="F2904" s="2"/>
      <c r="G2904" s="2" t="s">
        <v>81</v>
      </c>
      <c r="H2904" s="2">
        <v>2</v>
      </c>
      <c r="I2904" s="8">
        <v>159.65</v>
      </c>
      <c r="J2904" s="8">
        <v>71455</v>
      </c>
      <c r="K2904" s="3">
        <v>0</v>
      </c>
      <c r="L2904" s="3" t="s">
        <v>3</v>
      </c>
      <c r="M2904" s="9" t="s">
        <v>0</v>
      </c>
      <c r="N2904" s="9" t="s">
        <v>58</v>
      </c>
      <c r="O2904" s="9" t="s">
        <v>622</v>
      </c>
      <c r="P2904" s="9" t="s">
        <v>0</v>
      </c>
      <c r="Q2904" s="30" t="s">
        <v>623</v>
      </c>
      <c r="R2904" s="9" t="s">
        <v>624</v>
      </c>
      <c r="S2904" s="9" t="s">
        <v>158</v>
      </c>
      <c r="T2904" s="10" t="s">
        <v>81</v>
      </c>
      <c r="U2904" s="10">
        <v>2</v>
      </c>
      <c r="V2904" s="10">
        <v>159.65</v>
      </c>
      <c r="W2904" s="10" t="s">
        <v>710</v>
      </c>
      <c r="X2904" s="17">
        <v>45633</v>
      </c>
      <c r="Y2904" s="17">
        <v>45659</v>
      </c>
      <c r="Z2904" s="19" t="s">
        <v>772</v>
      </c>
      <c r="AA2904" s="210">
        <v>48000</v>
      </c>
      <c r="AB2904" s="9">
        <v>48</v>
      </c>
      <c r="AC2904" s="9">
        <v>34</v>
      </c>
      <c r="AD2904" s="17">
        <v>46688</v>
      </c>
      <c r="AE2904" s="56">
        <v>920</v>
      </c>
      <c r="AF2904" s="56"/>
      <c r="AP2904" s="11"/>
      <c r="AQ2904" s="11"/>
      <c r="AR2904" s="11"/>
      <c r="AW2904" s="9"/>
      <c r="BD2904" s="9"/>
      <c r="CS2904" s="11">
        <f t="shared" si="198"/>
        <v>0</v>
      </c>
      <c r="CT2904" s="22">
        <f t="shared" si="199"/>
        <v>0</v>
      </c>
      <c r="CU2904" s="22">
        <f t="shared" si="200"/>
        <v>0</v>
      </c>
      <c r="CV2904" s="26">
        <f t="shared" si="197"/>
        <v>920</v>
      </c>
    </row>
    <row r="2905" spans="1:100" x14ac:dyDescent="0.2">
      <c r="A2905" s="9" t="s">
        <v>625</v>
      </c>
      <c r="B2905" s="2">
        <v>119</v>
      </c>
      <c r="C2905" s="3" t="s">
        <v>95</v>
      </c>
      <c r="D2905" s="3" t="s">
        <v>96</v>
      </c>
      <c r="E2905" s="2"/>
      <c r="F2905" s="2"/>
      <c r="G2905" s="2" t="s">
        <v>81</v>
      </c>
      <c r="H2905" s="2">
        <v>2</v>
      </c>
      <c r="I2905" s="8">
        <v>159.65</v>
      </c>
      <c r="J2905" s="8">
        <v>71455</v>
      </c>
      <c r="K2905" s="3">
        <v>0</v>
      </c>
      <c r="L2905" s="3" t="s">
        <v>3</v>
      </c>
      <c r="M2905" s="9" t="s">
        <v>0</v>
      </c>
      <c r="N2905" s="9" t="s">
        <v>58</v>
      </c>
      <c r="O2905" s="9" t="s">
        <v>622</v>
      </c>
      <c r="P2905" s="9" t="s">
        <v>0</v>
      </c>
      <c r="Q2905" s="30" t="s">
        <v>623</v>
      </c>
      <c r="R2905" s="9" t="s">
        <v>624</v>
      </c>
      <c r="S2905" s="9" t="s">
        <v>158</v>
      </c>
      <c r="T2905" s="10" t="s">
        <v>81</v>
      </c>
      <c r="U2905" s="10">
        <v>2</v>
      </c>
      <c r="V2905" s="10">
        <v>159.65</v>
      </c>
      <c r="W2905" s="10" t="s">
        <v>710</v>
      </c>
      <c r="X2905" s="17">
        <v>45633</v>
      </c>
      <c r="Y2905" s="17">
        <v>45659</v>
      </c>
      <c r="Z2905" s="19" t="s">
        <v>772</v>
      </c>
      <c r="AA2905" s="210">
        <v>48000</v>
      </c>
      <c r="AB2905" s="9">
        <v>48</v>
      </c>
      <c r="AC2905" s="9">
        <v>35</v>
      </c>
      <c r="AD2905" s="17">
        <v>46719</v>
      </c>
      <c r="AE2905" s="56">
        <v>920</v>
      </c>
      <c r="AF2905" s="56"/>
      <c r="AP2905" s="11"/>
      <c r="AQ2905" s="11"/>
      <c r="AR2905" s="11"/>
      <c r="AW2905" s="9"/>
      <c r="BD2905" s="9"/>
      <c r="CS2905" s="11">
        <f t="shared" si="198"/>
        <v>0</v>
      </c>
      <c r="CT2905" s="22">
        <f t="shared" si="199"/>
        <v>0</v>
      </c>
      <c r="CU2905" s="22">
        <f t="shared" si="200"/>
        <v>0</v>
      </c>
      <c r="CV2905" s="26">
        <f t="shared" si="197"/>
        <v>920</v>
      </c>
    </row>
    <row r="2906" spans="1:100" x14ac:dyDescent="0.2">
      <c r="A2906" s="9" t="s">
        <v>625</v>
      </c>
      <c r="B2906" s="2">
        <v>119</v>
      </c>
      <c r="C2906" s="3" t="s">
        <v>95</v>
      </c>
      <c r="D2906" s="3" t="s">
        <v>96</v>
      </c>
      <c r="E2906" s="2"/>
      <c r="F2906" s="2"/>
      <c r="G2906" s="2" t="s">
        <v>81</v>
      </c>
      <c r="H2906" s="2">
        <v>2</v>
      </c>
      <c r="I2906" s="8">
        <v>159.65</v>
      </c>
      <c r="J2906" s="8">
        <v>71455</v>
      </c>
      <c r="K2906" s="3">
        <v>0</v>
      </c>
      <c r="L2906" s="3" t="s">
        <v>3</v>
      </c>
      <c r="M2906" s="9" t="s">
        <v>0</v>
      </c>
      <c r="N2906" s="9" t="s">
        <v>58</v>
      </c>
      <c r="O2906" s="9" t="s">
        <v>622</v>
      </c>
      <c r="P2906" s="9" t="s">
        <v>0</v>
      </c>
      <c r="Q2906" s="30" t="s">
        <v>623</v>
      </c>
      <c r="R2906" s="9" t="s">
        <v>624</v>
      </c>
      <c r="S2906" s="9" t="s">
        <v>158</v>
      </c>
      <c r="T2906" s="10" t="s">
        <v>81</v>
      </c>
      <c r="U2906" s="10">
        <v>2</v>
      </c>
      <c r="V2906" s="10">
        <v>159.65</v>
      </c>
      <c r="W2906" s="10" t="s">
        <v>710</v>
      </c>
      <c r="X2906" s="17">
        <v>45633</v>
      </c>
      <c r="Y2906" s="17">
        <v>45659</v>
      </c>
      <c r="Z2906" s="19" t="s">
        <v>772</v>
      </c>
      <c r="AA2906" s="210">
        <v>48000</v>
      </c>
      <c r="AB2906" s="9">
        <v>48</v>
      </c>
      <c r="AC2906" s="9">
        <v>36</v>
      </c>
      <c r="AD2906" s="17">
        <v>46749</v>
      </c>
      <c r="AE2906" s="56">
        <v>920</v>
      </c>
      <c r="AF2906" s="56"/>
      <c r="AP2906" s="11"/>
      <c r="AQ2906" s="11"/>
      <c r="AR2906" s="11"/>
      <c r="AW2906" s="9"/>
      <c r="BD2906" s="9"/>
      <c r="CS2906" s="11">
        <f t="shared" si="198"/>
        <v>0</v>
      </c>
      <c r="CT2906" s="22">
        <f t="shared" si="199"/>
        <v>0</v>
      </c>
      <c r="CU2906" s="22">
        <f t="shared" si="200"/>
        <v>0</v>
      </c>
      <c r="CV2906" s="26">
        <f t="shared" si="197"/>
        <v>920</v>
      </c>
    </row>
    <row r="2907" spans="1:100" x14ac:dyDescent="0.2">
      <c r="A2907" s="9" t="s">
        <v>625</v>
      </c>
      <c r="B2907" s="2">
        <v>119</v>
      </c>
      <c r="C2907" s="3" t="s">
        <v>95</v>
      </c>
      <c r="D2907" s="3" t="s">
        <v>96</v>
      </c>
      <c r="E2907" s="2"/>
      <c r="F2907" s="2"/>
      <c r="G2907" s="2" t="s">
        <v>81</v>
      </c>
      <c r="H2907" s="2">
        <v>2</v>
      </c>
      <c r="I2907" s="8">
        <v>159.65</v>
      </c>
      <c r="J2907" s="8">
        <v>71455</v>
      </c>
      <c r="K2907" s="3">
        <v>0</v>
      </c>
      <c r="L2907" s="3" t="s">
        <v>3</v>
      </c>
      <c r="M2907" s="9" t="s">
        <v>0</v>
      </c>
      <c r="N2907" s="9" t="s">
        <v>58</v>
      </c>
      <c r="O2907" s="9" t="s">
        <v>622</v>
      </c>
      <c r="P2907" s="9" t="s">
        <v>0</v>
      </c>
      <c r="Q2907" s="30" t="s">
        <v>623</v>
      </c>
      <c r="R2907" s="9" t="s">
        <v>624</v>
      </c>
      <c r="S2907" s="9" t="s">
        <v>158</v>
      </c>
      <c r="T2907" s="10" t="s">
        <v>81</v>
      </c>
      <c r="U2907" s="10">
        <v>2</v>
      </c>
      <c r="V2907" s="10">
        <v>159.65</v>
      </c>
      <c r="W2907" s="10" t="s">
        <v>710</v>
      </c>
      <c r="X2907" s="17">
        <v>45633</v>
      </c>
      <c r="Y2907" s="17">
        <v>45659</v>
      </c>
      <c r="Z2907" s="19" t="s">
        <v>772</v>
      </c>
      <c r="AA2907" s="210">
        <v>48000</v>
      </c>
      <c r="AB2907" s="9">
        <v>48</v>
      </c>
      <c r="AC2907" s="9">
        <v>37</v>
      </c>
      <c r="AD2907" s="17">
        <v>46780</v>
      </c>
      <c r="AE2907" s="56">
        <v>920</v>
      </c>
      <c r="AF2907" s="56"/>
      <c r="AP2907" s="11"/>
      <c r="AQ2907" s="11"/>
      <c r="AR2907" s="11"/>
      <c r="AW2907" s="9"/>
      <c r="BD2907" s="9"/>
      <c r="CS2907" s="11">
        <f t="shared" si="198"/>
        <v>0</v>
      </c>
      <c r="CT2907" s="22">
        <f t="shared" si="199"/>
        <v>0</v>
      </c>
      <c r="CU2907" s="22">
        <f t="shared" si="200"/>
        <v>0</v>
      </c>
      <c r="CV2907" s="26">
        <f t="shared" si="197"/>
        <v>920</v>
      </c>
    </row>
    <row r="2908" spans="1:100" x14ac:dyDescent="0.2">
      <c r="A2908" s="9" t="s">
        <v>625</v>
      </c>
      <c r="B2908" s="2">
        <v>119</v>
      </c>
      <c r="C2908" s="3" t="s">
        <v>95</v>
      </c>
      <c r="D2908" s="3" t="s">
        <v>96</v>
      </c>
      <c r="E2908" s="2"/>
      <c r="F2908" s="2"/>
      <c r="G2908" s="2" t="s">
        <v>81</v>
      </c>
      <c r="H2908" s="2">
        <v>2</v>
      </c>
      <c r="I2908" s="8">
        <v>159.65</v>
      </c>
      <c r="J2908" s="8">
        <v>71455</v>
      </c>
      <c r="K2908" s="3">
        <v>0</v>
      </c>
      <c r="L2908" s="3" t="s">
        <v>3</v>
      </c>
      <c r="M2908" s="9" t="s">
        <v>0</v>
      </c>
      <c r="N2908" s="9" t="s">
        <v>58</v>
      </c>
      <c r="O2908" s="9" t="s">
        <v>622</v>
      </c>
      <c r="P2908" s="9" t="s">
        <v>0</v>
      </c>
      <c r="Q2908" s="30" t="s">
        <v>623</v>
      </c>
      <c r="R2908" s="9" t="s">
        <v>624</v>
      </c>
      <c r="S2908" s="9" t="s">
        <v>158</v>
      </c>
      <c r="T2908" s="10" t="s">
        <v>81</v>
      </c>
      <c r="U2908" s="10">
        <v>2</v>
      </c>
      <c r="V2908" s="10">
        <v>159.65</v>
      </c>
      <c r="W2908" s="10" t="s">
        <v>710</v>
      </c>
      <c r="X2908" s="17">
        <v>45633</v>
      </c>
      <c r="Y2908" s="17">
        <v>45659</v>
      </c>
      <c r="Z2908" s="19" t="s">
        <v>772</v>
      </c>
      <c r="AA2908" s="210">
        <v>48000</v>
      </c>
      <c r="AB2908" s="9">
        <v>48</v>
      </c>
      <c r="AC2908" s="9">
        <v>38</v>
      </c>
      <c r="AD2908" s="17">
        <v>46811</v>
      </c>
      <c r="AE2908" s="56">
        <v>920</v>
      </c>
      <c r="AF2908" s="56"/>
      <c r="AP2908" s="11"/>
      <c r="AQ2908" s="11"/>
      <c r="AR2908" s="11"/>
      <c r="AW2908" s="9"/>
      <c r="BD2908" s="9"/>
      <c r="CS2908" s="11">
        <f t="shared" si="198"/>
        <v>0</v>
      </c>
      <c r="CT2908" s="22">
        <f t="shared" si="199"/>
        <v>0</v>
      </c>
      <c r="CU2908" s="22">
        <f t="shared" si="200"/>
        <v>0</v>
      </c>
      <c r="CV2908" s="26">
        <f t="shared" si="197"/>
        <v>920</v>
      </c>
    </row>
    <row r="2909" spans="1:100" x14ac:dyDescent="0.2">
      <c r="A2909" s="9" t="s">
        <v>625</v>
      </c>
      <c r="B2909" s="2">
        <v>119</v>
      </c>
      <c r="C2909" s="3" t="s">
        <v>95</v>
      </c>
      <c r="D2909" s="3" t="s">
        <v>96</v>
      </c>
      <c r="E2909" s="2"/>
      <c r="F2909" s="2"/>
      <c r="G2909" s="2" t="s">
        <v>81</v>
      </c>
      <c r="H2909" s="2">
        <v>2</v>
      </c>
      <c r="I2909" s="8">
        <v>159.65</v>
      </c>
      <c r="J2909" s="8">
        <v>71455</v>
      </c>
      <c r="K2909" s="3">
        <v>0</v>
      </c>
      <c r="L2909" s="3" t="s">
        <v>3</v>
      </c>
      <c r="M2909" s="9" t="s">
        <v>0</v>
      </c>
      <c r="N2909" s="9" t="s">
        <v>58</v>
      </c>
      <c r="O2909" s="9" t="s">
        <v>622</v>
      </c>
      <c r="P2909" s="9" t="s">
        <v>0</v>
      </c>
      <c r="Q2909" s="30" t="s">
        <v>623</v>
      </c>
      <c r="R2909" s="9" t="s">
        <v>624</v>
      </c>
      <c r="S2909" s="9" t="s">
        <v>158</v>
      </c>
      <c r="T2909" s="10" t="s">
        <v>81</v>
      </c>
      <c r="U2909" s="10">
        <v>2</v>
      </c>
      <c r="V2909" s="10">
        <v>159.65</v>
      </c>
      <c r="W2909" s="10" t="s">
        <v>710</v>
      </c>
      <c r="X2909" s="17">
        <v>45633</v>
      </c>
      <c r="Y2909" s="17">
        <v>45659</v>
      </c>
      <c r="Z2909" s="19" t="s">
        <v>772</v>
      </c>
      <c r="AA2909" s="210">
        <v>48000</v>
      </c>
      <c r="AB2909" s="9">
        <v>48</v>
      </c>
      <c r="AC2909" s="9">
        <v>39</v>
      </c>
      <c r="AD2909" s="17">
        <v>46840</v>
      </c>
      <c r="AE2909" s="56">
        <v>920</v>
      </c>
      <c r="AF2909" s="56"/>
      <c r="AP2909" s="11"/>
      <c r="AQ2909" s="11"/>
      <c r="AR2909" s="11"/>
      <c r="AW2909" s="9"/>
      <c r="BD2909" s="9"/>
      <c r="CS2909" s="11">
        <f t="shared" si="198"/>
        <v>0</v>
      </c>
      <c r="CT2909" s="22">
        <f t="shared" si="199"/>
        <v>0</v>
      </c>
      <c r="CU2909" s="22">
        <f t="shared" si="200"/>
        <v>0</v>
      </c>
      <c r="CV2909" s="26">
        <f t="shared" si="197"/>
        <v>920</v>
      </c>
    </row>
    <row r="2910" spans="1:100" x14ac:dyDescent="0.2">
      <c r="A2910" s="9" t="s">
        <v>625</v>
      </c>
      <c r="B2910" s="2">
        <v>119</v>
      </c>
      <c r="C2910" s="3" t="s">
        <v>95</v>
      </c>
      <c r="D2910" s="3" t="s">
        <v>96</v>
      </c>
      <c r="E2910" s="2"/>
      <c r="F2910" s="2"/>
      <c r="G2910" s="2" t="s">
        <v>81</v>
      </c>
      <c r="H2910" s="2">
        <v>2</v>
      </c>
      <c r="I2910" s="8">
        <v>159.65</v>
      </c>
      <c r="J2910" s="8">
        <v>71455</v>
      </c>
      <c r="K2910" s="3">
        <v>0</v>
      </c>
      <c r="L2910" s="3" t="s">
        <v>3</v>
      </c>
      <c r="M2910" s="9" t="s">
        <v>0</v>
      </c>
      <c r="N2910" s="9" t="s">
        <v>58</v>
      </c>
      <c r="O2910" s="9" t="s">
        <v>622</v>
      </c>
      <c r="P2910" s="9" t="s">
        <v>0</v>
      </c>
      <c r="Q2910" s="30" t="s">
        <v>623</v>
      </c>
      <c r="R2910" s="9" t="s">
        <v>624</v>
      </c>
      <c r="S2910" s="9" t="s">
        <v>158</v>
      </c>
      <c r="T2910" s="10" t="s">
        <v>81</v>
      </c>
      <c r="U2910" s="10">
        <v>2</v>
      </c>
      <c r="V2910" s="10">
        <v>159.65</v>
      </c>
      <c r="W2910" s="10" t="s">
        <v>710</v>
      </c>
      <c r="X2910" s="17">
        <v>45633</v>
      </c>
      <c r="Y2910" s="17">
        <v>45659</v>
      </c>
      <c r="Z2910" s="19" t="s">
        <v>772</v>
      </c>
      <c r="AA2910" s="210">
        <v>48000</v>
      </c>
      <c r="AB2910" s="9">
        <v>48</v>
      </c>
      <c r="AC2910" s="9">
        <v>40</v>
      </c>
      <c r="AD2910" s="17">
        <v>46871</v>
      </c>
      <c r="AE2910" s="56">
        <v>920</v>
      </c>
      <c r="AF2910" s="56"/>
      <c r="AP2910" s="11"/>
      <c r="AQ2910" s="11"/>
      <c r="AR2910" s="11"/>
      <c r="AW2910" s="9"/>
      <c r="BD2910" s="9"/>
      <c r="CS2910" s="11">
        <f t="shared" si="198"/>
        <v>0</v>
      </c>
      <c r="CT2910" s="22">
        <f t="shared" si="199"/>
        <v>0</v>
      </c>
      <c r="CU2910" s="22">
        <f t="shared" si="200"/>
        <v>0</v>
      </c>
      <c r="CV2910" s="26">
        <f t="shared" si="197"/>
        <v>920</v>
      </c>
    </row>
    <row r="2911" spans="1:100" x14ac:dyDescent="0.2">
      <c r="A2911" s="9" t="s">
        <v>625</v>
      </c>
      <c r="B2911" s="2">
        <v>119</v>
      </c>
      <c r="C2911" s="3" t="s">
        <v>95</v>
      </c>
      <c r="D2911" s="3" t="s">
        <v>96</v>
      </c>
      <c r="E2911" s="2"/>
      <c r="F2911" s="2"/>
      <c r="G2911" s="2" t="s">
        <v>81</v>
      </c>
      <c r="H2911" s="2">
        <v>2</v>
      </c>
      <c r="I2911" s="8">
        <v>159.65</v>
      </c>
      <c r="J2911" s="8">
        <v>71455</v>
      </c>
      <c r="K2911" s="3">
        <v>0</v>
      </c>
      <c r="L2911" s="3" t="s">
        <v>3</v>
      </c>
      <c r="M2911" s="9" t="s">
        <v>0</v>
      </c>
      <c r="N2911" s="9" t="s">
        <v>58</v>
      </c>
      <c r="O2911" s="9" t="s">
        <v>622</v>
      </c>
      <c r="P2911" s="9" t="s">
        <v>0</v>
      </c>
      <c r="Q2911" s="30" t="s">
        <v>623</v>
      </c>
      <c r="R2911" s="9" t="s">
        <v>624</v>
      </c>
      <c r="S2911" s="9" t="s">
        <v>158</v>
      </c>
      <c r="T2911" s="10" t="s">
        <v>81</v>
      </c>
      <c r="U2911" s="10">
        <v>2</v>
      </c>
      <c r="V2911" s="10">
        <v>159.65</v>
      </c>
      <c r="W2911" s="10" t="s">
        <v>710</v>
      </c>
      <c r="X2911" s="17">
        <v>45633</v>
      </c>
      <c r="Y2911" s="17">
        <v>45659</v>
      </c>
      <c r="Z2911" s="19" t="s">
        <v>772</v>
      </c>
      <c r="AA2911" s="210">
        <v>48000</v>
      </c>
      <c r="AB2911" s="9">
        <v>48</v>
      </c>
      <c r="AC2911" s="9">
        <v>41</v>
      </c>
      <c r="AD2911" s="17">
        <v>46901</v>
      </c>
      <c r="AE2911" s="56">
        <v>920</v>
      </c>
      <c r="AF2911" s="56"/>
      <c r="AP2911" s="11"/>
      <c r="AQ2911" s="11"/>
      <c r="AR2911" s="11"/>
      <c r="AW2911" s="9"/>
      <c r="BD2911" s="9"/>
      <c r="CS2911" s="11">
        <f t="shared" si="198"/>
        <v>0</v>
      </c>
      <c r="CT2911" s="22">
        <f t="shared" si="199"/>
        <v>0</v>
      </c>
      <c r="CU2911" s="22">
        <f t="shared" si="200"/>
        <v>0</v>
      </c>
      <c r="CV2911" s="26">
        <f t="shared" si="197"/>
        <v>920</v>
      </c>
    </row>
    <row r="2912" spans="1:100" x14ac:dyDescent="0.2">
      <c r="A2912" s="9" t="s">
        <v>625</v>
      </c>
      <c r="B2912" s="2">
        <v>119</v>
      </c>
      <c r="C2912" s="3" t="s">
        <v>95</v>
      </c>
      <c r="D2912" s="3" t="s">
        <v>96</v>
      </c>
      <c r="E2912" s="2"/>
      <c r="F2912" s="2"/>
      <c r="G2912" s="2" t="s">
        <v>81</v>
      </c>
      <c r="H2912" s="2">
        <v>2</v>
      </c>
      <c r="I2912" s="8">
        <v>159.65</v>
      </c>
      <c r="J2912" s="8">
        <v>71455</v>
      </c>
      <c r="K2912" s="3">
        <v>0</v>
      </c>
      <c r="L2912" s="3" t="s">
        <v>3</v>
      </c>
      <c r="M2912" s="9" t="s">
        <v>0</v>
      </c>
      <c r="N2912" s="9" t="s">
        <v>58</v>
      </c>
      <c r="O2912" s="9" t="s">
        <v>622</v>
      </c>
      <c r="P2912" s="9" t="s">
        <v>0</v>
      </c>
      <c r="Q2912" s="30" t="s">
        <v>623</v>
      </c>
      <c r="R2912" s="9" t="s">
        <v>624</v>
      </c>
      <c r="S2912" s="9" t="s">
        <v>158</v>
      </c>
      <c r="T2912" s="10" t="s">
        <v>81</v>
      </c>
      <c r="U2912" s="10">
        <v>2</v>
      </c>
      <c r="V2912" s="10">
        <v>159.65</v>
      </c>
      <c r="W2912" s="10" t="s">
        <v>710</v>
      </c>
      <c r="X2912" s="17">
        <v>45633</v>
      </c>
      <c r="Y2912" s="17">
        <v>45659</v>
      </c>
      <c r="Z2912" s="19" t="s">
        <v>772</v>
      </c>
      <c r="AA2912" s="210">
        <v>48000</v>
      </c>
      <c r="AB2912" s="9">
        <v>48</v>
      </c>
      <c r="AC2912" s="9">
        <v>42</v>
      </c>
      <c r="AD2912" s="17">
        <v>46932</v>
      </c>
      <c r="AE2912" s="56">
        <v>920</v>
      </c>
      <c r="AF2912" s="56"/>
      <c r="AP2912" s="11"/>
      <c r="AQ2912" s="11"/>
      <c r="AR2912" s="11"/>
      <c r="AW2912" s="9"/>
      <c r="BD2912" s="9"/>
      <c r="CS2912" s="11">
        <f t="shared" si="198"/>
        <v>0</v>
      </c>
      <c r="CT2912" s="22">
        <f t="shared" si="199"/>
        <v>0</v>
      </c>
      <c r="CU2912" s="22">
        <f t="shared" si="200"/>
        <v>0</v>
      </c>
      <c r="CV2912" s="26">
        <f t="shared" si="197"/>
        <v>920</v>
      </c>
    </row>
    <row r="2913" spans="1:103" x14ac:dyDescent="0.2">
      <c r="A2913" s="9" t="s">
        <v>625</v>
      </c>
      <c r="B2913" s="2">
        <v>119</v>
      </c>
      <c r="C2913" s="3" t="s">
        <v>95</v>
      </c>
      <c r="D2913" s="3" t="s">
        <v>96</v>
      </c>
      <c r="E2913" s="2"/>
      <c r="F2913" s="2"/>
      <c r="G2913" s="2" t="s">
        <v>81</v>
      </c>
      <c r="H2913" s="2">
        <v>2</v>
      </c>
      <c r="I2913" s="8">
        <v>159.65</v>
      </c>
      <c r="J2913" s="8">
        <v>71455</v>
      </c>
      <c r="K2913" s="3">
        <v>0</v>
      </c>
      <c r="L2913" s="3" t="s">
        <v>3</v>
      </c>
      <c r="M2913" s="9" t="s">
        <v>0</v>
      </c>
      <c r="N2913" s="9" t="s">
        <v>58</v>
      </c>
      <c r="O2913" s="9" t="s">
        <v>622</v>
      </c>
      <c r="P2913" s="9" t="s">
        <v>0</v>
      </c>
      <c r="Q2913" s="30" t="s">
        <v>623</v>
      </c>
      <c r="R2913" s="9" t="s">
        <v>624</v>
      </c>
      <c r="S2913" s="9" t="s">
        <v>158</v>
      </c>
      <c r="T2913" s="10" t="s">
        <v>81</v>
      </c>
      <c r="U2913" s="10">
        <v>2</v>
      </c>
      <c r="V2913" s="10">
        <v>159.65</v>
      </c>
      <c r="W2913" s="10" t="s">
        <v>710</v>
      </c>
      <c r="X2913" s="17">
        <v>45633</v>
      </c>
      <c r="Y2913" s="17">
        <v>45659</v>
      </c>
      <c r="Z2913" s="19" t="s">
        <v>772</v>
      </c>
      <c r="AA2913" s="210">
        <v>48000</v>
      </c>
      <c r="AB2913" s="9">
        <v>48</v>
      </c>
      <c r="AC2913" s="9">
        <v>43</v>
      </c>
      <c r="AD2913" s="17">
        <v>46962</v>
      </c>
      <c r="AE2913" s="56">
        <v>920</v>
      </c>
      <c r="AF2913" s="56"/>
      <c r="AP2913" s="11"/>
      <c r="AQ2913" s="11"/>
      <c r="AR2913" s="11"/>
      <c r="AW2913" s="9"/>
      <c r="BD2913" s="9"/>
      <c r="CS2913" s="11">
        <f t="shared" si="198"/>
        <v>0</v>
      </c>
      <c r="CT2913" s="22">
        <f t="shared" si="199"/>
        <v>0</v>
      </c>
      <c r="CU2913" s="22">
        <f t="shared" si="200"/>
        <v>0</v>
      </c>
      <c r="CV2913" s="26">
        <f t="shared" si="197"/>
        <v>920</v>
      </c>
    </row>
    <row r="2914" spans="1:103" x14ac:dyDescent="0.2">
      <c r="A2914" s="9" t="s">
        <v>625</v>
      </c>
      <c r="B2914" s="2">
        <v>119</v>
      </c>
      <c r="C2914" s="3" t="s">
        <v>95</v>
      </c>
      <c r="D2914" s="3" t="s">
        <v>96</v>
      </c>
      <c r="E2914" s="2"/>
      <c r="F2914" s="2"/>
      <c r="G2914" s="2" t="s">
        <v>81</v>
      </c>
      <c r="H2914" s="2">
        <v>2</v>
      </c>
      <c r="I2914" s="8">
        <v>159.65</v>
      </c>
      <c r="J2914" s="8">
        <v>71455</v>
      </c>
      <c r="K2914" s="3">
        <v>0</v>
      </c>
      <c r="L2914" s="3" t="s">
        <v>3</v>
      </c>
      <c r="M2914" s="9" t="s">
        <v>0</v>
      </c>
      <c r="N2914" s="9" t="s">
        <v>58</v>
      </c>
      <c r="O2914" s="9" t="s">
        <v>622</v>
      </c>
      <c r="P2914" s="9" t="s">
        <v>0</v>
      </c>
      <c r="Q2914" s="30" t="s">
        <v>623</v>
      </c>
      <c r="R2914" s="9" t="s">
        <v>624</v>
      </c>
      <c r="S2914" s="9" t="s">
        <v>158</v>
      </c>
      <c r="T2914" s="10" t="s">
        <v>81</v>
      </c>
      <c r="U2914" s="10">
        <v>2</v>
      </c>
      <c r="V2914" s="10">
        <v>159.65</v>
      </c>
      <c r="W2914" s="10" t="s">
        <v>710</v>
      </c>
      <c r="X2914" s="17">
        <v>45633</v>
      </c>
      <c r="Y2914" s="17">
        <v>45659</v>
      </c>
      <c r="Z2914" s="19" t="s">
        <v>772</v>
      </c>
      <c r="AA2914" s="210">
        <v>48000</v>
      </c>
      <c r="AB2914" s="9">
        <v>48</v>
      </c>
      <c r="AC2914" s="9">
        <v>44</v>
      </c>
      <c r="AD2914" s="17">
        <v>46993</v>
      </c>
      <c r="AE2914" s="56">
        <v>920</v>
      </c>
      <c r="AF2914" s="56"/>
      <c r="AP2914" s="11"/>
      <c r="AQ2914" s="11"/>
      <c r="AR2914" s="11"/>
      <c r="AW2914" s="9"/>
      <c r="BD2914" s="9"/>
      <c r="CS2914" s="11">
        <f t="shared" si="198"/>
        <v>0</v>
      </c>
      <c r="CT2914" s="22">
        <f t="shared" si="199"/>
        <v>0</v>
      </c>
      <c r="CU2914" s="22">
        <f t="shared" si="200"/>
        <v>0</v>
      </c>
      <c r="CV2914" s="26">
        <f t="shared" si="197"/>
        <v>920</v>
      </c>
    </row>
    <row r="2915" spans="1:103" x14ac:dyDescent="0.2">
      <c r="A2915" s="9" t="s">
        <v>625</v>
      </c>
      <c r="B2915" s="2">
        <v>119</v>
      </c>
      <c r="C2915" s="3" t="s">
        <v>95</v>
      </c>
      <c r="D2915" s="3" t="s">
        <v>96</v>
      </c>
      <c r="E2915" s="2"/>
      <c r="F2915" s="2"/>
      <c r="G2915" s="2" t="s">
        <v>81</v>
      </c>
      <c r="H2915" s="2">
        <v>2</v>
      </c>
      <c r="I2915" s="8">
        <v>159.65</v>
      </c>
      <c r="J2915" s="8">
        <v>71455</v>
      </c>
      <c r="K2915" s="3">
        <v>0</v>
      </c>
      <c r="L2915" s="3" t="s">
        <v>3</v>
      </c>
      <c r="M2915" s="9" t="s">
        <v>0</v>
      </c>
      <c r="N2915" s="9" t="s">
        <v>58</v>
      </c>
      <c r="O2915" s="9" t="s">
        <v>622</v>
      </c>
      <c r="P2915" s="9" t="s">
        <v>0</v>
      </c>
      <c r="Q2915" s="30" t="s">
        <v>623</v>
      </c>
      <c r="R2915" s="9" t="s">
        <v>624</v>
      </c>
      <c r="S2915" s="9" t="s">
        <v>158</v>
      </c>
      <c r="T2915" s="10" t="s">
        <v>81</v>
      </c>
      <c r="U2915" s="10">
        <v>2</v>
      </c>
      <c r="V2915" s="10">
        <v>159.65</v>
      </c>
      <c r="W2915" s="10" t="s">
        <v>710</v>
      </c>
      <c r="X2915" s="17">
        <v>45633</v>
      </c>
      <c r="Y2915" s="17">
        <v>45659</v>
      </c>
      <c r="Z2915" s="19" t="s">
        <v>772</v>
      </c>
      <c r="AA2915" s="210">
        <v>48000</v>
      </c>
      <c r="AB2915" s="9">
        <v>48</v>
      </c>
      <c r="AC2915" s="9">
        <v>45</v>
      </c>
      <c r="AD2915" s="17">
        <v>47024</v>
      </c>
      <c r="AE2915" s="56">
        <v>920</v>
      </c>
      <c r="AF2915" s="56"/>
      <c r="AP2915" s="11"/>
      <c r="AQ2915" s="11"/>
      <c r="AR2915" s="11"/>
      <c r="AW2915" s="9"/>
      <c r="BD2915" s="9"/>
      <c r="CS2915" s="11">
        <f t="shared" si="198"/>
        <v>0</v>
      </c>
      <c r="CT2915" s="22">
        <f t="shared" si="199"/>
        <v>0</v>
      </c>
      <c r="CU2915" s="22">
        <f t="shared" si="200"/>
        <v>0</v>
      </c>
      <c r="CV2915" s="26">
        <f t="shared" si="197"/>
        <v>920</v>
      </c>
    </row>
    <row r="2916" spans="1:103" x14ac:dyDescent="0.2">
      <c r="A2916" s="9" t="s">
        <v>625</v>
      </c>
      <c r="B2916" s="2">
        <v>119</v>
      </c>
      <c r="C2916" s="3" t="s">
        <v>95</v>
      </c>
      <c r="D2916" s="3" t="s">
        <v>96</v>
      </c>
      <c r="E2916" s="2"/>
      <c r="F2916" s="2"/>
      <c r="G2916" s="2" t="s">
        <v>81</v>
      </c>
      <c r="H2916" s="2">
        <v>2</v>
      </c>
      <c r="I2916" s="8">
        <v>159.65</v>
      </c>
      <c r="J2916" s="8">
        <v>71455</v>
      </c>
      <c r="K2916" s="3">
        <v>0</v>
      </c>
      <c r="L2916" s="3" t="s">
        <v>3</v>
      </c>
      <c r="M2916" s="9" t="s">
        <v>0</v>
      </c>
      <c r="N2916" s="9" t="s">
        <v>58</v>
      </c>
      <c r="O2916" s="9" t="s">
        <v>622</v>
      </c>
      <c r="P2916" s="9" t="s">
        <v>0</v>
      </c>
      <c r="Q2916" s="30" t="s">
        <v>623</v>
      </c>
      <c r="R2916" s="9" t="s">
        <v>624</v>
      </c>
      <c r="S2916" s="9" t="s">
        <v>158</v>
      </c>
      <c r="T2916" s="10" t="s">
        <v>81</v>
      </c>
      <c r="U2916" s="10">
        <v>2</v>
      </c>
      <c r="V2916" s="10">
        <v>159.65</v>
      </c>
      <c r="W2916" s="10" t="s">
        <v>710</v>
      </c>
      <c r="X2916" s="17">
        <v>45633</v>
      </c>
      <c r="Y2916" s="17">
        <v>45659</v>
      </c>
      <c r="Z2916" s="19" t="s">
        <v>772</v>
      </c>
      <c r="AA2916" s="210">
        <v>48000</v>
      </c>
      <c r="AB2916" s="9">
        <v>48</v>
      </c>
      <c r="AC2916" s="9">
        <v>46</v>
      </c>
      <c r="AD2916" s="17">
        <v>47054</v>
      </c>
      <c r="AE2916" s="56">
        <v>920</v>
      </c>
      <c r="AF2916" s="56"/>
      <c r="AP2916" s="11"/>
      <c r="AQ2916" s="11"/>
      <c r="AR2916" s="11"/>
      <c r="AW2916" s="9"/>
      <c r="BD2916" s="9"/>
      <c r="CS2916" s="11">
        <f t="shared" si="198"/>
        <v>0</v>
      </c>
      <c r="CT2916" s="22">
        <f t="shared" si="199"/>
        <v>0</v>
      </c>
      <c r="CU2916" s="22">
        <f t="shared" si="200"/>
        <v>0</v>
      </c>
      <c r="CV2916" s="26">
        <f t="shared" si="197"/>
        <v>920</v>
      </c>
    </row>
    <row r="2917" spans="1:103" x14ac:dyDescent="0.2">
      <c r="A2917" s="9" t="s">
        <v>625</v>
      </c>
      <c r="B2917" s="2">
        <v>119</v>
      </c>
      <c r="C2917" s="3" t="s">
        <v>95</v>
      </c>
      <c r="D2917" s="3" t="s">
        <v>96</v>
      </c>
      <c r="E2917" s="2"/>
      <c r="F2917" s="2"/>
      <c r="G2917" s="2" t="s">
        <v>81</v>
      </c>
      <c r="H2917" s="2">
        <v>2</v>
      </c>
      <c r="I2917" s="8">
        <v>159.65</v>
      </c>
      <c r="J2917" s="8">
        <v>71455</v>
      </c>
      <c r="K2917" s="3">
        <v>0</v>
      </c>
      <c r="L2917" s="3" t="s">
        <v>3</v>
      </c>
      <c r="M2917" s="9" t="s">
        <v>0</v>
      </c>
      <c r="N2917" s="9" t="s">
        <v>58</v>
      </c>
      <c r="O2917" s="9" t="s">
        <v>622</v>
      </c>
      <c r="P2917" s="9" t="s">
        <v>0</v>
      </c>
      <c r="Q2917" s="30" t="s">
        <v>623</v>
      </c>
      <c r="R2917" s="9" t="s">
        <v>624</v>
      </c>
      <c r="S2917" s="9" t="s">
        <v>158</v>
      </c>
      <c r="T2917" s="10" t="s">
        <v>81</v>
      </c>
      <c r="U2917" s="10">
        <v>2</v>
      </c>
      <c r="V2917" s="10">
        <v>159.65</v>
      </c>
      <c r="W2917" s="10" t="s">
        <v>710</v>
      </c>
      <c r="X2917" s="17">
        <v>45633</v>
      </c>
      <c r="Y2917" s="17">
        <v>45659</v>
      </c>
      <c r="Z2917" s="19" t="s">
        <v>772</v>
      </c>
      <c r="AA2917" s="210">
        <v>48000</v>
      </c>
      <c r="AB2917" s="9">
        <v>48</v>
      </c>
      <c r="AC2917" s="9">
        <v>47</v>
      </c>
      <c r="AD2917" s="17">
        <v>47085</v>
      </c>
      <c r="AE2917" s="56">
        <v>920</v>
      </c>
      <c r="AF2917" s="56"/>
      <c r="AP2917" s="11"/>
      <c r="AQ2917" s="11"/>
      <c r="AR2917" s="11"/>
      <c r="AW2917" s="9"/>
      <c r="BD2917" s="9"/>
      <c r="CS2917" s="11">
        <f t="shared" si="198"/>
        <v>0</v>
      </c>
      <c r="CT2917" s="22">
        <f t="shared" si="199"/>
        <v>0</v>
      </c>
      <c r="CU2917" s="22">
        <f t="shared" si="200"/>
        <v>0</v>
      </c>
      <c r="CV2917" s="26">
        <f t="shared" si="197"/>
        <v>920</v>
      </c>
    </row>
    <row r="2918" spans="1:103" x14ac:dyDescent="0.2">
      <c r="A2918" s="9" t="s">
        <v>625</v>
      </c>
      <c r="B2918" s="2">
        <v>119</v>
      </c>
      <c r="C2918" s="3" t="s">
        <v>95</v>
      </c>
      <c r="D2918" s="3" t="s">
        <v>96</v>
      </c>
      <c r="E2918" s="2"/>
      <c r="F2918" s="2"/>
      <c r="G2918" s="2" t="s">
        <v>81</v>
      </c>
      <c r="H2918" s="2">
        <v>2</v>
      </c>
      <c r="I2918" s="8">
        <v>159.65</v>
      </c>
      <c r="J2918" s="8">
        <v>71455</v>
      </c>
      <c r="K2918" s="3">
        <v>0</v>
      </c>
      <c r="L2918" s="3" t="s">
        <v>3</v>
      </c>
      <c r="M2918" s="9" t="s">
        <v>0</v>
      </c>
      <c r="N2918" s="9" t="s">
        <v>58</v>
      </c>
      <c r="O2918" s="9" t="s">
        <v>622</v>
      </c>
      <c r="P2918" s="9" t="s">
        <v>0</v>
      </c>
      <c r="Q2918" s="30" t="s">
        <v>623</v>
      </c>
      <c r="R2918" s="9" t="s">
        <v>624</v>
      </c>
      <c r="S2918" s="9" t="s">
        <v>158</v>
      </c>
      <c r="T2918" s="10" t="s">
        <v>81</v>
      </c>
      <c r="U2918" s="10">
        <v>2</v>
      </c>
      <c r="V2918" s="10">
        <v>159.65</v>
      </c>
      <c r="W2918" s="10" t="s">
        <v>710</v>
      </c>
      <c r="X2918" s="17">
        <v>45633</v>
      </c>
      <c r="Y2918" s="17">
        <v>45659</v>
      </c>
      <c r="Z2918" s="19" t="s">
        <v>772</v>
      </c>
      <c r="AA2918" s="210">
        <v>48000</v>
      </c>
      <c r="AB2918" s="9">
        <v>48</v>
      </c>
      <c r="AC2918" s="9">
        <v>48</v>
      </c>
      <c r="AD2918" s="17">
        <v>47115</v>
      </c>
      <c r="AE2918" s="56">
        <v>760</v>
      </c>
      <c r="AF2918" s="56"/>
      <c r="AP2918" s="11"/>
      <c r="AQ2918" s="11"/>
      <c r="AR2918" s="11"/>
      <c r="AW2918" s="9"/>
      <c r="BD2918" s="9"/>
      <c r="CS2918" s="11">
        <f t="shared" si="198"/>
        <v>0</v>
      </c>
      <c r="CT2918" s="22">
        <f t="shared" si="199"/>
        <v>0</v>
      </c>
      <c r="CU2918" s="22">
        <f t="shared" si="200"/>
        <v>0</v>
      </c>
      <c r="CV2918" s="26">
        <f t="shared" si="197"/>
        <v>760</v>
      </c>
    </row>
    <row r="2919" spans="1:103" x14ac:dyDescent="0.2">
      <c r="A2919" s="9" t="s">
        <v>625</v>
      </c>
      <c r="B2919" s="2">
        <v>119</v>
      </c>
      <c r="C2919" s="3" t="s">
        <v>95</v>
      </c>
      <c r="D2919" s="3" t="s">
        <v>96</v>
      </c>
      <c r="E2919" s="2"/>
      <c r="F2919" s="2"/>
      <c r="G2919" s="2" t="s">
        <v>81</v>
      </c>
      <c r="H2919" s="2">
        <v>2</v>
      </c>
      <c r="I2919" s="8">
        <v>159.65</v>
      </c>
      <c r="J2919" s="8">
        <v>71455</v>
      </c>
      <c r="K2919" s="3">
        <v>0</v>
      </c>
      <c r="L2919" s="3" t="s">
        <v>3</v>
      </c>
      <c r="M2919" s="9" t="s">
        <v>0</v>
      </c>
      <c r="N2919" s="9" t="s">
        <v>58</v>
      </c>
      <c r="O2919" s="9" t="s">
        <v>622</v>
      </c>
      <c r="S2919" s="9" t="s">
        <v>629</v>
      </c>
      <c r="W2919" s="10" t="s">
        <v>710</v>
      </c>
      <c r="X2919" s="17">
        <v>45633</v>
      </c>
      <c r="Y2919" s="17">
        <v>45659</v>
      </c>
      <c r="Z2919" s="19" t="s">
        <v>772</v>
      </c>
      <c r="AA2919" s="210">
        <v>6000</v>
      </c>
      <c r="AB2919" s="9">
        <v>1</v>
      </c>
      <c r="AC2919" s="9">
        <v>1</v>
      </c>
      <c r="AD2919" s="17">
        <v>45659</v>
      </c>
      <c r="AE2919" s="56">
        <v>6000</v>
      </c>
      <c r="AF2919" s="56"/>
      <c r="AG2919" s="9" t="s">
        <v>134</v>
      </c>
      <c r="AH2919" s="17">
        <v>45659</v>
      </c>
      <c r="AI2919" s="17"/>
      <c r="AJ2919" s="17"/>
      <c r="AK2919" s="9" t="s">
        <v>630</v>
      </c>
      <c r="AL2919" s="11">
        <v>6000</v>
      </c>
      <c r="AN2919" s="11" t="s">
        <v>943</v>
      </c>
      <c r="AP2919" s="11"/>
      <c r="AQ2919" s="11"/>
      <c r="AR2919" s="11"/>
      <c r="AW2919" s="17">
        <v>45657</v>
      </c>
      <c r="AX2919" s="9">
        <v>44054</v>
      </c>
      <c r="AY2919" s="86">
        <v>22560</v>
      </c>
      <c r="AZ2919" s="9">
        <v>3.76</v>
      </c>
      <c r="BA2919" s="11">
        <f>+AY2919/AZ2919</f>
        <v>6000</v>
      </c>
      <c r="BD2919" s="9"/>
      <c r="CS2919" s="11">
        <f t="shared" si="198"/>
        <v>6000</v>
      </c>
      <c r="CT2919" s="22">
        <f t="shared" si="199"/>
        <v>6000</v>
      </c>
      <c r="CU2919" s="22">
        <f t="shared" si="200"/>
        <v>0</v>
      </c>
      <c r="CV2919" s="26">
        <f t="shared" si="197"/>
        <v>0</v>
      </c>
    </row>
    <row r="2920" spans="1:103" x14ac:dyDescent="0.2">
      <c r="A2920" s="9" t="s">
        <v>631</v>
      </c>
      <c r="B2920" s="2">
        <v>114</v>
      </c>
      <c r="C2920" s="3" t="s">
        <v>95</v>
      </c>
      <c r="D2920" s="3" t="s">
        <v>96</v>
      </c>
      <c r="E2920" s="2"/>
      <c r="F2920" s="2"/>
      <c r="G2920" s="2" t="s">
        <v>80</v>
      </c>
      <c r="H2920" s="2">
        <v>4</v>
      </c>
      <c r="I2920" s="8">
        <v>127.4</v>
      </c>
      <c r="J2920" s="8">
        <v>43529</v>
      </c>
      <c r="K2920" s="3">
        <v>0</v>
      </c>
      <c r="L2920" s="3" t="s">
        <v>3</v>
      </c>
      <c r="M2920" s="9" t="s">
        <v>0</v>
      </c>
      <c r="N2920" s="9" t="s">
        <v>59</v>
      </c>
      <c r="O2920" s="9" t="s">
        <v>632</v>
      </c>
      <c r="S2920" s="9" t="s">
        <v>158</v>
      </c>
      <c r="T2920" s="10" t="s">
        <v>80</v>
      </c>
      <c r="U2920" s="10">
        <v>4</v>
      </c>
      <c r="V2920" s="10">
        <v>127.4</v>
      </c>
      <c r="W2920" s="10" t="s">
        <v>710</v>
      </c>
      <c r="X2920" s="17">
        <v>45679</v>
      </c>
      <c r="Y2920" s="17">
        <v>45690</v>
      </c>
      <c r="Z2920" s="19" t="s">
        <v>772</v>
      </c>
      <c r="AA2920" s="210">
        <v>45000</v>
      </c>
      <c r="AB2920" s="9">
        <v>48</v>
      </c>
      <c r="AC2920" s="9">
        <v>0</v>
      </c>
      <c r="AD2920" s="17">
        <v>45680</v>
      </c>
      <c r="AE2920" s="56">
        <v>806</v>
      </c>
      <c r="AF2920" s="56"/>
      <c r="AG2920" s="9" t="s">
        <v>134</v>
      </c>
      <c r="AH2920" s="17">
        <v>45680</v>
      </c>
      <c r="AI2920" s="17"/>
      <c r="AJ2920" s="17"/>
      <c r="AK2920" s="9" t="s">
        <v>633</v>
      </c>
      <c r="AL2920" s="11">
        <v>806</v>
      </c>
      <c r="AN2920" s="11" t="s">
        <v>924</v>
      </c>
      <c r="AP2920" s="11"/>
      <c r="AQ2920" s="11"/>
      <c r="AR2920" s="11"/>
      <c r="AW2920" s="42">
        <v>45680</v>
      </c>
      <c r="AX2920" s="36">
        <v>277102</v>
      </c>
      <c r="AY2920" s="36">
        <v>3000</v>
      </c>
      <c r="AZ2920" s="36">
        <v>3.72</v>
      </c>
      <c r="BA2920" s="40">
        <f>+AY2920/AZ2920</f>
        <v>806.45161290322574</v>
      </c>
      <c r="BB2920" s="40"/>
      <c r="BC2920" s="36"/>
      <c r="BD2920" s="36"/>
      <c r="BE2920" s="36"/>
      <c r="BF2920" s="36"/>
      <c r="BG2920" s="36"/>
      <c r="BH2920" s="36"/>
      <c r="CS2920" s="11">
        <f t="shared" si="198"/>
        <v>806</v>
      </c>
      <c r="CT2920" s="22">
        <f t="shared" si="199"/>
        <v>806.45161290322574</v>
      </c>
      <c r="CU2920" s="22">
        <f t="shared" si="200"/>
        <v>-0.45161290322573677</v>
      </c>
      <c r="CV2920" s="26">
        <f t="shared" si="197"/>
        <v>0</v>
      </c>
    </row>
    <row r="2921" spans="1:103" x14ac:dyDescent="0.2">
      <c r="A2921" s="9" t="s">
        <v>631</v>
      </c>
      <c r="B2921" s="2">
        <v>114</v>
      </c>
      <c r="C2921" s="3" t="s">
        <v>95</v>
      </c>
      <c r="D2921" s="3" t="s">
        <v>96</v>
      </c>
      <c r="E2921" s="2"/>
      <c r="F2921" s="2"/>
      <c r="G2921" s="2" t="s">
        <v>80</v>
      </c>
      <c r="H2921" s="2">
        <v>4</v>
      </c>
      <c r="I2921" s="8">
        <v>127.4</v>
      </c>
      <c r="J2921" s="8">
        <v>43529</v>
      </c>
      <c r="K2921" s="3">
        <v>0</v>
      </c>
      <c r="L2921" s="3" t="s">
        <v>3</v>
      </c>
      <c r="M2921" s="9" t="s">
        <v>0</v>
      </c>
      <c r="N2921" s="9">
        <v>77684541</v>
      </c>
      <c r="O2921" s="9" t="s">
        <v>632</v>
      </c>
      <c r="S2921" s="9" t="s">
        <v>158</v>
      </c>
      <c r="T2921" s="10" t="s">
        <v>80</v>
      </c>
      <c r="U2921" s="10">
        <v>4</v>
      </c>
      <c r="V2921" s="10">
        <v>127.4</v>
      </c>
      <c r="W2921" s="10" t="s">
        <v>710</v>
      </c>
      <c r="X2921" s="17">
        <v>45679</v>
      </c>
      <c r="Y2921" s="17">
        <v>45690</v>
      </c>
      <c r="Z2921" s="19" t="s">
        <v>772</v>
      </c>
      <c r="AA2921" s="210">
        <v>45000</v>
      </c>
      <c r="AB2921" s="9">
        <v>48</v>
      </c>
      <c r="AC2921" s="9">
        <v>0</v>
      </c>
      <c r="AD2921" s="17">
        <v>45680</v>
      </c>
      <c r="AE2921" s="56">
        <v>806</v>
      </c>
      <c r="AF2921" s="56"/>
      <c r="AG2921" s="9" t="s">
        <v>134</v>
      </c>
      <c r="AH2921" s="17">
        <v>45690</v>
      </c>
      <c r="AI2921" s="17"/>
      <c r="AJ2921" s="17"/>
      <c r="AK2921" s="9" t="s">
        <v>634</v>
      </c>
      <c r="AL2921" s="11">
        <v>806</v>
      </c>
      <c r="AN2921" s="11" t="s">
        <v>926</v>
      </c>
      <c r="AP2921" s="11"/>
      <c r="AQ2921" s="11"/>
      <c r="AR2921" s="11"/>
      <c r="AW2921" s="42">
        <v>45679</v>
      </c>
      <c r="AX2921" s="36">
        <v>845384</v>
      </c>
      <c r="AY2921" s="36">
        <v>1000</v>
      </c>
      <c r="AZ2921" s="36">
        <v>3.72</v>
      </c>
      <c r="BA2921" s="40">
        <f>+AY2921/AZ2921</f>
        <v>268.81720430107526</v>
      </c>
      <c r="BB2921" s="40"/>
      <c r="BC2921" s="42">
        <v>45680</v>
      </c>
      <c r="BD2921" s="36">
        <v>258922</v>
      </c>
      <c r="BE2921" s="36">
        <v>2000</v>
      </c>
      <c r="BF2921" s="36">
        <v>3.72</v>
      </c>
      <c r="BG2921" s="40">
        <f>+BE2921/BF2921</f>
        <v>537.63440860215053</v>
      </c>
      <c r="BH2921" s="40"/>
      <c r="CS2921" s="11">
        <f t="shared" si="198"/>
        <v>806</v>
      </c>
      <c r="CT2921" s="22">
        <f t="shared" si="199"/>
        <v>806.45161290322585</v>
      </c>
      <c r="CU2921" s="22">
        <f t="shared" si="200"/>
        <v>-0.45161290322585046</v>
      </c>
      <c r="CV2921" s="26">
        <f t="shared" si="197"/>
        <v>0</v>
      </c>
    </row>
    <row r="2922" spans="1:103" x14ac:dyDescent="0.2">
      <c r="A2922" s="9" t="s">
        <v>631</v>
      </c>
      <c r="B2922" s="2">
        <v>114</v>
      </c>
      <c r="C2922" s="3" t="s">
        <v>95</v>
      </c>
      <c r="D2922" s="3" t="s">
        <v>96</v>
      </c>
      <c r="E2922" s="2"/>
      <c r="F2922" s="2"/>
      <c r="G2922" s="2" t="s">
        <v>80</v>
      </c>
      <c r="H2922" s="2">
        <v>4</v>
      </c>
      <c r="I2922" s="8">
        <v>127.4</v>
      </c>
      <c r="J2922" s="8">
        <v>43529</v>
      </c>
      <c r="K2922" s="3">
        <v>0</v>
      </c>
      <c r="L2922" s="3" t="s">
        <v>3</v>
      </c>
      <c r="M2922" s="9" t="s">
        <v>0</v>
      </c>
      <c r="N2922" s="9" t="s">
        <v>59</v>
      </c>
      <c r="O2922" s="9" t="s">
        <v>632</v>
      </c>
      <c r="S2922" s="9" t="s">
        <v>158</v>
      </c>
      <c r="T2922" s="10" t="s">
        <v>80</v>
      </c>
      <c r="U2922" s="10">
        <v>4</v>
      </c>
      <c r="V2922" s="10">
        <v>127.4</v>
      </c>
      <c r="W2922" s="10" t="s">
        <v>710</v>
      </c>
      <c r="X2922" s="17">
        <v>45679</v>
      </c>
      <c r="Y2922" s="17">
        <v>45690</v>
      </c>
      <c r="Z2922" s="19" t="s">
        <v>772</v>
      </c>
      <c r="AA2922" s="210">
        <v>45000</v>
      </c>
      <c r="AB2922" s="9">
        <v>48</v>
      </c>
      <c r="AC2922" s="9">
        <v>0</v>
      </c>
      <c r="AD2922" s="17">
        <v>45685</v>
      </c>
      <c r="AE2922" s="56">
        <v>6451</v>
      </c>
      <c r="AF2922" s="56"/>
      <c r="AG2922" s="9" t="s">
        <v>134</v>
      </c>
      <c r="AH2922" s="17">
        <v>45685</v>
      </c>
      <c r="AI2922" s="17"/>
      <c r="AJ2922" s="17"/>
      <c r="AK2922" s="9" t="s">
        <v>635</v>
      </c>
      <c r="AL2922" s="11">
        <v>6451</v>
      </c>
      <c r="AN2922" s="22" t="s">
        <v>925</v>
      </c>
      <c r="AP2922" s="11"/>
      <c r="AQ2922" s="11"/>
      <c r="AR2922" s="11"/>
      <c r="AW2922" s="42">
        <v>45685</v>
      </c>
      <c r="AX2922" s="41">
        <v>44800</v>
      </c>
      <c r="AY2922" s="93">
        <v>24000</v>
      </c>
      <c r="AZ2922" s="36">
        <v>3.72</v>
      </c>
      <c r="BA2922" s="40">
        <f>+AY2922/AZ2922</f>
        <v>6451.6129032258059</v>
      </c>
      <c r="BB2922" s="40"/>
      <c r="BC2922" s="36"/>
      <c r="BD2922" s="36"/>
      <c r="BE2922" s="36"/>
      <c r="BF2922" s="36"/>
      <c r="BG2922" s="36"/>
      <c r="BH2922" s="36"/>
      <c r="CS2922" s="11">
        <f t="shared" si="198"/>
        <v>6451</v>
      </c>
      <c r="CT2922" s="22">
        <f t="shared" si="199"/>
        <v>6451.6129032258059</v>
      </c>
      <c r="CU2922" s="22">
        <f t="shared" si="200"/>
        <v>-0.61290322580589418</v>
      </c>
      <c r="CV2922" s="26">
        <f t="shared" si="197"/>
        <v>0</v>
      </c>
    </row>
    <row r="2923" spans="1:103" x14ac:dyDescent="0.2">
      <c r="A2923" s="9" t="s">
        <v>631</v>
      </c>
      <c r="B2923" s="2">
        <v>114</v>
      </c>
      <c r="C2923" s="3" t="s">
        <v>95</v>
      </c>
      <c r="D2923" s="3" t="s">
        <v>96</v>
      </c>
      <c r="E2923" s="2"/>
      <c r="F2923" s="2"/>
      <c r="G2923" s="2" t="s">
        <v>80</v>
      </c>
      <c r="H2923" s="2">
        <v>4</v>
      </c>
      <c r="I2923" s="8">
        <v>127.4</v>
      </c>
      <c r="J2923" s="8">
        <v>43529</v>
      </c>
      <c r="K2923" s="3">
        <v>0</v>
      </c>
      <c r="L2923" s="3" t="s">
        <v>3</v>
      </c>
      <c r="M2923" s="9" t="s">
        <v>0</v>
      </c>
      <c r="N2923" s="9" t="s">
        <v>59</v>
      </c>
      <c r="O2923" s="9" t="s">
        <v>632</v>
      </c>
      <c r="S2923" s="9" t="s">
        <v>158</v>
      </c>
      <c r="T2923" s="10" t="s">
        <v>80</v>
      </c>
      <c r="U2923" s="10">
        <v>4</v>
      </c>
      <c r="V2923" s="10">
        <v>127.4</v>
      </c>
      <c r="W2923" s="10" t="s">
        <v>710</v>
      </c>
      <c r="X2923" s="17">
        <v>45679</v>
      </c>
      <c r="Y2923" s="17">
        <v>45690</v>
      </c>
      <c r="Z2923" s="19" t="s">
        <v>772</v>
      </c>
      <c r="AA2923" s="210">
        <v>45000</v>
      </c>
      <c r="AB2923" s="9">
        <v>48</v>
      </c>
      <c r="AC2923" s="9">
        <v>0</v>
      </c>
      <c r="AD2923" s="17">
        <v>45690</v>
      </c>
      <c r="AE2923" s="56">
        <v>6989.25</v>
      </c>
      <c r="AF2923" s="56"/>
      <c r="AG2923" s="9" t="s">
        <v>134</v>
      </c>
      <c r="AH2923" s="17">
        <v>45690</v>
      </c>
      <c r="AI2923" s="17"/>
      <c r="AJ2923" s="17"/>
      <c r="AK2923" s="9" t="s">
        <v>636</v>
      </c>
      <c r="AL2923" s="11">
        <v>6989.25</v>
      </c>
      <c r="AN2923" s="22" t="s">
        <v>927</v>
      </c>
      <c r="AP2923" s="11"/>
      <c r="AQ2923" s="11"/>
      <c r="AR2923" s="11"/>
      <c r="AW2923" s="42">
        <v>45690</v>
      </c>
      <c r="AX2923" s="41">
        <v>45052</v>
      </c>
      <c r="AY2923" s="93">
        <v>26000</v>
      </c>
      <c r="AZ2923" s="36">
        <v>3.72</v>
      </c>
      <c r="BA2923" s="40">
        <f>+AY2923/AZ2923</f>
        <v>6989.2473118279568</v>
      </c>
      <c r="BB2923" s="40"/>
      <c r="BC2923" s="36"/>
      <c r="BD2923" s="36"/>
      <c r="BE2923" s="36"/>
      <c r="BF2923" s="36"/>
      <c r="BG2923" s="36"/>
      <c r="BH2923" s="36"/>
      <c r="CS2923" s="11">
        <f t="shared" si="198"/>
        <v>6989.25</v>
      </c>
      <c r="CT2923" s="22">
        <f t="shared" si="199"/>
        <v>6989.2473118279568</v>
      </c>
      <c r="CU2923" s="22">
        <f t="shared" si="200"/>
        <v>2.6881720432356815E-3</v>
      </c>
      <c r="CV2923" s="26">
        <f t="shared" si="197"/>
        <v>0</v>
      </c>
    </row>
    <row r="2924" spans="1:103" x14ac:dyDescent="0.2">
      <c r="A2924" s="9" t="s">
        <v>631</v>
      </c>
      <c r="B2924" s="2">
        <v>114</v>
      </c>
      <c r="C2924" s="3" t="s">
        <v>95</v>
      </c>
      <c r="D2924" s="3" t="s">
        <v>96</v>
      </c>
      <c r="E2924" s="2"/>
      <c r="F2924" s="2"/>
      <c r="G2924" s="2" t="s">
        <v>80</v>
      </c>
      <c r="H2924" s="2">
        <v>4</v>
      </c>
      <c r="I2924" s="8">
        <v>127.4</v>
      </c>
      <c r="J2924" s="8">
        <v>43529</v>
      </c>
      <c r="K2924" s="3">
        <v>0</v>
      </c>
      <c r="L2924" s="3" t="s">
        <v>3</v>
      </c>
      <c r="M2924" s="9" t="s">
        <v>0</v>
      </c>
      <c r="N2924" s="9" t="s">
        <v>59</v>
      </c>
      <c r="O2924" s="9" t="s">
        <v>632</v>
      </c>
      <c r="S2924" s="9" t="s">
        <v>158</v>
      </c>
      <c r="T2924" s="10" t="s">
        <v>80</v>
      </c>
      <c r="U2924" s="10">
        <v>4</v>
      </c>
      <c r="V2924" s="10">
        <v>127.4</v>
      </c>
      <c r="W2924" s="10" t="s">
        <v>710</v>
      </c>
      <c r="X2924" s="17">
        <v>45679</v>
      </c>
      <c r="Y2924" s="17">
        <v>45690</v>
      </c>
      <c r="Z2924" s="19" t="s">
        <v>772</v>
      </c>
      <c r="AA2924" s="210">
        <v>45000</v>
      </c>
      <c r="AB2924" s="9">
        <v>48</v>
      </c>
      <c r="AC2924" s="9">
        <v>1</v>
      </c>
      <c r="AD2924" s="17">
        <v>45781</v>
      </c>
      <c r="AE2924" s="56">
        <v>623.91999999999996</v>
      </c>
      <c r="AF2924" s="56"/>
      <c r="AG2924" s="9" t="s">
        <v>134</v>
      </c>
      <c r="AH2924" s="17">
        <v>45916</v>
      </c>
      <c r="AI2924" s="17"/>
      <c r="AJ2924" s="17"/>
      <c r="AK2924" s="9" t="s">
        <v>919</v>
      </c>
      <c r="AL2924" s="11">
        <v>623.91999999999996</v>
      </c>
      <c r="AN2924" s="11" t="s">
        <v>928</v>
      </c>
      <c r="AP2924" s="11"/>
      <c r="AQ2924" s="11"/>
      <c r="AR2924" s="11"/>
      <c r="AW2924" s="42">
        <v>45916</v>
      </c>
      <c r="AX2924" s="41">
        <v>4728</v>
      </c>
      <c r="AY2924" s="36"/>
      <c r="AZ2924" s="36"/>
      <c r="BA2924" s="11">
        <v>623.91999999999996</v>
      </c>
      <c r="BB2924" s="40"/>
      <c r="BC2924" s="36"/>
      <c r="BD2924" s="36"/>
      <c r="BE2924" s="36"/>
      <c r="BF2924" s="36"/>
      <c r="BG2924" s="36"/>
      <c r="BH2924" s="36"/>
      <c r="CS2924" s="11">
        <f t="shared" si="198"/>
        <v>623.91999999999996</v>
      </c>
      <c r="CT2924" s="22">
        <f t="shared" si="199"/>
        <v>623.91999999999996</v>
      </c>
      <c r="CU2924" s="22">
        <f t="shared" si="200"/>
        <v>0</v>
      </c>
      <c r="CV2924" s="26">
        <f t="shared" si="197"/>
        <v>0</v>
      </c>
      <c r="CY2924" s="9" t="s">
        <v>3493</v>
      </c>
    </row>
    <row r="2925" spans="1:103" x14ac:dyDescent="0.2">
      <c r="A2925" s="9" t="s">
        <v>631</v>
      </c>
      <c r="B2925" s="2">
        <v>114</v>
      </c>
      <c r="C2925" s="3" t="s">
        <v>95</v>
      </c>
      <c r="D2925" s="3" t="s">
        <v>96</v>
      </c>
      <c r="E2925" s="2"/>
      <c r="F2925" s="2"/>
      <c r="G2925" s="2" t="s">
        <v>80</v>
      </c>
      <c r="H2925" s="2">
        <v>4</v>
      </c>
      <c r="I2925" s="8">
        <v>127.4</v>
      </c>
      <c r="J2925" s="8">
        <v>43529</v>
      </c>
      <c r="K2925" s="3">
        <v>0</v>
      </c>
      <c r="L2925" s="3" t="s">
        <v>3</v>
      </c>
      <c r="M2925" s="9" t="s">
        <v>0</v>
      </c>
      <c r="N2925" s="9" t="s">
        <v>59</v>
      </c>
      <c r="O2925" s="9" t="s">
        <v>632</v>
      </c>
      <c r="S2925" s="9" t="s">
        <v>158</v>
      </c>
      <c r="T2925" s="10" t="s">
        <v>80</v>
      </c>
      <c r="U2925" s="10">
        <v>4</v>
      </c>
      <c r="V2925" s="10">
        <v>127.4</v>
      </c>
      <c r="W2925" s="10" t="s">
        <v>710</v>
      </c>
      <c r="X2925" s="17">
        <v>45679</v>
      </c>
      <c r="Y2925" s="17">
        <v>45690</v>
      </c>
      <c r="Z2925" s="19" t="s">
        <v>772</v>
      </c>
      <c r="AA2925" s="210">
        <v>45000</v>
      </c>
      <c r="AB2925" s="9">
        <v>48</v>
      </c>
      <c r="AC2925" s="9">
        <v>2</v>
      </c>
      <c r="AD2925" s="17">
        <v>45812</v>
      </c>
      <c r="AE2925" s="56">
        <v>623.91999999999996</v>
      </c>
      <c r="AF2925" s="56"/>
      <c r="AG2925" s="9" t="s">
        <v>134</v>
      </c>
      <c r="AH2925" s="17">
        <v>45916</v>
      </c>
      <c r="AI2925" s="17"/>
      <c r="AJ2925" s="17"/>
      <c r="AK2925" s="9" t="s">
        <v>920</v>
      </c>
      <c r="AL2925" s="11">
        <v>623.91999999999996</v>
      </c>
      <c r="AN2925" s="11" t="s">
        <v>929</v>
      </c>
      <c r="AP2925" s="11"/>
      <c r="AQ2925" s="11"/>
      <c r="AR2925" s="11"/>
      <c r="AW2925" s="42">
        <v>45916</v>
      </c>
      <c r="AX2925" s="41">
        <v>4728</v>
      </c>
      <c r="AY2925" s="36"/>
      <c r="AZ2925" s="36"/>
      <c r="BA2925" s="11">
        <v>623.91999999999996</v>
      </c>
      <c r="BD2925" s="9"/>
      <c r="CS2925" s="11">
        <f t="shared" si="198"/>
        <v>623.91999999999996</v>
      </c>
      <c r="CT2925" s="22">
        <f t="shared" si="199"/>
        <v>623.91999999999996</v>
      </c>
      <c r="CU2925" s="22">
        <f t="shared" si="200"/>
        <v>0</v>
      </c>
      <c r="CV2925" s="26">
        <f t="shared" si="197"/>
        <v>0</v>
      </c>
      <c r="CY2925" s="9" t="s">
        <v>3493</v>
      </c>
    </row>
    <row r="2926" spans="1:103" x14ac:dyDescent="0.2">
      <c r="A2926" s="9" t="s">
        <v>631</v>
      </c>
      <c r="B2926" s="2">
        <v>114</v>
      </c>
      <c r="C2926" s="3" t="s">
        <v>95</v>
      </c>
      <c r="D2926" s="3" t="s">
        <v>96</v>
      </c>
      <c r="E2926" s="2"/>
      <c r="F2926" s="2"/>
      <c r="G2926" s="2" t="s">
        <v>80</v>
      </c>
      <c r="H2926" s="2">
        <v>4</v>
      </c>
      <c r="I2926" s="8">
        <v>127.4</v>
      </c>
      <c r="J2926" s="8">
        <v>43529</v>
      </c>
      <c r="K2926" s="3">
        <v>0</v>
      </c>
      <c r="L2926" s="3" t="s">
        <v>3</v>
      </c>
      <c r="M2926" s="9" t="s">
        <v>0</v>
      </c>
      <c r="N2926" s="9" t="s">
        <v>59</v>
      </c>
      <c r="O2926" s="9" t="s">
        <v>632</v>
      </c>
      <c r="S2926" s="9" t="s">
        <v>158</v>
      </c>
      <c r="T2926" s="10" t="s">
        <v>80</v>
      </c>
      <c r="U2926" s="10">
        <v>4</v>
      </c>
      <c r="V2926" s="10">
        <v>127.4</v>
      </c>
      <c r="W2926" s="10" t="s">
        <v>710</v>
      </c>
      <c r="X2926" s="17">
        <v>45679</v>
      </c>
      <c r="Y2926" s="17">
        <v>45690</v>
      </c>
      <c r="Z2926" s="19" t="s">
        <v>772</v>
      </c>
      <c r="AA2926" s="210">
        <v>45000</v>
      </c>
      <c r="AB2926" s="9">
        <v>48</v>
      </c>
      <c r="AC2926" s="9">
        <v>3</v>
      </c>
      <c r="AD2926" s="17">
        <v>45842</v>
      </c>
      <c r="AE2926" s="56">
        <v>623.91999999999996</v>
      </c>
      <c r="AF2926" s="56"/>
      <c r="AG2926" s="9" t="s">
        <v>134</v>
      </c>
      <c r="AH2926" s="17">
        <v>45916</v>
      </c>
      <c r="AI2926" s="17"/>
      <c r="AJ2926" s="17"/>
      <c r="AK2926" s="9" t="s">
        <v>921</v>
      </c>
      <c r="AL2926" s="11">
        <v>623.91999999999996</v>
      </c>
      <c r="AN2926" s="11" t="s">
        <v>930</v>
      </c>
      <c r="AP2926" s="11"/>
      <c r="AQ2926" s="11"/>
      <c r="AR2926" s="11"/>
      <c r="AW2926" s="42">
        <v>45916</v>
      </c>
      <c r="AX2926" s="41">
        <v>4728</v>
      </c>
      <c r="AY2926" s="36"/>
      <c r="AZ2926" s="36"/>
      <c r="BA2926" s="11">
        <v>623.91999999999996</v>
      </c>
      <c r="BD2926" s="9"/>
      <c r="CS2926" s="11">
        <f t="shared" si="198"/>
        <v>623.91999999999996</v>
      </c>
      <c r="CT2926" s="22">
        <f t="shared" si="199"/>
        <v>623.91999999999996</v>
      </c>
      <c r="CU2926" s="22">
        <f t="shared" si="200"/>
        <v>0</v>
      </c>
      <c r="CV2926" s="26">
        <f t="shared" si="197"/>
        <v>0</v>
      </c>
      <c r="CY2926" s="9" t="s">
        <v>3493</v>
      </c>
    </row>
    <row r="2927" spans="1:103" x14ac:dyDescent="0.2">
      <c r="A2927" s="9" t="s">
        <v>631</v>
      </c>
      <c r="B2927" s="2">
        <v>114</v>
      </c>
      <c r="C2927" s="3" t="s">
        <v>95</v>
      </c>
      <c r="D2927" s="3" t="s">
        <v>96</v>
      </c>
      <c r="E2927" s="2"/>
      <c r="F2927" s="2"/>
      <c r="G2927" s="2" t="s">
        <v>80</v>
      </c>
      <c r="H2927" s="2">
        <v>4</v>
      </c>
      <c r="I2927" s="8">
        <v>127.4</v>
      </c>
      <c r="J2927" s="8">
        <v>43529</v>
      </c>
      <c r="K2927" s="3">
        <v>0</v>
      </c>
      <c r="L2927" s="3" t="s">
        <v>3</v>
      </c>
      <c r="M2927" s="9" t="s">
        <v>0</v>
      </c>
      <c r="N2927" s="9" t="s">
        <v>59</v>
      </c>
      <c r="O2927" s="9" t="s">
        <v>632</v>
      </c>
      <c r="S2927" s="9" t="s">
        <v>158</v>
      </c>
      <c r="T2927" s="10" t="s">
        <v>80</v>
      </c>
      <c r="U2927" s="10">
        <v>4</v>
      </c>
      <c r="V2927" s="10">
        <v>127.4</v>
      </c>
      <c r="W2927" s="10" t="s">
        <v>710</v>
      </c>
      <c r="X2927" s="17">
        <v>45679</v>
      </c>
      <c r="Y2927" s="17">
        <v>45690</v>
      </c>
      <c r="Z2927" s="19" t="s">
        <v>772</v>
      </c>
      <c r="AA2927" s="210">
        <v>45000</v>
      </c>
      <c r="AB2927" s="9">
        <v>48</v>
      </c>
      <c r="AC2927" s="9">
        <v>4</v>
      </c>
      <c r="AD2927" s="17">
        <v>45873</v>
      </c>
      <c r="AE2927" s="56">
        <v>623.91999999999996</v>
      </c>
      <c r="AF2927" s="56"/>
      <c r="AG2927" s="9" t="s">
        <v>134</v>
      </c>
      <c r="AH2927" s="17">
        <v>45916</v>
      </c>
      <c r="AI2927" s="17"/>
      <c r="AJ2927" s="17"/>
      <c r="AK2927" s="9" t="s">
        <v>922</v>
      </c>
      <c r="AL2927" s="11">
        <v>623.91999999999996</v>
      </c>
      <c r="AN2927" s="11" t="s">
        <v>931</v>
      </c>
      <c r="AP2927" s="11"/>
      <c r="AQ2927" s="11"/>
      <c r="AR2927" s="11"/>
      <c r="AW2927" s="42">
        <v>45916</v>
      </c>
      <c r="AX2927" s="41">
        <v>4728</v>
      </c>
      <c r="AY2927" s="36"/>
      <c r="AZ2927" s="36"/>
      <c r="BA2927" s="11">
        <v>623.91999999999996</v>
      </c>
      <c r="BD2927" s="9"/>
      <c r="CS2927" s="11">
        <f t="shared" si="198"/>
        <v>623.91999999999996</v>
      </c>
      <c r="CT2927" s="22">
        <f t="shared" si="199"/>
        <v>623.91999999999996</v>
      </c>
      <c r="CU2927" s="22">
        <f t="shared" si="200"/>
        <v>0</v>
      </c>
      <c r="CV2927" s="26">
        <f t="shared" si="197"/>
        <v>0</v>
      </c>
      <c r="CY2927" s="9" t="s">
        <v>3493</v>
      </c>
    </row>
    <row r="2928" spans="1:103" x14ac:dyDescent="0.2">
      <c r="A2928" s="9" t="s">
        <v>631</v>
      </c>
      <c r="B2928" s="2">
        <v>114</v>
      </c>
      <c r="C2928" s="3" t="s">
        <v>95</v>
      </c>
      <c r="D2928" s="3" t="s">
        <v>96</v>
      </c>
      <c r="E2928" s="2"/>
      <c r="F2928" s="2"/>
      <c r="G2928" s="2" t="s">
        <v>80</v>
      </c>
      <c r="H2928" s="2">
        <v>4</v>
      </c>
      <c r="I2928" s="8">
        <v>127.4</v>
      </c>
      <c r="J2928" s="8">
        <v>43529</v>
      </c>
      <c r="K2928" s="3">
        <v>0</v>
      </c>
      <c r="L2928" s="3" t="s">
        <v>3</v>
      </c>
      <c r="M2928" s="9" t="s">
        <v>0</v>
      </c>
      <c r="N2928" s="9" t="s">
        <v>59</v>
      </c>
      <c r="O2928" s="9" t="s">
        <v>632</v>
      </c>
      <c r="S2928" s="9" t="s">
        <v>158</v>
      </c>
      <c r="T2928" s="10" t="s">
        <v>80</v>
      </c>
      <c r="U2928" s="10">
        <v>4</v>
      </c>
      <c r="V2928" s="10">
        <v>127.4</v>
      </c>
      <c r="W2928" s="10" t="s">
        <v>710</v>
      </c>
      <c r="X2928" s="17">
        <v>45679</v>
      </c>
      <c r="Y2928" s="17">
        <v>45690</v>
      </c>
      <c r="Z2928" s="19" t="s">
        <v>772</v>
      </c>
      <c r="AA2928" s="210">
        <v>45000</v>
      </c>
      <c r="AB2928" s="9">
        <v>48</v>
      </c>
      <c r="AC2928" s="9">
        <v>5</v>
      </c>
      <c r="AD2928" s="17">
        <v>45904</v>
      </c>
      <c r="AE2928" s="56">
        <v>623.91999999999996</v>
      </c>
      <c r="AF2928" s="56"/>
      <c r="AG2928" s="9" t="s">
        <v>134</v>
      </c>
      <c r="AH2928" s="17">
        <v>45916</v>
      </c>
      <c r="AI2928" s="17"/>
      <c r="AJ2928" s="17"/>
      <c r="AK2928" s="9" t="s">
        <v>923</v>
      </c>
      <c r="AL2928" s="11">
        <v>623.91999999999996</v>
      </c>
      <c r="AN2928" s="11" t="s">
        <v>932</v>
      </c>
      <c r="AP2928" s="11"/>
      <c r="AQ2928" s="11"/>
      <c r="AR2928" s="11"/>
      <c r="AW2928" s="42">
        <v>45916</v>
      </c>
      <c r="AX2928" s="41">
        <v>4728</v>
      </c>
      <c r="AY2928" s="36"/>
      <c r="AZ2928" s="36"/>
      <c r="BA2928" s="11">
        <v>623.91999999999996</v>
      </c>
      <c r="BD2928" s="9"/>
      <c r="CS2928" s="11">
        <f t="shared" si="198"/>
        <v>623.91999999999996</v>
      </c>
      <c r="CT2928" s="22">
        <f t="shared" si="199"/>
        <v>623.91999999999996</v>
      </c>
      <c r="CU2928" s="22">
        <f t="shared" si="200"/>
        <v>0</v>
      </c>
      <c r="CV2928" s="26">
        <f t="shared" si="197"/>
        <v>0</v>
      </c>
      <c r="CY2928" s="9" t="s">
        <v>3493</v>
      </c>
    </row>
    <row r="2929" spans="1:100" x14ac:dyDescent="0.2">
      <c r="A2929" s="9" t="s">
        <v>631</v>
      </c>
      <c r="B2929" s="2">
        <v>114</v>
      </c>
      <c r="C2929" s="3" t="s">
        <v>95</v>
      </c>
      <c r="D2929" s="3" t="s">
        <v>96</v>
      </c>
      <c r="E2929" s="2"/>
      <c r="F2929" s="2"/>
      <c r="G2929" s="2" t="s">
        <v>80</v>
      </c>
      <c r="H2929" s="2">
        <v>4</v>
      </c>
      <c r="I2929" s="8">
        <v>127.4</v>
      </c>
      <c r="J2929" s="8">
        <v>43529</v>
      </c>
      <c r="K2929" s="3">
        <v>0</v>
      </c>
      <c r="L2929" s="3" t="s">
        <v>3</v>
      </c>
      <c r="M2929" s="9" t="s">
        <v>0</v>
      </c>
      <c r="N2929" s="9" t="s">
        <v>59</v>
      </c>
      <c r="O2929" s="9" t="s">
        <v>632</v>
      </c>
      <c r="S2929" s="9" t="s">
        <v>158</v>
      </c>
      <c r="T2929" s="10" t="s">
        <v>80</v>
      </c>
      <c r="U2929" s="10">
        <v>4</v>
      </c>
      <c r="V2929" s="10">
        <v>127.4</v>
      </c>
      <c r="W2929" s="10" t="s">
        <v>710</v>
      </c>
      <c r="X2929" s="17">
        <v>45679</v>
      </c>
      <c r="Y2929" s="17">
        <v>45690</v>
      </c>
      <c r="Z2929" s="19" t="s">
        <v>772</v>
      </c>
      <c r="AA2929" s="210">
        <v>45000</v>
      </c>
      <c r="AB2929" s="9">
        <v>48</v>
      </c>
      <c r="AC2929" s="9">
        <v>6</v>
      </c>
      <c r="AD2929" s="17">
        <v>45934</v>
      </c>
      <c r="AE2929" s="56">
        <v>623.91999999999996</v>
      </c>
      <c r="AF2929" s="56"/>
      <c r="AP2929" s="11"/>
      <c r="AQ2929" s="11"/>
      <c r="AR2929" s="11"/>
      <c r="AW2929" s="9"/>
      <c r="BD2929" s="9"/>
      <c r="CS2929" s="11">
        <f t="shared" si="198"/>
        <v>0</v>
      </c>
      <c r="CT2929" s="22">
        <f t="shared" si="199"/>
        <v>0</v>
      </c>
      <c r="CU2929" s="22">
        <f t="shared" si="200"/>
        <v>0</v>
      </c>
      <c r="CV2929" s="26">
        <f t="shared" si="197"/>
        <v>623.91999999999996</v>
      </c>
    </row>
    <row r="2930" spans="1:100" x14ac:dyDescent="0.2">
      <c r="A2930" s="9" t="s">
        <v>631</v>
      </c>
      <c r="B2930" s="2">
        <v>114</v>
      </c>
      <c r="C2930" s="3" t="s">
        <v>95</v>
      </c>
      <c r="D2930" s="3" t="s">
        <v>96</v>
      </c>
      <c r="E2930" s="2"/>
      <c r="F2930" s="2"/>
      <c r="G2930" s="2" t="s">
        <v>80</v>
      </c>
      <c r="H2930" s="2">
        <v>4</v>
      </c>
      <c r="I2930" s="8">
        <v>127.4</v>
      </c>
      <c r="J2930" s="8">
        <v>43529</v>
      </c>
      <c r="K2930" s="3">
        <v>0</v>
      </c>
      <c r="L2930" s="3" t="s">
        <v>3</v>
      </c>
      <c r="M2930" s="9" t="s">
        <v>0</v>
      </c>
      <c r="N2930" s="9" t="s">
        <v>59</v>
      </c>
      <c r="O2930" s="9" t="s">
        <v>632</v>
      </c>
      <c r="S2930" s="9" t="s">
        <v>158</v>
      </c>
      <c r="T2930" s="10" t="s">
        <v>80</v>
      </c>
      <c r="U2930" s="10">
        <v>4</v>
      </c>
      <c r="V2930" s="10">
        <v>127.4</v>
      </c>
      <c r="W2930" s="10" t="s">
        <v>710</v>
      </c>
      <c r="X2930" s="17">
        <v>45679</v>
      </c>
      <c r="Y2930" s="17">
        <v>45690</v>
      </c>
      <c r="Z2930" s="19" t="s">
        <v>772</v>
      </c>
      <c r="AA2930" s="210">
        <v>45000</v>
      </c>
      <c r="AB2930" s="9">
        <v>48</v>
      </c>
      <c r="AC2930" s="9">
        <v>7</v>
      </c>
      <c r="AD2930" s="17">
        <v>45965</v>
      </c>
      <c r="AE2930" s="56">
        <v>623.91999999999996</v>
      </c>
      <c r="AF2930" s="56"/>
      <c r="AP2930" s="11"/>
      <c r="AQ2930" s="11"/>
      <c r="AR2930" s="11"/>
      <c r="AW2930" s="9"/>
      <c r="BD2930" s="9"/>
      <c r="CS2930" s="11">
        <f t="shared" si="198"/>
        <v>0</v>
      </c>
      <c r="CT2930" s="22">
        <f t="shared" si="199"/>
        <v>0</v>
      </c>
      <c r="CU2930" s="22">
        <f t="shared" si="200"/>
        <v>0</v>
      </c>
      <c r="CV2930" s="26">
        <f t="shared" si="197"/>
        <v>623.91999999999996</v>
      </c>
    </row>
    <row r="2931" spans="1:100" x14ac:dyDescent="0.2">
      <c r="A2931" s="9" t="s">
        <v>631</v>
      </c>
      <c r="B2931" s="2">
        <v>114</v>
      </c>
      <c r="C2931" s="3" t="s">
        <v>95</v>
      </c>
      <c r="D2931" s="3" t="s">
        <v>96</v>
      </c>
      <c r="E2931" s="2"/>
      <c r="F2931" s="2"/>
      <c r="G2931" s="2" t="s">
        <v>80</v>
      </c>
      <c r="H2931" s="2">
        <v>4</v>
      </c>
      <c r="I2931" s="8">
        <v>127.4</v>
      </c>
      <c r="J2931" s="8">
        <v>43529</v>
      </c>
      <c r="K2931" s="3">
        <v>0</v>
      </c>
      <c r="L2931" s="3" t="s">
        <v>3</v>
      </c>
      <c r="M2931" s="9" t="s">
        <v>0</v>
      </c>
      <c r="N2931" s="9" t="s">
        <v>59</v>
      </c>
      <c r="O2931" s="9" t="s">
        <v>632</v>
      </c>
      <c r="S2931" s="9" t="s">
        <v>158</v>
      </c>
      <c r="T2931" s="10" t="s">
        <v>80</v>
      </c>
      <c r="U2931" s="10">
        <v>4</v>
      </c>
      <c r="V2931" s="10">
        <v>127.4</v>
      </c>
      <c r="W2931" s="10" t="s">
        <v>710</v>
      </c>
      <c r="X2931" s="17">
        <v>45679</v>
      </c>
      <c r="Y2931" s="17">
        <v>45690</v>
      </c>
      <c r="Z2931" s="19" t="s">
        <v>772</v>
      </c>
      <c r="AA2931" s="210">
        <v>45000</v>
      </c>
      <c r="AB2931" s="9">
        <v>48</v>
      </c>
      <c r="AC2931" s="9">
        <v>8</v>
      </c>
      <c r="AD2931" s="17">
        <v>45995</v>
      </c>
      <c r="AE2931" s="56">
        <v>623.91999999999996</v>
      </c>
      <c r="AF2931" s="56"/>
      <c r="AL2931" s="9"/>
      <c r="AM2931" s="9"/>
      <c r="AN2931" s="9"/>
      <c r="AP2931" s="11"/>
      <c r="AQ2931" s="11"/>
      <c r="AR2931" s="11"/>
      <c r="AW2931" s="9"/>
      <c r="BD2931" s="9"/>
      <c r="CS2931" s="11">
        <f t="shared" si="198"/>
        <v>0</v>
      </c>
      <c r="CT2931" s="22">
        <f t="shared" si="199"/>
        <v>0</v>
      </c>
      <c r="CU2931" s="22">
        <f t="shared" si="200"/>
        <v>0</v>
      </c>
      <c r="CV2931" s="26">
        <f t="shared" si="197"/>
        <v>623.91999999999996</v>
      </c>
    </row>
    <row r="2932" spans="1:100" x14ac:dyDescent="0.2">
      <c r="A2932" s="9" t="s">
        <v>631</v>
      </c>
      <c r="B2932" s="2">
        <v>114</v>
      </c>
      <c r="C2932" s="3" t="s">
        <v>95</v>
      </c>
      <c r="D2932" s="3" t="s">
        <v>96</v>
      </c>
      <c r="E2932" s="2"/>
      <c r="F2932" s="2"/>
      <c r="G2932" s="2" t="s">
        <v>80</v>
      </c>
      <c r="H2932" s="2">
        <v>4</v>
      </c>
      <c r="I2932" s="8">
        <v>127.4</v>
      </c>
      <c r="J2932" s="8">
        <v>43529</v>
      </c>
      <c r="K2932" s="3">
        <v>0</v>
      </c>
      <c r="L2932" s="3" t="s">
        <v>3</v>
      </c>
      <c r="M2932" s="9" t="s">
        <v>0</v>
      </c>
      <c r="N2932" s="9" t="s">
        <v>59</v>
      </c>
      <c r="O2932" s="9" t="s">
        <v>632</v>
      </c>
      <c r="S2932" s="9" t="s">
        <v>158</v>
      </c>
      <c r="T2932" s="10" t="s">
        <v>80</v>
      </c>
      <c r="U2932" s="10">
        <v>4</v>
      </c>
      <c r="V2932" s="10">
        <v>127.4</v>
      </c>
      <c r="W2932" s="10" t="s">
        <v>710</v>
      </c>
      <c r="X2932" s="17">
        <v>45679</v>
      </c>
      <c r="Y2932" s="17">
        <v>45690</v>
      </c>
      <c r="Z2932" s="19" t="s">
        <v>772</v>
      </c>
      <c r="AA2932" s="210">
        <v>45000</v>
      </c>
      <c r="AB2932" s="9">
        <v>48</v>
      </c>
      <c r="AC2932" s="9">
        <v>9</v>
      </c>
      <c r="AD2932" s="17">
        <v>46026</v>
      </c>
      <c r="AE2932" s="56">
        <v>623.91999999999996</v>
      </c>
      <c r="AF2932" s="56"/>
      <c r="AH2932" s="17"/>
      <c r="AI2932" s="17"/>
      <c r="AJ2932" s="17"/>
      <c r="AL2932" s="22"/>
      <c r="AM2932" s="22"/>
      <c r="AN2932" s="22"/>
      <c r="AP2932" s="11"/>
      <c r="AQ2932" s="11"/>
      <c r="AR2932" s="11"/>
      <c r="AW2932" s="9"/>
      <c r="BD2932" s="9"/>
      <c r="CS2932" s="11">
        <f t="shared" si="198"/>
        <v>0</v>
      </c>
      <c r="CT2932" s="22">
        <f t="shared" si="199"/>
        <v>0</v>
      </c>
      <c r="CU2932" s="22">
        <f t="shared" si="200"/>
        <v>0</v>
      </c>
      <c r="CV2932" s="26">
        <f t="shared" si="197"/>
        <v>623.91999999999996</v>
      </c>
    </row>
    <row r="2933" spans="1:100" x14ac:dyDescent="0.2">
      <c r="A2933" s="9" t="s">
        <v>631</v>
      </c>
      <c r="B2933" s="2">
        <v>114</v>
      </c>
      <c r="C2933" s="3" t="s">
        <v>95</v>
      </c>
      <c r="D2933" s="3" t="s">
        <v>96</v>
      </c>
      <c r="E2933" s="2"/>
      <c r="F2933" s="2"/>
      <c r="G2933" s="2" t="s">
        <v>80</v>
      </c>
      <c r="H2933" s="2">
        <v>4</v>
      </c>
      <c r="I2933" s="8">
        <v>127.4</v>
      </c>
      <c r="J2933" s="8">
        <v>43529</v>
      </c>
      <c r="K2933" s="3">
        <v>0</v>
      </c>
      <c r="L2933" s="3" t="s">
        <v>3</v>
      </c>
      <c r="M2933" s="9" t="s">
        <v>0</v>
      </c>
      <c r="N2933" s="9" t="s">
        <v>59</v>
      </c>
      <c r="O2933" s="9" t="s">
        <v>632</v>
      </c>
      <c r="S2933" s="9" t="s">
        <v>158</v>
      </c>
      <c r="T2933" s="10" t="s">
        <v>80</v>
      </c>
      <c r="U2933" s="10">
        <v>4</v>
      </c>
      <c r="V2933" s="10">
        <v>127.4</v>
      </c>
      <c r="W2933" s="10" t="s">
        <v>710</v>
      </c>
      <c r="X2933" s="17">
        <v>45679</v>
      </c>
      <c r="Y2933" s="17">
        <v>45690</v>
      </c>
      <c r="Z2933" s="19" t="s">
        <v>772</v>
      </c>
      <c r="AA2933" s="210">
        <v>45000</v>
      </c>
      <c r="AB2933" s="9">
        <v>48</v>
      </c>
      <c r="AC2933" s="9">
        <v>10</v>
      </c>
      <c r="AD2933" s="17">
        <v>46057</v>
      </c>
      <c r="AE2933" s="56">
        <v>623.91999999999996</v>
      </c>
      <c r="AF2933" s="56"/>
      <c r="AH2933" s="17"/>
      <c r="AI2933" s="17"/>
      <c r="AJ2933" s="17"/>
      <c r="AL2933" s="22"/>
      <c r="AM2933" s="22"/>
      <c r="AN2933" s="22"/>
      <c r="AP2933" s="11"/>
      <c r="AQ2933" s="11"/>
      <c r="AR2933" s="11"/>
      <c r="AW2933" s="17"/>
      <c r="AX2933" s="86"/>
      <c r="BD2933" s="9"/>
      <c r="CS2933" s="11">
        <f t="shared" si="198"/>
        <v>0</v>
      </c>
      <c r="CT2933" s="22">
        <f t="shared" si="199"/>
        <v>0</v>
      </c>
      <c r="CU2933" s="22">
        <f t="shared" si="200"/>
        <v>0</v>
      </c>
      <c r="CV2933" s="26">
        <f t="shared" si="197"/>
        <v>623.91999999999996</v>
      </c>
    </row>
    <row r="2934" spans="1:100" x14ac:dyDescent="0.2">
      <c r="A2934" s="9" t="s">
        <v>631</v>
      </c>
      <c r="B2934" s="2">
        <v>114</v>
      </c>
      <c r="C2934" s="3" t="s">
        <v>95</v>
      </c>
      <c r="D2934" s="3" t="s">
        <v>96</v>
      </c>
      <c r="E2934" s="2"/>
      <c r="F2934" s="2"/>
      <c r="G2934" s="2" t="s">
        <v>80</v>
      </c>
      <c r="H2934" s="2">
        <v>4</v>
      </c>
      <c r="I2934" s="8">
        <v>127.4</v>
      </c>
      <c r="J2934" s="8">
        <v>43529</v>
      </c>
      <c r="K2934" s="3">
        <v>0</v>
      </c>
      <c r="L2934" s="3" t="s">
        <v>3</v>
      </c>
      <c r="M2934" s="9" t="s">
        <v>0</v>
      </c>
      <c r="N2934" s="9" t="s">
        <v>59</v>
      </c>
      <c r="O2934" s="9" t="s">
        <v>632</v>
      </c>
      <c r="S2934" s="9" t="s">
        <v>158</v>
      </c>
      <c r="T2934" s="10" t="s">
        <v>80</v>
      </c>
      <c r="U2934" s="10">
        <v>4</v>
      </c>
      <c r="V2934" s="10">
        <v>127.4</v>
      </c>
      <c r="W2934" s="10" t="s">
        <v>710</v>
      </c>
      <c r="X2934" s="17">
        <v>45679</v>
      </c>
      <c r="Y2934" s="17">
        <v>45690</v>
      </c>
      <c r="Z2934" s="19" t="s">
        <v>772</v>
      </c>
      <c r="AA2934" s="210">
        <v>45000</v>
      </c>
      <c r="AB2934" s="9">
        <v>48</v>
      </c>
      <c r="AC2934" s="9">
        <v>11</v>
      </c>
      <c r="AD2934" s="17">
        <v>46085</v>
      </c>
      <c r="AE2934" s="56">
        <v>623.91999999999996</v>
      </c>
      <c r="AF2934" s="56"/>
      <c r="AH2934" s="17"/>
      <c r="AI2934" s="17"/>
      <c r="AJ2934" s="17"/>
      <c r="AL2934" s="22"/>
      <c r="AM2934" s="22"/>
      <c r="AN2934" s="22"/>
      <c r="AP2934" s="11"/>
      <c r="AQ2934" s="11"/>
      <c r="AR2934" s="11"/>
      <c r="AW2934" s="9"/>
      <c r="BD2934" s="9"/>
      <c r="CS2934" s="11">
        <f t="shared" si="198"/>
        <v>0</v>
      </c>
      <c r="CT2934" s="22">
        <f t="shared" si="199"/>
        <v>0</v>
      </c>
      <c r="CU2934" s="22">
        <f t="shared" si="200"/>
        <v>0</v>
      </c>
      <c r="CV2934" s="26">
        <f t="shared" si="197"/>
        <v>623.91999999999996</v>
      </c>
    </row>
    <row r="2935" spans="1:100" x14ac:dyDescent="0.2">
      <c r="A2935" s="9" t="s">
        <v>631</v>
      </c>
      <c r="B2935" s="2">
        <v>114</v>
      </c>
      <c r="C2935" s="3" t="s">
        <v>95</v>
      </c>
      <c r="D2935" s="3" t="s">
        <v>96</v>
      </c>
      <c r="E2935" s="2"/>
      <c r="F2935" s="2"/>
      <c r="G2935" s="2" t="s">
        <v>80</v>
      </c>
      <c r="H2935" s="2">
        <v>4</v>
      </c>
      <c r="I2935" s="8">
        <v>127.4</v>
      </c>
      <c r="J2935" s="8">
        <v>43529</v>
      </c>
      <c r="K2935" s="3">
        <v>0</v>
      </c>
      <c r="L2935" s="3" t="s">
        <v>3</v>
      </c>
      <c r="M2935" s="9" t="s">
        <v>0</v>
      </c>
      <c r="N2935" s="9" t="s">
        <v>59</v>
      </c>
      <c r="O2935" s="9" t="s">
        <v>632</v>
      </c>
      <c r="S2935" s="9" t="s">
        <v>158</v>
      </c>
      <c r="T2935" s="10" t="s">
        <v>80</v>
      </c>
      <c r="U2935" s="10">
        <v>4</v>
      </c>
      <c r="V2935" s="10">
        <v>127.4</v>
      </c>
      <c r="W2935" s="10" t="s">
        <v>710</v>
      </c>
      <c r="X2935" s="17">
        <v>45679</v>
      </c>
      <c r="Y2935" s="17">
        <v>45690</v>
      </c>
      <c r="Z2935" s="19" t="s">
        <v>772</v>
      </c>
      <c r="AA2935" s="210">
        <v>45000</v>
      </c>
      <c r="AB2935" s="9">
        <v>48</v>
      </c>
      <c r="AC2935" s="9">
        <v>12</v>
      </c>
      <c r="AD2935" s="17">
        <v>46116</v>
      </c>
      <c r="AE2935" s="56">
        <v>623.91999999999996</v>
      </c>
      <c r="AF2935" s="56"/>
      <c r="AL2935" s="9"/>
      <c r="AM2935" s="9"/>
      <c r="AN2935" s="9"/>
      <c r="AP2935" s="11"/>
      <c r="AQ2935" s="11"/>
      <c r="AR2935" s="11"/>
      <c r="AW2935" s="9"/>
      <c r="BD2935" s="9"/>
      <c r="CS2935" s="11">
        <f t="shared" si="198"/>
        <v>0</v>
      </c>
      <c r="CT2935" s="22">
        <f t="shared" si="199"/>
        <v>0</v>
      </c>
      <c r="CU2935" s="22">
        <f t="shared" si="200"/>
        <v>0</v>
      </c>
      <c r="CV2935" s="26">
        <f t="shared" si="197"/>
        <v>623.91999999999996</v>
      </c>
    </row>
    <row r="2936" spans="1:100" x14ac:dyDescent="0.2">
      <c r="A2936" s="9" t="s">
        <v>631</v>
      </c>
      <c r="B2936" s="2">
        <v>114</v>
      </c>
      <c r="C2936" s="3" t="s">
        <v>95</v>
      </c>
      <c r="D2936" s="3" t="s">
        <v>96</v>
      </c>
      <c r="E2936" s="2"/>
      <c r="F2936" s="2"/>
      <c r="G2936" s="2" t="s">
        <v>80</v>
      </c>
      <c r="H2936" s="2">
        <v>4</v>
      </c>
      <c r="I2936" s="8">
        <v>127.4</v>
      </c>
      <c r="J2936" s="8">
        <v>43529</v>
      </c>
      <c r="K2936" s="3">
        <v>0</v>
      </c>
      <c r="L2936" s="3" t="s">
        <v>3</v>
      </c>
      <c r="M2936" s="9" t="s">
        <v>0</v>
      </c>
      <c r="N2936" s="9" t="s">
        <v>59</v>
      </c>
      <c r="O2936" s="9" t="s">
        <v>632</v>
      </c>
      <c r="S2936" s="9" t="s">
        <v>158</v>
      </c>
      <c r="T2936" s="10" t="s">
        <v>80</v>
      </c>
      <c r="U2936" s="10">
        <v>4</v>
      </c>
      <c r="V2936" s="10">
        <v>127.4</v>
      </c>
      <c r="W2936" s="10" t="s">
        <v>710</v>
      </c>
      <c r="X2936" s="17">
        <v>45679</v>
      </c>
      <c r="Y2936" s="17">
        <v>45690</v>
      </c>
      <c r="Z2936" s="19" t="s">
        <v>772</v>
      </c>
      <c r="AA2936" s="210">
        <v>45000</v>
      </c>
      <c r="AB2936" s="9">
        <v>48</v>
      </c>
      <c r="AC2936" s="9">
        <v>13</v>
      </c>
      <c r="AD2936" s="17">
        <v>46146</v>
      </c>
      <c r="AE2936" s="56">
        <v>623.91999999999996</v>
      </c>
      <c r="AF2936" s="56"/>
      <c r="AH2936" s="17"/>
      <c r="AI2936" s="17"/>
      <c r="AJ2936" s="17"/>
      <c r="AL2936" s="22"/>
      <c r="AM2936" s="22"/>
      <c r="AN2936" s="22"/>
      <c r="AP2936" s="11"/>
      <c r="AQ2936" s="11"/>
      <c r="AR2936" s="11"/>
      <c r="AW2936" s="9"/>
      <c r="BD2936" s="9"/>
      <c r="CS2936" s="11">
        <f t="shared" si="198"/>
        <v>0</v>
      </c>
      <c r="CT2936" s="22">
        <f t="shared" si="199"/>
        <v>0</v>
      </c>
      <c r="CU2936" s="22">
        <f t="shared" si="200"/>
        <v>0</v>
      </c>
      <c r="CV2936" s="26">
        <f t="shared" si="197"/>
        <v>623.91999999999996</v>
      </c>
    </row>
    <row r="2937" spans="1:100" x14ac:dyDescent="0.2">
      <c r="A2937" s="9" t="s">
        <v>631</v>
      </c>
      <c r="B2937" s="2">
        <v>114</v>
      </c>
      <c r="C2937" s="3" t="s">
        <v>95</v>
      </c>
      <c r="D2937" s="3" t="s">
        <v>96</v>
      </c>
      <c r="E2937" s="2"/>
      <c r="F2937" s="2"/>
      <c r="G2937" s="2" t="s">
        <v>80</v>
      </c>
      <c r="H2937" s="2">
        <v>4</v>
      </c>
      <c r="I2937" s="8">
        <v>127.4</v>
      </c>
      <c r="J2937" s="8">
        <v>43529</v>
      </c>
      <c r="K2937" s="3">
        <v>0</v>
      </c>
      <c r="L2937" s="3" t="s">
        <v>3</v>
      </c>
      <c r="M2937" s="9" t="s">
        <v>0</v>
      </c>
      <c r="N2937" s="9">
        <v>77684541</v>
      </c>
      <c r="O2937" s="9" t="s">
        <v>632</v>
      </c>
      <c r="S2937" s="9" t="s">
        <v>158</v>
      </c>
      <c r="T2937" s="10" t="s">
        <v>80</v>
      </c>
      <c r="U2937" s="10">
        <v>4</v>
      </c>
      <c r="V2937" s="10">
        <v>127.4</v>
      </c>
      <c r="W2937" s="10" t="s">
        <v>710</v>
      </c>
      <c r="X2937" s="17">
        <v>45679</v>
      </c>
      <c r="Y2937" s="17">
        <v>45690</v>
      </c>
      <c r="Z2937" s="19" t="s">
        <v>772</v>
      </c>
      <c r="AA2937" s="210">
        <v>45000</v>
      </c>
      <c r="AB2937" s="9">
        <v>48</v>
      </c>
      <c r="AC2937" s="9">
        <v>14</v>
      </c>
      <c r="AD2937" s="17">
        <v>46177</v>
      </c>
      <c r="AE2937" s="56">
        <v>623.91999999999996</v>
      </c>
      <c r="AF2937" s="56"/>
      <c r="AH2937" s="17"/>
      <c r="AI2937" s="17"/>
      <c r="AJ2937" s="17"/>
      <c r="AL2937" s="22"/>
      <c r="AM2937" s="22"/>
      <c r="AN2937" s="22"/>
      <c r="AP2937" s="11"/>
      <c r="AQ2937" s="11"/>
      <c r="AR2937" s="11"/>
      <c r="AW2937" s="9"/>
      <c r="BD2937" s="9"/>
      <c r="CS2937" s="11">
        <f t="shared" si="198"/>
        <v>0</v>
      </c>
      <c r="CT2937" s="22">
        <f t="shared" si="199"/>
        <v>0</v>
      </c>
      <c r="CU2937" s="22">
        <f t="shared" si="200"/>
        <v>0</v>
      </c>
      <c r="CV2937" s="26">
        <f t="shared" ref="CV2937:CV3000" si="201">+AE2937-AL2937-AT2937</f>
        <v>623.91999999999996</v>
      </c>
    </row>
    <row r="2938" spans="1:100" x14ac:dyDescent="0.2">
      <c r="A2938" s="9" t="s">
        <v>631</v>
      </c>
      <c r="B2938" s="2">
        <v>114</v>
      </c>
      <c r="C2938" s="3" t="s">
        <v>95</v>
      </c>
      <c r="D2938" s="3" t="s">
        <v>96</v>
      </c>
      <c r="E2938" s="2"/>
      <c r="F2938" s="2"/>
      <c r="G2938" s="2" t="s">
        <v>80</v>
      </c>
      <c r="H2938" s="2">
        <v>4</v>
      </c>
      <c r="I2938" s="8">
        <v>127.4</v>
      </c>
      <c r="J2938" s="8">
        <v>43529</v>
      </c>
      <c r="K2938" s="3">
        <v>0</v>
      </c>
      <c r="L2938" s="3" t="s">
        <v>3</v>
      </c>
      <c r="M2938" s="9" t="s">
        <v>0</v>
      </c>
      <c r="N2938" s="9" t="s">
        <v>59</v>
      </c>
      <c r="O2938" s="9" t="s">
        <v>632</v>
      </c>
      <c r="S2938" s="9" t="s">
        <v>158</v>
      </c>
      <c r="T2938" s="10" t="s">
        <v>80</v>
      </c>
      <c r="U2938" s="10">
        <v>4</v>
      </c>
      <c r="V2938" s="10">
        <v>127.4</v>
      </c>
      <c r="W2938" s="10" t="s">
        <v>710</v>
      </c>
      <c r="X2938" s="17">
        <v>45679</v>
      </c>
      <c r="Y2938" s="17">
        <v>45690</v>
      </c>
      <c r="Z2938" s="19" t="s">
        <v>772</v>
      </c>
      <c r="AA2938" s="210">
        <v>45000</v>
      </c>
      <c r="AB2938" s="9">
        <v>48</v>
      </c>
      <c r="AC2938" s="9">
        <v>15</v>
      </c>
      <c r="AD2938" s="17">
        <v>46207</v>
      </c>
      <c r="AE2938" s="56">
        <v>623.91999999999996</v>
      </c>
      <c r="AF2938" s="56"/>
      <c r="AH2938" s="17"/>
      <c r="AI2938" s="17"/>
      <c r="AJ2938" s="17"/>
      <c r="AL2938" s="22"/>
      <c r="AM2938" s="22"/>
      <c r="AN2938" s="22"/>
      <c r="AP2938" s="11"/>
      <c r="AQ2938" s="11"/>
      <c r="AR2938" s="11"/>
      <c r="AW2938" s="9"/>
      <c r="BD2938" s="9"/>
      <c r="CS2938" s="11">
        <f t="shared" si="198"/>
        <v>0</v>
      </c>
      <c r="CT2938" s="22">
        <f t="shared" si="199"/>
        <v>0</v>
      </c>
      <c r="CU2938" s="22">
        <f t="shared" si="200"/>
        <v>0</v>
      </c>
      <c r="CV2938" s="26">
        <f t="shared" si="201"/>
        <v>623.91999999999996</v>
      </c>
    </row>
    <row r="2939" spans="1:100" x14ac:dyDescent="0.2">
      <c r="A2939" s="9" t="s">
        <v>631</v>
      </c>
      <c r="B2939" s="2">
        <v>114</v>
      </c>
      <c r="C2939" s="3" t="s">
        <v>95</v>
      </c>
      <c r="D2939" s="3" t="s">
        <v>96</v>
      </c>
      <c r="E2939" s="2"/>
      <c r="F2939" s="2"/>
      <c r="G2939" s="2" t="s">
        <v>80</v>
      </c>
      <c r="H2939" s="2">
        <v>4</v>
      </c>
      <c r="I2939" s="8">
        <v>127.4</v>
      </c>
      <c r="J2939" s="8">
        <v>43529</v>
      </c>
      <c r="K2939" s="3">
        <v>0</v>
      </c>
      <c r="L2939" s="3" t="s">
        <v>3</v>
      </c>
      <c r="M2939" s="9" t="s">
        <v>0</v>
      </c>
      <c r="N2939" s="9" t="s">
        <v>59</v>
      </c>
      <c r="O2939" s="9" t="s">
        <v>632</v>
      </c>
      <c r="S2939" s="9" t="s">
        <v>158</v>
      </c>
      <c r="T2939" s="10" t="s">
        <v>80</v>
      </c>
      <c r="U2939" s="10">
        <v>4</v>
      </c>
      <c r="V2939" s="10">
        <v>127.4</v>
      </c>
      <c r="W2939" s="10" t="s">
        <v>710</v>
      </c>
      <c r="X2939" s="17">
        <v>45679</v>
      </c>
      <c r="Y2939" s="17">
        <v>45690</v>
      </c>
      <c r="Z2939" s="19" t="s">
        <v>772</v>
      </c>
      <c r="AA2939" s="210">
        <v>45000</v>
      </c>
      <c r="AB2939" s="9">
        <v>48</v>
      </c>
      <c r="AC2939" s="9">
        <v>16</v>
      </c>
      <c r="AD2939" s="17">
        <v>46238</v>
      </c>
      <c r="AE2939" s="56">
        <v>623.91999999999996</v>
      </c>
      <c r="AF2939" s="56"/>
      <c r="AH2939" s="17"/>
      <c r="AI2939" s="17"/>
      <c r="AJ2939" s="17"/>
      <c r="AL2939" s="22"/>
      <c r="AM2939" s="22"/>
      <c r="AN2939" s="22"/>
      <c r="AP2939" s="11"/>
      <c r="AQ2939" s="11"/>
      <c r="AR2939" s="11"/>
      <c r="AW2939" s="9"/>
      <c r="BD2939" s="9"/>
      <c r="CS2939" s="11">
        <f t="shared" si="198"/>
        <v>0</v>
      </c>
      <c r="CT2939" s="22">
        <f t="shared" si="199"/>
        <v>0</v>
      </c>
      <c r="CU2939" s="22">
        <f t="shared" si="200"/>
        <v>0</v>
      </c>
      <c r="CV2939" s="26">
        <f t="shared" si="201"/>
        <v>623.91999999999996</v>
      </c>
    </row>
    <row r="2940" spans="1:100" x14ac:dyDescent="0.2">
      <c r="A2940" s="9" t="s">
        <v>631</v>
      </c>
      <c r="B2940" s="2">
        <v>114</v>
      </c>
      <c r="C2940" s="3" t="s">
        <v>95</v>
      </c>
      <c r="D2940" s="3" t="s">
        <v>96</v>
      </c>
      <c r="E2940" s="2"/>
      <c r="F2940" s="2"/>
      <c r="G2940" s="2" t="s">
        <v>80</v>
      </c>
      <c r="H2940" s="2">
        <v>4</v>
      </c>
      <c r="I2940" s="8">
        <v>127.4</v>
      </c>
      <c r="J2940" s="8">
        <v>43529</v>
      </c>
      <c r="K2940" s="3">
        <v>0</v>
      </c>
      <c r="L2940" s="3" t="s">
        <v>3</v>
      </c>
      <c r="M2940" s="9" t="s">
        <v>0</v>
      </c>
      <c r="N2940" s="9" t="s">
        <v>59</v>
      </c>
      <c r="O2940" s="9" t="s">
        <v>632</v>
      </c>
      <c r="S2940" s="9" t="s">
        <v>158</v>
      </c>
      <c r="T2940" s="10" t="s">
        <v>80</v>
      </c>
      <c r="U2940" s="10">
        <v>4</v>
      </c>
      <c r="V2940" s="10">
        <v>127.4</v>
      </c>
      <c r="W2940" s="10" t="s">
        <v>710</v>
      </c>
      <c r="X2940" s="17">
        <v>45679</v>
      </c>
      <c r="Y2940" s="17">
        <v>45690</v>
      </c>
      <c r="Z2940" s="19" t="s">
        <v>772</v>
      </c>
      <c r="AA2940" s="210">
        <v>45000</v>
      </c>
      <c r="AB2940" s="9">
        <v>48</v>
      </c>
      <c r="AC2940" s="9">
        <v>17</v>
      </c>
      <c r="AD2940" s="17">
        <v>46269</v>
      </c>
      <c r="AE2940" s="56">
        <v>623.91999999999996</v>
      </c>
      <c r="AF2940" s="56"/>
      <c r="AH2940" s="17"/>
      <c r="AI2940" s="17"/>
      <c r="AJ2940" s="17"/>
      <c r="AL2940" s="22"/>
      <c r="AM2940" s="22"/>
      <c r="AN2940" s="22"/>
      <c r="AP2940" s="11"/>
      <c r="AQ2940" s="11"/>
      <c r="AR2940" s="11"/>
      <c r="AW2940" s="9"/>
      <c r="BD2940" s="9"/>
      <c r="CS2940" s="11">
        <f t="shared" si="198"/>
        <v>0</v>
      </c>
      <c r="CT2940" s="22">
        <f t="shared" si="199"/>
        <v>0</v>
      </c>
      <c r="CU2940" s="22">
        <f t="shared" si="200"/>
        <v>0</v>
      </c>
      <c r="CV2940" s="26">
        <f t="shared" si="201"/>
        <v>623.91999999999996</v>
      </c>
    </row>
    <row r="2941" spans="1:100" x14ac:dyDescent="0.2">
      <c r="A2941" s="9" t="s">
        <v>631</v>
      </c>
      <c r="B2941" s="2">
        <v>114</v>
      </c>
      <c r="C2941" s="3" t="s">
        <v>95</v>
      </c>
      <c r="D2941" s="3" t="s">
        <v>96</v>
      </c>
      <c r="E2941" s="2"/>
      <c r="F2941" s="2"/>
      <c r="G2941" s="2" t="s">
        <v>80</v>
      </c>
      <c r="H2941" s="2">
        <v>4</v>
      </c>
      <c r="I2941" s="8">
        <v>127.4</v>
      </c>
      <c r="J2941" s="8">
        <v>43529</v>
      </c>
      <c r="K2941" s="3">
        <v>0</v>
      </c>
      <c r="L2941" s="3" t="s">
        <v>3</v>
      </c>
      <c r="M2941" s="9" t="s">
        <v>0</v>
      </c>
      <c r="N2941" s="9" t="s">
        <v>59</v>
      </c>
      <c r="O2941" s="9" t="s">
        <v>632</v>
      </c>
      <c r="S2941" s="9" t="s">
        <v>158</v>
      </c>
      <c r="T2941" s="10" t="s">
        <v>80</v>
      </c>
      <c r="U2941" s="10">
        <v>4</v>
      </c>
      <c r="V2941" s="10">
        <v>127.4</v>
      </c>
      <c r="W2941" s="10" t="s">
        <v>710</v>
      </c>
      <c r="X2941" s="17">
        <v>45679</v>
      </c>
      <c r="Y2941" s="17">
        <v>45690</v>
      </c>
      <c r="Z2941" s="19" t="s">
        <v>772</v>
      </c>
      <c r="AA2941" s="210">
        <v>45000</v>
      </c>
      <c r="AB2941" s="9">
        <v>48</v>
      </c>
      <c r="AC2941" s="9">
        <v>18</v>
      </c>
      <c r="AD2941" s="17">
        <v>46299</v>
      </c>
      <c r="AE2941" s="56">
        <v>623.91999999999996</v>
      </c>
      <c r="AF2941" s="56"/>
      <c r="AH2941" s="17"/>
      <c r="AI2941" s="17"/>
      <c r="AJ2941" s="17"/>
      <c r="AL2941" s="22"/>
      <c r="AM2941" s="22"/>
      <c r="AN2941" s="22"/>
      <c r="AP2941" s="11"/>
      <c r="AQ2941" s="11"/>
      <c r="AR2941" s="11"/>
      <c r="AW2941" s="9"/>
      <c r="BD2941" s="9"/>
      <c r="CS2941" s="11">
        <f t="shared" ref="CS2941:CS2970" si="202">+AL2941+AT2941</f>
        <v>0</v>
      </c>
      <c r="CT2941" s="22">
        <f t="shared" ref="CT2941:CT2970" si="203">+BA2941+BG2941+BM2941+BS2941+BY2941+CE2941+CK2941+CQ2941</f>
        <v>0</v>
      </c>
      <c r="CU2941" s="22">
        <f t="shared" ref="CU2941:CU2970" si="204">+CS2941-CT2941</f>
        <v>0</v>
      </c>
      <c r="CV2941" s="26">
        <f t="shared" si="201"/>
        <v>623.91999999999996</v>
      </c>
    </row>
    <row r="2942" spans="1:100" x14ac:dyDescent="0.2">
      <c r="A2942" s="9" t="s">
        <v>631</v>
      </c>
      <c r="B2942" s="2">
        <v>114</v>
      </c>
      <c r="C2942" s="3" t="s">
        <v>95</v>
      </c>
      <c r="D2942" s="3" t="s">
        <v>96</v>
      </c>
      <c r="E2942" s="2"/>
      <c r="F2942" s="2"/>
      <c r="G2942" s="2" t="s">
        <v>80</v>
      </c>
      <c r="H2942" s="2">
        <v>4</v>
      </c>
      <c r="I2942" s="8">
        <v>127.4</v>
      </c>
      <c r="J2942" s="8">
        <v>43529</v>
      </c>
      <c r="K2942" s="3">
        <v>0</v>
      </c>
      <c r="L2942" s="3" t="s">
        <v>3</v>
      </c>
      <c r="M2942" s="9" t="s">
        <v>0</v>
      </c>
      <c r="N2942" s="9" t="s">
        <v>59</v>
      </c>
      <c r="O2942" s="9" t="s">
        <v>632</v>
      </c>
      <c r="S2942" s="9" t="s">
        <v>158</v>
      </c>
      <c r="T2942" s="10" t="s">
        <v>80</v>
      </c>
      <c r="U2942" s="10">
        <v>4</v>
      </c>
      <c r="V2942" s="10">
        <v>127.4</v>
      </c>
      <c r="W2942" s="10" t="s">
        <v>710</v>
      </c>
      <c r="X2942" s="17">
        <v>45679</v>
      </c>
      <c r="Y2942" s="17">
        <v>45690</v>
      </c>
      <c r="Z2942" s="19" t="s">
        <v>772</v>
      </c>
      <c r="AA2942" s="210">
        <v>45000</v>
      </c>
      <c r="AB2942" s="9">
        <v>48</v>
      </c>
      <c r="AC2942" s="9">
        <v>19</v>
      </c>
      <c r="AD2942" s="17">
        <v>46330</v>
      </c>
      <c r="AE2942" s="56">
        <v>623.91999999999996</v>
      </c>
      <c r="AF2942" s="56"/>
      <c r="AL2942" s="22"/>
      <c r="AM2942" s="22"/>
      <c r="AN2942" s="22"/>
      <c r="AP2942" s="11"/>
      <c r="AQ2942" s="11"/>
      <c r="AR2942" s="11"/>
      <c r="AW2942" s="9"/>
      <c r="BD2942" s="9"/>
      <c r="CS2942" s="11">
        <f t="shared" si="202"/>
        <v>0</v>
      </c>
      <c r="CT2942" s="22">
        <f t="shared" si="203"/>
        <v>0</v>
      </c>
      <c r="CU2942" s="22">
        <f t="shared" si="204"/>
        <v>0</v>
      </c>
      <c r="CV2942" s="26">
        <f t="shared" si="201"/>
        <v>623.91999999999996</v>
      </c>
    </row>
    <row r="2943" spans="1:100" x14ac:dyDescent="0.2">
      <c r="A2943" s="9" t="s">
        <v>631</v>
      </c>
      <c r="B2943" s="2">
        <v>114</v>
      </c>
      <c r="C2943" s="3" t="s">
        <v>95</v>
      </c>
      <c r="D2943" s="3" t="s">
        <v>96</v>
      </c>
      <c r="E2943" s="2"/>
      <c r="F2943" s="2"/>
      <c r="G2943" s="2" t="s">
        <v>80</v>
      </c>
      <c r="H2943" s="2">
        <v>4</v>
      </c>
      <c r="I2943" s="8">
        <v>127.4</v>
      </c>
      <c r="J2943" s="8">
        <v>43529</v>
      </c>
      <c r="K2943" s="3">
        <v>0</v>
      </c>
      <c r="L2943" s="3" t="s">
        <v>3</v>
      </c>
      <c r="M2943" s="9" t="s">
        <v>0</v>
      </c>
      <c r="N2943" s="9" t="s">
        <v>59</v>
      </c>
      <c r="O2943" s="9" t="s">
        <v>632</v>
      </c>
      <c r="S2943" s="9" t="s">
        <v>158</v>
      </c>
      <c r="T2943" s="10" t="s">
        <v>80</v>
      </c>
      <c r="U2943" s="10">
        <v>4</v>
      </c>
      <c r="V2943" s="10">
        <v>127.4</v>
      </c>
      <c r="W2943" s="10" t="s">
        <v>710</v>
      </c>
      <c r="X2943" s="17">
        <v>45679</v>
      </c>
      <c r="Y2943" s="17">
        <v>45690</v>
      </c>
      <c r="Z2943" s="19" t="s">
        <v>772</v>
      </c>
      <c r="AA2943" s="210">
        <v>45000</v>
      </c>
      <c r="AB2943" s="9">
        <v>48</v>
      </c>
      <c r="AC2943" s="9">
        <v>20</v>
      </c>
      <c r="AD2943" s="17">
        <v>46360</v>
      </c>
      <c r="AE2943" s="56">
        <v>623.91999999999996</v>
      </c>
      <c r="AF2943" s="56"/>
      <c r="AL2943" s="22"/>
      <c r="AM2943" s="22"/>
      <c r="AN2943" s="22"/>
      <c r="AP2943" s="11"/>
      <c r="AQ2943" s="11"/>
      <c r="AR2943" s="11"/>
      <c r="AW2943" s="9"/>
      <c r="BD2943" s="9"/>
      <c r="CS2943" s="11">
        <f t="shared" si="202"/>
        <v>0</v>
      </c>
      <c r="CT2943" s="22">
        <f t="shared" si="203"/>
        <v>0</v>
      </c>
      <c r="CU2943" s="22">
        <f t="shared" si="204"/>
        <v>0</v>
      </c>
      <c r="CV2943" s="26">
        <f t="shared" si="201"/>
        <v>623.91999999999996</v>
      </c>
    </row>
    <row r="2944" spans="1:100" x14ac:dyDescent="0.2">
      <c r="A2944" s="9" t="s">
        <v>631</v>
      </c>
      <c r="B2944" s="2">
        <v>114</v>
      </c>
      <c r="C2944" s="3" t="s">
        <v>95</v>
      </c>
      <c r="D2944" s="3" t="s">
        <v>96</v>
      </c>
      <c r="E2944" s="2"/>
      <c r="F2944" s="2"/>
      <c r="G2944" s="2" t="s">
        <v>80</v>
      </c>
      <c r="H2944" s="2">
        <v>4</v>
      </c>
      <c r="I2944" s="8">
        <v>127.4</v>
      </c>
      <c r="J2944" s="8">
        <v>43529</v>
      </c>
      <c r="K2944" s="3">
        <v>0</v>
      </c>
      <c r="L2944" s="3" t="s">
        <v>3</v>
      </c>
      <c r="M2944" s="9" t="s">
        <v>0</v>
      </c>
      <c r="N2944" s="9" t="s">
        <v>59</v>
      </c>
      <c r="O2944" s="9" t="s">
        <v>632</v>
      </c>
      <c r="S2944" s="9" t="s">
        <v>158</v>
      </c>
      <c r="T2944" s="10" t="s">
        <v>80</v>
      </c>
      <c r="U2944" s="10">
        <v>4</v>
      </c>
      <c r="V2944" s="10">
        <v>127.4</v>
      </c>
      <c r="W2944" s="10" t="s">
        <v>710</v>
      </c>
      <c r="X2944" s="17">
        <v>45679</v>
      </c>
      <c r="Y2944" s="17">
        <v>45690</v>
      </c>
      <c r="Z2944" s="19" t="s">
        <v>772</v>
      </c>
      <c r="AA2944" s="210">
        <v>45000</v>
      </c>
      <c r="AB2944" s="9">
        <v>48</v>
      </c>
      <c r="AC2944" s="9">
        <v>21</v>
      </c>
      <c r="AD2944" s="17">
        <v>46391</v>
      </c>
      <c r="AE2944" s="56">
        <v>623.91999999999996</v>
      </c>
      <c r="AF2944" s="56"/>
      <c r="AH2944" s="17"/>
      <c r="AI2944" s="17"/>
      <c r="AJ2944" s="17"/>
      <c r="AL2944" s="22"/>
      <c r="AM2944" s="22"/>
      <c r="AN2944" s="22"/>
      <c r="AP2944" s="11"/>
      <c r="AQ2944" s="11"/>
      <c r="AR2944" s="11"/>
      <c r="AW2944" s="9"/>
      <c r="BD2944" s="9"/>
      <c r="CS2944" s="11">
        <f t="shared" si="202"/>
        <v>0</v>
      </c>
      <c r="CT2944" s="22">
        <f t="shared" si="203"/>
        <v>0</v>
      </c>
      <c r="CU2944" s="22">
        <f t="shared" si="204"/>
        <v>0</v>
      </c>
      <c r="CV2944" s="26">
        <f t="shared" si="201"/>
        <v>623.91999999999996</v>
      </c>
    </row>
    <row r="2945" spans="1:100" x14ac:dyDescent="0.2">
      <c r="A2945" s="9" t="s">
        <v>631</v>
      </c>
      <c r="B2945" s="2">
        <v>114</v>
      </c>
      <c r="C2945" s="3" t="s">
        <v>95</v>
      </c>
      <c r="D2945" s="3" t="s">
        <v>96</v>
      </c>
      <c r="E2945" s="2"/>
      <c r="F2945" s="2"/>
      <c r="G2945" s="2" t="s">
        <v>80</v>
      </c>
      <c r="H2945" s="2">
        <v>4</v>
      </c>
      <c r="I2945" s="8">
        <v>127.4</v>
      </c>
      <c r="J2945" s="8">
        <v>43529</v>
      </c>
      <c r="K2945" s="3">
        <v>0</v>
      </c>
      <c r="L2945" s="3" t="s">
        <v>3</v>
      </c>
      <c r="M2945" s="9" t="s">
        <v>0</v>
      </c>
      <c r="N2945" s="9" t="s">
        <v>59</v>
      </c>
      <c r="O2945" s="9" t="s">
        <v>632</v>
      </c>
      <c r="S2945" s="9" t="s">
        <v>158</v>
      </c>
      <c r="T2945" s="10" t="s">
        <v>80</v>
      </c>
      <c r="U2945" s="10">
        <v>4</v>
      </c>
      <c r="V2945" s="10">
        <v>127.4</v>
      </c>
      <c r="W2945" s="10" t="s">
        <v>710</v>
      </c>
      <c r="X2945" s="17">
        <v>45679</v>
      </c>
      <c r="Y2945" s="17">
        <v>45690</v>
      </c>
      <c r="Z2945" s="19" t="s">
        <v>772</v>
      </c>
      <c r="AA2945" s="210">
        <v>45000</v>
      </c>
      <c r="AB2945" s="9">
        <v>48</v>
      </c>
      <c r="AC2945" s="9">
        <v>22</v>
      </c>
      <c r="AD2945" s="17">
        <v>46422</v>
      </c>
      <c r="AE2945" s="56">
        <v>623.91999999999996</v>
      </c>
      <c r="AF2945" s="56"/>
      <c r="AH2945" s="17"/>
      <c r="AI2945" s="17"/>
      <c r="AJ2945" s="17"/>
      <c r="AL2945" s="22"/>
      <c r="AM2945" s="22"/>
      <c r="AN2945" s="22"/>
      <c r="AP2945" s="11"/>
      <c r="AQ2945" s="11"/>
      <c r="AR2945" s="11"/>
      <c r="AW2945" s="9"/>
      <c r="BD2945" s="9"/>
      <c r="CS2945" s="11">
        <f t="shared" si="202"/>
        <v>0</v>
      </c>
      <c r="CT2945" s="22">
        <f t="shared" si="203"/>
        <v>0</v>
      </c>
      <c r="CU2945" s="22">
        <f t="shared" si="204"/>
        <v>0</v>
      </c>
      <c r="CV2945" s="26">
        <f t="shared" si="201"/>
        <v>623.91999999999996</v>
      </c>
    </row>
    <row r="2946" spans="1:100" x14ac:dyDescent="0.2">
      <c r="A2946" s="9" t="s">
        <v>631</v>
      </c>
      <c r="B2946" s="2">
        <v>114</v>
      </c>
      <c r="C2946" s="3" t="s">
        <v>95</v>
      </c>
      <c r="D2946" s="3" t="s">
        <v>96</v>
      </c>
      <c r="E2946" s="2"/>
      <c r="F2946" s="2"/>
      <c r="G2946" s="2" t="s">
        <v>80</v>
      </c>
      <c r="H2946" s="2">
        <v>4</v>
      </c>
      <c r="I2946" s="8">
        <v>127.4</v>
      </c>
      <c r="J2946" s="8">
        <v>43529</v>
      </c>
      <c r="K2946" s="3">
        <v>0</v>
      </c>
      <c r="L2946" s="3" t="s">
        <v>3</v>
      </c>
      <c r="M2946" s="9" t="s">
        <v>0</v>
      </c>
      <c r="N2946" s="9" t="s">
        <v>59</v>
      </c>
      <c r="O2946" s="9" t="s">
        <v>632</v>
      </c>
      <c r="S2946" s="9" t="s">
        <v>158</v>
      </c>
      <c r="T2946" s="10" t="s">
        <v>80</v>
      </c>
      <c r="U2946" s="10">
        <v>4</v>
      </c>
      <c r="V2946" s="10">
        <v>127.4</v>
      </c>
      <c r="W2946" s="10" t="s">
        <v>710</v>
      </c>
      <c r="X2946" s="17">
        <v>45679</v>
      </c>
      <c r="Y2946" s="17">
        <v>45690</v>
      </c>
      <c r="Z2946" s="19" t="s">
        <v>772</v>
      </c>
      <c r="AA2946" s="210">
        <v>45000</v>
      </c>
      <c r="AB2946" s="9">
        <v>48</v>
      </c>
      <c r="AC2946" s="9">
        <v>23</v>
      </c>
      <c r="AD2946" s="17">
        <v>46450</v>
      </c>
      <c r="AE2946" s="56">
        <v>623.91999999999996</v>
      </c>
      <c r="AF2946" s="56"/>
      <c r="AL2946" s="22"/>
      <c r="AM2946" s="22"/>
      <c r="AN2946" s="22"/>
      <c r="AP2946" s="11"/>
      <c r="AQ2946" s="11"/>
      <c r="AR2946" s="11"/>
      <c r="AW2946" s="9"/>
      <c r="BD2946" s="9"/>
      <c r="CS2946" s="11">
        <f t="shared" si="202"/>
        <v>0</v>
      </c>
      <c r="CT2946" s="22">
        <f t="shared" si="203"/>
        <v>0</v>
      </c>
      <c r="CU2946" s="22">
        <f t="shared" si="204"/>
        <v>0</v>
      </c>
      <c r="CV2946" s="26">
        <f t="shared" si="201"/>
        <v>623.91999999999996</v>
      </c>
    </row>
    <row r="2947" spans="1:100" x14ac:dyDescent="0.2">
      <c r="A2947" s="9" t="s">
        <v>631</v>
      </c>
      <c r="B2947" s="2">
        <v>114</v>
      </c>
      <c r="C2947" s="3" t="s">
        <v>95</v>
      </c>
      <c r="D2947" s="3" t="s">
        <v>96</v>
      </c>
      <c r="E2947" s="2"/>
      <c r="F2947" s="2"/>
      <c r="G2947" s="2" t="s">
        <v>80</v>
      </c>
      <c r="H2947" s="2">
        <v>4</v>
      </c>
      <c r="I2947" s="8">
        <v>127.4</v>
      </c>
      <c r="J2947" s="8">
        <v>43529</v>
      </c>
      <c r="K2947" s="3">
        <v>0</v>
      </c>
      <c r="L2947" s="3" t="s">
        <v>3</v>
      </c>
      <c r="M2947" s="9" t="s">
        <v>0</v>
      </c>
      <c r="N2947" s="9" t="s">
        <v>59</v>
      </c>
      <c r="O2947" s="9" t="s">
        <v>632</v>
      </c>
      <c r="S2947" s="9" t="s">
        <v>158</v>
      </c>
      <c r="T2947" s="10" t="s">
        <v>80</v>
      </c>
      <c r="U2947" s="10">
        <v>4</v>
      </c>
      <c r="V2947" s="10">
        <v>127.4</v>
      </c>
      <c r="W2947" s="10" t="s">
        <v>710</v>
      </c>
      <c r="X2947" s="17">
        <v>45679</v>
      </c>
      <c r="Y2947" s="17">
        <v>45690</v>
      </c>
      <c r="Z2947" s="19" t="s">
        <v>772</v>
      </c>
      <c r="AA2947" s="210">
        <v>45000</v>
      </c>
      <c r="AB2947" s="9">
        <v>48</v>
      </c>
      <c r="AC2947" s="9">
        <v>24</v>
      </c>
      <c r="AD2947" s="17">
        <v>46481</v>
      </c>
      <c r="AE2947" s="56">
        <v>623.91999999999996</v>
      </c>
      <c r="AF2947" s="56"/>
      <c r="AL2947" s="22"/>
      <c r="AM2947" s="22"/>
      <c r="AN2947" s="22"/>
      <c r="AP2947" s="11"/>
      <c r="AQ2947" s="11"/>
      <c r="AR2947" s="11"/>
      <c r="AW2947" s="9"/>
      <c r="BD2947" s="9"/>
      <c r="CS2947" s="11">
        <f t="shared" si="202"/>
        <v>0</v>
      </c>
      <c r="CT2947" s="22">
        <f t="shared" si="203"/>
        <v>0</v>
      </c>
      <c r="CU2947" s="22">
        <f t="shared" si="204"/>
        <v>0</v>
      </c>
      <c r="CV2947" s="26">
        <f t="shared" si="201"/>
        <v>623.91999999999996</v>
      </c>
    </row>
    <row r="2948" spans="1:100" x14ac:dyDescent="0.2">
      <c r="A2948" s="9" t="s">
        <v>631</v>
      </c>
      <c r="B2948" s="2">
        <v>114</v>
      </c>
      <c r="C2948" s="3" t="s">
        <v>95</v>
      </c>
      <c r="D2948" s="3" t="s">
        <v>96</v>
      </c>
      <c r="E2948" s="2"/>
      <c r="F2948" s="2"/>
      <c r="G2948" s="2" t="s">
        <v>80</v>
      </c>
      <c r="H2948" s="2">
        <v>4</v>
      </c>
      <c r="I2948" s="8">
        <v>127.4</v>
      </c>
      <c r="J2948" s="8">
        <v>43529</v>
      </c>
      <c r="K2948" s="3">
        <v>0</v>
      </c>
      <c r="L2948" s="3" t="s">
        <v>3</v>
      </c>
      <c r="M2948" s="9" t="s">
        <v>0</v>
      </c>
      <c r="N2948" s="9" t="s">
        <v>59</v>
      </c>
      <c r="O2948" s="9" t="s">
        <v>632</v>
      </c>
      <c r="S2948" s="9" t="s">
        <v>158</v>
      </c>
      <c r="T2948" s="10" t="s">
        <v>80</v>
      </c>
      <c r="U2948" s="10">
        <v>4</v>
      </c>
      <c r="V2948" s="10">
        <v>127.4</v>
      </c>
      <c r="W2948" s="10" t="s">
        <v>710</v>
      </c>
      <c r="X2948" s="17">
        <v>45679</v>
      </c>
      <c r="Y2948" s="17">
        <v>45690</v>
      </c>
      <c r="Z2948" s="19" t="s">
        <v>772</v>
      </c>
      <c r="AA2948" s="210">
        <v>45000</v>
      </c>
      <c r="AB2948" s="9">
        <v>48</v>
      </c>
      <c r="AC2948" s="9">
        <v>25</v>
      </c>
      <c r="AD2948" s="17">
        <v>46511</v>
      </c>
      <c r="AE2948" s="56">
        <v>623.91999999999996</v>
      </c>
      <c r="AF2948" s="56"/>
      <c r="AL2948" s="22"/>
      <c r="AM2948" s="22"/>
      <c r="AN2948" s="22"/>
      <c r="AP2948" s="11"/>
      <c r="AQ2948" s="11"/>
      <c r="AR2948" s="11"/>
      <c r="AW2948" s="9"/>
      <c r="BD2948" s="9"/>
      <c r="CS2948" s="11">
        <f t="shared" si="202"/>
        <v>0</v>
      </c>
      <c r="CT2948" s="22">
        <f t="shared" si="203"/>
        <v>0</v>
      </c>
      <c r="CU2948" s="22">
        <f t="shared" si="204"/>
        <v>0</v>
      </c>
      <c r="CV2948" s="26">
        <f t="shared" si="201"/>
        <v>623.91999999999996</v>
      </c>
    </row>
    <row r="2949" spans="1:100" x14ac:dyDescent="0.2">
      <c r="A2949" s="9" t="s">
        <v>631</v>
      </c>
      <c r="B2949" s="2">
        <v>114</v>
      </c>
      <c r="C2949" s="3" t="s">
        <v>95</v>
      </c>
      <c r="D2949" s="3" t="s">
        <v>96</v>
      </c>
      <c r="E2949" s="2"/>
      <c r="F2949" s="2"/>
      <c r="G2949" s="2" t="s">
        <v>80</v>
      </c>
      <c r="H2949" s="2">
        <v>4</v>
      </c>
      <c r="I2949" s="8">
        <v>127.4</v>
      </c>
      <c r="J2949" s="8">
        <v>43529</v>
      </c>
      <c r="K2949" s="3">
        <v>0</v>
      </c>
      <c r="L2949" s="3" t="s">
        <v>3</v>
      </c>
      <c r="M2949" s="9" t="s">
        <v>0</v>
      </c>
      <c r="N2949" s="9" t="s">
        <v>59</v>
      </c>
      <c r="O2949" s="9" t="s">
        <v>632</v>
      </c>
      <c r="S2949" s="9" t="s">
        <v>158</v>
      </c>
      <c r="T2949" s="10" t="s">
        <v>80</v>
      </c>
      <c r="U2949" s="10">
        <v>4</v>
      </c>
      <c r="V2949" s="10">
        <v>127.4</v>
      </c>
      <c r="W2949" s="10" t="s">
        <v>710</v>
      </c>
      <c r="X2949" s="17">
        <v>45679</v>
      </c>
      <c r="Y2949" s="17">
        <v>45690</v>
      </c>
      <c r="Z2949" s="19" t="s">
        <v>772</v>
      </c>
      <c r="AA2949" s="210">
        <v>45000</v>
      </c>
      <c r="AB2949" s="9">
        <v>48</v>
      </c>
      <c r="AC2949" s="9">
        <v>26</v>
      </c>
      <c r="AD2949" s="17">
        <v>46542</v>
      </c>
      <c r="AE2949" s="56">
        <v>623.91999999999996</v>
      </c>
      <c r="AF2949" s="56"/>
      <c r="AL2949" s="22"/>
      <c r="AM2949" s="22"/>
      <c r="AN2949" s="22"/>
      <c r="AP2949" s="11"/>
      <c r="AQ2949" s="11"/>
      <c r="AR2949" s="11"/>
      <c r="AW2949" s="9"/>
      <c r="BD2949" s="9"/>
      <c r="CS2949" s="11">
        <f t="shared" si="202"/>
        <v>0</v>
      </c>
      <c r="CT2949" s="22">
        <f t="shared" si="203"/>
        <v>0</v>
      </c>
      <c r="CU2949" s="22">
        <f t="shared" si="204"/>
        <v>0</v>
      </c>
      <c r="CV2949" s="26">
        <f t="shared" si="201"/>
        <v>623.91999999999996</v>
      </c>
    </row>
    <row r="2950" spans="1:100" x14ac:dyDescent="0.2">
      <c r="A2950" s="9" t="s">
        <v>631</v>
      </c>
      <c r="B2950" s="2">
        <v>114</v>
      </c>
      <c r="C2950" s="3" t="s">
        <v>95</v>
      </c>
      <c r="D2950" s="3" t="s">
        <v>96</v>
      </c>
      <c r="E2950" s="2"/>
      <c r="F2950" s="2"/>
      <c r="G2950" s="2" t="s">
        <v>80</v>
      </c>
      <c r="H2950" s="2">
        <v>4</v>
      </c>
      <c r="I2950" s="8">
        <v>127.4</v>
      </c>
      <c r="J2950" s="8">
        <v>43529</v>
      </c>
      <c r="K2950" s="3">
        <v>0</v>
      </c>
      <c r="L2950" s="3" t="s">
        <v>3</v>
      </c>
      <c r="M2950" s="9" t="s">
        <v>0</v>
      </c>
      <c r="N2950" s="9" t="s">
        <v>59</v>
      </c>
      <c r="O2950" s="9" t="s">
        <v>632</v>
      </c>
      <c r="S2950" s="9" t="s">
        <v>158</v>
      </c>
      <c r="T2950" s="10" t="s">
        <v>80</v>
      </c>
      <c r="U2950" s="10">
        <v>4</v>
      </c>
      <c r="V2950" s="10">
        <v>127.4</v>
      </c>
      <c r="W2950" s="10" t="s">
        <v>710</v>
      </c>
      <c r="X2950" s="17">
        <v>45679</v>
      </c>
      <c r="Y2950" s="17">
        <v>45690</v>
      </c>
      <c r="Z2950" s="19" t="s">
        <v>772</v>
      </c>
      <c r="AA2950" s="210">
        <v>45000</v>
      </c>
      <c r="AB2950" s="9">
        <v>48</v>
      </c>
      <c r="AC2950" s="9">
        <v>27</v>
      </c>
      <c r="AD2950" s="17">
        <v>46572</v>
      </c>
      <c r="AE2950" s="56">
        <v>623.91999999999996</v>
      </c>
      <c r="AF2950" s="56"/>
      <c r="AL2950" s="22"/>
      <c r="AM2950" s="22"/>
      <c r="AN2950" s="22"/>
      <c r="AP2950" s="11"/>
      <c r="AQ2950" s="11"/>
      <c r="AR2950" s="11"/>
      <c r="AW2950" s="9"/>
      <c r="BD2950" s="9"/>
      <c r="CS2950" s="11">
        <f t="shared" si="202"/>
        <v>0</v>
      </c>
      <c r="CT2950" s="22">
        <f t="shared" si="203"/>
        <v>0</v>
      </c>
      <c r="CU2950" s="22">
        <f t="shared" si="204"/>
        <v>0</v>
      </c>
      <c r="CV2950" s="26">
        <f t="shared" si="201"/>
        <v>623.91999999999996</v>
      </c>
    </row>
    <row r="2951" spans="1:100" x14ac:dyDescent="0.2">
      <c r="A2951" s="9" t="s">
        <v>631</v>
      </c>
      <c r="B2951" s="2">
        <v>114</v>
      </c>
      <c r="C2951" s="3" t="s">
        <v>95</v>
      </c>
      <c r="D2951" s="3" t="s">
        <v>96</v>
      </c>
      <c r="E2951" s="2"/>
      <c r="F2951" s="2"/>
      <c r="G2951" s="2" t="s">
        <v>80</v>
      </c>
      <c r="H2951" s="2">
        <v>4</v>
      </c>
      <c r="I2951" s="8">
        <v>127.4</v>
      </c>
      <c r="J2951" s="8">
        <v>43529</v>
      </c>
      <c r="K2951" s="3">
        <v>0</v>
      </c>
      <c r="L2951" s="3" t="s">
        <v>3</v>
      </c>
      <c r="M2951" s="9" t="s">
        <v>0</v>
      </c>
      <c r="N2951" s="9" t="s">
        <v>59</v>
      </c>
      <c r="O2951" s="9" t="s">
        <v>632</v>
      </c>
      <c r="S2951" s="9" t="s">
        <v>158</v>
      </c>
      <c r="T2951" s="10" t="s">
        <v>80</v>
      </c>
      <c r="U2951" s="10">
        <v>4</v>
      </c>
      <c r="V2951" s="10">
        <v>127.4</v>
      </c>
      <c r="W2951" s="10" t="s">
        <v>710</v>
      </c>
      <c r="X2951" s="17">
        <v>45679</v>
      </c>
      <c r="Y2951" s="17">
        <v>45690</v>
      </c>
      <c r="Z2951" s="19" t="s">
        <v>772</v>
      </c>
      <c r="AA2951" s="210">
        <v>45000</v>
      </c>
      <c r="AB2951" s="9">
        <v>48</v>
      </c>
      <c r="AC2951" s="9">
        <v>28</v>
      </c>
      <c r="AD2951" s="17">
        <v>46603</v>
      </c>
      <c r="AE2951" s="56">
        <v>623.91999999999996</v>
      </c>
      <c r="AF2951" s="56"/>
      <c r="AL2951" s="22"/>
      <c r="AM2951" s="22"/>
      <c r="AN2951" s="22"/>
      <c r="AP2951" s="11"/>
      <c r="AQ2951" s="11"/>
      <c r="AR2951" s="11"/>
      <c r="AW2951" s="9"/>
      <c r="BD2951" s="9"/>
      <c r="CS2951" s="11">
        <f t="shared" si="202"/>
        <v>0</v>
      </c>
      <c r="CT2951" s="22">
        <f t="shared" si="203"/>
        <v>0</v>
      </c>
      <c r="CU2951" s="22">
        <f t="shared" si="204"/>
        <v>0</v>
      </c>
      <c r="CV2951" s="26">
        <f t="shared" si="201"/>
        <v>623.91999999999996</v>
      </c>
    </row>
    <row r="2952" spans="1:100" x14ac:dyDescent="0.2">
      <c r="A2952" s="9" t="s">
        <v>631</v>
      </c>
      <c r="B2952" s="2">
        <v>114</v>
      </c>
      <c r="C2952" s="3" t="s">
        <v>95</v>
      </c>
      <c r="D2952" s="3" t="s">
        <v>96</v>
      </c>
      <c r="E2952" s="2"/>
      <c r="F2952" s="2"/>
      <c r="G2952" s="2" t="s">
        <v>80</v>
      </c>
      <c r="H2952" s="2">
        <v>4</v>
      </c>
      <c r="I2952" s="8">
        <v>127.4</v>
      </c>
      <c r="J2952" s="8">
        <v>43529</v>
      </c>
      <c r="K2952" s="3">
        <v>0</v>
      </c>
      <c r="L2952" s="3" t="s">
        <v>3</v>
      </c>
      <c r="M2952" s="9" t="s">
        <v>0</v>
      </c>
      <c r="N2952" s="9" t="s">
        <v>59</v>
      </c>
      <c r="O2952" s="9" t="s">
        <v>632</v>
      </c>
      <c r="S2952" s="9" t="s">
        <v>158</v>
      </c>
      <c r="T2952" s="10" t="s">
        <v>80</v>
      </c>
      <c r="U2952" s="10">
        <v>4</v>
      </c>
      <c r="V2952" s="10">
        <v>127.4</v>
      </c>
      <c r="W2952" s="10" t="s">
        <v>710</v>
      </c>
      <c r="X2952" s="17">
        <v>45679</v>
      </c>
      <c r="Y2952" s="17">
        <v>45690</v>
      </c>
      <c r="Z2952" s="19" t="s">
        <v>772</v>
      </c>
      <c r="AA2952" s="210">
        <v>45000</v>
      </c>
      <c r="AB2952" s="9">
        <v>48</v>
      </c>
      <c r="AC2952" s="9">
        <v>29</v>
      </c>
      <c r="AD2952" s="17">
        <v>46634</v>
      </c>
      <c r="AE2952" s="56">
        <v>623.91999999999996</v>
      </c>
      <c r="AF2952" s="56"/>
      <c r="AP2952" s="11"/>
      <c r="AQ2952" s="11"/>
      <c r="AR2952" s="11"/>
      <c r="AW2952" s="9"/>
      <c r="BD2952" s="9"/>
      <c r="CS2952" s="11">
        <f t="shared" si="202"/>
        <v>0</v>
      </c>
      <c r="CT2952" s="22">
        <f t="shared" si="203"/>
        <v>0</v>
      </c>
      <c r="CU2952" s="22">
        <f t="shared" si="204"/>
        <v>0</v>
      </c>
      <c r="CV2952" s="26">
        <f t="shared" si="201"/>
        <v>623.91999999999996</v>
      </c>
    </row>
    <row r="2953" spans="1:100" x14ac:dyDescent="0.2">
      <c r="A2953" s="9" t="s">
        <v>631</v>
      </c>
      <c r="B2953" s="2">
        <v>114</v>
      </c>
      <c r="C2953" s="3" t="s">
        <v>95</v>
      </c>
      <c r="D2953" s="3" t="s">
        <v>96</v>
      </c>
      <c r="E2953" s="2"/>
      <c r="F2953" s="2"/>
      <c r="G2953" s="2" t="s">
        <v>80</v>
      </c>
      <c r="H2953" s="2">
        <v>4</v>
      </c>
      <c r="I2953" s="8">
        <v>127.4</v>
      </c>
      <c r="J2953" s="8">
        <v>43529</v>
      </c>
      <c r="K2953" s="3">
        <v>0</v>
      </c>
      <c r="L2953" s="3" t="s">
        <v>3</v>
      </c>
      <c r="M2953" s="9" t="s">
        <v>0</v>
      </c>
      <c r="N2953" s="9" t="s">
        <v>59</v>
      </c>
      <c r="O2953" s="9" t="s">
        <v>632</v>
      </c>
      <c r="S2953" s="9" t="s">
        <v>158</v>
      </c>
      <c r="T2953" s="10" t="s">
        <v>80</v>
      </c>
      <c r="U2953" s="10">
        <v>4</v>
      </c>
      <c r="V2953" s="10">
        <v>127.4</v>
      </c>
      <c r="W2953" s="10" t="s">
        <v>710</v>
      </c>
      <c r="X2953" s="17">
        <v>45679</v>
      </c>
      <c r="Y2953" s="17">
        <v>45690</v>
      </c>
      <c r="Z2953" s="19" t="s">
        <v>772</v>
      </c>
      <c r="AA2953" s="210">
        <v>45000</v>
      </c>
      <c r="AB2953" s="9">
        <v>48</v>
      </c>
      <c r="AC2953" s="9">
        <v>30</v>
      </c>
      <c r="AD2953" s="17">
        <v>46664</v>
      </c>
      <c r="AE2953" s="56">
        <v>623.91999999999996</v>
      </c>
      <c r="AF2953" s="56"/>
      <c r="AP2953" s="11"/>
      <c r="AQ2953" s="11"/>
      <c r="AR2953" s="11"/>
      <c r="AW2953" s="9"/>
      <c r="BD2953" s="9"/>
      <c r="CS2953" s="11">
        <f t="shared" si="202"/>
        <v>0</v>
      </c>
      <c r="CT2953" s="22">
        <f t="shared" si="203"/>
        <v>0</v>
      </c>
      <c r="CU2953" s="22">
        <f t="shared" si="204"/>
        <v>0</v>
      </c>
      <c r="CV2953" s="26">
        <f t="shared" si="201"/>
        <v>623.91999999999996</v>
      </c>
    </row>
    <row r="2954" spans="1:100" x14ac:dyDescent="0.2">
      <c r="A2954" s="9" t="s">
        <v>631</v>
      </c>
      <c r="B2954" s="2">
        <v>114</v>
      </c>
      <c r="C2954" s="3" t="s">
        <v>95</v>
      </c>
      <c r="D2954" s="3" t="s">
        <v>96</v>
      </c>
      <c r="E2954" s="2"/>
      <c r="F2954" s="2"/>
      <c r="G2954" s="2" t="s">
        <v>80</v>
      </c>
      <c r="H2954" s="2">
        <v>4</v>
      </c>
      <c r="I2954" s="8">
        <v>127.4</v>
      </c>
      <c r="J2954" s="8">
        <v>43529</v>
      </c>
      <c r="K2954" s="3">
        <v>0</v>
      </c>
      <c r="L2954" s="3" t="s">
        <v>3</v>
      </c>
      <c r="M2954" s="9" t="s">
        <v>0</v>
      </c>
      <c r="N2954" s="9" t="s">
        <v>59</v>
      </c>
      <c r="O2954" s="9" t="s">
        <v>632</v>
      </c>
      <c r="S2954" s="9" t="s">
        <v>158</v>
      </c>
      <c r="T2954" s="10" t="s">
        <v>80</v>
      </c>
      <c r="U2954" s="10">
        <v>4</v>
      </c>
      <c r="V2954" s="10">
        <v>127.4</v>
      </c>
      <c r="W2954" s="10" t="s">
        <v>710</v>
      </c>
      <c r="X2954" s="17">
        <v>45679</v>
      </c>
      <c r="Y2954" s="17">
        <v>45690</v>
      </c>
      <c r="Z2954" s="19" t="s">
        <v>772</v>
      </c>
      <c r="AA2954" s="210">
        <v>45000</v>
      </c>
      <c r="AB2954" s="9">
        <v>48</v>
      </c>
      <c r="AC2954" s="9">
        <v>31</v>
      </c>
      <c r="AD2954" s="17">
        <v>46695</v>
      </c>
      <c r="AE2954" s="56">
        <v>623.91999999999996</v>
      </c>
      <c r="AF2954" s="56"/>
      <c r="AP2954" s="11"/>
      <c r="AQ2954" s="11"/>
      <c r="AR2954" s="11"/>
      <c r="AW2954" s="9"/>
      <c r="BD2954" s="9"/>
      <c r="CS2954" s="11">
        <f t="shared" si="202"/>
        <v>0</v>
      </c>
      <c r="CT2954" s="22">
        <f t="shared" si="203"/>
        <v>0</v>
      </c>
      <c r="CU2954" s="22">
        <f t="shared" si="204"/>
        <v>0</v>
      </c>
      <c r="CV2954" s="26">
        <f t="shared" si="201"/>
        <v>623.91999999999996</v>
      </c>
    </row>
    <row r="2955" spans="1:100" x14ac:dyDescent="0.2">
      <c r="A2955" s="9" t="s">
        <v>631</v>
      </c>
      <c r="B2955" s="2">
        <v>114</v>
      </c>
      <c r="C2955" s="3" t="s">
        <v>95</v>
      </c>
      <c r="D2955" s="3" t="s">
        <v>96</v>
      </c>
      <c r="E2955" s="2"/>
      <c r="F2955" s="2"/>
      <c r="G2955" s="2" t="s">
        <v>80</v>
      </c>
      <c r="H2955" s="2">
        <v>4</v>
      </c>
      <c r="I2955" s="8">
        <v>127.4</v>
      </c>
      <c r="J2955" s="8">
        <v>43529</v>
      </c>
      <c r="K2955" s="3">
        <v>0</v>
      </c>
      <c r="L2955" s="3" t="s">
        <v>3</v>
      </c>
      <c r="M2955" s="9" t="s">
        <v>0</v>
      </c>
      <c r="N2955" s="9" t="s">
        <v>59</v>
      </c>
      <c r="O2955" s="9" t="s">
        <v>632</v>
      </c>
      <c r="S2955" s="9" t="s">
        <v>158</v>
      </c>
      <c r="T2955" s="10" t="s">
        <v>80</v>
      </c>
      <c r="U2955" s="10">
        <v>4</v>
      </c>
      <c r="V2955" s="10">
        <v>127.4</v>
      </c>
      <c r="W2955" s="10" t="s">
        <v>710</v>
      </c>
      <c r="X2955" s="17">
        <v>45679</v>
      </c>
      <c r="Y2955" s="17">
        <v>45690</v>
      </c>
      <c r="Z2955" s="19" t="s">
        <v>772</v>
      </c>
      <c r="AA2955" s="210">
        <v>45000</v>
      </c>
      <c r="AB2955" s="9">
        <v>48</v>
      </c>
      <c r="AC2955" s="9">
        <v>32</v>
      </c>
      <c r="AD2955" s="17">
        <v>46725</v>
      </c>
      <c r="AE2955" s="56">
        <v>623.91999999999996</v>
      </c>
      <c r="AF2955" s="56"/>
      <c r="AP2955" s="11"/>
      <c r="AQ2955" s="11"/>
      <c r="AR2955" s="11"/>
      <c r="AW2955" s="9"/>
      <c r="BD2955" s="9"/>
      <c r="CS2955" s="11">
        <f t="shared" si="202"/>
        <v>0</v>
      </c>
      <c r="CT2955" s="22">
        <f t="shared" si="203"/>
        <v>0</v>
      </c>
      <c r="CU2955" s="22">
        <f t="shared" si="204"/>
        <v>0</v>
      </c>
      <c r="CV2955" s="26">
        <f t="shared" si="201"/>
        <v>623.91999999999996</v>
      </c>
    </row>
    <row r="2956" spans="1:100" x14ac:dyDescent="0.2">
      <c r="A2956" s="9" t="s">
        <v>631</v>
      </c>
      <c r="B2956" s="2">
        <v>114</v>
      </c>
      <c r="C2956" s="3" t="s">
        <v>95</v>
      </c>
      <c r="D2956" s="3" t="s">
        <v>96</v>
      </c>
      <c r="E2956" s="2"/>
      <c r="F2956" s="2"/>
      <c r="G2956" s="2" t="s">
        <v>80</v>
      </c>
      <c r="H2956" s="2">
        <v>4</v>
      </c>
      <c r="I2956" s="8">
        <v>127.4</v>
      </c>
      <c r="J2956" s="8">
        <v>43529</v>
      </c>
      <c r="K2956" s="3">
        <v>0</v>
      </c>
      <c r="L2956" s="3" t="s">
        <v>3</v>
      </c>
      <c r="M2956" s="9" t="s">
        <v>0</v>
      </c>
      <c r="N2956" s="9" t="s">
        <v>59</v>
      </c>
      <c r="O2956" s="9" t="s">
        <v>632</v>
      </c>
      <c r="S2956" s="9" t="s">
        <v>158</v>
      </c>
      <c r="T2956" s="10" t="s">
        <v>80</v>
      </c>
      <c r="U2956" s="10">
        <v>4</v>
      </c>
      <c r="V2956" s="10">
        <v>127.4</v>
      </c>
      <c r="W2956" s="10" t="s">
        <v>710</v>
      </c>
      <c r="X2956" s="17">
        <v>45679</v>
      </c>
      <c r="Y2956" s="17">
        <v>45690</v>
      </c>
      <c r="Z2956" s="19" t="s">
        <v>772</v>
      </c>
      <c r="AA2956" s="210">
        <v>45000</v>
      </c>
      <c r="AB2956" s="9">
        <v>48</v>
      </c>
      <c r="AC2956" s="9">
        <v>33</v>
      </c>
      <c r="AD2956" s="17">
        <v>46756</v>
      </c>
      <c r="AE2956" s="56">
        <v>623.91999999999996</v>
      </c>
      <c r="AF2956" s="56"/>
      <c r="AP2956" s="11"/>
      <c r="AQ2956" s="11"/>
      <c r="AR2956" s="11"/>
      <c r="AW2956" s="9"/>
      <c r="BD2956" s="9"/>
      <c r="CS2956" s="11">
        <f t="shared" si="202"/>
        <v>0</v>
      </c>
      <c r="CT2956" s="22">
        <f t="shared" si="203"/>
        <v>0</v>
      </c>
      <c r="CU2956" s="22">
        <f t="shared" si="204"/>
        <v>0</v>
      </c>
      <c r="CV2956" s="26">
        <f t="shared" si="201"/>
        <v>623.91999999999996</v>
      </c>
    </row>
    <row r="2957" spans="1:100" x14ac:dyDescent="0.2">
      <c r="A2957" s="9" t="s">
        <v>631</v>
      </c>
      <c r="B2957" s="2">
        <v>114</v>
      </c>
      <c r="C2957" s="3" t="s">
        <v>95</v>
      </c>
      <c r="D2957" s="3" t="s">
        <v>96</v>
      </c>
      <c r="E2957" s="2"/>
      <c r="F2957" s="2"/>
      <c r="G2957" s="2" t="s">
        <v>80</v>
      </c>
      <c r="H2957" s="2">
        <v>4</v>
      </c>
      <c r="I2957" s="8">
        <v>127.4</v>
      </c>
      <c r="J2957" s="8">
        <v>43529</v>
      </c>
      <c r="K2957" s="3">
        <v>0</v>
      </c>
      <c r="L2957" s="3" t="s">
        <v>3</v>
      </c>
      <c r="M2957" s="9" t="s">
        <v>0</v>
      </c>
      <c r="N2957" s="9" t="s">
        <v>59</v>
      </c>
      <c r="O2957" s="9" t="s">
        <v>632</v>
      </c>
      <c r="S2957" s="9" t="s">
        <v>158</v>
      </c>
      <c r="T2957" s="10" t="s">
        <v>80</v>
      </c>
      <c r="U2957" s="10">
        <v>4</v>
      </c>
      <c r="V2957" s="10">
        <v>127.4</v>
      </c>
      <c r="W2957" s="10" t="s">
        <v>710</v>
      </c>
      <c r="X2957" s="17">
        <v>45679</v>
      </c>
      <c r="Y2957" s="17">
        <v>45690</v>
      </c>
      <c r="Z2957" s="19" t="s">
        <v>772</v>
      </c>
      <c r="AA2957" s="210">
        <v>45000</v>
      </c>
      <c r="AB2957" s="9">
        <v>48</v>
      </c>
      <c r="AC2957" s="9">
        <v>34</v>
      </c>
      <c r="AD2957" s="17">
        <v>46787</v>
      </c>
      <c r="AE2957" s="56">
        <v>623.91999999999996</v>
      </c>
      <c r="AF2957" s="56"/>
      <c r="AP2957" s="11"/>
      <c r="AQ2957" s="11"/>
      <c r="AR2957" s="11"/>
      <c r="AW2957" s="9"/>
      <c r="BD2957" s="9"/>
      <c r="CS2957" s="11">
        <f t="shared" si="202"/>
        <v>0</v>
      </c>
      <c r="CT2957" s="22">
        <f t="shared" si="203"/>
        <v>0</v>
      </c>
      <c r="CU2957" s="22">
        <f t="shared" si="204"/>
        <v>0</v>
      </c>
      <c r="CV2957" s="26">
        <f t="shared" si="201"/>
        <v>623.91999999999996</v>
      </c>
    </row>
    <row r="2958" spans="1:100" x14ac:dyDescent="0.2">
      <c r="A2958" s="9" t="s">
        <v>631</v>
      </c>
      <c r="B2958" s="2">
        <v>114</v>
      </c>
      <c r="C2958" s="3" t="s">
        <v>95</v>
      </c>
      <c r="D2958" s="3" t="s">
        <v>96</v>
      </c>
      <c r="E2958" s="2"/>
      <c r="F2958" s="2"/>
      <c r="G2958" s="2" t="s">
        <v>80</v>
      </c>
      <c r="H2958" s="2">
        <v>4</v>
      </c>
      <c r="I2958" s="8">
        <v>127.4</v>
      </c>
      <c r="J2958" s="8">
        <v>43529</v>
      </c>
      <c r="K2958" s="3">
        <v>0</v>
      </c>
      <c r="L2958" s="3" t="s">
        <v>3</v>
      </c>
      <c r="M2958" s="9" t="s">
        <v>0</v>
      </c>
      <c r="N2958" s="9" t="s">
        <v>59</v>
      </c>
      <c r="O2958" s="9" t="s">
        <v>632</v>
      </c>
      <c r="S2958" s="9" t="s">
        <v>158</v>
      </c>
      <c r="T2958" s="10" t="s">
        <v>80</v>
      </c>
      <c r="U2958" s="10">
        <v>4</v>
      </c>
      <c r="V2958" s="10">
        <v>127.4</v>
      </c>
      <c r="W2958" s="10" t="s">
        <v>710</v>
      </c>
      <c r="X2958" s="17">
        <v>45679</v>
      </c>
      <c r="Y2958" s="17">
        <v>45690</v>
      </c>
      <c r="Z2958" s="19" t="s">
        <v>772</v>
      </c>
      <c r="AA2958" s="210">
        <v>45000</v>
      </c>
      <c r="AB2958" s="9">
        <v>48</v>
      </c>
      <c r="AC2958" s="9">
        <v>35</v>
      </c>
      <c r="AD2958" s="17">
        <v>46816</v>
      </c>
      <c r="AE2958" s="56">
        <v>623.91999999999996</v>
      </c>
      <c r="AF2958" s="56"/>
      <c r="AP2958" s="11"/>
      <c r="AQ2958" s="11"/>
      <c r="AR2958" s="11"/>
      <c r="AW2958" s="9"/>
      <c r="BD2958" s="9"/>
      <c r="CS2958" s="11">
        <f t="shared" si="202"/>
        <v>0</v>
      </c>
      <c r="CT2958" s="22">
        <f t="shared" si="203"/>
        <v>0</v>
      </c>
      <c r="CU2958" s="22">
        <f t="shared" si="204"/>
        <v>0</v>
      </c>
      <c r="CV2958" s="26">
        <f t="shared" si="201"/>
        <v>623.91999999999996</v>
      </c>
    </row>
    <row r="2959" spans="1:100" x14ac:dyDescent="0.2">
      <c r="A2959" s="9" t="s">
        <v>631</v>
      </c>
      <c r="B2959" s="2">
        <v>114</v>
      </c>
      <c r="C2959" s="3" t="s">
        <v>95</v>
      </c>
      <c r="D2959" s="3" t="s">
        <v>96</v>
      </c>
      <c r="E2959" s="2"/>
      <c r="F2959" s="2"/>
      <c r="G2959" s="2" t="s">
        <v>80</v>
      </c>
      <c r="H2959" s="2">
        <v>4</v>
      </c>
      <c r="I2959" s="8">
        <v>127.4</v>
      </c>
      <c r="J2959" s="8">
        <v>43529</v>
      </c>
      <c r="K2959" s="3">
        <v>0</v>
      </c>
      <c r="L2959" s="3" t="s">
        <v>3</v>
      </c>
      <c r="M2959" s="9" t="s">
        <v>0</v>
      </c>
      <c r="N2959" s="9" t="s">
        <v>59</v>
      </c>
      <c r="O2959" s="9" t="s">
        <v>632</v>
      </c>
      <c r="S2959" s="9" t="s">
        <v>158</v>
      </c>
      <c r="T2959" s="10" t="s">
        <v>80</v>
      </c>
      <c r="U2959" s="10">
        <v>4</v>
      </c>
      <c r="V2959" s="10">
        <v>127.4</v>
      </c>
      <c r="W2959" s="10" t="s">
        <v>710</v>
      </c>
      <c r="X2959" s="17">
        <v>45679</v>
      </c>
      <c r="Y2959" s="17">
        <v>45690</v>
      </c>
      <c r="Z2959" s="19" t="s">
        <v>772</v>
      </c>
      <c r="AA2959" s="210">
        <v>45000</v>
      </c>
      <c r="AB2959" s="9">
        <v>48</v>
      </c>
      <c r="AC2959" s="9">
        <v>36</v>
      </c>
      <c r="AD2959" s="17">
        <v>46847</v>
      </c>
      <c r="AE2959" s="56">
        <v>623.91999999999996</v>
      </c>
      <c r="AF2959" s="56"/>
      <c r="AP2959" s="11"/>
      <c r="AQ2959" s="11"/>
      <c r="AR2959" s="11"/>
      <c r="AW2959" s="9"/>
      <c r="BD2959" s="9"/>
      <c r="CS2959" s="11">
        <f t="shared" si="202"/>
        <v>0</v>
      </c>
      <c r="CT2959" s="22">
        <f t="shared" si="203"/>
        <v>0</v>
      </c>
      <c r="CU2959" s="22">
        <f t="shared" si="204"/>
        <v>0</v>
      </c>
      <c r="CV2959" s="26">
        <f t="shared" si="201"/>
        <v>623.91999999999996</v>
      </c>
    </row>
    <row r="2960" spans="1:100" x14ac:dyDescent="0.2">
      <c r="A2960" s="9" t="s">
        <v>631</v>
      </c>
      <c r="B2960" s="2">
        <v>114</v>
      </c>
      <c r="C2960" s="3" t="s">
        <v>95</v>
      </c>
      <c r="D2960" s="3" t="s">
        <v>96</v>
      </c>
      <c r="E2960" s="2"/>
      <c r="F2960" s="2"/>
      <c r="G2960" s="2" t="s">
        <v>80</v>
      </c>
      <c r="H2960" s="2">
        <v>4</v>
      </c>
      <c r="I2960" s="8">
        <v>127.4</v>
      </c>
      <c r="J2960" s="8">
        <v>43529</v>
      </c>
      <c r="K2960" s="3">
        <v>0</v>
      </c>
      <c r="L2960" s="3" t="s">
        <v>3</v>
      </c>
      <c r="M2960" s="9" t="s">
        <v>0</v>
      </c>
      <c r="N2960" s="9" t="s">
        <v>59</v>
      </c>
      <c r="O2960" s="9" t="s">
        <v>632</v>
      </c>
      <c r="S2960" s="9" t="s">
        <v>158</v>
      </c>
      <c r="T2960" s="10" t="s">
        <v>80</v>
      </c>
      <c r="U2960" s="10">
        <v>4</v>
      </c>
      <c r="V2960" s="10">
        <v>127.4</v>
      </c>
      <c r="W2960" s="10" t="s">
        <v>710</v>
      </c>
      <c r="X2960" s="17">
        <v>45679</v>
      </c>
      <c r="Y2960" s="17">
        <v>45690</v>
      </c>
      <c r="Z2960" s="19" t="s">
        <v>772</v>
      </c>
      <c r="AA2960" s="210">
        <v>45000</v>
      </c>
      <c r="AB2960" s="9">
        <v>48</v>
      </c>
      <c r="AC2960" s="9">
        <v>37</v>
      </c>
      <c r="AD2960" s="17">
        <v>46877</v>
      </c>
      <c r="AE2960" s="56">
        <v>623.91999999999996</v>
      </c>
      <c r="AF2960" s="56"/>
      <c r="AP2960" s="11"/>
      <c r="AQ2960" s="11"/>
      <c r="AR2960" s="11"/>
      <c r="AW2960" s="9"/>
      <c r="BD2960" s="9"/>
      <c r="CS2960" s="11">
        <f t="shared" si="202"/>
        <v>0</v>
      </c>
      <c r="CT2960" s="22">
        <f t="shared" si="203"/>
        <v>0</v>
      </c>
      <c r="CU2960" s="22">
        <f t="shared" si="204"/>
        <v>0</v>
      </c>
      <c r="CV2960" s="26">
        <f t="shared" si="201"/>
        <v>623.91999999999996</v>
      </c>
    </row>
    <row r="2961" spans="1:103" x14ac:dyDescent="0.2">
      <c r="A2961" s="9" t="s">
        <v>631</v>
      </c>
      <c r="B2961" s="2">
        <v>114</v>
      </c>
      <c r="C2961" s="3" t="s">
        <v>95</v>
      </c>
      <c r="D2961" s="3" t="s">
        <v>96</v>
      </c>
      <c r="E2961" s="2"/>
      <c r="F2961" s="2"/>
      <c r="G2961" s="2" t="s">
        <v>80</v>
      </c>
      <c r="H2961" s="2">
        <v>4</v>
      </c>
      <c r="I2961" s="8">
        <v>127.4</v>
      </c>
      <c r="J2961" s="8">
        <v>43529</v>
      </c>
      <c r="K2961" s="3">
        <v>0</v>
      </c>
      <c r="L2961" s="3" t="s">
        <v>3</v>
      </c>
      <c r="M2961" s="9" t="s">
        <v>0</v>
      </c>
      <c r="N2961" s="9" t="s">
        <v>59</v>
      </c>
      <c r="O2961" s="9" t="s">
        <v>632</v>
      </c>
      <c r="S2961" s="9" t="s">
        <v>158</v>
      </c>
      <c r="T2961" s="10" t="s">
        <v>80</v>
      </c>
      <c r="U2961" s="10">
        <v>4</v>
      </c>
      <c r="V2961" s="10">
        <v>127.4</v>
      </c>
      <c r="W2961" s="10" t="s">
        <v>710</v>
      </c>
      <c r="X2961" s="17">
        <v>45679</v>
      </c>
      <c r="Y2961" s="17">
        <v>45690</v>
      </c>
      <c r="Z2961" s="19" t="s">
        <v>772</v>
      </c>
      <c r="AA2961" s="210">
        <v>45000</v>
      </c>
      <c r="AB2961" s="9">
        <v>48</v>
      </c>
      <c r="AC2961" s="9">
        <v>38</v>
      </c>
      <c r="AD2961" s="17">
        <v>46908</v>
      </c>
      <c r="AE2961" s="56">
        <v>623.91999999999996</v>
      </c>
      <c r="AF2961" s="56"/>
      <c r="AP2961" s="11"/>
      <c r="AQ2961" s="11"/>
      <c r="AR2961" s="11"/>
      <c r="AW2961" s="9"/>
      <c r="BD2961" s="9"/>
      <c r="CS2961" s="11">
        <f t="shared" si="202"/>
        <v>0</v>
      </c>
      <c r="CT2961" s="22">
        <f t="shared" si="203"/>
        <v>0</v>
      </c>
      <c r="CU2961" s="22">
        <f t="shared" si="204"/>
        <v>0</v>
      </c>
      <c r="CV2961" s="26">
        <f t="shared" si="201"/>
        <v>623.91999999999996</v>
      </c>
    </row>
    <row r="2962" spans="1:103" x14ac:dyDescent="0.2">
      <c r="A2962" s="9" t="s">
        <v>631</v>
      </c>
      <c r="B2962" s="2">
        <v>114</v>
      </c>
      <c r="C2962" s="3" t="s">
        <v>95</v>
      </c>
      <c r="D2962" s="3" t="s">
        <v>96</v>
      </c>
      <c r="E2962" s="2"/>
      <c r="F2962" s="2"/>
      <c r="G2962" s="2" t="s">
        <v>80</v>
      </c>
      <c r="H2962" s="2">
        <v>4</v>
      </c>
      <c r="I2962" s="8">
        <v>127.4</v>
      </c>
      <c r="J2962" s="8">
        <v>43529</v>
      </c>
      <c r="K2962" s="3">
        <v>0</v>
      </c>
      <c r="L2962" s="3" t="s">
        <v>3</v>
      </c>
      <c r="M2962" s="9" t="s">
        <v>0</v>
      </c>
      <c r="N2962" s="9" t="s">
        <v>59</v>
      </c>
      <c r="O2962" s="9" t="s">
        <v>632</v>
      </c>
      <c r="S2962" s="9" t="s">
        <v>158</v>
      </c>
      <c r="T2962" s="10" t="s">
        <v>80</v>
      </c>
      <c r="U2962" s="10">
        <v>4</v>
      </c>
      <c r="V2962" s="10">
        <v>127.4</v>
      </c>
      <c r="W2962" s="10" t="s">
        <v>710</v>
      </c>
      <c r="X2962" s="17">
        <v>45679</v>
      </c>
      <c r="Y2962" s="17">
        <v>45690</v>
      </c>
      <c r="Z2962" s="19" t="s">
        <v>772</v>
      </c>
      <c r="AA2962" s="210">
        <v>45000</v>
      </c>
      <c r="AB2962" s="9">
        <v>48</v>
      </c>
      <c r="AC2962" s="9">
        <v>39</v>
      </c>
      <c r="AD2962" s="17">
        <v>46938</v>
      </c>
      <c r="AE2962" s="56">
        <v>623.91999999999996</v>
      </c>
      <c r="AF2962" s="56"/>
      <c r="AP2962" s="11"/>
      <c r="AQ2962" s="11"/>
      <c r="AR2962" s="11"/>
      <c r="AW2962" s="9"/>
      <c r="BD2962" s="9"/>
      <c r="CS2962" s="11">
        <f t="shared" si="202"/>
        <v>0</v>
      </c>
      <c r="CT2962" s="22">
        <f t="shared" si="203"/>
        <v>0</v>
      </c>
      <c r="CU2962" s="22">
        <f t="shared" si="204"/>
        <v>0</v>
      </c>
      <c r="CV2962" s="26">
        <f t="shared" si="201"/>
        <v>623.91999999999996</v>
      </c>
    </row>
    <row r="2963" spans="1:103" x14ac:dyDescent="0.2">
      <c r="A2963" s="9" t="s">
        <v>631</v>
      </c>
      <c r="B2963" s="2">
        <v>114</v>
      </c>
      <c r="C2963" s="3" t="s">
        <v>95</v>
      </c>
      <c r="D2963" s="3" t="s">
        <v>96</v>
      </c>
      <c r="E2963" s="2"/>
      <c r="F2963" s="2"/>
      <c r="G2963" s="2" t="s">
        <v>80</v>
      </c>
      <c r="H2963" s="2">
        <v>4</v>
      </c>
      <c r="I2963" s="8">
        <v>127.4</v>
      </c>
      <c r="J2963" s="8">
        <v>43529</v>
      </c>
      <c r="K2963" s="3">
        <v>0</v>
      </c>
      <c r="L2963" s="3" t="s">
        <v>3</v>
      </c>
      <c r="M2963" s="9" t="s">
        <v>0</v>
      </c>
      <c r="N2963" s="9" t="s">
        <v>59</v>
      </c>
      <c r="O2963" s="9" t="s">
        <v>632</v>
      </c>
      <c r="S2963" s="9" t="s">
        <v>158</v>
      </c>
      <c r="T2963" s="10" t="s">
        <v>80</v>
      </c>
      <c r="U2963" s="10">
        <v>4</v>
      </c>
      <c r="V2963" s="10">
        <v>127.4</v>
      </c>
      <c r="W2963" s="10" t="s">
        <v>710</v>
      </c>
      <c r="X2963" s="17">
        <v>45679</v>
      </c>
      <c r="Y2963" s="17">
        <v>45690</v>
      </c>
      <c r="Z2963" s="19" t="s">
        <v>772</v>
      </c>
      <c r="AA2963" s="210">
        <v>45000</v>
      </c>
      <c r="AB2963" s="9">
        <v>48</v>
      </c>
      <c r="AC2963" s="9">
        <v>40</v>
      </c>
      <c r="AD2963" s="17">
        <v>46969</v>
      </c>
      <c r="AE2963" s="56">
        <v>623.91999999999996</v>
      </c>
      <c r="AF2963" s="56"/>
      <c r="AP2963" s="11"/>
      <c r="AQ2963" s="11"/>
      <c r="AR2963" s="11"/>
      <c r="AW2963" s="9"/>
      <c r="BD2963" s="9"/>
      <c r="CS2963" s="11">
        <f t="shared" si="202"/>
        <v>0</v>
      </c>
      <c r="CT2963" s="22">
        <f t="shared" si="203"/>
        <v>0</v>
      </c>
      <c r="CU2963" s="22">
        <f t="shared" si="204"/>
        <v>0</v>
      </c>
      <c r="CV2963" s="26">
        <f t="shared" si="201"/>
        <v>623.91999999999996</v>
      </c>
    </row>
    <row r="2964" spans="1:103" x14ac:dyDescent="0.2">
      <c r="A2964" s="9" t="s">
        <v>631</v>
      </c>
      <c r="B2964" s="2">
        <v>114</v>
      </c>
      <c r="C2964" s="3" t="s">
        <v>95</v>
      </c>
      <c r="D2964" s="3" t="s">
        <v>96</v>
      </c>
      <c r="E2964" s="2"/>
      <c r="F2964" s="2"/>
      <c r="G2964" s="2" t="s">
        <v>80</v>
      </c>
      <c r="H2964" s="2">
        <v>4</v>
      </c>
      <c r="I2964" s="8">
        <v>127.4</v>
      </c>
      <c r="J2964" s="8">
        <v>43529</v>
      </c>
      <c r="K2964" s="3">
        <v>0</v>
      </c>
      <c r="L2964" s="3" t="s">
        <v>3</v>
      </c>
      <c r="M2964" s="9" t="s">
        <v>0</v>
      </c>
      <c r="N2964" s="9" t="s">
        <v>59</v>
      </c>
      <c r="O2964" s="9" t="s">
        <v>632</v>
      </c>
      <c r="S2964" s="9" t="s">
        <v>158</v>
      </c>
      <c r="T2964" s="10" t="s">
        <v>80</v>
      </c>
      <c r="U2964" s="10">
        <v>4</v>
      </c>
      <c r="V2964" s="10">
        <v>127.4</v>
      </c>
      <c r="W2964" s="10" t="s">
        <v>710</v>
      </c>
      <c r="X2964" s="17">
        <v>45679</v>
      </c>
      <c r="Y2964" s="17">
        <v>45690</v>
      </c>
      <c r="Z2964" s="19" t="s">
        <v>772</v>
      </c>
      <c r="AA2964" s="210">
        <v>45000</v>
      </c>
      <c r="AB2964" s="9">
        <v>48</v>
      </c>
      <c r="AC2964" s="9">
        <v>41</v>
      </c>
      <c r="AD2964" s="17">
        <v>47000</v>
      </c>
      <c r="AE2964" s="56">
        <v>623.91999999999996</v>
      </c>
      <c r="AF2964" s="56"/>
      <c r="AP2964" s="11"/>
      <c r="AQ2964" s="11"/>
      <c r="AR2964" s="11"/>
      <c r="AW2964" s="9"/>
      <c r="BD2964" s="9"/>
      <c r="CS2964" s="11">
        <f t="shared" si="202"/>
        <v>0</v>
      </c>
      <c r="CT2964" s="22">
        <f t="shared" si="203"/>
        <v>0</v>
      </c>
      <c r="CU2964" s="22">
        <f t="shared" si="204"/>
        <v>0</v>
      </c>
      <c r="CV2964" s="26">
        <f t="shared" si="201"/>
        <v>623.91999999999996</v>
      </c>
    </row>
    <row r="2965" spans="1:103" x14ac:dyDescent="0.2">
      <c r="A2965" s="9" t="s">
        <v>631</v>
      </c>
      <c r="B2965" s="2">
        <v>114</v>
      </c>
      <c r="C2965" s="3" t="s">
        <v>95</v>
      </c>
      <c r="D2965" s="3" t="s">
        <v>96</v>
      </c>
      <c r="E2965" s="2"/>
      <c r="F2965" s="2"/>
      <c r="G2965" s="2" t="s">
        <v>80</v>
      </c>
      <c r="H2965" s="2">
        <v>4</v>
      </c>
      <c r="I2965" s="8">
        <v>127.4</v>
      </c>
      <c r="J2965" s="8">
        <v>43529</v>
      </c>
      <c r="K2965" s="3">
        <v>0</v>
      </c>
      <c r="L2965" s="3" t="s">
        <v>3</v>
      </c>
      <c r="M2965" s="9" t="s">
        <v>0</v>
      </c>
      <c r="N2965" s="9" t="s">
        <v>59</v>
      </c>
      <c r="O2965" s="9" t="s">
        <v>632</v>
      </c>
      <c r="S2965" s="9" t="s">
        <v>158</v>
      </c>
      <c r="T2965" s="10" t="s">
        <v>80</v>
      </c>
      <c r="U2965" s="10">
        <v>4</v>
      </c>
      <c r="V2965" s="10">
        <v>127.4</v>
      </c>
      <c r="W2965" s="10" t="s">
        <v>710</v>
      </c>
      <c r="X2965" s="17">
        <v>45679</v>
      </c>
      <c r="Y2965" s="17">
        <v>45690</v>
      </c>
      <c r="Z2965" s="19" t="s">
        <v>772</v>
      </c>
      <c r="AA2965" s="210">
        <v>45000</v>
      </c>
      <c r="AB2965" s="9">
        <v>48</v>
      </c>
      <c r="AC2965" s="9">
        <v>42</v>
      </c>
      <c r="AD2965" s="17">
        <v>47030</v>
      </c>
      <c r="AE2965" s="56">
        <v>623.91999999999996</v>
      </c>
      <c r="AF2965" s="56"/>
      <c r="AP2965" s="11"/>
      <c r="AQ2965" s="11"/>
      <c r="AR2965" s="11"/>
      <c r="AW2965" s="9"/>
      <c r="BD2965" s="9"/>
      <c r="CS2965" s="11">
        <f t="shared" si="202"/>
        <v>0</v>
      </c>
      <c r="CT2965" s="22">
        <f t="shared" si="203"/>
        <v>0</v>
      </c>
      <c r="CU2965" s="22">
        <f t="shared" si="204"/>
        <v>0</v>
      </c>
      <c r="CV2965" s="26">
        <f t="shared" si="201"/>
        <v>623.91999999999996</v>
      </c>
    </row>
    <row r="2966" spans="1:103" x14ac:dyDescent="0.2">
      <c r="A2966" s="9" t="s">
        <v>631</v>
      </c>
      <c r="B2966" s="2">
        <v>114</v>
      </c>
      <c r="C2966" s="3" t="s">
        <v>95</v>
      </c>
      <c r="D2966" s="3" t="s">
        <v>96</v>
      </c>
      <c r="E2966" s="2"/>
      <c r="F2966" s="2"/>
      <c r="G2966" s="2" t="s">
        <v>80</v>
      </c>
      <c r="H2966" s="2">
        <v>4</v>
      </c>
      <c r="I2966" s="8">
        <v>127.4</v>
      </c>
      <c r="J2966" s="8">
        <v>43529</v>
      </c>
      <c r="K2966" s="3">
        <v>0</v>
      </c>
      <c r="L2966" s="3" t="s">
        <v>3</v>
      </c>
      <c r="M2966" s="9" t="s">
        <v>0</v>
      </c>
      <c r="N2966" s="9" t="s">
        <v>59</v>
      </c>
      <c r="O2966" s="9" t="s">
        <v>632</v>
      </c>
      <c r="S2966" s="9" t="s">
        <v>158</v>
      </c>
      <c r="T2966" s="10" t="s">
        <v>80</v>
      </c>
      <c r="U2966" s="10">
        <v>4</v>
      </c>
      <c r="V2966" s="10">
        <v>127.4</v>
      </c>
      <c r="W2966" s="10" t="s">
        <v>710</v>
      </c>
      <c r="X2966" s="17">
        <v>45679</v>
      </c>
      <c r="Y2966" s="17">
        <v>45690</v>
      </c>
      <c r="Z2966" s="19" t="s">
        <v>772</v>
      </c>
      <c r="AA2966" s="210">
        <v>45000</v>
      </c>
      <c r="AB2966" s="9">
        <v>48</v>
      </c>
      <c r="AC2966" s="9">
        <v>43</v>
      </c>
      <c r="AD2966" s="17">
        <v>47061</v>
      </c>
      <c r="AE2966" s="56">
        <v>623.91999999999996</v>
      </c>
      <c r="AF2966" s="56"/>
      <c r="AP2966" s="11"/>
      <c r="AQ2966" s="11"/>
      <c r="AR2966" s="11"/>
      <c r="AW2966" s="9"/>
      <c r="BD2966" s="9"/>
      <c r="CS2966" s="11">
        <f t="shared" si="202"/>
        <v>0</v>
      </c>
      <c r="CT2966" s="22">
        <f t="shared" si="203"/>
        <v>0</v>
      </c>
      <c r="CU2966" s="22">
        <f t="shared" si="204"/>
        <v>0</v>
      </c>
      <c r="CV2966" s="26">
        <f t="shared" si="201"/>
        <v>623.91999999999996</v>
      </c>
    </row>
    <row r="2967" spans="1:103" x14ac:dyDescent="0.2">
      <c r="A2967" s="9" t="s">
        <v>631</v>
      </c>
      <c r="B2967" s="2">
        <v>114</v>
      </c>
      <c r="C2967" s="3" t="s">
        <v>95</v>
      </c>
      <c r="D2967" s="3" t="s">
        <v>96</v>
      </c>
      <c r="E2967" s="2"/>
      <c r="F2967" s="2"/>
      <c r="G2967" s="2" t="s">
        <v>80</v>
      </c>
      <c r="H2967" s="2">
        <v>4</v>
      </c>
      <c r="I2967" s="8">
        <v>127.4</v>
      </c>
      <c r="J2967" s="8">
        <v>43529</v>
      </c>
      <c r="K2967" s="3">
        <v>0</v>
      </c>
      <c r="L2967" s="3" t="s">
        <v>3</v>
      </c>
      <c r="M2967" s="9" t="s">
        <v>0</v>
      </c>
      <c r="N2967" s="9" t="s">
        <v>59</v>
      </c>
      <c r="O2967" s="9" t="s">
        <v>632</v>
      </c>
      <c r="S2967" s="9" t="s">
        <v>158</v>
      </c>
      <c r="T2967" s="10" t="s">
        <v>80</v>
      </c>
      <c r="U2967" s="10">
        <v>4</v>
      </c>
      <c r="V2967" s="10">
        <v>127.4</v>
      </c>
      <c r="W2967" s="10" t="s">
        <v>710</v>
      </c>
      <c r="X2967" s="17">
        <v>45679</v>
      </c>
      <c r="Y2967" s="17">
        <v>45690</v>
      </c>
      <c r="Z2967" s="19" t="s">
        <v>772</v>
      </c>
      <c r="AA2967" s="210">
        <v>45000</v>
      </c>
      <c r="AB2967" s="9">
        <v>48</v>
      </c>
      <c r="AC2967" s="9">
        <v>44</v>
      </c>
      <c r="AD2967" s="17">
        <v>47091</v>
      </c>
      <c r="AE2967" s="56">
        <v>623.91999999999996</v>
      </c>
      <c r="AF2967" s="56"/>
      <c r="AP2967" s="11"/>
      <c r="AQ2967" s="11"/>
      <c r="AR2967" s="11"/>
      <c r="AW2967" s="9"/>
      <c r="BD2967" s="9"/>
      <c r="CS2967" s="11">
        <f t="shared" si="202"/>
        <v>0</v>
      </c>
      <c r="CT2967" s="22">
        <f t="shared" si="203"/>
        <v>0</v>
      </c>
      <c r="CU2967" s="22">
        <f t="shared" si="204"/>
        <v>0</v>
      </c>
      <c r="CV2967" s="26">
        <f t="shared" si="201"/>
        <v>623.91999999999996</v>
      </c>
    </row>
    <row r="2968" spans="1:103" x14ac:dyDescent="0.2">
      <c r="A2968" s="9" t="s">
        <v>631</v>
      </c>
      <c r="B2968" s="2">
        <v>114</v>
      </c>
      <c r="C2968" s="3" t="s">
        <v>95</v>
      </c>
      <c r="D2968" s="3" t="s">
        <v>96</v>
      </c>
      <c r="E2968" s="2"/>
      <c r="F2968" s="2"/>
      <c r="G2968" s="2" t="s">
        <v>80</v>
      </c>
      <c r="H2968" s="2">
        <v>4</v>
      </c>
      <c r="I2968" s="8">
        <v>127.4</v>
      </c>
      <c r="J2968" s="8">
        <v>43529</v>
      </c>
      <c r="K2968" s="3">
        <v>0</v>
      </c>
      <c r="L2968" s="3" t="s">
        <v>3</v>
      </c>
      <c r="M2968" s="9" t="s">
        <v>0</v>
      </c>
      <c r="N2968" s="9" t="s">
        <v>59</v>
      </c>
      <c r="O2968" s="9" t="s">
        <v>632</v>
      </c>
      <c r="S2968" s="9" t="s">
        <v>158</v>
      </c>
      <c r="T2968" s="10" t="s">
        <v>80</v>
      </c>
      <c r="U2968" s="10">
        <v>4</v>
      </c>
      <c r="V2968" s="10">
        <v>127.4</v>
      </c>
      <c r="W2968" s="10" t="s">
        <v>710</v>
      </c>
      <c r="X2968" s="17">
        <v>45679</v>
      </c>
      <c r="Y2968" s="17">
        <v>45690</v>
      </c>
      <c r="Z2968" s="19" t="s">
        <v>772</v>
      </c>
      <c r="AA2968" s="210">
        <v>45000</v>
      </c>
      <c r="AB2968" s="9">
        <v>48</v>
      </c>
      <c r="AC2968" s="9">
        <v>45</v>
      </c>
      <c r="AD2968" s="17">
        <v>47122</v>
      </c>
      <c r="AE2968" s="56">
        <v>623.91999999999996</v>
      </c>
      <c r="AF2968" s="56"/>
      <c r="AP2968" s="11"/>
      <c r="AQ2968" s="11"/>
      <c r="AR2968" s="11"/>
      <c r="AW2968" s="9"/>
      <c r="BD2968" s="9"/>
      <c r="CS2968" s="11">
        <f t="shared" si="202"/>
        <v>0</v>
      </c>
      <c r="CT2968" s="22">
        <f t="shared" si="203"/>
        <v>0</v>
      </c>
      <c r="CU2968" s="22">
        <f t="shared" si="204"/>
        <v>0</v>
      </c>
      <c r="CV2968" s="26">
        <f t="shared" si="201"/>
        <v>623.91999999999996</v>
      </c>
    </row>
    <row r="2969" spans="1:103" x14ac:dyDescent="0.2">
      <c r="A2969" s="9" t="s">
        <v>631</v>
      </c>
      <c r="B2969" s="2">
        <v>114</v>
      </c>
      <c r="C2969" s="3" t="s">
        <v>95</v>
      </c>
      <c r="D2969" s="3" t="s">
        <v>96</v>
      </c>
      <c r="E2969" s="2"/>
      <c r="F2969" s="2"/>
      <c r="G2969" s="2" t="s">
        <v>80</v>
      </c>
      <c r="H2969" s="2">
        <v>4</v>
      </c>
      <c r="I2969" s="8">
        <v>127.4</v>
      </c>
      <c r="J2969" s="8">
        <v>43529</v>
      </c>
      <c r="K2969" s="3">
        <v>0</v>
      </c>
      <c r="L2969" s="3" t="s">
        <v>3</v>
      </c>
      <c r="M2969" s="9" t="s">
        <v>0</v>
      </c>
      <c r="N2969" s="9" t="s">
        <v>59</v>
      </c>
      <c r="O2969" s="9" t="s">
        <v>632</v>
      </c>
      <c r="S2969" s="9" t="s">
        <v>158</v>
      </c>
      <c r="T2969" s="10" t="s">
        <v>80</v>
      </c>
      <c r="U2969" s="10">
        <v>4</v>
      </c>
      <c r="V2969" s="10">
        <v>127.4</v>
      </c>
      <c r="W2969" s="10" t="s">
        <v>710</v>
      </c>
      <c r="X2969" s="17">
        <v>45679</v>
      </c>
      <c r="Y2969" s="17">
        <v>45690</v>
      </c>
      <c r="Z2969" s="19" t="s">
        <v>772</v>
      </c>
      <c r="AA2969" s="210">
        <v>45000</v>
      </c>
      <c r="AB2969" s="9">
        <v>48</v>
      </c>
      <c r="AC2969" s="9">
        <v>46</v>
      </c>
      <c r="AD2969" s="17">
        <v>47153</v>
      </c>
      <c r="AE2969" s="56">
        <v>623.91999999999996</v>
      </c>
      <c r="AF2969" s="56"/>
      <c r="AP2969" s="11"/>
      <c r="AQ2969" s="11"/>
      <c r="AR2969" s="11"/>
      <c r="AW2969" s="9"/>
      <c r="BD2969" s="9"/>
      <c r="CS2969" s="11">
        <f t="shared" si="202"/>
        <v>0</v>
      </c>
      <c r="CT2969" s="22">
        <f t="shared" si="203"/>
        <v>0</v>
      </c>
      <c r="CU2969" s="22">
        <f t="shared" si="204"/>
        <v>0</v>
      </c>
      <c r="CV2969" s="26">
        <f t="shared" si="201"/>
        <v>623.91999999999996</v>
      </c>
    </row>
    <row r="2970" spans="1:103" x14ac:dyDescent="0.2">
      <c r="A2970" s="9" t="s">
        <v>631</v>
      </c>
      <c r="B2970" s="2">
        <v>114</v>
      </c>
      <c r="C2970" s="3" t="s">
        <v>95</v>
      </c>
      <c r="D2970" s="3" t="s">
        <v>96</v>
      </c>
      <c r="E2970" s="2"/>
      <c r="F2970" s="2"/>
      <c r="G2970" s="2" t="s">
        <v>80</v>
      </c>
      <c r="H2970" s="2">
        <v>4</v>
      </c>
      <c r="I2970" s="8">
        <v>127.4</v>
      </c>
      <c r="J2970" s="8">
        <v>43529</v>
      </c>
      <c r="K2970" s="3">
        <v>0</v>
      </c>
      <c r="L2970" s="3" t="s">
        <v>3</v>
      </c>
      <c r="M2970" s="9" t="s">
        <v>0</v>
      </c>
      <c r="N2970" s="9" t="s">
        <v>59</v>
      </c>
      <c r="O2970" s="9" t="s">
        <v>632</v>
      </c>
      <c r="S2970" s="9" t="s">
        <v>158</v>
      </c>
      <c r="T2970" s="10" t="s">
        <v>80</v>
      </c>
      <c r="U2970" s="10">
        <v>4</v>
      </c>
      <c r="V2970" s="10">
        <v>127.4</v>
      </c>
      <c r="W2970" s="10" t="s">
        <v>710</v>
      </c>
      <c r="X2970" s="17">
        <v>45679</v>
      </c>
      <c r="Y2970" s="17">
        <v>45690</v>
      </c>
      <c r="Z2970" s="19" t="s">
        <v>772</v>
      </c>
      <c r="AA2970" s="210">
        <v>45000</v>
      </c>
      <c r="AB2970" s="9">
        <v>48</v>
      </c>
      <c r="AC2970" s="9">
        <v>47</v>
      </c>
      <c r="AD2970" s="17">
        <v>47181</v>
      </c>
      <c r="AE2970" s="56">
        <v>623.91999999999996</v>
      </c>
      <c r="AF2970" s="56"/>
      <c r="AP2970" s="11"/>
      <c r="AQ2970" s="11"/>
      <c r="AR2970" s="11"/>
      <c r="AW2970" s="9"/>
      <c r="BD2970" s="9"/>
      <c r="CS2970" s="11">
        <f t="shared" si="202"/>
        <v>0</v>
      </c>
      <c r="CT2970" s="22">
        <f t="shared" si="203"/>
        <v>0</v>
      </c>
      <c r="CU2970" s="22">
        <f t="shared" si="204"/>
        <v>0</v>
      </c>
      <c r="CV2970" s="26">
        <f t="shared" si="201"/>
        <v>623.91999999999996</v>
      </c>
    </row>
    <row r="2971" spans="1:103" x14ac:dyDescent="0.2">
      <c r="A2971" s="9" t="s">
        <v>631</v>
      </c>
      <c r="B2971" s="2">
        <v>114</v>
      </c>
      <c r="C2971" s="3" t="s">
        <v>95</v>
      </c>
      <c r="D2971" s="3" t="s">
        <v>96</v>
      </c>
      <c r="E2971" s="2"/>
      <c r="F2971" s="2"/>
      <c r="G2971" s="2" t="s">
        <v>80</v>
      </c>
      <c r="H2971" s="2">
        <v>4</v>
      </c>
      <c r="I2971" s="8">
        <v>127.4</v>
      </c>
      <c r="J2971" s="8">
        <v>43529</v>
      </c>
      <c r="K2971" s="3">
        <v>0</v>
      </c>
      <c r="L2971" s="3" t="s">
        <v>3</v>
      </c>
      <c r="M2971" s="9" t="s">
        <v>0</v>
      </c>
      <c r="N2971" s="9" t="s">
        <v>59</v>
      </c>
      <c r="O2971" s="9" t="s">
        <v>632</v>
      </c>
      <c r="S2971" s="9" t="s">
        <v>158</v>
      </c>
      <c r="T2971" s="10" t="s">
        <v>80</v>
      </c>
      <c r="U2971" s="10">
        <v>4</v>
      </c>
      <c r="V2971" s="10">
        <v>127.4</v>
      </c>
      <c r="W2971" s="10" t="s">
        <v>710</v>
      </c>
      <c r="X2971" s="17">
        <v>45679</v>
      </c>
      <c r="Y2971" s="17">
        <v>45690</v>
      </c>
      <c r="Z2971" s="17"/>
      <c r="AA2971" s="210">
        <v>45000</v>
      </c>
      <c r="AB2971" s="9">
        <v>48</v>
      </c>
      <c r="AC2971" s="9">
        <v>48</v>
      </c>
      <c r="AD2971" s="17">
        <v>47212</v>
      </c>
      <c r="AE2971" s="56">
        <v>623.91999999999996</v>
      </c>
      <c r="AF2971" s="56"/>
      <c r="AP2971" s="11"/>
      <c r="AQ2971" s="11"/>
      <c r="AR2971" s="11"/>
      <c r="AW2971" s="9"/>
      <c r="BD2971" s="9"/>
      <c r="CT2971" s="22">
        <f>+BA2971+BG2971+BM2971+BS2971+BY2971+CE2971+CK2971</f>
        <v>0</v>
      </c>
      <c r="CU2971" s="22">
        <f>+AL2971+AT2971-CT2971</f>
        <v>0</v>
      </c>
      <c r="CV2971" s="26">
        <f t="shared" si="201"/>
        <v>623.91999999999996</v>
      </c>
    </row>
    <row r="2972" spans="1:103" x14ac:dyDescent="0.2">
      <c r="A2972" s="9" t="s">
        <v>638</v>
      </c>
      <c r="B2972" s="2">
        <v>134</v>
      </c>
      <c r="C2972" s="3" t="s">
        <v>95</v>
      </c>
      <c r="D2972" s="3" t="s">
        <v>96</v>
      </c>
      <c r="E2972" s="2"/>
      <c r="F2972" s="2"/>
      <c r="G2972" s="2" t="s">
        <v>83</v>
      </c>
      <c r="H2972" s="2">
        <v>4</v>
      </c>
      <c r="I2972" s="20">
        <v>141.51</v>
      </c>
      <c r="J2972" s="20">
        <v>47170</v>
      </c>
      <c r="K2972" s="3">
        <v>0</v>
      </c>
      <c r="L2972" s="3" t="s">
        <v>3</v>
      </c>
      <c r="M2972" s="9" t="s">
        <v>0</v>
      </c>
      <c r="N2972" s="9" t="s">
        <v>60</v>
      </c>
      <c r="O2972" s="9" t="s">
        <v>637</v>
      </c>
      <c r="S2972" s="9" t="s">
        <v>158</v>
      </c>
      <c r="T2972" s="10" t="s">
        <v>83</v>
      </c>
      <c r="U2972" s="10">
        <v>4</v>
      </c>
      <c r="V2972" s="10">
        <v>141.51</v>
      </c>
      <c r="W2972" s="10" t="s">
        <v>710</v>
      </c>
      <c r="X2972" s="17">
        <v>45693</v>
      </c>
      <c r="Y2972" s="17">
        <v>45694</v>
      </c>
      <c r="Z2972" s="19" t="s">
        <v>772</v>
      </c>
      <c r="AA2972" s="207">
        <v>47000</v>
      </c>
      <c r="AB2972" s="10">
        <v>49</v>
      </c>
      <c r="AC2972" s="10">
        <v>0</v>
      </c>
      <c r="AD2972" s="17">
        <v>45693</v>
      </c>
      <c r="AE2972" s="54">
        <v>100</v>
      </c>
      <c r="AF2972" s="54"/>
      <c r="AG2972" s="10" t="s">
        <v>134</v>
      </c>
      <c r="AH2972" s="18">
        <v>45694</v>
      </c>
      <c r="AI2972" s="18"/>
      <c r="AJ2972" s="18"/>
      <c r="AK2972" s="9" t="s">
        <v>639</v>
      </c>
      <c r="AL2972" s="22">
        <v>100</v>
      </c>
      <c r="AM2972" s="22"/>
      <c r="AN2972" s="22" t="s">
        <v>908</v>
      </c>
      <c r="AO2972" s="22"/>
      <c r="AP2972" s="22"/>
      <c r="AQ2972" s="22"/>
      <c r="AR2972" s="22"/>
      <c r="AS2972" s="22"/>
      <c r="AT2972" s="22"/>
      <c r="AU2972" s="22"/>
      <c r="AV2972" s="22"/>
      <c r="AW2972" s="17">
        <v>45693</v>
      </c>
      <c r="AX2972" s="10" t="s">
        <v>641</v>
      </c>
      <c r="AY2972" s="22">
        <v>371</v>
      </c>
      <c r="AZ2972" s="9">
        <v>3.71</v>
      </c>
      <c r="BA2972" s="22">
        <f>+AY2972/AZ2972</f>
        <v>100</v>
      </c>
      <c r="BB2972" s="22"/>
      <c r="BD2972" s="9"/>
      <c r="CS2972" s="11">
        <f t="shared" ref="CS2972:CS3035" si="205">+AL2972+AT2972</f>
        <v>100</v>
      </c>
      <c r="CT2972" s="22">
        <f t="shared" ref="CT2972:CT3035" si="206">+BA2972+BG2972+BM2972+BS2972+BY2972+CE2972+CK2972+CQ2972</f>
        <v>100</v>
      </c>
      <c r="CU2972" s="22">
        <f t="shared" ref="CU2972:CU3035" si="207">+CS2972-CT2972</f>
        <v>0</v>
      </c>
      <c r="CV2972" s="26">
        <f t="shared" si="201"/>
        <v>0</v>
      </c>
    </row>
    <row r="2973" spans="1:103" x14ac:dyDescent="0.2">
      <c r="A2973" s="9" t="s">
        <v>638</v>
      </c>
      <c r="B2973" s="2">
        <v>134</v>
      </c>
      <c r="C2973" s="3" t="s">
        <v>95</v>
      </c>
      <c r="D2973" s="3" t="s">
        <v>96</v>
      </c>
      <c r="E2973" s="2"/>
      <c r="F2973" s="2"/>
      <c r="G2973" s="2" t="s">
        <v>83</v>
      </c>
      <c r="H2973" s="2">
        <v>4</v>
      </c>
      <c r="I2973" s="20">
        <v>141.51</v>
      </c>
      <c r="J2973" s="20">
        <v>47170</v>
      </c>
      <c r="K2973" s="3">
        <v>0</v>
      </c>
      <c r="L2973" s="3" t="s">
        <v>3</v>
      </c>
      <c r="M2973" s="9" t="s">
        <v>0</v>
      </c>
      <c r="N2973" s="9" t="s">
        <v>60</v>
      </c>
      <c r="O2973" s="9" t="s">
        <v>637</v>
      </c>
      <c r="S2973" s="9" t="s">
        <v>158</v>
      </c>
      <c r="T2973" s="10" t="s">
        <v>83</v>
      </c>
      <c r="U2973" s="10">
        <v>4</v>
      </c>
      <c r="V2973" s="10">
        <v>141.51</v>
      </c>
      <c r="W2973" s="10" t="s">
        <v>710</v>
      </c>
      <c r="X2973" s="17">
        <v>45693</v>
      </c>
      <c r="Y2973" s="17">
        <v>45694</v>
      </c>
      <c r="Z2973" s="19" t="s">
        <v>772</v>
      </c>
      <c r="AA2973" s="207">
        <v>47000</v>
      </c>
      <c r="AB2973" s="10">
        <v>49</v>
      </c>
      <c r="AC2973" s="10">
        <v>0</v>
      </c>
      <c r="AD2973" s="17">
        <v>45694</v>
      </c>
      <c r="AE2973" s="54">
        <v>3900</v>
      </c>
      <c r="AF2973" s="54"/>
      <c r="AG2973" s="10" t="s">
        <v>134</v>
      </c>
      <c r="AH2973" s="17">
        <v>45694</v>
      </c>
      <c r="AI2973" s="17"/>
      <c r="AJ2973" s="17"/>
      <c r="AK2973" s="9" t="s">
        <v>640</v>
      </c>
      <c r="AL2973" s="86">
        <v>3900</v>
      </c>
      <c r="AM2973" s="86"/>
      <c r="AN2973" s="22" t="s">
        <v>909</v>
      </c>
      <c r="AO2973" s="22"/>
      <c r="AP2973" s="22"/>
      <c r="AQ2973" s="22"/>
      <c r="AR2973" s="22"/>
      <c r="AS2973" s="22"/>
      <c r="AT2973" s="22"/>
      <c r="AU2973" s="22"/>
      <c r="AV2973" s="22"/>
      <c r="AW2973" s="42">
        <v>45694</v>
      </c>
      <c r="AX2973" s="41">
        <v>3710</v>
      </c>
      <c r="AY2973" s="36"/>
      <c r="AZ2973" s="36"/>
      <c r="BA2973" s="40">
        <v>3900</v>
      </c>
      <c r="BB2973" s="22"/>
      <c r="BD2973" s="9"/>
      <c r="CS2973" s="11">
        <f t="shared" si="205"/>
        <v>3900</v>
      </c>
      <c r="CT2973" s="22">
        <f t="shared" si="206"/>
        <v>3900</v>
      </c>
      <c r="CU2973" s="22">
        <f t="shared" si="207"/>
        <v>0</v>
      </c>
      <c r="CV2973" s="26">
        <f t="shared" si="201"/>
        <v>0</v>
      </c>
    </row>
    <row r="2974" spans="1:103" s="27" customFormat="1" x14ac:dyDescent="0.2">
      <c r="A2974" s="27" t="s">
        <v>638</v>
      </c>
      <c r="B2974" s="67">
        <v>134</v>
      </c>
      <c r="C2974" s="68" t="s">
        <v>95</v>
      </c>
      <c r="D2974" s="68" t="s">
        <v>96</v>
      </c>
      <c r="E2974" s="67"/>
      <c r="F2974" s="67"/>
      <c r="G2974" s="67" t="s">
        <v>83</v>
      </c>
      <c r="H2974" s="67">
        <v>4</v>
      </c>
      <c r="I2974" s="217">
        <v>141.51</v>
      </c>
      <c r="J2974" s="217">
        <v>47170</v>
      </c>
      <c r="K2974" s="68">
        <v>0</v>
      </c>
      <c r="L2974" s="68" t="s">
        <v>3</v>
      </c>
      <c r="M2974" s="27" t="s">
        <v>0</v>
      </c>
      <c r="N2974" s="27" t="s">
        <v>60</v>
      </c>
      <c r="O2974" s="27" t="s">
        <v>637</v>
      </c>
      <c r="Q2974" s="218"/>
      <c r="S2974" s="27" t="s">
        <v>158</v>
      </c>
      <c r="T2974" s="69" t="s">
        <v>83</v>
      </c>
      <c r="U2974" s="69">
        <v>4</v>
      </c>
      <c r="V2974" s="69">
        <v>141.51</v>
      </c>
      <c r="W2974" s="69" t="s">
        <v>710</v>
      </c>
      <c r="X2974" s="70">
        <v>45693</v>
      </c>
      <c r="Y2974" s="70">
        <v>45694</v>
      </c>
      <c r="Z2974" s="219" t="s">
        <v>772</v>
      </c>
      <c r="AA2974" s="214">
        <v>47000</v>
      </c>
      <c r="AB2974" s="69">
        <v>49</v>
      </c>
      <c r="AC2974" s="69">
        <v>1</v>
      </c>
      <c r="AD2974" s="70">
        <v>45741</v>
      </c>
      <c r="AE2974" s="220">
        <v>4000</v>
      </c>
      <c r="AF2974" s="220"/>
      <c r="AG2974" s="228" t="s">
        <v>134</v>
      </c>
      <c r="AH2974" s="229">
        <v>45743</v>
      </c>
      <c r="AI2974" s="229"/>
      <c r="AJ2974" s="229"/>
      <c r="AK2974" s="77" t="s">
        <v>901</v>
      </c>
      <c r="AL2974" s="112">
        <v>4000</v>
      </c>
      <c r="AM2974" s="112"/>
      <c r="AN2974" s="77" t="s">
        <v>910</v>
      </c>
      <c r="AO2974" s="112" t="s">
        <v>899</v>
      </c>
      <c r="AP2974" s="113">
        <v>45790</v>
      </c>
      <c r="AQ2974" s="112"/>
      <c r="AR2974" s="112"/>
      <c r="AS2974" s="112" t="s">
        <v>917</v>
      </c>
      <c r="AT2974" s="112">
        <v>-4000</v>
      </c>
      <c r="AU2974" s="112"/>
      <c r="AV2974" s="112" t="s">
        <v>918</v>
      </c>
      <c r="AW2974" s="70">
        <v>45721</v>
      </c>
      <c r="AX2974" s="27">
        <v>3852</v>
      </c>
      <c r="AY2974" s="225"/>
      <c r="BA2974" s="225">
        <v>1800</v>
      </c>
      <c r="BB2974" s="28"/>
      <c r="BC2974" s="70">
        <v>45737</v>
      </c>
      <c r="BD2974" s="27">
        <v>3909</v>
      </c>
      <c r="BG2974" s="27">
        <v>950</v>
      </c>
      <c r="BI2974" s="70">
        <v>45742</v>
      </c>
      <c r="BJ2974" s="27">
        <v>3928</v>
      </c>
      <c r="BK2974" s="225"/>
      <c r="BM2974" s="225">
        <v>1250</v>
      </c>
      <c r="BN2974" s="225"/>
      <c r="CS2974" s="28">
        <f t="shared" si="205"/>
        <v>0</v>
      </c>
      <c r="CT2974" s="28">
        <f t="shared" si="206"/>
        <v>4000</v>
      </c>
      <c r="CU2974" s="28">
        <f t="shared" si="207"/>
        <v>-4000</v>
      </c>
      <c r="CV2974" s="222">
        <f t="shared" si="201"/>
        <v>4000</v>
      </c>
      <c r="CY2974" s="27" t="s">
        <v>3493</v>
      </c>
    </row>
    <row r="2975" spans="1:103" x14ac:dyDescent="0.2">
      <c r="A2975" s="9" t="s">
        <v>638</v>
      </c>
      <c r="B2975" s="2">
        <v>134</v>
      </c>
      <c r="C2975" s="3" t="s">
        <v>95</v>
      </c>
      <c r="D2975" s="3" t="s">
        <v>96</v>
      </c>
      <c r="E2975" s="2"/>
      <c r="F2975" s="2"/>
      <c r="G2975" s="2" t="s">
        <v>83</v>
      </c>
      <c r="H2975" s="2">
        <v>4</v>
      </c>
      <c r="I2975" s="20">
        <v>141.51</v>
      </c>
      <c r="J2975" s="20">
        <v>47170</v>
      </c>
      <c r="K2975" s="3">
        <v>0</v>
      </c>
      <c r="L2975" s="3" t="s">
        <v>3</v>
      </c>
      <c r="M2975" s="9" t="s">
        <v>0</v>
      </c>
      <c r="N2975" s="9" t="s">
        <v>60</v>
      </c>
      <c r="O2975" s="9" t="s">
        <v>637</v>
      </c>
      <c r="S2975" s="9" t="s">
        <v>158</v>
      </c>
      <c r="T2975" s="10" t="s">
        <v>83</v>
      </c>
      <c r="U2975" s="10">
        <v>4</v>
      </c>
      <c r="V2975" s="10">
        <v>141.51</v>
      </c>
      <c r="W2975" s="10" t="s">
        <v>710</v>
      </c>
      <c r="X2975" s="17">
        <v>45693</v>
      </c>
      <c r="Y2975" s="17">
        <v>45694</v>
      </c>
      <c r="Z2975" s="19" t="s">
        <v>772</v>
      </c>
      <c r="AA2975" s="207">
        <v>47000</v>
      </c>
      <c r="AB2975" s="10">
        <v>49</v>
      </c>
      <c r="AC2975" s="10">
        <v>2</v>
      </c>
      <c r="AD2975" s="17">
        <v>45762</v>
      </c>
      <c r="AE2975" s="54">
        <v>812.5</v>
      </c>
      <c r="AF2975" s="54"/>
      <c r="AG2975" s="10" t="s">
        <v>134</v>
      </c>
      <c r="AH2975" s="17">
        <v>45768</v>
      </c>
      <c r="AI2975" s="17"/>
      <c r="AJ2975" s="17"/>
      <c r="AK2975" s="9" t="s">
        <v>902</v>
      </c>
      <c r="AL2975" s="22">
        <v>812</v>
      </c>
      <c r="AM2975" s="22"/>
      <c r="AN2975" s="22" t="s">
        <v>911</v>
      </c>
      <c r="AO2975" s="22"/>
      <c r="AP2975" s="22"/>
      <c r="AQ2975" s="22"/>
      <c r="AR2975" s="22"/>
      <c r="AS2975" s="22"/>
      <c r="AT2975" s="22"/>
      <c r="AU2975" s="22"/>
      <c r="AV2975" s="22"/>
      <c r="AW2975" s="42">
        <v>45768</v>
      </c>
      <c r="AX2975" s="36">
        <v>4035</v>
      </c>
      <c r="AY2975" s="36"/>
      <c r="AZ2975" s="36"/>
      <c r="BA2975" s="40">
        <v>812</v>
      </c>
      <c r="BB2975" s="22"/>
      <c r="BD2975" s="9"/>
      <c r="CS2975" s="11">
        <f t="shared" si="205"/>
        <v>812</v>
      </c>
      <c r="CT2975" s="22">
        <f t="shared" si="206"/>
        <v>812</v>
      </c>
      <c r="CU2975" s="22">
        <f t="shared" si="207"/>
        <v>0</v>
      </c>
      <c r="CV2975" s="26">
        <f t="shared" si="201"/>
        <v>0.5</v>
      </c>
    </row>
    <row r="2976" spans="1:103" x14ac:dyDescent="0.2">
      <c r="A2976" s="9" t="s">
        <v>638</v>
      </c>
      <c r="B2976" s="2">
        <v>134</v>
      </c>
      <c r="C2976" s="3" t="s">
        <v>95</v>
      </c>
      <c r="D2976" s="3" t="s">
        <v>96</v>
      </c>
      <c r="E2976" s="2"/>
      <c r="F2976" s="2"/>
      <c r="G2976" s="2" t="s">
        <v>83</v>
      </c>
      <c r="H2976" s="2">
        <v>4</v>
      </c>
      <c r="I2976" s="20">
        <v>141.51</v>
      </c>
      <c r="J2976" s="20">
        <v>47170</v>
      </c>
      <c r="K2976" s="3">
        <v>0</v>
      </c>
      <c r="L2976" s="3" t="s">
        <v>3</v>
      </c>
      <c r="M2976" s="9" t="s">
        <v>0</v>
      </c>
      <c r="N2976" s="9" t="s">
        <v>60</v>
      </c>
      <c r="O2976" s="9" t="s">
        <v>637</v>
      </c>
      <c r="S2976" s="9" t="s">
        <v>158</v>
      </c>
      <c r="T2976" s="10" t="s">
        <v>83</v>
      </c>
      <c r="U2976" s="10">
        <v>4</v>
      </c>
      <c r="V2976" s="10">
        <v>141.51</v>
      </c>
      <c r="W2976" s="10" t="s">
        <v>710</v>
      </c>
      <c r="X2976" s="17">
        <v>45693</v>
      </c>
      <c r="Y2976" s="17">
        <v>45694</v>
      </c>
      <c r="Z2976" s="19" t="s">
        <v>772</v>
      </c>
      <c r="AA2976" s="207">
        <v>47000</v>
      </c>
      <c r="AB2976" s="10">
        <v>49</v>
      </c>
      <c r="AC2976" s="10">
        <v>3</v>
      </c>
      <c r="AD2976" s="17">
        <v>45792</v>
      </c>
      <c r="AE2976" s="54">
        <v>812.5</v>
      </c>
      <c r="AF2976" s="54"/>
      <c r="AG2976" s="10" t="s">
        <v>134</v>
      </c>
      <c r="AH2976" s="17">
        <v>45797</v>
      </c>
      <c r="AI2976" s="17"/>
      <c r="AJ2976" s="17"/>
      <c r="AK2976" s="9" t="s">
        <v>903</v>
      </c>
      <c r="AL2976" s="22">
        <v>812</v>
      </c>
      <c r="AM2976" s="22"/>
      <c r="AN2976" s="22" t="s">
        <v>912</v>
      </c>
      <c r="AO2976" s="22"/>
      <c r="AP2976" s="22"/>
      <c r="AQ2976" s="22"/>
      <c r="AR2976" s="22"/>
      <c r="AS2976" s="22"/>
      <c r="AT2976" s="22"/>
      <c r="AU2976" s="22"/>
      <c r="AV2976" s="22"/>
      <c r="AW2976" s="42">
        <v>45796</v>
      </c>
      <c r="AX2976" s="36">
        <v>4194</v>
      </c>
      <c r="AY2976" s="36"/>
      <c r="AZ2976" s="36"/>
      <c r="BA2976" s="40">
        <v>712</v>
      </c>
      <c r="BB2976" s="22"/>
      <c r="BC2976" s="42">
        <v>45796</v>
      </c>
      <c r="BD2976" s="36">
        <v>4195</v>
      </c>
      <c r="BE2976" s="36"/>
      <c r="BF2976" s="36"/>
      <c r="BG2976" s="40">
        <v>100</v>
      </c>
      <c r="BH2976" s="40"/>
      <c r="CS2976" s="11">
        <f t="shared" si="205"/>
        <v>812</v>
      </c>
      <c r="CT2976" s="22">
        <f t="shared" si="206"/>
        <v>812</v>
      </c>
      <c r="CU2976" s="22">
        <f t="shared" si="207"/>
        <v>0</v>
      </c>
      <c r="CV2976" s="26">
        <f t="shared" si="201"/>
        <v>0.5</v>
      </c>
    </row>
    <row r="2977" spans="1:100" x14ac:dyDescent="0.2">
      <c r="A2977" s="9" t="s">
        <v>638</v>
      </c>
      <c r="B2977" s="2">
        <v>134</v>
      </c>
      <c r="C2977" s="3" t="s">
        <v>95</v>
      </c>
      <c r="D2977" s="3" t="s">
        <v>96</v>
      </c>
      <c r="E2977" s="2"/>
      <c r="F2977" s="2"/>
      <c r="G2977" s="2" t="s">
        <v>83</v>
      </c>
      <c r="H2977" s="2">
        <v>4</v>
      </c>
      <c r="I2977" s="20">
        <v>141.51</v>
      </c>
      <c r="J2977" s="20">
        <v>47170</v>
      </c>
      <c r="K2977" s="3">
        <v>0</v>
      </c>
      <c r="L2977" s="3" t="s">
        <v>3</v>
      </c>
      <c r="M2977" s="9" t="s">
        <v>0</v>
      </c>
      <c r="N2977" s="9" t="s">
        <v>60</v>
      </c>
      <c r="O2977" s="9" t="s">
        <v>637</v>
      </c>
      <c r="S2977" s="9" t="s">
        <v>158</v>
      </c>
      <c r="T2977" s="10" t="s">
        <v>83</v>
      </c>
      <c r="U2977" s="10">
        <v>4</v>
      </c>
      <c r="V2977" s="10">
        <v>141.51</v>
      </c>
      <c r="W2977" s="10" t="s">
        <v>710</v>
      </c>
      <c r="X2977" s="17">
        <v>45693</v>
      </c>
      <c r="Y2977" s="17">
        <v>45694</v>
      </c>
      <c r="Z2977" s="19" t="s">
        <v>772</v>
      </c>
      <c r="AA2977" s="207">
        <v>47000</v>
      </c>
      <c r="AB2977" s="10">
        <v>49</v>
      </c>
      <c r="AC2977" s="10">
        <v>4</v>
      </c>
      <c r="AD2977" s="17">
        <v>45823</v>
      </c>
      <c r="AE2977" s="54">
        <v>812.5</v>
      </c>
      <c r="AF2977" s="54"/>
      <c r="AG2977" s="10" t="s">
        <v>134</v>
      </c>
      <c r="AH2977" s="17">
        <v>45826</v>
      </c>
      <c r="AI2977" s="17"/>
      <c r="AJ2977" s="17"/>
      <c r="AK2977" s="9" t="s">
        <v>904</v>
      </c>
      <c r="AL2977" s="22">
        <v>812</v>
      </c>
      <c r="AM2977" s="22"/>
      <c r="AN2977" s="22" t="s">
        <v>913</v>
      </c>
      <c r="AO2977" s="22"/>
      <c r="AP2977" s="22"/>
      <c r="AQ2977" s="22"/>
      <c r="AR2977" s="22"/>
      <c r="AS2977" s="22"/>
      <c r="AT2977" s="22"/>
      <c r="AU2977" s="22"/>
      <c r="AV2977" s="22"/>
      <c r="AW2977" s="42">
        <v>45825</v>
      </c>
      <c r="AX2977" s="36">
        <v>4317</v>
      </c>
      <c r="AY2977" s="36"/>
      <c r="AZ2977" s="36"/>
      <c r="BA2977" s="40">
        <v>810</v>
      </c>
      <c r="BB2977" s="22"/>
      <c r="BD2977" s="9"/>
      <c r="CS2977" s="11">
        <f t="shared" si="205"/>
        <v>812</v>
      </c>
      <c r="CT2977" s="22">
        <f t="shared" si="206"/>
        <v>810</v>
      </c>
      <c r="CU2977" s="22">
        <f t="shared" si="207"/>
        <v>2</v>
      </c>
      <c r="CV2977" s="26">
        <f t="shared" si="201"/>
        <v>0.5</v>
      </c>
    </row>
    <row r="2978" spans="1:100" ht="12.75" x14ac:dyDescent="0.2">
      <c r="A2978" s="9" t="s">
        <v>638</v>
      </c>
      <c r="B2978" s="2">
        <v>134</v>
      </c>
      <c r="C2978" s="3" t="s">
        <v>95</v>
      </c>
      <c r="D2978" s="3" t="s">
        <v>96</v>
      </c>
      <c r="E2978" s="2"/>
      <c r="F2978" s="2"/>
      <c r="G2978" s="2" t="s">
        <v>83</v>
      </c>
      <c r="H2978" s="2">
        <v>4</v>
      </c>
      <c r="I2978" s="20">
        <v>141.51</v>
      </c>
      <c r="J2978" s="20">
        <v>47170</v>
      </c>
      <c r="K2978" s="3">
        <v>0</v>
      </c>
      <c r="L2978" s="3" t="s">
        <v>3</v>
      </c>
      <c r="M2978" s="9" t="s">
        <v>0</v>
      </c>
      <c r="N2978" s="9" t="s">
        <v>60</v>
      </c>
      <c r="O2978" s="9" t="s">
        <v>637</v>
      </c>
      <c r="S2978" s="9" t="s">
        <v>158</v>
      </c>
      <c r="T2978" s="10" t="s">
        <v>83</v>
      </c>
      <c r="U2978" s="10">
        <v>4</v>
      </c>
      <c r="V2978" s="10">
        <v>141.51</v>
      </c>
      <c r="W2978" s="10" t="s">
        <v>710</v>
      </c>
      <c r="X2978" s="17">
        <v>45693</v>
      </c>
      <c r="Y2978" s="17">
        <v>45694</v>
      </c>
      <c r="Z2978" s="19" t="s">
        <v>772</v>
      </c>
      <c r="AA2978" s="207">
        <v>47000</v>
      </c>
      <c r="AB2978" s="10">
        <v>49</v>
      </c>
      <c r="AC2978" s="10">
        <v>5</v>
      </c>
      <c r="AD2978" s="17">
        <v>45853</v>
      </c>
      <c r="AE2978" s="54">
        <v>812.5</v>
      </c>
      <c r="AF2978" s="54"/>
      <c r="AG2978" s="10" t="s">
        <v>134</v>
      </c>
      <c r="AH2978" s="17">
        <v>45855</v>
      </c>
      <c r="AI2978" s="17"/>
      <c r="AJ2978" s="17"/>
      <c r="AK2978" s="9" t="s">
        <v>905</v>
      </c>
      <c r="AL2978" s="22">
        <v>816</v>
      </c>
      <c r="AM2978" s="22"/>
      <c r="AN2978" s="22" t="s">
        <v>914</v>
      </c>
      <c r="AO2978" s="22"/>
      <c r="AP2978" s="22"/>
      <c r="AQ2978" s="22"/>
      <c r="AR2978" s="22"/>
      <c r="AS2978" s="22"/>
      <c r="AT2978" s="22"/>
      <c r="AU2978" s="22"/>
      <c r="AV2978" s="22"/>
      <c r="AW2978" s="108">
        <v>45854</v>
      </c>
      <c r="AX2978" s="109">
        <v>4427</v>
      </c>
      <c r="AY2978" s="36"/>
      <c r="AZ2978" s="36"/>
      <c r="BA2978" s="110">
        <v>816</v>
      </c>
      <c r="BB2978" s="22"/>
      <c r="BD2978" s="9"/>
      <c r="CS2978" s="11">
        <f t="shared" si="205"/>
        <v>816</v>
      </c>
      <c r="CT2978" s="22">
        <f t="shared" si="206"/>
        <v>816</v>
      </c>
      <c r="CU2978" s="22">
        <f t="shared" si="207"/>
        <v>0</v>
      </c>
      <c r="CV2978" s="26">
        <f t="shared" si="201"/>
        <v>-3.5</v>
      </c>
    </row>
    <row r="2979" spans="1:100" ht="12.75" x14ac:dyDescent="0.2">
      <c r="A2979" s="9" t="s">
        <v>638</v>
      </c>
      <c r="B2979" s="2">
        <v>134</v>
      </c>
      <c r="C2979" s="3" t="s">
        <v>95</v>
      </c>
      <c r="D2979" s="3" t="s">
        <v>96</v>
      </c>
      <c r="E2979" s="2"/>
      <c r="F2979" s="2"/>
      <c r="G2979" s="2" t="s">
        <v>83</v>
      </c>
      <c r="H2979" s="2">
        <v>4</v>
      </c>
      <c r="I2979" s="20">
        <v>141.51</v>
      </c>
      <c r="J2979" s="20">
        <v>47170</v>
      </c>
      <c r="K2979" s="3">
        <v>0</v>
      </c>
      <c r="L2979" s="3" t="s">
        <v>3</v>
      </c>
      <c r="M2979" s="9" t="s">
        <v>0</v>
      </c>
      <c r="N2979" s="9" t="s">
        <v>60</v>
      </c>
      <c r="O2979" s="9" t="s">
        <v>637</v>
      </c>
      <c r="S2979" s="9" t="s">
        <v>158</v>
      </c>
      <c r="T2979" s="10" t="s">
        <v>83</v>
      </c>
      <c r="U2979" s="10">
        <v>4</v>
      </c>
      <c r="V2979" s="10">
        <v>141.51</v>
      </c>
      <c r="W2979" s="10" t="s">
        <v>710</v>
      </c>
      <c r="X2979" s="17">
        <v>45693</v>
      </c>
      <c r="Y2979" s="17">
        <v>45694</v>
      </c>
      <c r="Z2979" s="19" t="s">
        <v>772</v>
      </c>
      <c r="AA2979" s="207">
        <v>47000</v>
      </c>
      <c r="AB2979" s="10">
        <v>49</v>
      </c>
      <c r="AC2979" s="10">
        <v>6</v>
      </c>
      <c r="AD2979" s="17">
        <v>45884</v>
      </c>
      <c r="AE2979" s="54">
        <v>812.5</v>
      </c>
      <c r="AF2979" s="54"/>
      <c r="AG2979" s="10" t="s">
        <v>134</v>
      </c>
      <c r="AH2979" s="17">
        <v>45889</v>
      </c>
      <c r="AI2979" s="17"/>
      <c r="AJ2979" s="17"/>
      <c r="AK2979" s="9" t="s">
        <v>906</v>
      </c>
      <c r="AL2979" s="22">
        <v>810</v>
      </c>
      <c r="AM2979" s="22"/>
      <c r="AN2979" s="22" t="s">
        <v>915</v>
      </c>
      <c r="AO2979" s="22"/>
      <c r="AP2979" s="22"/>
      <c r="AQ2979" s="22"/>
      <c r="AR2979" s="22"/>
      <c r="AS2979" s="22"/>
      <c r="AT2979" s="22"/>
      <c r="AU2979" s="22"/>
      <c r="AV2979" s="22"/>
      <c r="AW2979" s="108">
        <v>45888</v>
      </c>
      <c r="AX2979" s="109">
        <v>4595</v>
      </c>
      <c r="AY2979" s="36"/>
      <c r="AZ2979" s="36"/>
      <c r="BA2979" s="110">
        <v>810</v>
      </c>
      <c r="BB2979" s="22"/>
      <c r="BD2979" s="9"/>
      <c r="CS2979" s="11">
        <f t="shared" si="205"/>
        <v>810</v>
      </c>
      <c r="CT2979" s="22">
        <f t="shared" si="206"/>
        <v>810</v>
      </c>
      <c r="CU2979" s="22">
        <f t="shared" si="207"/>
        <v>0</v>
      </c>
      <c r="CV2979" s="26">
        <f t="shared" si="201"/>
        <v>2.5</v>
      </c>
    </row>
    <row r="2980" spans="1:100" ht="12.75" x14ac:dyDescent="0.2">
      <c r="A2980" s="9" t="s">
        <v>638</v>
      </c>
      <c r="B2980" s="2">
        <v>134</v>
      </c>
      <c r="C2980" s="3" t="s">
        <v>95</v>
      </c>
      <c r="D2980" s="3" t="s">
        <v>96</v>
      </c>
      <c r="E2980" s="2"/>
      <c r="F2980" s="2"/>
      <c r="G2980" s="2" t="s">
        <v>83</v>
      </c>
      <c r="H2980" s="2">
        <v>4</v>
      </c>
      <c r="I2980" s="20">
        <v>141.51</v>
      </c>
      <c r="J2980" s="20">
        <v>47170</v>
      </c>
      <c r="K2980" s="3">
        <v>0</v>
      </c>
      <c r="L2980" s="3" t="s">
        <v>3</v>
      </c>
      <c r="M2980" s="9" t="s">
        <v>0</v>
      </c>
      <c r="N2980" s="9">
        <v>47862059</v>
      </c>
      <c r="O2980" s="9" t="s">
        <v>637</v>
      </c>
      <c r="S2980" s="9" t="s">
        <v>158</v>
      </c>
      <c r="T2980" s="10" t="s">
        <v>83</v>
      </c>
      <c r="U2980" s="10">
        <v>4</v>
      </c>
      <c r="V2980" s="10">
        <v>141.51</v>
      </c>
      <c r="W2980" s="10" t="s">
        <v>710</v>
      </c>
      <c r="X2980" s="17">
        <v>45693</v>
      </c>
      <c r="Y2980" s="17">
        <v>45694</v>
      </c>
      <c r="Z2980" s="19" t="s">
        <v>772</v>
      </c>
      <c r="AA2980" s="207">
        <v>47000</v>
      </c>
      <c r="AB2980" s="10">
        <v>49</v>
      </c>
      <c r="AC2980" s="10">
        <v>7</v>
      </c>
      <c r="AD2980" s="17">
        <v>45915</v>
      </c>
      <c r="AE2980" s="54">
        <v>812.5</v>
      </c>
      <c r="AF2980" s="54"/>
      <c r="AG2980" s="10" t="s">
        <v>134</v>
      </c>
      <c r="AH2980" s="17">
        <v>45924</v>
      </c>
      <c r="AI2980" s="17"/>
      <c r="AJ2980" s="17"/>
      <c r="AK2980" s="9" t="s">
        <v>907</v>
      </c>
      <c r="AL2980" s="22">
        <v>810</v>
      </c>
      <c r="AM2980" s="22"/>
      <c r="AN2980" s="22" t="s">
        <v>916</v>
      </c>
      <c r="AO2980" s="22"/>
      <c r="AP2980" s="22"/>
      <c r="AQ2980" s="22"/>
      <c r="AR2980" s="22"/>
      <c r="AS2980" s="22"/>
      <c r="AT2980" s="22"/>
      <c r="AU2980" s="22"/>
      <c r="AV2980" s="22"/>
      <c r="AW2980" s="108">
        <v>45924</v>
      </c>
      <c r="AX2980" s="109">
        <v>4792</v>
      </c>
      <c r="AY2980" s="36"/>
      <c r="AZ2980" s="36"/>
      <c r="BA2980" s="110">
        <v>810</v>
      </c>
      <c r="BB2980" s="22"/>
      <c r="BD2980" s="9"/>
      <c r="CS2980" s="11">
        <f t="shared" si="205"/>
        <v>810</v>
      </c>
      <c r="CT2980" s="22">
        <f t="shared" si="206"/>
        <v>810</v>
      </c>
      <c r="CU2980" s="22">
        <f t="shared" si="207"/>
        <v>0</v>
      </c>
      <c r="CV2980" s="26">
        <f t="shared" si="201"/>
        <v>2.5</v>
      </c>
    </row>
    <row r="2981" spans="1:100" x14ac:dyDescent="0.2">
      <c r="A2981" s="9" t="s">
        <v>638</v>
      </c>
      <c r="B2981" s="2">
        <v>134</v>
      </c>
      <c r="C2981" s="3" t="s">
        <v>95</v>
      </c>
      <c r="D2981" s="3" t="s">
        <v>96</v>
      </c>
      <c r="E2981" s="2"/>
      <c r="F2981" s="2"/>
      <c r="G2981" s="2" t="s">
        <v>83</v>
      </c>
      <c r="H2981" s="2">
        <v>4</v>
      </c>
      <c r="I2981" s="20">
        <v>141.51</v>
      </c>
      <c r="J2981" s="20">
        <v>47170</v>
      </c>
      <c r="K2981" s="3">
        <v>0</v>
      </c>
      <c r="L2981" s="3" t="s">
        <v>3</v>
      </c>
      <c r="M2981" s="9" t="s">
        <v>0</v>
      </c>
      <c r="N2981" s="9" t="s">
        <v>60</v>
      </c>
      <c r="O2981" s="9" t="s">
        <v>637</v>
      </c>
      <c r="S2981" s="9" t="s">
        <v>158</v>
      </c>
      <c r="T2981" s="10" t="s">
        <v>83</v>
      </c>
      <c r="U2981" s="10">
        <v>4</v>
      </c>
      <c r="V2981" s="10">
        <v>141.51</v>
      </c>
      <c r="W2981" s="10" t="s">
        <v>710</v>
      </c>
      <c r="X2981" s="17">
        <v>45693</v>
      </c>
      <c r="Y2981" s="17">
        <v>45694</v>
      </c>
      <c r="Z2981" s="19" t="s">
        <v>772</v>
      </c>
      <c r="AA2981" s="207">
        <v>47000</v>
      </c>
      <c r="AB2981" s="10">
        <v>49</v>
      </c>
      <c r="AC2981" s="10">
        <v>8</v>
      </c>
      <c r="AD2981" s="17">
        <v>45945</v>
      </c>
      <c r="AE2981" s="54">
        <v>812.5</v>
      </c>
      <c r="AF2981" s="54"/>
      <c r="AL2981" s="9"/>
      <c r="AM2981" s="9"/>
      <c r="AN2981" s="9"/>
      <c r="AO2981" s="22"/>
      <c r="AP2981" s="22"/>
      <c r="AQ2981" s="22"/>
      <c r="AR2981" s="22"/>
      <c r="AS2981" s="22"/>
      <c r="AT2981" s="22"/>
      <c r="AU2981" s="22"/>
      <c r="AV2981" s="22"/>
      <c r="AW2981" s="9"/>
      <c r="BA2981" s="22"/>
      <c r="BB2981" s="22"/>
      <c r="BD2981" s="9"/>
      <c r="CS2981" s="11">
        <f t="shared" si="205"/>
        <v>0</v>
      </c>
      <c r="CT2981" s="22">
        <f t="shared" si="206"/>
        <v>0</v>
      </c>
      <c r="CU2981" s="22">
        <f t="shared" si="207"/>
        <v>0</v>
      </c>
      <c r="CV2981" s="26">
        <f t="shared" si="201"/>
        <v>812.5</v>
      </c>
    </row>
    <row r="2982" spans="1:100" x14ac:dyDescent="0.2">
      <c r="A2982" s="9" t="s">
        <v>638</v>
      </c>
      <c r="B2982" s="2">
        <v>134</v>
      </c>
      <c r="C2982" s="3" t="s">
        <v>95</v>
      </c>
      <c r="D2982" s="3" t="s">
        <v>96</v>
      </c>
      <c r="E2982" s="2"/>
      <c r="F2982" s="2"/>
      <c r="G2982" s="2" t="s">
        <v>83</v>
      </c>
      <c r="H2982" s="2">
        <v>4</v>
      </c>
      <c r="I2982" s="20">
        <v>141.51</v>
      </c>
      <c r="J2982" s="20">
        <v>47170</v>
      </c>
      <c r="K2982" s="3">
        <v>0</v>
      </c>
      <c r="L2982" s="3" t="s">
        <v>3</v>
      </c>
      <c r="M2982" s="9" t="s">
        <v>0</v>
      </c>
      <c r="N2982" s="9" t="s">
        <v>60</v>
      </c>
      <c r="O2982" s="9" t="s">
        <v>637</v>
      </c>
      <c r="S2982" s="9" t="s">
        <v>158</v>
      </c>
      <c r="T2982" s="10" t="s">
        <v>83</v>
      </c>
      <c r="U2982" s="10">
        <v>4</v>
      </c>
      <c r="V2982" s="10">
        <v>141.51</v>
      </c>
      <c r="W2982" s="10" t="s">
        <v>710</v>
      </c>
      <c r="X2982" s="17">
        <v>45693</v>
      </c>
      <c r="Y2982" s="17">
        <v>45694</v>
      </c>
      <c r="Z2982" s="19" t="s">
        <v>772</v>
      </c>
      <c r="AA2982" s="207">
        <v>47000</v>
      </c>
      <c r="AB2982" s="10">
        <v>49</v>
      </c>
      <c r="AC2982" s="10">
        <v>9</v>
      </c>
      <c r="AD2982" s="17">
        <v>45976</v>
      </c>
      <c r="AE2982" s="54">
        <v>812.5</v>
      </c>
      <c r="AF2982" s="54"/>
      <c r="AL2982" s="9"/>
      <c r="AM2982" s="9"/>
      <c r="AN2982" s="9"/>
      <c r="AO2982" s="22"/>
      <c r="AP2982" s="22"/>
      <c r="AQ2982" s="22"/>
      <c r="AR2982" s="22"/>
      <c r="AS2982" s="22"/>
      <c r="AT2982" s="22"/>
      <c r="AU2982" s="22"/>
      <c r="AV2982" s="22"/>
      <c r="AW2982" s="9"/>
      <c r="BA2982" s="22"/>
      <c r="BB2982" s="22"/>
      <c r="BD2982" s="9"/>
      <c r="CS2982" s="11">
        <f t="shared" si="205"/>
        <v>0</v>
      </c>
      <c r="CT2982" s="22">
        <f t="shared" si="206"/>
        <v>0</v>
      </c>
      <c r="CU2982" s="22">
        <f t="shared" si="207"/>
        <v>0</v>
      </c>
      <c r="CV2982" s="26">
        <f t="shared" si="201"/>
        <v>812.5</v>
      </c>
    </row>
    <row r="2983" spans="1:100" ht="12.75" x14ac:dyDescent="0.2">
      <c r="A2983" s="9" t="s">
        <v>638</v>
      </c>
      <c r="B2983" s="2">
        <v>134</v>
      </c>
      <c r="C2983" s="3" t="s">
        <v>95</v>
      </c>
      <c r="D2983" s="3" t="s">
        <v>96</v>
      </c>
      <c r="E2983" s="2"/>
      <c r="F2983" s="2"/>
      <c r="G2983" s="2" t="s">
        <v>83</v>
      </c>
      <c r="H2983" s="2">
        <v>4</v>
      </c>
      <c r="I2983" s="20">
        <v>141.51</v>
      </c>
      <c r="J2983" s="20">
        <v>47170</v>
      </c>
      <c r="K2983" s="3">
        <v>0</v>
      </c>
      <c r="L2983" s="3" t="s">
        <v>3</v>
      </c>
      <c r="M2983" s="9" t="s">
        <v>0</v>
      </c>
      <c r="N2983" s="9" t="s">
        <v>60</v>
      </c>
      <c r="O2983" s="9" t="s">
        <v>637</v>
      </c>
      <c r="S2983" s="9" t="s">
        <v>158</v>
      </c>
      <c r="T2983" s="10" t="s">
        <v>83</v>
      </c>
      <c r="U2983" s="10">
        <v>4</v>
      </c>
      <c r="V2983" s="10">
        <v>141.51</v>
      </c>
      <c r="W2983" s="10" t="s">
        <v>710</v>
      </c>
      <c r="X2983" s="17">
        <v>45693</v>
      </c>
      <c r="Y2983" s="17">
        <v>45694</v>
      </c>
      <c r="Z2983" s="19" t="s">
        <v>772</v>
      </c>
      <c r="AA2983" s="207">
        <v>47000</v>
      </c>
      <c r="AB2983" s="10">
        <v>49</v>
      </c>
      <c r="AC2983" s="10">
        <v>10</v>
      </c>
      <c r="AD2983" s="17">
        <v>46006</v>
      </c>
      <c r="AE2983" s="54">
        <v>812.5</v>
      </c>
      <c r="AF2983" s="54"/>
      <c r="AL2983" s="22"/>
      <c r="AM2983" s="22"/>
      <c r="AN2983" s="22"/>
      <c r="AO2983" s="22"/>
      <c r="AP2983" s="22"/>
      <c r="AQ2983" s="22"/>
      <c r="AR2983" s="22"/>
      <c r="AS2983" s="22"/>
      <c r="AT2983" s="22"/>
      <c r="AU2983" s="22"/>
      <c r="AV2983" s="22"/>
      <c r="AW2983" s="94"/>
      <c r="AX2983" s="107"/>
      <c r="AY2983" s="96"/>
      <c r="BA2983" s="22"/>
      <c r="BB2983" s="22"/>
      <c r="BD2983" s="9"/>
      <c r="CS2983" s="11">
        <f t="shared" si="205"/>
        <v>0</v>
      </c>
      <c r="CT2983" s="22">
        <f t="shared" si="206"/>
        <v>0</v>
      </c>
      <c r="CU2983" s="22">
        <f t="shared" si="207"/>
        <v>0</v>
      </c>
      <c r="CV2983" s="26">
        <f t="shared" si="201"/>
        <v>812.5</v>
      </c>
    </row>
    <row r="2984" spans="1:100" x14ac:dyDescent="0.2">
      <c r="A2984" s="9" t="s">
        <v>638</v>
      </c>
      <c r="B2984" s="2">
        <v>134</v>
      </c>
      <c r="C2984" s="3" t="s">
        <v>95</v>
      </c>
      <c r="D2984" s="3" t="s">
        <v>96</v>
      </c>
      <c r="E2984" s="2"/>
      <c r="F2984" s="2"/>
      <c r="G2984" s="2" t="s">
        <v>83</v>
      </c>
      <c r="H2984" s="2">
        <v>4</v>
      </c>
      <c r="I2984" s="20">
        <v>141.51</v>
      </c>
      <c r="J2984" s="20">
        <v>47170</v>
      </c>
      <c r="K2984" s="3">
        <v>0</v>
      </c>
      <c r="L2984" s="3" t="s">
        <v>3</v>
      </c>
      <c r="M2984" s="9" t="s">
        <v>0</v>
      </c>
      <c r="N2984" s="9" t="s">
        <v>60</v>
      </c>
      <c r="O2984" s="9" t="s">
        <v>637</v>
      </c>
      <c r="S2984" s="9" t="s">
        <v>158</v>
      </c>
      <c r="T2984" s="10" t="s">
        <v>83</v>
      </c>
      <c r="U2984" s="10">
        <v>4</v>
      </c>
      <c r="V2984" s="10">
        <v>141.51</v>
      </c>
      <c r="W2984" s="10" t="s">
        <v>710</v>
      </c>
      <c r="X2984" s="17">
        <v>45693</v>
      </c>
      <c r="Y2984" s="17">
        <v>45694</v>
      </c>
      <c r="Z2984" s="19" t="s">
        <v>772</v>
      </c>
      <c r="AA2984" s="207">
        <v>47000</v>
      </c>
      <c r="AB2984" s="10">
        <v>49</v>
      </c>
      <c r="AC2984" s="10">
        <v>11</v>
      </c>
      <c r="AD2984" s="17">
        <v>46037</v>
      </c>
      <c r="AE2984" s="54">
        <v>812.5</v>
      </c>
      <c r="AF2984" s="54"/>
      <c r="AL2984" s="22"/>
      <c r="AM2984" s="22"/>
      <c r="AN2984" s="22"/>
      <c r="AO2984" s="22"/>
      <c r="AP2984" s="22"/>
      <c r="AQ2984" s="22"/>
      <c r="AR2984" s="22"/>
      <c r="AS2984" s="22"/>
      <c r="AT2984" s="22"/>
      <c r="AU2984" s="22"/>
      <c r="AV2984" s="22"/>
      <c r="AW2984" s="9"/>
      <c r="BA2984" s="22"/>
      <c r="BB2984" s="22"/>
      <c r="BD2984" s="9"/>
      <c r="CS2984" s="11">
        <f t="shared" si="205"/>
        <v>0</v>
      </c>
      <c r="CT2984" s="22">
        <f t="shared" si="206"/>
        <v>0</v>
      </c>
      <c r="CU2984" s="22">
        <f t="shared" si="207"/>
        <v>0</v>
      </c>
      <c r="CV2984" s="26">
        <f t="shared" si="201"/>
        <v>812.5</v>
      </c>
    </row>
    <row r="2985" spans="1:100" x14ac:dyDescent="0.2">
      <c r="A2985" s="9" t="s">
        <v>638</v>
      </c>
      <c r="B2985" s="2">
        <v>134</v>
      </c>
      <c r="C2985" s="3" t="s">
        <v>95</v>
      </c>
      <c r="D2985" s="3" t="s">
        <v>96</v>
      </c>
      <c r="E2985" s="2"/>
      <c r="F2985" s="2"/>
      <c r="G2985" s="2" t="s">
        <v>83</v>
      </c>
      <c r="H2985" s="2">
        <v>4</v>
      </c>
      <c r="I2985" s="20">
        <v>141.51</v>
      </c>
      <c r="J2985" s="20">
        <v>47170</v>
      </c>
      <c r="K2985" s="3">
        <v>0</v>
      </c>
      <c r="L2985" s="3" t="s">
        <v>3</v>
      </c>
      <c r="M2985" s="9" t="s">
        <v>0</v>
      </c>
      <c r="N2985" s="9" t="s">
        <v>60</v>
      </c>
      <c r="O2985" s="9" t="s">
        <v>637</v>
      </c>
      <c r="S2985" s="9" t="s">
        <v>158</v>
      </c>
      <c r="T2985" s="10" t="s">
        <v>83</v>
      </c>
      <c r="U2985" s="10">
        <v>4</v>
      </c>
      <c r="V2985" s="10">
        <v>141.51</v>
      </c>
      <c r="W2985" s="10" t="s">
        <v>710</v>
      </c>
      <c r="X2985" s="17">
        <v>45693</v>
      </c>
      <c r="Y2985" s="17">
        <v>45694</v>
      </c>
      <c r="Z2985" s="19" t="s">
        <v>772</v>
      </c>
      <c r="AA2985" s="207">
        <v>47000</v>
      </c>
      <c r="AB2985" s="10">
        <v>49</v>
      </c>
      <c r="AC2985" s="10">
        <v>12</v>
      </c>
      <c r="AD2985" s="17">
        <v>46068</v>
      </c>
      <c r="AE2985" s="54">
        <v>812.5</v>
      </c>
      <c r="AF2985" s="54"/>
      <c r="AL2985" s="22"/>
      <c r="AM2985" s="22"/>
      <c r="AN2985" s="22"/>
      <c r="AO2985" s="22"/>
      <c r="AP2985" s="22"/>
      <c r="AQ2985" s="22"/>
      <c r="AR2985" s="22"/>
      <c r="AS2985" s="22"/>
      <c r="AT2985" s="22"/>
      <c r="AU2985" s="22"/>
      <c r="AV2985" s="22"/>
      <c r="AW2985" s="9"/>
      <c r="BA2985" s="22"/>
      <c r="BB2985" s="22"/>
      <c r="BD2985" s="9"/>
      <c r="CS2985" s="11">
        <f t="shared" si="205"/>
        <v>0</v>
      </c>
      <c r="CT2985" s="22">
        <f t="shared" si="206"/>
        <v>0</v>
      </c>
      <c r="CU2985" s="22">
        <f t="shared" si="207"/>
        <v>0</v>
      </c>
      <c r="CV2985" s="26">
        <f t="shared" si="201"/>
        <v>812.5</v>
      </c>
    </row>
    <row r="2986" spans="1:100" x14ac:dyDescent="0.2">
      <c r="A2986" s="9" t="s">
        <v>638</v>
      </c>
      <c r="B2986" s="2">
        <v>134</v>
      </c>
      <c r="C2986" s="3" t="s">
        <v>95</v>
      </c>
      <c r="D2986" s="3" t="s">
        <v>96</v>
      </c>
      <c r="E2986" s="2"/>
      <c r="F2986" s="2"/>
      <c r="G2986" s="2" t="s">
        <v>83</v>
      </c>
      <c r="H2986" s="2">
        <v>4</v>
      </c>
      <c r="I2986" s="20">
        <v>141.51</v>
      </c>
      <c r="J2986" s="20">
        <v>47170</v>
      </c>
      <c r="K2986" s="3">
        <v>0</v>
      </c>
      <c r="L2986" s="3" t="s">
        <v>3</v>
      </c>
      <c r="M2986" s="9" t="s">
        <v>0</v>
      </c>
      <c r="N2986" s="9" t="s">
        <v>60</v>
      </c>
      <c r="O2986" s="9" t="s">
        <v>637</v>
      </c>
      <c r="S2986" s="9" t="s">
        <v>158</v>
      </c>
      <c r="T2986" s="10" t="s">
        <v>83</v>
      </c>
      <c r="U2986" s="10">
        <v>4</v>
      </c>
      <c r="V2986" s="10">
        <v>141.51</v>
      </c>
      <c r="W2986" s="10" t="s">
        <v>710</v>
      </c>
      <c r="X2986" s="17">
        <v>45693</v>
      </c>
      <c r="Y2986" s="17">
        <v>45694</v>
      </c>
      <c r="Z2986" s="19" t="s">
        <v>772</v>
      </c>
      <c r="AA2986" s="207">
        <v>47000</v>
      </c>
      <c r="AB2986" s="10">
        <v>49</v>
      </c>
      <c r="AC2986" s="10">
        <v>13</v>
      </c>
      <c r="AD2986" s="17">
        <v>46096</v>
      </c>
      <c r="AE2986" s="54">
        <v>812.5</v>
      </c>
      <c r="AF2986" s="54"/>
      <c r="AL2986" s="22"/>
      <c r="AM2986" s="22"/>
      <c r="AN2986" s="22"/>
      <c r="AO2986" s="22"/>
      <c r="AP2986" s="22"/>
      <c r="AQ2986" s="22"/>
      <c r="AR2986" s="22"/>
      <c r="AS2986" s="22"/>
      <c r="AT2986" s="22"/>
      <c r="AU2986" s="22"/>
      <c r="AV2986" s="22"/>
      <c r="AW2986" s="9"/>
      <c r="BA2986" s="22"/>
      <c r="BB2986" s="22"/>
      <c r="BD2986" s="9"/>
      <c r="CS2986" s="11">
        <f t="shared" si="205"/>
        <v>0</v>
      </c>
      <c r="CT2986" s="22">
        <f t="shared" si="206"/>
        <v>0</v>
      </c>
      <c r="CU2986" s="22">
        <f t="shared" si="207"/>
        <v>0</v>
      </c>
      <c r="CV2986" s="26">
        <f t="shared" si="201"/>
        <v>812.5</v>
      </c>
    </row>
    <row r="2987" spans="1:100" x14ac:dyDescent="0.2">
      <c r="A2987" s="9" t="s">
        <v>638</v>
      </c>
      <c r="B2987" s="2">
        <v>134</v>
      </c>
      <c r="C2987" s="3" t="s">
        <v>95</v>
      </c>
      <c r="D2987" s="3" t="s">
        <v>96</v>
      </c>
      <c r="E2987" s="2"/>
      <c r="F2987" s="2"/>
      <c r="G2987" s="2" t="s">
        <v>83</v>
      </c>
      <c r="H2987" s="2">
        <v>4</v>
      </c>
      <c r="I2987" s="20">
        <v>141.51</v>
      </c>
      <c r="J2987" s="20">
        <v>47170</v>
      </c>
      <c r="K2987" s="3">
        <v>0</v>
      </c>
      <c r="L2987" s="3" t="s">
        <v>3</v>
      </c>
      <c r="M2987" s="9" t="s">
        <v>0</v>
      </c>
      <c r="N2987" s="9" t="s">
        <v>60</v>
      </c>
      <c r="O2987" s="9" t="s">
        <v>637</v>
      </c>
      <c r="S2987" s="9" t="s">
        <v>158</v>
      </c>
      <c r="T2987" s="10" t="s">
        <v>83</v>
      </c>
      <c r="U2987" s="10">
        <v>4</v>
      </c>
      <c r="V2987" s="10">
        <v>141.51</v>
      </c>
      <c r="W2987" s="10" t="s">
        <v>710</v>
      </c>
      <c r="X2987" s="17">
        <v>45693</v>
      </c>
      <c r="Y2987" s="17">
        <v>45694</v>
      </c>
      <c r="Z2987" s="19" t="s">
        <v>772</v>
      </c>
      <c r="AA2987" s="207">
        <v>47000</v>
      </c>
      <c r="AB2987" s="10">
        <v>49</v>
      </c>
      <c r="AC2987" s="10">
        <v>14</v>
      </c>
      <c r="AD2987" s="17">
        <v>46127</v>
      </c>
      <c r="AE2987" s="54">
        <v>812.5</v>
      </c>
      <c r="AF2987" s="54"/>
      <c r="AL2987" s="22"/>
      <c r="AM2987" s="22"/>
      <c r="AN2987" s="22"/>
      <c r="AO2987" s="22"/>
      <c r="AP2987" s="22"/>
      <c r="AQ2987" s="22"/>
      <c r="AR2987" s="22"/>
      <c r="AS2987" s="22"/>
      <c r="AT2987" s="22"/>
      <c r="AU2987" s="22"/>
      <c r="AV2987" s="22"/>
      <c r="AW2987" s="9"/>
      <c r="BA2987" s="22"/>
      <c r="BB2987" s="22"/>
      <c r="BD2987" s="9"/>
      <c r="CS2987" s="11">
        <f t="shared" si="205"/>
        <v>0</v>
      </c>
      <c r="CT2987" s="22">
        <f t="shared" si="206"/>
        <v>0</v>
      </c>
      <c r="CU2987" s="22">
        <f t="shared" si="207"/>
        <v>0</v>
      </c>
      <c r="CV2987" s="26">
        <f t="shared" si="201"/>
        <v>812.5</v>
      </c>
    </row>
    <row r="2988" spans="1:100" x14ac:dyDescent="0.2">
      <c r="A2988" s="9" t="s">
        <v>638</v>
      </c>
      <c r="B2988" s="2">
        <v>134</v>
      </c>
      <c r="C2988" s="3" t="s">
        <v>95</v>
      </c>
      <c r="D2988" s="3" t="s">
        <v>96</v>
      </c>
      <c r="E2988" s="2"/>
      <c r="F2988" s="2"/>
      <c r="G2988" s="2" t="s">
        <v>83</v>
      </c>
      <c r="H2988" s="2">
        <v>4</v>
      </c>
      <c r="I2988" s="20">
        <v>141.51</v>
      </c>
      <c r="J2988" s="20">
        <v>47170</v>
      </c>
      <c r="K2988" s="3">
        <v>0</v>
      </c>
      <c r="L2988" s="3" t="s">
        <v>3</v>
      </c>
      <c r="M2988" s="9" t="s">
        <v>0</v>
      </c>
      <c r="N2988" s="9" t="s">
        <v>60</v>
      </c>
      <c r="O2988" s="9" t="s">
        <v>637</v>
      </c>
      <c r="S2988" s="9" t="s">
        <v>158</v>
      </c>
      <c r="T2988" s="10" t="s">
        <v>83</v>
      </c>
      <c r="U2988" s="10">
        <v>4</v>
      </c>
      <c r="V2988" s="10">
        <v>141.51</v>
      </c>
      <c r="W2988" s="10" t="s">
        <v>710</v>
      </c>
      <c r="X2988" s="17">
        <v>45693</v>
      </c>
      <c r="Y2988" s="17">
        <v>45694</v>
      </c>
      <c r="Z2988" s="19" t="s">
        <v>772</v>
      </c>
      <c r="AA2988" s="207">
        <v>47000</v>
      </c>
      <c r="AB2988" s="10">
        <v>49</v>
      </c>
      <c r="AC2988" s="10">
        <v>15</v>
      </c>
      <c r="AD2988" s="17">
        <v>46157</v>
      </c>
      <c r="AE2988" s="54">
        <v>812.5</v>
      </c>
      <c r="AF2988" s="54"/>
      <c r="AG2988" s="10"/>
      <c r="AH2988" s="18"/>
      <c r="AI2988" s="18"/>
      <c r="AJ2988" s="18"/>
      <c r="AL2988" s="22"/>
      <c r="AM2988" s="22"/>
      <c r="AN2988" s="22"/>
      <c r="AO2988" s="22"/>
      <c r="AP2988" s="22"/>
      <c r="AQ2988" s="22"/>
      <c r="AR2988" s="22"/>
      <c r="AS2988" s="22"/>
      <c r="AT2988" s="22"/>
      <c r="AU2988" s="22"/>
      <c r="AV2988" s="22"/>
      <c r="AW2988" s="9"/>
      <c r="BA2988" s="22"/>
      <c r="BB2988" s="22"/>
      <c r="BD2988" s="9"/>
      <c r="CS2988" s="11">
        <f t="shared" si="205"/>
        <v>0</v>
      </c>
      <c r="CT2988" s="22">
        <f t="shared" si="206"/>
        <v>0</v>
      </c>
      <c r="CU2988" s="22">
        <f t="shared" si="207"/>
        <v>0</v>
      </c>
      <c r="CV2988" s="26">
        <f t="shared" si="201"/>
        <v>812.5</v>
      </c>
    </row>
    <row r="2989" spans="1:100" x14ac:dyDescent="0.2">
      <c r="A2989" s="9" t="s">
        <v>638</v>
      </c>
      <c r="B2989" s="2">
        <v>134</v>
      </c>
      <c r="C2989" s="3" t="s">
        <v>95</v>
      </c>
      <c r="D2989" s="3" t="s">
        <v>96</v>
      </c>
      <c r="E2989" s="2"/>
      <c r="F2989" s="2"/>
      <c r="G2989" s="2" t="s">
        <v>83</v>
      </c>
      <c r="H2989" s="2">
        <v>4</v>
      </c>
      <c r="I2989" s="20">
        <v>141.51</v>
      </c>
      <c r="J2989" s="20">
        <v>47170</v>
      </c>
      <c r="K2989" s="3">
        <v>0</v>
      </c>
      <c r="L2989" s="3" t="s">
        <v>3</v>
      </c>
      <c r="M2989" s="9" t="s">
        <v>0</v>
      </c>
      <c r="N2989" s="9" t="s">
        <v>60</v>
      </c>
      <c r="O2989" s="9" t="s">
        <v>637</v>
      </c>
      <c r="S2989" s="9" t="s">
        <v>158</v>
      </c>
      <c r="T2989" s="10" t="s">
        <v>83</v>
      </c>
      <c r="U2989" s="10">
        <v>4</v>
      </c>
      <c r="V2989" s="10">
        <v>141.51</v>
      </c>
      <c r="W2989" s="10" t="s">
        <v>710</v>
      </c>
      <c r="X2989" s="17">
        <v>45693</v>
      </c>
      <c r="Y2989" s="17">
        <v>45694</v>
      </c>
      <c r="Z2989" s="19" t="s">
        <v>772</v>
      </c>
      <c r="AA2989" s="207">
        <v>47000</v>
      </c>
      <c r="AB2989" s="10">
        <v>49</v>
      </c>
      <c r="AC2989" s="10">
        <v>16</v>
      </c>
      <c r="AD2989" s="17">
        <v>46188</v>
      </c>
      <c r="AE2989" s="54">
        <v>812.5</v>
      </c>
      <c r="AF2989" s="54"/>
      <c r="AG2989" s="10"/>
      <c r="AH2989" s="17"/>
      <c r="AI2989" s="17"/>
      <c r="AJ2989" s="17"/>
      <c r="AL2989" s="22"/>
      <c r="AM2989" s="22"/>
      <c r="AN2989" s="22"/>
      <c r="AO2989" s="22"/>
      <c r="AP2989" s="22"/>
      <c r="AQ2989" s="22"/>
      <c r="AR2989" s="22"/>
      <c r="AS2989" s="22"/>
      <c r="AT2989" s="22"/>
      <c r="AU2989" s="22"/>
      <c r="AV2989" s="22"/>
      <c r="AW2989" s="17"/>
      <c r="AX2989" s="86"/>
      <c r="BA2989" s="22"/>
      <c r="BB2989" s="22"/>
      <c r="BD2989" s="9"/>
      <c r="CS2989" s="11">
        <f t="shared" si="205"/>
        <v>0</v>
      </c>
      <c r="CT2989" s="22">
        <f t="shared" si="206"/>
        <v>0</v>
      </c>
      <c r="CU2989" s="22">
        <f t="shared" si="207"/>
        <v>0</v>
      </c>
      <c r="CV2989" s="26">
        <f t="shared" si="201"/>
        <v>812.5</v>
      </c>
    </row>
    <row r="2990" spans="1:100" x14ac:dyDescent="0.2">
      <c r="A2990" s="9" t="s">
        <v>638</v>
      </c>
      <c r="B2990" s="2">
        <v>134</v>
      </c>
      <c r="C2990" s="3" t="s">
        <v>95</v>
      </c>
      <c r="D2990" s="3" t="s">
        <v>96</v>
      </c>
      <c r="E2990" s="2"/>
      <c r="F2990" s="2"/>
      <c r="G2990" s="2" t="s">
        <v>83</v>
      </c>
      <c r="H2990" s="2">
        <v>4</v>
      </c>
      <c r="I2990" s="20">
        <v>141.51</v>
      </c>
      <c r="J2990" s="20">
        <v>47170</v>
      </c>
      <c r="K2990" s="3">
        <v>0</v>
      </c>
      <c r="L2990" s="3" t="s">
        <v>3</v>
      </c>
      <c r="M2990" s="9" t="s">
        <v>0</v>
      </c>
      <c r="N2990" s="9" t="s">
        <v>60</v>
      </c>
      <c r="O2990" s="9" t="s">
        <v>637</v>
      </c>
      <c r="S2990" s="9" t="s">
        <v>158</v>
      </c>
      <c r="T2990" s="10" t="s">
        <v>83</v>
      </c>
      <c r="U2990" s="10">
        <v>4</v>
      </c>
      <c r="V2990" s="10">
        <v>141.51</v>
      </c>
      <c r="W2990" s="10" t="s">
        <v>710</v>
      </c>
      <c r="X2990" s="17">
        <v>45693</v>
      </c>
      <c r="Y2990" s="17">
        <v>45694</v>
      </c>
      <c r="Z2990" s="19" t="s">
        <v>772</v>
      </c>
      <c r="AA2990" s="207">
        <v>47000</v>
      </c>
      <c r="AB2990" s="10">
        <v>49</v>
      </c>
      <c r="AC2990" s="10">
        <v>17</v>
      </c>
      <c r="AD2990" s="17">
        <v>46218</v>
      </c>
      <c r="AE2990" s="54">
        <v>812.5</v>
      </c>
      <c r="AF2990" s="54"/>
      <c r="AG2990" s="10"/>
      <c r="AH2990" s="17"/>
      <c r="AI2990" s="17"/>
      <c r="AJ2990" s="17"/>
      <c r="AL2990" s="22"/>
      <c r="AM2990" s="22"/>
      <c r="AN2990" s="22"/>
      <c r="AO2990" s="22"/>
      <c r="AP2990" s="22"/>
      <c r="AQ2990" s="22"/>
      <c r="AR2990" s="22"/>
      <c r="AS2990" s="22"/>
      <c r="AT2990" s="22"/>
      <c r="AU2990" s="22"/>
      <c r="AV2990" s="22"/>
      <c r="AW2990" s="17"/>
      <c r="BA2990" s="22"/>
      <c r="BB2990" s="22"/>
      <c r="BD2990" s="9"/>
      <c r="CS2990" s="11">
        <f t="shared" si="205"/>
        <v>0</v>
      </c>
      <c r="CT2990" s="22">
        <f t="shared" si="206"/>
        <v>0</v>
      </c>
      <c r="CU2990" s="22">
        <f t="shared" si="207"/>
        <v>0</v>
      </c>
      <c r="CV2990" s="26">
        <f t="shared" si="201"/>
        <v>812.5</v>
      </c>
    </row>
    <row r="2991" spans="1:100" x14ac:dyDescent="0.2">
      <c r="A2991" s="9" t="s">
        <v>638</v>
      </c>
      <c r="B2991" s="2">
        <v>134</v>
      </c>
      <c r="C2991" s="3" t="s">
        <v>95</v>
      </c>
      <c r="D2991" s="3" t="s">
        <v>96</v>
      </c>
      <c r="E2991" s="2"/>
      <c r="F2991" s="2"/>
      <c r="G2991" s="2" t="s">
        <v>83</v>
      </c>
      <c r="H2991" s="2">
        <v>4</v>
      </c>
      <c r="I2991" s="20">
        <v>141.51</v>
      </c>
      <c r="J2991" s="20">
        <v>47170</v>
      </c>
      <c r="K2991" s="3">
        <v>0</v>
      </c>
      <c r="L2991" s="3" t="s">
        <v>3</v>
      </c>
      <c r="M2991" s="9" t="s">
        <v>0</v>
      </c>
      <c r="N2991" s="9" t="s">
        <v>60</v>
      </c>
      <c r="O2991" s="9" t="s">
        <v>637</v>
      </c>
      <c r="S2991" s="9" t="s">
        <v>158</v>
      </c>
      <c r="T2991" s="10" t="s">
        <v>83</v>
      </c>
      <c r="U2991" s="10">
        <v>4</v>
      </c>
      <c r="V2991" s="10">
        <v>141.51</v>
      </c>
      <c r="W2991" s="10" t="s">
        <v>710</v>
      </c>
      <c r="X2991" s="17">
        <v>45693</v>
      </c>
      <c r="Y2991" s="17">
        <v>45694</v>
      </c>
      <c r="Z2991" s="19" t="s">
        <v>772</v>
      </c>
      <c r="AA2991" s="207">
        <v>47000</v>
      </c>
      <c r="AB2991" s="10">
        <v>49</v>
      </c>
      <c r="AC2991" s="10">
        <v>18</v>
      </c>
      <c r="AD2991" s="17">
        <v>46249</v>
      </c>
      <c r="AE2991" s="54">
        <v>812.5</v>
      </c>
      <c r="AF2991" s="54"/>
      <c r="AL2991" s="22"/>
      <c r="AM2991" s="22"/>
      <c r="AN2991" s="22"/>
      <c r="AO2991" s="22"/>
      <c r="AP2991" s="22"/>
      <c r="AQ2991" s="22"/>
      <c r="AR2991" s="22"/>
      <c r="AS2991" s="22"/>
      <c r="AT2991" s="22"/>
      <c r="AU2991" s="22"/>
      <c r="AV2991" s="22"/>
      <c r="AW2991" s="17"/>
      <c r="AX2991" s="86"/>
      <c r="BA2991" s="22"/>
      <c r="BB2991" s="22"/>
      <c r="BD2991" s="9"/>
      <c r="CS2991" s="11">
        <f t="shared" si="205"/>
        <v>0</v>
      </c>
      <c r="CT2991" s="22">
        <f t="shared" si="206"/>
        <v>0</v>
      </c>
      <c r="CU2991" s="22">
        <f t="shared" si="207"/>
        <v>0</v>
      </c>
      <c r="CV2991" s="26">
        <f t="shared" si="201"/>
        <v>812.5</v>
      </c>
    </row>
    <row r="2992" spans="1:100" x14ac:dyDescent="0.2">
      <c r="A2992" s="9" t="s">
        <v>638</v>
      </c>
      <c r="B2992" s="2">
        <v>134</v>
      </c>
      <c r="C2992" s="3" t="s">
        <v>95</v>
      </c>
      <c r="D2992" s="3" t="s">
        <v>96</v>
      </c>
      <c r="E2992" s="2"/>
      <c r="F2992" s="2"/>
      <c r="G2992" s="2" t="s">
        <v>83</v>
      </c>
      <c r="H2992" s="2">
        <v>4</v>
      </c>
      <c r="I2992" s="20">
        <v>141.51</v>
      </c>
      <c r="J2992" s="20">
        <v>47170</v>
      </c>
      <c r="K2992" s="3">
        <v>0</v>
      </c>
      <c r="L2992" s="3" t="s">
        <v>3</v>
      </c>
      <c r="M2992" s="9" t="s">
        <v>0</v>
      </c>
      <c r="N2992" s="9" t="s">
        <v>60</v>
      </c>
      <c r="O2992" s="9" t="s">
        <v>637</v>
      </c>
      <c r="S2992" s="9" t="s">
        <v>158</v>
      </c>
      <c r="T2992" s="10" t="s">
        <v>83</v>
      </c>
      <c r="U2992" s="10">
        <v>4</v>
      </c>
      <c r="V2992" s="10">
        <v>141.51</v>
      </c>
      <c r="W2992" s="10" t="s">
        <v>710</v>
      </c>
      <c r="X2992" s="17">
        <v>45693</v>
      </c>
      <c r="Y2992" s="17">
        <v>45694</v>
      </c>
      <c r="Z2992" s="19" t="s">
        <v>772</v>
      </c>
      <c r="AA2992" s="207">
        <v>47000</v>
      </c>
      <c r="AB2992" s="10">
        <v>49</v>
      </c>
      <c r="AC2992" s="10">
        <v>19</v>
      </c>
      <c r="AD2992" s="17">
        <v>46280</v>
      </c>
      <c r="AE2992" s="54">
        <v>812.5</v>
      </c>
      <c r="AF2992" s="54"/>
      <c r="AL2992" s="22"/>
      <c r="AM2992" s="22"/>
      <c r="AN2992" s="22"/>
      <c r="AO2992" s="22"/>
      <c r="AP2992" s="22"/>
      <c r="AQ2992" s="22"/>
      <c r="AR2992" s="22"/>
      <c r="AS2992" s="22"/>
      <c r="AT2992" s="22"/>
      <c r="AU2992" s="22"/>
      <c r="AV2992" s="22"/>
      <c r="AW2992" s="9"/>
      <c r="BA2992" s="22"/>
      <c r="BB2992" s="22"/>
      <c r="BD2992" s="9"/>
      <c r="CS2992" s="11">
        <f t="shared" si="205"/>
        <v>0</v>
      </c>
      <c r="CT2992" s="22">
        <f t="shared" si="206"/>
        <v>0</v>
      </c>
      <c r="CU2992" s="22">
        <f t="shared" si="207"/>
        <v>0</v>
      </c>
      <c r="CV2992" s="26">
        <f t="shared" si="201"/>
        <v>812.5</v>
      </c>
    </row>
    <row r="2993" spans="1:100" x14ac:dyDescent="0.2">
      <c r="A2993" s="9" t="s">
        <v>638</v>
      </c>
      <c r="B2993" s="2">
        <v>134</v>
      </c>
      <c r="C2993" s="3" t="s">
        <v>95</v>
      </c>
      <c r="D2993" s="3" t="s">
        <v>96</v>
      </c>
      <c r="E2993" s="2"/>
      <c r="F2993" s="2"/>
      <c r="G2993" s="2" t="s">
        <v>83</v>
      </c>
      <c r="H2993" s="2">
        <v>4</v>
      </c>
      <c r="I2993" s="20">
        <v>141.51</v>
      </c>
      <c r="J2993" s="20">
        <v>47170</v>
      </c>
      <c r="K2993" s="3">
        <v>0</v>
      </c>
      <c r="L2993" s="3" t="s">
        <v>3</v>
      </c>
      <c r="M2993" s="9" t="s">
        <v>0</v>
      </c>
      <c r="N2993" s="9" t="s">
        <v>60</v>
      </c>
      <c r="O2993" s="9" t="s">
        <v>637</v>
      </c>
      <c r="S2993" s="9" t="s">
        <v>158</v>
      </c>
      <c r="T2993" s="10" t="s">
        <v>83</v>
      </c>
      <c r="U2993" s="10">
        <v>4</v>
      </c>
      <c r="V2993" s="10">
        <v>141.51</v>
      </c>
      <c r="W2993" s="10" t="s">
        <v>710</v>
      </c>
      <c r="X2993" s="17">
        <v>45693</v>
      </c>
      <c r="Y2993" s="17">
        <v>45694</v>
      </c>
      <c r="Z2993" s="19" t="s">
        <v>772</v>
      </c>
      <c r="AA2993" s="207">
        <v>47000</v>
      </c>
      <c r="AB2993" s="10">
        <v>49</v>
      </c>
      <c r="AC2993" s="10">
        <v>20</v>
      </c>
      <c r="AD2993" s="17">
        <v>46310</v>
      </c>
      <c r="AE2993" s="54">
        <v>812.5</v>
      </c>
      <c r="AF2993" s="54"/>
      <c r="AL2993" s="22"/>
      <c r="AM2993" s="22"/>
      <c r="AN2993" s="22"/>
      <c r="AO2993" s="22"/>
      <c r="AP2993" s="22"/>
      <c r="AQ2993" s="22"/>
      <c r="AR2993" s="22"/>
      <c r="AS2993" s="22"/>
      <c r="AT2993" s="22"/>
      <c r="AU2993" s="22"/>
      <c r="AV2993" s="22"/>
      <c r="AW2993" s="9"/>
      <c r="BA2993" s="22"/>
      <c r="BB2993" s="22"/>
      <c r="BD2993" s="9"/>
      <c r="CS2993" s="11">
        <f t="shared" si="205"/>
        <v>0</v>
      </c>
      <c r="CT2993" s="22">
        <f t="shared" si="206"/>
        <v>0</v>
      </c>
      <c r="CU2993" s="22">
        <f t="shared" si="207"/>
        <v>0</v>
      </c>
      <c r="CV2993" s="26">
        <f t="shared" si="201"/>
        <v>812.5</v>
      </c>
    </row>
    <row r="2994" spans="1:100" x14ac:dyDescent="0.2">
      <c r="A2994" s="9" t="s">
        <v>638</v>
      </c>
      <c r="B2994" s="2">
        <v>134</v>
      </c>
      <c r="C2994" s="3" t="s">
        <v>95</v>
      </c>
      <c r="D2994" s="3" t="s">
        <v>96</v>
      </c>
      <c r="E2994" s="2"/>
      <c r="F2994" s="2"/>
      <c r="G2994" s="2" t="s">
        <v>83</v>
      </c>
      <c r="H2994" s="2">
        <v>4</v>
      </c>
      <c r="I2994" s="20">
        <v>141.51</v>
      </c>
      <c r="J2994" s="20">
        <v>47170</v>
      </c>
      <c r="K2994" s="3">
        <v>0</v>
      </c>
      <c r="L2994" s="3" t="s">
        <v>3</v>
      </c>
      <c r="M2994" s="9" t="s">
        <v>0</v>
      </c>
      <c r="N2994" s="9" t="s">
        <v>60</v>
      </c>
      <c r="O2994" s="9" t="s">
        <v>637</v>
      </c>
      <c r="S2994" s="9" t="s">
        <v>158</v>
      </c>
      <c r="T2994" s="10" t="s">
        <v>83</v>
      </c>
      <c r="U2994" s="10">
        <v>4</v>
      </c>
      <c r="V2994" s="10">
        <v>141.51</v>
      </c>
      <c r="W2994" s="10" t="s">
        <v>710</v>
      </c>
      <c r="X2994" s="17">
        <v>45693</v>
      </c>
      <c r="Y2994" s="17">
        <v>45694</v>
      </c>
      <c r="Z2994" s="19" t="s">
        <v>772</v>
      </c>
      <c r="AA2994" s="207">
        <v>47000</v>
      </c>
      <c r="AB2994" s="10">
        <v>49</v>
      </c>
      <c r="AC2994" s="10">
        <v>21</v>
      </c>
      <c r="AD2994" s="17">
        <v>46341</v>
      </c>
      <c r="AE2994" s="54">
        <v>812.5</v>
      </c>
      <c r="AF2994" s="54"/>
      <c r="AL2994" s="22"/>
      <c r="AM2994" s="22"/>
      <c r="AN2994" s="22"/>
      <c r="AO2994" s="22"/>
      <c r="AP2994" s="22"/>
      <c r="AQ2994" s="22"/>
      <c r="AR2994" s="22"/>
      <c r="AS2994" s="22"/>
      <c r="AT2994" s="22"/>
      <c r="AU2994" s="22"/>
      <c r="AV2994" s="22"/>
      <c r="AW2994" s="9"/>
      <c r="BA2994" s="22"/>
      <c r="BB2994" s="22"/>
      <c r="BD2994" s="9"/>
      <c r="CS2994" s="11">
        <f t="shared" si="205"/>
        <v>0</v>
      </c>
      <c r="CT2994" s="22">
        <f t="shared" si="206"/>
        <v>0</v>
      </c>
      <c r="CU2994" s="22">
        <f t="shared" si="207"/>
        <v>0</v>
      </c>
      <c r="CV2994" s="26">
        <f t="shared" si="201"/>
        <v>812.5</v>
      </c>
    </row>
    <row r="2995" spans="1:100" x14ac:dyDescent="0.2">
      <c r="A2995" s="9" t="s">
        <v>638</v>
      </c>
      <c r="B2995" s="2">
        <v>134</v>
      </c>
      <c r="C2995" s="3" t="s">
        <v>95</v>
      </c>
      <c r="D2995" s="3" t="s">
        <v>96</v>
      </c>
      <c r="E2995" s="2"/>
      <c r="F2995" s="2"/>
      <c r="G2995" s="2" t="s">
        <v>83</v>
      </c>
      <c r="H2995" s="2">
        <v>4</v>
      </c>
      <c r="I2995" s="20">
        <v>141.51</v>
      </c>
      <c r="J2995" s="20">
        <v>47170</v>
      </c>
      <c r="K2995" s="3">
        <v>0</v>
      </c>
      <c r="L2995" s="3" t="s">
        <v>3</v>
      </c>
      <c r="M2995" s="9" t="s">
        <v>0</v>
      </c>
      <c r="N2995" s="9" t="s">
        <v>60</v>
      </c>
      <c r="O2995" s="9" t="s">
        <v>637</v>
      </c>
      <c r="S2995" s="9" t="s">
        <v>158</v>
      </c>
      <c r="T2995" s="10" t="s">
        <v>83</v>
      </c>
      <c r="U2995" s="10">
        <v>4</v>
      </c>
      <c r="V2995" s="10">
        <v>141.51</v>
      </c>
      <c r="W2995" s="10" t="s">
        <v>710</v>
      </c>
      <c r="X2995" s="17">
        <v>45693</v>
      </c>
      <c r="Y2995" s="17">
        <v>45694</v>
      </c>
      <c r="Z2995" s="19" t="s">
        <v>772</v>
      </c>
      <c r="AA2995" s="207">
        <v>47000</v>
      </c>
      <c r="AB2995" s="10">
        <v>49</v>
      </c>
      <c r="AC2995" s="10">
        <v>22</v>
      </c>
      <c r="AD2995" s="17">
        <v>46371</v>
      </c>
      <c r="AE2995" s="54">
        <v>812.5</v>
      </c>
      <c r="AF2995" s="54"/>
      <c r="AL2995" s="22"/>
      <c r="AM2995" s="22"/>
      <c r="AN2995" s="22"/>
      <c r="AO2995" s="22"/>
      <c r="AP2995" s="22"/>
      <c r="AQ2995" s="22"/>
      <c r="AR2995" s="22"/>
      <c r="AS2995" s="22"/>
      <c r="AT2995" s="22"/>
      <c r="AU2995" s="22"/>
      <c r="AV2995" s="22"/>
      <c r="AW2995" s="9"/>
      <c r="BA2995" s="22"/>
      <c r="BB2995" s="22"/>
      <c r="BD2995" s="9"/>
      <c r="CS2995" s="11">
        <f t="shared" si="205"/>
        <v>0</v>
      </c>
      <c r="CT2995" s="22">
        <f t="shared" si="206"/>
        <v>0</v>
      </c>
      <c r="CU2995" s="22">
        <f t="shared" si="207"/>
        <v>0</v>
      </c>
      <c r="CV2995" s="26">
        <f t="shared" si="201"/>
        <v>812.5</v>
      </c>
    </row>
    <row r="2996" spans="1:100" x14ac:dyDescent="0.2">
      <c r="A2996" s="9" t="s">
        <v>638</v>
      </c>
      <c r="B2996" s="2">
        <v>134</v>
      </c>
      <c r="C2996" s="3" t="s">
        <v>95</v>
      </c>
      <c r="D2996" s="3" t="s">
        <v>96</v>
      </c>
      <c r="E2996" s="2"/>
      <c r="F2996" s="2"/>
      <c r="G2996" s="2" t="s">
        <v>83</v>
      </c>
      <c r="H2996" s="2">
        <v>4</v>
      </c>
      <c r="I2996" s="20">
        <v>141.51</v>
      </c>
      <c r="J2996" s="20">
        <v>47170</v>
      </c>
      <c r="K2996" s="3">
        <v>0</v>
      </c>
      <c r="L2996" s="3" t="s">
        <v>3</v>
      </c>
      <c r="M2996" s="9" t="s">
        <v>0</v>
      </c>
      <c r="N2996" s="9" t="s">
        <v>60</v>
      </c>
      <c r="O2996" s="9" t="s">
        <v>637</v>
      </c>
      <c r="S2996" s="9" t="s">
        <v>158</v>
      </c>
      <c r="T2996" s="10" t="s">
        <v>83</v>
      </c>
      <c r="U2996" s="10">
        <v>4</v>
      </c>
      <c r="V2996" s="10">
        <v>141.51</v>
      </c>
      <c r="W2996" s="10" t="s">
        <v>710</v>
      </c>
      <c r="X2996" s="17">
        <v>45693</v>
      </c>
      <c r="Y2996" s="17">
        <v>45694</v>
      </c>
      <c r="Z2996" s="19" t="s">
        <v>772</v>
      </c>
      <c r="AA2996" s="207">
        <v>47000</v>
      </c>
      <c r="AB2996" s="10">
        <v>49</v>
      </c>
      <c r="AC2996" s="10">
        <v>23</v>
      </c>
      <c r="AD2996" s="17">
        <v>46402</v>
      </c>
      <c r="AE2996" s="54">
        <v>812.5</v>
      </c>
      <c r="AF2996" s="54"/>
      <c r="AL2996" s="22"/>
      <c r="AM2996" s="22"/>
      <c r="AN2996" s="22"/>
      <c r="AO2996" s="22"/>
      <c r="AP2996" s="22"/>
      <c r="AQ2996" s="22"/>
      <c r="AR2996" s="22"/>
      <c r="AS2996" s="22"/>
      <c r="AT2996" s="22"/>
      <c r="AU2996" s="22"/>
      <c r="AV2996" s="22"/>
      <c r="AW2996" s="9"/>
      <c r="BA2996" s="22"/>
      <c r="BB2996" s="22"/>
      <c r="BD2996" s="9"/>
      <c r="CS2996" s="11">
        <f t="shared" si="205"/>
        <v>0</v>
      </c>
      <c r="CT2996" s="22">
        <f t="shared" si="206"/>
        <v>0</v>
      </c>
      <c r="CU2996" s="22">
        <f t="shared" si="207"/>
        <v>0</v>
      </c>
      <c r="CV2996" s="26">
        <f t="shared" si="201"/>
        <v>812.5</v>
      </c>
    </row>
    <row r="2997" spans="1:100" x14ac:dyDescent="0.2">
      <c r="A2997" s="9" t="s">
        <v>638</v>
      </c>
      <c r="B2997" s="2">
        <v>134</v>
      </c>
      <c r="C2997" s="3" t="s">
        <v>95</v>
      </c>
      <c r="D2997" s="3" t="s">
        <v>96</v>
      </c>
      <c r="E2997" s="2"/>
      <c r="F2997" s="2"/>
      <c r="G2997" s="2" t="s">
        <v>83</v>
      </c>
      <c r="H2997" s="2">
        <v>4</v>
      </c>
      <c r="I2997" s="20">
        <v>141.51</v>
      </c>
      <c r="J2997" s="20">
        <v>47170</v>
      </c>
      <c r="K2997" s="3">
        <v>0</v>
      </c>
      <c r="L2997" s="3" t="s">
        <v>3</v>
      </c>
      <c r="M2997" s="9" t="s">
        <v>0</v>
      </c>
      <c r="N2997" s="9" t="s">
        <v>60</v>
      </c>
      <c r="O2997" s="9" t="s">
        <v>637</v>
      </c>
      <c r="S2997" s="9" t="s">
        <v>158</v>
      </c>
      <c r="T2997" s="10" t="s">
        <v>83</v>
      </c>
      <c r="U2997" s="10">
        <v>4</v>
      </c>
      <c r="V2997" s="10">
        <v>141.51</v>
      </c>
      <c r="W2997" s="10" t="s">
        <v>710</v>
      </c>
      <c r="X2997" s="17">
        <v>45693</v>
      </c>
      <c r="Y2997" s="17">
        <v>45694</v>
      </c>
      <c r="Z2997" s="19" t="s">
        <v>772</v>
      </c>
      <c r="AA2997" s="207">
        <v>47000</v>
      </c>
      <c r="AB2997" s="10">
        <v>49</v>
      </c>
      <c r="AC2997" s="10">
        <v>24</v>
      </c>
      <c r="AD2997" s="17">
        <v>46433</v>
      </c>
      <c r="AE2997" s="54">
        <v>812.5</v>
      </c>
      <c r="AF2997" s="54"/>
      <c r="AL2997" s="22"/>
      <c r="AM2997" s="22"/>
      <c r="AN2997" s="22"/>
      <c r="AO2997" s="22"/>
      <c r="AP2997" s="22"/>
      <c r="AQ2997" s="22"/>
      <c r="AR2997" s="22"/>
      <c r="AS2997" s="22"/>
      <c r="AT2997" s="22"/>
      <c r="AU2997" s="22"/>
      <c r="AV2997" s="22"/>
      <c r="AW2997" s="9"/>
      <c r="BA2997" s="22"/>
      <c r="BB2997" s="22"/>
      <c r="BD2997" s="9"/>
      <c r="CS2997" s="11">
        <f t="shared" si="205"/>
        <v>0</v>
      </c>
      <c r="CT2997" s="22">
        <f t="shared" si="206"/>
        <v>0</v>
      </c>
      <c r="CU2997" s="22">
        <f t="shared" si="207"/>
        <v>0</v>
      </c>
      <c r="CV2997" s="26">
        <f t="shared" si="201"/>
        <v>812.5</v>
      </c>
    </row>
    <row r="2998" spans="1:100" x14ac:dyDescent="0.2">
      <c r="A2998" s="9" t="s">
        <v>638</v>
      </c>
      <c r="B2998" s="2">
        <v>134</v>
      </c>
      <c r="C2998" s="3" t="s">
        <v>95</v>
      </c>
      <c r="D2998" s="3" t="s">
        <v>96</v>
      </c>
      <c r="E2998" s="2"/>
      <c r="F2998" s="2"/>
      <c r="G2998" s="2" t="s">
        <v>83</v>
      </c>
      <c r="H2998" s="2">
        <v>4</v>
      </c>
      <c r="I2998" s="20">
        <v>141.51</v>
      </c>
      <c r="J2998" s="20">
        <v>47170</v>
      </c>
      <c r="K2998" s="3">
        <v>0</v>
      </c>
      <c r="L2998" s="3" t="s">
        <v>3</v>
      </c>
      <c r="M2998" s="9" t="s">
        <v>0</v>
      </c>
      <c r="N2998" s="9" t="s">
        <v>60</v>
      </c>
      <c r="O2998" s="9" t="s">
        <v>637</v>
      </c>
      <c r="S2998" s="9" t="s">
        <v>158</v>
      </c>
      <c r="T2998" s="10" t="s">
        <v>83</v>
      </c>
      <c r="U2998" s="10">
        <v>4</v>
      </c>
      <c r="V2998" s="10">
        <v>141.51</v>
      </c>
      <c r="W2998" s="10" t="s">
        <v>710</v>
      </c>
      <c r="X2998" s="17">
        <v>45693</v>
      </c>
      <c r="Y2998" s="17">
        <v>45694</v>
      </c>
      <c r="Z2998" s="19" t="s">
        <v>772</v>
      </c>
      <c r="AA2998" s="207">
        <v>47000</v>
      </c>
      <c r="AB2998" s="10">
        <v>49</v>
      </c>
      <c r="AC2998" s="10">
        <v>25</v>
      </c>
      <c r="AD2998" s="17">
        <v>46461</v>
      </c>
      <c r="AE2998" s="54">
        <v>812.5</v>
      </c>
      <c r="AF2998" s="54"/>
      <c r="AL2998" s="22"/>
      <c r="AM2998" s="22"/>
      <c r="AN2998" s="22"/>
      <c r="AO2998" s="22"/>
      <c r="AP2998" s="22"/>
      <c r="AQ2998" s="22"/>
      <c r="AR2998" s="22"/>
      <c r="AS2998" s="22"/>
      <c r="AT2998" s="22"/>
      <c r="AU2998" s="22"/>
      <c r="AV2998" s="22"/>
      <c r="AW2998" s="9"/>
      <c r="BA2998" s="22"/>
      <c r="BB2998" s="22"/>
      <c r="BD2998" s="9"/>
      <c r="CS2998" s="11">
        <f t="shared" si="205"/>
        <v>0</v>
      </c>
      <c r="CT2998" s="22">
        <f t="shared" si="206"/>
        <v>0</v>
      </c>
      <c r="CU2998" s="22">
        <f t="shared" si="207"/>
        <v>0</v>
      </c>
      <c r="CV2998" s="26">
        <f t="shared" si="201"/>
        <v>812.5</v>
      </c>
    </row>
    <row r="2999" spans="1:100" x14ac:dyDescent="0.2">
      <c r="A2999" s="9" t="s">
        <v>638</v>
      </c>
      <c r="B2999" s="2">
        <v>134</v>
      </c>
      <c r="C2999" s="3" t="s">
        <v>95</v>
      </c>
      <c r="D2999" s="3" t="s">
        <v>96</v>
      </c>
      <c r="E2999" s="2"/>
      <c r="F2999" s="2"/>
      <c r="G2999" s="2" t="s">
        <v>83</v>
      </c>
      <c r="H2999" s="2">
        <v>4</v>
      </c>
      <c r="I2999" s="20">
        <v>141.51</v>
      </c>
      <c r="J2999" s="20">
        <v>47170</v>
      </c>
      <c r="K2999" s="3">
        <v>0</v>
      </c>
      <c r="L2999" s="3" t="s">
        <v>3</v>
      </c>
      <c r="M2999" s="9" t="s">
        <v>0</v>
      </c>
      <c r="N2999" s="9" t="s">
        <v>60</v>
      </c>
      <c r="O2999" s="9" t="s">
        <v>637</v>
      </c>
      <c r="S2999" s="9" t="s">
        <v>158</v>
      </c>
      <c r="T2999" s="10" t="s">
        <v>83</v>
      </c>
      <c r="U2999" s="10">
        <v>4</v>
      </c>
      <c r="V2999" s="10">
        <v>141.51</v>
      </c>
      <c r="W2999" s="10" t="s">
        <v>710</v>
      </c>
      <c r="X2999" s="17">
        <v>45693</v>
      </c>
      <c r="Y2999" s="17">
        <v>45694</v>
      </c>
      <c r="Z2999" s="19" t="s">
        <v>772</v>
      </c>
      <c r="AA2999" s="207">
        <v>47000</v>
      </c>
      <c r="AB2999" s="10">
        <v>49</v>
      </c>
      <c r="AC2999" s="10">
        <v>26</v>
      </c>
      <c r="AD2999" s="17">
        <v>46492</v>
      </c>
      <c r="AE2999" s="54">
        <v>812.5</v>
      </c>
      <c r="AF2999" s="54"/>
      <c r="AL2999" s="22"/>
      <c r="AM2999" s="22"/>
      <c r="AN2999" s="22"/>
      <c r="AO2999" s="22"/>
      <c r="AP2999" s="22"/>
      <c r="AQ2999" s="22"/>
      <c r="AR2999" s="22"/>
      <c r="AS2999" s="22"/>
      <c r="AT2999" s="22"/>
      <c r="AU2999" s="22"/>
      <c r="AV2999" s="22"/>
      <c r="AW2999" s="9"/>
      <c r="BA2999" s="22"/>
      <c r="BB2999" s="22"/>
      <c r="BD2999" s="9"/>
      <c r="CS2999" s="11">
        <f t="shared" si="205"/>
        <v>0</v>
      </c>
      <c r="CT2999" s="22">
        <f t="shared" si="206"/>
        <v>0</v>
      </c>
      <c r="CU2999" s="22">
        <f t="shared" si="207"/>
        <v>0</v>
      </c>
      <c r="CV2999" s="26">
        <f t="shared" si="201"/>
        <v>812.5</v>
      </c>
    </row>
    <row r="3000" spans="1:100" x14ac:dyDescent="0.2">
      <c r="A3000" s="9" t="s">
        <v>638</v>
      </c>
      <c r="B3000" s="2">
        <v>134</v>
      </c>
      <c r="C3000" s="3" t="s">
        <v>95</v>
      </c>
      <c r="D3000" s="3" t="s">
        <v>96</v>
      </c>
      <c r="E3000" s="2"/>
      <c r="F3000" s="2"/>
      <c r="G3000" s="2" t="s">
        <v>83</v>
      </c>
      <c r="H3000" s="2">
        <v>4</v>
      </c>
      <c r="I3000" s="20">
        <v>141.51</v>
      </c>
      <c r="J3000" s="20">
        <v>47170</v>
      </c>
      <c r="K3000" s="3">
        <v>0</v>
      </c>
      <c r="L3000" s="3" t="s">
        <v>3</v>
      </c>
      <c r="M3000" s="9" t="s">
        <v>0</v>
      </c>
      <c r="N3000" s="9" t="s">
        <v>60</v>
      </c>
      <c r="O3000" s="9" t="s">
        <v>637</v>
      </c>
      <c r="S3000" s="9" t="s">
        <v>158</v>
      </c>
      <c r="T3000" s="10" t="s">
        <v>83</v>
      </c>
      <c r="U3000" s="10">
        <v>4</v>
      </c>
      <c r="V3000" s="10">
        <v>141.51</v>
      </c>
      <c r="W3000" s="10" t="s">
        <v>710</v>
      </c>
      <c r="X3000" s="17">
        <v>45693</v>
      </c>
      <c r="Y3000" s="17">
        <v>45694</v>
      </c>
      <c r="Z3000" s="19" t="s">
        <v>772</v>
      </c>
      <c r="AA3000" s="207">
        <v>47000</v>
      </c>
      <c r="AB3000" s="10">
        <v>49</v>
      </c>
      <c r="AC3000" s="10">
        <v>27</v>
      </c>
      <c r="AD3000" s="17">
        <v>46522</v>
      </c>
      <c r="AE3000" s="54">
        <v>812.5</v>
      </c>
      <c r="AF3000" s="54"/>
      <c r="AL3000" s="22"/>
      <c r="AM3000" s="22"/>
      <c r="AN3000" s="22"/>
      <c r="AO3000" s="22"/>
      <c r="AP3000" s="22"/>
      <c r="AQ3000" s="22"/>
      <c r="AR3000" s="22"/>
      <c r="AS3000" s="22"/>
      <c r="AT3000" s="22"/>
      <c r="AU3000" s="22"/>
      <c r="AV3000" s="22"/>
      <c r="AW3000" s="9"/>
      <c r="BA3000" s="22"/>
      <c r="BB3000" s="22"/>
      <c r="BD3000" s="9"/>
      <c r="CS3000" s="11">
        <f t="shared" si="205"/>
        <v>0</v>
      </c>
      <c r="CT3000" s="22">
        <f t="shared" si="206"/>
        <v>0</v>
      </c>
      <c r="CU3000" s="22">
        <f t="shared" si="207"/>
        <v>0</v>
      </c>
      <c r="CV3000" s="26">
        <f t="shared" si="201"/>
        <v>812.5</v>
      </c>
    </row>
    <row r="3001" spans="1:100" x14ac:dyDescent="0.2">
      <c r="A3001" s="9" t="s">
        <v>638</v>
      </c>
      <c r="B3001" s="2">
        <v>134</v>
      </c>
      <c r="C3001" s="3" t="s">
        <v>95</v>
      </c>
      <c r="D3001" s="3" t="s">
        <v>96</v>
      </c>
      <c r="E3001" s="2"/>
      <c r="F3001" s="2"/>
      <c r="G3001" s="2" t="s">
        <v>83</v>
      </c>
      <c r="H3001" s="2">
        <v>4</v>
      </c>
      <c r="I3001" s="20">
        <v>141.51</v>
      </c>
      <c r="J3001" s="20">
        <v>47170</v>
      </c>
      <c r="K3001" s="3">
        <v>0</v>
      </c>
      <c r="L3001" s="3" t="s">
        <v>3</v>
      </c>
      <c r="M3001" s="9" t="s">
        <v>0</v>
      </c>
      <c r="N3001" s="9" t="s">
        <v>60</v>
      </c>
      <c r="O3001" s="9" t="s">
        <v>637</v>
      </c>
      <c r="S3001" s="9" t="s">
        <v>158</v>
      </c>
      <c r="T3001" s="10" t="s">
        <v>83</v>
      </c>
      <c r="U3001" s="10">
        <v>4</v>
      </c>
      <c r="V3001" s="10">
        <v>141.51</v>
      </c>
      <c r="W3001" s="10" t="s">
        <v>710</v>
      </c>
      <c r="X3001" s="17">
        <v>45693</v>
      </c>
      <c r="Y3001" s="17">
        <v>45694</v>
      </c>
      <c r="Z3001" s="19" t="s">
        <v>772</v>
      </c>
      <c r="AA3001" s="207">
        <v>47000</v>
      </c>
      <c r="AB3001" s="10">
        <v>49</v>
      </c>
      <c r="AC3001" s="10">
        <v>28</v>
      </c>
      <c r="AD3001" s="17">
        <v>46553</v>
      </c>
      <c r="AE3001" s="54">
        <v>812.5</v>
      </c>
      <c r="AF3001" s="54"/>
      <c r="AL3001" s="22"/>
      <c r="AM3001" s="22"/>
      <c r="AN3001" s="22"/>
      <c r="AO3001" s="22"/>
      <c r="AP3001" s="22"/>
      <c r="AQ3001" s="22"/>
      <c r="AR3001" s="22"/>
      <c r="AS3001" s="22"/>
      <c r="AT3001" s="22"/>
      <c r="AU3001" s="22"/>
      <c r="AV3001" s="22"/>
      <c r="AW3001" s="9"/>
      <c r="BA3001" s="22"/>
      <c r="BB3001" s="22"/>
      <c r="BD3001" s="9"/>
      <c r="CS3001" s="11">
        <f t="shared" si="205"/>
        <v>0</v>
      </c>
      <c r="CT3001" s="22">
        <f t="shared" si="206"/>
        <v>0</v>
      </c>
      <c r="CU3001" s="22">
        <f t="shared" si="207"/>
        <v>0</v>
      </c>
      <c r="CV3001" s="26">
        <f t="shared" ref="CV3001:CV3064" si="208">+AE3001-AL3001-AT3001</f>
        <v>812.5</v>
      </c>
    </row>
    <row r="3002" spans="1:100" x14ac:dyDescent="0.2">
      <c r="A3002" s="9" t="s">
        <v>638</v>
      </c>
      <c r="B3002" s="2">
        <v>134</v>
      </c>
      <c r="C3002" s="3" t="s">
        <v>95</v>
      </c>
      <c r="D3002" s="3" t="s">
        <v>96</v>
      </c>
      <c r="E3002" s="2"/>
      <c r="F3002" s="2"/>
      <c r="G3002" s="2" t="s">
        <v>83</v>
      </c>
      <c r="H3002" s="2">
        <v>4</v>
      </c>
      <c r="I3002" s="20">
        <v>141.51</v>
      </c>
      <c r="J3002" s="20">
        <v>47170</v>
      </c>
      <c r="K3002" s="3">
        <v>0</v>
      </c>
      <c r="L3002" s="3" t="s">
        <v>3</v>
      </c>
      <c r="M3002" s="9" t="s">
        <v>0</v>
      </c>
      <c r="N3002" s="9" t="s">
        <v>60</v>
      </c>
      <c r="O3002" s="9" t="s">
        <v>637</v>
      </c>
      <c r="S3002" s="9" t="s">
        <v>158</v>
      </c>
      <c r="T3002" s="10" t="s">
        <v>83</v>
      </c>
      <c r="U3002" s="10">
        <v>4</v>
      </c>
      <c r="V3002" s="10">
        <v>141.51</v>
      </c>
      <c r="W3002" s="10" t="s">
        <v>710</v>
      </c>
      <c r="X3002" s="17">
        <v>45693</v>
      </c>
      <c r="Y3002" s="17">
        <v>45694</v>
      </c>
      <c r="Z3002" s="19" t="s">
        <v>772</v>
      </c>
      <c r="AA3002" s="207">
        <v>47000</v>
      </c>
      <c r="AB3002" s="10">
        <v>49</v>
      </c>
      <c r="AC3002" s="10">
        <v>29</v>
      </c>
      <c r="AD3002" s="17">
        <v>46583</v>
      </c>
      <c r="AE3002" s="54">
        <v>812.5</v>
      </c>
      <c r="AF3002" s="54"/>
      <c r="AL3002" s="22"/>
      <c r="AM3002" s="22"/>
      <c r="AN3002" s="22"/>
      <c r="AO3002" s="22"/>
      <c r="AP3002" s="22"/>
      <c r="AQ3002" s="22"/>
      <c r="AR3002" s="22"/>
      <c r="AS3002" s="22"/>
      <c r="AT3002" s="22"/>
      <c r="AU3002" s="22"/>
      <c r="AV3002" s="22"/>
      <c r="AW3002" s="9"/>
      <c r="BA3002" s="22"/>
      <c r="BB3002" s="22"/>
      <c r="BD3002" s="9"/>
      <c r="CS3002" s="11">
        <f t="shared" si="205"/>
        <v>0</v>
      </c>
      <c r="CT3002" s="22">
        <f t="shared" si="206"/>
        <v>0</v>
      </c>
      <c r="CU3002" s="22">
        <f t="shared" si="207"/>
        <v>0</v>
      </c>
      <c r="CV3002" s="26">
        <f t="shared" si="208"/>
        <v>812.5</v>
      </c>
    </row>
    <row r="3003" spans="1:100" x14ac:dyDescent="0.2">
      <c r="A3003" s="9" t="s">
        <v>638</v>
      </c>
      <c r="B3003" s="2">
        <v>134</v>
      </c>
      <c r="C3003" s="3" t="s">
        <v>95</v>
      </c>
      <c r="D3003" s="3" t="s">
        <v>96</v>
      </c>
      <c r="E3003" s="2"/>
      <c r="F3003" s="2"/>
      <c r="G3003" s="2" t="s">
        <v>83</v>
      </c>
      <c r="H3003" s="2">
        <v>4</v>
      </c>
      <c r="I3003" s="20">
        <v>141.51</v>
      </c>
      <c r="J3003" s="20">
        <v>47170</v>
      </c>
      <c r="K3003" s="3">
        <v>0</v>
      </c>
      <c r="L3003" s="3" t="s">
        <v>3</v>
      </c>
      <c r="M3003" s="9" t="s">
        <v>0</v>
      </c>
      <c r="N3003" s="9" t="s">
        <v>60</v>
      </c>
      <c r="O3003" s="9" t="s">
        <v>637</v>
      </c>
      <c r="S3003" s="9" t="s">
        <v>158</v>
      </c>
      <c r="T3003" s="10" t="s">
        <v>83</v>
      </c>
      <c r="U3003" s="10">
        <v>4</v>
      </c>
      <c r="V3003" s="10">
        <v>141.51</v>
      </c>
      <c r="W3003" s="10" t="s">
        <v>710</v>
      </c>
      <c r="X3003" s="17">
        <v>45693</v>
      </c>
      <c r="Y3003" s="17">
        <v>45694</v>
      </c>
      <c r="Z3003" s="19" t="s">
        <v>772</v>
      </c>
      <c r="AA3003" s="207">
        <v>47000</v>
      </c>
      <c r="AB3003" s="10">
        <v>49</v>
      </c>
      <c r="AC3003" s="10">
        <v>30</v>
      </c>
      <c r="AD3003" s="17">
        <v>46614</v>
      </c>
      <c r="AE3003" s="54">
        <v>812.5</v>
      </c>
      <c r="AF3003" s="54"/>
      <c r="AL3003" s="22"/>
      <c r="AM3003" s="22"/>
      <c r="AN3003" s="22"/>
      <c r="AO3003" s="22"/>
      <c r="AP3003" s="22"/>
      <c r="AQ3003" s="22"/>
      <c r="AR3003" s="22"/>
      <c r="AS3003" s="22"/>
      <c r="AT3003" s="22"/>
      <c r="AU3003" s="22"/>
      <c r="AV3003" s="22"/>
      <c r="AW3003" s="9"/>
      <c r="BA3003" s="22"/>
      <c r="BB3003" s="22"/>
      <c r="BD3003" s="9"/>
      <c r="CS3003" s="11">
        <f t="shared" si="205"/>
        <v>0</v>
      </c>
      <c r="CT3003" s="22">
        <f t="shared" si="206"/>
        <v>0</v>
      </c>
      <c r="CU3003" s="22">
        <f t="shared" si="207"/>
        <v>0</v>
      </c>
      <c r="CV3003" s="26">
        <f t="shared" si="208"/>
        <v>812.5</v>
      </c>
    </row>
    <row r="3004" spans="1:100" x14ac:dyDescent="0.2">
      <c r="A3004" s="9" t="s">
        <v>638</v>
      </c>
      <c r="B3004" s="2">
        <v>134</v>
      </c>
      <c r="C3004" s="3" t="s">
        <v>95</v>
      </c>
      <c r="D3004" s="3" t="s">
        <v>96</v>
      </c>
      <c r="E3004" s="2"/>
      <c r="F3004" s="2"/>
      <c r="G3004" s="2" t="s">
        <v>83</v>
      </c>
      <c r="H3004" s="2">
        <v>4</v>
      </c>
      <c r="I3004" s="20">
        <v>141.51</v>
      </c>
      <c r="J3004" s="20">
        <v>47170</v>
      </c>
      <c r="K3004" s="3">
        <v>0</v>
      </c>
      <c r="L3004" s="3" t="s">
        <v>3</v>
      </c>
      <c r="M3004" s="9" t="s">
        <v>0</v>
      </c>
      <c r="N3004" s="9" t="s">
        <v>60</v>
      </c>
      <c r="O3004" s="9" t="s">
        <v>637</v>
      </c>
      <c r="S3004" s="9" t="s">
        <v>158</v>
      </c>
      <c r="T3004" s="10" t="s">
        <v>83</v>
      </c>
      <c r="U3004" s="10">
        <v>4</v>
      </c>
      <c r="V3004" s="10">
        <v>141.51</v>
      </c>
      <c r="W3004" s="10" t="s">
        <v>710</v>
      </c>
      <c r="X3004" s="17">
        <v>45693</v>
      </c>
      <c r="Y3004" s="17">
        <v>45694</v>
      </c>
      <c r="Z3004" s="19" t="s">
        <v>772</v>
      </c>
      <c r="AA3004" s="207">
        <v>47000</v>
      </c>
      <c r="AB3004" s="10">
        <v>49</v>
      </c>
      <c r="AC3004" s="10">
        <v>31</v>
      </c>
      <c r="AD3004" s="17">
        <v>46645</v>
      </c>
      <c r="AE3004" s="54">
        <v>812.5</v>
      </c>
      <c r="AF3004" s="54"/>
      <c r="AL3004" s="22"/>
      <c r="AM3004" s="22"/>
      <c r="AN3004" s="22"/>
      <c r="AO3004" s="22"/>
      <c r="AP3004" s="22"/>
      <c r="AQ3004" s="22"/>
      <c r="AR3004" s="22"/>
      <c r="AS3004" s="22"/>
      <c r="AT3004" s="22"/>
      <c r="AU3004" s="22"/>
      <c r="AV3004" s="22"/>
      <c r="AW3004" s="9"/>
      <c r="BA3004" s="22"/>
      <c r="BB3004" s="22"/>
      <c r="BD3004" s="9"/>
      <c r="CS3004" s="11">
        <f t="shared" si="205"/>
        <v>0</v>
      </c>
      <c r="CT3004" s="22">
        <f t="shared" si="206"/>
        <v>0</v>
      </c>
      <c r="CU3004" s="22">
        <f t="shared" si="207"/>
        <v>0</v>
      </c>
      <c r="CV3004" s="26">
        <f t="shared" si="208"/>
        <v>812.5</v>
      </c>
    </row>
    <row r="3005" spans="1:100" x14ac:dyDescent="0.2">
      <c r="A3005" s="9" t="s">
        <v>638</v>
      </c>
      <c r="B3005" s="2">
        <v>134</v>
      </c>
      <c r="C3005" s="3" t="s">
        <v>95</v>
      </c>
      <c r="D3005" s="3" t="s">
        <v>96</v>
      </c>
      <c r="E3005" s="2"/>
      <c r="F3005" s="2"/>
      <c r="G3005" s="2" t="s">
        <v>83</v>
      </c>
      <c r="H3005" s="2">
        <v>4</v>
      </c>
      <c r="I3005" s="20">
        <v>141.51</v>
      </c>
      <c r="J3005" s="20">
        <v>47170</v>
      </c>
      <c r="K3005" s="3">
        <v>0</v>
      </c>
      <c r="L3005" s="3" t="s">
        <v>3</v>
      </c>
      <c r="M3005" s="9" t="s">
        <v>0</v>
      </c>
      <c r="N3005" s="9" t="s">
        <v>60</v>
      </c>
      <c r="O3005" s="9" t="s">
        <v>637</v>
      </c>
      <c r="S3005" s="9" t="s">
        <v>158</v>
      </c>
      <c r="T3005" s="10" t="s">
        <v>83</v>
      </c>
      <c r="U3005" s="10">
        <v>4</v>
      </c>
      <c r="V3005" s="10">
        <v>141.51</v>
      </c>
      <c r="W3005" s="10" t="s">
        <v>710</v>
      </c>
      <c r="X3005" s="17">
        <v>45693</v>
      </c>
      <c r="Y3005" s="17">
        <v>45694</v>
      </c>
      <c r="Z3005" s="19" t="s">
        <v>772</v>
      </c>
      <c r="AA3005" s="207">
        <v>47000</v>
      </c>
      <c r="AB3005" s="10">
        <v>49</v>
      </c>
      <c r="AC3005" s="10">
        <v>32</v>
      </c>
      <c r="AD3005" s="17">
        <v>46675</v>
      </c>
      <c r="AE3005" s="54">
        <v>812.5</v>
      </c>
      <c r="AF3005" s="54"/>
      <c r="AL3005" s="22"/>
      <c r="AM3005" s="22"/>
      <c r="AN3005" s="22"/>
      <c r="AO3005" s="22"/>
      <c r="AP3005" s="22"/>
      <c r="AQ3005" s="22"/>
      <c r="AR3005" s="22"/>
      <c r="AS3005" s="22"/>
      <c r="AT3005" s="22"/>
      <c r="AU3005" s="22"/>
      <c r="AV3005" s="22"/>
      <c r="AW3005" s="9"/>
      <c r="BA3005" s="22"/>
      <c r="BB3005" s="22"/>
      <c r="BD3005" s="9"/>
      <c r="CS3005" s="11">
        <f t="shared" si="205"/>
        <v>0</v>
      </c>
      <c r="CT3005" s="22">
        <f t="shared" si="206"/>
        <v>0</v>
      </c>
      <c r="CU3005" s="22">
        <f t="shared" si="207"/>
        <v>0</v>
      </c>
      <c r="CV3005" s="26">
        <f t="shared" si="208"/>
        <v>812.5</v>
      </c>
    </row>
    <row r="3006" spans="1:100" x14ac:dyDescent="0.2">
      <c r="A3006" s="9" t="s">
        <v>638</v>
      </c>
      <c r="B3006" s="2">
        <v>134</v>
      </c>
      <c r="C3006" s="3" t="s">
        <v>95</v>
      </c>
      <c r="D3006" s="3" t="s">
        <v>96</v>
      </c>
      <c r="E3006" s="2"/>
      <c r="F3006" s="2"/>
      <c r="G3006" s="2" t="s">
        <v>83</v>
      </c>
      <c r="H3006" s="2">
        <v>4</v>
      </c>
      <c r="I3006" s="20">
        <v>141.51</v>
      </c>
      <c r="J3006" s="20">
        <v>47170</v>
      </c>
      <c r="K3006" s="3">
        <v>0</v>
      </c>
      <c r="L3006" s="3" t="s">
        <v>3</v>
      </c>
      <c r="M3006" s="9" t="s">
        <v>0</v>
      </c>
      <c r="N3006" s="9" t="s">
        <v>60</v>
      </c>
      <c r="O3006" s="9" t="s">
        <v>637</v>
      </c>
      <c r="S3006" s="9" t="s">
        <v>158</v>
      </c>
      <c r="T3006" s="10" t="s">
        <v>83</v>
      </c>
      <c r="U3006" s="10">
        <v>4</v>
      </c>
      <c r="V3006" s="10">
        <v>141.51</v>
      </c>
      <c r="W3006" s="10" t="s">
        <v>710</v>
      </c>
      <c r="X3006" s="17">
        <v>45693</v>
      </c>
      <c r="Y3006" s="17">
        <v>45694</v>
      </c>
      <c r="Z3006" s="19" t="s">
        <v>772</v>
      </c>
      <c r="AA3006" s="207">
        <v>47000</v>
      </c>
      <c r="AB3006" s="10">
        <v>49</v>
      </c>
      <c r="AC3006" s="10">
        <v>33</v>
      </c>
      <c r="AD3006" s="17">
        <v>46706</v>
      </c>
      <c r="AE3006" s="54">
        <v>812.5</v>
      </c>
      <c r="AF3006" s="54"/>
      <c r="AL3006" s="22"/>
      <c r="AM3006" s="22"/>
      <c r="AN3006" s="22"/>
      <c r="AO3006" s="22"/>
      <c r="AP3006" s="22"/>
      <c r="AQ3006" s="22"/>
      <c r="AR3006" s="22"/>
      <c r="AS3006" s="22"/>
      <c r="AT3006" s="22"/>
      <c r="AU3006" s="22"/>
      <c r="AV3006" s="22"/>
      <c r="AW3006" s="9"/>
      <c r="BA3006" s="22"/>
      <c r="BB3006" s="22"/>
      <c r="BD3006" s="9"/>
      <c r="CS3006" s="11">
        <f t="shared" si="205"/>
        <v>0</v>
      </c>
      <c r="CT3006" s="22">
        <f t="shared" si="206"/>
        <v>0</v>
      </c>
      <c r="CU3006" s="22">
        <f t="shared" si="207"/>
        <v>0</v>
      </c>
      <c r="CV3006" s="26">
        <f t="shared" si="208"/>
        <v>812.5</v>
      </c>
    </row>
    <row r="3007" spans="1:100" x14ac:dyDescent="0.2">
      <c r="A3007" s="9" t="s">
        <v>638</v>
      </c>
      <c r="B3007" s="2">
        <v>134</v>
      </c>
      <c r="C3007" s="3" t="s">
        <v>95</v>
      </c>
      <c r="D3007" s="3" t="s">
        <v>96</v>
      </c>
      <c r="E3007" s="2"/>
      <c r="F3007" s="2"/>
      <c r="G3007" s="2" t="s">
        <v>83</v>
      </c>
      <c r="H3007" s="2">
        <v>4</v>
      </c>
      <c r="I3007" s="20">
        <v>141.51</v>
      </c>
      <c r="J3007" s="20">
        <v>47170</v>
      </c>
      <c r="K3007" s="3">
        <v>0</v>
      </c>
      <c r="L3007" s="3" t="s">
        <v>3</v>
      </c>
      <c r="M3007" s="9" t="s">
        <v>0</v>
      </c>
      <c r="N3007" s="9" t="s">
        <v>60</v>
      </c>
      <c r="O3007" s="9" t="s">
        <v>637</v>
      </c>
      <c r="S3007" s="9" t="s">
        <v>158</v>
      </c>
      <c r="T3007" s="10" t="s">
        <v>83</v>
      </c>
      <c r="U3007" s="10">
        <v>4</v>
      </c>
      <c r="V3007" s="10">
        <v>141.51</v>
      </c>
      <c r="W3007" s="10" t="s">
        <v>710</v>
      </c>
      <c r="X3007" s="17">
        <v>45693</v>
      </c>
      <c r="Y3007" s="17">
        <v>45694</v>
      </c>
      <c r="Z3007" s="19" t="s">
        <v>772</v>
      </c>
      <c r="AA3007" s="207">
        <v>47000</v>
      </c>
      <c r="AB3007" s="10">
        <v>49</v>
      </c>
      <c r="AC3007" s="10">
        <v>34</v>
      </c>
      <c r="AD3007" s="17">
        <v>46736</v>
      </c>
      <c r="AE3007" s="54">
        <v>812.5</v>
      </c>
      <c r="AF3007" s="54"/>
      <c r="AL3007" s="22"/>
      <c r="AM3007" s="22"/>
      <c r="AN3007" s="22"/>
      <c r="AO3007" s="22"/>
      <c r="AP3007" s="22"/>
      <c r="AQ3007" s="22"/>
      <c r="AR3007" s="22"/>
      <c r="AS3007" s="22"/>
      <c r="AT3007" s="22"/>
      <c r="AU3007" s="22"/>
      <c r="AV3007" s="22"/>
      <c r="AW3007" s="9"/>
      <c r="BA3007" s="22"/>
      <c r="BB3007" s="22"/>
      <c r="BD3007" s="9"/>
      <c r="CS3007" s="11">
        <f t="shared" si="205"/>
        <v>0</v>
      </c>
      <c r="CT3007" s="22">
        <f t="shared" si="206"/>
        <v>0</v>
      </c>
      <c r="CU3007" s="22">
        <f t="shared" si="207"/>
        <v>0</v>
      </c>
      <c r="CV3007" s="26">
        <f t="shared" si="208"/>
        <v>812.5</v>
      </c>
    </row>
    <row r="3008" spans="1:100" x14ac:dyDescent="0.2">
      <c r="A3008" s="9" t="s">
        <v>638</v>
      </c>
      <c r="B3008" s="2">
        <v>134</v>
      </c>
      <c r="C3008" s="3" t="s">
        <v>95</v>
      </c>
      <c r="D3008" s="3" t="s">
        <v>96</v>
      </c>
      <c r="E3008" s="2"/>
      <c r="F3008" s="2"/>
      <c r="G3008" s="2" t="s">
        <v>83</v>
      </c>
      <c r="H3008" s="2">
        <v>4</v>
      </c>
      <c r="I3008" s="20">
        <v>141.51</v>
      </c>
      <c r="J3008" s="20">
        <v>47170</v>
      </c>
      <c r="K3008" s="3">
        <v>0</v>
      </c>
      <c r="L3008" s="3" t="s">
        <v>3</v>
      </c>
      <c r="M3008" s="9" t="s">
        <v>0</v>
      </c>
      <c r="N3008" s="9" t="s">
        <v>60</v>
      </c>
      <c r="O3008" s="9" t="s">
        <v>637</v>
      </c>
      <c r="S3008" s="9" t="s">
        <v>158</v>
      </c>
      <c r="T3008" s="10" t="s">
        <v>83</v>
      </c>
      <c r="U3008" s="10">
        <v>4</v>
      </c>
      <c r="V3008" s="10">
        <v>141.51</v>
      </c>
      <c r="W3008" s="10" t="s">
        <v>710</v>
      </c>
      <c r="X3008" s="17">
        <v>45693</v>
      </c>
      <c r="Y3008" s="17">
        <v>45694</v>
      </c>
      <c r="Z3008" s="19" t="s">
        <v>772</v>
      </c>
      <c r="AA3008" s="207">
        <v>47000</v>
      </c>
      <c r="AB3008" s="10">
        <v>49</v>
      </c>
      <c r="AC3008" s="10">
        <v>35</v>
      </c>
      <c r="AD3008" s="17">
        <v>46767</v>
      </c>
      <c r="AE3008" s="54">
        <v>812.5</v>
      </c>
      <c r="AF3008" s="54"/>
      <c r="AL3008" s="22"/>
      <c r="AM3008" s="22"/>
      <c r="AN3008" s="22"/>
      <c r="AO3008" s="22"/>
      <c r="AP3008" s="22"/>
      <c r="AQ3008" s="22"/>
      <c r="AR3008" s="22"/>
      <c r="AS3008" s="22"/>
      <c r="AT3008" s="22"/>
      <c r="AU3008" s="22"/>
      <c r="AV3008" s="22"/>
      <c r="AW3008" s="9"/>
      <c r="BA3008" s="22"/>
      <c r="BB3008" s="22"/>
      <c r="BD3008" s="9"/>
      <c r="CS3008" s="11">
        <f t="shared" si="205"/>
        <v>0</v>
      </c>
      <c r="CT3008" s="22">
        <f t="shared" si="206"/>
        <v>0</v>
      </c>
      <c r="CU3008" s="22">
        <f t="shared" si="207"/>
        <v>0</v>
      </c>
      <c r="CV3008" s="26">
        <f t="shared" si="208"/>
        <v>812.5</v>
      </c>
    </row>
    <row r="3009" spans="1:100" x14ac:dyDescent="0.2">
      <c r="A3009" s="9" t="s">
        <v>638</v>
      </c>
      <c r="B3009" s="2">
        <v>134</v>
      </c>
      <c r="C3009" s="3" t="s">
        <v>95</v>
      </c>
      <c r="D3009" s="3" t="s">
        <v>96</v>
      </c>
      <c r="E3009" s="2"/>
      <c r="F3009" s="2"/>
      <c r="G3009" s="2" t="s">
        <v>83</v>
      </c>
      <c r="H3009" s="2">
        <v>4</v>
      </c>
      <c r="I3009" s="20">
        <v>141.51</v>
      </c>
      <c r="J3009" s="20">
        <v>47170</v>
      </c>
      <c r="K3009" s="3">
        <v>0</v>
      </c>
      <c r="L3009" s="3" t="s">
        <v>3</v>
      </c>
      <c r="M3009" s="9" t="s">
        <v>0</v>
      </c>
      <c r="N3009" s="9" t="s">
        <v>60</v>
      </c>
      <c r="O3009" s="9" t="s">
        <v>637</v>
      </c>
      <c r="S3009" s="9" t="s">
        <v>158</v>
      </c>
      <c r="T3009" s="10" t="s">
        <v>83</v>
      </c>
      <c r="U3009" s="10">
        <v>4</v>
      </c>
      <c r="V3009" s="10">
        <v>141.51</v>
      </c>
      <c r="W3009" s="10" t="s">
        <v>710</v>
      </c>
      <c r="X3009" s="17">
        <v>45693</v>
      </c>
      <c r="Y3009" s="17">
        <v>45694</v>
      </c>
      <c r="Z3009" s="19" t="s">
        <v>772</v>
      </c>
      <c r="AA3009" s="207">
        <v>47000</v>
      </c>
      <c r="AB3009" s="10">
        <v>49</v>
      </c>
      <c r="AC3009" s="10">
        <v>36</v>
      </c>
      <c r="AD3009" s="17">
        <v>46798</v>
      </c>
      <c r="AE3009" s="54">
        <v>812.5</v>
      </c>
      <c r="AF3009" s="54"/>
      <c r="AL3009" s="22"/>
      <c r="AM3009" s="22"/>
      <c r="AN3009" s="22"/>
      <c r="AO3009" s="22"/>
      <c r="AP3009" s="22"/>
      <c r="AQ3009" s="22"/>
      <c r="AR3009" s="22"/>
      <c r="AS3009" s="22"/>
      <c r="AT3009" s="22"/>
      <c r="AU3009" s="22"/>
      <c r="AV3009" s="22"/>
      <c r="AW3009" s="9"/>
      <c r="BA3009" s="22"/>
      <c r="BB3009" s="22"/>
      <c r="BD3009" s="9"/>
      <c r="CS3009" s="11">
        <f t="shared" si="205"/>
        <v>0</v>
      </c>
      <c r="CT3009" s="22">
        <f t="shared" si="206"/>
        <v>0</v>
      </c>
      <c r="CU3009" s="22">
        <f t="shared" si="207"/>
        <v>0</v>
      </c>
      <c r="CV3009" s="26">
        <f t="shared" si="208"/>
        <v>812.5</v>
      </c>
    </row>
    <row r="3010" spans="1:100" x14ac:dyDescent="0.2">
      <c r="A3010" s="9" t="s">
        <v>638</v>
      </c>
      <c r="B3010" s="2">
        <v>134</v>
      </c>
      <c r="C3010" s="3" t="s">
        <v>95</v>
      </c>
      <c r="D3010" s="3" t="s">
        <v>96</v>
      </c>
      <c r="E3010" s="2"/>
      <c r="F3010" s="2"/>
      <c r="G3010" s="2" t="s">
        <v>83</v>
      </c>
      <c r="H3010" s="2">
        <v>4</v>
      </c>
      <c r="I3010" s="20">
        <v>141.51</v>
      </c>
      <c r="J3010" s="20">
        <v>47170</v>
      </c>
      <c r="K3010" s="3">
        <v>0</v>
      </c>
      <c r="L3010" s="3" t="s">
        <v>3</v>
      </c>
      <c r="M3010" s="9" t="s">
        <v>0</v>
      </c>
      <c r="N3010" s="9" t="s">
        <v>60</v>
      </c>
      <c r="O3010" s="9" t="s">
        <v>637</v>
      </c>
      <c r="S3010" s="9" t="s">
        <v>158</v>
      </c>
      <c r="T3010" s="10" t="s">
        <v>83</v>
      </c>
      <c r="U3010" s="10">
        <v>4</v>
      </c>
      <c r="V3010" s="10">
        <v>141.51</v>
      </c>
      <c r="W3010" s="10" t="s">
        <v>710</v>
      </c>
      <c r="X3010" s="17">
        <v>45693</v>
      </c>
      <c r="Y3010" s="17">
        <v>45694</v>
      </c>
      <c r="Z3010" s="19" t="s">
        <v>772</v>
      </c>
      <c r="AA3010" s="207">
        <v>47000</v>
      </c>
      <c r="AB3010" s="10">
        <v>49</v>
      </c>
      <c r="AC3010" s="10">
        <v>37</v>
      </c>
      <c r="AD3010" s="17">
        <v>46827</v>
      </c>
      <c r="AE3010" s="54">
        <v>812.5</v>
      </c>
      <c r="AF3010" s="54"/>
      <c r="AL3010" s="22"/>
      <c r="AM3010" s="22"/>
      <c r="AN3010" s="22"/>
      <c r="AO3010" s="22"/>
      <c r="AP3010" s="22"/>
      <c r="AQ3010" s="22"/>
      <c r="AR3010" s="22"/>
      <c r="AS3010" s="22"/>
      <c r="AT3010" s="22"/>
      <c r="AU3010" s="22"/>
      <c r="AV3010" s="22"/>
      <c r="AW3010" s="9"/>
      <c r="BA3010" s="22"/>
      <c r="BB3010" s="22"/>
      <c r="BD3010" s="9"/>
      <c r="CS3010" s="11">
        <f t="shared" si="205"/>
        <v>0</v>
      </c>
      <c r="CT3010" s="22">
        <f t="shared" si="206"/>
        <v>0</v>
      </c>
      <c r="CU3010" s="22">
        <f t="shared" si="207"/>
        <v>0</v>
      </c>
      <c r="CV3010" s="26">
        <f t="shared" si="208"/>
        <v>812.5</v>
      </c>
    </row>
    <row r="3011" spans="1:100" x14ac:dyDescent="0.2">
      <c r="A3011" s="9" t="s">
        <v>638</v>
      </c>
      <c r="B3011" s="2">
        <v>134</v>
      </c>
      <c r="C3011" s="3" t="s">
        <v>95</v>
      </c>
      <c r="D3011" s="3" t="s">
        <v>96</v>
      </c>
      <c r="E3011" s="2"/>
      <c r="F3011" s="2"/>
      <c r="G3011" s="2" t="s">
        <v>83</v>
      </c>
      <c r="H3011" s="2">
        <v>4</v>
      </c>
      <c r="I3011" s="20">
        <v>141.51</v>
      </c>
      <c r="J3011" s="20">
        <v>47170</v>
      </c>
      <c r="K3011" s="3">
        <v>0</v>
      </c>
      <c r="L3011" s="3" t="s">
        <v>3</v>
      </c>
      <c r="M3011" s="9" t="s">
        <v>0</v>
      </c>
      <c r="N3011" s="9" t="s">
        <v>60</v>
      </c>
      <c r="O3011" s="9" t="s">
        <v>637</v>
      </c>
      <c r="S3011" s="9" t="s">
        <v>158</v>
      </c>
      <c r="T3011" s="10" t="s">
        <v>83</v>
      </c>
      <c r="U3011" s="10">
        <v>4</v>
      </c>
      <c r="V3011" s="10">
        <v>141.51</v>
      </c>
      <c r="W3011" s="10" t="s">
        <v>710</v>
      </c>
      <c r="X3011" s="17">
        <v>45693</v>
      </c>
      <c r="Y3011" s="17">
        <v>45694</v>
      </c>
      <c r="Z3011" s="19" t="s">
        <v>772</v>
      </c>
      <c r="AA3011" s="207">
        <v>47000</v>
      </c>
      <c r="AB3011" s="10">
        <v>49</v>
      </c>
      <c r="AC3011" s="10">
        <v>38</v>
      </c>
      <c r="AD3011" s="17">
        <v>46858</v>
      </c>
      <c r="AE3011" s="54">
        <v>812.5</v>
      </c>
      <c r="AF3011" s="54"/>
      <c r="AL3011" s="22"/>
      <c r="AM3011" s="22"/>
      <c r="AN3011" s="22"/>
      <c r="AO3011" s="22"/>
      <c r="AP3011" s="22"/>
      <c r="AQ3011" s="22"/>
      <c r="AR3011" s="22"/>
      <c r="AS3011" s="22"/>
      <c r="AT3011" s="22"/>
      <c r="AU3011" s="22"/>
      <c r="AV3011" s="22"/>
      <c r="AW3011" s="9"/>
      <c r="BA3011" s="22"/>
      <c r="BB3011" s="22"/>
      <c r="BD3011" s="9"/>
      <c r="CS3011" s="11">
        <f t="shared" si="205"/>
        <v>0</v>
      </c>
      <c r="CT3011" s="22">
        <f t="shared" si="206"/>
        <v>0</v>
      </c>
      <c r="CU3011" s="22">
        <f t="shared" si="207"/>
        <v>0</v>
      </c>
      <c r="CV3011" s="26">
        <f t="shared" si="208"/>
        <v>812.5</v>
      </c>
    </row>
    <row r="3012" spans="1:100" x14ac:dyDescent="0.2">
      <c r="A3012" s="9" t="s">
        <v>638</v>
      </c>
      <c r="B3012" s="2">
        <v>134</v>
      </c>
      <c r="C3012" s="3" t="s">
        <v>95</v>
      </c>
      <c r="D3012" s="3" t="s">
        <v>96</v>
      </c>
      <c r="E3012" s="2"/>
      <c r="F3012" s="2"/>
      <c r="G3012" s="2" t="s">
        <v>83</v>
      </c>
      <c r="H3012" s="2">
        <v>4</v>
      </c>
      <c r="I3012" s="20">
        <v>141.51</v>
      </c>
      <c r="J3012" s="20">
        <v>47170</v>
      </c>
      <c r="K3012" s="3">
        <v>0</v>
      </c>
      <c r="L3012" s="3" t="s">
        <v>3</v>
      </c>
      <c r="M3012" s="9" t="s">
        <v>0</v>
      </c>
      <c r="N3012" s="9" t="s">
        <v>60</v>
      </c>
      <c r="O3012" s="9" t="s">
        <v>637</v>
      </c>
      <c r="S3012" s="9" t="s">
        <v>158</v>
      </c>
      <c r="T3012" s="10" t="s">
        <v>83</v>
      </c>
      <c r="U3012" s="10">
        <v>4</v>
      </c>
      <c r="V3012" s="10">
        <v>141.51</v>
      </c>
      <c r="W3012" s="10" t="s">
        <v>710</v>
      </c>
      <c r="X3012" s="17">
        <v>45693</v>
      </c>
      <c r="Y3012" s="17">
        <v>45694</v>
      </c>
      <c r="Z3012" s="19" t="s">
        <v>772</v>
      </c>
      <c r="AA3012" s="207">
        <v>47000</v>
      </c>
      <c r="AB3012" s="10">
        <v>49</v>
      </c>
      <c r="AC3012" s="10">
        <v>39</v>
      </c>
      <c r="AD3012" s="17">
        <v>46888</v>
      </c>
      <c r="AE3012" s="54">
        <v>812.5</v>
      </c>
      <c r="AF3012" s="54"/>
      <c r="AL3012" s="22"/>
      <c r="AM3012" s="22"/>
      <c r="AN3012" s="22"/>
      <c r="AO3012" s="22"/>
      <c r="AP3012" s="22"/>
      <c r="AQ3012" s="22"/>
      <c r="AR3012" s="22"/>
      <c r="AS3012" s="22"/>
      <c r="AT3012" s="22"/>
      <c r="AU3012" s="22"/>
      <c r="AV3012" s="22"/>
      <c r="AW3012" s="9"/>
      <c r="BA3012" s="22"/>
      <c r="BB3012" s="22"/>
      <c r="BD3012" s="9"/>
      <c r="CS3012" s="11">
        <f t="shared" si="205"/>
        <v>0</v>
      </c>
      <c r="CT3012" s="22">
        <f t="shared" si="206"/>
        <v>0</v>
      </c>
      <c r="CU3012" s="22">
        <f t="shared" si="207"/>
        <v>0</v>
      </c>
      <c r="CV3012" s="26">
        <f t="shared" si="208"/>
        <v>812.5</v>
      </c>
    </row>
    <row r="3013" spans="1:100" x14ac:dyDescent="0.2">
      <c r="A3013" s="9" t="s">
        <v>638</v>
      </c>
      <c r="B3013" s="2">
        <v>134</v>
      </c>
      <c r="C3013" s="3" t="s">
        <v>95</v>
      </c>
      <c r="D3013" s="3" t="s">
        <v>96</v>
      </c>
      <c r="E3013" s="2"/>
      <c r="F3013" s="2"/>
      <c r="G3013" s="2" t="s">
        <v>83</v>
      </c>
      <c r="H3013" s="2">
        <v>4</v>
      </c>
      <c r="I3013" s="20">
        <v>141.51</v>
      </c>
      <c r="J3013" s="20">
        <v>47170</v>
      </c>
      <c r="K3013" s="3">
        <v>0</v>
      </c>
      <c r="L3013" s="3" t="s">
        <v>3</v>
      </c>
      <c r="M3013" s="9" t="s">
        <v>0</v>
      </c>
      <c r="N3013" s="9" t="s">
        <v>60</v>
      </c>
      <c r="O3013" s="9" t="s">
        <v>637</v>
      </c>
      <c r="S3013" s="9" t="s">
        <v>158</v>
      </c>
      <c r="T3013" s="10" t="s">
        <v>83</v>
      </c>
      <c r="U3013" s="10">
        <v>4</v>
      </c>
      <c r="V3013" s="10">
        <v>141.51</v>
      </c>
      <c r="W3013" s="10" t="s">
        <v>710</v>
      </c>
      <c r="X3013" s="17">
        <v>45693</v>
      </c>
      <c r="Y3013" s="17">
        <v>45694</v>
      </c>
      <c r="Z3013" s="19" t="s">
        <v>772</v>
      </c>
      <c r="AA3013" s="207">
        <v>47000</v>
      </c>
      <c r="AB3013" s="10">
        <v>49</v>
      </c>
      <c r="AC3013" s="10">
        <v>40</v>
      </c>
      <c r="AD3013" s="17">
        <v>46919</v>
      </c>
      <c r="AE3013" s="54">
        <v>812.5</v>
      </c>
      <c r="AF3013" s="54"/>
      <c r="AL3013" s="22"/>
      <c r="AM3013" s="22"/>
      <c r="AN3013" s="22"/>
      <c r="AO3013" s="22"/>
      <c r="AP3013" s="22"/>
      <c r="AQ3013" s="22"/>
      <c r="AR3013" s="22"/>
      <c r="AS3013" s="22"/>
      <c r="AT3013" s="22"/>
      <c r="AU3013" s="22"/>
      <c r="AV3013" s="22"/>
      <c r="AW3013" s="9"/>
      <c r="BA3013" s="22"/>
      <c r="BB3013" s="22"/>
      <c r="BD3013" s="9"/>
      <c r="CS3013" s="11">
        <f t="shared" si="205"/>
        <v>0</v>
      </c>
      <c r="CT3013" s="22">
        <f t="shared" si="206"/>
        <v>0</v>
      </c>
      <c r="CU3013" s="22">
        <f t="shared" si="207"/>
        <v>0</v>
      </c>
      <c r="CV3013" s="26">
        <f t="shared" si="208"/>
        <v>812.5</v>
      </c>
    </row>
    <row r="3014" spans="1:100" x14ac:dyDescent="0.2">
      <c r="A3014" s="9" t="s">
        <v>638</v>
      </c>
      <c r="B3014" s="2">
        <v>134</v>
      </c>
      <c r="C3014" s="3" t="s">
        <v>95</v>
      </c>
      <c r="D3014" s="3" t="s">
        <v>96</v>
      </c>
      <c r="E3014" s="2"/>
      <c r="F3014" s="2"/>
      <c r="G3014" s="2" t="s">
        <v>83</v>
      </c>
      <c r="H3014" s="2">
        <v>4</v>
      </c>
      <c r="I3014" s="20">
        <v>141.51</v>
      </c>
      <c r="J3014" s="20">
        <v>47170</v>
      </c>
      <c r="K3014" s="3">
        <v>0</v>
      </c>
      <c r="L3014" s="3" t="s">
        <v>3</v>
      </c>
      <c r="M3014" s="9" t="s">
        <v>0</v>
      </c>
      <c r="N3014" s="9" t="s">
        <v>60</v>
      </c>
      <c r="O3014" s="9" t="s">
        <v>637</v>
      </c>
      <c r="S3014" s="9" t="s">
        <v>158</v>
      </c>
      <c r="T3014" s="10" t="s">
        <v>83</v>
      </c>
      <c r="U3014" s="10">
        <v>4</v>
      </c>
      <c r="V3014" s="10">
        <v>141.51</v>
      </c>
      <c r="W3014" s="10" t="s">
        <v>710</v>
      </c>
      <c r="X3014" s="17">
        <v>45693</v>
      </c>
      <c r="Y3014" s="17">
        <v>45694</v>
      </c>
      <c r="Z3014" s="19" t="s">
        <v>772</v>
      </c>
      <c r="AA3014" s="207">
        <v>47000</v>
      </c>
      <c r="AB3014" s="10">
        <v>49</v>
      </c>
      <c r="AC3014" s="10">
        <v>41</v>
      </c>
      <c r="AD3014" s="17">
        <v>46949</v>
      </c>
      <c r="AE3014" s="54">
        <v>812.5</v>
      </c>
      <c r="AF3014" s="54"/>
      <c r="AL3014" s="22"/>
      <c r="AM3014" s="22"/>
      <c r="AN3014" s="22"/>
      <c r="AO3014" s="22"/>
      <c r="AP3014" s="22"/>
      <c r="AQ3014" s="22"/>
      <c r="AR3014" s="22"/>
      <c r="AS3014" s="22"/>
      <c r="AT3014" s="22"/>
      <c r="AU3014" s="22"/>
      <c r="AV3014" s="22"/>
      <c r="AW3014" s="9"/>
      <c r="BA3014" s="22"/>
      <c r="BB3014" s="22"/>
      <c r="BD3014" s="9"/>
      <c r="CS3014" s="11">
        <f t="shared" si="205"/>
        <v>0</v>
      </c>
      <c r="CT3014" s="22">
        <f t="shared" si="206"/>
        <v>0</v>
      </c>
      <c r="CU3014" s="22">
        <f t="shared" si="207"/>
        <v>0</v>
      </c>
      <c r="CV3014" s="26">
        <f t="shared" si="208"/>
        <v>812.5</v>
      </c>
    </row>
    <row r="3015" spans="1:100" x14ac:dyDescent="0.2">
      <c r="A3015" s="9" t="s">
        <v>638</v>
      </c>
      <c r="B3015" s="2">
        <v>134</v>
      </c>
      <c r="C3015" s="3" t="s">
        <v>95</v>
      </c>
      <c r="D3015" s="3" t="s">
        <v>96</v>
      </c>
      <c r="E3015" s="2"/>
      <c r="F3015" s="2"/>
      <c r="G3015" s="2" t="s">
        <v>83</v>
      </c>
      <c r="H3015" s="2">
        <v>4</v>
      </c>
      <c r="I3015" s="20">
        <v>141.51</v>
      </c>
      <c r="J3015" s="20">
        <v>47170</v>
      </c>
      <c r="K3015" s="3">
        <v>0</v>
      </c>
      <c r="L3015" s="3" t="s">
        <v>3</v>
      </c>
      <c r="M3015" s="9" t="s">
        <v>0</v>
      </c>
      <c r="N3015" s="9" t="s">
        <v>60</v>
      </c>
      <c r="O3015" s="9" t="s">
        <v>637</v>
      </c>
      <c r="S3015" s="9" t="s">
        <v>158</v>
      </c>
      <c r="T3015" s="10" t="s">
        <v>83</v>
      </c>
      <c r="U3015" s="10">
        <v>4</v>
      </c>
      <c r="V3015" s="10">
        <v>141.51</v>
      </c>
      <c r="W3015" s="10" t="s">
        <v>710</v>
      </c>
      <c r="X3015" s="17">
        <v>45693</v>
      </c>
      <c r="Y3015" s="17">
        <v>45694</v>
      </c>
      <c r="Z3015" s="19" t="s">
        <v>772</v>
      </c>
      <c r="AA3015" s="207">
        <v>47000</v>
      </c>
      <c r="AB3015" s="10">
        <v>49</v>
      </c>
      <c r="AC3015" s="10">
        <v>42</v>
      </c>
      <c r="AD3015" s="17">
        <v>46980</v>
      </c>
      <c r="AE3015" s="54">
        <v>812.5</v>
      </c>
      <c r="AF3015" s="54"/>
      <c r="AL3015" s="22"/>
      <c r="AM3015" s="22"/>
      <c r="AN3015" s="22"/>
      <c r="AO3015" s="22"/>
      <c r="AP3015" s="22"/>
      <c r="AQ3015" s="22"/>
      <c r="AR3015" s="22"/>
      <c r="AS3015" s="22"/>
      <c r="AT3015" s="22"/>
      <c r="AU3015" s="22"/>
      <c r="AV3015" s="22"/>
      <c r="AW3015" s="9"/>
      <c r="BA3015" s="22"/>
      <c r="BB3015" s="22"/>
      <c r="BD3015" s="9"/>
      <c r="CS3015" s="11">
        <f t="shared" si="205"/>
        <v>0</v>
      </c>
      <c r="CT3015" s="22">
        <f t="shared" si="206"/>
        <v>0</v>
      </c>
      <c r="CU3015" s="22">
        <f t="shared" si="207"/>
        <v>0</v>
      </c>
      <c r="CV3015" s="26">
        <f t="shared" si="208"/>
        <v>812.5</v>
      </c>
    </row>
    <row r="3016" spans="1:100" x14ac:dyDescent="0.2">
      <c r="A3016" s="9" t="s">
        <v>638</v>
      </c>
      <c r="B3016" s="2">
        <v>134</v>
      </c>
      <c r="C3016" s="3" t="s">
        <v>95</v>
      </c>
      <c r="D3016" s="3" t="s">
        <v>96</v>
      </c>
      <c r="E3016" s="2"/>
      <c r="F3016" s="2"/>
      <c r="G3016" s="2" t="s">
        <v>83</v>
      </c>
      <c r="H3016" s="2">
        <v>4</v>
      </c>
      <c r="I3016" s="20">
        <v>141.51</v>
      </c>
      <c r="J3016" s="20">
        <v>47170</v>
      </c>
      <c r="K3016" s="3">
        <v>0</v>
      </c>
      <c r="L3016" s="3" t="s">
        <v>3</v>
      </c>
      <c r="M3016" s="9" t="s">
        <v>0</v>
      </c>
      <c r="N3016" s="9" t="s">
        <v>60</v>
      </c>
      <c r="O3016" s="9" t="s">
        <v>637</v>
      </c>
      <c r="S3016" s="9" t="s">
        <v>158</v>
      </c>
      <c r="T3016" s="10" t="s">
        <v>83</v>
      </c>
      <c r="U3016" s="10">
        <v>4</v>
      </c>
      <c r="V3016" s="10">
        <v>141.51</v>
      </c>
      <c r="W3016" s="10" t="s">
        <v>710</v>
      </c>
      <c r="X3016" s="17">
        <v>45693</v>
      </c>
      <c r="Y3016" s="17">
        <v>45694</v>
      </c>
      <c r="Z3016" s="19" t="s">
        <v>772</v>
      </c>
      <c r="AA3016" s="207">
        <v>47000</v>
      </c>
      <c r="AB3016" s="10">
        <v>49</v>
      </c>
      <c r="AC3016" s="10">
        <v>43</v>
      </c>
      <c r="AD3016" s="17">
        <v>47011</v>
      </c>
      <c r="AE3016" s="54">
        <v>812.5</v>
      </c>
      <c r="AF3016" s="54"/>
      <c r="AL3016" s="22"/>
      <c r="AM3016" s="22"/>
      <c r="AN3016" s="22"/>
      <c r="AO3016" s="22"/>
      <c r="AP3016" s="22"/>
      <c r="AQ3016" s="22"/>
      <c r="AR3016" s="22"/>
      <c r="AS3016" s="22"/>
      <c r="AT3016" s="22"/>
      <c r="AU3016" s="22"/>
      <c r="AV3016" s="22"/>
      <c r="AW3016" s="9"/>
      <c r="BA3016" s="22"/>
      <c r="BB3016" s="22"/>
      <c r="BD3016" s="9"/>
      <c r="CS3016" s="11">
        <f t="shared" si="205"/>
        <v>0</v>
      </c>
      <c r="CT3016" s="22">
        <f t="shared" si="206"/>
        <v>0</v>
      </c>
      <c r="CU3016" s="22">
        <f t="shared" si="207"/>
        <v>0</v>
      </c>
      <c r="CV3016" s="26">
        <f t="shared" si="208"/>
        <v>812.5</v>
      </c>
    </row>
    <row r="3017" spans="1:100" x14ac:dyDescent="0.2">
      <c r="A3017" s="9" t="s">
        <v>638</v>
      </c>
      <c r="B3017" s="2">
        <v>134</v>
      </c>
      <c r="C3017" s="3" t="s">
        <v>95</v>
      </c>
      <c r="D3017" s="3" t="s">
        <v>96</v>
      </c>
      <c r="E3017" s="2"/>
      <c r="F3017" s="2"/>
      <c r="G3017" s="2" t="s">
        <v>83</v>
      </c>
      <c r="H3017" s="2">
        <v>4</v>
      </c>
      <c r="I3017" s="20">
        <v>141.51</v>
      </c>
      <c r="J3017" s="20">
        <v>47170</v>
      </c>
      <c r="K3017" s="3">
        <v>0</v>
      </c>
      <c r="L3017" s="3" t="s">
        <v>3</v>
      </c>
      <c r="M3017" s="9" t="s">
        <v>0</v>
      </c>
      <c r="N3017" s="9" t="s">
        <v>60</v>
      </c>
      <c r="O3017" s="9" t="s">
        <v>637</v>
      </c>
      <c r="S3017" s="9" t="s">
        <v>158</v>
      </c>
      <c r="T3017" s="10" t="s">
        <v>83</v>
      </c>
      <c r="U3017" s="10">
        <v>4</v>
      </c>
      <c r="V3017" s="10">
        <v>141.51</v>
      </c>
      <c r="W3017" s="10" t="s">
        <v>710</v>
      </c>
      <c r="X3017" s="17">
        <v>45693</v>
      </c>
      <c r="Y3017" s="17">
        <v>45694</v>
      </c>
      <c r="Z3017" s="19" t="s">
        <v>772</v>
      </c>
      <c r="AA3017" s="207">
        <v>47000</v>
      </c>
      <c r="AB3017" s="10">
        <v>49</v>
      </c>
      <c r="AC3017" s="10">
        <v>44</v>
      </c>
      <c r="AD3017" s="17">
        <v>47041</v>
      </c>
      <c r="AE3017" s="54">
        <v>812.5</v>
      </c>
      <c r="AF3017" s="54"/>
      <c r="AL3017" s="22"/>
      <c r="AM3017" s="22"/>
      <c r="AN3017" s="22"/>
      <c r="AO3017" s="22"/>
      <c r="AP3017" s="22"/>
      <c r="AQ3017" s="22"/>
      <c r="AR3017" s="22"/>
      <c r="AS3017" s="22"/>
      <c r="AT3017" s="22"/>
      <c r="AU3017" s="22"/>
      <c r="AV3017" s="22"/>
      <c r="AW3017" s="9"/>
      <c r="BA3017" s="22"/>
      <c r="BB3017" s="22"/>
      <c r="BD3017" s="9"/>
      <c r="CS3017" s="11">
        <f t="shared" si="205"/>
        <v>0</v>
      </c>
      <c r="CT3017" s="22">
        <f t="shared" si="206"/>
        <v>0</v>
      </c>
      <c r="CU3017" s="22">
        <f t="shared" si="207"/>
        <v>0</v>
      </c>
      <c r="CV3017" s="26">
        <f t="shared" si="208"/>
        <v>812.5</v>
      </c>
    </row>
    <row r="3018" spans="1:100" x14ac:dyDescent="0.2">
      <c r="A3018" s="9" t="s">
        <v>638</v>
      </c>
      <c r="B3018" s="2">
        <v>134</v>
      </c>
      <c r="C3018" s="3" t="s">
        <v>95</v>
      </c>
      <c r="D3018" s="3" t="s">
        <v>96</v>
      </c>
      <c r="E3018" s="2"/>
      <c r="F3018" s="2"/>
      <c r="G3018" s="2" t="s">
        <v>83</v>
      </c>
      <c r="H3018" s="2">
        <v>4</v>
      </c>
      <c r="I3018" s="20">
        <v>141.51</v>
      </c>
      <c r="J3018" s="20">
        <v>47170</v>
      </c>
      <c r="K3018" s="3">
        <v>0</v>
      </c>
      <c r="L3018" s="3" t="s">
        <v>3</v>
      </c>
      <c r="M3018" s="9" t="s">
        <v>0</v>
      </c>
      <c r="N3018" s="9" t="s">
        <v>60</v>
      </c>
      <c r="O3018" s="9" t="s">
        <v>637</v>
      </c>
      <c r="S3018" s="9" t="s">
        <v>158</v>
      </c>
      <c r="T3018" s="10" t="s">
        <v>83</v>
      </c>
      <c r="U3018" s="10">
        <v>4</v>
      </c>
      <c r="V3018" s="10">
        <v>141.51</v>
      </c>
      <c r="W3018" s="10" t="s">
        <v>710</v>
      </c>
      <c r="X3018" s="17">
        <v>45693</v>
      </c>
      <c r="Y3018" s="17">
        <v>45694</v>
      </c>
      <c r="Z3018" s="19" t="s">
        <v>772</v>
      </c>
      <c r="AA3018" s="207">
        <v>47000</v>
      </c>
      <c r="AB3018" s="10">
        <v>49</v>
      </c>
      <c r="AC3018" s="10">
        <v>45</v>
      </c>
      <c r="AD3018" s="17">
        <v>47072</v>
      </c>
      <c r="AE3018" s="54">
        <v>812.5</v>
      </c>
      <c r="AF3018" s="54"/>
      <c r="AL3018" s="22"/>
      <c r="AM3018" s="22"/>
      <c r="AN3018" s="22"/>
      <c r="AO3018" s="22"/>
      <c r="AP3018" s="22"/>
      <c r="AQ3018" s="22"/>
      <c r="AR3018" s="22"/>
      <c r="AS3018" s="22"/>
      <c r="AT3018" s="22"/>
      <c r="AU3018" s="22"/>
      <c r="AV3018" s="22"/>
      <c r="AW3018" s="9"/>
      <c r="BA3018" s="22"/>
      <c r="BB3018" s="22"/>
      <c r="BD3018" s="9"/>
      <c r="CS3018" s="11">
        <f t="shared" si="205"/>
        <v>0</v>
      </c>
      <c r="CT3018" s="22">
        <f t="shared" si="206"/>
        <v>0</v>
      </c>
      <c r="CU3018" s="22">
        <f t="shared" si="207"/>
        <v>0</v>
      </c>
      <c r="CV3018" s="26">
        <f t="shared" si="208"/>
        <v>812.5</v>
      </c>
    </row>
    <row r="3019" spans="1:100" x14ac:dyDescent="0.2">
      <c r="A3019" s="9" t="s">
        <v>638</v>
      </c>
      <c r="B3019" s="2">
        <v>134</v>
      </c>
      <c r="C3019" s="3" t="s">
        <v>95</v>
      </c>
      <c r="D3019" s="3" t="s">
        <v>96</v>
      </c>
      <c r="E3019" s="2"/>
      <c r="F3019" s="2"/>
      <c r="G3019" s="2" t="s">
        <v>83</v>
      </c>
      <c r="H3019" s="2">
        <v>4</v>
      </c>
      <c r="I3019" s="20">
        <v>141.51</v>
      </c>
      <c r="J3019" s="20">
        <v>47170</v>
      </c>
      <c r="K3019" s="3">
        <v>0</v>
      </c>
      <c r="L3019" s="3" t="s">
        <v>3</v>
      </c>
      <c r="M3019" s="9" t="s">
        <v>0</v>
      </c>
      <c r="N3019" s="9" t="s">
        <v>60</v>
      </c>
      <c r="O3019" s="9" t="s">
        <v>637</v>
      </c>
      <c r="S3019" s="9" t="s">
        <v>158</v>
      </c>
      <c r="T3019" s="10" t="s">
        <v>83</v>
      </c>
      <c r="U3019" s="10">
        <v>4</v>
      </c>
      <c r="V3019" s="10">
        <v>141.51</v>
      </c>
      <c r="W3019" s="10" t="s">
        <v>710</v>
      </c>
      <c r="X3019" s="17">
        <v>45693</v>
      </c>
      <c r="Y3019" s="17">
        <v>45694</v>
      </c>
      <c r="Z3019" s="19" t="s">
        <v>772</v>
      </c>
      <c r="AA3019" s="207">
        <v>47000</v>
      </c>
      <c r="AB3019" s="10">
        <v>49</v>
      </c>
      <c r="AC3019" s="10">
        <v>46</v>
      </c>
      <c r="AD3019" s="17">
        <v>47102</v>
      </c>
      <c r="AE3019" s="54">
        <v>812.5</v>
      </c>
      <c r="AF3019" s="54"/>
      <c r="AL3019" s="22"/>
      <c r="AM3019" s="22"/>
      <c r="AN3019" s="22"/>
      <c r="AO3019" s="22"/>
      <c r="AP3019" s="22"/>
      <c r="AQ3019" s="22"/>
      <c r="AR3019" s="22"/>
      <c r="AS3019" s="22"/>
      <c r="AT3019" s="22"/>
      <c r="AU3019" s="22"/>
      <c r="AV3019" s="22"/>
      <c r="AW3019" s="9"/>
      <c r="BA3019" s="22"/>
      <c r="BB3019" s="22"/>
      <c r="BD3019" s="9"/>
      <c r="CS3019" s="11">
        <f t="shared" si="205"/>
        <v>0</v>
      </c>
      <c r="CT3019" s="22">
        <f t="shared" si="206"/>
        <v>0</v>
      </c>
      <c r="CU3019" s="22">
        <f t="shared" si="207"/>
        <v>0</v>
      </c>
      <c r="CV3019" s="26">
        <f t="shared" si="208"/>
        <v>812.5</v>
      </c>
    </row>
    <row r="3020" spans="1:100" x14ac:dyDescent="0.2">
      <c r="A3020" s="9" t="s">
        <v>638</v>
      </c>
      <c r="B3020" s="2">
        <v>134</v>
      </c>
      <c r="C3020" s="3" t="s">
        <v>95</v>
      </c>
      <c r="D3020" s="3" t="s">
        <v>96</v>
      </c>
      <c r="E3020" s="2"/>
      <c r="F3020" s="2"/>
      <c r="G3020" s="2" t="s">
        <v>83</v>
      </c>
      <c r="H3020" s="2">
        <v>4</v>
      </c>
      <c r="I3020" s="20">
        <v>141.51</v>
      </c>
      <c r="J3020" s="20">
        <v>47170</v>
      </c>
      <c r="K3020" s="3">
        <v>0</v>
      </c>
      <c r="L3020" s="3" t="s">
        <v>3</v>
      </c>
      <c r="M3020" s="9" t="s">
        <v>0</v>
      </c>
      <c r="N3020" s="9" t="s">
        <v>60</v>
      </c>
      <c r="O3020" s="9" t="s">
        <v>637</v>
      </c>
      <c r="S3020" s="9" t="s">
        <v>158</v>
      </c>
      <c r="T3020" s="10" t="s">
        <v>83</v>
      </c>
      <c r="U3020" s="10">
        <v>4</v>
      </c>
      <c r="V3020" s="10">
        <v>141.51</v>
      </c>
      <c r="W3020" s="10" t="s">
        <v>710</v>
      </c>
      <c r="X3020" s="17">
        <v>45693</v>
      </c>
      <c r="Y3020" s="17">
        <v>45694</v>
      </c>
      <c r="Z3020" s="19" t="s">
        <v>772</v>
      </c>
      <c r="AA3020" s="207">
        <v>47000</v>
      </c>
      <c r="AB3020" s="10">
        <v>49</v>
      </c>
      <c r="AC3020" s="10">
        <v>47</v>
      </c>
      <c r="AD3020" s="17">
        <v>47133</v>
      </c>
      <c r="AE3020" s="54">
        <v>812.5</v>
      </c>
      <c r="AF3020" s="54"/>
      <c r="AL3020" s="22"/>
      <c r="AM3020" s="22"/>
      <c r="AN3020" s="22"/>
      <c r="AO3020" s="22"/>
      <c r="AP3020" s="22"/>
      <c r="AQ3020" s="22"/>
      <c r="AR3020" s="22"/>
      <c r="AS3020" s="22"/>
      <c r="AT3020" s="22"/>
      <c r="AU3020" s="22"/>
      <c r="AV3020" s="22"/>
      <c r="AW3020" s="9"/>
      <c r="BA3020" s="22"/>
      <c r="BB3020" s="22"/>
      <c r="BD3020" s="9"/>
      <c r="CS3020" s="11">
        <f t="shared" si="205"/>
        <v>0</v>
      </c>
      <c r="CT3020" s="22">
        <f t="shared" si="206"/>
        <v>0</v>
      </c>
      <c r="CU3020" s="22">
        <f t="shared" si="207"/>
        <v>0</v>
      </c>
      <c r="CV3020" s="26">
        <f t="shared" si="208"/>
        <v>812.5</v>
      </c>
    </row>
    <row r="3021" spans="1:100" x14ac:dyDescent="0.2">
      <c r="A3021" s="9" t="s">
        <v>638</v>
      </c>
      <c r="B3021" s="2">
        <v>134</v>
      </c>
      <c r="C3021" s="3" t="s">
        <v>95</v>
      </c>
      <c r="D3021" s="3" t="s">
        <v>96</v>
      </c>
      <c r="E3021" s="2"/>
      <c r="F3021" s="2"/>
      <c r="G3021" s="2" t="s">
        <v>83</v>
      </c>
      <c r="H3021" s="2">
        <v>4</v>
      </c>
      <c r="I3021" s="20">
        <v>141.51</v>
      </c>
      <c r="J3021" s="20">
        <v>47170</v>
      </c>
      <c r="K3021" s="3">
        <v>0</v>
      </c>
      <c r="L3021" s="3" t="s">
        <v>3</v>
      </c>
      <c r="M3021" s="9" t="s">
        <v>0</v>
      </c>
      <c r="N3021" s="9" t="s">
        <v>60</v>
      </c>
      <c r="O3021" s="9" t="s">
        <v>637</v>
      </c>
      <c r="S3021" s="9" t="s">
        <v>158</v>
      </c>
      <c r="T3021" s="10" t="s">
        <v>83</v>
      </c>
      <c r="U3021" s="10">
        <v>4</v>
      </c>
      <c r="V3021" s="10">
        <v>141.51</v>
      </c>
      <c r="W3021" s="10" t="s">
        <v>710</v>
      </c>
      <c r="X3021" s="17">
        <v>45693</v>
      </c>
      <c r="Y3021" s="17">
        <v>45694</v>
      </c>
      <c r="Z3021" s="19" t="s">
        <v>772</v>
      </c>
      <c r="AA3021" s="207">
        <v>47000</v>
      </c>
      <c r="AB3021" s="10">
        <v>49</v>
      </c>
      <c r="AC3021" s="10">
        <v>48</v>
      </c>
      <c r="AD3021" s="17">
        <v>47164</v>
      </c>
      <c r="AE3021" s="54">
        <v>812.5</v>
      </c>
      <c r="AF3021" s="54"/>
      <c r="AL3021" s="22"/>
      <c r="AM3021" s="22"/>
      <c r="AN3021" s="22"/>
      <c r="AO3021" s="22"/>
      <c r="AP3021" s="22"/>
      <c r="AQ3021" s="22"/>
      <c r="AR3021" s="22"/>
      <c r="AS3021" s="22"/>
      <c r="AT3021" s="22"/>
      <c r="AU3021" s="22"/>
      <c r="AV3021" s="22"/>
      <c r="AW3021" s="9"/>
      <c r="BA3021" s="22"/>
      <c r="BB3021" s="22"/>
      <c r="BD3021" s="9"/>
      <c r="CS3021" s="11">
        <f t="shared" si="205"/>
        <v>0</v>
      </c>
      <c r="CT3021" s="22">
        <f t="shared" si="206"/>
        <v>0</v>
      </c>
      <c r="CU3021" s="22">
        <f t="shared" si="207"/>
        <v>0</v>
      </c>
      <c r="CV3021" s="26">
        <f t="shared" si="208"/>
        <v>812.5</v>
      </c>
    </row>
    <row r="3022" spans="1:100" x14ac:dyDescent="0.2">
      <c r="A3022" s="9" t="s">
        <v>638</v>
      </c>
      <c r="B3022" s="2">
        <v>134</v>
      </c>
      <c r="C3022" s="3" t="s">
        <v>95</v>
      </c>
      <c r="D3022" s="3" t="s">
        <v>96</v>
      </c>
      <c r="E3022" s="2"/>
      <c r="F3022" s="2"/>
      <c r="G3022" s="2" t="s">
        <v>83</v>
      </c>
      <c r="H3022" s="2">
        <v>4</v>
      </c>
      <c r="I3022" s="20">
        <v>141.51</v>
      </c>
      <c r="J3022" s="20">
        <v>47170</v>
      </c>
      <c r="K3022" s="3">
        <v>0</v>
      </c>
      <c r="L3022" s="3" t="s">
        <v>3</v>
      </c>
      <c r="M3022" s="9" t="s">
        <v>0</v>
      </c>
      <c r="N3022" s="9" t="s">
        <v>60</v>
      </c>
      <c r="O3022" s="9" t="s">
        <v>637</v>
      </c>
      <c r="S3022" s="9" t="s">
        <v>158</v>
      </c>
      <c r="T3022" s="10" t="s">
        <v>83</v>
      </c>
      <c r="U3022" s="10">
        <v>4</v>
      </c>
      <c r="V3022" s="10">
        <v>141.51</v>
      </c>
      <c r="W3022" s="10"/>
      <c r="X3022" s="17">
        <v>45693</v>
      </c>
      <c r="Y3022" s="17">
        <v>45694</v>
      </c>
      <c r="Z3022" s="19" t="s">
        <v>772</v>
      </c>
      <c r="AA3022" s="207">
        <v>47000</v>
      </c>
      <c r="AB3022" s="10">
        <v>49</v>
      </c>
      <c r="AC3022" s="10">
        <v>49</v>
      </c>
      <c r="AD3022" s="17">
        <v>47192</v>
      </c>
      <c r="AE3022" s="54">
        <v>812.5</v>
      </c>
      <c r="AF3022" s="54"/>
      <c r="AL3022" s="22"/>
      <c r="AM3022" s="22"/>
      <c r="AN3022" s="22"/>
      <c r="AO3022" s="22"/>
      <c r="AP3022" s="22"/>
      <c r="AQ3022" s="22"/>
      <c r="AR3022" s="22"/>
      <c r="AS3022" s="22"/>
      <c r="AT3022" s="22"/>
      <c r="AU3022" s="22"/>
      <c r="AV3022" s="22"/>
      <c r="AW3022" s="9"/>
      <c r="BA3022" s="22"/>
      <c r="BB3022" s="22"/>
      <c r="BD3022" s="9"/>
      <c r="CS3022" s="11">
        <f t="shared" si="205"/>
        <v>0</v>
      </c>
      <c r="CT3022" s="22">
        <f t="shared" si="206"/>
        <v>0</v>
      </c>
      <c r="CU3022" s="22">
        <f t="shared" si="207"/>
        <v>0</v>
      </c>
      <c r="CV3022" s="26">
        <f t="shared" si="208"/>
        <v>812.5</v>
      </c>
    </row>
    <row r="3023" spans="1:100" x14ac:dyDescent="0.2">
      <c r="A3023" s="9" t="s">
        <v>642</v>
      </c>
      <c r="B3023" s="2"/>
      <c r="C3023" s="3"/>
      <c r="D3023" s="3"/>
      <c r="E3023" s="2"/>
      <c r="F3023" s="2"/>
      <c r="G3023" s="2"/>
      <c r="H3023" s="2"/>
      <c r="I3023" s="20"/>
      <c r="J3023" s="20"/>
      <c r="K3023" s="3"/>
      <c r="L3023" s="3"/>
      <c r="M3023" s="9" t="s">
        <v>0</v>
      </c>
      <c r="N3023" s="9">
        <v>32265381</v>
      </c>
      <c r="O3023" s="9" t="s">
        <v>643</v>
      </c>
      <c r="P3023" s="9" t="s">
        <v>0</v>
      </c>
      <c r="Q3023" s="30" t="s">
        <v>646</v>
      </c>
      <c r="R3023" s="9" t="s">
        <v>647</v>
      </c>
      <c r="S3023" s="9" t="s">
        <v>158</v>
      </c>
      <c r="T3023" s="10" t="s">
        <v>69</v>
      </c>
      <c r="U3023" s="10">
        <v>4</v>
      </c>
      <c r="V3023" s="10">
        <v>120</v>
      </c>
      <c r="W3023" s="10" t="s">
        <v>710</v>
      </c>
      <c r="X3023" s="17">
        <v>45704</v>
      </c>
      <c r="Y3023" s="17">
        <v>45705</v>
      </c>
      <c r="Z3023" s="19" t="s">
        <v>772</v>
      </c>
      <c r="AA3023" s="207">
        <v>13500</v>
      </c>
      <c r="AB3023" s="9">
        <v>12</v>
      </c>
      <c r="AC3023" s="9">
        <v>0</v>
      </c>
      <c r="AD3023" s="17">
        <v>45704</v>
      </c>
      <c r="AE3023" s="54">
        <v>100</v>
      </c>
      <c r="AF3023" s="54"/>
      <c r="AG3023" s="9" t="s">
        <v>134</v>
      </c>
      <c r="AH3023" s="17">
        <v>45704</v>
      </c>
      <c r="AI3023" s="17"/>
      <c r="AJ3023" s="17"/>
      <c r="AK3023" s="10" t="s">
        <v>645</v>
      </c>
      <c r="AL3023" s="22">
        <v>100</v>
      </c>
      <c r="AM3023" s="22"/>
      <c r="AN3023" s="22" t="s">
        <v>893</v>
      </c>
      <c r="AO3023" s="22"/>
      <c r="AP3023" s="22"/>
      <c r="AQ3023" s="22"/>
      <c r="AR3023" s="22"/>
      <c r="AS3023" s="22"/>
      <c r="AT3023" s="22"/>
      <c r="AU3023" s="22"/>
      <c r="AV3023" s="22"/>
      <c r="AW3023" s="42">
        <v>45704</v>
      </c>
      <c r="AX3023" s="41">
        <v>45482</v>
      </c>
      <c r="AY3023" s="40">
        <v>170</v>
      </c>
      <c r="AZ3023" s="36">
        <v>3.7</v>
      </c>
      <c r="BA3023" s="40">
        <f>+AY3023/AZ3023</f>
        <v>45.945945945945944</v>
      </c>
      <c r="BB3023" s="22"/>
      <c r="BC3023" s="42">
        <v>45706</v>
      </c>
      <c r="BD3023" s="41">
        <v>45550</v>
      </c>
      <c r="BE3023" s="40">
        <v>200</v>
      </c>
      <c r="BF3023" s="36">
        <v>3.7</v>
      </c>
      <c r="BG3023" s="40">
        <f>+BE3023/BF3023</f>
        <v>54.054054054054049</v>
      </c>
      <c r="BH3023" s="40"/>
      <c r="CS3023" s="11">
        <f t="shared" si="205"/>
        <v>100</v>
      </c>
      <c r="CT3023" s="22">
        <f t="shared" si="206"/>
        <v>100</v>
      </c>
      <c r="CU3023" s="22">
        <f t="shared" si="207"/>
        <v>0</v>
      </c>
      <c r="CV3023" s="26">
        <f t="shared" si="208"/>
        <v>0</v>
      </c>
    </row>
    <row r="3024" spans="1:100" x14ac:dyDescent="0.2">
      <c r="A3024" s="9" t="s">
        <v>642</v>
      </c>
      <c r="B3024" s="2"/>
      <c r="C3024" s="3"/>
      <c r="D3024" s="3"/>
      <c r="E3024" s="2"/>
      <c r="F3024" s="2"/>
      <c r="G3024" s="2"/>
      <c r="H3024" s="2"/>
      <c r="I3024" s="20"/>
      <c r="J3024" s="20"/>
      <c r="K3024" s="3"/>
      <c r="L3024" s="3"/>
      <c r="M3024" s="9" t="s">
        <v>0</v>
      </c>
      <c r="N3024" s="9" t="s">
        <v>61</v>
      </c>
      <c r="O3024" s="9" t="s">
        <v>643</v>
      </c>
      <c r="P3024" s="9" t="s">
        <v>0</v>
      </c>
      <c r="Q3024" s="30" t="s">
        <v>646</v>
      </c>
      <c r="R3024" s="9" t="s">
        <v>647</v>
      </c>
      <c r="S3024" s="9" t="s">
        <v>158</v>
      </c>
      <c r="T3024" s="10" t="s">
        <v>69</v>
      </c>
      <c r="U3024" s="10">
        <v>4</v>
      </c>
      <c r="V3024" s="10">
        <v>120</v>
      </c>
      <c r="W3024" s="10" t="s">
        <v>710</v>
      </c>
      <c r="X3024" s="17">
        <v>45704</v>
      </c>
      <c r="Y3024" s="17">
        <v>45705</v>
      </c>
      <c r="Z3024" s="19" t="s">
        <v>772</v>
      </c>
      <c r="AA3024" s="207">
        <v>13500</v>
      </c>
      <c r="AB3024" s="9">
        <v>12</v>
      </c>
      <c r="AC3024" s="9">
        <v>0</v>
      </c>
      <c r="AD3024" s="17">
        <v>45705</v>
      </c>
      <c r="AE3024" s="54">
        <v>13400</v>
      </c>
      <c r="AF3024" s="54"/>
      <c r="AG3024" s="9" t="s">
        <v>134</v>
      </c>
      <c r="AH3024" s="17">
        <v>45706</v>
      </c>
      <c r="AI3024" s="17"/>
      <c r="AJ3024" s="17"/>
      <c r="AK3024" s="10" t="s">
        <v>644</v>
      </c>
      <c r="AL3024" s="22">
        <v>13400</v>
      </c>
      <c r="AM3024" s="22"/>
      <c r="AN3024" s="22" t="s">
        <v>894</v>
      </c>
      <c r="AO3024" s="22"/>
      <c r="AP3024" s="22"/>
      <c r="AQ3024" s="22"/>
      <c r="AR3024" s="22"/>
      <c r="AS3024" s="22"/>
      <c r="AT3024" s="22"/>
      <c r="AU3024" s="22"/>
      <c r="AV3024" s="22"/>
      <c r="AW3024" s="42">
        <v>45705</v>
      </c>
      <c r="AX3024" s="41">
        <v>45492</v>
      </c>
      <c r="AY3024" s="40">
        <v>49848</v>
      </c>
      <c r="AZ3024" s="36">
        <v>3.72</v>
      </c>
      <c r="BA3024" s="40">
        <f>+AY3024/AZ3024</f>
        <v>13400</v>
      </c>
      <c r="BB3024" s="22"/>
      <c r="BD3024" s="9"/>
      <c r="CS3024" s="11">
        <f t="shared" si="205"/>
        <v>13400</v>
      </c>
      <c r="CT3024" s="22">
        <f t="shared" si="206"/>
        <v>13400</v>
      </c>
      <c r="CU3024" s="22">
        <f t="shared" si="207"/>
        <v>0</v>
      </c>
      <c r="CV3024" s="26">
        <f t="shared" si="208"/>
        <v>0</v>
      </c>
    </row>
    <row r="3025" spans="1:103" x14ac:dyDescent="0.2">
      <c r="A3025" s="9" t="s">
        <v>642</v>
      </c>
      <c r="B3025" s="2"/>
      <c r="C3025" s="3"/>
      <c r="D3025" s="3"/>
      <c r="E3025" s="2"/>
      <c r="F3025" s="2"/>
      <c r="G3025" s="2"/>
      <c r="H3025" s="2"/>
      <c r="I3025" s="20"/>
      <c r="J3025" s="20"/>
      <c r="K3025" s="3"/>
      <c r="L3025" s="3"/>
      <c r="M3025" s="9" t="s">
        <v>0</v>
      </c>
      <c r="N3025" s="9" t="s">
        <v>61</v>
      </c>
      <c r="O3025" s="9" t="s">
        <v>643</v>
      </c>
      <c r="P3025" s="9" t="s">
        <v>0</v>
      </c>
      <c r="Q3025" s="30" t="s">
        <v>646</v>
      </c>
      <c r="R3025" s="9" t="s">
        <v>647</v>
      </c>
      <c r="S3025" s="9" t="s">
        <v>158</v>
      </c>
      <c r="T3025" s="10" t="s">
        <v>69</v>
      </c>
      <c r="U3025" s="10">
        <v>4</v>
      </c>
      <c r="V3025" s="10">
        <v>120</v>
      </c>
      <c r="W3025" s="10" t="s">
        <v>710</v>
      </c>
      <c r="X3025" s="17">
        <v>45704</v>
      </c>
      <c r="Y3025" s="17">
        <v>45705</v>
      </c>
      <c r="Z3025" s="19" t="s">
        <v>772</v>
      </c>
      <c r="AA3025" s="207">
        <v>13500</v>
      </c>
      <c r="AB3025" s="9">
        <v>12</v>
      </c>
      <c r="AC3025" s="9">
        <v>1</v>
      </c>
      <c r="AD3025" s="17">
        <v>45741</v>
      </c>
      <c r="AE3025" s="54">
        <v>2000</v>
      </c>
      <c r="AF3025" s="54"/>
      <c r="AG3025" s="9" t="s">
        <v>134</v>
      </c>
      <c r="AH3025" s="17">
        <v>45744</v>
      </c>
      <c r="AI3025" s="17"/>
      <c r="AJ3025" s="17"/>
      <c r="AK3025" s="10" t="s">
        <v>890</v>
      </c>
      <c r="AL3025" s="22">
        <v>2000</v>
      </c>
      <c r="AM3025" s="22"/>
      <c r="AN3025" s="22" t="s">
        <v>895</v>
      </c>
      <c r="AO3025" s="22"/>
      <c r="AP3025" s="22"/>
      <c r="AQ3025" s="22"/>
      <c r="AR3025" s="22"/>
      <c r="AS3025" s="22"/>
      <c r="AT3025" s="22"/>
      <c r="AU3025" s="22"/>
      <c r="AV3025" s="22"/>
      <c r="AW3025" s="42">
        <v>45740</v>
      </c>
      <c r="AX3025" s="41">
        <v>46696</v>
      </c>
      <c r="AY3025" s="93">
        <v>7300</v>
      </c>
      <c r="AZ3025" s="36">
        <v>3.65</v>
      </c>
      <c r="BA3025" s="40">
        <f>+AY3025/AZ3025</f>
        <v>2000</v>
      </c>
      <c r="BB3025" s="22"/>
      <c r="BD3025" s="9"/>
      <c r="CS3025" s="11">
        <f t="shared" si="205"/>
        <v>2000</v>
      </c>
      <c r="CT3025" s="22">
        <f t="shared" si="206"/>
        <v>2000</v>
      </c>
      <c r="CU3025" s="22">
        <f t="shared" si="207"/>
        <v>0</v>
      </c>
      <c r="CV3025" s="26">
        <f t="shared" si="208"/>
        <v>0</v>
      </c>
    </row>
    <row r="3026" spans="1:103" x14ac:dyDescent="0.2">
      <c r="A3026" s="9" t="s">
        <v>642</v>
      </c>
      <c r="B3026" s="2"/>
      <c r="C3026" s="3"/>
      <c r="D3026" s="3"/>
      <c r="E3026" s="2"/>
      <c r="F3026" s="2"/>
      <c r="G3026" s="2"/>
      <c r="H3026" s="2"/>
      <c r="I3026" s="20"/>
      <c r="J3026" s="20"/>
      <c r="K3026" s="3"/>
      <c r="L3026" s="3"/>
      <c r="M3026" s="9" t="s">
        <v>0</v>
      </c>
      <c r="N3026" s="9" t="s">
        <v>61</v>
      </c>
      <c r="O3026" s="9" t="s">
        <v>643</v>
      </c>
      <c r="P3026" s="9" t="s">
        <v>0</v>
      </c>
      <c r="Q3026" s="30" t="s">
        <v>646</v>
      </c>
      <c r="R3026" s="9" t="s">
        <v>647</v>
      </c>
      <c r="S3026" s="9" t="s">
        <v>158</v>
      </c>
      <c r="T3026" s="10" t="s">
        <v>69</v>
      </c>
      <c r="U3026" s="10">
        <v>4</v>
      </c>
      <c r="V3026" s="10">
        <v>120</v>
      </c>
      <c r="W3026" s="10" t="s">
        <v>710</v>
      </c>
      <c r="X3026" s="17">
        <v>45704</v>
      </c>
      <c r="Y3026" s="17">
        <v>45705</v>
      </c>
      <c r="Z3026" s="19" t="s">
        <v>772</v>
      </c>
      <c r="AA3026" s="207">
        <v>13500</v>
      </c>
      <c r="AB3026" s="9">
        <v>12</v>
      </c>
      <c r="AC3026" s="9">
        <v>2</v>
      </c>
      <c r="AD3026" s="17">
        <v>45772</v>
      </c>
      <c r="AE3026" s="54">
        <v>2000</v>
      </c>
      <c r="AF3026" s="54"/>
      <c r="AG3026" s="9" t="s">
        <v>134</v>
      </c>
      <c r="AH3026" s="17">
        <v>45771</v>
      </c>
      <c r="AI3026" s="17"/>
      <c r="AJ3026" s="17"/>
      <c r="AK3026" s="10" t="s">
        <v>891</v>
      </c>
      <c r="AL3026" s="22">
        <v>2000</v>
      </c>
      <c r="AM3026" s="22"/>
      <c r="AN3026" s="22" t="s">
        <v>896</v>
      </c>
      <c r="AO3026" s="22"/>
      <c r="AP3026" s="22"/>
      <c r="AQ3026" s="22"/>
      <c r="AR3026" s="22"/>
      <c r="AS3026" s="22"/>
      <c r="AT3026" s="22"/>
      <c r="AU3026" s="22"/>
      <c r="AV3026" s="22"/>
      <c r="AW3026" s="42">
        <v>45771</v>
      </c>
      <c r="AX3026" s="41">
        <v>4045</v>
      </c>
      <c r="AY3026" s="36"/>
      <c r="AZ3026" s="36"/>
      <c r="BA3026" s="93">
        <v>2000</v>
      </c>
      <c r="BB3026" s="22"/>
      <c r="BD3026" s="9"/>
      <c r="CS3026" s="11">
        <f t="shared" si="205"/>
        <v>2000</v>
      </c>
      <c r="CT3026" s="22">
        <f t="shared" si="206"/>
        <v>2000</v>
      </c>
      <c r="CU3026" s="22">
        <f t="shared" si="207"/>
        <v>0</v>
      </c>
      <c r="CV3026" s="26">
        <f t="shared" si="208"/>
        <v>0</v>
      </c>
    </row>
    <row r="3027" spans="1:103" s="27" customFormat="1" x14ac:dyDescent="0.2">
      <c r="A3027" s="27" t="s">
        <v>642</v>
      </c>
      <c r="B3027" s="67"/>
      <c r="C3027" s="68"/>
      <c r="D3027" s="68"/>
      <c r="E3027" s="67"/>
      <c r="F3027" s="67"/>
      <c r="G3027" s="67"/>
      <c r="H3027" s="67"/>
      <c r="I3027" s="217"/>
      <c r="J3027" s="217"/>
      <c r="K3027" s="68"/>
      <c r="L3027" s="68"/>
      <c r="M3027" s="27" t="s">
        <v>0</v>
      </c>
      <c r="N3027" s="27" t="s">
        <v>61</v>
      </c>
      <c r="O3027" s="27" t="s">
        <v>643</v>
      </c>
      <c r="P3027" s="27" t="s">
        <v>0</v>
      </c>
      <c r="Q3027" s="218" t="s">
        <v>646</v>
      </c>
      <c r="R3027" s="27" t="s">
        <v>647</v>
      </c>
      <c r="S3027" s="27" t="s">
        <v>158</v>
      </c>
      <c r="T3027" s="69" t="s">
        <v>69</v>
      </c>
      <c r="U3027" s="69">
        <v>4</v>
      </c>
      <c r="V3027" s="69">
        <v>120</v>
      </c>
      <c r="W3027" s="69" t="s">
        <v>710</v>
      </c>
      <c r="X3027" s="70">
        <v>45704</v>
      </c>
      <c r="Y3027" s="70">
        <v>45705</v>
      </c>
      <c r="Z3027" s="219" t="s">
        <v>772</v>
      </c>
      <c r="AA3027" s="214">
        <v>13500</v>
      </c>
      <c r="AB3027" s="27">
        <v>12</v>
      </c>
      <c r="AC3027" s="218" t="s">
        <v>3428</v>
      </c>
      <c r="AD3027" s="70">
        <v>46047</v>
      </c>
      <c r="AE3027" s="220">
        <f>2000*9</f>
        <v>18000</v>
      </c>
      <c r="AF3027" s="220"/>
      <c r="AG3027" s="27" t="s">
        <v>134</v>
      </c>
      <c r="AH3027" s="70">
        <v>45783</v>
      </c>
      <c r="AI3027" s="70"/>
      <c r="AJ3027" s="70"/>
      <c r="AK3027" s="69" t="s">
        <v>892</v>
      </c>
      <c r="AL3027" s="28">
        <v>20000</v>
      </c>
      <c r="AM3027" s="28"/>
      <c r="AN3027" s="28" t="s">
        <v>897</v>
      </c>
      <c r="AO3027" s="28" t="s">
        <v>899</v>
      </c>
      <c r="AP3027" s="70">
        <v>45783</v>
      </c>
      <c r="AQ3027" s="70"/>
      <c r="AR3027" s="70"/>
      <c r="AS3027" s="28" t="s">
        <v>900</v>
      </c>
      <c r="AT3027" s="28">
        <v>-2000</v>
      </c>
      <c r="AU3027" s="28"/>
      <c r="AV3027" s="28" t="s">
        <v>898</v>
      </c>
      <c r="AW3027" s="70">
        <v>45782</v>
      </c>
      <c r="AX3027" s="69">
        <v>48246</v>
      </c>
      <c r="AY3027" s="225">
        <v>66240</v>
      </c>
      <c r="AZ3027" s="27">
        <v>3.68</v>
      </c>
      <c r="BA3027" s="28">
        <f>+AY3027/AZ3027</f>
        <v>18000</v>
      </c>
      <c r="BB3027" s="28"/>
      <c r="CS3027" s="28">
        <f t="shared" si="205"/>
        <v>18000</v>
      </c>
      <c r="CT3027" s="28">
        <f t="shared" si="206"/>
        <v>18000</v>
      </c>
      <c r="CU3027" s="28">
        <f t="shared" si="207"/>
        <v>0</v>
      </c>
      <c r="CV3027" s="222">
        <f t="shared" si="208"/>
        <v>0</v>
      </c>
    </row>
    <row r="3028" spans="1:103" x14ac:dyDescent="0.2">
      <c r="A3028" s="9" t="s">
        <v>642</v>
      </c>
      <c r="B3028" s="2"/>
      <c r="C3028" s="3"/>
      <c r="D3028" s="3"/>
      <c r="E3028" s="2"/>
      <c r="F3028" s="2"/>
      <c r="G3028" s="2"/>
      <c r="H3028" s="2"/>
      <c r="I3028" s="20"/>
      <c r="J3028" s="20"/>
      <c r="K3028" s="3"/>
      <c r="L3028" s="3"/>
      <c r="M3028" s="9" t="s">
        <v>0</v>
      </c>
      <c r="N3028" s="9" t="s">
        <v>61</v>
      </c>
      <c r="O3028" s="9" t="s">
        <v>643</v>
      </c>
      <c r="P3028" s="9" t="s">
        <v>0</v>
      </c>
      <c r="Q3028" s="30" t="s">
        <v>646</v>
      </c>
      <c r="R3028" s="9" t="s">
        <v>647</v>
      </c>
      <c r="S3028" s="9" t="s">
        <v>158</v>
      </c>
      <c r="T3028" s="10" t="s">
        <v>69</v>
      </c>
      <c r="U3028" s="10">
        <v>4</v>
      </c>
      <c r="V3028" s="10">
        <v>120</v>
      </c>
      <c r="W3028" s="10" t="s">
        <v>710</v>
      </c>
      <c r="X3028" s="17">
        <v>45704</v>
      </c>
      <c r="Y3028" s="17">
        <v>45705</v>
      </c>
      <c r="Z3028" s="19" t="s">
        <v>772</v>
      </c>
      <c r="AA3028" s="207">
        <v>13500</v>
      </c>
      <c r="AB3028" s="9">
        <v>12</v>
      </c>
      <c r="AC3028" s="9">
        <v>12</v>
      </c>
      <c r="AD3028" s="17">
        <v>46078</v>
      </c>
      <c r="AE3028" s="54">
        <v>2000</v>
      </c>
      <c r="AF3028" s="54"/>
      <c r="AG3028" s="9" t="s">
        <v>134</v>
      </c>
      <c r="AH3028" s="17"/>
      <c r="AI3028" s="17"/>
      <c r="AJ3028" s="17"/>
      <c r="AK3028" s="10"/>
      <c r="AL3028" s="22"/>
      <c r="AM3028" s="22"/>
      <c r="AN3028" s="22"/>
      <c r="AO3028" s="22"/>
      <c r="AP3028" s="22"/>
      <c r="AQ3028" s="22"/>
      <c r="AR3028" s="22"/>
      <c r="AS3028" s="22"/>
      <c r="AT3028" s="22"/>
      <c r="AU3028" s="22"/>
      <c r="AV3028" s="22"/>
      <c r="AW3028" s="9"/>
      <c r="BA3028" s="22"/>
      <c r="BB3028" s="22"/>
      <c r="BD3028" s="9"/>
      <c r="CS3028" s="11">
        <f t="shared" si="205"/>
        <v>0</v>
      </c>
      <c r="CT3028" s="22">
        <f t="shared" si="206"/>
        <v>0</v>
      </c>
      <c r="CU3028" s="22">
        <f t="shared" si="207"/>
        <v>0</v>
      </c>
      <c r="CV3028" s="26">
        <f t="shared" si="208"/>
        <v>2000</v>
      </c>
    </row>
    <row r="3029" spans="1:103" x14ac:dyDescent="0.2">
      <c r="A3029" s="9" t="s">
        <v>648</v>
      </c>
      <c r="B3029" s="2">
        <v>79</v>
      </c>
      <c r="C3029" s="3" t="s">
        <v>95</v>
      </c>
      <c r="D3029" s="3" t="s">
        <v>96</v>
      </c>
      <c r="E3029" s="2"/>
      <c r="F3029" s="2"/>
      <c r="G3029" s="2" t="s">
        <v>74</v>
      </c>
      <c r="H3029" s="2">
        <v>4</v>
      </c>
      <c r="I3029" s="20">
        <v>90</v>
      </c>
      <c r="J3029" s="20">
        <v>40000</v>
      </c>
      <c r="K3029" s="3">
        <v>0</v>
      </c>
      <c r="L3029" s="3" t="s">
        <v>3</v>
      </c>
      <c r="M3029" s="9" t="s">
        <v>0</v>
      </c>
      <c r="N3029" s="9">
        <v>70333482</v>
      </c>
      <c r="O3029" s="9" t="s">
        <v>649</v>
      </c>
      <c r="P3029" s="9" t="s">
        <v>0</v>
      </c>
      <c r="Q3029" s="30" t="s">
        <v>650</v>
      </c>
      <c r="R3029" s="9" t="s">
        <v>651</v>
      </c>
      <c r="S3029" s="9" t="s">
        <v>158</v>
      </c>
      <c r="T3029" s="10" t="s">
        <v>74</v>
      </c>
      <c r="U3029" s="10">
        <v>4</v>
      </c>
      <c r="V3029" s="79">
        <v>90</v>
      </c>
      <c r="W3029" s="79" t="s">
        <v>710</v>
      </c>
      <c r="X3029" s="17">
        <v>45704</v>
      </c>
      <c r="Y3029" s="17">
        <v>45711</v>
      </c>
      <c r="Z3029" s="19" t="s">
        <v>772</v>
      </c>
      <c r="AA3029" s="207">
        <v>31700</v>
      </c>
      <c r="AB3029" s="9">
        <v>48</v>
      </c>
      <c r="AC3029" s="9">
        <v>0</v>
      </c>
      <c r="AD3029" s="17">
        <v>45711</v>
      </c>
      <c r="AE3029" s="54">
        <v>3000</v>
      </c>
      <c r="AF3029" s="54"/>
      <c r="AG3029" s="9" t="s">
        <v>134</v>
      </c>
      <c r="AH3029" s="17">
        <v>45711</v>
      </c>
      <c r="AI3029" s="17"/>
      <c r="AJ3029" s="17"/>
      <c r="AK3029" s="9" t="s">
        <v>652</v>
      </c>
      <c r="AL3029" s="22">
        <v>3000</v>
      </c>
      <c r="AM3029" s="22"/>
      <c r="AN3029" s="22" t="s">
        <v>884</v>
      </c>
      <c r="AO3029" s="22"/>
      <c r="AP3029" s="22"/>
      <c r="AQ3029" s="22"/>
      <c r="AR3029" s="22"/>
      <c r="AS3029" s="22"/>
      <c r="AT3029" s="22"/>
      <c r="AU3029" s="22"/>
      <c r="AV3029" s="22"/>
      <c r="AW3029" s="42">
        <v>45704</v>
      </c>
      <c r="AX3029" s="106">
        <v>45464</v>
      </c>
      <c r="AY3029" s="40">
        <v>1116</v>
      </c>
      <c r="AZ3029" s="36">
        <v>3.69</v>
      </c>
      <c r="BA3029" s="40">
        <f>+AY3029/AZ3029</f>
        <v>302.4390243902439</v>
      </c>
      <c r="BB3029" s="40"/>
      <c r="BC3029" s="42">
        <v>45711</v>
      </c>
      <c r="BD3029" s="105">
        <v>45689</v>
      </c>
      <c r="BE3029" s="36">
        <v>1128</v>
      </c>
      <c r="BF3029" s="36">
        <v>3.69</v>
      </c>
      <c r="BG3029" s="40">
        <f>+BE3029/BF3029</f>
        <v>305.6910569105691</v>
      </c>
      <c r="BH3029" s="40"/>
      <c r="BI3029" s="42">
        <v>45712</v>
      </c>
      <c r="BJ3029" s="36">
        <v>45698</v>
      </c>
      <c r="BK3029" s="36">
        <v>500</v>
      </c>
      <c r="BL3029" s="36">
        <v>3.69</v>
      </c>
      <c r="BM3029" s="40">
        <f>+BK3029/BL3029</f>
        <v>135.50135501355012</v>
      </c>
      <c r="BN3029" s="40"/>
      <c r="BO3029" s="42">
        <v>45712</v>
      </c>
      <c r="BP3029" s="36">
        <v>45698</v>
      </c>
      <c r="BQ3029" s="36">
        <v>500</v>
      </c>
      <c r="BR3029" s="36">
        <v>3.69</v>
      </c>
      <c r="BS3029" s="40">
        <f>+BQ3029/BR3029</f>
        <v>135.50135501355012</v>
      </c>
      <c r="BT3029" s="40"/>
      <c r="BU3029" s="42">
        <v>45712</v>
      </c>
      <c r="BV3029" s="36">
        <v>45698</v>
      </c>
      <c r="BW3029" s="36">
        <v>3300</v>
      </c>
      <c r="BX3029" s="36">
        <v>3.69</v>
      </c>
      <c r="BY3029" s="40">
        <f>+BW3029/BX3029</f>
        <v>894.30894308943095</v>
      </c>
      <c r="BZ3029" s="40"/>
      <c r="CA3029" s="42">
        <v>45712</v>
      </c>
      <c r="CB3029" s="36">
        <v>45698</v>
      </c>
      <c r="CC3029" s="36">
        <v>2768</v>
      </c>
      <c r="CD3029" s="36">
        <v>3.69</v>
      </c>
      <c r="CE3029" s="40">
        <f>+CC3029/CD3029</f>
        <v>750.13550135501362</v>
      </c>
      <c r="CF3029" s="40"/>
      <c r="CG3029" s="42">
        <v>45712</v>
      </c>
      <c r="CH3029" s="36">
        <v>45698</v>
      </c>
      <c r="CI3029" s="36">
        <v>1268</v>
      </c>
      <c r="CJ3029" s="36">
        <v>3.69</v>
      </c>
      <c r="CK3029" s="40">
        <f>+CI3029/CJ3029</f>
        <v>343.63143631436316</v>
      </c>
      <c r="CL3029" s="40"/>
      <c r="CM3029" s="40"/>
      <c r="CN3029" s="40"/>
      <c r="CO3029" s="40"/>
      <c r="CP3029" s="40"/>
      <c r="CQ3029" s="40"/>
      <c r="CR3029" s="40"/>
      <c r="CS3029" s="11">
        <f t="shared" si="205"/>
        <v>3000</v>
      </c>
      <c r="CT3029" s="22">
        <f t="shared" si="206"/>
        <v>2867.208672086721</v>
      </c>
      <c r="CU3029" s="22">
        <f t="shared" si="207"/>
        <v>132.79132791327902</v>
      </c>
      <c r="CV3029" s="26">
        <f t="shared" si="208"/>
        <v>0</v>
      </c>
      <c r="CW3029" s="9" t="s">
        <v>3498</v>
      </c>
      <c r="CY3029" s="9" t="s">
        <v>3493</v>
      </c>
    </row>
    <row r="3030" spans="1:103" x14ac:dyDescent="0.2">
      <c r="A3030" s="9" t="s">
        <v>648</v>
      </c>
      <c r="B3030" s="2">
        <v>79</v>
      </c>
      <c r="C3030" s="3" t="s">
        <v>95</v>
      </c>
      <c r="D3030" s="3" t="s">
        <v>96</v>
      </c>
      <c r="E3030" s="2"/>
      <c r="F3030" s="2"/>
      <c r="G3030" s="2" t="s">
        <v>74</v>
      </c>
      <c r="H3030" s="2">
        <v>4</v>
      </c>
      <c r="I3030" s="20">
        <v>90</v>
      </c>
      <c r="J3030" s="20">
        <v>40000</v>
      </c>
      <c r="K3030" s="3">
        <v>0</v>
      </c>
      <c r="L3030" s="3" t="s">
        <v>3</v>
      </c>
      <c r="M3030" s="9" t="s">
        <v>0</v>
      </c>
      <c r="N3030" s="9">
        <v>70333482</v>
      </c>
      <c r="O3030" s="9" t="s">
        <v>649</v>
      </c>
      <c r="P3030" s="9" t="s">
        <v>0</v>
      </c>
      <c r="Q3030" s="30" t="s">
        <v>650</v>
      </c>
      <c r="R3030" s="9" t="s">
        <v>651</v>
      </c>
      <c r="S3030" s="9" t="s">
        <v>158</v>
      </c>
      <c r="T3030" s="10" t="s">
        <v>74</v>
      </c>
      <c r="U3030" s="10">
        <v>4</v>
      </c>
      <c r="V3030" s="79">
        <v>90</v>
      </c>
      <c r="W3030" s="79" t="s">
        <v>710</v>
      </c>
      <c r="X3030" s="17">
        <v>45704</v>
      </c>
      <c r="Y3030" s="17">
        <v>45711</v>
      </c>
      <c r="Z3030" s="19" t="s">
        <v>772</v>
      </c>
      <c r="AA3030" s="207">
        <v>31700</v>
      </c>
      <c r="AB3030" s="9">
        <v>48</v>
      </c>
      <c r="AC3030" s="9">
        <v>1</v>
      </c>
      <c r="AD3030" s="17">
        <v>45782</v>
      </c>
      <c r="AE3030" s="54">
        <v>597.71</v>
      </c>
      <c r="AF3030" s="54"/>
      <c r="AG3030" s="9" t="s">
        <v>134</v>
      </c>
      <c r="AH3030" s="17">
        <v>45806</v>
      </c>
      <c r="AI3030" s="17"/>
      <c r="AJ3030" s="17"/>
      <c r="AK3030" s="9" t="s">
        <v>879</v>
      </c>
      <c r="AL3030" s="22">
        <v>598</v>
      </c>
      <c r="AM3030" s="22"/>
      <c r="AN3030" s="22" t="s">
        <v>885</v>
      </c>
      <c r="AO3030" s="22"/>
      <c r="AP3030" s="22"/>
      <c r="AQ3030" s="22"/>
      <c r="AR3030" s="22"/>
      <c r="AS3030" s="22"/>
      <c r="AT3030" s="22"/>
      <c r="AU3030" s="22"/>
      <c r="AV3030" s="22"/>
      <c r="AW3030" s="42">
        <v>45805</v>
      </c>
      <c r="AX3030" s="41">
        <v>4223</v>
      </c>
      <c r="AY3030" s="36"/>
      <c r="AZ3030" s="36"/>
      <c r="BA3030" s="40">
        <v>598</v>
      </c>
      <c r="BB3030" s="22"/>
      <c r="BD3030" s="9"/>
      <c r="CS3030" s="11">
        <f t="shared" si="205"/>
        <v>598</v>
      </c>
      <c r="CT3030" s="22">
        <f t="shared" si="206"/>
        <v>598</v>
      </c>
      <c r="CU3030" s="22">
        <f t="shared" si="207"/>
        <v>0</v>
      </c>
      <c r="CV3030" s="26">
        <f t="shared" si="208"/>
        <v>-0.28999999999996362</v>
      </c>
    </row>
    <row r="3031" spans="1:103" x14ac:dyDescent="0.2">
      <c r="A3031" s="9" t="s">
        <v>648</v>
      </c>
      <c r="B3031" s="2">
        <v>79</v>
      </c>
      <c r="C3031" s="3" t="s">
        <v>95</v>
      </c>
      <c r="D3031" s="3" t="s">
        <v>96</v>
      </c>
      <c r="E3031" s="2"/>
      <c r="F3031" s="2"/>
      <c r="G3031" s="2" t="s">
        <v>74</v>
      </c>
      <c r="H3031" s="2">
        <v>4</v>
      </c>
      <c r="I3031" s="20">
        <v>90</v>
      </c>
      <c r="J3031" s="20">
        <v>40000</v>
      </c>
      <c r="K3031" s="3">
        <v>0</v>
      </c>
      <c r="L3031" s="3" t="s">
        <v>3</v>
      </c>
      <c r="M3031" s="9" t="s">
        <v>0</v>
      </c>
      <c r="N3031" s="9">
        <v>70333482</v>
      </c>
      <c r="O3031" s="9" t="s">
        <v>649</v>
      </c>
      <c r="P3031" s="9" t="s">
        <v>0</v>
      </c>
      <c r="Q3031" s="30" t="s">
        <v>650</v>
      </c>
      <c r="R3031" s="9" t="s">
        <v>651</v>
      </c>
      <c r="S3031" s="9" t="s">
        <v>158</v>
      </c>
      <c r="T3031" s="10" t="s">
        <v>74</v>
      </c>
      <c r="U3031" s="10">
        <v>4</v>
      </c>
      <c r="V3031" s="79">
        <v>90</v>
      </c>
      <c r="W3031" s="79" t="s">
        <v>710</v>
      </c>
      <c r="X3031" s="17">
        <v>45704</v>
      </c>
      <c r="Y3031" s="17">
        <v>45711</v>
      </c>
      <c r="Z3031" s="19" t="s">
        <v>772</v>
      </c>
      <c r="AA3031" s="207">
        <v>31700</v>
      </c>
      <c r="AB3031" s="9">
        <v>48</v>
      </c>
      <c r="AC3031" s="9">
        <v>2</v>
      </c>
      <c r="AD3031" s="17">
        <v>45813</v>
      </c>
      <c r="AE3031" s="54">
        <v>597.71</v>
      </c>
      <c r="AF3031" s="54"/>
      <c r="AG3031" s="9" t="s">
        <v>134</v>
      </c>
      <c r="AH3031" s="17">
        <v>45838</v>
      </c>
      <c r="AI3031" s="17"/>
      <c r="AJ3031" s="17"/>
      <c r="AK3031" s="9" t="s">
        <v>880</v>
      </c>
      <c r="AL3031" s="22">
        <v>598</v>
      </c>
      <c r="AM3031" s="22"/>
      <c r="AN3031" s="22" t="s">
        <v>886</v>
      </c>
      <c r="AO3031" s="22"/>
      <c r="AP3031" s="22"/>
      <c r="AQ3031" s="22"/>
      <c r="AR3031" s="22"/>
      <c r="AS3031" s="22"/>
      <c r="AT3031" s="22"/>
      <c r="AU3031" s="22"/>
      <c r="AV3031" s="22"/>
      <c r="AW3031" s="42">
        <v>45838</v>
      </c>
      <c r="AX3031" s="41">
        <v>4351</v>
      </c>
      <c r="AY3031" s="36"/>
      <c r="AZ3031" s="36"/>
      <c r="BA3031" s="40">
        <v>598</v>
      </c>
      <c r="BB3031" s="22"/>
      <c r="BD3031" s="9"/>
      <c r="CS3031" s="11">
        <f t="shared" si="205"/>
        <v>598</v>
      </c>
      <c r="CT3031" s="22">
        <f t="shared" si="206"/>
        <v>598</v>
      </c>
      <c r="CU3031" s="22">
        <f t="shared" si="207"/>
        <v>0</v>
      </c>
      <c r="CV3031" s="26">
        <f t="shared" si="208"/>
        <v>-0.28999999999996362</v>
      </c>
    </row>
    <row r="3032" spans="1:103" x14ac:dyDescent="0.2">
      <c r="A3032" s="9" t="s">
        <v>648</v>
      </c>
      <c r="B3032" s="2">
        <v>79</v>
      </c>
      <c r="C3032" s="3" t="s">
        <v>95</v>
      </c>
      <c r="D3032" s="3" t="s">
        <v>96</v>
      </c>
      <c r="E3032" s="2"/>
      <c r="F3032" s="2"/>
      <c r="G3032" s="2" t="s">
        <v>74</v>
      </c>
      <c r="H3032" s="2">
        <v>4</v>
      </c>
      <c r="I3032" s="20">
        <v>90</v>
      </c>
      <c r="J3032" s="20">
        <v>40000</v>
      </c>
      <c r="K3032" s="3">
        <v>0</v>
      </c>
      <c r="L3032" s="3" t="s">
        <v>3</v>
      </c>
      <c r="M3032" s="9" t="s">
        <v>0</v>
      </c>
      <c r="N3032" s="9">
        <v>70333482</v>
      </c>
      <c r="O3032" s="9" t="s">
        <v>649</v>
      </c>
      <c r="P3032" s="9" t="s">
        <v>0</v>
      </c>
      <c r="Q3032" s="30" t="s">
        <v>650</v>
      </c>
      <c r="R3032" s="9" t="s">
        <v>651</v>
      </c>
      <c r="S3032" s="9" t="s">
        <v>158</v>
      </c>
      <c r="T3032" s="10" t="s">
        <v>74</v>
      </c>
      <c r="U3032" s="10">
        <v>4</v>
      </c>
      <c r="V3032" s="79">
        <v>90</v>
      </c>
      <c r="W3032" s="79" t="s">
        <v>710</v>
      </c>
      <c r="X3032" s="17">
        <v>45704</v>
      </c>
      <c r="Y3032" s="17">
        <v>45711</v>
      </c>
      <c r="Z3032" s="19" t="s">
        <v>772</v>
      </c>
      <c r="AA3032" s="207">
        <v>31700</v>
      </c>
      <c r="AB3032" s="9">
        <v>48</v>
      </c>
      <c r="AC3032" s="9">
        <v>3</v>
      </c>
      <c r="AD3032" s="17">
        <v>45843</v>
      </c>
      <c r="AE3032" s="54">
        <v>597.71</v>
      </c>
      <c r="AF3032" s="54"/>
      <c r="AG3032" s="9" t="s">
        <v>134</v>
      </c>
      <c r="AH3032" s="17">
        <v>45869</v>
      </c>
      <c r="AI3032" s="17"/>
      <c r="AJ3032" s="17"/>
      <c r="AK3032" s="9" t="s">
        <v>881</v>
      </c>
      <c r="AL3032" s="22">
        <v>598</v>
      </c>
      <c r="AM3032" s="22"/>
      <c r="AN3032" s="22" t="s">
        <v>887</v>
      </c>
      <c r="AO3032" s="22"/>
      <c r="AP3032" s="22"/>
      <c r="AQ3032" s="22"/>
      <c r="AR3032" s="22"/>
      <c r="AS3032" s="22"/>
      <c r="AT3032" s="22"/>
      <c r="AU3032" s="22"/>
      <c r="AV3032" s="22"/>
      <c r="AW3032" s="42">
        <v>45868</v>
      </c>
      <c r="AX3032" s="41">
        <v>4484</v>
      </c>
      <c r="AY3032" s="36"/>
      <c r="AZ3032" s="36"/>
      <c r="BA3032" s="40">
        <v>598</v>
      </c>
      <c r="BB3032" s="22"/>
      <c r="BD3032" s="9"/>
      <c r="CS3032" s="11">
        <f t="shared" si="205"/>
        <v>598</v>
      </c>
      <c r="CT3032" s="22">
        <f t="shared" si="206"/>
        <v>598</v>
      </c>
      <c r="CU3032" s="22">
        <f t="shared" si="207"/>
        <v>0</v>
      </c>
      <c r="CV3032" s="26">
        <f t="shared" si="208"/>
        <v>-0.28999999999996362</v>
      </c>
    </row>
    <row r="3033" spans="1:103" x14ac:dyDescent="0.2">
      <c r="A3033" s="9" t="s">
        <v>648</v>
      </c>
      <c r="B3033" s="2">
        <v>79</v>
      </c>
      <c r="C3033" s="3" t="s">
        <v>95</v>
      </c>
      <c r="D3033" s="3" t="s">
        <v>96</v>
      </c>
      <c r="E3033" s="2"/>
      <c r="F3033" s="2"/>
      <c r="G3033" s="2" t="s">
        <v>74</v>
      </c>
      <c r="H3033" s="2">
        <v>4</v>
      </c>
      <c r="I3033" s="20">
        <v>90</v>
      </c>
      <c r="J3033" s="20">
        <v>40000</v>
      </c>
      <c r="K3033" s="3">
        <v>0</v>
      </c>
      <c r="L3033" s="3" t="s">
        <v>3</v>
      </c>
      <c r="M3033" s="9" t="s">
        <v>0</v>
      </c>
      <c r="N3033" s="9">
        <v>70333482</v>
      </c>
      <c r="O3033" s="9" t="s">
        <v>649</v>
      </c>
      <c r="P3033" s="9" t="s">
        <v>0</v>
      </c>
      <c r="Q3033" s="30" t="s">
        <v>650</v>
      </c>
      <c r="R3033" s="9" t="s">
        <v>651</v>
      </c>
      <c r="S3033" s="9" t="s">
        <v>158</v>
      </c>
      <c r="T3033" s="10" t="s">
        <v>74</v>
      </c>
      <c r="U3033" s="10">
        <v>4</v>
      </c>
      <c r="V3033" s="79">
        <v>90</v>
      </c>
      <c r="W3033" s="79" t="s">
        <v>710</v>
      </c>
      <c r="X3033" s="17">
        <v>45704</v>
      </c>
      <c r="Y3033" s="17">
        <v>45711</v>
      </c>
      <c r="Z3033" s="19" t="s">
        <v>772</v>
      </c>
      <c r="AA3033" s="207">
        <v>31700</v>
      </c>
      <c r="AB3033" s="9">
        <v>48</v>
      </c>
      <c r="AC3033" s="9">
        <v>4</v>
      </c>
      <c r="AD3033" s="17">
        <v>45874</v>
      </c>
      <c r="AE3033" s="54">
        <v>597.71</v>
      </c>
      <c r="AF3033" s="54"/>
      <c r="AG3033" s="9" t="s">
        <v>134</v>
      </c>
      <c r="AH3033" s="17">
        <v>45897</v>
      </c>
      <c r="AI3033" s="17"/>
      <c r="AJ3033" s="17"/>
      <c r="AK3033" s="9" t="s">
        <v>882</v>
      </c>
      <c r="AL3033" s="22">
        <v>598</v>
      </c>
      <c r="AM3033" s="22"/>
      <c r="AN3033" s="22" t="s">
        <v>888</v>
      </c>
      <c r="AO3033" s="22"/>
      <c r="AP3033" s="22"/>
      <c r="AQ3033" s="22"/>
      <c r="AR3033" s="22"/>
      <c r="AS3033" s="22"/>
      <c r="AT3033" s="22"/>
      <c r="AU3033" s="22"/>
      <c r="AV3033" s="22"/>
      <c r="AW3033" s="42">
        <v>45897</v>
      </c>
      <c r="AX3033" s="41">
        <v>4618</v>
      </c>
      <c r="AY3033" s="36"/>
      <c r="AZ3033" s="36"/>
      <c r="BA3033" s="40">
        <v>598</v>
      </c>
      <c r="BB3033" s="22"/>
      <c r="BD3033" s="9"/>
      <c r="CS3033" s="11">
        <f t="shared" si="205"/>
        <v>598</v>
      </c>
      <c r="CT3033" s="22">
        <f t="shared" si="206"/>
        <v>598</v>
      </c>
      <c r="CU3033" s="22">
        <f t="shared" si="207"/>
        <v>0</v>
      </c>
      <c r="CV3033" s="26">
        <f t="shared" si="208"/>
        <v>-0.28999999999996362</v>
      </c>
    </row>
    <row r="3034" spans="1:103" x14ac:dyDescent="0.2">
      <c r="A3034" s="9" t="s">
        <v>648</v>
      </c>
      <c r="B3034" s="2">
        <v>79</v>
      </c>
      <c r="C3034" s="3" t="s">
        <v>95</v>
      </c>
      <c r="D3034" s="3" t="s">
        <v>96</v>
      </c>
      <c r="E3034" s="2"/>
      <c r="F3034" s="2"/>
      <c r="G3034" s="2" t="s">
        <v>74</v>
      </c>
      <c r="H3034" s="2">
        <v>4</v>
      </c>
      <c r="I3034" s="20">
        <v>90</v>
      </c>
      <c r="J3034" s="20">
        <v>40000</v>
      </c>
      <c r="K3034" s="3">
        <v>0</v>
      </c>
      <c r="L3034" s="3" t="s">
        <v>3</v>
      </c>
      <c r="M3034" s="9" t="s">
        <v>0</v>
      </c>
      <c r="N3034" s="9">
        <v>70333482</v>
      </c>
      <c r="O3034" s="9" t="s">
        <v>649</v>
      </c>
      <c r="P3034" s="9" t="s">
        <v>0</v>
      </c>
      <c r="Q3034" s="30" t="s">
        <v>650</v>
      </c>
      <c r="R3034" s="9" t="s">
        <v>651</v>
      </c>
      <c r="S3034" s="9" t="s">
        <v>158</v>
      </c>
      <c r="T3034" s="10" t="s">
        <v>74</v>
      </c>
      <c r="U3034" s="10">
        <v>4</v>
      </c>
      <c r="V3034" s="79">
        <v>90</v>
      </c>
      <c r="W3034" s="79" t="s">
        <v>710</v>
      </c>
      <c r="X3034" s="17">
        <v>45704</v>
      </c>
      <c r="Y3034" s="17">
        <v>45711</v>
      </c>
      <c r="Z3034" s="19" t="s">
        <v>772</v>
      </c>
      <c r="AA3034" s="207">
        <v>31700</v>
      </c>
      <c r="AB3034" s="9">
        <v>48</v>
      </c>
      <c r="AC3034" s="9">
        <v>5</v>
      </c>
      <c r="AD3034" s="17">
        <v>45905</v>
      </c>
      <c r="AE3034" s="54">
        <v>597.71</v>
      </c>
      <c r="AF3034" s="54"/>
      <c r="AG3034" s="9" t="s">
        <v>134</v>
      </c>
      <c r="AH3034" s="17">
        <v>45930</v>
      </c>
      <c r="AI3034" s="17"/>
      <c r="AJ3034" s="17"/>
      <c r="AK3034" s="9" t="s">
        <v>883</v>
      </c>
      <c r="AL3034" s="22">
        <v>598</v>
      </c>
      <c r="AM3034" s="22"/>
      <c r="AN3034" s="22" t="s">
        <v>889</v>
      </c>
      <c r="AO3034" s="22"/>
      <c r="AP3034" s="22"/>
      <c r="AQ3034" s="22"/>
      <c r="AR3034" s="22"/>
      <c r="AS3034" s="22"/>
      <c r="AT3034" s="22"/>
      <c r="AU3034" s="22"/>
      <c r="AV3034" s="22"/>
      <c r="AW3034" s="42">
        <v>45930</v>
      </c>
      <c r="AX3034" s="41">
        <v>4831</v>
      </c>
      <c r="AY3034" s="36"/>
      <c r="AZ3034" s="36"/>
      <c r="BA3034" s="40">
        <v>598</v>
      </c>
      <c r="BB3034" s="22"/>
      <c r="BD3034" s="9"/>
      <c r="CS3034" s="11">
        <f t="shared" si="205"/>
        <v>598</v>
      </c>
      <c r="CT3034" s="22">
        <f t="shared" si="206"/>
        <v>598</v>
      </c>
      <c r="CU3034" s="22">
        <f t="shared" si="207"/>
        <v>0</v>
      </c>
      <c r="CV3034" s="26">
        <f t="shared" si="208"/>
        <v>-0.28999999999996362</v>
      </c>
    </row>
    <row r="3035" spans="1:103" x14ac:dyDescent="0.2">
      <c r="A3035" s="9" t="s">
        <v>648</v>
      </c>
      <c r="B3035" s="2">
        <v>79</v>
      </c>
      <c r="C3035" s="3" t="s">
        <v>95</v>
      </c>
      <c r="D3035" s="3" t="s">
        <v>96</v>
      </c>
      <c r="E3035" s="2"/>
      <c r="F3035" s="2"/>
      <c r="G3035" s="2" t="s">
        <v>74</v>
      </c>
      <c r="H3035" s="2">
        <v>4</v>
      </c>
      <c r="I3035" s="20">
        <v>90</v>
      </c>
      <c r="J3035" s="20">
        <v>40000</v>
      </c>
      <c r="K3035" s="3">
        <v>0</v>
      </c>
      <c r="L3035" s="3" t="s">
        <v>3</v>
      </c>
      <c r="M3035" s="9" t="s">
        <v>0</v>
      </c>
      <c r="N3035" s="9">
        <v>70333482</v>
      </c>
      <c r="O3035" s="9" t="s">
        <v>649</v>
      </c>
      <c r="P3035" s="9" t="s">
        <v>0</v>
      </c>
      <c r="Q3035" s="30" t="s">
        <v>650</v>
      </c>
      <c r="R3035" s="9" t="s">
        <v>651</v>
      </c>
      <c r="S3035" s="9" t="s">
        <v>158</v>
      </c>
      <c r="T3035" s="10" t="s">
        <v>74</v>
      </c>
      <c r="U3035" s="10">
        <v>4</v>
      </c>
      <c r="V3035" s="79">
        <v>90</v>
      </c>
      <c r="W3035" s="79" t="s">
        <v>710</v>
      </c>
      <c r="X3035" s="17">
        <v>45704</v>
      </c>
      <c r="Y3035" s="17">
        <v>45711</v>
      </c>
      <c r="Z3035" s="19" t="s">
        <v>772</v>
      </c>
      <c r="AA3035" s="207">
        <v>31700</v>
      </c>
      <c r="AB3035" s="9">
        <v>48</v>
      </c>
      <c r="AC3035" s="9">
        <v>6</v>
      </c>
      <c r="AD3035" s="17">
        <v>45935</v>
      </c>
      <c r="AE3035" s="54">
        <v>597.71</v>
      </c>
      <c r="AF3035" s="54"/>
      <c r="AL3035" s="22"/>
      <c r="AM3035" s="22"/>
      <c r="AN3035" s="22"/>
      <c r="AO3035" s="22"/>
      <c r="AP3035" s="22"/>
      <c r="AQ3035" s="22"/>
      <c r="AR3035" s="22"/>
      <c r="AS3035" s="22"/>
      <c r="AT3035" s="22"/>
      <c r="AU3035" s="22"/>
      <c r="AV3035" s="22"/>
      <c r="AW3035" s="9"/>
      <c r="BA3035" s="22"/>
      <c r="BB3035" s="22"/>
      <c r="BD3035" s="9"/>
      <c r="CS3035" s="11">
        <f t="shared" si="205"/>
        <v>0</v>
      </c>
      <c r="CT3035" s="22">
        <f t="shared" si="206"/>
        <v>0</v>
      </c>
      <c r="CU3035" s="22">
        <f t="shared" si="207"/>
        <v>0</v>
      </c>
      <c r="CV3035" s="26">
        <f t="shared" si="208"/>
        <v>597.71</v>
      </c>
    </row>
    <row r="3036" spans="1:103" x14ac:dyDescent="0.2">
      <c r="A3036" s="9" t="s">
        <v>648</v>
      </c>
      <c r="B3036" s="2">
        <v>79</v>
      </c>
      <c r="C3036" s="3" t="s">
        <v>95</v>
      </c>
      <c r="D3036" s="3" t="s">
        <v>96</v>
      </c>
      <c r="E3036" s="2"/>
      <c r="F3036" s="2"/>
      <c r="G3036" s="2" t="s">
        <v>74</v>
      </c>
      <c r="H3036" s="2">
        <v>4</v>
      </c>
      <c r="I3036" s="20">
        <v>90</v>
      </c>
      <c r="J3036" s="20">
        <v>40000</v>
      </c>
      <c r="K3036" s="3">
        <v>0</v>
      </c>
      <c r="L3036" s="3" t="s">
        <v>3</v>
      </c>
      <c r="M3036" s="9" t="s">
        <v>0</v>
      </c>
      <c r="N3036" s="9">
        <v>70333482</v>
      </c>
      <c r="O3036" s="9" t="s">
        <v>649</v>
      </c>
      <c r="P3036" s="9" t="s">
        <v>0</v>
      </c>
      <c r="Q3036" s="30" t="s">
        <v>650</v>
      </c>
      <c r="R3036" s="9" t="s">
        <v>651</v>
      </c>
      <c r="S3036" s="9" t="s">
        <v>158</v>
      </c>
      <c r="T3036" s="10" t="s">
        <v>74</v>
      </c>
      <c r="U3036" s="10">
        <v>4</v>
      </c>
      <c r="V3036" s="79">
        <v>90</v>
      </c>
      <c r="W3036" s="79" t="s">
        <v>710</v>
      </c>
      <c r="X3036" s="17">
        <v>45704</v>
      </c>
      <c r="Y3036" s="17">
        <v>45711</v>
      </c>
      <c r="Z3036" s="19" t="s">
        <v>772</v>
      </c>
      <c r="AA3036" s="207">
        <v>31700</v>
      </c>
      <c r="AB3036" s="9">
        <v>48</v>
      </c>
      <c r="AC3036" s="9">
        <v>7</v>
      </c>
      <c r="AD3036" s="17">
        <v>45966</v>
      </c>
      <c r="AE3036" s="54">
        <v>597.71</v>
      </c>
      <c r="AF3036" s="54"/>
      <c r="AL3036" s="22"/>
      <c r="AM3036" s="22"/>
      <c r="AN3036" s="22"/>
      <c r="AO3036" s="22"/>
      <c r="AP3036" s="22"/>
      <c r="AQ3036" s="22"/>
      <c r="AR3036" s="22"/>
      <c r="AS3036" s="22"/>
      <c r="AT3036" s="22"/>
      <c r="AU3036" s="22"/>
      <c r="AV3036" s="22"/>
      <c r="AW3036" s="9"/>
      <c r="BA3036" s="22"/>
      <c r="BB3036" s="22"/>
      <c r="BD3036" s="9"/>
      <c r="CS3036" s="11">
        <f t="shared" ref="CS3036:CS3099" si="209">+AL3036+AT3036</f>
        <v>0</v>
      </c>
      <c r="CT3036" s="22">
        <f t="shared" ref="CT3036:CT3099" si="210">+BA3036+BG3036+BM3036+BS3036+BY3036+CE3036+CK3036+CQ3036</f>
        <v>0</v>
      </c>
      <c r="CU3036" s="22">
        <f t="shared" ref="CU3036:CU3099" si="211">+CS3036-CT3036</f>
        <v>0</v>
      </c>
      <c r="CV3036" s="26">
        <f t="shared" si="208"/>
        <v>597.71</v>
      </c>
    </row>
    <row r="3037" spans="1:103" x14ac:dyDescent="0.2">
      <c r="A3037" s="9" t="s">
        <v>648</v>
      </c>
      <c r="B3037" s="2">
        <v>79</v>
      </c>
      <c r="C3037" s="3" t="s">
        <v>95</v>
      </c>
      <c r="D3037" s="3" t="s">
        <v>96</v>
      </c>
      <c r="E3037" s="2"/>
      <c r="F3037" s="2"/>
      <c r="G3037" s="2" t="s">
        <v>74</v>
      </c>
      <c r="H3037" s="2">
        <v>4</v>
      </c>
      <c r="I3037" s="20">
        <v>90</v>
      </c>
      <c r="J3037" s="20">
        <v>40000</v>
      </c>
      <c r="K3037" s="3">
        <v>0</v>
      </c>
      <c r="L3037" s="3" t="s">
        <v>3</v>
      </c>
      <c r="M3037" s="9" t="s">
        <v>0</v>
      </c>
      <c r="N3037" s="9">
        <v>70333482</v>
      </c>
      <c r="O3037" s="9" t="s">
        <v>649</v>
      </c>
      <c r="P3037" s="9" t="s">
        <v>0</v>
      </c>
      <c r="Q3037" s="30" t="s">
        <v>650</v>
      </c>
      <c r="R3037" s="9" t="s">
        <v>651</v>
      </c>
      <c r="S3037" s="9" t="s">
        <v>158</v>
      </c>
      <c r="T3037" s="10" t="s">
        <v>74</v>
      </c>
      <c r="U3037" s="10">
        <v>4</v>
      </c>
      <c r="V3037" s="79">
        <v>90</v>
      </c>
      <c r="W3037" s="79" t="s">
        <v>710</v>
      </c>
      <c r="X3037" s="17">
        <v>45704</v>
      </c>
      <c r="Y3037" s="17">
        <v>45711</v>
      </c>
      <c r="Z3037" s="19" t="s">
        <v>772</v>
      </c>
      <c r="AA3037" s="207">
        <v>31700</v>
      </c>
      <c r="AB3037" s="9">
        <v>48</v>
      </c>
      <c r="AC3037" s="9">
        <v>8</v>
      </c>
      <c r="AD3037" s="17">
        <v>45996</v>
      </c>
      <c r="AE3037" s="54">
        <v>597.71</v>
      </c>
      <c r="AF3037" s="54"/>
      <c r="AL3037" s="22"/>
      <c r="AM3037" s="22"/>
      <c r="AN3037" s="22"/>
      <c r="AO3037" s="22"/>
      <c r="AP3037" s="22"/>
      <c r="AQ3037" s="22"/>
      <c r="AR3037" s="22"/>
      <c r="AS3037" s="22"/>
      <c r="AT3037" s="22"/>
      <c r="AU3037" s="22"/>
      <c r="AV3037" s="22"/>
      <c r="AW3037" s="17"/>
      <c r="BA3037" s="22"/>
      <c r="BB3037" s="22"/>
      <c r="BD3037" s="9"/>
      <c r="CS3037" s="11">
        <f t="shared" si="209"/>
        <v>0</v>
      </c>
      <c r="CT3037" s="22">
        <f t="shared" si="210"/>
        <v>0</v>
      </c>
      <c r="CU3037" s="22">
        <f t="shared" si="211"/>
        <v>0</v>
      </c>
      <c r="CV3037" s="26">
        <f t="shared" si="208"/>
        <v>597.71</v>
      </c>
    </row>
    <row r="3038" spans="1:103" x14ac:dyDescent="0.2">
      <c r="A3038" s="9" t="s">
        <v>648</v>
      </c>
      <c r="B3038" s="2">
        <v>79</v>
      </c>
      <c r="C3038" s="3" t="s">
        <v>95</v>
      </c>
      <c r="D3038" s="3" t="s">
        <v>96</v>
      </c>
      <c r="E3038" s="2"/>
      <c r="F3038" s="2"/>
      <c r="G3038" s="2" t="s">
        <v>74</v>
      </c>
      <c r="H3038" s="2">
        <v>4</v>
      </c>
      <c r="I3038" s="20">
        <v>90</v>
      </c>
      <c r="J3038" s="20">
        <v>40000</v>
      </c>
      <c r="K3038" s="3">
        <v>0</v>
      </c>
      <c r="L3038" s="3" t="s">
        <v>3</v>
      </c>
      <c r="M3038" s="9" t="s">
        <v>0</v>
      </c>
      <c r="N3038" s="9">
        <v>70333482</v>
      </c>
      <c r="O3038" s="9" t="s">
        <v>649</v>
      </c>
      <c r="P3038" s="9" t="s">
        <v>0</v>
      </c>
      <c r="Q3038" s="30" t="s">
        <v>650</v>
      </c>
      <c r="R3038" s="9" t="s">
        <v>651</v>
      </c>
      <c r="S3038" s="9" t="s">
        <v>158</v>
      </c>
      <c r="T3038" s="10" t="s">
        <v>74</v>
      </c>
      <c r="U3038" s="10">
        <v>4</v>
      </c>
      <c r="V3038" s="79">
        <v>90</v>
      </c>
      <c r="W3038" s="79" t="s">
        <v>710</v>
      </c>
      <c r="X3038" s="17">
        <v>45704</v>
      </c>
      <c r="Y3038" s="17">
        <v>45711</v>
      </c>
      <c r="Z3038" s="19" t="s">
        <v>772</v>
      </c>
      <c r="AA3038" s="207">
        <v>31700</v>
      </c>
      <c r="AB3038" s="9">
        <v>48</v>
      </c>
      <c r="AC3038" s="9">
        <v>9</v>
      </c>
      <c r="AD3038" s="17">
        <v>46027</v>
      </c>
      <c r="AE3038" s="54">
        <v>597.71</v>
      </c>
      <c r="AF3038" s="54"/>
      <c r="AL3038" s="22"/>
      <c r="AM3038" s="22"/>
      <c r="AN3038" s="22"/>
      <c r="AO3038" s="22"/>
      <c r="AP3038" s="22"/>
      <c r="AQ3038" s="22"/>
      <c r="AR3038" s="22"/>
      <c r="AS3038" s="22"/>
      <c r="AT3038" s="22"/>
      <c r="AU3038" s="22"/>
      <c r="AV3038" s="22"/>
      <c r="AW3038" s="17"/>
      <c r="BA3038" s="9"/>
      <c r="BB3038" s="22"/>
      <c r="BD3038" s="9"/>
      <c r="CS3038" s="11">
        <f t="shared" si="209"/>
        <v>0</v>
      </c>
      <c r="CT3038" s="22">
        <f t="shared" si="210"/>
        <v>0</v>
      </c>
      <c r="CU3038" s="22">
        <f t="shared" si="211"/>
        <v>0</v>
      </c>
      <c r="CV3038" s="26">
        <f t="shared" si="208"/>
        <v>597.71</v>
      </c>
    </row>
    <row r="3039" spans="1:103" x14ac:dyDescent="0.2">
      <c r="A3039" s="9" t="s">
        <v>648</v>
      </c>
      <c r="B3039" s="2">
        <v>79</v>
      </c>
      <c r="C3039" s="3" t="s">
        <v>95</v>
      </c>
      <c r="D3039" s="3" t="s">
        <v>96</v>
      </c>
      <c r="E3039" s="2"/>
      <c r="F3039" s="2"/>
      <c r="G3039" s="2" t="s">
        <v>74</v>
      </c>
      <c r="H3039" s="2">
        <v>4</v>
      </c>
      <c r="I3039" s="20">
        <v>90</v>
      </c>
      <c r="J3039" s="20">
        <v>40000</v>
      </c>
      <c r="K3039" s="3">
        <v>0</v>
      </c>
      <c r="L3039" s="3" t="s">
        <v>3</v>
      </c>
      <c r="M3039" s="9" t="s">
        <v>0</v>
      </c>
      <c r="N3039" s="9">
        <v>70333482</v>
      </c>
      <c r="O3039" s="9" t="s">
        <v>649</v>
      </c>
      <c r="P3039" s="9" t="s">
        <v>0</v>
      </c>
      <c r="Q3039" s="30" t="s">
        <v>650</v>
      </c>
      <c r="R3039" s="9" t="s">
        <v>651</v>
      </c>
      <c r="S3039" s="9" t="s">
        <v>158</v>
      </c>
      <c r="T3039" s="10" t="s">
        <v>74</v>
      </c>
      <c r="U3039" s="10">
        <v>4</v>
      </c>
      <c r="V3039" s="79">
        <v>90</v>
      </c>
      <c r="W3039" s="79" t="s">
        <v>710</v>
      </c>
      <c r="X3039" s="17">
        <v>45704</v>
      </c>
      <c r="Y3039" s="17">
        <v>45711</v>
      </c>
      <c r="Z3039" s="19" t="s">
        <v>772</v>
      </c>
      <c r="AA3039" s="207">
        <v>31700</v>
      </c>
      <c r="AB3039" s="9">
        <v>48</v>
      </c>
      <c r="AC3039" s="9">
        <v>10</v>
      </c>
      <c r="AD3039" s="17">
        <v>46058</v>
      </c>
      <c r="AE3039" s="54">
        <v>597.71</v>
      </c>
      <c r="AF3039" s="54"/>
      <c r="AL3039" s="22"/>
      <c r="AM3039" s="22"/>
      <c r="AN3039" s="22"/>
      <c r="AO3039" s="22"/>
      <c r="AP3039" s="22"/>
      <c r="AQ3039" s="22"/>
      <c r="AR3039" s="22"/>
      <c r="AS3039" s="22"/>
      <c r="AT3039" s="22"/>
      <c r="AU3039" s="22"/>
      <c r="AV3039" s="22"/>
      <c r="AW3039" s="9"/>
      <c r="BA3039" s="9"/>
      <c r="BB3039" s="22"/>
      <c r="BD3039" s="9"/>
      <c r="CS3039" s="11">
        <f t="shared" si="209"/>
        <v>0</v>
      </c>
      <c r="CT3039" s="22">
        <f t="shared" si="210"/>
        <v>0</v>
      </c>
      <c r="CU3039" s="22">
        <f t="shared" si="211"/>
        <v>0</v>
      </c>
      <c r="CV3039" s="26">
        <f t="shared" si="208"/>
        <v>597.71</v>
      </c>
    </row>
    <row r="3040" spans="1:103" x14ac:dyDescent="0.2">
      <c r="A3040" s="9" t="s">
        <v>648</v>
      </c>
      <c r="B3040" s="2">
        <v>79</v>
      </c>
      <c r="C3040" s="3" t="s">
        <v>95</v>
      </c>
      <c r="D3040" s="3" t="s">
        <v>96</v>
      </c>
      <c r="E3040" s="2"/>
      <c r="F3040" s="2"/>
      <c r="G3040" s="2" t="s">
        <v>74</v>
      </c>
      <c r="H3040" s="2">
        <v>4</v>
      </c>
      <c r="I3040" s="20">
        <v>90</v>
      </c>
      <c r="J3040" s="20">
        <v>40000</v>
      </c>
      <c r="K3040" s="3">
        <v>0</v>
      </c>
      <c r="L3040" s="3" t="s">
        <v>3</v>
      </c>
      <c r="M3040" s="9" t="s">
        <v>0</v>
      </c>
      <c r="N3040" s="9">
        <v>70333482</v>
      </c>
      <c r="O3040" s="9" t="s">
        <v>649</v>
      </c>
      <c r="P3040" s="9" t="s">
        <v>0</v>
      </c>
      <c r="Q3040" s="30" t="s">
        <v>650</v>
      </c>
      <c r="R3040" s="9" t="s">
        <v>651</v>
      </c>
      <c r="S3040" s="9" t="s">
        <v>158</v>
      </c>
      <c r="T3040" s="10" t="s">
        <v>74</v>
      </c>
      <c r="U3040" s="10">
        <v>4</v>
      </c>
      <c r="V3040" s="79">
        <v>90</v>
      </c>
      <c r="W3040" s="79" t="s">
        <v>710</v>
      </c>
      <c r="X3040" s="17">
        <v>45704</v>
      </c>
      <c r="Y3040" s="17">
        <v>45711</v>
      </c>
      <c r="Z3040" s="19" t="s">
        <v>772</v>
      </c>
      <c r="AA3040" s="207">
        <v>31700</v>
      </c>
      <c r="AB3040" s="9">
        <v>48</v>
      </c>
      <c r="AC3040" s="9">
        <v>11</v>
      </c>
      <c r="AD3040" s="17">
        <v>46086</v>
      </c>
      <c r="AE3040" s="54">
        <v>597.71</v>
      </c>
      <c r="AF3040" s="54"/>
      <c r="AL3040" s="22"/>
      <c r="AM3040" s="22"/>
      <c r="AN3040" s="22"/>
      <c r="AO3040" s="22"/>
      <c r="AP3040" s="22"/>
      <c r="AQ3040" s="22"/>
      <c r="AR3040" s="22"/>
      <c r="AS3040" s="22"/>
      <c r="AT3040" s="22"/>
      <c r="AU3040" s="22"/>
      <c r="AV3040" s="22"/>
      <c r="AW3040" s="9"/>
      <c r="BA3040" s="9"/>
      <c r="BB3040" s="22"/>
      <c r="BC3040" s="17"/>
      <c r="BD3040" s="86"/>
      <c r="BE3040" s="104"/>
      <c r="CS3040" s="11">
        <f t="shared" si="209"/>
        <v>0</v>
      </c>
      <c r="CT3040" s="22">
        <f t="shared" si="210"/>
        <v>0</v>
      </c>
      <c r="CU3040" s="22">
        <f t="shared" si="211"/>
        <v>0</v>
      </c>
      <c r="CV3040" s="26">
        <f t="shared" si="208"/>
        <v>597.71</v>
      </c>
    </row>
    <row r="3041" spans="1:100" x14ac:dyDescent="0.2">
      <c r="A3041" s="9" t="s">
        <v>648</v>
      </c>
      <c r="B3041" s="2">
        <v>79</v>
      </c>
      <c r="C3041" s="3" t="s">
        <v>95</v>
      </c>
      <c r="D3041" s="3" t="s">
        <v>96</v>
      </c>
      <c r="E3041" s="2"/>
      <c r="F3041" s="2"/>
      <c r="G3041" s="2" t="s">
        <v>74</v>
      </c>
      <c r="H3041" s="2">
        <v>4</v>
      </c>
      <c r="I3041" s="20">
        <v>90</v>
      </c>
      <c r="J3041" s="20">
        <v>40000</v>
      </c>
      <c r="K3041" s="3">
        <v>0</v>
      </c>
      <c r="L3041" s="3" t="s">
        <v>3</v>
      </c>
      <c r="M3041" s="9" t="s">
        <v>0</v>
      </c>
      <c r="N3041" s="9">
        <v>70333482</v>
      </c>
      <c r="O3041" s="9" t="s">
        <v>649</v>
      </c>
      <c r="P3041" s="9" t="s">
        <v>0</v>
      </c>
      <c r="Q3041" s="30" t="s">
        <v>650</v>
      </c>
      <c r="R3041" s="9" t="s">
        <v>651</v>
      </c>
      <c r="S3041" s="9" t="s">
        <v>158</v>
      </c>
      <c r="T3041" s="10" t="s">
        <v>74</v>
      </c>
      <c r="U3041" s="10">
        <v>4</v>
      </c>
      <c r="V3041" s="79">
        <v>90</v>
      </c>
      <c r="W3041" s="79" t="s">
        <v>710</v>
      </c>
      <c r="X3041" s="17">
        <v>45704</v>
      </c>
      <c r="Y3041" s="17">
        <v>45711</v>
      </c>
      <c r="Z3041" s="19" t="s">
        <v>772</v>
      </c>
      <c r="AA3041" s="207">
        <v>31700</v>
      </c>
      <c r="AB3041" s="9">
        <v>48</v>
      </c>
      <c r="AC3041" s="9">
        <v>12</v>
      </c>
      <c r="AD3041" s="17">
        <v>46117</v>
      </c>
      <c r="AE3041" s="54">
        <v>597.71</v>
      </c>
      <c r="AF3041" s="54"/>
      <c r="AL3041" s="22"/>
      <c r="AM3041" s="22"/>
      <c r="AN3041" s="22"/>
      <c r="AO3041" s="22"/>
      <c r="AP3041" s="22"/>
      <c r="AQ3041" s="22"/>
      <c r="AR3041" s="22"/>
      <c r="AS3041" s="22"/>
      <c r="AT3041" s="22"/>
      <c r="AU3041" s="22"/>
      <c r="AV3041" s="22"/>
      <c r="AW3041" s="9"/>
      <c r="BA3041" s="22"/>
      <c r="BB3041" s="22"/>
      <c r="BC3041" s="17"/>
      <c r="BD3041" s="86"/>
      <c r="BE3041" s="104"/>
      <c r="CS3041" s="11">
        <f t="shared" si="209"/>
        <v>0</v>
      </c>
      <c r="CT3041" s="22">
        <f t="shared" si="210"/>
        <v>0</v>
      </c>
      <c r="CU3041" s="22">
        <f t="shared" si="211"/>
        <v>0</v>
      </c>
      <c r="CV3041" s="26">
        <f t="shared" si="208"/>
        <v>597.71</v>
      </c>
    </row>
    <row r="3042" spans="1:100" x14ac:dyDescent="0.2">
      <c r="A3042" s="9" t="s">
        <v>648</v>
      </c>
      <c r="B3042" s="2">
        <v>79</v>
      </c>
      <c r="C3042" s="3" t="s">
        <v>95</v>
      </c>
      <c r="D3042" s="3" t="s">
        <v>96</v>
      </c>
      <c r="E3042" s="2"/>
      <c r="F3042" s="2"/>
      <c r="G3042" s="2" t="s">
        <v>74</v>
      </c>
      <c r="H3042" s="2">
        <v>4</v>
      </c>
      <c r="I3042" s="20">
        <v>90</v>
      </c>
      <c r="J3042" s="20">
        <v>40000</v>
      </c>
      <c r="K3042" s="3">
        <v>0</v>
      </c>
      <c r="L3042" s="3" t="s">
        <v>3</v>
      </c>
      <c r="M3042" s="9" t="s">
        <v>0</v>
      </c>
      <c r="N3042" s="9">
        <v>70333482</v>
      </c>
      <c r="O3042" s="9" t="s">
        <v>649</v>
      </c>
      <c r="P3042" s="9" t="s">
        <v>0</v>
      </c>
      <c r="Q3042" s="30" t="s">
        <v>650</v>
      </c>
      <c r="R3042" s="9" t="s">
        <v>651</v>
      </c>
      <c r="S3042" s="9" t="s">
        <v>158</v>
      </c>
      <c r="T3042" s="10" t="s">
        <v>74</v>
      </c>
      <c r="U3042" s="10">
        <v>4</v>
      </c>
      <c r="V3042" s="79">
        <v>90</v>
      </c>
      <c r="W3042" s="79" t="s">
        <v>710</v>
      </c>
      <c r="X3042" s="17">
        <v>45704</v>
      </c>
      <c r="Y3042" s="17">
        <v>45711</v>
      </c>
      <c r="Z3042" s="19" t="s">
        <v>772</v>
      </c>
      <c r="AA3042" s="207">
        <v>31700</v>
      </c>
      <c r="AB3042" s="9">
        <v>48</v>
      </c>
      <c r="AC3042" s="9">
        <v>13</v>
      </c>
      <c r="AD3042" s="17">
        <v>46147</v>
      </c>
      <c r="AE3042" s="54">
        <v>597.71</v>
      </c>
      <c r="AF3042" s="54"/>
      <c r="AL3042" s="22"/>
      <c r="AM3042" s="22"/>
      <c r="AN3042" s="22"/>
      <c r="AO3042" s="22"/>
      <c r="AP3042" s="22"/>
      <c r="AQ3042" s="22"/>
      <c r="AR3042" s="22"/>
      <c r="AS3042" s="22"/>
      <c r="AT3042" s="22"/>
      <c r="AU3042" s="22"/>
      <c r="AV3042" s="22"/>
      <c r="AW3042" s="9"/>
      <c r="BA3042" s="22"/>
      <c r="BB3042" s="22"/>
      <c r="BC3042" s="17"/>
      <c r="BD3042" s="86"/>
      <c r="BE3042" s="104"/>
      <c r="CS3042" s="11">
        <f t="shared" si="209"/>
        <v>0</v>
      </c>
      <c r="CT3042" s="22">
        <f t="shared" si="210"/>
        <v>0</v>
      </c>
      <c r="CU3042" s="22">
        <f t="shared" si="211"/>
        <v>0</v>
      </c>
      <c r="CV3042" s="26">
        <f t="shared" si="208"/>
        <v>597.71</v>
      </c>
    </row>
    <row r="3043" spans="1:100" x14ac:dyDescent="0.2">
      <c r="A3043" s="9" t="s">
        <v>648</v>
      </c>
      <c r="B3043" s="2">
        <v>79</v>
      </c>
      <c r="C3043" s="3" t="s">
        <v>95</v>
      </c>
      <c r="D3043" s="3" t="s">
        <v>96</v>
      </c>
      <c r="E3043" s="2"/>
      <c r="F3043" s="2"/>
      <c r="G3043" s="2" t="s">
        <v>74</v>
      </c>
      <c r="H3043" s="2">
        <v>4</v>
      </c>
      <c r="I3043" s="20">
        <v>90</v>
      </c>
      <c r="J3043" s="20">
        <v>40000</v>
      </c>
      <c r="K3043" s="3">
        <v>0</v>
      </c>
      <c r="L3043" s="3" t="s">
        <v>3</v>
      </c>
      <c r="M3043" s="9" t="s">
        <v>0</v>
      </c>
      <c r="N3043" s="9">
        <v>70333482</v>
      </c>
      <c r="O3043" s="9" t="s">
        <v>649</v>
      </c>
      <c r="P3043" s="9" t="s">
        <v>0</v>
      </c>
      <c r="Q3043" s="30" t="s">
        <v>650</v>
      </c>
      <c r="R3043" s="9" t="s">
        <v>651</v>
      </c>
      <c r="S3043" s="9" t="s">
        <v>158</v>
      </c>
      <c r="T3043" s="10" t="s">
        <v>74</v>
      </c>
      <c r="U3043" s="10">
        <v>4</v>
      </c>
      <c r="V3043" s="79">
        <v>90</v>
      </c>
      <c r="W3043" s="79" t="s">
        <v>710</v>
      </c>
      <c r="X3043" s="17">
        <v>45704</v>
      </c>
      <c r="Y3043" s="17">
        <v>45711</v>
      </c>
      <c r="Z3043" s="19" t="s">
        <v>772</v>
      </c>
      <c r="AA3043" s="207">
        <v>31700</v>
      </c>
      <c r="AB3043" s="9">
        <v>48</v>
      </c>
      <c r="AC3043" s="9">
        <v>14</v>
      </c>
      <c r="AD3043" s="17">
        <v>46178</v>
      </c>
      <c r="AE3043" s="54">
        <v>597.71</v>
      </c>
      <c r="AF3043" s="54"/>
      <c r="AL3043" s="22"/>
      <c r="AM3043" s="22"/>
      <c r="AN3043" s="22"/>
      <c r="AO3043" s="22"/>
      <c r="AP3043" s="22"/>
      <c r="AQ3043" s="22"/>
      <c r="AR3043" s="22"/>
      <c r="AS3043" s="22"/>
      <c r="AT3043" s="22"/>
      <c r="AU3043" s="22"/>
      <c r="AV3043" s="22"/>
      <c r="AW3043" s="9"/>
      <c r="BA3043" s="22"/>
      <c r="BB3043" s="22"/>
      <c r="BD3043" s="9"/>
      <c r="CS3043" s="11">
        <f t="shared" si="209"/>
        <v>0</v>
      </c>
      <c r="CT3043" s="22">
        <f t="shared" si="210"/>
        <v>0</v>
      </c>
      <c r="CU3043" s="22">
        <f t="shared" si="211"/>
        <v>0</v>
      </c>
      <c r="CV3043" s="26">
        <f t="shared" si="208"/>
        <v>597.71</v>
      </c>
    </row>
    <row r="3044" spans="1:100" x14ac:dyDescent="0.2">
      <c r="A3044" s="9" t="s">
        <v>648</v>
      </c>
      <c r="B3044" s="2">
        <v>79</v>
      </c>
      <c r="C3044" s="3" t="s">
        <v>95</v>
      </c>
      <c r="D3044" s="3" t="s">
        <v>96</v>
      </c>
      <c r="E3044" s="2"/>
      <c r="F3044" s="2"/>
      <c r="G3044" s="2" t="s">
        <v>74</v>
      </c>
      <c r="H3044" s="2">
        <v>4</v>
      </c>
      <c r="I3044" s="20">
        <v>90</v>
      </c>
      <c r="J3044" s="20">
        <v>40000</v>
      </c>
      <c r="K3044" s="3">
        <v>0</v>
      </c>
      <c r="L3044" s="3" t="s">
        <v>3</v>
      </c>
      <c r="M3044" s="9" t="s">
        <v>0</v>
      </c>
      <c r="N3044" s="9">
        <v>70333482</v>
      </c>
      <c r="O3044" s="9" t="s">
        <v>649</v>
      </c>
      <c r="P3044" s="9" t="s">
        <v>0</v>
      </c>
      <c r="Q3044" s="30" t="s">
        <v>650</v>
      </c>
      <c r="R3044" s="9" t="s">
        <v>651</v>
      </c>
      <c r="S3044" s="9" t="s">
        <v>158</v>
      </c>
      <c r="T3044" s="10" t="s">
        <v>74</v>
      </c>
      <c r="U3044" s="10">
        <v>4</v>
      </c>
      <c r="V3044" s="79">
        <v>90</v>
      </c>
      <c r="W3044" s="79" t="s">
        <v>710</v>
      </c>
      <c r="X3044" s="17">
        <v>45704</v>
      </c>
      <c r="Y3044" s="17">
        <v>45711</v>
      </c>
      <c r="Z3044" s="19" t="s">
        <v>772</v>
      </c>
      <c r="AA3044" s="207">
        <v>31700</v>
      </c>
      <c r="AB3044" s="9">
        <v>48</v>
      </c>
      <c r="AC3044" s="9">
        <v>15</v>
      </c>
      <c r="AD3044" s="17">
        <v>46208</v>
      </c>
      <c r="AE3044" s="54">
        <v>597.71</v>
      </c>
      <c r="AF3044" s="54"/>
      <c r="AL3044" s="22"/>
      <c r="AM3044" s="22"/>
      <c r="AN3044" s="22"/>
      <c r="AO3044" s="22"/>
      <c r="AP3044" s="22"/>
      <c r="AQ3044" s="22"/>
      <c r="AR3044" s="22"/>
      <c r="AS3044" s="22"/>
      <c r="AT3044" s="22"/>
      <c r="AU3044" s="22"/>
      <c r="AV3044" s="22"/>
      <c r="AW3044" s="9"/>
      <c r="BA3044" s="22"/>
      <c r="BB3044" s="22"/>
      <c r="BD3044" s="9"/>
      <c r="CS3044" s="11">
        <f t="shared" si="209"/>
        <v>0</v>
      </c>
      <c r="CT3044" s="22">
        <f t="shared" si="210"/>
        <v>0</v>
      </c>
      <c r="CU3044" s="22">
        <f t="shared" si="211"/>
        <v>0</v>
      </c>
      <c r="CV3044" s="26">
        <f t="shared" si="208"/>
        <v>597.71</v>
      </c>
    </row>
    <row r="3045" spans="1:100" x14ac:dyDescent="0.2">
      <c r="A3045" s="9" t="s">
        <v>648</v>
      </c>
      <c r="B3045" s="2">
        <v>79</v>
      </c>
      <c r="C3045" s="3" t="s">
        <v>95</v>
      </c>
      <c r="D3045" s="3" t="s">
        <v>96</v>
      </c>
      <c r="E3045" s="2"/>
      <c r="F3045" s="2"/>
      <c r="G3045" s="2" t="s">
        <v>74</v>
      </c>
      <c r="H3045" s="2">
        <v>4</v>
      </c>
      <c r="I3045" s="20">
        <v>90</v>
      </c>
      <c r="J3045" s="20">
        <v>40000</v>
      </c>
      <c r="K3045" s="3">
        <v>0</v>
      </c>
      <c r="L3045" s="3" t="s">
        <v>3</v>
      </c>
      <c r="M3045" s="9" t="s">
        <v>0</v>
      </c>
      <c r="N3045" s="9">
        <v>70333482</v>
      </c>
      <c r="O3045" s="9" t="s">
        <v>649</v>
      </c>
      <c r="P3045" s="9" t="s">
        <v>0</v>
      </c>
      <c r="Q3045" s="30" t="s">
        <v>650</v>
      </c>
      <c r="R3045" s="9" t="s">
        <v>651</v>
      </c>
      <c r="S3045" s="9" t="s">
        <v>158</v>
      </c>
      <c r="T3045" s="10" t="s">
        <v>74</v>
      </c>
      <c r="U3045" s="10">
        <v>4</v>
      </c>
      <c r="V3045" s="79">
        <v>90</v>
      </c>
      <c r="W3045" s="79" t="s">
        <v>710</v>
      </c>
      <c r="X3045" s="17">
        <v>45704</v>
      </c>
      <c r="Y3045" s="17">
        <v>45711</v>
      </c>
      <c r="Z3045" s="19" t="s">
        <v>772</v>
      </c>
      <c r="AA3045" s="207">
        <v>31700</v>
      </c>
      <c r="AB3045" s="9">
        <v>48</v>
      </c>
      <c r="AC3045" s="9">
        <v>16</v>
      </c>
      <c r="AD3045" s="17">
        <v>46239</v>
      </c>
      <c r="AE3045" s="54">
        <v>597.71</v>
      </c>
      <c r="AF3045" s="54"/>
      <c r="AL3045" s="22"/>
      <c r="AM3045" s="22"/>
      <c r="AN3045" s="22"/>
      <c r="AO3045" s="22"/>
      <c r="AP3045" s="22"/>
      <c r="AQ3045" s="22"/>
      <c r="AR3045" s="22"/>
      <c r="AS3045" s="22"/>
      <c r="AT3045" s="22"/>
      <c r="AU3045" s="22"/>
      <c r="AV3045" s="22"/>
      <c r="AW3045" s="9"/>
      <c r="BA3045" s="22"/>
      <c r="BB3045" s="22"/>
      <c r="BD3045" s="9"/>
      <c r="CS3045" s="11">
        <f t="shared" si="209"/>
        <v>0</v>
      </c>
      <c r="CT3045" s="22">
        <f t="shared" si="210"/>
        <v>0</v>
      </c>
      <c r="CU3045" s="22">
        <f t="shared" si="211"/>
        <v>0</v>
      </c>
      <c r="CV3045" s="26">
        <f t="shared" si="208"/>
        <v>597.71</v>
      </c>
    </row>
    <row r="3046" spans="1:100" x14ac:dyDescent="0.2">
      <c r="A3046" s="9" t="s">
        <v>648</v>
      </c>
      <c r="B3046" s="2">
        <v>79</v>
      </c>
      <c r="C3046" s="3" t="s">
        <v>95</v>
      </c>
      <c r="D3046" s="3" t="s">
        <v>96</v>
      </c>
      <c r="E3046" s="2"/>
      <c r="F3046" s="2"/>
      <c r="G3046" s="2" t="s">
        <v>74</v>
      </c>
      <c r="H3046" s="2">
        <v>4</v>
      </c>
      <c r="I3046" s="20">
        <v>90</v>
      </c>
      <c r="J3046" s="20">
        <v>40000</v>
      </c>
      <c r="K3046" s="3">
        <v>0</v>
      </c>
      <c r="L3046" s="3" t="s">
        <v>3</v>
      </c>
      <c r="M3046" s="9" t="s">
        <v>0</v>
      </c>
      <c r="N3046" s="9">
        <v>70333482</v>
      </c>
      <c r="O3046" s="9" t="s">
        <v>649</v>
      </c>
      <c r="P3046" s="9" t="s">
        <v>0</v>
      </c>
      <c r="Q3046" s="30" t="s">
        <v>650</v>
      </c>
      <c r="R3046" s="9" t="s">
        <v>651</v>
      </c>
      <c r="S3046" s="9" t="s">
        <v>158</v>
      </c>
      <c r="T3046" s="10" t="s">
        <v>74</v>
      </c>
      <c r="U3046" s="10">
        <v>4</v>
      </c>
      <c r="V3046" s="79">
        <v>90</v>
      </c>
      <c r="W3046" s="79" t="s">
        <v>710</v>
      </c>
      <c r="X3046" s="17">
        <v>45704</v>
      </c>
      <c r="Y3046" s="17">
        <v>45711</v>
      </c>
      <c r="Z3046" s="19" t="s">
        <v>772</v>
      </c>
      <c r="AA3046" s="207">
        <v>31700</v>
      </c>
      <c r="AB3046" s="9">
        <v>48</v>
      </c>
      <c r="AC3046" s="9">
        <v>17</v>
      </c>
      <c r="AD3046" s="17">
        <v>46270</v>
      </c>
      <c r="AE3046" s="54">
        <v>597.71</v>
      </c>
      <c r="AF3046" s="54"/>
      <c r="AL3046" s="22"/>
      <c r="AM3046" s="22"/>
      <c r="AN3046" s="22"/>
      <c r="AO3046" s="22"/>
      <c r="AP3046" s="22"/>
      <c r="AQ3046" s="22"/>
      <c r="AR3046" s="22"/>
      <c r="AS3046" s="22"/>
      <c r="AT3046" s="22"/>
      <c r="AU3046" s="22"/>
      <c r="AV3046" s="22"/>
      <c r="AW3046" s="9"/>
      <c r="BA3046" s="22"/>
      <c r="BB3046" s="22"/>
      <c r="BD3046" s="9"/>
      <c r="CS3046" s="11">
        <f t="shared" si="209"/>
        <v>0</v>
      </c>
      <c r="CT3046" s="22">
        <f t="shared" si="210"/>
        <v>0</v>
      </c>
      <c r="CU3046" s="22">
        <f t="shared" si="211"/>
        <v>0</v>
      </c>
      <c r="CV3046" s="26">
        <f t="shared" si="208"/>
        <v>597.71</v>
      </c>
    </row>
    <row r="3047" spans="1:100" x14ac:dyDescent="0.2">
      <c r="A3047" s="9" t="s">
        <v>648</v>
      </c>
      <c r="B3047" s="2">
        <v>79</v>
      </c>
      <c r="C3047" s="3" t="s">
        <v>95</v>
      </c>
      <c r="D3047" s="3" t="s">
        <v>96</v>
      </c>
      <c r="E3047" s="2"/>
      <c r="F3047" s="2"/>
      <c r="G3047" s="2" t="s">
        <v>74</v>
      </c>
      <c r="H3047" s="2">
        <v>4</v>
      </c>
      <c r="I3047" s="20">
        <v>90</v>
      </c>
      <c r="J3047" s="20">
        <v>40000</v>
      </c>
      <c r="K3047" s="3">
        <v>0</v>
      </c>
      <c r="L3047" s="3" t="s">
        <v>3</v>
      </c>
      <c r="M3047" s="9" t="s">
        <v>0</v>
      </c>
      <c r="N3047" s="9">
        <v>70333482</v>
      </c>
      <c r="O3047" s="9" t="s">
        <v>649</v>
      </c>
      <c r="P3047" s="9" t="s">
        <v>0</v>
      </c>
      <c r="Q3047" s="30" t="s">
        <v>650</v>
      </c>
      <c r="R3047" s="9" t="s">
        <v>651</v>
      </c>
      <c r="S3047" s="9" t="s">
        <v>158</v>
      </c>
      <c r="T3047" s="10" t="s">
        <v>74</v>
      </c>
      <c r="U3047" s="10">
        <v>4</v>
      </c>
      <c r="V3047" s="79">
        <v>90</v>
      </c>
      <c r="W3047" s="79" t="s">
        <v>710</v>
      </c>
      <c r="X3047" s="17">
        <v>45704</v>
      </c>
      <c r="Y3047" s="17">
        <v>45711</v>
      </c>
      <c r="Z3047" s="19" t="s">
        <v>772</v>
      </c>
      <c r="AA3047" s="207">
        <v>31700</v>
      </c>
      <c r="AB3047" s="9">
        <v>48</v>
      </c>
      <c r="AC3047" s="9">
        <v>18</v>
      </c>
      <c r="AD3047" s="17">
        <v>46300</v>
      </c>
      <c r="AE3047" s="54">
        <v>597.71</v>
      </c>
      <c r="AF3047" s="54"/>
      <c r="AL3047" s="22"/>
      <c r="AM3047" s="22"/>
      <c r="AN3047" s="22"/>
      <c r="AO3047" s="22"/>
      <c r="AP3047" s="22"/>
      <c r="AQ3047" s="22"/>
      <c r="AR3047" s="22"/>
      <c r="AS3047" s="22"/>
      <c r="AT3047" s="22"/>
      <c r="AU3047" s="22"/>
      <c r="AV3047" s="22"/>
      <c r="AW3047" s="9"/>
      <c r="BA3047" s="22"/>
      <c r="BB3047" s="22"/>
      <c r="BD3047" s="9"/>
      <c r="CS3047" s="11">
        <f t="shared" si="209"/>
        <v>0</v>
      </c>
      <c r="CT3047" s="22">
        <f t="shared" si="210"/>
        <v>0</v>
      </c>
      <c r="CU3047" s="22">
        <f t="shared" si="211"/>
        <v>0</v>
      </c>
      <c r="CV3047" s="26">
        <f t="shared" si="208"/>
        <v>597.71</v>
      </c>
    </row>
    <row r="3048" spans="1:100" x14ac:dyDescent="0.2">
      <c r="A3048" s="9" t="s">
        <v>648</v>
      </c>
      <c r="B3048" s="2">
        <v>79</v>
      </c>
      <c r="C3048" s="3" t="s">
        <v>95</v>
      </c>
      <c r="D3048" s="3" t="s">
        <v>96</v>
      </c>
      <c r="E3048" s="2"/>
      <c r="F3048" s="2"/>
      <c r="G3048" s="2" t="s">
        <v>74</v>
      </c>
      <c r="H3048" s="2">
        <v>4</v>
      </c>
      <c r="I3048" s="20">
        <v>90</v>
      </c>
      <c r="J3048" s="20">
        <v>40000</v>
      </c>
      <c r="K3048" s="3">
        <v>0</v>
      </c>
      <c r="L3048" s="3" t="s">
        <v>3</v>
      </c>
      <c r="M3048" s="9" t="s">
        <v>0</v>
      </c>
      <c r="N3048" s="9">
        <v>70333482</v>
      </c>
      <c r="O3048" s="9" t="s">
        <v>649</v>
      </c>
      <c r="P3048" s="9" t="s">
        <v>0</v>
      </c>
      <c r="Q3048" s="30" t="s">
        <v>650</v>
      </c>
      <c r="R3048" s="9" t="s">
        <v>651</v>
      </c>
      <c r="S3048" s="9" t="s">
        <v>158</v>
      </c>
      <c r="T3048" s="10" t="s">
        <v>74</v>
      </c>
      <c r="U3048" s="10">
        <v>4</v>
      </c>
      <c r="V3048" s="79">
        <v>90</v>
      </c>
      <c r="W3048" s="79" t="s">
        <v>710</v>
      </c>
      <c r="X3048" s="17">
        <v>45704</v>
      </c>
      <c r="Y3048" s="17">
        <v>45711</v>
      </c>
      <c r="Z3048" s="19" t="s">
        <v>772</v>
      </c>
      <c r="AA3048" s="207">
        <v>31700</v>
      </c>
      <c r="AB3048" s="9">
        <v>48</v>
      </c>
      <c r="AC3048" s="9">
        <v>19</v>
      </c>
      <c r="AD3048" s="17">
        <v>46331</v>
      </c>
      <c r="AE3048" s="54">
        <v>597.71</v>
      </c>
      <c r="AF3048" s="54"/>
      <c r="AL3048" s="22"/>
      <c r="AM3048" s="22"/>
      <c r="AN3048" s="22"/>
      <c r="AO3048" s="22"/>
      <c r="AP3048" s="22"/>
      <c r="AQ3048" s="22"/>
      <c r="AR3048" s="22"/>
      <c r="AS3048" s="22"/>
      <c r="AT3048" s="22"/>
      <c r="AU3048" s="22"/>
      <c r="AV3048" s="22"/>
      <c r="AW3048" s="9"/>
      <c r="BA3048" s="22"/>
      <c r="BB3048" s="22"/>
      <c r="BD3048" s="9"/>
      <c r="CS3048" s="11">
        <f t="shared" si="209"/>
        <v>0</v>
      </c>
      <c r="CT3048" s="22">
        <f t="shared" si="210"/>
        <v>0</v>
      </c>
      <c r="CU3048" s="22">
        <f t="shared" si="211"/>
        <v>0</v>
      </c>
      <c r="CV3048" s="26">
        <f t="shared" si="208"/>
        <v>597.71</v>
      </c>
    </row>
    <row r="3049" spans="1:100" x14ac:dyDescent="0.2">
      <c r="A3049" s="9" t="s">
        <v>648</v>
      </c>
      <c r="B3049" s="2">
        <v>79</v>
      </c>
      <c r="C3049" s="3" t="s">
        <v>95</v>
      </c>
      <c r="D3049" s="3" t="s">
        <v>96</v>
      </c>
      <c r="E3049" s="2"/>
      <c r="F3049" s="2"/>
      <c r="G3049" s="2" t="s">
        <v>74</v>
      </c>
      <c r="H3049" s="2">
        <v>4</v>
      </c>
      <c r="I3049" s="20">
        <v>90</v>
      </c>
      <c r="J3049" s="20">
        <v>40000</v>
      </c>
      <c r="K3049" s="3">
        <v>0</v>
      </c>
      <c r="L3049" s="3" t="s">
        <v>3</v>
      </c>
      <c r="M3049" s="9" t="s">
        <v>0</v>
      </c>
      <c r="N3049" s="9">
        <v>70333482</v>
      </c>
      <c r="O3049" s="9" t="s">
        <v>649</v>
      </c>
      <c r="P3049" s="9" t="s">
        <v>0</v>
      </c>
      <c r="Q3049" s="30" t="s">
        <v>650</v>
      </c>
      <c r="R3049" s="9" t="s">
        <v>651</v>
      </c>
      <c r="S3049" s="9" t="s">
        <v>158</v>
      </c>
      <c r="T3049" s="10" t="s">
        <v>74</v>
      </c>
      <c r="U3049" s="10">
        <v>4</v>
      </c>
      <c r="V3049" s="79">
        <v>90</v>
      </c>
      <c r="W3049" s="79" t="s">
        <v>710</v>
      </c>
      <c r="X3049" s="17">
        <v>45704</v>
      </c>
      <c r="Y3049" s="17">
        <v>45711</v>
      </c>
      <c r="Z3049" s="19" t="s">
        <v>772</v>
      </c>
      <c r="AA3049" s="207">
        <v>31700</v>
      </c>
      <c r="AB3049" s="9">
        <v>48</v>
      </c>
      <c r="AC3049" s="9">
        <v>20</v>
      </c>
      <c r="AD3049" s="17">
        <v>46361</v>
      </c>
      <c r="AE3049" s="54">
        <v>597.71</v>
      </c>
      <c r="AF3049" s="54"/>
      <c r="AL3049" s="22"/>
      <c r="AM3049" s="22"/>
      <c r="AN3049" s="22"/>
      <c r="AO3049" s="22"/>
      <c r="AP3049" s="22"/>
      <c r="AQ3049" s="22"/>
      <c r="AR3049" s="22"/>
      <c r="AS3049" s="22"/>
      <c r="AT3049" s="22"/>
      <c r="AU3049" s="22"/>
      <c r="AV3049" s="22"/>
      <c r="AW3049" s="9"/>
      <c r="BA3049" s="22"/>
      <c r="BB3049" s="22"/>
      <c r="BD3049" s="9"/>
      <c r="CS3049" s="11">
        <f t="shared" si="209"/>
        <v>0</v>
      </c>
      <c r="CT3049" s="22">
        <f t="shared" si="210"/>
        <v>0</v>
      </c>
      <c r="CU3049" s="22">
        <f t="shared" si="211"/>
        <v>0</v>
      </c>
      <c r="CV3049" s="26">
        <f t="shared" si="208"/>
        <v>597.71</v>
      </c>
    </row>
    <row r="3050" spans="1:100" x14ac:dyDescent="0.2">
      <c r="A3050" s="9" t="s">
        <v>648</v>
      </c>
      <c r="B3050" s="2">
        <v>79</v>
      </c>
      <c r="C3050" s="3" t="s">
        <v>95</v>
      </c>
      <c r="D3050" s="3" t="s">
        <v>96</v>
      </c>
      <c r="E3050" s="2"/>
      <c r="F3050" s="2"/>
      <c r="G3050" s="2" t="s">
        <v>74</v>
      </c>
      <c r="H3050" s="2">
        <v>4</v>
      </c>
      <c r="I3050" s="20">
        <v>90</v>
      </c>
      <c r="J3050" s="20">
        <v>40000</v>
      </c>
      <c r="K3050" s="3">
        <v>0</v>
      </c>
      <c r="L3050" s="3" t="s">
        <v>3</v>
      </c>
      <c r="M3050" s="9" t="s">
        <v>0</v>
      </c>
      <c r="N3050" s="9">
        <v>70333482</v>
      </c>
      <c r="O3050" s="9" t="s">
        <v>649</v>
      </c>
      <c r="P3050" s="9" t="s">
        <v>0</v>
      </c>
      <c r="Q3050" s="30" t="s">
        <v>650</v>
      </c>
      <c r="R3050" s="9" t="s">
        <v>651</v>
      </c>
      <c r="S3050" s="9" t="s">
        <v>158</v>
      </c>
      <c r="T3050" s="10" t="s">
        <v>74</v>
      </c>
      <c r="U3050" s="10">
        <v>4</v>
      </c>
      <c r="V3050" s="79">
        <v>90</v>
      </c>
      <c r="W3050" s="79" t="s">
        <v>710</v>
      </c>
      <c r="X3050" s="17">
        <v>45704</v>
      </c>
      <c r="Y3050" s="17">
        <v>45711</v>
      </c>
      <c r="Z3050" s="19" t="s">
        <v>772</v>
      </c>
      <c r="AA3050" s="207">
        <v>31700</v>
      </c>
      <c r="AB3050" s="9">
        <v>48</v>
      </c>
      <c r="AC3050" s="9">
        <v>21</v>
      </c>
      <c r="AD3050" s="17">
        <v>46392</v>
      </c>
      <c r="AE3050" s="54">
        <v>597.71</v>
      </c>
      <c r="AF3050" s="54"/>
      <c r="AL3050" s="22"/>
      <c r="AM3050" s="22"/>
      <c r="AN3050" s="22"/>
      <c r="AO3050" s="22"/>
      <c r="AP3050" s="22"/>
      <c r="AQ3050" s="22"/>
      <c r="AR3050" s="22"/>
      <c r="AS3050" s="22"/>
      <c r="AT3050" s="22"/>
      <c r="AU3050" s="22"/>
      <c r="AV3050" s="22"/>
      <c r="AW3050" s="9"/>
      <c r="BA3050" s="22"/>
      <c r="BB3050" s="22"/>
      <c r="BD3050" s="9"/>
      <c r="CS3050" s="11">
        <f t="shared" si="209"/>
        <v>0</v>
      </c>
      <c r="CT3050" s="22">
        <f t="shared" si="210"/>
        <v>0</v>
      </c>
      <c r="CU3050" s="22">
        <f t="shared" si="211"/>
        <v>0</v>
      </c>
      <c r="CV3050" s="26">
        <f t="shared" si="208"/>
        <v>597.71</v>
      </c>
    </row>
    <row r="3051" spans="1:100" x14ac:dyDescent="0.2">
      <c r="A3051" s="9" t="s">
        <v>648</v>
      </c>
      <c r="B3051" s="2">
        <v>79</v>
      </c>
      <c r="C3051" s="3" t="s">
        <v>95</v>
      </c>
      <c r="D3051" s="3" t="s">
        <v>96</v>
      </c>
      <c r="E3051" s="2"/>
      <c r="F3051" s="2"/>
      <c r="G3051" s="2" t="s">
        <v>74</v>
      </c>
      <c r="H3051" s="2">
        <v>4</v>
      </c>
      <c r="I3051" s="20">
        <v>90</v>
      </c>
      <c r="J3051" s="20">
        <v>40000</v>
      </c>
      <c r="K3051" s="3">
        <v>0</v>
      </c>
      <c r="L3051" s="3" t="s">
        <v>3</v>
      </c>
      <c r="M3051" s="9" t="s">
        <v>0</v>
      </c>
      <c r="N3051" s="9">
        <v>70333482</v>
      </c>
      <c r="O3051" s="9" t="s">
        <v>649</v>
      </c>
      <c r="P3051" s="9" t="s">
        <v>0</v>
      </c>
      <c r="Q3051" s="30" t="s">
        <v>650</v>
      </c>
      <c r="R3051" s="9" t="s">
        <v>651</v>
      </c>
      <c r="S3051" s="9" t="s">
        <v>158</v>
      </c>
      <c r="T3051" s="10" t="s">
        <v>74</v>
      </c>
      <c r="U3051" s="10">
        <v>4</v>
      </c>
      <c r="V3051" s="79">
        <v>90</v>
      </c>
      <c r="W3051" s="79" t="s">
        <v>710</v>
      </c>
      <c r="X3051" s="17">
        <v>45704</v>
      </c>
      <c r="Y3051" s="17">
        <v>45711</v>
      </c>
      <c r="Z3051" s="19" t="s">
        <v>772</v>
      </c>
      <c r="AA3051" s="207">
        <v>31700</v>
      </c>
      <c r="AB3051" s="9">
        <v>48</v>
      </c>
      <c r="AC3051" s="9">
        <v>22</v>
      </c>
      <c r="AD3051" s="17">
        <v>46423</v>
      </c>
      <c r="AE3051" s="54">
        <v>597.71</v>
      </c>
      <c r="AF3051" s="54"/>
      <c r="AL3051" s="22"/>
      <c r="AM3051" s="22"/>
      <c r="AN3051" s="22"/>
      <c r="AO3051" s="22"/>
      <c r="AP3051" s="22"/>
      <c r="AQ3051" s="22"/>
      <c r="AR3051" s="22"/>
      <c r="AS3051" s="22"/>
      <c r="AT3051" s="22"/>
      <c r="AU3051" s="22"/>
      <c r="AV3051" s="22"/>
      <c r="AW3051" s="9"/>
      <c r="BA3051" s="22"/>
      <c r="BB3051" s="22"/>
      <c r="BD3051" s="9"/>
      <c r="CS3051" s="11">
        <f t="shared" si="209"/>
        <v>0</v>
      </c>
      <c r="CT3051" s="22">
        <f t="shared" si="210"/>
        <v>0</v>
      </c>
      <c r="CU3051" s="22">
        <f t="shared" si="211"/>
        <v>0</v>
      </c>
      <c r="CV3051" s="26">
        <f t="shared" si="208"/>
        <v>597.71</v>
      </c>
    </row>
    <row r="3052" spans="1:100" x14ac:dyDescent="0.2">
      <c r="A3052" s="9" t="s">
        <v>648</v>
      </c>
      <c r="B3052" s="2">
        <v>79</v>
      </c>
      <c r="C3052" s="3" t="s">
        <v>95</v>
      </c>
      <c r="D3052" s="3" t="s">
        <v>96</v>
      </c>
      <c r="E3052" s="2"/>
      <c r="F3052" s="2"/>
      <c r="G3052" s="2" t="s">
        <v>74</v>
      </c>
      <c r="H3052" s="2">
        <v>4</v>
      </c>
      <c r="I3052" s="20">
        <v>90</v>
      </c>
      <c r="J3052" s="20">
        <v>40000</v>
      </c>
      <c r="K3052" s="3">
        <v>0</v>
      </c>
      <c r="L3052" s="3" t="s">
        <v>3</v>
      </c>
      <c r="M3052" s="9" t="s">
        <v>0</v>
      </c>
      <c r="N3052" s="9">
        <v>70333482</v>
      </c>
      <c r="O3052" s="9" t="s">
        <v>649</v>
      </c>
      <c r="P3052" s="9" t="s">
        <v>0</v>
      </c>
      <c r="Q3052" s="30" t="s">
        <v>650</v>
      </c>
      <c r="R3052" s="9" t="s">
        <v>651</v>
      </c>
      <c r="S3052" s="9" t="s">
        <v>158</v>
      </c>
      <c r="T3052" s="10" t="s">
        <v>74</v>
      </c>
      <c r="U3052" s="10">
        <v>4</v>
      </c>
      <c r="V3052" s="79">
        <v>90</v>
      </c>
      <c r="W3052" s="79" t="s">
        <v>710</v>
      </c>
      <c r="X3052" s="17">
        <v>45704</v>
      </c>
      <c r="Y3052" s="17">
        <v>45711</v>
      </c>
      <c r="Z3052" s="19" t="s">
        <v>772</v>
      </c>
      <c r="AA3052" s="207">
        <v>31700</v>
      </c>
      <c r="AB3052" s="9">
        <v>48</v>
      </c>
      <c r="AC3052" s="9">
        <v>23</v>
      </c>
      <c r="AD3052" s="17">
        <v>46451</v>
      </c>
      <c r="AE3052" s="54">
        <v>597.71</v>
      </c>
      <c r="AF3052" s="54"/>
      <c r="AL3052" s="22"/>
      <c r="AM3052" s="22"/>
      <c r="AN3052" s="22"/>
      <c r="AO3052" s="22"/>
      <c r="AP3052" s="22"/>
      <c r="AQ3052" s="22"/>
      <c r="AR3052" s="22"/>
      <c r="AS3052" s="22"/>
      <c r="AT3052" s="22"/>
      <c r="AU3052" s="22"/>
      <c r="AV3052" s="22"/>
      <c r="AW3052" s="9"/>
      <c r="BA3052" s="22"/>
      <c r="BB3052" s="22"/>
      <c r="BD3052" s="9"/>
      <c r="CS3052" s="11">
        <f t="shared" si="209"/>
        <v>0</v>
      </c>
      <c r="CT3052" s="22">
        <f t="shared" si="210"/>
        <v>0</v>
      </c>
      <c r="CU3052" s="22">
        <f t="shared" si="211"/>
        <v>0</v>
      </c>
      <c r="CV3052" s="26">
        <f t="shared" si="208"/>
        <v>597.71</v>
      </c>
    </row>
    <row r="3053" spans="1:100" x14ac:dyDescent="0.2">
      <c r="A3053" s="9" t="s">
        <v>648</v>
      </c>
      <c r="B3053" s="2">
        <v>79</v>
      </c>
      <c r="C3053" s="3" t="s">
        <v>95</v>
      </c>
      <c r="D3053" s="3" t="s">
        <v>96</v>
      </c>
      <c r="E3053" s="2"/>
      <c r="F3053" s="2"/>
      <c r="G3053" s="2" t="s">
        <v>74</v>
      </c>
      <c r="H3053" s="2">
        <v>4</v>
      </c>
      <c r="I3053" s="20">
        <v>90</v>
      </c>
      <c r="J3053" s="20">
        <v>40000</v>
      </c>
      <c r="K3053" s="3">
        <v>0</v>
      </c>
      <c r="L3053" s="3" t="s">
        <v>3</v>
      </c>
      <c r="M3053" s="9" t="s">
        <v>0</v>
      </c>
      <c r="N3053" s="9">
        <v>70333482</v>
      </c>
      <c r="O3053" s="9" t="s">
        <v>649</v>
      </c>
      <c r="P3053" s="9" t="s">
        <v>0</v>
      </c>
      <c r="Q3053" s="30" t="s">
        <v>650</v>
      </c>
      <c r="R3053" s="9" t="s">
        <v>651</v>
      </c>
      <c r="S3053" s="9" t="s">
        <v>158</v>
      </c>
      <c r="T3053" s="10" t="s">
        <v>74</v>
      </c>
      <c r="U3053" s="10">
        <v>4</v>
      </c>
      <c r="V3053" s="79">
        <v>90</v>
      </c>
      <c r="W3053" s="79" t="s">
        <v>710</v>
      </c>
      <c r="X3053" s="17">
        <v>45704</v>
      </c>
      <c r="Y3053" s="17">
        <v>45711</v>
      </c>
      <c r="Z3053" s="19" t="s">
        <v>772</v>
      </c>
      <c r="AA3053" s="207">
        <v>31700</v>
      </c>
      <c r="AB3053" s="9">
        <v>48</v>
      </c>
      <c r="AC3053" s="9">
        <v>24</v>
      </c>
      <c r="AD3053" s="17">
        <v>46482</v>
      </c>
      <c r="AE3053" s="54">
        <v>597.71</v>
      </c>
      <c r="AF3053" s="54"/>
      <c r="AL3053" s="22"/>
      <c r="AM3053" s="22"/>
      <c r="AN3053" s="22"/>
      <c r="AO3053" s="22"/>
      <c r="AP3053" s="22"/>
      <c r="AQ3053" s="22"/>
      <c r="AR3053" s="22"/>
      <c r="AS3053" s="22"/>
      <c r="AT3053" s="22"/>
      <c r="AU3053" s="22"/>
      <c r="AV3053" s="22"/>
      <c r="AW3053" s="9"/>
      <c r="BA3053" s="22"/>
      <c r="BB3053" s="22"/>
      <c r="BD3053" s="9"/>
      <c r="CS3053" s="11">
        <f t="shared" si="209"/>
        <v>0</v>
      </c>
      <c r="CT3053" s="22">
        <f t="shared" si="210"/>
        <v>0</v>
      </c>
      <c r="CU3053" s="22">
        <f t="shared" si="211"/>
        <v>0</v>
      </c>
      <c r="CV3053" s="26">
        <f t="shared" si="208"/>
        <v>597.71</v>
      </c>
    </row>
    <row r="3054" spans="1:100" x14ac:dyDescent="0.2">
      <c r="A3054" s="9" t="s">
        <v>648</v>
      </c>
      <c r="B3054" s="2">
        <v>79</v>
      </c>
      <c r="C3054" s="3" t="s">
        <v>95</v>
      </c>
      <c r="D3054" s="3" t="s">
        <v>96</v>
      </c>
      <c r="E3054" s="2"/>
      <c r="F3054" s="2"/>
      <c r="G3054" s="2" t="s">
        <v>74</v>
      </c>
      <c r="H3054" s="2">
        <v>4</v>
      </c>
      <c r="I3054" s="20">
        <v>90</v>
      </c>
      <c r="J3054" s="20">
        <v>40000</v>
      </c>
      <c r="K3054" s="3">
        <v>0</v>
      </c>
      <c r="L3054" s="3" t="s">
        <v>3</v>
      </c>
      <c r="M3054" s="9" t="s">
        <v>0</v>
      </c>
      <c r="N3054" s="9">
        <v>70333482</v>
      </c>
      <c r="O3054" s="9" t="s">
        <v>649</v>
      </c>
      <c r="P3054" s="9" t="s">
        <v>0</v>
      </c>
      <c r="Q3054" s="30" t="s">
        <v>650</v>
      </c>
      <c r="R3054" s="9" t="s">
        <v>651</v>
      </c>
      <c r="S3054" s="9" t="s">
        <v>158</v>
      </c>
      <c r="T3054" s="10" t="s">
        <v>74</v>
      </c>
      <c r="U3054" s="10">
        <v>4</v>
      </c>
      <c r="V3054" s="79">
        <v>90</v>
      </c>
      <c r="W3054" s="79" t="s">
        <v>710</v>
      </c>
      <c r="X3054" s="17">
        <v>45704</v>
      </c>
      <c r="Y3054" s="17">
        <v>45711</v>
      </c>
      <c r="Z3054" s="19" t="s">
        <v>772</v>
      </c>
      <c r="AA3054" s="207">
        <v>31700</v>
      </c>
      <c r="AB3054" s="9">
        <v>48</v>
      </c>
      <c r="AC3054" s="9">
        <v>25</v>
      </c>
      <c r="AD3054" s="17">
        <v>46512</v>
      </c>
      <c r="AE3054" s="54">
        <v>597.71</v>
      </c>
      <c r="AF3054" s="54"/>
      <c r="AL3054" s="22"/>
      <c r="AM3054" s="22"/>
      <c r="AN3054" s="22"/>
      <c r="AO3054" s="22"/>
      <c r="AP3054" s="22"/>
      <c r="AQ3054" s="22"/>
      <c r="AR3054" s="22"/>
      <c r="AS3054" s="22"/>
      <c r="AT3054" s="22"/>
      <c r="AU3054" s="22"/>
      <c r="AV3054" s="22"/>
      <c r="AW3054" s="9"/>
      <c r="BA3054" s="22"/>
      <c r="BB3054" s="22"/>
      <c r="BD3054" s="9"/>
      <c r="CS3054" s="11">
        <f t="shared" si="209"/>
        <v>0</v>
      </c>
      <c r="CT3054" s="22">
        <f t="shared" si="210"/>
        <v>0</v>
      </c>
      <c r="CU3054" s="22">
        <f t="shared" si="211"/>
        <v>0</v>
      </c>
      <c r="CV3054" s="26">
        <f t="shared" si="208"/>
        <v>597.71</v>
      </c>
    </row>
    <row r="3055" spans="1:100" x14ac:dyDescent="0.2">
      <c r="A3055" s="9" t="s">
        <v>648</v>
      </c>
      <c r="B3055" s="2">
        <v>79</v>
      </c>
      <c r="C3055" s="3" t="s">
        <v>95</v>
      </c>
      <c r="D3055" s="3" t="s">
        <v>96</v>
      </c>
      <c r="E3055" s="2"/>
      <c r="F3055" s="2"/>
      <c r="G3055" s="2" t="s">
        <v>74</v>
      </c>
      <c r="H3055" s="2">
        <v>4</v>
      </c>
      <c r="I3055" s="20">
        <v>90</v>
      </c>
      <c r="J3055" s="20">
        <v>40000</v>
      </c>
      <c r="K3055" s="3">
        <v>0</v>
      </c>
      <c r="L3055" s="3" t="s">
        <v>3</v>
      </c>
      <c r="M3055" s="9" t="s">
        <v>0</v>
      </c>
      <c r="N3055" s="9">
        <v>70333482</v>
      </c>
      <c r="O3055" s="9" t="s">
        <v>649</v>
      </c>
      <c r="P3055" s="9" t="s">
        <v>0</v>
      </c>
      <c r="Q3055" s="30" t="s">
        <v>650</v>
      </c>
      <c r="R3055" s="9" t="s">
        <v>651</v>
      </c>
      <c r="S3055" s="9" t="s">
        <v>158</v>
      </c>
      <c r="T3055" s="10" t="s">
        <v>74</v>
      </c>
      <c r="U3055" s="10">
        <v>4</v>
      </c>
      <c r="V3055" s="79">
        <v>90</v>
      </c>
      <c r="W3055" s="79" t="s">
        <v>710</v>
      </c>
      <c r="X3055" s="17">
        <v>45704</v>
      </c>
      <c r="Y3055" s="17">
        <v>45711</v>
      </c>
      <c r="Z3055" s="19" t="s">
        <v>772</v>
      </c>
      <c r="AA3055" s="207">
        <v>31700</v>
      </c>
      <c r="AB3055" s="9">
        <v>48</v>
      </c>
      <c r="AC3055" s="9">
        <v>26</v>
      </c>
      <c r="AD3055" s="17">
        <v>46543</v>
      </c>
      <c r="AE3055" s="54">
        <v>597.71</v>
      </c>
      <c r="AF3055" s="54"/>
      <c r="AL3055" s="22"/>
      <c r="AM3055" s="22"/>
      <c r="AN3055" s="22"/>
      <c r="AO3055" s="22"/>
      <c r="AP3055" s="22"/>
      <c r="AQ3055" s="22"/>
      <c r="AR3055" s="22"/>
      <c r="AS3055" s="22"/>
      <c r="AT3055" s="22"/>
      <c r="AU3055" s="22"/>
      <c r="AV3055" s="22"/>
      <c r="AW3055" s="9"/>
      <c r="BA3055" s="22"/>
      <c r="BB3055" s="22"/>
      <c r="BD3055" s="9"/>
      <c r="CS3055" s="11">
        <f t="shared" si="209"/>
        <v>0</v>
      </c>
      <c r="CT3055" s="22">
        <f t="shared" si="210"/>
        <v>0</v>
      </c>
      <c r="CU3055" s="22">
        <f t="shared" si="211"/>
        <v>0</v>
      </c>
      <c r="CV3055" s="26">
        <f t="shared" si="208"/>
        <v>597.71</v>
      </c>
    </row>
    <row r="3056" spans="1:100" x14ac:dyDescent="0.2">
      <c r="A3056" s="9" t="s">
        <v>648</v>
      </c>
      <c r="B3056" s="2">
        <v>79</v>
      </c>
      <c r="C3056" s="3" t="s">
        <v>95</v>
      </c>
      <c r="D3056" s="3" t="s">
        <v>96</v>
      </c>
      <c r="E3056" s="2"/>
      <c r="F3056" s="2"/>
      <c r="G3056" s="2" t="s">
        <v>74</v>
      </c>
      <c r="H3056" s="2">
        <v>4</v>
      </c>
      <c r="I3056" s="20">
        <v>90</v>
      </c>
      <c r="J3056" s="20">
        <v>40000</v>
      </c>
      <c r="K3056" s="3">
        <v>0</v>
      </c>
      <c r="L3056" s="3" t="s">
        <v>3</v>
      </c>
      <c r="M3056" s="9" t="s">
        <v>0</v>
      </c>
      <c r="N3056" s="9">
        <v>70333482</v>
      </c>
      <c r="O3056" s="9" t="s">
        <v>649</v>
      </c>
      <c r="P3056" s="9" t="s">
        <v>0</v>
      </c>
      <c r="Q3056" s="30" t="s">
        <v>650</v>
      </c>
      <c r="R3056" s="9" t="s">
        <v>651</v>
      </c>
      <c r="S3056" s="9" t="s">
        <v>158</v>
      </c>
      <c r="T3056" s="10" t="s">
        <v>74</v>
      </c>
      <c r="U3056" s="10">
        <v>4</v>
      </c>
      <c r="V3056" s="79">
        <v>90</v>
      </c>
      <c r="W3056" s="79" t="s">
        <v>710</v>
      </c>
      <c r="X3056" s="17">
        <v>45704</v>
      </c>
      <c r="Y3056" s="17">
        <v>45711</v>
      </c>
      <c r="Z3056" s="19" t="s">
        <v>772</v>
      </c>
      <c r="AA3056" s="207">
        <v>31700</v>
      </c>
      <c r="AB3056" s="9">
        <v>48</v>
      </c>
      <c r="AC3056" s="9">
        <v>27</v>
      </c>
      <c r="AD3056" s="17">
        <v>46573</v>
      </c>
      <c r="AE3056" s="54">
        <v>597.71</v>
      </c>
      <c r="AF3056" s="54"/>
      <c r="AL3056" s="22"/>
      <c r="AM3056" s="22"/>
      <c r="AN3056" s="22"/>
      <c r="AO3056" s="22"/>
      <c r="AP3056" s="22"/>
      <c r="AQ3056" s="22"/>
      <c r="AR3056" s="22"/>
      <c r="AS3056" s="22"/>
      <c r="AT3056" s="22"/>
      <c r="AU3056" s="22"/>
      <c r="AV3056" s="22"/>
      <c r="AW3056" s="9"/>
      <c r="BA3056" s="22"/>
      <c r="BB3056" s="22"/>
      <c r="BD3056" s="9"/>
      <c r="CS3056" s="11">
        <f t="shared" si="209"/>
        <v>0</v>
      </c>
      <c r="CT3056" s="22">
        <f t="shared" si="210"/>
        <v>0</v>
      </c>
      <c r="CU3056" s="22">
        <f t="shared" si="211"/>
        <v>0</v>
      </c>
      <c r="CV3056" s="26">
        <f t="shared" si="208"/>
        <v>597.71</v>
      </c>
    </row>
    <row r="3057" spans="1:100" x14ac:dyDescent="0.2">
      <c r="A3057" s="9" t="s">
        <v>648</v>
      </c>
      <c r="B3057" s="2">
        <v>79</v>
      </c>
      <c r="C3057" s="3" t="s">
        <v>95</v>
      </c>
      <c r="D3057" s="3" t="s">
        <v>96</v>
      </c>
      <c r="E3057" s="2"/>
      <c r="F3057" s="2"/>
      <c r="G3057" s="2" t="s">
        <v>74</v>
      </c>
      <c r="H3057" s="2">
        <v>4</v>
      </c>
      <c r="I3057" s="20">
        <v>90</v>
      </c>
      <c r="J3057" s="20">
        <v>40000</v>
      </c>
      <c r="K3057" s="3">
        <v>0</v>
      </c>
      <c r="L3057" s="3" t="s">
        <v>3</v>
      </c>
      <c r="M3057" s="9" t="s">
        <v>0</v>
      </c>
      <c r="N3057" s="9">
        <v>70333482</v>
      </c>
      <c r="O3057" s="9" t="s">
        <v>649</v>
      </c>
      <c r="P3057" s="9" t="s">
        <v>0</v>
      </c>
      <c r="Q3057" s="30" t="s">
        <v>650</v>
      </c>
      <c r="R3057" s="9" t="s">
        <v>651</v>
      </c>
      <c r="S3057" s="9" t="s">
        <v>158</v>
      </c>
      <c r="T3057" s="10" t="s">
        <v>74</v>
      </c>
      <c r="U3057" s="10">
        <v>4</v>
      </c>
      <c r="V3057" s="79">
        <v>90</v>
      </c>
      <c r="W3057" s="79" t="s">
        <v>710</v>
      </c>
      <c r="X3057" s="17">
        <v>45704</v>
      </c>
      <c r="Y3057" s="17">
        <v>45711</v>
      </c>
      <c r="Z3057" s="19" t="s">
        <v>772</v>
      </c>
      <c r="AA3057" s="207">
        <v>31700</v>
      </c>
      <c r="AB3057" s="9">
        <v>48</v>
      </c>
      <c r="AC3057" s="9">
        <v>28</v>
      </c>
      <c r="AD3057" s="17">
        <v>46604</v>
      </c>
      <c r="AE3057" s="54">
        <v>597.71</v>
      </c>
      <c r="AF3057" s="54"/>
      <c r="AL3057" s="22"/>
      <c r="AM3057" s="22"/>
      <c r="AN3057" s="22"/>
      <c r="AO3057" s="22"/>
      <c r="AP3057" s="22"/>
      <c r="AQ3057" s="22"/>
      <c r="AR3057" s="22"/>
      <c r="AS3057" s="22"/>
      <c r="AT3057" s="22"/>
      <c r="AU3057" s="22"/>
      <c r="AV3057" s="22"/>
      <c r="AW3057" s="9"/>
      <c r="BA3057" s="22"/>
      <c r="BB3057" s="22"/>
      <c r="BD3057" s="9"/>
      <c r="CS3057" s="11">
        <f t="shared" si="209"/>
        <v>0</v>
      </c>
      <c r="CT3057" s="22">
        <f t="shared" si="210"/>
        <v>0</v>
      </c>
      <c r="CU3057" s="22">
        <f t="shared" si="211"/>
        <v>0</v>
      </c>
      <c r="CV3057" s="26">
        <f t="shared" si="208"/>
        <v>597.71</v>
      </c>
    </row>
    <row r="3058" spans="1:100" x14ac:dyDescent="0.2">
      <c r="A3058" s="9" t="s">
        <v>648</v>
      </c>
      <c r="B3058" s="2">
        <v>79</v>
      </c>
      <c r="C3058" s="3" t="s">
        <v>95</v>
      </c>
      <c r="D3058" s="3" t="s">
        <v>96</v>
      </c>
      <c r="E3058" s="2"/>
      <c r="F3058" s="2"/>
      <c r="G3058" s="2" t="s">
        <v>74</v>
      </c>
      <c r="H3058" s="2">
        <v>4</v>
      </c>
      <c r="I3058" s="20">
        <v>90</v>
      </c>
      <c r="J3058" s="20">
        <v>40000</v>
      </c>
      <c r="K3058" s="3">
        <v>0</v>
      </c>
      <c r="L3058" s="3" t="s">
        <v>3</v>
      </c>
      <c r="M3058" s="9" t="s">
        <v>0</v>
      </c>
      <c r="N3058" s="9">
        <v>70333482</v>
      </c>
      <c r="O3058" s="9" t="s">
        <v>649</v>
      </c>
      <c r="P3058" s="9" t="s">
        <v>0</v>
      </c>
      <c r="Q3058" s="30" t="s">
        <v>650</v>
      </c>
      <c r="R3058" s="9" t="s">
        <v>651</v>
      </c>
      <c r="S3058" s="9" t="s">
        <v>158</v>
      </c>
      <c r="T3058" s="10" t="s">
        <v>74</v>
      </c>
      <c r="U3058" s="10">
        <v>4</v>
      </c>
      <c r="V3058" s="79">
        <v>90</v>
      </c>
      <c r="W3058" s="79" t="s">
        <v>710</v>
      </c>
      <c r="X3058" s="17">
        <v>45704</v>
      </c>
      <c r="Y3058" s="17">
        <v>45711</v>
      </c>
      <c r="Z3058" s="19" t="s">
        <v>772</v>
      </c>
      <c r="AA3058" s="207">
        <v>31700</v>
      </c>
      <c r="AB3058" s="9">
        <v>48</v>
      </c>
      <c r="AC3058" s="9">
        <v>29</v>
      </c>
      <c r="AD3058" s="17">
        <v>46635</v>
      </c>
      <c r="AE3058" s="54">
        <v>597.71</v>
      </c>
      <c r="AF3058" s="54"/>
      <c r="AL3058" s="22"/>
      <c r="AM3058" s="22"/>
      <c r="AN3058" s="22"/>
      <c r="AO3058" s="22"/>
      <c r="AP3058" s="22"/>
      <c r="AQ3058" s="22"/>
      <c r="AR3058" s="22"/>
      <c r="AS3058" s="22"/>
      <c r="AT3058" s="22"/>
      <c r="AU3058" s="22"/>
      <c r="AV3058" s="22"/>
      <c r="AW3058" s="9"/>
      <c r="BA3058" s="22"/>
      <c r="BB3058" s="22"/>
      <c r="BD3058" s="9"/>
      <c r="CS3058" s="11">
        <f t="shared" si="209"/>
        <v>0</v>
      </c>
      <c r="CT3058" s="22">
        <f t="shared" si="210"/>
        <v>0</v>
      </c>
      <c r="CU3058" s="22">
        <f t="shared" si="211"/>
        <v>0</v>
      </c>
      <c r="CV3058" s="26">
        <f t="shared" si="208"/>
        <v>597.71</v>
      </c>
    </row>
    <row r="3059" spans="1:100" x14ac:dyDescent="0.2">
      <c r="A3059" s="9" t="s">
        <v>648</v>
      </c>
      <c r="B3059" s="2">
        <v>79</v>
      </c>
      <c r="C3059" s="3" t="s">
        <v>95</v>
      </c>
      <c r="D3059" s="3" t="s">
        <v>96</v>
      </c>
      <c r="E3059" s="2"/>
      <c r="F3059" s="2"/>
      <c r="G3059" s="2" t="s">
        <v>74</v>
      </c>
      <c r="H3059" s="2">
        <v>4</v>
      </c>
      <c r="I3059" s="20">
        <v>90</v>
      </c>
      <c r="J3059" s="20">
        <v>40000</v>
      </c>
      <c r="K3059" s="3">
        <v>0</v>
      </c>
      <c r="L3059" s="3" t="s">
        <v>3</v>
      </c>
      <c r="M3059" s="9" t="s">
        <v>0</v>
      </c>
      <c r="N3059" s="9">
        <v>70333482</v>
      </c>
      <c r="O3059" s="9" t="s">
        <v>649</v>
      </c>
      <c r="P3059" s="9" t="s">
        <v>0</v>
      </c>
      <c r="Q3059" s="30" t="s">
        <v>650</v>
      </c>
      <c r="R3059" s="9" t="s">
        <v>651</v>
      </c>
      <c r="S3059" s="9" t="s">
        <v>158</v>
      </c>
      <c r="T3059" s="10" t="s">
        <v>74</v>
      </c>
      <c r="U3059" s="10">
        <v>4</v>
      </c>
      <c r="V3059" s="79">
        <v>90</v>
      </c>
      <c r="W3059" s="79" t="s">
        <v>710</v>
      </c>
      <c r="X3059" s="17">
        <v>45704</v>
      </c>
      <c r="Y3059" s="17">
        <v>45711</v>
      </c>
      <c r="Z3059" s="19" t="s">
        <v>772</v>
      </c>
      <c r="AA3059" s="207">
        <v>31700</v>
      </c>
      <c r="AB3059" s="9">
        <v>48</v>
      </c>
      <c r="AC3059" s="9">
        <v>30</v>
      </c>
      <c r="AD3059" s="17">
        <v>46665</v>
      </c>
      <c r="AE3059" s="54">
        <v>597.71</v>
      </c>
      <c r="AF3059" s="54"/>
      <c r="AL3059" s="22"/>
      <c r="AM3059" s="22"/>
      <c r="AN3059" s="22"/>
      <c r="AO3059" s="22"/>
      <c r="AP3059" s="22"/>
      <c r="AQ3059" s="22"/>
      <c r="AR3059" s="22"/>
      <c r="AS3059" s="22"/>
      <c r="AT3059" s="22"/>
      <c r="AU3059" s="22"/>
      <c r="AV3059" s="22"/>
      <c r="AW3059" s="9"/>
      <c r="BA3059" s="22"/>
      <c r="BB3059" s="22"/>
      <c r="BD3059" s="9"/>
      <c r="CS3059" s="11">
        <f t="shared" si="209"/>
        <v>0</v>
      </c>
      <c r="CT3059" s="22">
        <f t="shared" si="210"/>
        <v>0</v>
      </c>
      <c r="CU3059" s="22">
        <f t="shared" si="211"/>
        <v>0</v>
      </c>
      <c r="CV3059" s="26">
        <f t="shared" si="208"/>
        <v>597.71</v>
      </c>
    </row>
    <row r="3060" spans="1:100" x14ac:dyDescent="0.2">
      <c r="A3060" s="9" t="s">
        <v>648</v>
      </c>
      <c r="B3060" s="2">
        <v>79</v>
      </c>
      <c r="C3060" s="3" t="s">
        <v>95</v>
      </c>
      <c r="D3060" s="3" t="s">
        <v>96</v>
      </c>
      <c r="E3060" s="2"/>
      <c r="F3060" s="2"/>
      <c r="G3060" s="2" t="s">
        <v>74</v>
      </c>
      <c r="H3060" s="2">
        <v>4</v>
      </c>
      <c r="I3060" s="20">
        <v>90</v>
      </c>
      <c r="J3060" s="20">
        <v>40000</v>
      </c>
      <c r="K3060" s="3">
        <v>0</v>
      </c>
      <c r="L3060" s="3" t="s">
        <v>3</v>
      </c>
      <c r="M3060" s="9" t="s">
        <v>0</v>
      </c>
      <c r="N3060" s="9">
        <v>70333482</v>
      </c>
      <c r="O3060" s="9" t="s">
        <v>649</v>
      </c>
      <c r="P3060" s="9" t="s">
        <v>0</v>
      </c>
      <c r="Q3060" s="30" t="s">
        <v>650</v>
      </c>
      <c r="R3060" s="9" t="s">
        <v>651</v>
      </c>
      <c r="S3060" s="9" t="s">
        <v>158</v>
      </c>
      <c r="T3060" s="10" t="s">
        <v>74</v>
      </c>
      <c r="U3060" s="10">
        <v>4</v>
      </c>
      <c r="V3060" s="79">
        <v>90</v>
      </c>
      <c r="W3060" s="79" t="s">
        <v>710</v>
      </c>
      <c r="X3060" s="17">
        <v>45704</v>
      </c>
      <c r="Y3060" s="17">
        <v>45711</v>
      </c>
      <c r="Z3060" s="19" t="s">
        <v>772</v>
      </c>
      <c r="AA3060" s="207">
        <v>31700</v>
      </c>
      <c r="AB3060" s="9">
        <v>48</v>
      </c>
      <c r="AC3060" s="9">
        <v>31</v>
      </c>
      <c r="AD3060" s="17">
        <v>46696</v>
      </c>
      <c r="AE3060" s="54">
        <v>597.71</v>
      </c>
      <c r="AF3060" s="54"/>
      <c r="AL3060" s="22"/>
      <c r="AM3060" s="22"/>
      <c r="AN3060" s="22"/>
      <c r="AO3060" s="22"/>
      <c r="AP3060" s="22"/>
      <c r="AQ3060" s="22"/>
      <c r="AR3060" s="22"/>
      <c r="AS3060" s="22"/>
      <c r="AT3060" s="22"/>
      <c r="AU3060" s="22"/>
      <c r="AV3060" s="22"/>
      <c r="AW3060" s="9"/>
      <c r="BA3060" s="22"/>
      <c r="BB3060" s="22"/>
      <c r="BD3060" s="9"/>
      <c r="CS3060" s="11">
        <f t="shared" si="209"/>
        <v>0</v>
      </c>
      <c r="CT3060" s="22">
        <f t="shared" si="210"/>
        <v>0</v>
      </c>
      <c r="CU3060" s="22">
        <f t="shared" si="211"/>
        <v>0</v>
      </c>
      <c r="CV3060" s="26">
        <f t="shared" si="208"/>
        <v>597.71</v>
      </c>
    </row>
    <row r="3061" spans="1:100" x14ac:dyDescent="0.2">
      <c r="A3061" s="9" t="s">
        <v>648</v>
      </c>
      <c r="B3061" s="2">
        <v>79</v>
      </c>
      <c r="C3061" s="3" t="s">
        <v>95</v>
      </c>
      <c r="D3061" s="3" t="s">
        <v>96</v>
      </c>
      <c r="E3061" s="2"/>
      <c r="F3061" s="2"/>
      <c r="G3061" s="2" t="s">
        <v>74</v>
      </c>
      <c r="H3061" s="2">
        <v>4</v>
      </c>
      <c r="I3061" s="20">
        <v>90</v>
      </c>
      <c r="J3061" s="20">
        <v>40000</v>
      </c>
      <c r="K3061" s="3">
        <v>0</v>
      </c>
      <c r="L3061" s="3" t="s">
        <v>3</v>
      </c>
      <c r="M3061" s="9" t="s">
        <v>0</v>
      </c>
      <c r="N3061" s="9">
        <v>70333482</v>
      </c>
      <c r="O3061" s="9" t="s">
        <v>649</v>
      </c>
      <c r="P3061" s="9" t="s">
        <v>0</v>
      </c>
      <c r="Q3061" s="30" t="s">
        <v>650</v>
      </c>
      <c r="R3061" s="9" t="s">
        <v>651</v>
      </c>
      <c r="S3061" s="9" t="s">
        <v>158</v>
      </c>
      <c r="T3061" s="10" t="s">
        <v>74</v>
      </c>
      <c r="U3061" s="10">
        <v>4</v>
      </c>
      <c r="V3061" s="79">
        <v>90</v>
      </c>
      <c r="W3061" s="79" t="s">
        <v>710</v>
      </c>
      <c r="X3061" s="17">
        <v>45704</v>
      </c>
      <c r="Y3061" s="17">
        <v>45711</v>
      </c>
      <c r="Z3061" s="19" t="s">
        <v>772</v>
      </c>
      <c r="AA3061" s="207">
        <v>31700</v>
      </c>
      <c r="AB3061" s="9">
        <v>48</v>
      </c>
      <c r="AC3061" s="9">
        <v>32</v>
      </c>
      <c r="AD3061" s="17">
        <v>46726</v>
      </c>
      <c r="AE3061" s="54">
        <v>597.71</v>
      </c>
      <c r="AF3061" s="54"/>
      <c r="AL3061" s="22"/>
      <c r="AM3061" s="22"/>
      <c r="AN3061" s="22"/>
      <c r="AO3061" s="22"/>
      <c r="AP3061" s="22"/>
      <c r="AQ3061" s="22"/>
      <c r="AR3061" s="22"/>
      <c r="AS3061" s="22"/>
      <c r="AT3061" s="22"/>
      <c r="AU3061" s="22"/>
      <c r="AV3061" s="22"/>
      <c r="AW3061" s="9"/>
      <c r="BA3061" s="22"/>
      <c r="BB3061" s="22"/>
      <c r="BD3061" s="9"/>
      <c r="CS3061" s="11">
        <f t="shared" si="209"/>
        <v>0</v>
      </c>
      <c r="CT3061" s="22">
        <f t="shared" si="210"/>
        <v>0</v>
      </c>
      <c r="CU3061" s="22">
        <f t="shared" si="211"/>
        <v>0</v>
      </c>
      <c r="CV3061" s="26">
        <f t="shared" si="208"/>
        <v>597.71</v>
      </c>
    </row>
    <row r="3062" spans="1:100" x14ac:dyDescent="0.2">
      <c r="A3062" s="9" t="s">
        <v>648</v>
      </c>
      <c r="B3062" s="2">
        <v>79</v>
      </c>
      <c r="C3062" s="3" t="s">
        <v>95</v>
      </c>
      <c r="D3062" s="3" t="s">
        <v>96</v>
      </c>
      <c r="E3062" s="2"/>
      <c r="F3062" s="2"/>
      <c r="G3062" s="2" t="s">
        <v>74</v>
      </c>
      <c r="H3062" s="2">
        <v>4</v>
      </c>
      <c r="I3062" s="20">
        <v>90</v>
      </c>
      <c r="J3062" s="20">
        <v>40000</v>
      </c>
      <c r="K3062" s="3">
        <v>0</v>
      </c>
      <c r="L3062" s="3" t="s">
        <v>3</v>
      </c>
      <c r="M3062" s="9" t="s">
        <v>0</v>
      </c>
      <c r="N3062" s="9">
        <v>70333482</v>
      </c>
      <c r="O3062" s="9" t="s">
        <v>649</v>
      </c>
      <c r="P3062" s="9" t="s">
        <v>0</v>
      </c>
      <c r="Q3062" s="30" t="s">
        <v>650</v>
      </c>
      <c r="R3062" s="9" t="s">
        <v>651</v>
      </c>
      <c r="S3062" s="9" t="s">
        <v>158</v>
      </c>
      <c r="T3062" s="10" t="s">
        <v>74</v>
      </c>
      <c r="U3062" s="10">
        <v>4</v>
      </c>
      <c r="V3062" s="79">
        <v>90</v>
      </c>
      <c r="W3062" s="79" t="s">
        <v>710</v>
      </c>
      <c r="X3062" s="17">
        <v>45704</v>
      </c>
      <c r="Y3062" s="17">
        <v>45711</v>
      </c>
      <c r="Z3062" s="19" t="s">
        <v>772</v>
      </c>
      <c r="AA3062" s="207">
        <v>31700</v>
      </c>
      <c r="AB3062" s="9">
        <v>48</v>
      </c>
      <c r="AC3062" s="9">
        <v>33</v>
      </c>
      <c r="AD3062" s="17">
        <v>46757</v>
      </c>
      <c r="AE3062" s="54">
        <v>597.71</v>
      </c>
      <c r="AF3062" s="54"/>
      <c r="AL3062" s="22"/>
      <c r="AM3062" s="22"/>
      <c r="AN3062" s="22"/>
      <c r="AO3062" s="22"/>
      <c r="AP3062" s="22"/>
      <c r="AQ3062" s="22"/>
      <c r="AR3062" s="22"/>
      <c r="AS3062" s="22"/>
      <c r="AT3062" s="22"/>
      <c r="AU3062" s="22"/>
      <c r="AV3062" s="22"/>
      <c r="AW3062" s="9"/>
      <c r="BA3062" s="22"/>
      <c r="BB3062" s="22"/>
      <c r="BD3062" s="9"/>
      <c r="CS3062" s="11">
        <f t="shared" si="209"/>
        <v>0</v>
      </c>
      <c r="CT3062" s="22">
        <f t="shared" si="210"/>
        <v>0</v>
      </c>
      <c r="CU3062" s="22">
        <f t="shared" si="211"/>
        <v>0</v>
      </c>
      <c r="CV3062" s="26">
        <f t="shared" si="208"/>
        <v>597.71</v>
      </c>
    </row>
    <row r="3063" spans="1:100" x14ac:dyDescent="0.2">
      <c r="A3063" s="9" t="s">
        <v>648</v>
      </c>
      <c r="B3063" s="2">
        <v>79</v>
      </c>
      <c r="C3063" s="3" t="s">
        <v>95</v>
      </c>
      <c r="D3063" s="3" t="s">
        <v>96</v>
      </c>
      <c r="E3063" s="2"/>
      <c r="F3063" s="2"/>
      <c r="G3063" s="2" t="s">
        <v>74</v>
      </c>
      <c r="H3063" s="2">
        <v>4</v>
      </c>
      <c r="I3063" s="20">
        <v>90</v>
      </c>
      <c r="J3063" s="20">
        <v>40000</v>
      </c>
      <c r="K3063" s="3">
        <v>0</v>
      </c>
      <c r="L3063" s="3" t="s">
        <v>3</v>
      </c>
      <c r="M3063" s="9" t="s">
        <v>0</v>
      </c>
      <c r="N3063" s="9">
        <v>70333482</v>
      </c>
      <c r="O3063" s="9" t="s">
        <v>649</v>
      </c>
      <c r="P3063" s="9" t="s">
        <v>0</v>
      </c>
      <c r="Q3063" s="30" t="s">
        <v>650</v>
      </c>
      <c r="R3063" s="9" t="s">
        <v>651</v>
      </c>
      <c r="S3063" s="9" t="s">
        <v>158</v>
      </c>
      <c r="T3063" s="10" t="s">
        <v>74</v>
      </c>
      <c r="U3063" s="10">
        <v>4</v>
      </c>
      <c r="V3063" s="79">
        <v>90</v>
      </c>
      <c r="W3063" s="79" t="s">
        <v>710</v>
      </c>
      <c r="X3063" s="17">
        <v>45704</v>
      </c>
      <c r="Y3063" s="17">
        <v>45711</v>
      </c>
      <c r="Z3063" s="19" t="s">
        <v>772</v>
      </c>
      <c r="AA3063" s="207">
        <v>31700</v>
      </c>
      <c r="AB3063" s="9">
        <v>48</v>
      </c>
      <c r="AC3063" s="9">
        <v>34</v>
      </c>
      <c r="AD3063" s="17">
        <v>46788</v>
      </c>
      <c r="AE3063" s="54">
        <v>597.71</v>
      </c>
      <c r="AF3063" s="54"/>
      <c r="AL3063" s="22"/>
      <c r="AM3063" s="22"/>
      <c r="AN3063" s="22"/>
      <c r="AO3063" s="22"/>
      <c r="AP3063" s="22"/>
      <c r="AQ3063" s="22"/>
      <c r="AR3063" s="22"/>
      <c r="AS3063" s="22"/>
      <c r="AT3063" s="22"/>
      <c r="AU3063" s="22"/>
      <c r="AV3063" s="22"/>
      <c r="AW3063" s="9"/>
      <c r="BA3063" s="22"/>
      <c r="BB3063" s="22"/>
      <c r="BD3063" s="9"/>
      <c r="CS3063" s="11">
        <f t="shared" si="209"/>
        <v>0</v>
      </c>
      <c r="CT3063" s="22">
        <f t="shared" si="210"/>
        <v>0</v>
      </c>
      <c r="CU3063" s="22">
        <f t="shared" si="211"/>
        <v>0</v>
      </c>
      <c r="CV3063" s="26">
        <f t="shared" si="208"/>
        <v>597.71</v>
      </c>
    </row>
    <row r="3064" spans="1:100" x14ac:dyDescent="0.2">
      <c r="A3064" s="9" t="s">
        <v>648</v>
      </c>
      <c r="B3064" s="2">
        <v>79</v>
      </c>
      <c r="C3064" s="3" t="s">
        <v>95</v>
      </c>
      <c r="D3064" s="3" t="s">
        <v>96</v>
      </c>
      <c r="E3064" s="2"/>
      <c r="F3064" s="2"/>
      <c r="G3064" s="2" t="s">
        <v>74</v>
      </c>
      <c r="H3064" s="2">
        <v>4</v>
      </c>
      <c r="I3064" s="20">
        <v>90</v>
      </c>
      <c r="J3064" s="20">
        <v>40000</v>
      </c>
      <c r="K3064" s="3">
        <v>0</v>
      </c>
      <c r="L3064" s="3" t="s">
        <v>3</v>
      </c>
      <c r="M3064" s="9" t="s">
        <v>0</v>
      </c>
      <c r="N3064" s="9">
        <v>70333482</v>
      </c>
      <c r="O3064" s="9" t="s">
        <v>649</v>
      </c>
      <c r="P3064" s="9" t="s">
        <v>0</v>
      </c>
      <c r="Q3064" s="30" t="s">
        <v>650</v>
      </c>
      <c r="R3064" s="9" t="s">
        <v>651</v>
      </c>
      <c r="S3064" s="9" t="s">
        <v>158</v>
      </c>
      <c r="T3064" s="10" t="s">
        <v>74</v>
      </c>
      <c r="U3064" s="10">
        <v>4</v>
      </c>
      <c r="V3064" s="79">
        <v>90</v>
      </c>
      <c r="W3064" s="79" t="s">
        <v>710</v>
      </c>
      <c r="X3064" s="17">
        <v>45704</v>
      </c>
      <c r="Y3064" s="17">
        <v>45711</v>
      </c>
      <c r="Z3064" s="19" t="s">
        <v>772</v>
      </c>
      <c r="AA3064" s="207">
        <v>31700</v>
      </c>
      <c r="AB3064" s="9">
        <v>48</v>
      </c>
      <c r="AC3064" s="9">
        <v>35</v>
      </c>
      <c r="AD3064" s="17">
        <v>46817</v>
      </c>
      <c r="AE3064" s="54">
        <v>597.71</v>
      </c>
      <c r="AF3064" s="54"/>
      <c r="AL3064" s="22"/>
      <c r="AM3064" s="22"/>
      <c r="AN3064" s="22"/>
      <c r="AO3064" s="22"/>
      <c r="AP3064" s="22"/>
      <c r="AQ3064" s="22"/>
      <c r="AR3064" s="22"/>
      <c r="AS3064" s="22"/>
      <c r="AT3064" s="22"/>
      <c r="AU3064" s="22"/>
      <c r="AV3064" s="22"/>
      <c r="AW3064" s="9"/>
      <c r="BA3064" s="22"/>
      <c r="BB3064" s="22"/>
      <c r="BD3064" s="9"/>
      <c r="CS3064" s="11">
        <f t="shared" si="209"/>
        <v>0</v>
      </c>
      <c r="CT3064" s="22">
        <f t="shared" si="210"/>
        <v>0</v>
      </c>
      <c r="CU3064" s="22">
        <f t="shared" si="211"/>
        <v>0</v>
      </c>
      <c r="CV3064" s="26">
        <f t="shared" si="208"/>
        <v>597.71</v>
      </c>
    </row>
    <row r="3065" spans="1:100" x14ac:dyDescent="0.2">
      <c r="A3065" s="9" t="s">
        <v>648</v>
      </c>
      <c r="B3065" s="2">
        <v>79</v>
      </c>
      <c r="C3065" s="3" t="s">
        <v>95</v>
      </c>
      <c r="D3065" s="3" t="s">
        <v>96</v>
      </c>
      <c r="E3065" s="2"/>
      <c r="F3065" s="2"/>
      <c r="G3065" s="2" t="s">
        <v>74</v>
      </c>
      <c r="H3065" s="2">
        <v>4</v>
      </c>
      <c r="I3065" s="20">
        <v>90</v>
      </c>
      <c r="J3065" s="20">
        <v>40000</v>
      </c>
      <c r="K3065" s="3">
        <v>0</v>
      </c>
      <c r="L3065" s="3" t="s">
        <v>3</v>
      </c>
      <c r="M3065" s="9" t="s">
        <v>0</v>
      </c>
      <c r="N3065" s="9">
        <v>70333482</v>
      </c>
      <c r="O3065" s="9" t="s">
        <v>649</v>
      </c>
      <c r="P3065" s="9" t="s">
        <v>0</v>
      </c>
      <c r="Q3065" s="30" t="s">
        <v>650</v>
      </c>
      <c r="R3065" s="9" t="s">
        <v>651</v>
      </c>
      <c r="S3065" s="9" t="s">
        <v>158</v>
      </c>
      <c r="T3065" s="10" t="s">
        <v>74</v>
      </c>
      <c r="U3065" s="10">
        <v>4</v>
      </c>
      <c r="V3065" s="79">
        <v>90</v>
      </c>
      <c r="W3065" s="79" t="s">
        <v>710</v>
      </c>
      <c r="X3065" s="17">
        <v>45704</v>
      </c>
      <c r="Y3065" s="17">
        <v>45711</v>
      </c>
      <c r="Z3065" s="19" t="s">
        <v>772</v>
      </c>
      <c r="AA3065" s="207">
        <v>31700</v>
      </c>
      <c r="AB3065" s="9">
        <v>48</v>
      </c>
      <c r="AC3065" s="9">
        <v>36</v>
      </c>
      <c r="AD3065" s="17">
        <v>46848</v>
      </c>
      <c r="AE3065" s="54">
        <v>597.71</v>
      </c>
      <c r="AF3065" s="54"/>
      <c r="AL3065" s="22"/>
      <c r="AM3065" s="22"/>
      <c r="AN3065" s="22"/>
      <c r="AO3065" s="22"/>
      <c r="AP3065" s="22"/>
      <c r="AQ3065" s="22"/>
      <c r="AR3065" s="22"/>
      <c r="AS3065" s="22"/>
      <c r="AT3065" s="22"/>
      <c r="AU3065" s="22"/>
      <c r="AV3065" s="22"/>
      <c r="AW3065" s="9"/>
      <c r="BA3065" s="22"/>
      <c r="BB3065" s="22"/>
      <c r="BD3065" s="9"/>
      <c r="CS3065" s="11">
        <f t="shared" si="209"/>
        <v>0</v>
      </c>
      <c r="CT3065" s="22">
        <f t="shared" si="210"/>
        <v>0</v>
      </c>
      <c r="CU3065" s="22">
        <f t="shared" si="211"/>
        <v>0</v>
      </c>
      <c r="CV3065" s="26">
        <f t="shared" ref="CV3065:CV3128" si="212">+AE3065-AL3065-AT3065</f>
        <v>597.71</v>
      </c>
    </row>
    <row r="3066" spans="1:100" x14ac:dyDescent="0.2">
      <c r="A3066" s="9" t="s">
        <v>648</v>
      </c>
      <c r="B3066" s="2">
        <v>79</v>
      </c>
      <c r="C3066" s="3" t="s">
        <v>95</v>
      </c>
      <c r="D3066" s="3" t="s">
        <v>96</v>
      </c>
      <c r="E3066" s="2"/>
      <c r="F3066" s="2"/>
      <c r="G3066" s="2" t="s">
        <v>74</v>
      </c>
      <c r="H3066" s="2">
        <v>4</v>
      </c>
      <c r="I3066" s="20">
        <v>90</v>
      </c>
      <c r="J3066" s="20">
        <v>40000</v>
      </c>
      <c r="K3066" s="3">
        <v>0</v>
      </c>
      <c r="L3066" s="3" t="s">
        <v>3</v>
      </c>
      <c r="M3066" s="9" t="s">
        <v>0</v>
      </c>
      <c r="N3066" s="9">
        <v>70333482</v>
      </c>
      <c r="O3066" s="9" t="s">
        <v>649</v>
      </c>
      <c r="P3066" s="9" t="s">
        <v>0</v>
      </c>
      <c r="Q3066" s="30" t="s">
        <v>650</v>
      </c>
      <c r="R3066" s="9" t="s">
        <v>651</v>
      </c>
      <c r="S3066" s="9" t="s">
        <v>158</v>
      </c>
      <c r="T3066" s="10" t="s">
        <v>74</v>
      </c>
      <c r="U3066" s="10">
        <v>4</v>
      </c>
      <c r="V3066" s="79">
        <v>90</v>
      </c>
      <c r="W3066" s="79" t="s">
        <v>710</v>
      </c>
      <c r="X3066" s="17">
        <v>45704</v>
      </c>
      <c r="Y3066" s="17">
        <v>45711</v>
      </c>
      <c r="Z3066" s="19" t="s">
        <v>772</v>
      </c>
      <c r="AA3066" s="207">
        <v>31700</v>
      </c>
      <c r="AB3066" s="9">
        <v>48</v>
      </c>
      <c r="AC3066" s="9">
        <v>37</v>
      </c>
      <c r="AD3066" s="17">
        <v>46878</v>
      </c>
      <c r="AE3066" s="54">
        <v>597.71</v>
      </c>
      <c r="AF3066" s="54"/>
      <c r="AL3066" s="22"/>
      <c r="AM3066" s="22"/>
      <c r="AN3066" s="22"/>
      <c r="AO3066" s="22"/>
      <c r="AP3066" s="22"/>
      <c r="AQ3066" s="22"/>
      <c r="AR3066" s="22"/>
      <c r="AS3066" s="22"/>
      <c r="AT3066" s="22"/>
      <c r="AU3066" s="22"/>
      <c r="AV3066" s="22"/>
      <c r="AW3066" s="9"/>
      <c r="BA3066" s="22"/>
      <c r="BB3066" s="22"/>
      <c r="BD3066" s="9"/>
      <c r="CS3066" s="11">
        <f t="shared" si="209"/>
        <v>0</v>
      </c>
      <c r="CT3066" s="22">
        <f t="shared" si="210"/>
        <v>0</v>
      </c>
      <c r="CU3066" s="22">
        <f t="shared" si="211"/>
        <v>0</v>
      </c>
      <c r="CV3066" s="26">
        <f t="shared" si="212"/>
        <v>597.71</v>
      </c>
    </row>
    <row r="3067" spans="1:100" x14ac:dyDescent="0.2">
      <c r="A3067" s="9" t="s">
        <v>648</v>
      </c>
      <c r="B3067" s="2">
        <v>79</v>
      </c>
      <c r="C3067" s="3" t="s">
        <v>95</v>
      </c>
      <c r="D3067" s="3" t="s">
        <v>96</v>
      </c>
      <c r="E3067" s="2"/>
      <c r="F3067" s="2"/>
      <c r="G3067" s="2" t="s">
        <v>74</v>
      </c>
      <c r="H3067" s="2">
        <v>4</v>
      </c>
      <c r="I3067" s="20">
        <v>90</v>
      </c>
      <c r="J3067" s="20">
        <v>40000</v>
      </c>
      <c r="K3067" s="3">
        <v>0</v>
      </c>
      <c r="L3067" s="3" t="s">
        <v>3</v>
      </c>
      <c r="M3067" s="9" t="s">
        <v>0</v>
      </c>
      <c r="N3067" s="9">
        <v>70333482</v>
      </c>
      <c r="O3067" s="9" t="s">
        <v>649</v>
      </c>
      <c r="P3067" s="9" t="s">
        <v>0</v>
      </c>
      <c r="Q3067" s="30" t="s">
        <v>650</v>
      </c>
      <c r="R3067" s="9" t="s">
        <v>651</v>
      </c>
      <c r="S3067" s="9" t="s">
        <v>158</v>
      </c>
      <c r="T3067" s="10" t="s">
        <v>74</v>
      </c>
      <c r="U3067" s="10">
        <v>4</v>
      </c>
      <c r="V3067" s="79">
        <v>90</v>
      </c>
      <c r="W3067" s="79" t="s">
        <v>710</v>
      </c>
      <c r="X3067" s="17">
        <v>45704</v>
      </c>
      <c r="Y3067" s="17">
        <v>45711</v>
      </c>
      <c r="Z3067" s="19" t="s">
        <v>772</v>
      </c>
      <c r="AA3067" s="207">
        <v>31700</v>
      </c>
      <c r="AB3067" s="9">
        <v>48</v>
      </c>
      <c r="AC3067" s="9">
        <v>38</v>
      </c>
      <c r="AD3067" s="17">
        <v>46909</v>
      </c>
      <c r="AE3067" s="54">
        <v>597.71</v>
      </c>
      <c r="AF3067" s="54"/>
      <c r="AL3067" s="22"/>
      <c r="AM3067" s="22"/>
      <c r="AN3067" s="22"/>
      <c r="AO3067" s="22"/>
      <c r="AP3067" s="22"/>
      <c r="AQ3067" s="22"/>
      <c r="AR3067" s="22"/>
      <c r="AS3067" s="22"/>
      <c r="AT3067" s="22"/>
      <c r="AU3067" s="22"/>
      <c r="AV3067" s="22"/>
      <c r="AW3067" s="9"/>
      <c r="BA3067" s="22"/>
      <c r="BB3067" s="22"/>
      <c r="BD3067" s="9"/>
      <c r="CS3067" s="11">
        <f t="shared" si="209"/>
        <v>0</v>
      </c>
      <c r="CT3067" s="22">
        <f t="shared" si="210"/>
        <v>0</v>
      </c>
      <c r="CU3067" s="22">
        <f t="shared" si="211"/>
        <v>0</v>
      </c>
      <c r="CV3067" s="26">
        <f t="shared" si="212"/>
        <v>597.71</v>
      </c>
    </row>
    <row r="3068" spans="1:100" x14ac:dyDescent="0.2">
      <c r="A3068" s="9" t="s">
        <v>648</v>
      </c>
      <c r="B3068" s="2">
        <v>79</v>
      </c>
      <c r="C3068" s="3" t="s">
        <v>95</v>
      </c>
      <c r="D3068" s="3" t="s">
        <v>96</v>
      </c>
      <c r="E3068" s="2"/>
      <c r="F3068" s="2"/>
      <c r="G3068" s="2" t="s">
        <v>74</v>
      </c>
      <c r="H3068" s="2">
        <v>4</v>
      </c>
      <c r="I3068" s="20">
        <v>90</v>
      </c>
      <c r="J3068" s="20">
        <v>40000</v>
      </c>
      <c r="K3068" s="3">
        <v>0</v>
      </c>
      <c r="L3068" s="3" t="s">
        <v>3</v>
      </c>
      <c r="M3068" s="9" t="s">
        <v>0</v>
      </c>
      <c r="N3068" s="9">
        <v>70333482</v>
      </c>
      <c r="O3068" s="9" t="s">
        <v>649</v>
      </c>
      <c r="P3068" s="9" t="s">
        <v>0</v>
      </c>
      <c r="Q3068" s="30" t="s">
        <v>650</v>
      </c>
      <c r="R3068" s="9" t="s">
        <v>651</v>
      </c>
      <c r="S3068" s="9" t="s">
        <v>158</v>
      </c>
      <c r="T3068" s="10" t="s">
        <v>74</v>
      </c>
      <c r="U3068" s="10">
        <v>4</v>
      </c>
      <c r="V3068" s="79">
        <v>90</v>
      </c>
      <c r="W3068" s="79" t="s">
        <v>710</v>
      </c>
      <c r="X3068" s="17">
        <v>45704</v>
      </c>
      <c r="Y3068" s="17">
        <v>45711</v>
      </c>
      <c r="Z3068" s="19" t="s">
        <v>772</v>
      </c>
      <c r="AA3068" s="207">
        <v>31700</v>
      </c>
      <c r="AB3068" s="9">
        <v>48</v>
      </c>
      <c r="AC3068" s="9">
        <v>39</v>
      </c>
      <c r="AD3068" s="17">
        <v>46939</v>
      </c>
      <c r="AE3068" s="54">
        <v>597.71</v>
      </c>
      <c r="AF3068" s="54"/>
      <c r="AL3068" s="22"/>
      <c r="AM3068" s="22"/>
      <c r="AN3068" s="22"/>
      <c r="AO3068" s="22"/>
      <c r="AP3068" s="22"/>
      <c r="AQ3068" s="22"/>
      <c r="AR3068" s="22"/>
      <c r="AS3068" s="22"/>
      <c r="AT3068" s="22"/>
      <c r="AU3068" s="22"/>
      <c r="AV3068" s="22"/>
      <c r="AW3068" s="9"/>
      <c r="BA3068" s="22"/>
      <c r="BB3068" s="22"/>
      <c r="BD3068" s="9"/>
      <c r="CS3068" s="11">
        <f t="shared" si="209"/>
        <v>0</v>
      </c>
      <c r="CT3068" s="22">
        <f t="shared" si="210"/>
        <v>0</v>
      </c>
      <c r="CU3068" s="22">
        <f t="shared" si="211"/>
        <v>0</v>
      </c>
      <c r="CV3068" s="26">
        <f t="shared" si="212"/>
        <v>597.71</v>
      </c>
    </row>
    <row r="3069" spans="1:100" x14ac:dyDescent="0.2">
      <c r="A3069" s="9" t="s">
        <v>648</v>
      </c>
      <c r="B3069" s="2">
        <v>79</v>
      </c>
      <c r="C3069" s="3" t="s">
        <v>95</v>
      </c>
      <c r="D3069" s="3" t="s">
        <v>96</v>
      </c>
      <c r="E3069" s="2"/>
      <c r="F3069" s="2"/>
      <c r="G3069" s="2" t="s">
        <v>74</v>
      </c>
      <c r="H3069" s="2">
        <v>4</v>
      </c>
      <c r="I3069" s="20">
        <v>90</v>
      </c>
      <c r="J3069" s="20">
        <v>40000</v>
      </c>
      <c r="K3069" s="3">
        <v>0</v>
      </c>
      <c r="L3069" s="3" t="s">
        <v>3</v>
      </c>
      <c r="M3069" s="9" t="s">
        <v>0</v>
      </c>
      <c r="N3069" s="9">
        <v>70333482</v>
      </c>
      <c r="O3069" s="9" t="s">
        <v>649</v>
      </c>
      <c r="P3069" s="9" t="s">
        <v>0</v>
      </c>
      <c r="Q3069" s="30" t="s">
        <v>650</v>
      </c>
      <c r="R3069" s="9" t="s">
        <v>651</v>
      </c>
      <c r="S3069" s="9" t="s">
        <v>158</v>
      </c>
      <c r="T3069" s="10" t="s">
        <v>74</v>
      </c>
      <c r="U3069" s="10">
        <v>4</v>
      </c>
      <c r="V3069" s="79">
        <v>90</v>
      </c>
      <c r="W3069" s="79" t="s">
        <v>710</v>
      </c>
      <c r="X3069" s="17">
        <v>45704</v>
      </c>
      <c r="Y3069" s="17">
        <v>45711</v>
      </c>
      <c r="Z3069" s="19" t="s">
        <v>772</v>
      </c>
      <c r="AA3069" s="207">
        <v>31700</v>
      </c>
      <c r="AB3069" s="9">
        <v>48</v>
      </c>
      <c r="AC3069" s="9">
        <v>40</v>
      </c>
      <c r="AD3069" s="17">
        <v>46970</v>
      </c>
      <c r="AE3069" s="54">
        <v>597.71</v>
      </c>
      <c r="AF3069" s="54"/>
      <c r="AL3069" s="22"/>
      <c r="AM3069" s="22"/>
      <c r="AN3069" s="22"/>
      <c r="AO3069" s="22"/>
      <c r="AP3069" s="22"/>
      <c r="AQ3069" s="22"/>
      <c r="AR3069" s="22"/>
      <c r="AS3069" s="22"/>
      <c r="AT3069" s="22"/>
      <c r="AU3069" s="22"/>
      <c r="AV3069" s="22"/>
      <c r="AW3069" s="9"/>
      <c r="BA3069" s="22"/>
      <c r="BB3069" s="22"/>
      <c r="BD3069" s="9"/>
      <c r="CS3069" s="11">
        <f t="shared" si="209"/>
        <v>0</v>
      </c>
      <c r="CT3069" s="22">
        <f t="shared" si="210"/>
        <v>0</v>
      </c>
      <c r="CU3069" s="22">
        <f t="shared" si="211"/>
        <v>0</v>
      </c>
      <c r="CV3069" s="26">
        <f t="shared" si="212"/>
        <v>597.71</v>
      </c>
    </row>
    <row r="3070" spans="1:100" x14ac:dyDescent="0.2">
      <c r="A3070" s="9" t="s">
        <v>648</v>
      </c>
      <c r="B3070" s="2">
        <v>79</v>
      </c>
      <c r="C3070" s="3" t="s">
        <v>95</v>
      </c>
      <c r="D3070" s="3" t="s">
        <v>96</v>
      </c>
      <c r="E3070" s="2"/>
      <c r="F3070" s="2"/>
      <c r="G3070" s="2" t="s">
        <v>74</v>
      </c>
      <c r="H3070" s="2">
        <v>4</v>
      </c>
      <c r="I3070" s="20">
        <v>90</v>
      </c>
      <c r="J3070" s="20">
        <v>40000</v>
      </c>
      <c r="K3070" s="3">
        <v>0</v>
      </c>
      <c r="L3070" s="3" t="s">
        <v>3</v>
      </c>
      <c r="M3070" s="9" t="s">
        <v>0</v>
      </c>
      <c r="N3070" s="9">
        <v>70333482</v>
      </c>
      <c r="O3070" s="9" t="s">
        <v>649</v>
      </c>
      <c r="P3070" s="9" t="s">
        <v>0</v>
      </c>
      <c r="Q3070" s="30" t="s">
        <v>650</v>
      </c>
      <c r="R3070" s="9" t="s">
        <v>651</v>
      </c>
      <c r="S3070" s="9" t="s">
        <v>158</v>
      </c>
      <c r="T3070" s="10" t="s">
        <v>74</v>
      </c>
      <c r="U3070" s="10">
        <v>4</v>
      </c>
      <c r="V3070" s="79">
        <v>90</v>
      </c>
      <c r="W3070" s="79" t="s">
        <v>710</v>
      </c>
      <c r="X3070" s="17">
        <v>45704</v>
      </c>
      <c r="Y3070" s="17">
        <v>45711</v>
      </c>
      <c r="Z3070" s="19" t="s">
        <v>772</v>
      </c>
      <c r="AA3070" s="207">
        <v>31700</v>
      </c>
      <c r="AB3070" s="9">
        <v>48</v>
      </c>
      <c r="AC3070" s="9">
        <v>41</v>
      </c>
      <c r="AD3070" s="17">
        <v>47001</v>
      </c>
      <c r="AE3070" s="54">
        <v>597.71</v>
      </c>
      <c r="AF3070" s="54"/>
      <c r="AL3070" s="22"/>
      <c r="AM3070" s="22"/>
      <c r="AN3070" s="22"/>
      <c r="AO3070" s="22"/>
      <c r="AP3070" s="22"/>
      <c r="AQ3070" s="22"/>
      <c r="AR3070" s="22"/>
      <c r="AS3070" s="22"/>
      <c r="AT3070" s="22"/>
      <c r="AU3070" s="22"/>
      <c r="AV3070" s="22"/>
      <c r="AW3070" s="9"/>
      <c r="BA3070" s="22"/>
      <c r="BB3070" s="22"/>
      <c r="BD3070" s="9"/>
      <c r="CS3070" s="11">
        <f t="shared" si="209"/>
        <v>0</v>
      </c>
      <c r="CT3070" s="22">
        <f t="shared" si="210"/>
        <v>0</v>
      </c>
      <c r="CU3070" s="22">
        <f t="shared" si="211"/>
        <v>0</v>
      </c>
      <c r="CV3070" s="26">
        <f t="shared" si="212"/>
        <v>597.71</v>
      </c>
    </row>
    <row r="3071" spans="1:100" x14ac:dyDescent="0.2">
      <c r="A3071" s="9" t="s">
        <v>648</v>
      </c>
      <c r="B3071" s="2">
        <v>79</v>
      </c>
      <c r="C3071" s="3" t="s">
        <v>95</v>
      </c>
      <c r="D3071" s="3" t="s">
        <v>96</v>
      </c>
      <c r="E3071" s="2"/>
      <c r="F3071" s="2"/>
      <c r="G3071" s="2" t="s">
        <v>74</v>
      </c>
      <c r="H3071" s="2">
        <v>4</v>
      </c>
      <c r="I3071" s="20">
        <v>90</v>
      </c>
      <c r="J3071" s="20">
        <v>40000</v>
      </c>
      <c r="K3071" s="3">
        <v>0</v>
      </c>
      <c r="L3071" s="3" t="s">
        <v>3</v>
      </c>
      <c r="M3071" s="9" t="s">
        <v>0</v>
      </c>
      <c r="N3071" s="9">
        <v>70333482</v>
      </c>
      <c r="O3071" s="9" t="s">
        <v>649</v>
      </c>
      <c r="P3071" s="9" t="s">
        <v>0</v>
      </c>
      <c r="Q3071" s="30" t="s">
        <v>650</v>
      </c>
      <c r="R3071" s="9" t="s">
        <v>651</v>
      </c>
      <c r="S3071" s="9" t="s">
        <v>158</v>
      </c>
      <c r="T3071" s="10" t="s">
        <v>74</v>
      </c>
      <c r="U3071" s="10">
        <v>4</v>
      </c>
      <c r="V3071" s="79">
        <v>90</v>
      </c>
      <c r="W3071" s="79" t="s">
        <v>710</v>
      </c>
      <c r="X3071" s="17">
        <v>45704</v>
      </c>
      <c r="Y3071" s="17">
        <v>45711</v>
      </c>
      <c r="Z3071" s="19" t="s">
        <v>772</v>
      </c>
      <c r="AA3071" s="207">
        <v>31700</v>
      </c>
      <c r="AB3071" s="9">
        <v>48</v>
      </c>
      <c r="AC3071" s="9">
        <v>42</v>
      </c>
      <c r="AD3071" s="17">
        <v>47031</v>
      </c>
      <c r="AE3071" s="54">
        <v>597.71</v>
      </c>
      <c r="AF3071" s="54"/>
      <c r="AL3071" s="22"/>
      <c r="AM3071" s="22"/>
      <c r="AN3071" s="22"/>
      <c r="AO3071" s="22"/>
      <c r="AP3071" s="22"/>
      <c r="AQ3071" s="22"/>
      <c r="AR3071" s="22"/>
      <c r="AS3071" s="22"/>
      <c r="AT3071" s="22"/>
      <c r="AU3071" s="22"/>
      <c r="AV3071" s="22"/>
      <c r="AW3071" s="9"/>
      <c r="BA3071" s="22"/>
      <c r="BB3071" s="22"/>
      <c r="BD3071" s="9"/>
      <c r="CS3071" s="11">
        <f t="shared" si="209"/>
        <v>0</v>
      </c>
      <c r="CT3071" s="22">
        <f t="shared" si="210"/>
        <v>0</v>
      </c>
      <c r="CU3071" s="22">
        <f t="shared" si="211"/>
        <v>0</v>
      </c>
      <c r="CV3071" s="26">
        <f t="shared" si="212"/>
        <v>597.71</v>
      </c>
    </row>
    <row r="3072" spans="1:100" x14ac:dyDescent="0.2">
      <c r="A3072" s="9" t="s">
        <v>648</v>
      </c>
      <c r="B3072" s="2">
        <v>79</v>
      </c>
      <c r="C3072" s="3" t="s">
        <v>95</v>
      </c>
      <c r="D3072" s="3" t="s">
        <v>96</v>
      </c>
      <c r="E3072" s="2"/>
      <c r="F3072" s="2"/>
      <c r="G3072" s="2" t="s">
        <v>74</v>
      </c>
      <c r="H3072" s="2">
        <v>4</v>
      </c>
      <c r="I3072" s="20">
        <v>90</v>
      </c>
      <c r="J3072" s="20">
        <v>40000</v>
      </c>
      <c r="K3072" s="3">
        <v>0</v>
      </c>
      <c r="L3072" s="3" t="s">
        <v>3</v>
      </c>
      <c r="M3072" s="9" t="s">
        <v>0</v>
      </c>
      <c r="N3072" s="9">
        <v>70333482</v>
      </c>
      <c r="O3072" s="9" t="s">
        <v>649</v>
      </c>
      <c r="P3072" s="9" t="s">
        <v>0</v>
      </c>
      <c r="Q3072" s="30" t="s">
        <v>650</v>
      </c>
      <c r="R3072" s="9" t="s">
        <v>651</v>
      </c>
      <c r="S3072" s="9" t="s">
        <v>158</v>
      </c>
      <c r="T3072" s="10" t="s">
        <v>74</v>
      </c>
      <c r="U3072" s="10">
        <v>4</v>
      </c>
      <c r="V3072" s="79">
        <v>90</v>
      </c>
      <c r="W3072" s="79" t="s">
        <v>710</v>
      </c>
      <c r="X3072" s="17">
        <v>45704</v>
      </c>
      <c r="Y3072" s="17">
        <v>45711</v>
      </c>
      <c r="Z3072" s="19" t="s">
        <v>772</v>
      </c>
      <c r="AA3072" s="207">
        <v>31700</v>
      </c>
      <c r="AB3072" s="9">
        <v>48</v>
      </c>
      <c r="AC3072" s="9">
        <v>43</v>
      </c>
      <c r="AD3072" s="17">
        <v>47062</v>
      </c>
      <c r="AE3072" s="54">
        <v>597.71</v>
      </c>
      <c r="AF3072" s="54"/>
      <c r="AL3072" s="22"/>
      <c r="AM3072" s="22"/>
      <c r="AN3072" s="22"/>
      <c r="AO3072" s="22"/>
      <c r="AP3072" s="22"/>
      <c r="AQ3072" s="22"/>
      <c r="AR3072" s="22"/>
      <c r="AS3072" s="22"/>
      <c r="AT3072" s="22"/>
      <c r="AU3072" s="22"/>
      <c r="AV3072" s="22"/>
      <c r="AW3072" s="9"/>
      <c r="BA3072" s="22"/>
      <c r="BB3072" s="22"/>
      <c r="BD3072" s="9"/>
      <c r="CS3072" s="11">
        <f t="shared" si="209"/>
        <v>0</v>
      </c>
      <c r="CT3072" s="22">
        <f t="shared" si="210"/>
        <v>0</v>
      </c>
      <c r="CU3072" s="22">
        <f t="shared" si="211"/>
        <v>0</v>
      </c>
      <c r="CV3072" s="26">
        <f t="shared" si="212"/>
        <v>597.71</v>
      </c>
    </row>
    <row r="3073" spans="1:100" x14ac:dyDescent="0.2">
      <c r="A3073" s="9" t="s">
        <v>648</v>
      </c>
      <c r="B3073" s="2">
        <v>79</v>
      </c>
      <c r="C3073" s="3" t="s">
        <v>95</v>
      </c>
      <c r="D3073" s="3" t="s">
        <v>96</v>
      </c>
      <c r="E3073" s="2"/>
      <c r="F3073" s="2"/>
      <c r="G3073" s="2" t="s">
        <v>74</v>
      </c>
      <c r="H3073" s="2">
        <v>4</v>
      </c>
      <c r="I3073" s="20">
        <v>90</v>
      </c>
      <c r="J3073" s="20">
        <v>40000</v>
      </c>
      <c r="K3073" s="3">
        <v>0</v>
      </c>
      <c r="L3073" s="3" t="s">
        <v>3</v>
      </c>
      <c r="M3073" s="9" t="s">
        <v>0</v>
      </c>
      <c r="N3073" s="9">
        <v>70333482</v>
      </c>
      <c r="O3073" s="9" t="s">
        <v>649</v>
      </c>
      <c r="P3073" s="9" t="s">
        <v>0</v>
      </c>
      <c r="Q3073" s="30" t="s">
        <v>650</v>
      </c>
      <c r="R3073" s="9" t="s">
        <v>651</v>
      </c>
      <c r="S3073" s="9" t="s">
        <v>158</v>
      </c>
      <c r="T3073" s="10" t="s">
        <v>74</v>
      </c>
      <c r="U3073" s="10">
        <v>4</v>
      </c>
      <c r="V3073" s="79">
        <v>90</v>
      </c>
      <c r="W3073" s="79" t="s">
        <v>710</v>
      </c>
      <c r="X3073" s="17">
        <v>45704</v>
      </c>
      <c r="Y3073" s="17">
        <v>45711</v>
      </c>
      <c r="Z3073" s="19" t="s">
        <v>772</v>
      </c>
      <c r="AA3073" s="207">
        <v>31700</v>
      </c>
      <c r="AB3073" s="9">
        <v>48</v>
      </c>
      <c r="AC3073" s="9">
        <v>44</v>
      </c>
      <c r="AD3073" s="17">
        <v>47092</v>
      </c>
      <c r="AE3073" s="54">
        <v>597.71</v>
      </c>
      <c r="AF3073" s="54"/>
      <c r="AL3073" s="22"/>
      <c r="AM3073" s="22"/>
      <c r="AN3073" s="22"/>
      <c r="AO3073" s="22"/>
      <c r="AP3073" s="22"/>
      <c r="AQ3073" s="22"/>
      <c r="AR3073" s="22"/>
      <c r="AS3073" s="22"/>
      <c r="AT3073" s="22"/>
      <c r="AU3073" s="22"/>
      <c r="AV3073" s="22"/>
      <c r="AW3073" s="9"/>
      <c r="BA3073" s="22"/>
      <c r="BB3073" s="22"/>
      <c r="BD3073" s="9"/>
      <c r="CS3073" s="11">
        <f t="shared" si="209"/>
        <v>0</v>
      </c>
      <c r="CT3073" s="22">
        <f t="shared" si="210"/>
        <v>0</v>
      </c>
      <c r="CU3073" s="22">
        <f t="shared" si="211"/>
        <v>0</v>
      </c>
      <c r="CV3073" s="26">
        <f t="shared" si="212"/>
        <v>597.71</v>
      </c>
    </row>
    <row r="3074" spans="1:100" x14ac:dyDescent="0.2">
      <c r="A3074" s="9" t="s">
        <v>648</v>
      </c>
      <c r="B3074" s="2">
        <v>79</v>
      </c>
      <c r="C3074" s="3" t="s">
        <v>95</v>
      </c>
      <c r="D3074" s="3" t="s">
        <v>96</v>
      </c>
      <c r="E3074" s="2"/>
      <c r="F3074" s="2"/>
      <c r="G3074" s="2" t="s">
        <v>74</v>
      </c>
      <c r="H3074" s="2">
        <v>4</v>
      </c>
      <c r="I3074" s="20">
        <v>90</v>
      </c>
      <c r="J3074" s="20">
        <v>40000</v>
      </c>
      <c r="K3074" s="3">
        <v>0</v>
      </c>
      <c r="L3074" s="3" t="s">
        <v>3</v>
      </c>
      <c r="M3074" s="9" t="s">
        <v>0</v>
      </c>
      <c r="N3074" s="9">
        <v>70333482</v>
      </c>
      <c r="O3074" s="9" t="s">
        <v>649</v>
      </c>
      <c r="P3074" s="9" t="s">
        <v>0</v>
      </c>
      <c r="Q3074" s="30" t="s">
        <v>650</v>
      </c>
      <c r="R3074" s="9" t="s">
        <v>651</v>
      </c>
      <c r="S3074" s="9" t="s">
        <v>158</v>
      </c>
      <c r="T3074" s="10" t="s">
        <v>74</v>
      </c>
      <c r="U3074" s="10">
        <v>4</v>
      </c>
      <c r="V3074" s="79">
        <v>90</v>
      </c>
      <c r="W3074" s="79" t="s">
        <v>710</v>
      </c>
      <c r="X3074" s="17">
        <v>45704</v>
      </c>
      <c r="Y3074" s="17">
        <v>45711</v>
      </c>
      <c r="Z3074" s="19" t="s">
        <v>772</v>
      </c>
      <c r="AA3074" s="207">
        <v>31700</v>
      </c>
      <c r="AB3074" s="9">
        <v>48</v>
      </c>
      <c r="AC3074" s="9">
        <v>45</v>
      </c>
      <c r="AD3074" s="17">
        <v>47123</v>
      </c>
      <c r="AE3074" s="54">
        <v>597.71</v>
      </c>
      <c r="AF3074" s="54"/>
      <c r="AL3074" s="22"/>
      <c r="AM3074" s="22"/>
      <c r="AN3074" s="22"/>
      <c r="AO3074" s="22"/>
      <c r="AP3074" s="22"/>
      <c r="AQ3074" s="22"/>
      <c r="AR3074" s="22"/>
      <c r="AS3074" s="22"/>
      <c r="AT3074" s="22"/>
      <c r="AU3074" s="22"/>
      <c r="AV3074" s="22"/>
      <c r="AW3074" s="9"/>
      <c r="BA3074" s="22"/>
      <c r="BB3074" s="22"/>
      <c r="BD3074" s="9"/>
      <c r="CS3074" s="11">
        <f t="shared" si="209"/>
        <v>0</v>
      </c>
      <c r="CT3074" s="22">
        <f t="shared" si="210"/>
        <v>0</v>
      </c>
      <c r="CU3074" s="22">
        <f t="shared" si="211"/>
        <v>0</v>
      </c>
      <c r="CV3074" s="26">
        <f t="shared" si="212"/>
        <v>597.71</v>
      </c>
    </row>
    <row r="3075" spans="1:100" x14ac:dyDescent="0.2">
      <c r="A3075" s="9" t="s">
        <v>648</v>
      </c>
      <c r="B3075" s="2">
        <v>79</v>
      </c>
      <c r="C3075" s="3" t="s">
        <v>95</v>
      </c>
      <c r="D3075" s="3" t="s">
        <v>96</v>
      </c>
      <c r="E3075" s="2"/>
      <c r="F3075" s="2"/>
      <c r="G3075" s="2" t="s">
        <v>74</v>
      </c>
      <c r="H3075" s="2">
        <v>4</v>
      </c>
      <c r="I3075" s="20">
        <v>90</v>
      </c>
      <c r="J3075" s="20">
        <v>40000</v>
      </c>
      <c r="K3075" s="3">
        <v>0</v>
      </c>
      <c r="L3075" s="3" t="s">
        <v>3</v>
      </c>
      <c r="M3075" s="9" t="s">
        <v>0</v>
      </c>
      <c r="N3075" s="9">
        <v>70333482</v>
      </c>
      <c r="O3075" s="9" t="s">
        <v>649</v>
      </c>
      <c r="P3075" s="9" t="s">
        <v>0</v>
      </c>
      <c r="Q3075" s="30" t="s">
        <v>650</v>
      </c>
      <c r="R3075" s="9" t="s">
        <v>651</v>
      </c>
      <c r="S3075" s="9" t="s">
        <v>158</v>
      </c>
      <c r="T3075" s="10" t="s">
        <v>74</v>
      </c>
      <c r="U3075" s="10">
        <v>4</v>
      </c>
      <c r="V3075" s="79">
        <v>90</v>
      </c>
      <c r="W3075" s="79" t="s">
        <v>710</v>
      </c>
      <c r="X3075" s="17">
        <v>45704</v>
      </c>
      <c r="Y3075" s="17">
        <v>45711</v>
      </c>
      <c r="Z3075" s="19" t="s">
        <v>772</v>
      </c>
      <c r="AA3075" s="207">
        <v>31700</v>
      </c>
      <c r="AB3075" s="9">
        <v>48</v>
      </c>
      <c r="AC3075" s="9">
        <v>46</v>
      </c>
      <c r="AD3075" s="17">
        <v>47154</v>
      </c>
      <c r="AE3075" s="54">
        <v>597.71</v>
      </c>
      <c r="AF3075" s="54"/>
      <c r="AL3075" s="22"/>
      <c r="AM3075" s="22"/>
      <c r="AN3075" s="22"/>
      <c r="AO3075" s="22"/>
      <c r="AP3075" s="22"/>
      <c r="AQ3075" s="22"/>
      <c r="AR3075" s="22"/>
      <c r="AS3075" s="22"/>
      <c r="AT3075" s="22"/>
      <c r="AU3075" s="22"/>
      <c r="AV3075" s="22"/>
      <c r="AW3075" s="9"/>
      <c r="BA3075" s="22"/>
      <c r="BB3075" s="22"/>
      <c r="BD3075" s="9"/>
      <c r="CS3075" s="11">
        <f t="shared" si="209"/>
        <v>0</v>
      </c>
      <c r="CT3075" s="22">
        <f t="shared" si="210"/>
        <v>0</v>
      </c>
      <c r="CU3075" s="22">
        <f t="shared" si="211"/>
        <v>0</v>
      </c>
      <c r="CV3075" s="26">
        <f t="shared" si="212"/>
        <v>597.71</v>
      </c>
    </row>
    <row r="3076" spans="1:100" x14ac:dyDescent="0.2">
      <c r="A3076" s="9" t="s">
        <v>648</v>
      </c>
      <c r="B3076" s="2">
        <v>79</v>
      </c>
      <c r="C3076" s="3" t="s">
        <v>95</v>
      </c>
      <c r="D3076" s="3" t="s">
        <v>96</v>
      </c>
      <c r="E3076" s="2"/>
      <c r="F3076" s="2"/>
      <c r="G3076" s="2" t="s">
        <v>74</v>
      </c>
      <c r="H3076" s="2">
        <v>4</v>
      </c>
      <c r="I3076" s="20">
        <v>90</v>
      </c>
      <c r="J3076" s="20">
        <v>40000</v>
      </c>
      <c r="K3076" s="3">
        <v>0</v>
      </c>
      <c r="L3076" s="3" t="s">
        <v>3</v>
      </c>
      <c r="M3076" s="9" t="s">
        <v>0</v>
      </c>
      <c r="N3076" s="9">
        <v>70333482</v>
      </c>
      <c r="O3076" s="9" t="s">
        <v>649</v>
      </c>
      <c r="P3076" s="9" t="s">
        <v>0</v>
      </c>
      <c r="Q3076" s="30" t="s">
        <v>650</v>
      </c>
      <c r="R3076" s="9" t="s">
        <v>651</v>
      </c>
      <c r="S3076" s="9" t="s">
        <v>158</v>
      </c>
      <c r="T3076" s="10" t="s">
        <v>74</v>
      </c>
      <c r="U3076" s="10">
        <v>4</v>
      </c>
      <c r="V3076" s="79">
        <v>90</v>
      </c>
      <c r="W3076" s="79" t="s">
        <v>710</v>
      </c>
      <c r="X3076" s="17">
        <v>45704</v>
      </c>
      <c r="Y3076" s="17">
        <v>45711</v>
      </c>
      <c r="Z3076" s="19" t="s">
        <v>772</v>
      </c>
      <c r="AA3076" s="207">
        <v>31700</v>
      </c>
      <c r="AB3076" s="9">
        <v>48</v>
      </c>
      <c r="AC3076" s="9">
        <v>47</v>
      </c>
      <c r="AD3076" s="17">
        <v>47182</v>
      </c>
      <c r="AE3076" s="54">
        <v>597.71</v>
      </c>
      <c r="AF3076" s="54"/>
      <c r="AL3076" s="22"/>
      <c r="AM3076" s="22"/>
      <c r="AN3076" s="22"/>
      <c r="AO3076" s="22"/>
      <c r="AP3076" s="22"/>
      <c r="AQ3076" s="22"/>
      <c r="AR3076" s="22"/>
      <c r="AS3076" s="22"/>
      <c r="AT3076" s="22"/>
      <c r="AU3076" s="22"/>
      <c r="AV3076" s="22"/>
      <c r="AW3076" s="9"/>
      <c r="BA3076" s="22"/>
      <c r="BB3076" s="22"/>
      <c r="BD3076" s="9"/>
      <c r="CS3076" s="11">
        <f t="shared" si="209"/>
        <v>0</v>
      </c>
      <c r="CT3076" s="22">
        <f t="shared" si="210"/>
        <v>0</v>
      </c>
      <c r="CU3076" s="22">
        <f t="shared" si="211"/>
        <v>0</v>
      </c>
      <c r="CV3076" s="26">
        <f t="shared" si="212"/>
        <v>597.71</v>
      </c>
    </row>
    <row r="3077" spans="1:100" x14ac:dyDescent="0.2">
      <c r="A3077" s="9" t="s">
        <v>648</v>
      </c>
      <c r="B3077" s="2">
        <v>79</v>
      </c>
      <c r="C3077" s="3" t="s">
        <v>95</v>
      </c>
      <c r="D3077" s="3" t="s">
        <v>96</v>
      </c>
      <c r="E3077" s="2"/>
      <c r="F3077" s="2"/>
      <c r="G3077" s="2" t="s">
        <v>74</v>
      </c>
      <c r="H3077" s="2">
        <v>4</v>
      </c>
      <c r="I3077" s="20">
        <v>90</v>
      </c>
      <c r="J3077" s="20">
        <v>40000</v>
      </c>
      <c r="K3077" s="3">
        <v>0</v>
      </c>
      <c r="L3077" s="3" t="s">
        <v>3</v>
      </c>
      <c r="M3077" s="9" t="s">
        <v>0</v>
      </c>
      <c r="N3077" s="9">
        <v>70333482</v>
      </c>
      <c r="O3077" s="9" t="s">
        <v>649</v>
      </c>
      <c r="P3077" s="9" t="s">
        <v>0</v>
      </c>
      <c r="Q3077" s="30" t="s">
        <v>650</v>
      </c>
      <c r="R3077" s="9" t="s">
        <v>651</v>
      </c>
      <c r="S3077" s="9" t="s">
        <v>158</v>
      </c>
      <c r="T3077" s="10" t="s">
        <v>74</v>
      </c>
      <c r="U3077" s="10">
        <v>4</v>
      </c>
      <c r="V3077" s="79">
        <v>90</v>
      </c>
      <c r="W3077" s="79" t="s">
        <v>710</v>
      </c>
      <c r="X3077" s="17">
        <v>45704</v>
      </c>
      <c r="Y3077" s="17">
        <v>45711</v>
      </c>
      <c r="Z3077" s="19" t="s">
        <v>772</v>
      </c>
      <c r="AA3077" s="207">
        <v>31700</v>
      </c>
      <c r="AB3077" s="9">
        <v>48</v>
      </c>
      <c r="AC3077" s="9">
        <v>48</v>
      </c>
      <c r="AD3077" s="17">
        <v>47213</v>
      </c>
      <c r="AE3077" s="54">
        <v>597.71</v>
      </c>
      <c r="AF3077" s="54"/>
      <c r="AL3077" s="22"/>
      <c r="AM3077" s="22"/>
      <c r="AN3077" s="22"/>
      <c r="AO3077" s="22"/>
      <c r="AP3077" s="22"/>
      <c r="AQ3077" s="22"/>
      <c r="AR3077" s="22"/>
      <c r="AS3077" s="22"/>
      <c r="AT3077" s="22"/>
      <c r="AU3077" s="22"/>
      <c r="AV3077" s="22"/>
      <c r="AW3077" s="9"/>
      <c r="BA3077" s="22"/>
      <c r="BB3077" s="22"/>
      <c r="BD3077" s="9"/>
      <c r="CS3077" s="11">
        <f t="shared" si="209"/>
        <v>0</v>
      </c>
      <c r="CT3077" s="22">
        <f t="shared" si="210"/>
        <v>0</v>
      </c>
      <c r="CU3077" s="22">
        <f t="shared" si="211"/>
        <v>0</v>
      </c>
      <c r="CV3077" s="26">
        <f t="shared" si="212"/>
        <v>597.71</v>
      </c>
    </row>
    <row r="3078" spans="1:100" x14ac:dyDescent="0.2">
      <c r="A3078" s="9" t="s">
        <v>600</v>
      </c>
      <c r="B3078" s="2">
        <v>44</v>
      </c>
      <c r="C3078" s="3" t="s">
        <v>95</v>
      </c>
      <c r="D3078" s="3" t="s">
        <v>96</v>
      </c>
      <c r="E3078" s="2"/>
      <c r="F3078" s="2"/>
      <c r="G3078" s="2" t="s">
        <v>70</v>
      </c>
      <c r="H3078" s="2">
        <v>6</v>
      </c>
      <c r="I3078" s="20">
        <v>107.66</v>
      </c>
      <c r="J3078" s="20">
        <v>47849</v>
      </c>
      <c r="K3078" s="3">
        <v>0</v>
      </c>
      <c r="L3078" s="3" t="s">
        <v>99</v>
      </c>
      <c r="M3078" s="9" t="s">
        <v>0</v>
      </c>
      <c r="N3078" s="9">
        <v>46784467</v>
      </c>
      <c r="O3078" s="9" t="s">
        <v>656</v>
      </c>
      <c r="S3078" s="9" t="s">
        <v>158</v>
      </c>
      <c r="T3078" s="10" t="s">
        <v>70</v>
      </c>
      <c r="U3078" s="10">
        <v>6</v>
      </c>
      <c r="V3078" s="10">
        <v>120.4</v>
      </c>
      <c r="W3078" s="10" t="s">
        <v>710</v>
      </c>
      <c r="X3078" s="17">
        <v>45695</v>
      </c>
      <c r="Y3078" s="17">
        <v>45744</v>
      </c>
      <c r="Z3078" s="19" t="s">
        <v>772</v>
      </c>
      <c r="AA3078" s="207">
        <v>40000</v>
      </c>
      <c r="AB3078" s="9">
        <v>36</v>
      </c>
      <c r="AC3078" s="9">
        <v>0</v>
      </c>
      <c r="AD3078" s="17">
        <v>45695</v>
      </c>
      <c r="AE3078" s="54">
        <v>1881.72</v>
      </c>
      <c r="AF3078" s="54"/>
      <c r="AG3078" s="9" t="s">
        <v>134</v>
      </c>
      <c r="AH3078" s="17">
        <v>45695</v>
      </c>
      <c r="AI3078" s="17"/>
      <c r="AJ3078" s="17"/>
      <c r="AK3078" s="9" t="s">
        <v>657</v>
      </c>
      <c r="AL3078" s="22">
        <v>1881.72</v>
      </c>
      <c r="AM3078" s="22"/>
      <c r="AN3078" s="22" t="s">
        <v>871</v>
      </c>
      <c r="AO3078" s="22"/>
      <c r="AP3078" s="22"/>
      <c r="AQ3078" s="22"/>
      <c r="AR3078" s="22"/>
      <c r="AS3078" s="22"/>
      <c r="AT3078" s="22"/>
      <c r="AU3078" s="22"/>
      <c r="AV3078" s="22"/>
      <c r="AW3078" s="42">
        <v>45695</v>
      </c>
      <c r="AX3078" s="36">
        <v>429485</v>
      </c>
      <c r="AY3078" s="93">
        <v>7000</v>
      </c>
      <c r="AZ3078" s="36">
        <v>3.72</v>
      </c>
      <c r="BA3078" s="40">
        <f t="shared" ref="BA3078:BA3085" si="213">+AY3078/AZ3078</f>
        <v>1881.7204301075267</v>
      </c>
      <c r="BB3078" s="22"/>
      <c r="BD3078" s="9"/>
      <c r="CS3078" s="11">
        <f t="shared" si="209"/>
        <v>1881.72</v>
      </c>
      <c r="CT3078" s="22">
        <f t="shared" si="210"/>
        <v>1881.7204301075267</v>
      </c>
      <c r="CU3078" s="22">
        <f t="shared" si="211"/>
        <v>-4.3010752665395557E-4</v>
      </c>
      <c r="CV3078" s="26">
        <f t="shared" si="212"/>
        <v>0</v>
      </c>
    </row>
    <row r="3079" spans="1:100" x14ac:dyDescent="0.2">
      <c r="A3079" s="9" t="s">
        <v>600</v>
      </c>
      <c r="B3079" s="2">
        <v>44</v>
      </c>
      <c r="C3079" s="3" t="s">
        <v>95</v>
      </c>
      <c r="D3079" s="3" t="s">
        <v>96</v>
      </c>
      <c r="E3079" s="2"/>
      <c r="F3079" s="2"/>
      <c r="G3079" s="2" t="s">
        <v>70</v>
      </c>
      <c r="H3079" s="2">
        <v>6</v>
      </c>
      <c r="I3079" s="20">
        <v>107.66</v>
      </c>
      <c r="J3079" s="20">
        <v>47849</v>
      </c>
      <c r="K3079" s="3">
        <v>0</v>
      </c>
      <c r="L3079" s="3" t="s">
        <v>99</v>
      </c>
      <c r="M3079" s="9" t="s">
        <v>0</v>
      </c>
      <c r="N3079" s="9">
        <v>46784467</v>
      </c>
      <c r="O3079" s="9" t="s">
        <v>656</v>
      </c>
      <c r="S3079" s="9" t="s">
        <v>158</v>
      </c>
      <c r="T3079" s="10" t="s">
        <v>70</v>
      </c>
      <c r="U3079" s="10">
        <v>6</v>
      </c>
      <c r="V3079" s="10">
        <v>120.4</v>
      </c>
      <c r="W3079" s="10" t="s">
        <v>710</v>
      </c>
      <c r="X3079" s="17">
        <v>45695</v>
      </c>
      <c r="Y3079" s="17">
        <v>45744</v>
      </c>
      <c r="Z3079" s="19" t="s">
        <v>772</v>
      </c>
      <c r="AA3079" s="207">
        <v>40000</v>
      </c>
      <c r="AB3079" s="9">
        <v>36</v>
      </c>
      <c r="AC3079" s="9">
        <v>0</v>
      </c>
      <c r="AD3079" s="17">
        <v>45720</v>
      </c>
      <c r="AE3079" s="54">
        <v>8118.28</v>
      </c>
      <c r="AF3079" s="54"/>
      <c r="AG3079" s="9" t="s">
        <v>134</v>
      </c>
      <c r="AH3079" s="17">
        <v>45720</v>
      </c>
      <c r="AI3079" s="17"/>
      <c r="AJ3079" s="17"/>
      <c r="AK3079" s="9" t="s">
        <v>658</v>
      </c>
      <c r="AL3079" s="22">
        <v>8118.28</v>
      </c>
      <c r="AM3079" s="22"/>
      <c r="AN3079" s="22" t="s">
        <v>872</v>
      </c>
      <c r="AO3079" s="22"/>
      <c r="AP3079" s="22"/>
      <c r="AQ3079" s="22"/>
      <c r="AR3079" s="22"/>
      <c r="AS3079" s="22"/>
      <c r="AT3079" s="22"/>
      <c r="AU3079" s="22"/>
      <c r="AV3079" s="22"/>
      <c r="AW3079" s="42">
        <v>45720</v>
      </c>
      <c r="AX3079" s="36">
        <v>691261</v>
      </c>
      <c r="AY3079" s="93">
        <v>29794.09</v>
      </c>
      <c r="AZ3079" s="36">
        <v>3.67</v>
      </c>
      <c r="BA3079" s="40">
        <f t="shared" si="213"/>
        <v>8118.2806539509538</v>
      </c>
      <c r="BB3079" s="22"/>
      <c r="BD3079" s="9"/>
      <c r="CS3079" s="11">
        <f t="shared" si="209"/>
        <v>8118.28</v>
      </c>
      <c r="CT3079" s="22">
        <f t="shared" si="210"/>
        <v>8118.2806539509538</v>
      </c>
      <c r="CU3079" s="22">
        <f t="shared" si="211"/>
        <v>-6.539509540743893E-4</v>
      </c>
      <c r="CV3079" s="26">
        <f t="shared" si="212"/>
        <v>0</v>
      </c>
    </row>
    <row r="3080" spans="1:100" x14ac:dyDescent="0.2">
      <c r="A3080" s="9" t="s">
        <v>600</v>
      </c>
      <c r="B3080" s="2">
        <v>44</v>
      </c>
      <c r="C3080" s="3" t="s">
        <v>95</v>
      </c>
      <c r="D3080" s="3" t="s">
        <v>96</v>
      </c>
      <c r="E3080" s="2"/>
      <c r="F3080" s="2"/>
      <c r="G3080" s="2" t="s">
        <v>70</v>
      </c>
      <c r="H3080" s="2">
        <v>6</v>
      </c>
      <c r="I3080" s="20">
        <v>107.66</v>
      </c>
      <c r="J3080" s="20">
        <v>47849</v>
      </c>
      <c r="K3080" s="3">
        <v>0</v>
      </c>
      <c r="L3080" s="3" t="s">
        <v>99</v>
      </c>
      <c r="M3080" s="9" t="s">
        <v>0</v>
      </c>
      <c r="N3080" s="9">
        <v>46784467</v>
      </c>
      <c r="O3080" s="9" t="s">
        <v>656</v>
      </c>
      <c r="S3080" s="9" t="s">
        <v>158</v>
      </c>
      <c r="T3080" s="10" t="s">
        <v>70</v>
      </c>
      <c r="U3080" s="10">
        <v>6</v>
      </c>
      <c r="V3080" s="10">
        <v>120.4</v>
      </c>
      <c r="W3080" s="10" t="s">
        <v>710</v>
      </c>
      <c r="X3080" s="17">
        <v>45695</v>
      </c>
      <c r="Y3080" s="17">
        <v>45744</v>
      </c>
      <c r="Z3080" s="19" t="s">
        <v>772</v>
      </c>
      <c r="AA3080" s="207">
        <v>40000</v>
      </c>
      <c r="AB3080" s="9">
        <v>36</v>
      </c>
      <c r="AC3080" s="9">
        <v>0</v>
      </c>
      <c r="AD3080" s="17">
        <v>45744</v>
      </c>
      <c r="AE3080" s="54">
        <v>2000</v>
      </c>
      <c r="AF3080" s="54"/>
      <c r="AG3080" s="9" t="s">
        <v>134</v>
      </c>
      <c r="AH3080" s="17">
        <v>45744</v>
      </c>
      <c r="AI3080" s="17"/>
      <c r="AJ3080" s="17"/>
      <c r="AK3080" s="9" t="s">
        <v>659</v>
      </c>
      <c r="AL3080" s="22">
        <v>2000</v>
      </c>
      <c r="AM3080" s="22"/>
      <c r="AN3080" s="22" t="s">
        <v>873</v>
      </c>
      <c r="AO3080" s="22"/>
      <c r="AP3080" s="22"/>
      <c r="AQ3080" s="22"/>
      <c r="AR3080" s="22"/>
      <c r="AS3080" s="22"/>
      <c r="AT3080" s="22"/>
      <c r="AU3080" s="22"/>
      <c r="AV3080" s="22"/>
      <c r="AW3080" s="42">
        <v>45744</v>
      </c>
      <c r="AX3080" s="36">
        <v>201487</v>
      </c>
      <c r="AY3080" s="93">
        <v>7260</v>
      </c>
      <c r="AZ3080" s="36">
        <v>3.63</v>
      </c>
      <c r="BA3080" s="40">
        <f t="shared" si="213"/>
        <v>2000</v>
      </c>
      <c r="BB3080" s="22"/>
      <c r="BD3080" s="9"/>
      <c r="CS3080" s="11">
        <f t="shared" si="209"/>
        <v>2000</v>
      </c>
      <c r="CT3080" s="22">
        <f t="shared" si="210"/>
        <v>2000</v>
      </c>
      <c r="CU3080" s="22">
        <f t="shared" si="211"/>
        <v>0</v>
      </c>
      <c r="CV3080" s="26">
        <f t="shared" si="212"/>
        <v>0</v>
      </c>
    </row>
    <row r="3081" spans="1:100" x14ac:dyDescent="0.2">
      <c r="A3081" s="9" t="s">
        <v>600</v>
      </c>
      <c r="B3081" s="2">
        <v>44</v>
      </c>
      <c r="C3081" s="3" t="s">
        <v>95</v>
      </c>
      <c r="D3081" s="3" t="s">
        <v>96</v>
      </c>
      <c r="E3081" s="2"/>
      <c r="F3081" s="2"/>
      <c r="G3081" s="2" t="s">
        <v>70</v>
      </c>
      <c r="H3081" s="2">
        <v>6</v>
      </c>
      <c r="I3081" s="20">
        <v>107.66</v>
      </c>
      <c r="J3081" s="20">
        <v>47849</v>
      </c>
      <c r="K3081" s="3">
        <v>0</v>
      </c>
      <c r="L3081" s="3" t="s">
        <v>99</v>
      </c>
      <c r="M3081" s="9" t="s">
        <v>0</v>
      </c>
      <c r="N3081" s="9">
        <v>46784467</v>
      </c>
      <c r="O3081" s="9" t="s">
        <v>656</v>
      </c>
      <c r="S3081" s="9" t="s">
        <v>158</v>
      </c>
      <c r="T3081" s="10" t="s">
        <v>70</v>
      </c>
      <c r="U3081" s="10">
        <v>6</v>
      </c>
      <c r="V3081" s="10">
        <v>120.4</v>
      </c>
      <c r="W3081" s="10" t="s">
        <v>710</v>
      </c>
      <c r="X3081" s="17">
        <v>45695</v>
      </c>
      <c r="Y3081" s="17">
        <v>45744</v>
      </c>
      <c r="Z3081" s="19" t="s">
        <v>772</v>
      </c>
      <c r="AA3081" s="207">
        <v>40000</v>
      </c>
      <c r="AB3081" s="9">
        <v>36</v>
      </c>
      <c r="AC3081" s="9">
        <v>1</v>
      </c>
      <c r="AD3081" s="17">
        <v>45838</v>
      </c>
      <c r="AE3081" s="54">
        <v>777.8</v>
      </c>
      <c r="AF3081" s="54"/>
      <c r="AG3081" s="9" t="s">
        <v>134</v>
      </c>
      <c r="AH3081" s="17">
        <v>45838</v>
      </c>
      <c r="AI3081" s="17"/>
      <c r="AJ3081" s="17"/>
      <c r="AK3081" s="9" t="s">
        <v>866</v>
      </c>
      <c r="AL3081" s="22">
        <v>777.8</v>
      </c>
      <c r="AM3081" s="22"/>
      <c r="AN3081" s="22" t="s">
        <v>874</v>
      </c>
      <c r="AO3081" s="22"/>
      <c r="AP3081" s="22"/>
      <c r="AQ3081" s="22"/>
      <c r="AR3081" s="22"/>
      <c r="AS3081" s="22"/>
      <c r="AT3081" s="22"/>
      <c r="AU3081" s="22"/>
      <c r="AV3081" s="22"/>
      <c r="AW3081" s="42">
        <v>45838</v>
      </c>
      <c r="AX3081" s="36">
        <v>605519</v>
      </c>
      <c r="AY3081" s="93">
        <v>2768.96</v>
      </c>
      <c r="AZ3081" s="36">
        <v>3.56</v>
      </c>
      <c r="BA3081" s="40">
        <f t="shared" si="213"/>
        <v>777.79775280898878</v>
      </c>
      <c r="BB3081" s="22"/>
      <c r="BD3081" s="9"/>
      <c r="CS3081" s="11">
        <f t="shared" si="209"/>
        <v>777.8</v>
      </c>
      <c r="CT3081" s="22">
        <f t="shared" si="210"/>
        <v>777.79775280898878</v>
      </c>
      <c r="CU3081" s="22">
        <f t="shared" si="211"/>
        <v>2.2471910111789839E-3</v>
      </c>
      <c r="CV3081" s="26">
        <f t="shared" si="212"/>
        <v>0</v>
      </c>
    </row>
    <row r="3082" spans="1:100" x14ac:dyDescent="0.2">
      <c r="A3082" s="9" t="s">
        <v>600</v>
      </c>
      <c r="B3082" s="2">
        <v>44</v>
      </c>
      <c r="C3082" s="3" t="s">
        <v>95</v>
      </c>
      <c r="D3082" s="3" t="s">
        <v>96</v>
      </c>
      <c r="E3082" s="2"/>
      <c r="F3082" s="2"/>
      <c r="G3082" s="2" t="s">
        <v>70</v>
      </c>
      <c r="H3082" s="2">
        <v>6</v>
      </c>
      <c r="I3082" s="20">
        <v>107.66</v>
      </c>
      <c r="J3082" s="20">
        <v>47849</v>
      </c>
      <c r="K3082" s="3">
        <v>0</v>
      </c>
      <c r="L3082" s="3" t="s">
        <v>99</v>
      </c>
      <c r="M3082" s="9" t="s">
        <v>0</v>
      </c>
      <c r="N3082" s="9">
        <v>46784467</v>
      </c>
      <c r="O3082" s="9" t="s">
        <v>656</v>
      </c>
      <c r="S3082" s="9" t="s">
        <v>158</v>
      </c>
      <c r="T3082" s="10" t="s">
        <v>70</v>
      </c>
      <c r="U3082" s="10">
        <v>6</v>
      </c>
      <c r="V3082" s="10">
        <v>120.4</v>
      </c>
      <c r="W3082" s="10" t="s">
        <v>710</v>
      </c>
      <c r="X3082" s="17">
        <v>45695</v>
      </c>
      <c r="Y3082" s="17">
        <v>45744</v>
      </c>
      <c r="Z3082" s="19" t="s">
        <v>772</v>
      </c>
      <c r="AA3082" s="207">
        <v>40000</v>
      </c>
      <c r="AB3082" s="9">
        <v>36</v>
      </c>
      <c r="AC3082" s="9">
        <v>2</v>
      </c>
      <c r="AD3082" s="17">
        <v>45869</v>
      </c>
      <c r="AE3082" s="54">
        <v>777.8</v>
      </c>
      <c r="AF3082" s="54"/>
      <c r="AG3082" s="9" t="s">
        <v>134</v>
      </c>
      <c r="AH3082" s="17">
        <v>45869</v>
      </c>
      <c r="AI3082" s="17"/>
      <c r="AJ3082" s="17"/>
      <c r="AK3082" s="9" t="s">
        <v>867</v>
      </c>
      <c r="AL3082" s="22">
        <v>777.8</v>
      </c>
      <c r="AM3082" s="22"/>
      <c r="AN3082" s="22" t="s">
        <v>875</v>
      </c>
      <c r="AO3082" s="22"/>
      <c r="AP3082" s="22"/>
      <c r="AQ3082" s="22"/>
      <c r="AR3082" s="22"/>
      <c r="AS3082" s="22"/>
      <c r="AT3082" s="22"/>
      <c r="AU3082" s="22"/>
      <c r="AV3082" s="22"/>
      <c r="AW3082" s="42">
        <v>45869</v>
      </c>
      <c r="AX3082" s="36">
        <v>364408</v>
      </c>
      <c r="AY3082" s="93">
        <v>2780.31</v>
      </c>
      <c r="AZ3082" s="36">
        <v>3.57</v>
      </c>
      <c r="BA3082" s="40">
        <f t="shared" si="213"/>
        <v>778.79831932773106</v>
      </c>
      <c r="BB3082" s="22"/>
      <c r="BD3082" s="9"/>
      <c r="CS3082" s="11">
        <f t="shared" si="209"/>
        <v>777.8</v>
      </c>
      <c r="CT3082" s="22">
        <f t="shared" si="210"/>
        <v>778.79831932773106</v>
      </c>
      <c r="CU3082" s="22">
        <f t="shared" si="211"/>
        <v>-0.99831932773111021</v>
      </c>
      <c r="CV3082" s="26">
        <f t="shared" si="212"/>
        <v>0</v>
      </c>
    </row>
    <row r="3083" spans="1:100" x14ac:dyDescent="0.2">
      <c r="A3083" s="9" t="s">
        <v>600</v>
      </c>
      <c r="B3083" s="2">
        <v>44</v>
      </c>
      <c r="C3083" s="3" t="s">
        <v>95</v>
      </c>
      <c r="D3083" s="3" t="s">
        <v>96</v>
      </c>
      <c r="E3083" s="2"/>
      <c r="F3083" s="2"/>
      <c r="G3083" s="2" t="s">
        <v>70</v>
      </c>
      <c r="H3083" s="2">
        <v>6</v>
      </c>
      <c r="I3083" s="20">
        <v>107.66</v>
      </c>
      <c r="J3083" s="20">
        <v>47849</v>
      </c>
      <c r="K3083" s="3">
        <v>0</v>
      </c>
      <c r="L3083" s="3" t="s">
        <v>99</v>
      </c>
      <c r="M3083" s="9" t="s">
        <v>0</v>
      </c>
      <c r="N3083" s="9">
        <v>46784467</v>
      </c>
      <c r="O3083" s="9" t="s">
        <v>656</v>
      </c>
      <c r="S3083" s="9" t="s">
        <v>158</v>
      </c>
      <c r="T3083" s="10" t="s">
        <v>70</v>
      </c>
      <c r="U3083" s="10">
        <v>6</v>
      </c>
      <c r="V3083" s="10">
        <v>120.4</v>
      </c>
      <c r="W3083" s="10" t="s">
        <v>710</v>
      </c>
      <c r="X3083" s="17">
        <v>45695</v>
      </c>
      <c r="Y3083" s="17">
        <v>45744</v>
      </c>
      <c r="Z3083" s="19" t="s">
        <v>772</v>
      </c>
      <c r="AA3083" s="207">
        <v>40000</v>
      </c>
      <c r="AB3083" s="9">
        <v>36</v>
      </c>
      <c r="AC3083" s="9">
        <v>3</v>
      </c>
      <c r="AD3083" s="17">
        <v>45900</v>
      </c>
      <c r="AE3083" s="54">
        <v>777.8</v>
      </c>
      <c r="AF3083" s="54"/>
      <c r="AG3083" s="9" t="s">
        <v>134</v>
      </c>
      <c r="AH3083" s="17">
        <v>45901</v>
      </c>
      <c r="AI3083" s="17"/>
      <c r="AJ3083" s="17"/>
      <c r="AK3083" s="9" t="s">
        <v>868</v>
      </c>
      <c r="AL3083" s="22">
        <v>777.8</v>
      </c>
      <c r="AM3083" s="22"/>
      <c r="AN3083" s="22" t="s">
        <v>876</v>
      </c>
      <c r="AO3083" s="22"/>
      <c r="AP3083" s="22"/>
      <c r="AQ3083" s="22"/>
      <c r="AR3083" s="22"/>
      <c r="AS3083" s="22"/>
      <c r="AT3083" s="22"/>
      <c r="AU3083" s="22"/>
      <c r="AV3083" s="22"/>
      <c r="AW3083" s="42">
        <v>45898</v>
      </c>
      <c r="AX3083" s="36">
        <v>456554</v>
      </c>
      <c r="AY3083" s="93">
        <v>2762.67</v>
      </c>
      <c r="AZ3083" s="36">
        <v>3.5510000000000002</v>
      </c>
      <c r="BA3083" s="40">
        <f t="shared" si="213"/>
        <v>777.99774711348914</v>
      </c>
      <c r="BB3083" s="22"/>
      <c r="BD3083" s="9"/>
      <c r="CS3083" s="11">
        <f t="shared" si="209"/>
        <v>777.8</v>
      </c>
      <c r="CT3083" s="22">
        <f t="shared" si="210"/>
        <v>777.99774711348914</v>
      </c>
      <c r="CU3083" s="22">
        <f t="shared" si="211"/>
        <v>-0.19774711348918572</v>
      </c>
      <c r="CV3083" s="26">
        <f t="shared" si="212"/>
        <v>0</v>
      </c>
    </row>
    <row r="3084" spans="1:100" x14ac:dyDescent="0.2">
      <c r="A3084" s="9" t="s">
        <v>600</v>
      </c>
      <c r="B3084" s="2">
        <v>44</v>
      </c>
      <c r="C3084" s="3" t="s">
        <v>95</v>
      </c>
      <c r="D3084" s="3" t="s">
        <v>96</v>
      </c>
      <c r="E3084" s="2"/>
      <c r="F3084" s="2"/>
      <c r="G3084" s="2" t="s">
        <v>70</v>
      </c>
      <c r="H3084" s="2">
        <v>6</v>
      </c>
      <c r="I3084" s="20">
        <v>107.66</v>
      </c>
      <c r="J3084" s="20">
        <v>47849</v>
      </c>
      <c r="K3084" s="3">
        <v>0</v>
      </c>
      <c r="L3084" s="3" t="s">
        <v>99</v>
      </c>
      <c r="M3084" s="9" t="s">
        <v>0</v>
      </c>
      <c r="N3084" s="9">
        <v>46784467</v>
      </c>
      <c r="O3084" s="9" t="s">
        <v>656</v>
      </c>
      <c r="S3084" s="9" t="s">
        <v>158</v>
      </c>
      <c r="T3084" s="10" t="s">
        <v>70</v>
      </c>
      <c r="U3084" s="10">
        <v>6</v>
      </c>
      <c r="V3084" s="10">
        <v>120.4</v>
      </c>
      <c r="W3084" s="10" t="s">
        <v>710</v>
      </c>
      <c r="X3084" s="17">
        <v>45695</v>
      </c>
      <c r="Y3084" s="17">
        <v>45744</v>
      </c>
      <c r="Z3084" s="19" t="s">
        <v>772</v>
      </c>
      <c r="AA3084" s="207">
        <v>40000</v>
      </c>
      <c r="AB3084" s="9">
        <v>36</v>
      </c>
      <c r="AC3084" s="9">
        <v>4</v>
      </c>
      <c r="AD3084" s="17">
        <v>45930</v>
      </c>
      <c r="AE3084" s="54">
        <v>777.8</v>
      </c>
      <c r="AF3084" s="54"/>
      <c r="AG3084" s="9" t="s">
        <v>134</v>
      </c>
      <c r="AH3084" s="17">
        <v>45930</v>
      </c>
      <c r="AI3084" s="17"/>
      <c r="AJ3084" s="17"/>
      <c r="AK3084" s="9" t="s">
        <v>869</v>
      </c>
      <c r="AL3084" s="22">
        <v>777.8</v>
      </c>
      <c r="AM3084" s="22"/>
      <c r="AN3084" s="22" t="s">
        <v>877</v>
      </c>
      <c r="AO3084" s="22"/>
      <c r="AP3084" s="22"/>
      <c r="AQ3084" s="22"/>
      <c r="AR3084" s="22"/>
      <c r="AS3084" s="22"/>
      <c r="AT3084" s="22"/>
      <c r="AU3084" s="22"/>
      <c r="AV3084" s="22"/>
      <c r="AW3084" s="42">
        <v>45930</v>
      </c>
      <c r="AX3084" s="36">
        <v>104113</v>
      </c>
      <c r="AY3084" s="36">
        <v>2722.3</v>
      </c>
      <c r="AZ3084" s="36">
        <v>3.5</v>
      </c>
      <c r="BA3084" s="40">
        <f t="shared" si="213"/>
        <v>777.80000000000007</v>
      </c>
      <c r="BB3084" s="22"/>
      <c r="BD3084" s="9"/>
      <c r="CS3084" s="11">
        <f t="shared" si="209"/>
        <v>777.8</v>
      </c>
      <c r="CT3084" s="22">
        <f t="shared" si="210"/>
        <v>777.80000000000007</v>
      </c>
      <c r="CU3084" s="22">
        <f t="shared" si="211"/>
        <v>0</v>
      </c>
      <c r="CV3084" s="26">
        <f t="shared" si="212"/>
        <v>0</v>
      </c>
    </row>
    <row r="3085" spans="1:100" x14ac:dyDescent="0.2">
      <c r="A3085" s="9" t="s">
        <v>600</v>
      </c>
      <c r="B3085" s="2">
        <v>44</v>
      </c>
      <c r="C3085" s="3" t="s">
        <v>95</v>
      </c>
      <c r="D3085" s="3" t="s">
        <v>96</v>
      </c>
      <c r="E3085" s="2"/>
      <c r="F3085" s="2"/>
      <c r="G3085" s="2" t="s">
        <v>70</v>
      </c>
      <c r="H3085" s="2">
        <v>6</v>
      </c>
      <c r="I3085" s="20">
        <v>107.66</v>
      </c>
      <c r="J3085" s="20">
        <v>47849</v>
      </c>
      <c r="K3085" s="3">
        <v>0</v>
      </c>
      <c r="L3085" s="3" t="s">
        <v>99</v>
      </c>
      <c r="M3085" s="9" t="s">
        <v>0</v>
      </c>
      <c r="N3085" s="9">
        <v>46784467</v>
      </c>
      <c r="O3085" s="9" t="s">
        <v>656</v>
      </c>
      <c r="S3085" s="9" t="s">
        <v>158</v>
      </c>
      <c r="T3085" s="10" t="s">
        <v>70</v>
      </c>
      <c r="U3085" s="10">
        <v>6</v>
      </c>
      <c r="V3085" s="10">
        <v>120.4</v>
      </c>
      <c r="W3085" s="10" t="s">
        <v>710</v>
      </c>
      <c r="X3085" s="17">
        <v>45695</v>
      </c>
      <c r="Y3085" s="17">
        <v>45744</v>
      </c>
      <c r="Z3085" s="19" t="s">
        <v>772</v>
      </c>
      <c r="AA3085" s="207">
        <v>40000</v>
      </c>
      <c r="AB3085" s="9">
        <v>36</v>
      </c>
      <c r="AC3085" s="9">
        <v>5</v>
      </c>
      <c r="AD3085" s="17">
        <v>45961</v>
      </c>
      <c r="AE3085" s="54">
        <v>777.8</v>
      </c>
      <c r="AF3085" s="54"/>
      <c r="AG3085" s="9" t="s">
        <v>134</v>
      </c>
      <c r="AH3085" s="17">
        <v>45930</v>
      </c>
      <c r="AI3085" s="17"/>
      <c r="AJ3085" s="17"/>
      <c r="AK3085" s="9" t="s">
        <v>870</v>
      </c>
      <c r="AL3085" s="22">
        <v>777.8</v>
      </c>
      <c r="AM3085" s="22"/>
      <c r="AN3085" s="22" t="s">
        <v>878</v>
      </c>
      <c r="AO3085" s="22"/>
      <c r="AP3085" s="22"/>
      <c r="AQ3085" s="22"/>
      <c r="AR3085" s="22"/>
      <c r="AS3085" s="22"/>
      <c r="AT3085" s="22"/>
      <c r="AU3085" s="22"/>
      <c r="AV3085" s="22"/>
      <c r="AW3085" s="42">
        <v>45930</v>
      </c>
      <c r="AX3085" s="36">
        <v>104113</v>
      </c>
      <c r="AY3085" s="36">
        <v>2722.3</v>
      </c>
      <c r="AZ3085" s="36">
        <v>3.5</v>
      </c>
      <c r="BA3085" s="40">
        <f t="shared" si="213"/>
        <v>777.80000000000007</v>
      </c>
      <c r="BB3085" s="22"/>
      <c r="BD3085" s="9"/>
      <c r="CS3085" s="11">
        <f t="shared" si="209"/>
        <v>777.8</v>
      </c>
      <c r="CT3085" s="22">
        <f t="shared" si="210"/>
        <v>777.80000000000007</v>
      </c>
      <c r="CU3085" s="22">
        <f t="shared" si="211"/>
        <v>0</v>
      </c>
      <c r="CV3085" s="26">
        <f t="shared" si="212"/>
        <v>0</v>
      </c>
    </row>
    <row r="3086" spans="1:100" x14ac:dyDescent="0.2">
      <c r="A3086" s="9" t="s">
        <v>600</v>
      </c>
      <c r="B3086" s="2">
        <v>44</v>
      </c>
      <c r="C3086" s="3" t="s">
        <v>95</v>
      </c>
      <c r="D3086" s="3" t="s">
        <v>96</v>
      </c>
      <c r="E3086" s="2"/>
      <c r="F3086" s="2"/>
      <c r="G3086" s="2" t="s">
        <v>70</v>
      </c>
      <c r="H3086" s="2">
        <v>6</v>
      </c>
      <c r="I3086" s="20">
        <v>107.66</v>
      </c>
      <c r="J3086" s="20">
        <v>47849</v>
      </c>
      <c r="K3086" s="3">
        <v>0</v>
      </c>
      <c r="L3086" s="3" t="s">
        <v>99</v>
      </c>
      <c r="M3086" s="9" t="s">
        <v>0</v>
      </c>
      <c r="N3086" s="9">
        <v>46784467</v>
      </c>
      <c r="O3086" s="9" t="s">
        <v>656</v>
      </c>
      <c r="S3086" s="9" t="s">
        <v>158</v>
      </c>
      <c r="T3086" s="10" t="s">
        <v>70</v>
      </c>
      <c r="U3086" s="10">
        <v>6</v>
      </c>
      <c r="V3086" s="10">
        <v>120.4</v>
      </c>
      <c r="W3086" s="10" t="s">
        <v>710</v>
      </c>
      <c r="X3086" s="17">
        <v>45695</v>
      </c>
      <c r="Y3086" s="17">
        <v>45744</v>
      </c>
      <c r="Z3086" s="19" t="s">
        <v>772</v>
      </c>
      <c r="AA3086" s="207">
        <v>40000</v>
      </c>
      <c r="AB3086" s="9">
        <v>36</v>
      </c>
      <c r="AC3086" s="9">
        <v>6</v>
      </c>
      <c r="AD3086" s="17">
        <v>45991</v>
      </c>
      <c r="AE3086" s="54">
        <v>777.8</v>
      </c>
      <c r="AF3086" s="54"/>
      <c r="AL3086" s="22"/>
      <c r="AM3086" s="22"/>
      <c r="AN3086" s="22"/>
      <c r="AO3086" s="22"/>
      <c r="AP3086" s="22"/>
      <c r="AQ3086" s="22"/>
      <c r="AR3086" s="22"/>
      <c r="AS3086" s="22"/>
      <c r="AT3086" s="22"/>
      <c r="AU3086" s="22"/>
      <c r="AV3086" s="22"/>
      <c r="AW3086" s="9"/>
      <c r="BA3086" s="22"/>
      <c r="BB3086" s="22"/>
      <c r="BD3086" s="9"/>
      <c r="CS3086" s="11">
        <f t="shared" si="209"/>
        <v>0</v>
      </c>
      <c r="CT3086" s="22">
        <f t="shared" si="210"/>
        <v>0</v>
      </c>
      <c r="CU3086" s="22">
        <f t="shared" si="211"/>
        <v>0</v>
      </c>
      <c r="CV3086" s="26">
        <f t="shared" si="212"/>
        <v>777.8</v>
      </c>
    </row>
    <row r="3087" spans="1:100" x14ac:dyDescent="0.2">
      <c r="A3087" s="9" t="s">
        <v>600</v>
      </c>
      <c r="B3087" s="2">
        <v>44</v>
      </c>
      <c r="C3087" s="3" t="s">
        <v>95</v>
      </c>
      <c r="D3087" s="3" t="s">
        <v>96</v>
      </c>
      <c r="E3087" s="2"/>
      <c r="F3087" s="2"/>
      <c r="G3087" s="2" t="s">
        <v>70</v>
      </c>
      <c r="H3087" s="2">
        <v>6</v>
      </c>
      <c r="I3087" s="20">
        <v>107.66</v>
      </c>
      <c r="J3087" s="20">
        <v>47849</v>
      </c>
      <c r="K3087" s="3">
        <v>0</v>
      </c>
      <c r="L3087" s="3" t="s">
        <v>99</v>
      </c>
      <c r="M3087" s="9" t="s">
        <v>0</v>
      </c>
      <c r="N3087" s="9">
        <v>46784467</v>
      </c>
      <c r="O3087" s="9" t="s">
        <v>656</v>
      </c>
      <c r="S3087" s="9" t="s">
        <v>158</v>
      </c>
      <c r="T3087" s="10" t="s">
        <v>70</v>
      </c>
      <c r="U3087" s="10">
        <v>6</v>
      </c>
      <c r="V3087" s="10">
        <v>120.4</v>
      </c>
      <c r="W3087" s="10" t="s">
        <v>710</v>
      </c>
      <c r="X3087" s="17">
        <v>45695</v>
      </c>
      <c r="Y3087" s="17">
        <v>45744</v>
      </c>
      <c r="Z3087" s="19" t="s">
        <v>772</v>
      </c>
      <c r="AA3087" s="207">
        <v>40000</v>
      </c>
      <c r="AB3087" s="9">
        <v>36</v>
      </c>
      <c r="AC3087" s="9">
        <v>7</v>
      </c>
      <c r="AD3087" s="17">
        <v>46022</v>
      </c>
      <c r="AE3087" s="54">
        <v>777.8</v>
      </c>
      <c r="AF3087" s="54"/>
      <c r="AL3087" s="22"/>
      <c r="AM3087" s="22"/>
      <c r="AN3087" s="22"/>
      <c r="AO3087" s="22"/>
      <c r="AP3087" s="22"/>
      <c r="AQ3087" s="22"/>
      <c r="AR3087" s="22"/>
      <c r="AS3087" s="22"/>
      <c r="AT3087" s="22"/>
      <c r="AU3087" s="22"/>
      <c r="AV3087" s="22"/>
      <c r="AW3087" s="9"/>
      <c r="BA3087" s="22"/>
      <c r="BB3087" s="22"/>
      <c r="BD3087" s="9"/>
      <c r="CS3087" s="11">
        <f t="shared" si="209"/>
        <v>0</v>
      </c>
      <c r="CT3087" s="22">
        <f t="shared" si="210"/>
        <v>0</v>
      </c>
      <c r="CU3087" s="22">
        <f t="shared" si="211"/>
        <v>0</v>
      </c>
      <c r="CV3087" s="26">
        <f t="shared" si="212"/>
        <v>777.8</v>
      </c>
    </row>
    <row r="3088" spans="1:100" x14ac:dyDescent="0.2">
      <c r="A3088" s="9" t="s">
        <v>600</v>
      </c>
      <c r="B3088" s="2">
        <v>44</v>
      </c>
      <c r="C3088" s="3" t="s">
        <v>95</v>
      </c>
      <c r="D3088" s="3" t="s">
        <v>96</v>
      </c>
      <c r="E3088" s="2"/>
      <c r="F3088" s="2"/>
      <c r="G3088" s="2" t="s">
        <v>70</v>
      </c>
      <c r="H3088" s="2">
        <v>6</v>
      </c>
      <c r="I3088" s="20">
        <v>107.66</v>
      </c>
      <c r="J3088" s="20">
        <v>47849</v>
      </c>
      <c r="K3088" s="3">
        <v>0</v>
      </c>
      <c r="L3088" s="3" t="s">
        <v>99</v>
      </c>
      <c r="M3088" s="9" t="s">
        <v>0</v>
      </c>
      <c r="N3088" s="9">
        <v>46784467</v>
      </c>
      <c r="O3088" s="9" t="s">
        <v>656</v>
      </c>
      <c r="S3088" s="9" t="s">
        <v>158</v>
      </c>
      <c r="T3088" s="10" t="s">
        <v>70</v>
      </c>
      <c r="U3088" s="10">
        <v>6</v>
      </c>
      <c r="V3088" s="10">
        <v>120.4</v>
      </c>
      <c r="W3088" s="10" t="s">
        <v>710</v>
      </c>
      <c r="X3088" s="17">
        <v>45695</v>
      </c>
      <c r="Y3088" s="17">
        <v>45744</v>
      </c>
      <c r="Z3088" s="19" t="s">
        <v>772</v>
      </c>
      <c r="AA3088" s="207">
        <v>40000</v>
      </c>
      <c r="AB3088" s="9">
        <v>36</v>
      </c>
      <c r="AC3088" s="9">
        <v>8</v>
      </c>
      <c r="AD3088" s="17">
        <v>46053</v>
      </c>
      <c r="AE3088" s="54">
        <v>777.8</v>
      </c>
      <c r="AF3088" s="54"/>
      <c r="AL3088" s="22"/>
      <c r="AM3088" s="22"/>
      <c r="AN3088" s="22"/>
      <c r="AO3088" s="22"/>
      <c r="AP3088" s="22"/>
      <c r="AQ3088" s="22"/>
      <c r="AR3088" s="22"/>
      <c r="AS3088" s="22"/>
      <c r="AT3088" s="22"/>
      <c r="AU3088" s="22"/>
      <c r="AV3088" s="22"/>
      <c r="AW3088" s="9"/>
      <c r="BA3088" s="22"/>
      <c r="BB3088" s="22"/>
      <c r="BD3088" s="9"/>
      <c r="CS3088" s="11">
        <f t="shared" si="209"/>
        <v>0</v>
      </c>
      <c r="CT3088" s="22">
        <f t="shared" si="210"/>
        <v>0</v>
      </c>
      <c r="CU3088" s="22">
        <f t="shared" si="211"/>
        <v>0</v>
      </c>
      <c r="CV3088" s="26">
        <f t="shared" si="212"/>
        <v>777.8</v>
      </c>
    </row>
    <row r="3089" spans="1:100" x14ac:dyDescent="0.2">
      <c r="A3089" s="9" t="s">
        <v>600</v>
      </c>
      <c r="B3089" s="2">
        <v>44</v>
      </c>
      <c r="C3089" s="3" t="s">
        <v>95</v>
      </c>
      <c r="D3089" s="3" t="s">
        <v>96</v>
      </c>
      <c r="E3089" s="2"/>
      <c r="F3089" s="2"/>
      <c r="G3089" s="2" t="s">
        <v>70</v>
      </c>
      <c r="H3089" s="2">
        <v>6</v>
      </c>
      <c r="I3089" s="20">
        <v>107.66</v>
      </c>
      <c r="J3089" s="20">
        <v>47849</v>
      </c>
      <c r="K3089" s="3">
        <v>0</v>
      </c>
      <c r="L3089" s="3" t="s">
        <v>99</v>
      </c>
      <c r="M3089" s="9" t="s">
        <v>0</v>
      </c>
      <c r="N3089" s="9">
        <v>46784467</v>
      </c>
      <c r="O3089" s="9" t="s">
        <v>656</v>
      </c>
      <c r="S3089" s="9" t="s">
        <v>158</v>
      </c>
      <c r="T3089" s="10" t="s">
        <v>70</v>
      </c>
      <c r="U3089" s="10">
        <v>6</v>
      </c>
      <c r="V3089" s="10">
        <v>120.4</v>
      </c>
      <c r="W3089" s="10" t="s">
        <v>710</v>
      </c>
      <c r="X3089" s="17">
        <v>45695</v>
      </c>
      <c r="Y3089" s="17">
        <v>45744</v>
      </c>
      <c r="Z3089" s="19" t="s">
        <v>772</v>
      </c>
      <c r="AA3089" s="207">
        <v>40000</v>
      </c>
      <c r="AB3089" s="9">
        <v>36</v>
      </c>
      <c r="AC3089" s="9">
        <v>9</v>
      </c>
      <c r="AD3089" s="17">
        <v>46081</v>
      </c>
      <c r="AE3089" s="54">
        <v>777.8</v>
      </c>
      <c r="AF3089" s="54"/>
      <c r="AL3089" s="22"/>
      <c r="AM3089" s="22"/>
      <c r="AN3089" s="22"/>
      <c r="AO3089" s="22"/>
      <c r="AP3089" s="22"/>
      <c r="AQ3089" s="22"/>
      <c r="AR3089" s="22"/>
      <c r="AS3089" s="22"/>
      <c r="AT3089" s="22"/>
      <c r="AU3089" s="22"/>
      <c r="AV3089" s="22"/>
      <c r="AW3089" s="17"/>
      <c r="AX3089" s="86"/>
      <c r="BA3089" s="22"/>
      <c r="BB3089" s="22"/>
      <c r="BD3089" s="9"/>
      <c r="CS3089" s="11">
        <f t="shared" si="209"/>
        <v>0</v>
      </c>
      <c r="CT3089" s="22">
        <f t="shared" si="210"/>
        <v>0</v>
      </c>
      <c r="CU3089" s="22">
        <f t="shared" si="211"/>
        <v>0</v>
      </c>
      <c r="CV3089" s="26">
        <f t="shared" si="212"/>
        <v>777.8</v>
      </c>
    </row>
    <row r="3090" spans="1:100" x14ac:dyDescent="0.2">
      <c r="A3090" s="9" t="s">
        <v>600</v>
      </c>
      <c r="B3090" s="2">
        <v>44</v>
      </c>
      <c r="C3090" s="3" t="s">
        <v>95</v>
      </c>
      <c r="D3090" s="3" t="s">
        <v>96</v>
      </c>
      <c r="E3090" s="2"/>
      <c r="F3090" s="2"/>
      <c r="G3090" s="2" t="s">
        <v>70</v>
      </c>
      <c r="H3090" s="2">
        <v>6</v>
      </c>
      <c r="I3090" s="20">
        <v>107.66</v>
      </c>
      <c r="J3090" s="20">
        <v>47849</v>
      </c>
      <c r="K3090" s="3">
        <v>0</v>
      </c>
      <c r="L3090" s="3" t="s">
        <v>99</v>
      </c>
      <c r="M3090" s="9" t="s">
        <v>0</v>
      </c>
      <c r="N3090" s="9">
        <v>46784467</v>
      </c>
      <c r="O3090" s="9" t="s">
        <v>656</v>
      </c>
      <c r="S3090" s="9" t="s">
        <v>158</v>
      </c>
      <c r="T3090" s="10" t="s">
        <v>70</v>
      </c>
      <c r="U3090" s="10">
        <v>6</v>
      </c>
      <c r="V3090" s="10">
        <v>120.4</v>
      </c>
      <c r="W3090" s="10" t="s">
        <v>710</v>
      </c>
      <c r="X3090" s="17">
        <v>45695</v>
      </c>
      <c r="Y3090" s="17">
        <v>45744</v>
      </c>
      <c r="Z3090" s="19" t="s">
        <v>772</v>
      </c>
      <c r="AA3090" s="207">
        <v>40000</v>
      </c>
      <c r="AB3090" s="9">
        <v>36</v>
      </c>
      <c r="AC3090" s="9">
        <v>10</v>
      </c>
      <c r="AD3090" s="17">
        <v>46112</v>
      </c>
      <c r="AE3090" s="54">
        <v>777.8</v>
      </c>
      <c r="AF3090" s="54"/>
      <c r="AL3090" s="22"/>
      <c r="AM3090" s="22"/>
      <c r="AN3090" s="22"/>
      <c r="AO3090" s="22"/>
      <c r="AP3090" s="22"/>
      <c r="AQ3090" s="22"/>
      <c r="AR3090" s="22"/>
      <c r="AS3090" s="22"/>
      <c r="AT3090" s="22"/>
      <c r="AU3090" s="22"/>
      <c r="AV3090" s="22"/>
      <c r="AW3090" s="9"/>
      <c r="BA3090" s="22"/>
      <c r="BB3090" s="22"/>
      <c r="BD3090" s="9"/>
      <c r="CS3090" s="11">
        <f t="shared" si="209"/>
        <v>0</v>
      </c>
      <c r="CT3090" s="22">
        <f t="shared" si="210"/>
        <v>0</v>
      </c>
      <c r="CU3090" s="22">
        <f t="shared" si="211"/>
        <v>0</v>
      </c>
      <c r="CV3090" s="26">
        <f t="shared" si="212"/>
        <v>777.8</v>
      </c>
    </row>
    <row r="3091" spans="1:100" x14ac:dyDescent="0.2">
      <c r="A3091" s="9" t="s">
        <v>600</v>
      </c>
      <c r="B3091" s="2">
        <v>44</v>
      </c>
      <c r="C3091" s="3" t="s">
        <v>95</v>
      </c>
      <c r="D3091" s="3" t="s">
        <v>96</v>
      </c>
      <c r="E3091" s="2"/>
      <c r="F3091" s="2"/>
      <c r="G3091" s="2" t="s">
        <v>70</v>
      </c>
      <c r="H3091" s="2">
        <v>6</v>
      </c>
      <c r="I3091" s="20">
        <v>107.66</v>
      </c>
      <c r="J3091" s="20">
        <v>47849</v>
      </c>
      <c r="K3091" s="3">
        <v>0</v>
      </c>
      <c r="L3091" s="3" t="s">
        <v>99</v>
      </c>
      <c r="M3091" s="9" t="s">
        <v>0</v>
      </c>
      <c r="N3091" s="9">
        <v>46784467</v>
      </c>
      <c r="O3091" s="9" t="s">
        <v>656</v>
      </c>
      <c r="S3091" s="9" t="s">
        <v>158</v>
      </c>
      <c r="T3091" s="10" t="s">
        <v>70</v>
      </c>
      <c r="U3091" s="10">
        <v>6</v>
      </c>
      <c r="V3091" s="10">
        <v>120.4</v>
      </c>
      <c r="W3091" s="10" t="s">
        <v>710</v>
      </c>
      <c r="X3091" s="17">
        <v>45695</v>
      </c>
      <c r="Y3091" s="17">
        <v>45744</v>
      </c>
      <c r="Z3091" s="19" t="s">
        <v>772</v>
      </c>
      <c r="AA3091" s="207">
        <v>40000</v>
      </c>
      <c r="AB3091" s="9">
        <v>36</v>
      </c>
      <c r="AC3091" s="9">
        <v>11</v>
      </c>
      <c r="AD3091" s="17">
        <v>46142</v>
      </c>
      <c r="AE3091" s="54">
        <v>777.8</v>
      </c>
      <c r="AF3091" s="54"/>
      <c r="AL3091" s="22"/>
      <c r="AM3091" s="22"/>
      <c r="AN3091" s="22"/>
      <c r="AO3091" s="22"/>
      <c r="AP3091" s="22"/>
      <c r="AQ3091" s="22"/>
      <c r="AR3091" s="22"/>
      <c r="AS3091" s="22"/>
      <c r="AT3091" s="22"/>
      <c r="AU3091" s="22"/>
      <c r="AV3091" s="22"/>
      <c r="AW3091" s="9"/>
      <c r="BA3091" s="22"/>
      <c r="BB3091" s="22"/>
      <c r="BD3091" s="9"/>
      <c r="CS3091" s="11">
        <f t="shared" si="209"/>
        <v>0</v>
      </c>
      <c r="CT3091" s="22">
        <f t="shared" si="210"/>
        <v>0</v>
      </c>
      <c r="CU3091" s="22">
        <f t="shared" si="211"/>
        <v>0</v>
      </c>
      <c r="CV3091" s="26">
        <f t="shared" si="212"/>
        <v>777.8</v>
      </c>
    </row>
    <row r="3092" spans="1:100" x14ac:dyDescent="0.2">
      <c r="A3092" s="9" t="s">
        <v>600</v>
      </c>
      <c r="B3092" s="2">
        <v>44</v>
      </c>
      <c r="C3092" s="3" t="s">
        <v>95</v>
      </c>
      <c r="D3092" s="3" t="s">
        <v>96</v>
      </c>
      <c r="E3092" s="2"/>
      <c r="F3092" s="2"/>
      <c r="G3092" s="2" t="s">
        <v>70</v>
      </c>
      <c r="H3092" s="2">
        <v>6</v>
      </c>
      <c r="I3092" s="20">
        <v>107.66</v>
      </c>
      <c r="J3092" s="20">
        <v>47849</v>
      </c>
      <c r="K3092" s="3">
        <v>0</v>
      </c>
      <c r="L3092" s="3" t="s">
        <v>99</v>
      </c>
      <c r="M3092" s="9" t="s">
        <v>0</v>
      </c>
      <c r="N3092" s="9">
        <v>46784467</v>
      </c>
      <c r="O3092" s="9" t="s">
        <v>656</v>
      </c>
      <c r="S3092" s="9" t="s">
        <v>158</v>
      </c>
      <c r="T3092" s="10" t="s">
        <v>70</v>
      </c>
      <c r="U3092" s="10">
        <v>6</v>
      </c>
      <c r="V3092" s="10">
        <v>120.4</v>
      </c>
      <c r="W3092" s="10" t="s">
        <v>710</v>
      </c>
      <c r="X3092" s="17">
        <v>45695</v>
      </c>
      <c r="Y3092" s="17">
        <v>45744</v>
      </c>
      <c r="Z3092" s="19" t="s">
        <v>772</v>
      </c>
      <c r="AA3092" s="207">
        <v>40000</v>
      </c>
      <c r="AB3092" s="9">
        <v>36</v>
      </c>
      <c r="AC3092" s="9">
        <v>12</v>
      </c>
      <c r="AD3092" s="17">
        <v>46173</v>
      </c>
      <c r="AE3092" s="54">
        <v>777.8</v>
      </c>
      <c r="AF3092" s="54"/>
      <c r="AL3092" s="22"/>
      <c r="AM3092" s="22"/>
      <c r="AN3092" s="22"/>
      <c r="AO3092" s="22"/>
      <c r="AP3092" s="22"/>
      <c r="AQ3092" s="22"/>
      <c r="AR3092" s="22"/>
      <c r="AS3092" s="22"/>
      <c r="AT3092" s="22"/>
      <c r="AU3092" s="22"/>
      <c r="AV3092" s="22"/>
      <c r="AW3092" s="9"/>
      <c r="BA3092" s="22"/>
      <c r="BB3092" s="22"/>
      <c r="BD3092" s="9"/>
      <c r="CS3092" s="11">
        <f t="shared" si="209"/>
        <v>0</v>
      </c>
      <c r="CT3092" s="22">
        <f t="shared" si="210"/>
        <v>0</v>
      </c>
      <c r="CU3092" s="22">
        <f t="shared" si="211"/>
        <v>0</v>
      </c>
      <c r="CV3092" s="26">
        <f t="shared" si="212"/>
        <v>777.8</v>
      </c>
    </row>
    <row r="3093" spans="1:100" x14ac:dyDescent="0.2">
      <c r="A3093" s="9" t="s">
        <v>600</v>
      </c>
      <c r="B3093" s="2">
        <v>44</v>
      </c>
      <c r="C3093" s="3" t="s">
        <v>95</v>
      </c>
      <c r="D3093" s="3" t="s">
        <v>96</v>
      </c>
      <c r="E3093" s="2"/>
      <c r="F3093" s="2"/>
      <c r="G3093" s="2" t="s">
        <v>70</v>
      </c>
      <c r="H3093" s="2">
        <v>6</v>
      </c>
      <c r="I3093" s="20">
        <v>107.66</v>
      </c>
      <c r="J3093" s="20">
        <v>47849</v>
      </c>
      <c r="K3093" s="3">
        <v>0</v>
      </c>
      <c r="L3093" s="3" t="s">
        <v>99</v>
      </c>
      <c r="M3093" s="9" t="s">
        <v>0</v>
      </c>
      <c r="N3093" s="9">
        <v>46784467</v>
      </c>
      <c r="O3093" s="9" t="s">
        <v>656</v>
      </c>
      <c r="S3093" s="9" t="s">
        <v>158</v>
      </c>
      <c r="T3093" s="10" t="s">
        <v>70</v>
      </c>
      <c r="U3093" s="10">
        <v>6</v>
      </c>
      <c r="V3093" s="10">
        <v>120.4</v>
      </c>
      <c r="W3093" s="10" t="s">
        <v>710</v>
      </c>
      <c r="X3093" s="17">
        <v>45695</v>
      </c>
      <c r="Y3093" s="17">
        <v>45744</v>
      </c>
      <c r="Z3093" s="19" t="s">
        <v>772</v>
      </c>
      <c r="AA3093" s="207">
        <v>40000</v>
      </c>
      <c r="AB3093" s="9">
        <v>36</v>
      </c>
      <c r="AC3093" s="9">
        <v>13</v>
      </c>
      <c r="AD3093" s="17">
        <v>46203</v>
      </c>
      <c r="AE3093" s="54">
        <v>777.8</v>
      </c>
      <c r="AF3093" s="54"/>
      <c r="AL3093" s="22"/>
      <c r="AM3093" s="22"/>
      <c r="AN3093" s="22"/>
      <c r="AO3093" s="22"/>
      <c r="AP3093" s="22"/>
      <c r="AQ3093" s="22"/>
      <c r="AR3093" s="22"/>
      <c r="AS3093" s="22"/>
      <c r="AT3093" s="22"/>
      <c r="AU3093" s="22"/>
      <c r="AV3093" s="22"/>
      <c r="AW3093" s="9"/>
      <c r="BA3093" s="22"/>
      <c r="BB3093" s="22"/>
      <c r="BD3093" s="9"/>
      <c r="CS3093" s="11">
        <f t="shared" si="209"/>
        <v>0</v>
      </c>
      <c r="CT3093" s="22">
        <f t="shared" si="210"/>
        <v>0</v>
      </c>
      <c r="CU3093" s="22">
        <f t="shared" si="211"/>
        <v>0</v>
      </c>
      <c r="CV3093" s="26">
        <f t="shared" si="212"/>
        <v>777.8</v>
      </c>
    </row>
    <row r="3094" spans="1:100" x14ac:dyDescent="0.2">
      <c r="A3094" s="9" t="s">
        <v>600</v>
      </c>
      <c r="B3094" s="2">
        <v>44</v>
      </c>
      <c r="C3094" s="3" t="s">
        <v>95</v>
      </c>
      <c r="D3094" s="3" t="s">
        <v>96</v>
      </c>
      <c r="E3094" s="2"/>
      <c r="F3094" s="2"/>
      <c r="G3094" s="2" t="s">
        <v>70</v>
      </c>
      <c r="H3094" s="2">
        <v>6</v>
      </c>
      <c r="I3094" s="20">
        <v>107.66</v>
      </c>
      <c r="J3094" s="20">
        <v>47849</v>
      </c>
      <c r="K3094" s="3">
        <v>0</v>
      </c>
      <c r="L3094" s="3" t="s">
        <v>99</v>
      </c>
      <c r="M3094" s="9" t="s">
        <v>0</v>
      </c>
      <c r="N3094" s="9">
        <v>46784467</v>
      </c>
      <c r="O3094" s="9" t="s">
        <v>656</v>
      </c>
      <c r="S3094" s="9" t="s">
        <v>158</v>
      </c>
      <c r="T3094" s="10" t="s">
        <v>70</v>
      </c>
      <c r="U3094" s="10">
        <v>6</v>
      </c>
      <c r="V3094" s="10">
        <v>120.4</v>
      </c>
      <c r="W3094" s="10" t="s">
        <v>710</v>
      </c>
      <c r="X3094" s="17">
        <v>45695</v>
      </c>
      <c r="Y3094" s="17">
        <v>45744</v>
      </c>
      <c r="Z3094" s="19" t="s">
        <v>772</v>
      </c>
      <c r="AA3094" s="207">
        <v>40000</v>
      </c>
      <c r="AB3094" s="9">
        <v>36</v>
      </c>
      <c r="AC3094" s="9">
        <v>14</v>
      </c>
      <c r="AD3094" s="17">
        <v>46234</v>
      </c>
      <c r="AE3094" s="54">
        <v>777.8</v>
      </c>
      <c r="AF3094" s="54"/>
      <c r="AL3094" s="22"/>
      <c r="AM3094" s="22"/>
      <c r="AN3094" s="22"/>
      <c r="AO3094" s="22"/>
      <c r="AP3094" s="22"/>
      <c r="AQ3094" s="22"/>
      <c r="AR3094" s="22"/>
      <c r="AS3094" s="22"/>
      <c r="AT3094" s="22"/>
      <c r="AU3094" s="22"/>
      <c r="AV3094" s="22"/>
      <c r="AW3094" s="9"/>
      <c r="BA3094" s="22"/>
      <c r="BB3094" s="22"/>
      <c r="BD3094" s="9"/>
      <c r="CS3094" s="11">
        <f t="shared" si="209"/>
        <v>0</v>
      </c>
      <c r="CT3094" s="22">
        <f t="shared" si="210"/>
        <v>0</v>
      </c>
      <c r="CU3094" s="22">
        <f t="shared" si="211"/>
        <v>0</v>
      </c>
      <c r="CV3094" s="26">
        <f t="shared" si="212"/>
        <v>777.8</v>
      </c>
    </row>
    <row r="3095" spans="1:100" x14ac:dyDescent="0.2">
      <c r="A3095" s="9" t="s">
        <v>600</v>
      </c>
      <c r="B3095" s="2">
        <v>44</v>
      </c>
      <c r="C3095" s="3" t="s">
        <v>95</v>
      </c>
      <c r="D3095" s="3" t="s">
        <v>96</v>
      </c>
      <c r="E3095" s="2"/>
      <c r="F3095" s="2"/>
      <c r="G3095" s="2" t="s">
        <v>70</v>
      </c>
      <c r="H3095" s="2">
        <v>6</v>
      </c>
      <c r="I3095" s="20">
        <v>107.66</v>
      </c>
      <c r="J3095" s="20">
        <v>47849</v>
      </c>
      <c r="K3095" s="3">
        <v>0</v>
      </c>
      <c r="L3095" s="3" t="s">
        <v>99</v>
      </c>
      <c r="M3095" s="9" t="s">
        <v>0</v>
      </c>
      <c r="N3095" s="9">
        <v>46784467</v>
      </c>
      <c r="O3095" s="9" t="s">
        <v>656</v>
      </c>
      <c r="S3095" s="9" t="s">
        <v>158</v>
      </c>
      <c r="T3095" s="10" t="s">
        <v>70</v>
      </c>
      <c r="U3095" s="10">
        <v>6</v>
      </c>
      <c r="V3095" s="10">
        <v>120.4</v>
      </c>
      <c r="W3095" s="10" t="s">
        <v>710</v>
      </c>
      <c r="X3095" s="17">
        <v>45695</v>
      </c>
      <c r="Y3095" s="17">
        <v>45744</v>
      </c>
      <c r="Z3095" s="19" t="s">
        <v>772</v>
      </c>
      <c r="AA3095" s="207">
        <v>40000</v>
      </c>
      <c r="AB3095" s="9">
        <v>36</v>
      </c>
      <c r="AC3095" s="9">
        <v>15</v>
      </c>
      <c r="AD3095" s="17">
        <v>46265</v>
      </c>
      <c r="AE3095" s="54">
        <v>777.8</v>
      </c>
      <c r="AF3095" s="54"/>
      <c r="AL3095" s="22"/>
      <c r="AM3095" s="22"/>
      <c r="AN3095" s="22"/>
      <c r="AO3095" s="22"/>
      <c r="AP3095" s="22"/>
      <c r="AQ3095" s="22"/>
      <c r="AR3095" s="22"/>
      <c r="AS3095" s="22"/>
      <c r="AT3095" s="22"/>
      <c r="AU3095" s="22"/>
      <c r="AV3095" s="22"/>
      <c r="AW3095" s="9"/>
      <c r="BA3095" s="22"/>
      <c r="BB3095" s="22"/>
      <c r="BD3095" s="9"/>
      <c r="CS3095" s="11">
        <f t="shared" si="209"/>
        <v>0</v>
      </c>
      <c r="CT3095" s="22">
        <f t="shared" si="210"/>
        <v>0</v>
      </c>
      <c r="CU3095" s="22">
        <f t="shared" si="211"/>
        <v>0</v>
      </c>
      <c r="CV3095" s="26">
        <f t="shared" si="212"/>
        <v>777.8</v>
      </c>
    </row>
    <row r="3096" spans="1:100" x14ac:dyDescent="0.2">
      <c r="A3096" s="9" t="s">
        <v>600</v>
      </c>
      <c r="B3096" s="2">
        <v>44</v>
      </c>
      <c r="C3096" s="3" t="s">
        <v>95</v>
      </c>
      <c r="D3096" s="3" t="s">
        <v>96</v>
      </c>
      <c r="E3096" s="2"/>
      <c r="F3096" s="2"/>
      <c r="G3096" s="2" t="s">
        <v>70</v>
      </c>
      <c r="H3096" s="2">
        <v>6</v>
      </c>
      <c r="I3096" s="20">
        <v>107.66</v>
      </c>
      <c r="J3096" s="20">
        <v>47849</v>
      </c>
      <c r="K3096" s="3">
        <v>0</v>
      </c>
      <c r="L3096" s="3" t="s">
        <v>99</v>
      </c>
      <c r="M3096" s="9" t="s">
        <v>0</v>
      </c>
      <c r="N3096" s="9">
        <v>46784467</v>
      </c>
      <c r="O3096" s="9" t="s">
        <v>656</v>
      </c>
      <c r="S3096" s="9" t="s">
        <v>158</v>
      </c>
      <c r="T3096" s="10" t="s">
        <v>70</v>
      </c>
      <c r="U3096" s="10">
        <v>6</v>
      </c>
      <c r="V3096" s="10">
        <v>120.4</v>
      </c>
      <c r="W3096" s="10" t="s">
        <v>710</v>
      </c>
      <c r="X3096" s="17">
        <v>45695</v>
      </c>
      <c r="Y3096" s="17">
        <v>45744</v>
      </c>
      <c r="Z3096" s="19" t="s">
        <v>772</v>
      </c>
      <c r="AA3096" s="207">
        <v>40000</v>
      </c>
      <c r="AB3096" s="9">
        <v>36</v>
      </c>
      <c r="AC3096" s="9">
        <v>16</v>
      </c>
      <c r="AD3096" s="17">
        <v>46295</v>
      </c>
      <c r="AE3096" s="54">
        <v>777.8</v>
      </c>
      <c r="AF3096" s="54"/>
      <c r="AL3096" s="22"/>
      <c r="AM3096" s="22"/>
      <c r="AN3096" s="22"/>
      <c r="AO3096" s="22"/>
      <c r="AP3096" s="22"/>
      <c r="AQ3096" s="22"/>
      <c r="AR3096" s="22"/>
      <c r="AS3096" s="22"/>
      <c r="AT3096" s="22"/>
      <c r="AU3096" s="22"/>
      <c r="AV3096" s="22"/>
      <c r="AW3096" s="9"/>
      <c r="BA3096" s="22"/>
      <c r="BB3096" s="22"/>
      <c r="BD3096" s="9"/>
      <c r="CS3096" s="11">
        <f t="shared" si="209"/>
        <v>0</v>
      </c>
      <c r="CT3096" s="22">
        <f t="shared" si="210"/>
        <v>0</v>
      </c>
      <c r="CU3096" s="22">
        <f t="shared" si="211"/>
        <v>0</v>
      </c>
      <c r="CV3096" s="26">
        <f t="shared" si="212"/>
        <v>777.8</v>
      </c>
    </row>
    <row r="3097" spans="1:100" x14ac:dyDescent="0.2">
      <c r="A3097" s="9" t="s">
        <v>600</v>
      </c>
      <c r="B3097" s="2">
        <v>44</v>
      </c>
      <c r="C3097" s="3" t="s">
        <v>95</v>
      </c>
      <c r="D3097" s="3" t="s">
        <v>96</v>
      </c>
      <c r="E3097" s="2"/>
      <c r="F3097" s="2"/>
      <c r="G3097" s="2" t="s">
        <v>70</v>
      </c>
      <c r="H3097" s="2">
        <v>6</v>
      </c>
      <c r="I3097" s="20">
        <v>107.66</v>
      </c>
      <c r="J3097" s="20">
        <v>47849</v>
      </c>
      <c r="K3097" s="3">
        <v>0</v>
      </c>
      <c r="L3097" s="3" t="s">
        <v>99</v>
      </c>
      <c r="M3097" s="9" t="s">
        <v>0</v>
      </c>
      <c r="N3097" s="9">
        <v>46784467</v>
      </c>
      <c r="O3097" s="9" t="s">
        <v>656</v>
      </c>
      <c r="S3097" s="9" t="s">
        <v>158</v>
      </c>
      <c r="T3097" s="10" t="s">
        <v>70</v>
      </c>
      <c r="U3097" s="10">
        <v>6</v>
      </c>
      <c r="V3097" s="10">
        <v>120.4</v>
      </c>
      <c r="W3097" s="10" t="s">
        <v>710</v>
      </c>
      <c r="X3097" s="17">
        <v>45695</v>
      </c>
      <c r="Y3097" s="17">
        <v>45744</v>
      </c>
      <c r="Z3097" s="19" t="s">
        <v>772</v>
      </c>
      <c r="AA3097" s="207">
        <v>40000</v>
      </c>
      <c r="AB3097" s="9">
        <v>36</v>
      </c>
      <c r="AC3097" s="9">
        <v>17</v>
      </c>
      <c r="AD3097" s="17">
        <v>46326</v>
      </c>
      <c r="AE3097" s="54">
        <v>777.8</v>
      </c>
      <c r="AF3097" s="54"/>
      <c r="AL3097" s="22"/>
      <c r="AM3097" s="22"/>
      <c r="AN3097" s="22"/>
      <c r="AO3097" s="22"/>
      <c r="AP3097" s="22"/>
      <c r="AQ3097" s="22"/>
      <c r="AR3097" s="22"/>
      <c r="AS3097" s="22"/>
      <c r="AT3097" s="22"/>
      <c r="AU3097" s="22"/>
      <c r="AV3097" s="22"/>
      <c r="AW3097" s="9"/>
      <c r="BA3097" s="22"/>
      <c r="BB3097" s="22"/>
      <c r="BD3097" s="9"/>
      <c r="CS3097" s="11">
        <f t="shared" si="209"/>
        <v>0</v>
      </c>
      <c r="CT3097" s="22">
        <f t="shared" si="210"/>
        <v>0</v>
      </c>
      <c r="CU3097" s="22">
        <f t="shared" si="211"/>
        <v>0</v>
      </c>
      <c r="CV3097" s="26">
        <f t="shared" si="212"/>
        <v>777.8</v>
      </c>
    </row>
    <row r="3098" spans="1:100" x14ac:dyDescent="0.2">
      <c r="A3098" s="9" t="s">
        <v>600</v>
      </c>
      <c r="B3098" s="2">
        <v>44</v>
      </c>
      <c r="C3098" s="3" t="s">
        <v>95</v>
      </c>
      <c r="D3098" s="3" t="s">
        <v>96</v>
      </c>
      <c r="E3098" s="2"/>
      <c r="F3098" s="2"/>
      <c r="G3098" s="2" t="s">
        <v>70</v>
      </c>
      <c r="H3098" s="2">
        <v>6</v>
      </c>
      <c r="I3098" s="20">
        <v>107.66</v>
      </c>
      <c r="J3098" s="20">
        <v>47849</v>
      </c>
      <c r="K3098" s="3">
        <v>0</v>
      </c>
      <c r="L3098" s="3" t="s">
        <v>99</v>
      </c>
      <c r="M3098" s="9" t="s">
        <v>0</v>
      </c>
      <c r="N3098" s="9">
        <v>46784467</v>
      </c>
      <c r="O3098" s="9" t="s">
        <v>656</v>
      </c>
      <c r="S3098" s="9" t="s">
        <v>158</v>
      </c>
      <c r="T3098" s="10" t="s">
        <v>70</v>
      </c>
      <c r="U3098" s="10">
        <v>6</v>
      </c>
      <c r="V3098" s="10">
        <v>120.4</v>
      </c>
      <c r="W3098" s="10" t="s">
        <v>710</v>
      </c>
      <c r="X3098" s="17">
        <v>45695</v>
      </c>
      <c r="Y3098" s="17">
        <v>45744</v>
      </c>
      <c r="Z3098" s="19" t="s">
        <v>772</v>
      </c>
      <c r="AA3098" s="207">
        <v>40000</v>
      </c>
      <c r="AB3098" s="9">
        <v>36</v>
      </c>
      <c r="AC3098" s="9">
        <v>18</v>
      </c>
      <c r="AD3098" s="17">
        <v>46356</v>
      </c>
      <c r="AE3098" s="54">
        <v>777.8</v>
      </c>
      <c r="AF3098" s="54"/>
      <c r="AL3098" s="22"/>
      <c r="AM3098" s="22"/>
      <c r="AN3098" s="22"/>
      <c r="AO3098" s="22"/>
      <c r="AP3098" s="22"/>
      <c r="AQ3098" s="22"/>
      <c r="AR3098" s="22"/>
      <c r="AS3098" s="22"/>
      <c r="AT3098" s="22"/>
      <c r="AU3098" s="22"/>
      <c r="AV3098" s="22"/>
      <c r="AW3098" s="9"/>
      <c r="BA3098" s="22"/>
      <c r="BB3098" s="22"/>
      <c r="BD3098" s="9"/>
      <c r="CS3098" s="11">
        <f t="shared" si="209"/>
        <v>0</v>
      </c>
      <c r="CT3098" s="22">
        <f t="shared" si="210"/>
        <v>0</v>
      </c>
      <c r="CU3098" s="22">
        <f t="shared" si="211"/>
        <v>0</v>
      </c>
      <c r="CV3098" s="26">
        <f t="shared" si="212"/>
        <v>777.8</v>
      </c>
    </row>
    <row r="3099" spans="1:100" x14ac:dyDescent="0.2">
      <c r="A3099" s="9" t="s">
        <v>600</v>
      </c>
      <c r="B3099" s="2">
        <v>44</v>
      </c>
      <c r="C3099" s="3" t="s">
        <v>95</v>
      </c>
      <c r="D3099" s="3" t="s">
        <v>96</v>
      </c>
      <c r="E3099" s="2"/>
      <c r="F3099" s="2"/>
      <c r="G3099" s="2" t="s">
        <v>70</v>
      </c>
      <c r="H3099" s="2">
        <v>6</v>
      </c>
      <c r="I3099" s="20">
        <v>107.66</v>
      </c>
      <c r="J3099" s="20">
        <v>47849</v>
      </c>
      <c r="K3099" s="3">
        <v>0</v>
      </c>
      <c r="L3099" s="3" t="s">
        <v>99</v>
      </c>
      <c r="M3099" s="9" t="s">
        <v>0</v>
      </c>
      <c r="N3099" s="9">
        <v>46784467</v>
      </c>
      <c r="O3099" s="9" t="s">
        <v>656</v>
      </c>
      <c r="S3099" s="9" t="s">
        <v>158</v>
      </c>
      <c r="T3099" s="10" t="s">
        <v>70</v>
      </c>
      <c r="U3099" s="10">
        <v>6</v>
      </c>
      <c r="V3099" s="10">
        <v>120.4</v>
      </c>
      <c r="W3099" s="10" t="s">
        <v>710</v>
      </c>
      <c r="X3099" s="17">
        <v>45695</v>
      </c>
      <c r="Y3099" s="17">
        <v>45744</v>
      </c>
      <c r="Z3099" s="19" t="s">
        <v>772</v>
      </c>
      <c r="AA3099" s="207">
        <v>40000</v>
      </c>
      <c r="AB3099" s="9">
        <v>36</v>
      </c>
      <c r="AC3099" s="9">
        <v>19</v>
      </c>
      <c r="AD3099" s="17">
        <v>46387</v>
      </c>
      <c r="AE3099" s="54">
        <v>777.8</v>
      </c>
      <c r="AF3099" s="54"/>
      <c r="AL3099" s="22"/>
      <c r="AM3099" s="22"/>
      <c r="AN3099" s="22"/>
      <c r="AO3099" s="22"/>
      <c r="AP3099" s="22"/>
      <c r="AQ3099" s="22"/>
      <c r="AR3099" s="22"/>
      <c r="AS3099" s="22"/>
      <c r="AT3099" s="22"/>
      <c r="AU3099" s="22"/>
      <c r="AV3099" s="22"/>
      <c r="AW3099" s="9"/>
      <c r="BA3099" s="22"/>
      <c r="BB3099" s="22"/>
      <c r="BD3099" s="9"/>
      <c r="CS3099" s="11">
        <f t="shared" si="209"/>
        <v>0</v>
      </c>
      <c r="CT3099" s="22">
        <f t="shared" si="210"/>
        <v>0</v>
      </c>
      <c r="CU3099" s="22">
        <f t="shared" si="211"/>
        <v>0</v>
      </c>
      <c r="CV3099" s="26">
        <f t="shared" si="212"/>
        <v>777.8</v>
      </c>
    </row>
    <row r="3100" spans="1:100" x14ac:dyDescent="0.2">
      <c r="A3100" s="9" t="s">
        <v>600</v>
      </c>
      <c r="B3100" s="2">
        <v>44</v>
      </c>
      <c r="C3100" s="3" t="s">
        <v>95</v>
      </c>
      <c r="D3100" s="3" t="s">
        <v>96</v>
      </c>
      <c r="E3100" s="2"/>
      <c r="F3100" s="2"/>
      <c r="G3100" s="2" t="s">
        <v>70</v>
      </c>
      <c r="H3100" s="2">
        <v>6</v>
      </c>
      <c r="I3100" s="20">
        <v>107.66</v>
      </c>
      <c r="J3100" s="20">
        <v>47849</v>
      </c>
      <c r="K3100" s="3">
        <v>0</v>
      </c>
      <c r="L3100" s="3" t="s">
        <v>99</v>
      </c>
      <c r="M3100" s="9" t="s">
        <v>0</v>
      </c>
      <c r="N3100" s="9">
        <v>46784467</v>
      </c>
      <c r="O3100" s="9" t="s">
        <v>656</v>
      </c>
      <c r="S3100" s="9" t="s">
        <v>158</v>
      </c>
      <c r="T3100" s="10" t="s">
        <v>70</v>
      </c>
      <c r="U3100" s="10">
        <v>6</v>
      </c>
      <c r="V3100" s="10">
        <v>120.4</v>
      </c>
      <c r="W3100" s="10" t="s">
        <v>710</v>
      </c>
      <c r="X3100" s="17">
        <v>45695</v>
      </c>
      <c r="Y3100" s="17">
        <v>45744</v>
      </c>
      <c r="Z3100" s="19" t="s">
        <v>772</v>
      </c>
      <c r="AA3100" s="207">
        <v>40000</v>
      </c>
      <c r="AB3100" s="9">
        <v>36</v>
      </c>
      <c r="AC3100" s="9">
        <v>20</v>
      </c>
      <c r="AD3100" s="17">
        <v>46418</v>
      </c>
      <c r="AE3100" s="54">
        <v>777.8</v>
      </c>
      <c r="AF3100" s="54"/>
      <c r="AL3100" s="22"/>
      <c r="AM3100" s="22"/>
      <c r="AN3100" s="22"/>
      <c r="AO3100" s="22"/>
      <c r="AP3100" s="22"/>
      <c r="AQ3100" s="22"/>
      <c r="AR3100" s="22"/>
      <c r="AS3100" s="22"/>
      <c r="AT3100" s="22"/>
      <c r="AU3100" s="22"/>
      <c r="AV3100" s="22"/>
      <c r="AW3100" s="9"/>
      <c r="BA3100" s="22"/>
      <c r="BB3100" s="22"/>
      <c r="BD3100" s="9"/>
      <c r="CS3100" s="11">
        <f t="shared" ref="CS3100:CS3163" si="214">+AL3100+AT3100</f>
        <v>0</v>
      </c>
      <c r="CT3100" s="22">
        <f t="shared" ref="CT3100:CT3163" si="215">+BA3100+BG3100+BM3100+BS3100+BY3100+CE3100+CK3100+CQ3100</f>
        <v>0</v>
      </c>
      <c r="CU3100" s="22">
        <f t="shared" ref="CU3100:CU3163" si="216">+CS3100-CT3100</f>
        <v>0</v>
      </c>
      <c r="CV3100" s="26">
        <f t="shared" si="212"/>
        <v>777.8</v>
      </c>
    </row>
    <row r="3101" spans="1:100" x14ac:dyDescent="0.2">
      <c r="A3101" s="9" t="s">
        <v>600</v>
      </c>
      <c r="B3101" s="2">
        <v>44</v>
      </c>
      <c r="C3101" s="3" t="s">
        <v>95</v>
      </c>
      <c r="D3101" s="3" t="s">
        <v>96</v>
      </c>
      <c r="E3101" s="2"/>
      <c r="F3101" s="2"/>
      <c r="G3101" s="2" t="s">
        <v>70</v>
      </c>
      <c r="H3101" s="2">
        <v>6</v>
      </c>
      <c r="I3101" s="20">
        <v>107.66</v>
      </c>
      <c r="J3101" s="20">
        <v>47849</v>
      </c>
      <c r="K3101" s="3">
        <v>0</v>
      </c>
      <c r="L3101" s="3" t="s">
        <v>99</v>
      </c>
      <c r="M3101" s="9" t="s">
        <v>0</v>
      </c>
      <c r="N3101" s="9">
        <v>46784467</v>
      </c>
      <c r="O3101" s="9" t="s">
        <v>656</v>
      </c>
      <c r="S3101" s="9" t="s">
        <v>158</v>
      </c>
      <c r="T3101" s="10" t="s">
        <v>70</v>
      </c>
      <c r="U3101" s="10">
        <v>6</v>
      </c>
      <c r="V3101" s="10">
        <v>120.4</v>
      </c>
      <c r="W3101" s="10" t="s">
        <v>710</v>
      </c>
      <c r="X3101" s="17">
        <v>45695</v>
      </c>
      <c r="Y3101" s="17">
        <v>45744</v>
      </c>
      <c r="Z3101" s="19" t="s">
        <v>772</v>
      </c>
      <c r="AA3101" s="207">
        <v>40000</v>
      </c>
      <c r="AB3101" s="9">
        <v>36</v>
      </c>
      <c r="AC3101" s="9">
        <v>21</v>
      </c>
      <c r="AD3101" s="17">
        <v>46446</v>
      </c>
      <c r="AE3101" s="54">
        <v>777.8</v>
      </c>
      <c r="AF3101" s="54"/>
      <c r="AL3101" s="22"/>
      <c r="AM3101" s="22"/>
      <c r="AN3101" s="22"/>
      <c r="AO3101" s="22"/>
      <c r="AP3101" s="22"/>
      <c r="AQ3101" s="22"/>
      <c r="AR3101" s="22"/>
      <c r="AS3101" s="22"/>
      <c r="AT3101" s="22"/>
      <c r="AU3101" s="22"/>
      <c r="AV3101" s="22"/>
      <c r="AW3101" s="9"/>
      <c r="BA3101" s="22"/>
      <c r="BB3101" s="22"/>
      <c r="BD3101" s="9"/>
      <c r="CS3101" s="11">
        <f t="shared" si="214"/>
        <v>0</v>
      </c>
      <c r="CT3101" s="22">
        <f t="shared" si="215"/>
        <v>0</v>
      </c>
      <c r="CU3101" s="22">
        <f t="shared" si="216"/>
        <v>0</v>
      </c>
      <c r="CV3101" s="26">
        <f t="shared" si="212"/>
        <v>777.8</v>
      </c>
    </row>
    <row r="3102" spans="1:100" x14ac:dyDescent="0.2">
      <c r="A3102" s="9" t="s">
        <v>600</v>
      </c>
      <c r="B3102" s="2">
        <v>44</v>
      </c>
      <c r="C3102" s="3" t="s">
        <v>95</v>
      </c>
      <c r="D3102" s="3" t="s">
        <v>96</v>
      </c>
      <c r="E3102" s="2"/>
      <c r="F3102" s="2"/>
      <c r="G3102" s="2" t="s">
        <v>70</v>
      </c>
      <c r="H3102" s="2">
        <v>6</v>
      </c>
      <c r="I3102" s="20">
        <v>107.66</v>
      </c>
      <c r="J3102" s="20">
        <v>47849</v>
      </c>
      <c r="K3102" s="3">
        <v>0</v>
      </c>
      <c r="L3102" s="3" t="s">
        <v>99</v>
      </c>
      <c r="M3102" s="9" t="s">
        <v>0</v>
      </c>
      <c r="N3102" s="9">
        <v>46784467</v>
      </c>
      <c r="O3102" s="9" t="s">
        <v>656</v>
      </c>
      <c r="S3102" s="9" t="s">
        <v>158</v>
      </c>
      <c r="T3102" s="10" t="s">
        <v>70</v>
      </c>
      <c r="U3102" s="10">
        <v>6</v>
      </c>
      <c r="V3102" s="10">
        <v>120.4</v>
      </c>
      <c r="W3102" s="10" t="s">
        <v>710</v>
      </c>
      <c r="X3102" s="17">
        <v>45695</v>
      </c>
      <c r="Y3102" s="17">
        <v>45744</v>
      </c>
      <c r="Z3102" s="19" t="s">
        <v>772</v>
      </c>
      <c r="AA3102" s="207">
        <v>40000</v>
      </c>
      <c r="AB3102" s="9">
        <v>36</v>
      </c>
      <c r="AC3102" s="9">
        <v>22</v>
      </c>
      <c r="AD3102" s="17">
        <v>46477</v>
      </c>
      <c r="AE3102" s="54">
        <v>777.8</v>
      </c>
      <c r="AF3102" s="54"/>
      <c r="AL3102" s="22"/>
      <c r="AM3102" s="22"/>
      <c r="AN3102" s="22"/>
      <c r="AO3102" s="22"/>
      <c r="AP3102" s="22"/>
      <c r="AQ3102" s="22"/>
      <c r="AR3102" s="22"/>
      <c r="AS3102" s="22"/>
      <c r="AT3102" s="22"/>
      <c r="AU3102" s="22"/>
      <c r="AV3102" s="22"/>
      <c r="AW3102" s="9"/>
      <c r="BA3102" s="22"/>
      <c r="BB3102" s="22"/>
      <c r="BD3102" s="9"/>
      <c r="CS3102" s="11">
        <f t="shared" si="214"/>
        <v>0</v>
      </c>
      <c r="CT3102" s="22">
        <f t="shared" si="215"/>
        <v>0</v>
      </c>
      <c r="CU3102" s="22">
        <f t="shared" si="216"/>
        <v>0</v>
      </c>
      <c r="CV3102" s="26">
        <f t="shared" si="212"/>
        <v>777.8</v>
      </c>
    </row>
    <row r="3103" spans="1:100" x14ac:dyDescent="0.2">
      <c r="A3103" s="9" t="s">
        <v>600</v>
      </c>
      <c r="B3103" s="2">
        <v>44</v>
      </c>
      <c r="C3103" s="3" t="s">
        <v>95</v>
      </c>
      <c r="D3103" s="3" t="s">
        <v>96</v>
      </c>
      <c r="E3103" s="2"/>
      <c r="F3103" s="2"/>
      <c r="G3103" s="2" t="s">
        <v>70</v>
      </c>
      <c r="H3103" s="2">
        <v>6</v>
      </c>
      <c r="I3103" s="20">
        <v>107.66</v>
      </c>
      <c r="J3103" s="20">
        <v>47849</v>
      </c>
      <c r="K3103" s="3">
        <v>0</v>
      </c>
      <c r="L3103" s="3" t="s">
        <v>99</v>
      </c>
      <c r="M3103" s="9" t="s">
        <v>0</v>
      </c>
      <c r="N3103" s="9">
        <v>46784467</v>
      </c>
      <c r="O3103" s="9" t="s">
        <v>656</v>
      </c>
      <c r="S3103" s="9" t="s">
        <v>158</v>
      </c>
      <c r="T3103" s="10" t="s">
        <v>70</v>
      </c>
      <c r="U3103" s="10">
        <v>6</v>
      </c>
      <c r="V3103" s="10">
        <v>120.4</v>
      </c>
      <c r="W3103" s="10" t="s">
        <v>710</v>
      </c>
      <c r="X3103" s="17">
        <v>45695</v>
      </c>
      <c r="Y3103" s="17">
        <v>45744</v>
      </c>
      <c r="Z3103" s="19" t="s">
        <v>772</v>
      </c>
      <c r="AA3103" s="207">
        <v>40000</v>
      </c>
      <c r="AB3103" s="9">
        <v>36</v>
      </c>
      <c r="AC3103" s="9">
        <v>23</v>
      </c>
      <c r="AD3103" s="17">
        <v>46507</v>
      </c>
      <c r="AE3103" s="54">
        <v>777.8</v>
      </c>
      <c r="AF3103" s="54"/>
      <c r="AL3103" s="22"/>
      <c r="AM3103" s="22"/>
      <c r="AN3103" s="22"/>
      <c r="AO3103" s="22"/>
      <c r="AP3103" s="22"/>
      <c r="AQ3103" s="22"/>
      <c r="AR3103" s="22"/>
      <c r="AS3103" s="22"/>
      <c r="AT3103" s="22"/>
      <c r="AU3103" s="22"/>
      <c r="AV3103" s="22"/>
      <c r="AW3103" s="9"/>
      <c r="BA3103" s="22"/>
      <c r="BB3103" s="22"/>
      <c r="BD3103" s="9"/>
      <c r="CS3103" s="11">
        <f t="shared" si="214"/>
        <v>0</v>
      </c>
      <c r="CT3103" s="22">
        <f t="shared" si="215"/>
        <v>0</v>
      </c>
      <c r="CU3103" s="22">
        <f t="shared" si="216"/>
        <v>0</v>
      </c>
      <c r="CV3103" s="26">
        <f t="shared" si="212"/>
        <v>777.8</v>
      </c>
    </row>
    <row r="3104" spans="1:100" x14ac:dyDescent="0.2">
      <c r="A3104" s="9" t="s">
        <v>600</v>
      </c>
      <c r="B3104" s="2">
        <v>44</v>
      </c>
      <c r="C3104" s="3" t="s">
        <v>95</v>
      </c>
      <c r="D3104" s="3" t="s">
        <v>96</v>
      </c>
      <c r="E3104" s="2"/>
      <c r="F3104" s="2"/>
      <c r="G3104" s="2" t="s">
        <v>70</v>
      </c>
      <c r="H3104" s="2">
        <v>6</v>
      </c>
      <c r="I3104" s="20">
        <v>107.66</v>
      </c>
      <c r="J3104" s="20">
        <v>47849</v>
      </c>
      <c r="K3104" s="3">
        <v>0</v>
      </c>
      <c r="L3104" s="3" t="s">
        <v>99</v>
      </c>
      <c r="M3104" s="9" t="s">
        <v>0</v>
      </c>
      <c r="N3104" s="9">
        <v>46784467</v>
      </c>
      <c r="O3104" s="9" t="s">
        <v>656</v>
      </c>
      <c r="S3104" s="9" t="s">
        <v>158</v>
      </c>
      <c r="T3104" s="10" t="s">
        <v>70</v>
      </c>
      <c r="U3104" s="10">
        <v>6</v>
      </c>
      <c r="V3104" s="10">
        <v>120.4</v>
      </c>
      <c r="W3104" s="10" t="s">
        <v>710</v>
      </c>
      <c r="X3104" s="17">
        <v>45695</v>
      </c>
      <c r="Y3104" s="17">
        <v>45744</v>
      </c>
      <c r="Z3104" s="19" t="s">
        <v>772</v>
      </c>
      <c r="AA3104" s="207">
        <v>40000</v>
      </c>
      <c r="AB3104" s="9">
        <v>36</v>
      </c>
      <c r="AC3104" s="9">
        <v>24</v>
      </c>
      <c r="AD3104" s="17">
        <v>46538</v>
      </c>
      <c r="AE3104" s="54">
        <v>777.8</v>
      </c>
      <c r="AF3104" s="54"/>
      <c r="AL3104" s="22"/>
      <c r="AM3104" s="22"/>
      <c r="AN3104" s="22"/>
      <c r="AO3104" s="22"/>
      <c r="AP3104" s="22"/>
      <c r="AQ3104" s="22"/>
      <c r="AR3104" s="22"/>
      <c r="AS3104" s="22"/>
      <c r="AT3104" s="22"/>
      <c r="AU3104" s="22"/>
      <c r="AV3104" s="22"/>
      <c r="AW3104" s="9"/>
      <c r="BA3104" s="22"/>
      <c r="BB3104" s="22"/>
      <c r="BD3104" s="9"/>
      <c r="CS3104" s="11">
        <f t="shared" si="214"/>
        <v>0</v>
      </c>
      <c r="CT3104" s="22">
        <f t="shared" si="215"/>
        <v>0</v>
      </c>
      <c r="CU3104" s="22">
        <f t="shared" si="216"/>
        <v>0</v>
      </c>
      <c r="CV3104" s="26">
        <f t="shared" si="212"/>
        <v>777.8</v>
      </c>
    </row>
    <row r="3105" spans="1:100" x14ac:dyDescent="0.2">
      <c r="A3105" s="9" t="s">
        <v>600</v>
      </c>
      <c r="B3105" s="2">
        <v>44</v>
      </c>
      <c r="C3105" s="3" t="s">
        <v>95</v>
      </c>
      <c r="D3105" s="3" t="s">
        <v>96</v>
      </c>
      <c r="E3105" s="2"/>
      <c r="F3105" s="2"/>
      <c r="G3105" s="2" t="s">
        <v>70</v>
      </c>
      <c r="H3105" s="2">
        <v>6</v>
      </c>
      <c r="I3105" s="20">
        <v>107.66</v>
      </c>
      <c r="J3105" s="20">
        <v>47849</v>
      </c>
      <c r="K3105" s="3">
        <v>0</v>
      </c>
      <c r="L3105" s="3" t="s">
        <v>99</v>
      </c>
      <c r="M3105" s="9" t="s">
        <v>0</v>
      </c>
      <c r="N3105" s="9">
        <v>46784467</v>
      </c>
      <c r="O3105" s="9" t="s">
        <v>656</v>
      </c>
      <c r="S3105" s="9" t="s">
        <v>158</v>
      </c>
      <c r="T3105" s="10" t="s">
        <v>70</v>
      </c>
      <c r="U3105" s="10">
        <v>6</v>
      </c>
      <c r="V3105" s="10">
        <v>120.4</v>
      </c>
      <c r="W3105" s="10" t="s">
        <v>710</v>
      </c>
      <c r="X3105" s="17">
        <v>45695</v>
      </c>
      <c r="Y3105" s="17">
        <v>45744</v>
      </c>
      <c r="Z3105" s="19" t="s">
        <v>772</v>
      </c>
      <c r="AA3105" s="207">
        <v>40000</v>
      </c>
      <c r="AB3105" s="9">
        <v>36</v>
      </c>
      <c r="AC3105" s="9">
        <v>25</v>
      </c>
      <c r="AD3105" s="17">
        <v>46568</v>
      </c>
      <c r="AE3105" s="54">
        <v>777.8</v>
      </c>
      <c r="AF3105" s="54"/>
      <c r="AL3105" s="22"/>
      <c r="AM3105" s="22"/>
      <c r="AN3105" s="22"/>
      <c r="AO3105" s="22"/>
      <c r="AP3105" s="22"/>
      <c r="AQ3105" s="22"/>
      <c r="AR3105" s="22"/>
      <c r="AS3105" s="22"/>
      <c r="AT3105" s="22"/>
      <c r="AU3105" s="22"/>
      <c r="AV3105" s="22"/>
      <c r="AW3105" s="9"/>
      <c r="BA3105" s="22"/>
      <c r="BB3105" s="22"/>
      <c r="BD3105" s="9"/>
      <c r="CS3105" s="11">
        <f t="shared" si="214"/>
        <v>0</v>
      </c>
      <c r="CT3105" s="22">
        <f t="shared" si="215"/>
        <v>0</v>
      </c>
      <c r="CU3105" s="22">
        <f t="shared" si="216"/>
        <v>0</v>
      </c>
      <c r="CV3105" s="26">
        <f t="shared" si="212"/>
        <v>777.8</v>
      </c>
    </row>
    <row r="3106" spans="1:100" x14ac:dyDescent="0.2">
      <c r="A3106" s="9" t="s">
        <v>600</v>
      </c>
      <c r="B3106" s="2">
        <v>44</v>
      </c>
      <c r="C3106" s="3" t="s">
        <v>95</v>
      </c>
      <c r="D3106" s="3" t="s">
        <v>96</v>
      </c>
      <c r="E3106" s="2"/>
      <c r="F3106" s="2"/>
      <c r="G3106" s="2" t="s">
        <v>70</v>
      </c>
      <c r="H3106" s="2">
        <v>6</v>
      </c>
      <c r="I3106" s="20">
        <v>107.66</v>
      </c>
      <c r="J3106" s="20">
        <v>47849</v>
      </c>
      <c r="K3106" s="3">
        <v>0</v>
      </c>
      <c r="L3106" s="3" t="s">
        <v>99</v>
      </c>
      <c r="M3106" s="9" t="s">
        <v>0</v>
      </c>
      <c r="N3106" s="9">
        <v>46784467</v>
      </c>
      <c r="O3106" s="9" t="s">
        <v>656</v>
      </c>
      <c r="S3106" s="9" t="s">
        <v>158</v>
      </c>
      <c r="T3106" s="10" t="s">
        <v>70</v>
      </c>
      <c r="U3106" s="10">
        <v>6</v>
      </c>
      <c r="V3106" s="10">
        <v>120.4</v>
      </c>
      <c r="W3106" s="10" t="s">
        <v>710</v>
      </c>
      <c r="X3106" s="17">
        <v>45695</v>
      </c>
      <c r="Y3106" s="17">
        <v>45744</v>
      </c>
      <c r="Z3106" s="19" t="s">
        <v>772</v>
      </c>
      <c r="AA3106" s="207">
        <v>40000</v>
      </c>
      <c r="AB3106" s="9">
        <v>36</v>
      </c>
      <c r="AC3106" s="9">
        <v>26</v>
      </c>
      <c r="AD3106" s="17">
        <v>46599</v>
      </c>
      <c r="AE3106" s="54">
        <v>777.8</v>
      </c>
      <c r="AF3106" s="54"/>
      <c r="AL3106" s="22"/>
      <c r="AM3106" s="22"/>
      <c r="AN3106" s="22"/>
      <c r="AO3106" s="22"/>
      <c r="AP3106" s="22"/>
      <c r="AQ3106" s="22"/>
      <c r="AR3106" s="22"/>
      <c r="AS3106" s="22"/>
      <c r="AT3106" s="22"/>
      <c r="AU3106" s="22"/>
      <c r="AV3106" s="22"/>
      <c r="AW3106" s="9"/>
      <c r="BA3106" s="22"/>
      <c r="BB3106" s="22"/>
      <c r="BD3106" s="9"/>
      <c r="CS3106" s="11">
        <f t="shared" si="214"/>
        <v>0</v>
      </c>
      <c r="CT3106" s="22">
        <f t="shared" si="215"/>
        <v>0</v>
      </c>
      <c r="CU3106" s="22">
        <f t="shared" si="216"/>
        <v>0</v>
      </c>
      <c r="CV3106" s="26">
        <f t="shared" si="212"/>
        <v>777.8</v>
      </c>
    </row>
    <row r="3107" spans="1:100" x14ac:dyDescent="0.2">
      <c r="A3107" s="9" t="s">
        <v>600</v>
      </c>
      <c r="B3107" s="2">
        <v>44</v>
      </c>
      <c r="C3107" s="3" t="s">
        <v>95</v>
      </c>
      <c r="D3107" s="3" t="s">
        <v>96</v>
      </c>
      <c r="E3107" s="2"/>
      <c r="F3107" s="2"/>
      <c r="G3107" s="2" t="s">
        <v>70</v>
      </c>
      <c r="H3107" s="2">
        <v>6</v>
      </c>
      <c r="I3107" s="20">
        <v>107.66</v>
      </c>
      <c r="J3107" s="20">
        <v>47849</v>
      </c>
      <c r="K3107" s="3">
        <v>0</v>
      </c>
      <c r="L3107" s="3" t="s">
        <v>99</v>
      </c>
      <c r="M3107" s="9" t="s">
        <v>0</v>
      </c>
      <c r="N3107" s="9">
        <v>46784467</v>
      </c>
      <c r="O3107" s="9" t="s">
        <v>656</v>
      </c>
      <c r="S3107" s="9" t="s">
        <v>158</v>
      </c>
      <c r="T3107" s="2" t="s">
        <v>70</v>
      </c>
      <c r="U3107" s="2">
        <v>6</v>
      </c>
      <c r="V3107" s="2">
        <v>120.4</v>
      </c>
      <c r="W3107" s="10" t="s">
        <v>710</v>
      </c>
      <c r="X3107" s="17">
        <v>45695</v>
      </c>
      <c r="Y3107" s="17">
        <v>45744</v>
      </c>
      <c r="Z3107" s="19" t="s">
        <v>772</v>
      </c>
      <c r="AA3107" s="207">
        <v>40000</v>
      </c>
      <c r="AB3107" s="9">
        <v>36</v>
      </c>
      <c r="AC3107" s="9">
        <v>27</v>
      </c>
      <c r="AD3107" s="17">
        <v>46630</v>
      </c>
      <c r="AE3107" s="54">
        <v>777.8</v>
      </c>
      <c r="AF3107" s="54"/>
      <c r="AL3107" s="22"/>
      <c r="AM3107" s="22"/>
      <c r="AN3107" s="22"/>
      <c r="AO3107" s="22"/>
      <c r="AP3107" s="22"/>
      <c r="AQ3107" s="22"/>
      <c r="AR3107" s="22"/>
      <c r="AS3107" s="22"/>
      <c r="AT3107" s="22"/>
      <c r="AU3107" s="22"/>
      <c r="AV3107" s="22"/>
      <c r="AW3107" s="9"/>
      <c r="BA3107" s="22"/>
      <c r="BB3107" s="22"/>
      <c r="BD3107" s="9"/>
      <c r="CS3107" s="11">
        <f t="shared" si="214"/>
        <v>0</v>
      </c>
      <c r="CT3107" s="22">
        <f t="shared" si="215"/>
        <v>0</v>
      </c>
      <c r="CU3107" s="22">
        <f t="shared" si="216"/>
        <v>0</v>
      </c>
      <c r="CV3107" s="26">
        <f t="shared" si="212"/>
        <v>777.8</v>
      </c>
    </row>
    <row r="3108" spans="1:100" x14ac:dyDescent="0.2">
      <c r="A3108" s="9" t="s">
        <v>600</v>
      </c>
      <c r="B3108" s="2">
        <v>44</v>
      </c>
      <c r="C3108" s="3" t="s">
        <v>95</v>
      </c>
      <c r="D3108" s="3" t="s">
        <v>96</v>
      </c>
      <c r="E3108" s="2"/>
      <c r="F3108" s="2"/>
      <c r="G3108" s="2" t="s">
        <v>70</v>
      </c>
      <c r="H3108" s="2">
        <v>6</v>
      </c>
      <c r="I3108" s="20">
        <v>107.66</v>
      </c>
      <c r="J3108" s="20">
        <v>47849</v>
      </c>
      <c r="K3108" s="3">
        <v>0</v>
      </c>
      <c r="L3108" s="3" t="s">
        <v>99</v>
      </c>
      <c r="M3108" s="9" t="s">
        <v>0</v>
      </c>
      <c r="N3108" s="9">
        <v>46784467</v>
      </c>
      <c r="O3108" s="9" t="s">
        <v>656</v>
      </c>
      <c r="S3108" s="9" t="s">
        <v>158</v>
      </c>
      <c r="T3108" s="2" t="s">
        <v>70</v>
      </c>
      <c r="U3108" s="2">
        <v>6</v>
      </c>
      <c r="V3108" s="2">
        <v>120.4</v>
      </c>
      <c r="W3108" s="10" t="s">
        <v>710</v>
      </c>
      <c r="X3108" s="17">
        <v>45695</v>
      </c>
      <c r="Y3108" s="17">
        <v>45744</v>
      </c>
      <c r="Z3108" s="19" t="s">
        <v>772</v>
      </c>
      <c r="AA3108" s="207">
        <v>40000</v>
      </c>
      <c r="AB3108" s="9">
        <v>36</v>
      </c>
      <c r="AC3108" s="9">
        <v>28</v>
      </c>
      <c r="AD3108" s="17">
        <v>46660</v>
      </c>
      <c r="AE3108" s="54">
        <v>777.8</v>
      </c>
      <c r="AF3108" s="54"/>
      <c r="AL3108" s="22"/>
      <c r="AM3108" s="22"/>
      <c r="AN3108" s="22"/>
      <c r="AO3108" s="22"/>
      <c r="AP3108" s="22"/>
      <c r="AQ3108" s="22"/>
      <c r="AR3108" s="22"/>
      <c r="AS3108" s="22"/>
      <c r="AT3108" s="22"/>
      <c r="AU3108" s="22"/>
      <c r="AV3108" s="22"/>
      <c r="AW3108" s="9"/>
      <c r="BA3108" s="22"/>
      <c r="BB3108" s="22"/>
      <c r="BD3108" s="9"/>
      <c r="CS3108" s="11">
        <f t="shared" si="214"/>
        <v>0</v>
      </c>
      <c r="CT3108" s="22">
        <f t="shared" si="215"/>
        <v>0</v>
      </c>
      <c r="CU3108" s="22">
        <f t="shared" si="216"/>
        <v>0</v>
      </c>
      <c r="CV3108" s="26">
        <f t="shared" si="212"/>
        <v>777.8</v>
      </c>
    </row>
    <row r="3109" spans="1:100" x14ac:dyDescent="0.2">
      <c r="A3109" s="9" t="s">
        <v>600</v>
      </c>
      <c r="B3109" s="2">
        <v>44</v>
      </c>
      <c r="C3109" s="3" t="s">
        <v>95</v>
      </c>
      <c r="D3109" s="3" t="s">
        <v>96</v>
      </c>
      <c r="E3109" s="2"/>
      <c r="F3109" s="2"/>
      <c r="G3109" s="2" t="s">
        <v>70</v>
      </c>
      <c r="H3109" s="2">
        <v>6</v>
      </c>
      <c r="I3109" s="20">
        <v>107.66</v>
      </c>
      <c r="J3109" s="20">
        <v>47849</v>
      </c>
      <c r="K3109" s="3">
        <v>0</v>
      </c>
      <c r="L3109" s="3" t="s">
        <v>99</v>
      </c>
      <c r="M3109" s="9" t="s">
        <v>0</v>
      </c>
      <c r="N3109" s="9">
        <v>46784467</v>
      </c>
      <c r="O3109" s="9" t="s">
        <v>656</v>
      </c>
      <c r="S3109" s="9" t="s">
        <v>158</v>
      </c>
      <c r="T3109" s="2" t="s">
        <v>70</v>
      </c>
      <c r="U3109" s="2">
        <v>6</v>
      </c>
      <c r="V3109" s="2">
        <v>120.4</v>
      </c>
      <c r="W3109" s="10" t="s">
        <v>710</v>
      </c>
      <c r="X3109" s="17">
        <v>45695</v>
      </c>
      <c r="Y3109" s="17">
        <v>45744</v>
      </c>
      <c r="Z3109" s="19" t="s">
        <v>772</v>
      </c>
      <c r="AA3109" s="207">
        <v>40000</v>
      </c>
      <c r="AB3109" s="9">
        <v>36</v>
      </c>
      <c r="AC3109" s="9">
        <v>29</v>
      </c>
      <c r="AD3109" s="17">
        <v>46691</v>
      </c>
      <c r="AE3109" s="54">
        <v>777.8</v>
      </c>
      <c r="AF3109" s="54"/>
      <c r="AL3109" s="22"/>
      <c r="AM3109" s="22"/>
      <c r="AN3109" s="22"/>
      <c r="AO3109" s="22"/>
      <c r="AP3109" s="22"/>
      <c r="AQ3109" s="22"/>
      <c r="AR3109" s="22"/>
      <c r="AS3109" s="22"/>
      <c r="AT3109" s="22"/>
      <c r="AU3109" s="22"/>
      <c r="AV3109" s="22"/>
      <c r="AW3109" s="9"/>
      <c r="BA3109" s="22"/>
      <c r="BB3109" s="22"/>
      <c r="BD3109" s="9"/>
      <c r="CS3109" s="11">
        <f t="shared" si="214"/>
        <v>0</v>
      </c>
      <c r="CT3109" s="22">
        <f t="shared" si="215"/>
        <v>0</v>
      </c>
      <c r="CU3109" s="22">
        <f t="shared" si="216"/>
        <v>0</v>
      </c>
      <c r="CV3109" s="26">
        <f t="shared" si="212"/>
        <v>777.8</v>
      </c>
    </row>
    <row r="3110" spans="1:100" x14ac:dyDescent="0.2">
      <c r="A3110" s="9" t="s">
        <v>600</v>
      </c>
      <c r="B3110" s="2">
        <v>44</v>
      </c>
      <c r="C3110" s="3" t="s">
        <v>95</v>
      </c>
      <c r="D3110" s="3" t="s">
        <v>96</v>
      </c>
      <c r="E3110" s="2"/>
      <c r="F3110" s="2"/>
      <c r="G3110" s="2" t="s">
        <v>70</v>
      </c>
      <c r="H3110" s="2">
        <v>6</v>
      </c>
      <c r="I3110" s="20">
        <v>107.66</v>
      </c>
      <c r="J3110" s="20">
        <v>47849</v>
      </c>
      <c r="K3110" s="3">
        <v>0</v>
      </c>
      <c r="L3110" s="3" t="s">
        <v>99</v>
      </c>
      <c r="M3110" s="9" t="s">
        <v>0</v>
      </c>
      <c r="N3110" s="9">
        <v>46784467</v>
      </c>
      <c r="O3110" s="9" t="s">
        <v>656</v>
      </c>
      <c r="S3110" s="9" t="s">
        <v>158</v>
      </c>
      <c r="T3110" s="2" t="s">
        <v>70</v>
      </c>
      <c r="U3110" s="2">
        <v>6</v>
      </c>
      <c r="V3110" s="2">
        <v>120.4</v>
      </c>
      <c r="W3110" s="10" t="s">
        <v>710</v>
      </c>
      <c r="X3110" s="17">
        <v>45695</v>
      </c>
      <c r="Y3110" s="17">
        <v>45744</v>
      </c>
      <c r="Z3110" s="19" t="s">
        <v>772</v>
      </c>
      <c r="AA3110" s="207">
        <v>40000</v>
      </c>
      <c r="AB3110" s="9">
        <v>36</v>
      </c>
      <c r="AC3110" s="9">
        <v>30</v>
      </c>
      <c r="AD3110" s="17">
        <v>46721</v>
      </c>
      <c r="AE3110" s="54">
        <v>777.8</v>
      </c>
      <c r="AF3110" s="54"/>
      <c r="AL3110" s="22"/>
      <c r="AM3110" s="22"/>
      <c r="AN3110" s="22"/>
      <c r="AO3110" s="22"/>
      <c r="AP3110" s="22"/>
      <c r="AQ3110" s="22"/>
      <c r="AR3110" s="22"/>
      <c r="AS3110" s="22"/>
      <c r="AT3110" s="22"/>
      <c r="AU3110" s="22"/>
      <c r="AV3110" s="22"/>
      <c r="AW3110" s="9"/>
      <c r="BA3110" s="22"/>
      <c r="BB3110" s="22"/>
      <c r="BD3110" s="9"/>
      <c r="CS3110" s="11">
        <f t="shared" si="214"/>
        <v>0</v>
      </c>
      <c r="CT3110" s="22">
        <f t="shared" si="215"/>
        <v>0</v>
      </c>
      <c r="CU3110" s="22">
        <f t="shared" si="216"/>
        <v>0</v>
      </c>
      <c r="CV3110" s="26">
        <f t="shared" si="212"/>
        <v>777.8</v>
      </c>
    </row>
    <row r="3111" spans="1:100" x14ac:dyDescent="0.2">
      <c r="A3111" s="9" t="s">
        <v>600</v>
      </c>
      <c r="B3111" s="2">
        <v>44</v>
      </c>
      <c r="C3111" s="3" t="s">
        <v>95</v>
      </c>
      <c r="D3111" s="3" t="s">
        <v>96</v>
      </c>
      <c r="E3111" s="2"/>
      <c r="F3111" s="2"/>
      <c r="G3111" s="2" t="s">
        <v>70</v>
      </c>
      <c r="H3111" s="2">
        <v>6</v>
      </c>
      <c r="I3111" s="20">
        <v>107.66</v>
      </c>
      <c r="J3111" s="20">
        <v>47849</v>
      </c>
      <c r="K3111" s="3">
        <v>0</v>
      </c>
      <c r="L3111" s="3" t="s">
        <v>99</v>
      </c>
      <c r="M3111" s="9" t="s">
        <v>0</v>
      </c>
      <c r="N3111" s="9">
        <v>46784467</v>
      </c>
      <c r="O3111" s="9" t="s">
        <v>656</v>
      </c>
      <c r="S3111" s="9" t="s">
        <v>158</v>
      </c>
      <c r="T3111" s="2" t="s">
        <v>70</v>
      </c>
      <c r="U3111" s="2">
        <v>6</v>
      </c>
      <c r="V3111" s="2">
        <v>120.4</v>
      </c>
      <c r="W3111" s="10" t="s">
        <v>710</v>
      </c>
      <c r="X3111" s="17">
        <v>45695</v>
      </c>
      <c r="Y3111" s="17">
        <v>45744</v>
      </c>
      <c r="Z3111" s="19" t="s">
        <v>772</v>
      </c>
      <c r="AA3111" s="207">
        <v>40000</v>
      </c>
      <c r="AB3111" s="9">
        <v>36</v>
      </c>
      <c r="AC3111" s="9">
        <v>31</v>
      </c>
      <c r="AD3111" s="17">
        <v>46752</v>
      </c>
      <c r="AE3111" s="54">
        <v>777.8</v>
      </c>
      <c r="AF3111" s="54"/>
      <c r="AL3111" s="22"/>
      <c r="AM3111" s="22"/>
      <c r="AN3111" s="22"/>
      <c r="AO3111" s="22"/>
      <c r="AP3111" s="22"/>
      <c r="AQ3111" s="22"/>
      <c r="AR3111" s="22"/>
      <c r="AS3111" s="22"/>
      <c r="AT3111" s="22"/>
      <c r="AU3111" s="22"/>
      <c r="AV3111" s="22"/>
      <c r="AW3111" s="9"/>
      <c r="BA3111" s="22"/>
      <c r="BB3111" s="22"/>
      <c r="BD3111" s="9"/>
      <c r="CS3111" s="11">
        <f t="shared" si="214"/>
        <v>0</v>
      </c>
      <c r="CT3111" s="22">
        <f t="shared" si="215"/>
        <v>0</v>
      </c>
      <c r="CU3111" s="22">
        <f t="shared" si="216"/>
        <v>0</v>
      </c>
      <c r="CV3111" s="26">
        <f t="shared" si="212"/>
        <v>777.8</v>
      </c>
    </row>
    <row r="3112" spans="1:100" x14ac:dyDescent="0.2">
      <c r="A3112" s="9" t="s">
        <v>600</v>
      </c>
      <c r="B3112" s="2">
        <v>44</v>
      </c>
      <c r="C3112" s="3" t="s">
        <v>95</v>
      </c>
      <c r="D3112" s="3" t="s">
        <v>96</v>
      </c>
      <c r="E3112" s="2"/>
      <c r="F3112" s="2"/>
      <c r="G3112" s="2" t="s">
        <v>70</v>
      </c>
      <c r="H3112" s="2">
        <v>6</v>
      </c>
      <c r="I3112" s="20">
        <v>107.66</v>
      </c>
      <c r="J3112" s="20">
        <v>47849</v>
      </c>
      <c r="K3112" s="3">
        <v>0</v>
      </c>
      <c r="L3112" s="3" t="s">
        <v>99</v>
      </c>
      <c r="M3112" s="9" t="s">
        <v>0</v>
      </c>
      <c r="N3112" s="9">
        <v>46784467</v>
      </c>
      <c r="O3112" s="9" t="s">
        <v>656</v>
      </c>
      <c r="S3112" s="9" t="s">
        <v>158</v>
      </c>
      <c r="T3112" s="2" t="s">
        <v>70</v>
      </c>
      <c r="U3112" s="2">
        <v>6</v>
      </c>
      <c r="V3112" s="2">
        <v>120.4</v>
      </c>
      <c r="W3112" s="10" t="s">
        <v>710</v>
      </c>
      <c r="X3112" s="17">
        <v>45695</v>
      </c>
      <c r="Y3112" s="17">
        <v>45744</v>
      </c>
      <c r="Z3112" s="19" t="s">
        <v>772</v>
      </c>
      <c r="AA3112" s="207">
        <v>40000</v>
      </c>
      <c r="AB3112" s="9">
        <v>36</v>
      </c>
      <c r="AC3112" s="9">
        <v>32</v>
      </c>
      <c r="AD3112" s="17">
        <v>46783</v>
      </c>
      <c r="AE3112" s="54">
        <v>777.8</v>
      </c>
      <c r="AF3112" s="54"/>
      <c r="AL3112" s="22"/>
      <c r="AM3112" s="22"/>
      <c r="AN3112" s="22"/>
      <c r="AO3112" s="22"/>
      <c r="AP3112" s="22"/>
      <c r="AQ3112" s="22"/>
      <c r="AR3112" s="22"/>
      <c r="AS3112" s="22"/>
      <c r="AT3112" s="22"/>
      <c r="AU3112" s="22"/>
      <c r="AV3112" s="22"/>
      <c r="AW3112" s="9"/>
      <c r="BA3112" s="22"/>
      <c r="BB3112" s="22"/>
      <c r="BD3112" s="9"/>
      <c r="CS3112" s="11">
        <f t="shared" si="214"/>
        <v>0</v>
      </c>
      <c r="CT3112" s="22">
        <f t="shared" si="215"/>
        <v>0</v>
      </c>
      <c r="CU3112" s="22">
        <f t="shared" si="216"/>
        <v>0</v>
      </c>
      <c r="CV3112" s="26">
        <f t="shared" si="212"/>
        <v>777.8</v>
      </c>
    </row>
    <row r="3113" spans="1:100" x14ac:dyDescent="0.2">
      <c r="A3113" s="9" t="s">
        <v>600</v>
      </c>
      <c r="B3113" s="2">
        <v>44</v>
      </c>
      <c r="C3113" s="3" t="s">
        <v>95</v>
      </c>
      <c r="D3113" s="3" t="s">
        <v>96</v>
      </c>
      <c r="E3113" s="2"/>
      <c r="F3113" s="2"/>
      <c r="G3113" s="2" t="s">
        <v>70</v>
      </c>
      <c r="H3113" s="2">
        <v>6</v>
      </c>
      <c r="I3113" s="20">
        <v>107.66</v>
      </c>
      <c r="J3113" s="20">
        <v>47849</v>
      </c>
      <c r="K3113" s="3">
        <v>0</v>
      </c>
      <c r="L3113" s="3" t="s">
        <v>99</v>
      </c>
      <c r="M3113" s="9" t="s">
        <v>0</v>
      </c>
      <c r="N3113" s="9">
        <v>46784467</v>
      </c>
      <c r="O3113" s="9" t="s">
        <v>656</v>
      </c>
      <c r="S3113" s="9" t="s">
        <v>158</v>
      </c>
      <c r="T3113" s="2" t="s">
        <v>70</v>
      </c>
      <c r="U3113" s="2">
        <v>6</v>
      </c>
      <c r="V3113" s="2">
        <v>120.4</v>
      </c>
      <c r="W3113" s="10" t="s">
        <v>710</v>
      </c>
      <c r="X3113" s="17">
        <v>45695</v>
      </c>
      <c r="Y3113" s="17">
        <v>45744</v>
      </c>
      <c r="Z3113" s="19" t="s">
        <v>772</v>
      </c>
      <c r="AA3113" s="207">
        <v>40000</v>
      </c>
      <c r="AB3113" s="9">
        <v>36</v>
      </c>
      <c r="AC3113" s="9">
        <v>33</v>
      </c>
      <c r="AD3113" s="17">
        <v>46812</v>
      </c>
      <c r="AE3113" s="54">
        <v>777.8</v>
      </c>
      <c r="AF3113" s="54"/>
      <c r="AL3113" s="22"/>
      <c r="AM3113" s="22"/>
      <c r="AN3113" s="22"/>
      <c r="AO3113" s="22"/>
      <c r="AP3113" s="22"/>
      <c r="AQ3113" s="22"/>
      <c r="AR3113" s="22"/>
      <c r="AS3113" s="22"/>
      <c r="AT3113" s="22"/>
      <c r="AU3113" s="22"/>
      <c r="AV3113" s="22"/>
      <c r="AW3113" s="9"/>
      <c r="BA3113" s="22"/>
      <c r="BB3113" s="22"/>
      <c r="BD3113" s="9"/>
      <c r="CS3113" s="11">
        <f t="shared" si="214"/>
        <v>0</v>
      </c>
      <c r="CT3113" s="22">
        <f t="shared" si="215"/>
        <v>0</v>
      </c>
      <c r="CU3113" s="22">
        <f t="shared" si="216"/>
        <v>0</v>
      </c>
      <c r="CV3113" s="26">
        <f t="shared" si="212"/>
        <v>777.8</v>
      </c>
    </row>
    <row r="3114" spans="1:100" x14ac:dyDescent="0.2">
      <c r="A3114" s="9" t="s">
        <v>600</v>
      </c>
      <c r="B3114" s="2">
        <v>44</v>
      </c>
      <c r="C3114" s="3" t="s">
        <v>95</v>
      </c>
      <c r="D3114" s="3" t="s">
        <v>96</v>
      </c>
      <c r="E3114" s="2"/>
      <c r="F3114" s="2"/>
      <c r="G3114" s="2" t="s">
        <v>70</v>
      </c>
      <c r="H3114" s="2">
        <v>6</v>
      </c>
      <c r="I3114" s="20">
        <v>107.66</v>
      </c>
      <c r="J3114" s="20">
        <v>47849</v>
      </c>
      <c r="K3114" s="3">
        <v>0</v>
      </c>
      <c r="L3114" s="3" t="s">
        <v>99</v>
      </c>
      <c r="M3114" s="9" t="s">
        <v>0</v>
      </c>
      <c r="N3114" s="9">
        <v>46784467</v>
      </c>
      <c r="O3114" s="9" t="s">
        <v>656</v>
      </c>
      <c r="S3114" s="9" t="s">
        <v>158</v>
      </c>
      <c r="T3114" s="2" t="s">
        <v>70</v>
      </c>
      <c r="U3114" s="2">
        <v>6</v>
      </c>
      <c r="V3114" s="2">
        <v>120.4</v>
      </c>
      <c r="W3114" s="10" t="s">
        <v>710</v>
      </c>
      <c r="X3114" s="17">
        <v>45695</v>
      </c>
      <c r="Y3114" s="17">
        <v>45744</v>
      </c>
      <c r="Z3114" s="19" t="s">
        <v>772</v>
      </c>
      <c r="AA3114" s="207">
        <v>40000</v>
      </c>
      <c r="AB3114" s="9">
        <v>36</v>
      </c>
      <c r="AC3114" s="9">
        <v>34</v>
      </c>
      <c r="AD3114" s="17">
        <v>46843</v>
      </c>
      <c r="AE3114" s="54">
        <v>777.8</v>
      </c>
      <c r="AF3114" s="54"/>
      <c r="AL3114" s="22"/>
      <c r="AM3114" s="22"/>
      <c r="AN3114" s="22"/>
      <c r="AO3114" s="22"/>
      <c r="AP3114" s="22"/>
      <c r="AQ3114" s="22"/>
      <c r="AR3114" s="22"/>
      <c r="AS3114" s="22"/>
      <c r="AT3114" s="22"/>
      <c r="AU3114" s="22"/>
      <c r="AV3114" s="22"/>
      <c r="AW3114" s="9"/>
      <c r="BA3114" s="22"/>
      <c r="BB3114" s="22"/>
      <c r="BD3114" s="9"/>
      <c r="CS3114" s="11">
        <f t="shared" si="214"/>
        <v>0</v>
      </c>
      <c r="CT3114" s="22">
        <f t="shared" si="215"/>
        <v>0</v>
      </c>
      <c r="CU3114" s="22">
        <f t="shared" si="216"/>
        <v>0</v>
      </c>
      <c r="CV3114" s="26">
        <f t="shared" si="212"/>
        <v>777.8</v>
      </c>
    </row>
    <row r="3115" spans="1:100" x14ac:dyDescent="0.2">
      <c r="A3115" s="9" t="s">
        <v>600</v>
      </c>
      <c r="B3115" s="2">
        <v>44</v>
      </c>
      <c r="C3115" s="3" t="s">
        <v>95</v>
      </c>
      <c r="D3115" s="3" t="s">
        <v>96</v>
      </c>
      <c r="E3115" s="2"/>
      <c r="F3115" s="2"/>
      <c r="G3115" s="2" t="s">
        <v>70</v>
      </c>
      <c r="H3115" s="2">
        <v>6</v>
      </c>
      <c r="I3115" s="20">
        <v>107.66</v>
      </c>
      <c r="J3115" s="20">
        <v>47849</v>
      </c>
      <c r="K3115" s="3">
        <v>0</v>
      </c>
      <c r="L3115" s="3" t="s">
        <v>99</v>
      </c>
      <c r="M3115" s="9" t="s">
        <v>0</v>
      </c>
      <c r="N3115" s="9">
        <v>46784467</v>
      </c>
      <c r="O3115" s="9" t="s">
        <v>656</v>
      </c>
      <c r="S3115" s="9" t="s">
        <v>158</v>
      </c>
      <c r="T3115" s="2" t="s">
        <v>70</v>
      </c>
      <c r="U3115" s="2">
        <v>6</v>
      </c>
      <c r="V3115" s="2">
        <v>120.4</v>
      </c>
      <c r="W3115" s="10" t="s">
        <v>710</v>
      </c>
      <c r="X3115" s="17">
        <v>45695</v>
      </c>
      <c r="Y3115" s="17">
        <v>45744</v>
      </c>
      <c r="Z3115" s="19" t="s">
        <v>772</v>
      </c>
      <c r="AA3115" s="207">
        <v>40000</v>
      </c>
      <c r="AB3115" s="9">
        <v>36</v>
      </c>
      <c r="AC3115" s="9">
        <v>35</v>
      </c>
      <c r="AD3115" s="17">
        <v>46873</v>
      </c>
      <c r="AE3115" s="54">
        <v>777.8</v>
      </c>
      <c r="AF3115" s="54"/>
      <c r="AL3115" s="22"/>
      <c r="AM3115" s="22"/>
      <c r="AN3115" s="22"/>
      <c r="AO3115" s="22"/>
      <c r="AP3115" s="22"/>
      <c r="AQ3115" s="22"/>
      <c r="AR3115" s="22"/>
      <c r="AS3115" s="22"/>
      <c r="AT3115" s="22"/>
      <c r="AU3115" s="22"/>
      <c r="AV3115" s="22"/>
      <c r="AW3115" s="9"/>
      <c r="BA3115" s="22"/>
      <c r="BB3115" s="22"/>
      <c r="BD3115" s="9"/>
      <c r="CS3115" s="11">
        <f t="shared" si="214"/>
        <v>0</v>
      </c>
      <c r="CT3115" s="22">
        <f t="shared" si="215"/>
        <v>0</v>
      </c>
      <c r="CU3115" s="22">
        <f t="shared" si="216"/>
        <v>0</v>
      </c>
      <c r="CV3115" s="26">
        <f t="shared" si="212"/>
        <v>777.8</v>
      </c>
    </row>
    <row r="3116" spans="1:100" x14ac:dyDescent="0.2">
      <c r="A3116" s="9" t="s">
        <v>600</v>
      </c>
      <c r="B3116" s="2">
        <v>44</v>
      </c>
      <c r="C3116" s="3" t="s">
        <v>95</v>
      </c>
      <c r="D3116" s="3" t="s">
        <v>96</v>
      </c>
      <c r="E3116" s="2"/>
      <c r="F3116" s="2"/>
      <c r="G3116" s="2" t="s">
        <v>70</v>
      </c>
      <c r="H3116" s="2">
        <v>6</v>
      </c>
      <c r="I3116" s="20">
        <v>107.66</v>
      </c>
      <c r="J3116" s="20">
        <v>47849</v>
      </c>
      <c r="K3116" s="3">
        <v>0</v>
      </c>
      <c r="L3116" s="3" t="s">
        <v>99</v>
      </c>
      <c r="M3116" s="9" t="s">
        <v>0</v>
      </c>
      <c r="N3116" s="9">
        <v>46784467</v>
      </c>
      <c r="O3116" s="9" t="s">
        <v>656</v>
      </c>
      <c r="S3116" s="9" t="s">
        <v>158</v>
      </c>
      <c r="T3116" s="2" t="s">
        <v>70</v>
      </c>
      <c r="U3116" s="2">
        <v>6</v>
      </c>
      <c r="V3116" s="2">
        <v>120.4</v>
      </c>
      <c r="W3116" s="10" t="s">
        <v>710</v>
      </c>
      <c r="X3116" s="17">
        <v>45695</v>
      </c>
      <c r="Y3116" s="17">
        <v>45744</v>
      </c>
      <c r="Z3116" s="19" t="s">
        <v>772</v>
      </c>
      <c r="AA3116" s="207">
        <v>40000</v>
      </c>
      <c r="AB3116" s="9">
        <v>36</v>
      </c>
      <c r="AC3116" s="9">
        <v>36</v>
      </c>
      <c r="AD3116" s="17">
        <v>46904</v>
      </c>
      <c r="AE3116" s="54">
        <v>777.8</v>
      </c>
      <c r="AF3116" s="54"/>
      <c r="AL3116" s="22"/>
      <c r="AM3116" s="22"/>
      <c r="AN3116" s="22"/>
      <c r="AO3116" s="22"/>
      <c r="AP3116" s="22"/>
      <c r="AQ3116" s="22"/>
      <c r="AR3116" s="22"/>
      <c r="AS3116" s="22"/>
      <c r="AT3116" s="22"/>
      <c r="AU3116" s="22"/>
      <c r="AV3116" s="22"/>
      <c r="AW3116" s="9"/>
      <c r="BA3116" s="22"/>
      <c r="BB3116" s="22"/>
      <c r="BD3116" s="9"/>
      <c r="CS3116" s="11">
        <f t="shared" si="214"/>
        <v>0</v>
      </c>
      <c r="CT3116" s="22">
        <f t="shared" si="215"/>
        <v>0</v>
      </c>
      <c r="CU3116" s="22">
        <f t="shared" si="216"/>
        <v>0</v>
      </c>
      <c r="CV3116" s="26">
        <f t="shared" si="212"/>
        <v>777.8</v>
      </c>
    </row>
    <row r="3117" spans="1:100" x14ac:dyDescent="0.2">
      <c r="A3117" s="9" t="s">
        <v>653</v>
      </c>
      <c r="B3117" s="2">
        <v>78</v>
      </c>
      <c r="C3117" s="3" t="s">
        <v>95</v>
      </c>
      <c r="D3117" s="3" t="s">
        <v>96</v>
      </c>
      <c r="E3117" s="2"/>
      <c r="F3117" s="2"/>
      <c r="G3117" s="2" t="s">
        <v>74</v>
      </c>
      <c r="H3117" s="2">
        <v>3</v>
      </c>
      <c r="I3117" s="20">
        <v>90</v>
      </c>
      <c r="J3117" s="20">
        <v>40000</v>
      </c>
      <c r="K3117" s="3">
        <v>0</v>
      </c>
      <c r="L3117" s="3" t="s">
        <v>3</v>
      </c>
      <c r="M3117" s="9" t="s">
        <v>0</v>
      </c>
      <c r="N3117" s="9">
        <v>43062349</v>
      </c>
      <c r="O3117" s="9" t="s">
        <v>654</v>
      </c>
      <c r="S3117" s="9" t="s">
        <v>158</v>
      </c>
      <c r="T3117" s="2" t="s">
        <v>74</v>
      </c>
      <c r="U3117" s="2">
        <v>3</v>
      </c>
      <c r="V3117" s="2">
        <v>90</v>
      </c>
      <c r="W3117" s="10" t="s">
        <v>710</v>
      </c>
      <c r="X3117" s="17">
        <v>45720</v>
      </c>
      <c r="Y3117" s="17">
        <v>45720</v>
      </c>
      <c r="Z3117" s="19" t="s">
        <v>772</v>
      </c>
      <c r="AA3117" s="207">
        <v>40000</v>
      </c>
      <c r="AB3117" s="9">
        <v>84</v>
      </c>
      <c r="AC3117" s="9">
        <v>0</v>
      </c>
      <c r="AD3117" s="17">
        <v>45721</v>
      </c>
      <c r="AE3117" s="54">
        <v>3270</v>
      </c>
      <c r="AF3117" s="54"/>
      <c r="AG3117" s="9" t="s">
        <v>134</v>
      </c>
      <c r="AH3117" s="17">
        <v>45721</v>
      </c>
      <c r="AI3117" s="17"/>
      <c r="AJ3117" s="17"/>
      <c r="AK3117" s="9" t="s">
        <v>655</v>
      </c>
      <c r="AL3117" s="22">
        <v>3270</v>
      </c>
      <c r="AM3117" s="22"/>
      <c r="AN3117" s="22" t="s">
        <v>860</v>
      </c>
      <c r="AO3117" s="22"/>
      <c r="AP3117" s="22"/>
      <c r="AQ3117" s="22"/>
      <c r="AR3117" s="22"/>
      <c r="AS3117" s="22"/>
      <c r="AT3117" s="22"/>
      <c r="AU3117" s="22"/>
      <c r="AV3117" s="22"/>
      <c r="AW3117" s="100">
        <v>45719</v>
      </c>
      <c r="AX3117" s="41">
        <v>46047</v>
      </c>
      <c r="AY3117" s="36">
        <v>8000</v>
      </c>
      <c r="AZ3117" s="36">
        <v>3.67</v>
      </c>
      <c r="BA3117" s="40">
        <f t="shared" ref="BA3117:BA3122" si="217">+AY3117/AZ3117</f>
        <v>2179.8365122615805</v>
      </c>
      <c r="BB3117" s="40"/>
      <c r="BC3117" s="42">
        <v>45718</v>
      </c>
      <c r="BD3117" s="36">
        <v>46034</v>
      </c>
      <c r="BE3117" s="93">
        <v>4000</v>
      </c>
      <c r="BF3117" s="36">
        <v>3.67</v>
      </c>
      <c r="BG3117" s="36">
        <f>+BE3117/BF3117</f>
        <v>1089.9182561307903</v>
      </c>
      <c r="BH3117" s="36"/>
      <c r="CS3117" s="11">
        <f t="shared" si="214"/>
        <v>3270</v>
      </c>
      <c r="CT3117" s="22">
        <f t="shared" si="215"/>
        <v>3269.7547683923708</v>
      </c>
      <c r="CU3117" s="22">
        <f t="shared" si="216"/>
        <v>0.2452316076291936</v>
      </c>
      <c r="CV3117" s="26">
        <f t="shared" si="212"/>
        <v>0</v>
      </c>
    </row>
    <row r="3118" spans="1:100" x14ac:dyDescent="0.2">
      <c r="A3118" s="9" t="s">
        <v>653</v>
      </c>
      <c r="B3118" s="2">
        <v>78</v>
      </c>
      <c r="C3118" s="3" t="s">
        <v>95</v>
      </c>
      <c r="D3118" s="3" t="s">
        <v>96</v>
      </c>
      <c r="E3118" s="2"/>
      <c r="F3118" s="2"/>
      <c r="G3118" s="2" t="s">
        <v>74</v>
      </c>
      <c r="H3118" s="2">
        <v>3</v>
      </c>
      <c r="I3118" s="20">
        <v>90</v>
      </c>
      <c r="J3118" s="20">
        <v>40000</v>
      </c>
      <c r="K3118" s="3">
        <v>0</v>
      </c>
      <c r="L3118" s="3" t="s">
        <v>3</v>
      </c>
      <c r="M3118" s="9" t="s">
        <v>0</v>
      </c>
      <c r="N3118" s="9">
        <v>43062349</v>
      </c>
      <c r="O3118" s="9" t="s">
        <v>654</v>
      </c>
      <c r="S3118" s="9" t="s">
        <v>158</v>
      </c>
      <c r="T3118" s="2" t="s">
        <v>74</v>
      </c>
      <c r="U3118" s="2">
        <v>3</v>
      </c>
      <c r="V3118" s="2">
        <v>90</v>
      </c>
      <c r="W3118" s="10" t="s">
        <v>710</v>
      </c>
      <c r="X3118" s="17">
        <v>45720</v>
      </c>
      <c r="Y3118" s="17">
        <v>45720</v>
      </c>
      <c r="Z3118" s="19" t="s">
        <v>772</v>
      </c>
      <c r="AA3118" s="207">
        <v>40000</v>
      </c>
      <c r="AB3118" s="9">
        <v>84</v>
      </c>
      <c r="AC3118" s="9">
        <v>1</v>
      </c>
      <c r="AD3118" s="17">
        <v>45807</v>
      </c>
      <c r="AE3118" s="54">
        <v>438</v>
      </c>
      <c r="AF3118" s="54"/>
      <c r="AG3118" s="9" t="s">
        <v>134</v>
      </c>
      <c r="AH3118" s="17">
        <v>45810</v>
      </c>
      <c r="AI3118" s="17"/>
      <c r="AJ3118" s="17"/>
      <c r="AK3118" s="9" t="s">
        <v>855</v>
      </c>
      <c r="AL3118" s="22">
        <v>438</v>
      </c>
      <c r="AM3118" s="22"/>
      <c r="AN3118" s="22" t="s">
        <v>861</v>
      </c>
      <c r="AO3118" s="22"/>
      <c r="AP3118" s="22"/>
      <c r="AQ3118" s="22"/>
      <c r="AR3118" s="22"/>
      <c r="AS3118" s="22"/>
      <c r="AT3118" s="22"/>
      <c r="AU3118" s="22"/>
      <c r="AV3118" s="22"/>
      <c r="AW3118" s="100">
        <v>45807</v>
      </c>
      <c r="AX3118" s="41">
        <v>979114</v>
      </c>
      <c r="AY3118" s="93">
        <v>1593.5</v>
      </c>
      <c r="AZ3118" s="36">
        <v>3.6379999999999999</v>
      </c>
      <c r="BA3118" s="40">
        <f t="shared" si="217"/>
        <v>438.01539307311708</v>
      </c>
      <c r="BB3118" s="40"/>
      <c r="BD3118" s="9"/>
      <c r="CS3118" s="11">
        <f t="shared" si="214"/>
        <v>438</v>
      </c>
      <c r="CT3118" s="22">
        <f t="shared" si="215"/>
        <v>438.01539307311708</v>
      </c>
      <c r="CU3118" s="22">
        <f t="shared" si="216"/>
        <v>-1.5393073117081713E-2</v>
      </c>
      <c r="CV3118" s="26">
        <f t="shared" si="212"/>
        <v>0</v>
      </c>
    </row>
    <row r="3119" spans="1:100" x14ac:dyDescent="0.2">
      <c r="A3119" s="9" t="s">
        <v>653</v>
      </c>
      <c r="B3119" s="2">
        <v>78</v>
      </c>
      <c r="C3119" s="3" t="s">
        <v>95</v>
      </c>
      <c r="D3119" s="3" t="s">
        <v>96</v>
      </c>
      <c r="E3119" s="2"/>
      <c r="F3119" s="2"/>
      <c r="G3119" s="2" t="s">
        <v>74</v>
      </c>
      <c r="H3119" s="2">
        <v>3</v>
      </c>
      <c r="I3119" s="20">
        <v>90</v>
      </c>
      <c r="J3119" s="20">
        <v>40000</v>
      </c>
      <c r="K3119" s="3">
        <v>0</v>
      </c>
      <c r="L3119" s="3" t="s">
        <v>3</v>
      </c>
      <c r="M3119" s="9" t="s">
        <v>0</v>
      </c>
      <c r="N3119" s="9">
        <v>43062349</v>
      </c>
      <c r="O3119" s="9" t="s">
        <v>654</v>
      </c>
      <c r="S3119" s="9" t="s">
        <v>158</v>
      </c>
      <c r="T3119" s="2" t="s">
        <v>74</v>
      </c>
      <c r="U3119" s="2">
        <v>3</v>
      </c>
      <c r="V3119" s="2">
        <v>90</v>
      </c>
      <c r="W3119" s="10" t="s">
        <v>710</v>
      </c>
      <c r="X3119" s="17">
        <v>45720</v>
      </c>
      <c r="Y3119" s="17">
        <v>45720</v>
      </c>
      <c r="Z3119" s="19" t="s">
        <v>772</v>
      </c>
      <c r="AA3119" s="207">
        <v>40000</v>
      </c>
      <c r="AB3119" s="9">
        <v>84</v>
      </c>
      <c r="AC3119" s="9">
        <v>2</v>
      </c>
      <c r="AD3119" s="17">
        <v>45838</v>
      </c>
      <c r="AE3119" s="54">
        <v>438</v>
      </c>
      <c r="AF3119" s="54"/>
      <c r="AG3119" s="9" t="s">
        <v>134</v>
      </c>
      <c r="AH3119" s="17">
        <v>45869</v>
      </c>
      <c r="AI3119" s="17"/>
      <c r="AJ3119" s="17"/>
      <c r="AK3119" s="9" t="s">
        <v>856</v>
      </c>
      <c r="AL3119" s="22">
        <v>438</v>
      </c>
      <c r="AM3119" s="22"/>
      <c r="AN3119" s="22" t="s">
        <v>862</v>
      </c>
      <c r="AO3119" s="22"/>
      <c r="AP3119" s="22"/>
      <c r="AQ3119" s="22"/>
      <c r="AR3119" s="22"/>
      <c r="AS3119" s="22"/>
      <c r="AT3119" s="22"/>
      <c r="AU3119" s="22"/>
      <c r="AV3119" s="22"/>
      <c r="AW3119" s="100">
        <v>45839</v>
      </c>
      <c r="AX3119" s="41">
        <v>420896</v>
      </c>
      <c r="AY3119" s="93">
        <v>1555</v>
      </c>
      <c r="AZ3119" s="36">
        <v>3.55</v>
      </c>
      <c r="BA3119" s="40">
        <f t="shared" si="217"/>
        <v>438.02816901408454</v>
      </c>
      <c r="BB3119" s="40"/>
      <c r="BD3119" s="9"/>
      <c r="CS3119" s="11">
        <f t="shared" si="214"/>
        <v>438</v>
      </c>
      <c r="CT3119" s="22">
        <f t="shared" si="215"/>
        <v>438.02816901408454</v>
      </c>
      <c r="CU3119" s="22">
        <f t="shared" si="216"/>
        <v>-2.8169014084539867E-2</v>
      </c>
      <c r="CV3119" s="26">
        <f t="shared" si="212"/>
        <v>0</v>
      </c>
    </row>
    <row r="3120" spans="1:100" x14ac:dyDescent="0.2">
      <c r="A3120" s="9" t="s">
        <v>653</v>
      </c>
      <c r="B3120" s="2">
        <v>78</v>
      </c>
      <c r="C3120" s="3" t="s">
        <v>95</v>
      </c>
      <c r="D3120" s="3" t="s">
        <v>96</v>
      </c>
      <c r="E3120" s="2"/>
      <c r="F3120" s="2"/>
      <c r="G3120" s="2" t="s">
        <v>74</v>
      </c>
      <c r="H3120" s="2">
        <v>3</v>
      </c>
      <c r="I3120" s="20">
        <v>90</v>
      </c>
      <c r="J3120" s="20">
        <v>40000</v>
      </c>
      <c r="K3120" s="3">
        <v>0</v>
      </c>
      <c r="L3120" s="3" t="s">
        <v>3</v>
      </c>
      <c r="M3120" s="9" t="s">
        <v>0</v>
      </c>
      <c r="N3120" s="9">
        <v>43062349</v>
      </c>
      <c r="O3120" s="9" t="s">
        <v>654</v>
      </c>
      <c r="S3120" s="9" t="s">
        <v>158</v>
      </c>
      <c r="T3120" s="2" t="s">
        <v>74</v>
      </c>
      <c r="U3120" s="2">
        <v>3</v>
      </c>
      <c r="V3120" s="2">
        <v>90</v>
      </c>
      <c r="W3120" s="10" t="s">
        <v>710</v>
      </c>
      <c r="X3120" s="17">
        <v>45720</v>
      </c>
      <c r="Y3120" s="17">
        <v>45720</v>
      </c>
      <c r="Z3120" s="19" t="s">
        <v>772</v>
      </c>
      <c r="AA3120" s="207">
        <v>40000</v>
      </c>
      <c r="AB3120" s="9">
        <v>84</v>
      </c>
      <c r="AC3120" s="9">
        <v>3</v>
      </c>
      <c r="AD3120" s="17">
        <v>45868</v>
      </c>
      <c r="AE3120" s="54">
        <v>438</v>
      </c>
      <c r="AF3120" s="54"/>
      <c r="AG3120" s="9" t="s">
        <v>134</v>
      </c>
      <c r="AH3120" s="17">
        <v>45869</v>
      </c>
      <c r="AI3120" s="17"/>
      <c r="AJ3120" s="17"/>
      <c r="AK3120" s="9" t="s">
        <v>857</v>
      </c>
      <c r="AL3120" s="22">
        <v>438</v>
      </c>
      <c r="AM3120" s="22"/>
      <c r="AN3120" s="22" t="s">
        <v>863</v>
      </c>
      <c r="AO3120" s="22"/>
      <c r="AP3120" s="22"/>
      <c r="AQ3120" s="22"/>
      <c r="AR3120" s="22"/>
      <c r="AS3120" s="22"/>
      <c r="AT3120" s="22"/>
      <c r="AU3120" s="22"/>
      <c r="AV3120" s="22"/>
      <c r="AW3120" s="100">
        <v>45869</v>
      </c>
      <c r="AX3120" s="41">
        <v>108070</v>
      </c>
      <c r="AY3120" s="93">
        <v>1555</v>
      </c>
      <c r="AZ3120" s="36">
        <v>3.55</v>
      </c>
      <c r="BA3120" s="40">
        <f t="shared" si="217"/>
        <v>438.02816901408454</v>
      </c>
      <c r="BB3120" s="40"/>
      <c r="BD3120" s="9"/>
      <c r="CS3120" s="11">
        <f t="shared" si="214"/>
        <v>438</v>
      </c>
      <c r="CT3120" s="22">
        <f t="shared" si="215"/>
        <v>438.02816901408454</v>
      </c>
      <c r="CU3120" s="22">
        <f t="shared" si="216"/>
        <v>-2.8169014084539867E-2</v>
      </c>
      <c r="CV3120" s="26">
        <f t="shared" si="212"/>
        <v>0</v>
      </c>
    </row>
    <row r="3121" spans="1:100" ht="12.75" x14ac:dyDescent="0.2">
      <c r="A3121" s="9" t="s">
        <v>653</v>
      </c>
      <c r="B3121" s="2">
        <v>78</v>
      </c>
      <c r="C3121" s="3" t="s">
        <v>95</v>
      </c>
      <c r="D3121" s="3" t="s">
        <v>96</v>
      </c>
      <c r="E3121" s="2"/>
      <c r="F3121" s="2"/>
      <c r="G3121" s="2" t="s">
        <v>74</v>
      </c>
      <c r="H3121" s="2">
        <v>3</v>
      </c>
      <c r="I3121" s="20">
        <v>90</v>
      </c>
      <c r="J3121" s="20">
        <v>40000</v>
      </c>
      <c r="K3121" s="3">
        <v>0</v>
      </c>
      <c r="L3121" s="3" t="s">
        <v>3</v>
      </c>
      <c r="M3121" s="9" t="s">
        <v>0</v>
      </c>
      <c r="N3121" s="9">
        <v>43062349</v>
      </c>
      <c r="O3121" s="9" t="s">
        <v>654</v>
      </c>
      <c r="S3121" s="9" t="s">
        <v>158</v>
      </c>
      <c r="T3121" s="2" t="s">
        <v>74</v>
      </c>
      <c r="U3121" s="2">
        <v>3</v>
      </c>
      <c r="V3121" s="2">
        <v>90</v>
      </c>
      <c r="W3121" s="10" t="s">
        <v>710</v>
      </c>
      <c r="X3121" s="17">
        <v>45720</v>
      </c>
      <c r="Y3121" s="17">
        <v>45720</v>
      </c>
      <c r="Z3121" s="19" t="s">
        <v>772</v>
      </c>
      <c r="AA3121" s="207">
        <v>40000</v>
      </c>
      <c r="AB3121" s="9">
        <v>84</v>
      </c>
      <c r="AC3121" s="9">
        <v>4</v>
      </c>
      <c r="AD3121" s="17">
        <v>45899</v>
      </c>
      <c r="AE3121" s="54">
        <v>438</v>
      </c>
      <c r="AF3121" s="54"/>
      <c r="AG3121" s="9" t="s">
        <v>134</v>
      </c>
      <c r="AH3121" s="17">
        <v>45901</v>
      </c>
      <c r="AI3121" s="17"/>
      <c r="AJ3121" s="17"/>
      <c r="AK3121" s="9" t="s">
        <v>858</v>
      </c>
      <c r="AL3121" s="22">
        <v>438</v>
      </c>
      <c r="AM3121" s="22"/>
      <c r="AN3121" s="22" t="s">
        <v>864</v>
      </c>
      <c r="AO3121" s="22"/>
      <c r="AP3121" s="22"/>
      <c r="AQ3121" s="22"/>
      <c r="AR3121" s="22"/>
      <c r="AS3121" s="22"/>
      <c r="AT3121" s="22"/>
      <c r="AU3121" s="22"/>
      <c r="AV3121" s="22"/>
      <c r="AW3121" s="101">
        <v>45899</v>
      </c>
      <c r="AX3121" s="102">
        <v>986329</v>
      </c>
      <c r="AY3121" s="103">
        <v>1555</v>
      </c>
      <c r="AZ3121" s="36">
        <v>3.55</v>
      </c>
      <c r="BA3121" s="40">
        <f t="shared" si="217"/>
        <v>438.02816901408454</v>
      </c>
      <c r="BB3121" s="40"/>
      <c r="BD3121" s="9"/>
      <c r="CS3121" s="11">
        <f t="shared" si="214"/>
        <v>438</v>
      </c>
      <c r="CT3121" s="22">
        <f t="shared" si="215"/>
        <v>438.02816901408454</v>
      </c>
      <c r="CU3121" s="22">
        <f t="shared" si="216"/>
        <v>-2.8169014084539867E-2</v>
      </c>
      <c r="CV3121" s="26">
        <f t="shared" si="212"/>
        <v>0</v>
      </c>
    </row>
    <row r="3122" spans="1:100" ht="12.75" x14ac:dyDescent="0.2">
      <c r="A3122" s="9" t="s">
        <v>653</v>
      </c>
      <c r="B3122" s="2">
        <v>78</v>
      </c>
      <c r="C3122" s="3" t="s">
        <v>95</v>
      </c>
      <c r="D3122" s="3" t="s">
        <v>96</v>
      </c>
      <c r="E3122" s="2"/>
      <c r="F3122" s="2"/>
      <c r="G3122" s="2" t="s">
        <v>74</v>
      </c>
      <c r="H3122" s="2">
        <v>3</v>
      </c>
      <c r="I3122" s="20">
        <v>90</v>
      </c>
      <c r="J3122" s="20">
        <v>40000</v>
      </c>
      <c r="K3122" s="3">
        <v>0</v>
      </c>
      <c r="L3122" s="3" t="s">
        <v>3</v>
      </c>
      <c r="M3122" s="9" t="s">
        <v>0</v>
      </c>
      <c r="N3122" s="9">
        <v>43062349</v>
      </c>
      <c r="O3122" s="9" t="s">
        <v>654</v>
      </c>
      <c r="S3122" s="9" t="s">
        <v>158</v>
      </c>
      <c r="T3122" s="2" t="s">
        <v>74</v>
      </c>
      <c r="U3122" s="2">
        <v>3</v>
      </c>
      <c r="V3122" s="2">
        <v>90</v>
      </c>
      <c r="W3122" s="10" t="s">
        <v>710</v>
      </c>
      <c r="X3122" s="17">
        <v>45720</v>
      </c>
      <c r="Y3122" s="17">
        <v>45720</v>
      </c>
      <c r="Z3122" s="19" t="s">
        <v>772</v>
      </c>
      <c r="AA3122" s="207">
        <v>40000</v>
      </c>
      <c r="AB3122" s="9">
        <v>84</v>
      </c>
      <c r="AC3122" s="9">
        <v>5</v>
      </c>
      <c r="AD3122" s="17">
        <v>45930</v>
      </c>
      <c r="AE3122" s="54">
        <v>438</v>
      </c>
      <c r="AF3122" s="54"/>
      <c r="AG3122" s="9" t="s">
        <v>134</v>
      </c>
      <c r="AH3122" s="17">
        <v>45930</v>
      </c>
      <c r="AI3122" s="17"/>
      <c r="AJ3122" s="17"/>
      <c r="AK3122" s="9" t="s">
        <v>859</v>
      </c>
      <c r="AL3122" s="22">
        <v>438</v>
      </c>
      <c r="AM3122" s="22"/>
      <c r="AN3122" s="22" t="s">
        <v>865</v>
      </c>
      <c r="AO3122" s="22"/>
      <c r="AP3122" s="22"/>
      <c r="AQ3122" s="22"/>
      <c r="AR3122" s="22"/>
      <c r="AS3122" s="22"/>
      <c r="AT3122" s="22"/>
      <c r="AU3122" s="22"/>
      <c r="AV3122" s="22"/>
      <c r="AW3122" s="101">
        <v>45930</v>
      </c>
      <c r="AX3122" s="102">
        <v>930203</v>
      </c>
      <c r="AY3122" s="103">
        <v>1533</v>
      </c>
      <c r="AZ3122" s="36">
        <v>3.5</v>
      </c>
      <c r="BA3122" s="40">
        <f t="shared" si="217"/>
        <v>438</v>
      </c>
      <c r="BB3122" s="40"/>
      <c r="BD3122" s="9"/>
      <c r="CS3122" s="11">
        <f t="shared" si="214"/>
        <v>438</v>
      </c>
      <c r="CT3122" s="22">
        <f t="shared" si="215"/>
        <v>438</v>
      </c>
      <c r="CU3122" s="22">
        <f t="shared" si="216"/>
        <v>0</v>
      </c>
      <c r="CV3122" s="26">
        <f t="shared" si="212"/>
        <v>0</v>
      </c>
    </row>
    <row r="3123" spans="1:100" x14ac:dyDescent="0.2">
      <c r="A3123" s="9" t="s">
        <v>653</v>
      </c>
      <c r="B3123" s="2">
        <v>78</v>
      </c>
      <c r="C3123" s="3" t="s">
        <v>95</v>
      </c>
      <c r="D3123" s="3" t="s">
        <v>96</v>
      </c>
      <c r="E3123" s="2"/>
      <c r="F3123" s="2"/>
      <c r="G3123" s="2" t="s">
        <v>74</v>
      </c>
      <c r="H3123" s="2">
        <v>3</v>
      </c>
      <c r="I3123" s="20">
        <v>90</v>
      </c>
      <c r="J3123" s="20">
        <v>40000</v>
      </c>
      <c r="K3123" s="3">
        <v>0</v>
      </c>
      <c r="L3123" s="3" t="s">
        <v>3</v>
      </c>
      <c r="M3123" s="9" t="s">
        <v>0</v>
      </c>
      <c r="N3123" s="9">
        <v>43062349</v>
      </c>
      <c r="O3123" s="9" t="s">
        <v>654</v>
      </c>
      <c r="S3123" s="9" t="s">
        <v>158</v>
      </c>
      <c r="T3123" s="2" t="s">
        <v>74</v>
      </c>
      <c r="U3123" s="2">
        <v>3</v>
      </c>
      <c r="V3123" s="2">
        <v>90</v>
      </c>
      <c r="W3123" s="10" t="s">
        <v>710</v>
      </c>
      <c r="X3123" s="17">
        <v>45720</v>
      </c>
      <c r="Y3123" s="17">
        <v>45720</v>
      </c>
      <c r="Z3123" s="19" t="s">
        <v>772</v>
      </c>
      <c r="AA3123" s="207">
        <v>40000</v>
      </c>
      <c r="AB3123" s="9">
        <v>84</v>
      </c>
      <c r="AC3123" s="9">
        <v>6</v>
      </c>
      <c r="AD3123" s="17">
        <v>45960</v>
      </c>
      <c r="AE3123" s="54">
        <v>438</v>
      </c>
      <c r="AF3123" s="54"/>
      <c r="AL3123" s="9"/>
      <c r="AM3123" s="9"/>
      <c r="AN3123" s="9"/>
      <c r="AO3123" s="22"/>
      <c r="AP3123" s="22"/>
      <c r="AQ3123" s="22"/>
      <c r="AR3123" s="22"/>
      <c r="AS3123" s="22"/>
      <c r="AT3123" s="22"/>
      <c r="AU3123" s="22"/>
      <c r="AV3123" s="22"/>
      <c r="AW3123" s="9"/>
      <c r="BA3123" s="22"/>
      <c r="BB3123" s="22"/>
      <c r="BD3123" s="9"/>
      <c r="CS3123" s="11">
        <f t="shared" si="214"/>
        <v>0</v>
      </c>
      <c r="CT3123" s="22">
        <f t="shared" si="215"/>
        <v>0</v>
      </c>
      <c r="CU3123" s="22">
        <f t="shared" si="216"/>
        <v>0</v>
      </c>
      <c r="CV3123" s="26">
        <f t="shared" si="212"/>
        <v>438</v>
      </c>
    </row>
    <row r="3124" spans="1:100" x14ac:dyDescent="0.2">
      <c r="A3124" s="9" t="s">
        <v>653</v>
      </c>
      <c r="B3124" s="2">
        <v>78</v>
      </c>
      <c r="C3124" s="3" t="s">
        <v>95</v>
      </c>
      <c r="D3124" s="3" t="s">
        <v>96</v>
      </c>
      <c r="E3124" s="2"/>
      <c r="F3124" s="2"/>
      <c r="G3124" s="2" t="s">
        <v>74</v>
      </c>
      <c r="H3124" s="2">
        <v>3</v>
      </c>
      <c r="I3124" s="20">
        <v>90</v>
      </c>
      <c r="J3124" s="20">
        <v>40000</v>
      </c>
      <c r="K3124" s="3">
        <v>0</v>
      </c>
      <c r="L3124" s="3" t="s">
        <v>3</v>
      </c>
      <c r="M3124" s="9" t="s">
        <v>0</v>
      </c>
      <c r="N3124" s="9">
        <v>43062349</v>
      </c>
      <c r="O3124" s="9" t="s">
        <v>654</v>
      </c>
      <c r="S3124" s="9" t="s">
        <v>158</v>
      </c>
      <c r="T3124" s="2" t="s">
        <v>74</v>
      </c>
      <c r="U3124" s="2">
        <v>3</v>
      </c>
      <c r="V3124" s="2">
        <v>90</v>
      </c>
      <c r="W3124" s="10" t="s">
        <v>710</v>
      </c>
      <c r="X3124" s="17">
        <v>45720</v>
      </c>
      <c r="Y3124" s="17">
        <v>45720</v>
      </c>
      <c r="Z3124" s="19" t="s">
        <v>772</v>
      </c>
      <c r="AA3124" s="207">
        <v>40000</v>
      </c>
      <c r="AB3124" s="9">
        <v>84</v>
      </c>
      <c r="AC3124" s="9">
        <v>7</v>
      </c>
      <c r="AD3124" s="17">
        <v>45991</v>
      </c>
      <c r="AE3124" s="54">
        <v>438</v>
      </c>
      <c r="AF3124" s="54"/>
      <c r="AL3124" s="9"/>
      <c r="AM3124" s="9"/>
      <c r="AN3124" s="9"/>
      <c r="AO3124" s="22"/>
      <c r="AP3124" s="22"/>
      <c r="AQ3124" s="22"/>
      <c r="AR3124" s="22"/>
      <c r="AS3124" s="22"/>
      <c r="AT3124" s="22"/>
      <c r="AU3124" s="22"/>
      <c r="AV3124" s="22"/>
      <c r="AW3124" s="9"/>
      <c r="BA3124" s="22"/>
      <c r="BB3124" s="22"/>
      <c r="BD3124" s="9"/>
      <c r="CS3124" s="11">
        <f t="shared" si="214"/>
        <v>0</v>
      </c>
      <c r="CT3124" s="22">
        <f t="shared" si="215"/>
        <v>0</v>
      </c>
      <c r="CU3124" s="22">
        <f t="shared" si="216"/>
        <v>0</v>
      </c>
      <c r="CV3124" s="26">
        <f t="shared" si="212"/>
        <v>438</v>
      </c>
    </row>
    <row r="3125" spans="1:100" x14ac:dyDescent="0.2">
      <c r="A3125" s="9" t="s">
        <v>653</v>
      </c>
      <c r="B3125" s="2">
        <v>78</v>
      </c>
      <c r="C3125" s="3" t="s">
        <v>95</v>
      </c>
      <c r="D3125" s="3" t="s">
        <v>96</v>
      </c>
      <c r="E3125" s="2"/>
      <c r="F3125" s="2"/>
      <c r="G3125" s="2" t="s">
        <v>74</v>
      </c>
      <c r="H3125" s="2">
        <v>3</v>
      </c>
      <c r="I3125" s="20">
        <v>90</v>
      </c>
      <c r="J3125" s="20">
        <v>40000</v>
      </c>
      <c r="K3125" s="3">
        <v>0</v>
      </c>
      <c r="L3125" s="3" t="s">
        <v>3</v>
      </c>
      <c r="M3125" s="9" t="s">
        <v>0</v>
      </c>
      <c r="N3125" s="9">
        <v>43062349</v>
      </c>
      <c r="O3125" s="9" t="s">
        <v>654</v>
      </c>
      <c r="S3125" s="9" t="s">
        <v>158</v>
      </c>
      <c r="T3125" s="2" t="s">
        <v>74</v>
      </c>
      <c r="U3125" s="2">
        <v>3</v>
      </c>
      <c r="V3125" s="2">
        <v>90</v>
      </c>
      <c r="W3125" s="10" t="s">
        <v>710</v>
      </c>
      <c r="X3125" s="17">
        <v>45720</v>
      </c>
      <c r="Y3125" s="17">
        <v>45720</v>
      </c>
      <c r="Z3125" s="19" t="s">
        <v>772</v>
      </c>
      <c r="AA3125" s="207">
        <v>40000</v>
      </c>
      <c r="AB3125" s="9">
        <v>84</v>
      </c>
      <c r="AC3125" s="9">
        <v>8</v>
      </c>
      <c r="AD3125" s="17">
        <v>46021</v>
      </c>
      <c r="AE3125" s="54">
        <v>438</v>
      </c>
      <c r="AF3125" s="54"/>
      <c r="AL3125" s="22"/>
      <c r="AM3125" s="22"/>
      <c r="AN3125" s="22"/>
      <c r="AO3125" s="22"/>
      <c r="AP3125" s="22"/>
      <c r="AQ3125" s="22"/>
      <c r="AR3125" s="22"/>
      <c r="AS3125" s="22"/>
      <c r="AT3125" s="22"/>
      <c r="AU3125" s="22"/>
      <c r="AV3125" s="22"/>
      <c r="AW3125" s="17"/>
      <c r="AX3125" s="86"/>
      <c r="BA3125" s="22"/>
      <c r="BB3125" s="22"/>
      <c r="BD3125" s="9"/>
      <c r="CS3125" s="11">
        <f t="shared" si="214"/>
        <v>0</v>
      </c>
      <c r="CT3125" s="22">
        <f t="shared" si="215"/>
        <v>0</v>
      </c>
      <c r="CU3125" s="22">
        <f t="shared" si="216"/>
        <v>0</v>
      </c>
      <c r="CV3125" s="26">
        <f t="shared" si="212"/>
        <v>438</v>
      </c>
    </row>
    <row r="3126" spans="1:100" x14ac:dyDescent="0.2">
      <c r="A3126" s="9" t="s">
        <v>653</v>
      </c>
      <c r="B3126" s="2">
        <v>78</v>
      </c>
      <c r="C3126" s="3" t="s">
        <v>95</v>
      </c>
      <c r="D3126" s="3" t="s">
        <v>96</v>
      </c>
      <c r="E3126" s="2"/>
      <c r="F3126" s="2"/>
      <c r="G3126" s="2" t="s">
        <v>74</v>
      </c>
      <c r="H3126" s="2">
        <v>3</v>
      </c>
      <c r="I3126" s="20">
        <v>90</v>
      </c>
      <c r="J3126" s="20">
        <v>40000</v>
      </c>
      <c r="K3126" s="3">
        <v>0</v>
      </c>
      <c r="L3126" s="3" t="s">
        <v>3</v>
      </c>
      <c r="M3126" s="9" t="s">
        <v>0</v>
      </c>
      <c r="N3126" s="9">
        <v>43062349</v>
      </c>
      <c r="O3126" s="9" t="s">
        <v>654</v>
      </c>
      <c r="S3126" s="9" t="s">
        <v>158</v>
      </c>
      <c r="T3126" s="2" t="s">
        <v>74</v>
      </c>
      <c r="U3126" s="2">
        <v>3</v>
      </c>
      <c r="V3126" s="2">
        <v>90</v>
      </c>
      <c r="W3126" s="10" t="s">
        <v>710</v>
      </c>
      <c r="X3126" s="17">
        <v>45720</v>
      </c>
      <c r="Y3126" s="17">
        <v>45720</v>
      </c>
      <c r="Z3126" s="19" t="s">
        <v>772</v>
      </c>
      <c r="AA3126" s="207">
        <v>40000</v>
      </c>
      <c r="AB3126" s="9">
        <v>84</v>
      </c>
      <c r="AC3126" s="9">
        <v>9</v>
      </c>
      <c r="AD3126" s="17">
        <v>46052</v>
      </c>
      <c r="AE3126" s="54">
        <v>438</v>
      </c>
      <c r="AF3126" s="54"/>
      <c r="AL3126" s="22"/>
      <c r="AM3126" s="22"/>
      <c r="AN3126" s="22"/>
      <c r="AO3126" s="22"/>
      <c r="AP3126" s="22"/>
      <c r="AQ3126" s="22"/>
      <c r="AR3126" s="22"/>
      <c r="AS3126" s="22"/>
      <c r="AT3126" s="22"/>
      <c r="AU3126" s="22"/>
      <c r="AV3126" s="22"/>
      <c r="AW3126" s="17"/>
      <c r="AX3126" s="86"/>
      <c r="BA3126" s="22"/>
      <c r="BB3126" s="22"/>
      <c r="BD3126" s="9"/>
      <c r="CS3126" s="11">
        <f t="shared" si="214"/>
        <v>0</v>
      </c>
      <c r="CT3126" s="22">
        <f t="shared" si="215"/>
        <v>0</v>
      </c>
      <c r="CU3126" s="22">
        <f t="shared" si="216"/>
        <v>0</v>
      </c>
      <c r="CV3126" s="26">
        <f t="shared" si="212"/>
        <v>438</v>
      </c>
    </row>
    <row r="3127" spans="1:100" x14ac:dyDescent="0.2">
      <c r="A3127" s="9" t="s">
        <v>653</v>
      </c>
      <c r="B3127" s="2">
        <v>78</v>
      </c>
      <c r="C3127" s="3" t="s">
        <v>95</v>
      </c>
      <c r="D3127" s="3" t="s">
        <v>96</v>
      </c>
      <c r="E3127" s="2"/>
      <c r="F3127" s="2"/>
      <c r="G3127" s="2" t="s">
        <v>74</v>
      </c>
      <c r="H3127" s="2">
        <v>3</v>
      </c>
      <c r="I3127" s="20">
        <v>90</v>
      </c>
      <c r="J3127" s="20">
        <v>40000</v>
      </c>
      <c r="K3127" s="3">
        <v>0</v>
      </c>
      <c r="L3127" s="3" t="s">
        <v>3</v>
      </c>
      <c r="M3127" s="9" t="s">
        <v>0</v>
      </c>
      <c r="N3127" s="9">
        <v>43062349</v>
      </c>
      <c r="O3127" s="9" t="s">
        <v>654</v>
      </c>
      <c r="S3127" s="9" t="s">
        <v>158</v>
      </c>
      <c r="T3127" s="2" t="s">
        <v>74</v>
      </c>
      <c r="U3127" s="2">
        <v>3</v>
      </c>
      <c r="V3127" s="2">
        <v>90</v>
      </c>
      <c r="W3127" s="10" t="s">
        <v>710</v>
      </c>
      <c r="X3127" s="17">
        <v>45720</v>
      </c>
      <c r="Y3127" s="17">
        <v>45720</v>
      </c>
      <c r="Z3127" s="19" t="s">
        <v>772</v>
      </c>
      <c r="AA3127" s="207">
        <v>40000</v>
      </c>
      <c r="AB3127" s="9">
        <v>84</v>
      </c>
      <c r="AC3127" s="9">
        <v>10</v>
      </c>
      <c r="AD3127" s="17">
        <v>46081</v>
      </c>
      <c r="AE3127" s="54">
        <v>438</v>
      </c>
      <c r="AF3127" s="54"/>
      <c r="AL3127" s="22"/>
      <c r="AM3127" s="22"/>
      <c r="AN3127" s="22"/>
      <c r="AO3127" s="22"/>
      <c r="AP3127" s="22"/>
      <c r="AQ3127" s="22"/>
      <c r="AR3127" s="22"/>
      <c r="AS3127" s="22"/>
      <c r="AT3127" s="22"/>
      <c r="AU3127" s="22"/>
      <c r="AV3127" s="22"/>
      <c r="AW3127" s="17"/>
      <c r="AX3127" s="86"/>
      <c r="BA3127" s="22"/>
      <c r="BB3127" s="22"/>
      <c r="BD3127" s="9"/>
      <c r="CS3127" s="11">
        <f t="shared" si="214"/>
        <v>0</v>
      </c>
      <c r="CT3127" s="22">
        <f t="shared" si="215"/>
        <v>0</v>
      </c>
      <c r="CU3127" s="22">
        <f t="shared" si="216"/>
        <v>0</v>
      </c>
      <c r="CV3127" s="26">
        <f t="shared" si="212"/>
        <v>438</v>
      </c>
    </row>
    <row r="3128" spans="1:100" x14ac:dyDescent="0.2">
      <c r="A3128" s="9" t="s">
        <v>653</v>
      </c>
      <c r="B3128" s="2">
        <v>78</v>
      </c>
      <c r="C3128" s="3" t="s">
        <v>95</v>
      </c>
      <c r="D3128" s="3" t="s">
        <v>96</v>
      </c>
      <c r="E3128" s="2"/>
      <c r="F3128" s="2"/>
      <c r="G3128" s="2" t="s">
        <v>74</v>
      </c>
      <c r="H3128" s="2">
        <v>3</v>
      </c>
      <c r="I3128" s="20">
        <v>90</v>
      </c>
      <c r="J3128" s="20">
        <v>40000</v>
      </c>
      <c r="K3128" s="3">
        <v>0</v>
      </c>
      <c r="L3128" s="3" t="s">
        <v>3</v>
      </c>
      <c r="M3128" s="9" t="s">
        <v>0</v>
      </c>
      <c r="N3128" s="9">
        <v>43062349</v>
      </c>
      <c r="O3128" s="9" t="s">
        <v>654</v>
      </c>
      <c r="S3128" s="9" t="s">
        <v>158</v>
      </c>
      <c r="T3128" s="2" t="s">
        <v>74</v>
      </c>
      <c r="U3128" s="2">
        <v>3</v>
      </c>
      <c r="V3128" s="2">
        <v>90</v>
      </c>
      <c r="W3128" s="10" t="s">
        <v>710</v>
      </c>
      <c r="X3128" s="17">
        <v>45720</v>
      </c>
      <c r="Y3128" s="17">
        <v>45720</v>
      </c>
      <c r="Z3128" s="19" t="s">
        <v>772</v>
      </c>
      <c r="AA3128" s="207">
        <v>40000</v>
      </c>
      <c r="AB3128" s="9">
        <v>84</v>
      </c>
      <c r="AC3128" s="9">
        <v>11</v>
      </c>
      <c r="AD3128" s="17">
        <v>46111</v>
      </c>
      <c r="AE3128" s="54">
        <v>438</v>
      </c>
      <c r="AF3128" s="54"/>
      <c r="AL3128" s="22"/>
      <c r="AM3128" s="22"/>
      <c r="AN3128" s="22"/>
      <c r="AO3128" s="22"/>
      <c r="AP3128" s="22"/>
      <c r="AQ3128" s="22"/>
      <c r="AR3128" s="22"/>
      <c r="AS3128" s="22"/>
      <c r="AT3128" s="22"/>
      <c r="AU3128" s="22"/>
      <c r="AV3128" s="22"/>
      <c r="AW3128" s="17"/>
      <c r="AX3128" s="86"/>
      <c r="BA3128" s="22"/>
      <c r="BB3128" s="22"/>
      <c r="BD3128" s="9"/>
      <c r="CS3128" s="11">
        <f t="shared" si="214"/>
        <v>0</v>
      </c>
      <c r="CT3128" s="22">
        <f t="shared" si="215"/>
        <v>0</v>
      </c>
      <c r="CU3128" s="22">
        <f t="shared" si="216"/>
        <v>0</v>
      </c>
      <c r="CV3128" s="26">
        <f t="shared" si="212"/>
        <v>438</v>
      </c>
    </row>
    <row r="3129" spans="1:100" x14ac:dyDescent="0.2">
      <c r="A3129" s="9" t="s">
        <v>653</v>
      </c>
      <c r="B3129" s="2">
        <v>78</v>
      </c>
      <c r="C3129" s="3" t="s">
        <v>95</v>
      </c>
      <c r="D3129" s="3" t="s">
        <v>96</v>
      </c>
      <c r="E3129" s="2"/>
      <c r="F3129" s="2"/>
      <c r="G3129" s="2" t="s">
        <v>74</v>
      </c>
      <c r="H3129" s="2">
        <v>3</v>
      </c>
      <c r="I3129" s="20">
        <v>90</v>
      </c>
      <c r="J3129" s="20">
        <v>40000</v>
      </c>
      <c r="K3129" s="3">
        <v>0</v>
      </c>
      <c r="L3129" s="3" t="s">
        <v>3</v>
      </c>
      <c r="M3129" s="9" t="s">
        <v>0</v>
      </c>
      <c r="N3129" s="9">
        <v>43062349</v>
      </c>
      <c r="O3129" s="9" t="s">
        <v>654</v>
      </c>
      <c r="S3129" s="9" t="s">
        <v>158</v>
      </c>
      <c r="T3129" s="2" t="s">
        <v>74</v>
      </c>
      <c r="U3129" s="2">
        <v>3</v>
      </c>
      <c r="V3129" s="2">
        <v>90</v>
      </c>
      <c r="W3129" s="10" t="s">
        <v>710</v>
      </c>
      <c r="X3129" s="17">
        <v>45720</v>
      </c>
      <c r="Y3129" s="17">
        <v>45720</v>
      </c>
      <c r="Z3129" s="19" t="s">
        <v>772</v>
      </c>
      <c r="AA3129" s="207">
        <v>40000</v>
      </c>
      <c r="AB3129" s="9">
        <v>84</v>
      </c>
      <c r="AC3129" s="9">
        <v>12</v>
      </c>
      <c r="AD3129" s="17">
        <v>46142</v>
      </c>
      <c r="AE3129" s="54">
        <v>438</v>
      </c>
      <c r="AF3129" s="54"/>
      <c r="AL3129" s="22"/>
      <c r="AM3129" s="22"/>
      <c r="AN3129" s="22"/>
      <c r="AO3129" s="22"/>
      <c r="AP3129" s="22"/>
      <c r="AQ3129" s="22"/>
      <c r="AR3129" s="22"/>
      <c r="AS3129" s="22"/>
      <c r="AT3129" s="22"/>
      <c r="AU3129" s="22"/>
      <c r="AV3129" s="22"/>
      <c r="AW3129" s="9"/>
      <c r="BA3129" s="22"/>
      <c r="BB3129" s="22"/>
      <c r="BD3129" s="9"/>
      <c r="CS3129" s="11">
        <f t="shared" si="214"/>
        <v>0</v>
      </c>
      <c r="CT3129" s="22">
        <f t="shared" si="215"/>
        <v>0</v>
      </c>
      <c r="CU3129" s="22">
        <f t="shared" si="216"/>
        <v>0</v>
      </c>
      <c r="CV3129" s="26">
        <f t="shared" ref="CV3129:CV3192" si="218">+AE3129-AL3129-AT3129</f>
        <v>438</v>
      </c>
    </row>
    <row r="3130" spans="1:100" x14ac:dyDescent="0.2">
      <c r="A3130" s="9" t="s">
        <v>653</v>
      </c>
      <c r="B3130" s="2">
        <v>78</v>
      </c>
      <c r="C3130" s="3" t="s">
        <v>95</v>
      </c>
      <c r="D3130" s="3" t="s">
        <v>96</v>
      </c>
      <c r="E3130" s="2"/>
      <c r="F3130" s="2"/>
      <c r="G3130" s="2" t="s">
        <v>74</v>
      </c>
      <c r="H3130" s="2">
        <v>3</v>
      </c>
      <c r="I3130" s="20">
        <v>90</v>
      </c>
      <c r="J3130" s="20">
        <v>40000</v>
      </c>
      <c r="K3130" s="3">
        <v>0</v>
      </c>
      <c r="L3130" s="3" t="s">
        <v>3</v>
      </c>
      <c r="M3130" s="9" t="s">
        <v>0</v>
      </c>
      <c r="N3130" s="9">
        <v>43062349</v>
      </c>
      <c r="O3130" s="9" t="s">
        <v>654</v>
      </c>
      <c r="S3130" s="9" t="s">
        <v>158</v>
      </c>
      <c r="T3130" s="2" t="s">
        <v>74</v>
      </c>
      <c r="U3130" s="2">
        <v>3</v>
      </c>
      <c r="V3130" s="2">
        <v>90</v>
      </c>
      <c r="W3130" s="10" t="s">
        <v>710</v>
      </c>
      <c r="X3130" s="17">
        <v>45720</v>
      </c>
      <c r="Y3130" s="17">
        <v>45720</v>
      </c>
      <c r="Z3130" s="19" t="s">
        <v>772</v>
      </c>
      <c r="AA3130" s="207">
        <v>40000</v>
      </c>
      <c r="AB3130" s="9">
        <v>84</v>
      </c>
      <c r="AC3130" s="9">
        <v>13</v>
      </c>
      <c r="AD3130" s="17">
        <v>46172</v>
      </c>
      <c r="AE3130" s="54">
        <v>438</v>
      </c>
      <c r="AF3130" s="54"/>
      <c r="AL3130" s="22"/>
      <c r="AM3130" s="22"/>
      <c r="AN3130" s="22"/>
      <c r="AO3130" s="22"/>
      <c r="AP3130" s="22"/>
      <c r="AQ3130" s="22"/>
      <c r="AR3130" s="22"/>
      <c r="AS3130" s="22"/>
      <c r="AT3130" s="22"/>
      <c r="AU3130" s="22"/>
      <c r="AV3130" s="22"/>
      <c r="AW3130" s="17"/>
      <c r="AX3130" s="86"/>
      <c r="BA3130" s="22"/>
      <c r="BB3130" s="22"/>
      <c r="BD3130" s="9"/>
      <c r="CS3130" s="11">
        <f t="shared" si="214"/>
        <v>0</v>
      </c>
      <c r="CT3130" s="22">
        <f t="shared" si="215"/>
        <v>0</v>
      </c>
      <c r="CU3130" s="22">
        <f t="shared" si="216"/>
        <v>0</v>
      </c>
      <c r="CV3130" s="26">
        <f t="shared" si="218"/>
        <v>438</v>
      </c>
    </row>
    <row r="3131" spans="1:100" x14ac:dyDescent="0.2">
      <c r="A3131" s="9" t="s">
        <v>653</v>
      </c>
      <c r="B3131" s="2">
        <v>78</v>
      </c>
      <c r="C3131" s="3" t="s">
        <v>95</v>
      </c>
      <c r="D3131" s="3" t="s">
        <v>96</v>
      </c>
      <c r="E3131" s="2"/>
      <c r="F3131" s="2"/>
      <c r="G3131" s="2" t="s">
        <v>74</v>
      </c>
      <c r="H3131" s="2">
        <v>3</v>
      </c>
      <c r="I3131" s="20">
        <v>90</v>
      </c>
      <c r="J3131" s="20">
        <v>40000</v>
      </c>
      <c r="K3131" s="3">
        <v>0</v>
      </c>
      <c r="L3131" s="3" t="s">
        <v>3</v>
      </c>
      <c r="M3131" s="9" t="s">
        <v>0</v>
      </c>
      <c r="N3131" s="9">
        <v>43062349</v>
      </c>
      <c r="O3131" s="9" t="s">
        <v>654</v>
      </c>
      <c r="S3131" s="9" t="s">
        <v>158</v>
      </c>
      <c r="T3131" s="2" t="s">
        <v>74</v>
      </c>
      <c r="U3131" s="2">
        <v>3</v>
      </c>
      <c r="V3131" s="2">
        <v>90</v>
      </c>
      <c r="W3131" s="10" t="s">
        <v>710</v>
      </c>
      <c r="X3131" s="17">
        <v>45720</v>
      </c>
      <c r="Y3131" s="17">
        <v>45720</v>
      </c>
      <c r="Z3131" s="19" t="s">
        <v>772</v>
      </c>
      <c r="AA3131" s="207">
        <v>40000</v>
      </c>
      <c r="AB3131" s="9">
        <v>84</v>
      </c>
      <c r="AC3131" s="9">
        <v>14</v>
      </c>
      <c r="AD3131" s="17">
        <v>46203</v>
      </c>
      <c r="AE3131" s="54">
        <v>438</v>
      </c>
      <c r="AF3131" s="54"/>
      <c r="AL3131" s="22"/>
      <c r="AM3131" s="22"/>
      <c r="AN3131" s="22"/>
      <c r="AO3131" s="22"/>
      <c r="AP3131" s="22"/>
      <c r="AQ3131" s="22"/>
      <c r="AR3131" s="22"/>
      <c r="AS3131" s="22"/>
      <c r="AT3131" s="22"/>
      <c r="AU3131" s="22"/>
      <c r="AV3131" s="22"/>
      <c r="AW3131" s="9"/>
      <c r="BA3131" s="22"/>
      <c r="BB3131" s="22"/>
      <c r="BD3131" s="9"/>
      <c r="CS3131" s="11">
        <f t="shared" si="214"/>
        <v>0</v>
      </c>
      <c r="CT3131" s="22">
        <f t="shared" si="215"/>
        <v>0</v>
      </c>
      <c r="CU3131" s="22">
        <f t="shared" si="216"/>
        <v>0</v>
      </c>
      <c r="CV3131" s="26">
        <f t="shared" si="218"/>
        <v>438</v>
      </c>
    </row>
    <row r="3132" spans="1:100" ht="12.75" x14ac:dyDescent="0.2">
      <c r="A3132" s="9" t="s">
        <v>653</v>
      </c>
      <c r="B3132" s="2">
        <v>78</v>
      </c>
      <c r="C3132" s="3" t="s">
        <v>95</v>
      </c>
      <c r="D3132" s="3" t="s">
        <v>96</v>
      </c>
      <c r="E3132" s="2"/>
      <c r="F3132" s="2"/>
      <c r="G3132" s="2" t="s">
        <v>74</v>
      </c>
      <c r="H3132" s="2">
        <v>3</v>
      </c>
      <c r="I3132" s="20">
        <v>90</v>
      </c>
      <c r="J3132" s="20">
        <v>40000</v>
      </c>
      <c r="K3132" s="3">
        <v>0</v>
      </c>
      <c r="L3132" s="3" t="s">
        <v>3</v>
      </c>
      <c r="M3132" s="9" t="s">
        <v>0</v>
      </c>
      <c r="N3132" s="9">
        <v>43062349</v>
      </c>
      <c r="O3132" s="9" t="s">
        <v>654</v>
      </c>
      <c r="S3132" s="9" t="s">
        <v>158</v>
      </c>
      <c r="T3132" s="2" t="s">
        <v>74</v>
      </c>
      <c r="U3132" s="2">
        <v>3</v>
      </c>
      <c r="V3132" s="2">
        <v>90</v>
      </c>
      <c r="W3132" s="10" t="s">
        <v>710</v>
      </c>
      <c r="X3132" s="17">
        <v>45720</v>
      </c>
      <c r="Y3132" s="17">
        <v>45720</v>
      </c>
      <c r="Z3132" s="19" t="s">
        <v>772</v>
      </c>
      <c r="AA3132" s="207">
        <v>40000</v>
      </c>
      <c r="AB3132" s="9">
        <v>84</v>
      </c>
      <c r="AC3132" s="9">
        <v>15</v>
      </c>
      <c r="AD3132" s="17">
        <v>46233</v>
      </c>
      <c r="AE3132" s="54">
        <v>438</v>
      </c>
      <c r="AF3132" s="54"/>
      <c r="AL3132" s="22"/>
      <c r="AM3132" s="22"/>
      <c r="AN3132" s="22"/>
      <c r="AO3132" s="22"/>
      <c r="AP3132" s="22"/>
      <c r="AQ3132" s="22"/>
      <c r="AR3132" s="22"/>
      <c r="AS3132" s="22"/>
      <c r="AT3132" s="22"/>
      <c r="AU3132" s="22"/>
      <c r="AV3132" s="22"/>
      <c r="AW3132" s="97"/>
      <c r="AX3132" s="98"/>
      <c r="AY3132" s="99"/>
      <c r="BA3132" s="22"/>
      <c r="BB3132" s="22"/>
      <c r="BD3132" s="9"/>
      <c r="CS3132" s="11">
        <f t="shared" si="214"/>
        <v>0</v>
      </c>
      <c r="CT3132" s="22">
        <f t="shared" si="215"/>
        <v>0</v>
      </c>
      <c r="CU3132" s="22">
        <f t="shared" si="216"/>
        <v>0</v>
      </c>
      <c r="CV3132" s="26">
        <f t="shared" si="218"/>
        <v>438</v>
      </c>
    </row>
    <row r="3133" spans="1:100" x14ac:dyDescent="0.2">
      <c r="A3133" s="9" t="s">
        <v>653</v>
      </c>
      <c r="B3133" s="2">
        <v>78</v>
      </c>
      <c r="C3133" s="3" t="s">
        <v>95</v>
      </c>
      <c r="D3133" s="3" t="s">
        <v>96</v>
      </c>
      <c r="E3133" s="2"/>
      <c r="F3133" s="2"/>
      <c r="G3133" s="2" t="s">
        <v>74</v>
      </c>
      <c r="H3133" s="2">
        <v>3</v>
      </c>
      <c r="I3133" s="20">
        <v>90</v>
      </c>
      <c r="J3133" s="20">
        <v>40000</v>
      </c>
      <c r="K3133" s="3">
        <v>0</v>
      </c>
      <c r="L3133" s="3" t="s">
        <v>3</v>
      </c>
      <c r="M3133" s="9" t="s">
        <v>0</v>
      </c>
      <c r="N3133" s="9">
        <v>43062349</v>
      </c>
      <c r="O3133" s="9" t="s">
        <v>654</v>
      </c>
      <c r="S3133" s="9" t="s">
        <v>158</v>
      </c>
      <c r="T3133" s="2" t="s">
        <v>74</v>
      </c>
      <c r="U3133" s="2">
        <v>3</v>
      </c>
      <c r="V3133" s="2">
        <v>90</v>
      </c>
      <c r="W3133" s="10" t="s">
        <v>710</v>
      </c>
      <c r="X3133" s="17">
        <v>45720</v>
      </c>
      <c r="Y3133" s="17">
        <v>45720</v>
      </c>
      <c r="Z3133" s="19" t="s">
        <v>772</v>
      </c>
      <c r="AA3133" s="207">
        <v>40000</v>
      </c>
      <c r="AB3133" s="9">
        <v>84</v>
      </c>
      <c r="AC3133" s="9">
        <v>16</v>
      </c>
      <c r="AD3133" s="17">
        <v>46264</v>
      </c>
      <c r="AE3133" s="54">
        <v>438</v>
      </c>
      <c r="AF3133" s="54"/>
      <c r="AL3133" s="22"/>
      <c r="AM3133" s="22"/>
      <c r="AN3133" s="22"/>
      <c r="AO3133" s="22"/>
      <c r="AP3133" s="22"/>
      <c r="AQ3133" s="22"/>
      <c r="AR3133" s="22"/>
      <c r="AS3133" s="22"/>
      <c r="AT3133" s="22"/>
      <c r="AU3133" s="22"/>
      <c r="AV3133" s="22"/>
      <c r="AW3133" s="9"/>
      <c r="BA3133" s="22"/>
      <c r="BB3133" s="22"/>
      <c r="BD3133" s="9"/>
      <c r="CS3133" s="11">
        <f t="shared" si="214"/>
        <v>0</v>
      </c>
      <c r="CT3133" s="22">
        <f t="shared" si="215"/>
        <v>0</v>
      </c>
      <c r="CU3133" s="22">
        <f t="shared" si="216"/>
        <v>0</v>
      </c>
      <c r="CV3133" s="26">
        <f t="shared" si="218"/>
        <v>438</v>
      </c>
    </row>
    <row r="3134" spans="1:100" x14ac:dyDescent="0.2">
      <c r="A3134" s="9" t="s">
        <v>653</v>
      </c>
      <c r="B3134" s="2">
        <v>78</v>
      </c>
      <c r="C3134" s="3" t="s">
        <v>95</v>
      </c>
      <c r="D3134" s="3" t="s">
        <v>96</v>
      </c>
      <c r="E3134" s="2"/>
      <c r="F3134" s="2"/>
      <c r="G3134" s="2" t="s">
        <v>74</v>
      </c>
      <c r="H3134" s="2">
        <v>3</v>
      </c>
      <c r="I3134" s="20">
        <v>90</v>
      </c>
      <c r="J3134" s="20">
        <v>40000</v>
      </c>
      <c r="K3134" s="3">
        <v>0</v>
      </c>
      <c r="L3134" s="3" t="s">
        <v>3</v>
      </c>
      <c r="M3134" s="9" t="s">
        <v>0</v>
      </c>
      <c r="N3134" s="9">
        <v>43062349</v>
      </c>
      <c r="O3134" s="9" t="s">
        <v>654</v>
      </c>
      <c r="S3134" s="9" t="s">
        <v>158</v>
      </c>
      <c r="T3134" s="2" t="s">
        <v>74</v>
      </c>
      <c r="U3134" s="2">
        <v>3</v>
      </c>
      <c r="V3134" s="2">
        <v>90</v>
      </c>
      <c r="W3134" s="10" t="s">
        <v>710</v>
      </c>
      <c r="X3134" s="17">
        <v>45720</v>
      </c>
      <c r="Y3134" s="17">
        <v>45720</v>
      </c>
      <c r="Z3134" s="19" t="s">
        <v>772</v>
      </c>
      <c r="AA3134" s="207">
        <v>40000</v>
      </c>
      <c r="AB3134" s="9">
        <v>84</v>
      </c>
      <c r="AC3134" s="9">
        <v>17</v>
      </c>
      <c r="AD3134" s="17">
        <v>46295</v>
      </c>
      <c r="AE3134" s="54">
        <v>438</v>
      </c>
      <c r="AF3134" s="54"/>
      <c r="AL3134" s="22"/>
      <c r="AM3134" s="22"/>
      <c r="AN3134" s="22"/>
      <c r="AO3134" s="22"/>
      <c r="AP3134" s="22"/>
      <c r="AQ3134" s="22"/>
      <c r="AR3134" s="22"/>
      <c r="AS3134" s="22"/>
      <c r="AT3134" s="22"/>
      <c r="AU3134" s="22"/>
      <c r="AV3134" s="22"/>
      <c r="AW3134" s="9"/>
      <c r="BA3134" s="22"/>
      <c r="BB3134" s="22"/>
      <c r="BD3134" s="9"/>
      <c r="CS3134" s="11">
        <f t="shared" si="214"/>
        <v>0</v>
      </c>
      <c r="CT3134" s="22">
        <f t="shared" si="215"/>
        <v>0</v>
      </c>
      <c r="CU3134" s="22">
        <f t="shared" si="216"/>
        <v>0</v>
      </c>
      <c r="CV3134" s="26">
        <f t="shared" si="218"/>
        <v>438</v>
      </c>
    </row>
    <row r="3135" spans="1:100" ht="12.75" x14ac:dyDescent="0.2">
      <c r="A3135" s="9" t="s">
        <v>653</v>
      </c>
      <c r="B3135" s="2">
        <v>78</v>
      </c>
      <c r="C3135" s="3" t="s">
        <v>95</v>
      </c>
      <c r="D3135" s="3" t="s">
        <v>96</v>
      </c>
      <c r="E3135" s="2"/>
      <c r="F3135" s="2"/>
      <c r="G3135" s="2" t="s">
        <v>74</v>
      </c>
      <c r="H3135" s="2">
        <v>3</v>
      </c>
      <c r="I3135" s="20">
        <v>90</v>
      </c>
      <c r="J3135" s="20">
        <v>40000</v>
      </c>
      <c r="K3135" s="3">
        <v>0</v>
      </c>
      <c r="L3135" s="3" t="s">
        <v>3</v>
      </c>
      <c r="M3135" s="9" t="s">
        <v>0</v>
      </c>
      <c r="N3135" s="9">
        <v>43062349</v>
      </c>
      <c r="O3135" s="9" t="s">
        <v>654</v>
      </c>
      <c r="S3135" s="9" t="s">
        <v>158</v>
      </c>
      <c r="T3135" s="2" t="s">
        <v>74</v>
      </c>
      <c r="U3135" s="2">
        <v>3</v>
      </c>
      <c r="V3135" s="2">
        <v>90</v>
      </c>
      <c r="W3135" s="10" t="s">
        <v>710</v>
      </c>
      <c r="X3135" s="17">
        <v>45720</v>
      </c>
      <c r="Y3135" s="17">
        <v>45720</v>
      </c>
      <c r="Z3135" s="19" t="s">
        <v>772</v>
      </c>
      <c r="AA3135" s="207">
        <v>40000</v>
      </c>
      <c r="AB3135" s="9">
        <v>84</v>
      </c>
      <c r="AC3135" s="9">
        <v>18</v>
      </c>
      <c r="AD3135" s="17">
        <v>46325</v>
      </c>
      <c r="AE3135" s="54">
        <v>438</v>
      </c>
      <c r="AF3135" s="54"/>
      <c r="AL3135" s="22"/>
      <c r="AM3135" s="22"/>
      <c r="AN3135" s="22"/>
      <c r="AO3135" s="22"/>
      <c r="AP3135" s="22"/>
      <c r="AQ3135" s="22"/>
      <c r="AR3135" s="22"/>
      <c r="AS3135" s="22"/>
      <c r="AT3135" s="22"/>
      <c r="AU3135" s="22"/>
      <c r="AV3135" s="22"/>
      <c r="AW3135" s="97"/>
      <c r="AX3135" s="98"/>
      <c r="AY3135" s="99"/>
      <c r="BA3135" s="22"/>
      <c r="BB3135" s="22"/>
      <c r="BD3135" s="9"/>
      <c r="CS3135" s="11">
        <f t="shared" si="214"/>
        <v>0</v>
      </c>
      <c r="CT3135" s="22">
        <f t="shared" si="215"/>
        <v>0</v>
      </c>
      <c r="CU3135" s="22">
        <f t="shared" si="216"/>
        <v>0</v>
      </c>
      <c r="CV3135" s="26">
        <f t="shared" si="218"/>
        <v>438</v>
      </c>
    </row>
    <row r="3136" spans="1:100" x14ac:dyDescent="0.2">
      <c r="A3136" s="9" t="s">
        <v>653</v>
      </c>
      <c r="B3136" s="2">
        <v>78</v>
      </c>
      <c r="C3136" s="3" t="s">
        <v>95</v>
      </c>
      <c r="D3136" s="3" t="s">
        <v>96</v>
      </c>
      <c r="E3136" s="2"/>
      <c r="F3136" s="2"/>
      <c r="G3136" s="2" t="s">
        <v>74</v>
      </c>
      <c r="H3136" s="2">
        <v>3</v>
      </c>
      <c r="I3136" s="20">
        <v>90</v>
      </c>
      <c r="J3136" s="20">
        <v>40000</v>
      </c>
      <c r="K3136" s="3">
        <v>0</v>
      </c>
      <c r="L3136" s="3" t="s">
        <v>3</v>
      </c>
      <c r="M3136" s="9" t="s">
        <v>0</v>
      </c>
      <c r="N3136" s="9">
        <v>43062349</v>
      </c>
      <c r="O3136" s="9" t="s">
        <v>654</v>
      </c>
      <c r="S3136" s="9" t="s">
        <v>158</v>
      </c>
      <c r="T3136" s="2" t="s">
        <v>74</v>
      </c>
      <c r="U3136" s="2">
        <v>3</v>
      </c>
      <c r="V3136" s="2">
        <v>90</v>
      </c>
      <c r="W3136" s="10" t="s">
        <v>710</v>
      </c>
      <c r="X3136" s="17">
        <v>45720</v>
      </c>
      <c r="Y3136" s="17">
        <v>45720</v>
      </c>
      <c r="Z3136" s="19" t="s">
        <v>772</v>
      </c>
      <c r="AA3136" s="207">
        <v>40000</v>
      </c>
      <c r="AB3136" s="9">
        <v>84</v>
      </c>
      <c r="AC3136" s="9">
        <v>19</v>
      </c>
      <c r="AD3136" s="17">
        <v>46356</v>
      </c>
      <c r="AE3136" s="54">
        <v>438</v>
      </c>
      <c r="AF3136" s="54"/>
      <c r="AL3136" s="22"/>
      <c r="AM3136" s="22"/>
      <c r="AN3136" s="22"/>
      <c r="AO3136" s="22"/>
      <c r="AP3136" s="22"/>
      <c r="AQ3136" s="22"/>
      <c r="AR3136" s="22"/>
      <c r="AS3136" s="22"/>
      <c r="AT3136" s="22"/>
      <c r="AU3136" s="22"/>
      <c r="AV3136" s="22"/>
      <c r="AW3136" s="9"/>
      <c r="BA3136" s="22"/>
      <c r="BB3136" s="22"/>
      <c r="BD3136" s="9"/>
      <c r="CS3136" s="11">
        <f t="shared" si="214"/>
        <v>0</v>
      </c>
      <c r="CT3136" s="22">
        <f t="shared" si="215"/>
        <v>0</v>
      </c>
      <c r="CU3136" s="22">
        <f t="shared" si="216"/>
        <v>0</v>
      </c>
      <c r="CV3136" s="26">
        <f t="shared" si="218"/>
        <v>438</v>
      </c>
    </row>
    <row r="3137" spans="1:100" x14ac:dyDescent="0.2">
      <c r="A3137" s="9" t="s">
        <v>653</v>
      </c>
      <c r="B3137" s="2">
        <v>78</v>
      </c>
      <c r="C3137" s="3" t="s">
        <v>95</v>
      </c>
      <c r="D3137" s="3" t="s">
        <v>96</v>
      </c>
      <c r="E3137" s="2"/>
      <c r="F3137" s="2"/>
      <c r="G3137" s="2" t="s">
        <v>74</v>
      </c>
      <c r="H3137" s="2">
        <v>3</v>
      </c>
      <c r="I3137" s="20">
        <v>90</v>
      </c>
      <c r="J3137" s="20">
        <v>40000</v>
      </c>
      <c r="K3137" s="3">
        <v>0</v>
      </c>
      <c r="L3137" s="3" t="s">
        <v>3</v>
      </c>
      <c r="M3137" s="9" t="s">
        <v>0</v>
      </c>
      <c r="N3137" s="9">
        <v>43062349</v>
      </c>
      <c r="O3137" s="9" t="s">
        <v>654</v>
      </c>
      <c r="S3137" s="9" t="s">
        <v>158</v>
      </c>
      <c r="T3137" s="2" t="s">
        <v>74</v>
      </c>
      <c r="U3137" s="2">
        <v>3</v>
      </c>
      <c r="V3137" s="2">
        <v>90</v>
      </c>
      <c r="W3137" s="10" t="s">
        <v>710</v>
      </c>
      <c r="X3137" s="17">
        <v>45720</v>
      </c>
      <c r="Y3137" s="17">
        <v>45720</v>
      </c>
      <c r="Z3137" s="19" t="s">
        <v>772</v>
      </c>
      <c r="AA3137" s="207">
        <v>40000</v>
      </c>
      <c r="AB3137" s="9">
        <v>84</v>
      </c>
      <c r="AC3137" s="9">
        <v>20</v>
      </c>
      <c r="AD3137" s="17">
        <v>46386</v>
      </c>
      <c r="AE3137" s="54">
        <v>438</v>
      </c>
      <c r="AF3137" s="54"/>
      <c r="AL3137" s="22"/>
      <c r="AM3137" s="22"/>
      <c r="AN3137" s="22"/>
      <c r="AO3137" s="22"/>
      <c r="AP3137" s="22"/>
      <c r="AQ3137" s="22"/>
      <c r="AR3137" s="22"/>
      <c r="AS3137" s="22"/>
      <c r="AT3137" s="22"/>
      <c r="AU3137" s="22"/>
      <c r="AV3137" s="22"/>
      <c r="AW3137" s="9"/>
      <c r="BA3137" s="22"/>
      <c r="BB3137" s="22"/>
      <c r="BD3137" s="9"/>
      <c r="CS3137" s="11">
        <f t="shared" si="214"/>
        <v>0</v>
      </c>
      <c r="CT3137" s="22">
        <f t="shared" si="215"/>
        <v>0</v>
      </c>
      <c r="CU3137" s="22">
        <f t="shared" si="216"/>
        <v>0</v>
      </c>
      <c r="CV3137" s="26">
        <f t="shared" si="218"/>
        <v>438</v>
      </c>
    </row>
    <row r="3138" spans="1:100" x14ac:dyDescent="0.2">
      <c r="A3138" s="9" t="s">
        <v>653</v>
      </c>
      <c r="B3138" s="2">
        <v>78</v>
      </c>
      <c r="C3138" s="3" t="s">
        <v>95</v>
      </c>
      <c r="D3138" s="3" t="s">
        <v>96</v>
      </c>
      <c r="E3138" s="2"/>
      <c r="F3138" s="2"/>
      <c r="G3138" s="2" t="s">
        <v>74</v>
      </c>
      <c r="H3138" s="2">
        <v>3</v>
      </c>
      <c r="I3138" s="20">
        <v>90</v>
      </c>
      <c r="J3138" s="20">
        <v>40000</v>
      </c>
      <c r="K3138" s="3">
        <v>0</v>
      </c>
      <c r="L3138" s="3" t="s">
        <v>3</v>
      </c>
      <c r="M3138" s="9" t="s">
        <v>0</v>
      </c>
      <c r="N3138" s="9">
        <v>43062349</v>
      </c>
      <c r="O3138" s="9" t="s">
        <v>654</v>
      </c>
      <c r="S3138" s="9" t="s">
        <v>158</v>
      </c>
      <c r="T3138" s="2" t="s">
        <v>74</v>
      </c>
      <c r="U3138" s="2">
        <v>3</v>
      </c>
      <c r="V3138" s="2">
        <v>90</v>
      </c>
      <c r="W3138" s="10" t="s">
        <v>710</v>
      </c>
      <c r="X3138" s="17">
        <v>45720</v>
      </c>
      <c r="Y3138" s="17">
        <v>45720</v>
      </c>
      <c r="Z3138" s="19" t="s">
        <v>772</v>
      </c>
      <c r="AA3138" s="207">
        <v>40000</v>
      </c>
      <c r="AB3138" s="9">
        <v>84</v>
      </c>
      <c r="AC3138" s="9">
        <v>21</v>
      </c>
      <c r="AD3138" s="17">
        <v>46417</v>
      </c>
      <c r="AE3138" s="54">
        <v>438</v>
      </c>
      <c r="AF3138" s="54"/>
      <c r="AL3138" s="22"/>
      <c r="AM3138" s="22"/>
      <c r="AN3138" s="22"/>
      <c r="AO3138" s="22"/>
      <c r="AP3138" s="22"/>
      <c r="AQ3138" s="22"/>
      <c r="AR3138" s="22"/>
      <c r="AS3138" s="22"/>
      <c r="AT3138" s="22"/>
      <c r="AU3138" s="22"/>
      <c r="AV3138" s="22"/>
      <c r="AW3138" s="9"/>
      <c r="BA3138" s="22"/>
      <c r="BB3138" s="22"/>
      <c r="BD3138" s="9"/>
      <c r="CS3138" s="11">
        <f t="shared" si="214"/>
        <v>0</v>
      </c>
      <c r="CT3138" s="22">
        <f t="shared" si="215"/>
        <v>0</v>
      </c>
      <c r="CU3138" s="22">
        <f t="shared" si="216"/>
        <v>0</v>
      </c>
      <c r="CV3138" s="26">
        <f t="shared" si="218"/>
        <v>438</v>
      </c>
    </row>
    <row r="3139" spans="1:100" x14ac:dyDescent="0.2">
      <c r="A3139" s="9" t="s">
        <v>653</v>
      </c>
      <c r="B3139" s="2">
        <v>78</v>
      </c>
      <c r="C3139" s="3" t="s">
        <v>95</v>
      </c>
      <c r="D3139" s="3" t="s">
        <v>96</v>
      </c>
      <c r="E3139" s="2"/>
      <c r="F3139" s="2"/>
      <c r="G3139" s="2" t="s">
        <v>74</v>
      </c>
      <c r="H3139" s="2">
        <v>3</v>
      </c>
      <c r="I3139" s="20">
        <v>90</v>
      </c>
      <c r="J3139" s="20">
        <v>40000</v>
      </c>
      <c r="K3139" s="3">
        <v>0</v>
      </c>
      <c r="L3139" s="3" t="s">
        <v>3</v>
      </c>
      <c r="M3139" s="9" t="s">
        <v>0</v>
      </c>
      <c r="N3139" s="9">
        <v>43062349</v>
      </c>
      <c r="O3139" s="9" t="s">
        <v>654</v>
      </c>
      <c r="S3139" s="9" t="s">
        <v>158</v>
      </c>
      <c r="T3139" s="2" t="s">
        <v>74</v>
      </c>
      <c r="U3139" s="2">
        <v>3</v>
      </c>
      <c r="V3139" s="2">
        <v>90</v>
      </c>
      <c r="W3139" s="10" t="s">
        <v>710</v>
      </c>
      <c r="X3139" s="17">
        <v>45720</v>
      </c>
      <c r="Y3139" s="17">
        <v>45720</v>
      </c>
      <c r="Z3139" s="19" t="s">
        <v>772</v>
      </c>
      <c r="AA3139" s="207">
        <v>40000</v>
      </c>
      <c r="AB3139" s="9">
        <v>84</v>
      </c>
      <c r="AC3139" s="9">
        <v>22</v>
      </c>
      <c r="AD3139" s="17">
        <v>46446</v>
      </c>
      <c r="AE3139" s="54">
        <v>438</v>
      </c>
      <c r="AF3139" s="54"/>
      <c r="AL3139" s="22"/>
      <c r="AM3139" s="22"/>
      <c r="AN3139" s="22"/>
      <c r="AO3139" s="22"/>
      <c r="AP3139" s="22"/>
      <c r="AQ3139" s="22"/>
      <c r="AR3139" s="22"/>
      <c r="AS3139" s="22"/>
      <c r="AT3139" s="22"/>
      <c r="AU3139" s="22"/>
      <c r="AV3139" s="22"/>
      <c r="AW3139" s="9"/>
      <c r="BA3139" s="22"/>
      <c r="BB3139" s="22"/>
      <c r="BD3139" s="9"/>
      <c r="CS3139" s="11">
        <f t="shared" si="214"/>
        <v>0</v>
      </c>
      <c r="CT3139" s="22">
        <f t="shared" si="215"/>
        <v>0</v>
      </c>
      <c r="CU3139" s="22">
        <f t="shared" si="216"/>
        <v>0</v>
      </c>
      <c r="CV3139" s="26">
        <f t="shared" si="218"/>
        <v>438</v>
      </c>
    </row>
    <row r="3140" spans="1:100" x14ac:dyDescent="0.2">
      <c r="A3140" s="9" t="s">
        <v>653</v>
      </c>
      <c r="B3140" s="2">
        <v>78</v>
      </c>
      <c r="C3140" s="3" t="s">
        <v>95</v>
      </c>
      <c r="D3140" s="3" t="s">
        <v>96</v>
      </c>
      <c r="E3140" s="2"/>
      <c r="F3140" s="2"/>
      <c r="G3140" s="2" t="s">
        <v>74</v>
      </c>
      <c r="H3140" s="2">
        <v>3</v>
      </c>
      <c r="I3140" s="20">
        <v>90</v>
      </c>
      <c r="J3140" s="20">
        <v>40000</v>
      </c>
      <c r="K3140" s="3">
        <v>0</v>
      </c>
      <c r="L3140" s="3" t="s">
        <v>3</v>
      </c>
      <c r="M3140" s="9" t="s">
        <v>0</v>
      </c>
      <c r="N3140" s="9">
        <v>43062349</v>
      </c>
      <c r="O3140" s="9" t="s">
        <v>654</v>
      </c>
      <c r="S3140" s="9" t="s">
        <v>158</v>
      </c>
      <c r="T3140" s="2" t="s">
        <v>74</v>
      </c>
      <c r="U3140" s="2">
        <v>3</v>
      </c>
      <c r="V3140" s="2">
        <v>90</v>
      </c>
      <c r="W3140" s="10" t="s">
        <v>710</v>
      </c>
      <c r="X3140" s="17">
        <v>45720</v>
      </c>
      <c r="Y3140" s="17">
        <v>45720</v>
      </c>
      <c r="Z3140" s="19" t="s">
        <v>772</v>
      </c>
      <c r="AA3140" s="207">
        <v>40000</v>
      </c>
      <c r="AB3140" s="9">
        <v>84</v>
      </c>
      <c r="AC3140" s="9">
        <v>23</v>
      </c>
      <c r="AD3140" s="17">
        <v>46476</v>
      </c>
      <c r="AE3140" s="54">
        <v>438</v>
      </c>
      <c r="AF3140" s="54"/>
      <c r="AL3140" s="22"/>
      <c r="AM3140" s="22"/>
      <c r="AN3140" s="22"/>
      <c r="AO3140" s="22"/>
      <c r="AP3140" s="22"/>
      <c r="AQ3140" s="22"/>
      <c r="AR3140" s="22"/>
      <c r="AS3140" s="22"/>
      <c r="AT3140" s="22"/>
      <c r="AU3140" s="22"/>
      <c r="AV3140" s="22"/>
      <c r="AW3140" s="9"/>
      <c r="BA3140" s="22"/>
      <c r="BB3140" s="22"/>
      <c r="BD3140" s="9"/>
      <c r="CS3140" s="11">
        <f t="shared" si="214"/>
        <v>0</v>
      </c>
      <c r="CT3140" s="22">
        <f t="shared" si="215"/>
        <v>0</v>
      </c>
      <c r="CU3140" s="22">
        <f t="shared" si="216"/>
        <v>0</v>
      </c>
      <c r="CV3140" s="26">
        <f t="shared" si="218"/>
        <v>438</v>
      </c>
    </row>
    <row r="3141" spans="1:100" x14ac:dyDescent="0.2">
      <c r="A3141" s="9" t="s">
        <v>653</v>
      </c>
      <c r="B3141" s="2">
        <v>78</v>
      </c>
      <c r="C3141" s="3" t="s">
        <v>95</v>
      </c>
      <c r="D3141" s="3" t="s">
        <v>96</v>
      </c>
      <c r="E3141" s="2"/>
      <c r="F3141" s="2"/>
      <c r="G3141" s="2" t="s">
        <v>74</v>
      </c>
      <c r="H3141" s="2">
        <v>3</v>
      </c>
      <c r="I3141" s="20">
        <v>90</v>
      </c>
      <c r="J3141" s="20">
        <v>40000</v>
      </c>
      <c r="K3141" s="3">
        <v>0</v>
      </c>
      <c r="L3141" s="3" t="s">
        <v>3</v>
      </c>
      <c r="M3141" s="9" t="s">
        <v>0</v>
      </c>
      <c r="N3141" s="9">
        <v>43062349</v>
      </c>
      <c r="O3141" s="9" t="s">
        <v>654</v>
      </c>
      <c r="S3141" s="9" t="s">
        <v>158</v>
      </c>
      <c r="T3141" s="2" t="s">
        <v>74</v>
      </c>
      <c r="U3141" s="2">
        <v>3</v>
      </c>
      <c r="V3141" s="2">
        <v>90</v>
      </c>
      <c r="W3141" s="10" t="s">
        <v>710</v>
      </c>
      <c r="X3141" s="17">
        <v>45720</v>
      </c>
      <c r="Y3141" s="17">
        <v>45720</v>
      </c>
      <c r="Z3141" s="19" t="s">
        <v>772</v>
      </c>
      <c r="AA3141" s="207">
        <v>40000</v>
      </c>
      <c r="AB3141" s="9">
        <v>84</v>
      </c>
      <c r="AC3141" s="9">
        <v>24</v>
      </c>
      <c r="AD3141" s="17">
        <v>46507</v>
      </c>
      <c r="AE3141" s="54">
        <v>438</v>
      </c>
      <c r="AF3141" s="54"/>
      <c r="AL3141" s="22"/>
      <c r="AM3141" s="22"/>
      <c r="AN3141" s="22"/>
      <c r="AO3141" s="22"/>
      <c r="AP3141" s="22"/>
      <c r="AQ3141" s="22"/>
      <c r="AR3141" s="22"/>
      <c r="AS3141" s="22"/>
      <c r="AT3141" s="22"/>
      <c r="AU3141" s="22"/>
      <c r="AV3141" s="22"/>
      <c r="AW3141" s="9"/>
      <c r="BA3141" s="22"/>
      <c r="BB3141" s="22"/>
      <c r="BD3141" s="9"/>
      <c r="CS3141" s="11">
        <f t="shared" si="214"/>
        <v>0</v>
      </c>
      <c r="CT3141" s="22">
        <f t="shared" si="215"/>
        <v>0</v>
      </c>
      <c r="CU3141" s="22">
        <f t="shared" si="216"/>
        <v>0</v>
      </c>
      <c r="CV3141" s="26">
        <f t="shared" si="218"/>
        <v>438</v>
      </c>
    </row>
    <row r="3142" spans="1:100" x14ac:dyDescent="0.2">
      <c r="A3142" s="9" t="s">
        <v>653</v>
      </c>
      <c r="B3142" s="2">
        <v>78</v>
      </c>
      <c r="C3142" s="3" t="s">
        <v>95</v>
      </c>
      <c r="D3142" s="3" t="s">
        <v>96</v>
      </c>
      <c r="E3142" s="2"/>
      <c r="F3142" s="2"/>
      <c r="G3142" s="2" t="s">
        <v>74</v>
      </c>
      <c r="H3142" s="2">
        <v>3</v>
      </c>
      <c r="I3142" s="20">
        <v>90</v>
      </c>
      <c r="J3142" s="20">
        <v>40000</v>
      </c>
      <c r="K3142" s="3">
        <v>0</v>
      </c>
      <c r="L3142" s="3" t="s">
        <v>3</v>
      </c>
      <c r="M3142" s="9" t="s">
        <v>0</v>
      </c>
      <c r="N3142" s="9">
        <v>43062349</v>
      </c>
      <c r="O3142" s="9" t="s">
        <v>654</v>
      </c>
      <c r="S3142" s="9" t="s">
        <v>158</v>
      </c>
      <c r="T3142" s="2" t="s">
        <v>74</v>
      </c>
      <c r="U3142" s="2">
        <v>3</v>
      </c>
      <c r="V3142" s="2">
        <v>90</v>
      </c>
      <c r="W3142" s="10" t="s">
        <v>710</v>
      </c>
      <c r="X3142" s="17">
        <v>45720</v>
      </c>
      <c r="Y3142" s="17">
        <v>45720</v>
      </c>
      <c r="Z3142" s="19" t="s">
        <v>772</v>
      </c>
      <c r="AA3142" s="207">
        <v>40000</v>
      </c>
      <c r="AB3142" s="9">
        <v>84</v>
      </c>
      <c r="AC3142" s="9">
        <v>25</v>
      </c>
      <c r="AD3142" s="17">
        <v>46537</v>
      </c>
      <c r="AE3142" s="54">
        <v>438</v>
      </c>
      <c r="AF3142" s="54"/>
      <c r="AL3142" s="22"/>
      <c r="AM3142" s="22"/>
      <c r="AN3142" s="22"/>
      <c r="AO3142" s="22"/>
      <c r="AP3142" s="22"/>
      <c r="AQ3142" s="22"/>
      <c r="AR3142" s="22"/>
      <c r="AS3142" s="22"/>
      <c r="AT3142" s="22"/>
      <c r="AU3142" s="22"/>
      <c r="AV3142" s="22"/>
      <c r="AW3142" s="9"/>
      <c r="BA3142" s="22"/>
      <c r="BB3142" s="22"/>
      <c r="BD3142" s="9"/>
      <c r="CS3142" s="11">
        <f t="shared" si="214"/>
        <v>0</v>
      </c>
      <c r="CT3142" s="22">
        <f t="shared" si="215"/>
        <v>0</v>
      </c>
      <c r="CU3142" s="22">
        <f t="shared" si="216"/>
        <v>0</v>
      </c>
      <c r="CV3142" s="26">
        <f t="shared" si="218"/>
        <v>438</v>
      </c>
    </row>
    <row r="3143" spans="1:100" x14ac:dyDescent="0.2">
      <c r="A3143" s="9" t="s">
        <v>653</v>
      </c>
      <c r="B3143" s="2">
        <v>78</v>
      </c>
      <c r="C3143" s="3" t="s">
        <v>95</v>
      </c>
      <c r="D3143" s="3" t="s">
        <v>96</v>
      </c>
      <c r="E3143" s="2"/>
      <c r="F3143" s="2"/>
      <c r="G3143" s="2" t="s">
        <v>74</v>
      </c>
      <c r="H3143" s="2">
        <v>3</v>
      </c>
      <c r="I3143" s="20">
        <v>90</v>
      </c>
      <c r="J3143" s="20">
        <v>40000</v>
      </c>
      <c r="K3143" s="3">
        <v>0</v>
      </c>
      <c r="L3143" s="3" t="s">
        <v>3</v>
      </c>
      <c r="M3143" s="9" t="s">
        <v>0</v>
      </c>
      <c r="N3143" s="9">
        <v>43062349</v>
      </c>
      <c r="O3143" s="9" t="s">
        <v>654</v>
      </c>
      <c r="S3143" s="9" t="s">
        <v>158</v>
      </c>
      <c r="T3143" s="2" t="s">
        <v>74</v>
      </c>
      <c r="U3143" s="2">
        <v>3</v>
      </c>
      <c r="V3143" s="2">
        <v>90</v>
      </c>
      <c r="W3143" s="10" t="s">
        <v>710</v>
      </c>
      <c r="X3143" s="17">
        <v>45720</v>
      </c>
      <c r="Y3143" s="17">
        <v>45720</v>
      </c>
      <c r="Z3143" s="19" t="s">
        <v>772</v>
      </c>
      <c r="AA3143" s="207">
        <v>40000</v>
      </c>
      <c r="AB3143" s="9">
        <v>84</v>
      </c>
      <c r="AC3143" s="9">
        <v>26</v>
      </c>
      <c r="AD3143" s="17">
        <v>46568</v>
      </c>
      <c r="AE3143" s="54">
        <v>438</v>
      </c>
      <c r="AF3143" s="54"/>
      <c r="AL3143" s="22"/>
      <c r="AM3143" s="22"/>
      <c r="AN3143" s="22"/>
      <c r="AO3143" s="22"/>
      <c r="AP3143" s="22"/>
      <c r="AQ3143" s="22"/>
      <c r="AR3143" s="22"/>
      <c r="AS3143" s="22"/>
      <c r="AT3143" s="22"/>
      <c r="AU3143" s="22"/>
      <c r="AV3143" s="22"/>
      <c r="AW3143" s="9"/>
      <c r="BA3143" s="22"/>
      <c r="BB3143" s="22"/>
      <c r="BD3143" s="9"/>
      <c r="CS3143" s="11">
        <f t="shared" si="214"/>
        <v>0</v>
      </c>
      <c r="CT3143" s="22">
        <f t="shared" si="215"/>
        <v>0</v>
      </c>
      <c r="CU3143" s="22">
        <f t="shared" si="216"/>
        <v>0</v>
      </c>
      <c r="CV3143" s="26">
        <f t="shared" si="218"/>
        <v>438</v>
      </c>
    </row>
    <row r="3144" spans="1:100" x14ac:dyDescent="0.2">
      <c r="A3144" s="9" t="s">
        <v>653</v>
      </c>
      <c r="B3144" s="2">
        <v>78</v>
      </c>
      <c r="C3144" s="3" t="s">
        <v>95</v>
      </c>
      <c r="D3144" s="3" t="s">
        <v>96</v>
      </c>
      <c r="E3144" s="2"/>
      <c r="F3144" s="2"/>
      <c r="G3144" s="2" t="s">
        <v>74</v>
      </c>
      <c r="H3144" s="2">
        <v>3</v>
      </c>
      <c r="I3144" s="20">
        <v>90</v>
      </c>
      <c r="J3144" s="20">
        <v>40000</v>
      </c>
      <c r="K3144" s="3">
        <v>0</v>
      </c>
      <c r="L3144" s="3" t="s">
        <v>3</v>
      </c>
      <c r="M3144" s="9" t="s">
        <v>0</v>
      </c>
      <c r="N3144" s="9">
        <v>43062349</v>
      </c>
      <c r="O3144" s="9" t="s">
        <v>654</v>
      </c>
      <c r="S3144" s="9" t="s">
        <v>158</v>
      </c>
      <c r="T3144" s="2" t="s">
        <v>74</v>
      </c>
      <c r="U3144" s="2">
        <v>3</v>
      </c>
      <c r="V3144" s="2">
        <v>90</v>
      </c>
      <c r="W3144" s="10" t="s">
        <v>710</v>
      </c>
      <c r="X3144" s="17">
        <v>45720</v>
      </c>
      <c r="Y3144" s="17">
        <v>45720</v>
      </c>
      <c r="Z3144" s="19" t="s">
        <v>772</v>
      </c>
      <c r="AA3144" s="207">
        <v>40000</v>
      </c>
      <c r="AB3144" s="9">
        <v>84</v>
      </c>
      <c r="AC3144" s="9">
        <v>27</v>
      </c>
      <c r="AD3144" s="17">
        <v>46598</v>
      </c>
      <c r="AE3144" s="54">
        <v>438</v>
      </c>
      <c r="AF3144" s="54"/>
      <c r="AL3144" s="22"/>
      <c r="AM3144" s="22"/>
      <c r="AN3144" s="22"/>
      <c r="AO3144" s="22"/>
      <c r="AP3144" s="22"/>
      <c r="AQ3144" s="22"/>
      <c r="AR3144" s="22"/>
      <c r="AS3144" s="22"/>
      <c r="AT3144" s="22"/>
      <c r="AU3144" s="22"/>
      <c r="AV3144" s="22"/>
      <c r="AW3144" s="9"/>
      <c r="BA3144" s="22"/>
      <c r="BB3144" s="22"/>
      <c r="BD3144" s="9"/>
      <c r="CS3144" s="11">
        <f t="shared" si="214"/>
        <v>0</v>
      </c>
      <c r="CT3144" s="22">
        <f t="shared" si="215"/>
        <v>0</v>
      </c>
      <c r="CU3144" s="22">
        <f t="shared" si="216"/>
        <v>0</v>
      </c>
      <c r="CV3144" s="26">
        <f t="shared" si="218"/>
        <v>438</v>
      </c>
    </row>
    <row r="3145" spans="1:100" x14ac:dyDescent="0.2">
      <c r="A3145" s="9" t="s">
        <v>653</v>
      </c>
      <c r="B3145" s="2">
        <v>78</v>
      </c>
      <c r="C3145" s="3" t="s">
        <v>95</v>
      </c>
      <c r="D3145" s="3" t="s">
        <v>96</v>
      </c>
      <c r="E3145" s="2"/>
      <c r="F3145" s="2"/>
      <c r="G3145" s="2" t="s">
        <v>74</v>
      </c>
      <c r="H3145" s="2">
        <v>3</v>
      </c>
      <c r="I3145" s="20">
        <v>90</v>
      </c>
      <c r="J3145" s="20">
        <v>40000</v>
      </c>
      <c r="K3145" s="3">
        <v>0</v>
      </c>
      <c r="L3145" s="3" t="s">
        <v>3</v>
      </c>
      <c r="M3145" s="9" t="s">
        <v>0</v>
      </c>
      <c r="N3145" s="9">
        <v>43062349</v>
      </c>
      <c r="O3145" s="9" t="s">
        <v>654</v>
      </c>
      <c r="S3145" s="9" t="s">
        <v>158</v>
      </c>
      <c r="T3145" s="2" t="s">
        <v>74</v>
      </c>
      <c r="U3145" s="2">
        <v>3</v>
      </c>
      <c r="V3145" s="2">
        <v>90</v>
      </c>
      <c r="W3145" s="10" t="s">
        <v>710</v>
      </c>
      <c r="X3145" s="17">
        <v>45720</v>
      </c>
      <c r="Y3145" s="17">
        <v>45720</v>
      </c>
      <c r="Z3145" s="19" t="s">
        <v>772</v>
      </c>
      <c r="AA3145" s="207">
        <v>40000</v>
      </c>
      <c r="AB3145" s="9">
        <v>84</v>
      </c>
      <c r="AC3145" s="9">
        <v>28</v>
      </c>
      <c r="AD3145" s="17">
        <v>46629</v>
      </c>
      <c r="AE3145" s="54">
        <v>438</v>
      </c>
      <c r="AF3145" s="54"/>
      <c r="AL3145" s="22"/>
      <c r="AM3145" s="22"/>
      <c r="AN3145" s="22"/>
      <c r="AO3145" s="22"/>
      <c r="AP3145" s="22"/>
      <c r="AQ3145" s="22"/>
      <c r="AR3145" s="22"/>
      <c r="AS3145" s="22"/>
      <c r="AT3145" s="22"/>
      <c r="AU3145" s="22"/>
      <c r="AV3145" s="22"/>
      <c r="AW3145" s="9"/>
      <c r="BA3145" s="22"/>
      <c r="BB3145" s="22"/>
      <c r="BD3145" s="9"/>
      <c r="CS3145" s="11">
        <f t="shared" si="214"/>
        <v>0</v>
      </c>
      <c r="CT3145" s="22">
        <f t="shared" si="215"/>
        <v>0</v>
      </c>
      <c r="CU3145" s="22">
        <f t="shared" si="216"/>
        <v>0</v>
      </c>
      <c r="CV3145" s="26">
        <f t="shared" si="218"/>
        <v>438</v>
      </c>
    </row>
    <row r="3146" spans="1:100" x14ac:dyDescent="0.2">
      <c r="A3146" s="9" t="s">
        <v>653</v>
      </c>
      <c r="B3146" s="2">
        <v>78</v>
      </c>
      <c r="C3146" s="3" t="s">
        <v>95</v>
      </c>
      <c r="D3146" s="3" t="s">
        <v>96</v>
      </c>
      <c r="E3146" s="2"/>
      <c r="F3146" s="2"/>
      <c r="G3146" s="2" t="s">
        <v>74</v>
      </c>
      <c r="H3146" s="2">
        <v>3</v>
      </c>
      <c r="I3146" s="20">
        <v>90</v>
      </c>
      <c r="J3146" s="20">
        <v>40000</v>
      </c>
      <c r="K3146" s="3">
        <v>0</v>
      </c>
      <c r="L3146" s="3" t="s">
        <v>3</v>
      </c>
      <c r="M3146" s="9" t="s">
        <v>0</v>
      </c>
      <c r="N3146" s="9">
        <v>43062349</v>
      </c>
      <c r="O3146" s="9" t="s">
        <v>654</v>
      </c>
      <c r="S3146" s="9" t="s">
        <v>158</v>
      </c>
      <c r="T3146" s="2" t="s">
        <v>74</v>
      </c>
      <c r="U3146" s="2">
        <v>3</v>
      </c>
      <c r="V3146" s="2">
        <v>90</v>
      </c>
      <c r="W3146" s="10" t="s">
        <v>710</v>
      </c>
      <c r="X3146" s="17">
        <v>45720</v>
      </c>
      <c r="Y3146" s="17">
        <v>45720</v>
      </c>
      <c r="Z3146" s="19" t="s">
        <v>772</v>
      </c>
      <c r="AA3146" s="207">
        <v>40000</v>
      </c>
      <c r="AB3146" s="9">
        <v>84</v>
      </c>
      <c r="AC3146" s="9">
        <v>29</v>
      </c>
      <c r="AD3146" s="17">
        <v>46660</v>
      </c>
      <c r="AE3146" s="54">
        <v>438</v>
      </c>
      <c r="AF3146" s="54"/>
      <c r="AL3146" s="22"/>
      <c r="AM3146" s="22"/>
      <c r="AN3146" s="22"/>
      <c r="AO3146" s="22"/>
      <c r="AP3146" s="22"/>
      <c r="AQ3146" s="22"/>
      <c r="AR3146" s="22"/>
      <c r="AS3146" s="22"/>
      <c r="AT3146" s="22"/>
      <c r="AU3146" s="22"/>
      <c r="AV3146" s="22"/>
      <c r="AW3146" s="9"/>
      <c r="BA3146" s="22"/>
      <c r="BB3146" s="22"/>
      <c r="BD3146" s="9"/>
      <c r="CS3146" s="11">
        <f t="shared" si="214"/>
        <v>0</v>
      </c>
      <c r="CT3146" s="22">
        <f t="shared" si="215"/>
        <v>0</v>
      </c>
      <c r="CU3146" s="22">
        <f t="shared" si="216"/>
        <v>0</v>
      </c>
      <c r="CV3146" s="26">
        <f t="shared" si="218"/>
        <v>438</v>
      </c>
    </row>
    <row r="3147" spans="1:100" x14ac:dyDescent="0.2">
      <c r="A3147" s="9" t="s">
        <v>653</v>
      </c>
      <c r="B3147" s="2">
        <v>78</v>
      </c>
      <c r="C3147" s="3" t="s">
        <v>95</v>
      </c>
      <c r="D3147" s="3" t="s">
        <v>96</v>
      </c>
      <c r="E3147" s="2"/>
      <c r="F3147" s="2"/>
      <c r="G3147" s="2" t="s">
        <v>74</v>
      </c>
      <c r="H3147" s="2">
        <v>3</v>
      </c>
      <c r="I3147" s="20">
        <v>90</v>
      </c>
      <c r="J3147" s="20">
        <v>40000</v>
      </c>
      <c r="K3147" s="3">
        <v>0</v>
      </c>
      <c r="L3147" s="3" t="s">
        <v>3</v>
      </c>
      <c r="M3147" s="9" t="s">
        <v>0</v>
      </c>
      <c r="N3147" s="9">
        <v>43062349</v>
      </c>
      <c r="O3147" s="9" t="s">
        <v>654</v>
      </c>
      <c r="S3147" s="9" t="s">
        <v>158</v>
      </c>
      <c r="T3147" s="2" t="s">
        <v>74</v>
      </c>
      <c r="U3147" s="2">
        <v>3</v>
      </c>
      <c r="V3147" s="2">
        <v>90</v>
      </c>
      <c r="W3147" s="10" t="s">
        <v>710</v>
      </c>
      <c r="X3147" s="17">
        <v>45720</v>
      </c>
      <c r="Y3147" s="17">
        <v>45720</v>
      </c>
      <c r="Z3147" s="19" t="s">
        <v>772</v>
      </c>
      <c r="AA3147" s="207">
        <v>40000</v>
      </c>
      <c r="AB3147" s="9">
        <v>84</v>
      </c>
      <c r="AC3147" s="9">
        <v>30</v>
      </c>
      <c r="AD3147" s="17">
        <v>46690</v>
      </c>
      <c r="AE3147" s="54">
        <v>438</v>
      </c>
      <c r="AF3147" s="54"/>
      <c r="AL3147" s="22"/>
      <c r="AM3147" s="22"/>
      <c r="AN3147" s="22"/>
      <c r="AO3147" s="22"/>
      <c r="AP3147" s="22"/>
      <c r="AQ3147" s="22"/>
      <c r="AR3147" s="22"/>
      <c r="AS3147" s="22"/>
      <c r="AT3147" s="22"/>
      <c r="AU3147" s="22"/>
      <c r="AV3147" s="22"/>
      <c r="AW3147" s="9"/>
      <c r="BA3147" s="22"/>
      <c r="BB3147" s="22"/>
      <c r="BD3147" s="9"/>
      <c r="CS3147" s="11">
        <f t="shared" si="214"/>
        <v>0</v>
      </c>
      <c r="CT3147" s="22">
        <f t="shared" si="215"/>
        <v>0</v>
      </c>
      <c r="CU3147" s="22">
        <f t="shared" si="216"/>
        <v>0</v>
      </c>
      <c r="CV3147" s="26">
        <f t="shared" si="218"/>
        <v>438</v>
      </c>
    </row>
    <row r="3148" spans="1:100" x14ac:dyDescent="0.2">
      <c r="A3148" s="9" t="s">
        <v>653</v>
      </c>
      <c r="B3148" s="2">
        <v>78</v>
      </c>
      <c r="C3148" s="3" t="s">
        <v>95</v>
      </c>
      <c r="D3148" s="3" t="s">
        <v>96</v>
      </c>
      <c r="E3148" s="2"/>
      <c r="F3148" s="2"/>
      <c r="G3148" s="2" t="s">
        <v>74</v>
      </c>
      <c r="H3148" s="2">
        <v>3</v>
      </c>
      <c r="I3148" s="20">
        <v>90</v>
      </c>
      <c r="J3148" s="20">
        <v>40000</v>
      </c>
      <c r="K3148" s="3">
        <v>0</v>
      </c>
      <c r="L3148" s="3" t="s">
        <v>3</v>
      </c>
      <c r="M3148" s="9" t="s">
        <v>0</v>
      </c>
      <c r="N3148" s="9">
        <v>43062349</v>
      </c>
      <c r="O3148" s="9" t="s">
        <v>654</v>
      </c>
      <c r="S3148" s="9" t="s">
        <v>158</v>
      </c>
      <c r="T3148" s="2" t="s">
        <v>74</v>
      </c>
      <c r="U3148" s="2">
        <v>3</v>
      </c>
      <c r="V3148" s="2">
        <v>90</v>
      </c>
      <c r="W3148" s="10" t="s">
        <v>710</v>
      </c>
      <c r="X3148" s="17">
        <v>45720</v>
      </c>
      <c r="Y3148" s="17">
        <v>45720</v>
      </c>
      <c r="Z3148" s="19" t="s">
        <v>772</v>
      </c>
      <c r="AA3148" s="207">
        <v>40000</v>
      </c>
      <c r="AB3148" s="9">
        <v>84</v>
      </c>
      <c r="AC3148" s="9">
        <v>31</v>
      </c>
      <c r="AD3148" s="17">
        <v>46721</v>
      </c>
      <c r="AE3148" s="54">
        <v>438</v>
      </c>
      <c r="AF3148" s="54"/>
      <c r="AL3148" s="22"/>
      <c r="AM3148" s="22"/>
      <c r="AN3148" s="22"/>
      <c r="AO3148" s="22"/>
      <c r="AP3148" s="22"/>
      <c r="AQ3148" s="22"/>
      <c r="AR3148" s="22"/>
      <c r="AS3148" s="22"/>
      <c r="AT3148" s="22"/>
      <c r="AU3148" s="22"/>
      <c r="AV3148" s="22"/>
      <c r="AW3148" s="9"/>
      <c r="BA3148" s="22"/>
      <c r="BB3148" s="22"/>
      <c r="BD3148" s="9"/>
      <c r="CS3148" s="11">
        <f t="shared" si="214"/>
        <v>0</v>
      </c>
      <c r="CT3148" s="22">
        <f t="shared" si="215"/>
        <v>0</v>
      </c>
      <c r="CU3148" s="22">
        <f t="shared" si="216"/>
        <v>0</v>
      </c>
      <c r="CV3148" s="26">
        <f t="shared" si="218"/>
        <v>438</v>
      </c>
    </row>
    <row r="3149" spans="1:100" x14ac:dyDescent="0.2">
      <c r="A3149" s="9" t="s">
        <v>653</v>
      </c>
      <c r="B3149" s="2">
        <v>78</v>
      </c>
      <c r="C3149" s="3" t="s">
        <v>95</v>
      </c>
      <c r="D3149" s="3" t="s">
        <v>96</v>
      </c>
      <c r="E3149" s="2"/>
      <c r="F3149" s="2"/>
      <c r="G3149" s="2" t="s">
        <v>74</v>
      </c>
      <c r="H3149" s="2">
        <v>3</v>
      </c>
      <c r="I3149" s="20">
        <v>90</v>
      </c>
      <c r="J3149" s="20">
        <v>40000</v>
      </c>
      <c r="K3149" s="3">
        <v>0</v>
      </c>
      <c r="L3149" s="3" t="s">
        <v>3</v>
      </c>
      <c r="M3149" s="9" t="s">
        <v>0</v>
      </c>
      <c r="N3149" s="9">
        <v>43062349</v>
      </c>
      <c r="O3149" s="9" t="s">
        <v>654</v>
      </c>
      <c r="S3149" s="9" t="s">
        <v>158</v>
      </c>
      <c r="T3149" s="2" t="s">
        <v>74</v>
      </c>
      <c r="U3149" s="2">
        <v>3</v>
      </c>
      <c r="V3149" s="2">
        <v>90</v>
      </c>
      <c r="W3149" s="10" t="s">
        <v>710</v>
      </c>
      <c r="X3149" s="17">
        <v>45720</v>
      </c>
      <c r="Y3149" s="17">
        <v>45720</v>
      </c>
      <c r="Z3149" s="19" t="s">
        <v>772</v>
      </c>
      <c r="AA3149" s="207">
        <v>40000</v>
      </c>
      <c r="AB3149" s="9">
        <v>84</v>
      </c>
      <c r="AC3149" s="9">
        <v>32</v>
      </c>
      <c r="AD3149" s="17">
        <v>46751</v>
      </c>
      <c r="AE3149" s="54">
        <v>438</v>
      </c>
      <c r="AF3149" s="54"/>
      <c r="AL3149" s="22"/>
      <c r="AM3149" s="22"/>
      <c r="AN3149" s="22"/>
      <c r="AO3149" s="22"/>
      <c r="AP3149" s="22"/>
      <c r="AQ3149" s="22"/>
      <c r="AR3149" s="22"/>
      <c r="AS3149" s="22"/>
      <c r="AT3149" s="22"/>
      <c r="AU3149" s="22"/>
      <c r="AV3149" s="22"/>
      <c r="AW3149" s="9"/>
      <c r="BA3149" s="22"/>
      <c r="BB3149" s="22"/>
      <c r="BD3149" s="9"/>
      <c r="CS3149" s="11">
        <f t="shared" si="214"/>
        <v>0</v>
      </c>
      <c r="CT3149" s="22">
        <f t="shared" si="215"/>
        <v>0</v>
      </c>
      <c r="CU3149" s="22">
        <f t="shared" si="216"/>
        <v>0</v>
      </c>
      <c r="CV3149" s="26">
        <f t="shared" si="218"/>
        <v>438</v>
      </c>
    </row>
    <row r="3150" spans="1:100" x14ac:dyDescent="0.2">
      <c r="A3150" s="9" t="s">
        <v>653</v>
      </c>
      <c r="B3150" s="2">
        <v>78</v>
      </c>
      <c r="C3150" s="3" t="s">
        <v>95</v>
      </c>
      <c r="D3150" s="3" t="s">
        <v>96</v>
      </c>
      <c r="E3150" s="2"/>
      <c r="F3150" s="2"/>
      <c r="G3150" s="2" t="s">
        <v>74</v>
      </c>
      <c r="H3150" s="2">
        <v>3</v>
      </c>
      <c r="I3150" s="20">
        <v>90</v>
      </c>
      <c r="J3150" s="20">
        <v>40000</v>
      </c>
      <c r="K3150" s="3">
        <v>0</v>
      </c>
      <c r="L3150" s="3" t="s">
        <v>3</v>
      </c>
      <c r="M3150" s="9" t="s">
        <v>0</v>
      </c>
      <c r="N3150" s="9">
        <v>43062349</v>
      </c>
      <c r="O3150" s="9" t="s">
        <v>654</v>
      </c>
      <c r="S3150" s="9" t="s">
        <v>158</v>
      </c>
      <c r="T3150" s="2" t="s">
        <v>74</v>
      </c>
      <c r="U3150" s="2">
        <v>3</v>
      </c>
      <c r="V3150" s="2">
        <v>90</v>
      </c>
      <c r="W3150" s="10" t="s">
        <v>710</v>
      </c>
      <c r="X3150" s="17">
        <v>45720</v>
      </c>
      <c r="Y3150" s="17">
        <v>45720</v>
      </c>
      <c r="Z3150" s="19" t="s">
        <v>772</v>
      </c>
      <c r="AA3150" s="207">
        <v>40000</v>
      </c>
      <c r="AB3150" s="9">
        <v>84</v>
      </c>
      <c r="AC3150" s="9">
        <v>33</v>
      </c>
      <c r="AD3150" s="17">
        <v>46782</v>
      </c>
      <c r="AE3150" s="54">
        <v>438</v>
      </c>
      <c r="AF3150" s="54"/>
      <c r="AL3150" s="22"/>
      <c r="AM3150" s="22"/>
      <c r="AN3150" s="22"/>
      <c r="AO3150" s="22"/>
      <c r="AP3150" s="22"/>
      <c r="AQ3150" s="22"/>
      <c r="AR3150" s="22"/>
      <c r="AS3150" s="22"/>
      <c r="AT3150" s="22"/>
      <c r="AU3150" s="22"/>
      <c r="AV3150" s="22"/>
      <c r="AW3150" s="9"/>
      <c r="BA3150" s="22"/>
      <c r="BB3150" s="22"/>
      <c r="BD3150" s="9"/>
      <c r="CS3150" s="11">
        <f t="shared" si="214"/>
        <v>0</v>
      </c>
      <c r="CT3150" s="22">
        <f t="shared" si="215"/>
        <v>0</v>
      </c>
      <c r="CU3150" s="22">
        <f t="shared" si="216"/>
        <v>0</v>
      </c>
      <c r="CV3150" s="26">
        <f t="shared" si="218"/>
        <v>438</v>
      </c>
    </row>
    <row r="3151" spans="1:100" x14ac:dyDescent="0.2">
      <c r="A3151" s="9" t="s">
        <v>653</v>
      </c>
      <c r="B3151" s="2">
        <v>78</v>
      </c>
      <c r="C3151" s="3" t="s">
        <v>95</v>
      </c>
      <c r="D3151" s="3" t="s">
        <v>96</v>
      </c>
      <c r="E3151" s="2"/>
      <c r="F3151" s="2"/>
      <c r="G3151" s="2" t="s">
        <v>74</v>
      </c>
      <c r="H3151" s="2">
        <v>3</v>
      </c>
      <c r="I3151" s="20">
        <v>90</v>
      </c>
      <c r="J3151" s="20">
        <v>40000</v>
      </c>
      <c r="K3151" s="3">
        <v>0</v>
      </c>
      <c r="L3151" s="3" t="s">
        <v>3</v>
      </c>
      <c r="M3151" s="9" t="s">
        <v>0</v>
      </c>
      <c r="N3151" s="9">
        <v>43062349</v>
      </c>
      <c r="O3151" s="9" t="s">
        <v>654</v>
      </c>
      <c r="S3151" s="9" t="s">
        <v>158</v>
      </c>
      <c r="T3151" s="2" t="s">
        <v>74</v>
      </c>
      <c r="U3151" s="2">
        <v>3</v>
      </c>
      <c r="V3151" s="2">
        <v>90</v>
      </c>
      <c r="W3151" s="10" t="s">
        <v>710</v>
      </c>
      <c r="X3151" s="17">
        <v>45720</v>
      </c>
      <c r="Y3151" s="17">
        <v>45720</v>
      </c>
      <c r="Z3151" s="19" t="s">
        <v>772</v>
      </c>
      <c r="AA3151" s="207">
        <v>40000</v>
      </c>
      <c r="AB3151" s="9">
        <v>84</v>
      </c>
      <c r="AC3151" s="9">
        <v>34</v>
      </c>
      <c r="AD3151" s="17">
        <v>46812</v>
      </c>
      <c r="AE3151" s="54">
        <v>438</v>
      </c>
      <c r="AF3151" s="54"/>
      <c r="AL3151" s="22"/>
      <c r="AM3151" s="22"/>
      <c r="AN3151" s="22"/>
      <c r="AO3151" s="22"/>
      <c r="AP3151" s="22"/>
      <c r="AQ3151" s="22"/>
      <c r="AR3151" s="22"/>
      <c r="AS3151" s="22"/>
      <c r="AT3151" s="22"/>
      <c r="AU3151" s="22"/>
      <c r="AV3151" s="22"/>
      <c r="AW3151" s="9"/>
      <c r="BA3151" s="22"/>
      <c r="BB3151" s="22"/>
      <c r="BD3151" s="9"/>
      <c r="CS3151" s="11">
        <f t="shared" si="214"/>
        <v>0</v>
      </c>
      <c r="CT3151" s="22">
        <f t="shared" si="215"/>
        <v>0</v>
      </c>
      <c r="CU3151" s="22">
        <f t="shared" si="216"/>
        <v>0</v>
      </c>
      <c r="CV3151" s="26">
        <f t="shared" si="218"/>
        <v>438</v>
      </c>
    </row>
    <row r="3152" spans="1:100" x14ac:dyDescent="0.2">
      <c r="A3152" s="9" t="s">
        <v>653</v>
      </c>
      <c r="B3152" s="2">
        <v>78</v>
      </c>
      <c r="C3152" s="3" t="s">
        <v>95</v>
      </c>
      <c r="D3152" s="3" t="s">
        <v>96</v>
      </c>
      <c r="E3152" s="2"/>
      <c r="F3152" s="2"/>
      <c r="G3152" s="2" t="s">
        <v>74</v>
      </c>
      <c r="H3152" s="2">
        <v>3</v>
      </c>
      <c r="I3152" s="20">
        <v>90</v>
      </c>
      <c r="J3152" s="20">
        <v>40000</v>
      </c>
      <c r="K3152" s="3">
        <v>0</v>
      </c>
      <c r="L3152" s="3" t="s">
        <v>3</v>
      </c>
      <c r="M3152" s="9" t="s">
        <v>0</v>
      </c>
      <c r="N3152" s="9">
        <v>43062349</v>
      </c>
      <c r="O3152" s="9" t="s">
        <v>654</v>
      </c>
      <c r="S3152" s="9" t="s">
        <v>158</v>
      </c>
      <c r="T3152" s="10" t="s">
        <v>74</v>
      </c>
      <c r="U3152" s="10">
        <v>3</v>
      </c>
      <c r="V3152" s="10">
        <v>90</v>
      </c>
      <c r="W3152" s="10" t="s">
        <v>710</v>
      </c>
      <c r="X3152" s="17">
        <v>45720</v>
      </c>
      <c r="Y3152" s="17">
        <v>45720</v>
      </c>
      <c r="Z3152" s="19" t="s">
        <v>772</v>
      </c>
      <c r="AA3152" s="207">
        <v>40000</v>
      </c>
      <c r="AB3152" s="9">
        <v>84</v>
      </c>
      <c r="AC3152" s="9">
        <v>35</v>
      </c>
      <c r="AD3152" s="17">
        <v>46842</v>
      </c>
      <c r="AE3152" s="54">
        <v>438</v>
      </c>
      <c r="AF3152" s="54"/>
      <c r="AL3152" s="22"/>
      <c r="AM3152" s="22"/>
      <c r="AN3152" s="22"/>
      <c r="AO3152" s="22"/>
      <c r="AP3152" s="22"/>
      <c r="AQ3152" s="22"/>
      <c r="AR3152" s="22"/>
      <c r="AS3152" s="22"/>
      <c r="AT3152" s="22"/>
      <c r="AU3152" s="22"/>
      <c r="AV3152" s="22"/>
      <c r="AW3152" s="9"/>
      <c r="BA3152" s="22"/>
      <c r="BB3152" s="22"/>
      <c r="BD3152" s="9"/>
      <c r="CS3152" s="11">
        <f t="shared" si="214"/>
        <v>0</v>
      </c>
      <c r="CT3152" s="22">
        <f t="shared" si="215"/>
        <v>0</v>
      </c>
      <c r="CU3152" s="22">
        <f t="shared" si="216"/>
        <v>0</v>
      </c>
      <c r="CV3152" s="26">
        <f t="shared" si="218"/>
        <v>438</v>
      </c>
    </row>
    <row r="3153" spans="1:100" x14ac:dyDescent="0.2">
      <c r="A3153" s="9" t="s">
        <v>653</v>
      </c>
      <c r="B3153" s="2">
        <v>78</v>
      </c>
      <c r="C3153" s="3" t="s">
        <v>95</v>
      </c>
      <c r="D3153" s="3" t="s">
        <v>96</v>
      </c>
      <c r="E3153" s="2"/>
      <c r="F3153" s="2"/>
      <c r="G3153" s="2" t="s">
        <v>74</v>
      </c>
      <c r="H3153" s="2">
        <v>3</v>
      </c>
      <c r="I3153" s="20">
        <v>90</v>
      </c>
      <c r="J3153" s="20">
        <v>40000</v>
      </c>
      <c r="K3153" s="3">
        <v>0</v>
      </c>
      <c r="L3153" s="3" t="s">
        <v>3</v>
      </c>
      <c r="M3153" s="9" t="s">
        <v>0</v>
      </c>
      <c r="N3153" s="9">
        <v>43062349</v>
      </c>
      <c r="O3153" s="9" t="s">
        <v>654</v>
      </c>
      <c r="S3153" s="9" t="s">
        <v>158</v>
      </c>
      <c r="T3153" s="10" t="s">
        <v>74</v>
      </c>
      <c r="U3153" s="10">
        <v>3</v>
      </c>
      <c r="V3153" s="10">
        <v>90</v>
      </c>
      <c r="W3153" s="10" t="s">
        <v>710</v>
      </c>
      <c r="X3153" s="17">
        <v>45720</v>
      </c>
      <c r="Y3153" s="17">
        <v>45720</v>
      </c>
      <c r="Z3153" s="19" t="s">
        <v>772</v>
      </c>
      <c r="AA3153" s="207">
        <v>40000</v>
      </c>
      <c r="AB3153" s="9">
        <v>84</v>
      </c>
      <c r="AC3153" s="9">
        <v>36</v>
      </c>
      <c r="AD3153" s="17">
        <v>46873</v>
      </c>
      <c r="AE3153" s="54">
        <v>438</v>
      </c>
      <c r="AF3153" s="54"/>
      <c r="AL3153" s="22"/>
      <c r="AM3153" s="22"/>
      <c r="AN3153" s="22"/>
      <c r="AO3153" s="22"/>
      <c r="AP3153" s="22"/>
      <c r="AQ3153" s="22"/>
      <c r="AR3153" s="22"/>
      <c r="AS3153" s="22"/>
      <c r="AT3153" s="22"/>
      <c r="AU3153" s="22"/>
      <c r="AV3153" s="22"/>
      <c r="AW3153" s="9"/>
      <c r="BA3153" s="22"/>
      <c r="BB3153" s="22"/>
      <c r="BD3153" s="9"/>
      <c r="CS3153" s="11">
        <f t="shared" si="214"/>
        <v>0</v>
      </c>
      <c r="CT3153" s="22">
        <f t="shared" si="215"/>
        <v>0</v>
      </c>
      <c r="CU3153" s="22">
        <f t="shared" si="216"/>
        <v>0</v>
      </c>
      <c r="CV3153" s="26">
        <f t="shared" si="218"/>
        <v>438</v>
      </c>
    </row>
    <row r="3154" spans="1:100" x14ac:dyDescent="0.2">
      <c r="A3154" s="9" t="s">
        <v>653</v>
      </c>
      <c r="B3154" s="2">
        <v>78</v>
      </c>
      <c r="C3154" s="3" t="s">
        <v>95</v>
      </c>
      <c r="D3154" s="3" t="s">
        <v>96</v>
      </c>
      <c r="E3154" s="2"/>
      <c r="F3154" s="2"/>
      <c r="G3154" s="2" t="s">
        <v>74</v>
      </c>
      <c r="H3154" s="2">
        <v>3</v>
      </c>
      <c r="I3154" s="20">
        <v>90</v>
      </c>
      <c r="J3154" s="20">
        <v>40000</v>
      </c>
      <c r="K3154" s="3">
        <v>0</v>
      </c>
      <c r="L3154" s="3" t="s">
        <v>3</v>
      </c>
      <c r="M3154" s="9" t="s">
        <v>0</v>
      </c>
      <c r="N3154" s="9">
        <v>43062349</v>
      </c>
      <c r="O3154" s="9" t="s">
        <v>654</v>
      </c>
      <c r="S3154" s="9" t="s">
        <v>158</v>
      </c>
      <c r="T3154" s="10" t="s">
        <v>74</v>
      </c>
      <c r="U3154" s="10">
        <v>3</v>
      </c>
      <c r="V3154" s="10">
        <v>90</v>
      </c>
      <c r="W3154" s="10" t="s">
        <v>710</v>
      </c>
      <c r="X3154" s="17">
        <v>45720</v>
      </c>
      <c r="Y3154" s="17">
        <v>45720</v>
      </c>
      <c r="Z3154" s="19" t="s">
        <v>772</v>
      </c>
      <c r="AA3154" s="207">
        <v>40000</v>
      </c>
      <c r="AB3154" s="9">
        <v>84</v>
      </c>
      <c r="AC3154" s="9">
        <v>37</v>
      </c>
      <c r="AD3154" s="17">
        <v>46903</v>
      </c>
      <c r="AE3154" s="54">
        <v>438</v>
      </c>
      <c r="AF3154" s="54"/>
      <c r="AL3154" s="22"/>
      <c r="AM3154" s="22"/>
      <c r="AN3154" s="22"/>
      <c r="AO3154" s="22"/>
      <c r="AP3154" s="22"/>
      <c r="AQ3154" s="22"/>
      <c r="AR3154" s="22"/>
      <c r="AS3154" s="22"/>
      <c r="AT3154" s="22"/>
      <c r="AU3154" s="22"/>
      <c r="AV3154" s="22"/>
      <c r="AW3154" s="9"/>
      <c r="BA3154" s="22"/>
      <c r="BB3154" s="22"/>
      <c r="BD3154" s="9"/>
      <c r="CS3154" s="11">
        <f t="shared" si="214"/>
        <v>0</v>
      </c>
      <c r="CT3154" s="22">
        <f t="shared" si="215"/>
        <v>0</v>
      </c>
      <c r="CU3154" s="22">
        <f t="shared" si="216"/>
        <v>0</v>
      </c>
      <c r="CV3154" s="26">
        <f t="shared" si="218"/>
        <v>438</v>
      </c>
    </row>
    <row r="3155" spans="1:100" x14ac:dyDescent="0.2">
      <c r="A3155" s="9" t="s">
        <v>653</v>
      </c>
      <c r="B3155" s="2">
        <v>78</v>
      </c>
      <c r="C3155" s="3" t="s">
        <v>95</v>
      </c>
      <c r="D3155" s="3" t="s">
        <v>96</v>
      </c>
      <c r="E3155" s="2"/>
      <c r="F3155" s="2"/>
      <c r="G3155" s="2" t="s">
        <v>74</v>
      </c>
      <c r="H3155" s="2">
        <v>3</v>
      </c>
      <c r="I3155" s="20">
        <v>90</v>
      </c>
      <c r="J3155" s="20">
        <v>40000</v>
      </c>
      <c r="K3155" s="3">
        <v>0</v>
      </c>
      <c r="L3155" s="3" t="s">
        <v>3</v>
      </c>
      <c r="M3155" s="9" t="s">
        <v>0</v>
      </c>
      <c r="N3155" s="9">
        <v>43062349</v>
      </c>
      <c r="O3155" s="9" t="s">
        <v>654</v>
      </c>
      <c r="S3155" s="9" t="s">
        <v>158</v>
      </c>
      <c r="T3155" s="10" t="s">
        <v>74</v>
      </c>
      <c r="U3155" s="10">
        <v>3</v>
      </c>
      <c r="V3155" s="10">
        <v>90</v>
      </c>
      <c r="W3155" s="10" t="s">
        <v>710</v>
      </c>
      <c r="X3155" s="17">
        <v>45720</v>
      </c>
      <c r="Y3155" s="17">
        <v>45720</v>
      </c>
      <c r="Z3155" s="19" t="s">
        <v>772</v>
      </c>
      <c r="AA3155" s="207">
        <v>40000</v>
      </c>
      <c r="AB3155" s="9">
        <v>84</v>
      </c>
      <c r="AC3155" s="9">
        <v>38</v>
      </c>
      <c r="AD3155" s="17">
        <v>46934</v>
      </c>
      <c r="AE3155" s="54">
        <v>438</v>
      </c>
      <c r="AF3155" s="54"/>
      <c r="AL3155" s="22"/>
      <c r="AM3155" s="22"/>
      <c r="AN3155" s="22"/>
      <c r="AO3155" s="22"/>
      <c r="AP3155" s="22"/>
      <c r="AQ3155" s="22"/>
      <c r="AR3155" s="22"/>
      <c r="AS3155" s="22"/>
      <c r="AT3155" s="22"/>
      <c r="AU3155" s="22"/>
      <c r="AV3155" s="22"/>
      <c r="AW3155" s="9"/>
      <c r="BA3155" s="22"/>
      <c r="BB3155" s="22"/>
      <c r="BD3155" s="9"/>
      <c r="CS3155" s="11">
        <f t="shared" si="214"/>
        <v>0</v>
      </c>
      <c r="CT3155" s="22">
        <f t="shared" si="215"/>
        <v>0</v>
      </c>
      <c r="CU3155" s="22">
        <f t="shared" si="216"/>
        <v>0</v>
      </c>
      <c r="CV3155" s="26">
        <f t="shared" si="218"/>
        <v>438</v>
      </c>
    </row>
    <row r="3156" spans="1:100" x14ac:dyDescent="0.2">
      <c r="A3156" s="9" t="s">
        <v>653</v>
      </c>
      <c r="B3156" s="2">
        <v>78</v>
      </c>
      <c r="C3156" s="3" t="s">
        <v>95</v>
      </c>
      <c r="D3156" s="3" t="s">
        <v>96</v>
      </c>
      <c r="E3156" s="2"/>
      <c r="F3156" s="2"/>
      <c r="G3156" s="2" t="s">
        <v>74</v>
      </c>
      <c r="H3156" s="2">
        <v>3</v>
      </c>
      <c r="I3156" s="20">
        <v>90</v>
      </c>
      <c r="J3156" s="20">
        <v>40000</v>
      </c>
      <c r="K3156" s="3">
        <v>0</v>
      </c>
      <c r="L3156" s="3" t="s">
        <v>3</v>
      </c>
      <c r="M3156" s="9" t="s">
        <v>0</v>
      </c>
      <c r="N3156" s="9">
        <v>43062349</v>
      </c>
      <c r="O3156" s="9" t="s">
        <v>654</v>
      </c>
      <c r="S3156" s="9" t="s">
        <v>158</v>
      </c>
      <c r="T3156" s="10" t="s">
        <v>74</v>
      </c>
      <c r="U3156" s="10">
        <v>3</v>
      </c>
      <c r="V3156" s="10">
        <v>90</v>
      </c>
      <c r="W3156" s="10" t="s">
        <v>710</v>
      </c>
      <c r="X3156" s="17">
        <v>45720</v>
      </c>
      <c r="Y3156" s="17">
        <v>45720</v>
      </c>
      <c r="Z3156" s="19" t="s">
        <v>772</v>
      </c>
      <c r="AA3156" s="207">
        <v>40000</v>
      </c>
      <c r="AB3156" s="9">
        <v>84</v>
      </c>
      <c r="AC3156" s="9">
        <v>39</v>
      </c>
      <c r="AD3156" s="17">
        <v>46964</v>
      </c>
      <c r="AE3156" s="54">
        <v>438</v>
      </c>
      <c r="AF3156" s="54"/>
      <c r="AL3156" s="22"/>
      <c r="AM3156" s="22"/>
      <c r="AN3156" s="22"/>
      <c r="AO3156" s="22"/>
      <c r="AP3156" s="22"/>
      <c r="AQ3156" s="22"/>
      <c r="AR3156" s="22"/>
      <c r="AS3156" s="22"/>
      <c r="AT3156" s="22"/>
      <c r="AU3156" s="22"/>
      <c r="AV3156" s="22"/>
      <c r="AW3156" s="9"/>
      <c r="BA3156" s="22"/>
      <c r="BB3156" s="22"/>
      <c r="BD3156" s="9"/>
      <c r="CS3156" s="11">
        <f t="shared" si="214"/>
        <v>0</v>
      </c>
      <c r="CT3156" s="22">
        <f t="shared" si="215"/>
        <v>0</v>
      </c>
      <c r="CU3156" s="22">
        <f t="shared" si="216"/>
        <v>0</v>
      </c>
      <c r="CV3156" s="26">
        <f t="shared" si="218"/>
        <v>438</v>
      </c>
    </row>
    <row r="3157" spans="1:100" x14ac:dyDescent="0.2">
      <c r="A3157" s="9" t="s">
        <v>653</v>
      </c>
      <c r="B3157" s="2">
        <v>78</v>
      </c>
      <c r="C3157" s="3" t="s">
        <v>95</v>
      </c>
      <c r="D3157" s="3" t="s">
        <v>96</v>
      </c>
      <c r="E3157" s="2"/>
      <c r="F3157" s="2"/>
      <c r="G3157" s="2" t="s">
        <v>74</v>
      </c>
      <c r="H3157" s="2">
        <v>3</v>
      </c>
      <c r="I3157" s="20">
        <v>90</v>
      </c>
      <c r="J3157" s="20">
        <v>40000</v>
      </c>
      <c r="K3157" s="3">
        <v>0</v>
      </c>
      <c r="L3157" s="3" t="s">
        <v>3</v>
      </c>
      <c r="M3157" s="9" t="s">
        <v>0</v>
      </c>
      <c r="N3157" s="9">
        <v>43062349</v>
      </c>
      <c r="O3157" s="9" t="s">
        <v>654</v>
      </c>
      <c r="S3157" s="9" t="s">
        <v>158</v>
      </c>
      <c r="T3157" s="10" t="s">
        <v>74</v>
      </c>
      <c r="U3157" s="10">
        <v>3</v>
      </c>
      <c r="V3157" s="10">
        <v>90</v>
      </c>
      <c r="W3157" s="10" t="s">
        <v>710</v>
      </c>
      <c r="X3157" s="17">
        <v>45720</v>
      </c>
      <c r="Y3157" s="17">
        <v>45720</v>
      </c>
      <c r="Z3157" s="19" t="s">
        <v>772</v>
      </c>
      <c r="AA3157" s="207">
        <v>40000</v>
      </c>
      <c r="AB3157" s="9">
        <v>84</v>
      </c>
      <c r="AC3157" s="9">
        <v>40</v>
      </c>
      <c r="AD3157" s="17">
        <v>46995</v>
      </c>
      <c r="AE3157" s="54">
        <v>438</v>
      </c>
      <c r="AF3157" s="54"/>
      <c r="AL3157" s="22"/>
      <c r="AM3157" s="22"/>
      <c r="AN3157" s="22"/>
      <c r="AO3157" s="22"/>
      <c r="AP3157" s="22"/>
      <c r="AQ3157" s="22"/>
      <c r="AR3157" s="22"/>
      <c r="AS3157" s="22"/>
      <c r="AT3157" s="22"/>
      <c r="AU3157" s="22"/>
      <c r="AV3157" s="22"/>
      <c r="AW3157" s="9"/>
      <c r="BA3157" s="22"/>
      <c r="BB3157" s="22"/>
      <c r="BD3157" s="9"/>
      <c r="CS3157" s="11">
        <f t="shared" si="214"/>
        <v>0</v>
      </c>
      <c r="CT3157" s="22">
        <f t="shared" si="215"/>
        <v>0</v>
      </c>
      <c r="CU3157" s="22">
        <f t="shared" si="216"/>
        <v>0</v>
      </c>
      <c r="CV3157" s="26">
        <f t="shared" si="218"/>
        <v>438</v>
      </c>
    </row>
    <row r="3158" spans="1:100" x14ac:dyDescent="0.2">
      <c r="A3158" s="9" t="s">
        <v>653</v>
      </c>
      <c r="B3158" s="2">
        <v>78</v>
      </c>
      <c r="C3158" s="3" t="s">
        <v>95</v>
      </c>
      <c r="D3158" s="3" t="s">
        <v>96</v>
      </c>
      <c r="E3158" s="2"/>
      <c r="F3158" s="2"/>
      <c r="G3158" s="2" t="s">
        <v>74</v>
      </c>
      <c r="H3158" s="2">
        <v>3</v>
      </c>
      <c r="I3158" s="20">
        <v>90</v>
      </c>
      <c r="J3158" s="20">
        <v>40000</v>
      </c>
      <c r="K3158" s="3">
        <v>0</v>
      </c>
      <c r="L3158" s="3" t="s">
        <v>3</v>
      </c>
      <c r="M3158" s="9" t="s">
        <v>0</v>
      </c>
      <c r="N3158" s="9">
        <v>43062349</v>
      </c>
      <c r="O3158" s="9" t="s">
        <v>654</v>
      </c>
      <c r="S3158" s="9" t="s">
        <v>158</v>
      </c>
      <c r="T3158" s="10" t="s">
        <v>74</v>
      </c>
      <c r="U3158" s="10">
        <v>3</v>
      </c>
      <c r="V3158" s="10">
        <v>90</v>
      </c>
      <c r="W3158" s="10" t="s">
        <v>710</v>
      </c>
      <c r="X3158" s="17">
        <v>45720</v>
      </c>
      <c r="Y3158" s="17">
        <v>45720</v>
      </c>
      <c r="Z3158" s="19" t="s">
        <v>772</v>
      </c>
      <c r="AA3158" s="207">
        <v>40000</v>
      </c>
      <c r="AB3158" s="9">
        <v>84</v>
      </c>
      <c r="AC3158" s="9">
        <v>41</v>
      </c>
      <c r="AD3158" s="17">
        <v>47026</v>
      </c>
      <c r="AE3158" s="54">
        <v>438</v>
      </c>
      <c r="AF3158" s="54"/>
      <c r="AL3158" s="22"/>
      <c r="AM3158" s="22"/>
      <c r="AN3158" s="22"/>
      <c r="AO3158" s="22"/>
      <c r="AP3158" s="22"/>
      <c r="AQ3158" s="22"/>
      <c r="AR3158" s="22"/>
      <c r="AS3158" s="22"/>
      <c r="AT3158" s="22"/>
      <c r="AU3158" s="22"/>
      <c r="AV3158" s="22"/>
      <c r="AW3158" s="9"/>
      <c r="BA3158" s="22"/>
      <c r="BB3158" s="22"/>
      <c r="BD3158" s="9"/>
      <c r="CS3158" s="11">
        <f t="shared" si="214"/>
        <v>0</v>
      </c>
      <c r="CT3158" s="22">
        <f t="shared" si="215"/>
        <v>0</v>
      </c>
      <c r="CU3158" s="22">
        <f t="shared" si="216"/>
        <v>0</v>
      </c>
      <c r="CV3158" s="26">
        <f t="shared" si="218"/>
        <v>438</v>
      </c>
    </row>
    <row r="3159" spans="1:100" x14ac:dyDescent="0.2">
      <c r="A3159" s="9" t="s">
        <v>653</v>
      </c>
      <c r="B3159" s="2">
        <v>78</v>
      </c>
      <c r="C3159" s="3" t="s">
        <v>95</v>
      </c>
      <c r="D3159" s="3" t="s">
        <v>96</v>
      </c>
      <c r="E3159" s="2"/>
      <c r="F3159" s="2"/>
      <c r="G3159" s="2" t="s">
        <v>74</v>
      </c>
      <c r="H3159" s="2">
        <v>3</v>
      </c>
      <c r="I3159" s="20">
        <v>90</v>
      </c>
      <c r="J3159" s="20">
        <v>40000</v>
      </c>
      <c r="K3159" s="3">
        <v>0</v>
      </c>
      <c r="L3159" s="3" t="s">
        <v>3</v>
      </c>
      <c r="M3159" s="9" t="s">
        <v>0</v>
      </c>
      <c r="N3159" s="9">
        <v>43062349</v>
      </c>
      <c r="O3159" s="9" t="s">
        <v>654</v>
      </c>
      <c r="S3159" s="9" t="s">
        <v>158</v>
      </c>
      <c r="T3159" s="10" t="s">
        <v>74</v>
      </c>
      <c r="U3159" s="10">
        <v>3</v>
      </c>
      <c r="V3159" s="10">
        <v>90</v>
      </c>
      <c r="W3159" s="10" t="s">
        <v>710</v>
      </c>
      <c r="X3159" s="17">
        <v>45720</v>
      </c>
      <c r="Y3159" s="17">
        <v>45720</v>
      </c>
      <c r="Z3159" s="19" t="s">
        <v>772</v>
      </c>
      <c r="AA3159" s="207">
        <v>40000</v>
      </c>
      <c r="AB3159" s="9">
        <v>84</v>
      </c>
      <c r="AC3159" s="9">
        <v>42</v>
      </c>
      <c r="AD3159" s="17">
        <v>47056</v>
      </c>
      <c r="AE3159" s="54">
        <v>438</v>
      </c>
      <c r="AF3159" s="54"/>
      <c r="AL3159" s="22"/>
      <c r="AM3159" s="22"/>
      <c r="AN3159" s="22"/>
      <c r="AO3159" s="22"/>
      <c r="AP3159" s="22"/>
      <c r="AQ3159" s="22"/>
      <c r="AR3159" s="22"/>
      <c r="AS3159" s="22"/>
      <c r="AT3159" s="22"/>
      <c r="AU3159" s="22"/>
      <c r="AV3159" s="22"/>
      <c r="AW3159" s="9"/>
      <c r="BA3159" s="22"/>
      <c r="BB3159" s="22"/>
      <c r="BD3159" s="9"/>
      <c r="CS3159" s="11">
        <f t="shared" si="214"/>
        <v>0</v>
      </c>
      <c r="CT3159" s="22">
        <f t="shared" si="215"/>
        <v>0</v>
      </c>
      <c r="CU3159" s="22">
        <f t="shared" si="216"/>
        <v>0</v>
      </c>
      <c r="CV3159" s="26">
        <f t="shared" si="218"/>
        <v>438</v>
      </c>
    </row>
    <row r="3160" spans="1:100" x14ac:dyDescent="0.2">
      <c r="A3160" s="9" t="s">
        <v>653</v>
      </c>
      <c r="B3160" s="2">
        <v>78</v>
      </c>
      <c r="C3160" s="3" t="s">
        <v>95</v>
      </c>
      <c r="D3160" s="3" t="s">
        <v>96</v>
      </c>
      <c r="E3160" s="2"/>
      <c r="F3160" s="2"/>
      <c r="G3160" s="2" t="s">
        <v>74</v>
      </c>
      <c r="H3160" s="2">
        <v>3</v>
      </c>
      <c r="I3160" s="20">
        <v>90</v>
      </c>
      <c r="J3160" s="20">
        <v>40000</v>
      </c>
      <c r="K3160" s="3">
        <v>0</v>
      </c>
      <c r="L3160" s="3" t="s">
        <v>3</v>
      </c>
      <c r="M3160" s="9" t="s">
        <v>0</v>
      </c>
      <c r="N3160" s="9">
        <v>43062349</v>
      </c>
      <c r="O3160" s="9" t="s">
        <v>654</v>
      </c>
      <c r="S3160" s="9" t="s">
        <v>158</v>
      </c>
      <c r="T3160" s="10" t="s">
        <v>74</v>
      </c>
      <c r="U3160" s="10">
        <v>3</v>
      </c>
      <c r="V3160" s="10">
        <v>90</v>
      </c>
      <c r="W3160" s="10" t="s">
        <v>710</v>
      </c>
      <c r="X3160" s="17">
        <v>45720</v>
      </c>
      <c r="Y3160" s="17">
        <v>45720</v>
      </c>
      <c r="Z3160" s="19" t="s">
        <v>772</v>
      </c>
      <c r="AA3160" s="207">
        <v>40000</v>
      </c>
      <c r="AB3160" s="9">
        <v>84</v>
      </c>
      <c r="AC3160" s="9">
        <v>43</v>
      </c>
      <c r="AD3160" s="17">
        <v>47087</v>
      </c>
      <c r="AE3160" s="54">
        <v>438</v>
      </c>
      <c r="AF3160" s="54"/>
      <c r="AL3160" s="22"/>
      <c r="AM3160" s="22"/>
      <c r="AN3160" s="22"/>
      <c r="AO3160" s="22"/>
      <c r="AP3160" s="22"/>
      <c r="AQ3160" s="22"/>
      <c r="AR3160" s="22"/>
      <c r="AS3160" s="22"/>
      <c r="AT3160" s="22"/>
      <c r="AU3160" s="22"/>
      <c r="AV3160" s="22"/>
      <c r="AW3160" s="9"/>
      <c r="BA3160" s="22"/>
      <c r="BB3160" s="22"/>
      <c r="BD3160" s="9"/>
      <c r="CS3160" s="11">
        <f t="shared" si="214"/>
        <v>0</v>
      </c>
      <c r="CT3160" s="22">
        <f t="shared" si="215"/>
        <v>0</v>
      </c>
      <c r="CU3160" s="22">
        <f t="shared" si="216"/>
        <v>0</v>
      </c>
      <c r="CV3160" s="26">
        <f t="shared" si="218"/>
        <v>438</v>
      </c>
    </row>
    <row r="3161" spans="1:100" x14ac:dyDescent="0.2">
      <c r="A3161" s="9" t="s">
        <v>653</v>
      </c>
      <c r="B3161" s="2">
        <v>78</v>
      </c>
      <c r="C3161" s="3" t="s">
        <v>95</v>
      </c>
      <c r="D3161" s="3" t="s">
        <v>96</v>
      </c>
      <c r="E3161" s="2"/>
      <c r="F3161" s="2"/>
      <c r="G3161" s="2" t="s">
        <v>74</v>
      </c>
      <c r="H3161" s="2">
        <v>3</v>
      </c>
      <c r="I3161" s="20">
        <v>90</v>
      </c>
      <c r="J3161" s="20">
        <v>40000</v>
      </c>
      <c r="K3161" s="3">
        <v>0</v>
      </c>
      <c r="L3161" s="3" t="s">
        <v>3</v>
      </c>
      <c r="M3161" s="9" t="s">
        <v>0</v>
      </c>
      <c r="N3161" s="9">
        <v>43062349</v>
      </c>
      <c r="O3161" s="9" t="s">
        <v>654</v>
      </c>
      <c r="S3161" s="9" t="s">
        <v>158</v>
      </c>
      <c r="T3161" s="10" t="s">
        <v>74</v>
      </c>
      <c r="U3161" s="10">
        <v>3</v>
      </c>
      <c r="V3161" s="10">
        <v>90</v>
      </c>
      <c r="W3161" s="10" t="s">
        <v>710</v>
      </c>
      <c r="X3161" s="17">
        <v>45720</v>
      </c>
      <c r="Y3161" s="17">
        <v>45720</v>
      </c>
      <c r="Z3161" s="19" t="s">
        <v>772</v>
      </c>
      <c r="AA3161" s="207">
        <v>40000</v>
      </c>
      <c r="AB3161" s="9">
        <v>84</v>
      </c>
      <c r="AC3161" s="9">
        <v>44</v>
      </c>
      <c r="AD3161" s="17">
        <v>47117</v>
      </c>
      <c r="AE3161" s="54">
        <v>438</v>
      </c>
      <c r="AF3161" s="54"/>
      <c r="AL3161" s="22"/>
      <c r="AM3161" s="22"/>
      <c r="AN3161" s="22"/>
      <c r="AO3161" s="22"/>
      <c r="AP3161" s="22"/>
      <c r="AQ3161" s="22"/>
      <c r="AR3161" s="22"/>
      <c r="AS3161" s="22"/>
      <c r="AT3161" s="22"/>
      <c r="AU3161" s="22"/>
      <c r="AV3161" s="22"/>
      <c r="AW3161" s="9"/>
      <c r="BA3161" s="22"/>
      <c r="BB3161" s="22"/>
      <c r="BD3161" s="9"/>
      <c r="CS3161" s="11">
        <f t="shared" si="214"/>
        <v>0</v>
      </c>
      <c r="CT3161" s="22">
        <f t="shared" si="215"/>
        <v>0</v>
      </c>
      <c r="CU3161" s="22">
        <f t="shared" si="216"/>
        <v>0</v>
      </c>
      <c r="CV3161" s="26">
        <f t="shared" si="218"/>
        <v>438</v>
      </c>
    </row>
    <row r="3162" spans="1:100" x14ac:dyDescent="0.2">
      <c r="A3162" s="9" t="s">
        <v>653</v>
      </c>
      <c r="B3162" s="2">
        <v>78</v>
      </c>
      <c r="C3162" s="3" t="s">
        <v>95</v>
      </c>
      <c r="D3162" s="3" t="s">
        <v>96</v>
      </c>
      <c r="E3162" s="2"/>
      <c r="F3162" s="2"/>
      <c r="G3162" s="2" t="s">
        <v>74</v>
      </c>
      <c r="H3162" s="2">
        <v>3</v>
      </c>
      <c r="I3162" s="20">
        <v>90</v>
      </c>
      <c r="J3162" s="20">
        <v>40000</v>
      </c>
      <c r="K3162" s="3">
        <v>0</v>
      </c>
      <c r="L3162" s="3" t="s">
        <v>3</v>
      </c>
      <c r="M3162" s="9" t="s">
        <v>0</v>
      </c>
      <c r="N3162" s="9">
        <v>43062349</v>
      </c>
      <c r="O3162" s="9" t="s">
        <v>654</v>
      </c>
      <c r="S3162" s="9" t="s">
        <v>158</v>
      </c>
      <c r="T3162" s="10" t="s">
        <v>74</v>
      </c>
      <c r="U3162" s="10">
        <v>3</v>
      </c>
      <c r="V3162" s="10">
        <v>90</v>
      </c>
      <c r="W3162" s="10" t="s">
        <v>710</v>
      </c>
      <c r="X3162" s="17">
        <v>45720</v>
      </c>
      <c r="Y3162" s="17">
        <v>45720</v>
      </c>
      <c r="Z3162" s="19" t="s">
        <v>772</v>
      </c>
      <c r="AA3162" s="207">
        <v>40000</v>
      </c>
      <c r="AB3162" s="9">
        <v>84</v>
      </c>
      <c r="AC3162" s="9">
        <v>45</v>
      </c>
      <c r="AD3162" s="17">
        <v>47148</v>
      </c>
      <c r="AE3162" s="54">
        <v>438</v>
      </c>
      <c r="AF3162" s="54"/>
      <c r="AL3162" s="22"/>
      <c r="AM3162" s="22"/>
      <c r="AN3162" s="22"/>
      <c r="AO3162" s="22"/>
      <c r="AP3162" s="22"/>
      <c r="AQ3162" s="22"/>
      <c r="AR3162" s="22"/>
      <c r="AS3162" s="22"/>
      <c r="AT3162" s="22"/>
      <c r="AU3162" s="22"/>
      <c r="AV3162" s="22"/>
      <c r="AW3162" s="9"/>
      <c r="BA3162" s="22"/>
      <c r="BB3162" s="22"/>
      <c r="BD3162" s="9"/>
      <c r="CS3162" s="11">
        <f t="shared" si="214"/>
        <v>0</v>
      </c>
      <c r="CT3162" s="22">
        <f t="shared" si="215"/>
        <v>0</v>
      </c>
      <c r="CU3162" s="22">
        <f t="shared" si="216"/>
        <v>0</v>
      </c>
      <c r="CV3162" s="26">
        <f t="shared" si="218"/>
        <v>438</v>
      </c>
    </row>
    <row r="3163" spans="1:100" x14ac:dyDescent="0.2">
      <c r="A3163" s="9" t="s">
        <v>653</v>
      </c>
      <c r="B3163" s="2">
        <v>78</v>
      </c>
      <c r="C3163" s="3" t="s">
        <v>95</v>
      </c>
      <c r="D3163" s="3" t="s">
        <v>96</v>
      </c>
      <c r="E3163" s="2"/>
      <c r="F3163" s="2"/>
      <c r="G3163" s="2" t="s">
        <v>74</v>
      </c>
      <c r="H3163" s="2">
        <v>3</v>
      </c>
      <c r="I3163" s="20">
        <v>90</v>
      </c>
      <c r="J3163" s="20">
        <v>40000</v>
      </c>
      <c r="K3163" s="3">
        <v>0</v>
      </c>
      <c r="L3163" s="3" t="s">
        <v>3</v>
      </c>
      <c r="M3163" s="9" t="s">
        <v>0</v>
      </c>
      <c r="N3163" s="9">
        <v>43062349</v>
      </c>
      <c r="O3163" s="9" t="s">
        <v>654</v>
      </c>
      <c r="S3163" s="9" t="s">
        <v>158</v>
      </c>
      <c r="T3163" s="10" t="s">
        <v>74</v>
      </c>
      <c r="U3163" s="10">
        <v>3</v>
      </c>
      <c r="V3163" s="10">
        <v>90</v>
      </c>
      <c r="W3163" s="10" t="s">
        <v>710</v>
      </c>
      <c r="X3163" s="17">
        <v>45720</v>
      </c>
      <c r="Y3163" s="17">
        <v>45720</v>
      </c>
      <c r="Z3163" s="19" t="s">
        <v>772</v>
      </c>
      <c r="AA3163" s="207">
        <v>40000</v>
      </c>
      <c r="AB3163" s="9">
        <v>84</v>
      </c>
      <c r="AC3163" s="9">
        <v>46</v>
      </c>
      <c r="AD3163" s="17">
        <v>47177</v>
      </c>
      <c r="AE3163" s="54">
        <v>438</v>
      </c>
      <c r="AF3163" s="54"/>
      <c r="AL3163" s="22"/>
      <c r="AM3163" s="22"/>
      <c r="AN3163" s="22"/>
      <c r="AO3163" s="22"/>
      <c r="AP3163" s="22"/>
      <c r="AQ3163" s="22"/>
      <c r="AR3163" s="22"/>
      <c r="AS3163" s="22"/>
      <c r="AT3163" s="22"/>
      <c r="AU3163" s="22"/>
      <c r="AV3163" s="22"/>
      <c r="AW3163" s="9"/>
      <c r="BA3163" s="22"/>
      <c r="BB3163" s="22"/>
      <c r="BD3163" s="9"/>
      <c r="CS3163" s="11">
        <f t="shared" si="214"/>
        <v>0</v>
      </c>
      <c r="CT3163" s="22">
        <f t="shared" si="215"/>
        <v>0</v>
      </c>
      <c r="CU3163" s="22">
        <f t="shared" si="216"/>
        <v>0</v>
      </c>
      <c r="CV3163" s="26">
        <f t="shared" si="218"/>
        <v>438</v>
      </c>
    </row>
    <row r="3164" spans="1:100" x14ac:dyDescent="0.2">
      <c r="A3164" s="9" t="s">
        <v>653</v>
      </c>
      <c r="B3164" s="2">
        <v>78</v>
      </c>
      <c r="C3164" s="3" t="s">
        <v>95</v>
      </c>
      <c r="D3164" s="3" t="s">
        <v>96</v>
      </c>
      <c r="E3164" s="2"/>
      <c r="F3164" s="2"/>
      <c r="G3164" s="2" t="s">
        <v>74</v>
      </c>
      <c r="H3164" s="2">
        <v>3</v>
      </c>
      <c r="I3164" s="20">
        <v>90</v>
      </c>
      <c r="J3164" s="20">
        <v>40000</v>
      </c>
      <c r="K3164" s="3">
        <v>0</v>
      </c>
      <c r="L3164" s="3" t="s">
        <v>3</v>
      </c>
      <c r="M3164" s="9" t="s">
        <v>0</v>
      </c>
      <c r="N3164" s="9">
        <v>43062349</v>
      </c>
      <c r="O3164" s="9" t="s">
        <v>654</v>
      </c>
      <c r="S3164" s="9" t="s">
        <v>158</v>
      </c>
      <c r="T3164" s="10" t="s">
        <v>74</v>
      </c>
      <c r="U3164" s="10">
        <v>3</v>
      </c>
      <c r="V3164" s="10">
        <v>90</v>
      </c>
      <c r="W3164" s="10" t="s">
        <v>710</v>
      </c>
      <c r="X3164" s="17">
        <v>45720</v>
      </c>
      <c r="Y3164" s="17">
        <v>45720</v>
      </c>
      <c r="Z3164" s="19" t="s">
        <v>772</v>
      </c>
      <c r="AA3164" s="207">
        <v>40000</v>
      </c>
      <c r="AB3164" s="9">
        <v>84</v>
      </c>
      <c r="AC3164" s="9">
        <v>47</v>
      </c>
      <c r="AD3164" s="17">
        <v>47207</v>
      </c>
      <c r="AE3164" s="54">
        <v>438</v>
      </c>
      <c r="AF3164" s="54"/>
      <c r="AL3164" s="22"/>
      <c r="AM3164" s="22"/>
      <c r="AN3164" s="22"/>
      <c r="AO3164" s="22"/>
      <c r="AP3164" s="22"/>
      <c r="AQ3164" s="22"/>
      <c r="AR3164" s="22"/>
      <c r="AS3164" s="22"/>
      <c r="AT3164" s="22"/>
      <c r="AU3164" s="22"/>
      <c r="AV3164" s="22"/>
      <c r="AW3164" s="9"/>
      <c r="BA3164" s="22"/>
      <c r="BB3164" s="22"/>
      <c r="BD3164" s="9"/>
      <c r="CS3164" s="11">
        <f t="shared" ref="CS3164:CS3201" si="219">+AL3164+AT3164</f>
        <v>0</v>
      </c>
      <c r="CT3164" s="22">
        <f t="shared" ref="CT3164:CT3201" si="220">+BA3164+BG3164+BM3164+BS3164+BY3164+CE3164+CK3164+CQ3164</f>
        <v>0</v>
      </c>
      <c r="CU3164" s="22">
        <f t="shared" ref="CU3164:CU3201" si="221">+CS3164-CT3164</f>
        <v>0</v>
      </c>
      <c r="CV3164" s="26">
        <f t="shared" si="218"/>
        <v>438</v>
      </c>
    </row>
    <row r="3165" spans="1:100" x14ac:dyDescent="0.2">
      <c r="A3165" s="9" t="s">
        <v>653</v>
      </c>
      <c r="B3165" s="2">
        <v>78</v>
      </c>
      <c r="C3165" s="3" t="s">
        <v>95</v>
      </c>
      <c r="D3165" s="3" t="s">
        <v>96</v>
      </c>
      <c r="E3165" s="2"/>
      <c r="F3165" s="2"/>
      <c r="G3165" s="2" t="s">
        <v>74</v>
      </c>
      <c r="H3165" s="2">
        <v>3</v>
      </c>
      <c r="I3165" s="20">
        <v>90</v>
      </c>
      <c r="J3165" s="20">
        <v>40000</v>
      </c>
      <c r="K3165" s="3">
        <v>0</v>
      </c>
      <c r="L3165" s="3" t="s">
        <v>3</v>
      </c>
      <c r="M3165" s="9" t="s">
        <v>0</v>
      </c>
      <c r="N3165" s="9">
        <v>43062349</v>
      </c>
      <c r="O3165" s="9" t="s">
        <v>654</v>
      </c>
      <c r="S3165" s="9" t="s">
        <v>158</v>
      </c>
      <c r="T3165" s="10" t="s">
        <v>74</v>
      </c>
      <c r="U3165" s="10">
        <v>3</v>
      </c>
      <c r="V3165" s="10">
        <v>90</v>
      </c>
      <c r="W3165" s="10" t="s">
        <v>710</v>
      </c>
      <c r="X3165" s="17">
        <v>45720</v>
      </c>
      <c r="Y3165" s="17">
        <v>45720</v>
      </c>
      <c r="Z3165" s="19" t="s">
        <v>772</v>
      </c>
      <c r="AA3165" s="207">
        <v>40000</v>
      </c>
      <c r="AB3165" s="9">
        <v>84</v>
      </c>
      <c r="AC3165" s="9">
        <v>48</v>
      </c>
      <c r="AD3165" s="17">
        <v>47238</v>
      </c>
      <c r="AE3165" s="54">
        <v>438</v>
      </c>
      <c r="AF3165" s="54"/>
      <c r="AL3165" s="22"/>
      <c r="AM3165" s="22"/>
      <c r="AN3165" s="22"/>
      <c r="AO3165" s="22"/>
      <c r="AP3165" s="22"/>
      <c r="AQ3165" s="22"/>
      <c r="AR3165" s="22"/>
      <c r="AS3165" s="22"/>
      <c r="AT3165" s="22"/>
      <c r="AU3165" s="22"/>
      <c r="AV3165" s="22"/>
      <c r="AW3165" s="9"/>
      <c r="BA3165" s="22"/>
      <c r="BB3165" s="22"/>
      <c r="BD3165" s="9"/>
      <c r="CS3165" s="11">
        <f t="shared" si="219"/>
        <v>0</v>
      </c>
      <c r="CT3165" s="22">
        <f t="shared" si="220"/>
        <v>0</v>
      </c>
      <c r="CU3165" s="22">
        <f t="shared" si="221"/>
        <v>0</v>
      </c>
      <c r="CV3165" s="26">
        <f t="shared" si="218"/>
        <v>438</v>
      </c>
    </row>
    <row r="3166" spans="1:100" x14ac:dyDescent="0.2">
      <c r="A3166" s="9" t="s">
        <v>653</v>
      </c>
      <c r="B3166" s="2">
        <v>78</v>
      </c>
      <c r="C3166" s="3" t="s">
        <v>95</v>
      </c>
      <c r="D3166" s="3" t="s">
        <v>96</v>
      </c>
      <c r="E3166" s="2"/>
      <c r="F3166" s="2"/>
      <c r="G3166" s="2" t="s">
        <v>74</v>
      </c>
      <c r="H3166" s="2">
        <v>3</v>
      </c>
      <c r="I3166" s="20">
        <v>90</v>
      </c>
      <c r="J3166" s="20">
        <v>40000</v>
      </c>
      <c r="K3166" s="3">
        <v>0</v>
      </c>
      <c r="L3166" s="3" t="s">
        <v>3</v>
      </c>
      <c r="M3166" s="9" t="s">
        <v>0</v>
      </c>
      <c r="N3166" s="9">
        <v>43062349</v>
      </c>
      <c r="O3166" s="9" t="s">
        <v>654</v>
      </c>
      <c r="S3166" s="9" t="s">
        <v>158</v>
      </c>
      <c r="T3166" s="10" t="s">
        <v>74</v>
      </c>
      <c r="U3166" s="10">
        <v>3</v>
      </c>
      <c r="V3166" s="10">
        <v>90</v>
      </c>
      <c r="W3166" s="10" t="s">
        <v>710</v>
      </c>
      <c r="X3166" s="17">
        <v>45720</v>
      </c>
      <c r="Y3166" s="17">
        <v>45720</v>
      </c>
      <c r="Z3166" s="19" t="s">
        <v>772</v>
      </c>
      <c r="AA3166" s="207">
        <v>40000</v>
      </c>
      <c r="AB3166" s="9">
        <v>84</v>
      </c>
      <c r="AC3166" s="9">
        <v>49</v>
      </c>
      <c r="AD3166" s="17">
        <v>47268</v>
      </c>
      <c r="AE3166" s="54">
        <v>438</v>
      </c>
      <c r="AF3166" s="54"/>
      <c r="AL3166" s="22"/>
      <c r="AM3166" s="22"/>
      <c r="AN3166" s="22"/>
      <c r="AO3166" s="22"/>
      <c r="AP3166" s="22"/>
      <c r="AQ3166" s="22"/>
      <c r="AR3166" s="22"/>
      <c r="AS3166" s="22"/>
      <c r="AT3166" s="22"/>
      <c r="AU3166" s="22"/>
      <c r="AV3166" s="22"/>
      <c r="AW3166" s="9"/>
      <c r="BA3166" s="22"/>
      <c r="BB3166" s="22"/>
      <c r="BD3166" s="9"/>
      <c r="CS3166" s="11">
        <f t="shared" si="219"/>
        <v>0</v>
      </c>
      <c r="CT3166" s="22">
        <f t="shared" si="220"/>
        <v>0</v>
      </c>
      <c r="CU3166" s="22">
        <f t="shared" si="221"/>
        <v>0</v>
      </c>
      <c r="CV3166" s="26">
        <f t="shared" si="218"/>
        <v>438</v>
      </c>
    </row>
    <row r="3167" spans="1:100" x14ac:dyDescent="0.2">
      <c r="A3167" s="9" t="s">
        <v>653</v>
      </c>
      <c r="B3167" s="2">
        <v>78</v>
      </c>
      <c r="C3167" s="3" t="s">
        <v>95</v>
      </c>
      <c r="D3167" s="3" t="s">
        <v>96</v>
      </c>
      <c r="E3167" s="2"/>
      <c r="F3167" s="2"/>
      <c r="G3167" s="2" t="s">
        <v>74</v>
      </c>
      <c r="H3167" s="2">
        <v>3</v>
      </c>
      <c r="I3167" s="20">
        <v>90</v>
      </c>
      <c r="J3167" s="20">
        <v>40000</v>
      </c>
      <c r="K3167" s="3">
        <v>0</v>
      </c>
      <c r="L3167" s="3" t="s">
        <v>3</v>
      </c>
      <c r="M3167" s="9" t="s">
        <v>0</v>
      </c>
      <c r="N3167" s="9">
        <v>43062349</v>
      </c>
      <c r="O3167" s="9" t="s">
        <v>654</v>
      </c>
      <c r="S3167" s="9" t="s">
        <v>158</v>
      </c>
      <c r="T3167" s="10" t="s">
        <v>74</v>
      </c>
      <c r="U3167" s="10">
        <v>3</v>
      </c>
      <c r="V3167" s="10">
        <v>90</v>
      </c>
      <c r="W3167" s="10" t="s">
        <v>710</v>
      </c>
      <c r="X3167" s="17">
        <v>45720</v>
      </c>
      <c r="Y3167" s="17">
        <v>45720</v>
      </c>
      <c r="Z3167" s="19" t="s">
        <v>772</v>
      </c>
      <c r="AA3167" s="207">
        <v>40000</v>
      </c>
      <c r="AB3167" s="9">
        <v>84</v>
      </c>
      <c r="AC3167" s="9">
        <v>50</v>
      </c>
      <c r="AD3167" s="17">
        <v>47299</v>
      </c>
      <c r="AE3167" s="54">
        <v>438</v>
      </c>
      <c r="AF3167" s="54"/>
      <c r="AL3167" s="22"/>
      <c r="AM3167" s="22"/>
      <c r="AN3167" s="22"/>
      <c r="AO3167" s="22"/>
      <c r="AP3167" s="22"/>
      <c r="AQ3167" s="22"/>
      <c r="AR3167" s="22"/>
      <c r="AS3167" s="22"/>
      <c r="AT3167" s="22"/>
      <c r="AU3167" s="22"/>
      <c r="AV3167" s="22"/>
      <c r="AW3167" s="9"/>
      <c r="BA3167" s="22"/>
      <c r="BB3167" s="22"/>
      <c r="BD3167" s="9"/>
      <c r="CS3167" s="11">
        <f t="shared" si="219"/>
        <v>0</v>
      </c>
      <c r="CT3167" s="22">
        <f t="shared" si="220"/>
        <v>0</v>
      </c>
      <c r="CU3167" s="22">
        <f t="shared" si="221"/>
        <v>0</v>
      </c>
      <c r="CV3167" s="26">
        <f t="shared" si="218"/>
        <v>438</v>
      </c>
    </row>
    <row r="3168" spans="1:100" x14ac:dyDescent="0.2">
      <c r="A3168" s="9" t="s">
        <v>653</v>
      </c>
      <c r="B3168" s="2">
        <v>78</v>
      </c>
      <c r="C3168" s="3" t="s">
        <v>95</v>
      </c>
      <c r="D3168" s="3" t="s">
        <v>96</v>
      </c>
      <c r="E3168" s="2"/>
      <c r="F3168" s="2"/>
      <c r="G3168" s="2" t="s">
        <v>74</v>
      </c>
      <c r="H3168" s="2">
        <v>3</v>
      </c>
      <c r="I3168" s="20">
        <v>90</v>
      </c>
      <c r="J3168" s="20">
        <v>40000</v>
      </c>
      <c r="K3168" s="3">
        <v>0</v>
      </c>
      <c r="L3168" s="3" t="s">
        <v>3</v>
      </c>
      <c r="M3168" s="9" t="s">
        <v>0</v>
      </c>
      <c r="N3168" s="9">
        <v>43062349</v>
      </c>
      <c r="O3168" s="9" t="s">
        <v>654</v>
      </c>
      <c r="S3168" s="9" t="s">
        <v>158</v>
      </c>
      <c r="T3168" s="10" t="s">
        <v>74</v>
      </c>
      <c r="U3168" s="10">
        <v>3</v>
      </c>
      <c r="V3168" s="10">
        <v>90</v>
      </c>
      <c r="W3168" s="10" t="s">
        <v>710</v>
      </c>
      <c r="X3168" s="17">
        <v>45720</v>
      </c>
      <c r="Y3168" s="17">
        <v>45720</v>
      </c>
      <c r="Z3168" s="19" t="s">
        <v>772</v>
      </c>
      <c r="AA3168" s="207">
        <v>40000</v>
      </c>
      <c r="AB3168" s="9">
        <v>84</v>
      </c>
      <c r="AC3168" s="9">
        <v>51</v>
      </c>
      <c r="AD3168" s="17">
        <v>47329</v>
      </c>
      <c r="AE3168" s="54">
        <v>438</v>
      </c>
      <c r="AF3168" s="54"/>
      <c r="AL3168" s="22"/>
      <c r="AM3168" s="22"/>
      <c r="AN3168" s="22"/>
      <c r="AO3168" s="22"/>
      <c r="AP3168" s="22"/>
      <c r="AQ3168" s="22"/>
      <c r="AR3168" s="22"/>
      <c r="AS3168" s="22"/>
      <c r="AT3168" s="22"/>
      <c r="AU3168" s="22"/>
      <c r="AV3168" s="22"/>
      <c r="AW3168" s="9"/>
      <c r="BA3168" s="22"/>
      <c r="BB3168" s="22"/>
      <c r="BD3168" s="9"/>
      <c r="CS3168" s="11">
        <f t="shared" si="219"/>
        <v>0</v>
      </c>
      <c r="CT3168" s="22">
        <f t="shared" si="220"/>
        <v>0</v>
      </c>
      <c r="CU3168" s="22">
        <f t="shared" si="221"/>
        <v>0</v>
      </c>
      <c r="CV3168" s="26">
        <f t="shared" si="218"/>
        <v>438</v>
      </c>
    </row>
    <row r="3169" spans="1:100" x14ac:dyDescent="0.2">
      <c r="A3169" s="9" t="s">
        <v>653</v>
      </c>
      <c r="B3169" s="2">
        <v>78</v>
      </c>
      <c r="C3169" s="3" t="s">
        <v>95</v>
      </c>
      <c r="D3169" s="3" t="s">
        <v>96</v>
      </c>
      <c r="E3169" s="2"/>
      <c r="F3169" s="2"/>
      <c r="G3169" s="2" t="s">
        <v>74</v>
      </c>
      <c r="H3169" s="2">
        <v>3</v>
      </c>
      <c r="I3169" s="20">
        <v>90</v>
      </c>
      <c r="J3169" s="20">
        <v>40000</v>
      </c>
      <c r="K3169" s="3">
        <v>0</v>
      </c>
      <c r="L3169" s="3" t="s">
        <v>3</v>
      </c>
      <c r="M3169" s="9" t="s">
        <v>0</v>
      </c>
      <c r="N3169" s="9">
        <v>43062349</v>
      </c>
      <c r="O3169" s="9" t="s">
        <v>654</v>
      </c>
      <c r="S3169" s="9" t="s">
        <v>158</v>
      </c>
      <c r="T3169" s="10" t="s">
        <v>74</v>
      </c>
      <c r="U3169" s="10">
        <v>3</v>
      </c>
      <c r="V3169" s="10">
        <v>90</v>
      </c>
      <c r="W3169" s="10" t="s">
        <v>710</v>
      </c>
      <c r="X3169" s="17">
        <v>45720</v>
      </c>
      <c r="Y3169" s="17">
        <v>45720</v>
      </c>
      <c r="Z3169" s="19" t="s">
        <v>772</v>
      </c>
      <c r="AA3169" s="207">
        <v>40000</v>
      </c>
      <c r="AB3169" s="9">
        <v>84</v>
      </c>
      <c r="AC3169" s="9">
        <v>52</v>
      </c>
      <c r="AD3169" s="17">
        <v>47360</v>
      </c>
      <c r="AE3169" s="54">
        <v>438</v>
      </c>
      <c r="AF3169" s="54"/>
      <c r="AL3169" s="22"/>
      <c r="AM3169" s="22"/>
      <c r="AN3169" s="22"/>
      <c r="AO3169" s="22"/>
      <c r="AP3169" s="22"/>
      <c r="AQ3169" s="22"/>
      <c r="AR3169" s="22"/>
      <c r="AS3169" s="22"/>
      <c r="AT3169" s="22"/>
      <c r="AU3169" s="22"/>
      <c r="AV3169" s="22"/>
      <c r="AW3169" s="9"/>
      <c r="BA3169" s="22"/>
      <c r="BB3169" s="22"/>
      <c r="BD3169" s="9"/>
      <c r="CS3169" s="11">
        <f t="shared" si="219"/>
        <v>0</v>
      </c>
      <c r="CT3169" s="22">
        <f t="shared" si="220"/>
        <v>0</v>
      </c>
      <c r="CU3169" s="22">
        <f t="shared" si="221"/>
        <v>0</v>
      </c>
      <c r="CV3169" s="26">
        <f t="shared" si="218"/>
        <v>438</v>
      </c>
    </row>
    <row r="3170" spans="1:100" x14ac:dyDescent="0.2">
      <c r="A3170" s="9" t="s">
        <v>653</v>
      </c>
      <c r="B3170" s="2">
        <v>78</v>
      </c>
      <c r="C3170" s="3" t="s">
        <v>95</v>
      </c>
      <c r="D3170" s="3" t="s">
        <v>96</v>
      </c>
      <c r="E3170" s="2"/>
      <c r="F3170" s="2"/>
      <c r="G3170" s="2" t="s">
        <v>74</v>
      </c>
      <c r="H3170" s="2">
        <v>3</v>
      </c>
      <c r="I3170" s="20">
        <v>90</v>
      </c>
      <c r="J3170" s="20">
        <v>40000</v>
      </c>
      <c r="K3170" s="3">
        <v>0</v>
      </c>
      <c r="L3170" s="3" t="s">
        <v>3</v>
      </c>
      <c r="M3170" s="9" t="s">
        <v>0</v>
      </c>
      <c r="N3170" s="9">
        <v>43062349</v>
      </c>
      <c r="O3170" s="9" t="s">
        <v>654</v>
      </c>
      <c r="S3170" s="9" t="s">
        <v>158</v>
      </c>
      <c r="T3170" s="10" t="s">
        <v>74</v>
      </c>
      <c r="U3170" s="10">
        <v>3</v>
      </c>
      <c r="V3170" s="10">
        <v>90</v>
      </c>
      <c r="W3170" s="10" t="s">
        <v>710</v>
      </c>
      <c r="X3170" s="17">
        <v>45720</v>
      </c>
      <c r="Y3170" s="17">
        <v>45720</v>
      </c>
      <c r="Z3170" s="19" t="s">
        <v>772</v>
      </c>
      <c r="AA3170" s="207">
        <v>40000</v>
      </c>
      <c r="AB3170" s="9">
        <v>84</v>
      </c>
      <c r="AC3170" s="9">
        <v>53</v>
      </c>
      <c r="AD3170" s="17">
        <v>47391</v>
      </c>
      <c r="AE3170" s="54">
        <v>438</v>
      </c>
      <c r="AF3170" s="54"/>
      <c r="AL3170" s="22"/>
      <c r="AM3170" s="22"/>
      <c r="AN3170" s="22"/>
      <c r="AO3170" s="22"/>
      <c r="AP3170" s="22"/>
      <c r="AQ3170" s="22"/>
      <c r="AR3170" s="22"/>
      <c r="AS3170" s="22"/>
      <c r="AT3170" s="22"/>
      <c r="AU3170" s="22"/>
      <c r="AV3170" s="22"/>
      <c r="AW3170" s="9"/>
      <c r="BA3170" s="22"/>
      <c r="BB3170" s="22"/>
      <c r="BD3170" s="9"/>
      <c r="CS3170" s="11">
        <f t="shared" si="219"/>
        <v>0</v>
      </c>
      <c r="CT3170" s="22">
        <f t="shared" si="220"/>
        <v>0</v>
      </c>
      <c r="CU3170" s="22">
        <f t="shared" si="221"/>
        <v>0</v>
      </c>
      <c r="CV3170" s="26">
        <f t="shared" si="218"/>
        <v>438</v>
      </c>
    </row>
    <row r="3171" spans="1:100" x14ac:dyDescent="0.2">
      <c r="A3171" s="9" t="s">
        <v>653</v>
      </c>
      <c r="B3171" s="2">
        <v>78</v>
      </c>
      <c r="C3171" s="3" t="s">
        <v>95</v>
      </c>
      <c r="D3171" s="3" t="s">
        <v>96</v>
      </c>
      <c r="E3171" s="2"/>
      <c r="F3171" s="2"/>
      <c r="G3171" s="2" t="s">
        <v>74</v>
      </c>
      <c r="H3171" s="2">
        <v>3</v>
      </c>
      <c r="I3171" s="20">
        <v>90</v>
      </c>
      <c r="J3171" s="20">
        <v>40000</v>
      </c>
      <c r="K3171" s="3">
        <v>0</v>
      </c>
      <c r="L3171" s="3" t="s">
        <v>3</v>
      </c>
      <c r="M3171" s="9" t="s">
        <v>0</v>
      </c>
      <c r="N3171" s="9">
        <v>43062349</v>
      </c>
      <c r="O3171" s="9" t="s">
        <v>654</v>
      </c>
      <c r="S3171" s="9" t="s">
        <v>158</v>
      </c>
      <c r="T3171" s="10" t="s">
        <v>74</v>
      </c>
      <c r="U3171" s="10">
        <v>3</v>
      </c>
      <c r="V3171" s="10">
        <v>90</v>
      </c>
      <c r="W3171" s="10" t="s">
        <v>710</v>
      </c>
      <c r="X3171" s="17">
        <v>45720</v>
      </c>
      <c r="Y3171" s="17">
        <v>45720</v>
      </c>
      <c r="Z3171" s="19" t="s">
        <v>772</v>
      </c>
      <c r="AA3171" s="207">
        <v>40000</v>
      </c>
      <c r="AB3171" s="9">
        <v>84</v>
      </c>
      <c r="AC3171" s="9">
        <v>54</v>
      </c>
      <c r="AD3171" s="17">
        <v>47421</v>
      </c>
      <c r="AE3171" s="54">
        <v>438</v>
      </c>
      <c r="AF3171" s="54"/>
      <c r="AL3171" s="22"/>
      <c r="AM3171" s="22"/>
      <c r="AN3171" s="22"/>
      <c r="AO3171" s="22"/>
      <c r="AP3171" s="22"/>
      <c r="AQ3171" s="22"/>
      <c r="AR3171" s="22"/>
      <c r="AS3171" s="22"/>
      <c r="AT3171" s="22"/>
      <c r="AU3171" s="22"/>
      <c r="AV3171" s="22"/>
      <c r="AW3171" s="9"/>
      <c r="BA3171" s="22"/>
      <c r="BB3171" s="22"/>
      <c r="BD3171" s="9"/>
      <c r="CS3171" s="11">
        <f t="shared" si="219"/>
        <v>0</v>
      </c>
      <c r="CT3171" s="22">
        <f t="shared" si="220"/>
        <v>0</v>
      </c>
      <c r="CU3171" s="22">
        <f t="shared" si="221"/>
        <v>0</v>
      </c>
      <c r="CV3171" s="26">
        <f t="shared" si="218"/>
        <v>438</v>
      </c>
    </row>
    <row r="3172" spans="1:100" x14ac:dyDescent="0.2">
      <c r="A3172" s="9" t="s">
        <v>653</v>
      </c>
      <c r="B3172" s="2">
        <v>78</v>
      </c>
      <c r="C3172" s="3" t="s">
        <v>95</v>
      </c>
      <c r="D3172" s="3" t="s">
        <v>96</v>
      </c>
      <c r="E3172" s="2"/>
      <c r="F3172" s="2"/>
      <c r="G3172" s="2" t="s">
        <v>74</v>
      </c>
      <c r="H3172" s="2">
        <v>3</v>
      </c>
      <c r="I3172" s="20">
        <v>90</v>
      </c>
      <c r="J3172" s="20">
        <v>40000</v>
      </c>
      <c r="K3172" s="3">
        <v>0</v>
      </c>
      <c r="L3172" s="3" t="s">
        <v>3</v>
      </c>
      <c r="M3172" s="9" t="s">
        <v>0</v>
      </c>
      <c r="N3172" s="9">
        <v>43062349</v>
      </c>
      <c r="O3172" s="9" t="s">
        <v>654</v>
      </c>
      <c r="S3172" s="9" t="s">
        <v>158</v>
      </c>
      <c r="T3172" s="10" t="s">
        <v>74</v>
      </c>
      <c r="U3172" s="10">
        <v>3</v>
      </c>
      <c r="V3172" s="10">
        <v>90</v>
      </c>
      <c r="W3172" s="10" t="s">
        <v>710</v>
      </c>
      <c r="X3172" s="17">
        <v>45720</v>
      </c>
      <c r="Y3172" s="17">
        <v>45720</v>
      </c>
      <c r="Z3172" s="19" t="s">
        <v>772</v>
      </c>
      <c r="AA3172" s="207">
        <v>40000</v>
      </c>
      <c r="AB3172" s="9">
        <v>84</v>
      </c>
      <c r="AC3172" s="9">
        <v>55</v>
      </c>
      <c r="AD3172" s="17">
        <v>47452</v>
      </c>
      <c r="AE3172" s="54">
        <v>438</v>
      </c>
      <c r="AF3172" s="54"/>
      <c r="AL3172" s="22"/>
      <c r="AM3172" s="22"/>
      <c r="AN3172" s="22"/>
      <c r="AO3172" s="22"/>
      <c r="AP3172" s="22"/>
      <c r="AQ3172" s="22"/>
      <c r="AR3172" s="22"/>
      <c r="AS3172" s="22"/>
      <c r="AT3172" s="22"/>
      <c r="AU3172" s="22"/>
      <c r="AV3172" s="22"/>
      <c r="AW3172" s="9"/>
      <c r="BA3172" s="22"/>
      <c r="BB3172" s="22"/>
      <c r="BD3172" s="9"/>
      <c r="CS3172" s="11">
        <f t="shared" si="219"/>
        <v>0</v>
      </c>
      <c r="CT3172" s="22">
        <f t="shared" si="220"/>
        <v>0</v>
      </c>
      <c r="CU3172" s="22">
        <f t="shared" si="221"/>
        <v>0</v>
      </c>
      <c r="CV3172" s="26">
        <f t="shared" si="218"/>
        <v>438</v>
      </c>
    </row>
    <row r="3173" spans="1:100" x14ac:dyDescent="0.2">
      <c r="A3173" s="9" t="s">
        <v>653</v>
      </c>
      <c r="B3173" s="2">
        <v>78</v>
      </c>
      <c r="C3173" s="3" t="s">
        <v>95</v>
      </c>
      <c r="D3173" s="3" t="s">
        <v>96</v>
      </c>
      <c r="E3173" s="2"/>
      <c r="F3173" s="2"/>
      <c r="G3173" s="2" t="s">
        <v>74</v>
      </c>
      <c r="H3173" s="2">
        <v>3</v>
      </c>
      <c r="I3173" s="20">
        <v>90</v>
      </c>
      <c r="J3173" s="20">
        <v>40000</v>
      </c>
      <c r="K3173" s="3">
        <v>0</v>
      </c>
      <c r="L3173" s="3" t="s">
        <v>3</v>
      </c>
      <c r="M3173" s="9" t="s">
        <v>0</v>
      </c>
      <c r="N3173" s="9">
        <v>43062349</v>
      </c>
      <c r="O3173" s="9" t="s">
        <v>654</v>
      </c>
      <c r="S3173" s="9" t="s">
        <v>158</v>
      </c>
      <c r="T3173" s="10" t="s">
        <v>74</v>
      </c>
      <c r="U3173" s="10">
        <v>3</v>
      </c>
      <c r="V3173" s="10">
        <v>90</v>
      </c>
      <c r="W3173" s="10" t="s">
        <v>710</v>
      </c>
      <c r="X3173" s="17">
        <v>45720</v>
      </c>
      <c r="Y3173" s="17">
        <v>45720</v>
      </c>
      <c r="Z3173" s="19" t="s">
        <v>772</v>
      </c>
      <c r="AA3173" s="207">
        <v>40000</v>
      </c>
      <c r="AB3173" s="9">
        <v>84</v>
      </c>
      <c r="AC3173" s="9">
        <v>56</v>
      </c>
      <c r="AD3173" s="17">
        <v>47482</v>
      </c>
      <c r="AE3173" s="54">
        <v>438</v>
      </c>
      <c r="AF3173" s="54"/>
      <c r="AL3173" s="22"/>
      <c r="AM3173" s="22"/>
      <c r="AN3173" s="22"/>
      <c r="AO3173" s="22"/>
      <c r="AP3173" s="22"/>
      <c r="AQ3173" s="22"/>
      <c r="AR3173" s="22"/>
      <c r="AS3173" s="22"/>
      <c r="AT3173" s="22"/>
      <c r="AU3173" s="22"/>
      <c r="AV3173" s="22"/>
      <c r="AW3173" s="9"/>
      <c r="BA3173" s="22"/>
      <c r="BB3173" s="22"/>
      <c r="BD3173" s="9"/>
      <c r="CS3173" s="11">
        <f t="shared" si="219"/>
        <v>0</v>
      </c>
      <c r="CT3173" s="22">
        <f t="shared" si="220"/>
        <v>0</v>
      </c>
      <c r="CU3173" s="22">
        <f t="shared" si="221"/>
        <v>0</v>
      </c>
      <c r="CV3173" s="26">
        <f t="shared" si="218"/>
        <v>438</v>
      </c>
    </row>
    <row r="3174" spans="1:100" x14ac:dyDescent="0.2">
      <c r="A3174" s="9" t="s">
        <v>653</v>
      </c>
      <c r="B3174" s="2">
        <v>78</v>
      </c>
      <c r="C3174" s="3" t="s">
        <v>95</v>
      </c>
      <c r="D3174" s="3" t="s">
        <v>96</v>
      </c>
      <c r="E3174" s="2"/>
      <c r="F3174" s="2"/>
      <c r="G3174" s="2" t="s">
        <v>74</v>
      </c>
      <c r="H3174" s="2">
        <v>3</v>
      </c>
      <c r="I3174" s="20">
        <v>90</v>
      </c>
      <c r="J3174" s="20">
        <v>40000</v>
      </c>
      <c r="K3174" s="3">
        <v>0</v>
      </c>
      <c r="L3174" s="3" t="s">
        <v>3</v>
      </c>
      <c r="M3174" s="9" t="s">
        <v>0</v>
      </c>
      <c r="N3174" s="9">
        <v>43062349</v>
      </c>
      <c r="O3174" s="9" t="s">
        <v>654</v>
      </c>
      <c r="S3174" s="9" t="s">
        <v>158</v>
      </c>
      <c r="T3174" s="10" t="s">
        <v>74</v>
      </c>
      <c r="U3174" s="10">
        <v>3</v>
      </c>
      <c r="V3174" s="10">
        <v>90</v>
      </c>
      <c r="W3174" s="10" t="s">
        <v>710</v>
      </c>
      <c r="X3174" s="17">
        <v>45720</v>
      </c>
      <c r="Y3174" s="17">
        <v>45720</v>
      </c>
      <c r="Z3174" s="19" t="s">
        <v>772</v>
      </c>
      <c r="AA3174" s="207">
        <v>40000</v>
      </c>
      <c r="AB3174" s="9">
        <v>84</v>
      </c>
      <c r="AC3174" s="9">
        <v>57</v>
      </c>
      <c r="AD3174" s="17">
        <v>47513</v>
      </c>
      <c r="AE3174" s="54">
        <v>438</v>
      </c>
      <c r="AF3174" s="54"/>
      <c r="AL3174" s="22"/>
      <c r="AM3174" s="22"/>
      <c r="AN3174" s="22"/>
      <c r="AO3174" s="22"/>
      <c r="AP3174" s="22"/>
      <c r="AQ3174" s="22"/>
      <c r="AR3174" s="22"/>
      <c r="AS3174" s="22"/>
      <c r="AT3174" s="22"/>
      <c r="AU3174" s="22"/>
      <c r="AV3174" s="22"/>
      <c r="AW3174" s="9"/>
      <c r="BA3174" s="22"/>
      <c r="BB3174" s="22"/>
      <c r="BD3174" s="9"/>
      <c r="CS3174" s="11">
        <f t="shared" si="219"/>
        <v>0</v>
      </c>
      <c r="CT3174" s="22">
        <f t="shared" si="220"/>
        <v>0</v>
      </c>
      <c r="CU3174" s="22">
        <f t="shared" si="221"/>
        <v>0</v>
      </c>
      <c r="CV3174" s="26">
        <f t="shared" si="218"/>
        <v>438</v>
      </c>
    </row>
    <row r="3175" spans="1:100" x14ac:dyDescent="0.2">
      <c r="A3175" s="9" t="s">
        <v>653</v>
      </c>
      <c r="B3175" s="2">
        <v>78</v>
      </c>
      <c r="C3175" s="3" t="s">
        <v>95</v>
      </c>
      <c r="D3175" s="3" t="s">
        <v>96</v>
      </c>
      <c r="E3175" s="2"/>
      <c r="F3175" s="2"/>
      <c r="G3175" s="2" t="s">
        <v>74</v>
      </c>
      <c r="H3175" s="2">
        <v>3</v>
      </c>
      <c r="I3175" s="20">
        <v>90</v>
      </c>
      <c r="J3175" s="20">
        <v>40000</v>
      </c>
      <c r="K3175" s="3">
        <v>0</v>
      </c>
      <c r="L3175" s="3" t="s">
        <v>3</v>
      </c>
      <c r="M3175" s="9" t="s">
        <v>0</v>
      </c>
      <c r="N3175" s="9">
        <v>43062349</v>
      </c>
      <c r="O3175" s="9" t="s">
        <v>654</v>
      </c>
      <c r="S3175" s="9" t="s">
        <v>158</v>
      </c>
      <c r="T3175" s="10" t="s">
        <v>74</v>
      </c>
      <c r="U3175" s="10">
        <v>3</v>
      </c>
      <c r="V3175" s="10">
        <v>90</v>
      </c>
      <c r="W3175" s="10" t="s">
        <v>710</v>
      </c>
      <c r="X3175" s="17">
        <v>45720</v>
      </c>
      <c r="Y3175" s="17">
        <v>45720</v>
      </c>
      <c r="Z3175" s="19" t="s">
        <v>772</v>
      </c>
      <c r="AA3175" s="207">
        <v>40000</v>
      </c>
      <c r="AB3175" s="9">
        <v>84</v>
      </c>
      <c r="AC3175" s="9">
        <v>58</v>
      </c>
      <c r="AD3175" s="17">
        <v>47542</v>
      </c>
      <c r="AE3175" s="54">
        <v>438</v>
      </c>
      <c r="AF3175" s="54"/>
      <c r="AL3175" s="22"/>
      <c r="AM3175" s="22"/>
      <c r="AN3175" s="22"/>
      <c r="AO3175" s="22"/>
      <c r="AP3175" s="22"/>
      <c r="AQ3175" s="22"/>
      <c r="AR3175" s="22"/>
      <c r="AS3175" s="22"/>
      <c r="AT3175" s="22"/>
      <c r="AU3175" s="22"/>
      <c r="AV3175" s="22"/>
      <c r="AW3175" s="9"/>
      <c r="BA3175" s="22"/>
      <c r="BB3175" s="22"/>
      <c r="BD3175" s="9"/>
      <c r="CS3175" s="11">
        <f t="shared" si="219"/>
        <v>0</v>
      </c>
      <c r="CT3175" s="22">
        <f t="shared" si="220"/>
        <v>0</v>
      </c>
      <c r="CU3175" s="22">
        <f t="shared" si="221"/>
        <v>0</v>
      </c>
      <c r="CV3175" s="26">
        <f t="shared" si="218"/>
        <v>438</v>
      </c>
    </row>
    <row r="3176" spans="1:100" x14ac:dyDescent="0.2">
      <c r="A3176" s="9" t="s">
        <v>653</v>
      </c>
      <c r="B3176" s="2">
        <v>78</v>
      </c>
      <c r="C3176" s="3" t="s">
        <v>95</v>
      </c>
      <c r="D3176" s="3" t="s">
        <v>96</v>
      </c>
      <c r="E3176" s="2"/>
      <c r="F3176" s="2"/>
      <c r="G3176" s="2" t="s">
        <v>74</v>
      </c>
      <c r="H3176" s="2">
        <v>3</v>
      </c>
      <c r="I3176" s="20">
        <v>90</v>
      </c>
      <c r="J3176" s="20">
        <v>40000</v>
      </c>
      <c r="K3176" s="3">
        <v>0</v>
      </c>
      <c r="L3176" s="3" t="s">
        <v>3</v>
      </c>
      <c r="M3176" s="9" t="s">
        <v>0</v>
      </c>
      <c r="N3176" s="9">
        <v>43062349</v>
      </c>
      <c r="O3176" s="9" t="s">
        <v>654</v>
      </c>
      <c r="S3176" s="9" t="s">
        <v>158</v>
      </c>
      <c r="T3176" s="10" t="s">
        <v>74</v>
      </c>
      <c r="U3176" s="10">
        <v>3</v>
      </c>
      <c r="V3176" s="10">
        <v>90</v>
      </c>
      <c r="W3176" s="10" t="s">
        <v>710</v>
      </c>
      <c r="X3176" s="17">
        <v>45720</v>
      </c>
      <c r="Y3176" s="17">
        <v>45720</v>
      </c>
      <c r="Z3176" s="19" t="s">
        <v>772</v>
      </c>
      <c r="AA3176" s="207">
        <v>40000</v>
      </c>
      <c r="AB3176" s="9">
        <v>84</v>
      </c>
      <c r="AC3176" s="9">
        <v>59</v>
      </c>
      <c r="AD3176" s="17">
        <v>47572</v>
      </c>
      <c r="AE3176" s="54">
        <v>438</v>
      </c>
      <c r="AF3176" s="54"/>
      <c r="AL3176" s="22"/>
      <c r="AM3176" s="22"/>
      <c r="AN3176" s="22"/>
      <c r="AO3176" s="22"/>
      <c r="AP3176" s="22"/>
      <c r="AQ3176" s="22"/>
      <c r="AR3176" s="22"/>
      <c r="AS3176" s="22"/>
      <c r="AT3176" s="22"/>
      <c r="AU3176" s="22"/>
      <c r="AV3176" s="22"/>
      <c r="AW3176" s="9"/>
      <c r="BA3176" s="22"/>
      <c r="BB3176" s="22"/>
      <c r="BD3176" s="9"/>
      <c r="CS3176" s="11">
        <f t="shared" si="219"/>
        <v>0</v>
      </c>
      <c r="CT3176" s="22">
        <f t="shared" si="220"/>
        <v>0</v>
      </c>
      <c r="CU3176" s="22">
        <f t="shared" si="221"/>
        <v>0</v>
      </c>
      <c r="CV3176" s="26">
        <f t="shared" si="218"/>
        <v>438</v>
      </c>
    </row>
    <row r="3177" spans="1:100" x14ac:dyDescent="0.2">
      <c r="A3177" s="9" t="s">
        <v>653</v>
      </c>
      <c r="B3177" s="2">
        <v>78</v>
      </c>
      <c r="C3177" s="3" t="s">
        <v>95</v>
      </c>
      <c r="D3177" s="3" t="s">
        <v>96</v>
      </c>
      <c r="E3177" s="2"/>
      <c r="F3177" s="2"/>
      <c r="G3177" s="2" t="s">
        <v>74</v>
      </c>
      <c r="H3177" s="2">
        <v>3</v>
      </c>
      <c r="I3177" s="20">
        <v>90</v>
      </c>
      <c r="J3177" s="20">
        <v>40000</v>
      </c>
      <c r="K3177" s="3">
        <v>0</v>
      </c>
      <c r="L3177" s="3" t="s">
        <v>3</v>
      </c>
      <c r="M3177" s="9" t="s">
        <v>0</v>
      </c>
      <c r="N3177" s="9">
        <v>43062349</v>
      </c>
      <c r="O3177" s="9" t="s">
        <v>654</v>
      </c>
      <c r="S3177" s="9" t="s">
        <v>158</v>
      </c>
      <c r="T3177" s="10" t="s">
        <v>74</v>
      </c>
      <c r="U3177" s="10">
        <v>3</v>
      </c>
      <c r="V3177" s="10">
        <v>90</v>
      </c>
      <c r="W3177" s="10" t="s">
        <v>710</v>
      </c>
      <c r="X3177" s="17">
        <v>45720</v>
      </c>
      <c r="Y3177" s="17">
        <v>45720</v>
      </c>
      <c r="Z3177" s="19" t="s">
        <v>772</v>
      </c>
      <c r="AA3177" s="207">
        <v>40000</v>
      </c>
      <c r="AB3177" s="9">
        <v>84</v>
      </c>
      <c r="AC3177" s="9">
        <v>60</v>
      </c>
      <c r="AD3177" s="17">
        <v>47603</v>
      </c>
      <c r="AE3177" s="54">
        <v>438</v>
      </c>
      <c r="AF3177" s="54"/>
      <c r="AL3177" s="22"/>
      <c r="AM3177" s="22"/>
      <c r="AN3177" s="22"/>
      <c r="AO3177" s="22"/>
      <c r="AP3177" s="22"/>
      <c r="AQ3177" s="22"/>
      <c r="AR3177" s="22"/>
      <c r="AS3177" s="22"/>
      <c r="AT3177" s="22"/>
      <c r="AU3177" s="22"/>
      <c r="AV3177" s="22"/>
      <c r="AW3177" s="9"/>
      <c r="BA3177" s="22"/>
      <c r="BB3177" s="22"/>
      <c r="BD3177" s="9"/>
      <c r="CS3177" s="11">
        <f t="shared" si="219"/>
        <v>0</v>
      </c>
      <c r="CT3177" s="22">
        <f t="shared" si="220"/>
        <v>0</v>
      </c>
      <c r="CU3177" s="22">
        <f t="shared" si="221"/>
        <v>0</v>
      </c>
      <c r="CV3177" s="26">
        <f t="shared" si="218"/>
        <v>438</v>
      </c>
    </row>
    <row r="3178" spans="1:100" x14ac:dyDescent="0.2">
      <c r="A3178" s="9" t="s">
        <v>653</v>
      </c>
      <c r="B3178" s="2">
        <v>78</v>
      </c>
      <c r="C3178" s="3" t="s">
        <v>95</v>
      </c>
      <c r="D3178" s="3" t="s">
        <v>96</v>
      </c>
      <c r="E3178" s="2"/>
      <c r="F3178" s="2"/>
      <c r="G3178" s="2" t="s">
        <v>74</v>
      </c>
      <c r="H3178" s="2">
        <v>3</v>
      </c>
      <c r="I3178" s="20">
        <v>90</v>
      </c>
      <c r="J3178" s="20">
        <v>40000</v>
      </c>
      <c r="K3178" s="3">
        <v>0</v>
      </c>
      <c r="L3178" s="3" t="s">
        <v>3</v>
      </c>
      <c r="M3178" s="9" t="s">
        <v>0</v>
      </c>
      <c r="N3178" s="9">
        <v>43062349</v>
      </c>
      <c r="O3178" s="9" t="s">
        <v>654</v>
      </c>
      <c r="S3178" s="9" t="s">
        <v>158</v>
      </c>
      <c r="T3178" s="10" t="s">
        <v>74</v>
      </c>
      <c r="U3178" s="10">
        <v>3</v>
      </c>
      <c r="V3178" s="10">
        <v>90</v>
      </c>
      <c r="W3178" s="10" t="s">
        <v>710</v>
      </c>
      <c r="X3178" s="17">
        <v>45720</v>
      </c>
      <c r="Y3178" s="17">
        <v>45720</v>
      </c>
      <c r="Z3178" s="19" t="s">
        <v>772</v>
      </c>
      <c r="AA3178" s="207">
        <v>40000</v>
      </c>
      <c r="AB3178" s="9">
        <v>84</v>
      </c>
      <c r="AC3178" s="9">
        <v>61</v>
      </c>
      <c r="AD3178" s="17">
        <v>47633</v>
      </c>
      <c r="AE3178" s="54">
        <v>438</v>
      </c>
      <c r="AF3178" s="54"/>
      <c r="AL3178" s="22"/>
      <c r="AM3178" s="22"/>
      <c r="AN3178" s="22"/>
      <c r="AO3178" s="22"/>
      <c r="AP3178" s="22"/>
      <c r="AQ3178" s="22"/>
      <c r="AR3178" s="22"/>
      <c r="AS3178" s="22"/>
      <c r="AT3178" s="22"/>
      <c r="AU3178" s="22"/>
      <c r="AV3178" s="22"/>
      <c r="AW3178" s="9"/>
      <c r="BA3178" s="22"/>
      <c r="BB3178" s="22"/>
      <c r="BD3178" s="9"/>
      <c r="CS3178" s="11">
        <f t="shared" si="219"/>
        <v>0</v>
      </c>
      <c r="CT3178" s="22">
        <f t="shared" si="220"/>
        <v>0</v>
      </c>
      <c r="CU3178" s="22">
        <f t="shared" si="221"/>
        <v>0</v>
      </c>
      <c r="CV3178" s="26">
        <f t="shared" si="218"/>
        <v>438</v>
      </c>
    </row>
    <row r="3179" spans="1:100" x14ac:dyDescent="0.2">
      <c r="A3179" s="9" t="s">
        <v>653</v>
      </c>
      <c r="B3179" s="2">
        <v>78</v>
      </c>
      <c r="C3179" s="3" t="s">
        <v>95</v>
      </c>
      <c r="D3179" s="3" t="s">
        <v>96</v>
      </c>
      <c r="E3179" s="2"/>
      <c r="F3179" s="2"/>
      <c r="G3179" s="2" t="s">
        <v>74</v>
      </c>
      <c r="H3179" s="2">
        <v>3</v>
      </c>
      <c r="I3179" s="20">
        <v>90</v>
      </c>
      <c r="J3179" s="20">
        <v>40000</v>
      </c>
      <c r="K3179" s="3">
        <v>0</v>
      </c>
      <c r="L3179" s="3" t="s">
        <v>3</v>
      </c>
      <c r="M3179" s="9" t="s">
        <v>0</v>
      </c>
      <c r="N3179" s="9">
        <v>43062349</v>
      </c>
      <c r="O3179" s="9" t="s">
        <v>654</v>
      </c>
      <c r="S3179" s="9" t="s">
        <v>158</v>
      </c>
      <c r="T3179" s="10" t="s">
        <v>74</v>
      </c>
      <c r="U3179" s="10">
        <v>3</v>
      </c>
      <c r="V3179" s="10">
        <v>90</v>
      </c>
      <c r="W3179" s="10" t="s">
        <v>710</v>
      </c>
      <c r="X3179" s="17">
        <v>45720</v>
      </c>
      <c r="Y3179" s="17">
        <v>45720</v>
      </c>
      <c r="Z3179" s="19" t="s">
        <v>772</v>
      </c>
      <c r="AA3179" s="207">
        <v>40000</v>
      </c>
      <c r="AB3179" s="9">
        <v>84</v>
      </c>
      <c r="AC3179" s="9">
        <v>62</v>
      </c>
      <c r="AD3179" s="17">
        <v>47664</v>
      </c>
      <c r="AE3179" s="54">
        <v>438</v>
      </c>
      <c r="AF3179" s="54"/>
      <c r="AL3179" s="22"/>
      <c r="AM3179" s="22"/>
      <c r="AN3179" s="22"/>
      <c r="AO3179" s="22"/>
      <c r="AP3179" s="22"/>
      <c r="AQ3179" s="22"/>
      <c r="AR3179" s="22"/>
      <c r="AS3179" s="22"/>
      <c r="AT3179" s="22"/>
      <c r="AU3179" s="22"/>
      <c r="AV3179" s="22"/>
      <c r="AW3179" s="9"/>
      <c r="BA3179" s="22"/>
      <c r="BB3179" s="22"/>
      <c r="BD3179" s="9"/>
      <c r="CS3179" s="11">
        <f t="shared" si="219"/>
        <v>0</v>
      </c>
      <c r="CT3179" s="22">
        <f t="shared" si="220"/>
        <v>0</v>
      </c>
      <c r="CU3179" s="22">
        <f t="shared" si="221"/>
        <v>0</v>
      </c>
      <c r="CV3179" s="26">
        <f t="shared" si="218"/>
        <v>438</v>
      </c>
    </row>
    <row r="3180" spans="1:100" x14ac:dyDescent="0.2">
      <c r="A3180" s="9" t="s">
        <v>653</v>
      </c>
      <c r="B3180" s="2">
        <v>78</v>
      </c>
      <c r="C3180" s="3" t="s">
        <v>95</v>
      </c>
      <c r="D3180" s="3" t="s">
        <v>96</v>
      </c>
      <c r="E3180" s="2"/>
      <c r="F3180" s="2"/>
      <c r="G3180" s="2" t="s">
        <v>74</v>
      </c>
      <c r="H3180" s="2">
        <v>3</v>
      </c>
      <c r="I3180" s="20">
        <v>90</v>
      </c>
      <c r="J3180" s="20">
        <v>40000</v>
      </c>
      <c r="K3180" s="3">
        <v>0</v>
      </c>
      <c r="L3180" s="3" t="s">
        <v>3</v>
      </c>
      <c r="M3180" s="9" t="s">
        <v>0</v>
      </c>
      <c r="N3180" s="9">
        <v>43062349</v>
      </c>
      <c r="O3180" s="9" t="s">
        <v>654</v>
      </c>
      <c r="S3180" s="9" t="s">
        <v>158</v>
      </c>
      <c r="T3180" s="10" t="s">
        <v>74</v>
      </c>
      <c r="U3180" s="10">
        <v>3</v>
      </c>
      <c r="V3180" s="10">
        <v>90</v>
      </c>
      <c r="W3180" s="10" t="s">
        <v>710</v>
      </c>
      <c r="X3180" s="17">
        <v>45720</v>
      </c>
      <c r="Y3180" s="17">
        <v>45720</v>
      </c>
      <c r="Z3180" s="19" t="s">
        <v>772</v>
      </c>
      <c r="AA3180" s="207">
        <v>40000</v>
      </c>
      <c r="AB3180" s="9">
        <v>84</v>
      </c>
      <c r="AC3180" s="9">
        <v>63</v>
      </c>
      <c r="AD3180" s="17">
        <v>47694</v>
      </c>
      <c r="AE3180" s="54">
        <v>438</v>
      </c>
      <c r="AF3180" s="54"/>
      <c r="AL3180" s="22"/>
      <c r="AM3180" s="22"/>
      <c r="AN3180" s="22"/>
      <c r="AO3180" s="22"/>
      <c r="AP3180" s="22"/>
      <c r="AQ3180" s="22"/>
      <c r="AR3180" s="22"/>
      <c r="AS3180" s="22"/>
      <c r="AT3180" s="22"/>
      <c r="AU3180" s="22"/>
      <c r="AV3180" s="22"/>
      <c r="AW3180" s="9"/>
      <c r="BA3180" s="22"/>
      <c r="BB3180" s="22"/>
      <c r="BD3180" s="9"/>
      <c r="CS3180" s="11">
        <f t="shared" si="219"/>
        <v>0</v>
      </c>
      <c r="CT3180" s="22">
        <f t="shared" si="220"/>
        <v>0</v>
      </c>
      <c r="CU3180" s="22">
        <f t="shared" si="221"/>
        <v>0</v>
      </c>
      <c r="CV3180" s="26">
        <f t="shared" si="218"/>
        <v>438</v>
      </c>
    </row>
    <row r="3181" spans="1:100" x14ac:dyDescent="0.2">
      <c r="A3181" s="9" t="s">
        <v>653</v>
      </c>
      <c r="B3181" s="2">
        <v>78</v>
      </c>
      <c r="C3181" s="3" t="s">
        <v>95</v>
      </c>
      <c r="D3181" s="3" t="s">
        <v>96</v>
      </c>
      <c r="E3181" s="2"/>
      <c r="F3181" s="2"/>
      <c r="G3181" s="2" t="s">
        <v>74</v>
      </c>
      <c r="H3181" s="2">
        <v>3</v>
      </c>
      <c r="I3181" s="20">
        <v>90</v>
      </c>
      <c r="J3181" s="20">
        <v>40000</v>
      </c>
      <c r="K3181" s="3">
        <v>0</v>
      </c>
      <c r="L3181" s="3" t="s">
        <v>3</v>
      </c>
      <c r="M3181" s="9" t="s">
        <v>0</v>
      </c>
      <c r="N3181" s="9">
        <v>43062349</v>
      </c>
      <c r="O3181" s="9" t="s">
        <v>654</v>
      </c>
      <c r="S3181" s="9" t="s">
        <v>158</v>
      </c>
      <c r="T3181" s="10" t="s">
        <v>74</v>
      </c>
      <c r="U3181" s="10">
        <v>3</v>
      </c>
      <c r="V3181" s="10">
        <v>90</v>
      </c>
      <c r="W3181" s="10" t="s">
        <v>710</v>
      </c>
      <c r="X3181" s="17">
        <v>45720</v>
      </c>
      <c r="Y3181" s="17">
        <v>45720</v>
      </c>
      <c r="Z3181" s="19" t="s">
        <v>772</v>
      </c>
      <c r="AA3181" s="207">
        <v>40000</v>
      </c>
      <c r="AB3181" s="9">
        <v>84</v>
      </c>
      <c r="AC3181" s="9">
        <v>64</v>
      </c>
      <c r="AD3181" s="17">
        <v>47725</v>
      </c>
      <c r="AE3181" s="54">
        <v>438</v>
      </c>
      <c r="AF3181" s="54"/>
      <c r="AL3181" s="22"/>
      <c r="AM3181" s="22"/>
      <c r="AN3181" s="22"/>
      <c r="AO3181" s="22"/>
      <c r="AP3181" s="22"/>
      <c r="AQ3181" s="22"/>
      <c r="AR3181" s="22"/>
      <c r="AS3181" s="22"/>
      <c r="AT3181" s="22"/>
      <c r="AU3181" s="22"/>
      <c r="AV3181" s="22"/>
      <c r="AW3181" s="9"/>
      <c r="BA3181" s="22"/>
      <c r="BB3181" s="22"/>
      <c r="BD3181" s="9"/>
      <c r="CS3181" s="11">
        <f t="shared" si="219"/>
        <v>0</v>
      </c>
      <c r="CT3181" s="22">
        <f t="shared" si="220"/>
        <v>0</v>
      </c>
      <c r="CU3181" s="22">
        <f t="shared" si="221"/>
        <v>0</v>
      </c>
      <c r="CV3181" s="26">
        <f t="shared" si="218"/>
        <v>438</v>
      </c>
    </row>
    <row r="3182" spans="1:100" x14ac:dyDescent="0.2">
      <c r="A3182" s="9" t="s">
        <v>653</v>
      </c>
      <c r="B3182" s="2">
        <v>78</v>
      </c>
      <c r="C3182" s="3" t="s">
        <v>95</v>
      </c>
      <c r="D3182" s="3" t="s">
        <v>96</v>
      </c>
      <c r="E3182" s="2"/>
      <c r="F3182" s="2"/>
      <c r="G3182" s="2" t="s">
        <v>74</v>
      </c>
      <c r="H3182" s="2">
        <v>3</v>
      </c>
      <c r="I3182" s="20">
        <v>90</v>
      </c>
      <c r="J3182" s="20">
        <v>40000</v>
      </c>
      <c r="K3182" s="3">
        <v>0</v>
      </c>
      <c r="L3182" s="3" t="s">
        <v>3</v>
      </c>
      <c r="M3182" s="9" t="s">
        <v>0</v>
      </c>
      <c r="N3182" s="9">
        <v>43062349</v>
      </c>
      <c r="O3182" s="9" t="s">
        <v>654</v>
      </c>
      <c r="S3182" s="9" t="s">
        <v>158</v>
      </c>
      <c r="T3182" s="10" t="s">
        <v>74</v>
      </c>
      <c r="U3182" s="10">
        <v>3</v>
      </c>
      <c r="V3182" s="10">
        <v>90</v>
      </c>
      <c r="W3182" s="10" t="s">
        <v>710</v>
      </c>
      <c r="X3182" s="17">
        <v>45720</v>
      </c>
      <c r="Y3182" s="17">
        <v>45720</v>
      </c>
      <c r="Z3182" s="19" t="s">
        <v>772</v>
      </c>
      <c r="AA3182" s="207">
        <v>40000</v>
      </c>
      <c r="AB3182" s="9">
        <v>84</v>
      </c>
      <c r="AC3182" s="9">
        <v>65</v>
      </c>
      <c r="AD3182" s="17">
        <v>47756</v>
      </c>
      <c r="AE3182" s="54">
        <v>438</v>
      </c>
      <c r="AF3182" s="54"/>
      <c r="AL3182" s="22"/>
      <c r="AM3182" s="22"/>
      <c r="AN3182" s="22"/>
      <c r="AO3182" s="22"/>
      <c r="AP3182" s="22"/>
      <c r="AQ3182" s="22"/>
      <c r="AR3182" s="22"/>
      <c r="AS3182" s="22"/>
      <c r="AT3182" s="22"/>
      <c r="AU3182" s="22"/>
      <c r="AV3182" s="22"/>
      <c r="AW3182" s="9"/>
      <c r="BA3182" s="22"/>
      <c r="BB3182" s="22"/>
      <c r="BD3182" s="9"/>
      <c r="CS3182" s="11">
        <f t="shared" si="219"/>
        <v>0</v>
      </c>
      <c r="CT3182" s="22">
        <f t="shared" si="220"/>
        <v>0</v>
      </c>
      <c r="CU3182" s="22">
        <f t="shared" si="221"/>
        <v>0</v>
      </c>
      <c r="CV3182" s="26">
        <f t="shared" si="218"/>
        <v>438</v>
      </c>
    </row>
    <row r="3183" spans="1:100" x14ac:dyDescent="0.2">
      <c r="A3183" s="9" t="s">
        <v>653</v>
      </c>
      <c r="B3183" s="2">
        <v>78</v>
      </c>
      <c r="C3183" s="3" t="s">
        <v>95</v>
      </c>
      <c r="D3183" s="3" t="s">
        <v>96</v>
      </c>
      <c r="E3183" s="2"/>
      <c r="F3183" s="2"/>
      <c r="G3183" s="2" t="s">
        <v>74</v>
      </c>
      <c r="H3183" s="2">
        <v>3</v>
      </c>
      <c r="I3183" s="20">
        <v>90</v>
      </c>
      <c r="J3183" s="20">
        <v>40000</v>
      </c>
      <c r="K3183" s="3">
        <v>0</v>
      </c>
      <c r="L3183" s="3" t="s">
        <v>3</v>
      </c>
      <c r="M3183" s="9" t="s">
        <v>0</v>
      </c>
      <c r="N3183" s="9">
        <v>43062349</v>
      </c>
      <c r="O3183" s="9" t="s">
        <v>654</v>
      </c>
      <c r="S3183" s="9" t="s">
        <v>158</v>
      </c>
      <c r="T3183" s="10" t="s">
        <v>74</v>
      </c>
      <c r="U3183" s="10">
        <v>3</v>
      </c>
      <c r="V3183" s="10">
        <v>90</v>
      </c>
      <c r="W3183" s="10" t="s">
        <v>710</v>
      </c>
      <c r="X3183" s="17">
        <v>45720</v>
      </c>
      <c r="Y3183" s="17">
        <v>45720</v>
      </c>
      <c r="Z3183" s="19" t="s">
        <v>772</v>
      </c>
      <c r="AA3183" s="207">
        <v>40000</v>
      </c>
      <c r="AB3183" s="9">
        <v>84</v>
      </c>
      <c r="AC3183" s="9">
        <v>66</v>
      </c>
      <c r="AD3183" s="17">
        <v>47786</v>
      </c>
      <c r="AE3183" s="54">
        <v>438</v>
      </c>
      <c r="AF3183" s="54"/>
      <c r="AL3183" s="22"/>
      <c r="AM3183" s="22"/>
      <c r="AN3183" s="22"/>
      <c r="AO3183" s="22"/>
      <c r="AP3183" s="22"/>
      <c r="AQ3183" s="22"/>
      <c r="AR3183" s="22"/>
      <c r="AS3183" s="22"/>
      <c r="AT3183" s="22"/>
      <c r="AU3183" s="22"/>
      <c r="AV3183" s="22"/>
      <c r="AW3183" s="9"/>
      <c r="BA3183" s="22"/>
      <c r="BB3183" s="22"/>
      <c r="BD3183" s="9"/>
      <c r="CS3183" s="11">
        <f t="shared" si="219"/>
        <v>0</v>
      </c>
      <c r="CT3183" s="22">
        <f t="shared" si="220"/>
        <v>0</v>
      </c>
      <c r="CU3183" s="22">
        <f t="shared" si="221"/>
        <v>0</v>
      </c>
      <c r="CV3183" s="26">
        <f t="shared" si="218"/>
        <v>438</v>
      </c>
    </row>
    <row r="3184" spans="1:100" x14ac:dyDescent="0.2">
      <c r="A3184" s="9" t="s">
        <v>653</v>
      </c>
      <c r="B3184" s="2">
        <v>78</v>
      </c>
      <c r="C3184" s="3" t="s">
        <v>95</v>
      </c>
      <c r="D3184" s="3" t="s">
        <v>96</v>
      </c>
      <c r="E3184" s="2"/>
      <c r="F3184" s="2"/>
      <c r="G3184" s="2" t="s">
        <v>74</v>
      </c>
      <c r="H3184" s="2">
        <v>3</v>
      </c>
      <c r="I3184" s="20">
        <v>90</v>
      </c>
      <c r="J3184" s="20">
        <v>40000</v>
      </c>
      <c r="K3184" s="3">
        <v>0</v>
      </c>
      <c r="L3184" s="3" t="s">
        <v>3</v>
      </c>
      <c r="M3184" s="9" t="s">
        <v>0</v>
      </c>
      <c r="N3184" s="9">
        <v>43062349</v>
      </c>
      <c r="O3184" s="9" t="s">
        <v>654</v>
      </c>
      <c r="S3184" s="9" t="s">
        <v>158</v>
      </c>
      <c r="T3184" s="10" t="s">
        <v>74</v>
      </c>
      <c r="U3184" s="10">
        <v>3</v>
      </c>
      <c r="V3184" s="10">
        <v>90</v>
      </c>
      <c r="W3184" s="10" t="s">
        <v>710</v>
      </c>
      <c r="X3184" s="17">
        <v>45720</v>
      </c>
      <c r="Y3184" s="17">
        <v>45720</v>
      </c>
      <c r="Z3184" s="19" t="s">
        <v>772</v>
      </c>
      <c r="AA3184" s="207">
        <v>40000</v>
      </c>
      <c r="AB3184" s="9">
        <v>84</v>
      </c>
      <c r="AC3184" s="9">
        <v>67</v>
      </c>
      <c r="AD3184" s="17">
        <v>47817</v>
      </c>
      <c r="AE3184" s="54">
        <v>438</v>
      </c>
      <c r="AF3184" s="54"/>
      <c r="AL3184" s="22"/>
      <c r="AM3184" s="22"/>
      <c r="AN3184" s="22"/>
      <c r="AO3184" s="22"/>
      <c r="AP3184" s="22"/>
      <c r="AQ3184" s="22"/>
      <c r="AR3184" s="22"/>
      <c r="AS3184" s="22"/>
      <c r="AT3184" s="22"/>
      <c r="AU3184" s="22"/>
      <c r="AV3184" s="22"/>
      <c r="AW3184" s="9"/>
      <c r="BA3184" s="22"/>
      <c r="BB3184" s="22"/>
      <c r="BD3184" s="9"/>
      <c r="CS3184" s="11">
        <f t="shared" si="219"/>
        <v>0</v>
      </c>
      <c r="CT3184" s="22">
        <f t="shared" si="220"/>
        <v>0</v>
      </c>
      <c r="CU3184" s="22">
        <f t="shared" si="221"/>
        <v>0</v>
      </c>
      <c r="CV3184" s="26">
        <f t="shared" si="218"/>
        <v>438</v>
      </c>
    </row>
    <row r="3185" spans="1:100" x14ac:dyDescent="0.2">
      <c r="A3185" s="9" t="s">
        <v>653</v>
      </c>
      <c r="B3185" s="2">
        <v>78</v>
      </c>
      <c r="C3185" s="3" t="s">
        <v>95</v>
      </c>
      <c r="D3185" s="3" t="s">
        <v>96</v>
      </c>
      <c r="E3185" s="2"/>
      <c r="F3185" s="2"/>
      <c r="G3185" s="2" t="s">
        <v>74</v>
      </c>
      <c r="H3185" s="2">
        <v>3</v>
      </c>
      <c r="I3185" s="20">
        <v>90</v>
      </c>
      <c r="J3185" s="20">
        <v>40000</v>
      </c>
      <c r="K3185" s="3">
        <v>0</v>
      </c>
      <c r="L3185" s="3" t="s">
        <v>3</v>
      </c>
      <c r="M3185" s="9" t="s">
        <v>0</v>
      </c>
      <c r="N3185" s="9">
        <v>43062349</v>
      </c>
      <c r="O3185" s="9" t="s">
        <v>654</v>
      </c>
      <c r="S3185" s="9" t="s">
        <v>158</v>
      </c>
      <c r="T3185" s="10" t="s">
        <v>74</v>
      </c>
      <c r="U3185" s="10">
        <v>3</v>
      </c>
      <c r="V3185" s="10">
        <v>90</v>
      </c>
      <c r="W3185" s="10" t="s">
        <v>710</v>
      </c>
      <c r="X3185" s="17">
        <v>45720</v>
      </c>
      <c r="Y3185" s="17">
        <v>45720</v>
      </c>
      <c r="Z3185" s="19" t="s">
        <v>772</v>
      </c>
      <c r="AA3185" s="207">
        <v>40000</v>
      </c>
      <c r="AB3185" s="9">
        <v>84</v>
      </c>
      <c r="AC3185" s="9">
        <v>68</v>
      </c>
      <c r="AD3185" s="17">
        <v>47847</v>
      </c>
      <c r="AE3185" s="54">
        <v>438</v>
      </c>
      <c r="AF3185" s="54"/>
      <c r="AL3185" s="22"/>
      <c r="AM3185" s="22"/>
      <c r="AN3185" s="22"/>
      <c r="AO3185" s="22"/>
      <c r="AP3185" s="22"/>
      <c r="AQ3185" s="22"/>
      <c r="AR3185" s="22"/>
      <c r="AS3185" s="22"/>
      <c r="AT3185" s="22"/>
      <c r="AU3185" s="22"/>
      <c r="AV3185" s="22"/>
      <c r="AW3185" s="9"/>
      <c r="BA3185" s="22"/>
      <c r="BB3185" s="22"/>
      <c r="BD3185" s="9"/>
      <c r="CS3185" s="11">
        <f t="shared" si="219"/>
        <v>0</v>
      </c>
      <c r="CT3185" s="22">
        <f t="shared" si="220"/>
        <v>0</v>
      </c>
      <c r="CU3185" s="22">
        <f t="shared" si="221"/>
        <v>0</v>
      </c>
      <c r="CV3185" s="26">
        <f t="shared" si="218"/>
        <v>438</v>
      </c>
    </row>
    <row r="3186" spans="1:100" x14ac:dyDescent="0.2">
      <c r="A3186" s="9" t="s">
        <v>653</v>
      </c>
      <c r="B3186" s="2">
        <v>78</v>
      </c>
      <c r="C3186" s="3" t="s">
        <v>95</v>
      </c>
      <c r="D3186" s="3" t="s">
        <v>96</v>
      </c>
      <c r="E3186" s="2"/>
      <c r="F3186" s="2"/>
      <c r="G3186" s="2" t="s">
        <v>74</v>
      </c>
      <c r="H3186" s="2">
        <v>3</v>
      </c>
      <c r="I3186" s="20">
        <v>90</v>
      </c>
      <c r="J3186" s="20">
        <v>40000</v>
      </c>
      <c r="K3186" s="3">
        <v>0</v>
      </c>
      <c r="L3186" s="3" t="s">
        <v>3</v>
      </c>
      <c r="M3186" s="9" t="s">
        <v>0</v>
      </c>
      <c r="N3186" s="9">
        <v>43062349</v>
      </c>
      <c r="O3186" s="9" t="s">
        <v>654</v>
      </c>
      <c r="S3186" s="9" t="s">
        <v>158</v>
      </c>
      <c r="T3186" s="10" t="s">
        <v>74</v>
      </c>
      <c r="U3186" s="10">
        <v>3</v>
      </c>
      <c r="V3186" s="10">
        <v>90</v>
      </c>
      <c r="W3186" s="10" t="s">
        <v>710</v>
      </c>
      <c r="X3186" s="17">
        <v>45720</v>
      </c>
      <c r="Y3186" s="17">
        <v>45720</v>
      </c>
      <c r="Z3186" s="19" t="s">
        <v>772</v>
      </c>
      <c r="AA3186" s="207">
        <v>40000</v>
      </c>
      <c r="AB3186" s="9">
        <v>84</v>
      </c>
      <c r="AC3186" s="9">
        <v>69</v>
      </c>
      <c r="AD3186" s="17">
        <v>47878</v>
      </c>
      <c r="AE3186" s="54">
        <v>438</v>
      </c>
      <c r="AF3186" s="54"/>
      <c r="AL3186" s="22"/>
      <c r="AM3186" s="22"/>
      <c r="AN3186" s="22"/>
      <c r="AO3186" s="22"/>
      <c r="AP3186" s="22"/>
      <c r="AQ3186" s="22"/>
      <c r="AR3186" s="22"/>
      <c r="AS3186" s="22"/>
      <c r="AT3186" s="22"/>
      <c r="AU3186" s="22"/>
      <c r="AV3186" s="22"/>
      <c r="AW3186" s="9"/>
      <c r="BA3186" s="22"/>
      <c r="BB3186" s="22"/>
      <c r="BD3186" s="9"/>
      <c r="CS3186" s="11">
        <f t="shared" si="219"/>
        <v>0</v>
      </c>
      <c r="CT3186" s="22">
        <f t="shared" si="220"/>
        <v>0</v>
      </c>
      <c r="CU3186" s="22">
        <f t="shared" si="221"/>
        <v>0</v>
      </c>
      <c r="CV3186" s="26">
        <f t="shared" si="218"/>
        <v>438</v>
      </c>
    </row>
    <row r="3187" spans="1:100" x14ac:dyDescent="0.2">
      <c r="A3187" s="9" t="s">
        <v>653</v>
      </c>
      <c r="B3187" s="2">
        <v>78</v>
      </c>
      <c r="C3187" s="3" t="s">
        <v>95</v>
      </c>
      <c r="D3187" s="3" t="s">
        <v>96</v>
      </c>
      <c r="E3187" s="2"/>
      <c r="F3187" s="2"/>
      <c r="G3187" s="2" t="s">
        <v>74</v>
      </c>
      <c r="H3187" s="2">
        <v>3</v>
      </c>
      <c r="I3187" s="20">
        <v>90</v>
      </c>
      <c r="J3187" s="20">
        <v>40000</v>
      </c>
      <c r="K3187" s="3">
        <v>0</v>
      </c>
      <c r="L3187" s="3" t="s">
        <v>3</v>
      </c>
      <c r="M3187" s="9" t="s">
        <v>0</v>
      </c>
      <c r="N3187" s="9">
        <v>43062349</v>
      </c>
      <c r="O3187" s="9" t="s">
        <v>654</v>
      </c>
      <c r="S3187" s="9" t="s">
        <v>158</v>
      </c>
      <c r="T3187" s="10" t="s">
        <v>74</v>
      </c>
      <c r="U3187" s="10">
        <v>3</v>
      </c>
      <c r="V3187" s="10">
        <v>90</v>
      </c>
      <c r="W3187" s="10" t="s">
        <v>710</v>
      </c>
      <c r="X3187" s="17">
        <v>45720</v>
      </c>
      <c r="Y3187" s="17">
        <v>45720</v>
      </c>
      <c r="Z3187" s="19" t="s">
        <v>772</v>
      </c>
      <c r="AA3187" s="207">
        <v>40000</v>
      </c>
      <c r="AB3187" s="9">
        <v>84</v>
      </c>
      <c r="AC3187" s="9">
        <v>70</v>
      </c>
      <c r="AD3187" s="17">
        <v>47907</v>
      </c>
      <c r="AE3187" s="54">
        <v>438</v>
      </c>
      <c r="AF3187" s="54"/>
      <c r="AL3187" s="22"/>
      <c r="AM3187" s="22"/>
      <c r="AN3187" s="22"/>
      <c r="AO3187" s="22"/>
      <c r="AP3187" s="22"/>
      <c r="AQ3187" s="22"/>
      <c r="AR3187" s="22"/>
      <c r="AS3187" s="22"/>
      <c r="AT3187" s="22"/>
      <c r="AU3187" s="22"/>
      <c r="AV3187" s="22"/>
      <c r="AW3187" s="9"/>
      <c r="BA3187" s="22"/>
      <c r="BB3187" s="22"/>
      <c r="BD3187" s="9"/>
      <c r="CS3187" s="11">
        <f t="shared" si="219"/>
        <v>0</v>
      </c>
      <c r="CT3187" s="22">
        <f t="shared" si="220"/>
        <v>0</v>
      </c>
      <c r="CU3187" s="22">
        <f t="shared" si="221"/>
        <v>0</v>
      </c>
      <c r="CV3187" s="26">
        <f t="shared" si="218"/>
        <v>438</v>
      </c>
    </row>
    <row r="3188" spans="1:100" x14ac:dyDescent="0.2">
      <c r="A3188" s="9" t="s">
        <v>653</v>
      </c>
      <c r="B3188" s="2">
        <v>78</v>
      </c>
      <c r="C3188" s="3" t="s">
        <v>95</v>
      </c>
      <c r="D3188" s="3" t="s">
        <v>96</v>
      </c>
      <c r="E3188" s="2"/>
      <c r="F3188" s="2"/>
      <c r="G3188" s="2" t="s">
        <v>74</v>
      </c>
      <c r="H3188" s="2">
        <v>3</v>
      </c>
      <c r="I3188" s="20">
        <v>90</v>
      </c>
      <c r="J3188" s="20">
        <v>40000</v>
      </c>
      <c r="K3188" s="3">
        <v>0</v>
      </c>
      <c r="L3188" s="3" t="s">
        <v>3</v>
      </c>
      <c r="M3188" s="9" t="s">
        <v>0</v>
      </c>
      <c r="N3188" s="9">
        <v>43062349</v>
      </c>
      <c r="O3188" s="9" t="s">
        <v>654</v>
      </c>
      <c r="S3188" s="9" t="s">
        <v>158</v>
      </c>
      <c r="T3188" s="10" t="s">
        <v>74</v>
      </c>
      <c r="U3188" s="10">
        <v>3</v>
      </c>
      <c r="V3188" s="10">
        <v>90</v>
      </c>
      <c r="W3188" s="10" t="s">
        <v>710</v>
      </c>
      <c r="X3188" s="17">
        <v>45720</v>
      </c>
      <c r="Y3188" s="17">
        <v>45720</v>
      </c>
      <c r="Z3188" s="19" t="s">
        <v>772</v>
      </c>
      <c r="AA3188" s="207">
        <v>40000</v>
      </c>
      <c r="AB3188" s="9">
        <v>84</v>
      </c>
      <c r="AC3188" s="9">
        <v>71</v>
      </c>
      <c r="AD3188" s="17">
        <v>47937</v>
      </c>
      <c r="AE3188" s="54">
        <v>438</v>
      </c>
      <c r="AF3188" s="54"/>
      <c r="AL3188" s="22"/>
      <c r="AM3188" s="22"/>
      <c r="AN3188" s="22"/>
      <c r="AO3188" s="22"/>
      <c r="AP3188" s="22"/>
      <c r="AQ3188" s="22"/>
      <c r="AR3188" s="22"/>
      <c r="AS3188" s="22"/>
      <c r="AT3188" s="22"/>
      <c r="AU3188" s="22"/>
      <c r="AV3188" s="22"/>
      <c r="AW3188" s="9"/>
      <c r="BA3188" s="22"/>
      <c r="BB3188" s="22"/>
      <c r="BD3188" s="9"/>
      <c r="CS3188" s="11">
        <f t="shared" si="219"/>
        <v>0</v>
      </c>
      <c r="CT3188" s="22">
        <f t="shared" si="220"/>
        <v>0</v>
      </c>
      <c r="CU3188" s="22">
        <f t="shared" si="221"/>
        <v>0</v>
      </c>
      <c r="CV3188" s="26">
        <f t="shared" si="218"/>
        <v>438</v>
      </c>
    </row>
    <row r="3189" spans="1:100" x14ac:dyDescent="0.2">
      <c r="A3189" s="9" t="s">
        <v>653</v>
      </c>
      <c r="B3189" s="2">
        <v>78</v>
      </c>
      <c r="C3189" s="3" t="s">
        <v>95</v>
      </c>
      <c r="D3189" s="3" t="s">
        <v>96</v>
      </c>
      <c r="E3189" s="2"/>
      <c r="F3189" s="2"/>
      <c r="G3189" s="2" t="s">
        <v>74</v>
      </c>
      <c r="H3189" s="2">
        <v>3</v>
      </c>
      <c r="I3189" s="20">
        <v>90</v>
      </c>
      <c r="J3189" s="20">
        <v>40000</v>
      </c>
      <c r="K3189" s="3">
        <v>0</v>
      </c>
      <c r="L3189" s="3" t="s">
        <v>3</v>
      </c>
      <c r="M3189" s="9" t="s">
        <v>0</v>
      </c>
      <c r="N3189" s="9">
        <v>43062349</v>
      </c>
      <c r="O3189" s="9" t="s">
        <v>654</v>
      </c>
      <c r="S3189" s="9" t="s">
        <v>158</v>
      </c>
      <c r="T3189" s="10" t="s">
        <v>74</v>
      </c>
      <c r="U3189" s="10">
        <v>3</v>
      </c>
      <c r="V3189" s="10">
        <v>90</v>
      </c>
      <c r="W3189" s="10" t="s">
        <v>710</v>
      </c>
      <c r="X3189" s="17">
        <v>45720</v>
      </c>
      <c r="Y3189" s="17">
        <v>45720</v>
      </c>
      <c r="Z3189" s="19" t="s">
        <v>772</v>
      </c>
      <c r="AA3189" s="207">
        <v>40000</v>
      </c>
      <c r="AB3189" s="9">
        <v>84</v>
      </c>
      <c r="AC3189" s="9">
        <v>72</v>
      </c>
      <c r="AD3189" s="17">
        <v>47968</v>
      </c>
      <c r="AE3189" s="54">
        <v>438</v>
      </c>
      <c r="AF3189" s="54"/>
      <c r="AL3189" s="22"/>
      <c r="AM3189" s="22"/>
      <c r="AN3189" s="22"/>
      <c r="AO3189" s="22"/>
      <c r="AP3189" s="22"/>
      <c r="AQ3189" s="22"/>
      <c r="AR3189" s="22"/>
      <c r="AS3189" s="22"/>
      <c r="AT3189" s="22"/>
      <c r="AU3189" s="22"/>
      <c r="AV3189" s="22"/>
      <c r="AW3189" s="9"/>
      <c r="BA3189" s="22"/>
      <c r="BB3189" s="22"/>
      <c r="BD3189" s="9"/>
      <c r="CS3189" s="11">
        <f t="shared" si="219"/>
        <v>0</v>
      </c>
      <c r="CT3189" s="22">
        <f t="shared" si="220"/>
        <v>0</v>
      </c>
      <c r="CU3189" s="22">
        <f t="shared" si="221"/>
        <v>0</v>
      </c>
      <c r="CV3189" s="26">
        <f t="shared" si="218"/>
        <v>438</v>
      </c>
    </row>
    <row r="3190" spans="1:100" x14ac:dyDescent="0.2">
      <c r="A3190" s="9" t="s">
        <v>653</v>
      </c>
      <c r="B3190" s="2">
        <v>78</v>
      </c>
      <c r="C3190" s="3" t="s">
        <v>95</v>
      </c>
      <c r="D3190" s="3" t="s">
        <v>96</v>
      </c>
      <c r="E3190" s="2"/>
      <c r="F3190" s="2"/>
      <c r="G3190" s="2" t="s">
        <v>74</v>
      </c>
      <c r="H3190" s="2">
        <v>3</v>
      </c>
      <c r="I3190" s="20">
        <v>90</v>
      </c>
      <c r="J3190" s="20">
        <v>40000</v>
      </c>
      <c r="K3190" s="3">
        <v>0</v>
      </c>
      <c r="L3190" s="3" t="s">
        <v>3</v>
      </c>
      <c r="M3190" s="9" t="s">
        <v>0</v>
      </c>
      <c r="N3190" s="9">
        <v>43062349</v>
      </c>
      <c r="O3190" s="9" t="s">
        <v>654</v>
      </c>
      <c r="S3190" s="9" t="s">
        <v>158</v>
      </c>
      <c r="T3190" s="10" t="s">
        <v>74</v>
      </c>
      <c r="U3190" s="10">
        <v>3</v>
      </c>
      <c r="V3190" s="10">
        <v>90</v>
      </c>
      <c r="W3190" s="10" t="s">
        <v>710</v>
      </c>
      <c r="X3190" s="17">
        <v>45720</v>
      </c>
      <c r="Y3190" s="17">
        <v>45720</v>
      </c>
      <c r="Z3190" s="19" t="s">
        <v>772</v>
      </c>
      <c r="AA3190" s="207">
        <v>40000</v>
      </c>
      <c r="AB3190" s="9">
        <v>84</v>
      </c>
      <c r="AC3190" s="9">
        <v>73</v>
      </c>
      <c r="AD3190" s="17">
        <v>47998</v>
      </c>
      <c r="AE3190" s="54">
        <v>438</v>
      </c>
      <c r="AF3190" s="54"/>
      <c r="AL3190" s="22"/>
      <c r="AM3190" s="22"/>
      <c r="AN3190" s="22"/>
      <c r="AO3190" s="22"/>
      <c r="AP3190" s="22"/>
      <c r="AQ3190" s="22"/>
      <c r="AR3190" s="22"/>
      <c r="AS3190" s="22"/>
      <c r="AT3190" s="22"/>
      <c r="AU3190" s="22"/>
      <c r="AV3190" s="22"/>
      <c r="AW3190" s="9"/>
      <c r="BA3190" s="22"/>
      <c r="BB3190" s="22"/>
      <c r="BD3190" s="9"/>
      <c r="CS3190" s="11">
        <f t="shared" si="219"/>
        <v>0</v>
      </c>
      <c r="CT3190" s="22">
        <f t="shared" si="220"/>
        <v>0</v>
      </c>
      <c r="CU3190" s="22">
        <f t="shared" si="221"/>
        <v>0</v>
      </c>
      <c r="CV3190" s="26">
        <f t="shared" si="218"/>
        <v>438</v>
      </c>
    </row>
    <row r="3191" spans="1:100" x14ac:dyDescent="0.2">
      <c r="A3191" s="9" t="s">
        <v>653</v>
      </c>
      <c r="B3191" s="2">
        <v>78</v>
      </c>
      <c r="C3191" s="3" t="s">
        <v>95</v>
      </c>
      <c r="D3191" s="3" t="s">
        <v>96</v>
      </c>
      <c r="E3191" s="2"/>
      <c r="F3191" s="2"/>
      <c r="G3191" s="2" t="s">
        <v>74</v>
      </c>
      <c r="H3191" s="2">
        <v>3</v>
      </c>
      <c r="I3191" s="20">
        <v>90</v>
      </c>
      <c r="J3191" s="20">
        <v>40000</v>
      </c>
      <c r="K3191" s="3">
        <v>0</v>
      </c>
      <c r="L3191" s="3" t="s">
        <v>3</v>
      </c>
      <c r="M3191" s="9" t="s">
        <v>0</v>
      </c>
      <c r="N3191" s="9">
        <v>43062349</v>
      </c>
      <c r="O3191" s="9" t="s">
        <v>654</v>
      </c>
      <c r="S3191" s="9" t="s">
        <v>158</v>
      </c>
      <c r="T3191" s="10" t="s">
        <v>74</v>
      </c>
      <c r="U3191" s="10">
        <v>3</v>
      </c>
      <c r="V3191" s="10">
        <v>90</v>
      </c>
      <c r="W3191" s="10" t="s">
        <v>710</v>
      </c>
      <c r="X3191" s="17">
        <v>45720</v>
      </c>
      <c r="Y3191" s="17">
        <v>45720</v>
      </c>
      <c r="Z3191" s="19" t="s">
        <v>772</v>
      </c>
      <c r="AA3191" s="207">
        <v>40000</v>
      </c>
      <c r="AB3191" s="9">
        <v>84</v>
      </c>
      <c r="AC3191" s="9">
        <v>74</v>
      </c>
      <c r="AD3191" s="17">
        <v>48029</v>
      </c>
      <c r="AE3191" s="54">
        <v>438</v>
      </c>
      <c r="AF3191" s="54"/>
      <c r="AL3191" s="22"/>
      <c r="AM3191" s="22"/>
      <c r="AN3191" s="22"/>
      <c r="AO3191" s="22"/>
      <c r="AP3191" s="22"/>
      <c r="AQ3191" s="22"/>
      <c r="AR3191" s="22"/>
      <c r="AS3191" s="22"/>
      <c r="AT3191" s="22"/>
      <c r="AU3191" s="22"/>
      <c r="AV3191" s="22"/>
      <c r="AW3191" s="9"/>
      <c r="BA3191" s="22"/>
      <c r="BB3191" s="22"/>
      <c r="BD3191" s="9"/>
      <c r="CS3191" s="11">
        <f t="shared" si="219"/>
        <v>0</v>
      </c>
      <c r="CT3191" s="22">
        <f t="shared" si="220"/>
        <v>0</v>
      </c>
      <c r="CU3191" s="22">
        <f t="shared" si="221"/>
        <v>0</v>
      </c>
      <c r="CV3191" s="26">
        <f t="shared" si="218"/>
        <v>438</v>
      </c>
    </row>
    <row r="3192" spans="1:100" x14ac:dyDescent="0.2">
      <c r="A3192" s="9" t="s">
        <v>653</v>
      </c>
      <c r="B3192" s="2">
        <v>78</v>
      </c>
      <c r="C3192" s="3" t="s">
        <v>95</v>
      </c>
      <c r="D3192" s="3" t="s">
        <v>96</v>
      </c>
      <c r="E3192" s="2"/>
      <c r="F3192" s="2"/>
      <c r="G3192" s="2" t="s">
        <v>74</v>
      </c>
      <c r="H3192" s="2">
        <v>3</v>
      </c>
      <c r="I3192" s="20">
        <v>90</v>
      </c>
      <c r="J3192" s="20">
        <v>40000</v>
      </c>
      <c r="K3192" s="3">
        <v>0</v>
      </c>
      <c r="L3192" s="3" t="s">
        <v>3</v>
      </c>
      <c r="M3192" s="9" t="s">
        <v>0</v>
      </c>
      <c r="N3192" s="9">
        <v>43062349</v>
      </c>
      <c r="O3192" s="9" t="s">
        <v>654</v>
      </c>
      <c r="S3192" s="9" t="s">
        <v>158</v>
      </c>
      <c r="T3192" s="10" t="s">
        <v>74</v>
      </c>
      <c r="U3192" s="10">
        <v>3</v>
      </c>
      <c r="V3192" s="10">
        <v>90</v>
      </c>
      <c r="W3192" s="10" t="s">
        <v>710</v>
      </c>
      <c r="X3192" s="17">
        <v>45720</v>
      </c>
      <c r="Y3192" s="17">
        <v>45720</v>
      </c>
      <c r="Z3192" s="19" t="s">
        <v>772</v>
      </c>
      <c r="AA3192" s="207">
        <v>40000</v>
      </c>
      <c r="AB3192" s="9">
        <v>84</v>
      </c>
      <c r="AC3192" s="9">
        <v>75</v>
      </c>
      <c r="AD3192" s="17">
        <v>48059</v>
      </c>
      <c r="AE3192" s="54">
        <v>438</v>
      </c>
      <c r="AF3192" s="54"/>
      <c r="AL3192" s="22"/>
      <c r="AM3192" s="22"/>
      <c r="AN3192" s="22"/>
      <c r="AO3192" s="22"/>
      <c r="AP3192" s="22"/>
      <c r="AQ3192" s="22"/>
      <c r="AR3192" s="22"/>
      <c r="AS3192" s="22"/>
      <c r="AT3192" s="22"/>
      <c r="AU3192" s="22"/>
      <c r="AV3192" s="22"/>
      <c r="AW3192" s="9"/>
      <c r="BA3192" s="22"/>
      <c r="BB3192" s="22"/>
      <c r="BD3192" s="9"/>
      <c r="CS3192" s="11">
        <f t="shared" si="219"/>
        <v>0</v>
      </c>
      <c r="CT3192" s="22">
        <f t="shared" si="220"/>
        <v>0</v>
      </c>
      <c r="CU3192" s="22">
        <f t="shared" si="221"/>
        <v>0</v>
      </c>
      <c r="CV3192" s="26">
        <f t="shared" si="218"/>
        <v>438</v>
      </c>
    </row>
    <row r="3193" spans="1:100" x14ac:dyDescent="0.2">
      <c r="A3193" s="9" t="s">
        <v>653</v>
      </c>
      <c r="B3193" s="2">
        <v>78</v>
      </c>
      <c r="C3193" s="3" t="s">
        <v>95</v>
      </c>
      <c r="D3193" s="3" t="s">
        <v>96</v>
      </c>
      <c r="E3193" s="2"/>
      <c r="F3193" s="2"/>
      <c r="G3193" s="2" t="s">
        <v>74</v>
      </c>
      <c r="H3193" s="2">
        <v>3</v>
      </c>
      <c r="I3193" s="20">
        <v>90</v>
      </c>
      <c r="J3193" s="20">
        <v>40000</v>
      </c>
      <c r="K3193" s="3">
        <v>0</v>
      </c>
      <c r="L3193" s="3" t="s">
        <v>3</v>
      </c>
      <c r="M3193" s="9" t="s">
        <v>0</v>
      </c>
      <c r="N3193" s="9">
        <v>43062349</v>
      </c>
      <c r="O3193" s="9" t="s">
        <v>654</v>
      </c>
      <c r="S3193" s="9" t="s">
        <v>158</v>
      </c>
      <c r="T3193" s="10" t="s">
        <v>74</v>
      </c>
      <c r="U3193" s="10">
        <v>3</v>
      </c>
      <c r="V3193" s="10">
        <v>90</v>
      </c>
      <c r="W3193" s="10" t="s">
        <v>710</v>
      </c>
      <c r="X3193" s="17">
        <v>45720</v>
      </c>
      <c r="Y3193" s="17">
        <v>45720</v>
      </c>
      <c r="Z3193" s="19" t="s">
        <v>772</v>
      </c>
      <c r="AA3193" s="207">
        <v>40000</v>
      </c>
      <c r="AB3193" s="9">
        <v>84</v>
      </c>
      <c r="AC3193" s="9">
        <v>76</v>
      </c>
      <c r="AD3193" s="17">
        <v>48090</v>
      </c>
      <c r="AE3193" s="54">
        <v>438</v>
      </c>
      <c r="AF3193" s="54"/>
      <c r="AL3193" s="22"/>
      <c r="AM3193" s="22"/>
      <c r="AN3193" s="22"/>
      <c r="AO3193" s="22"/>
      <c r="AP3193" s="22"/>
      <c r="AQ3193" s="22"/>
      <c r="AR3193" s="22"/>
      <c r="AS3193" s="22"/>
      <c r="AT3193" s="22"/>
      <c r="AU3193" s="22"/>
      <c r="AV3193" s="22"/>
      <c r="AW3193" s="9"/>
      <c r="BA3193" s="22"/>
      <c r="BB3193" s="22"/>
      <c r="BD3193" s="9"/>
      <c r="CS3193" s="11">
        <f t="shared" si="219"/>
        <v>0</v>
      </c>
      <c r="CT3193" s="22">
        <f t="shared" si="220"/>
        <v>0</v>
      </c>
      <c r="CU3193" s="22">
        <f t="shared" si="221"/>
        <v>0</v>
      </c>
      <c r="CV3193" s="26">
        <f t="shared" ref="CV3193:CV3256" si="222">+AE3193-AL3193-AT3193</f>
        <v>438</v>
      </c>
    </row>
    <row r="3194" spans="1:100" x14ac:dyDescent="0.2">
      <c r="A3194" s="9" t="s">
        <v>653</v>
      </c>
      <c r="B3194" s="2">
        <v>78</v>
      </c>
      <c r="C3194" s="3" t="s">
        <v>95</v>
      </c>
      <c r="D3194" s="3" t="s">
        <v>96</v>
      </c>
      <c r="E3194" s="2"/>
      <c r="F3194" s="2"/>
      <c r="G3194" s="2" t="s">
        <v>74</v>
      </c>
      <c r="H3194" s="2">
        <v>3</v>
      </c>
      <c r="I3194" s="20">
        <v>90</v>
      </c>
      <c r="J3194" s="20">
        <v>40000</v>
      </c>
      <c r="K3194" s="3">
        <v>0</v>
      </c>
      <c r="L3194" s="3" t="s">
        <v>3</v>
      </c>
      <c r="M3194" s="9" t="s">
        <v>0</v>
      </c>
      <c r="N3194" s="9">
        <v>43062349</v>
      </c>
      <c r="O3194" s="9" t="s">
        <v>654</v>
      </c>
      <c r="S3194" s="9" t="s">
        <v>158</v>
      </c>
      <c r="T3194" s="10" t="s">
        <v>74</v>
      </c>
      <c r="U3194" s="10">
        <v>3</v>
      </c>
      <c r="V3194" s="10">
        <v>90</v>
      </c>
      <c r="W3194" s="10" t="s">
        <v>710</v>
      </c>
      <c r="X3194" s="17">
        <v>45720</v>
      </c>
      <c r="Y3194" s="17">
        <v>45720</v>
      </c>
      <c r="Z3194" s="19" t="s">
        <v>772</v>
      </c>
      <c r="AA3194" s="207">
        <v>40000</v>
      </c>
      <c r="AB3194" s="9">
        <v>84</v>
      </c>
      <c r="AC3194" s="9">
        <v>77</v>
      </c>
      <c r="AD3194" s="17">
        <v>48121</v>
      </c>
      <c r="AE3194" s="54">
        <v>438</v>
      </c>
      <c r="AF3194" s="54"/>
      <c r="AL3194" s="22"/>
      <c r="AM3194" s="22"/>
      <c r="AN3194" s="22"/>
      <c r="AO3194" s="22"/>
      <c r="AP3194" s="22"/>
      <c r="AQ3194" s="22"/>
      <c r="AR3194" s="22"/>
      <c r="AS3194" s="22"/>
      <c r="AT3194" s="22"/>
      <c r="AU3194" s="22"/>
      <c r="AV3194" s="22"/>
      <c r="AW3194" s="9"/>
      <c r="BA3194" s="22"/>
      <c r="BB3194" s="22"/>
      <c r="BD3194" s="9"/>
      <c r="CS3194" s="11">
        <f t="shared" si="219"/>
        <v>0</v>
      </c>
      <c r="CT3194" s="22">
        <f t="shared" si="220"/>
        <v>0</v>
      </c>
      <c r="CU3194" s="22">
        <f t="shared" si="221"/>
        <v>0</v>
      </c>
      <c r="CV3194" s="26">
        <f t="shared" si="222"/>
        <v>438</v>
      </c>
    </row>
    <row r="3195" spans="1:100" x14ac:dyDescent="0.2">
      <c r="A3195" s="9" t="s">
        <v>653</v>
      </c>
      <c r="B3195" s="2">
        <v>78</v>
      </c>
      <c r="C3195" s="3" t="s">
        <v>95</v>
      </c>
      <c r="D3195" s="3" t="s">
        <v>96</v>
      </c>
      <c r="E3195" s="2"/>
      <c r="F3195" s="2"/>
      <c r="G3195" s="2" t="s">
        <v>74</v>
      </c>
      <c r="H3195" s="2">
        <v>3</v>
      </c>
      <c r="I3195" s="20">
        <v>90</v>
      </c>
      <c r="J3195" s="20">
        <v>40000</v>
      </c>
      <c r="K3195" s="3">
        <v>0</v>
      </c>
      <c r="L3195" s="3" t="s">
        <v>3</v>
      </c>
      <c r="M3195" s="9" t="s">
        <v>0</v>
      </c>
      <c r="N3195" s="9">
        <v>43062349</v>
      </c>
      <c r="O3195" s="9" t="s">
        <v>654</v>
      </c>
      <c r="S3195" s="9" t="s">
        <v>158</v>
      </c>
      <c r="T3195" s="10" t="s">
        <v>74</v>
      </c>
      <c r="U3195" s="10">
        <v>3</v>
      </c>
      <c r="V3195" s="10">
        <v>90</v>
      </c>
      <c r="W3195" s="10" t="s">
        <v>710</v>
      </c>
      <c r="X3195" s="17">
        <v>45720</v>
      </c>
      <c r="Y3195" s="17">
        <v>45720</v>
      </c>
      <c r="Z3195" s="19" t="s">
        <v>772</v>
      </c>
      <c r="AA3195" s="207">
        <v>40000</v>
      </c>
      <c r="AB3195" s="9">
        <v>84</v>
      </c>
      <c r="AC3195" s="9">
        <v>78</v>
      </c>
      <c r="AD3195" s="17">
        <v>48151</v>
      </c>
      <c r="AE3195" s="54">
        <v>438</v>
      </c>
      <c r="AF3195" s="54"/>
      <c r="AL3195" s="22"/>
      <c r="AM3195" s="22"/>
      <c r="AN3195" s="22"/>
      <c r="AO3195" s="22"/>
      <c r="AP3195" s="22"/>
      <c r="AQ3195" s="22"/>
      <c r="AR3195" s="22"/>
      <c r="AS3195" s="22"/>
      <c r="AT3195" s="22"/>
      <c r="AU3195" s="22"/>
      <c r="AV3195" s="22"/>
      <c r="AW3195" s="9"/>
      <c r="BA3195" s="22"/>
      <c r="BB3195" s="22"/>
      <c r="BD3195" s="9"/>
      <c r="CS3195" s="11">
        <f t="shared" si="219"/>
        <v>0</v>
      </c>
      <c r="CT3195" s="22">
        <f t="shared" si="220"/>
        <v>0</v>
      </c>
      <c r="CU3195" s="22">
        <f t="shared" si="221"/>
        <v>0</v>
      </c>
      <c r="CV3195" s="26">
        <f t="shared" si="222"/>
        <v>438</v>
      </c>
    </row>
    <row r="3196" spans="1:100" x14ac:dyDescent="0.2">
      <c r="A3196" s="9" t="s">
        <v>653</v>
      </c>
      <c r="B3196" s="2">
        <v>78</v>
      </c>
      <c r="C3196" s="3" t="s">
        <v>95</v>
      </c>
      <c r="D3196" s="3" t="s">
        <v>96</v>
      </c>
      <c r="E3196" s="2"/>
      <c r="F3196" s="2"/>
      <c r="G3196" s="2" t="s">
        <v>74</v>
      </c>
      <c r="H3196" s="2">
        <v>3</v>
      </c>
      <c r="I3196" s="20">
        <v>90</v>
      </c>
      <c r="J3196" s="20">
        <v>40000</v>
      </c>
      <c r="K3196" s="3">
        <v>0</v>
      </c>
      <c r="L3196" s="3" t="s">
        <v>3</v>
      </c>
      <c r="M3196" s="9" t="s">
        <v>0</v>
      </c>
      <c r="N3196" s="9">
        <v>43062349</v>
      </c>
      <c r="O3196" s="9" t="s">
        <v>654</v>
      </c>
      <c r="S3196" s="9" t="s">
        <v>158</v>
      </c>
      <c r="T3196" s="10" t="s">
        <v>74</v>
      </c>
      <c r="U3196" s="10">
        <v>3</v>
      </c>
      <c r="V3196" s="10">
        <v>90</v>
      </c>
      <c r="W3196" s="10" t="s">
        <v>710</v>
      </c>
      <c r="X3196" s="17">
        <v>45720</v>
      </c>
      <c r="Y3196" s="17">
        <v>45720</v>
      </c>
      <c r="Z3196" s="19" t="s">
        <v>772</v>
      </c>
      <c r="AA3196" s="207">
        <v>40000</v>
      </c>
      <c r="AB3196" s="9">
        <v>84</v>
      </c>
      <c r="AC3196" s="9">
        <v>79</v>
      </c>
      <c r="AD3196" s="17">
        <v>48182</v>
      </c>
      <c r="AE3196" s="54">
        <v>438</v>
      </c>
      <c r="AF3196" s="54"/>
      <c r="AL3196" s="22"/>
      <c r="AM3196" s="22"/>
      <c r="AN3196" s="22"/>
      <c r="AO3196" s="22"/>
      <c r="AP3196" s="22"/>
      <c r="AQ3196" s="22"/>
      <c r="AR3196" s="22"/>
      <c r="AS3196" s="22"/>
      <c r="AT3196" s="22"/>
      <c r="AU3196" s="22"/>
      <c r="AV3196" s="22"/>
      <c r="AW3196" s="9"/>
      <c r="BA3196" s="22"/>
      <c r="BB3196" s="22"/>
      <c r="BD3196" s="9"/>
      <c r="CS3196" s="11">
        <f t="shared" si="219"/>
        <v>0</v>
      </c>
      <c r="CT3196" s="22">
        <f t="shared" si="220"/>
        <v>0</v>
      </c>
      <c r="CU3196" s="22">
        <f t="shared" si="221"/>
        <v>0</v>
      </c>
      <c r="CV3196" s="26">
        <f t="shared" si="222"/>
        <v>438</v>
      </c>
    </row>
    <row r="3197" spans="1:100" x14ac:dyDescent="0.2">
      <c r="A3197" s="9" t="s">
        <v>653</v>
      </c>
      <c r="B3197" s="2">
        <v>78</v>
      </c>
      <c r="C3197" s="3" t="s">
        <v>95</v>
      </c>
      <c r="D3197" s="3" t="s">
        <v>96</v>
      </c>
      <c r="E3197" s="2"/>
      <c r="F3197" s="2"/>
      <c r="G3197" s="2" t="s">
        <v>74</v>
      </c>
      <c r="H3197" s="2">
        <v>3</v>
      </c>
      <c r="I3197" s="20">
        <v>90</v>
      </c>
      <c r="J3197" s="20">
        <v>40000</v>
      </c>
      <c r="K3197" s="3">
        <v>0</v>
      </c>
      <c r="L3197" s="3" t="s">
        <v>3</v>
      </c>
      <c r="M3197" s="9" t="s">
        <v>0</v>
      </c>
      <c r="N3197" s="9">
        <v>43062349</v>
      </c>
      <c r="O3197" s="9" t="s">
        <v>654</v>
      </c>
      <c r="S3197" s="9" t="s">
        <v>158</v>
      </c>
      <c r="T3197" s="10" t="s">
        <v>74</v>
      </c>
      <c r="U3197" s="10">
        <v>3</v>
      </c>
      <c r="V3197" s="10">
        <v>90</v>
      </c>
      <c r="W3197" s="10" t="s">
        <v>710</v>
      </c>
      <c r="X3197" s="17">
        <v>45720</v>
      </c>
      <c r="Y3197" s="17">
        <v>45720</v>
      </c>
      <c r="Z3197" s="19" t="s">
        <v>772</v>
      </c>
      <c r="AA3197" s="207">
        <v>40000</v>
      </c>
      <c r="AB3197" s="9">
        <v>84</v>
      </c>
      <c r="AC3197" s="9">
        <v>80</v>
      </c>
      <c r="AD3197" s="17">
        <v>48212</v>
      </c>
      <c r="AE3197" s="54">
        <v>438</v>
      </c>
      <c r="AF3197" s="54"/>
      <c r="AL3197" s="22"/>
      <c r="AM3197" s="22"/>
      <c r="AN3197" s="22"/>
      <c r="AO3197" s="22"/>
      <c r="AP3197" s="22"/>
      <c r="AQ3197" s="22"/>
      <c r="AR3197" s="22"/>
      <c r="AS3197" s="22"/>
      <c r="AT3197" s="22"/>
      <c r="AU3197" s="22"/>
      <c r="AV3197" s="22"/>
      <c r="AW3197" s="9"/>
      <c r="BA3197" s="22"/>
      <c r="BB3197" s="22"/>
      <c r="BD3197" s="9"/>
      <c r="CS3197" s="11">
        <f t="shared" si="219"/>
        <v>0</v>
      </c>
      <c r="CT3197" s="22">
        <f t="shared" si="220"/>
        <v>0</v>
      </c>
      <c r="CU3197" s="22">
        <f t="shared" si="221"/>
        <v>0</v>
      </c>
      <c r="CV3197" s="26">
        <f t="shared" si="222"/>
        <v>438</v>
      </c>
    </row>
    <row r="3198" spans="1:100" x14ac:dyDescent="0.2">
      <c r="A3198" s="9" t="s">
        <v>653</v>
      </c>
      <c r="B3198" s="2">
        <v>78</v>
      </c>
      <c r="C3198" s="3" t="s">
        <v>95</v>
      </c>
      <c r="D3198" s="3" t="s">
        <v>96</v>
      </c>
      <c r="E3198" s="2"/>
      <c r="F3198" s="2"/>
      <c r="G3198" s="2" t="s">
        <v>74</v>
      </c>
      <c r="H3198" s="2">
        <v>3</v>
      </c>
      <c r="I3198" s="20">
        <v>90</v>
      </c>
      <c r="J3198" s="20">
        <v>40000</v>
      </c>
      <c r="K3198" s="3">
        <v>0</v>
      </c>
      <c r="L3198" s="3" t="s">
        <v>3</v>
      </c>
      <c r="M3198" s="9" t="s">
        <v>0</v>
      </c>
      <c r="N3198" s="9">
        <v>43062349</v>
      </c>
      <c r="O3198" s="9" t="s">
        <v>654</v>
      </c>
      <c r="S3198" s="9" t="s">
        <v>158</v>
      </c>
      <c r="T3198" s="10" t="s">
        <v>74</v>
      </c>
      <c r="U3198" s="10">
        <v>3</v>
      </c>
      <c r="V3198" s="10">
        <v>90</v>
      </c>
      <c r="W3198" s="10" t="s">
        <v>710</v>
      </c>
      <c r="X3198" s="17">
        <v>45720</v>
      </c>
      <c r="Y3198" s="17">
        <v>45720</v>
      </c>
      <c r="Z3198" s="19" t="s">
        <v>772</v>
      </c>
      <c r="AA3198" s="207">
        <v>40000</v>
      </c>
      <c r="AB3198" s="9">
        <v>84</v>
      </c>
      <c r="AC3198" s="9">
        <v>81</v>
      </c>
      <c r="AD3198" s="17">
        <v>48243</v>
      </c>
      <c r="AE3198" s="54">
        <v>438</v>
      </c>
      <c r="AF3198" s="54"/>
      <c r="AL3198" s="22"/>
      <c r="AM3198" s="22"/>
      <c r="AN3198" s="22"/>
      <c r="AO3198" s="22"/>
      <c r="AP3198" s="22"/>
      <c r="AQ3198" s="22"/>
      <c r="AR3198" s="22"/>
      <c r="AS3198" s="22"/>
      <c r="AT3198" s="22"/>
      <c r="AU3198" s="22"/>
      <c r="AV3198" s="22"/>
      <c r="AW3198" s="9"/>
      <c r="BA3198" s="22"/>
      <c r="BB3198" s="22"/>
      <c r="BD3198" s="9"/>
      <c r="CS3198" s="11">
        <f t="shared" si="219"/>
        <v>0</v>
      </c>
      <c r="CT3198" s="22">
        <f t="shared" si="220"/>
        <v>0</v>
      </c>
      <c r="CU3198" s="22">
        <f t="shared" si="221"/>
        <v>0</v>
      </c>
      <c r="CV3198" s="26">
        <f t="shared" si="222"/>
        <v>438</v>
      </c>
    </row>
    <row r="3199" spans="1:100" x14ac:dyDescent="0.2">
      <c r="A3199" s="9" t="s">
        <v>653</v>
      </c>
      <c r="B3199" s="2">
        <v>78</v>
      </c>
      <c r="C3199" s="3" t="s">
        <v>95</v>
      </c>
      <c r="D3199" s="3" t="s">
        <v>96</v>
      </c>
      <c r="E3199" s="2"/>
      <c r="F3199" s="2"/>
      <c r="G3199" s="2" t="s">
        <v>74</v>
      </c>
      <c r="H3199" s="2">
        <v>3</v>
      </c>
      <c r="I3199" s="20">
        <v>90</v>
      </c>
      <c r="J3199" s="20">
        <v>40000</v>
      </c>
      <c r="K3199" s="3">
        <v>0</v>
      </c>
      <c r="L3199" s="3" t="s">
        <v>3</v>
      </c>
      <c r="M3199" s="9" t="s">
        <v>0</v>
      </c>
      <c r="N3199" s="9">
        <v>43062349</v>
      </c>
      <c r="O3199" s="9" t="s">
        <v>654</v>
      </c>
      <c r="S3199" s="9" t="s">
        <v>158</v>
      </c>
      <c r="T3199" s="10" t="s">
        <v>74</v>
      </c>
      <c r="U3199" s="10">
        <v>3</v>
      </c>
      <c r="V3199" s="10">
        <v>90</v>
      </c>
      <c r="W3199" s="10" t="s">
        <v>710</v>
      </c>
      <c r="X3199" s="17">
        <v>45720</v>
      </c>
      <c r="Y3199" s="17">
        <v>45720</v>
      </c>
      <c r="Z3199" s="19" t="s">
        <v>772</v>
      </c>
      <c r="AA3199" s="207">
        <v>40000</v>
      </c>
      <c r="AB3199" s="9">
        <v>84</v>
      </c>
      <c r="AC3199" s="9">
        <v>82</v>
      </c>
      <c r="AD3199" s="17">
        <v>48273</v>
      </c>
      <c r="AE3199" s="54">
        <v>438</v>
      </c>
      <c r="AF3199" s="54"/>
      <c r="AL3199" s="22"/>
      <c r="AM3199" s="22"/>
      <c r="AN3199" s="22"/>
      <c r="AO3199" s="22"/>
      <c r="AP3199" s="22"/>
      <c r="AQ3199" s="22"/>
      <c r="AR3199" s="22"/>
      <c r="AS3199" s="22"/>
      <c r="AT3199" s="22"/>
      <c r="AU3199" s="22"/>
      <c r="AV3199" s="22"/>
      <c r="AW3199" s="9"/>
      <c r="BA3199" s="22"/>
      <c r="BB3199" s="22"/>
      <c r="BD3199" s="9"/>
      <c r="CS3199" s="11">
        <f t="shared" si="219"/>
        <v>0</v>
      </c>
      <c r="CT3199" s="22">
        <f t="shared" si="220"/>
        <v>0</v>
      </c>
      <c r="CU3199" s="22">
        <f t="shared" si="221"/>
        <v>0</v>
      </c>
      <c r="CV3199" s="26">
        <f t="shared" si="222"/>
        <v>438</v>
      </c>
    </row>
    <row r="3200" spans="1:100" x14ac:dyDescent="0.2">
      <c r="A3200" s="9" t="s">
        <v>653</v>
      </c>
      <c r="B3200" s="2">
        <v>78</v>
      </c>
      <c r="C3200" s="3" t="s">
        <v>95</v>
      </c>
      <c r="D3200" s="3" t="s">
        <v>96</v>
      </c>
      <c r="E3200" s="2"/>
      <c r="F3200" s="2"/>
      <c r="G3200" s="2" t="s">
        <v>74</v>
      </c>
      <c r="H3200" s="2">
        <v>3</v>
      </c>
      <c r="I3200" s="20">
        <v>90</v>
      </c>
      <c r="J3200" s="20">
        <v>40000</v>
      </c>
      <c r="K3200" s="3">
        <v>0</v>
      </c>
      <c r="L3200" s="3" t="s">
        <v>3</v>
      </c>
      <c r="M3200" s="9" t="s">
        <v>0</v>
      </c>
      <c r="N3200" s="9">
        <v>43062349</v>
      </c>
      <c r="O3200" s="9" t="s">
        <v>654</v>
      </c>
      <c r="S3200" s="9" t="s">
        <v>158</v>
      </c>
      <c r="T3200" s="10" t="s">
        <v>74</v>
      </c>
      <c r="U3200" s="10">
        <v>3</v>
      </c>
      <c r="V3200" s="10">
        <v>90</v>
      </c>
      <c r="W3200" s="10" t="s">
        <v>710</v>
      </c>
      <c r="X3200" s="17">
        <v>45720</v>
      </c>
      <c r="Y3200" s="17">
        <v>45720</v>
      </c>
      <c r="Z3200" s="19" t="s">
        <v>772</v>
      </c>
      <c r="AA3200" s="207">
        <v>40000</v>
      </c>
      <c r="AB3200" s="9">
        <v>84</v>
      </c>
      <c r="AC3200" s="9">
        <v>83</v>
      </c>
      <c r="AD3200" s="17">
        <v>48303</v>
      </c>
      <c r="AE3200" s="54">
        <v>438</v>
      </c>
      <c r="AF3200" s="54"/>
      <c r="AL3200" s="22"/>
      <c r="AM3200" s="22"/>
      <c r="AN3200" s="22"/>
      <c r="AO3200" s="22"/>
      <c r="AP3200" s="22"/>
      <c r="AQ3200" s="22"/>
      <c r="AR3200" s="22"/>
      <c r="AS3200" s="22"/>
      <c r="AT3200" s="22"/>
      <c r="AU3200" s="22"/>
      <c r="AV3200" s="22"/>
      <c r="AW3200" s="9"/>
      <c r="BA3200" s="22"/>
      <c r="BB3200" s="22"/>
      <c r="BD3200" s="9"/>
      <c r="CS3200" s="11">
        <f t="shared" si="219"/>
        <v>0</v>
      </c>
      <c r="CT3200" s="22">
        <f t="shared" si="220"/>
        <v>0</v>
      </c>
      <c r="CU3200" s="22">
        <f t="shared" si="221"/>
        <v>0</v>
      </c>
      <c r="CV3200" s="26">
        <f t="shared" si="222"/>
        <v>438</v>
      </c>
    </row>
    <row r="3201" spans="1:100" x14ac:dyDescent="0.2">
      <c r="A3201" s="9" t="s">
        <v>653</v>
      </c>
      <c r="B3201" s="2">
        <v>78</v>
      </c>
      <c r="C3201" s="3" t="s">
        <v>95</v>
      </c>
      <c r="D3201" s="3" t="s">
        <v>96</v>
      </c>
      <c r="E3201" s="2"/>
      <c r="F3201" s="2"/>
      <c r="G3201" s="2" t="s">
        <v>74</v>
      </c>
      <c r="H3201" s="2">
        <v>3</v>
      </c>
      <c r="I3201" s="20">
        <v>90</v>
      </c>
      <c r="J3201" s="20">
        <v>40000</v>
      </c>
      <c r="K3201" s="3">
        <v>0</v>
      </c>
      <c r="L3201" s="3" t="s">
        <v>3</v>
      </c>
      <c r="M3201" s="9" t="s">
        <v>0</v>
      </c>
      <c r="N3201" s="9">
        <v>43062349</v>
      </c>
      <c r="O3201" s="9" t="s">
        <v>654</v>
      </c>
      <c r="S3201" s="9" t="s">
        <v>158</v>
      </c>
      <c r="T3201" s="10" t="s">
        <v>74</v>
      </c>
      <c r="U3201" s="10">
        <v>3</v>
      </c>
      <c r="V3201" s="10">
        <v>90</v>
      </c>
      <c r="W3201" s="10" t="s">
        <v>710</v>
      </c>
      <c r="X3201" s="17">
        <v>45720</v>
      </c>
      <c r="Y3201" s="17">
        <v>45720</v>
      </c>
      <c r="Z3201" s="19" t="s">
        <v>772</v>
      </c>
      <c r="AA3201" s="207">
        <v>40000</v>
      </c>
      <c r="AB3201" s="9">
        <v>84</v>
      </c>
      <c r="AC3201" s="9">
        <v>84</v>
      </c>
      <c r="AD3201" s="17">
        <v>48334</v>
      </c>
      <c r="AE3201" s="54">
        <v>438</v>
      </c>
      <c r="AF3201" s="54"/>
      <c r="AL3201" s="22"/>
      <c r="AM3201" s="22"/>
      <c r="AN3201" s="22"/>
      <c r="AO3201" s="22"/>
      <c r="AP3201" s="22"/>
      <c r="AQ3201" s="22"/>
      <c r="AR3201" s="22"/>
      <c r="AS3201" s="22"/>
      <c r="AT3201" s="22"/>
      <c r="AU3201" s="22"/>
      <c r="AV3201" s="22"/>
      <c r="AW3201" s="9"/>
      <c r="BA3201" s="22"/>
      <c r="BB3201" s="22"/>
      <c r="BD3201" s="9"/>
      <c r="CS3201" s="11">
        <f t="shared" si="219"/>
        <v>0</v>
      </c>
      <c r="CT3201" s="22">
        <f t="shared" si="220"/>
        <v>0</v>
      </c>
      <c r="CU3201" s="22">
        <f t="shared" si="221"/>
        <v>0</v>
      </c>
      <c r="CV3201" s="26">
        <f t="shared" si="222"/>
        <v>438</v>
      </c>
    </row>
    <row r="3202" spans="1:100" x14ac:dyDescent="0.2">
      <c r="A3202" s="9" t="s">
        <v>660</v>
      </c>
      <c r="B3202" s="2">
        <v>115</v>
      </c>
      <c r="C3202" s="3" t="s">
        <v>95</v>
      </c>
      <c r="D3202" s="3" t="s">
        <v>96</v>
      </c>
      <c r="E3202" s="2"/>
      <c r="F3202" s="2"/>
      <c r="G3202" s="2" t="s">
        <v>80</v>
      </c>
      <c r="H3202" s="2">
        <v>5</v>
      </c>
      <c r="I3202" s="20">
        <v>127.4</v>
      </c>
      <c r="J3202" s="20">
        <v>56922</v>
      </c>
      <c r="K3202" s="3">
        <v>0</v>
      </c>
      <c r="L3202" s="3" t="s">
        <v>3</v>
      </c>
      <c r="M3202" s="9" t="s">
        <v>0</v>
      </c>
      <c r="N3202" s="30" t="s">
        <v>661</v>
      </c>
      <c r="O3202" s="9" t="s">
        <v>662</v>
      </c>
      <c r="S3202" s="9" t="s">
        <v>158</v>
      </c>
      <c r="T3202" s="10" t="s">
        <v>80</v>
      </c>
      <c r="U3202" s="10">
        <v>5</v>
      </c>
      <c r="V3202" s="10">
        <v>127.4</v>
      </c>
      <c r="W3202" s="10" t="s">
        <v>710</v>
      </c>
      <c r="X3202" s="17">
        <v>45746</v>
      </c>
      <c r="Y3202" s="17">
        <v>45747</v>
      </c>
      <c r="Z3202" s="17"/>
      <c r="AA3202" s="207">
        <v>35000</v>
      </c>
      <c r="AB3202" s="9">
        <v>48</v>
      </c>
      <c r="AC3202" s="9">
        <v>0</v>
      </c>
      <c r="AD3202" s="17">
        <v>45747</v>
      </c>
      <c r="AE3202" s="54">
        <v>500</v>
      </c>
      <c r="AF3202" s="54"/>
      <c r="AG3202" s="9" t="s">
        <v>134</v>
      </c>
      <c r="AH3202" s="17">
        <v>45747</v>
      </c>
      <c r="AI3202" s="17"/>
      <c r="AJ3202" s="17"/>
      <c r="AK3202" s="9" t="s">
        <v>663</v>
      </c>
      <c r="AL3202" s="22">
        <v>500</v>
      </c>
      <c r="AM3202" s="22"/>
      <c r="AN3202" s="22" t="s">
        <v>848</v>
      </c>
      <c r="AO3202" s="22"/>
      <c r="AP3202" s="22"/>
      <c r="AQ3202" s="22"/>
      <c r="AR3202" s="22"/>
      <c r="AS3202" s="22"/>
      <c r="AT3202" s="22"/>
      <c r="AU3202" s="22"/>
      <c r="AV3202" s="22"/>
      <c r="AW3202" s="42">
        <v>45746</v>
      </c>
      <c r="AX3202" s="41">
        <v>38245</v>
      </c>
      <c r="AY3202" s="40">
        <v>1825</v>
      </c>
      <c r="AZ3202" s="36">
        <v>3.65</v>
      </c>
      <c r="BA3202" s="40">
        <f>+AY3202/AZ3202</f>
        <v>500</v>
      </c>
      <c r="BB3202" s="22"/>
      <c r="BD3202" s="9"/>
      <c r="CT3202" s="22">
        <f t="shared" ref="CT3202:CT3233" si="223">+BA3202+BG3202+BM3202+BS3202+BY3202+CE3202+CK3202</f>
        <v>500</v>
      </c>
      <c r="CU3202" s="22">
        <f t="shared" ref="CU3202:CU3233" si="224">+AL3202+AT3202-CT3202</f>
        <v>0</v>
      </c>
      <c r="CV3202" s="26">
        <f t="shared" si="222"/>
        <v>0</v>
      </c>
    </row>
    <row r="3203" spans="1:100" x14ac:dyDescent="0.2">
      <c r="A3203" s="9" t="s">
        <v>660</v>
      </c>
      <c r="B3203" s="2">
        <v>115</v>
      </c>
      <c r="C3203" s="3" t="s">
        <v>95</v>
      </c>
      <c r="D3203" s="3" t="s">
        <v>96</v>
      </c>
      <c r="E3203" s="2"/>
      <c r="F3203" s="2"/>
      <c r="G3203" s="2" t="s">
        <v>80</v>
      </c>
      <c r="H3203" s="2">
        <v>5</v>
      </c>
      <c r="I3203" s="20">
        <v>127.4</v>
      </c>
      <c r="J3203" s="20">
        <v>56922</v>
      </c>
      <c r="K3203" s="3">
        <v>0</v>
      </c>
      <c r="L3203" s="3" t="s">
        <v>3</v>
      </c>
      <c r="M3203" s="9" t="s">
        <v>0</v>
      </c>
      <c r="N3203" s="30" t="s">
        <v>661</v>
      </c>
      <c r="O3203" s="9" t="s">
        <v>662</v>
      </c>
      <c r="S3203" s="9" t="s">
        <v>158</v>
      </c>
      <c r="T3203" s="10" t="s">
        <v>80</v>
      </c>
      <c r="U3203" s="10">
        <v>5</v>
      </c>
      <c r="V3203" s="10">
        <v>127.4</v>
      </c>
      <c r="W3203" s="10" t="s">
        <v>710</v>
      </c>
      <c r="X3203" s="17">
        <v>45746</v>
      </c>
      <c r="Y3203" s="17">
        <v>45747</v>
      </c>
      <c r="Z3203" s="17"/>
      <c r="AA3203" s="207">
        <v>35000</v>
      </c>
      <c r="AB3203" s="9">
        <v>48</v>
      </c>
      <c r="AC3203" s="9">
        <v>0</v>
      </c>
      <c r="AD3203" s="17">
        <v>45747</v>
      </c>
      <c r="AE3203" s="54">
        <v>18320</v>
      </c>
      <c r="AF3203" s="54"/>
      <c r="AG3203" s="9" t="s">
        <v>134</v>
      </c>
      <c r="AH3203" s="17">
        <v>45747</v>
      </c>
      <c r="AI3203" s="17"/>
      <c r="AJ3203" s="17"/>
      <c r="AK3203" s="9" t="s">
        <v>664</v>
      </c>
      <c r="AL3203" s="22">
        <v>18320</v>
      </c>
      <c r="AM3203" s="22"/>
      <c r="AN3203" s="22" t="s">
        <v>849</v>
      </c>
      <c r="AO3203" s="22"/>
      <c r="AP3203" s="22"/>
      <c r="AQ3203" s="22"/>
      <c r="AR3203" s="22"/>
      <c r="AS3203" s="22"/>
      <c r="AT3203" s="22"/>
      <c r="AU3203" s="22"/>
      <c r="AV3203" s="22"/>
      <c r="AW3203" s="42">
        <v>45747</v>
      </c>
      <c r="AX3203" s="41">
        <v>226290</v>
      </c>
      <c r="AY3203" s="40">
        <v>66941.279999999999</v>
      </c>
      <c r="AZ3203" s="36">
        <v>3.6539999999999999</v>
      </c>
      <c r="BA3203" s="40">
        <f>+AY3203/AZ3203</f>
        <v>18320</v>
      </c>
      <c r="BB3203" s="22"/>
      <c r="BD3203" s="9"/>
      <c r="CT3203" s="22">
        <f t="shared" si="223"/>
        <v>18320</v>
      </c>
      <c r="CU3203" s="22">
        <f t="shared" si="224"/>
        <v>0</v>
      </c>
      <c r="CV3203" s="26">
        <f t="shared" si="222"/>
        <v>0</v>
      </c>
    </row>
    <row r="3204" spans="1:100" x14ac:dyDescent="0.2">
      <c r="A3204" s="9" t="s">
        <v>660</v>
      </c>
      <c r="B3204" s="2">
        <v>115</v>
      </c>
      <c r="C3204" s="3" t="s">
        <v>95</v>
      </c>
      <c r="D3204" s="3" t="s">
        <v>96</v>
      </c>
      <c r="E3204" s="2"/>
      <c r="F3204" s="2"/>
      <c r="G3204" s="2" t="s">
        <v>80</v>
      </c>
      <c r="H3204" s="2">
        <v>5</v>
      </c>
      <c r="I3204" s="20">
        <v>127.4</v>
      </c>
      <c r="J3204" s="20">
        <v>56922</v>
      </c>
      <c r="K3204" s="3">
        <v>0</v>
      </c>
      <c r="L3204" s="3" t="s">
        <v>3</v>
      </c>
      <c r="M3204" s="9" t="s">
        <v>0</v>
      </c>
      <c r="N3204" s="30" t="s">
        <v>661</v>
      </c>
      <c r="O3204" s="9" t="s">
        <v>662</v>
      </c>
      <c r="S3204" s="9" t="s">
        <v>158</v>
      </c>
      <c r="T3204" s="10" t="s">
        <v>80</v>
      </c>
      <c r="U3204" s="10">
        <v>5</v>
      </c>
      <c r="V3204" s="10">
        <v>127.4</v>
      </c>
      <c r="W3204" s="10" t="s">
        <v>710</v>
      </c>
      <c r="X3204" s="17">
        <v>45746</v>
      </c>
      <c r="Y3204" s="17">
        <v>45747</v>
      </c>
      <c r="Z3204" s="17"/>
      <c r="AA3204" s="207">
        <v>35000</v>
      </c>
      <c r="AB3204" s="9">
        <v>48</v>
      </c>
      <c r="AC3204" s="9">
        <v>1</v>
      </c>
      <c r="AD3204" s="17">
        <v>45808</v>
      </c>
      <c r="AE3204" s="54">
        <v>160</v>
      </c>
      <c r="AF3204" s="54"/>
      <c r="AG3204" s="9" t="s">
        <v>134</v>
      </c>
      <c r="AH3204" s="17">
        <v>45806</v>
      </c>
      <c r="AI3204" s="17"/>
      <c r="AJ3204" s="17"/>
      <c r="AK3204" s="9" t="s">
        <v>843</v>
      </c>
      <c r="AL3204" s="22">
        <v>160</v>
      </c>
      <c r="AM3204" s="22"/>
      <c r="AN3204" s="22" t="s">
        <v>850</v>
      </c>
      <c r="AO3204" s="22"/>
      <c r="AP3204" s="22"/>
      <c r="AQ3204" s="22"/>
      <c r="AR3204" s="22"/>
      <c r="AS3204" s="22"/>
      <c r="AT3204" s="22"/>
      <c r="AU3204" s="22"/>
      <c r="AV3204" s="22"/>
      <c r="AW3204" s="42">
        <v>45806</v>
      </c>
      <c r="AX3204" s="41">
        <v>4225</v>
      </c>
      <c r="AY3204" s="36"/>
      <c r="AZ3204" s="36"/>
      <c r="BA3204" s="40">
        <v>160</v>
      </c>
      <c r="BB3204" s="22"/>
      <c r="BD3204" s="9"/>
      <c r="CT3204" s="22">
        <f t="shared" si="223"/>
        <v>160</v>
      </c>
      <c r="CU3204" s="22">
        <f t="shared" si="224"/>
        <v>0</v>
      </c>
      <c r="CV3204" s="26">
        <f t="shared" si="222"/>
        <v>0</v>
      </c>
    </row>
    <row r="3205" spans="1:100" x14ac:dyDescent="0.2">
      <c r="A3205" s="9" t="s">
        <v>660</v>
      </c>
      <c r="B3205" s="2">
        <v>115</v>
      </c>
      <c r="C3205" s="3" t="s">
        <v>95</v>
      </c>
      <c r="D3205" s="3" t="s">
        <v>96</v>
      </c>
      <c r="E3205" s="2"/>
      <c r="F3205" s="2"/>
      <c r="G3205" s="2" t="s">
        <v>80</v>
      </c>
      <c r="H3205" s="2">
        <v>5</v>
      </c>
      <c r="I3205" s="20">
        <v>127.4</v>
      </c>
      <c r="J3205" s="20">
        <v>56922</v>
      </c>
      <c r="K3205" s="3">
        <v>0</v>
      </c>
      <c r="L3205" s="3" t="s">
        <v>3</v>
      </c>
      <c r="M3205" s="9" t="s">
        <v>0</v>
      </c>
      <c r="N3205" s="30" t="s">
        <v>661</v>
      </c>
      <c r="O3205" s="9" t="s">
        <v>662</v>
      </c>
      <c r="S3205" s="9" t="s">
        <v>158</v>
      </c>
      <c r="T3205" s="10" t="s">
        <v>80</v>
      </c>
      <c r="U3205" s="10">
        <v>5</v>
      </c>
      <c r="V3205" s="10">
        <v>127.4</v>
      </c>
      <c r="W3205" s="10" t="s">
        <v>710</v>
      </c>
      <c r="X3205" s="17">
        <v>45746</v>
      </c>
      <c r="Y3205" s="17">
        <v>45747</v>
      </c>
      <c r="Z3205" s="17"/>
      <c r="AA3205" s="207">
        <v>35000</v>
      </c>
      <c r="AB3205" s="9">
        <v>48</v>
      </c>
      <c r="AC3205" s="9">
        <v>2</v>
      </c>
      <c r="AD3205" s="17">
        <v>45838</v>
      </c>
      <c r="AE3205" s="54">
        <v>160</v>
      </c>
      <c r="AF3205" s="54"/>
      <c r="AG3205" s="9" t="s">
        <v>134</v>
      </c>
      <c r="AH3205" s="17">
        <v>45838</v>
      </c>
      <c r="AI3205" s="17"/>
      <c r="AJ3205" s="17"/>
      <c r="AK3205" s="9" t="s">
        <v>844</v>
      </c>
      <c r="AL3205" s="22">
        <v>160</v>
      </c>
      <c r="AM3205" s="22"/>
      <c r="AN3205" s="22" t="s">
        <v>851</v>
      </c>
      <c r="AO3205" s="22"/>
      <c r="AP3205" s="22"/>
      <c r="AQ3205" s="22"/>
      <c r="AR3205" s="22"/>
      <c r="AS3205" s="22"/>
      <c r="AT3205" s="22"/>
      <c r="AU3205" s="22"/>
      <c r="AV3205" s="22"/>
      <c r="AW3205" s="42">
        <v>45838</v>
      </c>
      <c r="AX3205" s="41">
        <v>4350</v>
      </c>
      <c r="AY3205" s="36"/>
      <c r="AZ3205" s="36"/>
      <c r="BA3205" s="40">
        <v>160</v>
      </c>
      <c r="BB3205" s="22"/>
      <c r="BD3205" s="9"/>
      <c r="CT3205" s="22">
        <f t="shared" si="223"/>
        <v>160</v>
      </c>
      <c r="CU3205" s="22">
        <f t="shared" si="224"/>
        <v>0</v>
      </c>
      <c r="CV3205" s="26">
        <f t="shared" si="222"/>
        <v>0</v>
      </c>
    </row>
    <row r="3206" spans="1:100" x14ac:dyDescent="0.2">
      <c r="A3206" s="9" t="s">
        <v>660</v>
      </c>
      <c r="B3206" s="2">
        <v>115</v>
      </c>
      <c r="C3206" s="3" t="s">
        <v>95</v>
      </c>
      <c r="D3206" s="3" t="s">
        <v>96</v>
      </c>
      <c r="E3206" s="2"/>
      <c r="F3206" s="2"/>
      <c r="G3206" s="2" t="s">
        <v>80</v>
      </c>
      <c r="H3206" s="2">
        <v>5</v>
      </c>
      <c r="I3206" s="20">
        <v>127.4</v>
      </c>
      <c r="J3206" s="20">
        <v>56922</v>
      </c>
      <c r="K3206" s="3">
        <v>0</v>
      </c>
      <c r="L3206" s="3" t="s">
        <v>3</v>
      </c>
      <c r="M3206" s="9" t="s">
        <v>0</v>
      </c>
      <c r="N3206" s="30" t="s">
        <v>661</v>
      </c>
      <c r="O3206" s="9" t="s">
        <v>662</v>
      </c>
      <c r="S3206" s="9" t="s">
        <v>158</v>
      </c>
      <c r="T3206" s="10" t="s">
        <v>80</v>
      </c>
      <c r="U3206" s="10">
        <v>5</v>
      </c>
      <c r="V3206" s="10">
        <v>127.4</v>
      </c>
      <c r="W3206" s="10" t="s">
        <v>710</v>
      </c>
      <c r="X3206" s="17">
        <v>45746</v>
      </c>
      <c r="Y3206" s="17">
        <v>45747</v>
      </c>
      <c r="Z3206" s="17"/>
      <c r="AA3206" s="207">
        <v>35000</v>
      </c>
      <c r="AB3206" s="9">
        <v>48</v>
      </c>
      <c r="AC3206" s="9">
        <v>3</v>
      </c>
      <c r="AD3206" s="17">
        <v>45869</v>
      </c>
      <c r="AE3206" s="54">
        <v>160</v>
      </c>
      <c r="AF3206" s="54"/>
      <c r="AG3206" s="9" t="s">
        <v>134</v>
      </c>
      <c r="AH3206" s="17">
        <v>45869</v>
      </c>
      <c r="AI3206" s="17"/>
      <c r="AJ3206" s="17"/>
      <c r="AK3206" s="9" t="s">
        <v>845</v>
      </c>
      <c r="AL3206" s="22">
        <v>160</v>
      </c>
      <c r="AM3206" s="22"/>
      <c r="AN3206" s="22" t="s">
        <v>852</v>
      </c>
      <c r="AO3206" s="22"/>
      <c r="AP3206" s="22"/>
      <c r="AQ3206" s="22"/>
      <c r="AR3206" s="22"/>
      <c r="AS3206" s="22"/>
      <c r="AT3206" s="22"/>
      <c r="AU3206" s="22"/>
      <c r="AV3206" s="22"/>
      <c r="AW3206" s="42">
        <v>45869</v>
      </c>
      <c r="AX3206" s="41">
        <v>4493</v>
      </c>
      <c r="AY3206" s="36"/>
      <c r="AZ3206" s="36"/>
      <c r="BA3206" s="40">
        <v>160</v>
      </c>
      <c r="BB3206" s="22"/>
      <c r="BD3206" s="9"/>
      <c r="CT3206" s="22">
        <f t="shared" si="223"/>
        <v>160</v>
      </c>
      <c r="CU3206" s="22">
        <f t="shared" si="224"/>
        <v>0</v>
      </c>
      <c r="CV3206" s="26">
        <f t="shared" si="222"/>
        <v>0</v>
      </c>
    </row>
    <row r="3207" spans="1:100" x14ac:dyDescent="0.2">
      <c r="A3207" s="9" t="s">
        <v>660</v>
      </c>
      <c r="B3207" s="2">
        <v>115</v>
      </c>
      <c r="C3207" s="3" t="s">
        <v>95</v>
      </c>
      <c r="D3207" s="3" t="s">
        <v>96</v>
      </c>
      <c r="E3207" s="2"/>
      <c r="F3207" s="2"/>
      <c r="G3207" s="2" t="s">
        <v>80</v>
      </c>
      <c r="H3207" s="2">
        <v>5</v>
      </c>
      <c r="I3207" s="20">
        <v>127.4</v>
      </c>
      <c r="J3207" s="20">
        <v>56922</v>
      </c>
      <c r="K3207" s="3">
        <v>0</v>
      </c>
      <c r="L3207" s="3" t="s">
        <v>3</v>
      </c>
      <c r="M3207" s="9" t="s">
        <v>0</v>
      </c>
      <c r="N3207" s="30" t="s">
        <v>661</v>
      </c>
      <c r="O3207" s="9" t="s">
        <v>662</v>
      </c>
      <c r="S3207" s="9" t="s">
        <v>158</v>
      </c>
      <c r="T3207" s="10" t="s">
        <v>80</v>
      </c>
      <c r="U3207" s="10">
        <v>5</v>
      </c>
      <c r="V3207" s="10">
        <v>127.4</v>
      </c>
      <c r="W3207" s="10" t="s">
        <v>710</v>
      </c>
      <c r="X3207" s="17">
        <v>45746</v>
      </c>
      <c r="Y3207" s="17">
        <v>45747</v>
      </c>
      <c r="Z3207" s="17"/>
      <c r="AA3207" s="207">
        <v>35000</v>
      </c>
      <c r="AB3207" s="9">
        <v>48</v>
      </c>
      <c r="AC3207" s="9">
        <v>4</v>
      </c>
      <c r="AD3207" s="17">
        <v>45900</v>
      </c>
      <c r="AE3207" s="54">
        <v>160</v>
      </c>
      <c r="AF3207" s="54"/>
      <c r="AG3207" s="9" t="s">
        <v>134</v>
      </c>
      <c r="AH3207" s="17">
        <v>45901</v>
      </c>
      <c r="AI3207" s="17"/>
      <c r="AJ3207" s="17"/>
      <c r="AK3207" s="9" t="s">
        <v>846</v>
      </c>
      <c r="AL3207" s="22">
        <v>160</v>
      </c>
      <c r="AM3207" s="22"/>
      <c r="AN3207" s="22" t="s">
        <v>853</v>
      </c>
      <c r="AO3207" s="22"/>
      <c r="AP3207" s="22"/>
      <c r="AQ3207" s="22"/>
      <c r="AR3207" s="22"/>
      <c r="AS3207" s="22"/>
      <c r="AT3207" s="22"/>
      <c r="AU3207" s="22"/>
      <c r="AV3207" s="22"/>
      <c r="AW3207" s="42">
        <v>45898</v>
      </c>
      <c r="AX3207" s="41">
        <v>4629</v>
      </c>
      <c r="AY3207" s="36"/>
      <c r="AZ3207" s="36"/>
      <c r="BA3207" s="40">
        <v>160</v>
      </c>
      <c r="BB3207" s="22"/>
      <c r="BD3207" s="9"/>
      <c r="CT3207" s="22">
        <f t="shared" si="223"/>
        <v>160</v>
      </c>
      <c r="CU3207" s="22">
        <f t="shared" si="224"/>
        <v>0</v>
      </c>
      <c r="CV3207" s="26">
        <f t="shared" si="222"/>
        <v>0</v>
      </c>
    </row>
    <row r="3208" spans="1:100" x14ac:dyDescent="0.2">
      <c r="A3208" s="9" t="s">
        <v>660</v>
      </c>
      <c r="B3208" s="2">
        <v>115</v>
      </c>
      <c r="C3208" s="3" t="s">
        <v>95</v>
      </c>
      <c r="D3208" s="3" t="s">
        <v>96</v>
      </c>
      <c r="E3208" s="2"/>
      <c r="F3208" s="2"/>
      <c r="G3208" s="2" t="s">
        <v>80</v>
      </c>
      <c r="H3208" s="2">
        <v>5</v>
      </c>
      <c r="I3208" s="20">
        <v>127.4</v>
      </c>
      <c r="J3208" s="20">
        <v>56922</v>
      </c>
      <c r="K3208" s="3">
        <v>0</v>
      </c>
      <c r="L3208" s="3" t="s">
        <v>3</v>
      </c>
      <c r="M3208" s="9" t="s">
        <v>0</v>
      </c>
      <c r="N3208" s="30" t="s">
        <v>661</v>
      </c>
      <c r="O3208" s="9" t="s">
        <v>662</v>
      </c>
      <c r="S3208" s="9" t="s">
        <v>158</v>
      </c>
      <c r="T3208" s="10" t="s">
        <v>80</v>
      </c>
      <c r="U3208" s="10">
        <v>5</v>
      </c>
      <c r="V3208" s="10">
        <v>127.4</v>
      </c>
      <c r="W3208" s="10" t="s">
        <v>710</v>
      </c>
      <c r="X3208" s="17">
        <v>45746</v>
      </c>
      <c r="Y3208" s="17">
        <v>45747</v>
      </c>
      <c r="Z3208" s="17"/>
      <c r="AA3208" s="207">
        <v>35000</v>
      </c>
      <c r="AB3208" s="9">
        <v>48</v>
      </c>
      <c r="AC3208" s="9">
        <v>5</v>
      </c>
      <c r="AD3208" s="17">
        <v>45930</v>
      </c>
      <c r="AE3208" s="54">
        <v>160</v>
      </c>
      <c r="AF3208" s="54"/>
      <c r="AG3208" s="9" t="s">
        <v>134</v>
      </c>
      <c r="AH3208" s="17">
        <v>45930</v>
      </c>
      <c r="AI3208" s="17"/>
      <c r="AJ3208" s="17"/>
      <c r="AK3208" s="9" t="s">
        <v>847</v>
      </c>
      <c r="AL3208" s="22">
        <v>160</v>
      </c>
      <c r="AM3208" s="22"/>
      <c r="AN3208" s="22" t="s">
        <v>854</v>
      </c>
      <c r="AO3208" s="22"/>
      <c r="AP3208" s="22"/>
      <c r="AQ3208" s="22"/>
      <c r="AR3208" s="22"/>
      <c r="AS3208" s="22"/>
      <c r="AT3208" s="22"/>
      <c r="AU3208" s="22"/>
      <c r="AV3208" s="22"/>
      <c r="AW3208" s="42">
        <v>45930</v>
      </c>
      <c r="AX3208" s="41">
        <v>4829</v>
      </c>
      <c r="AY3208" s="36"/>
      <c r="AZ3208" s="36"/>
      <c r="BA3208" s="40">
        <v>160</v>
      </c>
      <c r="BB3208" s="22"/>
      <c r="BD3208" s="9"/>
      <c r="CT3208" s="22">
        <f t="shared" si="223"/>
        <v>160</v>
      </c>
      <c r="CU3208" s="22">
        <f t="shared" si="224"/>
        <v>0</v>
      </c>
      <c r="CV3208" s="26">
        <f t="shared" si="222"/>
        <v>0</v>
      </c>
    </row>
    <row r="3209" spans="1:100" x14ac:dyDescent="0.2">
      <c r="A3209" s="9" t="s">
        <v>660</v>
      </c>
      <c r="B3209" s="2">
        <v>115</v>
      </c>
      <c r="C3209" s="3" t="s">
        <v>95</v>
      </c>
      <c r="D3209" s="3" t="s">
        <v>96</v>
      </c>
      <c r="E3209" s="2"/>
      <c r="F3209" s="2"/>
      <c r="G3209" s="2" t="s">
        <v>80</v>
      </c>
      <c r="H3209" s="2">
        <v>5</v>
      </c>
      <c r="I3209" s="20">
        <v>127.4</v>
      </c>
      <c r="J3209" s="20">
        <v>56922</v>
      </c>
      <c r="K3209" s="3">
        <v>0</v>
      </c>
      <c r="L3209" s="3" t="s">
        <v>3</v>
      </c>
      <c r="M3209" s="9" t="s">
        <v>0</v>
      </c>
      <c r="N3209" s="30" t="s">
        <v>661</v>
      </c>
      <c r="O3209" s="9" t="s">
        <v>662</v>
      </c>
      <c r="S3209" s="9" t="s">
        <v>158</v>
      </c>
      <c r="T3209" s="10" t="s">
        <v>80</v>
      </c>
      <c r="U3209" s="10">
        <v>5</v>
      </c>
      <c r="V3209" s="10">
        <v>127.4</v>
      </c>
      <c r="W3209" s="10" t="s">
        <v>710</v>
      </c>
      <c r="X3209" s="17">
        <v>45746</v>
      </c>
      <c r="Y3209" s="17">
        <v>45747</v>
      </c>
      <c r="Z3209" s="17"/>
      <c r="AA3209" s="207">
        <v>35000</v>
      </c>
      <c r="AB3209" s="9">
        <v>48</v>
      </c>
      <c r="AC3209" s="9">
        <v>6</v>
      </c>
      <c r="AD3209" s="17">
        <v>45961</v>
      </c>
      <c r="AE3209" s="54">
        <v>160</v>
      </c>
      <c r="AF3209" s="54"/>
      <c r="AL3209" s="9"/>
      <c r="AM3209" s="9"/>
      <c r="AN3209" s="9"/>
      <c r="AO3209" s="22"/>
      <c r="AP3209" s="22"/>
      <c r="AQ3209" s="22"/>
      <c r="AR3209" s="22"/>
      <c r="AS3209" s="22"/>
      <c r="AT3209" s="22"/>
      <c r="AU3209" s="22"/>
      <c r="AV3209" s="22"/>
      <c r="AW3209" s="9"/>
      <c r="BA3209" s="22"/>
      <c r="BB3209" s="22"/>
      <c r="BD3209" s="9"/>
      <c r="CT3209" s="22">
        <f t="shared" si="223"/>
        <v>0</v>
      </c>
      <c r="CU3209" s="22">
        <f t="shared" si="224"/>
        <v>0</v>
      </c>
      <c r="CV3209" s="26">
        <f t="shared" si="222"/>
        <v>160</v>
      </c>
    </row>
    <row r="3210" spans="1:100" x14ac:dyDescent="0.2">
      <c r="A3210" s="9" t="s">
        <v>660</v>
      </c>
      <c r="B3210" s="2">
        <v>115</v>
      </c>
      <c r="C3210" s="3" t="s">
        <v>95</v>
      </c>
      <c r="D3210" s="3" t="s">
        <v>96</v>
      </c>
      <c r="E3210" s="2"/>
      <c r="F3210" s="2"/>
      <c r="G3210" s="2" t="s">
        <v>80</v>
      </c>
      <c r="H3210" s="2">
        <v>5</v>
      </c>
      <c r="I3210" s="20">
        <v>127.4</v>
      </c>
      <c r="J3210" s="20">
        <v>56922</v>
      </c>
      <c r="K3210" s="3">
        <v>0</v>
      </c>
      <c r="L3210" s="3" t="s">
        <v>3</v>
      </c>
      <c r="M3210" s="9" t="s">
        <v>0</v>
      </c>
      <c r="N3210" s="30" t="s">
        <v>661</v>
      </c>
      <c r="O3210" s="9" t="s">
        <v>662</v>
      </c>
      <c r="S3210" s="9" t="s">
        <v>158</v>
      </c>
      <c r="T3210" s="10" t="s">
        <v>80</v>
      </c>
      <c r="U3210" s="10">
        <v>5</v>
      </c>
      <c r="V3210" s="10">
        <v>127.4</v>
      </c>
      <c r="W3210" s="10" t="s">
        <v>710</v>
      </c>
      <c r="X3210" s="17">
        <v>45746</v>
      </c>
      <c r="Y3210" s="17">
        <v>45747</v>
      </c>
      <c r="Z3210" s="17"/>
      <c r="AA3210" s="207">
        <v>35000</v>
      </c>
      <c r="AB3210" s="9">
        <v>48</v>
      </c>
      <c r="AC3210" s="9">
        <v>7</v>
      </c>
      <c r="AD3210" s="17">
        <v>45991</v>
      </c>
      <c r="AE3210" s="54">
        <v>160</v>
      </c>
      <c r="AF3210" s="54"/>
      <c r="AL3210" s="22"/>
      <c r="AM3210" s="22"/>
      <c r="AN3210" s="22"/>
      <c r="AO3210" s="22"/>
      <c r="AP3210" s="22"/>
      <c r="AQ3210" s="22"/>
      <c r="AR3210" s="22"/>
      <c r="AS3210" s="22"/>
      <c r="AT3210" s="22"/>
      <c r="AU3210" s="22"/>
      <c r="AV3210" s="22"/>
      <c r="AW3210" s="9"/>
      <c r="BA3210" s="22"/>
      <c r="BB3210" s="22"/>
      <c r="BD3210" s="9"/>
      <c r="CT3210" s="22">
        <f t="shared" si="223"/>
        <v>0</v>
      </c>
      <c r="CU3210" s="22">
        <f t="shared" si="224"/>
        <v>0</v>
      </c>
      <c r="CV3210" s="26">
        <f t="shared" si="222"/>
        <v>160</v>
      </c>
    </row>
    <row r="3211" spans="1:100" x14ac:dyDescent="0.2">
      <c r="A3211" s="9" t="s">
        <v>660</v>
      </c>
      <c r="B3211" s="2">
        <v>115</v>
      </c>
      <c r="C3211" s="3" t="s">
        <v>95</v>
      </c>
      <c r="D3211" s="3" t="s">
        <v>96</v>
      </c>
      <c r="E3211" s="2"/>
      <c r="F3211" s="2"/>
      <c r="G3211" s="2" t="s">
        <v>80</v>
      </c>
      <c r="H3211" s="2">
        <v>5</v>
      </c>
      <c r="I3211" s="20">
        <v>127.4</v>
      </c>
      <c r="J3211" s="20">
        <v>56922</v>
      </c>
      <c r="K3211" s="3">
        <v>0</v>
      </c>
      <c r="L3211" s="3" t="s">
        <v>3</v>
      </c>
      <c r="M3211" s="9" t="s">
        <v>0</v>
      </c>
      <c r="N3211" s="30" t="s">
        <v>661</v>
      </c>
      <c r="O3211" s="9" t="s">
        <v>662</v>
      </c>
      <c r="S3211" s="9" t="s">
        <v>158</v>
      </c>
      <c r="T3211" s="10" t="s">
        <v>80</v>
      </c>
      <c r="U3211" s="10">
        <v>5</v>
      </c>
      <c r="V3211" s="10">
        <v>127.4</v>
      </c>
      <c r="W3211" s="10" t="s">
        <v>710</v>
      </c>
      <c r="X3211" s="17">
        <v>45746</v>
      </c>
      <c r="Y3211" s="17">
        <v>45747</v>
      </c>
      <c r="Z3211" s="17"/>
      <c r="AA3211" s="207">
        <v>35000</v>
      </c>
      <c r="AB3211" s="9">
        <v>48</v>
      </c>
      <c r="AC3211" s="9">
        <v>8</v>
      </c>
      <c r="AD3211" s="17">
        <v>46022</v>
      </c>
      <c r="AE3211" s="54">
        <v>160</v>
      </c>
      <c r="AF3211" s="54"/>
      <c r="AL3211" s="22"/>
      <c r="AM3211" s="22"/>
      <c r="AN3211" s="22"/>
      <c r="AO3211" s="22"/>
      <c r="AP3211" s="22"/>
      <c r="AQ3211" s="22"/>
      <c r="AR3211" s="22"/>
      <c r="AS3211" s="22"/>
      <c r="AT3211" s="22"/>
      <c r="AU3211" s="22"/>
      <c r="AV3211" s="22"/>
      <c r="AW3211" s="9"/>
      <c r="BA3211" s="22"/>
      <c r="BB3211" s="22"/>
      <c r="BD3211" s="9"/>
      <c r="CT3211" s="22">
        <f t="shared" si="223"/>
        <v>0</v>
      </c>
      <c r="CU3211" s="22">
        <f t="shared" si="224"/>
        <v>0</v>
      </c>
      <c r="CV3211" s="26">
        <f t="shared" si="222"/>
        <v>160</v>
      </c>
    </row>
    <row r="3212" spans="1:100" x14ac:dyDescent="0.2">
      <c r="A3212" s="9" t="s">
        <v>660</v>
      </c>
      <c r="B3212" s="2">
        <v>115</v>
      </c>
      <c r="C3212" s="3" t="s">
        <v>95</v>
      </c>
      <c r="D3212" s="3" t="s">
        <v>96</v>
      </c>
      <c r="E3212" s="2"/>
      <c r="F3212" s="2"/>
      <c r="G3212" s="2" t="s">
        <v>80</v>
      </c>
      <c r="H3212" s="2">
        <v>5</v>
      </c>
      <c r="I3212" s="20">
        <v>127.4</v>
      </c>
      <c r="J3212" s="20">
        <v>56922</v>
      </c>
      <c r="K3212" s="3">
        <v>0</v>
      </c>
      <c r="L3212" s="3" t="s">
        <v>3</v>
      </c>
      <c r="M3212" s="9" t="s">
        <v>0</v>
      </c>
      <c r="N3212" s="30" t="s">
        <v>661</v>
      </c>
      <c r="O3212" s="9" t="s">
        <v>662</v>
      </c>
      <c r="S3212" s="9" t="s">
        <v>158</v>
      </c>
      <c r="T3212" s="10" t="s">
        <v>80</v>
      </c>
      <c r="U3212" s="10">
        <v>5</v>
      </c>
      <c r="V3212" s="10">
        <v>127.4</v>
      </c>
      <c r="W3212" s="10" t="s">
        <v>710</v>
      </c>
      <c r="X3212" s="17">
        <v>45746</v>
      </c>
      <c r="Y3212" s="17">
        <v>45747</v>
      </c>
      <c r="Z3212" s="17"/>
      <c r="AA3212" s="207">
        <v>35000</v>
      </c>
      <c r="AB3212" s="9">
        <v>48</v>
      </c>
      <c r="AC3212" s="9">
        <v>9</v>
      </c>
      <c r="AD3212" s="17">
        <v>46053</v>
      </c>
      <c r="AE3212" s="54">
        <v>160</v>
      </c>
      <c r="AF3212" s="54"/>
      <c r="AL3212" s="22"/>
      <c r="AM3212" s="22"/>
      <c r="AN3212" s="22"/>
      <c r="AO3212" s="22"/>
      <c r="AP3212" s="22"/>
      <c r="AQ3212" s="22"/>
      <c r="AR3212" s="22"/>
      <c r="AS3212" s="22"/>
      <c r="AT3212" s="22"/>
      <c r="AU3212" s="22"/>
      <c r="AV3212" s="22"/>
      <c r="AW3212" s="17"/>
      <c r="AX3212" s="86"/>
      <c r="BA3212" s="22"/>
      <c r="BB3212" s="22"/>
      <c r="BD3212" s="9"/>
      <c r="CT3212" s="22">
        <f t="shared" si="223"/>
        <v>0</v>
      </c>
      <c r="CU3212" s="22">
        <f t="shared" si="224"/>
        <v>0</v>
      </c>
      <c r="CV3212" s="26">
        <f t="shared" si="222"/>
        <v>160</v>
      </c>
    </row>
    <row r="3213" spans="1:100" x14ac:dyDescent="0.2">
      <c r="A3213" s="9" t="s">
        <v>660</v>
      </c>
      <c r="B3213" s="2">
        <v>115</v>
      </c>
      <c r="C3213" s="3" t="s">
        <v>95</v>
      </c>
      <c r="D3213" s="3" t="s">
        <v>96</v>
      </c>
      <c r="E3213" s="2"/>
      <c r="F3213" s="2"/>
      <c r="G3213" s="2" t="s">
        <v>80</v>
      </c>
      <c r="H3213" s="2">
        <v>5</v>
      </c>
      <c r="I3213" s="20">
        <v>127.4</v>
      </c>
      <c r="J3213" s="20">
        <v>56922</v>
      </c>
      <c r="K3213" s="3">
        <v>0</v>
      </c>
      <c r="L3213" s="3" t="s">
        <v>3</v>
      </c>
      <c r="M3213" s="9" t="s">
        <v>0</v>
      </c>
      <c r="N3213" s="30" t="s">
        <v>661</v>
      </c>
      <c r="O3213" s="9" t="s">
        <v>662</v>
      </c>
      <c r="S3213" s="9" t="s">
        <v>158</v>
      </c>
      <c r="T3213" s="10" t="s">
        <v>80</v>
      </c>
      <c r="U3213" s="10">
        <v>5</v>
      </c>
      <c r="V3213" s="10">
        <v>127.4</v>
      </c>
      <c r="W3213" s="10" t="s">
        <v>710</v>
      </c>
      <c r="X3213" s="17">
        <v>45746</v>
      </c>
      <c r="Y3213" s="17">
        <v>45747</v>
      </c>
      <c r="Z3213" s="17"/>
      <c r="AA3213" s="207">
        <v>35000</v>
      </c>
      <c r="AB3213" s="9">
        <v>48</v>
      </c>
      <c r="AC3213" s="9">
        <v>10</v>
      </c>
      <c r="AD3213" s="17">
        <v>46081</v>
      </c>
      <c r="AE3213" s="54">
        <v>160</v>
      </c>
      <c r="AF3213" s="54"/>
      <c r="AL3213" s="22"/>
      <c r="AM3213" s="22"/>
      <c r="AN3213" s="22"/>
      <c r="AO3213" s="22"/>
      <c r="AP3213" s="22"/>
      <c r="AQ3213" s="22"/>
      <c r="AR3213" s="22"/>
      <c r="AS3213" s="22"/>
      <c r="AT3213" s="22"/>
      <c r="AU3213" s="22"/>
      <c r="AV3213" s="22"/>
      <c r="AW3213" s="9"/>
      <c r="BA3213" s="22"/>
      <c r="BB3213" s="22"/>
      <c r="BD3213" s="9"/>
      <c r="CT3213" s="22">
        <f t="shared" si="223"/>
        <v>0</v>
      </c>
      <c r="CU3213" s="22">
        <f t="shared" si="224"/>
        <v>0</v>
      </c>
      <c r="CV3213" s="26">
        <f t="shared" si="222"/>
        <v>160</v>
      </c>
    </row>
    <row r="3214" spans="1:100" x14ac:dyDescent="0.2">
      <c r="A3214" s="9" t="s">
        <v>660</v>
      </c>
      <c r="B3214" s="2">
        <v>115</v>
      </c>
      <c r="C3214" s="3" t="s">
        <v>95</v>
      </c>
      <c r="D3214" s="3" t="s">
        <v>96</v>
      </c>
      <c r="E3214" s="2"/>
      <c r="F3214" s="2"/>
      <c r="G3214" s="2" t="s">
        <v>80</v>
      </c>
      <c r="H3214" s="2">
        <v>5</v>
      </c>
      <c r="I3214" s="20">
        <v>127.4</v>
      </c>
      <c r="J3214" s="20">
        <v>56922</v>
      </c>
      <c r="K3214" s="3">
        <v>0</v>
      </c>
      <c r="L3214" s="3" t="s">
        <v>3</v>
      </c>
      <c r="M3214" s="9" t="s">
        <v>0</v>
      </c>
      <c r="N3214" s="30" t="s">
        <v>661</v>
      </c>
      <c r="O3214" s="9" t="s">
        <v>662</v>
      </c>
      <c r="S3214" s="9" t="s">
        <v>158</v>
      </c>
      <c r="T3214" s="10" t="s">
        <v>80</v>
      </c>
      <c r="U3214" s="10">
        <v>5</v>
      </c>
      <c r="V3214" s="10">
        <v>127.4</v>
      </c>
      <c r="W3214" s="10" t="s">
        <v>710</v>
      </c>
      <c r="X3214" s="17">
        <v>45746</v>
      </c>
      <c r="Y3214" s="17">
        <v>45747</v>
      </c>
      <c r="Z3214" s="17"/>
      <c r="AA3214" s="207">
        <v>35000</v>
      </c>
      <c r="AB3214" s="9">
        <v>48</v>
      </c>
      <c r="AC3214" s="9">
        <v>11</v>
      </c>
      <c r="AD3214" s="17">
        <v>46112</v>
      </c>
      <c r="AE3214" s="54">
        <v>160</v>
      </c>
      <c r="AF3214" s="54"/>
      <c r="AL3214" s="22"/>
      <c r="AM3214" s="22"/>
      <c r="AN3214" s="22"/>
      <c r="AO3214" s="22"/>
      <c r="AP3214" s="22"/>
      <c r="AQ3214" s="22"/>
      <c r="AR3214" s="22"/>
      <c r="AS3214" s="22"/>
      <c r="AT3214" s="22"/>
      <c r="AU3214" s="22"/>
      <c r="AV3214" s="22"/>
      <c r="AW3214" s="9"/>
      <c r="BA3214" s="22"/>
      <c r="BB3214" s="22"/>
      <c r="BD3214" s="9"/>
      <c r="CT3214" s="22">
        <f t="shared" si="223"/>
        <v>0</v>
      </c>
      <c r="CU3214" s="22">
        <f t="shared" si="224"/>
        <v>0</v>
      </c>
      <c r="CV3214" s="26">
        <f t="shared" si="222"/>
        <v>160</v>
      </c>
    </row>
    <row r="3215" spans="1:100" x14ac:dyDescent="0.2">
      <c r="A3215" s="9" t="s">
        <v>660</v>
      </c>
      <c r="B3215" s="2">
        <v>115</v>
      </c>
      <c r="C3215" s="3" t="s">
        <v>95</v>
      </c>
      <c r="D3215" s="3" t="s">
        <v>96</v>
      </c>
      <c r="E3215" s="2"/>
      <c r="F3215" s="2"/>
      <c r="G3215" s="2" t="s">
        <v>80</v>
      </c>
      <c r="H3215" s="2">
        <v>5</v>
      </c>
      <c r="I3215" s="20">
        <v>127.4</v>
      </c>
      <c r="J3215" s="20">
        <v>56922</v>
      </c>
      <c r="K3215" s="3">
        <v>0</v>
      </c>
      <c r="L3215" s="3" t="s">
        <v>3</v>
      </c>
      <c r="M3215" s="9" t="s">
        <v>0</v>
      </c>
      <c r="N3215" s="30" t="s">
        <v>661</v>
      </c>
      <c r="O3215" s="9" t="s">
        <v>662</v>
      </c>
      <c r="S3215" s="9" t="s">
        <v>158</v>
      </c>
      <c r="T3215" s="10" t="s">
        <v>80</v>
      </c>
      <c r="U3215" s="10">
        <v>5</v>
      </c>
      <c r="V3215" s="10">
        <v>127.4</v>
      </c>
      <c r="W3215" s="10" t="s">
        <v>710</v>
      </c>
      <c r="X3215" s="17">
        <v>45746</v>
      </c>
      <c r="Y3215" s="17">
        <v>45747</v>
      </c>
      <c r="Z3215" s="17"/>
      <c r="AA3215" s="207">
        <v>35000</v>
      </c>
      <c r="AB3215" s="9">
        <v>48</v>
      </c>
      <c r="AC3215" s="9">
        <v>12</v>
      </c>
      <c r="AD3215" s="17">
        <v>46142</v>
      </c>
      <c r="AE3215" s="54">
        <v>160</v>
      </c>
      <c r="AF3215" s="54"/>
      <c r="AL3215" s="22"/>
      <c r="AM3215" s="22"/>
      <c r="AN3215" s="22"/>
      <c r="AO3215" s="22"/>
      <c r="AP3215" s="22"/>
      <c r="AQ3215" s="22"/>
      <c r="AR3215" s="22"/>
      <c r="AS3215" s="22"/>
      <c r="AT3215" s="22"/>
      <c r="AU3215" s="22"/>
      <c r="AV3215" s="22"/>
      <c r="AW3215" s="9"/>
      <c r="BA3215" s="22"/>
      <c r="BB3215" s="22"/>
      <c r="BD3215" s="9"/>
      <c r="CT3215" s="22">
        <f t="shared" si="223"/>
        <v>0</v>
      </c>
      <c r="CU3215" s="22">
        <f t="shared" si="224"/>
        <v>0</v>
      </c>
      <c r="CV3215" s="26">
        <f t="shared" si="222"/>
        <v>160</v>
      </c>
    </row>
    <row r="3216" spans="1:100" x14ac:dyDescent="0.2">
      <c r="A3216" s="9" t="s">
        <v>660</v>
      </c>
      <c r="B3216" s="2">
        <v>115</v>
      </c>
      <c r="C3216" s="3" t="s">
        <v>95</v>
      </c>
      <c r="D3216" s="3" t="s">
        <v>96</v>
      </c>
      <c r="E3216" s="2"/>
      <c r="F3216" s="2"/>
      <c r="G3216" s="2" t="s">
        <v>80</v>
      </c>
      <c r="H3216" s="2">
        <v>5</v>
      </c>
      <c r="I3216" s="20">
        <v>127.4</v>
      </c>
      <c r="J3216" s="20">
        <v>56922</v>
      </c>
      <c r="K3216" s="3">
        <v>0</v>
      </c>
      <c r="L3216" s="3" t="s">
        <v>3</v>
      </c>
      <c r="M3216" s="9" t="s">
        <v>0</v>
      </c>
      <c r="N3216" s="30" t="s">
        <v>661</v>
      </c>
      <c r="O3216" s="9" t="s">
        <v>662</v>
      </c>
      <c r="S3216" s="9" t="s">
        <v>158</v>
      </c>
      <c r="T3216" s="10" t="s">
        <v>80</v>
      </c>
      <c r="U3216" s="10">
        <v>5</v>
      </c>
      <c r="V3216" s="10">
        <v>127.4</v>
      </c>
      <c r="W3216" s="10" t="s">
        <v>710</v>
      </c>
      <c r="X3216" s="17">
        <v>45746</v>
      </c>
      <c r="Y3216" s="17">
        <v>45747</v>
      </c>
      <c r="Z3216" s="17"/>
      <c r="AA3216" s="207">
        <v>35000</v>
      </c>
      <c r="AB3216" s="9">
        <v>48</v>
      </c>
      <c r="AC3216" s="9">
        <v>13</v>
      </c>
      <c r="AD3216" s="17">
        <v>46173</v>
      </c>
      <c r="AE3216" s="54">
        <v>160</v>
      </c>
      <c r="AF3216" s="54"/>
      <c r="AL3216" s="22"/>
      <c r="AM3216" s="22"/>
      <c r="AN3216" s="22"/>
      <c r="AO3216" s="22"/>
      <c r="AP3216" s="22"/>
      <c r="AQ3216" s="22"/>
      <c r="AR3216" s="22"/>
      <c r="AS3216" s="22"/>
      <c r="AT3216" s="22"/>
      <c r="AU3216" s="22"/>
      <c r="AV3216" s="22"/>
      <c r="AW3216" s="9"/>
      <c r="BA3216" s="22"/>
      <c r="BB3216" s="22"/>
      <c r="BD3216" s="9"/>
      <c r="CT3216" s="22">
        <f t="shared" si="223"/>
        <v>0</v>
      </c>
      <c r="CU3216" s="22">
        <f t="shared" si="224"/>
        <v>0</v>
      </c>
      <c r="CV3216" s="26">
        <f t="shared" si="222"/>
        <v>160</v>
      </c>
    </row>
    <row r="3217" spans="1:100" x14ac:dyDescent="0.2">
      <c r="A3217" s="9" t="s">
        <v>660</v>
      </c>
      <c r="B3217" s="2">
        <v>115</v>
      </c>
      <c r="C3217" s="3" t="s">
        <v>95</v>
      </c>
      <c r="D3217" s="3" t="s">
        <v>96</v>
      </c>
      <c r="E3217" s="2"/>
      <c r="F3217" s="2"/>
      <c r="G3217" s="2" t="s">
        <v>80</v>
      </c>
      <c r="H3217" s="2">
        <v>5</v>
      </c>
      <c r="I3217" s="20">
        <v>127.4</v>
      </c>
      <c r="J3217" s="20">
        <v>56922</v>
      </c>
      <c r="K3217" s="3">
        <v>0</v>
      </c>
      <c r="L3217" s="3" t="s">
        <v>3</v>
      </c>
      <c r="M3217" s="9" t="s">
        <v>0</v>
      </c>
      <c r="N3217" s="30" t="s">
        <v>661</v>
      </c>
      <c r="O3217" s="9" t="s">
        <v>662</v>
      </c>
      <c r="S3217" s="9" t="s">
        <v>158</v>
      </c>
      <c r="T3217" s="10" t="s">
        <v>80</v>
      </c>
      <c r="U3217" s="10">
        <v>5</v>
      </c>
      <c r="V3217" s="10">
        <v>127.4</v>
      </c>
      <c r="W3217" s="10" t="s">
        <v>710</v>
      </c>
      <c r="X3217" s="17">
        <v>45746</v>
      </c>
      <c r="Y3217" s="17">
        <v>45747</v>
      </c>
      <c r="Z3217" s="17"/>
      <c r="AA3217" s="207">
        <v>35000</v>
      </c>
      <c r="AB3217" s="9">
        <v>48</v>
      </c>
      <c r="AC3217" s="9">
        <v>14</v>
      </c>
      <c r="AD3217" s="17">
        <v>46203</v>
      </c>
      <c r="AE3217" s="54">
        <v>160</v>
      </c>
      <c r="AF3217" s="54"/>
      <c r="AL3217" s="22"/>
      <c r="AM3217" s="22"/>
      <c r="AN3217" s="22"/>
      <c r="AO3217" s="22"/>
      <c r="AP3217" s="22"/>
      <c r="AQ3217" s="22"/>
      <c r="AR3217" s="22"/>
      <c r="AS3217" s="22"/>
      <c r="AT3217" s="22"/>
      <c r="AU3217" s="22"/>
      <c r="AV3217" s="22"/>
      <c r="AW3217" s="9"/>
      <c r="BA3217" s="22"/>
      <c r="BB3217" s="22"/>
      <c r="BD3217" s="9"/>
      <c r="CT3217" s="22">
        <f t="shared" si="223"/>
        <v>0</v>
      </c>
      <c r="CU3217" s="22">
        <f t="shared" si="224"/>
        <v>0</v>
      </c>
      <c r="CV3217" s="26">
        <f t="shared" si="222"/>
        <v>160</v>
      </c>
    </row>
    <row r="3218" spans="1:100" x14ac:dyDescent="0.2">
      <c r="A3218" s="9" t="s">
        <v>660</v>
      </c>
      <c r="B3218" s="2">
        <v>115</v>
      </c>
      <c r="C3218" s="3" t="s">
        <v>95</v>
      </c>
      <c r="D3218" s="3" t="s">
        <v>96</v>
      </c>
      <c r="E3218" s="2"/>
      <c r="F3218" s="2"/>
      <c r="G3218" s="2" t="s">
        <v>80</v>
      </c>
      <c r="H3218" s="2">
        <v>5</v>
      </c>
      <c r="I3218" s="20">
        <v>127.4</v>
      </c>
      <c r="J3218" s="20">
        <v>56922</v>
      </c>
      <c r="K3218" s="3">
        <v>0</v>
      </c>
      <c r="L3218" s="3" t="s">
        <v>3</v>
      </c>
      <c r="M3218" s="9" t="s">
        <v>0</v>
      </c>
      <c r="N3218" s="30" t="s">
        <v>661</v>
      </c>
      <c r="O3218" s="9" t="s">
        <v>662</v>
      </c>
      <c r="S3218" s="9" t="s">
        <v>158</v>
      </c>
      <c r="T3218" s="10" t="s">
        <v>80</v>
      </c>
      <c r="U3218" s="10">
        <v>5</v>
      </c>
      <c r="V3218" s="10">
        <v>127.4</v>
      </c>
      <c r="W3218" s="10" t="s">
        <v>710</v>
      </c>
      <c r="X3218" s="17">
        <v>45746</v>
      </c>
      <c r="Y3218" s="17">
        <v>45747</v>
      </c>
      <c r="Z3218" s="17"/>
      <c r="AA3218" s="207">
        <v>35000</v>
      </c>
      <c r="AB3218" s="9">
        <v>48</v>
      </c>
      <c r="AC3218" s="9">
        <v>15</v>
      </c>
      <c r="AD3218" s="17">
        <v>46234</v>
      </c>
      <c r="AE3218" s="54">
        <v>160</v>
      </c>
      <c r="AF3218" s="54"/>
      <c r="AL3218" s="22"/>
      <c r="AM3218" s="22"/>
      <c r="AN3218" s="22"/>
      <c r="AO3218" s="22"/>
      <c r="AP3218" s="22"/>
      <c r="AQ3218" s="22"/>
      <c r="AR3218" s="22"/>
      <c r="AS3218" s="22"/>
      <c r="AT3218" s="22"/>
      <c r="AU3218" s="22"/>
      <c r="AV3218" s="22"/>
      <c r="AW3218" s="9"/>
      <c r="BA3218" s="22"/>
      <c r="BB3218" s="22"/>
      <c r="BD3218" s="9"/>
      <c r="CT3218" s="22">
        <f t="shared" si="223"/>
        <v>0</v>
      </c>
      <c r="CU3218" s="22">
        <f t="shared" si="224"/>
        <v>0</v>
      </c>
      <c r="CV3218" s="26">
        <f t="shared" si="222"/>
        <v>160</v>
      </c>
    </row>
    <row r="3219" spans="1:100" x14ac:dyDescent="0.2">
      <c r="A3219" s="9" t="s">
        <v>660</v>
      </c>
      <c r="B3219" s="2">
        <v>115</v>
      </c>
      <c r="C3219" s="3" t="s">
        <v>95</v>
      </c>
      <c r="D3219" s="3" t="s">
        <v>96</v>
      </c>
      <c r="E3219" s="2"/>
      <c r="F3219" s="2"/>
      <c r="G3219" s="2" t="s">
        <v>80</v>
      </c>
      <c r="H3219" s="2">
        <v>5</v>
      </c>
      <c r="I3219" s="20">
        <v>127.4</v>
      </c>
      <c r="J3219" s="20">
        <v>56922</v>
      </c>
      <c r="K3219" s="3">
        <v>0</v>
      </c>
      <c r="L3219" s="3" t="s">
        <v>3</v>
      </c>
      <c r="M3219" s="9" t="s">
        <v>0</v>
      </c>
      <c r="N3219" s="30" t="s">
        <v>661</v>
      </c>
      <c r="O3219" s="9" t="s">
        <v>662</v>
      </c>
      <c r="S3219" s="9" t="s">
        <v>158</v>
      </c>
      <c r="T3219" s="10" t="s">
        <v>80</v>
      </c>
      <c r="U3219" s="10">
        <v>5</v>
      </c>
      <c r="V3219" s="10">
        <v>127.4</v>
      </c>
      <c r="W3219" s="10" t="s">
        <v>710</v>
      </c>
      <c r="X3219" s="17">
        <v>45746</v>
      </c>
      <c r="Y3219" s="17">
        <v>45747</v>
      </c>
      <c r="Z3219" s="17"/>
      <c r="AA3219" s="207">
        <v>35000</v>
      </c>
      <c r="AB3219" s="9">
        <v>48</v>
      </c>
      <c r="AC3219" s="9">
        <v>16</v>
      </c>
      <c r="AD3219" s="17">
        <v>46265</v>
      </c>
      <c r="AE3219" s="54">
        <v>160</v>
      </c>
      <c r="AF3219" s="54"/>
      <c r="AL3219" s="22"/>
      <c r="AM3219" s="22"/>
      <c r="AN3219" s="22"/>
      <c r="AO3219" s="22"/>
      <c r="AP3219" s="22"/>
      <c r="AQ3219" s="22"/>
      <c r="AR3219" s="22"/>
      <c r="AS3219" s="22"/>
      <c r="AT3219" s="22"/>
      <c r="AU3219" s="22"/>
      <c r="AV3219" s="22"/>
      <c r="AW3219" s="9"/>
      <c r="BA3219" s="22"/>
      <c r="BB3219" s="22"/>
      <c r="BD3219" s="9"/>
      <c r="CT3219" s="22">
        <f t="shared" si="223"/>
        <v>0</v>
      </c>
      <c r="CU3219" s="22">
        <f t="shared" si="224"/>
        <v>0</v>
      </c>
      <c r="CV3219" s="26">
        <f t="shared" si="222"/>
        <v>160</v>
      </c>
    </row>
    <row r="3220" spans="1:100" x14ac:dyDescent="0.2">
      <c r="A3220" s="9" t="s">
        <v>660</v>
      </c>
      <c r="B3220" s="2">
        <v>115</v>
      </c>
      <c r="C3220" s="3" t="s">
        <v>95</v>
      </c>
      <c r="D3220" s="3" t="s">
        <v>96</v>
      </c>
      <c r="E3220" s="2"/>
      <c r="F3220" s="2"/>
      <c r="G3220" s="2" t="s">
        <v>80</v>
      </c>
      <c r="H3220" s="2">
        <v>5</v>
      </c>
      <c r="I3220" s="20">
        <v>127.4</v>
      </c>
      <c r="J3220" s="20">
        <v>56922</v>
      </c>
      <c r="K3220" s="3">
        <v>0</v>
      </c>
      <c r="L3220" s="3" t="s">
        <v>3</v>
      </c>
      <c r="M3220" s="9" t="s">
        <v>0</v>
      </c>
      <c r="N3220" s="30" t="s">
        <v>661</v>
      </c>
      <c r="O3220" s="9" t="s">
        <v>662</v>
      </c>
      <c r="S3220" s="9" t="s">
        <v>158</v>
      </c>
      <c r="T3220" s="10" t="s">
        <v>80</v>
      </c>
      <c r="U3220" s="10">
        <v>5</v>
      </c>
      <c r="V3220" s="10">
        <v>127.4</v>
      </c>
      <c r="W3220" s="10" t="s">
        <v>710</v>
      </c>
      <c r="X3220" s="17">
        <v>45746</v>
      </c>
      <c r="Y3220" s="17">
        <v>45747</v>
      </c>
      <c r="Z3220" s="17"/>
      <c r="AA3220" s="207">
        <v>35000</v>
      </c>
      <c r="AB3220" s="9">
        <v>48</v>
      </c>
      <c r="AC3220" s="9">
        <v>17</v>
      </c>
      <c r="AD3220" s="17">
        <v>46295</v>
      </c>
      <c r="AE3220" s="54">
        <v>160</v>
      </c>
      <c r="AF3220" s="54"/>
      <c r="AL3220" s="22"/>
      <c r="AM3220" s="22"/>
      <c r="AN3220" s="22"/>
      <c r="AO3220" s="22"/>
      <c r="AP3220" s="22"/>
      <c r="AQ3220" s="22"/>
      <c r="AR3220" s="22"/>
      <c r="AS3220" s="22"/>
      <c r="AT3220" s="22"/>
      <c r="AU3220" s="22"/>
      <c r="AV3220" s="22"/>
      <c r="AW3220" s="9"/>
      <c r="BA3220" s="22"/>
      <c r="BB3220" s="22"/>
      <c r="BD3220" s="9"/>
      <c r="CT3220" s="22">
        <f t="shared" si="223"/>
        <v>0</v>
      </c>
      <c r="CU3220" s="22">
        <f t="shared" si="224"/>
        <v>0</v>
      </c>
      <c r="CV3220" s="26">
        <f t="shared" si="222"/>
        <v>160</v>
      </c>
    </row>
    <row r="3221" spans="1:100" x14ac:dyDescent="0.2">
      <c r="A3221" s="9" t="s">
        <v>660</v>
      </c>
      <c r="B3221" s="2">
        <v>115</v>
      </c>
      <c r="C3221" s="3" t="s">
        <v>95</v>
      </c>
      <c r="D3221" s="3" t="s">
        <v>96</v>
      </c>
      <c r="E3221" s="2"/>
      <c r="F3221" s="2"/>
      <c r="G3221" s="2" t="s">
        <v>80</v>
      </c>
      <c r="H3221" s="2">
        <v>5</v>
      </c>
      <c r="I3221" s="20">
        <v>127.4</v>
      </c>
      <c r="J3221" s="20">
        <v>56922</v>
      </c>
      <c r="K3221" s="3">
        <v>0</v>
      </c>
      <c r="L3221" s="3" t="s">
        <v>3</v>
      </c>
      <c r="M3221" s="9" t="s">
        <v>0</v>
      </c>
      <c r="N3221" s="30" t="s">
        <v>661</v>
      </c>
      <c r="O3221" s="9" t="s">
        <v>662</v>
      </c>
      <c r="S3221" s="9" t="s">
        <v>158</v>
      </c>
      <c r="T3221" s="10" t="s">
        <v>80</v>
      </c>
      <c r="U3221" s="10">
        <v>5</v>
      </c>
      <c r="V3221" s="10">
        <v>127.4</v>
      </c>
      <c r="W3221" s="10" t="s">
        <v>710</v>
      </c>
      <c r="X3221" s="17">
        <v>45746</v>
      </c>
      <c r="Y3221" s="17">
        <v>45747</v>
      </c>
      <c r="Z3221" s="17"/>
      <c r="AA3221" s="207">
        <v>35000</v>
      </c>
      <c r="AB3221" s="9">
        <v>48</v>
      </c>
      <c r="AC3221" s="9">
        <v>18</v>
      </c>
      <c r="AD3221" s="17">
        <v>46326</v>
      </c>
      <c r="AE3221" s="54">
        <v>160</v>
      </c>
      <c r="AF3221" s="54"/>
      <c r="AH3221" s="17"/>
      <c r="AI3221" s="17"/>
      <c r="AJ3221" s="17"/>
      <c r="AL3221" s="22"/>
      <c r="AM3221" s="22"/>
      <c r="AN3221" s="22"/>
      <c r="AO3221" s="22"/>
      <c r="AP3221" s="22"/>
      <c r="AQ3221" s="22"/>
      <c r="AR3221" s="22"/>
      <c r="AS3221" s="22"/>
      <c r="AT3221" s="22"/>
      <c r="AU3221" s="22"/>
      <c r="AV3221" s="22"/>
      <c r="AW3221" s="9"/>
      <c r="BA3221" s="22"/>
      <c r="BB3221" s="22"/>
      <c r="BD3221" s="9"/>
      <c r="CT3221" s="22">
        <f t="shared" si="223"/>
        <v>0</v>
      </c>
      <c r="CU3221" s="22">
        <f t="shared" si="224"/>
        <v>0</v>
      </c>
      <c r="CV3221" s="26">
        <f t="shared" si="222"/>
        <v>160</v>
      </c>
    </row>
    <row r="3222" spans="1:100" x14ac:dyDescent="0.2">
      <c r="A3222" s="9" t="s">
        <v>660</v>
      </c>
      <c r="B3222" s="2">
        <v>115</v>
      </c>
      <c r="C3222" s="3" t="s">
        <v>95</v>
      </c>
      <c r="D3222" s="3" t="s">
        <v>96</v>
      </c>
      <c r="E3222" s="2"/>
      <c r="F3222" s="2"/>
      <c r="G3222" s="2" t="s">
        <v>80</v>
      </c>
      <c r="H3222" s="2">
        <v>5</v>
      </c>
      <c r="I3222" s="20">
        <v>127.4</v>
      </c>
      <c r="J3222" s="20">
        <v>56922</v>
      </c>
      <c r="K3222" s="3">
        <v>0</v>
      </c>
      <c r="L3222" s="3" t="s">
        <v>3</v>
      </c>
      <c r="M3222" s="9" t="s">
        <v>0</v>
      </c>
      <c r="N3222" s="30" t="s">
        <v>661</v>
      </c>
      <c r="O3222" s="9" t="s">
        <v>662</v>
      </c>
      <c r="S3222" s="9" t="s">
        <v>158</v>
      </c>
      <c r="T3222" s="10" t="s">
        <v>80</v>
      </c>
      <c r="U3222" s="10">
        <v>5</v>
      </c>
      <c r="V3222" s="10">
        <v>127.4</v>
      </c>
      <c r="W3222" s="10" t="s">
        <v>710</v>
      </c>
      <c r="X3222" s="17">
        <v>45746</v>
      </c>
      <c r="Y3222" s="17">
        <v>45747</v>
      </c>
      <c r="Z3222" s="17"/>
      <c r="AA3222" s="207">
        <v>35000</v>
      </c>
      <c r="AB3222" s="9">
        <v>48</v>
      </c>
      <c r="AC3222" s="9">
        <v>19</v>
      </c>
      <c r="AD3222" s="17">
        <v>46356</v>
      </c>
      <c r="AE3222" s="54">
        <v>160</v>
      </c>
      <c r="AF3222" s="54"/>
      <c r="AL3222" s="22"/>
      <c r="AM3222" s="22"/>
      <c r="AN3222" s="22"/>
      <c r="AO3222" s="22"/>
      <c r="AP3222" s="22"/>
      <c r="AQ3222" s="22"/>
      <c r="AR3222" s="22"/>
      <c r="AS3222" s="22"/>
      <c r="AT3222" s="22"/>
      <c r="AU3222" s="22"/>
      <c r="AV3222" s="22"/>
      <c r="AW3222" s="9"/>
      <c r="BA3222" s="22"/>
      <c r="BB3222" s="22"/>
      <c r="BD3222" s="9"/>
      <c r="CT3222" s="22">
        <f t="shared" si="223"/>
        <v>0</v>
      </c>
      <c r="CU3222" s="22">
        <f t="shared" si="224"/>
        <v>0</v>
      </c>
      <c r="CV3222" s="26">
        <f t="shared" si="222"/>
        <v>160</v>
      </c>
    </row>
    <row r="3223" spans="1:100" x14ac:dyDescent="0.2">
      <c r="A3223" s="9" t="s">
        <v>660</v>
      </c>
      <c r="B3223" s="2">
        <v>115</v>
      </c>
      <c r="C3223" s="3" t="s">
        <v>95</v>
      </c>
      <c r="D3223" s="3" t="s">
        <v>96</v>
      </c>
      <c r="E3223" s="2"/>
      <c r="F3223" s="2"/>
      <c r="G3223" s="2" t="s">
        <v>80</v>
      </c>
      <c r="H3223" s="2">
        <v>5</v>
      </c>
      <c r="I3223" s="20">
        <v>127.4</v>
      </c>
      <c r="J3223" s="20">
        <v>56922</v>
      </c>
      <c r="K3223" s="3">
        <v>0</v>
      </c>
      <c r="L3223" s="3" t="s">
        <v>3</v>
      </c>
      <c r="M3223" s="9" t="s">
        <v>0</v>
      </c>
      <c r="N3223" s="30" t="s">
        <v>661</v>
      </c>
      <c r="O3223" s="9" t="s">
        <v>662</v>
      </c>
      <c r="S3223" s="9" t="s">
        <v>158</v>
      </c>
      <c r="T3223" s="10" t="s">
        <v>80</v>
      </c>
      <c r="U3223" s="10">
        <v>5</v>
      </c>
      <c r="V3223" s="10">
        <v>127.4</v>
      </c>
      <c r="W3223" s="10" t="s">
        <v>710</v>
      </c>
      <c r="X3223" s="17">
        <v>45746</v>
      </c>
      <c r="Y3223" s="17">
        <v>45747</v>
      </c>
      <c r="Z3223" s="17"/>
      <c r="AA3223" s="207">
        <v>35000</v>
      </c>
      <c r="AB3223" s="9">
        <v>48</v>
      </c>
      <c r="AC3223" s="9">
        <v>20</v>
      </c>
      <c r="AD3223" s="17">
        <v>46387</v>
      </c>
      <c r="AE3223" s="54">
        <v>160</v>
      </c>
      <c r="AF3223" s="54"/>
      <c r="AL3223" s="22"/>
      <c r="AM3223" s="22"/>
      <c r="AN3223" s="22"/>
      <c r="AO3223" s="22"/>
      <c r="AP3223" s="22"/>
      <c r="AQ3223" s="22"/>
      <c r="AR3223" s="22"/>
      <c r="AS3223" s="22"/>
      <c r="AT3223" s="22"/>
      <c r="AU3223" s="22"/>
      <c r="AV3223" s="22"/>
      <c r="AW3223" s="9"/>
      <c r="BA3223" s="22"/>
      <c r="BB3223" s="22"/>
      <c r="BD3223" s="9"/>
      <c r="CT3223" s="22">
        <f t="shared" si="223"/>
        <v>0</v>
      </c>
      <c r="CU3223" s="22">
        <f t="shared" si="224"/>
        <v>0</v>
      </c>
      <c r="CV3223" s="26">
        <f t="shared" si="222"/>
        <v>160</v>
      </c>
    </row>
    <row r="3224" spans="1:100" x14ac:dyDescent="0.2">
      <c r="A3224" s="9" t="s">
        <v>660</v>
      </c>
      <c r="B3224" s="2">
        <v>115</v>
      </c>
      <c r="C3224" s="3" t="s">
        <v>95</v>
      </c>
      <c r="D3224" s="3" t="s">
        <v>96</v>
      </c>
      <c r="E3224" s="2"/>
      <c r="F3224" s="2"/>
      <c r="G3224" s="2" t="s">
        <v>80</v>
      </c>
      <c r="H3224" s="2">
        <v>5</v>
      </c>
      <c r="I3224" s="20">
        <v>127.4</v>
      </c>
      <c r="J3224" s="20">
        <v>56922</v>
      </c>
      <c r="K3224" s="3">
        <v>0</v>
      </c>
      <c r="L3224" s="3" t="s">
        <v>3</v>
      </c>
      <c r="M3224" s="9" t="s">
        <v>0</v>
      </c>
      <c r="N3224" s="30" t="s">
        <v>661</v>
      </c>
      <c r="O3224" s="9" t="s">
        <v>662</v>
      </c>
      <c r="S3224" s="9" t="s">
        <v>158</v>
      </c>
      <c r="T3224" s="10" t="s">
        <v>80</v>
      </c>
      <c r="U3224" s="10">
        <v>5</v>
      </c>
      <c r="V3224" s="10">
        <v>127.4</v>
      </c>
      <c r="W3224" s="10" t="s">
        <v>710</v>
      </c>
      <c r="X3224" s="17">
        <v>45746</v>
      </c>
      <c r="Y3224" s="17">
        <v>45747</v>
      </c>
      <c r="Z3224" s="17"/>
      <c r="AA3224" s="207">
        <v>35000</v>
      </c>
      <c r="AB3224" s="9">
        <v>48</v>
      </c>
      <c r="AC3224" s="9">
        <v>21</v>
      </c>
      <c r="AD3224" s="17">
        <v>46418</v>
      </c>
      <c r="AE3224" s="54">
        <v>160</v>
      </c>
      <c r="AF3224" s="54"/>
      <c r="AL3224" s="22"/>
      <c r="AM3224" s="22"/>
      <c r="AN3224" s="22"/>
      <c r="AO3224" s="22"/>
      <c r="AP3224" s="22"/>
      <c r="AQ3224" s="22"/>
      <c r="AR3224" s="22"/>
      <c r="AS3224" s="22"/>
      <c r="AT3224" s="22"/>
      <c r="AU3224" s="22"/>
      <c r="AV3224" s="22"/>
      <c r="AW3224" s="9"/>
      <c r="BA3224" s="22"/>
      <c r="BB3224" s="22"/>
      <c r="BD3224" s="9"/>
      <c r="CT3224" s="22">
        <f t="shared" si="223"/>
        <v>0</v>
      </c>
      <c r="CU3224" s="22">
        <f t="shared" si="224"/>
        <v>0</v>
      </c>
      <c r="CV3224" s="26">
        <f t="shared" si="222"/>
        <v>160</v>
      </c>
    </row>
    <row r="3225" spans="1:100" x14ac:dyDescent="0.2">
      <c r="A3225" s="9" t="s">
        <v>660</v>
      </c>
      <c r="B3225" s="2">
        <v>115</v>
      </c>
      <c r="C3225" s="3" t="s">
        <v>95</v>
      </c>
      <c r="D3225" s="3" t="s">
        <v>96</v>
      </c>
      <c r="E3225" s="2"/>
      <c r="F3225" s="2"/>
      <c r="G3225" s="2" t="s">
        <v>80</v>
      </c>
      <c r="H3225" s="2">
        <v>5</v>
      </c>
      <c r="I3225" s="20">
        <v>127.4</v>
      </c>
      <c r="J3225" s="20">
        <v>56922</v>
      </c>
      <c r="K3225" s="3">
        <v>0</v>
      </c>
      <c r="L3225" s="3" t="s">
        <v>3</v>
      </c>
      <c r="M3225" s="9" t="s">
        <v>0</v>
      </c>
      <c r="N3225" s="30" t="s">
        <v>661</v>
      </c>
      <c r="O3225" s="9" t="s">
        <v>662</v>
      </c>
      <c r="S3225" s="9" t="s">
        <v>158</v>
      </c>
      <c r="T3225" s="10" t="s">
        <v>80</v>
      </c>
      <c r="U3225" s="10">
        <v>5</v>
      </c>
      <c r="V3225" s="10">
        <v>127.4</v>
      </c>
      <c r="W3225" s="10" t="s">
        <v>710</v>
      </c>
      <c r="X3225" s="17">
        <v>45746</v>
      </c>
      <c r="Y3225" s="17">
        <v>45747</v>
      </c>
      <c r="Z3225" s="17"/>
      <c r="AA3225" s="207">
        <v>35000</v>
      </c>
      <c r="AB3225" s="9">
        <v>48</v>
      </c>
      <c r="AC3225" s="9">
        <v>22</v>
      </c>
      <c r="AD3225" s="17">
        <v>46446</v>
      </c>
      <c r="AE3225" s="54">
        <v>160</v>
      </c>
      <c r="AF3225" s="54"/>
      <c r="AL3225" s="22"/>
      <c r="AM3225" s="22"/>
      <c r="AN3225" s="22"/>
      <c r="AO3225" s="22"/>
      <c r="AP3225" s="22"/>
      <c r="AQ3225" s="22"/>
      <c r="AR3225" s="22"/>
      <c r="AS3225" s="22"/>
      <c r="AT3225" s="22"/>
      <c r="AU3225" s="22"/>
      <c r="AV3225" s="22"/>
      <c r="AW3225" s="9"/>
      <c r="BA3225" s="22"/>
      <c r="BB3225" s="22"/>
      <c r="BD3225" s="9"/>
      <c r="CT3225" s="22">
        <f t="shared" si="223"/>
        <v>0</v>
      </c>
      <c r="CU3225" s="22">
        <f t="shared" si="224"/>
        <v>0</v>
      </c>
      <c r="CV3225" s="26">
        <f t="shared" si="222"/>
        <v>160</v>
      </c>
    </row>
    <row r="3226" spans="1:100" x14ac:dyDescent="0.2">
      <c r="A3226" s="9" t="s">
        <v>660</v>
      </c>
      <c r="B3226" s="2">
        <v>115</v>
      </c>
      <c r="C3226" s="3" t="s">
        <v>95</v>
      </c>
      <c r="D3226" s="3" t="s">
        <v>96</v>
      </c>
      <c r="E3226" s="2"/>
      <c r="F3226" s="2"/>
      <c r="G3226" s="2" t="s">
        <v>80</v>
      </c>
      <c r="H3226" s="2">
        <v>5</v>
      </c>
      <c r="I3226" s="20">
        <v>127.4</v>
      </c>
      <c r="J3226" s="20">
        <v>56922</v>
      </c>
      <c r="K3226" s="3">
        <v>0</v>
      </c>
      <c r="L3226" s="3" t="s">
        <v>3</v>
      </c>
      <c r="M3226" s="9" t="s">
        <v>0</v>
      </c>
      <c r="N3226" s="30" t="s">
        <v>661</v>
      </c>
      <c r="O3226" s="9" t="s">
        <v>662</v>
      </c>
      <c r="S3226" s="9" t="s">
        <v>158</v>
      </c>
      <c r="T3226" s="10" t="s">
        <v>80</v>
      </c>
      <c r="U3226" s="10">
        <v>5</v>
      </c>
      <c r="V3226" s="10">
        <v>127.4</v>
      </c>
      <c r="W3226" s="10" t="s">
        <v>710</v>
      </c>
      <c r="X3226" s="17">
        <v>45746</v>
      </c>
      <c r="Y3226" s="17">
        <v>45747</v>
      </c>
      <c r="Z3226" s="17"/>
      <c r="AA3226" s="207">
        <v>35000</v>
      </c>
      <c r="AB3226" s="9">
        <v>48</v>
      </c>
      <c r="AC3226" s="9">
        <v>23</v>
      </c>
      <c r="AD3226" s="17">
        <v>46477</v>
      </c>
      <c r="AE3226" s="54">
        <v>160</v>
      </c>
      <c r="AF3226" s="54"/>
      <c r="AL3226" s="22"/>
      <c r="AM3226" s="22"/>
      <c r="AN3226" s="22"/>
      <c r="AO3226" s="22"/>
      <c r="AP3226" s="22"/>
      <c r="AQ3226" s="22"/>
      <c r="AR3226" s="22"/>
      <c r="AS3226" s="22"/>
      <c r="AT3226" s="22"/>
      <c r="AU3226" s="22"/>
      <c r="AV3226" s="22"/>
      <c r="AW3226" s="9"/>
      <c r="BA3226" s="22"/>
      <c r="BB3226" s="22"/>
      <c r="BD3226" s="9"/>
      <c r="CT3226" s="22">
        <f t="shared" si="223"/>
        <v>0</v>
      </c>
      <c r="CU3226" s="22">
        <f t="shared" si="224"/>
        <v>0</v>
      </c>
      <c r="CV3226" s="26">
        <f t="shared" si="222"/>
        <v>160</v>
      </c>
    </row>
    <row r="3227" spans="1:100" x14ac:dyDescent="0.2">
      <c r="A3227" s="9" t="s">
        <v>660</v>
      </c>
      <c r="B3227" s="2">
        <v>115</v>
      </c>
      <c r="C3227" s="3" t="s">
        <v>95</v>
      </c>
      <c r="D3227" s="3" t="s">
        <v>96</v>
      </c>
      <c r="E3227" s="2"/>
      <c r="F3227" s="2"/>
      <c r="G3227" s="2" t="s">
        <v>80</v>
      </c>
      <c r="H3227" s="2">
        <v>5</v>
      </c>
      <c r="I3227" s="20">
        <v>127.4</v>
      </c>
      <c r="J3227" s="20">
        <v>56922</v>
      </c>
      <c r="K3227" s="3">
        <v>0</v>
      </c>
      <c r="L3227" s="3" t="s">
        <v>3</v>
      </c>
      <c r="M3227" s="9" t="s">
        <v>0</v>
      </c>
      <c r="N3227" s="30" t="s">
        <v>661</v>
      </c>
      <c r="O3227" s="9" t="s">
        <v>662</v>
      </c>
      <c r="S3227" s="9" t="s">
        <v>158</v>
      </c>
      <c r="T3227" s="10" t="s">
        <v>80</v>
      </c>
      <c r="U3227" s="10">
        <v>5</v>
      </c>
      <c r="V3227" s="10">
        <v>127.4</v>
      </c>
      <c r="W3227" s="10" t="s">
        <v>710</v>
      </c>
      <c r="X3227" s="17">
        <v>45746</v>
      </c>
      <c r="Y3227" s="17">
        <v>45747</v>
      </c>
      <c r="Z3227" s="17"/>
      <c r="AA3227" s="207">
        <v>35000</v>
      </c>
      <c r="AB3227" s="9">
        <v>48</v>
      </c>
      <c r="AC3227" s="9">
        <v>24</v>
      </c>
      <c r="AD3227" s="17">
        <v>46507</v>
      </c>
      <c r="AE3227" s="54">
        <v>160</v>
      </c>
      <c r="AF3227" s="54"/>
      <c r="AL3227" s="22"/>
      <c r="AM3227" s="22"/>
      <c r="AN3227" s="22"/>
      <c r="AO3227" s="22"/>
      <c r="AP3227" s="22"/>
      <c r="AQ3227" s="22"/>
      <c r="AR3227" s="22"/>
      <c r="AS3227" s="22"/>
      <c r="AT3227" s="22"/>
      <c r="AU3227" s="22"/>
      <c r="AV3227" s="22"/>
      <c r="AW3227" s="9"/>
      <c r="BA3227" s="22"/>
      <c r="BB3227" s="22"/>
      <c r="BD3227" s="9"/>
      <c r="CT3227" s="22">
        <f t="shared" si="223"/>
        <v>0</v>
      </c>
      <c r="CU3227" s="22">
        <f t="shared" si="224"/>
        <v>0</v>
      </c>
      <c r="CV3227" s="26">
        <f t="shared" si="222"/>
        <v>160</v>
      </c>
    </row>
    <row r="3228" spans="1:100" x14ac:dyDescent="0.2">
      <c r="A3228" s="9" t="s">
        <v>660</v>
      </c>
      <c r="B3228" s="2">
        <v>115</v>
      </c>
      <c r="C3228" s="3" t="s">
        <v>95</v>
      </c>
      <c r="D3228" s="3" t="s">
        <v>96</v>
      </c>
      <c r="E3228" s="2"/>
      <c r="F3228" s="2"/>
      <c r="G3228" s="2" t="s">
        <v>80</v>
      </c>
      <c r="H3228" s="2">
        <v>5</v>
      </c>
      <c r="I3228" s="20">
        <v>127.4</v>
      </c>
      <c r="J3228" s="20">
        <v>56922</v>
      </c>
      <c r="K3228" s="3">
        <v>0</v>
      </c>
      <c r="L3228" s="3" t="s">
        <v>3</v>
      </c>
      <c r="M3228" s="9" t="s">
        <v>0</v>
      </c>
      <c r="N3228" s="30" t="s">
        <v>661</v>
      </c>
      <c r="O3228" s="9" t="s">
        <v>662</v>
      </c>
      <c r="S3228" s="9" t="s">
        <v>158</v>
      </c>
      <c r="T3228" s="10" t="s">
        <v>80</v>
      </c>
      <c r="U3228" s="10">
        <v>5</v>
      </c>
      <c r="V3228" s="10">
        <v>127.4</v>
      </c>
      <c r="W3228" s="10" t="s">
        <v>710</v>
      </c>
      <c r="X3228" s="17">
        <v>45746</v>
      </c>
      <c r="Y3228" s="17">
        <v>45747</v>
      </c>
      <c r="Z3228" s="17"/>
      <c r="AA3228" s="207">
        <v>35000</v>
      </c>
      <c r="AB3228" s="9">
        <v>48</v>
      </c>
      <c r="AC3228" s="9">
        <v>25</v>
      </c>
      <c r="AD3228" s="17">
        <v>46538</v>
      </c>
      <c r="AE3228" s="54">
        <v>160</v>
      </c>
      <c r="AF3228" s="54"/>
      <c r="AL3228" s="22"/>
      <c r="AM3228" s="22"/>
      <c r="AN3228" s="22"/>
      <c r="AO3228" s="22"/>
      <c r="AP3228" s="22"/>
      <c r="AQ3228" s="22"/>
      <c r="AR3228" s="22"/>
      <c r="AS3228" s="22"/>
      <c r="AT3228" s="22"/>
      <c r="AU3228" s="22"/>
      <c r="AV3228" s="22"/>
      <c r="AW3228" s="9"/>
      <c r="BA3228" s="22"/>
      <c r="BB3228" s="22"/>
      <c r="BD3228" s="9"/>
      <c r="CT3228" s="22">
        <f t="shared" si="223"/>
        <v>0</v>
      </c>
      <c r="CU3228" s="22">
        <f t="shared" si="224"/>
        <v>0</v>
      </c>
      <c r="CV3228" s="26">
        <f t="shared" si="222"/>
        <v>160</v>
      </c>
    </row>
    <row r="3229" spans="1:100" x14ac:dyDescent="0.2">
      <c r="A3229" s="9" t="s">
        <v>660</v>
      </c>
      <c r="B3229" s="2">
        <v>115</v>
      </c>
      <c r="C3229" s="3" t="s">
        <v>95</v>
      </c>
      <c r="D3229" s="3" t="s">
        <v>96</v>
      </c>
      <c r="E3229" s="2"/>
      <c r="F3229" s="2"/>
      <c r="G3229" s="2" t="s">
        <v>80</v>
      </c>
      <c r="H3229" s="2">
        <v>5</v>
      </c>
      <c r="I3229" s="20">
        <v>127.4</v>
      </c>
      <c r="J3229" s="20">
        <v>56922</v>
      </c>
      <c r="K3229" s="3">
        <v>0</v>
      </c>
      <c r="L3229" s="3" t="s">
        <v>3</v>
      </c>
      <c r="M3229" s="9" t="s">
        <v>0</v>
      </c>
      <c r="N3229" s="30" t="s">
        <v>661</v>
      </c>
      <c r="O3229" s="9" t="s">
        <v>662</v>
      </c>
      <c r="S3229" s="9" t="s">
        <v>158</v>
      </c>
      <c r="T3229" s="10" t="s">
        <v>80</v>
      </c>
      <c r="U3229" s="10">
        <v>5</v>
      </c>
      <c r="V3229" s="10">
        <v>127.4</v>
      </c>
      <c r="W3229" s="10" t="s">
        <v>710</v>
      </c>
      <c r="X3229" s="17">
        <v>45746</v>
      </c>
      <c r="Y3229" s="17">
        <v>45747</v>
      </c>
      <c r="Z3229" s="17"/>
      <c r="AA3229" s="207">
        <v>35000</v>
      </c>
      <c r="AB3229" s="9">
        <v>48</v>
      </c>
      <c r="AC3229" s="9">
        <v>26</v>
      </c>
      <c r="AD3229" s="17">
        <v>46568</v>
      </c>
      <c r="AE3229" s="54">
        <v>160</v>
      </c>
      <c r="AF3229" s="54"/>
      <c r="AL3229" s="22"/>
      <c r="AM3229" s="22"/>
      <c r="AN3229" s="22"/>
      <c r="AO3229" s="22"/>
      <c r="AP3229" s="22"/>
      <c r="AQ3229" s="22"/>
      <c r="AR3229" s="22"/>
      <c r="AS3229" s="22"/>
      <c r="AT3229" s="22"/>
      <c r="AU3229" s="22"/>
      <c r="AV3229" s="22"/>
      <c r="AW3229" s="9"/>
      <c r="BA3229" s="22"/>
      <c r="BB3229" s="22"/>
      <c r="BD3229" s="9"/>
      <c r="CT3229" s="22">
        <f t="shared" si="223"/>
        <v>0</v>
      </c>
      <c r="CU3229" s="22">
        <f t="shared" si="224"/>
        <v>0</v>
      </c>
      <c r="CV3229" s="26">
        <f t="shared" si="222"/>
        <v>160</v>
      </c>
    </row>
    <row r="3230" spans="1:100" x14ac:dyDescent="0.2">
      <c r="A3230" s="9" t="s">
        <v>660</v>
      </c>
      <c r="B3230" s="2">
        <v>115</v>
      </c>
      <c r="C3230" s="3" t="s">
        <v>95</v>
      </c>
      <c r="D3230" s="3" t="s">
        <v>96</v>
      </c>
      <c r="E3230" s="2"/>
      <c r="F3230" s="2"/>
      <c r="G3230" s="2" t="s">
        <v>80</v>
      </c>
      <c r="H3230" s="2">
        <v>5</v>
      </c>
      <c r="I3230" s="20">
        <v>127.4</v>
      </c>
      <c r="J3230" s="20">
        <v>56922</v>
      </c>
      <c r="K3230" s="3">
        <v>0</v>
      </c>
      <c r="L3230" s="3" t="s">
        <v>3</v>
      </c>
      <c r="M3230" s="9" t="s">
        <v>0</v>
      </c>
      <c r="N3230" s="30" t="s">
        <v>661</v>
      </c>
      <c r="O3230" s="9" t="s">
        <v>662</v>
      </c>
      <c r="S3230" s="9" t="s">
        <v>158</v>
      </c>
      <c r="T3230" s="10" t="s">
        <v>80</v>
      </c>
      <c r="U3230" s="10">
        <v>5</v>
      </c>
      <c r="V3230" s="10">
        <v>127.4</v>
      </c>
      <c r="W3230" s="10" t="s">
        <v>710</v>
      </c>
      <c r="X3230" s="17">
        <v>45746</v>
      </c>
      <c r="Y3230" s="17">
        <v>45747</v>
      </c>
      <c r="Z3230" s="17"/>
      <c r="AA3230" s="207">
        <v>35000</v>
      </c>
      <c r="AB3230" s="9">
        <v>48</v>
      </c>
      <c r="AC3230" s="9">
        <v>27</v>
      </c>
      <c r="AD3230" s="17">
        <v>46599</v>
      </c>
      <c r="AE3230" s="54">
        <v>160</v>
      </c>
      <c r="AF3230" s="54"/>
      <c r="AL3230" s="22"/>
      <c r="AM3230" s="22"/>
      <c r="AN3230" s="22"/>
      <c r="AO3230" s="22"/>
      <c r="AP3230" s="22"/>
      <c r="AQ3230" s="22"/>
      <c r="AR3230" s="22"/>
      <c r="AS3230" s="22"/>
      <c r="AT3230" s="22"/>
      <c r="AU3230" s="22"/>
      <c r="AV3230" s="22"/>
      <c r="AW3230" s="9"/>
      <c r="BA3230" s="22"/>
      <c r="BB3230" s="22"/>
      <c r="BD3230" s="9"/>
      <c r="CT3230" s="22">
        <f t="shared" si="223"/>
        <v>0</v>
      </c>
      <c r="CU3230" s="22">
        <f t="shared" si="224"/>
        <v>0</v>
      </c>
      <c r="CV3230" s="26">
        <f t="shared" si="222"/>
        <v>160</v>
      </c>
    </row>
    <row r="3231" spans="1:100" x14ac:dyDescent="0.2">
      <c r="A3231" s="9" t="s">
        <v>660</v>
      </c>
      <c r="B3231" s="2">
        <v>115</v>
      </c>
      <c r="C3231" s="3" t="s">
        <v>95</v>
      </c>
      <c r="D3231" s="3" t="s">
        <v>96</v>
      </c>
      <c r="E3231" s="2"/>
      <c r="F3231" s="2"/>
      <c r="G3231" s="2" t="s">
        <v>80</v>
      </c>
      <c r="H3231" s="2">
        <v>5</v>
      </c>
      <c r="I3231" s="20">
        <v>127.4</v>
      </c>
      <c r="J3231" s="20">
        <v>56922</v>
      </c>
      <c r="K3231" s="3">
        <v>0</v>
      </c>
      <c r="L3231" s="3" t="s">
        <v>3</v>
      </c>
      <c r="M3231" s="9" t="s">
        <v>0</v>
      </c>
      <c r="N3231" s="30" t="s">
        <v>661</v>
      </c>
      <c r="O3231" s="9" t="s">
        <v>662</v>
      </c>
      <c r="S3231" s="9" t="s">
        <v>158</v>
      </c>
      <c r="T3231" s="10" t="s">
        <v>80</v>
      </c>
      <c r="U3231" s="10">
        <v>5</v>
      </c>
      <c r="V3231" s="10">
        <v>127.4</v>
      </c>
      <c r="W3231" s="10" t="s">
        <v>710</v>
      </c>
      <c r="X3231" s="17">
        <v>45746</v>
      </c>
      <c r="Y3231" s="17">
        <v>45747</v>
      </c>
      <c r="Z3231" s="17"/>
      <c r="AA3231" s="207">
        <v>35000</v>
      </c>
      <c r="AB3231" s="9">
        <v>48</v>
      </c>
      <c r="AC3231" s="9">
        <v>28</v>
      </c>
      <c r="AD3231" s="17">
        <v>46630</v>
      </c>
      <c r="AE3231" s="54">
        <v>160</v>
      </c>
      <c r="AF3231" s="54"/>
      <c r="AL3231" s="22"/>
      <c r="AM3231" s="22"/>
      <c r="AN3231" s="22"/>
      <c r="AO3231" s="22"/>
      <c r="AP3231" s="22"/>
      <c r="AQ3231" s="22"/>
      <c r="AR3231" s="22"/>
      <c r="AS3231" s="22"/>
      <c r="AT3231" s="22"/>
      <c r="AU3231" s="22"/>
      <c r="AV3231" s="22"/>
      <c r="AW3231" s="9"/>
      <c r="BA3231" s="22"/>
      <c r="BB3231" s="22"/>
      <c r="BD3231" s="9"/>
      <c r="CT3231" s="22">
        <f t="shared" si="223"/>
        <v>0</v>
      </c>
      <c r="CU3231" s="22">
        <f t="shared" si="224"/>
        <v>0</v>
      </c>
      <c r="CV3231" s="26">
        <f t="shared" si="222"/>
        <v>160</v>
      </c>
    </row>
    <row r="3232" spans="1:100" x14ac:dyDescent="0.2">
      <c r="A3232" s="9" t="s">
        <v>660</v>
      </c>
      <c r="B3232" s="2">
        <v>115</v>
      </c>
      <c r="C3232" s="3" t="s">
        <v>95</v>
      </c>
      <c r="D3232" s="3" t="s">
        <v>96</v>
      </c>
      <c r="E3232" s="2"/>
      <c r="F3232" s="2"/>
      <c r="G3232" s="2" t="s">
        <v>80</v>
      </c>
      <c r="H3232" s="2">
        <v>5</v>
      </c>
      <c r="I3232" s="20">
        <v>127.4</v>
      </c>
      <c r="J3232" s="20">
        <v>56922</v>
      </c>
      <c r="K3232" s="3">
        <v>0</v>
      </c>
      <c r="L3232" s="3" t="s">
        <v>3</v>
      </c>
      <c r="M3232" s="9" t="s">
        <v>0</v>
      </c>
      <c r="N3232" s="30" t="s">
        <v>661</v>
      </c>
      <c r="O3232" s="9" t="s">
        <v>662</v>
      </c>
      <c r="S3232" s="9" t="s">
        <v>158</v>
      </c>
      <c r="T3232" s="10" t="s">
        <v>80</v>
      </c>
      <c r="U3232" s="10">
        <v>5</v>
      </c>
      <c r="V3232" s="10">
        <v>127.4</v>
      </c>
      <c r="W3232" s="10" t="s">
        <v>710</v>
      </c>
      <c r="X3232" s="17">
        <v>45746</v>
      </c>
      <c r="Y3232" s="17">
        <v>45747</v>
      </c>
      <c r="Z3232" s="17"/>
      <c r="AA3232" s="207">
        <v>35000</v>
      </c>
      <c r="AB3232" s="9">
        <v>48</v>
      </c>
      <c r="AC3232" s="9">
        <v>29</v>
      </c>
      <c r="AD3232" s="17">
        <v>46660</v>
      </c>
      <c r="AE3232" s="54">
        <v>160</v>
      </c>
      <c r="AF3232" s="54"/>
      <c r="AL3232" s="22"/>
      <c r="AM3232" s="22"/>
      <c r="AN3232" s="22"/>
      <c r="AO3232" s="22"/>
      <c r="AP3232" s="22"/>
      <c r="AQ3232" s="22"/>
      <c r="AR3232" s="22"/>
      <c r="AS3232" s="22"/>
      <c r="AT3232" s="22"/>
      <c r="AU3232" s="22"/>
      <c r="AV3232" s="22"/>
      <c r="AW3232" s="9"/>
      <c r="BA3232" s="22"/>
      <c r="BB3232" s="22"/>
      <c r="BD3232" s="9"/>
      <c r="CT3232" s="22">
        <f t="shared" si="223"/>
        <v>0</v>
      </c>
      <c r="CU3232" s="22">
        <f t="shared" si="224"/>
        <v>0</v>
      </c>
      <c r="CV3232" s="26">
        <f t="shared" si="222"/>
        <v>160</v>
      </c>
    </row>
    <row r="3233" spans="1:100" x14ac:dyDescent="0.2">
      <c r="A3233" s="9" t="s">
        <v>660</v>
      </c>
      <c r="B3233" s="2">
        <v>115</v>
      </c>
      <c r="C3233" s="3" t="s">
        <v>95</v>
      </c>
      <c r="D3233" s="3" t="s">
        <v>96</v>
      </c>
      <c r="E3233" s="2"/>
      <c r="F3233" s="2"/>
      <c r="G3233" s="2" t="s">
        <v>80</v>
      </c>
      <c r="H3233" s="2">
        <v>5</v>
      </c>
      <c r="I3233" s="20">
        <v>127.4</v>
      </c>
      <c r="J3233" s="20">
        <v>56922</v>
      </c>
      <c r="K3233" s="3">
        <v>0</v>
      </c>
      <c r="L3233" s="3" t="s">
        <v>3</v>
      </c>
      <c r="M3233" s="9" t="s">
        <v>0</v>
      </c>
      <c r="N3233" s="30" t="s">
        <v>661</v>
      </c>
      <c r="O3233" s="9" t="s">
        <v>662</v>
      </c>
      <c r="S3233" s="9" t="s">
        <v>158</v>
      </c>
      <c r="T3233" s="10" t="s">
        <v>80</v>
      </c>
      <c r="U3233" s="10">
        <v>5</v>
      </c>
      <c r="V3233" s="10">
        <v>127.4</v>
      </c>
      <c r="W3233" s="10" t="s">
        <v>710</v>
      </c>
      <c r="X3233" s="17">
        <v>45746</v>
      </c>
      <c r="Y3233" s="17">
        <v>45747</v>
      </c>
      <c r="Z3233" s="17"/>
      <c r="AA3233" s="207">
        <v>35000</v>
      </c>
      <c r="AB3233" s="9">
        <v>48</v>
      </c>
      <c r="AC3233" s="9">
        <v>30</v>
      </c>
      <c r="AD3233" s="17">
        <v>46691</v>
      </c>
      <c r="AE3233" s="54">
        <v>160</v>
      </c>
      <c r="AF3233" s="54"/>
      <c r="AL3233" s="22"/>
      <c r="AM3233" s="22"/>
      <c r="AN3233" s="22"/>
      <c r="AO3233" s="22"/>
      <c r="AP3233" s="22"/>
      <c r="AQ3233" s="22"/>
      <c r="AR3233" s="22"/>
      <c r="AS3233" s="22"/>
      <c r="AT3233" s="22"/>
      <c r="AU3233" s="22"/>
      <c r="AV3233" s="22"/>
      <c r="AW3233" s="9"/>
      <c r="BA3233" s="22"/>
      <c r="BB3233" s="22"/>
      <c r="BD3233" s="9"/>
      <c r="CT3233" s="22">
        <f t="shared" si="223"/>
        <v>0</v>
      </c>
      <c r="CU3233" s="22">
        <f t="shared" si="224"/>
        <v>0</v>
      </c>
      <c r="CV3233" s="26">
        <f t="shared" si="222"/>
        <v>160</v>
      </c>
    </row>
    <row r="3234" spans="1:100" x14ac:dyDescent="0.2">
      <c r="A3234" s="9" t="s">
        <v>660</v>
      </c>
      <c r="B3234" s="2">
        <v>115</v>
      </c>
      <c r="C3234" s="3" t="s">
        <v>95</v>
      </c>
      <c r="D3234" s="3" t="s">
        <v>96</v>
      </c>
      <c r="E3234" s="2"/>
      <c r="F3234" s="2"/>
      <c r="G3234" s="2" t="s">
        <v>80</v>
      </c>
      <c r="H3234" s="2">
        <v>5</v>
      </c>
      <c r="I3234" s="20">
        <v>127.4</v>
      </c>
      <c r="J3234" s="20">
        <v>56922</v>
      </c>
      <c r="K3234" s="3">
        <v>0</v>
      </c>
      <c r="L3234" s="3" t="s">
        <v>3</v>
      </c>
      <c r="M3234" s="9" t="s">
        <v>0</v>
      </c>
      <c r="N3234" s="30" t="s">
        <v>661</v>
      </c>
      <c r="O3234" s="9" t="s">
        <v>662</v>
      </c>
      <c r="S3234" s="9" t="s">
        <v>158</v>
      </c>
      <c r="T3234" s="10" t="s">
        <v>80</v>
      </c>
      <c r="U3234" s="10">
        <v>5</v>
      </c>
      <c r="V3234" s="10">
        <v>127.4</v>
      </c>
      <c r="W3234" s="10" t="s">
        <v>710</v>
      </c>
      <c r="X3234" s="17">
        <v>45746</v>
      </c>
      <c r="Y3234" s="17">
        <v>45747</v>
      </c>
      <c r="Z3234" s="17"/>
      <c r="AA3234" s="207">
        <v>35000</v>
      </c>
      <c r="AB3234" s="9">
        <v>48</v>
      </c>
      <c r="AC3234" s="9">
        <v>31</v>
      </c>
      <c r="AD3234" s="17">
        <v>46721</v>
      </c>
      <c r="AE3234" s="54">
        <v>160</v>
      </c>
      <c r="AF3234" s="54"/>
      <c r="AL3234" s="22"/>
      <c r="AM3234" s="22"/>
      <c r="AN3234" s="22"/>
      <c r="AO3234" s="22"/>
      <c r="AP3234" s="22"/>
      <c r="AQ3234" s="22"/>
      <c r="AR3234" s="22"/>
      <c r="AS3234" s="22"/>
      <c r="AT3234" s="22"/>
      <c r="AU3234" s="22"/>
      <c r="AV3234" s="22"/>
      <c r="AW3234" s="9"/>
      <c r="BA3234" s="22"/>
      <c r="BB3234" s="22"/>
      <c r="BD3234" s="9"/>
      <c r="CT3234" s="22">
        <f t="shared" ref="CT3234:CT3251" si="225">+BA3234+BG3234+BM3234+BS3234+BY3234+CE3234+CK3234</f>
        <v>0</v>
      </c>
      <c r="CU3234" s="22">
        <f t="shared" ref="CU3234:CU3251" si="226">+AL3234+AT3234-CT3234</f>
        <v>0</v>
      </c>
      <c r="CV3234" s="26">
        <f t="shared" si="222"/>
        <v>160</v>
      </c>
    </row>
    <row r="3235" spans="1:100" x14ac:dyDescent="0.2">
      <c r="A3235" s="9" t="s">
        <v>660</v>
      </c>
      <c r="B3235" s="2">
        <v>115</v>
      </c>
      <c r="C3235" s="3" t="s">
        <v>95</v>
      </c>
      <c r="D3235" s="3" t="s">
        <v>96</v>
      </c>
      <c r="E3235" s="2"/>
      <c r="F3235" s="2"/>
      <c r="G3235" s="2" t="s">
        <v>80</v>
      </c>
      <c r="H3235" s="2">
        <v>5</v>
      </c>
      <c r="I3235" s="20">
        <v>127.4</v>
      </c>
      <c r="J3235" s="20">
        <v>56922</v>
      </c>
      <c r="K3235" s="3">
        <v>0</v>
      </c>
      <c r="L3235" s="3" t="s">
        <v>3</v>
      </c>
      <c r="M3235" s="9" t="s">
        <v>0</v>
      </c>
      <c r="N3235" s="30" t="s">
        <v>661</v>
      </c>
      <c r="O3235" s="9" t="s">
        <v>662</v>
      </c>
      <c r="S3235" s="9" t="s">
        <v>158</v>
      </c>
      <c r="T3235" s="10" t="s">
        <v>80</v>
      </c>
      <c r="U3235" s="10">
        <v>5</v>
      </c>
      <c r="V3235" s="10">
        <v>127.4</v>
      </c>
      <c r="W3235" s="10" t="s">
        <v>710</v>
      </c>
      <c r="X3235" s="17">
        <v>45746</v>
      </c>
      <c r="Y3235" s="17">
        <v>45747</v>
      </c>
      <c r="Z3235" s="17"/>
      <c r="AA3235" s="207">
        <v>35000</v>
      </c>
      <c r="AB3235" s="9">
        <v>48</v>
      </c>
      <c r="AC3235" s="9">
        <v>32</v>
      </c>
      <c r="AD3235" s="17">
        <v>46752</v>
      </c>
      <c r="AE3235" s="54">
        <v>160</v>
      </c>
      <c r="AF3235" s="54"/>
      <c r="AL3235" s="22"/>
      <c r="AM3235" s="22"/>
      <c r="AN3235" s="22"/>
      <c r="AO3235" s="22"/>
      <c r="AP3235" s="22"/>
      <c r="AQ3235" s="22"/>
      <c r="AR3235" s="22"/>
      <c r="AS3235" s="22"/>
      <c r="AT3235" s="22"/>
      <c r="AU3235" s="22"/>
      <c r="AV3235" s="22"/>
      <c r="AW3235" s="9"/>
      <c r="BA3235" s="22"/>
      <c r="BB3235" s="22"/>
      <c r="BD3235" s="9"/>
      <c r="CT3235" s="22">
        <f t="shared" si="225"/>
        <v>0</v>
      </c>
      <c r="CU3235" s="22">
        <f t="shared" si="226"/>
        <v>0</v>
      </c>
      <c r="CV3235" s="26">
        <f t="shared" si="222"/>
        <v>160</v>
      </c>
    </row>
    <row r="3236" spans="1:100" x14ac:dyDescent="0.2">
      <c r="A3236" s="9" t="s">
        <v>660</v>
      </c>
      <c r="B3236" s="2">
        <v>115</v>
      </c>
      <c r="C3236" s="3" t="s">
        <v>95</v>
      </c>
      <c r="D3236" s="3" t="s">
        <v>96</v>
      </c>
      <c r="E3236" s="2"/>
      <c r="F3236" s="2"/>
      <c r="G3236" s="2" t="s">
        <v>80</v>
      </c>
      <c r="H3236" s="2">
        <v>5</v>
      </c>
      <c r="I3236" s="20">
        <v>127.4</v>
      </c>
      <c r="J3236" s="20">
        <v>56922</v>
      </c>
      <c r="K3236" s="3">
        <v>0</v>
      </c>
      <c r="L3236" s="3" t="s">
        <v>3</v>
      </c>
      <c r="M3236" s="9" t="s">
        <v>0</v>
      </c>
      <c r="N3236" s="30" t="s">
        <v>661</v>
      </c>
      <c r="O3236" s="9" t="s">
        <v>662</v>
      </c>
      <c r="S3236" s="9" t="s">
        <v>158</v>
      </c>
      <c r="T3236" s="10" t="s">
        <v>80</v>
      </c>
      <c r="U3236" s="10">
        <v>5</v>
      </c>
      <c r="V3236" s="10">
        <v>127.4</v>
      </c>
      <c r="W3236" s="10" t="s">
        <v>710</v>
      </c>
      <c r="X3236" s="17">
        <v>45746</v>
      </c>
      <c r="Y3236" s="17">
        <v>45747</v>
      </c>
      <c r="Z3236" s="17"/>
      <c r="AA3236" s="207">
        <v>35000</v>
      </c>
      <c r="AB3236" s="9">
        <v>48</v>
      </c>
      <c r="AC3236" s="9">
        <v>33</v>
      </c>
      <c r="AD3236" s="17">
        <v>46783</v>
      </c>
      <c r="AE3236" s="54">
        <v>160</v>
      </c>
      <c r="AF3236" s="54"/>
      <c r="AL3236" s="22"/>
      <c r="AM3236" s="22"/>
      <c r="AN3236" s="22"/>
      <c r="AO3236" s="22"/>
      <c r="AP3236" s="22"/>
      <c r="AQ3236" s="22"/>
      <c r="AR3236" s="22"/>
      <c r="AS3236" s="22"/>
      <c r="AT3236" s="22"/>
      <c r="AU3236" s="22"/>
      <c r="AV3236" s="22"/>
      <c r="AW3236" s="9"/>
      <c r="BA3236" s="22"/>
      <c r="BB3236" s="22"/>
      <c r="BD3236" s="9"/>
      <c r="CT3236" s="22">
        <f t="shared" si="225"/>
        <v>0</v>
      </c>
      <c r="CU3236" s="22">
        <f t="shared" si="226"/>
        <v>0</v>
      </c>
      <c r="CV3236" s="26">
        <f t="shared" si="222"/>
        <v>160</v>
      </c>
    </row>
    <row r="3237" spans="1:100" x14ac:dyDescent="0.2">
      <c r="A3237" s="9" t="s">
        <v>660</v>
      </c>
      <c r="B3237" s="2">
        <v>115</v>
      </c>
      <c r="C3237" s="3" t="s">
        <v>95</v>
      </c>
      <c r="D3237" s="3" t="s">
        <v>96</v>
      </c>
      <c r="E3237" s="2"/>
      <c r="F3237" s="2"/>
      <c r="G3237" s="2" t="s">
        <v>80</v>
      </c>
      <c r="H3237" s="2">
        <v>5</v>
      </c>
      <c r="I3237" s="20">
        <v>127.4</v>
      </c>
      <c r="J3237" s="20">
        <v>56922</v>
      </c>
      <c r="K3237" s="3">
        <v>0</v>
      </c>
      <c r="L3237" s="3" t="s">
        <v>3</v>
      </c>
      <c r="M3237" s="9" t="s">
        <v>0</v>
      </c>
      <c r="N3237" s="30" t="s">
        <v>661</v>
      </c>
      <c r="O3237" s="9" t="s">
        <v>662</v>
      </c>
      <c r="S3237" s="9" t="s">
        <v>158</v>
      </c>
      <c r="T3237" s="10" t="s">
        <v>80</v>
      </c>
      <c r="U3237" s="10">
        <v>5</v>
      </c>
      <c r="V3237" s="10">
        <v>127.4</v>
      </c>
      <c r="W3237" s="10" t="s">
        <v>710</v>
      </c>
      <c r="X3237" s="17">
        <v>45746</v>
      </c>
      <c r="Y3237" s="17">
        <v>45747</v>
      </c>
      <c r="Z3237" s="17"/>
      <c r="AA3237" s="207">
        <v>35000</v>
      </c>
      <c r="AB3237" s="9">
        <v>48</v>
      </c>
      <c r="AC3237" s="9">
        <v>34</v>
      </c>
      <c r="AD3237" s="17">
        <v>46812</v>
      </c>
      <c r="AE3237" s="54">
        <v>160</v>
      </c>
      <c r="AF3237" s="54"/>
      <c r="AL3237" s="22"/>
      <c r="AM3237" s="22"/>
      <c r="AN3237" s="22"/>
      <c r="AO3237" s="22"/>
      <c r="AP3237" s="22"/>
      <c r="AQ3237" s="22"/>
      <c r="AR3237" s="22"/>
      <c r="AS3237" s="22"/>
      <c r="AT3237" s="22"/>
      <c r="AU3237" s="22"/>
      <c r="AV3237" s="22"/>
      <c r="AW3237" s="9"/>
      <c r="BA3237" s="22"/>
      <c r="BB3237" s="22"/>
      <c r="BD3237" s="9"/>
      <c r="CT3237" s="22">
        <f t="shared" si="225"/>
        <v>0</v>
      </c>
      <c r="CU3237" s="22">
        <f t="shared" si="226"/>
        <v>0</v>
      </c>
      <c r="CV3237" s="26">
        <f t="shared" si="222"/>
        <v>160</v>
      </c>
    </row>
    <row r="3238" spans="1:100" x14ac:dyDescent="0.2">
      <c r="A3238" s="9" t="s">
        <v>660</v>
      </c>
      <c r="B3238" s="2">
        <v>115</v>
      </c>
      <c r="C3238" s="3" t="s">
        <v>95</v>
      </c>
      <c r="D3238" s="3" t="s">
        <v>96</v>
      </c>
      <c r="E3238" s="2"/>
      <c r="F3238" s="2"/>
      <c r="G3238" s="2" t="s">
        <v>80</v>
      </c>
      <c r="H3238" s="2">
        <v>5</v>
      </c>
      <c r="I3238" s="20">
        <v>127.4</v>
      </c>
      <c r="J3238" s="20">
        <v>56922</v>
      </c>
      <c r="K3238" s="3">
        <v>0</v>
      </c>
      <c r="L3238" s="3" t="s">
        <v>3</v>
      </c>
      <c r="M3238" s="9" t="s">
        <v>0</v>
      </c>
      <c r="N3238" s="30" t="s">
        <v>661</v>
      </c>
      <c r="O3238" s="9" t="s">
        <v>662</v>
      </c>
      <c r="S3238" s="9" t="s">
        <v>158</v>
      </c>
      <c r="T3238" s="10" t="s">
        <v>80</v>
      </c>
      <c r="U3238" s="10">
        <v>5</v>
      </c>
      <c r="V3238" s="10">
        <v>127.4</v>
      </c>
      <c r="W3238" s="10" t="s">
        <v>710</v>
      </c>
      <c r="X3238" s="17">
        <v>45746</v>
      </c>
      <c r="Y3238" s="17">
        <v>45747</v>
      </c>
      <c r="Z3238" s="17"/>
      <c r="AA3238" s="207">
        <v>35000</v>
      </c>
      <c r="AB3238" s="9">
        <v>48</v>
      </c>
      <c r="AC3238" s="9">
        <v>35</v>
      </c>
      <c r="AD3238" s="17">
        <v>46843</v>
      </c>
      <c r="AE3238" s="54">
        <v>160</v>
      </c>
      <c r="AF3238" s="54"/>
      <c r="AL3238" s="22"/>
      <c r="AM3238" s="22"/>
      <c r="AN3238" s="22"/>
      <c r="AO3238" s="22"/>
      <c r="AP3238" s="22"/>
      <c r="AQ3238" s="22"/>
      <c r="AR3238" s="22"/>
      <c r="AS3238" s="22"/>
      <c r="AT3238" s="22"/>
      <c r="AU3238" s="22"/>
      <c r="AV3238" s="22"/>
      <c r="AW3238" s="9"/>
      <c r="BA3238" s="22"/>
      <c r="BB3238" s="22"/>
      <c r="BD3238" s="9"/>
      <c r="CT3238" s="22">
        <f t="shared" si="225"/>
        <v>0</v>
      </c>
      <c r="CU3238" s="22">
        <f t="shared" si="226"/>
        <v>0</v>
      </c>
      <c r="CV3238" s="26">
        <f t="shared" si="222"/>
        <v>160</v>
      </c>
    </row>
    <row r="3239" spans="1:100" x14ac:dyDescent="0.2">
      <c r="A3239" s="9" t="s">
        <v>660</v>
      </c>
      <c r="B3239" s="2">
        <v>115</v>
      </c>
      <c r="C3239" s="3" t="s">
        <v>95</v>
      </c>
      <c r="D3239" s="3" t="s">
        <v>96</v>
      </c>
      <c r="E3239" s="2"/>
      <c r="F3239" s="2"/>
      <c r="G3239" s="2" t="s">
        <v>80</v>
      </c>
      <c r="H3239" s="2">
        <v>5</v>
      </c>
      <c r="I3239" s="20">
        <v>127.4</v>
      </c>
      <c r="J3239" s="20">
        <v>56922</v>
      </c>
      <c r="K3239" s="3">
        <v>0</v>
      </c>
      <c r="L3239" s="3" t="s">
        <v>3</v>
      </c>
      <c r="M3239" s="9" t="s">
        <v>0</v>
      </c>
      <c r="N3239" s="30" t="s">
        <v>661</v>
      </c>
      <c r="O3239" s="9" t="s">
        <v>662</v>
      </c>
      <c r="S3239" s="9" t="s">
        <v>158</v>
      </c>
      <c r="T3239" s="10" t="s">
        <v>80</v>
      </c>
      <c r="U3239" s="10">
        <v>5</v>
      </c>
      <c r="V3239" s="10">
        <v>127.4</v>
      </c>
      <c r="W3239" s="10" t="s">
        <v>710</v>
      </c>
      <c r="X3239" s="17">
        <v>45746</v>
      </c>
      <c r="Y3239" s="17">
        <v>45747</v>
      </c>
      <c r="Z3239" s="17"/>
      <c r="AA3239" s="207">
        <v>35000</v>
      </c>
      <c r="AB3239" s="9">
        <v>48</v>
      </c>
      <c r="AC3239" s="9">
        <v>36</v>
      </c>
      <c r="AD3239" s="17">
        <v>46873</v>
      </c>
      <c r="AE3239" s="54">
        <v>160</v>
      </c>
      <c r="AF3239" s="54"/>
      <c r="AL3239" s="22"/>
      <c r="AM3239" s="22"/>
      <c r="AN3239" s="22"/>
      <c r="AO3239" s="22"/>
      <c r="AP3239" s="22"/>
      <c r="AQ3239" s="22"/>
      <c r="AR3239" s="22"/>
      <c r="AS3239" s="22"/>
      <c r="AT3239" s="22"/>
      <c r="AU3239" s="22"/>
      <c r="AV3239" s="22"/>
      <c r="AW3239" s="9"/>
      <c r="BA3239" s="22"/>
      <c r="BB3239" s="22"/>
      <c r="BD3239" s="9"/>
      <c r="CT3239" s="22">
        <f t="shared" si="225"/>
        <v>0</v>
      </c>
      <c r="CU3239" s="22">
        <f t="shared" si="226"/>
        <v>0</v>
      </c>
      <c r="CV3239" s="26">
        <f t="shared" si="222"/>
        <v>160</v>
      </c>
    </row>
    <row r="3240" spans="1:100" x14ac:dyDescent="0.2">
      <c r="A3240" s="9" t="s">
        <v>660</v>
      </c>
      <c r="B3240" s="2">
        <v>115</v>
      </c>
      <c r="C3240" s="3" t="s">
        <v>95</v>
      </c>
      <c r="D3240" s="3" t="s">
        <v>96</v>
      </c>
      <c r="E3240" s="2"/>
      <c r="F3240" s="2"/>
      <c r="G3240" s="2" t="s">
        <v>80</v>
      </c>
      <c r="H3240" s="2">
        <v>5</v>
      </c>
      <c r="I3240" s="20">
        <v>127.4</v>
      </c>
      <c r="J3240" s="20">
        <v>56922</v>
      </c>
      <c r="K3240" s="3">
        <v>0</v>
      </c>
      <c r="L3240" s="3" t="s">
        <v>3</v>
      </c>
      <c r="M3240" s="9" t="s">
        <v>0</v>
      </c>
      <c r="N3240" s="30" t="s">
        <v>661</v>
      </c>
      <c r="O3240" s="9" t="s">
        <v>662</v>
      </c>
      <c r="S3240" s="9" t="s">
        <v>158</v>
      </c>
      <c r="T3240" s="10" t="s">
        <v>80</v>
      </c>
      <c r="U3240" s="10">
        <v>5</v>
      </c>
      <c r="V3240" s="10">
        <v>127.4</v>
      </c>
      <c r="W3240" s="10" t="s">
        <v>710</v>
      </c>
      <c r="X3240" s="17">
        <v>45746</v>
      </c>
      <c r="Y3240" s="17">
        <v>45747</v>
      </c>
      <c r="Z3240" s="17"/>
      <c r="AA3240" s="207">
        <v>35000</v>
      </c>
      <c r="AB3240" s="9">
        <v>48</v>
      </c>
      <c r="AC3240" s="9">
        <v>37</v>
      </c>
      <c r="AD3240" s="17">
        <v>46904</v>
      </c>
      <c r="AE3240" s="54">
        <v>160</v>
      </c>
      <c r="AF3240" s="54"/>
      <c r="AL3240" s="22"/>
      <c r="AM3240" s="22"/>
      <c r="AN3240" s="22"/>
      <c r="AO3240" s="22"/>
      <c r="AP3240" s="22"/>
      <c r="AQ3240" s="22"/>
      <c r="AR3240" s="22"/>
      <c r="AS3240" s="22"/>
      <c r="AT3240" s="22"/>
      <c r="AU3240" s="22"/>
      <c r="AV3240" s="22"/>
      <c r="AW3240" s="9"/>
      <c r="BA3240" s="22"/>
      <c r="BB3240" s="22"/>
      <c r="BD3240" s="9"/>
      <c r="CT3240" s="22">
        <f t="shared" si="225"/>
        <v>0</v>
      </c>
      <c r="CU3240" s="22">
        <f t="shared" si="226"/>
        <v>0</v>
      </c>
      <c r="CV3240" s="26">
        <f t="shared" si="222"/>
        <v>160</v>
      </c>
    </row>
    <row r="3241" spans="1:100" x14ac:dyDescent="0.2">
      <c r="A3241" s="9" t="s">
        <v>660</v>
      </c>
      <c r="B3241" s="2">
        <v>115</v>
      </c>
      <c r="C3241" s="3" t="s">
        <v>95</v>
      </c>
      <c r="D3241" s="3" t="s">
        <v>96</v>
      </c>
      <c r="E3241" s="2"/>
      <c r="F3241" s="2"/>
      <c r="G3241" s="2" t="s">
        <v>80</v>
      </c>
      <c r="H3241" s="2">
        <v>5</v>
      </c>
      <c r="I3241" s="20">
        <v>127.4</v>
      </c>
      <c r="J3241" s="20">
        <v>56922</v>
      </c>
      <c r="K3241" s="3">
        <v>0</v>
      </c>
      <c r="L3241" s="3" t="s">
        <v>3</v>
      </c>
      <c r="M3241" s="9" t="s">
        <v>0</v>
      </c>
      <c r="N3241" s="30" t="s">
        <v>661</v>
      </c>
      <c r="O3241" s="9" t="s">
        <v>662</v>
      </c>
      <c r="S3241" s="9" t="s">
        <v>158</v>
      </c>
      <c r="T3241" s="10" t="s">
        <v>80</v>
      </c>
      <c r="U3241" s="10">
        <v>5</v>
      </c>
      <c r="V3241" s="10">
        <v>127.4</v>
      </c>
      <c r="W3241" s="10" t="s">
        <v>710</v>
      </c>
      <c r="X3241" s="17">
        <v>45746</v>
      </c>
      <c r="Y3241" s="17">
        <v>45747</v>
      </c>
      <c r="Z3241" s="17"/>
      <c r="AA3241" s="207">
        <v>35000</v>
      </c>
      <c r="AB3241" s="9">
        <v>48</v>
      </c>
      <c r="AC3241" s="9">
        <v>38</v>
      </c>
      <c r="AD3241" s="17">
        <v>46934</v>
      </c>
      <c r="AE3241" s="54">
        <v>160</v>
      </c>
      <c r="AF3241" s="54"/>
      <c r="AL3241" s="22"/>
      <c r="AM3241" s="22"/>
      <c r="AN3241" s="22"/>
      <c r="AO3241" s="22"/>
      <c r="AP3241" s="22"/>
      <c r="AQ3241" s="22"/>
      <c r="AR3241" s="22"/>
      <c r="AS3241" s="22"/>
      <c r="AT3241" s="22"/>
      <c r="AU3241" s="22"/>
      <c r="AV3241" s="22"/>
      <c r="AW3241" s="9"/>
      <c r="BA3241" s="22"/>
      <c r="BB3241" s="22"/>
      <c r="BD3241" s="9"/>
      <c r="CT3241" s="22">
        <f t="shared" si="225"/>
        <v>0</v>
      </c>
      <c r="CU3241" s="22">
        <f t="shared" si="226"/>
        <v>0</v>
      </c>
      <c r="CV3241" s="26">
        <f t="shared" si="222"/>
        <v>160</v>
      </c>
    </row>
    <row r="3242" spans="1:100" x14ac:dyDescent="0.2">
      <c r="A3242" s="9" t="s">
        <v>660</v>
      </c>
      <c r="B3242" s="2">
        <v>115</v>
      </c>
      <c r="C3242" s="3" t="s">
        <v>95</v>
      </c>
      <c r="D3242" s="3" t="s">
        <v>96</v>
      </c>
      <c r="E3242" s="2"/>
      <c r="F3242" s="2"/>
      <c r="G3242" s="2" t="s">
        <v>80</v>
      </c>
      <c r="H3242" s="2">
        <v>5</v>
      </c>
      <c r="I3242" s="20">
        <v>127.4</v>
      </c>
      <c r="J3242" s="20">
        <v>56922</v>
      </c>
      <c r="K3242" s="3">
        <v>0</v>
      </c>
      <c r="L3242" s="3" t="s">
        <v>3</v>
      </c>
      <c r="M3242" s="9" t="s">
        <v>0</v>
      </c>
      <c r="N3242" s="30" t="s">
        <v>661</v>
      </c>
      <c r="O3242" s="9" t="s">
        <v>662</v>
      </c>
      <c r="S3242" s="9" t="s">
        <v>158</v>
      </c>
      <c r="T3242" s="10" t="s">
        <v>80</v>
      </c>
      <c r="U3242" s="10">
        <v>5</v>
      </c>
      <c r="V3242" s="10">
        <v>127.4</v>
      </c>
      <c r="W3242" s="10" t="s">
        <v>710</v>
      </c>
      <c r="X3242" s="17">
        <v>45746</v>
      </c>
      <c r="Y3242" s="17">
        <v>45747</v>
      </c>
      <c r="Z3242" s="17"/>
      <c r="AA3242" s="207">
        <v>35000</v>
      </c>
      <c r="AB3242" s="9">
        <v>48</v>
      </c>
      <c r="AC3242" s="9">
        <v>39</v>
      </c>
      <c r="AD3242" s="17">
        <v>46965</v>
      </c>
      <c r="AE3242" s="54">
        <v>160</v>
      </c>
      <c r="AF3242" s="54"/>
      <c r="AL3242" s="22"/>
      <c r="AM3242" s="22"/>
      <c r="AN3242" s="22"/>
      <c r="AO3242" s="22"/>
      <c r="AP3242" s="22"/>
      <c r="AQ3242" s="22"/>
      <c r="AR3242" s="22"/>
      <c r="AS3242" s="22"/>
      <c r="AT3242" s="22"/>
      <c r="AU3242" s="22"/>
      <c r="AV3242" s="22"/>
      <c r="AW3242" s="9"/>
      <c r="BA3242" s="22"/>
      <c r="BB3242" s="22"/>
      <c r="BD3242" s="9"/>
      <c r="CT3242" s="22">
        <f t="shared" si="225"/>
        <v>0</v>
      </c>
      <c r="CU3242" s="22">
        <f t="shared" si="226"/>
        <v>0</v>
      </c>
      <c r="CV3242" s="26">
        <f t="shared" si="222"/>
        <v>160</v>
      </c>
    </row>
    <row r="3243" spans="1:100" x14ac:dyDescent="0.2">
      <c r="A3243" s="9" t="s">
        <v>660</v>
      </c>
      <c r="B3243" s="2">
        <v>115</v>
      </c>
      <c r="C3243" s="3" t="s">
        <v>95</v>
      </c>
      <c r="D3243" s="3" t="s">
        <v>96</v>
      </c>
      <c r="E3243" s="2"/>
      <c r="F3243" s="2"/>
      <c r="G3243" s="2" t="s">
        <v>80</v>
      </c>
      <c r="H3243" s="2">
        <v>5</v>
      </c>
      <c r="I3243" s="20">
        <v>127.4</v>
      </c>
      <c r="J3243" s="20">
        <v>56922</v>
      </c>
      <c r="K3243" s="3">
        <v>0</v>
      </c>
      <c r="L3243" s="3" t="s">
        <v>3</v>
      </c>
      <c r="M3243" s="9" t="s">
        <v>0</v>
      </c>
      <c r="N3243" s="30" t="s">
        <v>661</v>
      </c>
      <c r="O3243" s="9" t="s">
        <v>662</v>
      </c>
      <c r="S3243" s="9" t="s">
        <v>158</v>
      </c>
      <c r="T3243" s="10" t="s">
        <v>80</v>
      </c>
      <c r="U3243" s="10">
        <v>5</v>
      </c>
      <c r="V3243" s="10">
        <v>127.4</v>
      </c>
      <c r="W3243" s="10" t="s">
        <v>710</v>
      </c>
      <c r="X3243" s="17">
        <v>45746</v>
      </c>
      <c r="Y3243" s="17">
        <v>45747</v>
      </c>
      <c r="Z3243" s="17"/>
      <c r="AA3243" s="207">
        <v>35000</v>
      </c>
      <c r="AB3243" s="9">
        <v>48</v>
      </c>
      <c r="AC3243" s="9">
        <v>40</v>
      </c>
      <c r="AD3243" s="17">
        <v>46996</v>
      </c>
      <c r="AE3243" s="54">
        <v>160</v>
      </c>
      <c r="AF3243" s="54"/>
      <c r="AL3243" s="22"/>
      <c r="AM3243" s="22"/>
      <c r="AN3243" s="22"/>
      <c r="AO3243" s="22"/>
      <c r="AP3243" s="22"/>
      <c r="AQ3243" s="22"/>
      <c r="AR3243" s="22"/>
      <c r="AS3243" s="22"/>
      <c r="AT3243" s="22"/>
      <c r="AU3243" s="22"/>
      <c r="AV3243" s="22"/>
      <c r="AW3243" s="9"/>
      <c r="BA3243" s="22"/>
      <c r="BB3243" s="22"/>
      <c r="BD3243" s="9"/>
      <c r="CT3243" s="22">
        <f t="shared" si="225"/>
        <v>0</v>
      </c>
      <c r="CU3243" s="22">
        <f t="shared" si="226"/>
        <v>0</v>
      </c>
      <c r="CV3243" s="26">
        <f t="shared" si="222"/>
        <v>160</v>
      </c>
    </row>
    <row r="3244" spans="1:100" x14ac:dyDescent="0.2">
      <c r="A3244" s="9" t="s">
        <v>660</v>
      </c>
      <c r="B3244" s="2">
        <v>115</v>
      </c>
      <c r="C3244" s="3" t="s">
        <v>95</v>
      </c>
      <c r="D3244" s="3" t="s">
        <v>96</v>
      </c>
      <c r="E3244" s="2"/>
      <c r="F3244" s="2"/>
      <c r="G3244" s="2" t="s">
        <v>80</v>
      </c>
      <c r="H3244" s="2">
        <v>5</v>
      </c>
      <c r="I3244" s="20">
        <v>127.4</v>
      </c>
      <c r="J3244" s="20">
        <v>56922</v>
      </c>
      <c r="K3244" s="3">
        <v>0</v>
      </c>
      <c r="L3244" s="3" t="s">
        <v>3</v>
      </c>
      <c r="M3244" s="9" t="s">
        <v>0</v>
      </c>
      <c r="N3244" s="30" t="s">
        <v>661</v>
      </c>
      <c r="O3244" s="9" t="s">
        <v>662</v>
      </c>
      <c r="S3244" s="9" t="s">
        <v>158</v>
      </c>
      <c r="T3244" s="10" t="s">
        <v>80</v>
      </c>
      <c r="U3244" s="10">
        <v>5</v>
      </c>
      <c r="V3244" s="10">
        <v>127.4</v>
      </c>
      <c r="W3244" s="10" t="s">
        <v>710</v>
      </c>
      <c r="X3244" s="17">
        <v>45746</v>
      </c>
      <c r="Y3244" s="17">
        <v>45747</v>
      </c>
      <c r="Z3244" s="17"/>
      <c r="AA3244" s="207">
        <v>35000</v>
      </c>
      <c r="AB3244" s="9">
        <v>48</v>
      </c>
      <c r="AC3244" s="9">
        <v>41</v>
      </c>
      <c r="AD3244" s="17">
        <v>47026</v>
      </c>
      <c r="AE3244" s="54">
        <v>160</v>
      </c>
      <c r="AF3244" s="54"/>
      <c r="AL3244" s="22"/>
      <c r="AM3244" s="22"/>
      <c r="AN3244" s="22"/>
      <c r="AO3244" s="22"/>
      <c r="AP3244" s="22"/>
      <c r="AQ3244" s="22"/>
      <c r="AR3244" s="22"/>
      <c r="AS3244" s="22"/>
      <c r="AT3244" s="22"/>
      <c r="AU3244" s="22"/>
      <c r="AV3244" s="22"/>
      <c r="AW3244" s="9"/>
      <c r="BA3244" s="22"/>
      <c r="BB3244" s="22"/>
      <c r="BD3244" s="9"/>
      <c r="CT3244" s="22">
        <f t="shared" si="225"/>
        <v>0</v>
      </c>
      <c r="CU3244" s="22">
        <f t="shared" si="226"/>
        <v>0</v>
      </c>
      <c r="CV3244" s="26">
        <f t="shared" si="222"/>
        <v>160</v>
      </c>
    </row>
    <row r="3245" spans="1:100" x14ac:dyDescent="0.2">
      <c r="A3245" s="9" t="s">
        <v>660</v>
      </c>
      <c r="B3245" s="2">
        <v>115</v>
      </c>
      <c r="C3245" s="3" t="s">
        <v>95</v>
      </c>
      <c r="D3245" s="3" t="s">
        <v>96</v>
      </c>
      <c r="E3245" s="2"/>
      <c r="F3245" s="2"/>
      <c r="G3245" s="2" t="s">
        <v>80</v>
      </c>
      <c r="H3245" s="2">
        <v>5</v>
      </c>
      <c r="I3245" s="20">
        <v>127.4</v>
      </c>
      <c r="J3245" s="20">
        <v>56922</v>
      </c>
      <c r="K3245" s="3">
        <v>0</v>
      </c>
      <c r="L3245" s="3" t="s">
        <v>3</v>
      </c>
      <c r="M3245" s="9" t="s">
        <v>0</v>
      </c>
      <c r="N3245" s="30" t="s">
        <v>661</v>
      </c>
      <c r="O3245" s="9" t="s">
        <v>662</v>
      </c>
      <c r="S3245" s="9" t="s">
        <v>158</v>
      </c>
      <c r="T3245" s="10" t="s">
        <v>80</v>
      </c>
      <c r="U3245" s="10">
        <v>5</v>
      </c>
      <c r="V3245" s="10">
        <v>127.4</v>
      </c>
      <c r="W3245" s="10" t="s">
        <v>710</v>
      </c>
      <c r="X3245" s="17">
        <v>45746</v>
      </c>
      <c r="Y3245" s="17">
        <v>45747</v>
      </c>
      <c r="Z3245" s="17"/>
      <c r="AA3245" s="207">
        <v>35000</v>
      </c>
      <c r="AB3245" s="9">
        <v>48</v>
      </c>
      <c r="AC3245" s="9">
        <v>42</v>
      </c>
      <c r="AD3245" s="17">
        <v>47057</v>
      </c>
      <c r="AE3245" s="54">
        <v>160</v>
      </c>
      <c r="AF3245" s="54"/>
      <c r="AL3245" s="22"/>
      <c r="AM3245" s="22"/>
      <c r="AN3245" s="22"/>
      <c r="AO3245" s="22"/>
      <c r="AP3245" s="22"/>
      <c r="AQ3245" s="22"/>
      <c r="AR3245" s="22"/>
      <c r="AS3245" s="22"/>
      <c r="AT3245" s="22"/>
      <c r="AU3245" s="22"/>
      <c r="AV3245" s="22"/>
      <c r="AW3245" s="9"/>
      <c r="BA3245" s="22"/>
      <c r="BB3245" s="22"/>
      <c r="BD3245" s="9"/>
      <c r="CT3245" s="22">
        <f t="shared" si="225"/>
        <v>0</v>
      </c>
      <c r="CU3245" s="22">
        <f t="shared" si="226"/>
        <v>0</v>
      </c>
      <c r="CV3245" s="26">
        <f t="shared" si="222"/>
        <v>160</v>
      </c>
    </row>
    <row r="3246" spans="1:100" x14ac:dyDescent="0.2">
      <c r="A3246" s="9" t="s">
        <v>660</v>
      </c>
      <c r="B3246" s="2">
        <v>115</v>
      </c>
      <c r="C3246" s="3" t="s">
        <v>95</v>
      </c>
      <c r="D3246" s="3" t="s">
        <v>96</v>
      </c>
      <c r="E3246" s="2"/>
      <c r="F3246" s="2"/>
      <c r="G3246" s="2" t="s">
        <v>80</v>
      </c>
      <c r="H3246" s="2">
        <v>5</v>
      </c>
      <c r="I3246" s="20">
        <v>127.4</v>
      </c>
      <c r="J3246" s="20">
        <v>56922</v>
      </c>
      <c r="K3246" s="3">
        <v>0</v>
      </c>
      <c r="L3246" s="3" t="s">
        <v>3</v>
      </c>
      <c r="M3246" s="9" t="s">
        <v>0</v>
      </c>
      <c r="N3246" s="30" t="s">
        <v>661</v>
      </c>
      <c r="O3246" s="9" t="s">
        <v>662</v>
      </c>
      <c r="S3246" s="9" t="s">
        <v>158</v>
      </c>
      <c r="T3246" s="10" t="s">
        <v>80</v>
      </c>
      <c r="U3246" s="10">
        <v>5</v>
      </c>
      <c r="V3246" s="10">
        <v>127.4</v>
      </c>
      <c r="W3246" s="10" t="s">
        <v>710</v>
      </c>
      <c r="X3246" s="17">
        <v>45746</v>
      </c>
      <c r="Y3246" s="17">
        <v>45747</v>
      </c>
      <c r="Z3246" s="17"/>
      <c r="AA3246" s="207">
        <v>35000</v>
      </c>
      <c r="AB3246" s="9">
        <v>48</v>
      </c>
      <c r="AC3246" s="9">
        <v>43</v>
      </c>
      <c r="AD3246" s="17">
        <v>47087</v>
      </c>
      <c r="AE3246" s="54">
        <v>160</v>
      </c>
      <c r="AF3246" s="54"/>
      <c r="AL3246" s="22"/>
      <c r="AM3246" s="22"/>
      <c r="AN3246" s="22"/>
      <c r="AO3246" s="22"/>
      <c r="AP3246" s="22"/>
      <c r="AQ3246" s="22"/>
      <c r="AR3246" s="22"/>
      <c r="AS3246" s="22"/>
      <c r="AT3246" s="22"/>
      <c r="AU3246" s="22"/>
      <c r="AV3246" s="22"/>
      <c r="AW3246" s="9"/>
      <c r="BA3246" s="22"/>
      <c r="BB3246" s="22"/>
      <c r="BD3246" s="9"/>
      <c r="CT3246" s="22">
        <f t="shared" si="225"/>
        <v>0</v>
      </c>
      <c r="CU3246" s="22">
        <f t="shared" si="226"/>
        <v>0</v>
      </c>
      <c r="CV3246" s="26">
        <f t="shared" si="222"/>
        <v>160</v>
      </c>
    </row>
    <row r="3247" spans="1:100" x14ac:dyDescent="0.2">
      <c r="A3247" s="9" t="s">
        <v>660</v>
      </c>
      <c r="B3247" s="2">
        <v>115</v>
      </c>
      <c r="C3247" s="3" t="s">
        <v>95</v>
      </c>
      <c r="D3247" s="3" t="s">
        <v>96</v>
      </c>
      <c r="E3247" s="2"/>
      <c r="F3247" s="2"/>
      <c r="G3247" s="2" t="s">
        <v>80</v>
      </c>
      <c r="H3247" s="2">
        <v>5</v>
      </c>
      <c r="I3247" s="20">
        <v>127.4</v>
      </c>
      <c r="J3247" s="20">
        <v>56922</v>
      </c>
      <c r="K3247" s="3">
        <v>0</v>
      </c>
      <c r="L3247" s="3" t="s">
        <v>3</v>
      </c>
      <c r="M3247" s="9" t="s">
        <v>0</v>
      </c>
      <c r="N3247" s="30" t="s">
        <v>661</v>
      </c>
      <c r="O3247" s="9" t="s">
        <v>662</v>
      </c>
      <c r="S3247" s="9" t="s">
        <v>158</v>
      </c>
      <c r="T3247" s="10" t="s">
        <v>80</v>
      </c>
      <c r="U3247" s="10">
        <v>5</v>
      </c>
      <c r="V3247" s="10">
        <v>127.4</v>
      </c>
      <c r="W3247" s="10" t="s">
        <v>710</v>
      </c>
      <c r="X3247" s="17">
        <v>45746</v>
      </c>
      <c r="Y3247" s="17">
        <v>45747</v>
      </c>
      <c r="Z3247" s="17"/>
      <c r="AA3247" s="207">
        <v>35000</v>
      </c>
      <c r="AB3247" s="9">
        <v>48</v>
      </c>
      <c r="AC3247" s="9">
        <v>44</v>
      </c>
      <c r="AD3247" s="17">
        <v>47118</v>
      </c>
      <c r="AE3247" s="54">
        <v>160</v>
      </c>
      <c r="AF3247" s="54"/>
      <c r="AL3247" s="22"/>
      <c r="AM3247" s="22"/>
      <c r="AN3247" s="22"/>
      <c r="AO3247" s="22"/>
      <c r="AP3247" s="22"/>
      <c r="AQ3247" s="22"/>
      <c r="AR3247" s="22"/>
      <c r="AS3247" s="22"/>
      <c r="AT3247" s="22"/>
      <c r="AU3247" s="22"/>
      <c r="AV3247" s="22"/>
      <c r="AW3247" s="9"/>
      <c r="BA3247" s="22"/>
      <c r="BB3247" s="22"/>
      <c r="BD3247" s="9"/>
      <c r="CT3247" s="22">
        <f t="shared" si="225"/>
        <v>0</v>
      </c>
      <c r="CU3247" s="22">
        <f t="shared" si="226"/>
        <v>0</v>
      </c>
      <c r="CV3247" s="26">
        <f t="shared" si="222"/>
        <v>160</v>
      </c>
    </row>
    <row r="3248" spans="1:100" x14ac:dyDescent="0.2">
      <c r="A3248" s="9" t="s">
        <v>660</v>
      </c>
      <c r="B3248" s="2">
        <v>115</v>
      </c>
      <c r="C3248" s="3" t="s">
        <v>95</v>
      </c>
      <c r="D3248" s="3" t="s">
        <v>96</v>
      </c>
      <c r="E3248" s="2"/>
      <c r="F3248" s="2"/>
      <c r="G3248" s="2" t="s">
        <v>80</v>
      </c>
      <c r="H3248" s="2">
        <v>5</v>
      </c>
      <c r="I3248" s="20">
        <v>127.4</v>
      </c>
      <c r="J3248" s="20">
        <v>56922</v>
      </c>
      <c r="K3248" s="3">
        <v>0</v>
      </c>
      <c r="L3248" s="3" t="s">
        <v>3</v>
      </c>
      <c r="M3248" s="9" t="s">
        <v>0</v>
      </c>
      <c r="N3248" s="30" t="s">
        <v>661</v>
      </c>
      <c r="O3248" s="9" t="s">
        <v>662</v>
      </c>
      <c r="S3248" s="9" t="s">
        <v>158</v>
      </c>
      <c r="T3248" s="10" t="s">
        <v>80</v>
      </c>
      <c r="U3248" s="10">
        <v>5</v>
      </c>
      <c r="V3248" s="10">
        <v>127.4</v>
      </c>
      <c r="W3248" s="10" t="s">
        <v>710</v>
      </c>
      <c r="X3248" s="17">
        <v>45746</v>
      </c>
      <c r="Y3248" s="17">
        <v>45747</v>
      </c>
      <c r="Z3248" s="17"/>
      <c r="AA3248" s="207">
        <v>35000</v>
      </c>
      <c r="AB3248" s="9">
        <v>48</v>
      </c>
      <c r="AC3248" s="9">
        <v>45</v>
      </c>
      <c r="AD3248" s="17">
        <v>47149</v>
      </c>
      <c r="AE3248" s="54">
        <v>160</v>
      </c>
      <c r="AF3248" s="54"/>
      <c r="AL3248" s="22"/>
      <c r="AM3248" s="22"/>
      <c r="AN3248" s="22"/>
      <c r="AO3248" s="22"/>
      <c r="AP3248" s="22"/>
      <c r="AQ3248" s="22"/>
      <c r="AR3248" s="22"/>
      <c r="AS3248" s="22"/>
      <c r="AT3248" s="22"/>
      <c r="AU3248" s="22"/>
      <c r="AV3248" s="22"/>
      <c r="AW3248" s="9"/>
      <c r="BA3248" s="22"/>
      <c r="BB3248" s="22"/>
      <c r="BD3248" s="9"/>
      <c r="CT3248" s="22">
        <f t="shared" si="225"/>
        <v>0</v>
      </c>
      <c r="CU3248" s="22">
        <f t="shared" si="226"/>
        <v>0</v>
      </c>
      <c r="CV3248" s="26">
        <f t="shared" si="222"/>
        <v>160</v>
      </c>
    </row>
    <row r="3249" spans="1:101" x14ac:dyDescent="0.2">
      <c r="A3249" s="9" t="s">
        <v>660</v>
      </c>
      <c r="B3249" s="2">
        <v>115</v>
      </c>
      <c r="C3249" s="3" t="s">
        <v>95</v>
      </c>
      <c r="D3249" s="3" t="s">
        <v>96</v>
      </c>
      <c r="E3249" s="2"/>
      <c r="F3249" s="2"/>
      <c r="G3249" s="2" t="s">
        <v>80</v>
      </c>
      <c r="H3249" s="2">
        <v>5</v>
      </c>
      <c r="I3249" s="20">
        <v>127.4</v>
      </c>
      <c r="J3249" s="20">
        <v>56922</v>
      </c>
      <c r="K3249" s="3">
        <v>0</v>
      </c>
      <c r="L3249" s="3" t="s">
        <v>3</v>
      </c>
      <c r="M3249" s="9" t="s">
        <v>0</v>
      </c>
      <c r="N3249" s="30" t="s">
        <v>661</v>
      </c>
      <c r="O3249" s="9" t="s">
        <v>662</v>
      </c>
      <c r="S3249" s="9" t="s">
        <v>158</v>
      </c>
      <c r="T3249" s="10" t="s">
        <v>80</v>
      </c>
      <c r="U3249" s="10">
        <v>5</v>
      </c>
      <c r="V3249" s="10">
        <v>127.4</v>
      </c>
      <c r="W3249" s="10" t="s">
        <v>710</v>
      </c>
      <c r="X3249" s="17">
        <v>45746</v>
      </c>
      <c r="Y3249" s="17">
        <v>45747</v>
      </c>
      <c r="Z3249" s="17"/>
      <c r="AA3249" s="207">
        <v>35000</v>
      </c>
      <c r="AB3249" s="9">
        <v>48</v>
      </c>
      <c r="AC3249" s="9">
        <v>46</v>
      </c>
      <c r="AD3249" s="17">
        <v>47177</v>
      </c>
      <c r="AE3249" s="54">
        <v>160</v>
      </c>
      <c r="AF3249" s="54"/>
      <c r="AL3249" s="22"/>
      <c r="AM3249" s="22"/>
      <c r="AN3249" s="22"/>
      <c r="AO3249" s="22"/>
      <c r="AP3249" s="22"/>
      <c r="AQ3249" s="22"/>
      <c r="AR3249" s="22"/>
      <c r="AS3249" s="22"/>
      <c r="AT3249" s="22"/>
      <c r="AU3249" s="22"/>
      <c r="AV3249" s="22"/>
      <c r="AW3249" s="9"/>
      <c r="BA3249" s="22"/>
      <c r="BB3249" s="22"/>
      <c r="BD3249" s="9"/>
      <c r="CT3249" s="22">
        <f t="shared" si="225"/>
        <v>0</v>
      </c>
      <c r="CU3249" s="22">
        <f t="shared" si="226"/>
        <v>0</v>
      </c>
      <c r="CV3249" s="26">
        <f t="shared" si="222"/>
        <v>160</v>
      </c>
    </row>
    <row r="3250" spans="1:101" x14ac:dyDescent="0.2">
      <c r="A3250" s="9" t="s">
        <v>660</v>
      </c>
      <c r="B3250" s="2">
        <v>115</v>
      </c>
      <c r="C3250" s="3" t="s">
        <v>95</v>
      </c>
      <c r="D3250" s="3" t="s">
        <v>96</v>
      </c>
      <c r="E3250" s="2"/>
      <c r="F3250" s="2"/>
      <c r="G3250" s="2" t="s">
        <v>80</v>
      </c>
      <c r="H3250" s="2">
        <v>5</v>
      </c>
      <c r="I3250" s="20">
        <v>127.4</v>
      </c>
      <c r="J3250" s="20">
        <v>56922</v>
      </c>
      <c r="K3250" s="3">
        <v>0</v>
      </c>
      <c r="L3250" s="3" t="s">
        <v>3</v>
      </c>
      <c r="M3250" s="9" t="s">
        <v>0</v>
      </c>
      <c r="N3250" s="30" t="s">
        <v>661</v>
      </c>
      <c r="O3250" s="9" t="s">
        <v>662</v>
      </c>
      <c r="S3250" s="9" t="s">
        <v>158</v>
      </c>
      <c r="T3250" s="10" t="s">
        <v>80</v>
      </c>
      <c r="U3250" s="10">
        <v>5</v>
      </c>
      <c r="V3250" s="10">
        <v>127.4</v>
      </c>
      <c r="W3250" s="10" t="s">
        <v>710</v>
      </c>
      <c r="X3250" s="17">
        <v>45746</v>
      </c>
      <c r="Y3250" s="17">
        <v>45747</v>
      </c>
      <c r="Z3250" s="17"/>
      <c r="AA3250" s="207">
        <v>35000</v>
      </c>
      <c r="AB3250" s="9">
        <v>48</v>
      </c>
      <c r="AC3250" s="9">
        <v>47</v>
      </c>
      <c r="AD3250" s="17">
        <v>47208</v>
      </c>
      <c r="AE3250" s="54">
        <v>160</v>
      </c>
      <c r="AF3250" s="54"/>
      <c r="AL3250" s="22"/>
      <c r="AM3250" s="22"/>
      <c r="AN3250" s="22"/>
      <c r="AO3250" s="22"/>
      <c r="AP3250" s="22"/>
      <c r="AQ3250" s="22"/>
      <c r="AR3250" s="22"/>
      <c r="AS3250" s="22"/>
      <c r="AT3250" s="22"/>
      <c r="AU3250" s="22"/>
      <c r="AV3250" s="22"/>
      <c r="AW3250" s="9"/>
      <c r="BA3250" s="22"/>
      <c r="BB3250" s="22"/>
      <c r="BD3250" s="9"/>
      <c r="CT3250" s="22">
        <f t="shared" si="225"/>
        <v>0</v>
      </c>
      <c r="CU3250" s="22">
        <f t="shared" si="226"/>
        <v>0</v>
      </c>
      <c r="CV3250" s="26">
        <f t="shared" si="222"/>
        <v>160</v>
      </c>
    </row>
    <row r="3251" spans="1:101" x14ac:dyDescent="0.2">
      <c r="A3251" s="9" t="s">
        <v>660</v>
      </c>
      <c r="B3251" s="2">
        <v>115</v>
      </c>
      <c r="C3251" s="3" t="s">
        <v>95</v>
      </c>
      <c r="D3251" s="3" t="s">
        <v>96</v>
      </c>
      <c r="E3251" s="2"/>
      <c r="F3251" s="2"/>
      <c r="G3251" s="2" t="s">
        <v>80</v>
      </c>
      <c r="H3251" s="2">
        <v>5</v>
      </c>
      <c r="I3251" s="20">
        <v>127.4</v>
      </c>
      <c r="J3251" s="20">
        <v>56922</v>
      </c>
      <c r="K3251" s="3">
        <v>0</v>
      </c>
      <c r="L3251" s="3" t="s">
        <v>3</v>
      </c>
      <c r="M3251" s="9" t="s">
        <v>0</v>
      </c>
      <c r="N3251" s="30" t="s">
        <v>661</v>
      </c>
      <c r="O3251" s="9" t="s">
        <v>662</v>
      </c>
      <c r="S3251" s="9" t="s">
        <v>158</v>
      </c>
      <c r="T3251" s="10" t="s">
        <v>80</v>
      </c>
      <c r="U3251" s="10">
        <v>5</v>
      </c>
      <c r="V3251" s="10">
        <v>127.4</v>
      </c>
      <c r="W3251" s="10" t="s">
        <v>710</v>
      </c>
      <c r="X3251" s="17">
        <v>45746</v>
      </c>
      <c r="Y3251" s="17">
        <v>45747</v>
      </c>
      <c r="Z3251" s="17"/>
      <c r="AA3251" s="207">
        <v>35000</v>
      </c>
      <c r="AB3251" s="9">
        <v>48</v>
      </c>
      <c r="AC3251" s="9">
        <v>48</v>
      </c>
      <c r="AD3251" s="17">
        <v>47238</v>
      </c>
      <c r="AE3251" s="54">
        <v>8660</v>
      </c>
      <c r="AF3251" s="54"/>
      <c r="AL3251" s="22"/>
      <c r="AM3251" s="22"/>
      <c r="AN3251" s="22"/>
      <c r="AO3251" s="22"/>
      <c r="AP3251" s="22"/>
      <c r="AQ3251" s="22"/>
      <c r="AR3251" s="22"/>
      <c r="AS3251" s="22"/>
      <c r="AT3251" s="22"/>
      <c r="AU3251" s="22"/>
      <c r="AV3251" s="22"/>
      <c r="AW3251" s="9"/>
      <c r="BA3251" s="22"/>
      <c r="BB3251" s="22"/>
      <c r="BD3251" s="9"/>
      <c r="CT3251" s="22">
        <f t="shared" si="225"/>
        <v>0</v>
      </c>
      <c r="CU3251" s="22">
        <f t="shared" si="226"/>
        <v>0</v>
      </c>
      <c r="CV3251" s="26">
        <f t="shared" si="222"/>
        <v>8660</v>
      </c>
    </row>
    <row r="3252" spans="1:101" x14ac:dyDescent="0.2">
      <c r="A3252" s="9" t="s">
        <v>665</v>
      </c>
      <c r="B3252" s="2">
        <v>27</v>
      </c>
      <c r="C3252" s="3" t="s">
        <v>95</v>
      </c>
      <c r="D3252" s="3" t="s">
        <v>96</v>
      </c>
      <c r="E3252" s="2"/>
      <c r="F3252" s="2"/>
      <c r="G3252" s="2" t="s">
        <v>68</v>
      </c>
      <c r="H3252" s="2">
        <v>7</v>
      </c>
      <c r="I3252" s="20">
        <v>148.94999999999999</v>
      </c>
      <c r="J3252" s="20">
        <v>66200</v>
      </c>
      <c r="K3252" s="3">
        <v>0</v>
      </c>
      <c r="L3252" s="3" t="s">
        <v>3</v>
      </c>
      <c r="M3252" s="9" t="s">
        <v>0</v>
      </c>
      <c r="N3252" s="75">
        <v>77069854</v>
      </c>
      <c r="O3252" s="9" t="s">
        <v>666</v>
      </c>
      <c r="P3252" s="9" t="s">
        <v>0</v>
      </c>
      <c r="S3252" s="9" t="s">
        <v>158</v>
      </c>
      <c r="T3252" s="10" t="s">
        <v>68</v>
      </c>
      <c r="U3252" s="10">
        <v>7</v>
      </c>
      <c r="V3252" s="10">
        <v>148.94999999999999</v>
      </c>
      <c r="W3252" s="10" t="s">
        <v>710</v>
      </c>
      <c r="X3252" s="17">
        <v>45710</v>
      </c>
      <c r="Y3252" s="17">
        <v>45747</v>
      </c>
      <c r="Z3252" s="19" t="s">
        <v>772</v>
      </c>
      <c r="AA3252" s="207">
        <v>49650</v>
      </c>
      <c r="AB3252" s="9">
        <v>48</v>
      </c>
      <c r="AC3252" s="9">
        <v>0</v>
      </c>
      <c r="AD3252" s="17">
        <v>45710</v>
      </c>
      <c r="AE3252" s="54">
        <v>1355</v>
      </c>
      <c r="AF3252" s="54"/>
      <c r="AG3252" s="10" t="s">
        <v>134</v>
      </c>
      <c r="AH3252" s="18">
        <v>45710</v>
      </c>
      <c r="AI3252" s="18"/>
      <c r="AJ3252" s="18"/>
      <c r="AK3252" s="10" t="s">
        <v>667</v>
      </c>
      <c r="AL3252" s="22">
        <v>1355</v>
      </c>
      <c r="AM3252" s="22"/>
      <c r="AN3252" s="22" t="s">
        <v>832</v>
      </c>
      <c r="AO3252" s="22"/>
      <c r="AP3252" s="22"/>
      <c r="AQ3252" s="22"/>
      <c r="AR3252" s="22"/>
      <c r="AS3252" s="22"/>
      <c r="AT3252" s="22"/>
      <c r="AU3252" s="22"/>
      <c r="AV3252" s="22"/>
      <c r="AW3252" s="42">
        <v>45710</v>
      </c>
      <c r="AX3252" s="41">
        <v>862150</v>
      </c>
      <c r="AY3252" s="40">
        <v>5000</v>
      </c>
      <c r="AZ3252" s="36">
        <v>3.69</v>
      </c>
      <c r="BA3252" s="40">
        <f>+AY3252/AZ3252</f>
        <v>1355.0135501355014</v>
      </c>
      <c r="BB3252" s="22"/>
      <c r="BD3252" s="9"/>
      <c r="CS3252" s="11">
        <f t="shared" ref="CS3252:CS3315" si="227">+AL3252+AT3252</f>
        <v>1355</v>
      </c>
      <c r="CT3252" s="22">
        <f t="shared" ref="CT3252:CT3315" si="228">+BA3252+BG3252+BM3252+BS3252+BY3252+CE3252+CK3252+CQ3252</f>
        <v>1355.0135501355014</v>
      </c>
      <c r="CU3252" s="22">
        <f t="shared" ref="CU3252:CU3315" si="229">+CS3252-CT3252</f>
        <v>-1.3550135501418481E-2</v>
      </c>
      <c r="CV3252" s="26">
        <f t="shared" si="222"/>
        <v>0</v>
      </c>
    </row>
    <row r="3253" spans="1:101" x14ac:dyDescent="0.2">
      <c r="A3253" s="9" t="s">
        <v>665</v>
      </c>
      <c r="B3253" s="2">
        <v>27</v>
      </c>
      <c r="C3253" s="3" t="s">
        <v>95</v>
      </c>
      <c r="D3253" s="3" t="s">
        <v>96</v>
      </c>
      <c r="E3253" s="2"/>
      <c r="F3253" s="2"/>
      <c r="G3253" s="2" t="s">
        <v>68</v>
      </c>
      <c r="H3253" s="2">
        <v>7</v>
      </c>
      <c r="I3253" s="20">
        <v>148.94999999999999</v>
      </c>
      <c r="J3253" s="20">
        <v>66200</v>
      </c>
      <c r="K3253" s="3">
        <v>0</v>
      </c>
      <c r="L3253" s="3" t="s">
        <v>3</v>
      </c>
      <c r="M3253" s="9" t="s">
        <v>0</v>
      </c>
      <c r="N3253" s="75">
        <v>77069854</v>
      </c>
      <c r="O3253" s="9" t="s">
        <v>666</v>
      </c>
      <c r="P3253" s="9" t="s">
        <v>0</v>
      </c>
      <c r="S3253" s="9" t="s">
        <v>158</v>
      </c>
      <c r="T3253" s="10" t="s">
        <v>68</v>
      </c>
      <c r="U3253" s="10">
        <v>7</v>
      </c>
      <c r="V3253" s="10">
        <v>148.94999999999999</v>
      </c>
      <c r="W3253" s="10" t="s">
        <v>710</v>
      </c>
      <c r="X3253" s="17">
        <v>45710</v>
      </c>
      <c r="Y3253" s="17">
        <v>45747</v>
      </c>
      <c r="Z3253" s="19" t="s">
        <v>772</v>
      </c>
      <c r="AA3253" s="207">
        <v>49650</v>
      </c>
      <c r="AB3253" s="9">
        <v>48</v>
      </c>
      <c r="AC3253" s="9">
        <v>0</v>
      </c>
      <c r="AD3253" s="17">
        <v>45745</v>
      </c>
      <c r="AE3253" s="54">
        <v>2747.25</v>
      </c>
      <c r="AF3253" s="54"/>
      <c r="AG3253" s="10" t="s">
        <v>134</v>
      </c>
      <c r="AH3253" s="18">
        <v>45745</v>
      </c>
      <c r="AI3253" s="18"/>
      <c r="AJ3253" s="18"/>
      <c r="AK3253" s="10" t="s">
        <v>668</v>
      </c>
      <c r="AL3253" s="22">
        <v>2747.25</v>
      </c>
      <c r="AM3253" s="22"/>
      <c r="AN3253" s="22" t="s">
        <v>833</v>
      </c>
      <c r="AO3253" s="22"/>
      <c r="AP3253" s="22"/>
      <c r="AQ3253" s="22"/>
      <c r="AR3253" s="22"/>
      <c r="AS3253" s="22"/>
      <c r="AT3253" s="22"/>
      <c r="AU3253" s="22"/>
      <c r="AV3253" s="22"/>
      <c r="AW3253" s="42">
        <v>45745</v>
      </c>
      <c r="AX3253" s="41">
        <v>490748</v>
      </c>
      <c r="AY3253" s="40">
        <v>10000</v>
      </c>
      <c r="AZ3253" s="36">
        <v>3.64</v>
      </c>
      <c r="BA3253" s="40">
        <f>+AY3253/AZ3253</f>
        <v>2747.2527472527472</v>
      </c>
      <c r="BB3253" s="22"/>
      <c r="BD3253" s="9"/>
      <c r="CS3253" s="11">
        <f t="shared" si="227"/>
        <v>2747.25</v>
      </c>
      <c r="CT3253" s="22">
        <f t="shared" si="228"/>
        <v>2747.2527472527472</v>
      </c>
      <c r="CU3253" s="22">
        <f t="shared" si="229"/>
        <v>-2.7472527472127695E-3</v>
      </c>
      <c r="CV3253" s="26">
        <f t="shared" si="222"/>
        <v>0</v>
      </c>
    </row>
    <row r="3254" spans="1:101" s="27" customFormat="1" x14ac:dyDescent="0.2">
      <c r="A3254" s="27" t="s">
        <v>665</v>
      </c>
      <c r="B3254" s="67">
        <v>27</v>
      </c>
      <c r="C3254" s="68" t="s">
        <v>95</v>
      </c>
      <c r="D3254" s="68" t="s">
        <v>96</v>
      </c>
      <c r="E3254" s="67"/>
      <c r="F3254" s="67"/>
      <c r="G3254" s="67" t="s">
        <v>68</v>
      </c>
      <c r="H3254" s="67">
        <v>7</v>
      </c>
      <c r="I3254" s="217">
        <v>148.94999999999999</v>
      </c>
      <c r="J3254" s="217">
        <v>66200</v>
      </c>
      <c r="K3254" s="68">
        <v>0</v>
      </c>
      <c r="L3254" s="68" t="s">
        <v>3</v>
      </c>
      <c r="M3254" s="27" t="s">
        <v>0</v>
      </c>
      <c r="N3254" s="230">
        <v>77069854</v>
      </c>
      <c r="O3254" s="27" t="s">
        <v>666</v>
      </c>
      <c r="P3254" s="27" t="s">
        <v>0</v>
      </c>
      <c r="Q3254" s="218"/>
      <c r="S3254" s="27" t="s">
        <v>158</v>
      </c>
      <c r="T3254" s="69" t="s">
        <v>68</v>
      </c>
      <c r="U3254" s="69">
        <v>7</v>
      </c>
      <c r="V3254" s="69">
        <v>148.94999999999999</v>
      </c>
      <c r="W3254" s="69" t="s">
        <v>710</v>
      </c>
      <c r="X3254" s="70">
        <v>45710</v>
      </c>
      <c r="Y3254" s="70">
        <v>45747</v>
      </c>
      <c r="Z3254" s="219" t="s">
        <v>772</v>
      </c>
      <c r="AA3254" s="214">
        <v>49650</v>
      </c>
      <c r="AB3254" s="27">
        <v>48</v>
      </c>
      <c r="AC3254" s="27">
        <v>1</v>
      </c>
      <c r="AD3254" s="70">
        <v>45807</v>
      </c>
      <c r="AE3254" s="220">
        <v>950</v>
      </c>
      <c r="AF3254" s="220">
        <v>20</v>
      </c>
      <c r="AG3254" s="69" t="s">
        <v>134</v>
      </c>
      <c r="AH3254" s="70">
        <v>45811</v>
      </c>
      <c r="AI3254" s="70"/>
      <c r="AJ3254" s="70"/>
      <c r="AK3254" s="27" t="s">
        <v>824</v>
      </c>
      <c r="AL3254" s="28">
        <v>950</v>
      </c>
      <c r="AM3254" s="28"/>
      <c r="AN3254" s="28" t="s">
        <v>834</v>
      </c>
      <c r="AO3254" s="69" t="s">
        <v>134</v>
      </c>
      <c r="AP3254" s="70">
        <v>45811</v>
      </c>
      <c r="AQ3254" s="70"/>
      <c r="AR3254" s="70"/>
      <c r="AS3254" s="27" t="s">
        <v>825</v>
      </c>
      <c r="AT3254" s="28">
        <v>20</v>
      </c>
      <c r="AU3254" s="28"/>
      <c r="AV3254" s="28" t="s">
        <v>835</v>
      </c>
      <c r="AW3254" s="70">
        <v>45811</v>
      </c>
      <c r="AX3254" s="69">
        <v>4260</v>
      </c>
      <c r="AY3254" s="28"/>
      <c r="BA3254" s="28">
        <v>970</v>
      </c>
      <c r="BB3254" s="28"/>
      <c r="BC3254" s="70"/>
      <c r="BE3254" s="225"/>
      <c r="CS3254" s="28">
        <f t="shared" si="227"/>
        <v>970</v>
      </c>
      <c r="CT3254" s="28">
        <f t="shared" si="228"/>
        <v>970</v>
      </c>
      <c r="CU3254" s="28">
        <f t="shared" si="229"/>
        <v>0</v>
      </c>
      <c r="CV3254" s="222">
        <f t="shared" si="222"/>
        <v>-20</v>
      </c>
      <c r="CW3254" s="27" t="s">
        <v>3500</v>
      </c>
    </row>
    <row r="3255" spans="1:101" s="27" customFormat="1" x14ac:dyDescent="0.2">
      <c r="A3255" s="27" t="s">
        <v>665</v>
      </c>
      <c r="B3255" s="67">
        <v>27</v>
      </c>
      <c r="C3255" s="68" t="s">
        <v>95</v>
      </c>
      <c r="D3255" s="68" t="s">
        <v>96</v>
      </c>
      <c r="E3255" s="67"/>
      <c r="F3255" s="67"/>
      <c r="G3255" s="67" t="s">
        <v>68</v>
      </c>
      <c r="H3255" s="67">
        <v>7</v>
      </c>
      <c r="I3255" s="217">
        <v>148.94999999999999</v>
      </c>
      <c r="J3255" s="217">
        <v>66200</v>
      </c>
      <c r="K3255" s="68">
        <v>0</v>
      </c>
      <c r="L3255" s="68" t="s">
        <v>3</v>
      </c>
      <c r="M3255" s="27" t="s">
        <v>0</v>
      </c>
      <c r="N3255" s="230">
        <v>77069854</v>
      </c>
      <c r="O3255" s="27" t="s">
        <v>666</v>
      </c>
      <c r="P3255" s="27" t="s">
        <v>0</v>
      </c>
      <c r="Q3255" s="218"/>
      <c r="S3255" s="27" t="s">
        <v>158</v>
      </c>
      <c r="T3255" s="69" t="s">
        <v>68</v>
      </c>
      <c r="U3255" s="69">
        <v>7</v>
      </c>
      <c r="V3255" s="69">
        <v>148.94999999999999</v>
      </c>
      <c r="W3255" s="69" t="s">
        <v>710</v>
      </c>
      <c r="X3255" s="70">
        <v>45710</v>
      </c>
      <c r="Y3255" s="70">
        <v>45747</v>
      </c>
      <c r="Z3255" s="219" t="s">
        <v>772</v>
      </c>
      <c r="AA3255" s="214">
        <v>49650</v>
      </c>
      <c r="AB3255" s="27">
        <v>48</v>
      </c>
      <c r="AC3255" s="27">
        <v>2</v>
      </c>
      <c r="AD3255" s="70">
        <v>45838</v>
      </c>
      <c r="AE3255" s="220">
        <v>950</v>
      </c>
      <c r="AF3255" s="220">
        <v>40</v>
      </c>
      <c r="AG3255" s="69" t="s">
        <v>134</v>
      </c>
      <c r="AH3255" s="70">
        <v>45846</v>
      </c>
      <c r="AI3255" s="70"/>
      <c r="AJ3255" s="70"/>
      <c r="AK3255" s="27" t="s">
        <v>827</v>
      </c>
      <c r="AL3255" s="28">
        <v>950</v>
      </c>
      <c r="AM3255" s="28"/>
      <c r="AN3255" s="28" t="s">
        <v>837</v>
      </c>
      <c r="AO3255" s="69" t="s">
        <v>134</v>
      </c>
      <c r="AP3255" s="70">
        <v>45846</v>
      </c>
      <c r="AQ3255" s="70"/>
      <c r="AR3255" s="70"/>
      <c r="AS3255" s="27" t="s">
        <v>826</v>
      </c>
      <c r="AT3255" s="28">
        <v>40</v>
      </c>
      <c r="AU3255" s="28"/>
      <c r="AV3255" s="28" t="s">
        <v>836</v>
      </c>
      <c r="AW3255" s="70">
        <v>45846</v>
      </c>
      <c r="AX3255" s="69">
        <v>608057</v>
      </c>
      <c r="AY3255" s="28">
        <v>3503.61</v>
      </c>
      <c r="AZ3255" s="27">
        <v>3.5390000000000001</v>
      </c>
      <c r="BA3255" s="28">
        <f>+AY3255/AZ3255</f>
        <v>990</v>
      </c>
      <c r="BB3255" s="28"/>
      <c r="CS3255" s="28">
        <f t="shared" si="227"/>
        <v>990</v>
      </c>
      <c r="CT3255" s="28">
        <f t="shared" si="228"/>
        <v>990</v>
      </c>
      <c r="CU3255" s="28">
        <f t="shared" si="229"/>
        <v>0</v>
      </c>
      <c r="CV3255" s="222">
        <f t="shared" si="222"/>
        <v>-40</v>
      </c>
      <c r="CW3255" s="27" t="s">
        <v>3500</v>
      </c>
    </row>
    <row r="3256" spans="1:101" s="27" customFormat="1" x14ac:dyDescent="0.2">
      <c r="A3256" s="27" t="s">
        <v>665</v>
      </c>
      <c r="B3256" s="67">
        <v>27</v>
      </c>
      <c r="C3256" s="68" t="s">
        <v>95</v>
      </c>
      <c r="D3256" s="68" t="s">
        <v>96</v>
      </c>
      <c r="E3256" s="67"/>
      <c r="F3256" s="67"/>
      <c r="G3256" s="67" t="s">
        <v>68</v>
      </c>
      <c r="H3256" s="67">
        <v>7</v>
      </c>
      <c r="I3256" s="217">
        <v>148.94999999999999</v>
      </c>
      <c r="J3256" s="217">
        <v>66200</v>
      </c>
      <c r="K3256" s="68">
        <v>0</v>
      </c>
      <c r="L3256" s="68" t="s">
        <v>3</v>
      </c>
      <c r="M3256" s="27" t="s">
        <v>0</v>
      </c>
      <c r="N3256" s="230">
        <v>77069854</v>
      </c>
      <c r="O3256" s="27" t="s">
        <v>666</v>
      </c>
      <c r="P3256" s="27" t="s">
        <v>0</v>
      </c>
      <c r="Q3256" s="218"/>
      <c r="S3256" s="27" t="s">
        <v>158</v>
      </c>
      <c r="T3256" s="69" t="s">
        <v>68</v>
      </c>
      <c r="U3256" s="69">
        <v>7</v>
      </c>
      <c r="V3256" s="69">
        <v>148.94999999999999</v>
      </c>
      <c r="W3256" s="69" t="s">
        <v>710</v>
      </c>
      <c r="X3256" s="70">
        <v>45710</v>
      </c>
      <c r="Y3256" s="70">
        <v>45747</v>
      </c>
      <c r="Z3256" s="219" t="s">
        <v>772</v>
      </c>
      <c r="AA3256" s="214">
        <v>49650</v>
      </c>
      <c r="AB3256" s="27">
        <v>48</v>
      </c>
      <c r="AC3256" s="27">
        <v>3</v>
      </c>
      <c r="AD3256" s="70">
        <v>45868</v>
      </c>
      <c r="AE3256" s="220">
        <v>950</v>
      </c>
      <c r="AF3256" s="220">
        <v>70</v>
      </c>
      <c r="AG3256" s="69" t="s">
        <v>134</v>
      </c>
      <c r="AH3256" s="70">
        <v>45883</v>
      </c>
      <c r="AI3256" s="70"/>
      <c r="AJ3256" s="70"/>
      <c r="AK3256" s="27" t="s">
        <v>828</v>
      </c>
      <c r="AL3256" s="28">
        <v>950</v>
      </c>
      <c r="AM3256" s="28"/>
      <c r="AN3256" s="28" t="s">
        <v>838</v>
      </c>
      <c r="AO3256" s="69" t="s">
        <v>134</v>
      </c>
      <c r="AP3256" s="70">
        <v>45883</v>
      </c>
      <c r="AQ3256" s="70"/>
      <c r="AR3256" s="70"/>
      <c r="AS3256" s="27" t="s">
        <v>829</v>
      </c>
      <c r="AT3256" s="28">
        <v>70</v>
      </c>
      <c r="AU3256" s="28"/>
      <c r="AV3256" s="28" t="s">
        <v>839</v>
      </c>
      <c r="AW3256" s="70">
        <v>45883</v>
      </c>
      <c r="AX3256" s="69">
        <v>4562</v>
      </c>
      <c r="AY3256" s="28"/>
      <c r="BA3256" s="28">
        <v>1020</v>
      </c>
      <c r="BB3256" s="28"/>
      <c r="CS3256" s="28">
        <f t="shared" si="227"/>
        <v>1020</v>
      </c>
      <c r="CT3256" s="28">
        <f t="shared" si="228"/>
        <v>1020</v>
      </c>
      <c r="CU3256" s="28">
        <f t="shared" si="229"/>
        <v>0</v>
      </c>
      <c r="CV3256" s="222">
        <f t="shared" si="222"/>
        <v>-70</v>
      </c>
      <c r="CW3256" s="27" t="s">
        <v>3500</v>
      </c>
    </row>
    <row r="3257" spans="1:101" s="27" customFormat="1" x14ac:dyDescent="0.2">
      <c r="A3257" s="27" t="s">
        <v>665</v>
      </c>
      <c r="B3257" s="67">
        <v>27</v>
      </c>
      <c r="C3257" s="68" t="s">
        <v>95</v>
      </c>
      <c r="D3257" s="68" t="s">
        <v>96</v>
      </c>
      <c r="E3257" s="67"/>
      <c r="F3257" s="67"/>
      <c r="G3257" s="67" t="s">
        <v>68</v>
      </c>
      <c r="H3257" s="67">
        <v>7</v>
      </c>
      <c r="I3257" s="217">
        <v>148.94999999999999</v>
      </c>
      <c r="J3257" s="217">
        <v>66200</v>
      </c>
      <c r="K3257" s="68">
        <v>0</v>
      </c>
      <c r="L3257" s="68" t="s">
        <v>3</v>
      </c>
      <c r="M3257" s="27" t="s">
        <v>0</v>
      </c>
      <c r="N3257" s="230">
        <v>77069854</v>
      </c>
      <c r="O3257" s="27" t="s">
        <v>666</v>
      </c>
      <c r="P3257" s="27" t="s">
        <v>0</v>
      </c>
      <c r="Q3257" s="218"/>
      <c r="S3257" s="27" t="s">
        <v>158</v>
      </c>
      <c r="T3257" s="69" t="s">
        <v>68</v>
      </c>
      <c r="U3257" s="69">
        <v>7</v>
      </c>
      <c r="V3257" s="69">
        <v>148.94999999999999</v>
      </c>
      <c r="W3257" s="69" t="s">
        <v>710</v>
      </c>
      <c r="X3257" s="70">
        <v>45710</v>
      </c>
      <c r="Y3257" s="70">
        <v>45747</v>
      </c>
      <c r="Z3257" s="219" t="s">
        <v>772</v>
      </c>
      <c r="AA3257" s="214">
        <v>49650</v>
      </c>
      <c r="AB3257" s="27">
        <v>48</v>
      </c>
      <c r="AC3257" s="27">
        <v>4</v>
      </c>
      <c r="AD3257" s="70">
        <v>45899</v>
      </c>
      <c r="AE3257" s="220">
        <v>950</v>
      </c>
      <c r="AF3257" s="220">
        <v>130</v>
      </c>
      <c r="AG3257" s="69" t="s">
        <v>134</v>
      </c>
      <c r="AH3257" s="70">
        <v>45929</v>
      </c>
      <c r="AI3257" s="70"/>
      <c r="AJ3257" s="70"/>
      <c r="AK3257" s="27" t="s">
        <v>830</v>
      </c>
      <c r="AL3257" s="28">
        <v>950</v>
      </c>
      <c r="AM3257" s="28"/>
      <c r="AN3257" s="28" t="s">
        <v>840</v>
      </c>
      <c r="AO3257" s="69" t="s">
        <v>134</v>
      </c>
      <c r="AP3257" s="70">
        <v>45929</v>
      </c>
      <c r="AQ3257" s="70"/>
      <c r="AR3257" s="70"/>
      <c r="AS3257" s="27" t="s">
        <v>831</v>
      </c>
      <c r="AT3257" s="28">
        <v>130</v>
      </c>
      <c r="AU3257" s="28"/>
      <c r="AV3257" s="28" t="s">
        <v>841</v>
      </c>
      <c r="AW3257" s="70">
        <v>45927</v>
      </c>
      <c r="AX3257" s="69">
        <v>4819</v>
      </c>
      <c r="AY3257" s="225"/>
      <c r="BA3257" s="28">
        <v>1080</v>
      </c>
      <c r="BB3257" s="28"/>
      <c r="CS3257" s="28">
        <f t="shared" si="227"/>
        <v>1080</v>
      </c>
      <c r="CT3257" s="28">
        <f t="shared" si="228"/>
        <v>1080</v>
      </c>
      <c r="CU3257" s="28">
        <f t="shared" si="229"/>
        <v>0</v>
      </c>
      <c r="CV3257" s="222">
        <f t="shared" ref="CV3257:CV3320" si="230">+AE3257-AL3257-AT3257</f>
        <v>-130</v>
      </c>
      <c r="CW3257" s="27" t="s">
        <v>3500</v>
      </c>
    </row>
    <row r="3258" spans="1:101" x14ac:dyDescent="0.2">
      <c r="A3258" s="9" t="s">
        <v>665</v>
      </c>
      <c r="B3258" s="2">
        <v>27</v>
      </c>
      <c r="C3258" s="3" t="s">
        <v>95</v>
      </c>
      <c r="D3258" s="3" t="s">
        <v>96</v>
      </c>
      <c r="E3258" s="2"/>
      <c r="F3258" s="2"/>
      <c r="G3258" s="2" t="s">
        <v>68</v>
      </c>
      <c r="H3258" s="2">
        <v>7</v>
      </c>
      <c r="I3258" s="20">
        <v>148.94999999999999</v>
      </c>
      <c r="J3258" s="20">
        <v>66200</v>
      </c>
      <c r="K3258" s="3">
        <v>0</v>
      </c>
      <c r="L3258" s="3" t="s">
        <v>3</v>
      </c>
      <c r="M3258" s="9" t="s">
        <v>0</v>
      </c>
      <c r="N3258" s="75">
        <v>77069854</v>
      </c>
      <c r="O3258" s="9" t="s">
        <v>666</v>
      </c>
      <c r="P3258" s="9" t="s">
        <v>0</v>
      </c>
      <c r="S3258" s="9" t="s">
        <v>158</v>
      </c>
      <c r="T3258" s="10" t="s">
        <v>68</v>
      </c>
      <c r="U3258" s="10">
        <v>7</v>
      </c>
      <c r="V3258" s="10">
        <v>148.94999999999999</v>
      </c>
      <c r="W3258" s="10" t="s">
        <v>710</v>
      </c>
      <c r="X3258" s="17">
        <v>45710</v>
      </c>
      <c r="Y3258" s="17">
        <v>45747</v>
      </c>
      <c r="Z3258" s="19" t="s">
        <v>772</v>
      </c>
      <c r="AA3258" s="207">
        <v>49650</v>
      </c>
      <c r="AB3258" s="9">
        <v>48</v>
      </c>
      <c r="AC3258" s="9">
        <v>5</v>
      </c>
      <c r="AD3258" s="17">
        <v>45930</v>
      </c>
      <c r="AE3258" s="54">
        <v>950</v>
      </c>
      <c r="AF3258" s="54"/>
      <c r="AL3258" s="9"/>
      <c r="AM3258" s="9"/>
      <c r="AN3258" s="9"/>
      <c r="AO3258" s="22"/>
      <c r="AP3258" s="22"/>
      <c r="AQ3258" s="22"/>
      <c r="AR3258" s="22"/>
      <c r="AS3258" s="22"/>
      <c r="AT3258" s="22"/>
      <c r="AU3258" s="22"/>
      <c r="AV3258" s="22"/>
      <c r="AW3258" s="9"/>
      <c r="BA3258" s="22"/>
      <c r="BB3258" s="22"/>
      <c r="BD3258" s="9"/>
      <c r="CS3258" s="11">
        <f t="shared" si="227"/>
        <v>0</v>
      </c>
      <c r="CT3258" s="22">
        <f t="shared" si="228"/>
        <v>0</v>
      </c>
      <c r="CU3258" s="22">
        <f t="shared" si="229"/>
        <v>0</v>
      </c>
      <c r="CV3258" s="26">
        <f t="shared" si="230"/>
        <v>950</v>
      </c>
    </row>
    <row r="3259" spans="1:101" ht="12.75" x14ac:dyDescent="0.2">
      <c r="A3259" s="9" t="s">
        <v>665</v>
      </c>
      <c r="B3259" s="2">
        <v>27</v>
      </c>
      <c r="C3259" s="3" t="s">
        <v>95</v>
      </c>
      <c r="D3259" s="3" t="s">
        <v>96</v>
      </c>
      <c r="E3259" s="2"/>
      <c r="F3259" s="2"/>
      <c r="G3259" s="2" t="s">
        <v>68</v>
      </c>
      <c r="H3259" s="2">
        <v>7</v>
      </c>
      <c r="I3259" s="20">
        <v>148.94999999999999</v>
      </c>
      <c r="J3259" s="20">
        <v>66200</v>
      </c>
      <c r="K3259" s="3">
        <v>0</v>
      </c>
      <c r="L3259" s="3" t="s">
        <v>3</v>
      </c>
      <c r="M3259" s="9" t="s">
        <v>0</v>
      </c>
      <c r="N3259" s="75">
        <v>77069854</v>
      </c>
      <c r="O3259" s="9" t="s">
        <v>666</v>
      </c>
      <c r="P3259" s="9" t="s">
        <v>0</v>
      </c>
      <c r="S3259" s="9" t="s">
        <v>158</v>
      </c>
      <c r="T3259" s="10" t="s">
        <v>68</v>
      </c>
      <c r="U3259" s="10">
        <v>7</v>
      </c>
      <c r="V3259" s="10">
        <v>148.94999999999999</v>
      </c>
      <c r="W3259" s="10" t="s">
        <v>710</v>
      </c>
      <c r="X3259" s="17">
        <v>45710</v>
      </c>
      <c r="Y3259" s="17">
        <v>45747</v>
      </c>
      <c r="Z3259" s="19" t="s">
        <v>772</v>
      </c>
      <c r="AA3259" s="207">
        <v>49650</v>
      </c>
      <c r="AB3259" s="9">
        <v>48</v>
      </c>
      <c r="AC3259" s="9">
        <v>6</v>
      </c>
      <c r="AD3259" s="17">
        <v>45960</v>
      </c>
      <c r="AE3259" s="54">
        <v>950</v>
      </c>
      <c r="AF3259" s="54"/>
      <c r="AL3259" s="9"/>
      <c r="AM3259" s="9"/>
      <c r="AN3259" s="9"/>
      <c r="AO3259" s="22"/>
      <c r="AP3259" s="22"/>
      <c r="AQ3259" s="22"/>
      <c r="AR3259" s="22"/>
      <c r="AS3259" s="22"/>
      <c r="AT3259" s="22"/>
      <c r="AU3259" s="22"/>
      <c r="AV3259" s="22"/>
      <c r="AW3259" s="94"/>
      <c r="AX3259" s="95"/>
      <c r="AY3259" s="96"/>
      <c r="BA3259" s="22"/>
      <c r="BB3259" s="22"/>
      <c r="BD3259" s="9"/>
      <c r="CS3259" s="11">
        <f t="shared" si="227"/>
        <v>0</v>
      </c>
      <c r="CT3259" s="22">
        <f t="shared" si="228"/>
        <v>0</v>
      </c>
      <c r="CU3259" s="22">
        <f t="shared" si="229"/>
        <v>0</v>
      </c>
      <c r="CV3259" s="26">
        <f t="shared" si="230"/>
        <v>950</v>
      </c>
    </row>
    <row r="3260" spans="1:101" x14ac:dyDescent="0.2">
      <c r="A3260" s="9" t="s">
        <v>665</v>
      </c>
      <c r="B3260" s="2">
        <v>27</v>
      </c>
      <c r="C3260" s="3" t="s">
        <v>95</v>
      </c>
      <c r="D3260" s="3" t="s">
        <v>96</v>
      </c>
      <c r="E3260" s="2"/>
      <c r="F3260" s="2"/>
      <c r="G3260" s="2" t="s">
        <v>68</v>
      </c>
      <c r="H3260" s="2">
        <v>7</v>
      </c>
      <c r="I3260" s="20">
        <v>148.94999999999999</v>
      </c>
      <c r="J3260" s="20">
        <v>66200</v>
      </c>
      <c r="K3260" s="3">
        <v>0</v>
      </c>
      <c r="L3260" s="3" t="s">
        <v>3</v>
      </c>
      <c r="M3260" s="9" t="s">
        <v>0</v>
      </c>
      <c r="N3260" s="75">
        <v>77069854</v>
      </c>
      <c r="O3260" s="9" t="s">
        <v>666</v>
      </c>
      <c r="P3260" s="9" t="s">
        <v>0</v>
      </c>
      <c r="S3260" s="9" t="s">
        <v>158</v>
      </c>
      <c r="T3260" s="10" t="s">
        <v>68</v>
      </c>
      <c r="U3260" s="10">
        <v>7</v>
      </c>
      <c r="V3260" s="10">
        <v>148.94999999999999</v>
      </c>
      <c r="W3260" s="10" t="s">
        <v>710</v>
      </c>
      <c r="X3260" s="17">
        <v>45710</v>
      </c>
      <c r="Y3260" s="17">
        <v>45747</v>
      </c>
      <c r="Z3260" s="19" t="s">
        <v>772</v>
      </c>
      <c r="AA3260" s="207">
        <v>49650</v>
      </c>
      <c r="AB3260" s="9">
        <v>48</v>
      </c>
      <c r="AC3260" s="9">
        <v>7</v>
      </c>
      <c r="AD3260" s="17">
        <v>45991</v>
      </c>
      <c r="AE3260" s="54">
        <v>950</v>
      </c>
      <c r="AF3260" s="54"/>
      <c r="AL3260" s="9"/>
      <c r="AM3260" s="9"/>
      <c r="AN3260" s="9"/>
      <c r="AO3260" s="22"/>
      <c r="AP3260" s="22"/>
      <c r="AQ3260" s="22"/>
      <c r="AR3260" s="22"/>
      <c r="AS3260" s="22"/>
      <c r="AT3260" s="22"/>
      <c r="AU3260" s="22"/>
      <c r="AV3260" s="22"/>
      <c r="AW3260" s="9"/>
      <c r="BA3260" s="22"/>
      <c r="BB3260" s="22"/>
      <c r="BD3260" s="9"/>
      <c r="CS3260" s="11">
        <f t="shared" si="227"/>
        <v>0</v>
      </c>
      <c r="CT3260" s="22">
        <f t="shared" si="228"/>
        <v>0</v>
      </c>
      <c r="CU3260" s="22">
        <f t="shared" si="229"/>
        <v>0</v>
      </c>
      <c r="CV3260" s="26">
        <f t="shared" si="230"/>
        <v>950</v>
      </c>
    </row>
    <row r="3261" spans="1:101" x14ac:dyDescent="0.2">
      <c r="A3261" s="9" t="s">
        <v>665</v>
      </c>
      <c r="B3261" s="2">
        <v>27</v>
      </c>
      <c r="C3261" s="3" t="s">
        <v>95</v>
      </c>
      <c r="D3261" s="3" t="s">
        <v>96</v>
      </c>
      <c r="E3261" s="2"/>
      <c r="F3261" s="2"/>
      <c r="G3261" s="2" t="s">
        <v>68</v>
      </c>
      <c r="H3261" s="2">
        <v>7</v>
      </c>
      <c r="I3261" s="20">
        <v>148.94999999999999</v>
      </c>
      <c r="J3261" s="20">
        <v>66200</v>
      </c>
      <c r="K3261" s="3">
        <v>0</v>
      </c>
      <c r="L3261" s="3" t="s">
        <v>3</v>
      </c>
      <c r="M3261" s="9" t="s">
        <v>0</v>
      </c>
      <c r="N3261" s="75">
        <v>77069854</v>
      </c>
      <c r="O3261" s="9" t="s">
        <v>666</v>
      </c>
      <c r="P3261" s="9" t="s">
        <v>0</v>
      </c>
      <c r="S3261" s="9" t="s">
        <v>158</v>
      </c>
      <c r="T3261" s="10" t="s">
        <v>68</v>
      </c>
      <c r="U3261" s="10">
        <v>7</v>
      </c>
      <c r="V3261" s="10">
        <v>148.94999999999999</v>
      </c>
      <c r="W3261" s="10" t="s">
        <v>710</v>
      </c>
      <c r="X3261" s="17">
        <v>45710</v>
      </c>
      <c r="Y3261" s="17">
        <v>45747</v>
      </c>
      <c r="Z3261" s="19" t="s">
        <v>772</v>
      </c>
      <c r="AA3261" s="207">
        <v>49650</v>
      </c>
      <c r="AB3261" s="9">
        <v>48</v>
      </c>
      <c r="AC3261" s="9">
        <v>8</v>
      </c>
      <c r="AD3261" s="17">
        <v>46021</v>
      </c>
      <c r="AE3261" s="54">
        <v>950</v>
      </c>
      <c r="AF3261" s="54"/>
      <c r="AL3261" s="9"/>
      <c r="AM3261" s="9"/>
      <c r="AN3261" s="9"/>
      <c r="AO3261" s="22"/>
      <c r="AP3261" s="22"/>
      <c r="AQ3261" s="22"/>
      <c r="AR3261" s="22"/>
      <c r="AS3261" s="22"/>
      <c r="AT3261" s="22"/>
      <c r="AU3261" s="22"/>
      <c r="AV3261" s="22"/>
      <c r="AW3261" s="9"/>
      <c r="BA3261" s="22"/>
      <c r="BB3261" s="22"/>
      <c r="BD3261" s="9"/>
      <c r="CS3261" s="11">
        <f t="shared" si="227"/>
        <v>0</v>
      </c>
      <c r="CT3261" s="22">
        <f t="shared" si="228"/>
        <v>0</v>
      </c>
      <c r="CU3261" s="22">
        <f t="shared" si="229"/>
        <v>0</v>
      </c>
      <c r="CV3261" s="26">
        <f t="shared" si="230"/>
        <v>950</v>
      </c>
    </row>
    <row r="3262" spans="1:101" x14ac:dyDescent="0.2">
      <c r="A3262" s="9" t="s">
        <v>665</v>
      </c>
      <c r="B3262" s="2">
        <v>27</v>
      </c>
      <c r="C3262" s="3" t="s">
        <v>95</v>
      </c>
      <c r="D3262" s="3" t="s">
        <v>96</v>
      </c>
      <c r="E3262" s="2"/>
      <c r="F3262" s="2"/>
      <c r="G3262" s="2" t="s">
        <v>68</v>
      </c>
      <c r="H3262" s="2">
        <v>7</v>
      </c>
      <c r="I3262" s="20">
        <v>148.94999999999999</v>
      </c>
      <c r="J3262" s="20">
        <v>66200</v>
      </c>
      <c r="K3262" s="3">
        <v>0</v>
      </c>
      <c r="L3262" s="3" t="s">
        <v>3</v>
      </c>
      <c r="M3262" s="9" t="s">
        <v>0</v>
      </c>
      <c r="N3262" s="75">
        <v>77069854</v>
      </c>
      <c r="O3262" s="9" t="s">
        <v>666</v>
      </c>
      <c r="P3262" s="9" t="s">
        <v>0</v>
      </c>
      <c r="S3262" s="9" t="s">
        <v>158</v>
      </c>
      <c r="T3262" s="10" t="s">
        <v>68</v>
      </c>
      <c r="U3262" s="10">
        <v>7</v>
      </c>
      <c r="V3262" s="10">
        <v>148.94999999999999</v>
      </c>
      <c r="W3262" s="10" t="s">
        <v>710</v>
      </c>
      <c r="X3262" s="17">
        <v>45710</v>
      </c>
      <c r="Y3262" s="17">
        <v>45747</v>
      </c>
      <c r="Z3262" s="19" t="s">
        <v>772</v>
      </c>
      <c r="AA3262" s="207">
        <v>49650</v>
      </c>
      <c r="AB3262" s="9">
        <v>48</v>
      </c>
      <c r="AC3262" s="9">
        <v>9</v>
      </c>
      <c r="AD3262" s="17">
        <v>46052</v>
      </c>
      <c r="AE3262" s="54">
        <v>950</v>
      </c>
      <c r="AF3262" s="54"/>
      <c r="AL3262" s="22"/>
      <c r="AM3262" s="22"/>
      <c r="AN3262" s="22"/>
      <c r="AO3262" s="22"/>
      <c r="AP3262" s="22"/>
      <c r="AQ3262" s="22"/>
      <c r="AR3262" s="22"/>
      <c r="AS3262" s="22"/>
      <c r="AT3262" s="22"/>
      <c r="AU3262" s="22"/>
      <c r="AV3262" s="22"/>
      <c r="AW3262" s="9"/>
      <c r="BA3262" s="22"/>
      <c r="BB3262" s="22"/>
      <c r="BD3262" s="9"/>
      <c r="CS3262" s="11">
        <f t="shared" si="227"/>
        <v>0</v>
      </c>
      <c r="CT3262" s="22">
        <f t="shared" si="228"/>
        <v>0</v>
      </c>
      <c r="CU3262" s="22">
        <f t="shared" si="229"/>
        <v>0</v>
      </c>
      <c r="CV3262" s="26">
        <f t="shared" si="230"/>
        <v>950</v>
      </c>
    </row>
    <row r="3263" spans="1:101" x14ac:dyDescent="0.2">
      <c r="A3263" s="9" t="s">
        <v>665</v>
      </c>
      <c r="B3263" s="2">
        <v>27</v>
      </c>
      <c r="C3263" s="3" t="s">
        <v>95</v>
      </c>
      <c r="D3263" s="3" t="s">
        <v>96</v>
      </c>
      <c r="E3263" s="2"/>
      <c r="F3263" s="2"/>
      <c r="G3263" s="2" t="s">
        <v>68</v>
      </c>
      <c r="H3263" s="2">
        <v>7</v>
      </c>
      <c r="I3263" s="20">
        <v>148.94999999999999</v>
      </c>
      <c r="J3263" s="20">
        <v>66200</v>
      </c>
      <c r="K3263" s="3">
        <v>0</v>
      </c>
      <c r="L3263" s="3" t="s">
        <v>3</v>
      </c>
      <c r="M3263" s="9" t="s">
        <v>0</v>
      </c>
      <c r="N3263" s="75">
        <v>77069854</v>
      </c>
      <c r="O3263" s="9" t="s">
        <v>666</v>
      </c>
      <c r="P3263" s="9" t="s">
        <v>0</v>
      </c>
      <c r="S3263" s="9" t="s">
        <v>158</v>
      </c>
      <c r="T3263" s="10" t="s">
        <v>68</v>
      </c>
      <c r="U3263" s="10">
        <v>7</v>
      </c>
      <c r="V3263" s="10">
        <v>148.94999999999999</v>
      </c>
      <c r="W3263" s="10" t="s">
        <v>710</v>
      </c>
      <c r="X3263" s="17">
        <v>45710</v>
      </c>
      <c r="Y3263" s="17">
        <v>45747</v>
      </c>
      <c r="Z3263" s="19" t="s">
        <v>772</v>
      </c>
      <c r="AA3263" s="207">
        <v>49650</v>
      </c>
      <c r="AB3263" s="9">
        <v>48</v>
      </c>
      <c r="AC3263" s="9">
        <v>10</v>
      </c>
      <c r="AD3263" s="17">
        <v>46081</v>
      </c>
      <c r="AE3263" s="54">
        <v>950</v>
      </c>
      <c r="AF3263" s="54"/>
      <c r="AL3263" s="22"/>
      <c r="AM3263" s="22"/>
      <c r="AN3263" s="22"/>
      <c r="AO3263" s="22"/>
      <c r="AP3263" s="22"/>
      <c r="AQ3263" s="22"/>
      <c r="AR3263" s="22"/>
      <c r="AS3263" s="22"/>
      <c r="AT3263" s="22"/>
      <c r="AU3263" s="22"/>
      <c r="AV3263" s="22"/>
      <c r="AW3263" s="17"/>
      <c r="AX3263" s="86"/>
      <c r="BA3263" s="22"/>
      <c r="BB3263" s="22"/>
      <c r="BD3263" s="9"/>
      <c r="CS3263" s="11">
        <f t="shared" si="227"/>
        <v>0</v>
      </c>
      <c r="CT3263" s="22">
        <f t="shared" si="228"/>
        <v>0</v>
      </c>
      <c r="CU3263" s="22">
        <f t="shared" si="229"/>
        <v>0</v>
      </c>
      <c r="CV3263" s="26">
        <f t="shared" si="230"/>
        <v>950</v>
      </c>
    </row>
    <row r="3264" spans="1:101" x14ac:dyDescent="0.2">
      <c r="A3264" s="9" t="s">
        <v>665</v>
      </c>
      <c r="B3264" s="2">
        <v>27</v>
      </c>
      <c r="C3264" s="3" t="s">
        <v>95</v>
      </c>
      <c r="D3264" s="3" t="s">
        <v>96</v>
      </c>
      <c r="E3264" s="2"/>
      <c r="F3264" s="2"/>
      <c r="G3264" s="2" t="s">
        <v>68</v>
      </c>
      <c r="H3264" s="2">
        <v>7</v>
      </c>
      <c r="I3264" s="20">
        <v>148.94999999999999</v>
      </c>
      <c r="J3264" s="20">
        <v>66200</v>
      </c>
      <c r="K3264" s="3">
        <v>0</v>
      </c>
      <c r="L3264" s="3" t="s">
        <v>3</v>
      </c>
      <c r="M3264" s="9" t="s">
        <v>0</v>
      </c>
      <c r="N3264" s="75">
        <v>77069854</v>
      </c>
      <c r="O3264" s="9" t="s">
        <v>666</v>
      </c>
      <c r="P3264" s="9" t="s">
        <v>0</v>
      </c>
      <c r="S3264" s="9" t="s">
        <v>158</v>
      </c>
      <c r="T3264" s="10" t="s">
        <v>68</v>
      </c>
      <c r="U3264" s="10">
        <v>7</v>
      </c>
      <c r="V3264" s="10">
        <v>148.94999999999999</v>
      </c>
      <c r="W3264" s="10" t="s">
        <v>710</v>
      </c>
      <c r="X3264" s="17">
        <v>45710</v>
      </c>
      <c r="Y3264" s="17">
        <v>45747</v>
      </c>
      <c r="Z3264" s="19" t="s">
        <v>772</v>
      </c>
      <c r="AA3264" s="207">
        <v>49650</v>
      </c>
      <c r="AB3264" s="9">
        <v>48</v>
      </c>
      <c r="AC3264" s="9">
        <v>11</v>
      </c>
      <c r="AD3264" s="17">
        <v>46111</v>
      </c>
      <c r="AE3264" s="54">
        <v>950</v>
      </c>
      <c r="AF3264" s="54"/>
      <c r="AL3264" s="22"/>
      <c r="AM3264" s="22"/>
      <c r="AN3264" s="22"/>
      <c r="AO3264" s="22"/>
      <c r="AP3264" s="22"/>
      <c r="AQ3264" s="22"/>
      <c r="AR3264" s="22"/>
      <c r="AS3264" s="22"/>
      <c r="AT3264" s="22"/>
      <c r="AU3264" s="22"/>
      <c r="AV3264" s="22"/>
      <c r="AW3264" s="9"/>
      <c r="BA3264" s="22"/>
      <c r="BB3264" s="22"/>
      <c r="BD3264" s="9"/>
      <c r="CS3264" s="11">
        <f t="shared" si="227"/>
        <v>0</v>
      </c>
      <c r="CT3264" s="22">
        <f t="shared" si="228"/>
        <v>0</v>
      </c>
      <c r="CU3264" s="22">
        <f t="shared" si="229"/>
        <v>0</v>
      </c>
      <c r="CV3264" s="26">
        <f t="shared" si="230"/>
        <v>950</v>
      </c>
    </row>
    <row r="3265" spans="1:100" x14ac:dyDescent="0.2">
      <c r="A3265" s="9" t="s">
        <v>665</v>
      </c>
      <c r="B3265" s="2">
        <v>27</v>
      </c>
      <c r="C3265" s="3" t="s">
        <v>95</v>
      </c>
      <c r="D3265" s="3" t="s">
        <v>96</v>
      </c>
      <c r="E3265" s="2"/>
      <c r="F3265" s="2"/>
      <c r="G3265" s="2" t="s">
        <v>68</v>
      </c>
      <c r="H3265" s="2">
        <v>7</v>
      </c>
      <c r="I3265" s="20">
        <v>148.94999999999999</v>
      </c>
      <c r="J3265" s="20">
        <v>66200</v>
      </c>
      <c r="K3265" s="3">
        <v>0</v>
      </c>
      <c r="L3265" s="3" t="s">
        <v>3</v>
      </c>
      <c r="M3265" s="9" t="s">
        <v>0</v>
      </c>
      <c r="N3265" s="75">
        <v>77069854</v>
      </c>
      <c r="O3265" s="9" t="s">
        <v>666</v>
      </c>
      <c r="P3265" s="9" t="s">
        <v>0</v>
      </c>
      <c r="S3265" s="9" t="s">
        <v>158</v>
      </c>
      <c r="T3265" s="10" t="s">
        <v>68</v>
      </c>
      <c r="U3265" s="10">
        <v>7</v>
      </c>
      <c r="V3265" s="10">
        <v>148.94999999999999</v>
      </c>
      <c r="W3265" s="10" t="s">
        <v>710</v>
      </c>
      <c r="X3265" s="17">
        <v>45710</v>
      </c>
      <c r="Y3265" s="17">
        <v>45747</v>
      </c>
      <c r="Z3265" s="19" t="s">
        <v>772</v>
      </c>
      <c r="AA3265" s="207">
        <v>49650</v>
      </c>
      <c r="AB3265" s="9">
        <v>48</v>
      </c>
      <c r="AC3265" s="9">
        <v>12</v>
      </c>
      <c r="AD3265" s="17">
        <v>46142</v>
      </c>
      <c r="AE3265" s="54">
        <v>950</v>
      </c>
      <c r="AF3265" s="54"/>
      <c r="AL3265" s="22"/>
      <c r="AM3265" s="22"/>
      <c r="AN3265" s="22"/>
      <c r="AO3265" s="22"/>
      <c r="AP3265" s="22"/>
      <c r="AQ3265" s="22"/>
      <c r="AR3265" s="22"/>
      <c r="AS3265" s="22"/>
      <c r="AT3265" s="22"/>
      <c r="AU3265" s="22"/>
      <c r="AV3265" s="22"/>
      <c r="AW3265" s="9"/>
      <c r="BA3265" s="22"/>
      <c r="BB3265" s="22"/>
      <c r="BD3265" s="9"/>
      <c r="CS3265" s="11">
        <f t="shared" si="227"/>
        <v>0</v>
      </c>
      <c r="CT3265" s="22">
        <f t="shared" si="228"/>
        <v>0</v>
      </c>
      <c r="CU3265" s="22">
        <f t="shared" si="229"/>
        <v>0</v>
      </c>
      <c r="CV3265" s="26">
        <f t="shared" si="230"/>
        <v>950</v>
      </c>
    </row>
    <row r="3266" spans="1:100" x14ac:dyDescent="0.2">
      <c r="A3266" s="9" t="s">
        <v>665</v>
      </c>
      <c r="B3266" s="2">
        <v>27</v>
      </c>
      <c r="C3266" s="3" t="s">
        <v>95</v>
      </c>
      <c r="D3266" s="3" t="s">
        <v>96</v>
      </c>
      <c r="E3266" s="2"/>
      <c r="F3266" s="2"/>
      <c r="G3266" s="2" t="s">
        <v>68</v>
      </c>
      <c r="H3266" s="2">
        <v>7</v>
      </c>
      <c r="I3266" s="20">
        <v>148.94999999999999</v>
      </c>
      <c r="J3266" s="20">
        <v>66200</v>
      </c>
      <c r="K3266" s="3">
        <v>0</v>
      </c>
      <c r="L3266" s="3" t="s">
        <v>3</v>
      </c>
      <c r="M3266" s="9" t="s">
        <v>0</v>
      </c>
      <c r="N3266" s="75">
        <v>77069854</v>
      </c>
      <c r="O3266" s="9" t="s">
        <v>666</v>
      </c>
      <c r="P3266" s="9" t="s">
        <v>0</v>
      </c>
      <c r="S3266" s="9" t="s">
        <v>158</v>
      </c>
      <c r="T3266" s="10" t="s">
        <v>68</v>
      </c>
      <c r="U3266" s="10">
        <v>7</v>
      </c>
      <c r="V3266" s="10">
        <v>148.94999999999999</v>
      </c>
      <c r="W3266" s="10" t="s">
        <v>710</v>
      </c>
      <c r="X3266" s="17">
        <v>45710</v>
      </c>
      <c r="Y3266" s="17">
        <v>45747</v>
      </c>
      <c r="Z3266" s="19" t="s">
        <v>772</v>
      </c>
      <c r="AA3266" s="207">
        <v>49650</v>
      </c>
      <c r="AB3266" s="9">
        <v>48</v>
      </c>
      <c r="AC3266" s="9">
        <v>13</v>
      </c>
      <c r="AD3266" s="17">
        <v>46172</v>
      </c>
      <c r="AE3266" s="54">
        <v>950</v>
      </c>
      <c r="AF3266" s="54"/>
      <c r="AL3266" s="22"/>
      <c r="AM3266" s="22"/>
      <c r="AN3266" s="22"/>
      <c r="AO3266" s="22"/>
      <c r="AP3266" s="22"/>
      <c r="AQ3266" s="22"/>
      <c r="AR3266" s="22"/>
      <c r="AS3266" s="22"/>
      <c r="AT3266" s="22"/>
      <c r="AU3266" s="22"/>
      <c r="AV3266" s="22"/>
      <c r="AW3266" s="9"/>
      <c r="BA3266" s="22"/>
      <c r="BB3266" s="22"/>
      <c r="BD3266" s="9"/>
      <c r="CS3266" s="11">
        <f t="shared" si="227"/>
        <v>0</v>
      </c>
      <c r="CT3266" s="22">
        <f t="shared" si="228"/>
        <v>0</v>
      </c>
      <c r="CU3266" s="22">
        <f t="shared" si="229"/>
        <v>0</v>
      </c>
      <c r="CV3266" s="26">
        <f t="shared" si="230"/>
        <v>950</v>
      </c>
    </row>
    <row r="3267" spans="1:100" x14ac:dyDescent="0.2">
      <c r="A3267" s="9" t="s">
        <v>665</v>
      </c>
      <c r="B3267" s="2">
        <v>27</v>
      </c>
      <c r="C3267" s="3" t="s">
        <v>95</v>
      </c>
      <c r="D3267" s="3" t="s">
        <v>96</v>
      </c>
      <c r="E3267" s="2"/>
      <c r="F3267" s="2"/>
      <c r="G3267" s="2" t="s">
        <v>68</v>
      </c>
      <c r="H3267" s="2">
        <v>7</v>
      </c>
      <c r="I3267" s="20">
        <v>148.94999999999999</v>
      </c>
      <c r="J3267" s="20">
        <v>66200</v>
      </c>
      <c r="K3267" s="3">
        <v>0</v>
      </c>
      <c r="L3267" s="3" t="s">
        <v>3</v>
      </c>
      <c r="M3267" s="9" t="s">
        <v>0</v>
      </c>
      <c r="N3267" s="75">
        <v>77069854</v>
      </c>
      <c r="O3267" s="9" t="s">
        <v>666</v>
      </c>
      <c r="P3267" s="9" t="s">
        <v>0</v>
      </c>
      <c r="S3267" s="9" t="s">
        <v>158</v>
      </c>
      <c r="T3267" s="10" t="s">
        <v>68</v>
      </c>
      <c r="U3267" s="10">
        <v>7</v>
      </c>
      <c r="V3267" s="10">
        <v>148.94999999999999</v>
      </c>
      <c r="W3267" s="10" t="s">
        <v>710</v>
      </c>
      <c r="X3267" s="17">
        <v>45710</v>
      </c>
      <c r="Y3267" s="17">
        <v>45747</v>
      </c>
      <c r="Z3267" s="19" t="s">
        <v>772</v>
      </c>
      <c r="AA3267" s="207">
        <v>49650</v>
      </c>
      <c r="AB3267" s="9">
        <v>48</v>
      </c>
      <c r="AC3267" s="9">
        <v>14</v>
      </c>
      <c r="AD3267" s="17">
        <v>46203</v>
      </c>
      <c r="AE3267" s="54">
        <v>950</v>
      </c>
      <c r="AF3267" s="54"/>
      <c r="AL3267" s="22"/>
      <c r="AM3267" s="22"/>
      <c r="AN3267" s="22"/>
      <c r="AO3267" s="22"/>
      <c r="AP3267" s="22"/>
      <c r="AQ3267" s="22"/>
      <c r="AR3267" s="22"/>
      <c r="AS3267" s="22"/>
      <c r="AT3267" s="22"/>
      <c r="AU3267" s="22"/>
      <c r="AV3267" s="22"/>
      <c r="AW3267" s="9"/>
      <c r="BA3267" s="22"/>
      <c r="BB3267" s="22"/>
      <c r="BD3267" s="9"/>
      <c r="CS3267" s="11">
        <f t="shared" si="227"/>
        <v>0</v>
      </c>
      <c r="CT3267" s="22">
        <f t="shared" si="228"/>
        <v>0</v>
      </c>
      <c r="CU3267" s="22">
        <f t="shared" si="229"/>
        <v>0</v>
      </c>
      <c r="CV3267" s="26">
        <f t="shared" si="230"/>
        <v>950</v>
      </c>
    </row>
    <row r="3268" spans="1:100" x14ac:dyDescent="0.2">
      <c r="A3268" s="9" t="s">
        <v>665</v>
      </c>
      <c r="B3268" s="2">
        <v>27</v>
      </c>
      <c r="C3268" s="3" t="s">
        <v>95</v>
      </c>
      <c r="D3268" s="3" t="s">
        <v>96</v>
      </c>
      <c r="E3268" s="2"/>
      <c r="F3268" s="2"/>
      <c r="G3268" s="2" t="s">
        <v>68</v>
      </c>
      <c r="H3268" s="2">
        <v>7</v>
      </c>
      <c r="I3268" s="20">
        <v>148.94999999999999</v>
      </c>
      <c r="J3268" s="20">
        <v>66200</v>
      </c>
      <c r="K3268" s="3">
        <v>0</v>
      </c>
      <c r="L3268" s="3" t="s">
        <v>3</v>
      </c>
      <c r="M3268" s="9" t="s">
        <v>0</v>
      </c>
      <c r="N3268" s="75">
        <v>77069854</v>
      </c>
      <c r="O3268" s="9" t="s">
        <v>666</v>
      </c>
      <c r="P3268" s="9" t="s">
        <v>0</v>
      </c>
      <c r="S3268" s="9" t="s">
        <v>158</v>
      </c>
      <c r="T3268" s="10" t="s">
        <v>68</v>
      </c>
      <c r="U3268" s="10">
        <v>7</v>
      </c>
      <c r="V3268" s="10">
        <v>148.94999999999999</v>
      </c>
      <c r="W3268" s="10" t="s">
        <v>710</v>
      </c>
      <c r="X3268" s="17">
        <v>45710</v>
      </c>
      <c r="Y3268" s="17">
        <v>45747</v>
      </c>
      <c r="Z3268" s="19" t="s">
        <v>772</v>
      </c>
      <c r="AA3268" s="207">
        <v>49650</v>
      </c>
      <c r="AB3268" s="9">
        <v>48</v>
      </c>
      <c r="AC3268" s="9">
        <v>15</v>
      </c>
      <c r="AD3268" s="17">
        <v>46233</v>
      </c>
      <c r="AE3268" s="54">
        <v>950</v>
      </c>
      <c r="AF3268" s="54"/>
      <c r="AL3268" s="22"/>
      <c r="AM3268" s="22"/>
      <c r="AN3268" s="22"/>
      <c r="AO3268" s="22"/>
      <c r="AP3268" s="22"/>
      <c r="AQ3268" s="22"/>
      <c r="AR3268" s="22"/>
      <c r="AS3268" s="22"/>
      <c r="AT3268" s="22"/>
      <c r="AU3268" s="22"/>
      <c r="AV3268" s="22"/>
      <c r="AW3268" s="9"/>
      <c r="BA3268" s="22"/>
      <c r="BB3268" s="22"/>
      <c r="BD3268" s="9"/>
      <c r="CS3268" s="11">
        <f t="shared" si="227"/>
        <v>0</v>
      </c>
      <c r="CT3268" s="22">
        <f t="shared" si="228"/>
        <v>0</v>
      </c>
      <c r="CU3268" s="22">
        <f t="shared" si="229"/>
        <v>0</v>
      </c>
      <c r="CV3268" s="26">
        <f t="shared" si="230"/>
        <v>950</v>
      </c>
    </row>
    <row r="3269" spans="1:100" x14ac:dyDescent="0.2">
      <c r="A3269" s="9" t="s">
        <v>665</v>
      </c>
      <c r="B3269" s="2">
        <v>27</v>
      </c>
      <c r="C3269" s="3" t="s">
        <v>95</v>
      </c>
      <c r="D3269" s="3" t="s">
        <v>96</v>
      </c>
      <c r="E3269" s="2"/>
      <c r="F3269" s="2"/>
      <c r="G3269" s="2" t="s">
        <v>68</v>
      </c>
      <c r="H3269" s="2">
        <v>7</v>
      </c>
      <c r="I3269" s="20">
        <v>148.94999999999999</v>
      </c>
      <c r="J3269" s="20">
        <v>66200</v>
      </c>
      <c r="K3269" s="3">
        <v>0</v>
      </c>
      <c r="L3269" s="3" t="s">
        <v>3</v>
      </c>
      <c r="M3269" s="9" t="s">
        <v>0</v>
      </c>
      <c r="N3269" s="75">
        <v>77069854</v>
      </c>
      <c r="O3269" s="9" t="s">
        <v>666</v>
      </c>
      <c r="P3269" s="9" t="s">
        <v>0</v>
      </c>
      <c r="S3269" s="9" t="s">
        <v>158</v>
      </c>
      <c r="T3269" s="10" t="s">
        <v>68</v>
      </c>
      <c r="U3269" s="10">
        <v>7</v>
      </c>
      <c r="V3269" s="10">
        <v>148.94999999999999</v>
      </c>
      <c r="W3269" s="10" t="s">
        <v>710</v>
      </c>
      <c r="X3269" s="17">
        <v>45710</v>
      </c>
      <c r="Y3269" s="17">
        <v>45747</v>
      </c>
      <c r="Z3269" s="19" t="s">
        <v>772</v>
      </c>
      <c r="AA3269" s="207">
        <v>49650</v>
      </c>
      <c r="AB3269" s="9">
        <v>48</v>
      </c>
      <c r="AC3269" s="9">
        <v>16</v>
      </c>
      <c r="AD3269" s="17">
        <v>46264</v>
      </c>
      <c r="AE3269" s="54">
        <v>950</v>
      </c>
      <c r="AF3269" s="54"/>
      <c r="AL3269" s="22"/>
      <c r="AM3269" s="22"/>
      <c r="AN3269" s="22"/>
      <c r="AO3269" s="22"/>
      <c r="AP3269" s="22"/>
      <c r="AQ3269" s="22"/>
      <c r="AR3269" s="22"/>
      <c r="AS3269" s="22"/>
      <c r="AT3269" s="22"/>
      <c r="AU3269" s="22"/>
      <c r="AV3269" s="22"/>
      <c r="AW3269" s="9"/>
      <c r="BA3269" s="22"/>
      <c r="BB3269" s="22"/>
      <c r="BD3269" s="9"/>
      <c r="CS3269" s="11">
        <f t="shared" si="227"/>
        <v>0</v>
      </c>
      <c r="CT3269" s="22">
        <f t="shared" si="228"/>
        <v>0</v>
      </c>
      <c r="CU3269" s="22">
        <f t="shared" si="229"/>
        <v>0</v>
      </c>
      <c r="CV3269" s="26">
        <f t="shared" si="230"/>
        <v>950</v>
      </c>
    </row>
    <row r="3270" spans="1:100" x14ac:dyDescent="0.2">
      <c r="A3270" s="9" t="s">
        <v>665</v>
      </c>
      <c r="B3270" s="2">
        <v>27</v>
      </c>
      <c r="C3270" s="3" t="s">
        <v>95</v>
      </c>
      <c r="D3270" s="3" t="s">
        <v>96</v>
      </c>
      <c r="E3270" s="2"/>
      <c r="F3270" s="2"/>
      <c r="G3270" s="2" t="s">
        <v>68</v>
      </c>
      <c r="H3270" s="2">
        <v>7</v>
      </c>
      <c r="I3270" s="20">
        <v>148.94999999999999</v>
      </c>
      <c r="J3270" s="20">
        <v>66200</v>
      </c>
      <c r="K3270" s="3">
        <v>0</v>
      </c>
      <c r="L3270" s="3" t="s">
        <v>3</v>
      </c>
      <c r="M3270" s="9" t="s">
        <v>0</v>
      </c>
      <c r="N3270" s="75">
        <v>77069854</v>
      </c>
      <c r="O3270" s="9" t="s">
        <v>666</v>
      </c>
      <c r="P3270" s="9" t="s">
        <v>0</v>
      </c>
      <c r="S3270" s="9" t="s">
        <v>158</v>
      </c>
      <c r="T3270" s="10" t="s">
        <v>68</v>
      </c>
      <c r="U3270" s="10">
        <v>7</v>
      </c>
      <c r="V3270" s="10">
        <v>148.94999999999999</v>
      </c>
      <c r="W3270" s="10" t="s">
        <v>710</v>
      </c>
      <c r="X3270" s="17">
        <v>45710</v>
      </c>
      <c r="Y3270" s="17">
        <v>45747</v>
      </c>
      <c r="Z3270" s="19" t="s">
        <v>772</v>
      </c>
      <c r="AA3270" s="207">
        <v>49650</v>
      </c>
      <c r="AB3270" s="9">
        <v>48</v>
      </c>
      <c r="AC3270" s="9">
        <v>17</v>
      </c>
      <c r="AD3270" s="17">
        <v>46295</v>
      </c>
      <c r="AE3270" s="54">
        <v>950</v>
      </c>
      <c r="AF3270" s="54"/>
      <c r="AL3270" s="22"/>
      <c r="AM3270" s="22"/>
      <c r="AN3270" s="22"/>
      <c r="AO3270" s="22"/>
      <c r="AP3270" s="22"/>
      <c r="AQ3270" s="22"/>
      <c r="AR3270" s="22"/>
      <c r="AS3270" s="22"/>
      <c r="AT3270" s="22"/>
      <c r="AU3270" s="22"/>
      <c r="AV3270" s="22"/>
      <c r="AW3270" s="9"/>
      <c r="BA3270" s="22"/>
      <c r="BB3270" s="22"/>
      <c r="BD3270" s="9"/>
      <c r="CS3270" s="11">
        <f t="shared" si="227"/>
        <v>0</v>
      </c>
      <c r="CT3270" s="22">
        <f t="shared" si="228"/>
        <v>0</v>
      </c>
      <c r="CU3270" s="22">
        <f t="shared" si="229"/>
        <v>0</v>
      </c>
      <c r="CV3270" s="26">
        <f t="shared" si="230"/>
        <v>950</v>
      </c>
    </row>
    <row r="3271" spans="1:100" x14ac:dyDescent="0.2">
      <c r="A3271" s="9" t="s">
        <v>665</v>
      </c>
      <c r="B3271" s="2">
        <v>27</v>
      </c>
      <c r="C3271" s="3" t="s">
        <v>95</v>
      </c>
      <c r="D3271" s="3" t="s">
        <v>96</v>
      </c>
      <c r="E3271" s="2"/>
      <c r="F3271" s="2"/>
      <c r="G3271" s="2" t="s">
        <v>68</v>
      </c>
      <c r="H3271" s="2">
        <v>7</v>
      </c>
      <c r="I3271" s="20">
        <v>148.94999999999999</v>
      </c>
      <c r="J3271" s="20">
        <v>66200</v>
      </c>
      <c r="K3271" s="3">
        <v>0</v>
      </c>
      <c r="L3271" s="3" t="s">
        <v>3</v>
      </c>
      <c r="M3271" s="9" t="s">
        <v>0</v>
      </c>
      <c r="N3271" s="75">
        <v>77069854</v>
      </c>
      <c r="O3271" s="9" t="s">
        <v>666</v>
      </c>
      <c r="P3271" s="9" t="s">
        <v>0</v>
      </c>
      <c r="S3271" s="9" t="s">
        <v>158</v>
      </c>
      <c r="T3271" s="10" t="s">
        <v>68</v>
      </c>
      <c r="U3271" s="10">
        <v>7</v>
      </c>
      <c r="V3271" s="10">
        <v>148.94999999999999</v>
      </c>
      <c r="W3271" s="10" t="s">
        <v>710</v>
      </c>
      <c r="X3271" s="17">
        <v>45710</v>
      </c>
      <c r="Y3271" s="17">
        <v>45747</v>
      </c>
      <c r="Z3271" s="19" t="s">
        <v>772</v>
      </c>
      <c r="AA3271" s="207">
        <v>49650</v>
      </c>
      <c r="AB3271" s="9">
        <v>48</v>
      </c>
      <c r="AC3271" s="9">
        <v>18</v>
      </c>
      <c r="AD3271" s="17">
        <v>46325</v>
      </c>
      <c r="AE3271" s="54">
        <v>950</v>
      </c>
      <c r="AF3271" s="54"/>
      <c r="AL3271" s="22"/>
      <c r="AM3271" s="22"/>
      <c r="AN3271" s="22"/>
      <c r="AO3271" s="22"/>
      <c r="AP3271" s="22"/>
      <c r="AQ3271" s="22"/>
      <c r="AR3271" s="22"/>
      <c r="AS3271" s="22"/>
      <c r="AT3271" s="22"/>
      <c r="AU3271" s="22"/>
      <c r="AV3271" s="22"/>
      <c r="AW3271" s="9"/>
      <c r="BA3271" s="22"/>
      <c r="BB3271" s="22"/>
      <c r="BD3271" s="9"/>
      <c r="CS3271" s="11">
        <f t="shared" si="227"/>
        <v>0</v>
      </c>
      <c r="CT3271" s="22">
        <f t="shared" si="228"/>
        <v>0</v>
      </c>
      <c r="CU3271" s="22">
        <f t="shared" si="229"/>
        <v>0</v>
      </c>
      <c r="CV3271" s="26">
        <f t="shared" si="230"/>
        <v>950</v>
      </c>
    </row>
    <row r="3272" spans="1:100" x14ac:dyDescent="0.2">
      <c r="A3272" s="9" t="s">
        <v>665</v>
      </c>
      <c r="B3272" s="2">
        <v>27</v>
      </c>
      <c r="C3272" s="3" t="s">
        <v>95</v>
      </c>
      <c r="D3272" s="3" t="s">
        <v>96</v>
      </c>
      <c r="E3272" s="2"/>
      <c r="F3272" s="2"/>
      <c r="G3272" s="2" t="s">
        <v>68</v>
      </c>
      <c r="H3272" s="2">
        <v>7</v>
      </c>
      <c r="I3272" s="20">
        <v>148.94999999999999</v>
      </c>
      <c r="J3272" s="20">
        <v>66200</v>
      </c>
      <c r="K3272" s="3">
        <v>0</v>
      </c>
      <c r="L3272" s="3" t="s">
        <v>3</v>
      </c>
      <c r="M3272" s="9" t="s">
        <v>0</v>
      </c>
      <c r="N3272" s="75">
        <v>77069854</v>
      </c>
      <c r="O3272" s="9" t="s">
        <v>666</v>
      </c>
      <c r="P3272" s="9" t="s">
        <v>0</v>
      </c>
      <c r="S3272" s="9" t="s">
        <v>158</v>
      </c>
      <c r="T3272" s="10" t="s">
        <v>68</v>
      </c>
      <c r="U3272" s="10">
        <v>7</v>
      </c>
      <c r="V3272" s="10">
        <v>148.94999999999999</v>
      </c>
      <c r="W3272" s="10" t="s">
        <v>710</v>
      </c>
      <c r="X3272" s="17">
        <v>45710</v>
      </c>
      <c r="Y3272" s="17">
        <v>45747</v>
      </c>
      <c r="Z3272" s="19" t="s">
        <v>772</v>
      </c>
      <c r="AA3272" s="207">
        <v>49650</v>
      </c>
      <c r="AB3272" s="9">
        <v>48</v>
      </c>
      <c r="AC3272" s="9">
        <v>19</v>
      </c>
      <c r="AD3272" s="17">
        <v>46356</v>
      </c>
      <c r="AE3272" s="54">
        <v>950</v>
      </c>
      <c r="AF3272" s="54"/>
      <c r="AL3272" s="22"/>
      <c r="AM3272" s="22"/>
      <c r="AN3272" s="22"/>
      <c r="AO3272" s="22"/>
      <c r="AP3272" s="22"/>
      <c r="AQ3272" s="22"/>
      <c r="AR3272" s="22"/>
      <c r="AS3272" s="22"/>
      <c r="AT3272" s="22"/>
      <c r="AU3272" s="22"/>
      <c r="AV3272" s="22"/>
      <c r="AW3272" s="9"/>
      <c r="BA3272" s="22"/>
      <c r="BB3272" s="22"/>
      <c r="BD3272" s="9"/>
      <c r="CS3272" s="11">
        <f t="shared" si="227"/>
        <v>0</v>
      </c>
      <c r="CT3272" s="22">
        <f t="shared" si="228"/>
        <v>0</v>
      </c>
      <c r="CU3272" s="22">
        <f t="shared" si="229"/>
        <v>0</v>
      </c>
      <c r="CV3272" s="26">
        <f t="shared" si="230"/>
        <v>950</v>
      </c>
    </row>
    <row r="3273" spans="1:100" x14ac:dyDescent="0.2">
      <c r="A3273" s="9" t="s">
        <v>665</v>
      </c>
      <c r="B3273" s="2">
        <v>27</v>
      </c>
      <c r="C3273" s="3" t="s">
        <v>95</v>
      </c>
      <c r="D3273" s="3" t="s">
        <v>96</v>
      </c>
      <c r="E3273" s="2"/>
      <c r="F3273" s="2"/>
      <c r="G3273" s="2" t="s">
        <v>68</v>
      </c>
      <c r="H3273" s="2">
        <v>7</v>
      </c>
      <c r="I3273" s="20">
        <v>148.94999999999999</v>
      </c>
      <c r="J3273" s="20">
        <v>66200</v>
      </c>
      <c r="K3273" s="3">
        <v>0</v>
      </c>
      <c r="L3273" s="3" t="s">
        <v>3</v>
      </c>
      <c r="M3273" s="9" t="s">
        <v>0</v>
      </c>
      <c r="N3273" s="75">
        <v>77069854</v>
      </c>
      <c r="O3273" s="9" t="s">
        <v>666</v>
      </c>
      <c r="P3273" s="9" t="s">
        <v>0</v>
      </c>
      <c r="S3273" s="9" t="s">
        <v>158</v>
      </c>
      <c r="T3273" s="10" t="s">
        <v>68</v>
      </c>
      <c r="U3273" s="10">
        <v>7</v>
      </c>
      <c r="V3273" s="10">
        <v>148.94999999999999</v>
      </c>
      <c r="W3273" s="10" t="s">
        <v>710</v>
      </c>
      <c r="X3273" s="17">
        <v>45710</v>
      </c>
      <c r="Y3273" s="17">
        <v>45747</v>
      </c>
      <c r="Z3273" s="19" t="s">
        <v>772</v>
      </c>
      <c r="AA3273" s="207">
        <v>49650</v>
      </c>
      <c r="AB3273" s="9">
        <v>48</v>
      </c>
      <c r="AC3273" s="9">
        <v>20</v>
      </c>
      <c r="AD3273" s="17">
        <v>46386</v>
      </c>
      <c r="AE3273" s="54">
        <v>950</v>
      </c>
      <c r="AF3273" s="54"/>
      <c r="AL3273" s="22"/>
      <c r="AM3273" s="22"/>
      <c r="AN3273" s="22"/>
      <c r="AO3273" s="22"/>
      <c r="AP3273" s="22"/>
      <c r="AQ3273" s="22"/>
      <c r="AR3273" s="22"/>
      <c r="AS3273" s="22"/>
      <c r="AT3273" s="22"/>
      <c r="AU3273" s="22"/>
      <c r="AV3273" s="22"/>
      <c r="AW3273" s="9"/>
      <c r="BA3273" s="22"/>
      <c r="BB3273" s="22"/>
      <c r="BD3273" s="9"/>
      <c r="CS3273" s="11">
        <f t="shared" si="227"/>
        <v>0</v>
      </c>
      <c r="CT3273" s="22">
        <f t="shared" si="228"/>
        <v>0</v>
      </c>
      <c r="CU3273" s="22">
        <f t="shared" si="229"/>
        <v>0</v>
      </c>
      <c r="CV3273" s="26">
        <f t="shared" si="230"/>
        <v>950</v>
      </c>
    </row>
    <row r="3274" spans="1:100" x14ac:dyDescent="0.2">
      <c r="A3274" s="9" t="s">
        <v>665</v>
      </c>
      <c r="B3274" s="2">
        <v>27</v>
      </c>
      <c r="C3274" s="3" t="s">
        <v>95</v>
      </c>
      <c r="D3274" s="3" t="s">
        <v>96</v>
      </c>
      <c r="E3274" s="2"/>
      <c r="F3274" s="2"/>
      <c r="G3274" s="2" t="s">
        <v>68</v>
      </c>
      <c r="H3274" s="2">
        <v>7</v>
      </c>
      <c r="I3274" s="20">
        <v>148.94999999999999</v>
      </c>
      <c r="J3274" s="20">
        <v>66200</v>
      </c>
      <c r="K3274" s="3">
        <v>0</v>
      </c>
      <c r="L3274" s="3" t="s">
        <v>3</v>
      </c>
      <c r="M3274" s="9" t="s">
        <v>0</v>
      </c>
      <c r="N3274" s="75">
        <v>77069854</v>
      </c>
      <c r="O3274" s="9" t="s">
        <v>666</v>
      </c>
      <c r="P3274" s="9" t="s">
        <v>0</v>
      </c>
      <c r="S3274" s="9" t="s">
        <v>158</v>
      </c>
      <c r="T3274" s="10" t="s">
        <v>68</v>
      </c>
      <c r="U3274" s="10">
        <v>7</v>
      </c>
      <c r="V3274" s="10">
        <v>148.94999999999999</v>
      </c>
      <c r="W3274" s="10" t="s">
        <v>710</v>
      </c>
      <c r="X3274" s="17">
        <v>45710</v>
      </c>
      <c r="Y3274" s="17">
        <v>45747</v>
      </c>
      <c r="Z3274" s="19" t="s">
        <v>772</v>
      </c>
      <c r="AA3274" s="207">
        <v>49650</v>
      </c>
      <c r="AB3274" s="9">
        <v>48</v>
      </c>
      <c r="AC3274" s="9">
        <v>21</v>
      </c>
      <c r="AD3274" s="17">
        <v>46417</v>
      </c>
      <c r="AE3274" s="54">
        <v>950</v>
      </c>
      <c r="AF3274" s="54"/>
      <c r="AL3274" s="22"/>
      <c r="AM3274" s="22"/>
      <c r="AN3274" s="22"/>
      <c r="AO3274" s="22"/>
      <c r="AP3274" s="22"/>
      <c r="AQ3274" s="22"/>
      <c r="AR3274" s="22"/>
      <c r="AS3274" s="22"/>
      <c r="AT3274" s="22"/>
      <c r="AU3274" s="22"/>
      <c r="AV3274" s="22"/>
      <c r="AW3274" s="9"/>
      <c r="BA3274" s="22"/>
      <c r="BB3274" s="22"/>
      <c r="BD3274" s="9"/>
      <c r="CS3274" s="11">
        <f t="shared" si="227"/>
        <v>0</v>
      </c>
      <c r="CT3274" s="22">
        <f t="shared" si="228"/>
        <v>0</v>
      </c>
      <c r="CU3274" s="22">
        <f t="shared" si="229"/>
        <v>0</v>
      </c>
      <c r="CV3274" s="26">
        <f t="shared" si="230"/>
        <v>950</v>
      </c>
    </row>
    <row r="3275" spans="1:100" x14ac:dyDescent="0.2">
      <c r="A3275" s="9" t="s">
        <v>665</v>
      </c>
      <c r="B3275" s="2">
        <v>27</v>
      </c>
      <c r="C3275" s="3" t="s">
        <v>95</v>
      </c>
      <c r="D3275" s="3" t="s">
        <v>96</v>
      </c>
      <c r="E3275" s="2"/>
      <c r="F3275" s="2"/>
      <c r="G3275" s="2" t="s">
        <v>68</v>
      </c>
      <c r="H3275" s="2">
        <v>7</v>
      </c>
      <c r="I3275" s="20">
        <v>148.94999999999999</v>
      </c>
      <c r="J3275" s="20">
        <v>66200</v>
      </c>
      <c r="K3275" s="3">
        <v>0</v>
      </c>
      <c r="L3275" s="3" t="s">
        <v>3</v>
      </c>
      <c r="M3275" s="9" t="s">
        <v>0</v>
      </c>
      <c r="N3275" s="75">
        <v>77069854</v>
      </c>
      <c r="O3275" s="9" t="s">
        <v>666</v>
      </c>
      <c r="P3275" s="9" t="s">
        <v>0</v>
      </c>
      <c r="S3275" s="9" t="s">
        <v>158</v>
      </c>
      <c r="T3275" s="10" t="s">
        <v>68</v>
      </c>
      <c r="U3275" s="10">
        <v>7</v>
      </c>
      <c r="V3275" s="10">
        <v>148.94999999999999</v>
      </c>
      <c r="W3275" s="10" t="s">
        <v>710</v>
      </c>
      <c r="X3275" s="17">
        <v>45710</v>
      </c>
      <c r="Y3275" s="17">
        <v>45747</v>
      </c>
      <c r="Z3275" s="19" t="s">
        <v>772</v>
      </c>
      <c r="AA3275" s="207">
        <v>49650</v>
      </c>
      <c r="AB3275" s="9">
        <v>48</v>
      </c>
      <c r="AC3275" s="9">
        <v>22</v>
      </c>
      <c r="AD3275" s="17">
        <v>46446</v>
      </c>
      <c r="AE3275" s="54">
        <v>950</v>
      </c>
      <c r="AF3275" s="54"/>
      <c r="AL3275" s="22"/>
      <c r="AM3275" s="22"/>
      <c r="AN3275" s="22"/>
      <c r="AO3275" s="22"/>
      <c r="AP3275" s="22"/>
      <c r="AQ3275" s="22"/>
      <c r="AR3275" s="22"/>
      <c r="AS3275" s="22"/>
      <c r="AT3275" s="22"/>
      <c r="AU3275" s="22"/>
      <c r="AV3275" s="22"/>
      <c r="AW3275" s="9"/>
      <c r="BA3275" s="22"/>
      <c r="BB3275" s="22"/>
      <c r="BD3275" s="9"/>
      <c r="CS3275" s="11">
        <f t="shared" si="227"/>
        <v>0</v>
      </c>
      <c r="CT3275" s="22">
        <f t="shared" si="228"/>
        <v>0</v>
      </c>
      <c r="CU3275" s="22">
        <f t="shared" si="229"/>
        <v>0</v>
      </c>
      <c r="CV3275" s="26">
        <f t="shared" si="230"/>
        <v>950</v>
      </c>
    </row>
    <row r="3276" spans="1:100" x14ac:dyDescent="0.2">
      <c r="A3276" s="9" t="s">
        <v>665</v>
      </c>
      <c r="B3276" s="2">
        <v>27</v>
      </c>
      <c r="C3276" s="3" t="s">
        <v>95</v>
      </c>
      <c r="D3276" s="3" t="s">
        <v>96</v>
      </c>
      <c r="E3276" s="2"/>
      <c r="F3276" s="2"/>
      <c r="G3276" s="2" t="s">
        <v>68</v>
      </c>
      <c r="H3276" s="2">
        <v>7</v>
      </c>
      <c r="I3276" s="20">
        <v>148.94999999999999</v>
      </c>
      <c r="J3276" s="20">
        <v>66200</v>
      </c>
      <c r="K3276" s="3">
        <v>0</v>
      </c>
      <c r="L3276" s="3" t="s">
        <v>3</v>
      </c>
      <c r="M3276" s="9" t="s">
        <v>0</v>
      </c>
      <c r="N3276" s="75">
        <v>77069854</v>
      </c>
      <c r="O3276" s="9" t="s">
        <v>666</v>
      </c>
      <c r="P3276" s="9" t="s">
        <v>0</v>
      </c>
      <c r="S3276" s="9" t="s">
        <v>158</v>
      </c>
      <c r="T3276" s="10" t="s">
        <v>68</v>
      </c>
      <c r="U3276" s="10">
        <v>7</v>
      </c>
      <c r="V3276" s="10">
        <v>148.94999999999999</v>
      </c>
      <c r="W3276" s="10" t="s">
        <v>710</v>
      </c>
      <c r="X3276" s="17">
        <v>45710</v>
      </c>
      <c r="Y3276" s="17">
        <v>45747</v>
      </c>
      <c r="Z3276" s="19" t="s">
        <v>772</v>
      </c>
      <c r="AA3276" s="207">
        <v>49650</v>
      </c>
      <c r="AB3276" s="9">
        <v>48</v>
      </c>
      <c r="AC3276" s="9">
        <v>23</v>
      </c>
      <c r="AD3276" s="17">
        <v>46476</v>
      </c>
      <c r="AE3276" s="54">
        <v>950</v>
      </c>
      <c r="AF3276" s="54"/>
      <c r="AL3276" s="22"/>
      <c r="AM3276" s="22"/>
      <c r="AN3276" s="22"/>
      <c r="AO3276" s="22"/>
      <c r="AP3276" s="22"/>
      <c r="AQ3276" s="22"/>
      <c r="AR3276" s="22"/>
      <c r="AS3276" s="22"/>
      <c r="AT3276" s="22"/>
      <c r="AU3276" s="22"/>
      <c r="AV3276" s="22"/>
      <c r="AW3276" s="9"/>
      <c r="BA3276" s="22"/>
      <c r="BB3276" s="22"/>
      <c r="BD3276" s="9"/>
      <c r="CS3276" s="11">
        <f t="shared" si="227"/>
        <v>0</v>
      </c>
      <c r="CT3276" s="22">
        <f t="shared" si="228"/>
        <v>0</v>
      </c>
      <c r="CU3276" s="22">
        <f t="shared" si="229"/>
        <v>0</v>
      </c>
      <c r="CV3276" s="26">
        <f t="shared" si="230"/>
        <v>950</v>
      </c>
    </row>
    <row r="3277" spans="1:100" x14ac:dyDescent="0.2">
      <c r="A3277" s="9" t="s">
        <v>665</v>
      </c>
      <c r="B3277" s="2">
        <v>27</v>
      </c>
      <c r="C3277" s="3" t="s">
        <v>95</v>
      </c>
      <c r="D3277" s="3" t="s">
        <v>96</v>
      </c>
      <c r="E3277" s="2"/>
      <c r="F3277" s="2"/>
      <c r="G3277" s="2" t="s">
        <v>68</v>
      </c>
      <c r="H3277" s="2">
        <v>7</v>
      </c>
      <c r="I3277" s="20">
        <v>148.94999999999999</v>
      </c>
      <c r="J3277" s="20">
        <v>66200</v>
      </c>
      <c r="K3277" s="3">
        <v>0</v>
      </c>
      <c r="L3277" s="3" t="s">
        <v>3</v>
      </c>
      <c r="M3277" s="9" t="s">
        <v>0</v>
      </c>
      <c r="N3277" s="75">
        <v>77069854</v>
      </c>
      <c r="O3277" s="9" t="s">
        <v>666</v>
      </c>
      <c r="P3277" s="9" t="s">
        <v>0</v>
      </c>
      <c r="S3277" s="9" t="s">
        <v>158</v>
      </c>
      <c r="T3277" s="10" t="s">
        <v>68</v>
      </c>
      <c r="U3277" s="10">
        <v>7</v>
      </c>
      <c r="V3277" s="10">
        <v>148.94999999999999</v>
      </c>
      <c r="W3277" s="10" t="s">
        <v>710</v>
      </c>
      <c r="X3277" s="17">
        <v>45710</v>
      </c>
      <c r="Y3277" s="17">
        <v>45747</v>
      </c>
      <c r="Z3277" s="19" t="s">
        <v>772</v>
      </c>
      <c r="AA3277" s="207">
        <v>49650</v>
      </c>
      <c r="AB3277" s="9">
        <v>48</v>
      </c>
      <c r="AC3277" s="9">
        <v>24</v>
      </c>
      <c r="AD3277" s="17">
        <v>46507</v>
      </c>
      <c r="AE3277" s="54">
        <v>950</v>
      </c>
      <c r="AF3277" s="54"/>
      <c r="AL3277" s="22"/>
      <c r="AM3277" s="22"/>
      <c r="AN3277" s="22"/>
      <c r="AO3277" s="22"/>
      <c r="AP3277" s="22"/>
      <c r="AQ3277" s="22"/>
      <c r="AR3277" s="22"/>
      <c r="AS3277" s="22"/>
      <c r="AT3277" s="22"/>
      <c r="AU3277" s="22"/>
      <c r="AV3277" s="22"/>
      <c r="AW3277" s="9"/>
      <c r="BA3277" s="22"/>
      <c r="BB3277" s="22"/>
      <c r="BD3277" s="9"/>
      <c r="CS3277" s="11">
        <f t="shared" si="227"/>
        <v>0</v>
      </c>
      <c r="CT3277" s="22">
        <f t="shared" si="228"/>
        <v>0</v>
      </c>
      <c r="CU3277" s="22">
        <f t="shared" si="229"/>
        <v>0</v>
      </c>
      <c r="CV3277" s="26">
        <f t="shared" si="230"/>
        <v>950</v>
      </c>
    </row>
    <row r="3278" spans="1:100" x14ac:dyDescent="0.2">
      <c r="A3278" s="9" t="s">
        <v>665</v>
      </c>
      <c r="B3278" s="2">
        <v>27</v>
      </c>
      <c r="C3278" s="3" t="s">
        <v>95</v>
      </c>
      <c r="D3278" s="3" t="s">
        <v>96</v>
      </c>
      <c r="E3278" s="2"/>
      <c r="F3278" s="2"/>
      <c r="G3278" s="2" t="s">
        <v>68</v>
      </c>
      <c r="H3278" s="2">
        <v>7</v>
      </c>
      <c r="I3278" s="20">
        <v>148.94999999999999</v>
      </c>
      <c r="J3278" s="20">
        <v>66200</v>
      </c>
      <c r="K3278" s="3">
        <v>0</v>
      </c>
      <c r="L3278" s="3" t="s">
        <v>3</v>
      </c>
      <c r="M3278" s="9" t="s">
        <v>0</v>
      </c>
      <c r="N3278" s="75">
        <v>77069854</v>
      </c>
      <c r="O3278" s="9" t="s">
        <v>666</v>
      </c>
      <c r="P3278" s="9" t="s">
        <v>0</v>
      </c>
      <c r="S3278" s="9" t="s">
        <v>158</v>
      </c>
      <c r="T3278" s="10" t="s">
        <v>68</v>
      </c>
      <c r="U3278" s="10">
        <v>7</v>
      </c>
      <c r="V3278" s="10">
        <v>148.94999999999999</v>
      </c>
      <c r="W3278" s="10" t="s">
        <v>710</v>
      </c>
      <c r="X3278" s="17">
        <v>45710</v>
      </c>
      <c r="Y3278" s="17">
        <v>45747</v>
      </c>
      <c r="Z3278" s="19" t="s">
        <v>772</v>
      </c>
      <c r="AA3278" s="207">
        <v>49650</v>
      </c>
      <c r="AB3278" s="9">
        <v>48</v>
      </c>
      <c r="AC3278" s="9">
        <v>25</v>
      </c>
      <c r="AD3278" s="17">
        <v>46537</v>
      </c>
      <c r="AE3278" s="54">
        <v>950</v>
      </c>
      <c r="AF3278" s="54"/>
      <c r="AL3278" s="22"/>
      <c r="AM3278" s="22"/>
      <c r="AN3278" s="22"/>
      <c r="AO3278" s="22"/>
      <c r="AP3278" s="22"/>
      <c r="AQ3278" s="22"/>
      <c r="AR3278" s="22"/>
      <c r="AS3278" s="22"/>
      <c r="AT3278" s="22"/>
      <c r="AU3278" s="22"/>
      <c r="AV3278" s="22"/>
      <c r="AW3278" s="9"/>
      <c r="BA3278" s="22"/>
      <c r="BB3278" s="22"/>
      <c r="BD3278" s="9"/>
      <c r="CS3278" s="11">
        <f t="shared" si="227"/>
        <v>0</v>
      </c>
      <c r="CT3278" s="22">
        <f t="shared" si="228"/>
        <v>0</v>
      </c>
      <c r="CU3278" s="22">
        <f t="shared" si="229"/>
        <v>0</v>
      </c>
      <c r="CV3278" s="26">
        <f t="shared" si="230"/>
        <v>950</v>
      </c>
    </row>
    <row r="3279" spans="1:100" x14ac:dyDescent="0.2">
      <c r="A3279" s="9" t="s">
        <v>665</v>
      </c>
      <c r="B3279" s="2">
        <v>27</v>
      </c>
      <c r="C3279" s="3" t="s">
        <v>95</v>
      </c>
      <c r="D3279" s="3" t="s">
        <v>96</v>
      </c>
      <c r="E3279" s="2"/>
      <c r="F3279" s="2"/>
      <c r="G3279" s="2" t="s">
        <v>68</v>
      </c>
      <c r="H3279" s="2">
        <v>7</v>
      </c>
      <c r="I3279" s="20">
        <v>148.94999999999999</v>
      </c>
      <c r="J3279" s="20">
        <v>66200</v>
      </c>
      <c r="K3279" s="3">
        <v>0</v>
      </c>
      <c r="L3279" s="3" t="s">
        <v>3</v>
      </c>
      <c r="M3279" s="9" t="s">
        <v>0</v>
      </c>
      <c r="N3279" s="75">
        <v>77069854</v>
      </c>
      <c r="O3279" s="9" t="s">
        <v>666</v>
      </c>
      <c r="P3279" s="9" t="s">
        <v>0</v>
      </c>
      <c r="S3279" s="9" t="s">
        <v>158</v>
      </c>
      <c r="T3279" s="10" t="s">
        <v>68</v>
      </c>
      <c r="U3279" s="10">
        <v>7</v>
      </c>
      <c r="V3279" s="10">
        <v>148.94999999999999</v>
      </c>
      <c r="W3279" s="10" t="s">
        <v>710</v>
      </c>
      <c r="X3279" s="17">
        <v>45710</v>
      </c>
      <c r="Y3279" s="17">
        <v>45747</v>
      </c>
      <c r="Z3279" s="19" t="s">
        <v>772</v>
      </c>
      <c r="AA3279" s="207">
        <v>49650</v>
      </c>
      <c r="AB3279" s="9">
        <v>48</v>
      </c>
      <c r="AC3279" s="9">
        <v>26</v>
      </c>
      <c r="AD3279" s="17">
        <v>46568</v>
      </c>
      <c r="AE3279" s="54">
        <v>950</v>
      </c>
      <c r="AF3279" s="54"/>
      <c r="AL3279" s="22"/>
      <c r="AM3279" s="22"/>
      <c r="AN3279" s="22"/>
      <c r="AO3279" s="22"/>
      <c r="AP3279" s="22"/>
      <c r="AQ3279" s="22"/>
      <c r="AR3279" s="22"/>
      <c r="AS3279" s="22"/>
      <c r="AT3279" s="22"/>
      <c r="AU3279" s="22"/>
      <c r="AV3279" s="22"/>
      <c r="AW3279" s="9"/>
      <c r="BA3279" s="22"/>
      <c r="BB3279" s="22"/>
      <c r="BD3279" s="9"/>
      <c r="CS3279" s="11">
        <f t="shared" si="227"/>
        <v>0</v>
      </c>
      <c r="CT3279" s="22">
        <f t="shared" si="228"/>
        <v>0</v>
      </c>
      <c r="CU3279" s="22">
        <f t="shared" si="229"/>
        <v>0</v>
      </c>
      <c r="CV3279" s="26">
        <f t="shared" si="230"/>
        <v>950</v>
      </c>
    </row>
    <row r="3280" spans="1:100" x14ac:dyDescent="0.2">
      <c r="A3280" s="9" t="s">
        <v>665</v>
      </c>
      <c r="B3280" s="2">
        <v>27</v>
      </c>
      <c r="C3280" s="3" t="s">
        <v>95</v>
      </c>
      <c r="D3280" s="3" t="s">
        <v>96</v>
      </c>
      <c r="E3280" s="2"/>
      <c r="F3280" s="2"/>
      <c r="G3280" s="2" t="s">
        <v>68</v>
      </c>
      <c r="H3280" s="2">
        <v>7</v>
      </c>
      <c r="I3280" s="20">
        <v>148.94999999999999</v>
      </c>
      <c r="J3280" s="20">
        <v>66200</v>
      </c>
      <c r="K3280" s="3">
        <v>0</v>
      </c>
      <c r="L3280" s="3" t="s">
        <v>3</v>
      </c>
      <c r="M3280" s="9" t="s">
        <v>0</v>
      </c>
      <c r="N3280" s="75">
        <v>77069854</v>
      </c>
      <c r="O3280" s="9" t="s">
        <v>666</v>
      </c>
      <c r="P3280" s="9" t="s">
        <v>0</v>
      </c>
      <c r="S3280" s="9" t="s">
        <v>158</v>
      </c>
      <c r="T3280" s="10" t="s">
        <v>68</v>
      </c>
      <c r="U3280" s="10">
        <v>7</v>
      </c>
      <c r="V3280" s="10">
        <v>148.94999999999999</v>
      </c>
      <c r="W3280" s="10" t="s">
        <v>710</v>
      </c>
      <c r="X3280" s="17">
        <v>45710</v>
      </c>
      <c r="Y3280" s="17">
        <v>45747</v>
      </c>
      <c r="Z3280" s="19" t="s">
        <v>772</v>
      </c>
      <c r="AA3280" s="207">
        <v>49650</v>
      </c>
      <c r="AB3280" s="9">
        <v>48</v>
      </c>
      <c r="AC3280" s="9">
        <v>27</v>
      </c>
      <c r="AD3280" s="17">
        <v>46598</v>
      </c>
      <c r="AE3280" s="54">
        <v>950</v>
      </c>
      <c r="AF3280" s="54"/>
      <c r="AL3280" s="22"/>
      <c r="AM3280" s="22"/>
      <c r="AN3280" s="22"/>
      <c r="AO3280" s="22"/>
      <c r="AP3280" s="22"/>
      <c r="AQ3280" s="22"/>
      <c r="AR3280" s="22"/>
      <c r="AS3280" s="22"/>
      <c r="AT3280" s="22"/>
      <c r="AU3280" s="22"/>
      <c r="AV3280" s="22"/>
      <c r="AW3280" s="9"/>
      <c r="BA3280" s="22"/>
      <c r="BB3280" s="22"/>
      <c r="BD3280" s="9"/>
      <c r="CS3280" s="11">
        <f t="shared" si="227"/>
        <v>0</v>
      </c>
      <c r="CT3280" s="22">
        <f t="shared" si="228"/>
        <v>0</v>
      </c>
      <c r="CU3280" s="22">
        <f t="shared" si="229"/>
        <v>0</v>
      </c>
      <c r="CV3280" s="26">
        <f t="shared" si="230"/>
        <v>950</v>
      </c>
    </row>
    <row r="3281" spans="1:100" x14ac:dyDescent="0.2">
      <c r="A3281" s="9" t="s">
        <v>665</v>
      </c>
      <c r="B3281" s="2">
        <v>27</v>
      </c>
      <c r="C3281" s="3" t="s">
        <v>95</v>
      </c>
      <c r="D3281" s="3" t="s">
        <v>96</v>
      </c>
      <c r="E3281" s="2"/>
      <c r="F3281" s="2"/>
      <c r="G3281" s="2" t="s">
        <v>68</v>
      </c>
      <c r="H3281" s="2">
        <v>7</v>
      </c>
      <c r="I3281" s="20">
        <v>148.94999999999999</v>
      </c>
      <c r="J3281" s="20">
        <v>66200</v>
      </c>
      <c r="K3281" s="3">
        <v>0</v>
      </c>
      <c r="L3281" s="3" t="s">
        <v>3</v>
      </c>
      <c r="M3281" s="9" t="s">
        <v>0</v>
      </c>
      <c r="N3281" s="75">
        <v>77069854</v>
      </c>
      <c r="O3281" s="9" t="s">
        <v>666</v>
      </c>
      <c r="P3281" s="9" t="s">
        <v>0</v>
      </c>
      <c r="S3281" s="9" t="s">
        <v>158</v>
      </c>
      <c r="T3281" s="10" t="s">
        <v>68</v>
      </c>
      <c r="U3281" s="10">
        <v>7</v>
      </c>
      <c r="V3281" s="10">
        <v>148.94999999999999</v>
      </c>
      <c r="W3281" s="10" t="s">
        <v>710</v>
      </c>
      <c r="X3281" s="17">
        <v>45710</v>
      </c>
      <c r="Y3281" s="17">
        <v>45747</v>
      </c>
      <c r="Z3281" s="19" t="s">
        <v>772</v>
      </c>
      <c r="AA3281" s="207">
        <v>49650</v>
      </c>
      <c r="AB3281" s="9">
        <v>48</v>
      </c>
      <c r="AC3281" s="9">
        <v>28</v>
      </c>
      <c r="AD3281" s="17">
        <v>46629</v>
      </c>
      <c r="AE3281" s="54">
        <v>950</v>
      </c>
      <c r="AF3281" s="54"/>
      <c r="AL3281" s="22"/>
      <c r="AM3281" s="22"/>
      <c r="AN3281" s="22"/>
      <c r="AO3281" s="22"/>
      <c r="AP3281" s="22"/>
      <c r="AQ3281" s="22"/>
      <c r="AR3281" s="22"/>
      <c r="AS3281" s="22"/>
      <c r="AT3281" s="22"/>
      <c r="AU3281" s="22"/>
      <c r="AV3281" s="22"/>
      <c r="AW3281" s="9"/>
      <c r="BA3281" s="22"/>
      <c r="BB3281" s="22"/>
      <c r="BD3281" s="9"/>
      <c r="CS3281" s="11">
        <f t="shared" si="227"/>
        <v>0</v>
      </c>
      <c r="CT3281" s="22">
        <f t="shared" si="228"/>
        <v>0</v>
      </c>
      <c r="CU3281" s="22">
        <f t="shared" si="229"/>
        <v>0</v>
      </c>
      <c r="CV3281" s="26">
        <f t="shared" si="230"/>
        <v>950</v>
      </c>
    </row>
    <row r="3282" spans="1:100" x14ac:dyDescent="0.2">
      <c r="A3282" s="9" t="s">
        <v>665</v>
      </c>
      <c r="B3282" s="2">
        <v>27</v>
      </c>
      <c r="C3282" s="3" t="s">
        <v>95</v>
      </c>
      <c r="D3282" s="3" t="s">
        <v>96</v>
      </c>
      <c r="E3282" s="2"/>
      <c r="F3282" s="2"/>
      <c r="G3282" s="2" t="s">
        <v>68</v>
      </c>
      <c r="H3282" s="2">
        <v>7</v>
      </c>
      <c r="I3282" s="20">
        <v>148.94999999999999</v>
      </c>
      <c r="J3282" s="20">
        <v>66200</v>
      </c>
      <c r="K3282" s="3">
        <v>0</v>
      </c>
      <c r="L3282" s="3" t="s">
        <v>3</v>
      </c>
      <c r="M3282" s="9" t="s">
        <v>0</v>
      </c>
      <c r="N3282" s="75">
        <v>77069854</v>
      </c>
      <c r="O3282" s="9" t="s">
        <v>666</v>
      </c>
      <c r="P3282" s="9" t="s">
        <v>0</v>
      </c>
      <c r="S3282" s="9" t="s">
        <v>158</v>
      </c>
      <c r="T3282" s="10" t="s">
        <v>68</v>
      </c>
      <c r="U3282" s="10">
        <v>7</v>
      </c>
      <c r="V3282" s="10">
        <v>148.94999999999999</v>
      </c>
      <c r="W3282" s="10" t="s">
        <v>710</v>
      </c>
      <c r="X3282" s="17">
        <v>45710</v>
      </c>
      <c r="Y3282" s="17">
        <v>45747</v>
      </c>
      <c r="Z3282" s="19" t="s">
        <v>772</v>
      </c>
      <c r="AA3282" s="207">
        <v>49650</v>
      </c>
      <c r="AB3282" s="9">
        <v>48</v>
      </c>
      <c r="AC3282" s="9">
        <v>29</v>
      </c>
      <c r="AD3282" s="17">
        <v>46660</v>
      </c>
      <c r="AE3282" s="54">
        <v>950</v>
      </c>
      <c r="AF3282" s="54"/>
      <c r="AL3282" s="22"/>
      <c r="AM3282" s="22"/>
      <c r="AN3282" s="22"/>
      <c r="AO3282" s="22"/>
      <c r="AP3282" s="22"/>
      <c r="AQ3282" s="22"/>
      <c r="AR3282" s="22"/>
      <c r="AS3282" s="22"/>
      <c r="AT3282" s="22"/>
      <c r="AU3282" s="22"/>
      <c r="AV3282" s="22"/>
      <c r="AW3282" s="9"/>
      <c r="BA3282" s="22"/>
      <c r="BB3282" s="22"/>
      <c r="BD3282" s="9"/>
      <c r="CS3282" s="11">
        <f t="shared" si="227"/>
        <v>0</v>
      </c>
      <c r="CT3282" s="22">
        <f t="shared" si="228"/>
        <v>0</v>
      </c>
      <c r="CU3282" s="22">
        <f t="shared" si="229"/>
        <v>0</v>
      </c>
      <c r="CV3282" s="26">
        <f t="shared" si="230"/>
        <v>950</v>
      </c>
    </row>
    <row r="3283" spans="1:100" x14ac:dyDescent="0.2">
      <c r="A3283" s="9" t="s">
        <v>665</v>
      </c>
      <c r="B3283" s="2">
        <v>27</v>
      </c>
      <c r="C3283" s="3" t="s">
        <v>95</v>
      </c>
      <c r="D3283" s="3" t="s">
        <v>96</v>
      </c>
      <c r="E3283" s="2"/>
      <c r="F3283" s="2"/>
      <c r="G3283" s="2" t="s">
        <v>68</v>
      </c>
      <c r="H3283" s="2">
        <v>7</v>
      </c>
      <c r="I3283" s="20">
        <v>148.94999999999999</v>
      </c>
      <c r="J3283" s="20">
        <v>66200</v>
      </c>
      <c r="K3283" s="3">
        <v>0</v>
      </c>
      <c r="L3283" s="3" t="s">
        <v>3</v>
      </c>
      <c r="M3283" s="9" t="s">
        <v>0</v>
      </c>
      <c r="N3283" s="75">
        <v>77069854</v>
      </c>
      <c r="O3283" s="9" t="s">
        <v>666</v>
      </c>
      <c r="P3283" s="9" t="s">
        <v>0</v>
      </c>
      <c r="S3283" s="9" t="s">
        <v>158</v>
      </c>
      <c r="T3283" s="10" t="s">
        <v>68</v>
      </c>
      <c r="U3283" s="10">
        <v>7</v>
      </c>
      <c r="V3283" s="10">
        <v>148.94999999999999</v>
      </c>
      <c r="W3283" s="10" t="s">
        <v>710</v>
      </c>
      <c r="X3283" s="17">
        <v>45710</v>
      </c>
      <c r="Y3283" s="17">
        <v>45747</v>
      </c>
      <c r="Z3283" s="19" t="s">
        <v>772</v>
      </c>
      <c r="AA3283" s="207">
        <v>49650</v>
      </c>
      <c r="AB3283" s="9">
        <v>48</v>
      </c>
      <c r="AC3283" s="9">
        <v>30</v>
      </c>
      <c r="AD3283" s="17">
        <v>46690</v>
      </c>
      <c r="AE3283" s="54">
        <v>950</v>
      </c>
      <c r="AF3283" s="54"/>
      <c r="AL3283" s="22"/>
      <c r="AM3283" s="22"/>
      <c r="AN3283" s="22"/>
      <c r="AO3283" s="22"/>
      <c r="AP3283" s="22"/>
      <c r="AQ3283" s="22"/>
      <c r="AR3283" s="22"/>
      <c r="AS3283" s="22"/>
      <c r="AT3283" s="22"/>
      <c r="AU3283" s="22"/>
      <c r="AV3283" s="22"/>
      <c r="AW3283" s="9"/>
      <c r="BA3283" s="22"/>
      <c r="BB3283" s="22"/>
      <c r="BD3283" s="9"/>
      <c r="CS3283" s="11">
        <f t="shared" si="227"/>
        <v>0</v>
      </c>
      <c r="CT3283" s="22">
        <f t="shared" si="228"/>
        <v>0</v>
      </c>
      <c r="CU3283" s="22">
        <f t="shared" si="229"/>
        <v>0</v>
      </c>
      <c r="CV3283" s="26">
        <f t="shared" si="230"/>
        <v>950</v>
      </c>
    </row>
    <row r="3284" spans="1:100" x14ac:dyDescent="0.2">
      <c r="A3284" s="9" t="s">
        <v>665</v>
      </c>
      <c r="B3284" s="2">
        <v>27</v>
      </c>
      <c r="C3284" s="3" t="s">
        <v>95</v>
      </c>
      <c r="D3284" s="3" t="s">
        <v>96</v>
      </c>
      <c r="E3284" s="2"/>
      <c r="F3284" s="2"/>
      <c r="G3284" s="2" t="s">
        <v>68</v>
      </c>
      <c r="H3284" s="2">
        <v>7</v>
      </c>
      <c r="I3284" s="20">
        <v>148.94999999999999</v>
      </c>
      <c r="J3284" s="20">
        <v>66200</v>
      </c>
      <c r="K3284" s="3">
        <v>0</v>
      </c>
      <c r="L3284" s="3" t="s">
        <v>3</v>
      </c>
      <c r="M3284" s="9" t="s">
        <v>0</v>
      </c>
      <c r="N3284" s="75">
        <v>77069854</v>
      </c>
      <c r="O3284" s="9" t="s">
        <v>666</v>
      </c>
      <c r="P3284" s="9" t="s">
        <v>0</v>
      </c>
      <c r="S3284" s="9" t="s">
        <v>158</v>
      </c>
      <c r="T3284" s="10" t="s">
        <v>68</v>
      </c>
      <c r="U3284" s="10">
        <v>7</v>
      </c>
      <c r="V3284" s="10">
        <v>148.94999999999999</v>
      </c>
      <c r="W3284" s="10" t="s">
        <v>710</v>
      </c>
      <c r="X3284" s="17">
        <v>45710</v>
      </c>
      <c r="Y3284" s="17">
        <v>45747</v>
      </c>
      <c r="Z3284" s="19" t="s">
        <v>772</v>
      </c>
      <c r="AA3284" s="207">
        <v>49650</v>
      </c>
      <c r="AB3284" s="9">
        <v>48</v>
      </c>
      <c r="AC3284" s="9">
        <v>31</v>
      </c>
      <c r="AD3284" s="17">
        <v>46721</v>
      </c>
      <c r="AE3284" s="54">
        <v>950</v>
      </c>
      <c r="AF3284" s="54"/>
      <c r="AL3284" s="22"/>
      <c r="AM3284" s="22"/>
      <c r="AN3284" s="22"/>
      <c r="AO3284" s="22"/>
      <c r="AP3284" s="22"/>
      <c r="AQ3284" s="22"/>
      <c r="AR3284" s="22"/>
      <c r="AS3284" s="22"/>
      <c r="AT3284" s="22"/>
      <c r="AU3284" s="22"/>
      <c r="AV3284" s="22"/>
      <c r="AW3284" s="9"/>
      <c r="BA3284" s="22"/>
      <c r="BB3284" s="22"/>
      <c r="BD3284" s="9"/>
      <c r="CS3284" s="11">
        <f t="shared" si="227"/>
        <v>0</v>
      </c>
      <c r="CT3284" s="22">
        <f t="shared" si="228"/>
        <v>0</v>
      </c>
      <c r="CU3284" s="22">
        <f t="shared" si="229"/>
        <v>0</v>
      </c>
      <c r="CV3284" s="26">
        <f t="shared" si="230"/>
        <v>950</v>
      </c>
    </row>
    <row r="3285" spans="1:100" x14ac:dyDescent="0.2">
      <c r="A3285" s="9" t="s">
        <v>665</v>
      </c>
      <c r="B3285" s="2">
        <v>27</v>
      </c>
      <c r="C3285" s="3" t="s">
        <v>95</v>
      </c>
      <c r="D3285" s="3" t="s">
        <v>96</v>
      </c>
      <c r="E3285" s="2"/>
      <c r="F3285" s="2"/>
      <c r="G3285" s="2" t="s">
        <v>68</v>
      </c>
      <c r="H3285" s="2">
        <v>7</v>
      </c>
      <c r="I3285" s="20">
        <v>148.94999999999999</v>
      </c>
      <c r="J3285" s="20">
        <v>66200</v>
      </c>
      <c r="K3285" s="3">
        <v>0</v>
      </c>
      <c r="L3285" s="3" t="s">
        <v>3</v>
      </c>
      <c r="M3285" s="9" t="s">
        <v>0</v>
      </c>
      <c r="N3285" s="75">
        <v>77069854</v>
      </c>
      <c r="O3285" s="9" t="s">
        <v>666</v>
      </c>
      <c r="P3285" s="9" t="s">
        <v>0</v>
      </c>
      <c r="S3285" s="9" t="s">
        <v>158</v>
      </c>
      <c r="T3285" s="10" t="s">
        <v>68</v>
      </c>
      <c r="U3285" s="10">
        <v>7</v>
      </c>
      <c r="V3285" s="10">
        <v>148.94999999999999</v>
      </c>
      <c r="W3285" s="10" t="s">
        <v>710</v>
      </c>
      <c r="X3285" s="17">
        <v>45710</v>
      </c>
      <c r="Y3285" s="17">
        <v>45747</v>
      </c>
      <c r="Z3285" s="19" t="s">
        <v>772</v>
      </c>
      <c r="AA3285" s="207">
        <v>49650</v>
      </c>
      <c r="AB3285" s="9">
        <v>48</v>
      </c>
      <c r="AC3285" s="9">
        <v>32</v>
      </c>
      <c r="AD3285" s="17">
        <v>46751</v>
      </c>
      <c r="AE3285" s="54">
        <v>950</v>
      </c>
      <c r="AF3285" s="54"/>
      <c r="AL3285" s="22"/>
      <c r="AM3285" s="22"/>
      <c r="AN3285" s="22"/>
      <c r="AO3285" s="22"/>
      <c r="AP3285" s="22"/>
      <c r="AQ3285" s="22"/>
      <c r="AR3285" s="22"/>
      <c r="AS3285" s="22"/>
      <c r="AT3285" s="22"/>
      <c r="AU3285" s="22"/>
      <c r="AV3285" s="22"/>
      <c r="AW3285" s="9"/>
      <c r="BA3285" s="22"/>
      <c r="BB3285" s="22"/>
      <c r="BD3285" s="9"/>
      <c r="CS3285" s="11">
        <f t="shared" si="227"/>
        <v>0</v>
      </c>
      <c r="CT3285" s="22">
        <f t="shared" si="228"/>
        <v>0</v>
      </c>
      <c r="CU3285" s="22">
        <f t="shared" si="229"/>
        <v>0</v>
      </c>
      <c r="CV3285" s="26">
        <f t="shared" si="230"/>
        <v>950</v>
      </c>
    </row>
    <row r="3286" spans="1:100" x14ac:dyDescent="0.2">
      <c r="A3286" s="9" t="s">
        <v>665</v>
      </c>
      <c r="B3286" s="2">
        <v>27</v>
      </c>
      <c r="C3286" s="3" t="s">
        <v>95</v>
      </c>
      <c r="D3286" s="3" t="s">
        <v>96</v>
      </c>
      <c r="E3286" s="2"/>
      <c r="F3286" s="2"/>
      <c r="G3286" s="2" t="s">
        <v>68</v>
      </c>
      <c r="H3286" s="2">
        <v>7</v>
      </c>
      <c r="I3286" s="20">
        <v>148.94999999999999</v>
      </c>
      <c r="J3286" s="20">
        <v>66200</v>
      </c>
      <c r="K3286" s="3">
        <v>0</v>
      </c>
      <c r="L3286" s="3" t="s">
        <v>3</v>
      </c>
      <c r="M3286" s="9" t="s">
        <v>0</v>
      </c>
      <c r="N3286" s="75">
        <v>77069854</v>
      </c>
      <c r="O3286" s="9" t="s">
        <v>666</v>
      </c>
      <c r="P3286" s="9" t="s">
        <v>0</v>
      </c>
      <c r="S3286" s="9" t="s">
        <v>158</v>
      </c>
      <c r="T3286" s="10" t="s">
        <v>68</v>
      </c>
      <c r="U3286" s="10">
        <v>7</v>
      </c>
      <c r="V3286" s="10">
        <v>148.94999999999999</v>
      </c>
      <c r="W3286" s="10" t="s">
        <v>710</v>
      </c>
      <c r="X3286" s="17">
        <v>45710</v>
      </c>
      <c r="Y3286" s="17">
        <v>45747</v>
      </c>
      <c r="Z3286" s="19" t="s">
        <v>772</v>
      </c>
      <c r="AA3286" s="207">
        <v>49650</v>
      </c>
      <c r="AB3286" s="9">
        <v>48</v>
      </c>
      <c r="AC3286" s="9">
        <v>33</v>
      </c>
      <c r="AD3286" s="17">
        <v>46782</v>
      </c>
      <c r="AE3286" s="54">
        <v>950</v>
      </c>
      <c r="AF3286" s="54"/>
      <c r="AL3286" s="22"/>
      <c r="AM3286" s="22"/>
      <c r="AN3286" s="22"/>
      <c r="AO3286" s="22"/>
      <c r="AP3286" s="22"/>
      <c r="AQ3286" s="22"/>
      <c r="AR3286" s="22"/>
      <c r="AS3286" s="22"/>
      <c r="AT3286" s="22"/>
      <c r="AU3286" s="22"/>
      <c r="AV3286" s="22"/>
      <c r="AW3286" s="9"/>
      <c r="BA3286" s="22"/>
      <c r="BB3286" s="22"/>
      <c r="BD3286" s="9"/>
      <c r="CS3286" s="11">
        <f t="shared" si="227"/>
        <v>0</v>
      </c>
      <c r="CT3286" s="22">
        <f t="shared" si="228"/>
        <v>0</v>
      </c>
      <c r="CU3286" s="22">
        <f t="shared" si="229"/>
        <v>0</v>
      </c>
      <c r="CV3286" s="26">
        <f t="shared" si="230"/>
        <v>950</v>
      </c>
    </row>
    <row r="3287" spans="1:100" x14ac:dyDescent="0.2">
      <c r="A3287" s="9" t="s">
        <v>665</v>
      </c>
      <c r="B3287" s="2">
        <v>27</v>
      </c>
      <c r="C3287" s="3" t="s">
        <v>95</v>
      </c>
      <c r="D3287" s="3" t="s">
        <v>96</v>
      </c>
      <c r="E3287" s="2"/>
      <c r="F3287" s="2"/>
      <c r="G3287" s="2" t="s">
        <v>68</v>
      </c>
      <c r="H3287" s="2">
        <v>7</v>
      </c>
      <c r="I3287" s="20">
        <v>148.94999999999999</v>
      </c>
      <c r="J3287" s="20">
        <v>66200</v>
      </c>
      <c r="K3287" s="3">
        <v>0</v>
      </c>
      <c r="L3287" s="3" t="s">
        <v>3</v>
      </c>
      <c r="M3287" s="9" t="s">
        <v>0</v>
      </c>
      <c r="N3287" s="75">
        <v>77069854</v>
      </c>
      <c r="O3287" s="9" t="s">
        <v>666</v>
      </c>
      <c r="P3287" s="9" t="s">
        <v>0</v>
      </c>
      <c r="S3287" s="9" t="s">
        <v>158</v>
      </c>
      <c r="T3287" s="10" t="s">
        <v>68</v>
      </c>
      <c r="U3287" s="10">
        <v>7</v>
      </c>
      <c r="V3287" s="10">
        <v>148.94999999999999</v>
      </c>
      <c r="W3287" s="10" t="s">
        <v>710</v>
      </c>
      <c r="X3287" s="17">
        <v>45710</v>
      </c>
      <c r="Y3287" s="17">
        <v>45747</v>
      </c>
      <c r="Z3287" s="19" t="s">
        <v>772</v>
      </c>
      <c r="AA3287" s="207">
        <v>49650</v>
      </c>
      <c r="AB3287" s="9">
        <v>48</v>
      </c>
      <c r="AC3287" s="9">
        <v>34</v>
      </c>
      <c r="AD3287" s="17">
        <v>46812</v>
      </c>
      <c r="AE3287" s="54">
        <v>950</v>
      </c>
      <c r="AF3287" s="54"/>
      <c r="AL3287" s="22"/>
      <c r="AM3287" s="22"/>
      <c r="AN3287" s="22"/>
      <c r="AO3287" s="22"/>
      <c r="AP3287" s="22"/>
      <c r="AQ3287" s="22"/>
      <c r="AR3287" s="22"/>
      <c r="AS3287" s="22"/>
      <c r="AT3287" s="22"/>
      <c r="AU3287" s="22"/>
      <c r="AV3287" s="22"/>
      <c r="AW3287" s="9"/>
      <c r="BA3287" s="22"/>
      <c r="BB3287" s="22"/>
      <c r="BD3287" s="9"/>
      <c r="CS3287" s="11">
        <f t="shared" si="227"/>
        <v>0</v>
      </c>
      <c r="CT3287" s="22">
        <f t="shared" si="228"/>
        <v>0</v>
      </c>
      <c r="CU3287" s="22">
        <f t="shared" si="229"/>
        <v>0</v>
      </c>
      <c r="CV3287" s="26">
        <f t="shared" si="230"/>
        <v>950</v>
      </c>
    </row>
    <row r="3288" spans="1:100" x14ac:dyDescent="0.2">
      <c r="A3288" s="9" t="s">
        <v>665</v>
      </c>
      <c r="B3288" s="2">
        <v>27</v>
      </c>
      <c r="C3288" s="3" t="s">
        <v>95</v>
      </c>
      <c r="D3288" s="3" t="s">
        <v>96</v>
      </c>
      <c r="E3288" s="2"/>
      <c r="F3288" s="2"/>
      <c r="G3288" s="2" t="s">
        <v>68</v>
      </c>
      <c r="H3288" s="2">
        <v>7</v>
      </c>
      <c r="I3288" s="20">
        <v>148.94999999999999</v>
      </c>
      <c r="J3288" s="20">
        <v>66200</v>
      </c>
      <c r="K3288" s="3">
        <v>0</v>
      </c>
      <c r="L3288" s="3" t="s">
        <v>3</v>
      </c>
      <c r="M3288" s="9" t="s">
        <v>0</v>
      </c>
      <c r="N3288" s="75">
        <v>77069854</v>
      </c>
      <c r="O3288" s="9" t="s">
        <v>666</v>
      </c>
      <c r="P3288" s="9" t="s">
        <v>0</v>
      </c>
      <c r="S3288" s="9" t="s">
        <v>158</v>
      </c>
      <c r="T3288" s="10" t="s">
        <v>68</v>
      </c>
      <c r="U3288" s="10">
        <v>7</v>
      </c>
      <c r="V3288" s="10">
        <v>148.94999999999999</v>
      </c>
      <c r="W3288" s="10" t="s">
        <v>710</v>
      </c>
      <c r="X3288" s="17">
        <v>45710</v>
      </c>
      <c r="Y3288" s="17">
        <v>45747</v>
      </c>
      <c r="Z3288" s="19" t="s">
        <v>772</v>
      </c>
      <c r="AA3288" s="207">
        <v>49650</v>
      </c>
      <c r="AB3288" s="9">
        <v>48</v>
      </c>
      <c r="AC3288" s="9">
        <v>35</v>
      </c>
      <c r="AD3288" s="17">
        <v>46842</v>
      </c>
      <c r="AE3288" s="54">
        <v>950</v>
      </c>
      <c r="AF3288" s="54"/>
      <c r="AL3288" s="22"/>
      <c r="AM3288" s="22"/>
      <c r="AN3288" s="22"/>
      <c r="AO3288" s="22"/>
      <c r="AP3288" s="22"/>
      <c r="AQ3288" s="22"/>
      <c r="AR3288" s="22"/>
      <c r="AS3288" s="22"/>
      <c r="AT3288" s="22"/>
      <c r="AU3288" s="22"/>
      <c r="AV3288" s="22"/>
      <c r="AW3288" s="9"/>
      <c r="BA3288" s="22"/>
      <c r="BB3288" s="22"/>
      <c r="BD3288" s="9"/>
      <c r="CS3288" s="11">
        <f t="shared" si="227"/>
        <v>0</v>
      </c>
      <c r="CT3288" s="22">
        <f t="shared" si="228"/>
        <v>0</v>
      </c>
      <c r="CU3288" s="22">
        <f t="shared" si="229"/>
        <v>0</v>
      </c>
      <c r="CV3288" s="26">
        <f t="shared" si="230"/>
        <v>950</v>
      </c>
    </row>
    <row r="3289" spans="1:100" x14ac:dyDescent="0.2">
      <c r="A3289" s="9" t="s">
        <v>665</v>
      </c>
      <c r="B3289" s="2">
        <v>27</v>
      </c>
      <c r="C3289" s="3" t="s">
        <v>95</v>
      </c>
      <c r="D3289" s="3" t="s">
        <v>96</v>
      </c>
      <c r="E3289" s="2"/>
      <c r="F3289" s="2"/>
      <c r="G3289" s="2" t="s">
        <v>68</v>
      </c>
      <c r="H3289" s="2">
        <v>7</v>
      </c>
      <c r="I3289" s="20">
        <v>148.94999999999999</v>
      </c>
      <c r="J3289" s="20">
        <v>66200</v>
      </c>
      <c r="K3289" s="3">
        <v>0</v>
      </c>
      <c r="L3289" s="3" t="s">
        <v>3</v>
      </c>
      <c r="M3289" s="9" t="s">
        <v>0</v>
      </c>
      <c r="N3289" s="75">
        <v>77069854</v>
      </c>
      <c r="O3289" s="9" t="s">
        <v>666</v>
      </c>
      <c r="P3289" s="9" t="s">
        <v>0</v>
      </c>
      <c r="S3289" s="9" t="s">
        <v>158</v>
      </c>
      <c r="T3289" s="10" t="s">
        <v>68</v>
      </c>
      <c r="U3289" s="10">
        <v>7</v>
      </c>
      <c r="V3289" s="10">
        <v>148.94999999999999</v>
      </c>
      <c r="W3289" s="10" t="s">
        <v>710</v>
      </c>
      <c r="X3289" s="17">
        <v>45710</v>
      </c>
      <c r="Y3289" s="17">
        <v>45747</v>
      </c>
      <c r="Z3289" s="19" t="s">
        <v>772</v>
      </c>
      <c r="AA3289" s="207">
        <v>49650</v>
      </c>
      <c r="AB3289" s="9">
        <v>48</v>
      </c>
      <c r="AC3289" s="9">
        <v>36</v>
      </c>
      <c r="AD3289" s="17">
        <v>46873</v>
      </c>
      <c r="AE3289" s="54">
        <v>950</v>
      </c>
      <c r="AF3289" s="54"/>
      <c r="AL3289" s="22"/>
      <c r="AM3289" s="22"/>
      <c r="AN3289" s="22"/>
      <c r="AO3289" s="22"/>
      <c r="AP3289" s="22"/>
      <c r="AQ3289" s="22"/>
      <c r="AR3289" s="22"/>
      <c r="AS3289" s="22"/>
      <c r="AT3289" s="22"/>
      <c r="AU3289" s="22"/>
      <c r="AV3289" s="22"/>
      <c r="AW3289" s="9"/>
      <c r="BA3289" s="22"/>
      <c r="BB3289" s="22"/>
      <c r="BD3289" s="9"/>
      <c r="CS3289" s="11">
        <f t="shared" si="227"/>
        <v>0</v>
      </c>
      <c r="CT3289" s="22">
        <f t="shared" si="228"/>
        <v>0</v>
      </c>
      <c r="CU3289" s="22">
        <f t="shared" si="229"/>
        <v>0</v>
      </c>
      <c r="CV3289" s="26">
        <f t="shared" si="230"/>
        <v>950</v>
      </c>
    </row>
    <row r="3290" spans="1:100" x14ac:dyDescent="0.2">
      <c r="A3290" s="9" t="s">
        <v>665</v>
      </c>
      <c r="B3290" s="2">
        <v>27</v>
      </c>
      <c r="C3290" s="3" t="s">
        <v>95</v>
      </c>
      <c r="D3290" s="3" t="s">
        <v>96</v>
      </c>
      <c r="E3290" s="2"/>
      <c r="F3290" s="2"/>
      <c r="G3290" s="2" t="s">
        <v>68</v>
      </c>
      <c r="H3290" s="2">
        <v>7</v>
      </c>
      <c r="I3290" s="20">
        <v>148.94999999999999</v>
      </c>
      <c r="J3290" s="20">
        <v>66200</v>
      </c>
      <c r="K3290" s="3">
        <v>0</v>
      </c>
      <c r="L3290" s="3" t="s">
        <v>3</v>
      </c>
      <c r="M3290" s="9" t="s">
        <v>0</v>
      </c>
      <c r="N3290" s="75">
        <v>77069854</v>
      </c>
      <c r="O3290" s="9" t="s">
        <v>666</v>
      </c>
      <c r="P3290" s="9" t="s">
        <v>0</v>
      </c>
      <c r="S3290" s="9" t="s">
        <v>158</v>
      </c>
      <c r="T3290" s="10" t="s">
        <v>68</v>
      </c>
      <c r="U3290" s="10">
        <v>7</v>
      </c>
      <c r="V3290" s="10">
        <v>148.94999999999999</v>
      </c>
      <c r="W3290" s="10" t="s">
        <v>710</v>
      </c>
      <c r="X3290" s="17">
        <v>45710</v>
      </c>
      <c r="Y3290" s="17">
        <v>45747</v>
      </c>
      <c r="Z3290" s="19" t="s">
        <v>772</v>
      </c>
      <c r="AA3290" s="207">
        <v>49650</v>
      </c>
      <c r="AB3290" s="9">
        <v>48</v>
      </c>
      <c r="AC3290" s="9">
        <v>37</v>
      </c>
      <c r="AD3290" s="17">
        <v>46903</v>
      </c>
      <c r="AE3290" s="54">
        <v>950</v>
      </c>
      <c r="AF3290" s="54"/>
      <c r="AL3290" s="22"/>
      <c r="AM3290" s="22"/>
      <c r="AN3290" s="22"/>
      <c r="AO3290" s="22"/>
      <c r="AP3290" s="22"/>
      <c r="AQ3290" s="22"/>
      <c r="AR3290" s="22"/>
      <c r="AS3290" s="22"/>
      <c r="AT3290" s="22"/>
      <c r="AU3290" s="22"/>
      <c r="AV3290" s="22"/>
      <c r="AW3290" s="9"/>
      <c r="BA3290" s="22"/>
      <c r="BB3290" s="22"/>
      <c r="BD3290" s="9"/>
      <c r="CS3290" s="11">
        <f t="shared" si="227"/>
        <v>0</v>
      </c>
      <c r="CT3290" s="22">
        <f t="shared" si="228"/>
        <v>0</v>
      </c>
      <c r="CU3290" s="22">
        <f t="shared" si="229"/>
        <v>0</v>
      </c>
      <c r="CV3290" s="26">
        <f t="shared" si="230"/>
        <v>950</v>
      </c>
    </row>
    <row r="3291" spans="1:100" x14ac:dyDescent="0.2">
      <c r="A3291" s="9" t="s">
        <v>665</v>
      </c>
      <c r="B3291" s="2">
        <v>27</v>
      </c>
      <c r="C3291" s="3" t="s">
        <v>95</v>
      </c>
      <c r="D3291" s="3" t="s">
        <v>96</v>
      </c>
      <c r="E3291" s="2"/>
      <c r="F3291" s="2"/>
      <c r="G3291" s="2" t="s">
        <v>68</v>
      </c>
      <c r="H3291" s="2">
        <v>7</v>
      </c>
      <c r="I3291" s="20">
        <v>148.94999999999999</v>
      </c>
      <c r="J3291" s="20">
        <v>66200</v>
      </c>
      <c r="K3291" s="3">
        <v>0</v>
      </c>
      <c r="L3291" s="3" t="s">
        <v>3</v>
      </c>
      <c r="M3291" s="9" t="s">
        <v>0</v>
      </c>
      <c r="N3291" s="75">
        <v>77069854</v>
      </c>
      <c r="O3291" s="9" t="s">
        <v>666</v>
      </c>
      <c r="P3291" s="9" t="s">
        <v>0</v>
      </c>
      <c r="S3291" s="9" t="s">
        <v>158</v>
      </c>
      <c r="T3291" s="10" t="s">
        <v>68</v>
      </c>
      <c r="U3291" s="10">
        <v>7</v>
      </c>
      <c r="V3291" s="10">
        <v>148.94999999999999</v>
      </c>
      <c r="W3291" s="10" t="s">
        <v>710</v>
      </c>
      <c r="X3291" s="17">
        <v>45710</v>
      </c>
      <c r="Y3291" s="17">
        <v>45747</v>
      </c>
      <c r="Z3291" s="19" t="s">
        <v>772</v>
      </c>
      <c r="AA3291" s="207">
        <v>49650</v>
      </c>
      <c r="AB3291" s="9">
        <v>48</v>
      </c>
      <c r="AC3291" s="9">
        <v>38</v>
      </c>
      <c r="AD3291" s="17">
        <v>46934</v>
      </c>
      <c r="AE3291" s="54">
        <v>950</v>
      </c>
      <c r="AF3291" s="54"/>
      <c r="AL3291" s="22"/>
      <c r="AM3291" s="22"/>
      <c r="AN3291" s="22"/>
      <c r="AO3291" s="22"/>
      <c r="AP3291" s="22"/>
      <c r="AQ3291" s="22"/>
      <c r="AR3291" s="22"/>
      <c r="AS3291" s="22"/>
      <c r="AT3291" s="22"/>
      <c r="AU3291" s="22"/>
      <c r="AV3291" s="22"/>
      <c r="AW3291" s="9"/>
      <c r="BA3291" s="22"/>
      <c r="BB3291" s="22"/>
      <c r="BD3291" s="9"/>
      <c r="CS3291" s="11">
        <f t="shared" si="227"/>
        <v>0</v>
      </c>
      <c r="CT3291" s="22">
        <f t="shared" si="228"/>
        <v>0</v>
      </c>
      <c r="CU3291" s="22">
        <f t="shared" si="229"/>
        <v>0</v>
      </c>
      <c r="CV3291" s="26">
        <f t="shared" si="230"/>
        <v>950</v>
      </c>
    </row>
    <row r="3292" spans="1:100" x14ac:dyDescent="0.2">
      <c r="A3292" s="9" t="s">
        <v>665</v>
      </c>
      <c r="B3292" s="2">
        <v>27</v>
      </c>
      <c r="C3292" s="3" t="s">
        <v>95</v>
      </c>
      <c r="D3292" s="3" t="s">
        <v>96</v>
      </c>
      <c r="E3292" s="2"/>
      <c r="F3292" s="2"/>
      <c r="G3292" s="2" t="s">
        <v>68</v>
      </c>
      <c r="H3292" s="2">
        <v>7</v>
      </c>
      <c r="I3292" s="20">
        <v>148.94999999999999</v>
      </c>
      <c r="J3292" s="20">
        <v>66200</v>
      </c>
      <c r="K3292" s="3">
        <v>0</v>
      </c>
      <c r="L3292" s="3" t="s">
        <v>3</v>
      </c>
      <c r="M3292" s="9" t="s">
        <v>0</v>
      </c>
      <c r="N3292" s="75">
        <v>77069854</v>
      </c>
      <c r="O3292" s="9" t="s">
        <v>666</v>
      </c>
      <c r="P3292" s="9" t="s">
        <v>0</v>
      </c>
      <c r="S3292" s="9" t="s">
        <v>158</v>
      </c>
      <c r="T3292" s="10" t="s">
        <v>68</v>
      </c>
      <c r="U3292" s="10">
        <v>7</v>
      </c>
      <c r="V3292" s="10">
        <v>148.94999999999999</v>
      </c>
      <c r="W3292" s="10" t="s">
        <v>710</v>
      </c>
      <c r="X3292" s="17">
        <v>45710</v>
      </c>
      <c r="Y3292" s="17">
        <v>45747</v>
      </c>
      <c r="Z3292" s="19" t="s">
        <v>772</v>
      </c>
      <c r="AA3292" s="207">
        <v>49650</v>
      </c>
      <c r="AB3292" s="9">
        <v>48</v>
      </c>
      <c r="AC3292" s="9">
        <v>39</v>
      </c>
      <c r="AD3292" s="17">
        <v>46964</v>
      </c>
      <c r="AE3292" s="54">
        <v>950</v>
      </c>
      <c r="AF3292" s="54"/>
      <c r="AL3292" s="22"/>
      <c r="AM3292" s="22"/>
      <c r="AN3292" s="22"/>
      <c r="AO3292" s="22"/>
      <c r="AP3292" s="22"/>
      <c r="AQ3292" s="22"/>
      <c r="AR3292" s="22"/>
      <c r="AS3292" s="22"/>
      <c r="AT3292" s="22"/>
      <c r="AU3292" s="22"/>
      <c r="AV3292" s="22"/>
      <c r="AW3292" s="9"/>
      <c r="BA3292" s="22"/>
      <c r="BB3292" s="22"/>
      <c r="BD3292" s="9"/>
      <c r="CS3292" s="11">
        <f t="shared" si="227"/>
        <v>0</v>
      </c>
      <c r="CT3292" s="22">
        <f t="shared" si="228"/>
        <v>0</v>
      </c>
      <c r="CU3292" s="22">
        <f t="shared" si="229"/>
        <v>0</v>
      </c>
      <c r="CV3292" s="26">
        <f t="shared" si="230"/>
        <v>950</v>
      </c>
    </row>
    <row r="3293" spans="1:100" x14ac:dyDescent="0.2">
      <c r="A3293" s="9" t="s">
        <v>665</v>
      </c>
      <c r="B3293" s="2">
        <v>27</v>
      </c>
      <c r="C3293" s="3" t="s">
        <v>95</v>
      </c>
      <c r="D3293" s="3" t="s">
        <v>96</v>
      </c>
      <c r="E3293" s="2"/>
      <c r="F3293" s="2"/>
      <c r="G3293" s="2" t="s">
        <v>68</v>
      </c>
      <c r="H3293" s="2">
        <v>7</v>
      </c>
      <c r="I3293" s="20">
        <v>148.94999999999999</v>
      </c>
      <c r="J3293" s="20">
        <v>66200</v>
      </c>
      <c r="K3293" s="3">
        <v>0</v>
      </c>
      <c r="L3293" s="3" t="s">
        <v>3</v>
      </c>
      <c r="M3293" s="9" t="s">
        <v>0</v>
      </c>
      <c r="N3293" s="75">
        <v>77069854</v>
      </c>
      <c r="O3293" s="9" t="s">
        <v>666</v>
      </c>
      <c r="P3293" s="9" t="s">
        <v>0</v>
      </c>
      <c r="S3293" s="9" t="s">
        <v>158</v>
      </c>
      <c r="T3293" s="10" t="s">
        <v>68</v>
      </c>
      <c r="U3293" s="10">
        <v>7</v>
      </c>
      <c r="V3293" s="10">
        <v>148.94999999999999</v>
      </c>
      <c r="W3293" s="10" t="s">
        <v>710</v>
      </c>
      <c r="X3293" s="17">
        <v>45710</v>
      </c>
      <c r="Y3293" s="17">
        <v>45747</v>
      </c>
      <c r="Z3293" s="19" t="s">
        <v>772</v>
      </c>
      <c r="AA3293" s="207">
        <v>49650</v>
      </c>
      <c r="AB3293" s="9">
        <v>48</v>
      </c>
      <c r="AC3293" s="9">
        <v>40</v>
      </c>
      <c r="AD3293" s="17">
        <v>46995</v>
      </c>
      <c r="AE3293" s="54">
        <v>950</v>
      </c>
      <c r="AF3293" s="54"/>
      <c r="AL3293" s="22"/>
      <c r="AM3293" s="22"/>
      <c r="AN3293" s="22"/>
      <c r="AO3293" s="22"/>
      <c r="AP3293" s="22"/>
      <c r="AQ3293" s="22"/>
      <c r="AR3293" s="22"/>
      <c r="AS3293" s="22"/>
      <c r="AT3293" s="22"/>
      <c r="AU3293" s="22"/>
      <c r="AV3293" s="22"/>
      <c r="AW3293" s="9"/>
      <c r="BA3293" s="22"/>
      <c r="BB3293" s="22"/>
      <c r="BD3293" s="9"/>
      <c r="CS3293" s="11">
        <f t="shared" si="227"/>
        <v>0</v>
      </c>
      <c r="CT3293" s="22">
        <f t="shared" si="228"/>
        <v>0</v>
      </c>
      <c r="CU3293" s="22">
        <f t="shared" si="229"/>
        <v>0</v>
      </c>
      <c r="CV3293" s="26">
        <f t="shared" si="230"/>
        <v>950</v>
      </c>
    </row>
    <row r="3294" spans="1:100" x14ac:dyDescent="0.2">
      <c r="A3294" s="9" t="s">
        <v>665</v>
      </c>
      <c r="B3294" s="2">
        <v>27</v>
      </c>
      <c r="C3294" s="3" t="s">
        <v>95</v>
      </c>
      <c r="D3294" s="3" t="s">
        <v>96</v>
      </c>
      <c r="E3294" s="2"/>
      <c r="F3294" s="2"/>
      <c r="G3294" s="2" t="s">
        <v>68</v>
      </c>
      <c r="H3294" s="2">
        <v>7</v>
      </c>
      <c r="I3294" s="20">
        <v>148.94999999999999</v>
      </c>
      <c r="J3294" s="20">
        <v>66200</v>
      </c>
      <c r="K3294" s="3">
        <v>0</v>
      </c>
      <c r="L3294" s="3" t="s">
        <v>3</v>
      </c>
      <c r="M3294" s="9" t="s">
        <v>0</v>
      </c>
      <c r="N3294" s="75">
        <v>77069854</v>
      </c>
      <c r="O3294" s="9" t="s">
        <v>666</v>
      </c>
      <c r="P3294" s="9" t="s">
        <v>0</v>
      </c>
      <c r="S3294" s="9" t="s">
        <v>158</v>
      </c>
      <c r="T3294" s="10" t="s">
        <v>68</v>
      </c>
      <c r="U3294" s="10">
        <v>7</v>
      </c>
      <c r="V3294" s="10">
        <v>148.94999999999999</v>
      </c>
      <c r="W3294" s="10" t="s">
        <v>710</v>
      </c>
      <c r="X3294" s="17">
        <v>45710</v>
      </c>
      <c r="Y3294" s="17">
        <v>45747</v>
      </c>
      <c r="Z3294" s="19" t="s">
        <v>772</v>
      </c>
      <c r="AA3294" s="207">
        <v>49650</v>
      </c>
      <c r="AB3294" s="9">
        <v>48</v>
      </c>
      <c r="AC3294" s="9">
        <v>41</v>
      </c>
      <c r="AD3294" s="17">
        <v>47026</v>
      </c>
      <c r="AE3294" s="54">
        <v>950</v>
      </c>
      <c r="AF3294" s="54"/>
      <c r="AL3294" s="22"/>
      <c r="AM3294" s="22"/>
      <c r="AN3294" s="22"/>
      <c r="AO3294" s="22"/>
      <c r="AP3294" s="22"/>
      <c r="AQ3294" s="22"/>
      <c r="AR3294" s="22"/>
      <c r="AS3294" s="22"/>
      <c r="AT3294" s="22"/>
      <c r="AU3294" s="22"/>
      <c r="AV3294" s="22"/>
      <c r="AW3294" s="9"/>
      <c r="BA3294" s="22"/>
      <c r="BB3294" s="22"/>
      <c r="BD3294" s="9"/>
      <c r="CS3294" s="11">
        <f t="shared" si="227"/>
        <v>0</v>
      </c>
      <c r="CT3294" s="22">
        <f t="shared" si="228"/>
        <v>0</v>
      </c>
      <c r="CU3294" s="22">
        <f t="shared" si="229"/>
        <v>0</v>
      </c>
      <c r="CV3294" s="26">
        <f t="shared" si="230"/>
        <v>950</v>
      </c>
    </row>
    <row r="3295" spans="1:100" x14ac:dyDescent="0.2">
      <c r="A3295" s="9" t="s">
        <v>665</v>
      </c>
      <c r="B3295" s="2">
        <v>27</v>
      </c>
      <c r="C3295" s="3" t="s">
        <v>95</v>
      </c>
      <c r="D3295" s="3" t="s">
        <v>96</v>
      </c>
      <c r="E3295" s="2"/>
      <c r="F3295" s="2"/>
      <c r="G3295" s="2" t="s">
        <v>68</v>
      </c>
      <c r="H3295" s="2">
        <v>7</v>
      </c>
      <c r="I3295" s="20">
        <v>148.94999999999999</v>
      </c>
      <c r="J3295" s="20">
        <v>66200</v>
      </c>
      <c r="K3295" s="3">
        <v>0</v>
      </c>
      <c r="L3295" s="3" t="s">
        <v>3</v>
      </c>
      <c r="M3295" s="9" t="s">
        <v>0</v>
      </c>
      <c r="N3295" s="75">
        <v>77069854</v>
      </c>
      <c r="O3295" s="9" t="s">
        <v>666</v>
      </c>
      <c r="P3295" s="9" t="s">
        <v>0</v>
      </c>
      <c r="S3295" s="9" t="s">
        <v>158</v>
      </c>
      <c r="T3295" s="10" t="s">
        <v>68</v>
      </c>
      <c r="U3295" s="10">
        <v>7</v>
      </c>
      <c r="V3295" s="10">
        <v>148.94999999999999</v>
      </c>
      <c r="W3295" s="10" t="s">
        <v>710</v>
      </c>
      <c r="X3295" s="17">
        <v>45710</v>
      </c>
      <c r="Y3295" s="17">
        <v>45747</v>
      </c>
      <c r="Z3295" s="19" t="s">
        <v>772</v>
      </c>
      <c r="AA3295" s="207">
        <v>49650</v>
      </c>
      <c r="AB3295" s="9">
        <v>48</v>
      </c>
      <c r="AC3295" s="9">
        <v>42</v>
      </c>
      <c r="AD3295" s="17">
        <v>47056</v>
      </c>
      <c r="AE3295" s="54">
        <v>950</v>
      </c>
      <c r="AF3295" s="54"/>
      <c r="AL3295" s="22"/>
      <c r="AM3295" s="22"/>
      <c r="AN3295" s="22"/>
      <c r="AO3295" s="22"/>
      <c r="AP3295" s="22"/>
      <c r="AQ3295" s="22"/>
      <c r="AR3295" s="22"/>
      <c r="AS3295" s="22"/>
      <c r="AT3295" s="22"/>
      <c r="AU3295" s="22"/>
      <c r="AV3295" s="22"/>
      <c r="AW3295" s="9"/>
      <c r="BA3295" s="22"/>
      <c r="BB3295" s="22"/>
      <c r="BD3295" s="9"/>
      <c r="CS3295" s="11">
        <f t="shared" si="227"/>
        <v>0</v>
      </c>
      <c r="CT3295" s="22">
        <f t="shared" si="228"/>
        <v>0</v>
      </c>
      <c r="CU3295" s="22">
        <f t="shared" si="229"/>
        <v>0</v>
      </c>
      <c r="CV3295" s="26">
        <f t="shared" si="230"/>
        <v>950</v>
      </c>
    </row>
    <row r="3296" spans="1:100" x14ac:dyDescent="0.2">
      <c r="A3296" s="9" t="s">
        <v>665</v>
      </c>
      <c r="B3296" s="2">
        <v>27</v>
      </c>
      <c r="C3296" s="3" t="s">
        <v>95</v>
      </c>
      <c r="D3296" s="3" t="s">
        <v>96</v>
      </c>
      <c r="E3296" s="2"/>
      <c r="F3296" s="2"/>
      <c r="G3296" s="2" t="s">
        <v>68</v>
      </c>
      <c r="H3296" s="2">
        <v>7</v>
      </c>
      <c r="I3296" s="20">
        <v>148.94999999999999</v>
      </c>
      <c r="J3296" s="20">
        <v>66200</v>
      </c>
      <c r="K3296" s="3">
        <v>0</v>
      </c>
      <c r="L3296" s="3" t="s">
        <v>3</v>
      </c>
      <c r="M3296" s="9" t="s">
        <v>0</v>
      </c>
      <c r="N3296" s="75">
        <v>77069854</v>
      </c>
      <c r="O3296" s="9" t="s">
        <v>666</v>
      </c>
      <c r="P3296" s="9" t="s">
        <v>0</v>
      </c>
      <c r="S3296" s="9" t="s">
        <v>158</v>
      </c>
      <c r="T3296" s="10" t="s">
        <v>68</v>
      </c>
      <c r="U3296" s="10">
        <v>7</v>
      </c>
      <c r="V3296" s="10">
        <v>148.94999999999999</v>
      </c>
      <c r="W3296" s="10" t="s">
        <v>710</v>
      </c>
      <c r="X3296" s="17">
        <v>45710</v>
      </c>
      <c r="Y3296" s="17">
        <v>45747</v>
      </c>
      <c r="Z3296" s="19" t="s">
        <v>772</v>
      </c>
      <c r="AA3296" s="207">
        <v>49650</v>
      </c>
      <c r="AB3296" s="9">
        <v>48</v>
      </c>
      <c r="AC3296" s="9">
        <v>43</v>
      </c>
      <c r="AD3296" s="17">
        <v>47087</v>
      </c>
      <c r="AE3296" s="54">
        <v>950</v>
      </c>
      <c r="AF3296" s="54"/>
      <c r="AL3296" s="22"/>
      <c r="AM3296" s="22"/>
      <c r="AN3296" s="22"/>
      <c r="AO3296" s="22"/>
      <c r="AP3296" s="22"/>
      <c r="AQ3296" s="22"/>
      <c r="AR3296" s="22"/>
      <c r="AS3296" s="22"/>
      <c r="AT3296" s="22"/>
      <c r="AU3296" s="22"/>
      <c r="AV3296" s="22"/>
      <c r="AW3296" s="9"/>
      <c r="BA3296" s="22"/>
      <c r="BB3296" s="22"/>
      <c r="BD3296" s="9"/>
      <c r="CS3296" s="11">
        <f t="shared" si="227"/>
        <v>0</v>
      </c>
      <c r="CT3296" s="22">
        <f t="shared" si="228"/>
        <v>0</v>
      </c>
      <c r="CU3296" s="22">
        <f t="shared" si="229"/>
        <v>0</v>
      </c>
      <c r="CV3296" s="26">
        <f t="shared" si="230"/>
        <v>950</v>
      </c>
    </row>
    <row r="3297" spans="1:100" x14ac:dyDescent="0.2">
      <c r="A3297" s="9" t="s">
        <v>665</v>
      </c>
      <c r="B3297" s="2">
        <v>27</v>
      </c>
      <c r="C3297" s="3" t="s">
        <v>95</v>
      </c>
      <c r="D3297" s="3" t="s">
        <v>96</v>
      </c>
      <c r="E3297" s="2"/>
      <c r="F3297" s="2"/>
      <c r="G3297" s="2" t="s">
        <v>68</v>
      </c>
      <c r="H3297" s="2">
        <v>7</v>
      </c>
      <c r="I3297" s="20">
        <v>148.94999999999999</v>
      </c>
      <c r="J3297" s="20">
        <v>66200</v>
      </c>
      <c r="K3297" s="3">
        <v>0</v>
      </c>
      <c r="L3297" s="3" t="s">
        <v>3</v>
      </c>
      <c r="M3297" s="9" t="s">
        <v>0</v>
      </c>
      <c r="N3297" s="75">
        <v>77069854</v>
      </c>
      <c r="O3297" s="9" t="s">
        <v>666</v>
      </c>
      <c r="P3297" s="9" t="s">
        <v>0</v>
      </c>
      <c r="S3297" s="9" t="s">
        <v>158</v>
      </c>
      <c r="T3297" s="10" t="s">
        <v>68</v>
      </c>
      <c r="U3297" s="10">
        <v>7</v>
      </c>
      <c r="V3297" s="10">
        <v>148.94999999999999</v>
      </c>
      <c r="W3297" s="10" t="s">
        <v>710</v>
      </c>
      <c r="X3297" s="17">
        <v>45710</v>
      </c>
      <c r="Y3297" s="17">
        <v>45747</v>
      </c>
      <c r="Z3297" s="19" t="s">
        <v>772</v>
      </c>
      <c r="AA3297" s="207">
        <v>49650</v>
      </c>
      <c r="AB3297" s="9">
        <v>48</v>
      </c>
      <c r="AC3297" s="9">
        <v>44</v>
      </c>
      <c r="AD3297" s="17">
        <v>47117</v>
      </c>
      <c r="AE3297" s="54">
        <v>950</v>
      </c>
      <c r="AF3297" s="54"/>
      <c r="AL3297" s="22"/>
      <c r="AM3297" s="22"/>
      <c r="AN3297" s="22"/>
      <c r="AO3297" s="22"/>
      <c r="AP3297" s="22"/>
      <c r="AQ3297" s="22"/>
      <c r="AR3297" s="22"/>
      <c r="AS3297" s="22"/>
      <c r="AT3297" s="22"/>
      <c r="AU3297" s="22"/>
      <c r="AV3297" s="22"/>
      <c r="AW3297" s="9"/>
      <c r="BA3297" s="22"/>
      <c r="BB3297" s="22"/>
      <c r="BD3297" s="9"/>
      <c r="CS3297" s="11">
        <f t="shared" si="227"/>
        <v>0</v>
      </c>
      <c r="CT3297" s="22">
        <f t="shared" si="228"/>
        <v>0</v>
      </c>
      <c r="CU3297" s="22">
        <f t="shared" si="229"/>
        <v>0</v>
      </c>
      <c r="CV3297" s="26">
        <f t="shared" si="230"/>
        <v>950</v>
      </c>
    </row>
    <row r="3298" spans="1:100" x14ac:dyDescent="0.2">
      <c r="A3298" s="9" t="s">
        <v>665</v>
      </c>
      <c r="B3298" s="2">
        <v>27</v>
      </c>
      <c r="C3298" s="3" t="s">
        <v>95</v>
      </c>
      <c r="D3298" s="3" t="s">
        <v>96</v>
      </c>
      <c r="E3298" s="2"/>
      <c r="F3298" s="2"/>
      <c r="G3298" s="2" t="s">
        <v>68</v>
      </c>
      <c r="H3298" s="2">
        <v>7</v>
      </c>
      <c r="I3298" s="20">
        <v>148.94999999999999</v>
      </c>
      <c r="J3298" s="20">
        <v>66200</v>
      </c>
      <c r="K3298" s="3">
        <v>0</v>
      </c>
      <c r="L3298" s="3" t="s">
        <v>3</v>
      </c>
      <c r="M3298" s="9" t="s">
        <v>0</v>
      </c>
      <c r="N3298" s="75">
        <v>77069854</v>
      </c>
      <c r="O3298" s="9" t="s">
        <v>666</v>
      </c>
      <c r="P3298" s="9" t="s">
        <v>0</v>
      </c>
      <c r="S3298" s="9" t="s">
        <v>158</v>
      </c>
      <c r="T3298" s="10" t="s">
        <v>68</v>
      </c>
      <c r="U3298" s="10">
        <v>7</v>
      </c>
      <c r="V3298" s="10">
        <v>148.94999999999999</v>
      </c>
      <c r="W3298" s="10" t="s">
        <v>710</v>
      </c>
      <c r="X3298" s="17">
        <v>45710</v>
      </c>
      <c r="Y3298" s="17">
        <v>45747</v>
      </c>
      <c r="Z3298" s="19" t="s">
        <v>772</v>
      </c>
      <c r="AA3298" s="207">
        <v>49650</v>
      </c>
      <c r="AB3298" s="9">
        <v>48</v>
      </c>
      <c r="AC3298" s="9">
        <v>45</v>
      </c>
      <c r="AD3298" s="17">
        <v>47148</v>
      </c>
      <c r="AE3298" s="54">
        <v>950</v>
      </c>
      <c r="AF3298" s="54"/>
      <c r="AL3298" s="22"/>
      <c r="AM3298" s="22"/>
      <c r="AN3298" s="22"/>
      <c r="AO3298" s="22"/>
      <c r="AP3298" s="22"/>
      <c r="AQ3298" s="22"/>
      <c r="AR3298" s="22"/>
      <c r="AS3298" s="22"/>
      <c r="AT3298" s="22"/>
      <c r="AU3298" s="22"/>
      <c r="AV3298" s="22"/>
      <c r="AW3298" s="9"/>
      <c r="BA3298" s="22"/>
      <c r="BB3298" s="22"/>
      <c r="BD3298" s="9"/>
      <c r="CS3298" s="11">
        <f t="shared" si="227"/>
        <v>0</v>
      </c>
      <c r="CT3298" s="22">
        <f t="shared" si="228"/>
        <v>0</v>
      </c>
      <c r="CU3298" s="22">
        <f t="shared" si="229"/>
        <v>0</v>
      </c>
      <c r="CV3298" s="26">
        <f t="shared" si="230"/>
        <v>950</v>
      </c>
    </row>
    <row r="3299" spans="1:100" x14ac:dyDescent="0.2">
      <c r="A3299" s="9" t="s">
        <v>665</v>
      </c>
      <c r="B3299" s="2">
        <v>27</v>
      </c>
      <c r="C3299" s="3" t="s">
        <v>95</v>
      </c>
      <c r="D3299" s="3" t="s">
        <v>96</v>
      </c>
      <c r="E3299" s="2"/>
      <c r="F3299" s="2"/>
      <c r="G3299" s="2" t="s">
        <v>68</v>
      </c>
      <c r="H3299" s="2">
        <v>7</v>
      </c>
      <c r="I3299" s="20">
        <v>148.94999999999999</v>
      </c>
      <c r="J3299" s="20">
        <v>66200</v>
      </c>
      <c r="K3299" s="3">
        <v>0</v>
      </c>
      <c r="L3299" s="3" t="s">
        <v>3</v>
      </c>
      <c r="M3299" s="9" t="s">
        <v>0</v>
      </c>
      <c r="N3299" s="75">
        <v>77069854</v>
      </c>
      <c r="O3299" s="9" t="s">
        <v>666</v>
      </c>
      <c r="P3299" s="9" t="s">
        <v>0</v>
      </c>
      <c r="S3299" s="9" t="s">
        <v>158</v>
      </c>
      <c r="T3299" s="10" t="s">
        <v>68</v>
      </c>
      <c r="U3299" s="10">
        <v>7</v>
      </c>
      <c r="V3299" s="10">
        <v>148.94999999999999</v>
      </c>
      <c r="W3299" s="10" t="s">
        <v>710</v>
      </c>
      <c r="X3299" s="17">
        <v>45710</v>
      </c>
      <c r="Y3299" s="17">
        <v>45747</v>
      </c>
      <c r="Z3299" s="19" t="s">
        <v>772</v>
      </c>
      <c r="AA3299" s="207">
        <v>49650</v>
      </c>
      <c r="AB3299" s="9">
        <v>48</v>
      </c>
      <c r="AC3299" s="9">
        <v>46</v>
      </c>
      <c r="AD3299" s="17">
        <v>47177</v>
      </c>
      <c r="AE3299" s="54">
        <v>950</v>
      </c>
      <c r="AF3299" s="54"/>
      <c r="AL3299" s="22"/>
      <c r="AM3299" s="22"/>
      <c r="AN3299" s="22"/>
      <c r="AO3299" s="22"/>
      <c r="AP3299" s="22"/>
      <c r="AQ3299" s="22"/>
      <c r="AR3299" s="22"/>
      <c r="AS3299" s="22"/>
      <c r="AT3299" s="22"/>
      <c r="AU3299" s="22"/>
      <c r="AV3299" s="22"/>
      <c r="AW3299" s="9"/>
      <c r="BA3299" s="22"/>
      <c r="BB3299" s="22"/>
      <c r="BD3299" s="9"/>
      <c r="CS3299" s="11">
        <f t="shared" si="227"/>
        <v>0</v>
      </c>
      <c r="CT3299" s="22">
        <f t="shared" si="228"/>
        <v>0</v>
      </c>
      <c r="CU3299" s="22">
        <f t="shared" si="229"/>
        <v>0</v>
      </c>
      <c r="CV3299" s="26">
        <f t="shared" si="230"/>
        <v>950</v>
      </c>
    </row>
    <row r="3300" spans="1:100" x14ac:dyDescent="0.2">
      <c r="A3300" s="9" t="s">
        <v>665</v>
      </c>
      <c r="B3300" s="2">
        <v>27</v>
      </c>
      <c r="C3300" s="3" t="s">
        <v>95</v>
      </c>
      <c r="D3300" s="3" t="s">
        <v>96</v>
      </c>
      <c r="E3300" s="2"/>
      <c r="F3300" s="2"/>
      <c r="G3300" s="2" t="s">
        <v>68</v>
      </c>
      <c r="H3300" s="2">
        <v>7</v>
      </c>
      <c r="I3300" s="20">
        <v>148.94999999999999</v>
      </c>
      <c r="J3300" s="20">
        <v>66200</v>
      </c>
      <c r="K3300" s="3">
        <v>0</v>
      </c>
      <c r="L3300" s="3" t="s">
        <v>3</v>
      </c>
      <c r="M3300" s="9" t="s">
        <v>0</v>
      </c>
      <c r="N3300" s="75">
        <v>77069854</v>
      </c>
      <c r="O3300" s="9" t="s">
        <v>666</v>
      </c>
      <c r="P3300" s="9" t="s">
        <v>0</v>
      </c>
      <c r="S3300" s="9" t="s">
        <v>158</v>
      </c>
      <c r="T3300" s="10" t="s">
        <v>68</v>
      </c>
      <c r="U3300" s="10">
        <v>7</v>
      </c>
      <c r="V3300" s="10">
        <v>148.94999999999999</v>
      </c>
      <c r="W3300" s="10" t="s">
        <v>710</v>
      </c>
      <c r="X3300" s="17">
        <v>45710</v>
      </c>
      <c r="Y3300" s="17">
        <v>45747</v>
      </c>
      <c r="Z3300" s="19" t="s">
        <v>772</v>
      </c>
      <c r="AA3300" s="207">
        <v>49650</v>
      </c>
      <c r="AB3300" s="9">
        <v>48</v>
      </c>
      <c r="AC3300" s="9">
        <v>47</v>
      </c>
      <c r="AD3300" s="17">
        <v>47207</v>
      </c>
      <c r="AE3300" s="54">
        <v>950</v>
      </c>
      <c r="AF3300" s="54"/>
      <c r="AL3300" s="22"/>
      <c r="AM3300" s="22"/>
      <c r="AN3300" s="22"/>
      <c r="AO3300" s="22"/>
      <c r="AP3300" s="22"/>
      <c r="AQ3300" s="22"/>
      <c r="AR3300" s="22"/>
      <c r="AS3300" s="22"/>
      <c r="AT3300" s="22"/>
      <c r="AU3300" s="22"/>
      <c r="AV3300" s="22"/>
      <c r="AW3300" s="9"/>
      <c r="BA3300" s="22"/>
      <c r="BB3300" s="22"/>
      <c r="BD3300" s="9"/>
      <c r="CS3300" s="11">
        <f t="shared" si="227"/>
        <v>0</v>
      </c>
      <c r="CT3300" s="22">
        <f t="shared" si="228"/>
        <v>0</v>
      </c>
      <c r="CU3300" s="22">
        <f t="shared" si="229"/>
        <v>0</v>
      </c>
      <c r="CV3300" s="26">
        <f t="shared" si="230"/>
        <v>950</v>
      </c>
    </row>
    <row r="3301" spans="1:100" x14ac:dyDescent="0.2">
      <c r="A3301" s="9" t="s">
        <v>665</v>
      </c>
      <c r="B3301" s="2">
        <v>27</v>
      </c>
      <c r="C3301" s="3" t="s">
        <v>95</v>
      </c>
      <c r="D3301" s="3" t="s">
        <v>96</v>
      </c>
      <c r="E3301" s="2"/>
      <c r="F3301" s="2"/>
      <c r="G3301" s="2" t="s">
        <v>68</v>
      </c>
      <c r="H3301" s="2">
        <v>7</v>
      </c>
      <c r="I3301" s="20">
        <v>148.94999999999999</v>
      </c>
      <c r="J3301" s="20">
        <v>66200</v>
      </c>
      <c r="K3301" s="3">
        <v>0</v>
      </c>
      <c r="L3301" s="3" t="s">
        <v>3</v>
      </c>
      <c r="M3301" s="9" t="s">
        <v>0</v>
      </c>
      <c r="N3301" s="75">
        <v>77069854</v>
      </c>
      <c r="O3301" s="9" t="s">
        <v>666</v>
      </c>
      <c r="P3301" s="9" t="s">
        <v>0</v>
      </c>
      <c r="S3301" s="9" t="s">
        <v>158</v>
      </c>
      <c r="T3301" s="10" t="s">
        <v>68</v>
      </c>
      <c r="U3301" s="10">
        <v>7</v>
      </c>
      <c r="V3301" s="10">
        <v>148.94999999999999</v>
      </c>
      <c r="W3301" s="10" t="s">
        <v>710</v>
      </c>
      <c r="X3301" s="17">
        <v>45710</v>
      </c>
      <c r="Y3301" s="17">
        <v>45747</v>
      </c>
      <c r="Z3301" s="19" t="s">
        <v>772</v>
      </c>
      <c r="AA3301" s="207">
        <v>49650</v>
      </c>
      <c r="AB3301" s="9">
        <v>48</v>
      </c>
      <c r="AC3301" s="9">
        <v>48</v>
      </c>
      <c r="AD3301" s="17">
        <v>47238</v>
      </c>
      <c r="AE3301" s="54">
        <v>897.75</v>
      </c>
      <c r="AF3301" s="54"/>
      <c r="AL3301" s="22"/>
      <c r="AM3301" s="22"/>
      <c r="AN3301" s="22"/>
      <c r="AO3301" s="22"/>
      <c r="AP3301" s="22"/>
      <c r="AQ3301" s="22"/>
      <c r="AR3301" s="22"/>
      <c r="AS3301" s="22"/>
      <c r="AT3301" s="22"/>
      <c r="AU3301" s="22"/>
      <c r="AV3301" s="22"/>
      <c r="AW3301" s="9"/>
      <c r="BA3301" s="22"/>
      <c r="BB3301" s="22"/>
      <c r="BD3301" s="9"/>
      <c r="CS3301" s="11">
        <f t="shared" si="227"/>
        <v>0</v>
      </c>
      <c r="CT3301" s="22">
        <f t="shared" si="228"/>
        <v>0</v>
      </c>
      <c r="CU3301" s="22">
        <f t="shared" si="229"/>
        <v>0</v>
      </c>
      <c r="CV3301" s="26">
        <f t="shared" si="230"/>
        <v>897.75</v>
      </c>
    </row>
    <row r="3302" spans="1:100" x14ac:dyDescent="0.2">
      <c r="A3302" s="9" t="s">
        <v>669</v>
      </c>
      <c r="B3302" s="2">
        <v>4</v>
      </c>
      <c r="C3302" s="3" t="s">
        <v>95</v>
      </c>
      <c r="D3302" s="3" t="s">
        <v>96</v>
      </c>
      <c r="E3302" s="2"/>
      <c r="F3302" s="2"/>
      <c r="G3302" s="2" t="s">
        <v>65</v>
      </c>
      <c r="H3302" s="2">
        <v>4</v>
      </c>
      <c r="I3302" s="20">
        <v>104.5</v>
      </c>
      <c r="J3302" s="20">
        <v>46744</v>
      </c>
      <c r="K3302" s="3">
        <v>0</v>
      </c>
      <c r="L3302" s="3" t="s">
        <v>3</v>
      </c>
      <c r="M3302" s="9" t="s">
        <v>0</v>
      </c>
      <c r="N3302" s="9">
        <v>74326719</v>
      </c>
      <c r="O3302" s="9" t="s">
        <v>670</v>
      </c>
      <c r="S3302" s="9" t="s">
        <v>158</v>
      </c>
      <c r="T3302" s="10" t="s">
        <v>65</v>
      </c>
      <c r="U3302" s="10">
        <v>4</v>
      </c>
      <c r="V3302" s="79">
        <v>104.5</v>
      </c>
      <c r="W3302" s="79" t="s">
        <v>710</v>
      </c>
      <c r="X3302" s="17">
        <v>45796</v>
      </c>
      <c r="Y3302" s="17">
        <v>45796</v>
      </c>
      <c r="Z3302" s="19" t="s">
        <v>772</v>
      </c>
      <c r="AA3302" s="207">
        <v>41122</v>
      </c>
      <c r="AB3302" s="9">
        <v>44</v>
      </c>
      <c r="AC3302" s="9">
        <v>0</v>
      </c>
      <c r="AD3302" s="17">
        <v>45797</v>
      </c>
      <c r="AE3302" s="9">
        <v>13650</v>
      </c>
      <c r="AF3302" s="9"/>
      <c r="AG3302" s="9" t="s">
        <v>134</v>
      </c>
      <c r="AH3302" s="17">
        <v>45797</v>
      </c>
      <c r="AI3302" s="17"/>
      <c r="AJ3302" s="17"/>
      <c r="AK3302" s="9" t="s">
        <v>671</v>
      </c>
      <c r="AL3302" s="22">
        <v>13650</v>
      </c>
      <c r="AM3302" s="22"/>
      <c r="AN3302" s="9" t="s">
        <v>823</v>
      </c>
      <c r="AO3302" s="22"/>
      <c r="AP3302" s="22"/>
      <c r="AQ3302" s="22"/>
      <c r="AR3302" s="22"/>
      <c r="AS3302" s="22"/>
      <c r="AT3302" s="22"/>
      <c r="AU3302" s="22"/>
      <c r="AV3302" s="22"/>
      <c r="AW3302" s="42">
        <v>45771</v>
      </c>
      <c r="AX3302" s="36">
        <v>402279</v>
      </c>
      <c r="AY3302" s="36">
        <v>374</v>
      </c>
      <c r="AZ3302" s="36">
        <v>3.69</v>
      </c>
      <c r="BA3302" s="40">
        <f>+AY3302/AZ3302</f>
        <v>101.3550135501355</v>
      </c>
      <c r="BB3302" s="40"/>
      <c r="BC3302" s="42">
        <v>45796</v>
      </c>
      <c r="BD3302" s="36">
        <v>48666</v>
      </c>
      <c r="BE3302" s="40">
        <v>50000</v>
      </c>
      <c r="BF3302" s="36">
        <v>3.69</v>
      </c>
      <c r="BG3302" s="40">
        <f>+BE3302/BF3302</f>
        <v>13550.135501355015</v>
      </c>
      <c r="BH3302" s="40"/>
      <c r="CS3302" s="11">
        <f t="shared" si="227"/>
        <v>13650</v>
      </c>
      <c r="CT3302" s="22">
        <f t="shared" si="228"/>
        <v>13651.49051490515</v>
      </c>
      <c r="CU3302" s="22">
        <f t="shared" si="229"/>
        <v>-1.4905149051501212</v>
      </c>
      <c r="CV3302" s="26">
        <f t="shared" si="230"/>
        <v>0</v>
      </c>
    </row>
    <row r="3303" spans="1:100" x14ac:dyDescent="0.2">
      <c r="A3303" s="9" t="s">
        <v>669</v>
      </c>
      <c r="B3303" s="2">
        <v>4</v>
      </c>
      <c r="C3303" s="3" t="s">
        <v>95</v>
      </c>
      <c r="D3303" s="3" t="s">
        <v>96</v>
      </c>
      <c r="E3303" s="2"/>
      <c r="F3303" s="2"/>
      <c r="G3303" s="2" t="s">
        <v>65</v>
      </c>
      <c r="H3303" s="2">
        <v>4</v>
      </c>
      <c r="I3303" s="20">
        <v>104.5</v>
      </c>
      <c r="J3303" s="20">
        <v>46744</v>
      </c>
      <c r="K3303" s="3">
        <v>0</v>
      </c>
      <c r="L3303" s="3" t="s">
        <v>3</v>
      </c>
      <c r="M3303" s="9" t="s">
        <v>0</v>
      </c>
      <c r="N3303" s="9">
        <v>74326719</v>
      </c>
      <c r="O3303" s="9" t="s">
        <v>670</v>
      </c>
      <c r="S3303" s="9" t="s">
        <v>158</v>
      </c>
      <c r="T3303" s="10" t="s">
        <v>65</v>
      </c>
      <c r="U3303" s="10">
        <v>4</v>
      </c>
      <c r="V3303" s="79">
        <v>104.5</v>
      </c>
      <c r="W3303" s="79" t="s">
        <v>710</v>
      </c>
      <c r="X3303" s="17">
        <v>45796</v>
      </c>
      <c r="Y3303" s="17">
        <v>45796</v>
      </c>
      <c r="Z3303" s="19" t="s">
        <v>772</v>
      </c>
      <c r="AA3303" s="207">
        <v>41122</v>
      </c>
      <c r="AB3303" s="9">
        <v>44</v>
      </c>
      <c r="AC3303" s="9">
        <v>1</v>
      </c>
      <c r="AD3303" s="17">
        <v>45919</v>
      </c>
      <c r="AE3303" s="9">
        <v>624.38</v>
      </c>
      <c r="AF3303" s="9"/>
      <c r="AL3303" s="9"/>
      <c r="AM3303" s="9"/>
      <c r="AN3303" s="9"/>
      <c r="AO3303" s="22"/>
      <c r="AP3303" s="22"/>
      <c r="AQ3303" s="22"/>
      <c r="AR3303" s="22"/>
      <c r="AS3303" s="22"/>
      <c r="AT3303" s="22"/>
      <c r="AU3303" s="22"/>
      <c r="AV3303" s="22"/>
      <c r="AW3303" s="9"/>
      <c r="BA3303" s="22"/>
      <c r="BB3303" s="22"/>
      <c r="BD3303" s="9"/>
      <c r="CS3303" s="11">
        <f t="shared" si="227"/>
        <v>0</v>
      </c>
      <c r="CT3303" s="22">
        <f t="shared" si="228"/>
        <v>0</v>
      </c>
      <c r="CU3303" s="22">
        <f t="shared" si="229"/>
        <v>0</v>
      </c>
      <c r="CV3303" s="26">
        <f t="shared" si="230"/>
        <v>624.38</v>
      </c>
    </row>
    <row r="3304" spans="1:100" x14ac:dyDescent="0.2">
      <c r="A3304" s="9" t="s">
        <v>669</v>
      </c>
      <c r="B3304" s="2">
        <v>4</v>
      </c>
      <c r="C3304" s="3" t="s">
        <v>95</v>
      </c>
      <c r="D3304" s="3" t="s">
        <v>96</v>
      </c>
      <c r="E3304" s="2"/>
      <c r="F3304" s="2"/>
      <c r="G3304" s="2" t="s">
        <v>65</v>
      </c>
      <c r="H3304" s="2">
        <v>4</v>
      </c>
      <c r="I3304" s="20">
        <v>104.5</v>
      </c>
      <c r="J3304" s="20">
        <v>46744</v>
      </c>
      <c r="K3304" s="3">
        <v>0</v>
      </c>
      <c r="L3304" s="3" t="s">
        <v>3</v>
      </c>
      <c r="M3304" s="9" t="s">
        <v>0</v>
      </c>
      <c r="N3304" s="9">
        <v>74326719</v>
      </c>
      <c r="O3304" s="9" t="s">
        <v>670</v>
      </c>
      <c r="S3304" s="9" t="s">
        <v>158</v>
      </c>
      <c r="T3304" s="10" t="s">
        <v>65</v>
      </c>
      <c r="U3304" s="10">
        <v>4</v>
      </c>
      <c r="V3304" s="79">
        <v>104.5</v>
      </c>
      <c r="W3304" s="79" t="s">
        <v>710</v>
      </c>
      <c r="X3304" s="17">
        <v>45796</v>
      </c>
      <c r="Y3304" s="17">
        <v>45796</v>
      </c>
      <c r="Z3304" s="19" t="s">
        <v>772</v>
      </c>
      <c r="AA3304" s="207">
        <v>41122</v>
      </c>
      <c r="AB3304" s="9">
        <v>44</v>
      </c>
      <c r="AC3304" s="9">
        <v>2</v>
      </c>
      <c r="AD3304" s="17">
        <v>45949</v>
      </c>
      <c r="AE3304" s="9">
        <v>624.38</v>
      </c>
      <c r="AF3304" s="9"/>
      <c r="AL3304" s="9"/>
      <c r="AM3304" s="9"/>
      <c r="AN3304" s="9"/>
      <c r="AO3304" s="22"/>
      <c r="AP3304" s="22"/>
      <c r="AQ3304" s="22"/>
      <c r="AR3304" s="22"/>
      <c r="AS3304" s="22"/>
      <c r="AT3304" s="22"/>
      <c r="AU3304" s="22"/>
      <c r="AV3304" s="22"/>
      <c r="AW3304" s="9"/>
      <c r="BA3304" s="22"/>
      <c r="BB3304" s="22"/>
      <c r="BD3304" s="9"/>
      <c r="CS3304" s="11">
        <f t="shared" si="227"/>
        <v>0</v>
      </c>
      <c r="CT3304" s="22">
        <f t="shared" si="228"/>
        <v>0</v>
      </c>
      <c r="CU3304" s="22">
        <f t="shared" si="229"/>
        <v>0</v>
      </c>
      <c r="CV3304" s="26">
        <f t="shared" si="230"/>
        <v>624.38</v>
      </c>
    </row>
    <row r="3305" spans="1:100" x14ac:dyDescent="0.2">
      <c r="A3305" s="9" t="s">
        <v>669</v>
      </c>
      <c r="B3305" s="2">
        <v>4</v>
      </c>
      <c r="C3305" s="3" t="s">
        <v>95</v>
      </c>
      <c r="D3305" s="3" t="s">
        <v>96</v>
      </c>
      <c r="E3305" s="2"/>
      <c r="F3305" s="2"/>
      <c r="G3305" s="2" t="s">
        <v>65</v>
      </c>
      <c r="H3305" s="2">
        <v>4</v>
      </c>
      <c r="I3305" s="20">
        <v>104.5</v>
      </c>
      <c r="J3305" s="20">
        <v>46744</v>
      </c>
      <c r="K3305" s="3">
        <v>0</v>
      </c>
      <c r="L3305" s="3" t="s">
        <v>3</v>
      </c>
      <c r="M3305" s="9" t="s">
        <v>0</v>
      </c>
      <c r="N3305" s="9">
        <v>74326719</v>
      </c>
      <c r="O3305" s="9" t="s">
        <v>670</v>
      </c>
      <c r="S3305" s="9" t="s">
        <v>158</v>
      </c>
      <c r="T3305" s="10" t="s">
        <v>65</v>
      </c>
      <c r="U3305" s="10">
        <v>4</v>
      </c>
      <c r="V3305" s="79">
        <v>104.5</v>
      </c>
      <c r="W3305" s="79" t="s">
        <v>710</v>
      </c>
      <c r="X3305" s="17">
        <v>45796</v>
      </c>
      <c r="Y3305" s="17">
        <v>45796</v>
      </c>
      <c r="Z3305" s="19" t="s">
        <v>772</v>
      </c>
      <c r="AA3305" s="207">
        <v>41122</v>
      </c>
      <c r="AB3305" s="9">
        <v>44</v>
      </c>
      <c r="AC3305" s="9">
        <v>3</v>
      </c>
      <c r="AD3305" s="17">
        <v>45980</v>
      </c>
      <c r="AE3305" s="9">
        <v>624.38</v>
      </c>
      <c r="AF3305" s="9"/>
      <c r="AL3305" s="9"/>
      <c r="AM3305" s="9"/>
      <c r="AN3305" s="9"/>
      <c r="AO3305" s="22"/>
      <c r="AP3305" s="22"/>
      <c r="AQ3305" s="22"/>
      <c r="AR3305" s="22"/>
      <c r="AS3305" s="22"/>
      <c r="AT3305" s="22"/>
      <c r="AU3305" s="22"/>
      <c r="AV3305" s="22"/>
      <c r="AW3305" s="9"/>
      <c r="BA3305" s="22"/>
      <c r="BB3305" s="22"/>
      <c r="BD3305" s="9"/>
      <c r="CS3305" s="11">
        <f t="shared" si="227"/>
        <v>0</v>
      </c>
      <c r="CT3305" s="22">
        <f t="shared" si="228"/>
        <v>0</v>
      </c>
      <c r="CU3305" s="22">
        <f t="shared" si="229"/>
        <v>0</v>
      </c>
      <c r="CV3305" s="26">
        <f t="shared" si="230"/>
        <v>624.38</v>
      </c>
    </row>
    <row r="3306" spans="1:100" x14ac:dyDescent="0.2">
      <c r="A3306" s="9" t="s">
        <v>669</v>
      </c>
      <c r="B3306" s="2">
        <v>4</v>
      </c>
      <c r="C3306" s="3" t="s">
        <v>95</v>
      </c>
      <c r="D3306" s="3" t="s">
        <v>96</v>
      </c>
      <c r="E3306" s="2"/>
      <c r="F3306" s="2"/>
      <c r="G3306" s="2" t="s">
        <v>65</v>
      </c>
      <c r="H3306" s="2">
        <v>4</v>
      </c>
      <c r="I3306" s="20">
        <v>104.5</v>
      </c>
      <c r="J3306" s="20">
        <v>46744</v>
      </c>
      <c r="K3306" s="3">
        <v>0</v>
      </c>
      <c r="L3306" s="3" t="s">
        <v>3</v>
      </c>
      <c r="M3306" s="9" t="s">
        <v>0</v>
      </c>
      <c r="N3306" s="9">
        <v>74326719</v>
      </c>
      <c r="O3306" s="9" t="s">
        <v>670</v>
      </c>
      <c r="S3306" s="9" t="s">
        <v>158</v>
      </c>
      <c r="T3306" s="10" t="s">
        <v>65</v>
      </c>
      <c r="U3306" s="10">
        <v>4</v>
      </c>
      <c r="V3306" s="79">
        <v>104.5</v>
      </c>
      <c r="W3306" s="79" t="s">
        <v>710</v>
      </c>
      <c r="X3306" s="17">
        <v>45796</v>
      </c>
      <c r="Y3306" s="17">
        <v>45796</v>
      </c>
      <c r="Z3306" s="19" t="s">
        <v>772</v>
      </c>
      <c r="AA3306" s="207">
        <v>41122</v>
      </c>
      <c r="AB3306" s="9">
        <v>44</v>
      </c>
      <c r="AC3306" s="9">
        <v>4</v>
      </c>
      <c r="AD3306" s="17">
        <v>46010</v>
      </c>
      <c r="AE3306" s="9">
        <v>624.38</v>
      </c>
      <c r="AF3306" s="9"/>
      <c r="AL3306" s="9"/>
      <c r="AM3306" s="9"/>
      <c r="AN3306" s="9"/>
      <c r="AO3306" s="22"/>
      <c r="AP3306" s="22"/>
      <c r="AQ3306" s="22"/>
      <c r="AR3306" s="22"/>
      <c r="AS3306" s="22"/>
      <c r="AT3306" s="22"/>
      <c r="AU3306" s="22"/>
      <c r="AV3306" s="22"/>
      <c r="AW3306" s="9"/>
      <c r="BA3306" s="22"/>
      <c r="BB3306" s="22"/>
      <c r="BD3306" s="9"/>
      <c r="CS3306" s="11">
        <f t="shared" si="227"/>
        <v>0</v>
      </c>
      <c r="CT3306" s="22">
        <f t="shared" si="228"/>
        <v>0</v>
      </c>
      <c r="CU3306" s="22">
        <f t="shared" si="229"/>
        <v>0</v>
      </c>
      <c r="CV3306" s="26">
        <f t="shared" si="230"/>
        <v>624.38</v>
      </c>
    </row>
    <row r="3307" spans="1:100" x14ac:dyDescent="0.2">
      <c r="A3307" s="9" t="s">
        <v>669</v>
      </c>
      <c r="B3307" s="2">
        <v>4</v>
      </c>
      <c r="C3307" s="3" t="s">
        <v>95</v>
      </c>
      <c r="D3307" s="3" t="s">
        <v>96</v>
      </c>
      <c r="E3307" s="2"/>
      <c r="F3307" s="2"/>
      <c r="G3307" s="2" t="s">
        <v>65</v>
      </c>
      <c r="H3307" s="2">
        <v>4</v>
      </c>
      <c r="I3307" s="20">
        <v>104.5</v>
      </c>
      <c r="J3307" s="20">
        <v>46744</v>
      </c>
      <c r="K3307" s="3">
        <v>0</v>
      </c>
      <c r="L3307" s="3" t="s">
        <v>3</v>
      </c>
      <c r="M3307" s="9" t="s">
        <v>0</v>
      </c>
      <c r="N3307" s="9">
        <v>74326719</v>
      </c>
      <c r="O3307" s="9" t="s">
        <v>670</v>
      </c>
      <c r="S3307" s="9" t="s">
        <v>158</v>
      </c>
      <c r="T3307" s="10" t="s">
        <v>65</v>
      </c>
      <c r="U3307" s="10">
        <v>4</v>
      </c>
      <c r="V3307" s="79">
        <v>104.5</v>
      </c>
      <c r="W3307" s="79" t="s">
        <v>710</v>
      </c>
      <c r="X3307" s="17">
        <v>45796</v>
      </c>
      <c r="Y3307" s="17">
        <v>45796</v>
      </c>
      <c r="Z3307" s="19" t="s">
        <v>772</v>
      </c>
      <c r="AA3307" s="207">
        <v>41122</v>
      </c>
      <c r="AB3307" s="9">
        <v>44</v>
      </c>
      <c r="AC3307" s="9">
        <v>5</v>
      </c>
      <c r="AD3307" s="17">
        <v>46041</v>
      </c>
      <c r="AE3307" s="9">
        <v>624.38</v>
      </c>
      <c r="AF3307" s="9"/>
      <c r="AL3307" s="9"/>
      <c r="AM3307" s="9"/>
      <c r="AN3307" s="9"/>
      <c r="AO3307" s="22"/>
      <c r="AP3307" s="22"/>
      <c r="AQ3307" s="22"/>
      <c r="AR3307" s="22"/>
      <c r="AS3307" s="22"/>
      <c r="AT3307" s="22"/>
      <c r="AU3307" s="22"/>
      <c r="AV3307" s="22"/>
      <c r="AW3307" s="9"/>
      <c r="BA3307" s="22"/>
      <c r="BB3307" s="22"/>
      <c r="BD3307" s="9"/>
      <c r="CS3307" s="11">
        <f t="shared" si="227"/>
        <v>0</v>
      </c>
      <c r="CT3307" s="22">
        <f t="shared" si="228"/>
        <v>0</v>
      </c>
      <c r="CU3307" s="22">
        <f t="shared" si="229"/>
        <v>0</v>
      </c>
      <c r="CV3307" s="26">
        <f t="shared" si="230"/>
        <v>624.38</v>
      </c>
    </row>
    <row r="3308" spans="1:100" x14ac:dyDescent="0.2">
      <c r="A3308" s="9" t="s">
        <v>669</v>
      </c>
      <c r="B3308" s="2">
        <v>4</v>
      </c>
      <c r="C3308" s="3" t="s">
        <v>95</v>
      </c>
      <c r="D3308" s="3" t="s">
        <v>96</v>
      </c>
      <c r="E3308" s="2"/>
      <c r="F3308" s="2"/>
      <c r="G3308" s="2" t="s">
        <v>65</v>
      </c>
      <c r="H3308" s="2">
        <v>4</v>
      </c>
      <c r="I3308" s="20">
        <v>104.5</v>
      </c>
      <c r="J3308" s="20">
        <v>46744</v>
      </c>
      <c r="K3308" s="3">
        <v>0</v>
      </c>
      <c r="L3308" s="3" t="s">
        <v>3</v>
      </c>
      <c r="M3308" s="9" t="s">
        <v>0</v>
      </c>
      <c r="N3308" s="9">
        <v>74326719</v>
      </c>
      <c r="O3308" s="9" t="s">
        <v>670</v>
      </c>
      <c r="S3308" s="9" t="s">
        <v>158</v>
      </c>
      <c r="T3308" s="10" t="s">
        <v>65</v>
      </c>
      <c r="U3308" s="10">
        <v>4</v>
      </c>
      <c r="V3308" s="79">
        <v>104.5</v>
      </c>
      <c r="W3308" s="79" t="s">
        <v>710</v>
      </c>
      <c r="X3308" s="17">
        <v>45796</v>
      </c>
      <c r="Y3308" s="17">
        <v>45796</v>
      </c>
      <c r="Z3308" s="19" t="s">
        <v>772</v>
      </c>
      <c r="AA3308" s="207">
        <v>41122</v>
      </c>
      <c r="AB3308" s="9">
        <v>44</v>
      </c>
      <c r="AC3308" s="9">
        <v>6</v>
      </c>
      <c r="AD3308" s="17">
        <v>46072</v>
      </c>
      <c r="AE3308" s="9">
        <v>624.38</v>
      </c>
      <c r="AF3308" s="9"/>
      <c r="AL3308" s="9"/>
      <c r="AM3308" s="9"/>
      <c r="AN3308" s="9"/>
      <c r="AO3308" s="22"/>
      <c r="AP3308" s="22"/>
      <c r="AQ3308" s="22"/>
      <c r="AR3308" s="22"/>
      <c r="AS3308" s="22"/>
      <c r="AT3308" s="22"/>
      <c r="AU3308" s="22"/>
      <c r="AV3308" s="22"/>
      <c r="AW3308" s="17"/>
      <c r="BA3308" s="22"/>
      <c r="BB3308" s="22"/>
      <c r="BD3308" s="9"/>
      <c r="CS3308" s="11">
        <f t="shared" si="227"/>
        <v>0</v>
      </c>
      <c r="CT3308" s="22">
        <f t="shared" si="228"/>
        <v>0</v>
      </c>
      <c r="CU3308" s="22">
        <f t="shared" si="229"/>
        <v>0</v>
      </c>
      <c r="CV3308" s="26">
        <f t="shared" si="230"/>
        <v>624.38</v>
      </c>
    </row>
    <row r="3309" spans="1:100" x14ac:dyDescent="0.2">
      <c r="A3309" s="9" t="s">
        <v>669</v>
      </c>
      <c r="B3309" s="2">
        <v>4</v>
      </c>
      <c r="C3309" s="3" t="s">
        <v>95</v>
      </c>
      <c r="D3309" s="3" t="s">
        <v>96</v>
      </c>
      <c r="E3309" s="2"/>
      <c r="F3309" s="2"/>
      <c r="G3309" s="2" t="s">
        <v>65</v>
      </c>
      <c r="H3309" s="2">
        <v>4</v>
      </c>
      <c r="I3309" s="20">
        <v>104.5</v>
      </c>
      <c r="J3309" s="20">
        <v>46744</v>
      </c>
      <c r="K3309" s="3">
        <v>0</v>
      </c>
      <c r="L3309" s="3" t="s">
        <v>3</v>
      </c>
      <c r="M3309" s="9" t="s">
        <v>0</v>
      </c>
      <c r="N3309" s="9">
        <v>74326719</v>
      </c>
      <c r="O3309" s="9" t="s">
        <v>670</v>
      </c>
      <c r="S3309" s="9" t="s">
        <v>158</v>
      </c>
      <c r="T3309" s="10" t="s">
        <v>65</v>
      </c>
      <c r="U3309" s="10">
        <v>4</v>
      </c>
      <c r="V3309" s="79">
        <v>104.5</v>
      </c>
      <c r="W3309" s="79" t="s">
        <v>710</v>
      </c>
      <c r="X3309" s="17">
        <v>45796</v>
      </c>
      <c r="Y3309" s="17">
        <v>45796</v>
      </c>
      <c r="Z3309" s="19" t="s">
        <v>772</v>
      </c>
      <c r="AA3309" s="207">
        <v>41122</v>
      </c>
      <c r="AB3309" s="9">
        <v>44</v>
      </c>
      <c r="AC3309" s="9">
        <v>7</v>
      </c>
      <c r="AD3309" s="17">
        <v>46100</v>
      </c>
      <c r="AE3309" s="9">
        <v>624.38</v>
      </c>
      <c r="AF3309" s="9"/>
      <c r="AL3309" s="9"/>
      <c r="AM3309" s="9"/>
      <c r="AN3309" s="9"/>
      <c r="AO3309" s="22"/>
      <c r="AP3309" s="22"/>
      <c r="AQ3309" s="22"/>
      <c r="AR3309" s="22"/>
      <c r="AS3309" s="22"/>
      <c r="AT3309" s="22"/>
      <c r="AU3309" s="22"/>
      <c r="AV3309" s="22"/>
      <c r="AW3309" s="9"/>
      <c r="BA3309" s="22"/>
      <c r="BB3309" s="22"/>
      <c r="BD3309" s="9"/>
      <c r="CS3309" s="11">
        <f t="shared" si="227"/>
        <v>0</v>
      </c>
      <c r="CT3309" s="22">
        <f t="shared" si="228"/>
        <v>0</v>
      </c>
      <c r="CU3309" s="22">
        <f t="shared" si="229"/>
        <v>0</v>
      </c>
      <c r="CV3309" s="26">
        <f t="shared" si="230"/>
        <v>624.38</v>
      </c>
    </row>
    <row r="3310" spans="1:100" x14ac:dyDescent="0.2">
      <c r="A3310" s="9" t="s">
        <v>669</v>
      </c>
      <c r="B3310" s="2">
        <v>4</v>
      </c>
      <c r="C3310" s="3" t="s">
        <v>95</v>
      </c>
      <c r="D3310" s="3" t="s">
        <v>96</v>
      </c>
      <c r="E3310" s="2"/>
      <c r="F3310" s="2"/>
      <c r="G3310" s="2" t="s">
        <v>65</v>
      </c>
      <c r="H3310" s="2">
        <v>4</v>
      </c>
      <c r="I3310" s="20">
        <v>104.5</v>
      </c>
      <c r="J3310" s="20">
        <v>46744</v>
      </c>
      <c r="K3310" s="3">
        <v>0</v>
      </c>
      <c r="L3310" s="3" t="s">
        <v>3</v>
      </c>
      <c r="M3310" s="9" t="s">
        <v>0</v>
      </c>
      <c r="N3310" s="9">
        <v>74326719</v>
      </c>
      <c r="O3310" s="9" t="s">
        <v>670</v>
      </c>
      <c r="S3310" s="9" t="s">
        <v>158</v>
      </c>
      <c r="T3310" s="10" t="s">
        <v>65</v>
      </c>
      <c r="U3310" s="10">
        <v>4</v>
      </c>
      <c r="V3310" s="79">
        <v>104.5</v>
      </c>
      <c r="W3310" s="79" t="s">
        <v>710</v>
      </c>
      <c r="X3310" s="17">
        <v>45796</v>
      </c>
      <c r="Y3310" s="17">
        <v>45796</v>
      </c>
      <c r="Z3310" s="19" t="s">
        <v>772</v>
      </c>
      <c r="AA3310" s="207">
        <v>41122</v>
      </c>
      <c r="AB3310" s="9">
        <v>44</v>
      </c>
      <c r="AC3310" s="9">
        <v>8</v>
      </c>
      <c r="AD3310" s="17">
        <v>46131</v>
      </c>
      <c r="AE3310" s="9">
        <v>624.38</v>
      </c>
      <c r="AF3310" s="9"/>
      <c r="AL3310" s="9"/>
      <c r="AM3310" s="9"/>
      <c r="AN3310" s="9"/>
      <c r="AO3310" s="22"/>
      <c r="AP3310" s="22"/>
      <c r="AQ3310" s="22"/>
      <c r="AR3310" s="22"/>
      <c r="AS3310" s="22"/>
      <c r="AT3310" s="22"/>
      <c r="AU3310" s="22"/>
      <c r="AV3310" s="22"/>
      <c r="AW3310" s="9"/>
      <c r="BA3310" s="22"/>
      <c r="BB3310" s="22"/>
      <c r="BD3310" s="9"/>
      <c r="CS3310" s="11">
        <f t="shared" si="227"/>
        <v>0</v>
      </c>
      <c r="CT3310" s="22">
        <f t="shared" si="228"/>
        <v>0</v>
      </c>
      <c r="CU3310" s="22">
        <f t="shared" si="229"/>
        <v>0</v>
      </c>
      <c r="CV3310" s="26">
        <f t="shared" si="230"/>
        <v>624.38</v>
      </c>
    </row>
    <row r="3311" spans="1:100" x14ac:dyDescent="0.2">
      <c r="A3311" s="9" t="s">
        <v>669</v>
      </c>
      <c r="B3311" s="2">
        <v>4</v>
      </c>
      <c r="C3311" s="3" t="s">
        <v>95</v>
      </c>
      <c r="D3311" s="3" t="s">
        <v>96</v>
      </c>
      <c r="E3311" s="2"/>
      <c r="F3311" s="2"/>
      <c r="G3311" s="2" t="s">
        <v>65</v>
      </c>
      <c r="H3311" s="2">
        <v>4</v>
      </c>
      <c r="I3311" s="20">
        <v>104.5</v>
      </c>
      <c r="J3311" s="20">
        <v>46744</v>
      </c>
      <c r="K3311" s="3">
        <v>0</v>
      </c>
      <c r="L3311" s="3" t="s">
        <v>3</v>
      </c>
      <c r="M3311" s="9" t="s">
        <v>0</v>
      </c>
      <c r="N3311" s="9">
        <v>74326719</v>
      </c>
      <c r="O3311" s="9" t="s">
        <v>670</v>
      </c>
      <c r="S3311" s="9" t="s">
        <v>158</v>
      </c>
      <c r="T3311" s="10" t="s">
        <v>65</v>
      </c>
      <c r="U3311" s="10">
        <v>4</v>
      </c>
      <c r="V3311" s="79">
        <v>104.5</v>
      </c>
      <c r="W3311" s="79" t="s">
        <v>710</v>
      </c>
      <c r="X3311" s="17">
        <v>45796</v>
      </c>
      <c r="Y3311" s="17">
        <v>45796</v>
      </c>
      <c r="Z3311" s="19" t="s">
        <v>772</v>
      </c>
      <c r="AA3311" s="207">
        <v>41122</v>
      </c>
      <c r="AB3311" s="9">
        <v>44</v>
      </c>
      <c r="AC3311" s="9">
        <v>9</v>
      </c>
      <c r="AD3311" s="17">
        <v>46161</v>
      </c>
      <c r="AE3311" s="9">
        <v>624.38</v>
      </c>
      <c r="AF3311" s="9"/>
      <c r="AL3311" s="9"/>
      <c r="AM3311" s="9"/>
      <c r="AN3311" s="9"/>
      <c r="AO3311" s="22"/>
      <c r="AP3311" s="22"/>
      <c r="AQ3311" s="22"/>
      <c r="AR3311" s="22"/>
      <c r="AS3311" s="22"/>
      <c r="AT3311" s="22"/>
      <c r="AU3311" s="22"/>
      <c r="AV3311" s="22"/>
      <c r="AW3311" s="9"/>
      <c r="BA3311" s="22"/>
      <c r="BB3311" s="22"/>
      <c r="BD3311" s="9"/>
      <c r="CS3311" s="11">
        <f t="shared" si="227"/>
        <v>0</v>
      </c>
      <c r="CT3311" s="22">
        <f t="shared" si="228"/>
        <v>0</v>
      </c>
      <c r="CU3311" s="22">
        <f t="shared" si="229"/>
        <v>0</v>
      </c>
      <c r="CV3311" s="26">
        <f t="shared" si="230"/>
        <v>624.38</v>
      </c>
    </row>
    <row r="3312" spans="1:100" x14ac:dyDescent="0.2">
      <c r="A3312" s="9" t="s">
        <v>669</v>
      </c>
      <c r="B3312" s="2">
        <v>4</v>
      </c>
      <c r="C3312" s="3" t="s">
        <v>95</v>
      </c>
      <c r="D3312" s="3" t="s">
        <v>96</v>
      </c>
      <c r="E3312" s="2"/>
      <c r="F3312" s="2"/>
      <c r="G3312" s="2" t="s">
        <v>65</v>
      </c>
      <c r="H3312" s="2">
        <v>4</v>
      </c>
      <c r="I3312" s="20">
        <v>104.5</v>
      </c>
      <c r="J3312" s="20">
        <v>46744</v>
      </c>
      <c r="K3312" s="3">
        <v>0</v>
      </c>
      <c r="L3312" s="3" t="s">
        <v>3</v>
      </c>
      <c r="M3312" s="9" t="s">
        <v>0</v>
      </c>
      <c r="N3312" s="9">
        <v>74326719</v>
      </c>
      <c r="O3312" s="9" t="s">
        <v>670</v>
      </c>
      <c r="S3312" s="9" t="s">
        <v>158</v>
      </c>
      <c r="T3312" s="10" t="s">
        <v>65</v>
      </c>
      <c r="U3312" s="10">
        <v>4</v>
      </c>
      <c r="V3312" s="79">
        <v>104.5</v>
      </c>
      <c r="W3312" s="79" t="s">
        <v>710</v>
      </c>
      <c r="X3312" s="17">
        <v>45796</v>
      </c>
      <c r="Y3312" s="17">
        <v>45796</v>
      </c>
      <c r="Z3312" s="19" t="s">
        <v>772</v>
      </c>
      <c r="AA3312" s="207">
        <v>41122</v>
      </c>
      <c r="AB3312" s="9">
        <v>44</v>
      </c>
      <c r="AC3312" s="9">
        <v>10</v>
      </c>
      <c r="AD3312" s="17">
        <v>46192</v>
      </c>
      <c r="AE3312" s="9">
        <v>624.38</v>
      </c>
      <c r="AF3312" s="9"/>
      <c r="AL3312" s="9"/>
      <c r="AM3312" s="9"/>
      <c r="AN3312" s="9"/>
      <c r="AO3312" s="22"/>
      <c r="AP3312" s="22"/>
      <c r="AQ3312" s="22"/>
      <c r="AR3312" s="22"/>
      <c r="AS3312" s="22"/>
      <c r="AT3312" s="22"/>
      <c r="AU3312" s="22"/>
      <c r="AV3312" s="22"/>
      <c r="AW3312" s="9"/>
      <c r="BA3312" s="22"/>
      <c r="BB3312" s="22"/>
      <c r="BD3312" s="9"/>
      <c r="CS3312" s="11">
        <f t="shared" si="227"/>
        <v>0</v>
      </c>
      <c r="CT3312" s="22">
        <f t="shared" si="228"/>
        <v>0</v>
      </c>
      <c r="CU3312" s="22">
        <f t="shared" si="229"/>
        <v>0</v>
      </c>
      <c r="CV3312" s="26">
        <f t="shared" si="230"/>
        <v>624.38</v>
      </c>
    </row>
    <row r="3313" spans="1:100" x14ac:dyDescent="0.2">
      <c r="A3313" s="9" t="s">
        <v>669</v>
      </c>
      <c r="B3313" s="2">
        <v>4</v>
      </c>
      <c r="C3313" s="3" t="s">
        <v>95</v>
      </c>
      <c r="D3313" s="3" t="s">
        <v>96</v>
      </c>
      <c r="E3313" s="2"/>
      <c r="F3313" s="2"/>
      <c r="G3313" s="2" t="s">
        <v>65</v>
      </c>
      <c r="H3313" s="2">
        <v>4</v>
      </c>
      <c r="I3313" s="20">
        <v>104.5</v>
      </c>
      <c r="J3313" s="20">
        <v>46744</v>
      </c>
      <c r="K3313" s="3">
        <v>0</v>
      </c>
      <c r="L3313" s="3" t="s">
        <v>3</v>
      </c>
      <c r="M3313" s="9" t="s">
        <v>0</v>
      </c>
      <c r="N3313" s="9">
        <v>74326719</v>
      </c>
      <c r="O3313" s="9" t="s">
        <v>670</v>
      </c>
      <c r="S3313" s="9" t="s">
        <v>158</v>
      </c>
      <c r="T3313" s="10" t="s">
        <v>65</v>
      </c>
      <c r="U3313" s="10">
        <v>4</v>
      </c>
      <c r="V3313" s="79">
        <v>104.5</v>
      </c>
      <c r="W3313" s="79" t="s">
        <v>710</v>
      </c>
      <c r="X3313" s="17">
        <v>45796</v>
      </c>
      <c r="Y3313" s="17">
        <v>45796</v>
      </c>
      <c r="Z3313" s="19" t="s">
        <v>772</v>
      </c>
      <c r="AA3313" s="207">
        <v>41122</v>
      </c>
      <c r="AB3313" s="9">
        <v>44</v>
      </c>
      <c r="AC3313" s="9">
        <v>11</v>
      </c>
      <c r="AD3313" s="17">
        <v>46222</v>
      </c>
      <c r="AE3313" s="9">
        <v>624.38</v>
      </c>
      <c r="AF3313" s="9"/>
      <c r="AL3313" s="9"/>
      <c r="AM3313" s="9"/>
      <c r="AN3313" s="9"/>
      <c r="AO3313" s="22"/>
      <c r="AP3313" s="22"/>
      <c r="AQ3313" s="22"/>
      <c r="AR3313" s="22"/>
      <c r="AS3313" s="22"/>
      <c r="AT3313" s="22"/>
      <c r="AU3313" s="22"/>
      <c r="AV3313" s="22"/>
      <c r="AW3313" s="9"/>
      <c r="BA3313" s="22"/>
      <c r="BB3313" s="22"/>
      <c r="BD3313" s="9"/>
      <c r="CS3313" s="11">
        <f t="shared" si="227"/>
        <v>0</v>
      </c>
      <c r="CT3313" s="22">
        <f t="shared" si="228"/>
        <v>0</v>
      </c>
      <c r="CU3313" s="22">
        <f t="shared" si="229"/>
        <v>0</v>
      </c>
      <c r="CV3313" s="26">
        <f t="shared" si="230"/>
        <v>624.38</v>
      </c>
    </row>
    <row r="3314" spans="1:100" x14ac:dyDescent="0.2">
      <c r="A3314" s="9" t="s">
        <v>669</v>
      </c>
      <c r="B3314" s="2">
        <v>4</v>
      </c>
      <c r="C3314" s="3" t="s">
        <v>95</v>
      </c>
      <c r="D3314" s="3" t="s">
        <v>96</v>
      </c>
      <c r="E3314" s="2"/>
      <c r="F3314" s="2"/>
      <c r="G3314" s="2" t="s">
        <v>65</v>
      </c>
      <c r="H3314" s="2">
        <v>4</v>
      </c>
      <c r="I3314" s="20">
        <v>104.5</v>
      </c>
      <c r="J3314" s="20">
        <v>46744</v>
      </c>
      <c r="K3314" s="3">
        <v>0</v>
      </c>
      <c r="L3314" s="3" t="s">
        <v>3</v>
      </c>
      <c r="M3314" s="9" t="s">
        <v>0</v>
      </c>
      <c r="N3314" s="9">
        <v>74326719</v>
      </c>
      <c r="O3314" s="9" t="s">
        <v>670</v>
      </c>
      <c r="S3314" s="9" t="s">
        <v>158</v>
      </c>
      <c r="T3314" s="10" t="s">
        <v>65</v>
      </c>
      <c r="U3314" s="10">
        <v>4</v>
      </c>
      <c r="V3314" s="79">
        <v>104.5</v>
      </c>
      <c r="W3314" s="79" t="s">
        <v>710</v>
      </c>
      <c r="X3314" s="17">
        <v>45796</v>
      </c>
      <c r="Y3314" s="17">
        <v>45796</v>
      </c>
      <c r="Z3314" s="19" t="s">
        <v>772</v>
      </c>
      <c r="AA3314" s="207">
        <v>41122</v>
      </c>
      <c r="AB3314" s="9">
        <v>44</v>
      </c>
      <c r="AC3314" s="9">
        <v>12</v>
      </c>
      <c r="AD3314" s="17">
        <v>46253</v>
      </c>
      <c r="AE3314" s="9">
        <v>624.38</v>
      </c>
      <c r="AF3314" s="9"/>
      <c r="AL3314" s="9"/>
      <c r="AM3314" s="9"/>
      <c r="AN3314" s="9"/>
      <c r="AO3314" s="22"/>
      <c r="AP3314" s="22"/>
      <c r="AQ3314" s="22"/>
      <c r="AR3314" s="22"/>
      <c r="AS3314" s="22"/>
      <c r="AT3314" s="22"/>
      <c r="AU3314" s="22"/>
      <c r="AV3314" s="22"/>
      <c r="AW3314" s="9"/>
      <c r="BA3314" s="22"/>
      <c r="BB3314" s="22"/>
      <c r="BD3314" s="9"/>
      <c r="CS3314" s="11">
        <f t="shared" si="227"/>
        <v>0</v>
      </c>
      <c r="CT3314" s="22">
        <f t="shared" si="228"/>
        <v>0</v>
      </c>
      <c r="CU3314" s="22">
        <f t="shared" si="229"/>
        <v>0</v>
      </c>
      <c r="CV3314" s="26">
        <f t="shared" si="230"/>
        <v>624.38</v>
      </c>
    </row>
    <row r="3315" spans="1:100" x14ac:dyDescent="0.2">
      <c r="A3315" s="9" t="s">
        <v>669</v>
      </c>
      <c r="B3315" s="2">
        <v>4</v>
      </c>
      <c r="C3315" s="3" t="s">
        <v>95</v>
      </c>
      <c r="D3315" s="3" t="s">
        <v>96</v>
      </c>
      <c r="E3315" s="2"/>
      <c r="F3315" s="2"/>
      <c r="G3315" s="2" t="s">
        <v>65</v>
      </c>
      <c r="H3315" s="2">
        <v>4</v>
      </c>
      <c r="I3315" s="20">
        <v>104.5</v>
      </c>
      <c r="J3315" s="20">
        <v>46744</v>
      </c>
      <c r="K3315" s="3">
        <v>0</v>
      </c>
      <c r="L3315" s="3" t="s">
        <v>3</v>
      </c>
      <c r="M3315" s="9" t="s">
        <v>0</v>
      </c>
      <c r="N3315" s="9">
        <v>74326719</v>
      </c>
      <c r="O3315" s="9" t="s">
        <v>670</v>
      </c>
      <c r="S3315" s="9" t="s">
        <v>158</v>
      </c>
      <c r="T3315" s="10" t="s">
        <v>65</v>
      </c>
      <c r="U3315" s="10">
        <v>4</v>
      </c>
      <c r="V3315" s="79">
        <v>104.5</v>
      </c>
      <c r="W3315" s="79" t="s">
        <v>710</v>
      </c>
      <c r="X3315" s="17">
        <v>45796</v>
      </c>
      <c r="Y3315" s="17">
        <v>45796</v>
      </c>
      <c r="Z3315" s="19" t="s">
        <v>772</v>
      </c>
      <c r="AA3315" s="207">
        <v>41122</v>
      </c>
      <c r="AB3315" s="9">
        <v>44</v>
      </c>
      <c r="AC3315" s="9">
        <v>13</v>
      </c>
      <c r="AD3315" s="17">
        <v>46284</v>
      </c>
      <c r="AE3315" s="9">
        <v>624.38</v>
      </c>
      <c r="AF3315" s="9"/>
      <c r="AL3315" s="9"/>
      <c r="AM3315" s="9"/>
      <c r="AN3315" s="9"/>
      <c r="AO3315" s="22"/>
      <c r="AP3315" s="22"/>
      <c r="AQ3315" s="22"/>
      <c r="AR3315" s="22"/>
      <c r="AS3315" s="22"/>
      <c r="AT3315" s="22"/>
      <c r="AU3315" s="22"/>
      <c r="AV3315" s="22"/>
      <c r="AW3315" s="9"/>
      <c r="BA3315" s="22"/>
      <c r="BB3315" s="22"/>
      <c r="BD3315" s="9"/>
      <c r="CS3315" s="11">
        <f t="shared" si="227"/>
        <v>0</v>
      </c>
      <c r="CT3315" s="22">
        <f t="shared" si="228"/>
        <v>0</v>
      </c>
      <c r="CU3315" s="22">
        <f t="shared" si="229"/>
        <v>0</v>
      </c>
      <c r="CV3315" s="26">
        <f t="shared" si="230"/>
        <v>624.38</v>
      </c>
    </row>
    <row r="3316" spans="1:100" x14ac:dyDescent="0.2">
      <c r="A3316" s="9" t="s">
        <v>669</v>
      </c>
      <c r="B3316" s="2">
        <v>4</v>
      </c>
      <c r="C3316" s="3" t="s">
        <v>95</v>
      </c>
      <c r="D3316" s="3" t="s">
        <v>96</v>
      </c>
      <c r="E3316" s="2"/>
      <c r="F3316" s="2"/>
      <c r="G3316" s="2" t="s">
        <v>65</v>
      </c>
      <c r="H3316" s="2">
        <v>4</v>
      </c>
      <c r="I3316" s="20">
        <v>104.5</v>
      </c>
      <c r="J3316" s="20">
        <v>46744</v>
      </c>
      <c r="K3316" s="3">
        <v>0</v>
      </c>
      <c r="L3316" s="3" t="s">
        <v>3</v>
      </c>
      <c r="M3316" s="9" t="s">
        <v>0</v>
      </c>
      <c r="N3316" s="9">
        <v>74326719</v>
      </c>
      <c r="O3316" s="9" t="s">
        <v>670</v>
      </c>
      <c r="S3316" s="9" t="s">
        <v>158</v>
      </c>
      <c r="T3316" s="10" t="s">
        <v>65</v>
      </c>
      <c r="U3316" s="10">
        <v>4</v>
      </c>
      <c r="V3316" s="79">
        <v>104.5</v>
      </c>
      <c r="W3316" s="79" t="s">
        <v>710</v>
      </c>
      <c r="X3316" s="17">
        <v>45796</v>
      </c>
      <c r="Y3316" s="17">
        <v>45796</v>
      </c>
      <c r="Z3316" s="19" t="s">
        <v>772</v>
      </c>
      <c r="AA3316" s="207">
        <v>41122</v>
      </c>
      <c r="AB3316" s="9">
        <v>44</v>
      </c>
      <c r="AC3316" s="9">
        <v>14</v>
      </c>
      <c r="AD3316" s="17">
        <v>46314</v>
      </c>
      <c r="AE3316" s="9">
        <v>624.38</v>
      </c>
      <c r="AF3316" s="9"/>
      <c r="AL3316" s="9"/>
      <c r="AM3316" s="9"/>
      <c r="AN3316" s="9"/>
      <c r="AO3316" s="22"/>
      <c r="AP3316" s="22"/>
      <c r="AQ3316" s="22"/>
      <c r="AR3316" s="22"/>
      <c r="AS3316" s="22"/>
      <c r="AT3316" s="22"/>
      <c r="AU3316" s="22"/>
      <c r="AV3316" s="22"/>
      <c r="AW3316" s="9"/>
      <c r="BA3316" s="22"/>
      <c r="BB3316" s="22"/>
      <c r="BD3316" s="9"/>
      <c r="CS3316" s="11">
        <f t="shared" ref="CS3316:CS3379" si="231">+AL3316+AT3316</f>
        <v>0</v>
      </c>
      <c r="CT3316" s="22">
        <f t="shared" ref="CT3316:CT3379" si="232">+BA3316+BG3316+BM3316+BS3316+BY3316+CE3316+CK3316+CQ3316</f>
        <v>0</v>
      </c>
      <c r="CU3316" s="22">
        <f t="shared" ref="CU3316:CU3379" si="233">+CS3316-CT3316</f>
        <v>0</v>
      </c>
      <c r="CV3316" s="26">
        <f t="shared" si="230"/>
        <v>624.38</v>
      </c>
    </row>
    <row r="3317" spans="1:100" x14ac:dyDescent="0.2">
      <c r="A3317" s="9" t="s">
        <v>669</v>
      </c>
      <c r="B3317" s="2">
        <v>4</v>
      </c>
      <c r="C3317" s="3" t="s">
        <v>95</v>
      </c>
      <c r="D3317" s="3" t="s">
        <v>96</v>
      </c>
      <c r="E3317" s="2"/>
      <c r="F3317" s="2"/>
      <c r="G3317" s="2" t="s">
        <v>65</v>
      </c>
      <c r="H3317" s="2">
        <v>4</v>
      </c>
      <c r="I3317" s="20">
        <v>104.5</v>
      </c>
      <c r="J3317" s="20">
        <v>46744</v>
      </c>
      <c r="K3317" s="3">
        <v>0</v>
      </c>
      <c r="L3317" s="3" t="s">
        <v>3</v>
      </c>
      <c r="M3317" s="9" t="s">
        <v>0</v>
      </c>
      <c r="N3317" s="9">
        <v>74326719</v>
      </c>
      <c r="O3317" s="9" t="s">
        <v>670</v>
      </c>
      <c r="S3317" s="9" t="s">
        <v>158</v>
      </c>
      <c r="T3317" s="10" t="s">
        <v>65</v>
      </c>
      <c r="U3317" s="10">
        <v>4</v>
      </c>
      <c r="V3317" s="79">
        <v>104.5</v>
      </c>
      <c r="W3317" s="79" t="s">
        <v>710</v>
      </c>
      <c r="X3317" s="17">
        <v>45796</v>
      </c>
      <c r="Y3317" s="17">
        <v>45796</v>
      </c>
      <c r="Z3317" s="19" t="s">
        <v>772</v>
      </c>
      <c r="AA3317" s="207">
        <v>41122</v>
      </c>
      <c r="AB3317" s="9">
        <v>44</v>
      </c>
      <c r="AC3317" s="9">
        <v>15</v>
      </c>
      <c r="AD3317" s="17">
        <v>46345</v>
      </c>
      <c r="AE3317" s="9">
        <v>624.38</v>
      </c>
      <c r="AF3317" s="9"/>
      <c r="AL3317" s="9"/>
      <c r="AM3317" s="9"/>
      <c r="AN3317" s="9"/>
      <c r="AO3317" s="22"/>
      <c r="AP3317" s="22"/>
      <c r="AQ3317" s="22"/>
      <c r="AR3317" s="22"/>
      <c r="AS3317" s="22"/>
      <c r="AT3317" s="22"/>
      <c r="AU3317" s="22"/>
      <c r="AV3317" s="22"/>
      <c r="AW3317" s="9"/>
      <c r="BA3317" s="22"/>
      <c r="BB3317" s="22"/>
      <c r="BD3317" s="9"/>
      <c r="CS3317" s="11">
        <f t="shared" si="231"/>
        <v>0</v>
      </c>
      <c r="CT3317" s="22">
        <f t="shared" si="232"/>
        <v>0</v>
      </c>
      <c r="CU3317" s="22">
        <f t="shared" si="233"/>
        <v>0</v>
      </c>
      <c r="CV3317" s="26">
        <f t="shared" si="230"/>
        <v>624.38</v>
      </c>
    </row>
    <row r="3318" spans="1:100" x14ac:dyDescent="0.2">
      <c r="A3318" s="9" t="s">
        <v>669</v>
      </c>
      <c r="B3318" s="2">
        <v>4</v>
      </c>
      <c r="C3318" s="3" t="s">
        <v>95</v>
      </c>
      <c r="D3318" s="3" t="s">
        <v>96</v>
      </c>
      <c r="E3318" s="2"/>
      <c r="F3318" s="2"/>
      <c r="G3318" s="2" t="s">
        <v>65</v>
      </c>
      <c r="H3318" s="2">
        <v>4</v>
      </c>
      <c r="I3318" s="20">
        <v>104.5</v>
      </c>
      <c r="J3318" s="20">
        <v>46744</v>
      </c>
      <c r="K3318" s="3">
        <v>0</v>
      </c>
      <c r="L3318" s="3" t="s">
        <v>3</v>
      </c>
      <c r="M3318" s="9" t="s">
        <v>0</v>
      </c>
      <c r="N3318" s="9">
        <v>74326719</v>
      </c>
      <c r="O3318" s="9" t="s">
        <v>670</v>
      </c>
      <c r="S3318" s="9" t="s">
        <v>158</v>
      </c>
      <c r="T3318" s="10" t="s">
        <v>65</v>
      </c>
      <c r="U3318" s="10">
        <v>4</v>
      </c>
      <c r="V3318" s="79">
        <v>104.5</v>
      </c>
      <c r="W3318" s="79" t="s">
        <v>710</v>
      </c>
      <c r="X3318" s="17">
        <v>45796</v>
      </c>
      <c r="Y3318" s="17">
        <v>45796</v>
      </c>
      <c r="Z3318" s="19" t="s">
        <v>772</v>
      </c>
      <c r="AA3318" s="207">
        <v>41122</v>
      </c>
      <c r="AB3318" s="9">
        <v>44</v>
      </c>
      <c r="AC3318" s="9">
        <v>16</v>
      </c>
      <c r="AD3318" s="17">
        <v>46375</v>
      </c>
      <c r="AE3318" s="9">
        <v>624.38</v>
      </c>
      <c r="AF3318" s="9"/>
      <c r="AL3318" s="9"/>
      <c r="AM3318" s="9"/>
      <c r="AN3318" s="9"/>
      <c r="AO3318" s="22"/>
      <c r="AP3318" s="22"/>
      <c r="AQ3318" s="22"/>
      <c r="AR3318" s="22"/>
      <c r="AS3318" s="22"/>
      <c r="AT3318" s="22"/>
      <c r="AU3318" s="22"/>
      <c r="AV3318" s="22"/>
      <c r="AW3318" s="9"/>
      <c r="BA3318" s="22"/>
      <c r="BB3318" s="22"/>
      <c r="BD3318" s="9"/>
      <c r="CS3318" s="11">
        <f t="shared" si="231"/>
        <v>0</v>
      </c>
      <c r="CT3318" s="22">
        <f t="shared" si="232"/>
        <v>0</v>
      </c>
      <c r="CU3318" s="22">
        <f t="shared" si="233"/>
        <v>0</v>
      </c>
      <c r="CV3318" s="26">
        <f t="shared" si="230"/>
        <v>624.38</v>
      </c>
    </row>
    <row r="3319" spans="1:100" x14ac:dyDescent="0.2">
      <c r="A3319" s="9" t="s">
        <v>669</v>
      </c>
      <c r="B3319" s="2">
        <v>4</v>
      </c>
      <c r="C3319" s="3" t="s">
        <v>95</v>
      </c>
      <c r="D3319" s="3" t="s">
        <v>96</v>
      </c>
      <c r="E3319" s="2"/>
      <c r="F3319" s="2"/>
      <c r="G3319" s="2" t="s">
        <v>65</v>
      </c>
      <c r="H3319" s="2">
        <v>4</v>
      </c>
      <c r="I3319" s="20">
        <v>104.5</v>
      </c>
      <c r="J3319" s="20">
        <v>46744</v>
      </c>
      <c r="K3319" s="3">
        <v>0</v>
      </c>
      <c r="L3319" s="3" t="s">
        <v>3</v>
      </c>
      <c r="M3319" s="9" t="s">
        <v>0</v>
      </c>
      <c r="N3319" s="9">
        <v>74326719</v>
      </c>
      <c r="O3319" s="9" t="s">
        <v>670</v>
      </c>
      <c r="S3319" s="9" t="s">
        <v>158</v>
      </c>
      <c r="T3319" s="10" t="s">
        <v>65</v>
      </c>
      <c r="U3319" s="10">
        <v>4</v>
      </c>
      <c r="V3319" s="79">
        <v>104.5</v>
      </c>
      <c r="W3319" s="79" t="s">
        <v>710</v>
      </c>
      <c r="X3319" s="17">
        <v>45796</v>
      </c>
      <c r="Y3319" s="17">
        <v>45796</v>
      </c>
      <c r="Z3319" s="19" t="s">
        <v>772</v>
      </c>
      <c r="AA3319" s="207">
        <v>41122</v>
      </c>
      <c r="AB3319" s="9">
        <v>44</v>
      </c>
      <c r="AC3319" s="9">
        <v>17</v>
      </c>
      <c r="AD3319" s="17">
        <v>46406</v>
      </c>
      <c r="AE3319" s="9">
        <v>624.38</v>
      </c>
      <c r="AF3319" s="9"/>
      <c r="AL3319" s="9"/>
      <c r="AM3319" s="9"/>
      <c r="AN3319" s="9"/>
      <c r="AO3319" s="22"/>
      <c r="AP3319" s="22"/>
      <c r="AQ3319" s="22"/>
      <c r="AR3319" s="22"/>
      <c r="AS3319" s="22"/>
      <c r="AT3319" s="22"/>
      <c r="AU3319" s="22"/>
      <c r="AV3319" s="22"/>
      <c r="AW3319" s="9"/>
      <c r="BA3319" s="22"/>
      <c r="BB3319" s="22"/>
      <c r="BD3319" s="9"/>
      <c r="CS3319" s="11">
        <f t="shared" si="231"/>
        <v>0</v>
      </c>
      <c r="CT3319" s="22">
        <f t="shared" si="232"/>
        <v>0</v>
      </c>
      <c r="CU3319" s="22">
        <f t="shared" si="233"/>
        <v>0</v>
      </c>
      <c r="CV3319" s="26">
        <f t="shared" si="230"/>
        <v>624.38</v>
      </c>
    </row>
    <row r="3320" spans="1:100" x14ac:dyDescent="0.2">
      <c r="A3320" s="9" t="s">
        <v>669</v>
      </c>
      <c r="B3320" s="2">
        <v>4</v>
      </c>
      <c r="C3320" s="3" t="s">
        <v>95</v>
      </c>
      <c r="D3320" s="3" t="s">
        <v>96</v>
      </c>
      <c r="E3320" s="2"/>
      <c r="F3320" s="2"/>
      <c r="G3320" s="2" t="s">
        <v>65</v>
      </c>
      <c r="H3320" s="2">
        <v>4</v>
      </c>
      <c r="I3320" s="20">
        <v>104.5</v>
      </c>
      <c r="J3320" s="20">
        <v>46744</v>
      </c>
      <c r="K3320" s="3">
        <v>0</v>
      </c>
      <c r="L3320" s="3" t="s">
        <v>3</v>
      </c>
      <c r="M3320" s="9" t="s">
        <v>0</v>
      </c>
      <c r="N3320" s="9">
        <v>74326719</v>
      </c>
      <c r="O3320" s="9" t="s">
        <v>670</v>
      </c>
      <c r="S3320" s="9" t="s">
        <v>158</v>
      </c>
      <c r="T3320" s="10" t="s">
        <v>65</v>
      </c>
      <c r="U3320" s="10">
        <v>4</v>
      </c>
      <c r="V3320" s="79">
        <v>104.5</v>
      </c>
      <c r="W3320" s="79" t="s">
        <v>710</v>
      </c>
      <c r="X3320" s="17">
        <v>45796</v>
      </c>
      <c r="Y3320" s="17">
        <v>45796</v>
      </c>
      <c r="Z3320" s="19" t="s">
        <v>772</v>
      </c>
      <c r="AA3320" s="207">
        <v>41122</v>
      </c>
      <c r="AB3320" s="9">
        <v>44</v>
      </c>
      <c r="AC3320" s="9">
        <v>18</v>
      </c>
      <c r="AD3320" s="17">
        <v>46437</v>
      </c>
      <c r="AE3320" s="9">
        <v>624.38</v>
      </c>
      <c r="AF3320" s="9"/>
      <c r="AL3320" s="9"/>
      <c r="AM3320" s="9"/>
      <c r="AN3320" s="9"/>
      <c r="AO3320" s="22"/>
      <c r="AP3320" s="22"/>
      <c r="AQ3320" s="22"/>
      <c r="AR3320" s="22"/>
      <c r="AS3320" s="22"/>
      <c r="AT3320" s="22"/>
      <c r="AU3320" s="22"/>
      <c r="AV3320" s="22"/>
      <c r="AW3320" s="9"/>
      <c r="BA3320" s="22"/>
      <c r="BB3320" s="22"/>
      <c r="BD3320" s="9"/>
      <c r="CS3320" s="11">
        <f t="shared" si="231"/>
        <v>0</v>
      </c>
      <c r="CT3320" s="22">
        <f t="shared" si="232"/>
        <v>0</v>
      </c>
      <c r="CU3320" s="22">
        <f t="shared" si="233"/>
        <v>0</v>
      </c>
      <c r="CV3320" s="26">
        <f t="shared" si="230"/>
        <v>624.38</v>
      </c>
    </row>
    <row r="3321" spans="1:100" x14ac:dyDescent="0.2">
      <c r="A3321" s="9" t="s">
        <v>669</v>
      </c>
      <c r="B3321" s="2">
        <v>4</v>
      </c>
      <c r="C3321" s="3" t="s">
        <v>95</v>
      </c>
      <c r="D3321" s="3" t="s">
        <v>96</v>
      </c>
      <c r="E3321" s="2"/>
      <c r="F3321" s="2"/>
      <c r="G3321" s="2" t="s">
        <v>65</v>
      </c>
      <c r="H3321" s="2">
        <v>4</v>
      </c>
      <c r="I3321" s="20">
        <v>104.5</v>
      </c>
      <c r="J3321" s="20">
        <v>46744</v>
      </c>
      <c r="K3321" s="3">
        <v>0</v>
      </c>
      <c r="L3321" s="3" t="s">
        <v>3</v>
      </c>
      <c r="M3321" s="9" t="s">
        <v>0</v>
      </c>
      <c r="N3321" s="9">
        <v>74326719</v>
      </c>
      <c r="O3321" s="9" t="s">
        <v>670</v>
      </c>
      <c r="S3321" s="9" t="s">
        <v>158</v>
      </c>
      <c r="T3321" s="10" t="s">
        <v>65</v>
      </c>
      <c r="U3321" s="10">
        <v>4</v>
      </c>
      <c r="V3321" s="79">
        <v>104.5</v>
      </c>
      <c r="W3321" s="79" t="s">
        <v>710</v>
      </c>
      <c r="X3321" s="17">
        <v>45796</v>
      </c>
      <c r="Y3321" s="17">
        <v>45796</v>
      </c>
      <c r="Z3321" s="19" t="s">
        <v>772</v>
      </c>
      <c r="AA3321" s="207">
        <v>41122</v>
      </c>
      <c r="AB3321" s="9">
        <v>44</v>
      </c>
      <c r="AC3321" s="9">
        <v>19</v>
      </c>
      <c r="AD3321" s="17">
        <v>46465</v>
      </c>
      <c r="AE3321" s="9">
        <v>624.38</v>
      </c>
      <c r="AF3321" s="9"/>
      <c r="AL3321" s="9"/>
      <c r="AM3321" s="9"/>
      <c r="AN3321" s="9"/>
      <c r="AO3321" s="22"/>
      <c r="AP3321" s="22"/>
      <c r="AQ3321" s="22"/>
      <c r="AR3321" s="22"/>
      <c r="AS3321" s="22"/>
      <c r="AT3321" s="22"/>
      <c r="AU3321" s="22"/>
      <c r="AV3321" s="22"/>
      <c r="AW3321" s="9"/>
      <c r="BA3321" s="22"/>
      <c r="BB3321" s="22"/>
      <c r="BD3321" s="9"/>
      <c r="CS3321" s="11">
        <f t="shared" si="231"/>
        <v>0</v>
      </c>
      <c r="CT3321" s="22">
        <f t="shared" si="232"/>
        <v>0</v>
      </c>
      <c r="CU3321" s="22">
        <f t="shared" si="233"/>
        <v>0</v>
      </c>
      <c r="CV3321" s="26">
        <f t="shared" ref="CV3321:CV3384" si="234">+AE3321-AL3321-AT3321</f>
        <v>624.38</v>
      </c>
    </row>
    <row r="3322" spans="1:100" x14ac:dyDescent="0.2">
      <c r="A3322" s="9" t="s">
        <v>669</v>
      </c>
      <c r="B3322" s="2">
        <v>4</v>
      </c>
      <c r="C3322" s="3" t="s">
        <v>95</v>
      </c>
      <c r="D3322" s="3" t="s">
        <v>96</v>
      </c>
      <c r="E3322" s="2"/>
      <c r="F3322" s="2"/>
      <c r="G3322" s="2" t="s">
        <v>65</v>
      </c>
      <c r="H3322" s="2">
        <v>4</v>
      </c>
      <c r="I3322" s="20">
        <v>104.5</v>
      </c>
      <c r="J3322" s="20">
        <v>46744</v>
      </c>
      <c r="K3322" s="3">
        <v>0</v>
      </c>
      <c r="L3322" s="3" t="s">
        <v>3</v>
      </c>
      <c r="M3322" s="9" t="s">
        <v>0</v>
      </c>
      <c r="N3322" s="9">
        <v>74326719</v>
      </c>
      <c r="O3322" s="9" t="s">
        <v>670</v>
      </c>
      <c r="S3322" s="9" t="s">
        <v>158</v>
      </c>
      <c r="T3322" s="10" t="s">
        <v>65</v>
      </c>
      <c r="U3322" s="10">
        <v>4</v>
      </c>
      <c r="V3322" s="79">
        <v>104.5</v>
      </c>
      <c r="W3322" s="79" t="s">
        <v>710</v>
      </c>
      <c r="X3322" s="17">
        <v>45796</v>
      </c>
      <c r="Y3322" s="17">
        <v>45796</v>
      </c>
      <c r="Z3322" s="19" t="s">
        <v>772</v>
      </c>
      <c r="AA3322" s="207">
        <v>41122</v>
      </c>
      <c r="AB3322" s="9">
        <v>44</v>
      </c>
      <c r="AC3322" s="9">
        <v>20</v>
      </c>
      <c r="AD3322" s="17">
        <v>46496</v>
      </c>
      <c r="AE3322" s="9">
        <v>624.38</v>
      </c>
      <c r="AF3322" s="9"/>
      <c r="AL3322" s="9"/>
      <c r="AM3322" s="9"/>
      <c r="AN3322" s="9"/>
      <c r="AO3322" s="22"/>
      <c r="AP3322" s="22"/>
      <c r="AQ3322" s="22"/>
      <c r="AR3322" s="22"/>
      <c r="AS3322" s="22"/>
      <c r="AT3322" s="22"/>
      <c r="AU3322" s="22"/>
      <c r="AV3322" s="22"/>
      <c r="AW3322" s="9"/>
      <c r="BA3322" s="22"/>
      <c r="BB3322" s="22"/>
      <c r="BD3322" s="9"/>
      <c r="CS3322" s="11">
        <f t="shared" si="231"/>
        <v>0</v>
      </c>
      <c r="CT3322" s="22">
        <f t="shared" si="232"/>
        <v>0</v>
      </c>
      <c r="CU3322" s="22">
        <f t="shared" si="233"/>
        <v>0</v>
      </c>
      <c r="CV3322" s="26">
        <f t="shared" si="234"/>
        <v>624.38</v>
      </c>
    </row>
    <row r="3323" spans="1:100" x14ac:dyDescent="0.2">
      <c r="A3323" s="9" t="s">
        <v>669</v>
      </c>
      <c r="B3323" s="2">
        <v>4</v>
      </c>
      <c r="C3323" s="3" t="s">
        <v>95</v>
      </c>
      <c r="D3323" s="3" t="s">
        <v>96</v>
      </c>
      <c r="E3323" s="2"/>
      <c r="F3323" s="2"/>
      <c r="G3323" s="2" t="s">
        <v>65</v>
      </c>
      <c r="H3323" s="2">
        <v>4</v>
      </c>
      <c r="I3323" s="20">
        <v>104.5</v>
      </c>
      <c r="J3323" s="20">
        <v>46744</v>
      </c>
      <c r="K3323" s="3">
        <v>0</v>
      </c>
      <c r="L3323" s="3" t="s">
        <v>3</v>
      </c>
      <c r="M3323" s="9" t="s">
        <v>0</v>
      </c>
      <c r="N3323" s="9">
        <v>74326719</v>
      </c>
      <c r="O3323" s="9" t="s">
        <v>670</v>
      </c>
      <c r="S3323" s="9" t="s">
        <v>158</v>
      </c>
      <c r="T3323" s="10" t="s">
        <v>65</v>
      </c>
      <c r="U3323" s="10">
        <v>4</v>
      </c>
      <c r="V3323" s="79">
        <v>104.5</v>
      </c>
      <c r="W3323" s="79" t="s">
        <v>710</v>
      </c>
      <c r="X3323" s="17">
        <v>45796</v>
      </c>
      <c r="Y3323" s="17">
        <v>45796</v>
      </c>
      <c r="Z3323" s="19" t="s">
        <v>772</v>
      </c>
      <c r="AA3323" s="207">
        <v>41122</v>
      </c>
      <c r="AB3323" s="9">
        <v>44</v>
      </c>
      <c r="AC3323" s="9">
        <v>21</v>
      </c>
      <c r="AD3323" s="17">
        <v>46526</v>
      </c>
      <c r="AE3323" s="9">
        <v>624.38</v>
      </c>
      <c r="AF3323" s="9"/>
      <c r="AL3323" s="9"/>
      <c r="AM3323" s="9"/>
      <c r="AN3323" s="9"/>
      <c r="AO3323" s="22"/>
      <c r="AP3323" s="22"/>
      <c r="AQ3323" s="22"/>
      <c r="AR3323" s="22"/>
      <c r="AS3323" s="22"/>
      <c r="AT3323" s="22"/>
      <c r="AU3323" s="22"/>
      <c r="AV3323" s="22"/>
      <c r="AW3323" s="9"/>
      <c r="BA3323" s="22"/>
      <c r="BB3323" s="22"/>
      <c r="BD3323" s="9"/>
      <c r="CS3323" s="11">
        <f t="shared" si="231"/>
        <v>0</v>
      </c>
      <c r="CT3323" s="22">
        <f t="shared" si="232"/>
        <v>0</v>
      </c>
      <c r="CU3323" s="22">
        <f t="shared" si="233"/>
        <v>0</v>
      </c>
      <c r="CV3323" s="26">
        <f t="shared" si="234"/>
        <v>624.38</v>
      </c>
    </row>
    <row r="3324" spans="1:100" x14ac:dyDescent="0.2">
      <c r="A3324" s="9" t="s">
        <v>669</v>
      </c>
      <c r="B3324" s="2">
        <v>4</v>
      </c>
      <c r="C3324" s="3" t="s">
        <v>95</v>
      </c>
      <c r="D3324" s="3" t="s">
        <v>96</v>
      </c>
      <c r="E3324" s="2"/>
      <c r="F3324" s="2"/>
      <c r="G3324" s="2" t="s">
        <v>65</v>
      </c>
      <c r="H3324" s="2">
        <v>4</v>
      </c>
      <c r="I3324" s="20">
        <v>104.5</v>
      </c>
      <c r="J3324" s="20">
        <v>46744</v>
      </c>
      <c r="K3324" s="3">
        <v>0</v>
      </c>
      <c r="L3324" s="3" t="s">
        <v>3</v>
      </c>
      <c r="M3324" s="9" t="s">
        <v>0</v>
      </c>
      <c r="N3324" s="9">
        <v>74326719</v>
      </c>
      <c r="O3324" s="9" t="s">
        <v>670</v>
      </c>
      <c r="S3324" s="9" t="s">
        <v>158</v>
      </c>
      <c r="T3324" s="10" t="s">
        <v>65</v>
      </c>
      <c r="U3324" s="10">
        <v>4</v>
      </c>
      <c r="V3324" s="79">
        <v>104.5</v>
      </c>
      <c r="W3324" s="79" t="s">
        <v>710</v>
      </c>
      <c r="X3324" s="17">
        <v>45796</v>
      </c>
      <c r="Y3324" s="17">
        <v>45796</v>
      </c>
      <c r="Z3324" s="19" t="s">
        <v>772</v>
      </c>
      <c r="AA3324" s="207">
        <v>41122</v>
      </c>
      <c r="AB3324" s="9">
        <v>44</v>
      </c>
      <c r="AC3324" s="9">
        <v>22</v>
      </c>
      <c r="AD3324" s="17">
        <v>46557</v>
      </c>
      <c r="AE3324" s="9">
        <v>624.38</v>
      </c>
      <c r="AF3324" s="9"/>
      <c r="AL3324" s="9"/>
      <c r="AM3324" s="9"/>
      <c r="AN3324" s="9"/>
      <c r="AO3324" s="22"/>
      <c r="AP3324" s="22"/>
      <c r="AQ3324" s="22"/>
      <c r="AR3324" s="22"/>
      <c r="AS3324" s="22"/>
      <c r="AT3324" s="22"/>
      <c r="AU3324" s="22"/>
      <c r="AV3324" s="22"/>
      <c r="AW3324" s="9"/>
      <c r="BA3324" s="22"/>
      <c r="BB3324" s="22"/>
      <c r="BD3324" s="9"/>
      <c r="CS3324" s="11">
        <f t="shared" si="231"/>
        <v>0</v>
      </c>
      <c r="CT3324" s="22">
        <f t="shared" si="232"/>
        <v>0</v>
      </c>
      <c r="CU3324" s="22">
        <f t="shared" si="233"/>
        <v>0</v>
      </c>
      <c r="CV3324" s="26">
        <f t="shared" si="234"/>
        <v>624.38</v>
      </c>
    </row>
    <row r="3325" spans="1:100" x14ac:dyDescent="0.2">
      <c r="A3325" s="9" t="s">
        <v>669</v>
      </c>
      <c r="B3325" s="2">
        <v>4</v>
      </c>
      <c r="C3325" s="3" t="s">
        <v>95</v>
      </c>
      <c r="D3325" s="3" t="s">
        <v>96</v>
      </c>
      <c r="E3325" s="2"/>
      <c r="F3325" s="2"/>
      <c r="G3325" s="2" t="s">
        <v>65</v>
      </c>
      <c r="H3325" s="2">
        <v>4</v>
      </c>
      <c r="I3325" s="20">
        <v>104.5</v>
      </c>
      <c r="J3325" s="20">
        <v>46744</v>
      </c>
      <c r="K3325" s="3">
        <v>0</v>
      </c>
      <c r="L3325" s="3" t="s">
        <v>3</v>
      </c>
      <c r="M3325" s="9" t="s">
        <v>0</v>
      </c>
      <c r="N3325" s="9">
        <v>74326719</v>
      </c>
      <c r="O3325" s="9" t="s">
        <v>670</v>
      </c>
      <c r="S3325" s="9" t="s">
        <v>158</v>
      </c>
      <c r="T3325" s="10" t="s">
        <v>65</v>
      </c>
      <c r="U3325" s="10">
        <v>4</v>
      </c>
      <c r="V3325" s="79">
        <v>104.5</v>
      </c>
      <c r="W3325" s="79" t="s">
        <v>710</v>
      </c>
      <c r="X3325" s="17">
        <v>45796</v>
      </c>
      <c r="Y3325" s="17">
        <v>45796</v>
      </c>
      <c r="Z3325" s="19" t="s">
        <v>772</v>
      </c>
      <c r="AA3325" s="207">
        <v>41122</v>
      </c>
      <c r="AB3325" s="9">
        <v>44</v>
      </c>
      <c r="AC3325" s="9">
        <v>23</v>
      </c>
      <c r="AD3325" s="17">
        <v>46587</v>
      </c>
      <c r="AE3325" s="9">
        <v>624.38</v>
      </c>
      <c r="AF3325" s="9"/>
      <c r="AL3325" s="9"/>
      <c r="AM3325" s="9"/>
      <c r="AN3325" s="9"/>
      <c r="AO3325" s="22"/>
      <c r="AP3325" s="22"/>
      <c r="AQ3325" s="22"/>
      <c r="AR3325" s="22"/>
      <c r="AS3325" s="22"/>
      <c r="AT3325" s="22"/>
      <c r="AU3325" s="22"/>
      <c r="AV3325" s="22"/>
      <c r="AW3325" s="9"/>
      <c r="BA3325" s="22"/>
      <c r="BB3325" s="22"/>
      <c r="BD3325" s="9"/>
      <c r="CS3325" s="11">
        <f t="shared" si="231"/>
        <v>0</v>
      </c>
      <c r="CT3325" s="22">
        <f t="shared" si="232"/>
        <v>0</v>
      </c>
      <c r="CU3325" s="22">
        <f t="shared" si="233"/>
        <v>0</v>
      </c>
      <c r="CV3325" s="26">
        <f t="shared" si="234"/>
        <v>624.38</v>
      </c>
    </row>
    <row r="3326" spans="1:100" x14ac:dyDescent="0.2">
      <c r="A3326" s="9" t="s">
        <v>669</v>
      </c>
      <c r="B3326" s="2">
        <v>4</v>
      </c>
      <c r="C3326" s="3" t="s">
        <v>95</v>
      </c>
      <c r="D3326" s="3" t="s">
        <v>96</v>
      </c>
      <c r="E3326" s="2"/>
      <c r="F3326" s="2"/>
      <c r="G3326" s="2" t="s">
        <v>65</v>
      </c>
      <c r="H3326" s="2">
        <v>4</v>
      </c>
      <c r="I3326" s="20">
        <v>104.5</v>
      </c>
      <c r="J3326" s="20">
        <v>46744</v>
      </c>
      <c r="K3326" s="3">
        <v>0</v>
      </c>
      <c r="L3326" s="3" t="s">
        <v>3</v>
      </c>
      <c r="M3326" s="9" t="s">
        <v>0</v>
      </c>
      <c r="N3326" s="9">
        <v>74326719</v>
      </c>
      <c r="O3326" s="9" t="s">
        <v>670</v>
      </c>
      <c r="S3326" s="9" t="s">
        <v>158</v>
      </c>
      <c r="T3326" s="10" t="s">
        <v>65</v>
      </c>
      <c r="U3326" s="10">
        <v>4</v>
      </c>
      <c r="V3326" s="79">
        <v>104.5</v>
      </c>
      <c r="W3326" s="79" t="s">
        <v>710</v>
      </c>
      <c r="X3326" s="17">
        <v>45796</v>
      </c>
      <c r="Y3326" s="17">
        <v>45796</v>
      </c>
      <c r="Z3326" s="19" t="s">
        <v>772</v>
      </c>
      <c r="AA3326" s="207">
        <v>41122</v>
      </c>
      <c r="AB3326" s="9">
        <v>44</v>
      </c>
      <c r="AC3326" s="9">
        <v>24</v>
      </c>
      <c r="AD3326" s="17">
        <v>46618</v>
      </c>
      <c r="AE3326" s="9">
        <v>624.38</v>
      </c>
      <c r="AF3326" s="9"/>
      <c r="AL3326" s="9"/>
      <c r="AM3326" s="9"/>
      <c r="AN3326" s="9"/>
      <c r="AO3326" s="22"/>
      <c r="AP3326" s="22"/>
      <c r="AQ3326" s="22"/>
      <c r="AR3326" s="22"/>
      <c r="AS3326" s="22"/>
      <c r="AT3326" s="22"/>
      <c r="AU3326" s="22"/>
      <c r="AV3326" s="22"/>
      <c r="AW3326" s="9"/>
      <c r="BA3326" s="22"/>
      <c r="BB3326" s="22"/>
      <c r="BD3326" s="9"/>
      <c r="CS3326" s="11">
        <f t="shared" si="231"/>
        <v>0</v>
      </c>
      <c r="CT3326" s="22">
        <f t="shared" si="232"/>
        <v>0</v>
      </c>
      <c r="CU3326" s="22">
        <f t="shared" si="233"/>
        <v>0</v>
      </c>
      <c r="CV3326" s="26">
        <f t="shared" si="234"/>
        <v>624.38</v>
      </c>
    </row>
    <row r="3327" spans="1:100" x14ac:dyDescent="0.2">
      <c r="A3327" s="9" t="s">
        <v>669</v>
      </c>
      <c r="B3327" s="2">
        <v>4</v>
      </c>
      <c r="C3327" s="3" t="s">
        <v>95</v>
      </c>
      <c r="D3327" s="3" t="s">
        <v>96</v>
      </c>
      <c r="E3327" s="2"/>
      <c r="F3327" s="2"/>
      <c r="G3327" s="2" t="s">
        <v>65</v>
      </c>
      <c r="H3327" s="2">
        <v>4</v>
      </c>
      <c r="I3327" s="20">
        <v>104.5</v>
      </c>
      <c r="J3327" s="20">
        <v>46744</v>
      </c>
      <c r="K3327" s="3">
        <v>0</v>
      </c>
      <c r="L3327" s="3" t="s">
        <v>3</v>
      </c>
      <c r="M3327" s="9" t="s">
        <v>0</v>
      </c>
      <c r="N3327" s="9">
        <v>74326719</v>
      </c>
      <c r="O3327" s="9" t="s">
        <v>670</v>
      </c>
      <c r="S3327" s="9" t="s">
        <v>158</v>
      </c>
      <c r="T3327" s="10" t="s">
        <v>65</v>
      </c>
      <c r="U3327" s="10">
        <v>4</v>
      </c>
      <c r="V3327" s="79">
        <v>104.5</v>
      </c>
      <c r="W3327" s="79" t="s">
        <v>710</v>
      </c>
      <c r="X3327" s="17">
        <v>45796</v>
      </c>
      <c r="Y3327" s="17">
        <v>45796</v>
      </c>
      <c r="Z3327" s="19" t="s">
        <v>772</v>
      </c>
      <c r="AA3327" s="207">
        <v>41122</v>
      </c>
      <c r="AB3327" s="9">
        <v>44</v>
      </c>
      <c r="AC3327" s="9">
        <v>25</v>
      </c>
      <c r="AD3327" s="17">
        <v>46649</v>
      </c>
      <c r="AE3327" s="9">
        <v>624.38</v>
      </c>
      <c r="AF3327" s="9"/>
      <c r="AL3327" s="9"/>
      <c r="AM3327" s="9"/>
      <c r="AN3327" s="9"/>
      <c r="AO3327" s="22"/>
      <c r="AP3327" s="22"/>
      <c r="AQ3327" s="22"/>
      <c r="AR3327" s="22"/>
      <c r="AS3327" s="22"/>
      <c r="AT3327" s="22"/>
      <c r="AU3327" s="22"/>
      <c r="AV3327" s="22"/>
      <c r="AW3327" s="9"/>
      <c r="BA3327" s="22"/>
      <c r="BB3327" s="22"/>
      <c r="BD3327" s="9"/>
      <c r="CS3327" s="11">
        <f t="shared" si="231"/>
        <v>0</v>
      </c>
      <c r="CT3327" s="22">
        <f t="shared" si="232"/>
        <v>0</v>
      </c>
      <c r="CU3327" s="22">
        <f t="shared" si="233"/>
        <v>0</v>
      </c>
      <c r="CV3327" s="26">
        <f t="shared" si="234"/>
        <v>624.38</v>
      </c>
    </row>
    <row r="3328" spans="1:100" x14ac:dyDescent="0.2">
      <c r="A3328" s="9" t="s">
        <v>669</v>
      </c>
      <c r="B3328" s="2">
        <v>4</v>
      </c>
      <c r="C3328" s="3" t="s">
        <v>95</v>
      </c>
      <c r="D3328" s="3" t="s">
        <v>96</v>
      </c>
      <c r="E3328" s="2"/>
      <c r="F3328" s="2"/>
      <c r="G3328" s="2" t="s">
        <v>65</v>
      </c>
      <c r="H3328" s="2">
        <v>4</v>
      </c>
      <c r="I3328" s="20">
        <v>104.5</v>
      </c>
      <c r="J3328" s="20">
        <v>46744</v>
      </c>
      <c r="K3328" s="3">
        <v>0</v>
      </c>
      <c r="L3328" s="3" t="s">
        <v>3</v>
      </c>
      <c r="M3328" s="9" t="s">
        <v>0</v>
      </c>
      <c r="N3328" s="9">
        <v>74326719</v>
      </c>
      <c r="O3328" s="9" t="s">
        <v>670</v>
      </c>
      <c r="S3328" s="9" t="s">
        <v>158</v>
      </c>
      <c r="T3328" s="10" t="s">
        <v>65</v>
      </c>
      <c r="U3328" s="10">
        <v>4</v>
      </c>
      <c r="V3328" s="79">
        <v>104.5</v>
      </c>
      <c r="W3328" s="79" t="s">
        <v>710</v>
      </c>
      <c r="X3328" s="17">
        <v>45796</v>
      </c>
      <c r="Y3328" s="17">
        <v>45796</v>
      </c>
      <c r="Z3328" s="19" t="s">
        <v>772</v>
      </c>
      <c r="AA3328" s="207">
        <v>41122</v>
      </c>
      <c r="AB3328" s="9">
        <v>44</v>
      </c>
      <c r="AC3328" s="9">
        <v>26</v>
      </c>
      <c r="AD3328" s="17">
        <v>46679</v>
      </c>
      <c r="AE3328" s="9">
        <v>624.38</v>
      </c>
      <c r="AF3328" s="9"/>
      <c r="AL3328" s="9"/>
      <c r="AM3328" s="9"/>
      <c r="AN3328" s="9"/>
      <c r="AO3328" s="22"/>
      <c r="AP3328" s="22"/>
      <c r="AQ3328" s="22"/>
      <c r="AR3328" s="22"/>
      <c r="AS3328" s="22"/>
      <c r="AT3328" s="22"/>
      <c r="AU3328" s="22"/>
      <c r="AV3328" s="22"/>
      <c r="AW3328" s="9"/>
      <c r="BA3328" s="22"/>
      <c r="BB3328" s="22"/>
      <c r="BD3328" s="9"/>
      <c r="CS3328" s="11">
        <f t="shared" si="231"/>
        <v>0</v>
      </c>
      <c r="CT3328" s="22">
        <f t="shared" si="232"/>
        <v>0</v>
      </c>
      <c r="CU3328" s="22">
        <f t="shared" si="233"/>
        <v>0</v>
      </c>
      <c r="CV3328" s="26">
        <f t="shared" si="234"/>
        <v>624.38</v>
      </c>
    </row>
    <row r="3329" spans="1:100" x14ac:dyDescent="0.2">
      <c r="A3329" s="9" t="s">
        <v>669</v>
      </c>
      <c r="B3329" s="2">
        <v>4</v>
      </c>
      <c r="C3329" s="3" t="s">
        <v>95</v>
      </c>
      <c r="D3329" s="3" t="s">
        <v>96</v>
      </c>
      <c r="E3329" s="2"/>
      <c r="F3329" s="2"/>
      <c r="G3329" s="2" t="s">
        <v>65</v>
      </c>
      <c r="H3329" s="2">
        <v>4</v>
      </c>
      <c r="I3329" s="20">
        <v>104.5</v>
      </c>
      <c r="J3329" s="20">
        <v>46744</v>
      </c>
      <c r="K3329" s="3">
        <v>0</v>
      </c>
      <c r="L3329" s="3" t="s">
        <v>3</v>
      </c>
      <c r="M3329" s="9" t="s">
        <v>0</v>
      </c>
      <c r="N3329" s="9">
        <v>74326719</v>
      </c>
      <c r="O3329" s="9" t="s">
        <v>670</v>
      </c>
      <c r="S3329" s="9" t="s">
        <v>158</v>
      </c>
      <c r="T3329" s="10" t="s">
        <v>65</v>
      </c>
      <c r="U3329" s="10">
        <v>4</v>
      </c>
      <c r="V3329" s="79">
        <v>104.5</v>
      </c>
      <c r="W3329" s="79" t="s">
        <v>710</v>
      </c>
      <c r="X3329" s="17">
        <v>45796</v>
      </c>
      <c r="Y3329" s="17">
        <v>45796</v>
      </c>
      <c r="Z3329" s="19" t="s">
        <v>772</v>
      </c>
      <c r="AA3329" s="207">
        <v>41122</v>
      </c>
      <c r="AB3329" s="9">
        <v>44</v>
      </c>
      <c r="AC3329" s="9">
        <v>27</v>
      </c>
      <c r="AD3329" s="17">
        <v>46710</v>
      </c>
      <c r="AE3329" s="9">
        <v>624.38</v>
      </c>
      <c r="AF3329" s="9"/>
      <c r="AL3329" s="9"/>
      <c r="AM3329" s="9"/>
      <c r="AN3329" s="9"/>
      <c r="AO3329" s="22"/>
      <c r="AP3329" s="22"/>
      <c r="AQ3329" s="22"/>
      <c r="AR3329" s="22"/>
      <c r="AS3329" s="22"/>
      <c r="AT3329" s="22"/>
      <c r="AU3329" s="22"/>
      <c r="AV3329" s="22"/>
      <c r="AW3329" s="9"/>
      <c r="BA3329" s="22"/>
      <c r="BB3329" s="22"/>
      <c r="BD3329" s="9"/>
      <c r="CS3329" s="11">
        <f t="shared" si="231"/>
        <v>0</v>
      </c>
      <c r="CT3329" s="22">
        <f t="shared" si="232"/>
        <v>0</v>
      </c>
      <c r="CU3329" s="22">
        <f t="shared" si="233"/>
        <v>0</v>
      </c>
      <c r="CV3329" s="26">
        <f t="shared" si="234"/>
        <v>624.38</v>
      </c>
    </row>
    <row r="3330" spans="1:100" x14ac:dyDescent="0.2">
      <c r="A3330" s="9" t="s">
        <v>669</v>
      </c>
      <c r="B3330" s="2">
        <v>4</v>
      </c>
      <c r="C3330" s="3" t="s">
        <v>95</v>
      </c>
      <c r="D3330" s="3" t="s">
        <v>96</v>
      </c>
      <c r="E3330" s="2"/>
      <c r="F3330" s="2"/>
      <c r="G3330" s="2" t="s">
        <v>65</v>
      </c>
      <c r="H3330" s="2">
        <v>4</v>
      </c>
      <c r="I3330" s="20">
        <v>104.5</v>
      </c>
      <c r="J3330" s="20">
        <v>46744</v>
      </c>
      <c r="K3330" s="3">
        <v>0</v>
      </c>
      <c r="L3330" s="3" t="s">
        <v>3</v>
      </c>
      <c r="M3330" s="9" t="s">
        <v>0</v>
      </c>
      <c r="N3330" s="9">
        <v>74326719</v>
      </c>
      <c r="O3330" s="9" t="s">
        <v>670</v>
      </c>
      <c r="S3330" s="9" t="s">
        <v>158</v>
      </c>
      <c r="T3330" s="10" t="s">
        <v>65</v>
      </c>
      <c r="U3330" s="10">
        <v>4</v>
      </c>
      <c r="V3330" s="79">
        <v>104.5</v>
      </c>
      <c r="W3330" s="79" t="s">
        <v>710</v>
      </c>
      <c r="X3330" s="17">
        <v>45796</v>
      </c>
      <c r="Y3330" s="17">
        <v>45796</v>
      </c>
      <c r="Z3330" s="19" t="s">
        <v>772</v>
      </c>
      <c r="AA3330" s="207">
        <v>41122</v>
      </c>
      <c r="AB3330" s="9">
        <v>44</v>
      </c>
      <c r="AC3330" s="9">
        <v>28</v>
      </c>
      <c r="AD3330" s="17">
        <v>46740</v>
      </c>
      <c r="AE3330" s="9">
        <v>624.38</v>
      </c>
      <c r="AF3330" s="9"/>
      <c r="AL3330" s="9"/>
      <c r="AM3330" s="9"/>
      <c r="AN3330" s="9"/>
      <c r="AO3330" s="22"/>
      <c r="AP3330" s="22"/>
      <c r="AQ3330" s="22"/>
      <c r="AR3330" s="22"/>
      <c r="AS3330" s="22"/>
      <c r="AT3330" s="22"/>
      <c r="AU3330" s="22"/>
      <c r="AV3330" s="22"/>
      <c r="AW3330" s="9"/>
      <c r="BA3330" s="22"/>
      <c r="BB3330" s="22"/>
      <c r="BD3330" s="9"/>
      <c r="CS3330" s="11">
        <f t="shared" si="231"/>
        <v>0</v>
      </c>
      <c r="CT3330" s="22">
        <f t="shared" si="232"/>
        <v>0</v>
      </c>
      <c r="CU3330" s="22">
        <f t="shared" si="233"/>
        <v>0</v>
      </c>
      <c r="CV3330" s="26">
        <f t="shared" si="234"/>
        <v>624.38</v>
      </c>
    </row>
    <row r="3331" spans="1:100" x14ac:dyDescent="0.2">
      <c r="A3331" s="9" t="s">
        <v>669</v>
      </c>
      <c r="B3331" s="2">
        <v>4</v>
      </c>
      <c r="C3331" s="3" t="s">
        <v>95</v>
      </c>
      <c r="D3331" s="3" t="s">
        <v>96</v>
      </c>
      <c r="E3331" s="2"/>
      <c r="F3331" s="2"/>
      <c r="G3331" s="2" t="s">
        <v>65</v>
      </c>
      <c r="H3331" s="2">
        <v>4</v>
      </c>
      <c r="I3331" s="20">
        <v>104.5</v>
      </c>
      <c r="J3331" s="20">
        <v>46744</v>
      </c>
      <c r="K3331" s="3">
        <v>0</v>
      </c>
      <c r="L3331" s="3" t="s">
        <v>3</v>
      </c>
      <c r="M3331" s="9" t="s">
        <v>0</v>
      </c>
      <c r="N3331" s="9">
        <v>74326719</v>
      </c>
      <c r="O3331" s="9" t="s">
        <v>670</v>
      </c>
      <c r="S3331" s="9" t="s">
        <v>158</v>
      </c>
      <c r="T3331" s="10" t="s">
        <v>65</v>
      </c>
      <c r="U3331" s="10">
        <v>4</v>
      </c>
      <c r="V3331" s="79">
        <v>104.5</v>
      </c>
      <c r="W3331" s="79" t="s">
        <v>710</v>
      </c>
      <c r="X3331" s="17">
        <v>45796</v>
      </c>
      <c r="Y3331" s="17">
        <v>45796</v>
      </c>
      <c r="Z3331" s="19" t="s">
        <v>772</v>
      </c>
      <c r="AA3331" s="207">
        <v>41122</v>
      </c>
      <c r="AB3331" s="9">
        <v>44</v>
      </c>
      <c r="AC3331" s="9">
        <v>29</v>
      </c>
      <c r="AD3331" s="17">
        <v>46771</v>
      </c>
      <c r="AE3331" s="9">
        <v>624.38</v>
      </c>
      <c r="AF3331" s="9"/>
      <c r="AL3331" s="9"/>
      <c r="AM3331" s="9"/>
      <c r="AN3331" s="9"/>
      <c r="AO3331" s="22"/>
      <c r="AP3331" s="22"/>
      <c r="AQ3331" s="22"/>
      <c r="AR3331" s="22"/>
      <c r="AS3331" s="22"/>
      <c r="AT3331" s="22"/>
      <c r="AU3331" s="22"/>
      <c r="AV3331" s="22"/>
      <c r="AW3331" s="9"/>
      <c r="BA3331" s="22"/>
      <c r="BB3331" s="22"/>
      <c r="BD3331" s="9"/>
      <c r="CS3331" s="11">
        <f t="shared" si="231"/>
        <v>0</v>
      </c>
      <c r="CT3331" s="22">
        <f t="shared" si="232"/>
        <v>0</v>
      </c>
      <c r="CU3331" s="22">
        <f t="shared" si="233"/>
        <v>0</v>
      </c>
      <c r="CV3331" s="26">
        <f t="shared" si="234"/>
        <v>624.38</v>
      </c>
    </row>
    <row r="3332" spans="1:100" x14ac:dyDescent="0.2">
      <c r="A3332" s="9" t="s">
        <v>669</v>
      </c>
      <c r="B3332" s="2">
        <v>4</v>
      </c>
      <c r="C3332" s="3" t="s">
        <v>95</v>
      </c>
      <c r="D3332" s="3" t="s">
        <v>96</v>
      </c>
      <c r="E3332" s="2"/>
      <c r="F3332" s="2"/>
      <c r="G3332" s="2" t="s">
        <v>65</v>
      </c>
      <c r="H3332" s="2">
        <v>4</v>
      </c>
      <c r="I3332" s="20">
        <v>104.5</v>
      </c>
      <c r="J3332" s="20">
        <v>46744</v>
      </c>
      <c r="K3332" s="3">
        <v>0</v>
      </c>
      <c r="L3332" s="3" t="s">
        <v>3</v>
      </c>
      <c r="M3332" s="9" t="s">
        <v>0</v>
      </c>
      <c r="N3332" s="9">
        <v>74326719</v>
      </c>
      <c r="O3332" s="9" t="s">
        <v>670</v>
      </c>
      <c r="S3332" s="9" t="s">
        <v>158</v>
      </c>
      <c r="T3332" s="10" t="s">
        <v>65</v>
      </c>
      <c r="U3332" s="10">
        <v>4</v>
      </c>
      <c r="V3332" s="79">
        <v>104.5</v>
      </c>
      <c r="W3332" s="79" t="s">
        <v>710</v>
      </c>
      <c r="X3332" s="17">
        <v>45796</v>
      </c>
      <c r="Y3332" s="17">
        <v>45796</v>
      </c>
      <c r="Z3332" s="19" t="s">
        <v>772</v>
      </c>
      <c r="AA3332" s="207">
        <v>41122</v>
      </c>
      <c r="AB3332" s="9">
        <v>44</v>
      </c>
      <c r="AC3332" s="9">
        <v>30</v>
      </c>
      <c r="AD3332" s="17">
        <v>46802</v>
      </c>
      <c r="AE3332" s="9">
        <v>624.38</v>
      </c>
      <c r="AF3332" s="9"/>
      <c r="AL3332" s="9"/>
      <c r="AM3332" s="9"/>
      <c r="AN3332" s="9"/>
      <c r="AO3332" s="22"/>
      <c r="AP3332" s="22"/>
      <c r="AQ3332" s="22"/>
      <c r="AR3332" s="22"/>
      <c r="AS3332" s="22"/>
      <c r="AT3332" s="22"/>
      <c r="AU3332" s="22"/>
      <c r="AV3332" s="22"/>
      <c r="AW3332" s="9"/>
      <c r="BA3332" s="22"/>
      <c r="BB3332" s="22"/>
      <c r="BD3332" s="9"/>
      <c r="CS3332" s="11">
        <f t="shared" si="231"/>
        <v>0</v>
      </c>
      <c r="CT3332" s="22">
        <f t="shared" si="232"/>
        <v>0</v>
      </c>
      <c r="CU3332" s="22">
        <f t="shared" si="233"/>
        <v>0</v>
      </c>
      <c r="CV3332" s="26">
        <f t="shared" si="234"/>
        <v>624.38</v>
      </c>
    </row>
    <row r="3333" spans="1:100" x14ac:dyDescent="0.2">
      <c r="A3333" s="9" t="s">
        <v>669</v>
      </c>
      <c r="B3333" s="2">
        <v>4</v>
      </c>
      <c r="C3333" s="3" t="s">
        <v>95</v>
      </c>
      <c r="D3333" s="3" t="s">
        <v>96</v>
      </c>
      <c r="E3333" s="2"/>
      <c r="F3333" s="2"/>
      <c r="G3333" s="2" t="s">
        <v>65</v>
      </c>
      <c r="H3333" s="2">
        <v>4</v>
      </c>
      <c r="I3333" s="20">
        <v>104.5</v>
      </c>
      <c r="J3333" s="20">
        <v>46744</v>
      </c>
      <c r="K3333" s="3">
        <v>0</v>
      </c>
      <c r="L3333" s="3" t="s">
        <v>3</v>
      </c>
      <c r="M3333" s="9" t="s">
        <v>0</v>
      </c>
      <c r="N3333" s="9">
        <v>74326719</v>
      </c>
      <c r="O3333" s="9" t="s">
        <v>670</v>
      </c>
      <c r="S3333" s="9" t="s">
        <v>158</v>
      </c>
      <c r="T3333" s="10" t="s">
        <v>65</v>
      </c>
      <c r="U3333" s="10">
        <v>4</v>
      </c>
      <c r="V3333" s="79">
        <v>104.5</v>
      </c>
      <c r="W3333" s="79" t="s">
        <v>710</v>
      </c>
      <c r="X3333" s="17">
        <v>45796</v>
      </c>
      <c r="Y3333" s="17">
        <v>45796</v>
      </c>
      <c r="Z3333" s="19" t="s">
        <v>772</v>
      </c>
      <c r="AA3333" s="207">
        <v>41122</v>
      </c>
      <c r="AB3333" s="9">
        <v>44</v>
      </c>
      <c r="AC3333" s="9">
        <v>31</v>
      </c>
      <c r="AD3333" s="17">
        <v>46831</v>
      </c>
      <c r="AE3333" s="9">
        <v>624.38</v>
      </c>
      <c r="AF3333" s="9"/>
      <c r="AL3333" s="9"/>
      <c r="AM3333" s="9"/>
      <c r="AN3333" s="9"/>
      <c r="AO3333" s="22"/>
      <c r="AP3333" s="22"/>
      <c r="AQ3333" s="22"/>
      <c r="AR3333" s="22"/>
      <c r="AS3333" s="22"/>
      <c r="AT3333" s="22"/>
      <c r="AU3333" s="22"/>
      <c r="AV3333" s="22"/>
      <c r="AW3333" s="9"/>
      <c r="BA3333" s="22"/>
      <c r="BB3333" s="22"/>
      <c r="BD3333" s="9"/>
      <c r="CS3333" s="11">
        <f t="shared" si="231"/>
        <v>0</v>
      </c>
      <c r="CT3333" s="22">
        <f t="shared" si="232"/>
        <v>0</v>
      </c>
      <c r="CU3333" s="22">
        <f t="shared" si="233"/>
        <v>0</v>
      </c>
      <c r="CV3333" s="26">
        <f t="shared" si="234"/>
        <v>624.38</v>
      </c>
    </row>
    <row r="3334" spans="1:100" x14ac:dyDescent="0.2">
      <c r="A3334" s="9" t="s">
        <v>669</v>
      </c>
      <c r="B3334" s="2">
        <v>4</v>
      </c>
      <c r="C3334" s="3" t="s">
        <v>95</v>
      </c>
      <c r="D3334" s="3" t="s">
        <v>96</v>
      </c>
      <c r="E3334" s="2"/>
      <c r="F3334" s="2"/>
      <c r="G3334" s="2" t="s">
        <v>65</v>
      </c>
      <c r="H3334" s="2">
        <v>4</v>
      </c>
      <c r="I3334" s="20">
        <v>104.5</v>
      </c>
      <c r="J3334" s="20">
        <v>46744</v>
      </c>
      <c r="K3334" s="3">
        <v>0</v>
      </c>
      <c r="L3334" s="3" t="s">
        <v>3</v>
      </c>
      <c r="M3334" s="9" t="s">
        <v>0</v>
      </c>
      <c r="N3334" s="9">
        <v>74326719</v>
      </c>
      <c r="O3334" s="9" t="s">
        <v>670</v>
      </c>
      <c r="S3334" s="9" t="s">
        <v>158</v>
      </c>
      <c r="T3334" s="10" t="s">
        <v>65</v>
      </c>
      <c r="U3334" s="10">
        <v>4</v>
      </c>
      <c r="V3334" s="79">
        <v>104.5</v>
      </c>
      <c r="W3334" s="79" t="s">
        <v>710</v>
      </c>
      <c r="X3334" s="17">
        <v>45796</v>
      </c>
      <c r="Y3334" s="17">
        <v>45796</v>
      </c>
      <c r="Z3334" s="19" t="s">
        <v>772</v>
      </c>
      <c r="AA3334" s="207">
        <v>41122</v>
      </c>
      <c r="AB3334" s="9">
        <v>44</v>
      </c>
      <c r="AC3334" s="9">
        <v>32</v>
      </c>
      <c r="AD3334" s="17">
        <v>46862</v>
      </c>
      <c r="AE3334" s="9">
        <v>624.38</v>
      </c>
      <c r="AF3334" s="9"/>
      <c r="AL3334" s="9"/>
      <c r="AM3334" s="9"/>
      <c r="AN3334" s="9"/>
      <c r="AO3334" s="22"/>
      <c r="AP3334" s="22"/>
      <c r="AQ3334" s="22"/>
      <c r="AR3334" s="22"/>
      <c r="AS3334" s="22"/>
      <c r="AT3334" s="22"/>
      <c r="AU3334" s="22"/>
      <c r="AV3334" s="22"/>
      <c r="AW3334" s="9"/>
      <c r="BA3334" s="22"/>
      <c r="BB3334" s="22"/>
      <c r="BD3334" s="9"/>
      <c r="CS3334" s="11">
        <f t="shared" si="231"/>
        <v>0</v>
      </c>
      <c r="CT3334" s="22">
        <f t="shared" si="232"/>
        <v>0</v>
      </c>
      <c r="CU3334" s="22">
        <f t="shared" si="233"/>
        <v>0</v>
      </c>
      <c r="CV3334" s="26">
        <f t="shared" si="234"/>
        <v>624.38</v>
      </c>
    </row>
    <row r="3335" spans="1:100" x14ac:dyDescent="0.2">
      <c r="A3335" s="9" t="s">
        <v>669</v>
      </c>
      <c r="B3335" s="2">
        <v>4</v>
      </c>
      <c r="C3335" s="3" t="s">
        <v>95</v>
      </c>
      <c r="D3335" s="3" t="s">
        <v>96</v>
      </c>
      <c r="E3335" s="2"/>
      <c r="F3335" s="2"/>
      <c r="G3335" s="2" t="s">
        <v>65</v>
      </c>
      <c r="H3335" s="2">
        <v>4</v>
      </c>
      <c r="I3335" s="20">
        <v>104.5</v>
      </c>
      <c r="J3335" s="20">
        <v>46744</v>
      </c>
      <c r="K3335" s="3">
        <v>0</v>
      </c>
      <c r="L3335" s="3" t="s">
        <v>3</v>
      </c>
      <c r="M3335" s="9" t="s">
        <v>0</v>
      </c>
      <c r="N3335" s="9">
        <v>74326719</v>
      </c>
      <c r="O3335" s="9" t="s">
        <v>670</v>
      </c>
      <c r="S3335" s="9" t="s">
        <v>158</v>
      </c>
      <c r="T3335" s="10" t="s">
        <v>65</v>
      </c>
      <c r="U3335" s="10">
        <v>4</v>
      </c>
      <c r="V3335" s="79">
        <v>104.5</v>
      </c>
      <c r="W3335" s="79" t="s">
        <v>710</v>
      </c>
      <c r="X3335" s="17">
        <v>45796</v>
      </c>
      <c r="Y3335" s="17">
        <v>45796</v>
      </c>
      <c r="Z3335" s="19" t="s">
        <v>772</v>
      </c>
      <c r="AA3335" s="207">
        <v>41122</v>
      </c>
      <c r="AB3335" s="9">
        <v>44</v>
      </c>
      <c r="AC3335" s="9">
        <v>33</v>
      </c>
      <c r="AD3335" s="17">
        <v>46892</v>
      </c>
      <c r="AE3335" s="9">
        <v>624.38</v>
      </c>
      <c r="AF3335" s="9"/>
      <c r="AL3335" s="9"/>
      <c r="AM3335" s="9"/>
      <c r="AN3335" s="9"/>
      <c r="AO3335" s="22"/>
      <c r="AP3335" s="22"/>
      <c r="AQ3335" s="22"/>
      <c r="AR3335" s="22"/>
      <c r="AS3335" s="22"/>
      <c r="AT3335" s="22"/>
      <c r="AU3335" s="22"/>
      <c r="AV3335" s="22"/>
      <c r="AW3335" s="9"/>
      <c r="BA3335" s="22"/>
      <c r="BB3335" s="22"/>
      <c r="BD3335" s="9"/>
      <c r="CS3335" s="11">
        <f t="shared" si="231"/>
        <v>0</v>
      </c>
      <c r="CT3335" s="22">
        <f t="shared" si="232"/>
        <v>0</v>
      </c>
      <c r="CU3335" s="22">
        <f t="shared" si="233"/>
        <v>0</v>
      </c>
      <c r="CV3335" s="26">
        <f t="shared" si="234"/>
        <v>624.38</v>
      </c>
    </row>
    <row r="3336" spans="1:100" x14ac:dyDescent="0.2">
      <c r="A3336" s="9" t="s">
        <v>669</v>
      </c>
      <c r="B3336" s="2">
        <v>4</v>
      </c>
      <c r="C3336" s="3" t="s">
        <v>95</v>
      </c>
      <c r="D3336" s="3" t="s">
        <v>96</v>
      </c>
      <c r="E3336" s="2"/>
      <c r="F3336" s="2"/>
      <c r="G3336" s="2" t="s">
        <v>65</v>
      </c>
      <c r="H3336" s="2">
        <v>4</v>
      </c>
      <c r="I3336" s="20">
        <v>104.5</v>
      </c>
      <c r="J3336" s="20">
        <v>46744</v>
      </c>
      <c r="K3336" s="3">
        <v>0</v>
      </c>
      <c r="L3336" s="3" t="s">
        <v>3</v>
      </c>
      <c r="M3336" s="9" t="s">
        <v>0</v>
      </c>
      <c r="N3336" s="9">
        <v>74326719</v>
      </c>
      <c r="O3336" s="9" t="s">
        <v>670</v>
      </c>
      <c r="S3336" s="9" t="s">
        <v>158</v>
      </c>
      <c r="T3336" s="10" t="s">
        <v>65</v>
      </c>
      <c r="U3336" s="10">
        <v>4</v>
      </c>
      <c r="V3336" s="79">
        <v>104.5</v>
      </c>
      <c r="W3336" s="79" t="s">
        <v>710</v>
      </c>
      <c r="X3336" s="17">
        <v>45796</v>
      </c>
      <c r="Y3336" s="17">
        <v>45796</v>
      </c>
      <c r="Z3336" s="19" t="s">
        <v>772</v>
      </c>
      <c r="AA3336" s="207">
        <v>41122</v>
      </c>
      <c r="AB3336" s="9">
        <v>44</v>
      </c>
      <c r="AC3336" s="9">
        <v>34</v>
      </c>
      <c r="AD3336" s="17">
        <v>46923</v>
      </c>
      <c r="AE3336" s="9">
        <v>624.38</v>
      </c>
      <c r="AF3336" s="9"/>
      <c r="AL3336" s="9"/>
      <c r="AM3336" s="9"/>
      <c r="AN3336" s="9"/>
      <c r="AO3336" s="22"/>
      <c r="AP3336" s="22"/>
      <c r="AQ3336" s="22"/>
      <c r="AR3336" s="22"/>
      <c r="AS3336" s="22"/>
      <c r="AT3336" s="22"/>
      <c r="AU3336" s="22"/>
      <c r="AV3336" s="22"/>
      <c r="AW3336" s="9"/>
      <c r="BA3336" s="22"/>
      <c r="BB3336" s="22"/>
      <c r="BD3336" s="9"/>
      <c r="CS3336" s="11">
        <f t="shared" si="231"/>
        <v>0</v>
      </c>
      <c r="CT3336" s="22">
        <f t="shared" si="232"/>
        <v>0</v>
      </c>
      <c r="CU3336" s="22">
        <f t="shared" si="233"/>
        <v>0</v>
      </c>
      <c r="CV3336" s="26">
        <f t="shared" si="234"/>
        <v>624.38</v>
      </c>
    </row>
    <row r="3337" spans="1:100" x14ac:dyDescent="0.2">
      <c r="A3337" s="9" t="s">
        <v>669</v>
      </c>
      <c r="B3337" s="2">
        <v>4</v>
      </c>
      <c r="C3337" s="3" t="s">
        <v>95</v>
      </c>
      <c r="D3337" s="3" t="s">
        <v>96</v>
      </c>
      <c r="E3337" s="2"/>
      <c r="F3337" s="2"/>
      <c r="G3337" s="2" t="s">
        <v>65</v>
      </c>
      <c r="H3337" s="2">
        <v>4</v>
      </c>
      <c r="I3337" s="20">
        <v>104.5</v>
      </c>
      <c r="J3337" s="20">
        <v>46744</v>
      </c>
      <c r="K3337" s="3">
        <v>0</v>
      </c>
      <c r="L3337" s="3" t="s">
        <v>3</v>
      </c>
      <c r="M3337" s="9" t="s">
        <v>0</v>
      </c>
      <c r="N3337" s="9">
        <v>74326719</v>
      </c>
      <c r="O3337" s="9" t="s">
        <v>670</v>
      </c>
      <c r="S3337" s="9" t="s">
        <v>158</v>
      </c>
      <c r="T3337" s="10" t="s">
        <v>65</v>
      </c>
      <c r="U3337" s="10">
        <v>4</v>
      </c>
      <c r="V3337" s="79">
        <v>104.5</v>
      </c>
      <c r="W3337" s="79" t="s">
        <v>710</v>
      </c>
      <c r="X3337" s="17">
        <v>45796</v>
      </c>
      <c r="Y3337" s="17">
        <v>45796</v>
      </c>
      <c r="Z3337" s="19" t="s">
        <v>772</v>
      </c>
      <c r="AA3337" s="207">
        <v>41122</v>
      </c>
      <c r="AB3337" s="9">
        <v>44</v>
      </c>
      <c r="AC3337" s="9">
        <v>35</v>
      </c>
      <c r="AD3337" s="17">
        <v>46953</v>
      </c>
      <c r="AE3337" s="9">
        <v>624.38</v>
      </c>
      <c r="AF3337" s="9"/>
      <c r="AL3337" s="9"/>
      <c r="AM3337" s="9"/>
      <c r="AN3337" s="9"/>
      <c r="AO3337" s="22"/>
      <c r="AP3337" s="22"/>
      <c r="AQ3337" s="22"/>
      <c r="AR3337" s="22"/>
      <c r="AS3337" s="22"/>
      <c r="AT3337" s="22"/>
      <c r="AU3337" s="22"/>
      <c r="AV3337" s="22"/>
      <c r="AW3337" s="9"/>
      <c r="BA3337" s="22"/>
      <c r="BB3337" s="22"/>
      <c r="BD3337" s="9"/>
      <c r="CS3337" s="11">
        <f t="shared" si="231"/>
        <v>0</v>
      </c>
      <c r="CT3337" s="22">
        <f t="shared" si="232"/>
        <v>0</v>
      </c>
      <c r="CU3337" s="22">
        <f t="shared" si="233"/>
        <v>0</v>
      </c>
      <c r="CV3337" s="26">
        <f t="shared" si="234"/>
        <v>624.38</v>
      </c>
    </row>
    <row r="3338" spans="1:100" x14ac:dyDescent="0.2">
      <c r="A3338" s="9" t="s">
        <v>669</v>
      </c>
      <c r="B3338" s="2">
        <v>4</v>
      </c>
      <c r="C3338" s="3" t="s">
        <v>95</v>
      </c>
      <c r="D3338" s="3" t="s">
        <v>96</v>
      </c>
      <c r="E3338" s="2"/>
      <c r="F3338" s="2"/>
      <c r="G3338" s="2" t="s">
        <v>65</v>
      </c>
      <c r="H3338" s="2">
        <v>4</v>
      </c>
      <c r="I3338" s="20">
        <v>104.5</v>
      </c>
      <c r="J3338" s="20">
        <v>46744</v>
      </c>
      <c r="K3338" s="3">
        <v>0</v>
      </c>
      <c r="L3338" s="3" t="s">
        <v>3</v>
      </c>
      <c r="M3338" s="9" t="s">
        <v>0</v>
      </c>
      <c r="N3338" s="9">
        <v>74326719</v>
      </c>
      <c r="O3338" s="9" t="s">
        <v>670</v>
      </c>
      <c r="S3338" s="9" t="s">
        <v>158</v>
      </c>
      <c r="T3338" s="10" t="s">
        <v>65</v>
      </c>
      <c r="U3338" s="10">
        <v>4</v>
      </c>
      <c r="V3338" s="79">
        <v>104.5</v>
      </c>
      <c r="W3338" s="79" t="s">
        <v>710</v>
      </c>
      <c r="X3338" s="17">
        <v>45796</v>
      </c>
      <c r="Y3338" s="17">
        <v>45796</v>
      </c>
      <c r="Z3338" s="19" t="s">
        <v>772</v>
      </c>
      <c r="AA3338" s="207">
        <v>41122</v>
      </c>
      <c r="AB3338" s="9">
        <v>44</v>
      </c>
      <c r="AC3338" s="9">
        <v>36</v>
      </c>
      <c r="AD3338" s="17">
        <v>46984</v>
      </c>
      <c r="AE3338" s="9">
        <v>624.38</v>
      </c>
      <c r="AF3338" s="9"/>
      <c r="AL3338" s="9"/>
      <c r="AM3338" s="9"/>
      <c r="AN3338" s="9"/>
      <c r="AO3338" s="22"/>
      <c r="AP3338" s="22"/>
      <c r="AQ3338" s="22"/>
      <c r="AR3338" s="22"/>
      <c r="AS3338" s="22"/>
      <c r="AT3338" s="22"/>
      <c r="AU3338" s="22"/>
      <c r="AV3338" s="22"/>
      <c r="AW3338" s="9"/>
      <c r="BA3338" s="22"/>
      <c r="BB3338" s="22"/>
      <c r="BD3338" s="9"/>
      <c r="CS3338" s="11">
        <f t="shared" si="231"/>
        <v>0</v>
      </c>
      <c r="CT3338" s="22">
        <f t="shared" si="232"/>
        <v>0</v>
      </c>
      <c r="CU3338" s="22">
        <f t="shared" si="233"/>
        <v>0</v>
      </c>
      <c r="CV3338" s="26">
        <f t="shared" si="234"/>
        <v>624.38</v>
      </c>
    </row>
    <row r="3339" spans="1:100" x14ac:dyDescent="0.2">
      <c r="A3339" s="9" t="s">
        <v>669</v>
      </c>
      <c r="B3339" s="2">
        <v>4</v>
      </c>
      <c r="C3339" s="3" t="s">
        <v>95</v>
      </c>
      <c r="D3339" s="3" t="s">
        <v>96</v>
      </c>
      <c r="E3339" s="2"/>
      <c r="F3339" s="2"/>
      <c r="G3339" s="2" t="s">
        <v>65</v>
      </c>
      <c r="H3339" s="2">
        <v>4</v>
      </c>
      <c r="I3339" s="20">
        <v>104.5</v>
      </c>
      <c r="J3339" s="20">
        <v>46744</v>
      </c>
      <c r="K3339" s="3">
        <v>0</v>
      </c>
      <c r="L3339" s="3" t="s">
        <v>3</v>
      </c>
      <c r="M3339" s="9" t="s">
        <v>0</v>
      </c>
      <c r="N3339" s="9">
        <v>74326719</v>
      </c>
      <c r="O3339" s="9" t="s">
        <v>670</v>
      </c>
      <c r="S3339" s="9" t="s">
        <v>158</v>
      </c>
      <c r="T3339" s="10" t="s">
        <v>65</v>
      </c>
      <c r="U3339" s="10">
        <v>4</v>
      </c>
      <c r="V3339" s="79">
        <v>104.5</v>
      </c>
      <c r="W3339" s="79" t="s">
        <v>710</v>
      </c>
      <c r="X3339" s="17">
        <v>45796</v>
      </c>
      <c r="Y3339" s="17">
        <v>45796</v>
      </c>
      <c r="Z3339" s="19" t="s">
        <v>772</v>
      </c>
      <c r="AA3339" s="207">
        <v>41122</v>
      </c>
      <c r="AB3339" s="9">
        <v>44</v>
      </c>
      <c r="AC3339" s="9">
        <v>37</v>
      </c>
      <c r="AD3339" s="17">
        <v>47015</v>
      </c>
      <c r="AE3339" s="9">
        <v>624.38</v>
      </c>
      <c r="AF3339" s="9"/>
      <c r="AL3339" s="9"/>
      <c r="AM3339" s="9"/>
      <c r="AN3339" s="9"/>
      <c r="AO3339" s="22"/>
      <c r="AP3339" s="22"/>
      <c r="AQ3339" s="22"/>
      <c r="AR3339" s="22"/>
      <c r="AS3339" s="22"/>
      <c r="AT3339" s="22"/>
      <c r="AU3339" s="22"/>
      <c r="AV3339" s="22"/>
      <c r="AW3339" s="9"/>
      <c r="BA3339" s="22"/>
      <c r="BB3339" s="22"/>
      <c r="BD3339" s="9"/>
      <c r="CS3339" s="11">
        <f t="shared" si="231"/>
        <v>0</v>
      </c>
      <c r="CT3339" s="22">
        <f t="shared" si="232"/>
        <v>0</v>
      </c>
      <c r="CU3339" s="22">
        <f t="shared" si="233"/>
        <v>0</v>
      </c>
      <c r="CV3339" s="26">
        <f t="shared" si="234"/>
        <v>624.38</v>
      </c>
    </row>
    <row r="3340" spans="1:100" x14ac:dyDescent="0.2">
      <c r="A3340" s="9" t="s">
        <v>669</v>
      </c>
      <c r="B3340" s="2">
        <v>4</v>
      </c>
      <c r="C3340" s="3" t="s">
        <v>95</v>
      </c>
      <c r="D3340" s="3" t="s">
        <v>96</v>
      </c>
      <c r="E3340" s="2"/>
      <c r="F3340" s="2"/>
      <c r="G3340" s="2" t="s">
        <v>65</v>
      </c>
      <c r="H3340" s="2">
        <v>4</v>
      </c>
      <c r="I3340" s="20">
        <v>104.5</v>
      </c>
      <c r="J3340" s="20">
        <v>46744</v>
      </c>
      <c r="K3340" s="3">
        <v>0</v>
      </c>
      <c r="L3340" s="3" t="s">
        <v>3</v>
      </c>
      <c r="M3340" s="9" t="s">
        <v>0</v>
      </c>
      <c r="N3340" s="9">
        <v>74326719</v>
      </c>
      <c r="O3340" s="9" t="s">
        <v>670</v>
      </c>
      <c r="S3340" s="9" t="s">
        <v>158</v>
      </c>
      <c r="T3340" s="10" t="s">
        <v>65</v>
      </c>
      <c r="U3340" s="10">
        <v>4</v>
      </c>
      <c r="V3340" s="79">
        <v>104.5</v>
      </c>
      <c r="W3340" s="79" t="s">
        <v>710</v>
      </c>
      <c r="X3340" s="17">
        <v>45796</v>
      </c>
      <c r="Y3340" s="17">
        <v>45796</v>
      </c>
      <c r="Z3340" s="19" t="s">
        <v>772</v>
      </c>
      <c r="AA3340" s="207">
        <v>41122</v>
      </c>
      <c r="AB3340" s="9">
        <v>44</v>
      </c>
      <c r="AC3340" s="9">
        <v>38</v>
      </c>
      <c r="AD3340" s="17">
        <v>47045</v>
      </c>
      <c r="AE3340" s="9">
        <v>624.38</v>
      </c>
      <c r="AF3340" s="9"/>
      <c r="AL3340" s="9"/>
      <c r="AM3340" s="9"/>
      <c r="AN3340" s="9"/>
      <c r="AO3340" s="22"/>
      <c r="AP3340" s="22"/>
      <c r="AQ3340" s="22"/>
      <c r="AR3340" s="22"/>
      <c r="AS3340" s="22"/>
      <c r="AT3340" s="22"/>
      <c r="AU3340" s="22"/>
      <c r="AV3340" s="22"/>
      <c r="AW3340" s="9"/>
      <c r="BA3340" s="22"/>
      <c r="BB3340" s="22"/>
      <c r="BD3340" s="9"/>
      <c r="CS3340" s="11">
        <f t="shared" si="231"/>
        <v>0</v>
      </c>
      <c r="CT3340" s="22">
        <f t="shared" si="232"/>
        <v>0</v>
      </c>
      <c r="CU3340" s="22">
        <f t="shared" si="233"/>
        <v>0</v>
      </c>
      <c r="CV3340" s="26">
        <f t="shared" si="234"/>
        <v>624.38</v>
      </c>
    </row>
    <row r="3341" spans="1:100" x14ac:dyDescent="0.2">
      <c r="A3341" s="9" t="s">
        <v>669</v>
      </c>
      <c r="B3341" s="2">
        <v>4</v>
      </c>
      <c r="C3341" s="3" t="s">
        <v>95</v>
      </c>
      <c r="D3341" s="3" t="s">
        <v>96</v>
      </c>
      <c r="E3341" s="2"/>
      <c r="F3341" s="2"/>
      <c r="G3341" s="2" t="s">
        <v>65</v>
      </c>
      <c r="H3341" s="2">
        <v>4</v>
      </c>
      <c r="I3341" s="20">
        <v>104.5</v>
      </c>
      <c r="J3341" s="20">
        <v>46744</v>
      </c>
      <c r="K3341" s="3">
        <v>0</v>
      </c>
      <c r="L3341" s="3" t="s">
        <v>3</v>
      </c>
      <c r="M3341" s="9" t="s">
        <v>0</v>
      </c>
      <c r="N3341" s="9">
        <v>74326719</v>
      </c>
      <c r="O3341" s="9" t="s">
        <v>670</v>
      </c>
      <c r="S3341" s="9" t="s">
        <v>158</v>
      </c>
      <c r="T3341" s="10" t="s">
        <v>65</v>
      </c>
      <c r="U3341" s="10">
        <v>4</v>
      </c>
      <c r="V3341" s="79">
        <v>104.5</v>
      </c>
      <c r="W3341" s="79" t="s">
        <v>710</v>
      </c>
      <c r="X3341" s="17">
        <v>45796</v>
      </c>
      <c r="Y3341" s="17">
        <v>45796</v>
      </c>
      <c r="Z3341" s="19" t="s">
        <v>772</v>
      </c>
      <c r="AA3341" s="207">
        <v>41122</v>
      </c>
      <c r="AB3341" s="9">
        <v>44</v>
      </c>
      <c r="AC3341" s="9">
        <v>39</v>
      </c>
      <c r="AD3341" s="17">
        <v>47076</v>
      </c>
      <c r="AE3341" s="9">
        <v>624.38</v>
      </c>
      <c r="AF3341" s="9"/>
      <c r="AL3341" s="9"/>
      <c r="AM3341" s="9"/>
      <c r="AN3341" s="9"/>
      <c r="AO3341" s="22"/>
      <c r="AP3341" s="22"/>
      <c r="AQ3341" s="22"/>
      <c r="AR3341" s="22"/>
      <c r="AS3341" s="22"/>
      <c r="AT3341" s="22"/>
      <c r="AU3341" s="22"/>
      <c r="AV3341" s="22"/>
      <c r="AW3341" s="9"/>
      <c r="BA3341" s="22"/>
      <c r="BB3341" s="22"/>
      <c r="BD3341" s="9"/>
      <c r="CS3341" s="11">
        <f t="shared" si="231"/>
        <v>0</v>
      </c>
      <c r="CT3341" s="22">
        <f t="shared" si="232"/>
        <v>0</v>
      </c>
      <c r="CU3341" s="22">
        <f t="shared" si="233"/>
        <v>0</v>
      </c>
      <c r="CV3341" s="26">
        <f t="shared" si="234"/>
        <v>624.38</v>
      </c>
    </row>
    <row r="3342" spans="1:100" x14ac:dyDescent="0.2">
      <c r="A3342" s="9" t="s">
        <v>669</v>
      </c>
      <c r="B3342" s="2">
        <v>4</v>
      </c>
      <c r="C3342" s="3" t="s">
        <v>95</v>
      </c>
      <c r="D3342" s="3" t="s">
        <v>96</v>
      </c>
      <c r="E3342" s="2"/>
      <c r="F3342" s="2"/>
      <c r="G3342" s="2" t="s">
        <v>65</v>
      </c>
      <c r="H3342" s="2">
        <v>4</v>
      </c>
      <c r="I3342" s="20">
        <v>104.5</v>
      </c>
      <c r="J3342" s="20">
        <v>46744</v>
      </c>
      <c r="K3342" s="3">
        <v>0</v>
      </c>
      <c r="L3342" s="3" t="s">
        <v>3</v>
      </c>
      <c r="M3342" s="9" t="s">
        <v>0</v>
      </c>
      <c r="N3342" s="9">
        <v>74326719</v>
      </c>
      <c r="O3342" s="9" t="s">
        <v>670</v>
      </c>
      <c r="S3342" s="9" t="s">
        <v>158</v>
      </c>
      <c r="T3342" s="10" t="s">
        <v>65</v>
      </c>
      <c r="U3342" s="10">
        <v>4</v>
      </c>
      <c r="V3342" s="79">
        <v>104.5</v>
      </c>
      <c r="W3342" s="79" t="s">
        <v>710</v>
      </c>
      <c r="X3342" s="17">
        <v>45796</v>
      </c>
      <c r="Y3342" s="17">
        <v>45796</v>
      </c>
      <c r="Z3342" s="19" t="s">
        <v>772</v>
      </c>
      <c r="AA3342" s="207">
        <v>41122</v>
      </c>
      <c r="AB3342" s="9">
        <v>44</v>
      </c>
      <c r="AC3342" s="9">
        <v>40</v>
      </c>
      <c r="AD3342" s="17">
        <v>47106</v>
      </c>
      <c r="AE3342" s="9">
        <v>624.38</v>
      </c>
      <c r="AF3342" s="9"/>
      <c r="AL3342" s="9"/>
      <c r="AM3342" s="9"/>
      <c r="AN3342" s="9"/>
      <c r="AO3342" s="22"/>
      <c r="AP3342" s="22"/>
      <c r="AQ3342" s="22"/>
      <c r="AR3342" s="22"/>
      <c r="AS3342" s="22"/>
      <c r="AT3342" s="22"/>
      <c r="AU3342" s="22"/>
      <c r="AV3342" s="22"/>
      <c r="AW3342" s="9"/>
      <c r="BA3342" s="22"/>
      <c r="BB3342" s="22"/>
      <c r="BD3342" s="9"/>
      <c r="CS3342" s="11">
        <f t="shared" si="231"/>
        <v>0</v>
      </c>
      <c r="CT3342" s="22">
        <f t="shared" si="232"/>
        <v>0</v>
      </c>
      <c r="CU3342" s="22">
        <f t="shared" si="233"/>
        <v>0</v>
      </c>
      <c r="CV3342" s="26">
        <f t="shared" si="234"/>
        <v>624.38</v>
      </c>
    </row>
    <row r="3343" spans="1:100" x14ac:dyDescent="0.2">
      <c r="A3343" s="9" t="s">
        <v>669</v>
      </c>
      <c r="B3343" s="2">
        <v>4</v>
      </c>
      <c r="C3343" s="3" t="s">
        <v>95</v>
      </c>
      <c r="D3343" s="3" t="s">
        <v>96</v>
      </c>
      <c r="E3343" s="2"/>
      <c r="F3343" s="2"/>
      <c r="G3343" s="2" t="s">
        <v>65</v>
      </c>
      <c r="H3343" s="2">
        <v>4</v>
      </c>
      <c r="I3343" s="20">
        <v>104.5</v>
      </c>
      <c r="J3343" s="20">
        <v>46744</v>
      </c>
      <c r="K3343" s="3">
        <v>0</v>
      </c>
      <c r="L3343" s="3" t="s">
        <v>3</v>
      </c>
      <c r="M3343" s="9" t="s">
        <v>0</v>
      </c>
      <c r="N3343" s="9">
        <v>74326719</v>
      </c>
      <c r="O3343" s="9" t="s">
        <v>670</v>
      </c>
      <c r="S3343" s="9" t="s">
        <v>158</v>
      </c>
      <c r="T3343" s="10" t="s">
        <v>65</v>
      </c>
      <c r="U3343" s="10">
        <v>4</v>
      </c>
      <c r="V3343" s="79">
        <v>104.5</v>
      </c>
      <c r="W3343" s="79" t="s">
        <v>710</v>
      </c>
      <c r="X3343" s="17">
        <v>45796</v>
      </c>
      <c r="Y3343" s="17">
        <v>45796</v>
      </c>
      <c r="Z3343" s="19" t="s">
        <v>772</v>
      </c>
      <c r="AA3343" s="207">
        <v>41122</v>
      </c>
      <c r="AB3343" s="9">
        <v>44</v>
      </c>
      <c r="AC3343" s="9">
        <v>41</v>
      </c>
      <c r="AD3343" s="17">
        <v>47137</v>
      </c>
      <c r="AE3343" s="9">
        <v>624.38</v>
      </c>
      <c r="AF3343" s="9"/>
      <c r="AL3343" s="9"/>
      <c r="AM3343" s="9"/>
      <c r="AN3343" s="9"/>
      <c r="AO3343" s="22"/>
      <c r="AP3343" s="22"/>
      <c r="AQ3343" s="22"/>
      <c r="AR3343" s="22"/>
      <c r="AS3343" s="22"/>
      <c r="AT3343" s="22"/>
      <c r="AU3343" s="22"/>
      <c r="AV3343" s="22"/>
      <c r="AW3343" s="9"/>
      <c r="BA3343" s="22"/>
      <c r="BB3343" s="22"/>
      <c r="BD3343" s="9"/>
      <c r="CS3343" s="11">
        <f t="shared" si="231"/>
        <v>0</v>
      </c>
      <c r="CT3343" s="22">
        <f t="shared" si="232"/>
        <v>0</v>
      </c>
      <c r="CU3343" s="22">
        <f t="shared" si="233"/>
        <v>0</v>
      </c>
      <c r="CV3343" s="26">
        <f t="shared" si="234"/>
        <v>624.38</v>
      </c>
    </row>
    <row r="3344" spans="1:100" x14ac:dyDescent="0.2">
      <c r="A3344" s="9" t="s">
        <v>669</v>
      </c>
      <c r="B3344" s="2">
        <v>4</v>
      </c>
      <c r="C3344" s="3" t="s">
        <v>95</v>
      </c>
      <c r="D3344" s="3" t="s">
        <v>96</v>
      </c>
      <c r="E3344" s="2"/>
      <c r="F3344" s="2"/>
      <c r="G3344" s="2" t="s">
        <v>65</v>
      </c>
      <c r="H3344" s="2">
        <v>4</v>
      </c>
      <c r="I3344" s="20">
        <v>104.5</v>
      </c>
      <c r="J3344" s="20">
        <v>46744</v>
      </c>
      <c r="K3344" s="3">
        <v>0</v>
      </c>
      <c r="L3344" s="3" t="s">
        <v>3</v>
      </c>
      <c r="M3344" s="9" t="s">
        <v>0</v>
      </c>
      <c r="N3344" s="9">
        <v>74326719</v>
      </c>
      <c r="O3344" s="9" t="s">
        <v>670</v>
      </c>
      <c r="S3344" s="9" t="s">
        <v>158</v>
      </c>
      <c r="T3344" s="10" t="s">
        <v>65</v>
      </c>
      <c r="U3344" s="10">
        <v>4</v>
      </c>
      <c r="V3344" s="79">
        <v>104.5</v>
      </c>
      <c r="W3344" s="79" t="s">
        <v>710</v>
      </c>
      <c r="X3344" s="17">
        <v>45796</v>
      </c>
      <c r="Y3344" s="17">
        <v>45796</v>
      </c>
      <c r="Z3344" s="19" t="s">
        <v>772</v>
      </c>
      <c r="AA3344" s="207">
        <v>41122</v>
      </c>
      <c r="AB3344" s="9">
        <v>44</v>
      </c>
      <c r="AC3344" s="9">
        <v>42</v>
      </c>
      <c r="AD3344" s="17">
        <v>47168</v>
      </c>
      <c r="AE3344" s="9">
        <v>624.38</v>
      </c>
      <c r="AF3344" s="9"/>
      <c r="AL3344" s="9"/>
      <c r="AM3344" s="9"/>
      <c r="AN3344" s="9"/>
      <c r="AO3344" s="22"/>
      <c r="AP3344" s="22"/>
      <c r="AQ3344" s="22"/>
      <c r="AR3344" s="22"/>
      <c r="AS3344" s="22"/>
      <c r="AT3344" s="22"/>
      <c r="AU3344" s="22"/>
      <c r="AV3344" s="22"/>
      <c r="AW3344" s="9"/>
      <c r="BA3344" s="22"/>
      <c r="BB3344" s="22"/>
      <c r="BD3344" s="9"/>
      <c r="CS3344" s="11">
        <f t="shared" si="231"/>
        <v>0</v>
      </c>
      <c r="CT3344" s="22">
        <f t="shared" si="232"/>
        <v>0</v>
      </c>
      <c r="CU3344" s="22">
        <f t="shared" si="233"/>
        <v>0</v>
      </c>
      <c r="CV3344" s="26">
        <f t="shared" si="234"/>
        <v>624.38</v>
      </c>
    </row>
    <row r="3345" spans="1:101" x14ac:dyDescent="0.2">
      <c r="A3345" s="9" t="s">
        <v>669</v>
      </c>
      <c r="B3345" s="2">
        <v>4</v>
      </c>
      <c r="C3345" s="3" t="s">
        <v>95</v>
      </c>
      <c r="D3345" s="3" t="s">
        <v>96</v>
      </c>
      <c r="E3345" s="2"/>
      <c r="F3345" s="2"/>
      <c r="G3345" s="2" t="s">
        <v>65</v>
      </c>
      <c r="H3345" s="2">
        <v>4</v>
      </c>
      <c r="I3345" s="20">
        <v>104.5</v>
      </c>
      <c r="J3345" s="20">
        <v>46744</v>
      </c>
      <c r="K3345" s="3">
        <v>0</v>
      </c>
      <c r="L3345" s="3" t="s">
        <v>3</v>
      </c>
      <c r="M3345" s="9" t="s">
        <v>0</v>
      </c>
      <c r="N3345" s="9">
        <v>74326719</v>
      </c>
      <c r="O3345" s="9" t="s">
        <v>670</v>
      </c>
      <c r="S3345" s="9" t="s">
        <v>158</v>
      </c>
      <c r="T3345" s="10" t="s">
        <v>65</v>
      </c>
      <c r="U3345" s="10">
        <v>4</v>
      </c>
      <c r="V3345" s="79">
        <v>104.5</v>
      </c>
      <c r="W3345" s="79" t="s">
        <v>710</v>
      </c>
      <c r="X3345" s="17">
        <v>45796</v>
      </c>
      <c r="Y3345" s="17">
        <v>45796</v>
      </c>
      <c r="Z3345" s="19" t="s">
        <v>772</v>
      </c>
      <c r="AA3345" s="207">
        <v>41122</v>
      </c>
      <c r="AB3345" s="9">
        <v>44</v>
      </c>
      <c r="AC3345" s="9">
        <v>43</v>
      </c>
      <c r="AD3345" s="17">
        <v>47196</v>
      </c>
      <c r="AE3345" s="9">
        <v>624.38</v>
      </c>
      <c r="AF3345" s="9"/>
      <c r="AL3345" s="9"/>
      <c r="AM3345" s="9"/>
      <c r="AN3345" s="9"/>
      <c r="AO3345" s="22"/>
      <c r="AP3345" s="22"/>
      <c r="AQ3345" s="22"/>
      <c r="AR3345" s="22"/>
      <c r="AS3345" s="22"/>
      <c r="AT3345" s="22"/>
      <c r="AU3345" s="22"/>
      <c r="AV3345" s="22"/>
      <c r="AW3345" s="9"/>
      <c r="BA3345" s="22"/>
      <c r="BB3345" s="22"/>
      <c r="BD3345" s="9"/>
      <c r="CS3345" s="11">
        <f t="shared" si="231"/>
        <v>0</v>
      </c>
      <c r="CT3345" s="22">
        <f t="shared" si="232"/>
        <v>0</v>
      </c>
      <c r="CU3345" s="22">
        <f t="shared" si="233"/>
        <v>0</v>
      </c>
      <c r="CV3345" s="26">
        <f t="shared" si="234"/>
        <v>624.38</v>
      </c>
    </row>
    <row r="3346" spans="1:101" x14ac:dyDescent="0.2">
      <c r="A3346" s="9" t="s">
        <v>669</v>
      </c>
      <c r="B3346" s="2">
        <v>4</v>
      </c>
      <c r="C3346" s="3" t="s">
        <v>95</v>
      </c>
      <c r="D3346" s="3" t="s">
        <v>96</v>
      </c>
      <c r="E3346" s="2"/>
      <c r="F3346" s="2"/>
      <c r="G3346" s="2" t="s">
        <v>65</v>
      </c>
      <c r="H3346" s="2">
        <v>4</v>
      </c>
      <c r="I3346" s="20">
        <v>104.5</v>
      </c>
      <c r="J3346" s="20">
        <v>46744</v>
      </c>
      <c r="K3346" s="3">
        <v>0</v>
      </c>
      <c r="L3346" s="3" t="s">
        <v>3</v>
      </c>
      <c r="M3346" s="9" t="s">
        <v>0</v>
      </c>
      <c r="N3346" s="9">
        <v>74326719</v>
      </c>
      <c r="O3346" s="9" t="s">
        <v>670</v>
      </c>
      <c r="S3346" s="9" t="s">
        <v>158</v>
      </c>
      <c r="T3346" s="10" t="s">
        <v>65</v>
      </c>
      <c r="U3346" s="10">
        <v>4</v>
      </c>
      <c r="V3346" s="79">
        <v>104.5</v>
      </c>
      <c r="W3346" s="79" t="s">
        <v>710</v>
      </c>
      <c r="X3346" s="17">
        <v>45796</v>
      </c>
      <c r="Y3346" s="17">
        <v>45796</v>
      </c>
      <c r="Z3346" s="19" t="s">
        <v>772</v>
      </c>
      <c r="AA3346" s="207">
        <v>41122</v>
      </c>
      <c r="AB3346" s="9">
        <v>44</v>
      </c>
      <c r="AC3346" s="9">
        <v>44</v>
      </c>
      <c r="AD3346" s="17">
        <v>47227</v>
      </c>
      <c r="AE3346" s="9">
        <v>624.38</v>
      </c>
      <c r="AF3346" s="9"/>
      <c r="AL3346" s="9"/>
      <c r="AM3346" s="9"/>
      <c r="AN3346" s="9"/>
      <c r="AO3346" s="22"/>
      <c r="AP3346" s="22"/>
      <c r="AQ3346" s="22"/>
      <c r="AR3346" s="22"/>
      <c r="AS3346" s="22"/>
      <c r="AT3346" s="22"/>
      <c r="AU3346" s="22"/>
      <c r="AV3346" s="22"/>
      <c r="AW3346" s="9"/>
      <c r="BA3346" s="22"/>
      <c r="BB3346" s="22"/>
      <c r="BD3346" s="9"/>
      <c r="CS3346" s="11">
        <f t="shared" si="231"/>
        <v>0</v>
      </c>
      <c r="CT3346" s="22">
        <f t="shared" si="232"/>
        <v>0</v>
      </c>
      <c r="CU3346" s="22">
        <f t="shared" si="233"/>
        <v>0</v>
      </c>
      <c r="CV3346" s="26">
        <f t="shared" si="234"/>
        <v>624.38</v>
      </c>
    </row>
    <row r="3347" spans="1:101" x14ac:dyDescent="0.2">
      <c r="A3347" s="9" t="s">
        <v>672</v>
      </c>
      <c r="B3347" s="2">
        <v>36</v>
      </c>
      <c r="C3347" s="3" t="s">
        <v>95</v>
      </c>
      <c r="D3347" s="3" t="s">
        <v>96</v>
      </c>
      <c r="E3347" s="2"/>
      <c r="F3347" s="2"/>
      <c r="G3347" s="2" t="s">
        <v>69</v>
      </c>
      <c r="H3347" s="2">
        <v>7</v>
      </c>
      <c r="I3347" s="20">
        <v>120</v>
      </c>
      <c r="J3347" s="20">
        <v>66666</v>
      </c>
      <c r="K3347" s="3">
        <v>0</v>
      </c>
      <c r="L3347" s="3" t="s">
        <v>97</v>
      </c>
      <c r="M3347" s="9" t="s">
        <v>0</v>
      </c>
      <c r="N3347" s="9">
        <v>72787212</v>
      </c>
      <c r="O3347" s="9" t="s">
        <v>673</v>
      </c>
      <c r="S3347" s="9" t="s">
        <v>158</v>
      </c>
      <c r="T3347" s="10" t="s">
        <v>69</v>
      </c>
      <c r="U3347" s="10">
        <v>7</v>
      </c>
      <c r="V3347" s="10">
        <v>120</v>
      </c>
      <c r="W3347" s="10" t="s">
        <v>710</v>
      </c>
      <c r="X3347" s="17">
        <v>45785</v>
      </c>
      <c r="Y3347" s="17">
        <v>45789</v>
      </c>
      <c r="Z3347" s="19" t="s">
        <v>772</v>
      </c>
      <c r="AA3347" s="207">
        <v>39224</v>
      </c>
      <c r="AB3347" s="9">
        <v>48</v>
      </c>
      <c r="AC3347" s="9">
        <v>0</v>
      </c>
      <c r="AD3347" s="17">
        <v>45808</v>
      </c>
      <c r="AE3347" s="54">
        <v>2500</v>
      </c>
      <c r="AF3347" s="54"/>
      <c r="AG3347" s="32" t="s">
        <v>134</v>
      </c>
      <c r="AH3347" s="31">
        <v>45807</v>
      </c>
      <c r="AI3347" s="31"/>
      <c r="AJ3347" s="31"/>
      <c r="AK3347" s="32" t="s">
        <v>674</v>
      </c>
      <c r="AL3347" s="35">
        <v>2500</v>
      </c>
      <c r="AM3347" s="35"/>
      <c r="AN3347" s="35" t="s">
        <v>810</v>
      </c>
      <c r="AO3347" s="35"/>
      <c r="AP3347" s="35"/>
      <c r="AQ3347" s="35"/>
      <c r="AR3347" s="35"/>
      <c r="AS3347" s="22"/>
      <c r="AT3347" s="22"/>
      <c r="AU3347" s="22"/>
      <c r="AV3347" s="22"/>
      <c r="AW3347" s="42">
        <v>45807</v>
      </c>
      <c r="AX3347" s="41">
        <v>507612</v>
      </c>
      <c r="AY3347" s="40">
        <v>3650</v>
      </c>
      <c r="AZ3347" s="36">
        <v>3.65</v>
      </c>
      <c r="BA3347" s="40">
        <f>+AY3347/AZ3347</f>
        <v>1000</v>
      </c>
      <c r="BB3347" s="22"/>
      <c r="BC3347" s="42">
        <v>45807</v>
      </c>
      <c r="BD3347" s="41">
        <v>4240</v>
      </c>
      <c r="BE3347" s="36"/>
      <c r="BF3347" s="36"/>
      <c r="BG3347" s="93">
        <v>1500</v>
      </c>
      <c r="BH3347" s="93"/>
      <c r="CS3347" s="11">
        <f t="shared" si="231"/>
        <v>2500</v>
      </c>
      <c r="CT3347" s="22">
        <f t="shared" si="232"/>
        <v>2500</v>
      </c>
      <c r="CU3347" s="22">
        <f t="shared" si="233"/>
        <v>0</v>
      </c>
      <c r="CV3347" s="26">
        <f t="shared" si="234"/>
        <v>0</v>
      </c>
      <c r="CW3347" s="9" t="s">
        <v>820</v>
      </c>
    </row>
    <row r="3348" spans="1:101" x14ac:dyDescent="0.2">
      <c r="A3348" s="9" t="s">
        <v>672</v>
      </c>
      <c r="B3348" s="2">
        <v>36</v>
      </c>
      <c r="C3348" s="3" t="s">
        <v>95</v>
      </c>
      <c r="D3348" s="3" t="s">
        <v>96</v>
      </c>
      <c r="E3348" s="2"/>
      <c r="F3348" s="2"/>
      <c r="G3348" s="2" t="s">
        <v>69</v>
      </c>
      <c r="H3348" s="2">
        <v>7</v>
      </c>
      <c r="I3348" s="20">
        <v>120</v>
      </c>
      <c r="J3348" s="20">
        <v>66666</v>
      </c>
      <c r="K3348" s="3">
        <v>0</v>
      </c>
      <c r="L3348" s="3" t="s">
        <v>97</v>
      </c>
      <c r="M3348" s="9" t="s">
        <v>0</v>
      </c>
      <c r="N3348" s="9">
        <v>72787212</v>
      </c>
      <c r="O3348" s="9" t="s">
        <v>673</v>
      </c>
      <c r="S3348" s="9" t="s">
        <v>158</v>
      </c>
      <c r="T3348" s="10" t="s">
        <v>69</v>
      </c>
      <c r="U3348" s="10">
        <v>7</v>
      </c>
      <c r="V3348" s="10">
        <v>120</v>
      </c>
      <c r="W3348" s="10" t="s">
        <v>710</v>
      </c>
      <c r="X3348" s="17">
        <v>45785</v>
      </c>
      <c r="Y3348" s="17">
        <v>45789</v>
      </c>
      <c r="Z3348" s="19" t="s">
        <v>772</v>
      </c>
      <c r="AA3348" s="207">
        <v>39224</v>
      </c>
      <c r="AB3348" s="9">
        <v>48</v>
      </c>
      <c r="AC3348" s="9">
        <v>0</v>
      </c>
      <c r="AD3348" s="17">
        <v>45808</v>
      </c>
      <c r="AE3348" s="54">
        <v>100</v>
      </c>
      <c r="AF3348" s="54"/>
      <c r="AG3348" s="32" t="s">
        <v>134</v>
      </c>
      <c r="AH3348" s="31">
        <v>45807</v>
      </c>
      <c r="AI3348" s="31"/>
      <c r="AJ3348" s="31"/>
      <c r="AK3348" s="32" t="s">
        <v>675</v>
      </c>
      <c r="AL3348" s="35">
        <v>100</v>
      </c>
      <c r="AM3348" s="35"/>
      <c r="AN3348" s="35" t="s">
        <v>811</v>
      </c>
      <c r="AO3348" s="35"/>
      <c r="AP3348" s="35"/>
      <c r="AQ3348" s="35"/>
      <c r="AR3348" s="35"/>
      <c r="AS3348" s="22"/>
      <c r="AT3348" s="22"/>
      <c r="AU3348" s="22"/>
      <c r="AV3348" s="22"/>
      <c r="AW3348" s="42">
        <v>45787</v>
      </c>
      <c r="AX3348" s="41">
        <v>4146</v>
      </c>
      <c r="AY3348" s="36"/>
      <c r="AZ3348" s="36"/>
      <c r="BA3348" s="40">
        <v>100</v>
      </c>
      <c r="BB3348" s="22"/>
      <c r="BD3348" s="9"/>
      <c r="CS3348" s="11">
        <f t="shared" si="231"/>
        <v>100</v>
      </c>
      <c r="CT3348" s="22">
        <f t="shared" si="232"/>
        <v>100</v>
      </c>
      <c r="CU3348" s="22">
        <f t="shared" si="233"/>
        <v>0</v>
      </c>
      <c r="CV3348" s="26">
        <f t="shared" si="234"/>
        <v>0</v>
      </c>
      <c r="CW3348" s="9" t="s">
        <v>820</v>
      </c>
    </row>
    <row r="3349" spans="1:101" x14ac:dyDescent="0.2">
      <c r="A3349" s="9" t="s">
        <v>672</v>
      </c>
      <c r="B3349" s="2">
        <v>36</v>
      </c>
      <c r="C3349" s="3" t="s">
        <v>95</v>
      </c>
      <c r="D3349" s="3" t="s">
        <v>96</v>
      </c>
      <c r="E3349" s="2"/>
      <c r="F3349" s="2"/>
      <c r="G3349" s="2" t="s">
        <v>69</v>
      </c>
      <c r="H3349" s="2">
        <v>7</v>
      </c>
      <c r="I3349" s="20">
        <v>120</v>
      </c>
      <c r="J3349" s="20">
        <v>66666</v>
      </c>
      <c r="K3349" s="3">
        <v>0</v>
      </c>
      <c r="L3349" s="3" t="s">
        <v>97</v>
      </c>
      <c r="M3349" s="9" t="s">
        <v>0</v>
      </c>
      <c r="N3349" s="9">
        <v>72787212</v>
      </c>
      <c r="O3349" s="9" t="s">
        <v>673</v>
      </c>
      <c r="S3349" s="9" t="s">
        <v>158</v>
      </c>
      <c r="T3349" s="10" t="s">
        <v>69</v>
      </c>
      <c r="U3349" s="10">
        <v>7</v>
      </c>
      <c r="V3349" s="10">
        <v>120</v>
      </c>
      <c r="W3349" s="10" t="s">
        <v>710</v>
      </c>
      <c r="X3349" s="17">
        <v>45785</v>
      </c>
      <c r="Y3349" s="17">
        <v>45789</v>
      </c>
      <c r="Z3349" s="19" t="s">
        <v>772</v>
      </c>
      <c r="AA3349" s="207">
        <v>39224</v>
      </c>
      <c r="AB3349" s="9">
        <v>48</v>
      </c>
      <c r="AC3349" s="9">
        <v>0</v>
      </c>
      <c r="AD3349" s="17">
        <v>45808</v>
      </c>
      <c r="AE3349" s="54">
        <v>1950</v>
      </c>
      <c r="AF3349" s="54"/>
      <c r="AG3349" s="32" t="s">
        <v>134</v>
      </c>
      <c r="AH3349" s="31">
        <v>45807</v>
      </c>
      <c r="AI3349" s="31"/>
      <c r="AJ3349" s="31"/>
      <c r="AK3349" s="32" t="s">
        <v>677</v>
      </c>
      <c r="AL3349" s="35">
        <v>1950</v>
      </c>
      <c r="AM3349" s="35"/>
      <c r="AN3349" s="35" t="s">
        <v>812</v>
      </c>
      <c r="AO3349" s="35"/>
      <c r="AP3349" s="35"/>
      <c r="AQ3349" s="35"/>
      <c r="AR3349" s="35"/>
      <c r="AS3349" s="22"/>
      <c r="AT3349" s="22"/>
      <c r="AU3349" s="22"/>
      <c r="AV3349" s="22"/>
      <c r="AW3349" s="42">
        <v>45790</v>
      </c>
      <c r="AX3349" s="41">
        <v>4156</v>
      </c>
      <c r="AY3349" s="36"/>
      <c r="AZ3349" s="36"/>
      <c r="BA3349" s="40">
        <v>1950</v>
      </c>
      <c r="BB3349" s="22"/>
      <c r="BD3349" s="9"/>
      <c r="CS3349" s="11">
        <f t="shared" si="231"/>
        <v>1950</v>
      </c>
      <c r="CT3349" s="22">
        <f t="shared" si="232"/>
        <v>1950</v>
      </c>
      <c r="CU3349" s="22">
        <f t="shared" si="233"/>
        <v>0</v>
      </c>
      <c r="CV3349" s="26">
        <f t="shared" si="234"/>
        <v>0</v>
      </c>
      <c r="CW3349" s="9" t="s">
        <v>820</v>
      </c>
    </row>
    <row r="3350" spans="1:101" x14ac:dyDescent="0.2">
      <c r="A3350" s="9" t="s">
        <v>672</v>
      </c>
      <c r="B3350" s="2">
        <v>36</v>
      </c>
      <c r="C3350" s="3" t="s">
        <v>95</v>
      </c>
      <c r="D3350" s="3" t="s">
        <v>96</v>
      </c>
      <c r="E3350" s="2"/>
      <c r="F3350" s="2"/>
      <c r="G3350" s="2" t="s">
        <v>69</v>
      </c>
      <c r="H3350" s="2">
        <v>7</v>
      </c>
      <c r="I3350" s="20">
        <v>120</v>
      </c>
      <c r="J3350" s="20">
        <v>66666</v>
      </c>
      <c r="K3350" s="3">
        <v>0</v>
      </c>
      <c r="L3350" s="3" t="s">
        <v>97</v>
      </c>
      <c r="M3350" s="9" t="s">
        <v>0</v>
      </c>
      <c r="N3350" s="9">
        <v>72787212</v>
      </c>
      <c r="O3350" s="9" t="s">
        <v>673</v>
      </c>
      <c r="S3350" s="9" t="s">
        <v>158</v>
      </c>
      <c r="T3350" s="10" t="s">
        <v>69</v>
      </c>
      <c r="U3350" s="10">
        <v>7</v>
      </c>
      <c r="V3350" s="10">
        <v>120</v>
      </c>
      <c r="W3350" s="10" t="s">
        <v>710</v>
      </c>
      <c r="X3350" s="17">
        <v>45785</v>
      </c>
      <c r="Y3350" s="17">
        <v>45789</v>
      </c>
      <c r="Z3350" s="19" t="s">
        <v>772</v>
      </c>
      <c r="AA3350" s="207">
        <v>39224</v>
      </c>
      <c r="AB3350" s="9">
        <v>48</v>
      </c>
      <c r="AC3350" s="9">
        <v>0</v>
      </c>
      <c r="AD3350" s="17">
        <v>45808</v>
      </c>
      <c r="AE3350" s="54">
        <v>1000</v>
      </c>
      <c r="AF3350" s="54"/>
      <c r="AG3350" s="32" t="s">
        <v>134</v>
      </c>
      <c r="AH3350" s="31">
        <v>45807</v>
      </c>
      <c r="AI3350" s="31"/>
      <c r="AJ3350" s="31"/>
      <c r="AK3350" s="32" t="s">
        <v>676</v>
      </c>
      <c r="AL3350" s="35">
        <v>1000</v>
      </c>
      <c r="AM3350" s="35"/>
      <c r="AN3350" s="35" t="s">
        <v>813</v>
      </c>
      <c r="AO3350" s="35"/>
      <c r="AP3350" s="35"/>
      <c r="AQ3350" s="35"/>
      <c r="AR3350" s="35"/>
      <c r="AS3350" s="22"/>
      <c r="AT3350" s="22"/>
      <c r="AU3350" s="22"/>
      <c r="AV3350" s="22"/>
      <c r="AW3350" s="70">
        <v>45789</v>
      </c>
      <c r="AX3350" s="69" t="s">
        <v>821</v>
      </c>
      <c r="AY3350" s="27"/>
      <c r="AZ3350" s="27"/>
      <c r="BA3350" s="28">
        <v>1000</v>
      </c>
      <c r="BB3350" s="22" t="s">
        <v>822</v>
      </c>
      <c r="BD3350" s="9"/>
      <c r="CS3350" s="11">
        <f t="shared" si="231"/>
        <v>1000</v>
      </c>
      <c r="CT3350" s="22">
        <f t="shared" si="232"/>
        <v>1000</v>
      </c>
      <c r="CU3350" s="22">
        <f t="shared" si="233"/>
        <v>0</v>
      </c>
      <c r="CV3350" s="26">
        <f t="shared" si="234"/>
        <v>0</v>
      </c>
      <c r="CW3350" s="9" t="s">
        <v>820</v>
      </c>
    </row>
    <row r="3351" spans="1:101" x14ac:dyDescent="0.2">
      <c r="A3351" s="9" t="s">
        <v>672</v>
      </c>
      <c r="B3351" s="2">
        <v>36</v>
      </c>
      <c r="C3351" s="3" t="s">
        <v>95</v>
      </c>
      <c r="D3351" s="3" t="s">
        <v>96</v>
      </c>
      <c r="E3351" s="2"/>
      <c r="F3351" s="2"/>
      <c r="G3351" s="2" t="s">
        <v>69</v>
      </c>
      <c r="H3351" s="2">
        <v>7</v>
      </c>
      <c r="I3351" s="20">
        <v>120</v>
      </c>
      <c r="J3351" s="20">
        <v>66666</v>
      </c>
      <c r="K3351" s="3">
        <v>0</v>
      </c>
      <c r="L3351" s="3" t="s">
        <v>97</v>
      </c>
      <c r="M3351" s="9" t="s">
        <v>0</v>
      </c>
      <c r="N3351" s="9">
        <v>72787212</v>
      </c>
      <c r="O3351" s="9" t="s">
        <v>673</v>
      </c>
      <c r="S3351" s="9" t="s">
        <v>158</v>
      </c>
      <c r="T3351" s="10" t="s">
        <v>69</v>
      </c>
      <c r="U3351" s="10">
        <v>7</v>
      </c>
      <c r="V3351" s="10">
        <v>120</v>
      </c>
      <c r="W3351" s="10" t="s">
        <v>710</v>
      </c>
      <c r="X3351" s="17">
        <v>45785</v>
      </c>
      <c r="Y3351" s="17">
        <v>45789</v>
      </c>
      <c r="Z3351" s="19" t="s">
        <v>772</v>
      </c>
      <c r="AA3351" s="207">
        <v>39224</v>
      </c>
      <c r="AB3351" s="9">
        <v>48</v>
      </c>
      <c r="AC3351" s="9">
        <v>0</v>
      </c>
      <c r="AD3351" s="17">
        <v>45808</v>
      </c>
      <c r="AE3351" s="54">
        <v>1000</v>
      </c>
      <c r="AF3351" s="54"/>
      <c r="AG3351" s="32" t="s">
        <v>134</v>
      </c>
      <c r="AH3351" s="31">
        <v>45807</v>
      </c>
      <c r="AI3351" s="31"/>
      <c r="AJ3351" s="31"/>
      <c r="AK3351" s="32" t="s">
        <v>678</v>
      </c>
      <c r="AL3351" s="35">
        <v>1000</v>
      </c>
      <c r="AM3351" s="35"/>
      <c r="AN3351" s="35" t="s">
        <v>814</v>
      </c>
      <c r="AO3351" s="35"/>
      <c r="AP3351" s="35"/>
      <c r="AQ3351" s="35"/>
      <c r="AR3351" s="35"/>
      <c r="AS3351" s="22"/>
      <c r="AT3351" s="22"/>
      <c r="AU3351" s="22"/>
      <c r="AV3351" s="22"/>
      <c r="AW3351" s="42">
        <v>45807</v>
      </c>
      <c r="AX3351" s="41">
        <v>596141</v>
      </c>
      <c r="AY3351" s="40">
        <v>3650</v>
      </c>
      <c r="AZ3351" s="36">
        <v>3.65</v>
      </c>
      <c r="BA3351" s="40">
        <f>+AY3351/AZ3351</f>
        <v>1000</v>
      </c>
      <c r="BB3351" s="22"/>
      <c r="BD3351" s="9"/>
      <c r="CS3351" s="11">
        <f t="shared" si="231"/>
        <v>1000</v>
      </c>
      <c r="CT3351" s="22">
        <f t="shared" si="232"/>
        <v>1000</v>
      </c>
      <c r="CU3351" s="22">
        <f t="shared" si="233"/>
        <v>0</v>
      </c>
      <c r="CV3351" s="26">
        <f t="shared" si="234"/>
        <v>0</v>
      </c>
    </row>
    <row r="3352" spans="1:101" x14ac:dyDescent="0.2">
      <c r="A3352" s="9" t="s">
        <v>672</v>
      </c>
      <c r="B3352" s="2">
        <v>36</v>
      </c>
      <c r="C3352" s="3" t="s">
        <v>95</v>
      </c>
      <c r="D3352" s="3" t="s">
        <v>96</v>
      </c>
      <c r="E3352" s="2"/>
      <c r="F3352" s="2"/>
      <c r="G3352" s="2" t="s">
        <v>69</v>
      </c>
      <c r="H3352" s="2">
        <v>7</v>
      </c>
      <c r="I3352" s="20">
        <v>120</v>
      </c>
      <c r="J3352" s="20">
        <v>66666</v>
      </c>
      <c r="K3352" s="3">
        <v>0</v>
      </c>
      <c r="L3352" s="3" t="s">
        <v>97</v>
      </c>
      <c r="M3352" s="9" t="s">
        <v>0</v>
      </c>
      <c r="N3352" s="9">
        <v>72787212</v>
      </c>
      <c r="O3352" s="9" t="s">
        <v>673</v>
      </c>
      <c r="S3352" s="9" t="s">
        <v>158</v>
      </c>
      <c r="T3352" s="10" t="s">
        <v>69</v>
      </c>
      <c r="U3352" s="10">
        <v>7</v>
      </c>
      <c r="V3352" s="10">
        <v>120</v>
      </c>
      <c r="W3352" s="10" t="s">
        <v>710</v>
      </c>
      <c r="X3352" s="17">
        <v>45785</v>
      </c>
      <c r="Y3352" s="17">
        <v>45789</v>
      </c>
      <c r="Z3352" s="19" t="s">
        <v>772</v>
      </c>
      <c r="AA3352" s="207">
        <v>39224</v>
      </c>
      <c r="AB3352" s="9">
        <v>48</v>
      </c>
      <c r="AC3352" s="9">
        <v>0</v>
      </c>
      <c r="AD3352" s="17">
        <v>45808</v>
      </c>
      <c r="AE3352" s="54">
        <v>1500</v>
      </c>
      <c r="AF3352" s="54"/>
      <c r="AG3352" s="32" t="s">
        <v>134</v>
      </c>
      <c r="AH3352" s="31">
        <v>45808</v>
      </c>
      <c r="AI3352" s="31"/>
      <c r="AJ3352" s="31"/>
      <c r="AK3352" s="32" t="s">
        <v>679</v>
      </c>
      <c r="AL3352" s="35">
        <v>1500</v>
      </c>
      <c r="AM3352" s="35"/>
      <c r="AN3352" s="35" t="s">
        <v>815</v>
      </c>
      <c r="AO3352" s="35"/>
      <c r="AP3352" s="35"/>
      <c r="AQ3352" s="35"/>
      <c r="AR3352" s="35"/>
      <c r="AS3352" s="22"/>
      <c r="AT3352" s="22"/>
      <c r="AU3352" s="22"/>
      <c r="AV3352" s="22"/>
      <c r="AW3352" s="42">
        <v>45809</v>
      </c>
      <c r="AX3352" s="41">
        <v>4248</v>
      </c>
      <c r="AY3352" s="36"/>
      <c r="AZ3352" s="36"/>
      <c r="BA3352" s="40">
        <v>1500</v>
      </c>
      <c r="BB3352" s="22"/>
      <c r="BD3352" s="9"/>
      <c r="CS3352" s="11">
        <f t="shared" si="231"/>
        <v>1500</v>
      </c>
      <c r="CT3352" s="22">
        <f t="shared" si="232"/>
        <v>1500</v>
      </c>
      <c r="CU3352" s="22">
        <f t="shared" si="233"/>
        <v>0</v>
      </c>
      <c r="CV3352" s="26">
        <f t="shared" si="234"/>
        <v>0</v>
      </c>
    </row>
    <row r="3353" spans="1:101" x14ac:dyDescent="0.2">
      <c r="A3353" s="9" t="s">
        <v>672</v>
      </c>
      <c r="B3353" s="2">
        <v>36</v>
      </c>
      <c r="C3353" s="3" t="s">
        <v>95</v>
      </c>
      <c r="D3353" s="3" t="s">
        <v>96</v>
      </c>
      <c r="E3353" s="2"/>
      <c r="F3353" s="2"/>
      <c r="G3353" s="2" t="s">
        <v>69</v>
      </c>
      <c r="H3353" s="2">
        <v>7</v>
      </c>
      <c r="I3353" s="20">
        <v>120</v>
      </c>
      <c r="J3353" s="20">
        <v>66666</v>
      </c>
      <c r="K3353" s="3">
        <v>0</v>
      </c>
      <c r="L3353" s="3" t="s">
        <v>97</v>
      </c>
      <c r="M3353" s="9" t="s">
        <v>0</v>
      </c>
      <c r="N3353" s="9">
        <v>72787212</v>
      </c>
      <c r="O3353" s="9" t="s">
        <v>673</v>
      </c>
      <c r="S3353" s="9" t="s">
        <v>158</v>
      </c>
      <c r="T3353" s="10" t="s">
        <v>69</v>
      </c>
      <c r="U3353" s="10">
        <v>7</v>
      </c>
      <c r="V3353" s="10">
        <v>120</v>
      </c>
      <c r="W3353" s="10" t="s">
        <v>710</v>
      </c>
      <c r="X3353" s="17">
        <v>45785</v>
      </c>
      <c r="Y3353" s="17">
        <v>45789</v>
      </c>
      <c r="Z3353" s="19" t="s">
        <v>772</v>
      </c>
      <c r="AA3353" s="207">
        <v>39224</v>
      </c>
      <c r="AB3353" s="9">
        <v>48</v>
      </c>
      <c r="AC3353" s="9">
        <v>0</v>
      </c>
      <c r="AD3353" s="17">
        <v>45808</v>
      </c>
      <c r="AE3353" s="54">
        <v>1950</v>
      </c>
      <c r="AF3353" s="54"/>
      <c r="AG3353" s="9" t="s">
        <v>134</v>
      </c>
      <c r="AH3353" s="17">
        <v>45811</v>
      </c>
      <c r="AI3353" s="17"/>
      <c r="AJ3353" s="17"/>
      <c r="AK3353" s="9" t="s">
        <v>680</v>
      </c>
      <c r="AL3353" s="22">
        <v>1950</v>
      </c>
      <c r="AM3353" s="22"/>
      <c r="AN3353" s="22" t="s">
        <v>816</v>
      </c>
      <c r="AO3353" s="22"/>
      <c r="AP3353" s="22"/>
      <c r="AQ3353" s="22"/>
      <c r="AR3353" s="22"/>
      <c r="AS3353" s="22"/>
      <c r="AT3353" s="22"/>
      <c r="AU3353" s="22"/>
      <c r="AV3353" s="22"/>
      <c r="AW3353" s="42">
        <v>45790</v>
      </c>
      <c r="AX3353" s="41">
        <v>4154</v>
      </c>
      <c r="AY3353" s="36"/>
      <c r="AZ3353" s="36"/>
      <c r="BA3353" s="93">
        <v>1950</v>
      </c>
      <c r="BB3353" s="22"/>
      <c r="BD3353" s="9"/>
      <c r="CS3353" s="11">
        <f t="shared" si="231"/>
        <v>1950</v>
      </c>
      <c r="CT3353" s="22">
        <f t="shared" si="232"/>
        <v>1950</v>
      </c>
      <c r="CU3353" s="22">
        <f t="shared" si="233"/>
        <v>0</v>
      </c>
      <c r="CV3353" s="26">
        <f t="shared" si="234"/>
        <v>0</v>
      </c>
    </row>
    <row r="3354" spans="1:101" x14ac:dyDescent="0.2">
      <c r="A3354" s="9" t="s">
        <v>672</v>
      </c>
      <c r="B3354" s="2">
        <v>36</v>
      </c>
      <c r="C3354" s="3" t="s">
        <v>95</v>
      </c>
      <c r="D3354" s="3" t="s">
        <v>96</v>
      </c>
      <c r="E3354" s="2"/>
      <c r="F3354" s="2"/>
      <c r="G3354" s="2" t="s">
        <v>69</v>
      </c>
      <c r="H3354" s="2">
        <v>7</v>
      </c>
      <c r="I3354" s="20">
        <v>120</v>
      </c>
      <c r="J3354" s="20">
        <v>66666</v>
      </c>
      <c r="K3354" s="3">
        <v>0</v>
      </c>
      <c r="L3354" s="3" t="s">
        <v>97</v>
      </c>
      <c r="M3354" s="9" t="s">
        <v>0</v>
      </c>
      <c r="N3354" s="9">
        <v>72787212</v>
      </c>
      <c r="O3354" s="9" t="s">
        <v>673</v>
      </c>
      <c r="S3354" s="9" t="s">
        <v>158</v>
      </c>
      <c r="T3354" s="10" t="s">
        <v>69</v>
      </c>
      <c r="U3354" s="10">
        <v>7</v>
      </c>
      <c r="V3354" s="10">
        <v>120</v>
      </c>
      <c r="W3354" s="10" t="s">
        <v>710</v>
      </c>
      <c r="X3354" s="17">
        <v>45785</v>
      </c>
      <c r="Y3354" s="17">
        <v>45789</v>
      </c>
      <c r="Z3354" s="19" t="s">
        <v>772</v>
      </c>
      <c r="AA3354" s="207">
        <v>39224</v>
      </c>
      <c r="AB3354" s="9">
        <v>48</v>
      </c>
      <c r="AC3354" s="9">
        <v>1</v>
      </c>
      <c r="AD3354" s="17">
        <v>45843</v>
      </c>
      <c r="AE3354" s="54">
        <v>500</v>
      </c>
      <c r="AF3354" s="54"/>
      <c r="AG3354" s="9" t="s">
        <v>134</v>
      </c>
      <c r="AH3354" s="17">
        <v>45833</v>
      </c>
      <c r="AI3354" s="17"/>
      <c r="AJ3354" s="17"/>
      <c r="AK3354" s="9" t="s">
        <v>807</v>
      </c>
      <c r="AL3354" s="22">
        <v>500</v>
      </c>
      <c r="AM3354" s="22"/>
      <c r="AN3354" s="22" t="s">
        <v>817</v>
      </c>
      <c r="AO3354" s="22"/>
      <c r="AP3354" s="22"/>
      <c r="AQ3354" s="22"/>
      <c r="AR3354" s="22"/>
      <c r="AS3354" s="22"/>
      <c r="AT3354" s="22"/>
      <c r="AU3354" s="22"/>
      <c r="AV3354" s="22"/>
      <c r="AW3354" s="42">
        <v>45833</v>
      </c>
      <c r="AX3354" s="41">
        <v>976603</v>
      </c>
      <c r="AY3354" s="93">
        <v>1790</v>
      </c>
      <c r="AZ3354" s="36">
        <v>3.58</v>
      </c>
      <c r="BA3354" s="93">
        <f>+AY3354/AZ3354</f>
        <v>500</v>
      </c>
      <c r="BB3354" s="22"/>
      <c r="BD3354" s="9"/>
      <c r="CS3354" s="11">
        <f t="shared" si="231"/>
        <v>500</v>
      </c>
      <c r="CT3354" s="22">
        <f t="shared" si="232"/>
        <v>500</v>
      </c>
      <c r="CU3354" s="22">
        <f t="shared" si="233"/>
        <v>0</v>
      </c>
      <c r="CV3354" s="26">
        <f t="shared" si="234"/>
        <v>0</v>
      </c>
    </row>
    <row r="3355" spans="1:101" x14ac:dyDescent="0.2">
      <c r="A3355" s="9" t="s">
        <v>672</v>
      </c>
      <c r="B3355" s="2">
        <v>36</v>
      </c>
      <c r="C3355" s="3" t="s">
        <v>95</v>
      </c>
      <c r="D3355" s="3" t="s">
        <v>96</v>
      </c>
      <c r="E3355" s="2"/>
      <c r="F3355" s="2"/>
      <c r="G3355" s="2" t="s">
        <v>69</v>
      </c>
      <c r="H3355" s="2">
        <v>7</v>
      </c>
      <c r="I3355" s="20">
        <v>120</v>
      </c>
      <c r="J3355" s="20">
        <v>66666</v>
      </c>
      <c r="K3355" s="3">
        <v>0</v>
      </c>
      <c r="L3355" s="3" t="s">
        <v>97</v>
      </c>
      <c r="M3355" s="9" t="s">
        <v>0</v>
      </c>
      <c r="N3355" s="9">
        <v>72787212</v>
      </c>
      <c r="O3355" s="9" t="s">
        <v>673</v>
      </c>
      <c r="S3355" s="9" t="s">
        <v>158</v>
      </c>
      <c r="T3355" s="10" t="s">
        <v>69</v>
      </c>
      <c r="U3355" s="10">
        <v>7</v>
      </c>
      <c r="V3355" s="10">
        <v>120</v>
      </c>
      <c r="W3355" s="10" t="s">
        <v>710</v>
      </c>
      <c r="X3355" s="17">
        <v>45785</v>
      </c>
      <c r="Y3355" s="17">
        <v>45789</v>
      </c>
      <c r="Z3355" s="19" t="s">
        <v>772</v>
      </c>
      <c r="AA3355" s="207">
        <v>39224</v>
      </c>
      <c r="AB3355" s="9">
        <v>48</v>
      </c>
      <c r="AC3355" s="9">
        <v>2</v>
      </c>
      <c r="AD3355" s="17">
        <v>45874</v>
      </c>
      <c r="AE3355" s="54">
        <v>500</v>
      </c>
      <c r="AF3355" s="54"/>
      <c r="AG3355" s="9" t="s">
        <v>134</v>
      </c>
      <c r="AH3355" s="17">
        <v>45873</v>
      </c>
      <c r="AI3355" s="17"/>
      <c r="AJ3355" s="17"/>
      <c r="AK3355" s="9" t="s">
        <v>808</v>
      </c>
      <c r="AL3355" s="22">
        <v>500</v>
      </c>
      <c r="AM3355" s="22"/>
      <c r="AN3355" s="22" t="s">
        <v>818</v>
      </c>
      <c r="AO3355" s="22"/>
      <c r="AP3355" s="22"/>
      <c r="AQ3355" s="22"/>
      <c r="AR3355" s="22"/>
      <c r="AS3355" s="22"/>
      <c r="AT3355" s="22"/>
      <c r="AU3355" s="22"/>
      <c r="AV3355" s="22"/>
      <c r="AW3355" s="42">
        <v>45870</v>
      </c>
      <c r="AX3355" s="41">
        <v>983732</v>
      </c>
      <c r="AY3355" s="93">
        <v>1794</v>
      </c>
      <c r="AZ3355" s="36">
        <v>3.5880000000000001</v>
      </c>
      <c r="BA3355" s="93">
        <f>+AY3355/AZ3355</f>
        <v>500</v>
      </c>
      <c r="BB3355" s="22"/>
      <c r="BD3355" s="9"/>
      <c r="CS3355" s="11">
        <f t="shared" si="231"/>
        <v>500</v>
      </c>
      <c r="CT3355" s="22">
        <f t="shared" si="232"/>
        <v>500</v>
      </c>
      <c r="CU3355" s="22">
        <f t="shared" si="233"/>
        <v>0</v>
      </c>
      <c r="CV3355" s="26">
        <f t="shared" si="234"/>
        <v>0</v>
      </c>
    </row>
    <row r="3356" spans="1:101" x14ac:dyDescent="0.2">
      <c r="A3356" s="9" t="s">
        <v>672</v>
      </c>
      <c r="B3356" s="2">
        <v>36</v>
      </c>
      <c r="C3356" s="3" t="s">
        <v>95</v>
      </c>
      <c r="D3356" s="3" t="s">
        <v>96</v>
      </c>
      <c r="E3356" s="2"/>
      <c r="F3356" s="2"/>
      <c r="G3356" s="2" t="s">
        <v>69</v>
      </c>
      <c r="H3356" s="2">
        <v>7</v>
      </c>
      <c r="I3356" s="20">
        <v>120</v>
      </c>
      <c r="J3356" s="20">
        <v>66666</v>
      </c>
      <c r="K3356" s="3">
        <v>0</v>
      </c>
      <c r="L3356" s="3" t="s">
        <v>97</v>
      </c>
      <c r="M3356" s="9" t="s">
        <v>0</v>
      </c>
      <c r="N3356" s="9">
        <v>72787212</v>
      </c>
      <c r="O3356" s="9" t="s">
        <v>673</v>
      </c>
      <c r="S3356" s="9" t="s">
        <v>158</v>
      </c>
      <c r="T3356" s="10" t="s">
        <v>69</v>
      </c>
      <c r="U3356" s="10">
        <v>7</v>
      </c>
      <c r="V3356" s="10">
        <v>120</v>
      </c>
      <c r="W3356" s="10" t="s">
        <v>710</v>
      </c>
      <c r="X3356" s="17">
        <v>45785</v>
      </c>
      <c r="Y3356" s="17">
        <v>45789</v>
      </c>
      <c r="Z3356" s="19" t="s">
        <v>772</v>
      </c>
      <c r="AA3356" s="207">
        <v>39224</v>
      </c>
      <c r="AB3356" s="9">
        <v>48</v>
      </c>
      <c r="AC3356" s="9">
        <v>3</v>
      </c>
      <c r="AD3356" s="17">
        <v>45905</v>
      </c>
      <c r="AE3356" s="54">
        <v>500</v>
      </c>
      <c r="AF3356" s="54"/>
      <c r="AG3356" s="9" t="s">
        <v>134</v>
      </c>
      <c r="AH3356" s="17">
        <v>45902</v>
      </c>
      <c r="AI3356" s="17"/>
      <c r="AJ3356" s="17"/>
      <c r="AK3356" s="9" t="s">
        <v>809</v>
      </c>
      <c r="AL3356" s="22">
        <v>500</v>
      </c>
      <c r="AM3356" s="22"/>
      <c r="AN3356" s="22" t="s">
        <v>819</v>
      </c>
      <c r="AO3356" s="22"/>
      <c r="AP3356" s="22"/>
      <c r="AQ3356" s="22"/>
      <c r="AR3356" s="22"/>
      <c r="AS3356" s="22"/>
      <c r="AT3356" s="22"/>
      <c r="AU3356" s="22"/>
      <c r="AV3356" s="22"/>
      <c r="AW3356" s="42">
        <v>45901</v>
      </c>
      <c r="AX3356" s="41">
        <v>553600</v>
      </c>
      <c r="AY3356" s="93">
        <v>1775</v>
      </c>
      <c r="AZ3356" s="36">
        <v>3.55</v>
      </c>
      <c r="BA3356" s="93">
        <f>+AY3356/AZ3356</f>
        <v>500</v>
      </c>
      <c r="BB3356" s="22"/>
      <c r="BD3356" s="9"/>
      <c r="CS3356" s="11">
        <f t="shared" si="231"/>
        <v>500</v>
      </c>
      <c r="CT3356" s="22">
        <f t="shared" si="232"/>
        <v>500</v>
      </c>
      <c r="CU3356" s="22">
        <f t="shared" si="233"/>
        <v>0</v>
      </c>
      <c r="CV3356" s="26">
        <f t="shared" si="234"/>
        <v>0</v>
      </c>
    </row>
    <row r="3357" spans="1:101" x14ac:dyDescent="0.2">
      <c r="A3357" s="9" t="s">
        <v>672</v>
      </c>
      <c r="B3357" s="2">
        <v>36</v>
      </c>
      <c r="C3357" s="3" t="s">
        <v>95</v>
      </c>
      <c r="D3357" s="3" t="s">
        <v>96</v>
      </c>
      <c r="E3357" s="2"/>
      <c r="F3357" s="2"/>
      <c r="G3357" s="2" t="s">
        <v>69</v>
      </c>
      <c r="H3357" s="2">
        <v>7</v>
      </c>
      <c r="I3357" s="20">
        <v>120</v>
      </c>
      <c r="J3357" s="20">
        <v>66666</v>
      </c>
      <c r="K3357" s="3">
        <v>0</v>
      </c>
      <c r="L3357" s="3" t="s">
        <v>97</v>
      </c>
      <c r="M3357" s="9" t="s">
        <v>0</v>
      </c>
      <c r="N3357" s="9">
        <v>72787212</v>
      </c>
      <c r="O3357" s="9" t="s">
        <v>673</v>
      </c>
      <c r="S3357" s="9" t="s">
        <v>158</v>
      </c>
      <c r="T3357" s="10" t="s">
        <v>69</v>
      </c>
      <c r="U3357" s="10">
        <v>7</v>
      </c>
      <c r="V3357" s="10">
        <v>120</v>
      </c>
      <c r="W3357" s="10" t="s">
        <v>710</v>
      </c>
      <c r="X3357" s="17">
        <v>45785</v>
      </c>
      <c r="Y3357" s="17">
        <v>45789</v>
      </c>
      <c r="Z3357" s="19" t="s">
        <v>772</v>
      </c>
      <c r="AA3357" s="207">
        <v>39224</v>
      </c>
      <c r="AB3357" s="9">
        <v>48</v>
      </c>
      <c r="AC3357" s="9">
        <v>4</v>
      </c>
      <c r="AD3357" s="17">
        <v>45935</v>
      </c>
      <c r="AE3357" s="54">
        <v>500</v>
      </c>
      <c r="AF3357" s="54"/>
      <c r="AL3357" s="22"/>
      <c r="AM3357" s="22"/>
      <c r="AN3357" s="22"/>
      <c r="AO3357" s="22"/>
      <c r="AP3357" s="22"/>
      <c r="AQ3357" s="22"/>
      <c r="AR3357" s="22"/>
      <c r="AS3357" s="22"/>
      <c r="AT3357" s="22"/>
      <c r="AU3357" s="22"/>
      <c r="AV3357" s="22"/>
      <c r="AW3357" s="9"/>
      <c r="BA3357" s="22"/>
      <c r="BB3357" s="22"/>
      <c r="BC3357" s="17"/>
      <c r="BD3357" s="86"/>
      <c r="CS3357" s="11">
        <f t="shared" si="231"/>
        <v>0</v>
      </c>
      <c r="CT3357" s="22">
        <f t="shared" si="232"/>
        <v>0</v>
      </c>
      <c r="CU3357" s="22">
        <f t="shared" si="233"/>
        <v>0</v>
      </c>
      <c r="CV3357" s="26">
        <f t="shared" si="234"/>
        <v>500</v>
      </c>
    </row>
    <row r="3358" spans="1:101" x14ac:dyDescent="0.2">
      <c r="A3358" s="9" t="s">
        <v>672</v>
      </c>
      <c r="B3358" s="2">
        <v>36</v>
      </c>
      <c r="C3358" s="3" t="s">
        <v>95</v>
      </c>
      <c r="D3358" s="3" t="s">
        <v>96</v>
      </c>
      <c r="E3358" s="2"/>
      <c r="F3358" s="2"/>
      <c r="G3358" s="2" t="s">
        <v>69</v>
      </c>
      <c r="H3358" s="2">
        <v>7</v>
      </c>
      <c r="I3358" s="20">
        <v>120</v>
      </c>
      <c r="J3358" s="20">
        <v>66666</v>
      </c>
      <c r="K3358" s="3">
        <v>0</v>
      </c>
      <c r="L3358" s="3" t="s">
        <v>97</v>
      </c>
      <c r="M3358" s="9" t="s">
        <v>0</v>
      </c>
      <c r="N3358" s="9">
        <v>72787212</v>
      </c>
      <c r="O3358" s="9" t="s">
        <v>673</v>
      </c>
      <c r="S3358" s="9" t="s">
        <v>158</v>
      </c>
      <c r="T3358" s="10" t="s">
        <v>69</v>
      </c>
      <c r="U3358" s="10">
        <v>7</v>
      </c>
      <c r="V3358" s="10">
        <v>120</v>
      </c>
      <c r="W3358" s="10" t="s">
        <v>710</v>
      </c>
      <c r="X3358" s="17">
        <v>45785</v>
      </c>
      <c r="Y3358" s="17">
        <v>45789</v>
      </c>
      <c r="Z3358" s="19" t="s">
        <v>772</v>
      </c>
      <c r="AA3358" s="207">
        <v>39224</v>
      </c>
      <c r="AB3358" s="9">
        <v>48</v>
      </c>
      <c r="AC3358" s="9">
        <v>5</v>
      </c>
      <c r="AD3358" s="17">
        <v>45966</v>
      </c>
      <c r="AE3358" s="54">
        <v>500</v>
      </c>
      <c r="AF3358" s="54"/>
      <c r="AL3358" s="22"/>
      <c r="AM3358" s="22"/>
      <c r="AN3358" s="22"/>
      <c r="AO3358" s="22"/>
      <c r="AP3358" s="22"/>
      <c r="AQ3358" s="22"/>
      <c r="AR3358" s="22"/>
      <c r="AS3358" s="22"/>
      <c r="AT3358" s="22"/>
      <c r="AU3358" s="22"/>
      <c r="AV3358" s="22"/>
      <c r="AW3358" s="9"/>
      <c r="BA3358" s="22"/>
      <c r="BB3358" s="22"/>
      <c r="BD3358" s="9"/>
      <c r="CS3358" s="11">
        <f t="shared" si="231"/>
        <v>0</v>
      </c>
      <c r="CT3358" s="22">
        <f t="shared" si="232"/>
        <v>0</v>
      </c>
      <c r="CU3358" s="22">
        <f t="shared" si="233"/>
        <v>0</v>
      </c>
      <c r="CV3358" s="26">
        <f t="shared" si="234"/>
        <v>500</v>
      </c>
    </row>
    <row r="3359" spans="1:101" x14ac:dyDescent="0.2">
      <c r="A3359" s="9" t="s">
        <v>672</v>
      </c>
      <c r="B3359" s="2">
        <v>36</v>
      </c>
      <c r="C3359" s="3" t="s">
        <v>95</v>
      </c>
      <c r="D3359" s="3" t="s">
        <v>96</v>
      </c>
      <c r="E3359" s="2"/>
      <c r="F3359" s="2"/>
      <c r="G3359" s="2" t="s">
        <v>69</v>
      </c>
      <c r="H3359" s="2">
        <v>7</v>
      </c>
      <c r="I3359" s="20">
        <v>120</v>
      </c>
      <c r="J3359" s="20">
        <v>66666</v>
      </c>
      <c r="K3359" s="3">
        <v>0</v>
      </c>
      <c r="L3359" s="3" t="s">
        <v>97</v>
      </c>
      <c r="M3359" s="9" t="s">
        <v>0</v>
      </c>
      <c r="N3359" s="9">
        <v>72787212</v>
      </c>
      <c r="O3359" s="9" t="s">
        <v>673</v>
      </c>
      <c r="S3359" s="9" t="s">
        <v>158</v>
      </c>
      <c r="T3359" s="10" t="s">
        <v>69</v>
      </c>
      <c r="U3359" s="10">
        <v>7</v>
      </c>
      <c r="V3359" s="10">
        <v>120</v>
      </c>
      <c r="W3359" s="10" t="s">
        <v>710</v>
      </c>
      <c r="X3359" s="17">
        <v>45785</v>
      </c>
      <c r="Y3359" s="17">
        <v>45789</v>
      </c>
      <c r="Z3359" s="19" t="s">
        <v>772</v>
      </c>
      <c r="AA3359" s="207">
        <v>39224</v>
      </c>
      <c r="AB3359" s="9">
        <v>48</v>
      </c>
      <c r="AC3359" s="9">
        <v>6</v>
      </c>
      <c r="AD3359" s="17">
        <v>45996</v>
      </c>
      <c r="AE3359" s="54">
        <v>500</v>
      </c>
      <c r="AF3359" s="54"/>
      <c r="AL3359" s="22"/>
      <c r="AM3359" s="22"/>
      <c r="AN3359" s="22"/>
      <c r="AO3359" s="22"/>
      <c r="AP3359" s="22"/>
      <c r="AQ3359" s="22"/>
      <c r="AR3359" s="22"/>
      <c r="AS3359" s="22"/>
      <c r="AT3359" s="22"/>
      <c r="AU3359" s="22"/>
      <c r="AV3359" s="22"/>
      <c r="AW3359" s="9"/>
      <c r="BA3359" s="22"/>
      <c r="BB3359" s="22"/>
      <c r="BD3359" s="9"/>
      <c r="CS3359" s="11">
        <f t="shared" si="231"/>
        <v>0</v>
      </c>
      <c r="CT3359" s="22">
        <f t="shared" si="232"/>
        <v>0</v>
      </c>
      <c r="CU3359" s="22">
        <f t="shared" si="233"/>
        <v>0</v>
      </c>
      <c r="CV3359" s="26">
        <f t="shared" si="234"/>
        <v>500</v>
      </c>
    </row>
    <row r="3360" spans="1:101" x14ac:dyDescent="0.2">
      <c r="A3360" s="9" t="s">
        <v>672</v>
      </c>
      <c r="B3360" s="2">
        <v>36</v>
      </c>
      <c r="C3360" s="3" t="s">
        <v>95</v>
      </c>
      <c r="D3360" s="3" t="s">
        <v>96</v>
      </c>
      <c r="E3360" s="2"/>
      <c r="F3360" s="2"/>
      <c r="G3360" s="2" t="s">
        <v>69</v>
      </c>
      <c r="H3360" s="2">
        <v>7</v>
      </c>
      <c r="I3360" s="20">
        <v>120</v>
      </c>
      <c r="J3360" s="20">
        <v>66666</v>
      </c>
      <c r="K3360" s="3">
        <v>0</v>
      </c>
      <c r="L3360" s="3" t="s">
        <v>97</v>
      </c>
      <c r="M3360" s="9" t="s">
        <v>0</v>
      </c>
      <c r="N3360" s="9">
        <v>72787212</v>
      </c>
      <c r="O3360" s="9" t="s">
        <v>673</v>
      </c>
      <c r="S3360" s="9" t="s">
        <v>158</v>
      </c>
      <c r="T3360" s="10" t="s">
        <v>69</v>
      </c>
      <c r="U3360" s="10">
        <v>7</v>
      </c>
      <c r="V3360" s="10">
        <v>120</v>
      </c>
      <c r="W3360" s="10" t="s">
        <v>710</v>
      </c>
      <c r="X3360" s="17">
        <v>45785</v>
      </c>
      <c r="Y3360" s="17">
        <v>45789</v>
      </c>
      <c r="Z3360" s="19" t="s">
        <v>772</v>
      </c>
      <c r="AA3360" s="207">
        <v>39224</v>
      </c>
      <c r="AB3360" s="9">
        <v>48</v>
      </c>
      <c r="AC3360" s="9">
        <v>7</v>
      </c>
      <c r="AD3360" s="17">
        <v>46027</v>
      </c>
      <c r="AE3360" s="54">
        <v>500</v>
      </c>
      <c r="AF3360" s="54"/>
      <c r="AL3360" s="22"/>
      <c r="AM3360" s="22"/>
      <c r="AN3360" s="22"/>
      <c r="AO3360" s="22"/>
      <c r="AP3360" s="22"/>
      <c r="AQ3360" s="22"/>
      <c r="AR3360" s="22"/>
      <c r="AS3360" s="22"/>
      <c r="AT3360" s="22"/>
      <c r="AU3360" s="22"/>
      <c r="AV3360" s="22"/>
      <c r="AW3360" s="9"/>
      <c r="BA3360" s="22"/>
      <c r="BB3360" s="22"/>
      <c r="BD3360" s="9"/>
      <c r="CS3360" s="11">
        <f t="shared" si="231"/>
        <v>0</v>
      </c>
      <c r="CT3360" s="22">
        <f t="shared" si="232"/>
        <v>0</v>
      </c>
      <c r="CU3360" s="22">
        <f t="shared" si="233"/>
        <v>0</v>
      </c>
      <c r="CV3360" s="26">
        <f t="shared" si="234"/>
        <v>500</v>
      </c>
    </row>
    <row r="3361" spans="1:100" x14ac:dyDescent="0.2">
      <c r="A3361" s="9" t="s">
        <v>672</v>
      </c>
      <c r="B3361" s="2">
        <v>36</v>
      </c>
      <c r="C3361" s="3" t="s">
        <v>95</v>
      </c>
      <c r="D3361" s="3" t="s">
        <v>96</v>
      </c>
      <c r="E3361" s="2"/>
      <c r="F3361" s="2"/>
      <c r="G3361" s="2" t="s">
        <v>69</v>
      </c>
      <c r="H3361" s="2">
        <v>7</v>
      </c>
      <c r="I3361" s="20">
        <v>120</v>
      </c>
      <c r="J3361" s="20">
        <v>66666</v>
      </c>
      <c r="K3361" s="3">
        <v>0</v>
      </c>
      <c r="L3361" s="3" t="s">
        <v>97</v>
      </c>
      <c r="M3361" s="9" t="s">
        <v>0</v>
      </c>
      <c r="N3361" s="9">
        <v>72787212</v>
      </c>
      <c r="O3361" s="9" t="s">
        <v>673</v>
      </c>
      <c r="S3361" s="9" t="s">
        <v>158</v>
      </c>
      <c r="T3361" s="10" t="s">
        <v>69</v>
      </c>
      <c r="U3361" s="10">
        <v>7</v>
      </c>
      <c r="V3361" s="10">
        <v>120</v>
      </c>
      <c r="W3361" s="10" t="s">
        <v>710</v>
      </c>
      <c r="X3361" s="17">
        <v>45785</v>
      </c>
      <c r="Y3361" s="17">
        <v>45789</v>
      </c>
      <c r="Z3361" s="19" t="s">
        <v>772</v>
      </c>
      <c r="AA3361" s="207">
        <v>39224</v>
      </c>
      <c r="AB3361" s="9">
        <v>48</v>
      </c>
      <c r="AC3361" s="9">
        <v>8</v>
      </c>
      <c r="AD3361" s="17">
        <v>46058</v>
      </c>
      <c r="AE3361" s="54">
        <v>500</v>
      </c>
      <c r="AF3361" s="54"/>
      <c r="AL3361" s="22"/>
      <c r="AM3361" s="22"/>
      <c r="AN3361" s="22"/>
      <c r="AO3361" s="22"/>
      <c r="AP3361" s="22"/>
      <c r="AQ3361" s="22"/>
      <c r="AR3361" s="22"/>
      <c r="AS3361" s="22"/>
      <c r="AT3361" s="22"/>
      <c r="AU3361" s="22"/>
      <c r="AV3361" s="22"/>
      <c r="AW3361" s="17"/>
      <c r="AX3361" s="86"/>
      <c r="BA3361" s="22"/>
      <c r="BB3361" s="22"/>
      <c r="BD3361" s="9"/>
      <c r="CS3361" s="11">
        <f t="shared" si="231"/>
        <v>0</v>
      </c>
      <c r="CT3361" s="22">
        <f t="shared" si="232"/>
        <v>0</v>
      </c>
      <c r="CU3361" s="22">
        <f t="shared" si="233"/>
        <v>0</v>
      </c>
      <c r="CV3361" s="26">
        <f t="shared" si="234"/>
        <v>500</v>
      </c>
    </row>
    <row r="3362" spans="1:100" x14ac:dyDescent="0.2">
      <c r="A3362" s="9" t="s">
        <v>672</v>
      </c>
      <c r="B3362" s="2">
        <v>36</v>
      </c>
      <c r="C3362" s="3" t="s">
        <v>95</v>
      </c>
      <c r="D3362" s="3" t="s">
        <v>96</v>
      </c>
      <c r="E3362" s="2"/>
      <c r="F3362" s="2"/>
      <c r="G3362" s="2" t="s">
        <v>69</v>
      </c>
      <c r="H3362" s="2">
        <v>7</v>
      </c>
      <c r="I3362" s="20">
        <v>120</v>
      </c>
      <c r="J3362" s="20">
        <v>66666</v>
      </c>
      <c r="K3362" s="3">
        <v>0</v>
      </c>
      <c r="L3362" s="3" t="s">
        <v>97</v>
      </c>
      <c r="M3362" s="9" t="s">
        <v>0</v>
      </c>
      <c r="N3362" s="9">
        <v>72787212</v>
      </c>
      <c r="O3362" s="9" t="s">
        <v>673</v>
      </c>
      <c r="S3362" s="9" t="s">
        <v>158</v>
      </c>
      <c r="T3362" s="10" t="s">
        <v>69</v>
      </c>
      <c r="U3362" s="10">
        <v>7</v>
      </c>
      <c r="V3362" s="10">
        <v>120</v>
      </c>
      <c r="W3362" s="10" t="s">
        <v>710</v>
      </c>
      <c r="X3362" s="17">
        <v>45785</v>
      </c>
      <c r="Y3362" s="17">
        <v>45789</v>
      </c>
      <c r="Z3362" s="19" t="s">
        <v>772</v>
      </c>
      <c r="AA3362" s="207">
        <v>39224</v>
      </c>
      <c r="AB3362" s="9">
        <v>48</v>
      </c>
      <c r="AC3362" s="9">
        <v>9</v>
      </c>
      <c r="AD3362" s="17">
        <v>46086</v>
      </c>
      <c r="AE3362" s="54">
        <v>500</v>
      </c>
      <c r="AF3362" s="54"/>
      <c r="AL3362" s="22"/>
      <c r="AM3362" s="22"/>
      <c r="AN3362" s="22"/>
      <c r="AO3362" s="22"/>
      <c r="AP3362" s="22"/>
      <c r="AQ3362" s="22"/>
      <c r="AR3362" s="22"/>
      <c r="AS3362" s="22"/>
      <c r="AT3362" s="22"/>
      <c r="AU3362" s="22"/>
      <c r="AV3362" s="22"/>
      <c r="AW3362" s="9"/>
      <c r="BA3362" s="22"/>
      <c r="BB3362" s="22"/>
      <c r="BD3362" s="9"/>
      <c r="CS3362" s="11">
        <f t="shared" si="231"/>
        <v>0</v>
      </c>
      <c r="CT3362" s="22">
        <f t="shared" si="232"/>
        <v>0</v>
      </c>
      <c r="CU3362" s="22">
        <f t="shared" si="233"/>
        <v>0</v>
      </c>
      <c r="CV3362" s="26">
        <f t="shared" si="234"/>
        <v>500</v>
      </c>
    </row>
    <row r="3363" spans="1:100" x14ac:dyDescent="0.2">
      <c r="A3363" s="9" t="s">
        <v>672</v>
      </c>
      <c r="B3363" s="2">
        <v>36</v>
      </c>
      <c r="C3363" s="3" t="s">
        <v>95</v>
      </c>
      <c r="D3363" s="3" t="s">
        <v>96</v>
      </c>
      <c r="E3363" s="2"/>
      <c r="F3363" s="2"/>
      <c r="G3363" s="2" t="s">
        <v>69</v>
      </c>
      <c r="H3363" s="2">
        <v>7</v>
      </c>
      <c r="I3363" s="20">
        <v>120</v>
      </c>
      <c r="J3363" s="20">
        <v>66666</v>
      </c>
      <c r="K3363" s="3">
        <v>0</v>
      </c>
      <c r="L3363" s="3" t="s">
        <v>97</v>
      </c>
      <c r="M3363" s="9" t="s">
        <v>0</v>
      </c>
      <c r="N3363" s="9">
        <v>72787212</v>
      </c>
      <c r="O3363" s="9" t="s">
        <v>673</v>
      </c>
      <c r="S3363" s="9" t="s">
        <v>158</v>
      </c>
      <c r="T3363" s="10" t="s">
        <v>69</v>
      </c>
      <c r="U3363" s="10">
        <v>7</v>
      </c>
      <c r="V3363" s="10">
        <v>120</v>
      </c>
      <c r="W3363" s="10" t="s">
        <v>710</v>
      </c>
      <c r="X3363" s="17">
        <v>45785</v>
      </c>
      <c r="Y3363" s="17">
        <v>45789</v>
      </c>
      <c r="Z3363" s="19" t="s">
        <v>772</v>
      </c>
      <c r="AA3363" s="207">
        <v>39224</v>
      </c>
      <c r="AB3363" s="9">
        <v>48</v>
      </c>
      <c r="AC3363" s="9">
        <v>10</v>
      </c>
      <c r="AD3363" s="17">
        <v>46117</v>
      </c>
      <c r="AE3363" s="54">
        <v>500</v>
      </c>
      <c r="AF3363" s="54"/>
      <c r="AL3363" s="22"/>
      <c r="AM3363" s="22"/>
      <c r="AN3363" s="22"/>
      <c r="AO3363" s="22"/>
      <c r="AP3363" s="22"/>
      <c r="AQ3363" s="22"/>
      <c r="AR3363" s="22"/>
      <c r="AS3363" s="22"/>
      <c r="AT3363" s="22"/>
      <c r="AU3363" s="22"/>
      <c r="AV3363" s="22"/>
      <c r="AW3363" s="17"/>
      <c r="AX3363" s="86"/>
      <c r="BA3363" s="22"/>
      <c r="BB3363" s="22"/>
      <c r="BD3363" s="9"/>
      <c r="CS3363" s="11">
        <f t="shared" si="231"/>
        <v>0</v>
      </c>
      <c r="CT3363" s="22">
        <f t="shared" si="232"/>
        <v>0</v>
      </c>
      <c r="CU3363" s="22">
        <f t="shared" si="233"/>
        <v>0</v>
      </c>
      <c r="CV3363" s="26">
        <f t="shared" si="234"/>
        <v>500</v>
      </c>
    </row>
    <row r="3364" spans="1:100" x14ac:dyDescent="0.2">
      <c r="A3364" s="9" t="s">
        <v>672</v>
      </c>
      <c r="B3364" s="2">
        <v>36</v>
      </c>
      <c r="C3364" s="3" t="s">
        <v>95</v>
      </c>
      <c r="D3364" s="3" t="s">
        <v>96</v>
      </c>
      <c r="E3364" s="2"/>
      <c r="F3364" s="2"/>
      <c r="G3364" s="2" t="s">
        <v>69</v>
      </c>
      <c r="H3364" s="2">
        <v>7</v>
      </c>
      <c r="I3364" s="20">
        <v>120</v>
      </c>
      <c r="J3364" s="20">
        <v>66666</v>
      </c>
      <c r="K3364" s="3">
        <v>0</v>
      </c>
      <c r="L3364" s="3" t="s">
        <v>97</v>
      </c>
      <c r="M3364" s="9" t="s">
        <v>0</v>
      </c>
      <c r="N3364" s="9">
        <v>72787212</v>
      </c>
      <c r="O3364" s="9" t="s">
        <v>673</v>
      </c>
      <c r="S3364" s="9" t="s">
        <v>158</v>
      </c>
      <c r="T3364" s="10" t="s">
        <v>69</v>
      </c>
      <c r="U3364" s="10">
        <v>7</v>
      </c>
      <c r="V3364" s="10">
        <v>120</v>
      </c>
      <c r="W3364" s="10" t="s">
        <v>710</v>
      </c>
      <c r="X3364" s="17">
        <v>45785</v>
      </c>
      <c r="Y3364" s="17">
        <v>45789</v>
      </c>
      <c r="Z3364" s="19" t="s">
        <v>772</v>
      </c>
      <c r="AA3364" s="207">
        <v>39224</v>
      </c>
      <c r="AB3364" s="9">
        <v>48</v>
      </c>
      <c r="AC3364" s="9">
        <v>11</v>
      </c>
      <c r="AD3364" s="17">
        <v>46147</v>
      </c>
      <c r="AE3364" s="54">
        <v>500</v>
      </c>
      <c r="AF3364" s="54"/>
      <c r="AL3364" s="22"/>
      <c r="AM3364" s="22"/>
      <c r="AN3364" s="22"/>
      <c r="AO3364" s="22"/>
      <c r="AP3364" s="22"/>
      <c r="AQ3364" s="22"/>
      <c r="AR3364" s="22"/>
      <c r="AS3364" s="22"/>
      <c r="AT3364" s="22"/>
      <c r="AU3364" s="22"/>
      <c r="AV3364" s="22"/>
      <c r="AW3364" s="9"/>
      <c r="BA3364" s="22"/>
      <c r="BB3364" s="22"/>
      <c r="BD3364" s="9"/>
      <c r="CS3364" s="11">
        <f t="shared" si="231"/>
        <v>0</v>
      </c>
      <c r="CT3364" s="22">
        <f t="shared" si="232"/>
        <v>0</v>
      </c>
      <c r="CU3364" s="22">
        <f t="shared" si="233"/>
        <v>0</v>
      </c>
      <c r="CV3364" s="26">
        <f t="shared" si="234"/>
        <v>500</v>
      </c>
    </row>
    <row r="3365" spans="1:100" x14ac:dyDescent="0.2">
      <c r="A3365" s="9" t="s">
        <v>672</v>
      </c>
      <c r="B3365" s="2">
        <v>36</v>
      </c>
      <c r="C3365" s="3" t="s">
        <v>95</v>
      </c>
      <c r="D3365" s="3" t="s">
        <v>96</v>
      </c>
      <c r="E3365" s="2"/>
      <c r="F3365" s="2"/>
      <c r="G3365" s="2" t="s">
        <v>69</v>
      </c>
      <c r="H3365" s="2">
        <v>7</v>
      </c>
      <c r="I3365" s="20">
        <v>120</v>
      </c>
      <c r="J3365" s="20">
        <v>66666</v>
      </c>
      <c r="K3365" s="3">
        <v>0</v>
      </c>
      <c r="L3365" s="3" t="s">
        <v>97</v>
      </c>
      <c r="M3365" s="9" t="s">
        <v>0</v>
      </c>
      <c r="N3365" s="9">
        <v>72787212</v>
      </c>
      <c r="O3365" s="9" t="s">
        <v>673</v>
      </c>
      <c r="S3365" s="9" t="s">
        <v>158</v>
      </c>
      <c r="T3365" s="10" t="s">
        <v>69</v>
      </c>
      <c r="U3365" s="10">
        <v>7</v>
      </c>
      <c r="V3365" s="10">
        <v>120</v>
      </c>
      <c r="W3365" s="10" t="s">
        <v>710</v>
      </c>
      <c r="X3365" s="17">
        <v>45785</v>
      </c>
      <c r="Y3365" s="17">
        <v>45789</v>
      </c>
      <c r="Z3365" s="19" t="s">
        <v>772</v>
      </c>
      <c r="AA3365" s="207">
        <v>39224</v>
      </c>
      <c r="AB3365" s="9">
        <v>48</v>
      </c>
      <c r="AC3365" s="9">
        <v>12</v>
      </c>
      <c r="AD3365" s="17">
        <v>46178</v>
      </c>
      <c r="AE3365" s="54">
        <v>500</v>
      </c>
      <c r="AF3365" s="54"/>
      <c r="AL3365" s="22"/>
      <c r="AM3365" s="22"/>
      <c r="AN3365" s="22"/>
      <c r="AO3365" s="22"/>
      <c r="AP3365" s="22"/>
      <c r="AQ3365" s="22"/>
      <c r="AR3365" s="22"/>
      <c r="AS3365" s="22"/>
      <c r="AT3365" s="22"/>
      <c r="AU3365" s="22"/>
      <c r="AV3365" s="22"/>
      <c r="AW3365" s="9"/>
      <c r="BA3365" s="22"/>
      <c r="BB3365" s="22"/>
      <c r="BD3365" s="9"/>
      <c r="CS3365" s="11">
        <f t="shared" si="231"/>
        <v>0</v>
      </c>
      <c r="CT3365" s="22">
        <f t="shared" si="232"/>
        <v>0</v>
      </c>
      <c r="CU3365" s="22">
        <f t="shared" si="233"/>
        <v>0</v>
      </c>
      <c r="CV3365" s="26">
        <f t="shared" si="234"/>
        <v>500</v>
      </c>
    </row>
    <row r="3366" spans="1:100" x14ac:dyDescent="0.2">
      <c r="A3366" s="9" t="s">
        <v>672</v>
      </c>
      <c r="B3366" s="2">
        <v>36</v>
      </c>
      <c r="C3366" s="3" t="s">
        <v>95</v>
      </c>
      <c r="D3366" s="3" t="s">
        <v>96</v>
      </c>
      <c r="E3366" s="2"/>
      <c r="F3366" s="2"/>
      <c r="G3366" s="2" t="s">
        <v>69</v>
      </c>
      <c r="H3366" s="2">
        <v>7</v>
      </c>
      <c r="I3366" s="20">
        <v>120</v>
      </c>
      <c r="J3366" s="20">
        <v>66666</v>
      </c>
      <c r="K3366" s="3">
        <v>0</v>
      </c>
      <c r="L3366" s="3" t="s">
        <v>97</v>
      </c>
      <c r="M3366" s="9" t="s">
        <v>0</v>
      </c>
      <c r="N3366" s="9">
        <v>72787212</v>
      </c>
      <c r="O3366" s="9" t="s">
        <v>673</v>
      </c>
      <c r="S3366" s="9" t="s">
        <v>158</v>
      </c>
      <c r="T3366" s="10" t="s">
        <v>69</v>
      </c>
      <c r="U3366" s="10">
        <v>7</v>
      </c>
      <c r="V3366" s="10">
        <v>120</v>
      </c>
      <c r="W3366" s="10" t="s">
        <v>710</v>
      </c>
      <c r="X3366" s="17">
        <v>45785</v>
      </c>
      <c r="Y3366" s="17">
        <v>45789</v>
      </c>
      <c r="Z3366" s="19" t="s">
        <v>772</v>
      </c>
      <c r="AA3366" s="207">
        <v>39224</v>
      </c>
      <c r="AB3366" s="9">
        <v>48</v>
      </c>
      <c r="AC3366" s="9">
        <v>13</v>
      </c>
      <c r="AD3366" s="17">
        <v>46208</v>
      </c>
      <c r="AE3366" s="54">
        <v>500</v>
      </c>
      <c r="AF3366" s="54"/>
      <c r="AL3366" s="22"/>
      <c r="AM3366" s="22"/>
      <c r="AN3366" s="22"/>
      <c r="AO3366" s="22"/>
      <c r="AP3366" s="22"/>
      <c r="AQ3366" s="22"/>
      <c r="AR3366" s="22"/>
      <c r="AS3366" s="22"/>
      <c r="AT3366" s="22"/>
      <c r="AU3366" s="22"/>
      <c r="AV3366" s="22"/>
      <c r="AW3366" s="9"/>
      <c r="BA3366" s="22"/>
      <c r="BB3366" s="22"/>
      <c r="BD3366" s="9"/>
      <c r="CS3366" s="11">
        <f t="shared" si="231"/>
        <v>0</v>
      </c>
      <c r="CT3366" s="22">
        <f t="shared" si="232"/>
        <v>0</v>
      </c>
      <c r="CU3366" s="22">
        <f t="shared" si="233"/>
        <v>0</v>
      </c>
      <c r="CV3366" s="26">
        <f t="shared" si="234"/>
        <v>500</v>
      </c>
    </row>
    <row r="3367" spans="1:100" x14ac:dyDescent="0.2">
      <c r="A3367" s="9" t="s">
        <v>672</v>
      </c>
      <c r="B3367" s="2">
        <v>36</v>
      </c>
      <c r="C3367" s="3" t="s">
        <v>95</v>
      </c>
      <c r="D3367" s="3" t="s">
        <v>96</v>
      </c>
      <c r="E3367" s="2"/>
      <c r="F3367" s="2"/>
      <c r="G3367" s="2" t="s">
        <v>69</v>
      </c>
      <c r="H3367" s="2">
        <v>7</v>
      </c>
      <c r="I3367" s="20">
        <v>120</v>
      </c>
      <c r="J3367" s="20">
        <v>66666</v>
      </c>
      <c r="K3367" s="3">
        <v>0</v>
      </c>
      <c r="L3367" s="3" t="s">
        <v>97</v>
      </c>
      <c r="M3367" s="9" t="s">
        <v>0</v>
      </c>
      <c r="N3367" s="9">
        <v>72787212</v>
      </c>
      <c r="O3367" s="9" t="s">
        <v>673</v>
      </c>
      <c r="S3367" s="9" t="s">
        <v>158</v>
      </c>
      <c r="T3367" s="10" t="s">
        <v>69</v>
      </c>
      <c r="U3367" s="10">
        <v>7</v>
      </c>
      <c r="V3367" s="10">
        <v>120</v>
      </c>
      <c r="W3367" s="10" t="s">
        <v>710</v>
      </c>
      <c r="X3367" s="17">
        <v>45785</v>
      </c>
      <c r="Y3367" s="17">
        <v>45789</v>
      </c>
      <c r="Z3367" s="19" t="s">
        <v>772</v>
      </c>
      <c r="AA3367" s="207">
        <v>39224</v>
      </c>
      <c r="AB3367" s="9">
        <v>48</v>
      </c>
      <c r="AC3367" s="9">
        <v>14</v>
      </c>
      <c r="AD3367" s="17">
        <v>46239</v>
      </c>
      <c r="AE3367" s="54">
        <v>500</v>
      </c>
      <c r="AF3367" s="54"/>
      <c r="AL3367" s="22"/>
      <c r="AM3367" s="22"/>
      <c r="AN3367" s="22"/>
      <c r="AO3367" s="22"/>
      <c r="AP3367" s="22"/>
      <c r="AQ3367" s="22"/>
      <c r="AR3367" s="22"/>
      <c r="AS3367" s="22"/>
      <c r="AT3367" s="22"/>
      <c r="AU3367" s="22"/>
      <c r="AV3367" s="22"/>
      <c r="AW3367" s="9"/>
      <c r="BA3367" s="22"/>
      <c r="BB3367" s="22"/>
      <c r="BD3367" s="9"/>
      <c r="CS3367" s="11">
        <f t="shared" si="231"/>
        <v>0</v>
      </c>
      <c r="CT3367" s="22">
        <f t="shared" si="232"/>
        <v>0</v>
      </c>
      <c r="CU3367" s="22">
        <f t="shared" si="233"/>
        <v>0</v>
      </c>
      <c r="CV3367" s="26">
        <f t="shared" si="234"/>
        <v>500</v>
      </c>
    </row>
    <row r="3368" spans="1:100" x14ac:dyDescent="0.2">
      <c r="A3368" s="9" t="s">
        <v>672</v>
      </c>
      <c r="B3368" s="2">
        <v>36</v>
      </c>
      <c r="C3368" s="3" t="s">
        <v>95</v>
      </c>
      <c r="D3368" s="3" t="s">
        <v>96</v>
      </c>
      <c r="E3368" s="2"/>
      <c r="F3368" s="2"/>
      <c r="G3368" s="2" t="s">
        <v>69</v>
      </c>
      <c r="H3368" s="2">
        <v>7</v>
      </c>
      <c r="I3368" s="20">
        <v>120</v>
      </c>
      <c r="J3368" s="20">
        <v>66666</v>
      </c>
      <c r="K3368" s="3">
        <v>0</v>
      </c>
      <c r="L3368" s="3" t="s">
        <v>97</v>
      </c>
      <c r="M3368" s="9" t="s">
        <v>0</v>
      </c>
      <c r="N3368" s="9">
        <v>72787212</v>
      </c>
      <c r="O3368" s="9" t="s">
        <v>673</v>
      </c>
      <c r="S3368" s="9" t="s">
        <v>158</v>
      </c>
      <c r="T3368" s="10" t="s">
        <v>69</v>
      </c>
      <c r="U3368" s="10">
        <v>7</v>
      </c>
      <c r="V3368" s="10">
        <v>120</v>
      </c>
      <c r="W3368" s="10" t="s">
        <v>710</v>
      </c>
      <c r="X3368" s="17">
        <v>45785</v>
      </c>
      <c r="Y3368" s="17">
        <v>45789</v>
      </c>
      <c r="Z3368" s="19" t="s">
        <v>772</v>
      </c>
      <c r="AA3368" s="207">
        <v>39224</v>
      </c>
      <c r="AB3368" s="9">
        <v>48</v>
      </c>
      <c r="AC3368" s="9">
        <v>15</v>
      </c>
      <c r="AD3368" s="17">
        <v>46270</v>
      </c>
      <c r="AE3368" s="54">
        <v>500</v>
      </c>
      <c r="AF3368" s="54"/>
      <c r="AL3368" s="22"/>
      <c r="AM3368" s="22"/>
      <c r="AN3368" s="22"/>
      <c r="AO3368" s="22"/>
      <c r="AP3368" s="22"/>
      <c r="AQ3368" s="22"/>
      <c r="AR3368" s="22"/>
      <c r="AS3368" s="22"/>
      <c r="AT3368" s="22"/>
      <c r="AU3368" s="22"/>
      <c r="AV3368" s="22"/>
      <c r="AW3368" s="9"/>
      <c r="BA3368" s="22"/>
      <c r="BB3368" s="22"/>
      <c r="BD3368" s="9"/>
      <c r="CS3368" s="11">
        <f t="shared" si="231"/>
        <v>0</v>
      </c>
      <c r="CT3368" s="22">
        <f t="shared" si="232"/>
        <v>0</v>
      </c>
      <c r="CU3368" s="22">
        <f t="shared" si="233"/>
        <v>0</v>
      </c>
      <c r="CV3368" s="26">
        <f t="shared" si="234"/>
        <v>500</v>
      </c>
    </row>
    <row r="3369" spans="1:100" x14ac:dyDescent="0.2">
      <c r="A3369" s="9" t="s">
        <v>672</v>
      </c>
      <c r="B3369" s="2">
        <v>36</v>
      </c>
      <c r="C3369" s="3" t="s">
        <v>95</v>
      </c>
      <c r="D3369" s="3" t="s">
        <v>96</v>
      </c>
      <c r="E3369" s="2"/>
      <c r="F3369" s="2"/>
      <c r="G3369" s="2" t="s">
        <v>69</v>
      </c>
      <c r="H3369" s="2">
        <v>7</v>
      </c>
      <c r="I3369" s="20">
        <v>120</v>
      </c>
      <c r="J3369" s="20">
        <v>66666</v>
      </c>
      <c r="K3369" s="3">
        <v>0</v>
      </c>
      <c r="L3369" s="3" t="s">
        <v>97</v>
      </c>
      <c r="M3369" s="9" t="s">
        <v>0</v>
      </c>
      <c r="N3369" s="9">
        <v>72787212</v>
      </c>
      <c r="O3369" s="9" t="s">
        <v>673</v>
      </c>
      <c r="S3369" s="9" t="s">
        <v>158</v>
      </c>
      <c r="T3369" s="10" t="s">
        <v>69</v>
      </c>
      <c r="U3369" s="10">
        <v>7</v>
      </c>
      <c r="V3369" s="10">
        <v>120</v>
      </c>
      <c r="W3369" s="10" t="s">
        <v>710</v>
      </c>
      <c r="X3369" s="17">
        <v>45785</v>
      </c>
      <c r="Y3369" s="17">
        <v>45789</v>
      </c>
      <c r="Z3369" s="19" t="s">
        <v>772</v>
      </c>
      <c r="AA3369" s="207">
        <v>39224</v>
      </c>
      <c r="AB3369" s="9">
        <v>48</v>
      </c>
      <c r="AC3369" s="9">
        <v>16</v>
      </c>
      <c r="AD3369" s="17">
        <v>46300</v>
      </c>
      <c r="AE3369" s="54">
        <v>500</v>
      </c>
      <c r="AF3369" s="54"/>
      <c r="AL3369" s="22"/>
      <c r="AM3369" s="22"/>
      <c r="AN3369" s="22"/>
      <c r="AO3369" s="22"/>
      <c r="AP3369" s="22"/>
      <c r="AQ3369" s="22"/>
      <c r="AR3369" s="22"/>
      <c r="AS3369" s="22"/>
      <c r="AT3369" s="22"/>
      <c r="AU3369" s="22"/>
      <c r="AV3369" s="22"/>
      <c r="AW3369" s="9"/>
      <c r="BA3369" s="22"/>
      <c r="BB3369" s="22"/>
      <c r="BD3369" s="9"/>
      <c r="CS3369" s="11">
        <f t="shared" si="231"/>
        <v>0</v>
      </c>
      <c r="CT3369" s="22">
        <f t="shared" si="232"/>
        <v>0</v>
      </c>
      <c r="CU3369" s="22">
        <f t="shared" si="233"/>
        <v>0</v>
      </c>
      <c r="CV3369" s="26">
        <f t="shared" si="234"/>
        <v>500</v>
      </c>
    </row>
    <row r="3370" spans="1:100" x14ac:dyDescent="0.2">
      <c r="A3370" s="9" t="s">
        <v>672</v>
      </c>
      <c r="B3370" s="2">
        <v>36</v>
      </c>
      <c r="C3370" s="3" t="s">
        <v>95</v>
      </c>
      <c r="D3370" s="3" t="s">
        <v>96</v>
      </c>
      <c r="E3370" s="2"/>
      <c r="F3370" s="2"/>
      <c r="G3370" s="2" t="s">
        <v>69</v>
      </c>
      <c r="H3370" s="2">
        <v>7</v>
      </c>
      <c r="I3370" s="20">
        <v>120</v>
      </c>
      <c r="J3370" s="20">
        <v>66666</v>
      </c>
      <c r="K3370" s="3">
        <v>0</v>
      </c>
      <c r="L3370" s="3" t="s">
        <v>97</v>
      </c>
      <c r="M3370" s="9" t="s">
        <v>0</v>
      </c>
      <c r="N3370" s="9">
        <v>72787212</v>
      </c>
      <c r="O3370" s="9" t="s">
        <v>673</v>
      </c>
      <c r="S3370" s="9" t="s">
        <v>158</v>
      </c>
      <c r="T3370" s="10" t="s">
        <v>69</v>
      </c>
      <c r="U3370" s="10">
        <v>7</v>
      </c>
      <c r="V3370" s="10">
        <v>120</v>
      </c>
      <c r="W3370" s="10" t="s">
        <v>710</v>
      </c>
      <c r="X3370" s="17">
        <v>45785</v>
      </c>
      <c r="Y3370" s="17">
        <v>45789</v>
      </c>
      <c r="Z3370" s="19" t="s">
        <v>772</v>
      </c>
      <c r="AA3370" s="207">
        <v>39224</v>
      </c>
      <c r="AB3370" s="9">
        <v>48</v>
      </c>
      <c r="AC3370" s="9">
        <v>17</v>
      </c>
      <c r="AD3370" s="17">
        <v>46331</v>
      </c>
      <c r="AE3370" s="54">
        <v>500</v>
      </c>
      <c r="AF3370" s="54"/>
      <c r="AL3370" s="22"/>
      <c r="AM3370" s="22"/>
      <c r="AN3370" s="22"/>
      <c r="AO3370" s="22"/>
      <c r="AP3370" s="22"/>
      <c r="AQ3370" s="22"/>
      <c r="AR3370" s="22"/>
      <c r="AS3370" s="22"/>
      <c r="AT3370" s="22"/>
      <c r="AU3370" s="22"/>
      <c r="AV3370" s="22"/>
      <c r="AW3370" s="9"/>
      <c r="BA3370" s="22"/>
      <c r="BB3370" s="22"/>
      <c r="BD3370" s="9"/>
      <c r="CS3370" s="11">
        <f t="shared" si="231"/>
        <v>0</v>
      </c>
      <c r="CT3370" s="22">
        <f t="shared" si="232"/>
        <v>0</v>
      </c>
      <c r="CU3370" s="22">
        <f t="shared" si="233"/>
        <v>0</v>
      </c>
      <c r="CV3370" s="26">
        <f t="shared" si="234"/>
        <v>500</v>
      </c>
    </row>
    <row r="3371" spans="1:100" x14ac:dyDescent="0.2">
      <c r="A3371" s="9" t="s">
        <v>672</v>
      </c>
      <c r="B3371" s="2">
        <v>36</v>
      </c>
      <c r="C3371" s="3" t="s">
        <v>95</v>
      </c>
      <c r="D3371" s="3" t="s">
        <v>96</v>
      </c>
      <c r="E3371" s="2"/>
      <c r="F3371" s="2"/>
      <c r="G3371" s="2" t="s">
        <v>69</v>
      </c>
      <c r="H3371" s="2">
        <v>7</v>
      </c>
      <c r="I3371" s="20">
        <v>120</v>
      </c>
      <c r="J3371" s="20">
        <v>66666</v>
      </c>
      <c r="K3371" s="3">
        <v>0</v>
      </c>
      <c r="L3371" s="3" t="s">
        <v>97</v>
      </c>
      <c r="M3371" s="9" t="s">
        <v>0</v>
      </c>
      <c r="N3371" s="9">
        <v>72787212</v>
      </c>
      <c r="O3371" s="9" t="s">
        <v>673</v>
      </c>
      <c r="S3371" s="9" t="s">
        <v>158</v>
      </c>
      <c r="T3371" s="10" t="s">
        <v>69</v>
      </c>
      <c r="U3371" s="10">
        <v>7</v>
      </c>
      <c r="V3371" s="10">
        <v>120</v>
      </c>
      <c r="W3371" s="10" t="s">
        <v>710</v>
      </c>
      <c r="X3371" s="17">
        <v>45785</v>
      </c>
      <c r="Y3371" s="17">
        <v>45789</v>
      </c>
      <c r="Z3371" s="19" t="s">
        <v>772</v>
      </c>
      <c r="AA3371" s="207">
        <v>39224</v>
      </c>
      <c r="AB3371" s="9">
        <v>48</v>
      </c>
      <c r="AC3371" s="9">
        <v>18</v>
      </c>
      <c r="AD3371" s="17">
        <v>46361</v>
      </c>
      <c r="AE3371" s="54">
        <v>500</v>
      </c>
      <c r="AF3371" s="54"/>
      <c r="AL3371" s="22"/>
      <c r="AM3371" s="22"/>
      <c r="AN3371" s="22"/>
      <c r="AO3371" s="22"/>
      <c r="AP3371" s="22"/>
      <c r="AQ3371" s="22"/>
      <c r="AR3371" s="22"/>
      <c r="AS3371" s="22"/>
      <c r="AT3371" s="22"/>
      <c r="AU3371" s="22"/>
      <c r="AV3371" s="22"/>
      <c r="AW3371" s="9"/>
      <c r="BA3371" s="22"/>
      <c r="BB3371" s="22"/>
      <c r="BD3371" s="9"/>
      <c r="CS3371" s="11">
        <f t="shared" si="231"/>
        <v>0</v>
      </c>
      <c r="CT3371" s="22">
        <f t="shared" si="232"/>
        <v>0</v>
      </c>
      <c r="CU3371" s="22">
        <f t="shared" si="233"/>
        <v>0</v>
      </c>
      <c r="CV3371" s="26">
        <f t="shared" si="234"/>
        <v>500</v>
      </c>
    </row>
    <row r="3372" spans="1:100" x14ac:dyDescent="0.2">
      <c r="A3372" s="9" t="s">
        <v>672</v>
      </c>
      <c r="B3372" s="2">
        <v>36</v>
      </c>
      <c r="C3372" s="3" t="s">
        <v>95</v>
      </c>
      <c r="D3372" s="3" t="s">
        <v>96</v>
      </c>
      <c r="E3372" s="2"/>
      <c r="F3372" s="2"/>
      <c r="G3372" s="2" t="s">
        <v>69</v>
      </c>
      <c r="H3372" s="2">
        <v>7</v>
      </c>
      <c r="I3372" s="20">
        <v>120</v>
      </c>
      <c r="J3372" s="20">
        <v>66666</v>
      </c>
      <c r="K3372" s="3">
        <v>0</v>
      </c>
      <c r="L3372" s="3" t="s">
        <v>97</v>
      </c>
      <c r="M3372" s="9" t="s">
        <v>0</v>
      </c>
      <c r="N3372" s="9">
        <v>72787212</v>
      </c>
      <c r="O3372" s="9" t="s">
        <v>673</v>
      </c>
      <c r="S3372" s="9" t="s">
        <v>158</v>
      </c>
      <c r="T3372" s="10" t="s">
        <v>69</v>
      </c>
      <c r="U3372" s="10">
        <v>7</v>
      </c>
      <c r="V3372" s="10">
        <v>120</v>
      </c>
      <c r="W3372" s="10" t="s">
        <v>710</v>
      </c>
      <c r="X3372" s="17">
        <v>45785</v>
      </c>
      <c r="Y3372" s="17">
        <v>45789</v>
      </c>
      <c r="Z3372" s="19" t="s">
        <v>772</v>
      </c>
      <c r="AA3372" s="207">
        <v>39224</v>
      </c>
      <c r="AB3372" s="9">
        <v>48</v>
      </c>
      <c r="AC3372" s="9">
        <v>19</v>
      </c>
      <c r="AD3372" s="17">
        <v>46392</v>
      </c>
      <c r="AE3372" s="54">
        <v>500</v>
      </c>
      <c r="AF3372" s="54"/>
      <c r="AL3372" s="22"/>
      <c r="AM3372" s="22"/>
      <c r="AN3372" s="22"/>
      <c r="AO3372" s="22"/>
      <c r="AP3372" s="22"/>
      <c r="AQ3372" s="22"/>
      <c r="AR3372" s="22"/>
      <c r="AS3372" s="22"/>
      <c r="AT3372" s="22"/>
      <c r="AU3372" s="22"/>
      <c r="AV3372" s="22"/>
      <c r="AW3372" s="9"/>
      <c r="BA3372" s="22"/>
      <c r="BB3372" s="22"/>
      <c r="BD3372" s="9"/>
      <c r="CS3372" s="11">
        <f t="shared" si="231"/>
        <v>0</v>
      </c>
      <c r="CT3372" s="22">
        <f t="shared" si="232"/>
        <v>0</v>
      </c>
      <c r="CU3372" s="22">
        <f t="shared" si="233"/>
        <v>0</v>
      </c>
      <c r="CV3372" s="26">
        <f t="shared" si="234"/>
        <v>500</v>
      </c>
    </row>
    <row r="3373" spans="1:100" x14ac:dyDescent="0.2">
      <c r="A3373" s="9" t="s">
        <v>672</v>
      </c>
      <c r="B3373" s="2">
        <v>36</v>
      </c>
      <c r="C3373" s="3" t="s">
        <v>95</v>
      </c>
      <c r="D3373" s="3" t="s">
        <v>96</v>
      </c>
      <c r="E3373" s="2"/>
      <c r="F3373" s="2"/>
      <c r="G3373" s="2" t="s">
        <v>69</v>
      </c>
      <c r="H3373" s="2">
        <v>7</v>
      </c>
      <c r="I3373" s="20">
        <v>120</v>
      </c>
      <c r="J3373" s="20">
        <v>66666</v>
      </c>
      <c r="K3373" s="3">
        <v>0</v>
      </c>
      <c r="L3373" s="3" t="s">
        <v>97</v>
      </c>
      <c r="M3373" s="9" t="s">
        <v>0</v>
      </c>
      <c r="N3373" s="9">
        <v>72787212</v>
      </c>
      <c r="O3373" s="9" t="s">
        <v>673</v>
      </c>
      <c r="S3373" s="9" t="s">
        <v>158</v>
      </c>
      <c r="T3373" s="10" t="s">
        <v>69</v>
      </c>
      <c r="U3373" s="10">
        <v>7</v>
      </c>
      <c r="V3373" s="10">
        <v>120</v>
      </c>
      <c r="W3373" s="10" t="s">
        <v>710</v>
      </c>
      <c r="X3373" s="17">
        <v>45785</v>
      </c>
      <c r="Y3373" s="17">
        <v>45789</v>
      </c>
      <c r="Z3373" s="19" t="s">
        <v>772</v>
      </c>
      <c r="AA3373" s="207">
        <v>39224</v>
      </c>
      <c r="AB3373" s="9">
        <v>48</v>
      </c>
      <c r="AC3373" s="9">
        <v>20</v>
      </c>
      <c r="AD3373" s="17">
        <v>46423</v>
      </c>
      <c r="AE3373" s="54">
        <v>500</v>
      </c>
      <c r="AF3373" s="54"/>
      <c r="AL3373" s="22"/>
      <c r="AM3373" s="22"/>
      <c r="AN3373" s="22"/>
      <c r="AO3373" s="22"/>
      <c r="AP3373" s="22"/>
      <c r="AQ3373" s="22"/>
      <c r="AR3373" s="22"/>
      <c r="AS3373" s="22"/>
      <c r="AT3373" s="22"/>
      <c r="AU3373" s="22"/>
      <c r="AV3373" s="22"/>
      <c r="AW3373" s="9"/>
      <c r="BA3373" s="22"/>
      <c r="BB3373" s="22"/>
      <c r="BD3373" s="9"/>
      <c r="CS3373" s="11">
        <f t="shared" si="231"/>
        <v>0</v>
      </c>
      <c r="CT3373" s="22">
        <f t="shared" si="232"/>
        <v>0</v>
      </c>
      <c r="CU3373" s="22">
        <f t="shared" si="233"/>
        <v>0</v>
      </c>
      <c r="CV3373" s="26">
        <f t="shared" si="234"/>
        <v>500</v>
      </c>
    </row>
    <row r="3374" spans="1:100" x14ac:dyDescent="0.2">
      <c r="A3374" s="9" t="s">
        <v>672</v>
      </c>
      <c r="B3374" s="2">
        <v>36</v>
      </c>
      <c r="C3374" s="3" t="s">
        <v>95</v>
      </c>
      <c r="D3374" s="3" t="s">
        <v>96</v>
      </c>
      <c r="E3374" s="2"/>
      <c r="F3374" s="2"/>
      <c r="G3374" s="2" t="s">
        <v>69</v>
      </c>
      <c r="H3374" s="2">
        <v>7</v>
      </c>
      <c r="I3374" s="20">
        <v>120</v>
      </c>
      <c r="J3374" s="20">
        <v>66666</v>
      </c>
      <c r="K3374" s="3">
        <v>0</v>
      </c>
      <c r="L3374" s="3" t="s">
        <v>97</v>
      </c>
      <c r="M3374" s="9" t="s">
        <v>0</v>
      </c>
      <c r="N3374" s="9">
        <v>72787212</v>
      </c>
      <c r="O3374" s="9" t="s">
        <v>673</v>
      </c>
      <c r="S3374" s="9" t="s">
        <v>158</v>
      </c>
      <c r="T3374" s="10" t="s">
        <v>69</v>
      </c>
      <c r="U3374" s="10">
        <v>7</v>
      </c>
      <c r="V3374" s="10">
        <v>120</v>
      </c>
      <c r="W3374" s="10" t="s">
        <v>710</v>
      </c>
      <c r="X3374" s="17">
        <v>45785</v>
      </c>
      <c r="Y3374" s="17">
        <v>45789</v>
      </c>
      <c r="Z3374" s="19" t="s">
        <v>772</v>
      </c>
      <c r="AA3374" s="207">
        <v>39224</v>
      </c>
      <c r="AB3374" s="9">
        <v>48</v>
      </c>
      <c r="AC3374" s="9">
        <v>21</v>
      </c>
      <c r="AD3374" s="17">
        <v>46451</v>
      </c>
      <c r="AE3374" s="54">
        <v>500</v>
      </c>
      <c r="AF3374" s="54"/>
      <c r="AL3374" s="22"/>
      <c r="AM3374" s="22"/>
      <c r="AN3374" s="22"/>
      <c r="AO3374" s="22"/>
      <c r="AP3374" s="22"/>
      <c r="AQ3374" s="22"/>
      <c r="AR3374" s="22"/>
      <c r="AS3374" s="22"/>
      <c r="AT3374" s="22"/>
      <c r="AU3374" s="22"/>
      <c r="AV3374" s="22"/>
      <c r="AW3374" s="9"/>
      <c r="BA3374" s="22"/>
      <c r="BB3374" s="22"/>
      <c r="BD3374" s="9"/>
      <c r="CS3374" s="11">
        <f t="shared" si="231"/>
        <v>0</v>
      </c>
      <c r="CT3374" s="22">
        <f t="shared" si="232"/>
        <v>0</v>
      </c>
      <c r="CU3374" s="22">
        <f t="shared" si="233"/>
        <v>0</v>
      </c>
      <c r="CV3374" s="26">
        <f t="shared" si="234"/>
        <v>500</v>
      </c>
    </row>
    <row r="3375" spans="1:100" x14ac:dyDescent="0.2">
      <c r="A3375" s="9" t="s">
        <v>672</v>
      </c>
      <c r="B3375" s="2">
        <v>36</v>
      </c>
      <c r="C3375" s="3" t="s">
        <v>95</v>
      </c>
      <c r="D3375" s="3" t="s">
        <v>96</v>
      </c>
      <c r="E3375" s="2"/>
      <c r="F3375" s="2"/>
      <c r="G3375" s="2" t="s">
        <v>69</v>
      </c>
      <c r="H3375" s="2">
        <v>7</v>
      </c>
      <c r="I3375" s="20">
        <v>120</v>
      </c>
      <c r="J3375" s="20">
        <v>66666</v>
      </c>
      <c r="K3375" s="3">
        <v>0</v>
      </c>
      <c r="L3375" s="3" t="s">
        <v>97</v>
      </c>
      <c r="M3375" s="9" t="s">
        <v>0</v>
      </c>
      <c r="N3375" s="9">
        <v>72787212</v>
      </c>
      <c r="O3375" s="9" t="s">
        <v>673</v>
      </c>
      <c r="S3375" s="9" t="s">
        <v>158</v>
      </c>
      <c r="T3375" s="10" t="s">
        <v>69</v>
      </c>
      <c r="U3375" s="10">
        <v>7</v>
      </c>
      <c r="V3375" s="10">
        <v>120</v>
      </c>
      <c r="W3375" s="10" t="s">
        <v>710</v>
      </c>
      <c r="X3375" s="17">
        <v>45785</v>
      </c>
      <c r="Y3375" s="17">
        <v>45789</v>
      </c>
      <c r="Z3375" s="19" t="s">
        <v>772</v>
      </c>
      <c r="AA3375" s="207">
        <v>39224</v>
      </c>
      <c r="AB3375" s="9">
        <v>48</v>
      </c>
      <c r="AC3375" s="9">
        <v>22</v>
      </c>
      <c r="AD3375" s="17">
        <v>46482</v>
      </c>
      <c r="AE3375" s="54">
        <v>500</v>
      </c>
      <c r="AF3375" s="54"/>
      <c r="AL3375" s="22"/>
      <c r="AM3375" s="22"/>
      <c r="AN3375" s="22"/>
      <c r="AO3375" s="22"/>
      <c r="AP3375" s="22"/>
      <c r="AQ3375" s="22"/>
      <c r="AR3375" s="22"/>
      <c r="AS3375" s="22"/>
      <c r="AT3375" s="22"/>
      <c r="AU3375" s="22"/>
      <c r="AV3375" s="22"/>
      <c r="AW3375" s="9"/>
      <c r="BA3375" s="22"/>
      <c r="BB3375" s="22"/>
      <c r="BD3375" s="9"/>
      <c r="CS3375" s="11">
        <f t="shared" si="231"/>
        <v>0</v>
      </c>
      <c r="CT3375" s="22">
        <f t="shared" si="232"/>
        <v>0</v>
      </c>
      <c r="CU3375" s="22">
        <f t="shared" si="233"/>
        <v>0</v>
      </c>
      <c r="CV3375" s="26">
        <f t="shared" si="234"/>
        <v>500</v>
      </c>
    </row>
    <row r="3376" spans="1:100" x14ac:dyDescent="0.2">
      <c r="A3376" s="9" t="s">
        <v>672</v>
      </c>
      <c r="B3376" s="2">
        <v>36</v>
      </c>
      <c r="C3376" s="3" t="s">
        <v>95</v>
      </c>
      <c r="D3376" s="3" t="s">
        <v>96</v>
      </c>
      <c r="E3376" s="2"/>
      <c r="F3376" s="2"/>
      <c r="G3376" s="2" t="s">
        <v>69</v>
      </c>
      <c r="H3376" s="2">
        <v>7</v>
      </c>
      <c r="I3376" s="20">
        <v>120</v>
      </c>
      <c r="J3376" s="20">
        <v>66666</v>
      </c>
      <c r="K3376" s="3">
        <v>0</v>
      </c>
      <c r="L3376" s="3" t="s">
        <v>97</v>
      </c>
      <c r="M3376" s="9" t="s">
        <v>0</v>
      </c>
      <c r="N3376" s="9">
        <v>72787212</v>
      </c>
      <c r="O3376" s="9" t="s">
        <v>673</v>
      </c>
      <c r="S3376" s="9" t="s">
        <v>158</v>
      </c>
      <c r="T3376" s="10" t="s">
        <v>69</v>
      </c>
      <c r="U3376" s="10">
        <v>7</v>
      </c>
      <c r="V3376" s="10">
        <v>120</v>
      </c>
      <c r="W3376" s="10" t="s">
        <v>710</v>
      </c>
      <c r="X3376" s="17">
        <v>45785</v>
      </c>
      <c r="Y3376" s="17">
        <v>45789</v>
      </c>
      <c r="Z3376" s="19" t="s">
        <v>772</v>
      </c>
      <c r="AA3376" s="207">
        <v>39224</v>
      </c>
      <c r="AB3376" s="9">
        <v>48</v>
      </c>
      <c r="AC3376" s="9">
        <v>23</v>
      </c>
      <c r="AD3376" s="17">
        <v>46512</v>
      </c>
      <c r="AE3376" s="54">
        <v>500</v>
      </c>
      <c r="AF3376" s="54"/>
      <c r="AL3376" s="22"/>
      <c r="AM3376" s="22"/>
      <c r="AN3376" s="22"/>
      <c r="AO3376" s="22"/>
      <c r="AP3376" s="22"/>
      <c r="AQ3376" s="22"/>
      <c r="AR3376" s="22"/>
      <c r="AS3376" s="22"/>
      <c r="AT3376" s="22"/>
      <c r="AU3376" s="22"/>
      <c r="AV3376" s="22"/>
      <c r="AW3376" s="9"/>
      <c r="BA3376" s="22"/>
      <c r="BB3376" s="22"/>
      <c r="BD3376" s="9"/>
      <c r="CS3376" s="11">
        <f t="shared" si="231"/>
        <v>0</v>
      </c>
      <c r="CT3376" s="22">
        <f t="shared" si="232"/>
        <v>0</v>
      </c>
      <c r="CU3376" s="22">
        <f t="shared" si="233"/>
        <v>0</v>
      </c>
      <c r="CV3376" s="26">
        <f t="shared" si="234"/>
        <v>500</v>
      </c>
    </row>
    <row r="3377" spans="1:100" x14ac:dyDescent="0.2">
      <c r="A3377" s="9" t="s">
        <v>672</v>
      </c>
      <c r="B3377" s="2">
        <v>36</v>
      </c>
      <c r="C3377" s="3" t="s">
        <v>95</v>
      </c>
      <c r="D3377" s="3" t="s">
        <v>96</v>
      </c>
      <c r="E3377" s="2"/>
      <c r="F3377" s="2"/>
      <c r="G3377" s="2" t="s">
        <v>69</v>
      </c>
      <c r="H3377" s="2">
        <v>7</v>
      </c>
      <c r="I3377" s="20">
        <v>120</v>
      </c>
      <c r="J3377" s="20">
        <v>66666</v>
      </c>
      <c r="K3377" s="3">
        <v>0</v>
      </c>
      <c r="L3377" s="3" t="s">
        <v>97</v>
      </c>
      <c r="M3377" s="9" t="s">
        <v>0</v>
      </c>
      <c r="N3377" s="9">
        <v>72787212</v>
      </c>
      <c r="O3377" s="9" t="s">
        <v>673</v>
      </c>
      <c r="S3377" s="9" t="s">
        <v>158</v>
      </c>
      <c r="T3377" s="10" t="s">
        <v>69</v>
      </c>
      <c r="U3377" s="10">
        <v>7</v>
      </c>
      <c r="V3377" s="10">
        <v>120</v>
      </c>
      <c r="W3377" s="10" t="s">
        <v>710</v>
      </c>
      <c r="X3377" s="17">
        <v>45785</v>
      </c>
      <c r="Y3377" s="17">
        <v>45789</v>
      </c>
      <c r="Z3377" s="19" t="s">
        <v>772</v>
      </c>
      <c r="AA3377" s="207">
        <v>39224</v>
      </c>
      <c r="AB3377" s="9">
        <v>48</v>
      </c>
      <c r="AC3377" s="9">
        <v>24</v>
      </c>
      <c r="AD3377" s="17">
        <v>46543</v>
      </c>
      <c r="AE3377" s="54">
        <v>500</v>
      </c>
      <c r="AF3377" s="54"/>
      <c r="AL3377" s="22"/>
      <c r="AM3377" s="22"/>
      <c r="AN3377" s="22"/>
      <c r="AO3377" s="22"/>
      <c r="AP3377" s="22"/>
      <c r="AQ3377" s="22"/>
      <c r="AR3377" s="22"/>
      <c r="AS3377" s="22"/>
      <c r="AT3377" s="22"/>
      <c r="AU3377" s="22"/>
      <c r="AV3377" s="22"/>
      <c r="AW3377" s="9"/>
      <c r="BA3377" s="22"/>
      <c r="BB3377" s="22"/>
      <c r="BD3377" s="9"/>
      <c r="CS3377" s="11">
        <f t="shared" si="231"/>
        <v>0</v>
      </c>
      <c r="CT3377" s="22">
        <f t="shared" si="232"/>
        <v>0</v>
      </c>
      <c r="CU3377" s="22">
        <f t="shared" si="233"/>
        <v>0</v>
      </c>
      <c r="CV3377" s="26">
        <f t="shared" si="234"/>
        <v>500</v>
      </c>
    </row>
    <row r="3378" spans="1:100" x14ac:dyDescent="0.2">
      <c r="A3378" s="9" t="s">
        <v>672</v>
      </c>
      <c r="B3378" s="2">
        <v>36</v>
      </c>
      <c r="C3378" s="3" t="s">
        <v>95</v>
      </c>
      <c r="D3378" s="3" t="s">
        <v>96</v>
      </c>
      <c r="E3378" s="2"/>
      <c r="F3378" s="2"/>
      <c r="G3378" s="2" t="s">
        <v>69</v>
      </c>
      <c r="H3378" s="2">
        <v>7</v>
      </c>
      <c r="I3378" s="20">
        <v>120</v>
      </c>
      <c r="J3378" s="20">
        <v>66666</v>
      </c>
      <c r="K3378" s="3">
        <v>0</v>
      </c>
      <c r="L3378" s="3" t="s">
        <v>97</v>
      </c>
      <c r="M3378" s="9" t="s">
        <v>0</v>
      </c>
      <c r="N3378" s="9">
        <v>72787212</v>
      </c>
      <c r="O3378" s="9" t="s">
        <v>673</v>
      </c>
      <c r="S3378" s="9" t="s">
        <v>158</v>
      </c>
      <c r="T3378" s="10" t="s">
        <v>69</v>
      </c>
      <c r="U3378" s="10">
        <v>7</v>
      </c>
      <c r="V3378" s="10">
        <v>120</v>
      </c>
      <c r="W3378" s="10" t="s">
        <v>710</v>
      </c>
      <c r="X3378" s="17">
        <v>45785</v>
      </c>
      <c r="Y3378" s="17">
        <v>45789</v>
      </c>
      <c r="Z3378" s="19" t="s">
        <v>772</v>
      </c>
      <c r="AA3378" s="207">
        <v>39224</v>
      </c>
      <c r="AB3378" s="9">
        <v>48</v>
      </c>
      <c r="AC3378" s="9">
        <v>25</v>
      </c>
      <c r="AD3378" s="17">
        <v>46573</v>
      </c>
      <c r="AE3378" s="54">
        <v>500</v>
      </c>
      <c r="AF3378" s="54"/>
      <c r="AL3378" s="22"/>
      <c r="AM3378" s="22"/>
      <c r="AN3378" s="22"/>
      <c r="AO3378" s="22"/>
      <c r="AP3378" s="22"/>
      <c r="AQ3378" s="22"/>
      <c r="AR3378" s="22"/>
      <c r="AS3378" s="22"/>
      <c r="AT3378" s="22"/>
      <c r="AU3378" s="22"/>
      <c r="AV3378" s="22"/>
      <c r="AW3378" s="9"/>
      <c r="BA3378" s="22"/>
      <c r="BB3378" s="22"/>
      <c r="BD3378" s="9"/>
      <c r="CS3378" s="11">
        <f t="shared" si="231"/>
        <v>0</v>
      </c>
      <c r="CT3378" s="22">
        <f t="shared" si="232"/>
        <v>0</v>
      </c>
      <c r="CU3378" s="22">
        <f t="shared" si="233"/>
        <v>0</v>
      </c>
      <c r="CV3378" s="26">
        <f t="shared" si="234"/>
        <v>500</v>
      </c>
    </row>
    <row r="3379" spans="1:100" x14ac:dyDescent="0.2">
      <c r="A3379" s="9" t="s">
        <v>672</v>
      </c>
      <c r="B3379" s="2">
        <v>36</v>
      </c>
      <c r="C3379" s="3" t="s">
        <v>95</v>
      </c>
      <c r="D3379" s="3" t="s">
        <v>96</v>
      </c>
      <c r="E3379" s="2"/>
      <c r="F3379" s="2"/>
      <c r="G3379" s="2" t="s">
        <v>69</v>
      </c>
      <c r="H3379" s="2">
        <v>7</v>
      </c>
      <c r="I3379" s="20">
        <v>120</v>
      </c>
      <c r="J3379" s="20">
        <v>66666</v>
      </c>
      <c r="K3379" s="3">
        <v>0</v>
      </c>
      <c r="L3379" s="3" t="s">
        <v>97</v>
      </c>
      <c r="M3379" s="9" t="s">
        <v>0</v>
      </c>
      <c r="N3379" s="9">
        <v>72787212</v>
      </c>
      <c r="O3379" s="9" t="s">
        <v>673</v>
      </c>
      <c r="S3379" s="9" t="s">
        <v>158</v>
      </c>
      <c r="T3379" s="10" t="s">
        <v>69</v>
      </c>
      <c r="U3379" s="10">
        <v>7</v>
      </c>
      <c r="V3379" s="10">
        <v>120</v>
      </c>
      <c r="W3379" s="10" t="s">
        <v>710</v>
      </c>
      <c r="X3379" s="17">
        <v>45785</v>
      </c>
      <c r="Y3379" s="17">
        <v>45789</v>
      </c>
      <c r="Z3379" s="19" t="s">
        <v>772</v>
      </c>
      <c r="AA3379" s="207">
        <v>39224</v>
      </c>
      <c r="AB3379" s="9">
        <v>48</v>
      </c>
      <c r="AC3379" s="9">
        <v>26</v>
      </c>
      <c r="AD3379" s="17">
        <v>46604</v>
      </c>
      <c r="AE3379" s="54">
        <v>500</v>
      </c>
      <c r="AF3379" s="54"/>
      <c r="AL3379" s="22"/>
      <c r="AM3379" s="22"/>
      <c r="AN3379" s="22"/>
      <c r="AO3379" s="22"/>
      <c r="AP3379" s="22"/>
      <c r="AQ3379" s="22"/>
      <c r="AR3379" s="22"/>
      <c r="AS3379" s="22"/>
      <c r="AT3379" s="22"/>
      <c r="AU3379" s="22"/>
      <c r="AV3379" s="22"/>
      <c r="AW3379" s="9"/>
      <c r="BA3379" s="22"/>
      <c r="BB3379" s="22"/>
      <c r="BD3379" s="9"/>
      <c r="CS3379" s="11">
        <f t="shared" si="231"/>
        <v>0</v>
      </c>
      <c r="CT3379" s="22">
        <f t="shared" si="232"/>
        <v>0</v>
      </c>
      <c r="CU3379" s="22">
        <f t="shared" si="233"/>
        <v>0</v>
      </c>
      <c r="CV3379" s="26">
        <f t="shared" si="234"/>
        <v>500</v>
      </c>
    </row>
    <row r="3380" spans="1:100" x14ac:dyDescent="0.2">
      <c r="A3380" s="9" t="s">
        <v>672</v>
      </c>
      <c r="B3380" s="2">
        <v>36</v>
      </c>
      <c r="C3380" s="3" t="s">
        <v>95</v>
      </c>
      <c r="D3380" s="3" t="s">
        <v>96</v>
      </c>
      <c r="E3380" s="2"/>
      <c r="F3380" s="2"/>
      <c r="G3380" s="2" t="s">
        <v>69</v>
      </c>
      <c r="H3380" s="2">
        <v>7</v>
      </c>
      <c r="I3380" s="20">
        <v>120</v>
      </c>
      <c r="J3380" s="20">
        <v>66666</v>
      </c>
      <c r="K3380" s="3">
        <v>0</v>
      </c>
      <c r="L3380" s="3" t="s">
        <v>97</v>
      </c>
      <c r="M3380" s="9" t="s">
        <v>0</v>
      </c>
      <c r="N3380" s="9">
        <v>72787212</v>
      </c>
      <c r="O3380" s="9" t="s">
        <v>673</v>
      </c>
      <c r="S3380" s="9" t="s">
        <v>158</v>
      </c>
      <c r="T3380" s="10" t="s">
        <v>69</v>
      </c>
      <c r="U3380" s="10">
        <v>7</v>
      </c>
      <c r="V3380" s="10">
        <v>120</v>
      </c>
      <c r="W3380" s="10" t="s">
        <v>710</v>
      </c>
      <c r="X3380" s="17">
        <v>45785</v>
      </c>
      <c r="Y3380" s="17">
        <v>45789</v>
      </c>
      <c r="Z3380" s="19" t="s">
        <v>772</v>
      </c>
      <c r="AA3380" s="207">
        <v>39224</v>
      </c>
      <c r="AB3380" s="9">
        <v>48</v>
      </c>
      <c r="AC3380" s="9">
        <v>27</v>
      </c>
      <c r="AD3380" s="17">
        <v>46635</v>
      </c>
      <c r="AE3380" s="54">
        <v>500</v>
      </c>
      <c r="AF3380" s="54"/>
      <c r="AL3380" s="22"/>
      <c r="AM3380" s="22"/>
      <c r="AN3380" s="22"/>
      <c r="AO3380" s="22"/>
      <c r="AP3380" s="22"/>
      <c r="AQ3380" s="22"/>
      <c r="AR3380" s="22"/>
      <c r="AS3380" s="22"/>
      <c r="AT3380" s="22"/>
      <c r="AU3380" s="22"/>
      <c r="AV3380" s="22"/>
      <c r="AW3380" s="9"/>
      <c r="BA3380" s="22"/>
      <c r="BB3380" s="22"/>
      <c r="BD3380" s="9"/>
      <c r="CS3380" s="11">
        <f t="shared" ref="CS3380:CS3443" si="235">+AL3380+AT3380</f>
        <v>0</v>
      </c>
      <c r="CT3380" s="22">
        <f t="shared" ref="CT3380:CT3443" si="236">+BA3380+BG3380+BM3380+BS3380+BY3380+CE3380+CK3380+CQ3380</f>
        <v>0</v>
      </c>
      <c r="CU3380" s="22">
        <f t="shared" ref="CU3380:CU3443" si="237">+CS3380-CT3380</f>
        <v>0</v>
      </c>
      <c r="CV3380" s="26">
        <f t="shared" si="234"/>
        <v>500</v>
      </c>
    </row>
    <row r="3381" spans="1:100" x14ac:dyDescent="0.2">
      <c r="A3381" s="9" t="s">
        <v>672</v>
      </c>
      <c r="B3381" s="2">
        <v>36</v>
      </c>
      <c r="C3381" s="3" t="s">
        <v>95</v>
      </c>
      <c r="D3381" s="3" t="s">
        <v>96</v>
      </c>
      <c r="E3381" s="2"/>
      <c r="F3381" s="2"/>
      <c r="G3381" s="2" t="s">
        <v>69</v>
      </c>
      <c r="H3381" s="2">
        <v>7</v>
      </c>
      <c r="I3381" s="20">
        <v>120</v>
      </c>
      <c r="J3381" s="20">
        <v>66666</v>
      </c>
      <c r="K3381" s="3">
        <v>0</v>
      </c>
      <c r="L3381" s="3" t="s">
        <v>97</v>
      </c>
      <c r="M3381" s="9" t="s">
        <v>0</v>
      </c>
      <c r="N3381" s="9">
        <v>72787212</v>
      </c>
      <c r="O3381" s="9" t="s">
        <v>673</v>
      </c>
      <c r="S3381" s="9" t="s">
        <v>158</v>
      </c>
      <c r="T3381" s="10" t="s">
        <v>69</v>
      </c>
      <c r="U3381" s="10">
        <v>7</v>
      </c>
      <c r="V3381" s="10">
        <v>120</v>
      </c>
      <c r="W3381" s="10" t="s">
        <v>710</v>
      </c>
      <c r="X3381" s="17">
        <v>45785</v>
      </c>
      <c r="Y3381" s="17">
        <v>45789</v>
      </c>
      <c r="Z3381" s="19" t="s">
        <v>772</v>
      </c>
      <c r="AA3381" s="207">
        <v>39224</v>
      </c>
      <c r="AB3381" s="9">
        <v>48</v>
      </c>
      <c r="AC3381" s="9">
        <v>28</v>
      </c>
      <c r="AD3381" s="17">
        <v>46665</v>
      </c>
      <c r="AE3381" s="54">
        <v>500</v>
      </c>
      <c r="AF3381" s="54"/>
      <c r="AL3381" s="22"/>
      <c r="AM3381" s="22"/>
      <c r="AN3381" s="22"/>
      <c r="AO3381" s="22"/>
      <c r="AP3381" s="22"/>
      <c r="AQ3381" s="22"/>
      <c r="AR3381" s="22"/>
      <c r="AS3381" s="22"/>
      <c r="AT3381" s="22"/>
      <c r="AU3381" s="22"/>
      <c r="AV3381" s="22"/>
      <c r="AW3381" s="9"/>
      <c r="BA3381" s="22"/>
      <c r="BB3381" s="22"/>
      <c r="BD3381" s="9"/>
      <c r="CS3381" s="11">
        <f t="shared" si="235"/>
        <v>0</v>
      </c>
      <c r="CT3381" s="22">
        <f t="shared" si="236"/>
        <v>0</v>
      </c>
      <c r="CU3381" s="22">
        <f t="shared" si="237"/>
        <v>0</v>
      </c>
      <c r="CV3381" s="26">
        <f t="shared" si="234"/>
        <v>500</v>
      </c>
    </row>
    <row r="3382" spans="1:100" x14ac:dyDescent="0.2">
      <c r="A3382" s="9" t="s">
        <v>672</v>
      </c>
      <c r="B3382" s="2">
        <v>36</v>
      </c>
      <c r="C3382" s="3" t="s">
        <v>95</v>
      </c>
      <c r="D3382" s="3" t="s">
        <v>96</v>
      </c>
      <c r="E3382" s="2"/>
      <c r="F3382" s="2"/>
      <c r="G3382" s="2" t="s">
        <v>69</v>
      </c>
      <c r="H3382" s="2">
        <v>7</v>
      </c>
      <c r="I3382" s="20">
        <v>120</v>
      </c>
      <c r="J3382" s="20">
        <v>66666</v>
      </c>
      <c r="K3382" s="3">
        <v>0</v>
      </c>
      <c r="L3382" s="3" t="s">
        <v>97</v>
      </c>
      <c r="M3382" s="9" t="s">
        <v>0</v>
      </c>
      <c r="N3382" s="9">
        <v>72787212</v>
      </c>
      <c r="O3382" s="9" t="s">
        <v>673</v>
      </c>
      <c r="S3382" s="9" t="s">
        <v>158</v>
      </c>
      <c r="T3382" s="10" t="s">
        <v>69</v>
      </c>
      <c r="U3382" s="10">
        <v>7</v>
      </c>
      <c r="V3382" s="10">
        <v>120</v>
      </c>
      <c r="W3382" s="10" t="s">
        <v>710</v>
      </c>
      <c r="X3382" s="17">
        <v>45785</v>
      </c>
      <c r="Y3382" s="17">
        <v>45789</v>
      </c>
      <c r="Z3382" s="19" t="s">
        <v>772</v>
      </c>
      <c r="AA3382" s="207">
        <v>39224</v>
      </c>
      <c r="AB3382" s="9">
        <v>48</v>
      </c>
      <c r="AC3382" s="9">
        <v>29</v>
      </c>
      <c r="AD3382" s="17">
        <v>46696</v>
      </c>
      <c r="AE3382" s="54">
        <v>500</v>
      </c>
      <c r="AF3382" s="54"/>
      <c r="AL3382" s="22"/>
      <c r="AM3382" s="22"/>
      <c r="AN3382" s="22"/>
      <c r="AO3382" s="22"/>
      <c r="AP3382" s="22"/>
      <c r="AQ3382" s="22"/>
      <c r="AR3382" s="22"/>
      <c r="AS3382" s="22"/>
      <c r="AT3382" s="22"/>
      <c r="AU3382" s="22"/>
      <c r="AV3382" s="22"/>
      <c r="AW3382" s="9"/>
      <c r="BA3382" s="22"/>
      <c r="BB3382" s="22"/>
      <c r="BD3382" s="9"/>
      <c r="CS3382" s="11">
        <f t="shared" si="235"/>
        <v>0</v>
      </c>
      <c r="CT3382" s="22">
        <f t="shared" si="236"/>
        <v>0</v>
      </c>
      <c r="CU3382" s="22">
        <f t="shared" si="237"/>
        <v>0</v>
      </c>
      <c r="CV3382" s="26">
        <f t="shared" si="234"/>
        <v>500</v>
      </c>
    </row>
    <row r="3383" spans="1:100" x14ac:dyDescent="0.2">
      <c r="A3383" s="9" t="s">
        <v>672</v>
      </c>
      <c r="B3383" s="2">
        <v>36</v>
      </c>
      <c r="C3383" s="3" t="s">
        <v>95</v>
      </c>
      <c r="D3383" s="3" t="s">
        <v>96</v>
      </c>
      <c r="E3383" s="2"/>
      <c r="F3383" s="2"/>
      <c r="G3383" s="2" t="s">
        <v>69</v>
      </c>
      <c r="H3383" s="2">
        <v>7</v>
      </c>
      <c r="I3383" s="20">
        <v>120</v>
      </c>
      <c r="J3383" s="20">
        <v>66666</v>
      </c>
      <c r="K3383" s="3">
        <v>0</v>
      </c>
      <c r="L3383" s="3" t="s">
        <v>97</v>
      </c>
      <c r="M3383" s="9" t="s">
        <v>0</v>
      </c>
      <c r="N3383" s="9">
        <v>72787212</v>
      </c>
      <c r="O3383" s="9" t="s">
        <v>673</v>
      </c>
      <c r="S3383" s="9" t="s">
        <v>158</v>
      </c>
      <c r="T3383" s="10" t="s">
        <v>69</v>
      </c>
      <c r="U3383" s="10">
        <v>7</v>
      </c>
      <c r="V3383" s="10">
        <v>120</v>
      </c>
      <c r="W3383" s="10" t="s">
        <v>710</v>
      </c>
      <c r="X3383" s="17">
        <v>45785</v>
      </c>
      <c r="Y3383" s="17">
        <v>45789</v>
      </c>
      <c r="Z3383" s="19" t="s">
        <v>772</v>
      </c>
      <c r="AA3383" s="207">
        <v>39224</v>
      </c>
      <c r="AB3383" s="9">
        <v>48</v>
      </c>
      <c r="AC3383" s="9">
        <v>30</v>
      </c>
      <c r="AD3383" s="17">
        <v>46726</v>
      </c>
      <c r="AE3383" s="54">
        <v>500</v>
      </c>
      <c r="AF3383" s="54"/>
      <c r="AL3383" s="22"/>
      <c r="AM3383" s="22"/>
      <c r="AN3383" s="22"/>
      <c r="AO3383" s="22"/>
      <c r="AP3383" s="22"/>
      <c r="AQ3383" s="22"/>
      <c r="AR3383" s="22"/>
      <c r="AS3383" s="22"/>
      <c r="AT3383" s="22"/>
      <c r="AU3383" s="22"/>
      <c r="AV3383" s="22"/>
      <c r="AW3383" s="9"/>
      <c r="BA3383" s="22"/>
      <c r="BB3383" s="22"/>
      <c r="BD3383" s="9"/>
      <c r="CS3383" s="11">
        <f t="shared" si="235"/>
        <v>0</v>
      </c>
      <c r="CT3383" s="22">
        <f t="shared" si="236"/>
        <v>0</v>
      </c>
      <c r="CU3383" s="22">
        <f t="shared" si="237"/>
        <v>0</v>
      </c>
      <c r="CV3383" s="26">
        <f t="shared" si="234"/>
        <v>500</v>
      </c>
    </row>
    <row r="3384" spans="1:100" x14ac:dyDescent="0.2">
      <c r="A3384" s="9" t="s">
        <v>672</v>
      </c>
      <c r="B3384" s="2">
        <v>36</v>
      </c>
      <c r="C3384" s="3" t="s">
        <v>95</v>
      </c>
      <c r="D3384" s="3" t="s">
        <v>96</v>
      </c>
      <c r="E3384" s="2"/>
      <c r="F3384" s="2"/>
      <c r="G3384" s="2" t="s">
        <v>69</v>
      </c>
      <c r="H3384" s="2">
        <v>7</v>
      </c>
      <c r="I3384" s="20">
        <v>120</v>
      </c>
      <c r="J3384" s="20">
        <v>66666</v>
      </c>
      <c r="K3384" s="3">
        <v>0</v>
      </c>
      <c r="L3384" s="3" t="s">
        <v>97</v>
      </c>
      <c r="M3384" s="9" t="s">
        <v>0</v>
      </c>
      <c r="N3384" s="9">
        <v>72787212</v>
      </c>
      <c r="O3384" s="9" t="s">
        <v>673</v>
      </c>
      <c r="S3384" s="9" t="s">
        <v>158</v>
      </c>
      <c r="T3384" s="10" t="s">
        <v>69</v>
      </c>
      <c r="U3384" s="10">
        <v>7</v>
      </c>
      <c r="V3384" s="10">
        <v>120</v>
      </c>
      <c r="W3384" s="10" t="s">
        <v>710</v>
      </c>
      <c r="X3384" s="17">
        <v>45785</v>
      </c>
      <c r="Y3384" s="17">
        <v>45789</v>
      </c>
      <c r="Z3384" s="19" t="s">
        <v>772</v>
      </c>
      <c r="AA3384" s="207">
        <v>39224</v>
      </c>
      <c r="AB3384" s="9">
        <v>48</v>
      </c>
      <c r="AC3384" s="9">
        <v>31</v>
      </c>
      <c r="AD3384" s="17">
        <v>46757</v>
      </c>
      <c r="AE3384" s="54">
        <v>500</v>
      </c>
      <c r="AF3384" s="54"/>
      <c r="AL3384" s="22"/>
      <c r="AM3384" s="22"/>
      <c r="AN3384" s="22"/>
      <c r="AO3384" s="22"/>
      <c r="AP3384" s="22"/>
      <c r="AQ3384" s="22"/>
      <c r="AR3384" s="22"/>
      <c r="AS3384" s="22"/>
      <c r="AT3384" s="22"/>
      <c r="AU3384" s="22"/>
      <c r="AV3384" s="22"/>
      <c r="AW3384" s="9"/>
      <c r="BA3384" s="22"/>
      <c r="BB3384" s="22"/>
      <c r="BD3384" s="9"/>
      <c r="CS3384" s="11">
        <f t="shared" si="235"/>
        <v>0</v>
      </c>
      <c r="CT3384" s="22">
        <f t="shared" si="236"/>
        <v>0</v>
      </c>
      <c r="CU3384" s="22">
        <f t="shared" si="237"/>
        <v>0</v>
      </c>
      <c r="CV3384" s="26">
        <f t="shared" si="234"/>
        <v>500</v>
      </c>
    </row>
    <row r="3385" spans="1:100" x14ac:dyDescent="0.2">
      <c r="A3385" s="9" t="s">
        <v>672</v>
      </c>
      <c r="B3385" s="2">
        <v>36</v>
      </c>
      <c r="C3385" s="3" t="s">
        <v>95</v>
      </c>
      <c r="D3385" s="3" t="s">
        <v>96</v>
      </c>
      <c r="E3385" s="2"/>
      <c r="F3385" s="2"/>
      <c r="G3385" s="2" t="s">
        <v>69</v>
      </c>
      <c r="H3385" s="2">
        <v>7</v>
      </c>
      <c r="I3385" s="20">
        <v>120</v>
      </c>
      <c r="J3385" s="20">
        <v>66666</v>
      </c>
      <c r="K3385" s="3">
        <v>0</v>
      </c>
      <c r="L3385" s="3" t="s">
        <v>97</v>
      </c>
      <c r="M3385" s="9" t="s">
        <v>0</v>
      </c>
      <c r="N3385" s="9">
        <v>72787212</v>
      </c>
      <c r="O3385" s="9" t="s">
        <v>673</v>
      </c>
      <c r="S3385" s="9" t="s">
        <v>158</v>
      </c>
      <c r="T3385" s="10" t="s">
        <v>69</v>
      </c>
      <c r="U3385" s="10">
        <v>7</v>
      </c>
      <c r="V3385" s="10">
        <v>120</v>
      </c>
      <c r="W3385" s="10" t="s">
        <v>710</v>
      </c>
      <c r="X3385" s="17">
        <v>45785</v>
      </c>
      <c r="Y3385" s="17">
        <v>45789</v>
      </c>
      <c r="Z3385" s="19" t="s">
        <v>772</v>
      </c>
      <c r="AA3385" s="207">
        <v>39224</v>
      </c>
      <c r="AB3385" s="9">
        <v>48</v>
      </c>
      <c r="AC3385" s="9">
        <v>32</v>
      </c>
      <c r="AD3385" s="17">
        <v>46788</v>
      </c>
      <c r="AE3385" s="54">
        <v>500</v>
      </c>
      <c r="AF3385" s="54"/>
      <c r="AL3385" s="22"/>
      <c r="AM3385" s="22"/>
      <c r="AN3385" s="22"/>
      <c r="AO3385" s="22"/>
      <c r="AP3385" s="22"/>
      <c r="AQ3385" s="22"/>
      <c r="AR3385" s="22"/>
      <c r="AS3385" s="22"/>
      <c r="AT3385" s="22"/>
      <c r="AU3385" s="22"/>
      <c r="AV3385" s="22"/>
      <c r="AW3385" s="9"/>
      <c r="BA3385" s="22"/>
      <c r="BB3385" s="22"/>
      <c r="BD3385" s="9"/>
      <c r="CS3385" s="11">
        <f t="shared" si="235"/>
        <v>0</v>
      </c>
      <c r="CT3385" s="22">
        <f t="shared" si="236"/>
        <v>0</v>
      </c>
      <c r="CU3385" s="22">
        <f t="shared" si="237"/>
        <v>0</v>
      </c>
      <c r="CV3385" s="26">
        <f t="shared" ref="CV3385:CV3448" si="238">+AE3385-AL3385-AT3385</f>
        <v>500</v>
      </c>
    </row>
    <row r="3386" spans="1:100" x14ac:dyDescent="0.2">
      <c r="A3386" s="9" t="s">
        <v>672</v>
      </c>
      <c r="B3386" s="2">
        <v>36</v>
      </c>
      <c r="C3386" s="3" t="s">
        <v>95</v>
      </c>
      <c r="D3386" s="3" t="s">
        <v>96</v>
      </c>
      <c r="E3386" s="2"/>
      <c r="F3386" s="2"/>
      <c r="G3386" s="2" t="s">
        <v>69</v>
      </c>
      <c r="H3386" s="2">
        <v>7</v>
      </c>
      <c r="I3386" s="20">
        <v>120</v>
      </c>
      <c r="J3386" s="20">
        <v>66666</v>
      </c>
      <c r="K3386" s="3">
        <v>0</v>
      </c>
      <c r="L3386" s="3" t="s">
        <v>97</v>
      </c>
      <c r="M3386" s="9" t="s">
        <v>0</v>
      </c>
      <c r="N3386" s="9">
        <v>72787212</v>
      </c>
      <c r="O3386" s="9" t="s">
        <v>673</v>
      </c>
      <c r="S3386" s="9" t="s">
        <v>158</v>
      </c>
      <c r="T3386" s="10" t="s">
        <v>69</v>
      </c>
      <c r="U3386" s="10">
        <v>7</v>
      </c>
      <c r="V3386" s="10">
        <v>120</v>
      </c>
      <c r="W3386" s="10" t="s">
        <v>710</v>
      </c>
      <c r="X3386" s="17">
        <v>45785</v>
      </c>
      <c r="Y3386" s="17">
        <v>45789</v>
      </c>
      <c r="Z3386" s="19" t="s">
        <v>772</v>
      </c>
      <c r="AA3386" s="207">
        <v>39224</v>
      </c>
      <c r="AB3386" s="9">
        <v>48</v>
      </c>
      <c r="AC3386" s="9">
        <v>33</v>
      </c>
      <c r="AD3386" s="17">
        <v>46817</v>
      </c>
      <c r="AE3386" s="54">
        <v>500</v>
      </c>
      <c r="AF3386" s="54"/>
      <c r="AL3386" s="22"/>
      <c r="AM3386" s="22"/>
      <c r="AN3386" s="22"/>
      <c r="AO3386" s="22"/>
      <c r="AP3386" s="22"/>
      <c r="AQ3386" s="22"/>
      <c r="AR3386" s="22"/>
      <c r="AS3386" s="22"/>
      <c r="AT3386" s="22"/>
      <c r="AU3386" s="22"/>
      <c r="AV3386" s="22"/>
      <c r="AW3386" s="9"/>
      <c r="BA3386" s="22"/>
      <c r="BB3386" s="22"/>
      <c r="BD3386" s="9"/>
      <c r="CS3386" s="11">
        <f t="shared" si="235"/>
        <v>0</v>
      </c>
      <c r="CT3386" s="22">
        <f t="shared" si="236"/>
        <v>0</v>
      </c>
      <c r="CU3386" s="22">
        <f t="shared" si="237"/>
        <v>0</v>
      </c>
      <c r="CV3386" s="26">
        <f t="shared" si="238"/>
        <v>500</v>
      </c>
    </row>
    <row r="3387" spans="1:100" x14ac:dyDescent="0.2">
      <c r="A3387" s="9" t="s">
        <v>672</v>
      </c>
      <c r="B3387" s="2">
        <v>36</v>
      </c>
      <c r="C3387" s="3" t="s">
        <v>95</v>
      </c>
      <c r="D3387" s="3" t="s">
        <v>96</v>
      </c>
      <c r="E3387" s="2"/>
      <c r="F3387" s="2"/>
      <c r="G3387" s="2" t="s">
        <v>69</v>
      </c>
      <c r="H3387" s="2">
        <v>7</v>
      </c>
      <c r="I3387" s="20">
        <v>120</v>
      </c>
      <c r="J3387" s="20">
        <v>66666</v>
      </c>
      <c r="K3387" s="3">
        <v>0</v>
      </c>
      <c r="L3387" s="3" t="s">
        <v>97</v>
      </c>
      <c r="M3387" s="9" t="s">
        <v>0</v>
      </c>
      <c r="N3387" s="9">
        <v>72787212</v>
      </c>
      <c r="O3387" s="9" t="s">
        <v>673</v>
      </c>
      <c r="S3387" s="9" t="s">
        <v>158</v>
      </c>
      <c r="T3387" s="10" t="s">
        <v>69</v>
      </c>
      <c r="U3387" s="10">
        <v>7</v>
      </c>
      <c r="V3387" s="10">
        <v>120</v>
      </c>
      <c r="W3387" s="10" t="s">
        <v>710</v>
      </c>
      <c r="X3387" s="17">
        <v>45785</v>
      </c>
      <c r="Y3387" s="17">
        <v>45789</v>
      </c>
      <c r="Z3387" s="19" t="s">
        <v>772</v>
      </c>
      <c r="AA3387" s="207">
        <v>39224</v>
      </c>
      <c r="AB3387" s="9">
        <v>48</v>
      </c>
      <c r="AC3387" s="9">
        <v>34</v>
      </c>
      <c r="AD3387" s="17">
        <v>46848</v>
      </c>
      <c r="AE3387" s="54">
        <v>500</v>
      </c>
      <c r="AF3387" s="54"/>
      <c r="AL3387" s="22"/>
      <c r="AM3387" s="22"/>
      <c r="AN3387" s="22"/>
      <c r="AO3387" s="22"/>
      <c r="AP3387" s="22"/>
      <c r="AQ3387" s="22"/>
      <c r="AR3387" s="22"/>
      <c r="AS3387" s="22"/>
      <c r="AT3387" s="22"/>
      <c r="AU3387" s="22"/>
      <c r="AV3387" s="22"/>
      <c r="AW3387" s="9"/>
      <c r="BA3387" s="22"/>
      <c r="BB3387" s="22"/>
      <c r="BD3387" s="9"/>
      <c r="CS3387" s="11">
        <f t="shared" si="235"/>
        <v>0</v>
      </c>
      <c r="CT3387" s="22">
        <f t="shared" si="236"/>
        <v>0</v>
      </c>
      <c r="CU3387" s="22">
        <f t="shared" si="237"/>
        <v>0</v>
      </c>
      <c r="CV3387" s="26">
        <f t="shared" si="238"/>
        <v>500</v>
      </c>
    </row>
    <row r="3388" spans="1:100" x14ac:dyDescent="0.2">
      <c r="A3388" s="9" t="s">
        <v>672</v>
      </c>
      <c r="B3388" s="2">
        <v>36</v>
      </c>
      <c r="C3388" s="3" t="s">
        <v>95</v>
      </c>
      <c r="D3388" s="3" t="s">
        <v>96</v>
      </c>
      <c r="E3388" s="2"/>
      <c r="F3388" s="2"/>
      <c r="G3388" s="2" t="s">
        <v>69</v>
      </c>
      <c r="H3388" s="2">
        <v>7</v>
      </c>
      <c r="I3388" s="20">
        <v>120</v>
      </c>
      <c r="J3388" s="20">
        <v>66666</v>
      </c>
      <c r="K3388" s="3">
        <v>0</v>
      </c>
      <c r="L3388" s="3" t="s">
        <v>97</v>
      </c>
      <c r="M3388" s="9" t="s">
        <v>0</v>
      </c>
      <c r="N3388" s="9">
        <v>72787212</v>
      </c>
      <c r="O3388" s="9" t="s">
        <v>673</v>
      </c>
      <c r="S3388" s="9" t="s">
        <v>158</v>
      </c>
      <c r="T3388" s="10" t="s">
        <v>69</v>
      </c>
      <c r="U3388" s="10">
        <v>7</v>
      </c>
      <c r="V3388" s="10">
        <v>120</v>
      </c>
      <c r="W3388" s="10" t="s">
        <v>710</v>
      </c>
      <c r="X3388" s="17">
        <v>45785</v>
      </c>
      <c r="Y3388" s="17">
        <v>45789</v>
      </c>
      <c r="Z3388" s="19" t="s">
        <v>772</v>
      </c>
      <c r="AA3388" s="207">
        <v>39224</v>
      </c>
      <c r="AB3388" s="9">
        <v>48</v>
      </c>
      <c r="AC3388" s="9">
        <v>35</v>
      </c>
      <c r="AD3388" s="17">
        <v>46878</v>
      </c>
      <c r="AE3388" s="54">
        <v>500</v>
      </c>
      <c r="AF3388" s="54"/>
      <c r="AL3388" s="22"/>
      <c r="AM3388" s="22"/>
      <c r="AN3388" s="22"/>
      <c r="AO3388" s="22"/>
      <c r="AP3388" s="22"/>
      <c r="AQ3388" s="22"/>
      <c r="AR3388" s="22"/>
      <c r="AS3388" s="22"/>
      <c r="AT3388" s="22"/>
      <c r="AU3388" s="22"/>
      <c r="AV3388" s="22"/>
      <c r="AW3388" s="9"/>
      <c r="BA3388" s="22"/>
      <c r="BB3388" s="22"/>
      <c r="BD3388" s="9"/>
      <c r="CS3388" s="11">
        <f t="shared" si="235"/>
        <v>0</v>
      </c>
      <c r="CT3388" s="22">
        <f t="shared" si="236"/>
        <v>0</v>
      </c>
      <c r="CU3388" s="22">
        <f t="shared" si="237"/>
        <v>0</v>
      </c>
      <c r="CV3388" s="26">
        <f t="shared" si="238"/>
        <v>500</v>
      </c>
    </row>
    <row r="3389" spans="1:100" x14ac:dyDescent="0.2">
      <c r="A3389" s="9" t="s">
        <v>672</v>
      </c>
      <c r="B3389" s="2">
        <v>36</v>
      </c>
      <c r="C3389" s="3" t="s">
        <v>95</v>
      </c>
      <c r="D3389" s="3" t="s">
        <v>96</v>
      </c>
      <c r="E3389" s="2"/>
      <c r="F3389" s="2"/>
      <c r="G3389" s="2" t="s">
        <v>69</v>
      </c>
      <c r="H3389" s="2">
        <v>7</v>
      </c>
      <c r="I3389" s="20">
        <v>120</v>
      </c>
      <c r="J3389" s="20">
        <v>66666</v>
      </c>
      <c r="K3389" s="3">
        <v>0</v>
      </c>
      <c r="L3389" s="3" t="s">
        <v>97</v>
      </c>
      <c r="M3389" s="9" t="s">
        <v>0</v>
      </c>
      <c r="N3389" s="9">
        <v>72787212</v>
      </c>
      <c r="O3389" s="9" t="s">
        <v>673</v>
      </c>
      <c r="S3389" s="9" t="s">
        <v>158</v>
      </c>
      <c r="T3389" s="10" t="s">
        <v>69</v>
      </c>
      <c r="U3389" s="10">
        <v>7</v>
      </c>
      <c r="V3389" s="10">
        <v>120</v>
      </c>
      <c r="W3389" s="10" t="s">
        <v>710</v>
      </c>
      <c r="X3389" s="17">
        <v>45785</v>
      </c>
      <c r="Y3389" s="17">
        <v>45789</v>
      </c>
      <c r="Z3389" s="19" t="s">
        <v>772</v>
      </c>
      <c r="AA3389" s="207">
        <v>39224</v>
      </c>
      <c r="AB3389" s="9">
        <v>48</v>
      </c>
      <c r="AC3389" s="9">
        <v>36</v>
      </c>
      <c r="AD3389" s="17">
        <v>46909</v>
      </c>
      <c r="AE3389" s="54">
        <v>500</v>
      </c>
      <c r="AF3389" s="54"/>
      <c r="AL3389" s="22"/>
      <c r="AM3389" s="22"/>
      <c r="AN3389" s="22"/>
      <c r="AO3389" s="22"/>
      <c r="AP3389" s="22"/>
      <c r="AQ3389" s="22"/>
      <c r="AR3389" s="22"/>
      <c r="AS3389" s="22"/>
      <c r="AT3389" s="22"/>
      <c r="AU3389" s="22"/>
      <c r="AV3389" s="22"/>
      <c r="AW3389" s="9"/>
      <c r="BA3389" s="22"/>
      <c r="BB3389" s="22"/>
      <c r="BD3389" s="9"/>
      <c r="CS3389" s="11">
        <f t="shared" si="235"/>
        <v>0</v>
      </c>
      <c r="CT3389" s="22">
        <f t="shared" si="236"/>
        <v>0</v>
      </c>
      <c r="CU3389" s="22">
        <f t="shared" si="237"/>
        <v>0</v>
      </c>
      <c r="CV3389" s="26">
        <f t="shared" si="238"/>
        <v>500</v>
      </c>
    </row>
    <row r="3390" spans="1:100" x14ac:dyDescent="0.2">
      <c r="A3390" s="9" t="s">
        <v>672</v>
      </c>
      <c r="B3390" s="2">
        <v>36</v>
      </c>
      <c r="C3390" s="3" t="s">
        <v>95</v>
      </c>
      <c r="D3390" s="3" t="s">
        <v>96</v>
      </c>
      <c r="E3390" s="2"/>
      <c r="F3390" s="2"/>
      <c r="G3390" s="2" t="s">
        <v>69</v>
      </c>
      <c r="H3390" s="2">
        <v>7</v>
      </c>
      <c r="I3390" s="20">
        <v>120</v>
      </c>
      <c r="J3390" s="20">
        <v>66666</v>
      </c>
      <c r="K3390" s="3">
        <v>0</v>
      </c>
      <c r="L3390" s="3" t="s">
        <v>97</v>
      </c>
      <c r="M3390" s="9" t="s">
        <v>0</v>
      </c>
      <c r="N3390" s="9">
        <v>72787212</v>
      </c>
      <c r="O3390" s="9" t="s">
        <v>673</v>
      </c>
      <c r="S3390" s="9" t="s">
        <v>158</v>
      </c>
      <c r="T3390" s="10" t="s">
        <v>69</v>
      </c>
      <c r="U3390" s="10">
        <v>7</v>
      </c>
      <c r="V3390" s="10">
        <v>120</v>
      </c>
      <c r="W3390" s="10" t="s">
        <v>710</v>
      </c>
      <c r="X3390" s="17">
        <v>45785</v>
      </c>
      <c r="Y3390" s="17">
        <v>45789</v>
      </c>
      <c r="Z3390" s="19" t="s">
        <v>772</v>
      </c>
      <c r="AA3390" s="207">
        <v>39224</v>
      </c>
      <c r="AB3390" s="9">
        <v>48</v>
      </c>
      <c r="AC3390" s="9">
        <v>37</v>
      </c>
      <c r="AD3390" s="17">
        <v>46939</v>
      </c>
      <c r="AE3390" s="54">
        <v>500</v>
      </c>
      <c r="AF3390" s="54"/>
      <c r="AL3390" s="22"/>
      <c r="AM3390" s="22"/>
      <c r="AN3390" s="22"/>
      <c r="AO3390" s="22"/>
      <c r="AP3390" s="22"/>
      <c r="AQ3390" s="22"/>
      <c r="AR3390" s="22"/>
      <c r="AS3390" s="22"/>
      <c r="AT3390" s="22"/>
      <c r="AU3390" s="22"/>
      <c r="AV3390" s="22"/>
      <c r="AW3390" s="9"/>
      <c r="BA3390" s="22"/>
      <c r="BB3390" s="22"/>
      <c r="BD3390" s="9"/>
      <c r="CS3390" s="11">
        <f t="shared" si="235"/>
        <v>0</v>
      </c>
      <c r="CT3390" s="22">
        <f t="shared" si="236"/>
        <v>0</v>
      </c>
      <c r="CU3390" s="22">
        <f t="shared" si="237"/>
        <v>0</v>
      </c>
      <c r="CV3390" s="26">
        <f t="shared" si="238"/>
        <v>500</v>
      </c>
    </row>
    <row r="3391" spans="1:100" x14ac:dyDescent="0.2">
      <c r="A3391" s="9" t="s">
        <v>672</v>
      </c>
      <c r="B3391" s="2">
        <v>36</v>
      </c>
      <c r="C3391" s="3" t="s">
        <v>95</v>
      </c>
      <c r="D3391" s="3" t="s">
        <v>96</v>
      </c>
      <c r="E3391" s="2"/>
      <c r="F3391" s="2"/>
      <c r="G3391" s="2" t="s">
        <v>69</v>
      </c>
      <c r="H3391" s="2">
        <v>7</v>
      </c>
      <c r="I3391" s="20">
        <v>120</v>
      </c>
      <c r="J3391" s="20">
        <v>66666</v>
      </c>
      <c r="K3391" s="3">
        <v>0</v>
      </c>
      <c r="L3391" s="3" t="s">
        <v>97</v>
      </c>
      <c r="M3391" s="9" t="s">
        <v>0</v>
      </c>
      <c r="N3391" s="9">
        <v>72787212</v>
      </c>
      <c r="O3391" s="9" t="s">
        <v>673</v>
      </c>
      <c r="S3391" s="9" t="s">
        <v>158</v>
      </c>
      <c r="T3391" s="10" t="s">
        <v>69</v>
      </c>
      <c r="U3391" s="10">
        <v>7</v>
      </c>
      <c r="V3391" s="10">
        <v>120</v>
      </c>
      <c r="W3391" s="10" t="s">
        <v>710</v>
      </c>
      <c r="X3391" s="17">
        <v>45785</v>
      </c>
      <c r="Y3391" s="17">
        <v>45789</v>
      </c>
      <c r="Z3391" s="19" t="s">
        <v>772</v>
      </c>
      <c r="AA3391" s="207">
        <v>39224</v>
      </c>
      <c r="AB3391" s="9">
        <v>48</v>
      </c>
      <c r="AC3391" s="9">
        <v>38</v>
      </c>
      <c r="AD3391" s="17">
        <v>46970</v>
      </c>
      <c r="AE3391" s="54">
        <v>500</v>
      </c>
      <c r="AF3391" s="54"/>
      <c r="AL3391" s="22"/>
      <c r="AM3391" s="22"/>
      <c r="AN3391" s="22"/>
      <c r="AO3391" s="22"/>
      <c r="AP3391" s="22"/>
      <c r="AQ3391" s="22"/>
      <c r="AR3391" s="22"/>
      <c r="AS3391" s="22"/>
      <c r="AT3391" s="22"/>
      <c r="AU3391" s="22"/>
      <c r="AV3391" s="22"/>
      <c r="AW3391" s="9"/>
      <c r="BA3391" s="22"/>
      <c r="BB3391" s="22"/>
      <c r="BD3391" s="9"/>
      <c r="CS3391" s="11">
        <f t="shared" si="235"/>
        <v>0</v>
      </c>
      <c r="CT3391" s="22">
        <f t="shared" si="236"/>
        <v>0</v>
      </c>
      <c r="CU3391" s="22">
        <f t="shared" si="237"/>
        <v>0</v>
      </c>
      <c r="CV3391" s="26">
        <f t="shared" si="238"/>
        <v>500</v>
      </c>
    </row>
    <row r="3392" spans="1:100" x14ac:dyDescent="0.2">
      <c r="A3392" s="9" t="s">
        <v>672</v>
      </c>
      <c r="B3392" s="2">
        <v>36</v>
      </c>
      <c r="C3392" s="3" t="s">
        <v>95</v>
      </c>
      <c r="D3392" s="3" t="s">
        <v>96</v>
      </c>
      <c r="E3392" s="2"/>
      <c r="F3392" s="2"/>
      <c r="G3392" s="2" t="s">
        <v>69</v>
      </c>
      <c r="H3392" s="2">
        <v>7</v>
      </c>
      <c r="I3392" s="20">
        <v>120</v>
      </c>
      <c r="J3392" s="20">
        <v>66666</v>
      </c>
      <c r="K3392" s="3">
        <v>0</v>
      </c>
      <c r="L3392" s="3" t="s">
        <v>97</v>
      </c>
      <c r="M3392" s="9" t="s">
        <v>0</v>
      </c>
      <c r="N3392" s="9">
        <v>72787212</v>
      </c>
      <c r="O3392" s="9" t="s">
        <v>673</v>
      </c>
      <c r="S3392" s="9" t="s">
        <v>158</v>
      </c>
      <c r="T3392" s="10" t="s">
        <v>69</v>
      </c>
      <c r="U3392" s="10">
        <v>7</v>
      </c>
      <c r="V3392" s="10">
        <v>120</v>
      </c>
      <c r="W3392" s="10" t="s">
        <v>710</v>
      </c>
      <c r="X3392" s="17">
        <v>45785</v>
      </c>
      <c r="Y3392" s="17">
        <v>45789</v>
      </c>
      <c r="Z3392" s="19" t="s">
        <v>772</v>
      </c>
      <c r="AA3392" s="207">
        <v>39224</v>
      </c>
      <c r="AB3392" s="9">
        <v>48</v>
      </c>
      <c r="AC3392" s="9">
        <v>39</v>
      </c>
      <c r="AD3392" s="17">
        <v>47001</v>
      </c>
      <c r="AE3392" s="54">
        <v>500</v>
      </c>
      <c r="AF3392" s="54"/>
      <c r="AL3392" s="22"/>
      <c r="AM3392" s="22"/>
      <c r="AN3392" s="22"/>
      <c r="AO3392" s="22"/>
      <c r="AP3392" s="22"/>
      <c r="AQ3392" s="22"/>
      <c r="AR3392" s="22"/>
      <c r="AS3392" s="22"/>
      <c r="AT3392" s="22"/>
      <c r="AU3392" s="22"/>
      <c r="AV3392" s="22"/>
      <c r="AW3392" s="9"/>
      <c r="BA3392" s="22"/>
      <c r="BB3392" s="22"/>
      <c r="BD3392" s="9"/>
      <c r="CS3392" s="11">
        <f t="shared" si="235"/>
        <v>0</v>
      </c>
      <c r="CT3392" s="22">
        <f t="shared" si="236"/>
        <v>0</v>
      </c>
      <c r="CU3392" s="22">
        <f t="shared" si="237"/>
        <v>0</v>
      </c>
      <c r="CV3392" s="26">
        <f t="shared" si="238"/>
        <v>500</v>
      </c>
    </row>
    <row r="3393" spans="1:100" x14ac:dyDescent="0.2">
      <c r="A3393" s="9" t="s">
        <v>672</v>
      </c>
      <c r="B3393" s="2">
        <v>36</v>
      </c>
      <c r="C3393" s="3" t="s">
        <v>95</v>
      </c>
      <c r="D3393" s="3" t="s">
        <v>96</v>
      </c>
      <c r="E3393" s="2"/>
      <c r="F3393" s="2"/>
      <c r="G3393" s="2" t="s">
        <v>69</v>
      </c>
      <c r="H3393" s="2">
        <v>7</v>
      </c>
      <c r="I3393" s="20">
        <v>120</v>
      </c>
      <c r="J3393" s="20">
        <v>66666</v>
      </c>
      <c r="K3393" s="3">
        <v>0</v>
      </c>
      <c r="L3393" s="3" t="s">
        <v>97</v>
      </c>
      <c r="M3393" s="9" t="s">
        <v>0</v>
      </c>
      <c r="N3393" s="9">
        <v>72787212</v>
      </c>
      <c r="O3393" s="9" t="s">
        <v>673</v>
      </c>
      <c r="S3393" s="9" t="s">
        <v>158</v>
      </c>
      <c r="T3393" s="10" t="s">
        <v>69</v>
      </c>
      <c r="U3393" s="10">
        <v>7</v>
      </c>
      <c r="V3393" s="10">
        <v>120</v>
      </c>
      <c r="W3393" s="10" t="s">
        <v>710</v>
      </c>
      <c r="X3393" s="17">
        <v>45785</v>
      </c>
      <c r="Y3393" s="17">
        <v>45789</v>
      </c>
      <c r="Z3393" s="19" t="s">
        <v>772</v>
      </c>
      <c r="AA3393" s="207">
        <v>39224</v>
      </c>
      <c r="AB3393" s="9">
        <v>48</v>
      </c>
      <c r="AC3393" s="9">
        <v>40</v>
      </c>
      <c r="AD3393" s="17">
        <v>47031</v>
      </c>
      <c r="AE3393" s="54">
        <v>500</v>
      </c>
      <c r="AF3393" s="54"/>
      <c r="AL3393" s="22"/>
      <c r="AM3393" s="22"/>
      <c r="AN3393" s="22"/>
      <c r="AO3393" s="22"/>
      <c r="AP3393" s="22"/>
      <c r="AQ3393" s="22"/>
      <c r="AR3393" s="22"/>
      <c r="AS3393" s="22"/>
      <c r="AT3393" s="22"/>
      <c r="AU3393" s="22"/>
      <c r="AV3393" s="22"/>
      <c r="AW3393" s="9"/>
      <c r="BA3393" s="22"/>
      <c r="BB3393" s="22"/>
      <c r="BD3393" s="9"/>
      <c r="CS3393" s="11">
        <f t="shared" si="235"/>
        <v>0</v>
      </c>
      <c r="CT3393" s="22">
        <f t="shared" si="236"/>
        <v>0</v>
      </c>
      <c r="CU3393" s="22">
        <f t="shared" si="237"/>
        <v>0</v>
      </c>
      <c r="CV3393" s="26">
        <f t="shared" si="238"/>
        <v>500</v>
      </c>
    </row>
    <row r="3394" spans="1:100" x14ac:dyDescent="0.2">
      <c r="A3394" s="9" t="s">
        <v>672</v>
      </c>
      <c r="B3394" s="2">
        <v>36</v>
      </c>
      <c r="C3394" s="3" t="s">
        <v>95</v>
      </c>
      <c r="D3394" s="3" t="s">
        <v>96</v>
      </c>
      <c r="E3394" s="2"/>
      <c r="F3394" s="2"/>
      <c r="G3394" s="2" t="s">
        <v>69</v>
      </c>
      <c r="H3394" s="2">
        <v>7</v>
      </c>
      <c r="I3394" s="20">
        <v>120</v>
      </c>
      <c r="J3394" s="20">
        <v>66666</v>
      </c>
      <c r="K3394" s="3">
        <v>0</v>
      </c>
      <c r="L3394" s="3" t="s">
        <v>97</v>
      </c>
      <c r="M3394" s="9" t="s">
        <v>0</v>
      </c>
      <c r="N3394" s="9">
        <v>72787212</v>
      </c>
      <c r="O3394" s="9" t="s">
        <v>673</v>
      </c>
      <c r="S3394" s="9" t="s">
        <v>158</v>
      </c>
      <c r="T3394" s="10" t="s">
        <v>69</v>
      </c>
      <c r="U3394" s="10">
        <v>7</v>
      </c>
      <c r="V3394" s="10">
        <v>120</v>
      </c>
      <c r="W3394" s="10" t="s">
        <v>710</v>
      </c>
      <c r="X3394" s="17">
        <v>45785</v>
      </c>
      <c r="Y3394" s="17">
        <v>45789</v>
      </c>
      <c r="Z3394" s="19" t="s">
        <v>772</v>
      </c>
      <c r="AA3394" s="207">
        <v>39224</v>
      </c>
      <c r="AB3394" s="9">
        <v>48</v>
      </c>
      <c r="AC3394" s="9">
        <v>41</v>
      </c>
      <c r="AD3394" s="17">
        <v>47062</v>
      </c>
      <c r="AE3394" s="54">
        <v>500</v>
      </c>
      <c r="AF3394" s="54"/>
      <c r="AL3394" s="22"/>
      <c r="AM3394" s="22"/>
      <c r="AN3394" s="22"/>
      <c r="AO3394" s="22"/>
      <c r="AP3394" s="22"/>
      <c r="AQ3394" s="22"/>
      <c r="AR3394" s="22"/>
      <c r="AS3394" s="22"/>
      <c r="AT3394" s="22"/>
      <c r="AU3394" s="22"/>
      <c r="AV3394" s="22"/>
      <c r="AW3394" s="9"/>
      <c r="BA3394" s="22"/>
      <c r="BB3394" s="22"/>
      <c r="BD3394" s="9"/>
      <c r="CS3394" s="11">
        <f t="shared" si="235"/>
        <v>0</v>
      </c>
      <c r="CT3394" s="22">
        <f t="shared" si="236"/>
        <v>0</v>
      </c>
      <c r="CU3394" s="22">
        <f t="shared" si="237"/>
        <v>0</v>
      </c>
      <c r="CV3394" s="26">
        <f t="shared" si="238"/>
        <v>500</v>
      </c>
    </row>
    <row r="3395" spans="1:100" x14ac:dyDescent="0.2">
      <c r="A3395" s="9" t="s">
        <v>672</v>
      </c>
      <c r="B3395" s="2">
        <v>36</v>
      </c>
      <c r="C3395" s="3" t="s">
        <v>95</v>
      </c>
      <c r="D3395" s="3" t="s">
        <v>96</v>
      </c>
      <c r="E3395" s="2"/>
      <c r="F3395" s="2"/>
      <c r="G3395" s="2" t="s">
        <v>69</v>
      </c>
      <c r="H3395" s="2">
        <v>7</v>
      </c>
      <c r="I3395" s="20">
        <v>120</v>
      </c>
      <c r="J3395" s="20">
        <v>66666</v>
      </c>
      <c r="K3395" s="3">
        <v>0</v>
      </c>
      <c r="L3395" s="3" t="s">
        <v>97</v>
      </c>
      <c r="M3395" s="9" t="s">
        <v>0</v>
      </c>
      <c r="N3395" s="9">
        <v>72787212</v>
      </c>
      <c r="O3395" s="9" t="s">
        <v>673</v>
      </c>
      <c r="S3395" s="9" t="s">
        <v>158</v>
      </c>
      <c r="T3395" s="10" t="s">
        <v>69</v>
      </c>
      <c r="U3395" s="10">
        <v>7</v>
      </c>
      <c r="V3395" s="10">
        <v>120</v>
      </c>
      <c r="W3395" s="10" t="s">
        <v>710</v>
      </c>
      <c r="X3395" s="17">
        <v>45785</v>
      </c>
      <c r="Y3395" s="17">
        <v>45789</v>
      </c>
      <c r="Z3395" s="19" t="s">
        <v>772</v>
      </c>
      <c r="AA3395" s="207">
        <v>39224</v>
      </c>
      <c r="AB3395" s="9">
        <v>48</v>
      </c>
      <c r="AC3395" s="9">
        <v>42</v>
      </c>
      <c r="AD3395" s="17">
        <v>47092</v>
      </c>
      <c r="AE3395" s="54">
        <v>500</v>
      </c>
      <c r="AF3395" s="54"/>
      <c r="AL3395" s="22"/>
      <c r="AM3395" s="22"/>
      <c r="AN3395" s="22"/>
      <c r="AO3395" s="22"/>
      <c r="AP3395" s="22"/>
      <c r="AQ3395" s="22"/>
      <c r="AR3395" s="22"/>
      <c r="AS3395" s="22"/>
      <c r="AT3395" s="22"/>
      <c r="AU3395" s="22"/>
      <c r="AV3395" s="22"/>
      <c r="AW3395" s="9"/>
      <c r="BA3395" s="22"/>
      <c r="BB3395" s="22"/>
      <c r="BD3395" s="9"/>
      <c r="CS3395" s="11">
        <f t="shared" si="235"/>
        <v>0</v>
      </c>
      <c r="CT3395" s="22">
        <f t="shared" si="236"/>
        <v>0</v>
      </c>
      <c r="CU3395" s="22">
        <f t="shared" si="237"/>
        <v>0</v>
      </c>
      <c r="CV3395" s="26">
        <f t="shared" si="238"/>
        <v>500</v>
      </c>
    </row>
    <row r="3396" spans="1:100" x14ac:dyDescent="0.2">
      <c r="A3396" s="9" t="s">
        <v>672</v>
      </c>
      <c r="B3396" s="2">
        <v>36</v>
      </c>
      <c r="C3396" s="3" t="s">
        <v>95</v>
      </c>
      <c r="D3396" s="3" t="s">
        <v>96</v>
      </c>
      <c r="E3396" s="2"/>
      <c r="F3396" s="2"/>
      <c r="G3396" s="2" t="s">
        <v>69</v>
      </c>
      <c r="H3396" s="2">
        <v>7</v>
      </c>
      <c r="I3396" s="20">
        <v>120</v>
      </c>
      <c r="J3396" s="20">
        <v>66666</v>
      </c>
      <c r="K3396" s="3">
        <v>0</v>
      </c>
      <c r="L3396" s="3" t="s">
        <v>97</v>
      </c>
      <c r="M3396" s="9" t="s">
        <v>0</v>
      </c>
      <c r="N3396" s="9">
        <v>72787212</v>
      </c>
      <c r="O3396" s="9" t="s">
        <v>673</v>
      </c>
      <c r="S3396" s="9" t="s">
        <v>158</v>
      </c>
      <c r="T3396" s="10" t="s">
        <v>69</v>
      </c>
      <c r="U3396" s="10">
        <v>7</v>
      </c>
      <c r="V3396" s="10">
        <v>120</v>
      </c>
      <c r="W3396" s="10" t="s">
        <v>710</v>
      </c>
      <c r="X3396" s="17">
        <v>45785</v>
      </c>
      <c r="Y3396" s="17">
        <v>45789</v>
      </c>
      <c r="Z3396" s="19" t="s">
        <v>772</v>
      </c>
      <c r="AA3396" s="207">
        <v>39224</v>
      </c>
      <c r="AB3396" s="9">
        <v>48</v>
      </c>
      <c r="AC3396" s="9">
        <v>43</v>
      </c>
      <c r="AD3396" s="17">
        <v>47123</v>
      </c>
      <c r="AE3396" s="54">
        <v>500</v>
      </c>
      <c r="AF3396" s="54"/>
      <c r="AL3396" s="22"/>
      <c r="AM3396" s="22"/>
      <c r="AN3396" s="22"/>
      <c r="AO3396" s="22"/>
      <c r="AP3396" s="22"/>
      <c r="AQ3396" s="22"/>
      <c r="AR3396" s="22"/>
      <c r="AS3396" s="22"/>
      <c r="AT3396" s="22"/>
      <c r="AU3396" s="22"/>
      <c r="AV3396" s="22"/>
      <c r="AW3396" s="9"/>
      <c r="BA3396" s="22"/>
      <c r="BB3396" s="22"/>
      <c r="BD3396" s="9"/>
      <c r="CS3396" s="11">
        <f t="shared" si="235"/>
        <v>0</v>
      </c>
      <c r="CT3396" s="22">
        <f t="shared" si="236"/>
        <v>0</v>
      </c>
      <c r="CU3396" s="22">
        <f t="shared" si="237"/>
        <v>0</v>
      </c>
      <c r="CV3396" s="26">
        <f t="shared" si="238"/>
        <v>500</v>
      </c>
    </row>
    <row r="3397" spans="1:100" x14ac:dyDescent="0.2">
      <c r="A3397" s="9" t="s">
        <v>672</v>
      </c>
      <c r="B3397" s="2">
        <v>36</v>
      </c>
      <c r="C3397" s="3" t="s">
        <v>95</v>
      </c>
      <c r="D3397" s="3" t="s">
        <v>96</v>
      </c>
      <c r="E3397" s="2"/>
      <c r="F3397" s="2"/>
      <c r="G3397" s="2" t="s">
        <v>69</v>
      </c>
      <c r="H3397" s="2">
        <v>7</v>
      </c>
      <c r="I3397" s="20">
        <v>120</v>
      </c>
      <c r="J3397" s="20">
        <v>66666</v>
      </c>
      <c r="K3397" s="3">
        <v>0</v>
      </c>
      <c r="L3397" s="3" t="s">
        <v>97</v>
      </c>
      <c r="M3397" s="9" t="s">
        <v>0</v>
      </c>
      <c r="N3397" s="9">
        <v>72787212</v>
      </c>
      <c r="O3397" s="9" t="s">
        <v>673</v>
      </c>
      <c r="S3397" s="9" t="s">
        <v>158</v>
      </c>
      <c r="T3397" s="10" t="s">
        <v>69</v>
      </c>
      <c r="U3397" s="10">
        <v>7</v>
      </c>
      <c r="V3397" s="10">
        <v>120</v>
      </c>
      <c r="W3397" s="10" t="s">
        <v>710</v>
      </c>
      <c r="X3397" s="17">
        <v>45785</v>
      </c>
      <c r="Y3397" s="17">
        <v>45789</v>
      </c>
      <c r="Z3397" s="19" t="s">
        <v>772</v>
      </c>
      <c r="AA3397" s="207">
        <v>39224</v>
      </c>
      <c r="AB3397" s="9">
        <v>48</v>
      </c>
      <c r="AC3397" s="9">
        <v>44</v>
      </c>
      <c r="AD3397" s="17">
        <v>47154</v>
      </c>
      <c r="AE3397" s="54">
        <v>500</v>
      </c>
      <c r="AF3397" s="54"/>
      <c r="AL3397" s="22"/>
      <c r="AM3397" s="22"/>
      <c r="AN3397" s="22"/>
      <c r="AO3397" s="22"/>
      <c r="AP3397" s="22"/>
      <c r="AQ3397" s="22"/>
      <c r="AR3397" s="22"/>
      <c r="AS3397" s="22"/>
      <c r="AT3397" s="22"/>
      <c r="AU3397" s="22"/>
      <c r="AV3397" s="22"/>
      <c r="AW3397" s="9"/>
      <c r="BA3397" s="22"/>
      <c r="BB3397" s="22"/>
      <c r="BD3397" s="9"/>
      <c r="CS3397" s="11">
        <f t="shared" si="235"/>
        <v>0</v>
      </c>
      <c r="CT3397" s="22">
        <f t="shared" si="236"/>
        <v>0</v>
      </c>
      <c r="CU3397" s="22">
        <f t="shared" si="237"/>
        <v>0</v>
      </c>
      <c r="CV3397" s="26">
        <f t="shared" si="238"/>
        <v>500</v>
      </c>
    </row>
    <row r="3398" spans="1:100" x14ac:dyDescent="0.2">
      <c r="A3398" s="9" t="s">
        <v>672</v>
      </c>
      <c r="B3398" s="2">
        <v>36</v>
      </c>
      <c r="C3398" s="3" t="s">
        <v>95</v>
      </c>
      <c r="D3398" s="3" t="s">
        <v>96</v>
      </c>
      <c r="E3398" s="2"/>
      <c r="F3398" s="2"/>
      <c r="G3398" s="2" t="s">
        <v>69</v>
      </c>
      <c r="H3398" s="2">
        <v>7</v>
      </c>
      <c r="I3398" s="20">
        <v>120</v>
      </c>
      <c r="J3398" s="20">
        <v>66666</v>
      </c>
      <c r="K3398" s="3">
        <v>0</v>
      </c>
      <c r="L3398" s="3" t="s">
        <v>97</v>
      </c>
      <c r="M3398" s="9" t="s">
        <v>0</v>
      </c>
      <c r="N3398" s="9">
        <v>72787212</v>
      </c>
      <c r="O3398" s="9" t="s">
        <v>673</v>
      </c>
      <c r="S3398" s="9" t="s">
        <v>158</v>
      </c>
      <c r="T3398" s="10" t="s">
        <v>69</v>
      </c>
      <c r="U3398" s="10">
        <v>7</v>
      </c>
      <c r="V3398" s="10">
        <v>120</v>
      </c>
      <c r="W3398" s="10" t="s">
        <v>710</v>
      </c>
      <c r="X3398" s="17">
        <v>45785</v>
      </c>
      <c r="Y3398" s="17">
        <v>45789</v>
      </c>
      <c r="Z3398" s="19" t="s">
        <v>772</v>
      </c>
      <c r="AA3398" s="207">
        <v>39224</v>
      </c>
      <c r="AB3398" s="9">
        <v>48</v>
      </c>
      <c r="AC3398" s="9">
        <v>45</v>
      </c>
      <c r="AD3398" s="17">
        <v>47182</v>
      </c>
      <c r="AE3398" s="54">
        <v>500</v>
      </c>
      <c r="AF3398" s="54"/>
      <c r="AL3398" s="22"/>
      <c r="AM3398" s="22"/>
      <c r="AN3398" s="22"/>
      <c r="AO3398" s="22"/>
      <c r="AP3398" s="22"/>
      <c r="AQ3398" s="22"/>
      <c r="AR3398" s="22"/>
      <c r="AS3398" s="22"/>
      <c r="AT3398" s="22"/>
      <c r="AU3398" s="22"/>
      <c r="AV3398" s="22"/>
      <c r="AW3398" s="9"/>
      <c r="BA3398" s="22"/>
      <c r="BB3398" s="22"/>
      <c r="BD3398" s="9"/>
      <c r="CS3398" s="11">
        <f t="shared" si="235"/>
        <v>0</v>
      </c>
      <c r="CT3398" s="22">
        <f t="shared" si="236"/>
        <v>0</v>
      </c>
      <c r="CU3398" s="22">
        <f t="shared" si="237"/>
        <v>0</v>
      </c>
      <c r="CV3398" s="26">
        <f t="shared" si="238"/>
        <v>500</v>
      </c>
    </row>
    <row r="3399" spans="1:100" x14ac:dyDescent="0.2">
      <c r="A3399" s="9" t="s">
        <v>672</v>
      </c>
      <c r="B3399" s="2">
        <v>36</v>
      </c>
      <c r="C3399" s="3" t="s">
        <v>95</v>
      </c>
      <c r="D3399" s="3" t="s">
        <v>96</v>
      </c>
      <c r="E3399" s="2"/>
      <c r="F3399" s="2"/>
      <c r="G3399" s="2" t="s">
        <v>69</v>
      </c>
      <c r="H3399" s="2">
        <v>7</v>
      </c>
      <c r="I3399" s="20">
        <v>120</v>
      </c>
      <c r="J3399" s="20">
        <v>66666</v>
      </c>
      <c r="K3399" s="3">
        <v>0</v>
      </c>
      <c r="L3399" s="3" t="s">
        <v>97</v>
      </c>
      <c r="M3399" s="9" t="s">
        <v>0</v>
      </c>
      <c r="N3399" s="9">
        <v>72787212</v>
      </c>
      <c r="O3399" s="9" t="s">
        <v>673</v>
      </c>
      <c r="S3399" s="9" t="s">
        <v>158</v>
      </c>
      <c r="T3399" s="10" t="s">
        <v>69</v>
      </c>
      <c r="U3399" s="10">
        <v>7</v>
      </c>
      <c r="V3399" s="10">
        <v>120</v>
      </c>
      <c r="W3399" s="10" t="s">
        <v>710</v>
      </c>
      <c r="X3399" s="17">
        <v>45785</v>
      </c>
      <c r="Y3399" s="17">
        <v>45789</v>
      </c>
      <c r="Z3399" s="19" t="s">
        <v>772</v>
      </c>
      <c r="AA3399" s="207">
        <v>39224</v>
      </c>
      <c r="AB3399" s="9">
        <v>48</v>
      </c>
      <c r="AC3399" s="9">
        <v>46</v>
      </c>
      <c r="AD3399" s="17">
        <v>47213</v>
      </c>
      <c r="AE3399" s="54">
        <v>500</v>
      </c>
      <c r="AF3399" s="54"/>
      <c r="AL3399" s="22"/>
      <c r="AM3399" s="22"/>
      <c r="AN3399" s="22"/>
      <c r="AO3399" s="22"/>
      <c r="AP3399" s="22"/>
      <c r="AQ3399" s="22"/>
      <c r="AR3399" s="22"/>
      <c r="AS3399" s="22"/>
      <c r="AT3399" s="22"/>
      <c r="AU3399" s="22"/>
      <c r="AV3399" s="22"/>
      <c r="AW3399" s="9"/>
      <c r="BA3399" s="22"/>
      <c r="BB3399" s="22"/>
      <c r="BD3399" s="9"/>
      <c r="CS3399" s="11">
        <f t="shared" si="235"/>
        <v>0</v>
      </c>
      <c r="CT3399" s="22">
        <f t="shared" si="236"/>
        <v>0</v>
      </c>
      <c r="CU3399" s="22">
        <f t="shared" si="237"/>
        <v>0</v>
      </c>
      <c r="CV3399" s="26">
        <f t="shared" si="238"/>
        <v>500</v>
      </c>
    </row>
    <row r="3400" spans="1:100" x14ac:dyDescent="0.2">
      <c r="A3400" s="9" t="s">
        <v>672</v>
      </c>
      <c r="B3400" s="2">
        <v>36</v>
      </c>
      <c r="C3400" s="3" t="s">
        <v>95</v>
      </c>
      <c r="D3400" s="3" t="s">
        <v>96</v>
      </c>
      <c r="E3400" s="2"/>
      <c r="F3400" s="2"/>
      <c r="G3400" s="2" t="s">
        <v>69</v>
      </c>
      <c r="H3400" s="2">
        <v>7</v>
      </c>
      <c r="I3400" s="20">
        <v>120</v>
      </c>
      <c r="J3400" s="20">
        <v>66666</v>
      </c>
      <c r="K3400" s="3">
        <v>0</v>
      </c>
      <c r="L3400" s="3" t="s">
        <v>97</v>
      </c>
      <c r="M3400" s="9" t="s">
        <v>0</v>
      </c>
      <c r="N3400" s="9">
        <v>72787212</v>
      </c>
      <c r="O3400" s="9" t="s">
        <v>673</v>
      </c>
      <c r="S3400" s="9" t="s">
        <v>158</v>
      </c>
      <c r="T3400" s="10" t="s">
        <v>69</v>
      </c>
      <c r="U3400" s="10">
        <v>7</v>
      </c>
      <c r="V3400" s="10">
        <v>120</v>
      </c>
      <c r="W3400" s="10" t="s">
        <v>710</v>
      </c>
      <c r="X3400" s="17">
        <v>45785</v>
      </c>
      <c r="Y3400" s="17">
        <v>45789</v>
      </c>
      <c r="Z3400" s="19" t="s">
        <v>772</v>
      </c>
      <c r="AA3400" s="207">
        <v>39224</v>
      </c>
      <c r="AB3400" s="9">
        <v>48</v>
      </c>
      <c r="AC3400" s="9">
        <v>47</v>
      </c>
      <c r="AD3400" s="17">
        <v>47243</v>
      </c>
      <c r="AE3400" s="54">
        <v>500</v>
      </c>
      <c r="AF3400" s="54"/>
      <c r="AL3400" s="22"/>
      <c r="AM3400" s="22"/>
      <c r="AN3400" s="22"/>
      <c r="AO3400" s="22"/>
      <c r="AP3400" s="22"/>
      <c r="AQ3400" s="22"/>
      <c r="AR3400" s="22"/>
      <c r="AS3400" s="22"/>
      <c r="AT3400" s="22"/>
      <c r="AU3400" s="22"/>
      <c r="AV3400" s="22"/>
      <c r="AW3400" s="9"/>
      <c r="BA3400" s="22"/>
      <c r="BB3400" s="22"/>
      <c r="BD3400" s="9"/>
      <c r="CS3400" s="11">
        <f t="shared" si="235"/>
        <v>0</v>
      </c>
      <c r="CT3400" s="22">
        <f t="shared" si="236"/>
        <v>0</v>
      </c>
      <c r="CU3400" s="22">
        <f t="shared" si="237"/>
        <v>0</v>
      </c>
      <c r="CV3400" s="26">
        <f t="shared" si="238"/>
        <v>500</v>
      </c>
    </row>
    <row r="3401" spans="1:100" x14ac:dyDescent="0.2">
      <c r="A3401" s="9" t="s">
        <v>672</v>
      </c>
      <c r="B3401" s="2">
        <v>36</v>
      </c>
      <c r="C3401" s="3" t="s">
        <v>95</v>
      </c>
      <c r="D3401" s="3" t="s">
        <v>96</v>
      </c>
      <c r="E3401" s="2"/>
      <c r="F3401" s="2"/>
      <c r="G3401" s="2" t="s">
        <v>69</v>
      </c>
      <c r="H3401" s="2">
        <v>7</v>
      </c>
      <c r="I3401" s="20">
        <v>120</v>
      </c>
      <c r="J3401" s="20">
        <v>66666</v>
      </c>
      <c r="K3401" s="3">
        <v>0</v>
      </c>
      <c r="L3401" s="3" t="s">
        <v>97</v>
      </c>
      <c r="M3401" s="9" t="s">
        <v>0</v>
      </c>
      <c r="N3401" s="9">
        <v>72787212</v>
      </c>
      <c r="O3401" s="9" t="s">
        <v>673</v>
      </c>
      <c r="S3401" s="9" t="s">
        <v>158</v>
      </c>
      <c r="T3401" s="10" t="s">
        <v>69</v>
      </c>
      <c r="U3401" s="10">
        <v>7</v>
      </c>
      <c r="V3401" s="10">
        <v>120</v>
      </c>
      <c r="W3401" s="10" t="s">
        <v>710</v>
      </c>
      <c r="X3401" s="17">
        <v>45785</v>
      </c>
      <c r="Y3401" s="17">
        <v>45789</v>
      </c>
      <c r="Z3401" s="19" t="s">
        <v>772</v>
      </c>
      <c r="AA3401" s="207">
        <v>39224</v>
      </c>
      <c r="AB3401" s="9">
        <v>48</v>
      </c>
      <c r="AC3401" s="9">
        <v>48</v>
      </c>
      <c r="AD3401" s="17">
        <v>47274</v>
      </c>
      <c r="AE3401" s="54">
        <v>5724</v>
      </c>
      <c r="AF3401" s="54"/>
      <c r="AL3401" s="22"/>
      <c r="AM3401" s="22"/>
      <c r="AN3401" s="22"/>
      <c r="AO3401" s="22"/>
      <c r="AP3401" s="22"/>
      <c r="AQ3401" s="22"/>
      <c r="AR3401" s="22"/>
      <c r="AS3401" s="22"/>
      <c r="AT3401" s="22"/>
      <c r="AU3401" s="22"/>
      <c r="AV3401" s="22"/>
      <c r="AW3401" s="9"/>
      <c r="BA3401" s="22"/>
      <c r="BB3401" s="22"/>
      <c r="BD3401" s="9"/>
      <c r="CS3401" s="11">
        <f t="shared" si="235"/>
        <v>0</v>
      </c>
      <c r="CT3401" s="22">
        <f t="shared" si="236"/>
        <v>0</v>
      </c>
      <c r="CU3401" s="22">
        <f t="shared" si="237"/>
        <v>0</v>
      </c>
      <c r="CV3401" s="26">
        <f t="shared" si="238"/>
        <v>5724</v>
      </c>
    </row>
    <row r="3402" spans="1:100" x14ac:dyDescent="0.2">
      <c r="A3402" s="9" t="s">
        <v>681</v>
      </c>
      <c r="B3402" s="2">
        <v>131</v>
      </c>
      <c r="C3402" s="3" t="s">
        <v>95</v>
      </c>
      <c r="D3402" s="3" t="s">
        <v>96</v>
      </c>
      <c r="E3402" s="2"/>
      <c r="F3402" s="2"/>
      <c r="G3402" s="2" t="s">
        <v>83</v>
      </c>
      <c r="H3402" s="2">
        <v>1</v>
      </c>
      <c r="I3402" s="20">
        <v>138.85</v>
      </c>
      <c r="J3402" s="20">
        <v>62011</v>
      </c>
      <c r="K3402" s="3">
        <v>0</v>
      </c>
      <c r="L3402" s="3" t="s">
        <v>3</v>
      </c>
      <c r="M3402" s="9" t="s">
        <v>0</v>
      </c>
      <c r="N3402" s="9">
        <v>42540463</v>
      </c>
      <c r="O3402" s="9" t="s">
        <v>682</v>
      </c>
      <c r="S3402" s="9" t="s">
        <v>158</v>
      </c>
      <c r="T3402" s="10" t="s">
        <v>83</v>
      </c>
      <c r="U3402" s="10">
        <v>1</v>
      </c>
      <c r="V3402" s="10">
        <v>138.85</v>
      </c>
      <c r="W3402" s="10" t="s">
        <v>710</v>
      </c>
      <c r="X3402" s="17">
        <v>45822</v>
      </c>
      <c r="Y3402" s="17">
        <v>45822</v>
      </c>
      <c r="Z3402" s="19" t="s">
        <v>772</v>
      </c>
      <c r="AA3402" s="207">
        <v>47000</v>
      </c>
      <c r="AB3402" s="9">
        <v>37</v>
      </c>
      <c r="AC3402" s="9">
        <v>0</v>
      </c>
      <c r="AD3402" s="17">
        <v>45809</v>
      </c>
      <c r="AE3402" s="54">
        <v>300</v>
      </c>
      <c r="AF3402" s="54"/>
      <c r="AG3402" s="9" t="s">
        <v>134</v>
      </c>
      <c r="AH3402" s="17">
        <v>45809</v>
      </c>
      <c r="AI3402" s="17"/>
      <c r="AJ3402" s="17"/>
      <c r="AK3402" s="9" t="s">
        <v>683</v>
      </c>
      <c r="AL3402" s="22">
        <v>300</v>
      </c>
      <c r="AM3402" s="22"/>
      <c r="AN3402" s="22" t="s">
        <v>803</v>
      </c>
      <c r="AO3402" s="22"/>
      <c r="AP3402" s="22"/>
      <c r="AQ3402" s="22"/>
      <c r="AR3402" s="22"/>
      <c r="AS3402" s="22"/>
      <c r="AT3402" s="22"/>
      <c r="AU3402" s="22"/>
      <c r="AV3402" s="22"/>
      <c r="AW3402" s="42">
        <v>45810</v>
      </c>
      <c r="AX3402" s="36">
        <v>903820</v>
      </c>
      <c r="AY3402" s="36">
        <v>724</v>
      </c>
      <c r="AZ3402" s="36">
        <v>3.62</v>
      </c>
      <c r="BA3402" s="40">
        <f>+AY3402/AZ3402</f>
        <v>200</v>
      </c>
      <c r="BB3402" s="22"/>
      <c r="BC3402" s="42">
        <v>45807</v>
      </c>
      <c r="BD3402" s="41">
        <v>4042</v>
      </c>
      <c r="BE3402" s="36"/>
      <c r="BF3402" s="36"/>
      <c r="BG3402" s="40">
        <v>100</v>
      </c>
      <c r="BH3402" s="40"/>
      <c r="CS3402" s="11">
        <f t="shared" si="235"/>
        <v>300</v>
      </c>
      <c r="CT3402" s="22">
        <f t="shared" si="236"/>
        <v>300</v>
      </c>
      <c r="CU3402" s="22">
        <f t="shared" si="237"/>
        <v>0</v>
      </c>
      <c r="CV3402" s="26">
        <f t="shared" si="238"/>
        <v>0</v>
      </c>
    </row>
    <row r="3403" spans="1:100" x14ac:dyDescent="0.2">
      <c r="A3403" s="9" t="s">
        <v>681</v>
      </c>
      <c r="B3403" s="2">
        <v>131</v>
      </c>
      <c r="C3403" s="3" t="s">
        <v>95</v>
      </c>
      <c r="D3403" s="3" t="s">
        <v>96</v>
      </c>
      <c r="E3403" s="2"/>
      <c r="F3403" s="2"/>
      <c r="G3403" s="2" t="s">
        <v>83</v>
      </c>
      <c r="H3403" s="2">
        <v>1</v>
      </c>
      <c r="I3403" s="20">
        <v>138.85</v>
      </c>
      <c r="J3403" s="20">
        <v>62011</v>
      </c>
      <c r="K3403" s="3">
        <v>0</v>
      </c>
      <c r="L3403" s="3" t="s">
        <v>3</v>
      </c>
      <c r="M3403" s="9" t="s">
        <v>0</v>
      </c>
      <c r="N3403" s="9">
        <v>42540463</v>
      </c>
      <c r="O3403" s="9" t="s">
        <v>682</v>
      </c>
      <c r="S3403" s="9" t="s">
        <v>158</v>
      </c>
      <c r="T3403" s="10" t="s">
        <v>83</v>
      </c>
      <c r="U3403" s="10">
        <v>1</v>
      </c>
      <c r="V3403" s="10">
        <v>138.85</v>
      </c>
      <c r="W3403" s="10" t="s">
        <v>710</v>
      </c>
      <c r="X3403" s="17">
        <v>45822</v>
      </c>
      <c r="Y3403" s="17">
        <v>45822</v>
      </c>
      <c r="Z3403" s="19" t="s">
        <v>772</v>
      </c>
      <c r="AA3403" s="207">
        <v>47000</v>
      </c>
      <c r="AB3403" s="9">
        <v>37</v>
      </c>
      <c r="AC3403" s="9">
        <v>0</v>
      </c>
      <c r="AD3403" s="17">
        <v>45821</v>
      </c>
      <c r="AE3403" s="54">
        <v>2700</v>
      </c>
      <c r="AF3403" s="54"/>
      <c r="AG3403" s="9" t="s">
        <v>134</v>
      </c>
      <c r="AH3403" s="17">
        <v>45821</v>
      </c>
      <c r="AI3403" s="17"/>
      <c r="AJ3403" s="17"/>
      <c r="AK3403" s="9" t="s">
        <v>684</v>
      </c>
      <c r="AL3403" s="22">
        <v>2700</v>
      </c>
      <c r="AM3403" s="22"/>
      <c r="AN3403" s="22" t="s">
        <v>804</v>
      </c>
      <c r="AO3403" s="22"/>
      <c r="AP3403" s="22"/>
      <c r="AQ3403" s="22"/>
      <c r="AR3403" s="22"/>
      <c r="AS3403" s="22"/>
      <c r="AT3403" s="22"/>
      <c r="AU3403" s="22"/>
      <c r="AV3403" s="22"/>
      <c r="AW3403" s="42">
        <v>45821</v>
      </c>
      <c r="AX3403" s="36">
        <v>522635</v>
      </c>
      <c r="AY3403" s="93">
        <v>9768.6</v>
      </c>
      <c r="AZ3403" s="36">
        <v>3.6179999999999999</v>
      </c>
      <c r="BA3403" s="40">
        <f>+AY3403/AZ3403</f>
        <v>2700</v>
      </c>
      <c r="BB3403" s="22"/>
      <c r="BD3403" s="9"/>
      <c r="CS3403" s="11">
        <f t="shared" si="235"/>
        <v>2700</v>
      </c>
      <c r="CT3403" s="22">
        <f t="shared" si="236"/>
        <v>2700</v>
      </c>
      <c r="CU3403" s="22">
        <f t="shared" si="237"/>
        <v>0</v>
      </c>
      <c r="CV3403" s="26">
        <f t="shared" si="238"/>
        <v>0</v>
      </c>
    </row>
    <row r="3404" spans="1:100" x14ac:dyDescent="0.2">
      <c r="A3404" s="9" t="s">
        <v>681</v>
      </c>
      <c r="B3404" s="2">
        <v>131</v>
      </c>
      <c r="C3404" s="3" t="s">
        <v>95</v>
      </c>
      <c r="D3404" s="3" t="s">
        <v>96</v>
      </c>
      <c r="E3404" s="2"/>
      <c r="F3404" s="2"/>
      <c r="G3404" s="2" t="s">
        <v>83</v>
      </c>
      <c r="H3404" s="2">
        <v>1</v>
      </c>
      <c r="I3404" s="20">
        <v>138.85</v>
      </c>
      <c r="J3404" s="20">
        <v>62011</v>
      </c>
      <c r="K3404" s="3">
        <v>0</v>
      </c>
      <c r="L3404" s="3" t="s">
        <v>3</v>
      </c>
      <c r="M3404" s="9" t="s">
        <v>0</v>
      </c>
      <c r="N3404" s="9">
        <v>42540463</v>
      </c>
      <c r="O3404" s="9" t="s">
        <v>682</v>
      </c>
      <c r="S3404" s="9" t="s">
        <v>158</v>
      </c>
      <c r="T3404" s="10" t="s">
        <v>83</v>
      </c>
      <c r="U3404" s="10">
        <v>1</v>
      </c>
      <c r="V3404" s="10">
        <v>138.85</v>
      </c>
      <c r="W3404" s="10" t="s">
        <v>710</v>
      </c>
      <c r="X3404" s="17">
        <v>45822</v>
      </c>
      <c r="Y3404" s="17">
        <v>45822</v>
      </c>
      <c r="Z3404" s="19" t="s">
        <v>772</v>
      </c>
      <c r="AA3404" s="207">
        <v>47000</v>
      </c>
      <c r="AB3404" s="9">
        <v>37</v>
      </c>
      <c r="AC3404" s="9">
        <v>1</v>
      </c>
      <c r="AD3404" s="17">
        <v>45884</v>
      </c>
      <c r="AE3404" s="54">
        <v>500</v>
      </c>
      <c r="AF3404" s="54"/>
      <c r="AG3404" s="9" t="s">
        <v>134</v>
      </c>
      <c r="AH3404" s="17">
        <v>45880</v>
      </c>
      <c r="AI3404" s="17"/>
      <c r="AJ3404" s="17"/>
      <c r="AK3404" s="9" t="s">
        <v>801</v>
      </c>
      <c r="AL3404" s="22">
        <v>500</v>
      </c>
      <c r="AM3404" s="22"/>
      <c r="AN3404" s="22" t="s">
        <v>805</v>
      </c>
      <c r="AO3404" s="22"/>
      <c r="AP3404" s="22"/>
      <c r="AQ3404" s="22"/>
      <c r="AR3404" s="22"/>
      <c r="AS3404" s="22"/>
      <c r="AT3404" s="22"/>
      <c r="AU3404" s="22"/>
      <c r="AV3404" s="22"/>
      <c r="AW3404" s="42">
        <v>45880</v>
      </c>
      <c r="AX3404" s="36">
        <v>4548</v>
      </c>
      <c r="AY3404" s="36"/>
      <c r="AZ3404" s="36"/>
      <c r="BA3404" s="40">
        <v>500</v>
      </c>
      <c r="BB3404" s="22"/>
      <c r="BD3404" s="9"/>
      <c r="CS3404" s="11">
        <f t="shared" si="235"/>
        <v>500</v>
      </c>
      <c r="CT3404" s="22">
        <f t="shared" si="236"/>
        <v>500</v>
      </c>
      <c r="CU3404" s="22">
        <f t="shared" si="237"/>
        <v>0</v>
      </c>
      <c r="CV3404" s="26">
        <f t="shared" si="238"/>
        <v>0</v>
      </c>
    </row>
    <row r="3405" spans="1:100" x14ac:dyDescent="0.2">
      <c r="A3405" s="9" t="s">
        <v>681</v>
      </c>
      <c r="B3405" s="2">
        <v>131</v>
      </c>
      <c r="C3405" s="3" t="s">
        <v>95</v>
      </c>
      <c r="D3405" s="3" t="s">
        <v>96</v>
      </c>
      <c r="E3405" s="2"/>
      <c r="F3405" s="2"/>
      <c r="G3405" s="2" t="s">
        <v>83</v>
      </c>
      <c r="H3405" s="2">
        <v>1</v>
      </c>
      <c r="I3405" s="20">
        <v>138.85</v>
      </c>
      <c r="J3405" s="20">
        <v>62011</v>
      </c>
      <c r="K3405" s="3">
        <v>0</v>
      </c>
      <c r="L3405" s="3" t="s">
        <v>3</v>
      </c>
      <c r="M3405" s="9" t="s">
        <v>0</v>
      </c>
      <c r="N3405" s="9">
        <v>42540463</v>
      </c>
      <c r="O3405" s="9" t="s">
        <v>682</v>
      </c>
      <c r="S3405" s="9" t="s">
        <v>158</v>
      </c>
      <c r="T3405" s="10" t="s">
        <v>83</v>
      </c>
      <c r="U3405" s="10">
        <v>1</v>
      </c>
      <c r="V3405" s="10">
        <v>138.85</v>
      </c>
      <c r="W3405" s="10" t="s">
        <v>710</v>
      </c>
      <c r="X3405" s="17">
        <v>45822</v>
      </c>
      <c r="Y3405" s="17">
        <v>45822</v>
      </c>
      <c r="Z3405" s="19" t="s">
        <v>772</v>
      </c>
      <c r="AA3405" s="207">
        <v>47000</v>
      </c>
      <c r="AB3405" s="9">
        <v>37</v>
      </c>
      <c r="AC3405" s="9">
        <v>2</v>
      </c>
      <c r="AD3405" s="17">
        <v>45915</v>
      </c>
      <c r="AE3405" s="54">
        <v>500</v>
      </c>
      <c r="AF3405" s="54"/>
      <c r="AG3405" s="9" t="s">
        <v>134</v>
      </c>
      <c r="AH3405" s="17">
        <v>45905</v>
      </c>
      <c r="AI3405" s="17"/>
      <c r="AJ3405" s="17"/>
      <c r="AK3405" s="9" t="s">
        <v>802</v>
      </c>
      <c r="AL3405" s="22">
        <v>500</v>
      </c>
      <c r="AM3405" s="22"/>
      <c r="AN3405" s="22" t="s">
        <v>806</v>
      </c>
      <c r="AO3405" s="22"/>
      <c r="AP3405" s="22"/>
      <c r="AQ3405" s="22"/>
      <c r="AR3405" s="22"/>
      <c r="AS3405" s="22"/>
      <c r="AT3405" s="22"/>
      <c r="AU3405" s="22"/>
      <c r="AV3405" s="22"/>
      <c r="AW3405" s="42">
        <v>45905</v>
      </c>
      <c r="AX3405" s="36">
        <v>4674</v>
      </c>
      <c r="AY3405" s="36"/>
      <c r="AZ3405" s="36"/>
      <c r="BA3405" s="40">
        <v>500</v>
      </c>
      <c r="BB3405" s="22"/>
      <c r="BD3405" s="9"/>
      <c r="CS3405" s="11">
        <f t="shared" si="235"/>
        <v>500</v>
      </c>
      <c r="CT3405" s="22">
        <f t="shared" si="236"/>
        <v>500</v>
      </c>
      <c r="CU3405" s="22">
        <f t="shared" si="237"/>
        <v>0</v>
      </c>
      <c r="CV3405" s="26">
        <f t="shared" si="238"/>
        <v>0</v>
      </c>
    </row>
    <row r="3406" spans="1:100" x14ac:dyDescent="0.2">
      <c r="A3406" s="9" t="s">
        <v>681</v>
      </c>
      <c r="B3406" s="2">
        <v>131</v>
      </c>
      <c r="C3406" s="3" t="s">
        <v>95</v>
      </c>
      <c r="D3406" s="3" t="s">
        <v>96</v>
      </c>
      <c r="E3406" s="2"/>
      <c r="F3406" s="2"/>
      <c r="G3406" s="2" t="s">
        <v>83</v>
      </c>
      <c r="H3406" s="2">
        <v>1</v>
      </c>
      <c r="I3406" s="20">
        <v>138.85</v>
      </c>
      <c r="J3406" s="20">
        <v>62011</v>
      </c>
      <c r="K3406" s="3">
        <v>0</v>
      </c>
      <c r="L3406" s="3" t="s">
        <v>3</v>
      </c>
      <c r="M3406" s="9" t="s">
        <v>0</v>
      </c>
      <c r="N3406" s="9">
        <v>42540463</v>
      </c>
      <c r="O3406" s="9" t="s">
        <v>682</v>
      </c>
      <c r="S3406" s="9" t="s">
        <v>158</v>
      </c>
      <c r="T3406" s="10" t="s">
        <v>83</v>
      </c>
      <c r="U3406" s="10">
        <v>1</v>
      </c>
      <c r="V3406" s="10">
        <v>138.85</v>
      </c>
      <c r="W3406" s="10" t="s">
        <v>710</v>
      </c>
      <c r="X3406" s="17">
        <v>45822</v>
      </c>
      <c r="Y3406" s="17">
        <v>45822</v>
      </c>
      <c r="Z3406" s="19" t="s">
        <v>772</v>
      </c>
      <c r="AA3406" s="207">
        <v>47000</v>
      </c>
      <c r="AB3406" s="9">
        <v>37</v>
      </c>
      <c r="AC3406" s="9">
        <v>3</v>
      </c>
      <c r="AD3406" s="17">
        <v>45945</v>
      </c>
      <c r="AE3406" s="54">
        <v>500</v>
      </c>
      <c r="AF3406" s="54"/>
      <c r="AL3406" s="22"/>
      <c r="AM3406" s="22"/>
      <c r="AN3406" s="22"/>
      <c r="AO3406" s="22"/>
      <c r="AP3406" s="22"/>
      <c r="AQ3406" s="22"/>
      <c r="AR3406" s="22"/>
      <c r="AS3406" s="22"/>
      <c r="AT3406" s="22"/>
      <c r="AU3406" s="22"/>
      <c r="AV3406" s="22"/>
      <c r="AW3406" s="9"/>
      <c r="BA3406" s="22"/>
      <c r="BB3406" s="22"/>
      <c r="BD3406" s="9"/>
      <c r="CS3406" s="11">
        <f t="shared" si="235"/>
        <v>0</v>
      </c>
      <c r="CT3406" s="22">
        <f t="shared" si="236"/>
        <v>0</v>
      </c>
      <c r="CU3406" s="22">
        <f t="shared" si="237"/>
        <v>0</v>
      </c>
      <c r="CV3406" s="26">
        <f t="shared" si="238"/>
        <v>500</v>
      </c>
    </row>
    <row r="3407" spans="1:100" x14ac:dyDescent="0.2">
      <c r="A3407" s="9" t="s">
        <v>681</v>
      </c>
      <c r="B3407" s="2">
        <v>131</v>
      </c>
      <c r="C3407" s="3" t="s">
        <v>95</v>
      </c>
      <c r="D3407" s="3" t="s">
        <v>96</v>
      </c>
      <c r="E3407" s="2"/>
      <c r="F3407" s="2"/>
      <c r="G3407" s="2" t="s">
        <v>83</v>
      </c>
      <c r="H3407" s="2">
        <v>1</v>
      </c>
      <c r="I3407" s="20">
        <v>138.85</v>
      </c>
      <c r="J3407" s="20">
        <v>62011</v>
      </c>
      <c r="K3407" s="3">
        <v>0</v>
      </c>
      <c r="L3407" s="3" t="s">
        <v>3</v>
      </c>
      <c r="M3407" s="9" t="s">
        <v>0</v>
      </c>
      <c r="N3407" s="9">
        <v>42540463</v>
      </c>
      <c r="O3407" s="9" t="s">
        <v>682</v>
      </c>
      <c r="S3407" s="9" t="s">
        <v>158</v>
      </c>
      <c r="T3407" s="10" t="s">
        <v>83</v>
      </c>
      <c r="U3407" s="10">
        <v>1</v>
      </c>
      <c r="V3407" s="10">
        <v>138.85</v>
      </c>
      <c r="W3407" s="10" t="s">
        <v>710</v>
      </c>
      <c r="X3407" s="17">
        <v>45822</v>
      </c>
      <c r="Y3407" s="17">
        <v>45822</v>
      </c>
      <c r="Z3407" s="19" t="s">
        <v>772</v>
      </c>
      <c r="AA3407" s="207">
        <v>47000</v>
      </c>
      <c r="AB3407" s="9">
        <v>37</v>
      </c>
      <c r="AC3407" s="9">
        <v>4</v>
      </c>
      <c r="AD3407" s="17">
        <v>45976</v>
      </c>
      <c r="AE3407" s="54">
        <v>500</v>
      </c>
      <c r="AF3407" s="54"/>
      <c r="AL3407" s="22"/>
      <c r="AM3407" s="22"/>
      <c r="AN3407" s="22"/>
      <c r="AO3407" s="22"/>
      <c r="AP3407" s="22"/>
      <c r="AQ3407" s="22"/>
      <c r="AR3407" s="22"/>
      <c r="AS3407" s="22"/>
      <c r="AT3407" s="22"/>
      <c r="AU3407" s="22"/>
      <c r="AV3407" s="22"/>
      <c r="AW3407" s="17"/>
      <c r="BA3407" s="22"/>
      <c r="BB3407" s="22"/>
      <c r="BD3407" s="9"/>
      <c r="CS3407" s="11">
        <f t="shared" si="235"/>
        <v>0</v>
      </c>
      <c r="CT3407" s="22">
        <f t="shared" si="236"/>
        <v>0</v>
      </c>
      <c r="CU3407" s="22">
        <f t="shared" si="237"/>
        <v>0</v>
      </c>
      <c r="CV3407" s="26">
        <f t="shared" si="238"/>
        <v>500</v>
      </c>
    </row>
    <row r="3408" spans="1:100" x14ac:dyDescent="0.2">
      <c r="A3408" s="9" t="s">
        <v>681</v>
      </c>
      <c r="B3408" s="2">
        <v>131</v>
      </c>
      <c r="C3408" s="3" t="s">
        <v>95</v>
      </c>
      <c r="D3408" s="3" t="s">
        <v>96</v>
      </c>
      <c r="E3408" s="2"/>
      <c r="F3408" s="2"/>
      <c r="G3408" s="2" t="s">
        <v>83</v>
      </c>
      <c r="H3408" s="2">
        <v>1</v>
      </c>
      <c r="I3408" s="20">
        <v>138.85</v>
      </c>
      <c r="J3408" s="20">
        <v>62011</v>
      </c>
      <c r="K3408" s="3">
        <v>0</v>
      </c>
      <c r="L3408" s="3" t="s">
        <v>3</v>
      </c>
      <c r="M3408" s="9" t="s">
        <v>0</v>
      </c>
      <c r="N3408" s="9">
        <v>42540463</v>
      </c>
      <c r="O3408" s="9" t="s">
        <v>682</v>
      </c>
      <c r="S3408" s="9" t="s">
        <v>158</v>
      </c>
      <c r="T3408" s="10" t="s">
        <v>83</v>
      </c>
      <c r="U3408" s="10">
        <v>1</v>
      </c>
      <c r="V3408" s="10">
        <v>138.85</v>
      </c>
      <c r="W3408" s="10" t="s">
        <v>710</v>
      </c>
      <c r="X3408" s="17">
        <v>45822</v>
      </c>
      <c r="Y3408" s="17">
        <v>45822</v>
      </c>
      <c r="Z3408" s="19" t="s">
        <v>772</v>
      </c>
      <c r="AA3408" s="207">
        <v>47000</v>
      </c>
      <c r="AB3408" s="9">
        <v>37</v>
      </c>
      <c r="AC3408" s="9">
        <v>5</v>
      </c>
      <c r="AD3408" s="17">
        <v>46006</v>
      </c>
      <c r="AE3408" s="54">
        <v>500</v>
      </c>
      <c r="AF3408" s="54"/>
      <c r="AL3408" s="22"/>
      <c r="AM3408" s="22"/>
      <c r="AN3408" s="22"/>
      <c r="AO3408" s="22"/>
      <c r="AP3408" s="22"/>
      <c r="AQ3408" s="22"/>
      <c r="AR3408" s="22"/>
      <c r="AS3408" s="22"/>
      <c r="AT3408" s="22"/>
      <c r="AU3408" s="22"/>
      <c r="AV3408" s="22"/>
      <c r="AW3408" s="17"/>
      <c r="BA3408" s="22"/>
      <c r="BB3408" s="22"/>
      <c r="BD3408" s="9"/>
      <c r="CS3408" s="11">
        <f t="shared" si="235"/>
        <v>0</v>
      </c>
      <c r="CT3408" s="22">
        <f t="shared" si="236"/>
        <v>0</v>
      </c>
      <c r="CU3408" s="22">
        <f t="shared" si="237"/>
        <v>0</v>
      </c>
      <c r="CV3408" s="26">
        <f t="shared" si="238"/>
        <v>500</v>
      </c>
    </row>
    <row r="3409" spans="1:100" x14ac:dyDescent="0.2">
      <c r="A3409" s="9" t="s">
        <v>681</v>
      </c>
      <c r="B3409" s="2">
        <v>131</v>
      </c>
      <c r="C3409" s="3" t="s">
        <v>95</v>
      </c>
      <c r="D3409" s="3" t="s">
        <v>96</v>
      </c>
      <c r="E3409" s="2"/>
      <c r="F3409" s="2"/>
      <c r="G3409" s="2" t="s">
        <v>83</v>
      </c>
      <c r="H3409" s="2">
        <v>1</v>
      </c>
      <c r="I3409" s="20">
        <v>138.85</v>
      </c>
      <c r="J3409" s="20">
        <v>62011</v>
      </c>
      <c r="K3409" s="3">
        <v>0</v>
      </c>
      <c r="L3409" s="3" t="s">
        <v>3</v>
      </c>
      <c r="M3409" s="9" t="s">
        <v>0</v>
      </c>
      <c r="N3409" s="9">
        <v>42540463</v>
      </c>
      <c r="O3409" s="9" t="s">
        <v>682</v>
      </c>
      <c r="S3409" s="9" t="s">
        <v>158</v>
      </c>
      <c r="T3409" s="10" t="s">
        <v>83</v>
      </c>
      <c r="U3409" s="10">
        <v>1</v>
      </c>
      <c r="V3409" s="10">
        <v>138.85</v>
      </c>
      <c r="W3409" s="10" t="s">
        <v>710</v>
      </c>
      <c r="X3409" s="17">
        <v>45822</v>
      </c>
      <c r="Y3409" s="17">
        <v>45822</v>
      </c>
      <c r="Z3409" s="19" t="s">
        <v>772</v>
      </c>
      <c r="AA3409" s="207">
        <v>47000</v>
      </c>
      <c r="AB3409" s="9">
        <v>37</v>
      </c>
      <c r="AC3409" s="9">
        <v>6</v>
      </c>
      <c r="AD3409" s="17">
        <v>46037</v>
      </c>
      <c r="AE3409" s="54">
        <v>500</v>
      </c>
      <c r="AF3409" s="54"/>
      <c r="AL3409" s="22"/>
      <c r="AM3409" s="22"/>
      <c r="AN3409" s="22"/>
      <c r="AO3409" s="22"/>
      <c r="AP3409" s="22"/>
      <c r="AQ3409" s="22"/>
      <c r="AR3409" s="22"/>
      <c r="AS3409" s="22"/>
      <c r="AT3409" s="22"/>
      <c r="AU3409" s="22"/>
      <c r="AV3409" s="22"/>
      <c r="AW3409" s="17"/>
      <c r="BA3409" s="22"/>
      <c r="BB3409" s="22"/>
      <c r="BD3409" s="9"/>
      <c r="CS3409" s="11">
        <f t="shared" si="235"/>
        <v>0</v>
      </c>
      <c r="CT3409" s="22">
        <f t="shared" si="236"/>
        <v>0</v>
      </c>
      <c r="CU3409" s="22">
        <f t="shared" si="237"/>
        <v>0</v>
      </c>
      <c r="CV3409" s="26">
        <f t="shared" si="238"/>
        <v>500</v>
      </c>
    </row>
    <row r="3410" spans="1:100" x14ac:dyDescent="0.2">
      <c r="A3410" s="9" t="s">
        <v>681</v>
      </c>
      <c r="B3410" s="2">
        <v>131</v>
      </c>
      <c r="C3410" s="3" t="s">
        <v>95</v>
      </c>
      <c r="D3410" s="3" t="s">
        <v>96</v>
      </c>
      <c r="E3410" s="2"/>
      <c r="F3410" s="2"/>
      <c r="G3410" s="2" t="s">
        <v>83</v>
      </c>
      <c r="H3410" s="2">
        <v>1</v>
      </c>
      <c r="I3410" s="20">
        <v>138.85</v>
      </c>
      <c r="J3410" s="20">
        <v>62011</v>
      </c>
      <c r="K3410" s="3">
        <v>0</v>
      </c>
      <c r="L3410" s="3" t="s">
        <v>3</v>
      </c>
      <c r="M3410" s="9" t="s">
        <v>0</v>
      </c>
      <c r="N3410" s="9">
        <v>42540463</v>
      </c>
      <c r="O3410" s="9" t="s">
        <v>682</v>
      </c>
      <c r="S3410" s="9" t="s">
        <v>158</v>
      </c>
      <c r="T3410" s="10" t="s">
        <v>83</v>
      </c>
      <c r="U3410" s="10">
        <v>1</v>
      </c>
      <c r="V3410" s="10">
        <v>138.85</v>
      </c>
      <c r="W3410" s="10" t="s">
        <v>710</v>
      </c>
      <c r="X3410" s="17">
        <v>45822</v>
      </c>
      <c r="Y3410" s="17">
        <v>45822</v>
      </c>
      <c r="Z3410" s="19" t="s">
        <v>772</v>
      </c>
      <c r="AA3410" s="207">
        <v>47000</v>
      </c>
      <c r="AB3410" s="9">
        <v>37</v>
      </c>
      <c r="AC3410" s="9">
        <v>7</v>
      </c>
      <c r="AD3410" s="17">
        <v>46068</v>
      </c>
      <c r="AE3410" s="54">
        <v>500</v>
      </c>
      <c r="AF3410" s="54"/>
      <c r="AL3410" s="22"/>
      <c r="AM3410" s="22"/>
      <c r="AN3410" s="22"/>
      <c r="AO3410" s="22"/>
      <c r="AP3410" s="22"/>
      <c r="AQ3410" s="22"/>
      <c r="AR3410" s="22"/>
      <c r="AS3410" s="22"/>
      <c r="AT3410" s="22"/>
      <c r="AU3410" s="22"/>
      <c r="AV3410" s="22"/>
      <c r="AW3410" s="17"/>
      <c r="AX3410" s="86"/>
      <c r="BA3410" s="22"/>
      <c r="BB3410" s="22"/>
      <c r="BD3410" s="9"/>
      <c r="CS3410" s="11">
        <f t="shared" si="235"/>
        <v>0</v>
      </c>
      <c r="CT3410" s="22">
        <f t="shared" si="236"/>
        <v>0</v>
      </c>
      <c r="CU3410" s="22">
        <f t="shared" si="237"/>
        <v>0</v>
      </c>
      <c r="CV3410" s="26">
        <f t="shared" si="238"/>
        <v>500</v>
      </c>
    </row>
    <row r="3411" spans="1:100" x14ac:dyDescent="0.2">
      <c r="A3411" s="9" t="s">
        <v>681</v>
      </c>
      <c r="B3411" s="2">
        <v>131</v>
      </c>
      <c r="C3411" s="3" t="s">
        <v>95</v>
      </c>
      <c r="D3411" s="3" t="s">
        <v>96</v>
      </c>
      <c r="E3411" s="2"/>
      <c r="F3411" s="2"/>
      <c r="G3411" s="2" t="s">
        <v>83</v>
      </c>
      <c r="H3411" s="2">
        <v>1</v>
      </c>
      <c r="I3411" s="20">
        <v>138.85</v>
      </c>
      <c r="J3411" s="20">
        <v>62011</v>
      </c>
      <c r="K3411" s="3">
        <v>0</v>
      </c>
      <c r="L3411" s="3" t="s">
        <v>3</v>
      </c>
      <c r="M3411" s="9" t="s">
        <v>0</v>
      </c>
      <c r="N3411" s="9">
        <v>42540463</v>
      </c>
      <c r="O3411" s="9" t="s">
        <v>682</v>
      </c>
      <c r="S3411" s="9" t="s">
        <v>158</v>
      </c>
      <c r="T3411" s="10" t="s">
        <v>83</v>
      </c>
      <c r="U3411" s="10">
        <v>1</v>
      </c>
      <c r="V3411" s="10">
        <v>138.85</v>
      </c>
      <c r="W3411" s="10" t="s">
        <v>710</v>
      </c>
      <c r="X3411" s="17">
        <v>45822</v>
      </c>
      <c r="Y3411" s="17">
        <v>45822</v>
      </c>
      <c r="Z3411" s="19" t="s">
        <v>772</v>
      </c>
      <c r="AA3411" s="207">
        <v>47000</v>
      </c>
      <c r="AB3411" s="9">
        <v>37</v>
      </c>
      <c r="AC3411" s="9">
        <v>8</v>
      </c>
      <c r="AD3411" s="17">
        <v>46096</v>
      </c>
      <c r="AE3411" s="54">
        <v>500</v>
      </c>
      <c r="AF3411" s="54"/>
      <c r="AL3411" s="22"/>
      <c r="AM3411" s="22"/>
      <c r="AN3411" s="22"/>
      <c r="AO3411" s="22"/>
      <c r="AP3411" s="22"/>
      <c r="AQ3411" s="22"/>
      <c r="AR3411" s="22"/>
      <c r="AS3411" s="22"/>
      <c r="AT3411" s="22"/>
      <c r="AU3411" s="22"/>
      <c r="AV3411" s="22"/>
      <c r="AW3411" s="9"/>
      <c r="BA3411" s="22"/>
      <c r="BB3411" s="22"/>
      <c r="BD3411" s="9"/>
      <c r="CS3411" s="11">
        <f t="shared" si="235"/>
        <v>0</v>
      </c>
      <c r="CT3411" s="22">
        <f t="shared" si="236"/>
        <v>0</v>
      </c>
      <c r="CU3411" s="22">
        <f t="shared" si="237"/>
        <v>0</v>
      </c>
      <c r="CV3411" s="26">
        <f t="shared" si="238"/>
        <v>500</v>
      </c>
    </row>
    <row r="3412" spans="1:100" x14ac:dyDescent="0.2">
      <c r="A3412" s="9" t="s">
        <v>681</v>
      </c>
      <c r="B3412" s="2">
        <v>131</v>
      </c>
      <c r="C3412" s="3" t="s">
        <v>95</v>
      </c>
      <c r="D3412" s="3" t="s">
        <v>96</v>
      </c>
      <c r="E3412" s="2"/>
      <c r="F3412" s="2"/>
      <c r="G3412" s="2" t="s">
        <v>83</v>
      </c>
      <c r="H3412" s="2">
        <v>1</v>
      </c>
      <c r="I3412" s="20">
        <v>138.85</v>
      </c>
      <c r="J3412" s="20">
        <v>62011</v>
      </c>
      <c r="K3412" s="3">
        <v>0</v>
      </c>
      <c r="L3412" s="3" t="s">
        <v>3</v>
      </c>
      <c r="M3412" s="9" t="s">
        <v>0</v>
      </c>
      <c r="N3412" s="9">
        <v>42540463</v>
      </c>
      <c r="O3412" s="9" t="s">
        <v>682</v>
      </c>
      <c r="S3412" s="9" t="s">
        <v>158</v>
      </c>
      <c r="T3412" s="10" t="s">
        <v>83</v>
      </c>
      <c r="U3412" s="10">
        <v>1</v>
      </c>
      <c r="V3412" s="10">
        <v>138.85</v>
      </c>
      <c r="W3412" s="10" t="s">
        <v>710</v>
      </c>
      <c r="X3412" s="17">
        <v>45822</v>
      </c>
      <c r="Y3412" s="17">
        <v>45822</v>
      </c>
      <c r="Z3412" s="19" t="s">
        <v>772</v>
      </c>
      <c r="AA3412" s="207">
        <v>47000</v>
      </c>
      <c r="AB3412" s="9">
        <v>37</v>
      </c>
      <c r="AC3412" s="9">
        <v>9</v>
      </c>
      <c r="AD3412" s="17">
        <v>46127</v>
      </c>
      <c r="AE3412" s="54">
        <v>500</v>
      </c>
      <c r="AF3412" s="54"/>
      <c r="AL3412" s="22"/>
      <c r="AM3412" s="22"/>
      <c r="AN3412" s="22"/>
      <c r="AO3412" s="22"/>
      <c r="AP3412" s="22"/>
      <c r="AQ3412" s="22"/>
      <c r="AR3412" s="22"/>
      <c r="AS3412" s="22"/>
      <c r="AT3412" s="22"/>
      <c r="AU3412" s="22"/>
      <c r="AV3412" s="22"/>
      <c r="AW3412" s="9"/>
      <c r="BA3412" s="22"/>
      <c r="BB3412" s="22"/>
      <c r="BD3412" s="9"/>
      <c r="CS3412" s="11">
        <f t="shared" si="235"/>
        <v>0</v>
      </c>
      <c r="CT3412" s="22">
        <f t="shared" si="236"/>
        <v>0</v>
      </c>
      <c r="CU3412" s="22">
        <f t="shared" si="237"/>
        <v>0</v>
      </c>
      <c r="CV3412" s="26">
        <f t="shared" si="238"/>
        <v>500</v>
      </c>
    </row>
    <row r="3413" spans="1:100" x14ac:dyDescent="0.2">
      <c r="A3413" s="9" t="s">
        <v>681</v>
      </c>
      <c r="B3413" s="2">
        <v>131</v>
      </c>
      <c r="C3413" s="3" t="s">
        <v>95</v>
      </c>
      <c r="D3413" s="3" t="s">
        <v>96</v>
      </c>
      <c r="E3413" s="2"/>
      <c r="F3413" s="2"/>
      <c r="G3413" s="2" t="s">
        <v>83</v>
      </c>
      <c r="H3413" s="2">
        <v>1</v>
      </c>
      <c r="I3413" s="20">
        <v>138.85</v>
      </c>
      <c r="J3413" s="20">
        <v>62011</v>
      </c>
      <c r="K3413" s="3">
        <v>0</v>
      </c>
      <c r="L3413" s="3" t="s">
        <v>3</v>
      </c>
      <c r="M3413" s="9" t="s">
        <v>0</v>
      </c>
      <c r="N3413" s="9">
        <v>42540463</v>
      </c>
      <c r="O3413" s="9" t="s">
        <v>682</v>
      </c>
      <c r="S3413" s="9" t="s">
        <v>158</v>
      </c>
      <c r="T3413" s="10" t="s">
        <v>83</v>
      </c>
      <c r="U3413" s="10">
        <v>1</v>
      </c>
      <c r="V3413" s="10">
        <v>138.85</v>
      </c>
      <c r="W3413" s="10" t="s">
        <v>710</v>
      </c>
      <c r="X3413" s="17">
        <v>45822</v>
      </c>
      <c r="Y3413" s="17">
        <v>45822</v>
      </c>
      <c r="Z3413" s="19" t="s">
        <v>772</v>
      </c>
      <c r="AA3413" s="207">
        <v>47000</v>
      </c>
      <c r="AB3413" s="9">
        <v>37</v>
      </c>
      <c r="AC3413" s="9">
        <v>10</v>
      </c>
      <c r="AD3413" s="17">
        <v>46157</v>
      </c>
      <c r="AE3413" s="54">
        <v>500</v>
      </c>
      <c r="AF3413" s="54"/>
      <c r="AL3413" s="22"/>
      <c r="AM3413" s="22"/>
      <c r="AN3413" s="22"/>
      <c r="AO3413" s="22"/>
      <c r="AP3413" s="22"/>
      <c r="AQ3413" s="22"/>
      <c r="AR3413" s="22"/>
      <c r="AS3413" s="22"/>
      <c r="AT3413" s="22"/>
      <c r="AU3413" s="22"/>
      <c r="AV3413" s="22"/>
      <c r="AW3413" s="9"/>
      <c r="BA3413" s="22"/>
      <c r="BB3413" s="22"/>
      <c r="BD3413" s="9"/>
      <c r="CS3413" s="11">
        <f t="shared" si="235"/>
        <v>0</v>
      </c>
      <c r="CT3413" s="22">
        <f t="shared" si="236"/>
        <v>0</v>
      </c>
      <c r="CU3413" s="22">
        <f t="shared" si="237"/>
        <v>0</v>
      </c>
      <c r="CV3413" s="26">
        <f t="shared" si="238"/>
        <v>500</v>
      </c>
    </row>
    <row r="3414" spans="1:100" x14ac:dyDescent="0.2">
      <c r="A3414" s="9" t="s">
        <v>681</v>
      </c>
      <c r="B3414" s="2">
        <v>131</v>
      </c>
      <c r="C3414" s="3" t="s">
        <v>95</v>
      </c>
      <c r="D3414" s="3" t="s">
        <v>96</v>
      </c>
      <c r="E3414" s="2"/>
      <c r="F3414" s="2"/>
      <c r="G3414" s="2" t="s">
        <v>83</v>
      </c>
      <c r="H3414" s="2">
        <v>1</v>
      </c>
      <c r="I3414" s="20">
        <v>138.85</v>
      </c>
      <c r="J3414" s="20">
        <v>62011</v>
      </c>
      <c r="K3414" s="3">
        <v>0</v>
      </c>
      <c r="L3414" s="3" t="s">
        <v>3</v>
      </c>
      <c r="M3414" s="9" t="s">
        <v>0</v>
      </c>
      <c r="N3414" s="9">
        <v>42540463</v>
      </c>
      <c r="O3414" s="9" t="s">
        <v>682</v>
      </c>
      <c r="S3414" s="9" t="s">
        <v>158</v>
      </c>
      <c r="T3414" s="10" t="s">
        <v>83</v>
      </c>
      <c r="U3414" s="10">
        <v>1</v>
      </c>
      <c r="V3414" s="10">
        <v>138.85</v>
      </c>
      <c r="W3414" s="10" t="s">
        <v>710</v>
      </c>
      <c r="X3414" s="17">
        <v>45822</v>
      </c>
      <c r="Y3414" s="17">
        <v>45822</v>
      </c>
      <c r="Z3414" s="19" t="s">
        <v>772</v>
      </c>
      <c r="AA3414" s="207">
        <v>47000</v>
      </c>
      <c r="AB3414" s="9">
        <v>37</v>
      </c>
      <c r="AC3414" s="9">
        <v>11</v>
      </c>
      <c r="AD3414" s="17">
        <v>46188</v>
      </c>
      <c r="AE3414" s="54">
        <v>500</v>
      </c>
      <c r="AF3414" s="54"/>
      <c r="AL3414" s="22"/>
      <c r="AM3414" s="22"/>
      <c r="AN3414" s="22"/>
      <c r="AO3414" s="22"/>
      <c r="AP3414" s="22"/>
      <c r="AQ3414" s="22"/>
      <c r="AR3414" s="22"/>
      <c r="AS3414" s="22"/>
      <c r="AT3414" s="22"/>
      <c r="AU3414" s="22"/>
      <c r="AV3414" s="22"/>
      <c r="AW3414" s="9"/>
      <c r="BA3414" s="22"/>
      <c r="BB3414" s="22"/>
      <c r="BD3414" s="9"/>
      <c r="CS3414" s="11">
        <f t="shared" si="235"/>
        <v>0</v>
      </c>
      <c r="CT3414" s="22">
        <f t="shared" si="236"/>
        <v>0</v>
      </c>
      <c r="CU3414" s="22">
        <f t="shared" si="237"/>
        <v>0</v>
      </c>
      <c r="CV3414" s="26">
        <f t="shared" si="238"/>
        <v>500</v>
      </c>
    </row>
    <row r="3415" spans="1:100" x14ac:dyDescent="0.2">
      <c r="A3415" s="9" t="s">
        <v>681</v>
      </c>
      <c r="B3415" s="2">
        <v>131</v>
      </c>
      <c r="C3415" s="3" t="s">
        <v>95</v>
      </c>
      <c r="D3415" s="3" t="s">
        <v>96</v>
      </c>
      <c r="E3415" s="2"/>
      <c r="F3415" s="2"/>
      <c r="G3415" s="2" t="s">
        <v>83</v>
      </c>
      <c r="H3415" s="2">
        <v>1</v>
      </c>
      <c r="I3415" s="20">
        <v>138.85</v>
      </c>
      <c r="J3415" s="20">
        <v>62011</v>
      </c>
      <c r="K3415" s="3">
        <v>0</v>
      </c>
      <c r="L3415" s="3" t="s">
        <v>3</v>
      </c>
      <c r="M3415" s="9" t="s">
        <v>0</v>
      </c>
      <c r="N3415" s="9">
        <v>42540463</v>
      </c>
      <c r="O3415" s="9" t="s">
        <v>682</v>
      </c>
      <c r="S3415" s="9" t="s">
        <v>158</v>
      </c>
      <c r="T3415" s="10" t="s">
        <v>83</v>
      </c>
      <c r="U3415" s="10">
        <v>1</v>
      </c>
      <c r="V3415" s="10">
        <v>138.85</v>
      </c>
      <c r="W3415" s="10" t="s">
        <v>710</v>
      </c>
      <c r="X3415" s="17">
        <v>45822</v>
      </c>
      <c r="Y3415" s="17">
        <v>45822</v>
      </c>
      <c r="Z3415" s="19" t="s">
        <v>772</v>
      </c>
      <c r="AA3415" s="207">
        <v>47000</v>
      </c>
      <c r="AB3415" s="9">
        <v>37</v>
      </c>
      <c r="AC3415" s="9">
        <v>12</v>
      </c>
      <c r="AD3415" s="17">
        <v>46218</v>
      </c>
      <c r="AE3415" s="54">
        <v>500</v>
      </c>
      <c r="AF3415" s="54"/>
      <c r="AL3415" s="22"/>
      <c r="AM3415" s="22"/>
      <c r="AN3415" s="22"/>
      <c r="AO3415" s="22"/>
      <c r="AP3415" s="22"/>
      <c r="AQ3415" s="22"/>
      <c r="AR3415" s="22"/>
      <c r="AS3415" s="22"/>
      <c r="AT3415" s="22"/>
      <c r="AU3415" s="22"/>
      <c r="AV3415" s="22"/>
      <c r="AW3415" s="9"/>
      <c r="BA3415" s="22"/>
      <c r="BB3415" s="22"/>
      <c r="BD3415" s="9"/>
      <c r="CS3415" s="11">
        <f t="shared" si="235"/>
        <v>0</v>
      </c>
      <c r="CT3415" s="22">
        <f t="shared" si="236"/>
        <v>0</v>
      </c>
      <c r="CU3415" s="22">
        <f t="shared" si="237"/>
        <v>0</v>
      </c>
      <c r="CV3415" s="26">
        <f t="shared" si="238"/>
        <v>500</v>
      </c>
    </row>
    <row r="3416" spans="1:100" x14ac:dyDescent="0.2">
      <c r="A3416" s="9" t="s">
        <v>681</v>
      </c>
      <c r="B3416" s="2">
        <v>131</v>
      </c>
      <c r="C3416" s="3" t="s">
        <v>95</v>
      </c>
      <c r="D3416" s="3" t="s">
        <v>96</v>
      </c>
      <c r="E3416" s="2"/>
      <c r="F3416" s="2"/>
      <c r="G3416" s="2" t="s">
        <v>83</v>
      </c>
      <c r="H3416" s="2">
        <v>1</v>
      </c>
      <c r="I3416" s="20">
        <v>138.85</v>
      </c>
      <c r="J3416" s="20">
        <v>62011</v>
      </c>
      <c r="K3416" s="3">
        <v>0</v>
      </c>
      <c r="L3416" s="3" t="s">
        <v>3</v>
      </c>
      <c r="M3416" s="9" t="s">
        <v>0</v>
      </c>
      <c r="N3416" s="9">
        <v>42540463</v>
      </c>
      <c r="O3416" s="9" t="s">
        <v>682</v>
      </c>
      <c r="S3416" s="9" t="s">
        <v>158</v>
      </c>
      <c r="T3416" s="10" t="s">
        <v>83</v>
      </c>
      <c r="U3416" s="10">
        <v>1</v>
      </c>
      <c r="V3416" s="10">
        <v>138.85</v>
      </c>
      <c r="W3416" s="10" t="s">
        <v>710</v>
      </c>
      <c r="X3416" s="17">
        <v>45822</v>
      </c>
      <c r="Y3416" s="17">
        <v>45822</v>
      </c>
      <c r="Z3416" s="19" t="s">
        <v>772</v>
      </c>
      <c r="AA3416" s="207">
        <v>47000</v>
      </c>
      <c r="AB3416" s="9">
        <v>37</v>
      </c>
      <c r="AC3416" s="9">
        <v>13</v>
      </c>
      <c r="AD3416" s="17">
        <v>46249</v>
      </c>
      <c r="AE3416" s="54">
        <v>900</v>
      </c>
      <c r="AF3416" s="54"/>
      <c r="AL3416" s="22"/>
      <c r="AM3416" s="22"/>
      <c r="AN3416" s="22"/>
      <c r="AO3416" s="22"/>
      <c r="AP3416" s="22"/>
      <c r="AQ3416" s="22"/>
      <c r="AR3416" s="22"/>
      <c r="AS3416" s="22"/>
      <c r="AT3416" s="22"/>
      <c r="AU3416" s="22"/>
      <c r="AV3416" s="22"/>
      <c r="AW3416" s="9"/>
      <c r="BA3416" s="22"/>
      <c r="BB3416" s="22"/>
      <c r="BD3416" s="9"/>
      <c r="CS3416" s="11">
        <f t="shared" si="235"/>
        <v>0</v>
      </c>
      <c r="CT3416" s="22">
        <f t="shared" si="236"/>
        <v>0</v>
      </c>
      <c r="CU3416" s="22">
        <f t="shared" si="237"/>
        <v>0</v>
      </c>
      <c r="CV3416" s="26">
        <f t="shared" si="238"/>
        <v>900</v>
      </c>
    </row>
    <row r="3417" spans="1:100" x14ac:dyDescent="0.2">
      <c r="A3417" s="9" t="s">
        <v>681</v>
      </c>
      <c r="B3417" s="2">
        <v>131</v>
      </c>
      <c r="C3417" s="3" t="s">
        <v>95</v>
      </c>
      <c r="D3417" s="3" t="s">
        <v>96</v>
      </c>
      <c r="E3417" s="2"/>
      <c r="F3417" s="2"/>
      <c r="G3417" s="2" t="s">
        <v>83</v>
      </c>
      <c r="H3417" s="2">
        <v>1</v>
      </c>
      <c r="I3417" s="20">
        <v>138.85</v>
      </c>
      <c r="J3417" s="20">
        <v>62011</v>
      </c>
      <c r="K3417" s="3">
        <v>0</v>
      </c>
      <c r="L3417" s="3" t="s">
        <v>3</v>
      </c>
      <c r="M3417" s="9" t="s">
        <v>0</v>
      </c>
      <c r="N3417" s="9">
        <v>42540463</v>
      </c>
      <c r="O3417" s="9" t="s">
        <v>682</v>
      </c>
      <c r="S3417" s="9" t="s">
        <v>158</v>
      </c>
      <c r="T3417" s="10" t="s">
        <v>83</v>
      </c>
      <c r="U3417" s="10">
        <v>1</v>
      </c>
      <c r="V3417" s="10">
        <v>138.85</v>
      </c>
      <c r="W3417" s="10" t="s">
        <v>710</v>
      </c>
      <c r="X3417" s="17">
        <v>45822</v>
      </c>
      <c r="Y3417" s="17">
        <v>45822</v>
      </c>
      <c r="Z3417" s="19" t="s">
        <v>772</v>
      </c>
      <c r="AA3417" s="207">
        <v>47000</v>
      </c>
      <c r="AB3417" s="9">
        <v>37</v>
      </c>
      <c r="AC3417" s="9">
        <v>14</v>
      </c>
      <c r="AD3417" s="17">
        <v>46280</v>
      </c>
      <c r="AE3417" s="54">
        <v>900</v>
      </c>
      <c r="AF3417" s="54"/>
      <c r="AL3417" s="22"/>
      <c r="AM3417" s="22"/>
      <c r="AN3417" s="22"/>
      <c r="AO3417" s="22"/>
      <c r="AP3417" s="22"/>
      <c r="AQ3417" s="22"/>
      <c r="AR3417" s="22"/>
      <c r="AS3417" s="22"/>
      <c r="AT3417" s="22"/>
      <c r="AU3417" s="22"/>
      <c r="AV3417" s="22"/>
      <c r="AW3417" s="9"/>
      <c r="BA3417" s="22"/>
      <c r="BB3417" s="22"/>
      <c r="BD3417" s="9"/>
      <c r="CS3417" s="11">
        <f t="shared" si="235"/>
        <v>0</v>
      </c>
      <c r="CT3417" s="22">
        <f t="shared" si="236"/>
        <v>0</v>
      </c>
      <c r="CU3417" s="22">
        <f t="shared" si="237"/>
        <v>0</v>
      </c>
      <c r="CV3417" s="26">
        <f t="shared" si="238"/>
        <v>900</v>
      </c>
    </row>
    <row r="3418" spans="1:100" x14ac:dyDescent="0.2">
      <c r="A3418" s="9" t="s">
        <v>681</v>
      </c>
      <c r="B3418" s="2">
        <v>131</v>
      </c>
      <c r="C3418" s="3" t="s">
        <v>95</v>
      </c>
      <c r="D3418" s="3" t="s">
        <v>96</v>
      </c>
      <c r="E3418" s="2"/>
      <c r="F3418" s="2"/>
      <c r="G3418" s="2" t="s">
        <v>83</v>
      </c>
      <c r="H3418" s="2">
        <v>1</v>
      </c>
      <c r="I3418" s="20">
        <v>138.85</v>
      </c>
      <c r="J3418" s="20">
        <v>62011</v>
      </c>
      <c r="K3418" s="3">
        <v>0</v>
      </c>
      <c r="L3418" s="3" t="s">
        <v>3</v>
      </c>
      <c r="M3418" s="9" t="s">
        <v>0</v>
      </c>
      <c r="N3418" s="9">
        <v>42540463</v>
      </c>
      <c r="O3418" s="9" t="s">
        <v>682</v>
      </c>
      <c r="S3418" s="9" t="s">
        <v>158</v>
      </c>
      <c r="T3418" s="10" t="s">
        <v>83</v>
      </c>
      <c r="U3418" s="10">
        <v>1</v>
      </c>
      <c r="V3418" s="10">
        <v>138.85</v>
      </c>
      <c r="W3418" s="10" t="s">
        <v>710</v>
      </c>
      <c r="X3418" s="17">
        <v>45822</v>
      </c>
      <c r="Y3418" s="17">
        <v>45822</v>
      </c>
      <c r="Z3418" s="19" t="s">
        <v>772</v>
      </c>
      <c r="AA3418" s="207">
        <v>47000</v>
      </c>
      <c r="AB3418" s="9">
        <v>37</v>
      </c>
      <c r="AC3418" s="9">
        <v>15</v>
      </c>
      <c r="AD3418" s="17">
        <v>46310</v>
      </c>
      <c r="AE3418" s="54">
        <v>900</v>
      </c>
      <c r="AF3418" s="54"/>
      <c r="AL3418" s="22"/>
      <c r="AM3418" s="22"/>
      <c r="AN3418" s="22"/>
      <c r="AO3418" s="22"/>
      <c r="AP3418" s="22"/>
      <c r="AQ3418" s="22"/>
      <c r="AR3418" s="22"/>
      <c r="AS3418" s="22"/>
      <c r="AT3418" s="22"/>
      <c r="AU3418" s="22"/>
      <c r="AV3418" s="22"/>
      <c r="AW3418" s="9"/>
      <c r="BA3418" s="22"/>
      <c r="BB3418" s="22"/>
      <c r="BD3418" s="9"/>
      <c r="CS3418" s="11">
        <f t="shared" si="235"/>
        <v>0</v>
      </c>
      <c r="CT3418" s="22">
        <f t="shared" si="236"/>
        <v>0</v>
      </c>
      <c r="CU3418" s="22">
        <f t="shared" si="237"/>
        <v>0</v>
      </c>
      <c r="CV3418" s="26">
        <f t="shared" si="238"/>
        <v>900</v>
      </c>
    </row>
    <row r="3419" spans="1:100" x14ac:dyDescent="0.2">
      <c r="A3419" s="9" t="s">
        <v>681</v>
      </c>
      <c r="B3419" s="2">
        <v>131</v>
      </c>
      <c r="C3419" s="3" t="s">
        <v>95</v>
      </c>
      <c r="D3419" s="3" t="s">
        <v>96</v>
      </c>
      <c r="E3419" s="2"/>
      <c r="F3419" s="2"/>
      <c r="G3419" s="2" t="s">
        <v>83</v>
      </c>
      <c r="H3419" s="2">
        <v>1</v>
      </c>
      <c r="I3419" s="20">
        <v>138.85</v>
      </c>
      <c r="J3419" s="20">
        <v>62011</v>
      </c>
      <c r="K3419" s="3">
        <v>0</v>
      </c>
      <c r="L3419" s="3" t="s">
        <v>3</v>
      </c>
      <c r="M3419" s="9" t="s">
        <v>0</v>
      </c>
      <c r="N3419" s="9">
        <v>42540463</v>
      </c>
      <c r="O3419" s="9" t="s">
        <v>682</v>
      </c>
      <c r="S3419" s="9" t="s">
        <v>158</v>
      </c>
      <c r="T3419" s="10" t="s">
        <v>83</v>
      </c>
      <c r="U3419" s="10">
        <v>1</v>
      </c>
      <c r="V3419" s="10">
        <v>138.85</v>
      </c>
      <c r="W3419" s="10" t="s">
        <v>710</v>
      </c>
      <c r="X3419" s="17">
        <v>45822</v>
      </c>
      <c r="Y3419" s="17">
        <v>45822</v>
      </c>
      <c r="Z3419" s="19" t="s">
        <v>772</v>
      </c>
      <c r="AA3419" s="207">
        <v>47000</v>
      </c>
      <c r="AB3419" s="9">
        <v>37</v>
      </c>
      <c r="AC3419" s="9">
        <v>16</v>
      </c>
      <c r="AD3419" s="17">
        <v>46341</v>
      </c>
      <c r="AE3419" s="54">
        <v>900</v>
      </c>
      <c r="AF3419" s="54"/>
      <c r="AL3419" s="22"/>
      <c r="AM3419" s="22"/>
      <c r="AN3419" s="22"/>
      <c r="AO3419" s="22"/>
      <c r="AP3419" s="22"/>
      <c r="AQ3419" s="22"/>
      <c r="AR3419" s="22"/>
      <c r="AS3419" s="22"/>
      <c r="AT3419" s="22"/>
      <c r="AU3419" s="22"/>
      <c r="AV3419" s="22"/>
      <c r="AW3419" s="9"/>
      <c r="BA3419" s="22"/>
      <c r="BB3419" s="22"/>
      <c r="BD3419" s="9"/>
      <c r="CS3419" s="11">
        <f t="shared" si="235"/>
        <v>0</v>
      </c>
      <c r="CT3419" s="22">
        <f t="shared" si="236"/>
        <v>0</v>
      </c>
      <c r="CU3419" s="22">
        <f t="shared" si="237"/>
        <v>0</v>
      </c>
      <c r="CV3419" s="26">
        <f t="shared" si="238"/>
        <v>900</v>
      </c>
    </row>
    <row r="3420" spans="1:100" x14ac:dyDescent="0.2">
      <c r="A3420" s="9" t="s">
        <v>681</v>
      </c>
      <c r="B3420" s="2">
        <v>131</v>
      </c>
      <c r="C3420" s="3" t="s">
        <v>95</v>
      </c>
      <c r="D3420" s="3" t="s">
        <v>96</v>
      </c>
      <c r="E3420" s="2"/>
      <c r="F3420" s="2"/>
      <c r="G3420" s="2" t="s">
        <v>83</v>
      </c>
      <c r="H3420" s="2">
        <v>1</v>
      </c>
      <c r="I3420" s="20">
        <v>138.85</v>
      </c>
      <c r="J3420" s="20">
        <v>62011</v>
      </c>
      <c r="K3420" s="3">
        <v>0</v>
      </c>
      <c r="L3420" s="3" t="s">
        <v>3</v>
      </c>
      <c r="M3420" s="9" t="s">
        <v>0</v>
      </c>
      <c r="N3420" s="9">
        <v>42540463</v>
      </c>
      <c r="O3420" s="9" t="s">
        <v>682</v>
      </c>
      <c r="S3420" s="9" t="s">
        <v>158</v>
      </c>
      <c r="T3420" s="10" t="s">
        <v>83</v>
      </c>
      <c r="U3420" s="10">
        <v>1</v>
      </c>
      <c r="V3420" s="10">
        <v>138.85</v>
      </c>
      <c r="W3420" s="10" t="s">
        <v>710</v>
      </c>
      <c r="X3420" s="17">
        <v>45822</v>
      </c>
      <c r="Y3420" s="17">
        <v>45822</v>
      </c>
      <c r="Z3420" s="19" t="s">
        <v>772</v>
      </c>
      <c r="AA3420" s="207">
        <v>47000</v>
      </c>
      <c r="AB3420" s="9">
        <v>37</v>
      </c>
      <c r="AC3420" s="9">
        <v>17</v>
      </c>
      <c r="AD3420" s="17">
        <v>46371</v>
      </c>
      <c r="AE3420" s="54">
        <v>900</v>
      </c>
      <c r="AF3420" s="54"/>
      <c r="AL3420" s="22"/>
      <c r="AM3420" s="22"/>
      <c r="AN3420" s="22"/>
      <c r="AO3420" s="22"/>
      <c r="AP3420" s="22"/>
      <c r="AQ3420" s="22"/>
      <c r="AR3420" s="22"/>
      <c r="AS3420" s="22"/>
      <c r="AT3420" s="22"/>
      <c r="AU3420" s="22"/>
      <c r="AV3420" s="22"/>
      <c r="AW3420" s="9"/>
      <c r="BA3420" s="22"/>
      <c r="BB3420" s="22"/>
      <c r="BD3420" s="9"/>
      <c r="CS3420" s="11">
        <f t="shared" si="235"/>
        <v>0</v>
      </c>
      <c r="CT3420" s="22">
        <f t="shared" si="236"/>
        <v>0</v>
      </c>
      <c r="CU3420" s="22">
        <f t="shared" si="237"/>
        <v>0</v>
      </c>
      <c r="CV3420" s="26">
        <f t="shared" si="238"/>
        <v>900</v>
      </c>
    </row>
    <row r="3421" spans="1:100" x14ac:dyDescent="0.2">
      <c r="A3421" s="9" t="s">
        <v>681</v>
      </c>
      <c r="B3421" s="2">
        <v>131</v>
      </c>
      <c r="C3421" s="3" t="s">
        <v>95</v>
      </c>
      <c r="D3421" s="3" t="s">
        <v>96</v>
      </c>
      <c r="E3421" s="2"/>
      <c r="F3421" s="2"/>
      <c r="G3421" s="2" t="s">
        <v>83</v>
      </c>
      <c r="H3421" s="2">
        <v>1</v>
      </c>
      <c r="I3421" s="20">
        <v>138.85</v>
      </c>
      <c r="J3421" s="20">
        <v>62011</v>
      </c>
      <c r="K3421" s="3">
        <v>0</v>
      </c>
      <c r="L3421" s="3" t="s">
        <v>3</v>
      </c>
      <c r="M3421" s="9" t="s">
        <v>0</v>
      </c>
      <c r="N3421" s="9">
        <v>42540463</v>
      </c>
      <c r="O3421" s="9" t="s">
        <v>682</v>
      </c>
      <c r="S3421" s="9" t="s">
        <v>158</v>
      </c>
      <c r="T3421" s="10" t="s">
        <v>83</v>
      </c>
      <c r="U3421" s="10">
        <v>1</v>
      </c>
      <c r="V3421" s="10">
        <v>138.85</v>
      </c>
      <c r="W3421" s="10" t="s">
        <v>710</v>
      </c>
      <c r="X3421" s="17">
        <v>45822</v>
      </c>
      <c r="Y3421" s="17">
        <v>45822</v>
      </c>
      <c r="Z3421" s="19" t="s">
        <v>772</v>
      </c>
      <c r="AA3421" s="207">
        <v>47000</v>
      </c>
      <c r="AB3421" s="9">
        <v>37</v>
      </c>
      <c r="AC3421" s="9">
        <v>18</v>
      </c>
      <c r="AD3421" s="17">
        <v>46402</v>
      </c>
      <c r="AE3421" s="54">
        <v>900</v>
      </c>
      <c r="AF3421" s="54"/>
      <c r="AL3421" s="22"/>
      <c r="AM3421" s="22"/>
      <c r="AN3421" s="22"/>
      <c r="AO3421" s="22"/>
      <c r="AP3421" s="22"/>
      <c r="AQ3421" s="22"/>
      <c r="AR3421" s="22"/>
      <c r="AS3421" s="22"/>
      <c r="AT3421" s="22"/>
      <c r="AU3421" s="22"/>
      <c r="AV3421" s="22"/>
      <c r="AW3421" s="9"/>
      <c r="BA3421" s="22"/>
      <c r="BB3421" s="22"/>
      <c r="BD3421" s="9"/>
      <c r="CS3421" s="11">
        <f t="shared" si="235"/>
        <v>0</v>
      </c>
      <c r="CT3421" s="22">
        <f t="shared" si="236"/>
        <v>0</v>
      </c>
      <c r="CU3421" s="22">
        <f t="shared" si="237"/>
        <v>0</v>
      </c>
      <c r="CV3421" s="26">
        <f t="shared" si="238"/>
        <v>900</v>
      </c>
    </row>
    <row r="3422" spans="1:100" x14ac:dyDescent="0.2">
      <c r="A3422" s="9" t="s">
        <v>681</v>
      </c>
      <c r="B3422" s="2">
        <v>131</v>
      </c>
      <c r="C3422" s="3" t="s">
        <v>95</v>
      </c>
      <c r="D3422" s="3" t="s">
        <v>96</v>
      </c>
      <c r="E3422" s="2"/>
      <c r="F3422" s="2"/>
      <c r="G3422" s="2" t="s">
        <v>83</v>
      </c>
      <c r="H3422" s="2">
        <v>1</v>
      </c>
      <c r="I3422" s="20">
        <v>138.85</v>
      </c>
      <c r="J3422" s="20">
        <v>62011</v>
      </c>
      <c r="K3422" s="3">
        <v>0</v>
      </c>
      <c r="L3422" s="3" t="s">
        <v>3</v>
      </c>
      <c r="M3422" s="9" t="s">
        <v>0</v>
      </c>
      <c r="N3422" s="9">
        <v>42540463</v>
      </c>
      <c r="O3422" s="9" t="s">
        <v>682</v>
      </c>
      <c r="S3422" s="9" t="s">
        <v>158</v>
      </c>
      <c r="T3422" s="10" t="s">
        <v>83</v>
      </c>
      <c r="U3422" s="10">
        <v>1</v>
      </c>
      <c r="V3422" s="10">
        <v>138.85</v>
      </c>
      <c r="W3422" s="10" t="s">
        <v>710</v>
      </c>
      <c r="X3422" s="17">
        <v>45822</v>
      </c>
      <c r="Y3422" s="17">
        <v>45822</v>
      </c>
      <c r="Z3422" s="19" t="s">
        <v>772</v>
      </c>
      <c r="AA3422" s="207">
        <v>47000</v>
      </c>
      <c r="AB3422" s="9">
        <v>37</v>
      </c>
      <c r="AC3422" s="9">
        <v>19</v>
      </c>
      <c r="AD3422" s="17">
        <v>46433</v>
      </c>
      <c r="AE3422" s="54">
        <v>900</v>
      </c>
      <c r="AF3422" s="54"/>
      <c r="AL3422" s="22"/>
      <c r="AM3422" s="22"/>
      <c r="AN3422" s="22"/>
      <c r="AO3422" s="22"/>
      <c r="AP3422" s="22"/>
      <c r="AQ3422" s="22"/>
      <c r="AR3422" s="22"/>
      <c r="AS3422" s="22"/>
      <c r="AT3422" s="22"/>
      <c r="AU3422" s="22"/>
      <c r="AV3422" s="22"/>
      <c r="AW3422" s="9"/>
      <c r="BA3422" s="22"/>
      <c r="BB3422" s="22"/>
      <c r="BD3422" s="9"/>
      <c r="CS3422" s="11">
        <f t="shared" si="235"/>
        <v>0</v>
      </c>
      <c r="CT3422" s="22">
        <f t="shared" si="236"/>
        <v>0</v>
      </c>
      <c r="CU3422" s="22">
        <f t="shared" si="237"/>
        <v>0</v>
      </c>
      <c r="CV3422" s="26">
        <f t="shared" si="238"/>
        <v>900</v>
      </c>
    </row>
    <row r="3423" spans="1:100" x14ac:dyDescent="0.2">
      <c r="A3423" s="9" t="s">
        <v>681</v>
      </c>
      <c r="B3423" s="2">
        <v>131</v>
      </c>
      <c r="C3423" s="3" t="s">
        <v>95</v>
      </c>
      <c r="D3423" s="3" t="s">
        <v>96</v>
      </c>
      <c r="E3423" s="2"/>
      <c r="F3423" s="2"/>
      <c r="G3423" s="2" t="s">
        <v>83</v>
      </c>
      <c r="H3423" s="2">
        <v>1</v>
      </c>
      <c r="I3423" s="20">
        <v>138.85</v>
      </c>
      <c r="J3423" s="20">
        <v>62011</v>
      </c>
      <c r="K3423" s="3">
        <v>0</v>
      </c>
      <c r="L3423" s="3" t="s">
        <v>3</v>
      </c>
      <c r="M3423" s="9" t="s">
        <v>0</v>
      </c>
      <c r="N3423" s="9">
        <v>42540463</v>
      </c>
      <c r="O3423" s="9" t="s">
        <v>682</v>
      </c>
      <c r="S3423" s="9" t="s">
        <v>158</v>
      </c>
      <c r="T3423" s="10" t="s">
        <v>83</v>
      </c>
      <c r="U3423" s="10">
        <v>1</v>
      </c>
      <c r="V3423" s="10">
        <v>138.85</v>
      </c>
      <c r="W3423" s="10" t="s">
        <v>710</v>
      </c>
      <c r="X3423" s="17">
        <v>45822</v>
      </c>
      <c r="Y3423" s="17">
        <v>45822</v>
      </c>
      <c r="Z3423" s="19" t="s">
        <v>772</v>
      </c>
      <c r="AA3423" s="207">
        <v>47000</v>
      </c>
      <c r="AB3423" s="9">
        <v>37</v>
      </c>
      <c r="AC3423" s="9">
        <v>20</v>
      </c>
      <c r="AD3423" s="17">
        <v>46461</v>
      </c>
      <c r="AE3423" s="54">
        <v>900</v>
      </c>
      <c r="AF3423" s="54"/>
      <c r="AL3423" s="22"/>
      <c r="AM3423" s="22"/>
      <c r="AN3423" s="22"/>
      <c r="AO3423" s="22"/>
      <c r="AP3423" s="22"/>
      <c r="AQ3423" s="22"/>
      <c r="AR3423" s="22"/>
      <c r="AS3423" s="22"/>
      <c r="AT3423" s="22"/>
      <c r="AU3423" s="22"/>
      <c r="AV3423" s="22"/>
      <c r="AW3423" s="9"/>
      <c r="BA3423" s="22"/>
      <c r="BB3423" s="22"/>
      <c r="BD3423" s="9"/>
      <c r="CS3423" s="11">
        <f t="shared" si="235"/>
        <v>0</v>
      </c>
      <c r="CT3423" s="22">
        <f t="shared" si="236"/>
        <v>0</v>
      </c>
      <c r="CU3423" s="22">
        <f t="shared" si="237"/>
        <v>0</v>
      </c>
      <c r="CV3423" s="26">
        <f t="shared" si="238"/>
        <v>900</v>
      </c>
    </row>
    <row r="3424" spans="1:100" x14ac:dyDescent="0.2">
      <c r="A3424" s="9" t="s">
        <v>681</v>
      </c>
      <c r="B3424" s="2">
        <v>131</v>
      </c>
      <c r="C3424" s="3" t="s">
        <v>95</v>
      </c>
      <c r="D3424" s="3" t="s">
        <v>96</v>
      </c>
      <c r="E3424" s="2"/>
      <c r="F3424" s="2"/>
      <c r="G3424" s="2" t="s">
        <v>83</v>
      </c>
      <c r="H3424" s="2">
        <v>1</v>
      </c>
      <c r="I3424" s="20">
        <v>138.85</v>
      </c>
      <c r="J3424" s="20">
        <v>62011</v>
      </c>
      <c r="K3424" s="3">
        <v>0</v>
      </c>
      <c r="L3424" s="3" t="s">
        <v>3</v>
      </c>
      <c r="M3424" s="9" t="s">
        <v>0</v>
      </c>
      <c r="N3424" s="9">
        <v>42540463</v>
      </c>
      <c r="O3424" s="9" t="s">
        <v>682</v>
      </c>
      <c r="S3424" s="9" t="s">
        <v>158</v>
      </c>
      <c r="T3424" s="10" t="s">
        <v>83</v>
      </c>
      <c r="U3424" s="10">
        <v>1</v>
      </c>
      <c r="V3424" s="10">
        <v>138.85</v>
      </c>
      <c r="W3424" s="10" t="s">
        <v>710</v>
      </c>
      <c r="X3424" s="17">
        <v>45822</v>
      </c>
      <c r="Y3424" s="17">
        <v>45822</v>
      </c>
      <c r="Z3424" s="19" t="s">
        <v>772</v>
      </c>
      <c r="AA3424" s="207">
        <v>47000</v>
      </c>
      <c r="AB3424" s="9">
        <v>37</v>
      </c>
      <c r="AC3424" s="9">
        <v>21</v>
      </c>
      <c r="AD3424" s="17">
        <v>46492</v>
      </c>
      <c r="AE3424" s="54">
        <v>900</v>
      </c>
      <c r="AF3424" s="54"/>
      <c r="AL3424" s="22"/>
      <c r="AM3424" s="22"/>
      <c r="AN3424" s="22"/>
      <c r="AO3424" s="22"/>
      <c r="AP3424" s="22"/>
      <c r="AQ3424" s="22"/>
      <c r="AR3424" s="22"/>
      <c r="AS3424" s="22"/>
      <c r="AT3424" s="22"/>
      <c r="AU3424" s="22"/>
      <c r="AV3424" s="22"/>
      <c r="AW3424" s="9"/>
      <c r="BA3424" s="22"/>
      <c r="BB3424" s="22"/>
      <c r="BD3424" s="9"/>
      <c r="CS3424" s="11">
        <f t="shared" si="235"/>
        <v>0</v>
      </c>
      <c r="CT3424" s="22">
        <f t="shared" si="236"/>
        <v>0</v>
      </c>
      <c r="CU3424" s="22">
        <f t="shared" si="237"/>
        <v>0</v>
      </c>
      <c r="CV3424" s="26">
        <f t="shared" si="238"/>
        <v>900</v>
      </c>
    </row>
    <row r="3425" spans="1:100" x14ac:dyDescent="0.2">
      <c r="A3425" s="9" t="s">
        <v>681</v>
      </c>
      <c r="B3425" s="2">
        <v>131</v>
      </c>
      <c r="C3425" s="3" t="s">
        <v>95</v>
      </c>
      <c r="D3425" s="3" t="s">
        <v>96</v>
      </c>
      <c r="E3425" s="2"/>
      <c r="F3425" s="2"/>
      <c r="G3425" s="2" t="s">
        <v>83</v>
      </c>
      <c r="H3425" s="2">
        <v>1</v>
      </c>
      <c r="I3425" s="20">
        <v>138.85</v>
      </c>
      <c r="J3425" s="20">
        <v>62011</v>
      </c>
      <c r="K3425" s="3">
        <v>0</v>
      </c>
      <c r="L3425" s="3" t="s">
        <v>3</v>
      </c>
      <c r="M3425" s="9" t="s">
        <v>0</v>
      </c>
      <c r="N3425" s="9">
        <v>42540463</v>
      </c>
      <c r="O3425" s="9" t="s">
        <v>682</v>
      </c>
      <c r="S3425" s="9" t="s">
        <v>158</v>
      </c>
      <c r="T3425" s="10" t="s">
        <v>83</v>
      </c>
      <c r="U3425" s="10">
        <v>1</v>
      </c>
      <c r="V3425" s="10">
        <v>138.85</v>
      </c>
      <c r="W3425" s="10" t="s">
        <v>710</v>
      </c>
      <c r="X3425" s="17">
        <v>45822</v>
      </c>
      <c r="Y3425" s="17">
        <v>45822</v>
      </c>
      <c r="Z3425" s="19" t="s">
        <v>772</v>
      </c>
      <c r="AA3425" s="207">
        <v>47000</v>
      </c>
      <c r="AB3425" s="9">
        <v>37</v>
      </c>
      <c r="AC3425" s="9">
        <v>22</v>
      </c>
      <c r="AD3425" s="17">
        <v>46522</v>
      </c>
      <c r="AE3425" s="54">
        <v>900</v>
      </c>
      <c r="AF3425" s="54"/>
      <c r="AL3425" s="22"/>
      <c r="AM3425" s="22"/>
      <c r="AN3425" s="22"/>
      <c r="AO3425" s="22"/>
      <c r="AP3425" s="22"/>
      <c r="AQ3425" s="22"/>
      <c r="AR3425" s="22"/>
      <c r="AS3425" s="22"/>
      <c r="AT3425" s="22"/>
      <c r="AU3425" s="22"/>
      <c r="AV3425" s="22"/>
      <c r="AW3425" s="9"/>
      <c r="BA3425" s="22"/>
      <c r="BB3425" s="22"/>
      <c r="BD3425" s="9"/>
      <c r="CS3425" s="11">
        <f t="shared" si="235"/>
        <v>0</v>
      </c>
      <c r="CT3425" s="22">
        <f t="shared" si="236"/>
        <v>0</v>
      </c>
      <c r="CU3425" s="22">
        <f t="shared" si="237"/>
        <v>0</v>
      </c>
      <c r="CV3425" s="26">
        <f t="shared" si="238"/>
        <v>900</v>
      </c>
    </row>
    <row r="3426" spans="1:100" x14ac:dyDescent="0.2">
      <c r="A3426" s="9" t="s">
        <v>681</v>
      </c>
      <c r="B3426" s="2">
        <v>131</v>
      </c>
      <c r="C3426" s="3" t="s">
        <v>95</v>
      </c>
      <c r="D3426" s="3" t="s">
        <v>96</v>
      </c>
      <c r="E3426" s="2"/>
      <c r="F3426" s="2"/>
      <c r="G3426" s="2" t="s">
        <v>83</v>
      </c>
      <c r="H3426" s="2">
        <v>1</v>
      </c>
      <c r="I3426" s="20">
        <v>138.85</v>
      </c>
      <c r="J3426" s="20">
        <v>62011</v>
      </c>
      <c r="K3426" s="3">
        <v>0</v>
      </c>
      <c r="L3426" s="3" t="s">
        <v>3</v>
      </c>
      <c r="M3426" s="9" t="s">
        <v>0</v>
      </c>
      <c r="N3426" s="9">
        <v>42540463</v>
      </c>
      <c r="O3426" s="9" t="s">
        <v>682</v>
      </c>
      <c r="S3426" s="9" t="s">
        <v>158</v>
      </c>
      <c r="T3426" s="10" t="s">
        <v>83</v>
      </c>
      <c r="U3426" s="10">
        <v>1</v>
      </c>
      <c r="V3426" s="10">
        <v>138.85</v>
      </c>
      <c r="W3426" s="10" t="s">
        <v>710</v>
      </c>
      <c r="X3426" s="17">
        <v>45822</v>
      </c>
      <c r="Y3426" s="17">
        <v>45822</v>
      </c>
      <c r="Z3426" s="19" t="s">
        <v>772</v>
      </c>
      <c r="AA3426" s="207">
        <v>47000</v>
      </c>
      <c r="AB3426" s="9">
        <v>37</v>
      </c>
      <c r="AC3426" s="9">
        <v>23</v>
      </c>
      <c r="AD3426" s="17">
        <v>46553</v>
      </c>
      <c r="AE3426" s="54">
        <v>900</v>
      </c>
      <c r="AF3426" s="54"/>
      <c r="AL3426" s="22"/>
      <c r="AM3426" s="22"/>
      <c r="AN3426" s="22"/>
      <c r="AO3426" s="22"/>
      <c r="AP3426" s="22"/>
      <c r="AQ3426" s="22"/>
      <c r="AR3426" s="22"/>
      <c r="AS3426" s="22"/>
      <c r="AT3426" s="22"/>
      <c r="AU3426" s="22"/>
      <c r="AV3426" s="22"/>
      <c r="AW3426" s="9"/>
      <c r="BA3426" s="22"/>
      <c r="BB3426" s="22"/>
      <c r="BD3426" s="9"/>
      <c r="CS3426" s="11">
        <f t="shared" si="235"/>
        <v>0</v>
      </c>
      <c r="CT3426" s="22">
        <f t="shared" si="236"/>
        <v>0</v>
      </c>
      <c r="CU3426" s="22">
        <f t="shared" si="237"/>
        <v>0</v>
      </c>
      <c r="CV3426" s="26">
        <f t="shared" si="238"/>
        <v>900</v>
      </c>
    </row>
    <row r="3427" spans="1:100" x14ac:dyDescent="0.2">
      <c r="A3427" s="9" t="s">
        <v>681</v>
      </c>
      <c r="B3427" s="2">
        <v>131</v>
      </c>
      <c r="C3427" s="3" t="s">
        <v>95</v>
      </c>
      <c r="D3427" s="3" t="s">
        <v>96</v>
      </c>
      <c r="E3427" s="2"/>
      <c r="F3427" s="2"/>
      <c r="G3427" s="2" t="s">
        <v>83</v>
      </c>
      <c r="H3427" s="2">
        <v>1</v>
      </c>
      <c r="I3427" s="20">
        <v>138.85</v>
      </c>
      <c r="J3427" s="20">
        <v>62011</v>
      </c>
      <c r="K3427" s="3">
        <v>0</v>
      </c>
      <c r="L3427" s="3" t="s">
        <v>3</v>
      </c>
      <c r="M3427" s="9" t="s">
        <v>0</v>
      </c>
      <c r="N3427" s="9">
        <v>42540463</v>
      </c>
      <c r="O3427" s="9" t="s">
        <v>682</v>
      </c>
      <c r="S3427" s="9" t="s">
        <v>158</v>
      </c>
      <c r="T3427" s="10" t="s">
        <v>83</v>
      </c>
      <c r="U3427" s="10">
        <v>1</v>
      </c>
      <c r="V3427" s="10">
        <v>138.85</v>
      </c>
      <c r="W3427" s="10" t="s">
        <v>710</v>
      </c>
      <c r="X3427" s="17">
        <v>45822</v>
      </c>
      <c r="Y3427" s="17">
        <v>45822</v>
      </c>
      <c r="Z3427" s="19" t="s">
        <v>772</v>
      </c>
      <c r="AA3427" s="207">
        <v>47000</v>
      </c>
      <c r="AB3427" s="9">
        <v>37</v>
      </c>
      <c r="AC3427" s="9">
        <v>24</v>
      </c>
      <c r="AD3427" s="17">
        <v>46583</v>
      </c>
      <c r="AE3427" s="54">
        <v>900</v>
      </c>
      <c r="AF3427" s="54"/>
      <c r="AL3427" s="22"/>
      <c r="AM3427" s="22"/>
      <c r="AN3427" s="22"/>
      <c r="AO3427" s="22"/>
      <c r="AP3427" s="22"/>
      <c r="AQ3427" s="22"/>
      <c r="AR3427" s="22"/>
      <c r="AS3427" s="22"/>
      <c r="AT3427" s="22"/>
      <c r="AU3427" s="22"/>
      <c r="AV3427" s="22"/>
      <c r="AW3427" s="9"/>
      <c r="BA3427" s="22"/>
      <c r="BB3427" s="22"/>
      <c r="BD3427" s="9"/>
      <c r="CS3427" s="11">
        <f t="shared" si="235"/>
        <v>0</v>
      </c>
      <c r="CT3427" s="22">
        <f t="shared" si="236"/>
        <v>0</v>
      </c>
      <c r="CU3427" s="22">
        <f t="shared" si="237"/>
        <v>0</v>
      </c>
      <c r="CV3427" s="26">
        <f t="shared" si="238"/>
        <v>900</v>
      </c>
    </row>
    <row r="3428" spans="1:100" x14ac:dyDescent="0.2">
      <c r="A3428" s="9" t="s">
        <v>681</v>
      </c>
      <c r="B3428" s="2">
        <v>131</v>
      </c>
      <c r="C3428" s="3" t="s">
        <v>95</v>
      </c>
      <c r="D3428" s="3" t="s">
        <v>96</v>
      </c>
      <c r="E3428" s="2"/>
      <c r="F3428" s="2"/>
      <c r="G3428" s="2" t="s">
        <v>83</v>
      </c>
      <c r="H3428" s="2">
        <v>1</v>
      </c>
      <c r="I3428" s="20">
        <v>138.85</v>
      </c>
      <c r="J3428" s="20">
        <v>62011</v>
      </c>
      <c r="K3428" s="3">
        <v>0</v>
      </c>
      <c r="L3428" s="3" t="s">
        <v>3</v>
      </c>
      <c r="M3428" s="9" t="s">
        <v>0</v>
      </c>
      <c r="N3428" s="9">
        <v>42540463</v>
      </c>
      <c r="O3428" s="9" t="s">
        <v>682</v>
      </c>
      <c r="S3428" s="9" t="s">
        <v>158</v>
      </c>
      <c r="T3428" s="10" t="s">
        <v>83</v>
      </c>
      <c r="U3428" s="10">
        <v>1</v>
      </c>
      <c r="V3428" s="10">
        <v>138.85</v>
      </c>
      <c r="W3428" s="10" t="s">
        <v>710</v>
      </c>
      <c r="X3428" s="17">
        <v>45822</v>
      </c>
      <c r="Y3428" s="17">
        <v>45822</v>
      </c>
      <c r="Z3428" s="19" t="s">
        <v>772</v>
      </c>
      <c r="AA3428" s="207">
        <v>47000</v>
      </c>
      <c r="AB3428" s="9">
        <v>37</v>
      </c>
      <c r="AC3428" s="9">
        <v>25</v>
      </c>
      <c r="AD3428" s="17">
        <v>46614</v>
      </c>
      <c r="AE3428" s="54">
        <v>900</v>
      </c>
      <c r="AF3428" s="54"/>
      <c r="AL3428" s="22"/>
      <c r="AM3428" s="22"/>
      <c r="AN3428" s="22"/>
      <c r="AO3428" s="22"/>
      <c r="AP3428" s="22"/>
      <c r="AQ3428" s="22"/>
      <c r="AR3428" s="22"/>
      <c r="AS3428" s="22"/>
      <c r="AT3428" s="22"/>
      <c r="AU3428" s="22"/>
      <c r="AV3428" s="22"/>
      <c r="AW3428" s="9"/>
      <c r="BA3428" s="22"/>
      <c r="BB3428" s="22"/>
      <c r="BD3428" s="9"/>
      <c r="CS3428" s="11">
        <f t="shared" si="235"/>
        <v>0</v>
      </c>
      <c r="CT3428" s="22">
        <f t="shared" si="236"/>
        <v>0</v>
      </c>
      <c r="CU3428" s="22">
        <f t="shared" si="237"/>
        <v>0</v>
      </c>
      <c r="CV3428" s="26">
        <f t="shared" si="238"/>
        <v>900</v>
      </c>
    </row>
    <row r="3429" spans="1:100" x14ac:dyDescent="0.2">
      <c r="A3429" s="9" t="s">
        <v>681</v>
      </c>
      <c r="B3429" s="2">
        <v>131</v>
      </c>
      <c r="C3429" s="3" t="s">
        <v>95</v>
      </c>
      <c r="D3429" s="3" t="s">
        <v>96</v>
      </c>
      <c r="E3429" s="2"/>
      <c r="F3429" s="2"/>
      <c r="G3429" s="2" t="s">
        <v>83</v>
      </c>
      <c r="H3429" s="2">
        <v>1</v>
      </c>
      <c r="I3429" s="20">
        <v>138.85</v>
      </c>
      <c r="J3429" s="20">
        <v>62011</v>
      </c>
      <c r="K3429" s="3">
        <v>0</v>
      </c>
      <c r="L3429" s="3" t="s">
        <v>3</v>
      </c>
      <c r="M3429" s="9" t="s">
        <v>0</v>
      </c>
      <c r="N3429" s="9">
        <v>42540463</v>
      </c>
      <c r="O3429" s="9" t="s">
        <v>682</v>
      </c>
      <c r="S3429" s="9" t="s">
        <v>158</v>
      </c>
      <c r="T3429" s="10" t="s">
        <v>83</v>
      </c>
      <c r="U3429" s="10">
        <v>1</v>
      </c>
      <c r="V3429" s="10">
        <v>138.85</v>
      </c>
      <c r="W3429" s="10" t="s">
        <v>710</v>
      </c>
      <c r="X3429" s="17">
        <v>45822</v>
      </c>
      <c r="Y3429" s="17">
        <v>45822</v>
      </c>
      <c r="Z3429" s="19" t="s">
        <v>772</v>
      </c>
      <c r="AA3429" s="207">
        <v>47000</v>
      </c>
      <c r="AB3429" s="9">
        <v>37</v>
      </c>
      <c r="AC3429" s="9">
        <v>26</v>
      </c>
      <c r="AD3429" s="17">
        <v>46645</v>
      </c>
      <c r="AE3429" s="54">
        <v>900</v>
      </c>
      <c r="AF3429" s="54"/>
      <c r="AL3429" s="22"/>
      <c r="AM3429" s="22"/>
      <c r="AN3429" s="22"/>
      <c r="AO3429" s="22"/>
      <c r="AP3429" s="22"/>
      <c r="AQ3429" s="22"/>
      <c r="AR3429" s="22"/>
      <c r="AS3429" s="22"/>
      <c r="AT3429" s="22"/>
      <c r="AU3429" s="22"/>
      <c r="AV3429" s="22"/>
      <c r="AW3429" s="9"/>
      <c r="BA3429" s="22"/>
      <c r="BB3429" s="22"/>
      <c r="BD3429" s="9"/>
      <c r="CS3429" s="11">
        <f t="shared" si="235"/>
        <v>0</v>
      </c>
      <c r="CT3429" s="22">
        <f t="shared" si="236"/>
        <v>0</v>
      </c>
      <c r="CU3429" s="22">
        <f t="shared" si="237"/>
        <v>0</v>
      </c>
      <c r="CV3429" s="26">
        <f t="shared" si="238"/>
        <v>900</v>
      </c>
    </row>
    <row r="3430" spans="1:100" x14ac:dyDescent="0.2">
      <c r="A3430" s="9" t="s">
        <v>681</v>
      </c>
      <c r="B3430" s="2">
        <v>131</v>
      </c>
      <c r="C3430" s="3" t="s">
        <v>95</v>
      </c>
      <c r="D3430" s="3" t="s">
        <v>96</v>
      </c>
      <c r="E3430" s="2"/>
      <c r="F3430" s="2"/>
      <c r="G3430" s="2" t="s">
        <v>83</v>
      </c>
      <c r="H3430" s="2">
        <v>1</v>
      </c>
      <c r="I3430" s="20">
        <v>138.85</v>
      </c>
      <c r="J3430" s="20">
        <v>62011</v>
      </c>
      <c r="K3430" s="3">
        <v>0</v>
      </c>
      <c r="L3430" s="3" t="s">
        <v>3</v>
      </c>
      <c r="M3430" s="9" t="s">
        <v>0</v>
      </c>
      <c r="N3430" s="9">
        <v>42540463</v>
      </c>
      <c r="O3430" s="9" t="s">
        <v>682</v>
      </c>
      <c r="S3430" s="9" t="s">
        <v>158</v>
      </c>
      <c r="T3430" s="10" t="s">
        <v>83</v>
      </c>
      <c r="U3430" s="10">
        <v>1</v>
      </c>
      <c r="V3430" s="10">
        <v>138.85</v>
      </c>
      <c r="W3430" s="10" t="s">
        <v>710</v>
      </c>
      <c r="X3430" s="17">
        <v>45822</v>
      </c>
      <c r="Y3430" s="17">
        <v>45822</v>
      </c>
      <c r="Z3430" s="19" t="s">
        <v>772</v>
      </c>
      <c r="AA3430" s="207">
        <v>47000</v>
      </c>
      <c r="AB3430" s="9">
        <v>37</v>
      </c>
      <c r="AC3430" s="9">
        <v>27</v>
      </c>
      <c r="AD3430" s="17">
        <v>46675</v>
      </c>
      <c r="AE3430" s="54">
        <v>900</v>
      </c>
      <c r="AF3430" s="54"/>
      <c r="AL3430" s="22"/>
      <c r="AM3430" s="22"/>
      <c r="AN3430" s="22"/>
      <c r="AO3430" s="22"/>
      <c r="AP3430" s="22"/>
      <c r="AQ3430" s="22"/>
      <c r="AR3430" s="22"/>
      <c r="AS3430" s="22"/>
      <c r="AT3430" s="22"/>
      <c r="AU3430" s="22"/>
      <c r="AV3430" s="22"/>
      <c r="AW3430" s="9"/>
      <c r="BA3430" s="22"/>
      <c r="BB3430" s="22"/>
      <c r="BD3430" s="9"/>
      <c r="CS3430" s="11">
        <f t="shared" si="235"/>
        <v>0</v>
      </c>
      <c r="CT3430" s="22">
        <f t="shared" si="236"/>
        <v>0</v>
      </c>
      <c r="CU3430" s="22">
        <f t="shared" si="237"/>
        <v>0</v>
      </c>
      <c r="CV3430" s="26">
        <f t="shared" si="238"/>
        <v>900</v>
      </c>
    </row>
    <row r="3431" spans="1:100" x14ac:dyDescent="0.2">
      <c r="A3431" s="9" t="s">
        <v>681</v>
      </c>
      <c r="B3431" s="2">
        <v>131</v>
      </c>
      <c r="C3431" s="3" t="s">
        <v>95</v>
      </c>
      <c r="D3431" s="3" t="s">
        <v>96</v>
      </c>
      <c r="E3431" s="2"/>
      <c r="F3431" s="2"/>
      <c r="G3431" s="2" t="s">
        <v>83</v>
      </c>
      <c r="H3431" s="2">
        <v>1</v>
      </c>
      <c r="I3431" s="20">
        <v>138.85</v>
      </c>
      <c r="J3431" s="20">
        <v>62011</v>
      </c>
      <c r="K3431" s="3">
        <v>0</v>
      </c>
      <c r="L3431" s="3" t="s">
        <v>3</v>
      </c>
      <c r="M3431" s="9" t="s">
        <v>0</v>
      </c>
      <c r="N3431" s="9">
        <v>42540463</v>
      </c>
      <c r="O3431" s="9" t="s">
        <v>682</v>
      </c>
      <c r="S3431" s="9" t="s">
        <v>158</v>
      </c>
      <c r="T3431" s="10" t="s">
        <v>83</v>
      </c>
      <c r="U3431" s="10">
        <v>1</v>
      </c>
      <c r="V3431" s="10">
        <v>138.85</v>
      </c>
      <c r="W3431" s="10" t="s">
        <v>710</v>
      </c>
      <c r="X3431" s="17">
        <v>45822</v>
      </c>
      <c r="Y3431" s="17">
        <v>45822</v>
      </c>
      <c r="Z3431" s="19" t="s">
        <v>772</v>
      </c>
      <c r="AA3431" s="207">
        <v>47000</v>
      </c>
      <c r="AB3431" s="9">
        <v>37</v>
      </c>
      <c r="AC3431" s="9">
        <v>28</v>
      </c>
      <c r="AD3431" s="17">
        <v>46706</v>
      </c>
      <c r="AE3431" s="54">
        <v>900</v>
      </c>
      <c r="AF3431" s="54"/>
      <c r="AL3431" s="22"/>
      <c r="AM3431" s="22"/>
      <c r="AN3431" s="22"/>
      <c r="AO3431" s="22"/>
      <c r="AP3431" s="22"/>
      <c r="AQ3431" s="22"/>
      <c r="AR3431" s="22"/>
      <c r="AS3431" s="22"/>
      <c r="AT3431" s="22"/>
      <c r="AU3431" s="22"/>
      <c r="AV3431" s="22"/>
      <c r="AW3431" s="9"/>
      <c r="BA3431" s="22"/>
      <c r="BB3431" s="22"/>
      <c r="BD3431" s="9"/>
      <c r="CS3431" s="11">
        <f t="shared" si="235"/>
        <v>0</v>
      </c>
      <c r="CT3431" s="22">
        <f t="shared" si="236"/>
        <v>0</v>
      </c>
      <c r="CU3431" s="22">
        <f t="shared" si="237"/>
        <v>0</v>
      </c>
      <c r="CV3431" s="26">
        <f t="shared" si="238"/>
        <v>900</v>
      </c>
    </row>
    <row r="3432" spans="1:100" x14ac:dyDescent="0.2">
      <c r="A3432" s="9" t="s">
        <v>681</v>
      </c>
      <c r="B3432" s="2">
        <v>131</v>
      </c>
      <c r="C3432" s="3" t="s">
        <v>95</v>
      </c>
      <c r="D3432" s="3" t="s">
        <v>96</v>
      </c>
      <c r="E3432" s="2"/>
      <c r="F3432" s="2"/>
      <c r="G3432" s="2" t="s">
        <v>83</v>
      </c>
      <c r="H3432" s="2">
        <v>1</v>
      </c>
      <c r="I3432" s="20">
        <v>138.85</v>
      </c>
      <c r="J3432" s="20">
        <v>62011</v>
      </c>
      <c r="K3432" s="3">
        <v>0</v>
      </c>
      <c r="L3432" s="3" t="s">
        <v>3</v>
      </c>
      <c r="M3432" s="9" t="s">
        <v>0</v>
      </c>
      <c r="N3432" s="9">
        <v>42540463</v>
      </c>
      <c r="O3432" s="9" t="s">
        <v>682</v>
      </c>
      <c r="S3432" s="9" t="s">
        <v>158</v>
      </c>
      <c r="T3432" s="10" t="s">
        <v>83</v>
      </c>
      <c r="U3432" s="10">
        <v>1</v>
      </c>
      <c r="V3432" s="10">
        <v>138.85</v>
      </c>
      <c r="W3432" s="10" t="s">
        <v>710</v>
      </c>
      <c r="X3432" s="17">
        <v>45822</v>
      </c>
      <c r="Y3432" s="17">
        <v>45822</v>
      </c>
      <c r="Z3432" s="19" t="s">
        <v>772</v>
      </c>
      <c r="AA3432" s="207">
        <v>47000</v>
      </c>
      <c r="AB3432" s="9">
        <v>37</v>
      </c>
      <c r="AC3432" s="9">
        <v>29</v>
      </c>
      <c r="AD3432" s="17">
        <v>46736</v>
      </c>
      <c r="AE3432" s="54">
        <v>900</v>
      </c>
      <c r="AF3432" s="54"/>
      <c r="AL3432" s="22"/>
      <c r="AM3432" s="22"/>
      <c r="AN3432" s="22"/>
      <c r="AO3432" s="22"/>
      <c r="AP3432" s="22"/>
      <c r="AQ3432" s="22"/>
      <c r="AR3432" s="22"/>
      <c r="AS3432" s="22"/>
      <c r="AT3432" s="22"/>
      <c r="AU3432" s="22"/>
      <c r="AV3432" s="22"/>
      <c r="AW3432" s="9"/>
      <c r="BA3432" s="22"/>
      <c r="BB3432" s="22"/>
      <c r="BD3432" s="9"/>
      <c r="CS3432" s="11">
        <f t="shared" si="235"/>
        <v>0</v>
      </c>
      <c r="CT3432" s="22">
        <f t="shared" si="236"/>
        <v>0</v>
      </c>
      <c r="CU3432" s="22">
        <f t="shared" si="237"/>
        <v>0</v>
      </c>
      <c r="CV3432" s="26">
        <f t="shared" si="238"/>
        <v>900</v>
      </c>
    </row>
    <row r="3433" spans="1:100" x14ac:dyDescent="0.2">
      <c r="A3433" s="9" t="s">
        <v>681</v>
      </c>
      <c r="B3433" s="2">
        <v>131</v>
      </c>
      <c r="C3433" s="3" t="s">
        <v>95</v>
      </c>
      <c r="D3433" s="3" t="s">
        <v>96</v>
      </c>
      <c r="E3433" s="2"/>
      <c r="F3433" s="2"/>
      <c r="G3433" s="2" t="s">
        <v>83</v>
      </c>
      <c r="H3433" s="2">
        <v>1</v>
      </c>
      <c r="I3433" s="20">
        <v>138.85</v>
      </c>
      <c r="J3433" s="20">
        <v>62011</v>
      </c>
      <c r="K3433" s="3">
        <v>0</v>
      </c>
      <c r="L3433" s="3" t="s">
        <v>3</v>
      </c>
      <c r="M3433" s="9" t="s">
        <v>0</v>
      </c>
      <c r="N3433" s="9">
        <v>42540463</v>
      </c>
      <c r="O3433" s="9" t="s">
        <v>682</v>
      </c>
      <c r="S3433" s="9" t="s">
        <v>158</v>
      </c>
      <c r="T3433" s="10" t="s">
        <v>83</v>
      </c>
      <c r="U3433" s="10">
        <v>1</v>
      </c>
      <c r="V3433" s="10">
        <v>138.85</v>
      </c>
      <c r="W3433" s="10" t="s">
        <v>710</v>
      </c>
      <c r="X3433" s="17">
        <v>45822</v>
      </c>
      <c r="Y3433" s="17">
        <v>45822</v>
      </c>
      <c r="Z3433" s="19" t="s">
        <v>772</v>
      </c>
      <c r="AA3433" s="207">
        <v>47000</v>
      </c>
      <c r="AB3433" s="9">
        <v>37</v>
      </c>
      <c r="AC3433" s="9">
        <v>30</v>
      </c>
      <c r="AD3433" s="17">
        <v>46767</v>
      </c>
      <c r="AE3433" s="54">
        <v>900</v>
      </c>
      <c r="AF3433" s="54"/>
      <c r="AL3433" s="22"/>
      <c r="AM3433" s="22"/>
      <c r="AN3433" s="22"/>
      <c r="AO3433" s="22"/>
      <c r="AP3433" s="22"/>
      <c r="AQ3433" s="22"/>
      <c r="AR3433" s="22"/>
      <c r="AS3433" s="22"/>
      <c r="AT3433" s="22"/>
      <c r="AU3433" s="22"/>
      <c r="AV3433" s="22"/>
      <c r="AW3433" s="9"/>
      <c r="BA3433" s="22"/>
      <c r="BB3433" s="22"/>
      <c r="BD3433" s="9"/>
      <c r="CS3433" s="11">
        <f t="shared" si="235"/>
        <v>0</v>
      </c>
      <c r="CT3433" s="22">
        <f t="shared" si="236"/>
        <v>0</v>
      </c>
      <c r="CU3433" s="22">
        <f t="shared" si="237"/>
        <v>0</v>
      </c>
      <c r="CV3433" s="26">
        <f t="shared" si="238"/>
        <v>900</v>
      </c>
    </row>
    <row r="3434" spans="1:100" x14ac:dyDescent="0.2">
      <c r="A3434" s="9" t="s">
        <v>681</v>
      </c>
      <c r="B3434" s="2">
        <v>131</v>
      </c>
      <c r="C3434" s="3" t="s">
        <v>95</v>
      </c>
      <c r="D3434" s="3" t="s">
        <v>96</v>
      </c>
      <c r="E3434" s="2"/>
      <c r="F3434" s="2"/>
      <c r="G3434" s="2" t="s">
        <v>83</v>
      </c>
      <c r="H3434" s="2">
        <v>1</v>
      </c>
      <c r="I3434" s="20">
        <v>138.85</v>
      </c>
      <c r="J3434" s="20">
        <v>62011</v>
      </c>
      <c r="K3434" s="3">
        <v>0</v>
      </c>
      <c r="L3434" s="3" t="s">
        <v>3</v>
      </c>
      <c r="M3434" s="9" t="s">
        <v>0</v>
      </c>
      <c r="N3434" s="9">
        <v>42540463</v>
      </c>
      <c r="O3434" s="9" t="s">
        <v>682</v>
      </c>
      <c r="S3434" s="9" t="s">
        <v>158</v>
      </c>
      <c r="T3434" s="10" t="s">
        <v>83</v>
      </c>
      <c r="U3434" s="10">
        <v>1</v>
      </c>
      <c r="V3434" s="10">
        <v>138.85</v>
      </c>
      <c r="W3434" s="10" t="s">
        <v>710</v>
      </c>
      <c r="X3434" s="17">
        <v>45822</v>
      </c>
      <c r="Y3434" s="17">
        <v>45822</v>
      </c>
      <c r="Z3434" s="19" t="s">
        <v>772</v>
      </c>
      <c r="AA3434" s="207">
        <v>47000</v>
      </c>
      <c r="AB3434" s="9">
        <v>37</v>
      </c>
      <c r="AC3434" s="9">
        <v>31</v>
      </c>
      <c r="AD3434" s="17">
        <v>46798</v>
      </c>
      <c r="AE3434" s="54">
        <v>900</v>
      </c>
      <c r="AF3434" s="54"/>
      <c r="AL3434" s="22"/>
      <c r="AM3434" s="22"/>
      <c r="AN3434" s="22"/>
      <c r="AO3434" s="22"/>
      <c r="AP3434" s="22"/>
      <c r="AQ3434" s="22"/>
      <c r="AR3434" s="22"/>
      <c r="AS3434" s="22"/>
      <c r="AT3434" s="22"/>
      <c r="AU3434" s="22"/>
      <c r="AV3434" s="22"/>
      <c r="AW3434" s="9"/>
      <c r="BA3434" s="22"/>
      <c r="BB3434" s="22"/>
      <c r="BD3434" s="9"/>
      <c r="CS3434" s="11">
        <f t="shared" si="235"/>
        <v>0</v>
      </c>
      <c r="CT3434" s="22">
        <f t="shared" si="236"/>
        <v>0</v>
      </c>
      <c r="CU3434" s="22">
        <f t="shared" si="237"/>
        <v>0</v>
      </c>
      <c r="CV3434" s="26">
        <f t="shared" si="238"/>
        <v>900</v>
      </c>
    </row>
    <row r="3435" spans="1:100" x14ac:dyDescent="0.2">
      <c r="A3435" s="9" t="s">
        <v>681</v>
      </c>
      <c r="B3435" s="2">
        <v>131</v>
      </c>
      <c r="C3435" s="3" t="s">
        <v>95</v>
      </c>
      <c r="D3435" s="3" t="s">
        <v>96</v>
      </c>
      <c r="E3435" s="2"/>
      <c r="F3435" s="2"/>
      <c r="G3435" s="2" t="s">
        <v>83</v>
      </c>
      <c r="H3435" s="2">
        <v>1</v>
      </c>
      <c r="I3435" s="20">
        <v>138.85</v>
      </c>
      <c r="J3435" s="20">
        <v>62011</v>
      </c>
      <c r="K3435" s="3">
        <v>0</v>
      </c>
      <c r="L3435" s="3" t="s">
        <v>3</v>
      </c>
      <c r="M3435" s="9" t="s">
        <v>0</v>
      </c>
      <c r="N3435" s="9">
        <v>42540463</v>
      </c>
      <c r="O3435" s="9" t="s">
        <v>682</v>
      </c>
      <c r="S3435" s="9" t="s">
        <v>158</v>
      </c>
      <c r="T3435" s="10" t="s">
        <v>83</v>
      </c>
      <c r="U3435" s="10">
        <v>1</v>
      </c>
      <c r="V3435" s="10">
        <v>138.85</v>
      </c>
      <c r="W3435" s="10" t="s">
        <v>710</v>
      </c>
      <c r="X3435" s="17">
        <v>45822</v>
      </c>
      <c r="Y3435" s="17">
        <v>45822</v>
      </c>
      <c r="Z3435" s="19" t="s">
        <v>772</v>
      </c>
      <c r="AA3435" s="207">
        <v>47000</v>
      </c>
      <c r="AB3435" s="9">
        <v>37</v>
      </c>
      <c r="AC3435" s="9">
        <v>32</v>
      </c>
      <c r="AD3435" s="17">
        <v>46827</v>
      </c>
      <c r="AE3435" s="54">
        <v>900</v>
      </c>
      <c r="AF3435" s="54"/>
      <c r="AL3435" s="22"/>
      <c r="AM3435" s="22"/>
      <c r="AN3435" s="22"/>
      <c r="AO3435" s="22"/>
      <c r="AP3435" s="22"/>
      <c r="AQ3435" s="22"/>
      <c r="AR3435" s="22"/>
      <c r="AS3435" s="22"/>
      <c r="AT3435" s="22"/>
      <c r="AU3435" s="22"/>
      <c r="AV3435" s="22"/>
      <c r="AW3435" s="9"/>
      <c r="BA3435" s="22"/>
      <c r="BB3435" s="22"/>
      <c r="BD3435" s="9"/>
      <c r="CS3435" s="11">
        <f t="shared" si="235"/>
        <v>0</v>
      </c>
      <c r="CT3435" s="22">
        <f t="shared" si="236"/>
        <v>0</v>
      </c>
      <c r="CU3435" s="22">
        <f t="shared" si="237"/>
        <v>0</v>
      </c>
      <c r="CV3435" s="26">
        <f t="shared" si="238"/>
        <v>900</v>
      </c>
    </row>
    <row r="3436" spans="1:100" x14ac:dyDescent="0.2">
      <c r="A3436" s="9" t="s">
        <v>681</v>
      </c>
      <c r="B3436" s="2">
        <v>131</v>
      </c>
      <c r="C3436" s="3" t="s">
        <v>95</v>
      </c>
      <c r="D3436" s="3" t="s">
        <v>96</v>
      </c>
      <c r="E3436" s="2"/>
      <c r="F3436" s="2"/>
      <c r="G3436" s="2" t="s">
        <v>83</v>
      </c>
      <c r="H3436" s="2">
        <v>1</v>
      </c>
      <c r="I3436" s="20">
        <v>138.85</v>
      </c>
      <c r="J3436" s="20">
        <v>62011</v>
      </c>
      <c r="K3436" s="3">
        <v>0</v>
      </c>
      <c r="L3436" s="3" t="s">
        <v>3</v>
      </c>
      <c r="M3436" s="9" t="s">
        <v>0</v>
      </c>
      <c r="N3436" s="9">
        <v>42540463</v>
      </c>
      <c r="O3436" s="9" t="s">
        <v>682</v>
      </c>
      <c r="S3436" s="9" t="s">
        <v>158</v>
      </c>
      <c r="T3436" s="10" t="s">
        <v>83</v>
      </c>
      <c r="U3436" s="10">
        <v>1</v>
      </c>
      <c r="V3436" s="10">
        <v>138.85</v>
      </c>
      <c r="W3436" s="10" t="s">
        <v>710</v>
      </c>
      <c r="X3436" s="17">
        <v>45822</v>
      </c>
      <c r="Y3436" s="17">
        <v>45822</v>
      </c>
      <c r="Z3436" s="19" t="s">
        <v>772</v>
      </c>
      <c r="AA3436" s="207">
        <v>47000</v>
      </c>
      <c r="AB3436" s="9">
        <v>37</v>
      </c>
      <c r="AC3436" s="9">
        <v>33</v>
      </c>
      <c r="AD3436" s="17">
        <v>46858</v>
      </c>
      <c r="AE3436" s="54">
        <v>900</v>
      </c>
      <c r="AF3436" s="54"/>
      <c r="AL3436" s="22"/>
      <c r="AM3436" s="22"/>
      <c r="AN3436" s="22"/>
      <c r="AO3436" s="22"/>
      <c r="AP3436" s="22"/>
      <c r="AQ3436" s="22"/>
      <c r="AR3436" s="22"/>
      <c r="AS3436" s="22"/>
      <c r="AT3436" s="22"/>
      <c r="AU3436" s="22"/>
      <c r="AV3436" s="22"/>
      <c r="AW3436" s="9"/>
      <c r="BA3436" s="22"/>
      <c r="BB3436" s="22"/>
      <c r="BD3436" s="9"/>
      <c r="CS3436" s="11">
        <f t="shared" si="235"/>
        <v>0</v>
      </c>
      <c r="CT3436" s="22">
        <f t="shared" si="236"/>
        <v>0</v>
      </c>
      <c r="CU3436" s="22">
        <f t="shared" si="237"/>
        <v>0</v>
      </c>
      <c r="CV3436" s="26">
        <f t="shared" si="238"/>
        <v>900</v>
      </c>
    </row>
    <row r="3437" spans="1:100" x14ac:dyDescent="0.2">
      <c r="A3437" s="9" t="s">
        <v>681</v>
      </c>
      <c r="B3437" s="2">
        <v>131</v>
      </c>
      <c r="C3437" s="3" t="s">
        <v>95</v>
      </c>
      <c r="D3437" s="3" t="s">
        <v>96</v>
      </c>
      <c r="E3437" s="2"/>
      <c r="F3437" s="2"/>
      <c r="G3437" s="2" t="s">
        <v>83</v>
      </c>
      <c r="H3437" s="2">
        <v>1</v>
      </c>
      <c r="I3437" s="20">
        <v>138.85</v>
      </c>
      <c r="J3437" s="20">
        <v>62011</v>
      </c>
      <c r="K3437" s="3">
        <v>0</v>
      </c>
      <c r="L3437" s="3" t="s">
        <v>3</v>
      </c>
      <c r="M3437" s="9" t="s">
        <v>0</v>
      </c>
      <c r="N3437" s="9">
        <v>42540463</v>
      </c>
      <c r="O3437" s="9" t="s">
        <v>682</v>
      </c>
      <c r="S3437" s="9" t="s">
        <v>158</v>
      </c>
      <c r="T3437" s="10" t="s">
        <v>83</v>
      </c>
      <c r="U3437" s="10">
        <v>1</v>
      </c>
      <c r="V3437" s="10">
        <v>138.85</v>
      </c>
      <c r="W3437" s="10" t="s">
        <v>710</v>
      </c>
      <c r="X3437" s="17">
        <v>45822</v>
      </c>
      <c r="Y3437" s="17">
        <v>45822</v>
      </c>
      <c r="Z3437" s="19" t="s">
        <v>772</v>
      </c>
      <c r="AA3437" s="207">
        <v>47000</v>
      </c>
      <c r="AB3437" s="9">
        <v>37</v>
      </c>
      <c r="AC3437" s="9">
        <v>34</v>
      </c>
      <c r="AD3437" s="17">
        <v>46888</v>
      </c>
      <c r="AE3437" s="54">
        <v>900</v>
      </c>
      <c r="AF3437" s="54"/>
      <c r="AL3437" s="22"/>
      <c r="AM3437" s="22"/>
      <c r="AN3437" s="22"/>
      <c r="AO3437" s="22"/>
      <c r="AP3437" s="22"/>
      <c r="AQ3437" s="22"/>
      <c r="AR3437" s="22"/>
      <c r="AS3437" s="22"/>
      <c r="AT3437" s="22"/>
      <c r="AU3437" s="22"/>
      <c r="AV3437" s="22"/>
      <c r="AW3437" s="9"/>
      <c r="BA3437" s="22"/>
      <c r="BB3437" s="22"/>
      <c r="BD3437" s="9"/>
      <c r="CS3437" s="11">
        <f t="shared" si="235"/>
        <v>0</v>
      </c>
      <c r="CT3437" s="22">
        <f t="shared" si="236"/>
        <v>0</v>
      </c>
      <c r="CU3437" s="22">
        <f t="shared" si="237"/>
        <v>0</v>
      </c>
      <c r="CV3437" s="26">
        <f t="shared" si="238"/>
        <v>900</v>
      </c>
    </row>
    <row r="3438" spans="1:100" x14ac:dyDescent="0.2">
      <c r="A3438" s="9" t="s">
        <v>681</v>
      </c>
      <c r="B3438" s="2">
        <v>131</v>
      </c>
      <c r="C3438" s="3" t="s">
        <v>95</v>
      </c>
      <c r="D3438" s="3" t="s">
        <v>96</v>
      </c>
      <c r="E3438" s="2"/>
      <c r="F3438" s="2"/>
      <c r="G3438" s="2" t="s">
        <v>83</v>
      </c>
      <c r="H3438" s="2">
        <v>1</v>
      </c>
      <c r="I3438" s="20">
        <v>138.85</v>
      </c>
      <c r="J3438" s="20">
        <v>62011</v>
      </c>
      <c r="K3438" s="3">
        <v>0</v>
      </c>
      <c r="L3438" s="3" t="s">
        <v>3</v>
      </c>
      <c r="M3438" s="9" t="s">
        <v>0</v>
      </c>
      <c r="N3438" s="9">
        <v>42540463</v>
      </c>
      <c r="O3438" s="9" t="s">
        <v>682</v>
      </c>
      <c r="S3438" s="9" t="s">
        <v>158</v>
      </c>
      <c r="T3438" s="10" t="s">
        <v>83</v>
      </c>
      <c r="U3438" s="10">
        <v>1</v>
      </c>
      <c r="V3438" s="10">
        <v>138.85</v>
      </c>
      <c r="W3438" s="10" t="s">
        <v>710</v>
      </c>
      <c r="X3438" s="17">
        <v>45822</v>
      </c>
      <c r="Y3438" s="17">
        <v>45822</v>
      </c>
      <c r="Z3438" s="19" t="s">
        <v>772</v>
      </c>
      <c r="AA3438" s="207">
        <v>47000</v>
      </c>
      <c r="AB3438" s="9">
        <v>37</v>
      </c>
      <c r="AC3438" s="9">
        <v>35</v>
      </c>
      <c r="AD3438" s="17">
        <v>46919</v>
      </c>
      <c r="AE3438" s="54">
        <v>900</v>
      </c>
      <c r="AF3438" s="54"/>
      <c r="AL3438" s="22"/>
      <c r="AM3438" s="22"/>
      <c r="AN3438" s="22"/>
      <c r="AO3438" s="22"/>
      <c r="AP3438" s="22"/>
      <c r="AQ3438" s="22"/>
      <c r="AR3438" s="22"/>
      <c r="AS3438" s="22"/>
      <c r="AT3438" s="22"/>
      <c r="AU3438" s="22"/>
      <c r="AV3438" s="22"/>
      <c r="AW3438" s="9"/>
      <c r="BA3438" s="22"/>
      <c r="BB3438" s="22"/>
      <c r="BD3438" s="9"/>
      <c r="CS3438" s="11">
        <f t="shared" si="235"/>
        <v>0</v>
      </c>
      <c r="CT3438" s="22">
        <f t="shared" si="236"/>
        <v>0</v>
      </c>
      <c r="CU3438" s="22">
        <f t="shared" si="237"/>
        <v>0</v>
      </c>
      <c r="CV3438" s="26">
        <f t="shared" si="238"/>
        <v>900</v>
      </c>
    </row>
    <row r="3439" spans="1:100" x14ac:dyDescent="0.2">
      <c r="A3439" s="9" t="s">
        <v>681</v>
      </c>
      <c r="B3439" s="2">
        <v>131</v>
      </c>
      <c r="C3439" s="3" t="s">
        <v>95</v>
      </c>
      <c r="D3439" s="3" t="s">
        <v>96</v>
      </c>
      <c r="E3439" s="2"/>
      <c r="F3439" s="2"/>
      <c r="G3439" s="2" t="s">
        <v>83</v>
      </c>
      <c r="H3439" s="2">
        <v>1</v>
      </c>
      <c r="I3439" s="20">
        <v>138.85</v>
      </c>
      <c r="J3439" s="20">
        <v>62011</v>
      </c>
      <c r="K3439" s="3">
        <v>0</v>
      </c>
      <c r="L3439" s="3" t="s">
        <v>3</v>
      </c>
      <c r="M3439" s="9" t="s">
        <v>0</v>
      </c>
      <c r="N3439" s="9">
        <v>42540463</v>
      </c>
      <c r="O3439" s="9" t="s">
        <v>682</v>
      </c>
      <c r="S3439" s="9" t="s">
        <v>158</v>
      </c>
      <c r="T3439" s="10" t="s">
        <v>83</v>
      </c>
      <c r="U3439" s="10">
        <v>1</v>
      </c>
      <c r="V3439" s="10">
        <v>138.85</v>
      </c>
      <c r="W3439" s="10" t="s">
        <v>710</v>
      </c>
      <c r="X3439" s="17">
        <v>45822</v>
      </c>
      <c r="Y3439" s="17">
        <v>45822</v>
      </c>
      <c r="Z3439" s="19" t="s">
        <v>772</v>
      </c>
      <c r="AA3439" s="207">
        <v>47000</v>
      </c>
      <c r="AB3439" s="9">
        <v>37</v>
      </c>
      <c r="AC3439" s="9">
        <v>36</v>
      </c>
      <c r="AD3439" s="17">
        <v>46949</v>
      </c>
      <c r="AE3439" s="54">
        <v>900</v>
      </c>
      <c r="AF3439" s="54"/>
      <c r="AL3439" s="22"/>
      <c r="AM3439" s="22"/>
      <c r="AN3439" s="22"/>
      <c r="AO3439" s="22"/>
      <c r="AP3439" s="22"/>
      <c r="AQ3439" s="22"/>
      <c r="AR3439" s="22"/>
      <c r="AS3439" s="22"/>
      <c r="AT3439" s="22"/>
      <c r="AU3439" s="22"/>
      <c r="AV3439" s="22"/>
      <c r="AW3439" s="9"/>
      <c r="BA3439" s="22"/>
      <c r="BB3439" s="22"/>
      <c r="BD3439" s="9"/>
      <c r="CS3439" s="11">
        <f t="shared" si="235"/>
        <v>0</v>
      </c>
      <c r="CT3439" s="22">
        <f t="shared" si="236"/>
        <v>0</v>
      </c>
      <c r="CU3439" s="22">
        <f t="shared" si="237"/>
        <v>0</v>
      </c>
      <c r="CV3439" s="26">
        <f t="shared" si="238"/>
        <v>900</v>
      </c>
    </row>
    <row r="3440" spans="1:100" x14ac:dyDescent="0.2">
      <c r="A3440" s="9" t="s">
        <v>681</v>
      </c>
      <c r="B3440" s="2">
        <v>131</v>
      </c>
      <c r="C3440" s="3" t="s">
        <v>95</v>
      </c>
      <c r="D3440" s="3" t="s">
        <v>96</v>
      </c>
      <c r="E3440" s="2"/>
      <c r="F3440" s="2"/>
      <c r="G3440" s="2" t="s">
        <v>83</v>
      </c>
      <c r="H3440" s="2">
        <v>1</v>
      </c>
      <c r="I3440" s="20">
        <v>138.85</v>
      </c>
      <c r="J3440" s="20">
        <v>62011</v>
      </c>
      <c r="K3440" s="3">
        <v>0</v>
      </c>
      <c r="L3440" s="3" t="s">
        <v>3</v>
      </c>
      <c r="M3440" s="9" t="s">
        <v>0</v>
      </c>
      <c r="N3440" s="9">
        <v>42540463</v>
      </c>
      <c r="O3440" s="9" t="s">
        <v>682</v>
      </c>
      <c r="S3440" s="9" t="s">
        <v>158</v>
      </c>
      <c r="T3440" s="10" t="s">
        <v>83</v>
      </c>
      <c r="U3440" s="10">
        <v>1</v>
      </c>
      <c r="V3440" s="10">
        <v>138.85</v>
      </c>
      <c r="W3440" s="10" t="s">
        <v>710</v>
      </c>
      <c r="X3440" s="17">
        <v>45822</v>
      </c>
      <c r="Y3440" s="17">
        <v>45822</v>
      </c>
      <c r="Z3440" s="19" t="s">
        <v>772</v>
      </c>
      <c r="AA3440" s="207">
        <v>47000</v>
      </c>
      <c r="AB3440" s="9">
        <v>37</v>
      </c>
      <c r="AC3440" s="9">
        <v>37</v>
      </c>
      <c r="AD3440" s="17">
        <v>46980</v>
      </c>
      <c r="AE3440" s="54">
        <v>16400</v>
      </c>
      <c r="AF3440" s="54"/>
      <c r="AL3440" s="22"/>
      <c r="AM3440" s="22"/>
      <c r="AN3440" s="22"/>
      <c r="AO3440" s="22"/>
      <c r="AP3440" s="22"/>
      <c r="AQ3440" s="22"/>
      <c r="AR3440" s="22"/>
      <c r="AS3440" s="22"/>
      <c r="AT3440" s="22"/>
      <c r="AU3440" s="22"/>
      <c r="AV3440" s="22"/>
      <c r="AW3440" s="9"/>
      <c r="BA3440" s="22"/>
      <c r="BB3440" s="22"/>
      <c r="BD3440" s="9"/>
      <c r="CS3440" s="11">
        <f t="shared" si="235"/>
        <v>0</v>
      </c>
      <c r="CT3440" s="22">
        <f t="shared" si="236"/>
        <v>0</v>
      </c>
      <c r="CU3440" s="22">
        <f t="shared" si="237"/>
        <v>0</v>
      </c>
      <c r="CV3440" s="26">
        <f t="shared" si="238"/>
        <v>16400</v>
      </c>
    </row>
    <row r="3441" spans="1:100" x14ac:dyDescent="0.2">
      <c r="A3441" s="9" t="s">
        <v>705</v>
      </c>
      <c r="B3441" s="2">
        <v>94</v>
      </c>
      <c r="C3441" s="3" t="s">
        <v>95</v>
      </c>
      <c r="D3441" s="3" t="s">
        <v>96</v>
      </c>
      <c r="E3441" s="2"/>
      <c r="F3441" s="2"/>
      <c r="G3441" s="2" t="s">
        <v>77</v>
      </c>
      <c r="H3441" s="2">
        <v>3</v>
      </c>
      <c r="I3441" s="20">
        <v>95.31</v>
      </c>
      <c r="J3441" s="20">
        <v>42660</v>
      </c>
      <c r="K3441" s="3">
        <v>0</v>
      </c>
      <c r="L3441" s="3" t="s">
        <v>3</v>
      </c>
      <c r="M3441" s="9" t="s">
        <v>0</v>
      </c>
      <c r="N3441" s="9">
        <v>70032410</v>
      </c>
      <c r="O3441" s="9" t="s">
        <v>706</v>
      </c>
      <c r="S3441" s="9" t="s">
        <v>158</v>
      </c>
      <c r="T3441" s="10" t="s">
        <v>77</v>
      </c>
      <c r="U3441" s="10">
        <v>3</v>
      </c>
      <c r="V3441" s="10">
        <v>95.31</v>
      </c>
      <c r="W3441" s="10" t="s">
        <v>710</v>
      </c>
      <c r="X3441" s="17">
        <v>45777</v>
      </c>
      <c r="Y3441" s="17">
        <v>45832</v>
      </c>
      <c r="Z3441" s="19" t="s">
        <v>772</v>
      </c>
      <c r="AA3441" s="207">
        <v>28000</v>
      </c>
      <c r="AB3441" s="9">
        <v>48</v>
      </c>
      <c r="AC3441" s="9">
        <v>0</v>
      </c>
      <c r="AD3441" s="17">
        <v>45778</v>
      </c>
      <c r="AE3441" s="54">
        <v>271.95999999999998</v>
      </c>
      <c r="AF3441" s="54"/>
      <c r="AG3441" s="9" t="s">
        <v>134</v>
      </c>
      <c r="AH3441" s="17">
        <v>45777</v>
      </c>
      <c r="AI3441" s="17"/>
      <c r="AJ3441" s="17"/>
      <c r="AK3441" s="10" t="s">
        <v>709</v>
      </c>
      <c r="AL3441" s="22">
        <v>271.95999999999998</v>
      </c>
      <c r="AM3441" s="22"/>
      <c r="AN3441" s="22" t="s">
        <v>795</v>
      </c>
      <c r="AO3441" s="22"/>
      <c r="AP3441" s="22"/>
      <c r="AQ3441" s="22"/>
      <c r="AR3441" s="22"/>
      <c r="AS3441" s="22"/>
      <c r="AT3441" s="22"/>
      <c r="AU3441" s="22"/>
      <c r="AV3441" s="22"/>
      <c r="AW3441" s="17">
        <v>45779</v>
      </c>
      <c r="AX3441" s="9">
        <v>48124</v>
      </c>
      <c r="AY3441" s="22">
        <v>1000</v>
      </c>
      <c r="AZ3441" s="9">
        <v>3.677</v>
      </c>
      <c r="BA3441" s="22">
        <f>+AY3441/AZ3441</f>
        <v>271.96083763937992</v>
      </c>
      <c r="BB3441" s="22"/>
      <c r="BD3441" s="9"/>
      <c r="CS3441" s="11">
        <f t="shared" si="235"/>
        <v>271.95999999999998</v>
      </c>
      <c r="CT3441" s="22">
        <f t="shared" si="236"/>
        <v>271.96083763937992</v>
      </c>
      <c r="CU3441" s="22">
        <f t="shared" si="237"/>
        <v>-8.3763937993808213E-4</v>
      </c>
      <c r="CV3441" s="26">
        <f t="shared" si="238"/>
        <v>0</v>
      </c>
    </row>
    <row r="3442" spans="1:100" x14ac:dyDescent="0.2">
      <c r="A3442" s="9" t="s">
        <v>705</v>
      </c>
      <c r="B3442" s="2">
        <v>94</v>
      </c>
      <c r="C3442" s="3" t="s">
        <v>95</v>
      </c>
      <c r="D3442" s="3" t="s">
        <v>96</v>
      </c>
      <c r="E3442" s="2"/>
      <c r="F3442" s="2"/>
      <c r="G3442" s="2" t="s">
        <v>77</v>
      </c>
      <c r="H3442" s="2">
        <v>3</v>
      </c>
      <c r="I3442" s="20">
        <v>95.31</v>
      </c>
      <c r="J3442" s="20">
        <v>42660</v>
      </c>
      <c r="K3442" s="3">
        <v>0</v>
      </c>
      <c r="L3442" s="3" t="s">
        <v>3</v>
      </c>
      <c r="M3442" s="9" t="s">
        <v>0</v>
      </c>
      <c r="N3442" s="9">
        <v>70032410</v>
      </c>
      <c r="O3442" s="9" t="s">
        <v>706</v>
      </c>
      <c r="S3442" s="9" t="s">
        <v>158</v>
      </c>
      <c r="T3442" s="10" t="s">
        <v>77</v>
      </c>
      <c r="U3442" s="10">
        <v>3</v>
      </c>
      <c r="V3442" s="10">
        <v>95.31</v>
      </c>
      <c r="W3442" s="10" t="s">
        <v>710</v>
      </c>
      <c r="X3442" s="17">
        <v>45777</v>
      </c>
      <c r="Y3442" s="17">
        <v>45832</v>
      </c>
      <c r="Z3442" s="19" t="s">
        <v>772</v>
      </c>
      <c r="AA3442" s="209">
        <v>28000</v>
      </c>
      <c r="AB3442" s="9">
        <v>48</v>
      </c>
      <c r="AC3442" s="9">
        <v>0</v>
      </c>
      <c r="AD3442" s="17">
        <v>45802</v>
      </c>
      <c r="AE3442" s="54">
        <v>1928.04</v>
      </c>
      <c r="AF3442" s="54"/>
      <c r="AG3442" s="9" t="s">
        <v>134</v>
      </c>
      <c r="AH3442" s="17">
        <v>45802</v>
      </c>
      <c r="AI3442" s="17"/>
      <c r="AJ3442" s="17"/>
      <c r="AK3442" s="10" t="s">
        <v>707</v>
      </c>
      <c r="AL3442" s="22">
        <v>1928.04</v>
      </c>
      <c r="AM3442" s="22"/>
      <c r="AN3442" s="22" t="s">
        <v>796</v>
      </c>
      <c r="AO3442" s="22"/>
      <c r="AP3442" s="22"/>
      <c r="AQ3442" s="22"/>
      <c r="AR3442" s="22"/>
      <c r="AS3442" s="22"/>
      <c r="AT3442" s="22"/>
      <c r="AU3442" s="22"/>
      <c r="AV3442" s="22"/>
      <c r="AW3442" s="17">
        <v>45802</v>
      </c>
      <c r="AX3442" s="9">
        <v>278383</v>
      </c>
      <c r="AY3442" s="86">
        <v>7037.4</v>
      </c>
      <c r="AZ3442" s="9">
        <v>3.65</v>
      </c>
      <c r="BA3442" s="22">
        <f>+AY3442/AZ3442</f>
        <v>1928.0547945205478</v>
      </c>
      <c r="BB3442" s="22"/>
      <c r="BD3442" s="9"/>
      <c r="CS3442" s="11">
        <f t="shared" si="235"/>
        <v>1928.04</v>
      </c>
      <c r="CT3442" s="22">
        <f t="shared" si="236"/>
        <v>1928.0547945205478</v>
      </c>
      <c r="CU3442" s="22">
        <f t="shared" si="237"/>
        <v>-1.4794520547866341E-2</v>
      </c>
      <c r="CV3442" s="26">
        <f t="shared" si="238"/>
        <v>0</v>
      </c>
    </row>
    <row r="3443" spans="1:100" x14ac:dyDescent="0.2">
      <c r="A3443" s="9" t="s">
        <v>705</v>
      </c>
      <c r="B3443" s="2">
        <v>94</v>
      </c>
      <c r="C3443" s="3" t="s">
        <v>95</v>
      </c>
      <c r="D3443" s="3" t="s">
        <v>96</v>
      </c>
      <c r="E3443" s="2"/>
      <c r="F3443" s="2"/>
      <c r="G3443" s="2" t="s">
        <v>77</v>
      </c>
      <c r="H3443" s="2">
        <v>3</v>
      </c>
      <c r="I3443" s="20">
        <v>95.31</v>
      </c>
      <c r="J3443" s="20">
        <v>42660</v>
      </c>
      <c r="K3443" s="3">
        <v>0</v>
      </c>
      <c r="L3443" s="3" t="s">
        <v>3</v>
      </c>
      <c r="M3443" s="9" t="s">
        <v>0</v>
      </c>
      <c r="N3443" s="9">
        <v>70032410</v>
      </c>
      <c r="O3443" s="9" t="s">
        <v>706</v>
      </c>
      <c r="S3443" s="9" t="s">
        <v>158</v>
      </c>
      <c r="T3443" s="10" t="s">
        <v>77</v>
      </c>
      <c r="U3443" s="10">
        <v>3</v>
      </c>
      <c r="V3443" s="10">
        <v>95.31</v>
      </c>
      <c r="W3443" s="10" t="s">
        <v>710</v>
      </c>
      <c r="X3443" s="17">
        <v>45777</v>
      </c>
      <c r="Y3443" s="17">
        <v>45832</v>
      </c>
      <c r="Z3443" s="19" t="s">
        <v>772</v>
      </c>
      <c r="AA3443" s="209">
        <v>28000</v>
      </c>
      <c r="AB3443" s="9">
        <v>48</v>
      </c>
      <c r="AC3443" s="9">
        <v>0</v>
      </c>
      <c r="AD3443" s="17">
        <v>45832</v>
      </c>
      <c r="AE3443" s="54">
        <v>800</v>
      </c>
      <c r="AF3443" s="54"/>
      <c r="AG3443" s="9" t="s">
        <v>134</v>
      </c>
      <c r="AH3443" s="17">
        <v>45832</v>
      </c>
      <c r="AI3443" s="17"/>
      <c r="AJ3443" s="17"/>
      <c r="AK3443" s="10" t="s">
        <v>708</v>
      </c>
      <c r="AL3443" s="22">
        <v>800</v>
      </c>
      <c r="AM3443" s="22"/>
      <c r="AN3443" s="22" t="s">
        <v>797</v>
      </c>
      <c r="AO3443" s="22"/>
      <c r="AP3443" s="22"/>
      <c r="AQ3443" s="22"/>
      <c r="AR3443" s="22"/>
      <c r="AS3443" s="22"/>
      <c r="AT3443" s="22"/>
      <c r="AU3443" s="22"/>
      <c r="AV3443" s="22"/>
      <c r="AW3443" s="17">
        <v>45831</v>
      </c>
      <c r="AX3443" s="9">
        <v>4032737</v>
      </c>
      <c r="AY3443" s="22">
        <v>2880</v>
      </c>
      <c r="AZ3443" s="9">
        <v>3.6</v>
      </c>
      <c r="BA3443" s="22">
        <f>+AY3443/AZ3443</f>
        <v>800</v>
      </c>
      <c r="BB3443" s="22"/>
      <c r="BD3443" s="9"/>
      <c r="CS3443" s="11">
        <f t="shared" si="235"/>
        <v>800</v>
      </c>
      <c r="CT3443" s="22">
        <f t="shared" si="236"/>
        <v>800</v>
      </c>
      <c r="CU3443" s="22">
        <f t="shared" si="237"/>
        <v>0</v>
      </c>
      <c r="CV3443" s="26">
        <f t="shared" si="238"/>
        <v>0</v>
      </c>
    </row>
    <row r="3444" spans="1:100" x14ac:dyDescent="0.2">
      <c r="A3444" s="9" t="s">
        <v>705</v>
      </c>
      <c r="B3444" s="2">
        <v>94</v>
      </c>
      <c r="C3444" s="3" t="s">
        <v>95</v>
      </c>
      <c r="D3444" s="3" t="s">
        <v>96</v>
      </c>
      <c r="E3444" s="2"/>
      <c r="F3444" s="2"/>
      <c r="G3444" s="2" t="s">
        <v>77</v>
      </c>
      <c r="H3444" s="2">
        <v>3</v>
      </c>
      <c r="I3444" s="20">
        <v>95.31</v>
      </c>
      <c r="J3444" s="20">
        <v>42660</v>
      </c>
      <c r="K3444" s="3">
        <v>0</v>
      </c>
      <c r="L3444" s="3" t="s">
        <v>3</v>
      </c>
      <c r="M3444" s="9" t="s">
        <v>0</v>
      </c>
      <c r="N3444" s="9">
        <v>70032410</v>
      </c>
      <c r="O3444" s="9" t="s">
        <v>706</v>
      </c>
      <c r="S3444" s="9" t="s">
        <v>158</v>
      </c>
      <c r="T3444" s="10" t="s">
        <v>77</v>
      </c>
      <c r="U3444" s="10">
        <v>3</v>
      </c>
      <c r="V3444" s="10">
        <v>95.31</v>
      </c>
      <c r="W3444" s="10" t="s">
        <v>710</v>
      </c>
      <c r="X3444" s="17">
        <v>45777</v>
      </c>
      <c r="Y3444" s="17">
        <v>45832</v>
      </c>
      <c r="Z3444" s="19" t="s">
        <v>772</v>
      </c>
      <c r="AA3444" s="209">
        <v>28000</v>
      </c>
      <c r="AB3444" s="9">
        <v>48</v>
      </c>
      <c r="AC3444" s="9">
        <v>1</v>
      </c>
      <c r="AD3444" s="17">
        <v>45894</v>
      </c>
      <c r="AE3444" s="54">
        <v>520.83000000000004</v>
      </c>
      <c r="AF3444" s="54"/>
      <c r="AG3444" s="9" t="s">
        <v>134</v>
      </c>
      <c r="AH3444" s="17">
        <v>45890</v>
      </c>
      <c r="AI3444" s="17"/>
      <c r="AJ3444" s="17"/>
      <c r="AK3444" s="10" t="s">
        <v>793</v>
      </c>
      <c r="AL3444" s="22">
        <v>520.83000000000004</v>
      </c>
      <c r="AM3444" s="22"/>
      <c r="AN3444" s="22" t="s">
        <v>799</v>
      </c>
      <c r="AO3444" s="22"/>
      <c r="AP3444" s="22"/>
      <c r="AQ3444" s="22"/>
      <c r="AR3444" s="22"/>
      <c r="AS3444" s="22"/>
      <c r="AT3444" s="22"/>
      <c r="AU3444" s="22"/>
      <c r="AV3444" s="22"/>
      <c r="AW3444" s="17">
        <v>45889</v>
      </c>
      <c r="AX3444" s="9">
        <v>550948</v>
      </c>
      <c r="AY3444" s="86">
        <v>1838.53</v>
      </c>
      <c r="AZ3444" s="9">
        <v>3.53</v>
      </c>
      <c r="BA3444" s="22">
        <f>+AY3444/AZ3444</f>
        <v>520.83002832861189</v>
      </c>
      <c r="BB3444" s="22"/>
      <c r="BD3444" s="9"/>
      <c r="CS3444" s="11">
        <f t="shared" ref="CS3444:CS3507" si="239">+AL3444+AT3444</f>
        <v>520.83000000000004</v>
      </c>
      <c r="CT3444" s="22">
        <f t="shared" ref="CT3444:CT3507" si="240">+BA3444+BG3444+BM3444+BS3444+BY3444+CE3444+CK3444+CQ3444</f>
        <v>520.83002832861189</v>
      </c>
      <c r="CU3444" s="22">
        <f t="shared" ref="CU3444:CU3507" si="241">+CS3444-CT3444</f>
        <v>-2.8328611847427965E-5</v>
      </c>
      <c r="CV3444" s="26">
        <f t="shared" si="238"/>
        <v>0</v>
      </c>
    </row>
    <row r="3445" spans="1:100" x14ac:dyDescent="0.2">
      <c r="A3445" s="9" t="s">
        <v>705</v>
      </c>
      <c r="B3445" s="2">
        <v>94</v>
      </c>
      <c r="C3445" s="3" t="s">
        <v>95</v>
      </c>
      <c r="D3445" s="3" t="s">
        <v>96</v>
      </c>
      <c r="E3445" s="2"/>
      <c r="F3445" s="2"/>
      <c r="G3445" s="2" t="s">
        <v>77</v>
      </c>
      <c r="H3445" s="2">
        <v>3</v>
      </c>
      <c r="I3445" s="20">
        <v>95.31</v>
      </c>
      <c r="J3445" s="20">
        <v>42660</v>
      </c>
      <c r="K3445" s="3">
        <v>0</v>
      </c>
      <c r="L3445" s="3" t="s">
        <v>3</v>
      </c>
      <c r="M3445" s="9" t="s">
        <v>0</v>
      </c>
      <c r="N3445" s="9">
        <v>70032410</v>
      </c>
      <c r="O3445" s="9" t="s">
        <v>706</v>
      </c>
      <c r="S3445" s="9" t="s">
        <v>158</v>
      </c>
      <c r="T3445" s="10" t="s">
        <v>77</v>
      </c>
      <c r="U3445" s="10">
        <v>3</v>
      </c>
      <c r="V3445" s="10">
        <v>95.31</v>
      </c>
      <c r="W3445" s="10" t="s">
        <v>710</v>
      </c>
      <c r="X3445" s="17">
        <v>45777</v>
      </c>
      <c r="Y3445" s="17">
        <v>45832</v>
      </c>
      <c r="Z3445" s="19" t="s">
        <v>772</v>
      </c>
      <c r="AA3445" s="209">
        <v>28000</v>
      </c>
      <c r="AB3445" s="9">
        <v>48</v>
      </c>
      <c r="AC3445" s="9">
        <v>2</v>
      </c>
      <c r="AD3445" s="17">
        <v>45925</v>
      </c>
      <c r="AE3445" s="54">
        <v>520.83000000000004</v>
      </c>
      <c r="AF3445" s="54"/>
      <c r="AG3445" s="9" t="s">
        <v>134</v>
      </c>
      <c r="AH3445" s="17">
        <v>45890</v>
      </c>
      <c r="AI3445" s="17"/>
      <c r="AJ3445" s="17"/>
      <c r="AK3445" s="10" t="s">
        <v>792</v>
      </c>
      <c r="AL3445" s="22">
        <v>45.25</v>
      </c>
      <c r="AM3445" s="22"/>
      <c r="AN3445" s="22" t="s">
        <v>798</v>
      </c>
      <c r="AO3445" s="9" t="s">
        <v>134</v>
      </c>
      <c r="AP3445" s="17">
        <v>45918</v>
      </c>
      <c r="AQ3445" s="17"/>
      <c r="AR3445" s="17"/>
      <c r="AS3445" s="10" t="s">
        <v>794</v>
      </c>
      <c r="AT3445" s="22">
        <v>475.58</v>
      </c>
      <c r="AU3445" s="22"/>
      <c r="AV3445" s="22" t="s">
        <v>800</v>
      </c>
      <c r="AW3445" s="17">
        <v>45889</v>
      </c>
      <c r="AX3445" s="9">
        <v>550948</v>
      </c>
      <c r="AY3445" s="86">
        <f>2000-AY3444</f>
        <v>161.47000000000003</v>
      </c>
      <c r="AZ3445" s="9">
        <v>3.53</v>
      </c>
      <c r="BA3445" s="22">
        <f>+AY3445/AZ3445</f>
        <v>45.742209631728059</v>
      </c>
      <c r="BB3445" s="22"/>
      <c r="BC3445" s="17">
        <v>45918</v>
      </c>
      <c r="BD3445" s="9">
        <v>52847</v>
      </c>
      <c r="BE3445" s="22">
        <v>1664.5</v>
      </c>
      <c r="BF3445" s="9">
        <v>3.5</v>
      </c>
      <c r="BG3445" s="22">
        <f>+BE3445/BF3445</f>
        <v>475.57142857142856</v>
      </c>
      <c r="BH3445" s="22"/>
      <c r="CS3445" s="11">
        <f t="shared" si="239"/>
        <v>520.82999999999993</v>
      </c>
      <c r="CT3445" s="22">
        <f t="shared" si="240"/>
        <v>521.31363820315664</v>
      </c>
      <c r="CU3445" s="22">
        <f t="shared" si="241"/>
        <v>-0.48363820315671546</v>
      </c>
      <c r="CV3445" s="26">
        <f t="shared" si="238"/>
        <v>0</v>
      </c>
    </row>
    <row r="3446" spans="1:100" x14ac:dyDescent="0.2">
      <c r="A3446" s="9" t="s">
        <v>705</v>
      </c>
      <c r="B3446" s="2">
        <v>94</v>
      </c>
      <c r="C3446" s="3" t="s">
        <v>95</v>
      </c>
      <c r="D3446" s="3" t="s">
        <v>96</v>
      </c>
      <c r="E3446" s="2"/>
      <c r="F3446" s="2"/>
      <c r="G3446" s="2" t="s">
        <v>77</v>
      </c>
      <c r="H3446" s="2">
        <v>3</v>
      </c>
      <c r="I3446" s="20">
        <v>95.31</v>
      </c>
      <c r="J3446" s="20">
        <v>42660</v>
      </c>
      <c r="K3446" s="3">
        <v>0</v>
      </c>
      <c r="L3446" s="3" t="s">
        <v>3</v>
      </c>
      <c r="M3446" s="9" t="s">
        <v>0</v>
      </c>
      <c r="N3446" s="9">
        <v>70032410</v>
      </c>
      <c r="O3446" s="9" t="s">
        <v>706</v>
      </c>
      <c r="S3446" s="9" t="s">
        <v>158</v>
      </c>
      <c r="T3446" s="10" t="s">
        <v>77</v>
      </c>
      <c r="U3446" s="10">
        <v>3</v>
      </c>
      <c r="V3446" s="10">
        <v>95.31</v>
      </c>
      <c r="W3446" s="10" t="s">
        <v>710</v>
      </c>
      <c r="X3446" s="17">
        <v>45777</v>
      </c>
      <c r="Y3446" s="17">
        <v>45832</v>
      </c>
      <c r="Z3446" s="19" t="s">
        <v>772</v>
      </c>
      <c r="AA3446" s="209">
        <v>28000</v>
      </c>
      <c r="AB3446" s="9">
        <v>48</v>
      </c>
      <c r="AC3446" s="9">
        <v>3</v>
      </c>
      <c r="AD3446" s="17">
        <v>45955</v>
      </c>
      <c r="AE3446" s="54">
        <v>520.83000000000004</v>
      </c>
      <c r="AF3446" s="54"/>
      <c r="AL3446" s="9"/>
      <c r="AM3446" s="9"/>
      <c r="AN3446" s="9"/>
      <c r="AO3446" s="9"/>
      <c r="AP3446" s="9"/>
      <c r="AQ3446" s="9"/>
      <c r="AR3446" s="9"/>
      <c r="AS3446" s="9"/>
      <c r="AT3446" s="9"/>
      <c r="AU3446" s="9"/>
      <c r="AV3446" s="9"/>
      <c r="AW3446" s="9"/>
      <c r="BA3446" s="9"/>
      <c r="BB3446" s="22"/>
      <c r="BD3446" s="9"/>
      <c r="CS3446" s="11">
        <f t="shared" si="239"/>
        <v>0</v>
      </c>
      <c r="CT3446" s="22">
        <f t="shared" si="240"/>
        <v>0</v>
      </c>
      <c r="CU3446" s="22">
        <f t="shared" si="241"/>
        <v>0</v>
      </c>
      <c r="CV3446" s="26">
        <f t="shared" si="238"/>
        <v>520.83000000000004</v>
      </c>
    </row>
    <row r="3447" spans="1:100" x14ac:dyDescent="0.2">
      <c r="A3447" s="9" t="s">
        <v>705</v>
      </c>
      <c r="B3447" s="2">
        <v>94</v>
      </c>
      <c r="C3447" s="3" t="s">
        <v>95</v>
      </c>
      <c r="D3447" s="3" t="s">
        <v>96</v>
      </c>
      <c r="E3447" s="2"/>
      <c r="F3447" s="2"/>
      <c r="G3447" s="2" t="s">
        <v>77</v>
      </c>
      <c r="H3447" s="2">
        <v>3</v>
      </c>
      <c r="I3447" s="20">
        <v>95.31</v>
      </c>
      <c r="J3447" s="20">
        <v>42660</v>
      </c>
      <c r="K3447" s="3">
        <v>0</v>
      </c>
      <c r="L3447" s="3" t="s">
        <v>3</v>
      </c>
      <c r="M3447" s="9" t="s">
        <v>0</v>
      </c>
      <c r="N3447" s="9">
        <v>70032410</v>
      </c>
      <c r="O3447" s="9" t="s">
        <v>706</v>
      </c>
      <c r="S3447" s="9" t="s">
        <v>158</v>
      </c>
      <c r="T3447" s="10" t="s">
        <v>77</v>
      </c>
      <c r="U3447" s="10">
        <v>3</v>
      </c>
      <c r="V3447" s="10">
        <v>95.31</v>
      </c>
      <c r="W3447" s="10" t="s">
        <v>710</v>
      </c>
      <c r="X3447" s="17">
        <v>45777</v>
      </c>
      <c r="Y3447" s="17">
        <v>45832</v>
      </c>
      <c r="Z3447" s="19" t="s">
        <v>772</v>
      </c>
      <c r="AA3447" s="209">
        <v>28000</v>
      </c>
      <c r="AB3447" s="9">
        <v>48</v>
      </c>
      <c r="AC3447" s="9">
        <v>4</v>
      </c>
      <c r="AD3447" s="17">
        <v>45986</v>
      </c>
      <c r="AE3447" s="54">
        <v>520.83000000000004</v>
      </c>
      <c r="AF3447" s="54"/>
      <c r="AL3447" s="22"/>
      <c r="AM3447" s="22"/>
      <c r="AN3447" s="22"/>
      <c r="AO3447" s="22"/>
      <c r="AP3447" s="22"/>
      <c r="AQ3447" s="22"/>
      <c r="AR3447" s="22"/>
      <c r="AS3447" s="22"/>
      <c r="AT3447" s="22"/>
      <c r="AU3447" s="22"/>
      <c r="AV3447" s="22"/>
      <c r="AW3447" s="9"/>
      <c r="BA3447" s="22"/>
      <c r="BB3447" s="22"/>
      <c r="BD3447" s="9"/>
      <c r="CS3447" s="11">
        <f t="shared" si="239"/>
        <v>0</v>
      </c>
      <c r="CT3447" s="22">
        <f t="shared" si="240"/>
        <v>0</v>
      </c>
      <c r="CU3447" s="22">
        <f t="shared" si="241"/>
        <v>0</v>
      </c>
      <c r="CV3447" s="26">
        <f t="shared" si="238"/>
        <v>520.83000000000004</v>
      </c>
    </row>
    <row r="3448" spans="1:100" x14ac:dyDescent="0.2">
      <c r="A3448" s="9" t="s">
        <v>705</v>
      </c>
      <c r="B3448" s="2">
        <v>94</v>
      </c>
      <c r="C3448" s="3" t="s">
        <v>95</v>
      </c>
      <c r="D3448" s="3" t="s">
        <v>96</v>
      </c>
      <c r="E3448" s="2"/>
      <c r="F3448" s="2"/>
      <c r="G3448" s="2" t="s">
        <v>77</v>
      </c>
      <c r="H3448" s="2">
        <v>3</v>
      </c>
      <c r="I3448" s="20">
        <v>95.31</v>
      </c>
      <c r="J3448" s="20">
        <v>42660</v>
      </c>
      <c r="K3448" s="3">
        <v>0</v>
      </c>
      <c r="L3448" s="3" t="s">
        <v>3</v>
      </c>
      <c r="M3448" s="9" t="s">
        <v>0</v>
      </c>
      <c r="N3448" s="9">
        <v>70032410</v>
      </c>
      <c r="O3448" s="9" t="s">
        <v>706</v>
      </c>
      <c r="S3448" s="9" t="s">
        <v>158</v>
      </c>
      <c r="T3448" s="10" t="s">
        <v>77</v>
      </c>
      <c r="U3448" s="10">
        <v>3</v>
      </c>
      <c r="V3448" s="10">
        <v>95.31</v>
      </c>
      <c r="W3448" s="10" t="s">
        <v>710</v>
      </c>
      <c r="X3448" s="17">
        <v>45777</v>
      </c>
      <c r="Y3448" s="17">
        <v>45832</v>
      </c>
      <c r="Z3448" s="19" t="s">
        <v>772</v>
      </c>
      <c r="AA3448" s="209">
        <v>28000</v>
      </c>
      <c r="AB3448" s="9">
        <v>48</v>
      </c>
      <c r="AC3448" s="9">
        <v>5</v>
      </c>
      <c r="AD3448" s="17">
        <v>46016</v>
      </c>
      <c r="AE3448" s="54">
        <v>520.83000000000004</v>
      </c>
      <c r="AF3448" s="54"/>
      <c r="AL3448" s="22"/>
      <c r="AM3448" s="22"/>
      <c r="AN3448" s="22"/>
      <c r="AO3448" s="22"/>
      <c r="AP3448" s="22"/>
      <c r="AQ3448" s="22"/>
      <c r="AR3448" s="22"/>
      <c r="AS3448" s="22"/>
      <c r="AT3448" s="22"/>
      <c r="AU3448" s="22"/>
      <c r="AV3448" s="22"/>
      <c r="AW3448" s="9"/>
      <c r="BA3448" s="22"/>
      <c r="BB3448" s="22"/>
      <c r="BD3448" s="9"/>
      <c r="CS3448" s="11">
        <f t="shared" si="239"/>
        <v>0</v>
      </c>
      <c r="CT3448" s="22">
        <f t="shared" si="240"/>
        <v>0</v>
      </c>
      <c r="CU3448" s="22">
        <f t="shared" si="241"/>
        <v>0</v>
      </c>
      <c r="CV3448" s="26">
        <f t="shared" si="238"/>
        <v>520.83000000000004</v>
      </c>
    </row>
    <row r="3449" spans="1:100" x14ac:dyDescent="0.2">
      <c r="A3449" s="9" t="s">
        <v>705</v>
      </c>
      <c r="B3449" s="2">
        <v>94</v>
      </c>
      <c r="C3449" s="3" t="s">
        <v>95</v>
      </c>
      <c r="D3449" s="3" t="s">
        <v>96</v>
      </c>
      <c r="E3449" s="2"/>
      <c r="F3449" s="2"/>
      <c r="G3449" s="2" t="s">
        <v>77</v>
      </c>
      <c r="H3449" s="2">
        <v>3</v>
      </c>
      <c r="I3449" s="20">
        <v>95.31</v>
      </c>
      <c r="J3449" s="20">
        <v>42660</v>
      </c>
      <c r="K3449" s="3">
        <v>0</v>
      </c>
      <c r="L3449" s="3" t="s">
        <v>3</v>
      </c>
      <c r="M3449" s="9" t="s">
        <v>0</v>
      </c>
      <c r="N3449" s="9">
        <v>70032410</v>
      </c>
      <c r="O3449" s="9" t="s">
        <v>706</v>
      </c>
      <c r="S3449" s="9" t="s">
        <v>158</v>
      </c>
      <c r="T3449" s="10" t="s">
        <v>77</v>
      </c>
      <c r="U3449" s="10">
        <v>3</v>
      </c>
      <c r="V3449" s="10">
        <v>95.31</v>
      </c>
      <c r="W3449" s="10" t="s">
        <v>710</v>
      </c>
      <c r="X3449" s="17">
        <v>45777</v>
      </c>
      <c r="Y3449" s="17">
        <v>45832</v>
      </c>
      <c r="Z3449" s="19" t="s">
        <v>772</v>
      </c>
      <c r="AA3449" s="209">
        <v>28000</v>
      </c>
      <c r="AB3449" s="9">
        <v>48</v>
      </c>
      <c r="AC3449" s="9">
        <v>6</v>
      </c>
      <c r="AD3449" s="17">
        <v>46047</v>
      </c>
      <c r="AE3449" s="54">
        <v>520.83000000000004</v>
      </c>
      <c r="AF3449" s="54"/>
      <c r="AL3449" s="22"/>
      <c r="AM3449" s="22"/>
      <c r="AN3449" s="22"/>
      <c r="AO3449" s="22"/>
      <c r="AP3449" s="22"/>
      <c r="AQ3449" s="22"/>
      <c r="AR3449" s="22"/>
      <c r="AS3449" s="22"/>
      <c r="AT3449" s="22"/>
      <c r="AU3449" s="22"/>
      <c r="AV3449" s="22"/>
      <c r="AW3449" s="17"/>
      <c r="AX3449" s="86"/>
      <c r="BA3449" s="22"/>
      <c r="BB3449" s="22"/>
      <c r="BD3449" s="9"/>
      <c r="CS3449" s="11">
        <f t="shared" si="239"/>
        <v>0</v>
      </c>
      <c r="CT3449" s="22">
        <f t="shared" si="240"/>
        <v>0</v>
      </c>
      <c r="CU3449" s="22">
        <f t="shared" si="241"/>
        <v>0</v>
      </c>
      <c r="CV3449" s="26">
        <f t="shared" ref="CV3449:CV3512" si="242">+AE3449-AL3449-AT3449</f>
        <v>520.83000000000004</v>
      </c>
    </row>
    <row r="3450" spans="1:100" x14ac:dyDescent="0.2">
      <c r="A3450" s="9" t="s">
        <v>705</v>
      </c>
      <c r="B3450" s="2">
        <v>94</v>
      </c>
      <c r="C3450" s="3" t="s">
        <v>95</v>
      </c>
      <c r="D3450" s="3" t="s">
        <v>96</v>
      </c>
      <c r="E3450" s="2"/>
      <c r="F3450" s="2"/>
      <c r="G3450" s="2" t="s">
        <v>77</v>
      </c>
      <c r="H3450" s="2">
        <v>3</v>
      </c>
      <c r="I3450" s="20">
        <v>95.31</v>
      </c>
      <c r="J3450" s="20">
        <v>42660</v>
      </c>
      <c r="K3450" s="3">
        <v>0</v>
      </c>
      <c r="L3450" s="3" t="s">
        <v>3</v>
      </c>
      <c r="M3450" s="9" t="s">
        <v>0</v>
      </c>
      <c r="N3450" s="9">
        <v>70032410</v>
      </c>
      <c r="O3450" s="9" t="s">
        <v>706</v>
      </c>
      <c r="S3450" s="9" t="s">
        <v>158</v>
      </c>
      <c r="T3450" s="10" t="s">
        <v>77</v>
      </c>
      <c r="U3450" s="10">
        <v>3</v>
      </c>
      <c r="V3450" s="10">
        <v>95.31</v>
      </c>
      <c r="W3450" s="10" t="s">
        <v>710</v>
      </c>
      <c r="X3450" s="17">
        <v>45777</v>
      </c>
      <c r="Y3450" s="17">
        <v>45832</v>
      </c>
      <c r="Z3450" s="19" t="s">
        <v>772</v>
      </c>
      <c r="AA3450" s="209">
        <v>28000</v>
      </c>
      <c r="AB3450" s="9">
        <v>48</v>
      </c>
      <c r="AC3450" s="9">
        <v>7</v>
      </c>
      <c r="AD3450" s="17">
        <v>46078</v>
      </c>
      <c r="AE3450" s="54">
        <v>520.83000000000004</v>
      </c>
      <c r="AF3450" s="54"/>
      <c r="AL3450" s="22"/>
      <c r="AM3450" s="22"/>
      <c r="AN3450" s="22"/>
      <c r="AO3450" s="22"/>
      <c r="AP3450" s="22"/>
      <c r="AQ3450" s="22"/>
      <c r="AR3450" s="22"/>
      <c r="AS3450" s="22"/>
      <c r="AT3450" s="22"/>
      <c r="AU3450" s="22"/>
      <c r="AV3450" s="22"/>
      <c r="AW3450" s="9"/>
      <c r="BA3450" s="22"/>
      <c r="BB3450" s="22"/>
      <c r="BD3450" s="9"/>
      <c r="CS3450" s="11">
        <f t="shared" si="239"/>
        <v>0</v>
      </c>
      <c r="CT3450" s="22">
        <f t="shared" si="240"/>
        <v>0</v>
      </c>
      <c r="CU3450" s="22">
        <f t="shared" si="241"/>
        <v>0</v>
      </c>
      <c r="CV3450" s="26">
        <f t="shared" si="242"/>
        <v>520.83000000000004</v>
      </c>
    </row>
    <row r="3451" spans="1:100" x14ac:dyDescent="0.2">
      <c r="A3451" s="9" t="s">
        <v>705</v>
      </c>
      <c r="B3451" s="2">
        <v>94</v>
      </c>
      <c r="C3451" s="3" t="s">
        <v>95</v>
      </c>
      <c r="D3451" s="3" t="s">
        <v>96</v>
      </c>
      <c r="E3451" s="2"/>
      <c r="F3451" s="2"/>
      <c r="G3451" s="2" t="s">
        <v>77</v>
      </c>
      <c r="H3451" s="2">
        <v>3</v>
      </c>
      <c r="I3451" s="20">
        <v>95.31</v>
      </c>
      <c r="J3451" s="20">
        <v>42660</v>
      </c>
      <c r="K3451" s="3">
        <v>0</v>
      </c>
      <c r="L3451" s="3" t="s">
        <v>3</v>
      </c>
      <c r="M3451" s="9" t="s">
        <v>0</v>
      </c>
      <c r="N3451" s="9">
        <v>70032410</v>
      </c>
      <c r="O3451" s="9" t="s">
        <v>706</v>
      </c>
      <c r="S3451" s="9" t="s">
        <v>158</v>
      </c>
      <c r="T3451" s="10" t="s">
        <v>77</v>
      </c>
      <c r="U3451" s="10">
        <v>3</v>
      </c>
      <c r="V3451" s="10">
        <v>95.31</v>
      </c>
      <c r="W3451" s="10" t="s">
        <v>710</v>
      </c>
      <c r="X3451" s="17">
        <v>45777</v>
      </c>
      <c r="Y3451" s="17">
        <v>45832</v>
      </c>
      <c r="Z3451" s="19" t="s">
        <v>772</v>
      </c>
      <c r="AA3451" s="209">
        <v>28000</v>
      </c>
      <c r="AB3451" s="9">
        <v>48</v>
      </c>
      <c r="AC3451" s="9">
        <v>8</v>
      </c>
      <c r="AD3451" s="17">
        <v>46106</v>
      </c>
      <c r="AE3451" s="54">
        <v>520.83000000000004</v>
      </c>
      <c r="AF3451" s="54"/>
      <c r="AL3451" s="22"/>
      <c r="AM3451" s="22"/>
      <c r="AN3451" s="22"/>
      <c r="AO3451" s="22"/>
      <c r="AP3451" s="22"/>
      <c r="AQ3451" s="22"/>
      <c r="AR3451" s="22"/>
      <c r="AS3451" s="22"/>
      <c r="AT3451" s="22"/>
      <c r="AU3451" s="22"/>
      <c r="AV3451" s="22"/>
      <c r="AW3451" s="9"/>
      <c r="BA3451" s="22"/>
      <c r="BB3451" s="22"/>
      <c r="BD3451" s="9"/>
      <c r="CS3451" s="11">
        <f t="shared" si="239"/>
        <v>0</v>
      </c>
      <c r="CT3451" s="22">
        <f t="shared" si="240"/>
        <v>0</v>
      </c>
      <c r="CU3451" s="22">
        <f t="shared" si="241"/>
        <v>0</v>
      </c>
      <c r="CV3451" s="26">
        <f t="shared" si="242"/>
        <v>520.83000000000004</v>
      </c>
    </row>
    <row r="3452" spans="1:100" x14ac:dyDescent="0.2">
      <c r="A3452" s="9" t="s">
        <v>705</v>
      </c>
      <c r="B3452" s="2">
        <v>94</v>
      </c>
      <c r="C3452" s="3" t="s">
        <v>95</v>
      </c>
      <c r="D3452" s="3" t="s">
        <v>96</v>
      </c>
      <c r="E3452" s="2"/>
      <c r="F3452" s="2"/>
      <c r="G3452" s="2" t="s">
        <v>77</v>
      </c>
      <c r="H3452" s="2">
        <v>3</v>
      </c>
      <c r="I3452" s="20">
        <v>95.31</v>
      </c>
      <c r="J3452" s="20">
        <v>42660</v>
      </c>
      <c r="K3452" s="3">
        <v>0</v>
      </c>
      <c r="L3452" s="3" t="s">
        <v>3</v>
      </c>
      <c r="M3452" s="9" t="s">
        <v>0</v>
      </c>
      <c r="N3452" s="9">
        <v>70032410</v>
      </c>
      <c r="O3452" s="9" t="s">
        <v>706</v>
      </c>
      <c r="S3452" s="9" t="s">
        <v>158</v>
      </c>
      <c r="T3452" s="10" t="s">
        <v>77</v>
      </c>
      <c r="U3452" s="10">
        <v>3</v>
      </c>
      <c r="V3452" s="10">
        <v>95.31</v>
      </c>
      <c r="W3452" s="10" t="s">
        <v>710</v>
      </c>
      <c r="X3452" s="17">
        <v>45777</v>
      </c>
      <c r="Y3452" s="17">
        <v>45832</v>
      </c>
      <c r="Z3452" s="19" t="s">
        <v>772</v>
      </c>
      <c r="AA3452" s="209">
        <v>28000</v>
      </c>
      <c r="AB3452" s="9">
        <v>48</v>
      </c>
      <c r="AC3452" s="9">
        <v>9</v>
      </c>
      <c r="AD3452" s="17">
        <v>46137</v>
      </c>
      <c r="AE3452" s="54">
        <v>520.83000000000004</v>
      </c>
      <c r="AF3452" s="54"/>
      <c r="AL3452" s="22"/>
      <c r="AM3452" s="22"/>
      <c r="AN3452" s="22"/>
      <c r="AO3452" s="22"/>
      <c r="AP3452" s="22"/>
      <c r="AQ3452" s="22"/>
      <c r="AR3452" s="22"/>
      <c r="AS3452" s="22"/>
      <c r="AT3452" s="22"/>
      <c r="AU3452" s="22"/>
      <c r="AV3452" s="22"/>
      <c r="AW3452" s="9"/>
      <c r="BA3452" s="22"/>
      <c r="BB3452" s="22"/>
      <c r="BD3452" s="9"/>
      <c r="CS3452" s="11">
        <f t="shared" si="239"/>
        <v>0</v>
      </c>
      <c r="CT3452" s="22">
        <f t="shared" si="240"/>
        <v>0</v>
      </c>
      <c r="CU3452" s="22">
        <f t="shared" si="241"/>
        <v>0</v>
      </c>
      <c r="CV3452" s="26">
        <f t="shared" si="242"/>
        <v>520.83000000000004</v>
      </c>
    </row>
    <row r="3453" spans="1:100" x14ac:dyDescent="0.2">
      <c r="A3453" s="9" t="s">
        <v>705</v>
      </c>
      <c r="B3453" s="2">
        <v>94</v>
      </c>
      <c r="C3453" s="3" t="s">
        <v>95</v>
      </c>
      <c r="D3453" s="3" t="s">
        <v>96</v>
      </c>
      <c r="E3453" s="2"/>
      <c r="F3453" s="2"/>
      <c r="G3453" s="2" t="s">
        <v>77</v>
      </c>
      <c r="H3453" s="2">
        <v>3</v>
      </c>
      <c r="I3453" s="20">
        <v>95.31</v>
      </c>
      <c r="J3453" s="20">
        <v>42660</v>
      </c>
      <c r="K3453" s="3">
        <v>0</v>
      </c>
      <c r="L3453" s="3" t="s">
        <v>3</v>
      </c>
      <c r="M3453" s="9" t="s">
        <v>0</v>
      </c>
      <c r="N3453" s="9">
        <v>70032410</v>
      </c>
      <c r="O3453" s="9" t="s">
        <v>706</v>
      </c>
      <c r="S3453" s="9" t="s">
        <v>158</v>
      </c>
      <c r="T3453" s="10" t="s">
        <v>77</v>
      </c>
      <c r="U3453" s="10">
        <v>3</v>
      </c>
      <c r="V3453" s="10">
        <v>95.31</v>
      </c>
      <c r="W3453" s="10" t="s">
        <v>710</v>
      </c>
      <c r="X3453" s="17">
        <v>45777</v>
      </c>
      <c r="Y3453" s="17">
        <v>45832</v>
      </c>
      <c r="Z3453" s="19" t="s">
        <v>772</v>
      </c>
      <c r="AA3453" s="209">
        <v>28000</v>
      </c>
      <c r="AB3453" s="9">
        <v>48</v>
      </c>
      <c r="AC3453" s="9">
        <v>10</v>
      </c>
      <c r="AD3453" s="17">
        <v>46167</v>
      </c>
      <c r="AE3453" s="54">
        <v>520.83000000000004</v>
      </c>
      <c r="AF3453" s="54"/>
      <c r="AL3453" s="22"/>
      <c r="AM3453" s="22"/>
      <c r="AN3453" s="22"/>
      <c r="AO3453" s="22"/>
      <c r="AP3453" s="22"/>
      <c r="AQ3453" s="22"/>
      <c r="AR3453" s="22"/>
      <c r="AS3453" s="22"/>
      <c r="AT3453" s="22"/>
      <c r="AU3453" s="22"/>
      <c r="AV3453" s="22"/>
      <c r="AW3453" s="9"/>
      <c r="BA3453" s="22"/>
      <c r="BB3453" s="22"/>
      <c r="BD3453" s="9"/>
      <c r="CS3453" s="11">
        <f t="shared" si="239"/>
        <v>0</v>
      </c>
      <c r="CT3453" s="22">
        <f t="shared" si="240"/>
        <v>0</v>
      </c>
      <c r="CU3453" s="22">
        <f t="shared" si="241"/>
        <v>0</v>
      </c>
      <c r="CV3453" s="26">
        <f t="shared" si="242"/>
        <v>520.83000000000004</v>
      </c>
    </row>
    <row r="3454" spans="1:100" x14ac:dyDescent="0.2">
      <c r="A3454" s="9" t="s">
        <v>705</v>
      </c>
      <c r="B3454" s="2">
        <v>94</v>
      </c>
      <c r="C3454" s="3" t="s">
        <v>95</v>
      </c>
      <c r="D3454" s="3" t="s">
        <v>96</v>
      </c>
      <c r="E3454" s="2"/>
      <c r="F3454" s="2"/>
      <c r="G3454" s="2" t="s">
        <v>77</v>
      </c>
      <c r="H3454" s="2">
        <v>3</v>
      </c>
      <c r="I3454" s="20">
        <v>95.31</v>
      </c>
      <c r="J3454" s="20">
        <v>42660</v>
      </c>
      <c r="K3454" s="3">
        <v>0</v>
      </c>
      <c r="L3454" s="3" t="s">
        <v>3</v>
      </c>
      <c r="M3454" s="9" t="s">
        <v>0</v>
      </c>
      <c r="N3454" s="9">
        <v>70032410</v>
      </c>
      <c r="O3454" s="9" t="s">
        <v>706</v>
      </c>
      <c r="S3454" s="9" t="s">
        <v>158</v>
      </c>
      <c r="T3454" s="10" t="s">
        <v>77</v>
      </c>
      <c r="U3454" s="10">
        <v>3</v>
      </c>
      <c r="V3454" s="10">
        <v>95.31</v>
      </c>
      <c r="W3454" s="10" t="s">
        <v>710</v>
      </c>
      <c r="X3454" s="17">
        <v>45777</v>
      </c>
      <c r="Y3454" s="17">
        <v>45832</v>
      </c>
      <c r="Z3454" s="19" t="s">
        <v>772</v>
      </c>
      <c r="AA3454" s="209">
        <v>28000</v>
      </c>
      <c r="AB3454" s="9">
        <v>48</v>
      </c>
      <c r="AC3454" s="9">
        <v>11</v>
      </c>
      <c r="AD3454" s="17">
        <v>46198</v>
      </c>
      <c r="AE3454" s="54">
        <v>520.83000000000004</v>
      </c>
      <c r="AF3454" s="54"/>
      <c r="AL3454" s="22"/>
      <c r="AM3454" s="22"/>
      <c r="AN3454" s="22"/>
      <c r="AO3454" s="22"/>
      <c r="AP3454" s="22"/>
      <c r="AQ3454" s="22"/>
      <c r="AR3454" s="22"/>
      <c r="AS3454" s="22"/>
      <c r="AT3454" s="22"/>
      <c r="AU3454" s="22"/>
      <c r="AV3454" s="22"/>
      <c r="AW3454" s="9"/>
      <c r="BA3454" s="22"/>
      <c r="BB3454" s="22"/>
      <c r="BD3454" s="9"/>
      <c r="CS3454" s="11">
        <f t="shared" si="239"/>
        <v>0</v>
      </c>
      <c r="CT3454" s="22">
        <f t="shared" si="240"/>
        <v>0</v>
      </c>
      <c r="CU3454" s="22">
        <f t="shared" si="241"/>
        <v>0</v>
      </c>
      <c r="CV3454" s="26">
        <f t="shared" si="242"/>
        <v>520.83000000000004</v>
      </c>
    </row>
    <row r="3455" spans="1:100" x14ac:dyDescent="0.2">
      <c r="A3455" s="9" t="s">
        <v>705</v>
      </c>
      <c r="B3455" s="2">
        <v>94</v>
      </c>
      <c r="C3455" s="3" t="s">
        <v>95</v>
      </c>
      <c r="D3455" s="3" t="s">
        <v>96</v>
      </c>
      <c r="E3455" s="2"/>
      <c r="F3455" s="2"/>
      <c r="G3455" s="2" t="s">
        <v>77</v>
      </c>
      <c r="H3455" s="2">
        <v>3</v>
      </c>
      <c r="I3455" s="20">
        <v>95.31</v>
      </c>
      <c r="J3455" s="20">
        <v>42660</v>
      </c>
      <c r="K3455" s="3">
        <v>0</v>
      </c>
      <c r="L3455" s="3" t="s">
        <v>3</v>
      </c>
      <c r="M3455" s="9" t="s">
        <v>0</v>
      </c>
      <c r="N3455" s="9">
        <v>70032410</v>
      </c>
      <c r="O3455" s="9" t="s">
        <v>706</v>
      </c>
      <c r="S3455" s="9" t="s">
        <v>158</v>
      </c>
      <c r="T3455" s="10" t="s">
        <v>77</v>
      </c>
      <c r="U3455" s="10">
        <v>3</v>
      </c>
      <c r="V3455" s="10">
        <v>95.31</v>
      </c>
      <c r="W3455" s="10" t="s">
        <v>710</v>
      </c>
      <c r="X3455" s="17">
        <v>45777</v>
      </c>
      <c r="Y3455" s="17">
        <v>45832</v>
      </c>
      <c r="Z3455" s="19" t="s">
        <v>772</v>
      </c>
      <c r="AA3455" s="209">
        <v>28000</v>
      </c>
      <c r="AB3455" s="9">
        <v>48</v>
      </c>
      <c r="AC3455" s="9">
        <v>12</v>
      </c>
      <c r="AD3455" s="17">
        <v>46228</v>
      </c>
      <c r="AE3455" s="54">
        <v>520.83000000000004</v>
      </c>
      <c r="AF3455" s="54"/>
      <c r="AL3455" s="22"/>
      <c r="AM3455" s="22"/>
      <c r="AN3455" s="22"/>
      <c r="AO3455" s="22"/>
      <c r="AP3455" s="22"/>
      <c r="AQ3455" s="22"/>
      <c r="AR3455" s="22"/>
      <c r="AS3455" s="22"/>
      <c r="AT3455" s="22"/>
      <c r="AU3455" s="22"/>
      <c r="AV3455" s="22"/>
      <c r="AW3455" s="9"/>
      <c r="BA3455" s="22"/>
      <c r="BB3455" s="22"/>
      <c r="BD3455" s="9"/>
      <c r="CS3455" s="11">
        <f t="shared" si="239"/>
        <v>0</v>
      </c>
      <c r="CT3455" s="22">
        <f t="shared" si="240"/>
        <v>0</v>
      </c>
      <c r="CU3455" s="22">
        <f t="shared" si="241"/>
        <v>0</v>
      </c>
      <c r="CV3455" s="26">
        <f t="shared" si="242"/>
        <v>520.83000000000004</v>
      </c>
    </row>
    <row r="3456" spans="1:100" x14ac:dyDescent="0.2">
      <c r="A3456" s="9" t="s">
        <v>705</v>
      </c>
      <c r="B3456" s="2">
        <v>94</v>
      </c>
      <c r="C3456" s="3" t="s">
        <v>95</v>
      </c>
      <c r="D3456" s="3" t="s">
        <v>96</v>
      </c>
      <c r="E3456" s="2"/>
      <c r="F3456" s="2"/>
      <c r="G3456" s="2" t="s">
        <v>77</v>
      </c>
      <c r="H3456" s="2">
        <v>3</v>
      </c>
      <c r="I3456" s="20">
        <v>95.31</v>
      </c>
      <c r="J3456" s="20">
        <v>42660</v>
      </c>
      <c r="K3456" s="3">
        <v>0</v>
      </c>
      <c r="L3456" s="3" t="s">
        <v>3</v>
      </c>
      <c r="M3456" s="9" t="s">
        <v>0</v>
      </c>
      <c r="N3456" s="9">
        <v>70032410</v>
      </c>
      <c r="O3456" s="9" t="s">
        <v>706</v>
      </c>
      <c r="S3456" s="9" t="s">
        <v>158</v>
      </c>
      <c r="T3456" s="10" t="s">
        <v>77</v>
      </c>
      <c r="U3456" s="10">
        <v>3</v>
      </c>
      <c r="V3456" s="10">
        <v>95.31</v>
      </c>
      <c r="W3456" s="10" t="s">
        <v>710</v>
      </c>
      <c r="X3456" s="17">
        <v>45777</v>
      </c>
      <c r="Y3456" s="17">
        <v>45832</v>
      </c>
      <c r="Z3456" s="19" t="s">
        <v>772</v>
      </c>
      <c r="AA3456" s="209">
        <v>28000</v>
      </c>
      <c r="AB3456" s="9">
        <v>48</v>
      </c>
      <c r="AC3456" s="9">
        <v>13</v>
      </c>
      <c r="AD3456" s="17">
        <v>46259</v>
      </c>
      <c r="AE3456" s="54">
        <v>520.83000000000004</v>
      </c>
      <c r="AF3456" s="54"/>
      <c r="AL3456" s="22"/>
      <c r="AM3456" s="22"/>
      <c r="AN3456" s="22"/>
      <c r="AO3456" s="22"/>
      <c r="AP3456" s="22"/>
      <c r="AQ3456" s="22"/>
      <c r="AR3456" s="22"/>
      <c r="AS3456" s="22"/>
      <c r="AT3456" s="22"/>
      <c r="AU3456" s="22"/>
      <c r="AV3456" s="22"/>
      <c r="AW3456" s="9"/>
      <c r="BA3456" s="22"/>
      <c r="BB3456" s="22"/>
      <c r="BD3456" s="9"/>
      <c r="CS3456" s="11">
        <f t="shared" si="239"/>
        <v>0</v>
      </c>
      <c r="CT3456" s="22">
        <f t="shared" si="240"/>
        <v>0</v>
      </c>
      <c r="CU3456" s="22">
        <f t="shared" si="241"/>
        <v>0</v>
      </c>
      <c r="CV3456" s="26">
        <f t="shared" si="242"/>
        <v>520.83000000000004</v>
      </c>
    </row>
    <row r="3457" spans="1:100" x14ac:dyDescent="0.2">
      <c r="A3457" s="9" t="s">
        <v>705</v>
      </c>
      <c r="B3457" s="2">
        <v>94</v>
      </c>
      <c r="C3457" s="3" t="s">
        <v>95</v>
      </c>
      <c r="D3457" s="3" t="s">
        <v>96</v>
      </c>
      <c r="E3457" s="2"/>
      <c r="F3457" s="2"/>
      <c r="G3457" s="2" t="s">
        <v>77</v>
      </c>
      <c r="H3457" s="2">
        <v>3</v>
      </c>
      <c r="I3457" s="20">
        <v>95.31</v>
      </c>
      <c r="J3457" s="20">
        <v>42660</v>
      </c>
      <c r="K3457" s="3">
        <v>0</v>
      </c>
      <c r="L3457" s="3" t="s">
        <v>3</v>
      </c>
      <c r="M3457" s="9" t="s">
        <v>0</v>
      </c>
      <c r="N3457" s="9">
        <v>70032410</v>
      </c>
      <c r="O3457" s="9" t="s">
        <v>706</v>
      </c>
      <c r="S3457" s="9" t="s">
        <v>158</v>
      </c>
      <c r="T3457" s="10" t="s">
        <v>77</v>
      </c>
      <c r="U3457" s="10">
        <v>3</v>
      </c>
      <c r="V3457" s="10">
        <v>95.31</v>
      </c>
      <c r="W3457" s="10" t="s">
        <v>710</v>
      </c>
      <c r="X3457" s="17">
        <v>45777</v>
      </c>
      <c r="Y3457" s="17">
        <v>45832</v>
      </c>
      <c r="Z3457" s="19" t="s">
        <v>772</v>
      </c>
      <c r="AA3457" s="209">
        <v>28000</v>
      </c>
      <c r="AB3457" s="9">
        <v>48</v>
      </c>
      <c r="AC3457" s="9">
        <v>14</v>
      </c>
      <c r="AD3457" s="17">
        <v>46290</v>
      </c>
      <c r="AE3457" s="54">
        <v>520.83000000000004</v>
      </c>
      <c r="AF3457" s="54"/>
      <c r="AL3457" s="22"/>
      <c r="AM3457" s="22"/>
      <c r="AN3457" s="22"/>
      <c r="AO3457" s="22"/>
      <c r="AP3457" s="22"/>
      <c r="AQ3457" s="22"/>
      <c r="AR3457" s="22"/>
      <c r="AS3457" s="22"/>
      <c r="AT3457" s="22"/>
      <c r="AU3457" s="22"/>
      <c r="AV3457" s="22"/>
      <c r="AW3457" s="9"/>
      <c r="BA3457" s="22"/>
      <c r="BB3457" s="22"/>
      <c r="BD3457" s="9"/>
      <c r="CS3457" s="11">
        <f t="shared" si="239"/>
        <v>0</v>
      </c>
      <c r="CT3457" s="22">
        <f t="shared" si="240"/>
        <v>0</v>
      </c>
      <c r="CU3457" s="22">
        <f t="shared" si="241"/>
        <v>0</v>
      </c>
      <c r="CV3457" s="26">
        <f t="shared" si="242"/>
        <v>520.83000000000004</v>
      </c>
    </row>
    <row r="3458" spans="1:100" x14ac:dyDescent="0.2">
      <c r="A3458" s="9" t="s">
        <v>705</v>
      </c>
      <c r="B3458" s="2">
        <v>94</v>
      </c>
      <c r="C3458" s="3" t="s">
        <v>95</v>
      </c>
      <c r="D3458" s="3" t="s">
        <v>96</v>
      </c>
      <c r="E3458" s="2"/>
      <c r="F3458" s="2"/>
      <c r="G3458" s="2" t="s">
        <v>77</v>
      </c>
      <c r="H3458" s="2">
        <v>3</v>
      </c>
      <c r="I3458" s="20">
        <v>95.31</v>
      </c>
      <c r="J3458" s="20">
        <v>42660</v>
      </c>
      <c r="K3458" s="3">
        <v>0</v>
      </c>
      <c r="L3458" s="3" t="s">
        <v>3</v>
      </c>
      <c r="M3458" s="9" t="s">
        <v>0</v>
      </c>
      <c r="N3458" s="9">
        <v>70032410</v>
      </c>
      <c r="O3458" s="9" t="s">
        <v>706</v>
      </c>
      <c r="S3458" s="9" t="s">
        <v>158</v>
      </c>
      <c r="T3458" s="10" t="s">
        <v>77</v>
      </c>
      <c r="U3458" s="10">
        <v>3</v>
      </c>
      <c r="V3458" s="10">
        <v>95.31</v>
      </c>
      <c r="W3458" s="10" t="s">
        <v>710</v>
      </c>
      <c r="X3458" s="17">
        <v>45777</v>
      </c>
      <c r="Y3458" s="17">
        <v>45832</v>
      </c>
      <c r="Z3458" s="19" t="s">
        <v>772</v>
      </c>
      <c r="AA3458" s="209">
        <v>28000</v>
      </c>
      <c r="AB3458" s="9">
        <v>48</v>
      </c>
      <c r="AC3458" s="9">
        <v>15</v>
      </c>
      <c r="AD3458" s="17">
        <v>46320</v>
      </c>
      <c r="AE3458" s="54">
        <v>520.83000000000004</v>
      </c>
      <c r="AF3458" s="54"/>
      <c r="AL3458" s="22"/>
      <c r="AM3458" s="22"/>
      <c r="AN3458" s="22"/>
      <c r="AO3458" s="22"/>
      <c r="AP3458" s="22"/>
      <c r="AQ3458" s="22"/>
      <c r="AR3458" s="22"/>
      <c r="AS3458" s="22"/>
      <c r="AT3458" s="22"/>
      <c r="AU3458" s="22"/>
      <c r="AV3458" s="22"/>
      <c r="AW3458" s="9"/>
      <c r="BA3458" s="22"/>
      <c r="BB3458" s="22"/>
      <c r="BD3458" s="9"/>
      <c r="CS3458" s="11">
        <f t="shared" si="239"/>
        <v>0</v>
      </c>
      <c r="CT3458" s="22">
        <f t="shared" si="240"/>
        <v>0</v>
      </c>
      <c r="CU3458" s="22">
        <f t="shared" si="241"/>
        <v>0</v>
      </c>
      <c r="CV3458" s="26">
        <f t="shared" si="242"/>
        <v>520.83000000000004</v>
      </c>
    </row>
    <row r="3459" spans="1:100" x14ac:dyDescent="0.2">
      <c r="A3459" s="9" t="s">
        <v>705</v>
      </c>
      <c r="B3459" s="2">
        <v>94</v>
      </c>
      <c r="C3459" s="3" t="s">
        <v>95</v>
      </c>
      <c r="D3459" s="3" t="s">
        <v>96</v>
      </c>
      <c r="E3459" s="2"/>
      <c r="F3459" s="2"/>
      <c r="G3459" s="2" t="s">
        <v>77</v>
      </c>
      <c r="H3459" s="2">
        <v>3</v>
      </c>
      <c r="I3459" s="20">
        <v>95.31</v>
      </c>
      <c r="J3459" s="20">
        <v>42660</v>
      </c>
      <c r="K3459" s="3">
        <v>0</v>
      </c>
      <c r="L3459" s="3" t="s">
        <v>3</v>
      </c>
      <c r="M3459" s="9" t="s">
        <v>0</v>
      </c>
      <c r="N3459" s="9">
        <v>70032410</v>
      </c>
      <c r="O3459" s="9" t="s">
        <v>706</v>
      </c>
      <c r="S3459" s="9" t="s">
        <v>158</v>
      </c>
      <c r="T3459" s="10" t="s">
        <v>77</v>
      </c>
      <c r="U3459" s="10">
        <v>3</v>
      </c>
      <c r="V3459" s="10">
        <v>95.31</v>
      </c>
      <c r="W3459" s="10" t="s">
        <v>710</v>
      </c>
      <c r="X3459" s="17">
        <v>45777</v>
      </c>
      <c r="Y3459" s="17">
        <v>45832</v>
      </c>
      <c r="Z3459" s="19" t="s">
        <v>772</v>
      </c>
      <c r="AA3459" s="209">
        <v>28000</v>
      </c>
      <c r="AB3459" s="9">
        <v>48</v>
      </c>
      <c r="AC3459" s="9">
        <v>16</v>
      </c>
      <c r="AD3459" s="17">
        <v>46351</v>
      </c>
      <c r="AE3459" s="54">
        <v>520.83000000000004</v>
      </c>
      <c r="AF3459" s="54"/>
      <c r="AL3459" s="22"/>
      <c r="AM3459" s="22"/>
      <c r="AN3459" s="22"/>
      <c r="AO3459" s="22"/>
      <c r="AP3459" s="22"/>
      <c r="AQ3459" s="22"/>
      <c r="AR3459" s="22"/>
      <c r="AS3459" s="22"/>
      <c r="AT3459" s="22"/>
      <c r="AU3459" s="22"/>
      <c r="AV3459" s="22"/>
      <c r="AW3459" s="9"/>
      <c r="BA3459" s="22"/>
      <c r="BB3459" s="22"/>
      <c r="BD3459" s="9"/>
      <c r="CS3459" s="11">
        <f t="shared" si="239"/>
        <v>0</v>
      </c>
      <c r="CT3459" s="22">
        <f t="shared" si="240"/>
        <v>0</v>
      </c>
      <c r="CU3459" s="22">
        <f t="shared" si="241"/>
        <v>0</v>
      </c>
      <c r="CV3459" s="26">
        <f t="shared" si="242"/>
        <v>520.83000000000004</v>
      </c>
    </row>
    <row r="3460" spans="1:100" x14ac:dyDescent="0.2">
      <c r="A3460" s="9" t="s">
        <v>705</v>
      </c>
      <c r="B3460" s="2">
        <v>94</v>
      </c>
      <c r="C3460" s="3" t="s">
        <v>95</v>
      </c>
      <c r="D3460" s="3" t="s">
        <v>96</v>
      </c>
      <c r="E3460" s="2"/>
      <c r="F3460" s="2"/>
      <c r="G3460" s="2" t="s">
        <v>77</v>
      </c>
      <c r="H3460" s="2">
        <v>3</v>
      </c>
      <c r="I3460" s="20">
        <v>95.31</v>
      </c>
      <c r="J3460" s="20">
        <v>42660</v>
      </c>
      <c r="K3460" s="3">
        <v>0</v>
      </c>
      <c r="L3460" s="3" t="s">
        <v>3</v>
      </c>
      <c r="M3460" s="9" t="s">
        <v>0</v>
      </c>
      <c r="N3460" s="9">
        <v>70032410</v>
      </c>
      <c r="O3460" s="9" t="s">
        <v>706</v>
      </c>
      <c r="S3460" s="9" t="s">
        <v>158</v>
      </c>
      <c r="T3460" s="10" t="s">
        <v>77</v>
      </c>
      <c r="U3460" s="10">
        <v>3</v>
      </c>
      <c r="V3460" s="10">
        <v>95.31</v>
      </c>
      <c r="W3460" s="10" t="s">
        <v>710</v>
      </c>
      <c r="X3460" s="17">
        <v>45777</v>
      </c>
      <c r="Y3460" s="17">
        <v>45832</v>
      </c>
      <c r="Z3460" s="19" t="s">
        <v>772</v>
      </c>
      <c r="AA3460" s="209">
        <v>28000</v>
      </c>
      <c r="AB3460" s="9">
        <v>48</v>
      </c>
      <c r="AC3460" s="9">
        <v>17</v>
      </c>
      <c r="AD3460" s="17">
        <v>46381</v>
      </c>
      <c r="AE3460" s="54">
        <v>520.83000000000004</v>
      </c>
      <c r="AF3460" s="54"/>
      <c r="AL3460" s="22"/>
      <c r="AM3460" s="22"/>
      <c r="AN3460" s="22"/>
      <c r="AO3460" s="22"/>
      <c r="AP3460" s="22"/>
      <c r="AQ3460" s="22"/>
      <c r="AR3460" s="22"/>
      <c r="AS3460" s="22"/>
      <c r="AT3460" s="22"/>
      <c r="AU3460" s="22"/>
      <c r="AV3460" s="22"/>
      <c r="AW3460" s="9"/>
      <c r="BA3460" s="22"/>
      <c r="BB3460" s="22"/>
      <c r="BD3460" s="9"/>
      <c r="CS3460" s="11">
        <f t="shared" si="239"/>
        <v>0</v>
      </c>
      <c r="CT3460" s="22">
        <f t="shared" si="240"/>
        <v>0</v>
      </c>
      <c r="CU3460" s="22">
        <f t="shared" si="241"/>
        <v>0</v>
      </c>
      <c r="CV3460" s="26">
        <f t="shared" si="242"/>
        <v>520.83000000000004</v>
      </c>
    </row>
    <row r="3461" spans="1:100" x14ac:dyDescent="0.2">
      <c r="A3461" s="9" t="s">
        <v>705</v>
      </c>
      <c r="B3461" s="2">
        <v>94</v>
      </c>
      <c r="C3461" s="3" t="s">
        <v>95</v>
      </c>
      <c r="D3461" s="3" t="s">
        <v>96</v>
      </c>
      <c r="E3461" s="2"/>
      <c r="F3461" s="2"/>
      <c r="G3461" s="2" t="s">
        <v>77</v>
      </c>
      <c r="H3461" s="2">
        <v>3</v>
      </c>
      <c r="I3461" s="20">
        <v>95.31</v>
      </c>
      <c r="J3461" s="20">
        <v>42660</v>
      </c>
      <c r="K3461" s="3">
        <v>0</v>
      </c>
      <c r="L3461" s="3" t="s">
        <v>3</v>
      </c>
      <c r="M3461" s="9" t="s">
        <v>0</v>
      </c>
      <c r="N3461" s="9">
        <v>70032410</v>
      </c>
      <c r="O3461" s="9" t="s">
        <v>706</v>
      </c>
      <c r="S3461" s="9" t="s">
        <v>158</v>
      </c>
      <c r="T3461" s="10" t="s">
        <v>77</v>
      </c>
      <c r="U3461" s="10">
        <v>3</v>
      </c>
      <c r="V3461" s="10">
        <v>95.31</v>
      </c>
      <c r="W3461" s="10" t="s">
        <v>710</v>
      </c>
      <c r="X3461" s="17">
        <v>45777</v>
      </c>
      <c r="Y3461" s="17">
        <v>45832</v>
      </c>
      <c r="Z3461" s="19" t="s">
        <v>772</v>
      </c>
      <c r="AA3461" s="209">
        <v>28000</v>
      </c>
      <c r="AB3461" s="9">
        <v>48</v>
      </c>
      <c r="AC3461" s="9">
        <v>18</v>
      </c>
      <c r="AD3461" s="17">
        <v>46412</v>
      </c>
      <c r="AE3461" s="54">
        <v>520.83000000000004</v>
      </c>
      <c r="AF3461" s="54"/>
      <c r="AL3461" s="22"/>
      <c r="AM3461" s="22"/>
      <c r="AN3461" s="22"/>
      <c r="AO3461" s="22"/>
      <c r="AP3461" s="22"/>
      <c r="AQ3461" s="22"/>
      <c r="AR3461" s="22"/>
      <c r="AS3461" s="22"/>
      <c r="AT3461" s="22"/>
      <c r="AU3461" s="22"/>
      <c r="AV3461" s="22"/>
      <c r="AW3461" s="9"/>
      <c r="BA3461" s="22"/>
      <c r="BB3461" s="22"/>
      <c r="BD3461" s="9"/>
      <c r="CS3461" s="11">
        <f t="shared" si="239"/>
        <v>0</v>
      </c>
      <c r="CT3461" s="22">
        <f t="shared" si="240"/>
        <v>0</v>
      </c>
      <c r="CU3461" s="22">
        <f t="shared" si="241"/>
        <v>0</v>
      </c>
      <c r="CV3461" s="26">
        <f t="shared" si="242"/>
        <v>520.83000000000004</v>
      </c>
    </row>
    <row r="3462" spans="1:100" x14ac:dyDescent="0.2">
      <c r="A3462" s="9" t="s">
        <v>705</v>
      </c>
      <c r="B3462" s="2">
        <v>94</v>
      </c>
      <c r="C3462" s="3" t="s">
        <v>95</v>
      </c>
      <c r="D3462" s="3" t="s">
        <v>96</v>
      </c>
      <c r="E3462" s="2"/>
      <c r="F3462" s="2"/>
      <c r="G3462" s="2" t="s">
        <v>77</v>
      </c>
      <c r="H3462" s="2">
        <v>3</v>
      </c>
      <c r="I3462" s="20">
        <v>95.31</v>
      </c>
      <c r="J3462" s="20">
        <v>42660</v>
      </c>
      <c r="K3462" s="3">
        <v>0</v>
      </c>
      <c r="L3462" s="3" t="s">
        <v>3</v>
      </c>
      <c r="M3462" s="9" t="s">
        <v>0</v>
      </c>
      <c r="N3462" s="9">
        <v>70032410</v>
      </c>
      <c r="O3462" s="9" t="s">
        <v>706</v>
      </c>
      <c r="S3462" s="9" t="s">
        <v>158</v>
      </c>
      <c r="T3462" s="10" t="s">
        <v>77</v>
      </c>
      <c r="U3462" s="10">
        <v>3</v>
      </c>
      <c r="V3462" s="10">
        <v>95.31</v>
      </c>
      <c r="W3462" s="10" t="s">
        <v>710</v>
      </c>
      <c r="X3462" s="17">
        <v>45777</v>
      </c>
      <c r="Y3462" s="17">
        <v>45832</v>
      </c>
      <c r="Z3462" s="19" t="s">
        <v>772</v>
      </c>
      <c r="AA3462" s="209">
        <v>28000</v>
      </c>
      <c r="AB3462" s="9">
        <v>48</v>
      </c>
      <c r="AC3462" s="9">
        <v>19</v>
      </c>
      <c r="AD3462" s="17">
        <v>46443</v>
      </c>
      <c r="AE3462" s="54">
        <v>520.83000000000004</v>
      </c>
      <c r="AF3462" s="54"/>
      <c r="AL3462" s="22"/>
      <c r="AM3462" s="22"/>
      <c r="AN3462" s="22"/>
      <c r="AO3462" s="22"/>
      <c r="AP3462" s="22"/>
      <c r="AQ3462" s="22"/>
      <c r="AR3462" s="22"/>
      <c r="AS3462" s="22"/>
      <c r="AT3462" s="22"/>
      <c r="AU3462" s="22"/>
      <c r="AV3462" s="22"/>
      <c r="AW3462" s="9"/>
      <c r="BA3462" s="22"/>
      <c r="BB3462" s="22"/>
      <c r="BD3462" s="9"/>
      <c r="CS3462" s="11">
        <f t="shared" si="239"/>
        <v>0</v>
      </c>
      <c r="CT3462" s="22">
        <f t="shared" si="240"/>
        <v>0</v>
      </c>
      <c r="CU3462" s="22">
        <f t="shared" si="241"/>
        <v>0</v>
      </c>
      <c r="CV3462" s="26">
        <f t="shared" si="242"/>
        <v>520.83000000000004</v>
      </c>
    </row>
    <row r="3463" spans="1:100" x14ac:dyDescent="0.2">
      <c r="A3463" s="9" t="s">
        <v>705</v>
      </c>
      <c r="B3463" s="2">
        <v>94</v>
      </c>
      <c r="C3463" s="3" t="s">
        <v>95</v>
      </c>
      <c r="D3463" s="3" t="s">
        <v>96</v>
      </c>
      <c r="E3463" s="2"/>
      <c r="F3463" s="2"/>
      <c r="G3463" s="2" t="s">
        <v>77</v>
      </c>
      <c r="H3463" s="2">
        <v>3</v>
      </c>
      <c r="I3463" s="20">
        <v>95.31</v>
      </c>
      <c r="J3463" s="20">
        <v>42660</v>
      </c>
      <c r="K3463" s="3">
        <v>0</v>
      </c>
      <c r="L3463" s="3" t="s">
        <v>3</v>
      </c>
      <c r="M3463" s="9" t="s">
        <v>0</v>
      </c>
      <c r="N3463" s="9">
        <v>70032410</v>
      </c>
      <c r="O3463" s="9" t="s">
        <v>706</v>
      </c>
      <c r="S3463" s="9" t="s">
        <v>158</v>
      </c>
      <c r="T3463" s="10" t="s">
        <v>77</v>
      </c>
      <c r="U3463" s="10">
        <v>3</v>
      </c>
      <c r="V3463" s="10">
        <v>95.31</v>
      </c>
      <c r="W3463" s="10" t="s">
        <v>710</v>
      </c>
      <c r="X3463" s="17">
        <v>45777</v>
      </c>
      <c r="Y3463" s="17">
        <v>45832</v>
      </c>
      <c r="Z3463" s="19" t="s">
        <v>772</v>
      </c>
      <c r="AA3463" s="209">
        <v>28000</v>
      </c>
      <c r="AB3463" s="9">
        <v>48</v>
      </c>
      <c r="AC3463" s="9">
        <v>20</v>
      </c>
      <c r="AD3463" s="17">
        <v>46471</v>
      </c>
      <c r="AE3463" s="54">
        <v>520.83000000000004</v>
      </c>
      <c r="AF3463" s="54"/>
      <c r="AL3463" s="22"/>
      <c r="AM3463" s="22"/>
      <c r="AN3463" s="22"/>
      <c r="AO3463" s="22"/>
      <c r="AP3463" s="22"/>
      <c r="AQ3463" s="22"/>
      <c r="AR3463" s="22"/>
      <c r="AS3463" s="22"/>
      <c r="AT3463" s="22"/>
      <c r="AU3463" s="22"/>
      <c r="AV3463" s="22"/>
      <c r="AW3463" s="9"/>
      <c r="BA3463" s="22"/>
      <c r="BB3463" s="22"/>
      <c r="BD3463" s="9"/>
      <c r="CS3463" s="11">
        <f t="shared" si="239"/>
        <v>0</v>
      </c>
      <c r="CT3463" s="22">
        <f t="shared" si="240"/>
        <v>0</v>
      </c>
      <c r="CU3463" s="22">
        <f t="shared" si="241"/>
        <v>0</v>
      </c>
      <c r="CV3463" s="26">
        <f t="shared" si="242"/>
        <v>520.83000000000004</v>
      </c>
    </row>
    <row r="3464" spans="1:100" x14ac:dyDescent="0.2">
      <c r="A3464" s="9" t="s">
        <v>705</v>
      </c>
      <c r="B3464" s="2">
        <v>94</v>
      </c>
      <c r="C3464" s="3" t="s">
        <v>95</v>
      </c>
      <c r="D3464" s="3" t="s">
        <v>96</v>
      </c>
      <c r="E3464" s="2"/>
      <c r="F3464" s="2"/>
      <c r="G3464" s="2" t="s">
        <v>77</v>
      </c>
      <c r="H3464" s="2">
        <v>3</v>
      </c>
      <c r="I3464" s="20">
        <v>95.31</v>
      </c>
      <c r="J3464" s="20">
        <v>42660</v>
      </c>
      <c r="K3464" s="3">
        <v>0</v>
      </c>
      <c r="L3464" s="3" t="s">
        <v>3</v>
      </c>
      <c r="M3464" s="9" t="s">
        <v>0</v>
      </c>
      <c r="N3464" s="9">
        <v>70032410</v>
      </c>
      <c r="O3464" s="9" t="s">
        <v>706</v>
      </c>
      <c r="S3464" s="9" t="s">
        <v>158</v>
      </c>
      <c r="T3464" s="10" t="s">
        <v>77</v>
      </c>
      <c r="U3464" s="10">
        <v>3</v>
      </c>
      <c r="V3464" s="10">
        <v>95.31</v>
      </c>
      <c r="W3464" s="10" t="s">
        <v>710</v>
      </c>
      <c r="X3464" s="17">
        <v>45777</v>
      </c>
      <c r="Y3464" s="17">
        <v>45832</v>
      </c>
      <c r="Z3464" s="19" t="s">
        <v>772</v>
      </c>
      <c r="AA3464" s="209">
        <v>28000</v>
      </c>
      <c r="AB3464" s="9">
        <v>48</v>
      </c>
      <c r="AC3464" s="9">
        <v>21</v>
      </c>
      <c r="AD3464" s="17">
        <v>46502</v>
      </c>
      <c r="AE3464" s="54">
        <v>520.83000000000004</v>
      </c>
      <c r="AF3464" s="54"/>
      <c r="AL3464" s="22"/>
      <c r="AM3464" s="22"/>
      <c r="AN3464" s="22"/>
      <c r="AO3464" s="22"/>
      <c r="AP3464" s="22"/>
      <c r="AQ3464" s="22"/>
      <c r="AR3464" s="22"/>
      <c r="AS3464" s="22"/>
      <c r="AT3464" s="22"/>
      <c r="AU3464" s="22"/>
      <c r="AV3464" s="22"/>
      <c r="AW3464" s="9"/>
      <c r="BA3464" s="22"/>
      <c r="BB3464" s="22"/>
      <c r="BD3464" s="9"/>
      <c r="CS3464" s="11">
        <f t="shared" si="239"/>
        <v>0</v>
      </c>
      <c r="CT3464" s="22">
        <f t="shared" si="240"/>
        <v>0</v>
      </c>
      <c r="CU3464" s="22">
        <f t="shared" si="241"/>
        <v>0</v>
      </c>
      <c r="CV3464" s="26">
        <f t="shared" si="242"/>
        <v>520.83000000000004</v>
      </c>
    </row>
    <row r="3465" spans="1:100" x14ac:dyDescent="0.2">
      <c r="A3465" s="9" t="s">
        <v>705</v>
      </c>
      <c r="B3465" s="2">
        <v>94</v>
      </c>
      <c r="C3465" s="3" t="s">
        <v>95</v>
      </c>
      <c r="D3465" s="3" t="s">
        <v>96</v>
      </c>
      <c r="E3465" s="2"/>
      <c r="F3465" s="2"/>
      <c r="G3465" s="2" t="s">
        <v>77</v>
      </c>
      <c r="H3465" s="2">
        <v>3</v>
      </c>
      <c r="I3465" s="20">
        <v>95.31</v>
      </c>
      <c r="J3465" s="20">
        <v>42660</v>
      </c>
      <c r="K3465" s="3">
        <v>0</v>
      </c>
      <c r="L3465" s="3" t="s">
        <v>3</v>
      </c>
      <c r="M3465" s="9" t="s">
        <v>0</v>
      </c>
      <c r="N3465" s="9">
        <v>70032410</v>
      </c>
      <c r="O3465" s="9" t="s">
        <v>706</v>
      </c>
      <c r="S3465" s="9" t="s">
        <v>158</v>
      </c>
      <c r="T3465" s="10" t="s">
        <v>77</v>
      </c>
      <c r="U3465" s="10">
        <v>3</v>
      </c>
      <c r="V3465" s="10">
        <v>95.31</v>
      </c>
      <c r="W3465" s="10" t="s">
        <v>710</v>
      </c>
      <c r="X3465" s="17">
        <v>45777</v>
      </c>
      <c r="Y3465" s="17">
        <v>45832</v>
      </c>
      <c r="Z3465" s="19" t="s">
        <v>772</v>
      </c>
      <c r="AA3465" s="209">
        <v>28000</v>
      </c>
      <c r="AB3465" s="9">
        <v>48</v>
      </c>
      <c r="AC3465" s="9">
        <v>22</v>
      </c>
      <c r="AD3465" s="17">
        <v>46532</v>
      </c>
      <c r="AE3465" s="54">
        <v>520.83000000000004</v>
      </c>
      <c r="AF3465" s="54"/>
      <c r="AL3465" s="22"/>
      <c r="AM3465" s="22"/>
      <c r="AN3465" s="22"/>
      <c r="AO3465" s="22"/>
      <c r="AP3465" s="22"/>
      <c r="AQ3465" s="22"/>
      <c r="AR3465" s="22"/>
      <c r="AS3465" s="22"/>
      <c r="AT3465" s="22"/>
      <c r="AU3465" s="22"/>
      <c r="AV3465" s="22"/>
      <c r="AW3465" s="9"/>
      <c r="BA3465" s="22"/>
      <c r="BB3465" s="22"/>
      <c r="BD3465" s="9"/>
      <c r="CS3465" s="11">
        <f t="shared" si="239"/>
        <v>0</v>
      </c>
      <c r="CT3465" s="22">
        <f t="shared" si="240"/>
        <v>0</v>
      </c>
      <c r="CU3465" s="22">
        <f t="shared" si="241"/>
        <v>0</v>
      </c>
      <c r="CV3465" s="26">
        <f t="shared" si="242"/>
        <v>520.83000000000004</v>
      </c>
    </row>
    <row r="3466" spans="1:100" x14ac:dyDescent="0.2">
      <c r="A3466" s="9" t="s">
        <v>705</v>
      </c>
      <c r="B3466" s="2">
        <v>94</v>
      </c>
      <c r="C3466" s="3" t="s">
        <v>95</v>
      </c>
      <c r="D3466" s="3" t="s">
        <v>96</v>
      </c>
      <c r="E3466" s="2"/>
      <c r="F3466" s="2"/>
      <c r="G3466" s="2" t="s">
        <v>77</v>
      </c>
      <c r="H3466" s="2">
        <v>3</v>
      </c>
      <c r="I3466" s="20">
        <v>95.31</v>
      </c>
      <c r="J3466" s="20">
        <v>42660</v>
      </c>
      <c r="K3466" s="3">
        <v>0</v>
      </c>
      <c r="L3466" s="3" t="s">
        <v>3</v>
      </c>
      <c r="M3466" s="9" t="s">
        <v>0</v>
      </c>
      <c r="N3466" s="9">
        <v>70032410</v>
      </c>
      <c r="O3466" s="9" t="s">
        <v>706</v>
      </c>
      <c r="S3466" s="9" t="s">
        <v>158</v>
      </c>
      <c r="T3466" s="10" t="s">
        <v>77</v>
      </c>
      <c r="U3466" s="10">
        <v>3</v>
      </c>
      <c r="V3466" s="10">
        <v>95.31</v>
      </c>
      <c r="W3466" s="10" t="s">
        <v>710</v>
      </c>
      <c r="X3466" s="17">
        <v>45777</v>
      </c>
      <c r="Y3466" s="17">
        <v>45832</v>
      </c>
      <c r="Z3466" s="19" t="s">
        <v>772</v>
      </c>
      <c r="AA3466" s="209">
        <v>28000</v>
      </c>
      <c r="AB3466" s="9">
        <v>48</v>
      </c>
      <c r="AC3466" s="9">
        <v>23</v>
      </c>
      <c r="AD3466" s="17">
        <v>46563</v>
      </c>
      <c r="AE3466" s="54">
        <v>520.83000000000004</v>
      </c>
      <c r="AF3466" s="54"/>
      <c r="AL3466" s="22"/>
      <c r="AM3466" s="22"/>
      <c r="AN3466" s="22"/>
      <c r="AO3466" s="22"/>
      <c r="AP3466" s="22"/>
      <c r="AQ3466" s="22"/>
      <c r="AR3466" s="22"/>
      <c r="AS3466" s="22"/>
      <c r="AT3466" s="22"/>
      <c r="AU3466" s="22"/>
      <c r="AV3466" s="22"/>
      <c r="AW3466" s="9"/>
      <c r="BA3466" s="22"/>
      <c r="BB3466" s="22"/>
      <c r="BD3466" s="9"/>
      <c r="CS3466" s="11">
        <f t="shared" si="239"/>
        <v>0</v>
      </c>
      <c r="CT3466" s="22">
        <f t="shared" si="240"/>
        <v>0</v>
      </c>
      <c r="CU3466" s="22">
        <f t="shared" si="241"/>
        <v>0</v>
      </c>
      <c r="CV3466" s="26">
        <f t="shared" si="242"/>
        <v>520.83000000000004</v>
      </c>
    </row>
    <row r="3467" spans="1:100" x14ac:dyDescent="0.2">
      <c r="A3467" s="9" t="s">
        <v>705</v>
      </c>
      <c r="B3467" s="2">
        <v>94</v>
      </c>
      <c r="C3467" s="3" t="s">
        <v>95</v>
      </c>
      <c r="D3467" s="3" t="s">
        <v>96</v>
      </c>
      <c r="E3467" s="2"/>
      <c r="F3467" s="2"/>
      <c r="G3467" s="2" t="s">
        <v>77</v>
      </c>
      <c r="H3467" s="2">
        <v>3</v>
      </c>
      <c r="I3467" s="20">
        <v>95.31</v>
      </c>
      <c r="J3467" s="20">
        <v>42660</v>
      </c>
      <c r="K3467" s="3">
        <v>0</v>
      </c>
      <c r="L3467" s="3" t="s">
        <v>3</v>
      </c>
      <c r="M3467" s="9" t="s">
        <v>0</v>
      </c>
      <c r="N3467" s="9">
        <v>70032410</v>
      </c>
      <c r="O3467" s="9" t="s">
        <v>706</v>
      </c>
      <c r="S3467" s="9" t="s">
        <v>158</v>
      </c>
      <c r="T3467" s="10" t="s">
        <v>77</v>
      </c>
      <c r="U3467" s="10">
        <v>3</v>
      </c>
      <c r="V3467" s="10">
        <v>95.31</v>
      </c>
      <c r="W3467" s="10" t="s">
        <v>710</v>
      </c>
      <c r="X3467" s="17">
        <v>45777</v>
      </c>
      <c r="Y3467" s="17">
        <v>45832</v>
      </c>
      <c r="Z3467" s="19" t="s">
        <v>772</v>
      </c>
      <c r="AA3467" s="209">
        <v>28000</v>
      </c>
      <c r="AB3467" s="9">
        <v>48</v>
      </c>
      <c r="AC3467" s="9">
        <v>24</v>
      </c>
      <c r="AD3467" s="17">
        <v>46593</v>
      </c>
      <c r="AE3467" s="54">
        <v>520.83000000000004</v>
      </c>
      <c r="AF3467" s="54"/>
      <c r="AL3467" s="22"/>
      <c r="AM3467" s="22"/>
      <c r="AN3467" s="22"/>
      <c r="AO3467" s="22"/>
      <c r="AP3467" s="22"/>
      <c r="AQ3467" s="22"/>
      <c r="AR3467" s="22"/>
      <c r="AS3467" s="22"/>
      <c r="AT3467" s="22"/>
      <c r="AU3467" s="22"/>
      <c r="AV3467" s="22"/>
      <c r="AW3467" s="9"/>
      <c r="BA3467" s="22"/>
      <c r="BB3467" s="22"/>
      <c r="BD3467" s="9"/>
      <c r="CS3467" s="11">
        <f t="shared" si="239"/>
        <v>0</v>
      </c>
      <c r="CT3467" s="22">
        <f t="shared" si="240"/>
        <v>0</v>
      </c>
      <c r="CU3467" s="22">
        <f t="shared" si="241"/>
        <v>0</v>
      </c>
      <c r="CV3467" s="26">
        <f t="shared" si="242"/>
        <v>520.83000000000004</v>
      </c>
    </row>
    <row r="3468" spans="1:100" x14ac:dyDescent="0.2">
      <c r="A3468" s="9" t="s">
        <v>705</v>
      </c>
      <c r="B3468" s="2">
        <v>94</v>
      </c>
      <c r="C3468" s="3" t="s">
        <v>95</v>
      </c>
      <c r="D3468" s="3" t="s">
        <v>96</v>
      </c>
      <c r="E3468" s="2"/>
      <c r="F3468" s="2"/>
      <c r="G3468" s="2" t="s">
        <v>77</v>
      </c>
      <c r="H3468" s="2">
        <v>3</v>
      </c>
      <c r="I3468" s="20">
        <v>95.31</v>
      </c>
      <c r="J3468" s="20">
        <v>42660</v>
      </c>
      <c r="K3468" s="3">
        <v>0</v>
      </c>
      <c r="L3468" s="3" t="s">
        <v>3</v>
      </c>
      <c r="M3468" s="9" t="s">
        <v>0</v>
      </c>
      <c r="N3468" s="9">
        <v>70032410</v>
      </c>
      <c r="O3468" s="9" t="s">
        <v>706</v>
      </c>
      <c r="S3468" s="9" t="s">
        <v>158</v>
      </c>
      <c r="T3468" s="10" t="s">
        <v>77</v>
      </c>
      <c r="U3468" s="10">
        <v>3</v>
      </c>
      <c r="V3468" s="10">
        <v>95.31</v>
      </c>
      <c r="W3468" s="10" t="s">
        <v>710</v>
      </c>
      <c r="X3468" s="17">
        <v>45777</v>
      </c>
      <c r="Y3468" s="17">
        <v>45832</v>
      </c>
      <c r="Z3468" s="19" t="s">
        <v>772</v>
      </c>
      <c r="AA3468" s="209">
        <v>28000</v>
      </c>
      <c r="AB3468" s="9">
        <v>48</v>
      </c>
      <c r="AC3468" s="9">
        <v>25</v>
      </c>
      <c r="AD3468" s="17">
        <v>46624</v>
      </c>
      <c r="AE3468" s="54">
        <v>520.83000000000004</v>
      </c>
      <c r="AF3468" s="54"/>
      <c r="AL3468" s="22"/>
      <c r="AM3468" s="22"/>
      <c r="AN3468" s="22"/>
      <c r="AO3468" s="22"/>
      <c r="AP3468" s="22"/>
      <c r="AQ3468" s="22"/>
      <c r="AR3468" s="22"/>
      <c r="AS3468" s="22"/>
      <c r="AT3468" s="22"/>
      <c r="AU3468" s="22"/>
      <c r="AV3468" s="22"/>
      <c r="AW3468" s="9"/>
      <c r="BA3468" s="22"/>
      <c r="BB3468" s="22"/>
      <c r="BD3468" s="9"/>
      <c r="CS3468" s="11">
        <f t="shared" si="239"/>
        <v>0</v>
      </c>
      <c r="CT3468" s="22">
        <f t="shared" si="240"/>
        <v>0</v>
      </c>
      <c r="CU3468" s="22">
        <f t="shared" si="241"/>
        <v>0</v>
      </c>
      <c r="CV3468" s="26">
        <f t="shared" si="242"/>
        <v>520.83000000000004</v>
      </c>
    </row>
    <row r="3469" spans="1:100" x14ac:dyDescent="0.2">
      <c r="A3469" s="9" t="s">
        <v>705</v>
      </c>
      <c r="B3469" s="2">
        <v>94</v>
      </c>
      <c r="C3469" s="3" t="s">
        <v>95</v>
      </c>
      <c r="D3469" s="3" t="s">
        <v>96</v>
      </c>
      <c r="E3469" s="2"/>
      <c r="F3469" s="2"/>
      <c r="G3469" s="2" t="s">
        <v>77</v>
      </c>
      <c r="H3469" s="2">
        <v>3</v>
      </c>
      <c r="I3469" s="20">
        <v>95.31</v>
      </c>
      <c r="J3469" s="20">
        <v>42660</v>
      </c>
      <c r="K3469" s="3">
        <v>0</v>
      </c>
      <c r="L3469" s="3" t="s">
        <v>3</v>
      </c>
      <c r="M3469" s="9" t="s">
        <v>0</v>
      </c>
      <c r="N3469" s="9">
        <v>70032410</v>
      </c>
      <c r="O3469" s="9" t="s">
        <v>706</v>
      </c>
      <c r="S3469" s="9" t="s">
        <v>158</v>
      </c>
      <c r="T3469" s="10" t="s">
        <v>77</v>
      </c>
      <c r="U3469" s="10">
        <v>3</v>
      </c>
      <c r="V3469" s="10">
        <v>95.31</v>
      </c>
      <c r="W3469" s="10" t="s">
        <v>710</v>
      </c>
      <c r="X3469" s="17">
        <v>45777</v>
      </c>
      <c r="Y3469" s="17">
        <v>45832</v>
      </c>
      <c r="Z3469" s="19" t="s">
        <v>772</v>
      </c>
      <c r="AA3469" s="209">
        <v>28000</v>
      </c>
      <c r="AB3469" s="9">
        <v>48</v>
      </c>
      <c r="AC3469" s="9">
        <v>26</v>
      </c>
      <c r="AD3469" s="17">
        <v>46655</v>
      </c>
      <c r="AE3469" s="54">
        <v>520.83000000000004</v>
      </c>
      <c r="AF3469" s="54"/>
      <c r="AL3469" s="22"/>
      <c r="AM3469" s="22"/>
      <c r="AN3469" s="22"/>
      <c r="AO3469" s="22"/>
      <c r="AP3469" s="22"/>
      <c r="AQ3469" s="22"/>
      <c r="AR3469" s="22"/>
      <c r="AS3469" s="22"/>
      <c r="AT3469" s="22"/>
      <c r="AU3469" s="22"/>
      <c r="AV3469" s="22"/>
      <c r="AW3469" s="9"/>
      <c r="BA3469" s="22"/>
      <c r="BB3469" s="22"/>
      <c r="BD3469" s="9"/>
      <c r="CS3469" s="11">
        <f t="shared" si="239"/>
        <v>0</v>
      </c>
      <c r="CT3469" s="22">
        <f t="shared" si="240"/>
        <v>0</v>
      </c>
      <c r="CU3469" s="22">
        <f t="shared" si="241"/>
        <v>0</v>
      </c>
      <c r="CV3469" s="26">
        <f t="shared" si="242"/>
        <v>520.83000000000004</v>
      </c>
    </row>
    <row r="3470" spans="1:100" x14ac:dyDescent="0.2">
      <c r="A3470" s="9" t="s">
        <v>705</v>
      </c>
      <c r="B3470" s="2">
        <v>94</v>
      </c>
      <c r="C3470" s="3" t="s">
        <v>95</v>
      </c>
      <c r="D3470" s="3" t="s">
        <v>96</v>
      </c>
      <c r="E3470" s="2"/>
      <c r="F3470" s="2"/>
      <c r="G3470" s="2" t="s">
        <v>77</v>
      </c>
      <c r="H3470" s="2">
        <v>3</v>
      </c>
      <c r="I3470" s="20">
        <v>95.31</v>
      </c>
      <c r="J3470" s="20">
        <v>42660</v>
      </c>
      <c r="K3470" s="3">
        <v>0</v>
      </c>
      <c r="L3470" s="3" t="s">
        <v>3</v>
      </c>
      <c r="M3470" s="9" t="s">
        <v>0</v>
      </c>
      <c r="N3470" s="9">
        <v>70032410</v>
      </c>
      <c r="O3470" s="9" t="s">
        <v>706</v>
      </c>
      <c r="S3470" s="9" t="s">
        <v>158</v>
      </c>
      <c r="T3470" s="10" t="s">
        <v>77</v>
      </c>
      <c r="U3470" s="10">
        <v>3</v>
      </c>
      <c r="V3470" s="10">
        <v>95.31</v>
      </c>
      <c r="W3470" s="10" t="s">
        <v>710</v>
      </c>
      <c r="X3470" s="17">
        <v>45777</v>
      </c>
      <c r="Y3470" s="17">
        <v>45832</v>
      </c>
      <c r="Z3470" s="19" t="s">
        <v>772</v>
      </c>
      <c r="AA3470" s="209">
        <v>28000</v>
      </c>
      <c r="AB3470" s="9">
        <v>48</v>
      </c>
      <c r="AC3470" s="9">
        <v>27</v>
      </c>
      <c r="AD3470" s="17">
        <v>46685</v>
      </c>
      <c r="AE3470" s="54">
        <v>520.83000000000004</v>
      </c>
      <c r="AF3470" s="54"/>
      <c r="AL3470" s="22"/>
      <c r="AM3470" s="22"/>
      <c r="AN3470" s="22"/>
      <c r="AO3470" s="22"/>
      <c r="AP3470" s="22"/>
      <c r="AQ3470" s="22"/>
      <c r="AR3470" s="22"/>
      <c r="AS3470" s="22"/>
      <c r="AT3470" s="22"/>
      <c r="AU3470" s="22"/>
      <c r="AV3470" s="22"/>
      <c r="AW3470" s="9"/>
      <c r="BA3470" s="22"/>
      <c r="BB3470" s="22"/>
      <c r="BD3470" s="9"/>
      <c r="CS3470" s="11">
        <f t="shared" si="239"/>
        <v>0</v>
      </c>
      <c r="CT3470" s="22">
        <f t="shared" si="240"/>
        <v>0</v>
      </c>
      <c r="CU3470" s="22">
        <f t="shared" si="241"/>
        <v>0</v>
      </c>
      <c r="CV3470" s="26">
        <f t="shared" si="242"/>
        <v>520.83000000000004</v>
      </c>
    </row>
    <row r="3471" spans="1:100" x14ac:dyDescent="0.2">
      <c r="A3471" s="9" t="s">
        <v>705</v>
      </c>
      <c r="B3471" s="2">
        <v>94</v>
      </c>
      <c r="C3471" s="3" t="s">
        <v>95</v>
      </c>
      <c r="D3471" s="3" t="s">
        <v>96</v>
      </c>
      <c r="E3471" s="2"/>
      <c r="F3471" s="2"/>
      <c r="G3471" s="2" t="s">
        <v>77</v>
      </c>
      <c r="H3471" s="2">
        <v>3</v>
      </c>
      <c r="I3471" s="20">
        <v>95.31</v>
      </c>
      <c r="J3471" s="20">
        <v>42660</v>
      </c>
      <c r="K3471" s="3">
        <v>0</v>
      </c>
      <c r="L3471" s="3" t="s">
        <v>3</v>
      </c>
      <c r="M3471" s="9" t="s">
        <v>0</v>
      </c>
      <c r="N3471" s="9">
        <v>70032410</v>
      </c>
      <c r="O3471" s="9" t="s">
        <v>706</v>
      </c>
      <c r="S3471" s="9" t="s">
        <v>158</v>
      </c>
      <c r="T3471" s="10" t="s">
        <v>77</v>
      </c>
      <c r="U3471" s="10">
        <v>3</v>
      </c>
      <c r="V3471" s="10">
        <v>95.31</v>
      </c>
      <c r="W3471" s="10" t="s">
        <v>710</v>
      </c>
      <c r="X3471" s="17">
        <v>45777</v>
      </c>
      <c r="Y3471" s="17">
        <v>45832</v>
      </c>
      <c r="Z3471" s="19" t="s">
        <v>772</v>
      </c>
      <c r="AA3471" s="209">
        <v>28000</v>
      </c>
      <c r="AB3471" s="9">
        <v>48</v>
      </c>
      <c r="AC3471" s="9">
        <v>28</v>
      </c>
      <c r="AD3471" s="17">
        <v>46716</v>
      </c>
      <c r="AE3471" s="54">
        <v>520.83000000000004</v>
      </c>
      <c r="AF3471" s="54"/>
      <c r="AL3471" s="22"/>
      <c r="AM3471" s="22"/>
      <c r="AN3471" s="22"/>
      <c r="AO3471" s="22"/>
      <c r="AP3471" s="22"/>
      <c r="AQ3471" s="22"/>
      <c r="AR3471" s="22"/>
      <c r="AS3471" s="22"/>
      <c r="AT3471" s="22"/>
      <c r="AU3471" s="22"/>
      <c r="AV3471" s="22"/>
      <c r="AW3471" s="9"/>
      <c r="BA3471" s="22"/>
      <c r="BB3471" s="22"/>
      <c r="BD3471" s="9"/>
      <c r="CS3471" s="11">
        <f t="shared" si="239"/>
        <v>0</v>
      </c>
      <c r="CT3471" s="22">
        <f t="shared" si="240"/>
        <v>0</v>
      </c>
      <c r="CU3471" s="22">
        <f t="shared" si="241"/>
        <v>0</v>
      </c>
      <c r="CV3471" s="26">
        <f t="shared" si="242"/>
        <v>520.83000000000004</v>
      </c>
    </row>
    <row r="3472" spans="1:100" x14ac:dyDescent="0.2">
      <c r="A3472" s="9" t="s">
        <v>705</v>
      </c>
      <c r="B3472" s="2">
        <v>94</v>
      </c>
      <c r="C3472" s="3" t="s">
        <v>95</v>
      </c>
      <c r="D3472" s="3" t="s">
        <v>96</v>
      </c>
      <c r="E3472" s="2"/>
      <c r="F3472" s="2"/>
      <c r="G3472" s="2" t="s">
        <v>77</v>
      </c>
      <c r="H3472" s="2">
        <v>3</v>
      </c>
      <c r="I3472" s="20">
        <v>95.31</v>
      </c>
      <c r="J3472" s="20">
        <v>42660</v>
      </c>
      <c r="K3472" s="3">
        <v>0</v>
      </c>
      <c r="L3472" s="3" t="s">
        <v>3</v>
      </c>
      <c r="M3472" s="9" t="s">
        <v>0</v>
      </c>
      <c r="N3472" s="9">
        <v>70032410</v>
      </c>
      <c r="O3472" s="9" t="s">
        <v>706</v>
      </c>
      <c r="S3472" s="9" t="s">
        <v>158</v>
      </c>
      <c r="T3472" s="10" t="s">
        <v>77</v>
      </c>
      <c r="U3472" s="10">
        <v>3</v>
      </c>
      <c r="V3472" s="10">
        <v>95.31</v>
      </c>
      <c r="W3472" s="10" t="s">
        <v>710</v>
      </c>
      <c r="X3472" s="17">
        <v>45777</v>
      </c>
      <c r="Y3472" s="17">
        <v>45832</v>
      </c>
      <c r="Z3472" s="19" t="s">
        <v>772</v>
      </c>
      <c r="AA3472" s="209">
        <v>28000</v>
      </c>
      <c r="AB3472" s="9">
        <v>48</v>
      </c>
      <c r="AC3472" s="9">
        <v>29</v>
      </c>
      <c r="AD3472" s="17">
        <v>46746</v>
      </c>
      <c r="AE3472" s="54">
        <v>520.83000000000004</v>
      </c>
      <c r="AF3472" s="54"/>
      <c r="AL3472" s="22"/>
      <c r="AM3472" s="22"/>
      <c r="AN3472" s="22"/>
      <c r="AO3472" s="22"/>
      <c r="AP3472" s="22"/>
      <c r="AQ3472" s="22"/>
      <c r="AR3472" s="22"/>
      <c r="AS3472" s="22"/>
      <c r="AT3472" s="22"/>
      <c r="AU3472" s="22"/>
      <c r="AV3472" s="22"/>
      <c r="AW3472" s="9"/>
      <c r="BA3472" s="22"/>
      <c r="BB3472" s="22"/>
      <c r="BD3472" s="9"/>
      <c r="CS3472" s="11">
        <f t="shared" si="239"/>
        <v>0</v>
      </c>
      <c r="CT3472" s="22">
        <f t="shared" si="240"/>
        <v>0</v>
      </c>
      <c r="CU3472" s="22">
        <f t="shared" si="241"/>
        <v>0</v>
      </c>
      <c r="CV3472" s="26">
        <f t="shared" si="242"/>
        <v>520.83000000000004</v>
      </c>
    </row>
    <row r="3473" spans="1:100" x14ac:dyDescent="0.2">
      <c r="A3473" s="9" t="s">
        <v>705</v>
      </c>
      <c r="B3473" s="2">
        <v>94</v>
      </c>
      <c r="C3473" s="3" t="s">
        <v>95</v>
      </c>
      <c r="D3473" s="3" t="s">
        <v>96</v>
      </c>
      <c r="E3473" s="2"/>
      <c r="F3473" s="2"/>
      <c r="G3473" s="2" t="s">
        <v>77</v>
      </c>
      <c r="H3473" s="2">
        <v>3</v>
      </c>
      <c r="I3473" s="20">
        <v>95.31</v>
      </c>
      <c r="J3473" s="20">
        <v>42660</v>
      </c>
      <c r="K3473" s="3">
        <v>0</v>
      </c>
      <c r="L3473" s="3" t="s">
        <v>3</v>
      </c>
      <c r="M3473" s="9" t="s">
        <v>0</v>
      </c>
      <c r="N3473" s="9">
        <v>70032410</v>
      </c>
      <c r="O3473" s="9" t="s">
        <v>706</v>
      </c>
      <c r="S3473" s="9" t="s">
        <v>158</v>
      </c>
      <c r="T3473" s="10" t="s">
        <v>77</v>
      </c>
      <c r="U3473" s="10">
        <v>3</v>
      </c>
      <c r="V3473" s="10">
        <v>95.31</v>
      </c>
      <c r="W3473" s="10" t="s">
        <v>710</v>
      </c>
      <c r="X3473" s="17">
        <v>45777</v>
      </c>
      <c r="Y3473" s="17">
        <v>45832</v>
      </c>
      <c r="Z3473" s="19" t="s">
        <v>772</v>
      </c>
      <c r="AA3473" s="209">
        <v>28000</v>
      </c>
      <c r="AB3473" s="9">
        <v>48</v>
      </c>
      <c r="AC3473" s="9">
        <v>30</v>
      </c>
      <c r="AD3473" s="17">
        <v>46777</v>
      </c>
      <c r="AE3473" s="54">
        <v>520.83000000000004</v>
      </c>
      <c r="AF3473" s="54"/>
      <c r="AL3473" s="22"/>
      <c r="AM3473" s="22"/>
      <c r="AN3473" s="22"/>
      <c r="AO3473" s="22"/>
      <c r="AP3473" s="22"/>
      <c r="AQ3473" s="22"/>
      <c r="AR3473" s="22"/>
      <c r="AS3473" s="22"/>
      <c r="AT3473" s="22"/>
      <c r="AU3473" s="22"/>
      <c r="AV3473" s="22"/>
      <c r="AW3473" s="9"/>
      <c r="BA3473" s="22"/>
      <c r="BB3473" s="22"/>
      <c r="BD3473" s="9"/>
      <c r="CS3473" s="11">
        <f t="shared" si="239"/>
        <v>0</v>
      </c>
      <c r="CT3473" s="22">
        <f t="shared" si="240"/>
        <v>0</v>
      </c>
      <c r="CU3473" s="22">
        <f t="shared" si="241"/>
        <v>0</v>
      </c>
      <c r="CV3473" s="26">
        <f t="shared" si="242"/>
        <v>520.83000000000004</v>
      </c>
    </row>
    <row r="3474" spans="1:100" x14ac:dyDescent="0.2">
      <c r="A3474" s="9" t="s">
        <v>705</v>
      </c>
      <c r="B3474" s="2">
        <v>94</v>
      </c>
      <c r="C3474" s="3" t="s">
        <v>95</v>
      </c>
      <c r="D3474" s="3" t="s">
        <v>96</v>
      </c>
      <c r="E3474" s="2"/>
      <c r="F3474" s="2"/>
      <c r="G3474" s="2" t="s">
        <v>77</v>
      </c>
      <c r="H3474" s="2">
        <v>3</v>
      </c>
      <c r="I3474" s="20">
        <v>95.31</v>
      </c>
      <c r="J3474" s="20">
        <v>42660</v>
      </c>
      <c r="K3474" s="3">
        <v>0</v>
      </c>
      <c r="L3474" s="3" t="s">
        <v>3</v>
      </c>
      <c r="M3474" s="9" t="s">
        <v>0</v>
      </c>
      <c r="N3474" s="9">
        <v>70032410</v>
      </c>
      <c r="O3474" s="9" t="s">
        <v>706</v>
      </c>
      <c r="S3474" s="9" t="s">
        <v>158</v>
      </c>
      <c r="T3474" s="10" t="s">
        <v>77</v>
      </c>
      <c r="U3474" s="10">
        <v>3</v>
      </c>
      <c r="V3474" s="10">
        <v>95.31</v>
      </c>
      <c r="W3474" s="10" t="s">
        <v>710</v>
      </c>
      <c r="X3474" s="17">
        <v>45777</v>
      </c>
      <c r="Y3474" s="17">
        <v>45832</v>
      </c>
      <c r="Z3474" s="19" t="s">
        <v>772</v>
      </c>
      <c r="AA3474" s="209">
        <v>28000</v>
      </c>
      <c r="AB3474" s="9">
        <v>48</v>
      </c>
      <c r="AC3474" s="9">
        <v>31</v>
      </c>
      <c r="AD3474" s="17">
        <v>46808</v>
      </c>
      <c r="AE3474" s="54">
        <v>520.83000000000004</v>
      </c>
      <c r="AF3474" s="54"/>
      <c r="AL3474" s="22"/>
      <c r="AM3474" s="22"/>
      <c r="AN3474" s="22"/>
      <c r="AO3474" s="22"/>
      <c r="AP3474" s="22"/>
      <c r="AQ3474" s="22"/>
      <c r="AR3474" s="22"/>
      <c r="AS3474" s="22"/>
      <c r="AT3474" s="22"/>
      <c r="AU3474" s="22"/>
      <c r="AV3474" s="22"/>
      <c r="AW3474" s="9"/>
      <c r="BA3474" s="22"/>
      <c r="BB3474" s="22"/>
      <c r="BD3474" s="9"/>
      <c r="CS3474" s="11">
        <f t="shared" si="239"/>
        <v>0</v>
      </c>
      <c r="CT3474" s="22">
        <f t="shared" si="240"/>
        <v>0</v>
      </c>
      <c r="CU3474" s="22">
        <f t="shared" si="241"/>
        <v>0</v>
      </c>
      <c r="CV3474" s="26">
        <f t="shared" si="242"/>
        <v>520.83000000000004</v>
      </c>
    </row>
    <row r="3475" spans="1:100" x14ac:dyDescent="0.2">
      <c r="A3475" s="9" t="s">
        <v>705</v>
      </c>
      <c r="B3475" s="2">
        <v>94</v>
      </c>
      <c r="C3475" s="3" t="s">
        <v>95</v>
      </c>
      <c r="D3475" s="3" t="s">
        <v>96</v>
      </c>
      <c r="E3475" s="2"/>
      <c r="F3475" s="2"/>
      <c r="G3475" s="2" t="s">
        <v>77</v>
      </c>
      <c r="H3475" s="2">
        <v>3</v>
      </c>
      <c r="I3475" s="20">
        <v>95.31</v>
      </c>
      <c r="J3475" s="20">
        <v>42660</v>
      </c>
      <c r="K3475" s="3">
        <v>0</v>
      </c>
      <c r="L3475" s="3" t="s">
        <v>3</v>
      </c>
      <c r="M3475" s="9" t="s">
        <v>0</v>
      </c>
      <c r="N3475" s="9">
        <v>70032410</v>
      </c>
      <c r="O3475" s="9" t="s">
        <v>706</v>
      </c>
      <c r="S3475" s="9" t="s">
        <v>158</v>
      </c>
      <c r="T3475" s="10" t="s">
        <v>77</v>
      </c>
      <c r="U3475" s="10">
        <v>3</v>
      </c>
      <c r="V3475" s="10">
        <v>95.31</v>
      </c>
      <c r="W3475" s="10" t="s">
        <v>710</v>
      </c>
      <c r="X3475" s="17">
        <v>45777</v>
      </c>
      <c r="Y3475" s="17">
        <v>45832</v>
      </c>
      <c r="Z3475" s="19" t="s">
        <v>772</v>
      </c>
      <c r="AA3475" s="209">
        <v>28000</v>
      </c>
      <c r="AB3475" s="9">
        <v>48</v>
      </c>
      <c r="AC3475" s="9">
        <v>32</v>
      </c>
      <c r="AD3475" s="17">
        <v>46837</v>
      </c>
      <c r="AE3475" s="54">
        <v>520.83000000000004</v>
      </c>
      <c r="AF3475" s="54"/>
      <c r="AL3475" s="22"/>
      <c r="AM3475" s="22"/>
      <c r="AN3475" s="22"/>
      <c r="AO3475" s="22"/>
      <c r="AP3475" s="22"/>
      <c r="AQ3475" s="22"/>
      <c r="AR3475" s="22"/>
      <c r="AS3475" s="22"/>
      <c r="AT3475" s="22"/>
      <c r="AU3475" s="22"/>
      <c r="AV3475" s="22"/>
      <c r="AW3475" s="9"/>
      <c r="BA3475" s="22"/>
      <c r="BB3475" s="22"/>
      <c r="BD3475" s="9"/>
      <c r="CS3475" s="11">
        <f t="shared" si="239"/>
        <v>0</v>
      </c>
      <c r="CT3475" s="22">
        <f t="shared" si="240"/>
        <v>0</v>
      </c>
      <c r="CU3475" s="22">
        <f t="shared" si="241"/>
        <v>0</v>
      </c>
      <c r="CV3475" s="26">
        <f t="shared" si="242"/>
        <v>520.83000000000004</v>
      </c>
    </row>
    <row r="3476" spans="1:100" x14ac:dyDescent="0.2">
      <c r="A3476" s="9" t="s">
        <v>705</v>
      </c>
      <c r="B3476" s="2">
        <v>94</v>
      </c>
      <c r="C3476" s="3" t="s">
        <v>95</v>
      </c>
      <c r="D3476" s="3" t="s">
        <v>96</v>
      </c>
      <c r="E3476" s="2"/>
      <c r="F3476" s="2"/>
      <c r="G3476" s="2" t="s">
        <v>77</v>
      </c>
      <c r="H3476" s="2">
        <v>3</v>
      </c>
      <c r="I3476" s="20">
        <v>95.31</v>
      </c>
      <c r="J3476" s="20">
        <v>42660</v>
      </c>
      <c r="K3476" s="3">
        <v>0</v>
      </c>
      <c r="L3476" s="3" t="s">
        <v>3</v>
      </c>
      <c r="M3476" s="9" t="s">
        <v>0</v>
      </c>
      <c r="N3476" s="9">
        <v>70032410</v>
      </c>
      <c r="O3476" s="9" t="s">
        <v>706</v>
      </c>
      <c r="S3476" s="9" t="s">
        <v>158</v>
      </c>
      <c r="T3476" s="10" t="s">
        <v>77</v>
      </c>
      <c r="U3476" s="10">
        <v>3</v>
      </c>
      <c r="V3476" s="10">
        <v>95.31</v>
      </c>
      <c r="W3476" s="10" t="s">
        <v>710</v>
      </c>
      <c r="X3476" s="17">
        <v>45777</v>
      </c>
      <c r="Y3476" s="17">
        <v>45832</v>
      </c>
      <c r="Z3476" s="19" t="s">
        <v>772</v>
      </c>
      <c r="AA3476" s="209">
        <v>28000</v>
      </c>
      <c r="AB3476" s="9">
        <v>48</v>
      </c>
      <c r="AC3476" s="9">
        <v>33</v>
      </c>
      <c r="AD3476" s="17">
        <v>46868</v>
      </c>
      <c r="AE3476" s="54">
        <v>520.83000000000004</v>
      </c>
      <c r="AF3476" s="54"/>
      <c r="AL3476" s="22"/>
      <c r="AM3476" s="22"/>
      <c r="AN3476" s="22"/>
      <c r="AO3476" s="22"/>
      <c r="AP3476" s="22"/>
      <c r="AQ3476" s="22"/>
      <c r="AR3476" s="22"/>
      <c r="AS3476" s="22"/>
      <c r="AT3476" s="22"/>
      <c r="AU3476" s="22"/>
      <c r="AV3476" s="22"/>
      <c r="AW3476" s="9"/>
      <c r="BA3476" s="22"/>
      <c r="BB3476" s="22"/>
      <c r="BD3476" s="9"/>
      <c r="CS3476" s="11">
        <f t="shared" si="239"/>
        <v>0</v>
      </c>
      <c r="CT3476" s="22">
        <f t="shared" si="240"/>
        <v>0</v>
      </c>
      <c r="CU3476" s="22">
        <f t="shared" si="241"/>
        <v>0</v>
      </c>
      <c r="CV3476" s="26">
        <f t="shared" si="242"/>
        <v>520.83000000000004</v>
      </c>
    </row>
    <row r="3477" spans="1:100" x14ac:dyDescent="0.2">
      <c r="A3477" s="9" t="s">
        <v>705</v>
      </c>
      <c r="B3477" s="2">
        <v>94</v>
      </c>
      <c r="C3477" s="3" t="s">
        <v>95</v>
      </c>
      <c r="D3477" s="3" t="s">
        <v>96</v>
      </c>
      <c r="E3477" s="2"/>
      <c r="F3477" s="2"/>
      <c r="G3477" s="2" t="s">
        <v>77</v>
      </c>
      <c r="H3477" s="2">
        <v>3</v>
      </c>
      <c r="I3477" s="20">
        <v>95.31</v>
      </c>
      <c r="J3477" s="20">
        <v>42660</v>
      </c>
      <c r="K3477" s="3">
        <v>0</v>
      </c>
      <c r="L3477" s="3" t="s">
        <v>3</v>
      </c>
      <c r="M3477" s="9" t="s">
        <v>0</v>
      </c>
      <c r="N3477" s="9">
        <v>70032410</v>
      </c>
      <c r="O3477" s="9" t="s">
        <v>706</v>
      </c>
      <c r="S3477" s="9" t="s">
        <v>158</v>
      </c>
      <c r="T3477" s="10" t="s">
        <v>77</v>
      </c>
      <c r="U3477" s="10">
        <v>3</v>
      </c>
      <c r="V3477" s="10">
        <v>95.31</v>
      </c>
      <c r="W3477" s="10" t="s">
        <v>710</v>
      </c>
      <c r="X3477" s="17">
        <v>45777</v>
      </c>
      <c r="Y3477" s="17">
        <v>45832</v>
      </c>
      <c r="Z3477" s="19" t="s">
        <v>772</v>
      </c>
      <c r="AA3477" s="209">
        <v>28000</v>
      </c>
      <c r="AB3477" s="9">
        <v>48</v>
      </c>
      <c r="AC3477" s="9">
        <v>34</v>
      </c>
      <c r="AD3477" s="17">
        <v>46898</v>
      </c>
      <c r="AE3477" s="54">
        <v>520.83000000000004</v>
      </c>
      <c r="AF3477" s="54"/>
      <c r="AL3477" s="22"/>
      <c r="AM3477" s="22"/>
      <c r="AN3477" s="22"/>
      <c r="AO3477" s="22"/>
      <c r="AP3477" s="22"/>
      <c r="AQ3477" s="22"/>
      <c r="AR3477" s="22"/>
      <c r="AS3477" s="22"/>
      <c r="AT3477" s="22"/>
      <c r="AU3477" s="22"/>
      <c r="AV3477" s="22"/>
      <c r="AW3477" s="9"/>
      <c r="BA3477" s="22"/>
      <c r="BB3477" s="22"/>
      <c r="BD3477" s="9"/>
      <c r="CS3477" s="11">
        <f t="shared" si="239"/>
        <v>0</v>
      </c>
      <c r="CT3477" s="22">
        <f t="shared" si="240"/>
        <v>0</v>
      </c>
      <c r="CU3477" s="22">
        <f t="shared" si="241"/>
        <v>0</v>
      </c>
      <c r="CV3477" s="26">
        <f t="shared" si="242"/>
        <v>520.83000000000004</v>
      </c>
    </row>
    <row r="3478" spans="1:100" x14ac:dyDescent="0.2">
      <c r="A3478" s="9" t="s">
        <v>705</v>
      </c>
      <c r="B3478" s="2">
        <v>94</v>
      </c>
      <c r="C3478" s="3" t="s">
        <v>95</v>
      </c>
      <c r="D3478" s="3" t="s">
        <v>96</v>
      </c>
      <c r="E3478" s="2"/>
      <c r="F3478" s="2"/>
      <c r="G3478" s="2" t="s">
        <v>77</v>
      </c>
      <c r="H3478" s="2">
        <v>3</v>
      </c>
      <c r="I3478" s="20">
        <v>95.31</v>
      </c>
      <c r="J3478" s="20">
        <v>42660</v>
      </c>
      <c r="K3478" s="3">
        <v>0</v>
      </c>
      <c r="L3478" s="3" t="s">
        <v>3</v>
      </c>
      <c r="M3478" s="9" t="s">
        <v>0</v>
      </c>
      <c r="N3478" s="9">
        <v>70032410</v>
      </c>
      <c r="O3478" s="9" t="s">
        <v>706</v>
      </c>
      <c r="S3478" s="9" t="s">
        <v>158</v>
      </c>
      <c r="T3478" s="10" t="s">
        <v>77</v>
      </c>
      <c r="U3478" s="10">
        <v>3</v>
      </c>
      <c r="V3478" s="10">
        <v>95.31</v>
      </c>
      <c r="W3478" s="10" t="s">
        <v>710</v>
      </c>
      <c r="X3478" s="17">
        <v>45777</v>
      </c>
      <c r="Y3478" s="17">
        <v>45832</v>
      </c>
      <c r="Z3478" s="19" t="s">
        <v>772</v>
      </c>
      <c r="AA3478" s="209">
        <v>28000</v>
      </c>
      <c r="AB3478" s="9">
        <v>48</v>
      </c>
      <c r="AC3478" s="9">
        <v>35</v>
      </c>
      <c r="AD3478" s="17">
        <v>46929</v>
      </c>
      <c r="AE3478" s="54">
        <v>520.83000000000004</v>
      </c>
      <c r="AF3478" s="54"/>
      <c r="AL3478" s="22"/>
      <c r="AM3478" s="22"/>
      <c r="AN3478" s="22"/>
      <c r="AO3478" s="22"/>
      <c r="AP3478" s="22"/>
      <c r="AQ3478" s="22"/>
      <c r="AR3478" s="22"/>
      <c r="AS3478" s="22"/>
      <c r="AT3478" s="22"/>
      <c r="AU3478" s="22"/>
      <c r="AV3478" s="22"/>
      <c r="AW3478" s="9"/>
      <c r="BA3478" s="22"/>
      <c r="BB3478" s="22"/>
      <c r="BD3478" s="9"/>
      <c r="CS3478" s="11">
        <f t="shared" si="239"/>
        <v>0</v>
      </c>
      <c r="CT3478" s="22">
        <f t="shared" si="240"/>
        <v>0</v>
      </c>
      <c r="CU3478" s="22">
        <f t="shared" si="241"/>
        <v>0</v>
      </c>
      <c r="CV3478" s="26">
        <f t="shared" si="242"/>
        <v>520.83000000000004</v>
      </c>
    </row>
    <row r="3479" spans="1:100" x14ac:dyDescent="0.2">
      <c r="A3479" s="9" t="s">
        <v>705</v>
      </c>
      <c r="B3479" s="2">
        <v>94</v>
      </c>
      <c r="C3479" s="3" t="s">
        <v>95</v>
      </c>
      <c r="D3479" s="3" t="s">
        <v>96</v>
      </c>
      <c r="E3479" s="2"/>
      <c r="F3479" s="2"/>
      <c r="G3479" s="2" t="s">
        <v>77</v>
      </c>
      <c r="H3479" s="2">
        <v>3</v>
      </c>
      <c r="I3479" s="20">
        <v>95.31</v>
      </c>
      <c r="J3479" s="20">
        <v>42660</v>
      </c>
      <c r="K3479" s="3">
        <v>0</v>
      </c>
      <c r="L3479" s="3" t="s">
        <v>3</v>
      </c>
      <c r="M3479" s="9" t="s">
        <v>0</v>
      </c>
      <c r="N3479" s="9">
        <v>70032410</v>
      </c>
      <c r="O3479" s="9" t="s">
        <v>706</v>
      </c>
      <c r="S3479" s="9" t="s">
        <v>158</v>
      </c>
      <c r="T3479" s="10" t="s">
        <v>77</v>
      </c>
      <c r="U3479" s="10">
        <v>3</v>
      </c>
      <c r="V3479" s="10">
        <v>95.31</v>
      </c>
      <c r="W3479" s="10" t="s">
        <v>710</v>
      </c>
      <c r="X3479" s="17">
        <v>45777</v>
      </c>
      <c r="Y3479" s="17">
        <v>45832</v>
      </c>
      <c r="Z3479" s="19" t="s">
        <v>772</v>
      </c>
      <c r="AA3479" s="209">
        <v>28000</v>
      </c>
      <c r="AB3479" s="9">
        <v>48</v>
      </c>
      <c r="AC3479" s="9">
        <v>36</v>
      </c>
      <c r="AD3479" s="17">
        <v>46959</v>
      </c>
      <c r="AE3479" s="54">
        <v>520.83000000000004</v>
      </c>
      <c r="AF3479" s="54"/>
      <c r="AL3479" s="22"/>
      <c r="AM3479" s="22"/>
      <c r="AN3479" s="22"/>
      <c r="AO3479" s="22"/>
      <c r="AP3479" s="22"/>
      <c r="AQ3479" s="22"/>
      <c r="AR3479" s="22"/>
      <c r="AS3479" s="22"/>
      <c r="AT3479" s="22"/>
      <c r="AU3479" s="22"/>
      <c r="AV3479" s="22"/>
      <c r="AW3479" s="9"/>
      <c r="BA3479" s="22"/>
      <c r="BB3479" s="22"/>
      <c r="BD3479" s="9"/>
      <c r="CS3479" s="11">
        <f t="shared" si="239"/>
        <v>0</v>
      </c>
      <c r="CT3479" s="22">
        <f t="shared" si="240"/>
        <v>0</v>
      </c>
      <c r="CU3479" s="22">
        <f t="shared" si="241"/>
        <v>0</v>
      </c>
      <c r="CV3479" s="26">
        <f t="shared" si="242"/>
        <v>520.83000000000004</v>
      </c>
    </row>
    <row r="3480" spans="1:100" x14ac:dyDescent="0.2">
      <c r="A3480" s="9" t="s">
        <v>705</v>
      </c>
      <c r="B3480" s="2">
        <v>94</v>
      </c>
      <c r="C3480" s="3" t="s">
        <v>95</v>
      </c>
      <c r="D3480" s="3" t="s">
        <v>96</v>
      </c>
      <c r="E3480" s="2"/>
      <c r="F3480" s="2"/>
      <c r="G3480" s="2" t="s">
        <v>77</v>
      </c>
      <c r="H3480" s="2">
        <v>3</v>
      </c>
      <c r="I3480" s="20">
        <v>95.31</v>
      </c>
      <c r="J3480" s="20">
        <v>42660</v>
      </c>
      <c r="K3480" s="3">
        <v>0</v>
      </c>
      <c r="L3480" s="3" t="s">
        <v>3</v>
      </c>
      <c r="M3480" s="9" t="s">
        <v>0</v>
      </c>
      <c r="N3480" s="9">
        <v>70032410</v>
      </c>
      <c r="O3480" s="9" t="s">
        <v>706</v>
      </c>
      <c r="S3480" s="9" t="s">
        <v>158</v>
      </c>
      <c r="T3480" s="10" t="s">
        <v>77</v>
      </c>
      <c r="U3480" s="10">
        <v>3</v>
      </c>
      <c r="V3480" s="10">
        <v>95.31</v>
      </c>
      <c r="W3480" s="10" t="s">
        <v>710</v>
      </c>
      <c r="X3480" s="17">
        <v>45777</v>
      </c>
      <c r="Y3480" s="17">
        <v>45832</v>
      </c>
      <c r="Z3480" s="19" t="s">
        <v>772</v>
      </c>
      <c r="AA3480" s="209">
        <v>28000</v>
      </c>
      <c r="AB3480" s="9">
        <v>48</v>
      </c>
      <c r="AC3480" s="9">
        <v>37</v>
      </c>
      <c r="AD3480" s="17">
        <v>46990</v>
      </c>
      <c r="AE3480" s="54">
        <v>520.83000000000004</v>
      </c>
      <c r="AF3480" s="54"/>
      <c r="AL3480" s="22"/>
      <c r="AM3480" s="22"/>
      <c r="AN3480" s="22"/>
      <c r="AO3480" s="22"/>
      <c r="AP3480" s="22"/>
      <c r="AQ3480" s="22"/>
      <c r="AR3480" s="22"/>
      <c r="AS3480" s="22"/>
      <c r="AT3480" s="22"/>
      <c r="AU3480" s="22"/>
      <c r="AV3480" s="22"/>
      <c r="AW3480" s="9"/>
      <c r="BA3480" s="22"/>
      <c r="BB3480" s="22"/>
      <c r="BD3480" s="9"/>
      <c r="CS3480" s="11">
        <f t="shared" si="239"/>
        <v>0</v>
      </c>
      <c r="CT3480" s="22">
        <f t="shared" si="240"/>
        <v>0</v>
      </c>
      <c r="CU3480" s="22">
        <f t="shared" si="241"/>
        <v>0</v>
      </c>
      <c r="CV3480" s="26">
        <f t="shared" si="242"/>
        <v>520.83000000000004</v>
      </c>
    </row>
    <row r="3481" spans="1:100" x14ac:dyDescent="0.2">
      <c r="A3481" s="9" t="s">
        <v>705</v>
      </c>
      <c r="B3481" s="2">
        <v>94</v>
      </c>
      <c r="C3481" s="3" t="s">
        <v>95</v>
      </c>
      <c r="D3481" s="3" t="s">
        <v>96</v>
      </c>
      <c r="E3481" s="2"/>
      <c r="F3481" s="2"/>
      <c r="G3481" s="2" t="s">
        <v>77</v>
      </c>
      <c r="H3481" s="2">
        <v>3</v>
      </c>
      <c r="I3481" s="20">
        <v>95.31</v>
      </c>
      <c r="J3481" s="20">
        <v>42660</v>
      </c>
      <c r="K3481" s="3">
        <v>0</v>
      </c>
      <c r="L3481" s="3" t="s">
        <v>3</v>
      </c>
      <c r="M3481" s="9" t="s">
        <v>0</v>
      </c>
      <c r="N3481" s="9">
        <v>70032410</v>
      </c>
      <c r="O3481" s="9" t="s">
        <v>706</v>
      </c>
      <c r="S3481" s="9" t="s">
        <v>158</v>
      </c>
      <c r="T3481" s="10" t="s">
        <v>77</v>
      </c>
      <c r="U3481" s="10">
        <v>3</v>
      </c>
      <c r="V3481" s="10">
        <v>95.31</v>
      </c>
      <c r="W3481" s="10" t="s">
        <v>710</v>
      </c>
      <c r="X3481" s="17">
        <v>45777</v>
      </c>
      <c r="Y3481" s="17">
        <v>45832</v>
      </c>
      <c r="Z3481" s="19" t="s">
        <v>772</v>
      </c>
      <c r="AA3481" s="209">
        <v>28000</v>
      </c>
      <c r="AB3481" s="9">
        <v>48</v>
      </c>
      <c r="AC3481" s="9">
        <v>38</v>
      </c>
      <c r="AD3481" s="17">
        <v>47021</v>
      </c>
      <c r="AE3481" s="54">
        <v>520.83000000000004</v>
      </c>
      <c r="AF3481" s="54"/>
      <c r="AL3481" s="22"/>
      <c r="AM3481" s="22"/>
      <c r="AN3481" s="22"/>
      <c r="AO3481" s="22"/>
      <c r="AP3481" s="22"/>
      <c r="AQ3481" s="22"/>
      <c r="AR3481" s="22"/>
      <c r="AS3481" s="22"/>
      <c r="AT3481" s="22"/>
      <c r="AU3481" s="22"/>
      <c r="AV3481" s="22"/>
      <c r="AW3481" s="9"/>
      <c r="BA3481" s="22"/>
      <c r="BB3481" s="22"/>
      <c r="BD3481" s="9"/>
      <c r="CS3481" s="11">
        <f t="shared" si="239"/>
        <v>0</v>
      </c>
      <c r="CT3481" s="22">
        <f t="shared" si="240"/>
        <v>0</v>
      </c>
      <c r="CU3481" s="22">
        <f t="shared" si="241"/>
        <v>0</v>
      </c>
      <c r="CV3481" s="26">
        <f t="shared" si="242"/>
        <v>520.83000000000004</v>
      </c>
    </row>
    <row r="3482" spans="1:100" x14ac:dyDescent="0.2">
      <c r="A3482" s="9" t="s">
        <v>705</v>
      </c>
      <c r="B3482" s="2">
        <v>94</v>
      </c>
      <c r="C3482" s="3" t="s">
        <v>95</v>
      </c>
      <c r="D3482" s="3" t="s">
        <v>96</v>
      </c>
      <c r="E3482" s="2"/>
      <c r="F3482" s="2"/>
      <c r="G3482" s="2" t="s">
        <v>77</v>
      </c>
      <c r="H3482" s="2">
        <v>3</v>
      </c>
      <c r="I3482" s="20">
        <v>95.31</v>
      </c>
      <c r="J3482" s="20">
        <v>42660</v>
      </c>
      <c r="K3482" s="3">
        <v>0</v>
      </c>
      <c r="L3482" s="3" t="s">
        <v>3</v>
      </c>
      <c r="M3482" s="9" t="s">
        <v>0</v>
      </c>
      <c r="N3482" s="9">
        <v>70032410</v>
      </c>
      <c r="O3482" s="9" t="s">
        <v>706</v>
      </c>
      <c r="S3482" s="9" t="s">
        <v>158</v>
      </c>
      <c r="T3482" s="10" t="s">
        <v>77</v>
      </c>
      <c r="U3482" s="10">
        <v>3</v>
      </c>
      <c r="V3482" s="10">
        <v>95.31</v>
      </c>
      <c r="W3482" s="10" t="s">
        <v>710</v>
      </c>
      <c r="X3482" s="17">
        <v>45777</v>
      </c>
      <c r="Y3482" s="17">
        <v>45832</v>
      </c>
      <c r="Z3482" s="19" t="s">
        <v>772</v>
      </c>
      <c r="AA3482" s="209">
        <v>28000</v>
      </c>
      <c r="AB3482" s="9">
        <v>48</v>
      </c>
      <c r="AC3482" s="9">
        <v>39</v>
      </c>
      <c r="AD3482" s="17">
        <v>47051</v>
      </c>
      <c r="AE3482" s="54">
        <v>520.83000000000004</v>
      </c>
      <c r="AF3482" s="54"/>
      <c r="AL3482" s="22"/>
      <c r="AM3482" s="22"/>
      <c r="AN3482" s="22"/>
      <c r="AO3482" s="22"/>
      <c r="AP3482" s="22"/>
      <c r="AQ3482" s="22"/>
      <c r="AR3482" s="22"/>
      <c r="AS3482" s="22"/>
      <c r="AT3482" s="22"/>
      <c r="AU3482" s="22"/>
      <c r="AV3482" s="22"/>
      <c r="AW3482" s="9"/>
      <c r="BA3482" s="22"/>
      <c r="BB3482" s="22"/>
      <c r="BD3482" s="9"/>
      <c r="CS3482" s="11">
        <f t="shared" si="239"/>
        <v>0</v>
      </c>
      <c r="CT3482" s="22">
        <f t="shared" si="240"/>
        <v>0</v>
      </c>
      <c r="CU3482" s="22">
        <f t="shared" si="241"/>
        <v>0</v>
      </c>
      <c r="CV3482" s="26">
        <f t="shared" si="242"/>
        <v>520.83000000000004</v>
      </c>
    </row>
    <row r="3483" spans="1:100" x14ac:dyDescent="0.2">
      <c r="A3483" s="9" t="s">
        <v>705</v>
      </c>
      <c r="B3483" s="2">
        <v>94</v>
      </c>
      <c r="C3483" s="3" t="s">
        <v>95</v>
      </c>
      <c r="D3483" s="3" t="s">
        <v>96</v>
      </c>
      <c r="E3483" s="2"/>
      <c r="F3483" s="2"/>
      <c r="G3483" s="2" t="s">
        <v>77</v>
      </c>
      <c r="H3483" s="2">
        <v>3</v>
      </c>
      <c r="I3483" s="20">
        <v>95.31</v>
      </c>
      <c r="J3483" s="20">
        <v>42660</v>
      </c>
      <c r="K3483" s="3">
        <v>0</v>
      </c>
      <c r="L3483" s="3" t="s">
        <v>3</v>
      </c>
      <c r="M3483" s="9" t="s">
        <v>0</v>
      </c>
      <c r="N3483" s="9">
        <v>70032410</v>
      </c>
      <c r="O3483" s="9" t="s">
        <v>706</v>
      </c>
      <c r="S3483" s="9" t="s">
        <v>158</v>
      </c>
      <c r="T3483" s="10" t="s">
        <v>77</v>
      </c>
      <c r="U3483" s="10">
        <v>3</v>
      </c>
      <c r="V3483" s="10">
        <v>95.31</v>
      </c>
      <c r="W3483" s="10" t="s">
        <v>710</v>
      </c>
      <c r="X3483" s="17">
        <v>45777</v>
      </c>
      <c r="Y3483" s="17">
        <v>45832</v>
      </c>
      <c r="Z3483" s="19" t="s">
        <v>772</v>
      </c>
      <c r="AA3483" s="209">
        <v>28000</v>
      </c>
      <c r="AB3483" s="9">
        <v>48</v>
      </c>
      <c r="AC3483" s="9">
        <v>40</v>
      </c>
      <c r="AD3483" s="17">
        <v>47082</v>
      </c>
      <c r="AE3483" s="54">
        <v>520.83000000000004</v>
      </c>
      <c r="AF3483" s="54"/>
      <c r="AL3483" s="22"/>
      <c r="AM3483" s="22"/>
      <c r="AN3483" s="22"/>
      <c r="AO3483" s="22"/>
      <c r="AP3483" s="22"/>
      <c r="AQ3483" s="22"/>
      <c r="AR3483" s="22"/>
      <c r="AS3483" s="22"/>
      <c r="AT3483" s="22"/>
      <c r="AU3483" s="22"/>
      <c r="AV3483" s="22"/>
      <c r="AW3483" s="9"/>
      <c r="BA3483" s="22"/>
      <c r="BB3483" s="22"/>
      <c r="BD3483" s="9"/>
      <c r="CS3483" s="11">
        <f t="shared" si="239"/>
        <v>0</v>
      </c>
      <c r="CT3483" s="22">
        <f t="shared" si="240"/>
        <v>0</v>
      </c>
      <c r="CU3483" s="22">
        <f t="shared" si="241"/>
        <v>0</v>
      </c>
      <c r="CV3483" s="26">
        <f t="shared" si="242"/>
        <v>520.83000000000004</v>
      </c>
    </row>
    <row r="3484" spans="1:100" x14ac:dyDescent="0.2">
      <c r="A3484" s="9" t="s">
        <v>705</v>
      </c>
      <c r="B3484" s="2">
        <v>94</v>
      </c>
      <c r="C3484" s="3" t="s">
        <v>95</v>
      </c>
      <c r="D3484" s="3" t="s">
        <v>96</v>
      </c>
      <c r="E3484" s="2"/>
      <c r="F3484" s="2"/>
      <c r="G3484" s="2" t="s">
        <v>77</v>
      </c>
      <c r="H3484" s="2">
        <v>3</v>
      </c>
      <c r="I3484" s="20">
        <v>95.31</v>
      </c>
      <c r="J3484" s="20">
        <v>42660</v>
      </c>
      <c r="K3484" s="3">
        <v>0</v>
      </c>
      <c r="L3484" s="3" t="s">
        <v>3</v>
      </c>
      <c r="M3484" s="9" t="s">
        <v>0</v>
      </c>
      <c r="N3484" s="9">
        <v>70032410</v>
      </c>
      <c r="O3484" s="9" t="s">
        <v>706</v>
      </c>
      <c r="S3484" s="9" t="s">
        <v>158</v>
      </c>
      <c r="T3484" s="10" t="s">
        <v>77</v>
      </c>
      <c r="U3484" s="10">
        <v>3</v>
      </c>
      <c r="V3484" s="10">
        <v>95.31</v>
      </c>
      <c r="W3484" s="10" t="s">
        <v>710</v>
      </c>
      <c r="X3484" s="17">
        <v>45777</v>
      </c>
      <c r="Y3484" s="17">
        <v>45832</v>
      </c>
      <c r="Z3484" s="19" t="s">
        <v>772</v>
      </c>
      <c r="AA3484" s="209">
        <v>28000</v>
      </c>
      <c r="AB3484" s="9">
        <v>48</v>
      </c>
      <c r="AC3484" s="9">
        <v>41</v>
      </c>
      <c r="AD3484" s="17">
        <v>47112</v>
      </c>
      <c r="AE3484" s="54">
        <v>520.83000000000004</v>
      </c>
      <c r="AF3484" s="54"/>
      <c r="AL3484" s="22"/>
      <c r="AM3484" s="22"/>
      <c r="AN3484" s="22"/>
      <c r="AO3484" s="22"/>
      <c r="AP3484" s="22"/>
      <c r="AQ3484" s="22"/>
      <c r="AR3484" s="22"/>
      <c r="AS3484" s="22"/>
      <c r="AT3484" s="22"/>
      <c r="AU3484" s="22"/>
      <c r="AV3484" s="22"/>
      <c r="AW3484" s="9"/>
      <c r="BA3484" s="22"/>
      <c r="BB3484" s="22"/>
      <c r="BD3484" s="9"/>
      <c r="CS3484" s="11">
        <f t="shared" si="239"/>
        <v>0</v>
      </c>
      <c r="CT3484" s="22">
        <f t="shared" si="240"/>
        <v>0</v>
      </c>
      <c r="CU3484" s="22">
        <f t="shared" si="241"/>
        <v>0</v>
      </c>
      <c r="CV3484" s="26">
        <f t="shared" si="242"/>
        <v>520.83000000000004</v>
      </c>
    </row>
    <row r="3485" spans="1:100" x14ac:dyDescent="0.2">
      <c r="A3485" s="9" t="s">
        <v>705</v>
      </c>
      <c r="B3485" s="2">
        <v>94</v>
      </c>
      <c r="C3485" s="3" t="s">
        <v>95</v>
      </c>
      <c r="D3485" s="3" t="s">
        <v>96</v>
      </c>
      <c r="E3485" s="2"/>
      <c r="F3485" s="2"/>
      <c r="G3485" s="2" t="s">
        <v>77</v>
      </c>
      <c r="H3485" s="2">
        <v>3</v>
      </c>
      <c r="I3485" s="20">
        <v>95.31</v>
      </c>
      <c r="J3485" s="20">
        <v>42660</v>
      </c>
      <c r="K3485" s="3">
        <v>0</v>
      </c>
      <c r="L3485" s="3" t="s">
        <v>3</v>
      </c>
      <c r="M3485" s="9" t="s">
        <v>0</v>
      </c>
      <c r="N3485" s="9">
        <v>70032410</v>
      </c>
      <c r="O3485" s="9" t="s">
        <v>706</v>
      </c>
      <c r="S3485" s="9" t="s">
        <v>158</v>
      </c>
      <c r="T3485" s="10" t="s">
        <v>77</v>
      </c>
      <c r="U3485" s="10">
        <v>3</v>
      </c>
      <c r="V3485" s="10">
        <v>95.31</v>
      </c>
      <c r="W3485" s="10" t="s">
        <v>710</v>
      </c>
      <c r="X3485" s="17">
        <v>45777</v>
      </c>
      <c r="Y3485" s="17">
        <v>45832</v>
      </c>
      <c r="Z3485" s="19" t="s">
        <v>772</v>
      </c>
      <c r="AA3485" s="209">
        <v>28000</v>
      </c>
      <c r="AB3485" s="9">
        <v>48</v>
      </c>
      <c r="AC3485" s="9">
        <v>42</v>
      </c>
      <c r="AD3485" s="17">
        <v>47143</v>
      </c>
      <c r="AE3485" s="54">
        <v>520.83000000000004</v>
      </c>
      <c r="AF3485" s="54"/>
      <c r="AL3485" s="22"/>
      <c r="AM3485" s="22"/>
      <c r="AN3485" s="22"/>
      <c r="AO3485" s="22"/>
      <c r="AP3485" s="22"/>
      <c r="AQ3485" s="22"/>
      <c r="AR3485" s="22"/>
      <c r="AS3485" s="22"/>
      <c r="AT3485" s="22"/>
      <c r="AU3485" s="22"/>
      <c r="AV3485" s="22"/>
      <c r="AW3485" s="9"/>
      <c r="BA3485" s="22"/>
      <c r="BB3485" s="22"/>
      <c r="BD3485" s="9"/>
      <c r="CS3485" s="11">
        <f t="shared" si="239"/>
        <v>0</v>
      </c>
      <c r="CT3485" s="22">
        <f t="shared" si="240"/>
        <v>0</v>
      </c>
      <c r="CU3485" s="22">
        <f t="shared" si="241"/>
        <v>0</v>
      </c>
      <c r="CV3485" s="26">
        <f t="shared" si="242"/>
        <v>520.83000000000004</v>
      </c>
    </row>
    <row r="3486" spans="1:100" x14ac:dyDescent="0.2">
      <c r="A3486" s="9" t="s">
        <v>705</v>
      </c>
      <c r="B3486" s="2">
        <v>94</v>
      </c>
      <c r="C3486" s="3" t="s">
        <v>95</v>
      </c>
      <c r="D3486" s="3" t="s">
        <v>96</v>
      </c>
      <c r="E3486" s="2"/>
      <c r="F3486" s="2"/>
      <c r="G3486" s="2" t="s">
        <v>77</v>
      </c>
      <c r="H3486" s="2">
        <v>3</v>
      </c>
      <c r="I3486" s="20">
        <v>95.31</v>
      </c>
      <c r="J3486" s="20">
        <v>42660</v>
      </c>
      <c r="K3486" s="3">
        <v>0</v>
      </c>
      <c r="L3486" s="3" t="s">
        <v>3</v>
      </c>
      <c r="M3486" s="9" t="s">
        <v>0</v>
      </c>
      <c r="N3486" s="9">
        <v>70032410</v>
      </c>
      <c r="O3486" s="9" t="s">
        <v>706</v>
      </c>
      <c r="S3486" s="9" t="s">
        <v>158</v>
      </c>
      <c r="T3486" s="10" t="s">
        <v>77</v>
      </c>
      <c r="U3486" s="10">
        <v>3</v>
      </c>
      <c r="V3486" s="10">
        <v>95.31</v>
      </c>
      <c r="W3486" s="10" t="s">
        <v>710</v>
      </c>
      <c r="X3486" s="17">
        <v>45777</v>
      </c>
      <c r="Y3486" s="17">
        <v>45832</v>
      </c>
      <c r="Z3486" s="19" t="s">
        <v>772</v>
      </c>
      <c r="AA3486" s="209">
        <v>28000</v>
      </c>
      <c r="AB3486" s="9">
        <v>48</v>
      </c>
      <c r="AC3486" s="9">
        <v>43</v>
      </c>
      <c r="AD3486" s="17">
        <v>47174</v>
      </c>
      <c r="AE3486" s="54">
        <v>520.83000000000004</v>
      </c>
      <c r="AF3486" s="54"/>
      <c r="AL3486" s="22"/>
      <c r="AM3486" s="22"/>
      <c r="AN3486" s="22"/>
      <c r="AO3486" s="22"/>
      <c r="AP3486" s="22"/>
      <c r="AQ3486" s="22"/>
      <c r="AR3486" s="22"/>
      <c r="AS3486" s="22"/>
      <c r="AT3486" s="22"/>
      <c r="AU3486" s="22"/>
      <c r="AV3486" s="22"/>
      <c r="AW3486" s="9"/>
      <c r="BA3486" s="22"/>
      <c r="BB3486" s="22"/>
      <c r="BD3486" s="9"/>
      <c r="CS3486" s="11">
        <f t="shared" si="239"/>
        <v>0</v>
      </c>
      <c r="CT3486" s="22">
        <f t="shared" si="240"/>
        <v>0</v>
      </c>
      <c r="CU3486" s="22">
        <f t="shared" si="241"/>
        <v>0</v>
      </c>
      <c r="CV3486" s="26">
        <f t="shared" si="242"/>
        <v>520.83000000000004</v>
      </c>
    </row>
    <row r="3487" spans="1:100" x14ac:dyDescent="0.2">
      <c r="A3487" s="9" t="s">
        <v>705</v>
      </c>
      <c r="B3487" s="2">
        <v>94</v>
      </c>
      <c r="C3487" s="3" t="s">
        <v>95</v>
      </c>
      <c r="D3487" s="3" t="s">
        <v>96</v>
      </c>
      <c r="E3487" s="2"/>
      <c r="F3487" s="2"/>
      <c r="G3487" s="2" t="s">
        <v>77</v>
      </c>
      <c r="H3487" s="2">
        <v>3</v>
      </c>
      <c r="I3487" s="20">
        <v>95.31</v>
      </c>
      <c r="J3487" s="20">
        <v>42660</v>
      </c>
      <c r="K3487" s="3">
        <v>0</v>
      </c>
      <c r="L3487" s="3" t="s">
        <v>3</v>
      </c>
      <c r="M3487" s="9" t="s">
        <v>0</v>
      </c>
      <c r="N3487" s="9">
        <v>70032410</v>
      </c>
      <c r="O3487" s="9" t="s">
        <v>706</v>
      </c>
      <c r="S3487" s="9" t="s">
        <v>158</v>
      </c>
      <c r="T3487" s="10" t="s">
        <v>77</v>
      </c>
      <c r="U3487" s="10">
        <v>3</v>
      </c>
      <c r="V3487" s="10">
        <v>95.31</v>
      </c>
      <c r="W3487" s="10" t="s">
        <v>710</v>
      </c>
      <c r="X3487" s="17">
        <v>45777</v>
      </c>
      <c r="Y3487" s="17">
        <v>45832</v>
      </c>
      <c r="Z3487" s="19" t="s">
        <v>772</v>
      </c>
      <c r="AA3487" s="209">
        <v>28000</v>
      </c>
      <c r="AB3487" s="9">
        <v>48</v>
      </c>
      <c r="AC3487" s="9">
        <v>44</v>
      </c>
      <c r="AD3487" s="17">
        <v>47202</v>
      </c>
      <c r="AE3487" s="54">
        <v>520.83000000000004</v>
      </c>
      <c r="AF3487" s="54"/>
      <c r="AL3487" s="22"/>
      <c r="AM3487" s="22"/>
      <c r="AN3487" s="22"/>
      <c r="AO3487" s="22"/>
      <c r="AP3487" s="22"/>
      <c r="AQ3487" s="22"/>
      <c r="AR3487" s="22"/>
      <c r="AS3487" s="22"/>
      <c r="AT3487" s="22"/>
      <c r="AU3487" s="22"/>
      <c r="AV3487" s="22"/>
      <c r="AW3487" s="9"/>
      <c r="BA3487" s="22"/>
      <c r="BB3487" s="22"/>
      <c r="BD3487" s="9"/>
      <c r="CS3487" s="11">
        <f t="shared" si="239"/>
        <v>0</v>
      </c>
      <c r="CT3487" s="22">
        <f t="shared" si="240"/>
        <v>0</v>
      </c>
      <c r="CU3487" s="22">
        <f t="shared" si="241"/>
        <v>0</v>
      </c>
      <c r="CV3487" s="26">
        <f t="shared" si="242"/>
        <v>520.83000000000004</v>
      </c>
    </row>
    <row r="3488" spans="1:100" x14ac:dyDescent="0.2">
      <c r="A3488" s="9" t="s">
        <v>705</v>
      </c>
      <c r="B3488" s="2">
        <v>94</v>
      </c>
      <c r="C3488" s="3" t="s">
        <v>95</v>
      </c>
      <c r="D3488" s="3" t="s">
        <v>96</v>
      </c>
      <c r="E3488" s="2"/>
      <c r="F3488" s="2"/>
      <c r="G3488" s="2" t="s">
        <v>77</v>
      </c>
      <c r="H3488" s="2">
        <v>3</v>
      </c>
      <c r="I3488" s="20">
        <v>95.31</v>
      </c>
      <c r="J3488" s="20">
        <v>42660</v>
      </c>
      <c r="K3488" s="3">
        <v>0</v>
      </c>
      <c r="L3488" s="3" t="s">
        <v>3</v>
      </c>
      <c r="M3488" s="9" t="s">
        <v>0</v>
      </c>
      <c r="N3488" s="9">
        <v>70032410</v>
      </c>
      <c r="O3488" s="9" t="s">
        <v>706</v>
      </c>
      <c r="S3488" s="9" t="s">
        <v>158</v>
      </c>
      <c r="T3488" s="10" t="s">
        <v>77</v>
      </c>
      <c r="U3488" s="10">
        <v>3</v>
      </c>
      <c r="V3488" s="10">
        <v>95.31</v>
      </c>
      <c r="W3488" s="10" t="s">
        <v>710</v>
      </c>
      <c r="X3488" s="17">
        <v>45777</v>
      </c>
      <c r="Y3488" s="17">
        <v>45832</v>
      </c>
      <c r="Z3488" s="19" t="s">
        <v>772</v>
      </c>
      <c r="AA3488" s="209">
        <v>28000</v>
      </c>
      <c r="AB3488" s="9">
        <v>48</v>
      </c>
      <c r="AC3488" s="9">
        <v>45</v>
      </c>
      <c r="AD3488" s="17">
        <v>47233</v>
      </c>
      <c r="AE3488" s="54">
        <v>520.83000000000004</v>
      </c>
      <c r="AF3488" s="54"/>
      <c r="AL3488" s="22"/>
      <c r="AM3488" s="22"/>
      <c r="AN3488" s="22"/>
      <c r="AO3488" s="22"/>
      <c r="AP3488" s="22"/>
      <c r="AQ3488" s="22"/>
      <c r="AR3488" s="22"/>
      <c r="AS3488" s="22"/>
      <c r="AT3488" s="22"/>
      <c r="AU3488" s="22"/>
      <c r="AV3488" s="22"/>
      <c r="AW3488" s="9"/>
      <c r="BA3488" s="22"/>
      <c r="BB3488" s="22"/>
      <c r="BD3488" s="9"/>
      <c r="CS3488" s="11">
        <f t="shared" si="239"/>
        <v>0</v>
      </c>
      <c r="CT3488" s="22">
        <f t="shared" si="240"/>
        <v>0</v>
      </c>
      <c r="CU3488" s="22">
        <f t="shared" si="241"/>
        <v>0</v>
      </c>
      <c r="CV3488" s="26">
        <f t="shared" si="242"/>
        <v>520.83000000000004</v>
      </c>
    </row>
    <row r="3489" spans="1:100" x14ac:dyDescent="0.2">
      <c r="A3489" s="9" t="s">
        <v>705</v>
      </c>
      <c r="B3489" s="2">
        <v>94</v>
      </c>
      <c r="C3489" s="3" t="s">
        <v>95</v>
      </c>
      <c r="D3489" s="3" t="s">
        <v>96</v>
      </c>
      <c r="E3489" s="2"/>
      <c r="F3489" s="2"/>
      <c r="G3489" s="2" t="s">
        <v>77</v>
      </c>
      <c r="H3489" s="2">
        <v>3</v>
      </c>
      <c r="I3489" s="20">
        <v>95.31</v>
      </c>
      <c r="J3489" s="20">
        <v>42660</v>
      </c>
      <c r="K3489" s="3">
        <v>0</v>
      </c>
      <c r="L3489" s="3" t="s">
        <v>3</v>
      </c>
      <c r="M3489" s="9" t="s">
        <v>0</v>
      </c>
      <c r="N3489" s="9">
        <v>70032410</v>
      </c>
      <c r="O3489" s="9" t="s">
        <v>706</v>
      </c>
      <c r="S3489" s="9" t="s">
        <v>158</v>
      </c>
      <c r="T3489" s="10" t="s">
        <v>77</v>
      </c>
      <c r="U3489" s="10">
        <v>3</v>
      </c>
      <c r="V3489" s="10">
        <v>95.31</v>
      </c>
      <c r="W3489" s="10" t="s">
        <v>710</v>
      </c>
      <c r="X3489" s="17">
        <v>45777</v>
      </c>
      <c r="Y3489" s="17">
        <v>45832</v>
      </c>
      <c r="Z3489" s="19" t="s">
        <v>772</v>
      </c>
      <c r="AA3489" s="209">
        <v>28000</v>
      </c>
      <c r="AB3489" s="9">
        <v>48</v>
      </c>
      <c r="AC3489" s="9">
        <v>46</v>
      </c>
      <c r="AD3489" s="17">
        <v>47263</v>
      </c>
      <c r="AE3489" s="54">
        <v>520.83000000000004</v>
      </c>
      <c r="AF3489" s="54"/>
      <c r="AL3489" s="22"/>
      <c r="AM3489" s="22"/>
      <c r="AN3489" s="22"/>
      <c r="AO3489" s="22"/>
      <c r="AP3489" s="22"/>
      <c r="AQ3489" s="22"/>
      <c r="AR3489" s="22"/>
      <c r="AS3489" s="22"/>
      <c r="AT3489" s="22"/>
      <c r="AU3489" s="22"/>
      <c r="AV3489" s="22"/>
      <c r="AW3489" s="9"/>
      <c r="BA3489" s="22"/>
      <c r="BB3489" s="22"/>
      <c r="BD3489" s="9"/>
      <c r="CS3489" s="11">
        <f t="shared" si="239"/>
        <v>0</v>
      </c>
      <c r="CT3489" s="22">
        <f t="shared" si="240"/>
        <v>0</v>
      </c>
      <c r="CU3489" s="22">
        <f t="shared" si="241"/>
        <v>0</v>
      </c>
      <c r="CV3489" s="26">
        <f t="shared" si="242"/>
        <v>520.83000000000004</v>
      </c>
    </row>
    <row r="3490" spans="1:100" x14ac:dyDescent="0.2">
      <c r="A3490" s="9" t="s">
        <v>705</v>
      </c>
      <c r="B3490" s="2">
        <v>94</v>
      </c>
      <c r="C3490" s="3" t="s">
        <v>95</v>
      </c>
      <c r="D3490" s="3" t="s">
        <v>96</v>
      </c>
      <c r="E3490" s="2"/>
      <c r="F3490" s="2"/>
      <c r="G3490" s="2" t="s">
        <v>77</v>
      </c>
      <c r="H3490" s="2">
        <v>3</v>
      </c>
      <c r="I3490" s="20">
        <v>95.31</v>
      </c>
      <c r="J3490" s="20">
        <v>42660</v>
      </c>
      <c r="K3490" s="3">
        <v>0</v>
      </c>
      <c r="L3490" s="3" t="s">
        <v>3</v>
      </c>
      <c r="M3490" s="9" t="s">
        <v>0</v>
      </c>
      <c r="N3490" s="9">
        <v>70032410</v>
      </c>
      <c r="O3490" s="9" t="s">
        <v>706</v>
      </c>
      <c r="S3490" s="9" t="s">
        <v>158</v>
      </c>
      <c r="T3490" s="10" t="s">
        <v>77</v>
      </c>
      <c r="U3490" s="10">
        <v>3</v>
      </c>
      <c r="V3490" s="10">
        <v>95.31</v>
      </c>
      <c r="W3490" s="10" t="s">
        <v>710</v>
      </c>
      <c r="X3490" s="17">
        <v>45777</v>
      </c>
      <c r="Y3490" s="17">
        <v>45832</v>
      </c>
      <c r="Z3490" s="19" t="s">
        <v>772</v>
      </c>
      <c r="AA3490" s="209">
        <v>28000</v>
      </c>
      <c r="AB3490" s="9">
        <v>48</v>
      </c>
      <c r="AC3490" s="9">
        <v>47</v>
      </c>
      <c r="AD3490" s="17">
        <v>47294</v>
      </c>
      <c r="AE3490" s="54">
        <v>520.83000000000004</v>
      </c>
      <c r="AF3490" s="54"/>
      <c r="AL3490" s="22"/>
      <c r="AM3490" s="22"/>
      <c r="AN3490" s="22"/>
      <c r="AO3490" s="22"/>
      <c r="AP3490" s="22"/>
      <c r="AQ3490" s="22"/>
      <c r="AR3490" s="22"/>
      <c r="AS3490" s="22"/>
      <c r="AT3490" s="22"/>
      <c r="AU3490" s="22"/>
      <c r="AV3490" s="22"/>
      <c r="AW3490" s="9"/>
      <c r="BA3490" s="22"/>
      <c r="BB3490" s="22"/>
      <c r="BD3490" s="9"/>
      <c r="CS3490" s="11">
        <f t="shared" si="239"/>
        <v>0</v>
      </c>
      <c r="CT3490" s="22">
        <f t="shared" si="240"/>
        <v>0</v>
      </c>
      <c r="CU3490" s="22">
        <f t="shared" si="241"/>
        <v>0</v>
      </c>
      <c r="CV3490" s="26">
        <f t="shared" si="242"/>
        <v>520.83000000000004</v>
      </c>
    </row>
    <row r="3491" spans="1:100" x14ac:dyDescent="0.2">
      <c r="A3491" s="9" t="s">
        <v>705</v>
      </c>
      <c r="B3491" s="2">
        <v>94</v>
      </c>
      <c r="C3491" s="3" t="s">
        <v>95</v>
      </c>
      <c r="D3491" s="3" t="s">
        <v>96</v>
      </c>
      <c r="E3491" s="2"/>
      <c r="F3491" s="2"/>
      <c r="G3491" s="2" t="s">
        <v>77</v>
      </c>
      <c r="H3491" s="2">
        <v>3</v>
      </c>
      <c r="I3491" s="20">
        <v>95.31</v>
      </c>
      <c r="J3491" s="20">
        <v>42660</v>
      </c>
      <c r="K3491" s="3">
        <v>0</v>
      </c>
      <c r="L3491" s="3" t="s">
        <v>3</v>
      </c>
      <c r="M3491" s="9" t="s">
        <v>0</v>
      </c>
      <c r="N3491" s="9">
        <v>70032410</v>
      </c>
      <c r="O3491" s="9" t="s">
        <v>706</v>
      </c>
      <c r="S3491" s="9" t="s">
        <v>158</v>
      </c>
      <c r="T3491" s="10" t="s">
        <v>77</v>
      </c>
      <c r="U3491" s="10">
        <v>3</v>
      </c>
      <c r="V3491" s="10">
        <v>95.31</v>
      </c>
      <c r="W3491" s="10" t="s">
        <v>710</v>
      </c>
      <c r="X3491" s="17">
        <v>45777</v>
      </c>
      <c r="Y3491" s="17">
        <v>45832</v>
      </c>
      <c r="Z3491" s="19" t="s">
        <v>772</v>
      </c>
      <c r="AA3491" s="209">
        <v>28000</v>
      </c>
      <c r="AB3491" s="9">
        <v>48</v>
      </c>
      <c r="AC3491" s="9">
        <v>48</v>
      </c>
      <c r="AD3491" s="17">
        <v>47324</v>
      </c>
      <c r="AE3491" s="54">
        <v>520.99</v>
      </c>
      <c r="AF3491" s="54"/>
      <c r="AL3491" s="22"/>
      <c r="AM3491" s="22"/>
      <c r="AN3491" s="22"/>
      <c r="AO3491" s="22"/>
      <c r="AP3491" s="22"/>
      <c r="AQ3491" s="22"/>
      <c r="AR3491" s="22"/>
      <c r="AS3491" s="22"/>
      <c r="AT3491" s="22"/>
      <c r="AU3491" s="22"/>
      <c r="AV3491" s="22"/>
      <c r="AW3491" s="9"/>
      <c r="BA3491" s="22"/>
      <c r="BB3491" s="22"/>
      <c r="BD3491" s="9"/>
      <c r="CS3491" s="11">
        <f t="shared" si="239"/>
        <v>0</v>
      </c>
      <c r="CT3491" s="22">
        <f t="shared" si="240"/>
        <v>0</v>
      </c>
      <c r="CU3491" s="22">
        <f t="shared" si="241"/>
        <v>0</v>
      </c>
      <c r="CV3491" s="26">
        <f t="shared" si="242"/>
        <v>520.99</v>
      </c>
    </row>
    <row r="3492" spans="1:100" x14ac:dyDescent="0.2">
      <c r="A3492" s="9" t="s">
        <v>685</v>
      </c>
      <c r="B3492" s="2">
        <v>2</v>
      </c>
      <c r="C3492" s="3" t="s">
        <v>95</v>
      </c>
      <c r="D3492" s="3" t="s">
        <v>96</v>
      </c>
      <c r="E3492" s="2"/>
      <c r="F3492" s="2"/>
      <c r="G3492" s="2" t="s">
        <v>65</v>
      </c>
      <c r="H3492" s="2">
        <v>2</v>
      </c>
      <c r="I3492" s="20">
        <v>120.89</v>
      </c>
      <c r="J3492" s="20">
        <v>54029</v>
      </c>
      <c r="K3492" s="3">
        <v>0</v>
      </c>
      <c r="L3492" s="3" t="s">
        <v>3</v>
      </c>
      <c r="M3492" s="9" t="s">
        <v>0</v>
      </c>
      <c r="N3492" s="9">
        <v>43115531</v>
      </c>
      <c r="O3492" s="9" t="s">
        <v>686</v>
      </c>
      <c r="S3492" s="9" t="s">
        <v>158</v>
      </c>
      <c r="T3492" s="10" t="s">
        <v>65</v>
      </c>
      <c r="U3492" s="10">
        <v>2</v>
      </c>
      <c r="V3492" s="10">
        <v>120.89</v>
      </c>
      <c r="W3492" s="10" t="s">
        <v>710</v>
      </c>
      <c r="X3492" s="17">
        <v>45851</v>
      </c>
      <c r="Y3492" s="17">
        <v>45851</v>
      </c>
      <c r="Z3492" s="19" t="s">
        <v>772</v>
      </c>
      <c r="AA3492" s="207">
        <v>50000</v>
      </c>
      <c r="AB3492" s="9">
        <v>36</v>
      </c>
      <c r="AC3492" s="9">
        <v>0</v>
      </c>
      <c r="AD3492" s="17">
        <v>45853</v>
      </c>
      <c r="AE3492" s="22">
        <v>140.84</v>
      </c>
      <c r="AF3492" s="22"/>
      <c r="AG3492" s="9" t="s">
        <v>134</v>
      </c>
      <c r="AH3492" s="17">
        <v>45853</v>
      </c>
      <c r="AI3492" s="17"/>
      <c r="AJ3492" s="17"/>
      <c r="AK3492" s="9" t="s">
        <v>687</v>
      </c>
      <c r="AL3492" s="22">
        <v>140.84</v>
      </c>
      <c r="AM3492" s="22"/>
      <c r="AN3492" s="9" t="s">
        <v>788</v>
      </c>
      <c r="AO3492" s="22"/>
      <c r="AP3492" s="22"/>
      <c r="AQ3492" s="22"/>
      <c r="AR3492" s="22"/>
      <c r="AS3492" s="22"/>
      <c r="AT3492" s="22"/>
      <c r="AU3492" s="22"/>
      <c r="AV3492" s="22"/>
      <c r="AW3492" s="17">
        <v>45851</v>
      </c>
      <c r="AX3492" s="92" t="s">
        <v>689</v>
      </c>
      <c r="AY3492" s="9">
        <v>500</v>
      </c>
      <c r="AZ3492" s="9">
        <v>3.55</v>
      </c>
      <c r="BA3492" s="22">
        <f>+AY3492/AZ3492</f>
        <v>140.84507042253523</v>
      </c>
      <c r="BB3492" s="22"/>
      <c r="BD3492" s="9"/>
      <c r="CS3492" s="11">
        <f t="shared" si="239"/>
        <v>140.84</v>
      </c>
      <c r="CT3492" s="22">
        <f t="shared" si="240"/>
        <v>140.84507042253523</v>
      </c>
      <c r="CU3492" s="22">
        <f t="shared" si="241"/>
        <v>-5.0704225352262711E-3</v>
      </c>
      <c r="CV3492" s="26">
        <f t="shared" si="242"/>
        <v>0</v>
      </c>
    </row>
    <row r="3493" spans="1:100" x14ac:dyDescent="0.2">
      <c r="A3493" s="9" t="s">
        <v>685</v>
      </c>
      <c r="B3493" s="2">
        <v>2</v>
      </c>
      <c r="C3493" s="3" t="s">
        <v>95</v>
      </c>
      <c r="D3493" s="3" t="s">
        <v>96</v>
      </c>
      <c r="E3493" s="2"/>
      <c r="F3493" s="2"/>
      <c r="G3493" s="2" t="s">
        <v>65</v>
      </c>
      <c r="H3493" s="2">
        <v>2</v>
      </c>
      <c r="I3493" s="20">
        <v>120.89</v>
      </c>
      <c r="J3493" s="20">
        <v>54029</v>
      </c>
      <c r="K3493" s="3">
        <v>0</v>
      </c>
      <c r="L3493" s="3" t="s">
        <v>3</v>
      </c>
      <c r="M3493" s="9" t="s">
        <v>0</v>
      </c>
      <c r="N3493" s="9">
        <v>43115531</v>
      </c>
      <c r="O3493" s="9" t="s">
        <v>686</v>
      </c>
      <c r="S3493" s="9" t="s">
        <v>158</v>
      </c>
      <c r="T3493" s="10" t="s">
        <v>65</v>
      </c>
      <c r="U3493" s="10">
        <v>2</v>
      </c>
      <c r="V3493" s="10">
        <v>120.89</v>
      </c>
      <c r="W3493" s="10" t="s">
        <v>710</v>
      </c>
      <c r="X3493" s="17">
        <v>45851</v>
      </c>
      <c r="Y3493" s="17">
        <v>45851</v>
      </c>
      <c r="Z3493" s="19" t="s">
        <v>772</v>
      </c>
      <c r="AA3493" s="207">
        <v>50000</v>
      </c>
      <c r="AB3493" s="9">
        <v>36</v>
      </c>
      <c r="AC3493" s="9">
        <v>0</v>
      </c>
      <c r="AD3493" s="17">
        <v>45856</v>
      </c>
      <c r="AE3493" s="22">
        <v>11859</v>
      </c>
      <c r="AF3493" s="22"/>
      <c r="AG3493" s="9" t="s">
        <v>134</v>
      </c>
      <c r="AH3493" s="17">
        <v>45859</v>
      </c>
      <c r="AI3493" s="17"/>
      <c r="AJ3493" s="17"/>
      <c r="AK3493" s="9" t="s">
        <v>688</v>
      </c>
      <c r="AL3493" s="22">
        <v>11860</v>
      </c>
      <c r="AM3493" s="22"/>
      <c r="AN3493" s="9" t="s">
        <v>789</v>
      </c>
      <c r="AO3493" s="22"/>
      <c r="AP3493" s="22"/>
      <c r="AQ3493" s="22"/>
      <c r="AR3493" s="22"/>
      <c r="AS3493" s="22"/>
      <c r="AT3493" s="22"/>
      <c r="AU3493" s="22"/>
      <c r="AV3493" s="22"/>
      <c r="AW3493" s="17">
        <v>45856</v>
      </c>
      <c r="AX3493" s="9">
        <v>383510</v>
      </c>
      <c r="AY3493" s="86">
        <v>42218</v>
      </c>
      <c r="AZ3493" s="9">
        <v>3.556</v>
      </c>
      <c r="BA3493" s="22">
        <f>+AY3493/AZ3493</f>
        <v>11872.328458942631</v>
      </c>
      <c r="BB3493" s="22"/>
      <c r="BD3493" s="9"/>
      <c r="CS3493" s="11">
        <f t="shared" si="239"/>
        <v>11860</v>
      </c>
      <c r="CT3493" s="22">
        <f t="shared" si="240"/>
        <v>11872.328458942631</v>
      </c>
      <c r="CU3493" s="22">
        <f t="shared" si="241"/>
        <v>-12.328458942631187</v>
      </c>
      <c r="CV3493" s="26">
        <f t="shared" si="242"/>
        <v>-1</v>
      </c>
    </row>
    <row r="3494" spans="1:100" x14ac:dyDescent="0.2">
      <c r="A3494" s="9" t="s">
        <v>685</v>
      </c>
      <c r="B3494" s="2">
        <v>2</v>
      </c>
      <c r="C3494" s="3" t="s">
        <v>95</v>
      </c>
      <c r="D3494" s="3" t="s">
        <v>96</v>
      </c>
      <c r="E3494" s="2"/>
      <c r="F3494" s="2"/>
      <c r="G3494" s="2" t="s">
        <v>65</v>
      </c>
      <c r="H3494" s="2">
        <v>2</v>
      </c>
      <c r="I3494" s="20">
        <v>120.89</v>
      </c>
      <c r="J3494" s="20">
        <v>54029</v>
      </c>
      <c r="K3494" s="3">
        <v>0</v>
      </c>
      <c r="L3494" s="3" t="s">
        <v>3</v>
      </c>
      <c r="M3494" s="9" t="s">
        <v>0</v>
      </c>
      <c r="N3494" s="9">
        <v>43115531</v>
      </c>
      <c r="O3494" s="9" t="s">
        <v>686</v>
      </c>
      <c r="S3494" s="9" t="s">
        <v>158</v>
      </c>
      <c r="T3494" s="10" t="s">
        <v>65</v>
      </c>
      <c r="U3494" s="10">
        <v>2</v>
      </c>
      <c r="V3494" s="10">
        <v>120.89</v>
      </c>
      <c r="W3494" s="10" t="s">
        <v>710</v>
      </c>
      <c r="X3494" s="17">
        <v>45851</v>
      </c>
      <c r="Y3494" s="17">
        <v>45851</v>
      </c>
      <c r="Z3494" s="19" t="s">
        <v>772</v>
      </c>
      <c r="AA3494" s="207">
        <v>50000</v>
      </c>
      <c r="AB3494" s="9">
        <v>36</v>
      </c>
      <c r="AC3494" s="9">
        <v>1</v>
      </c>
      <c r="AD3494" s="17">
        <v>45899</v>
      </c>
      <c r="AE3494" s="22">
        <v>1055</v>
      </c>
      <c r="AF3494" s="22"/>
      <c r="AG3494" s="9" t="s">
        <v>134</v>
      </c>
      <c r="AH3494" s="17">
        <v>45898</v>
      </c>
      <c r="AI3494" s="17"/>
      <c r="AJ3494" s="17"/>
      <c r="AK3494" s="9" t="s">
        <v>786</v>
      </c>
      <c r="AL3494" s="22">
        <v>1055</v>
      </c>
      <c r="AM3494" s="22"/>
      <c r="AN3494" s="9" t="s">
        <v>790</v>
      </c>
      <c r="AO3494" s="22"/>
      <c r="AP3494" s="22"/>
      <c r="AQ3494" s="22"/>
      <c r="AR3494" s="22"/>
      <c r="AS3494" s="22"/>
      <c r="AT3494" s="22"/>
      <c r="AU3494" s="22"/>
      <c r="AV3494" s="22"/>
      <c r="AW3494" s="17">
        <v>45901</v>
      </c>
      <c r="AX3494" s="9">
        <v>52084</v>
      </c>
      <c r="AY3494" s="86">
        <v>3746.3</v>
      </c>
      <c r="AZ3494" s="9">
        <v>3.5510000000000002</v>
      </c>
      <c r="BA3494" s="22">
        <f>+AY3494/AZ3494</f>
        <v>1054.9985919459307</v>
      </c>
      <c r="BB3494" s="22"/>
      <c r="BD3494" s="9"/>
      <c r="CS3494" s="11">
        <f t="shared" si="239"/>
        <v>1055</v>
      </c>
      <c r="CT3494" s="22">
        <f t="shared" si="240"/>
        <v>1054.9985919459307</v>
      </c>
      <c r="CU3494" s="22">
        <f t="shared" si="241"/>
        <v>1.4080540693157673E-3</v>
      </c>
      <c r="CV3494" s="26">
        <f t="shared" si="242"/>
        <v>0</v>
      </c>
    </row>
    <row r="3495" spans="1:100" x14ac:dyDescent="0.2">
      <c r="A3495" s="9" t="s">
        <v>685</v>
      </c>
      <c r="B3495" s="2">
        <v>2</v>
      </c>
      <c r="C3495" s="3" t="s">
        <v>95</v>
      </c>
      <c r="D3495" s="3" t="s">
        <v>96</v>
      </c>
      <c r="E3495" s="2"/>
      <c r="F3495" s="2"/>
      <c r="G3495" s="2" t="s">
        <v>65</v>
      </c>
      <c r="H3495" s="2">
        <v>2</v>
      </c>
      <c r="I3495" s="20">
        <v>120.89</v>
      </c>
      <c r="J3495" s="20">
        <v>54029</v>
      </c>
      <c r="K3495" s="3">
        <v>0</v>
      </c>
      <c r="L3495" s="3" t="s">
        <v>3</v>
      </c>
      <c r="M3495" s="9" t="s">
        <v>0</v>
      </c>
      <c r="N3495" s="9">
        <v>43115531</v>
      </c>
      <c r="O3495" s="9" t="s">
        <v>686</v>
      </c>
      <c r="S3495" s="9" t="s">
        <v>158</v>
      </c>
      <c r="T3495" s="10" t="s">
        <v>65</v>
      </c>
      <c r="U3495" s="10">
        <v>2</v>
      </c>
      <c r="V3495" s="10">
        <v>120.89</v>
      </c>
      <c r="W3495" s="10" t="s">
        <v>710</v>
      </c>
      <c r="X3495" s="17">
        <v>45851</v>
      </c>
      <c r="Y3495" s="17">
        <v>45851</v>
      </c>
      <c r="Z3495" s="19" t="s">
        <v>772</v>
      </c>
      <c r="AA3495" s="207">
        <v>50000</v>
      </c>
      <c r="AB3495" s="9">
        <v>36</v>
      </c>
      <c r="AC3495" s="9">
        <v>2</v>
      </c>
      <c r="AD3495" s="17">
        <v>45930</v>
      </c>
      <c r="AE3495" s="22">
        <v>1055</v>
      </c>
      <c r="AF3495" s="22"/>
      <c r="AG3495" s="9" t="s">
        <v>134</v>
      </c>
      <c r="AH3495" s="17">
        <v>45930</v>
      </c>
      <c r="AI3495" s="17"/>
      <c r="AJ3495" s="17"/>
      <c r="AK3495" s="9" t="s">
        <v>787</v>
      </c>
      <c r="AL3495" s="22">
        <v>1055</v>
      </c>
      <c r="AM3495" s="22"/>
      <c r="AN3495" s="9" t="s">
        <v>791</v>
      </c>
      <c r="AO3495" s="22"/>
      <c r="AP3495" s="22"/>
      <c r="AQ3495" s="22"/>
      <c r="AR3495" s="22"/>
      <c r="AS3495" s="22"/>
      <c r="AT3495" s="22"/>
      <c r="AU3495" s="22"/>
      <c r="AV3495" s="22"/>
      <c r="AW3495" s="17">
        <v>45930</v>
      </c>
      <c r="AX3495" s="9">
        <v>52942</v>
      </c>
      <c r="AY3495" s="86">
        <v>3692.5</v>
      </c>
      <c r="AZ3495" s="9">
        <v>3.5</v>
      </c>
      <c r="BA3495" s="22">
        <f>+AY3495/AZ3495</f>
        <v>1055</v>
      </c>
      <c r="BB3495" s="22"/>
      <c r="BD3495" s="9"/>
      <c r="CS3495" s="11">
        <f t="shared" si="239"/>
        <v>1055</v>
      </c>
      <c r="CT3495" s="22">
        <f t="shared" si="240"/>
        <v>1055</v>
      </c>
      <c r="CU3495" s="22">
        <f t="shared" si="241"/>
        <v>0</v>
      </c>
      <c r="CV3495" s="26">
        <f t="shared" si="242"/>
        <v>0</v>
      </c>
    </row>
    <row r="3496" spans="1:100" x14ac:dyDescent="0.2">
      <c r="A3496" s="9" t="s">
        <v>685</v>
      </c>
      <c r="B3496" s="2">
        <v>2</v>
      </c>
      <c r="C3496" s="3" t="s">
        <v>95</v>
      </c>
      <c r="D3496" s="3" t="s">
        <v>96</v>
      </c>
      <c r="E3496" s="2"/>
      <c r="F3496" s="2"/>
      <c r="G3496" s="2" t="s">
        <v>65</v>
      </c>
      <c r="H3496" s="2">
        <v>2</v>
      </c>
      <c r="I3496" s="20">
        <v>120.89</v>
      </c>
      <c r="J3496" s="20">
        <v>54029</v>
      </c>
      <c r="K3496" s="3">
        <v>0</v>
      </c>
      <c r="L3496" s="3" t="s">
        <v>3</v>
      </c>
      <c r="M3496" s="9" t="s">
        <v>0</v>
      </c>
      <c r="N3496" s="9">
        <v>43115531</v>
      </c>
      <c r="O3496" s="9" t="s">
        <v>686</v>
      </c>
      <c r="S3496" s="9" t="s">
        <v>158</v>
      </c>
      <c r="T3496" s="10" t="s">
        <v>65</v>
      </c>
      <c r="U3496" s="10">
        <v>2</v>
      </c>
      <c r="V3496" s="10">
        <v>120.89</v>
      </c>
      <c r="W3496" s="10" t="s">
        <v>710</v>
      </c>
      <c r="X3496" s="17">
        <v>45851</v>
      </c>
      <c r="Y3496" s="17">
        <v>45851</v>
      </c>
      <c r="Z3496" s="19" t="s">
        <v>772</v>
      </c>
      <c r="AA3496" s="207">
        <v>50000</v>
      </c>
      <c r="AB3496" s="9">
        <v>36</v>
      </c>
      <c r="AC3496" s="9">
        <v>3</v>
      </c>
      <c r="AD3496" s="17">
        <v>45960</v>
      </c>
      <c r="AE3496" s="22">
        <v>1055</v>
      </c>
      <c r="AF3496" s="22"/>
      <c r="AL3496" s="9"/>
      <c r="AM3496" s="9"/>
      <c r="AN3496" s="9"/>
      <c r="AO3496" s="22"/>
      <c r="AP3496" s="22"/>
      <c r="AQ3496" s="22"/>
      <c r="AR3496" s="22"/>
      <c r="AS3496" s="22"/>
      <c r="AT3496" s="22"/>
      <c r="AU3496" s="22"/>
      <c r="AV3496" s="22"/>
      <c r="AW3496" s="9"/>
      <c r="BA3496" s="22"/>
      <c r="BB3496" s="22"/>
      <c r="BD3496" s="9"/>
      <c r="CS3496" s="11">
        <f t="shared" si="239"/>
        <v>0</v>
      </c>
      <c r="CT3496" s="22">
        <f t="shared" si="240"/>
        <v>0</v>
      </c>
      <c r="CU3496" s="22">
        <f t="shared" si="241"/>
        <v>0</v>
      </c>
      <c r="CV3496" s="26">
        <f t="shared" si="242"/>
        <v>1055</v>
      </c>
    </row>
    <row r="3497" spans="1:100" x14ac:dyDescent="0.2">
      <c r="A3497" s="9" t="s">
        <v>685</v>
      </c>
      <c r="B3497" s="2">
        <v>2</v>
      </c>
      <c r="C3497" s="3" t="s">
        <v>95</v>
      </c>
      <c r="D3497" s="3" t="s">
        <v>96</v>
      </c>
      <c r="E3497" s="2"/>
      <c r="F3497" s="2"/>
      <c r="G3497" s="2" t="s">
        <v>65</v>
      </c>
      <c r="H3497" s="2">
        <v>2</v>
      </c>
      <c r="I3497" s="20">
        <v>120.89</v>
      </c>
      <c r="J3497" s="20">
        <v>54029</v>
      </c>
      <c r="K3497" s="3">
        <v>0</v>
      </c>
      <c r="L3497" s="3" t="s">
        <v>3</v>
      </c>
      <c r="M3497" s="9" t="s">
        <v>0</v>
      </c>
      <c r="N3497" s="9">
        <v>43115531</v>
      </c>
      <c r="O3497" s="9" t="s">
        <v>686</v>
      </c>
      <c r="S3497" s="9" t="s">
        <v>158</v>
      </c>
      <c r="T3497" s="10" t="s">
        <v>65</v>
      </c>
      <c r="U3497" s="10">
        <v>2</v>
      </c>
      <c r="V3497" s="10">
        <v>120.89</v>
      </c>
      <c r="W3497" s="10" t="s">
        <v>710</v>
      </c>
      <c r="X3497" s="17">
        <v>45851</v>
      </c>
      <c r="Y3497" s="17">
        <v>45851</v>
      </c>
      <c r="Z3497" s="19" t="s">
        <v>772</v>
      </c>
      <c r="AA3497" s="207">
        <v>50000</v>
      </c>
      <c r="AB3497" s="9">
        <v>36</v>
      </c>
      <c r="AC3497" s="9">
        <v>4</v>
      </c>
      <c r="AD3497" s="17">
        <v>45991</v>
      </c>
      <c r="AE3497" s="22">
        <v>1055</v>
      </c>
      <c r="AF3497" s="22"/>
      <c r="AL3497" s="9"/>
      <c r="AM3497" s="9"/>
      <c r="AN3497" s="9"/>
      <c r="AO3497" s="22"/>
      <c r="AP3497" s="22"/>
      <c r="AQ3497" s="22"/>
      <c r="AR3497" s="22"/>
      <c r="AS3497" s="22"/>
      <c r="AT3497" s="22"/>
      <c r="AU3497" s="22"/>
      <c r="AV3497" s="22"/>
      <c r="AW3497" s="9"/>
      <c r="BA3497" s="22"/>
      <c r="BB3497" s="22"/>
      <c r="BD3497" s="9"/>
      <c r="CS3497" s="11">
        <f t="shared" si="239"/>
        <v>0</v>
      </c>
      <c r="CT3497" s="22">
        <f t="shared" si="240"/>
        <v>0</v>
      </c>
      <c r="CU3497" s="22">
        <f t="shared" si="241"/>
        <v>0</v>
      </c>
      <c r="CV3497" s="26">
        <f t="shared" si="242"/>
        <v>1055</v>
      </c>
    </row>
    <row r="3498" spans="1:100" x14ac:dyDescent="0.2">
      <c r="A3498" s="9" t="s">
        <v>685</v>
      </c>
      <c r="B3498" s="2">
        <v>2</v>
      </c>
      <c r="C3498" s="3" t="s">
        <v>95</v>
      </c>
      <c r="D3498" s="3" t="s">
        <v>96</v>
      </c>
      <c r="E3498" s="2"/>
      <c r="F3498" s="2"/>
      <c r="G3498" s="2" t="s">
        <v>65</v>
      </c>
      <c r="H3498" s="2">
        <v>2</v>
      </c>
      <c r="I3498" s="20">
        <v>120.89</v>
      </c>
      <c r="J3498" s="20">
        <v>54029</v>
      </c>
      <c r="K3498" s="3">
        <v>0</v>
      </c>
      <c r="L3498" s="3" t="s">
        <v>3</v>
      </c>
      <c r="M3498" s="9" t="s">
        <v>0</v>
      </c>
      <c r="N3498" s="9">
        <v>43115531</v>
      </c>
      <c r="O3498" s="9" t="s">
        <v>686</v>
      </c>
      <c r="S3498" s="9" t="s">
        <v>158</v>
      </c>
      <c r="T3498" s="10" t="s">
        <v>65</v>
      </c>
      <c r="U3498" s="10">
        <v>2</v>
      </c>
      <c r="V3498" s="10">
        <v>120.89</v>
      </c>
      <c r="W3498" s="10" t="s">
        <v>710</v>
      </c>
      <c r="X3498" s="17">
        <v>45851</v>
      </c>
      <c r="Y3498" s="17">
        <v>45851</v>
      </c>
      <c r="Z3498" s="19" t="s">
        <v>772</v>
      </c>
      <c r="AA3498" s="207">
        <v>50000</v>
      </c>
      <c r="AB3498" s="9">
        <v>36</v>
      </c>
      <c r="AC3498" s="9">
        <v>5</v>
      </c>
      <c r="AD3498" s="17">
        <v>46021</v>
      </c>
      <c r="AE3498" s="22">
        <v>1055</v>
      </c>
      <c r="AF3498" s="22"/>
      <c r="AL3498" s="9"/>
      <c r="AM3498" s="9"/>
      <c r="AN3498" s="9"/>
      <c r="AO3498" s="22"/>
      <c r="AP3498" s="22"/>
      <c r="AQ3498" s="22"/>
      <c r="AR3498" s="22"/>
      <c r="AS3498" s="22"/>
      <c r="AT3498" s="22"/>
      <c r="AU3498" s="22"/>
      <c r="AV3498" s="22"/>
      <c r="AW3498" s="17"/>
      <c r="AX3498" s="86"/>
      <c r="BA3498" s="22"/>
      <c r="BB3498" s="22"/>
      <c r="BD3498" s="9"/>
      <c r="CS3498" s="11">
        <f t="shared" si="239"/>
        <v>0</v>
      </c>
      <c r="CT3498" s="22">
        <f t="shared" si="240"/>
        <v>0</v>
      </c>
      <c r="CU3498" s="22">
        <f t="shared" si="241"/>
        <v>0</v>
      </c>
      <c r="CV3498" s="26">
        <f t="shared" si="242"/>
        <v>1055</v>
      </c>
    </row>
    <row r="3499" spans="1:100" x14ac:dyDescent="0.2">
      <c r="A3499" s="9" t="s">
        <v>685</v>
      </c>
      <c r="B3499" s="2">
        <v>2</v>
      </c>
      <c r="C3499" s="3" t="s">
        <v>95</v>
      </c>
      <c r="D3499" s="3" t="s">
        <v>96</v>
      </c>
      <c r="E3499" s="2"/>
      <c r="F3499" s="2"/>
      <c r="G3499" s="2" t="s">
        <v>65</v>
      </c>
      <c r="H3499" s="2">
        <v>2</v>
      </c>
      <c r="I3499" s="20">
        <v>120.89</v>
      </c>
      <c r="J3499" s="20">
        <v>54029</v>
      </c>
      <c r="K3499" s="3">
        <v>0</v>
      </c>
      <c r="L3499" s="3" t="s">
        <v>3</v>
      </c>
      <c r="M3499" s="9" t="s">
        <v>0</v>
      </c>
      <c r="N3499" s="9">
        <v>43115531</v>
      </c>
      <c r="O3499" s="9" t="s">
        <v>686</v>
      </c>
      <c r="S3499" s="9" t="s">
        <v>158</v>
      </c>
      <c r="T3499" s="10" t="s">
        <v>65</v>
      </c>
      <c r="U3499" s="10">
        <v>2</v>
      </c>
      <c r="V3499" s="10">
        <v>120.89</v>
      </c>
      <c r="W3499" s="10" t="s">
        <v>710</v>
      </c>
      <c r="X3499" s="17">
        <v>45851</v>
      </c>
      <c r="Y3499" s="17">
        <v>45851</v>
      </c>
      <c r="Z3499" s="19" t="s">
        <v>772</v>
      </c>
      <c r="AA3499" s="207">
        <v>50000</v>
      </c>
      <c r="AB3499" s="9">
        <v>36</v>
      </c>
      <c r="AC3499" s="9">
        <v>6</v>
      </c>
      <c r="AD3499" s="17">
        <v>46052</v>
      </c>
      <c r="AE3499" s="22">
        <v>1055</v>
      </c>
      <c r="AF3499" s="22"/>
      <c r="AL3499" s="9"/>
      <c r="AM3499" s="9"/>
      <c r="AN3499" s="9"/>
      <c r="AO3499" s="22"/>
      <c r="AP3499" s="22"/>
      <c r="AQ3499" s="22"/>
      <c r="AR3499" s="22"/>
      <c r="AS3499" s="22"/>
      <c r="AT3499" s="22"/>
      <c r="AU3499" s="22"/>
      <c r="AV3499" s="22"/>
      <c r="AW3499" s="9"/>
      <c r="BA3499" s="22"/>
      <c r="BB3499" s="22"/>
      <c r="BD3499" s="9"/>
      <c r="CS3499" s="11">
        <f t="shared" si="239"/>
        <v>0</v>
      </c>
      <c r="CT3499" s="22">
        <f t="shared" si="240"/>
        <v>0</v>
      </c>
      <c r="CU3499" s="22">
        <f t="shared" si="241"/>
        <v>0</v>
      </c>
      <c r="CV3499" s="26">
        <f t="shared" si="242"/>
        <v>1055</v>
      </c>
    </row>
    <row r="3500" spans="1:100" x14ac:dyDescent="0.2">
      <c r="A3500" s="9" t="s">
        <v>685</v>
      </c>
      <c r="B3500" s="2">
        <v>2</v>
      </c>
      <c r="C3500" s="3" t="s">
        <v>95</v>
      </c>
      <c r="D3500" s="3" t="s">
        <v>96</v>
      </c>
      <c r="E3500" s="2"/>
      <c r="F3500" s="2"/>
      <c r="G3500" s="2" t="s">
        <v>65</v>
      </c>
      <c r="H3500" s="2">
        <v>2</v>
      </c>
      <c r="I3500" s="20">
        <v>120.89</v>
      </c>
      <c r="J3500" s="20">
        <v>54029</v>
      </c>
      <c r="K3500" s="3">
        <v>0</v>
      </c>
      <c r="L3500" s="3" t="s">
        <v>3</v>
      </c>
      <c r="M3500" s="9" t="s">
        <v>0</v>
      </c>
      <c r="N3500" s="9">
        <v>43115531</v>
      </c>
      <c r="O3500" s="9" t="s">
        <v>686</v>
      </c>
      <c r="S3500" s="9" t="s">
        <v>158</v>
      </c>
      <c r="T3500" s="10" t="s">
        <v>65</v>
      </c>
      <c r="U3500" s="10">
        <v>2</v>
      </c>
      <c r="V3500" s="10">
        <v>120.89</v>
      </c>
      <c r="W3500" s="10" t="s">
        <v>710</v>
      </c>
      <c r="X3500" s="17">
        <v>45851</v>
      </c>
      <c r="Y3500" s="17">
        <v>45851</v>
      </c>
      <c r="Z3500" s="19" t="s">
        <v>772</v>
      </c>
      <c r="AA3500" s="207">
        <v>50000</v>
      </c>
      <c r="AB3500" s="9">
        <v>36</v>
      </c>
      <c r="AC3500" s="9">
        <v>7</v>
      </c>
      <c r="AD3500" s="17">
        <v>46081</v>
      </c>
      <c r="AE3500" s="22">
        <v>1055</v>
      </c>
      <c r="AF3500" s="22"/>
      <c r="AL3500" s="9"/>
      <c r="AM3500" s="9"/>
      <c r="AN3500" s="9"/>
      <c r="AO3500" s="22"/>
      <c r="AP3500" s="22"/>
      <c r="AQ3500" s="22"/>
      <c r="AR3500" s="22"/>
      <c r="AS3500" s="22"/>
      <c r="AT3500" s="22"/>
      <c r="AU3500" s="22"/>
      <c r="AV3500" s="22"/>
      <c r="AW3500" s="9"/>
      <c r="BA3500" s="22"/>
      <c r="BB3500" s="22"/>
      <c r="BD3500" s="9"/>
      <c r="CS3500" s="11">
        <f t="shared" si="239"/>
        <v>0</v>
      </c>
      <c r="CT3500" s="22">
        <f t="shared" si="240"/>
        <v>0</v>
      </c>
      <c r="CU3500" s="22">
        <f t="shared" si="241"/>
        <v>0</v>
      </c>
      <c r="CV3500" s="26">
        <f t="shared" si="242"/>
        <v>1055</v>
      </c>
    </row>
    <row r="3501" spans="1:100" x14ac:dyDescent="0.2">
      <c r="A3501" s="9" t="s">
        <v>685</v>
      </c>
      <c r="B3501" s="2">
        <v>2</v>
      </c>
      <c r="C3501" s="3" t="s">
        <v>95</v>
      </c>
      <c r="D3501" s="3" t="s">
        <v>96</v>
      </c>
      <c r="E3501" s="2"/>
      <c r="F3501" s="2"/>
      <c r="G3501" s="2" t="s">
        <v>65</v>
      </c>
      <c r="H3501" s="2">
        <v>2</v>
      </c>
      <c r="I3501" s="20">
        <v>120.89</v>
      </c>
      <c r="J3501" s="20">
        <v>54029</v>
      </c>
      <c r="K3501" s="3">
        <v>0</v>
      </c>
      <c r="L3501" s="3" t="s">
        <v>3</v>
      </c>
      <c r="M3501" s="9" t="s">
        <v>0</v>
      </c>
      <c r="N3501" s="9">
        <v>43115531</v>
      </c>
      <c r="O3501" s="9" t="s">
        <v>686</v>
      </c>
      <c r="S3501" s="9" t="s">
        <v>158</v>
      </c>
      <c r="T3501" s="10" t="s">
        <v>65</v>
      </c>
      <c r="U3501" s="10">
        <v>2</v>
      </c>
      <c r="V3501" s="10">
        <v>120.89</v>
      </c>
      <c r="W3501" s="10" t="s">
        <v>710</v>
      </c>
      <c r="X3501" s="17">
        <v>45851</v>
      </c>
      <c r="Y3501" s="17">
        <v>45851</v>
      </c>
      <c r="Z3501" s="19" t="s">
        <v>772</v>
      </c>
      <c r="AA3501" s="207">
        <v>50000</v>
      </c>
      <c r="AB3501" s="9">
        <v>36</v>
      </c>
      <c r="AC3501" s="9">
        <v>8</v>
      </c>
      <c r="AD3501" s="17">
        <v>46111</v>
      </c>
      <c r="AE3501" s="22">
        <v>1055</v>
      </c>
      <c r="AF3501" s="22"/>
      <c r="AL3501" s="9"/>
      <c r="AM3501" s="9"/>
      <c r="AN3501" s="9"/>
      <c r="AO3501" s="22"/>
      <c r="AP3501" s="22"/>
      <c r="AQ3501" s="22"/>
      <c r="AR3501" s="22"/>
      <c r="AS3501" s="22"/>
      <c r="AT3501" s="22"/>
      <c r="AU3501" s="22"/>
      <c r="AV3501" s="22"/>
      <c r="AW3501" s="9"/>
      <c r="BA3501" s="22"/>
      <c r="BB3501" s="22"/>
      <c r="BD3501" s="9"/>
      <c r="CS3501" s="11">
        <f t="shared" si="239"/>
        <v>0</v>
      </c>
      <c r="CT3501" s="22">
        <f t="shared" si="240"/>
        <v>0</v>
      </c>
      <c r="CU3501" s="22">
        <f t="shared" si="241"/>
        <v>0</v>
      </c>
      <c r="CV3501" s="26">
        <f t="shared" si="242"/>
        <v>1055</v>
      </c>
    </row>
    <row r="3502" spans="1:100" x14ac:dyDescent="0.2">
      <c r="A3502" s="9" t="s">
        <v>685</v>
      </c>
      <c r="B3502" s="2">
        <v>2</v>
      </c>
      <c r="C3502" s="3" t="s">
        <v>95</v>
      </c>
      <c r="D3502" s="3" t="s">
        <v>96</v>
      </c>
      <c r="E3502" s="2"/>
      <c r="F3502" s="2"/>
      <c r="G3502" s="2" t="s">
        <v>65</v>
      </c>
      <c r="H3502" s="2">
        <v>2</v>
      </c>
      <c r="I3502" s="20">
        <v>120.89</v>
      </c>
      <c r="J3502" s="20">
        <v>54029</v>
      </c>
      <c r="K3502" s="3">
        <v>0</v>
      </c>
      <c r="L3502" s="3" t="s">
        <v>3</v>
      </c>
      <c r="M3502" s="9" t="s">
        <v>0</v>
      </c>
      <c r="N3502" s="9">
        <v>43115531</v>
      </c>
      <c r="O3502" s="9" t="s">
        <v>686</v>
      </c>
      <c r="S3502" s="9" t="s">
        <v>158</v>
      </c>
      <c r="T3502" s="10" t="s">
        <v>65</v>
      </c>
      <c r="U3502" s="10">
        <v>2</v>
      </c>
      <c r="V3502" s="10">
        <v>120.89</v>
      </c>
      <c r="W3502" s="10" t="s">
        <v>710</v>
      </c>
      <c r="X3502" s="17">
        <v>45851</v>
      </c>
      <c r="Y3502" s="17">
        <v>45851</v>
      </c>
      <c r="Z3502" s="19" t="s">
        <v>772</v>
      </c>
      <c r="AA3502" s="207">
        <v>50000</v>
      </c>
      <c r="AB3502" s="9">
        <v>36</v>
      </c>
      <c r="AC3502" s="9">
        <v>9</v>
      </c>
      <c r="AD3502" s="17">
        <v>46142</v>
      </c>
      <c r="AE3502" s="22">
        <v>1055</v>
      </c>
      <c r="AF3502" s="22"/>
      <c r="AL3502" s="9"/>
      <c r="AM3502" s="9"/>
      <c r="AN3502" s="9"/>
      <c r="AO3502" s="22"/>
      <c r="AP3502" s="22"/>
      <c r="AQ3502" s="22"/>
      <c r="AR3502" s="22"/>
      <c r="AS3502" s="22"/>
      <c r="AT3502" s="22"/>
      <c r="AU3502" s="22"/>
      <c r="AV3502" s="22"/>
      <c r="AW3502" s="17"/>
      <c r="AX3502" s="86"/>
      <c r="BA3502" s="22"/>
      <c r="BB3502" s="22"/>
      <c r="BD3502" s="9"/>
      <c r="CS3502" s="11">
        <f t="shared" si="239"/>
        <v>0</v>
      </c>
      <c r="CT3502" s="22">
        <f t="shared" si="240"/>
        <v>0</v>
      </c>
      <c r="CU3502" s="22">
        <f t="shared" si="241"/>
        <v>0</v>
      </c>
      <c r="CV3502" s="26">
        <f t="shared" si="242"/>
        <v>1055</v>
      </c>
    </row>
    <row r="3503" spans="1:100" x14ac:dyDescent="0.2">
      <c r="A3503" s="9" t="s">
        <v>685</v>
      </c>
      <c r="B3503" s="2">
        <v>2</v>
      </c>
      <c r="C3503" s="3" t="s">
        <v>95</v>
      </c>
      <c r="D3503" s="3" t="s">
        <v>96</v>
      </c>
      <c r="E3503" s="2"/>
      <c r="F3503" s="2"/>
      <c r="G3503" s="2" t="s">
        <v>65</v>
      </c>
      <c r="H3503" s="2">
        <v>2</v>
      </c>
      <c r="I3503" s="20">
        <v>120.89</v>
      </c>
      <c r="J3503" s="20">
        <v>54029</v>
      </c>
      <c r="K3503" s="3">
        <v>0</v>
      </c>
      <c r="L3503" s="3" t="s">
        <v>3</v>
      </c>
      <c r="M3503" s="9" t="s">
        <v>0</v>
      </c>
      <c r="N3503" s="9">
        <v>43115531</v>
      </c>
      <c r="O3503" s="9" t="s">
        <v>686</v>
      </c>
      <c r="S3503" s="9" t="s">
        <v>158</v>
      </c>
      <c r="T3503" s="10" t="s">
        <v>65</v>
      </c>
      <c r="U3503" s="10">
        <v>2</v>
      </c>
      <c r="V3503" s="10">
        <v>120.89</v>
      </c>
      <c r="W3503" s="10" t="s">
        <v>710</v>
      </c>
      <c r="X3503" s="17">
        <v>45851</v>
      </c>
      <c r="Y3503" s="17">
        <v>45851</v>
      </c>
      <c r="Z3503" s="19" t="s">
        <v>772</v>
      </c>
      <c r="AA3503" s="207">
        <v>50000</v>
      </c>
      <c r="AB3503" s="9">
        <v>36</v>
      </c>
      <c r="AC3503" s="9">
        <v>10</v>
      </c>
      <c r="AD3503" s="17">
        <v>46172</v>
      </c>
      <c r="AE3503" s="22">
        <v>1055</v>
      </c>
      <c r="AF3503" s="22"/>
      <c r="AL3503" s="9"/>
      <c r="AM3503" s="9"/>
      <c r="AN3503" s="9"/>
      <c r="AO3503" s="22"/>
      <c r="AP3503" s="22"/>
      <c r="AQ3503" s="22"/>
      <c r="AR3503" s="22"/>
      <c r="AS3503" s="22"/>
      <c r="AT3503" s="22"/>
      <c r="AU3503" s="22"/>
      <c r="AV3503" s="22"/>
      <c r="AW3503" s="9"/>
      <c r="BA3503" s="22"/>
      <c r="BB3503" s="22"/>
      <c r="BD3503" s="9"/>
      <c r="CS3503" s="11">
        <f t="shared" si="239"/>
        <v>0</v>
      </c>
      <c r="CT3503" s="22">
        <f t="shared" si="240"/>
        <v>0</v>
      </c>
      <c r="CU3503" s="22">
        <f t="shared" si="241"/>
        <v>0</v>
      </c>
      <c r="CV3503" s="26">
        <f t="shared" si="242"/>
        <v>1055</v>
      </c>
    </row>
    <row r="3504" spans="1:100" x14ac:dyDescent="0.2">
      <c r="A3504" s="9" t="s">
        <v>685</v>
      </c>
      <c r="B3504" s="2">
        <v>2</v>
      </c>
      <c r="C3504" s="3" t="s">
        <v>95</v>
      </c>
      <c r="D3504" s="3" t="s">
        <v>96</v>
      </c>
      <c r="E3504" s="2"/>
      <c r="F3504" s="2"/>
      <c r="G3504" s="2" t="s">
        <v>65</v>
      </c>
      <c r="H3504" s="2">
        <v>2</v>
      </c>
      <c r="I3504" s="20">
        <v>120.89</v>
      </c>
      <c r="J3504" s="20">
        <v>54029</v>
      </c>
      <c r="K3504" s="3">
        <v>0</v>
      </c>
      <c r="L3504" s="3" t="s">
        <v>3</v>
      </c>
      <c r="M3504" s="9" t="s">
        <v>0</v>
      </c>
      <c r="N3504" s="9">
        <v>43115531</v>
      </c>
      <c r="O3504" s="9" t="s">
        <v>686</v>
      </c>
      <c r="S3504" s="9" t="s">
        <v>158</v>
      </c>
      <c r="T3504" s="10" t="s">
        <v>65</v>
      </c>
      <c r="U3504" s="10">
        <v>2</v>
      </c>
      <c r="V3504" s="10">
        <v>120.89</v>
      </c>
      <c r="W3504" s="10" t="s">
        <v>710</v>
      </c>
      <c r="X3504" s="17">
        <v>45851</v>
      </c>
      <c r="Y3504" s="17">
        <v>45851</v>
      </c>
      <c r="Z3504" s="19" t="s">
        <v>772</v>
      </c>
      <c r="AA3504" s="207">
        <v>50000</v>
      </c>
      <c r="AB3504" s="9">
        <v>36</v>
      </c>
      <c r="AC3504" s="9">
        <v>11</v>
      </c>
      <c r="AD3504" s="17">
        <v>46203</v>
      </c>
      <c r="AE3504" s="22">
        <v>1055</v>
      </c>
      <c r="AF3504" s="22"/>
      <c r="AL3504" s="9"/>
      <c r="AM3504" s="9"/>
      <c r="AN3504" s="9"/>
      <c r="AO3504" s="22"/>
      <c r="AP3504" s="22"/>
      <c r="AQ3504" s="22"/>
      <c r="AR3504" s="22"/>
      <c r="AS3504" s="22"/>
      <c r="AT3504" s="22"/>
      <c r="AU3504" s="22"/>
      <c r="AV3504" s="22"/>
      <c r="AW3504" s="9"/>
      <c r="BA3504" s="22"/>
      <c r="BB3504" s="22"/>
      <c r="BD3504" s="9"/>
      <c r="CS3504" s="11">
        <f t="shared" si="239"/>
        <v>0</v>
      </c>
      <c r="CT3504" s="22">
        <f t="shared" si="240"/>
        <v>0</v>
      </c>
      <c r="CU3504" s="22">
        <f t="shared" si="241"/>
        <v>0</v>
      </c>
      <c r="CV3504" s="26">
        <f t="shared" si="242"/>
        <v>1055</v>
      </c>
    </row>
    <row r="3505" spans="1:100" x14ac:dyDescent="0.2">
      <c r="A3505" s="9" t="s">
        <v>685</v>
      </c>
      <c r="B3505" s="2">
        <v>2</v>
      </c>
      <c r="C3505" s="3" t="s">
        <v>95</v>
      </c>
      <c r="D3505" s="3" t="s">
        <v>96</v>
      </c>
      <c r="E3505" s="2"/>
      <c r="F3505" s="2"/>
      <c r="G3505" s="2" t="s">
        <v>65</v>
      </c>
      <c r="H3505" s="2">
        <v>2</v>
      </c>
      <c r="I3505" s="20">
        <v>120.89</v>
      </c>
      <c r="J3505" s="20">
        <v>54029</v>
      </c>
      <c r="K3505" s="3">
        <v>0</v>
      </c>
      <c r="L3505" s="3" t="s">
        <v>3</v>
      </c>
      <c r="M3505" s="9" t="s">
        <v>0</v>
      </c>
      <c r="N3505" s="9">
        <v>43115531</v>
      </c>
      <c r="O3505" s="9" t="s">
        <v>686</v>
      </c>
      <c r="S3505" s="9" t="s">
        <v>158</v>
      </c>
      <c r="T3505" s="10" t="s">
        <v>65</v>
      </c>
      <c r="U3505" s="10">
        <v>2</v>
      </c>
      <c r="V3505" s="10">
        <v>120.89</v>
      </c>
      <c r="W3505" s="10" t="s">
        <v>710</v>
      </c>
      <c r="X3505" s="17">
        <v>45851</v>
      </c>
      <c r="Y3505" s="17">
        <v>45851</v>
      </c>
      <c r="Z3505" s="19" t="s">
        <v>772</v>
      </c>
      <c r="AA3505" s="207">
        <v>50000</v>
      </c>
      <c r="AB3505" s="9">
        <v>36</v>
      </c>
      <c r="AC3505" s="9">
        <v>12</v>
      </c>
      <c r="AD3505" s="17">
        <v>46233</v>
      </c>
      <c r="AE3505" s="22">
        <v>1055</v>
      </c>
      <c r="AF3505" s="22"/>
      <c r="AL3505" s="9"/>
      <c r="AM3505" s="9"/>
      <c r="AN3505" s="9"/>
      <c r="AO3505" s="22"/>
      <c r="AP3505" s="22"/>
      <c r="AQ3505" s="22"/>
      <c r="AR3505" s="22"/>
      <c r="AS3505" s="22"/>
      <c r="AT3505" s="22"/>
      <c r="AU3505" s="22"/>
      <c r="AV3505" s="22"/>
      <c r="AW3505" s="9"/>
      <c r="BA3505" s="22"/>
      <c r="BB3505" s="22"/>
      <c r="BD3505" s="9"/>
      <c r="CS3505" s="11">
        <f t="shared" si="239"/>
        <v>0</v>
      </c>
      <c r="CT3505" s="22">
        <f t="shared" si="240"/>
        <v>0</v>
      </c>
      <c r="CU3505" s="22">
        <f t="shared" si="241"/>
        <v>0</v>
      </c>
      <c r="CV3505" s="26">
        <f t="shared" si="242"/>
        <v>1055</v>
      </c>
    </row>
    <row r="3506" spans="1:100" x14ac:dyDescent="0.2">
      <c r="A3506" s="9" t="s">
        <v>685</v>
      </c>
      <c r="B3506" s="2">
        <v>2</v>
      </c>
      <c r="C3506" s="3" t="s">
        <v>95</v>
      </c>
      <c r="D3506" s="3" t="s">
        <v>96</v>
      </c>
      <c r="E3506" s="2"/>
      <c r="F3506" s="2"/>
      <c r="G3506" s="2" t="s">
        <v>65</v>
      </c>
      <c r="H3506" s="2">
        <v>2</v>
      </c>
      <c r="I3506" s="20">
        <v>120.89</v>
      </c>
      <c r="J3506" s="20">
        <v>54029</v>
      </c>
      <c r="K3506" s="3">
        <v>0</v>
      </c>
      <c r="L3506" s="3" t="s">
        <v>3</v>
      </c>
      <c r="M3506" s="9" t="s">
        <v>0</v>
      </c>
      <c r="N3506" s="9">
        <v>43115531</v>
      </c>
      <c r="O3506" s="9" t="s">
        <v>686</v>
      </c>
      <c r="S3506" s="9" t="s">
        <v>158</v>
      </c>
      <c r="T3506" s="10" t="s">
        <v>65</v>
      </c>
      <c r="U3506" s="10">
        <v>2</v>
      </c>
      <c r="V3506" s="10">
        <v>120.89</v>
      </c>
      <c r="W3506" s="10" t="s">
        <v>710</v>
      </c>
      <c r="X3506" s="17">
        <v>45851</v>
      </c>
      <c r="Y3506" s="17">
        <v>45851</v>
      </c>
      <c r="Z3506" s="19" t="s">
        <v>772</v>
      </c>
      <c r="AA3506" s="207">
        <v>50000</v>
      </c>
      <c r="AB3506" s="9">
        <v>36</v>
      </c>
      <c r="AC3506" s="9">
        <v>13</v>
      </c>
      <c r="AD3506" s="17">
        <v>46264</v>
      </c>
      <c r="AE3506" s="22">
        <v>1055</v>
      </c>
      <c r="AF3506" s="22"/>
      <c r="AL3506" s="9"/>
      <c r="AM3506" s="9"/>
      <c r="AN3506" s="9"/>
      <c r="AO3506" s="22"/>
      <c r="AP3506" s="22"/>
      <c r="AQ3506" s="22"/>
      <c r="AR3506" s="22"/>
      <c r="AS3506" s="22"/>
      <c r="AT3506" s="22"/>
      <c r="AU3506" s="22"/>
      <c r="AV3506" s="22"/>
      <c r="AW3506" s="9"/>
      <c r="BA3506" s="22"/>
      <c r="BB3506" s="22"/>
      <c r="BD3506" s="9"/>
      <c r="CS3506" s="11">
        <f t="shared" si="239"/>
        <v>0</v>
      </c>
      <c r="CT3506" s="22">
        <f t="shared" si="240"/>
        <v>0</v>
      </c>
      <c r="CU3506" s="22">
        <f t="shared" si="241"/>
        <v>0</v>
      </c>
      <c r="CV3506" s="26">
        <f t="shared" si="242"/>
        <v>1055</v>
      </c>
    </row>
    <row r="3507" spans="1:100" x14ac:dyDescent="0.2">
      <c r="A3507" s="9" t="s">
        <v>685</v>
      </c>
      <c r="B3507" s="2">
        <v>2</v>
      </c>
      <c r="C3507" s="3" t="s">
        <v>95</v>
      </c>
      <c r="D3507" s="3" t="s">
        <v>96</v>
      </c>
      <c r="E3507" s="2"/>
      <c r="F3507" s="2"/>
      <c r="G3507" s="2" t="s">
        <v>65</v>
      </c>
      <c r="H3507" s="2">
        <v>2</v>
      </c>
      <c r="I3507" s="20">
        <v>120.89</v>
      </c>
      <c r="J3507" s="20">
        <v>54029</v>
      </c>
      <c r="K3507" s="3">
        <v>0</v>
      </c>
      <c r="L3507" s="3" t="s">
        <v>3</v>
      </c>
      <c r="M3507" s="9" t="s">
        <v>0</v>
      </c>
      <c r="N3507" s="9">
        <v>43115531</v>
      </c>
      <c r="O3507" s="9" t="s">
        <v>686</v>
      </c>
      <c r="S3507" s="9" t="s">
        <v>158</v>
      </c>
      <c r="T3507" s="10" t="s">
        <v>65</v>
      </c>
      <c r="U3507" s="10">
        <v>2</v>
      </c>
      <c r="V3507" s="10">
        <v>120.89</v>
      </c>
      <c r="W3507" s="10" t="s">
        <v>710</v>
      </c>
      <c r="X3507" s="17">
        <v>45851</v>
      </c>
      <c r="Y3507" s="17">
        <v>45851</v>
      </c>
      <c r="Z3507" s="19" t="s">
        <v>772</v>
      </c>
      <c r="AA3507" s="207">
        <v>50000</v>
      </c>
      <c r="AB3507" s="9">
        <v>36</v>
      </c>
      <c r="AC3507" s="9">
        <v>14</v>
      </c>
      <c r="AD3507" s="17">
        <v>46295</v>
      </c>
      <c r="AE3507" s="22">
        <v>1055</v>
      </c>
      <c r="AF3507" s="22"/>
      <c r="AL3507" s="9"/>
      <c r="AM3507" s="9"/>
      <c r="AN3507" s="9"/>
      <c r="AO3507" s="22"/>
      <c r="AP3507" s="22"/>
      <c r="AQ3507" s="22"/>
      <c r="AR3507" s="22"/>
      <c r="AS3507" s="22"/>
      <c r="AT3507" s="22"/>
      <c r="AU3507" s="22"/>
      <c r="AV3507" s="22"/>
      <c r="AW3507" s="9"/>
      <c r="BA3507" s="22"/>
      <c r="BB3507" s="22"/>
      <c r="BD3507" s="9"/>
      <c r="CS3507" s="11">
        <f t="shared" si="239"/>
        <v>0</v>
      </c>
      <c r="CT3507" s="22">
        <f t="shared" si="240"/>
        <v>0</v>
      </c>
      <c r="CU3507" s="22">
        <f t="shared" si="241"/>
        <v>0</v>
      </c>
      <c r="CV3507" s="26">
        <f t="shared" si="242"/>
        <v>1055</v>
      </c>
    </row>
    <row r="3508" spans="1:100" x14ac:dyDescent="0.2">
      <c r="A3508" s="9" t="s">
        <v>685</v>
      </c>
      <c r="B3508" s="2">
        <v>2</v>
      </c>
      <c r="C3508" s="3" t="s">
        <v>95</v>
      </c>
      <c r="D3508" s="3" t="s">
        <v>96</v>
      </c>
      <c r="E3508" s="2"/>
      <c r="F3508" s="2"/>
      <c r="G3508" s="2" t="s">
        <v>65</v>
      </c>
      <c r="H3508" s="2">
        <v>2</v>
      </c>
      <c r="I3508" s="20">
        <v>120.89</v>
      </c>
      <c r="J3508" s="20">
        <v>54029</v>
      </c>
      <c r="K3508" s="3">
        <v>0</v>
      </c>
      <c r="L3508" s="3" t="s">
        <v>3</v>
      </c>
      <c r="M3508" s="9" t="s">
        <v>0</v>
      </c>
      <c r="N3508" s="9">
        <v>43115531</v>
      </c>
      <c r="O3508" s="9" t="s">
        <v>686</v>
      </c>
      <c r="S3508" s="9" t="s">
        <v>158</v>
      </c>
      <c r="T3508" s="10" t="s">
        <v>65</v>
      </c>
      <c r="U3508" s="10">
        <v>2</v>
      </c>
      <c r="V3508" s="10">
        <v>120.89</v>
      </c>
      <c r="W3508" s="10" t="s">
        <v>710</v>
      </c>
      <c r="X3508" s="17">
        <v>45851</v>
      </c>
      <c r="Y3508" s="17">
        <v>45851</v>
      </c>
      <c r="Z3508" s="19" t="s">
        <v>772</v>
      </c>
      <c r="AA3508" s="207">
        <v>50000</v>
      </c>
      <c r="AB3508" s="9">
        <v>36</v>
      </c>
      <c r="AC3508" s="9">
        <v>15</v>
      </c>
      <c r="AD3508" s="17">
        <v>46325</v>
      </c>
      <c r="AE3508" s="22">
        <v>1055</v>
      </c>
      <c r="AF3508" s="22"/>
      <c r="AL3508" s="9"/>
      <c r="AM3508" s="9"/>
      <c r="AN3508" s="9"/>
      <c r="AO3508" s="22"/>
      <c r="AP3508" s="22"/>
      <c r="AQ3508" s="22"/>
      <c r="AR3508" s="22"/>
      <c r="AS3508" s="22"/>
      <c r="AT3508" s="22"/>
      <c r="AU3508" s="22"/>
      <c r="AV3508" s="22"/>
      <c r="AW3508" s="9"/>
      <c r="BA3508" s="22"/>
      <c r="BB3508" s="22"/>
      <c r="BD3508" s="9"/>
      <c r="CS3508" s="11">
        <f t="shared" ref="CS3508:CS3571" si="243">+AL3508+AT3508</f>
        <v>0</v>
      </c>
      <c r="CT3508" s="22">
        <f t="shared" ref="CT3508:CT3571" si="244">+BA3508+BG3508+BM3508+BS3508+BY3508+CE3508+CK3508+CQ3508</f>
        <v>0</v>
      </c>
      <c r="CU3508" s="22">
        <f t="shared" ref="CU3508:CU3571" si="245">+CS3508-CT3508</f>
        <v>0</v>
      </c>
      <c r="CV3508" s="26">
        <f t="shared" si="242"/>
        <v>1055</v>
      </c>
    </row>
    <row r="3509" spans="1:100" x14ac:dyDescent="0.2">
      <c r="A3509" s="9" t="s">
        <v>685</v>
      </c>
      <c r="B3509" s="2">
        <v>2</v>
      </c>
      <c r="C3509" s="3" t="s">
        <v>95</v>
      </c>
      <c r="D3509" s="3" t="s">
        <v>96</v>
      </c>
      <c r="E3509" s="2"/>
      <c r="F3509" s="2"/>
      <c r="G3509" s="2" t="s">
        <v>65</v>
      </c>
      <c r="H3509" s="2">
        <v>2</v>
      </c>
      <c r="I3509" s="20">
        <v>120.89</v>
      </c>
      <c r="J3509" s="20">
        <v>54029</v>
      </c>
      <c r="K3509" s="3">
        <v>0</v>
      </c>
      <c r="L3509" s="3" t="s">
        <v>3</v>
      </c>
      <c r="M3509" s="9" t="s">
        <v>0</v>
      </c>
      <c r="N3509" s="9">
        <v>43115531</v>
      </c>
      <c r="O3509" s="9" t="s">
        <v>686</v>
      </c>
      <c r="S3509" s="9" t="s">
        <v>158</v>
      </c>
      <c r="T3509" s="10" t="s">
        <v>65</v>
      </c>
      <c r="U3509" s="10">
        <v>2</v>
      </c>
      <c r="V3509" s="10">
        <v>120.89</v>
      </c>
      <c r="W3509" s="10" t="s">
        <v>710</v>
      </c>
      <c r="X3509" s="17">
        <v>45851</v>
      </c>
      <c r="Y3509" s="17">
        <v>45851</v>
      </c>
      <c r="Z3509" s="19" t="s">
        <v>772</v>
      </c>
      <c r="AA3509" s="207">
        <v>50000</v>
      </c>
      <c r="AB3509" s="9">
        <v>36</v>
      </c>
      <c r="AC3509" s="9">
        <v>16</v>
      </c>
      <c r="AD3509" s="17">
        <v>46356</v>
      </c>
      <c r="AE3509" s="22">
        <v>1055</v>
      </c>
      <c r="AF3509" s="22"/>
      <c r="AL3509" s="9"/>
      <c r="AM3509" s="9"/>
      <c r="AN3509" s="9"/>
      <c r="AO3509" s="22"/>
      <c r="AP3509" s="22"/>
      <c r="AQ3509" s="22"/>
      <c r="AR3509" s="22"/>
      <c r="AS3509" s="22"/>
      <c r="AT3509" s="22"/>
      <c r="AU3509" s="22"/>
      <c r="AV3509" s="22"/>
      <c r="AW3509" s="9"/>
      <c r="BA3509" s="22"/>
      <c r="BB3509" s="22"/>
      <c r="BD3509" s="9"/>
      <c r="CS3509" s="11">
        <f t="shared" si="243"/>
        <v>0</v>
      </c>
      <c r="CT3509" s="22">
        <f t="shared" si="244"/>
        <v>0</v>
      </c>
      <c r="CU3509" s="22">
        <f t="shared" si="245"/>
        <v>0</v>
      </c>
      <c r="CV3509" s="26">
        <f t="shared" si="242"/>
        <v>1055</v>
      </c>
    </row>
    <row r="3510" spans="1:100" x14ac:dyDescent="0.2">
      <c r="A3510" s="9" t="s">
        <v>685</v>
      </c>
      <c r="B3510" s="2">
        <v>2</v>
      </c>
      <c r="C3510" s="3" t="s">
        <v>95</v>
      </c>
      <c r="D3510" s="3" t="s">
        <v>96</v>
      </c>
      <c r="E3510" s="2"/>
      <c r="F3510" s="2"/>
      <c r="G3510" s="2" t="s">
        <v>65</v>
      </c>
      <c r="H3510" s="2">
        <v>2</v>
      </c>
      <c r="I3510" s="20">
        <v>120.89</v>
      </c>
      <c r="J3510" s="20">
        <v>54029</v>
      </c>
      <c r="K3510" s="3">
        <v>0</v>
      </c>
      <c r="L3510" s="3" t="s">
        <v>3</v>
      </c>
      <c r="M3510" s="9" t="s">
        <v>0</v>
      </c>
      <c r="N3510" s="9">
        <v>43115531</v>
      </c>
      <c r="O3510" s="9" t="s">
        <v>686</v>
      </c>
      <c r="S3510" s="9" t="s">
        <v>158</v>
      </c>
      <c r="T3510" s="10" t="s">
        <v>65</v>
      </c>
      <c r="U3510" s="10">
        <v>2</v>
      </c>
      <c r="V3510" s="10">
        <v>120.89</v>
      </c>
      <c r="W3510" s="10" t="s">
        <v>710</v>
      </c>
      <c r="X3510" s="17">
        <v>45851</v>
      </c>
      <c r="Y3510" s="17">
        <v>45851</v>
      </c>
      <c r="Z3510" s="19" t="s">
        <v>772</v>
      </c>
      <c r="AA3510" s="207">
        <v>50000</v>
      </c>
      <c r="AB3510" s="9">
        <v>36</v>
      </c>
      <c r="AC3510" s="9">
        <v>17</v>
      </c>
      <c r="AD3510" s="17">
        <v>46386</v>
      </c>
      <c r="AE3510" s="22">
        <v>1055</v>
      </c>
      <c r="AF3510" s="22"/>
      <c r="AL3510" s="9"/>
      <c r="AM3510" s="9"/>
      <c r="AN3510" s="9"/>
      <c r="AO3510" s="22"/>
      <c r="AP3510" s="22"/>
      <c r="AQ3510" s="22"/>
      <c r="AR3510" s="22"/>
      <c r="AS3510" s="22"/>
      <c r="AT3510" s="22"/>
      <c r="AU3510" s="22"/>
      <c r="AV3510" s="22"/>
      <c r="AW3510" s="9"/>
      <c r="BA3510" s="22"/>
      <c r="BB3510" s="22"/>
      <c r="BD3510" s="9"/>
      <c r="CS3510" s="11">
        <f t="shared" si="243"/>
        <v>0</v>
      </c>
      <c r="CT3510" s="22">
        <f t="shared" si="244"/>
        <v>0</v>
      </c>
      <c r="CU3510" s="22">
        <f t="shared" si="245"/>
        <v>0</v>
      </c>
      <c r="CV3510" s="26">
        <f t="shared" si="242"/>
        <v>1055</v>
      </c>
    </row>
    <row r="3511" spans="1:100" x14ac:dyDescent="0.2">
      <c r="A3511" s="9" t="s">
        <v>685</v>
      </c>
      <c r="B3511" s="2">
        <v>2</v>
      </c>
      <c r="C3511" s="3" t="s">
        <v>95</v>
      </c>
      <c r="D3511" s="3" t="s">
        <v>96</v>
      </c>
      <c r="E3511" s="2"/>
      <c r="F3511" s="2"/>
      <c r="G3511" s="2" t="s">
        <v>65</v>
      </c>
      <c r="H3511" s="2">
        <v>2</v>
      </c>
      <c r="I3511" s="20">
        <v>120.89</v>
      </c>
      <c r="J3511" s="20">
        <v>54029</v>
      </c>
      <c r="K3511" s="3">
        <v>0</v>
      </c>
      <c r="L3511" s="3" t="s">
        <v>3</v>
      </c>
      <c r="M3511" s="9" t="s">
        <v>0</v>
      </c>
      <c r="N3511" s="9">
        <v>43115531</v>
      </c>
      <c r="O3511" s="9" t="s">
        <v>686</v>
      </c>
      <c r="S3511" s="9" t="s">
        <v>158</v>
      </c>
      <c r="T3511" s="10" t="s">
        <v>65</v>
      </c>
      <c r="U3511" s="10">
        <v>2</v>
      </c>
      <c r="V3511" s="10">
        <v>120.89</v>
      </c>
      <c r="W3511" s="10" t="s">
        <v>710</v>
      </c>
      <c r="X3511" s="17">
        <v>45851</v>
      </c>
      <c r="Y3511" s="17">
        <v>45851</v>
      </c>
      <c r="Z3511" s="19" t="s">
        <v>772</v>
      </c>
      <c r="AA3511" s="207">
        <v>50000</v>
      </c>
      <c r="AB3511" s="9">
        <v>36</v>
      </c>
      <c r="AC3511" s="9">
        <v>18</v>
      </c>
      <c r="AD3511" s="17">
        <v>46417</v>
      </c>
      <c r="AE3511" s="22">
        <v>1055</v>
      </c>
      <c r="AF3511" s="22"/>
      <c r="AL3511" s="9"/>
      <c r="AM3511" s="9"/>
      <c r="AN3511" s="9"/>
      <c r="AO3511" s="22"/>
      <c r="AP3511" s="22"/>
      <c r="AQ3511" s="22"/>
      <c r="AR3511" s="22"/>
      <c r="AS3511" s="22"/>
      <c r="AT3511" s="22"/>
      <c r="AU3511" s="22"/>
      <c r="AV3511" s="22"/>
      <c r="AW3511" s="9"/>
      <c r="BA3511" s="22"/>
      <c r="BB3511" s="22"/>
      <c r="BD3511" s="9"/>
      <c r="CS3511" s="11">
        <f t="shared" si="243"/>
        <v>0</v>
      </c>
      <c r="CT3511" s="22">
        <f t="shared" si="244"/>
        <v>0</v>
      </c>
      <c r="CU3511" s="22">
        <f t="shared" si="245"/>
        <v>0</v>
      </c>
      <c r="CV3511" s="26">
        <f t="shared" si="242"/>
        <v>1055</v>
      </c>
    </row>
    <row r="3512" spans="1:100" x14ac:dyDescent="0.2">
      <c r="A3512" s="9" t="s">
        <v>685</v>
      </c>
      <c r="B3512" s="2">
        <v>2</v>
      </c>
      <c r="C3512" s="3" t="s">
        <v>95</v>
      </c>
      <c r="D3512" s="3" t="s">
        <v>96</v>
      </c>
      <c r="E3512" s="2"/>
      <c r="F3512" s="2"/>
      <c r="G3512" s="2" t="s">
        <v>65</v>
      </c>
      <c r="H3512" s="2">
        <v>2</v>
      </c>
      <c r="I3512" s="20">
        <v>120.89</v>
      </c>
      <c r="J3512" s="20">
        <v>54029</v>
      </c>
      <c r="K3512" s="3">
        <v>0</v>
      </c>
      <c r="L3512" s="3" t="s">
        <v>3</v>
      </c>
      <c r="M3512" s="9" t="s">
        <v>0</v>
      </c>
      <c r="N3512" s="9">
        <v>43115531</v>
      </c>
      <c r="O3512" s="9" t="s">
        <v>686</v>
      </c>
      <c r="S3512" s="9" t="s">
        <v>158</v>
      </c>
      <c r="T3512" s="10" t="s">
        <v>65</v>
      </c>
      <c r="U3512" s="10">
        <v>2</v>
      </c>
      <c r="V3512" s="10">
        <v>120.89</v>
      </c>
      <c r="W3512" s="10" t="s">
        <v>710</v>
      </c>
      <c r="X3512" s="17">
        <v>45851</v>
      </c>
      <c r="Y3512" s="17">
        <v>45851</v>
      </c>
      <c r="Z3512" s="19" t="s">
        <v>772</v>
      </c>
      <c r="AA3512" s="207">
        <v>50000</v>
      </c>
      <c r="AB3512" s="9">
        <v>36</v>
      </c>
      <c r="AC3512" s="9">
        <v>19</v>
      </c>
      <c r="AD3512" s="17">
        <v>46446</v>
      </c>
      <c r="AE3512" s="22">
        <v>1055</v>
      </c>
      <c r="AF3512" s="22"/>
      <c r="AL3512" s="9"/>
      <c r="AM3512" s="9"/>
      <c r="AN3512" s="9"/>
      <c r="AO3512" s="22"/>
      <c r="AP3512" s="22"/>
      <c r="AQ3512" s="22"/>
      <c r="AR3512" s="22"/>
      <c r="AS3512" s="22"/>
      <c r="AT3512" s="22"/>
      <c r="AU3512" s="22"/>
      <c r="AV3512" s="22"/>
      <c r="AW3512" s="9"/>
      <c r="BA3512" s="22"/>
      <c r="BB3512" s="22"/>
      <c r="BD3512" s="9"/>
      <c r="CS3512" s="11">
        <f t="shared" si="243"/>
        <v>0</v>
      </c>
      <c r="CT3512" s="22">
        <f t="shared" si="244"/>
        <v>0</v>
      </c>
      <c r="CU3512" s="22">
        <f t="shared" si="245"/>
        <v>0</v>
      </c>
      <c r="CV3512" s="26">
        <f t="shared" si="242"/>
        <v>1055</v>
      </c>
    </row>
    <row r="3513" spans="1:100" x14ac:dyDescent="0.2">
      <c r="A3513" s="9" t="s">
        <v>685</v>
      </c>
      <c r="B3513" s="2">
        <v>2</v>
      </c>
      <c r="C3513" s="3" t="s">
        <v>95</v>
      </c>
      <c r="D3513" s="3" t="s">
        <v>96</v>
      </c>
      <c r="E3513" s="2"/>
      <c r="F3513" s="2"/>
      <c r="G3513" s="2" t="s">
        <v>65</v>
      </c>
      <c r="H3513" s="2">
        <v>2</v>
      </c>
      <c r="I3513" s="20">
        <v>120.89</v>
      </c>
      <c r="J3513" s="20">
        <v>54029</v>
      </c>
      <c r="K3513" s="3">
        <v>0</v>
      </c>
      <c r="L3513" s="3" t="s">
        <v>3</v>
      </c>
      <c r="M3513" s="9" t="s">
        <v>0</v>
      </c>
      <c r="N3513" s="9">
        <v>43115531</v>
      </c>
      <c r="O3513" s="9" t="s">
        <v>686</v>
      </c>
      <c r="S3513" s="9" t="s">
        <v>158</v>
      </c>
      <c r="T3513" s="10" t="s">
        <v>65</v>
      </c>
      <c r="U3513" s="10">
        <v>2</v>
      </c>
      <c r="V3513" s="10">
        <v>120.89</v>
      </c>
      <c r="W3513" s="10" t="s">
        <v>710</v>
      </c>
      <c r="X3513" s="17">
        <v>45851</v>
      </c>
      <c r="Y3513" s="17">
        <v>45851</v>
      </c>
      <c r="Z3513" s="19" t="s">
        <v>772</v>
      </c>
      <c r="AA3513" s="207">
        <v>50000</v>
      </c>
      <c r="AB3513" s="9">
        <v>36</v>
      </c>
      <c r="AC3513" s="9">
        <v>20</v>
      </c>
      <c r="AD3513" s="17">
        <v>46476</v>
      </c>
      <c r="AE3513" s="22">
        <v>1055</v>
      </c>
      <c r="AF3513" s="22"/>
      <c r="AL3513" s="9"/>
      <c r="AM3513" s="9"/>
      <c r="AN3513" s="9"/>
      <c r="AO3513" s="22"/>
      <c r="AP3513" s="22"/>
      <c r="AQ3513" s="22"/>
      <c r="AR3513" s="22"/>
      <c r="AS3513" s="22"/>
      <c r="AT3513" s="22"/>
      <c r="AU3513" s="22"/>
      <c r="AV3513" s="22"/>
      <c r="AW3513" s="9"/>
      <c r="BA3513" s="22"/>
      <c r="BB3513" s="22"/>
      <c r="BD3513" s="9"/>
      <c r="CS3513" s="11">
        <f t="shared" si="243"/>
        <v>0</v>
      </c>
      <c r="CT3513" s="22">
        <f t="shared" si="244"/>
        <v>0</v>
      </c>
      <c r="CU3513" s="22">
        <f t="shared" si="245"/>
        <v>0</v>
      </c>
      <c r="CV3513" s="26">
        <f t="shared" ref="CV3513:CV3576" si="246">+AE3513-AL3513-AT3513</f>
        <v>1055</v>
      </c>
    </row>
    <row r="3514" spans="1:100" x14ac:dyDescent="0.2">
      <c r="A3514" s="9" t="s">
        <v>685</v>
      </c>
      <c r="B3514" s="2">
        <v>2</v>
      </c>
      <c r="C3514" s="3" t="s">
        <v>95</v>
      </c>
      <c r="D3514" s="3" t="s">
        <v>96</v>
      </c>
      <c r="E3514" s="2"/>
      <c r="F3514" s="2"/>
      <c r="G3514" s="2" t="s">
        <v>65</v>
      </c>
      <c r="H3514" s="2">
        <v>2</v>
      </c>
      <c r="I3514" s="20">
        <v>120.89</v>
      </c>
      <c r="J3514" s="20">
        <v>54029</v>
      </c>
      <c r="K3514" s="3">
        <v>0</v>
      </c>
      <c r="L3514" s="3" t="s">
        <v>3</v>
      </c>
      <c r="M3514" s="9" t="s">
        <v>0</v>
      </c>
      <c r="N3514" s="9">
        <v>43115531</v>
      </c>
      <c r="O3514" s="9" t="s">
        <v>686</v>
      </c>
      <c r="S3514" s="9" t="s">
        <v>158</v>
      </c>
      <c r="T3514" s="10" t="s">
        <v>65</v>
      </c>
      <c r="U3514" s="10">
        <v>2</v>
      </c>
      <c r="V3514" s="10">
        <v>120.89</v>
      </c>
      <c r="W3514" s="10" t="s">
        <v>710</v>
      </c>
      <c r="X3514" s="17">
        <v>45851</v>
      </c>
      <c r="Y3514" s="17">
        <v>45851</v>
      </c>
      <c r="Z3514" s="19" t="s">
        <v>772</v>
      </c>
      <c r="AA3514" s="207">
        <v>50000</v>
      </c>
      <c r="AB3514" s="9">
        <v>36</v>
      </c>
      <c r="AC3514" s="9">
        <v>21</v>
      </c>
      <c r="AD3514" s="17">
        <v>46507</v>
      </c>
      <c r="AE3514" s="22">
        <v>1055</v>
      </c>
      <c r="AF3514" s="22"/>
      <c r="AL3514" s="9"/>
      <c r="AM3514" s="9"/>
      <c r="AN3514" s="9"/>
      <c r="AO3514" s="22"/>
      <c r="AP3514" s="22"/>
      <c r="AQ3514" s="22"/>
      <c r="AR3514" s="22"/>
      <c r="AS3514" s="22"/>
      <c r="AT3514" s="22"/>
      <c r="AU3514" s="22"/>
      <c r="AV3514" s="22"/>
      <c r="AW3514" s="9"/>
      <c r="BA3514" s="22"/>
      <c r="BB3514" s="22"/>
      <c r="BD3514" s="9"/>
      <c r="CS3514" s="11">
        <f t="shared" si="243"/>
        <v>0</v>
      </c>
      <c r="CT3514" s="22">
        <f t="shared" si="244"/>
        <v>0</v>
      </c>
      <c r="CU3514" s="22">
        <f t="shared" si="245"/>
        <v>0</v>
      </c>
      <c r="CV3514" s="26">
        <f t="shared" si="246"/>
        <v>1055</v>
      </c>
    </row>
    <row r="3515" spans="1:100" x14ac:dyDescent="0.2">
      <c r="A3515" s="9" t="s">
        <v>685</v>
      </c>
      <c r="B3515" s="2">
        <v>2</v>
      </c>
      <c r="C3515" s="3" t="s">
        <v>95</v>
      </c>
      <c r="D3515" s="3" t="s">
        <v>96</v>
      </c>
      <c r="E3515" s="2"/>
      <c r="F3515" s="2"/>
      <c r="G3515" s="2" t="s">
        <v>65</v>
      </c>
      <c r="H3515" s="2">
        <v>2</v>
      </c>
      <c r="I3515" s="20">
        <v>120.89</v>
      </c>
      <c r="J3515" s="20">
        <v>54029</v>
      </c>
      <c r="K3515" s="3">
        <v>0</v>
      </c>
      <c r="L3515" s="3" t="s">
        <v>3</v>
      </c>
      <c r="M3515" s="9" t="s">
        <v>0</v>
      </c>
      <c r="N3515" s="9">
        <v>43115531</v>
      </c>
      <c r="O3515" s="9" t="s">
        <v>686</v>
      </c>
      <c r="S3515" s="9" t="s">
        <v>158</v>
      </c>
      <c r="T3515" s="10" t="s">
        <v>65</v>
      </c>
      <c r="U3515" s="10">
        <v>2</v>
      </c>
      <c r="V3515" s="10">
        <v>120.89</v>
      </c>
      <c r="W3515" s="10" t="s">
        <v>710</v>
      </c>
      <c r="X3515" s="17">
        <v>45851</v>
      </c>
      <c r="Y3515" s="17">
        <v>45851</v>
      </c>
      <c r="Z3515" s="19" t="s">
        <v>772</v>
      </c>
      <c r="AA3515" s="207">
        <v>50000</v>
      </c>
      <c r="AB3515" s="9">
        <v>36</v>
      </c>
      <c r="AC3515" s="9">
        <v>22</v>
      </c>
      <c r="AD3515" s="17">
        <v>46537</v>
      </c>
      <c r="AE3515" s="22">
        <v>1055</v>
      </c>
      <c r="AF3515" s="22"/>
      <c r="AL3515" s="9"/>
      <c r="AM3515" s="9"/>
      <c r="AN3515" s="9"/>
      <c r="AO3515" s="22"/>
      <c r="AP3515" s="22"/>
      <c r="AQ3515" s="22"/>
      <c r="AR3515" s="22"/>
      <c r="AS3515" s="22"/>
      <c r="AT3515" s="22"/>
      <c r="AU3515" s="22"/>
      <c r="AV3515" s="22"/>
      <c r="AW3515" s="9"/>
      <c r="BA3515" s="22"/>
      <c r="BB3515" s="22"/>
      <c r="BD3515" s="9"/>
      <c r="CS3515" s="11">
        <f t="shared" si="243"/>
        <v>0</v>
      </c>
      <c r="CT3515" s="22">
        <f t="shared" si="244"/>
        <v>0</v>
      </c>
      <c r="CU3515" s="22">
        <f t="shared" si="245"/>
        <v>0</v>
      </c>
      <c r="CV3515" s="26">
        <f t="shared" si="246"/>
        <v>1055</v>
      </c>
    </row>
    <row r="3516" spans="1:100" x14ac:dyDescent="0.2">
      <c r="A3516" s="9" t="s">
        <v>685</v>
      </c>
      <c r="B3516" s="2">
        <v>2</v>
      </c>
      <c r="C3516" s="3" t="s">
        <v>95</v>
      </c>
      <c r="D3516" s="3" t="s">
        <v>96</v>
      </c>
      <c r="E3516" s="2"/>
      <c r="F3516" s="2"/>
      <c r="G3516" s="2" t="s">
        <v>65</v>
      </c>
      <c r="H3516" s="2">
        <v>2</v>
      </c>
      <c r="I3516" s="20">
        <v>120.89</v>
      </c>
      <c r="J3516" s="20">
        <v>54029</v>
      </c>
      <c r="K3516" s="3">
        <v>0</v>
      </c>
      <c r="L3516" s="3" t="s">
        <v>3</v>
      </c>
      <c r="M3516" s="9" t="s">
        <v>0</v>
      </c>
      <c r="N3516" s="9">
        <v>43115531</v>
      </c>
      <c r="O3516" s="9" t="s">
        <v>686</v>
      </c>
      <c r="S3516" s="9" t="s">
        <v>158</v>
      </c>
      <c r="T3516" s="10" t="s">
        <v>65</v>
      </c>
      <c r="U3516" s="10">
        <v>2</v>
      </c>
      <c r="V3516" s="10">
        <v>120.89</v>
      </c>
      <c r="W3516" s="10" t="s">
        <v>710</v>
      </c>
      <c r="X3516" s="17">
        <v>45851</v>
      </c>
      <c r="Y3516" s="17">
        <v>45851</v>
      </c>
      <c r="Z3516" s="19" t="s">
        <v>772</v>
      </c>
      <c r="AA3516" s="207">
        <v>50000</v>
      </c>
      <c r="AB3516" s="9">
        <v>36</v>
      </c>
      <c r="AC3516" s="9">
        <v>23</v>
      </c>
      <c r="AD3516" s="17">
        <v>46568</v>
      </c>
      <c r="AE3516" s="22">
        <v>1055</v>
      </c>
      <c r="AF3516" s="22"/>
      <c r="AL3516" s="9"/>
      <c r="AM3516" s="9"/>
      <c r="AN3516" s="9"/>
      <c r="AO3516" s="22"/>
      <c r="AP3516" s="22"/>
      <c r="AQ3516" s="22"/>
      <c r="AR3516" s="22"/>
      <c r="AS3516" s="22"/>
      <c r="AT3516" s="22"/>
      <c r="AU3516" s="22"/>
      <c r="AV3516" s="22"/>
      <c r="AW3516" s="9"/>
      <c r="BA3516" s="22"/>
      <c r="BB3516" s="22"/>
      <c r="BD3516" s="9"/>
      <c r="CS3516" s="11">
        <f t="shared" si="243"/>
        <v>0</v>
      </c>
      <c r="CT3516" s="22">
        <f t="shared" si="244"/>
        <v>0</v>
      </c>
      <c r="CU3516" s="22">
        <f t="shared" si="245"/>
        <v>0</v>
      </c>
      <c r="CV3516" s="26">
        <f t="shared" si="246"/>
        <v>1055</v>
      </c>
    </row>
    <row r="3517" spans="1:100" x14ac:dyDescent="0.2">
      <c r="A3517" s="9" t="s">
        <v>685</v>
      </c>
      <c r="B3517" s="2">
        <v>2</v>
      </c>
      <c r="C3517" s="3" t="s">
        <v>95</v>
      </c>
      <c r="D3517" s="3" t="s">
        <v>96</v>
      </c>
      <c r="E3517" s="2"/>
      <c r="F3517" s="2"/>
      <c r="G3517" s="2" t="s">
        <v>65</v>
      </c>
      <c r="H3517" s="2">
        <v>2</v>
      </c>
      <c r="I3517" s="20">
        <v>120.89</v>
      </c>
      <c r="J3517" s="20">
        <v>54029</v>
      </c>
      <c r="K3517" s="3">
        <v>0</v>
      </c>
      <c r="L3517" s="3" t="s">
        <v>3</v>
      </c>
      <c r="M3517" s="9" t="s">
        <v>0</v>
      </c>
      <c r="N3517" s="9">
        <v>43115531</v>
      </c>
      <c r="O3517" s="9" t="s">
        <v>686</v>
      </c>
      <c r="S3517" s="9" t="s">
        <v>158</v>
      </c>
      <c r="T3517" s="10" t="s">
        <v>65</v>
      </c>
      <c r="U3517" s="10">
        <v>2</v>
      </c>
      <c r="V3517" s="10">
        <v>120.89</v>
      </c>
      <c r="W3517" s="10" t="s">
        <v>710</v>
      </c>
      <c r="X3517" s="17">
        <v>45851</v>
      </c>
      <c r="Y3517" s="17">
        <v>45851</v>
      </c>
      <c r="Z3517" s="19" t="s">
        <v>772</v>
      </c>
      <c r="AA3517" s="207">
        <v>50000</v>
      </c>
      <c r="AB3517" s="9">
        <v>36</v>
      </c>
      <c r="AC3517" s="9">
        <v>24</v>
      </c>
      <c r="AD3517" s="17">
        <v>46598</v>
      </c>
      <c r="AE3517" s="22">
        <v>1055</v>
      </c>
      <c r="AF3517" s="22"/>
      <c r="AL3517" s="9"/>
      <c r="AM3517" s="9"/>
      <c r="AN3517" s="9"/>
      <c r="AO3517" s="22"/>
      <c r="AP3517" s="22"/>
      <c r="AQ3517" s="22"/>
      <c r="AR3517" s="22"/>
      <c r="AS3517" s="22"/>
      <c r="AT3517" s="22"/>
      <c r="AU3517" s="22"/>
      <c r="AV3517" s="22"/>
      <c r="AW3517" s="9"/>
      <c r="BA3517" s="22"/>
      <c r="BB3517" s="22"/>
      <c r="BD3517" s="9"/>
      <c r="CS3517" s="11">
        <f t="shared" si="243"/>
        <v>0</v>
      </c>
      <c r="CT3517" s="22">
        <f t="shared" si="244"/>
        <v>0</v>
      </c>
      <c r="CU3517" s="22">
        <f t="shared" si="245"/>
        <v>0</v>
      </c>
      <c r="CV3517" s="26">
        <f t="shared" si="246"/>
        <v>1055</v>
      </c>
    </row>
    <row r="3518" spans="1:100" x14ac:dyDescent="0.2">
      <c r="A3518" s="9" t="s">
        <v>685</v>
      </c>
      <c r="B3518" s="2">
        <v>2</v>
      </c>
      <c r="C3518" s="3" t="s">
        <v>95</v>
      </c>
      <c r="D3518" s="3" t="s">
        <v>96</v>
      </c>
      <c r="E3518" s="2"/>
      <c r="F3518" s="2"/>
      <c r="G3518" s="2" t="s">
        <v>65</v>
      </c>
      <c r="H3518" s="2">
        <v>2</v>
      </c>
      <c r="I3518" s="20">
        <v>120.89</v>
      </c>
      <c r="J3518" s="20">
        <v>54029</v>
      </c>
      <c r="K3518" s="3">
        <v>0</v>
      </c>
      <c r="L3518" s="3" t="s">
        <v>3</v>
      </c>
      <c r="M3518" s="9" t="s">
        <v>0</v>
      </c>
      <c r="N3518" s="9">
        <v>43115531</v>
      </c>
      <c r="O3518" s="9" t="s">
        <v>686</v>
      </c>
      <c r="S3518" s="9" t="s">
        <v>158</v>
      </c>
      <c r="T3518" s="10" t="s">
        <v>65</v>
      </c>
      <c r="U3518" s="10">
        <v>2</v>
      </c>
      <c r="V3518" s="10">
        <v>120.89</v>
      </c>
      <c r="W3518" s="10" t="s">
        <v>710</v>
      </c>
      <c r="X3518" s="17">
        <v>45851</v>
      </c>
      <c r="Y3518" s="17">
        <v>45851</v>
      </c>
      <c r="Z3518" s="19" t="s">
        <v>772</v>
      </c>
      <c r="AA3518" s="207">
        <v>50000</v>
      </c>
      <c r="AB3518" s="9">
        <v>36</v>
      </c>
      <c r="AC3518" s="9">
        <v>25</v>
      </c>
      <c r="AD3518" s="17">
        <v>46629</v>
      </c>
      <c r="AE3518" s="22">
        <v>1055</v>
      </c>
      <c r="AF3518" s="22"/>
      <c r="AL3518" s="9"/>
      <c r="AM3518" s="9"/>
      <c r="AN3518" s="9"/>
      <c r="AO3518" s="22"/>
      <c r="AP3518" s="22"/>
      <c r="AQ3518" s="22"/>
      <c r="AR3518" s="22"/>
      <c r="AS3518" s="22"/>
      <c r="AT3518" s="22"/>
      <c r="AU3518" s="22"/>
      <c r="AV3518" s="22"/>
      <c r="AW3518" s="9"/>
      <c r="BA3518" s="22"/>
      <c r="BB3518" s="22"/>
      <c r="BD3518" s="9"/>
      <c r="CS3518" s="11">
        <f t="shared" si="243"/>
        <v>0</v>
      </c>
      <c r="CT3518" s="22">
        <f t="shared" si="244"/>
        <v>0</v>
      </c>
      <c r="CU3518" s="22">
        <f t="shared" si="245"/>
        <v>0</v>
      </c>
      <c r="CV3518" s="26">
        <f t="shared" si="246"/>
        <v>1055</v>
      </c>
    </row>
    <row r="3519" spans="1:100" x14ac:dyDescent="0.2">
      <c r="A3519" s="9" t="s">
        <v>685</v>
      </c>
      <c r="B3519" s="2">
        <v>2</v>
      </c>
      <c r="C3519" s="3" t="s">
        <v>95</v>
      </c>
      <c r="D3519" s="3" t="s">
        <v>96</v>
      </c>
      <c r="E3519" s="2"/>
      <c r="F3519" s="2"/>
      <c r="G3519" s="2" t="s">
        <v>65</v>
      </c>
      <c r="H3519" s="2">
        <v>2</v>
      </c>
      <c r="I3519" s="20">
        <v>120.89</v>
      </c>
      <c r="J3519" s="20">
        <v>54029</v>
      </c>
      <c r="K3519" s="3">
        <v>0</v>
      </c>
      <c r="L3519" s="3" t="s">
        <v>3</v>
      </c>
      <c r="M3519" s="9" t="s">
        <v>0</v>
      </c>
      <c r="N3519" s="9">
        <v>43115531</v>
      </c>
      <c r="O3519" s="9" t="s">
        <v>686</v>
      </c>
      <c r="S3519" s="9" t="s">
        <v>158</v>
      </c>
      <c r="T3519" s="10" t="s">
        <v>65</v>
      </c>
      <c r="U3519" s="10">
        <v>2</v>
      </c>
      <c r="V3519" s="10">
        <v>120.89</v>
      </c>
      <c r="W3519" s="10" t="s">
        <v>710</v>
      </c>
      <c r="X3519" s="17">
        <v>45851</v>
      </c>
      <c r="Y3519" s="17">
        <v>45851</v>
      </c>
      <c r="Z3519" s="19" t="s">
        <v>772</v>
      </c>
      <c r="AA3519" s="207">
        <v>50000</v>
      </c>
      <c r="AB3519" s="9">
        <v>36</v>
      </c>
      <c r="AC3519" s="9">
        <v>26</v>
      </c>
      <c r="AD3519" s="17">
        <v>46660</v>
      </c>
      <c r="AE3519" s="22">
        <v>1055</v>
      </c>
      <c r="AF3519" s="22"/>
      <c r="AL3519" s="9"/>
      <c r="AM3519" s="9"/>
      <c r="AN3519" s="9"/>
      <c r="AO3519" s="22"/>
      <c r="AP3519" s="22"/>
      <c r="AQ3519" s="22"/>
      <c r="AR3519" s="22"/>
      <c r="AS3519" s="22"/>
      <c r="AT3519" s="22"/>
      <c r="AU3519" s="22"/>
      <c r="AV3519" s="22"/>
      <c r="AW3519" s="9"/>
      <c r="BA3519" s="22"/>
      <c r="BB3519" s="22"/>
      <c r="BD3519" s="9"/>
      <c r="CS3519" s="11">
        <f t="shared" si="243"/>
        <v>0</v>
      </c>
      <c r="CT3519" s="22">
        <f t="shared" si="244"/>
        <v>0</v>
      </c>
      <c r="CU3519" s="22">
        <f t="shared" si="245"/>
        <v>0</v>
      </c>
      <c r="CV3519" s="26">
        <f t="shared" si="246"/>
        <v>1055</v>
      </c>
    </row>
    <row r="3520" spans="1:100" x14ac:dyDescent="0.2">
      <c r="A3520" s="9" t="s">
        <v>685</v>
      </c>
      <c r="B3520" s="2">
        <v>2</v>
      </c>
      <c r="C3520" s="3" t="s">
        <v>95</v>
      </c>
      <c r="D3520" s="3" t="s">
        <v>96</v>
      </c>
      <c r="E3520" s="2"/>
      <c r="F3520" s="2"/>
      <c r="G3520" s="2" t="s">
        <v>65</v>
      </c>
      <c r="H3520" s="2">
        <v>2</v>
      </c>
      <c r="I3520" s="20">
        <v>120.89</v>
      </c>
      <c r="J3520" s="20">
        <v>54029</v>
      </c>
      <c r="K3520" s="3">
        <v>0</v>
      </c>
      <c r="L3520" s="3" t="s">
        <v>3</v>
      </c>
      <c r="M3520" s="9" t="s">
        <v>0</v>
      </c>
      <c r="N3520" s="9">
        <v>43115531</v>
      </c>
      <c r="O3520" s="9" t="s">
        <v>686</v>
      </c>
      <c r="S3520" s="9" t="s">
        <v>158</v>
      </c>
      <c r="T3520" s="10" t="s">
        <v>65</v>
      </c>
      <c r="U3520" s="10">
        <v>2</v>
      </c>
      <c r="V3520" s="10">
        <v>120.89</v>
      </c>
      <c r="W3520" s="10" t="s">
        <v>710</v>
      </c>
      <c r="X3520" s="17">
        <v>45851</v>
      </c>
      <c r="Y3520" s="17">
        <v>45851</v>
      </c>
      <c r="Z3520" s="19" t="s">
        <v>772</v>
      </c>
      <c r="AA3520" s="207">
        <v>50000</v>
      </c>
      <c r="AB3520" s="9">
        <v>36</v>
      </c>
      <c r="AC3520" s="9">
        <v>27</v>
      </c>
      <c r="AD3520" s="17">
        <v>46690</v>
      </c>
      <c r="AE3520" s="22">
        <v>1055</v>
      </c>
      <c r="AF3520" s="22"/>
      <c r="AL3520" s="9"/>
      <c r="AM3520" s="9"/>
      <c r="AN3520" s="9"/>
      <c r="AO3520" s="22"/>
      <c r="AP3520" s="22"/>
      <c r="AQ3520" s="22"/>
      <c r="AR3520" s="22"/>
      <c r="AS3520" s="22"/>
      <c r="AT3520" s="22"/>
      <c r="AU3520" s="22"/>
      <c r="AV3520" s="22"/>
      <c r="AW3520" s="9"/>
      <c r="BA3520" s="22"/>
      <c r="BB3520" s="22"/>
      <c r="BD3520" s="9"/>
      <c r="CS3520" s="11">
        <f t="shared" si="243"/>
        <v>0</v>
      </c>
      <c r="CT3520" s="22">
        <f t="shared" si="244"/>
        <v>0</v>
      </c>
      <c r="CU3520" s="22">
        <f t="shared" si="245"/>
        <v>0</v>
      </c>
      <c r="CV3520" s="26">
        <f t="shared" si="246"/>
        <v>1055</v>
      </c>
    </row>
    <row r="3521" spans="1:100" x14ac:dyDescent="0.2">
      <c r="A3521" s="9" t="s">
        <v>685</v>
      </c>
      <c r="B3521" s="2">
        <v>2</v>
      </c>
      <c r="C3521" s="3" t="s">
        <v>95</v>
      </c>
      <c r="D3521" s="3" t="s">
        <v>96</v>
      </c>
      <c r="E3521" s="2"/>
      <c r="F3521" s="2"/>
      <c r="G3521" s="2" t="s">
        <v>65</v>
      </c>
      <c r="H3521" s="2">
        <v>2</v>
      </c>
      <c r="I3521" s="20">
        <v>120.89</v>
      </c>
      <c r="J3521" s="20">
        <v>54029</v>
      </c>
      <c r="K3521" s="3">
        <v>0</v>
      </c>
      <c r="L3521" s="3" t="s">
        <v>3</v>
      </c>
      <c r="M3521" s="9" t="s">
        <v>0</v>
      </c>
      <c r="N3521" s="9">
        <v>43115531</v>
      </c>
      <c r="O3521" s="9" t="s">
        <v>686</v>
      </c>
      <c r="S3521" s="9" t="s">
        <v>158</v>
      </c>
      <c r="T3521" s="10" t="s">
        <v>65</v>
      </c>
      <c r="U3521" s="10">
        <v>2</v>
      </c>
      <c r="V3521" s="10">
        <v>120.89</v>
      </c>
      <c r="W3521" s="10" t="s">
        <v>710</v>
      </c>
      <c r="X3521" s="17">
        <v>45851</v>
      </c>
      <c r="Y3521" s="17">
        <v>45851</v>
      </c>
      <c r="Z3521" s="19" t="s">
        <v>772</v>
      </c>
      <c r="AA3521" s="207">
        <v>50000</v>
      </c>
      <c r="AB3521" s="9">
        <v>36</v>
      </c>
      <c r="AC3521" s="9">
        <v>28</v>
      </c>
      <c r="AD3521" s="17">
        <v>46721</v>
      </c>
      <c r="AE3521" s="22">
        <v>1055</v>
      </c>
      <c r="AF3521" s="22"/>
      <c r="AL3521" s="9"/>
      <c r="AM3521" s="9"/>
      <c r="AN3521" s="9"/>
      <c r="AO3521" s="22"/>
      <c r="AP3521" s="22"/>
      <c r="AQ3521" s="22"/>
      <c r="AR3521" s="22"/>
      <c r="AS3521" s="22"/>
      <c r="AT3521" s="22"/>
      <c r="AU3521" s="22"/>
      <c r="AV3521" s="22"/>
      <c r="AW3521" s="9"/>
      <c r="BA3521" s="22"/>
      <c r="BB3521" s="22"/>
      <c r="BD3521" s="9"/>
      <c r="CS3521" s="11">
        <f t="shared" si="243"/>
        <v>0</v>
      </c>
      <c r="CT3521" s="22">
        <f t="shared" si="244"/>
        <v>0</v>
      </c>
      <c r="CU3521" s="22">
        <f t="shared" si="245"/>
        <v>0</v>
      </c>
      <c r="CV3521" s="26">
        <f t="shared" si="246"/>
        <v>1055</v>
      </c>
    </row>
    <row r="3522" spans="1:100" x14ac:dyDescent="0.2">
      <c r="A3522" s="9" t="s">
        <v>685</v>
      </c>
      <c r="B3522" s="2">
        <v>2</v>
      </c>
      <c r="C3522" s="3" t="s">
        <v>95</v>
      </c>
      <c r="D3522" s="3" t="s">
        <v>96</v>
      </c>
      <c r="E3522" s="2"/>
      <c r="F3522" s="2"/>
      <c r="G3522" s="2" t="s">
        <v>65</v>
      </c>
      <c r="H3522" s="2">
        <v>2</v>
      </c>
      <c r="I3522" s="20">
        <v>120.89</v>
      </c>
      <c r="J3522" s="20">
        <v>54029</v>
      </c>
      <c r="K3522" s="3">
        <v>0</v>
      </c>
      <c r="L3522" s="3" t="s">
        <v>3</v>
      </c>
      <c r="M3522" s="9" t="s">
        <v>0</v>
      </c>
      <c r="N3522" s="9">
        <v>43115531</v>
      </c>
      <c r="O3522" s="9" t="s">
        <v>686</v>
      </c>
      <c r="S3522" s="9" t="s">
        <v>158</v>
      </c>
      <c r="T3522" s="10" t="s">
        <v>65</v>
      </c>
      <c r="U3522" s="10">
        <v>2</v>
      </c>
      <c r="V3522" s="10">
        <v>120.89</v>
      </c>
      <c r="W3522" s="10" t="s">
        <v>710</v>
      </c>
      <c r="X3522" s="17">
        <v>45851</v>
      </c>
      <c r="Y3522" s="17">
        <v>45851</v>
      </c>
      <c r="Z3522" s="19" t="s">
        <v>772</v>
      </c>
      <c r="AA3522" s="207">
        <v>50000</v>
      </c>
      <c r="AB3522" s="9">
        <v>36</v>
      </c>
      <c r="AC3522" s="9">
        <v>29</v>
      </c>
      <c r="AD3522" s="17">
        <v>46751</v>
      </c>
      <c r="AE3522" s="22">
        <v>1055</v>
      </c>
      <c r="AF3522" s="22"/>
      <c r="AL3522" s="9"/>
      <c r="AM3522" s="9"/>
      <c r="AN3522" s="9"/>
      <c r="AO3522" s="22"/>
      <c r="AP3522" s="22"/>
      <c r="AQ3522" s="22"/>
      <c r="AR3522" s="22"/>
      <c r="AS3522" s="22"/>
      <c r="AT3522" s="22"/>
      <c r="AU3522" s="22"/>
      <c r="AV3522" s="22"/>
      <c r="AW3522" s="9"/>
      <c r="BA3522" s="22"/>
      <c r="BB3522" s="22"/>
      <c r="BD3522" s="9"/>
      <c r="CS3522" s="11">
        <f t="shared" si="243"/>
        <v>0</v>
      </c>
      <c r="CT3522" s="22">
        <f t="shared" si="244"/>
        <v>0</v>
      </c>
      <c r="CU3522" s="22">
        <f t="shared" si="245"/>
        <v>0</v>
      </c>
      <c r="CV3522" s="26">
        <f t="shared" si="246"/>
        <v>1055</v>
      </c>
    </row>
    <row r="3523" spans="1:100" x14ac:dyDescent="0.2">
      <c r="A3523" s="9" t="s">
        <v>685</v>
      </c>
      <c r="B3523" s="2">
        <v>2</v>
      </c>
      <c r="C3523" s="3" t="s">
        <v>95</v>
      </c>
      <c r="D3523" s="3" t="s">
        <v>96</v>
      </c>
      <c r="E3523" s="2"/>
      <c r="F3523" s="2"/>
      <c r="G3523" s="2" t="s">
        <v>65</v>
      </c>
      <c r="H3523" s="2">
        <v>2</v>
      </c>
      <c r="I3523" s="20">
        <v>120.89</v>
      </c>
      <c r="J3523" s="20">
        <v>54029</v>
      </c>
      <c r="K3523" s="3">
        <v>0</v>
      </c>
      <c r="L3523" s="3" t="s">
        <v>3</v>
      </c>
      <c r="M3523" s="9" t="s">
        <v>0</v>
      </c>
      <c r="N3523" s="9">
        <v>43115531</v>
      </c>
      <c r="O3523" s="9" t="s">
        <v>686</v>
      </c>
      <c r="S3523" s="9" t="s">
        <v>158</v>
      </c>
      <c r="T3523" s="10" t="s">
        <v>65</v>
      </c>
      <c r="U3523" s="10">
        <v>2</v>
      </c>
      <c r="V3523" s="10">
        <v>120.89</v>
      </c>
      <c r="W3523" s="10" t="s">
        <v>710</v>
      </c>
      <c r="X3523" s="17">
        <v>45851</v>
      </c>
      <c r="Y3523" s="17">
        <v>45851</v>
      </c>
      <c r="Z3523" s="19" t="s">
        <v>772</v>
      </c>
      <c r="AA3523" s="207">
        <v>50000</v>
      </c>
      <c r="AB3523" s="9">
        <v>36</v>
      </c>
      <c r="AC3523" s="9">
        <v>30</v>
      </c>
      <c r="AD3523" s="17">
        <v>46782</v>
      </c>
      <c r="AE3523" s="22">
        <v>1055</v>
      </c>
      <c r="AF3523" s="22"/>
      <c r="AL3523" s="9"/>
      <c r="AM3523" s="9"/>
      <c r="AN3523" s="9"/>
      <c r="AO3523" s="22"/>
      <c r="AP3523" s="22"/>
      <c r="AQ3523" s="22"/>
      <c r="AR3523" s="22"/>
      <c r="AS3523" s="22"/>
      <c r="AT3523" s="22"/>
      <c r="AU3523" s="22"/>
      <c r="AV3523" s="22"/>
      <c r="AW3523" s="9"/>
      <c r="BA3523" s="22"/>
      <c r="BB3523" s="22"/>
      <c r="BD3523" s="9"/>
      <c r="CS3523" s="11">
        <f t="shared" si="243"/>
        <v>0</v>
      </c>
      <c r="CT3523" s="22">
        <f t="shared" si="244"/>
        <v>0</v>
      </c>
      <c r="CU3523" s="22">
        <f t="shared" si="245"/>
        <v>0</v>
      </c>
      <c r="CV3523" s="26">
        <f t="shared" si="246"/>
        <v>1055</v>
      </c>
    </row>
    <row r="3524" spans="1:100" x14ac:dyDescent="0.2">
      <c r="A3524" s="9" t="s">
        <v>685</v>
      </c>
      <c r="B3524" s="2">
        <v>2</v>
      </c>
      <c r="C3524" s="3" t="s">
        <v>95</v>
      </c>
      <c r="D3524" s="3" t="s">
        <v>96</v>
      </c>
      <c r="E3524" s="2"/>
      <c r="F3524" s="2"/>
      <c r="G3524" s="2" t="s">
        <v>65</v>
      </c>
      <c r="H3524" s="2">
        <v>2</v>
      </c>
      <c r="I3524" s="20">
        <v>120.89</v>
      </c>
      <c r="J3524" s="20">
        <v>54029</v>
      </c>
      <c r="K3524" s="3">
        <v>0</v>
      </c>
      <c r="L3524" s="3" t="s">
        <v>3</v>
      </c>
      <c r="M3524" s="9" t="s">
        <v>0</v>
      </c>
      <c r="N3524" s="9">
        <v>43115531</v>
      </c>
      <c r="O3524" s="9" t="s">
        <v>686</v>
      </c>
      <c r="S3524" s="9" t="s">
        <v>158</v>
      </c>
      <c r="T3524" s="10" t="s">
        <v>65</v>
      </c>
      <c r="U3524" s="10">
        <v>2</v>
      </c>
      <c r="V3524" s="10">
        <v>120.89</v>
      </c>
      <c r="W3524" s="10" t="s">
        <v>710</v>
      </c>
      <c r="X3524" s="17">
        <v>45851</v>
      </c>
      <c r="Y3524" s="17">
        <v>45851</v>
      </c>
      <c r="Z3524" s="19" t="s">
        <v>772</v>
      </c>
      <c r="AA3524" s="207">
        <v>50000</v>
      </c>
      <c r="AB3524" s="9">
        <v>36</v>
      </c>
      <c r="AC3524" s="9">
        <v>31</v>
      </c>
      <c r="AD3524" s="17">
        <v>46812</v>
      </c>
      <c r="AE3524" s="22">
        <v>1055</v>
      </c>
      <c r="AF3524" s="22"/>
      <c r="AL3524" s="9"/>
      <c r="AM3524" s="9"/>
      <c r="AN3524" s="9"/>
      <c r="AO3524" s="22"/>
      <c r="AP3524" s="22"/>
      <c r="AQ3524" s="22"/>
      <c r="AR3524" s="22"/>
      <c r="AS3524" s="22"/>
      <c r="AT3524" s="22"/>
      <c r="AU3524" s="22"/>
      <c r="AV3524" s="22"/>
      <c r="AW3524" s="9"/>
      <c r="BA3524" s="22"/>
      <c r="BB3524" s="22"/>
      <c r="BD3524" s="9"/>
      <c r="CS3524" s="11">
        <f t="shared" si="243"/>
        <v>0</v>
      </c>
      <c r="CT3524" s="22">
        <f t="shared" si="244"/>
        <v>0</v>
      </c>
      <c r="CU3524" s="22">
        <f t="shared" si="245"/>
        <v>0</v>
      </c>
      <c r="CV3524" s="26">
        <f t="shared" si="246"/>
        <v>1055</v>
      </c>
    </row>
    <row r="3525" spans="1:100" x14ac:dyDescent="0.2">
      <c r="A3525" s="9" t="s">
        <v>685</v>
      </c>
      <c r="B3525" s="2">
        <v>2</v>
      </c>
      <c r="C3525" s="3" t="s">
        <v>95</v>
      </c>
      <c r="D3525" s="3" t="s">
        <v>96</v>
      </c>
      <c r="E3525" s="2"/>
      <c r="F3525" s="2"/>
      <c r="G3525" s="2" t="s">
        <v>65</v>
      </c>
      <c r="H3525" s="2">
        <v>2</v>
      </c>
      <c r="I3525" s="20">
        <v>120.89</v>
      </c>
      <c r="J3525" s="20">
        <v>54029</v>
      </c>
      <c r="K3525" s="3">
        <v>0</v>
      </c>
      <c r="L3525" s="3" t="s">
        <v>3</v>
      </c>
      <c r="M3525" s="9" t="s">
        <v>0</v>
      </c>
      <c r="N3525" s="9">
        <v>43115531</v>
      </c>
      <c r="O3525" s="9" t="s">
        <v>686</v>
      </c>
      <c r="S3525" s="9" t="s">
        <v>158</v>
      </c>
      <c r="T3525" s="10" t="s">
        <v>65</v>
      </c>
      <c r="U3525" s="10">
        <v>2</v>
      </c>
      <c r="V3525" s="10">
        <v>120.89</v>
      </c>
      <c r="W3525" s="10" t="s">
        <v>710</v>
      </c>
      <c r="X3525" s="17">
        <v>45851</v>
      </c>
      <c r="Y3525" s="17">
        <v>45851</v>
      </c>
      <c r="Z3525" s="19" t="s">
        <v>772</v>
      </c>
      <c r="AA3525" s="207">
        <v>50000</v>
      </c>
      <c r="AB3525" s="9">
        <v>36</v>
      </c>
      <c r="AC3525" s="9">
        <v>32</v>
      </c>
      <c r="AD3525" s="17">
        <v>46842</v>
      </c>
      <c r="AE3525" s="22">
        <v>1055</v>
      </c>
      <c r="AF3525" s="22"/>
      <c r="AL3525" s="9"/>
      <c r="AM3525" s="9"/>
      <c r="AN3525" s="9"/>
      <c r="AO3525" s="22"/>
      <c r="AP3525" s="22"/>
      <c r="AQ3525" s="22"/>
      <c r="AR3525" s="22"/>
      <c r="AS3525" s="22"/>
      <c r="AT3525" s="22"/>
      <c r="AU3525" s="22"/>
      <c r="AV3525" s="22"/>
      <c r="AW3525" s="9"/>
      <c r="BA3525" s="22"/>
      <c r="BB3525" s="22"/>
      <c r="BD3525" s="9"/>
      <c r="CS3525" s="11">
        <f t="shared" si="243"/>
        <v>0</v>
      </c>
      <c r="CT3525" s="22">
        <f t="shared" si="244"/>
        <v>0</v>
      </c>
      <c r="CU3525" s="22">
        <f t="shared" si="245"/>
        <v>0</v>
      </c>
      <c r="CV3525" s="26">
        <f t="shared" si="246"/>
        <v>1055</v>
      </c>
    </row>
    <row r="3526" spans="1:100" x14ac:dyDescent="0.2">
      <c r="A3526" s="9" t="s">
        <v>685</v>
      </c>
      <c r="B3526" s="2">
        <v>2</v>
      </c>
      <c r="C3526" s="3" t="s">
        <v>95</v>
      </c>
      <c r="D3526" s="3" t="s">
        <v>96</v>
      </c>
      <c r="E3526" s="2"/>
      <c r="F3526" s="2"/>
      <c r="G3526" s="2" t="s">
        <v>65</v>
      </c>
      <c r="H3526" s="2">
        <v>2</v>
      </c>
      <c r="I3526" s="20">
        <v>120.89</v>
      </c>
      <c r="J3526" s="20">
        <v>54029</v>
      </c>
      <c r="K3526" s="3">
        <v>0</v>
      </c>
      <c r="L3526" s="3" t="s">
        <v>3</v>
      </c>
      <c r="M3526" s="9" t="s">
        <v>0</v>
      </c>
      <c r="N3526" s="9">
        <v>43115531</v>
      </c>
      <c r="O3526" s="9" t="s">
        <v>686</v>
      </c>
      <c r="S3526" s="9" t="s">
        <v>158</v>
      </c>
      <c r="T3526" s="10" t="s">
        <v>65</v>
      </c>
      <c r="U3526" s="10">
        <v>2</v>
      </c>
      <c r="V3526" s="10">
        <v>120.89</v>
      </c>
      <c r="W3526" s="10" t="s">
        <v>710</v>
      </c>
      <c r="X3526" s="17">
        <v>45851</v>
      </c>
      <c r="Y3526" s="17">
        <v>45851</v>
      </c>
      <c r="Z3526" s="19" t="s">
        <v>772</v>
      </c>
      <c r="AA3526" s="207">
        <v>50000</v>
      </c>
      <c r="AB3526" s="9">
        <v>36</v>
      </c>
      <c r="AC3526" s="9">
        <v>33</v>
      </c>
      <c r="AD3526" s="17">
        <v>46873</v>
      </c>
      <c r="AE3526" s="22">
        <v>1055</v>
      </c>
      <c r="AF3526" s="22"/>
      <c r="AL3526" s="9"/>
      <c r="AM3526" s="9"/>
      <c r="AN3526" s="9"/>
      <c r="AO3526" s="22"/>
      <c r="AP3526" s="22"/>
      <c r="AQ3526" s="22"/>
      <c r="AR3526" s="22"/>
      <c r="AS3526" s="22"/>
      <c r="AT3526" s="22"/>
      <c r="AU3526" s="22"/>
      <c r="AV3526" s="22"/>
      <c r="AW3526" s="9"/>
      <c r="BA3526" s="22"/>
      <c r="BB3526" s="22"/>
      <c r="BD3526" s="9"/>
      <c r="CS3526" s="11">
        <f t="shared" si="243"/>
        <v>0</v>
      </c>
      <c r="CT3526" s="22">
        <f t="shared" si="244"/>
        <v>0</v>
      </c>
      <c r="CU3526" s="22">
        <f t="shared" si="245"/>
        <v>0</v>
      </c>
      <c r="CV3526" s="26">
        <f t="shared" si="246"/>
        <v>1055</v>
      </c>
    </row>
    <row r="3527" spans="1:100" x14ac:dyDescent="0.2">
      <c r="A3527" s="9" t="s">
        <v>685</v>
      </c>
      <c r="B3527" s="2">
        <v>2</v>
      </c>
      <c r="C3527" s="3" t="s">
        <v>95</v>
      </c>
      <c r="D3527" s="3" t="s">
        <v>96</v>
      </c>
      <c r="E3527" s="2"/>
      <c r="F3527" s="2"/>
      <c r="G3527" s="2" t="s">
        <v>65</v>
      </c>
      <c r="H3527" s="2">
        <v>2</v>
      </c>
      <c r="I3527" s="20">
        <v>120.89</v>
      </c>
      <c r="J3527" s="20">
        <v>54029</v>
      </c>
      <c r="K3527" s="3">
        <v>0</v>
      </c>
      <c r="L3527" s="3" t="s">
        <v>3</v>
      </c>
      <c r="M3527" s="9" t="s">
        <v>0</v>
      </c>
      <c r="N3527" s="9">
        <v>43115531</v>
      </c>
      <c r="O3527" s="9" t="s">
        <v>686</v>
      </c>
      <c r="S3527" s="9" t="s">
        <v>158</v>
      </c>
      <c r="T3527" s="10" t="s">
        <v>65</v>
      </c>
      <c r="U3527" s="10">
        <v>2</v>
      </c>
      <c r="V3527" s="10">
        <v>120.89</v>
      </c>
      <c r="W3527" s="10" t="s">
        <v>710</v>
      </c>
      <c r="X3527" s="17">
        <v>45851</v>
      </c>
      <c r="Y3527" s="17">
        <v>45851</v>
      </c>
      <c r="Z3527" s="19" t="s">
        <v>772</v>
      </c>
      <c r="AA3527" s="207">
        <v>50000</v>
      </c>
      <c r="AB3527" s="9">
        <v>36</v>
      </c>
      <c r="AC3527" s="9">
        <v>34</v>
      </c>
      <c r="AD3527" s="17">
        <v>46903</v>
      </c>
      <c r="AE3527" s="22">
        <v>1055</v>
      </c>
      <c r="AF3527" s="22"/>
      <c r="AL3527" s="9"/>
      <c r="AM3527" s="9"/>
      <c r="AN3527" s="9"/>
      <c r="AO3527" s="22"/>
      <c r="AP3527" s="22"/>
      <c r="AQ3527" s="22"/>
      <c r="AR3527" s="22"/>
      <c r="AS3527" s="22"/>
      <c r="AT3527" s="22"/>
      <c r="AU3527" s="22"/>
      <c r="AV3527" s="22"/>
      <c r="AW3527" s="9"/>
      <c r="BA3527" s="22"/>
      <c r="BB3527" s="22"/>
      <c r="BD3527" s="9"/>
      <c r="CS3527" s="11">
        <f t="shared" si="243"/>
        <v>0</v>
      </c>
      <c r="CT3527" s="22">
        <f t="shared" si="244"/>
        <v>0</v>
      </c>
      <c r="CU3527" s="22">
        <f t="shared" si="245"/>
        <v>0</v>
      </c>
      <c r="CV3527" s="26">
        <f t="shared" si="246"/>
        <v>1055</v>
      </c>
    </row>
    <row r="3528" spans="1:100" x14ac:dyDescent="0.2">
      <c r="A3528" s="9" t="s">
        <v>685</v>
      </c>
      <c r="B3528" s="2">
        <v>2</v>
      </c>
      <c r="C3528" s="3" t="s">
        <v>95</v>
      </c>
      <c r="D3528" s="3" t="s">
        <v>96</v>
      </c>
      <c r="E3528" s="2"/>
      <c r="F3528" s="2"/>
      <c r="G3528" s="2" t="s">
        <v>65</v>
      </c>
      <c r="H3528" s="2">
        <v>2</v>
      </c>
      <c r="I3528" s="20">
        <v>120.89</v>
      </c>
      <c r="J3528" s="20">
        <v>54029</v>
      </c>
      <c r="K3528" s="3">
        <v>0</v>
      </c>
      <c r="L3528" s="3" t="s">
        <v>3</v>
      </c>
      <c r="M3528" s="9" t="s">
        <v>0</v>
      </c>
      <c r="N3528" s="9">
        <v>43115531</v>
      </c>
      <c r="O3528" s="9" t="s">
        <v>686</v>
      </c>
      <c r="S3528" s="9" t="s">
        <v>158</v>
      </c>
      <c r="T3528" s="10" t="s">
        <v>65</v>
      </c>
      <c r="U3528" s="10">
        <v>2</v>
      </c>
      <c r="V3528" s="10">
        <v>120.89</v>
      </c>
      <c r="W3528" s="10" t="s">
        <v>710</v>
      </c>
      <c r="X3528" s="17">
        <v>45851</v>
      </c>
      <c r="Y3528" s="17">
        <v>45851</v>
      </c>
      <c r="Z3528" s="19" t="s">
        <v>772</v>
      </c>
      <c r="AA3528" s="207">
        <v>50000</v>
      </c>
      <c r="AB3528" s="9">
        <v>36</v>
      </c>
      <c r="AC3528" s="9">
        <v>35</v>
      </c>
      <c r="AD3528" s="17">
        <v>46934</v>
      </c>
      <c r="AE3528" s="22">
        <v>1055</v>
      </c>
      <c r="AF3528" s="22"/>
      <c r="AL3528" s="9"/>
      <c r="AM3528" s="9"/>
      <c r="AN3528" s="9"/>
      <c r="AO3528" s="22"/>
      <c r="AP3528" s="22"/>
      <c r="AQ3528" s="22"/>
      <c r="AR3528" s="22"/>
      <c r="AS3528" s="22"/>
      <c r="AT3528" s="22"/>
      <c r="AU3528" s="22"/>
      <c r="AV3528" s="22"/>
      <c r="AW3528" s="9"/>
      <c r="BA3528" s="22"/>
      <c r="BB3528" s="22"/>
      <c r="BD3528" s="9"/>
      <c r="CS3528" s="11">
        <f t="shared" si="243"/>
        <v>0</v>
      </c>
      <c r="CT3528" s="22">
        <f t="shared" si="244"/>
        <v>0</v>
      </c>
      <c r="CU3528" s="22">
        <f t="shared" si="245"/>
        <v>0</v>
      </c>
      <c r="CV3528" s="26">
        <f t="shared" si="246"/>
        <v>1055</v>
      </c>
    </row>
    <row r="3529" spans="1:100" x14ac:dyDescent="0.2">
      <c r="A3529" s="9" t="s">
        <v>685</v>
      </c>
      <c r="B3529" s="2">
        <v>2</v>
      </c>
      <c r="C3529" s="3" t="s">
        <v>95</v>
      </c>
      <c r="D3529" s="3" t="s">
        <v>96</v>
      </c>
      <c r="E3529" s="2"/>
      <c r="F3529" s="2"/>
      <c r="G3529" s="2" t="s">
        <v>65</v>
      </c>
      <c r="H3529" s="2">
        <v>2</v>
      </c>
      <c r="I3529" s="20">
        <v>120.89</v>
      </c>
      <c r="J3529" s="20">
        <v>54029</v>
      </c>
      <c r="K3529" s="3">
        <v>0</v>
      </c>
      <c r="L3529" s="3" t="s">
        <v>3</v>
      </c>
      <c r="M3529" s="9" t="s">
        <v>0</v>
      </c>
      <c r="N3529" s="9">
        <v>43115531</v>
      </c>
      <c r="O3529" s="9" t="s">
        <v>686</v>
      </c>
      <c r="S3529" s="9" t="s">
        <v>158</v>
      </c>
      <c r="T3529" s="10" t="s">
        <v>65</v>
      </c>
      <c r="U3529" s="10">
        <v>2</v>
      </c>
      <c r="V3529" s="10">
        <v>120.89</v>
      </c>
      <c r="W3529" s="10" t="s">
        <v>710</v>
      </c>
      <c r="X3529" s="17">
        <v>45851</v>
      </c>
      <c r="Y3529" s="17">
        <v>45851</v>
      </c>
      <c r="Z3529" s="19" t="s">
        <v>772</v>
      </c>
      <c r="AA3529" s="207">
        <v>50000</v>
      </c>
      <c r="AB3529" s="9">
        <v>36</v>
      </c>
      <c r="AC3529" s="9">
        <v>36</v>
      </c>
      <c r="AD3529" s="17">
        <v>46964</v>
      </c>
      <c r="AE3529" s="22">
        <v>1055</v>
      </c>
      <c r="AF3529" s="22"/>
      <c r="AL3529" s="9"/>
      <c r="AM3529" s="9"/>
      <c r="AN3529" s="9"/>
      <c r="AO3529" s="22"/>
      <c r="AP3529" s="22"/>
      <c r="AQ3529" s="22"/>
      <c r="AR3529" s="22"/>
      <c r="AS3529" s="22"/>
      <c r="AT3529" s="22"/>
      <c r="AU3529" s="22"/>
      <c r="AV3529" s="22"/>
      <c r="AW3529" s="9"/>
      <c r="BA3529" s="22"/>
      <c r="BB3529" s="22"/>
      <c r="BD3529" s="9"/>
      <c r="CS3529" s="11">
        <f t="shared" si="243"/>
        <v>0</v>
      </c>
      <c r="CT3529" s="22">
        <f t="shared" si="244"/>
        <v>0</v>
      </c>
      <c r="CU3529" s="22">
        <f t="shared" si="245"/>
        <v>0</v>
      </c>
      <c r="CV3529" s="26">
        <f t="shared" si="246"/>
        <v>1055</v>
      </c>
    </row>
    <row r="3530" spans="1:100" x14ac:dyDescent="0.2">
      <c r="A3530" s="9" t="s">
        <v>685</v>
      </c>
      <c r="B3530" s="2">
        <v>2</v>
      </c>
      <c r="C3530" s="3" t="s">
        <v>95</v>
      </c>
      <c r="D3530" s="3" t="s">
        <v>96</v>
      </c>
      <c r="E3530" s="2"/>
      <c r="F3530" s="2"/>
      <c r="G3530" s="2" t="s">
        <v>65</v>
      </c>
      <c r="H3530" s="2">
        <v>2</v>
      </c>
      <c r="I3530" s="20">
        <v>120.89</v>
      </c>
      <c r="J3530" s="20">
        <v>54029</v>
      </c>
      <c r="K3530" s="3">
        <v>0</v>
      </c>
      <c r="L3530" s="3" t="s">
        <v>3</v>
      </c>
      <c r="M3530" s="9" t="s">
        <v>0</v>
      </c>
      <c r="N3530" s="9">
        <v>43115531</v>
      </c>
      <c r="O3530" s="9" t="s">
        <v>686</v>
      </c>
      <c r="S3530" s="9" t="s">
        <v>158</v>
      </c>
      <c r="T3530" s="10" t="s">
        <v>65</v>
      </c>
      <c r="U3530" s="10">
        <v>2</v>
      </c>
      <c r="V3530" s="10">
        <v>120.89</v>
      </c>
      <c r="W3530" s="10" t="s">
        <v>710</v>
      </c>
      <c r="X3530" s="17">
        <v>45851</v>
      </c>
      <c r="Y3530" s="17">
        <v>45851</v>
      </c>
      <c r="Z3530" s="19" t="s">
        <v>772</v>
      </c>
      <c r="AA3530" s="207">
        <v>50000</v>
      </c>
      <c r="AB3530" s="9">
        <v>36</v>
      </c>
      <c r="AC3530" s="9">
        <v>37</v>
      </c>
      <c r="AD3530" s="17">
        <v>46995</v>
      </c>
      <c r="AE3530" s="22">
        <v>1055</v>
      </c>
      <c r="AF3530" s="22"/>
      <c r="AL3530" s="9"/>
      <c r="AM3530" s="9"/>
      <c r="AN3530" s="9"/>
      <c r="AO3530" s="22"/>
      <c r="AP3530" s="22"/>
      <c r="AQ3530" s="22"/>
      <c r="AR3530" s="22"/>
      <c r="AS3530" s="22"/>
      <c r="AT3530" s="22"/>
      <c r="AU3530" s="22"/>
      <c r="AV3530" s="22"/>
      <c r="AW3530" s="9"/>
      <c r="BA3530" s="22"/>
      <c r="BB3530" s="22"/>
      <c r="BD3530" s="9"/>
      <c r="CS3530" s="11">
        <f t="shared" si="243"/>
        <v>0</v>
      </c>
      <c r="CT3530" s="22">
        <f t="shared" si="244"/>
        <v>0</v>
      </c>
      <c r="CU3530" s="22">
        <f t="shared" si="245"/>
        <v>0</v>
      </c>
      <c r="CV3530" s="26">
        <f t="shared" si="246"/>
        <v>1055</v>
      </c>
    </row>
    <row r="3531" spans="1:100" x14ac:dyDescent="0.2">
      <c r="A3531" s="9" t="s">
        <v>685</v>
      </c>
      <c r="B3531" s="2">
        <v>2</v>
      </c>
      <c r="C3531" s="3" t="s">
        <v>95</v>
      </c>
      <c r="D3531" s="3" t="s">
        <v>96</v>
      </c>
      <c r="E3531" s="2"/>
      <c r="F3531" s="2"/>
      <c r="G3531" s="2" t="s">
        <v>65</v>
      </c>
      <c r="H3531" s="2">
        <v>2</v>
      </c>
      <c r="I3531" s="20">
        <v>120.89</v>
      </c>
      <c r="J3531" s="20">
        <v>54029</v>
      </c>
      <c r="K3531" s="3">
        <v>0</v>
      </c>
      <c r="L3531" s="3" t="s">
        <v>3</v>
      </c>
      <c r="M3531" s="9" t="s">
        <v>0</v>
      </c>
      <c r="N3531" s="9">
        <v>43115531</v>
      </c>
      <c r="O3531" s="9" t="s">
        <v>686</v>
      </c>
      <c r="S3531" s="9" t="s">
        <v>158</v>
      </c>
      <c r="T3531" s="10" t="s">
        <v>65</v>
      </c>
      <c r="U3531" s="10">
        <v>2</v>
      </c>
      <c r="V3531" s="10">
        <v>120.89</v>
      </c>
      <c r="W3531" s="10" t="s">
        <v>710</v>
      </c>
      <c r="X3531" s="17">
        <v>45851</v>
      </c>
      <c r="Y3531" s="17">
        <v>45851</v>
      </c>
      <c r="Z3531" s="19" t="s">
        <v>772</v>
      </c>
      <c r="AA3531" s="207">
        <v>50000</v>
      </c>
      <c r="AB3531" s="9">
        <v>36</v>
      </c>
      <c r="AC3531" s="9">
        <v>38</v>
      </c>
      <c r="AD3531" s="17">
        <v>47026</v>
      </c>
      <c r="AE3531" s="22">
        <v>1055</v>
      </c>
      <c r="AF3531" s="22"/>
      <c r="AL3531" s="9"/>
      <c r="AM3531" s="9"/>
      <c r="AN3531" s="9"/>
      <c r="AO3531" s="22"/>
      <c r="AP3531" s="22"/>
      <c r="AQ3531" s="22"/>
      <c r="AR3531" s="22"/>
      <c r="AS3531" s="22"/>
      <c r="AT3531" s="22"/>
      <c r="AU3531" s="22"/>
      <c r="AV3531" s="22"/>
      <c r="AW3531" s="9"/>
      <c r="BA3531" s="22"/>
      <c r="BB3531" s="22"/>
      <c r="BD3531" s="9"/>
      <c r="CS3531" s="11">
        <f t="shared" si="243"/>
        <v>0</v>
      </c>
      <c r="CT3531" s="22">
        <f t="shared" si="244"/>
        <v>0</v>
      </c>
      <c r="CU3531" s="22">
        <f t="shared" si="245"/>
        <v>0</v>
      </c>
      <c r="CV3531" s="26">
        <f t="shared" si="246"/>
        <v>1055</v>
      </c>
    </row>
    <row r="3532" spans="1:100" x14ac:dyDescent="0.2">
      <c r="A3532" s="9" t="s">
        <v>685</v>
      </c>
      <c r="B3532" s="2">
        <v>2</v>
      </c>
      <c r="C3532" s="3" t="s">
        <v>95</v>
      </c>
      <c r="D3532" s="3" t="s">
        <v>96</v>
      </c>
      <c r="E3532" s="2"/>
      <c r="F3532" s="2"/>
      <c r="G3532" s="2" t="s">
        <v>65</v>
      </c>
      <c r="H3532" s="2">
        <v>2</v>
      </c>
      <c r="I3532" s="20">
        <v>120.89</v>
      </c>
      <c r="J3532" s="20">
        <v>54029</v>
      </c>
      <c r="K3532" s="3">
        <v>0</v>
      </c>
      <c r="L3532" s="3" t="s">
        <v>3</v>
      </c>
      <c r="M3532" s="9" t="s">
        <v>0</v>
      </c>
      <c r="N3532" s="9">
        <v>43115531</v>
      </c>
      <c r="O3532" s="9" t="s">
        <v>686</v>
      </c>
      <c r="S3532" s="9" t="s">
        <v>158</v>
      </c>
      <c r="T3532" s="10" t="s">
        <v>65</v>
      </c>
      <c r="U3532" s="10">
        <v>2</v>
      </c>
      <c r="V3532" s="10">
        <v>120.89</v>
      </c>
      <c r="W3532" s="10" t="s">
        <v>710</v>
      </c>
      <c r="X3532" s="17">
        <v>45851</v>
      </c>
      <c r="Y3532" s="17">
        <v>45851</v>
      </c>
      <c r="Z3532" s="19" t="s">
        <v>772</v>
      </c>
      <c r="AA3532" s="207">
        <v>50000</v>
      </c>
      <c r="AB3532" s="9">
        <v>36</v>
      </c>
      <c r="AC3532" s="9">
        <v>39</v>
      </c>
      <c r="AD3532" s="17">
        <v>47056</v>
      </c>
      <c r="AE3532" s="22">
        <v>1055</v>
      </c>
      <c r="AF3532" s="22"/>
      <c r="AL3532" s="9"/>
      <c r="AM3532" s="9"/>
      <c r="AN3532" s="9"/>
      <c r="AO3532" s="22"/>
      <c r="AP3532" s="22"/>
      <c r="AQ3532" s="22"/>
      <c r="AR3532" s="22"/>
      <c r="AS3532" s="22"/>
      <c r="AT3532" s="22"/>
      <c r="AU3532" s="22"/>
      <c r="AV3532" s="22"/>
      <c r="AW3532" s="9"/>
      <c r="BA3532" s="22"/>
      <c r="BB3532" s="22"/>
      <c r="BD3532" s="9"/>
      <c r="CS3532" s="11">
        <f t="shared" si="243"/>
        <v>0</v>
      </c>
      <c r="CT3532" s="22">
        <f t="shared" si="244"/>
        <v>0</v>
      </c>
      <c r="CU3532" s="22">
        <f t="shared" si="245"/>
        <v>0</v>
      </c>
      <c r="CV3532" s="26">
        <f t="shared" si="246"/>
        <v>1055</v>
      </c>
    </row>
    <row r="3533" spans="1:100" x14ac:dyDescent="0.2">
      <c r="A3533" s="9" t="s">
        <v>685</v>
      </c>
      <c r="B3533" s="2">
        <v>2</v>
      </c>
      <c r="C3533" s="3" t="s">
        <v>95</v>
      </c>
      <c r="D3533" s="3" t="s">
        <v>96</v>
      </c>
      <c r="E3533" s="2"/>
      <c r="F3533" s="2"/>
      <c r="G3533" s="2" t="s">
        <v>65</v>
      </c>
      <c r="H3533" s="2">
        <v>2</v>
      </c>
      <c r="I3533" s="20">
        <v>120.89</v>
      </c>
      <c r="J3533" s="20">
        <v>54029</v>
      </c>
      <c r="K3533" s="3">
        <v>0</v>
      </c>
      <c r="L3533" s="3" t="s">
        <v>3</v>
      </c>
      <c r="M3533" s="9" t="s">
        <v>0</v>
      </c>
      <c r="N3533" s="9">
        <v>43115531</v>
      </c>
      <c r="O3533" s="9" t="s">
        <v>686</v>
      </c>
      <c r="S3533" s="9" t="s">
        <v>158</v>
      </c>
      <c r="T3533" s="10" t="s">
        <v>65</v>
      </c>
      <c r="U3533" s="10">
        <v>2</v>
      </c>
      <c r="V3533" s="10">
        <v>120.89</v>
      </c>
      <c r="W3533" s="10" t="s">
        <v>710</v>
      </c>
      <c r="X3533" s="17">
        <v>45851</v>
      </c>
      <c r="Y3533" s="17">
        <v>45851</v>
      </c>
      <c r="Z3533" s="19" t="s">
        <v>772</v>
      </c>
      <c r="AA3533" s="207">
        <v>50000</v>
      </c>
      <c r="AB3533" s="9">
        <v>36</v>
      </c>
      <c r="AC3533" s="9">
        <v>40</v>
      </c>
      <c r="AD3533" s="17">
        <v>47087</v>
      </c>
      <c r="AE3533" s="22">
        <v>1055</v>
      </c>
      <c r="AF3533" s="22"/>
      <c r="AL3533" s="9"/>
      <c r="AM3533" s="9"/>
      <c r="AN3533" s="9"/>
      <c r="AO3533" s="22"/>
      <c r="AP3533" s="22"/>
      <c r="AQ3533" s="22"/>
      <c r="AR3533" s="22"/>
      <c r="AS3533" s="22"/>
      <c r="AT3533" s="22"/>
      <c r="AU3533" s="22"/>
      <c r="AV3533" s="22"/>
      <c r="AW3533" s="9"/>
      <c r="BA3533" s="22"/>
      <c r="BB3533" s="22"/>
      <c r="BD3533" s="9"/>
      <c r="CS3533" s="11">
        <f t="shared" si="243"/>
        <v>0</v>
      </c>
      <c r="CT3533" s="22">
        <f t="shared" si="244"/>
        <v>0</v>
      </c>
      <c r="CU3533" s="22">
        <f t="shared" si="245"/>
        <v>0</v>
      </c>
      <c r="CV3533" s="26">
        <f t="shared" si="246"/>
        <v>1055</v>
      </c>
    </row>
    <row r="3534" spans="1:100" x14ac:dyDescent="0.2">
      <c r="A3534" s="9" t="s">
        <v>685</v>
      </c>
      <c r="B3534" s="2">
        <v>2</v>
      </c>
      <c r="C3534" s="3" t="s">
        <v>95</v>
      </c>
      <c r="D3534" s="3" t="s">
        <v>96</v>
      </c>
      <c r="E3534" s="2"/>
      <c r="F3534" s="2"/>
      <c r="G3534" s="2" t="s">
        <v>65</v>
      </c>
      <c r="H3534" s="2">
        <v>2</v>
      </c>
      <c r="I3534" s="20">
        <v>120.89</v>
      </c>
      <c r="J3534" s="20">
        <v>54029</v>
      </c>
      <c r="K3534" s="3">
        <v>0</v>
      </c>
      <c r="L3534" s="3" t="s">
        <v>3</v>
      </c>
      <c r="M3534" s="9" t="s">
        <v>0</v>
      </c>
      <c r="N3534" s="9">
        <v>43115531</v>
      </c>
      <c r="O3534" s="9" t="s">
        <v>686</v>
      </c>
      <c r="S3534" s="9" t="s">
        <v>158</v>
      </c>
      <c r="T3534" s="10" t="s">
        <v>65</v>
      </c>
      <c r="U3534" s="10">
        <v>2</v>
      </c>
      <c r="V3534" s="10">
        <v>120.89</v>
      </c>
      <c r="W3534" s="10" t="s">
        <v>710</v>
      </c>
      <c r="X3534" s="17">
        <v>45851</v>
      </c>
      <c r="Y3534" s="17">
        <v>45851</v>
      </c>
      <c r="Z3534" s="19" t="s">
        <v>772</v>
      </c>
      <c r="AA3534" s="207">
        <v>50000</v>
      </c>
      <c r="AB3534" s="9">
        <v>36</v>
      </c>
      <c r="AC3534" s="9">
        <v>41</v>
      </c>
      <c r="AD3534" s="17">
        <v>47117</v>
      </c>
      <c r="AE3534" s="22">
        <v>1055</v>
      </c>
      <c r="AF3534" s="22"/>
      <c r="AL3534" s="9"/>
      <c r="AM3534" s="9"/>
      <c r="AN3534" s="9"/>
      <c r="AO3534" s="22"/>
      <c r="AP3534" s="22"/>
      <c r="AQ3534" s="22"/>
      <c r="AR3534" s="22"/>
      <c r="AS3534" s="22"/>
      <c r="AT3534" s="22"/>
      <c r="AU3534" s="22"/>
      <c r="AV3534" s="22"/>
      <c r="AW3534" s="9"/>
      <c r="BA3534" s="22"/>
      <c r="BB3534" s="22"/>
      <c r="BD3534" s="9"/>
      <c r="CS3534" s="11">
        <f t="shared" si="243"/>
        <v>0</v>
      </c>
      <c r="CT3534" s="22">
        <f t="shared" si="244"/>
        <v>0</v>
      </c>
      <c r="CU3534" s="22">
        <f t="shared" si="245"/>
        <v>0</v>
      </c>
      <c r="CV3534" s="26">
        <f t="shared" si="246"/>
        <v>1055</v>
      </c>
    </row>
    <row r="3535" spans="1:100" x14ac:dyDescent="0.2">
      <c r="A3535" s="9" t="s">
        <v>685</v>
      </c>
      <c r="B3535" s="2">
        <v>2</v>
      </c>
      <c r="C3535" s="3" t="s">
        <v>95</v>
      </c>
      <c r="D3535" s="3" t="s">
        <v>96</v>
      </c>
      <c r="E3535" s="2"/>
      <c r="F3535" s="2"/>
      <c r="G3535" s="2" t="s">
        <v>65</v>
      </c>
      <c r="H3535" s="2">
        <v>2</v>
      </c>
      <c r="I3535" s="20">
        <v>120.89</v>
      </c>
      <c r="J3535" s="20">
        <v>54029</v>
      </c>
      <c r="K3535" s="3">
        <v>0</v>
      </c>
      <c r="L3535" s="3" t="s">
        <v>3</v>
      </c>
      <c r="M3535" s="9" t="s">
        <v>0</v>
      </c>
      <c r="N3535" s="9">
        <v>43115531</v>
      </c>
      <c r="O3535" s="9" t="s">
        <v>686</v>
      </c>
      <c r="S3535" s="9" t="s">
        <v>158</v>
      </c>
      <c r="T3535" s="10" t="s">
        <v>65</v>
      </c>
      <c r="U3535" s="10">
        <v>2</v>
      </c>
      <c r="V3535" s="10">
        <v>120.89</v>
      </c>
      <c r="W3535" s="10" t="s">
        <v>710</v>
      </c>
      <c r="X3535" s="17">
        <v>45851</v>
      </c>
      <c r="Y3535" s="17">
        <v>45851</v>
      </c>
      <c r="Z3535" s="19" t="s">
        <v>772</v>
      </c>
      <c r="AA3535" s="207">
        <v>50000</v>
      </c>
      <c r="AB3535" s="9">
        <v>36</v>
      </c>
      <c r="AC3535" s="9">
        <v>42</v>
      </c>
      <c r="AD3535" s="17">
        <v>47148</v>
      </c>
      <c r="AE3535" s="22">
        <v>1055</v>
      </c>
      <c r="AF3535" s="22"/>
      <c r="AL3535" s="9"/>
      <c r="AM3535" s="9"/>
      <c r="AN3535" s="9"/>
      <c r="AO3535" s="22"/>
      <c r="AP3535" s="22"/>
      <c r="AQ3535" s="22"/>
      <c r="AR3535" s="22"/>
      <c r="AS3535" s="22"/>
      <c r="AT3535" s="22"/>
      <c r="AU3535" s="22"/>
      <c r="AV3535" s="22"/>
      <c r="AW3535" s="9"/>
      <c r="BA3535" s="22"/>
      <c r="BB3535" s="22"/>
      <c r="BD3535" s="9"/>
      <c r="CS3535" s="11">
        <f t="shared" si="243"/>
        <v>0</v>
      </c>
      <c r="CT3535" s="22">
        <f t="shared" si="244"/>
        <v>0</v>
      </c>
      <c r="CU3535" s="22">
        <f t="shared" si="245"/>
        <v>0</v>
      </c>
      <c r="CV3535" s="26">
        <f t="shared" si="246"/>
        <v>1055</v>
      </c>
    </row>
    <row r="3536" spans="1:100" x14ac:dyDescent="0.2">
      <c r="A3536" s="9" t="s">
        <v>685</v>
      </c>
      <c r="B3536" s="2">
        <v>2</v>
      </c>
      <c r="C3536" s="3" t="s">
        <v>95</v>
      </c>
      <c r="D3536" s="3" t="s">
        <v>96</v>
      </c>
      <c r="E3536" s="2"/>
      <c r="F3536" s="2"/>
      <c r="G3536" s="2" t="s">
        <v>65</v>
      </c>
      <c r="H3536" s="2">
        <v>2</v>
      </c>
      <c r="I3536" s="20">
        <v>120.89</v>
      </c>
      <c r="J3536" s="20">
        <v>54029</v>
      </c>
      <c r="K3536" s="3">
        <v>0</v>
      </c>
      <c r="L3536" s="3" t="s">
        <v>3</v>
      </c>
      <c r="M3536" s="9" t="s">
        <v>0</v>
      </c>
      <c r="N3536" s="9">
        <v>43115531</v>
      </c>
      <c r="O3536" s="9" t="s">
        <v>686</v>
      </c>
      <c r="S3536" s="9" t="s">
        <v>158</v>
      </c>
      <c r="T3536" s="10" t="s">
        <v>65</v>
      </c>
      <c r="U3536" s="10">
        <v>2</v>
      </c>
      <c r="V3536" s="10">
        <v>120.89</v>
      </c>
      <c r="W3536" s="10" t="s">
        <v>710</v>
      </c>
      <c r="X3536" s="17">
        <v>45851</v>
      </c>
      <c r="Y3536" s="17">
        <v>45851</v>
      </c>
      <c r="Z3536" s="19" t="s">
        <v>772</v>
      </c>
      <c r="AA3536" s="207">
        <v>50000</v>
      </c>
      <c r="AB3536" s="9">
        <v>36</v>
      </c>
      <c r="AC3536" s="9">
        <v>43</v>
      </c>
      <c r="AD3536" s="17">
        <v>47177</v>
      </c>
      <c r="AE3536" s="22">
        <v>1055</v>
      </c>
      <c r="AF3536" s="22"/>
      <c r="AL3536" s="9"/>
      <c r="AM3536" s="9"/>
      <c r="AN3536" s="9"/>
      <c r="AO3536" s="22"/>
      <c r="AP3536" s="22"/>
      <c r="AQ3536" s="22"/>
      <c r="AR3536" s="22"/>
      <c r="AS3536" s="22"/>
      <c r="AT3536" s="22"/>
      <c r="AU3536" s="22"/>
      <c r="AV3536" s="22"/>
      <c r="AW3536" s="9"/>
      <c r="BA3536" s="22"/>
      <c r="BB3536" s="22"/>
      <c r="BD3536" s="9"/>
      <c r="CS3536" s="11">
        <f t="shared" si="243"/>
        <v>0</v>
      </c>
      <c r="CT3536" s="22">
        <f t="shared" si="244"/>
        <v>0</v>
      </c>
      <c r="CU3536" s="22">
        <f t="shared" si="245"/>
        <v>0</v>
      </c>
      <c r="CV3536" s="26">
        <f t="shared" si="246"/>
        <v>1055</v>
      </c>
    </row>
    <row r="3537" spans="1:100" x14ac:dyDescent="0.2">
      <c r="A3537" s="9" t="s">
        <v>685</v>
      </c>
      <c r="B3537" s="2">
        <v>2</v>
      </c>
      <c r="C3537" s="3" t="s">
        <v>95</v>
      </c>
      <c r="D3537" s="3" t="s">
        <v>96</v>
      </c>
      <c r="E3537" s="2"/>
      <c r="F3537" s="2"/>
      <c r="G3537" s="2" t="s">
        <v>65</v>
      </c>
      <c r="H3537" s="2">
        <v>2</v>
      </c>
      <c r="I3537" s="20">
        <v>120.89</v>
      </c>
      <c r="J3537" s="20">
        <v>54029</v>
      </c>
      <c r="K3537" s="3">
        <v>0</v>
      </c>
      <c r="L3537" s="3" t="s">
        <v>3</v>
      </c>
      <c r="M3537" s="9" t="s">
        <v>0</v>
      </c>
      <c r="N3537" s="9">
        <v>43115531</v>
      </c>
      <c r="O3537" s="9" t="s">
        <v>686</v>
      </c>
      <c r="S3537" s="9" t="s">
        <v>158</v>
      </c>
      <c r="T3537" s="10" t="s">
        <v>65</v>
      </c>
      <c r="U3537" s="10">
        <v>2</v>
      </c>
      <c r="V3537" s="10">
        <v>120.89</v>
      </c>
      <c r="W3537" s="10" t="s">
        <v>710</v>
      </c>
      <c r="X3537" s="17">
        <v>45851</v>
      </c>
      <c r="Y3537" s="17">
        <v>45851</v>
      </c>
      <c r="Z3537" s="19" t="s">
        <v>772</v>
      </c>
      <c r="AA3537" s="207">
        <v>50000</v>
      </c>
      <c r="AB3537" s="9">
        <v>36</v>
      </c>
      <c r="AC3537" s="9">
        <v>44</v>
      </c>
      <c r="AD3537" s="17">
        <v>47207</v>
      </c>
      <c r="AE3537" s="22">
        <v>1055</v>
      </c>
      <c r="AF3537" s="22"/>
      <c r="AL3537" s="9"/>
      <c r="AM3537" s="9"/>
      <c r="AN3537" s="9"/>
      <c r="AO3537" s="22"/>
      <c r="AP3537" s="22"/>
      <c r="AQ3537" s="22"/>
      <c r="AR3537" s="22"/>
      <c r="AS3537" s="22"/>
      <c r="AT3537" s="22"/>
      <c r="AU3537" s="22"/>
      <c r="AV3537" s="22"/>
      <c r="AW3537" s="9"/>
      <c r="BA3537" s="22"/>
      <c r="BB3537" s="22"/>
      <c r="BD3537" s="9"/>
      <c r="CS3537" s="11">
        <f t="shared" si="243"/>
        <v>0</v>
      </c>
      <c r="CT3537" s="22">
        <f t="shared" si="244"/>
        <v>0</v>
      </c>
      <c r="CU3537" s="22">
        <f t="shared" si="245"/>
        <v>0</v>
      </c>
      <c r="CV3537" s="26">
        <f t="shared" si="246"/>
        <v>1055</v>
      </c>
    </row>
    <row r="3538" spans="1:100" x14ac:dyDescent="0.2">
      <c r="A3538" s="9" t="s">
        <v>685</v>
      </c>
      <c r="B3538" s="2">
        <v>2</v>
      </c>
      <c r="C3538" s="3" t="s">
        <v>95</v>
      </c>
      <c r="D3538" s="3" t="s">
        <v>96</v>
      </c>
      <c r="E3538" s="2"/>
      <c r="F3538" s="2"/>
      <c r="G3538" s="2" t="s">
        <v>65</v>
      </c>
      <c r="H3538" s="2">
        <v>2</v>
      </c>
      <c r="I3538" s="20">
        <v>120.89</v>
      </c>
      <c r="J3538" s="20">
        <v>54029</v>
      </c>
      <c r="K3538" s="3">
        <v>0</v>
      </c>
      <c r="L3538" s="3" t="s">
        <v>3</v>
      </c>
      <c r="M3538" s="9" t="s">
        <v>0</v>
      </c>
      <c r="N3538" s="9">
        <v>43115531</v>
      </c>
      <c r="O3538" s="9" t="s">
        <v>686</v>
      </c>
      <c r="S3538" s="9" t="s">
        <v>158</v>
      </c>
      <c r="T3538" s="10" t="s">
        <v>65</v>
      </c>
      <c r="U3538" s="10">
        <v>2</v>
      </c>
      <c r="V3538" s="10">
        <v>120.89</v>
      </c>
      <c r="W3538" s="10" t="s">
        <v>710</v>
      </c>
      <c r="X3538" s="17">
        <v>45851</v>
      </c>
      <c r="Y3538" s="17">
        <v>45851</v>
      </c>
      <c r="Z3538" s="19" t="s">
        <v>772</v>
      </c>
      <c r="AA3538" s="207">
        <v>50000</v>
      </c>
      <c r="AB3538" s="9">
        <v>36</v>
      </c>
      <c r="AC3538" s="9">
        <v>45</v>
      </c>
      <c r="AD3538" s="17">
        <v>47238</v>
      </c>
      <c r="AE3538" s="22">
        <v>1055</v>
      </c>
      <c r="AF3538" s="22"/>
      <c r="AL3538" s="9"/>
      <c r="AM3538" s="9"/>
      <c r="AN3538" s="9"/>
      <c r="AO3538" s="22"/>
      <c r="AP3538" s="22"/>
      <c r="AQ3538" s="22"/>
      <c r="AR3538" s="22"/>
      <c r="AS3538" s="22"/>
      <c r="AT3538" s="22"/>
      <c r="AU3538" s="22"/>
      <c r="AV3538" s="22"/>
      <c r="AW3538" s="9"/>
      <c r="BA3538" s="22"/>
      <c r="BB3538" s="22"/>
      <c r="BD3538" s="9"/>
      <c r="CS3538" s="11">
        <f t="shared" si="243"/>
        <v>0</v>
      </c>
      <c r="CT3538" s="22">
        <f t="shared" si="244"/>
        <v>0</v>
      </c>
      <c r="CU3538" s="22">
        <f t="shared" si="245"/>
        <v>0</v>
      </c>
      <c r="CV3538" s="26">
        <f t="shared" si="246"/>
        <v>1055</v>
      </c>
    </row>
    <row r="3539" spans="1:100" x14ac:dyDescent="0.2">
      <c r="A3539" s="9" t="s">
        <v>685</v>
      </c>
      <c r="B3539" s="2">
        <v>2</v>
      </c>
      <c r="C3539" s="3" t="s">
        <v>95</v>
      </c>
      <c r="D3539" s="3" t="s">
        <v>96</v>
      </c>
      <c r="E3539" s="2"/>
      <c r="F3539" s="2"/>
      <c r="G3539" s="2" t="s">
        <v>65</v>
      </c>
      <c r="H3539" s="2">
        <v>2</v>
      </c>
      <c r="I3539" s="20">
        <v>120.89</v>
      </c>
      <c r="J3539" s="20">
        <v>54029</v>
      </c>
      <c r="K3539" s="3">
        <v>0</v>
      </c>
      <c r="L3539" s="3" t="s">
        <v>3</v>
      </c>
      <c r="M3539" s="9" t="s">
        <v>0</v>
      </c>
      <c r="N3539" s="9">
        <v>43115531</v>
      </c>
      <c r="O3539" s="9" t="s">
        <v>686</v>
      </c>
      <c r="S3539" s="9" t="s">
        <v>158</v>
      </c>
      <c r="T3539" s="10" t="s">
        <v>65</v>
      </c>
      <c r="U3539" s="10">
        <v>2</v>
      </c>
      <c r="V3539" s="10">
        <v>120.89</v>
      </c>
      <c r="W3539" s="10" t="s">
        <v>710</v>
      </c>
      <c r="X3539" s="17">
        <v>45851</v>
      </c>
      <c r="Y3539" s="17">
        <v>45851</v>
      </c>
      <c r="Z3539" s="19" t="s">
        <v>772</v>
      </c>
      <c r="AA3539" s="207">
        <v>50000</v>
      </c>
      <c r="AB3539" s="9">
        <v>36</v>
      </c>
      <c r="AC3539" s="9">
        <v>46</v>
      </c>
      <c r="AD3539" s="17">
        <v>47268</v>
      </c>
      <c r="AE3539" s="22">
        <v>1055</v>
      </c>
      <c r="AF3539" s="22"/>
      <c r="AL3539" s="9"/>
      <c r="AM3539" s="9"/>
      <c r="AN3539" s="9"/>
      <c r="AO3539" s="22"/>
      <c r="AP3539" s="22"/>
      <c r="AQ3539" s="22"/>
      <c r="AR3539" s="22"/>
      <c r="AS3539" s="22"/>
      <c r="AT3539" s="22"/>
      <c r="AU3539" s="22"/>
      <c r="AV3539" s="22"/>
      <c r="AW3539" s="9"/>
      <c r="BA3539" s="22"/>
      <c r="BB3539" s="22"/>
      <c r="BD3539" s="9"/>
      <c r="CS3539" s="11">
        <f t="shared" si="243"/>
        <v>0</v>
      </c>
      <c r="CT3539" s="22">
        <f t="shared" si="244"/>
        <v>0</v>
      </c>
      <c r="CU3539" s="22">
        <f t="shared" si="245"/>
        <v>0</v>
      </c>
      <c r="CV3539" s="26">
        <f t="shared" si="246"/>
        <v>1055</v>
      </c>
    </row>
    <row r="3540" spans="1:100" x14ac:dyDescent="0.2">
      <c r="A3540" s="9" t="s">
        <v>685</v>
      </c>
      <c r="B3540" s="2">
        <v>2</v>
      </c>
      <c r="C3540" s="3" t="s">
        <v>95</v>
      </c>
      <c r="D3540" s="3" t="s">
        <v>96</v>
      </c>
      <c r="E3540" s="2"/>
      <c r="F3540" s="2"/>
      <c r="G3540" s="2" t="s">
        <v>65</v>
      </c>
      <c r="H3540" s="2">
        <v>2</v>
      </c>
      <c r="I3540" s="20">
        <v>120.89</v>
      </c>
      <c r="J3540" s="20">
        <v>54029</v>
      </c>
      <c r="K3540" s="3">
        <v>0</v>
      </c>
      <c r="L3540" s="3" t="s">
        <v>3</v>
      </c>
      <c r="M3540" s="9" t="s">
        <v>0</v>
      </c>
      <c r="N3540" s="9">
        <v>43115531</v>
      </c>
      <c r="O3540" s="9" t="s">
        <v>686</v>
      </c>
      <c r="S3540" s="9" t="s">
        <v>158</v>
      </c>
      <c r="T3540" s="10" t="s">
        <v>65</v>
      </c>
      <c r="U3540" s="10">
        <v>2</v>
      </c>
      <c r="V3540" s="10">
        <v>120.89</v>
      </c>
      <c r="W3540" s="10" t="s">
        <v>710</v>
      </c>
      <c r="X3540" s="17">
        <v>45851</v>
      </c>
      <c r="Y3540" s="17">
        <v>45851</v>
      </c>
      <c r="Z3540" s="19" t="s">
        <v>772</v>
      </c>
      <c r="AA3540" s="207">
        <v>50000</v>
      </c>
      <c r="AB3540" s="9">
        <v>36</v>
      </c>
      <c r="AC3540" s="9">
        <v>47</v>
      </c>
      <c r="AD3540" s="17">
        <v>47299</v>
      </c>
      <c r="AE3540" s="22">
        <v>1055</v>
      </c>
      <c r="AF3540" s="22"/>
      <c r="AL3540" s="9"/>
      <c r="AM3540" s="9"/>
      <c r="AN3540" s="9"/>
      <c r="AO3540" s="22"/>
      <c r="AP3540" s="22"/>
      <c r="AQ3540" s="22"/>
      <c r="AR3540" s="22"/>
      <c r="AS3540" s="22"/>
      <c r="AT3540" s="22"/>
      <c r="AU3540" s="22"/>
      <c r="AV3540" s="22"/>
      <c r="AW3540" s="9"/>
      <c r="BA3540" s="22"/>
      <c r="BB3540" s="22"/>
      <c r="BD3540" s="9"/>
      <c r="CS3540" s="11">
        <f t="shared" si="243"/>
        <v>0</v>
      </c>
      <c r="CT3540" s="22">
        <f t="shared" si="244"/>
        <v>0</v>
      </c>
      <c r="CU3540" s="22">
        <f t="shared" si="245"/>
        <v>0</v>
      </c>
      <c r="CV3540" s="26">
        <f t="shared" si="246"/>
        <v>1055</v>
      </c>
    </row>
    <row r="3541" spans="1:100" x14ac:dyDescent="0.2">
      <c r="A3541" s="9" t="s">
        <v>685</v>
      </c>
      <c r="B3541" s="2">
        <v>2</v>
      </c>
      <c r="C3541" s="3" t="s">
        <v>95</v>
      </c>
      <c r="D3541" s="3" t="s">
        <v>96</v>
      </c>
      <c r="E3541" s="2"/>
      <c r="F3541" s="2"/>
      <c r="G3541" s="2" t="s">
        <v>65</v>
      </c>
      <c r="H3541" s="2">
        <v>2</v>
      </c>
      <c r="I3541" s="20">
        <v>120.89</v>
      </c>
      <c r="J3541" s="20">
        <v>54029</v>
      </c>
      <c r="K3541" s="3">
        <v>0</v>
      </c>
      <c r="L3541" s="3" t="s">
        <v>3</v>
      </c>
      <c r="M3541" s="9" t="s">
        <v>0</v>
      </c>
      <c r="N3541" s="9">
        <v>43115531</v>
      </c>
      <c r="O3541" s="9" t="s">
        <v>686</v>
      </c>
      <c r="S3541" s="9" t="s">
        <v>158</v>
      </c>
      <c r="T3541" s="10" t="s">
        <v>65</v>
      </c>
      <c r="U3541" s="10">
        <v>2</v>
      </c>
      <c r="V3541" s="10">
        <v>120.89</v>
      </c>
      <c r="W3541" s="10" t="s">
        <v>710</v>
      </c>
      <c r="X3541" s="17">
        <v>45851</v>
      </c>
      <c r="Y3541" s="17">
        <v>45851</v>
      </c>
      <c r="Z3541" s="19" t="s">
        <v>772</v>
      </c>
      <c r="AA3541" s="207">
        <v>50000</v>
      </c>
      <c r="AB3541" s="9">
        <v>36</v>
      </c>
      <c r="AC3541" s="9">
        <v>48</v>
      </c>
      <c r="AD3541" s="17">
        <v>47329</v>
      </c>
      <c r="AE3541" s="22">
        <v>1075</v>
      </c>
      <c r="AF3541" s="22"/>
      <c r="AL3541" s="9"/>
      <c r="AM3541" s="9"/>
      <c r="AN3541" s="9"/>
      <c r="AO3541" s="22"/>
      <c r="AP3541" s="22"/>
      <c r="AQ3541" s="22"/>
      <c r="AR3541" s="22"/>
      <c r="AS3541" s="22"/>
      <c r="AT3541" s="22"/>
      <c r="AU3541" s="22"/>
      <c r="AV3541" s="22"/>
      <c r="AW3541" s="9"/>
      <c r="BA3541" s="22"/>
      <c r="BB3541" s="22"/>
      <c r="BD3541" s="9"/>
      <c r="CS3541" s="11">
        <f t="shared" si="243"/>
        <v>0</v>
      </c>
      <c r="CT3541" s="22">
        <f t="shared" si="244"/>
        <v>0</v>
      </c>
      <c r="CU3541" s="22">
        <f t="shared" si="245"/>
        <v>0</v>
      </c>
      <c r="CV3541" s="26">
        <f t="shared" si="246"/>
        <v>1075</v>
      </c>
    </row>
    <row r="3542" spans="1:100" x14ac:dyDescent="0.2">
      <c r="A3542" s="9" t="s">
        <v>690</v>
      </c>
      <c r="B3542" s="2">
        <v>15</v>
      </c>
      <c r="C3542" s="3" t="s">
        <v>95</v>
      </c>
      <c r="D3542" s="3" t="s">
        <v>96</v>
      </c>
      <c r="E3542" s="2"/>
      <c r="F3542" s="2"/>
      <c r="G3542" s="2" t="s">
        <v>67</v>
      </c>
      <c r="H3542" s="2">
        <v>3</v>
      </c>
      <c r="I3542" s="20">
        <v>123.54</v>
      </c>
      <c r="J3542" s="20">
        <v>68633</v>
      </c>
      <c r="K3542" s="3">
        <v>0</v>
      </c>
      <c r="L3542" s="3" t="s">
        <v>97</v>
      </c>
      <c r="M3542" s="9" t="s">
        <v>0</v>
      </c>
      <c r="N3542" s="9">
        <v>43247814</v>
      </c>
      <c r="O3542" s="9" t="s">
        <v>691</v>
      </c>
      <c r="S3542" s="9" t="s">
        <v>158</v>
      </c>
      <c r="T3542" s="10" t="s">
        <v>67</v>
      </c>
      <c r="U3542" s="10">
        <v>3</v>
      </c>
      <c r="V3542" s="10">
        <v>123.54</v>
      </c>
      <c r="W3542" s="10" t="s">
        <v>710</v>
      </c>
      <c r="X3542" s="17">
        <v>45853</v>
      </c>
      <c r="Y3542" s="17">
        <v>45853</v>
      </c>
      <c r="Z3542" s="19" t="s">
        <v>772</v>
      </c>
      <c r="AA3542" s="207">
        <v>41400</v>
      </c>
      <c r="AB3542" s="9">
        <v>60</v>
      </c>
      <c r="AC3542" s="9">
        <v>0</v>
      </c>
      <c r="AD3542" s="17">
        <v>45852</v>
      </c>
      <c r="AE3542" s="54">
        <v>100</v>
      </c>
      <c r="AF3542" s="54"/>
      <c r="AG3542" s="10" t="s">
        <v>134</v>
      </c>
      <c r="AH3542" s="17">
        <v>45847</v>
      </c>
      <c r="AI3542" s="30">
        <v>43247814</v>
      </c>
      <c r="AJ3542" s="17" t="s">
        <v>3291</v>
      </c>
      <c r="AK3542" s="9" t="s">
        <v>692</v>
      </c>
      <c r="AL3542" s="22">
        <v>100</v>
      </c>
      <c r="AM3542" s="22"/>
      <c r="AN3542" s="22" t="s">
        <v>783</v>
      </c>
      <c r="AO3542" s="22"/>
      <c r="AP3542" s="22"/>
      <c r="AQ3542" s="22"/>
      <c r="AR3542" s="22"/>
      <c r="AS3542" s="22"/>
      <c r="AT3542" s="22"/>
      <c r="AU3542" s="22"/>
      <c r="AV3542" s="22"/>
      <c r="AW3542" s="17">
        <v>45847</v>
      </c>
      <c r="AX3542" s="10">
        <v>2387901</v>
      </c>
      <c r="AY3542" s="22">
        <v>356</v>
      </c>
      <c r="AZ3542" s="9">
        <v>3.56</v>
      </c>
      <c r="BA3542" s="22">
        <f>+AY3542/AZ3542</f>
        <v>100</v>
      </c>
      <c r="BB3542" s="22"/>
      <c r="BD3542" s="9"/>
      <c r="CS3542" s="11">
        <f t="shared" si="243"/>
        <v>100</v>
      </c>
      <c r="CT3542" s="22">
        <f t="shared" si="244"/>
        <v>100</v>
      </c>
      <c r="CU3542" s="22">
        <f t="shared" si="245"/>
        <v>0</v>
      </c>
      <c r="CV3542" s="26">
        <f t="shared" si="246"/>
        <v>0</v>
      </c>
    </row>
    <row r="3543" spans="1:100" x14ac:dyDescent="0.2">
      <c r="A3543" s="9" t="s">
        <v>690</v>
      </c>
      <c r="B3543" s="2">
        <v>15</v>
      </c>
      <c r="C3543" s="3" t="s">
        <v>95</v>
      </c>
      <c r="D3543" s="3" t="s">
        <v>96</v>
      </c>
      <c r="E3543" s="2"/>
      <c r="F3543" s="2"/>
      <c r="G3543" s="2" t="s">
        <v>67</v>
      </c>
      <c r="H3543" s="2">
        <v>3</v>
      </c>
      <c r="I3543" s="20">
        <v>123.54</v>
      </c>
      <c r="J3543" s="20">
        <v>68633</v>
      </c>
      <c r="K3543" s="3">
        <v>0</v>
      </c>
      <c r="L3543" s="3" t="s">
        <v>97</v>
      </c>
      <c r="M3543" s="9" t="s">
        <v>0</v>
      </c>
      <c r="N3543" s="9">
        <v>43247814</v>
      </c>
      <c r="O3543" s="9" t="s">
        <v>691</v>
      </c>
      <c r="S3543" s="9" t="s">
        <v>158</v>
      </c>
      <c r="T3543" s="10" t="s">
        <v>67</v>
      </c>
      <c r="U3543" s="10">
        <v>3</v>
      </c>
      <c r="V3543" s="10">
        <v>123.54</v>
      </c>
      <c r="W3543" s="10" t="s">
        <v>710</v>
      </c>
      <c r="X3543" s="17">
        <v>45853</v>
      </c>
      <c r="Y3543" s="17">
        <v>45853</v>
      </c>
      <c r="Z3543" s="19" t="s">
        <v>772</v>
      </c>
      <c r="AA3543" s="207">
        <v>41400</v>
      </c>
      <c r="AB3543" s="9">
        <v>60</v>
      </c>
      <c r="AC3543" s="9">
        <v>0</v>
      </c>
      <c r="AD3543" s="17">
        <v>45852</v>
      </c>
      <c r="AE3543" s="54">
        <v>5276</v>
      </c>
      <c r="AF3543" s="54"/>
      <c r="AG3543" s="10" t="s">
        <v>134</v>
      </c>
      <c r="AH3543" s="17">
        <v>45853</v>
      </c>
      <c r="AI3543" s="30">
        <v>43247814</v>
      </c>
      <c r="AJ3543" s="17" t="s">
        <v>3291</v>
      </c>
      <c r="AK3543" s="9" t="s">
        <v>693</v>
      </c>
      <c r="AL3543" s="22">
        <v>5276</v>
      </c>
      <c r="AM3543" s="22"/>
      <c r="AN3543" s="22" t="s">
        <v>784</v>
      </c>
      <c r="AO3543" s="22"/>
      <c r="AP3543" s="22"/>
      <c r="AQ3543" s="22"/>
      <c r="AR3543" s="22"/>
      <c r="AS3543" s="22"/>
      <c r="AT3543" s="22"/>
      <c r="AU3543" s="22"/>
      <c r="AV3543" s="22"/>
      <c r="AW3543" s="17">
        <v>45853</v>
      </c>
      <c r="AX3543" s="90">
        <v>4419</v>
      </c>
      <c r="BA3543" s="22">
        <v>5276</v>
      </c>
      <c r="BB3543" s="22"/>
      <c r="BD3543" s="9"/>
      <c r="CS3543" s="11">
        <f t="shared" si="243"/>
        <v>5276</v>
      </c>
      <c r="CT3543" s="22">
        <f t="shared" si="244"/>
        <v>5276</v>
      </c>
      <c r="CU3543" s="22">
        <f t="shared" si="245"/>
        <v>0</v>
      </c>
      <c r="CV3543" s="26">
        <f t="shared" si="246"/>
        <v>0</v>
      </c>
    </row>
    <row r="3544" spans="1:100" x14ac:dyDescent="0.2">
      <c r="A3544" s="9" t="s">
        <v>690</v>
      </c>
      <c r="B3544" s="2">
        <v>15</v>
      </c>
      <c r="C3544" s="3" t="s">
        <v>95</v>
      </c>
      <c r="D3544" s="3" t="s">
        <v>96</v>
      </c>
      <c r="E3544" s="2"/>
      <c r="F3544" s="2"/>
      <c r="G3544" s="2" t="s">
        <v>67</v>
      </c>
      <c r="H3544" s="2">
        <v>3</v>
      </c>
      <c r="I3544" s="20">
        <v>123.54</v>
      </c>
      <c r="J3544" s="20">
        <v>68633</v>
      </c>
      <c r="K3544" s="3">
        <v>0</v>
      </c>
      <c r="L3544" s="3" t="s">
        <v>97</v>
      </c>
      <c r="M3544" s="9" t="s">
        <v>0</v>
      </c>
      <c r="N3544" s="9">
        <v>43247814</v>
      </c>
      <c r="O3544" s="9" t="s">
        <v>691</v>
      </c>
      <c r="S3544" s="9" t="s">
        <v>158</v>
      </c>
      <c r="T3544" s="10" t="s">
        <v>67</v>
      </c>
      <c r="U3544" s="10">
        <v>3</v>
      </c>
      <c r="V3544" s="10">
        <v>123.54</v>
      </c>
      <c r="W3544" s="10" t="s">
        <v>710</v>
      </c>
      <c r="X3544" s="17">
        <v>45853</v>
      </c>
      <c r="Y3544" s="17">
        <v>45853</v>
      </c>
      <c r="Z3544" s="19" t="s">
        <v>772</v>
      </c>
      <c r="AA3544" s="207">
        <v>41400</v>
      </c>
      <c r="AB3544" s="9">
        <v>60</v>
      </c>
      <c r="AC3544" s="9">
        <v>0</v>
      </c>
      <c r="AD3544" s="17">
        <v>45870</v>
      </c>
      <c r="AE3544" s="54">
        <v>4624</v>
      </c>
      <c r="AF3544" s="54"/>
      <c r="AG3544" s="10" t="s">
        <v>134</v>
      </c>
      <c r="AH3544" s="17">
        <v>45870</v>
      </c>
      <c r="AI3544" s="30">
        <v>43247814</v>
      </c>
      <c r="AJ3544" s="17" t="s">
        <v>3291</v>
      </c>
      <c r="AK3544" s="9" t="s">
        <v>694</v>
      </c>
      <c r="AL3544" s="22">
        <v>4624.4399999999996</v>
      </c>
      <c r="AM3544" s="22"/>
      <c r="AN3544" s="9" t="s">
        <v>785</v>
      </c>
      <c r="AO3544" s="9"/>
      <c r="AP3544" s="9"/>
      <c r="AQ3544" s="9"/>
      <c r="AR3544" s="9"/>
      <c r="AS3544" s="9"/>
      <c r="AT3544" s="9"/>
      <c r="AU3544" s="9"/>
      <c r="AV3544" s="9"/>
      <c r="AW3544" s="18">
        <v>45870</v>
      </c>
      <c r="AX3544" s="10" t="s">
        <v>773</v>
      </c>
      <c r="AY3544" s="22"/>
      <c r="BA3544" s="22">
        <v>260</v>
      </c>
      <c r="BB3544" s="9" t="s">
        <v>778</v>
      </c>
      <c r="BC3544" s="18">
        <v>45870</v>
      </c>
      <c r="BD3544" s="10" t="s">
        <v>774</v>
      </c>
      <c r="BE3544" s="22"/>
      <c r="BG3544" s="22">
        <v>260</v>
      </c>
      <c r="BH3544" s="9" t="s">
        <v>779</v>
      </c>
      <c r="BI3544" s="18">
        <v>45870</v>
      </c>
      <c r="BJ3544" s="10" t="s">
        <v>775</v>
      </c>
      <c r="BK3544" s="22"/>
      <c r="BM3544" s="22">
        <v>104.44</v>
      </c>
      <c r="BN3544" s="9" t="s">
        <v>780</v>
      </c>
      <c r="BO3544" s="18">
        <v>45870</v>
      </c>
      <c r="BP3544" s="10" t="s">
        <v>776</v>
      </c>
      <c r="BQ3544" s="22"/>
      <c r="BS3544" s="22">
        <v>3900</v>
      </c>
      <c r="BT3544" s="9" t="s">
        <v>781</v>
      </c>
      <c r="BU3544" s="18">
        <v>45870</v>
      </c>
      <c r="BV3544" s="10" t="s">
        <v>777</v>
      </c>
      <c r="BW3544" s="22"/>
      <c r="BY3544" s="22">
        <v>100</v>
      </c>
      <c r="BZ3544" s="22" t="s">
        <v>782</v>
      </c>
      <c r="CS3544" s="11">
        <f t="shared" si="243"/>
        <v>4624.4399999999996</v>
      </c>
      <c r="CT3544" s="22">
        <f t="shared" si="244"/>
        <v>4624.4400000000005</v>
      </c>
      <c r="CU3544" s="22">
        <f t="shared" si="245"/>
        <v>0</v>
      </c>
      <c r="CV3544" s="26">
        <f t="shared" si="246"/>
        <v>-0.43999999999959982</v>
      </c>
    </row>
    <row r="3545" spans="1:100" x14ac:dyDescent="0.2">
      <c r="A3545" s="9" t="s">
        <v>690</v>
      </c>
      <c r="B3545" s="2">
        <v>15</v>
      </c>
      <c r="C3545" s="3" t="s">
        <v>95</v>
      </c>
      <c r="D3545" s="3" t="s">
        <v>96</v>
      </c>
      <c r="E3545" s="2"/>
      <c r="F3545" s="2"/>
      <c r="G3545" s="2" t="s">
        <v>67</v>
      </c>
      <c r="H3545" s="2">
        <v>3</v>
      </c>
      <c r="I3545" s="20">
        <v>123.54</v>
      </c>
      <c r="J3545" s="20">
        <v>68633</v>
      </c>
      <c r="K3545" s="3">
        <v>0</v>
      </c>
      <c r="L3545" s="3" t="s">
        <v>97</v>
      </c>
      <c r="M3545" s="9" t="s">
        <v>0</v>
      </c>
      <c r="N3545" s="9">
        <v>43247814</v>
      </c>
      <c r="O3545" s="9" t="s">
        <v>691</v>
      </c>
      <c r="S3545" s="9" t="s">
        <v>158</v>
      </c>
      <c r="T3545" s="10" t="s">
        <v>67</v>
      </c>
      <c r="U3545" s="10">
        <v>3</v>
      </c>
      <c r="V3545" s="10">
        <v>123.54</v>
      </c>
      <c r="W3545" s="10" t="s">
        <v>710</v>
      </c>
      <c r="X3545" s="17">
        <v>45853</v>
      </c>
      <c r="Y3545" s="17">
        <v>45853</v>
      </c>
      <c r="Z3545" s="19" t="s">
        <v>772</v>
      </c>
      <c r="AA3545" s="207">
        <v>41400</v>
      </c>
      <c r="AB3545" s="9">
        <v>60</v>
      </c>
      <c r="AC3545" s="9">
        <v>1</v>
      </c>
      <c r="AD3545" s="17">
        <v>45915</v>
      </c>
      <c r="AE3545" s="54">
        <v>500</v>
      </c>
      <c r="AF3545" s="54"/>
      <c r="AG3545" s="10"/>
      <c r="AL3545" s="22"/>
      <c r="AM3545" s="22"/>
      <c r="AN3545" s="22"/>
      <c r="AO3545" s="22"/>
      <c r="AP3545" s="22"/>
      <c r="AQ3545" s="22"/>
      <c r="AR3545" s="22"/>
      <c r="AS3545" s="22"/>
      <c r="AT3545" s="22"/>
      <c r="AU3545" s="22"/>
      <c r="AV3545" s="22"/>
      <c r="AW3545" s="9"/>
      <c r="BA3545" s="9"/>
      <c r="BB3545" s="9"/>
      <c r="BD3545" s="9"/>
      <c r="CS3545" s="11">
        <f t="shared" si="243"/>
        <v>0</v>
      </c>
      <c r="CT3545" s="22">
        <f t="shared" si="244"/>
        <v>0</v>
      </c>
      <c r="CU3545" s="22">
        <f t="shared" si="245"/>
        <v>0</v>
      </c>
      <c r="CV3545" s="26">
        <f t="shared" si="246"/>
        <v>500</v>
      </c>
    </row>
    <row r="3546" spans="1:100" x14ac:dyDescent="0.2">
      <c r="A3546" s="9" t="s">
        <v>690</v>
      </c>
      <c r="B3546" s="2">
        <v>15</v>
      </c>
      <c r="C3546" s="3" t="s">
        <v>95</v>
      </c>
      <c r="D3546" s="3" t="s">
        <v>96</v>
      </c>
      <c r="E3546" s="2"/>
      <c r="F3546" s="2"/>
      <c r="G3546" s="2" t="s">
        <v>67</v>
      </c>
      <c r="H3546" s="2">
        <v>3</v>
      </c>
      <c r="I3546" s="20">
        <v>123.54</v>
      </c>
      <c r="J3546" s="20">
        <v>68633</v>
      </c>
      <c r="K3546" s="3">
        <v>0</v>
      </c>
      <c r="L3546" s="3" t="s">
        <v>97</v>
      </c>
      <c r="M3546" s="9" t="s">
        <v>0</v>
      </c>
      <c r="N3546" s="9">
        <v>43247814</v>
      </c>
      <c r="O3546" s="9" t="s">
        <v>691</v>
      </c>
      <c r="S3546" s="9" t="s">
        <v>158</v>
      </c>
      <c r="T3546" s="10" t="s">
        <v>67</v>
      </c>
      <c r="U3546" s="10">
        <v>3</v>
      </c>
      <c r="V3546" s="10">
        <v>123.54</v>
      </c>
      <c r="W3546" s="10" t="s">
        <v>710</v>
      </c>
      <c r="X3546" s="17">
        <v>45853</v>
      </c>
      <c r="Y3546" s="17">
        <v>45853</v>
      </c>
      <c r="Z3546" s="19" t="s">
        <v>772</v>
      </c>
      <c r="AA3546" s="207">
        <v>41400</v>
      </c>
      <c r="AB3546" s="9">
        <v>60</v>
      </c>
      <c r="AC3546" s="9">
        <v>2</v>
      </c>
      <c r="AD3546" s="17">
        <v>45945</v>
      </c>
      <c r="AE3546" s="54">
        <v>500</v>
      </c>
      <c r="AF3546" s="54"/>
      <c r="AG3546" s="10"/>
      <c r="AL3546" s="22"/>
      <c r="AM3546" s="22"/>
      <c r="AN3546" s="22"/>
      <c r="AO3546" s="22"/>
      <c r="AP3546" s="22"/>
      <c r="AQ3546" s="22"/>
      <c r="AR3546" s="22"/>
      <c r="AS3546" s="22"/>
      <c r="AT3546" s="22"/>
      <c r="AU3546" s="22"/>
      <c r="AV3546" s="22"/>
      <c r="AW3546" s="9"/>
      <c r="BA3546" s="22"/>
      <c r="BB3546" s="22"/>
      <c r="BD3546" s="9"/>
      <c r="CS3546" s="11">
        <f t="shared" si="243"/>
        <v>0</v>
      </c>
      <c r="CT3546" s="22">
        <f t="shared" si="244"/>
        <v>0</v>
      </c>
      <c r="CU3546" s="22">
        <f t="shared" si="245"/>
        <v>0</v>
      </c>
      <c r="CV3546" s="26">
        <f t="shared" si="246"/>
        <v>500</v>
      </c>
    </row>
    <row r="3547" spans="1:100" x14ac:dyDescent="0.2">
      <c r="A3547" s="9" t="s">
        <v>690</v>
      </c>
      <c r="B3547" s="2">
        <v>15</v>
      </c>
      <c r="C3547" s="3" t="s">
        <v>95</v>
      </c>
      <c r="D3547" s="3" t="s">
        <v>96</v>
      </c>
      <c r="E3547" s="2"/>
      <c r="F3547" s="2"/>
      <c r="G3547" s="2" t="s">
        <v>67</v>
      </c>
      <c r="H3547" s="2">
        <v>3</v>
      </c>
      <c r="I3547" s="20">
        <v>123.54</v>
      </c>
      <c r="J3547" s="20">
        <v>68633</v>
      </c>
      <c r="K3547" s="3">
        <v>0</v>
      </c>
      <c r="L3547" s="3" t="s">
        <v>97</v>
      </c>
      <c r="M3547" s="9" t="s">
        <v>0</v>
      </c>
      <c r="N3547" s="9">
        <v>43247814</v>
      </c>
      <c r="O3547" s="9" t="s">
        <v>691</v>
      </c>
      <c r="S3547" s="9" t="s">
        <v>158</v>
      </c>
      <c r="T3547" s="10" t="s">
        <v>67</v>
      </c>
      <c r="U3547" s="10">
        <v>3</v>
      </c>
      <c r="V3547" s="10">
        <v>123.54</v>
      </c>
      <c r="W3547" s="10" t="s">
        <v>710</v>
      </c>
      <c r="X3547" s="17">
        <v>45853</v>
      </c>
      <c r="Y3547" s="17">
        <v>45853</v>
      </c>
      <c r="Z3547" s="19" t="s">
        <v>772</v>
      </c>
      <c r="AA3547" s="207">
        <v>41400</v>
      </c>
      <c r="AB3547" s="9">
        <v>60</v>
      </c>
      <c r="AC3547" s="9">
        <v>3</v>
      </c>
      <c r="AD3547" s="17">
        <v>45976</v>
      </c>
      <c r="AE3547" s="54">
        <v>500</v>
      </c>
      <c r="AF3547" s="54"/>
      <c r="AG3547" s="10"/>
      <c r="AL3547" s="22"/>
      <c r="AM3547" s="22"/>
      <c r="AN3547" s="22"/>
      <c r="AO3547" s="22"/>
      <c r="AP3547" s="22"/>
      <c r="AQ3547" s="22"/>
      <c r="AR3547" s="22"/>
      <c r="AS3547" s="22"/>
      <c r="AT3547" s="22"/>
      <c r="AU3547" s="22"/>
      <c r="AV3547" s="22"/>
      <c r="AW3547" s="17"/>
      <c r="BA3547" s="22"/>
      <c r="BB3547" s="22"/>
      <c r="BD3547" s="9"/>
      <c r="CS3547" s="11">
        <f t="shared" si="243"/>
        <v>0</v>
      </c>
      <c r="CT3547" s="22">
        <f t="shared" si="244"/>
        <v>0</v>
      </c>
      <c r="CU3547" s="22">
        <f t="shared" si="245"/>
        <v>0</v>
      </c>
      <c r="CV3547" s="26">
        <f t="shared" si="246"/>
        <v>500</v>
      </c>
    </row>
    <row r="3548" spans="1:100" x14ac:dyDescent="0.2">
      <c r="A3548" s="9" t="s">
        <v>690</v>
      </c>
      <c r="B3548" s="2">
        <v>15</v>
      </c>
      <c r="C3548" s="3" t="s">
        <v>95</v>
      </c>
      <c r="D3548" s="3" t="s">
        <v>96</v>
      </c>
      <c r="E3548" s="2"/>
      <c r="F3548" s="2"/>
      <c r="G3548" s="2" t="s">
        <v>67</v>
      </c>
      <c r="H3548" s="2">
        <v>3</v>
      </c>
      <c r="I3548" s="20">
        <v>123.54</v>
      </c>
      <c r="J3548" s="20">
        <v>68633</v>
      </c>
      <c r="K3548" s="3">
        <v>0</v>
      </c>
      <c r="L3548" s="3" t="s">
        <v>97</v>
      </c>
      <c r="M3548" s="9" t="s">
        <v>0</v>
      </c>
      <c r="N3548" s="9">
        <v>43247814</v>
      </c>
      <c r="O3548" s="9" t="s">
        <v>691</v>
      </c>
      <c r="S3548" s="9" t="s">
        <v>158</v>
      </c>
      <c r="T3548" s="10" t="s">
        <v>67</v>
      </c>
      <c r="U3548" s="10">
        <v>3</v>
      </c>
      <c r="V3548" s="10">
        <v>123.54</v>
      </c>
      <c r="W3548" s="10" t="s">
        <v>710</v>
      </c>
      <c r="X3548" s="17">
        <v>45853</v>
      </c>
      <c r="Y3548" s="17">
        <v>45853</v>
      </c>
      <c r="Z3548" s="19" t="s">
        <v>772</v>
      </c>
      <c r="AA3548" s="207">
        <v>41400</v>
      </c>
      <c r="AB3548" s="9">
        <v>60</v>
      </c>
      <c r="AC3548" s="9">
        <v>4</v>
      </c>
      <c r="AD3548" s="17">
        <v>46006</v>
      </c>
      <c r="AE3548" s="54">
        <v>500</v>
      </c>
      <c r="AF3548" s="54"/>
      <c r="AG3548" s="10"/>
      <c r="AL3548" s="22"/>
      <c r="AM3548" s="22"/>
      <c r="AN3548" s="22"/>
      <c r="AO3548" s="22"/>
      <c r="AP3548" s="22"/>
      <c r="AQ3548" s="22"/>
      <c r="AR3548" s="22"/>
      <c r="AS3548" s="22"/>
      <c r="AT3548" s="22"/>
      <c r="AU3548" s="22"/>
      <c r="AV3548" s="22"/>
      <c r="AW3548" s="9"/>
      <c r="BA3548" s="22"/>
      <c r="BB3548" s="22"/>
      <c r="BD3548" s="9"/>
      <c r="CS3548" s="11">
        <f t="shared" si="243"/>
        <v>0</v>
      </c>
      <c r="CT3548" s="22">
        <f t="shared" si="244"/>
        <v>0</v>
      </c>
      <c r="CU3548" s="22">
        <f t="shared" si="245"/>
        <v>0</v>
      </c>
      <c r="CV3548" s="26">
        <f t="shared" si="246"/>
        <v>500</v>
      </c>
    </row>
    <row r="3549" spans="1:100" x14ac:dyDescent="0.2">
      <c r="A3549" s="9" t="s">
        <v>690</v>
      </c>
      <c r="B3549" s="2">
        <v>15</v>
      </c>
      <c r="C3549" s="3" t="s">
        <v>95</v>
      </c>
      <c r="D3549" s="3" t="s">
        <v>96</v>
      </c>
      <c r="E3549" s="2"/>
      <c r="F3549" s="2"/>
      <c r="G3549" s="2" t="s">
        <v>67</v>
      </c>
      <c r="H3549" s="2">
        <v>3</v>
      </c>
      <c r="I3549" s="20">
        <v>123.54</v>
      </c>
      <c r="J3549" s="20">
        <v>68633</v>
      </c>
      <c r="K3549" s="3">
        <v>0</v>
      </c>
      <c r="L3549" s="3" t="s">
        <v>97</v>
      </c>
      <c r="M3549" s="9" t="s">
        <v>0</v>
      </c>
      <c r="N3549" s="9">
        <v>43247814</v>
      </c>
      <c r="O3549" s="9" t="s">
        <v>691</v>
      </c>
      <c r="S3549" s="9" t="s">
        <v>158</v>
      </c>
      <c r="T3549" s="10" t="s">
        <v>67</v>
      </c>
      <c r="U3549" s="10">
        <v>3</v>
      </c>
      <c r="V3549" s="10">
        <v>123.54</v>
      </c>
      <c r="W3549" s="10" t="s">
        <v>710</v>
      </c>
      <c r="X3549" s="17">
        <v>45853</v>
      </c>
      <c r="Y3549" s="17">
        <v>45853</v>
      </c>
      <c r="Z3549" s="19" t="s">
        <v>772</v>
      </c>
      <c r="AA3549" s="207">
        <v>41400</v>
      </c>
      <c r="AB3549" s="9">
        <v>60</v>
      </c>
      <c r="AC3549" s="9">
        <v>5</v>
      </c>
      <c r="AD3549" s="17">
        <v>46037</v>
      </c>
      <c r="AE3549" s="54">
        <v>500</v>
      </c>
      <c r="AF3549" s="54"/>
      <c r="AG3549" s="10"/>
      <c r="AL3549" s="22"/>
      <c r="AM3549" s="22"/>
      <c r="AN3549" s="22"/>
      <c r="AO3549" s="22"/>
      <c r="AP3549" s="22"/>
      <c r="AQ3549" s="22"/>
      <c r="AR3549" s="22"/>
      <c r="AS3549" s="22"/>
      <c r="AT3549" s="22"/>
      <c r="AU3549" s="22"/>
      <c r="AV3549" s="22"/>
      <c r="AW3549" s="9"/>
      <c r="BA3549" s="22"/>
      <c r="BB3549" s="22"/>
      <c r="BD3549" s="9"/>
      <c r="CS3549" s="11">
        <f t="shared" si="243"/>
        <v>0</v>
      </c>
      <c r="CT3549" s="22">
        <f t="shared" si="244"/>
        <v>0</v>
      </c>
      <c r="CU3549" s="22">
        <f t="shared" si="245"/>
        <v>0</v>
      </c>
      <c r="CV3549" s="26">
        <f t="shared" si="246"/>
        <v>500</v>
      </c>
    </row>
    <row r="3550" spans="1:100" x14ac:dyDescent="0.2">
      <c r="A3550" s="9" t="s">
        <v>690</v>
      </c>
      <c r="B3550" s="2">
        <v>15</v>
      </c>
      <c r="C3550" s="3" t="s">
        <v>95</v>
      </c>
      <c r="D3550" s="3" t="s">
        <v>96</v>
      </c>
      <c r="E3550" s="2"/>
      <c r="F3550" s="2"/>
      <c r="G3550" s="2" t="s">
        <v>67</v>
      </c>
      <c r="H3550" s="2">
        <v>3</v>
      </c>
      <c r="I3550" s="20">
        <v>123.54</v>
      </c>
      <c r="J3550" s="20">
        <v>68633</v>
      </c>
      <c r="K3550" s="3">
        <v>0</v>
      </c>
      <c r="L3550" s="3" t="s">
        <v>97</v>
      </c>
      <c r="M3550" s="9" t="s">
        <v>0</v>
      </c>
      <c r="N3550" s="9">
        <v>43247814</v>
      </c>
      <c r="O3550" s="9" t="s">
        <v>691</v>
      </c>
      <c r="S3550" s="9" t="s">
        <v>158</v>
      </c>
      <c r="T3550" s="10" t="s">
        <v>67</v>
      </c>
      <c r="U3550" s="10">
        <v>3</v>
      </c>
      <c r="V3550" s="10">
        <v>123.54</v>
      </c>
      <c r="W3550" s="10" t="s">
        <v>710</v>
      </c>
      <c r="X3550" s="17">
        <v>45853</v>
      </c>
      <c r="Y3550" s="17">
        <v>45853</v>
      </c>
      <c r="Z3550" s="19" t="s">
        <v>772</v>
      </c>
      <c r="AA3550" s="207">
        <v>41400</v>
      </c>
      <c r="AB3550" s="9">
        <v>60</v>
      </c>
      <c r="AC3550" s="9">
        <v>6</v>
      </c>
      <c r="AD3550" s="17">
        <v>46068</v>
      </c>
      <c r="AE3550" s="54">
        <v>500</v>
      </c>
      <c r="AF3550" s="54"/>
      <c r="AL3550" s="22"/>
      <c r="AM3550" s="22"/>
      <c r="AN3550" s="22"/>
      <c r="AO3550" s="22"/>
      <c r="AP3550" s="22"/>
      <c r="AQ3550" s="22"/>
      <c r="AR3550" s="22"/>
      <c r="AS3550" s="22"/>
      <c r="AT3550" s="22"/>
      <c r="AU3550" s="22"/>
      <c r="AV3550" s="22"/>
      <c r="AW3550" s="9"/>
      <c r="AX3550" s="17"/>
      <c r="AY3550" s="86"/>
      <c r="BA3550" s="22"/>
      <c r="BB3550" s="22"/>
      <c r="BD3550" s="9"/>
      <c r="CS3550" s="11">
        <f t="shared" si="243"/>
        <v>0</v>
      </c>
      <c r="CT3550" s="22">
        <f t="shared" si="244"/>
        <v>0</v>
      </c>
      <c r="CU3550" s="22">
        <f t="shared" si="245"/>
        <v>0</v>
      </c>
      <c r="CV3550" s="26">
        <f t="shared" si="246"/>
        <v>500</v>
      </c>
    </row>
    <row r="3551" spans="1:100" x14ac:dyDescent="0.2">
      <c r="A3551" s="9" t="s">
        <v>690</v>
      </c>
      <c r="B3551" s="2">
        <v>15</v>
      </c>
      <c r="C3551" s="3" t="s">
        <v>95</v>
      </c>
      <c r="D3551" s="3" t="s">
        <v>96</v>
      </c>
      <c r="E3551" s="2"/>
      <c r="F3551" s="2"/>
      <c r="G3551" s="2" t="s">
        <v>67</v>
      </c>
      <c r="H3551" s="2">
        <v>3</v>
      </c>
      <c r="I3551" s="20">
        <v>123.54</v>
      </c>
      <c r="J3551" s="20">
        <v>68633</v>
      </c>
      <c r="K3551" s="3">
        <v>0</v>
      </c>
      <c r="L3551" s="3" t="s">
        <v>97</v>
      </c>
      <c r="M3551" s="9" t="s">
        <v>0</v>
      </c>
      <c r="N3551" s="9">
        <v>43247814</v>
      </c>
      <c r="O3551" s="9" t="s">
        <v>691</v>
      </c>
      <c r="S3551" s="9" t="s">
        <v>158</v>
      </c>
      <c r="T3551" s="10" t="s">
        <v>67</v>
      </c>
      <c r="U3551" s="10">
        <v>3</v>
      </c>
      <c r="V3551" s="10">
        <v>123.54</v>
      </c>
      <c r="W3551" s="10" t="s">
        <v>710</v>
      </c>
      <c r="X3551" s="17">
        <v>45853</v>
      </c>
      <c r="Y3551" s="17">
        <v>45853</v>
      </c>
      <c r="Z3551" s="19" t="s">
        <v>772</v>
      </c>
      <c r="AA3551" s="207">
        <v>41400</v>
      </c>
      <c r="AB3551" s="9">
        <v>60</v>
      </c>
      <c r="AC3551" s="9">
        <v>7</v>
      </c>
      <c r="AD3551" s="17">
        <v>46096</v>
      </c>
      <c r="AE3551" s="54">
        <v>500</v>
      </c>
      <c r="AF3551" s="54"/>
      <c r="AL3551" s="22"/>
      <c r="AM3551" s="22"/>
      <c r="AN3551" s="22"/>
      <c r="AO3551" s="22"/>
      <c r="AP3551" s="22"/>
      <c r="AQ3551" s="22"/>
      <c r="AR3551" s="22"/>
      <c r="AS3551" s="22"/>
      <c r="AT3551" s="22"/>
      <c r="AU3551" s="22"/>
      <c r="AV3551" s="22"/>
      <c r="AW3551" s="9"/>
      <c r="BA3551" s="22"/>
      <c r="BB3551" s="22"/>
      <c r="BD3551" s="9"/>
      <c r="CS3551" s="11">
        <f t="shared" si="243"/>
        <v>0</v>
      </c>
      <c r="CT3551" s="22">
        <f t="shared" si="244"/>
        <v>0</v>
      </c>
      <c r="CU3551" s="22">
        <f t="shared" si="245"/>
        <v>0</v>
      </c>
      <c r="CV3551" s="26">
        <f t="shared" si="246"/>
        <v>500</v>
      </c>
    </row>
    <row r="3552" spans="1:100" x14ac:dyDescent="0.2">
      <c r="A3552" s="9" t="s">
        <v>690</v>
      </c>
      <c r="B3552" s="2">
        <v>15</v>
      </c>
      <c r="C3552" s="3" t="s">
        <v>95</v>
      </c>
      <c r="D3552" s="3" t="s">
        <v>96</v>
      </c>
      <c r="E3552" s="2"/>
      <c r="F3552" s="2"/>
      <c r="G3552" s="2" t="s">
        <v>67</v>
      </c>
      <c r="H3552" s="2">
        <v>3</v>
      </c>
      <c r="I3552" s="20">
        <v>123.54</v>
      </c>
      <c r="J3552" s="20">
        <v>68633</v>
      </c>
      <c r="K3552" s="3">
        <v>0</v>
      </c>
      <c r="L3552" s="3" t="s">
        <v>97</v>
      </c>
      <c r="M3552" s="9" t="s">
        <v>0</v>
      </c>
      <c r="N3552" s="9">
        <v>43247814</v>
      </c>
      <c r="O3552" s="9" t="s">
        <v>691</v>
      </c>
      <c r="S3552" s="9" t="s">
        <v>158</v>
      </c>
      <c r="T3552" s="10" t="s">
        <v>67</v>
      </c>
      <c r="U3552" s="10">
        <v>3</v>
      </c>
      <c r="V3552" s="10">
        <v>123.54</v>
      </c>
      <c r="W3552" s="10" t="s">
        <v>710</v>
      </c>
      <c r="X3552" s="17">
        <v>45853</v>
      </c>
      <c r="Y3552" s="17">
        <v>45853</v>
      </c>
      <c r="Z3552" s="19" t="s">
        <v>772</v>
      </c>
      <c r="AA3552" s="207">
        <v>41400</v>
      </c>
      <c r="AB3552" s="9">
        <v>60</v>
      </c>
      <c r="AC3552" s="9">
        <v>8</v>
      </c>
      <c r="AD3552" s="17">
        <v>46127</v>
      </c>
      <c r="AE3552" s="54">
        <v>500</v>
      </c>
      <c r="AF3552" s="54"/>
      <c r="AL3552" s="22"/>
      <c r="AM3552" s="22"/>
      <c r="AN3552" s="22"/>
      <c r="AO3552" s="22"/>
      <c r="AP3552" s="22"/>
      <c r="AQ3552" s="22"/>
      <c r="AR3552" s="22"/>
      <c r="AS3552" s="22"/>
      <c r="AT3552" s="22"/>
      <c r="AU3552" s="22"/>
      <c r="AV3552" s="22"/>
      <c r="AW3552" s="9"/>
      <c r="BA3552" s="22"/>
      <c r="BB3552" s="22"/>
      <c r="BD3552" s="9"/>
      <c r="CS3552" s="11">
        <f t="shared" si="243"/>
        <v>0</v>
      </c>
      <c r="CT3552" s="22">
        <f t="shared" si="244"/>
        <v>0</v>
      </c>
      <c r="CU3552" s="22">
        <f t="shared" si="245"/>
        <v>0</v>
      </c>
      <c r="CV3552" s="26">
        <f t="shared" si="246"/>
        <v>500</v>
      </c>
    </row>
    <row r="3553" spans="1:100" x14ac:dyDescent="0.2">
      <c r="A3553" s="9" t="s">
        <v>690</v>
      </c>
      <c r="B3553" s="2">
        <v>15</v>
      </c>
      <c r="C3553" s="3" t="s">
        <v>95</v>
      </c>
      <c r="D3553" s="3" t="s">
        <v>96</v>
      </c>
      <c r="E3553" s="2"/>
      <c r="F3553" s="2"/>
      <c r="G3553" s="2" t="s">
        <v>67</v>
      </c>
      <c r="H3553" s="2">
        <v>3</v>
      </c>
      <c r="I3553" s="20">
        <v>123.54</v>
      </c>
      <c r="J3553" s="20">
        <v>68633</v>
      </c>
      <c r="K3553" s="3">
        <v>0</v>
      </c>
      <c r="L3553" s="3" t="s">
        <v>97</v>
      </c>
      <c r="M3553" s="9" t="s">
        <v>0</v>
      </c>
      <c r="N3553" s="9">
        <v>43247814</v>
      </c>
      <c r="O3553" s="9" t="s">
        <v>691</v>
      </c>
      <c r="S3553" s="9" t="s">
        <v>158</v>
      </c>
      <c r="T3553" s="10" t="s">
        <v>67</v>
      </c>
      <c r="U3553" s="10">
        <v>3</v>
      </c>
      <c r="V3553" s="10">
        <v>123.54</v>
      </c>
      <c r="W3553" s="10" t="s">
        <v>710</v>
      </c>
      <c r="X3553" s="17">
        <v>45853</v>
      </c>
      <c r="Y3553" s="17">
        <v>45853</v>
      </c>
      <c r="Z3553" s="19" t="s">
        <v>772</v>
      </c>
      <c r="AA3553" s="207">
        <v>41400</v>
      </c>
      <c r="AB3553" s="9">
        <v>60</v>
      </c>
      <c r="AC3553" s="9">
        <v>9</v>
      </c>
      <c r="AD3553" s="17">
        <v>46157</v>
      </c>
      <c r="AE3553" s="54">
        <v>500</v>
      </c>
      <c r="AF3553" s="54"/>
      <c r="AL3553" s="22"/>
      <c r="AM3553" s="22"/>
      <c r="AN3553" s="22"/>
      <c r="AO3553" s="22"/>
      <c r="AP3553" s="22"/>
      <c r="AQ3553" s="22"/>
      <c r="AR3553" s="22"/>
      <c r="AS3553" s="22"/>
      <c r="AT3553" s="22"/>
      <c r="AU3553" s="22"/>
      <c r="AV3553" s="22"/>
      <c r="AW3553" s="9"/>
      <c r="BA3553" s="22"/>
      <c r="BB3553" s="22"/>
      <c r="BD3553" s="9"/>
      <c r="CS3553" s="11">
        <f t="shared" si="243"/>
        <v>0</v>
      </c>
      <c r="CT3553" s="22">
        <f t="shared" si="244"/>
        <v>0</v>
      </c>
      <c r="CU3553" s="22">
        <f t="shared" si="245"/>
        <v>0</v>
      </c>
      <c r="CV3553" s="26">
        <f t="shared" si="246"/>
        <v>500</v>
      </c>
    </row>
    <row r="3554" spans="1:100" x14ac:dyDescent="0.2">
      <c r="A3554" s="9" t="s">
        <v>690</v>
      </c>
      <c r="B3554" s="2">
        <v>15</v>
      </c>
      <c r="C3554" s="3" t="s">
        <v>95</v>
      </c>
      <c r="D3554" s="3" t="s">
        <v>96</v>
      </c>
      <c r="E3554" s="2"/>
      <c r="F3554" s="2"/>
      <c r="G3554" s="2" t="s">
        <v>67</v>
      </c>
      <c r="H3554" s="2">
        <v>3</v>
      </c>
      <c r="I3554" s="20">
        <v>123.54</v>
      </c>
      <c r="J3554" s="20">
        <v>68633</v>
      </c>
      <c r="K3554" s="3">
        <v>0</v>
      </c>
      <c r="L3554" s="3" t="s">
        <v>97</v>
      </c>
      <c r="M3554" s="9" t="s">
        <v>0</v>
      </c>
      <c r="N3554" s="9">
        <v>43247814</v>
      </c>
      <c r="O3554" s="9" t="s">
        <v>691</v>
      </c>
      <c r="S3554" s="9" t="s">
        <v>158</v>
      </c>
      <c r="T3554" s="10" t="s">
        <v>67</v>
      </c>
      <c r="U3554" s="10">
        <v>3</v>
      </c>
      <c r="V3554" s="10">
        <v>123.54</v>
      </c>
      <c r="W3554" s="10" t="s">
        <v>710</v>
      </c>
      <c r="X3554" s="17">
        <v>45853</v>
      </c>
      <c r="Y3554" s="17">
        <v>45853</v>
      </c>
      <c r="Z3554" s="19" t="s">
        <v>772</v>
      </c>
      <c r="AA3554" s="207">
        <v>41400</v>
      </c>
      <c r="AB3554" s="9">
        <v>60</v>
      </c>
      <c r="AC3554" s="9">
        <v>10</v>
      </c>
      <c r="AD3554" s="17">
        <v>46188</v>
      </c>
      <c r="AE3554" s="54">
        <v>500</v>
      </c>
      <c r="AF3554" s="54"/>
      <c r="AL3554" s="22"/>
      <c r="AM3554" s="22"/>
      <c r="AN3554" s="22"/>
      <c r="AO3554" s="22"/>
      <c r="AP3554" s="22"/>
      <c r="AQ3554" s="22"/>
      <c r="AR3554" s="22"/>
      <c r="AS3554" s="22"/>
      <c r="AT3554" s="22"/>
      <c r="AU3554" s="22"/>
      <c r="AV3554" s="22"/>
      <c r="AW3554" s="9"/>
      <c r="BA3554" s="22"/>
      <c r="BB3554" s="22"/>
      <c r="BD3554" s="9"/>
      <c r="CS3554" s="11">
        <f t="shared" si="243"/>
        <v>0</v>
      </c>
      <c r="CT3554" s="22">
        <f t="shared" si="244"/>
        <v>0</v>
      </c>
      <c r="CU3554" s="22">
        <f t="shared" si="245"/>
        <v>0</v>
      </c>
      <c r="CV3554" s="26">
        <f t="shared" si="246"/>
        <v>500</v>
      </c>
    </row>
    <row r="3555" spans="1:100" x14ac:dyDescent="0.2">
      <c r="A3555" s="9" t="s">
        <v>690</v>
      </c>
      <c r="B3555" s="2">
        <v>15</v>
      </c>
      <c r="C3555" s="3" t="s">
        <v>95</v>
      </c>
      <c r="D3555" s="3" t="s">
        <v>96</v>
      </c>
      <c r="E3555" s="2"/>
      <c r="F3555" s="2"/>
      <c r="G3555" s="2" t="s">
        <v>67</v>
      </c>
      <c r="H3555" s="2">
        <v>3</v>
      </c>
      <c r="I3555" s="20">
        <v>123.54</v>
      </c>
      <c r="J3555" s="20">
        <v>68633</v>
      </c>
      <c r="K3555" s="3">
        <v>0</v>
      </c>
      <c r="L3555" s="3" t="s">
        <v>97</v>
      </c>
      <c r="M3555" s="9" t="s">
        <v>0</v>
      </c>
      <c r="N3555" s="9">
        <v>43247814</v>
      </c>
      <c r="O3555" s="9" t="s">
        <v>691</v>
      </c>
      <c r="S3555" s="9" t="s">
        <v>158</v>
      </c>
      <c r="T3555" s="10" t="s">
        <v>67</v>
      </c>
      <c r="U3555" s="10">
        <v>3</v>
      </c>
      <c r="V3555" s="10">
        <v>123.54</v>
      </c>
      <c r="W3555" s="10" t="s">
        <v>710</v>
      </c>
      <c r="X3555" s="17">
        <v>45853</v>
      </c>
      <c r="Y3555" s="17">
        <v>45853</v>
      </c>
      <c r="Z3555" s="19" t="s">
        <v>772</v>
      </c>
      <c r="AA3555" s="207">
        <v>41400</v>
      </c>
      <c r="AB3555" s="9">
        <v>60</v>
      </c>
      <c r="AC3555" s="9">
        <v>11</v>
      </c>
      <c r="AD3555" s="17">
        <v>46218</v>
      </c>
      <c r="AE3555" s="54">
        <v>500</v>
      </c>
      <c r="AF3555" s="54"/>
      <c r="AL3555" s="22"/>
      <c r="AM3555" s="22"/>
      <c r="AN3555" s="22"/>
      <c r="AO3555" s="22"/>
      <c r="AP3555" s="22"/>
      <c r="AQ3555" s="22"/>
      <c r="AR3555" s="22"/>
      <c r="AS3555" s="22"/>
      <c r="AT3555" s="22"/>
      <c r="AU3555" s="22"/>
      <c r="AV3555" s="22"/>
      <c r="AW3555" s="9"/>
      <c r="BA3555" s="22"/>
      <c r="BB3555" s="22"/>
      <c r="BD3555" s="9"/>
      <c r="CS3555" s="11">
        <f t="shared" si="243"/>
        <v>0</v>
      </c>
      <c r="CT3555" s="22">
        <f t="shared" si="244"/>
        <v>0</v>
      </c>
      <c r="CU3555" s="22">
        <f t="shared" si="245"/>
        <v>0</v>
      </c>
      <c r="CV3555" s="26">
        <f t="shared" si="246"/>
        <v>500</v>
      </c>
    </row>
    <row r="3556" spans="1:100" x14ac:dyDescent="0.2">
      <c r="A3556" s="9" t="s">
        <v>690</v>
      </c>
      <c r="B3556" s="2">
        <v>15</v>
      </c>
      <c r="C3556" s="3" t="s">
        <v>95</v>
      </c>
      <c r="D3556" s="3" t="s">
        <v>96</v>
      </c>
      <c r="E3556" s="2"/>
      <c r="F3556" s="2"/>
      <c r="G3556" s="2" t="s">
        <v>67</v>
      </c>
      <c r="H3556" s="2">
        <v>3</v>
      </c>
      <c r="I3556" s="20">
        <v>123.54</v>
      </c>
      <c r="J3556" s="20">
        <v>68633</v>
      </c>
      <c r="K3556" s="3">
        <v>0</v>
      </c>
      <c r="L3556" s="3" t="s">
        <v>97</v>
      </c>
      <c r="M3556" s="9" t="s">
        <v>0</v>
      </c>
      <c r="N3556" s="9">
        <v>43247814</v>
      </c>
      <c r="O3556" s="9" t="s">
        <v>691</v>
      </c>
      <c r="S3556" s="9" t="s">
        <v>158</v>
      </c>
      <c r="T3556" s="10" t="s">
        <v>67</v>
      </c>
      <c r="U3556" s="10">
        <v>3</v>
      </c>
      <c r="V3556" s="10">
        <v>123.54</v>
      </c>
      <c r="W3556" s="10" t="s">
        <v>710</v>
      </c>
      <c r="X3556" s="17">
        <v>45853</v>
      </c>
      <c r="Y3556" s="17">
        <v>45853</v>
      </c>
      <c r="Z3556" s="19" t="s">
        <v>772</v>
      </c>
      <c r="AA3556" s="207">
        <v>41400</v>
      </c>
      <c r="AB3556" s="9">
        <v>60</v>
      </c>
      <c r="AC3556" s="9">
        <v>12</v>
      </c>
      <c r="AD3556" s="17">
        <v>46249</v>
      </c>
      <c r="AE3556" s="54">
        <v>500</v>
      </c>
      <c r="AF3556" s="54"/>
      <c r="AL3556" s="22"/>
      <c r="AM3556" s="22"/>
      <c r="AN3556" s="22"/>
      <c r="AO3556" s="22"/>
      <c r="AP3556" s="22"/>
      <c r="AQ3556" s="22"/>
      <c r="AR3556" s="22"/>
      <c r="AS3556" s="22"/>
      <c r="AT3556" s="22"/>
      <c r="AU3556" s="22"/>
      <c r="AV3556" s="22"/>
      <c r="AW3556" s="9"/>
      <c r="BA3556" s="22"/>
      <c r="BB3556" s="22"/>
      <c r="BD3556" s="9"/>
      <c r="CS3556" s="11">
        <f t="shared" si="243"/>
        <v>0</v>
      </c>
      <c r="CT3556" s="22">
        <f t="shared" si="244"/>
        <v>0</v>
      </c>
      <c r="CU3556" s="22">
        <f t="shared" si="245"/>
        <v>0</v>
      </c>
      <c r="CV3556" s="26">
        <f t="shared" si="246"/>
        <v>500</v>
      </c>
    </row>
    <row r="3557" spans="1:100" x14ac:dyDescent="0.2">
      <c r="A3557" s="9" t="s">
        <v>690</v>
      </c>
      <c r="B3557" s="2">
        <v>15</v>
      </c>
      <c r="C3557" s="3" t="s">
        <v>95</v>
      </c>
      <c r="D3557" s="3" t="s">
        <v>96</v>
      </c>
      <c r="E3557" s="2"/>
      <c r="F3557" s="2"/>
      <c r="G3557" s="2" t="s">
        <v>67</v>
      </c>
      <c r="H3557" s="2">
        <v>3</v>
      </c>
      <c r="I3557" s="20">
        <v>123.54</v>
      </c>
      <c r="J3557" s="20">
        <v>68633</v>
      </c>
      <c r="K3557" s="3">
        <v>0</v>
      </c>
      <c r="L3557" s="3" t="s">
        <v>97</v>
      </c>
      <c r="M3557" s="9" t="s">
        <v>0</v>
      </c>
      <c r="N3557" s="9">
        <v>43247814</v>
      </c>
      <c r="O3557" s="9" t="s">
        <v>691</v>
      </c>
      <c r="S3557" s="9" t="s">
        <v>158</v>
      </c>
      <c r="T3557" s="10" t="s">
        <v>67</v>
      </c>
      <c r="U3557" s="10">
        <v>3</v>
      </c>
      <c r="V3557" s="10">
        <v>123.54</v>
      </c>
      <c r="W3557" s="10" t="s">
        <v>710</v>
      </c>
      <c r="X3557" s="17">
        <v>45853</v>
      </c>
      <c r="Y3557" s="17">
        <v>45853</v>
      </c>
      <c r="Z3557" s="19" t="s">
        <v>772</v>
      </c>
      <c r="AA3557" s="207">
        <v>41400</v>
      </c>
      <c r="AB3557" s="9">
        <v>60</v>
      </c>
      <c r="AC3557" s="9">
        <v>13</v>
      </c>
      <c r="AD3557" s="17">
        <v>46280</v>
      </c>
      <c r="AE3557" s="54">
        <v>500</v>
      </c>
      <c r="AF3557" s="54"/>
      <c r="AL3557" s="22"/>
      <c r="AM3557" s="22"/>
      <c r="AN3557" s="22"/>
      <c r="AO3557" s="22"/>
      <c r="AP3557" s="22"/>
      <c r="AQ3557" s="22"/>
      <c r="AR3557" s="22"/>
      <c r="AS3557" s="22"/>
      <c r="AT3557" s="22"/>
      <c r="AU3557" s="22"/>
      <c r="AV3557" s="22"/>
      <c r="AW3557" s="9"/>
      <c r="BA3557" s="22"/>
      <c r="BB3557" s="22"/>
      <c r="BD3557" s="9"/>
      <c r="CS3557" s="11">
        <f t="shared" si="243"/>
        <v>0</v>
      </c>
      <c r="CT3557" s="22">
        <f t="shared" si="244"/>
        <v>0</v>
      </c>
      <c r="CU3557" s="22">
        <f t="shared" si="245"/>
        <v>0</v>
      </c>
      <c r="CV3557" s="26">
        <f t="shared" si="246"/>
        <v>500</v>
      </c>
    </row>
    <row r="3558" spans="1:100" x14ac:dyDescent="0.2">
      <c r="A3558" s="9" t="s">
        <v>690</v>
      </c>
      <c r="B3558" s="2">
        <v>15</v>
      </c>
      <c r="C3558" s="3" t="s">
        <v>95</v>
      </c>
      <c r="D3558" s="3" t="s">
        <v>96</v>
      </c>
      <c r="E3558" s="2"/>
      <c r="F3558" s="2"/>
      <c r="G3558" s="2" t="s">
        <v>67</v>
      </c>
      <c r="H3558" s="2">
        <v>3</v>
      </c>
      <c r="I3558" s="20">
        <v>123.54</v>
      </c>
      <c r="J3558" s="20">
        <v>68633</v>
      </c>
      <c r="K3558" s="3">
        <v>0</v>
      </c>
      <c r="L3558" s="3" t="s">
        <v>97</v>
      </c>
      <c r="M3558" s="9" t="s">
        <v>0</v>
      </c>
      <c r="N3558" s="9">
        <v>43247814</v>
      </c>
      <c r="O3558" s="9" t="s">
        <v>691</v>
      </c>
      <c r="S3558" s="9" t="s">
        <v>158</v>
      </c>
      <c r="T3558" s="10" t="s">
        <v>67</v>
      </c>
      <c r="U3558" s="10">
        <v>3</v>
      </c>
      <c r="V3558" s="10">
        <v>123.54</v>
      </c>
      <c r="W3558" s="10" t="s">
        <v>710</v>
      </c>
      <c r="X3558" s="17">
        <v>45853</v>
      </c>
      <c r="Y3558" s="17">
        <v>45853</v>
      </c>
      <c r="Z3558" s="19" t="s">
        <v>772</v>
      </c>
      <c r="AA3558" s="207">
        <v>41400</v>
      </c>
      <c r="AB3558" s="9">
        <v>60</v>
      </c>
      <c r="AC3558" s="9">
        <v>14</v>
      </c>
      <c r="AD3558" s="17">
        <v>46310</v>
      </c>
      <c r="AE3558" s="54">
        <v>500</v>
      </c>
      <c r="AF3558" s="54"/>
      <c r="AL3558" s="22"/>
      <c r="AM3558" s="22"/>
      <c r="AN3558" s="22"/>
      <c r="AO3558" s="22"/>
      <c r="AP3558" s="22"/>
      <c r="AQ3558" s="22"/>
      <c r="AR3558" s="22"/>
      <c r="AS3558" s="22"/>
      <c r="AT3558" s="22"/>
      <c r="AU3558" s="22"/>
      <c r="AV3558" s="22"/>
      <c r="AW3558" s="9"/>
      <c r="BA3558" s="22"/>
      <c r="BB3558" s="22"/>
      <c r="BD3558" s="9"/>
      <c r="CS3558" s="11">
        <f t="shared" si="243"/>
        <v>0</v>
      </c>
      <c r="CT3558" s="22">
        <f t="shared" si="244"/>
        <v>0</v>
      </c>
      <c r="CU3558" s="22">
        <f t="shared" si="245"/>
        <v>0</v>
      </c>
      <c r="CV3558" s="26">
        <f t="shared" si="246"/>
        <v>500</v>
      </c>
    </row>
    <row r="3559" spans="1:100" x14ac:dyDescent="0.2">
      <c r="A3559" s="9" t="s">
        <v>690</v>
      </c>
      <c r="B3559" s="2">
        <v>15</v>
      </c>
      <c r="C3559" s="3" t="s">
        <v>95</v>
      </c>
      <c r="D3559" s="3" t="s">
        <v>96</v>
      </c>
      <c r="E3559" s="2"/>
      <c r="F3559" s="2"/>
      <c r="G3559" s="2" t="s">
        <v>67</v>
      </c>
      <c r="H3559" s="2">
        <v>3</v>
      </c>
      <c r="I3559" s="20">
        <v>123.54</v>
      </c>
      <c r="J3559" s="20">
        <v>68633</v>
      </c>
      <c r="K3559" s="3">
        <v>0</v>
      </c>
      <c r="L3559" s="3" t="s">
        <v>97</v>
      </c>
      <c r="M3559" s="9" t="s">
        <v>0</v>
      </c>
      <c r="N3559" s="9">
        <v>43247814</v>
      </c>
      <c r="O3559" s="9" t="s">
        <v>691</v>
      </c>
      <c r="S3559" s="9" t="s">
        <v>158</v>
      </c>
      <c r="T3559" s="10" t="s">
        <v>67</v>
      </c>
      <c r="U3559" s="10">
        <v>3</v>
      </c>
      <c r="V3559" s="10">
        <v>123.54</v>
      </c>
      <c r="W3559" s="10" t="s">
        <v>710</v>
      </c>
      <c r="X3559" s="17">
        <v>45853</v>
      </c>
      <c r="Y3559" s="17">
        <v>45853</v>
      </c>
      <c r="Z3559" s="19" t="s">
        <v>772</v>
      </c>
      <c r="AA3559" s="207">
        <v>41400</v>
      </c>
      <c r="AB3559" s="9">
        <v>60</v>
      </c>
      <c r="AC3559" s="9">
        <v>15</v>
      </c>
      <c r="AD3559" s="17">
        <v>46341</v>
      </c>
      <c r="AE3559" s="54">
        <v>500</v>
      </c>
      <c r="AF3559" s="54"/>
      <c r="AL3559" s="22"/>
      <c r="AM3559" s="22"/>
      <c r="AN3559" s="22"/>
      <c r="AO3559" s="22"/>
      <c r="AP3559" s="22"/>
      <c r="AQ3559" s="22"/>
      <c r="AR3559" s="22"/>
      <c r="AS3559" s="22"/>
      <c r="AT3559" s="22"/>
      <c r="AU3559" s="22"/>
      <c r="AV3559" s="22"/>
      <c r="AW3559" s="9"/>
      <c r="BA3559" s="22"/>
      <c r="BB3559" s="22"/>
      <c r="BD3559" s="9"/>
      <c r="CS3559" s="11">
        <f t="shared" si="243"/>
        <v>0</v>
      </c>
      <c r="CT3559" s="22">
        <f t="shared" si="244"/>
        <v>0</v>
      </c>
      <c r="CU3559" s="22">
        <f t="shared" si="245"/>
        <v>0</v>
      </c>
      <c r="CV3559" s="26">
        <f t="shared" si="246"/>
        <v>500</v>
      </c>
    </row>
    <row r="3560" spans="1:100" x14ac:dyDescent="0.2">
      <c r="A3560" s="9" t="s">
        <v>690</v>
      </c>
      <c r="B3560" s="2">
        <v>15</v>
      </c>
      <c r="C3560" s="3" t="s">
        <v>95</v>
      </c>
      <c r="D3560" s="3" t="s">
        <v>96</v>
      </c>
      <c r="E3560" s="2"/>
      <c r="F3560" s="2"/>
      <c r="G3560" s="2" t="s">
        <v>67</v>
      </c>
      <c r="H3560" s="2">
        <v>3</v>
      </c>
      <c r="I3560" s="20">
        <v>123.54</v>
      </c>
      <c r="J3560" s="20">
        <v>68633</v>
      </c>
      <c r="K3560" s="3">
        <v>0</v>
      </c>
      <c r="L3560" s="3" t="s">
        <v>97</v>
      </c>
      <c r="M3560" s="9" t="s">
        <v>0</v>
      </c>
      <c r="N3560" s="9">
        <v>43247814</v>
      </c>
      <c r="O3560" s="9" t="s">
        <v>691</v>
      </c>
      <c r="S3560" s="9" t="s">
        <v>158</v>
      </c>
      <c r="T3560" s="10" t="s">
        <v>67</v>
      </c>
      <c r="U3560" s="10">
        <v>3</v>
      </c>
      <c r="V3560" s="10">
        <v>123.54</v>
      </c>
      <c r="W3560" s="10" t="s">
        <v>710</v>
      </c>
      <c r="X3560" s="17">
        <v>45853</v>
      </c>
      <c r="Y3560" s="17">
        <v>45853</v>
      </c>
      <c r="Z3560" s="19" t="s">
        <v>772</v>
      </c>
      <c r="AA3560" s="207">
        <v>41400</v>
      </c>
      <c r="AB3560" s="9">
        <v>60</v>
      </c>
      <c r="AC3560" s="9">
        <v>16</v>
      </c>
      <c r="AD3560" s="17">
        <v>46371</v>
      </c>
      <c r="AE3560" s="54">
        <v>500</v>
      </c>
      <c r="AF3560" s="54"/>
      <c r="AL3560" s="22"/>
      <c r="AM3560" s="22"/>
      <c r="AN3560" s="22"/>
      <c r="AO3560" s="22"/>
      <c r="AP3560" s="22"/>
      <c r="AQ3560" s="22"/>
      <c r="AR3560" s="22"/>
      <c r="AS3560" s="22"/>
      <c r="AT3560" s="22"/>
      <c r="AU3560" s="22"/>
      <c r="AV3560" s="22"/>
      <c r="AW3560" s="9"/>
      <c r="BA3560" s="22"/>
      <c r="BB3560" s="22"/>
      <c r="BD3560" s="9"/>
      <c r="CS3560" s="11">
        <f t="shared" si="243"/>
        <v>0</v>
      </c>
      <c r="CT3560" s="22">
        <f t="shared" si="244"/>
        <v>0</v>
      </c>
      <c r="CU3560" s="22">
        <f t="shared" si="245"/>
        <v>0</v>
      </c>
      <c r="CV3560" s="26">
        <f t="shared" si="246"/>
        <v>500</v>
      </c>
    </row>
    <row r="3561" spans="1:100" x14ac:dyDescent="0.2">
      <c r="A3561" s="9" t="s">
        <v>690</v>
      </c>
      <c r="B3561" s="2">
        <v>15</v>
      </c>
      <c r="C3561" s="3" t="s">
        <v>95</v>
      </c>
      <c r="D3561" s="3" t="s">
        <v>96</v>
      </c>
      <c r="E3561" s="2"/>
      <c r="F3561" s="2"/>
      <c r="G3561" s="2" t="s">
        <v>67</v>
      </c>
      <c r="H3561" s="2">
        <v>3</v>
      </c>
      <c r="I3561" s="20">
        <v>123.54</v>
      </c>
      <c r="J3561" s="20">
        <v>68633</v>
      </c>
      <c r="K3561" s="3">
        <v>0</v>
      </c>
      <c r="L3561" s="3" t="s">
        <v>97</v>
      </c>
      <c r="M3561" s="9" t="s">
        <v>0</v>
      </c>
      <c r="N3561" s="9">
        <v>43247814</v>
      </c>
      <c r="O3561" s="9" t="s">
        <v>691</v>
      </c>
      <c r="S3561" s="9" t="s">
        <v>158</v>
      </c>
      <c r="T3561" s="10" t="s">
        <v>67</v>
      </c>
      <c r="U3561" s="10">
        <v>3</v>
      </c>
      <c r="V3561" s="10">
        <v>123.54</v>
      </c>
      <c r="W3561" s="10" t="s">
        <v>710</v>
      </c>
      <c r="X3561" s="17">
        <v>45853</v>
      </c>
      <c r="Y3561" s="17">
        <v>45853</v>
      </c>
      <c r="Z3561" s="19" t="s">
        <v>772</v>
      </c>
      <c r="AA3561" s="207">
        <v>41400</v>
      </c>
      <c r="AB3561" s="9">
        <v>60</v>
      </c>
      <c r="AC3561" s="9">
        <v>17</v>
      </c>
      <c r="AD3561" s="17">
        <v>46402</v>
      </c>
      <c r="AE3561" s="54">
        <v>500</v>
      </c>
      <c r="AF3561" s="54"/>
      <c r="AL3561" s="22"/>
      <c r="AM3561" s="22"/>
      <c r="AN3561" s="22"/>
      <c r="AO3561" s="22"/>
      <c r="AP3561" s="22"/>
      <c r="AQ3561" s="22"/>
      <c r="AR3561" s="22"/>
      <c r="AS3561" s="22"/>
      <c r="AT3561" s="22"/>
      <c r="AU3561" s="22"/>
      <c r="AV3561" s="22"/>
      <c r="AW3561" s="9"/>
      <c r="BA3561" s="22"/>
      <c r="BB3561" s="22"/>
      <c r="BD3561" s="9"/>
      <c r="CS3561" s="11">
        <f t="shared" si="243"/>
        <v>0</v>
      </c>
      <c r="CT3561" s="22">
        <f t="shared" si="244"/>
        <v>0</v>
      </c>
      <c r="CU3561" s="22">
        <f t="shared" si="245"/>
        <v>0</v>
      </c>
      <c r="CV3561" s="26">
        <f t="shared" si="246"/>
        <v>500</v>
      </c>
    </row>
    <row r="3562" spans="1:100" x14ac:dyDescent="0.2">
      <c r="A3562" s="9" t="s">
        <v>690</v>
      </c>
      <c r="B3562" s="2">
        <v>15</v>
      </c>
      <c r="C3562" s="3" t="s">
        <v>95</v>
      </c>
      <c r="D3562" s="3" t="s">
        <v>96</v>
      </c>
      <c r="E3562" s="2"/>
      <c r="F3562" s="2"/>
      <c r="G3562" s="2" t="s">
        <v>67</v>
      </c>
      <c r="H3562" s="2">
        <v>3</v>
      </c>
      <c r="I3562" s="20">
        <v>123.54</v>
      </c>
      <c r="J3562" s="20">
        <v>68633</v>
      </c>
      <c r="K3562" s="3">
        <v>0</v>
      </c>
      <c r="L3562" s="3" t="s">
        <v>97</v>
      </c>
      <c r="M3562" s="9" t="s">
        <v>0</v>
      </c>
      <c r="N3562" s="9">
        <v>43247814</v>
      </c>
      <c r="O3562" s="9" t="s">
        <v>691</v>
      </c>
      <c r="S3562" s="9" t="s">
        <v>158</v>
      </c>
      <c r="T3562" s="10" t="s">
        <v>67</v>
      </c>
      <c r="U3562" s="10">
        <v>3</v>
      </c>
      <c r="V3562" s="10">
        <v>123.54</v>
      </c>
      <c r="W3562" s="10" t="s">
        <v>710</v>
      </c>
      <c r="X3562" s="17">
        <v>45853</v>
      </c>
      <c r="Y3562" s="17">
        <v>45853</v>
      </c>
      <c r="Z3562" s="19" t="s">
        <v>772</v>
      </c>
      <c r="AA3562" s="207">
        <v>41400</v>
      </c>
      <c r="AB3562" s="9">
        <v>60</v>
      </c>
      <c r="AC3562" s="9">
        <v>18</v>
      </c>
      <c r="AD3562" s="17">
        <v>46433</v>
      </c>
      <c r="AE3562" s="54">
        <v>500</v>
      </c>
      <c r="AF3562" s="54"/>
      <c r="AL3562" s="22"/>
      <c r="AM3562" s="22"/>
      <c r="AN3562" s="22"/>
      <c r="AO3562" s="22"/>
      <c r="AP3562" s="22"/>
      <c r="AQ3562" s="22"/>
      <c r="AR3562" s="22"/>
      <c r="AS3562" s="22"/>
      <c r="AT3562" s="22"/>
      <c r="AU3562" s="22"/>
      <c r="AV3562" s="22"/>
      <c r="AW3562" s="9"/>
      <c r="BA3562" s="22"/>
      <c r="BB3562" s="22"/>
      <c r="BD3562" s="9"/>
      <c r="CS3562" s="11">
        <f t="shared" si="243"/>
        <v>0</v>
      </c>
      <c r="CT3562" s="22">
        <f t="shared" si="244"/>
        <v>0</v>
      </c>
      <c r="CU3562" s="22">
        <f t="shared" si="245"/>
        <v>0</v>
      </c>
      <c r="CV3562" s="26">
        <f t="shared" si="246"/>
        <v>500</v>
      </c>
    </row>
    <row r="3563" spans="1:100" x14ac:dyDescent="0.2">
      <c r="A3563" s="9" t="s">
        <v>690</v>
      </c>
      <c r="B3563" s="2">
        <v>15</v>
      </c>
      <c r="C3563" s="3" t="s">
        <v>95</v>
      </c>
      <c r="D3563" s="3" t="s">
        <v>96</v>
      </c>
      <c r="E3563" s="2"/>
      <c r="F3563" s="2"/>
      <c r="G3563" s="2" t="s">
        <v>67</v>
      </c>
      <c r="H3563" s="2">
        <v>3</v>
      </c>
      <c r="I3563" s="20">
        <v>123.54</v>
      </c>
      <c r="J3563" s="20">
        <v>68633</v>
      </c>
      <c r="K3563" s="3">
        <v>0</v>
      </c>
      <c r="L3563" s="3" t="s">
        <v>97</v>
      </c>
      <c r="M3563" s="9" t="s">
        <v>0</v>
      </c>
      <c r="N3563" s="9">
        <v>43247814</v>
      </c>
      <c r="O3563" s="9" t="s">
        <v>691</v>
      </c>
      <c r="S3563" s="9" t="s">
        <v>158</v>
      </c>
      <c r="T3563" s="10" t="s">
        <v>67</v>
      </c>
      <c r="U3563" s="10">
        <v>3</v>
      </c>
      <c r="V3563" s="10">
        <v>123.54</v>
      </c>
      <c r="W3563" s="10" t="s">
        <v>710</v>
      </c>
      <c r="X3563" s="17">
        <v>45853</v>
      </c>
      <c r="Y3563" s="17">
        <v>45853</v>
      </c>
      <c r="Z3563" s="19" t="s">
        <v>772</v>
      </c>
      <c r="AA3563" s="207">
        <v>41400</v>
      </c>
      <c r="AB3563" s="9">
        <v>60</v>
      </c>
      <c r="AC3563" s="9">
        <v>19</v>
      </c>
      <c r="AD3563" s="17">
        <v>46461</v>
      </c>
      <c r="AE3563" s="54">
        <v>500</v>
      </c>
      <c r="AF3563" s="54"/>
      <c r="AL3563" s="22"/>
      <c r="AM3563" s="22"/>
      <c r="AN3563" s="22"/>
      <c r="AO3563" s="22"/>
      <c r="AP3563" s="22"/>
      <c r="AQ3563" s="22"/>
      <c r="AR3563" s="22"/>
      <c r="AS3563" s="22"/>
      <c r="AT3563" s="22"/>
      <c r="AU3563" s="22"/>
      <c r="AV3563" s="22"/>
      <c r="AW3563" s="9"/>
      <c r="BA3563" s="22"/>
      <c r="BB3563" s="22"/>
      <c r="BD3563" s="9"/>
      <c r="CS3563" s="11">
        <f t="shared" si="243"/>
        <v>0</v>
      </c>
      <c r="CT3563" s="22">
        <f t="shared" si="244"/>
        <v>0</v>
      </c>
      <c r="CU3563" s="22">
        <f t="shared" si="245"/>
        <v>0</v>
      </c>
      <c r="CV3563" s="26">
        <f t="shared" si="246"/>
        <v>500</v>
      </c>
    </row>
    <row r="3564" spans="1:100" x14ac:dyDescent="0.2">
      <c r="A3564" s="9" t="s">
        <v>690</v>
      </c>
      <c r="B3564" s="2">
        <v>15</v>
      </c>
      <c r="C3564" s="3" t="s">
        <v>95</v>
      </c>
      <c r="D3564" s="3" t="s">
        <v>96</v>
      </c>
      <c r="E3564" s="2"/>
      <c r="F3564" s="2"/>
      <c r="G3564" s="2" t="s">
        <v>67</v>
      </c>
      <c r="H3564" s="2">
        <v>3</v>
      </c>
      <c r="I3564" s="20">
        <v>123.54</v>
      </c>
      <c r="J3564" s="20">
        <v>68633</v>
      </c>
      <c r="K3564" s="3">
        <v>0</v>
      </c>
      <c r="L3564" s="3" t="s">
        <v>97</v>
      </c>
      <c r="M3564" s="9" t="s">
        <v>0</v>
      </c>
      <c r="N3564" s="9">
        <v>43247814</v>
      </c>
      <c r="O3564" s="9" t="s">
        <v>691</v>
      </c>
      <c r="S3564" s="9" t="s">
        <v>158</v>
      </c>
      <c r="T3564" s="10" t="s">
        <v>67</v>
      </c>
      <c r="U3564" s="10">
        <v>3</v>
      </c>
      <c r="V3564" s="10">
        <v>123.54</v>
      </c>
      <c r="W3564" s="10" t="s">
        <v>710</v>
      </c>
      <c r="X3564" s="17">
        <v>45853</v>
      </c>
      <c r="Y3564" s="17">
        <v>45853</v>
      </c>
      <c r="Z3564" s="19" t="s">
        <v>772</v>
      </c>
      <c r="AA3564" s="207">
        <v>41400</v>
      </c>
      <c r="AB3564" s="9">
        <v>60</v>
      </c>
      <c r="AC3564" s="9">
        <v>20</v>
      </c>
      <c r="AD3564" s="17">
        <v>46492</v>
      </c>
      <c r="AE3564" s="54">
        <v>500</v>
      </c>
      <c r="AF3564" s="54"/>
      <c r="AL3564" s="22"/>
      <c r="AM3564" s="22"/>
      <c r="AN3564" s="22"/>
      <c r="AO3564" s="22"/>
      <c r="AP3564" s="22"/>
      <c r="AQ3564" s="22"/>
      <c r="AR3564" s="22"/>
      <c r="AS3564" s="22"/>
      <c r="AT3564" s="22"/>
      <c r="AU3564" s="22"/>
      <c r="AV3564" s="22"/>
      <c r="AW3564" s="9"/>
      <c r="BA3564" s="22"/>
      <c r="BB3564" s="22"/>
      <c r="BD3564" s="9"/>
      <c r="CS3564" s="11">
        <f t="shared" si="243"/>
        <v>0</v>
      </c>
      <c r="CT3564" s="22">
        <f t="shared" si="244"/>
        <v>0</v>
      </c>
      <c r="CU3564" s="22">
        <f t="shared" si="245"/>
        <v>0</v>
      </c>
      <c r="CV3564" s="26">
        <f t="shared" si="246"/>
        <v>500</v>
      </c>
    </row>
    <row r="3565" spans="1:100" x14ac:dyDescent="0.2">
      <c r="A3565" s="9" t="s">
        <v>690</v>
      </c>
      <c r="B3565" s="2">
        <v>15</v>
      </c>
      <c r="C3565" s="3" t="s">
        <v>95</v>
      </c>
      <c r="D3565" s="3" t="s">
        <v>96</v>
      </c>
      <c r="E3565" s="2"/>
      <c r="F3565" s="2"/>
      <c r="G3565" s="2" t="s">
        <v>67</v>
      </c>
      <c r="H3565" s="2">
        <v>3</v>
      </c>
      <c r="I3565" s="20">
        <v>123.54</v>
      </c>
      <c r="J3565" s="20">
        <v>68633</v>
      </c>
      <c r="K3565" s="3">
        <v>0</v>
      </c>
      <c r="L3565" s="3" t="s">
        <v>97</v>
      </c>
      <c r="M3565" s="9" t="s">
        <v>0</v>
      </c>
      <c r="N3565" s="9">
        <v>43247814</v>
      </c>
      <c r="O3565" s="9" t="s">
        <v>691</v>
      </c>
      <c r="S3565" s="9" t="s">
        <v>158</v>
      </c>
      <c r="T3565" s="10" t="s">
        <v>67</v>
      </c>
      <c r="U3565" s="10">
        <v>3</v>
      </c>
      <c r="V3565" s="10">
        <v>123.54</v>
      </c>
      <c r="W3565" s="10" t="s">
        <v>710</v>
      </c>
      <c r="X3565" s="17">
        <v>45853</v>
      </c>
      <c r="Y3565" s="17">
        <v>45853</v>
      </c>
      <c r="Z3565" s="19" t="s">
        <v>772</v>
      </c>
      <c r="AA3565" s="207">
        <v>41400</v>
      </c>
      <c r="AB3565" s="9">
        <v>60</v>
      </c>
      <c r="AC3565" s="9">
        <v>21</v>
      </c>
      <c r="AD3565" s="17">
        <v>46522</v>
      </c>
      <c r="AE3565" s="54">
        <v>500</v>
      </c>
      <c r="AF3565" s="54"/>
      <c r="AL3565" s="22"/>
      <c r="AM3565" s="22"/>
      <c r="AN3565" s="22"/>
      <c r="AO3565" s="22"/>
      <c r="AP3565" s="22"/>
      <c r="AQ3565" s="22"/>
      <c r="AR3565" s="22"/>
      <c r="AS3565" s="22"/>
      <c r="AT3565" s="22"/>
      <c r="AU3565" s="22"/>
      <c r="AV3565" s="22"/>
      <c r="AW3565" s="9"/>
      <c r="BA3565" s="22"/>
      <c r="BB3565" s="22"/>
      <c r="BD3565" s="9"/>
      <c r="CS3565" s="11">
        <f t="shared" si="243"/>
        <v>0</v>
      </c>
      <c r="CT3565" s="22">
        <f t="shared" si="244"/>
        <v>0</v>
      </c>
      <c r="CU3565" s="22">
        <f t="shared" si="245"/>
        <v>0</v>
      </c>
      <c r="CV3565" s="26">
        <f t="shared" si="246"/>
        <v>500</v>
      </c>
    </row>
    <row r="3566" spans="1:100" x14ac:dyDescent="0.2">
      <c r="A3566" s="9" t="s">
        <v>690</v>
      </c>
      <c r="B3566" s="2">
        <v>15</v>
      </c>
      <c r="C3566" s="3" t="s">
        <v>95</v>
      </c>
      <c r="D3566" s="3" t="s">
        <v>96</v>
      </c>
      <c r="E3566" s="2"/>
      <c r="F3566" s="2"/>
      <c r="G3566" s="2" t="s">
        <v>67</v>
      </c>
      <c r="H3566" s="2">
        <v>3</v>
      </c>
      <c r="I3566" s="20">
        <v>123.54</v>
      </c>
      <c r="J3566" s="20">
        <v>68633</v>
      </c>
      <c r="K3566" s="3">
        <v>0</v>
      </c>
      <c r="L3566" s="3" t="s">
        <v>97</v>
      </c>
      <c r="M3566" s="9" t="s">
        <v>0</v>
      </c>
      <c r="N3566" s="9">
        <v>43247814</v>
      </c>
      <c r="O3566" s="9" t="s">
        <v>691</v>
      </c>
      <c r="S3566" s="9" t="s">
        <v>158</v>
      </c>
      <c r="T3566" s="10" t="s">
        <v>67</v>
      </c>
      <c r="U3566" s="10">
        <v>3</v>
      </c>
      <c r="V3566" s="10">
        <v>123.54</v>
      </c>
      <c r="W3566" s="10" t="s">
        <v>710</v>
      </c>
      <c r="X3566" s="17">
        <v>45853</v>
      </c>
      <c r="Y3566" s="17">
        <v>45853</v>
      </c>
      <c r="Z3566" s="19" t="s">
        <v>772</v>
      </c>
      <c r="AA3566" s="207">
        <v>41400</v>
      </c>
      <c r="AB3566" s="9">
        <v>60</v>
      </c>
      <c r="AC3566" s="9">
        <v>22</v>
      </c>
      <c r="AD3566" s="17">
        <v>46553</v>
      </c>
      <c r="AE3566" s="54">
        <v>500</v>
      </c>
      <c r="AF3566" s="54"/>
      <c r="AL3566" s="22"/>
      <c r="AM3566" s="22"/>
      <c r="AN3566" s="22"/>
      <c r="AO3566" s="22"/>
      <c r="AP3566" s="22"/>
      <c r="AQ3566" s="22"/>
      <c r="AR3566" s="22"/>
      <c r="AS3566" s="22"/>
      <c r="AT3566" s="22"/>
      <c r="AU3566" s="22"/>
      <c r="AV3566" s="22"/>
      <c r="AW3566" s="9"/>
      <c r="BA3566" s="22"/>
      <c r="BB3566" s="22"/>
      <c r="BD3566" s="9"/>
      <c r="CS3566" s="11">
        <f t="shared" si="243"/>
        <v>0</v>
      </c>
      <c r="CT3566" s="22">
        <f t="shared" si="244"/>
        <v>0</v>
      </c>
      <c r="CU3566" s="22">
        <f t="shared" si="245"/>
        <v>0</v>
      </c>
      <c r="CV3566" s="26">
        <f t="shared" si="246"/>
        <v>500</v>
      </c>
    </row>
    <row r="3567" spans="1:100" x14ac:dyDescent="0.2">
      <c r="A3567" s="9" t="s">
        <v>690</v>
      </c>
      <c r="B3567" s="2">
        <v>15</v>
      </c>
      <c r="C3567" s="3" t="s">
        <v>95</v>
      </c>
      <c r="D3567" s="3" t="s">
        <v>96</v>
      </c>
      <c r="E3567" s="2"/>
      <c r="F3567" s="2"/>
      <c r="G3567" s="2" t="s">
        <v>67</v>
      </c>
      <c r="H3567" s="2">
        <v>3</v>
      </c>
      <c r="I3567" s="20">
        <v>123.54</v>
      </c>
      <c r="J3567" s="20">
        <v>68633</v>
      </c>
      <c r="K3567" s="3">
        <v>0</v>
      </c>
      <c r="L3567" s="3" t="s">
        <v>97</v>
      </c>
      <c r="M3567" s="9" t="s">
        <v>0</v>
      </c>
      <c r="N3567" s="9">
        <v>43247814</v>
      </c>
      <c r="O3567" s="9" t="s">
        <v>691</v>
      </c>
      <c r="S3567" s="9" t="s">
        <v>158</v>
      </c>
      <c r="T3567" s="10" t="s">
        <v>67</v>
      </c>
      <c r="U3567" s="10">
        <v>3</v>
      </c>
      <c r="V3567" s="10">
        <v>123.54</v>
      </c>
      <c r="W3567" s="10" t="s">
        <v>710</v>
      </c>
      <c r="X3567" s="17">
        <v>45853</v>
      </c>
      <c r="Y3567" s="17">
        <v>45853</v>
      </c>
      <c r="Z3567" s="19" t="s">
        <v>772</v>
      </c>
      <c r="AA3567" s="207">
        <v>41400</v>
      </c>
      <c r="AB3567" s="9">
        <v>60</v>
      </c>
      <c r="AC3567" s="9">
        <v>23</v>
      </c>
      <c r="AD3567" s="17">
        <v>46583</v>
      </c>
      <c r="AE3567" s="54">
        <v>500</v>
      </c>
      <c r="AF3567" s="54"/>
      <c r="AL3567" s="22"/>
      <c r="AM3567" s="22"/>
      <c r="AN3567" s="22"/>
      <c r="AO3567" s="22"/>
      <c r="AP3567" s="22"/>
      <c r="AQ3567" s="22"/>
      <c r="AR3567" s="22"/>
      <c r="AS3567" s="22"/>
      <c r="AT3567" s="22"/>
      <c r="AU3567" s="22"/>
      <c r="AV3567" s="22"/>
      <c r="AW3567" s="9"/>
      <c r="BA3567" s="22"/>
      <c r="BB3567" s="22"/>
      <c r="BD3567" s="9"/>
      <c r="CS3567" s="11">
        <f t="shared" si="243"/>
        <v>0</v>
      </c>
      <c r="CT3567" s="22">
        <f t="shared" si="244"/>
        <v>0</v>
      </c>
      <c r="CU3567" s="22">
        <f t="shared" si="245"/>
        <v>0</v>
      </c>
      <c r="CV3567" s="26">
        <f t="shared" si="246"/>
        <v>500</v>
      </c>
    </row>
    <row r="3568" spans="1:100" x14ac:dyDescent="0.2">
      <c r="A3568" s="9" t="s">
        <v>690</v>
      </c>
      <c r="B3568" s="2">
        <v>15</v>
      </c>
      <c r="C3568" s="3" t="s">
        <v>95</v>
      </c>
      <c r="D3568" s="3" t="s">
        <v>96</v>
      </c>
      <c r="E3568" s="2"/>
      <c r="F3568" s="2"/>
      <c r="G3568" s="2" t="s">
        <v>67</v>
      </c>
      <c r="H3568" s="2">
        <v>3</v>
      </c>
      <c r="I3568" s="20">
        <v>123.54</v>
      </c>
      <c r="J3568" s="20">
        <v>68633</v>
      </c>
      <c r="K3568" s="3">
        <v>0</v>
      </c>
      <c r="L3568" s="3" t="s">
        <v>97</v>
      </c>
      <c r="M3568" s="9" t="s">
        <v>0</v>
      </c>
      <c r="N3568" s="9">
        <v>43247814</v>
      </c>
      <c r="O3568" s="9" t="s">
        <v>691</v>
      </c>
      <c r="S3568" s="9" t="s">
        <v>158</v>
      </c>
      <c r="T3568" s="10" t="s">
        <v>67</v>
      </c>
      <c r="U3568" s="10">
        <v>3</v>
      </c>
      <c r="V3568" s="10">
        <v>123.54</v>
      </c>
      <c r="W3568" s="10" t="s">
        <v>710</v>
      </c>
      <c r="X3568" s="17">
        <v>45853</v>
      </c>
      <c r="Y3568" s="17">
        <v>45853</v>
      </c>
      <c r="Z3568" s="19" t="s">
        <v>772</v>
      </c>
      <c r="AA3568" s="207">
        <v>41400</v>
      </c>
      <c r="AB3568" s="9">
        <v>60</v>
      </c>
      <c r="AC3568" s="9">
        <v>24</v>
      </c>
      <c r="AD3568" s="17">
        <v>46614</v>
      </c>
      <c r="AE3568" s="54">
        <v>500</v>
      </c>
      <c r="AF3568" s="54"/>
      <c r="AL3568" s="22"/>
      <c r="AM3568" s="22"/>
      <c r="AN3568" s="22"/>
      <c r="AO3568" s="22"/>
      <c r="AP3568" s="22"/>
      <c r="AQ3568" s="22"/>
      <c r="AR3568" s="22"/>
      <c r="AS3568" s="22"/>
      <c r="AT3568" s="22"/>
      <c r="AU3568" s="22"/>
      <c r="AV3568" s="22"/>
      <c r="AW3568" s="9"/>
      <c r="BA3568" s="22"/>
      <c r="BB3568" s="22"/>
      <c r="BD3568" s="9"/>
      <c r="CS3568" s="11">
        <f t="shared" si="243"/>
        <v>0</v>
      </c>
      <c r="CT3568" s="22">
        <f t="shared" si="244"/>
        <v>0</v>
      </c>
      <c r="CU3568" s="22">
        <f t="shared" si="245"/>
        <v>0</v>
      </c>
      <c r="CV3568" s="26">
        <f t="shared" si="246"/>
        <v>500</v>
      </c>
    </row>
    <row r="3569" spans="1:100" x14ac:dyDescent="0.2">
      <c r="A3569" s="9" t="s">
        <v>690</v>
      </c>
      <c r="B3569" s="2">
        <v>15</v>
      </c>
      <c r="C3569" s="3" t="s">
        <v>95</v>
      </c>
      <c r="D3569" s="3" t="s">
        <v>96</v>
      </c>
      <c r="E3569" s="2"/>
      <c r="F3569" s="2"/>
      <c r="G3569" s="2" t="s">
        <v>67</v>
      </c>
      <c r="H3569" s="2">
        <v>3</v>
      </c>
      <c r="I3569" s="20">
        <v>123.54</v>
      </c>
      <c r="J3569" s="20">
        <v>68633</v>
      </c>
      <c r="K3569" s="3">
        <v>0</v>
      </c>
      <c r="L3569" s="3" t="s">
        <v>97</v>
      </c>
      <c r="M3569" s="9" t="s">
        <v>0</v>
      </c>
      <c r="N3569" s="9">
        <v>43247814</v>
      </c>
      <c r="O3569" s="9" t="s">
        <v>691</v>
      </c>
      <c r="S3569" s="9" t="s">
        <v>158</v>
      </c>
      <c r="T3569" s="10" t="s">
        <v>67</v>
      </c>
      <c r="U3569" s="10">
        <v>3</v>
      </c>
      <c r="V3569" s="10">
        <v>123.54</v>
      </c>
      <c r="W3569" s="10" t="s">
        <v>710</v>
      </c>
      <c r="X3569" s="17">
        <v>45853</v>
      </c>
      <c r="Y3569" s="17">
        <v>45853</v>
      </c>
      <c r="Z3569" s="19" t="s">
        <v>772</v>
      </c>
      <c r="AA3569" s="207">
        <v>41400</v>
      </c>
      <c r="AB3569" s="9">
        <v>60</v>
      </c>
      <c r="AC3569" s="9">
        <v>25</v>
      </c>
      <c r="AD3569" s="17">
        <v>46645</v>
      </c>
      <c r="AE3569" s="54">
        <v>500</v>
      </c>
      <c r="AF3569" s="54"/>
      <c r="AL3569" s="22"/>
      <c r="AM3569" s="22"/>
      <c r="AN3569" s="22"/>
      <c r="AO3569" s="22"/>
      <c r="AP3569" s="22"/>
      <c r="AQ3569" s="22"/>
      <c r="AR3569" s="22"/>
      <c r="AS3569" s="22"/>
      <c r="AT3569" s="22"/>
      <c r="AU3569" s="22"/>
      <c r="AV3569" s="22"/>
      <c r="AW3569" s="9"/>
      <c r="BA3569" s="22"/>
      <c r="BB3569" s="22"/>
      <c r="BD3569" s="9"/>
      <c r="CS3569" s="11">
        <f t="shared" si="243"/>
        <v>0</v>
      </c>
      <c r="CT3569" s="22">
        <f t="shared" si="244"/>
        <v>0</v>
      </c>
      <c r="CU3569" s="22">
        <f t="shared" si="245"/>
        <v>0</v>
      </c>
      <c r="CV3569" s="26">
        <f t="shared" si="246"/>
        <v>500</v>
      </c>
    </row>
    <row r="3570" spans="1:100" x14ac:dyDescent="0.2">
      <c r="A3570" s="9" t="s">
        <v>690</v>
      </c>
      <c r="B3570" s="2">
        <v>15</v>
      </c>
      <c r="C3570" s="3" t="s">
        <v>95</v>
      </c>
      <c r="D3570" s="3" t="s">
        <v>96</v>
      </c>
      <c r="E3570" s="2"/>
      <c r="F3570" s="2"/>
      <c r="G3570" s="2" t="s">
        <v>67</v>
      </c>
      <c r="H3570" s="2">
        <v>3</v>
      </c>
      <c r="I3570" s="20">
        <v>123.54</v>
      </c>
      <c r="J3570" s="20">
        <v>68633</v>
      </c>
      <c r="K3570" s="3">
        <v>0</v>
      </c>
      <c r="L3570" s="3" t="s">
        <v>97</v>
      </c>
      <c r="M3570" s="9" t="s">
        <v>0</v>
      </c>
      <c r="N3570" s="9">
        <v>43247814</v>
      </c>
      <c r="O3570" s="9" t="s">
        <v>691</v>
      </c>
      <c r="S3570" s="9" t="s">
        <v>158</v>
      </c>
      <c r="T3570" s="10" t="s">
        <v>67</v>
      </c>
      <c r="U3570" s="10">
        <v>3</v>
      </c>
      <c r="V3570" s="10">
        <v>123.54</v>
      </c>
      <c r="W3570" s="10" t="s">
        <v>710</v>
      </c>
      <c r="X3570" s="17">
        <v>45853</v>
      </c>
      <c r="Y3570" s="17">
        <v>45853</v>
      </c>
      <c r="Z3570" s="19" t="s">
        <v>772</v>
      </c>
      <c r="AA3570" s="207">
        <v>41400</v>
      </c>
      <c r="AB3570" s="9">
        <v>60</v>
      </c>
      <c r="AC3570" s="9">
        <v>26</v>
      </c>
      <c r="AD3570" s="17">
        <v>46675</v>
      </c>
      <c r="AE3570" s="54">
        <v>500</v>
      </c>
      <c r="AF3570" s="54"/>
      <c r="AL3570" s="22"/>
      <c r="AM3570" s="22"/>
      <c r="AN3570" s="22"/>
      <c r="AO3570" s="22"/>
      <c r="AP3570" s="22"/>
      <c r="AQ3570" s="22"/>
      <c r="AR3570" s="22"/>
      <c r="AS3570" s="22"/>
      <c r="AT3570" s="22"/>
      <c r="AU3570" s="22"/>
      <c r="AV3570" s="22"/>
      <c r="AW3570" s="9"/>
      <c r="BA3570" s="22"/>
      <c r="BB3570" s="22"/>
      <c r="BD3570" s="9"/>
      <c r="CS3570" s="11">
        <f t="shared" si="243"/>
        <v>0</v>
      </c>
      <c r="CT3570" s="22">
        <f t="shared" si="244"/>
        <v>0</v>
      </c>
      <c r="CU3570" s="22">
        <f t="shared" si="245"/>
        <v>0</v>
      </c>
      <c r="CV3570" s="26">
        <f t="shared" si="246"/>
        <v>500</v>
      </c>
    </row>
    <row r="3571" spans="1:100" x14ac:dyDescent="0.2">
      <c r="A3571" s="9" t="s">
        <v>690</v>
      </c>
      <c r="B3571" s="2">
        <v>15</v>
      </c>
      <c r="C3571" s="3" t="s">
        <v>95</v>
      </c>
      <c r="D3571" s="3" t="s">
        <v>96</v>
      </c>
      <c r="E3571" s="2"/>
      <c r="F3571" s="2"/>
      <c r="G3571" s="2" t="s">
        <v>67</v>
      </c>
      <c r="H3571" s="2">
        <v>3</v>
      </c>
      <c r="I3571" s="20">
        <v>123.54</v>
      </c>
      <c r="J3571" s="20">
        <v>68633</v>
      </c>
      <c r="K3571" s="3">
        <v>0</v>
      </c>
      <c r="L3571" s="3" t="s">
        <v>97</v>
      </c>
      <c r="M3571" s="9" t="s">
        <v>0</v>
      </c>
      <c r="N3571" s="9">
        <v>43247814</v>
      </c>
      <c r="O3571" s="9" t="s">
        <v>691</v>
      </c>
      <c r="S3571" s="9" t="s">
        <v>158</v>
      </c>
      <c r="T3571" s="10" t="s">
        <v>67</v>
      </c>
      <c r="U3571" s="10">
        <v>3</v>
      </c>
      <c r="V3571" s="10">
        <v>123.54</v>
      </c>
      <c r="W3571" s="10" t="s">
        <v>710</v>
      </c>
      <c r="X3571" s="17">
        <v>45853</v>
      </c>
      <c r="Y3571" s="17">
        <v>45853</v>
      </c>
      <c r="Z3571" s="19" t="s">
        <v>772</v>
      </c>
      <c r="AA3571" s="207">
        <v>41400</v>
      </c>
      <c r="AB3571" s="9">
        <v>60</v>
      </c>
      <c r="AC3571" s="9">
        <v>27</v>
      </c>
      <c r="AD3571" s="17">
        <v>46706</v>
      </c>
      <c r="AE3571" s="54">
        <v>500</v>
      </c>
      <c r="AF3571" s="54"/>
      <c r="AL3571" s="22"/>
      <c r="AM3571" s="22"/>
      <c r="AN3571" s="22"/>
      <c r="AO3571" s="22"/>
      <c r="AP3571" s="22"/>
      <c r="AQ3571" s="22"/>
      <c r="AR3571" s="22"/>
      <c r="AS3571" s="22"/>
      <c r="AT3571" s="22"/>
      <c r="AU3571" s="22"/>
      <c r="AV3571" s="22"/>
      <c r="AW3571" s="9"/>
      <c r="BA3571" s="22"/>
      <c r="BB3571" s="22"/>
      <c r="BD3571" s="9"/>
      <c r="CS3571" s="11">
        <f t="shared" si="243"/>
        <v>0</v>
      </c>
      <c r="CT3571" s="22">
        <f t="shared" si="244"/>
        <v>0</v>
      </c>
      <c r="CU3571" s="22">
        <f t="shared" si="245"/>
        <v>0</v>
      </c>
      <c r="CV3571" s="26">
        <f t="shared" si="246"/>
        <v>500</v>
      </c>
    </row>
    <row r="3572" spans="1:100" x14ac:dyDescent="0.2">
      <c r="A3572" s="9" t="s">
        <v>690</v>
      </c>
      <c r="B3572" s="2">
        <v>15</v>
      </c>
      <c r="C3572" s="3" t="s">
        <v>95</v>
      </c>
      <c r="D3572" s="3" t="s">
        <v>96</v>
      </c>
      <c r="E3572" s="2"/>
      <c r="F3572" s="2"/>
      <c r="G3572" s="2" t="s">
        <v>67</v>
      </c>
      <c r="H3572" s="2">
        <v>3</v>
      </c>
      <c r="I3572" s="20">
        <v>123.54</v>
      </c>
      <c r="J3572" s="20">
        <v>68633</v>
      </c>
      <c r="K3572" s="3">
        <v>0</v>
      </c>
      <c r="L3572" s="3" t="s">
        <v>97</v>
      </c>
      <c r="M3572" s="9" t="s">
        <v>0</v>
      </c>
      <c r="N3572" s="9">
        <v>43247814</v>
      </c>
      <c r="O3572" s="9" t="s">
        <v>691</v>
      </c>
      <c r="S3572" s="9" t="s">
        <v>158</v>
      </c>
      <c r="T3572" s="10" t="s">
        <v>67</v>
      </c>
      <c r="U3572" s="10">
        <v>3</v>
      </c>
      <c r="V3572" s="10">
        <v>123.54</v>
      </c>
      <c r="W3572" s="10" t="s">
        <v>710</v>
      </c>
      <c r="X3572" s="17">
        <v>45853</v>
      </c>
      <c r="Y3572" s="17">
        <v>45853</v>
      </c>
      <c r="Z3572" s="19" t="s">
        <v>772</v>
      </c>
      <c r="AA3572" s="207">
        <v>41400</v>
      </c>
      <c r="AB3572" s="9">
        <v>60</v>
      </c>
      <c r="AC3572" s="9">
        <v>28</v>
      </c>
      <c r="AD3572" s="17">
        <v>46736</v>
      </c>
      <c r="AE3572" s="54">
        <v>500</v>
      </c>
      <c r="AF3572" s="54"/>
      <c r="AL3572" s="22"/>
      <c r="AM3572" s="22"/>
      <c r="AN3572" s="22"/>
      <c r="AO3572" s="22"/>
      <c r="AP3572" s="22"/>
      <c r="AQ3572" s="22"/>
      <c r="AR3572" s="22"/>
      <c r="AS3572" s="22"/>
      <c r="AT3572" s="22"/>
      <c r="AU3572" s="22"/>
      <c r="AV3572" s="22"/>
      <c r="AW3572" s="9"/>
      <c r="BA3572" s="22"/>
      <c r="BB3572" s="22"/>
      <c r="BD3572" s="9"/>
      <c r="CS3572" s="11">
        <f t="shared" ref="CS3572:CS3604" si="247">+AL3572+AT3572</f>
        <v>0</v>
      </c>
      <c r="CT3572" s="22">
        <f t="shared" ref="CT3572:CT3604" si="248">+BA3572+BG3572+BM3572+BS3572+BY3572+CE3572+CK3572+CQ3572</f>
        <v>0</v>
      </c>
      <c r="CU3572" s="22">
        <f t="shared" ref="CU3572:CU3635" si="249">+CS3572-CT3572</f>
        <v>0</v>
      </c>
      <c r="CV3572" s="26">
        <f t="shared" si="246"/>
        <v>500</v>
      </c>
    </row>
    <row r="3573" spans="1:100" x14ac:dyDescent="0.2">
      <c r="A3573" s="9" t="s">
        <v>690</v>
      </c>
      <c r="B3573" s="2">
        <v>15</v>
      </c>
      <c r="C3573" s="3" t="s">
        <v>95</v>
      </c>
      <c r="D3573" s="3" t="s">
        <v>96</v>
      </c>
      <c r="E3573" s="2"/>
      <c r="F3573" s="2"/>
      <c r="G3573" s="2" t="s">
        <v>67</v>
      </c>
      <c r="H3573" s="2">
        <v>3</v>
      </c>
      <c r="I3573" s="20">
        <v>123.54</v>
      </c>
      <c r="J3573" s="20">
        <v>68633</v>
      </c>
      <c r="K3573" s="3">
        <v>0</v>
      </c>
      <c r="L3573" s="3" t="s">
        <v>97</v>
      </c>
      <c r="M3573" s="9" t="s">
        <v>0</v>
      </c>
      <c r="N3573" s="9">
        <v>43247814</v>
      </c>
      <c r="O3573" s="9" t="s">
        <v>691</v>
      </c>
      <c r="S3573" s="9" t="s">
        <v>158</v>
      </c>
      <c r="T3573" s="10" t="s">
        <v>67</v>
      </c>
      <c r="U3573" s="10">
        <v>3</v>
      </c>
      <c r="V3573" s="10">
        <v>123.54</v>
      </c>
      <c r="W3573" s="10" t="s">
        <v>710</v>
      </c>
      <c r="X3573" s="17">
        <v>45853</v>
      </c>
      <c r="Y3573" s="17">
        <v>45853</v>
      </c>
      <c r="Z3573" s="19" t="s">
        <v>772</v>
      </c>
      <c r="AA3573" s="207">
        <v>41400</v>
      </c>
      <c r="AB3573" s="9">
        <v>60</v>
      </c>
      <c r="AC3573" s="9">
        <v>29</v>
      </c>
      <c r="AD3573" s="17">
        <v>46767</v>
      </c>
      <c r="AE3573" s="54">
        <v>500</v>
      </c>
      <c r="AF3573" s="54"/>
      <c r="AL3573" s="22"/>
      <c r="AM3573" s="22"/>
      <c r="AN3573" s="22"/>
      <c r="AO3573" s="22"/>
      <c r="AP3573" s="22"/>
      <c r="AQ3573" s="22"/>
      <c r="AR3573" s="22"/>
      <c r="AS3573" s="22"/>
      <c r="AT3573" s="22"/>
      <c r="AU3573" s="22"/>
      <c r="AV3573" s="22"/>
      <c r="AW3573" s="9"/>
      <c r="BA3573" s="22"/>
      <c r="BB3573" s="22"/>
      <c r="BD3573" s="9"/>
      <c r="CS3573" s="11">
        <f t="shared" si="247"/>
        <v>0</v>
      </c>
      <c r="CT3573" s="22">
        <f t="shared" si="248"/>
        <v>0</v>
      </c>
      <c r="CU3573" s="22">
        <f t="shared" si="249"/>
        <v>0</v>
      </c>
      <c r="CV3573" s="26">
        <f t="shared" si="246"/>
        <v>500</v>
      </c>
    </row>
    <row r="3574" spans="1:100" x14ac:dyDescent="0.2">
      <c r="A3574" s="9" t="s">
        <v>690</v>
      </c>
      <c r="B3574" s="2">
        <v>15</v>
      </c>
      <c r="C3574" s="3" t="s">
        <v>95</v>
      </c>
      <c r="D3574" s="3" t="s">
        <v>96</v>
      </c>
      <c r="E3574" s="2"/>
      <c r="F3574" s="2"/>
      <c r="G3574" s="2" t="s">
        <v>67</v>
      </c>
      <c r="H3574" s="2">
        <v>3</v>
      </c>
      <c r="I3574" s="20">
        <v>123.54</v>
      </c>
      <c r="J3574" s="20">
        <v>68633</v>
      </c>
      <c r="K3574" s="3">
        <v>0</v>
      </c>
      <c r="L3574" s="3" t="s">
        <v>97</v>
      </c>
      <c r="M3574" s="9" t="s">
        <v>0</v>
      </c>
      <c r="N3574" s="9">
        <v>43247814</v>
      </c>
      <c r="O3574" s="9" t="s">
        <v>691</v>
      </c>
      <c r="S3574" s="9" t="s">
        <v>158</v>
      </c>
      <c r="T3574" s="10" t="s">
        <v>67</v>
      </c>
      <c r="U3574" s="10">
        <v>3</v>
      </c>
      <c r="V3574" s="10">
        <v>123.54</v>
      </c>
      <c r="W3574" s="10" t="s">
        <v>710</v>
      </c>
      <c r="X3574" s="17">
        <v>45853</v>
      </c>
      <c r="Y3574" s="17">
        <v>45853</v>
      </c>
      <c r="Z3574" s="19" t="s">
        <v>772</v>
      </c>
      <c r="AA3574" s="207">
        <v>41400</v>
      </c>
      <c r="AB3574" s="9">
        <v>60</v>
      </c>
      <c r="AC3574" s="9">
        <v>30</v>
      </c>
      <c r="AD3574" s="17">
        <v>46798</v>
      </c>
      <c r="AE3574" s="54">
        <v>500</v>
      </c>
      <c r="AF3574" s="54"/>
      <c r="AL3574" s="22"/>
      <c r="AM3574" s="22"/>
      <c r="AN3574" s="22"/>
      <c r="AO3574" s="22"/>
      <c r="AP3574" s="22"/>
      <c r="AQ3574" s="22"/>
      <c r="AR3574" s="22"/>
      <c r="AS3574" s="22"/>
      <c r="AT3574" s="22"/>
      <c r="AU3574" s="22"/>
      <c r="AV3574" s="22"/>
      <c r="AW3574" s="9"/>
      <c r="BA3574" s="22"/>
      <c r="BB3574" s="22"/>
      <c r="BD3574" s="9"/>
      <c r="CS3574" s="11">
        <f t="shared" si="247"/>
        <v>0</v>
      </c>
      <c r="CT3574" s="22">
        <f t="shared" si="248"/>
        <v>0</v>
      </c>
      <c r="CU3574" s="22">
        <f t="shared" si="249"/>
        <v>0</v>
      </c>
      <c r="CV3574" s="26">
        <f t="shared" si="246"/>
        <v>500</v>
      </c>
    </row>
    <row r="3575" spans="1:100" x14ac:dyDescent="0.2">
      <c r="A3575" s="9" t="s">
        <v>690</v>
      </c>
      <c r="B3575" s="2">
        <v>15</v>
      </c>
      <c r="C3575" s="3" t="s">
        <v>95</v>
      </c>
      <c r="D3575" s="3" t="s">
        <v>96</v>
      </c>
      <c r="E3575" s="2"/>
      <c r="F3575" s="2"/>
      <c r="G3575" s="2" t="s">
        <v>67</v>
      </c>
      <c r="H3575" s="2">
        <v>3</v>
      </c>
      <c r="I3575" s="20">
        <v>123.54</v>
      </c>
      <c r="J3575" s="20">
        <v>68633</v>
      </c>
      <c r="K3575" s="3">
        <v>0</v>
      </c>
      <c r="L3575" s="3" t="s">
        <v>97</v>
      </c>
      <c r="M3575" s="9" t="s">
        <v>0</v>
      </c>
      <c r="N3575" s="9">
        <v>43247814</v>
      </c>
      <c r="O3575" s="9" t="s">
        <v>691</v>
      </c>
      <c r="S3575" s="9" t="s">
        <v>158</v>
      </c>
      <c r="T3575" s="10" t="s">
        <v>67</v>
      </c>
      <c r="U3575" s="10">
        <v>3</v>
      </c>
      <c r="V3575" s="10">
        <v>123.54</v>
      </c>
      <c r="W3575" s="10" t="s">
        <v>710</v>
      </c>
      <c r="X3575" s="17">
        <v>45853</v>
      </c>
      <c r="Y3575" s="17">
        <v>45853</v>
      </c>
      <c r="Z3575" s="19" t="s">
        <v>772</v>
      </c>
      <c r="AA3575" s="207">
        <v>41400</v>
      </c>
      <c r="AB3575" s="9">
        <v>60</v>
      </c>
      <c r="AC3575" s="9">
        <v>31</v>
      </c>
      <c r="AD3575" s="17">
        <v>46827</v>
      </c>
      <c r="AE3575" s="54">
        <v>500</v>
      </c>
      <c r="AF3575" s="54"/>
      <c r="AL3575" s="22"/>
      <c r="AM3575" s="22"/>
      <c r="AN3575" s="22"/>
      <c r="AO3575" s="22"/>
      <c r="AP3575" s="22"/>
      <c r="AQ3575" s="22"/>
      <c r="AR3575" s="22"/>
      <c r="AS3575" s="22"/>
      <c r="AT3575" s="22"/>
      <c r="AU3575" s="22"/>
      <c r="AV3575" s="22"/>
      <c r="AW3575" s="9"/>
      <c r="BA3575" s="22"/>
      <c r="BB3575" s="22"/>
      <c r="BD3575" s="9"/>
      <c r="CS3575" s="11">
        <f t="shared" si="247"/>
        <v>0</v>
      </c>
      <c r="CT3575" s="22">
        <f t="shared" si="248"/>
        <v>0</v>
      </c>
      <c r="CU3575" s="22">
        <f t="shared" si="249"/>
        <v>0</v>
      </c>
      <c r="CV3575" s="26">
        <f t="shared" si="246"/>
        <v>500</v>
      </c>
    </row>
    <row r="3576" spans="1:100" x14ac:dyDescent="0.2">
      <c r="A3576" s="9" t="s">
        <v>690</v>
      </c>
      <c r="B3576" s="2">
        <v>15</v>
      </c>
      <c r="C3576" s="3" t="s">
        <v>95</v>
      </c>
      <c r="D3576" s="3" t="s">
        <v>96</v>
      </c>
      <c r="E3576" s="2"/>
      <c r="F3576" s="2"/>
      <c r="G3576" s="2" t="s">
        <v>67</v>
      </c>
      <c r="H3576" s="2">
        <v>3</v>
      </c>
      <c r="I3576" s="20">
        <v>123.54</v>
      </c>
      <c r="J3576" s="20">
        <v>68633</v>
      </c>
      <c r="K3576" s="3">
        <v>0</v>
      </c>
      <c r="L3576" s="3" t="s">
        <v>97</v>
      </c>
      <c r="M3576" s="9" t="s">
        <v>0</v>
      </c>
      <c r="N3576" s="9">
        <v>43247814</v>
      </c>
      <c r="O3576" s="9" t="s">
        <v>691</v>
      </c>
      <c r="S3576" s="9" t="s">
        <v>158</v>
      </c>
      <c r="T3576" s="10" t="s">
        <v>67</v>
      </c>
      <c r="U3576" s="10">
        <v>3</v>
      </c>
      <c r="V3576" s="10">
        <v>123.54</v>
      </c>
      <c r="W3576" s="10" t="s">
        <v>710</v>
      </c>
      <c r="X3576" s="17">
        <v>45853</v>
      </c>
      <c r="Y3576" s="17">
        <v>45853</v>
      </c>
      <c r="Z3576" s="19" t="s">
        <v>772</v>
      </c>
      <c r="AA3576" s="207">
        <v>41400</v>
      </c>
      <c r="AB3576" s="9">
        <v>60</v>
      </c>
      <c r="AC3576" s="9">
        <v>32</v>
      </c>
      <c r="AD3576" s="17">
        <v>46858</v>
      </c>
      <c r="AE3576" s="54">
        <v>500</v>
      </c>
      <c r="AF3576" s="54"/>
      <c r="AL3576" s="22"/>
      <c r="AM3576" s="22"/>
      <c r="AN3576" s="22"/>
      <c r="AO3576" s="22"/>
      <c r="AP3576" s="22"/>
      <c r="AQ3576" s="22"/>
      <c r="AR3576" s="22"/>
      <c r="AS3576" s="22"/>
      <c r="AT3576" s="22"/>
      <c r="AU3576" s="22"/>
      <c r="AV3576" s="22"/>
      <c r="AW3576" s="9"/>
      <c r="BA3576" s="22"/>
      <c r="BB3576" s="22"/>
      <c r="BD3576" s="9"/>
      <c r="CS3576" s="11">
        <f t="shared" si="247"/>
        <v>0</v>
      </c>
      <c r="CT3576" s="22">
        <f t="shared" si="248"/>
        <v>0</v>
      </c>
      <c r="CU3576" s="22">
        <f t="shared" si="249"/>
        <v>0</v>
      </c>
      <c r="CV3576" s="26">
        <f t="shared" si="246"/>
        <v>500</v>
      </c>
    </row>
    <row r="3577" spans="1:100" x14ac:dyDescent="0.2">
      <c r="A3577" s="9" t="s">
        <v>690</v>
      </c>
      <c r="B3577" s="2">
        <v>15</v>
      </c>
      <c r="C3577" s="3" t="s">
        <v>95</v>
      </c>
      <c r="D3577" s="3" t="s">
        <v>96</v>
      </c>
      <c r="E3577" s="2"/>
      <c r="F3577" s="2"/>
      <c r="G3577" s="2" t="s">
        <v>67</v>
      </c>
      <c r="H3577" s="2">
        <v>3</v>
      </c>
      <c r="I3577" s="20">
        <v>123.54</v>
      </c>
      <c r="J3577" s="20">
        <v>68633</v>
      </c>
      <c r="K3577" s="3">
        <v>0</v>
      </c>
      <c r="L3577" s="3" t="s">
        <v>97</v>
      </c>
      <c r="M3577" s="9" t="s">
        <v>0</v>
      </c>
      <c r="N3577" s="9">
        <v>43247814</v>
      </c>
      <c r="O3577" s="9" t="s">
        <v>691</v>
      </c>
      <c r="S3577" s="9" t="s">
        <v>158</v>
      </c>
      <c r="T3577" s="10" t="s">
        <v>67</v>
      </c>
      <c r="U3577" s="10">
        <v>3</v>
      </c>
      <c r="V3577" s="10">
        <v>123.54</v>
      </c>
      <c r="W3577" s="10" t="s">
        <v>710</v>
      </c>
      <c r="X3577" s="17">
        <v>45853</v>
      </c>
      <c r="Y3577" s="17">
        <v>45853</v>
      </c>
      <c r="Z3577" s="19" t="s">
        <v>772</v>
      </c>
      <c r="AA3577" s="207">
        <v>41400</v>
      </c>
      <c r="AB3577" s="9">
        <v>60</v>
      </c>
      <c r="AC3577" s="9">
        <v>33</v>
      </c>
      <c r="AD3577" s="17">
        <v>46888</v>
      </c>
      <c r="AE3577" s="54">
        <v>500</v>
      </c>
      <c r="AF3577" s="54"/>
      <c r="AL3577" s="22"/>
      <c r="AM3577" s="22"/>
      <c r="AN3577" s="22"/>
      <c r="AO3577" s="22"/>
      <c r="AP3577" s="22"/>
      <c r="AQ3577" s="22"/>
      <c r="AR3577" s="22"/>
      <c r="AS3577" s="22"/>
      <c r="AT3577" s="22"/>
      <c r="AU3577" s="22"/>
      <c r="AV3577" s="22"/>
      <c r="AW3577" s="9"/>
      <c r="BA3577" s="22"/>
      <c r="BB3577" s="22"/>
      <c r="BD3577" s="9"/>
      <c r="CS3577" s="11">
        <f t="shared" si="247"/>
        <v>0</v>
      </c>
      <c r="CT3577" s="22">
        <f t="shared" si="248"/>
        <v>0</v>
      </c>
      <c r="CU3577" s="22">
        <f t="shared" si="249"/>
        <v>0</v>
      </c>
      <c r="CV3577" s="26">
        <f t="shared" ref="CV3577:CV3604" si="250">+AE3577-AL3577-AT3577</f>
        <v>500</v>
      </c>
    </row>
    <row r="3578" spans="1:100" x14ac:dyDescent="0.2">
      <c r="A3578" s="9" t="s">
        <v>690</v>
      </c>
      <c r="B3578" s="2">
        <v>15</v>
      </c>
      <c r="C3578" s="3" t="s">
        <v>95</v>
      </c>
      <c r="D3578" s="3" t="s">
        <v>96</v>
      </c>
      <c r="E3578" s="2"/>
      <c r="F3578" s="2"/>
      <c r="G3578" s="2" t="s">
        <v>67</v>
      </c>
      <c r="H3578" s="2">
        <v>3</v>
      </c>
      <c r="I3578" s="20">
        <v>123.54</v>
      </c>
      <c r="J3578" s="20">
        <v>68633</v>
      </c>
      <c r="K3578" s="3">
        <v>0</v>
      </c>
      <c r="L3578" s="3" t="s">
        <v>97</v>
      </c>
      <c r="M3578" s="9" t="s">
        <v>0</v>
      </c>
      <c r="N3578" s="9">
        <v>43247814</v>
      </c>
      <c r="O3578" s="9" t="s">
        <v>691</v>
      </c>
      <c r="S3578" s="9" t="s">
        <v>158</v>
      </c>
      <c r="T3578" s="10" t="s">
        <v>67</v>
      </c>
      <c r="U3578" s="10">
        <v>3</v>
      </c>
      <c r="V3578" s="10">
        <v>123.54</v>
      </c>
      <c r="W3578" s="10" t="s">
        <v>710</v>
      </c>
      <c r="X3578" s="17">
        <v>45853</v>
      </c>
      <c r="Y3578" s="17">
        <v>45853</v>
      </c>
      <c r="Z3578" s="19" t="s">
        <v>772</v>
      </c>
      <c r="AA3578" s="207">
        <v>41400</v>
      </c>
      <c r="AB3578" s="9">
        <v>60</v>
      </c>
      <c r="AC3578" s="9">
        <v>34</v>
      </c>
      <c r="AD3578" s="17">
        <v>46919</v>
      </c>
      <c r="AE3578" s="54">
        <v>500</v>
      </c>
      <c r="AF3578" s="54"/>
      <c r="AL3578" s="22"/>
      <c r="AM3578" s="22"/>
      <c r="AN3578" s="22"/>
      <c r="AO3578" s="22"/>
      <c r="AP3578" s="22"/>
      <c r="AQ3578" s="22"/>
      <c r="AR3578" s="22"/>
      <c r="AS3578" s="22"/>
      <c r="AT3578" s="22"/>
      <c r="AU3578" s="22"/>
      <c r="AV3578" s="22"/>
      <c r="AW3578" s="9"/>
      <c r="BA3578" s="22"/>
      <c r="BB3578" s="22"/>
      <c r="BD3578" s="9"/>
      <c r="CS3578" s="11">
        <f t="shared" si="247"/>
        <v>0</v>
      </c>
      <c r="CT3578" s="22">
        <f t="shared" si="248"/>
        <v>0</v>
      </c>
      <c r="CU3578" s="22">
        <f t="shared" si="249"/>
        <v>0</v>
      </c>
      <c r="CV3578" s="26">
        <f t="shared" si="250"/>
        <v>500</v>
      </c>
    </row>
    <row r="3579" spans="1:100" x14ac:dyDescent="0.2">
      <c r="A3579" s="9" t="s">
        <v>690</v>
      </c>
      <c r="B3579" s="2">
        <v>15</v>
      </c>
      <c r="C3579" s="3" t="s">
        <v>95</v>
      </c>
      <c r="D3579" s="3" t="s">
        <v>96</v>
      </c>
      <c r="E3579" s="2"/>
      <c r="F3579" s="2"/>
      <c r="G3579" s="2" t="s">
        <v>67</v>
      </c>
      <c r="H3579" s="2">
        <v>3</v>
      </c>
      <c r="I3579" s="20">
        <v>123.54</v>
      </c>
      <c r="J3579" s="20">
        <v>68633</v>
      </c>
      <c r="K3579" s="3">
        <v>0</v>
      </c>
      <c r="L3579" s="3" t="s">
        <v>97</v>
      </c>
      <c r="M3579" s="9" t="s">
        <v>0</v>
      </c>
      <c r="N3579" s="9">
        <v>43247814</v>
      </c>
      <c r="O3579" s="9" t="s">
        <v>691</v>
      </c>
      <c r="S3579" s="9" t="s">
        <v>158</v>
      </c>
      <c r="T3579" s="10" t="s">
        <v>67</v>
      </c>
      <c r="U3579" s="10">
        <v>3</v>
      </c>
      <c r="V3579" s="10">
        <v>123.54</v>
      </c>
      <c r="W3579" s="10" t="s">
        <v>710</v>
      </c>
      <c r="X3579" s="17">
        <v>45853</v>
      </c>
      <c r="Y3579" s="17">
        <v>45853</v>
      </c>
      <c r="Z3579" s="19" t="s">
        <v>772</v>
      </c>
      <c r="AA3579" s="207">
        <v>41400</v>
      </c>
      <c r="AB3579" s="9">
        <v>60</v>
      </c>
      <c r="AC3579" s="9">
        <v>35</v>
      </c>
      <c r="AD3579" s="17">
        <v>46949</v>
      </c>
      <c r="AE3579" s="54">
        <v>500</v>
      </c>
      <c r="AF3579" s="54"/>
      <c r="AL3579" s="22"/>
      <c r="AM3579" s="22"/>
      <c r="AN3579" s="22"/>
      <c r="AO3579" s="22"/>
      <c r="AP3579" s="22"/>
      <c r="AQ3579" s="22"/>
      <c r="AR3579" s="22"/>
      <c r="AS3579" s="22"/>
      <c r="AT3579" s="22"/>
      <c r="AU3579" s="22"/>
      <c r="AV3579" s="22"/>
      <c r="AW3579" s="9"/>
      <c r="BA3579" s="22"/>
      <c r="BB3579" s="22"/>
      <c r="BD3579" s="9"/>
      <c r="CS3579" s="11">
        <f t="shared" si="247"/>
        <v>0</v>
      </c>
      <c r="CT3579" s="22">
        <f t="shared" si="248"/>
        <v>0</v>
      </c>
      <c r="CU3579" s="22">
        <f t="shared" si="249"/>
        <v>0</v>
      </c>
      <c r="CV3579" s="26">
        <f t="shared" si="250"/>
        <v>500</v>
      </c>
    </row>
    <row r="3580" spans="1:100" x14ac:dyDescent="0.2">
      <c r="A3580" s="9" t="s">
        <v>690</v>
      </c>
      <c r="B3580" s="2">
        <v>15</v>
      </c>
      <c r="C3580" s="3" t="s">
        <v>95</v>
      </c>
      <c r="D3580" s="3" t="s">
        <v>96</v>
      </c>
      <c r="E3580" s="2"/>
      <c r="F3580" s="2"/>
      <c r="G3580" s="2" t="s">
        <v>67</v>
      </c>
      <c r="H3580" s="2">
        <v>3</v>
      </c>
      <c r="I3580" s="20">
        <v>123.54</v>
      </c>
      <c r="J3580" s="20">
        <v>68633</v>
      </c>
      <c r="K3580" s="3">
        <v>0</v>
      </c>
      <c r="L3580" s="3" t="s">
        <v>97</v>
      </c>
      <c r="M3580" s="9" t="s">
        <v>0</v>
      </c>
      <c r="N3580" s="9">
        <v>43247814</v>
      </c>
      <c r="O3580" s="9" t="s">
        <v>691</v>
      </c>
      <c r="S3580" s="9" t="s">
        <v>158</v>
      </c>
      <c r="T3580" s="10" t="s">
        <v>67</v>
      </c>
      <c r="U3580" s="10">
        <v>3</v>
      </c>
      <c r="V3580" s="10">
        <v>123.54</v>
      </c>
      <c r="W3580" s="10" t="s">
        <v>710</v>
      </c>
      <c r="X3580" s="17">
        <v>45853</v>
      </c>
      <c r="Y3580" s="17">
        <v>45853</v>
      </c>
      <c r="Z3580" s="19" t="s">
        <v>772</v>
      </c>
      <c r="AA3580" s="207">
        <v>41400</v>
      </c>
      <c r="AB3580" s="9">
        <v>60</v>
      </c>
      <c r="AC3580" s="9">
        <v>36</v>
      </c>
      <c r="AD3580" s="17">
        <v>46980</v>
      </c>
      <c r="AE3580" s="54">
        <v>500</v>
      </c>
      <c r="AF3580" s="54"/>
      <c r="AL3580" s="22"/>
      <c r="AM3580" s="22"/>
      <c r="AN3580" s="22"/>
      <c r="AO3580" s="22"/>
      <c r="AP3580" s="22"/>
      <c r="AQ3580" s="22"/>
      <c r="AR3580" s="22"/>
      <c r="AS3580" s="22"/>
      <c r="AT3580" s="22"/>
      <c r="AU3580" s="22"/>
      <c r="AV3580" s="22"/>
      <c r="AW3580" s="9"/>
      <c r="BA3580" s="22"/>
      <c r="BB3580" s="22"/>
      <c r="BD3580" s="9"/>
      <c r="CS3580" s="11">
        <f t="shared" si="247"/>
        <v>0</v>
      </c>
      <c r="CT3580" s="22">
        <f t="shared" si="248"/>
        <v>0</v>
      </c>
      <c r="CU3580" s="22">
        <f t="shared" si="249"/>
        <v>0</v>
      </c>
      <c r="CV3580" s="26">
        <f t="shared" si="250"/>
        <v>500</v>
      </c>
    </row>
    <row r="3581" spans="1:100" x14ac:dyDescent="0.2">
      <c r="A3581" s="9" t="s">
        <v>690</v>
      </c>
      <c r="B3581" s="2">
        <v>15</v>
      </c>
      <c r="C3581" s="3" t="s">
        <v>95</v>
      </c>
      <c r="D3581" s="3" t="s">
        <v>96</v>
      </c>
      <c r="E3581" s="2"/>
      <c r="F3581" s="2"/>
      <c r="G3581" s="2" t="s">
        <v>67</v>
      </c>
      <c r="H3581" s="2">
        <v>3</v>
      </c>
      <c r="I3581" s="20">
        <v>123.54</v>
      </c>
      <c r="J3581" s="20">
        <v>68633</v>
      </c>
      <c r="K3581" s="3">
        <v>0</v>
      </c>
      <c r="L3581" s="3" t="s">
        <v>97</v>
      </c>
      <c r="M3581" s="9" t="s">
        <v>0</v>
      </c>
      <c r="N3581" s="9">
        <v>43247814</v>
      </c>
      <c r="O3581" s="9" t="s">
        <v>691</v>
      </c>
      <c r="S3581" s="9" t="s">
        <v>158</v>
      </c>
      <c r="T3581" s="10" t="s">
        <v>67</v>
      </c>
      <c r="U3581" s="10">
        <v>3</v>
      </c>
      <c r="V3581" s="10">
        <v>123.54</v>
      </c>
      <c r="W3581" s="10" t="s">
        <v>710</v>
      </c>
      <c r="X3581" s="17">
        <v>45853</v>
      </c>
      <c r="Y3581" s="17">
        <v>45853</v>
      </c>
      <c r="Z3581" s="19" t="s">
        <v>772</v>
      </c>
      <c r="AA3581" s="207">
        <v>41400</v>
      </c>
      <c r="AB3581" s="9">
        <v>60</v>
      </c>
      <c r="AC3581" s="9">
        <v>37</v>
      </c>
      <c r="AD3581" s="17">
        <v>47011</v>
      </c>
      <c r="AE3581" s="54">
        <v>500</v>
      </c>
      <c r="AF3581" s="54"/>
      <c r="AL3581" s="22"/>
      <c r="AM3581" s="22"/>
      <c r="AN3581" s="22"/>
      <c r="AO3581" s="22"/>
      <c r="AP3581" s="22"/>
      <c r="AQ3581" s="22"/>
      <c r="AR3581" s="22"/>
      <c r="AS3581" s="22"/>
      <c r="AT3581" s="22"/>
      <c r="AU3581" s="22"/>
      <c r="AV3581" s="22"/>
      <c r="AW3581" s="9"/>
      <c r="BA3581" s="22"/>
      <c r="BB3581" s="22"/>
      <c r="BD3581" s="9"/>
      <c r="CS3581" s="11">
        <f t="shared" si="247"/>
        <v>0</v>
      </c>
      <c r="CT3581" s="22">
        <f t="shared" si="248"/>
        <v>0</v>
      </c>
      <c r="CU3581" s="22">
        <f t="shared" si="249"/>
        <v>0</v>
      </c>
      <c r="CV3581" s="26">
        <f t="shared" si="250"/>
        <v>500</v>
      </c>
    </row>
    <row r="3582" spans="1:100" x14ac:dyDescent="0.2">
      <c r="A3582" s="9" t="s">
        <v>690</v>
      </c>
      <c r="B3582" s="2">
        <v>15</v>
      </c>
      <c r="C3582" s="3" t="s">
        <v>95</v>
      </c>
      <c r="D3582" s="3" t="s">
        <v>96</v>
      </c>
      <c r="E3582" s="2"/>
      <c r="F3582" s="2"/>
      <c r="G3582" s="2" t="s">
        <v>67</v>
      </c>
      <c r="H3582" s="2">
        <v>3</v>
      </c>
      <c r="I3582" s="20">
        <v>123.54</v>
      </c>
      <c r="J3582" s="20">
        <v>68633</v>
      </c>
      <c r="K3582" s="3">
        <v>0</v>
      </c>
      <c r="L3582" s="3" t="s">
        <v>97</v>
      </c>
      <c r="M3582" s="9" t="s">
        <v>0</v>
      </c>
      <c r="N3582" s="9">
        <v>43247814</v>
      </c>
      <c r="O3582" s="9" t="s">
        <v>691</v>
      </c>
      <c r="S3582" s="9" t="s">
        <v>158</v>
      </c>
      <c r="T3582" s="10" t="s">
        <v>67</v>
      </c>
      <c r="U3582" s="10">
        <v>3</v>
      </c>
      <c r="V3582" s="10">
        <v>123.54</v>
      </c>
      <c r="W3582" s="10" t="s">
        <v>710</v>
      </c>
      <c r="X3582" s="17">
        <v>45853</v>
      </c>
      <c r="Y3582" s="17">
        <v>45853</v>
      </c>
      <c r="Z3582" s="19" t="s">
        <v>772</v>
      </c>
      <c r="AA3582" s="207">
        <v>41400</v>
      </c>
      <c r="AB3582" s="9">
        <v>60</v>
      </c>
      <c r="AC3582" s="9">
        <v>38</v>
      </c>
      <c r="AD3582" s="17">
        <v>47041</v>
      </c>
      <c r="AE3582" s="54">
        <v>500</v>
      </c>
      <c r="AF3582" s="54"/>
      <c r="AL3582" s="22"/>
      <c r="AM3582" s="22"/>
      <c r="AN3582" s="22"/>
      <c r="AO3582" s="22"/>
      <c r="AP3582" s="22"/>
      <c r="AQ3582" s="22"/>
      <c r="AR3582" s="22"/>
      <c r="AS3582" s="22"/>
      <c r="AT3582" s="22"/>
      <c r="AU3582" s="22"/>
      <c r="AV3582" s="22"/>
      <c r="AW3582" s="9"/>
      <c r="BA3582" s="22"/>
      <c r="BB3582" s="22"/>
      <c r="BD3582" s="9"/>
      <c r="CS3582" s="11">
        <f t="shared" si="247"/>
        <v>0</v>
      </c>
      <c r="CT3582" s="22">
        <f t="shared" si="248"/>
        <v>0</v>
      </c>
      <c r="CU3582" s="22">
        <f t="shared" si="249"/>
        <v>0</v>
      </c>
      <c r="CV3582" s="26">
        <f t="shared" si="250"/>
        <v>500</v>
      </c>
    </row>
    <row r="3583" spans="1:100" x14ac:dyDescent="0.2">
      <c r="A3583" s="9" t="s">
        <v>690</v>
      </c>
      <c r="B3583" s="2">
        <v>15</v>
      </c>
      <c r="C3583" s="3" t="s">
        <v>95</v>
      </c>
      <c r="D3583" s="3" t="s">
        <v>96</v>
      </c>
      <c r="E3583" s="2"/>
      <c r="F3583" s="2"/>
      <c r="G3583" s="2" t="s">
        <v>67</v>
      </c>
      <c r="H3583" s="2">
        <v>3</v>
      </c>
      <c r="I3583" s="20">
        <v>123.54</v>
      </c>
      <c r="J3583" s="20">
        <v>68633</v>
      </c>
      <c r="K3583" s="3">
        <v>0</v>
      </c>
      <c r="L3583" s="3" t="s">
        <v>97</v>
      </c>
      <c r="M3583" s="9" t="s">
        <v>0</v>
      </c>
      <c r="N3583" s="9">
        <v>43247814</v>
      </c>
      <c r="O3583" s="9" t="s">
        <v>691</v>
      </c>
      <c r="S3583" s="9" t="s">
        <v>158</v>
      </c>
      <c r="T3583" s="10" t="s">
        <v>67</v>
      </c>
      <c r="U3583" s="10">
        <v>3</v>
      </c>
      <c r="V3583" s="10">
        <v>123.54</v>
      </c>
      <c r="W3583" s="10" t="s">
        <v>710</v>
      </c>
      <c r="X3583" s="17">
        <v>45853</v>
      </c>
      <c r="Y3583" s="17">
        <v>45853</v>
      </c>
      <c r="Z3583" s="19" t="s">
        <v>772</v>
      </c>
      <c r="AA3583" s="207">
        <v>41400</v>
      </c>
      <c r="AB3583" s="9">
        <v>60</v>
      </c>
      <c r="AC3583" s="9">
        <v>39</v>
      </c>
      <c r="AD3583" s="17">
        <v>47072</v>
      </c>
      <c r="AE3583" s="54">
        <v>500</v>
      </c>
      <c r="AF3583" s="54"/>
      <c r="AL3583" s="22"/>
      <c r="AM3583" s="22"/>
      <c r="AN3583" s="22"/>
      <c r="AO3583" s="22"/>
      <c r="AP3583" s="22"/>
      <c r="AQ3583" s="22"/>
      <c r="AR3583" s="22"/>
      <c r="AS3583" s="22"/>
      <c r="AT3583" s="22"/>
      <c r="AU3583" s="22"/>
      <c r="AV3583" s="22"/>
      <c r="AW3583" s="9"/>
      <c r="BA3583" s="22"/>
      <c r="BB3583" s="22"/>
      <c r="BD3583" s="9"/>
      <c r="CS3583" s="11">
        <f t="shared" si="247"/>
        <v>0</v>
      </c>
      <c r="CT3583" s="22">
        <f t="shared" si="248"/>
        <v>0</v>
      </c>
      <c r="CU3583" s="22">
        <f t="shared" si="249"/>
        <v>0</v>
      </c>
      <c r="CV3583" s="26">
        <f t="shared" si="250"/>
        <v>500</v>
      </c>
    </row>
    <row r="3584" spans="1:100" x14ac:dyDescent="0.2">
      <c r="A3584" s="9" t="s">
        <v>690</v>
      </c>
      <c r="B3584" s="2">
        <v>15</v>
      </c>
      <c r="C3584" s="3" t="s">
        <v>95</v>
      </c>
      <c r="D3584" s="3" t="s">
        <v>96</v>
      </c>
      <c r="E3584" s="2"/>
      <c r="F3584" s="2"/>
      <c r="G3584" s="2" t="s">
        <v>67</v>
      </c>
      <c r="H3584" s="2">
        <v>3</v>
      </c>
      <c r="I3584" s="20">
        <v>123.54</v>
      </c>
      <c r="J3584" s="20">
        <v>68633</v>
      </c>
      <c r="K3584" s="3">
        <v>0</v>
      </c>
      <c r="L3584" s="3" t="s">
        <v>97</v>
      </c>
      <c r="M3584" s="9" t="s">
        <v>0</v>
      </c>
      <c r="N3584" s="9">
        <v>43247814</v>
      </c>
      <c r="O3584" s="9" t="s">
        <v>691</v>
      </c>
      <c r="S3584" s="9" t="s">
        <v>158</v>
      </c>
      <c r="T3584" s="10" t="s">
        <v>67</v>
      </c>
      <c r="U3584" s="10">
        <v>3</v>
      </c>
      <c r="V3584" s="10">
        <v>123.54</v>
      </c>
      <c r="W3584" s="10" t="s">
        <v>710</v>
      </c>
      <c r="X3584" s="17">
        <v>45853</v>
      </c>
      <c r="Y3584" s="17">
        <v>45853</v>
      </c>
      <c r="Z3584" s="19" t="s">
        <v>772</v>
      </c>
      <c r="AA3584" s="207">
        <v>41400</v>
      </c>
      <c r="AB3584" s="9">
        <v>60</v>
      </c>
      <c r="AC3584" s="9">
        <v>40</v>
      </c>
      <c r="AD3584" s="17">
        <v>47102</v>
      </c>
      <c r="AE3584" s="54">
        <v>500</v>
      </c>
      <c r="AF3584" s="54"/>
      <c r="AL3584" s="22"/>
      <c r="AM3584" s="22"/>
      <c r="AN3584" s="22"/>
      <c r="AO3584" s="22"/>
      <c r="AP3584" s="22"/>
      <c r="AQ3584" s="22"/>
      <c r="AR3584" s="22"/>
      <c r="AS3584" s="22"/>
      <c r="AT3584" s="22"/>
      <c r="AU3584" s="22"/>
      <c r="AV3584" s="22"/>
      <c r="AW3584" s="9"/>
      <c r="BA3584" s="22"/>
      <c r="BB3584" s="22"/>
      <c r="BD3584" s="9"/>
      <c r="CS3584" s="11">
        <f t="shared" si="247"/>
        <v>0</v>
      </c>
      <c r="CT3584" s="22">
        <f t="shared" si="248"/>
        <v>0</v>
      </c>
      <c r="CU3584" s="22">
        <f t="shared" si="249"/>
        <v>0</v>
      </c>
      <c r="CV3584" s="26">
        <f t="shared" si="250"/>
        <v>500</v>
      </c>
    </row>
    <row r="3585" spans="1:100" x14ac:dyDescent="0.2">
      <c r="A3585" s="9" t="s">
        <v>690</v>
      </c>
      <c r="B3585" s="2">
        <v>15</v>
      </c>
      <c r="C3585" s="3" t="s">
        <v>95</v>
      </c>
      <c r="D3585" s="3" t="s">
        <v>96</v>
      </c>
      <c r="E3585" s="2"/>
      <c r="F3585" s="2"/>
      <c r="G3585" s="2" t="s">
        <v>67</v>
      </c>
      <c r="H3585" s="2">
        <v>3</v>
      </c>
      <c r="I3585" s="20">
        <v>123.54</v>
      </c>
      <c r="J3585" s="20">
        <v>68633</v>
      </c>
      <c r="K3585" s="3">
        <v>0</v>
      </c>
      <c r="L3585" s="3" t="s">
        <v>97</v>
      </c>
      <c r="M3585" s="9" t="s">
        <v>0</v>
      </c>
      <c r="N3585" s="9">
        <v>43247814</v>
      </c>
      <c r="O3585" s="9" t="s">
        <v>691</v>
      </c>
      <c r="S3585" s="9" t="s">
        <v>158</v>
      </c>
      <c r="T3585" s="10" t="s">
        <v>67</v>
      </c>
      <c r="U3585" s="10">
        <v>3</v>
      </c>
      <c r="V3585" s="10">
        <v>123.54</v>
      </c>
      <c r="W3585" s="10" t="s">
        <v>710</v>
      </c>
      <c r="X3585" s="17">
        <v>45853</v>
      </c>
      <c r="Y3585" s="17">
        <v>45853</v>
      </c>
      <c r="Z3585" s="19" t="s">
        <v>772</v>
      </c>
      <c r="AA3585" s="207">
        <v>41400</v>
      </c>
      <c r="AB3585" s="9">
        <v>60</v>
      </c>
      <c r="AC3585" s="9">
        <v>41</v>
      </c>
      <c r="AD3585" s="17">
        <v>47133</v>
      </c>
      <c r="AE3585" s="54">
        <v>500</v>
      </c>
      <c r="AF3585" s="54"/>
      <c r="AL3585" s="22"/>
      <c r="AM3585" s="22"/>
      <c r="AN3585" s="22"/>
      <c r="AO3585" s="22"/>
      <c r="AP3585" s="22"/>
      <c r="AQ3585" s="22"/>
      <c r="AR3585" s="22"/>
      <c r="AS3585" s="22"/>
      <c r="AT3585" s="22"/>
      <c r="AU3585" s="22"/>
      <c r="AV3585" s="22"/>
      <c r="AW3585" s="9"/>
      <c r="BA3585" s="22"/>
      <c r="BB3585" s="22"/>
      <c r="BD3585" s="9"/>
      <c r="CS3585" s="11">
        <f t="shared" si="247"/>
        <v>0</v>
      </c>
      <c r="CT3585" s="22">
        <f t="shared" si="248"/>
        <v>0</v>
      </c>
      <c r="CU3585" s="22">
        <f t="shared" si="249"/>
        <v>0</v>
      </c>
      <c r="CV3585" s="26">
        <f t="shared" si="250"/>
        <v>500</v>
      </c>
    </row>
    <row r="3586" spans="1:100" x14ac:dyDescent="0.2">
      <c r="A3586" s="9" t="s">
        <v>690</v>
      </c>
      <c r="B3586" s="2">
        <v>15</v>
      </c>
      <c r="C3586" s="3" t="s">
        <v>95</v>
      </c>
      <c r="D3586" s="3" t="s">
        <v>96</v>
      </c>
      <c r="E3586" s="2"/>
      <c r="F3586" s="2"/>
      <c r="G3586" s="2" t="s">
        <v>67</v>
      </c>
      <c r="H3586" s="2">
        <v>3</v>
      </c>
      <c r="I3586" s="20">
        <v>123.54</v>
      </c>
      <c r="J3586" s="20">
        <v>68633</v>
      </c>
      <c r="K3586" s="3">
        <v>0</v>
      </c>
      <c r="L3586" s="3" t="s">
        <v>97</v>
      </c>
      <c r="M3586" s="9" t="s">
        <v>0</v>
      </c>
      <c r="N3586" s="9">
        <v>43247814</v>
      </c>
      <c r="O3586" s="9" t="s">
        <v>691</v>
      </c>
      <c r="S3586" s="9" t="s">
        <v>158</v>
      </c>
      <c r="T3586" s="10" t="s">
        <v>67</v>
      </c>
      <c r="U3586" s="10">
        <v>3</v>
      </c>
      <c r="V3586" s="10">
        <v>123.54</v>
      </c>
      <c r="W3586" s="10" t="s">
        <v>710</v>
      </c>
      <c r="X3586" s="17">
        <v>45853</v>
      </c>
      <c r="Y3586" s="17">
        <v>45853</v>
      </c>
      <c r="Z3586" s="19" t="s">
        <v>772</v>
      </c>
      <c r="AA3586" s="207">
        <v>41400</v>
      </c>
      <c r="AB3586" s="9">
        <v>60</v>
      </c>
      <c r="AC3586" s="9">
        <v>42</v>
      </c>
      <c r="AD3586" s="17">
        <v>47164</v>
      </c>
      <c r="AE3586" s="54">
        <v>500</v>
      </c>
      <c r="AF3586" s="54"/>
      <c r="AL3586" s="22"/>
      <c r="AM3586" s="22"/>
      <c r="AN3586" s="22"/>
      <c r="AO3586" s="22"/>
      <c r="AP3586" s="22"/>
      <c r="AQ3586" s="22"/>
      <c r="AR3586" s="22"/>
      <c r="AS3586" s="22"/>
      <c r="AT3586" s="22"/>
      <c r="AU3586" s="22"/>
      <c r="AV3586" s="22"/>
      <c r="AW3586" s="9"/>
      <c r="BA3586" s="22"/>
      <c r="BB3586" s="22"/>
      <c r="BD3586" s="9"/>
      <c r="CS3586" s="11">
        <f t="shared" si="247"/>
        <v>0</v>
      </c>
      <c r="CT3586" s="22">
        <f t="shared" si="248"/>
        <v>0</v>
      </c>
      <c r="CU3586" s="22">
        <f t="shared" si="249"/>
        <v>0</v>
      </c>
      <c r="CV3586" s="26">
        <f t="shared" si="250"/>
        <v>500</v>
      </c>
    </row>
    <row r="3587" spans="1:100" x14ac:dyDescent="0.2">
      <c r="A3587" s="9" t="s">
        <v>690</v>
      </c>
      <c r="B3587" s="2">
        <v>15</v>
      </c>
      <c r="C3587" s="3" t="s">
        <v>95</v>
      </c>
      <c r="D3587" s="3" t="s">
        <v>96</v>
      </c>
      <c r="E3587" s="2"/>
      <c r="F3587" s="2"/>
      <c r="G3587" s="2" t="s">
        <v>67</v>
      </c>
      <c r="H3587" s="2">
        <v>3</v>
      </c>
      <c r="I3587" s="20">
        <v>123.54</v>
      </c>
      <c r="J3587" s="20">
        <v>68633</v>
      </c>
      <c r="K3587" s="3">
        <v>0</v>
      </c>
      <c r="L3587" s="3" t="s">
        <v>97</v>
      </c>
      <c r="M3587" s="9" t="s">
        <v>0</v>
      </c>
      <c r="N3587" s="9">
        <v>43247814</v>
      </c>
      <c r="O3587" s="9" t="s">
        <v>691</v>
      </c>
      <c r="S3587" s="9" t="s">
        <v>158</v>
      </c>
      <c r="T3587" s="10" t="s">
        <v>67</v>
      </c>
      <c r="U3587" s="10">
        <v>3</v>
      </c>
      <c r="V3587" s="10">
        <v>123.54</v>
      </c>
      <c r="W3587" s="10" t="s">
        <v>710</v>
      </c>
      <c r="X3587" s="17">
        <v>45853</v>
      </c>
      <c r="Y3587" s="17">
        <v>45853</v>
      </c>
      <c r="Z3587" s="19" t="s">
        <v>772</v>
      </c>
      <c r="AA3587" s="207">
        <v>41400</v>
      </c>
      <c r="AB3587" s="9">
        <v>60</v>
      </c>
      <c r="AC3587" s="9">
        <v>43</v>
      </c>
      <c r="AD3587" s="17">
        <v>47192</v>
      </c>
      <c r="AE3587" s="54">
        <v>500</v>
      </c>
      <c r="AF3587" s="54"/>
      <c r="AL3587" s="22"/>
      <c r="AM3587" s="22"/>
      <c r="AN3587" s="22"/>
      <c r="AO3587" s="22"/>
      <c r="AP3587" s="22"/>
      <c r="AQ3587" s="22"/>
      <c r="AR3587" s="22"/>
      <c r="AS3587" s="22"/>
      <c r="AT3587" s="22"/>
      <c r="AU3587" s="22"/>
      <c r="AV3587" s="22"/>
      <c r="AW3587" s="9"/>
      <c r="BA3587" s="22"/>
      <c r="BB3587" s="22"/>
      <c r="BD3587" s="9"/>
      <c r="CS3587" s="11">
        <f t="shared" si="247"/>
        <v>0</v>
      </c>
      <c r="CT3587" s="22">
        <f t="shared" si="248"/>
        <v>0</v>
      </c>
      <c r="CU3587" s="22">
        <f t="shared" si="249"/>
        <v>0</v>
      </c>
      <c r="CV3587" s="26">
        <f t="shared" si="250"/>
        <v>500</v>
      </c>
    </row>
    <row r="3588" spans="1:100" x14ac:dyDescent="0.2">
      <c r="A3588" s="9" t="s">
        <v>690</v>
      </c>
      <c r="B3588" s="2">
        <v>15</v>
      </c>
      <c r="C3588" s="3" t="s">
        <v>95</v>
      </c>
      <c r="D3588" s="3" t="s">
        <v>96</v>
      </c>
      <c r="E3588" s="2"/>
      <c r="F3588" s="2"/>
      <c r="G3588" s="2" t="s">
        <v>67</v>
      </c>
      <c r="H3588" s="2">
        <v>3</v>
      </c>
      <c r="I3588" s="20">
        <v>123.54</v>
      </c>
      <c r="J3588" s="20">
        <v>68633</v>
      </c>
      <c r="K3588" s="3">
        <v>0</v>
      </c>
      <c r="L3588" s="3" t="s">
        <v>97</v>
      </c>
      <c r="M3588" s="9" t="s">
        <v>0</v>
      </c>
      <c r="N3588" s="9">
        <v>43247814</v>
      </c>
      <c r="O3588" s="9" t="s">
        <v>691</v>
      </c>
      <c r="S3588" s="9" t="s">
        <v>158</v>
      </c>
      <c r="T3588" s="10" t="s">
        <v>67</v>
      </c>
      <c r="U3588" s="10">
        <v>3</v>
      </c>
      <c r="V3588" s="10">
        <v>123.54</v>
      </c>
      <c r="W3588" s="10" t="s">
        <v>710</v>
      </c>
      <c r="X3588" s="17">
        <v>45853</v>
      </c>
      <c r="Y3588" s="17">
        <v>45853</v>
      </c>
      <c r="Z3588" s="19" t="s">
        <v>772</v>
      </c>
      <c r="AA3588" s="207">
        <v>41400</v>
      </c>
      <c r="AB3588" s="9">
        <v>60</v>
      </c>
      <c r="AC3588" s="9">
        <v>44</v>
      </c>
      <c r="AD3588" s="17">
        <v>47223</v>
      </c>
      <c r="AE3588" s="54">
        <v>500</v>
      </c>
      <c r="AF3588" s="54"/>
      <c r="AL3588" s="22"/>
      <c r="AM3588" s="22"/>
      <c r="AN3588" s="22"/>
      <c r="AO3588" s="22"/>
      <c r="AP3588" s="22"/>
      <c r="AQ3588" s="22"/>
      <c r="AR3588" s="22"/>
      <c r="AS3588" s="22"/>
      <c r="AT3588" s="22"/>
      <c r="AU3588" s="22"/>
      <c r="AV3588" s="22"/>
      <c r="AW3588" s="9"/>
      <c r="BA3588" s="22"/>
      <c r="BB3588" s="22"/>
      <c r="BD3588" s="9"/>
      <c r="CS3588" s="11">
        <f t="shared" si="247"/>
        <v>0</v>
      </c>
      <c r="CT3588" s="22">
        <f t="shared" si="248"/>
        <v>0</v>
      </c>
      <c r="CU3588" s="22">
        <f t="shared" si="249"/>
        <v>0</v>
      </c>
      <c r="CV3588" s="26">
        <f t="shared" si="250"/>
        <v>500</v>
      </c>
    </row>
    <row r="3589" spans="1:100" x14ac:dyDescent="0.2">
      <c r="A3589" s="9" t="s">
        <v>690</v>
      </c>
      <c r="B3589" s="2">
        <v>15</v>
      </c>
      <c r="C3589" s="3" t="s">
        <v>95</v>
      </c>
      <c r="D3589" s="3" t="s">
        <v>96</v>
      </c>
      <c r="E3589" s="2"/>
      <c r="F3589" s="2"/>
      <c r="G3589" s="2" t="s">
        <v>67</v>
      </c>
      <c r="H3589" s="2">
        <v>3</v>
      </c>
      <c r="I3589" s="20">
        <v>123.54</v>
      </c>
      <c r="J3589" s="20">
        <v>68633</v>
      </c>
      <c r="K3589" s="3">
        <v>0</v>
      </c>
      <c r="L3589" s="3" t="s">
        <v>97</v>
      </c>
      <c r="M3589" s="9" t="s">
        <v>0</v>
      </c>
      <c r="N3589" s="9">
        <v>43247814</v>
      </c>
      <c r="O3589" s="9" t="s">
        <v>691</v>
      </c>
      <c r="S3589" s="9" t="s">
        <v>158</v>
      </c>
      <c r="T3589" s="10" t="s">
        <v>67</v>
      </c>
      <c r="U3589" s="10">
        <v>3</v>
      </c>
      <c r="V3589" s="10">
        <v>123.54</v>
      </c>
      <c r="W3589" s="10" t="s">
        <v>710</v>
      </c>
      <c r="X3589" s="17">
        <v>45853</v>
      </c>
      <c r="Y3589" s="17">
        <v>45853</v>
      </c>
      <c r="Z3589" s="19" t="s">
        <v>772</v>
      </c>
      <c r="AA3589" s="207">
        <v>41400</v>
      </c>
      <c r="AB3589" s="9">
        <v>60</v>
      </c>
      <c r="AC3589" s="9">
        <v>45</v>
      </c>
      <c r="AD3589" s="17">
        <v>47253</v>
      </c>
      <c r="AE3589" s="54">
        <v>500</v>
      </c>
      <c r="AF3589" s="54"/>
      <c r="AL3589" s="22"/>
      <c r="AM3589" s="22"/>
      <c r="AN3589" s="22"/>
      <c r="AO3589" s="22"/>
      <c r="AP3589" s="22"/>
      <c r="AQ3589" s="22"/>
      <c r="AR3589" s="22"/>
      <c r="AS3589" s="22"/>
      <c r="AT3589" s="22"/>
      <c r="AU3589" s="22"/>
      <c r="AV3589" s="22"/>
      <c r="AW3589" s="9"/>
      <c r="BA3589" s="22"/>
      <c r="BB3589" s="22"/>
      <c r="BD3589" s="9"/>
      <c r="CS3589" s="11">
        <f t="shared" si="247"/>
        <v>0</v>
      </c>
      <c r="CT3589" s="22">
        <f t="shared" si="248"/>
        <v>0</v>
      </c>
      <c r="CU3589" s="22">
        <f t="shared" si="249"/>
        <v>0</v>
      </c>
      <c r="CV3589" s="26">
        <f t="shared" si="250"/>
        <v>500</v>
      </c>
    </row>
    <row r="3590" spans="1:100" x14ac:dyDescent="0.2">
      <c r="A3590" s="9" t="s">
        <v>690</v>
      </c>
      <c r="B3590" s="2">
        <v>15</v>
      </c>
      <c r="C3590" s="3" t="s">
        <v>95</v>
      </c>
      <c r="D3590" s="3" t="s">
        <v>96</v>
      </c>
      <c r="E3590" s="2"/>
      <c r="F3590" s="2"/>
      <c r="G3590" s="2" t="s">
        <v>67</v>
      </c>
      <c r="H3590" s="2">
        <v>3</v>
      </c>
      <c r="I3590" s="20">
        <v>123.54</v>
      </c>
      <c r="J3590" s="20">
        <v>68633</v>
      </c>
      <c r="K3590" s="3">
        <v>0</v>
      </c>
      <c r="L3590" s="3" t="s">
        <v>97</v>
      </c>
      <c r="M3590" s="9" t="s">
        <v>0</v>
      </c>
      <c r="N3590" s="9">
        <v>43247814</v>
      </c>
      <c r="O3590" s="9" t="s">
        <v>691</v>
      </c>
      <c r="S3590" s="9" t="s">
        <v>158</v>
      </c>
      <c r="T3590" s="10" t="s">
        <v>67</v>
      </c>
      <c r="U3590" s="10">
        <v>3</v>
      </c>
      <c r="V3590" s="10">
        <v>123.54</v>
      </c>
      <c r="W3590" s="10" t="s">
        <v>710</v>
      </c>
      <c r="X3590" s="17">
        <v>45853</v>
      </c>
      <c r="Y3590" s="17">
        <v>45853</v>
      </c>
      <c r="Z3590" s="19" t="s">
        <v>772</v>
      </c>
      <c r="AA3590" s="207">
        <v>41400</v>
      </c>
      <c r="AB3590" s="9">
        <v>60</v>
      </c>
      <c r="AC3590" s="9">
        <v>46</v>
      </c>
      <c r="AD3590" s="17">
        <v>47284</v>
      </c>
      <c r="AE3590" s="54">
        <v>500</v>
      </c>
      <c r="AF3590" s="54"/>
      <c r="AL3590" s="22"/>
      <c r="AM3590" s="22"/>
      <c r="AN3590" s="22"/>
      <c r="AO3590" s="22"/>
      <c r="AP3590" s="22"/>
      <c r="AQ3590" s="22"/>
      <c r="AR3590" s="22"/>
      <c r="AS3590" s="22"/>
      <c r="AT3590" s="22"/>
      <c r="AU3590" s="22"/>
      <c r="AV3590" s="22"/>
      <c r="AW3590" s="9"/>
      <c r="BA3590" s="22"/>
      <c r="BB3590" s="22"/>
      <c r="BD3590" s="9"/>
      <c r="CS3590" s="11">
        <f t="shared" si="247"/>
        <v>0</v>
      </c>
      <c r="CT3590" s="22">
        <f t="shared" si="248"/>
        <v>0</v>
      </c>
      <c r="CU3590" s="22">
        <f t="shared" si="249"/>
        <v>0</v>
      </c>
      <c r="CV3590" s="26">
        <f t="shared" si="250"/>
        <v>500</v>
      </c>
    </row>
    <row r="3591" spans="1:100" x14ac:dyDescent="0.2">
      <c r="A3591" s="9" t="s">
        <v>690</v>
      </c>
      <c r="B3591" s="2">
        <v>15</v>
      </c>
      <c r="C3591" s="3" t="s">
        <v>95</v>
      </c>
      <c r="D3591" s="3" t="s">
        <v>96</v>
      </c>
      <c r="E3591" s="2"/>
      <c r="F3591" s="2"/>
      <c r="G3591" s="2" t="s">
        <v>67</v>
      </c>
      <c r="H3591" s="2">
        <v>3</v>
      </c>
      <c r="I3591" s="20">
        <v>123.54</v>
      </c>
      <c r="J3591" s="20">
        <v>68633</v>
      </c>
      <c r="K3591" s="3">
        <v>0</v>
      </c>
      <c r="L3591" s="3" t="s">
        <v>97</v>
      </c>
      <c r="M3591" s="9" t="s">
        <v>0</v>
      </c>
      <c r="N3591" s="9">
        <v>43247814</v>
      </c>
      <c r="O3591" s="9" t="s">
        <v>691</v>
      </c>
      <c r="S3591" s="9" t="s">
        <v>158</v>
      </c>
      <c r="T3591" s="10" t="s">
        <v>67</v>
      </c>
      <c r="U3591" s="10">
        <v>3</v>
      </c>
      <c r="V3591" s="10">
        <v>123.54</v>
      </c>
      <c r="W3591" s="10" t="s">
        <v>710</v>
      </c>
      <c r="X3591" s="17">
        <v>45853</v>
      </c>
      <c r="Y3591" s="17">
        <v>45853</v>
      </c>
      <c r="Z3591" s="19" t="s">
        <v>772</v>
      </c>
      <c r="AA3591" s="207">
        <v>41400</v>
      </c>
      <c r="AB3591" s="9">
        <v>60</v>
      </c>
      <c r="AC3591" s="9">
        <v>47</v>
      </c>
      <c r="AD3591" s="17">
        <v>47314</v>
      </c>
      <c r="AE3591" s="54">
        <v>500</v>
      </c>
      <c r="AF3591" s="54"/>
      <c r="AL3591" s="22"/>
      <c r="AM3591" s="22"/>
      <c r="AN3591" s="22"/>
      <c r="AO3591" s="22"/>
      <c r="AP3591" s="22"/>
      <c r="AQ3591" s="22"/>
      <c r="AR3591" s="22"/>
      <c r="AS3591" s="22"/>
      <c r="AT3591" s="22"/>
      <c r="AU3591" s="22"/>
      <c r="AV3591" s="22"/>
      <c r="AW3591" s="9"/>
      <c r="BA3591" s="22"/>
      <c r="BB3591" s="22"/>
      <c r="BD3591" s="9"/>
      <c r="CS3591" s="11">
        <f t="shared" si="247"/>
        <v>0</v>
      </c>
      <c r="CT3591" s="22">
        <f t="shared" si="248"/>
        <v>0</v>
      </c>
      <c r="CU3591" s="22">
        <f t="shared" si="249"/>
        <v>0</v>
      </c>
      <c r="CV3591" s="26">
        <f t="shared" si="250"/>
        <v>500</v>
      </c>
    </row>
    <row r="3592" spans="1:100" x14ac:dyDescent="0.2">
      <c r="A3592" s="9" t="s">
        <v>690</v>
      </c>
      <c r="B3592" s="2">
        <v>15</v>
      </c>
      <c r="C3592" s="3" t="s">
        <v>95</v>
      </c>
      <c r="D3592" s="3" t="s">
        <v>96</v>
      </c>
      <c r="E3592" s="2"/>
      <c r="F3592" s="2"/>
      <c r="G3592" s="2" t="s">
        <v>67</v>
      </c>
      <c r="H3592" s="2">
        <v>3</v>
      </c>
      <c r="I3592" s="20">
        <v>123.54</v>
      </c>
      <c r="J3592" s="20">
        <v>68633</v>
      </c>
      <c r="K3592" s="3">
        <v>0</v>
      </c>
      <c r="L3592" s="3" t="s">
        <v>97</v>
      </c>
      <c r="M3592" s="9" t="s">
        <v>0</v>
      </c>
      <c r="N3592" s="9">
        <v>43247814</v>
      </c>
      <c r="O3592" s="9" t="s">
        <v>691</v>
      </c>
      <c r="S3592" s="9" t="s">
        <v>158</v>
      </c>
      <c r="T3592" s="10" t="s">
        <v>67</v>
      </c>
      <c r="U3592" s="10">
        <v>3</v>
      </c>
      <c r="V3592" s="10">
        <v>123.54</v>
      </c>
      <c r="W3592" s="10" t="s">
        <v>710</v>
      </c>
      <c r="X3592" s="17">
        <v>45853</v>
      </c>
      <c r="Y3592" s="17">
        <v>45853</v>
      </c>
      <c r="Z3592" s="19" t="s">
        <v>772</v>
      </c>
      <c r="AA3592" s="207">
        <v>41400</v>
      </c>
      <c r="AB3592" s="9">
        <v>60</v>
      </c>
      <c r="AC3592" s="9">
        <v>48</v>
      </c>
      <c r="AD3592" s="17">
        <v>47345</v>
      </c>
      <c r="AE3592" s="54">
        <v>500</v>
      </c>
      <c r="AF3592" s="54"/>
      <c r="AL3592" s="22"/>
      <c r="AM3592" s="22"/>
      <c r="AN3592" s="22"/>
      <c r="AO3592" s="22"/>
      <c r="AP3592" s="22"/>
      <c r="AQ3592" s="22"/>
      <c r="AR3592" s="22"/>
      <c r="AS3592" s="22"/>
      <c r="AT3592" s="22"/>
      <c r="AU3592" s="22"/>
      <c r="AV3592" s="22"/>
      <c r="AW3592" s="9"/>
      <c r="BA3592" s="22"/>
      <c r="BB3592" s="22"/>
      <c r="BD3592" s="9"/>
      <c r="CS3592" s="11">
        <f t="shared" si="247"/>
        <v>0</v>
      </c>
      <c r="CT3592" s="22">
        <f t="shared" si="248"/>
        <v>0</v>
      </c>
      <c r="CU3592" s="22">
        <f t="shared" si="249"/>
        <v>0</v>
      </c>
      <c r="CV3592" s="26">
        <f t="shared" si="250"/>
        <v>500</v>
      </c>
    </row>
    <row r="3593" spans="1:100" x14ac:dyDescent="0.2">
      <c r="A3593" s="9" t="s">
        <v>690</v>
      </c>
      <c r="B3593" s="2">
        <v>15</v>
      </c>
      <c r="C3593" s="3" t="s">
        <v>95</v>
      </c>
      <c r="D3593" s="3" t="s">
        <v>96</v>
      </c>
      <c r="E3593" s="2"/>
      <c r="F3593" s="2"/>
      <c r="G3593" s="2" t="s">
        <v>67</v>
      </c>
      <c r="H3593" s="2">
        <v>3</v>
      </c>
      <c r="I3593" s="20">
        <v>123.54</v>
      </c>
      <c r="J3593" s="20">
        <v>68633</v>
      </c>
      <c r="K3593" s="3">
        <v>0</v>
      </c>
      <c r="L3593" s="3" t="s">
        <v>97</v>
      </c>
      <c r="M3593" s="9" t="s">
        <v>0</v>
      </c>
      <c r="N3593" s="9">
        <v>43247814</v>
      </c>
      <c r="O3593" s="9" t="s">
        <v>691</v>
      </c>
      <c r="S3593" s="9" t="s">
        <v>158</v>
      </c>
      <c r="T3593" s="10" t="s">
        <v>67</v>
      </c>
      <c r="U3593" s="10">
        <v>3</v>
      </c>
      <c r="V3593" s="10">
        <v>123.54</v>
      </c>
      <c r="W3593" s="10" t="s">
        <v>710</v>
      </c>
      <c r="X3593" s="17">
        <v>45853</v>
      </c>
      <c r="Y3593" s="17">
        <v>45853</v>
      </c>
      <c r="Z3593" s="19" t="s">
        <v>772</v>
      </c>
      <c r="AA3593" s="207">
        <v>41400</v>
      </c>
      <c r="AB3593" s="9">
        <v>60</v>
      </c>
      <c r="AC3593" s="9">
        <v>49</v>
      </c>
      <c r="AD3593" s="17">
        <v>47376</v>
      </c>
      <c r="AE3593" s="54">
        <v>500</v>
      </c>
      <c r="AF3593" s="54"/>
      <c r="AL3593" s="22"/>
      <c r="AM3593" s="22"/>
      <c r="AN3593" s="22"/>
      <c r="AO3593" s="22"/>
      <c r="AP3593" s="22"/>
      <c r="AQ3593" s="22"/>
      <c r="AR3593" s="22"/>
      <c r="AS3593" s="22"/>
      <c r="AT3593" s="22"/>
      <c r="AU3593" s="22"/>
      <c r="AV3593" s="22"/>
      <c r="AW3593" s="9"/>
      <c r="BA3593" s="22"/>
      <c r="BB3593" s="22"/>
      <c r="BD3593" s="9"/>
      <c r="CS3593" s="11">
        <f t="shared" si="247"/>
        <v>0</v>
      </c>
      <c r="CT3593" s="22">
        <f t="shared" si="248"/>
        <v>0</v>
      </c>
      <c r="CU3593" s="22">
        <f t="shared" si="249"/>
        <v>0</v>
      </c>
      <c r="CV3593" s="26">
        <f t="shared" si="250"/>
        <v>500</v>
      </c>
    </row>
    <row r="3594" spans="1:100" x14ac:dyDescent="0.2">
      <c r="A3594" s="9" t="s">
        <v>690</v>
      </c>
      <c r="B3594" s="2">
        <v>15</v>
      </c>
      <c r="C3594" s="3" t="s">
        <v>95</v>
      </c>
      <c r="D3594" s="3" t="s">
        <v>96</v>
      </c>
      <c r="E3594" s="2"/>
      <c r="F3594" s="2"/>
      <c r="G3594" s="2" t="s">
        <v>67</v>
      </c>
      <c r="H3594" s="2">
        <v>3</v>
      </c>
      <c r="I3594" s="20">
        <v>123.54</v>
      </c>
      <c r="J3594" s="20">
        <v>68633</v>
      </c>
      <c r="K3594" s="3">
        <v>0</v>
      </c>
      <c r="L3594" s="3" t="s">
        <v>97</v>
      </c>
      <c r="M3594" s="9" t="s">
        <v>0</v>
      </c>
      <c r="N3594" s="9">
        <v>43247814</v>
      </c>
      <c r="O3594" s="9" t="s">
        <v>691</v>
      </c>
      <c r="S3594" s="9" t="s">
        <v>158</v>
      </c>
      <c r="T3594" s="10" t="s">
        <v>67</v>
      </c>
      <c r="U3594" s="10">
        <v>3</v>
      </c>
      <c r="V3594" s="10">
        <v>123.54</v>
      </c>
      <c r="W3594" s="10" t="s">
        <v>710</v>
      </c>
      <c r="X3594" s="17">
        <v>45853</v>
      </c>
      <c r="Y3594" s="17">
        <v>45853</v>
      </c>
      <c r="Z3594" s="19" t="s">
        <v>772</v>
      </c>
      <c r="AA3594" s="207">
        <v>41400</v>
      </c>
      <c r="AB3594" s="9">
        <v>60</v>
      </c>
      <c r="AC3594" s="9">
        <v>50</v>
      </c>
      <c r="AD3594" s="17">
        <v>47406</v>
      </c>
      <c r="AE3594" s="54">
        <v>500</v>
      </c>
      <c r="AF3594" s="54"/>
      <c r="AL3594" s="22"/>
      <c r="AM3594" s="22"/>
      <c r="AN3594" s="22"/>
      <c r="AO3594" s="22"/>
      <c r="AP3594" s="22"/>
      <c r="AQ3594" s="22"/>
      <c r="AR3594" s="22"/>
      <c r="AS3594" s="22"/>
      <c r="AT3594" s="22"/>
      <c r="AU3594" s="22"/>
      <c r="AV3594" s="22"/>
      <c r="AW3594" s="9"/>
      <c r="BA3594" s="22"/>
      <c r="BB3594" s="22"/>
      <c r="BD3594" s="9"/>
      <c r="CS3594" s="11">
        <f t="shared" si="247"/>
        <v>0</v>
      </c>
      <c r="CT3594" s="22">
        <f t="shared" si="248"/>
        <v>0</v>
      </c>
      <c r="CU3594" s="22">
        <f t="shared" si="249"/>
        <v>0</v>
      </c>
      <c r="CV3594" s="26">
        <f t="shared" si="250"/>
        <v>500</v>
      </c>
    </row>
    <row r="3595" spans="1:100" x14ac:dyDescent="0.2">
      <c r="A3595" s="9" t="s">
        <v>690</v>
      </c>
      <c r="B3595" s="2">
        <v>15</v>
      </c>
      <c r="C3595" s="3" t="s">
        <v>95</v>
      </c>
      <c r="D3595" s="3" t="s">
        <v>96</v>
      </c>
      <c r="E3595" s="2"/>
      <c r="F3595" s="2"/>
      <c r="G3595" s="2" t="s">
        <v>67</v>
      </c>
      <c r="H3595" s="2">
        <v>3</v>
      </c>
      <c r="I3595" s="20">
        <v>123.54</v>
      </c>
      <c r="J3595" s="20">
        <v>68633</v>
      </c>
      <c r="K3595" s="3">
        <v>0</v>
      </c>
      <c r="L3595" s="3" t="s">
        <v>97</v>
      </c>
      <c r="M3595" s="9" t="s">
        <v>0</v>
      </c>
      <c r="N3595" s="9">
        <v>43247814</v>
      </c>
      <c r="O3595" s="9" t="s">
        <v>691</v>
      </c>
      <c r="S3595" s="9" t="s">
        <v>158</v>
      </c>
      <c r="T3595" s="10" t="s">
        <v>67</v>
      </c>
      <c r="U3595" s="10">
        <v>3</v>
      </c>
      <c r="V3595" s="10">
        <v>123.54</v>
      </c>
      <c r="W3595" s="10" t="s">
        <v>710</v>
      </c>
      <c r="X3595" s="17">
        <v>45853</v>
      </c>
      <c r="Y3595" s="17">
        <v>45853</v>
      </c>
      <c r="Z3595" s="19" t="s">
        <v>772</v>
      </c>
      <c r="AA3595" s="207">
        <v>41400</v>
      </c>
      <c r="AB3595" s="9">
        <v>60</v>
      </c>
      <c r="AC3595" s="9">
        <v>51</v>
      </c>
      <c r="AD3595" s="17">
        <v>47437</v>
      </c>
      <c r="AE3595" s="54">
        <v>500</v>
      </c>
      <c r="AF3595" s="54"/>
      <c r="AL3595" s="22"/>
      <c r="AM3595" s="22"/>
      <c r="AN3595" s="22"/>
      <c r="AO3595" s="22"/>
      <c r="AP3595" s="22"/>
      <c r="AQ3595" s="22"/>
      <c r="AR3595" s="22"/>
      <c r="AS3595" s="22"/>
      <c r="AT3595" s="22"/>
      <c r="AU3595" s="22"/>
      <c r="AV3595" s="22"/>
      <c r="AW3595" s="9"/>
      <c r="BA3595" s="22"/>
      <c r="BB3595" s="22"/>
      <c r="BD3595" s="9"/>
      <c r="CS3595" s="11">
        <f t="shared" si="247"/>
        <v>0</v>
      </c>
      <c r="CT3595" s="22">
        <f t="shared" si="248"/>
        <v>0</v>
      </c>
      <c r="CU3595" s="22">
        <f t="shared" si="249"/>
        <v>0</v>
      </c>
      <c r="CV3595" s="26">
        <f t="shared" si="250"/>
        <v>500</v>
      </c>
    </row>
    <row r="3596" spans="1:100" x14ac:dyDescent="0.2">
      <c r="A3596" s="9" t="s">
        <v>690</v>
      </c>
      <c r="B3596" s="2">
        <v>15</v>
      </c>
      <c r="C3596" s="3" t="s">
        <v>95</v>
      </c>
      <c r="D3596" s="3" t="s">
        <v>96</v>
      </c>
      <c r="E3596" s="2"/>
      <c r="F3596" s="2"/>
      <c r="G3596" s="2" t="s">
        <v>67</v>
      </c>
      <c r="H3596" s="2">
        <v>3</v>
      </c>
      <c r="I3596" s="20">
        <v>123.54</v>
      </c>
      <c r="J3596" s="20">
        <v>68633</v>
      </c>
      <c r="K3596" s="3">
        <v>0</v>
      </c>
      <c r="L3596" s="3" t="s">
        <v>97</v>
      </c>
      <c r="M3596" s="9" t="s">
        <v>0</v>
      </c>
      <c r="N3596" s="9">
        <v>43247814</v>
      </c>
      <c r="O3596" s="9" t="s">
        <v>691</v>
      </c>
      <c r="S3596" s="9" t="s">
        <v>158</v>
      </c>
      <c r="T3596" s="10" t="s">
        <v>67</v>
      </c>
      <c r="U3596" s="10">
        <v>3</v>
      </c>
      <c r="V3596" s="10">
        <v>123.54</v>
      </c>
      <c r="W3596" s="10" t="s">
        <v>710</v>
      </c>
      <c r="X3596" s="17">
        <v>45853</v>
      </c>
      <c r="Y3596" s="17">
        <v>45853</v>
      </c>
      <c r="Z3596" s="19" t="s">
        <v>772</v>
      </c>
      <c r="AA3596" s="207">
        <v>41400</v>
      </c>
      <c r="AB3596" s="9">
        <v>60</v>
      </c>
      <c r="AC3596" s="9">
        <v>52</v>
      </c>
      <c r="AD3596" s="17">
        <v>47467</v>
      </c>
      <c r="AE3596" s="54">
        <v>500</v>
      </c>
      <c r="AF3596" s="54"/>
      <c r="AL3596" s="22"/>
      <c r="AM3596" s="22"/>
      <c r="AN3596" s="22"/>
      <c r="AO3596" s="22"/>
      <c r="AP3596" s="22"/>
      <c r="AQ3596" s="22"/>
      <c r="AR3596" s="22"/>
      <c r="AS3596" s="22"/>
      <c r="AT3596" s="22"/>
      <c r="AU3596" s="22"/>
      <c r="AV3596" s="22"/>
      <c r="AW3596" s="9"/>
      <c r="BA3596" s="22"/>
      <c r="BB3596" s="22"/>
      <c r="BD3596" s="9"/>
      <c r="CS3596" s="11">
        <f t="shared" si="247"/>
        <v>0</v>
      </c>
      <c r="CT3596" s="22">
        <f t="shared" si="248"/>
        <v>0</v>
      </c>
      <c r="CU3596" s="22">
        <f t="shared" si="249"/>
        <v>0</v>
      </c>
      <c r="CV3596" s="26">
        <f t="shared" si="250"/>
        <v>500</v>
      </c>
    </row>
    <row r="3597" spans="1:100" x14ac:dyDescent="0.2">
      <c r="A3597" s="9" t="s">
        <v>690</v>
      </c>
      <c r="B3597" s="2">
        <v>15</v>
      </c>
      <c r="C3597" s="3" t="s">
        <v>95</v>
      </c>
      <c r="D3597" s="3" t="s">
        <v>96</v>
      </c>
      <c r="E3597" s="2"/>
      <c r="F3597" s="2"/>
      <c r="G3597" s="2" t="s">
        <v>67</v>
      </c>
      <c r="H3597" s="2">
        <v>3</v>
      </c>
      <c r="I3597" s="20">
        <v>123.54</v>
      </c>
      <c r="J3597" s="20">
        <v>68633</v>
      </c>
      <c r="K3597" s="3">
        <v>0</v>
      </c>
      <c r="L3597" s="3" t="s">
        <v>97</v>
      </c>
      <c r="M3597" s="9" t="s">
        <v>0</v>
      </c>
      <c r="N3597" s="9">
        <v>43247814</v>
      </c>
      <c r="O3597" s="9" t="s">
        <v>691</v>
      </c>
      <c r="S3597" s="9" t="s">
        <v>158</v>
      </c>
      <c r="T3597" s="10" t="s">
        <v>67</v>
      </c>
      <c r="U3597" s="10">
        <v>3</v>
      </c>
      <c r="V3597" s="10">
        <v>123.54</v>
      </c>
      <c r="W3597" s="10" t="s">
        <v>710</v>
      </c>
      <c r="X3597" s="17">
        <v>45853</v>
      </c>
      <c r="Y3597" s="17">
        <v>45853</v>
      </c>
      <c r="Z3597" s="19" t="s">
        <v>772</v>
      </c>
      <c r="AA3597" s="207">
        <v>41400</v>
      </c>
      <c r="AB3597" s="9">
        <v>60</v>
      </c>
      <c r="AC3597" s="9">
        <v>53</v>
      </c>
      <c r="AD3597" s="17">
        <v>47498</v>
      </c>
      <c r="AE3597" s="54">
        <v>500</v>
      </c>
      <c r="AF3597" s="54"/>
      <c r="AL3597" s="22"/>
      <c r="AM3597" s="22"/>
      <c r="AN3597" s="22"/>
      <c r="AO3597" s="22"/>
      <c r="AP3597" s="22"/>
      <c r="AQ3597" s="22"/>
      <c r="AR3597" s="22"/>
      <c r="AS3597" s="22"/>
      <c r="AT3597" s="22"/>
      <c r="AU3597" s="22"/>
      <c r="AV3597" s="22"/>
      <c r="AW3597" s="9"/>
      <c r="BA3597" s="22"/>
      <c r="BB3597" s="22"/>
      <c r="BD3597" s="9"/>
      <c r="CS3597" s="11">
        <f t="shared" si="247"/>
        <v>0</v>
      </c>
      <c r="CT3597" s="22">
        <f t="shared" si="248"/>
        <v>0</v>
      </c>
      <c r="CU3597" s="22">
        <f t="shared" si="249"/>
        <v>0</v>
      </c>
      <c r="CV3597" s="26">
        <f t="shared" si="250"/>
        <v>500</v>
      </c>
    </row>
    <row r="3598" spans="1:100" x14ac:dyDescent="0.2">
      <c r="A3598" s="9" t="s">
        <v>690</v>
      </c>
      <c r="B3598" s="2">
        <v>15</v>
      </c>
      <c r="C3598" s="3" t="s">
        <v>95</v>
      </c>
      <c r="D3598" s="3" t="s">
        <v>96</v>
      </c>
      <c r="E3598" s="2"/>
      <c r="F3598" s="2"/>
      <c r="G3598" s="2" t="s">
        <v>67</v>
      </c>
      <c r="H3598" s="2">
        <v>3</v>
      </c>
      <c r="I3598" s="20">
        <v>123.54</v>
      </c>
      <c r="J3598" s="20">
        <v>68633</v>
      </c>
      <c r="K3598" s="3">
        <v>0</v>
      </c>
      <c r="L3598" s="3" t="s">
        <v>97</v>
      </c>
      <c r="M3598" s="9" t="s">
        <v>0</v>
      </c>
      <c r="N3598" s="9">
        <v>43247814</v>
      </c>
      <c r="O3598" s="9" t="s">
        <v>691</v>
      </c>
      <c r="S3598" s="9" t="s">
        <v>158</v>
      </c>
      <c r="T3598" s="10" t="s">
        <v>67</v>
      </c>
      <c r="U3598" s="10">
        <v>3</v>
      </c>
      <c r="V3598" s="10">
        <v>123.54</v>
      </c>
      <c r="W3598" s="10" t="s">
        <v>710</v>
      </c>
      <c r="X3598" s="17">
        <v>45853</v>
      </c>
      <c r="Y3598" s="17">
        <v>45853</v>
      </c>
      <c r="Z3598" s="19" t="s">
        <v>772</v>
      </c>
      <c r="AA3598" s="207">
        <v>41400</v>
      </c>
      <c r="AB3598" s="9">
        <v>60</v>
      </c>
      <c r="AC3598" s="9">
        <v>54</v>
      </c>
      <c r="AD3598" s="17">
        <v>47529</v>
      </c>
      <c r="AE3598" s="54">
        <v>500</v>
      </c>
      <c r="AF3598" s="54"/>
      <c r="AL3598" s="22"/>
      <c r="AM3598" s="22"/>
      <c r="AN3598" s="22"/>
      <c r="AO3598" s="22"/>
      <c r="AP3598" s="22"/>
      <c r="AQ3598" s="22"/>
      <c r="AR3598" s="22"/>
      <c r="AS3598" s="22"/>
      <c r="AT3598" s="22"/>
      <c r="AU3598" s="22"/>
      <c r="AV3598" s="22"/>
      <c r="AW3598" s="9"/>
      <c r="BA3598" s="22"/>
      <c r="BB3598" s="22"/>
      <c r="BD3598" s="9"/>
      <c r="CS3598" s="11">
        <f t="shared" si="247"/>
        <v>0</v>
      </c>
      <c r="CT3598" s="22">
        <f t="shared" si="248"/>
        <v>0</v>
      </c>
      <c r="CU3598" s="22">
        <f t="shared" si="249"/>
        <v>0</v>
      </c>
      <c r="CV3598" s="26">
        <f t="shared" si="250"/>
        <v>500</v>
      </c>
    </row>
    <row r="3599" spans="1:100" x14ac:dyDescent="0.2">
      <c r="A3599" s="9" t="s">
        <v>690</v>
      </c>
      <c r="B3599" s="2">
        <v>15</v>
      </c>
      <c r="C3599" s="3" t="s">
        <v>95</v>
      </c>
      <c r="D3599" s="3" t="s">
        <v>96</v>
      </c>
      <c r="E3599" s="2"/>
      <c r="F3599" s="2"/>
      <c r="G3599" s="2" t="s">
        <v>67</v>
      </c>
      <c r="H3599" s="2">
        <v>3</v>
      </c>
      <c r="I3599" s="20">
        <v>123.54</v>
      </c>
      <c r="J3599" s="20">
        <v>68633</v>
      </c>
      <c r="K3599" s="3">
        <v>0</v>
      </c>
      <c r="L3599" s="3" t="s">
        <v>97</v>
      </c>
      <c r="M3599" s="9" t="s">
        <v>0</v>
      </c>
      <c r="N3599" s="9">
        <v>43247814</v>
      </c>
      <c r="O3599" s="9" t="s">
        <v>691</v>
      </c>
      <c r="S3599" s="9" t="s">
        <v>158</v>
      </c>
      <c r="T3599" s="10" t="s">
        <v>67</v>
      </c>
      <c r="U3599" s="10">
        <v>3</v>
      </c>
      <c r="V3599" s="10">
        <v>123.54</v>
      </c>
      <c r="W3599" s="10" t="s">
        <v>710</v>
      </c>
      <c r="X3599" s="17">
        <v>45853</v>
      </c>
      <c r="Y3599" s="17">
        <v>45853</v>
      </c>
      <c r="Z3599" s="19" t="s">
        <v>772</v>
      </c>
      <c r="AA3599" s="207">
        <v>41400</v>
      </c>
      <c r="AB3599" s="9">
        <v>60</v>
      </c>
      <c r="AC3599" s="9">
        <v>55</v>
      </c>
      <c r="AD3599" s="17">
        <v>47557</v>
      </c>
      <c r="AE3599" s="54">
        <v>500</v>
      </c>
      <c r="AF3599" s="54"/>
      <c r="AL3599" s="22"/>
      <c r="AM3599" s="22"/>
      <c r="AN3599" s="22"/>
      <c r="AO3599" s="22"/>
      <c r="AP3599" s="22"/>
      <c r="AQ3599" s="22"/>
      <c r="AR3599" s="22"/>
      <c r="AS3599" s="22"/>
      <c r="AT3599" s="22"/>
      <c r="AU3599" s="22"/>
      <c r="AV3599" s="22"/>
      <c r="AW3599" s="9"/>
      <c r="BA3599" s="22"/>
      <c r="BB3599" s="22"/>
      <c r="BD3599" s="9"/>
      <c r="CS3599" s="11">
        <f t="shared" si="247"/>
        <v>0</v>
      </c>
      <c r="CT3599" s="22">
        <f t="shared" si="248"/>
        <v>0</v>
      </c>
      <c r="CU3599" s="22">
        <f t="shared" si="249"/>
        <v>0</v>
      </c>
      <c r="CV3599" s="26">
        <f t="shared" si="250"/>
        <v>500</v>
      </c>
    </row>
    <row r="3600" spans="1:100" x14ac:dyDescent="0.2">
      <c r="A3600" s="9" t="s">
        <v>690</v>
      </c>
      <c r="B3600" s="2">
        <v>15</v>
      </c>
      <c r="C3600" s="3" t="s">
        <v>95</v>
      </c>
      <c r="D3600" s="3" t="s">
        <v>96</v>
      </c>
      <c r="E3600" s="2"/>
      <c r="F3600" s="2"/>
      <c r="G3600" s="2" t="s">
        <v>67</v>
      </c>
      <c r="H3600" s="2">
        <v>3</v>
      </c>
      <c r="I3600" s="20">
        <v>123.54</v>
      </c>
      <c r="J3600" s="20">
        <v>68633</v>
      </c>
      <c r="K3600" s="3">
        <v>0</v>
      </c>
      <c r="L3600" s="3" t="s">
        <v>97</v>
      </c>
      <c r="M3600" s="9" t="s">
        <v>0</v>
      </c>
      <c r="N3600" s="9">
        <v>43247814</v>
      </c>
      <c r="O3600" s="9" t="s">
        <v>691</v>
      </c>
      <c r="S3600" s="9" t="s">
        <v>158</v>
      </c>
      <c r="T3600" s="10" t="s">
        <v>67</v>
      </c>
      <c r="U3600" s="10">
        <v>3</v>
      </c>
      <c r="V3600" s="10">
        <v>123.54</v>
      </c>
      <c r="W3600" s="10" t="s">
        <v>710</v>
      </c>
      <c r="X3600" s="17">
        <v>45853</v>
      </c>
      <c r="Y3600" s="17">
        <v>45853</v>
      </c>
      <c r="Z3600" s="19" t="s">
        <v>772</v>
      </c>
      <c r="AA3600" s="207">
        <v>41400</v>
      </c>
      <c r="AB3600" s="9">
        <v>60</v>
      </c>
      <c r="AC3600" s="9">
        <v>56</v>
      </c>
      <c r="AD3600" s="17">
        <v>47588</v>
      </c>
      <c r="AE3600" s="54">
        <v>500</v>
      </c>
      <c r="AF3600" s="54"/>
      <c r="AL3600" s="22"/>
      <c r="AM3600" s="22"/>
      <c r="AN3600" s="22"/>
      <c r="AO3600" s="22"/>
      <c r="AP3600" s="22"/>
      <c r="AQ3600" s="22"/>
      <c r="AR3600" s="22"/>
      <c r="AS3600" s="22"/>
      <c r="AT3600" s="22"/>
      <c r="AU3600" s="22"/>
      <c r="AV3600" s="22"/>
      <c r="AW3600" s="9"/>
      <c r="BA3600" s="22"/>
      <c r="BB3600" s="22"/>
      <c r="BD3600" s="9"/>
      <c r="CS3600" s="11">
        <f t="shared" si="247"/>
        <v>0</v>
      </c>
      <c r="CT3600" s="22">
        <f t="shared" si="248"/>
        <v>0</v>
      </c>
      <c r="CU3600" s="22">
        <f t="shared" si="249"/>
        <v>0</v>
      </c>
      <c r="CV3600" s="26">
        <f t="shared" si="250"/>
        <v>500</v>
      </c>
    </row>
    <row r="3601" spans="1:103" x14ac:dyDescent="0.2">
      <c r="A3601" s="9" t="s">
        <v>690</v>
      </c>
      <c r="B3601" s="2">
        <v>15</v>
      </c>
      <c r="C3601" s="3" t="s">
        <v>95</v>
      </c>
      <c r="D3601" s="3" t="s">
        <v>96</v>
      </c>
      <c r="E3601" s="2"/>
      <c r="F3601" s="2"/>
      <c r="G3601" s="2" t="s">
        <v>67</v>
      </c>
      <c r="H3601" s="2">
        <v>3</v>
      </c>
      <c r="I3601" s="20">
        <v>123.54</v>
      </c>
      <c r="J3601" s="20">
        <v>68633</v>
      </c>
      <c r="K3601" s="3">
        <v>0</v>
      </c>
      <c r="L3601" s="3" t="s">
        <v>97</v>
      </c>
      <c r="M3601" s="9" t="s">
        <v>0</v>
      </c>
      <c r="N3601" s="9">
        <v>43247814</v>
      </c>
      <c r="O3601" s="9" t="s">
        <v>691</v>
      </c>
      <c r="S3601" s="9" t="s">
        <v>158</v>
      </c>
      <c r="T3601" s="10" t="s">
        <v>67</v>
      </c>
      <c r="U3601" s="10">
        <v>3</v>
      </c>
      <c r="V3601" s="10">
        <v>123.54</v>
      </c>
      <c r="W3601" s="10" t="s">
        <v>710</v>
      </c>
      <c r="X3601" s="17">
        <v>45853</v>
      </c>
      <c r="Y3601" s="17">
        <v>45853</v>
      </c>
      <c r="Z3601" s="19" t="s">
        <v>772</v>
      </c>
      <c r="AA3601" s="207">
        <v>41400</v>
      </c>
      <c r="AB3601" s="9">
        <v>60</v>
      </c>
      <c r="AC3601" s="9">
        <v>57</v>
      </c>
      <c r="AD3601" s="17">
        <v>47618</v>
      </c>
      <c r="AE3601" s="54">
        <v>500</v>
      </c>
      <c r="AF3601" s="54"/>
      <c r="AL3601" s="22"/>
      <c r="AM3601" s="22"/>
      <c r="AN3601" s="22"/>
      <c r="AO3601" s="22"/>
      <c r="AP3601" s="22"/>
      <c r="AQ3601" s="22"/>
      <c r="AR3601" s="22"/>
      <c r="AS3601" s="22"/>
      <c r="AT3601" s="22"/>
      <c r="AU3601" s="22"/>
      <c r="AV3601" s="22"/>
      <c r="AW3601" s="9"/>
      <c r="BA3601" s="22"/>
      <c r="BB3601" s="22"/>
      <c r="BD3601" s="9"/>
      <c r="CS3601" s="11">
        <f t="shared" si="247"/>
        <v>0</v>
      </c>
      <c r="CT3601" s="22">
        <f t="shared" si="248"/>
        <v>0</v>
      </c>
      <c r="CU3601" s="22">
        <f t="shared" si="249"/>
        <v>0</v>
      </c>
      <c r="CV3601" s="26">
        <f t="shared" si="250"/>
        <v>500</v>
      </c>
    </row>
    <row r="3602" spans="1:103" x14ac:dyDescent="0.2">
      <c r="A3602" s="9" t="s">
        <v>690</v>
      </c>
      <c r="B3602" s="2">
        <v>15</v>
      </c>
      <c r="C3602" s="3" t="s">
        <v>95</v>
      </c>
      <c r="D3602" s="3" t="s">
        <v>96</v>
      </c>
      <c r="E3602" s="2"/>
      <c r="F3602" s="2"/>
      <c r="G3602" s="2" t="s">
        <v>67</v>
      </c>
      <c r="H3602" s="2">
        <v>3</v>
      </c>
      <c r="I3602" s="20">
        <v>123.54</v>
      </c>
      <c r="J3602" s="20">
        <v>68633</v>
      </c>
      <c r="K3602" s="3">
        <v>0</v>
      </c>
      <c r="L3602" s="3" t="s">
        <v>97</v>
      </c>
      <c r="M3602" s="9" t="s">
        <v>0</v>
      </c>
      <c r="N3602" s="9">
        <v>43247814</v>
      </c>
      <c r="O3602" s="9" t="s">
        <v>691</v>
      </c>
      <c r="S3602" s="9" t="s">
        <v>158</v>
      </c>
      <c r="T3602" s="10" t="s">
        <v>67</v>
      </c>
      <c r="U3602" s="10">
        <v>3</v>
      </c>
      <c r="V3602" s="10">
        <v>123.54</v>
      </c>
      <c r="W3602" s="10" t="s">
        <v>710</v>
      </c>
      <c r="X3602" s="17">
        <v>45853</v>
      </c>
      <c r="Y3602" s="17">
        <v>45853</v>
      </c>
      <c r="Z3602" s="19" t="s">
        <v>772</v>
      </c>
      <c r="AA3602" s="207">
        <v>41400</v>
      </c>
      <c r="AB3602" s="9">
        <v>60</v>
      </c>
      <c r="AC3602" s="9">
        <v>58</v>
      </c>
      <c r="AD3602" s="17">
        <v>47649</v>
      </c>
      <c r="AE3602" s="54">
        <v>500</v>
      </c>
      <c r="AF3602" s="54"/>
      <c r="AL3602" s="22"/>
      <c r="AM3602" s="22"/>
      <c r="AN3602" s="22"/>
      <c r="AO3602" s="22"/>
      <c r="AP3602" s="22"/>
      <c r="AQ3602" s="22"/>
      <c r="AR3602" s="22"/>
      <c r="AS3602" s="22"/>
      <c r="AT3602" s="22"/>
      <c r="AU3602" s="22"/>
      <c r="AV3602" s="22"/>
      <c r="AW3602" s="9"/>
      <c r="BA3602" s="22"/>
      <c r="BB3602" s="22"/>
      <c r="BD3602" s="9"/>
      <c r="CS3602" s="11">
        <f t="shared" si="247"/>
        <v>0</v>
      </c>
      <c r="CT3602" s="22">
        <f t="shared" si="248"/>
        <v>0</v>
      </c>
      <c r="CU3602" s="22">
        <f t="shared" si="249"/>
        <v>0</v>
      </c>
      <c r="CV3602" s="26">
        <f t="shared" si="250"/>
        <v>500</v>
      </c>
    </row>
    <row r="3603" spans="1:103" x14ac:dyDescent="0.2">
      <c r="A3603" s="9" t="s">
        <v>690</v>
      </c>
      <c r="B3603" s="2">
        <v>15</v>
      </c>
      <c r="C3603" s="3" t="s">
        <v>95</v>
      </c>
      <c r="D3603" s="3" t="s">
        <v>96</v>
      </c>
      <c r="E3603" s="2"/>
      <c r="F3603" s="2"/>
      <c r="G3603" s="2" t="s">
        <v>67</v>
      </c>
      <c r="H3603" s="2">
        <v>3</v>
      </c>
      <c r="I3603" s="20">
        <v>123.54</v>
      </c>
      <c r="J3603" s="20">
        <v>68633</v>
      </c>
      <c r="K3603" s="3">
        <v>0</v>
      </c>
      <c r="L3603" s="3" t="s">
        <v>97</v>
      </c>
      <c r="M3603" s="9" t="s">
        <v>0</v>
      </c>
      <c r="N3603" s="9">
        <v>43247814</v>
      </c>
      <c r="O3603" s="9" t="s">
        <v>691</v>
      </c>
      <c r="S3603" s="9" t="s">
        <v>158</v>
      </c>
      <c r="T3603" s="10" t="s">
        <v>67</v>
      </c>
      <c r="U3603" s="10">
        <v>3</v>
      </c>
      <c r="V3603" s="10">
        <v>123.54</v>
      </c>
      <c r="W3603" s="10" t="s">
        <v>710</v>
      </c>
      <c r="X3603" s="17">
        <v>45853</v>
      </c>
      <c r="Y3603" s="17">
        <v>45853</v>
      </c>
      <c r="Z3603" s="19" t="s">
        <v>772</v>
      </c>
      <c r="AA3603" s="207">
        <v>41400</v>
      </c>
      <c r="AB3603" s="9">
        <v>60</v>
      </c>
      <c r="AC3603" s="9">
        <v>59</v>
      </c>
      <c r="AD3603" s="17">
        <v>47679</v>
      </c>
      <c r="AE3603" s="54">
        <v>500</v>
      </c>
      <c r="AF3603" s="54"/>
      <c r="AL3603" s="22"/>
      <c r="AM3603" s="22"/>
      <c r="AN3603" s="22"/>
      <c r="AO3603" s="22"/>
      <c r="AP3603" s="22"/>
      <c r="AQ3603" s="22"/>
      <c r="AR3603" s="22"/>
      <c r="AS3603" s="22"/>
      <c r="AT3603" s="22"/>
      <c r="AU3603" s="22"/>
      <c r="AV3603" s="22"/>
      <c r="AW3603" s="9"/>
      <c r="BA3603" s="22"/>
      <c r="BB3603" s="22"/>
      <c r="BD3603" s="9"/>
      <c r="CS3603" s="11">
        <f t="shared" si="247"/>
        <v>0</v>
      </c>
      <c r="CT3603" s="22">
        <f t="shared" si="248"/>
        <v>0</v>
      </c>
      <c r="CU3603" s="22">
        <f t="shared" si="249"/>
        <v>0</v>
      </c>
      <c r="CV3603" s="26">
        <f t="shared" si="250"/>
        <v>500</v>
      </c>
    </row>
    <row r="3604" spans="1:103" x14ac:dyDescent="0.2">
      <c r="A3604" s="9" t="s">
        <v>690</v>
      </c>
      <c r="B3604" s="2">
        <v>15</v>
      </c>
      <c r="C3604" s="3" t="s">
        <v>95</v>
      </c>
      <c r="D3604" s="3" t="s">
        <v>96</v>
      </c>
      <c r="E3604" s="2"/>
      <c r="F3604" s="2"/>
      <c r="G3604" s="2" t="s">
        <v>67</v>
      </c>
      <c r="H3604" s="2">
        <v>3</v>
      </c>
      <c r="I3604" s="20">
        <v>123.54</v>
      </c>
      <c r="J3604" s="20">
        <v>68633</v>
      </c>
      <c r="K3604" s="3">
        <v>0</v>
      </c>
      <c r="L3604" s="3" t="s">
        <v>97</v>
      </c>
      <c r="M3604" s="9" t="s">
        <v>0</v>
      </c>
      <c r="N3604" s="9">
        <v>43247814</v>
      </c>
      <c r="O3604" s="9" t="s">
        <v>691</v>
      </c>
      <c r="S3604" s="9" t="s">
        <v>158</v>
      </c>
      <c r="T3604" s="10" t="s">
        <v>67</v>
      </c>
      <c r="U3604" s="10">
        <v>3</v>
      </c>
      <c r="V3604" s="10">
        <v>123.54</v>
      </c>
      <c r="W3604" s="10" t="s">
        <v>710</v>
      </c>
      <c r="X3604" s="17">
        <v>45853</v>
      </c>
      <c r="Y3604" s="17">
        <v>45853</v>
      </c>
      <c r="Z3604" s="19" t="s">
        <v>772</v>
      </c>
      <c r="AA3604" s="207">
        <v>41400</v>
      </c>
      <c r="AB3604" s="9">
        <v>60</v>
      </c>
      <c r="AC3604" s="9">
        <v>60</v>
      </c>
      <c r="AD3604" s="17">
        <v>47710</v>
      </c>
      <c r="AE3604" s="54">
        <v>1900</v>
      </c>
      <c r="AF3604" s="54"/>
      <c r="AL3604" s="22"/>
      <c r="AM3604" s="22"/>
      <c r="AN3604" s="22"/>
      <c r="AO3604" s="22"/>
      <c r="AP3604" s="22"/>
      <c r="AQ3604" s="22"/>
      <c r="AR3604" s="22"/>
      <c r="AS3604" s="22"/>
      <c r="AT3604" s="22"/>
      <c r="AU3604" s="22"/>
      <c r="AV3604" s="22"/>
      <c r="AW3604" s="9"/>
      <c r="BA3604" s="22"/>
      <c r="BB3604" s="22"/>
      <c r="BD3604" s="9"/>
      <c r="CS3604" s="11">
        <f t="shared" si="247"/>
        <v>0</v>
      </c>
      <c r="CT3604" s="22">
        <f t="shared" si="248"/>
        <v>0</v>
      </c>
      <c r="CU3604" s="22">
        <f t="shared" si="249"/>
        <v>0</v>
      </c>
      <c r="CV3604" s="26">
        <f t="shared" si="250"/>
        <v>1900</v>
      </c>
    </row>
    <row r="3605" spans="1:103" x14ac:dyDescent="0.2">
      <c r="A3605" s="9" t="s">
        <v>601</v>
      </c>
      <c r="B3605" s="2">
        <v>95</v>
      </c>
      <c r="C3605" s="3" t="s">
        <v>95</v>
      </c>
      <c r="D3605" s="3" t="s">
        <v>96</v>
      </c>
      <c r="E3605" s="2"/>
      <c r="F3605" s="2"/>
      <c r="G3605" s="2" t="s">
        <v>77</v>
      </c>
      <c r="H3605" s="2">
        <v>4</v>
      </c>
      <c r="I3605" s="20">
        <v>100.57</v>
      </c>
      <c r="J3605" s="20">
        <v>32499</v>
      </c>
      <c r="K3605" s="3">
        <v>0</v>
      </c>
      <c r="L3605" s="3" t="s">
        <v>3</v>
      </c>
      <c r="M3605" s="9" t="s">
        <v>0</v>
      </c>
      <c r="N3605" s="9">
        <v>10876580</v>
      </c>
      <c r="O3605" s="9" t="s">
        <v>695</v>
      </c>
      <c r="S3605" s="9" t="s">
        <v>158</v>
      </c>
      <c r="T3605" s="10" t="s">
        <v>77</v>
      </c>
      <c r="U3605" s="10">
        <v>4</v>
      </c>
      <c r="V3605" s="10">
        <v>100.57</v>
      </c>
      <c r="W3605" s="10" t="s">
        <v>710</v>
      </c>
      <c r="X3605" s="17">
        <v>44987</v>
      </c>
      <c r="Y3605" s="17">
        <v>45422</v>
      </c>
      <c r="Z3605" s="17" t="s">
        <v>737</v>
      </c>
      <c r="AA3605" s="215">
        <v>117440</v>
      </c>
      <c r="AB3605" s="9">
        <v>18</v>
      </c>
      <c r="AC3605" s="9">
        <v>0</v>
      </c>
      <c r="AD3605" s="17">
        <v>45874</v>
      </c>
      <c r="AE3605" s="76">
        <v>28416.71</v>
      </c>
      <c r="AF3605" s="76"/>
      <c r="AG3605" s="10" t="s">
        <v>134</v>
      </c>
      <c r="AH3605" s="17">
        <v>45871</v>
      </c>
      <c r="AI3605" s="17"/>
      <c r="AJ3605" s="17"/>
      <c r="AK3605" s="10" t="s">
        <v>712</v>
      </c>
      <c r="AL3605" s="9"/>
      <c r="AM3605" s="76">
        <v>28416.71</v>
      </c>
      <c r="AN3605" s="76" t="s">
        <v>726</v>
      </c>
      <c r="AO3605" s="22"/>
      <c r="AP3605" s="22"/>
      <c r="AQ3605" s="22"/>
      <c r="AR3605" s="22"/>
      <c r="AS3605" s="22"/>
      <c r="AT3605" s="22"/>
      <c r="AU3605" s="22"/>
      <c r="AV3605" s="22"/>
      <c r="AW3605" s="17">
        <v>45874</v>
      </c>
      <c r="AX3605" s="9" t="s">
        <v>720</v>
      </c>
      <c r="AY3605" s="22">
        <v>2916.69</v>
      </c>
      <c r="BA3605" s="22"/>
      <c r="BB3605" s="22" t="s">
        <v>728</v>
      </c>
      <c r="BC3605" s="17">
        <v>45874</v>
      </c>
      <c r="BD3605" s="9" t="s">
        <v>719</v>
      </c>
      <c r="BE3605" s="22">
        <v>416.67</v>
      </c>
      <c r="BG3605" s="22"/>
      <c r="BH3605" s="22" t="s">
        <v>729</v>
      </c>
      <c r="BI3605" s="17">
        <v>45874</v>
      </c>
      <c r="BJ3605" s="9" t="s">
        <v>718</v>
      </c>
      <c r="BK3605" s="22">
        <v>416.67</v>
      </c>
      <c r="BM3605" s="22"/>
      <c r="BN3605" s="22" t="s">
        <v>730</v>
      </c>
      <c r="BO3605" s="17">
        <v>45874</v>
      </c>
      <c r="BP3605" s="9" t="s">
        <v>717</v>
      </c>
      <c r="BQ3605" s="22">
        <v>23000</v>
      </c>
      <c r="BS3605" s="22"/>
      <c r="BT3605" s="22" t="s">
        <v>731</v>
      </c>
      <c r="BU3605" s="17">
        <v>45874</v>
      </c>
      <c r="BV3605" s="9" t="s">
        <v>716</v>
      </c>
      <c r="BW3605" s="22">
        <v>416.67</v>
      </c>
      <c r="BY3605" s="22"/>
      <c r="BZ3605" s="22" t="s">
        <v>732</v>
      </c>
      <c r="CA3605" s="17">
        <v>45874</v>
      </c>
      <c r="CB3605" s="9" t="s">
        <v>714</v>
      </c>
      <c r="CC3605" s="22">
        <v>416.67</v>
      </c>
      <c r="CE3605" s="22"/>
      <c r="CF3605" s="22" t="s">
        <v>733</v>
      </c>
      <c r="CG3605" s="17">
        <v>45874</v>
      </c>
      <c r="CH3605" s="9" t="s">
        <v>715</v>
      </c>
      <c r="CI3605" s="22">
        <v>416.67</v>
      </c>
      <c r="CK3605" s="22"/>
      <c r="CL3605" s="22" t="s">
        <v>734</v>
      </c>
      <c r="CM3605" s="17">
        <v>45874</v>
      </c>
      <c r="CN3605" s="9" t="s">
        <v>713</v>
      </c>
      <c r="CO3605" s="22">
        <v>416.67</v>
      </c>
      <c r="CQ3605" s="22"/>
      <c r="CR3605" s="22" t="s">
        <v>735</v>
      </c>
      <c r="CS3605" s="23">
        <f t="shared" ref="CS3605:CS3623" si="251">+AM3605</f>
        <v>28416.71</v>
      </c>
      <c r="CT3605" s="22">
        <f t="shared" ref="CT3605:CT3623" si="252">+AY3605+BE3605+BK3605+BQ3605+BW3605+CC3605+CI3605+CO3605</f>
        <v>28416.709999999992</v>
      </c>
      <c r="CU3605" s="22">
        <f t="shared" si="249"/>
        <v>0</v>
      </c>
      <c r="CV3605" s="26">
        <f t="shared" ref="CV3605:CV3623" si="253">+AE3605-AM3605-AU3605</f>
        <v>0</v>
      </c>
      <c r="CY3605" s="9" t="s">
        <v>3493</v>
      </c>
    </row>
    <row r="3606" spans="1:103" x14ac:dyDescent="0.2">
      <c r="A3606" s="9" t="s">
        <v>601</v>
      </c>
      <c r="B3606" s="2">
        <v>95</v>
      </c>
      <c r="C3606" s="3" t="s">
        <v>95</v>
      </c>
      <c r="D3606" s="3" t="s">
        <v>96</v>
      </c>
      <c r="E3606" s="2"/>
      <c r="F3606" s="2"/>
      <c r="G3606" s="2" t="s">
        <v>77</v>
      </c>
      <c r="H3606" s="2">
        <v>4</v>
      </c>
      <c r="I3606" s="20">
        <v>100.57</v>
      </c>
      <c r="J3606" s="20">
        <v>32499</v>
      </c>
      <c r="K3606" s="3">
        <v>0</v>
      </c>
      <c r="L3606" s="3" t="s">
        <v>3</v>
      </c>
      <c r="M3606" s="9" t="s">
        <v>0</v>
      </c>
      <c r="N3606" s="9">
        <v>10876580</v>
      </c>
      <c r="O3606" s="9" t="s">
        <v>695</v>
      </c>
      <c r="S3606" s="9" t="s">
        <v>158</v>
      </c>
      <c r="T3606" s="10" t="s">
        <v>77</v>
      </c>
      <c r="U3606" s="10">
        <v>4</v>
      </c>
      <c r="V3606" s="10">
        <v>100.57</v>
      </c>
      <c r="W3606" s="10" t="s">
        <v>710</v>
      </c>
      <c r="X3606" s="17">
        <v>44987</v>
      </c>
      <c r="Y3606" s="17">
        <v>45422</v>
      </c>
      <c r="Z3606" s="17" t="s">
        <v>737</v>
      </c>
      <c r="AA3606" s="215">
        <v>117440</v>
      </c>
      <c r="AB3606" s="9">
        <v>18</v>
      </c>
      <c r="AC3606" s="9">
        <v>1</v>
      </c>
      <c r="AD3606" s="17">
        <v>45437</v>
      </c>
      <c r="AE3606" s="76">
        <v>4946</v>
      </c>
      <c r="AF3606" s="76"/>
      <c r="AG3606" s="81" t="s">
        <v>134</v>
      </c>
      <c r="AH3606" s="87">
        <v>45440</v>
      </c>
      <c r="AI3606" s="87"/>
      <c r="AJ3606" s="87"/>
      <c r="AK3606" s="88" t="s">
        <v>750</v>
      </c>
      <c r="AL3606" s="89"/>
      <c r="AM3606" s="89">
        <v>4946</v>
      </c>
      <c r="AN3606" s="88" t="s">
        <v>761</v>
      </c>
      <c r="AO3606" s="89"/>
      <c r="AP3606" s="89"/>
      <c r="AQ3606" s="89"/>
      <c r="AR3606" s="89"/>
      <c r="AS3606" s="89"/>
      <c r="AT3606" s="89"/>
      <c r="AU3606" s="89"/>
      <c r="AV3606" s="89"/>
      <c r="AW3606" s="87">
        <v>45440</v>
      </c>
      <c r="AX3606" s="81">
        <v>36990</v>
      </c>
      <c r="AY3606" s="182">
        <v>4946</v>
      </c>
      <c r="BA3606" s="22"/>
      <c r="BB3606" s="22"/>
      <c r="BD3606" s="9"/>
      <c r="CS3606" s="23">
        <f t="shared" si="251"/>
        <v>4946</v>
      </c>
      <c r="CT3606" s="22">
        <f t="shared" si="252"/>
        <v>4946</v>
      </c>
      <c r="CU3606" s="22">
        <f t="shared" si="249"/>
        <v>0</v>
      </c>
      <c r="CV3606" s="26">
        <f t="shared" si="253"/>
        <v>0</v>
      </c>
      <c r="CY3606" s="9" t="s">
        <v>3493</v>
      </c>
    </row>
    <row r="3607" spans="1:103" x14ac:dyDescent="0.2">
      <c r="A3607" s="9" t="s">
        <v>601</v>
      </c>
      <c r="B3607" s="2">
        <v>95</v>
      </c>
      <c r="C3607" s="3" t="s">
        <v>95</v>
      </c>
      <c r="D3607" s="3" t="s">
        <v>96</v>
      </c>
      <c r="E3607" s="2"/>
      <c r="F3607" s="2"/>
      <c r="G3607" s="2" t="s">
        <v>77</v>
      </c>
      <c r="H3607" s="2">
        <v>4</v>
      </c>
      <c r="I3607" s="20">
        <v>100.57</v>
      </c>
      <c r="J3607" s="20">
        <v>32499</v>
      </c>
      <c r="K3607" s="3">
        <v>0</v>
      </c>
      <c r="L3607" s="3" t="s">
        <v>3</v>
      </c>
      <c r="M3607" s="9" t="s">
        <v>0</v>
      </c>
      <c r="N3607" s="9">
        <v>10876580</v>
      </c>
      <c r="O3607" s="9" t="s">
        <v>695</v>
      </c>
      <c r="S3607" s="9" t="s">
        <v>158</v>
      </c>
      <c r="T3607" s="10" t="s">
        <v>77</v>
      </c>
      <c r="U3607" s="10">
        <v>4</v>
      </c>
      <c r="V3607" s="10">
        <v>100.57</v>
      </c>
      <c r="W3607" s="10" t="s">
        <v>710</v>
      </c>
      <c r="X3607" s="17">
        <v>44987</v>
      </c>
      <c r="Y3607" s="17">
        <v>45422</v>
      </c>
      <c r="Z3607" s="17" t="s">
        <v>737</v>
      </c>
      <c r="AA3607" s="215">
        <v>117440</v>
      </c>
      <c r="AB3607" s="9">
        <v>18</v>
      </c>
      <c r="AC3607" s="9">
        <v>2</v>
      </c>
      <c r="AD3607" s="17">
        <v>45468</v>
      </c>
      <c r="AE3607" s="76">
        <v>4946</v>
      </c>
      <c r="AF3607" s="76"/>
      <c r="AG3607" s="81" t="s">
        <v>134</v>
      </c>
      <c r="AH3607" s="87">
        <v>45440</v>
      </c>
      <c r="AI3607" s="87"/>
      <c r="AJ3607" s="87"/>
      <c r="AK3607" s="88" t="s">
        <v>751</v>
      </c>
      <c r="AL3607" s="89"/>
      <c r="AM3607" s="89">
        <v>4946</v>
      </c>
      <c r="AN3607" s="88" t="s">
        <v>762</v>
      </c>
      <c r="AO3607" s="89"/>
      <c r="AP3607" s="89"/>
      <c r="AQ3607" s="89"/>
      <c r="AR3607" s="89"/>
      <c r="AS3607" s="89"/>
      <c r="AT3607" s="89"/>
      <c r="AU3607" s="89"/>
      <c r="AV3607" s="89"/>
      <c r="AW3607" s="87">
        <v>45440</v>
      </c>
      <c r="AX3607" s="81">
        <v>36990</v>
      </c>
      <c r="AY3607" s="183">
        <v>4946</v>
      </c>
      <c r="BA3607" s="22"/>
      <c r="BB3607" s="22"/>
      <c r="BD3607" s="9"/>
      <c r="CS3607" s="23">
        <f t="shared" si="251"/>
        <v>4946</v>
      </c>
      <c r="CT3607" s="22">
        <f t="shared" si="252"/>
        <v>4946</v>
      </c>
      <c r="CU3607" s="22">
        <f t="shared" si="249"/>
        <v>0</v>
      </c>
      <c r="CV3607" s="26">
        <f t="shared" si="253"/>
        <v>0</v>
      </c>
      <c r="CY3607" s="9" t="s">
        <v>3493</v>
      </c>
    </row>
    <row r="3608" spans="1:103" x14ac:dyDescent="0.2">
      <c r="A3608" s="9" t="s">
        <v>601</v>
      </c>
      <c r="B3608" s="2">
        <v>95</v>
      </c>
      <c r="C3608" s="3" t="s">
        <v>95</v>
      </c>
      <c r="D3608" s="3" t="s">
        <v>96</v>
      </c>
      <c r="E3608" s="2"/>
      <c r="F3608" s="2"/>
      <c r="G3608" s="2" t="s">
        <v>77</v>
      </c>
      <c r="H3608" s="2">
        <v>4</v>
      </c>
      <c r="I3608" s="20">
        <v>100.57</v>
      </c>
      <c r="J3608" s="20">
        <v>32499</v>
      </c>
      <c r="K3608" s="3">
        <v>0</v>
      </c>
      <c r="L3608" s="3" t="s">
        <v>3</v>
      </c>
      <c r="M3608" s="9" t="s">
        <v>0</v>
      </c>
      <c r="N3608" s="9">
        <v>10876580</v>
      </c>
      <c r="O3608" s="9" t="s">
        <v>695</v>
      </c>
      <c r="S3608" s="9" t="s">
        <v>158</v>
      </c>
      <c r="T3608" s="10" t="s">
        <v>77</v>
      </c>
      <c r="U3608" s="10">
        <v>4</v>
      </c>
      <c r="V3608" s="10">
        <v>100.57</v>
      </c>
      <c r="W3608" s="10" t="s">
        <v>710</v>
      </c>
      <c r="X3608" s="17">
        <v>44987</v>
      </c>
      <c r="Y3608" s="17">
        <v>45422</v>
      </c>
      <c r="Z3608" s="17" t="s">
        <v>737</v>
      </c>
      <c r="AA3608" s="215">
        <v>117440</v>
      </c>
      <c r="AB3608" s="9">
        <v>18</v>
      </c>
      <c r="AC3608" s="9">
        <v>3</v>
      </c>
      <c r="AD3608" s="17">
        <v>45498</v>
      </c>
      <c r="AE3608" s="76">
        <v>4946</v>
      </c>
      <c r="AF3608" s="76"/>
      <c r="AG3608" s="81" t="s">
        <v>134</v>
      </c>
      <c r="AH3608" s="87">
        <v>45440</v>
      </c>
      <c r="AI3608" s="87"/>
      <c r="AJ3608" s="87"/>
      <c r="AK3608" s="88" t="s">
        <v>752</v>
      </c>
      <c r="AL3608" s="89"/>
      <c r="AM3608" s="89">
        <v>4946</v>
      </c>
      <c r="AN3608" s="88" t="s">
        <v>763</v>
      </c>
      <c r="AO3608" s="89"/>
      <c r="AP3608" s="89"/>
      <c r="AQ3608" s="89"/>
      <c r="AR3608" s="89"/>
      <c r="AS3608" s="89"/>
      <c r="AT3608" s="89"/>
      <c r="AU3608" s="89"/>
      <c r="AV3608" s="89"/>
      <c r="AW3608" s="87">
        <v>45440</v>
      </c>
      <c r="AX3608" s="81">
        <v>36990</v>
      </c>
      <c r="AY3608" s="183">
        <v>4946</v>
      </c>
      <c r="BA3608" s="22"/>
      <c r="BB3608" s="22"/>
      <c r="BD3608" s="9"/>
      <c r="CS3608" s="23">
        <f t="shared" si="251"/>
        <v>4946</v>
      </c>
      <c r="CT3608" s="22">
        <f t="shared" si="252"/>
        <v>4946</v>
      </c>
      <c r="CU3608" s="22">
        <f t="shared" si="249"/>
        <v>0</v>
      </c>
      <c r="CV3608" s="26">
        <f t="shared" si="253"/>
        <v>0</v>
      </c>
      <c r="CY3608" s="9" t="s">
        <v>3493</v>
      </c>
    </row>
    <row r="3609" spans="1:103" x14ac:dyDescent="0.2">
      <c r="A3609" s="9" t="s">
        <v>601</v>
      </c>
      <c r="B3609" s="2">
        <v>95</v>
      </c>
      <c r="C3609" s="3" t="s">
        <v>95</v>
      </c>
      <c r="D3609" s="3" t="s">
        <v>96</v>
      </c>
      <c r="E3609" s="2"/>
      <c r="F3609" s="2"/>
      <c r="G3609" s="2" t="s">
        <v>77</v>
      </c>
      <c r="H3609" s="2">
        <v>4</v>
      </c>
      <c r="I3609" s="20">
        <v>100.57</v>
      </c>
      <c r="J3609" s="20">
        <v>32499</v>
      </c>
      <c r="K3609" s="3">
        <v>0</v>
      </c>
      <c r="L3609" s="3" t="s">
        <v>3</v>
      </c>
      <c r="M3609" s="9" t="s">
        <v>0</v>
      </c>
      <c r="N3609" s="9">
        <v>10876580</v>
      </c>
      <c r="O3609" s="9" t="s">
        <v>695</v>
      </c>
      <c r="S3609" s="9" t="s">
        <v>158</v>
      </c>
      <c r="T3609" s="10" t="s">
        <v>77</v>
      </c>
      <c r="U3609" s="10">
        <v>4</v>
      </c>
      <c r="V3609" s="10">
        <v>100.57</v>
      </c>
      <c r="W3609" s="10" t="s">
        <v>710</v>
      </c>
      <c r="X3609" s="17">
        <v>44987</v>
      </c>
      <c r="Y3609" s="17">
        <v>45422</v>
      </c>
      <c r="Z3609" s="17" t="s">
        <v>737</v>
      </c>
      <c r="AA3609" s="215">
        <v>117440</v>
      </c>
      <c r="AB3609" s="9">
        <v>18</v>
      </c>
      <c r="AC3609" s="9">
        <v>4</v>
      </c>
      <c r="AD3609" s="17">
        <v>45529</v>
      </c>
      <c r="AE3609" s="76">
        <v>4946</v>
      </c>
      <c r="AF3609" s="76"/>
      <c r="AG3609" s="81" t="s">
        <v>134</v>
      </c>
      <c r="AH3609" s="87">
        <v>45440</v>
      </c>
      <c r="AI3609" s="87"/>
      <c r="AJ3609" s="87"/>
      <c r="AK3609" s="88" t="s">
        <v>753</v>
      </c>
      <c r="AL3609" s="89"/>
      <c r="AM3609" s="89">
        <v>4946</v>
      </c>
      <c r="AN3609" s="88" t="s">
        <v>764</v>
      </c>
      <c r="AO3609" s="89"/>
      <c r="AP3609" s="89"/>
      <c r="AQ3609" s="89"/>
      <c r="AR3609" s="89"/>
      <c r="AS3609" s="89"/>
      <c r="AT3609" s="89"/>
      <c r="AU3609" s="89"/>
      <c r="AV3609" s="89"/>
      <c r="AW3609" s="87">
        <v>45440</v>
      </c>
      <c r="AX3609" s="81">
        <v>36990</v>
      </c>
      <c r="AY3609" s="183">
        <v>4946</v>
      </c>
      <c r="BA3609" s="22"/>
      <c r="BB3609" s="22"/>
      <c r="BD3609" s="9"/>
      <c r="CS3609" s="23">
        <f t="shared" si="251"/>
        <v>4946</v>
      </c>
      <c r="CT3609" s="22">
        <f t="shared" si="252"/>
        <v>4946</v>
      </c>
      <c r="CU3609" s="22">
        <f t="shared" si="249"/>
        <v>0</v>
      </c>
      <c r="CV3609" s="26">
        <f t="shared" si="253"/>
        <v>0</v>
      </c>
      <c r="CY3609" s="9" t="s">
        <v>3493</v>
      </c>
    </row>
    <row r="3610" spans="1:103" x14ac:dyDescent="0.2">
      <c r="A3610" s="9" t="s">
        <v>601</v>
      </c>
      <c r="B3610" s="2">
        <v>95</v>
      </c>
      <c r="C3610" s="3" t="s">
        <v>95</v>
      </c>
      <c r="D3610" s="3" t="s">
        <v>96</v>
      </c>
      <c r="E3610" s="2"/>
      <c r="F3610" s="2"/>
      <c r="G3610" s="2" t="s">
        <v>77</v>
      </c>
      <c r="H3610" s="2">
        <v>4</v>
      </c>
      <c r="I3610" s="20">
        <v>100.57</v>
      </c>
      <c r="J3610" s="20">
        <v>32499</v>
      </c>
      <c r="K3610" s="3">
        <v>0</v>
      </c>
      <c r="L3610" s="3" t="s">
        <v>3</v>
      </c>
      <c r="M3610" s="9" t="s">
        <v>0</v>
      </c>
      <c r="N3610" s="9">
        <v>10876580</v>
      </c>
      <c r="O3610" s="9" t="s">
        <v>695</v>
      </c>
      <c r="S3610" s="9" t="s">
        <v>158</v>
      </c>
      <c r="T3610" s="10" t="s">
        <v>77</v>
      </c>
      <c r="U3610" s="10">
        <v>4</v>
      </c>
      <c r="V3610" s="10">
        <v>100.57</v>
      </c>
      <c r="W3610" s="10" t="s">
        <v>710</v>
      </c>
      <c r="X3610" s="17">
        <v>44987</v>
      </c>
      <c r="Y3610" s="17">
        <v>45422</v>
      </c>
      <c r="Z3610" s="17" t="s">
        <v>737</v>
      </c>
      <c r="AA3610" s="215">
        <v>117440</v>
      </c>
      <c r="AB3610" s="9">
        <v>18</v>
      </c>
      <c r="AC3610" s="9">
        <v>5</v>
      </c>
      <c r="AD3610" s="17">
        <v>45560</v>
      </c>
      <c r="AE3610" s="76">
        <v>4946</v>
      </c>
      <c r="AF3610" s="76"/>
      <c r="AG3610" s="81" t="s">
        <v>134</v>
      </c>
      <c r="AH3610" s="87">
        <v>45440</v>
      </c>
      <c r="AI3610" s="87"/>
      <c r="AJ3610" s="87"/>
      <c r="AK3610" s="88" t="s">
        <v>754</v>
      </c>
      <c r="AL3610" s="89"/>
      <c r="AM3610" s="89">
        <v>4946</v>
      </c>
      <c r="AN3610" s="88" t="s">
        <v>765</v>
      </c>
      <c r="AO3610" s="89"/>
      <c r="AP3610" s="89"/>
      <c r="AQ3610" s="89"/>
      <c r="AR3610" s="89"/>
      <c r="AS3610" s="89"/>
      <c r="AT3610" s="89"/>
      <c r="AU3610" s="89"/>
      <c r="AV3610" s="89"/>
      <c r="AW3610" s="87">
        <v>45440</v>
      </c>
      <c r="AX3610" s="81">
        <v>36990</v>
      </c>
      <c r="AY3610" s="183">
        <v>4946</v>
      </c>
      <c r="BA3610" s="22"/>
      <c r="BB3610" s="22"/>
      <c r="BD3610" s="9"/>
      <c r="CS3610" s="23">
        <f t="shared" si="251"/>
        <v>4946</v>
      </c>
      <c r="CT3610" s="22">
        <f t="shared" si="252"/>
        <v>4946</v>
      </c>
      <c r="CU3610" s="22">
        <f t="shared" si="249"/>
        <v>0</v>
      </c>
      <c r="CV3610" s="26">
        <f t="shared" si="253"/>
        <v>0</v>
      </c>
      <c r="CY3610" s="9" t="s">
        <v>3493</v>
      </c>
    </row>
    <row r="3611" spans="1:103" x14ac:dyDescent="0.2">
      <c r="A3611" s="9" t="s">
        <v>601</v>
      </c>
      <c r="B3611" s="2">
        <v>95</v>
      </c>
      <c r="C3611" s="3" t="s">
        <v>95</v>
      </c>
      <c r="D3611" s="3" t="s">
        <v>96</v>
      </c>
      <c r="E3611" s="2"/>
      <c r="F3611" s="2"/>
      <c r="G3611" s="2" t="s">
        <v>77</v>
      </c>
      <c r="H3611" s="2">
        <v>4</v>
      </c>
      <c r="I3611" s="20">
        <v>100.57</v>
      </c>
      <c r="J3611" s="20">
        <v>32499</v>
      </c>
      <c r="K3611" s="3">
        <v>0</v>
      </c>
      <c r="L3611" s="3" t="s">
        <v>3</v>
      </c>
      <c r="M3611" s="9" t="s">
        <v>0</v>
      </c>
      <c r="N3611" s="9">
        <v>10876580</v>
      </c>
      <c r="O3611" s="9" t="s">
        <v>695</v>
      </c>
      <c r="S3611" s="9" t="s">
        <v>158</v>
      </c>
      <c r="T3611" s="10" t="s">
        <v>77</v>
      </c>
      <c r="U3611" s="10">
        <v>4</v>
      </c>
      <c r="V3611" s="10">
        <v>100.57</v>
      </c>
      <c r="W3611" s="10" t="s">
        <v>710</v>
      </c>
      <c r="X3611" s="17">
        <v>44987</v>
      </c>
      <c r="Y3611" s="17">
        <v>45422</v>
      </c>
      <c r="Z3611" s="17" t="s">
        <v>737</v>
      </c>
      <c r="AA3611" s="215">
        <v>117440</v>
      </c>
      <c r="AB3611" s="9">
        <v>18</v>
      </c>
      <c r="AC3611" s="9">
        <v>6</v>
      </c>
      <c r="AD3611" s="17">
        <v>45590</v>
      </c>
      <c r="AE3611" s="76">
        <v>4946</v>
      </c>
      <c r="AF3611" s="76"/>
      <c r="AG3611" s="81" t="s">
        <v>134</v>
      </c>
      <c r="AH3611" s="87">
        <v>45440</v>
      </c>
      <c r="AI3611" s="87"/>
      <c r="AJ3611" s="87"/>
      <c r="AK3611" s="88" t="s">
        <v>755</v>
      </c>
      <c r="AL3611" s="89"/>
      <c r="AM3611" s="89">
        <v>4946</v>
      </c>
      <c r="AN3611" s="88" t="s">
        <v>766</v>
      </c>
      <c r="AO3611" s="89"/>
      <c r="AP3611" s="89"/>
      <c r="AQ3611" s="89"/>
      <c r="AR3611" s="89"/>
      <c r="AS3611" s="89"/>
      <c r="AT3611" s="89"/>
      <c r="AU3611" s="89"/>
      <c r="AV3611" s="89"/>
      <c r="AW3611" s="87">
        <v>45440</v>
      </c>
      <c r="AX3611" s="81">
        <v>36990</v>
      </c>
      <c r="AY3611" s="183">
        <v>4946</v>
      </c>
      <c r="BA3611" s="22"/>
      <c r="BB3611" s="22"/>
      <c r="BD3611" s="9"/>
      <c r="CS3611" s="23">
        <f t="shared" si="251"/>
        <v>4946</v>
      </c>
      <c r="CT3611" s="22">
        <f t="shared" si="252"/>
        <v>4946</v>
      </c>
      <c r="CU3611" s="22">
        <f t="shared" si="249"/>
        <v>0</v>
      </c>
      <c r="CV3611" s="26">
        <f t="shared" si="253"/>
        <v>0</v>
      </c>
      <c r="CY3611" s="9" t="s">
        <v>3493</v>
      </c>
    </row>
    <row r="3612" spans="1:103" x14ac:dyDescent="0.2">
      <c r="A3612" s="9" t="s">
        <v>601</v>
      </c>
      <c r="B3612" s="2">
        <v>95</v>
      </c>
      <c r="C3612" s="3" t="s">
        <v>95</v>
      </c>
      <c r="D3612" s="3" t="s">
        <v>96</v>
      </c>
      <c r="E3612" s="2"/>
      <c r="F3612" s="2"/>
      <c r="G3612" s="2" t="s">
        <v>77</v>
      </c>
      <c r="H3612" s="2">
        <v>4</v>
      </c>
      <c r="I3612" s="20">
        <v>100.57</v>
      </c>
      <c r="J3612" s="20">
        <v>32499</v>
      </c>
      <c r="K3612" s="3">
        <v>0</v>
      </c>
      <c r="L3612" s="3" t="s">
        <v>3</v>
      </c>
      <c r="M3612" s="9" t="s">
        <v>0</v>
      </c>
      <c r="N3612" s="9">
        <v>10876580</v>
      </c>
      <c r="O3612" s="9" t="s">
        <v>695</v>
      </c>
      <c r="S3612" s="9" t="s">
        <v>158</v>
      </c>
      <c r="T3612" s="10" t="s">
        <v>77</v>
      </c>
      <c r="U3612" s="10">
        <v>4</v>
      </c>
      <c r="V3612" s="10">
        <v>100.57</v>
      </c>
      <c r="W3612" s="10" t="s">
        <v>710</v>
      </c>
      <c r="X3612" s="17">
        <v>44987</v>
      </c>
      <c r="Y3612" s="17">
        <v>45422</v>
      </c>
      <c r="Z3612" s="17" t="s">
        <v>737</v>
      </c>
      <c r="AA3612" s="215">
        <v>117440</v>
      </c>
      <c r="AB3612" s="9">
        <v>18</v>
      </c>
      <c r="AC3612" s="9">
        <v>7</v>
      </c>
      <c r="AD3612" s="17">
        <v>45621</v>
      </c>
      <c r="AE3612" s="76">
        <v>4946</v>
      </c>
      <c r="AF3612" s="76"/>
      <c r="AG3612" s="81" t="s">
        <v>134</v>
      </c>
      <c r="AH3612" s="87">
        <v>45440</v>
      </c>
      <c r="AI3612" s="87"/>
      <c r="AJ3612" s="87"/>
      <c r="AK3612" s="88" t="s">
        <v>756</v>
      </c>
      <c r="AL3612" s="89"/>
      <c r="AM3612" s="89">
        <v>4946</v>
      </c>
      <c r="AN3612" s="89" t="s">
        <v>767</v>
      </c>
      <c r="AO3612" s="89"/>
      <c r="AP3612" s="89"/>
      <c r="AQ3612" s="89"/>
      <c r="AR3612" s="89"/>
      <c r="AS3612" s="89"/>
      <c r="AT3612" s="89"/>
      <c r="AU3612" s="89"/>
      <c r="AV3612" s="89"/>
      <c r="AW3612" s="87">
        <v>45440</v>
      </c>
      <c r="AX3612" s="81">
        <v>36990</v>
      </c>
      <c r="AY3612" s="183">
        <v>4946</v>
      </c>
      <c r="BA3612" s="22"/>
      <c r="BB3612" s="22"/>
      <c r="BD3612" s="9"/>
      <c r="CS3612" s="23">
        <f t="shared" si="251"/>
        <v>4946</v>
      </c>
      <c r="CT3612" s="22">
        <f t="shared" si="252"/>
        <v>4946</v>
      </c>
      <c r="CU3612" s="22">
        <f t="shared" si="249"/>
        <v>0</v>
      </c>
      <c r="CV3612" s="26">
        <f t="shared" si="253"/>
        <v>0</v>
      </c>
      <c r="CY3612" s="9" t="s">
        <v>3493</v>
      </c>
    </row>
    <row r="3613" spans="1:103" x14ac:dyDescent="0.2">
      <c r="A3613" s="9" t="s">
        <v>601</v>
      </c>
      <c r="B3613" s="2">
        <v>95</v>
      </c>
      <c r="C3613" s="3" t="s">
        <v>95</v>
      </c>
      <c r="D3613" s="3" t="s">
        <v>96</v>
      </c>
      <c r="E3613" s="2"/>
      <c r="F3613" s="2"/>
      <c r="G3613" s="2" t="s">
        <v>77</v>
      </c>
      <c r="H3613" s="2">
        <v>4</v>
      </c>
      <c r="I3613" s="20">
        <v>100.57</v>
      </c>
      <c r="J3613" s="20">
        <v>32499</v>
      </c>
      <c r="K3613" s="3">
        <v>0</v>
      </c>
      <c r="L3613" s="3" t="s">
        <v>3</v>
      </c>
      <c r="M3613" s="9" t="s">
        <v>0</v>
      </c>
      <c r="N3613" s="9">
        <v>10876580</v>
      </c>
      <c r="O3613" s="9" t="s">
        <v>695</v>
      </c>
      <c r="S3613" s="9" t="s">
        <v>158</v>
      </c>
      <c r="T3613" s="10" t="s">
        <v>77</v>
      </c>
      <c r="U3613" s="10">
        <v>4</v>
      </c>
      <c r="V3613" s="10">
        <v>100.57</v>
      </c>
      <c r="W3613" s="10" t="s">
        <v>710</v>
      </c>
      <c r="X3613" s="17">
        <v>44987</v>
      </c>
      <c r="Y3613" s="17">
        <v>45422</v>
      </c>
      <c r="Z3613" s="17" t="s">
        <v>737</v>
      </c>
      <c r="AA3613" s="215">
        <v>117440</v>
      </c>
      <c r="AB3613" s="9">
        <v>18</v>
      </c>
      <c r="AC3613" s="9">
        <v>8</v>
      </c>
      <c r="AD3613" s="17">
        <v>45651</v>
      </c>
      <c r="AE3613" s="76">
        <v>4946</v>
      </c>
      <c r="AF3613" s="76"/>
      <c r="AG3613" s="81" t="s">
        <v>134</v>
      </c>
      <c r="AH3613" s="87">
        <v>45440</v>
      </c>
      <c r="AI3613" s="87"/>
      <c r="AJ3613" s="87"/>
      <c r="AK3613" s="88" t="s">
        <v>757</v>
      </c>
      <c r="AL3613" s="89"/>
      <c r="AM3613" s="89">
        <v>4946</v>
      </c>
      <c r="AN3613" s="89" t="s">
        <v>768</v>
      </c>
      <c r="AO3613" s="89"/>
      <c r="AP3613" s="89"/>
      <c r="AQ3613" s="89"/>
      <c r="AR3613" s="89"/>
      <c r="AS3613" s="89"/>
      <c r="AT3613" s="89"/>
      <c r="AU3613" s="89"/>
      <c r="AV3613" s="89"/>
      <c r="AW3613" s="87">
        <v>45440</v>
      </c>
      <c r="AX3613" s="81">
        <v>36990</v>
      </c>
      <c r="AY3613" s="183">
        <v>4946</v>
      </c>
      <c r="BA3613" s="22"/>
      <c r="BB3613" s="22"/>
      <c r="BD3613" s="9"/>
      <c r="CS3613" s="23">
        <f t="shared" si="251"/>
        <v>4946</v>
      </c>
      <c r="CT3613" s="22">
        <f t="shared" si="252"/>
        <v>4946</v>
      </c>
      <c r="CU3613" s="22">
        <f t="shared" si="249"/>
        <v>0</v>
      </c>
      <c r="CV3613" s="26">
        <f t="shared" si="253"/>
        <v>0</v>
      </c>
      <c r="CY3613" s="9" t="s">
        <v>3493</v>
      </c>
    </row>
    <row r="3614" spans="1:103" x14ac:dyDescent="0.2">
      <c r="A3614" s="9" t="s">
        <v>601</v>
      </c>
      <c r="B3614" s="2">
        <v>95</v>
      </c>
      <c r="C3614" s="3" t="s">
        <v>95</v>
      </c>
      <c r="D3614" s="3" t="s">
        <v>96</v>
      </c>
      <c r="E3614" s="2"/>
      <c r="F3614" s="2"/>
      <c r="G3614" s="2" t="s">
        <v>77</v>
      </c>
      <c r="H3614" s="2">
        <v>4</v>
      </c>
      <c r="I3614" s="20">
        <v>100.57</v>
      </c>
      <c r="J3614" s="20">
        <v>32499</v>
      </c>
      <c r="K3614" s="3">
        <v>0</v>
      </c>
      <c r="L3614" s="3" t="s">
        <v>3</v>
      </c>
      <c r="M3614" s="9" t="s">
        <v>0</v>
      </c>
      <c r="N3614" s="9">
        <v>10876580</v>
      </c>
      <c r="O3614" s="9" t="s">
        <v>695</v>
      </c>
      <c r="S3614" s="9" t="s">
        <v>158</v>
      </c>
      <c r="T3614" s="10" t="s">
        <v>77</v>
      </c>
      <c r="U3614" s="10">
        <v>4</v>
      </c>
      <c r="V3614" s="10">
        <v>100.57</v>
      </c>
      <c r="W3614" s="10" t="s">
        <v>710</v>
      </c>
      <c r="X3614" s="17">
        <v>44987</v>
      </c>
      <c r="Y3614" s="17">
        <v>45422</v>
      </c>
      <c r="Z3614" s="17" t="s">
        <v>737</v>
      </c>
      <c r="AA3614" s="215">
        <v>117440</v>
      </c>
      <c r="AB3614" s="9">
        <v>18</v>
      </c>
      <c r="AC3614" s="9">
        <v>9</v>
      </c>
      <c r="AD3614" s="17">
        <v>45682</v>
      </c>
      <c r="AE3614" s="76">
        <v>4946</v>
      </c>
      <c r="AF3614" s="76"/>
      <c r="AG3614" s="81" t="s">
        <v>134</v>
      </c>
      <c r="AH3614" s="87">
        <v>45440</v>
      </c>
      <c r="AI3614" s="87"/>
      <c r="AJ3614" s="87"/>
      <c r="AK3614" s="88" t="s">
        <v>758</v>
      </c>
      <c r="AL3614" s="89"/>
      <c r="AM3614" s="89">
        <v>4946</v>
      </c>
      <c r="AN3614" s="89" t="s">
        <v>769</v>
      </c>
      <c r="AO3614" s="89"/>
      <c r="AP3614" s="89"/>
      <c r="AQ3614" s="89"/>
      <c r="AR3614" s="89"/>
      <c r="AS3614" s="89"/>
      <c r="AT3614" s="89"/>
      <c r="AU3614" s="89"/>
      <c r="AV3614" s="89"/>
      <c r="AW3614" s="87">
        <v>45440</v>
      </c>
      <c r="AX3614" s="81">
        <v>36990</v>
      </c>
      <c r="AY3614" s="183">
        <v>4946</v>
      </c>
      <c r="BA3614" s="22"/>
      <c r="BB3614" s="22"/>
      <c r="BD3614" s="9"/>
      <c r="CS3614" s="23">
        <f t="shared" si="251"/>
        <v>4946</v>
      </c>
      <c r="CT3614" s="22">
        <f t="shared" si="252"/>
        <v>4946</v>
      </c>
      <c r="CU3614" s="22">
        <f t="shared" si="249"/>
        <v>0</v>
      </c>
      <c r="CV3614" s="26">
        <f t="shared" si="253"/>
        <v>0</v>
      </c>
      <c r="CY3614" s="9" t="s">
        <v>3493</v>
      </c>
    </row>
    <row r="3615" spans="1:103" x14ac:dyDescent="0.2">
      <c r="A3615" s="9" t="s">
        <v>601</v>
      </c>
      <c r="B3615" s="2">
        <v>95</v>
      </c>
      <c r="C3615" s="3" t="s">
        <v>95</v>
      </c>
      <c r="D3615" s="3" t="s">
        <v>96</v>
      </c>
      <c r="E3615" s="2"/>
      <c r="F3615" s="2"/>
      <c r="G3615" s="2" t="s">
        <v>77</v>
      </c>
      <c r="H3615" s="2">
        <v>4</v>
      </c>
      <c r="I3615" s="20">
        <v>100.57</v>
      </c>
      <c r="J3615" s="20">
        <v>32499</v>
      </c>
      <c r="K3615" s="3">
        <v>0</v>
      </c>
      <c r="L3615" s="3" t="s">
        <v>3</v>
      </c>
      <c r="M3615" s="9" t="s">
        <v>0</v>
      </c>
      <c r="N3615" s="9">
        <v>10876580</v>
      </c>
      <c r="O3615" s="9" t="s">
        <v>695</v>
      </c>
      <c r="S3615" s="9" t="s">
        <v>158</v>
      </c>
      <c r="T3615" s="10" t="s">
        <v>77</v>
      </c>
      <c r="U3615" s="10">
        <v>4</v>
      </c>
      <c r="V3615" s="10">
        <v>100.57</v>
      </c>
      <c r="W3615" s="10" t="s">
        <v>710</v>
      </c>
      <c r="X3615" s="17">
        <v>44987</v>
      </c>
      <c r="Y3615" s="17">
        <v>45422</v>
      </c>
      <c r="Z3615" s="17" t="s">
        <v>737</v>
      </c>
      <c r="AA3615" s="215">
        <v>117440</v>
      </c>
      <c r="AB3615" s="9">
        <v>18</v>
      </c>
      <c r="AC3615" s="9">
        <v>10</v>
      </c>
      <c r="AD3615" s="17">
        <v>45713</v>
      </c>
      <c r="AE3615" s="76">
        <v>4946</v>
      </c>
      <c r="AF3615" s="76"/>
      <c r="AG3615" s="81" t="s">
        <v>134</v>
      </c>
      <c r="AH3615" s="87">
        <v>45440</v>
      </c>
      <c r="AI3615" s="87"/>
      <c r="AJ3615" s="87"/>
      <c r="AK3615" s="88" t="s">
        <v>759</v>
      </c>
      <c r="AL3615" s="89"/>
      <c r="AM3615" s="89">
        <v>4946</v>
      </c>
      <c r="AN3615" s="89" t="s">
        <v>770</v>
      </c>
      <c r="AO3615" s="89"/>
      <c r="AP3615" s="89"/>
      <c r="AQ3615" s="89"/>
      <c r="AR3615" s="89"/>
      <c r="AS3615" s="89"/>
      <c r="AT3615" s="89"/>
      <c r="AU3615" s="89"/>
      <c r="AV3615" s="89"/>
      <c r="AW3615" s="87">
        <v>45440</v>
      </c>
      <c r="AX3615" s="81">
        <v>36990</v>
      </c>
      <c r="AY3615" s="183">
        <v>4946</v>
      </c>
      <c r="BA3615" s="22"/>
      <c r="BB3615" s="22"/>
      <c r="BD3615" s="9"/>
      <c r="CS3615" s="23">
        <f t="shared" si="251"/>
        <v>4946</v>
      </c>
      <c r="CT3615" s="22">
        <f t="shared" si="252"/>
        <v>4946</v>
      </c>
      <c r="CU3615" s="22">
        <f t="shared" si="249"/>
        <v>0</v>
      </c>
      <c r="CV3615" s="26">
        <f t="shared" si="253"/>
        <v>0</v>
      </c>
      <c r="CY3615" s="9" t="s">
        <v>3493</v>
      </c>
    </row>
    <row r="3616" spans="1:103" x14ac:dyDescent="0.2">
      <c r="A3616" s="9" t="s">
        <v>601</v>
      </c>
      <c r="B3616" s="2">
        <v>95</v>
      </c>
      <c r="C3616" s="3" t="s">
        <v>95</v>
      </c>
      <c r="D3616" s="3" t="s">
        <v>96</v>
      </c>
      <c r="E3616" s="2"/>
      <c r="F3616" s="2"/>
      <c r="G3616" s="2" t="s">
        <v>77</v>
      </c>
      <c r="H3616" s="2">
        <v>4</v>
      </c>
      <c r="I3616" s="20">
        <v>100.57</v>
      </c>
      <c r="J3616" s="20">
        <v>32499</v>
      </c>
      <c r="K3616" s="3">
        <v>0</v>
      </c>
      <c r="L3616" s="3" t="s">
        <v>3</v>
      </c>
      <c r="M3616" s="9" t="s">
        <v>0</v>
      </c>
      <c r="N3616" s="9">
        <v>10876580</v>
      </c>
      <c r="O3616" s="9" t="s">
        <v>695</v>
      </c>
      <c r="S3616" s="9" t="s">
        <v>158</v>
      </c>
      <c r="T3616" s="10" t="s">
        <v>77</v>
      </c>
      <c r="U3616" s="10">
        <v>4</v>
      </c>
      <c r="V3616" s="10">
        <v>100.57</v>
      </c>
      <c r="W3616" s="10" t="s">
        <v>710</v>
      </c>
      <c r="X3616" s="17">
        <v>44987</v>
      </c>
      <c r="Y3616" s="17">
        <v>45422</v>
      </c>
      <c r="Z3616" s="17" t="s">
        <v>737</v>
      </c>
      <c r="AA3616" s="215">
        <v>117440</v>
      </c>
      <c r="AB3616" s="9">
        <v>18</v>
      </c>
      <c r="AC3616" s="9">
        <v>11</v>
      </c>
      <c r="AD3616" s="17">
        <v>45741</v>
      </c>
      <c r="AE3616" s="76">
        <v>4946</v>
      </c>
      <c r="AF3616" s="76"/>
      <c r="AG3616" s="81" t="s">
        <v>134</v>
      </c>
      <c r="AH3616" s="87">
        <v>45440</v>
      </c>
      <c r="AI3616" s="87"/>
      <c r="AJ3616" s="87"/>
      <c r="AK3616" s="88" t="s">
        <v>760</v>
      </c>
      <c r="AL3616" s="89"/>
      <c r="AM3616" s="89">
        <v>4946</v>
      </c>
      <c r="AN3616" s="89" t="s">
        <v>771</v>
      </c>
      <c r="AO3616" s="89"/>
      <c r="AP3616" s="89"/>
      <c r="AQ3616" s="89"/>
      <c r="AR3616" s="89"/>
      <c r="AS3616" s="89"/>
      <c r="AT3616" s="89"/>
      <c r="AU3616" s="89"/>
      <c r="AV3616" s="89"/>
      <c r="AW3616" s="87">
        <v>45440</v>
      </c>
      <c r="AX3616" s="81">
        <v>36990</v>
      </c>
      <c r="AY3616" s="183">
        <v>4946</v>
      </c>
      <c r="BA3616" s="22"/>
      <c r="BB3616" s="22"/>
      <c r="BD3616" s="9"/>
      <c r="CS3616" s="23">
        <f t="shared" si="251"/>
        <v>4946</v>
      </c>
      <c r="CT3616" s="22">
        <f t="shared" si="252"/>
        <v>4946</v>
      </c>
      <c r="CU3616" s="22">
        <f t="shared" si="249"/>
        <v>0</v>
      </c>
      <c r="CV3616" s="26">
        <f t="shared" si="253"/>
        <v>0</v>
      </c>
      <c r="CY3616" s="9" t="s">
        <v>3493</v>
      </c>
    </row>
    <row r="3617" spans="1:103" x14ac:dyDescent="0.2">
      <c r="A3617" s="9" t="s">
        <v>601</v>
      </c>
      <c r="B3617" s="2">
        <v>95</v>
      </c>
      <c r="C3617" s="3" t="s">
        <v>95</v>
      </c>
      <c r="D3617" s="3" t="s">
        <v>96</v>
      </c>
      <c r="E3617" s="2"/>
      <c r="F3617" s="2"/>
      <c r="G3617" s="2" t="s">
        <v>77</v>
      </c>
      <c r="H3617" s="2">
        <v>4</v>
      </c>
      <c r="I3617" s="20">
        <v>100.57</v>
      </c>
      <c r="J3617" s="20">
        <v>32499</v>
      </c>
      <c r="K3617" s="3">
        <v>0</v>
      </c>
      <c r="L3617" s="3" t="s">
        <v>3</v>
      </c>
      <c r="M3617" s="9" t="s">
        <v>0</v>
      </c>
      <c r="N3617" s="9">
        <v>10876580</v>
      </c>
      <c r="O3617" s="9" t="s">
        <v>695</v>
      </c>
      <c r="S3617" s="9" t="s">
        <v>158</v>
      </c>
      <c r="T3617" s="10" t="s">
        <v>77</v>
      </c>
      <c r="U3617" s="10">
        <v>4</v>
      </c>
      <c r="V3617" s="10">
        <v>100.57</v>
      </c>
      <c r="W3617" s="10" t="s">
        <v>710</v>
      </c>
      <c r="X3617" s="17">
        <v>44987</v>
      </c>
      <c r="Y3617" s="17">
        <v>45422</v>
      </c>
      <c r="Z3617" s="17" t="s">
        <v>737</v>
      </c>
      <c r="AA3617" s="215">
        <v>117440</v>
      </c>
      <c r="AB3617" s="9">
        <v>18</v>
      </c>
      <c r="AC3617" s="9">
        <v>12</v>
      </c>
      <c r="AD3617" s="17">
        <v>45772</v>
      </c>
      <c r="AE3617" s="76">
        <v>4946</v>
      </c>
      <c r="AF3617" s="76"/>
      <c r="AG3617" s="10" t="s">
        <v>134</v>
      </c>
      <c r="AH3617" s="17">
        <v>45772</v>
      </c>
      <c r="AI3617" s="17"/>
      <c r="AJ3617" s="17"/>
      <c r="AK3617" s="9" t="s">
        <v>738</v>
      </c>
      <c r="AL3617" s="22"/>
      <c r="AM3617" s="22">
        <v>4946</v>
      </c>
      <c r="AN3617" s="22" t="s">
        <v>744</v>
      </c>
      <c r="AO3617" s="22"/>
      <c r="AP3617" s="22"/>
      <c r="AQ3617" s="22"/>
      <c r="AR3617" s="22"/>
      <c r="AS3617" s="22"/>
      <c r="AT3617" s="22"/>
      <c r="AU3617" s="22"/>
      <c r="AV3617" s="22"/>
      <c r="AW3617" s="17">
        <v>45772</v>
      </c>
      <c r="AX3617" s="10">
        <v>47785</v>
      </c>
      <c r="AY3617" s="86">
        <v>2473</v>
      </c>
      <c r="BA3617" s="22"/>
      <c r="BB3617" s="22"/>
      <c r="BC3617" s="17">
        <v>45772</v>
      </c>
      <c r="BD3617" s="9">
        <v>47787</v>
      </c>
      <c r="BE3617" s="86">
        <v>2473</v>
      </c>
      <c r="CS3617" s="23">
        <f t="shared" si="251"/>
        <v>4946</v>
      </c>
      <c r="CT3617" s="22">
        <f t="shared" si="252"/>
        <v>4946</v>
      </c>
      <c r="CU3617" s="22">
        <f t="shared" si="249"/>
        <v>0</v>
      </c>
      <c r="CV3617" s="26">
        <f t="shared" si="253"/>
        <v>0</v>
      </c>
      <c r="CY3617" s="9" t="s">
        <v>3493</v>
      </c>
    </row>
    <row r="3618" spans="1:103" x14ac:dyDescent="0.2">
      <c r="A3618" s="9" t="s">
        <v>601</v>
      </c>
      <c r="B3618" s="2">
        <v>95</v>
      </c>
      <c r="C3618" s="3" t="s">
        <v>95</v>
      </c>
      <c r="D3618" s="3" t="s">
        <v>96</v>
      </c>
      <c r="E3618" s="2"/>
      <c r="F3618" s="2"/>
      <c r="G3618" s="2" t="s">
        <v>77</v>
      </c>
      <c r="H3618" s="2">
        <v>4</v>
      </c>
      <c r="I3618" s="20">
        <v>100.57</v>
      </c>
      <c r="J3618" s="20">
        <v>32499</v>
      </c>
      <c r="K3618" s="3">
        <v>0</v>
      </c>
      <c r="L3618" s="3" t="s">
        <v>3</v>
      </c>
      <c r="M3618" s="9" t="s">
        <v>0</v>
      </c>
      <c r="N3618" s="9">
        <v>10876580</v>
      </c>
      <c r="O3618" s="9" t="s">
        <v>695</v>
      </c>
      <c r="S3618" s="9" t="s">
        <v>158</v>
      </c>
      <c r="T3618" s="10" t="s">
        <v>77</v>
      </c>
      <c r="U3618" s="10">
        <v>4</v>
      </c>
      <c r="V3618" s="10">
        <v>100.57</v>
      </c>
      <c r="W3618" s="10" t="s">
        <v>710</v>
      </c>
      <c r="X3618" s="17">
        <v>44987</v>
      </c>
      <c r="Y3618" s="17">
        <v>45422</v>
      </c>
      <c r="Z3618" s="17" t="s">
        <v>737</v>
      </c>
      <c r="AA3618" s="215">
        <v>117440</v>
      </c>
      <c r="AB3618" s="9">
        <v>18</v>
      </c>
      <c r="AC3618" s="9">
        <v>13</v>
      </c>
      <c r="AD3618" s="17">
        <v>45802</v>
      </c>
      <c r="AE3618" s="76">
        <v>4946</v>
      </c>
      <c r="AF3618" s="76"/>
      <c r="AG3618" s="10" t="s">
        <v>134</v>
      </c>
      <c r="AH3618" s="17">
        <v>45810</v>
      </c>
      <c r="AI3618" s="17"/>
      <c r="AJ3618" s="17"/>
      <c r="AK3618" s="9" t="s">
        <v>739</v>
      </c>
      <c r="AL3618" s="22"/>
      <c r="AM3618" s="22">
        <v>4946</v>
      </c>
      <c r="AN3618" s="22" t="s">
        <v>745</v>
      </c>
      <c r="AO3618" s="22"/>
      <c r="AP3618" s="22"/>
      <c r="AQ3618" s="22"/>
      <c r="AR3618" s="22"/>
      <c r="AS3618" s="22"/>
      <c r="AT3618" s="22"/>
      <c r="AU3618" s="22"/>
      <c r="AV3618" s="22"/>
      <c r="AW3618" s="17">
        <v>45807</v>
      </c>
      <c r="AX3618" s="10">
        <v>49042</v>
      </c>
      <c r="AY3618" s="86">
        <v>4946</v>
      </c>
      <c r="BA3618" s="22"/>
      <c r="BB3618" s="22"/>
      <c r="BD3618" s="9"/>
      <c r="CS3618" s="23">
        <f t="shared" si="251"/>
        <v>4946</v>
      </c>
      <c r="CT3618" s="22">
        <f t="shared" si="252"/>
        <v>4946</v>
      </c>
      <c r="CU3618" s="22">
        <f t="shared" si="249"/>
        <v>0</v>
      </c>
      <c r="CV3618" s="26">
        <f t="shared" si="253"/>
        <v>0</v>
      </c>
      <c r="CY3618" s="9" t="s">
        <v>3493</v>
      </c>
    </row>
    <row r="3619" spans="1:103" x14ac:dyDescent="0.2">
      <c r="A3619" s="9" t="s">
        <v>601</v>
      </c>
      <c r="B3619" s="2">
        <v>95</v>
      </c>
      <c r="C3619" s="3" t="s">
        <v>95</v>
      </c>
      <c r="D3619" s="3" t="s">
        <v>96</v>
      </c>
      <c r="E3619" s="2"/>
      <c r="F3619" s="2"/>
      <c r="G3619" s="2" t="s">
        <v>77</v>
      </c>
      <c r="H3619" s="2">
        <v>4</v>
      </c>
      <c r="I3619" s="20">
        <v>100.57</v>
      </c>
      <c r="J3619" s="20">
        <v>32499</v>
      </c>
      <c r="K3619" s="3">
        <v>0</v>
      </c>
      <c r="L3619" s="3" t="s">
        <v>3</v>
      </c>
      <c r="M3619" s="9" t="s">
        <v>0</v>
      </c>
      <c r="N3619" s="9">
        <v>10876580</v>
      </c>
      <c r="O3619" s="9" t="s">
        <v>695</v>
      </c>
      <c r="S3619" s="9" t="s">
        <v>158</v>
      </c>
      <c r="T3619" s="10" t="s">
        <v>77</v>
      </c>
      <c r="U3619" s="10">
        <v>4</v>
      </c>
      <c r="V3619" s="10">
        <v>100.57</v>
      </c>
      <c r="W3619" s="10" t="s">
        <v>710</v>
      </c>
      <c r="X3619" s="17">
        <v>44987</v>
      </c>
      <c r="Y3619" s="17">
        <v>45422</v>
      </c>
      <c r="Z3619" s="17" t="s">
        <v>737</v>
      </c>
      <c r="AA3619" s="215">
        <v>117440</v>
      </c>
      <c r="AB3619" s="9">
        <v>18</v>
      </c>
      <c r="AC3619" s="9">
        <v>14</v>
      </c>
      <c r="AD3619" s="17">
        <v>45833</v>
      </c>
      <c r="AE3619" s="76">
        <v>4946</v>
      </c>
      <c r="AF3619" s="76"/>
      <c r="AG3619" s="10" t="s">
        <v>134</v>
      </c>
      <c r="AH3619" s="17">
        <v>45838</v>
      </c>
      <c r="AI3619" s="17"/>
      <c r="AJ3619" s="17"/>
      <c r="AK3619" s="9" t="s">
        <v>740</v>
      </c>
      <c r="AL3619" s="22"/>
      <c r="AM3619" s="22">
        <v>4946</v>
      </c>
      <c r="AN3619" s="22" t="s">
        <v>746</v>
      </c>
      <c r="AO3619" s="22"/>
      <c r="AP3619" s="22"/>
      <c r="AQ3619" s="22"/>
      <c r="AR3619" s="22"/>
      <c r="AS3619" s="22"/>
      <c r="AT3619" s="22"/>
      <c r="AU3619" s="22"/>
      <c r="AV3619" s="22"/>
      <c r="AW3619" s="17">
        <v>45838</v>
      </c>
      <c r="AX3619" s="10">
        <v>50057</v>
      </c>
      <c r="AY3619" s="86">
        <v>4946</v>
      </c>
      <c r="BA3619" s="22"/>
      <c r="BB3619" s="22"/>
      <c r="BD3619" s="9"/>
      <c r="CS3619" s="23">
        <f t="shared" si="251"/>
        <v>4946</v>
      </c>
      <c r="CT3619" s="22">
        <f t="shared" si="252"/>
        <v>4946</v>
      </c>
      <c r="CU3619" s="22">
        <f t="shared" si="249"/>
        <v>0</v>
      </c>
      <c r="CV3619" s="26">
        <f t="shared" si="253"/>
        <v>0</v>
      </c>
      <c r="CY3619" s="9" t="s">
        <v>3493</v>
      </c>
    </row>
    <row r="3620" spans="1:103" x14ac:dyDescent="0.2">
      <c r="A3620" s="9" t="s">
        <v>601</v>
      </c>
      <c r="B3620" s="2">
        <v>95</v>
      </c>
      <c r="C3620" s="3" t="s">
        <v>95</v>
      </c>
      <c r="D3620" s="3" t="s">
        <v>96</v>
      </c>
      <c r="E3620" s="2"/>
      <c r="F3620" s="2"/>
      <c r="G3620" s="2" t="s">
        <v>77</v>
      </c>
      <c r="H3620" s="2">
        <v>4</v>
      </c>
      <c r="I3620" s="20">
        <v>100.57</v>
      </c>
      <c r="J3620" s="20">
        <v>32499</v>
      </c>
      <c r="K3620" s="3">
        <v>0</v>
      </c>
      <c r="L3620" s="3" t="s">
        <v>3</v>
      </c>
      <c r="M3620" s="9" t="s">
        <v>0</v>
      </c>
      <c r="N3620" s="9">
        <v>10876580</v>
      </c>
      <c r="O3620" s="9" t="s">
        <v>695</v>
      </c>
      <c r="S3620" s="9" t="s">
        <v>158</v>
      </c>
      <c r="T3620" s="10" t="s">
        <v>77</v>
      </c>
      <c r="U3620" s="10">
        <v>4</v>
      </c>
      <c r="V3620" s="10">
        <v>100.57</v>
      </c>
      <c r="W3620" s="10" t="s">
        <v>710</v>
      </c>
      <c r="X3620" s="17">
        <v>44987</v>
      </c>
      <c r="Y3620" s="17">
        <v>45422</v>
      </c>
      <c r="Z3620" s="17" t="s">
        <v>737</v>
      </c>
      <c r="AA3620" s="215">
        <v>117440</v>
      </c>
      <c r="AB3620" s="9">
        <v>18</v>
      </c>
      <c r="AC3620" s="9">
        <v>15</v>
      </c>
      <c r="AD3620" s="17">
        <v>45863</v>
      </c>
      <c r="AE3620" s="76">
        <v>4946</v>
      </c>
      <c r="AF3620" s="76"/>
      <c r="AG3620" s="10" t="s">
        <v>134</v>
      </c>
      <c r="AH3620" s="17">
        <v>45863</v>
      </c>
      <c r="AI3620" s="17"/>
      <c r="AJ3620" s="17"/>
      <c r="AK3620" s="9" t="s">
        <v>741</v>
      </c>
      <c r="AL3620" s="22"/>
      <c r="AM3620" s="22">
        <v>4946</v>
      </c>
      <c r="AN3620" s="22" t="s">
        <v>747</v>
      </c>
      <c r="AO3620" s="22"/>
      <c r="AP3620" s="22"/>
      <c r="AQ3620" s="22"/>
      <c r="AR3620" s="22"/>
      <c r="AS3620" s="22"/>
      <c r="AT3620" s="22"/>
      <c r="AU3620" s="22"/>
      <c r="AV3620" s="22"/>
      <c r="AW3620" s="17">
        <v>45863</v>
      </c>
      <c r="AX3620" s="10">
        <v>50887</v>
      </c>
      <c r="AY3620" s="86">
        <v>4946</v>
      </c>
      <c r="BA3620" s="22"/>
      <c r="BB3620" s="22"/>
      <c r="BD3620" s="9"/>
      <c r="CS3620" s="23">
        <f t="shared" si="251"/>
        <v>4946</v>
      </c>
      <c r="CT3620" s="22">
        <f t="shared" si="252"/>
        <v>4946</v>
      </c>
      <c r="CU3620" s="22">
        <f t="shared" si="249"/>
        <v>0</v>
      </c>
      <c r="CV3620" s="26">
        <f t="shared" si="253"/>
        <v>0</v>
      </c>
      <c r="CY3620" s="9" t="s">
        <v>3493</v>
      </c>
    </row>
    <row r="3621" spans="1:103" x14ac:dyDescent="0.2">
      <c r="A3621" s="9" t="s">
        <v>601</v>
      </c>
      <c r="B3621" s="2">
        <v>95</v>
      </c>
      <c r="C3621" s="3" t="s">
        <v>95</v>
      </c>
      <c r="D3621" s="3" t="s">
        <v>96</v>
      </c>
      <c r="E3621" s="2"/>
      <c r="F3621" s="2"/>
      <c r="G3621" s="2" t="s">
        <v>77</v>
      </c>
      <c r="H3621" s="2">
        <v>4</v>
      </c>
      <c r="I3621" s="20">
        <v>100.57</v>
      </c>
      <c r="J3621" s="20">
        <v>32499</v>
      </c>
      <c r="K3621" s="3">
        <v>0</v>
      </c>
      <c r="L3621" s="3" t="s">
        <v>3</v>
      </c>
      <c r="M3621" s="9" t="s">
        <v>0</v>
      </c>
      <c r="N3621" s="9">
        <v>10876580</v>
      </c>
      <c r="O3621" s="9" t="s">
        <v>695</v>
      </c>
      <c r="S3621" s="9" t="s">
        <v>158</v>
      </c>
      <c r="T3621" s="10" t="s">
        <v>77</v>
      </c>
      <c r="U3621" s="10">
        <v>4</v>
      </c>
      <c r="V3621" s="10">
        <v>100.57</v>
      </c>
      <c r="W3621" s="10" t="s">
        <v>710</v>
      </c>
      <c r="X3621" s="17">
        <v>44987</v>
      </c>
      <c r="Y3621" s="17">
        <v>45422</v>
      </c>
      <c r="Z3621" s="17" t="s">
        <v>737</v>
      </c>
      <c r="AA3621" s="215">
        <v>117440</v>
      </c>
      <c r="AB3621" s="9">
        <v>18</v>
      </c>
      <c r="AC3621" s="9">
        <v>16</v>
      </c>
      <c r="AD3621" s="17">
        <v>45894</v>
      </c>
      <c r="AE3621" s="76">
        <v>4946</v>
      </c>
      <c r="AF3621" s="76"/>
      <c r="AG3621" s="10" t="s">
        <v>134</v>
      </c>
      <c r="AH3621" s="17">
        <v>45890</v>
      </c>
      <c r="AI3621" s="17"/>
      <c r="AJ3621" s="17"/>
      <c r="AK3621" s="9" t="s">
        <v>742</v>
      </c>
      <c r="AL3621" s="22"/>
      <c r="AM3621" s="22">
        <v>4946</v>
      </c>
      <c r="AN3621" s="22" t="s">
        <v>748</v>
      </c>
      <c r="AO3621" s="22"/>
      <c r="AP3621" s="22"/>
      <c r="AQ3621" s="22"/>
      <c r="AR3621" s="22"/>
      <c r="AS3621" s="22"/>
      <c r="AT3621" s="22"/>
      <c r="AU3621" s="22"/>
      <c r="AV3621" s="22"/>
      <c r="AW3621" s="17">
        <v>45890</v>
      </c>
      <c r="AX3621" s="10">
        <v>51769</v>
      </c>
      <c r="AY3621" s="86">
        <v>4946</v>
      </c>
      <c r="BA3621" s="22"/>
      <c r="BB3621" s="22"/>
      <c r="BD3621" s="9"/>
      <c r="CS3621" s="23">
        <f t="shared" si="251"/>
        <v>4946</v>
      </c>
      <c r="CT3621" s="22">
        <f t="shared" si="252"/>
        <v>4946</v>
      </c>
      <c r="CU3621" s="22">
        <f t="shared" si="249"/>
        <v>0</v>
      </c>
      <c r="CV3621" s="26">
        <f t="shared" si="253"/>
        <v>0</v>
      </c>
      <c r="CY3621" s="9" t="s">
        <v>3493</v>
      </c>
    </row>
    <row r="3622" spans="1:103" x14ac:dyDescent="0.2">
      <c r="A3622" s="9" t="s">
        <v>601</v>
      </c>
      <c r="B3622" s="2">
        <v>95</v>
      </c>
      <c r="C3622" s="3" t="s">
        <v>95</v>
      </c>
      <c r="D3622" s="3" t="s">
        <v>96</v>
      </c>
      <c r="E3622" s="2"/>
      <c r="F3622" s="2"/>
      <c r="G3622" s="2" t="s">
        <v>77</v>
      </c>
      <c r="H3622" s="2">
        <v>4</v>
      </c>
      <c r="I3622" s="20">
        <v>100.57</v>
      </c>
      <c r="J3622" s="20">
        <v>32499</v>
      </c>
      <c r="K3622" s="3">
        <v>0</v>
      </c>
      <c r="L3622" s="3" t="s">
        <v>3</v>
      </c>
      <c r="M3622" s="9" t="s">
        <v>0</v>
      </c>
      <c r="N3622" s="9">
        <v>10876580</v>
      </c>
      <c r="O3622" s="9" t="s">
        <v>695</v>
      </c>
      <c r="S3622" s="9" t="s">
        <v>158</v>
      </c>
      <c r="T3622" s="10" t="s">
        <v>77</v>
      </c>
      <c r="U3622" s="10">
        <v>4</v>
      </c>
      <c r="V3622" s="10">
        <v>100.57</v>
      </c>
      <c r="W3622" s="10" t="s">
        <v>710</v>
      </c>
      <c r="X3622" s="17">
        <v>44987</v>
      </c>
      <c r="Y3622" s="17">
        <v>45422</v>
      </c>
      <c r="Z3622" s="17" t="s">
        <v>737</v>
      </c>
      <c r="AA3622" s="215">
        <v>117440</v>
      </c>
      <c r="AB3622" s="9">
        <v>18</v>
      </c>
      <c r="AC3622" s="9">
        <v>17</v>
      </c>
      <c r="AD3622" s="17">
        <v>45925</v>
      </c>
      <c r="AE3622" s="76">
        <v>4946</v>
      </c>
      <c r="AF3622" s="76"/>
      <c r="AG3622" s="10" t="s">
        <v>134</v>
      </c>
      <c r="AH3622" s="17">
        <v>45923</v>
      </c>
      <c r="AI3622" s="17"/>
      <c r="AJ3622" s="17"/>
      <c r="AK3622" s="9" t="s">
        <v>743</v>
      </c>
      <c r="AL3622" s="22"/>
      <c r="AM3622" s="22">
        <v>4946</v>
      </c>
      <c r="AN3622" s="22" t="s">
        <v>749</v>
      </c>
      <c r="AO3622" s="22"/>
      <c r="AP3622" s="22"/>
      <c r="AQ3622" s="22"/>
      <c r="AR3622" s="22"/>
      <c r="AS3622" s="22"/>
      <c r="AT3622" s="22"/>
      <c r="AU3622" s="22"/>
      <c r="AV3622" s="22"/>
      <c r="AW3622" s="17">
        <v>45923</v>
      </c>
      <c r="AX3622" s="10">
        <v>52734</v>
      </c>
      <c r="AY3622" s="86">
        <v>4946</v>
      </c>
      <c r="BA3622" s="22"/>
      <c r="BB3622" s="22"/>
      <c r="BD3622" s="9"/>
      <c r="CS3622" s="23">
        <f t="shared" si="251"/>
        <v>4946</v>
      </c>
      <c r="CT3622" s="22">
        <f t="shared" si="252"/>
        <v>4946</v>
      </c>
      <c r="CU3622" s="22">
        <f t="shared" si="249"/>
        <v>0</v>
      </c>
      <c r="CV3622" s="26">
        <f t="shared" si="253"/>
        <v>0</v>
      </c>
      <c r="CY3622" s="9" t="s">
        <v>3493</v>
      </c>
    </row>
    <row r="3623" spans="1:103" x14ac:dyDescent="0.2">
      <c r="A3623" s="9" t="s">
        <v>601</v>
      </c>
      <c r="B3623" s="2">
        <v>95</v>
      </c>
      <c r="C3623" s="3" t="s">
        <v>95</v>
      </c>
      <c r="D3623" s="3" t="s">
        <v>96</v>
      </c>
      <c r="E3623" s="2"/>
      <c r="F3623" s="2"/>
      <c r="G3623" s="2" t="s">
        <v>77</v>
      </c>
      <c r="H3623" s="2">
        <v>4</v>
      </c>
      <c r="I3623" s="20">
        <v>100.57</v>
      </c>
      <c r="J3623" s="20">
        <v>32499</v>
      </c>
      <c r="K3623" s="3">
        <v>0</v>
      </c>
      <c r="L3623" s="3" t="s">
        <v>3</v>
      </c>
      <c r="M3623" s="9" t="s">
        <v>0</v>
      </c>
      <c r="N3623" s="9">
        <v>10876580</v>
      </c>
      <c r="O3623" s="9" t="s">
        <v>695</v>
      </c>
      <c r="S3623" s="9" t="s">
        <v>158</v>
      </c>
      <c r="T3623" s="10" t="s">
        <v>77</v>
      </c>
      <c r="U3623" s="10">
        <v>4</v>
      </c>
      <c r="V3623" s="10">
        <v>100.57</v>
      </c>
      <c r="W3623" s="10" t="s">
        <v>710</v>
      </c>
      <c r="X3623" s="17">
        <v>44987</v>
      </c>
      <c r="Y3623" s="17">
        <v>45422</v>
      </c>
      <c r="Z3623" s="17" t="s">
        <v>737</v>
      </c>
      <c r="AA3623" s="215">
        <v>117440</v>
      </c>
      <c r="AB3623" s="9">
        <v>18</v>
      </c>
      <c r="AC3623" s="9">
        <v>18</v>
      </c>
      <c r="AD3623" s="17">
        <v>45955</v>
      </c>
      <c r="AE3623" s="76">
        <v>4941.29</v>
      </c>
      <c r="AF3623" s="76"/>
      <c r="AG3623" s="10" t="s">
        <v>134</v>
      </c>
      <c r="AL3623" s="22"/>
      <c r="AM3623" s="22"/>
      <c r="AN3623" s="22"/>
      <c r="AO3623" s="22"/>
      <c r="AP3623" s="22"/>
      <c r="AQ3623" s="22"/>
      <c r="AR3623" s="22"/>
      <c r="AS3623" s="22"/>
      <c r="AT3623" s="22"/>
      <c r="AU3623" s="22"/>
      <c r="AV3623" s="22"/>
      <c r="AW3623" s="9"/>
      <c r="BA3623" s="22"/>
      <c r="BB3623" s="22"/>
      <c r="BD3623" s="9"/>
      <c r="CS3623" s="23">
        <f t="shared" si="251"/>
        <v>0</v>
      </c>
      <c r="CT3623" s="22">
        <f t="shared" si="252"/>
        <v>0</v>
      </c>
      <c r="CU3623" s="22">
        <f t="shared" si="249"/>
        <v>0</v>
      </c>
      <c r="CV3623" s="26">
        <f t="shared" si="253"/>
        <v>4941.29</v>
      </c>
      <c r="CY3623" s="9" t="s">
        <v>3493</v>
      </c>
    </row>
    <row r="3624" spans="1:103" x14ac:dyDescent="0.2">
      <c r="A3624" s="9" t="s">
        <v>699</v>
      </c>
      <c r="B3624" s="2">
        <v>113</v>
      </c>
      <c r="C3624" s="3" t="s">
        <v>95</v>
      </c>
      <c r="D3624" s="3" t="s">
        <v>96</v>
      </c>
      <c r="E3624" s="2"/>
      <c r="F3624" s="2"/>
      <c r="G3624" s="2" t="s">
        <v>80</v>
      </c>
      <c r="H3624" s="2">
        <v>3</v>
      </c>
      <c r="I3624" s="20">
        <v>127.4</v>
      </c>
      <c r="J3624" s="20">
        <v>56922</v>
      </c>
      <c r="K3624" s="3">
        <v>0</v>
      </c>
      <c r="L3624" s="3" t="s">
        <v>3</v>
      </c>
      <c r="M3624" s="9" t="s">
        <v>0</v>
      </c>
      <c r="N3624" s="9">
        <v>60636005</v>
      </c>
      <c r="O3624" s="9" t="s">
        <v>696</v>
      </c>
      <c r="P3624" s="9" t="s">
        <v>0</v>
      </c>
      <c r="Q3624" s="30" t="s">
        <v>697</v>
      </c>
      <c r="R3624" s="9" t="s">
        <v>698</v>
      </c>
      <c r="S3624" s="9" t="s">
        <v>158</v>
      </c>
      <c r="T3624" s="10" t="s">
        <v>80</v>
      </c>
      <c r="U3624" s="10">
        <v>3</v>
      </c>
      <c r="V3624" s="10">
        <v>127.4</v>
      </c>
      <c r="W3624" s="10" t="s">
        <v>710</v>
      </c>
      <c r="X3624" s="17">
        <v>45857</v>
      </c>
      <c r="Y3624" s="17">
        <v>45857</v>
      </c>
      <c r="Z3624" s="19" t="s">
        <v>772</v>
      </c>
      <c r="AA3624" s="207">
        <v>40500</v>
      </c>
      <c r="AB3624" s="9">
        <v>24</v>
      </c>
      <c r="AC3624" s="9">
        <v>0</v>
      </c>
      <c r="AD3624" s="17">
        <v>45857</v>
      </c>
      <c r="AE3624" s="54">
        <v>3000</v>
      </c>
      <c r="AF3624" s="54"/>
      <c r="AG3624" s="9" t="s">
        <v>134</v>
      </c>
      <c r="AH3624" s="17">
        <v>45857</v>
      </c>
      <c r="AI3624" s="17"/>
      <c r="AJ3624" s="17"/>
      <c r="AK3624" s="9" t="s">
        <v>700</v>
      </c>
      <c r="AL3624" s="22">
        <v>3000</v>
      </c>
      <c r="AM3624" s="22"/>
      <c r="AN3624" s="22" t="s">
        <v>723</v>
      </c>
      <c r="AO3624" s="22"/>
      <c r="AP3624" s="22"/>
      <c r="AQ3624" s="22"/>
      <c r="AR3624" s="22"/>
      <c r="AS3624" s="22"/>
      <c r="AT3624" s="22"/>
      <c r="AU3624" s="22"/>
      <c r="AV3624" s="22"/>
      <c r="AW3624" s="17">
        <v>45857</v>
      </c>
      <c r="AX3624" s="77">
        <v>4442</v>
      </c>
      <c r="BA3624" s="22">
        <v>3000</v>
      </c>
      <c r="BB3624" s="22"/>
      <c r="BD3624" s="9"/>
      <c r="CS3624" s="11">
        <f t="shared" ref="CS3624:CS3655" si="254">+AL3624+AT3624</f>
        <v>3000</v>
      </c>
      <c r="CT3624" s="22">
        <f t="shared" ref="CT3624:CT3655" si="255">+BA3624+BG3624+BM3624+BS3624+BY3624+CE3624+CK3624+CQ3624</f>
        <v>3000</v>
      </c>
      <c r="CU3624" s="22">
        <f t="shared" si="249"/>
        <v>0</v>
      </c>
      <c r="CV3624" s="26">
        <f t="shared" ref="CV3624:CV3655" si="256">+AE3624-AL3624-AT3624</f>
        <v>0</v>
      </c>
    </row>
    <row r="3625" spans="1:103" x14ac:dyDescent="0.2">
      <c r="A3625" s="9" t="s">
        <v>699</v>
      </c>
      <c r="B3625" s="2">
        <v>113</v>
      </c>
      <c r="C3625" s="3" t="s">
        <v>95</v>
      </c>
      <c r="D3625" s="3" t="s">
        <v>96</v>
      </c>
      <c r="E3625" s="2"/>
      <c r="F3625" s="2"/>
      <c r="G3625" s="2" t="s">
        <v>80</v>
      </c>
      <c r="H3625" s="2">
        <v>3</v>
      </c>
      <c r="I3625" s="20">
        <v>127.4</v>
      </c>
      <c r="J3625" s="20">
        <v>56922</v>
      </c>
      <c r="K3625" s="3">
        <v>0</v>
      </c>
      <c r="L3625" s="3" t="s">
        <v>3</v>
      </c>
      <c r="M3625" s="9" t="s">
        <v>0</v>
      </c>
      <c r="N3625" s="9">
        <v>60636005</v>
      </c>
      <c r="O3625" s="9" t="s">
        <v>696</v>
      </c>
      <c r="P3625" s="9" t="s">
        <v>0</v>
      </c>
      <c r="Q3625" s="30" t="s">
        <v>697</v>
      </c>
      <c r="R3625" s="9" t="s">
        <v>698</v>
      </c>
      <c r="S3625" s="9" t="s">
        <v>158</v>
      </c>
      <c r="T3625" s="10" t="s">
        <v>80</v>
      </c>
      <c r="U3625" s="10">
        <v>3</v>
      </c>
      <c r="V3625" s="10">
        <v>127.4</v>
      </c>
      <c r="W3625" s="10" t="s">
        <v>710</v>
      </c>
      <c r="X3625" s="17">
        <v>45857</v>
      </c>
      <c r="Y3625" s="17">
        <v>45857</v>
      </c>
      <c r="Z3625" s="19" t="s">
        <v>772</v>
      </c>
      <c r="AA3625" s="207">
        <v>40500</v>
      </c>
      <c r="AB3625" s="9">
        <v>24</v>
      </c>
      <c r="AC3625" s="9">
        <v>0</v>
      </c>
      <c r="AD3625" s="17">
        <v>45859</v>
      </c>
      <c r="AE3625" s="54">
        <v>1000</v>
      </c>
      <c r="AF3625" s="54"/>
      <c r="AG3625" s="9" t="s">
        <v>134</v>
      </c>
      <c r="AH3625" s="17">
        <v>45860</v>
      </c>
      <c r="AI3625" s="17"/>
      <c r="AJ3625" s="17"/>
      <c r="AK3625" s="9" t="s">
        <v>701</v>
      </c>
      <c r="AL3625" s="22">
        <v>1000</v>
      </c>
      <c r="AM3625" s="22"/>
      <c r="AN3625" s="22" t="s">
        <v>724</v>
      </c>
      <c r="AO3625" s="22"/>
      <c r="AP3625" s="22"/>
      <c r="AQ3625" s="22"/>
      <c r="AR3625" s="22"/>
      <c r="AS3625" s="22"/>
      <c r="AT3625" s="22"/>
      <c r="AU3625" s="22"/>
      <c r="AV3625" s="22"/>
      <c r="AW3625" s="17">
        <v>45860</v>
      </c>
      <c r="AX3625" s="77">
        <v>4453</v>
      </c>
      <c r="BA3625" s="22">
        <v>1000</v>
      </c>
      <c r="BB3625" s="22"/>
      <c r="BD3625" s="9"/>
      <c r="CS3625" s="11">
        <f t="shared" si="254"/>
        <v>1000</v>
      </c>
      <c r="CT3625" s="22">
        <f t="shared" si="255"/>
        <v>1000</v>
      </c>
      <c r="CU3625" s="22">
        <f t="shared" si="249"/>
        <v>0</v>
      </c>
      <c r="CV3625" s="26">
        <f t="shared" si="256"/>
        <v>0</v>
      </c>
    </row>
    <row r="3626" spans="1:103" x14ac:dyDescent="0.2">
      <c r="A3626" s="9" t="s">
        <v>699</v>
      </c>
      <c r="B3626" s="2">
        <v>113</v>
      </c>
      <c r="C3626" s="3" t="s">
        <v>95</v>
      </c>
      <c r="D3626" s="3" t="s">
        <v>96</v>
      </c>
      <c r="E3626" s="2"/>
      <c r="F3626" s="2"/>
      <c r="G3626" s="2" t="s">
        <v>80</v>
      </c>
      <c r="H3626" s="2">
        <v>3</v>
      </c>
      <c r="I3626" s="20">
        <v>127.4</v>
      </c>
      <c r="J3626" s="20">
        <v>56922</v>
      </c>
      <c r="K3626" s="3">
        <v>0</v>
      </c>
      <c r="L3626" s="3" t="s">
        <v>3</v>
      </c>
      <c r="M3626" s="9" t="s">
        <v>0</v>
      </c>
      <c r="N3626" s="9">
        <v>60636005</v>
      </c>
      <c r="O3626" s="9" t="s">
        <v>696</v>
      </c>
      <c r="P3626" s="9" t="s">
        <v>0</v>
      </c>
      <c r="Q3626" s="30" t="s">
        <v>697</v>
      </c>
      <c r="R3626" s="9" t="s">
        <v>698</v>
      </c>
      <c r="S3626" s="9" t="s">
        <v>158</v>
      </c>
      <c r="T3626" s="10" t="s">
        <v>80</v>
      </c>
      <c r="U3626" s="10">
        <v>3</v>
      </c>
      <c r="V3626" s="10">
        <v>127.4</v>
      </c>
      <c r="W3626" s="10" t="s">
        <v>710</v>
      </c>
      <c r="X3626" s="17">
        <v>45857</v>
      </c>
      <c r="Y3626" s="17">
        <v>45857</v>
      </c>
      <c r="Z3626" s="19" t="s">
        <v>772</v>
      </c>
      <c r="AA3626" s="207">
        <v>40500</v>
      </c>
      <c r="AB3626" s="9">
        <v>24</v>
      </c>
      <c r="AC3626" s="9">
        <v>1</v>
      </c>
      <c r="AD3626" s="17">
        <v>45915</v>
      </c>
      <c r="AE3626" s="54">
        <v>1520</v>
      </c>
      <c r="AF3626" s="54"/>
      <c r="AG3626" s="9" t="s">
        <v>134</v>
      </c>
      <c r="AH3626" s="17">
        <v>45917</v>
      </c>
      <c r="AI3626" s="17"/>
      <c r="AJ3626" s="17"/>
      <c r="AK3626" s="9" t="s">
        <v>711</v>
      </c>
      <c r="AL3626" s="22">
        <v>1520</v>
      </c>
      <c r="AM3626" s="22"/>
      <c r="AN3626" s="22" t="s">
        <v>725</v>
      </c>
      <c r="AO3626" s="22"/>
      <c r="AP3626" s="22"/>
      <c r="AQ3626" s="22"/>
      <c r="AR3626" s="22"/>
      <c r="AS3626" s="22"/>
      <c r="AT3626" s="22"/>
      <c r="AU3626" s="22"/>
      <c r="AV3626" s="22"/>
      <c r="AW3626" s="17">
        <v>45917</v>
      </c>
      <c r="AX3626" s="82">
        <v>4738</v>
      </c>
      <c r="BA3626" s="22">
        <v>1520</v>
      </c>
      <c r="BB3626" s="22"/>
      <c r="BD3626" s="9"/>
      <c r="CS3626" s="11">
        <f t="shared" si="254"/>
        <v>1520</v>
      </c>
      <c r="CT3626" s="22">
        <f t="shared" si="255"/>
        <v>1520</v>
      </c>
      <c r="CU3626" s="22">
        <f t="shared" si="249"/>
        <v>0</v>
      </c>
      <c r="CV3626" s="26">
        <f t="shared" si="256"/>
        <v>0</v>
      </c>
    </row>
    <row r="3627" spans="1:103" x14ac:dyDescent="0.2">
      <c r="A3627" s="9" t="s">
        <v>699</v>
      </c>
      <c r="B3627" s="2">
        <v>113</v>
      </c>
      <c r="C3627" s="3" t="s">
        <v>95</v>
      </c>
      <c r="D3627" s="3" t="s">
        <v>96</v>
      </c>
      <c r="E3627" s="2"/>
      <c r="F3627" s="2"/>
      <c r="G3627" s="2" t="s">
        <v>80</v>
      </c>
      <c r="H3627" s="2">
        <v>3</v>
      </c>
      <c r="I3627" s="20">
        <v>127.4</v>
      </c>
      <c r="J3627" s="20">
        <v>56922</v>
      </c>
      <c r="K3627" s="3">
        <v>0</v>
      </c>
      <c r="L3627" s="3" t="s">
        <v>3</v>
      </c>
      <c r="M3627" s="9" t="s">
        <v>0</v>
      </c>
      <c r="N3627" s="9">
        <v>60636005</v>
      </c>
      <c r="O3627" s="9" t="s">
        <v>696</v>
      </c>
      <c r="P3627" s="9" t="s">
        <v>0</v>
      </c>
      <c r="Q3627" s="30" t="s">
        <v>697</v>
      </c>
      <c r="R3627" s="9" t="s">
        <v>698</v>
      </c>
      <c r="S3627" s="9" t="s">
        <v>158</v>
      </c>
      <c r="T3627" s="10" t="s">
        <v>80</v>
      </c>
      <c r="U3627" s="10">
        <v>3</v>
      </c>
      <c r="V3627" s="10">
        <v>127.4</v>
      </c>
      <c r="W3627" s="10" t="s">
        <v>710</v>
      </c>
      <c r="X3627" s="17">
        <v>45857</v>
      </c>
      <c r="Y3627" s="17">
        <v>45857</v>
      </c>
      <c r="Z3627" s="19" t="s">
        <v>772</v>
      </c>
      <c r="AA3627" s="207">
        <v>40500</v>
      </c>
      <c r="AB3627" s="9">
        <v>24</v>
      </c>
      <c r="AC3627" s="9">
        <v>2</v>
      </c>
      <c r="AD3627" s="17">
        <v>45945</v>
      </c>
      <c r="AE3627" s="54">
        <v>1520</v>
      </c>
      <c r="AF3627" s="54"/>
      <c r="AL3627" s="22"/>
      <c r="AM3627" s="22"/>
      <c r="AN3627" s="9"/>
      <c r="AO3627" s="9"/>
      <c r="AP3627" s="22"/>
      <c r="AQ3627" s="22"/>
      <c r="AR3627" s="22"/>
      <c r="AS3627" s="22"/>
      <c r="AT3627" s="22"/>
      <c r="AU3627" s="22"/>
      <c r="AV3627" s="22"/>
      <c r="AW3627" s="9"/>
      <c r="BA3627" s="22"/>
      <c r="BB3627" s="22"/>
      <c r="BD3627" s="9"/>
      <c r="CS3627" s="11">
        <f t="shared" si="254"/>
        <v>0</v>
      </c>
      <c r="CT3627" s="22">
        <f t="shared" si="255"/>
        <v>0</v>
      </c>
      <c r="CU3627" s="22">
        <f t="shared" si="249"/>
        <v>0</v>
      </c>
      <c r="CV3627" s="26">
        <f t="shared" si="256"/>
        <v>1520</v>
      </c>
    </row>
    <row r="3628" spans="1:103" x14ac:dyDescent="0.2">
      <c r="A3628" s="9" t="s">
        <v>699</v>
      </c>
      <c r="B3628" s="2">
        <v>113</v>
      </c>
      <c r="C3628" s="3" t="s">
        <v>95</v>
      </c>
      <c r="D3628" s="3" t="s">
        <v>96</v>
      </c>
      <c r="E3628" s="2"/>
      <c r="F3628" s="2"/>
      <c r="G3628" s="2" t="s">
        <v>80</v>
      </c>
      <c r="H3628" s="2">
        <v>3</v>
      </c>
      <c r="I3628" s="20">
        <v>127.4</v>
      </c>
      <c r="J3628" s="20">
        <v>56922</v>
      </c>
      <c r="K3628" s="3">
        <v>0</v>
      </c>
      <c r="L3628" s="3" t="s">
        <v>3</v>
      </c>
      <c r="M3628" s="9" t="s">
        <v>0</v>
      </c>
      <c r="N3628" s="9">
        <v>60636005</v>
      </c>
      <c r="O3628" s="9" t="s">
        <v>696</v>
      </c>
      <c r="P3628" s="9" t="s">
        <v>0</v>
      </c>
      <c r="Q3628" s="30" t="s">
        <v>697</v>
      </c>
      <c r="R3628" s="9" t="s">
        <v>698</v>
      </c>
      <c r="S3628" s="9" t="s">
        <v>158</v>
      </c>
      <c r="T3628" s="10" t="s">
        <v>80</v>
      </c>
      <c r="U3628" s="10">
        <v>3</v>
      </c>
      <c r="V3628" s="10">
        <v>127.4</v>
      </c>
      <c r="W3628" s="10" t="s">
        <v>710</v>
      </c>
      <c r="X3628" s="17">
        <v>45857</v>
      </c>
      <c r="Y3628" s="17">
        <v>45857</v>
      </c>
      <c r="Z3628" s="19" t="s">
        <v>772</v>
      </c>
      <c r="AA3628" s="207">
        <v>40500</v>
      </c>
      <c r="AB3628" s="9">
        <v>24</v>
      </c>
      <c r="AC3628" s="9">
        <v>3</v>
      </c>
      <c r="AD3628" s="17">
        <v>45976</v>
      </c>
      <c r="AE3628" s="54">
        <v>1520</v>
      </c>
      <c r="AF3628" s="54"/>
      <c r="AL3628" s="22"/>
      <c r="AM3628" s="22"/>
      <c r="AN3628" s="22"/>
      <c r="AO3628" s="22"/>
      <c r="AP3628" s="22"/>
      <c r="AQ3628" s="22"/>
      <c r="AR3628" s="22"/>
      <c r="AS3628" s="22"/>
      <c r="AT3628" s="22"/>
      <c r="AU3628" s="22"/>
      <c r="AV3628" s="22"/>
      <c r="AW3628" s="9"/>
      <c r="BA3628" s="22"/>
      <c r="BB3628" s="22"/>
      <c r="BD3628" s="9"/>
      <c r="CS3628" s="11">
        <f t="shared" si="254"/>
        <v>0</v>
      </c>
      <c r="CT3628" s="22">
        <f t="shared" si="255"/>
        <v>0</v>
      </c>
      <c r="CU3628" s="22">
        <f t="shared" si="249"/>
        <v>0</v>
      </c>
      <c r="CV3628" s="26">
        <f t="shared" si="256"/>
        <v>1520</v>
      </c>
    </row>
    <row r="3629" spans="1:103" x14ac:dyDescent="0.2">
      <c r="A3629" s="9" t="s">
        <v>699</v>
      </c>
      <c r="B3629" s="2">
        <v>113</v>
      </c>
      <c r="C3629" s="3" t="s">
        <v>95</v>
      </c>
      <c r="D3629" s="3" t="s">
        <v>96</v>
      </c>
      <c r="E3629" s="2"/>
      <c r="F3629" s="2"/>
      <c r="G3629" s="2" t="s">
        <v>80</v>
      </c>
      <c r="H3629" s="2">
        <v>3</v>
      </c>
      <c r="I3629" s="20">
        <v>127.4</v>
      </c>
      <c r="J3629" s="20">
        <v>56922</v>
      </c>
      <c r="K3629" s="3">
        <v>0</v>
      </c>
      <c r="L3629" s="3" t="s">
        <v>3</v>
      </c>
      <c r="M3629" s="9" t="s">
        <v>0</v>
      </c>
      <c r="N3629" s="9">
        <v>60636005</v>
      </c>
      <c r="O3629" s="9" t="s">
        <v>696</v>
      </c>
      <c r="P3629" s="9" t="s">
        <v>0</v>
      </c>
      <c r="Q3629" s="30" t="s">
        <v>697</v>
      </c>
      <c r="R3629" s="9" t="s">
        <v>698</v>
      </c>
      <c r="S3629" s="9" t="s">
        <v>158</v>
      </c>
      <c r="T3629" s="10" t="s">
        <v>80</v>
      </c>
      <c r="U3629" s="10">
        <v>3</v>
      </c>
      <c r="V3629" s="10">
        <v>127.4</v>
      </c>
      <c r="W3629" s="10" t="s">
        <v>710</v>
      </c>
      <c r="X3629" s="17">
        <v>45857</v>
      </c>
      <c r="Y3629" s="17">
        <v>45857</v>
      </c>
      <c r="Z3629" s="19" t="s">
        <v>772</v>
      </c>
      <c r="AA3629" s="207">
        <v>40500</v>
      </c>
      <c r="AB3629" s="9">
        <v>24</v>
      </c>
      <c r="AC3629" s="9">
        <v>4</v>
      </c>
      <c r="AD3629" s="17">
        <v>46006</v>
      </c>
      <c r="AE3629" s="54">
        <v>1520</v>
      </c>
      <c r="AF3629" s="54"/>
      <c r="AL3629" s="22"/>
      <c r="AM3629" s="22"/>
      <c r="AN3629" s="22"/>
      <c r="AO3629" s="22"/>
      <c r="AP3629" s="22"/>
      <c r="AQ3629" s="22"/>
      <c r="AR3629" s="22"/>
      <c r="AS3629" s="22"/>
      <c r="AT3629" s="22"/>
      <c r="AU3629" s="22"/>
      <c r="AV3629" s="22"/>
      <c r="AW3629" s="9"/>
      <c r="BA3629" s="22"/>
      <c r="BB3629" s="22"/>
      <c r="BD3629" s="9"/>
      <c r="CS3629" s="11">
        <f t="shared" si="254"/>
        <v>0</v>
      </c>
      <c r="CT3629" s="22">
        <f t="shared" si="255"/>
        <v>0</v>
      </c>
      <c r="CU3629" s="22">
        <f t="shared" si="249"/>
        <v>0</v>
      </c>
      <c r="CV3629" s="26">
        <f t="shared" si="256"/>
        <v>1520</v>
      </c>
    </row>
    <row r="3630" spans="1:103" x14ac:dyDescent="0.2">
      <c r="A3630" s="9" t="s">
        <v>699</v>
      </c>
      <c r="B3630" s="2">
        <v>113</v>
      </c>
      <c r="C3630" s="3" t="s">
        <v>95</v>
      </c>
      <c r="D3630" s="3" t="s">
        <v>96</v>
      </c>
      <c r="E3630" s="2"/>
      <c r="F3630" s="2"/>
      <c r="G3630" s="2" t="s">
        <v>80</v>
      </c>
      <c r="H3630" s="2">
        <v>3</v>
      </c>
      <c r="I3630" s="20">
        <v>127.4</v>
      </c>
      <c r="J3630" s="20">
        <v>56922</v>
      </c>
      <c r="K3630" s="3">
        <v>0</v>
      </c>
      <c r="L3630" s="3" t="s">
        <v>3</v>
      </c>
      <c r="M3630" s="9" t="s">
        <v>0</v>
      </c>
      <c r="N3630" s="9">
        <v>60636005</v>
      </c>
      <c r="O3630" s="9" t="s">
        <v>696</v>
      </c>
      <c r="P3630" s="9" t="s">
        <v>0</v>
      </c>
      <c r="Q3630" s="30" t="s">
        <v>697</v>
      </c>
      <c r="R3630" s="9" t="s">
        <v>698</v>
      </c>
      <c r="S3630" s="9" t="s">
        <v>158</v>
      </c>
      <c r="T3630" s="10" t="s">
        <v>80</v>
      </c>
      <c r="U3630" s="10">
        <v>3</v>
      </c>
      <c r="V3630" s="10">
        <v>127.4</v>
      </c>
      <c r="W3630" s="10" t="s">
        <v>710</v>
      </c>
      <c r="X3630" s="17">
        <v>45857</v>
      </c>
      <c r="Y3630" s="17">
        <v>45857</v>
      </c>
      <c r="Z3630" s="19" t="s">
        <v>772</v>
      </c>
      <c r="AA3630" s="207">
        <v>40500</v>
      </c>
      <c r="AB3630" s="9">
        <v>24</v>
      </c>
      <c r="AC3630" s="9">
        <v>5</v>
      </c>
      <c r="AD3630" s="17">
        <v>46037</v>
      </c>
      <c r="AE3630" s="54">
        <v>1520</v>
      </c>
      <c r="AF3630" s="54"/>
      <c r="AL3630" s="22"/>
      <c r="AM3630" s="22"/>
      <c r="AN3630" s="22"/>
      <c r="AO3630" s="22"/>
      <c r="AP3630" s="22"/>
      <c r="AQ3630" s="22"/>
      <c r="AR3630" s="22"/>
      <c r="AS3630" s="22"/>
      <c r="AT3630" s="22"/>
      <c r="AU3630" s="22"/>
      <c r="AV3630" s="22"/>
      <c r="AW3630" s="9"/>
      <c r="BA3630" s="22"/>
      <c r="BB3630" s="22"/>
      <c r="BD3630" s="9"/>
      <c r="CS3630" s="11">
        <f t="shared" si="254"/>
        <v>0</v>
      </c>
      <c r="CT3630" s="22">
        <f t="shared" si="255"/>
        <v>0</v>
      </c>
      <c r="CU3630" s="22">
        <f t="shared" si="249"/>
        <v>0</v>
      </c>
      <c r="CV3630" s="26">
        <f t="shared" si="256"/>
        <v>1520</v>
      </c>
    </row>
    <row r="3631" spans="1:103" x14ac:dyDescent="0.2">
      <c r="A3631" s="9" t="s">
        <v>699</v>
      </c>
      <c r="B3631" s="2">
        <v>113</v>
      </c>
      <c r="C3631" s="3" t="s">
        <v>95</v>
      </c>
      <c r="D3631" s="3" t="s">
        <v>96</v>
      </c>
      <c r="E3631" s="2"/>
      <c r="F3631" s="2"/>
      <c r="G3631" s="2" t="s">
        <v>80</v>
      </c>
      <c r="H3631" s="2">
        <v>3</v>
      </c>
      <c r="I3631" s="20">
        <v>127.4</v>
      </c>
      <c r="J3631" s="20">
        <v>56922</v>
      </c>
      <c r="K3631" s="3">
        <v>0</v>
      </c>
      <c r="L3631" s="3" t="s">
        <v>3</v>
      </c>
      <c r="M3631" s="9" t="s">
        <v>0</v>
      </c>
      <c r="N3631" s="9">
        <v>60636005</v>
      </c>
      <c r="O3631" s="9" t="s">
        <v>696</v>
      </c>
      <c r="P3631" s="9" t="s">
        <v>0</v>
      </c>
      <c r="Q3631" s="30" t="s">
        <v>697</v>
      </c>
      <c r="R3631" s="9" t="s">
        <v>698</v>
      </c>
      <c r="S3631" s="9" t="s">
        <v>158</v>
      </c>
      <c r="T3631" s="10" t="s">
        <v>80</v>
      </c>
      <c r="U3631" s="10">
        <v>3</v>
      </c>
      <c r="V3631" s="10">
        <v>127.4</v>
      </c>
      <c r="W3631" s="10" t="s">
        <v>710</v>
      </c>
      <c r="X3631" s="17">
        <v>45857</v>
      </c>
      <c r="Y3631" s="17">
        <v>45857</v>
      </c>
      <c r="Z3631" s="19" t="s">
        <v>772</v>
      </c>
      <c r="AA3631" s="207">
        <v>40500</v>
      </c>
      <c r="AB3631" s="9">
        <v>24</v>
      </c>
      <c r="AC3631" s="9">
        <v>6</v>
      </c>
      <c r="AD3631" s="17">
        <v>46068</v>
      </c>
      <c r="AE3631" s="54">
        <v>1520</v>
      </c>
      <c r="AF3631" s="54"/>
      <c r="AL3631" s="22"/>
      <c r="AM3631" s="22"/>
      <c r="AN3631" s="22"/>
      <c r="AO3631" s="22"/>
      <c r="AP3631" s="22"/>
      <c r="AQ3631" s="22"/>
      <c r="AR3631" s="22"/>
      <c r="AS3631" s="22"/>
      <c r="AT3631" s="22"/>
      <c r="AU3631" s="22"/>
      <c r="AV3631" s="22"/>
      <c r="AW3631" s="9"/>
      <c r="BA3631" s="22"/>
      <c r="BB3631" s="22"/>
      <c r="BD3631" s="9"/>
      <c r="CS3631" s="11">
        <f t="shared" si="254"/>
        <v>0</v>
      </c>
      <c r="CT3631" s="22">
        <f t="shared" si="255"/>
        <v>0</v>
      </c>
      <c r="CU3631" s="22">
        <f t="shared" si="249"/>
        <v>0</v>
      </c>
      <c r="CV3631" s="26">
        <f t="shared" si="256"/>
        <v>1520</v>
      </c>
    </row>
    <row r="3632" spans="1:103" x14ac:dyDescent="0.2">
      <c r="A3632" s="9" t="s">
        <v>699</v>
      </c>
      <c r="B3632" s="2">
        <v>113</v>
      </c>
      <c r="C3632" s="3" t="s">
        <v>95</v>
      </c>
      <c r="D3632" s="3" t="s">
        <v>96</v>
      </c>
      <c r="E3632" s="2"/>
      <c r="F3632" s="2"/>
      <c r="G3632" s="2" t="s">
        <v>80</v>
      </c>
      <c r="H3632" s="2">
        <v>3</v>
      </c>
      <c r="I3632" s="20">
        <v>127.4</v>
      </c>
      <c r="J3632" s="20">
        <v>56922</v>
      </c>
      <c r="K3632" s="3">
        <v>0</v>
      </c>
      <c r="L3632" s="3" t="s">
        <v>3</v>
      </c>
      <c r="M3632" s="9" t="s">
        <v>0</v>
      </c>
      <c r="N3632" s="9">
        <v>60636005</v>
      </c>
      <c r="O3632" s="9" t="s">
        <v>696</v>
      </c>
      <c r="P3632" s="9" t="s">
        <v>0</v>
      </c>
      <c r="Q3632" s="30" t="s">
        <v>697</v>
      </c>
      <c r="R3632" s="9" t="s">
        <v>698</v>
      </c>
      <c r="S3632" s="9" t="s">
        <v>158</v>
      </c>
      <c r="T3632" s="10" t="s">
        <v>80</v>
      </c>
      <c r="U3632" s="10">
        <v>3</v>
      </c>
      <c r="V3632" s="10">
        <v>127.4</v>
      </c>
      <c r="W3632" s="10" t="s">
        <v>710</v>
      </c>
      <c r="X3632" s="17">
        <v>45857</v>
      </c>
      <c r="Y3632" s="17">
        <v>45857</v>
      </c>
      <c r="Z3632" s="19" t="s">
        <v>772</v>
      </c>
      <c r="AA3632" s="207">
        <v>40500</v>
      </c>
      <c r="AB3632" s="9">
        <v>24</v>
      </c>
      <c r="AC3632" s="9">
        <v>7</v>
      </c>
      <c r="AD3632" s="17">
        <v>46096</v>
      </c>
      <c r="AE3632" s="54">
        <v>1520</v>
      </c>
      <c r="AF3632" s="54"/>
      <c r="AL3632" s="22"/>
      <c r="AM3632" s="22"/>
      <c r="AN3632" s="22"/>
      <c r="AO3632" s="22"/>
      <c r="AP3632" s="22"/>
      <c r="AQ3632" s="22"/>
      <c r="AR3632" s="22"/>
      <c r="AS3632" s="22"/>
      <c r="AT3632" s="22"/>
      <c r="AU3632" s="22"/>
      <c r="AV3632" s="22"/>
      <c r="AW3632" s="9"/>
      <c r="BA3632" s="22"/>
      <c r="BB3632" s="22"/>
      <c r="BD3632" s="9"/>
      <c r="CS3632" s="11">
        <f t="shared" si="254"/>
        <v>0</v>
      </c>
      <c r="CT3632" s="22">
        <f t="shared" si="255"/>
        <v>0</v>
      </c>
      <c r="CU3632" s="22">
        <f t="shared" si="249"/>
        <v>0</v>
      </c>
      <c r="CV3632" s="26">
        <f t="shared" si="256"/>
        <v>1520</v>
      </c>
    </row>
    <row r="3633" spans="1:100" x14ac:dyDescent="0.2">
      <c r="A3633" s="9" t="s">
        <v>699</v>
      </c>
      <c r="B3633" s="2">
        <v>113</v>
      </c>
      <c r="C3633" s="3" t="s">
        <v>95</v>
      </c>
      <c r="D3633" s="3" t="s">
        <v>96</v>
      </c>
      <c r="E3633" s="2"/>
      <c r="F3633" s="2"/>
      <c r="G3633" s="2" t="s">
        <v>80</v>
      </c>
      <c r="H3633" s="2">
        <v>3</v>
      </c>
      <c r="I3633" s="20">
        <v>127.4</v>
      </c>
      <c r="J3633" s="20">
        <v>56922</v>
      </c>
      <c r="K3633" s="3">
        <v>0</v>
      </c>
      <c r="L3633" s="3" t="s">
        <v>3</v>
      </c>
      <c r="M3633" s="9" t="s">
        <v>0</v>
      </c>
      <c r="N3633" s="9">
        <v>60636005</v>
      </c>
      <c r="O3633" s="9" t="s">
        <v>696</v>
      </c>
      <c r="P3633" s="9" t="s">
        <v>0</v>
      </c>
      <c r="Q3633" s="30" t="s">
        <v>697</v>
      </c>
      <c r="R3633" s="9" t="s">
        <v>698</v>
      </c>
      <c r="S3633" s="9" t="s">
        <v>158</v>
      </c>
      <c r="T3633" s="10" t="s">
        <v>80</v>
      </c>
      <c r="U3633" s="10">
        <v>3</v>
      </c>
      <c r="V3633" s="10">
        <v>127.4</v>
      </c>
      <c r="W3633" s="10" t="s">
        <v>710</v>
      </c>
      <c r="X3633" s="17">
        <v>45857</v>
      </c>
      <c r="Y3633" s="17">
        <v>45857</v>
      </c>
      <c r="Z3633" s="19" t="s">
        <v>772</v>
      </c>
      <c r="AA3633" s="207">
        <v>40500</v>
      </c>
      <c r="AB3633" s="9">
        <v>24</v>
      </c>
      <c r="AC3633" s="9">
        <v>8</v>
      </c>
      <c r="AD3633" s="17">
        <v>46127</v>
      </c>
      <c r="AE3633" s="54">
        <v>1520</v>
      </c>
      <c r="AF3633" s="54"/>
      <c r="AL3633" s="22"/>
      <c r="AM3633" s="22"/>
      <c r="AN3633" s="22"/>
      <c r="AO3633" s="22"/>
      <c r="AP3633" s="22"/>
      <c r="AQ3633" s="22"/>
      <c r="AR3633" s="22"/>
      <c r="AS3633" s="22"/>
      <c r="AT3633" s="22"/>
      <c r="AU3633" s="22"/>
      <c r="AV3633" s="22"/>
      <c r="AW3633" s="9"/>
      <c r="BA3633" s="22"/>
      <c r="BB3633" s="22"/>
      <c r="BD3633" s="9"/>
      <c r="CS3633" s="11">
        <f t="shared" si="254"/>
        <v>0</v>
      </c>
      <c r="CT3633" s="22">
        <f t="shared" si="255"/>
        <v>0</v>
      </c>
      <c r="CU3633" s="22">
        <f t="shared" si="249"/>
        <v>0</v>
      </c>
      <c r="CV3633" s="26">
        <f t="shared" si="256"/>
        <v>1520</v>
      </c>
    </row>
    <row r="3634" spans="1:100" x14ac:dyDescent="0.2">
      <c r="A3634" s="9" t="s">
        <v>699</v>
      </c>
      <c r="B3634" s="2">
        <v>113</v>
      </c>
      <c r="C3634" s="3" t="s">
        <v>95</v>
      </c>
      <c r="D3634" s="3" t="s">
        <v>96</v>
      </c>
      <c r="E3634" s="2"/>
      <c r="F3634" s="2"/>
      <c r="G3634" s="2" t="s">
        <v>80</v>
      </c>
      <c r="H3634" s="2">
        <v>3</v>
      </c>
      <c r="I3634" s="20">
        <v>127.4</v>
      </c>
      <c r="J3634" s="20">
        <v>56922</v>
      </c>
      <c r="K3634" s="3">
        <v>0</v>
      </c>
      <c r="L3634" s="3" t="s">
        <v>3</v>
      </c>
      <c r="M3634" s="9" t="s">
        <v>0</v>
      </c>
      <c r="N3634" s="9">
        <v>60636005</v>
      </c>
      <c r="O3634" s="9" t="s">
        <v>696</v>
      </c>
      <c r="P3634" s="9" t="s">
        <v>0</v>
      </c>
      <c r="Q3634" s="30" t="s">
        <v>697</v>
      </c>
      <c r="R3634" s="9" t="s">
        <v>698</v>
      </c>
      <c r="S3634" s="9" t="s">
        <v>158</v>
      </c>
      <c r="T3634" s="10" t="s">
        <v>80</v>
      </c>
      <c r="U3634" s="10">
        <v>3</v>
      </c>
      <c r="V3634" s="10">
        <v>127.4</v>
      </c>
      <c r="W3634" s="10" t="s">
        <v>710</v>
      </c>
      <c r="X3634" s="17">
        <v>45857</v>
      </c>
      <c r="Y3634" s="17">
        <v>45857</v>
      </c>
      <c r="Z3634" s="19" t="s">
        <v>772</v>
      </c>
      <c r="AA3634" s="207">
        <v>40500</v>
      </c>
      <c r="AB3634" s="9">
        <v>24</v>
      </c>
      <c r="AC3634" s="9">
        <v>9</v>
      </c>
      <c r="AD3634" s="17">
        <v>46157</v>
      </c>
      <c r="AE3634" s="54">
        <v>1520</v>
      </c>
      <c r="AF3634" s="54"/>
      <c r="AL3634" s="22"/>
      <c r="AM3634" s="22"/>
      <c r="AN3634" s="22"/>
      <c r="AO3634" s="22"/>
      <c r="AP3634" s="22"/>
      <c r="AQ3634" s="22"/>
      <c r="AR3634" s="22"/>
      <c r="AS3634" s="22"/>
      <c r="AT3634" s="22"/>
      <c r="AU3634" s="22"/>
      <c r="AV3634" s="22"/>
      <c r="AW3634" s="9"/>
      <c r="BA3634" s="22"/>
      <c r="BB3634" s="22"/>
      <c r="BD3634" s="9"/>
      <c r="CS3634" s="11">
        <f t="shared" si="254"/>
        <v>0</v>
      </c>
      <c r="CT3634" s="22">
        <f t="shared" si="255"/>
        <v>0</v>
      </c>
      <c r="CU3634" s="22">
        <f t="shared" si="249"/>
        <v>0</v>
      </c>
      <c r="CV3634" s="26">
        <f t="shared" si="256"/>
        <v>1520</v>
      </c>
    </row>
    <row r="3635" spans="1:100" x14ac:dyDescent="0.2">
      <c r="A3635" s="9" t="s">
        <v>699</v>
      </c>
      <c r="B3635" s="2">
        <v>113</v>
      </c>
      <c r="C3635" s="3" t="s">
        <v>95</v>
      </c>
      <c r="D3635" s="3" t="s">
        <v>96</v>
      </c>
      <c r="E3635" s="2"/>
      <c r="F3635" s="2"/>
      <c r="G3635" s="2" t="s">
        <v>80</v>
      </c>
      <c r="H3635" s="2">
        <v>3</v>
      </c>
      <c r="I3635" s="20">
        <v>127.4</v>
      </c>
      <c r="J3635" s="20">
        <v>56922</v>
      </c>
      <c r="K3635" s="3">
        <v>0</v>
      </c>
      <c r="L3635" s="3" t="s">
        <v>3</v>
      </c>
      <c r="M3635" s="9" t="s">
        <v>0</v>
      </c>
      <c r="N3635" s="9">
        <v>60636005</v>
      </c>
      <c r="O3635" s="9" t="s">
        <v>696</v>
      </c>
      <c r="P3635" s="9" t="s">
        <v>0</v>
      </c>
      <c r="Q3635" s="30" t="s">
        <v>697</v>
      </c>
      <c r="R3635" s="9" t="s">
        <v>698</v>
      </c>
      <c r="S3635" s="9" t="s">
        <v>158</v>
      </c>
      <c r="T3635" s="10" t="s">
        <v>80</v>
      </c>
      <c r="U3635" s="10">
        <v>3</v>
      </c>
      <c r="V3635" s="10">
        <v>127.4</v>
      </c>
      <c r="W3635" s="10" t="s">
        <v>710</v>
      </c>
      <c r="X3635" s="17">
        <v>45857</v>
      </c>
      <c r="Y3635" s="17">
        <v>45857</v>
      </c>
      <c r="Z3635" s="19" t="s">
        <v>772</v>
      </c>
      <c r="AA3635" s="207">
        <v>40500</v>
      </c>
      <c r="AB3635" s="9">
        <v>24</v>
      </c>
      <c r="AC3635" s="9">
        <v>10</v>
      </c>
      <c r="AD3635" s="17">
        <v>46188</v>
      </c>
      <c r="AE3635" s="54">
        <v>1520</v>
      </c>
      <c r="AF3635" s="54"/>
      <c r="AL3635" s="22"/>
      <c r="AM3635" s="22"/>
      <c r="AN3635" s="22"/>
      <c r="AO3635" s="22"/>
      <c r="AP3635" s="22"/>
      <c r="AQ3635" s="22"/>
      <c r="AR3635" s="22"/>
      <c r="AS3635" s="22"/>
      <c r="AT3635" s="22"/>
      <c r="AU3635" s="22"/>
      <c r="AV3635" s="22"/>
      <c r="AW3635" s="9"/>
      <c r="BA3635" s="22"/>
      <c r="BB3635" s="22"/>
      <c r="BD3635" s="9"/>
      <c r="CS3635" s="11">
        <f t="shared" si="254"/>
        <v>0</v>
      </c>
      <c r="CT3635" s="22">
        <f t="shared" si="255"/>
        <v>0</v>
      </c>
      <c r="CU3635" s="22">
        <f t="shared" si="249"/>
        <v>0</v>
      </c>
      <c r="CV3635" s="26">
        <f t="shared" si="256"/>
        <v>1520</v>
      </c>
    </row>
    <row r="3636" spans="1:100" x14ac:dyDescent="0.2">
      <c r="A3636" s="9" t="s">
        <v>699</v>
      </c>
      <c r="B3636" s="2">
        <v>113</v>
      </c>
      <c r="C3636" s="3" t="s">
        <v>95</v>
      </c>
      <c r="D3636" s="3" t="s">
        <v>96</v>
      </c>
      <c r="E3636" s="2"/>
      <c r="F3636" s="2"/>
      <c r="G3636" s="2" t="s">
        <v>80</v>
      </c>
      <c r="H3636" s="2">
        <v>3</v>
      </c>
      <c r="I3636" s="20">
        <v>127.4</v>
      </c>
      <c r="J3636" s="20">
        <v>56922</v>
      </c>
      <c r="K3636" s="3">
        <v>0</v>
      </c>
      <c r="L3636" s="3" t="s">
        <v>3</v>
      </c>
      <c r="M3636" s="9" t="s">
        <v>0</v>
      </c>
      <c r="N3636" s="9">
        <v>60636005</v>
      </c>
      <c r="O3636" s="9" t="s">
        <v>696</v>
      </c>
      <c r="P3636" s="9" t="s">
        <v>0</v>
      </c>
      <c r="Q3636" s="30" t="s">
        <v>697</v>
      </c>
      <c r="R3636" s="9" t="s">
        <v>698</v>
      </c>
      <c r="S3636" s="9" t="s">
        <v>158</v>
      </c>
      <c r="T3636" s="10" t="s">
        <v>80</v>
      </c>
      <c r="U3636" s="10">
        <v>3</v>
      </c>
      <c r="V3636" s="10">
        <v>127.4</v>
      </c>
      <c r="W3636" s="10" t="s">
        <v>710</v>
      </c>
      <c r="X3636" s="17">
        <v>45857</v>
      </c>
      <c r="Y3636" s="17">
        <v>45857</v>
      </c>
      <c r="Z3636" s="19" t="s">
        <v>772</v>
      </c>
      <c r="AA3636" s="207">
        <v>40500</v>
      </c>
      <c r="AB3636" s="9">
        <v>24</v>
      </c>
      <c r="AC3636" s="9">
        <v>11</v>
      </c>
      <c r="AD3636" s="17">
        <v>46218</v>
      </c>
      <c r="AE3636" s="54">
        <v>1520</v>
      </c>
      <c r="AF3636" s="54"/>
      <c r="AL3636" s="22"/>
      <c r="AM3636" s="22"/>
      <c r="AN3636" s="22"/>
      <c r="AO3636" s="22"/>
      <c r="AP3636" s="22"/>
      <c r="AQ3636" s="22"/>
      <c r="AR3636" s="22"/>
      <c r="AS3636" s="22"/>
      <c r="AT3636" s="22"/>
      <c r="AU3636" s="22"/>
      <c r="AV3636" s="22"/>
      <c r="AW3636" s="9"/>
      <c r="BA3636" s="22"/>
      <c r="BB3636" s="22"/>
      <c r="BD3636" s="9"/>
      <c r="CS3636" s="11">
        <f t="shared" si="254"/>
        <v>0</v>
      </c>
      <c r="CT3636" s="22">
        <f t="shared" si="255"/>
        <v>0</v>
      </c>
      <c r="CU3636" s="22">
        <f t="shared" ref="CU3636:CU3698" si="257">+CS3636-CT3636</f>
        <v>0</v>
      </c>
      <c r="CV3636" s="26">
        <f t="shared" si="256"/>
        <v>1520</v>
      </c>
    </row>
    <row r="3637" spans="1:100" x14ac:dyDescent="0.2">
      <c r="A3637" s="9" t="s">
        <v>699</v>
      </c>
      <c r="B3637" s="2">
        <v>113</v>
      </c>
      <c r="C3637" s="3" t="s">
        <v>95</v>
      </c>
      <c r="D3637" s="3" t="s">
        <v>96</v>
      </c>
      <c r="E3637" s="2"/>
      <c r="F3637" s="2"/>
      <c r="G3637" s="2" t="s">
        <v>80</v>
      </c>
      <c r="H3637" s="2">
        <v>3</v>
      </c>
      <c r="I3637" s="20">
        <v>127.4</v>
      </c>
      <c r="J3637" s="20">
        <v>56922</v>
      </c>
      <c r="K3637" s="3">
        <v>0</v>
      </c>
      <c r="L3637" s="3" t="s">
        <v>3</v>
      </c>
      <c r="M3637" s="9" t="s">
        <v>0</v>
      </c>
      <c r="N3637" s="9">
        <v>60636005</v>
      </c>
      <c r="O3637" s="9" t="s">
        <v>696</v>
      </c>
      <c r="P3637" s="9" t="s">
        <v>0</v>
      </c>
      <c r="Q3637" s="30" t="s">
        <v>697</v>
      </c>
      <c r="R3637" s="9" t="s">
        <v>698</v>
      </c>
      <c r="S3637" s="9" t="s">
        <v>158</v>
      </c>
      <c r="T3637" s="10" t="s">
        <v>80</v>
      </c>
      <c r="U3637" s="10">
        <v>3</v>
      </c>
      <c r="V3637" s="10">
        <v>127.4</v>
      </c>
      <c r="W3637" s="10" t="s">
        <v>710</v>
      </c>
      <c r="X3637" s="17">
        <v>45857</v>
      </c>
      <c r="Y3637" s="17">
        <v>45857</v>
      </c>
      <c r="Z3637" s="19" t="s">
        <v>772</v>
      </c>
      <c r="AA3637" s="207">
        <v>40500</v>
      </c>
      <c r="AB3637" s="9">
        <v>24</v>
      </c>
      <c r="AC3637" s="9">
        <v>12</v>
      </c>
      <c r="AD3637" s="17">
        <v>46249</v>
      </c>
      <c r="AE3637" s="54">
        <v>1520</v>
      </c>
      <c r="AF3637" s="54"/>
      <c r="AL3637" s="22"/>
      <c r="AM3637" s="22"/>
      <c r="AN3637" s="22"/>
      <c r="AO3637" s="22"/>
      <c r="AP3637" s="22"/>
      <c r="AQ3637" s="22"/>
      <c r="AR3637" s="22"/>
      <c r="AS3637" s="22"/>
      <c r="AT3637" s="22"/>
      <c r="AU3637" s="22"/>
      <c r="AV3637" s="22"/>
      <c r="AW3637" s="9"/>
      <c r="BA3637" s="22"/>
      <c r="BB3637" s="22"/>
      <c r="BD3637" s="9"/>
      <c r="CS3637" s="11">
        <f t="shared" si="254"/>
        <v>0</v>
      </c>
      <c r="CT3637" s="22">
        <f t="shared" si="255"/>
        <v>0</v>
      </c>
      <c r="CU3637" s="22">
        <f t="shared" si="257"/>
        <v>0</v>
      </c>
      <c r="CV3637" s="26">
        <f t="shared" si="256"/>
        <v>1520</v>
      </c>
    </row>
    <row r="3638" spans="1:100" x14ac:dyDescent="0.2">
      <c r="A3638" s="9" t="s">
        <v>699</v>
      </c>
      <c r="B3638" s="2">
        <v>113</v>
      </c>
      <c r="C3638" s="3" t="s">
        <v>95</v>
      </c>
      <c r="D3638" s="3" t="s">
        <v>96</v>
      </c>
      <c r="E3638" s="2"/>
      <c r="F3638" s="2"/>
      <c r="G3638" s="2" t="s">
        <v>80</v>
      </c>
      <c r="H3638" s="2">
        <v>3</v>
      </c>
      <c r="I3638" s="20">
        <v>127.4</v>
      </c>
      <c r="J3638" s="20">
        <v>56922</v>
      </c>
      <c r="K3638" s="3">
        <v>0</v>
      </c>
      <c r="L3638" s="3" t="s">
        <v>3</v>
      </c>
      <c r="M3638" s="9" t="s">
        <v>0</v>
      </c>
      <c r="N3638" s="9">
        <v>60636005</v>
      </c>
      <c r="O3638" s="9" t="s">
        <v>696</v>
      </c>
      <c r="P3638" s="9" t="s">
        <v>0</v>
      </c>
      <c r="Q3638" s="30" t="s">
        <v>697</v>
      </c>
      <c r="R3638" s="9" t="s">
        <v>698</v>
      </c>
      <c r="S3638" s="9" t="s">
        <v>158</v>
      </c>
      <c r="T3638" s="10" t="s">
        <v>80</v>
      </c>
      <c r="U3638" s="10">
        <v>3</v>
      </c>
      <c r="V3638" s="10">
        <v>127.4</v>
      </c>
      <c r="W3638" s="10" t="s">
        <v>710</v>
      </c>
      <c r="X3638" s="17">
        <v>45857</v>
      </c>
      <c r="Y3638" s="17">
        <v>45857</v>
      </c>
      <c r="Z3638" s="19" t="s">
        <v>772</v>
      </c>
      <c r="AA3638" s="207">
        <v>40500</v>
      </c>
      <c r="AB3638" s="9">
        <v>24</v>
      </c>
      <c r="AC3638" s="9">
        <v>13</v>
      </c>
      <c r="AD3638" s="17">
        <v>46280</v>
      </c>
      <c r="AE3638" s="54">
        <v>1520</v>
      </c>
      <c r="AF3638" s="54"/>
      <c r="AL3638" s="22"/>
      <c r="AM3638" s="22"/>
      <c r="AN3638" s="22"/>
      <c r="AO3638" s="22"/>
      <c r="AP3638" s="22"/>
      <c r="AQ3638" s="22"/>
      <c r="AR3638" s="22"/>
      <c r="AS3638" s="22"/>
      <c r="AT3638" s="22"/>
      <c r="AU3638" s="22"/>
      <c r="AV3638" s="22"/>
      <c r="AW3638" s="9"/>
      <c r="BA3638" s="22"/>
      <c r="BB3638" s="22"/>
      <c r="BD3638" s="9"/>
      <c r="CS3638" s="11">
        <f t="shared" si="254"/>
        <v>0</v>
      </c>
      <c r="CT3638" s="22">
        <f t="shared" si="255"/>
        <v>0</v>
      </c>
      <c r="CU3638" s="22">
        <f t="shared" si="257"/>
        <v>0</v>
      </c>
      <c r="CV3638" s="26">
        <f t="shared" si="256"/>
        <v>1520</v>
      </c>
    </row>
    <row r="3639" spans="1:100" x14ac:dyDescent="0.2">
      <c r="A3639" s="9" t="s">
        <v>699</v>
      </c>
      <c r="B3639" s="2">
        <v>113</v>
      </c>
      <c r="C3639" s="3" t="s">
        <v>95</v>
      </c>
      <c r="D3639" s="3" t="s">
        <v>96</v>
      </c>
      <c r="E3639" s="2"/>
      <c r="F3639" s="2"/>
      <c r="G3639" s="2" t="s">
        <v>80</v>
      </c>
      <c r="H3639" s="2">
        <v>3</v>
      </c>
      <c r="I3639" s="20">
        <v>127.4</v>
      </c>
      <c r="J3639" s="20">
        <v>56922</v>
      </c>
      <c r="K3639" s="3">
        <v>0</v>
      </c>
      <c r="L3639" s="3" t="s">
        <v>3</v>
      </c>
      <c r="M3639" s="9" t="s">
        <v>0</v>
      </c>
      <c r="N3639" s="9">
        <v>60636005</v>
      </c>
      <c r="O3639" s="9" t="s">
        <v>696</v>
      </c>
      <c r="P3639" s="9" t="s">
        <v>0</v>
      </c>
      <c r="Q3639" s="30" t="s">
        <v>697</v>
      </c>
      <c r="R3639" s="9" t="s">
        <v>698</v>
      </c>
      <c r="S3639" s="9" t="s">
        <v>158</v>
      </c>
      <c r="T3639" s="10" t="s">
        <v>80</v>
      </c>
      <c r="U3639" s="10">
        <v>3</v>
      </c>
      <c r="V3639" s="10">
        <v>127.4</v>
      </c>
      <c r="W3639" s="10" t="s">
        <v>710</v>
      </c>
      <c r="X3639" s="17">
        <v>45857</v>
      </c>
      <c r="Y3639" s="17">
        <v>45857</v>
      </c>
      <c r="Z3639" s="19" t="s">
        <v>772</v>
      </c>
      <c r="AA3639" s="207">
        <v>40500</v>
      </c>
      <c r="AB3639" s="9">
        <v>24</v>
      </c>
      <c r="AC3639" s="9">
        <v>14</v>
      </c>
      <c r="AD3639" s="17">
        <v>46310</v>
      </c>
      <c r="AE3639" s="54">
        <v>1520</v>
      </c>
      <c r="AF3639" s="54"/>
      <c r="AL3639" s="22"/>
      <c r="AM3639" s="22"/>
      <c r="AN3639" s="22"/>
      <c r="AO3639" s="22"/>
      <c r="AP3639" s="22"/>
      <c r="AQ3639" s="22"/>
      <c r="AR3639" s="22"/>
      <c r="AS3639" s="22"/>
      <c r="AT3639" s="22"/>
      <c r="AU3639" s="22"/>
      <c r="AV3639" s="22"/>
      <c r="AW3639" s="9"/>
      <c r="BA3639" s="22"/>
      <c r="BB3639" s="22"/>
      <c r="BD3639" s="9"/>
      <c r="CS3639" s="11">
        <f t="shared" si="254"/>
        <v>0</v>
      </c>
      <c r="CT3639" s="22">
        <f t="shared" si="255"/>
        <v>0</v>
      </c>
      <c r="CU3639" s="22">
        <f t="shared" si="257"/>
        <v>0</v>
      </c>
      <c r="CV3639" s="26">
        <f t="shared" si="256"/>
        <v>1520</v>
      </c>
    </row>
    <row r="3640" spans="1:100" x14ac:dyDescent="0.2">
      <c r="A3640" s="9" t="s">
        <v>699</v>
      </c>
      <c r="B3640" s="2">
        <v>113</v>
      </c>
      <c r="C3640" s="3" t="s">
        <v>95</v>
      </c>
      <c r="D3640" s="3" t="s">
        <v>96</v>
      </c>
      <c r="E3640" s="2"/>
      <c r="F3640" s="2"/>
      <c r="G3640" s="2" t="s">
        <v>80</v>
      </c>
      <c r="H3640" s="2">
        <v>3</v>
      </c>
      <c r="I3640" s="20">
        <v>127.4</v>
      </c>
      <c r="J3640" s="20">
        <v>56922</v>
      </c>
      <c r="K3640" s="3">
        <v>0</v>
      </c>
      <c r="L3640" s="3" t="s">
        <v>3</v>
      </c>
      <c r="M3640" s="9" t="s">
        <v>0</v>
      </c>
      <c r="N3640" s="9">
        <v>60636005</v>
      </c>
      <c r="O3640" s="9" t="s">
        <v>696</v>
      </c>
      <c r="P3640" s="9" t="s">
        <v>0</v>
      </c>
      <c r="Q3640" s="30" t="s">
        <v>697</v>
      </c>
      <c r="R3640" s="9" t="s">
        <v>698</v>
      </c>
      <c r="S3640" s="9" t="s">
        <v>158</v>
      </c>
      <c r="T3640" s="10" t="s">
        <v>80</v>
      </c>
      <c r="U3640" s="10">
        <v>3</v>
      </c>
      <c r="V3640" s="10">
        <v>127.4</v>
      </c>
      <c r="W3640" s="10" t="s">
        <v>710</v>
      </c>
      <c r="X3640" s="17">
        <v>45857</v>
      </c>
      <c r="Y3640" s="17">
        <v>45857</v>
      </c>
      <c r="Z3640" s="19" t="s">
        <v>772</v>
      </c>
      <c r="AA3640" s="207">
        <v>40500</v>
      </c>
      <c r="AB3640" s="9">
        <v>24</v>
      </c>
      <c r="AC3640" s="9">
        <v>15</v>
      </c>
      <c r="AD3640" s="17">
        <v>46341</v>
      </c>
      <c r="AE3640" s="54">
        <v>1520</v>
      </c>
      <c r="AF3640" s="54"/>
      <c r="AL3640" s="22"/>
      <c r="AM3640" s="22"/>
      <c r="AN3640" s="22"/>
      <c r="AO3640" s="22"/>
      <c r="AP3640" s="22"/>
      <c r="AQ3640" s="22"/>
      <c r="AR3640" s="22"/>
      <c r="AS3640" s="22"/>
      <c r="AT3640" s="22"/>
      <c r="AU3640" s="22"/>
      <c r="AV3640" s="22"/>
      <c r="AW3640" s="9"/>
      <c r="BA3640" s="22"/>
      <c r="BB3640" s="22"/>
      <c r="BD3640" s="9"/>
      <c r="CS3640" s="11">
        <f t="shared" si="254"/>
        <v>0</v>
      </c>
      <c r="CT3640" s="22">
        <f t="shared" si="255"/>
        <v>0</v>
      </c>
      <c r="CU3640" s="22">
        <f t="shared" si="257"/>
        <v>0</v>
      </c>
      <c r="CV3640" s="26">
        <f t="shared" si="256"/>
        <v>1520</v>
      </c>
    </row>
    <row r="3641" spans="1:100" x14ac:dyDescent="0.2">
      <c r="A3641" s="9" t="s">
        <v>699</v>
      </c>
      <c r="B3641" s="2">
        <v>113</v>
      </c>
      <c r="C3641" s="3" t="s">
        <v>95</v>
      </c>
      <c r="D3641" s="3" t="s">
        <v>96</v>
      </c>
      <c r="E3641" s="2"/>
      <c r="F3641" s="2"/>
      <c r="G3641" s="2" t="s">
        <v>80</v>
      </c>
      <c r="H3641" s="2">
        <v>3</v>
      </c>
      <c r="I3641" s="20">
        <v>127.4</v>
      </c>
      <c r="J3641" s="20">
        <v>56922</v>
      </c>
      <c r="K3641" s="3">
        <v>0</v>
      </c>
      <c r="L3641" s="3" t="s">
        <v>3</v>
      </c>
      <c r="M3641" s="9" t="s">
        <v>0</v>
      </c>
      <c r="N3641" s="9">
        <v>60636005</v>
      </c>
      <c r="O3641" s="9" t="s">
        <v>696</v>
      </c>
      <c r="P3641" s="9" t="s">
        <v>0</v>
      </c>
      <c r="Q3641" s="30" t="s">
        <v>697</v>
      </c>
      <c r="R3641" s="9" t="s">
        <v>698</v>
      </c>
      <c r="S3641" s="9" t="s">
        <v>158</v>
      </c>
      <c r="T3641" s="10" t="s">
        <v>80</v>
      </c>
      <c r="U3641" s="10">
        <v>3</v>
      </c>
      <c r="V3641" s="10">
        <v>127.4</v>
      </c>
      <c r="W3641" s="10" t="s">
        <v>710</v>
      </c>
      <c r="X3641" s="17">
        <v>45857</v>
      </c>
      <c r="Y3641" s="17">
        <v>45857</v>
      </c>
      <c r="Z3641" s="19" t="s">
        <v>772</v>
      </c>
      <c r="AA3641" s="207">
        <v>40500</v>
      </c>
      <c r="AB3641" s="9">
        <v>24</v>
      </c>
      <c r="AC3641" s="9">
        <v>16</v>
      </c>
      <c r="AD3641" s="17">
        <v>46371</v>
      </c>
      <c r="AE3641" s="54">
        <v>1520</v>
      </c>
      <c r="AF3641" s="54"/>
      <c r="AL3641" s="22"/>
      <c r="AM3641" s="22"/>
      <c r="AN3641" s="22"/>
      <c r="AO3641" s="22"/>
      <c r="AP3641" s="22"/>
      <c r="AQ3641" s="22"/>
      <c r="AR3641" s="22"/>
      <c r="AS3641" s="22"/>
      <c r="AT3641" s="22"/>
      <c r="AU3641" s="22"/>
      <c r="AV3641" s="22"/>
      <c r="AW3641" s="9"/>
      <c r="BA3641" s="22"/>
      <c r="BB3641" s="22"/>
      <c r="BD3641" s="9"/>
      <c r="CS3641" s="11">
        <f t="shared" si="254"/>
        <v>0</v>
      </c>
      <c r="CT3641" s="22">
        <f t="shared" si="255"/>
        <v>0</v>
      </c>
      <c r="CU3641" s="22">
        <f t="shared" si="257"/>
        <v>0</v>
      </c>
      <c r="CV3641" s="26">
        <f t="shared" si="256"/>
        <v>1520</v>
      </c>
    </row>
    <row r="3642" spans="1:100" x14ac:dyDescent="0.2">
      <c r="A3642" s="9" t="s">
        <v>699</v>
      </c>
      <c r="B3642" s="2">
        <v>113</v>
      </c>
      <c r="C3642" s="3" t="s">
        <v>95</v>
      </c>
      <c r="D3642" s="3" t="s">
        <v>96</v>
      </c>
      <c r="E3642" s="2"/>
      <c r="F3642" s="2"/>
      <c r="G3642" s="2" t="s">
        <v>80</v>
      </c>
      <c r="H3642" s="2">
        <v>3</v>
      </c>
      <c r="I3642" s="20">
        <v>127.4</v>
      </c>
      <c r="J3642" s="20">
        <v>56922</v>
      </c>
      <c r="K3642" s="3">
        <v>0</v>
      </c>
      <c r="L3642" s="3" t="s">
        <v>3</v>
      </c>
      <c r="M3642" s="9" t="s">
        <v>0</v>
      </c>
      <c r="N3642" s="9">
        <v>60636005</v>
      </c>
      <c r="O3642" s="9" t="s">
        <v>696</v>
      </c>
      <c r="P3642" s="9" t="s">
        <v>0</v>
      </c>
      <c r="Q3642" s="30" t="s">
        <v>697</v>
      </c>
      <c r="R3642" s="9" t="s">
        <v>698</v>
      </c>
      <c r="S3642" s="9" t="s">
        <v>158</v>
      </c>
      <c r="T3642" s="10" t="s">
        <v>80</v>
      </c>
      <c r="U3642" s="10">
        <v>3</v>
      </c>
      <c r="V3642" s="10">
        <v>127.4</v>
      </c>
      <c r="W3642" s="10" t="s">
        <v>710</v>
      </c>
      <c r="X3642" s="17">
        <v>45857</v>
      </c>
      <c r="Y3642" s="17">
        <v>45857</v>
      </c>
      <c r="Z3642" s="19" t="s">
        <v>772</v>
      </c>
      <c r="AA3642" s="207">
        <v>40500</v>
      </c>
      <c r="AB3642" s="9">
        <v>24</v>
      </c>
      <c r="AC3642" s="9">
        <v>17</v>
      </c>
      <c r="AD3642" s="17">
        <v>46402</v>
      </c>
      <c r="AE3642" s="54">
        <v>1520</v>
      </c>
      <c r="AF3642" s="54"/>
      <c r="AL3642" s="22"/>
      <c r="AM3642" s="22"/>
      <c r="AN3642" s="22"/>
      <c r="AO3642" s="22"/>
      <c r="AP3642" s="22"/>
      <c r="AQ3642" s="22"/>
      <c r="AR3642" s="22"/>
      <c r="AS3642" s="22"/>
      <c r="AT3642" s="22"/>
      <c r="AU3642" s="22"/>
      <c r="AV3642" s="22"/>
      <c r="AW3642" s="9"/>
      <c r="BA3642" s="22"/>
      <c r="BB3642" s="22"/>
      <c r="BD3642" s="9"/>
      <c r="CS3642" s="11">
        <f t="shared" si="254"/>
        <v>0</v>
      </c>
      <c r="CT3642" s="22">
        <f t="shared" si="255"/>
        <v>0</v>
      </c>
      <c r="CU3642" s="22">
        <f t="shared" si="257"/>
        <v>0</v>
      </c>
      <c r="CV3642" s="26">
        <f t="shared" si="256"/>
        <v>1520</v>
      </c>
    </row>
    <row r="3643" spans="1:100" x14ac:dyDescent="0.2">
      <c r="A3643" s="9" t="s">
        <v>699</v>
      </c>
      <c r="B3643" s="2">
        <v>113</v>
      </c>
      <c r="C3643" s="3" t="s">
        <v>95</v>
      </c>
      <c r="D3643" s="3" t="s">
        <v>96</v>
      </c>
      <c r="E3643" s="2"/>
      <c r="F3643" s="2"/>
      <c r="G3643" s="2" t="s">
        <v>80</v>
      </c>
      <c r="H3643" s="2">
        <v>3</v>
      </c>
      <c r="I3643" s="20">
        <v>127.4</v>
      </c>
      <c r="J3643" s="20">
        <v>56922</v>
      </c>
      <c r="K3643" s="3">
        <v>0</v>
      </c>
      <c r="L3643" s="3" t="s">
        <v>3</v>
      </c>
      <c r="M3643" s="9" t="s">
        <v>0</v>
      </c>
      <c r="N3643" s="9">
        <v>60636005</v>
      </c>
      <c r="O3643" s="9" t="s">
        <v>696</v>
      </c>
      <c r="P3643" s="9" t="s">
        <v>0</v>
      </c>
      <c r="Q3643" s="30" t="s">
        <v>697</v>
      </c>
      <c r="R3643" s="9" t="s">
        <v>698</v>
      </c>
      <c r="S3643" s="9" t="s">
        <v>158</v>
      </c>
      <c r="T3643" s="10" t="s">
        <v>80</v>
      </c>
      <c r="U3643" s="10">
        <v>3</v>
      </c>
      <c r="V3643" s="10">
        <v>127.4</v>
      </c>
      <c r="W3643" s="10" t="s">
        <v>710</v>
      </c>
      <c r="X3643" s="17">
        <v>45857</v>
      </c>
      <c r="Y3643" s="17">
        <v>45857</v>
      </c>
      <c r="Z3643" s="19" t="s">
        <v>772</v>
      </c>
      <c r="AA3643" s="207">
        <v>40500</v>
      </c>
      <c r="AB3643" s="9">
        <v>24</v>
      </c>
      <c r="AC3643" s="9">
        <v>18</v>
      </c>
      <c r="AD3643" s="17">
        <v>46433</v>
      </c>
      <c r="AE3643" s="54">
        <v>1520</v>
      </c>
      <c r="AF3643" s="54"/>
      <c r="AL3643" s="22"/>
      <c r="AM3643" s="22"/>
      <c r="AN3643" s="22"/>
      <c r="AO3643" s="22"/>
      <c r="AP3643" s="22"/>
      <c r="AQ3643" s="22"/>
      <c r="AR3643" s="22"/>
      <c r="AS3643" s="22"/>
      <c r="AT3643" s="22"/>
      <c r="AU3643" s="22"/>
      <c r="AV3643" s="22"/>
      <c r="AW3643" s="9"/>
      <c r="BA3643" s="22"/>
      <c r="BB3643" s="22"/>
      <c r="BD3643" s="9"/>
      <c r="CS3643" s="11">
        <f t="shared" si="254"/>
        <v>0</v>
      </c>
      <c r="CT3643" s="22">
        <f t="shared" si="255"/>
        <v>0</v>
      </c>
      <c r="CU3643" s="22">
        <f t="shared" si="257"/>
        <v>0</v>
      </c>
      <c r="CV3643" s="26">
        <f t="shared" si="256"/>
        <v>1520</v>
      </c>
    </row>
    <row r="3644" spans="1:100" x14ac:dyDescent="0.2">
      <c r="A3644" s="9" t="s">
        <v>699</v>
      </c>
      <c r="B3644" s="2">
        <v>113</v>
      </c>
      <c r="C3644" s="3" t="s">
        <v>95</v>
      </c>
      <c r="D3644" s="3" t="s">
        <v>96</v>
      </c>
      <c r="E3644" s="2"/>
      <c r="F3644" s="2"/>
      <c r="G3644" s="2" t="s">
        <v>80</v>
      </c>
      <c r="H3644" s="2">
        <v>3</v>
      </c>
      <c r="I3644" s="20">
        <v>127.4</v>
      </c>
      <c r="J3644" s="20">
        <v>56922</v>
      </c>
      <c r="K3644" s="3">
        <v>0</v>
      </c>
      <c r="L3644" s="3" t="s">
        <v>3</v>
      </c>
      <c r="M3644" s="9" t="s">
        <v>0</v>
      </c>
      <c r="N3644" s="9">
        <v>60636005</v>
      </c>
      <c r="O3644" s="9" t="s">
        <v>696</v>
      </c>
      <c r="P3644" s="9" t="s">
        <v>0</v>
      </c>
      <c r="Q3644" s="30" t="s">
        <v>697</v>
      </c>
      <c r="R3644" s="9" t="s">
        <v>698</v>
      </c>
      <c r="S3644" s="9" t="s">
        <v>158</v>
      </c>
      <c r="T3644" s="10" t="s">
        <v>80</v>
      </c>
      <c r="U3644" s="10">
        <v>3</v>
      </c>
      <c r="V3644" s="10">
        <v>127.4</v>
      </c>
      <c r="W3644" s="10" t="s">
        <v>710</v>
      </c>
      <c r="X3644" s="17">
        <v>45857</v>
      </c>
      <c r="Y3644" s="17">
        <v>45857</v>
      </c>
      <c r="Z3644" s="19" t="s">
        <v>772</v>
      </c>
      <c r="AA3644" s="207">
        <v>40500</v>
      </c>
      <c r="AB3644" s="9">
        <v>24</v>
      </c>
      <c r="AC3644" s="9">
        <v>19</v>
      </c>
      <c r="AD3644" s="17">
        <v>46461</v>
      </c>
      <c r="AE3644" s="54">
        <v>1520</v>
      </c>
      <c r="AF3644" s="54"/>
      <c r="AL3644" s="22"/>
      <c r="AM3644" s="22"/>
      <c r="AN3644" s="22"/>
      <c r="AO3644" s="22"/>
      <c r="AP3644" s="22"/>
      <c r="AQ3644" s="22"/>
      <c r="AR3644" s="22"/>
      <c r="AS3644" s="22"/>
      <c r="AT3644" s="22"/>
      <c r="AU3644" s="22"/>
      <c r="AV3644" s="22"/>
      <c r="AW3644" s="9"/>
      <c r="BA3644" s="22"/>
      <c r="BB3644" s="22"/>
      <c r="BD3644" s="9"/>
      <c r="CS3644" s="11">
        <f t="shared" si="254"/>
        <v>0</v>
      </c>
      <c r="CT3644" s="22">
        <f t="shared" si="255"/>
        <v>0</v>
      </c>
      <c r="CU3644" s="22">
        <f t="shared" si="257"/>
        <v>0</v>
      </c>
      <c r="CV3644" s="26">
        <f t="shared" si="256"/>
        <v>1520</v>
      </c>
    </row>
    <row r="3645" spans="1:100" x14ac:dyDescent="0.2">
      <c r="A3645" s="9" t="s">
        <v>699</v>
      </c>
      <c r="B3645" s="2">
        <v>113</v>
      </c>
      <c r="C3645" s="3" t="s">
        <v>95</v>
      </c>
      <c r="D3645" s="3" t="s">
        <v>96</v>
      </c>
      <c r="E3645" s="2"/>
      <c r="F3645" s="2"/>
      <c r="G3645" s="2" t="s">
        <v>80</v>
      </c>
      <c r="H3645" s="2">
        <v>3</v>
      </c>
      <c r="I3645" s="20">
        <v>127.4</v>
      </c>
      <c r="J3645" s="20">
        <v>56922</v>
      </c>
      <c r="K3645" s="3">
        <v>0</v>
      </c>
      <c r="L3645" s="3" t="s">
        <v>3</v>
      </c>
      <c r="M3645" s="9" t="s">
        <v>0</v>
      </c>
      <c r="N3645" s="9">
        <v>60636005</v>
      </c>
      <c r="O3645" s="9" t="s">
        <v>696</v>
      </c>
      <c r="P3645" s="9" t="s">
        <v>0</v>
      </c>
      <c r="Q3645" s="30" t="s">
        <v>697</v>
      </c>
      <c r="R3645" s="9" t="s">
        <v>698</v>
      </c>
      <c r="S3645" s="9" t="s">
        <v>158</v>
      </c>
      <c r="T3645" s="10" t="s">
        <v>80</v>
      </c>
      <c r="U3645" s="10">
        <v>3</v>
      </c>
      <c r="V3645" s="10">
        <v>127.4</v>
      </c>
      <c r="W3645" s="10" t="s">
        <v>710</v>
      </c>
      <c r="X3645" s="17">
        <v>45857</v>
      </c>
      <c r="Y3645" s="17">
        <v>45857</v>
      </c>
      <c r="Z3645" s="19" t="s">
        <v>772</v>
      </c>
      <c r="AA3645" s="207">
        <v>40500</v>
      </c>
      <c r="AB3645" s="9">
        <v>24</v>
      </c>
      <c r="AC3645" s="9">
        <v>20</v>
      </c>
      <c r="AD3645" s="17">
        <v>46492</v>
      </c>
      <c r="AE3645" s="54">
        <v>1520</v>
      </c>
      <c r="AF3645" s="54"/>
      <c r="AL3645" s="22"/>
      <c r="AM3645" s="22"/>
      <c r="AN3645" s="22"/>
      <c r="AO3645" s="22"/>
      <c r="AP3645" s="22"/>
      <c r="AQ3645" s="22"/>
      <c r="AR3645" s="22"/>
      <c r="AS3645" s="22"/>
      <c r="AT3645" s="22"/>
      <c r="AU3645" s="22"/>
      <c r="AV3645" s="22"/>
      <c r="AW3645" s="9"/>
      <c r="BA3645" s="22"/>
      <c r="BB3645" s="22"/>
      <c r="BD3645" s="9"/>
      <c r="CS3645" s="11">
        <f t="shared" si="254"/>
        <v>0</v>
      </c>
      <c r="CT3645" s="22">
        <f t="shared" si="255"/>
        <v>0</v>
      </c>
      <c r="CU3645" s="22">
        <f t="shared" si="257"/>
        <v>0</v>
      </c>
      <c r="CV3645" s="26">
        <f t="shared" si="256"/>
        <v>1520</v>
      </c>
    </row>
    <row r="3646" spans="1:100" x14ac:dyDescent="0.2">
      <c r="A3646" s="9" t="s">
        <v>699</v>
      </c>
      <c r="B3646" s="2">
        <v>113</v>
      </c>
      <c r="C3646" s="3" t="s">
        <v>95</v>
      </c>
      <c r="D3646" s="3" t="s">
        <v>96</v>
      </c>
      <c r="E3646" s="2"/>
      <c r="F3646" s="2"/>
      <c r="G3646" s="2" t="s">
        <v>80</v>
      </c>
      <c r="H3646" s="2">
        <v>3</v>
      </c>
      <c r="I3646" s="20">
        <v>127.4</v>
      </c>
      <c r="J3646" s="20">
        <v>56922</v>
      </c>
      <c r="K3646" s="3">
        <v>0</v>
      </c>
      <c r="L3646" s="3" t="s">
        <v>3</v>
      </c>
      <c r="M3646" s="9" t="s">
        <v>0</v>
      </c>
      <c r="N3646" s="9">
        <v>60636005</v>
      </c>
      <c r="O3646" s="9" t="s">
        <v>696</v>
      </c>
      <c r="P3646" s="9" t="s">
        <v>0</v>
      </c>
      <c r="Q3646" s="30" t="s">
        <v>697</v>
      </c>
      <c r="R3646" s="9" t="s">
        <v>698</v>
      </c>
      <c r="S3646" s="9" t="s">
        <v>158</v>
      </c>
      <c r="T3646" s="10" t="s">
        <v>80</v>
      </c>
      <c r="U3646" s="10">
        <v>3</v>
      </c>
      <c r="V3646" s="10">
        <v>127.4</v>
      </c>
      <c r="W3646" s="10" t="s">
        <v>710</v>
      </c>
      <c r="X3646" s="17">
        <v>45857</v>
      </c>
      <c r="Y3646" s="17">
        <v>45857</v>
      </c>
      <c r="Z3646" s="19" t="s">
        <v>772</v>
      </c>
      <c r="AA3646" s="207">
        <v>40500</v>
      </c>
      <c r="AB3646" s="9">
        <v>24</v>
      </c>
      <c r="AC3646" s="9">
        <v>21</v>
      </c>
      <c r="AD3646" s="17">
        <v>46522</v>
      </c>
      <c r="AE3646" s="54">
        <v>1520</v>
      </c>
      <c r="AF3646" s="54"/>
      <c r="AL3646" s="22"/>
      <c r="AM3646" s="22"/>
      <c r="AN3646" s="22"/>
      <c r="AO3646" s="22"/>
      <c r="AP3646" s="22"/>
      <c r="AQ3646" s="22"/>
      <c r="AR3646" s="22"/>
      <c r="AS3646" s="22"/>
      <c r="AT3646" s="22"/>
      <c r="AU3646" s="22"/>
      <c r="AV3646" s="22"/>
      <c r="AW3646" s="9"/>
      <c r="BA3646" s="22"/>
      <c r="BB3646" s="22"/>
      <c r="BD3646" s="9"/>
      <c r="CS3646" s="11">
        <f t="shared" si="254"/>
        <v>0</v>
      </c>
      <c r="CT3646" s="22">
        <f t="shared" si="255"/>
        <v>0</v>
      </c>
      <c r="CU3646" s="22">
        <f t="shared" si="257"/>
        <v>0</v>
      </c>
      <c r="CV3646" s="26">
        <f t="shared" si="256"/>
        <v>1520</v>
      </c>
    </row>
    <row r="3647" spans="1:100" x14ac:dyDescent="0.2">
      <c r="A3647" s="9" t="s">
        <v>699</v>
      </c>
      <c r="B3647" s="2">
        <v>113</v>
      </c>
      <c r="C3647" s="3" t="s">
        <v>95</v>
      </c>
      <c r="D3647" s="3" t="s">
        <v>96</v>
      </c>
      <c r="E3647" s="2"/>
      <c r="F3647" s="2"/>
      <c r="G3647" s="2" t="s">
        <v>80</v>
      </c>
      <c r="H3647" s="2">
        <v>3</v>
      </c>
      <c r="I3647" s="20">
        <v>127.4</v>
      </c>
      <c r="J3647" s="20">
        <v>56922</v>
      </c>
      <c r="K3647" s="3">
        <v>0</v>
      </c>
      <c r="L3647" s="3" t="s">
        <v>3</v>
      </c>
      <c r="M3647" s="9" t="s">
        <v>0</v>
      </c>
      <c r="N3647" s="9">
        <v>60636005</v>
      </c>
      <c r="O3647" s="9" t="s">
        <v>696</v>
      </c>
      <c r="P3647" s="9" t="s">
        <v>0</v>
      </c>
      <c r="Q3647" s="30" t="s">
        <v>697</v>
      </c>
      <c r="R3647" s="9" t="s">
        <v>698</v>
      </c>
      <c r="S3647" s="9" t="s">
        <v>158</v>
      </c>
      <c r="T3647" s="10" t="s">
        <v>80</v>
      </c>
      <c r="U3647" s="10">
        <v>3</v>
      </c>
      <c r="V3647" s="10">
        <v>127.4</v>
      </c>
      <c r="W3647" s="10" t="s">
        <v>710</v>
      </c>
      <c r="X3647" s="17">
        <v>45857</v>
      </c>
      <c r="Y3647" s="17">
        <v>45857</v>
      </c>
      <c r="Z3647" s="19" t="s">
        <v>772</v>
      </c>
      <c r="AA3647" s="207">
        <v>40500</v>
      </c>
      <c r="AB3647" s="9">
        <v>24</v>
      </c>
      <c r="AC3647" s="9">
        <v>22</v>
      </c>
      <c r="AD3647" s="17">
        <v>46553</v>
      </c>
      <c r="AE3647" s="54">
        <v>1520</v>
      </c>
      <c r="AF3647" s="54"/>
      <c r="AL3647" s="22"/>
      <c r="AM3647" s="22"/>
      <c r="AN3647" s="22"/>
      <c r="AO3647" s="22"/>
      <c r="AP3647" s="22"/>
      <c r="AQ3647" s="22"/>
      <c r="AR3647" s="22"/>
      <c r="AS3647" s="22"/>
      <c r="AT3647" s="22"/>
      <c r="AU3647" s="22"/>
      <c r="AV3647" s="22"/>
      <c r="AW3647" s="9"/>
      <c r="BA3647" s="22"/>
      <c r="BB3647" s="22"/>
      <c r="BD3647" s="9"/>
      <c r="CS3647" s="11">
        <f t="shared" si="254"/>
        <v>0</v>
      </c>
      <c r="CT3647" s="22">
        <f t="shared" si="255"/>
        <v>0</v>
      </c>
      <c r="CU3647" s="22">
        <f t="shared" si="257"/>
        <v>0</v>
      </c>
      <c r="CV3647" s="26">
        <f t="shared" si="256"/>
        <v>1520</v>
      </c>
    </row>
    <row r="3648" spans="1:100" x14ac:dyDescent="0.2">
      <c r="A3648" s="9" t="s">
        <v>699</v>
      </c>
      <c r="B3648" s="2">
        <v>113</v>
      </c>
      <c r="C3648" s="3" t="s">
        <v>95</v>
      </c>
      <c r="D3648" s="3" t="s">
        <v>96</v>
      </c>
      <c r="E3648" s="2"/>
      <c r="F3648" s="2"/>
      <c r="G3648" s="2" t="s">
        <v>80</v>
      </c>
      <c r="H3648" s="2">
        <v>3</v>
      </c>
      <c r="I3648" s="20">
        <v>127.4</v>
      </c>
      <c r="J3648" s="20">
        <v>56922</v>
      </c>
      <c r="K3648" s="3">
        <v>0</v>
      </c>
      <c r="L3648" s="3" t="s">
        <v>3</v>
      </c>
      <c r="M3648" s="9" t="s">
        <v>0</v>
      </c>
      <c r="N3648" s="9">
        <v>60636005</v>
      </c>
      <c r="O3648" s="9" t="s">
        <v>696</v>
      </c>
      <c r="P3648" s="9" t="s">
        <v>0</v>
      </c>
      <c r="Q3648" s="30" t="s">
        <v>697</v>
      </c>
      <c r="R3648" s="9" t="s">
        <v>698</v>
      </c>
      <c r="S3648" s="9" t="s">
        <v>158</v>
      </c>
      <c r="T3648" s="10" t="s">
        <v>80</v>
      </c>
      <c r="U3648" s="10">
        <v>3</v>
      </c>
      <c r="V3648" s="10">
        <v>127.4</v>
      </c>
      <c r="W3648" s="10" t="s">
        <v>710</v>
      </c>
      <c r="X3648" s="17">
        <v>45857</v>
      </c>
      <c r="Y3648" s="17">
        <v>45857</v>
      </c>
      <c r="Z3648" s="19" t="s">
        <v>772</v>
      </c>
      <c r="AA3648" s="207">
        <v>40500</v>
      </c>
      <c r="AB3648" s="9">
        <v>24</v>
      </c>
      <c r="AC3648" s="9">
        <v>23</v>
      </c>
      <c r="AD3648" s="17">
        <v>46583</v>
      </c>
      <c r="AE3648" s="54">
        <v>1520</v>
      </c>
      <c r="AF3648" s="54"/>
      <c r="AL3648" s="22"/>
      <c r="AM3648" s="22"/>
      <c r="AN3648" s="22"/>
      <c r="AO3648" s="22"/>
      <c r="AP3648" s="22"/>
      <c r="AQ3648" s="22"/>
      <c r="AR3648" s="22"/>
      <c r="AS3648" s="22"/>
      <c r="AT3648" s="22"/>
      <c r="AU3648" s="22"/>
      <c r="AV3648" s="22"/>
      <c r="AW3648" s="9"/>
      <c r="BA3648" s="22"/>
      <c r="BB3648" s="22"/>
      <c r="BD3648" s="9"/>
      <c r="CS3648" s="11">
        <f t="shared" si="254"/>
        <v>0</v>
      </c>
      <c r="CT3648" s="22">
        <f t="shared" si="255"/>
        <v>0</v>
      </c>
      <c r="CU3648" s="22">
        <f t="shared" si="257"/>
        <v>0</v>
      </c>
      <c r="CV3648" s="26">
        <f t="shared" si="256"/>
        <v>1520</v>
      </c>
    </row>
    <row r="3649" spans="1:100" x14ac:dyDescent="0.2">
      <c r="A3649" s="9" t="s">
        <v>699</v>
      </c>
      <c r="B3649" s="2">
        <v>113</v>
      </c>
      <c r="C3649" s="3" t="s">
        <v>95</v>
      </c>
      <c r="D3649" s="3" t="s">
        <v>96</v>
      </c>
      <c r="E3649" s="2"/>
      <c r="F3649" s="2"/>
      <c r="G3649" s="2" t="s">
        <v>80</v>
      </c>
      <c r="H3649" s="2">
        <v>3</v>
      </c>
      <c r="I3649" s="20">
        <v>127.4</v>
      </c>
      <c r="J3649" s="20">
        <v>56922</v>
      </c>
      <c r="K3649" s="3">
        <v>0</v>
      </c>
      <c r="L3649" s="3" t="s">
        <v>3</v>
      </c>
      <c r="M3649" s="9" t="s">
        <v>0</v>
      </c>
      <c r="N3649" s="9">
        <v>60636005</v>
      </c>
      <c r="O3649" s="9" t="s">
        <v>696</v>
      </c>
      <c r="P3649" s="9" t="s">
        <v>0</v>
      </c>
      <c r="Q3649" s="30" t="s">
        <v>697</v>
      </c>
      <c r="R3649" s="9" t="s">
        <v>698</v>
      </c>
      <c r="S3649" s="9" t="s">
        <v>158</v>
      </c>
      <c r="T3649" s="10" t="s">
        <v>80</v>
      </c>
      <c r="U3649" s="10">
        <v>3</v>
      </c>
      <c r="V3649" s="10">
        <v>127.4</v>
      </c>
      <c r="W3649" s="10" t="s">
        <v>710</v>
      </c>
      <c r="X3649" s="17">
        <v>45857</v>
      </c>
      <c r="Y3649" s="17">
        <v>45857</v>
      </c>
      <c r="Z3649" s="19" t="s">
        <v>772</v>
      </c>
      <c r="AA3649" s="207">
        <v>40500</v>
      </c>
      <c r="AB3649" s="9">
        <v>24</v>
      </c>
      <c r="AC3649" s="9">
        <v>24</v>
      </c>
      <c r="AD3649" s="17">
        <v>46614</v>
      </c>
      <c r="AE3649" s="54">
        <v>1540</v>
      </c>
      <c r="AF3649" s="54"/>
      <c r="AL3649" s="22"/>
      <c r="AM3649" s="22"/>
      <c r="AN3649" s="22"/>
      <c r="AO3649" s="22"/>
      <c r="AP3649" s="22"/>
      <c r="AQ3649" s="22"/>
      <c r="AR3649" s="22"/>
      <c r="AS3649" s="22"/>
      <c r="AT3649" s="22"/>
      <c r="AU3649" s="22"/>
      <c r="AV3649" s="22"/>
      <c r="AW3649" s="9"/>
      <c r="BA3649" s="22"/>
      <c r="BB3649" s="22"/>
      <c r="BD3649" s="9"/>
      <c r="CS3649" s="11">
        <f t="shared" si="254"/>
        <v>0</v>
      </c>
      <c r="CT3649" s="22">
        <f t="shared" si="255"/>
        <v>0</v>
      </c>
      <c r="CU3649" s="22">
        <f t="shared" si="257"/>
        <v>0</v>
      </c>
      <c r="CV3649" s="26">
        <f t="shared" si="256"/>
        <v>1540</v>
      </c>
    </row>
    <row r="3650" spans="1:100" x14ac:dyDescent="0.2">
      <c r="A3650" s="9" t="s">
        <v>702</v>
      </c>
      <c r="B3650" s="2">
        <v>30</v>
      </c>
      <c r="C3650" s="3" t="s">
        <v>95</v>
      </c>
      <c r="D3650" s="3" t="s">
        <v>96</v>
      </c>
      <c r="E3650" s="2"/>
      <c r="F3650" s="2"/>
      <c r="G3650" s="2" t="s">
        <v>69</v>
      </c>
      <c r="H3650" s="2">
        <v>10</v>
      </c>
      <c r="I3650" s="20">
        <v>132.47999999999999</v>
      </c>
      <c r="J3650" s="20">
        <v>75131</v>
      </c>
      <c r="K3650" s="3">
        <v>0</v>
      </c>
      <c r="L3650" s="3" t="s">
        <v>98</v>
      </c>
      <c r="M3650" s="9" t="s">
        <v>0</v>
      </c>
      <c r="N3650" s="10">
        <v>19961020</v>
      </c>
      <c r="O3650" s="9" t="s">
        <v>703</v>
      </c>
      <c r="S3650" s="9" t="s">
        <v>158</v>
      </c>
      <c r="T3650" s="10" t="s">
        <v>69</v>
      </c>
      <c r="U3650" s="10">
        <v>10</v>
      </c>
      <c r="V3650" s="10">
        <v>132.47999999999999</v>
      </c>
      <c r="W3650" s="81" t="s">
        <v>710</v>
      </c>
      <c r="X3650" s="17">
        <v>45887</v>
      </c>
      <c r="Y3650" s="17">
        <v>45887</v>
      </c>
      <c r="Z3650" s="19" t="s">
        <v>772</v>
      </c>
      <c r="AA3650" s="207">
        <v>48500</v>
      </c>
      <c r="AB3650" s="9">
        <v>48</v>
      </c>
      <c r="AC3650" s="9">
        <v>0</v>
      </c>
      <c r="AD3650" s="17">
        <v>45887</v>
      </c>
      <c r="AE3650" s="54">
        <v>5000</v>
      </c>
      <c r="AF3650" s="54"/>
      <c r="AG3650" s="9" t="s">
        <v>134</v>
      </c>
      <c r="AH3650" s="17">
        <v>45887</v>
      </c>
      <c r="AI3650" s="17"/>
      <c r="AJ3650" s="17"/>
      <c r="AK3650" s="9" t="s">
        <v>704</v>
      </c>
      <c r="AL3650" s="22">
        <v>5000</v>
      </c>
      <c r="AM3650" s="22"/>
      <c r="AN3650" s="22" t="s">
        <v>721</v>
      </c>
      <c r="AO3650" s="22"/>
      <c r="AP3650" s="22"/>
      <c r="AQ3650" s="22"/>
      <c r="AR3650" s="22"/>
      <c r="AS3650" s="22"/>
      <c r="AT3650" s="22"/>
      <c r="AU3650" s="22"/>
      <c r="AV3650" s="22"/>
      <c r="AW3650" s="17">
        <v>45887</v>
      </c>
      <c r="AX3650" s="9">
        <v>51688</v>
      </c>
      <c r="AY3650" s="77">
        <v>11300</v>
      </c>
      <c r="AZ3650" s="9">
        <v>3.5510000000000002</v>
      </c>
      <c r="BA3650" s="22">
        <f>+AY3650/AZ3650</f>
        <v>3182.202196564348</v>
      </c>
      <c r="BB3650" s="22"/>
      <c r="BC3650" s="17">
        <v>45886</v>
      </c>
      <c r="BD3650" s="77">
        <v>3711257</v>
      </c>
      <c r="BE3650" s="9">
        <v>1000</v>
      </c>
      <c r="BF3650" s="9">
        <v>3.5510000000000002</v>
      </c>
      <c r="BG3650" s="9">
        <f>+BE3650/BF3650</f>
        <v>281.61081385525205</v>
      </c>
      <c r="BI3650" s="17">
        <v>45887</v>
      </c>
      <c r="BJ3650" s="77">
        <v>4587</v>
      </c>
      <c r="BM3650" s="22">
        <v>1536</v>
      </c>
      <c r="BN3650" s="22"/>
      <c r="CS3650" s="11">
        <f t="shared" si="254"/>
        <v>5000</v>
      </c>
      <c r="CT3650" s="22">
        <f t="shared" si="255"/>
        <v>4999.8130104196007</v>
      </c>
      <c r="CU3650" s="22">
        <f t="shared" si="257"/>
        <v>0.18698958039931313</v>
      </c>
      <c r="CV3650" s="26">
        <f t="shared" si="256"/>
        <v>0</v>
      </c>
    </row>
    <row r="3651" spans="1:100" x14ac:dyDescent="0.2">
      <c r="A3651" s="9" t="s">
        <v>702</v>
      </c>
      <c r="B3651" s="2">
        <v>30</v>
      </c>
      <c r="C3651" s="3" t="s">
        <v>95</v>
      </c>
      <c r="D3651" s="3" t="s">
        <v>96</v>
      </c>
      <c r="E3651" s="2"/>
      <c r="F3651" s="2"/>
      <c r="G3651" s="2" t="s">
        <v>69</v>
      </c>
      <c r="H3651" s="2">
        <v>10</v>
      </c>
      <c r="I3651" s="20">
        <v>132.47999999999999</v>
      </c>
      <c r="J3651" s="20">
        <v>75131</v>
      </c>
      <c r="K3651" s="3">
        <v>0</v>
      </c>
      <c r="L3651" s="3" t="s">
        <v>98</v>
      </c>
      <c r="M3651" s="9" t="s">
        <v>0</v>
      </c>
      <c r="N3651" s="10">
        <v>19961020</v>
      </c>
      <c r="O3651" s="9" t="s">
        <v>703</v>
      </c>
      <c r="S3651" s="9" t="s">
        <v>158</v>
      </c>
      <c r="T3651" s="10" t="s">
        <v>69</v>
      </c>
      <c r="U3651" s="10">
        <v>10</v>
      </c>
      <c r="V3651" s="10">
        <v>132.47999999999999</v>
      </c>
      <c r="W3651" s="81" t="s">
        <v>710</v>
      </c>
      <c r="X3651" s="17">
        <v>45887</v>
      </c>
      <c r="Y3651" s="17">
        <v>45887</v>
      </c>
      <c r="Z3651" s="19" t="s">
        <v>772</v>
      </c>
      <c r="AA3651" s="207">
        <v>48500</v>
      </c>
      <c r="AB3651" s="9">
        <v>48</v>
      </c>
      <c r="AC3651" s="9">
        <v>1</v>
      </c>
      <c r="AD3651" s="17">
        <v>45966</v>
      </c>
      <c r="AE3651" s="54">
        <v>900</v>
      </c>
      <c r="AF3651" s="54"/>
      <c r="AL3651" s="22"/>
      <c r="AM3651" s="22"/>
      <c r="AN3651" s="22"/>
      <c r="AO3651" s="22"/>
      <c r="AP3651" s="22"/>
      <c r="AQ3651" s="22"/>
      <c r="AR3651" s="22"/>
      <c r="AS3651" s="22"/>
      <c r="AT3651" s="22"/>
      <c r="AU3651" s="22"/>
      <c r="AV3651" s="22"/>
      <c r="AW3651" s="9"/>
      <c r="BA3651" s="22"/>
      <c r="BB3651" s="22"/>
      <c r="BD3651" s="9"/>
      <c r="CS3651" s="11">
        <f t="shared" si="254"/>
        <v>0</v>
      </c>
      <c r="CT3651" s="22">
        <f t="shared" si="255"/>
        <v>0</v>
      </c>
      <c r="CU3651" s="22">
        <f t="shared" si="257"/>
        <v>0</v>
      </c>
      <c r="CV3651" s="26">
        <f t="shared" si="256"/>
        <v>900</v>
      </c>
    </row>
    <row r="3652" spans="1:100" x14ac:dyDescent="0.2">
      <c r="A3652" s="9" t="s">
        <v>702</v>
      </c>
      <c r="B3652" s="2">
        <v>30</v>
      </c>
      <c r="C3652" s="3" t="s">
        <v>95</v>
      </c>
      <c r="D3652" s="3" t="s">
        <v>96</v>
      </c>
      <c r="E3652" s="2"/>
      <c r="F3652" s="2"/>
      <c r="G3652" s="2" t="s">
        <v>69</v>
      </c>
      <c r="H3652" s="2">
        <v>10</v>
      </c>
      <c r="I3652" s="20">
        <v>132.47999999999999</v>
      </c>
      <c r="J3652" s="20">
        <v>75131</v>
      </c>
      <c r="K3652" s="3">
        <v>0</v>
      </c>
      <c r="L3652" s="3" t="s">
        <v>98</v>
      </c>
      <c r="M3652" s="9" t="s">
        <v>0</v>
      </c>
      <c r="N3652" s="10">
        <v>19961020</v>
      </c>
      <c r="O3652" s="9" t="s">
        <v>703</v>
      </c>
      <c r="S3652" s="9" t="s">
        <v>158</v>
      </c>
      <c r="T3652" s="10" t="s">
        <v>69</v>
      </c>
      <c r="U3652" s="10">
        <v>10</v>
      </c>
      <c r="V3652" s="10">
        <v>132.47999999999999</v>
      </c>
      <c r="W3652" s="81" t="s">
        <v>710</v>
      </c>
      <c r="X3652" s="17">
        <v>45887</v>
      </c>
      <c r="Y3652" s="17">
        <v>45887</v>
      </c>
      <c r="Z3652" s="19" t="s">
        <v>772</v>
      </c>
      <c r="AA3652" s="207">
        <v>48500</v>
      </c>
      <c r="AB3652" s="9">
        <v>48</v>
      </c>
      <c r="AC3652" s="9">
        <v>2</v>
      </c>
      <c r="AD3652" s="17">
        <v>45996</v>
      </c>
      <c r="AE3652" s="54">
        <v>900</v>
      </c>
      <c r="AF3652" s="54"/>
      <c r="AL3652" s="22"/>
      <c r="AM3652" s="22"/>
      <c r="AN3652" s="22"/>
      <c r="AO3652" s="22"/>
      <c r="AP3652" s="22"/>
      <c r="AQ3652" s="22"/>
      <c r="AR3652" s="22"/>
      <c r="AS3652" s="22"/>
      <c r="AT3652" s="22"/>
      <c r="AU3652" s="22"/>
      <c r="AV3652" s="22"/>
      <c r="AW3652" s="9"/>
      <c r="BA3652" s="22"/>
      <c r="BB3652" s="22"/>
      <c r="BD3652" s="9"/>
      <c r="CS3652" s="11">
        <f t="shared" si="254"/>
        <v>0</v>
      </c>
      <c r="CT3652" s="22">
        <f t="shared" si="255"/>
        <v>0</v>
      </c>
      <c r="CU3652" s="22">
        <f t="shared" si="257"/>
        <v>0</v>
      </c>
      <c r="CV3652" s="26">
        <f t="shared" si="256"/>
        <v>900</v>
      </c>
    </row>
    <row r="3653" spans="1:100" x14ac:dyDescent="0.2">
      <c r="A3653" s="9" t="s">
        <v>702</v>
      </c>
      <c r="B3653" s="2">
        <v>30</v>
      </c>
      <c r="C3653" s="3" t="s">
        <v>95</v>
      </c>
      <c r="D3653" s="3" t="s">
        <v>96</v>
      </c>
      <c r="E3653" s="2"/>
      <c r="F3653" s="2"/>
      <c r="G3653" s="2" t="s">
        <v>69</v>
      </c>
      <c r="H3653" s="2">
        <v>10</v>
      </c>
      <c r="I3653" s="20">
        <v>132.47999999999999</v>
      </c>
      <c r="J3653" s="20">
        <v>75131</v>
      </c>
      <c r="K3653" s="3">
        <v>0</v>
      </c>
      <c r="L3653" s="3" t="s">
        <v>98</v>
      </c>
      <c r="M3653" s="9" t="s">
        <v>0</v>
      </c>
      <c r="N3653" s="10">
        <v>19961020</v>
      </c>
      <c r="O3653" s="9" t="s">
        <v>703</v>
      </c>
      <c r="S3653" s="9" t="s">
        <v>158</v>
      </c>
      <c r="T3653" s="10" t="s">
        <v>69</v>
      </c>
      <c r="U3653" s="10">
        <v>10</v>
      </c>
      <c r="V3653" s="10">
        <v>132.47999999999999</v>
      </c>
      <c r="W3653" s="81" t="s">
        <v>710</v>
      </c>
      <c r="X3653" s="17">
        <v>45887</v>
      </c>
      <c r="Y3653" s="17">
        <v>45887</v>
      </c>
      <c r="Z3653" s="19" t="s">
        <v>772</v>
      </c>
      <c r="AA3653" s="207">
        <v>48500</v>
      </c>
      <c r="AB3653" s="9">
        <v>48</v>
      </c>
      <c r="AC3653" s="9">
        <v>3</v>
      </c>
      <c r="AD3653" s="17">
        <v>46027</v>
      </c>
      <c r="AE3653" s="54">
        <v>900</v>
      </c>
      <c r="AF3653" s="54"/>
      <c r="AL3653" s="22"/>
      <c r="AM3653" s="22"/>
      <c r="AN3653" s="22"/>
      <c r="AO3653" s="22"/>
      <c r="AP3653" s="22"/>
      <c r="AQ3653" s="22"/>
      <c r="AR3653" s="22"/>
      <c r="AS3653" s="22"/>
      <c r="AT3653" s="22"/>
      <c r="AU3653" s="22"/>
      <c r="AV3653" s="22"/>
      <c r="AW3653" s="9"/>
      <c r="BA3653" s="22"/>
      <c r="BB3653" s="22"/>
      <c r="BD3653" s="9"/>
      <c r="CS3653" s="11">
        <f t="shared" si="254"/>
        <v>0</v>
      </c>
      <c r="CT3653" s="22">
        <f t="shared" si="255"/>
        <v>0</v>
      </c>
      <c r="CU3653" s="22">
        <f t="shared" si="257"/>
        <v>0</v>
      </c>
      <c r="CV3653" s="26">
        <f t="shared" si="256"/>
        <v>900</v>
      </c>
    </row>
    <row r="3654" spans="1:100" x14ac:dyDescent="0.2">
      <c r="A3654" s="9" t="s">
        <v>702</v>
      </c>
      <c r="B3654" s="2">
        <v>30</v>
      </c>
      <c r="C3654" s="3" t="s">
        <v>95</v>
      </c>
      <c r="D3654" s="3" t="s">
        <v>96</v>
      </c>
      <c r="E3654" s="2"/>
      <c r="F3654" s="2"/>
      <c r="G3654" s="2" t="s">
        <v>69</v>
      </c>
      <c r="H3654" s="2">
        <v>10</v>
      </c>
      <c r="I3654" s="20">
        <v>132.47999999999999</v>
      </c>
      <c r="J3654" s="20">
        <v>75131</v>
      </c>
      <c r="K3654" s="3">
        <v>0</v>
      </c>
      <c r="L3654" s="3" t="s">
        <v>98</v>
      </c>
      <c r="M3654" s="3" t="s">
        <v>0</v>
      </c>
      <c r="N3654" s="2">
        <v>19961020</v>
      </c>
      <c r="O3654" s="9" t="s">
        <v>703</v>
      </c>
      <c r="S3654" s="9" t="s">
        <v>158</v>
      </c>
      <c r="T3654" s="10" t="s">
        <v>69</v>
      </c>
      <c r="U3654" s="10">
        <v>10</v>
      </c>
      <c r="V3654" s="2">
        <v>132.47999999999999</v>
      </c>
      <c r="W3654" s="81" t="s">
        <v>710</v>
      </c>
      <c r="X3654" s="17">
        <v>45887</v>
      </c>
      <c r="Y3654" s="1">
        <v>45887</v>
      </c>
      <c r="Z3654" s="6" t="s">
        <v>772</v>
      </c>
      <c r="AA3654" s="216">
        <v>48500</v>
      </c>
      <c r="AB3654" s="3">
        <v>48</v>
      </c>
      <c r="AC3654" s="3">
        <v>4</v>
      </c>
      <c r="AD3654" s="17">
        <v>46058</v>
      </c>
      <c r="AE3654" s="54">
        <v>900</v>
      </c>
      <c r="AF3654" s="54"/>
      <c r="AL3654" s="22"/>
      <c r="AM3654" s="22"/>
      <c r="AN3654" s="22"/>
      <c r="AO3654" s="22"/>
      <c r="AP3654" s="22"/>
      <c r="AQ3654" s="22"/>
      <c r="AR3654" s="22"/>
      <c r="AS3654" s="22"/>
      <c r="AT3654" s="22"/>
      <c r="AU3654" s="22"/>
      <c r="AV3654" s="22"/>
      <c r="AW3654" s="9"/>
      <c r="BA3654" s="22"/>
      <c r="BB3654" s="22"/>
      <c r="BD3654" s="9"/>
      <c r="CS3654" s="11">
        <f t="shared" si="254"/>
        <v>0</v>
      </c>
      <c r="CT3654" s="22">
        <f t="shared" si="255"/>
        <v>0</v>
      </c>
      <c r="CU3654" s="22">
        <f t="shared" si="257"/>
        <v>0</v>
      </c>
      <c r="CV3654" s="26">
        <f t="shared" si="256"/>
        <v>900</v>
      </c>
    </row>
    <row r="3655" spans="1:100" x14ac:dyDescent="0.2">
      <c r="A3655" s="9" t="s">
        <v>702</v>
      </c>
      <c r="B3655" s="2">
        <v>30</v>
      </c>
      <c r="C3655" s="3" t="s">
        <v>95</v>
      </c>
      <c r="D3655" s="3" t="s">
        <v>96</v>
      </c>
      <c r="E3655" s="2"/>
      <c r="F3655" s="2"/>
      <c r="G3655" s="2" t="s">
        <v>69</v>
      </c>
      <c r="H3655" s="2">
        <v>10</v>
      </c>
      <c r="I3655" s="20">
        <v>132.47999999999999</v>
      </c>
      <c r="J3655" s="20">
        <v>75131</v>
      </c>
      <c r="K3655" s="3">
        <v>0</v>
      </c>
      <c r="L3655" s="3" t="s">
        <v>98</v>
      </c>
      <c r="M3655" s="9" t="s">
        <v>0</v>
      </c>
      <c r="N3655" s="10">
        <v>19961020</v>
      </c>
      <c r="O3655" s="9" t="s">
        <v>703</v>
      </c>
      <c r="S3655" s="9" t="s">
        <v>158</v>
      </c>
      <c r="T3655" s="10" t="s">
        <v>69</v>
      </c>
      <c r="U3655" s="10">
        <v>10</v>
      </c>
      <c r="V3655" s="10">
        <v>132.47999999999999</v>
      </c>
      <c r="W3655" s="81" t="s">
        <v>710</v>
      </c>
      <c r="X3655" s="17">
        <v>45887</v>
      </c>
      <c r="Y3655" s="17">
        <v>45887</v>
      </c>
      <c r="Z3655" s="19" t="s">
        <v>772</v>
      </c>
      <c r="AA3655" s="207">
        <v>48500</v>
      </c>
      <c r="AB3655" s="9">
        <v>48</v>
      </c>
      <c r="AC3655" s="9">
        <v>5</v>
      </c>
      <c r="AD3655" s="17">
        <v>46086</v>
      </c>
      <c r="AE3655" s="54">
        <v>900</v>
      </c>
      <c r="AF3655" s="54"/>
      <c r="AL3655" s="22"/>
      <c r="AM3655" s="22"/>
      <c r="AN3655" s="22"/>
      <c r="AO3655" s="22"/>
      <c r="AP3655" s="22"/>
      <c r="AQ3655" s="22"/>
      <c r="AR3655" s="22"/>
      <c r="AS3655" s="22"/>
      <c r="AT3655" s="22"/>
      <c r="AU3655" s="22"/>
      <c r="AV3655" s="22"/>
      <c r="AW3655" s="9"/>
      <c r="BA3655" s="22"/>
      <c r="BB3655" s="22"/>
      <c r="BD3655" s="9"/>
      <c r="CS3655" s="11">
        <f t="shared" si="254"/>
        <v>0</v>
      </c>
      <c r="CT3655" s="22">
        <f t="shared" si="255"/>
        <v>0</v>
      </c>
      <c r="CU3655" s="22">
        <f t="shared" si="257"/>
        <v>0</v>
      </c>
      <c r="CV3655" s="26">
        <f t="shared" si="256"/>
        <v>900</v>
      </c>
    </row>
    <row r="3656" spans="1:100" x14ac:dyDescent="0.2">
      <c r="A3656" s="9" t="s">
        <v>702</v>
      </c>
      <c r="B3656" s="2">
        <v>30</v>
      </c>
      <c r="C3656" s="3" t="s">
        <v>95</v>
      </c>
      <c r="D3656" s="3" t="s">
        <v>96</v>
      </c>
      <c r="E3656" s="2"/>
      <c r="F3656" s="2"/>
      <c r="G3656" s="2" t="s">
        <v>69</v>
      </c>
      <c r="H3656" s="2">
        <v>10</v>
      </c>
      <c r="I3656" s="20">
        <v>132.47999999999999</v>
      </c>
      <c r="J3656" s="20">
        <v>75131</v>
      </c>
      <c r="K3656" s="3">
        <v>0</v>
      </c>
      <c r="L3656" s="3" t="s">
        <v>98</v>
      </c>
      <c r="M3656" s="9" t="s">
        <v>0</v>
      </c>
      <c r="N3656" s="10">
        <v>19961020</v>
      </c>
      <c r="O3656" s="9" t="s">
        <v>703</v>
      </c>
      <c r="S3656" s="9" t="s">
        <v>158</v>
      </c>
      <c r="T3656" s="10" t="s">
        <v>69</v>
      </c>
      <c r="U3656" s="10">
        <v>10</v>
      </c>
      <c r="V3656" s="10">
        <v>132.47999999999999</v>
      </c>
      <c r="W3656" s="81" t="s">
        <v>710</v>
      </c>
      <c r="X3656" s="17">
        <v>45887</v>
      </c>
      <c r="Y3656" s="17">
        <v>45887</v>
      </c>
      <c r="Z3656" s="19" t="s">
        <v>772</v>
      </c>
      <c r="AA3656" s="207">
        <v>48500</v>
      </c>
      <c r="AB3656" s="9">
        <v>48</v>
      </c>
      <c r="AC3656" s="9">
        <v>6</v>
      </c>
      <c r="AD3656" s="17">
        <v>46117</v>
      </c>
      <c r="AE3656" s="54">
        <v>900</v>
      </c>
      <c r="AF3656" s="54"/>
      <c r="AL3656" s="22"/>
      <c r="AM3656" s="22"/>
      <c r="AN3656" s="22"/>
      <c r="AO3656" s="22"/>
      <c r="AP3656" s="22"/>
      <c r="AQ3656" s="22"/>
      <c r="AR3656" s="22"/>
      <c r="AS3656" s="22"/>
      <c r="AT3656" s="22"/>
      <c r="AU3656" s="22"/>
      <c r="AV3656" s="22"/>
      <c r="AW3656" s="9"/>
      <c r="BA3656" s="22"/>
      <c r="BB3656" s="22"/>
      <c r="BD3656" s="9"/>
      <c r="CS3656" s="11">
        <f t="shared" ref="CS3656:CS3687" si="258">+AL3656+AT3656</f>
        <v>0</v>
      </c>
      <c r="CT3656" s="22">
        <f t="shared" ref="CT3656:CT3687" si="259">+BA3656+BG3656+BM3656+BS3656+BY3656+CE3656+CK3656+CQ3656</f>
        <v>0</v>
      </c>
      <c r="CU3656" s="22">
        <f t="shared" si="257"/>
        <v>0</v>
      </c>
      <c r="CV3656" s="26">
        <f t="shared" ref="CV3656:CV3687" si="260">+AE3656-AL3656-AT3656</f>
        <v>900</v>
      </c>
    </row>
    <row r="3657" spans="1:100" x14ac:dyDescent="0.2">
      <c r="A3657" s="9" t="s">
        <v>702</v>
      </c>
      <c r="B3657" s="2">
        <v>30</v>
      </c>
      <c r="C3657" s="3" t="s">
        <v>95</v>
      </c>
      <c r="D3657" s="3" t="s">
        <v>96</v>
      </c>
      <c r="E3657" s="2"/>
      <c r="F3657" s="2"/>
      <c r="G3657" s="2" t="s">
        <v>69</v>
      </c>
      <c r="H3657" s="2">
        <v>10</v>
      </c>
      <c r="I3657" s="20">
        <v>132.47999999999999</v>
      </c>
      <c r="J3657" s="20">
        <v>75131</v>
      </c>
      <c r="K3657" s="3">
        <v>0</v>
      </c>
      <c r="L3657" s="3" t="s">
        <v>98</v>
      </c>
      <c r="M3657" s="9" t="s">
        <v>0</v>
      </c>
      <c r="N3657" s="10">
        <v>19961020</v>
      </c>
      <c r="O3657" s="9" t="s">
        <v>703</v>
      </c>
      <c r="S3657" s="9" t="s">
        <v>158</v>
      </c>
      <c r="T3657" s="10" t="s">
        <v>69</v>
      </c>
      <c r="U3657" s="10">
        <v>10</v>
      </c>
      <c r="V3657" s="10">
        <v>132.47999999999999</v>
      </c>
      <c r="W3657" s="81" t="s">
        <v>710</v>
      </c>
      <c r="X3657" s="17">
        <v>45887</v>
      </c>
      <c r="Y3657" s="17">
        <v>45887</v>
      </c>
      <c r="Z3657" s="19" t="s">
        <v>772</v>
      </c>
      <c r="AA3657" s="207">
        <v>48500</v>
      </c>
      <c r="AB3657" s="9">
        <v>48</v>
      </c>
      <c r="AC3657" s="9">
        <v>7</v>
      </c>
      <c r="AD3657" s="17">
        <v>46147</v>
      </c>
      <c r="AE3657" s="54">
        <v>900</v>
      </c>
      <c r="AF3657" s="54"/>
      <c r="AL3657" s="22"/>
      <c r="AM3657" s="22"/>
      <c r="AN3657" s="22"/>
      <c r="AO3657" s="22"/>
      <c r="AP3657" s="22"/>
      <c r="AQ3657" s="22"/>
      <c r="AR3657" s="22"/>
      <c r="AS3657" s="22"/>
      <c r="AT3657" s="22"/>
      <c r="AU3657" s="22"/>
      <c r="AV3657" s="22"/>
      <c r="AW3657" s="9"/>
      <c r="BA3657" s="22"/>
      <c r="BB3657" s="22"/>
      <c r="BD3657" s="9"/>
      <c r="CS3657" s="11">
        <f t="shared" si="258"/>
        <v>0</v>
      </c>
      <c r="CT3657" s="22">
        <f t="shared" si="259"/>
        <v>0</v>
      </c>
      <c r="CU3657" s="22">
        <f t="shared" si="257"/>
        <v>0</v>
      </c>
      <c r="CV3657" s="26">
        <f t="shared" si="260"/>
        <v>900</v>
      </c>
    </row>
    <row r="3658" spans="1:100" x14ac:dyDescent="0.2">
      <c r="A3658" s="9" t="s">
        <v>702</v>
      </c>
      <c r="B3658" s="2">
        <v>30</v>
      </c>
      <c r="C3658" s="3" t="s">
        <v>95</v>
      </c>
      <c r="D3658" s="3" t="s">
        <v>96</v>
      </c>
      <c r="E3658" s="2"/>
      <c r="F3658" s="2"/>
      <c r="G3658" s="2" t="s">
        <v>69</v>
      </c>
      <c r="H3658" s="2">
        <v>10</v>
      </c>
      <c r="I3658" s="20">
        <v>132.47999999999999</v>
      </c>
      <c r="J3658" s="20">
        <v>75131</v>
      </c>
      <c r="K3658" s="3">
        <v>0</v>
      </c>
      <c r="L3658" s="3" t="s">
        <v>98</v>
      </c>
      <c r="M3658" s="9" t="s">
        <v>0</v>
      </c>
      <c r="N3658" s="10">
        <v>19961020</v>
      </c>
      <c r="O3658" s="9" t="s">
        <v>703</v>
      </c>
      <c r="S3658" s="9" t="s">
        <v>158</v>
      </c>
      <c r="T3658" s="10" t="s">
        <v>69</v>
      </c>
      <c r="U3658" s="10">
        <v>10</v>
      </c>
      <c r="V3658" s="10">
        <v>132.47999999999999</v>
      </c>
      <c r="W3658" s="81" t="s">
        <v>710</v>
      </c>
      <c r="X3658" s="17">
        <v>45887</v>
      </c>
      <c r="Y3658" s="17">
        <v>45887</v>
      </c>
      <c r="Z3658" s="19" t="s">
        <v>772</v>
      </c>
      <c r="AA3658" s="207">
        <v>48500</v>
      </c>
      <c r="AB3658" s="9">
        <v>48</v>
      </c>
      <c r="AC3658" s="9">
        <v>8</v>
      </c>
      <c r="AD3658" s="17">
        <v>46178</v>
      </c>
      <c r="AE3658" s="54">
        <v>900</v>
      </c>
      <c r="AF3658" s="54"/>
      <c r="AL3658" s="22"/>
      <c r="AM3658" s="22"/>
      <c r="AN3658" s="22"/>
      <c r="AO3658" s="22"/>
      <c r="AP3658" s="22"/>
      <c r="AQ3658" s="22"/>
      <c r="AR3658" s="22"/>
      <c r="AS3658" s="22"/>
      <c r="AT3658" s="22"/>
      <c r="AU3658" s="22"/>
      <c r="AV3658" s="22"/>
      <c r="AW3658" s="9"/>
      <c r="BA3658" s="22"/>
      <c r="BB3658" s="22"/>
      <c r="BD3658" s="9"/>
      <c r="CS3658" s="11">
        <f t="shared" si="258"/>
        <v>0</v>
      </c>
      <c r="CT3658" s="22">
        <f t="shared" si="259"/>
        <v>0</v>
      </c>
      <c r="CU3658" s="22">
        <f t="shared" si="257"/>
        <v>0</v>
      </c>
      <c r="CV3658" s="26">
        <f t="shared" si="260"/>
        <v>900</v>
      </c>
    </row>
    <row r="3659" spans="1:100" x14ac:dyDescent="0.2">
      <c r="A3659" s="9" t="s">
        <v>702</v>
      </c>
      <c r="B3659" s="2">
        <v>30</v>
      </c>
      <c r="C3659" s="3" t="s">
        <v>95</v>
      </c>
      <c r="D3659" s="3" t="s">
        <v>96</v>
      </c>
      <c r="E3659" s="2"/>
      <c r="F3659" s="2"/>
      <c r="G3659" s="2" t="s">
        <v>69</v>
      </c>
      <c r="H3659" s="2">
        <v>10</v>
      </c>
      <c r="I3659" s="20">
        <v>132.47999999999999</v>
      </c>
      <c r="J3659" s="20">
        <v>75131</v>
      </c>
      <c r="K3659" s="3">
        <v>0</v>
      </c>
      <c r="L3659" s="3" t="s">
        <v>98</v>
      </c>
      <c r="M3659" s="9" t="s">
        <v>0</v>
      </c>
      <c r="N3659" s="10">
        <v>19961020</v>
      </c>
      <c r="O3659" s="9" t="s">
        <v>703</v>
      </c>
      <c r="S3659" s="9" t="s">
        <v>158</v>
      </c>
      <c r="T3659" s="10" t="s">
        <v>69</v>
      </c>
      <c r="U3659" s="10">
        <v>10</v>
      </c>
      <c r="V3659" s="10">
        <v>132.47999999999999</v>
      </c>
      <c r="W3659" s="81" t="s">
        <v>710</v>
      </c>
      <c r="X3659" s="17">
        <v>45887</v>
      </c>
      <c r="Y3659" s="17">
        <v>45887</v>
      </c>
      <c r="Z3659" s="19" t="s">
        <v>772</v>
      </c>
      <c r="AA3659" s="207">
        <v>48500</v>
      </c>
      <c r="AB3659" s="9">
        <v>48</v>
      </c>
      <c r="AC3659" s="9">
        <v>9</v>
      </c>
      <c r="AD3659" s="17">
        <v>46208</v>
      </c>
      <c r="AE3659" s="54">
        <v>900</v>
      </c>
      <c r="AF3659" s="54"/>
      <c r="AL3659" s="22"/>
      <c r="AM3659" s="22"/>
      <c r="AN3659" s="22"/>
      <c r="AO3659" s="22"/>
      <c r="AP3659" s="22"/>
      <c r="AQ3659" s="22"/>
      <c r="AR3659" s="22"/>
      <c r="AS3659" s="22"/>
      <c r="AT3659" s="22"/>
      <c r="AU3659" s="22"/>
      <c r="AV3659" s="22"/>
      <c r="AW3659" s="9"/>
      <c r="BA3659" s="22"/>
      <c r="BB3659" s="22"/>
      <c r="BD3659" s="9"/>
      <c r="CS3659" s="11">
        <f t="shared" si="258"/>
        <v>0</v>
      </c>
      <c r="CT3659" s="22">
        <f t="shared" si="259"/>
        <v>0</v>
      </c>
      <c r="CU3659" s="22">
        <f t="shared" si="257"/>
        <v>0</v>
      </c>
      <c r="CV3659" s="26">
        <f t="shared" si="260"/>
        <v>900</v>
      </c>
    </row>
    <row r="3660" spans="1:100" x14ac:dyDescent="0.2">
      <c r="A3660" s="9" t="s">
        <v>702</v>
      </c>
      <c r="B3660" s="2">
        <v>30</v>
      </c>
      <c r="C3660" s="3" t="s">
        <v>95</v>
      </c>
      <c r="D3660" s="3" t="s">
        <v>96</v>
      </c>
      <c r="E3660" s="2"/>
      <c r="F3660" s="2"/>
      <c r="G3660" s="2" t="s">
        <v>69</v>
      </c>
      <c r="H3660" s="2">
        <v>10</v>
      </c>
      <c r="I3660" s="20">
        <v>132.47999999999999</v>
      </c>
      <c r="J3660" s="20">
        <v>75131</v>
      </c>
      <c r="K3660" s="3">
        <v>0</v>
      </c>
      <c r="L3660" s="3" t="s">
        <v>98</v>
      </c>
      <c r="M3660" s="9" t="s">
        <v>0</v>
      </c>
      <c r="N3660" s="10">
        <v>19961020</v>
      </c>
      <c r="O3660" s="9" t="s">
        <v>703</v>
      </c>
      <c r="S3660" s="9" t="s">
        <v>158</v>
      </c>
      <c r="T3660" s="10" t="s">
        <v>69</v>
      </c>
      <c r="U3660" s="10">
        <v>10</v>
      </c>
      <c r="V3660" s="10">
        <v>132.47999999999999</v>
      </c>
      <c r="W3660" s="81" t="s">
        <v>710</v>
      </c>
      <c r="X3660" s="17">
        <v>45887</v>
      </c>
      <c r="Y3660" s="17">
        <v>45887</v>
      </c>
      <c r="Z3660" s="19" t="s">
        <v>772</v>
      </c>
      <c r="AA3660" s="207">
        <v>48500</v>
      </c>
      <c r="AB3660" s="9">
        <v>48</v>
      </c>
      <c r="AC3660" s="9">
        <v>10</v>
      </c>
      <c r="AD3660" s="17">
        <v>46239</v>
      </c>
      <c r="AE3660" s="54">
        <v>900</v>
      </c>
      <c r="AF3660" s="54"/>
      <c r="AL3660" s="22"/>
      <c r="AM3660" s="22"/>
      <c r="AN3660" s="22"/>
      <c r="AO3660" s="22"/>
      <c r="AP3660" s="22"/>
      <c r="AQ3660" s="22"/>
      <c r="AR3660" s="22"/>
      <c r="AS3660" s="22"/>
      <c r="AT3660" s="22"/>
      <c r="AU3660" s="22"/>
      <c r="AV3660" s="22"/>
      <c r="AW3660" s="9"/>
      <c r="BA3660" s="22"/>
      <c r="BB3660" s="22"/>
      <c r="BD3660" s="9"/>
      <c r="CS3660" s="11">
        <f t="shared" si="258"/>
        <v>0</v>
      </c>
      <c r="CT3660" s="22">
        <f t="shared" si="259"/>
        <v>0</v>
      </c>
      <c r="CU3660" s="22">
        <f t="shared" si="257"/>
        <v>0</v>
      </c>
      <c r="CV3660" s="26">
        <f t="shared" si="260"/>
        <v>900</v>
      </c>
    </row>
    <row r="3661" spans="1:100" x14ac:dyDescent="0.2">
      <c r="A3661" s="9" t="s">
        <v>702</v>
      </c>
      <c r="B3661" s="2">
        <v>30</v>
      </c>
      <c r="C3661" s="3" t="s">
        <v>95</v>
      </c>
      <c r="D3661" s="3" t="s">
        <v>96</v>
      </c>
      <c r="E3661" s="2"/>
      <c r="F3661" s="2"/>
      <c r="G3661" s="2" t="s">
        <v>69</v>
      </c>
      <c r="H3661" s="2">
        <v>10</v>
      </c>
      <c r="I3661" s="20">
        <v>132.47999999999999</v>
      </c>
      <c r="J3661" s="20">
        <v>75131</v>
      </c>
      <c r="K3661" s="3">
        <v>0</v>
      </c>
      <c r="L3661" s="3" t="s">
        <v>98</v>
      </c>
      <c r="M3661" s="9" t="s">
        <v>0</v>
      </c>
      <c r="N3661" s="10">
        <v>19961020</v>
      </c>
      <c r="O3661" s="9" t="s">
        <v>703</v>
      </c>
      <c r="S3661" s="9" t="s">
        <v>158</v>
      </c>
      <c r="T3661" s="10" t="s">
        <v>69</v>
      </c>
      <c r="U3661" s="10">
        <v>10</v>
      </c>
      <c r="V3661" s="10">
        <v>132.47999999999999</v>
      </c>
      <c r="W3661" s="81" t="s">
        <v>710</v>
      </c>
      <c r="X3661" s="17">
        <v>45887</v>
      </c>
      <c r="Y3661" s="17">
        <v>45887</v>
      </c>
      <c r="Z3661" s="19" t="s">
        <v>772</v>
      </c>
      <c r="AA3661" s="207">
        <v>48500</v>
      </c>
      <c r="AB3661" s="9">
        <v>48</v>
      </c>
      <c r="AC3661" s="9">
        <v>11</v>
      </c>
      <c r="AD3661" s="17">
        <v>46270</v>
      </c>
      <c r="AE3661" s="54">
        <v>900</v>
      </c>
      <c r="AF3661" s="54"/>
      <c r="AL3661" s="22"/>
      <c r="AM3661" s="22"/>
      <c r="AN3661" s="22"/>
      <c r="AO3661" s="22"/>
      <c r="AP3661" s="22"/>
      <c r="AQ3661" s="22"/>
      <c r="AR3661" s="22"/>
      <c r="AS3661" s="22"/>
      <c r="AT3661" s="22"/>
      <c r="AU3661" s="22"/>
      <c r="AV3661" s="22"/>
      <c r="AW3661" s="9"/>
      <c r="BA3661" s="22"/>
      <c r="BB3661" s="22"/>
      <c r="BD3661" s="9"/>
      <c r="CS3661" s="11">
        <f t="shared" si="258"/>
        <v>0</v>
      </c>
      <c r="CT3661" s="22">
        <f t="shared" si="259"/>
        <v>0</v>
      </c>
      <c r="CU3661" s="22">
        <f t="shared" si="257"/>
        <v>0</v>
      </c>
      <c r="CV3661" s="26">
        <f t="shared" si="260"/>
        <v>900</v>
      </c>
    </row>
    <row r="3662" spans="1:100" x14ac:dyDescent="0.2">
      <c r="A3662" s="9" t="s">
        <v>702</v>
      </c>
      <c r="B3662" s="2">
        <v>30</v>
      </c>
      <c r="C3662" s="3" t="s">
        <v>95</v>
      </c>
      <c r="D3662" s="3" t="s">
        <v>96</v>
      </c>
      <c r="E3662" s="2"/>
      <c r="F3662" s="2"/>
      <c r="G3662" s="2" t="s">
        <v>69</v>
      </c>
      <c r="H3662" s="2">
        <v>10</v>
      </c>
      <c r="I3662" s="20">
        <v>132.47999999999999</v>
      </c>
      <c r="J3662" s="20">
        <v>75131</v>
      </c>
      <c r="K3662" s="3">
        <v>0</v>
      </c>
      <c r="L3662" s="3" t="s">
        <v>98</v>
      </c>
      <c r="M3662" s="9" t="s">
        <v>0</v>
      </c>
      <c r="N3662" s="10">
        <v>19961020</v>
      </c>
      <c r="O3662" s="9" t="s">
        <v>703</v>
      </c>
      <c r="S3662" s="9" t="s">
        <v>158</v>
      </c>
      <c r="T3662" s="10" t="s">
        <v>69</v>
      </c>
      <c r="U3662" s="10">
        <v>10</v>
      </c>
      <c r="V3662" s="10">
        <v>132.47999999999999</v>
      </c>
      <c r="W3662" s="81" t="s">
        <v>710</v>
      </c>
      <c r="X3662" s="17">
        <v>45887</v>
      </c>
      <c r="Y3662" s="17">
        <v>45887</v>
      </c>
      <c r="Z3662" s="19" t="s">
        <v>772</v>
      </c>
      <c r="AA3662" s="207">
        <v>48500</v>
      </c>
      <c r="AB3662" s="9">
        <v>48</v>
      </c>
      <c r="AC3662" s="9">
        <v>12</v>
      </c>
      <c r="AD3662" s="17">
        <v>46300</v>
      </c>
      <c r="AE3662" s="54">
        <v>900</v>
      </c>
      <c r="AF3662" s="54"/>
      <c r="AL3662" s="22"/>
      <c r="AM3662" s="22"/>
      <c r="AN3662" s="22"/>
      <c r="AO3662" s="22"/>
      <c r="AP3662" s="22"/>
      <c r="AQ3662" s="22"/>
      <c r="AR3662" s="22"/>
      <c r="AS3662" s="22"/>
      <c r="AT3662" s="22"/>
      <c r="AU3662" s="22"/>
      <c r="AV3662" s="22"/>
      <c r="AW3662" s="9"/>
      <c r="BA3662" s="22"/>
      <c r="BB3662" s="22"/>
      <c r="BD3662" s="9"/>
      <c r="CS3662" s="11">
        <f t="shared" si="258"/>
        <v>0</v>
      </c>
      <c r="CT3662" s="22">
        <f t="shared" si="259"/>
        <v>0</v>
      </c>
      <c r="CU3662" s="22">
        <f t="shared" si="257"/>
        <v>0</v>
      </c>
      <c r="CV3662" s="26">
        <f t="shared" si="260"/>
        <v>900</v>
      </c>
    </row>
    <row r="3663" spans="1:100" x14ac:dyDescent="0.2">
      <c r="A3663" s="9" t="s">
        <v>702</v>
      </c>
      <c r="B3663" s="2">
        <v>30</v>
      </c>
      <c r="C3663" s="3" t="s">
        <v>95</v>
      </c>
      <c r="D3663" s="3" t="s">
        <v>96</v>
      </c>
      <c r="E3663" s="2"/>
      <c r="F3663" s="2"/>
      <c r="G3663" s="2" t="s">
        <v>69</v>
      </c>
      <c r="H3663" s="2">
        <v>10</v>
      </c>
      <c r="I3663" s="20">
        <v>132.47999999999999</v>
      </c>
      <c r="J3663" s="20">
        <v>75131</v>
      </c>
      <c r="K3663" s="3">
        <v>0</v>
      </c>
      <c r="L3663" s="3" t="s">
        <v>98</v>
      </c>
      <c r="M3663" s="9" t="s">
        <v>0</v>
      </c>
      <c r="N3663" s="10">
        <v>19961020</v>
      </c>
      <c r="O3663" s="9" t="s">
        <v>703</v>
      </c>
      <c r="S3663" s="9" t="s">
        <v>158</v>
      </c>
      <c r="T3663" s="10" t="s">
        <v>69</v>
      </c>
      <c r="U3663" s="10">
        <v>10</v>
      </c>
      <c r="V3663" s="10">
        <v>132.47999999999999</v>
      </c>
      <c r="W3663" s="81" t="s">
        <v>710</v>
      </c>
      <c r="X3663" s="17">
        <v>45887</v>
      </c>
      <c r="Y3663" s="17">
        <v>45887</v>
      </c>
      <c r="Z3663" s="19" t="s">
        <v>772</v>
      </c>
      <c r="AA3663" s="207">
        <v>48500</v>
      </c>
      <c r="AB3663" s="9">
        <v>48</v>
      </c>
      <c r="AC3663" s="9">
        <v>13</v>
      </c>
      <c r="AD3663" s="17">
        <v>46331</v>
      </c>
      <c r="AE3663" s="54">
        <v>900</v>
      </c>
      <c r="AF3663" s="54"/>
      <c r="AL3663" s="22"/>
      <c r="AM3663" s="22"/>
      <c r="AN3663" s="22"/>
      <c r="AO3663" s="22"/>
      <c r="AP3663" s="22"/>
      <c r="AQ3663" s="22"/>
      <c r="AR3663" s="22"/>
      <c r="AS3663" s="22"/>
      <c r="AT3663" s="22"/>
      <c r="AU3663" s="22"/>
      <c r="AV3663" s="22"/>
      <c r="AW3663" s="9"/>
      <c r="BA3663" s="22"/>
      <c r="BB3663" s="22"/>
      <c r="BD3663" s="9"/>
      <c r="CS3663" s="11">
        <f t="shared" si="258"/>
        <v>0</v>
      </c>
      <c r="CT3663" s="22">
        <f t="shared" si="259"/>
        <v>0</v>
      </c>
      <c r="CU3663" s="22">
        <f t="shared" si="257"/>
        <v>0</v>
      </c>
      <c r="CV3663" s="26">
        <f t="shared" si="260"/>
        <v>900</v>
      </c>
    </row>
    <row r="3664" spans="1:100" x14ac:dyDescent="0.2">
      <c r="A3664" s="9" t="s">
        <v>702</v>
      </c>
      <c r="B3664" s="2">
        <v>30</v>
      </c>
      <c r="C3664" s="3" t="s">
        <v>95</v>
      </c>
      <c r="D3664" s="3" t="s">
        <v>96</v>
      </c>
      <c r="E3664" s="2"/>
      <c r="F3664" s="2"/>
      <c r="G3664" s="2" t="s">
        <v>69</v>
      </c>
      <c r="H3664" s="2">
        <v>10</v>
      </c>
      <c r="I3664" s="20">
        <v>132.47999999999999</v>
      </c>
      <c r="J3664" s="20">
        <v>75131</v>
      </c>
      <c r="K3664" s="3">
        <v>0</v>
      </c>
      <c r="L3664" s="3" t="s">
        <v>98</v>
      </c>
      <c r="M3664" s="9" t="s">
        <v>0</v>
      </c>
      <c r="N3664" s="10">
        <v>19961020</v>
      </c>
      <c r="O3664" s="9" t="s">
        <v>703</v>
      </c>
      <c r="S3664" s="9" t="s">
        <v>158</v>
      </c>
      <c r="T3664" s="10" t="s">
        <v>69</v>
      </c>
      <c r="U3664" s="10">
        <v>10</v>
      </c>
      <c r="V3664" s="10">
        <v>132.47999999999999</v>
      </c>
      <c r="W3664" s="81" t="s">
        <v>710</v>
      </c>
      <c r="X3664" s="17">
        <v>45887</v>
      </c>
      <c r="Y3664" s="17">
        <v>45887</v>
      </c>
      <c r="Z3664" s="19" t="s">
        <v>772</v>
      </c>
      <c r="AA3664" s="207">
        <v>48500</v>
      </c>
      <c r="AB3664" s="9">
        <v>48</v>
      </c>
      <c r="AC3664" s="9">
        <v>14</v>
      </c>
      <c r="AD3664" s="17">
        <v>46361</v>
      </c>
      <c r="AE3664" s="54">
        <v>900</v>
      </c>
      <c r="AF3664" s="54"/>
      <c r="AL3664" s="22"/>
      <c r="AM3664" s="22"/>
      <c r="AN3664" s="22"/>
      <c r="AO3664" s="22"/>
      <c r="AP3664" s="22"/>
      <c r="AQ3664" s="22"/>
      <c r="AR3664" s="22"/>
      <c r="AS3664" s="22"/>
      <c r="AT3664" s="22"/>
      <c r="AU3664" s="22"/>
      <c r="AV3664" s="22"/>
      <c r="AW3664" s="9"/>
      <c r="BA3664" s="22"/>
      <c r="BB3664" s="22"/>
      <c r="BD3664" s="9"/>
      <c r="CS3664" s="11">
        <f t="shared" si="258"/>
        <v>0</v>
      </c>
      <c r="CT3664" s="22">
        <f t="shared" si="259"/>
        <v>0</v>
      </c>
      <c r="CU3664" s="22">
        <f t="shared" si="257"/>
        <v>0</v>
      </c>
      <c r="CV3664" s="26">
        <f t="shared" si="260"/>
        <v>900</v>
      </c>
    </row>
    <row r="3665" spans="1:100" x14ac:dyDescent="0.2">
      <c r="A3665" s="9" t="s">
        <v>702</v>
      </c>
      <c r="B3665" s="2">
        <v>30</v>
      </c>
      <c r="C3665" s="3" t="s">
        <v>95</v>
      </c>
      <c r="D3665" s="3" t="s">
        <v>96</v>
      </c>
      <c r="E3665" s="2"/>
      <c r="F3665" s="2"/>
      <c r="G3665" s="2" t="s">
        <v>69</v>
      </c>
      <c r="H3665" s="2">
        <v>10</v>
      </c>
      <c r="I3665" s="20">
        <v>132.47999999999999</v>
      </c>
      <c r="J3665" s="20">
        <v>75131</v>
      </c>
      <c r="K3665" s="3">
        <v>0</v>
      </c>
      <c r="L3665" s="3" t="s">
        <v>98</v>
      </c>
      <c r="M3665" s="9" t="s">
        <v>0</v>
      </c>
      <c r="N3665" s="10">
        <v>19961020</v>
      </c>
      <c r="O3665" s="9" t="s">
        <v>703</v>
      </c>
      <c r="S3665" s="9" t="s">
        <v>158</v>
      </c>
      <c r="T3665" s="10" t="s">
        <v>69</v>
      </c>
      <c r="U3665" s="10">
        <v>10</v>
      </c>
      <c r="V3665" s="10">
        <v>132.47999999999999</v>
      </c>
      <c r="W3665" s="81" t="s">
        <v>710</v>
      </c>
      <c r="X3665" s="17">
        <v>45887</v>
      </c>
      <c r="Y3665" s="17">
        <v>45887</v>
      </c>
      <c r="Z3665" s="19" t="s">
        <v>772</v>
      </c>
      <c r="AA3665" s="207">
        <v>48500</v>
      </c>
      <c r="AB3665" s="9">
        <v>48</v>
      </c>
      <c r="AC3665" s="9">
        <v>15</v>
      </c>
      <c r="AD3665" s="17">
        <v>46392</v>
      </c>
      <c r="AE3665" s="54">
        <v>900</v>
      </c>
      <c r="AF3665" s="54"/>
      <c r="AL3665" s="22"/>
      <c r="AM3665" s="22"/>
      <c r="AN3665" s="22"/>
      <c r="AO3665" s="22"/>
      <c r="AP3665" s="22"/>
      <c r="AQ3665" s="22"/>
      <c r="AR3665" s="22"/>
      <c r="AS3665" s="22"/>
      <c r="AT3665" s="22"/>
      <c r="AU3665" s="22"/>
      <c r="AV3665" s="22"/>
      <c r="AW3665" s="9"/>
      <c r="BA3665" s="22"/>
      <c r="BB3665" s="22"/>
      <c r="BD3665" s="9"/>
      <c r="CS3665" s="11">
        <f t="shared" si="258"/>
        <v>0</v>
      </c>
      <c r="CT3665" s="22">
        <f t="shared" si="259"/>
        <v>0</v>
      </c>
      <c r="CU3665" s="22">
        <f t="shared" si="257"/>
        <v>0</v>
      </c>
      <c r="CV3665" s="26">
        <f t="shared" si="260"/>
        <v>900</v>
      </c>
    </row>
    <row r="3666" spans="1:100" x14ac:dyDescent="0.2">
      <c r="A3666" s="9" t="s">
        <v>702</v>
      </c>
      <c r="B3666" s="2">
        <v>30</v>
      </c>
      <c r="C3666" s="3" t="s">
        <v>95</v>
      </c>
      <c r="D3666" s="3" t="s">
        <v>96</v>
      </c>
      <c r="E3666" s="2"/>
      <c r="F3666" s="2"/>
      <c r="G3666" s="2" t="s">
        <v>69</v>
      </c>
      <c r="H3666" s="2">
        <v>10</v>
      </c>
      <c r="I3666" s="20">
        <v>132.47999999999999</v>
      </c>
      <c r="J3666" s="20">
        <v>75131</v>
      </c>
      <c r="K3666" s="3">
        <v>0</v>
      </c>
      <c r="L3666" s="3" t="s">
        <v>98</v>
      </c>
      <c r="M3666" s="9" t="s">
        <v>0</v>
      </c>
      <c r="N3666" s="10">
        <v>19961020</v>
      </c>
      <c r="O3666" s="9" t="s">
        <v>703</v>
      </c>
      <c r="S3666" s="9" t="s">
        <v>158</v>
      </c>
      <c r="T3666" s="10" t="s">
        <v>69</v>
      </c>
      <c r="U3666" s="10">
        <v>10</v>
      </c>
      <c r="V3666" s="10">
        <v>132.47999999999999</v>
      </c>
      <c r="W3666" s="81" t="s">
        <v>710</v>
      </c>
      <c r="X3666" s="17">
        <v>45887</v>
      </c>
      <c r="Y3666" s="17">
        <v>45887</v>
      </c>
      <c r="Z3666" s="19" t="s">
        <v>772</v>
      </c>
      <c r="AA3666" s="207">
        <v>48500</v>
      </c>
      <c r="AB3666" s="9">
        <v>48</v>
      </c>
      <c r="AC3666" s="9">
        <v>16</v>
      </c>
      <c r="AD3666" s="17">
        <v>46423</v>
      </c>
      <c r="AE3666" s="54">
        <v>900</v>
      </c>
      <c r="AF3666" s="54"/>
      <c r="AL3666" s="22"/>
      <c r="AM3666" s="22"/>
      <c r="AN3666" s="22"/>
      <c r="AO3666" s="22"/>
      <c r="AP3666" s="22"/>
      <c r="AQ3666" s="22"/>
      <c r="AR3666" s="22"/>
      <c r="AS3666" s="22"/>
      <c r="AT3666" s="22"/>
      <c r="AU3666" s="22"/>
      <c r="AV3666" s="22"/>
      <c r="AW3666" s="9"/>
      <c r="BA3666" s="22"/>
      <c r="BB3666" s="22"/>
      <c r="BD3666" s="9"/>
      <c r="CS3666" s="11">
        <f t="shared" si="258"/>
        <v>0</v>
      </c>
      <c r="CT3666" s="22">
        <f t="shared" si="259"/>
        <v>0</v>
      </c>
      <c r="CU3666" s="22">
        <f t="shared" si="257"/>
        <v>0</v>
      </c>
      <c r="CV3666" s="26">
        <f t="shared" si="260"/>
        <v>900</v>
      </c>
    </row>
    <row r="3667" spans="1:100" x14ac:dyDescent="0.2">
      <c r="A3667" s="9" t="s">
        <v>702</v>
      </c>
      <c r="B3667" s="2">
        <v>30</v>
      </c>
      <c r="C3667" s="3" t="s">
        <v>95</v>
      </c>
      <c r="D3667" s="3" t="s">
        <v>96</v>
      </c>
      <c r="E3667" s="2"/>
      <c r="F3667" s="2"/>
      <c r="G3667" s="2" t="s">
        <v>69</v>
      </c>
      <c r="H3667" s="2">
        <v>10</v>
      </c>
      <c r="I3667" s="20">
        <v>132.47999999999999</v>
      </c>
      <c r="J3667" s="20">
        <v>75131</v>
      </c>
      <c r="K3667" s="3">
        <v>0</v>
      </c>
      <c r="L3667" s="3" t="s">
        <v>98</v>
      </c>
      <c r="M3667" s="9" t="s">
        <v>0</v>
      </c>
      <c r="N3667" s="10">
        <v>19961020</v>
      </c>
      <c r="O3667" s="9" t="s">
        <v>703</v>
      </c>
      <c r="S3667" s="9" t="s">
        <v>158</v>
      </c>
      <c r="T3667" s="10" t="s">
        <v>69</v>
      </c>
      <c r="U3667" s="10">
        <v>10</v>
      </c>
      <c r="V3667" s="10">
        <v>132.47999999999999</v>
      </c>
      <c r="W3667" s="81" t="s">
        <v>710</v>
      </c>
      <c r="X3667" s="17">
        <v>45887</v>
      </c>
      <c r="Y3667" s="17">
        <v>45887</v>
      </c>
      <c r="Z3667" s="19" t="s">
        <v>772</v>
      </c>
      <c r="AA3667" s="207">
        <v>48500</v>
      </c>
      <c r="AB3667" s="9">
        <v>48</v>
      </c>
      <c r="AC3667" s="9">
        <v>17</v>
      </c>
      <c r="AD3667" s="17">
        <v>46451</v>
      </c>
      <c r="AE3667" s="54">
        <v>900</v>
      </c>
      <c r="AF3667" s="54"/>
      <c r="AL3667" s="22"/>
      <c r="AM3667" s="22"/>
      <c r="AN3667" s="22"/>
      <c r="AO3667" s="22"/>
      <c r="AP3667" s="22"/>
      <c r="AQ3667" s="22"/>
      <c r="AR3667" s="22"/>
      <c r="AS3667" s="22"/>
      <c r="AT3667" s="22"/>
      <c r="AU3667" s="22"/>
      <c r="AV3667" s="22"/>
      <c r="AW3667" s="9"/>
      <c r="BA3667" s="22"/>
      <c r="BB3667" s="22"/>
      <c r="BD3667" s="9"/>
      <c r="CS3667" s="11">
        <f t="shared" si="258"/>
        <v>0</v>
      </c>
      <c r="CT3667" s="22">
        <f t="shared" si="259"/>
        <v>0</v>
      </c>
      <c r="CU3667" s="22">
        <f t="shared" si="257"/>
        <v>0</v>
      </c>
      <c r="CV3667" s="26">
        <f t="shared" si="260"/>
        <v>900</v>
      </c>
    </row>
    <row r="3668" spans="1:100" x14ac:dyDescent="0.2">
      <c r="A3668" s="9" t="s">
        <v>702</v>
      </c>
      <c r="B3668" s="2">
        <v>30</v>
      </c>
      <c r="C3668" s="3" t="s">
        <v>95</v>
      </c>
      <c r="D3668" s="3" t="s">
        <v>96</v>
      </c>
      <c r="E3668" s="2"/>
      <c r="F3668" s="2"/>
      <c r="G3668" s="2" t="s">
        <v>69</v>
      </c>
      <c r="H3668" s="2">
        <v>10</v>
      </c>
      <c r="I3668" s="20">
        <v>132.47999999999999</v>
      </c>
      <c r="J3668" s="20">
        <v>75131</v>
      </c>
      <c r="K3668" s="3">
        <v>0</v>
      </c>
      <c r="L3668" s="3" t="s">
        <v>98</v>
      </c>
      <c r="M3668" s="9" t="s">
        <v>0</v>
      </c>
      <c r="N3668" s="10">
        <v>19961020</v>
      </c>
      <c r="O3668" s="9" t="s">
        <v>703</v>
      </c>
      <c r="S3668" s="9" t="s">
        <v>158</v>
      </c>
      <c r="T3668" s="10" t="s">
        <v>69</v>
      </c>
      <c r="U3668" s="10">
        <v>10</v>
      </c>
      <c r="V3668" s="10">
        <v>132.47999999999999</v>
      </c>
      <c r="W3668" s="81" t="s">
        <v>710</v>
      </c>
      <c r="X3668" s="17">
        <v>45887</v>
      </c>
      <c r="Y3668" s="17">
        <v>45887</v>
      </c>
      <c r="Z3668" s="19" t="s">
        <v>772</v>
      </c>
      <c r="AA3668" s="207">
        <v>48500</v>
      </c>
      <c r="AB3668" s="9">
        <v>48</v>
      </c>
      <c r="AC3668" s="9">
        <v>18</v>
      </c>
      <c r="AD3668" s="17">
        <v>46482</v>
      </c>
      <c r="AE3668" s="54">
        <v>900</v>
      </c>
      <c r="AF3668" s="54"/>
      <c r="AL3668" s="22"/>
      <c r="AM3668" s="22"/>
      <c r="AN3668" s="22"/>
      <c r="AO3668" s="22"/>
      <c r="AP3668" s="22"/>
      <c r="AQ3668" s="22"/>
      <c r="AR3668" s="22"/>
      <c r="AS3668" s="22"/>
      <c r="AT3668" s="22"/>
      <c r="AU3668" s="22"/>
      <c r="AV3668" s="22"/>
      <c r="AW3668" s="9"/>
      <c r="BA3668" s="22"/>
      <c r="BB3668" s="22"/>
      <c r="BD3668" s="9"/>
      <c r="CS3668" s="11">
        <f t="shared" si="258"/>
        <v>0</v>
      </c>
      <c r="CT3668" s="22">
        <f t="shared" si="259"/>
        <v>0</v>
      </c>
      <c r="CU3668" s="22">
        <f t="shared" si="257"/>
        <v>0</v>
      </c>
      <c r="CV3668" s="26">
        <f t="shared" si="260"/>
        <v>900</v>
      </c>
    </row>
    <row r="3669" spans="1:100" x14ac:dyDescent="0.2">
      <c r="A3669" s="9" t="s">
        <v>702</v>
      </c>
      <c r="B3669" s="2">
        <v>30</v>
      </c>
      <c r="C3669" s="3" t="s">
        <v>95</v>
      </c>
      <c r="D3669" s="3" t="s">
        <v>96</v>
      </c>
      <c r="E3669" s="2"/>
      <c r="F3669" s="2"/>
      <c r="G3669" s="2" t="s">
        <v>69</v>
      </c>
      <c r="H3669" s="2">
        <v>10</v>
      </c>
      <c r="I3669" s="20">
        <v>132.47999999999999</v>
      </c>
      <c r="J3669" s="20">
        <v>75131</v>
      </c>
      <c r="K3669" s="3">
        <v>0</v>
      </c>
      <c r="L3669" s="3" t="s">
        <v>98</v>
      </c>
      <c r="M3669" s="9" t="s">
        <v>0</v>
      </c>
      <c r="N3669" s="10">
        <v>19961020</v>
      </c>
      <c r="O3669" s="9" t="s">
        <v>703</v>
      </c>
      <c r="S3669" s="9" t="s">
        <v>158</v>
      </c>
      <c r="T3669" s="10" t="s">
        <v>69</v>
      </c>
      <c r="U3669" s="10">
        <v>10</v>
      </c>
      <c r="V3669" s="10">
        <v>132.47999999999999</v>
      </c>
      <c r="W3669" s="81" t="s">
        <v>710</v>
      </c>
      <c r="X3669" s="17">
        <v>45887</v>
      </c>
      <c r="Y3669" s="17">
        <v>45887</v>
      </c>
      <c r="Z3669" s="19" t="s">
        <v>772</v>
      </c>
      <c r="AA3669" s="207">
        <v>48500</v>
      </c>
      <c r="AB3669" s="9">
        <v>48</v>
      </c>
      <c r="AC3669" s="9">
        <v>19</v>
      </c>
      <c r="AD3669" s="17">
        <v>46512</v>
      </c>
      <c r="AE3669" s="54">
        <v>900</v>
      </c>
      <c r="AF3669" s="54"/>
      <c r="AL3669" s="22"/>
      <c r="AM3669" s="22"/>
      <c r="AN3669" s="22"/>
      <c r="AO3669" s="22"/>
      <c r="AP3669" s="22"/>
      <c r="AQ3669" s="22"/>
      <c r="AR3669" s="22"/>
      <c r="AS3669" s="22"/>
      <c r="AT3669" s="22"/>
      <c r="AU3669" s="22"/>
      <c r="AV3669" s="22"/>
      <c r="AW3669" s="9"/>
      <c r="BA3669" s="22"/>
      <c r="BB3669" s="22"/>
      <c r="BD3669" s="9"/>
      <c r="CS3669" s="11">
        <f t="shared" si="258"/>
        <v>0</v>
      </c>
      <c r="CT3669" s="22">
        <f t="shared" si="259"/>
        <v>0</v>
      </c>
      <c r="CU3669" s="22">
        <f t="shared" si="257"/>
        <v>0</v>
      </c>
      <c r="CV3669" s="26">
        <f t="shared" si="260"/>
        <v>900</v>
      </c>
    </row>
    <row r="3670" spans="1:100" x14ac:dyDescent="0.2">
      <c r="A3670" s="9" t="s">
        <v>702</v>
      </c>
      <c r="B3670" s="2">
        <v>30</v>
      </c>
      <c r="C3670" s="3" t="s">
        <v>95</v>
      </c>
      <c r="D3670" s="3" t="s">
        <v>96</v>
      </c>
      <c r="E3670" s="2"/>
      <c r="F3670" s="2"/>
      <c r="G3670" s="2" t="s">
        <v>69</v>
      </c>
      <c r="H3670" s="2">
        <v>10</v>
      </c>
      <c r="I3670" s="20">
        <v>132.47999999999999</v>
      </c>
      <c r="J3670" s="20">
        <v>75131</v>
      </c>
      <c r="K3670" s="3">
        <v>0</v>
      </c>
      <c r="L3670" s="3" t="s">
        <v>98</v>
      </c>
      <c r="M3670" s="9" t="s">
        <v>0</v>
      </c>
      <c r="N3670" s="10">
        <v>19961020</v>
      </c>
      <c r="O3670" s="9" t="s">
        <v>703</v>
      </c>
      <c r="S3670" s="9" t="s">
        <v>158</v>
      </c>
      <c r="T3670" s="10" t="s">
        <v>69</v>
      </c>
      <c r="U3670" s="10">
        <v>10</v>
      </c>
      <c r="V3670" s="10">
        <v>132.47999999999999</v>
      </c>
      <c r="W3670" s="81" t="s">
        <v>710</v>
      </c>
      <c r="X3670" s="17">
        <v>45887</v>
      </c>
      <c r="Y3670" s="17">
        <v>45887</v>
      </c>
      <c r="Z3670" s="19" t="s">
        <v>772</v>
      </c>
      <c r="AA3670" s="207">
        <v>48500</v>
      </c>
      <c r="AB3670" s="9">
        <v>48</v>
      </c>
      <c r="AC3670" s="9">
        <v>20</v>
      </c>
      <c r="AD3670" s="17">
        <v>46543</v>
      </c>
      <c r="AE3670" s="54">
        <v>900</v>
      </c>
      <c r="AF3670" s="54"/>
      <c r="AL3670" s="22"/>
      <c r="AM3670" s="22"/>
      <c r="AN3670" s="22"/>
      <c r="AO3670" s="22"/>
      <c r="AP3670" s="22"/>
      <c r="AQ3670" s="22"/>
      <c r="AR3670" s="22"/>
      <c r="AS3670" s="22"/>
      <c r="AT3670" s="22"/>
      <c r="AU3670" s="22"/>
      <c r="AV3670" s="22"/>
      <c r="AW3670" s="9"/>
      <c r="BA3670" s="22"/>
      <c r="BB3670" s="22"/>
      <c r="BD3670" s="9"/>
      <c r="CS3670" s="11">
        <f t="shared" si="258"/>
        <v>0</v>
      </c>
      <c r="CT3670" s="22">
        <f t="shared" si="259"/>
        <v>0</v>
      </c>
      <c r="CU3670" s="22">
        <f t="shared" si="257"/>
        <v>0</v>
      </c>
      <c r="CV3670" s="26">
        <f t="shared" si="260"/>
        <v>900</v>
      </c>
    </row>
    <row r="3671" spans="1:100" x14ac:dyDescent="0.2">
      <c r="A3671" s="9" t="s">
        <v>702</v>
      </c>
      <c r="B3671" s="2">
        <v>30</v>
      </c>
      <c r="C3671" s="3" t="s">
        <v>95</v>
      </c>
      <c r="D3671" s="3" t="s">
        <v>96</v>
      </c>
      <c r="E3671" s="2"/>
      <c r="F3671" s="2"/>
      <c r="G3671" s="2" t="s">
        <v>69</v>
      </c>
      <c r="H3671" s="2">
        <v>10</v>
      </c>
      <c r="I3671" s="20">
        <v>132.47999999999999</v>
      </c>
      <c r="J3671" s="20">
        <v>75131</v>
      </c>
      <c r="K3671" s="3">
        <v>0</v>
      </c>
      <c r="L3671" s="3" t="s">
        <v>98</v>
      </c>
      <c r="M3671" s="9" t="s">
        <v>0</v>
      </c>
      <c r="N3671" s="10">
        <v>19961020</v>
      </c>
      <c r="O3671" s="9" t="s">
        <v>703</v>
      </c>
      <c r="S3671" s="9" t="s">
        <v>158</v>
      </c>
      <c r="T3671" s="10" t="s">
        <v>69</v>
      </c>
      <c r="U3671" s="10">
        <v>10</v>
      </c>
      <c r="V3671" s="10">
        <v>132.47999999999999</v>
      </c>
      <c r="W3671" s="81" t="s">
        <v>710</v>
      </c>
      <c r="X3671" s="17">
        <v>45887</v>
      </c>
      <c r="Y3671" s="17">
        <v>45887</v>
      </c>
      <c r="Z3671" s="19" t="s">
        <v>772</v>
      </c>
      <c r="AA3671" s="207">
        <v>48500</v>
      </c>
      <c r="AB3671" s="9">
        <v>48</v>
      </c>
      <c r="AC3671" s="9">
        <v>21</v>
      </c>
      <c r="AD3671" s="17">
        <v>46573</v>
      </c>
      <c r="AE3671" s="54">
        <v>900</v>
      </c>
      <c r="AF3671" s="54"/>
      <c r="AL3671" s="22"/>
      <c r="AM3671" s="22"/>
      <c r="AN3671" s="22"/>
      <c r="AO3671" s="22"/>
      <c r="AP3671" s="22"/>
      <c r="AQ3671" s="22"/>
      <c r="AR3671" s="22"/>
      <c r="AS3671" s="22"/>
      <c r="AT3671" s="22"/>
      <c r="AU3671" s="22"/>
      <c r="AV3671" s="22"/>
      <c r="AW3671" s="9"/>
      <c r="BA3671" s="22"/>
      <c r="BB3671" s="22"/>
      <c r="BD3671" s="9"/>
      <c r="CS3671" s="11">
        <f t="shared" si="258"/>
        <v>0</v>
      </c>
      <c r="CT3671" s="22">
        <f t="shared" si="259"/>
        <v>0</v>
      </c>
      <c r="CU3671" s="22">
        <f t="shared" si="257"/>
        <v>0</v>
      </c>
      <c r="CV3671" s="26">
        <f t="shared" si="260"/>
        <v>900</v>
      </c>
    </row>
    <row r="3672" spans="1:100" x14ac:dyDescent="0.2">
      <c r="A3672" s="9" t="s">
        <v>702</v>
      </c>
      <c r="B3672" s="2">
        <v>30</v>
      </c>
      <c r="C3672" s="3" t="s">
        <v>95</v>
      </c>
      <c r="D3672" s="3" t="s">
        <v>96</v>
      </c>
      <c r="E3672" s="2"/>
      <c r="F3672" s="2"/>
      <c r="G3672" s="2" t="s">
        <v>69</v>
      </c>
      <c r="H3672" s="2">
        <v>10</v>
      </c>
      <c r="I3672" s="20">
        <v>132.47999999999999</v>
      </c>
      <c r="J3672" s="20">
        <v>75131</v>
      </c>
      <c r="K3672" s="3">
        <v>0</v>
      </c>
      <c r="L3672" s="3" t="s">
        <v>98</v>
      </c>
      <c r="M3672" s="9" t="s">
        <v>0</v>
      </c>
      <c r="N3672" s="10">
        <v>19961020</v>
      </c>
      <c r="O3672" s="9" t="s">
        <v>703</v>
      </c>
      <c r="S3672" s="9" t="s">
        <v>158</v>
      </c>
      <c r="T3672" s="10" t="s">
        <v>69</v>
      </c>
      <c r="U3672" s="10">
        <v>10</v>
      </c>
      <c r="V3672" s="10">
        <v>132.47999999999999</v>
      </c>
      <c r="W3672" s="81" t="s">
        <v>710</v>
      </c>
      <c r="X3672" s="17">
        <v>45887</v>
      </c>
      <c r="Y3672" s="17">
        <v>45887</v>
      </c>
      <c r="Z3672" s="19" t="s">
        <v>772</v>
      </c>
      <c r="AA3672" s="207">
        <v>48500</v>
      </c>
      <c r="AB3672" s="9">
        <v>48</v>
      </c>
      <c r="AC3672" s="9">
        <v>22</v>
      </c>
      <c r="AD3672" s="17">
        <v>46604</v>
      </c>
      <c r="AE3672" s="54">
        <v>900</v>
      </c>
      <c r="AF3672" s="54"/>
      <c r="AL3672" s="22"/>
      <c r="AM3672" s="22"/>
      <c r="AN3672" s="22"/>
      <c r="AO3672" s="22"/>
      <c r="AP3672" s="22"/>
      <c r="AQ3672" s="22"/>
      <c r="AR3672" s="22"/>
      <c r="AS3672" s="22"/>
      <c r="AT3672" s="22"/>
      <c r="AU3672" s="22"/>
      <c r="AV3672" s="22"/>
      <c r="AW3672" s="9"/>
      <c r="BA3672" s="22"/>
      <c r="BB3672" s="22"/>
      <c r="BD3672" s="9"/>
      <c r="CS3672" s="11">
        <f t="shared" si="258"/>
        <v>0</v>
      </c>
      <c r="CT3672" s="22">
        <f t="shared" si="259"/>
        <v>0</v>
      </c>
      <c r="CU3672" s="22">
        <f t="shared" si="257"/>
        <v>0</v>
      </c>
      <c r="CV3672" s="26">
        <f t="shared" si="260"/>
        <v>900</v>
      </c>
    </row>
    <row r="3673" spans="1:100" x14ac:dyDescent="0.2">
      <c r="A3673" s="9" t="s">
        <v>702</v>
      </c>
      <c r="B3673" s="2">
        <v>30</v>
      </c>
      <c r="C3673" s="3" t="s">
        <v>95</v>
      </c>
      <c r="D3673" s="3" t="s">
        <v>96</v>
      </c>
      <c r="E3673" s="2"/>
      <c r="F3673" s="2"/>
      <c r="G3673" s="2" t="s">
        <v>69</v>
      </c>
      <c r="H3673" s="2">
        <v>10</v>
      </c>
      <c r="I3673" s="20">
        <v>132.47999999999999</v>
      </c>
      <c r="J3673" s="20">
        <v>75131</v>
      </c>
      <c r="K3673" s="3">
        <v>0</v>
      </c>
      <c r="L3673" s="3" t="s">
        <v>98</v>
      </c>
      <c r="M3673" s="9" t="s">
        <v>0</v>
      </c>
      <c r="N3673" s="10">
        <v>19961020</v>
      </c>
      <c r="O3673" s="9" t="s">
        <v>703</v>
      </c>
      <c r="S3673" s="9" t="s">
        <v>158</v>
      </c>
      <c r="T3673" s="10" t="s">
        <v>69</v>
      </c>
      <c r="U3673" s="10">
        <v>10</v>
      </c>
      <c r="V3673" s="10">
        <v>132.47999999999999</v>
      </c>
      <c r="W3673" s="81" t="s">
        <v>710</v>
      </c>
      <c r="X3673" s="17">
        <v>45887</v>
      </c>
      <c r="Y3673" s="17">
        <v>45887</v>
      </c>
      <c r="Z3673" s="19" t="s">
        <v>772</v>
      </c>
      <c r="AA3673" s="207">
        <v>48500</v>
      </c>
      <c r="AB3673" s="9">
        <v>48</v>
      </c>
      <c r="AC3673" s="9">
        <v>23</v>
      </c>
      <c r="AD3673" s="17">
        <v>46635</v>
      </c>
      <c r="AE3673" s="54">
        <v>900</v>
      </c>
      <c r="AF3673" s="54"/>
      <c r="AL3673" s="22"/>
      <c r="AM3673" s="22"/>
      <c r="AN3673" s="22"/>
      <c r="AO3673" s="22"/>
      <c r="AP3673" s="22"/>
      <c r="AQ3673" s="22"/>
      <c r="AR3673" s="22"/>
      <c r="AS3673" s="22"/>
      <c r="AT3673" s="22"/>
      <c r="AU3673" s="22"/>
      <c r="AV3673" s="22"/>
      <c r="AW3673" s="9"/>
      <c r="BA3673" s="22"/>
      <c r="BB3673" s="22"/>
      <c r="BD3673" s="9"/>
      <c r="CS3673" s="11">
        <f t="shared" si="258"/>
        <v>0</v>
      </c>
      <c r="CT3673" s="22">
        <f t="shared" si="259"/>
        <v>0</v>
      </c>
      <c r="CU3673" s="22">
        <f t="shared" si="257"/>
        <v>0</v>
      </c>
      <c r="CV3673" s="26">
        <f t="shared" si="260"/>
        <v>900</v>
      </c>
    </row>
    <row r="3674" spans="1:100" x14ac:dyDescent="0.2">
      <c r="A3674" s="9" t="s">
        <v>702</v>
      </c>
      <c r="B3674" s="2">
        <v>30</v>
      </c>
      <c r="C3674" s="3" t="s">
        <v>95</v>
      </c>
      <c r="D3674" s="3" t="s">
        <v>96</v>
      </c>
      <c r="E3674" s="2"/>
      <c r="F3674" s="2"/>
      <c r="G3674" s="2" t="s">
        <v>69</v>
      </c>
      <c r="H3674" s="2">
        <v>10</v>
      </c>
      <c r="I3674" s="20">
        <v>132.47999999999999</v>
      </c>
      <c r="J3674" s="20">
        <v>75131</v>
      </c>
      <c r="K3674" s="3">
        <v>0</v>
      </c>
      <c r="L3674" s="3" t="s">
        <v>98</v>
      </c>
      <c r="M3674" s="9" t="s">
        <v>0</v>
      </c>
      <c r="N3674" s="10">
        <v>19961020</v>
      </c>
      <c r="O3674" s="9" t="s">
        <v>703</v>
      </c>
      <c r="S3674" s="9" t="s">
        <v>158</v>
      </c>
      <c r="T3674" s="10" t="s">
        <v>69</v>
      </c>
      <c r="U3674" s="10">
        <v>10</v>
      </c>
      <c r="V3674" s="10">
        <v>132.47999999999999</v>
      </c>
      <c r="W3674" s="81" t="s">
        <v>710</v>
      </c>
      <c r="X3674" s="17">
        <v>45887</v>
      </c>
      <c r="Y3674" s="17">
        <v>45887</v>
      </c>
      <c r="Z3674" s="19" t="s">
        <v>772</v>
      </c>
      <c r="AA3674" s="207">
        <v>48500</v>
      </c>
      <c r="AB3674" s="9">
        <v>48</v>
      </c>
      <c r="AC3674" s="9">
        <v>24</v>
      </c>
      <c r="AD3674" s="17">
        <v>46665</v>
      </c>
      <c r="AE3674" s="54">
        <v>900</v>
      </c>
      <c r="AF3674" s="54"/>
      <c r="AL3674" s="22"/>
      <c r="AM3674" s="22"/>
      <c r="AN3674" s="22"/>
      <c r="AO3674" s="22"/>
      <c r="AP3674" s="22"/>
      <c r="AQ3674" s="22"/>
      <c r="AR3674" s="22"/>
      <c r="AS3674" s="22"/>
      <c r="AT3674" s="22"/>
      <c r="AU3674" s="22"/>
      <c r="AV3674" s="22"/>
      <c r="AW3674" s="9"/>
      <c r="BA3674" s="22"/>
      <c r="BB3674" s="22"/>
      <c r="BD3674" s="9"/>
      <c r="CS3674" s="11">
        <f t="shared" si="258"/>
        <v>0</v>
      </c>
      <c r="CT3674" s="22">
        <f t="shared" si="259"/>
        <v>0</v>
      </c>
      <c r="CU3674" s="22">
        <f t="shared" si="257"/>
        <v>0</v>
      </c>
      <c r="CV3674" s="26">
        <f t="shared" si="260"/>
        <v>900</v>
      </c>
    </row>
    <row r="3675" spans="1:100" x14ac:dyDescent="0.2">
      <c r="A3675" s="9" t="s">
        <v>702</v>
      </c>
      <c r="B3675" s="2">
        <v>30</v>
      </c>
      <c r="C3675" s="3" t="s">
        <v>95</v>
      </c>
      <c r="D3675" s="3" t="s">
        <v>96</v>
      </c>
      <c r="E3675" s="2"/>
      <c r="F3675" s="2"/>
      <c r="G3675" s="2" t="s">
        <v>69</v>
      </c>
      <c r="H3675" s="2">
        <v>10</v>
      </c>
      <c r="I3675" s="20">
        <v>132.47999999999999</v>
      </c>
      <c r="J3675" s="20">
        <v>75131</v>
      </c>
      <c r="K3675" s="3">
        <v>0</v>
      </c>
      <c r="L3675" s="3" t="s">
        <v>98</v>
      </c>
      <c r="M3675" s="9" t="s">
        <v>0</v>
      </c>
      <c r="N3675" s="10">
        <v>19961020</v>
      </c>
      <c r="O3675" s="9" t="s">
        <v>703</v>
      </c>
      <c r="S3675" s="9" t="s">
        <v>158</v>
      </c>
      <c r="T3675" s="10" t="s">
        <v>69</v>
      </c>
      <c r="U3675" s="10">
        <v>10</v>
      </c>
      <c r="V3675" s="10">
        <v>132.47999999999999</v>
      </c>
      <c r="W3675" s="81" t="s">
        <v>710</v>
      </c>
      <c r="X3675" s="17">
        <v>45887</v>
      </c>
      <c r="Y3675" s="17">
        <v>45887</v>
      </c>
      <c r="Z3675" s="19" t="s">
        <v>772</v>
      </c>
      <c r="AA3675" s="207">
        <v>48500</v>
      </c>
      <c r="AB3675" s="9">
        <v>48</v>
      </c>
      <c r="AC3675" s="9">
        <v>25</v>
      </c>
      <c r="AD3675" s="17">
        <v>46696</v>
      </c>
      <c r="AE3675" s="54">
        <v>900</v>
      </c>
      <c r="AF3675" s="54"/>
      <c r="AL3675" s="22"/>
      <c r="AM3675" s="22"/>
      <c r="AN3675" s="22"/>
      <c r="AO3675" s="22"/>
      <c r="AP3675" s="22"/>
      <c r="AQ3675" s="22"/>
      <c r="AR3675" s="22"/>
      <c r="AS3675" s="22"/>
      <c r="AT3675" s="22"/>
      <c r="AU3675" s="22"/>
      <c r="AV3675" s="22"/>
      <c r="AW3675" s="9"/>
      <c r="BA3675" s="22"/>
      <c r="BB3675" s="22"/>
      <c r="BD3675" s="9"/>
      <c r="CS3675" s="11">
        <f t="shared" si="258"/>
        <v>0</v>
      </c>
      <c r="CT3675" s="22">
        <f t="shared" si="259"/>
        <v>0</v>
      </c>
      <c r="CU3675" s="22">
        <f t="shared" si="257"/>
        <v>0</v>
      </c>
      <c r="CV3675" s="26">
        <f t="shared" si="260"/>
        <v>900</v>
      </c>
    </row>
    <row r="3676" spans="1:100" x14ac:dyDescent="0.2">
      <c r="A3676" s="9" t="s">
        <v>702</v>
      </c>
      <c r="B3676" s="2">
        <v>30</v>
      </c>
      <c r="C3676" s="3" t="s">
        <v>95</v>
      </c>
      <c r="D3676" s="3" t="s">
        <v>96</v>
      </c>
      <c r="E3676" s="2"/>
      <c r="F3676" s="2"/>
      <c r="G3676" s="2" t="s">
        <v>69</v>
      </c>
      <c r="H3676" s="2">
        <v>10</v>
      </c>
      <c r="I3676" s="20">
        <v>132.47999999999999</v>
      </c>
      <c r="J3676" s="20">
        <v>75131</v>
      </c>
      <c r="K3676" s="3">
        <v>0</v>
      </c>
      <c r="L3676" s="3" t="s">
        <v>98</v>
      </c>
      <c r="M3676" s="9" t="s">
        <v>0</v>
      </c>
      <c r="N3676" s="10">
        <v>19961020</v>
      </c>
      <c r="O3676" s="9" t="s">
        <v>703</v>
      </c>
      <c r="S3676" s="9" t="s">
        <v>158</v>
      </c>
      <c r="T3676" s="10" t="s">
        <v>69</v>
      </c>
      <c r="U3676" s="10">
        <v>10</v>
      </c>
      <c r="V3676" s="10">
        <v>132.47999999999999</v>
      </c>
      <c r="W3676" s="81" t="s">
        <v>710</v>
      </c>
      <c r="X3676" s="17">
        <v>45887</v>
      </c>
      <c r="Y3676" s="17">
        <v>45887</v>
      </c>
      <c r="Z3676" s="19" t="s">
        <v>772</v>
      </c>
      <c r="AA3676" s="207">
        <v>48500</v>
      </c>
      <c r="AB3676" s="9">
        <v>48</v>
      </c>
      <c r="AC3676" s="9">
        <v>26</v>
      </c>
      <c r="AD3676" s="17">
        <v>46726</v>
      </c>
      <c r="AE3676" s="54">
        <v>900</v>
      </c>
      <c r="AF3676" s="54"/>
      <c r="AL3676" s="22"/>
      <c r="AM3676" s="22"/>
      <c r="AN3676" s="22"/>
      <c r="AO3676" s="22"/>
      <c r="AP3676" s="22"/>
      <c r="AQ3676" s="22"/>
      <c r="AR3676" s="22"/>
      <c r="AS3676" s="22"/>
      <c r="AT3676" s="22"/>
      <c r="AU3676" s="22"/>
      <c r="AV3676" s="22"/>
      <c r="AW3676" s="9"/>
      <c r="BA3676" s="22"/>
      <c r="BB3676" s="22"/>
      <c r="BD3676" s="9"/>
      <c r="CS3676" s="11">
        <f t="shared" si="258"/>
        <v>0</v>
      </c>
      <c r="CT3676" s="22">
        <f t="shared" si="259"/>
        <v>0</v>
      </c>
      <c r="CU3676" s="22">
        <f t="shared" si="257"/>
        <v>0</v>
      </c>
      <c r="CV3676" s="26">
        <f t="shared" si="260"/>
        <v>900</v>
      </c>
    </row>
    <row r="3677" spans="1:100" x14ac:dyDescent="0.2">
      <c r="A3677" s="9" t="s">
        <v>702</v>
      </c>
      <c r="B3677" s="2">
        <v>30</v>
      </c>
      <c r="C3677" s="3" t="s">
        <v>95</v>
      </c>
      <c r="D3677" s="3" t="s">
        <v>96</v>
      </c>
      <c r="E3677" s="2"/>
      <c r="F3677" s="2"/>
      <c r="G3677" s="2" t="s">
        <v>69</v>
      </c>
      <c r="H3677" s="2">
        <v>10</v>
      </c>
      <c r="I3677" s="20">
        <v>132.47999999999999</v>
      </c>
      <c r="J3677" s="20">
        <v>75131</v>
      </c>
      <c r="K3677" s="3">
        <v>0</v>
      </c>
      <c r="L3677" s="3" t="s">
        <v>98</v>
      </c>
      <c r="M3677" s="9" t="s">
        <v>0</v>
      </c>
      <c r="N3677" s="10">
        <v>19961020</v>
      </c>
      <c r="O3677" s="9" t="s">
        <v>703</v>
      </c>
      <c r="S3677" s="9" t="s">
        <v>158</v>
      </c>
      <c r="T3677" s="10" t="s">
        <v>69</v>
      </c>
      <c r="U3677" s="10">
        <v>10</v>
      </c>
      <c r="V3677" s="10">
        <v>132.47999999999999</v>
      </c>
      <c r="W3677" s="81" t="s">
        <v>710</v>
      </c>
      <c r="X3677" s="17">
        <v>45887</v>
      </c>
      <c r="Y3677" s="17">
        <v>45887</v>
      </c>
      <c r="Z3677" s="19" t="s">
        <v>772</v>
      </c>
      <c r="AA3677" s="207">
        <v>48500</v>
      </c>
      <c r="AB3677" s="9">
        <v>48</v>
      </c>
      <c r="AC3677" s="9">
        <v>27</v>
      </c>
      <c r="AD3677" s="17">
        <v>46757</v>
      </c>
      <c r="AE3677" s="54">
        <v>900</v>
      </c>
      <c r="AF3677" s="54"/>
      <c r="AL3677" s="22"/>
      <c r="AM3677" s="22"/>
      <c r="AN3677" s="22"/>
      <c r="AO3677" s="22"/>
      <c r="AP3677" s="22"/>
      <c r="AQ3677" s="22"/>
      <c r="AR3677" s="22"/>
      <c r="AS3677" s="22"/>
      <c r="AT3677" s="22"/>
      <c r="AU3677" s="22"/>
      <c r="AV3677" s="22"/>
      <c r="AW3677" s="9"/>
      <c r="BA3677" s="22"/>
      <c r="BB3677" s="22"/>
      <c r="BD3677" s="9"/>
      <c r="CS3677" s="11">
        <f t="shared" si="258"/>
        <v>0</v>
      </c>
      <c r="CT3677" s="22">
        <f t="shared" si="259"/>
        <v>0</v>
      </c>
      <c r="CU3677" s="22">
        <f t="shared" si="257"/>
        <v>0</v>
      </c>
      <c r="CV3677" s="26">
        <f t="shared" si="260"/>
        <v>900</v>
      </c>
    </row>
    <row r="3678" spans="1:100" x14ac:dyDescent="0.2">
      <c r="A3678" s="9" t="s">
        <v>702</v>
      </c>
      <c r="B3678" s="2">
        <v>30</v>
      </c>
      <c r="C3678" s="3" t="s">
        <v>95</v>
      </c>
      <c r="D3678" s="3" t="s">
        <v>96</v>
      </c>
      <c r="E3678" s="2"/>
      <c r="F3678" s="2"/>
      <c r="G3678" s="2" t="s">
        <v>69</v>
      </c>
      <c r="H3678" s="2">
        <v>10</v>
      </c>
      <c r="I3678" s="20">
        <v>132.47999999999999</v>
      </c>
      <c r="J3678" s="20">
        <v>75131</v>
      </c>
      <c r="K3678" s="3">
        <v>0</v>
      </c>
      <c r="L3678" s="3" t="s">
        <v>98</v>
      </c>
      <c r="M3678" s="9" t="s">
        <v>0</v>
      </c>
      <c r="N3678" s="10">
        <v>19961020</v>
      </c>
      <c r="O3678" s="9" t="s">
        <v>703</v>
      </c>
      <c r="S3678" s="9" t="s">
        <v>158</v>
      </c>
      <c r="T3678" s="10" t="s">
        <v>69</v>
      </c>
      <c r="U3678" s="10">
        <v>10</v>
      </c>
      <c r="V3678" s="10">
        <v>132.47999999999999</v>
      </c>
      <c r="W3678" s="81" t="s">
        <v>710</v>
      </c>
      <c r="X3678" s="17">
        <v>45887</v>
      </c>
      <c r="Y3678" s="17">
        <v>45887</v>
      </c>
      <c r="Z3678" s="19" t="s">
        <v>772</v>
      </c>
      <c r="AA3678" s="207">
        <v>48500</v>
      </c>
      <c r="AB3678" s="9">
        <v>48</v>
      </c>
      <c r="AC3678" s="9">
        <v>28</v>
      </c>
      <c r="AD3678" s="17">
        <v>46788</v>
      </c>
      <c r="AE3678" s="54">
        <v>900</v>
      </c>
      <c r="AF3678" s="54"/>
      <c r="AL3678" s="22"/>
      <c r="AM3678" s="22"/>
      <c r="AN3678" s="22"/>
      <c r="AO3678" s="22"/>
      <c r="AP3678" s="22"/>
      <c r="AQ3678" s="22"/>
      <c r="AR3678" s="22"/>
      <c r="AS3678" s="22"/>
      <c r="AT3678" s="22"/>
      <c r="AU3678" s="22"/>
      <c r="AV3678" s="22"/>
      <c r="AW3678" s="9"/>
      <c r="BA3678" s="22"/>
      <c r="BB3678" s="22"/>
      <c r="BD3678" s="9"/>
      <c r="CS3678" s="11">
        <f t="shared" si="258"/>
        <v>0</v>
      </c>
      <c r="CT3678" s="22">
        <f t="shared" si="259"/>
        <v>0</v>
      </c>
      <c r="CU3678" s="22">
        <f t="shared" si="257"/>
        <v>0</v>
      </c>
      <c r="CV3678" s="26">
        <f t="shared" si="260"/>
        <v>900</v>
      </c>
    </row>
    <row r="3679" spans="1:100" x14ac:dyDescent="0.2">
      <c r="A3679" s="9" t="s">
        <v>702</v>
      </c>
      <c r="B3679" s="2">
        <v>30</v>
      </c>
      <c r="C3679" s="3" t="s">
        <v>95</v>
      </c>
      <c r="D3679" s="3" t="s">
        <v>96</v>
      </c>
      <c r="E3679" s="2"/>
      <c r="F3679" s="2"/>
      <c r="G3679" s="2" t="s">
        <v>69</v>
      </c>
      <c r="H3679" s="2">
        <v>10</v>
      </c>
      <c r="I3679" s="20">
        <v>132.47999999999999</v>
      </c>
      <c r="J3679" s="20">
        <v>75131</v>
      </c>
      <c r="K3679" s="3">
        <v>0</v>
      </c>
      <c r="L3679" s="3" t="s">
        <v>98</v>
      </c>
      <c r="M3679" s="9" t="s">
        <v>0</v>
      </c>
      <c r="N3679" s="10">
        <v>19961020</v>
      </c>
      <c r="O3679" s="9" t="s">
        <v>703</v>
      </c>
      <c r="S3679" s="9" t="s">
        <v>158</v>
      </c>
      <c r="T3679" s="10" t="s">
        <v>69</v>
      </c>
      <c r="U3679" s="10">
        <v>10</v>
      </c>
      <c r="V3679" s="10">
        <v>132.47999999999999</v>
      </c>
      <c r="W3679" s="81" t="s">
        <v>710</v>
      </c>
      <c r="X3679" s="17">
        <v>45887</v>
      </c>
      <c r="Y3679" s="17">
        <v>45887</v>
      </c>
      <c r="Z3679" s="19" t="s">
        <v>772</v>
      </c>
      <c r="AA3679" s="207">
        <v>48500</v>
      </c>
      <c r="AB3679" s="9">
        <v>48</v>
      </c>
      <c r="AC3679" s="9">
        <v>29</v>
      </c>
      <c r="AD3679" s="17">
        <v>46817</v>
      </c>
      <c r="AE3679" s="54">
        <v>900</v>
      </c>
      <c r="AF3679" s="54"/>
      <c r="AL3679" s="22"/>
      <c r="AM3679" s="22"/>
      <c r="AN3679" s="22"/>
      <c r="AO3679" s="22"/>
      <c r="AP3679" s="22"/>
      <c r="AQ3679" s="22"/>
      <c r="AR3679" s="22"/>
      <c r="AS3679" s="22"/>
      <c r="AT3679" s="22"/>
      <c r="AU3679" s="22"/>
      <c r="AV3679" s="22"/>
      <c r="AW3679" s="9"/>
      <c r="BA3679" s="22"/>
      <c r="BB3679" s="22"/>
      <c r="BD3679" s="9"/>
      <c r="CS3679" s="11">
        <f t="shared" si="258"/>
        <v>0</v>
      </c>
      <c r="CT3679" s="22">
        <f t="shared" si="259"/>
        <v>0</v>
      </c>
      <c r="CU3679" s="22">
        <f t="shared" si="257"/>
        <v>0</v>
      </c>
      <c r="CV3679" s="26">
        <f t="shared" si="260"/>
        <v>900</v>
      </c>
    </row>
    <row r="3680" spans="1:100" x14ac:dyDescent="0.2">
      <c r="A3680" s="9" t="s">
        <v>702</v>
      </c>
      <c r="B3680" s="2">
        <v>30</v>
      </c>
      <c r="C3680" s="3" t="s">
        <v>95</v>
      </c>
      <c r="D3680" s="3" t="s">
        <v>96</v>
      </c>
      <c r="E3680" s="2"/>
      <c r="F3680" s="2"/>
      <c r="G3680" s="2" t="s">
        <v>69</v>
      </c>
      <c r="H3680" s="2">
        <v>10</v>
      </c>
      <c r="I3680" s="20">
        <v>132.47999999999999</v>
      </c>
      <c r="J3680" s="20">
        <v>75131</v>
      </c>
      <c r="K3680" s="3">
        <v>0</v>
      </c>
      <c r="L3680" s="3" t="s">
        <v>98</v>
      </c>
      <c r="M3680" s="9" t="s">
        <v>0</v>
      </c>
      <c r="N3680" s="10">
        <v>19961020</v>
      </c>
      <c r="O3680" s="9" t="s">
        <v>703</v>
      </c>
      <c r="S3680" s="9" t="s">
        <v>158</v>
      </c>
      <c r="T3680" s="10" t="s">
        <v>69</v>
      </c>
      <c r="U3680" s="10">
        <v>10</v>
      </c>
      <c r="V3680" s="10">
        <v>132.47999999999999</v>
      </c>
      <c r="W3680" s="81" t="s">
        <v>710</v>
      </c>
      <c r="X3680" s="17">
        <v>45887</v>
      </c>
      <c r="Y3680" s="17">
        <v>45887</v>
      </c>
      <c r="Z3680" s="19" t="s">
        <v>772</v>
      </c>
      <c r="AA3680" s="207">
        <v>48500</v>
      </c>
      <c r="AB3680" s="9">
        <v>48</v>
      </c>
      <c r="AC3680" s="9">
        <v>30</v>
      </c>
      <c r="AD3680" s="17">
        <v>46848</v>
      </c>
      <c r="AE3680" s="54">
        <v>900</v>
      </c>
      <c r="AF3680" s="54"/>
      <c r="AL3680" s="22"/>
      <c r="AM3680" s="22"/>
      <c r="AN3680" s="22"/>
      <c r="AO3680" s="22"/>
      <c r="AP3680" s="22"/>
      <c r="AQ3680" s="22"/>
      <c r="AR3680" s="22"/>
      <c r="AS3680" s="22"/>
      <c r="AT3680" s="22"/>
      <c r="AU3680" s="22"/>
      <c r="AV3680" s="22"/>
      <c r="AW3680" s="9"/>
      <c r="BA3680" s="22"/>
      <c r="BB3680" s="22"/>
      <c r="BD3680" s="9"/>
      <c r="CS3680" s="11">
        <f t="shared" si="258"/>
        <v>0</v>
      </c>
      <c r="CT3680" s="22">
        <f t="shared" si="259"/>
        <v>0</v>
      </c>
      <c r="CU3680" s="22">
        <f t="shared" si="257"/>
        <v>0</v>
      </c>
      <c r="CV3680" s="26">
        <f t="shared" si="260"/>
        <v>900</v>
      </c>
    </row>
    <row r="3681" spans="1:100" x14ac:dyDescent="0.2">
      <c r="A3681" s="9" t="s">
        <v>702</v>
      </c>
      <c r="B3681" s="2">
        <v>30</v>
      </c>
      <c r="C3681" s="3" t="s">
        <v>95</v>
      </c>
      <c r="D3681" s="3" t="s">
        <v>96</v>
      </c>
      <c r="E3681" s="2"/>
      <c r="F3681" s="2"/>
      <c r="G3681" s="2" t="s">
        <v>69</v>
      </c>
      <c r="H3681" s="2">
        <v>10</v>
      </c>
      <c r="I3681" s="20">
        <v>132.47999999999999</v>
      </c>
      <c r="J3681" s="20">
        <v>75131</v>
      </c>
      <c r="K3681" s="3">
        <v>0</v>
      </c>
      <c r="L3681" s="3" t="s">
        <v>98</v>
      </c>
      <c r="M3681" s="9" t="s">
        <v>0</v>
      </c>
      <c r="N3681" s="10">
        <v>19961020</v>
      </c>
      <c r="O3681" s="9" t="s">
        <v>703</v>
      </c>
      <c r="S3681" s="9" t="s">
        <v>158</v>
      </c>
      <c r="T3681" s="10" t="s">
        <v>69</v>
      </c>
      <c r="U3681" s="10">
        <v>10</v>
      </c>
      <c r="V3681" s="10">
        <v>132.47999999999999</v>
      </c>
      <c r="W3681" s="81" t="s">
        <v>710</v>
      </c>
      <c r="X3681" s="17">
        <v>45887</v>
      </c>
      <c r="Y3681" s="17">
        <v>45887</v>
      </c>
      <c r="Z3681" s="19" t="s">
        <v>772</v>
      </c>
      <c r="AA3681" s="207">
        <v>48500</v>
      </c>
      <c r="AB3681" s="9">
        <v>48</v>
      </c>
      <c r="AC3681" s="9">
        <v>31</v>
      </c>
      <c r="AD3681" s="17">
        <v>46878</v>
      </c>
      <c r="AE3681" s="54">
        <v>900</v>
      </c>
      <c r="AF3681" s="54"/>
      <c r="AL3681" s="22"/>
      <c r="AM3681" s="22"/>
      <c r="AN3681" s="22"/>
      <c r="AO3681" s="22"/>
      <c r="AP3681" s="22"/>
      <c r="AQ3681" s="22"/>
      <c r="AR3681" s="22"/>
      <c r="AS3681" s="22"/>
      <c r="AT3681" s="22"/>
      <c r="AU3681" s="22"/>
      <c r="AV3681" s="22"/>
      <c r="AW3681" s="9"/>
      <c r="BA3681" s="22"/>
      <c r="BB3681" s="22"/>
      <c r="BD3681" s="9"/>
      <c r="CS3681" s="11">
        <f t="shared" si="258"/>
        <v>0</v>
      </c>
      <c r="CT3681" s="22">
        <f t="shared" si="259"/>
        <v>0</v>
      </c>
      <c r="CU3681" s="22">
        <f t="shared" si="257"/>
        <v>0</v>
      </c>
      <c r="CV3681" s="26">
        <f t="shared" si="260"/>
        <v>900</v>
      </c>
    </row>
    <row r="3682" spans="1:100" x14ac:dyDescent="0.2">
      <c r="A3682" s="9" t="s">
        <v>702</v>
      </c>
      <c r="B3682" s="2">
        <v>30</v>
      </c>
      <c r="C3682" s="3" t="s">
        <v>95</v>
      </c>
      <c r="D3682" s="3" t="s">
        <v>96</v>
      </c>
      <c r="E3682" s="2"/>
      <c r="F3682" s="2"/>
      <c r="G3682" s="2" t="s">
        <v>69</v>
      </c>
      <c r="H3682" s="2">
        <v>10</v>
      </c>
      <c r="I3682" s="20">
        <v>132.47999999999999</v>
      </c>
      <c r="J3682" s="20">
        <v>75131</v>
      </c>
      <c r="K3682" s="3">
        <v>0</v>
      </c>
      <c r="L3682" s="3" t="s">
        <v>98</v>
      </c>
      <c r="M3682" s="9" t="s">
        <v>0</v>
      </c>
      <c r="N3682" s="10">
        <v>19961020</v>
      </c>
      <c r="O3682" s="9" t="s">
        <v>703</v>
      </c>
      <c r="S3682" s="9" t="s">
        <v>158</v>
      </c>
      <c r="T3682" s="10" t="s">
        <v>69</v>
      </c>
      <c r="U3682" s="10">
        <v>10</v>
      </c>
      <c r="V3682" s="10">
        <v>132.47999999999999</v>
      </c>
      <c r="W3682" s="81" t="s">
        <v>710</v>
      </c>
      <c r="X3682" s="17">
        <v>45887</v>
      </c>
      <c r="Y3682" s="17">
        <v>45887</v>
      </c>
      <c r="Z3682" s="19" t="s">
        <v>772</v>
      </c>
      <c r="AA3682" s="207">
        <v>48500</v>
      </c>
      <c r="AB3682" s="9">
        <v>48</v>
      </c>
      <c r="AC3682" s="9">
        <v>32</v>
      </c>
      <c r="AD3682" s="17">
        <v>46909</v>
      </c>
      <c r="AE3682" s="54">
        <v>900</v>
      </c>
      <c r="AF3682" s="54"/>
      <c r="AL3682" s="22"/>
      <c r="AM3682" s="22"/>
      <c r="AN3682" s="22"/>
      <c r="AO3682" s="22"/>
      <c r="AP3682" s="22"/>
      <c r="AQ3682" s="22"/>
      <c r="AR3682" s="22"/>
      <c r="AS3682" s="22"/>
      <c r="AT3682" s="22"/>
      <c r="AU3682" s="22"/>
      <c r="AV3682" s="22"/>
      <c r="AW3682" s="9"/>
      <c r="BA3682" s="22"/>
      <c r="BB3682" s="22"/>
      <c r="BD3682" s="9"/>
      <c r="CS3682" s="11">
        <f t="shared" si="258"/>
        <v>0</v>
      </c>
      <c r="CT3682" s="22">
        <f t="shared" si="259"/>
        <v>0</v>
      </c>
      <c r="CU3682" s="22">
        <f t="shared" si="257"/>
        <v>0</v>
      </c>
      <c r="CV3682" s="26">
        <f t="shared" si="260"/>
        <v>900</v>
      </c>
    </row>
    <row r="3683" spans="1:100" x14ac:dyDescent="0.2">
      <c r="A3683" s="9" t="s">
        <v>702</v>
      </c>
      <c r="B3683" s="2">
        <v>30</v>
      </c>
      <c r="C3683" s="3" t="s">
        <v>95</v>
      </c>
      <c r="D3683" s="3" t="s">
        <v>96</v>
      </c>
      <c r="E3683" s="2"/>
      <c r="F3683" s="2"/>
      <c r="G3683" s="2" t="s">
        <v>69</v>
      </c>
      <c r="H3683" s="2">
        <v>10</v>
      </c>
      <c r="I3683" s="20">
        <v>132.47999999999999</v>
      </c>
      <c r="J3683" s="20">
        <v>75131</v>
      </c>
      <c r="K3683" s="3">
        <v>0</v>
      </c>
      <c r="L3683" s="3" t="s">
        <v>98</v>
      </c>
      <c r="M3683" s="9" t="s">
        <v>0</v>
      </c>
      <c r="N3683" s="10">
        <v>19961020</v>
      </c>
      <c r="O3683" s="9" t="s">
        <v>703</v>
      </c>
      <c r="S3683" s="9" t="s">
        <v>158</v>
      </c>
      <c r="T3683" s="10" t="s">
        <v>69</v>
      </c>
      <c r="U3683" s="10">
        <v>10</v>
      </c>
      <c r="V3683" s="10">
        <v>132.47999999999999</v>
      </c>
      <c r="W3683" s="81" t="s">
        <v>710</v>
      </c>
      <c r="X3683" s="17">
        <v>45887</v>
      </c>
      <c r="Y3683" s="17">
        <v>45887</v>
      </c>
      <c r="Z3683" s="19" t="s">
        <v>772</v>
      </c>
      <c r="AA3683" s="207">
        <v>48500</v>
      </c>
      <c r="AB3683" s="9">
        <v>48</v>
      </c>
      <c r="AC3683" s="9">
        <v>33</v>
      </c>
      <c r="AD3683" s="17">
        <v>46939</v>
      </c>
      <c r="AE3683" s="54">
        <v>900</v>
      </c>
      <c r="AF3683" s="54"/>
      <c r="AL3683" s="22"/>
      <c r="AM3683" s="22"/>
      <c r="AN3683" s="22"/>
      <c r="AO3683" s="22"/>
      <c r="AP3683" s="22"/>
      <c r="AQ3683" s="22"/>
      <c r="AR3683" s="22"/>
      <c r="AS3683" s="22"/>
      <c r="AT3683" s="22"/>
      <c r="AU3683" s="22"/>
      <c r="AV3683" s="22"/>
      <c r="AW3683" s="9"/>
      <c r="BA3683" s="22"/>
      <c r="BB3683" s="22"/>
      <c r="BD3683" s="9"/>
      <c r="CS3683" s="11">
        <f t="shared" si="258"/>
        <v>0</v>
      </c>
      <c r="CT3683" s="22">
        <f t="shared" si="259"/>
        <v>0</v>
      </c>
      <c r="CU3683" s="22">
        <f t="shared" si="257"/>
        <v>0</v>
      </c>
      <c r="CV3683" s="26">
        <f t="shared" si="260"/>
        <v>900</v>
      </c>
    </row>
    <row r="3684" spans="1:100" x14ac:dyDescent="0.2">
      <c r="A3684" s="9" t="s">
        <v>702</v>
      </c>
      <c r="B3684" s="2">
        <v>30</v>
      </c>
      <c r="C3684" s="3" t="s">
        <v>95</v>
      </c>
      <c r="D3684" s="3" t="s">
        <v>96</v>
      </c>
      <c r="E3684" s="2"/>
      <c r="F3684" s="2"/>
      <c r="G3684" s="2" t="s">
        <v>69</v>
      </c>
      <c r="H3684" s="2">
        <v>10</v>
      </c>
      <c r="I3684" s="20">
        <v>132.47999999999999</v>
      </c>
      <c r="J3684" s="20">
        <v>75131</v>
      </c>
      <c r="K3684" s="3">
        <v>0</v>
      </c>
      <c r="L3684" s="3" t="s">
        <v>98</v>
      </c>
      <c r="M3684" s="9" t="s">
        <v>0</v>
      </c>
      <c r="N3684" s="10">
        <v>19961020</v>
      </c>
      <c r="O3684" s="9" t="s">
        <v>703</v>
      </c>
      <c r="S3684" s="9" t="s">
        <v>158</v>
      </c>
      <c r="T3684" s="10" t="s">
        <v>69</v>
      </c>
      <c r="U3684" s="10">
        <v>10</v>
      </c>
      <c r="V3684" s="10">
        <v>132.47999999999999</v>
      </c>
      <c r="W3684" s="81" t="s">
        <v>710</v>
      </c>
      <c r="X3684" s="17">
        <v>45887</v>
      </c>
      <c r="Y3684" s="17">
        <v>45887</v>
      </c>
      <c r="Z3684" s="19" t="s">
        <v>772</v>
      </c>
      <c r="AA3684" s="207">
        <v>48500</v>
      </c>
      <c r="AB3684" s="9">
        <v>48</v>
      </c>
      <c r="AC3684" s="9">
        <v>34</v>
      </c>
      <c r="AD3684" s="17">
        <v>46970</v>
      </c>
      <c r="AE3684" s="54">
        <v>900</v>
      </c>
      <c r="AF3684" s="54"/>
      <c r="AL3684" s="22"/>
      <c r="AM3684" s="22"/>
      <c r="AN3684" s="22"/>
      <c r="AO3684" s="22"/>
      <c r="AP3684" s="22"/>
      <c r="AQ3684" s="22"/>
      <c r="AR3684" s="22"/>
      <c r="AS3684" s="22"/>
      <c r="AT3684" s="22"/>
      <c r="AU3684" s="22"/>
      <c r="AV3684" s="22"/>
      <c r="AW3684" s="9"/>
      <c r="BA3684" s="22"/>
      <c r="BB3684" s="22"/>
      <c r="BD3684" s="9"/>
      <c r="CS3684" s="11">
        <f t="shared" si="258"/>
        <v>0</v>
      </c>
      <c r="CT3684" s="22">
        <f t="shared" si="259"/>
        <v>0</v>
      </c>
      <c r="CU3684" s="22">
        <f t="shared" si="257"/>
        <v>0</v>
      </c>
      <c r="CV3684" s="26">
        <f t="shared" si="260"/>
        <v>900</v>
      </c>
    </row>
    <row r="3685" spans="1:100" x14ac:dyDescent="0.2">
      <c r="A3685" s="9" t="s">
        <v>702</v>
      </c>
      <c r="B3685" s="2">
        <v>30</v>
      </c>
      <c r="C3685" s="3" t="s">
        <v>95</v>
      </c>
      <c r="D3685" s="3" t="s">
        <v>96</v>
      </c>
      <c r="E3685" s="2"/>
      <c r="F3685" s="2"/>
      <c r="G3685" s="2" t="s">
        <v>69</v>
      </c>
      <c r="H3685" s="2">
        <v>10</v>
      </c>
      <c r="I3685" s="20">
        <v>132.47999999999999</v>
      </c>
      <c r="J3685" s="20">
        <v>75131</v>
      </c>
      <c r="K3685" s="3">
        <v>0</v>
      </c>
      <c r="L3685" s="3" t="s">
        <v>98</v>
      </c>
      <c r="M3685" s="9" t="s">
        <v>0</v>
      </c>
      <c r="N3685" s="10">
        <v>19961020</v>
      </c>
      <c r="O3685" s="9" t="s">
        <v>703</v>
      </c>
      <c r="S3685" s="9" t="s">
        <v>158</v>
      </c>
      <c r="T3685" s="10" t="s">
        <v>69</v>
      </c>
      <c r="U3685" s="10">
        <v>10</v>
      </c>
      <c r="V3685" s="10">
        <v>132.47999999999999</v>
      </c>
      <c r="W3685" s="81" t="s">
        <v>710</v>
      </c>
      <c r="X3685" s="17">
        <v>45887</v>
      </c>
      <c r="Y3685" s="17">
        <v>45887</v>
      </c>
      <c r="Z3685" s="19" t="s">
        <v>772</v>
      </c>
      <c r="AA3685" s="207">
        <v>48500</v>
      </c>
      <c r="AB3685" s="9">
        <v>48</v>
      </c>
      <c r="AC3685" s="9">
        <v>35</v>
      </c>
      <c r="AD3685" s="17">
        <v>47001</v>
      </c>
      <c r="AE3685" s="54">
        <v>900</v>
      </c>
      <c r="AF3685" s="54"/>
      <c r="AL3685" s="22"/>
      <c r="AM3685" s="22"/>
      <c r="AN3685" s="22"/>
      <c r="AO3685" s="22"/>
      <c r="AP3685" s="22"/>
      <c r="AQ3685" s="22"/>
      <c r="AR3685" s="22"/>
      <c r="AS3685" s="22"/>
      <c r="AT3685" s="22"/>
      <c r="AU3685" s="22"/>
      <c r="AV3685" s="22"/>
      <c r="AW3685" s="9"/>
      <c r="BA3685" s="22"/>
      <c r="BB3685" s="22"/>
      <c r="BD3685" s="9"/>
      <c r="CS3685" s="11">
        <f t="shared" si="258"/>
        <v>0</v>
      </c>
      <c r="CT3685" s="22">
        <f t="shared" si="259"/>
        <v>0</v>
      </c>
      <c r="CU3685" s="22">
        <f t="shared" si="257"/>
        <v>0</v>
      </c>
      <c r="CV3685" s="26">
        <f t="shared" si="260"/>
        <v>900</v>
      </c>
    </row>
    <row r="3686" spans="1:100" x14ac:dyDescent="0.2">
      <c r="A3686" s="9" t="s">
        <v>702</v>
      </c>
      <c r="B3686" s="2">
        <v>30</v>
      </c>
      <c r="C3686" s="3" t="s">
        <v>95</v>
      </c>
      <c r="D3686" s="3" t="s">
        <v>96</v>
      </c>
      <c r="E3686" s="2"/>
      <c r="F3686" s="2"/>
      <c r="G3686" s="2" t="s">
        <v>69</v>
      </c>
      <c r="H3686" s="2">
        <v>10</v>
      </c>
      <c r="I3686" s="20">
        <v>132.47999999999999</v>
      </c>
      <c r="J3686" s="20">
        <v>75131</v>
      </c>
      <c r="K3686" s="3">
        <v>0</v>
      </c>
      <c r="L3686" s="3" t="s">
        <v>98</v>
      </c>
      <c r="M3686" s="9" t="s">
        <v>0</v>
      </c>
      <c r="N3686" s="10">
        <v>19961020</v>
      </c>
      <c r="O3686" s="9" t="s">
        <v>703</v>
      </c>
      <c r="S3686" s="9" t="s">
        <v>158</v>
      </c>
      <c r="T3686" s="10" t="s">
        <v>69</v>
      </c>
      <c r="U3686" s="10">
        <v>10</v>
      </c>
      <c r="V3686" s="10">
        <v>132.47999999999999</v>
      </c>
      <c r="W3686" s="81" t="s">
        <v>710</v>
      </c>
      <c r="X3686" s="17">
        <v>45887</v>
      </c>
      <c r="Y3686" s="17">
        <v>45887</v>
      </c>
      <c r="Z3686" s="19" t="s">
        <v>772</v>
      </c>
      <c r="AA3686" s="207">
        <v>48500</v>
      </c>
      <c r="AB3686" s="9">
        <v>48</v>
      </c>
      <c r="AC3686" s="9">
        <v>36</v>
      </c>
      <c r="AD3686" s="17">
        <v>47031</v>
      </c>
      <c r="AE3686" s="54">
        <v>900</v>
      </c>
      <c r="AF3686" s="54"/>
      <c r="AL3686" s="22"/>
      <c r="AM3686" s="22"/>
      <c r="AN3686" s="22"/>
      <c r="AO3686" s="22"/>
      <c r="AP3686" s="22"/>
      <c r="AQ3686" s="22"/>
      <c r="AR3686" s="22"/>
      <c r="AS3686" s="22"/>
      <c r="AT3686" s="22"/>
      <c r="AU3686" s="22"/>
      <c r="AV3686" s="22"/>
      <c r="AW3686" s="9"/>
      <c r="BA3686" s="22"/>
      <c r="BB3686" s="22"/>
      <c r="BD3686" s="9"/>
      <c r="CS3686" s="11">
        <f t="shared" si="258"/>
        <v>0</v>
      </c>
      <c r="CT3686" s="22">
        <f t="shared" si="259"/>
        <v>0</v>
      </c>
      <c r="CU3686" s="22">
        <f t="shared" si="257"/>
        <v>0</v>
      </c>
      <c r="CV3686" s="26">
        <f t="shared" si="260"/>
        <v>900</v>
      </c>
    </row>
    <row r="3687" spans="1:100" x14ac:dyDescent="0.2">
      <c r="A3687" s="9" t="s">
        <v>702</v>
      </c>
      <c r="B3687" s="2">
        <v>30</v>
      </c>
      <c r="C3687" s="3" t="s">
        <v>95</v>
      </c>
      <c r="D3687" s="3" t="s">
        <v>96</v>
      </c>
      <c r="E3687" s="2"/>
      <c r="F3687" s="2"/>
      <c r="G3687" s="2" t="s">
        <v>69</v>
      </c>
      <c r="H3687" s="2">
        <v>10</v>
      </c>
      <c r="I3687" s="20">
        <v>132.47999999999999</v>
      </c>
      <c r="J3687" s="20">
        <v>75131</v>
      </c>
      <c r="K3687" s="3">
        <v>0</v>
      </c>
      <c r="L3687" s="3" t="s">
        <v>98</v>
      </c>
      <c r="M3687" s="9" t="s">
        <v>0</v>
      </c>
      <c r="N3687" s="10">
        <v>19961020</v>
      </c>
      <c r="O3687" s="9" t="s">
        <v>703</v>
      </c>
      <c r="S3687" s="9" t="s">
        <v>158</v>
      </c>
      <c r="T3687" s="10" t="s">
        <v>69</v>
      </c>
      <c r="U3687" s="10">
        <v>10</v>
      </c>
      <c r="V3687" s="10">
        <v>132.47999999999999</v>
      </c>
      <c r="W3687" s="81" t="s">
        <v>710</v>
      </c>
      <c r="X3687" s="17">
        <v>45887</v>
      </c>
      <c r="Y3687" s="17">
        <v>45887</v>
      </c>
      <c r="Z3687" s="19" t="s">
        <v>772</v>
      </c>
      <c r="AA3687" s="207">
        <v>48500</v>
      </c>
      <c r="AB3687" s="9">
        <v>48</v>
      </c>
      <c r="AC3687" s="9">
        <v>37</v>
      </c>
      <c r="AD3687" s="17">
        <v>47062</v>
      </c>
      <c r="AE3687" s="54">
        <v>900</v>
      </c>
      <c r="AF3687" s="54"/>
      <c r="AL3687" s="22"/>
      <c r="AM3687" s="22"/>
      <c r="AN3687" s="22"/>
      <c r="AO3687" s="22"/>
      <c r="AP3687" s="22"/>
      <c r="AQ3687" s="22"/>
      <c r="AR3687" s="22"/>
      <c r="AS3687" s="22"/>
      <c r="AT3687" s="22"/>
      <c r="AU3687" s="22"/>
      <c r="AV3687" s="22"/>
      <c r="AW3687" s="9"/>
      <c r="BA3687" s="22"/>
      <c r="BB3687" s="22"/>
      <c r="BD3687" s="9"/>
      <c r="CS3687" s="11">
        <f t="shared" si="258"/>
        <v>0</v>
      </c>
      <c r="CT3687" s="22">
        <f t="shared" si="259"/>
        <v>0</v>
      </c>
      <c r="CU3687" s="22">
        <f t="shared" si="257"/>
        <v>0</v>
      </c>
      <c r="CV3687" s="26">
        <f t="shared" si="260"/>
        <v>900</v>
      </c>
    </row>
    <row r="3688" spans="1:100" x14ac:dyDescent="0.2">
      <c r="A3688" s="9" t="s">
        <v>702</v>
      </c>
      <c r="B3688" s="2">
        <v>30</v>
      </c>
      <c r="C3688" s="3" t="s">
        <v>95</v>
      </c>
      <c r="D3688" s="3" t="s">
        <v>96</v>
      </c>
      <c r="E3688" s="2"/>
      <c r="F3688" s="2"/>
      <c r="G3688" s="2" t="s">
        <v>69</v>
      </c>
      <c r="H3688" s="2">
        <v>10</v>
      </c>
      <c r="I3688" s="20">
        <v>132.47999999999999</v>
      </c>
      <c r="J3688" s="20">
        <v>75131</v>
      </c>
      <c r="K3688" s="3">
        <v>0</v>
      </c>
      <c r="L3688" s="3" t="s">
        <v>98</v>
      </c>
      <c r="M3688" s="9" t="s">
        <v>0</v>
      </c>
      <c r="N3688" s="10">
        <v>19961020</v>
      </c>
      <c r="O3688" s="9" t="s">
        <v>703</v>
      </c>
      <c r="S3688" s="9" t="s">
        <v>158</v>
      </c>
      <c r="T3688" s="10" t="s">
        <v>69</v>
      </c>
      <c r="U3688" s="10">
        <v>10</v>
      </c>
      <c r="V3688" s="10">
        <v>132.47999999999999</v>
      </c>
      <c r="W3688" s="81" t="s">
        <v>710</v>
      </c>
      <c r="X3688" s="17">
        <v>45887</v>
      </c>
      <c r="Y3688" s="17">
        <v>45887</v>
      </c>
      <c r="Z3688" s="19" t="s">
        <v>772</v>
      </c>
      <c r="AA3688" s="207">
        <v>48500</v>
      </c>
      <c r="AB3688" s="9">
        <v>48</v>
      </c>
      <c r="AC3688" s="9">
        <v>38</v>
      </c>
      <c r="AD3688" s="17">
        <v>47092</v>
      </c>
      <c r="AE3688" s="54">
        <v>900</v>
      </c>
      <c r="AF3688" s="54"/>
      <c r="AL3688" s="22"/>
      <c r="AM3688" s="22"/>
      <c r="AN3688" s="22"/>
      <c r="AO3688" s="22"/>
      <c r="AP3688" s="22"/>
      <c r="AQ3688" s="22"/>
      <c r="AR3688" s="22"/>
      <c r="AS3688" s="22"/>
      <c r="AT3688" s="22"/>
      <c r="AU3688" s="22"/>
      <c r="AV3688" s="22"/>
      <c r="AW3688" s="9"/>
      <c r="BA3688" s="22"/>
      <c r="BB3688" s="22"/>
      <c r="BD3688" s="9"/>
      <c r="CS3688" s="11">
        <f t="shared" ref="CS3688:CS3698" si="261">+AL3688+AT3688</f>
        <v>0</v>
      </c>
      <c r="CT3688" s="22">
        <f t="shared" ref="CT3688:CT3698" si="262">+BA3688+BG3688+BM3688+BS3688+BY3688+CE3688+CK3688+CQ3688</f>
        <v>0</v>
      </c>
      <c r="CU3688" s="22">
        <f t="shared" si="257"/>
        <v>0</v>
      </c>
      <c r="CV3688" s="26">
        <f t="shared" ref="CV3688:CV3719" si="263">+AE3688-AL3688-AT3688</f>
        <v>900</v>
      </c>
    </row>
    <row r="3689" spans="1:100" x14ac:dyDescent="0.2">
      <c r="A3689" s="9" t="s">
        <v>702</v>
      </c>
      <c r="B3689" s="2">
        <v>30</v>
      </c>
      <c r="C3689" s="3" t="s">
        <v>95</v>
      </c>
      <c r="D3689" s="3" t="s">
        <v>96</v>
      </c>
      <c r="E3689" s="2"/>
      <c r="F3689" s="2"/>
      <c r="G3689" s="2" t="s">
        <v>69</v>
      </c>
      <c r="H3689" s="2">
        <v>10</v>
      </c>
      <c r="I3689" s="20">
        <v>132.47999999999999</v>
      </c>
      <c r="J3689" s="20">
        <v>75131</v>
      </c>
      <c r="K3689" s="3">
        <v>0</v>
      </c>
      <c r="L3689" s="3" t="s">
        <v>98</v>
      </c>
      <c r="M3689" s="9" t="s">
        <v>0</v>
      </c>
      <c r="N3689" s="10">
        <v>19961020</v>
      </c>
      <c r="O3689" s="9" t="s">
        <v>703</v>
      </c>
      <c r="S3689" s="9" t="s">
        <v>158</v>
      </c>
      <c r="T3689" s="10" t="s">
        <v>69</v>
      </c>
      <c r="U3689" s="10">
        <v>10</v>
      </c>
      <c r="V3689" s="10">
        <v>132.47999999999999</v>
      </c>
      <c r="W3689" s="81" t="s">
        <v>710</v>
      </c>
      <c r="X3689" s="17">
        <v>45887</v>
      </c>
      <c r="Y3689" s="17">
        <v>45887</v>
      </c>
      <c r="Z3689" s="19" t="s">
        <v>772</v>
      </c>
      <c r="AA3689" s="207">
        <v>48500</v>
      </c>
      <c r="AB3689" s="9">
        <v>48</v>
      </c>
      <c r="AC3689" s="9">
        <v>39</v>
      </c>
      <c r="AD3689" s="17">
        <v>47123</v>
      </c>
      <c r="AE3689" s="54">
        <v>900</v>
      </c>
      <c r="AF3689" s="54"/>
      <c r="AL3689" s="22"/>
      <c r="AM3689" s="22"/>
      <c r="AN3689" s="22"/>
      <c r="AO3689" s="22"/>
      <c r="AP3689" s="22"/>
      <c r="AQ3689" s="22"/>
      <c r="AR3689" s="22"/>
      <c r="AS3689" s="22"/>
      <c r="AT3689" s="22"/>
      <c r="AU3689" s="22"/>
      <c r="AV3689" s="22"/>
      <c r="AW3689" s="9"/>
      <c r="BA3689" s="22"/>
      <c r="BB3689" s="22"/>
      <c r="BD3689" s="9"/>
      <c r="CS3689" s="11">
        <f t="shared" si="261"/>
        <v>0</v>
      </c>
      <c r="CT3689" s="22">
        <f t="shared" si="262"/>
        <v>0</v>
      </c>
      <c r="CU3689" s="22">
        <f t="shared" si="257"/>
        <v>0</v>
      </c>
      <c r="CV3689" s="26">
        <f t="shared" si="263"/>
        <v>900</v>
      </c>
    </row>
    <row r="3690" spans="1:100" x14ac:dyDescent="0.2">
      <c r="A3690" s="9" t="s">
        <v>702</v>
      </c>
      <c r="B3690" s="2">
        <v>30</v>
      </c>
      <c r="C3690" s="3" t="s">
        <v>95</v>
      </c>
      <c r="D3690" s="3" t="s">
        <v>96</v>
      </c>
      <c r="E3690" s="2"/>
      <c r="F3690" s="2"/>
      <c r="G3690" s="2" t="s">
        <v>69</v>
      </c>
      <c r="H3690" s="2">
        <v>10</v>
      </c>
      <c r="I3690" s="20">
        <v>132.47999999999999</v>
      </c>
      <c r="J3690" s="20">
        <v>75131</v>
      </c>
      <c r="K3690" s="3">
        <v>0</v>
      </c>
      <c r="L3690" s="3" t="s">
        <v>98</v>
      </c>
      <c r="M3690" s="9" t="s">
        <v>0</v>
      </c>
      <c r="N3690" s="10">
        <v>19961020</v>
      </c>
      <c r="O3690" s="9" t="s">
        <v>703</v>
      </c>
      <c r="S3690" s="9" t="s">
        <v>158</v>
      </c>
      <c r="T3690" s="10" t="s">
        <v>69</v>
      </c>
      <c r="U3690" s="10">
        <v>10</v>
      </c>
      <c r="V3690" s="10">
        <v>132.47999999999999</v>
      </c>
      <c r="W3690" s="81" t="s">
        <v>710</v>
      </c>
      <c r="X3690" s="17">
        <v>45887</v>
      </c>
      <c r="Y3690" s="17">
        <v>45887</v>
      </c>
      <c r="Z3690" s="19" t="s">
        <v>772</v>
      </c>
      <c r="AA3690" s="207">
        <v>48500</v>
      </c>
      <c r="AB3690" s="9">
        <v>48</v>
      </c>
      <c r="AC3690" s="9">
        <v>40</v>
      </c>
      <c r="AD3690" s="17">
        <v>47154</v>
      </c>
      <c r="AE3690" s="54">
        <v>900</v>
      </c>
      <c r="AF3690" s="54"/>
      <c r="AL3690" s="22"/>
      <c r="AM3690" s="22"/>
      <c r="AN3690" s="22"/>
      <c r="AO3690" s="22"/>
      <c r="AP3690" s="22"/>
      <c r="AQ3690" s="22"/>
      <c r="AR3690" s="22"/>
      <c r="AS3690" s="22"/>
      <c r="AT3690" s="22"/>
      <c r="AU3690" s="22"/>
      <c r="AV3690" s="22"/>
      <c r="AW3690" s="9"/>
      <c r="BA3690" s="22"/>
      <c r="BB3690" s="22"/>
      <c r="BD3690" s="9"/>
      <c r="CS3690" s="11">
        <f t="shared" si="261"/>
        <v>0</v>
      </c>
      <c r="CT3690" s="22">
        <f t="shared" si="262"/>
        <v>0</v>
      </c>
      <c r="CU3690" s="22">
        <f t="shared" si="257"/>
        <v>0</v>
      </c>
      <c r="CV3690" s="26">
        <f t="shared" si="263"/>
        <v>900</v>
      </c>
    </row>
    <row r="3691" spans="1:100" x14ac:dyDescent="0.2">
      <c r="A3691" s="9" t="s">
        <v>702</v>
      </c>
      <c r="B3691" s="2">
        <v>30</v>
      </c>
      <c r="C3691" s="3" t="s">
        <v>95</v>
      </c>
      <c r="D3691" s="3" t="s">
        <v>96</v>
      </c>
      <c r="E3691" s="2"/>
      <c r="F3691" s="2"/>
      <c r="G3691" s="2" t="s">
        <v>69</v>
      </c>
      <c r="H3691" s="2">
        <v>10</v>
      </c>
      <c r="I3691" s="20">
        <v>132.47999999999999</v>
      </c>
      <c r="J3691" s="20">
        <v>75131</v>
      </c>
      <c r="K3691" s="3">
        <v>0</v>
      </c>
      <c r="L3691" s="3" t="s">
        <v>98</v>
      </c>
      <c r="M3691" s="9" t="s">
        <v>0</v>
      </c>
      <c r="N3691" s="10">
        <v>19961020</v>
      </c>
      <c r="O3691" s="9" t="s">
        <v>703</v>
      </c>
      <c r="S3691" s="9" t="s">
        <v>158</v>
      </c>
      <c r="T3691" s="10" t="s">
        <v>69</v>
      </c>
      <c r="U3691" s="10">
        <v>10</v>
      </c>
      <c r="V3691" s="10">
        <v>132.47999999999999</v>
      </c>
      <c r="W3691" s="81" t="s">
        <v>710</v>
      </c>
      <c r="X3691" s="17">
        <v>45887</v>
      </c>
      <c r="Y3691" s="17">
        <v>45887</v>
      </c>
      <c r="Z3691" s="19" t="s">
        <v>772</v>
      </c>
      <c r="AA3691" s="207">
        <v>48500</v>
      </c>
      <c r="AB3691" s="9">
        <v>48</v>
      </c>
      <c r="AC3691" s="9">
        <v>41</v>
      </c>
      <c r="AD3691" s="17">
        <v>47182</v>
      </c>
      <c r="AE3691" s="54">
        <v>900</v>
      </c>
      <c r="AF3691" s="54"/>
      <c r="AL3691" s="22"/>
      <c r="AM3691" s="22"/>
      <c r="AN3691" s="22"/>
      <c r="AO3691" s="22"/>
      <c r="AP3691" s="22"/>
      <c r="AQ3691" s="22"/>
      <c r="AR3691" s="22"/>
      <c r="AS3691" s="22"/>
      <c r="AT3691" s="22"/>
      <c r="AU3691" s="22"/>
      <c r="AV3691" s="22"/>
      <c r="AW3691" s="9"/>
      <c r="BA3691" s="22"/>
      <c r="BB3691" s="22"/>
      <c r="BD3691" s="9"/>
      <c r="CS3691" s="11">
        <f t="shared" si="261"/>
        <v>0</v>
      </c>
      <c r="CT3691" s="22">
        <f t="shared" si="262"/>
        <v>0</v>
      </c>
      <c r="CU3691" s="22">
        <f t="shared" si="257"/>
        <v>0</v>
      </c>
      <c r="CV3691" s="26">
        <f t="shared" si="263"/>
        <v>900</v>
      </c>
    </row>
    <row r="3692" spans="1:100" x14ac:dyDescent="0.2">
      <c r="A3692" s="9" t="s">
        <v>702</v>
      </c>
      <c r="B3692" s="2">
        <v>30</v>
      </c>
      <c r="C3692" s="3" t="s">
        <v>95</v>
      </c>
      <c r="D3692" s="3" t="s">
        <v>96</v>
      </c>
      <c r="E3692" s="2"/>
      <c r="F3692" s="2"/>
      <c r="G3692" s="2" t="s">
        <v>69</v>
      </c>
      <c r="H3692" s="2">
        <v>10</v>
      </c>
      <c r="I3692" s="20">
        <v>132.47999999999999</v>
      </c>
      <c r="J3692" s="20">
        <v>75131</v>
      </c>
      <c r="K3692" s="3">
        <v>0</v>
      </c>
      <c r="L3692" s="3" t="s">
        <v>98</v>
      </c>
      <c r="M3692" s="9" t="s">
        <v>0</v>
      </c>
      <c r="N3692" s="10">
        <v>19961020</v>
      </c>
      <c r="O3692" s="9" t="s">
        <v>703</v>
      </c>
      <c r="S3692" s="9" t="s">
        <v>158</v>
      </c>
      <c r="T3692" s="10" t="s">
        <v>69</v>
      </c>
      <c r="U3692" s="10">
        <v>10</v>
      </c>
      <c r="V3692" s="10">
        <v>132.47999999999999</v>
      </c>
      <c r="W3692" s="81" t="s">
        <v>710</v>
      </c>
      <c r="X3692" s="17">
        <v>45887</v>
      </c>
      <c r="Y3692" s="17">
        <v>45887</v>
      </c>
      <c r="Z3692" s="19" t="s">
        <v>772</v>
      </c>
      <c r="AA3692" s="207">
        <v>48500</v>
      </c>
      <c r="AB3692" s="9">
        <v>48</v>
      </c>
      <c r="AC3692" s="9">
        <v>42</v>
      </c>
      <c r="AD3692" s="17">
        <v>47213</v>
      </c>
      <c r="AE3692" s="54">
        <v>900</v>
      </c>
      <c r="AF3692" s="54"/>
      <c r="AL3692" s="22"/>
      <c r="AM3692" s="22"/>
      <c r="AN3692" s="22"/>
      <c r="AO3692" s="22"/>
      <c r="AP3692" s="22"/>
      <c r="AQ3692" s="22"/>
      <c r="AR3692" s="22"/>
      <c r="AS3692" s="22"/>
      <c r="AT3692" s="22"/>
      <c r="AU3692" s="22"/>
      <c r="AV3692" s="22"/>
      <c r="AW3692" s="9"/>
      <c r="BA3692" s="22"/>
      <c r="BB3692" s="22"/>
      <c r="BD3692" s="9"/>
      <c r="CS3692" s="11">
        <f t="shared" si="261"/>
        <v>0</v>
      </c>
      <c r="CT3692" s="22">
        <f t="shared" si="262"/>
        <v>0</v>
      </c>
      <c r="CU3692" s="22">
        <f t="shared" si="257"/>
        <v>0</v>
      </c>
      <c r="CV3692" s="26">
        <f t="shared" si="263"/>
        <v>900</v>
      </c>
    </row>
    <row r="3693" spans="1:100" x14ac:dyDescent="0.2">
      <c r="A3693" s="9" t="s">
        <v>702</v>
      </c>
      <c r="B3693" s="2">
        <v>30</v>
      </c>
      <c r="C3693" s="3" t="s">
        <v>95</v>
      </c>
      <c r="D3693" s="3" t="s">
        <v>96</v>
      </c>
      <c r="E3693" s="2"/>
      <c r="F3693" s="2"/>
      <c r="G3693" s="2" t="s">
        <v>69</v>
      </c>
      <c r="H3693" s="2">
        <v>10</v>
      </c>
      <c r="I3693" s="20">
        <v>132.47999999999999</v>
      </c>
      <c r="J3693" s="20">
        <v>75131</v>
      </c>
      <c r="K3693" s="3">
        <v>0</v>
      </c>
      <c r="L3693" s="3" t="s">
        <v>98</v>
      </c>
      <c r="M3693" s="9" t="s">
        <v>0</v>
      </c>
      <c r="N3693" s="10">
        <v>19961020</v>
      </c>
      <c r="O3693" s="9" t="s">
        <v>703</v>
      </c>
      <c r="S3693" s="9" t="s">
        <v>158</v>
      </c>
      <c r="T3693" s="10" t="s">
        <v>69</v>
      </c>
      <c r="U3693" s="10">
        <v>10</v>
      </c>
      <c r="V3693" s="10">
        <v>132.47999999999999</v>
      </c>
      <c r="W3693" s="81" t="s">
        <v>710</v>
      </c>
      <c r="X3693" s="17">
        <v>45887</v>
      </c>
      <c r="Y3693" s="17">
        <v>45887</v>
      </c>
      <c r="Z3693" s="19" t="s">
        <v>772</v>
      </c>
      <c r="AA3693" s="207">
        <v>48500</v>
      </c>
      <c r="AB3693" s="9">
        <v>48</v>
      </c>
      <c r="AC3693" s="9">
        <v>43</v>
      </c>
      <c r="AD3693" s="17">
        <v>47243</v>
      </c>
      <c r="AE3693" s="54">
        <v>900</v>
      </c>
      <c r="AF3693" s="54"/>
      <c r="AL3693" s="22"/>
      <c r="AM3693" s="22"/>
      <c r="AN3693" s="22"/>
      <c r="AO3693" s="22"/>
      <c r="AP3693" s="22"/>
      <c r="AQ3693" s="22"/>
      <c r="AR3693" s="22"/>
      <c r="AS3693" s="22"/>
      <c r="AT3693" s="22"/>
      <c r="AU3693" s="22"/>
      <c r="AV3693" s="22"/>
      <c r="AW3693" s="9"/>
      <c r="BA3693" s="22"/>
      <c r="BB3693" s="22"/>
      <c r="BD3693" s="9"/>
      <c r="CS3693" s="11">
        <f t="shared" si="261"/>
        <v>0</v>
      </c>
      <c r="CT3693" s="22">
        <f t="shared" si="262"/>
        <v>0</v>
      </c>
      <c r="CU3693" s="22">
        <f t="shared" si="257"/>
        <v>0</v>
      </c>
      <c r="CV3693" s="26">
        <f t="shared" si="263"/>
        <v>900</v>
      </c>
    </row>
    <row r="3694" spans="1:100" x14ac:dyDescent="0.2">
      <c r="A3694" s="9" t="s">
        <v>702</v>
      </c>
      <c r="B3694" s="2">
        <v>30</v>
      </c>
      <c r="C3694" s="3" t="s">
        <v>95</v>
      </c>
      <c r="D3694" s="3" t="s">
        <v>96</v>
      </c>
      <c r="E3694" s="2"/>
      <c r="F3694" s="2"/>
      <c r="G3694" s="2" t="s">
        <v>69</v>
      </c>
      <c r="H3694" s="2">
        <v>10</v>
      </c>
      <c r="I3694" s="20">
        <v>132.47999999999999</v>
      </c>
      <c r="J3694" s="20">
        <v>75131</v>
      </c>
      <c r="K3694" s="3">
        <v>0</v>
      </c>
      <c r="L3694" s="3" t="s">
        <v>98</v>
      </c>
      <c r="M3694" s="9" t="s">
        <v>0</v>
      </c>
      <c r="N3694" s="10">
        <v>19961020</v>
      </c>
      <c r="O3694" s="9" t="s">
        <v>703</v>
      </c>
      <c r="S3694" s="9" t="s">
        <v>158</v>
      </c>
      <c r="T3694" s="10" t="s">
        <v>69</v>
      </c>
      <c r="U3694" s="10">
        <v>10</v>
      </c>
      <c r="V3694" s="10">
        <v>132.47999999999999</v>
      </c>
      <c r="W3694" s="81" t="s">
        <v>710</v>
      </c>
      <c r="X3694" s="17">
        <v>45887</v>
      </c>
      <c r="Y3694" s="17">
        <v>45887</v>
      </c>
      <c r="Z3694" s="19" t="s">
        <v>772</v>
      </c>
      <c r="AA3694" s="207">
        <v>48500</v>
      </c>
      <c r="AB3694" s="9">
        <v>48</v>
      </c>
      <c r="AC3694" s="9">
        <v>44</v>
      </c>
      <c r="AD3694" s="17">
        <v>47274</v>
      </c>
      <c r="AE3694" s="54">
        <v>900</v>
      </c>
      <c r="AF3694" s="54"/>
      <c r="AL3694" s="22"/>
      <c r="AM3694" s="22"/>
      <c r="AN3694" s="22"/>
      <c r="AO3694" s="22"/>
      <c r="AP3694" s="22"/>
      <c r="AQ3694" s="22"/>
      <c r="AR3694" s="22"/>
      <c r="AS3694" s="22"/>
      <c r="AT3694" s="22"/>
      <c r="AU3694" s="22"/>
      <c r="AV3694" s="22"/>
      <c r="AW3694" s="9"/>
      <c r="BA3694" s="22"/>
      <c r="BB3694" s="22"/>
      <c r="BD3694" s="9"/>
      <c r="CS3694" s="11">
        <f t="shared" si="261"/>
        <v>0</v>
      </c>
      <c r="CT3694" s="22">
        <f t="shared" si="262"/>
        <v>0</v>
      </c>
      <c r="CU3694" s="22">
        <f t="shared" si="257"/>
        <v>0</v>
      </c>
      <c r="CV3694" s="26">
        <f t="shared" si="263"/>
        <v>900</v>
      </c>
    </row>
    <row r="3695" spans="1:100" x14ac:dyDescent="0.2">
      <c r="A3695" s="9" t="s">
        <v>702</v>
      </c>
      <c r="B3695" s="2">
        <v>30</v>
      </c>
      <c r="C3695" s="3" t="s">
        <v>95</v>
      </c>
      <c r="D3695" s="3" t="s">
        <v>96</v>
      </c>
      <c r="E3695" s="2"/>
      <c r="F3695" s="2"/>
      <c r="G3695" s="2" t="s">
        <v>69</v>
      </c>
      <c r="H3695" s="2">
        <v>10</v>
      </c>
      <c r="I3695" s="20">
        <v>132.47999999999999</v>
      </c>
      <c r="J3695" s="20">
        <v>75131</v>
      </c>
      <c r="K3695" s="3">
        <v>0</v>
      </c>
      <c r="L3695" s="3" t="s">
        <v>98</v>
      </c>
      <c r="M3695" s="9" t="s">
        <v>0</v>
      </c>
      <c r="N3695" s="10">
        <v>19961020</v>
      </c>
      <c r="O3695" s="9" t="s">
        <v>703</v>
      </c>
      <c r="S3695" s="9" t="s">
        <v>158</v>
      </c>
      <c r="T3695" s="10" t="s">
        <v>69</v>
      </c>
      <c r="U3695" s="10">
        <v>10</v>
      </c>
      <c r="V3695" s="10">
        <v>132.47999999999999</v>
      </c>
      <c r="W3695" s="81" t="s">
        <v>710</v>
      </c>
      <c r="X3695" s="17">
        <v>45887</v>
      </c>
      <c r="Y3695" s="17">
        <v>45887</v>
      </c>
      <c r="Z3695" s="19" t="s">
        <v>772</v>
      </c>
      <c r="AA3695" s="207">
        <v>48500</v>
      </c>
      <c r="AB3695" s="9">
        <v>48</v>
      </c>
      <c r="AC3695" s="9">
        <v>45</v>
      </c>
      <c r="AD3695" s="17">
        <v>47304</v>
      </c>
      <c r="AE3695" s="54">
        <v>900</v>
      </c>
      <c r="AF3695" s="54"/>
      <c r="AL3695" s="22"/>
      <c r="AM3695" s="22"/>
      <c r="AN3695" s="22"/>
      <c r="AO3695" s="22"/>
      <c r="AP3695" s="22"/>
      <c r="AQ3695" s="22"/>
      <c r="AR3695" s="22"/>
      <c r="AS3695" s="22"/>
      <c r="AT3695" s="22"/>
      <c r="AU3695" s="22"/>
      <c r="AV3695" s="22"/>
      <c r="AW3695" s="9"/>
      <c r="BA3695" s="22"/>
      <c r="BB3695" s="22"/>
      <c r="BD3695" s="9"/>
      <c r="CS3695" s="11">
        <f t="shared" si="261"/>
        <v>0</v>
      </c>
      <c r="CT3695" s="22">
        <f t="shared" si="262"/>
        <v>0</v>
      </c>
      <c r="CU3695" s="22">
        <f t="shared" si="257"/>
        <v>0</v>
      </c>
      <c r="CV3695" s="26">
        <f t="shared" si="263"/>
        <v>900</v>
      </c>
    </row>
    <row r="3696" spans="1:100" x14ac:dyDescent="0.2">
      <c r="A3696" s="9" t="s">
        <v>702</v>
      </c>
      <c r="B3696" s="2">
        <v>30</v>
      </c>
      <c r="C3696" s="3" t="s">
        <v>95</v>
      </c>
      <c r="D3696" s="3" t="s">
        <v>96</v>
      </c>
      <c r="E3696" s="2"/>
      <c r="F3696" s="2"/>
      <c r="G3696" s="2" t="s">
        <v>69</v>
      </c>
      <c r="H3696" s="2">
        <v>10</v>
      </c>
      <c r="I3696" s="20">
        <v>132.47999999999999</v>
      </c>
      <c r="J3696" s="20">
        <v>75131</v>
      </c>
      <c r="K3696" s="3">
        <v>0</v>
      </c>
      <c r="L3696" s="3" t="s">
        <v>98</v>
      </c>
      <c r="M3696" s="9" t="s">
        <v>0</v>
      </c>
      <c r="N3696" s="10">
        <v>19961020</v>
      </c>
      <c r="O3696" s="9" t="s">
        <v>703</v>
      </c>
      <c r="S3696" s="9" t="s">
        <v>158</v>
      </c>
      <c r="T3696" s="10" t="s">
        <v>69</v>
      </c>
      <c r="U3696" s="10">
        <v>10</v>
      </c>
      <c r="V3696" s="10">
        <v>132.47999999999999</v>
      </c>
      <c r="W3696" s="81" t="s">
        <v>710</v>
      </c>
      <c r="X3696" s="17">
        <v>45887</v>
      </c>
      <c r="Y3696" s="17">
        <v>45887</v>
      </c>
      <c r="Z3696" s="19" t="s">
        <v>772</v>
      </c>
      <c r="AA3696" s="207">
        <v>48500</v>
      </c>
      <c r="AB3696" s="9">
        <v>48</v>
      </c>
      <c r="AC3696" s="9">
        <v>46</v>
      </c>
      <c r="AD3696" s="17">
        <v>47335</v>
      </c>
      <c r="AE3696" s="54">
        <v>900</v>
      </c>
      <c r="AF3696" s="54"/>
      <c r="AL3696" s="22"/>
      <c r="AM3696" s="22"/>
      <c r="AN3696" s="22"/>
      <c r="AO3696" s="22"/>
      <c r="AP3696" s="22"/>
      <c r="AQ3696" s="22"/>
      <c r="AR3696" s="22"/>
      <c r="AS3696" s="22"/>
      <c r="AT3696" s="22"/>
      <c r="AU3696" s="22"/>
      <c r="AV3696" s="22"/>
      <c r="AW3696" s="9"/>
      <c r="BA3696" s="22"/>
      <c r="BB3696" s="22"/>
      <c r="BD3696" s="9"/>
      <c r="CS3696" s="11">
        <f t="shared" si="261"/>
        <v>0</v>
      </c>
      <c r="CT3696" s="22">
        <f t="shared" si="262"/>
        <v>0</v>
      </c>
      <c r="CU3696" s="22">
        <f t="shared" si="257"/>
        <v>0</v>
      </c>
      <c r="CV3696" s="26">
        <f t="shared" si="263"/>
        <v>900</v>
      </c>
    </row>
    <row r="3697" spans="1:100" x14ac:dyDescent="0.2">
      <c r="A3697" s="9" t="s">
        <v>702</v>
      </c>
      <c r="B3697" s="2">
        <v>30</v>
      </c>
      <c r="C3697" s="3" t="s">
        <v>95</v>
      </c>
      <c r="D3697" s="3" t="s">
        <v>96</v>
      </c>
      <c r="E3697" s="2"/>
      <c r="F3697" s="2"/>
      <c r="G3697" s="2" t="s">
        <v>69</v>
      </c>
      <c r="H3697" s="2">
        <v>10</v>
      </c>
      <c r="I3697" s="20">
        <v>132.47999999999999</v>
      </c>
      <c r="J3697" s="20">
        <v>75131</v>
      </c>
      <c r="K3697" s="3">
        <v>0</v>
      </c>
      <c r="L3697" s="3" t="s">
        <v>98</v>
      </c>
      <c r="M3697" s="9" t="s">
        <v>0</v>
      </c>
      <c r="N3697" s="10">
        <v>19961020</v>
      </c>
      <c r="O3697" s="9" t="s">
        <v>703</v>
      </c>
      <c r="S3697" s="9" t="s">
        <v>158</v>
      </c>
      <c r="T3697" s="10" t="s">
        <v>69</v>
      </c>
      <c r="U3697" s="10">
        <v>10</v>
      </c>
      <c r="V3697" s="10">
        <v>132.47999999999999</v>
      </c>
      <c r="W3697" s="81" t="s">
        <v>710</v>
      </c>
      <c r="X3697" s="17">
        <v>45887</v>
      </c>
      <c r="Y3697" s="17">
        <v>45887</v>
      </c>
      <c r="Z3697" s="19" t="s">
        <v>772</v>
      </c>
      <c r="AA3697" s="207">
        <v>48500</v>
      </c>
      <c r="AB3697" s="9">
        <v>48</v>
      </c>
      <c r="AC3697" s="9">
        <v>47</v>
      </c>
      <c r="AD3697" s="17">
        <v>47366</v>
      </c>
      <c r="AE3697" s="54">
        <v>900</v>
      </c>
      <c r="AF3697" s="54"/>
      <c r="AL3697" s="22"/>
      <c r="AM3697" s="22"/>
      <c r="AN3697" s="22"/>
      <c r="AO3697" s="22"/>
      <c r="AP3697" s="22"/>
      <c r="AQ3697" s="22"/>
      <c r="AR3697" s="22"/>
      <c r="AS3697" s="22"/>
      <c r="AT3697" s="22"/>
      <c r="AU3697" s="22"/>
      <c r="AV3697" s="22"/>
      <c r="AW3697" s="9"/>
      <c r="BA3697" s="22"/>
      <c r="BB3697" s="22"/>
      <c r="BD3697" s="9"/>
      <c r="CS3697" s="11">
        <f t="shared" si="261"/>
        <v>0</v>
      </c>
      <c r="CT3697" s="22">
        <f t="shared" si="262"/>
        <v>0</v>
      </c>
      <c r="CU3697" s="22">
        <f t="shared" si="257"/>
        <v>0</v>
      </c>
      <c r="CV3697" s="26">
        <f t="shared" si="263"/>
        <v>900</v>
      </c>
    </row>
    <row r="3698" spans="1:100" x14ac:dyDescent="0.2">
      <c r="A3698" s="9" t="s">
        <v>702</v>
      </c>
      <c r="B3698" s="2">
        <v>30</v>
      </c>
      <c r="C3698" s="3" t="s">
        <v>95</v>
      </c>
      <c r="D3698" s="3" t="s">
        <v>96</v>
      </c>
      <c r="E3698" s="2"/>
      <c r="F3698" s="2"/>
      <c r="G3698" s="2" t="s">
        <v>69</v>
      </c>
      <c r="H3698" s="2">
        <v>10</v>
      </c>
      <c r="I3698" s="20">
        <v>132.47999999999999</v>
      </c>
      <c r="J3698" s="20">
        <v>75131</v>
      </c>
      <c r="K3698" s="3">
        <v>0</v>
      </c>
      <c r="L3698" s="3" t="s">
        <v>98</v>
      </c>
      <c r="M3698" s="9" t="s">
        <v>0</v>
      </c>
      <c r="N3698" s="10">
        <v>19961020</v>
      </c>
      <c r="O3698" s="9" t="s">
        <v>703</v>
      </c>
      <c r="S3698" s="9" t="s">
        <v>158</v>
      </c>
      <c r="T3698" s="10" t="s">
        <v>69</v>
      </c>
      <c r="U3698" s="10">
        <v>10</v>
      </c>
      <c r="V3698" s="10">
        <v>132.47999999999999</v>
      </c>
      <c r="W3698" s="81" t="s">
        <v>710</v>
      </c>
      <c r="X3698" s="17">
        <v>45887</v>
      </c>
      <c r="Y3698" s="17">
        <v>45887</v>
      </c>
      <c r="Z3698" s="19" t="s">
        <v>772</v>
      </c>
      <c r="AA3698" s="207">
        <v>48500</v>
      </c>
      <c r="AB3698" s="9">
        <v>48</v>
      </c>
      <c r="AC3698" s="9">
        <v>48</v>
      </c>
      <c r="AD3698" s="17">
        <v>47396</v>
      </c>
      <c r="AE3698" s="54">
        <v>1200</v>
      </c>
      <c r="AF3698" s="54"/>
      <c r="AL3698" s="22"/>
      <c r="AM3698" s="22"/>
      <c r="AN3698" s="22"/>
      <c r="AO3698" s="22"/>
      <c r="AP3698" s="22"/>
      <c r="AQ3698" s="22"/>
      <c r="AR3698" s="22"/>
      <c r="AS3698" s="22"/>
      <c r="AT3698" s="22"/>
      <c r="AU3698" s="22"/>
      <c r="AV3698" s="22"/>
      <c r="AW3698" s="9"/>
      <c r="BA3698" s="22"/>
      <c r="BB3698" s="22"/>
      <c r="BD3698" s="9"/>
      <c r="CS3698" s="11">
        <f t="shared" si="261"/>
        <v>0</v>
      </c>
      <c r="CT3698" s="22">
        <f t="shared" si="262"/>
        <v>0</v>
      </c>
      <c r="CU3698" s="22">
        <f t="shared" si="257"/>
        <v>0</v>
      </c>
      <c r="CV3698" s="26">
        <f t="shared" si="263"/>
        <v>1200</v>
      </c>
    </row>
    <row r="3699" spans="1:100" x14ac:dyDescent="0.2">
      <c r="B3699" s="2">
        <v>81</v>
      </c>
      <c r="C3699" s="3" t="s">
        <v>95</v>
      </c>
      <c r="D3699" s="3" t="s">
        <v>96</v>
      </c>
      <c r="E3699" s="2"/>
      <c r="F3699" s="2"/>
      <c r="G3699" s="2" t="s">
        <v>74</v>
      </c>
      <c r="H3699" s="2">
        <v>6</v>
      </c>
      <c r="I3699" s="20">
        <v>90</v>
      </c>
      <c r="J3699" s="20">
        <v>40300</v>
      </c>
      <c r="K3699" s="3">
        <v>0</v>
      </c>
      <c r="L3699" s="3" t="s">
        <v>3</v>
      </c>
      <c r="N3699" s="9"/>
      <c r="W3699" s="10"/>
      <c r="Z3699" s="9"/>
      <c r="AA3699" s="207"/>
      <c r="AB3699" s="9"/>
      <c r="AC3699" s="9"/>
      <c r="AE3699" s="54"/>
      <c r="AF3699" s="54"/>
      <c r="AL3699" s="9"/>
      <c r="AM3699" s="9"/>
      <c r="AN3699" s="9"/>
      <c r="AO3699" s="22"/>
      <c r="AP3699" s="22"/>
      <c r="AQ3699" s="22"/>
      <c r="AR3699" s="22"/>
      <c r="AS3699" s="22"/>
      <c r="AT3699" s="22"/>
      <c r="AU3699" s="22"/>
      <c r="AV3699" s="22"/>
      <c r="AW3699" s="9"/>
      <c r="BA3699" s="22"/>
      <c r="BB3699" s="22"/>
      <c r="BD3699" s="9"/>
      <c r="CT3699" s="22">
        <f t="shared" ref="CT3699:CT3730" si="264">+BA3699+BG3699+BM3699+BS3699+BY3699+CE3699+CK3699</f>
        <v>0</v>
      </c>
      <c r="CU3699" s="22">
        <f t="shared" ref="CU3699:CU3730" si="265">+AL3699+AT3699-CT3699</f>
        <v>0</v>
      </c>
      <c r="CV3699" s="26">
        <f t="shared" si="263"/>
        <v>0</v>
      </c>
    </row>
    <row r="3700" spans="1:100" x14ac:dyDescent="0.2">
      <c r="B3700" s="2">
        <v>1</v>
      </c>
      <c r="C3700" s="3" t="s">
        <v>95</v>
      </c>
      <c r="D3700" s="3" t="s">
        <v>96</v>
      </c>
      <c r="E3700" s="2"/>
      <c r="F3700" s="2"/>
      <c r="G3700" s="2" t="s">
        <v>65</v>
      </c>
      <c r="H3700" s="2">
        <v>1</v>
      </c>
      <c r="I3700" s="20">
        <v>124.98</v>
      </c>
      <c r="J3700" s="20">
        <v>69433</v>
      </c>
      <c r="K3700" s="3">
        <v>0</v>
      </c>
      <c r="L3700" s="3" t="s">
        <v>97</v>
      </c>
      <c r="N3700" s="9"/>
      <c r="W3700" s="10"/>
      <c r="Z3700" s="9"/>
      <c r="AA3700" s="207"/>
      <c r="AB3700" s="9"/>
      <c r="AC3700" s="9"/>
      <c r="AE3700" s="9"/>
      <c r="AF3700" s="9"/>
      <c r="AL3700" s="9"/>
      <c r="AM3700" s="9"/>
      <c r="AN3700" s="9"/>
      <c r="AO3700" s="22"/>
      <c r="AP3700" s="22"/>
      <c r="AQ3700" s="22"/>
      <c r="AR3700" s="22"/>
      <c r="AS3700" s="22"/>
      <c r="AT3700" s="22"/>
      <c r="AU3700" s="22"/>
      <c r="AV3700" s="22"/>
      <c r="AW3700" s="9"/>
      <c r="BA3700" s="22"/>
      <c r="BB3700" s="22"/>
      <c r="BD3700" s="9"/>
      <c r="CT3700" s="22">
        <f t="shared" si="264"/>
        <v>0</v>
      </c>
      <c r="CU3700" s="22">
        <f t="shared" si="265"/>
        <v>0</v>
      </c>
      <c r="CV3700" s="26">
        <f t="shared" si="263"/>
        <v>0</v>
      </c>
    </row>
    <row r="3701" spans="1:100" x14ac:dyDescent="0.2">
      <c r="B3701" s="2">
        <v>5</v>
      </c>
      <c r="C3701" s="3" t="s">
        <v>95</v>
      </c>
      <c r="D3701" s="3" t="s">
        <v>96</v>
      </c>
      <c r="E3701" s="2"/>
      <c r="F3701" s="2"/>
      <c r="G3701" s="2" t="s">
        <v>65</v>
      </c>
      <c r="H3701" s="2">
        <v>5</v>
      </c>
      <c r="I3701" s="20">
        <v>127.6</v>
      </c>
      <c r="J3701" s="20">
        <v>70889</v>
      </c>
      <c r="K3701" s="3">
        <v>0</v>
      </c>
      <c r="L3701" s="3" t="s">
        <v>97</v>
      </c>
      <c r="N3701" s="9"/>
      <c r="W3701" s="10"/>
      <c r="Z3701" s="9"/>
      <c r="AA3701" s="207"/>
      <c r="AB3701" s="9"/>
      <c r="AC3701" s="9"/>
      <c r="AE3701" s="9"/>
      <c r="AF3701" s="9"/>
      <c r="AL3701" s="22"/>
      <c r="AM3701" s="22"/>
      <c r="AN3701" s="22"/>
      <c r="AO3701" s="22"/>
      <c r="AP3701" s="22"/>
      <c r="AQ3701" s="22"/>
      <c r="AR3701" s="22"/>
      <c r="AS3701" s="22"/>
      <c r="AT3701" s="22"/>
      <c r="AU3701" s="22"/>
      <c r="AV3701" s="22"/>
      <c r="AW3701" s="9"/>
      <c r="BA3701" s="22"/>
      <c r="BB3701" s="22"/>
      <c r="BD3701" s="9"/>
      <c r="CT3701" s="22">
        <f t="shared" si="264"/>
        <v>0</v>
      </c>
      <c r="CU3701" s="22">
        <f t="shared" si="265"/>
        <v>0</v>
      </c>
      <c r="CV3701" s="26">
        <f t="shared" si="263"/>
        <v>0</v>
      </c>
    </row>
    <row r="3702" spans="1:100" x14ac:dyDescent="0.2">
      <c r="B3702" s="2">
        <v>8</v>
      </c>
      <c r="C3702" s="3" t="s">
        <v>95</v>
      </c>
      <c r="D3702" s="3" t="s">
        <v>96</v>
      </c>
      <c r="E3702" s="2"/>
      <c r="F3702" s="2"/>
      <c r="G3702" s="2" t="s">
        <v>66</v>
      </c>
      <c r="H3702" s="2">
        <v>2</v>
      </c>
      <c r="I3702" s="20">
        <v>132.05000000000001</v>
      </c>
      <c r="J3702" s="20">
        <v>58989</v>
      </c>
      <c r="K3702" s="3">
        <v>0</v>
      </c>
      <c r="L3702" s="3" t="s">
        <v>98</v>
      </c>
      <c r="N3702" s="9"/>
      <c r="W3702" s="10"/>
      <c r="Z3702" s="9"/>
      <c r="AA3702" s="207"/>
      <c r="AB3702" s="9"/>
      <c r="AC3702" s="9"/>
      <c r="AE3702" s="9"/>
      <c r="AF3702" s="9"/>
      <c r="AL3702" s="22"/>
      <c r="AM3702" s="22"/>
      <c r="AN3702" s="22"/>
      <c r="AO3702" s="22"/>
      <c r="AP3702" s="22"/>
      <c r="AQ3702" s="22"/>
      <c r="AR3702" s="22"/>
      <c r="AS3702" s="22"/>
      <c r="AT3702" s="22"/>
      <c r="AU3702" s="22"/>
      <c r="AV3702" s="22"/>
      <c r="AW3702" s="9"/>
      <c r="BA3702" s="22"/>
      <c r="BB3702" s="22"/>
      <c r="BD3702" s="9"/>
      <c r="CT3702" s="22">
        <f t="shared" si="264"/>
        <v>0</v>
      </c>
      <c r="CU3702" s="22">
        <f t="shared" si="265"/>
        <v>0</v>
      </c>
      <c r="CV3702" s="26">
        <f t="shared" si="263"/>
        <v>0</v>
      </c>
    </row>
    <row r="3703" spans="1:100" x14ac:dyDescent="0.2">
      <c r="B3703" s="2">
        <v>9</v>
      </c>
      <c r="C3703" s="3" t="s">
        <v>95</v>
      </c>
      <c r="D3703" s="3" t="s">
        <v>96</v>
      </c>
      <c r="E3703" s="2"/>
      <c r="F3703" s="2"/>
      <c r="G3703" s="2" t="s">
        <v>66</v>
      </c>
      <c r="H3703" s="2">
        <v>3</v>
      </c>
      <c r="I3703" s="20">
        <v>135.99</v>
      </c>
      <c r="J3703" s="20">
        <v>75550</v>
      </c>
      <c r="K3703" s="3">
        <v>0</v>
      </c>
      <c r="L3703" s="3" t="s">
        <v>97</v>
      </c>
      <c r="N3703" s="9"/>
      <c r="W3703" s="10"/>
      <c r="Z3703" s="9"/>
      <c r="AA3703" s="207"/>
      <c r="AB3703" s="9"/>
      <c r="AC3703" s="9"/>
      <c r="AE3703" s="9"/>
      <c r="AF3703" s="9"/>
      <c r="AL3703" s="22"/>
      <c r="AM3703" s="22"/>
      <c r="AN3703" s="22"/>
      <c r="AO3703" s="22"/>
      <c r="AP3703" s="22"/>
      <c r="AQ3703" s="22"/>
      <c r="AR3703" s="22"/>
      <c r="AS3703" s="22"/>
      <c r="AT3703" s="22"/>
      <c r="AU3703" s="22"/>
      <c r="AV3703" s="22"/>
      <c r="AW3703" s="9"/>
      <c r="BA3703" s="22"/>
      <c r="BB3703" s="22"/>
      <c r="BD3703" s="9"/>
      <c r="CT3703" s="22">
        <f t="shared" si="264"/>
        <v>0</v>
      </c>
      <c r="CU3703" s="22">
        <f t="shared" si="265"/>
        <v>0</v>
      </c>
      <c r="CV3703" s="26">
        <f t="shared" si="263"/>
        <v>0</v>
      </c>
    </row>
    <row r="3704" spans="1:100" x14ac:dyDescent="0.2">
      <c r="B3704" s="2">
        <v>10</v>
      </c>
      <c r="C3704" s="3" t="s">
        <v>95</v>
      </c>
      <c r="D3704" s="3" t="s">
        <v>96</v>
      </c>
      <c r="E3704" s="2"/>
      <c r="F3704" s="2"/>
      <c r="G3704" s="2" t="s">
        <v>66</v>
      </c>
      <c r="H3704" s="2">
        <v>4</v>
      </c>
      <c r="I3704" s="20">
        <v>135.99</v>
      </c>
      <c r="J3704" s="20">
        <v>75550</v>
      </c>
      <c r="K3704" s="3">
        <v>0</v>
      </c>
      <c r="L3704" s="3" t="s">
        <v>97</v>
      </c>
      <c r="N3704" s="9"/>
      <c r="W3704" s="10"/>
      <c r="Z3704" s="9"/>
      <c r="AA3704" s="207"/>
      <c r="AB3704" s="9"/>
      <c r="AC3704" s="9"/>
      <c r="AE3704" s="9"/>
      <c r="AF3704" s="9"/>
      <c r="AL3704" s="22"/>
      <c r="AM3704" s="22"/>
      <c r="AN3704" s="22"/>
      <c r="AO3704" s="22"/>
      <c r="AP3704" s="22"/>
      <c r="AQ3704" s="22"/>
      <c r="AR3704" s="22"/>
      <c r="AS3704" s="22"/>
      <c r="AT3704" s="22"/>
      <c r="AU3704" s="22"/>
      <c r="AV3704" s="22"/>
      <c r="AW3704" s="9"/>
      <c r="BA3704" s="22"/>
      <c r="BB3704" s="22"/>
      <c r="BD3704" s="9"/>
      <c r="CT3704" s="22">
        <f t="shared" si="264"/>
        <v>0</v>
      </c>
      <c r="CU3704" s="22">
        <f t="shared" si="265"/>
        <v>0</v>
      </c>
      <c r="CV3704" s="26">
        <f t="shared" si="263"/>
        <v>0</v>
      </c>
    </row>
    <row r="3705" spans="1:100" x14ac:dyDescent="0.2">
      <c r="B3705" s="2">
        <v>16</v>
      </c>
      <c r="C3705" s="3" t="s">
        <v>95</v>
      </c>
      <c r="D3705" s="3" t="s">
        <v>96</v>
      </c>
      <c r="E3705" s="2"/>
      <c r="F3705" s="2"/>
      <c r="G3705" s="2" t="s">
        <v>67</v>
      </c>
      <c r="H3705" s="2">
        <v>4</v>
      </c>
      <c r="I3705" s="20">
        <v>123.54</v>
      </c>
      <c r="J3705" s="20">
        <v>68633</v>
      </c>
      <c r="K3705" s="3">
        <v>0</v>
      </c>
      <c r="L3705" s="3" t="s">
        <v>97</v>
      </c>
      <c r="N3705" s="9"/>
      <c r="W3705" s="10"/>
      <c r="Z3705" s="9"/>
      <c r="AA3705" s="207"/>
      <c r="AB3705" s="9"/>
      <c r="AC3705" s="9"/>
      <c r="AE3705" s="54"/>
      <c r="AF3705" s="54"/>
      <c r="AL3705" s="22"/>
      <c r="AM3705" s="22"/>
      <c r="AN3705" s="22"/>
      <c r="AO3705" s="22"/>
      <c r="AP3705" s="22"/>
      <c r="AQ3705" s="22"/>
      <c r="AR3705" s="22"/>
      <c r="AS3705" s="22"/>
      <c r="AT3705" s="22"/>
      <c r="AU3705" s="22"/>
      <c r="AV3705" s="22"/>
      <c r="AW3705" s="9"/>
      <c r="BA3705" s="22"/>
      <c r="BB3705" s="22"/>
      <c r="BD3705" s="9"/>
      <c r="CT3705" s="22">
        <f t="shared" si="264"/>
        <v>0</v>
      </c>
      <c r="CU3705" s="22">
        <f t="shared" si="265"/>
        <v>0</v>
      </c>
      <c r="CV3705" s="26">
        <f t="shared" si="263"/>
        <v>0</v>
      </c>
    </row>
    <row r="3706" spans="1:100" x14ac:dyDescent="0.2">
      <c r="B3706" s="2">
        <v>17</v>
      </c>
      <c r="C3706" s="3" t="s">
        <v>95</v>
      </c>
      <c r="D3706" s="3" t="s">
        <v>96</v>
      </c>
      <c r="E3706" s="2"/>
      <c r="F3706" s="2"/>
      <c r="G3706" s="2" t="s">
        <v>67</v>
      </c>
      <c r="H3706" s="2">
        <v>5</v>
      </c>
      <c r="I3706" s="20">
        <v>123.54</v>
      </c>
      <c r="J3706" s="20">
        <v>55206</v>
      </c>
      <c r="K3706" s="3">
        <v>0</v>
      </c>
      <c r="L3706" s="3" t="s">
        <v>3</v>
      </c>
      <c r="N3706" s="9"/>
      <c r="W3706" s="10"/>
      <c r="Z3706" s="9"/>
      <c r="AA3706" s="207"/>
      <c r="AB3706" s="9"/>
      <c r="AC3706" s="9"/>
      <c r="AE3706" s="54"/>
      <c r="AF3706" s="54"/>
      <c r="AL3706" s="22"/>
      <c r="AM3706" s="22"/>
      <c r="AN3706" s="22"/>
      <c r="AO3706" s="22"/>
      <c r="AP3706" s="22"/>
      <c r="AQ3706" s="22"/>
      <c r="AR3706" s="22"/>
      <c r="AS3706" s="22"/>
      <c r="AT3706" s="22"/>
      <c r="AU3706" s="22"/>
      <c r="AV3706" s="22"/>
      <c r="AW3706" s="9"/>
      <c r="BA3706" s="22"/>
      <c r="BB3706" s="22"/>
      <c r="BD3706" s="9"/>
      <c r="CT3706" s="22">
        <f t="shared" si="264"/>
        <v>0</v>
      </c>
      <c r="CU3706" s="22">
        <f t="shared" si="265"/>
        <v>0</v>
      </c>
      <c r="CV3706" s="26">
        <f t="shared" si="263"/>
        <v>0</v>
      </c>
    </row>
    <row r="3707" spans="1:100" x14ac:dyDescent="0.2">
      <c r="B3707" s="2">
        <v>18</v>
      </c>
      <c r="C3707" s="3" t="s">
        <v>95</v>
      </c>
      <c r="D3707" s="3" t="s">
        <v>96</v>
      </c>
      <c r="E3707" s="2"/>
      <c r="F3707" s="2"/>
      <c r="G3707" s="2" t="s">
        <v>67</v>
      </c>
      <c r="H3707" s="2">
        <v>6</v>
      </c>
      <c r="I3707" s="20">
        <v>123.54</v>
      </c>
      <c r="J3707" s="20">
        <v>55206</v>
      </c>
      <c r="K3707" s="3">
        <v>0</v>
      </c>
      <c r="L3707" s="3" t="s">
        <v>3</v>
      </c>
      <c r="N3707" s="9"/>
      <c r="W3707" s="10"/>
      <c r="Z3707" s="9"/>
      <c r="AA3707" s="207"/>
      <c r="AB3707" s="9"/>
      <c r="AC3707" s="9"/>
      <c r="AE3707" s="54"/>
      <c r="AF3707" s="54"/>
      <c r="AL3707" s="22"/>
      <c r="AM3707" s="22"/>
      <c r="AN3707" s="22"/>
      <c r="AO3707" s="22"/>
      <c r="AP3707" s="22"/>
      <c r="AQ3707" s="22"/>
      <c r="AR3707" s="22"/>
      <c r="AS3707" s="22"/>
      <c r="AT3707" s="22"/>
      <c r="AU3707" s="22"/>
      <c r="AV3707" s="22"/>
      <c r="AW3707" s="9"/>
      <c r="BA3707" s="22"/>
      <c r="BB3707" s="22"/>
      <c r="BD3707" s="9"/>
      <c r="CT3707" s="22">
        <f t="shared" si="264"/>
        <v>0</v>
      </c>
      <c r="CU3707" s="22">
        <f t="shared" si="265"/>
        <v>0</v>
      </c>
      <c r="CV3707" s="26">
        <f t="shared" si="263"/>
        <v>0</v>
      </c>
    </row>
    <row r="3708" spans="1:100" x14ac:dyDescent="0.2">
      <c r="B3708" s="2">
        <v>19</v>
      </c>
      <c r="C3708" s="3" t="s">
        <v>95</v>
      </c>
      <c r="D3708" s="3" t="s">
        <v>96</v>
      </c>
      <c r="E3708" s="2"/>
      <c r="F3708" s="2"/>
      <c r="G3708" s="2" t="s">
        <v>67</v>
      </c>
      <c r="H3708" s="2">
        <v>7</v>
      </c>
      <c r="I3708" s="20">
        <v>123.54</v>
      </c>
      <c r="J3708" s="20">
        <v>68633</v>
      </c>
      <c r="K3708" s="3">
        <v>0</v>
      </c>
      <c r="L3708" s="3" t="s">
        <v>97</v>
      </c>
      <c r="N3708" s="9"/>
      <c r="W3708" s="10"/>
      <c r="Z3708" s="9"/>
      <c r="AA3708" s="207"/>
      <c r="AB3708" s="9"/>
      <c r="AC3708" s="9"/>
      <c r="AE3708" s="54"/>
      <c r="AF3708" s="54"/>
      <c r="AL3708" s="22"/>
      <c r="AM3708" s="22"/>
      <c r="AN3708" s="22"/>
      <c r="AO3708" s="22"/>
      <c r="AP3708" s="22"/>
      <c r="AQ3708" s="22"/>
      <c r="AR3708" s="22"/>
      <c r="AS3708" s="22"/>
      <c r="AT3708" s="22"/>
      <c r="AU3708" s="22"/>
      <c r="AV3708" s="22"/>
      <c r="AW3708" s="9"/>
      <c r="BA3708" s="22"/>
      <c r="BB3708" s="22"/>
      <c r="BD3708" s="9"/>
      <c r="CT3708" s="22">
        <f t="shared" si="264"/>
        <v>0</v>
      </c>
      <c r="CU3708" s="22">
        <f t="shared" si="265"/>
        <v>0</v>
      </c>
      <c r="CV3708" s="26">
        <f t="shared" si="263"/>
        <v>0</v>
      </c>
    </row>
    <row r="3709" spans="1:100" x14ac:dyDescent="0.2">
      <c r="B3709" s="2">
        <v>20</v>
      </c>
      <c r="C3709" s="3" t="s">
        <v>95</v>
      </c>
      <c r="D3709" s="3" t="s">
        <v>96</v>
      </c>
      <c r="E3709" s="2"/>
      <c r="F3709" s="2"/>
      <c r="G3709" s="2" t="s">
        <v>67</v>
      </c>
      <c r="H3709" s="2">
        <v>8</v>
      </c>
      <c r="I3709" s="20">
        <v>127.99</v>
      </c>
      <c r="J3709" s="20">
        <v>71105</v>
      </c>
      <c r="K3709" s="3">
        <v>0</v>
      </c>
      <c r="L3709" s="3" t="s">
        <v>97</v>
      </c>
      <c r="N3709" s="9"/>
      <c r="W3709" s="10"/>
      <c r="Z3709" s="9"/>
      <c r="AA3709" s="207"/>
      <c r="AB3709" s="9"/>
      <c r="AC3709" s="9"/>
      <c r="AE3709" s="54"/>
      <c r="AF3709" s="54"/>
      <c r="AL3709" s="22"/>
      <c r="AM3709" s="22"/>
      <c r="AN3709" s="22"/>
      <c r="AO3709" s="22"/>
      <c r="AP3709" s="22"/>
      <c r="AQ3709" s="22"/>
      <c r="AR3709" s="22"/>
      <c r="AS3709" s="22"/>
      <c r="AT3709" s="22"/>
      <c r="AU3709" s="22"/>
      <c r="AV3709" s="22"/>
      <c r="AW3709" s="9"/>
      <c r="BA3709" s="22"/>
      <c r="BB3709" s="22"/>
      <c r="BD3709" s="9"/>
      <c r="CT3709" s="22">
        <f t="shared" si="264"/>
        <v>0</v>
      </c>
      <c r="CU3709" s="22">
        <f t="shared" si="265"/>
        <v>0</v>
      </c>
      <c r="CV3709" s="26">
        <f t="shared" si="263"/>
        <v>0</v>
      </c>
    </row>
    <row r="3710" spans="1:100" x14ac:dyDescent="0.2">
      <c r="B3710" s="2">
        <v>28</v>
      </c>
      <c r="C3710" s="3" t="s">
        <v>95</v>
      </c>
      <c r="D3710" s="3" t="s">
        <v>96</v>
      </c>
      <c r="E3710" s="2"/>
      <c r="F3710" s="2"/>
      <c r="G3710" s="2" t="s">
        <v>68</v>
      </c>
      <c r="H3710" s="2">
        <v>8</v>
      </c>
      <c r="I3710" s="20">
        <v>178.5</v>
      </c>
      <c r="J3710" s="20">
        <v>99166</v>
      </c>
      <c r="K3710" s="3">
        <v>0</v>
      </c>
      <c r="L3710" s="3" t="s">
        <v>97</v>
      </c>
      <c r="N3710" s="9"/>
      <c r="W3710" s="10"/>
      <c r="Z3710" s="9"/>
      <c r="AA3710" s="207"/>
      <c r="AB3710" s="9"/>
      <c r="AC3710" s="9"/>
      <c r="AE3710" s="54"/>
      <c r="AF3710" s="54"/>
      <c r="AL3710" s="22"/>
      <c r="AM3710" s="22"/>
      <c r="AN3710" s="22"/>
      <c r="AO3710" s="22"/>
      <c r="AP3710" s="22"/>
      <c r="AQ3710" s="22"/>
      <c r="AR3710" s="22"/>
      <c r="AS3710" s="22"/>
      <c r="AT3710" s="22"/>
      <c r="AU3710" s="22"/>
      <c r="AV3710" s="22"/>
      <c r="AW3710" s="9"/>
      <c r="BA3710" s="22"/>
      <c r="BB3710" s="22"/>
      <c r="BD3710" s="9"/>
      <c r="CT3710" s="22">
        <f t="shared" si="264"/>
        <v>0</v>
      </c>
      <c r="CU3710" s="22">
        <f t="shared" si="265"/>
        <v>0</v>
      </c>
      <c r="CV3710" s="26">
        <f t="shared" si="263"/>
        <v>0</v>
      </c>
    </row>
    <row r="3711" spans="1:100" x14ac:dyDescent="0.2">
      <c r="B3711" s="2">
        <v>31</v>
      </c>
      <c r="C3711" s="3" t="s">
        <v>95</v>
      </c>
      <c r="D3711" s="3" t="s">
        <v>96</v>
      </c>
      <c r="E3711" s="2"/>
      <c r="F3711" s="2"/>
      <c r="G3711" s="2" t="s">
        <v>69</v>
      </c>
      <c r="H3711" s="2">
        <v>2</v>
      </c>
      <c r="I3711" s="20">
        <v>125.02</v>
      </c>
      <c r="J3711" s="20">
        <v>55564</v>
      </c>
      <c r="K3711" s="3">
        <v>0</v>
      </c>
      <c r="L3711" s="3" t="s">
        <v>3</v>
      </c>
      <c r="N3711" s="9"/>
      <c r="W3711" s="10"/>
      <c r="Z3711" s="9"/>
      <c r="AA3711" s="207"/>
      <c r="AB3711" s="9"/>
      <c r="AC3711" s="9"/>
      <c r="AE3711" s="54"/>
      <c r="AF3711" s="54"/>
      <c r="AL3711" s="22"/>
      <c r="AM3711" s="22"/>
      <c r="AN3711" s="22"/>
      <c r="AO3711" s="22"/>
      <c r="AP3711" s="22"/>
      <c r="AQ3711" s="22"/>
      <c r="AR3711" s="22"/>
      <c r="AS3711" s="22"/>
      <c r="AT3711" s="22"/>
      <c r="AU3711" s="22"/>
      <c r="AV3711" s="22"/>
      <c r="AW3711" s="9"/>
      <c r="BA3711" s="22"/>
      <c r="BB3711" s="22"/>
      <c r="BD3711" s="9"/>
      <c r="CT3711" s="22">
        <f t="shared" si="264"/>
        <v>0</v>
      </c>
      <c r="CU3711" s="22">
        <f t="shared" si="265"/>
        <v>0</v>
      </c>
      <c r="CV3711" s="26">
        <f t="shared" si="263"/>
        <v>0</v>
      </c>
    </row>
    <row r="3712" spans="1:100" x14ac:dyDescent="0.2">
      <c r="B3712" s="2">
        <v>34</v>
      </c>
      <c r="C3712" s="3" t="s">
        <v>95</v>
      </c>
      <c r="D3712" s="3" t="s">
        <v>96</v>
      </c>
      <c r="E3712" s="2"/>
      <c r="F3712" s="2"/>
      <c r="G3712" s="2" t="s">
        <v>69</v>
      </c>
      <c r="H3712" s="2">
        <v>5</v>
      </c>
      <c r="I3712" s="20">
        <v>120</v>
      </c>
      <c r="J3712" s="20">
        <v>41000</v>
      </c>
      <c r="K3712" s="3">
        <v>0</v>
      </c>
      <c r="L3712" s="3" t="s">
        <v>3</v>
      </c>
      <c r="N3712" s="9"/>
      <c r="W3712" s="10"/>
      <c r="Z3712" s="9"/>
      <c r="AA3712" s="207"/>
      <c r="AB3712" s="9"/>
      <c r="AC3712" s="9"/>
      <c r="AE3712" s="54"/>
      <c r="AF3712" s="54"/>
      <c r="AL3712" s="22"/>
      <c r="AM3712" s="22"/>
      <c r="AN3712" s="22"/>
      <c r="AO3712" s="22"/>
      <c r="AP3712" s="22"/>
      <c r="AQ3712" s="22"/>
      <c r="AR3712" s="22"/>
      <c r="AS3712" s="22"/>
      <c r="AT3712" s="22"/>
      <c r="AU3712" s="22"/>
      <c r="AV3712" s="22"/>
      <c r="AW3712" s="9"/>
      <c r="BA3712" s="22"/>
      <c r="BB3712" s="22"/>
      <c r="BD3712" s="9"/>
      <c r="CT3712" s="22">
        <f t="shared" si="264"/>
        <v>0</v>
      </c>
      <c r="CU3712" s="22">
        <f t="shared" si="265"/>
        <v>0</v>
      </c>
      <c r="CV3712" s="26">
        <f t="shared" si="263"/>
        <v>0</v>
      </c>
    </row>
    <row r="3713" spans="2:100" x14ac:dyDescent="0.2">
      <c r="B3713" s="2">
        <v>35</v>
      </c>
      <c r="C3713" s="3" t="s">
        <v>95</v>
      </c>
      <c r="D3713" s="3" t="s">
        <v>96</v>
      </c>
      <c r="E3713" s="2"/>
      <c r="F3713" s="2"/>
      <c r="G3713" s="2" t="s">
        <v>69</v>
      </c>
      <c r="H3713" s="2">
        <v>6</v>
      </c>
      <c r="I3713" s="20">
        <v>120</v>
      </c>
      <c r="J3713" s="20">
        <v>53333</v>
      </c>
      <c r="K3713" s="3">
        <v>0</v>
      </c>
      <c r="L3713" s="3" t="s">
        <v>3</v>
      </c>
      <c r="N3713" s="9"/>
      <c r="W3713" s="10"/>
      <c r="Z3713" s="9"/>
      <c r="AA3713" s="207"/>
      <c r="AB3713" s="9"/>
      <c r="AC3713" s="9"/>
      <c r="AE3713" s="54"/>
      <c r="AF3713" s="54"/>
      <c r="AL3713" s="22"/>
      <c r="AM3713" s="22"/>
      <c r="AN3713" s="22"/>
      <c r="AO3713" s="22"/>
      <c r="AP3713" s="22"/>
      <c r="AQ3713" s="22"/>
      <c r="AR3713" s="22"/>
      <c r="AS3713" s="22"/>
      <c r="AT3713" s="22"/>
      <c r="AU3713" s="22"/>
      <c r="AV3713" s="22"/>
      <c r="AW3713" s="9"/>
      <c r="BA3713" s="22"/>
      <c r="BB3713" s="22"/>
      <c r="BD3713" s="9"/>
      <c r="CT3713" s="22">
        <f t="shared" si="264"/>
        <v>0</v>
      </c>
      <c r="CU3713" s="22">
        <f t="shared" si="265"/>
        <v>0</v>
      </c>
      <c r="CV3713" s="26">
        <f t="shared" si="263"/>
        <v>0</v>
      </c>
    </row>
    <row r="3714" spans="2:100" x14ac:dyDescent="0.2">
      <c r="B3714" s="2">
        <v>37</v>
      </c>
      <c r="C3714" s="3" t="s">
        <v>95</v>
      </c>
      <c r="D3714" s="3" t="s">
        <v>96</v>
      </c>
      <c r="E3714" s="2"/>
      <c r="F3714" s="2"/>
      <c r="G3714" s="2" t="s">
        <v>69</v>
      </c>
      <c r="H3714" s="2">
        <v>8</v>
      </c>
      <c r="I3714" s="20">
        <v>120</v>
      </c>
      <c r="J3714" s="20">
        <v>53633</v>
      </c>
      <c r="K3714" s="3">
        <v>0</v>
      </c>
      <c r="L3714" s="3" t="s">
        <v>3</v>
      </c>
      <c r="N3714" s="9"/>
      <c r="W3714" s="10"/>
      <c r="Z3714" s="9"/>
      <c r="AA3714" s="207"/>
      <c r="AB3714" s="9"/>
      <c r="AC3714" s="9"/>
      <c r="AE3714" s="54"/>
      <c r="AF3714" s="54"/>
      <c r="AL3714" s="22"/>
      <c r="AM3714" s="22"/>
      <c r="AN3714" s="22"/>
      <c r="AO3714" s="22"/>
      <c r="AP3714" s="22"/>
      <c r="AQ3714" s="22"/>
      <c r="AR3714" s="22"/>
      <c r="AS3714" s="22"/>
      <c r="AT3714" s="22"/>
      <c r="AU3714" s="22"/>
      <c r="AV3714" s="22"/>
      <c r="AW3714" s="9"/>
      <c r="BA3714" s="22"/>
      <c r="BB3714" s="22"/>
      <c r="BD3714" s="9"/>
      <c r="CT3714" s="22">
        <f t="shared" si="264"/>
        <v>0</v>
      </c>
      <c r="CU3714" s="22">
        <f t="shared" si="265"/>
        <v>0</v>
      </c>
      <c r="CV3714" s="26">
        <f t="shared" si="263"/>
        <v>0</v>
      </c>
    </row>
    <row r="3715" spans="2:100" x14ac:dyDescent="0.2">
      <c r="B3715" s="2">
        <v>38</v>
      </c>
      <c r="C3715" s="3" t="s">
        <v>95</v>
      </c>
      <c r="D3715" s="3" t="s">
        <v>96</v>
      </c>
      <c r="E3715" s="2"/>
      <c r="F3715" s="2"/>
      <c r="G3715" s="2" t="s">
        <v>69</v>
      </c>
      <c r="H3715" s="2">
        <v>9</v>
      </c>
      <c r="I3715" s="20">
        <v>111</v>
      </c>
      <c r="J3715" s="20">
        <v>49333</v>
      </c>
      <c r="K3715" s="3">
        <v>0</v>
      </c>
      <c r="L3715" s="3" t="s">
        <v>3</v>
      </c>
      <c r="N3715" s="9"/>
      <c r="W3715" s="10"/>
      <c r="Z3715" s="9"/>
      <c r="AA3715" s="207"/>
      <c r="AB3715" s="9"/>
      <c r="AC3715" s="9"/>
      <c r="AE3715" s="54"/>
      <c r="AF3715" s="54"/>
      <c r="AL3715" s="22"/>
      <c r="AM3715" s="22"/>
      <c r="AN3715" s="22"/>
      <c r="AO3715" s="22"/>
      <c r="AP3715" s="22"/>
      <c r="AQ3715" s="22"/>
      <c r="AR3715" s="22"/>
      <c r="AS3715" s="22"/>
      <c r="AT3715" s="22"/>
      <c r="AU3715" s="22"/>
      <c r="AV3715" s="22"/>
      <c r="AW3715" s="9"/>
      <c r="BA3715" s="22"/>
      <c r="BB3715" s="22"/>
      <c r="BD3715" s="9"/>
      <c r="CT3715" s="22">
        <f t="shared" si="264"/>
        <v>0</v>
      </c>
      <c r="CU3715" s="22">
        <f t="shared" si="265"/>
        <v>0</v>
      </c>
      <c r="CV3715" s="26">
        <f t="shared" si="263"/>
        <v>0</v>
      </c>
    </row>
    <row r="3716" spans="2:100" x14ac:dyDescent="0.2">
      <c r="B3716" s="2">
        <v>39</v>
      </c>
      <c r="C3716" s="3" t="s">
        <v>95</v>
      </c>
      <c r="D3716" s="3" t="s">
        <v>96</v>
      </c>
      <c r="E3716" s="2"/>
      <c r="F3716" s="2"/>
      <c r="G3716" s="2" t="s">
        <v>70</v>
      </c>
      <c r="H3716" s="2">
        <v>1</v>
      </c>
      <c r="I3716" s="20">
        <v>125.02</v>
      </c>
      <c r="J3716" s="20">
        <v>55564</v>
      </c>
      <c r="K3716" s="3">
        <v>0</v>
      </c>
      <c r="L3716" s="3" t="s">
        <v>3</v>
      </c>
      <c r="N3716" s="9"/>
      <c r="W3716" s="10"/>
      <c r="Z3716" s="9"/>
      <c r="AA3716" s="207"/>
      <c r="AB3716" s="9"/>
      <c r="AC3716" s="9"/>
      <c r="AE3716" s="54"/>
      <c r="AF3716" s="54"/>
      <c r="AL3716" s="22"/>
      <c r="AM3716" s="22"/>
      <c r="AN3716" s="22"/>
      <c r="AO3716" s="22"/>
      <c r="AP3716" s="22"/>
      <c r="AQ3716" s="22"/>
      <c r="AR3716" s="22"/>
      <c r="AS3716" s="22"/>
      <c r="AT3716" s="22"/>
      <c r="AU3716" s="22"/>
      <c r="AV3716" s="22"/>
      <c r="AW3716" s="9"/>
      <c r="BA3716" s="22"/>
      <c r="BB3716" s="22"/>
      <c r="BD3716" s="9"/>
      <c r="CT3716" s="22">
        <f t="shared" si="264"/>
        <v>0</v>
      </c>
      <c r="CU3716" s="22">
        <f t="shared" si="265"/>
        <v>0</v>
      </c>
      <c r="CV3716" s="26">
        <f t="shared" si="263"/>
        <v>0</v>
      </c>
    </row>
    <row r="3717" spans="2:100" x14ac:dyDescent="0.2">
      <c r="B3717" s="2">
        <v>41</v>
      </c>
      <c r="C3717" s="3" t="s">
        <v>95</v>
      </c>
      <c r="D3717" s="3" t="s">
        <v>96</v>
      </c>
      <c r="E3717" s="2"/>
      <c r="F3717" s="2"/>
      <c r="G3717" s="2" t="s">
        <v>70</v>
      </c>
      <c r="H3717" s="2">
        <v>3</v>
      </c>
      <c r="I3717" s="20">
        <v>145.38</v>
      </c>
      <c r="J3717" s="20">
        <v>47900</v>
      </c>
      <c r="K3717" s="3">
        <v>0</v>
      </c>
      <c r="L3717" s="3" t="s">
        <v>3</v>
      </c>
      <c r="N3717" s="9"/>
      <c r="W3717" s="10"/>
      <c r="Z3717" s="9"/>
      <c r="AA3717" s="207"/>
      <c r="AB3717" s="9"/>
      <c r="AC3717" s="9"/>
      <c r="AE3717" s="54"/>
      <c r="AF3717" s="54"/>
      <c r="AL3717" s="22"/>
      <c r="AM3717" s="22"/>
      <c r="AN3717" s="22"/>
      <c r="AO3717" s="22"/>
      <c r="AP3717" s="22"/>
      <c r="AQ3717" s="22"/>
      <c r="AR3717" s="22"/>
      <c r="AS3717" s="22"/>
      <c r="AT3717" s="22"/>
      <c r="AU3717" s="22"/>
      <c r="AV3717" s="22"/>
      <c r="AW3717" s="9"/>
      <c r="BA3717" s="22"/>
      <c r="BB3717" s="22"/>
      <c r="BD3717" s="9"/>
      <c r="CT3717" s="22">
        <f t="shared" si="264"/>
        <v>0</v>
      </c>
      <c r="CU3717" s="22">
        <f t="shared" si="265"/>
        <v>0</v>
      </c>
      <c r="CV3717" s="26">
        <f t="shared" si="263"/>
        <v>0</v>
      </c>
    </row>
    <row r="3718" spans="2:100" x14ac:dyDescent="0.2">
      <c r="B3718" s="2">
        <v>43</v>
      </c>
      <c r="C3718" s="3" t="s">
        <v>95</v>
      </c>
      <c r="D3718" s="3" t="s">
        <v>96</v>
      </c>
      <c r="E3718" s="2"/>
      <c r="F3718" s="2"/>
      <c r="G3718" s="2" t="s">
        <v>70</v>
      </c>
      <c r="H3718" s="2">
        <v>5</v>
      </c>
      <c r="I3718" s="20">
        <v>120.4</v>
      </c>
      <c r="J3718" s="20">
        <v>66889</v>
      </c>
      <c r="K3718" s="3">
        <v>0</v>
      </c>
      <c r="L3718" s="3" t="s">
        <v>97</v>
      </c>
      <c r="N3718" s="9"/>
      <c r="W3718" s="10"/>
      <c r="Z3718" s="9"/>
      <c r="AA3718" s="207"/>
      <c r="AB3718" s="9"/>
      <c r="AC3718" s="9"/>
      <c r="AE3718" s="54"/>
      <c r="AF3718" s="54"/>
      <c r="AL3718" s="22"/>
      <c r="AM3718" s="22"/>
      <c r="AN3718" s="22"/>
      <c r="AO3718" s="22"/>
      <c r="AP3718" s="22"/>
      <c r="AQ3718" s="22"/>
      <c r="AR3718" s="22"/>
      <c r="AS3718" s="22"/>
      <c r="AT3718" s="22"/>
      <c r="AU3718" s="22"/>
      <c r="AV3718" s="22"/>
      <c r="AW3718" s="9"/>
      <c r="BA3718" s="22"/>
      <c r="BB3718" s="22"/>
      <c r="BD3718" s="9"/>
      <c r="CT3718" s="22">
        <f t="shared" si="264"/>
        <v>0</v>
      </c>
      <c r="CU3718" s="22">
        <f t="shared" si="265"/>
        <v>0</v>
      </c>
      <c r="CV3718" s="26">
        <f t="shared" si="263"/>
        <v>0</v>
      </c>
    </row>
    <row r="3719" spans="2:100" x14ac:dyDescent="0.2">
      <c r="B3719" s="2">
        <v>45</v>
      </c>
      <c r="C3719" s="3" t="s">
        <v>95</v>
      </c>
      <c r="D3719" s="3" t="s">
        <v>96</v>
      </c>
      <c r="E3719" s="2"/>
      <c r="F3719" s="2"/>
      <c r="G3719" s="2" t="s">
        <v>70</v>
      </c>
      <c r="H3719" s="2">
        <v>7</v>
      </c>
      <c r="I3719" s="20">
        <v>120.4</v>
      </c>
      <c r="J3719" s="20">
        <v>53511</v>
      </c>
      <c r="K3719" s="3">
        <v>0</v>
      </c>
      <c r="L3719" s="3" t="s">
        <v>3</v>
      </c>
      <c r="N3719" s="9"/>
      <c r="W3719" s="10"/>
      <c r="Z3719" s="9"/>
      <c r="AA3719" s="207"/>
      <c r="AB3719" s="9"/>
      <c r="AC3719" s="9"/>
      <c r="AE3719" s="54"/>
      <c r="AF3719" s="54"/>
      <c r="AL3719" s="22"/>
      <c r="AM3719" s="22"/>
      <c r="AN3719" s="22"/>
      <c r="AO3719" s="22"/>
      <c r="AP3719" s="22"/>
      <c r="AQ3719" s="22"/>
      <c r="AR3719" s="22"/>
      <c r="AS3719" s="22"/>
      <c r="AT3719" s="22"/>
      <c r="AU3719" s="22"/>
      <c r="AV3719" s="22"/>
      <c r="AW3719" s="9"/>
      <c r="BA3719" s="22"/>
      <c r="BB3719" s="22"/>
      <c r="BD3719" s="9"/>
      <c r="CT3719" s="22">
        <f t="shared" si="264"/>
        <v>0</v>
      </c>
      <c r="CU3719" s="22">
        <f t="shared" si="265"/>
        <v>0</v>
      </c>
      <c r="CV3719" s="26">
        <f t="shared" si="263"/>
        <v>0</v>
      </c>
    </row>
    <row r="3720" spans="2:100" x14ac:dyDescent="0.2">
      <c r="B3720" s="2">
        <v>46</v>
      </c>
      <c r="C3720" s="3" t="s">
        <v>95</v>
      </c>
      <c r="D3720" s="3" t="s">
        <v>96</v>
      </c>
      <c r="E3720" s="2"/>
      <c r="F3720" s="2"/>
      <c r="G3720" s="2" t="s">
        <v>70</v>
      </c>
      <c r="H3720" s="2">
        <v>8</v>
      </c>
      <c r="I3720" s="20">
        <v>120.4</v>
      </c>
      <c r="J3720" s="20">
        <v>66889</v>
      </c>
      <c r="K3720" s="3">
        <v>0</v>
      </c>
      <c r="L3720" s="3" t="s">
        <v>97</v>
      </c>
      <c r="N3720" s="9"/>
      <c r="W3720" s="10"/>
      <c r="Z3720" s="9"/>
      <c r="AA3720" s="207"/>
      <c r="AB3720" s="9"/>
      <c r="AC3720" s="9"/>
      <c r="AE3720" s="54"/>
      <c r="AF3720" s="54"/>
      <c r="AL3720" s="22"/>
      <c r="AM3720" s="22"/>
      <c r="AN3720" s="22"/>
      <c r="AO3720" s="22"/>
      <c r="AP3720" s="22"/>
      <c r="AQ3720" s="22"/>
      <c r="AR3720" s="22"/>
      <c r="AS3720" s="22"/>
      <c r="AT3720" s="22"/>
      <c r="AU3720" s="22"/>
      <c r="AV3720" s="22"/>
      <c r="AW3720" s="9"/>
      <c r="BA3720" s="22"/>
      <c r="BB3720" s="22"/>
      <c r="BD3720" s="9"/>
      <c r="CT3720" s="22">
        <f t="shared" si="264"/>
        <v>0</v>
      </c>
      <c r="CU3720" s="22">
        <f t="shared" si="265"/>
        <v>0</v>
      </c>
      <c r="CV3720" s="26">
        <f t="shared" ref="CV3720:CV3751" si="266">+AE3720-AL3720-AT3720</f>
        <v>0</v>
      </c>
    </row>
    <row r="3721" spans="2:100" x14ac:dyDescent="0.2">
      <c r="B3721" s="2">
        <v>47</v>
      </c>
      <c r="C3721" s="3" t="s">
        <v>95</v>
      </c>
      <c r="D3721" s="3" t="s">
        <v>96</v>
      </c>
      <c r="E3721" s="2"/>
      <c r="F3721" s="2"/>
      <c r="G3721" s="2" t="s">
        <v>70</v>
      </c>
      <c r="H3721" s="2">
        <v>9</v>
      </c>
      <c r="I3721" s="20">
        <v>118.76</v>
      </c>
      <c r="J3721" s="20">
        <v>53082</v>
      </c>
      <c r="K3721" s="3">
        <v>0</v>
      </c>
      <c r="L3721" s="3" t="s">
        <v>3</v>
      </c>
      <c r="N3721" s="9"/>
      <c r="W3721" s="10"/>
      <c r="Z3721" s="9"/>
      <c r="AA3721" s="207"/>
      <c r="AB3721" s="9"/>
      <c r="AC3721" s="9"/>
      <c r="AE3721" s="54"/>
      <c r="AF3721" s="54"/>
      <c r="AL3721" s="22"/>
      <c r="AM3721" s="22"/>
      <c r="AN3721" s="22"/>
      <c r="AO3721" s="22"/>
      <c r="AP3721" s="22"/>
      <c r="AQ3721" s="22"/>
      <c r="AR3721" s="22"/>
      <c r="AS3721" s="22"/>
      <c r="AT3721" s="22"/>
      <c r="AU3721" s="22"/>
      <c r="AV3721" s="22"/>
      <c r="AW3721" s="9"/>
      <c r="BA3721" s="22"/>
      <c r="BB3721" s="22"/>
      <c r="BD3721" s="9"/>
      <c r="CT3721" s="22">
        <f t="shared" si="264"/>
        <v>0</v>
      </c>
      <c r="CU3721" s="22">
        <f t="shared" si="265"/>
        <v>0</v>
      </c>
      <c r="CV3721" s="26">
        <f t="shared" si="266"/>
        <v>0</v>
      </c>
    </row>
    <row r="3722" spans="2:100" x14ac:dyDescent="0.2">
      <c r="B3722" s="2">
        <v>50</v>
      </c>
      <c r="C3722" s="3" t="s">
        <v>95</v>
      </c>
      <c r="D3722" s="3" t="s">
        <v>96</v>
      </c>
      <c r="E3722" s="2"/>
      <c r="F3722" s="2"/>
      <c r="G3722" s="2" t="s">
        <v>71</v>
      </c>
      <c r="H3722" s="2">
        <v>2</v>
      </c>
      <c r="I3722" s="20">
        <v>128.80000000000001</v>
      </c>
      <c r="J3722" s="20">
        <v>71555</v>
      </c>
      <c r="K3722" s="3">
        <v>0</v>
      </c>
      <c r="L3722" s="3" t="s">
        <v>97</v>
      </c>
      <c r="N3722" s="9"/>
      <c r="W3722" s="10"/>
      <c r="Z3722" s="9"/>
      <c r="AA3722" s="207"/>
      <c r="AB3722" s="9"/>
      <c r="AC3722" s="9"/>
      <c r="AE3722" s="54"/>
      <c r="AF3722" s="54"/>
      <c r="AL3722" s="22"/>
      <c r="AM3722" s="22"/>
      <c r="AN3722" s="22"/>
      <c r="AO3722" s="22"/>
      <c r="AP3722" s="22"/>
      <c r="AQ3722" s="22"/>
      <c r="AR3722" s="22"/>
      <c r="AS3722" s="22"/>
      <c r="AT3722" s="22"/>
      <c r="AU3722" s="22"/>
      <c r="AV3722" s="22"/>
      <c r="AW3722" s="9"/>
      <c r="BA3722" s="22"/>
      <c r="BB3722" s="22"/>
      <c r="BD3722" s="9"/>
      <c r="CT3722" s="22">
        <f t="shared" si="264"/>
        <v>0</v>
      </c>
      <c r="CU3722" s="22">
        <f t="shared" si="265"/>
        <v>0</v>
      </c>
      <c r="CV3722" s="26">
        <f t="shared" si="266"/>
        <v>0</v>
      </c>
    </row>
    <row r="3723" spans="2:100" x14ac:dyDescent="0.2">
      <c r="B3723" s="2">
        <v>51</v>
      </c>
      <c r="C3723" s="3" t="s">
        <v>95</v>
      </c>
      <c r="D3723" s="3" t="s">
        <v>96</v>
      </c>
      <c r="E3723" s="2"/>
      <c r="F3723" s="2"/>
      <c r="G3723" s="2" t="s">
        <v>71</v>
      </c>
      <c r="H3723" s="2">
        <v>3</v>
      </c>
      <c r="I3723" s="20">
        <v>128.80000000000001</v>
      </c>
      <c r="J3723" s="20">
        <v>71555</v>
      </c>
      <c r="K3723" s="3">
        <v>0</v>
      </c>
      <c r="L3723" s="3" t="s">
        <v>97</v>
      </c>
      <c r="N3723" s="9"/>
      <c r="W3723" s="10"/>
      <c r="Z3723" s="9"/>
      <c r="AA3723" s="207"/>
      <c r="AB3723" s="9"/>
      <c r="AC3723" s="9"/>
      <c r="AE3723" s="54"/>
      <c r="AF3723" s="54"/>
      <c r="AL3723" s="22"/>
      <c r="AM3723" s="22"/>
      <c r="AN3723" s="22"/>
      <c r="AO3723" s="22"/>
      <c r="AP3723" s="22"/>
      <c r="AQ3723" s="22"/>
      <c r="AR3723" s="22"/>
      <c r="AS3723" s="22"/>
      <c r="AT3723" s="22"/>
      <c r="AU3723" s="22"/>
      <c r="AV3723" s="22"/>
      <c r="AW3723" s="9"/>
      <c r="BA3723" s="22"/>
      <c r="BB3723" s="22"/>
      <c r="BD3723" s="9"/>
      <c r="CT3723" s="22">
        <f t="shared" si="264"/>
        <v>0</v>
      </c>
      <c r="CU3723" s="22">
        <f t="shared" si="265"/>
        <v>0</v>
      </c>
      <c r="CV3723" s="26">
        <f t="shared" si="266"/>
        <v>0</v>
      </c>
    </row>
    <row r="3724" spans="2:100" x14ac:dyDescent="0.2">
      <c r="B3724" s="2">
        <v>52</v>
      </c>
      <c r="C3724" s="3" t="s">
        <v>95</v>
      </c>
      <c r="D3724" s="3" t="s">
        <v>96</v>
      </c>
      <c r="E3724" s="2"/>
      <c r="F3724" s="2"/>
      <c r="G3724" s="2" t="s">
        <v>71</v>
      </c>
      <c r="H3724" s="2">
        <v>4</v>
      </c>
      <c r="I3724" s="20">
        <v>128.80000000000001</v>
      </c>
      <c r="J3724" s="20">
        <v>71555</v>
      </c>
      <c r="K3724" s="3">
        <v>0</v>
      </c>
      <c r="L3724" s="3" t="s">
        <v>97</v>
      </c>
      <c r="N3724" s="9"/>
      <c r="W3724" s="10"/>
      <c r="Z3724" s="9"/>
      <c r="AA3724" s="207"/>
      <c r="AB3724" s="9"/>
      <c r="AC3724" s="9"/>
      <c r="AE3724" s="54"/>
      <c r="AF3724" s="54"/>
      <c r="AL3724" s="22"/>
      <c r="AM3724" s="22"/>
      <c r="AN3724" s="22"/>
      <c r="AO3724" s="22"/>
      <c r="AP3724" s="22"/>
      <c r="AQ3724" s="22"/>
      <c r="AR3724" s="22"/>
      <c r="AS3724" s="22"/>
      <c r="AT3724" s="22"/>
      <c r="AU3724" s="22"/>
      <c r="AV3724" s="22"/>
      <c r="AW3724" s="9"/>
      <c r="BA3724" s="22"/>
      <c r="BB3724" s="22"/>
      <c r="BD3724" s="9"/>
      <c r="CT3724" s="22">
        <f t="shared" si="264"/>
        <v>0</v>
      </c>
      <c r="CU3724" s="22">
        <f t="shared" si="265"/>
        <v>0</v>
      </c>
      <c r="CV3724" s="26">
        <f t="shared" si="266"/>
        <v>0</v>
      </c>
    </row>
    <row r="3725" spans="2:100" x14ac:dyDescent="0.2">
      <c r="B3725" s="2">
        <v>53</v>
      </c>
      <c r="C3725" s="3" t="s">
        <v>95</v>
      </c>
      <c r="D3725" s="3" t="s">
        <v>96</v>
      </c>
      <c r="E3725" s="2"/>
      <c r="F3725" s="2"/>
      <c r="G3725" s="2" t="s">
        <v>71</v>
      </c>
      <c r="H3725" s="2">
        <v>5</v>
      </c>
      <c r="I3725" s="20">
        <v>132.94</v>
      </c>
      <c r="J3725" s="20">
        <v>73855</v>
      </c>
      <c r="K3725" s="3">
        <v>0</v>
      </c>
      <c r="L3725" s="3" t="s">
        <v>97</v>
      </c>
      <c r="N3725" s="9"/>
      <c r="W3725" s="10"/>
      <c r="Z3725" s="9"/>
      <c r="AA3725" s="207"/>
      <c r="AB3725" s="9"/>
      <c r="AC3725" s="9"/>
      <c r="AE3725" s="54"/>
      <c r="AF3725" s="54"/>
      <c r="AL3725" s="22"/>
      <c r="AM3725" s="22"/>
      <c r="AN3725" s="22"/>
      <c r="AO3725" s="22"/>
      <c r="AP3725" s="22"/>
      <c r="AQ3725" s="22"/>
      <c r="AR3725" s="22"/>
      <c r="AS3725" s="22"/>
      <c r="AT3725" s="22"/>
      <c r="AU3725" s="22"/>
      <c r="AV3725" s="22"/>
      <c r="AW3725" s="9"/>
      <c r="BA3725" s="22"/>
      <c r="BB3725" s="22"/>
      <c r="BD3725" s="9"/>
      <c r="CT3725" s="22">
        <f t="shared" si="264"/>
        <v>0</v>
      </c>
      <c r="CU3725" s="22">
        <f t="shared" si="265"/>
        <v>0</v>
      </c>
      <c r="CV3725" s="26">
        <f t="shared" si="266"/>
        <v>0</v>
      </c>
    </row>
    <row r="3726" spans="2:100" x14ac:dyDescent="0.2">
      <c r="B3726" s="2">
        <v>55</v>
      </c>
      <c r="C3726" s="3" t="s">
        <v>95</v>
      </c>
      <c r="D3726" s="3" t="s">
        <v>96</v>
      </c>
      <c r="E3726" s="2"/>
      <c r="F3726" s="2"/>
      <c r="G3726" s="2" t="s">
        <v>71</v>
      </c>
      <c r="H3726" s="2">
        <v>7</v>
      </c>
      <c r="I3726" s="20">
        <v>131.81</v>
      </c>
      <c r="J3726" s="20">
        <v>73227</v>
      </c>
      <c r="K3726" s="3">
        <v>0</v>
      </c>
      <c r="L3726" s="3" t="s">
        <v>97</v>
      </c>
      <c r="N3726" s="9"/>
      <c r="W3726" s="10"/>
      <c r="Z3726" s="9"/>
      <c r="AA3726" s="207"/>
      <c r="AB3726" s="9"/>
      <c r="AC3726" s="9"/>
      <c r="AE3726" s="54"/>
      <c r="AF3726" s="54"/>
      <c r="AL3726" s="22"/>
      <c r="AM3726" s="22"/>
      <c r="AN3726" s="22"/>
      <c r="AO3726" s="22"/>
      <c r="AP3726" s="22"/>
      <c r="AQ3726" s="22"/>
      <c r="AR3726" s="22"/>
      <c r="AS3726" s="22"/>
      <c r="AT3726" s="22"/>
      <c r="AU3726" s="22"/>
      <c r="AV3726" s="22"/>
      <c r="AW3726" s="9"/>
      <c r="BA3726" s="22"/>
      <c r="BB3726" s="22"/>
      <c r="BD3726" s="9"/>
      <c r="CT3726" s="22">
        <f t="shared" si="264"/>
        <v>0</v>
      </c>
      <c r="CU3726" s="22">
        <f t="shared" si="265"/>
        <v>0</v>
      </c>
      <c r="CV3726" s="26">
        <f t="shared" si="266"/>
        <v>0</v>
      </c>
    </row>
    <row r="3727" spans="2:100" x14ac:dyDescent="0.2">
      <c r="B3727" s="2">
        <v>56</v>
      </c>
      <c r="C3727" s="3" t="s">
        <v>95</v>
      </c>
      <c r="D3727" s="3" t="s">
        <v>96</v>
      </c>
      <c r="E3727" s="2"/>
      <c r="F3727" s="2"/>
      <c r="G3727" s="2" t="s">
        <v>71</v>
      </c>
      <c r="H3727" s="2">
        <v>8</v>
      </c>
      <c r="I3727" s="20">
        <v>125.55</v>
      </c>
      <c r="J3727" s="20">
        <v>69750</v>
      </c>
      <c r="K3727" s="3">
        <v>0</v>
      </c>
      <c r="L3727" s="3" t="s">
        <v>97</v>
      </c>
      <c r="N3727" s="9"/>
      <c r="W3727" s="10"/>
      <c r="Z3727" s="9"/>
      <c r="AA3727" s="207"/>
      <c r="AB3727" s="9"/>
      <c r="AC3727" s="9"/>
      <c r="AE3727" s="54"/>
      <c r="AF3727" s="54"/>
      <c r="AL3727" s="22"/>
      <c r="AM3727" s="22"/>
      <c r="AN3727" s="22"/>
      <c r="AO3727" s="22"/>
      <c r="AP3727" s="22"/>
      <c r="AQ3727" s="22"/>
      <c r="AR3727" s="22"/>
      <c r="AS3727" s="22"/>
      <c r="AT3727" s="22"/>
      <c r="AU3727" s="22"/>
      <c r="AV3727" s="22"/>
      <c r="AW3727" s="9"/>
      <c r="BA3727" s="22"/>
      <c r="BB3727" s="22"/>
      <c r="BD3727" s="9"/>
      <c r="CT3727" s="22">
        <f t="shared" si="264"/>
        <v>0</v>
      </c>
      <c r="CU3727" s="22">
        <f t="shared" si="265"/>
        <v>0</v>
      </c>
      <c r="CV3727" s="26">
        <f t="shared" si="266"/>
        <v>0</v>
      </c>
    </row>
    <row r="3728" spans="2:100" x14ac:dyDescent="0.2">
      <c r="B3728" s="2">
        <v>57</v>
      </c>
      <c r="C3728" s="3" t="s">
        <v>95</v>
      </c>
      <c r="D3728" s="3" t="s">
        <v>96</v>
      </c>
      <c r="E3728" s="2"/>
      <c r="F3728" s="2"/>
      <c r="G3728" s="2" t="s">
        <v>71</v>
      </c>
      <c r="H3728" s="2">
        <v>9</v>
      </c>
      <c r="I3728" s="20">
        <v>137.85</v>
      </c>
      <c r="J3728" s="20">
        <v>76583</v>
      </c>
      <c r="K3728" s="3">
        <v>0</v>
      </c>
      <c r="L3728" s="3" t="s">
        <v>97</v>
      </c>
      <c r="N3728" s="9"/>
      <c r="W3728" s="10"/>
      <c r="Z3728" s="9"/>
      <c r="AA3728" s="207"/>
      <c r="AB3728" s="9"/>
      <c r="AC3728" s="9"/>
      <c r="AE3728" s="54"/>
      <c r="AF3728" s="54"/>
      <c r="AL3728" s="22"/>
      <c r="AM3728" s="22"/>
      <c r="AN3728" s="22"/>
      <c r="AO3728" s="22"/>
      <c r="AP3728" s="22"/>
      <c r="AQ3728" s="22"/>
      <c r="AR3728" s="22"/>
      <c r="AS3728" s="22"/>
      <c r="AT3728" s="22"/>
      <c r="AU3728" s="22"/>
      <c r="AV3728" s="22"/>
      <c r="AW3728" s="9"/>
      <c r="BA3728" s="22"/>
      <c r="BB3728" s="22"/>
      <c r="BD3728" s="9"/>
      <c r="CT3728" s="22">
        <f t="shared" si="264"/>
        <v>0</v>
      </c>
      <c r="CU3728" s="22">
        <f t="shared" si="265"/>
        <v>0</v>
      </c>
      <c r="CV3728" s="26">
        <f t="shared" si="266"/>
        <v>0</v>
      </c>
    </row>
    <row r="3729" spans="2:100" x14ac:dyDescent="0.2">
      <c r="B3729" s="2">
        <v>58</v>
      </c>
      <c r="C3729" s="3" t="s">
        <v>95</v>
      </c>
      <c r="D3729" s="3" t="s">
        <v>96</v>
      </c>
      <c r="E3729" s="2"/>
      <c r="F3729" s="2"/>
      <c r="G3729" s="2" t="s">
        <v>72</v>
      </c>
      <c r="H3729" s="2">
        <v>1</v>
      </c>
      <c r="I3729" s="20">
        <v>120.63</v>
      </c>
      <c r="J3729" s="20">
        <v>39999</v>
      </c>
      <c r="K3729" s="3">
        <v>0</v>
      </c>
      <c r="L3729" s="3" t="s">
        <v>3</v>
      </c>
      <c r="N3729" s="9"/>
      <c r="W3729" s="10"/>
      <c r="Z3729" s="9"/>
      <c r="AA3729" s="207"/>
      <c r="AB3729" s="9"/>
      <c r="AC3729" s="9"/>
      <c r="AE3729" s="54"/>
      <c r="AF3729" s="54"/>
      <c r="AL3729" s="22"/>
      <c r="AM3729" s="22"/>
      <c r="AN3729" s="22"/>
      <c r="AO3729" s="22"/>
      <c r="AP3729" s="22"/>
      <c r="AQ3729" s="22"/>
      <c r="AR3729" s="22"/>
      <c r="AS3729" s="22"/>
      <c r="AT3729" s="22"/>
      <c r="AU3729" s="22"/>
      <c r="AV3729" s="22"/>
      <c r="AW3729" s="9"/>
      <c r="BA3729" s="22"/>
      <c r="BB3729" s="22"/>
      <c r="BD3729" s="9"/>
      <c r="CT3729" s="22">
        <f t="shared" si="264"/>
        <v>0</v>
      </c>
      <c r="CU3729" s="22">
        <f t="shared" si="265"/>
        <v>0</v>
      </c>
      <c r="CV3729" s="26">
        <f t="shared" si="266"/>
        <v>0</v>
      </c>
    </row>
    <row r="3730" spans="2:100" x14ac:dyDescent="0.2">
      <c r="B3730" s="2">
        <v>59</v>
      </c>
      <c r="C3730" s="3" t="s">
        <v>95</v>
      </c>
      <c r="D3730" s="3" t="s">
        <v>96</v>
      </c>
      <c r="E3730" s="2"/>
      <c r="F3730" s="2"/>
      <c r="G3730" s="2" t="s">
        <v>72</v>
      </c>
      <c r="H3730" s="2">
        <v>2</v>
      </c>
      <c r="I3730" s="20">
        <v>128.16</v>
      </c>
      <c r="J3730" s="20">
        <v>71200</v>
      </c>
      <c r="K3730" s="3">
        <v>0</v>
      </c>
      <c r="L3730" s="3" t="s">
        <v>97</v>
      </c>
      <c r="N3730" s="9"/>
      <c r="W3730" s="10"/>
      <c r="Z3730" s="9"/>
      <c r="AA3730" s="207"/>
      <c r="AB3730" s="9"/>
      <c r="AC3730" s="9"/>
      <c r="AE3730" s="54"/>
      <c r="AF3730" s="54"/>
      <c r="AL3730" s="22"/>
      <c r="AM3730" s="22"/>
      <c r="AN3730" s="22"/>
      <c r="AO3730" s="22"/>
      <c r="AP3730" s="22"/>
      <c r="AQ3730" s="22"/>
      <c r="AR3730" s="22"/>
      <c r="AS3730" s="22"/>
      <c r="AT3730" s="22"/>
      <c r="AU3730" s="22"/>
      <c r="AV3730" s="22"/>
      <c r="AW3730" s="9"/>
      <c r="BA3730" s="22"/>
      <c r="BB3730" s="22"/>
      <c r="BD3730" s="9"/>
      <c r="CT3730" s="22">
        <f t="shared" si="264"/>
        <v>0</v>
      </c>
      <c r="CU3730" s="22">
        <f t="shared" si="265"/>
        <v>0</v>
      </c>
      <c r="CV3730" s="26">
        <f t="shared" si="266"/>
        <v>0</v>
      </c>
    </row>
    <row r="3731" spans="2:100" x14ac:dyDescent="0.2">
      <c r="B3731" s="2">
        <v>60</v>
      </c>
      <c r="C3731" s="3" t="s">
        <v>95</v>
      </c>
      <c r="D3731" s="3" t="s">
        <v>96</v>
      </c>
      <c r="E3731" s="2"/>
      <c r="F3731" s="2"/>
      <c r="G3731" s="2" t="s">
        <v>72</v>
      </c>
      <c r="H3731" s="2">
        <v>3</v>
      </c>
      <c r="I3731" s="20">
        <v>128.16</v>
      </c>
      <c r="J3731" s="20">
        <v>71200</v>
      </c>
      <c r="K3731" s="3">
        <v>0</v>
      </c>
      <c r="L3731" s="3" t="s">
        <v>97</v>
      </c>
      <c r="N3731" s="9"/>
      <c r="W3731" s="10"/>
      <c r="Z3731" s="9"/>
      <c r="AA3731" s="207"/>
      <c r="AB3731" s="9"/>
      <c r="AC3731" s="9"/>
      <c r="AE3731" s="54"/>
      <c r="AF3731" s="54"/>
      <c r="AL3731" s="22"/>
      <c r="AM3731" s="22"/>
      <c r="AN3731" s="22"/>
      <c r="AO3731" s="22"/>
      <c r="AP3731" s="22"/>
      <c r="AQ3731" s="22"/>
      <c r="AR3731" s="22"/>
      <c r="AS3731" s="22"/>
      <c r="AT3731" s="22"/>
      <c r="AU3731" s="22"/>
      <c r="AV3731" s="22"/>
      <c r="AW3731" s="9"/>
      <c r="BA3731" s="22"/>
      <c r="BB3731" s="22"/>
      <c r="BD3731" s="9"/>
      <c r="CT3731" s="22">
        <f t="shared" ref="CT3731:CT3762" si="267">+BA3731+BG3731+BM3731+BS3731+BY3731+CE3731+CK3731</f>
        <v>0</v>
      </c>
      <c r="CU3731" s="22">
        <f t="shared" ref="CU3731:CU3762" si="268">+AL3731+AT3731-CT3731</f>
        <v>0</v>
      </c>
      <c r="CV3731" s="26">
        <f t="shared" si="266"/>
        <v>0</v>
      </c>
    </row>
    <row r="3732" spans="2:100" x14ac:dyDescent="0.2">
      <c r="B3732" s="2">
        <v>61</v>
      </c>
      <c r="C3732" s="3" t="s">
        <v>95</v>
      </c>
      <c r="D3732" s="3" t="s">
        <v>96</v>
      </c>
      <c r="E3732" s="2"/>
      <c r="F3732" s="2"/>
      <c r="G3732" s="2" t="s">
        <v>72</v>
      </c>
      <c r="H3732" s="2">
        <v>4</v>
      </c>
      <c r="I3732" s="20">
        <v>128.16</v>
      </c>
      <c r="J3732" s="20">
        <v>71200</v>
      </c>
      <c r="K3732" s="3">
        <v>0</v>
      </c>
      <c r="L3732" s="3" t="s">
        <v>97</v>
      </c>
      <c r="N3732" s="9"/>
      <c r="W3732" s="10"/>
      <c r="Z3732" s="9"/>
      <c r="AA3732" s="207"/>
      <c r="AB3732" s="9"/>
      <c r="AC3732" s="9"/>
      <c r="AE3732" s="54"/>
      <c r="AF3732" s="54"/>
      <c r="AL3732" s="22"/>
      <c r="AM3732" s="22"/>
      <c r="AN3732" s="22"/>
      <c r="AO3732" s="22"/>
      <c r="AP3732" s="22"/>
      <c r="AQ3732" s="22"/>
      <c r="AR3732" s="22"/>
      <c r="AS3732" s="22"/>
      <c r="AT3732" s="22"/>
      <c r="AU3732" s="22"/>
      <c r="AV3732" s="22"/>
      <c r="AW3732" s="9"/>
      <c r="BA3732" s="22"/>
      <c r="BB3732" s="22"/>
      <c r="BD3732" s="9"/>
      <c r="CT3732" s="22">
        <f t="shared" si="267"/>
        <v>0</v>
      </c>
      <c r="CU3732" s="22">
        <f t="shared" si="268"/>
        <v>0</v>
      </c>
      <c r="CV3732" s="26">
        <f t="shared" si="266"/>
        <v>0</v>
      </c>
    </row>
    <row r="3733" spans="2:100" x14ac:dyDescent="0.2">
      <c r="B3733" s="2">
        <v>62</v>
      </c>
      <c r="C3733" s="3" t="s">
        <v>95</v>
      </c>
      <c r="D3733" s="3" t="s">
        <v>96</v>
      </c>
      <c r="E3733" s="2"/>
      <c r="F3733" s="2"/>
      <c r="G3733" s="2" t="s">
        <v>72</v>
      </c>
      <c r="H3733" s="2">
        <v>5</v>
      </c>
      <c r="I3733" s="20">
        <v>128.16</v>
      </c>
      <c r="J3733" s="20">
        <v>71200</v>
      </c>
      <c r="K3733" s="3">
        <v>0</v>
      </c>
      <c r="L3733" s="3" t="s">
        <v>97</v>
      </c>
      <c r="N3733" s="9"/>
      <c r="W3733" s="10"/>
      <c r="Z3733" s="9"/>
      <c r="AA3733" s="207"/>
      <c r="AB3733" s="9"/>
      <c r="AC3733" s="9"/>
      <c r="AE3733" s="54"/>
      <c r="AF3733" s="54"/>
      <c r="AL3733" s="22"/>
      <c r="AM3733" s="22"/>
      <c r="AN3733" s="22"/>
      <c r="AO3733" s="22"/>
      <c r="AP3733" s="22"/>
      <c r="AQ3733" s="22"/>
      <c r="AR3733" s="22"/>
      <c r="AS3733" s="22"/>
      <c r="AT3733" s="22"/>
      <c r="AU3733" s="22"/>
      <c r="AV3733" s="22"/>
      <c r="AW3733" s="9"/>
      <c r="BA3733" s="22"/>
      <c r="BB3733" s="22"/>
      <c r="BD3733" s="9"/>
      <c r="CT3733" s="22">
        <f t="shared" si="267"/>
        <v>0</v>
      </c>
      <c r="CU3733" s="22">
        <f t="shared" si="268"/>
        <v>0</v>
      </c>
      <c r="CV3733" s="26">
        <f t="shared" si="266"/>
        <v>0</v>
      </c>
    </row>
    <row r="3734" spans="2:100" x14ac:dyDescent="0.2">
      <c r="B3734" s="2">
        <v>63</v>
      </c>
      <c r="C3734" s="3" t="s">
        <v>95</v>
      </c>
      <c r="D3734" s="3" t="s">
        <v>96</v>
      </c>
      <c r="E3734" s="2"/>
      <c r="F3734" s="2"/>
      <c r="G3734" s="2" t="s">
        <v>72</v>
      </c>
      <c r="H3734" s="2">
        <v>6</v>
      </c>
      <c r="I3734" s="20">
        <v>128.16</v>
      </c>
      <c r="J3734" s="20">
        <v>71200</v>
      </c>
      <c r="K3734" s="3">
        <v>0</v>
      </c>
      <c r="L3734" s="3" t="s">
        <v>97</v>
      </c>
      <c r="N3734" s="9"/>
      <c r="W3734" s="10"/>
      <c r="Z3734" s="9"/>
      <c r="AA3734" s="207"/>
      <c r="AB3734" s="9"/>
      <c r="AC3734" s="9"/>
      <c r="AE3734" s="54"/>
      <c r="AF3734" s="54"/>
      <c r="AL3734" s="22"/>
      <c r="AM3734" s="22"/>
      <c r="AN3734" s="22"/>
      <c r="AO3734" s="22"/>
      <c r="AP3734" s="22"/>
      <c r="AQ3734" s="22"/>
      <c r="AR3734" s="22"/>
      <c r="AS3734" s="22"/>
      <c r="AT3734" s="22"/>
      <c r="AU3734" s="22"/>
      <c r="AV3734" s="22"/>
      <c r="AW3734" s="9"/>
      <c r="BA3734" s="22"/>
      <c r="BB3734" s="22"/>
      <c r="BD3734" s="9"/>
      <c r="CT3734" s="22">
        <f t="shared" si="267"/>
        <v>0</v>
      </c>
      <c r="CU3734" s="22">
        <f t="shared" si="268"/>
        <v>0</v>
      </c>
      <c r="CV3734" s="26">
        <f t="shared" si="266"/>
        <v>0</v>
      </c>
    </row>
    <row r="3735" spans="2:100" x14ac:dyDescent="0.2">
      <c r="B3735" s="2">
        <v>64</v>
      </c>
      <c r="C3735" s="3" t="s">
        <v>95</v>
      </c>
      <c r="D3735" s="3" t="s">
        <v>96</v>
      </c>
      <c r="E3735" s="2"/>
      <c r="F3735" s="2"/>
      <c r="G3735" s="2" t="s">
        <v>72</v>
      </c>
      <c r="H3735" s="2">
        <v>7</v>
      </c>
      <c r="I3735" s="20">
        <v>128.16</v>
      </c>
      <c r="J3735" s="20">
        <v>71200</v>
      </c>
      <c r="K3735" s="3">
        <v>0</v>
      </c>
      <c r="L3735" s="3" t="s">
        <v>97</v>
      </c>
      <c r="N3735" s="9"/>
      <c r="W3735" s="10"/>
      <c r="Z3735" s="9"/>
      <c r="AA3735" s="207"/>
      <c r="AB3735" s="9"/>
      <c r="AC3735" s="9"/>
      <c r="AE3735" s="54"/>
      <c r="AF3735" s="54"/>
      <c r="AL3735" s="22"/>
      <c r="AM3735" s="22"/>
      <c r="AN3735" s="22"/>
      <c r="AO3735" s="22"/>
      <c r="AP3735" s="22"/>
      <c r="AQ3735" s="22"/>
      <c r="AR3735" s="22"/>
      <c r="AS3735" s="22"/>
      <c r="AT3735" s="22"/>
      <c r="AU3735" s="22"/>
      <c r="AV3735" s="22"/>
      <c r="AW3735" s="9"/>
      <c r="BA3735" s="22"/>
      <c r="BB3735" s="22"/>
      <c r="BD3735" s="9"/>
      <c r="CT3735" s="22">
        <f t="shared" si="267"/>
        <v>0</v>
      </c>
      <c r="CU3735" s="22">
        <f t="shared" si="268"/>
        <v>0</v>
      </c>
      <c r="CV3735" s="26">
        <f t="shared" si="266"/>
        <v>0</v>
      </c>
    </row>
    <row r="3736" spans="2:100" x14ac:dyDescent="0.2">
      <c r="B3736" s="2">
        <v>69</v>
      </c>
      <c r="C3736" s="3" t="s">
        <v>95</v>
      </c>
      <c r="D3736" s="3" t="s">
        <v>96</v>
      </c>
      <c r="E3736" s="2"/>
      <c r="F3736" s="2"/>
      <c r="G3736" s="2" t="s">
        <v>73</v>
      </c>
      <c r="H3736" s="2">
        <v>3</v>
      </c>
      <c r="I3736" s="20">
        <v>120.73</v>
      </c>
      <c r="J3736" s="20">
        <v>67072</v>
      </c>
      <c r="K3736" s="3">
        <v>0</v>
      </c>
      <c r="L3736" s="3" t="s">
        <v>97</v>
      </c>
      <c r="N3736" s="9"/>
      <c r="W3736" s="10"/>
      <c r="Z3736" s="9"/>
      <c r="AA3736" s="207"/>
      <c r="AB3736" s="9"/>
      <c r="AC3736" s="9"/>
      <c r="AE3736" s="54"/>
      <c r="AF3736" s="54"/>
      <c r="AL3736" s="22"/>
      <c r="AM3736" s="22"/>
      <c r="AN3736" s="22"/>
      <c r="AO3736" s="22"/>
      <c r="AP3736" s="22"/>
      <c r="AQ3736" s="22"/>
      <c r="AR3736" s="22"/>
      <c r="AS3736" s="22"/>
      <c r="AT3736" s="22"/>
      <c r="AU3736" s="22"/>
      <c r="AV3736" s="22"/>
      <c r="AW3736" s="9"/>
      <c r="BA3736" s="22"/>
      <c r="BB3736" s="22"/>
      <c r="BD3736" s="9"/>
      <c r="CT3736" s="22">
        <f t="shared" si="267"/>
        <v>0</v>
      </c>
      <c r="CU3736" s="22">
        <f t="shared" si="268"/>
        <v>0</v>
      </c>
      <c r="CV3736" s="26">
        <f t="shared" si="266"/>
        <v>0</v>
      </c>
    </row>
    <row r="3737" spans="2:100" x14ac:dyDescent="0.2">
      <c r="B3737" s="2">
        <v>73</v>
      </c>
      <c r="C3737" s="3" t="s">
        <v>95</v>
      </c>
      <c r="D3737" s="3" t="s">
        <v>96</v>
      </c>
      <c r="E3737" s="2"/>
      <c r="F3737" s="2"/>
      <c r="G3737" s="2" t="s">
        <v>73</v>
      </c>
      <c r="H3737" s="2">
        <v>7</v>
      </c>
      <c r="I3737" s="20">
        <v>141.49</v>
      </c>
      <c r="J3737" s="20">
        <v>78605</v>
      </c>
      <c r="K3737" s="3">
        <v>0</v>
      </c>
      <c r="L3737" s="3" t="s">
        <v>97</v>
      </c>
      <c r="N3737" s="9"/>
      <c r="W3737" s="10"/>
      <c r="Z3737" s="9"/>
      <c r="AA3737" s="207"/>
      <c r="AB3737" s="9"/>
      <c r="AC3737" s="9"/>
      <c r="AE3737" s="54"/>
      <c r="AF3737" s="54"/>
      <c r="AL3737" s="22"/>
      <c r="AM3737" s="22"/>
      <c r="AN3737" s="22"/>
      <c r="AO3737" s="22"/>
      <c r="AP3737" s="22"/>
      <c r="AQ3737" s="22"/>
      <c r="AR3737" s="22"/>
      <c r="AS3737" s="22"/>
      <c r="AT3737" s="22"/>
      <c r="AU3737" s="22"/>
      <c r="AV3737" s="22"/>
      <c r="AW3737" s="9"/>
      <c r="BA3737" s="22"/>
      <c r="BB3737" s="22"/>
      <c r="BD3737" s="9"/>
      <c r="CT3737" s="22">
        <f t="shared" si="267"/>
        <v>0</v>
      </c>
      <c r="CU3737" s="22">
        <f t="shared" si="268"/>
        <v>0</v>
      </c>
      <c r="CV3737" s="26">
        <f t="shared" si="266"/>
        <v>0</v>
      </c>
    </row>
    <row r="3738" spans="2:100" x14ac:dyDescent="0.2">
      <c r="B3738" s="2">
        <v>80</v>
      </c>
      <c r="C3738" s="3" t="s">
        <v>95</v>
      </c>
      <c r="D3738" s="3" t="s">
        <v>96</v>
      </c>
      <c r="E3738" s="2"/>
      <c r="F3738" s="2"/>
      <c r="G3738" s="2" t="s">
        <v>74</v>
      </c>
      <c r="H3738" s="2">
        <v>5</v>
      </c>
      <c r="I3738" s="20">
        <v>90</v>
      </c>
      <c r="J3738" s="20">
        <v>40000</v>
      </c>
      <c r="K3738" s="3">
        <v>0</v>
      </c>
      <c r="L3738" s="3" t="s">
        <v>3</v>
      </c>
      <c r="N3738" s="9"/>
      <c r="W3738" s="10"/>
      <c r="Z3738" s="9"/>
      <c r="AA3738" s="207"/>
      <c r="AB3738" s="9"/>
      <c r="AC3738" s="9"/>
      <c r="AE3738" s="54"/>
      <c r="AF3738" s="54"/>
      <c r="AL3738" s="22"/>
      <c r="AM3738" s="22"/>
      <c r="AN3738" s="22"/>
      <c r="AO3738" s="22"/>
      <c r="AP3738" s="22"/>
      <c r="AQ3738" s="22"/>
      <c r="AR3738" s="22"/>
      <c r="AS3738" s="22"/>
      <c r="AT3738" s="22"/>
      <c r="AU3738" s="22"/>
      <c r="AV3738" s="22"/>
      <c r="AW3738" s="9"/>
      <c r="BA3738" s="22"/>
      <c r="BB3738" s="22"/>
      <c r="BD3738" s="9"/>
      <c r="CT3738" s="22">
        <f t="shared" si="267"/>
        <v>0</v>
      </c>
      <c r="CU3738" s="22">
        <f t="shared" si="268"/>
        <v>0</v>
      </c>
      <c r="CV3738" s="26">
        <f t="shared" si="266"/>
        <v>0</v>
      </c>
    </row>
    <row r="3739" spans="2:100" x14ac:dyDescent="0.2">
      <c r="B3739" s="2">
        <v>84</v>
      </c>
      <c r="C3739" s="3" t="s">
        <v>95</v>
      </c>
      <c r="D3739" s="3" t="s">
        <v>96</v>
      </c>
      <c r="E3739" s="2"/>
      <c r="F3739" s="2"/>
      <c r="G3739" s="2" t="s">
        <v>75</v>
      </c>
      <c r="H3739" s="2">
        <v>1</v>
      </c>
      <c r="I3739" s="20">
        <v>288.7</v>
      </c>
      <c r="J3739" s="20">
        <v>1283107</v>
      </c>
      <c r="K3739" s="3">
        <v>0</v>
      </c>
      <c r="L3739" s="3" t="s">
        <v>99</v>
      </c>
      <c r="N3739" s="9"/>
      <c r="W3739" s="10"/>
      <c r="Z3739" s="9"/>
      <c r="AA3739" s="207"/>
      <c r="AB3739" s="9"/>
      <c r="AC3739" s="9"/>
      <c r="AE3739" s="54"/>
      <c r="AF3739" s="54"/>
      <c r="AL3739" s="22"/>
      <c r="AM3739" s="22"/>
      <c r="AN3739" s="22"/>
      <c r="AO3739" s="22"/>
      <c r="AP3739" s="22"/>
      <c r="AQ3739" s="22"/>
      <c r="AR3739" s="22"/>
      <c r="AS3739" s="22"/>
      <c r="AT3739" s="22"/>
      <c r="AU3739" s="22"/>
      <c r="AV3739" s="22"/>
      <c r="AW3739" s="9"/>
      <c r="BA3739" s="22"/>
      <c r="BB3739" s="22"/>
      <c r="BD3739" s="9"/>
      <c r="CT3739" s="22">
        <f t="shared" si="267"/>
        <v>0</v>
      </c>
      <c r="CU3739" s="22">
        <f t="shared" si="268"/>
        <v>0</v>
      </c>
      <c r="CV3739" s="26">
        <f t="shared" si="266"/>
        <v>0</v>
      </c>
    </row>
    <row r="3740" spans="2:100" x14ac:dyDescent="0.2">
      <c r="B3740" s="2">
        <v>85</v>
      </c>
      <c r="C3740" s="3" t="s">
        <v>95</v>
      </c>
      <c r="D3740" s="3" t="s">
        <v>96</v>
      </c>
      <c r="E3740" s="2"/>
      <c r="F3740" s="2"/>
      <c r="G3740" s="2" t="s">
        <v>75</v>
      </c>
      <c r="H3740" s="2">
        <v>2</v>
      </c>
      <c r="I3740" s="20">
        <v>318.64</v>
      </c>
      <c r="J3740" s="20">
        <v>1416173</v>
      </c>
      <c r="K3740" s="3">
        <v>0</v>
      </c>
      <c r="L3740" s="3" t="s">
        <v>99</v>
      </c>
      <c r="N3740" s="9"/>
      <c r="W3740" s="10"/>
      <c r="Z3740" s="9"/>
      <c r="AA3740" s="207"/>
      <c r="AB3740" s="9"/>
      <c r="AC3740" s="9"/>
      <c r="AE3740" s="54"/>
      <c r="AF3740" s="54"/>
      <c r="AL3740" s="22"/>
      <c r="AM3740" s="22"/>
      <c r="AN3740" s="22"/>
      <c r="AO3740" s="22"/>
      <c r="AP3740" s="22"/>
      <c r="AQ3740" s="22"/>
      <c r="AR3740" s="22"/>
      <c r="AS3740" s="22"/>
      <c r="AT3740" s="22"/>
      <c r="AU3740" s="22"/>
      <c r="AV3740" s="22"/>
      <c r="AW3740" s="9"/>
      <c r="BA3740" s="22"/>
      <c r="BB3740" s="22"/>
      <c r="BD3740" s="9"/>
      <c r="CT3740" s="22">
        <f t="shared" si="267"/>
        <v>0</v>
      </c>
      <c r="CU3740" s="22">
        <f t="shared" si="268"/>
        <v>0</v>
      </c>
      <c r="CV3740" s="26">
        <f t="shared" si="266"/>
        <v>0</v>
      </c>
    </row>
    <row r="3741" spans="2:100" x14ac:dyDescent="0.2">
      <c r="B3741" s="2">
        <v>86</v>
      </c>
      <c r="C3741" s="3" t="s">
        <v>95</v>
      </c>
      <c r="D3741" s="3" t="s">
        <v>96</v>
      </c>
      <c r="E3741" s="2"/>
      <c r="F3741" s="2"/>
      <c r="G3741" s="2" t="s">
        <v>75</v>
      </c>
      <c r="H3741" s="2">
        <v>3</v>
      </c>
      <c r="I3741" s="20">
        <v>374.46</v>
      </c>
      <c r="J3741" s="20">
        <v>1664261</v>
      </c>
      <c r="K3741" s="3">
        <v>0</v>
      </c>
      <c r="L3741" s="3" t="s">
        <v>99</v>
      </c>
      <c r="N3741" s="9"/>
      <c r="W3741" s="10"/>
      <c r="Z3741" s="9"/>
      <c r="AA3741" s="207"/>
      <c r="AB3741" s="9"/>
      <c r="AC3741" s="9"/>
      <c r="AE3741" s="54"/>
      <c r="AF3741" s="54"/>
      <c r="AL3741" s="22"/>
      <c r="AM3741" s="22"/>
      <c r="AN3741" s="22"/>
      <c r="AO3741" s="22"/>
      <c r="AP3741" s="22"/>
      <c r="AQ3741" s="22"/>
      <c r="AR3741" s="22"/>
      <c r="AS3741" s="22"/>
      <c r="AT3741" s="22"/>
      <c r="AU3741" s="22"/>
      <c r="AV3741" s="22"/>
      <c r="AW3741" s="9"/>
      <c r="BA3741" s="22"/>
      <c r="BB3741" s="22"/>
      <c r="BD3741" s="9"/>
      <c r="CT3741" s="22">
        <f t="shared" si="267"/>
        <v>0</v>
      </c>
      <c r="CU3741" s="22">
        <f t="shared" si="268"/>
        <v>0</v>
      </c>
      <c r="CV3741" s="26">
        <f t="shared" si="266"/>
        <v>0</v>
      </c>
    </row>
    <row r="3742" spans="2:100" x14ac:dyDescent="0.2">
      <c r="B3742" s="2">
        <v>87</v>
      </c>
      <c r="C3742" s="3" t="s">
        <v>95</v>
      </c>
      <c r="D3742" s="3" t="s">
        <v>96</v>
      </c>
      <c r="E3742" s="2"/>
      <c r="F3742" s="2"/>
      <c r="G3742" s="2" t="s">
        <v>76</v>
      </c>
      <c r="H3742" s="2">
        <v>1</v>
      </c>
      <c r="I3742" s="20">
        <v>299.74</v>
      </c>
      <c r="J3742" s="20">
        <v>1332173</v>
      </c>
      <c r="K3742" s="3">
        <v>0</v>
      </c>
      <c r="L3742" s="3" t="s">
        <v>99</v>
      </c>
      <c r="N3742" s="9"/>
      <c r="W3742" s="10"/>
      <c r="Z3742" s="9"/>
      <c r="AA3742" s="209"/>
      <c r="AB3742" s="9"/>
      <c r="AC3742" s="9"/>
      <c r="AE3742" s="54"/>
      <c r="AF3742" s="54"/>
      <c r="AL3742" s="22"/>
      <c r="AM3742" s="22"/>
      <c r="AN3742" s="22"/>
      <c r="AO3742" s="22"/>
      <c r="AP3742" s="22"/>
      <c r="AQ3742" s="22"/>
      <c r="AR3742" s="22"/>
      <c r="AS3742" s="22"/>
      <c r="AT3742" s="22"/>
      <c r="AU3742" s="22"/>
      <c r="AV3742" s="22"/>
      <c r="AW3742" s="9"/>
      <c r="BA3742" s="22"/>
      <c r="BB3742" s="22"/>
      <c r="BD3742" s="9"/>
      <c r="CT3742" s="22">
        <f t="shared" si="267"/>
        <v>0</v>
      </c>
      <c r="CU3742" s="22">
        <f t="shared" si="268"/>
        <v>0</v>
      </c>
      <c r="CV3742" s="26">
        <f t="shared" si="266"/>
        <v>0</v>
      </c>
    </row>
    <row r="3743" spans="2:100" x14ac:dyDescent="0.2">
      <c r="B3743" s="2">
        <v>88</v>
      </c>
      <c r="C3743" s="3" t="s">
        <v>95</v>
      </c>
      <c r="D3743" s="3" t="s">
        <v>96</v>
      </c>
      <c r="E3743" s="2"/>
      <c r="F3743" s="2"/>
      <c r="G3743" s="2" t="s">
        <v>76</v>
      </c>
      <c r="H3743" s="2">
        <v>2</v>
      </c>
      <c r="I3743" s="20">
        <v>302.7</v>
      </c>
      <c r="J3743" s="20">
        <v>1345329</v>
      </c>
      <c r="K3743" s="3">
        <v>0</v>
      </c>
      <c r="L3743" s="3" t="s">
        <v>99</v>
      </c>
      <c r="N3743" s="9"/>
      <c r="W3743" s="10"/>
      <c r="Z3743" s="9"/>
      <c r="AA3743" s="209"/>
      <c r="AB3743" s="9"/>
      <c r="AC3743" s="9"/>
      <c r="AE3743" s="54"/>
      <c r="AF3743" s="54"/>
      <c r="AL3743" s="22"/>
      <c r="AM3743" s="22"/>
      <c r="AN3743" s="22"/>
      <c r="AO3743" s="22"/>
      <c r="AP3743" s="22"/>
      <c r="AQ3743" s="22"/>
      <c r="AR3743" s="22"/>
      <c r="AS3743" s="22"/>
      <c r="AT3743" s="22"/>
      <c r="AU3743" s="22"/>
      <c r="AV3743" s="22"/>
      <c r="AW3743" s="9"/>
      <c r="BA3743" s="22"/>
      <c r="BB3743" s="22"/>
      <c r="BD3743" s="9"/>
      <c r="CT3743" s="22">
        <f t="shared" si="267"/>
        <v>0</v>
      </c>
      <c r="CU3743" s="22">
        <f t="shared" si="268"/>
        <v>0</v>
      </c>
      <c r="CV3743" s="26">
        <f t="shared" si="266"/>
        <v>0</v>
      </c>
    </row>
    <row r="3744" spans="2:100" x14ac:dyDescent="0.2">
      <c r="B3744" s="2">
        <v>89</v>
      </c>
      <c r="C3744" s="3" t="s">
        <v>95</v>
      </c>
      <c r="D3744" s="3" t="s">
        <v>96</v>
      </c>
      <c r="E3744" s="2"/>
      <c r="F3744" s="2"/>
      <c r="G3744" s="2" t="s">
        <v>76</v>
      </c>
      <c r="H3744" s="2">
        <v>3</v>
      </c>
      <c r="I3744" s="20">
        <v>297.86</v>
      </c>
      <c r="J3744" s="20">
        <v>1323818</v>
      </c>
      <c r="K3744" s="3">
        <v>0</v>
      </c>
      <c r="L3744" s="3" t="s">
        <v>99</v>
      </c>
      <c r="N3744" s="9"/>
      <c r="W3744" s="10"/>
      <c r="Z3744" s="9"/>
      <c r="AA3744" s="209"/>
      <c r="AB3744" s="9"/>
      <c r="AC3744" s="9"/>
      <c r="AE3744" s="54"/>
      <c r="AF3744" s="54"/>
      <c r="AL3744" s="22"/>
      <c r="AM3744" s="22"/>
      <c r="AN3744" s="22"/>
      <c r="AO3744" s="22"/>
      <c r="AP3744" s="22"/>
      <c r="AQ3744" s="22"/>
      <c r="AR3744" s="22"/>
      <c r="AS3744" s="22"/>
      <c r="AT3744" s="22"/>
      <c r="AU3744" s="22"/>
      <c r="AV3744" s="22"/>
      <c r="AW3744" s="9"/>
      <c r="BA3744" s="22"/>
      <c r="BB3744" s="22"/>
      <c r="BD3744" s="9"/>
      <c r="CT3744" s="22">
        <f t="shared" si="267"/>
        <v>0</v>
      </c>
      <c r="CU3744" s="22">
        <f t="shared" si="268"/>
        <v>0</v>
      </c>
      <c r="CV3744" s="26">
        <f t="shared" si="266"/>
        <v>0</v>
      </c>
    </row>
    <row r="3745" spans="2:100" x14ac:dyDescent="0.2">
      <c r="B3745" s="2">
        <v>90</v>
      </c>
      <c r="C3745" s="3" t="s">
        <v>95</v>
      </c>
      <c r="D3745" s="3" t="s">
        <v>96</v>
      </c>
      <c r="E3745" s="2"/>
      <c r="F3745" s="2"/>
      <c r="G3745" s="2" t="s">
        <v>76</v>
      </c>
      <c r="H3745" s="2">
        <v>4</v>
      </c>
      <c r="I3745" s="20">
        <v>339.39</v>
      </c>
      <c r="J3745" s="20">
        <v>1508395</v>
      </c>
      <c r="K3745" s="3">
        <v>0</v>
      </c>
      <c r="L3745" s="3" t="s">
        <v>99</v>
      </c>
      <c r="N3745" s="9"/>
      <c r="W3745" s="10"/>
      <c r="Z3745" s="9"/>
      <c r="AA3745" s="209"/>
      <c r="AB3745" s="9"/>
      <c r="AC3745" s="9"/>
      <c r="AE3745" s="54"/>
      <c r="AF3745" s="54"/>
      <c r="AL3745" s="22"/>
      <c r="AM3745" s="22"/>
      <c r="AN3745" s="22"/>
      <c r="AO3745" s="22"/>
      <c r="AP3745" s="22"/>
      <c r="AQ3745" s="22"/>
      <c r="AR3745" s="22"/>
      <c r="AS3745" s="22"/>
      <c r="AT3745" s="22"/>
      <c r="AU3745" s="22"/>
      <c r="AV3745" s="22"/>
      <c r="AW3745" s="9"/>
      <c r="BA3745" s="22"/>
      <c r="BB3745" s="22"/>
      <c r="BD3745" s="9"/>
      <c r="CT3745" s="22">
        <f t="shared" si="267"/>
        <v>0</v>
      </c>
      <c r="CU3745" s="22">
        <f t="shared" si="268"/>
        <v>0</v>
      </c>
      <c r="CV3745" s="26">
        <f t="shared" si="266"/>
        <v>0</v>
      </c>
    </row>
    <row r="3746" spans="2:100" x14ac:dyDescent="0.2">
      <c r="B3746" s="2">
        <v>91</v>
      </c>
      <c r="C3746" s="3" t="s">
        <v>95</v>
      </c>
      <c r="D3746" s="3" t="s">
        <v>96</v>
      </c>
      <c r="E3746" s="2"/>
      <c r="F3746" s="2"/>
      <c r="G3746" s="2" t="s">
        <v>76</v>
      </c>
      <c r="H3746" s="2">
        <v>5</v>
      </c>
      <c r="I3746" s="20">
        <v>328.92</v>
      </c>
      <c r="J3746" s="20">
        <v>1461862</v>
      </c>
      <c r="K3746" s="3">
        <v>0</v>
      </c>
      <c r="L3746" s="3" t="s">
        <v>99</v>
      </c>
      <c r="N3746" s="9"/>
      <c r="W3746" s="10"/>
      <c r="Z3746" s="9"/>
      <c r="AA3746" s="209"/>
      <c r="AB3746" s="9"/>
      <c r="AC3746" s="9"/>
      <c r="AE3746" s="54"/>
      <c r="AF3746" s="54"/>
      <c r="AL3746" s="22"/>
      <c r="AM3746" s="22"/>
      <c r="AN3746" s="22"/>
      <c r="AO3746" s="22"/>
      <c r="AP3746" s="22"/>
      <c r="AQ3746" s="22"/>
      <c r="AR3746" s="22"/>
      <c r="AS3746" s="22"/>
      <c r="AT3746" s="22"/>
      <c r="AU3746" s="22"/>
      <c r="AV3746" s="22"/>
      <c r="AW3746" s="9"/>
      <c r="BA3746" s="22"/>
      <c r="BB3746" s="22"/>
      <c r="BD3746" s="9"/>
      <c r="CT3746" s="22">
        <f t="shared" si="267"/>
        <v>0</v>
      </c>
      <c r="CU3746" s="22">
        <f t="shared" si="268"/>
        <v>0</v>
      </c>
      <c r="CV3746" s="26">
        <f t="shared" si="266"/>
        <v>0</v>
      </c>
    </row>
    <row r="3747" spans="2:100" x14ac:dyDescent="0.2">
      <c r="B3747" s="2">
        <v>97</v>
      </c>
      <c r="C3747" s="3" t="s">
        <v>95</v>
      </c>
      <c r="D3747" s="3" t="s">
        <v>96</v>
      </c>
      <c r="E3747" s="2"/>
      <c r="F3747" s="2"/>
      <c r="G3747" s="2" t="s">
        <v>78</v>
      </c>
      <c r="H3747" s="2">
        <v>2</v>
      </c>
      <c r="I3747" s="20">
        <v>150.29</v>
      </c>
      <c r="J3747" s="20">
        <v>83494</v>
      </c>
      <c r="K3747" s="3">
        <v>0</v>
      </c>
      <c r="L3747" s="3" t="s">
        <v>97</v>
      </c>
      <c r="N3747" s="9"/>
      <c r="W3747" s="10"/>
      <c r="Z3747" s="9"/>
      <c r="AA3747" s="209"/>
      <c r="AB3747" s="9"/>
      <c r="AC3747" s="9"/>
      <c r="AE3747" s="54"/>
      <c r="AF3747" s="54"/>
      <c r="AL3747" s="22"/>
      <c r="AM3747" s="22"/>
      <c r="AN3747" s="22"/>
      <c r="AO3747" s="22"/>
      <c r="AP3747" s="22"/>
      <c r="AQ3747" s="22"/>
      <c r="AR3747" s="22"/>
      <c r="AS3747" s="22"/>
      <c r="AT3747" s="22"/>
      <c r="AU3747" s="22"/>
      <c r="AV3747" s="22"/>
      <c r="AW3747" s="9"/>
      <c r="BA3747" s="22"/>
      <c r="BB3747" s="22"/>
      <c r="BD3747" s="9"/>
      <c r="CT3747" s="22">
        <f t="shared" si="267"/>
        <v>0</v>
      </c>
      <c r="CU3747" s="22">
        <f t="shared" si="268"/>
        <v>0</v>
      </c>
      <c r="CV3747" s="26">
        <f t="shared" si="266"/>
        <v>0</v>
      </c>
    </row>
    <row r="3748" spans="2:100" x14ac:dyDescent="0.2">
      <c r="B3748" s="2">
        <v>99</v>
      </c>
      <c r="C3748" s="3" t="s">
        <v>95</v>
      </c>
      <c r="D3748" s="3" t="s">
        <v>96</v>
      </c>
      <c r="E3748" s="2"/>
      <c r="F3748" s="2"/>
      <c r="G3748" s="2" t="s">
        <v>78</v>
      </c>
      <c r="H3748" s="2">
        <v>4</v>
      </c>
      <c r="I3748" s="20">
        <v>134.9</v>
      </c>
      <c r="J3748" s="20">
        <v>74944</v>
      </c>
      <c r="K3748" s="3">
        <v>0</v>
      </c>
      <c r="L3748" s="3" t="s">
        <v>97</v>
      </c>
      <c r="N3748" s="9"/>
      <c r="W3748" s="10"/>
      <c r="Z3748" s="9"/>
      <c r="AA3748" s="209"/>
      <c r="AB3748" s="9"/>
      <c r="AC3748" s="9"/>
      <c r="AE3748" s="54"/>
      <c r="AF3748" s="54"/>
      <c r="AL3748" s="22"/>
      <c r="AM3748" s="22"/>
      <c r="AN3748" s="22"/>
      <c r="AO3748" s="22"/>
      <c r="AP3748" s="22"/>
      <c r="AQ3748" s="22"/>
      <c r="AR3748" s="22"/>
      <c r="AS3748" s="22"/>
      <c r="AT3748" s="22"/>
      <c r="AU3748" s="22"/>
      <c r="AV3748" s="22"/>
      <c r="AW3748" s="9"/>
      <c r="BA3748" s="22"/>
      <c r="BB3748" s="22"/>
      <c r="BD3748" s="9"/>
      <c r="CT3748" s="22">
        <f t="shared" si="267"/>
        <v>0</v>
      </c>
      <c r="CU3748" s="22">
        <f t="shared" si="268"/>
        <v>0</v>
      </c>
      <c r="CV3748" s="26">
        <f t="shared" si="266"/>
        <v>0</v>
      </c>
    </row>
    <row r="3749" spans="2:100" x14ac:dyDescent="0.2">
      <c r="B3749" s="2">
        <v>101</v>
      </c>
      <c r="C3749" s="3" t="s">
        <v>95</v>
      </c>
      <c r="D3749" s="3" t="s">
        <v>96</v>
      </c>
      <c r="E3749" s="2"/>
      <c r="F3749" s="2"/>
      <c r="G3749" s="2" t="s">
        <v>78</v>
      </c>
      <c r="H3749" s="2">
        <v>6</v>
      </c>
      <c r="I3749" s="20">
        <v>130.63999999999999</v>
      </c>
      <c r="J3749" s="20">
        <v>72577</v>
      </c>
      <c r="K3749" s="3">
        <v>0</v>
      </c>
      <c r="L3749" s="3" t="s">
        <v>97</v>
      </c>
      <c r="N3749" s="9"/>
      <c r="W3749" s="10"/>
      <c r="Z3749" s="9"/>
      <c r="AA3749" s="209"/>
      <c r="AB3749" s="9"/>
      <c r="AC3749" s="9"/>
      <c r="AE3749" s="54"/>
      <c r="AF3749" s="54"/>
      <c r="AL3749" s="22"/>
      <c r="AM3749" s="22"/>
      <c r="AN3749" s="22"/>
      <c r="AO3749" s="22"/>
      <c r="AP3749" s="22"/>
      <c r="AQ3749" s="22"/>
      <c r="AR3749" s="22"/>
      <c r="AS3749" s="22"/>
      <c r="AT3749" s="22"/>
      <c r="AU3749" s="22"/>
      <c r="AV3749" s="22"/>
      <c r="AW3749" s="9"/>
      <c r="BA3749" s="22"/>
      <c r="BB3749" s="22"/>
      <c r="BD3749" s="9"/>
      <c r="CT3749" s="22">
        <f t="shared" si="267"/>
        <v>0</v>
      </c>
      <c r="CU3749" s="22">
        <f t="shared" si="268"/>
        <v>0</v>
      </c>
      <c r="CV3749" s="26">
        <f t="shared" si="266"/>
        <v>0</v>
      </c>
    </row>
    <row r="3750" spans="2:100" x14ac:dyDescent="0.2">
      <c r="B3750" s="2">
        <v>103</v>
      </c>
      <c r="C3750" s="3" t="s">
        <v>95</v>
      </c>
      <c r="D3750" s="3" t="s">
        <v>96</v>
      </c>
      <c r="E3750" s="2"/>
      <c r="F3750" s="2"/>
      <c r="G3750" s="2" t="s">
        <v>79</v>
      </c>
      <c r="H3750" s="2">
        <v>1</v>
      </c>
      <c r="I3750" s="20">
        <v>129.13999999999999</v>
      </c>
      <c r="J3750" s="20">
        <v>71744</v>
      </c>
      <c r="K3750" s="3">
        <v>0</v>
      </c>
      <c r="L3750" s="3" t="s">
        <v>97</v>
      </c>
      <c r="N3750" s="9"/>
      <c r="W3750" s="10"/>
      <c r="Z3750" s="9"/>
      <c r="AA3750" s="207"/>
      <c r="AB3750" s="9"/>
      <c r="AC3750" s="9"/>
      <c r="AE3750" s="54"/>
      <c r="AF3750" s="54"/>
      <c r="AL3750" s="22"/>
      <c r="AM3750" s="22"/>
      <c r="AN3750" s="22"/>
      <c r="AO3750" s="22"/>
      <c r="AP3750" s="22"/>
      <c r="AQ3750" s="22"/>
      <c r="AR3750" s="22"/>
      <c r="AS3750" s="22"/>
      <c r="AT3750" s="22"/>
      <c r="AU3750" s="22"/>
      <c r="AV3750" s="22"/>
      <c r="AW3750" s="9"/>
      <c r="BA3750" s="22"/>
      <c r="BB3750" s="22"/>
      <c r="BD3750" s="9"/>
      <c r="CT3750" s="22">
        <f t="shared" si="267"/>
        <v>0</v>
      </c>
      <c r="CU3750" s="22">
        <f t="shared" si="268"/>
        <v>0</v>
      </c>
      <c r="CV3750" s="26">
        <f t="shared" si="266"/>
        <v>0</v>
      </c>
    </row>
    <row r="3751" spans="2:100" x14ac:dyDescent="0.2">
      <c r="B3751" s="2">
        <v>104</v>
      </c>
      <c r="C3751" s="3" t="s">
        <v>95</v>
      </c>
      <c r="D3751" s="3" t="s">
        <v>96</v>
      </c>
      <c r="E3751" s="2"/>
      <c r="F3751" s="2"/>
      <c r="G3751" s="2" t="s">
        <v>79</v>
      </c>
      <c r="H3751" s="2">
        <v>2</v>
      </c>
      <c r="I3751" s="20">
        <v>129.88999999999999</v>
      </c>
      <c r="J3751" s="20">
        <v>72161</v>
      </c>
      <c r="K3751" s="3">
        <v>0</v>
      </c>
      <c r="L3751" s="3" t="s">
        <v>97</v>
      </c>
      <c r="N3751" s="9"/>
      <c r="W3751" s="10"/>
      <c r="Z3751" s="9"/>
      <c r="AA3751" s="207"/>
      <c r="AB3751" s="9"/>
      <c r="AC3751" s="9"/>
      <c r="AE3751" s="54"/>
      <c r="AF3751" s="54"/>
      <c r="AL3751" s="22"/>
      <c r="AM3751" s="22"/>
      <c r="AN3751" s="22"/>
      <c r="AO3751" s="22"/>
      <c r="AP3751" s="22"/>
      <c r="AQ3751" s="22"/>
      <c r="AR3751" s="22"/>
      <c r="AS3751" s="22"/>
      <c r="AT3751" s="22"/>
      <c r="AU3751" s="22"/>
      <c r="AV3751" s="22"/>
      <c r="AW3751" s="9"/>
      <c r="BA3751" s="22"/>
      <c r="BB3751" s="22"/>
      <c r="BD3751" s="9"/>
      <c r="CT3751" s="22">
        <f t="shared" si="267"/>
        <v>0</v>
      </c>
      <c r="CU3751" s="22">
        <f t="shared" si="268"/>
        <v>0</v>
      </c>
      <c r="CV3751" s="26">
        <f t="shared" si="266"/>
        <v>0</v>
      </c>
    </row>
    <row r="3752" spans="2:100" x14ac:dyDescent="0.2">
      <c r="B3752" s="2">
        <v>105</v>
      </c>
      <c r="C3752" s="3" t="s">
        <v>95</v>
      </c>
      <c r="D3752" s="3" t="s">
        <v>96</v>
      </c>
      <c r="E3752" s="2"/>
      <c r="F3752" s="2"/>
      <c r="G3752" s="2" t="s">
        <v>79</v>
      </c>
      <c r="H3752" s="2">
        <v>3</v>
      </c>
      <c r="I3752" s="20">
        <v>128.80000000000001</v>
      </c>
      <c r="J3752" s="20">
        <v>71555</v>
      </c>
      <c r="K3752" s="3">
        <v>0</v>
      </c>
      <c r="L3752" s="3" t="s">
        <v>97</v>
      </c>
      <c r="N3752" s="9"/>
      <c r="W3752" s="10"/>
      <c r="Z3752" s="9"/>
      <c r="AA3752" s="207"/>
      <c r="AB3752" s="9"/>
      <c r="AC3752" s="9"/>
      <c r="AE3752" s="54"/>
      <c r="AF3752" s="54"/>
      <c r="AL3752" s="22"/>
      <c r="AM3752" s="22"/>
      <c r="AN3752" s="22"/>
      <c r="AO3752" s="22"/>
      <c r="AP3752" s="22"/>
      <c r="AQ3752" s="22"/>
      <c r="AR3752" s="22"/>
      <c r="AS3752" s="22"/>
      <c r="AT3752" s="22"/>
      <c r="AU3752" s="22"/>
      <c r="AV3752" s="22"/>
      <c r="AW3752" s="9"/>
      <c r="BA3752" s="22"/>
      <c r="BB3752" s="22"/>
      <c r="BD3752" s="9"/>
      <c r="CT3752" s="22">
        <f t="shared" si="267"/>
        <v>0</v>
      </c>
      <c r="CU3752" s="22">
        <f t="shared" si="268"/>
        <v>0</v>
      </c>
      <c r="CV3752" s="26">
        <f t="shared" ref="CV3752:CV3783" si="269">+AE3752-AL3752-AT3752</f>
        <v>0</v>
      </c>
    </row>
    <row r="3753" spans="2:100" x14ac:dyDescent="0.2">
      <c r="B3753" s="2">
        <v>106</v>
      </c>
      <c r="C3753" s="3" t="s">
        <v>95</v>
      </c>
      <c r="D3753" s="3" t="s">
        <v>96</v>
      </c>
      <c r="E3753" s="2"/>
      <c r="F3753" s="2"/>
      <c r="G3753" s="2" t="s">
        <v>79</v>
      </c>
      <c r="H3753" s="2">
        <v>4</v>
      </c>
      <c r="I3753" s="20">
        <v>128.80000000000001</v>
      </c>
      <c r="J3753" s="20">
        <v>71555</v>
      </c>
      <c r="K3753" s="3">
        <v>0</v>
      </c>
      <c r="L3753" s="3" t="s">
        <v>97</v>
      </c>
      <c r="N3753" s="9"/>
      <c r="W3753" s="10"/>
      <c r="Z3753" s="9"/>
      <c r="AA3753" s="207"/>
      <c r="AB3753" s="9"/>
      <c r="AC3753" s="9"/>
      <c r="AE3753" s="54"/>
      <c r="AF3753" s="54"/>
      <c r="AL3753" s="22"/>
      <c r="AM3753" s="22"/>
      <c r="AN3753" s="22"/>
      <c r="AO3753" s="22"/>
      <c r="AP3753" s="22"/>
      <c r="AQ3753" s="22"/>
      <c r="AR3753" s="22"/>
      <c r="AS3753" s="22"/>
      <c r="AT3753" s="22"/>
      <c r="AU3753" s="22"/>
      <c r="AV3753" s="22"/>
      <c r="AW3753" s="9"/>
      <c r="BA3753" s="22"/>
      <c r="BB3753" s="22"/>
      <c r="BD3753" s="9"/>
      <c r="CT3753" s="22">
        <f t="shared" si="267"/>
        <v>0</v>
      </c>
      <c r="CU3753" s="22">
        <f t="shared" si="268"/>
        <v>0</v>
      </c>
      <c r="CV3753" s="26">
        <f t="shared" si="269"/>
        <v>0</v>
      </c>
    </row>
    <row r="3754" spans="2:100" x14ac:dyDescent="0.2">
      <c r="B3754" s="2">
        <v>108</v>
      </c>
      <c r="C3754" s="3" t="s">
        <v>95</v>
      </c>
      <c r="D3754" s="3" t="s">
        <v>96</v>
      </c>
      <c r="E3754" s="2"/>
      <c r="F3754" s="2"/>
      <c r="G3754" s="2" t="s">
        <v>79</v>
      </c>
      <c r="H3754" s="2">
        <v>6</v>
      </c>
      <c r="I3754" s="20">
        <v>137.11000000000001</v>
      </c>
      <c r="J3754" s="20">
        <v>76172</v>
      </c>
      <c r="K3754" s="3">
        <v>0</v>
      </c>
      <c r="L3754" s="3" t="s">
        <v>97</v>
      </c>
      <c r="N3754" s="9"/>
      <c r="W3754" s="10"/>
      <c r="Z3754" s="9"/>
      <c r="AA3754" s="207"/>
      <c r="AB3754" s="9"/>
      <c r="AC3754" s="9"/>
      <c r="AE3754" s="54"/>
      <c r="AF3754" s="54"/>
      <c r="AL3754" s="22"/>
      <c r="AM3754" s="22"/>
      <c r="AN3754" s="22"/>
      <c r="AO3754" s="22"/>
      <c r="AP3754" s="22"/>
      <c r="AQ3754" s="22"/>
      <c r="AR3754" s="22"/>
      <c r="AS3754" s="22"/>
      <c r="AT3754" s="22"/>
      <c r="AU3754" s="22"/>
      <c r="AV3754" s="22"/>
      <c r="AW3754" s="9"/>
      <c r="BA3754" s="22"/>
      <c r="BB3754" s="22"/>
      <c r="BD3754" s="9"/>
      <c r="CT3754" s="22">
        <f t="shared" si="267"/>
        <v>0</v>
      </c>
      <c r="CU3754" s="22">
        <f t="shared" si="268"/>
        <v>0</v>
      </c>
      <c r="CV3754" s="26">
        <f t="shared" si="269"/>
        <v>0</v>
      </c>
    </row>
    <row r="3755" spans="2:100" x14ac:dyDescent="0.2">
      <c r="B3755" s="2">
        <v>110</v>
      </c>
      <c r="C3755" s="3" t="s">
        <v>95</v>
      </c>
      <c r="D3755" s="3" t="s">
        <v>96</v>
      </c>
      <c r="E3755" s="2"/>
      <c r="F3755" s="2"/>
      <c r="G3755" s="2" t="s">
        <v>79</v>
      </c>
      <c r="H3755" s="2">
        <v>8</v>
      </c>
      <c r="I3755" s="20">
        <v>130.13999999999999</v>
      </c>
      <c r="J3755" s="20">
        <v>40499</v>
      </c>
      <c r="K3755" s="3">
        <v>0</v>
      </c>
      <c r="L3755" s="3" t="s">
        <v>3</v>
      </c>
      <c r="N3755" s="9"/>
      <c r="W3755" s="10"/>
      <c r="Z3755" s="9"/>
      <c r="AA3755" s="207"/>
      <c r="AB3755" s="9"/>
      <c r="AC3755" s="9"/>
      <c r="AE3755" s="54"/>
      <c r="AF3755" s="54"/>
      <c r="AL3755" s="22"/>
      <c r="AM3755" s="22"/>
      <c r="AN3755" s="22"/>
      <c r="AO3755" s="22"/>
      <c r="AP3755" s="22"/>
      <c r="AQ3755" s="22"/>
      <c r="AR3755" s="22"/>
      <c r="AS3755" s="22"/>
      <c r="AT3755" s="22"/>
      <c r="AU3755" s="22"/>
      <c r="AV3755" s="22"/>
      <c r="AW3755" s="9"/>
      <c r="BA3755" s="22"/>
      <c r="BB3755" s="22"/>
      <c r="BD3755" s="9"/>
      <c r="CT3755" s="22">
        <f t="shared" si="267"/>
        <v>0</v>
      </c>
      <c r="CU3755" s="22">
        <f t="shared" si="268"/>
        <v>0</v>
      </c>
      <c r="CV3755" s="26">
        <f t="shared" si="269"/>
        <v>0</v>
      </c>
    </row>
    <row r="3756" spans="2:100" x14ac:dyDescent="0.2">
      <c r="B3756" s="2">
        <v>116</v>
      </c>
      <c r="C3756" s="3" t="s">
        <v>95</v>
      </c>
      <c r="D3756" s="3" t="s">
        <v>96</v>
      </c>
      <c r="E3756" s="2"/>
      <c r="F3756" s="2"/>
      <c r="G3756" s="2" t="s">
        <v>80</v>
      </c>
      <c r="H3756" s="2">
        <v>6</v>
      </c>
      <c r="I3756" s="20">
        <v>125.02</v>
      </c>
      <c r="J3756" s="20">
        <v>55564</v>
      </c>
      <c r="K3756" s="3">
        <v>0</v>
      </c>
      <c r="L3756" s="3" t="s">
        <v>3</v>
      </c>
      <c r="N3756" s="9"/>
      <c r="W3756" s="10"/>
      <c r="Z3756" s="9"/>
      <c r="AA3756" s="207"/>
      <c r="AB3756" s="9"/>
      <c r="AC3756" s="9"/>
      <c r="AE3756" s="54"/>
      <c r="AF3756" s="54"/>
      <c r="AL3756" s="22"/>
      <c r="AM3756" s="22"/>
      <c r="AN3756" s="22"/>
      <c r="AO3756" s="22"/>
      <c r="AP3756" s="22"/>
      <c r="AQ3756" s="22"/>
      <c r="AR3756" s="22"/>
      <c r="AS3756" s="22"/>
      <c r="AT3756" s="22"/>
      <c r="AU3756" s="22"/>
      <c r="AV3756" s="22"/>
      <c r="AW3756" s="9"/>
      <c r="BA3756" s="22"/>
      <c r="BB3756" s="22"/>
      <c r="BD3756" s="9"/>
      <c r="CT3756" s="22">
        <f t="shared" si="267"/>
        <v>0</v>
      </c>
      <c r="CU3756" s="22">
        <f t="shared" si="268"/>
        <v>0</v>
      </c>
      <c r="CV3756" s="26">
        <f t="shared" si="269"/>
        <v>0</v>
      </c>
    </row>
    <row r="3757" spans="2:100" x14ac:dyDescent="0.2">
      <c r="B3757" s="2">
        <v>117</v>
      </c>
      <c r="C3757" s="3" t="s">
        <v>95</v>
      </c>
      <c r="D3757" s="3" t="s">
        <v>96</v>
      </c>
      <c r="E3757" s="2"/>
      <c r="F3757" s="2"/>
      <c r="G3757" s="2" t="s">
        <v>80</v>
      </c>
      <c r="H3757" s="2">
        <v>7</v>
      </c>
      <c r="I3757" s="20">
        <v>125.02</v>
      </c>
      <c r="J3757" s="20">
        <v>55564</v>
      </c>
      <c r="K3757" s="3">
        <v>0</v>
      </c>
      <c r="L3757" s="3" t="s">
        <v>3</v>
      </c>
      <c r="N3757" s="9"/>
      <c r="W3757" s="10"/>
      <c r="Z3757" s="9"/>
      <c r="AA3757" s="207"/>
      <c r="AB3757" s="9"/>
      <c r="AC3757" s="9"/>
      <c r="AE3757" s="54"/>
      <c r="AF3757" s="54"/>
      <c r="AL3757" s="22"/>
      <c r="AM3757" s="22"/>
      <c r="AN3757" s="22"/>
      <c r="AO3757" s="22"/>
      <c r="AP3757" s="22"/>
      <c r="AQ3757" s="22"/>
      <c r="AR3757" s="22"/>
      <c r="AS3757" s="22"/>
      <c r="AT3757" s="22"/>
      <c r="AU3757" s="22"/>
      <c r="AV3757" s="22"/>
      <c r="AW3757" s="9"/>
      <c r="BA3757" s="22"/>
      <c r="BB3757" s="22"/>
      <c r="BD3757" s="9"/>
      <c r="CT3757" s="22">
        <f t="shared" si="267"/>
        <v>0</v>
      </c>
      <c r="CU3757" s="22">
        <f t="shared" si="268"/>
        <v>0</v>
      </c>
      <c r="CV3757" s="26">
        <f t="shared" si="269"/>
        <v>0</v>
      </c>
    </row>
    <row r="3758" spans="2:100" x14ac:dyDescent="0.2">
      <c r="B3758" s="2">
        <v>121</v>
      </c>
      <c r="C3758" s="3" t="s">
        <v>95</v>
      </c>
      <c r="D3758" s="3" t="s">
        <v>96</v>
      </c>
      <c r="E3758" s="2"/>
      <c r="F3758" s="2"/>
      <c r="G3758" s="2" t="s">
        <v>81</v>
      </c>
      <c r="H3758" s="2">
        <v>4</v>
      </c>
      <c r="I3758" s="20">
        <v>177.75</v>
      </c>
      <c r="J3758" s="20">
        <v>102700</v>
      </c>
      <c r="K3758" s="3">
        <v>0</v>
      </c>
      <c r="L3758" s="3" t="s">
        <v>97</v>
      </c>
      <c r="N3758" s="9"/>
      <c r="W3758" s="10"/>
      <c r="Z3758" s="9"/>
      <c r="AA3758" s="207"/>
      <c r="AB3758" s="9"/>
      <c r="AC3758" s="9"/>
      <c r="AE3758" s="54"/>
      <c r="AF3758" s="54"/>
      <c r="AL3758" s="22"/>
      <c r="AM3758" s="22"/>
      <c r="AN3758" s="22"/>
      <c r="AO3758" s="22"/>
      <c r="AP3758" s="22"/>
      <c r="AQ3758" s="22"/>
      <c r="AR3758" s="22"/>
      <c r="AS3758" s="22"/>
      <c r="AT3758" s="22"/>
      <c r="AU3758" s="22"/>
      <c r="AV3758" s="22"/>
      <c r="AW3758" s="9"/>
      <c r="BA3758" s="22"/>
      <c r="BB3758" s="22"/>
      <c r="BD3758" s="9"/>
      <c r="CT3758" s="22">
        <f t="shared" si="267"/>
        <v>0</v>
      </c>
      <c r="CU3758" s="22">
        <f t="shared" si="268"/>
        <v>0</v>
      </c>
      <c r="CV3758" s="26">
        <f t="shared" si="269"/>
        <v>0</v>
      </c>
    </row>
    <row r="3759" spans="2:100" x14ac:dyDescent="0.2">
      <c r="B3759" s="2">
        <v>122</v>
      </c>
      <c r="C3759" s="3" t="s">
        <v>95</v>
      </c>
      <c r="D3759" s="3" t="s">
        <v>96</v>
      </c>
      <c r="E3759" s="2"/>
      <c r="F3759" s="2"/>
      <c r="G3759" s="2" t="s">
        <v>81</v>
      </c>
      <c r="H3759" s="2">
        <v>5</v>
      </c>
      <c r="I3759" s="20">
        <v>125.02</v>
      </c>
      <c r="J3759" s="20">
        <v>55564</v>
      </c>
      <c r="K3759" s="3">
        <v>0</v>
      </c>
      <c r="L3759" s="3" t="s">
        <v>3</v>
      </c>
      <c r="N3759" s="9"/>
      <c r="W3759" s="10"/>
      <c r="Z3759" s="9"/>
      <c r="AA3759" s="207"/>
      <c r="AB3759" s="9"/>
      <c r="AC3759" s="9"/>
      <c r="AE3759" s="54"/>
      <c r="AF3759" s="54"/>
      <c r="AL3759" s="22"/>
      <c r="AM3759" s="22"/>
      <c r="AN3759" s="22"/>
      <c r="AO3759" s="22"/>
      <c r="AP3759" s="22"/>
      <c r="AQ3759" s="22"/>
      <c r="AR3759" s="22"/>
      <c r="AS3759" s="22"/>
      <c r="AT3759" s="22"/>
      <c r="AU3759" s="22"/>
      <c r="AV3759" s="22"/>
      <c r="AW3759" s="9"/>
      <c r="BA3759" s="22"/>
      <c r="BB3759" s="22"/>
      <c r="BD3759" s="9"/>
      <c r="CT3759" s="22">
        <f t="shared" si="267"/>
        <v>0</v>
      </c>
      <c r="CU3759" s="22">
        <f t="shared" si="268"/>
        <v>0</v>
      </c>
      <c r="CV3759" s="26">
        <f t="shared" si="269"/>
        <v>0</v>
      </c>
    </row>
    <row r="3760" spans="2:100" x14ac:dyDescent="0.2">
      <c r="B3760" s="2">
        <v>123</v>
      </c>
      <c r="C3760" s="3" t="s">
        <v>95</v>
      </c>
      <c r="D3760" s="3" t="s">
        <v>96</v>
      </c>
      <c r="E3760" s="2"/>
      <c r="F3760" s="2"/>
      <c r="G3760" s="2" t="s">
        <v>81</v>
      </c>
      <c r="H3760" s="2">
        <v>6</v>
      </c>
      <c r="I3760" s="20">
        <v>125.02</v>
      </c>
      <c r="J3760" s="20">
        <v>55564</v>
      </c>
      <c r="K3760" s="3">
        <v>0</v>
      </c>
      <c r="L3760" s="3" t="s">
        <v>3</v>
      </c>
      <c r="N3760" s="9"/>
      <c r="W3760" s="10"/>
      <c r="Z3760" s="9"/>
      <c r="AA3760" s="207"/>
      <c r="AB3760" s="9"/>
      <c r="AC3760" s="9"/>
      <c r="AE3760" s="54"/>
      <c r="AF3760" s="54"/>
      <c r="AL3760" s="22"/>
      <c r="AM3760" s="22"/>
      <c r="AN3760" s="22"/>
      <c r="AO3760" s="22"/>
      <c r="AP3760" s="22"/>
      <c r="AQ3760" s="22"/>
      <c r="AR3760" s="22"/>
      <c r="AS3760" s="22"/>
      <c r="AT3760" s="22"/>
      <c r="AU3760" s="22"/>
      <c r="AV3760" s="22"/>
      <c r="AW3760" s="9"/>
      <c r="BA3760" s="22"/>
      <c r="BB3760" s="22"/>
      <c r="BD3760" s="9"/>
      <c r="CT3760" s="22">
        <f t="shared" si="267"/>
        <v>0</v>
      </c>
      <c r="CU3760" s="22">
        <f t="shared" si="268"/>
        <v>0</v>
      </c>
      <c r="CV3760" s="26">
        <f t="shared" si="269"/>
        <v>0</v>
      </c>
    </row>
    <row r="3761" spans="2:100" x14ac:dyDescent="0.2">
      <c r="B3761" s="2">
        <v>125</v>
      </c>
      <c r="C3761" s="3" t="s">
        <v>95</v>
      </c>
      <c r="D3761" s="3" t="s">
        <v>96</v>
      </c>
      <c r="E3761" s="2"/>
      <c r="F3761" s="2"/>
      <c r="G3761" s="2" t="s">
        <v>82</v>
      </c>
      <c r="H3761" s="2">
        <v>2</v>
      </c>
      <c r="I3761" s="20">
        <v>134.88</v>
      </c>
      <c r="J3761" s="20">
        <v>74933</v>
      </c>
      <c r="K3761" s="3">
        <v>0</v>
      </c>
      <c r="L3761" s="3" t="s">
        <v>97</v>
      </c>
      <c r="N3761" s="9"/>
      <c r="W3761" s="10"/>
      <c r="Z3761" s="9"/>
      <c r="AA3761" s="207"/>
      <c r="AB3761" s="9"/>
      <c r="AC3761" s="9"/>
      <c r="AE3761" s="54"/>
      <c r="AF3761" s="54"/>
      <c r="AL3761" s="22"/>
      <c r="AM3761" s="22"/>
      <c r="AN3761" s="22"/>
      <c r="AO3761" s="22"/>
      <c r="AP3761" s="22"/>
      <c r="AQ3761" s="22"/>
      <c r="AR3761" s="22"/>
      <c r="AS3761" s="22"/>
      <c r="AT3761" s="22"/>
      <c r="AU3761" s="22"/>
      <c r="AV3761" s="22"/>
      <c r="AW3761" s="9"/>
      <c r="BA3761" s="22"/>
      <c r="BB3761" s="22"/>
      <c r="BD3761" s="9"/>
      <c r="CT3761" s="22">
        <f t="shared" si="267"/>
        <v>0</v>
      </c>
      <c r="CU3761" s="22">
        <f t="shared" si="268"/>
        <v>0</v>
      </c>
      <c r="CV3761" s="26">
        <f t="shared" si="269"/>
        <v>0</v>
      </c>
    </row>
    <row r="3762" spans="2:100" x14ac:dyDescent="0.2">
      <c r="B3762" s="2">
        <v>126</v>
      </c>
      <c r="C3762" s="3" t="s">
        <v>95</v>
      </c>
      <c r="D3762" s="3" t="s">
        <v>96</v>
      </c>
      <c r="E3762" s="2"/>
      <c r="F3762" s="2"/>
      <c r="G3762" s="2" t="s">
        <v>82</v>
      </c>
      <c r="H3762" s="2">
        <v>3</v>
      </c>
      <c r="I3762" s="20">
        <v>134.88</v>
      </c>
      <c r="J3762" s="20">
        <v>74933</v>
      </c>
      <c r="K3762" s="3">
        <v>0</v>
      </c>
      <c r="L3762" s="3" t="s">
        <v>97</v>
      </c>
      <c r="N3762" s="9"/>
      <c r="W3762" s="10"/>
      <c r="Z3762" s="9"/>
      <c r="AA3762" s="207"/>
      <c r="AB3762" s="9"/>
      <c r="AC3762" s="9"/>
      <c r="AE3762" s="54"/>
      <c r="AF3762" s="54"/>
      <c r="AL3762" s="22"/>
      <c r="AM3762" s="22"/>
      <c r="AN3762" s="22"/>
      <c r="AO3762" s="22"/>
      <c r="AP3762" s="22"/>
      <c r="AQ3762" s="22"/>
      <c r="AR3762" s="22"/>
      <c r="AS3762" s="22"/>
      <c r="AT3762" s="22"/>
      <c r="AU3762" s="22"/>
      <c r="AV3762" s="22"/>
      <c r="AW3762" s="9"/>
      <c r="BA3762" s="22"/>
      <c r="BB3762" s="22"/>
      <c r="BD3762" s="9"/>
      <c r="CT3762" s="22">
        <f t="shared" si="267"/>
        <v>0</v>
      </c>
      <c r="CU3762" s="22">
        <f t="shared" si="268"/>
        <v>0</v>
      </c>
      <c r="CV3762" s="26">
        <f t="shared" si="269"/>
        <v>0</v>
      </c>
    </row>
    <row r="3763" spans="2:100" x14ac:dyDescent="0.2">
      <c r="B3763" s="2">
        <v>127</v>
      </c>
      <c r="C3763" s="3" t="s">
        <v>95</v>
      </c>
      <c r="D3763" s="3" t="s">
        <v>96</v>
      </c>
      <c r="E3763" s="2"/>
      <c r="F3763" s="2"/>
      <c r="G3763" s="2" t="s">
        <v>82</v>
      </c>
      <c r="H3763" s="2">
        <v>4</v>
      </c>
      <c r="I3763" s="20">
        <v>134.88</v>
      </c>
      <c r="J3763" s="20">
        <v>60246</v>
      </c>
      <c r="K3763" s="3">
        <v>0</v>
      </c>
      <c r="L3763" s="3" t="s">
        <v>98</v>
      </c>
      <c r="N3763" s="9"/>
      <c r="W3763" s="10"/>
      <c r="Z3763" s="9"/>
      <c r="AA3763" s="207"/>
      <c r="AB3763" s="9"/>
      <c r="AC3763" s="9"/>
      <c r="AE3763" s="54"/>
      <c r="AF3763" s="54"/>
      <c r="AL3763" s="22"/>
      <c r="AM3763" s="22"/>
      <c r="AN3763" s="22"/>
      <c r="AO3763" s="22"/>
      <c r="AP3763" s="22"/>
      <c r="AQ3763" s="22"/>
      <c r="AR3763" s="22"/>
      <c r="AS3763" s="22"/>
      <c r="AT3763" s="22"/>
      <c r="AU3763" s="22"/>
      <c r="AV3763" s="22"/>
      <c r="AW3763" s="9"/>
      <c r="BA3763" s="22"/>
      <c r="BB3763" s="22"/>
      <c r="BD3763" s="9"/>
      <c r="CT3763" s="22">
        <f t="shared" ref="CT3763:CT3794" si="270">+BA3763+BG3763+BM3763+BS3763+BY3763+CE3763+CK3763</f>
        <v>0</v>
      </c>
      <c r="CU3763" s="22">
        <f t="shared" ref="CU3763:CU3794" si="271">+AL3763+AT3763-CT3763</f>
        <v>0</v>
      </c>
      <c r="CV3763" s="26">
        <f t="shared" si="269"/>
        <v>0</v>
      </c>
    </row>
    <row r="3764" spans="2:100" x14ac:dyDescent="0.2">
      <c r="B3764" s="2">
        <v>129</v>
      </c>
      <c r="C3764" s="3" t="s">
        <v>95</v>
      </c>
      <c r="D3764" s="3" t="s">
        <v>96</v>
      </c>
      <c r="E3764" s="2"/>
      <c r="F3764" s="2"/>
      <c r="G3764" s="2" t="s">
        <v>82</v>
      </c>
      <c r="H3764" s="2">
        <v>6</v>
      </c>
      <c r="I3764" s="20">
        <v>134.03</v>
      </c>
      <c r="J3764" s="20">
        <v>74461</v>
      </c>
      <c r="K3764" s="3">
        <v>0</v>
      </c>
      <c r="L3764" s="3" t="s">
        <v>97</v>
      </c>
      <c r="N3764" s="9"/>
      <c r="W3764" s="10"/>
      <c r="Z3764" s="9"/>
      <c r="AA3764" s="207"/>
      <c r="AB3764" s="9"/>
      <c r="AC3764" s="9"/>
      <c r="AE3764" s="54"/>
      <c r="AF3764" s="54"/>
      <c r="AL3764" s="22"/>
      <c r="AM3764" s="22"/>
      <c r="AN3764" s="22"/>
      <c r="AO3764" s="22"/>
      <c r="AP3764" s="22"/>
      <c r="AQ3764" s="22"/>
      <c r="AR3764" s="22"/>
      <c r="AS3764" s="22"/>
      <c r="AT3764" s="22"/>
      <c r="AU3764" s="22"/>
      <c r="AV3764" s="22"/>
      <c r="AW3764" s="9"/>
      <c r="BA3764" s="22"/>
      <c r="BB3764" s="22"/>
      <c r="BD3764" s="9"/>
      <c r="CT3764" s="22">
        <f t="shared" si="270"/>
        <v>0</v>
      </c>
      <c r="CU3764" s="22">
        <f t="shared" si="271"/>
        <v>0</v>
      </c>
      <c r="CV3764" s="26">
        <f t="shared" si="269"/>
        <v>0</v>
      </c>
    </row>
    <row r="3765" spans="2:100" x14ac:dyDescent="0.2">
      <c r="B3765" s="2">
        <v>133</v>
      </c>
      <c r="C3765" s="3" t="s">
        <v>95</v>
      </c>
      <c r="D3765" s="3" t="s">
        <v>96</v>
      </c>
      <c r="E3765" s="2"/>
      <c r="F3765" s="2"/>
      <c r="G3765" s="2" t="s">
        <v>83</v>
      </c>
      <c r="H3765" s="2">
        <v>3</v>
      </c>
      <c r="I3765" s="20">
        <v>138.5</v>
      </c>
      <c r="J3765" s="20">
        <v>76944</v>
      </c>
      <c r="K3765" s="3">
        <v>0</v>
      </c>
      <c r="L3765" s="3" t="s">
        <v>97</v>
      </c>
      <c r="N3765" s="9"/>
      <c r="W3765" s="10"/>
      <c r="Z3765" s="9"/>
      <c r="AA3765" s="207"/>
      <c r="AB3765" s="9"/>
      <c r="AC3765" s="9"/>
      <c r="AE3765" s="54"/>
      <c r="AF3765" s="54"/>
      <c r="AL3765" s="22"/>
      <c r="AM3765" s="22"/>
      <c r="AN3765" s="22"/>
      <c r="AO3765" s="22"/>
      <c r="AP3765" s="22"/>
      <c r="AQ3765" s="22"/>
      <c r="AR3765" s="22"/>
      <c r="AS3765" s="22"/>
      <c r="AT3765" s="22"/>
      <c r="AU3765" s="22"/>
      <c r="AV3765" s="22"/>
      <c r="AW3765" s="9"/>
      <c r="BA3765" s="22"/>
      <c r="BB3765" s="22"/>
      <c r="BD3765" s="9"/>
      <c r="CT3765" s="22">
        <f t="shared" si="270"/>
        <v>0</v>
      </c>
      <c r="CU3765" s="22">
        <f t="shared" si="271"/>
        <v>0</v>
      </c>
      <c r="CV3765" s="26">
        <f t="shared" si="269"/>
        <v>0</v>
      </c>
    </row>
    <row r="3766" spans="2:100" x14ac:dyDescent="0.2">
      <c r="B3766" s="2">
        <v>135</v>
      </c>
      <c r="C3766" s="3" t="s">
        <v>95</v>
      </c>
      <c r="D3766" s="3" t="s">
        <v>96</v>
      </c>
      <c r="E3766" s="2"/>
      <c r="F3766" s="2"/>
      <c r="G3766" s="2" t="s">
        <v>83</v>
      </c>
      <c r="H3766" s="2">
        <v>5</v>
      </c>
      <c r="I3766" s="20">
        <v>141.51</v>
      </c>
      <c r="J3766" s="20">
        <v>78616</v>
      </c>
      <c r="K3766" s="3">
        <v>0</v>
      </c>
      <c r="L3766" s="3" t="s">
        <v>97</v>
      </c>
      <c r="N3766" s="9"/>
      <c r="W3766" s="10"/>
      <c r="Z3766" s="9"/>
      <c r="AA3766" s="207"/>
      <c r="AB3766" s="9"/>
      <c r="AC3766" s="9"/>
      <c r="AE3766" s="54"/>
      <c r="AF3766" s="54"/>
      <c r="AL3766" s="22"/>
      <c r="AM3766" s="22"/>
      <c r="AN3766" s="22"/>
      <c r="AO3766" s="22"/>
      <c r="AP3766" s="22"/>
      <c r="AQ3766" s="22"/>
      <c r="AR3766" s="22"/>
      <c r="AS3766" s="22"/>
      <c r="AT3766" s="22"/>
      <c r="AU3766" s="22"/>
      <c r="AV3766" s="22"/>
      <c r="AW3766" s="9"/>
      <c r="BA3766" s="22"/>
      <c r="BB3766" s="22"/>
      <c r="BD3766" s="9"/>
      <c r="CT3766" s="22">
        <f t="shared" si="270"/>
        <v>0</v>
      </c>
      <c r="CU3766" s="22">
        <f t="shared" si="271"/>
        <v>0</v>
      </c>
      <c r="CV3766" s="26">
        <f t="shared" si="269"/>
        <v>0</v>
      </c>
    </row>
    <row r="3767" spans="2:100" x14ac:dyDescent="0.2">
      <c r="B3767" s="2">
        <v>136</v>
      </c>
      <c r="C3767" s="3" t="s">
        <v>95</v>
      </c>
      <c r="D3767" s="3" t="s">
        <v>96</v>
      </c>
      <c r="E3767" s="2"/>
      <c r="F3767" s="2"/>
      <c r="G3767" s="2" t="s">
        <v>83</v>
      </c>
      <c r="H3767" s="2">
        <v>6</v>
      </c>
      <c r="I3767" s="20">
        <v>141.53</v>
      </c>
      <c r="J3767" s="20">
        <v>78627</v>
      </c>
      <c r="K3767" s="3">
        <v>0</v>
      </c>
      <c r="L3767" s="3" t="s">
        <v>97</v>
      </c>
      <c r="N3767" s="9"/>
      <c r="W3767" s="10"/>
      <c r="Z3767" s="9"/>
      <c r="AA3767" s="207"/>
      <c r="AB3767" s="9"/>
      <c r="AC3767" s="9"/>
      <c r="AE3767" s="54"/>
      <c r="AF3767" s="54"/>
      <c r="AL3767" s="22"/>
      <c r="AM3767" s="22"/>
      <c r="AN3767" s="22"/>
      <c r="AO3767" s="22"/>
      <c r="AP3767" s="22"/>
      <c r="AQ3767" s="22"/>
      <c r="AR3767" s="22"/>
      <c r="AS3767" s="22"/>
      <c r="AT3767" s="22"/>
      <c r="AU3767" s="22"/>
      <c r="AV3767" s="22"/>
      <c r="AW3767" s="9"/>
      <c r="BA3767" s="22"/>
      <c r="BB3767" s="22"/>
      <c r="BD3767" s="9"/>
      <c r="CT3767" s="22">
        <f t="shared" si="270"/>
        <v>0</v>
      </c>
      <c r="CU3767" s="22">
        <f t="shared" si="271"/>
        <v>0</v>
      </c>
      <c r="CV3767" s="26">
        <f t="shared" si="269"/>
        <v>0</v>
      </c>
    </row>
    <row r="3768" spans="2:100" x14ac:dyDescent="0.2">
      <c r="B3768" s="2">
        <v>145</v>
      </c>
      <c r="C3768" s="3" t="s">
        <v>95</v>
      </c>
      <c r="D3768" s="3" t="s">
        <v>96</v>
      </c>
      <c r="E3768" s="2"/>
      <c r="F3768" s="2"/>
      <c r="G3768" s="2" t="s">
        <v>85</v>
      </c>
      <c r="H3768" s="2">
        <v>1</v>
      </c>
      <c r="I3768" s="20">
        <v>133.19</v>
      </c>
      <c r="J3768" s="20">
        <v>73994</v>
      </c>
      <c r="K3768" s="3">
        <v>0</v>
      </c>
      <c r="L3768" s="3" t="s">
        <v>97</v>
      </c>
      <c r="N3768" s="9"/>
      <c r="W3768" s="10"/>
      <c r="Z3768" s="9"/>
      <c r="AA3768" s="207"/>
      <c r="AB3768" s="9"/>
      <c r="AC3768" s="9"/>
      <c r="AE3768" s="54"/>
      <c r="AF3768" s="54"/>
      <c r="AL3768" s="22"/>
      <c r="AM3768" s="22"/>
      <c r="AN3768" s="22"/>
      <c r="AO3768" s="22"/>
      <c r="AP3768" s="22"/>
      <c r="AQ3768" s="22"/>
      <c r="AR3768" s="22"/>
      <c r="AS3768" s="22"/>
      <c r="AT3768" s="22"/>
      <c r="AU3768" s="22"/>
      <c r="AV3768" s="22"/>
      <c r="AW3768" s="9"/>
      <c r="BA3768" s="22"/>
      <c r="BB3768" s="22"/>
      <c r="BD3768" s="9"/>
      <c r="CT3768" s="22">
        <f t="shared" si="270"/>
        <v>0</v>
      </c>
      <c r="CU3768" s="22">
        <f t="shared" si="271"/>
        <v>0</v>
      </c>
      <c r="CV3768" s="26">
        <f t="shared" si="269"/>
        <v>0</v>
      </c>
    </row>
    <row r="3769" spans="2:100" x14ac:dyDescent="0.2">
      <c r="B3769" s="2">
        <v>146</v>
      </c>
      <c r="C3769" s="3" t="s">
        <v>95</v>
      </c>
      <c r="D3769" s="3" t="s">
        <v>96</v>
      </c>
      <c r="E3769" s="2"/>
      <c r="F3769" s="2"/>
      <c r="G3769" s="2" t="s">
        <v>85</v>
      </c>
      <c r="H3769" s="2">
        <v>2</v>
      </c>
      <c r="I3769" s="20">
        <v>131.08000000000001</v>
      </c>
      <c r="J3769" s="20">
        <v>72822</v>
      </c>
      <c r="K3769" s="3">
        <v>0</v>
      </c>
      <c r="L3769" s="3" t="s">
        <v>97</v>
      </c>
      <c r="N3769" s="9"/>
      <c r="W3769" s="10"/>
      <c r="Z3769" s="9"/>
      <c r="AA3769" s="207"/>
      <c r="AB3769" s="9"/>
      <c r="AC3769" s="9"/>
      <c r="AE3769" s="54"/>
      <c r="AF3769" s="54"/>
      <c r="AL3769" s="22"/>
      <c r="AM3769" s="22"/>
      <c r="AN3769" s="22"/>
      <c r="AO3769" s="22"/>
      <c r="AP3769" s="22"/>
      <c r="AQ3769" s="22"/>
      <c r="AR3769" s="22"/>
      <c r="AS3769" s="22"/>
      <c r="AT3769" s="22"/>
      <c r="AU3769" s="22"/>
      <c r="AV3769" s="22"/>
      <c r="AW3769" s="9"/>
      <c r="BA3769" s="22"/>
      <c r="BB3769" s="22"/>
      <c r="BD3769" s="9"/>
      <c r="CT3769" s="22">
        <f t="shared" si="270"/>
        <v>0</v>
      </c>
      <c r="CU3769" s="22">
        <f t="shared" si="271"/>
        <v>0</v>
      </c>
      <c r="CV3769" s="26">
        <f t="shared" si="269"/>
        <v>0</v>
      </c>
    </row>
    <row r="3770" spans="2:100" x14ac:dyDescent="0.2">
      <c r="B3770" s="2">
        <v>147</v>
      </c>
      <c r="C3770" s="3" t="s">
        <v>95</v>
      </c>
      <c r="D3770" s="3" t="s">
        <v>96</v>
      </c>
      <c r="E3770" s="2"/>
      <c r="F3770" s="2"/>
      <c r="G3770" s="2" t="s">
        <v>85</v>
      </c>
      <c r="H3770" s="2">
        <v>3</v>
      </c>
      <c r="I3770" s="20">
        <v>134.53</v>
      </c>
      <c r="J3770" s="20">
        <v>74739</v>
      </c>
      <c r="K3770" s="3">
        <v>0</v>
      </c>
      <c r="L3770" s="3" t="s">
        <v>97</v>
      </c>
      <c r="N3770" s="9"/>
      <c r="W3770" s="10"/>
      <c r="Z3770" s="9"/>
      <c r="AA3770" s="207"/>
      <c r="AB3770" s="9"/>
      <c r="AC3770" s="9"/>
      <c r="AE3770" s="54"/>
      <c r="AF3770" s="54"/>
      <c r="AL3770" s="22"/>
      <c r="AM3770" s="22"/>
      <c r="AN3770" s="22"/>
      <c r="AO3770" s="22"/>
      <c r="AP3770" s="22"/>
      <c r="AQ3770" s="22"/>
      <c r="AR3770" s="22"/>
      <c r="AS3770" s="22"/>
      <c r="AT3770" s="22"/>
      <c r="AU3770" s="22"/>
      <c r="AV3770" s="22"/>
      <c r="AW3770" s="9"/>
      <c r="BA3770" s="22"/>
      <c r="BB3770" s="22"/>
      <c r="BD3770" s="9"/>
      <c r="CT3770" s="22">
        <f t="shared" si="270"/>
        <v>0</v>
      </c>
      <c r="CU3770" s="22">
        <f t="shared" si="271"/>
        <v>0</v>
      </c>
      <c r="CV3770" s="26">
        <f t="shared" si="269"/>
        <v>0</v>
      </c>
    </row>
    <row r="3771" spans="2:100" x14ac:dyDescent="0.2">
      <c r="B3771" s="2">
        <v>148</v>
      </c>
      <c r="C3771" s="3" t="s">
        <v>95</v>
      </c>
      <c r="D3771" s="3" t="s">
        <v>96</v>
      </c>
      <c r="E3771" s="2"/>
      <c r="F3771" s="2"/>
      <c r="G3771" s="2" t="s">
        <v>85</v>
      </c>
      <c r="H3771" s="2">
        <v>4</v>
      </c>
      <c r="I3771" s="20">
        <v>138.06</v>
      </c>
      <c r="J3771" s="20">
        <v>76700</v>
      </c>
      <c r="K3771" s="3">
        <v>0</v>
      </c>
      <c r="L3771" s="3" t="s">
        <v>97</v>
      </c>
      <c r="N3771" s="9"/>
      <c r="W3771" s="10"/>
      <c r="Z3771" s="9"/>
      <c r="AA3771" s="207"/>
      <c r="AB3771" s="9"/>
      <c r="AC3771" s="9"/>
      <c r="AE3771" s="54"/>
      <c r="AF3771" s="54"/>
      <c r="AL3771" s="22"/>
      <c r="AM3771" s="9"/>
      <c r="AN3771" s="22"/>
      <c r="AO3771" s="22"/>
      <c r="AP3771" s="22"/>
      <c r="AQ3771" s="22"/>
      <c r="AR3771" s="22"/>
      <c r="AS3771" s="22"/>
      <c r="AT3771" s="22"/>
      <c r="AU3771" s="22"/>
      <c r="AV3771" s="22"/>
      <c r="AW3771" s="9"/>
      <c r="BA3771" s="22"/>
      <c r="BB3771" s="22"/>
      <c r="BD3771" s="9"/>
      <c r="CT3771" s="22">
        <f t="shared" si="270"/>
        <v>0</v>
      </c>
      <c r="CU3771" s="22">
        <f t="shared" si="271"/>
        <v>0</v>
      </c>
      <c r="CV3771" s="26">
        <f t="shared" si="269"/>
        <v>0</v>
      </c>
    </row>
    <row r="3772" spans="2:100" x14ac:dyDescent="0.2">
      <c r="B3772" s="2">
        <v>150</v>
      </c>
      <c r="C3772" s="3" t="s">
        <v>95</v>
      </c>
      <c r="D3772" s="3" t="s">
        <v>96</v>
      </c>
      <c r="E3772" s="2"/>
      <c r="F3772" s="2"/>
      <c r="G3772" s="2" t="s">
        <v>86</v>
      </c>
      <c r="H3772" s="2">
        <v>1</v>
      </c>
      <c r="I3772" s="20">
        <v>198.1</v>
      </c>
      <c r="J3772" s="20">
        <v>83999</v>
      </c>
      <c r="K3772" s="3">
        <v>0</v>
      </c>
      <c r="L3772" s="3" t="s">
        <v>99</v>
      </c>
      <c r="N3772" s="9"/>
      <c r="W3772" s="10"/>
      <c r="Z3772" s="9"/>
      <c r="AA3772" s="207"/>
      <c r="AB3772" s="9"/>
      <c r="AC3772" s="9"/>
      <c r="AE3772" s="54"/>
      <c r="AF3772" s="54"/>
      <c r="AL3772" s="22"/>
      <c r="AM3772" s="22"/>
      <c r="AN3772" s="22"/>
      <c r="AO3772" s="22"/>
      <c r="AP3772" s="22"/>
      <c r="AQ3772" s="22"/>
      <c r="AR3772" s="22"/>
      <c r="AS3772" s="22"/>
      <c r="AT3772" s="22"/>
      <c r="AU3772" s="22"/>
      <c r="AV3772" s="22"/>
      <c r="AW3772" s="9"/>
      <c r="BA3772" s="22"/>
      <c r="BB3772" s="22"/>
      <c r="BD3772" s="9"/>
      <c r="CT3772" s="22">
        <f t="shared" si="270"/>
        <v>0</v>
      </c>
      <c r="CU3772" s="22">
        <f t="shared" si="271"/>
        <v>0</v>
      </c>
      <c r="CV3772" s="26">
        <f t="shared" si="269"/>
        <v>0</v>
      </c>
    </row>
    <row r="3773" spans="2:100" x14ac:dyDescent="0.2">
      <c r="B3773" s="2">
        <v>151</v>
      </c>
      <c r="C3773" s="3" t="s">
        <v>95</v>
      </c>
      <c r="D3773" s="3" t="s">
        <v>96</v>
      </c>
      <c r="E3773" s="2"/>
      <c r="F3773" s="2"/>
      <c r="G3773" s="2" t="s">
        <v>86</v>
      </c>
      <c r="H3773" s="2">
        <v>2</v>
      </c>
      <c r="I3773" s="20">
        <v>146.25</v>
      </c>
      <c r="J3773" s="20">
        <v>73833</v>
      </c>
      <c r="K3773" s="3">
        <v>0</v>
      </c>
      <c r="L3773" s="3" t="s">
        <v>97</v>
      </c>
      <c r="N3773" s="9"/>
      <c r="W3773" s="10"/>
      <c r="Z3773" s="9"/>
      <c r="AA3773" s="207"/>
      <c r="AB3773" s="9"/>
      <c r="AC3773" s="9"/>
      <c r="AE3773" s="54"/>
      <c r="AF3773" s="54"/>
      <c r="AL3773" s="22"/>
      <c r="AM3773" s="22"/>
      <c r="AN3773" s="22"/>
      <c r="AO3773" s="22"/>
      <c r="AP3773" s="22"/>
      <c r="AQ3773" s="22"/>
      <c r="AR3773" s="22"/>
      <c r="AS3773" s="22"/>
      <c r="AT3773" s="22"/>
      <c r="AU3773" s="22"/>
      <c r="AV3773" s="22"/>
      <c r="AW3773" s="9"/>
      <c r="BA3773" s="22"/>
      <c r="BB3773" s="22"/>
      <c r="BD3773" s="9"/>
      <c r="CT3773" s="22">
        <f t="shared" si="270"/>
        <v>0</v>
      </c>
      <c r="CU3773" s="22">
        <f t="shared" si="271"/>
        <v>0</v>
      </c>
      <c r="CV3773" s="26">
        <f t="shared" si="269"/>
        <v>0</v>
      </c>
    </row>
    <row r="3774" spans="2:100" x14ac:dyDescent="0.2">
      <c r="B3774" s="2">
        <v>152</v>
      </c>
      <c r="C3774" s="3" t="s">
        <v>95</v>
      </c>
      <c r="D3774" s="3" t="s">
        <v>96</v>
      </c>
      <c r="E3774" s="2"/>
      <c r="F3774" s="2"/>
      <c r="G3774" s="2" t="s">
        <v>86</v>
      </c>
      <c r="H3774" s="2">
        <v>3</v>
      </c>
      <c r="I3774" s="20">
        <v>162.12</v>
      </c>
      <c r="J3774" s="20">
        <v>81791</v>
      </c>
      <c r="K3774" s="3">
        <v>0</v>
      </c>
      <c r="L3774" s="3" t="s">
        <v>97</v>
      </c>
      <c r="N3774" s="9"/>
      <c r="W3774" s="10"/>
      <c r="Z3774" s="9"/>
      <c r="AA3774" s="207"/>
      <c r="AB3774" s="9"/>
      <c r="AC3774" s="9"/>
      <c r="AE3774" s="54"/>
      <c r="AF3774" s="54"/>
      <c r="AL3774" s="22"/>
      <c r="AM3774" s="22"/>
      <c r="AN3774" s="22"/>
      <c r="AO3774" s="22"/>
      <c r="AP3774" s="22"/>
      <c r="AQ3774" s="22"/>
      <c r="AR3774" s="22"/>
      <c r="AS3774" s="22"/>
      <c r="AT3774" s="22"/>
      <c r="AU3774" s="22"/>
      <c r="AV3774" s="22"/>
      <c r="AW3774" s="9"/>
      <c r="BA3774" s="22"/>
      <c r="BB3774" s="22"/>
      <c r="BD3774" s="9"/>
      <c r="CT3774" s="22">
        <f t="shared" si="270"/>
        <v>0</v>
      </c>
      <c r="CU3774" s="22">
        <f t="shared" si="271"/>
        <v>0</v>
      </c>
      <c r="CV3774" s="26">
        <f t="shared" si="269"/>
        <v>0</v>
      </c>
    </row>
    <row r="3775" spans="2:100" x14ac:dyDescent="0.2">
      <c r="B3775" s="2">
        <v>153</v>
      </c>
      <c r="C3775" s="3" t="s">
        <v>95</v>
      </c>
      <c r="D3775" s="3" t="s">
        <v>96</v>
      </c>
      <c r="E3775" s="2"/>
      <c r="F3775" s="2"/>
      <c r="G3775" s="2" t="s">
        <v>86</v>
      </c>
      <c r="H3775" s="2">
        <v>4</v>
      </c>
      <c r="I3775" s="20">
        <v>147.91</v>
      </c>
      <c r="J3775" s="20">
        <v>74666</v>
      </c>
      <c r="K3775" s="3">
        <v>0</v>
      </c>
      <c r="L3775" s="3" t="s">
        <v>97</v>
      </c>
      <c r="N3775" s="9"/>
      <c r="W3775" s="10"/>
      <c r="Z3775" s="9"/>
      <c r="AA3775" s="207"/>
      <c r="AB3775" s="9"/>
      <c r="AC3775" s="9"/>
      <c r="AE3775" s="54"/>
      <c r="AF3775" s="54"/>
      <c r="AL3775" s="22"/>
      <c r="AM3775" s="22"/>
      <c r="AN3775" s="22"/>
      <c r="AO3775" s="22"/>
      <c r="AP3775" s="22"/>
      <c r="AQ3775" s="22"/>
      <c r="AR3775" s="22"/>
      <c r="AS3775" s="22"/>
      <c r="AT3775" s="22"/>
      <c r="AU3775" s="22"/>
      <c r="AV3775" s="22"/>
      <c r="AW3775" s="9"/>
      <c r="BA3775" s="22"/>
      <c r="BB3775" s="22"/>
      <c r="BD3775" s="9"/>
      <c r="CT3775" s="22">
        <f t="shared" si="270"/>
        <v>0</v>
      </c>
      <c r="CU3775" s="22">
        <f t="shared" si="271"/>
        <v>0</v>
      </c>
      <c r="CV3775" s="26">
        <f t="shared" si="269"/>
        <v>0</v>
      </c>
    </row>
    <row r="3776" spans="2:100" x14ac:dyDescent="0.2">
      <c r="B3776" s="2">
        <v>154</v>
      </c>
      <c r="C3776" s="3" t="s">
        <v>95</v>
      </c>
      <c r="D3776" s="3" t="s">
        <v>96</v>
      </c>
      <c r="E3776" s="2"/>
      <c r="F3776" s="2"/>
      <c r="G3776" s="2" t="s">
        <v>86</v>
      </c>
      <c r="H3776" s="2">
        <v>5</v>
      </c>
      <c r="I3776" s="20">
        <v>137.28</v>
      </c>
      <c r="J3776" s="20">
        <v>69336</v>
      </c>
      <c r="K3776" s="3">
        <v>0</v>
      </c>
      <c r="L3776" s="3" t="s">
        <v>97</v>
      </c>
      <c r="N3776" s="9"/>
      <c r="W3776" s="10"/>
      <c r="Z3776" s="9"/>
      <c r="AA3776" s="207"/>
      <c r="AB3776" s="9"/>
      <c r="AC3776" s="9"/>
      <c r="AE3776" s="54"/>
      <c r="AF3776" s="54"/>
      <c r="AL3776" s="22"/>
      <c r="AM3776" s="22"/>
      <c r="AN3776" s="22"/>
      <c r="AO3776" s="22"/>
      <c r="AP3776" s="22"/>
      <c r="AQ3776" s="22"/>
      <c r="AR3776" s="22"/>
      <c r="AS3776" s="22"/>
      <c r="AT3776" s="22"/>
      <c r="AU3776" s="22"/>
      <c r="AV3776" s="22"/>
      <c r="AW3776" s="9"/>
      <c r="BA3776" s="22"/>
      <c r="BB3776" s="22"/>
      <c r="BD3776" s="9"/>
      <c r="CT3776" s="22">
        <f t="shared" si="270"/>
        <v>0</v>
      </c>
      <c r="CU3776" s="22">
        <f t="shared" si="271"/>
        <v>0</v>
      </c>
      <c r="CV3776" s="26">
        <f t="shared" si="269"/>
        <v>0</v>
      </c>
    </row>
    <row r="3777" spans="2:100" x14ac:dyDescent="0.2">
      <c r="B3777" s="2">
        <v>155</v>
      </c>
      <c r="C3777" s="3" t="s">
        <v>95</v>
      </c>
      <c r="D3777" s="3" t="s">
        <v>96</v>
      </c>
      <c r="E3777" s="2"/>
      <c r="F3777" s="2"/>
      <c r="G3777" s="2" t="s">
        <v>87</v>
      </c>
      <c r="H3777" s="2">
        <v>1</v>
      </c>
      <c r="I3777" s="20">
        <v>135.81</v>
      </c>
      <c r="J3777" s="20">
        <v>68599</v>
      </c>
      <c r="K3777" s="3">
        <v>0</v>
      </c>
      <c r="L3777" s="3" t="s">
        <v>97</v>
      </c>
      <c r="N3777" s="9"/>
      <c r="W3777" s="10"/>
      <c r="Z3777" s="9"/>
      <c r="AA3777" s="207"/>
      <c r="AB3777" s="9"/>
      <c r="AC3777" s="9"/>
      <c r="AE3777" s="54"/>
      <c r="AF3777" s="54"/>
      <c r="AL3777" s="22"/>
      <c r="AM3777" s="22"/>
      <c r="AN3777" s="22"/>
      <c r="AO3777" s="22"/>
      <c r="AP3777" s="22"/>
      <c r="AQ3777" s="22"/>
      <c r="AR3777" s="22"/>
      <c r="AS3777" s="22"/>
      <c r="AT3777" s="22"/>
      <c r="AU3777" s="22"/>
      <c r="AV3777" s="22"/>
      <c r="AW3777" s="9"/>
      <c r="BA3777" s="22"/>
      <c r="BB3777" s="22"/>
      <c r="BD3777" s="9"/>
      <c r="CT3777" s="22">
        <f t="shared" si="270"/>
        <v>0</v>
      </c>
      <c r="CU3777" s="22">
        <f t="shared" si="271"/>
        <v>0</v>
      </c>
      <c r="CV3777" s="26">
        <f t="shared" si="269"/>
        <v>0</v>
      </c>
    </row>
    <row r="3778" spans="2:100" x14ac:dyDescent="0.2">
      <c r="B3778" s="2">
        <v>156</v>
      </c>
      <c r="C3778" s="3" t="s">
        <v>95</v>
      </c>
      <c r="D3778" s="3" t="s">
        <v>96</v>
      </c>
      <c r="E3778" s="2"/>
      <c r="F3778" s="2"/>
      <c r="G3778" s="2" t="s">
        <v>87</v>
      </c>
      <c r="H3778" s="2">
        <v>2</v>
      </c>
      <c r="I3778" s="20">
        <v>137.05000000000001</v>
      </c>
      <c r="J3778" s="20">
        <v>69220</v>
      </c>
      <c r="K3778" s="3">
        <v>0</v>
      </c>
      <c r="L3778" s="3" t="s">
        <v>97</v>
      </c>
      <c r="N3778" s="9"/>
      <c r="W3778" s="10"/>
      <c r="Z3778" s="9"/>
      <c r="AA3778" s="207"/>
      <c r="AB3778" s="9"/>
      <c r="AC3778" s="9"/>
      <c r="AE3778" s="54"/>
      <c r="AF3778" s="54"/>
      <c r="AL3778" s="22"/>
      <c r="AM3778" s="22"/>
      <c r="AN3778" s="22"/>
      <c r="AO3778" s="22"/>
      <c r="AP3778" s="22"/>
      <c r="AQ3778" s="22"/>
      <c r="AR3778" s="22"/>
      <c r="AS3778" s="22"/>
      <c r="AT3778" s="22"/>
      <c r="AU3778" s="22"/>
      <c r="AV3778" s="22"/>
      <c r="AW3778" s="9"/>
      <c r="BA3778" s="22"/>
      <c r="BB3778" s="22"/>
      <c r="BD3778" s="9"/>
      <c r="CT3778" s="22">
        <f t="shared" si="270"/>
        <v>0</v>
      </c>
      <c r="CU3778" s="22">
        <f t="shared" si="271"/>
        <v>0</v>
      </c>
      <c r="CV3778" s="26">
        <f t="shared" si="269"/>
        <v>0</v>
      </c>
    </row>
    <row r="3779" spans="2:100" x14ac:dyDescent="0.2">
      <c r="B3779" s="2">
        <v>157</v>
      </c>
      <c r="C3779" s="3" t="s">
        <v>95</v>
      </c>
      <c r="D3779" s="3" t="s">
        <v>96</v>
      </c>
      <c r="E3779" s="2"/>
      <c r="F3779" s="2"/>
      <c r="G3779" s="2" t="s">
        <v>87</v>
      </c>
      <c r="H3779" s="2">
        <v>3</v>
      </c>
      <c r="I3779" s="20">
        <v>132.94</v>
      </c>
      <c r="J3779" s="20">
        <v>67159</v>
      </c>
      <c r="K3779" s="3">
        <v>0</v>
      </c>
      <c r="L3779" s="3" t="s">
        <v>97</v>
      </c>
      <c r="N3779" s="9"/>
      <c r="W3779" s="10"/>
      <c r="Z3779" s="9"/>
      <c r="AA3779" s="207"/>
      <c r="AB3779" s="9"/>
      <c r="AC3779" s="9"/>
      <c r="AE3779" s="54"/>
      <c r="AF3779" s="54"/>
      <c r="AL3779" s="22"/>
      <c r="AM3779" s="22"/>
      <c r="AN3779" s="22"/>
      <c r="AO3779" s="22"/>
      <c r="AP3779" s="22"/>
      <c r="AQ3779" s="22"/>
      <c r="AR3779" s="22"/>
      <c r="AS3779" s="22"/>
      <c r="AT3779" s="22"/>
      <c r="AU3779" s="22"/>
      <c r="AV3779" s="22"/>
      <c r="AW3779" s="9"/>
      <c r="BA3779" s="22"/>
      <c r="BB3779" s="22"/>
      <c r="BD3779" s="9"/>
      <c r="CT3779" s="22">
        <f t="shared" si="270"/>
        <v>0</v>
      </c>
      <c r="CU3779" s="22">
        <f t="shared" si="271"/>
        <v>0</v>
      </c>
      <c r="CV3779" s="26">
        <f t="shared" si="269"/>
        <v>0</v>
      </c>
    </row>
    <row r="3780" spans="2:100" x14ac:dyDescent="0.2">
      <c r="B3780" s="2">
        <v>158</v>
      </c>
      <c r="C3780" s="3" t="s">
        <v>95</v>
      </c>
      <c r="D3780" s="3" t="s">
        <v>96</v>
      </c>
      <c r="E3780" s="2"/>
      <c r="F3780" s="2"/>
      <c r="G3780" s="2" t="s">
        <v>87</v>
      </c>
      <c r="H3780" s="2">
        <v>4</v>
      </c>
      <c r="I3780" s="8">
        <v>137.26</v>
      </c>
      <c r="J3780" s="8">
        <v>69326</v>
      </c>
      <c r="K3780" s="3">
        <v>0</v>
      </c>
      <c r="L3780" s="3" t="s">
        <v>97</v>
      </c>
      <c r="N3780" s="9"/>
      <c r="W3780" s="10"/>
      <c r="Z3780" s="9"/>
      <c r="AB3780" s="9"/>
      <c r="AC3780" s="9"/>
      <c r="AE3780" s="54"/>
      <c r="AF3780" s="54"/>
      <c r="AP3780" s="11"/>
      <c r="AQ3780" s="11"/>
      <c r="AR3780" s="11"/>
      <c r="AW3780" s="9"/>
      <c r="BD3780" s="9"/>
      <c r="CT3780" s="22">
        <f t="shared" si="270"/>
        <v>0</v>
      </c>
      <c r="CU3780" s="22">
        <f t="shared" si="271"/>
        <v>0</v>
      </c>
      <c r="CV3780" s="26">
        <f t="shared" si="269"/>
        <v>0</v>
      </c>
    </row>
    <row r="3781" spans="2:100" x14ac:dyDescent="0.2">
      <c r="B3781" s="2">
        <v>159</v>
      </c>
      <c r="C3781" s="3" t="s">
        <v>95</v>
      </c>
      <c r="D3781" s="3" t="s">
        <v>96</v>
      </c>
      <c r="E3781" s="2"/>
      <c r="F3781" s="2"/>
      <c r="G3781" s="2" t="s">
        <v>87</v>
      </c>
      <c r="H3781" s="2">
        <v>5</v>
      </c>
      <c r="I3781" s="8">
        <v>141.58000000000001</v>
      </c>
      <c r="J3781" s="8">
        <v>71492</v>
      </c>
      <c r="K3781" s="3">
        <v>0</v>
      </c>
      <c r="L3781" s="3" t="s">
        <v>97</v>
      </c>
      <c r="N3781" s="9"/>
      <c r="W3781" s="10"/>
      <c r="Z3781" s="9"/>
      <c r="AB3781" s="9"/>
      <c r="AC3781" s="9"/>
      <c r="AE3781" s="56"/>
      <c r="AF3781" s="56"/>
      <c r="AP3781" s="11"/>
      <c r="AQ3781" s="11"/>
      <c r="AR3781" s="11"/>
      <c r="AW3781" s="9"/>
      <c r="BD3781" s="9"/>
      <c r="CT3781" s="22">
        <f t="shared" si="270"/>
        <v>0</v>
      </c>
      <c r="CU3781" s="22">
        <f t="shared" si="271"/>
        <v>0</v>
      </c>
      <c r="CV3781" s="26">
        <f t="shared" si="269"/>
        <v>0</v>
      </c>
    </row>
    <row r="3782" spans="2:100" x14ac:dyDescent="0.2">
      <c r="B3782" s="2">
        <v>160</v>
      </c>
      <c r="C3782" s="3" t="s">
        <v>95</v>
      </c>
      <c r="D3782" s="3" t="s">
        <v>96</v>
      </c>
      <c r="E3782" s="2"/>
      <c r="F3782" s="2"/>
      <c r="G3782" s="2" t="s">
        <v>87</v>
      </c>
      <c r="H3782" s="2">
        <v>6</v>
      </c>
      <c r="I3782" s="8">
        <v>147.69</v>
      </c>
      <c r="J3782" s="8">
        <v>74556</v>
      </c>
      <c r="K3782" s="3">
        <v>0</v>
      </c>
      <c r="L3782" s="3" t="s">
        <v>97</v>
      </c>
      <c r="N3782" s="9"/>
      <c r="W3782" s="10"/>
      <c r="Z3782" s="9"/>
      <c r="AB3782" s="9"/>
      <c r="AC3782" s="9"/>
      <c r="AE3782" s="56"/>
      <c r="AF3782" s="56"/>
      <c r="AP3782" s="11"/>
      <c r="AQ3782" s="11"/>
      <c r="AR3782" s="11"/>
      <c r="AW3782" s="9"/>
      <c r="BD3782" s="9"/>
      <c r="CT3782" s="22">
        <f t="shared" si="270"/>
        <v>0</v>
      </c>
      <c r="CU3782" s="22">
        <f t="shared" si="271"/>
        <v>0</v>
      </c>
      <c r="CV3782" s="26">
        <f t="shared" si="269"/>
        <v>0</v>
      </c>
    </row>
    <row r="3783" spans="2:100" x14ac:dyDescent="0.2">
      <c r="N3783" s="9"/>
      <c r="W3783" s="10"/>
      <c r="Z3783" s="9"/>
      <c r="AB3783" s="9"/>
      <c r="AC3783" s="9"/>
      <c r="AE3783" s="56"/>
      <c r="AF3783" s="56"/>
      <c r="AP3783" s="11"/>
      <c r="AQ3783" s="11"/>
      <c r="AR3783" s="11"/>
      <c r="AW3783" s="9"/>
      <c r="BD3783" s="9"/>
      <c r="CT3783" s="22">
        <f t="shared" si="270"/>
        <v>0</v>
      </c>
      <c r="CU3783" s="22">
        <f t="shared" si="271"/>
        <v>0</v>
      </c>
      <c r="CV3783" s="26">
        <f t="shared" si="269"/>
        <v>0</v>
      </c>
    </row>
    <row r="3784" spans="2:100" x14ac:dyDescent="0.2">
      <c r="Z3784" s="9"/>
      <c r="AB3784" s="9"/>
      <c r="AC3784" s="9"/>
      <c r="AP3784" s="11"/>
      <c r="AQ3784" s="11"/>
      <c r="AR3784" s="11"/>
      <c r="AW3784" s="9"/>
      <c r="BD3784" s="9"/>
      <c r="CT3784" s="22">
        <f t="shared" si="270"/>
        <v>0</v>
      </c>
      <c r="CU3784" s="22">
        <f t="shared" si="271"/>
        <v>0</v>
      </c>
      <c r="CV3784" s="26">
        <f t="shared" ref="CV3784:CV3801" si="272">+AE3784-AL3784-AT3784</f>
        <v>0</v>
      </c>
    </row>
    <row r="3785" spans="2:100" x14ac:dyDescent="0.2">
      <c r="Z3785" s="9"/>
      <c r="AW3785" s="9"/>
      <c r="BD3785" s="9"/>
      <c r="CT3785" s="22">
        <f t="shared" si="270"/>
        <v>0</v>
      </c>
      <c r="CU3785" s="22">
        <f t="shared" si="271"/>
        <v>0</v>
      </c>
      <c r="CV3785" s="26">
        <f t="shared" si="272"/>
        <v>0</v>
      </c>
    </row>
    <row r="3786" spans="2:100" x14ac:dyDescent="0.2">
      <c r="Z3786" s="9"/>
      <c r="AW3786" s="9"/>
      <c r="BD3786" s="9"/>
      <c r="CT3786" s="22">
        <f t="shared" si="270"/>
        <v>0</v>
      </c>
      <c r="CU3786" s="22">
        <f t="shared" si="271"/>
        <v>0</v>
      </c>
      <c r="CV3786" s="26">
        <f t="shared" si="272"/>
        <v>0</v>
      </c>
    </row>
    <row r="3787" spans="2:100" x14ac:dyDescent="0.2">
      <c r="Z3787" s="9"/>
      <c r="AW3787" s="17"/>
      <c r="AX3787" s="86"/>
      <c r="BD3787" s="9"/>
      <c r="CT3787" s="22">
        <f t="shared" si="270"/>
        <v>0</v>
      </c>
      <c r="CU3787" s="22">
        <f t="shared" si="271"/>
        <v>0</v>
      </c>
      <c r="CV3787" s="26">
        <f t="shared" si="272"/>
        <v>0</v>
      </c>
    </row>
    <row r="3788" spans="2:100" x14ac:dyDescent="0.2">
      <c r="Z3788" s="9"/>
      <c r="AH3788" s="17"/>
      <c r="AI3788" s="17"/>
      <c r="AJ3788" s="17"/>
      <c r="AW3788" s="17"/>
      <c r="AX3788" s="86"/>
      <c r="BD3788" s="9"/>
      <c r="CT3788" s="22">
        <f t="shared" si="270"/>
        <v>0</v>
      </c>
      <c r="CU3788" s="22">
        <f t="shared" si="271"/>
        <v>0</v>
      </c>
      <c r="CV3788" s="26">
        <f t="shared" si="272"/>
        <v>0</v>
      </c>
    </row>
    <row r="3789" spans="2:100" x14ac:dyDescent="0.2">
      <c r="Z3789" s="9"/>
      <c r="AW3789" s="17"/>
      <c r="AX3789" s="86"/>
      <c r="BD3789" s="9"/>
      <c r="CT3789" s="22">
        <f t="shared" si="270"/>
        <v>0</v>
      </c>
      <c r="CU3789" s="22">
        <f t="shared" si="271"/>
        <v>0</v>
      </c>
      <c r="CV3789" s="26">
        <f t="shared" si="272"/>
        <v>0</v>
      </c>
    </row>
    <row r="3790" spans="2:100" x14ac:dyDescent="0.2">
      <c r="Z3790" s="9"/>
      <c r="AW3790" s="17"/>
      <c r="AX3790" s="86"/>
      <c r="BD3790" s="9"/>
      <c r="CT3790" s="22">
        <f t="shared" si="270"/>
        <v>0</v>
      </c>
      <c r="CU3790" s="22">
        <f t="shared" si="271"/>
        <v>0</v>
      </c>
      <c r="CV3790" s="26">
        <f t="shared" si="272"/>
        <v>0</v>
      </c>
    </row>
    <row r="3791" spans="2:100" ht="12.75" x14ac:dyDescent="0.2">
      <c r="Z3791" s="9"/>
      <c r="AW3791" s="94"/>
      <c r="AX3791" s="95"/>
      <c r="AY3791" s="96"/>
      <c r="BD3791" s="9"/>
      <c r="CT3791" s="22">
        <f t="shared" si="270"/>
        <v>0</v>
      </c>
      <c r="CU3791" s="22">
        <f t="shared" si="271"/>
        <v>0</v>
      </c>
      <c r="CV3791" s="26">
        <f t="shared" si="272"/>
        <v>0</v>
      </c>
    </row>
    <row r="3792" spans="2:100" ht="12.75" x14ac:dyDescent="0.2">
      <c r="Z3792" s="9"/>
      <c r="AW3792" s="94"/>
      <c r="AX3792" s="95"/>
      <c r="AY3792" s="96"/>
      <c r="BD3792" s="9"/>
      <c r="CT3792" s="22">
        <f t="shared" si="270"/>
        <v>0</v>
      </c>
      <c r="CU3792" s="22">
        <f t="shared" si="271"/>
        <v>0</v>
      </c>
      <c r="CV3792" s="26">
        <f t="shared" si="272"/>
        <v>0</v>
      </c>
    </row>
    <row r="3793" spans="9:100" x14ac:dyDescent="0.2">
      <c r="Z3793" s="9"/>
      <c r="AW3793" s="9"/>
      <c r="BD3793" s="9"/>
      <c r="CT3793" s="22">
        <f t="shared" si="270"/>
        <v>0</v>
      </c>
      <c r="CU3793" s="22">
        <f t="shared" si="271"/>
        <v>0</v>
      </c>
      <c r="CV3793" s="26">
        <f t="shared" si="272"/>
        <v>0</v>
      </c>
    </row>
    <row r="3794" spans="9:100" x14ac:dyDescent="0.2">
      <c r="Z3794" s="9"/>
      <c r="AW3794" s="9"/>
      <c r="BD3794" s="9"/>
      <c r="CT3794" s="22">
        <f t="shared" si="270"/>
        <v>0</v>
      </c>
      <c r="CU3794" s="22">
        <f t="shared" si="271"/>
        <v>0</v>
      </c>
      <c r="CV3794" s="26">
        <f t="shared" si="272"/>
        <v>0</v>
      </c>
    </row>
    <row r="3795" spans="9:100" x14ac:dyDescent="0.2">
      <c r="Z3795" s="9"/>
      <c r="AW3795" s="9"/>
      <c r="BD3795" s="9"/>
      <c r="CT3795" s="22">
        <f t="shared" ref="CT3795:CT3801" si="273">+BA3795+BG3795+BM3795+BS3795+BY3795+CE3795+CK3795</f>
        <v>0</v>
      </c>
      <c r="CU3795" s="22">
        <f t="shared" ref="CU3795:CU3801" si="274">+AL3795+AT3795-CT3795</f>
        <v>0</v>
      </c>
      <c r="CV3795" s="26">
        <f t="shared" si="272"/>
        <v>0</v>
      </c>
    </row>
    <row r="3796" spans="9:100" x14ac:dyDescent="0.2">
      <c r="Z3796" s="9"/>
      <c r="AW3796" s="9"/>
      <c r="BD3796" s="9"/>
      <c r="CT3796" s="22">
        <f t="shared" si="273"/>
        <v>0</v>
      </c>
      <c r="CU3796" s="22">
        <f t="shared" si="274"/>
        <v>0</v>
      </c>
      <c r="CV3796" s="26">
        <f t="shared" si="272"/>
        <v>0</v>
      </c>
    </row>
    <row r="3797" spans="9:100" x14ac:dyDescent="0.2">
      <c r="Z3797" s="9"/>
      <c r="AW3797" s="9"/>
      <c r="BD3797" s="9"/>
      <c r="CT3797" s="22">
        <f t="shared" si="273"/>
        <v>0</v>
      </c>
      <c r="CU3797" s="22">
        <f t="shared" si="274"/>
        <v>0</v>
      </c>
      <c r="CV3797" s="26">
        <f t="shared" si="272"/>
        <v>0</v>
      </c>
    </row>
    <row r="3798" spans="9:100" x14ac:dyDescent="0.2">
      <c r="Z3798" s="9"/>
      <c r="AW3798" s="9"/>
      <c r="BD3798" s="9"/>
      <c r="CT3798" s="22">
        <f t="shared" si="273"/>
        <v>0</v>
      </c>
      <c r="CU3798" s="22">
        <f t="shared" si="274"/>
        <v>0</v>
      </c>
      <c r="CV3798" s="26">
        <f t="shared" si="272"/>
        <v>0</v>
      </c>
    </row>
    <row r="3799" spans="9:100" x14ac:dyDescent="0.2">
      <c r="Z3799" s="9"/>
      <c r="AW3799" s="9"/>
      <c r="BD3799" s="9"/>
      <c r="CT3799" s="22">
        <f t="shared" si="273"/>
        <v>0</v>
      </c>
      <c r="CU3799" s="22">
        <f t="shared" si="274"/>
        <v>0</v>
      </c>
      <c r="CV3799" s="26">
        <f t="shared" si="272"/>
        <v>0</v>
      </c>
    </row>
    <row r="3800" spans="9:100" x14ac:dyDescent="0.2">
      <c r="Z3800" s="9"/>
      <c r="AH3800" s="17"/>
      <c r="AL3800" s="22"/>
      <c r="AM3800" s="22"/>
      <c r="AN3800" s="22"/>
      <c r="AO3800" s="22"/>
      <c r="AP3800" s="127"/>
      <c r="AQ3800" s="127"/>
      <c r="AR3800" s="127"/>
      <c r="AS3800" s="22"/>
      <c r="AT3800" s="22"/>
      <c r="AU3800" s="22"/>
      <c r="AV3800" s="22"/>
      <c r="AW3800" s="9"/>
      <c r="AY3800" s="11"/>
      <c r="BD3800" s="9"/>
      <c r="CT3800" s="22">
        <f t="shared" si="273"/>
        <v>0</v>
      </c>
      <c r="CU3800" s="22">
        <f t="shared" si="274"/>
        <v>0</v>
      </c>
      <c r="CV3800" s="26">
        <f t="shared" si="272"/>
        <v>0</v>
      </c>
    </row>
    <row r="3801" spans="9:100" x14ac:dyDescent="0.2">
      <c r="Z3801" s="9"/>
      <c r="AH3801" s="17"/>
      <c r="AI3801" s="17"/>
      <c r="AJ3801" s="17"/>
      <c r="AL3801" s="9"/>
      <c r="AM3801" s="22"/>
      <c r="AN3801" s="22"/>
      <c r="AO3801" s="22"/>
      <c r="AP3801" s="127"/>
      <c r="AQ3801" s="127"/>
      <c r="AR3801" s="127"/>
      <c r="AS3801" s="22"/>
      <c r="AT3801" s="22"/>
      <c r="AU3801" s="22"/>
      <c r="AV3801" s="22"/>
      <c r="AW3801" s="9"/>
      <c r="BD3801" s="9"/>
      <c r="CT3801" s="22">
        <f t="shared" si="273"/>
        <v>0</v>
      </c>
      <c r="CU3801" s="22">
        <f t="shared" si="274"/>
        <v>0</v>
      </c>
      <c r="CV3801" s="26">
        <f t="shared" si="272"/>
        <v>0</v>
      </c>
    </row>
    <row r="3802" spans="9:100" x14ac:dyDescent="0.2">
      <c r="I3802" s="22"/>
      <c r="J3802" s="22"/>
      <c r="W3802" s="10"/>
      <c r="AA3802" s="207"/>
      <c r="AE3802" s="22"/>
      <c r="AF3802" s="22"/>
      <c r="AH3802" s="17"/>
      <c r="AI3802" s="17"/>
      <c r="AJ3802" s="17"/>
      <c r="AL3802" s="22"/>
      <c r="AM3802" s="22"/>
      <c r="AN3802" s="22"/>
      <c r="AO3802" s="22"/>
      <c r="AP3802" s="127"/>
      <c r="AQ3802" s="127"/>
      <c r="AR3802" s="127"/>
      <c r="AS3802" s="22"/>
      <c r="AT3802" s="22"/>
      <c r="AU3802" s="22"/>
      <c r="AV3802" s="22"/>
      <c r="AW3802" s="18"/>
      <c r="BA3802" s="22"/>
      <c r="BB3802" s="22"/>
    </row>
    <row r="3803" spans="9:100" x14ac:dyDescent="0.2">
      <c r="I3803" s="22"/>
      <c r="J3803" s="22"/>
      <c r="W3803" s="10"/>
      <c r="AA3803" s="207"/>
      <c r="AE3803" s="22"/>
      <c r="AF3803" s="22"/>
      <c r="AL3803" s="22"/>
      <c r="AM3803" s="22"/>
      <c r="AN3803" s="22"/>
      <c r="AO3803" s="22"/>
      <c r="AP3803" s="127"/>
      <c r="AQ3803" s="127"/>
      <c r="AR3803" s="127"/>
      <c r="AS3803" s="22"/>
      <c r="AT3803" s="22"/>
      <c r="AU3803" s="22"/>
      <c r="AV3803" s="22"/>
      <c r="BA3803" s="22"/>
      <c r="BB3803" s="22"/>
    </row>
    <row r="3804" spans="9:100" x14ac:dyDescent="0.2">
      <c r="I3804" s="22"/>
      <c r="J3804" s="22"/>
      <c r="W3804" s="10"/>
      <c r="AA3804" s="207"/>
      <c r="AE3804" s="22"/>
      <c r="AF3804" s="22"/>
      <c r="AH3804" s="17"/>
      <c r="AI3804" s="104"/>
      <c r="AJ3804" s="17"/>
      <c r="AL3804" s="22"/>
      <c r="AM3804" s="22"/>
      <c r="AN3804" s="22"/>
      <c r="AO3804" s="22"/>
      <c r="AP3804" s="127"/>
      <c r="AQ3804" s="127"/>
      <c r="AR3804" s="127"/>
      <c r="AS3804" s="22"/>
      <c r="AT3804" s="22"/>
      <c r="AU3804" s="22"/>
      <c r="AV3804" s="22"/>
      <c r="BA3804" s="22"/>
      <c r="BB3804" s="22"/>
    </row>
    <row r="3805" spans="9:100" x14ac:dyDescent="0.2">
      <c r="I3805" s="22"/>
      <c r="J3805" s="22"/>
      <c r="W3805" s="10"/>
      <c r="AA3805" s="207"/>
      <c r="AE3805" s="22"/>
      <c r="AF3805" s="22"/>
      <c r="AH3805" s="17"/>
      <c r="AI3805" s="17"/>
      <c r="AJ3805" s="17"/>
      <c r="AL3805" s="22"/>
      <c r="AM3805" s="22"/>
      <c r="AN3805" s="22"/>
      <c r="AO3805" s="22"/>
      <c r="AP3805" s="127"/>
      <c r="AQ3805" s="127"/>
      <c r="AR3805" s="127"/>
      <c r="AS3805" s="22"/>
      <c r="AT3805" s="22"/>
      <c r="AU3805" s="22"/>
      <c r="AV3805" s="22"/>
      <c r="BA3805" s="22"/>
      <c r="BB3805" s="22"/>
    </row>
    <row r="3806" spans="9:100" x14ac:dyDescent="0.2">
      <c r="AN3806" s="22"/>
    </row>
    <row r="3807" spans="9:100" x14ac:dyDescent="0.2">
      <c r="AX3807" s="17"/>
    </row>
    <row r="3808" spans="9:100" x14ac:dyDescent="0.2">
      <c r="AH3808" s="17"/>
      <c r="AN3808" s="22"/>
    </row>
    <row r="3809" spans="34:40" x14ac:dyDescent="0.2">
      <c r="AH3809" s="17"/>
      <c r="AI3809" s="17"/>
      <c r="AN3809" s="22"/>
    </row>
    <row r="3810" spans="34:40" x14ac:dyDescent="0.2">
      <c r="AH3810" s="17"/>
      <c r="AK3810" s="17"/>
      <c r="AN3810" s="22"/>
    </row>
    <row r="3811" spans="34:40" x14ac:dyDescent="0.2">
      <c r="AH3811" s="17"/>
      <c r="AL3811" s="22"/>
      <c r="AN3811" s="22"/>
    </row>
    <row r="3812" spans="34:40" x14ac:dyDescent="0.2">
      <c r="AH3812" s="22"/>
      <c r="AI3812" s="22"/>
      <c r="AK3812" s="18"/>
      <c r="AL3812" s="22"/>
      <c r="AN3812" s="22"/>
    </row>
    <row r="3813" spans="34:40" x14ac:dyDescent="0.2">
      <c r="AH3813" s="11"/>
      <c r="AI3813" s="11"/>
      <c r="AK3813" s="18"/>
    </row>
    <row r="3814" spans="34:40" x14ac:dyDescent="0.2">
      <c r="AH3814" s="11"/>
      <c r="AI3814" s="11"/>
      <c r="AK3814" s="18"/>
    </row>
    <row r="3818" spans="34:40" x14ac:dyDescent="0.2">
      <c r="AH3818" s="17"/>
      <c r="AI3818" s="17"/>
      <c r="AJ3818" s="17"/>
      <c r="AK3818" s="86"/>
    </row>
    <row r="3819" spans="34:40" x14ac:dyDescent="0.2">
      <c r="AH3819" s="17"/>
      <c r="AI3819" s="17"/>
      <c r="AJ3819" s="17"/>
      <c r="AK3819" s="86"/>
    </row>
    <row r="3820" spans="34:40" x14ac:dyDescent="0.2">
      <c r="AH3820" s="17"/>
      <c r="AI3820" s="17"/>
      <c r="AJ3820" s="17"/>
      <c r="AK3820" s="86"/>
    </row>
    <row r="3821" spans="34:40" x14ac:dyDescent="0.2">
      <c r="AH3821" s="17"/>
      <c r="AI3821" s="17"/>
      <c r="AJ3821" s="17"/>
      <c r="AK3821" s="86"/>
    </row>
  </sheetData>
  <autoFilter ref="A1:CY3801" xr:uid="{4B53B6C5-E4BB-407C-90AD-95F3784C5C39}">
    <sortState xmlns:xlrd2="http://schemas.microsoft.com/office/spreadsheetml/2017/richdata2" ref="A2:CY3808">
      <sortCondition ref="A1"/>
    </sortState>
  </autoFilter>
  <phoneticPr fontId="1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Anthoni Portocarrero Rodriguez</dc:creator>
  <cp:lastModifiedBy>Jose Armando Menacho Minchola</cp:lastModifiedBy>
  <dcterms:created xsi:type="dcterms:W3CDTF">2025-01-09T22:30:52Z</dcterms:created>
  <dcterms:modified xsi:type="dcterms:W3CDTF">2025-12-05T22:12:21Z</dcterms:modified>
</cp:coreProperties>
</file>